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night\OneDrive\Desktop\data\china\books\"/>
    </mc:Choice>
  </mc:AlternateContent>
  <xr:revisionPtr revIDLastSave="0" documentId="13_ncr:1_{E57F2865-4AE9-4AC2-935A-B2EEF3D90CF8}" xr6:coauthVersionLast="47" xr6:coauthVersionMax="47" xr10:uidLastSave="{00000000-0000-0000-0000-000000000000}"/>
  <bookViews>
    <workbookView xWindow="-120" yWindow="480" windowWidth="24240" windowHeight="13140" tabRatio="1000" activeTab="7" xr2:uid="{7C061507-92C4-4BDD-A41F-397FB599DA6A}"/>
  </bookViews>
  <sheets>
    <sheet name="guyuan" sheetId="1" r:id="rId1"/>
    <sheet name="shizuishan" sheetId="2" r:id="rId2"/>
    <sheet name="wuzhong" sheetId="3" r:id="rId3"/>
    <sheet name="yinchuan" sheetId="4" r:id="rId4"/>
    <sheet name="zhongwei" sheetId="5" r:id="rId5"/>
    <sheet name="main table" sheetId="7" r:id="rId6"/>
    <sheet name="cities" sheetId="8" r:id="rId7"/>
    <sheet name="json" sheetId="9" r:id="rId8"/>
    <sheet name="county-naming" sheetId="6" r:id="rId9"/>
  </sheets>
  <externalReferences>
    <externalReference r:id="rId10"/>
  </externalReferences>
  <definedNames>
    <definedName name="Background">GET.CELL(63,OFFSET(INDIRECT("RC",FALSE),0,-1))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7" l="1"/>
  <c r="B5" i="7"/>
  <c r="B15" i="7"/>
  <c r="B26" i="7"/>
  <c r="B28" i="7"/>
  <c r="B29" i="7"/>
  <c r="B36" i="7"/>
  <c r="B39" i="7"/>
  <c r="B48" i="7"/>
  <c r="B49" i="7"/>
  <c r="B59" i="7"/>
  <c r="B69" i="7"/>
  <c r="B71" i="7"/>
  <c r="B76" i="7"/>
  <c r="B80" i="7"/>
  <c r="B84" i="7"/>
  <c r="B89" i="7"/>
  <c r="B90" i="7"/>
  <c r="B92" i="7"/>
  <c r="B95" i="7"/>
  <c r="B102" i="7"/>
  <c r="B105" i="7"/>
  <c r="B107" i="7"/>
  <c r="B119" i="7"/>
  <c r="B121" i="7"/>
  <c r="B124" i="7"/>
  <c r="B126" i="7"/>
  <c r="B129" i="7"/>
  <c r="B133" i="7"/>
  <c r="B142" i="7"/>
  <c r="B143" i="7"/>
  <c r="B144" i="7"/>
  <c r="B156" i="7"/>
  <c r="B157" i="7"/>
  <c r="B160" i="7"/>
  <c r="B162" i="7"/>
  <c r="B166" i="7"/>
  <c r="B170" i="7"/>
  <c r="B177" i="7"/>
  <c r="B180" i="7"/>
  <c r="B183" i="7"/>
  <c r="B187" i="7"/>
  <c r="B189" i="7"/>
  <c r="B193" i="7"/>
  <c r="B203" i="7"/>
  <c r="B205" i="7"/>
  <c r="B206" i="7"/>
  <c r="B212" i="7"/>
  <c r="B213" i="7"/>
  <c r="B215" i="7"/>
  <c r="B217" i="7"/>
  <c r="B218" i="7"/>
  <c r="B219" i="7"/>
  <c r="B221" i="7"/>
  <c r="B224" i="7"/>
  <c r="B241" i="7"/>
  <c r="B242" i="7"/>
  <c r="B244" i="7"/>
  <c r="B248" i="7"/>
  <c r="B250" i="7"/>
  <c r="B2" i="7"/>
  <c r="B9" i="7"/>
  <c r="B10" i="7"/>
  <c r="B17" i="7"/>
  <c r="B21" i="7"/>
  <c r="B23" i="7"/>
  <c r="B24" i="7"/>
  <c r="B25" i="7"/>
  <c r="B31" i="7"/>
  <c r="B52" i="7"/>
  <c r="B56" i="7"/>
  <c r="B57" i="7"/>
  <c r="B65" i="7"/>
  <c r="B70" i="7"/>
  <c r="B75" i="7"/>
  <c r="B81" i="7"/>
  <c r="B85" i="7"/>
  <c r="B88" i="7"/>
  <c r="B91" i="7"/>
  <c r="B99" i="7"/>
  <c r="B109" i="7"/>
  <c r="B112" i="7"/>
  <c r="B116" i="7"/>
  <c r="B130" i="7"/>
  <c r="B135" i="7"/>
  <c r="B145" i="7"/>
  <c r="B147" i="7"/>
  <c r="B152" i="7"/>
  <c r="B153" i="7"/>
  <c r="B169" i="7"/>
  <c r="B178" i="7"/>
  <c r="B181" i="7"/>
  <c r="B184" i="7"/>
  <c r="B191" i="7"/>
  <c r="B209" i="7"/>
  <c r="B226" i="7"/>
  <c r="B227" i="7"/>
  <c r="B232" i="7"/>
  <c r="B233" i="7"/>
  <c r="B251" i="7"/>
  <c r="B7" i="7"/>
  <c r="B8" i="7"/>
  <c r="B13" i="7"/>
  <c r="B30" i="7"/>
  <c r="B33" i="7"/>
  <c r="B34" i="7"/>
  <c r="B35" i="7"/>
  <c r="B40" i="7"/>
  <c r="B42" i="7"/>
  <c r="B47" i="7"/>
  <c r="B53" i="7"/>
  <c r="B55" i="7"/>
  <c r="B64" i="7"/>
  <c r="B73" i="7"/>
  <c r="B77" i="7"/>
  <c r="B78" i="7"/>
  <c r="B82" i="7"/>
  <c r="B87" i="7"/>
  <c r="B98" i="7"/>
  <c r="B100" i="7"/>
  <c r="B101" i="7"/>
  <c r="B104" i="7"/>
  <c r="B110" i="7"/>
  <c r="B122" i="7"/>
  <c r="B123" i="7"/>
  <c r="B127" i="7"/>
  <c r="B148" i="7"/>
  <c r="B149" i="7"/>
  <c r="B159" i="7"/>
  <c r="B161" i="7"/>
  <c r="B164" i="7"/>
  <c r="B173" i="7"/>
  <c r="B174" i="7"/>
  <c r="B175" i="7"/>
  <c r="B176" i="7"/>
  <c r="B179" i="7"/>
  <c r="B186" i="7"/>
  <c r="B188" i="7"/>
  <c r="B192" i="7"/>
  <c r="B199" i="7"/>
  <c r="B200" i="7"/>
  <c r="B204" i="7"/>
  <c r="B211" i="7"/>
  <c r="B220" i="7"/>
  <c r="B228" i="7"/>
  <c r="B236" i="7"/>
  <c r="B238" i="7"/>
  <c r="B240" i="7"/>
  <c r="B243" i="7"/>
  <c r="B4" i="7"/>
  <c r="B11" i="7"/>
  <c r="B12" i="7"/>
  <c r="B18" i="7"/>
  <c r="B22" i="7"/>
  <c r="B27" i="7"/>
  <c r="B32" i="7"/>
  <c r="B37" i="7"/>
  <c r="B41" i="7"/>
  <c r="B45" i="7"/>
  <c r="B46" i="7"/>
  <c r="B50" i="7"/>
  <c r="B68" i="7"/>
  <c r="B72" i="7"/>
  <c r="B74" i="7"/>
  <c r="B83" i="7"/>
  <c r="B86" i="7"/>
  <c r="B94" i="7"/>
  <c r="B96" i="7"/>
  <c r="B97" i="7"/>
  <c r="B108" i="7"/>
  <c r="B111" i="7"/>
  <c r="B113" i="7"/>
  <c r="B115" i="7"/>
  <c r="B117" i="7"/>
  <c r="B118" i="7"/>
  <c r="B125" i="7"/>
  <c r="B128" i="7"/>
  <c r="B132" i="7"/>
  <c r="B136" i="7"/>
  <c r="B138" i="7"/>
  <c r="B139" i="7"/>
  <c r="B140" i="7"/>
  <c r="B141" i="7"/>
  <c r="B146" i="7"/>
  <c r="B158" i="7"/>
  <c r="B165" i="7"/>
  <c r="B163" i="7"/>
  <c r="B171" i="7"/>
  <c r="B182" i="7"/>
  <c r="B185" i="7"/>
  <c r="B190" i="7"/>
  <c r="B195" i="7"/>
  <c r="B196" i="7"/>
  <c r="B197" i="7"/>
  <c r="B207" i="7"/>
  <c r="B198" i="7"/>
  <c r="B210" i="7"/>
  <c r="B216" i="7"/>
  <c r="B225" i="7"/>
  <c r="B230" i="7"/>
  <c r="B235" i="7"/>
  <c r="B237" i="7"/>
  <c r="B239" i="7"/>
  <c r="B245" i="7"/>
  <c r="B246" i="7"/>
  <c r="B252" i="7"/>
  <c r="B3" i="7"/>
  <c r="B14" i="7"/>
  <c r="B16" i="7"/>
  <c r="B19" i="7"/>
  <c r="B20" i="7"/>
  <c r="B38" i="7"/>
  <c r="B43" i="7"/>
  <c r="B44" i="7"/>
  <c r="B51" i="7"/>
  <c r="B54" i="7"/>
  <c r="B58" i="7"/>
  <c r="B66" i="7"/>
  <c r="B67" i="7"/>
  <c r="B79" i="7"/>
  <c r="B93" i="7"/>
  <c r="B103" i="7"/>
  <c r="B106" i="7"/>
  <c r="B114" i="7"/>
  <c r="B120" i="7"/>
  <c r="B131" i="7"/>
  <c r="B134" i="7"/>
  <c r="B137" i="7"/>
  <c r="B150" i="7"/>
  <c r="B151" i="7"/>
  <c r="B154" i="7"/>
  <c r="B155" i="7"/>
  <c r="B167" i="7"/>
  <c r="B168" i="7"/>
  <c r="B172" i="7"/>
  <c r="B194" i="7"/>
  <c r="B202" i="7"/>
  <c r="B201" i="7"/>
  <c r="B208" i="7"/>
  <c r="B214" i="7"/>
  <c r="B222" i="7"/>
  <c r="B223" i="7"/>
  <c r="B229" i="7"/>
  <c r="B231" i="7"/>
  <c r="B234" i="7"/>
  <c r="B247" i="7"/>
  <c r="B249" i="7"/>
  <c r="B253" i="7"/>
  <c r="B254" i="7"/>
  <c r="B255" i="7"/>
  <c r="B256" i="7"/>
  <c r="N6" i="7"/>
  <c r="O6" i="7" s="1"/>
  <c r="N5" i="7"/>
  <c r="O5" i="7" s="1"/>
  <c r="N15" i="7"/>
  <c r="O15" i="7" s="1"/>
  <c r="N26" i="7"/>
  <c r="O26" i="7" s="1"/>
  <c r="N28" i="7"/>
  <c r="O28" i="7" s="1"/>
  <c r="N29" i="7"/>
  <c r="O29" i="7" s="1"/>
  <c r="N36" i="7"/>
  <c r="O36" i="7" s="1"/>
  <c r="N39" i="7"/>
  <c r="O39" i="7" s="1"/>
  <c r="N48" i="7"/>
  <c r="O48" i="7" s="1"/>
  <c r="N49" i="7"/>
  <c r="O49" i="7" s="1"/>
  <c r="N59" i="7"/>
  <c r="O59" i="7" s="1"/>
  <c r="N60" i="7"/>
  <c r="B60" i="7" s="1"/>
  <c r="N62" i="7"/>
  <c r="B62" i="7" s="1"/>
  <c r="N69" i="7"/>
  <c r="O69" i="7" s="1"/>
  <c r="N71" i="7"/>
  <c r="O71" i="7" s="1"/>
  <c r="N76" i="7"/>
  <c r="O76" i="7" s="1"/>
  <c r="N80" i="7"/>
  <c r="O80" i="7" s="1"/>
  <c r="N84" i="7"/>
  <c r="O84" i="7" s="1"/>
  <c r="N89" i="7"/>
  <c r="O89" i="7" s="1"/>
  <c r="N90" i="7"/>
  <c r="O90" i="7" s="1"/>
  <c r="N92" i="7"/>
  <c r="O92" i="7" s="1"/>
  <c r="N95" i="7"/>
  <c r="O95" i="7" s="1"/>
  <c r="N102" i="7"/>
  <c r="O102" i="7" s="1"/>
  <c r="N105" i="7"/>
  <c r="O105" i="7" s="1"/>
  <c r="N107" i="7"/>
  <c r="O107" i="7" s="1"/>
  <c r="N119" i="7"/>
  <c r="O119" i="7" s="1"/>
  <c r="N121" i="7"/>
  <c r="O121" i="7" s="1"/>
  <c r="N124" i="7"/>
  <c r="O124" i="7" s="1"/>
  <c r="N126" i="7"/>
  <c r="O126" i="7" s="1"/>
  <c r="N129" i="7"/>
  <c r="O129" i="7" s="1"/>
  <c r="N133" i="7"/>
  <c r="O133" i="7" s="1"/>
  <c r="N142" i="7"/>
  <c r="O142" i="7" s="1"/>
  <c r="N143" i="7"/>
  <c r="O143" i="7" s="1"/>
  <c r="N144" i="7"/>
  <c r="O144" i="7" s="1"/>
  <c r="N156" i="7"/>
  <c r="O156" i="7" s="1"/>
  <c r="N157" i="7"/>
  <c r="O157" i="7" s="1"/>
  <c r="N160" i="7"/>
  <c r="O160" i="7" s="1"/>
  <c r="N162" i="7"/>
  <c r="O162" i="7" s="1"/>
  <c r="N166" i="7"/>
  <c r="O166" i="7" s="1"/>
  <c r="N170" i="7"/>
  <c r="O170" i="7" s="1"/>
  <c r="N177" i="7"/>
  <c r="O177" i="7" s="1"/>
  <c r="N180" i="7"/>
  <c r="O180" i="7" s="1"/>
  <c r="N183" i="7"/>
  <c r="O183" i="7" s="1"/>
  <c r="N187" i="7"/>
  <c r="O187" i="7" s="1"/>
  <c r="N189" i="7"/>
  <c r="O189" i="7" s="1"/>
  <c r="N193" i="7"/>
  <c r="O193" i="7" s="1"/>
  <c r="N203" i="7"/>
  <c r="O203" i="7" s="1"/>
  <c r="N205" i="7"/>
  <c r="O205" i="7" s="1"/>
  <c r="N206" i="7"/>
  <c r="O206" i="7" s="1"/>
  <c r="N212" i="7"/>
  <c r="O212" i="7" s="1"/>
  <c r="N213" i="7"/>
  <c r="O213" i="7" s="1"/>
  <c r="N215" i="7"/>
  <c r="O215" i="7" s="1"/>
  <c r="N217" i="7"/>
  <c r="O217" i="7" s="1"/>
  <c r="N218" i="7"/>
  <c r="O218" i="7" s="1"/>
  <c r="N219" i="7"/>
  <c r="O219" i="7" s="1"/>
  <c r="N221" i="7"/>
  <c r="O221" i="7" s="1"/>
  <c r="N224" i="7"/>
  <c r="O224" i="7" s="1"/>
  <c r="N241" i="7"/>
  <c r="O241" i="7" s="1"/>
  <c r="N242" i="7"/>
  <c r="O242" i="7" s="1"/>
  <c r="N244" i="7"/>
  <c r="O244" i="7" s="1"/>
  <c r="N248" i="7"/>
  <c r="O248" i="7" s="1"/>
  <c r="N250" i="7"/>
  <c r="O250" i="7" s="1"/>
  <c r="N2" i="7"/>
  <c r="O2" i="7" s="1"/>
  <c r="N9" i="7"/>
  <c r="O9" i="7" s="1"/>
  <c r="N10" i="7"/>
  <c r="O10" i="7" s="1"/>
  <c r="N17" i="7"/>
  <c r="O17" i="7" s="1"/>
  <c r="N21" i="7"/>
  <c r="O21" i="7" s="1"/>
  <c r="N23" i="7"/>
  <c r="O23" i="7" s="1"/>
  <c r="N24" i="7"/>
  <c r="O24" i="7" s="1"/>
  <c r="N25" i="7"/>
  <c r="O25" i="7" s="1"/>
  <c r="N31" i="7"/>
  <c r="O31" i="7" s="1"/>
  <c r="N52" i="7"/>
  <c r="O52" i="7" s="1"/>
  <c r="N56" i="7"/>
  <c r="O56" i="7" s="1"/>
  <c r="N57" i="7"/>
  <c r="O57" i="7" s="1"/>
  <c r="N65" i="7"/>
  <c r="O65" i="7" s="1"/>
  <c r="N70" i="7"/>
  <c r="O70" i="7" s="1"/>
  <c r="N75" i="7"/>
  <c r="O75" i="7" s="1"/>
  <c r="N81" i="7"/>
  <c r="O81" i="7" s="1"/>
  <c r="N85" i="7"/>
  <c r="O85" i="7" s="1"/>
  <c r="N88" i="7"/>
  <c r="O88" i="7" s="1"/>
  <c r="N91" i="7"/>
  <c r="O91" i="7" s="1"/>
  <c r="N99" i="7"/>
  <c r="O99" i="7" s="1"/>
  <c r="N109" i="7"/>
  <c r="O109" i="7" s="1"/>
  <c r="N112" i="7"/>
  <c r="O112" i="7" s="1"/>
  <c r="N116" i="7"/>
  <c r="O116" i="7" s="1"/>
  <c r="N130" i="7"/>
  <c r="O130" i="7" s="1"/>
  <c r="N135" i="7"/>
  <c r="O135" i="7" s="1"/>
  <c r="N145" i="7"/>
  <c r="O145" i="7" s="1"/>
  <c r="N147" i="7"/>
  <c r="O147" i="7" s="1"/>
  <c r="N152" i="7"/>
  <c r="O152" i="7" s="1"/>
  <c r="N153" i="7"/>
  <c r="O153" i="7" s="1"/>
  <c r="N169" i="7"/>
  <c r="O169" i="7" s="1"/>
  <c r="N178" i="7"/>
  <c r="O178" i="7" s="1"/>
  <c r="N181" i="7"/>
  <c r="O181" i="7" s="1"/>
  <c r="N184" i="7"/>
  <c r="O184" i="7" s="1"/>
  <c r="N191" i="7"/>
  <c r="O191" i="7" s="1"/>
  <c r="N209" i="7"/>
  <c r="O209" i="7" s="1"/>
  <c r="N226" i="7"/>
  <c r="O226" i="7" s="1"/>
  <c r="N227" i="7"/>
  <c r="O227" i="7" s="1"/>
  <c r="N232" i="7"/>
  <c r="O232" i="7" s="1"/>
  <c r="N233" i="7"/>
  <c r="O233" i="7" s="1"/>
  <c r="N251" i="7"/>
  <c r="O251" i="7" s="1"/>
  <c r="N7" i="7"/>
  <c r="O7" i="7" s="1"/>
  <c r="N8" i="7"/>
  <c r="O8" i="7" s="1"/>
  <c r="N13" i="7"/>
  <c r="O13" i="7" s="1"/>
  <c r="N30" i="7"/>
  <c r="O30" i="7" s="1"/>
  <c r="N33" i="7"/>
  <c r="O33" i="7" s="1"/>
  <c r="N34" i="7"/>
  <c r="O34" i="7" s="1"/>
  <c r="N35" i="7"/>
  <c r="O35" i="7" s="1"/>
  <c r="N40" i="7"/>
  <c r="O40" i="7" s="1"/>
  <c r="N42" i="7"/>
  <c r="O42" i="7" s="1"/>
  <c r="N47" i="7"/>
  <c r="O47" i="7" s="1"/>
  <c r="N53" i="7"/>
  <c r="O53" i="7" s="1"/>
  <c r="N55" i="7"/>
  <c r="O55" i="7" s="1"/>
  <c r="N63" i="7"/>
  <c r="B63" i="7" s="1"/>
  <c r="N64" i="7"/>
  <c r="O64" i="7" s="1"/>
  <c r="N73" i="7"/>
  <c r="O73" i="7" s="1"/>
  <c r="N77" i="7"/>
  <c r="O77" i="7" s="1"/>
  <c r="N78" i="7"/>
  <c r="O78" i="7" s="1"/>
  <c r="N82" i="7"/>
  <c r="O82" i="7" s="1"/>
  <c r="N87" i="7"/>
  <c r="O87" i="7" s="1"/>
  <c r="N98" i="7"/>
  <c r="O98" i="7" s="1"/>
  <c r="N100" i="7"/>
  <c r="O100" i="7" s="1"/>
  <c r="N101" i="7"/>
  <c r="O101" i="7" s="1"/>
  <c r="N104" i="7"/>
  <c r="O104" i="7" s="1"/>
  <c r="N110" i="7"/>
  <c r="O110" i="7" s="1"/>
  <c r="N122" i="7"/>
  <c r="O122" i="7" s="1"/>
  <c r="N123" i="7"/>
  <c r="O123" i="7" s="1"/>
  <c r="N127" i="7"/>
  <c r="O127" i="7" s="1"/>
  <c r="N148" i="7"/>
  <c r="O148" i="7" s="1"/>
  <c r="N149" i="7"/>
  <c r="O149" i="7" s="1"/>
  <c r="N159" i="7"/>
  <c r="O159" i="7" s="1"/>
  <c r="N161" i="7"/>
  <c r="O161" i="7" s="1"/>
  <c r="N164" i="7"/>
  <c r="O164" i="7" s="1"/>
  <c r="N173" i="7"/>
  <c r="O173" i="7" s="1"/>
  <c r="N174" i="7"/>
  <c r="O174" i="7" s="1"/>
  <c r="N175" i="7"/>
  <c r="O175" i="7" s="1"/>
  <c r="N176" i="7"/>
  <c r="O176" i="7" s="1"/>
  <c r="N179" i="7"/>
  <c r="O179" i="7" s="1"/>
  <c r="N186" i="7"/>
  <c r="O186" i="7" s="1"/>
  <c r="N188" i="7"/>
  <c r="O188" i="7" s="1"/>
  <c r="N192" i="7"/>
  <c r="O192" i="7" s="1"/>
  <c r="N199" i="7"/>
  <c r="O199" i="7" s="1"/>
  <c r="N200" i="7"/>
  <c r="O200" i="7" s="1"/>
  <c r="N204" i="7"/>
  <c r="O204" i="7" s="1"/>
  <c r="N211" i="7"/>
  <c r="O211" i="7" s="1"/>
  <c r="N220" i="7"/>
  <c r="O220" i="7" s="1"/>
  <c r="N228" i="7"/>
  <c r="O228" i="7" s="1"/>
  <c r="N236" i="7"/>
  <c r="O236" i="7" s="1"/>
  <c r="N238" i="7"/>
  <c r="O238" i="7" s="1"/>
  <c r="N240" i="7"/>
  <c r="O240" i="7" s="1"/>
  <c r="N243" i="7"/>
  <c r="O243" i="7" s="1"/>
  <c r="N4" i="7"/>
  <c r="O4" i="7" s="1"/>
  <c r="N11" i="7"/>
  <c r="O11" i="7" s="1"/>
  <c r="N12" i="7"/>
  <c r="O12" i="7" s="1"/>
  <c r="N18" i="7"/>
  <c r="O18" i="7" s="1"/>
  <c r="N22" i="7"/>
  <c r="O22" i="7" s="1"/>
  <c r="N27" i="7"/>
  <c r="O27" i="7" s="1"/>
  <c r="N32" i="7"/>
  <c r="O32" i="7" s="1"/>
  <c r="N37" i="7"/>
  <c r="O37" i="7" s="1"/>
  <c r="N41" i="7"/>
  <c r="O41" i="7" s="1"/>
  <c r="N45" i="7"/>
  <c r="O45" i="7" s="1"/>
  <c r="N46" i="7"/>
  <c r="O46" i="7" s="1"/>
  <c r="N50" i="7"/>
  <c r="O50" i="7" s="1"/>
  <c r="N68" i="7"/>
  <c r="O68" i="7" s="1"/>
  <c r="N72" i="7"/>
  <c r="O72" i="7" s="1"/>
  <c r="N74" i="7"/>
  <c r="O74" i="7" s="1"/>
  <c r="N83" i="7"/>
  <c r="O83" i="7" s="1"/>
  <c r="N86" i="7"/>
  <c r="O86" i="7" s="1"/>
  <c r="N94" i="7"/>
  <c r="O94" i="7" s="1"/>
  <c r="N96" i="7"/>
  <c r="O96" i="7" s="1"/>
  <c r="N97" i="7"/>
  <c r="O97" i="7" s="1"/>
  <c r="N108" i="7"/>
  <c r="O108" i="7" s="1"/>
  <c r="N111" i="7"/>
  <c r="O111" i="7" s="1"/>
  <c r="N113" i="7"/>
  <c r="O113" i="7" s="1"/>
  <c r="N115" i="7"/>
  <c r="O115" i="7" s="1"/>
  <c r="N117" i="7"/>
  <c r="O117" i="7" s="1"/>
  <c r="N118" i="7"/>
  <c r="O118" i="7" s="1"/>
  <c r="N125" i="7"/>
  <c r="O125" i="7" s="1"/>
  <c r="N128" i="7"/>
  <c r="O128" i="7" s="1"/>
  <c r="N132" i="7"/>
  <c r="O132" i="7" s="1"/>
  <c r="N136" i="7"/>
  <c r="O136" i="7" s="1"/>
  <c r="N138" i="7"/>
  <c r="O138" i="7" s="1"/>
  <c r="N139" i="7"/>
  <c r="O139" i="7" s="1"/>
  <c r="N140" i="7"/>
  <c r="O140" i="7" s="1"/>
  <c r="N141" i="7"/>
  <c r="O141" i="7" s="1"/>
  <c r="N146" i="7"/>
  <c r="O146" i="7" s="1"/>
  <c r="N158" i="7"/>
  <c r="O158" i="7" s="1"/>
  <c r="N165" i="7"/>
  <c r="O165" i="7" s="1"/>
  <c r="N163" i="7"/>
  <c r="O163" i="7" s="1"/>
  <c r="N171" i="7"/>
  <c r="O171" i="7" s="1"/>
  <c r="N182" i="7"/>
  <c r="O182" i="7" s="1"/>
  <c r="N185" i="7"/>
  <c r="O185" i="7" s="1"/>
  <c r="N190" i="7"/>
  <c r="O190" i="7" s="1"/>
  <c r="N195" i="7"/>
  <c r="O195" i="7" s="1"/>
  <c r="N196" i="7"/>
  <c r="O196" i="7" s="1"/>
  <c r="N197" i="7"/>
  <c r="O197" i="7" s="1"/>
  <c r="N207" i="7"/>
  <c r="O207" i="7" s="1"/>
  <c r="N198" i="7"/>
  <c r="O198" i="7" s="1"/>
  <c r="N210" i="7"/>
  <c r="O210" i="7" s="1"/>
  <c r="N216" i="7"/>
  <c r="O216" i="7" s="1"/>
  <c r="N225" i="7"/>
  <c r="O225" i="7" s="1"/>
  <c r="N230" i="7"/>
  <c r="O230" i="7" s="1"/>
  <c r="N235" i="7"/>
  <c r="O235" i="7" s="1"/>
  <c r="N237" i="7"/>
  <c r="O237" i="7" s="1"/>
  <c r="N239" i="7"/>
  <c r="O239" i="7" s="1"/>
  <c r="N245" i="7"/>
  <c r="O245" i="7" s="1"/>
  <c r="N246" i="7"/>
  <c r="O246" i="7" s="1"/>
  <c r="N252" i="7"/>
  <c r="O252" i="7" s="1"/>
  <c r="N3" i="7"/>
  <c r="O3" i="7" s="1"/>
  <c r="N14" i="7"/>
  <c r="O14" i="7" s="1"/>
  <c r="N16" i="7"/>
  <c r="O16" i="7" s="1"/>
  <c r="N19" i="7"/>
  <c r="O19" i="7" s="1"/>
  <c r="N20" i="7"/>
  <c r="O20" i="7" s="1"/>
  <c r="N38" i="7"/>
  <c r="O38" i="7" s="1"/>
  <c r="N43" i="7"/>
  <c r="O43" i="7" s="1"/>
  <c r="N44" i="7"/>
  <c r="O44" i="7" s="1"/>
  <c r="N51" i="7"/>
  <c r="O51" i="7" s="1"/>
  <c r="N54" i="7"/>
  <c r="O54" i="7" s="1"/>
  <c r="N58" i="7"/>
  <c r="O58" i="7" s="1"/>
  <c r="N61" i="7"/>
  <c r="B61" i="7" s="1"/>
  <c r="N66" i="7"/>
  <c r="O66" i="7" s="1"/>
  <c r="N67" i="7"/>
  <c r="O67" i="7" s="1"/>
  <c r="N79" i="7"/>
  <c r="O79" i="7" s="1"/>
  <c r="N93" i="7"/>
  <c r="O93" i="7" s="1"/>
  <c r="N103" i="7"/>
  <c r="O103" i="7" s="1"/>
  <c r="N106" i="7"/>
  <c r="O106" i="7" s="1"/>
  <c r="N114" i="7"/>
  <c r="O114" i="7" s="1"/>
  <c r="N120" i="7"/>
  <c r="O120" i="7" s="1"/>
  <c r="N131" i="7"/>
  <c r="O131" i="7" s="1"/>
  <c r="N134" i="7"/>
  <c r="O134" i="7" s="1"/>
  <c r="N137" i="7"/>
  <c r="O137" i="7" s="1"/>
  <c r="N150" i="7"/>
  <c r="O150" i="7" s="1"/>
  <c r="N151" i="7"/>
  <c r="O151" i="7" s="1"/>
  <c r="N154" i="7"/>
  <c r="O154" i="7" s="1"/>
  <c r="N155" i="7"/>
  <c r="O155" i="7" s="1"/>
  <c r="N167" i="7"/>
  <c r="O167" i="7" s="1"/>
  <c r="N168" i="7"/>
  <c r="O168" i="7" s="1"/>
  <c r="N172" i="7"/>
  <c r="O172" i="7" s="1"/>
  <c r="N194" i="7"/>
  <c r="O194" i="7" s="1"/>
  <c r="N202" i="7"/>
  <c r="O202" i="7" s="1"/>
  <c r="N201" i="7"/>
  <c r="O201" i="7" s="1"/>
  <c r="N208" i="7"/>
  <c r="O208" i="7" s="1"/>
  <c r="N214" i="7"/>
  <c r="O214" i="7" s="1"/>
  <c r="N222" i="7"/>
  <c r="O222" i="7" s="1"/>
  <c r="N223" i="7"/>
  <c r="O223" i="7" s="1"/>
  <c r="N229" i="7"/>
  <c r="O229" i="7" s="1"/>
  <c r="N231" i="7"/>
  <c r="O231" i="7" s="1"/>
  <c r="N234" i="7"/>
  <c r="O234" i="7" s="1"/>
  <c r="N247" i="7"/>
  <c r="O247" i="7" s="1"/>
  <c r="N249" i="7"/>
  <c r="O249" i="7" s="1"/>
  <c r="N253" i="7"/>
  <c r="O253" i="7" s="1"/>
  <c r="N254" i="7"/>
  <c r="O254" i="7" s="1"/>
  <c r="N255" i="7"/>
  <c r="O255" i="7" s="1"/>
  <c r="N256" i="7"/>
  <c r="O256" i="7" s="1"/>
  <c r="M6" i="7"/>
  <c r="M5" i="7"/>
  <c r="M15" i="7"/>
  <c r="M26" i="7"/>
  <c r="M28" i="7"/>
  <c r="M29" i="7"/>
  <c r="M36" i="7"/>
  <c r="M39" i="7"/>
  <c r="M48" i="7"/>
  <c r="M49" i="7"/>
  <c r="M59" i="7"/>
  <c r="M60" i="7"/>
  <c r="M62" i="7"/>
  <c r="M69" i="7"/>
  <c r="M71" i="7"/>
  <c r="M76" i="7"/>
  <c r="M80" i="7"/>
  <c r="M84" i="7"/>
  <c r="M89" i="7"/>
  <c r="M90" i="7"/>
  <c r="M92" i="7"/>
  <c r="M95" i="7"/>
  <c r="M102" i="7"/>
  <c r="M105" i="7"/>
  <c r="M107" i="7"/>
  <c r="M119" i="7"/>
  <c r="M121" i="7"/>
  <c r="M124" i="7"/>
  <c r="M126" i="7"/>
  <c r="M129" i="7"/>
  <c r="M133" i="7"/>
  <c r="M142" i="7"/>
  <c r="M143" i="7"/>
  <c r="M144" i="7"/>
  <c r="M156" i="7"/>
  <c r="M157" i="7"/>
  <c r="M160" i="7"/>
  <c r="M162" i="7"/>
  <c r="M166" i="7"/>
  <c r="M170" i="7"/>
  <c r="M177" i="7"/>
  <c r="M180" i="7"/>
  <c r="M183" i="7"/>
  <c r="M187" i="7"/>
  <c r="M189" i="7"/>
  <c r="M193" i="7"/>
  <c r="M203" i="7"/>
  <c r="M205" i="7"/>
  <c r="M206" i="7"/>
  <c r="M212" i="7"/>
  <c r="M213" i="7"/>
  <c r="M215" i="7"/>
  <c r="M217" i="7"/>
  <c r="M218" i="7"/>
  <c r="M219" i="7"/>
  <c r="M221" i="7"/>
  <c r="M224" i="7"/>
  <c r="M241" i="7"/>
  <c r="M242" i="7"/>
  <c r="M244" i="7"/>
  <c r="M248" i="7"/>
  <c r="M250" i="7"/>
  <c r="M2" i="7"/>
  <c r="M9" i="7"/>
  <c r="M10" i="7"/>
  <c r="M17" i="7"/>
  <c r="M21" i="7"/>
  <c r="M23" i="7"/>
  <c r="M24" i="7"/>
  <c r="M25" i="7"/>
  <c r="M31" i="7"/>
  <c r="M52" i="7"/>
  <c r="M56" i="7"/>
  <c r="M57" i="7"/>
  <c r="M65" i="7"/>
  <c r="M70" i="7"/>
  <c r="M75" i="7"/>
  <c r="M81" i="7"/>
  <c r="M85" i="7"/>
  <c r="M88" i="7"/>
  <c r="M91" i="7"/>
  <c r="M99" i="7"/>
  <c r="M109" i="7"/>
  <c r="M112" i="7"/>
  <c r="M116" i="7"/>
  <c r="M130" i="7"/>
  <c r="M135" i="7"/>
  <c r="M145" i="7"/>
  <c r="M147" i="7"/>
  <c r="M152" i="7"/>
  <c r="M153" i="7"/>
  <c r="M169" i="7"/>
  <c r="M178" i="7"/>
  <c r="M181" i="7"/>
  <c r="M184" i="7"/>
  <c r="M191" i="7"/>
  <c r="M209" i="7"/>
  <c r="M226" i="7"/>
  <c r="M227" i="7"/>
  <c r="M232" i="7"/>
  <c r="M233" i="7"/>
  <c r="M251" i="7"/>
  <c r="M7" i="7"/>
  <c r="M8" i="7"/>
  <c r="M13" i="7"/>
  <c r="M30" i="7"/>
  <c r="M33" i="7"/>
  <c r="M34" i="7"/>
  <c r="M35" i="7"/>
  <c r="M40" i="7"/>
  <c r="M42" i="7"/>
  <c r="M47" i="7"/>
  <c r="M53" i="7"/>
  <c r="M55" i="7"/>
  <c r="M63" i="7"/>
  <c r="M64" i="7"/>
  <c r="M73" i="7"/>
  <c r="M77" i="7"/>
  <c r="M78" i="7"/>
  <c r="M82" i="7"/>
  <c r="M87" i="7"/>
  <c r="M98" i="7"/>
  <c r="M100" i="7"/>
  <c r="M101" i="7"/>
  <c r="M104" i="7"/>
  <c r="M110" i="7"/>
  <c r="M122" i="7"/>
  <c r="M123" i="7"/>
  <c r="M127" i="7"/>
  <c r="M148" i="7"/>
  <c r="M149" i="7"/>
  <c r="M159" i="7"/>
  <c r="M161" i="7"/>
  <c r="M164" i="7"/>
  <c r="M173" i="7"/>
  <c r="M174" i="7"/>
  <c r="M175" i="7"/>
  <c r="M176" i="7"/>
  <c r="M179" i="7"/>
  <c r="M186" i="7"/>
  <c r="M188" i="7"/>
  <c r="M192" i="7"/>
  <c r="M199" i="7"/>
  <c r="M200" i="7"/>
  <c r="M204" i="7"/>
  <c r="M211" i="7"/>
  <c r="M220" i="7"/>
  <c r="M228" i="7"/>
  <c r="M236" i="7"/>
  <c r="M238" i="7"/>
  <c r="M240" i="7"/>
  <c r="M243" i="7"/>
  <c r="M4" i="7"/>
  <c r="M11" i="7"/>
  <c r="M12" i="7"/>
  <c r="M18" i="7"/>
  <c r="M22" i="7"/>
  <c r="M27" i="7"/>
  <c r="M32" i="7"/>
  <c r="M37" i="7"/>
  <c r="M41" i="7"/>
  <c r="M45" i="7"/>
  <c r="M46" i="7"/>
  <c r="M50" i="7"/>
  <c r="M68" i="7"/>
  <c r="M72" i="7"/>
  <c r="M74" i="7"/>
  <c r="M83" i="7"/>
  <c r="M86" i="7"/>
  <c r="M94" i="7"/>
  <c r="M96" i="7"/>
  <c r="M97" i="7"/>
  <c r="M108" i="7"/>
  <c r="M111" i="7"/>
  <c r="M113" i="7"/>
  <c r="M115" i="7"/>
  <c r="M117" i="7"/>
  <c r="M118" i="7"/>
  <c r="M125" i="7"/>
  <c r="M128" i="7"/>
  <c r="M132" i="7"/>
  <c r="M136" i="7"/>
  <c r="M138" i="7"/>
  <c r="M139" i="7"/>
  <c r="M140" i="7"/>
  <c r="M141" i="7"/>
  <c r="M146" i="7"/>
  <c r="M158" i="7"/>
  <c r="M165" i="7"/>
  <c r="M163" i="7"/>
  <c r="M171" i="7"/>
  <c r="M182" i="7"/>
  <c r="M185" i="7"/>
  <c r="M190" i="7"/>
  <c r="M195" i="7"/>
  <c r="M196" i="7"/>
  <c r="M197" i="7"/>
  <c r="M207" i="7"/>
  <c r="M198" i="7"/>
  <c r="M210" i="7"/>
  <c r="M216" i="7"/>
  <c r="M225" i="7"/>
  <c r="M230" i="7"/>
  <c r="M235" i="7"/>
  <c r="M237" i="7"/>
  <c r="M239" i="7"/>
  <c r="M245" i="7"/>
  <c r="M246" i="7"/>
  <c r="M252" i="7"/>
  <c r="M3" i="7"/>
  <c r="M14" i="7"/>
  <c r="M16" i="7"/>
  <c r="M19" i="7"/>
  <c r="M20" i="7"/>
  <c r="M38" i="7"/>
  <c r="M43" i="7"/>
  <c r="M44" i="7"/>
  <c r="M51" i="7"/>
  <c r="M54" i="7"/>
  <c r="M58" i="7"/>
  <c r="M61" i="7"/>
  <c r="M66" i="7"/>
  <c r="M67" i="7"/>
  <c r="M79" i="7"/>
  <c r="M93" i="7"/>
  <c r="M103" i="7"/>
  <c r="M106" i="7"/>
  <c r="M114" i="7"/>
  <c r="M120" i="7"/>
  <c r="M131" i="7"/>
  <c r="M134" i="7"/>
  <c r="M137" i="7"/>
  <c r="M150" i="7"/>
  <c r="M151" i="7"/>
  <c r="M154" i="7"/>
  <c r="M155" i="7"/>
  <c r="M167" i="7"/>
  <c r="M168" i="7"/>
  <c r="M172" i="7"/>
  <c r="M194" i="7"/>
  <c r="M202" i="7"/>
  <c r="M201" i="7"/>
  <c r="M208" i="7"/>
  <c r="M214" i="7"/>
  <c r="M222" i="7"/>
  <c r="M223" i="7"/>
  <c r="M229" i="7"/>
  <c r="M231" i="7"/>
  <c r="M234" i="7"/>
  <c r="M247" i="7"/>
  <c r="M249" i="7"/>
  <c r="M253" i="7"/>
  <c r="M254" i="7"/>
  <c r="M255" i="7"/>
  <c r="M256" i="7"/>
  <c r="D2" i="8"/>
  <c r="D3" i="8"/>
  <c r="D4" i="8"/>
  <c r="D5" i="8"/>
  <c r="D6" i="8"/>
  <c r="D7" i="8"/>
  <c r="D8" i="8"/>
  <c r="E2" i="8"/>
  <c r="E3" i="8"/>
  <c r="E4" i="8"/>
  <c r="E5" i="8"/>
  <c r="E6" i="8"/>
  <c r="E7" i="8"/>
  <c r="E8" i="8"/>
  <c r="B2" i="8"/>
  <c r="B3" i="8"/>
  <c r="B4" i="8"/>
  <c r="B5" i="8"/>
  <c r="B6" i="8"/>
  <c r="B7" i="8"/>
  <c r="B8" i="8"/>
  <c r="F6" i="7"/>
  <c r="F5" i="7"/>
  <c r="F15" i="7"/>
  <c r="F26" i="7"/>
  <c r="F28" i="7"/>
  <c r="F29" i="7"/>
  <c r="F36" i="7"/>
  <c r="F39" i="7"/>
  <c r="F48" i="7"/>
  <c r="F49" i="7"/>
  <c r="F59" i="7"/>
  <c r="F60" i="7"/>
  <c r="F62" i="7"/>
  <c r="F69" i="7"/>
  <c r="F71" i="7"/>
  <c r="F76" i="7"/>
  <c r="F80" i="7"/>
  <c r="F84" i="7"/>
  <c r="F89" i="7"/>
  <c r="F90" i="7"/>
  <c r="F92" i="7"/>
  <c r="F95" i="7"/>
  <c r="F102" i="7"/>
  <c r="F105" i="7"/>
  <c r="F107" i="7"/>
  <c r="F119" i="7"/>
  <c r="F121" i="7"/>
  <c r="F124" i="7"/>
  <c r="F126" i="7"/>
  <c r="F129" i="7"/>
  <c r="F133" i="7"/>
  <c r="F142" i="7"/>
  <c r="F143" i="7"/>
  <c r="F144" i="7"/>
  <c r="F156" i="7"/>
  <c r="F157" i="7"/>
  <c r="F160" i="7"/>
  <c r="F162" i="7"/>
  <c r="F166" i="7"/>
  <c r="F170" i="7"/>
  <c r="F177" i="7"/>
  <c r="F180" i="7"/>
  <c r="F183" i="7"/>
  <c r="F187" i="7"/>
  <c r="F189" i="7"/>
  <c r="F193" i="7"/>
  <c r="F203" i="7"/>
  <c r="F205" i="7"/>
  <c r="F206" i="7"/>
  <c r="F212" i="7"/>
  <c r="F213" i="7"/>
  <c r="F215" i="7"/>
  <c r="F217" i="7"/>
  <c r="F218" i="7"/>
  <c r="F219" i="7"/>
  <c r="F221" i="7"/>
  <c r="F224" i="7"/>
  <c r="F241" i="7"/>
  <c r="F242" i="7"/>
  <c r="F244" i="7"/>
  <c r="F248" i="7"/>
  <c r="F250" i="7"/>
  <c r="F2" i="7"/>
  <c r="F9" i="7"/>
  <c r="F10" i="7"/>
  <c r="F17" i="7"/>
  <c r="F21" i="7"/>
  <c r="F23" i="7"/>
  <c r="F24" i="7"/>
  <c r="F25" i="7"/>
  <c r="F31" i="7"/>
  <c r="F52" i="7"/>
  <c r="F56" i="7"/>
  <c r="F57" i="7"/>
  <c r="F65" i="7"/>
  <c r="F70" i="7"/>
  <c r="F75" i="7"/>
  <c r="F81" i="7"/>
  <c r="F85" i="7"/>
  <c r="F88" i="7"/>
  <c r="F91" i="7"/>
  <c r="F99" i="7"/>
  <c r="F109" i="7"/>
  <c r="F112" i="7"/>
  <c r="F116" i="7"/>
  <c r="F130" i="7"/>
  <c r="F135" i="7"/>
  <c r="F145" i="7"/>
  <c r="F147" i="7"/>
  <c r="F152" i="7"/>
  <c r="F153" i="7"/>
  <c r="F169" i="7"/>
  <c r="F178" i="7"/>
  <c r="F181" i="7"/>
  <c r="F184" i="7"/>
  <c r="F191" i="7"/>
  <c r="F209" i="7"/>
  <c r="F226" i="7"/>
  <c r="F227" i="7"/>
  <c r="F232" i="7"/>
  <c r="F233" i="7"/>
  <c r="F251" i="7"/>
  <c r="F7" i="7"/>
  <c r="F8" i="7"/>
  <c r="F13" i="7"/>
  <c r="F30" i="7"/>
  <c r="F33" i="7"/>
  <c r="F34" i="7"/>
  <c r="F35" i="7"/>
  <c r="F40" i="7"/>
  <c r="F42" i="7"/>
  <c r="F47" i="7"/>
  <c r="F53" i="7"/>
  <c r="F55" i="7"/>
  <c r="F63" i="7"/>
  <c r="F64" i="7"/>
  <c r="F73" i="7"/>
  <c r="F77" i="7"/>
  <c r="F78" i="7"/>
  <c r="F82" i="7"/>
  <c r="F87" i="7"/>
  <c r="F98" i="7"/>
  <c r="F100" i="7"/>
  <c r="F101" i="7"/>
  <c r="F104" i="7"/>
  <c r="F110" i="7"/>
  <c r="F122" i="7"/>
  <c r="F123" i="7"/>
  <c r="F127" i="7"/>
  <c r="F148" i="7"/>
  <c r="F149" i="7"/>
  <c r="F159" i="7"/>
  <c r="F161" i="7"/>
  <c r="F164" i="7"/>
  <c r="F173" i="7"/>
  <c r="F174" i="7"/>
  <c r="F175" i="7"/>
  <c r="F176" i="7"/>
  <c r="F179" i="7"/>
  <c r="F186" i="7"/>
  <c r="F188" i="7"/>
  <c r="F192" i="7"/>
  <c r="F199" i="7"/>
  <c r="F200" i="7"/>
  <c r="F204" i="7"/>
  <c r="F211" i="7"/>
  <c r="F220" i="7"/>
  <c r="F228" i="7"/>
  <c r="F236" i="7"/>
  <c r="F238" i="7"/>
  <c r="F240" i="7"/>
  <c r="F243" i="7"/>
  <c r="F4" i="7"/>
  <c r="F11" i="7"/>
  <c r="F12" i="7"/>
  <c r="F18" i="7"/>
  <c r="F22" i="7"/>
  <c r="F27" i="7"/>
  <c r="F32" i="7"/>
  <c r="F37" i="7"/>
  <c r="F41" i="7"/>
  <c r="F45" i="7"/>
  <c r="F46" i="7"/>
  <c r="F50" i="7"/>
  <c r="F68" i="7"/>
  <c r="F72" i="7"/>
  <c r="F74" i="7"/>
  <c r="F83" i="7"/>
  <c r="F86" i="7"/>
  <c r="F94" i="7"/>
  <c r="F96" i="7"/>
  <c r="F97" i="7"/>
  <c r="F108" i="7"/>
  <c r="F111" i="7"/>
  <c r="F113" i="7"/>
  <c r="F115" i="7"/>
  <c r="F117" i="7"/>
  <c r="F118" i="7"/>
  <c r="F125" i="7"/>
  <c r="F128" i="7"/>
  <c r="F132" i="7"/>
  <c r="F136" i="7"/>
  <c r="F138" i="7"/>
  <c r="F139" i="7"/>
  <c r="F140" i="7"/>
  <c r="F141" i="7"/>
  <c r="F146" i="7"/>
  <c r="F158" i="7"/>
  <c r="F165" i="7"/>
  <c r="F163" i="7"/>
  <c r="F171" i="7"/>
  <c r="F182" i="7"/>
  <c r="F185" i="7"/>
  <c r="F190" i="7"/>
  <c r="F195" i="7"/>
  <c r="F196" i="7"/>
  <c r="F197" i="7"/>
  <c r="F207" i="7"/>
  <c r="F198" i="7"/>
  <c r="F210" i="7"/>
  <c r="F216" i="7"/>
  <c r="F225" i="7"/>
  <c r="F230" i="7"/>
  <c r="F235" i="7"/>
  <c r="F237" i="7"/>
  <c r="F239" i="7"/>
  <c r="F245" i="7"/>
  <c r="F246" i="7"/>
  <c r="F252" i="7"/>
  <c r="F3" i="7"/>
  <c r="F14" i="7"/>
  <c r="F16" i="7"/>
  <c r="F19" i="7"/>
  <c r="F20" i="7"/>
  <c r="F38" i="7"/>
  <c r="F43" i="7"/>
  <c r="F44" i="7"/>
  <c r="F51" i="7"/>
  <c r="F54" i="7"/>
  <c r="F58" i="7"/>
  <c r="F61" i="7"/>
  <c r="F66" i="7"/>
  <c r="F67" i="7"/>
  <c r="F79" i="7"/>
  <c r="F93" i="7"/>
  <c r="F103" i="7"/>
  <c r="F106" i="7"/>
  <c r="F114" i="7"/>
  <c r="F120" i="7"/>
  <c r="F131" i="7"/>
  <c r="F134" i="7"/>
  <c r="F137" i="7"/>
  <c r="F150" i="7"/>
  <c r="F151" i="7"/>
  <c r="F154" i="7"/>
  <c r="F155" i="7"/>
  <c r="F167" i="7"/>
  <c r="F168" i="7"/>
  <c r="F172" i="7"/>
  <c r="F194" i="7"/>
  <c r="F202" i="7"/>
  <c r="F201" i="7"/>
  <c r="F208" i="7"/>
  <c r="F214" i="7"/>
  <c r="F222" i="7"/>
  <c r="F223" i="7"/>
  <c r="F229" i="7"/>
  <c r="F231" i="7"/>
  <c r="F234" i="7"/>
  <c r="F247" i="7"/>
  <c r="F249" i="7"/>
  <c r="F253" i="7"/>
  <c r="F254" i="7"/>
  <c r="F255" i="7"/>
  <c r="F256" i="7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G12" i="6" a="1"/>
  <c r="G8" i="6" a="1"/>
  <c r="G25" i="6" a="1"/>
  <c r="G18" i="6" a="1"/>
  <c r="G2" i="6" a="1"/>
  <c r="O61" i="7" l="1"/>
  <c r="O60" i="7"/>
  <c r="O63" i="7"/>
  <c r="O62" i="7"/>
  <c r="C61" i="7"/>
  <c r="C254" i="7"/>
  <c r="C43" i="7"/>
  <c r="C63" i="7"/>
  <c r="C249" i="7"/>
  <c r="C229" i="7"/>
  <c r="C208" i="7"/>
  <c r="C172" i="7"/>
  <c r="C154" i="7"/>
  <c r="C134" i="7"/>
  <c r="C106" i="7"/>
  <c r="C67" i="7"/>
  <c r="C51" i="7"/>
  <c r="C20" i="7"/>
  <c r="C3" i="7"/>
  <c r="C239" i="7"/>
  <c r="C225" i="7"/>
  <c r="C207" i="7"/>
  <c r="C190" i="7"/>
  <c r="C163" i="7"/>
  <c r="C141" i="7"/>
  <c r="C136" i="7"/>
  <c r="C118" i="7"/>
  <c r="C111" i="7"/>
  <c r="C94" i="7"/>
  <c r="C72" i="7"/>
  <c r="C45" i="7"/>
  <c r="C27" i="7"/>
  <c r="C11" i="7"/>
  <c r="C238" i="7"/>
  <c r="C211" i="7"/>
  <c r="C192" i="7"/>
  <c r="C176" i="7"/>
  <c r="C164" i="7"/>
  <c r="C148" i="7"/>
  <c r="C110" i="7"/>
  <c r="C98" i="7"/>
  <c r="C77" i="7"/>
  <c r="C53" i="7"/>
  <c r="C35" i="7"/>
  <c r="C13" i="7"/>
  <c r="C233" i="7"/>
  <c r="C209" i="7"/>
  <c r="C178" i="7"/>
  <c r="C147" i="7"/>
  <c r="C116" i="7"/>
  <c r="C91" i="7"/>
  <c r="C75" i="7"/>
  <c r="C56" i="7"/>
  <c r="C24" i="7"/>
  <c r="C10" i="7"/>
  <c r="C248" i="7"/>
  <c r="C224" i="7"/>
  <c r="C217" i="7"/>
  <c r="C206" i="7"/>
  <c r="C189" i="7"/>
  <c r="C177" i="7"/>
  <c r="C160" i="7"/>
  <c r="C143" i="7"/>
  <c r="C126" i="7"/>
  <c r="C107" i="7"/>
  <c r="C92" i="7"/>
  <c r="C80" i="7"/>
  <c r="C59" i="7"/>
  <c r="C36" i="7"/>
  <c r="C15" i="7"/>
  <c r="C202" i="7"/>
  <c r="C120" i="7"/>
  <c r="C16" i="7"/>
  <c r="C210" i="7"/>
  <c r="C158" i="7"/>
  <c r="C115" i="7"/>
  <c r="C18" i="7"/>
  <c r="C256" i="7"/>
  <c r="C255" i="7"/>
  <c r="C247" i="7"/>
  <c r="C223" i="7"/>
  <c r="C201" i="7"/>
  <c r="C168" i="7"/>
  <c r="C151" i="7"/>
  <c r="C131" i="7"/>
  <c r="C103" i="7"/>
  <c r="C66" i="7"/>
  <c r="C44" i="7"/>
  <c r="C19" i="7"/>
  <c r="C252" i="7"/>
  <c r="C237" i="7"/>
  <c r="C216" i="7"/>
  <c r="C197" i="7"/>
  <c r="C185" i="7"/>
  <c r="C165" i="7"/>
  <c r="C140" i="7"/>
  <c r="C132" i="7"/>
  <c r="C117" i="7"/>
  <c r="C108" i="7"/>
  <c r="C86" i="7"/>
  <c r="C68" i="7"/>
  <c r="C41" i="7"/>
  <c r="C22" i="7"/>
  <c r="C4" i="7"/>
  <c r="C236" i="7"/>
  <c r="C204" i="7"/>
  <c r="C188" i="7"/>
  <c r="C175" i="7"/>
  <c r="C161" i="7"/>
  <c r="C127" i="7"/>
  <c r="C104" i="7"/>
  <c r="C87" i="7"/>
  <c r="C73" i="7"/>
  <c r="C47" i="7"/>
  <c r="C34" i="7"/>
  <c r="C8" i="7"/>
  <c r="C232" i="7"/>
  <c r="C191" i="7"/>
  <c r="C169" i="7"/>
  <c r="C145" i="7"/>
  <c r="C112" i="7"/>
  <c r="C88" i="7"/>
  <c r="C70" i="7"/>
  <c r="C52" i="7"/>
  <c r="C23" i="7"/>
  <c r="C9" i="7"/>
  <c r="C244" i="7"/>
  <c r="C221" i="7"/>
  <c r="C215" i="7"/>
  <c r="C205" i="7"/>
  <c r="C187" i="7"/>
  <c r="C170" i="7"/>
  <c r="C157" i="7"/>
  <c r="C142" i="7"/>
  <c r="C124" i="7"/>
  <c r="C105" i="7"/>
  <c r="C90" i="7"/>
  <c r="C76" i="7"/>
  <c r="C49" i="7"/>
  <c r="C29" i="7"/>
  <c r="C5" i="7"/>
  <c r="C234" i="7"/>
  <c r="C167" i="7"/>
  <c r="C58" i="7"/>
  <c r="C235" i="7"/>
  <c r="C182" i="7"/>
  <c r="C128" i="7"/>
  <c r="C83" i="7"/>
  <c r="C37" i="7"/>
  <c r="C228" i="7"/>
  <c r="C186" i="7"/>
  <c r="C174" i="7"/>
  <c r="C159" i="7"/>
  <c r="C101" i="7"/>
  <c r="C82" i="7"/>
  <c r="C64" i="7"/>
  <c r="C42" i="7"/>
  <c r="C33" i="7"/>
  <c r="C7" i="7"/>
  <c r="C227" i="7"/>
  <c r="C184" i="7"/>
  <c r="C153" i="7"/>
  <c r="C135" i="7"/>
  <c r="C109" i="7"/>
  <c r="C85" i="7"/>
  <c r="C65" i="7"/>
  <c r="C31" i="7"/>
  <c r="C21" i="7"/>
  <c r="C2" i="7"/>
  <c r="C242" i="7"/>
  <c r="C219" i="7"/>
  <c r="C213" i="7"/>
  <c r="C203" i="7"/>
  <c r="C183" i="7"/>
  <c r="C166" i="7"/>
  <c r="C156" i="7"/>
  <c r="C133" i="7"/>
  <c r="C121" i="7"/>
  <c r="C102" i="7"/>
  <c r="C89" i="7"/>
  <c r="C71" i="7"/>
  <c r="C48" i="7"/>
  <c r="C28" i="7"/>
  <c r="C6" i="7"/>
  <c r="C62" i="7"/>
  <c r="C222" i="7"/>
  <c r="C150" i="7"/>
  <c r="C93" i="7"/>
  <c r="C246" i="7"/>
  <c r="C196" i="7"/>
  <c r="C139" i="7"/>
  <c r="C97" i="7"/>
  <c r="C50" i="7"/>
  <c r="C243" i="7"/>
  <c r="C200" i="7"/>
  <c r="C123" i="7"/>
  <c r="C60" i="7"/>
  <c r="C253" i="7"/>
  <c r="C231" i="7"/>
  <c r="C214" i="7"/>
  <c r="C194" i="7"/>
  <c r="C155" i="7"/>
  <c r="C137" i="7"/>
  <c r="C114" i="7"/>
  <c r="C79" i="7"/>
  <c r="C54" i="7"/>
  <c r="C38" i="7"/>
  <c r="C14" i="7"/>
  <c r="C245" i="7"/>
  <c r="C230" i="7"/>
  <c r="C198" i="7"/>
  <c r="C195" i="7"/>
  <c r="C171" i="7"/>
  <c r="C146" i="7"/>
  <c r="C138" i="7"/>
  <c r="C125" i="7"/>
  <c r="C113" i="7"/>
  <c r="C96" i="7"/>
  <c r="C74" i="7"/>
  <c r="C46" i="7"/>
  <c r="C32" i="7"/>
  <c r="C12" i="7"/>
  <c r="C240" i="7"/>
  <c r="C220" i="7"/>
  <c r="C199" i="7"/>
  <c r="C179" i="7"/>
  <c r="C173" i="7"/>
  <c r="C149" i="7"/>
  <c r="C122" i="7"/>
  <c r="C100" i="7"/>
  <c r="C78" i="7"/>
  <c r="C55" i="7"/>
  <c r="C40" i="7"/>
  <c r="C30" i="7"/>
  <c r="C251" i="7"/>
  <c r="C226" i="7"/>
  <c r="C181" i="7"/>
  <c r="C152" i="7"/>
  <c r="C130" i="7"/>
  <c r="C99" i="7"/>
  <c r="C81" i="7"/>
  <c r="C57" i="7"/>
  <c r="C25" i="7"/>
  <c r="C17" i="7"/>
  <c r="C250" i="7"/>
  <c r="C241" i="7"/>
  <c r="C218" i="7"/>
  <c r="C212" i="7"/>
  <c r="C193" i="7"/>
  <c r="C180" i="7"/>
  <c r="C162" i="7"/>
  <c r="C144" i="7"/>
  <c r="C129" i="7"/>
  <c r="C119" i="7"/>
  <c r="C95" i="7"/>
  <c r="C84" i="7"/>
  <c r="C69" i="7"/>
  <c r="C39" i="7"/>
  <c r="C26" i="7"/>
  <c r="G25" i="6"/>
  <c r="G18" i="6"/>
  <c r="G12" i="6"/>
  <c r="G8" i="6"/>
  <c r="G2" i="6"/>
  <c r="G3" i="6" a="1"/>
  <c r="G9" i="6" a="1"/>
  <c r="G13" i="6" a="1"/>
  <c r="G26" i="6" a="1"/>
  <c r="G19" i="6" a="1"/>
  <c r="P167" i="7" l="1"/>
  <c r="P61" i="7"/>
  <c r="P69" i="7"/>
  <c r="P129" i="7"/>
  <c r="P193" i="7"/>
  <c r="P250" i="7"/>
  <c r="P81" i="7"/>
  <c r="P181" i="7"/>
  <c r="P40" i="7"/>
  <c r="P110" i="7"/>
  <c r="P192" i="7"/>
  <c r="P27" i="7"/>
  <c r="P111" i="7"/>
  <c r="P163" i="7"/>
  <c r="P239" i="7"/>
  <c r="P66" i="7"/>
  <c r="P168" i="7"/>
  <c r="P255" i="7"/>
  <c r="P177" i="7"/>
  <c r="P147" i="7"/>
  <c r="P188" i="7"/>
  <c r="P165" i="7"/>
  <c r="P202" i="7"/>
  <c r="P59" i="7"/>
  <c r="P121" i="7"/>
  <c r="P183" i="7"/>
  <c r="P242" i="7"/>
  <c r="P65" i="7"/>
  <c r="P153" i="7"/>
  <c r="P33" i="7"/>
  <c r="P122" i="7"/>
  <c r="P199" i="7"/>
  <c r="P32" i="7"/>
  <c r="P113" i="7"/>
  <c r="P171" i="7"/>
  <c r="P245" i="7"/>
  <c r="P67" i="7"/>
  <c r="P172" i="7"/>
  <c r="P256" i="7"/>
  <c r="P189" i="7"/>
  <c r="P209" i="7"/>
  <c r="P204" i="7"/>
  <c r="P185" i="7"/>
  <c r="P222" i="7"/>
  <c r="P90" i="7"/>
  <c r="P157" i="7"/>
  <c r="P215" i="7"/>
  <c r="P23" i="7"/>
  <c r="P112" i="7"/>
  <c r="P232" i="7"/>
  <c r="P64" i="7"/>
  <c r="P159" i="7"/>
  <c r="P228" i="7"/>
  <c r="P50" i="7"/>
  <c r="P128" i="7"/>
  <c r="P196" i="7"/>
  <c r="P16" i="7"/>
  <c r="P114" i="7"/>
  <c r="P214" i="7"/>
  <c r="P107" i="7"/>
  <c r="P24" i="7"/>
  <c r="P73" i="7"/>
  <c r="P68" i="7"/>
  <c r="P252" i="7"/>
  <c r="P62" i="7"/>
  <c r="P5" i="7"/>
  <c r="P84" i="7"/>
  <c r="P144" i="7"/>
  <c r="P212" i="7"/>
  <c r="P17" i="7"/>
  <c r="P99" i="7"/>
  <c r="P226" i="7"/>
  <c r="P55" i="7"/>
  <c r="P148" i="7"/>
  <c r="P211" i="7"/>
  <c r="P45" i="7"/>
  <c r="P118" i="7"/>
  <c r="P190" i="7"/>
  <c r="P3" i="7"/>
  <c r="P103" i="7"/>
  <c r="P201" i="7"/>
  <c r="P48" i="7"/>
  <c r="P217" i="7"/>
  <c r="P233" i="7"/>
  <c r="P236" i="7"/>
  <c r="P216" i="7"/>
  <c r="P254" i="7"/>
  <c r="P71" i="7"/>
  <c r="P133" i="7"/>
  <c r="P203" i="7"/>
  <c r="P2" i="7"/>
  <c r="P85" i="7"/>
  <c r="P184" i="7"/>
  <c r="P42" i="7"/>
  <c r="P149" i="7"/>
  <c r="P220" i="7"/>
  <c r="P46" i="7"/>
  <c r="P125" i="7"/>
  <c r="P195" i="7"/>
  <c r="P14" i="7"/>
  <c r="P106" i="7"/>
  <c r="P208" i="7"/>
  <c r="P28" i="7"/>
  <c r="P248" i="7"/>
  <c r="P35" i="7"/>
  <c r="P22" i="7"/>
  <c r="P237" i="7"/>
  <c r="P26" i="7"/>
  <c r="P105" i="7"/>
  <c r="P170" i="7"/>
  <c r="P221" i="7"/>
  <c r="P52" i="7"/>
  <c r="P145" i="7"/>
  <c r="P8" i="7"/>
  <c r="P82" i="7"/>
  <c r="P174" i="7"/>
  <c r="P243" i="7"/>
  <c r="P83" i="7"/>
  <c r="P139" i="7"/>
  <c r="P210" i="7"/>
  <c r="P43" i="7"/>
  <c r="P137" i="7"/>
  <c r="P231" i="7"/>
  <c r="P160" i="7"/>
  <c r="P91" i="7"/>
  <c r="P127" i="7"/>
  <c r="P108" i="7"/>
  <c r="P93" i="7"/>
  <c r="P63" i="7"/>
  <c r="P29" i="7"/>
  <c r="P95" i="7"/>
  <c r="P162" i="7"/>
  <c r="P218" i="7"/>
  <c r="P25" i="7"/>
  <c r="P130" i="7"/>
  <c r="P251" i="7"/>
  <c r="P77" i="7"/>
  <c r="P164" i="7"/>
  <c r="P238" i="7"/>
  <c r="P72" i="7"/>
  <c r="P136" i="7"/>
  <c r="P207" i="7"/>
  <c r="P20" i="7"/>
  <c r="P131" i="7"/>
  <c r="P223" i="7"/>
  <c r="P92" i="7"/>
  <c r="P10" i="7"/>
  <c r="P53" i="7"/>
  <c r="P41" i="7"/>
  <c r="P19" i="7"/>
  <c r="P15" i="7"/>
  <c r="P89" i="7"/>
  <c r="P156" i="7"/>
  <c r="P213" i="7"/>
  <c r="P21" i="7"/>
  <c r="P109" i="7"/>
  <c r="P227" i="7"/>
  <c r="P78" i="7"/>
  <c r="P173" i="7"/>
  <c r="P240" i="7"/>
  <c r="P74" i="7"/>
  <c r="P138" i="7"/>
  <c r="P198" i="7"/>
  <c r="P38" i="7"/>
  <c r="P134" i="7"/>
  <c r="P229" i="7"/>
  <c r="P80" i="7"/>
  <c r="P56" i="7"/>
  <c r="P87" i="7"/>
  <c r="P86" i="7"/>
  <c r="P44" i="7"/>
  <c r="P39" i="7"/>
  <c r="P124" i="7"/>
  <c r="P187" i="7"/>
  <c r="P244" i="7"/>
  <c r="P70" i="7"/>
  <c r="P169" i="7"/>
  <c r="P34" i="7"/>
  <c r="P101" i="7"/>
  <c r="P186" i="7"/>
  <c r="P18" i="7"/>
  <c r="P97" i="7"/>
  <c r="P158" i="7"/>
  <c r="P235" i="7"/>
  <c r="P58" i="7"/>
  <c r="P155" i="7"/>
  <c r="P253" i="7"/>
  <c r="P206" i="7"/>
  <c r="P178" i="7"/>
  <c r="P175" i="7"/>
  <c r="P140" i="7"/>
  <c r="P60" i="7"/>
  <c r="P49" i="7"/>
  <c r="P119" i="7"/>
  <c r="P180" i="7"/>
  <c r="P241" i="7"/>
  <c r="P57" i="7"/>
  <c r="P152" i="7"/>
  <c r="P30" i="7"/>
  <c r="P98" i="7"/>
  <c r="P176" i="7"/>
  <c r="P11" i="7"/>
  <c r="P94" i="7"/>
  <c r="P141" i="7"/>
  <c r="P225" i="7"/>
  <c r="P51" i="7"/>
  <c r="P151" i="7"/>
  <c r="P247" i="7"/>
  <c r="P143" i="7"/>
  <c r="P75" i="7"/>
  <c r="P104" i="7"/>
  <c r="P117" i="7"/>
  <c r="P120" i="7"/>
  <c r="P36" i="7"/>
  <c r="P102" i="7"/>
  <c r="P166" i="7"/>
  <c r="P219" i="7"/>
  <c r="P31" i="7"/>
  <c r="P135" i="7"/>
  <c r="P7" i="7"/>
  <c r="P100" i="7"/>
  <c r="P179" i="7"/>
  <c r="P12" i="7"/>
  <c r="P96" i="7"/>
  <c r="P146" i="7"/>
  <c r="P230" i="7"/>
  <c r="P54" i="7"/>
  <c r="P154" i="7"/>
  <c r="P249" i="7"/>
  <c r="P126" i="7"/>
  <c r="P116" i="7"/>
  <c r="P161" i="7"/>
  <c r="P132" i="7"/>
  <c r="P150" i="7"/>
  <c r="P76" i="7"/>
  <c r="P142" i="7"/>
  <c r="P205" i="7"/>
  <c r="P9" i="7"/>
  <c r="P88" i="7"/>
  <c r="P191" i="7"/>
  <c r="P47" i="7"/>
  <c r="P123" i="7"/>
  <c r="P200" i="7"/>
  <c r="P37" i="7"/>
  <c r="P115" i="7"/>
  <c r="P182" i="7"/>
  <c r="P246" i="7"/>
  <c r="P79" i="7"/>
  <c r="P194" i="7"/>
  <c r="P6" i="7"/>
  <c r="P224" i="7"/>
  <c r="P13" i="7"/>
  <c r="P4" i="7"/>
  <c r="P197" i="7"/>
  <c r="P234" i="7"/>
  <c r="G19" i="6"/>
  <c r="G3" i="6"/>
  <c r="G9" i="6"/>
  <c r="G13" i="6"/>
  <c r="G26" i="6"/>
  <c r="G27" i="6" a="1"/>
  <c r="G4" i="6" a="1"/>
  <c r="G20" i="6" a="1"/>
  <c r="G14" i="6" a="1"/>
  <c r="G10" i="6" a="1"/>
  <c r="G10" i="5" l="1"/>
  <c r="G14" i="5"/>
  <c r="G18" i="5"/>
  <c r="G34" i="5"/>
  <c r="G46" i="5"/>
  <c r="G17" i="5"/>
  <c r="G25" i="5"/>
  <c r="G42" i="5"/>
  <c r="G13" i="5"/>
  <c r="G21" i="5"/>
  <c r="G29" i="5"/>
  <c r="G19" i="5"/>
  <c r="G11" i="5"/>
  <c r="G12" i="5"/>
  <c r="G20" i="5"/>
  <c r="G4" i="5"/>
  <c r="G16" i="5"/>
  <c r="G31" i="5"/>
  <c r="G28" i="5"/>
  <c r="G23" i="5"/>
  <c r="G21" i="4"/>
  <c r="G47" i="4"/>
  <c r="G35" i="4"/>
  <c r="G34" i="4"/>
  <c r="G31" i="4"/>
  <c r="G20" i="4"/>
  <c r="G23" i="4"/>
  <c r="G6" i="4"/>
  <c r="G16" i="4"/>
  <c r="G37" i="3"/>
  <c r="G17" i="3"/>
  <c r="G46" i="3"/>
  <c r="G18" i="3"/>
  <c r="G7" i="3"/>
  <c r="G13" i="2"/>
  <c r="G21" i="2"/>
  <c r="G5" i="2"/>
  <c r="G6" i="2"/>
  <c r="G8" i="2"/>
  <c r="G36" i="2"/>
  <c r="G28" i="2"/>
  <c r="G7" i="2"/>
  <c r="G30" i="2"/>
  <c r="G2" i="2"/>
  <c r="G31" i="2"/>
  <c r="G8" i="1"/>
  <c r="G48" i="1"/>
  <c r="G53" i="1"/>
  <c r="G27" i="1"/>
  <c r="G55" i="1"/>
  <c r="G19" i="1"/>
  <c r="G23" i="1"/>
  <c r="G14" i="6"/>
  <c r="G10" i="6"/>
  <c r="G4" i="6"/>
  <c r="G27" i="6"/>
  <c r="G20" i="6"/>
  <c r="G28" i="6" a="1"/>
  <c r="G11" i="6" a="1"/>
  <c r="G21" i="6" a="1"/>
  <c r="G5" i="6" a="1"/>
  <c r="G15" i="6" a="1"/>
  <c r="G33" i="5" l="1"/>
  <c r="G37" i="5"/>
  <c r="G45" i="5"/>
  <c r="G5" i="5"/>
  <c r="G44" i="5"/>
  <c r="G43" i="5"/>
  <c r="G40" i="5"/>
  <c r="G8" i="5"/>
  <c r="G39" i="5"/>
  <c r="G3" i="5"/>
  <c r="G32" i="5"/>
  <c r="G36" i="5"/>
  <c r="G27" i="5"/>
  <c r="G5" i="4"/>
  <c r="G17" i="4"/>
  <c r="G29" i="4"/>
  <c r="G37" i="4"/>
  <c r="G22" i="4"/>
  <c r="G11" i="4"/>
  <c r="G4" i="4"/>
  <c r="G13" i="3"/>
  <c r="G33" i="3"/>
  <c r="G21" i="3"/>
  <c r="G14" i="3"/>
  <c r="G31" i="3"/>
  <c r="G10" i="3"/>
  <c r="G28" i="3"/>
  <c r="G3" i="3"/>
  <c r="G23" i="3"/>
  <c r="G22" i="3"/>
  <c r="G35" i="3"/>
  <c r="G15" i="3"/>
  <c r="G2" i="3"/>
  <c r="G36" i="3"/>
  <c r="G4" i="3"/>
  <c r="G25" i="2"/>
  <c r="G37" i="2"/>
  <c r="G41" i="2"/>
  <c r="G40" i="2"/>
  <c r="G35" i="2"/>
  <c r="G16" i="2"/>
  <c r="G22" i="2"/>
  <c r="G26" i="2"/>
  <c r="G14" i="2"/>
  <c r="G23" i="2"/>
  <c r="G19" i="2"/>
  <c r="G39" i="2"/>
  <c r="G20" i="2"/>
  <c r="G15" i="2"/>
  <c r="G4" i="2"/>
  <c r="G40" i="1"/>
  <c r="G60" i="1"/>
  <c r="G5" i="1"/>
  <c r="G9" i="1"/>
  <c r="G13" i="1"/>
  <c r="G58" i="1"/>
  <c r="G26" i="1"/>
  <c r="G10" i="1"/>
  <c r="G7" i="1"/>
  <c r="G15" i="1"/>
  <c r="G47" i="1"/>
  <c r="G39" i="1"/>
  <c r="G38" i="1"/>
  <c r="G5" i="6"/>
  <c r="G11" i="6"/>
  <c r="G28" i="6"/>
  <c r="G21" i="6"/>
  <c r="G15" i="6"/>
  <c r="G16" i="6" a="1"/>
  <c r="G29" i="6" a="1"/>
  <c r="G6" i="6" a="1"/>
  <c r="G22" i="6" a="1"/>
  <c r="G2" i="5" l="1"/>
  <c r="G6" i="5"/>
  <c r="G22" i="5"/>
  <c r="G26" i="5"/>
  <c r="G30" i="5"/>
  <c r="G9" i="5"/>
  <c r="G41" i="5"/>
  <c r="G38" i="5"/>
  <c r="G24" i="5"/>
  <c r="G47" i="5"/>
  <c r="G7" i="5"/>
  <c r="G35" i="5"/>
  <c r="G15" i="5"/>
  <c r="G10" i="4"/>
  <c r="G28" i="4"/>
  <c r="G32" i="4"/>
  <c r="G7" i="4"/>
  <c r="G2" i="4"/>
  <c r="G27" i="4"/>
  <c r="G8" i="4"/>
  <c r="G26" i="4"/>
  <c r="G46" i="4"/>
  <c r="G14" i="4"/>
  <c r="G25" i="3"/>
  <c r="G49" i="3"/>
  <c r="G5" i="3"/>
  <c r="G30" i="3"/>
  <c r="G32" i="3"/>
  <c r="G42" i="3"/>
  <c r="G47" i="3"/>
  <c r="G44" i="3"/>
  <c r="G6" i="3"/>
  <c r="G24" i="3"/>
  <c r="G34" i="3"/>
  <c r="G29" i="2"/>
  <c r="G9" i="2"/>
  <c r="G17" i="2"/>
  <c r="G33" i="2"/>
  <c r="G11" i="2"/>
  <c r="G24" i="2"/>
  <c r="G34" i="2"/>
  <c r="G27" i="2"/>
  <c r="G10" i="2"/>
  <c r="G3" i="2"/>
  <c r="G18" i="2"/>
  <c r="G12" i="2"/>
  <c r="G32" i="2"/>
  <c r="G38" i="2"/>
  <c r="G28" i="1"/>
  <c r="G17" i="1"/>
  <c r="G49" i="1"/>
  <c r="G4" i="1"/>
  <c r="G31" i="1"/>
  <c r="G46" i="1"/>
  <c r="G2" i="1"/>
  <c r="G6" i="1"/>
  <c r="G54" i="1"/>
  <c r="G22" i="1"/>
  <c r="G11" i="1"/>
  <c r="G14" i="1"/>
  <c r="G22" i="6"/>
  <c r="G29" i="6"/>
  <c r="G16" i="6"/>
  <c r="G6" i="6"/>
  <c r="G23" i="6" a="1"/>
  <c r="G17" i="6" a="1"/>
  <c r="G7" i="6" a="1"/>
  <c r="G9" i="4" l="1"/>
  <c r="G41" i="4"/>
  <c r="G53" i="4"/>
  <c r="G13" i="4"/>
  <c r="G45" i="4"/>
  <c r="G12" i="4"/>
  <c r="G38" i="4"/>
  <c r="G54" i="4"/>
  <c r="G56" i="4"/>
  <c r="G24" i="4"/>
  <c r="G50" i="4"/>
  <c r="G58" i="4"/>
  <c r="G19" i="4"/>
  <c r="G52" i="4"/>
  <c r="G36" i="4"/>
  <c r="G45" i="3"/>
  <c r="G9" i="3"/>
  <c r="G41" i="3"/>
  <c r="G43" i="3"/>
  <c r="G51" i="3"/>
  <c r="G48" i="3"/>
  <c r="G26" i="3"/>
  <c r="G38" i="3"/>
  <c r="G40" i="3"/>
  <c r="G50" i="3"/>
  <c r="G16" i="3"/>
  <c r="G20" i="1"/>
  <c r="G24" i="1"/>
  <c r="G52" i="1"/>
  <c r="G56" i="1"/>
  <c r="G21" i="1"/>
  <c r="G29" i="1"/>
  <c r="G37" i="1"/>
  <c r="G41" i="1"/>
  <c r="G45" i="1"/>
  <c r="G57" i="1"/>
  <c r="G62" i="1"/>
  <c r="G30" i="1"/>
  <c r="G35" i="1"/>
  <c r="G50" i="1"/>
  <c r="G18" i="1"/>
  <c r="G51" i="1"/>
  <c r="G43" i="1"/>
  <c r="G3" i="1"/>
  <c r="G34" i="1"/>
  <c r="G17" i="6"/>
  <c r="G7" i="6"/>
  <c r="G23" i="6"/>
  <c r="G24" i="6" a="1"/>
  <c r="G33" i="4" l="1"/>
  <c r="G57" i="4"/>
  <c r="G49" i="4"/>
  <c r="G15" i="4"/>
  <c r="G3" i="4"/>
  <c r="G44" i="4"/>
  <c r="G40" i="4"/>
  <c r="G48" i="4"/>
  <c r="G29" i="3"/>
  <c r="G39" i="3"/>
  <c r="G12" i="3"/>
  <c r="G27" i="3"/>
  <c r="G20" i="3"/>
  <c r="G11" i="3"/>
  <c r="G19" i="3"/>
  <c r="G8" i="3"/>
  <c r="G12" i="1"/>
  <c r="G16" i="1"/>
  <c r="G32" i="1"/>
  <c r="G36" i="1"/>
  <c r="G44" i="1"/>
  <c r="G25" i="1"/>
  <c r="G33" i="1"/>
  <c r="G61" i="1"/>
  <c r="G59" i="1"/>
  <c r="G63" i="1"/>
  <c r="G42" i="1"/>
  <c r="G24" i="6"/>
  <c r="G25" i="4" l="1"/>
  <c r="G42" i="4"/>
  <c r="G30" i="4"/>
  <c r="G51" i="4"/>
  <c r="G18" i="4"/>
  <c r="G39" i="4"/>
  <c r="G55" i="4"/>
  <c r="G43" i="4"/>
  <c r="K208" i="7" l="1"/>
  <c r="J54" i="7"/>
  <c r="K113" i="7"/>
  <c r="K122" i="7"/>
  <c r="K85" i="7"/>
  <c r="K133" i="7"/>
  <c r="J255" i="7"/>
  <c r="J168" i="7"/>
  <c r="J66" i="7"/>
  <c r="J239" i="7"/>
  <c r="J163" i="7"/>
  <c r="J111" i="7"/>
  <c r="J27" i="7"/>
  <c r="J192" i="7"/>
  <c r="J110" i="7"/>
  <c r="J40" i="7"/>
  <c r="J181" i="7"/>
  <c r="J81" i="7"/>
  <c r="J250" i="7"/>
  <c r="J193" i="7"/>
  <c r="J129" i="7"/>
  <c r="J69" i="7"/>
  <c r="J229" i="7"/>
  <c r="K171" i="7"/>
  <c r="K220" i="7"/>
  <c r="K184" i="7"/>
  <c r="K203" i="7"/>
  <c r="J254" i="7"/>
  <c r="J167" i="7"/>
  <c r="J61" i="7"/>
  <c r="J237" i="7"/>
  <c r="J165" i="7"/>
  <c r="J108" i="7"/>
  <c r="J22" i="7"/>
  <c r="J188" i="7"/>
  <c r="J104" i="7"/>
  <c r="J35" i="7"/>
  <c r="J178" i="7"/>
  <c r="J75" i="7"/>
  <c r="J248" i="7"/>
  <c r="J189" i="7"/>
  <c r="J126" i="7"/>
  <c r="J62" i="7"/>
  <c r="K172" i="7"/>
  <c r="K195" i="7"/>
  <c r="K199" i="7"/>
  <c r="K227" i="7"/>
  <c r="K213" i="7"/>
  <c r="J253" i="7"/>
  <c r="J155" i="7"/>
  <c r="J58" i="7"/>
  <c r="J235" i="7"/>
  <c r="J158" i="7"/>
  <c r="J97" i="7"/>
  <c r="J18" i="7"/>
  <c r="J186" i="7"/>
  <c r="J101" i="7"/>
  <c r="J34" i="7"/>
  <c r="J169" i="7"/>
  <c r="J70" i="7"/>
  <c r="J244" i="7"/>
  <c r="J187" i="7"/>
  <c r="J124" i="7"/>
  <c r="J60" i="7"/>
  <c r="K76" i="7"/>
  <c r="K194" i="7"/>
  <c r="K115" i="7"/>
  <c r="K47" i="7"/>
  <c r="K205" i="7"/>
  <c r="J63" i="7"/>
  <c r="K58" i="7"/>
  <c r="K18" i="7"/>
  <c r="K169" i="7"/>
  <c r="K124" i="7"/>
  <c r="J227" i="7"/>
  <c r="K43" i="7"/>
  <c r="K243" i="7"/>
  <c r="K145" i="7"/>
  <c r="K105" i="7"/>
  <c r="J109" i="7"/>
  <c r="K16" i="7"/>
  <c r="K228" i="7"/>
  <c r="K112" i="7"/>
  <c r="K90" i="7"/>
  <c r="J67" i="7"/>
  <c r="K256" i="7"/>
  <c r="J230" i="7"/>
  <c r="K46" i="7"/>
  <c r="K63" i="7"/>
  <c r="K21" i="7"/>
  <c r="J102" i="7"/>
  <c r="J247" i="7"/>
  <c r="J151" i="7"/>
  <c r="J51" i="7"/>
  <c r="J225" i="7"/>
  <c r="J141" i="7"/>
  <c r="J94" i="7"/>
  <c r="J11" i="7"/>
  <c r="J176" i="7"/>
  <c r="J98" i="7"/>
  <c r="J30" i="7"/>
  <c r="J152" i="7"/>
  <c r="J57" i="7"/>
  <c r="J241" i="7"/>
  <c r="J180" i="7"/>
  <c r="J119" i="7"/>
  <c r="J49" i="7"/>
  <c r="J134" i="7"/>
  <c r="J138" i="7"/>
  <c r="J173" i="7"/>
  <c r="K109" i="7"/>
  <c r="K156" i="7"/>
  <c r="J234" i="7"/>
  <c r="J150" i="7"/>
  <c r="J44" i="7"/>
  <c r="J216" i="7"/>
  <c r="J140" i="7"/>
  <c r="J86" i="7"/>
  <c r="J4" i="7"/>
  <c r="J175" i="7"/>
  <c r="J87" i="7"/>
  <c r="J13" i="7"/>
  <c r="J147" i="7"/>
  <c r="J56" i="7"/>
  <c r="J224" i="7"/>
  <c r="J177" i="7"/>
  <c r="J107" i="7"/>
  <c r="J48" i="7"/>
  <c r="K106" i="7"/>
  <c r="K125" i="7"/>
  <c r="K149" i="7"/>
  <c r="J135" i="7"/>
  <c r="J166" i="7"/>
  <c r="J231" i="7"/>
  <c r="J137" i="7"/>
  <c r="J43" i="7"/>
  <c r="J210" i="7"/>
  <c r="J139" i="7"/>
  <c r="J83" i="7"/>
  <c r="J243" i="7"/>
  <c r="J174" i="7"/>
  <c r="J82" i="7"/>
  <c r="J8" i="7"/>
  <c r="J145" i="7"/>
  <c r="J52" i="7"/>
  <c r="J221" i="7"/>
  <c r="J170" i="7"/>
  <c r="J105" i="7"/>
  <c r="J39" i="7"/>
  <c r="J195" i="7"/>
  <c r="K79" i="7"/>
  <c r="K37" i="7"/>
  <c r="K191" i="7"/>
  <c r="K142" i="7"/>
  <c r="J213" i="7"/>
  <c r="K235" i="7"/>
  <c r="K186" i="7"/>
  <c r="K70" i="7"/>
  <c r="K60" i="7"/>
  <c r="J156" i="7"/>
  <c r="K210" i="7"/>
  <c r="K174" i="7"/>
  <c r="K52" i="7"/>
  <c r="K39" i="7"/>
  <c r="J249" i="7"/>
  <c r="J198" i="7"/>
  <c r="J240" i="7"/>
  <c r="J7" i="7"/>
  <c r="J219" i="7"/>
  <c r="K71" i="7"/>
  <c r="J223" i="7"/>
  <c r="J131" i="7"/>
  <c r="J20" i="7"/>
  <c r="J207" i="7"/>
  <c r="J136" i="7"/>
  <c r="J72" i="7"/>
  <c r="J238" i="7"/>
  <c r="J164" i="7"/>
  <c r="J77" i="7"/>
  <c r="J251" i="7"/>
  <c r="J130" i="7"/>
  <c r="J25" i="7"/>
  <c r="J218" i="7"/>
  <c r="J162" i="7"/>
  <c r="J95" i="7"/>
  <c r="J29" i="7"/>
  <c r="K67" i="7"/>
  <c r="J96" i="7"/>
  <c r="J78" i="7"/>
  <c r="J31" i="7"/>
  <c r="K89" i="7"/>
  <c r="J222" i="7"/>
  <c r="J120" i="7"/>
  <c r="J19" i="7"/>
  <c r="J197" i="7"/>
  <c r="J132" i="7"/>
  <c r="J68" i="7"/>
  <c r="J236" i="7"/>
  <c r="J161" i="7"/>
  <c r="J73" i="7"/>
  <c r="J233" i="7"/>
  <c r="J116" i="7"/>
  <c r="J24" i="7"/>
  <c r="J217" i="7"/>
  <c r="J160" i="7"/>
  <c r="J92" i="7"/>
  <c r="J28" i="7"/>
  <c r="J38" i="7"/>
  <c r="J74" i="7"/>
  <c r="J100" i="7"/>
  <c r="J65" i="7"/>
  <c r="J121" i="7"/>
  <c r="J214" i="7"/>
  <c r="J114" i="7"/>
  <c r="J16" i="7"/>
  <c r="J196" i="7"/>
  <c r="J128" i="7"/>
  <c r="J50" i="7"/>
  <c r="J228" i="7"/>
  <c r="J159" i="7"/>
  <c r="J64" i="7"/>
  <c r="J232" i="7"/>
  <c r="J112" i="7"/>
  <c r="J23" i="7"/>
  <c r="J215" i="7"/>
  <c r="J157" i="7"/>
  <c r="J90" i="7"/>
  <c r="J26" i="7"/>
  <c r="J149" i="7"/>
  <c r="K246" i="7"/>
  <c r="K200" i="7"/>
  <c r="K88" i="7"/>
  <c r="J208" i="7"/>
  <c r="K253" i="7"/>
  <c r="K158" i="7"/>
  <c r="K101" i="7"/>
  <c r="K244" i="7"/>
  <c r="J106" i="7"/>
  <c r="K231" i="7"/>
  <c r="K139" i="7"/>
  <c r="K82" i="7"/>
  <c r="K221" i="7"/>
  <c r="J14" i="7"/>
  <c r="K214" i="7"/>
  <c r="K128" i="7"/>
  <c r="K64" i="7"/>
  <c r="K215" i="7"/>
  <c r="J256" i="7"/>
  <c r="J171" i="7"/>
  <c r="J122" i="7"/>
  <c r="J2" i="7"/>
  <c r="K249" i="7"/>
  <c r="J154" i="7"/>
  <c r="J183" i="7"/>
  <c r="J3" i="7"/>
  <c r="J211" i="7"/>
  <c r="J99" i="7"/>
  <c r="J84" i="7"/>
  <c r="J33" i="7"/>
  <c r="J93" i="7"/>
  <c r="J41" i="7"/>
  <c r="J209" i="7"/>
  <c r="J143" i="7"/>
  <c r="J12" i="7"/>
  <c r="J194" i="7"/>
  <c r="J115" i="7"/>
  <c r="J47" i="7"/>
  <c r="J205" i="7"/>
  <c r="J21" i="7"/>
  <c r="J125" i="7"/>
  <c r="K187" i="7"/>
  <c r="K8" i="7"/>
  <c r="K114" i="7"/>
  <c r="K232" i="7"/>
  <c r="J172" i="7"/>
  <c r="J199" i="7"/>
  <c r="J203" i="7"/>
  <c r="K154" i="7"/>
  <c r="K230" i="7"/>
  <c r="K96" i="7"/>
  <c r="K179" i="7"/>
  <c r="K33" i="7"/>
  <c r="K65" i="7"/>
  <c r="K183" i="7"/>
  <c r="K59" i="7"/>
  <c r="K223" i="7"/>
  <c r="K131" i="7"/>
  <c r="K20" i="7"/>
  <c r="K207" i="7"/>
  <c r="K136" i="7"/>
  <c r="K72" i="7"/>
  <c r="K238" i="7"/>
  <c r="K164" i="7"/>
  <c r="K77" i="7"/>
  <c r="K251" i="7"/>
  <c r="K130" i="7"/>
  <c r="K25" i="7"/>
  <c r="K218" i="7"/>
  <c r="K162" i="7"/>
  <c r="K95" i="7"/>
  <c r="K29" i="7"/>
  <c r="K222" i="7"/>
  <c r="K120" i="7"/>
  <c r="K19" i="7"/>
  <c r="K197" i="7"/>
  <c r="K132" i="7"/>
  <c r="K68" i="7"/>
  <c r="K236" i="7"/>
  <c r="K161" i="7"/>
  <c r="K73" i="7"/>
  <c r="K233" i="7"/>
  <c r="K116" i="7"/>
  <c r="K24" i="7"/>
  <c r="K217" i="7"/>
  <c r="K160" i="7"/>
  <c r="K92" i="7"/>
  <c r="K28" i="7"/>
  <c r="J144" i="7"/>
  <c r="K245" i="7"/>
  <c r="J9" i="7"/>
  <c r="K34" i="7"/>
  <c r="K159" i="7"/>
  <c r="J85" i="7"/>
  <c r="K138" i="7"/>
  <c r="K135" i="7"/>
  <c r="K247" i="7"/>
  <c r="K225" i="7"/>
  <c r="K11" i="7"/>
  <c r="K30" i="7"/>
  <c r="K241" i="7"/>
  <c r="K234" i="7"/>
  <c r="K216" i="7"/>
  <c r="K4" i="7"/>
  <c r="K13" i="7"/>
  <c r="K224" i="7"/>
  <c r="K48" i="7"/>
  <c r="J146" i="7"/>
  <c r="K15" i="7"/>
  <c r="J190" i="7"/>
  <c r="J148" i="7"/>
  <c r="J17" i="7"/>
  <c r="J5" i="7"/>
  <c r="J242" i="7"/>
  <c r="J252" i="7"/>
  <c r="J204" i="7"/>
  <c r="J91" i="7"/>
  <c r="J80" i="7"/>
  <c r="K42" i="7"/>
  <c r="J79" i="7"/>
  <c r="J37" i="7"/>
  <c r="J191" i="7"/>
  <c r="J142" i="7"/>
  <c r="K182" i="7"/>
  <c r="K155" i="7"/>
  <c r="J46" i="7"/>
  <c r="K170" i="7"/>
  <c r="K196" i="7"/>
  <c r="K23" i="7"/>
  <c r="J245" i="7"/>
  <c r="J42" i="7"/>
  <c r="J133" i="7"/>
  <c r="K134" i="7"/>
  <c r="K198" i="7"/>
  <c r="K74" i="7"/>
  <c r="K173" i="7"/>
  <c r="K7" i="7"/>
  <c r="K31" i="7"/>
  <c r="K166" i="7"/>
  <c r="K36" i="7"/>
  <c r="K201" i="7"/>
  <c r="K103" i="7"/>
  <c r="K3" i="7"/>
  <c r="K190" i="7"/>
  <c r="K118" i="7"/>
  <c r="K45" i="7"/>
  <c r="K211" i="7"/>
  <c r="K148" i="7"/>
  <c r="K55" i="7"/>
  <c r="K226" i="7"/>
  <c r="K99" i="7"/>
  <c r="K17" i="7"/>
  <c r="K212" i="7"/>
  <c r="K144" i="7"/>
  <c r="K84" i="7"/>
  <c r="K5" i="7"/>
  <c r="K202" i="7"/>
  <c r="K93" i="7"/>
  <c r="K252" i="7"/>
  <c r="K185" i="7"/>
  <c r="K117" i="7"/>
  <c r="K41" i="7"/>
  <c r="K204" i="7"/>
  <c r="K127" i="7"/>
  <c r="K53" i="7"/>
  <c r="K209" i="7"/>
  <c r="K91" i="7"/>
  <c r="K10" i="7"/>
  <c r="K206" i="7"/>
  <c r="K143" i="7"/>
  <c r="K80" i="7"/>
  <c r="K6" i="7"/>
  <c r="J202" i="7"/>
  <c r="J182" i="7"/>
  <c r="J15" i="7"/>
  <c r="J89" i="7"/>
  <c r="J32" i="7"/>
  <c r="K38" i="7"/>
  <c r="K78" i="7"/>
  <c r="K102" i="7"/>
  <c r="K51" i="7"/>
  <c r="K94" i="7"/>
  <c r="K98" i="7"/>
  <c r="K57" i="7"/>
  <c r="K119" i="7"/>
  <c r="K150" i="7"/>
  <c r="K140" i="7"/>
  <c r="K175" i="7"/>
  <c r="K147" i="7"/>
  <c r="K177" i="7"/>
  <c r="J179" i="7"/>
  <c r="J201" i="7"/>
  <c r="J118" i="7"/>
  <c r="J55" i="7"/>
  <c r="J212" i="7"/>
  <c r="K14" i="7"/>
  <c r="J59" i="7"/>
  <c r="J185" i="7"/>
  <c r="J127" i="7"/>
  <c r="J10" i="7"/>
  <c r="J6" i="7"/>
  <c r="K2" i="7"/>
  <c r="J246" i="7"/>
  <c r="J200" i="7"/>
  <c r="J88" i="7"/>
  <c r="J76" i="7"/>
  <c r="K123" i="7"/>
  <c r="K97" i="7"/>
  <c r="K137" i="7"/>
  <c r="J220" i="7"/>
  <c r="K50" i="7"/>
  <c r="K157" i="7"/>
  <c r="J113" i="7"/>
  <c r="J184" i="7"/>
  <c r="J71" i="7"/>
  <c r="K54" i="7"/>
  <c r="K146" i="7"/>
  <c r="K12" i="7"/>
  <c r="K100" i="7"/>
  <c r="K153" i="7"/>
  <c r="K242" i="7"/>
  <c r="K121" i="7"/>
  <c r="K255" i="7"/>
  <c r="K168" i="7"/>
  <c r="K66" i="7"/>
  <c r="K239" i="7"/>
  <c r="K163" i="7"/>
  <c r="K111" i="7"/>
  <c r="K27" i="7"/>
  <c r="K192" i="7"/>
  <c r="K110" i="7"/>
  <c r="K40" i="7"/>
  <c r="K181" i="7"/>
  <c r="K81" i="7"/>
  <c r="K250" i="7"/>
  <c r="K193" i="7"/>
  <c r="K129" i="7"/>
  <c r="K69" i="7"/>
  <c r="K254" i="7"/>
  <c r="K167" i="7"/>
  <c r="K61" i="7"/>
  <c r="K237" i="7"/>
  <c r="K165" i="7"/>
  <c r="K108" i="7"/>
  <c r="K22" i="7"/>
  <c r="K188" i="7"/>
  <c r="K104" i="7"/>
  <c r="K35" i="7"/>
  <c r="K178" i="7"/>
  <c r="K75" i="7"/>
  <c r="K248" i="7"/>
  <c r="K189" i="7"/>
  <c r="K126" i="7"/>
  <c r="K62" i="7"/>
  <c r="J153" i="7"/>
  <c r="J103" i="7"/>
  <c r="J45" i="7"/>
  <c r="J226" i="7"/>
  <c r="K32" i="7"/>
  <c r="J117" i="7"/>
  <c r="J53" i="7"/>
  <c r="J206" i="7"/>
  <c r="J36" i="7"/>
  <c r="J123" i="7"/>
  <c r="K9" i="7"/>
  <c r="K83" i="7"/>
  <c r="K26" i="7"/>
  <c r="K229" i="7"/>
  <c r="K240" i="7"/>
  <c r="K219" i="7"/>
  <c r="K151" i="7"/>
  <c r="K141" i="7"/>
  <c r="K176" i="7"/>
  <c r="K152" i="7"/>
  <c r="K180" i="7"/>
  <c r="K49" i="7"/>
  <c r="K44" i="7"/>
  <c r="K86" i="7"/>
  <c r="K87" i="7"/>
  <c r="K56" i="7"/>
  <c r="K10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<sst xmlns="http://schemas.openxmlformats.org/spreadsheetml/2006/main" count="3355" uniqueCount="963">
  <si>
    <t>Name</t>
  </si>
  <si>
    <t>Native</t>
  </si>
  <si>
    <t>Status</t>
  </si>
  <si>
    <t>City / District / County</t>
  </si>
  <si>
    <t>Population</t>
  </si>
  <si>
    <t>Báiyáng Zhèn</t>
  </si>
  <si>
    <t>白阳镇</t>
  </si>
  <si>
    <t>Town</t>
  </si>
  <si>
    <t>Péngyáng Xiàn</t>
  </si>
  <si>
    <t>Báiyá Xiāng</t>
  </si>
  <si>
    <t>白崖乡</t>
  </si>
  <si>
    <t>Rural Township</t>
  </si>
  <si>
    <t>Xījí Xiàn</t>
  </si>
  <si>
    <t>Căomiào Xiāng</t>
  </si>
  <si>
    <t>草庙乡</t>
  </si>
  <si>
    <t>Chéngguān Zhèn [incl. Liùpánshān Jiēdào]</t>
  </si>
  <si>
    <t>城关镇</t>
  </si>
  <si>
    <t>Lóngdé Xiàn</t>
  </si>
  <si>
    <t>Chéngyáng Xiāng</t>
  </si>
  <si>
    <t>城阳乡</t>
  </si>
  <si>
    <t>Chénjìn Xiāng</t>
  </si>
  <si>
    <t>陈靳乡</t>
  </si>
  <si>
    <t>Dàwān Xiāng</t>
  </si>
  <si>
    <t>大湾乡</t>
  </si>
  <si>
    <t>Jīngyuán Xiàn</t>
  </si>
  <si>
    <t>Diàn'ān Xiāng</t>
  </si>
  <si>
    <t>奠安乡</t>
  </si>
  <si>
    <t>Fènglĭng Xiāng</t>
  </si>
  <si>
    <t>凤岭乡</t>
  </si>
  <si>
    <t>Féngzhuāng Xiāng</t>
  </si>
  <si>
    <t>冯庄乡</t>
  </si>
  <si>
    <t>Guāntīng Zhèn [incl. Qīnghé Zhèn]</t>
  </si>
  <si>
    <t>官厅镇</t>
  </si>
  <si>
    <t>Yuánzhōu Qū</t>
  </si>
  <si>
    <t>Guānzhuāng Xiāng</t>
  </si>
  <si>
    <t>观庄乡</t>
  </si>
  <si>
    <t>Gŭchéng Zhèn</t>
  </si>
  <si>
    <t>古城镇</t>
  </si>
  <si>
    <t>Hăoshuĭ Xiāng</t>
  </si>
  <si>
    <t>好水乡</t>
  </si>
  <si>
    <t>Héchuān Xiāng</t>
  </si>
  <si>
    <t>河川乡</t>
  </si>
  <si>
    <t>Hónghé Zhèn</t>
  </si>
  <si>
    <t>红河镇</t>
  </si>
  <si>
    <t>Hóngyào Xiāng</t>
  </si>
  <si>
    <t>红耀乡</t>
  </si>
  <si>
    <t>Huánghuā Xiāng</t>
  </si>
  <si>
    <t>黄花乡</t>
  </si>
  <si>
    <t>Huŏshízhài Xiāng</t>
  </si>
  <si>
    <t>火石寨乡</t>
  </si>
  <si>
    <t>Jiāngtái Jiēdào [Jiāngtái Xiāng]</t>
  </si>
  <si>
    <t>将台堡镇</t>
  </si>
  <si>
    <t>Urban Subdistrict</t>
  </si>
  <si>
    <t>Jiāochà Xiāng</t>
  </si>
  <si>
    <t>交岔乡</t>
  </si>
  <si>
    <t>Jīnghéyuán Zhèn</t>
  </si>
  <si>
    <t>泾河源镇</t>
  </si>
  <si>
    <t>Jíqiáng Zhèn</t>
  </si>
  <si>
    <t>吉强镇</t>
  </si>
  <si>
    <t>Kāichéng Zhèn</t>
  </si>
  <si>
    <t>开城镇</t>
  </si>
  <si>
    <t>Liáncái Zhèn</t>
  </si>
  <si>
    <t>联财镇</t>
  </si>
  <si>
    <t>Liùpánshān Zhèn</t>
  </si>
  <si>
    <t>六盘山镇</t>
  </si>
  <si>
    <t>Luówā Xiāng</t>
  </si>
  <si>
    <t>罗洼乡</t>
  </si>
  <si>
    <t>Măjiàn Xiāng</t>
  </si>
  <si>
    <t>马建乡</t>
  </si>
  <si>
    <t>Mălián Xiāng</t>
  </si>
  <si>
    <t>马莲乡</t>
  </si>
  <si>
    <t>Mèngyuán Xiāng</t>
  </si>
  <si>
    <t>孟塬乡</t>
  </si>
  <si>
    <t>Nánguān Jiēdào [incl. Zhōngshān Jiēdào, Gǔyàn Jiēdào, Běiyuán Jiēdào]</t>
  </si>
  <si>
    <t>南关街道</t>
  </si>
  <si>
    <t>Péngbăo Zhèn</t>
  </si>
  <si>
    <t>彭堡镇</t>
  </si>
  <si>
    <t>Piānchéng Xiāng</t>
  </si>
  <si>
    <t>偏城乡</t>
  </si>
  <si>
    <t>Píngfēng Zhèn</t>
  </si>
  <si>
    <t>平峰镇</t>
  </si>
  <si>
    <t>Sānyíng Zhèn</t>
  </si>
  <si>
    <t>三营镇</t>
  </si>
  <si>
    <t>Shāgōu Xiāng</t>
  </si>
  <si>
    <t>沙沟乡</t>
  </si>
  <si>
    <t>Shānhé Xiāng</t>
  </si>
  <si>
    <t>山河乡</t>
  </si>
  <si>
    <t>Shātáng Zhèn</t>
  </si>
  <si>
    <t>沙塘镇</t>
  </si>
  <si>
    <t>Shénlín Xiāng</t>
  </si>
  <si>
    <t>神林乡</t>
  </si>
  <si>
    <t>Shízì Xiāng</t>
  </si>
  <si>
    <t>什字乡</t>
  </si>
  <si>
    <t>Tànshān Xiāng</t>
  </si>
  <si>
    <t>炭山乡</t>
  </si>
  <si>
    <t>Tiánpíng Xiāng</t>
  </si>
  <si>
    <t>田坪乡</t>
  </si>
  <si>
    <t>Tóuyíng Zhèn</t>
  </si>
  <si>
    <t>头营镇</t>
  </si>
  <si>
    <t>Wángmín Xiāng</t>
  </si>
  <si>
    <t>王民乡</t>
  </si>
  <si>
    <t>Wángwā Zhèn</t>
  </si>
  <si>
    <t>王洼镇</t>
  </si>
  <si>
    <t>Wēnbăo Xiāng</t>
  </si>
  <si>
    <t>温堡乡</t>
  </si>
  <si>
    <t>Xiāngshuĭ Zhèn</t>
  </si>
  <si>
    <t>香水镇</t>
  </si>
  <si>
    <t>Xiăochà Xiāng</t>
  </si>
  <si>
    <t>小岔乡</t>
  </si>
  <si>
    <t>Xiāohé Xiāng</t>
  </si>
  <si>
    <t>硝河乡</t>
  </si>
  <si>
    <t>Xīnglóng Zhèn</t>
  </si>
  <si>
    <t>兴隆镇</t>
  </si>
  <si>
    <t>Xīngpíng Xiāng</t>
  </si>
  <si>
    <t>兴平乡</t>
  </si>
  <si>
    <t>Xīngshèng Xiāng</t>
  </si>
  <si>
    <t>兴盛乡</t>
  </si>
  <si>
    <t>Xīnjí Xiāng</t>
  </si>
  <si>
    <t>新集乡</t>
  </si>
  <si>
    <t>Xīnmín Xiāng</t>
  </si>
  <si>
    <t>新民乡</t>
  </si>
  <si>
    <t>Xīnyíng Xiāng</t>
  </si>
  <si>
    <t>新营乡</t>
  </si>
  <si>
    <t>Xītān Xiāng</t>
  </si>
  <si>
    <t>西滩乡</t>
  </si>
  <si>
    <t>Yánghé Xiāng</t>
  </si>
  <si>
    <t>杨河乡</t>
  </si>
  <si>
    <t>Zhàikē Xiāng</t>
  </si>
  <si>
    <t>寨科乡</t>
  </si>
  <si>
    <t>Zhāngchéng Xiāng</t>
  </si>
  <si>
    <t>张程乡</t>
  </si>
  <si>
    <t>Zhāngyì Zhèn</t>
  </si>
  <si>
    <t>张易镇</t>
  </si>
  <si>
    <t>Zhènhú Xiāng</t>
  </si>
  <si>
    <t>震湖乡</t>
  </si>
  <si>
    <t>Zhōnghé Xiāng</t>
  </si>
  <si>
    <t>中河乡</t>
  </si>
  <si>
    <t>Báijīgōu Jiēdào</t>
  </si>
  <si>
    <t>白芨沟街道</t>
  </si>
  <si>
    <t>Dàwŭkŏu Qū</t>
  </si>
  <si>
    <t>Băofēng Zhèn</t>
  </si>
  <si>
    <t>宝丰镇</t>
  </si>
  <si>
    <t>Píngluó Xiàn</t>
  </si>
  <si>
    <t>Bĕijiē Jiēdào</t>
  </si>
  <si>
    <t>北街街道</t>
  </si>
  <si>
    <t>Huìnóng Qū</t>
  </si>
  <si>
    <t>Chángchéng Jiēdào</t>
  </si>
  <si>
    <t>长城街道</t>
  </si>
  <si>
    <t>Chángshèng Jiēdào</t>
  </si>
  <si>
    <t>长胜街道</t>
  </si>
  <si>
    <t>Chángxīng Jiēdào</t>
  </si>
  <si>
    <t>长兴街道</t>
  </si>
  <si>
    <t>Cháoyáng Jiēdào</t>
  </si>
  <si>
    <t>朝阳街道</t>
  </si>
  <si>
    <t>Chéngguān Zhèn</t>
  </si>
  <si>
    <t>Chónggăng Zhèn</t>
  </si>
  <si>
    <t>崇岗镇</t>
  </si>
  <si>
    <t>Gāorén Xiāng</t>
  </si>
  <si>
    <t>高仁乡</t>
  </si>
  <si>
    <t>Gāozhuāng Xiāng</t>
  </si>
  <si>
    <t>高庄乡</t>
  </si>
  <si>
    <t>Gōukŏu Jiēdào</t>
  </si>
  <si>
    <t>沟口街道</t>
  </si>
  <si>
    <t>Guóyíng Nónglín Mùchăng</t>
  </si>
  <si>
    <t>国营农林牧场</t>
  </si>
  <si>
    <t>Township-like Area</t>
  </si>
  <si>
    <t>Hébīn Jiēdào</t>
  </si>
  <si>
    <t>河滨街道</t>
  </si>
  <si>
    <t>Hóngguŏzi Zhèn</t>
  </si>
  <si>
    <t>红果子镇</t>
  </si>
  <si>
    <t>Hóngyázi Xiāng</t>
  </si>
  <si>
    <t>红崖子乡</t>
  </si>
  <si>
    <t>Huángqúqiáo Zhèn</t>
  </si>
  <si>
    <t>黄渠桥镇</t>
  </si>
  <si>
    <t>Huŏchēzhàn Jiēdào</t>
  </si>
  <si>
    <t>火车站街道</t>
  </si>
  <si>
    <t>Jiănquán Nóngchăng</t>
  </si>
  <si>
    <t>简泉农场</t>
  </si>
  <si>
    <t>Jĭnlín Jiēdào</t>
  </si>
  <si>
    <t>锦林街道</t>
  </si>
  <si>
    <t>Liángzhŏng Fánzhí Chăng</t>
  </si>
  <si>
    <t>良种繁殖场</t>
  </si>
  <si>
    <t>Lĭhé Xiāng</t>
  </si>
  <si>
    <t>礼和乡</t>
  </si>
  <si>
    <t>Língshā Xiāng</t>
  </si>
  <si>
    <t>灵沙乡</t>
  </si>
  <si>
    <t>Miàotái Xiāng</t>
  </si>
  <si>
    <t>庙台乡</t>
  </si>
  <si>
    <t>Nánjiē Jiēdào</t>
  </si>
  <si>
    <t>南街街道</t>
  </si>
  <si>
    <t>Qiánjìn Nóngchăng</t>
  </si>
  <si>
    <t>前进农场</t>
  </si>
  <si>
    <t>Qīngshān Jiēdào</t>
  </si>
  <si>
    <t>青山街道</t>
  </si>
  <si>
    <t>Qúkŏu Xiāng</t>
  </si>
  <si>
    <t>渠口乡</t>
  </si>
  <si>
    <t>Rénmínlù Jiēdào</t>
  </si>
  <si>
    <t>人民路街道</t>
  </si>
  <si>
    <t>Shítànjĭng Jiēdào</t>
  </si>
  <si>
    <t>石炭井街道</t>
  </si>
  <si>
    <t>Táolè Zhèn</t>
  </si>
  <si>
    <t>陶乐镇</t>
  </si>
  <si>
    <t>Tōngfú Xiāng</t>
  </si>
  <si>
    <t>通伏乡</t>
  </si>
  <si>
    <t>Tóuzhá Zhèn</t>
  </si>
  <si>
    <t>头闸镇</t>
  </si>
  <si>
    <t>Wĕizhá Zhèn</t>
  </si>
  <si>
    <t>尾闸镇</t>
  </si>
  <si>
    <t>Xīnghăi Zhèn [Lónghú Jīngjì Kāifāqū]</t>
  </si>
  <si>
    <t>星海镇</t>
  </si>
  <si>
    <t>Yànzidūn Xiāng</t>
  </si>
  <si>
    <t>燕子墩乡</t>
  </si>
  <si>
    <t>Yáofú Zhèn</t>
  </si>
  <si>
    <t>姚伏镇</t>
  </si>
  <si>
    <t>Yuányì Zhèn</t>
  </si>
  <si>
    <t>园艺镇</t>
  </si>
  <si>
    <t>Yùcáilù Jiēdào</t>
  </si>
  <si>
    <t>育才路街道</t>
  </si>
  <si>
    <t>Zhōngjiē Jiēdào</t>
  </si>
  <si>
    <t>中街街道</t>
  </si>
  <si>
    <t>Bālànghú Nóngchăng</t>
  </si>
  <si>
    <t>巴浪湖农场</t>
  </si>
  <si>
    <t>Lìtōng Qū</t>
  </si>
  <si>
    <t>Bănqiáo Xiāng</t>
  </si>
  <si>
    <t>板桥乡</t>
  </si>
  <si>
    <t>Biăndāngōu Zhèn</t>
  </si>
  <si>
    <t>扁担沟镇</t>
  </si>
  <si>
    <t>Chényuántān Zhèn</t>
  </si>
  <si>
    <t>陈袁滩镇</t>
  </si>
  <si>
    <t>Qīngtóngxiá Shì</t>
  </si>
  <si>
    <t>Dàbà Zhèn</t>
  </si>
  <si>
    <t>大坝镇</t>
  </si>
  <si>
    <t>Dàhé Xiāng</t>
  </si>
  <si>
    <t>大河乡</t>
  </si>
  <si>
    <t>Hóngsìpǔ Qū</t>
  </si>
  <si>
    <t>Dàshuĭkēng Zhèn</t>
  </si>
  <si>
    <t>大水坑镇</t>
  </si>
  <si>
    <t>Yánchí Xiàn</t>
  </si>
  <si>
    <t>Dīngtáng Zhèn</t>
  </si>
  <si>
    <t>丁塘镇</t>
  </si>
  <si>
    <t>Tóngxīn Xiàn</t>
  </si>
  <si>
    <t>Dōngtăsì Xiāng</t>
  </si>
  <si>
    <t>东塔寺乡</t>
  </si>
  <si>
    <t>Féngjìgōu Xiāng</t>
  </si>
  <si>
    <t>冯记沟乡</t>
  </si>
  <si>
    <t>Gāoshāwō Zhèn</t>
  </si>
  <si>
    <t>高沙窝镇</t>
  </si>
  <si>
    <t>Gāozhá Zhèn</t>
  </si>
  <si>
    <t>高闸镇</t>
  </si>
  <si>
    <t>Guōjiāqiáo Xiāng [Guōqiáo]</t>
  </si>
  <si>
    <t>郭家桥乡</t>
  </si>
  <si>
    <t>Héxī Zhèn</t>
  </si>
  <si>
    <t>河西镇</t>
  </si>
  <si>
    <t>Hóngsìbăo Gōngyè Yuánqū Guănwĕihuì</t>
  </si>
  <si>
    <t>红寺堡工业园区管委会</t>
  </si>
  <si>
    <t>Hóngsìbăo Zhèn [incl. Xīnmín Jiēdào]</t>
  </si>
  <si>
    <t>红寺堡镇</t>
  </si>
  <si>
    <t>Huāmăchí Zhèn</t>
  </si>
  <si>
    <t>花马池镇</t>
  </si>
  <si>
    <t>Huì'ānbăo Zhèn</t>
  </si>
  <si>
    <t>惠安堡镇</t>
  </si>
  <si>
    <t>Jīnjī Zhèn</t>
  </si>
  <si>
    <t>金积镇</t>
  </si>
  <si>
    <t>Jīnxīng Zhèn</t>
  </si>
  <si>
    <t>金星镇</t>
  </si>
  <si>
    <t>Jīnyíntān Zhèn</t>
  </si>
  <si>
    <t>金银滩镇</t>
  </si>
  <si>
    <t>Jùjìng Zhèn</t>
  </si>
  <si>
    <t>瞿靖镇</t>
  </si>
  <si>
    <t>Liánhú Nóngchăng</t>
  </si>
  <si>
    <t>连湖农场</t>
  </si>
  <si>
    <t>Măgāozhuāng Xiāng</t>
  </si>
  <si>
    <t>马高庄乡</t>
  </si>
  <si>
    <t>Máhuángshān Xiāng</t>
  </si>
  <si>
    <t>麻黄山乡</t>
  </si>
  <si>
    <t>Măliánqú Xiāng</t>
  </si>
  <si>
    <t>马莲渠乡</t>
  </si>
  <si>
    <t>Qīngshān Xiāng</t>
  </si>
  <si>
    <t>青山乡</t>
  </si>
  <si>
    <t>Qīngtóngxiá Zhèn</t>
  </si>
  <si>
    <t>青铜峡镇</t>
  </si>
  <si>
    <t>Shàngqiáo Zhèn</t>
  </si>
  <si>
    <t>上桥镇</t>
  </si>
  <si>
    <t>Shàogāng Zhèn</t>
  </si>
  <si>
    <t>邵岗镇</t>
  </si>
  <si>
    <t>Shènglì Zhèn</t>
  </si>
  <si>
    <t>胜利镇</t>
  </si>
  <si>
    <t>Shùxīn Línchăng</t>
  </si>
  <si>
    <t>树新林场</t>
  </si>
  <si>
    <t>Sūnjiātān Guănwĕihuì</t>
  </si>
  <si>
    <t>孙家滩管委会</t>
  </si>
  <si>
    <t>Tàiyángshān Kāifāqū</t>
  </si>
  <si>
    <t>太阳山开发区</t>
  </si>
  <si>
    <t>Tàiyángshān Zhèn</t>
  </si>
  <si>
    <t>太阳山镇</t>
  </si>
  <si>
    <t>Tiánlăozhuāng Xiāng</t>
  </si>
  <si>
    <t>田老庄乡</t>
  </si>
  <si>
    <t>Wánglèjĭng Xiāng</t>
  </si>
  <si>
    <t>王乐井乡</t>
  </si>
  <si>
    <t>Wángtuán Zhèn</t>
  </si>
  <si>
    <t>王团镇</t>
  </si>
  <si>
    <t>Wéizhōu Zhèn</t>
  </si>
  <si>
    <t>韦州镇</t>
  </si>
  <si>
    <t>Xiákŏu Zhèn</t>
  </si>
  <si>
    <t>峡口镇</t>
  </si>
  <si>
    <t>Xiàmăguān Zhèn</t>
  </si>
  <si>
    <t>下马关镇</t>
  </si>
  <si>
    <t>Xiăobà Zhèn</t>
  </si>
  <si>
    <t>小坝镇</t>
  </si>
  <si>
    <t>Xīnglóng Xiāng</t>
  </si>
  <si>
    <t>兴隆乡</t>
  </si>
  <si>
    <t>Xīnzhuāng Jí Xiāng [Nánchuān Xiāng]</t>
  </si>
  <si>
    <t>新庄集乡</t>
  </si>
  <si>
    <t>Yèshēng Zhèn</t>
  </si>
  <si>
    <t>叶盛镇</t>
  </si>
  <si>
    <t>Yùhăi Zhèn</t>
  </si>
  <si>
    <t>豫海镇</t>
  </si>
  <si>
    <t>Yùmín Jiēdào</t>
  </si>
  <si>
    <t>裕民街道</t>
  </si>
  <si>
    <t>Yùwàng Zhèn</t>
  </si>
  <si>
    <t>预旺镇</t>
  </si>
  <si>
    <t>Zhāngjiāyuán Xiāng</t>
  </si>
  <si>
    <t>张家塬乡</t>
  </si>
  <si>
    <t>Báitŭgăng Xiāng</t>
  </si>
  <si>
    <t>白土岗乡</t>
  </si>
  <si>
    <t>Língwŭ Shì</t>
  </si>
  <si>
    <t>Bĕijīng Xīlù Jiēdào</t>
  </si>
  <si>
    <t>北京西路街道</t>
  </si>
  <si>
    <t>Xīxià Qū</t>
  </si>
  <si>
    <t>Bĕijīng Zhōnglù Jiēdào</t>
  </si>
  <si>
    <t>北京中路街道</t>
  </si>
  <si>
    <t>Jīnfèng Qū</t>
  </si>
  <si>
    <t>Chángchéng Zhōnglù Jiēdào</t>
  </si>
  <si>
    <t>长城中路街道</t>
  </si>
  <si>
    <t>Chángxìn Xiāng</t>
  </si>
  <si>
    <t>常信乡</t>
  </si>
  <si>
    <t>Hèlán Xiàn</t>
  </si>
  <si>
    <t>Chéngqū Jiēdào</t>
  </si>
  <si>
    <t>城区街道</t>
  </si>
  <si>
    <t>Chóngxīng Zhèn</t>
  </si>
  <si>
    <t>崇兴镇</t>
  </si>
  <si>
    <t>Dàxīn Zhèn</t>
  </si>
  <si>
    <t>大新镇</t>
  </si>
  <si>
    <t>Xīngqìng Qū</t>
  </si>
  <si>
    <t>Dōngtă Zhèn</t>
  </si>
  <si>
    <t>东塔镇</t>
  </si>
  <si>
    <t>Fēngdēng Zhèn</t>
  </si>
  <si>
    <t>丰登镇</t>
  </si>
  <si>
    <t>Fènghuáng Bĕijiē Jiēdào</t>
  </si>
  <si>
    <t>凤凰北街街道</t>
  </si>
  <si>
    <t>Fùníngjiē Jiēdào</t>
  </si>
  <si>
    <t>富宁街街道</t>
  </si>
  <si>
    <t>Hăojiāqiáo Zhèn</t>
  </si>
  <si>
    <t>郝家桥镇</t>
  </si>
  <si>
    <t>Hèlánshān Xīlù Jiēdào</t>
  </si>
  <si>
    <t>贺兰山西路街道</t>
  </si>
  <si>
    <t>Hóngguăng Zhèn</t>
  </si>
  <si>
    <t>洪广镇</t>
  </si>
  <si>
    <t>Huánghé Dōnglù Jiēdào</t>
  </si>
  <si>
    <t>黄河东路街道</t>
  </si>
  <si>
    <t>Huángyángtān Nóngchăng</t>
  </si>
  <si>
    <t>黄羊滩农场</t>
  </si>
  <si>
    <t>Yŏngníng Xiàn</t>
  </si>
  <si>
    <t>Jiĕfàng Xījiē Jiēdào</t>
  </si>
  <si>
    <t>解放西街街道</t>
  </si>
  <si>
    <t>Jīnguì Zhèn</t>
  </si>
  <si>
    <t>金贵镇</t>
  </si>
  <si>
    <t>Jīngxīngnóng Mùchăng</t>
  </si>
  <si>
    <t>京星农牧场</t>
  </si>
  <si>
    <t>Liángtián Zhèn</t>
  </si>
  <si>
    <t>良田镇</t>
  </si>
  <si>
    <t>Lìgăng Zhèn</t>
  </si>
  <si>
    <t>立岗镇</t>
  </si>
  <si>
    <t>Lìjĭngjiē Jiēdào</t>
  </si>
  <si>
    <t>丽景街街道</t>
  </si>
  <si>
    <t>Lĭjùn Zhèn</t>
  </si>
  <si>
    <t>李俊镇</t>
  </si>
  <si>
    <t>Língwŭ Nóngchăng</t>
  </si>
  <si>
    <t>灵武农场</t>
  </si>
  <si>
    <t>Línhé Zhèn</t>
  </si>
  <si>
    <t>临河镇</t>
  </si>
  <si>
    <t>Măjiātān Zhèn</t>
  </si>
  <si>
    <t>马家滩镇</t>
  </si>
  <si>
    <t>Mănchéng Bĕijiē Jiēdào</t>
  </si>
  <si>
    <t>满城北街街道</t>
  </si>
  <si>
    <t>Mĭnníng Zhèn</t>
  </si>
  <si>
    <t>闽宁镇</t>
  </si>
  <si>
    <t>Nánliáng Táizi Guănwĕihuì</t>
  </si>
  <si>
    <t>南梁台子管委会</t>
  </si>
  <si>
    <t>Níngdōng Zhèn</t>
  </si>
  <si>
    <t>宁东镇</t>
  </si>
  <si>
    <t>Nínghuálù Jiēdào</t>
  </si>
  <si>
    <t>宁华路街道</t>
  </si>
  <si>
    <t>Níngxià Yuánzhŏngchăng</t>
  </si>
  <si>
    <t>宁夏原种场</t>
  </si>
  <si>
    <t>Nuănquán Nóngchăng</t>
  </si>
  <si>
    <t>暖泉农场</t>
  </si>
  <si>
    <t>Qiánjìnjiē Jiēdào</t>
  </si>
  <si>
    <t>前进街街道</t>
  </si>
  <si>
    <t>Shànghăi Xīlù Jiēdào</t>
  </si>
  <si>
    <t>上海西路街道</t>
  </si>
  <si>
    <t>Shènglìjiē Jiēdào</t>
  </si>
  <si>
    <t>胜利街街道</t>
  </si>
  <si>
    <t>Shènglì Xiāng</t>
  </si>
  <si>
    <t>胜利乡</t>
  </si>
  <si>
    <t>Shuòfānglù Jiēdào</t>
  </si>
  <si>
    <t>朔方路街道</t>
  </si>
  <si>
    <t>Tōngguì Xiāng</t>
  </si>
  <si>
    <t>通贵乡</t>
  </si>
  <si>
    <t>Wànghóng Zhèn</t>
  </si>
  <si>
    <t>望洪镇</t>
  </si>
  <si>
    <t>Wàngyuăn Zhèn</t>
  </si>
  <si>
    <t>望远镇</t>
  </si>
  <si>
    <t>Wénchānglù Jiēdào</t>
  </si>
  <si>
    <t>文昌路街道</t>
  </si>
  <si>
    <t>Wénhuàjiē Jiēdào</t>
  </si>
  <si>
    <t>文化街街道</t>
  </si>
  <si>
    <t>Wútóngshù Xiāng</t>
  </si>
  <si>
    <t>梧桐树乡</t>
  </si>
  <si>
    <t>Xígăng Zhèn</t>
  </si>
  <si>
    <t>习岗镇</t>
  </si>
  <si>
    <t>Xī Huāyuán Lù Jiēdào</t>
  </si>
  <si>
    <t>西花园路街道</t>
  </si>
  <si>
    <t>Xīngjīng Zhèn</t>
  </si>
  <si>
    <t>兴泾镇</t>
  </si>
  <si>
    <t>Xīnhuájiē Jiēdào</t>
  </si>
  <si>
    <t>新华街街道</t>
  </si>
  <si>
    <t>Yánghé Zhèn</t>
  </si>
  <si>
    <t>杨和镇</t>
  </si>
  <si>
    <t>Yíngŭlù Jiēdào</t>
  </si>
  <si>
    <t>银古路街道</t>
  </si>
  <si>
    <t>Yuèyáhú Xiāng</t>
  </si>
  <si>
    <t>月牙湖乡</t>
  </si>
  <si>
    <t>Yùhuánggé Bĕijiē Jiēdào</t>
  </si>
  <si>
    <t>玉皇阁北街街道</t>
  </si>
  <si>
    <t>Yùquányíng Nóngchăng</t>
  </si>
  <si>
    <t>玉泉营农场</t>
  </si>
  <si>
    <t>Zhăngzhèng Zhèn</t>
  </si>
  <si>
    <t>掌政镇</t>
  </si>
  <si>
    <t>Zhènbĕibăo Zhèn</t>
  </si>
  <si>
    <t>镇北堡镇</t>
  </si>
  <si>
    <t>Zhōngshān Nánjiē Jiēdào</t>
  </si>
  <si>
    <t>中山南街街道</t>
  </si>
  <si>
    <t>Báimă Xiāng</t>
  </si>
  <si>
    <t>白马乡</t>
  </si>
  <si>
    <t>Zhōngníng Xiàn</t>
  </si>
  <si>
    <t>Bīnhé Zhèn</t>
  </si>
  <si>
    <t>滨河镇</t>
  </si>
  <si>
    <t>Shāpōtóu Qū</t>
  </si>
  <si>
    <t>Cáowā Xiāng</t>
  </si>
  <si>
    <t>曹洼乡</t>
  </si>
  <si>
    <t>Hăiyuán Xiàn</t>
  </si>
  <si>
    <t>Chánglè Zhèn</t>
  </si>
  <si>
    <t>常乐镇</t>
  </si>
  <si>
    <t>Chángshāntóu Nóngchăng</t>
  </si>
  <si>
    <t>长山头农场</t>
  </si>
  <si>
    <t>Dàzhànchăng Zhèn</t>
  </si>
  <si>
    <t>大战场镇</t>
  </si>
  <si>
    <t>Dōngyuán Zhèn</t>
  </si>
  <si>
    <t>东园镇</t>
  </si>
  <si>
    <t>Ēnhé Zhèn</t>
  </si>
  <si>
    <t>恩和镇</t>
  </si>
  <si>
    <t>Gānchéng Xiāng</t>
  </si>
  <si>
    <t>甘城乡</t>
  </si>
  <si>
    <t>Gāoyá Xiāng</t>
  </si>
  <si>
    <t>高崖乡</t>
  </si>
  <si>
    <t>Guānqiáo Xiāng</t>
  </si>
  <si>
    <t>关桥乡</t>
  </si>
  <si>
    <t>关庄乡</t>
  </si>
  <si>
    <t>Hăichéng Zhèn</t>
  </si>
  <si>
    <t>海城镇</t>
  </si>
  <si>
    <t>Hănjiàoshuĭ Xiāng</t>
  </si>
  <si>
    <t>喊叫水乡</t>
  </si>
  <si>
    <t>Hóngyáng Xiāng</t>
  </si>
  <si>
    <t>红羊乡</t>
  </si>
  <si>
    <t>Jiătáng Xiāng</t>
  </si>
  <si>
    <t>贾塘乡</t>
  </si>
  <si>
    <t>Jiŭcăi Xiāng</t>
  </si>
  <si>
    <t>九彩乡</t>
  </si>
  <si>
    <t>Lăochéng Guănlĭ Bàngōngshì</t>
  </si>
  <si>
    <t>老城管理办公室</t>
  </si>
  <si>
    <t>Lĭjùn Xiāng</t>
  </si>
  <si>
    <t>李俊乡</t>
  </si>
  <si>
    <t>Lĭwàng Zhèn</t>
  </si>
  <si>
    <t>李旺镇</t>
  </si>
  <si>
    <t>Míngshā Zhèn</t>
  </si>
  <si>
    <t>鸣沙镇</t>
  </si>
  <si>
    <t>Nánhuáshān Zìrán Bǎohù Qū Guănlĭchŭ</t>
  </si>
  <si>
    <t>南华山自然保护区管理处</t>
  </si>
  <si>
    <t>Níng'ān Zhèn</t>
  </si>
  <si>
    <t>宁安镇</t>
  </si>
  <si>
    <t>Qīyíng Zhèn</t>
  </si>
  <si>
    <t>七营镇</t>
  </si>
  <si>
    <t>Qúkŏu Nóngchăng</t>
  </si>
  <si>
    <t>渠口农场</t>
  </si>
  <si>
    <t>Róuyuăn Zhèn</t>
  </si>
  <si>
    <t>柔远镇</t>
  </si>
  <si>
    <t>Sānhé Zhèn [Hēichéng Zhèn]</t>
  </si>
  <si>
    <t>三河镇</t>
  </si>
  <si>
    <t>Shĭdiàn Xiāng</t>
  </si>
  <si>
    <t>史店乡</t>
  </si>
  <si>
    <t>Shíkōng Zhèn</t>
  </si>
  <si>
    <t>石空镇</t>
  </si>
  <si>
    <t>Shùtái Xiāng</t>
  </si>
  <si>
    <t>树台乡</t>
  </si>
  <si>
    <t>Wénchāng Zhèn</t>
  </si>
  <si>
    <t>文昌镇</t>
  </si>
  <si>
    <t>Xiāngshān Xiāng</t>
  </si>
  <si>
    <t>香山乡</t>
  </si>
  <si>
    <t>Xī'ān Zhèn</t>
  </si>
  <si>
    <t>西安镇</t>
  </si>
  <si>
    <t>Xīnbăo Zhèn</t>
  </si>
  <si>
    <t>新堡镇</t>
  </si>
  <si>
    <t>Xīngrén Zhèn [incl. Hāochuān Xiāng]</t>
  </si>
  <si>
    <t>兴仁镇</t>
  </si>
  <si>
    <t>Xuānhé Zhèn</t>
  </si>
  <si>
    <t>宣和镇</t>
  </si>
  <si>
    <t>Xútào Xiāng</t>
  </si>
  <si>
    <t>徐套乡</t>
  </si>
  <si>
    <t>Yíngshuĭqiáo Zhèn</t>
  </si>
  <si>
    <t>迎水桥镇</t>
  </si>
  <si>
    <t>Yŏngkāng Zhèn</t>
  </si>
  <si>
    <t>永康镇</t>
  </si>
  <si>
    <t>Yúdīng Xiāng</t>
  </si>
  <si>
    <t>余丁乡</t>
  </si>
  <si>
    <t>Zhèngqí Xiāng</t>
  </si>
  <si>
    <t>郑旗乡</t>
  </si>
  <si>
    <t>Zhènluó Zhèn</t>
  </si>
  <si>
    <t>镇罗镇</t>
  </si>
  <si>
    <t>Zhōngwèi Gōngyè Yuánqū [Mĕilì Gōngyè Yuánqū]</t>
  </si>
  <si>
    <t>中卫工业园区</t>
  </si>
  <si>
    <t>Zhōngwèi Shānyáng Xuănyù Chăng</t>
  </si>
  <si>
    <t>中卫山羊选育场</t>
  </si>
  <si>
    <t>Zhŏngyáng Chăng</t>
  </si>
  <si>
    <t>种羊场</t>
  </si>
  <si>
    <t>Zhōută Xiāng</t>
  </si>
  <si>
    <t>舟塔乡</t>
  </si>
  <si>
    <t>Gùyuán Shì</t>
  </si>
  <si>
    <t>Prefecture-level City</t>
  </si>
  <si>
    <t>固原市</t>
  </si>
  <si>
    <t>County</t>
  </si>
  <si>
    <t>泾源县</t>
  </si>
  <si>
    <t>隆德县</t>
  </si>
  <si>
    <t>彭阳县</t>
  </si>
  <si>
    <t>西吉县</t>
  </si>
  <si>
    <t>District</t>
  </si>
  <si>
    <t>原州区</t>
  </si>
  <si>
    <t>Shízuĭshān Shì</t>
  </si>
  <si>
    <t>石嘴山市</t>
  </si>
  <si>
    <t>大武口区</t>
  </si>
  <si>
    <t>惠农区</t>
  </si>
  <si>
    <t>平罗县</t>
  </si>
  <si>
    <t>Wúzhōng Shì</t>
  </si>
  <si>
    <t>吴忠市</t>
  </si>
  <si>
    <t>红寺堡区</t>
  </si>
  <si>
    <t>利通区</t>
  </si>
  <si>
    <t>County-level City</t>
  </si>
  <si>
    <t>青铜峡市</t>
  </si>
  <si>
    <t>同心县</t>
  </si>
  <si>
    <t>盐池县</t>
  </si>
  <si>
    <t>Yínchuān Shì</t>
  </si>
  <si>
    <t>银川市</t>
  </si>
  <si>
    <t>贺兰县</t>
  </si>
  <si>
    <t>金凤区</t>
  </si>
  <si>
    <t>...</t>
  </si>
  <si>
    <t>灵武市</t>
  </si>
  <si>
    <t>兴庆区</t>
  </si>
  <si>
    <t>西夏区</t>
  </si>
  <si>
    <t>永宁县</t>
  </si>
  <si>
    <t>Zhōngwèi Shì</t>
  </si>
  <si>
    <t>中卫市</t>
  </si>
  <si>
    <t>海原县</t>
  </si>
  <si>
    <t>沙坡头区</t>
  </si>
  <si>
    <t>中宁县</t>
  </si>
  <si>
    <t>Níngxià</t>
  </si>
  <si>
    <t>Hui Autonomous Region</t>
  </si>
  <si>
    <t>宁夏回族自治区</t>
  </si>
  <si>
    <t>Population2</t>
  </si>
  <si>
    <t>Population3</t>
  </si>
  <si>
    <t>Column1</t>
  </si>
  <si>
    <t>Population4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</si>
  <si>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</si>
  <si>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</si>
  <si>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</si>
  <si>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</si>
  <si>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</si>
  <si>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</si>
  <si>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</si>
  <si>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</si>
  <si>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</si>
  <si>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{"name":"</t>
  </si>
  <si>
    <t>,"longitude":</t>
  </si>
  <si>
    <t>,"population":</t>
  </si>
  <si>
    <t xml:space="preserve">,"stateCapital":false,"nationalCapital":false,"pk":null,"quiz":"asia","code":null,"archived":false,"percentageOfSessions":null}, </t>
  </si>
  <si>
    <t>","state":"Níngxià","territory":"","country":"China","latitude":</t>
  </si>
  <si>
    <t>Báiyáng</t>
  </si>
  <si>
    <t>Chéngguān</t>
  </si>
  <si>
    <t>Guāntīng</t>
  </si>
  <si>
    <t>Hónghé</t>
  </si>
  <si>
    <t>Jīnghéyuán</t>
  </si>
  <si>
    <t>Jíqiáng</t>
  </si>
  <si>
    <t>Kāichéng</t>
  </si>
  <si>
    <t>Liáncái</t>
  </si>
  <si>
    <t>Liùpánshān</t>
  </si>
  <si>
    <t>Péngbăo</t>
  </si>
  <si>
    <t>Píngfēng</t>
  </si>
  <si>
    <t>Sānyíng</t>
  </si>
  <si>
    <t>Shātáng</t>
  </si>
  <si>
    <t>Tóuyíng</t>
  </si>
  <si>
    <t>Wángwā</t>
  </si>
  <si>
    <t>Xiāngshuĭ</t>
  </si>
  <si>
    <t>Xīnglóng</t>
  </si>
  <si>
    <t>Zhāngyì</t>
  </si>
  <si>
    <t>Băofēng</t>
  </si>
  <si>
    <t>Chónggăng</t>
  </si>
  <si>
    <t>Hóngguŏzi</t>
  </si>
  <si>
    <t>Huángqúqiáo</t>
  </si>
  <si>
    <t>Táolè</t>
  </si>
  <si>
    <t>Tóuzhá</t>
  </si>
  <si>
    <t>Wĕizhá</t>
  </si>
  <si>
    <t>Xīnghăi</t>
  </si>
  <si>
    <t>Yáofú</t>
  </si>
  <si>
    <t>Yuányì</t>
  </si>
  <si>
    <t>Biăndāngōu</t>
  </si>
  <si>
    <t>Chényuántān</t>
  </si>
  <si>
    <t>Dàbà</t>
  </si>
  <si>
    <t>Dàshuĭkēng</t>
  </si>
  <si>
    <t>Dīngtáng</t>
  </si>
  <si>
    <t>Gāoshāwō</t>
  </si>
  <si>
    <t>Gāozhá</t>
  </si>
  <si>
    <t>Héxī</t>
  </si>
  <si>
    <t>Hóngsìbăo</t>
  </si>
  <si>
    <t>Huāmăchí</t>
  </si>
  <si>
    <t>Huì'ānbăo</t>
  </si>
  <si>
    <t>Jīnjī</t>
  </si>
  <si>
    <t>Jīnxīng</t>
  </si>
  <si>
    <t>Jīnyíntān</t>
  </si>
  <si>
    <t>Jùjìng</t>
  </si>
  <si>
    <t>Qīngtóngxiá</t>
  </si>
  <si>
    <t>Shàngqiáo</t>
  </si>
  <si>
    <t>Shàogāng</t>
  </si>
  <si>
    <t>Shènglì</t>
  </si>
  <si>
    <t>Tàiyángshān</t>
  </si>
  <si>
    <t>Wángtuán</t>
  </si>
  <si>
    <t>Wéizhōu</t>
  </si>
  <si>
    <t>Xiákŏu</t>
  </si>
  <si>
    <t>Xiàmăguān</t>
  </si>
  <si>
    <t>Xiăobà</t>
  </si>
  <si>
    <t>Yèshēng</t>
  </si>
  <si>
    <t>Yùhăi</t>
  </si>
  <si>
    <t>Yùwàng</t>
  </si>
  <si>
    <t>Chóngxīng</t>
  </si>
  <si>
    <t>Dàxīn</t>
  </si>
  <si>
    <t>Dōngtă</t>
  </si>
  <si>
    <t>Fēngdēng</t>
  </si>
  <si>
    <t>Hăojiāqiáo</t>
  </si>
  <si>
    <t>Hóngguăng</t>
  </si>
  <si>
    <t>Jīnguì</t>
  </si>
  <si>
    <t>Liángtián</t>
  </si>
  <si>
    <t>Lìgăng</t>
  </si>
  <si>
    <t>Lĭjùn</t>
  </si>
  <si>
    <t>Línhé</t>
  </si>
  <si>
    <t>Măjiātān</t>
  </si>
  <si>
    <t>Mĭnníng</t>
  </si>
  <si>
    <t>Níngdōng</t>
  </si>
  <si>
    <t>Wànghóng</t>
  </si>
  <si>
    <t>Wàngyuăn</t>
  </si>
  <si>
    <t>Xígăng</t>
  </si>
  <si>
    <t>Xīngjīng</t>
  </si>
  <si>
    <t>Yánghé</t>
  </si>
  <si>
    <t>Zhăngzhèng</t>
  </si>
  <si>
    <t>Zhènbĕibăo</t>
  </si>
  <si>
    <t>Bīnhé</t>
  </si>
  <si>
    <t>Chánglè</t>
  </si>
  <si>
    <t>Dàzhànchăng</t>
  </si>
  <si>
    <t>Dōngyuán</t>
  </si>
  <si>
    <t>Ēnhé</t>
  </si>
  <si>
    <t>Hăichéng</t>
  </si>
  <si>
    <t>Lĭwàng</t>
  </si>
  <si>
    <t>Míngshā</t>
  </si>
  <si>
    <t>Níng'ān</t>
  </si>
  <si>
    <t>Qīyíng</t>
  </si>
  <si>
    <t>Róuyuăn</t>
  </si>
  <si>
    <t>Sānhé</t>
  </si>
  <si>
    <t>Shíkōng</t>
  </si>
  <si>
    <t>Wénchāng</t>
  </si>
  <si>
    <t>Xī'ān</t>
  </si>
  <si>
    <t>Xīnbăo</t>
  </si>
  <si>
    <t>Xīngrén</t>
  </si>
  <si>
    <t>Xuānhé</t>
  </si>
  <si>
    <t>Yíngshuĭqiáo</t>
  </si>
  <si>
    <t>Yŏngkāng</t>
  </si>
  <si>
    <t>Zhènluó</t>
  </si>
  <si>
    <t>Zhōngwèi</t>
  </si>
  <si>
    <t>Wúzhōng</t>
  </si>
  <si>
    <t>Gùyuán</t>
  </si>
  <si>
    <t>Shízuĭshān</t>
  </si>
  <si>
    <t>Língwŭ</t>
  </si>
  <si>
    <t>Yínchuān</t>
  </si>
  <si>
    <t xml:space="preserve">,"stateCapital":true,"nationalCapital":false,"pk":null,"quiz":"asia","code":null,"archived":false,"percentageOfSessions":null}, </t>
  </si>
  <si>
    <t>Column13</t>
  </si>
  <si>
    <t>Column10</t>
  </si>
  <si>
    <t>Column11</t>
  </si>
  <si>
    <t>Column112</t>
  </si>
  <si>
    <t>Baijigou Jiedao</t>
  </si>
  <si>
    <t>Baima Xiang</t>
  </si>
  <si>
    <t>Baitugang Xiang</t>
  </si>
  <si>
    <t>Baiya Xiang</t>
  </si>
  <si>
    <t>Baiyang Zhen</t>
  </si>
  <si>
    <t>Balanghu Nongchang</t>
  </si>
  <si>
    <t>Banqiao Xiang</t>
  </si>
  <si>
    <t>Baofeng Zhen</t>
  </si>
  <si>
    <t>Beijie Jiedao</t>
  </si>
  <si>
    <t>Beijing Xilu Jiedao</t>
  </si>
  <si>
    <t>Beijing Zhonglu Jiedao</t>
  </si>
  <si>
    <t>Biandangou Zhen</t>
  </si>
  <si>
    <t>Binhe Zhen</t>
  </si>
  <si>
    <t>Caomiao Xiang</t>
  </si>
  <si>
    <t>Caowa Xiang</t>
  </si>
  <si>
    <t>Changcheng Jiedao</t>
  </si>
  <si>
    <t>Changcheng Zhonglu Jiedao</t>
  </si>
  <si>
    <t>Changle Zhen</t>
  </si>
  <si>
    <t>Changshantou Nongchang</t>
  </si>
  <si>
    <t>Changsheng Jiedao</t>
  </si>
  <si>
    <t>Changxin Xiang</t>
  </si>
  <si>
    <t>Changxing Jiedao</t>
  </si>
  <si>
    <t>Chaoyang Jiedao</t>
  </si>
  <si>
    <t>Chengguan Zhen</t>
  </si>
  <si>
    <t>Chengguan Zhen [incl. Liupanshan Jiedao]</t>
  </si>
  <si>
    <t>Chengqu Jiedao</t>
  </si>
  <si>
    <t>Chengyang Xiang</t>
  </si>
  <si>
    <t>Chenjin Xiang</t>
  </si>
  <si>
    <t>Chenyuantan Zhen</t>
  </si>
  <si>
    <t>Chonggang Zhen</t>
  </si>
  <si>
    <t>Chongxing Zhen</t>
  </si>
  <si>
    <t>Daba Zhen</t>
  </si>
  <si>
    <t>Dahe Xiang</t>
  </si>
  <si>
    <t>Dashuikeng Zhen</t>
  </si>
  <si>
    <t>Dawan Xiang</t>
  </si>
  <si>
    <t>Daxin Zhen</t>
  </si>
  <si>
    <t>Dazhanchang Zhen</t>
  </si>
  <si>
    <t>Dian'an Xiang</t>
  </si>
  <si>
    <t>Dingtang Zhen</t>
  </si>
  <si>
    <t>Dongta Zhen</t>
  </si>
  <si>
    <t>Dongtasi Xiang</t>
  </si>
  <si>
    <t>Dongyuan Zhen</t>
  </si>
  <si>
    <t>Enhe Zhen</t>
  </si>
  <si>
    <t>Fengdeng Zhen</t>
  </si>
  <si>
    <t>Fenghuang Beijie Jiedao</t>
  </si>
  <si>
    <t>Fengjigou Xiang</t>
  </si>
  <si>
    <t>Fengling Xiang</t>
  </si>
  <si>
    <t>Fengzhuang Xiang</t>
  </si>
  <si>
    <t>Funingjie Jiedao</t>
  </si>
  <si>
    <t>Gancheng Xiang</t>
  </si>
  <si>
    <t>Gaoren Xiang</t>
  </si>
  <si>
    <t>Gaoshawo Zhen</t>
  </si>
  <si>
    <t>Gaoya Xiang</t>
  </si>
  <si>
    <t>Gaozha Zhen</t>
  </si>
  <si>
    <t>Gaozhuang Xiang</t>
  </si>
  <si>
    <t>Goukou Jiedao</t>
  </si>
  <si>
    <t>Guanqiao Xiang</t>
  </si>
  <si>
    <t>Guanting Zhen [incl. Qinghe Zhen]</t>
  </si>
  <si>
    <t>Guanzhuang Xiang (Guyuan Shi)</t>
  </si>
  <si>
    <t>Guanzhuang Xiang (Zhongwei Shi)</t>
  </si>
  <si>
    <t>Gucheng Zhen (Guyuan Shi)</t>
  </si>
  <si>
    <t>Gucheng Zhen (Wuzhong Shi)</t>
  </si>
  <si>
    <t>Guojiaqiao Xiang [Guoqiao]</t>
  </si>
  <si>
    <t>Guoying Nonglin Muchang</t>
  </si>
  <si>
    <t>Haicheng Zhen</t>
  </si>
  <si>
    <t>Hanjiaoshui Xiang</t>
  </si>
  <si>
    <t>Haojiaqiao Zhen</t>
  </si>
  <si>
    <t>Haoshui Xiang</t>
  </si>
  <si>
    <t>Hebin Jiedao</t>
  </si>
  <si>
    <t>Hechuan Xiang</t>
  </si>
  <si>
    <t>Helanshan Xilu Jiedao</t>
  </si>
  <si>
    <t>Hexi Zhen</t>
  </si>
  <si>
    <t>Hongguang Zhen</t>
  </si>
  <si>
    <t>Hongguozi Zhen</t>
  </si>
  <si>
    <t>Honghe Zhen</t>
  </si>
  <si>
    <t>Hongsibao Gongye Yuanqu Guanweihui</t>
  </si>
  <si>
    <t>Hongsibao Zhen [incl. Xinmin Jiedao]</t>
  </si>
  <si>
    <t>Hongyang Xiang</t>
  </si>
  <si>
    <t>Hongyao Xiang</t>
  </si>
  <si>
    <t>Hongyazi Xiang</t>
  </si>
  <si>
    <t>Huamachi Zhen</t>
  </si>
  <si>
    <t>Huanghe Donglu Jiedao</t>
  </si>
  <si>
    <t>Huanghua Xiang</t>
  </si>
  <si>
    <t>Huangquqiao Zhen</t>
  </si>
  <si>
    <t>Huangyangtan Nongchang</t>
  </si>
  <si>
    <t>Hui'anbao Zhen</t>
  </si>
  <si>
    <t>Huochezhan Jiedao</t>
  </si>
  <si>
    <t>Huoshizhai Xiang</t>
  </si>
  <si>
    <t>Jiangtai Jiedao [Jiangtai Xiang]</t>
  </si>
  <si>
    <t>Jianquan Nongchang</t>
  </si>
  <si>
    <t>Jiaocha Xiang</t>
  </si>
  <si>
    <t>Jiatang Xiang</t>
  </si>
  <si>
    <t>Jiefang Xijie Jiedao</t>
  </si>
  <si>
    <t>Jingheyuan Zhen</t>
  </si>
  <si>
    <t>Jingui Zhen</t>
  </si>
  <si>
    <t>Jingxingnong Muchang</t>
  </si>
  <si>
    <t>Jinji Zhen</t>
  </si>
  <si>
    <t>Jinlin Jiedao</t>
  </si>
  <si>
    <t>Jinxing Zhen</t>
  </si>
  <si>
    <t>Jinyintan Zhen</t>
  </si>
  <si>
    <t>Jiqiang Zhen</t>
  </si>
  <si>
    <t>Jiucai Xiang</t>
  </si>
  <si>
    <t>Jujing Zhen</t>
  </si>
  <si>
    <t>Kaicheng Zhen</t>
  </si>
  <si>
    <t>Laocheng Guanli Bangongshi</t>
  </si>
  <si>
    <t>Liancai Zhen</t>
  </si>
  <si>
    <t>Liangtian Zhen</t>
  </si>
  <si>
    <t>Liangzhong Fanzhi Chang</t>
  </si>
  <si>
    <t>Lianhu Nongchang</t>
  </si>
  <si>
    <t>Ligang Zhen</t>
  </si>
  <si>
    <t>Lihe Xiang</t>
  </si>
  <si>
    <t>Lijingjie Jiedao</t>
  </si>
  <si>
    <t>Lijun Xiang</t>
  </si>
  <si>
    <t>Lijun Zhen</t>
  </si>
  <si>
    <t>Lingsha Xiang</t>
  </si>
  <si>
    <t>Lingwu Nongchang</t>
  </si>
  <si>
    <t>Linhe Zhen</t>
  </si>
  <si>
    <t>Liupanshan Zhen</t>
  </si>
  <si>
    <t>Liwang Zhen</t>
  </si>
  <si>
    <t>Luowa Xiang</t>
  </si>
  <si>
    <t>Magaozhuang Xiang</t>
  </si>
  <si>
    <t>Mahuangshan Xiang</t>
  </si>
  <si>
    <t>Majian Xiang</t>
  </si>
  <si>
    <t>Majiatan Zhen</t>
  </si>
  <si>
    <t>Malian Xiang</t>
  </si>
  <si>
    <t>Malianqu Xiang</t>
  </si>
  <si>
    <t>Mancheng Beijie Jiedao</t>
  </si>
  <si>
    <t>Mengyuan Xiang</t>
  </si>
  <si>
    <t>Miaotai Xiang</t>
  </si>
  <si>
    <t>Mingsha Zhen</t>
  </si>
  <si>
    <t>Minning Zhen</t>
  </si>
  <si>
    <t>Nanguan Jiedao [incl. Zhongshan Jiedao, Guyan Jiedao, Beiyuan Jiedao]</t>
  </si>
  <si>
    <t>Nanhuashan Ziran Baohu Qu Guanlichu</t>
  </si>
  <si>
    <t>Nanjie Jiedao</t>
  </si>
  <si>
    <t>Nanliang Taizi Guanweihui</t>
  </si>
  <si>
    <t>Ning'an Zhen</t>
  </si>
  <si>
    <t>Ningdong Zhen</t>
  </si>
  <si>
    <t>Ninghualu Jiedao</t>
  </si>
  <si>
    <t>Ningxia Yuanzhongchang</t>
  </si>
  <si>
    <t>Nuanquan Nongchang</t>
  </si>
  <si>
    <t>Pengbao Zhen</t>
  </si>
  <si>
    <t>Piancheng Xiang</t>
  </si>
  <si>
    <t>Pingfeng Zhen</t>
  </si>
  <si>
    <t>Qianjin Nongchang</t>
  </si>
  <si>
    <t>Qianjinjie Jiedao</t>
  </si>
  <si>
    <t>Qingshan Jiedao</t>
  </si>
  <si>
    <t>Qingshan Xiang</t>
  </si>
  <si>
    <t>Qingtongxia Zhen</t>
  </si>
  <si>
    <t>Qiying Zhen</t>
  </si>
  <si>
    <t>Qukou Nongchang</t>
  </si>
  <si>
    <t>Qukou Xiang</t>
  </si>
  <si>
    <t>Renminlu Jiedao</t>
  </si>
  <si>
    <t>Rouyuan Zhen</t>
  </si>
  <si>
    <t>Sanhe Zhen [Heicheng Zhen]</t>
  </si>
  <si>
    <t>Sanying Zhen</t>
  </si>
  <si>
    <t>Shagou Xiang</t>
  </si>
  <si>
    <t>Shanghai Xilu Jiedao</t>
  </si>
  <si>
    <t>Shangqiao Zhen</t>
  </si>
  <si>
    <t>Shanhe Xiang</t>
  </si>
  <si>
    <t>Shaogang Zhen</t>
  </si>
  <si>
    <t>Shatang Zhen</t>
  </si>
  <si>
    <t>Shengli Xiang</t>
  </si>
  <si>
    <t>Shengli Zhen</t>
  </si>
  <si>
    <t>Shenglijie Jiedao</t>
  </si>
  <si>
    <t>Shenlin Xiang</t>
  </si>
  <si>
    <t>Shidian Xiang</t>
  </si>
  <si>
    <t>Shikong Zhen</t>
  </si>
  <si>
    <t>Shitanjing Jiedao</t>
  </si>
  <si>
    <t>Shizi Xiang</t>
  </si>
  <si>
    <t>Shuofanglu Jiedao</t>
  </si>
  <si>
    <t>Shutai Xiang</t>
  </si>
  <si>
    <t>Shuxin Linchang</t>
  </si>
  <si>
    <t>Sunjiatan Guanweihui</t>
  </si>
  <si>
    <t>Taiyangshan Kaifaqu</t>
  </si>
  <si>
    <t>Taiyangshan Zhen</t>
  </si>
  <si>
    <t>Tanshan Xiang</t>
  </si>
  <si>
    <t>Taole Zhen</t>
  </si>
  <si>
    <t>Tianlaozhuang Xiang</t>
  </si>
  <si>
    <t>Tianping Xiang</t>
  </si>
  <si>
    <t>Tongfu Xiang</t>
  </si>
  <si>
    <t>Tonggui Xiang</t>
  </si>
  <si>
    <t>Touying Zhen</t>
  </si>
  <si>
    <t>Touzha Zhen</t>
  </si>
  <si>
    <t>Wanghong Zhen</t>
  </si>
  <si>
    <t>Wanglejing Xiang</t>
  </si>
  <si>
    <t>Wangmin Xiang</t>
  </si>
  <si>
    <t>Wangtuan Zhen</t>
  </si>
  <si>
    <t>Wangwa Zhen</t>
  </si>
  <si>
    <t>Wangyuan Zhen</t>
  </si>
  <si>
    <t>Weizha Zhen</t>
  </si>
  <si>
    <t>Weizhou Zhen</t>
  </si>
  <si>
    <t>Wenbao Xiang</t>
  </si>
  <si>
    <t>Wenchang Zhen</t>
  </si>
  <si>
    <t>Wenchanglu Jiedao</t>
  </si>
  <si>
    <t>Wenhuajie Jiedao</t>
  </si>
  <si>
    <t>Wutongshu Xiang</t>
  </si>
  <si>
    <t>Xi Huayuan Lu Jiedao</t>
  </si>
  <si>
    <t>Xiakou Zhen</t>
  </si>
  <si>
    <t>Xiamaguan Zhen</t>
  </si>
  <si>
    <t>Xi'an Zhen</t>
  </si>
  <si>
    <t>Xiangshan Xiang</t>
  </si>
  <si>
    <t>Xiangshui Zhen</t>
  </si>
  <si>
    <t>Xiaoba Zhen</t>
  </si>
  <si>
    <t>Xiaocha Xiang</t>
  </si>
  <si>
    <t>Xiaohe Xiang</t>
  </si>
  <si>
    <t>Xigang Zhen</t>
  </si>
  <si>
    <t>Xinbao Zhen</t>
  </si>
  <si>
    <t>Xinghai Zhen [Longhu Jingji Kaifaqu]</t>
  </si>
  <si>
    <t>Xingjing Zhen</t>
  </si>
  <si>
    <t>Xinglong Xiang</t>
  </si>
  <si>
    <t>Xinglong Zhen</t>
  </si>
  <si>
    <t>Xingping Xiang</t>
  </si>
  <si>
    <t>Xingren Zhen [incl. Haochuan Xiang]</t>
  </si>
  <si>
    <t>Xingsheng Xiang</t>
  </si>
  <si>
    <t>Xinhuajie Jiedao</t>
  </si>
  <si>
    <t>Xinji Xiang</t>
  </si>
  <si>
    <t>Xinmin Xiang</t>
  </si>
  <si>
    <t>Xinying Xiang</t>
  </si>
  <si>
    <t>Xinzhuang Ji Xiang [Nanchuan Xiang]</t>
  </si>
  <si>
    <t>Xitan Xiang</t>
  </si>
  <si>
    <t>Xuanhe Zhen</t>
  </si>
  <si>
    <t>Xutao Xiang</t>
  </si>
  <si>
    <t>Yanghe Xiang</t>
  </si>
  <si>
    <t>Yanghe Zhen</t>
  </si>
  <si>
    <t>Yanzidun Xiang</t>
  </si>
  <si>
    <t>Yaofu Zhen</t>
  </si>
  <si>
    <t>Yesheng Zhen</t>
  </si>
  <si>
    <t>Yingshuiqiao Zhen</t>
  </si>
  <si>
    <t>Yingulu Jiedao</t>
  </si>
  <si>
    <t>Yongkang Zhen</t>
  </si>
  <si>
    <t>Yuanyi Zhen</t>
  </si>
  <si>
    <t>Yucailu Jiedao</t>
  </si>
  <si>
    <t>Yuding Xiang</t>
  </si>
  <si>
    <t>Yueyahu Xiang</t>
  </si>
  <si>
    <t>Yuhai Zhen</t>
  </si>
  <si>
    <t>Yuhuangge Beijie Jiedao</t>
  </si>
  <si>
    <t>Yumin Jiedao</t>
  </si>
  <si>
    <t>Yuquanying Nongchang</t>
  </si>
  <si>
    <t>Yuwang Zhen</t>
  </si>
  <si>
    <t>Zhaike Xiang</t>
  </si>
  <si>
    <t>Zhangcheng Xiang</t>
  </si>
  <si>
    <t>Zhangjiayuan Xiang</t>
  </si>
  <si>
    <t>Zhangyi Zhen</t>
  </si>
  <si>
    <t>Zhangzheng Zhen</t>
  </si>
  <si>
    <t>Zhenbeibao Zhen</t>
  </si>
  <si>
    <t>Zhengqi Xiang</t>
  </si>
  <si>
    <t>Zhenhu Xiang</t>
  </si>
  <si>
    <t>Zhenluo Zhen</t>
  </si>
  <si>
    <t>Zhonghe Xiang</t>
  </si>
  <si>
    <t>Zhongjie Jiedao</t>
  </si>
  <si>
    <t>Zhongshan Nanjie Jiedao</t>
  </si>
  <si>
    <t>Zhongwei Gongye Yuanqu [Meili Gongye Yuanqu]</t>
  </si>
  <si>
    <t>Zhongwei Shanyang Xuanyu Chang</t>
  </si>
  <si>
    <t>Zhongyang Chang</t>
  </si>
  <si>
    <t>Zhouta Xiang</t>
  </si>
  <si>
    <t>Column113</t>
  </si>
  <si>
    <t>Column114</t>
  </si>
  <si>
    <t>Gŭchéng (Gùyuán)</t>
  </si>
  <si>
    <t>Gŭchéng (Wúzhōng)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</si>
</sst>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EE88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CC33"/>
        <bgColor indexed="64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left" vertical="top"/>
    </xf>
    <xf numFmtId="3" fontId="1" fillId="2" borderId="1" xfId="0" applyNumberFormat="1" applyFont="1" applyFill="1" applyBorder="1" applyAlignment="1">
      <alignment horizontal="right" vertical="top"/>
    </xf>
    <xf numFmtId="0" fontId="1" fillId="2" borderId="1" xfId="0" applyFont="1" applyFill="1" applyBorder="1" applyAlignment="1">
      <alignment horizontal="right" vertical="top"/>
    </xf>
    <xf numFmtId="0" fontId="1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3" fontId="2" fillId="4" borderId="1" xfId="0" applyNumberFormat="1" applyFont="1" applyFill="1" applyBorder="1" applyAlignment="1">
      <alignment horizontal="right" vertical="top"/>
    </xf>
    <xf numFmtId="0" fontId="2" fillId="5" borderId="2" xfId="0" applyFont="1" applyFill="1" applyBorder="1" applyAlignment="1">
      <alignment horizontal="left" vertical="top"/>
    </xf>
    <xf numFmtId="3" fontId="2" fillId="5" borderId="2" xfId="0" applyNumberFormat="1" applyFont="1" applyFill="1" applyBorder="1" applyAlignment="1">
      <alignment horizontal="right" vertical="top"/>
    </xf>
    <xf numFmtId="0" fontId="1" fillId="2" borderId="3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3" borderId="1" xfId="0" applyFont="1" applyFill="1" applyBorder="1" applyAlignment="1">
      <alignment horizontal="right" vertical="top"/>
    </xf>
    <xf numFmtId="3" fontId="1" fillId="2" borderId="3" xfId="0" applyNumberFormat="1" applyFont="1" applyFill="1" applyBorder="1" applyAlignment="1">
      <alignment horizontal="right" vertical="top"/>
    </xf>
    <xf numFmtId="3" fontId="1" fillId="2" borderId="2" xfId="0" applyNumberFormat="1" applyFont="1" applyFill="1" applyBorder="1" applyAlignment="1">
      <alignment horizontal="right" vertical="top"/>
    </xf>
    <xf numFmtId="0" fontId="1" fillId="2" borderId="0" xfId="0" applyFont="1" applyFill="1" applyAlignment="1">
      <alignment horizontal="left" vertical="top"/>
    </xf>
    <xf numFmtId="0" fontId="0" fillId="0" borderId="0" xfId="0" applyNumberFormat="1"/>
  </cellXfs>
  <cellStyles count="1">
    <cellStyle name="Normal" xfId="0" builtinId="0"/>
  </cellStyles>
  <dxfs count="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ght\OneDrive\Desktop\data\china\china-towns-xlsx.xlsx" TargetMode="External"/><Relationship Id="rId1" Type="http://schemas.openxmlformats.org/officeDocument/2006/relationships/externalLinkPath" Target="/Users/night/OneDrive/Desktop/data/china/china-towns-xls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na-towns-second (2)"/>
      <sheetName val="Sheet2"/>
      <sheetName val="Sheet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7A6A1A-5F79-4A08-9B1F-B851122F08EA}" name="Table1" displayName="Table1" ref="A1:G63" totalsRowShown="0" headerRowDxfId="94" dataDxfId="93">
  <autoFilter ref="A1:G63" xr:uid="{B67A6A1A-5F79-4A08-9B1F-B851122F08EA}"/>
  <tableColumns count="7">
    <tableColumn id="1" xr3:uid="{CD8175EA-D02F-4345-A567-B64C1753C98E}" name="Name" dataDxfId="92"/>
    <tableColumn id="2" xr3:uid="{C60A114D-A930-4974-93E1-BF31676A984C}" name="Native" dataDxfId="91"/>
    <tableColumn id="3" xr3:uid="{2FB8AA08-E076-4728-B222-B2B51EDD9308}" name="Status" dataDxfId="90"/>
    <tableColumn id="4" xr3:uid="{FDEE7CB9-BD53-47D5-B54D-5B4A68DA0A77}" name="City / District / County" dataDxfId="89"/>
    <tableColumn id="5" xr3:uid="{59D227BA-3213-42DC-BCC3-67012776C315}" name="Population" dataDxfId="88"/>
    <tableColumn id="6" xr3:uid="{8F5079AA-2771-43CD-A6FD-25E2765F59EF}" name="Column1" dataDxfId="87">
      <calculatedColumnFormula>VLOOKUP(D2,Table6[[Name]:[Native]],3,FALSE)</calculatedColumnFormula>
    </tableColumn>
    <tableColumn id="7" xr3:uid="{2402DBF2-EC26-495B-A0E6-BD49EC0DBB4F}" name="Column2" dataDxfId="86">
      <calculatedColumnFormula>VLOOKUP(F2,Table6[[Native]:[Population4]],5,FALSE)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05568F5-C89E-44B9-B61F-2841F365BA7E}" name="Table2" displayName="Table2" ref="A1:G41" totalsRowShown="0" headerRowDxfId="85" dataDxfId="84">
  <autoFilter ref="A1:G41" xr:uid="{405568F5-C89E-44B9-B61F-2841F365BA7E}"/>
  <tableColumns count="7">
    <tableColumn id="1" xr3:uid="{7FCDF1DE-6C9C-47BC-AA7A-B5BE0C643D08}" name="Name" dataDxfId="83"/>
    <tableColumn id="2" xr3:uid="{87BA4946-8A7D-451B-8ED9-590018523B89}" name="Native" dataDxfId="82"/>
    <tableColumn id="3" xr3:uid="{2048AAB4-0741-4186-BB23-73139A133113}" name="Status" dataDxfId="81"/>
    <tableColumn id="4" xr3:uid="{9808B29B-EAB6-4AE5-B3D0-FBF91C92508E}" name="City / District / County" dataDxfId="80"/>
    <tableColumn id="5" xr3:uid="{68DEA1C2-E0D9-4AB3-A336-9D2797D0DFAA}" name="Population" dataDxfId="79"/>
    <tableColumn id="6" xr3:uid="{787632FF-F942-47CF-B691-EB7FFF882296}" name="Column1" dataDxfId="78">
      <calculatedColumnFormula>VLOOKUP(D2,Table6[[Name]:[Native]],3,FALSE)</calculatedColumnFormula>
    </tableColumn>
    <tableColumn id="7" xr3:uid="{A51374E2-99C9-449D-B693-39A5CEEB900A}" name="Column2" dataDxfId="77">
      <calculatedColumnFormula>VLOOKUP(F2,Table6[[Native]:[Population4]],5,FALSE)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E2D570-A544-4DD7-A951-88DE0B116844}" name="Table3" displayName="Table3" ref="A1:G51" totalsRowShown="0" headerRowDxfId="76" dataDxfId="75">
  <autoFilter ref="A1:G51" xr:uid="{3EE2D570-A544-4DD7-A951-88DE0B116844}"/>
  <tableColumns count="7">
    <tableColumn id="1" xr3:uid="{9CC2A090-5E29-4E52-8C38-EB434B475E6A}" name="Name" dataDxfId="74"/>
    <tableColumn id="2" xr3:uid="{6119DBB5-DDC1-46A1-A387-3B99676CBAA0}" name="Native" dataDxfId="73"/>
    <tableColumn id="3" xr3:uid="{11D1AA57-BD01-47B3-8AC5-FCDAA54667F2}" name="Status" dataDxfId="72"/>
    <tableColumn id="4" xr3:uid="{0096E9BC-3455-4D05-8E83-135A6944D2F6}" name="City / District / County" dataDxfId="71"/>
    <tableColumn id="5" xr3:uid="{52C1E9D6-FB4C-4689-81BF-F60BDDE7869F}" name="Population" dataDxfId="70"/>
    <tableColumn id="6" xr3:uid="{7E437863-F530-4BA5-A78B-84CF83B0B310}" name="Column1" dataDxfId="69">
      <calculatedColumnFormula>VLOOKUP(D2,Table6[[Name]:[Native]],3,FALSE)</calculatedColumnFormula>
    </tableColumn>
    <tableColumn id="7" xr3:uid="{E5A20171-E201-400C-9DBD-2A28165334CC}" name="Column2" dataDxfId="68">
      <calculatedColumnFormula>VLOOKUP(F2,Table6[[Native]:[Population4]],5,FALSE)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0A8E68-4E2C-4255-9C6A-AADACF350115}" name="Table4" displayName="Table4" ref="A1:G58" totalsRowShown="0" headerRowDxfId="67" dataDxfId="66">
  <autoFilter ref="A1:G58" xr:uid="{F10A8E68-4E2C-4255-9C6A-AADACF350115}"/>
  <tableColumns count="7">
    <tableColumn id="1" xr3:uid="{53231ED2-57D6-490F-87AA-2E6DEB3C1D24}" name="Name" dataDxfId="65"/>
    <tableColumn id="2" xr3:uid="{5C129BAA-AA21-4131-82DC-C24D2CDF172C}" name="Native" dataDxfId="64"/>
    <tableColumn id="3" xr3:uid="{AA8116F4-F439-4E84-8474-84B9202D58F2}" name="Status" dataDxfId="63"/>
    <tableColumn id="4" xr3:uid="{C06133FF-1CE9-4CFA-A365-AA722C0A12D3}" name="City / District / County" dataDxfId="62"/>
    <tableColumn id="5" xr3:uid="{DD7D72F1-7E53-4784-ACC2-DD2F9617F99D}" name="Population" dataDxfId="61"/>
    <tableColumn id="6" xr3:uid="{22654CC1-110B-4D92-ABD2-61ABD8916AD1}" name="Column1" dataDxfId="60">
      <calculatedColumnFormula>VLOOKUP(D2,Table6[[Name]:[Native]],3,FALSE)</calculatedColumnFormula>
    </tableColumn>
    <tableColumn id="7" xr3:uid="{39AF3DF1-CB65-489F-9E6C-B46700E3B744}" name="Column2" dataDxfId="59">
      <calculatedColumnFormula>VLOOKUP(F2,Table6[[Native]:[Population4]],5,FALSE)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8821C2-C3F7-43B6-A286-A1B42B2D1525}" name="Table5" displayName="Table5" ref="A1:G47" totalsRowShown="0" headerRowDxfId="58" dataDxfId="57">
  <autoFilter ref="A1:G47" xr:uid="{0A8821C2-C3F7-43B6-A286-A1B42B2D1525}"/>
  <tableColumns count="7">
    <tableColumn id="1" xr3:uid="{15EC5896-366C-4A5D-8DF2-16D15FD3430F}" name="Name" dataDxfId="56"/>
    <tableColumn id="2" xr3:uid="{E687BD82-E538-4049-87A5-E14C2781163F}" name="Native" dataDxfId="55"/>
    <tableColumn id="3" xr3:uid="{83910088-E899-4C7B-B158-A66DB03EC74D}" name="Status" dataDxfId="54"/>
    <tableColumn id="4" xr3:uid="{8BDE4F79-7B79-45DA-8853-7483A8D5817A}" name="City / District / County" dataDxfId="53"/>
    <tableColumn id="5" xr3:uid="{AF13049A-C9E6-473F-901C-1F24468A1254}" name="Population" dataDxfId="52"/>
    <tableColumn id="6" xr3:uid="{A7D48B3F-72CB-4257-88A5-EA83C6DACB6A}" name="Column1" dataDxfId="51">
      <calculatedColumnFormula>VLOOKUP(D2,Table6[[Name]:[Native]],3,FALSE)</calculatedColumnFormula>
    </tableColumn>
    <tableColumn id="7" xr3:uid="{742BFA01-0CF6-49AB-97E2-C1B0BE3DDD71}" name="Column2" dataDxfId="50">
      <calculatedColumnFormula>VLOOKUP(F2,Table6[[Native]:[Population4]],5,FALSE)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3FA188-F3DA-4E1D-A741-8E7A59730B4B}" name="Table7" displayName="Table7" ref="A1:P256" totalsRowShown="0">
  <autoFilter ref="A1:P256" xr:uid="{2C3FA188-F3DA-4E1D-A741-8E7A59730B4B}">
    <filterColumn colId="4">
      <filters>
        <filter val="Town"/>
      </filters>
    </filterColumn>
  </autoFilter>
  <sortState xmlns:xlrd2="http://schemas.microsoft.com/office/spreadsheetml/2017/richdata2" ref="A2:N256">
    <sortCondition ref="A1:A256"/>
  </sortState>
  <tableColumns count="16">
    <tableColumn id="1" xr3:uid="{D23479D0-6317-4E25-A9A7-337AD85CB932}" name="Column1"/>
    <tableColumn id="10" xr3:uid="{3B7ABAE0-075E-47C8-9AA2-5F1AD628E465}" name="Column12" dataDxfId="30">
      <calculatedColumnFormula>IF(COUNTIF(A:A,A2)&gt;1,_xlfn.CONCAT(A2," (",N2,")"),A2)</calculatedColumnFormula>
    </tableColumn>
    <tableColumn id="11" xr3:uid="{B8FE292B-BCC2-46D8-A70C-075607291C4B}" name="Column13" dataDxfId="29">
      <calculatedColumnFormula>IF(COUNTIF(B:B,B2)&gt;1,_xlfn.CONCAT(A2," (",M2,")"),B2)</calculatedColumnFormula>
    </tableColumn>
    <tableColumn id="2" xr3:uid="{18249046-DDDA-40EE-A342-C5F4AE59192E}" name="Column2"/>
    <tableColumn id="3" xr3:uid="{EC92F6BE-F75E-49D5-88C0-274BDC45822F}" name="Column3"/>
    <tableColumn id="4" xr3:uid="{C37CEE94-81C9-4120-BBCA-B22075F6D1FC}" name="Column4" dataDxfId="28">
      <calculatedColumnFormula>_xlfn.CONCAT(D2,", ",H2,", ",I2,", ","宁夏回族自治区")</calculatedColumnFormula>
    </tableColumn>
    <tableColumn id="5" xr3:uid="{0A0D3676-7159-45A1-80C0-76D1C344B2DA}" name="Column5"/>
    <tableColumn id="6" xr3:uid="{DADD84ED-E163-4948-A5B5-087130074FE4}" name="Column6"/>
    <tableColumn id="7" xr3:uid="{CCFC997A-B306-4BB8-91F2-C9FA430716EE}" name="Column7"/>
    <tableColumn id="8" xr3:uid="{8FFB488A-44BB-4731-B5C4-6EFAB75488FF}" name="Column8" dataDxfId="27">
      <calculatedColumnFormula>VLOOKUP(F2,[1]!china_towns_second__2[[Column1]:[Y]],3,FALSE)</calculatedColumnFormula>
    </tableColumn>
    <tableColumn id="9" xr3:uid="{60F753D8-C7FF-47B2-8E0C-BFC7EEFB5218}" name="Column9" dataDxfId="26">
      <calculatedColumnFormula>VLOOKUP(F2,[1]!china_towns_second__2[[Column1]:[Y]],2,FALSE)</calculatedColumnFormula>
    </tableColumn>
    <tableColumn id="12" xr3:uid="{A1E3C8C6-0B7E-4747-9962-79017960E48E}" name="Column10"/>
    <tableColumn id="13" xr3:uid="{C61534B5-D04B-4D32-9A58-401048C40A4D}" name="Column11" dataDxfId="25">
      <calculatedColumnFormula>VLOOKUP(H2,CHOOSE({1,2},Table6[Native],Table6[Name]),2,0)</calculatedColumnFormula>
    </tableColumn>
    <tableColumn id="14" xr3:uid="{1E973BE4-CC80-4202-A5B3-3DB285DA17AE}" name="Column112" dataDxfId="24">
      <calculatedColumnFormula>VLOOKUP(I2,CHOOSE({1,2},Table6[Native],Table6[Name]),2,0)</calculatedColumnFormula>
    </tableColumn>
    <tableColumn id="15" xr3:uid="{377A364B-DE57-4DF9-B7E9-73B2372CAA22}" name="Column113" dataDxfId="23">
      <calculatedColumnFormula>_xlfn.CONCAT(L2," (",N2,")")</calculatedColumnFormula>
    </tableColumn>
    <tableColumn id="16" xr3:uid="{C39A244C-473D-437E-9761-BD2E58A872FB}" name="Column114" dataDxfId="22">
      <calculatedColumnFormula>IF(COUNTIF(O:O,O2)&gt;1,_xlfn.CONCAT(L2," (",M2,")"),O2)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477B9C-C643-46E2-892B-AC3D713ABFEE}" name="Table8" displayName="Table8" ref="A1:E8" totalsRowShown="0">
  <autoFilter ref="A1:E8" xr:uid="{0B477B9C-C643-46E2-892B-AC3D713ABFEE}"/>
  <tableColumns count="5">
    <tableColumn id="1" xr3:uid="{493C44AD-22CE-41D8-ABB5-DA39B8BB0529}" name="Column1"/>
    <tableColumn id="3" xr3:uid="{E15C8E4A-1C9E-4986-8330-563955226991}" name="Column12" dataDxfId="49">
      <calculatedColumnFormula>VLOOKUP(A2,CHOOSE({1,2},Table6[Native],Table6[Name]),2,0)</calculatedColumnFormula>
    </tableColumn>
    <tableColumn id="2" xr3:uid="{5971B8BC-1A19-4C80-AD27-15573FF8CDCA}" name="Column2"/>
    <tableColumn id="4" xr3:uid="{44275F06-260B-4E08-BD86-D343DE40BDDF}" name="Column3" dataDxfId="48">
      <calculatedColumnFormula>VLOOKUP(A2,[1]!Table1[[name]:[@lon]],5,0)</calculatedColumnFormula>
    </tableColumn>
    <tableColumn id="5" xr3:uid="{AA213ADD-D92A-4F5C-B97C-7F234C361F49}" name="Column4" dataDxfId="47">
      <calculatedColumnFormula>VLOOKUP(A2,[1]!Table1[[name]:[@lon]],6,0)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CF66ED-8268-4DF0-AA30-2D22989666DE}" name="Table6" displayName="Table6" ref="A1:G29" totalsRowShown="0" headerRowDxfId="46" dataDxfId="45" tableBorderDxfId="44">
  <autoFilter ref="A1:G29" xr:uid="{D5CF66ED-8268-4DF0-AA30-2D22989666DE}"/>
  <tableColumns count="7">
    <tableColumn id="1" xr3:uid="{E0710F18-AD19-4B79-936B-3B65D61B83CD}" name="Name" dataDxfId="43"/>
    <tableColumn id="2" xr3:uid="{863F7D0D-9790-4110-9FE3-7A20D082496F}" name="Status" dataDxfId="42"/>
    <tableColumn id="3" xr3:uid="{CD689D4F-225A-4D75-876F-BE2249F0D8DE}" name="Native" dataDxfId="41"/>
    <tableColumn id="4" xr3:uid="{53E28C56-4264-4D80-A1DD-E8C2BEF38D76}" name="Population" dataDxfId="40"/>
    <tableColumn id="5" xr3:uid="{117386C1-EE8D-451E-BDD0-68761CA90859}" name="Population2" dataDxfId="39"/>
    <tableColumn id="6" xr3:uid="{9D7EAEA6-5DB2-4EBC-9EEC-AFE9981074E6}" name="Population3" dataDxfId="38"/>
    <tableColumn id="7" xr3:uid="{72267DF6-43B3-44A0-81CD-C775125C7A50}" name="Population4" dataDxfId="37">
      <calculatedColumnFormula array="1">IF(Background=36,C2,G1)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D603-2695-42DC-869F-E138692D07A5}">
  <dimension ref="A1:G63"/>
  <sheetViews>
    <sheetView workbookViewId="0">
      <selection activeCell="A2" sqref="A2:G63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579</v>
      </c>
      <c r="G1" t="s">
        <v>581</v>
      </c>
    </row>
    <row r="2" spans="1:7" ht="15.75" thickBot="1" x14ac:dyDescent="0.3">
      <c r="A2" t="s">
        <v>5</v>
      </c>
      <c r="B2" s="1" t="s">
        <v>6</v>
      </c>
      <c r="C2" s="1" t="s">
        <v>7</v>
      </c>
      <c r="D2" s="1" t="s">
        <v>8</v>
      </c>
      <c r="E2" s="3">
        <v>52691</v>
      </c>
      <c r="F2" s="9" t="str">
        <f>VLOOKUP(D2,Table6[[Name]:[Native]],3,FALSE)</f>
        <v>彭阳县</v>
      </c>
      <c r="G2" s="14" t="str">
        <f ca="1">VLOOKUP(F2,Table6[[Native]:[Population4]],5,FALSE)</f>
        <v>固原市</v>
      </c>
    </row>
    <row r="3" spans="1:7" ht="15.75" thickBot="1" x14ac:dyDescent="0.3">
      <c r="A3" t="s">
        <v>9</v>
      </c>
      <c r="B3" s="1" t="s">
        <v>10</v>
      </c>
      <c r="C3" s="1" t="s">
        <v>11</v>
      </c>
      <c r="D3" s="1" t="s">
        <v>12</v>
      </c>
      <c r="E3" s="3">
        <v>13665</v>
      </c>
      <c r="F3" s="1" t="str">
        <f>VLOOKUP(D3,Table6[[Name]:[Native]],3,FALSE)</f>
        <v>西吉县</v>
      </c>
      <c r="G3" s="14" t="str">
        <f ca="1">VLOOKUP(F3,Table6[[Native]:[Population4]],5,FALSE)</f>
        <v>固原市</v>
      </c>
    </row>
    <row r="4" spans="1:7" ht="15.75" thickBot="1" x14ac:dyDescent="0.3">
      <c r="A4" t="s">
        <v>13</v>
      </c>
      <c r="B4" s="1" t="s">
        <v>14</v>
      </c>
      <c r="C4" s="1" t="s">
        <v>11</v>
      </c>
      <c r="D4" s="1" t="s">
        <v>8</v>
      </c>
      <c r="E4" s="3">
        <v>11253</v>
      </c>
      <c r="F4" s="1" t="str">
        <f>VLOOKUP(D4,Table6[[Name]:[Native]],3,FALSE)</f>
        <v>彭阳县</v>
      </c>
      <c r="G4" s="14" t="str">
        <f ca="1">VLOOKUP(F4,Table6[[Native]:[Population4]],5,FALSE)</f>
        <v>固原市</v>
      </c>
    </row>
    <row r="5" spans="1:7" ht="15.75" thickBot="1" x14ac:dyDescent="0.3">
      <c r="A5" t="s">
        <v>15</v>
      </c>
      <c r="B5" s="1" t="s">
        <v>16</v>
      </c>
      <c r="C5" s="1" t="s">
        <v>7</v>
      </c>
      <c r="D5" s="1" t="s">
        <v>17</v>
      </c>
      <c r="E5" s="3">
        <v>39117</v>
      </c>
      <c r="F5" s="1" t="str">
        <f>VLOOKUP(D5,Table6[[Name]:[Native]],3,FALSE)</f>
        <v>隆德县</v>
      </c>
      <c r="G5" s="14" t="str">
        <f ca="1">VLOOKUP(F5,Table6[[Native]:[Population4]],5,FALSE)</f>
        <v>固原市</v>
      </c>
    </row>
    <row r="6" spans="1:7" ht="15.75" thickBot="1" x14ac:dyDescent="0.3">
      <c r="A6" t="s">
        <v>18</v>
      </c>
      <c r="B6" s="1" t="s">
        <v>19</v>
      </c>
      <c r="C6" s="1" t="s">
        <v>11</v>
      </c>
      <c r="D6" s="1" t="s">
        <v>8</v>
      </c>
      <c r="E6" s="3">
        <v>15352</v>
      </c>
      <c r="F6" s="1" t="str">
        <f>VLOOKUP(D6,Table6[[Name]:[Native]],3,FALSE)</f>
        <v>彭阳县</v>
      </c>
      <c r="G6" s="14" t="str">
        <f ca="1">VLOOKUP(F6,Table6[[Native]:[Population4]],5,FALSE)</f>
        <v>固原市</v>
      </c>
    </row>
    <row r="7" spans="1:7" ht="15.75" thickBot="1" x14ac:dyDescent="0.3">
      <c r="A7" t="s">
        <v>20</v>
      </c>
      <c r="B7" s="1" t="s">
        <v>21</v>
      </c>
      <c r="C7" s="1" t="s">
        <v>11</v>
      </c>
      <c r="D7" s="1" t="s">
        <v>17</v>
      </c>
      <c r="E7" s="3">
        <v>5634</v>
      </c>
      <c r="F7" s="1" t="str">
        <f>VLOOKUP(D7,Table6[[Name]:[Native]],3,FALSE)</f>
        <v>隆德县</v>
      </c>
      <c r="G7" s="14" t="str">
        <f ca="1">VLOOKUP(F7,Table6[[Native]:[Population4]],5,FALSE)</f>
        <v>固原市</v>
      </c>
    </row>
    <row r="8" spans="1:7" ht="15.75" thickBot="1" x14ac:dyDescent="0.3">
      <c r="A8" t="s">
        <v>22</v>
      </c>
      <c r="B8" s="1" t="s">
        <v>23</v>
      </c>
      <c r="C8" s="1" t="s">
        <v>11</v>
      </c>
      <c r="D8" s="1" t="s">
        <v>24</v>
      </c>
      <c r="E8" s="3">
        <v>10201</v>
      </c>
      <c r="F8" s="1" t="str">
        <f>VLOOKUP(D8,Table6[[Name]:[Native]],3,FALSE)</f>
        <v>泾源县</v>
      </c>
      <c r="G8" s="14" t="str">
        <f ca="1">VLOOKUP(F8,Table6[[Native]:[Population4]],5,FALSE)</f>
        <v>固原市</v>
      </c>
    </row>
    <row r="9" spans="1:7" ht="15.75" thickBot="1" x14ac:dyDescent="0.3">
      <c r="A9" t="s">
        <v>25</v>
      </c>
      <c r="B9" s="1" t="s">
        <v>26</v>
      </c>
      <c r="C9" s="1" t="s">
        <v>11</v>
      </c>
      <c r="D9" s="1" t="s">
        <v>17</v>
      </c>
      <c r="E9" s="3">
        <v>6387</v>
      </c>
      <c r="F9" s="1" t="str">
        <f>VLOOKUP(D9,Table6[[Name]:[Native]],3,FALSE)</f>
        <v>隆德县</v>
      </c>
      <c r="G9" s="14" t="str">
        <f ca="1">VLOOKUP(F9,Table6[[Native]:[Population4]],5,FALSE)</f>
        <v>固原市</v>
      </c>
    </row>
    <row r="10" spans="1:7" ht="15.75" thickBot="1" x14ac:dyDescent="0.3">
      <c r="A10" t="s">
        <v>27</v>
      </c>
      <c r="B10" s="1" t="s">
        <v>28</v>
      </c>
      <c r="C10" s="1" t="s">
        <v>11</v>
      </c>
      <c r="D10" s="1" t="s">
        <v>17</v>
      </c>
      <c r="E10" s="3">
        <v>10598</v>
      </c>
      <c r="F10" s="1" t="str">
        <f>VLOOKUP(D10,Table6[[Name]:[Native]],3,FALSE)</f>
        <v>隆德县</v>
      </c>
      <c r="G10" s="14" t="str">
        <f ca="1">VLOOKUP(F10,Table6[[Native]:[Population4]],5,FALSE)</f>
        <v>固原市</v>
      </c>
    </row>
    <row r="11" spans="1:7" ht="15.75" thickBot="1" x14ac:dyDescent="0.3">
      <c r="A11" t="s">
        <v>29</v>
      </c>
      <c r="B11" s="1" t="s">
        <v>30</v>
      </c>
      <c r="C11" s="1" t="s">
        <v>11</v>
      </c>
      <c r="D11" s="1" t="s">
        <v>8</v>
      </c>
      <c r="E11" s="3">
        <v>7174</v>
      </c>
      <c r="F11" s="1" t="str">
        <f>VLOOKUP(D11,Table6[[Name]:[Native]],3,FALSE)</f>
        <v>彭阳县</v>
      </c>
      <c r="G11" s="14" t="str">
        <f ca="1">VLOOKUP(F11,Table6[[Native]:[Population4]],5,FALSE)</f>
        <v>固原市</v>
      </c>
    </row>
    <row r="12" spans="1:7" ht="15.75" thickBot="1" x14ac:dyDescent="0.3">
      <c r="A12" t="s">
        <v>31</v>
      </c>
      <c r="B12" s="1" t="s">
        <v>32</v>
      </c>
      <c r="C12" s="1" t="s">
        <v>7</v>
      </c>
      <c r="D12" s="1" t="s">
        <v>33</v>
      </c>
      <c r="E12" s="3">
        <v>41571</v>
      </c>
      <c r="F12" s="1" t="str">
        <f>VLOOKUP(D12,Table6[[Name]:[Native]],3,FALSE)</f>
        <v>原州区</v>
      </c>
      <c r="G12" s="14" t="str">
        <f ca="1">VLOOKUP(F12,Table6[[Native]:[Population4]],5,FALSE)</f>
        <v>固原市</v>
      </c>
    </row>
    <row r="13" spans="1:7" ht="15.75" thickBot="1" x14ac:dyDescent="0.3">
      <c r="A13" t="s">
        <v>34</v>
      </c>
      <c r="B13" s="1" t="s">
        <v>35</v>
      </c>
      <c r="C13" s="1" t="s">
        <v>11</v>
      </c>
      <c r="D13" s="1" t="s">
        <v>17</v>
      </c>
      <c r="E13" s="3">
        <v>17592</v>
      </c>
      <c r="F13" s="1" t="str">
        <f>VLOOKUP(D13,Table6[[Name]:[Native]],3,FALSE)</f>
        <v>隆德县</v>
      </c>
      <c r="G13" s="14" t="str">
        <f ca="1">VLOOKUP(F13,Table6[[Native]:[Population4]],5,FALSE)</f>
        <v>固原市</v>
      </c>
    </row>
    <row r="14" spans="1:7" ht="15.75" thickBot="1" x14ac:dyDescent="0.3">
      <c r="A14" t="s">
        <v>36</v>
      </c>
      <c r="B14" s="1" t="s">
        <v>37</v>
      </c>
      <c r="C14" s="1" t="s">
        <v>7</v>
      </c>
      <c r="D14" s="1" t="s">
        <v>8</v>
      </c>
      <c r="E14" s="3">
        <v>22259</v>
      </c>
      <c r="F14" s="1" t="str">
        <f>VLOOKUP(D14,Table6[[Name]:[Native]],3,FALSE)</f>
        <v>彭阳县</v>
      </c>
      <c r="G14" s="14" t="str">
        <f ca="1">VLOOKUP(F14,Table6[[Native]:[Population4]],5,FALSE)</f>
        <v>固原市</v>
      </c>
    </row>
    <row r="15" spans="1:7" ht="15.75" thickBot="1" x14ac:dyDescent="0.3">
      <c r="A15" t="s">
        <v>38</v>
      </c>
      <c r="B15" s="1" t="s">
        <v>39</v>
      </c>
      <c r="C15" s="1" t="s">
        <v>11</v>
      </c>
      <c r="D15" s="1" t="s">
        <v>17</v>
      </c>
      <c r="E15" s="3">
        <v>6878</v>
      </c>
      <c r="F15" s="1" t="str">
        <f>VLOOKUP(D15,Table6[[Name]:[Native]],3,FALSE)</f>
        <v>隆德县</v>
      </c>
      <c r="G15" s="14" t="str">
        <f ca="1">VLOOKUP(F15,Table6[[Native]:[Population4]],5,FALSE)</f>
        <v>固原市</v>
      </c>
    </row>
    <row r="16" spans="1:7" ht="15.75" thickBot="1" x14ac:dyDescent="0.3">
      <c r="A16" t="s">
        <v>40</v>
      </c>
      <c r="B16" s="1" t="s">
        <v>41</v>
      </c>
      <c r="C16" s="1" t="s">
        <v>11</v>
      </c>
      <c r="D16" s="1" t="s">
        <v>33</v>
      </c>
      <c r="E16" s="3">
        <v>8591</v>
      </c>
      <c r="F16" s="1" t="str">
        <f>VLOOKUP(D16,Table6[[Name]:[Native]],3,FALSE)</f>
        <v>原州区</v>
      </c>
      <c r="G16" s="14" t="str">
        <f ca="1">VLOOKUP(F16,Table6[[Native]:[Population4]],5,FALSE)</f>
        <v>固原市</v>
      </c>
    </row>
    <row r="17" spans="1:7" ht="15.75" thickBot="1" x14ac:dyDescent="0.3">
      <c r="A17" t="s">
        <v>42</v>
      </c>
      <c r="B17" s="1" t="s">
        <v>43</v>
      </c>
      <c r="C17" s="1" t="s">
        <v>7</v>
      </c>
      <c r="D17" s="1" t="s">
        <v>8</v>
      </c>
      <c r="E17" s="3">
        <v>17833</v>
      </c>
      <c r="F17" s="1" t="str">
        <f>VLOOKUP(D17,Table6[[Name]:[Native]],3,FALSE)</f>
        <v>彭阳县</v>
      </c>
      <c r="G17" s="14" t="str">
        <f ca="1">VLOOKUP(F17,Table6[[Native]:[Population4]],5,FALSE)</f>
        <v>固原市</v>
      </c>
    </row>
    <row r="18" spans="1:7" ht="15.75" thickBot="1" x14ac:dyDescent="0.3">
      <c r="A18" t="s">
        <v>44</v>
      </c>
      <c r="B18" s="1" t="s">
        <v>45</v>
      </c>
      <c r="C18" s="1" t="s">
        <v>11</v>
      </c>
      <c r="D18" s="1" t="s">
        <v>12</v>
      </c>
      <c r="E18" s="3">
        <v>7160</v>
      </c>
      <c r="F18" s="1" t="str">
        <f>VLOOKUP(D18,Table6[[Name]:[Native]],3,FALSE)</f>
        <v>西吉县</v>
      </c>
      <c r="G18" s="14" t="str">
        <f ca="1">VLOOKUP(F18,Table6[[Native]:[Population4]],5,FALSE)</f>
        <v>固原市</v>
      </c>
    </row>
    <row r="19" spans="1:7" ht="15.75" thickBot="1" x14ac:dyDescent="0.3">
      <c r="A19" t="s">
        <v>46</v>
      </c>
      <c r="B19" s="1" t="s">
        <v>47</v>
      </c>
      <c r="C19" s="1" t="s">
        <v>11</v>
      </c>
      <c r="D19" s="1" t="s">
        <v>24</v>
      </c>
      <c r="E19" s="3">
        <v>9383</v>
      </c>
      <c r="F19" s="1" t="str">
        <f>VLOOKUP(D19,Table6[[Name]:[Native]],3,FALSE)</f>
        <v>泾源县</v>
      </c>
      <c r="G19" s="14" t="str">
        <f ca="1">VLOOKUP(F19,Table6[[Native]:[Population4]],5,FALSE)</f>
        <v>固原市</v>
      </c>
    </row>
    <row r="20" spans="1:7" ht="15.75" thickBot="1" x14ac:dyDescent="0.3">
      <c r="A20" t="s">
        <v>48</v>
      </c>
      <c r="B20" s="1" t="s">
        <v>49</v>
      </c>
      <c r="C20" s="1" t="s">
        <v>11</v>
      </c>
      <c r="D20" s="1" t="s">
        <v>12</v>
      </c>
      <c r="E20" s="3">
        <v>11669</v>
      </c>
      <c r="F20" s="1" t="str">
        <f>VLOOKUP(D20,Table6[[Name]:[Native]],3,FALSE)</f>
        <v>西吉县</v>
      </c>
      <c r="G20" s="14" t="str">
        <f ca="1">VLOOKUP(F20,Table6[[Native]:[Population4]],5,FALSE)</f>
        <v>固原市</v>
      </c>
    </row>
    <row r="21" spans="1:7" ht="15.75" thickBot="1" x14ac:dyDescent="0.3">
      <c r="A21" t="s">
        <v>50</v>
      </c>
      <c r="B21" s="1" t="s">
        <v>51</v>
      </c>
      <c r="C21" s="1" t="s">
        <v>52</v>
      </c>
      <c r="D21" s="1" t="s">
        <v>12</v>
      </c>
      <c r="E21" s="3">
        <v>18564</v>
      </c>
      <c r="F21" s="1" t="str">
        <f>VLOOKUP(D21,Table6[[Name]:[Native]],3,FALSE)</f>
        <v>西吉县</v>
      </c>
      <c r="G21" s="14" t="str">
        <f ca="1">VLOOKUP(F21,Table6[[Native]:[Population4]],5,FALSE)</f>
        <v>固原市</v>
      </c>
    </row>
    <row r="22" spans="1:7" ht="15.75" thickBot="1" x14ac:dyDescent="0.3">
      <c r="A22" t="s">
        <v>53</v>
      </c>
      <c r="B22" s="1" t="s">
        <v>54</v>
      </c>
      <c r="C22" s="1" t="s">
        <v>11</v>
      </c>
      <c r="D22" s="1" t="s">
        <v>8</v>
      </c>
      <c r="E22" s="3">
        <v>4554</v>
      </c>
      <c r="F22" s="1" t="str">
        <f>VLOOKUP(D22,Table6[[Name]:[Native]],3,FALSE)</f>
        <v>彭阳县</v>
      </c>
      <c r="G22" s="14" t="str">
        <f ca="1">VLOOKUP(F22,Table6[[Native]:[Population4]],5,FALSE)</f>
        <v>固原市</v>
      </c>
    </row>
    <row r="23" spans="1:7" ht="15.75" thickBot="1" x14ac:dyDescent="0.3">
      <c r="A23" t="s">
        <v>55</v>
      </c>
      <c r="B23" s="1" t="s">
        <v>56</v>
      </c>
      <c r="C23" s="1" t="s">
        <v>7</v>
      </c>
      <c r="D23" s="1" t="s">
        <v>24</v>
      </c>
      <c r="E23" s="3">
        <v>18147</v>
      </c>
      <c r="F23" s="1" t="str">
        <f>VLOOKUP(D23,Table6[[Name]:[Native]],3,FALSE)</f>
        <v>泾源县</v>
      </c>
      <c r="G23" s="14" t="str">
        <f ca="1">VLOOKUP(F23,Table6[[Native]:[Population4]],5,FALSE)</f>
        <v>固原市</v>
      </c>
    </row>
    <row r="24" spans="1:7" ht="15.75" thickBot="1" x14ac:dyDescent="0.3">
      <c r="A24" t="s">
        <v>57</v>
      </c>
      <c r="B24" s="1" t="s">
        <v>58</v>
      </c>
      <c r="C24" s="1" t="s">
        <v>7</v>
      </c>
      <c r="D24" s="1" t="s">
        <v>12</v>
      </c>
      <c r="E24" s="3">
        <v>79348</v>
      </c>
      <c r="F24" s="1" t="str">
        <f>VLOOKUP(D24,Table6[[Name]:[Native]],3,FALSE)</f>
        <v>西吉县</v>
      </c>
      <c r="G24" s="14" t="str">
        <f ca="1">VLOOKUP(F24,Table6[[Native]:[Population4]],5,FALSE)</f>
        <v>固原市</v>
      </c>
    </row>
    <row r="25" spans="1:7" ht="15.75" thickBot="1" x14ac:dyDescent="0.3">
      <c r="A25" t="s">
        <v>59</v>
      </c>
      <c r="B25" s="1" t="s">
        <v>60</v>
      </c>
      <c r="C25" s="1" t="s">
        <v>7</v>
      </c>
      <c r="D25" s="1" t="s">
        <v>33</v>
      </c>
      <c r="E25" s="3">
        <v>31516</v>
      </c>
      <c r="F25" s="1" t="str">
        <f>VLOOKUP(D25,Table6[[Name]:[Native]],3,FALSE)</f>
        <v>原州区</v>
      </c>
      <c r="G25" s="14" t="str">
        <f ca="1">VLOOKUP(F25,Table6[[Native]:[Population4]],5,FALSE)</f>
        <v>固原市</v>
      </c>
    </row>
    <row r="26" spans="1:7" ht="15.75" thickBot="1" x14ac:dyDescent="0.3">
      <c r="A26" t="s">
        <v>61</v>
      </c>
      <c r="B26" s="1" t="s">
        <v>62</v>
      </c>
      <c r="C26" s="1" t="s">
        <v>7</v>
      </c>
      <c r="D26" s="1" t="s">
        <v>17</v>
      </c>
      <c r="E26" s="3">
        <v>9594</v>
      </c>
      <c r="F26" s="1" t="str">
        <f>VLOOKUP(D26,Table6[[Name]:[Native]],3,FALSE)</f>
        <v>隆德县</v>
      </c>
      <c r="G26" s="14" t="str">
        <f ca="1">VLOOKUP(F26,Table6[[Native]:[Population4]],5,FALSE)</f>
        <v>固原市</v>
      </c>
    </row>
    <row r="27" spans="1:7" ht="15.75" thickBot="1" x14ac:dyDescent="0.3">
      <c r="A27" t="s">
        <v>63</v>
      </c>
      <c r="B27" s="1" t="s">
        <v>64</v>
      </c>
      <c r="C27" s="1" t="s">
        <v>7</v>
      </c>
      <c r="D27" s="1" t="s">
        <v>24</v>
      </c>
      <c r="E27" s="3">
        <v>13344</v>
      </c>
      <c r="F27" s="1" t="str">
        <f>VLOOKUP(D27,Table6[[Name]:[Native]],3,FALSE)</f>
        <v>泾源县</v>
      </c>
      <c r="G27" s="14" t="str">
        <f ca="1">VLOOKUP(F27,Table6[[Native]:[Population4]],5,FALSE)</f>
        <v>固原市</v>
      </c>
    </row>
    <row r="28" spans="1:7" ht="15.75" thickBot="1" x14ac:dyDescent="0.3">
      <c r="A28" t="s">
        <v>65</v>
      </c>
      <c r="B28" s="1" t="s">
        <v>66</v>
      </c>
      <c r="C28" s="1" t="s">
        <v>11</v>
      </c>
      <c r="D28" s="1" t="s">
        <v>8</v>
      </c>
      <c r="E28" s="3">
        <v>5008</v>
      </c>
      <c r="F28" s="1" t="str">
        <f>VLOOKUP(D28,Table6[[Name]:[Native]],3,FALSE)</f>
        <v>彭阳县</v>
      </c>
      <c r="G28" s="14" t="str">
        <f ca="1">VLOOKUP(F28,Table6[[Native]:[Population4]],5,FALSE)</f>
        <v>固原市</v>
      </c>
    </row>
    <row r="29" spans="1:7" ht="15.75" thickBot="1" x14ac:dyDescent="0.3">
      <c r="A29" t="s">
        <v>67</v>
      </c>
      <c r="B29" s="1" t="s">
        <v>68</v>
      </c>
      <c r="C29" s="1" t="s">
        <v>11</v>
      </c>
      <c r="D29" s="1" t="s">
        <v>12</v>
      </c>
      <c r="E29" s="3">
        <v>13961</v>
      </c>
      <c r="F29" s="1" t="str">
        <f>VLOOKUP(D29,Table6[[Name]:[Native]],3,FALSE)</f>
        <v>西吉县</v>
      </c>
      <c r="G29" s="14" t="str">
        <f ca="1">VLOOKUP(F29,Table6[[Native]:[Population4]],5,FALSE)</f>
        <v>固原市</v>
      </c>
    </row>
    <row r="30" spans="1:7" ht="15.75" thickBot="1" x14ac:dyDescent="0.3">
      <c r="A30" t="s">
        <v>69</v>
      </c>
      <c r="B30" s="1" t="s">
        <v>70</v>
      </c>
      <c r="C30" s="1" t="s">
        <v>11</v>
      </c>
      <c r="D30" s="1" t="s">
        <v>12</v>
      </c>
      <c r="E30" s="3">
        <v>15155</v>
      </c>
      <c r="F30" s="1" t="str">
        <f>VLOOKUP(D30,Table6[[Name]:[Native]],3,FALSE)</f>
        <v>西吉县</v>
      </c>
      <c r="G30" s="14" t="str">
        <f ca="1">VLOOKUP(F30,Table6[[Native]:[Population4]],5,FALSE)</f>
        <v>固原市</v>
      </c>
    </row>
    <row r="31" spans="1:7" ht="15.75" thickBot="1" x14ac:dyDescent="0.3">
      <c r="A31" t="s">
        <v>71</v>
      </c>
      <c r="B31" s="1" t="s">
        <v>72</v>
      </c>
      <c r="C31" s="1" t="s">
        <v>11</v>
      </c>
      <c r="D31" s="1" t="s">
        <v>8</v>
      </c>
      <c r="E31" s="3">
        <v>11365</v>
      </c>
      <c r="F31" s="1" t="str">
        <f>VLOOKUP(D31,Table6[[Name]:[Native]],3,FALSE)</f>
        <v>彭阳县</v>
      </c>
      <c r="G31" s="14" t="str">
        <f ca="1">VLOOKUP(F31,Table6[[Native]:[Population4]],5,FALSE)</f>
        <v>固原市</v>
      </c>
    </row>
    <row r="32" spans="1:7" ht="15.75" thickBot="1" x14ac:dyDescent="0.3">
      <c r="A32" t="s">
        <v>73</v>
      </c>
      <c r="B32" s="1" t="s">
        <v>74</v>
      </c>
      <c r="C32" s="1" t="s">
        <v>52</v>
      </c>
      <c r="D32" s="1" t="s">
        <v>33</v>
      </c>
      <c r="E32" s="3">
        <v>142505</v>
      </c>
      <c r="F32" s="1" t="str">
        <f>VLOOKUP(D32,Table6[[Name]:[Native]],3,FALSE)</f>
        <v>原州区</v>
      </c>
      <c r="G32" s="14" t="str">
        <f ca="1">VLOOKUP(F32,Table6[[Native]:[Population4]],5,FALSE)</f>
        <v>固原市</v>
      </c>
    </row>
    <row r="33" spans="1:7" ht="15.75" thickBot="1" x14ac:dyDescent="0.3">
      <c r="A33" t="s">
        <v>75</v>
      </c>
      <c r="B33" s="1" t="s">
        <v>76</v>
      </c>
      <c r="C33" s="1" t="s">
        <v>7</v>
      </c>
      <c r="D33" s="1" t="s">
        <v>33</v>
      </c>
      <c r="E33" s="3">
        <v>21652</v>
      </c>
      <c r="F33" s="1" t="str">
        <f>VLOOKUP(D33,Table6[[Name]:[Native]],3,FALSE)</f>
        <v>原州区</v>
      </c>
      <c r="G33" s="14" t="str">
        <f ca="1">VLOOKUP(F33,Table6[[Native]:[Population4]],5,FALSE)</f>
        <v>固原市</v>
      </c>
    </row>
    <row r="34" spans="1:7" ht="15.75" thickBot="1" x14ac:dyDescent="0.3">
      <c r="A34" t="s">
        <v>77</v>
      </c>
      <c r="B34" s="1" t="s">
        <v>78</v>
      </c>
      <c r="C34" s="1" t="s">
        <v>11</v>
      </c>
      <c r="D34" s="1" t="s">
        <v>12</v>
      </c>
      <c r="E34" s="3">
        <v>19706</v>
      </c>
      <c r="F34" s="1" t="str">
        <f>VLOOKUP(D34,Table6[[Name]:[Native]],3,FALSE)</f>
        <v>西吉县</v>
      </c>
      <c r="G34" s="14" t="str">
        <f ca="1">VLOOKUP(F34,Table6[[Native]:[Population4]],5,FALSE)</f>
        <v>固原市</v>
      </c>
    </row>
    <row r="35" spans="1:7" ht="15.75" thickBot="1" x14ac:dyDescent="0.3">
      <c r="A35" t="s">
        <v>79</v>
      </c>
      <c r="B35" s="1" t="s">
        <v>80</v>
      </c>
      <c r="C35" s="1" t="s">
        <v>7</v>
      </c>
      <c r="D35" s="1" t="s">
        <v>12</v>
      </c>
      <c r="E35" s="3">
        <v>17972</v>
      </c>
      <c r="F35" s="1" t="str">
        <f>VLOOKUP(D35,Table6[[Name]:[Native]],3,FALSE)</f>
        <v>西吉县</v>
      </c>
      <c r="G35" s="14" t="str">
        <f ca="1">VLOOKUP(F35,Table6[[Native]:[Population4]],5,FALSE)</f>
        <v>固原市</v>
      </c>
    </row>
    <row r="36" spans="1:7" ht="15.75" thickBot="1" x14ac:dyDescent="0.3">
      <c r="A36" t="s">
        <v>81</v>
      </c>
      <c r="B36" s="1" t="s">
        <v>82</v>
      </c>
      <c r="C36" s="1" t="s">
        <v>7</v>
      </c>
      <c r="D36" s="1" t="s">
        <v>33</v>
      </c>
      <c r="E36" s="3">
        <v>43237</v>
      </c>
      <c r="F36" s="1" t="str">
        <f>VLOOKUP(D36,Table6[[Name]:[Native]],3,FALSE)</f>
        <v>原州区</v>
      </c>
      <c r="G36" s="14" t="str">
        <f ca="1">VLOOKUP(F36,Table6[[Native]:[Population4]],5,FALSE)</f>
        <v>固原市</v>
      </c>
    </row>
    <row r="37" spans="1:7" ht="15.75" thickBot="1" x14ac:dyDescent="0.3">
      <c r="A37" t="s">
        <v>83</v>
      </c>
      <c r="B37" s="1" t="s">
        <v>84</v>
      </c>
      <c r="C37" s="1" t="s">
        <v>11</v>
      </c>
      <c r="D37" s="1" t="s">
        <v>12</v>
      </c>
      <c r="E37" s="3">
        <v>12500</v>
      </c>
      <c r="F37" s="1" t="str">
        <f>VLOOKUP(D37,Table6[[Name]:[Native]],3,FALSE)</f>
        <v>西吉县</v>
      </c>
      <c r="G37" s="14" t="str">
        <f ca="1">VLOOKUP(F37,Table6[[Native]:[Population4]],5,FALSE)</f>
        <v>固原市</v>
      </c>
    </row>
    <row r="38" spans="1:7" ht="15.75" thickBot="1" x14ac:dyDescent="0.3">
      <c r="A38" t="s">
        <v>85</v>
      </c>
      <c r="B38" s="1" t="s">
        <v>86</v>
      </c>
      <c r="C38" s="1" t="s">
        <v>11</v>
      </c>
      <c r="D38" s="1" t="s">
        <v>17</v>
      </c>
      <c r="E38" s="3">
        <v>6536</v>
      </c>
      <c r="F38" s="1" t="str">
        <f>VLOOKUP(D38,Table6[[Name]:[Native]],3,FALSE)</f>
        <v>隆德县</v>
      </c>
      <c r="G38" s="14" t="str">
        <f ca="1">VLOOKUP(F38,Table6[[Native]:[Population4]],5,FALSE)</f>
        <v>固原市</v>
      </c>
    </row>
    <row r="39" spans="1:7" ht="15.75" thickBot="1" x14ac:dyDescent="0.3">
      <c r="A39" t="s">
        <v>87</v>
      </c>
      <c r="B39" s="1" t="s">
        <v>88</v>
      </c>
      <c r="C39" s="1" t="s">
        <v>7</v>
      </c>
      <c r="D39" s="1" t="s">
        <v>17</v>
      </c>
      <c r="E39" s="3">
        <v>12523</v>
      </c>
      <c r="F39" s="1" t="str">
        <f>VLOOKUP(D39,Table6[[Name]:[Native]],3,FALSE)</f>
        <v>隆德县</v>
      </c>
      <c r="G39" s="14" t="str">
        <f ca="1">VLOOKUP(F39,Table6[[Native]:[Population4]],5,FALSE)</f>
        <v>固原市</v>
      </c>
    </row>
    <row r="40" spans="1:7" ht="15.75" thickBot="1" x14ac:dyDescent="0.3">
      <c r="A40" t="s">
        <v>89</v>
      </c>
      <c r="B40" s="1" t="s">
        <v>90</v>
      </c>
      <c r="C40" s="1" t="s">
        <v>11</v>
      </c>
      <c r="D40" s="1" t="s">
        <v>17</v>
      </c>
      <c r="E40" s="3">
        <v>8832</v>
      </c>
      <c r="F40" s="1" t="str">
        <f>VLOOKUP(D40,Table6[[Name]:[Native]],3,FALSE)</f>
        <v>隆德县</v>
      </c>
      <c r="G40" s="14" t="str">
        <f ca="1">VLOOKUP(F40,Table6[[Native]:[Population4]],5,FALSE)</f>
        <v>固原市</v>
      </c>
    </row>
    <row r="41" spans="1:7" ht="15.75" thickBot="1" x14ac:dyDescent="0.3">
      <c r="A41" t="s">
        <v>91</v>
      </c>
      <c r="B41" s="1" t="s">
        <v>92</v>
      </c>
      <c r="C41" s="1" t="s">
        <v>11</v>
      </c>
      <c r="D41" s="1" t="s">
        <v>12</v>
      </c>
      <c r="E41" s="3">
        <v>16727</v>
      </c>
      <c r="F41" s="1" t="str">
        <f>VLOOKUP(D41,Table6[[Name]:[Native]],3,FALSE)</f>
        <v>西吉县</v>
      </c>
      <c r="G41" s="14" t="str">
        <f ca="1">VLOOKUP(F41,Table6[[Native]:[Population4]],5,FALSE)</f>
        <v>固原市</v>
      </c>
    </row>
    <row r="42" spans="1:7" ht="15.75" thickBot="1" x14ac:dyDescent="0.3">
      <c r="A42" t="s">
        <v>93</v>
      </c>
      <c r="B42" s="1" t="s">
        <v>94</v>
      </c>
      <c r="C42" s="1" t="s">
        <v>11</v>
      </c>
      <c r="D42" s="1" t="s">
        <v>33</v>
      </c>
      <c r="E42" s="3">
        <v>9490</v>
      </c>
      <c r="F42" s="1" t="str">
        <f>VLOOKUP(D42,Table6[[Name]:[Native]],3,FALSE)</f>
        <v>原州区</v>
      </c>
      <c r="G42" s="14" t="str">
        <f ca="1">VLOOKUP(F42,Table6[[Native]:[Population4]],5,FALSE)</f>
        <v>固原市</v>
      </c>
    </row>
    <row r="43" spans="1:7" ht="15.75" thickBot="1" x14ac:dyDescent="0.3">
      <c r="A43" t="s">
        <v>95</v>
      </c>
      <c r="B43" s="1" t="s">
        <v>96</v>
      </c>
      <c r="C43" s="1" t="s">
        <v>11</v>
      </c>
      <c r="D43" s="1" t="s">
        <v>12</v>
      </c>
      <c r="E43" s="3">
        <v>9130</v>
      </c>
      <c r="F43" s="1" t="str">
        <f>VLOOKUP(D43,Table6[[Name]:[Native]],3,FALSE)</f>
        <v>西吉县</v>
      </c>
      <c r="G43" s="14" t="str">
        <f ca="1">VLOOKUP(F43,Table6[[Native]:[Population4]],5,FALSE)</f>
        <v>固原市</v>
      </c>
    </row>
    <row r="44" spans="1:7" ht="15.75" thickBot="1" x14ac:dyDescent="0.3">
      <c r="A44" t="s">
        <v>97</v>
      </c>
      <c r="B44" s="1" t="s">
        <v>98</v>
      </c>
      <c r="C44" s="1" t="s">
        <v>7</v>
      </c>
      <c r="D44" s="1" t="s">
        <v>33</v>
      </c>
      <c r="E44" s="3">
        <v>43698</v>
      </c>
      <c r="F44" s="1" t="str">
        <f>VLOOKUP(D44,Table6[[Name]:[Native]],3,FALSE)</f>
        <v>原州区</v>
      </c>
      <c r="G44" s="14" t="str">
        <f ca="1">VLOOKUP(F44,Table6[[Native]:[Population4]],5,FALSE)</f>
        <v>固原市</v>
      </c>
    </row>
    <row r="45" spans="1:7" ht="15.75" thickBot="1" x14ac:dyDescent="0.3">
      <c r="A45" t="s">
        <v>99</v>
      </c>
      <c r="B45" s="1" t="s">
        <v>100</v>
      </c>
      <c r="C45" s="1" t="s">
        <v>11</v>
      </c>
      <c r="D45" s="1" t="s">
        <v>12</v>
      </c>
      <c r="E45" s="3">
        <v>8638</v>
      </c>
      <c r="F45" s="1" t="str">
        <f>VLOOKUP(D45,Table6[[Name]:[Native]],3,FALSE)</f>
        <v>西吉县</v>
      </c>
      <c r="G45" s="14" t="str">
        <f ca="1">VLOOKUP(F45,Table6[[Native]:[Population4]],5,FALSE)</f>
        <v>固原市</v>
      </c>
    </row>
    <row r="46" spans="1:7" ht="15.75" thickBot="1" x14ac:dyDescent="0.3">
      <c r="A46" t="s">
        <v>101</v>
      </c>
      <c r="B46" s="1" t="s">
        <v>102</v>
      </c>
      <c r="C46" s="1" t="s">
        <v>7</v>
      </c>
      <c r="D46" s="1" t="s">
        <v>8</v>
      </c>
      <c r="E46" s="3">
        <v>20300</v>
      </c>
      <c r="F46" s="1" t="str">
        <f>VLOOKUP(D46,Table6[[Name]:[Native]],3,FALSE)</f>
        <v>彭阳县</v>
      </c>
      <c r="G46" s="14" t="str">
        <f ca="1">VLOOKUP(F46,Table6[[Native]:[Population4]],5,FALSE)</f>
        <v>固原市</v>
      </c>
    </row>
    <row r="47" spans="1:7" ht="15.75" thickBot="1" x14ac:dyDescent="0.3">
      <c r="A47" t="s">
        <v>103</v>
      </c>
      <c r="B47" s="1" t="s">
        <v>104</v>
      </c>
      <c r="C47" s="1" t="s">
        <v>11</v>
      </c>
      <c r="D47" s="1" t="s">
        <v>17</v>
      </c>
      <c r="E47" s="3">
        <v>18308</v>
      </c>
      <c r="F47" s="1" t="str">
        <f>VLOOKUP(D47,Table6[[Name]:[Native]],3,FALSE)</f>
        <v>隆德县</v>
      </c>
      <c r="G47" s="14" t="str">
        <f ca="1">VLOOKUP(F47,Table6[[Native]:[Population4]],5,FALSE)</f>
        <v>固原市</v>
      </c>
    </row>
    <row r="48" spans="1:7" ht="15.75" thickBot="1" x14ac:dyDescent="0.3">
      <c r="A48" t="s">
        <v>105</v>
      </c>
      <c r="B48" s="1" t="s">
        <v>106</v>
      </c>
      <c r="C48" s="1" t="s">
        <v>7</v>
      </c>
      <c r="D48" s="1" t="s">
        <v>24</v>
      </c>
      <c r="E48" s="3">
        <v>29798</v>
      </c>
      <c r="F48" s="1" t="str">
        <f>VLOOKUP(D48,Table6[[Name]:[Native]],3,FALSE)</f>
        <v>泾源县</v>
      </c>
      <c r="G48" s="14" t="str">
        <f ca="1">VLOOKUP(F48,Table6[[Native]:[Population4]],5,FALSE)</f>
        <v>固原市</v>
      </c>
    </row>
    <row r="49" spans="1:7" ht="15.75" thickBot="1" x14ac:dyDescent="0.3">
      <c r="A49" t="s">
        <v>107</v>
      </c>
      <c r="B49" s="1" t="s">
        <v>108</v>
      </c>
      <c r="C49" s="1" t="s">
        <v>11</v>
      </c>
      <c r="D49" s="1" t="s">
        <v>8</v>
      </c>
      <c r="E49" s="3">
        <v>4317</v>
      </c>
      <c r="F49" s="1" t="str">
        <f>VLOOKUP(D49,Table6[[Name]:[Native]],3,FALSE)</f>
        <v>彭阳县</v>
      </c>
      <c r="G49" s="14" t="str">
        <f ca="1">VLOOKUP(F49,Table6[[Native]:[Population4]],5,FALSE)</f>
        <v>固原市</v>
      </c>
    </row>
    <row r="50" spans="1:7" ht="15.75" thickBot="1" x14ac:dyDescent="0.3">
      <c r="A50" t="s">
        <v>109</v>
      </c>
      <c r="B50" s="1" t="s">
        <v>110</v>
      </c>
      <c r="C50" s="1" t="s">
        <v>11</v>
      </c>
      <c r="D50" s="1" t="s">
        <v>12</v>
      </c>
      <c r="E50" s="3">
        <v>12932</v>
      </c>
      <c r="F50" s="1" t="str">
        <f>VLOOKUP(D50,Table6[[Name]:[Native]],3,FALSE)</f>
        <v>西吉县</v>
      </c>
      <c r="G50" s="14" t="str">
        <f ca="1">VLOOKUP(F50,Table6[[Native]:[Population4]],5,FALSE)</f>
        <v>固原市</v>
      </c>
    </row>
    <row r="51" spans="1:7" ht="15.75" thickBot="1" x14ac:dyDescent="0.3">
      <c r="A51" t="s">
        <v>111</v>
      </c>
      <c r="B51" s="1" t="s">
        <v>112</v>
      </c>
      <c r="C51" s="1" t="s">
        <v>7</v>
      </c>
      <c r="D51" s="1" t="s">
        <v>12</v>
      </c>
      <c r="E51" s="3">
        <v>35705</v>
      </c>
      <c r="F51" s="1" t="str">
        <f>VLOOKUP(D51,Table6[[Name]:[Native]],3,FALSE)</f>
        <v>西吉县</v>
      </c>
      <c r="G51" s="14" t="str">
        <f ca="1">VLOOKUP(F51,Table6[[Native]:[Population4]],5,FALSE)</f>
        <v>固原市</v>
      </c>
    </row>
    <row r="52" spans="1:7" ht="15.75" thickBot="1" x14ac:dyDescent="0.3">
      <c r="A52" t="s">
        <v>113</v>
      </c>
      <c r="B52" s="1" t="s">
        <v>114</v>
      </c>
      <c r="C52" s="1" t="s">
        <v>11</v>
      </c>
      <c r="D52" s="1" t="s">
        <v>12</v>
      </c>
      <c r="E52" s="3">
        <v>15633</v>
      </c>
      <c r="F52" s="1" t="str">
        <f>VLOOKUP(D52,Table6[[Name]:[Native]],3,FALSE)</f>
        <v>西吉县</v>
      </c>
      <c r="G52" s="14" t="str">
        <f ca="1">VLOOKUP(F52,Table6[[Native]:[Population4]],5,FALSE)</f>
        <v>固原市</v>
      </c>
    </row>
    <row r="53" spans="1:7" ht="15.75" thickBot="1" x14ac:dyDescent="0.3">
      <c r="A53" t="s">
        <v>115</v>
      </c>
      <c r="B53" s="1" t="s">
        <v>116</v>
      </c>
      <c r="C53" s="1" t="s">
        <v>11</v>
      </c>
      <c r="D53" s="1" t="s">
        <v>24</v>
      </c>
      <c r="E53" s="3">
        <v>8486</v>
      </c>
      <c r="F53" s="1" t="str">
        <f>VLOOKUP(D53,Table6[[Name]:[Native]],3,FALSE)</f>
        <v>泾源县</v>
      </c>
      <c r="G53" s="14" t="str">
        <f ca="1">VLOOKUP(F53,Table6[[Native]:[Population4]],5,FALSE)</f>
        <v>固原市</v>
      </c>
    </row>
    <row r="54" spans="1:7" ht="15.75" thickBot="1" x14ac:dyDescent="0.3">
      <c r="A54" t="s">
        <v>117</v>
      </c>
      <c r="B54" s="1" t="s">
        <v>118</v>
      </c>
      <c r="C54" s="1" t="s">
        <v>11</v>
      </c>
      <c r="D54" s="1" t="s">
        <v>8</v>
      </c>
      <c r="E54" s="3">
        <v>28095</v>
      </c>
      <c r="F54" s="1" t="str">
        <f>VLOOKUP(D54,Table6[[Name]:[Native]],3,FALSE)</f>
        <v>彭阳县</v>
      </c>
      <c r="G54" s="14" t="str">
        <f ca="1">VLOOKUP(F54,Table6[[Native]:[Population4]],5,FALSE)</f>
        <v>固原市</v>
      </c>
    </row>
    <row r="55" spans="1:7" ht="15.75" thickBot="1" x14ac:dyDescent="0.3">
      <c r="A55" t="s">
        <v>119</v>
      </c>
      <c r="B55" s="1" t="s">
        <v>120</v>
      </c>
      <c r="C55" s="1" t="s">
        <v>11</v>
      </c>
      <c r="D55" s="1" t="s">
        <v>24</v>
      </c>
      <c r="E55" s="3">
        <v>11667</v>
      </c>
      <c r="F55" s="1" t="str">
        <f>VLOOKUP(D55,Table6[[Name]:[Native]],3,FALSE)</f>
        <v>泾源县</v>
      </c>
      <c r="G55" s="14" t="str">
        <f ca="1">VLOOKUP(F55,Table6[[Native]:[Population4]],5,FALSE)</f>
        <v>固原市</v>
      </c>
    </row>
    <row r="56" spans="1:7" ht="15.75" thickBot="1" x14ac:dyDescent="0.3">
      <c r="A56" t="s">
        <v>121</v>
      </c>
      <c r="B56" s="1" t="s">
        <v>122</v>
      </c>
      <c r="C56" s="1" t="s">
        <v>11</v>
      </c>
      <c r="D56" s="1" t="s">
        <v>12</v>
      </c>
      <c r="E56" s="3">
        <v>22428</v>
      </c>
      <c r="F56" s="1" t="str">
        <f>VLOOKUP(D56,Table6[[Name]:[Native]],3,FALSE)</f>
        <v>西吉县</v>
      </c>
      <c r="G56" s="14" t="str">
        <f ca="1">VLOOKUP(F56,Table6[[Native]:[Population4]],5,FALSE)</f>
        <v>固原市</v>
      </c>
    </row>
    <row r="57" spans="1:7" ht="15.75" thickBot="1" x14ac:dyDescent="0.3">
      <c r="A57" t="s">
        <v>123</v>
      </c>
      <c r="B57" s="1" t="s">
        <v>124</v>
      </c>
      <c r="C57" s="1" t="s">
        <v>11</v>
      </c>
      <c r="D57" s="1" t="s">
        <v>12</v>
      </c>
      <c r="E57" s="3">
        <v>9796</v>
      </c>
      <c r="F57" s="1" t="str">
        <f>VLOOKUP(D57,Table6[[Name]:[Native]],3,FALSE)</f>
        <v>西吉县</v>
      </c>
      <c r="G57" s="14" t="str">
        <f ca="1">VLOOKUP(F57,Table6[[Native]:[Population4]],5,FALSE)</f>
        <v>固原市</v>
      </c>
    </row>
    <row r="58" spans="1:7" ht="15.75" thickBot="1" x14ac:dyDescent="0.3">
      <c r="A58" t="s">
        <v>125</v>
      </c>
      <c r="B58" s="1" t="s">
        <v>126</v>
      </c>
      <c r="C58" s="1" t="s">
        <v>11</v>
      </c>
      <c r="D58" s="1" t="s">
        <v>17</v>
      </c>
      <c r="E58" s="3">
        <v>10585</v>
      </c>
      <c r="F58" s="1" t="str">
        <f>VLOOKUP(D58,Table6[[Name]:[Native]],3,FALSE)</f>
        <v>隆德县</v>
      </c>
      <c r="G58" s="14" t="str">
        <f ca="1">VLOOKUP(F58,Table6[[Native]:[Population4]],5,FALSE)</f>
        <v>固原市</v>
      </c>
    </row>
    <row r="59" spans="1:7" ht="15.75" thickBot="1" x14ac:dyDescent="0.3">
      <c r="A59" t="s">
        <v>127</v>
      </c>
      <c r="B59" s="1" t="s">
        <v>128</v>
      </c>
      <c r="C59" s="1" t="s">
        <v>11</v>
      </c>
      <c r="D59" s="1" t="s">
        <v>33</v>
      </c>
      <c r="E59" s="3">
        <v>10762</v>
      </c>
      <c r="F59" s="1" t="str">
        <f>VLOOKUP(D59,Table6[[Name]:[Native]],3,FALSE)</f>
        <v>原州区</v>
      </c>
      <c r="G59" s="14" t="str">
        <f ca="1">VLOOKUP(F59,Table6[[Native]:[Population4]],5,FALSE)</f>
        <v>固原市</v>
      </c>
    </row>
    <row r="60" spans="1:7" ht="15.75" thickBot="1" x14ac:dyDescent="0.3">
      <c r="A60" t="s">
        <v>129</v>
      </c>
      <c r="B60" s="1" t="s">
        <v>130</v>
      </c>
      <c r="C60" s="1" t="s">
        <v>11</v>
      </c>
      <c r="D60" s="1" t="s">
        <v>17</v>
      </c>
      <c r="E60" s="3">
        <v>8170</v>
      </c>
      <c r="F60" s="1" t="str">
        <f>VLOOKUP(D60,Table6[[Name]:[Native]],3,FALSE)</f>
        <v>隆德县</v>
      </c>
      <c r="G60" s="14" t="str">
        <f ca="1">VLOOKUP(F60,Table6[[Native]:[Population4]],5,FALSE)</f>
        <v>固原市</v>
      </c>
    </row>
    <row r="61" spans="1:7" ht="15.75" thickBot="1" x14ac:dyDescent="0.3">
      <c r="A61" t="s">
        <v>131</v>
      </c>
      <c r="B61" s="1" t="s">
        <v>132</v>
      </c>
      <c r="C61" s="1" t="s">
        <v>7</v>
      </c>
      <c r="D61" s="1" t="s">
        <v>33</v>
      </c>
      <c r="E61" s="3">
        <v>34141</v>
      </c>
      <c r="F61" s="1" t="str">
        <f>VLOOKUP(D61,Table6[[Name]:[Native]],3,FALSE)</f>
        <v>原州区</v>
      </c>
      <c r="G61" s="14" t="str">
        <f ca="1">VLOOKUP(F61,Table6[[Native]:[Population4]],5,FALSE)</f>
        <v>固原市</v>
      </c>
    </row>
    <row r="62" spans="1:7" ht="15.75" thickBot="1" x14ac:dyDescent="0.3">
      <c r="A62" t="s">
        <v>133</v>
      </c>
      <c r="B62" s="1" t="s">
        <v>134</v>
      </c>
      <c r="C62" s="1" t="s">
        <v>11</v>
      </c>
      <c r="D62" s="1" t="s">
        <v>12</v>
      </c>
      <c r="E62" s="3">
        <v>13632</v>
      </c>
      <c r="F62" s="1" t="str">
        <f>VLOOKUP(D62,Table6[[Name]:[Native]],3,FALSE)</f>
        <v>西吉县</v>
      </c>
      <c r="G62" s="14" t="str">
        <f ca="1">VLOOKUP(F62,Table6[[Native]:[Population4]],5,FALSE)</f>
        <v>固原市</v>
      </c>
    </row>
    <row r="63" spans="1:7" ht="15.75" thickBot="1" x14ac:dyDescent="0.3">
      <c r="A63" t="s">
        <v>135</v>
      </c>
      <c r="B63" s="1" t="s">
        <v>136</v>
      </c>
      <c r="C63" s="1" t="s">
        <v>11</v>
      </c>
      <c r="D63" s="1" t="s">
        <v>33</v>
      </c>
      <c r="E63" s="3">
        <v>24691</v>
      </c>
      <c r="F63" s="10" t="str">
        <f>VLOOKUP(D63,Table6[[Name]:[Native]],3,FALSE)</f>
        <v>原州区</v>
      </c>
      <c r="G63" s="14" t="str">
        <f ca="1">VLOOKUP(F63,Table6[[Native]:[Population4]],5,FALSE)</f>
        <v>固原市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5065B-DB86-4457-9150-BE3F66B52A99}">
  <dimension ref="A1:G41"/>
  <sheetViews>
    <sheetView workbookViewId="0">
      <selection activeCell="A2" sqref="A2:G4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579</v>
      </c>
      <c r="G1" t="s">
        <v>581</v>
      </c>
    </row>
    <row r="2" spans="1:7" ht="15.75" thickBot="1" x14ac:dyDescent="0.3">
      <c r="A2" t="s">
        <v>137</v>
      </c>
      <c r="B2" s="1" t="s">
        <v>138</v>
      </c>
      <c r="C2" s="1" t="s">
        <v>52</v>
      </c>
      <c r="D2" s="1" t="s">
        <v>139</v>
      </c>
      <c r="E2" s="3">
        <v>8212</v>
      </c>
      <c r="F2" s="9" t="str">
        <f>VLOOKUP(D2,Table6[[Name]:[Native]],3,FALSE)</f>
        <v>大武口区</v>
      </c>
      <c r="G2" s="14" t="str">
        <f ca="1">VLOOKUP(F2,Table6[[Native]:[Population4]],5,FALSE)</f>
        <v>石嘴山市</v>
      </c>
    </row>
    <row r="3" spans="1:7" ht="15.75" thickBot="1" x14ac:dyDescent="0.3">
      <c r="A3" t="s">
        <v>140</v>
      </c>
      <c r="B3" s="1" t="s">
        <v>141</v>
      </c>
      <c r="C3" s="1" t="s">
        <v>7</v>
      </c>
      <c r="D3" s="1" t="s">
        <v>142</v>
      </c>
      <c r="E3" s="3">
        <v>10552</v>
      </c>
      <c r="F3" s="1" t="str">
        <f>VLOOKUP(D3,Table6[[Name]:[Native]],3,FALSE)</f>
        <v>平罗县</v>
      </c>
      <c r="G3" s="14" t="str">
        <f ca="1">VLOOKUP(F3,Table6[[Native]:[Population4]],5,FALSE)</f>
        <v>石嘴山市</v>
      </c>
    </row>
    <row r="4" spans="1:7" ht="15.75" thickBot="1" x14ac:dyDescent="0.3">
      <c r="A4" t="s">
        <v>143</v>
      </c>
      <c r="B4" s="1" t="s">
        <v>144</v>
      </c>
      <c r="C4" s="1" t="s">
        <v>52</v>
      </c>
      <c r="D4" s="1" t="s">
        <v>145</v>
      </c>
      <c r="E4" s="3">
        <v>4412</v>
      </c>
      <c r="F4" s="1" t="str">
        <f>VLOOKUP(D4,Table6[[Name]:[Native]],3,FALSE)</f>
        <v>惠农区</v>
      </c>
      <c r="G4" s="14" t="str">
        <f ca="1">VLOOKUP(F4,Table6[[Native]:[Population4]],5,FALSE)</f>
        <v>石嘴山市</v>
      </c>
    </row>
    <row r="5" spans="1:7" ht="15.75" thickBot="1" x14ac:dyDescent="0.3">
      <c r="A5" t="s">
        <v>146</v>
      </c>
      <c r="B5" s="1" t="s">
        <v>147</v>
      </c>
      <c r="C5" s="1" t="s">
        <v>52</v>
      </c>
      <c r="D5" s="1" t="s">
        <v>139</v>
      </c>
      <c r="E5" s="3">
        <v>36932</v>
      </c>
      <c r="F5" s="1" t="str">
        <f>VLOOKUP(D5,Table6[[Name]:[Native]],3,FALSE)</f>
        <v>大武口区</v>
      </c>
      <c r="G5" s="14" t="str">
        <f ca="1">VLOOKUP(F5,Table6[[Native]:[Population4]],5,FALSE)</f>
        <v>石嘴山市</v>
      </c>
    </row>
    <row r="6" spans="1:7" ht="15.75" thickBot="1" x14ac:dyDescent="0.3">
      <c r="A6" t="s">
        <v>148</v>
      </c>
      <c r="B6" s="1" t="s">
        <v>149</v>
      </c>
      <c r="C6" s="1" t="s">
        <v>52</v>
      </c>
      <c r="D6" s="1" t="s">
        <v>139</v>
      </c>
      <c r="E6" s="3">
        <v>23069</v>
      </c>
      <c r="F6" s="1" t="str">
        <f>VLOOKUP(D6,Table6[[Name]:[Native]],3,FALSE)</f>
        <v>大武口区</v>
      </c>
      <c r="G6" s="14" t="str">
        <f ca="1">VLOOKUP(F6,Table6[[Native]:[Population4]],5,FALSE)</f>
        <v>石嘴山市</v>
      </c>
    </row>
    <row r="7" spans="1:7" ht="15.75" thickBot="1" x14ac:dyDescent="0.3">
      <c r="A7" t="s">
        <v>150</v>
      </c>
      <c r="B7" s="1" t="s">
        <v>151</v>
      </c>
      <c r="C7" s="1" t="s">
        <v>52</v>
      </c>
      <c r="D7" s="1" t="s">
        <v>139</v>
      </c>
      <c r="E7" s="3">
        <v>10273</v>
      </c>
      <c r="F7" s="1" t="str">
        <f>VLOOKUP(D7,Table6[[Name]:[Native]],3,FALSE)</f>
        <v>大武口区</v>
      </c>
      <c r="G7" s="14" t="str">
        <f ca="1">VLOOKUP(F7,Table6[[Native]:[Population4]],5,FALSE)</f>
        <v>石嘴山市</v>
      </c>
    </row>
    <row r="8" spans="1:7" ht="15.75" thickBot="1" x14ac:dyDescent="0.3">
      <c r="A8" t="s">
        <v>152</v>
      </c>
      <c r="B8" s="1" t="s">
        <v>153</v>
      </c>
      <c r="C8" s="1" t="s">
        <v>52</v>
      </c>
      <c r="D8" s="1" t="s">
        <v>139</v>
      </c>
      <c r="E8" s="3">
        <v>49490</v>
      </c>
      <c r="F8" s="1" t="str">
        <f>VLOOKUP(D8,Table6[[Name]:[Native]],3,FALSE)</f>
        <v>大武口区</v>
      </c>
      <c r="G8" s="14" t="str">
        <f ca="1">VLOOKUP(F8,Table6[[Native]:[Population4]],5,FALSE)</f>
        <v>石嘴山市</v>
      </c>
    </row>
    <row r="9" spans="1:7" ht="15.75" thickBot="1" x14ac:dyDescent="0.3">
      <c r="A9" t="s">
        <v>154</v>
      </c>
      <c r="B9" s="1" t="s">
        <v>16</v>
      </c>
      <c r="C9" s="1" t="s">
        <v>7</v>
      </c>
      <c r="D9" s="1" t="s">
        <v>142</v>
      </c>
      <c r="E9" s="3">
        <v>91912</v>
      </c>
      <c r="F9" s="1" t="str">
        <f>VLOOKUP(D9,Table6[[Name]:[Native]],3,FALSE)</f>
        <v>平罗县</v>
      </c>
      <c r="G9" s="14" t="str">
        <f ca="1">VLOOKUP(F9,Table6[[Native]:[Population4]],5,FALSE)</f>
        <v>石嘴山市</v>
      </c>
    </row>
    <row r="10" spans="1:7" ht="15.75" thickBot="1" x14ac:dyDescent="0.3">
      <c r="A10" t="s">
        <v>155</v>
      </c>
      <c r="B10" s="1" t="s">
        <v>156</v>
      </c>
      <c r="C10" s="1" t="s">
        <v>7</v>
      </c>
      <c r="D10" s="1" t="s">
        <v>142</v>
      </c>
      <c r="E10" s="3">
        <v>17540</v>
      </c>
      <c r="F10" s="1" t="str">
        <f>VLOOKUP(D10,Table6[[Name]:[Native]],3,FALSE)</f>
        <v>平罗县</v>
      </c>
      <c r="G10" s="14" t="str">
        <f ca="1">VLOOKUP(F10,Table6[[Native]:[Population4]],5,FALSE)</f>
        <v>石嘴山市</v>
      </c>
    </row>
    <row r="11" spans="1:7" ht="15.75" thickBot="1" x14ac:dyDescent="0.3">
      <c r="A11" t="s">
        <v>157</v>
      </c>
      <c r="B11" s="1" t="s">
        <v>158</v>
      </c>
      <c r="C11" s="1" t="s">
        <v>11</v>
      </c>
      <c r="D11" s="1" t="s">
        <v>142</v>
      </c>
      <c r="E11" s="3">
        <v>5111</v>
      </c>
      <c r="F11" s="1" t="str">
        <f>VLOOKUP(D11,Table6[[Name]:[Native]],3,FALSE)</f>
        <v>平罗县</v>
      </c>
      <c r="G11" s="14" t="str">
        <f ca="1">VLOOKUP(F11,Table6[[Native]:[Population4]],5,FALSE)</f>
        <v>石嘴山市</v>
      </c>
    </row>
    <row r="12" spans="1:7" ht="15.75" thickBot="1" x14ac:dyDescent="0.3">
      <c r="A12" t="s">
        <v>159</v>
      </c>
      <c r="B12" s="1" t="s">
        <v>160</v>
      </c>
      <c r="C12" s="1" t="s">
        <v>11</v>
      </c>
      <c r="D12" s="1" t="s">
        <v>142</v>
      </c>
      <c r="E12" s="3">
        <v>15121</v>
      </c>
      <c r="F12" s="1" t="str">
        <f>VLOOKUP(D12,Table6[[Name]:[Native]],3,FALSE)</f>
        <v>平罗县</v>
      </c>
      <c r="G12" s="14" t="str">
        <f ca="1">VLOOKUP(F12,Table6[[Native]:[Population4]],5,FALSE)</f>
        <v>石嘴山市</v>
      </c>
    </row>
    <row r="13" spans="1:7" ht="15.75" thickBot="1" x14ac:dyDescent="0.3">
      <c r="A13" t="s">
        <v>161</v>
      </c>
      <c r="B13" s="1" t="s">
        <v>162</v>
      </c>
      <c r="C13" s="1" t="s">
        <v>52</v>
      </c>
      <c r="D13" s="1" t="s">
        <v>139</v>
      </c>
      <c r="E13" s="3">
        <v>6451</v>
      </c>
      <c r="F13" s="1" t="str">
        <f>VLOOKUP(D13,Table6[[Name]:[Native]],3,FALSE)</f>
        <v>大武口区</v>
      </c>
      <c r="G13" s="14" t="str">
        <f ca="1">VLOOKUP(F13,Table6[[Native]:[Population4]],5,FALSE)</f>
        <v>石嘴山市</v>
      </c>
    </row>
    <row r="14" spans="1:7" ht="15.75" thickBot="1" x14ac:dyDescent="0.3">
      <c r="A14" t="s">
        <v>163</v>
      </c>
      <c r="B14" s="1" t="s">
        <v>164</v>
      </c>
      <c r="C14" s="1" t="s">
        <v>165</v>
      </c>
      <c r="D14" s="1" t="s">
        <v>145</v>
      </c>
      <c r="E14" s="3">
        <v>2521</v>
      </c>
      <c r="F14" s="1" t="str">
        <f>VLOOKUP(D14,Table6[[Name]:[Native]],3,FALSE)</f>
        <v>惠农区</v>
      </c>
      <c r="G14" s="14" t="str">
        <f ca="1">VLOOKUP(F14,Table6[[Native]:[Population4]],5,FALSE)</f>
        <v>石嘴山市</v>
      </c>
    </row>
    <row r="15" spans="1:7" ht="15.75" thickBot="1" x14ac:dyDescent="0.3">
      <c r="A15" t="s">
        <v>166</v>
      </c>
      <c r="B15" s="1" t="s">
        <v>167</v>
      </c>
      <c r="C15" s="1" t="s">
        <v>52</v>
      </c>
      <c r="D15" s="1" t="s">
        <v>145</v>
      </c>
      <c r="E15" s="3">
        <v>24254</v>
      </c>
      <c r="F15" s="1" t="str">
        <f>VLOOKUP(D15,Table6[[Name]:[Native]],3,FALSE)</f>
        <v>惠农区</v>
      </c>
      <c r="G15" s="14" t="str">
        <f ca="1">VLOOKUP(F15,Table6[[Native]:[Population4]],5,FALSE)</f>
        <v>石嘴山市</v>
      </c>
    </row>
    <row r="16" spans="1:7" ht="15.75" thickBot="1" x14ac:dyDescent="0.3">
      <c r="A16" t="s">
        <v>168</v>
      </c>
      <c r="B16" s="1" t="s">
        <v>169</v>
      </c>
      <c r="C16" s="1" t="s">
        <v>7</v>
      </c>
      <c r="D16" s="1" t="s">
        <v>145</v>
      </c>
      <c r="E16" s="3">
        <v>21426</v>
      </c>
      <c r="F16" s="1" t="str">
        <f>VLOOKUP(D16,Table6[[Name]:[Native]],3,FALSE)</f>
        <v>惠农区</v>
      </c>
      <c r="G16" s="14" t="str">
        <f ca="1">VLOOKUP(F16,Table6[[Native]:[Population4]],5,FALSE)</f>
        <v>石嘴山市</v>
      </c>
    </row>
    <row r="17" spans="1:7" ht="15.75" thickBot="1" x14ac:dyDescent="0.3">
      <c r="A17" t="s">
        <v>170</v>
      </c>
      <c r="B17" s="1" t="s">
        <v>171</v>
      </c>
      <c r="C17" s="1" t="s">
        <v>11</v>
      </c>
      <c r="D17" s="1" t="s">
        <v>142</v>
      </c>
      <c r="E17" s="3">
        <v>6646</v>
      </c>
      <c r="F17" s="1" t="str">
        <f>VLOOKUP(D17,Table6[[Name]:[Native]],3,FALSE)</f>
        <v>平罗县</v>
      </c>
      <c r="G17" s="14" t="str">
        <f ca="1">VLOOKUP(F17,Table6[[Native]:[Population4]],5,FALSE)</f>
        <v>石嘴山市</v>
      </c>
    </row>
    <row r="18" spans="1:7" ht="15.75" thickBot="1" x14ac:dyDescent="0.3">
      <c r="A18" t="s">
        <v>172</v>
      </c>
      <c r="B18" s="1" t="s">
        <v>173</v>
      </c>
      <c r="C18" s="1" t="s">
        <v>7</v>
      </c>
      <c r="D18" s="1" t="s">
        <v>142</v>
      </c>
      <c r="E18" s="3">
        <v>14739</v>
      </c>
      <c r="F18" s="1" t="str">
        <f>VLOOKUP(D18,Table6[[Name]:[Native]],3,FALSE)</f>
        <v>平罗县</v>
      </c>
      <c r="G18" s="14" t="str">
        <f ca="1">VLOOKUP(F18,Table6[[Native]:[Population4]],5,FALSE)</f>
        <v>石嘴山市</v>
      </c>
    </row>
    <row r="19" spans="1:7" ht="15.75" thickBot="1" x14ac:dyDescent="0.3">
      <c r="A19" t="s">
        <v>174</v>
      </c>
      <c r="B19" s="1" t="s">
        <v>175</v>
      </c>
      <c r="C19" s="1" t="s">
        <v>52</v>
      </c>
      <c r="D19" s="1" t="s">
        <v>145</v>
      </c>
      <c r="E19" s="3">
        <v>7470</v>
      </c>
      <c r="F19" s="1" t="str">
        <f>VLOOKUP(D19,Table6[[Name]:[Native]],3,FALSE)</f>
        <v>惠农区</v>
      </c>
      <c r="G19" s="14" t="str">
        <f ca="1">VLOOKUP(F19,Table6[[Native]:[Population4]],5,FALSE)</f>
        <v>石嘴山市</v>
      </c>
    </row>
    <row r="20" spans="1:7" ht="15.75" thickBot="1" x14ac:dyDescent="0.3">
      <c r="A20" t="s">
        <v>176</v>
      </c>
      <c r="B20" s="1" t="s">
        <v>177</v>
      </c>
      <c r="C20" s="1" t="s">
        <v>165</v>
      </c>
      <c r="D20" s="1" t="s">
        <v>145</v>
      </c>
      <c r="E20" s="3">
        <v>2502</v>
      </c>
      <c r="F20" s="1" t="str">
        <f>VLOOKUP(D20,Table6[[Name]:[Native]],3,FALSE)</f>
        <v>惠农区</v>
      </c>
      <c r="G20" s="14" t="str">
        <f ca="1">VLOOKUP(F20,Table6[[Native]:[Population4]],5,FALSE)</f>
        <v>石嘴山市</v>
      </c>
    </row>
    <row r="21" spans="1:7" ht="15.75" thickBot="1" x14ac:dyDescent="0.3">
      <c r="A21" t="s">
        <v>178</v>
      </c>
      <c r="B21" s="1" t="s">
        <v>179</v>
      </c>
      <c r="C21" s="1" t="s">
        <v>52</v>
      </c>
      <c r="D21" s="1" t="s">
        <v>139</v>
      </c>
      <c r="E21" s="3">
        <v>14907</v>
      </c>
      <c r="F21" s="1" t="str">
        <f>VLOOKUP(D21,Table6[[Name]:[Native]],3,FALSE)</f>
        <v>大武口区</v>
      </c>
      <c r="G21" s="14" t="str">
        <f ca="1">VLOOKUP(F21,Table6[[Native]:[Population4]],5,FALSE)</f>
        <v>石嘴山市</v>
      </c>
    </row>
    <row r="22" spans="1:7" ht="15.75" thickBot="1" x14ac:dyDescent="0.3">
      <c r="A22" t="s">
        <v>180</v>
      </c>
      <c r="B22" s="1" t="s">
        <v>181</v>
      </c>
      <c r="C22" s="1" t="s">
        <v>165</v>
      </c>
      <c r="D22" s="1" t="s">
        <v>145</v>
      </c>
      <c r="E22" s="3">
        <v>149</v>
      </c>
      <c r="F22" s="1" t="str">
        <f>VLOOKUP(D22,Table6[[Name]:[Native]],3,FALSE)</f>
        <v>惠农区</v>
      </c>
      <c r="G22" s="14" t="str">
        <f ca="1">VLOOKUP(F22,Table6[[Native]:[Population4]],5,FALSE)</f>
        <v>石嘴山市</v>
      </c>
    </row>
    <row r="23" spans="1:7" ht="15.75" thickBot="1" x14ac:dyDescent="0.3">
      <c r="A23" t="s">
        <v>182</v>
      </c>
      <c r="B23" s="1" t="s">
        <v>183</v>
      </c>
      <c r="C23" s="1" t="s">
        <v>11</v>
      </c>
      <c r="D23" s="1" t="s">
        <v>145</v>
      </c>
      <c r="E23" s="3">
        <v>8208</v>
      </c>
      <c r="F23" s="1" t="str">
        <f>VLOOKUP(D23,Table6[[Name]:[Native]],3,FALSE)</f>
        <v>惠农区</v>
      </c>
      <c r="G23" s="14" t="str">
        <f ca="1">VLOOKUP(F23,Table6[[Native]:[Population4]],5,FALSE)</f>
        <v>石嘴山市</v>
      </c>
    </row>
    <row r="24" spans="1:7" ht="15.75" thickBot="1" x14ac:dyDescent="0.3">
      <c r="A24" t="s">
        <v>184</v>
      </c>
      <c r="B24" s="1" t="s">
        <v>185</v>
      </c>
      <c r="C24" s="1" t="s">
        <v>11</v>
      </c>
      <c r="D24" s="1" t="s">
        <v>142</v>
      </c>
      <c r="E24" s="3">
        <v>14434</v>
      </c>
      <c r="F24" s="1" t="str">
        <f>VLOOKUP(D24,Table6[[Name]:[Native]],3,FALSE)</f>
        <v>平罗县</v>
      </c>
      <c r="G24" s="14" t="str">
        <f ca="1">VLOOKUP(F24,Table6[[Native]:[Population4]],5,FALSE)</f>
        <v>石嘴山市</v>
      </c>
    </row>
    <row r="25" spans="1:7" ht="15.75" thickBot="1" x14ac:dyDescent="0.3">
      <c r="A25" t="s">
        <v>186</v>
      </c>
      <c r="B25" s="1" t="s">
        <v>187</v>
      </c>
      <c r="C25" s="1" t="s">
        <v>11</v>
      </c>
      <c r="D25" s="1" t="s">
        <v>145</v>
      </c>
      <c r="E25" s="3">
        <v>5788</v>
      </c>
      <c r="F25" s="1" t="str">
        <f>VLOOKUP(D25,Table6[[Name]:[Native]],3,FALSE)</f>
        <v>惠农区</v>
      </c>
      <c r="G25" s="14" t="str">
        <f ca="1">VLOOKUP(F25,Table6[[Native]:[Population4]],5,FALSE)</f>
        <v>石嘴山市</v>
      </c>
    </row>
    <row r="26" spans="1:7" ht="15.75" thickBot="1" x14ac:dyDescent="0.3">
      <c r="A26" t="s">
        <v>188</v>
      </c>
      <c r="B26" s="1" t="s">
        <v>189</v>
      </c>
      <c r="C26" s="1" t="s">
        <v>52</v>
      </c>
      <c r="D26" s="1" t="s">
        <v>145</v>
      </c>
      <c r="E26" s="3">
        <v>26093</v>
      </c>
      <c r="F26" s="1" t="str">
        <f>VLOOKUP(D26,Table6[[Name]:[Native]],3,FALSE)</f>
        <v>惠农区</v>
      </c>
      <c r="G26" s="14" t="str">
        <f ca="1">VLOOKUP(F26,Table6[[Native]:[Population4]],5,FALSE)</f>
        <v>石嘴山市</v>
      </c>
    </row>
    <row r="27" spans="1:7" ht="15.75" thickBot="1" x14ac:dyDescent="0.3">
      <c r="A27" t="s">
        <v>190</v>
      </c>
      <c r="B27" s="1" t="s">
        <v>191</v>
      </c>
      <c r="C27" s="1" t="s">
        <v>165</v>
      </c>
      <c r="D27" s="1" t="s">
        <v>142</v>
      </c>
      <c r="E27" s="3">
        <v>7355</v>
      </c>
      <c r="F27" s="1" t="str">
        <f>VLOOKUP(D27,Table6[[Name]:[Native]],3,FALSE)</f>
        <v>平罗县</v>
      </c>
      <c r="G27" s="14" t="str">
        <f ca="1">VLOOKUP(F27,Table6[[Native]:[Population4]],5,FALSE)</f>
        <v>石嘴山市</v>
      </c>
    </row>
    <row r="28" spans="1:7" ht="15.75" thickBot="1" x14ac:dyDescent="0.3">
      <c r="A28" t="s">
        <v>192</v>
      </c>
      <c r="B28" s="1" t="s">
        <v>193</v>
      </c>
      <c r="C28" s="1" t="s">
        <v>52</v>
      </c>
      <c r="D28" s="1" t="s">
        <v>139</v>
      </c>
      <c r="E28" s="3">
        <v>47781</v>
      </c>
      <c r="F28" s="1" t="str">
        <f>VLOOKUP(D28,Table6[[Name]:[Native]],3,FALSE)</f>
        <v>大武口区</v>
      </c>
      <c r="G28" s="14" t="str">
        <f ca="1">VLOOKUP(F28,Table6[[Native]:[Population4]],5,FALSE)</f>
        <v>石嘴山市</v>
      </c>
    </row>
    <row r="29" spans="1:7" ht="15.75" thickBot="1" x14ac:dyDescent="0.3">
      <c r="A29" t="s">
        <v>194</v>
      </c>
      <c r="B29" s="1" t="s">
        <v>195</v>
      </c>
      <c r="C29" s="1" t="s">
        <v>11</v>
      </c>
      <c r="D29" s="1" t="s">
        <v>142</v>
      </c>
      <c r="E29" s="3">
        <v>15322</v>
      </c>
      <c r="F29" s="1" t="str">
        <f>VLOOKUP(D29,Table6[[Name]:[Native]],3,FALSE)</f>
        <v>平罗县</v>
      </c>
      <c r="G29" s="14" t="str">
        <f ca="1">VLOOKUP(F29,Table6[[Native]:[Population4]],5,FALSE)</f>
        <v>石嘴山市</v>
      </c>
    </row>
    <row r="30" spans="1:7" ht="15.75" thickBot="1" x14ac:dyDescent="0.3">
      <c r="A30" t="s">
        <v>196</v>
      </c>
      <c r="B30" s="1" t="s">
        <v>197</v>
      </c>
      <c r="C30" s="1" t="s">
        <v>52</v>
      </c>
      <c r="D30" s="1" t="s">
        <v>139</v>
      </c>
      <c r="E30" s="3">
        <v>37051</v>
      </c>
      <c r="F30" s="1" t="str">
        <f>VLOOKUP(D30,Table6[[Name]:[Native]],3,FALSE)</f>
        <v>大武口区</v>
      </c>
      <c r="G30" s="14" t="str">
        <f ca="1">VLOOKUP(F30,Table6[[Native]:[Population4]],5,FALSE)</f>
        <v>石嘴山市</v>
      </c>
    </row>
    <row r="31" spans="1:7" ht="15.75" thickBot="1" x14ac:dyDescent="0.3">
      <c r="A31" t="s">
        <v>198</v>
      </c>
      <c r="B31" s="1" t="s">
        <v>199</v>
      </c>
      <c r="C31" s="1" t="s">
        <v>52</v>
      </c>
      <c r="D31" s="1" t="s">
        <v>139</v>
      </c>
      <c r="E31" s="3">
        <v>9748</v>
      </c>
      <c r="F31" s="1" t="str">
        <f>VLOOKUP(D31,Table6[[Name]:[Native]],3,FALSE)</f>
        <v>大武口区</v>
      </c>
      <c r="G31" s="14" t="str">
        <f ca="1">VLOOKUP(F31,Table6[[Native]:[Population4]],5,FALSE)</f>
        <v>石嘴山市</v>
      </c>
    </row>
    <row r="32" spans="1:7" ht="15.75" thickBot="1" x14ac:dyDescent="0.3">
      <c r="A32" t="s">
        <v>200</v>
      </c>
      <c r="B32" s="1" t="s">
        <v>201</v>
      </c>
      <c r="C32" s="1" t="s">
        <v>7</v>
      </c>
      <c r="D32" s="1" t="s">
        <v>142</v>
      </c>
      <c r="E32" s="3">
        <v>8790</v>
      </c>
      <c r="F32" s="1" t="str">
        <f>VLOOKUP(D32,Table6[[Name]:[Native]],3,FALSE)</f>
        <v>平罗县</v>
      </c>
      <c r="G32" s="14" t="str">
        <f ca="1">VLOOKUP(F32,Table6[[Native]:[Population4]],5,FALSE)</f>
        <v>石嘴山市</v>
      </c>
    </row>
    <row r="33" spans="1:7" ht="15.75" thickBot="1" x14ac:dyDescent="0.3">
      <c r="A33" t="s">
        <v>202</v>
      </c>
      <c r="B33" s="1" t="s">
        <v>203</v>
      </c>
      <c r="C33" s="1" t="s">
        <v>11</v>
      </c>
      <c r="D33" s="1" t="s">
        <v>142</v>
      </c>
      <c r="E33" s="3">
        <v>15942</v>
      </c>
      <c r="F33" s="1" t="str">
        <f>VLOOKUP(D33,Table6[[Name]:[Native]],3,FALSE)</f>
        <v>平罗县</v>
      </c>
      <c r="G33" s="14" t="str">
        <f ca="1">VLOOKUP(F33,Table6[[Native]:[Population4]],5,FALSE)</f>
        <v>石嘴山市</v>
      </c>
    </row>
    <row r="34" spans="1:7" ht="15.75" thickBot="1" x14ac:dyDescent="0.3">
      <c r="A34" t="s">
        <v>204</v>
      </c>
      <c r="B34" s="1" t="s">
        <v>205</v>
      </c>
      <c r="C34" s="1" t="s">
        <v>7</v>
      </c>
      <c r="D34" s="1" t="s">
        <v>142</v>
      </c>
      <c r="E34" s="3">
        <v>13546</v>
      </c>
      <c r="F34" s="1" t="str">
        <f>VLOOKUP(D34,Table6[[Name]:[Native]],3,FALSE)</f>
        <v>平罗县</v>
      </c>
      <c r="G34" s="14" t="str">
        <f ca="1">VLOOKUP(F34,Table6[[Native]:[Population4]],5,FALSE)</f>
        <v>石嘴山市</v>
      </c>
    </row>
    <row r="35" spans="1:7" ht="15.75" thickBot="1" x14ac:dyDescent="0.3">
      <c r="A35" t="s">
        <v>206</v>
      </c>
      <c r="B35" s="1" t="s">
        <v>207</v>
      </c>
      <c r="C35" s="1" t="s">
        <v>7</v>
      </c>
      <c r="D35" s="1" t="s">
        <v>145</v>
      </c>
      <c r="E35" s="3">
        <v>7887</v>
      </c>
      <c r="F35" s="1" t="str">
        <f>VLOOKUP(D35,Table6[[Name]:[Native]],3,FALSE)</f>
        <v>惠农区</v>
      </c>
      <c r="G35" s="14" t="str">
        <f ca="1">VLOOKUP(F35,Table6[[Native]:[Population4]],5,FALSE)</f>
        <v>石嘴山市</v>
      </c>
    </row>
    <row r="36" spans="1:7" ht="15.75" thickBot="1" x14ac:dyDescent="0.3">
      <c r="A36" t="s">
        <v>208</v>
      </c>
      <c r="B36" s="1" t="s">
        <v>209</v>
      </c>
      <c r="C36" s="1" t="s">
        <v>7</v>
      </c>
      <c r="D36" s="1" t="s">
        <v>139</v>
      </c>
      <c r="E36" s="3">
        <v>42755</v>
      </c>
      <c r="F36" s="1" t="str">
        <f>VLOOKUP(D36,Table6[[Name]:[Native]],3,FALSE)</f>
        <v>大武口区</v>
      </c>
      <c r="G36" s="14" t="str">
        <f ca="1">VLOOKUP(F36,Table6[[Native]:[Population4]],5,FALSE)</f>
        <v>石嘴山市</v>
      </c>
    </row>
    <row r="37" spans="1:7" ht="15.75" thickBot="1" x14ac:dyDescent="0.3">
      <c r="A37" t="s">
        <v>210</v>
      </c>
      <c r="B37" s="1" t="s">
        <v>211</v>
      </c>
      <c r="C37" s="1" t="s">
        <v>11</v>
      </c>
      <c r="D37" s="1" t="s">
        <v>145</v>
      </c>
      <c r="E37" s="3">
        <v>9166</v>
      </c>
      <c r="F37" s="1" t="str">
        <f>VLOOKUP(D37,Table6[[Name]:[Native]],3,FALSE)</f>
        <v>惠农区</v>
      </c>
      <c r="G37" s="14" t="str">
        <f ca="1">VLOOKUP(F37,Table6[[Native]:[Population4]],5,FALSE)</f>
        <v>石嘴山市</v>
      </c>
    </row>
    <row r="38" spans="1:7" ht="15.75" thickBot="1" x14ac:dyDescent="0.3">
      <c r="A38" t="s">
        <v>212</v>
      </c>
      <c r="B38" s="1" t="s">
        <v>213</v>
      </c>
      <c r="C38" s="1" t="s">
        <v>7</v>
      </c>
      <c r="D38" s="1" t="s">
        <v>142</v>
      </c>
      <c r="E38" s="3">
        <v>16000</v>
      </c>
      <c r="F38" s="1" t="str">
        <f>VLOOKUP(D38,Table6[[Name]:[Native]],3,FALSE)</f>
        <v>平罗县</v>
      </c>
      <c r="G38" s="14" t="str">
        <f ca="1">VLOOKUP(F38,Table6[[Native]:[Population4]],5,FALSE)</f>
        <v>石嘴山市</v>
      </c>
    </row>
    <row r="39" spans="1:7" ht="15.75" thickBot="1" x14ac:dyDescent="0.3">
      <c r="A39" t="s">
        <v>214</v>
      </c>
      <c r="B39" s="1" t="s">
        <v>215</v>
      </c>
      <c r="C39" s="1" t="s">
        <v>7</v>
      </c>
      <c r="D39" s="1" t="s">
        <v>145</v>
      </c>
      <c r="E39" s="3">
        <v>27895</v>
      </c>
      <c r="F39" s="1" t="str">
        <f>VLOOKUP(D39,Table6[[Name]:[Native]],3,FALSE)</f>
        <v>惠农区</v>
      </c>
      <c r="G39" s="14" t="str">
        <f ca="1">VLOOKUP(F39,Table6[[Native]:[Population4]],5,FALSE)</f>
        <v>石嘴山市</v>
      </c>
    </row>
    <row r="40" spans="1:7" ht="15.75" thickBot="1" x14ac:dyDescent="0.3">
      <c r="A40" t="s">
        <v>216</v>
      </c>
      <c r="B40" s="1" t="s">
        <v>217</v>
      </c>
      <c r="C40" s="1" t="s">
        <v>52</v>
      </c>
      <c r="D40" s="1" t="s">
        <v>145</v>
      </c>
      <c r="E40" s="3">
        <v>21437</v>
      </c>
      <c r="F40" s="1" t="str">
        <f>VLOOKUP(D40,Table6[[Name]:[Native]],3,FALSE)</f>
        <v>惠农区</v>
      </c>
      <c r="G40" s="14" t="str">
        <f ca="1">VLOOKUP(F40,Table6[[Native]:[Population4]],5,FALSE)</f>
        <v>石嘴山市</v>
      </c>
    </row>
    <row r="41" spans="1:7" ht="15.75" thickBot="1" x14ac:dyDescent="0.3">
      <c r="A41" t="s">
        <v>218</v>
      </c>
      <c r="B41" s="1" t="s">
        <v>219</v>
      </c>
      <c r="C41" s="1" t="s">
        <v>52</v>
      </c>
      <c r="D41" s="1" t="s">
        <v>145</v>
      </c>
      <c r="E41" s="3">
        <v>16595</v>
      </c>
      <c r="F41" s="10" t="str">
        <f>VLOOKUP(D41,Table6[[Name]:[Native]],3,FALSE)</f>
        <v>惠农区</v>
      </c>
      <c r="G41" s="14" t="str">
        <f ca="1">VLOOKUP(F41,Table6[[Native]:[Population4]],5,FALSE)</f>
        <v>石嘴山市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4446C-64CE-43DD-B167-8C95B8BBB88F}">
  <dimension ref="A1:G51"/>
  <sheetViews>
    <sheetView workbookViewId="0">
      <selection activeCell="A2" sqref="A2:G51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579</v>
      </c>
      <c r="G1" t="s">
        <v>581</v>
      </c>
    </row>
    <row r="2" spans="1:7" ht="15.75" thickBot="1" x14ac:dyDescent="0.3">
      <c r="A2" t="s">
        <v>220</v>
      </c>
      <c r="B2" s="1" t="s">
        <v>221</v>
      </c>
      <c r="C2" s="1" t="s">
        <v>165</v>
      </c>
      <c r="D2" s="1" t="s">
        <v>222</v>
      </c>
      <c r="E2" s="3">
        <v>6966</v>
      </c>
      <c r="F2" s="9" t="str">
        <f>VLOOKUP(D2,Table6[[Name]:[Native]],3,FALSE)</f>
        <v>利通区</v>
      </c>
      <c r="G2" s="14" t="str">
        <f ca="1">VLOOKUP(F2,Table6[[Native]:[Population4]],5,FALSE)</f>
        <v>吴忠市</v>
      </c>
    </row>
    <row r="3" spans="1:7" ht="15.75" thickBot="1" x14ac:dyDescent="0.3">
      <c r="A3" t="s">
        <v>223</v>
      </c>
      <c r="B3" s="1" t="s">
        <v>224</v>
      </c>
      <c r="C3" s="1" t="s">
        <v>11</v>
      </c>
      <c r="D3" s="1" t="s">
        <v>222</v>
      </c>
      <c r="E3" s="3">
        <v>29524</v>
      </c>
      <c r="F3" s="1" t="str">
        <f>VLOOKUP(D3,Table6[[Name]:[Native]],3,FALSE)</f>
        <v>利通区</v>
      </c>
      <c r="G3" s="14" t="str">
        <f ca="1">VLOOKUP(F3,Table6[[Native]:[Population4]],5,FALSE)</f>
        <v>吴忠市</v>
      </c>
    </row>
    <row r="4" spans="1:7" ht="15.75" thickBot="1" x14ac:dyDescent="0.3">
      <c r="A4" t="s">
        <v>225</v>
      </c>
      <c r="B4" s="1" t="s">
        <v>226</v>
      </c>
      <c r="C4" s="1" t="s">
        <v>7</v>
      </c>
      <c r="D4" s="1" t="s">
        <v>222</v>
      </c>
      <c r="E4" s="3">
        <v>16921</v>
      </c>
      <c r="F4" s="1" t="str">
        <f>VLOOKUP(D4,Table6[[Name]:[Native]],3,FALSE)</f>
        <v>利通区</v>
      </c>
      <c r="G4" s="14" t="str">
        <f ca="1">VLOOKUP(F4,Table6[[Native]:[Population4]],5,FALSE)</f>
        <v>吴忠市</v>
      </c>
    </row>
    <row r="5" spans="1:7" ht="15.75" thickBot="1" x14ac:dyDescent="0.3">
      <c r="A5" t="s">
        <v>227</v>
      </c>
      <c r="B5" s="1" t="s">
        <v>228</v>
      </c>
      <c r="C5" s="1" t="s">
        <v>7</v>
      </c>
      <c r="D5" s="1" t="s">
        <v>229</v>
      </c>
      <c r="E5" s="3">
        <v>16380</v>
      </c>
      <c r="F5" s="1" t="str">
        <f>VLOOKUP(D5,Table6[[Name]:[Native]],3,FALSE)</f>
        <v>青铜峡市</v>
      </c>
      <c r="G5" s="14" t="str">
        <f ca="1">VLOOKUP(F5,Table6[[Native]:[Population4]],5,FALSE)</f>
        <v>吴忠市</v>
      </c>
    </row>
    <row r="6" spans="1:7" ht="15.75" thickBot="1" x14ac:dyDescent="0.3">
      <c r="A6" t="s">
        <v>230</v>
      </c>
      <c r="B6" s="1" t="s">
        <v>231</v>
      </c>
      <c r="C6" s="1" t="s">
        <v>7</v>
      </c>
      <c r="D6" s="1" t="s">
        <v>229</v>
      </c>
      <c r="E6" s="3">
        <v>29426</v>
      </c>
      <c r="F6" s="1" t="str">
        <f>VLOOKUP(D6,Table6[[Name]:[Native]],3,FALSE)</f>
        <v>青铜峡市</v>
      </c>
      <c r="G6" s="14" t="str">
        <f ca="1">VLOOKUP(F6,Table6[[Native]:[Population4]],5,FALSE)</f>
        <v>吴忠市</v>
      </c>
    </row>
    <row r="7" spans="1:7" ht="15.75" thickBot="1" x14ac:dyDescent="0.3">
      <c r="A7" t="s">
        <v>232</v>
      </c>
      <c r="B7" s="1" t="s">
        <v>233</v>
      </c>
      <c r="C7" s="1" t="s">
        <v>11</v>
      </c>
      <c r="D7" s="1" t="s">
        <v>234</v>
      </c>
      <c r="E7" s="3">
        <v>25213</v>
      </c>
      <c r="F7" s="1" t="str">
        <f>VLOOKUP(D7,Table6[[Name]:[Native]],3,FALSE)</f>
        <v>红寺堡区</v>
      </c>
      <c r="G7" s="14" t="str">
        <f ca="1">VLOOKUP(F7,Table6[[Native]:[Population4]],5,FALSE)</f>
        <v>吴忠市</v>
      </c>
    </row>
    <row r="8" spans="1:7" ht="15.75" thickBot="1" x14ac:dyDescent="0.3">
      <c r="A8" t="s">
        <v>235</v>
      </c>
      <c r="B8" s="1" t="s">
        <v>236</v>
      </c>
      <c r="C8" s="1" t="s">
        <v>7</v>
      </c>
      <c r="D8" s="1" t="s">
        <v>237</v>
      </c>
      <c r="E8" s="3">
        <v>21114</v>
      </c>
      <c r="F8" s="1" t="str">
        <f>VLOOKUP(D8,Table6[[Name]:[Native]],3,FALSE)</f>
        <v>盐池县</v>
      </c>
      <c r="G8" s="14" t="str">
        <f ca="1">VLOOKUP(F8,Table6[[Native]:[Population4]],5,FALSE)</f>
        <v>吴忠市</v>
      </c>
    </row>
    <row r="9" spans="1:7" ht="15.75" thickBot="1" x14ac:dyDescent="0.3">
      <c r="A9" t="s">
        <v>238</v>
      </c>
      <c r="B9" s="1" t="s">
        <v>239</v>
      </c>
      <c r="C9" s="1" t="s">
        <v>7</v>
      </c>
      <c r="D9" s="1" t="s">
        <v>240</v>
      </c>
      <c r="E9" s="3">
        <v>39028</v>
      </c>
      <c r="F9" s="1" t="str">
        <f>VLOOKUP(D9,Table6[[Name]:[Native]],3,FALSE)</f>
        <v>同心县</v>
      </c>
      <c r="G9" s="14" t="str">
        <f ca="1">VLOOKUP(F9,Table6[[Native]:[Population4]],5,FALSE)</f>
        <v>吴忠市</v>
      </c>
    </row>
    <row r="10" spans="1:7" ht="15.75" thickBot="1" x14ac:dyDescent="0.3">
      <c r="A10" t="s">
        <v>241</v>
      </c>
      <c r="B10" s="1" t="s">
        <v>242</v>
      </c>
      <c r="C10" s="1" t="s">
        <v>11</v>
      </c>
      <c r="D10" s="1" t="s">
        <v>222</v>
      </c>
      <c r="E10" s="3">
        <v>23839</v>
      </c>
      <c r="F10" s="1" t="str">
        <f>VLOOKUP(D10,Table6[[Name]:[Native]],3,FALSE)</f>
        <v>利通区</v>
      </c>
      <c r="G10" s="14" t="str">
        <f ca="1">VLOOKUP(F10,Table6[[Native]:[Population4]],5,FALSE)</f>
        <v>吴忠市</v>
      </c>
    </row>
    <row r="11" spans="1:7" ht="15.75" thickBot="1" x14ac:dyDescent="0.3">
      <c r="A11" t="s">
        <v>243</v>
      </c>
      <c r="B11" s="1" t="s">
        <v>244</v>
      </c>
      <c r="C11" s="1" t="s">
        <v>11</v>
      </c>
      <c r="D11" s="1" t="s">
        <v>237</v>
      </c>
      <c r="E11" s="3">
        <v>7190</v>
      </c>
      <c r="F11" s="1" t="str">
        <f>VLOOKUP(D11,Table6[[Name]:[Native]],3,FALSE)</f>
        <v>盐池县</v>
      </c>
      <c r="G11" s="14" t="str">
        <f ca="1">VLOOKUP(F11,Table6[[Native]:[Population4]],5,FALSE)</f>
        <v>吴忠市</v>
      </c>
    </row>
    <row r="12" spans="1:7" ht="15.75" thickBot="1" x14ac:dyDescent="0.3">
      <c r="A12" t="s">
        <v>245</v>
      </c>
      <c r="B12" s="1" t="s">
        <v>246</v>
      </c>
      <c r="C12" s="1" t="s">
        <v>7</v>
      </c>
      <c r="D12" s="1" t="s">
        <v>237</v>
      </c>
      <c r="E12" s="3">
        <v>6045</v>
      </c>
      <c r="F12" s="1" t="str">
        <f>VLOOKUP(D12,Table6[[Name]:[Native]],3,FALSE)</f>
        <v>盐池县</v>
      </c>
      <c r="G12" s="14" t="str">
        <f ca="1">VLOOKUP(F12,Table6[[Native]:[Population4]],5,FALSE)</f>
        <v>吴忠市</v>
      </c>
    </row>
    <row r="13" spans="1:7" ht="15.75" thickBot="1" x14ac:dyDescent="0.3">
      <c r="A13" t="s">
        <v>247</v>
      </c>
      <c r="B13" s="1" t="s">
        <v>248</v>
      </c>
      <c r="C13" s="1" t="s">
        <v>7</v>
      </c>
      <c r="D13" s="1" t="s">
        <v>222</v>
      </c>
      <c r="E13" s="3">
        <v>21613</v>
      </c>
      <c r="F13" s="1" t="str">
        <f>VLOOKUP(D13,Table6[[Name]:[Native]],3,FALSE)</f>
        <v>利通区</v>
      </c>
      <c r="G13" s="14" t="str">
        <f ca="1">VLOOKUP(F13,Table6[[Native]:[Population4]],5,FALSE)</f>
        <v>吴忠市</v>
      </c>
    </row>
    <row r="14" spans="1:7" ht="15.75" thickBot="1" x14ac:dyDescent="0.3">
      <c r="A14" t="s">
        <v>36</v>
      </c>
      <c r="B14" s="1" t="s">
        <v>37</v>
      </c>
      <c r="C14" s="1" t="s">
        <v>7</v>
      </c>
      <c r="D14" s="1" t="s">
        <v>222</v>
      </c>
      <c r="E14" s="3">
        <v>38537</v>
      </c>
      <c r="F14" s="1" t="str">
        <f>VLOOKUP(D14,Table6[[Name]:[Native]],3,FALSE)</f>
        <v>利通区</v>
      </c>
      <c r="G14" s="14" t="str">
        <f ca="1">VLOOKUP(F14,Table6[[Native]:[Population4]],5,FALSE)</f>
        <v>吴忠市</v>
      </c>
    </row>
    <row r="15" spans="1:7" ht="15.75" thickBot="1" x14ac:dyDescent="0.3">
      <c r="A15" t="s">
        <v>249</v>
      </c>
      <c r="B15" s="1" t="s">
        <v>250</v>
      </c>
      <c r="C15" s="1" t="s">
        <v>11</v>
      </c>
      <c r="D15" s="1" t="s">
        <v>222</v>
      </c>
      <c r="E15" s="3">
        <v>17620</v>
      </c>
      <c r="F15" s="1" t="str">
        <f>VLOOKUP(D15,Table6[[Name]:[Native]],3,FALSE)</f>
        <v>利通区</v>
      </c>
      <c r="G15" s="14" t="str">
        <f ca="1">VLOOKUP(F15,Table6[[Native]:[Population4]],5,FALSE)</f>
        <v>吴忠市</v>
      </c>
    </row>
    <row r="16" spans="1:7" ht="15.75" thickBot="1" x14ac:dyDescent="0.3">
      <c r="A16" t="s">
        <v>251</v>
      </c>
      <c r="B16" s="1" t="s">
        <v>252</v>
      </c>
      <c r="C16" s="1" t="s">
        <v>7</v>
      </c>
      <c r="D16" s="1" t="s">
        <v>240</v>
      </c>
      <c r="E16" s="3">
        <v>40914</v>
      </c>
      <c r="F16" s="1" t="str">
        <f>VLOOKUP(D16,Table6[[Name]:[Native]],3,FALSE)</f>
        <v>同心县</v>
      </c>
      <c r="G16" s="14" t="str">
        <f ca="1">VLOOKUP(F16,Table6[[Native]:[Population4]],5,FALSE)</f>
        <v>吴忠市</v>
      </c>
    </row>
    <row r="17" spans="1:7" ht="15.75" thickBot="1" x14ac:dyDescent="0.3">
      <c r="A17" t="s">
        <v>253</v>
      </c>
      <c r="B17" s="1" t="s">
        <v>254</v>
      </c>
      <c r="C17" s="1" t="s">
        <v>165</v>
      </c>
      <c r="D17" s="1" t="s">
        <v>234</v>
      </c>
      <c r="E17" s="3">
        <v>348</v>
      </c>
      <c r="F17" s="1" t="str">
        <f>VLOOKUP(D17,Table6[[Name]:[Native]],3,FALSE)</f>
        <v>红寺堡区</v>
      </c>
      <c r="G17" s="14" t="str">
        <f ca="1">VLOOKUP(F17,Table6[[Native]:[Population4]],5,FALSE)</f>
        <v>吴忠市</v>
      </c>
    </row>
    <row r="18" spans="1:7" ht="15.75" thickBot="1" x14ac:dyDescent="0.3">
      <c r="A18" t="s">
        <v>255</v>
      </c>
      <c r="B18" s="1" t="s">
        <v>256</v>
      </c>
      <c r="C18" s="1" t="s">
        <v>7</v>
      </c>
      <c r="D18" s="1" t="s">
        <v>234</v>
      </c>
      <c r="E18" s="3">
        <v>73750</v>
      </c>
      <c r="F18" s="1" t="str">
        <f>VLOOKUP(D18,Table6[[Name]:[Native]],3,FALSE)</f>
        <v>红寺堡区</v>
      </c>
      <c r="G18" s="14" t="str">
        <f ca="1">VLOOKUP(F18,Table6[[Native]:[Population4]],5,FALSE)</f>
        <v>吴忠市</v>
      </c>
    </row>
    <row r="19" spans="1:7" ht="15.75" thickBot="1" x14ac:dyDescent="0.3">
      <c r="A19" t="s">
        <v>257</v>
      </c>
      <c r="B19" s="1" t="s">
        <v>258</v>
      </c>
      <c r="C19" s="1" t="s">
        <v>7</v>
      </c>
      <c r="D19" s="1" t="s">
        <v>237</v>
      </c>
      <c r="E19" s="3">
        <v>77426</v>
      </c>
      <c r="F19" s="1" t="str">
        <f>VLOOKUP(D19,Table6[[Name]:[Native]],3,FALSE)</f>
        <v>盐池县</v>
      </c>
      <c r="G19" s="14" t="str">
        <f ca="1">VLOOKUP(F19,Table6[[Native]:[Population4]],5,FALSE)</f>
        <v>吴忠市</v>
      </c>
    </row>
    <row r="20" spans="1:7" ht="15.75" thickBot="1" x14ac:dyDescent="0.3">
      <c r="A20" t="s">
        <v>259</v>
      </c>
      <c r="B20" s="1" t="s">
        <v>260</v>
      </c>
      <c r="C20" s="1" t="s">
        <v>7</v>
      </c>
      <c r="D20" s="1" t="s">
        <v>237</v>
      </c>
      <c r="E20" s="3">
        <v>15489</v>
      </c>
      <c r="F20" s="1" t="str">
        <f>VLOOKUP(D20,Table6[[Name]:[Native]],3,FALSE)</f>
        <v>盐池县</v>
      </c>
      <c r="G20" s="14" t="str">
        <f ca="1">VLOOKUP(F20,Table6[[Native]:[Population4]],5,FALSE)</f>
        <v>吴忠市</v>
      </c>
    </row>
    <row r="21" spans="1:7" ht="15.75" thickBot="1" x14ac:dyDescent="0.3">
      <c r="A21" t="s">
        <v>261</v>
      </c>
      <c r="B21" s="1" t="s">
        <v>262</v>
      </c>
      <c r="C21" s="1" t="s">
        <v>7</v>
      </c>
      <c r="D21" s="1" t="s">
        <v>222</v>
      </c>
      <c r="E21" s="3">
        <v>36092</v>
      </c>
      <c r="F21" s="1" t="str">
        <f>VLOOKUP(D21,Table6[[Name]:[Native]],3,FALSE)</f>
        <v>利通区</v>
      </c>
      <c r="G21" s="14" t="str">
        <f ca="1">VLOOKUP(F21,Table6[[Native]:[Population4]],5,FALSE)</f>
        <v>吴忠市</v>
      </c>
    </row>
    <row r="22" spans="1:7" ht="15.75" thickBot="1" x14ac:dyDescent="0.3">
      <c r="A22" t="s">
        <v>263</v>
      </c>
      <c r="B22" s="1" t="s">
        <v>264</v>
      </c>
      <c r="C22" s="1" t="s">
        <v>7</v>
      </c>
      <c r="D22" s="1" t="s">
        <v>222</v>
      </c>
      <c r="E22" s="3">
        <v>60086</v>
      </c>
      <c r="F22" s="1" t="str">
        <f>VLOOKUP(D22,Table6[[Name]:[Native]],3,FALSE)</f>
        <v>利通区</v>
      </c>
      <c r="G22" s="14" t="str">
        <f ca="1">VLOOKUP(F22,Table6[[Native]:[Population4]],5,FALSE)</f>
        <v>吴忠市</v>
      </c>
    </row>
    <row r="23" spans="1:7" ht="15.75" thickBot="1" x14ac:dyDescent="0.3">
      <c r="A23" t="s">
        <v>265</v>
      </c>
      <c r="B23" s="1" t="s">
        <v>266</v>
      </c>
      <c r="C23" s="1" t="s">
        <v>7</v>
      </c>
      <c r="D23" s="1" t="s">
        <v>222</v>
      </c>
      <c r="E23" s="3">
        <v>28969</v>
      </c>
      <c r="F23" s="1" t="str">
        <f>VLOOKUP(D23,Table6[[Name]:[Native]],3,FALSE)</f>
        <v>利通区</v>
      </c>
      <c r="G23" s="14" t="str">
        <f ca="1">VLOOKUP(F23,Table6[[Native]:[Population4]],5,FALSE)</f>
        <v>吴忠市</v>
      </c>
    </row>
    <row r="24" spans="1:7" ht="15.75" thickBot="1" x14ac:dyDescent="0.3">
      <c r="A24" t="s">
        <v>267</v>
      </c>
      <c r="B24" s="1" t="s">
        <v>268</v>
      </c>
      <c r="C24" s="1" t="s">
        <v>7</v>
      </c>
      <c r="D24" s="1" t="s">
        <v>229</v>
      </c>
      <c r="E24" s="3">
        <v>28086</v>
      </c>
      <c r="F24" s="1" t="str">
        <f>VLOOKUP(D24,Table6[[Name]:[Native]],3,FALSE)</f>
        <v>青铜峡市</v>
      </c>
      <c r="G24" s="14" t="str">
        <f ca="1">VLOOKUP(F24,Table6[[Native]:[Population4]],5,FALSE)</f>
        <v>吴忠市</v>
      </c>
    </row>
    <row r="25" spans="1:7" ht="15.75" thickBot="1" x14ac:dyDescent="0.3">
      <c r="A25" t="s">
        <v>269</v>
      </c>
      <c r="B25" s="1" t="s">
        <v>270</v>
      </c>
      <c r="C25" s="1" t="s">
        <v>165</v>
      </c>
      <c r="D25" s="1" t="s">
        <v>229</v>
      </c>
      <c r="E25" s="3">
        <v>5181</v>
      </c>
      <c r="F25" s="1" t="str">
        <f>VLOOKUP(D25,Table6[[Name]:[Native]],3,FALSE)</f>
        <v>青铜峡市</v>
      </c>
      <c r="G25" s="14" t="str">
        <f ca="1">VLOOKUP(F25,Table6[[Native]:[Population4]],5,FALSE)</f>
        <v>吴忠市</v>
      </c>
    </row>
    <row r="26" spans="1:7" ht="15.75" thickBot="1" x14ac:dyDescent="0.3">
      <c r="A26" t="s">
        <v>271</v>
      </c>
      <c r="B26" s="1" t="s">
        <v>272</v>
      </c>
      <c r="C26" s="1" t="s">
        <v>11</v>
      </c>
      <c r="D26" s="1" t="s">
        <v>240</v>
      </c>
      <c r="E26" s="3">
        <v>13853</v>
      </c>
      <c r="F26" s="1" t="str">
        <f>VLOOKUP(D26,Table6[[Name]:[Native]],3,FALSE)</f>
        <v>同心县</v>
      </c>
      <c r="G26" s="14" t="str">
        <f ca="1">VLOOKUP(F26,Table6[[Native]:[Population4]],5,FALSE)</f>
        <v>吴忠市</v>
      </c>
    </row>
    <row r="27" spans="1:7" ht="15.75" thickBot="1" x14ac:dyDescent="0.3">
      <c r="A27" t="s">
        <v>273</v>
      </c>
      <c r="B27" s="1" t="s">
        <v>274</v>
      </c>
      <c r="C27" s="1" t="s">
        <v>11</v>
      </c>
      <c r="D27" s="1" t="s">
        <v>237</v>
      </c>
      <c r="E27" s="3">
        <v>6442</v>
      </c>
      <c r="F27" s="1" t="str">
        <f>VLOOKUP(D27,Table6[[Name]:[Native]],3,FALSE)</f>
        <v>盐池县</v>
      </c>
      <c r="G27" s="14" t="str">
        <f ca="1">VLOOKUP(F27,Table6[[Native]:[Population4]],5,FALSE)</f>
        <v>吴忠市</v>
      </c>
    </row>
    <row r="28" spans="1:7" ht="15.75" thickBot="1" x14ac:dyDescent="0.3">
      <c r="A28" t="s">
        <v>275</v>
      </c>
      <c r="B28" s="1" t="s">
        <v>276</v>
      </c>
      <c r="C28" s="1" t="s">
        <v>11</v>
      </c>
      <c r="D28" s="1" t="s">
        <v>222</v>
      </c>
      <c r="E28" s="3">
        <v>21122</v>
      </c>
      <c r="F28" s="1" t="str">
        <f>VLOOKUP(D28,Table6[[Name]:[Native]],3,FALSE)</f>
        <v>利通区</v>
      </c>
      <c r="G28" s="14" t="str">
        <f ca="1">VLOOKUP(F28,Table6[[Native]:[Population4]],5,FALSE)</f>
        <v>吴忠市</v>
      </c>
    </row>
    <row r="29" spans="1:7" ht="15.75" thickBot="1" x14ac:dyDescent="0.3">
      <c r="A29" t="s">
        <v>277</v>
      </c>
      <c r="B29" s="1" t="s">
        <v>278</v>
      </c>
      <c r="C29" s="1" t="s">
        <v>11</v>
      </c>
      <c r="D29" s="1" t="s">
        <v>237</v>
      </c>
      <c r="E29" s="3">
        <v>5068</v>
      </c>
      <c r="F29" s="1" t="str">
        <f>VLOOKUP(D29,Table6[[Name]:[Native]],3,FALSE)</f>
        <v>盐池县</v>
      </c>
      <c r="G29" s="14" t="str">
        <f ca="1">VLOOKUP(F29,Table6[[Native]:[Population4]],5,FALSE)</f>
        <v>吴忠市</v>
      </c>
    </row>
    <row r="30" spans="1:7" ht="15.75" thickBot="1" x14ac:dyDescent="0.3">
      <c r="A30" t="s">
        <v>279</v>
      </c>
      <c r="B30" s="1" t="s">
        <v>280</v>
      </c>
      <c r="C30" s="1" t="s">
        <v>7</v>
      </c>
      <c r="D30" s="1" t="s">
        <v>229</v>
      </c>
      <c r="E30" s="3">
        <v>41771</v>
      </c>
      <c r="F30" s="1" t="str">
        <f>VLOOKUP(D30,Table6[[Name]:[Native]],3,FALSE)</f>
        <v>青铜峡市</v>
      </c>
      <c r="G30" s="14" t="str">
        <f ca="1">VLOOKUP(F30,Table6[[Native]:[Population4]],5,FALSE)</f>
        <v>吴忠市</v>
      </c>
    </row>
    <row r="31" spans="1:7" ht="15.75" thickBot="1" x14ac:dyDescent="0.3">
      <c r="A31" t="s">
        <v>281</v>
      </c>
      <c r="B31" s="1" t="s">
        <v>282</v>
      </c>
      <c r="C31" s="1" t="s">
        <v>7</v>
      </c>
      <c r="D31" s="1" t="s">
        <v>222</v>
      </c>
      <c r="E31" s="3">
        <v>34102</v>
      </c>
      <c r="F31" s="1" t="str">
        <f>VLOOKUP(D31,Table6[[Name]:[Native]],3,FALSE)</f>
        <v>利通区</v>
      </c>
      <c r="G31" s="14" t="str">
        <f ca="1">VLOOKUP(F31,Table6[[Native]:[Population4]],5,FALSE)</f>
        <v>吴忠市</v>
      </c>
    </row>
    <row r="32" spans="1:7" ht="15.75" thickBot="1" x14ac:dyDescent="0.3">
      <c r="A32" t="s">
        <v>283</v>
      </c>
      <c r="B32" s="1" t="s">
        <v>284</v>
      </c>
      <c r="C32" s="1" t="s">
        <v>7</v>
      </c>
      <c r="D32" s="1" t="s">
        <v>229</v>
      </c>
      <c r="E32" s="3">
        <v>18548</v>
      </c>
      <c r="F32" s="1" t="str">
        <f>VLOOKUP(D32,Table6[[Name]:[Native]],3,FALSE)</f>
        <v>青铜峡市</v>
      </c>
      <c r="G32" s="14" t="str">
        <f ca="1">VLOOKUP(F32,Table6[[Native]:[Population4]],5,FALSE)</f>
        <v>吴忠市</v>
      </c>
    </row>
    <row r="33" spans="1:7" ht="15.75" thickBot="1" x14ac:dyDescent="0.3">
      <c r="A33" t="s">
        <v>285</v>
      </c>
      <c r="B33" s="1" t="s">
        <v>286</v>
      </c>
      <c r="C33" s="1" t="s">
        <v>7</v>
      </c>
      <c r="D33" s="1" t="s">
        <v>222</v>
      </c>
      <c r="E33" s="3">
        <v>36937</v>
      </c>
      <c r="F33" s="1" t="str">
        <f>VLOOKUP(D33,Table6[[Name]:[Native]],3,FALSE)</f>
        <v>利通区</v>
      </c>
      <c r="G33" s="14" t="str">
        <f ca="1">VLOOKUP(F33,Table6[[Native]:[Population4]],5,FALSE)</f>
        <v>吴忠市</v>
      </c>
    </row>
    <row r="34" spans="1:7" ht="15.75" thickBot="1" x14ac:dyDescent="0.3">
      <c r="A34" t="s">
        <v>287</v>
      </c>
      <c r="B34" s="1" t="s">
        <v>288</v>
      </c>
      <c r="C34" s="1" t="s">
        <v>165</v>
      </c>
      <c r="D34" s="1" t="s">
        <v>229</v>
      </c>
      <c r="E34" s="3">
        <v>1998</v>
      </c>
      <c r="F34" s="1" t="str">
        <f>VLOOKUP(D34,Table6[[Name]:[Native]],3,FALSE)</f>
        <v>青铜峡市</v>
      </c>
      <c r="G34" s="14" t="str">
        <f ca="1">VLOOKUP(F34,Table6[[Native]:[Population4]],5,FALSE)</f>
        <v>吴忠市</v>
      </c>
    </row>
    <row r="35" spans="1:7" ht="15.75" thickBot="1" x14ac:dyDescent="0.3">
      <c r="A35" t="s">
        <v>289</v>
      </c>
      <c r="B35" s="1" t="s">
        <v>290</v>
      </c>
      <c r="C35" s="1" t="s">
        <v>165</v>
      </c>
      <c r="D35" s="1" t="s">
        <v>222</v>
      </c>
      <c r="E35" s="3">
        <v>3719</v>
      </c>
      <c r="F35" s="1" t="str">
        <f>VLOOKUP(D35,Table6[[Name]:[Native]],3,FALSE)</f>
        <v>利通区</v>
      </c>
      <c r="G35" s="14" t="str">
        <f ca="1">VLOOKUP(F35,Table6[[Native]:[Population4]],5,FALSE)</f>
        <v>吴忠市</v>
      </c>
    </row>
    <row r="36" spans="1:7" ht="15.75" thickBot="1" x14ac:dyDescent="0.3">
      <c r="A36" s="1" t="s">
        <v>291</v>
      </c>
      <c r="B36" s="1" t="s">
        <v>292</v>
      </c>
      <c r="C36" s="1" t="s">
        <v>165</v>
      </c>
      <c r="D36" s="1" t="s">
        <v>222</v>
      </c>
      <c r="E36" s="3">
        <v>3299</v>
      </c>
      <c r="F36" s="1" t="str">
        <f>VLOOKUP(D36,Table6[[Name]:[Native]],3,FALSE)</f>
        <v>利通区</v>
      </c>
      <c r="G36" s="14" t="str">
        <f ca="1">VLOOKUP(F36,Table6[[Native]:[Population4]],5,FALSE)</f>
        <v>吴忠市</v>
      </c>
    </row>
    <row r="37" spans="1:7" ht="15.75" thickBot="1" x14ac:dyDescent="0.3">
      <c r="A37" t="s">
        <v>293</v>
      </c>
      <c r="B37" s="1" t="s">
        <v>294</v>
      </c>
      <c r="C37" s="1" t="s">
        <v>7</v>
      </c>
      <c r="D37" s="1" t="s">
        <v>234</v>
      </c>
      <c r="E37" s="3">
        <v>34945</v>
      </c>
      <c r="F37" s="1" t="str">
        <f>VLOOKUP(D37,Table6[[Name]:[Native]],3,FALSE)</f>
        <v>红寺堡区</v>
      </c>
      <c r="G37" s="14" t="str">
        <f ca="1">VLOOKUP(F37,Table6[[Native]:[Population4]],5,FALSE)</f>
        <v>吴忠市</v>
      </c>
    </row>
    <row r="38" spans="1:7" ht="15.75" thickBot="1" x14ac:dyDescent="0.3">
      <c r="A38" t="s">
        <v>295</v>
      </c>
      <c r="B38" s="1" t="s">
        <v>296</v>
      </c>
      <c r="C38" s="1" t="s">
        <v>11</v>
      </c>
      <c r="D38" s="1" t="s">
        <v>240</v>
      </c>
      <c r="E38" s="3">
        <v>16846</v>
      </c>
      <c r="F38" s="1" t="str">
        <f>VLOOKUP(D38,Table6[[Name]:[Native]],3,FALSE)</f>
        <v>同心县</v>
      </c>
      <c r="G38" s="14" t="str">
        <f ca="1">VLOOKUP(F38,Table6[[Native]:[Population4]],5,FALSE)</f>
        <v>吴忠市</v>
      </c>
    </row>
    <row r="39" spans="1:7" ht="15.75" thickBot="1" x14ac:dyDescent="0.3">
      <c r="A39" t="s">
        <v>297</v>
      </c>
      <c r="B39" s="1" t="s">
        <v>298</v>
      </c>
      <c r="C39" s="1" t="s">
        <v>11</v>
      </c>
      <c r="D39" s="1" t="s">
        <v>237</v>
      </c>
      <c r="E39" s="3">
        <v>7786</v>
      </c>
      <c r="F39" s="1" t="str">
        <f>VLOOKUP(D39,Table6[[Name]:[Native]],3,FALSE)</f>
        <v>盐池县</v>
      </c>
      <c r="G39" s="14" t="str">
        <f ca="1">VLOOKUP(F39,Table6[[Native]:[Population4]],5,FALSE)</f>
        <v>吴忠市</v>
      </c>
    </row>
    <row r="40" spans="1:7" ht="15.75" thickBot="1" x14ac:dyDescent="0.3">
      <c r="A40" t="s">
        <v>299</v>
      </c>
      <c r="B40" s="1" t="s">
        <v>300</v>
      </c>
      <c r="C40" s="1" t="s">
        <v>7</v>
      </c>
      <c r="D40" s="1" t="s">
        <v>240</v>
      </c>
      <c r="E40" s="3">
        <v>36729</v>
      </c>
      <c r="F40" s="1" t="str">
        <f>VLOOKUP(D40,Table6[[Name]:[Native]],3,FALSE)</f>
        <v>同心县</v>
      </c>
      <c r="G40" s="14" t="str">
        <f ca="1">VLOOKUP(F40,Table6[[Native]:[Population4]],5,FALSE)</f>
        <v>吴忠市</v>
      </c>
    </row>
    <row r="41" spans="1:7" ht="15.75" thickBot="1" x14ac:dyDescent="0.3">
      <c r="A41" t="s">
        <v>301</v>
      </c>
      <c r="B41" s="1" t="s">
        <v>302</v>
      </c>
      <c r="C41" s="1" t="s">
        <v>7</v>
      </c>
      <c r="D41" s="1" t="s">
        <v>240</v>
      </c>
      <c r="E41" s="3">
        <v>22925</v>
      </c>
      <c r="F41" s="1" t="str">
        <f>VLOOKUP(D41,Table6[[Name]:[Native]],3,FALSE)</f>
        <v>同心县</v>
      </c>
      <c r="G41" s="14" t="str">
        <f ca="1">VLOOKUP(F41,Table6[[Native]:[Population4]],5,FALSE)</f>
        <v>吴忠市</v>
      </c>
    </row>
    <row r="42" spans="1:7" ht="15.75" thickBot="1" x14ac:dyDescent="0.3">
      <c r="A42" t="s">
        <v>303</v>
      </c>
      <c r="B42" s="1" t="s">
        <v>304</v>
      </c>
      <c r="C42" s="1" t="s">
        <v>7</v>
      </c>
      <c r="D42" s="1" t="s">
        <v>229</v>
      </c>
      <c r="E42" s="3">
        <v>27866</v>
      </c>
      <c r="F42" s="1" t="str">
        <f>VLOOKUP(D42,Table6[[Name]:[Native]],3,FALSE)</f>
        <v>青铜峡市</v>
      </c>
      <c r="G42" s="14" t="str">
        <f ca="1">VLOOKUP(F42,Table6[[Native]:[Population4]],5,FALSE)</f>
        <v>吴忠市</v>
      </c>
    </row>
    <row r="43" spans="1:7" ht="15.75" thickBot="1" x14ac:dyDescent="0.3">
      <c r="A43" t="s">
        <v>305</v>
      </c>
      <c r="B43" s="1" t="s">
        <v>306</v>
      </c>
      <c r="C43" s="1" t="s">
        <v>7</v>
      </c>
      <c r="D43" s="1" t="s">
        <v>240</v>
      </c>
      <c r="E43" s="3">
        <v>21150</v>
      </c>
      <c r="F43" s="1" t="str">
        <f>VLOOKUP(D43,Table6[[Name]:[Native]],3,FALSE)</f>
        <v>同心县</v>
      </c>
      <c r="G43" s="14" t="str">
        <f ca="1">VLOOKUP(F43,Table6[[Native]:[Population4]],5,FALSE)</f>
        <v>吴忠市</v>
      </c>
    </row>
    <row r="44" spans="1:7" ht="15.75" thickBot="1" x14ac:dyDescent="0.3">
      <c r="A44" t="s">
        <v>307</v>
      </c>
      <c r="B44" s="1" t="s">
        <v>308</v>
      </c>
      <c r="C44" s="1" t="s">
        <v>7</v>
      </c>
      <c r="D44" s="1" t="s">
        <v>229</v>
      </c>
      <c r="E44" s="3">
        <v>23436</v>
      </c>
      <c r="F44" s="1" t="str">
        <f>VLOOKUP(D44,Table6[[Name]:[Native]],3,FALSE)</f>
        <v>青铜峡市</v>
      </c>
      <c r="G44" s="14" t="str">
        <f ca="1">VLOOKUP(F44,Table6[[Native]:[Population4]],5,FALSE)</f>
        <v>吴忠市</v>
      </c>
    </row>
    <row r="45" spans="1:7" ht="15.75" thickBot="1" x14ac:dyDescent="0.3">
      <c r="A45" t="s">
        <v>309</v>
      </c>
      <c r="B45" s="1" t="s">
        <v>310</v>
      </c>
      <c r="C45" s="1" t="s">
        <v>11</v>
      </c>
      <c r="D45" s="1" t="s">
        <v>240</v>
      </c>
      <c r="E45" s="3">
        <v>9844</v>
      </c>
      <c r="F45" s="1" t="str">
        <f>VLOOKUP(D45,Table6[[Name]:[Native]],3,FALSE)</f>
        <v>同心县</v>
      </c>
      <c r="G45" s="14" t="str">
        <f ca="1">VLOOKUP(F45,Table6[[Native]:[Population4]],5,FALSE)</f>
        <v>吴忠市</v>
      </c>
    </row>
    <row r="46" spans="1:7" ht="15.75" thickBot="1" x14ac:dyDescent="0.3">
      <c r="A46" t="s">
        <v>311</v>
      </c>
      <c r="B46" s="1" t="s">
        <v>312</v>
      </c>
      <c r="C46" s="1" t="s">
        <v>11</v>
      </c>
      <c r="D46" s="1" t="s">
        <v>234</v>
      </c>
      <c r="E46" s="3">
        <v>30760</v>
      </c>
      <c r="F46" s="1" t="str">
        <f>VLOOKUP(D46,Table6[[Name]:[Native]],3,FALSE)</f>
        <v>红寺堡区</v>
      </c>
      <c r="G46" s="14" t="str">
        <f ca="1">VLOOKUP(F46,Table6[[Native]:[Population4]],5,FALSE)</f>
        <v>吴忠市</v>
      </c>
    </row>
    <row r="47" spans="1:7" ht="15.75" thickBot="1" x14ac:dyDescent="0.3">
      <c r="A47" t="s">
        <v>313</v>
      </c>
      <c r="B47" s="1" t="s">
        <v>314</v>
      </c>
      <c r="C47" s="1" t="s">
        <v>7</v>
      </c>
      <c r="D47" s="1" t="s">
        <v>229</v>
      </c>
      <c r="E47" s="3">
        <v>15206</v>
      </c>
      <c r="F47" s="1" t="str">
        <f>VLOOKUP(D47,Table6[[Name]:[Native]],3,FALSE)</f>
        <v>青铜峡市</v>
      </c>
      <c r="G47" s="14" t="str">
        <f ca="1">VLOOKUP(F47,Table6[[Native]:[Population4]],5,FALSE)</f>
        <v>吴忠市</v>
      </c>
    </row>
    <row r="48" spans="1:7" ht="15.75" thickBot="1" x14ac:dyDescent="0.3">
      <c r="A48" t="s">
        <v>315</v>
      </c>
      <c r="B48" s="1" t="s">
        <v>316</v>
      </c>
      <c r="C48" s="1" t="s">
        <v>7</v>
      </c>
      <c r="D48" s="1" t="s">
        <v>240</v>
      </c>
      <c r="E48" s="3">
        <v>83887</v>
      </c>
      <c r="F48" s="1" t="str">
        <f>VLOOKUP(D48,Table6[[Name]:[Native]],3,FALSE)</f>
        <v>同心县</v>
      </c>
      <c r="G48" s="14" t="str">
        <f ca="1">VLOOKUP(F48,Table6[[Native]:[Population4]],5,FALSE)</f>
        <v>吴忠市</v>
      </c>
    </row>
    <row r="49" spans="1:7" ht="15.75" thickBot="1" x14ac:dyDescent="0.3">
      <c r="A49" t="s">
        <v>317</v>
      </c>
      <c r="B49" s="1" t="s">
        <v>318</v>
      </c>
      <c r="C49" s="1" t="s">
        <v>52</v>
      </c>
      <c r="D49" s="1" t="s">
        <v>229</v>
      </c>
      <c r="E49" s="3">
        <v>56819</v>
      </c>
      <c r="F49" s="1" t="str">
        <f>VLOOKUP(D49,Table6[[Name]:[Native]],3,FALSE)</f>
        <v>青铜峡市</v>
      </c>
      <c r="G49" s="14" t="str">
        <f ca="1">VLOOKUP(F49,Table6[[Native]:[Population4]],5,FALSE)</f>
        <v>吴忠市</v>
      </c>
    </row>
    <row r="50" spans="1:7" ht="15.75" thickBot="1" x14ac:dyDescent="0.3">
      <c r="A50" t="s">
        <v>319</v>
      </c>
      <c r="B50" s="1" t="s">
        <v>320</v>
      </c>
      <c r="C50" s="1" t="s">
        <v>7</v>
      </c>
      <c r="D50" s="1" t="s">
        <v>240</v>
      </c>
      <c r="E50" s="3">
        <v>20320</v>
      </c>
      <c r="F50" s="1" t="str">
        <f>VLOOKUP(D50,Table6[[Name]:[Native]],3,FALSE)</f>
        <v>同心县</v>
      </c>
      <c r="G50" s="14" t="str">
        <f ca="1">VLOOKUP(F50,Table6[[Native]:[Population4]],5,FALSE)</f>
        <v>吴忠市</v>
      </c>
    </row>
    <row r="51" spans="1:7" ht="15.75" thickBot="1" x14ac:dyDescent="0.3">
      <c r="A51" t="s">
        <v>321</v>
      </c>
      <c r="B51" s="1" t="s">
        <v>322</v>
      </c>
      <c r="C51" s="1" t="s">
        <v>11</v>
      </c>
      <c r="D51" s="1" t="s">
        <v>240</v>
      </c>
      <c r="E51" s="3">
        <v>12657</v>
      </c>
      <c r="F51" s="10" t="str">
        <f>VLOOKUP(D51,Table6[[Name]:[Native]],3,FALSE)</f>
        <v>同心县</v>
      </c>
      <c r="G51" s="14" t="str">
        <f ca="1">VLOOKUP(F51,Table6[[Native]:[Population4]],5,FALSE)</f>
        <v>吴忠市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568D1-8E6D-4638-9605-1A5FE93B3470}">
  <dimension ref="A1:G58"/>
  <sheetViews>
    <sheetView workbookViewId="0">
      <selection activeCell="A2" sqref="A2:G58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579</v>
      </c>
      <c r="G1" t="s">
        <v>581</v>
      </c>
    </row>
    <row r="2" spans="1:7" ht="15.75" thickBot="1" x14ac:dyDescent="0.3">
      <c r="A2" t="s">
        <v>323</v>
      </c>
      <c r="B2" s="1" t="s">
        <v>324</v>
      </c>
      <c r="C2" s="1" t="s">
        <v>11</v>
      </c>
      <c r="D2" s="1" t="s">
        <v>325</v>
      </c>
      <c r="E2" s="3">
        <v>8640</v>
      </c>
      <c r="F2" s="9" t="str">
        <f>VLOOKUP(D2,Table6[[Name]:[Native]],3,FALSE)</f>
        <v>灵武市</v>
      </c>
      <c r="G2" s="14" t="str">
        <f ca="1">VLOOKUP(F2,Table6[[Native]:[Population4]],5,FALSE)</f>
        <v>银川市</v>
      </c>
    </row>
    <row r="3" spans="1:7" ht="15.75" thickBot="1" x14ac:dyDescent="0.3">
      <c r="A3" t="s">
        <v>326</v>
      </c>
      <c r="B3" s="1" t="s">
        <v>327</v>
      </c>
      <c r="C3" s="1" t="s">
        <v>52</v>
      </c>
      <c r="D3" s="1" t="s">
        <v>328</v>
      </c>
      <c r="E3" s="3">
        <v>36987</v>
      </c>
      <c r="F3" s="1" t="str">
        <f>VLOOKUP(D3,Table6[[Name]:[Native]],3,FALSE)</f>
        <v>西夏区</v>
      </c>
      <c r="G3" s="14" t="str">
        <f ca="1">VLOOKUP(F3,Table6[[Native]:[Population4]],5,FALSE)</f>
        <v>银川市</v>
      </c>
    </row>
    <row r="4" spans="1:7" ht="15.75" thickBot="1" x14ac:dyDescent="0.3">
      <c r="A4" t="s">
        <v>329</v>
      </c>
      <c r="B4" s="1" t="s">
        <v>330</v>
      </c>
      <c r="C4" s="1" t="s">
        <v>52</v>
      </c>
      <c r="D4" s="1" t="s">
        <v>331</v>
      </c>
      <c r="E4" s="3">
        <v>32964</v>
      </c>
      <c r="F4" s="1" t="str">
        <f>VLOOKUP(D4,Table6[[Name]:[Native]],3,FALSE)</f>
        <v>金凤区</v>
      </c>
      <c r="G4" s="14" t="str">
        <f ca="1">VLOOKUP(F4,Table6[[Native]:[Population4]],5,FALSE)</f>
        <v>银川市</v>
      </c>
    </row>
    <row r="5" spans="1:7" ht="15.75" thickBot="1" x14ac:dyDescent="0.3">
      <c r="A5" t="s">
        <v>332</v>
      </c>
      <c r="B5" s="1" t="s">
        <v>333</v>
      </c>
      <c r="C5" s="1" t="s">
        <v>52</v>
      </c>
      <c r="D5" s="1" t="s">
        <v>331</v>
      </c>
      <c r="E5" s="3">
        <v>72606</v>
      </c>
      <c r="F5" s="1" t="str">
        <f>VLOOKUP(D5,Table6[[Name]:[Native]],3,FALSE)</f>
        <v>金凤区</v>
      </c>
      <c r="G5" s="14" t="str">
        <f ca="1">VLOOKUP(F5,Table6[[Native]:[Population4]],5,FALSE)</f>
        <v>银川市</v>
      </c>
    </row>
    <row r="6" spans="1:7" ht="15.75" thickBot="1" x14ac:dyDescent="0.3">
      <c r="A6" t="s">
        <v>334</v>
      </c>
      <c r="B6" s="1" t="s">
        <v>335</v>
      </c>
      <c r="C6" s="1" t="s">
        <v>11</v>
      </c>
      <c r="D6" s="1" t="s">
        <v>336</v>
      </c>
      <c r="E6" s="3">
        <v>25095</v>
      </c>
      <c r="F6" s="1" t="str">
        <f>VLOOKUP(D6,Table6[[Name]:[Native]],3,FALSE)</f>
        <v>贺兰县</v>
      </c>
      <c r="G6" s="14" t="str">
        <f ca="1">VLOOKUP(F6,Table6[[Native]:[Population4]],5,FALSE)</f>
        <v>银川市</v>
      </c>
    </row>
    <row r="7" spans="1:7" ht="15.75" thickBot="1" x14ac:dyDescent="0.3">
      <c r="A7" t="s">
        <v>337</v>
      </c>
      <c r="B7" s="1" t="s">
        <v>338</v>
      </c>
      <c r="C7" s="1" t="s">
        <v>52</v>
      </c>
      <c r="D7" s="1" t="s">
        <v>325</v>
      </c>
      <c r="E7" s="3">
        <v>52863</v>
      </c>
      <c r="F7" s="1" t="str">
        <f>VLOOKUP(D7,Table6[[Name]:[Native]],3,FALSE)</f>
        <v>灵武市</v>
      </c>
      <c r="G7" s="14" t="str">
        <f ca="1">VLOOKUP(F7,Table6[[Native]:[Population4]],5,FALSE)</f>
        <v>银川市</v>
      </c>
    </row>
    <row r="8" spans="1:7" ht="15.75" thickBot="1" x14ac:dyDescent="0.3">
      <c r="A8" t="s">
        <v>339</v>
      </c>
      <c r="B8" s="1" t="s">
        <v>340</v>
      </c>
      <c r="C8" s="1" t="s">
        <v>7</v>
      </c>
      <c r="D8" s="1" t="s">
        <v>325</v>
      </c>
      <c r="E8" s="3">
        <v>41212</v>
      </c>
      <c r="F8" s="1" t="str">
        <f>VLOOKUP(D8,Table6[[Name]:[Native]],3,FALSE)</f>
        <v>灵武市</v>
      </c>
      <c r="G8" s="14" t="str">
        <f ca="1">VLOOKUP(F8,Table6[[Native]:[Population4]],5,FALSE)</f>
        <v>银川市</v>
      </c>
    </row>
    <row r="9" spans="1:7" ht="15.75" thickBot="1" x14ac:dyDescent="0.3">
      <c r="A9" t="s">
        <v>341</v>
      </c>
      <c r="B9" s="1" t="s">
        <v>342</v>
      </c>
      <c r="C9" s="1" t="s">
        <v>7</v>
      </c>
      <c r="D9" s="1" t="s">
        <v>343</v>
      </c>
      <c r="E9" s="3">
        <v>76536</v>
      </c>
      <c r="F9" s="1" t="str">
        <f>VLOOKUP(D9,Table6[[Name]:[Native]],3,FALSE)</f>
        <v>兴庆区</v>
      </c>
      <c r="G9" s="14" t="str">
        <f ca="1">VLOOKUP(F9,Table6[[Native]:[Population4]],5,FALSE)</f>
        <v>银川市</v>
      </c>
    </row>
    <row r="10" spans="1:7" ht="15.75" thickBot="1" x14ac:dyDescent="0.3">
      <c r="A10" t="s">
        <v>344</v>
      </c>
      <c r="B10" s="1" t="s">
        <v>345</v>
      </c>
      <c r="C10" s="1" t="s">
        <v>7</v>
      </c>
      <c r="D10" s="1" t="s">
        <v>325</v>
      </c>
      <c r="E10" s="3">
        <v>22040</v>
      </c>
      <c r="F10" s="1" t="str">
        <f>VLOOKUP(D10,Table6[[Name]:[Native]],3,FALSE)</f>
        <v>灵武市</v>
      </c>
      <c r="G10" s="14" t="str">
        <f ca="1">VLOOKUP(F10,Table6[[Native]:[Population4]],5,FALSE)</f>
        <v>银川市</v>
      </c>
    </row>
    <row r="11" spans="1:7" ht="15.75" thickBot="1" x14ac:dyDescent="0.3">
      <c r="A11" t="s">
        <v>346</v>
      </c>
      <c r="B11" s="1" t="s">
        <v>347</v>
      </c>
      <c r="C11" s="1" t="s">
        <v>7</v>
      </c>
      <c r="D11" s="1" t="s">
        <v>331</v>
      </c>
      <c r="E11" s="3">
        <v>12922</v>
      </c>
      <c r="F11" s="1" t="str">
        <f>VLOOKUP(D11,Table6[[Name]:[Native]],3,FALSE)</f>
        <v>金凤区</v>
      </c>
      <c r="G11" s="14" t="str">
        <f ca="1">VLOOKUP(F11,Table6[[Native]:[Population4]],5,FALSE)</f>
        <v>银川市</v>
      </c>
    </row>
    <row r="12" spans="1:7" ht="15.75" thickBot="1" x14ac:dyDescent="0.3">
      <c r="A12" t="s">
        <v>348</v>
      </c>
      <c r="B12" s="1" t="s">
        <v>349</v>
      </c>
      <c r="C12" s="1" t="s">
        <v>52</v>
      </c>
      <c r="D12" s="1" t="s">
        <v>343</v>
      </c>
      <c r="E12" s="3">
        <v>41402</v>
      </c>
      <c r="F12" s="1" t="str">
        <f>VLOOKUP(D12,Table6[[Name]:[Native]],3,FALSE)</f>
        <v>兴庆区</v>
      </c>
      <c r="G12" s="14" t="str">
        <f ca="1">VLOOKUP(F12,Table6[[Native]:[Population4]],5,FALSE)</f>
        <v>银川市</v>
      </c>
    </row>
    <row r="13" spans="1:7" ht="15.75" thickBot="1" x14ac:dyDescent="0.3">
      <c r="A13" t="s">
        <v>350</v>
      </c>
      <c r="B13" s="1" t="s">
        <v>351</v>
      </c>
      <c r="C13" s="1" t="s">
        <v>52</v>
      </c>
      <c r="D13" s="1" t="s">
        <v>343</v>
      </c>
      <c r="E13" s="3">
        <v>47793</v>
      </c>
      <c r="F13" s="1" t="str">
        <f>VLOOKUP(D13,Table6[[Name]:[Native]],3,FALSE)</f>
        <v>兴庆区</v>
      </c>
      <c r="G13" s="14" t="str">
        <f ca="1">VLOOKUP(F13,Table6[[Native]:[Population4]],5,FALSE)</f>
        <v>银川市</v>
      </c>
    </row>
    <row r="14" spans="1:7" ht="15.75" thickBot="1" x14ac:dyDescent="0.3">
      <c r="A14" t="s">
        <v>352</v>
      </c>
      <c r="B14" s="1" t="s">
        <v>353</v>
      </c>
      <c r="C14" s="1" t="s">
        <v>7</v>
      </c>
      <c r="D14" s="1" t="s">
        <v>325</v>
      </c>
      <c r="E14" s="3">
        <v>32507</v>
      </c>
      <c r="F14" s="1" t="str">
        <f>VLOOKUP(D14,Table6[[Name]:[Native]],3,FALSE)</f>
        <v>灵武市</v>
      </c>
      <c r="G14" s="14" t="str">
        <f ca="1">VLOOKUP(F14,Table6[[Native]:[Population4]],5,FALSE)</f>
        <v>银川市</v>
      </c>
    </row>
    <row r="15" spans="1:7" ht="15.75" thickBot="1" x14ac:dyDescent="0.3">
      <c r="A15" t="s">
        <v>354</v>
      </c>
      <c r="B15" s="1" t="s">
        <v>355</v>
      </c>
      <c r="C15" s="1" t="s">
        <v>52</v>
      </c>
      <c r="D15" s="1" t="s">
        <v>328</v>
      </c>
      <c r="E15" s="3">
        <v>65619</v>
      </c>
      <c r="F15" s="1" t="str">
        <f>VLOOKUP(D15,Table6[[Name]:[Native]],3,FALSE)</f>
        <v>西夏区</v>
      </c>
      <c r="G15" s="14" t="str">
        <f ca="1">VLOOKUP(F15,Table6[[Native]:[Population4]],5,FALSE)</f>
        <v>银川市</v>
      </c>
    </row>
    <row r="16" spans="1:7" ht="15.75" thickBot="1" x14ac:dyDescent="0.3">
      <c r="A16" t="s">
        <v>356</v>
      </c>
      <c r="B16" s="1" t="s">
        <v>357</v>
      </c>
      <c r="C16" s="1" t="s">
        <v>7</v>
      </c>
      <c r="D16" s="1" t="s">
        <v>336</v>
      </c>
      <c r="E16" s="3">
        <v>17409</v>
      </c>
      <c r="F16" s="1" t="str">
        <f>VLOOKUP(D16,Table6[[Name]:[Native]],3,FALSE)</f>
        <v>贺兰县</v>
      </c>
      <c r="G16" s="14" t="str">
        <f ca="1">VLOOKUP(F16,Table6[[Native]:[Population4]],5,FALSE)</f>
        <v>银川市</v>
      </c>
    </row>
    <row r="17" spans="1:7" ht="15.75" thickBot="1" x14ac:dyDescent="0.3">
      <c r="A17" t="s">
        <v>358</v>
      </c>
      <c r="B17" s="1" t="s">
        <v>359</v>
      </c>
      <c r="C17" s="1" t="s">
        <v>52</v>
      </c>
      <c r="D17" s="1" t="s">
        <v>331</v>
      </c>
      <c r="E17" s="3">
        <v>56528</v>
      </c>
      <c r="F17" s="1" t="str">
        <f>VLOOKUP(D17,Table6[[Name]:[Native]],3,FALSE)</f>
        <v>金凤区</v>
      </c>
      <c r="G17" s="14" t="str">
        <f ca="1">VLOOKUP(F17,Table6[[Native]:[Population4]],5,FALSE)</f>
        <v>银川市</v>
      </c>
    </row>
    <row r="18" spans="1:7" ht="15.75" thickBot="1" x14ac:dyDescent="0.3">
      <c r="A18" t="s">
        <v>360</v>
      </c>
      <c r="B18" s="1" t="s">
        <v>361</v>
      </c>
      <c r="C18" s="1" t="s">
        <v>165</v>
      </c>
      <c r="D18" s="1" t="s">
        <v>362</v>
      </c>
      <c r="E18" s="3">
        <v>3984</v>
      </c>
      <c r="F18" s="1" t="str">
        <f>VLOOKUP(D18,Table6[[Name]:[Native]],3,FALSE)</f>
        <v>永宁县</v>
      </c>
      <c r="G18" s="14" t="str">
        <f ca="1">VLOOKUP(F18,Table6[[Native]:[Population4]],5,FALSE)</f>
        <v>银川市</v>
      </c>
    </row>
    <row r="19" spans="1:7" ht="15.75" thickBot="1" x14ac:dyDescent="0.3">
      <c r="A19" t="s">
        <v>363</v>
      </c>
      <c r="B19" s="1" t="s">
        <v>364</v>
      </c>
      <c r="C19" s="1" t="s">
        <v>52</v>
      </c>
      <c r="D19" s="1" t="s">
        <v>343</v>
      </c>
      <c r="E19" s="3">
        <v>45646</v>
      </c>
      <c r="F19" s="1" t="str">
        <f>VLOOKUP(D19,Table6[[Name]:[Native]],3,FALSE)</f>
        <v>兴庆区</v>
      </c>
      <c r="G19" s="14" t="str">
        <f ca="1">VLOOKUP(F19,Table6[[Native]:[Population4]],5,FALSE)</f>
        <v>银川市</v>
      </c>
    </row>
    <row r="20" spans="1:7" ht="15.75" thickBot="1" x14ac:dyDescent="0.3">
      <c r="A20" t="s">
        <v>365</v>
      </c>
      <c r="B20" s="1" t="s">
        <v>366</v>
      </c>
      <c r="C20" s="1" t="s">
        <v>7</v>
      </c>
      <c r="D20" s="1" t="s">
        <v>336</v>
      </c>
      <c r="E20" s="3">
        <v>29796</v>
      </c>
      <c r="F20" s="1" t="str">
        <f>VLOOKUP(D20,Table6[[Name]:[Native]],3,FALSE)</f>
        <v>贺兰县</v>
      </c>
      <c r="G20" s="14" t="str">
        <f ca="1">VLOOKUP(F20,Table6[[Native]:[Population4]],5,FALSE)</f>
        <v>银川市</v>
      </c>
    </row>
    <row r="21" spans="1:7" ht="15.75" thickBot="1" x14ac:dyDescent="0.3">
      <c r="A21" t="s">
        <v>367</v>
      </c>
      <c r="B21" s="1" t="s">
        <v>368</v>
      </c>
      <c r="C21" s="1" t="s">
        <v>165</v>
      </c>
      <c r="D21" s="1" t="s">
        <v>336</v>
      </c>
      <c r="E21" s="3">
        <v>596</v>
      </c>
      <c r="F21" s="1" t="str">
        <f>VLOOKUP(D21,Table6[[Name]:[Native]],3,FALSE)</f>
        <v>贺兰县</v>
      </c>
      <c r="G21" s="14" t="str">
        <f ca="1">VLOOKUP(F21,Table6[[Native]:[Population4]],5,FALSE)</f>
        <v>银川市</v>
      </c>
    </row>
    <row r="22" spans="1:7" ht="15.75" thickBot="1" x14ac:dyDescent="0.3">
      <c r="A22" t="s">
        <v>369</v>
      </c>
      <c r="B22" s="1" t="s">
        <v>370</v>
      </c>
      <c r="C22" s="1" t="s">
        <v>7</v>
      </c>
      <c r="D22" s="1" t="s">
        <v>331</v>
      </c>
      <c r="E22" s="3">
        <v>22160</v>
      </c>
      <c r="F22" s="1" t="str">
        <f>VLOOKUP(D22,Table6[[Name]:[Native]],3,FALSE)</f>
        <v>金凤区</v>
      </c>
      <c r="G22" s="14" t="str">
        <f ca="1">VLOOKUP(F22,Table6[[Native]:[Population4]],5,FALSE)</f>
        <v>银川市</v>
      </c>
    </row>
    <row r="23" spans="1:7" ht="15.75" thickBot="1" x14ac:dyDescent="0.3">
      <c r="A23" t="s">
        <v>371</v>
      </c>
      <c r="B23" s="1" t="s">
        <v>372</v>
      </c>
      <c r="C23" s="1" t="s">
        <v>7</v>
      </c>
      <c r="D23" s="1" t="s">
        <v>336</v>
      </c>
      <c r="E23" s="3">
        <v>24165</v>
      </c>
      <c r="F23" s="1" t="str">
        <f>VLOOKUP(D23,Table6[[Name]:[Native]],3,FALSE)</f>
        <v>贺兰县</v>
      </c>
      <c r="G23" s="14" t="str">
        <f ca="1">VLOOKUP(F23,Table6[[Native]:[Population4]],5,FALSE)</f>
        <v>银川市</v>
      </c>
    </row>
    <row r="24" spans="1:7" ht="15.75" thickBot="1" x14ac:dyDescent="0.3">
      <c r="A24" t="s">
        <v>373</v>
      </c>
      <c r="B24" s="1" t="s">
        <v>374</v>
      </c>
      <c r="C24" s="1" t="s">
        <v>52</v>
      </c>
      <c r="D24" s="1" t="s">
        <v>343</v>
      </c>
      <c r="E24" s="3">
        <v>72736</v>
      </c>
      <c r="F24" s="1" t="str">
        <f>VLOOKUP(D24,Table6[[Name]:[Native]],3,FALSE)</f>
        <v>兴庆区</v>
      </c>
      <c r="G24" s="14" t="str">
        <f ca="1">VLOOKUP(F24,Table6[[Native]:[Population4]],5,FALSE)</f>
        <v>银川市</v>
      </c>
    </row>
    <row r="25" spans="1:7" ht="15.75" thickBot="1" x14ac:dyDescent="0.3">
      <c r="A25" t="s">
        <v>375</v>
      </c>
      <c r="B25" s="1" t="s">
        <v>376</v>
      </c>
      <c r="C25" s="1" t="s">
        <v>7</v>
      </c>
      <c r="D25" s="1" t="s">
        <v>362</v>
      </c>
      <c r="E25" s="3">
        <v>27723</v>
      </c>
      <c r="F25" s="1" t="str">
        <f>VLOOKUP(D25,Table6[[Name]:[Native]],3,FALSE)</f>
        <v>永宁县</v>
      </c>
      <c r="G25" s="14" t="str">
        <f ca="1">VLOOKUP(F25,Table6[[Native]:[Population4]],5,FALSE)</f>
        <v>银川市</v>
      </c>
    </row>
    <row r="26" spans="1:7" ht="15.75" thickBot="1" x14ac:dyDescent="0.3">
      <c r="A26" t="s">
        <v>377</v>
      </c>
      <c r="B26" s="1" t="s">
        <v>378</v>
      </c>
      <c r="C26" s="1" t="s">
        <v>165</v>
      </c>
      <c r="D26" s="1" t="s">
        <v>325</v>
      </c>
      <c r="E26" s="3">
        <v>9949</v>
      </c>
      <c r="F26" s="1" t="str">
        <f>VLOOKUP(D26,Table6[[Name]:[Native]],3,FALSE)</f>
        <v>灵武市</v>
      </c>
      <c r="G26" s="14" t="str">
        <f ca="1">VLOOKUP(F26,Table6[[Native]:[Population4]],5,FALSE)</f>
        <v>银川市</v>
      </c>
    </row>
    <row r="27" spans="1:7" ht="15.75" thickBot="1" x14ac:dyDescent="0.3">
      <c r="A27" t="s">
        <v>379</v>
      </c>
      <c r="B27" s="1" t="s">
        <v>380</v>
      </c>
      <c r="C27" s="1" t="s">
        <v>7</v>
      </c>
      <c r="D27" s="1" t="s">
        <v>325</v>
      </c>
      <c r="E27" s="3">
        <v>16723</v>
      </c>
      <c r="F27" s="1" t="str">
        <f>VLOOKUP(D27,Table6[[Name]:[Native]],3,FALSE)</f>
        <v>灵武市</v>
      </c>
      <c r="G27" s="14" t="str">
        <f ca="1">VLOOKUP(F27,Table6[[Native]:[Population4]],5,FALSE)</f>
        <v>银川市</v>
      </c>
    </row>
    <row r="28" spans="1:7" ht="15.75" thickBot="1" x14ac:dyDescent="0.3">
      <c r="A28" t="s">
        <v>381</v>
      </c>
      <c r="B28" s="1" t="s">
        <v>382</v>
      </c>
      <c r="C28" s="1" t="s">
        <v>7</v>
      </c>
      <c r="D28" s="1" t="s">
        <v>325</v>
      </c>
      <c r="E28" s="3">
        <v>8650</v>
      </c>
      <c r="F28" s="1" t="str">
        <f>VLOOKUP(D28,Table6[[Name]:[Native]],3,FALSE)</f>
        <v>灵武市</v>
      </c>
      <c r="G28" s="14" t="str">
        <f ca="1">VLOOKUP(F28,Table6[[Native]:[Population4]],5,FALSE)</f>
        <v>银川市</v>
      </c>
    </row>
    <row r="29" spans="1:7" ht="15.75" thickBot="1" x14ac:dyDescent="0.3">
      <c r="A29" t="s">
        <v>383</v>
      </c>
      <c r="B29" s="1" t="s">
        <v>384</v>
      </c>
      <c r="C29" s="1" t="s">
        <v>52</v>
      </c>
      <c r="D29" s="1" t="s">
        <v>331</v>
      </c>
      <c r="E29" s="3">
        <v>42797</v>
      </c>
      <c r="F29" s="1" t="str">
        <f>VLOOKUP(D29,Table6[[Name]:[Native]],3,FALSE)</f>
        <v>金凤区</v>
      </c>
      <c r="G29" s="14" t="str">
        <f ca="1">VLOOKUP(F29,Table6[[Native]:[Population4]],5,FALSE)</f>
        <v>银川市</v>
      </c>
    </row>
    <row r="30" spans="1:7" ht="15.75" thickBot="1" x14ac:dyDescent="0.3">
      <c r="A30" t="s">
        <v>385</v>
      </c>
      <c r="B30" s="1" t="s">
        <v>386</v>
      </c>
      <c r="C30" s="1" t="s">
        <v>7</v>
      </c>
      <c r="D30" s="1" t="s">
        <v>362</v>
      </c>
      <c r="E30" s="3">
        <v>24696</v>
      </c>
      <c r="F30" s="1" t="str">
        <f>VLOOKUP(D30,Table6[[Name]:[Native]],3,FALSE)</f>
        <v>永宁县</v>
      </c>
      <c r="G30" s="14" t="str">
        <f ca="1">VLOOKUP(F30,Table6[[Native]:[Population4]],5,FALSE)</f>
        <v>银川市</v>
      </c>
    </row>
    <row r="31" spans="1:7" ht="15.75" thickBot="1" x14ac:dyDescent="0.3">
      <c r="A31" t="s">
        <v>387</v>
      </c>
      <c r="B31" s="1" t="s">
        <v>388</v>
      </c>
      <c r="C31" s="1" t="s">
        <v>165</v>
      </c>
      <c r="D31" s="1" t="s">
        <v>336</v>
      </c>
      <c r="E31" s="3">
        <v>7810</v>
      </c>
      <c r="F31" s="1" t="str">
        <f>VLOOKUP(D31,Table6[[Name]:[Native]],3,FALSE)</f>
        <v>贺兰县</v>
      </c>
      <c r="G31" s="14" t="str">
        <f ca="1">VLOOKUP(F31,Table6[[Native]:[Population4]],5,FALSE)</f>
        <v>银川市</v>
      </c>
    </row>
    <row r="32" spans="1:7" ht="15.75" thickBot="1" x14ac:dyDescent="0.3">
      <c r="A32" t="s">
        <v>389</v>
      </c>
      <c r="B32" s="1" t="s">
        <v>390</v>
      </c>
      <c r="C32" s="1" t="s">
        <v>7</v>
      </c>
      <c r="D32" s="1" t="s">
        <v>325</v>
      </c>
      <c r="E32" s="3">
        <v>48587</v>
      </c>
      <c r="F32" s="1" t="str">
        <f>VLOOKUP(D32,Table6[[Name]:[Native]],3,FALSE)</f>
        <v>灵武市</v>
      </c>
      <c r="G32" s="14" t="str">
        <f ca="1">VLOOKUP(F32,Table6[[Native]:[Population4]],5,FALSE)</f>
        <v>银川市</v>
      </c>
    </row>
    <row r="33" spans="1:7" ht="15.75" thickBot="1" x14ac:dyDescent="0.3">
      <c r="A33" t="s">
        <v>391</v>
      </c>
      <c r="B33" s="1" t="s">
        <v>392</v>
      </c>
      <c r="C33" s="1" t="s">
        <v>52</v>
      </c>
      <c r="D33" s="1" t="s">
        <v>328</v>
      </c>
      <c r="E33" s="3">
        <v>30242</v>
      </c>
      <c r="F33" s="1" t="str">
        <f>VLOOKUP(D33,Table6[[Name]:[Native]],3,FALSE)</f>
        <v>西夏区</v>
      </c>
      <c r="G33" s="14" t="str">
        <f ca="1">VLOOKUP(F33,Table6[[Native]:[Population4]],5,FALSE)</f>
        <v>银川市</v>
      </c>
    </row>
    <row r="34" spans="1:7" ht="15.75" thickBot="1" x14ac:dyDescent="0.3">
      <c r="A34" t="s">
        <v>393</v>
      </c>
      <c r="B34" s="1" t="s">
        <v>394</v>
      </c>
      <c r="C34" s="1" t="s">
        <v>165</v>
      </c>
      <c r="D34" s="1" t="s">
        <v>336</v>
      </c>
      <c r="E34" s="3">
        <v>1471</v>
      </c>
      <c r="F34" s="1" t="str">
        <f>VLOOKUP(D34,Table6[[Name]:[Native]],3,FALSE)</f>
        <v>贺兰县</v>
      </c>
      <c r="G34" s="14" t="str">
        <f ca="1">VLOOKUP(F34,Table6[[Native]:[Population4]],5,FALSE)</f>
        <v>银川市</v>
      </c>
    </row>
    <row r="35" spans="1:7" ht="15.75" thickBot="1" x14ac:dyDescent="0.3">
      <c r="A35" t="s">
        <v>395</v>
      </c>
      <c r="B35" s="1" t="s">
        <v>396</v>
      </c>
      <c r="C35" s="1" t="s">
        <v>165</v>
      </c>
      <c r="D35" s="1" t="s">
        <v>336</v>
      </c>
      <c r="E35" s="3">
        <v>4578</v>
      </c>
      <c r="F35" s="1" t="str">
        <f>VLOOKUP(D35,Table6[[Name]:[Native]],3,FALSE)</f>
        <v>贺兰县</v>
      </c>
      <c r="G35" s="14" t="str">
        <f ca="1">VLOOKUP(F35,Table6[[Native]:[Population4]],5,FALSE)</f>
        <v>银川市</v>
      </c>
    </row>
    <row r="36" spans="1:7" ht="15.75" thickBot="1" x14ac:dyDescent="0.3">
      <c r="A36" t="s">
        <v>397</v>
      </c>
      <c r="B36" s="1" t="s">
        <v>398</v>
      </c>
      <c r="C36" s="1" t="s">
        <v>52</v>
      </c>
      <c r="D36" s="1" t="s">
        <v>343</v>
      </c>
      <c r="E36" s="3">
        <v>33117</v>
      </c>
      <c r="F36" s="1" t="str">
        <f>VLOOKUP(D36,Table6[[Name]:[Native]],3,FALSE)</f>
        <v>兴庆区</v>
      </c>
      <c r="G36" s="14" t="str">
        <f ca="1">VLOOKUP(F36,Table6[[Native]:[Population4]],5,FALSE)</f>
        <v>银川市</v>
      </c>
    </row>
    <row r="37" spans="1:7" ht="15.75" thickBot="1" x14ac:dyDescent="0.3">
      <c r="A37" t="s">
        <v>399</v>
      </c>
      <c r="B37" s="1" t="s">
        <v>400</v>
      </c>
      <c r="C37" s="1" t="s">
        <v>52</v>
      </c>
      <c r="D37" s="1" t="s">
        <v>331</v>
      </c>
      <c r="E37" s="3">
        <v>42577</v>
      </c>
      <c r="F37" s="1" t="str">
        <f>VLOOKUP(D37,Table6[[Name]:[Native]],3,FALSE)</f>
        <v>金凤区</v>
      </c>
      <c r="G37" s="14" t="str">
        <f ca="1">VLOOKUP(F37,Table6[[Native]:[Population4]],5,FALSE)</f>
        <v>银川市</v>
      </c>
    </row>
    <row r="38" spans="1:7" ht="15.75" thickBot="1" x14ac:dyDescent="0.3">
      <c r="A38" t="s">
        <v>401</v>
      </c>
      <c r="B38" s="1" t="s">
        <v>402</v>
      </c>
      <c r="C38" s="1" t="s">
        <v>52</v>
      </c>
      <c r="D38" s="1" t="s">
        <v>343</v>
      </c>
      <c r="E38" s="3">
        <v>62333</v>
      </c>
      <c r="F38" s="1" t="str">
        <f>VLOOKUP(D38,Table6[[Name]:[Native]],3,FALSE)</f>
        <v>兴庆区</v>
      </c>
      <c r="G38" s="14" t="str">
        <f ca="1">VLOOKUP(F38,Table6[[Native]:[Population4]],5,FALSE)</f>
        <v>银川市</v>
      </c>
    </row>
    <row r="39" spans="1:7" ht="15.75" thickBot="1" x14ac:dyDescent="0.3">
      <c r="A39" t="s">
        <v>403</v>
      </c>
      <c r="B39" s="1" t="s">
        <v>404</v>
      </c>
      <c r="C39" s="1" t="s">
        <v>11</v>
      </c>
      <c r="D39" s="1" t="s">
        <v>362</v>
      </c>
      <c r="E39" s="3">
        <v>15961</v>
      </c>
      <c r="F39" s="1" t="str">
        <f>VLOOKUP(D39,Table6[[Name]:[Native]],3,FALSE)</f>
        <v>永宁县</v>
      </c>
      <c r="G39" s="14" t="str">
        <f ca="1">VLOOKUP(F39,Table6[[Native]:[Population4]],5,FALSE)</f>
        <v>银川市</v>
      </c>
    </row>
    <row r="40" spans="1:7" ht="15.75" thickBot="1" x14ac:dyDescent="0.3">
      <c r="A40" t="s">
        <v>405</v>
      </c>
      <c r="B40" s="1" t="s">
        <v>406</v>
      </c>
      <c r="C40" s="1" t="s">
        <v>52</v>
      </c>
      <c r="D40" s="1" t="s">
        <v>328</v>
      </c>
      <c r="E40" s="3">
        <v>67480</v>
      </c>
      <c r="F40" s="1" t="str">
        <f>VLOOKUP(D40,Table6[[Name]:[Native]],3,FALSE)</f>
        <v>西夏区</v>
      </c>
      <c r="G40" s="14" t="str">
        <f ca="1">VLOOKUP(F40,Table6[[Native]:[Population4]],5,FALSE)</f>
        <v>银川市</v>
      </c>
    </row>
    <row r="41" spans="1:7" ht="15.75" thickBot="1" x14ac:dyDescent="0.3">
      <c r="A41" t="s">
        <v>407</v>
      </c>
      <c r="B41" s="1" t="s">
        <v>408</v>
      </c>
      <c r="C41" s="1" t="s">
        <v>11</v>
      </c>
      <c r="D41" s="1" t="s">
        <v>343</v>
      </c>
      <c r="E41" s="3">
        <v>13490</v>
      </c>
      <c r="F41" s="1" t="str">
        <f>VLOOKUP(D41,Table6[[Name]:[Native]],3,FALSE)</f>
        <v>兴庆区</v>
      </c>
      <c r="G41" s="14" t="str">
        <f ca="1">VLOOKUP(F41,Table6[[Native]:[Population4]],5,FALSE)</f>
        <v>银川市</v>
      </c>
    </row>
    <row r="42" spans="1:7" ht="15.75" thickBot="1" x14ac:dyDescent="0.3">
      <c r="A42" t="s">
        <v>409</v>
      </c>
      <c r="B42" s="1" t="s">
        <v>410</v>
      </c>
      <c r="C42" s="1" t="s">
        <v>7</v>
      </c>
      <c r="D42" s="1" t="s">
        <v>362</v>
      </c>
      <c r="E42" s="3">
        <v>30943</v>
      </c>
      <c r="F42" s="1" t="str">
        <f>VLOOKUP(D42,Table6[[Name]:[Native]],3,FALSE)</f>
        <v>永宁县</v>
      </c>
      <c r="G42" s="14" t="str">
        <f ca="1">VLOOKUP(F42,Table6[[Native]:[Population4]],5,FALSE)</f>
        <v>银川市</v>
      </c>
    </row>
    <row r="43" spans="1:7" ht="15.75" thickBot="1" x14ac:dyDescent="0.3">
      <c r="A43" t="s">
        <v>411</v>
      </c>
      <c r="B43" s="1" t="s">
        <v>412</v>
      </c>
      <c r="C43" s="1" t="s">
        <v>7</v>
      </c>
      <c r="D43" s="1" t="s">
        <v>362</v>
      </c>
      <c r="E43" s="3">
        <v>42022</v>
      </c>
      <c r="F43" s="1" t="str">
        <f>VLOOKUP(D43,Table6[[Name]:[Native]],3,FALSE)</f>
        <v>永宁县</v>
      </c>
      <c r="G43" s="14" t="str">
        <f ca="1">VLOOKUP(F43,Table6[[Native]:[Population4]],5,FALSE)</f>
        <v>银川市</v>
      </c>
    </row>
    <row r="44" spans="1:7" ht="15.75" thickBot="1" x14ac:dyDescent="0.3">
      <c r="A44" t="s">
        <v>413</v>
      </c>
      <c r="B44" s="1" t="s">
        <v>414</v>
      </c>
      <c r="C44" s="1" t="s">
        <v>52</v>
      </c>
      <c r="D44" s="1" t="s">
        <v>328</v>
      </c>
      <c r="E44" s="3">
        <v>28872</v>
      </c>
      <c r="F44" s="1" t="str">
        <f>VLOOKUP(D44,Table6[[Name]:[Native]],3,FALSE)</f>
        <v>西夏区</v>
      </c>
      <c r="G44" s="14" t="str">
        <f ca="1">VLOOKUP(F44,Table6[[Native]:[Population4]],5,FALSE)</f>
        <v>银川市</v>
      </c>
    </row>
    <row r="45" spans="1:7" ht="15.75" thickBot="1" x14ac:dyDescent="0.3">
      <c r="A45" t="s">
        <v>415</v>
      </c>
      <c r="B45" s="1" t="s">
        <v>416</v>
      </c>
      <c r="C45" s="1" t="s">
        <v>52</v>
      </c>
      <c r="D45" s="1" t="s">
        <v>343</v>
      </c>
      <c r="E45" s="3">
        <v>27829</v>
      </c>
      <c r="F45" s="1" t="str">
        <f>VLOOKUP(D45,Table6[[Name]:[Native]],3,FALSE)</f>
        <v>兴庆区</v>
      </c>
      <c r="G45" s="14" t="str">
        <f ca="1">VLOOKUP(F45,Table6[[Native]:[Population4]],5,FALSE)</f>
        <v>银川市</v>
      </c>
    </row>
    <row r="46" spans="1:7" ht="15.75" thickBot="1" x14ac:dyDescent="0.3">
      <c r="A46" t="s">
        <v>417</v>
      </c>
      <c r="B46" s="1" t="s">
        <v>418</v>
      </c>
      <c r="C46" s="1" t="s">
        <v>11</v>
      </c>
      <c r="D46" s="1" t="s">
        <v>325</v>
      </c>
      <c r="E46" s="3">
        <v>20506</v>
      </c>
      <c r="F46" s="1" t="str">
        <f>VLOOKUP(D46,Table6[[Name]:[Native]],3,FALSE)</f>
        <v>灵武市</v>
      </c>
      <c r="G46" s="14" t="str">
        <f ca="1">VLOOKUP(F46,Table6[[Native]:[Population4]],5,FALSE)</f>
        <v>银川市</v>
      </c>
    </row>
    <row r="47" spans="1:7" ht="15.75" thickBot="1" x14ac:dyDescent="0.3">
      <c r="A47" t="s">
        <v>419</v>
      </c>
      <c r="B47" s="1" t="s">
        <v>420</v>
      </c>
      <c r="C47" s="1" t="s">
        <v>7</v>
      </c>
      <c r="D47" s="1" t="s">
        <v>336</v>
      </c>
      <c r="E47" s="3">
        <v>112061</v>
      </c>
      <c r="F47" s="1" t="str">
        <f>VLOOKUP(D47,Table6[[Name]:[Native]],3,FALSE)</f>
        <v>贺兰县</v>
      </c>
      <c r="G47" s="14" t="str">
        <f ca="1">VLOOKUP(F47,Table6[[Native]:[Population4]],5,FALSE)</f>
        <v>银川市</v>
      </c>
    </row>
    <row r="48" spans="1:7" ht="15.75" thickBot="1" x14ac:dyDescent="0.3">
      <c r="A48" t="s">
        <v>421</v>
      </c>
      <c r="B48" s="1" t="s">
        <v>422</v>
      </c>
      <c r="C48" s="1" t="s">
        <v>52</v>
      </c>
      <c r="D48" s="1" t="s">
        <v>328</v>
      </c>
      <c r="E48" s="3">
        <v>54370</v>
      </c>
      <c r="F48" s="1" t="str">
        <f>VLOOKUP(D48,Table6[[Name]:[Native]],3,FALSE)</f>
        <v>西夏区</v>
      </c>
      <c r="G48" s="14" t="str">
        <f ca="1">VLOOKUP(F48,Table6[[Native]:[Population4]],5,FALSE)</f>
        <v>银川市</v>
      </c>
    </row>
    <row r="49" spans="1:7" ht="15.75" thickBot="1" x14ac:dyDescent="0.3">
      <c r="A49" t="s">
        <v>423</v>
      </c>
      <c r="B49" s="1" t="s">
        <v>424</v>
      </c>
      <c r="C49" s="1" t="s">
        <v>7</v>
      </c>
      <c r="D49" s="1" t="s">
        <v>328</v>
      </c>
      <c r="E49" s="3">
        <v>21034</v>
      </c>
      <c r="F49" s="1" t="str">
        <f>VLOOKUP(D49,Table6[[Name]:[Native]],3,FALSE)</f>
        <v>西夏区</v>
      </c>
      <c r="G49" s="14" t="str">
        <f ca="1">VLOOKUP(F49,Table6[[Native]:[Population4]],5,FALSE)</f>
        <v>银川市</v>
      </c>
    </row>
    <row r="50" spans="1:7" ht="15.75" thickBot="1" x14ac:dyDescent="0.3">
      <c r="A50" t="s">
        <v>425</v>
      </c>
      <c r="B50" s="1" t="s">
        <v>426</v>
      </c>
      <c r="C50" s="1" t="s">
        <v>52</v>
      </c>
      <c r="D50" s="1" t="s">
        <v>343</v>
      </c>
      <c r="E50" s="3">
        <v>27877</v>
      </c>
      <c r="F50" s="1" t="str">
        <f>VLOOKUP(D50,Table6[[Name]:[Native]],3,FALSE)</f>
        <v>兴庆区</v>
      </c>
      <c r="G50" s="14" t="str">
        <f ca="1">VLOOKUP(F50,Table6[[Native]:[Population4]],5,FALSE)</f>
        <v>银川市</v>
      </c>
    </row>
    <row r="51" spans="1:7" ht="15.75" thickBot="1" x14ac:dyDescent="0.3">
      <c r="A51" t="s">
        <v>427</v>
      </c>
      <c r="B51" s="1" t="s">
        <v>428</v>
      </c>
      <c r="C51" s="1" t="s">
        <v>7</v>
      </c>
      <c r="D51" s="1" t="s">
        <v>362</v>
      </c>
      <c r="E51" s="3">
        <v>67901</v>
      </c>
      <c r="F51" s="1" t="str">
        <f>VLOOKUP(D51,Table6[[Name]:[Native]],3,FALSE)</f>
        <v>永宁县</v>
      </c>
      <c r="G51" s="14" t="str">
        <f ca="1">VLOOKUP(F51,Table6[[Native]:[Population4]],5,FALSE)</f>
        <v>银川市</v>
      </c>
    </row>
    <row r="52" spans="1:7" ht="15.75" thickBot="1" x14ac:dyDescent="0.3">
      <c r="A52" t="s">
        <v>429</v>
      </c>
      <c r="B52" s="1" t="s">
        <v>430</v>
      </c>
      <c r="C52" s="1" t="s">
        <v>52</v>
      </c>
      <c r="D52" s="1" t="s">
        <v>343</v>
      </c>
      <c r="E52" s="3">
        <v>104038</v>
      </c>
      <c r="F52" s="1" t="str">
        <f>VLOOKUP(D52,Table6[[Name]:[Native]],3,FALSE)</f>
        <v>兴庆区</v>
      </c>
      <c r="G52" s="14" t="str">
        <f ca="1">VLOOKUP(F52,Table6[[Native]:[Population4]],5,FALSE)</f>
        <v>银川市</v>
      </c>
    </row>
    <row r="53" spans="1:7" ht="15.75" thickBot="1" x14ac:dyDescent="0.3">
      <c r="A53" t="s">
        <v>431</v>
      </c>
      <c r="B53" s="1" t="s">
        <v>432</v>
      </c>
      <c r="C53" s="1" t="s">
        <v>11</v>
      </c>
      <c r="D53" s="1" t="s">
        <v>343</v>
      </c>
      <c r="E53" s="3">
        <v>10439</v>
      </c>
      <c r="F53" s="1" t="str">
        <f>VLOOKUP(D53,Table6[[Name]:[Native]],3,FALSE)</f>
        <v>兴庆区</v>
      </c>
      <c r="G53" s="14" t="str">
        <f ca="1">VLOOKUP(F53,Table6[[Native]:[Population4]],5,FALSE)</f>
        <v>银川市</v>
      </c>
    </row>
    <row r="54" spans="1:7" ht="15.75" thickBot="1" x14ac:dyDescent="0.3">
      <c r="A54" t="s">
        <v>433</v>
      </c>
      <c r="B54" s="1" t="s">
        <v>434</v>
      </c>
      <c r="C54" s="1" t="s">
        <v>52</v>
      </c>
      <c r="D54" s="1" t="s">
        <v>343</v>
      </c>
      <c r="E54" s="3">
        <v>51818</v>
      </c>
      <c r="F54" s="1" t="str">
        <f>VLOOKUP(D54,Table6[[Name]:[Native]],3,FALSE)</f>
        <v>兴庆区</v>
      </c>
      <c r="G54" s="14" t="str">
        <f ca="1">VLOOKUP(F54,Table6[[Native]:[Population4]],5,FALSE)</f>
        <v>银川市</v>
      </c>
    </row>
    <row r="55" spans="1:7" ht="15.75" thickBot="1" x14ac:dyDescent="0.3">
      <c r="A55" t="s">
        <v>435</v>
      </c>
      <c r="B55" s="1" t="s">
        <v>436</v>
      </c>
      <c r="C55" s="1" t="s">
        <v>165</v>
      </c>
      <c r="D55" s="1" t="s">
        <v>362</v>
      </c>
      <c r="E55" s="3">
        <v>5030</v>
      </c>
      <c r="F55" s="1" t="str">
        <f>VLOOKUP(D55,Table6[[Name]:[Native]],3,FALSE)</f>
        <v>永宁县</v>
      </c>
      <c r="G55" s="14" t="str">
        <f ca="1">VLOOKUP(F55,Table6[[Native]:[Population4]],5,FALSE)</f>
        <v>银川市</v>
      </c>
    </row>
    <row r="56" spans="1:7" ht="15.75" thickBot="1" x14ac:dyDescent="0.3">
      <c r="A56" t="s">
        <v>437</v>
      </c>
      <c r="B56" s="1" t="s">
        <v>438</v>
      </c>
      <c r="C56" s="1" t="s">
        <v>7</v>
      </c>
      <c r="D56" s="1" t="s">
        <v>343</v>
      </c>
      <c r="E56" s="3">
        <v>34256</v>
      </c>
      <c r="F56" s="1" t="str">
        <f>VLOOKUP(D56,Table6[[Name]:[Native]],3,FALSE)</f>
        <v>兴庆区</v>
      </c>
      <c r="G56" s="14" t="str">
        <f ca="1">VLOOKUP(F56,Table6[[Native]:[Population4]],5,FALSE)</f>
        <v>银川市</v>
      </c>
    </row>
    <row r="57" spans="1:7" ht="15.75" thickBot="1" x14ac:dyDescent="0.3">
      <c r="A57" t="s">
        <v>439</v>
      </c>
      <c r="B57" s="1" t="s">
        <v>440</v>
      </c>
      <c r="C57" s="1" t="s">
        <v>7</v>
      </c>
      <c r="D57" s="1" t="s">
        <v>328</v>
      </c>
      <c r="E57" s="3">
        <v>24706</v>
      </c>
      <c r="F57" s="1" t="str">
        <f>VLOOKUP(D57,Table6[[Name]:[Native]],3,FALSE)</f>
        <v>西夏区</v>
      </c>
      <c r="G57" s="14" t="str">
        <f ca="1">VLOOKUP(F57,Table6[[Native]:[Population4]],5,FALSE)</f>
        <v>银川市</v>
      </c>
    </row>
    <row r="58" spans="1:7" ht="15.75" thickBot="1" x14ac:dyDescent="0.3">
      <c r="A58" t="s">
        <v>441</v>
      </c>
      <c r="B58" s="1" t="s">
        <v>442</v>
      </c>
      <c r="C58" s="1" t="s">
        <v>52</v>
      </c>
      <c r="D58" s="1" t="s">
        <v>343</v>
      </c>
      <c r="E58" s="3">
        <v>28996</v>
      </c>
      <c r="F58" s="10" t="str">
        <f>VLOOKUP(D58,Table6[[Name]:[Native]],3,FALSE)</f>
        <v>兴庆区</v>
      </c>
      <c r="G58" s="14" t="str">
        <f ca="1">VLOOKUP(F58,Table6[[Native]:[Population4]],5,FALSE)</f>
        <v>银川市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0DF2-A6AC-463A-9F46-A7C50B7E6288}">
  <dimension ref="A1:G47"/>
  <sheetViews>
    <sheetView workbookViewId="0">
      <selection activeCell="A2" sqref="A2:G47"/>
    </sheetView>
  </sheetViews>
  <sheetFormatPr defaultRowHeight="15" x14ac:dyDescent="0.25"/>
  <cols>
    <col min="4" max="4" width="23.28515625" customWidth="1"/>
    <col min="5" max="5" width="12.85546875" customWidth="1"/>
  </cols>
  <sheetData>
    <row r="1" spans="1: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579</v>
      </c>
      <c r="G1" t="s">
        <v>581</v>
      </c>
    </row>
    <row r="2" spans="1:7" ht="15.75" thickBot="1" x14ac:dyDescent="0.3">
      <c r="A2" t="s">
        <v>443</v>
      </c>
      <c r="B2" s="1" t="s">
        <v>444</v>
      </c>
      <c r="C2" s="1" t="s">
        <v>11</v>
      </c>
      <c r="D2" s="1" t="s">
        <v>445</v>
      </c>
      <c r="E2" s="3">
        <v>7118</v>
      </c>
      <c r="F2" s="9" t="str">
        <f>VLOOKUP(D2,Table6[[Name]:[Native]],3,FALSE)</f>
        <v>中宁县</v>
      </c>
      <c r="G2" s="14" t="str">
        <f ca="1">VLOOKUP(F2,Table6[[Native]:[Population4]],5,FALSE)</f>
        <v>中卫市</v>
      </c>
    </row>
    <row r="3" spans="1:7" ht="15.75" thickBot="1" x14ac:dyDescent="0.3">
      <c r="A3" t="s">
        <v>446</v>
      </c>
      <c r="B3" s="1" t="s">
        <v>447</v>
      </c>
      <c r="C3" s="1" t="s">
        <v>7</v>
      </c>
      <c r="D3" s="1" t="s">
        <v>448</v>
      </c>
      <c r="E3" s="3">
        <v>66331</v>
      </c>
      <c r="F3" s="1" t="str">
        <f>VLOOKUP(D3,Table6[[Name]:[Native]],3,FALSE)</f>
        <v>沙坡头区</v>
      </c>
      <c r="G3" s="14" t="str">
        <f ca="1">VLOOKUP(F3,Table6[[Native]:[Population4]],5,FALSE)</f>
        <v>中卫市</v>
      </c>
    </row>
    <row r="4" spans="1:7" ht="15.75" thickBot="1" x14ac:dyDescent="0.3">
      <c r="A4" t="s">
        <v>449</v>
      </c>
      <c r="B4" s="1" t="s">
        <v>450</v>
      </c>
      <c r="C4" s="1" t="s">
        <v>11</v>
      </c>
      <c r="D4" s="1" t="s">
        <v>451</v>
      </c>
      <c r="E4" s="3">
        <v>9955</v>
      </c>
      <c r="F4" s="1" t="str">
        <f>VLOOKUP(D4,Table6[[Name]:[Native]],3,FALSE)</f>
        <v>海原县</v>
      </c>
      <c r="G4" s="14" t="str">
        <f ca="1">VLOOKUP(F4,Table6[[Native]:[Population4]],5,FALSE)</f>
        <v>中卫市</v>
      </c>
    </row>
    <row r="5" spans="1:7" ht="15.75" thickBot="1" x14ac:dyDescent="0.3">
      <c r="A5" t="s">
        <v>452</v>
      </c>
      <c r="B5" s="1" t="s">
        <v>453</v>
      </c>
      <c r="C5" s="1" t="s">
        <v>7</v>
      </c>
      <c r="D5" s="1" t="s">
        <v>448</v>
      </c>
      <c r="E5" s="3">
        <v>18573</v>
      </c>
      <c r="F5" s="1" t="str">
        <f>VLOOKUP(D5,Table6[[Name]:[Native]],3,FALSE)</f>
        <v>沙坡头区</v>
      </c>
      <c r="G5" s="14" t="str">
        <f ca="1">VLOOKUP(F5,Table6[[Native]:[Population4]],5,FALSE)</f>
        <v>中卫市</v>
      </c>
    </row>
    <row r="6" spans="1:7" ht="15.75" thickBot="1" x14ac:dyDescent="0.3">
      <c r="A6" t="s">
        <v>454</v>
      </c>
      <c r="B6" s="1" t="s">
        <v>455</v>
      </c>
      <c r="C6" s="1" t="s">
        <v>165</v>
      </c>
      <c r="D6" s="1" t="s">
        <v>445</v>
      </c>
      <c r="E6" s="3">
        <v>8732</v>
      </c>
      <c r="F6" s="1" t="str">
        <f>VLOOKUP(D6,Table6[[Name]:[Native]],3,FALSE)</f>
        <v>中宁县</v>
      </c>
      <c r="G6" s="14" t="str">
        <f ca="1">VLOOKUP(F6,Table6[[Native]:[Population4]],5,FALSE)</f>
        <v>中卫市</v>
      </c>
    </row>
    <row r="7" spans="1:7" ht="15.75" thickBot="1" x14ac:dyDescent="0.3">
      <c r="A7" t="s">
        <v>456</v>
      </c>
      <c r="B7" s="1" t="s">
        <v>457</v>
      </c>
      <c r="C7" s="1" t="s">
        <v>7</v>
      </c>
      <c r="D7" s="1" t="s">
        <v>445</v>
      </c>
      <c r="E7" s="3">
        <v>49680</v>
      </c>
      <c r="F7" s="1" t="str">
        <f>VLOOKUP(D7,Table6[[Name]:[Native]],3,FALSE)</f>
        <v>中宁县</v>
      </c>
      <c r="G7" s="14" t="str">
        <f ca="1">VLOOKUP(F7,Table6[[Native]:[Population4]],5,FALSE)</f>
        <v>中卫市</v>
      </c>
    </row>
    <row r="8" spans="1:7" ht="15.75" thickBot="1" x14ac:dyDescent="0.3">
      <c r="A8" t="s">
        <v>458</v>
      </c>
      <c r="B8" s="1" t="s">
        <v>459</v>
      </c>
      <c r="C8" s="1" t="s">
        <v>7</v>
      </c>
      <c r="D8" s="1" t="s">
        <v>448</v>
      </c>
      <c r="E8" s="3">
        <v>30946</v>
      </c>
      <c r="F8" s="1" t="str">
        <f>VLOOKUP(D8,Table6[[Name]:[Native]],3,FALSE)</f>
        <v>沙坡头区</v>
      </c>
      <c r="G8" s="14" t="str">
        <f ca="1">VLOOKUP(F8,Table6[[Native]:[Population4]],5,FALSE)</f>
        <v>中卫市</v>
      </c>
    </row>
    <row r="9" spans="1:7" ht="15.75" thickBot="1" x14ac:dyDescent="0.3">
      <c r="A9" t="s">
        <v>460</v>
      </c>
      <c r="B9" s="1" t="s">
        <v>461</v>
      </c>
      <c r="C9" s="1" t="s">
        <v>7</v>
      </c>
      <c r="D9" s="1" t="s">
        <v>445</v>
      </c>
      <c r="E9" s="3">
        <v>19276</v>
      </c>
      <c r="F9" s="1" t="str">
        <f>VLOOKUP(D9,Table6[[Name]:[Native]],3,FALSE)</f>
        <v>中宁县</v>
      </c>
      <c r="G9" s="14" t="str">
        <f ca="1">VLOOKUP(F9,Table6[[Native]:[Population4]],5,FALSE)</f>
        <v>中卫市</v>
      </c>
    </row>
    <row r="10" spans="1:7" ht="15.75" thickBot="1" x14ac:dyDescent="0.3">
      <c r="A10" t="s">
        <v>462</v>
      </c>
      <c r="B10" s="1" t="s">
        <v>463</v>
      </c>
      <c r="C10" s="1" t="s">
        <v>11</v>
      </c>
      <c r="D10" s="1" t="s">
        <v>451</v>
      </c>
      <c r="E10" s="3">
        <v>7715</v>
      </c>
      <c r="F10" s="1" t="str">
        <f>VLOOKUP(D10,Table6[[Name]:[Native]],3,FALSE)</f>
        <v>海原县</v>
      </c>
      <c r="G10" s="14" t="str">
        <f ca="1">VLOOKUP(F10,Table6[[Native]:[Population4]],5,FALSE)</f>
        <v>中卫市</v>
      </c>
    </row>
    <row r="11" spans="1:7" ht="15.75" thickBot="1" x14ac:dyDescent="0.3">
      <c r="A11" t="s">
        <v>464</v>
      </c>
      <c r="B11" s="1" t="s">
        <v>465</v>
      </c>
      <c r="C11" s="1" t="s">
        <v>11</v>
      </c>
      <c r="D11" s="1" t="s">
        <v>451</v>
      </c>
      <c r="E11" s="3">
        <v>23428</v>
      </c>
      <c r="F11" s="1" t="str">
        <f>VLOOKUP(D11,Table6[[Name]:[Native]],3,FALSE)</f>
        <v>海原县</v>
      </c>
      <c r="G11" s="14" t="str">
        <f ca="1">VLOOKUP(F11,Table6[[Native]:[Population4]],5,FALSE)</f>
        <v>中卫市</v>
      </c>
    </row>
    <row r="12" spans="1:7" ht="15.75" thickBot="1" x14ac:dyDescent="0.3">
      <c r="A12" t="s">
        <v>466</v>
      </c>
      <c r="B12" s="1" t="s">
        <v>467</v>
      </c>
      <c r="C12" s="1" t="s">
        <v>11</v>
      </c>
      <c r="D12" s="1" t="s">
        <v>451</v>
      </c>
      <c r="E12" s="3">
        <v>24997</v>
      </c>
      <c r="F12" s="1" t="str">
        <f>VLOOKUP(D12,Table6[[Name]:[Native]],3,FALSE)</f>
        <v>海原县</v>
      </c>
      <c r="G12" s="14" t="str">
        <f ca="1">VLOOKUP(F12,Table6[[Native]:[Population4]],5,FALSE)</f>
        <v>中卫市</v>
      </c>
    </row>
    <row r="13" spans="1:7" ht="15.75" thickBot="1" x14ac:dyDescent="0.3">
      <c r="A13" t="s">
        <v>34</v>
      </c>
      <c r="B13" s="1" t="s">
        <v>468</v>
      </c>
      <c r="C13" s="1" t="s">
        <v>11</v>
      </c>
      <c r="D13" s="1" t="s">
        <v>451</v>
      </c>
      <c r="E13" s="3">
        <v>8667</v>
      </c>
      <c r="F13" s="1" t="str">
        <f>VLOOKUP(D13,Table6[[Name]:[Native]],3,FALSE)</f>
        <v>海原县</v>
      </c>
      <c r="G13" s="14" t="str">
        <f ca="1">VLOOKUP(F13,Table6[[Native]:[Population4]],5,FALSE)</f>
        <v>中卫市</v>
      </c>
    </row>
    <row r="14" spans="1:7" ht="15.75" thickBot="1" x14ac:dyDescent="0.3">
      <c r="A14" t="s">
        <v>469</v>
      </c>
      <c r="B14" s="1" t="s">
        <v>470</v>
      </c>
      <c r="C14" s="1" t="s">
        <v>7</v>
      </c>
      <c r="D14" s="1" t="s">
        <v>451</v>
      </c>
      <c r="E14" s="3">
        <v>20844</v>
      </c>
      <c r="F14" s="1" t="str">
        <f>VLOOKUP(D14,Table6[[Name]:[Native]],3,FALSE)</f>
        <v>海原县</v>
      </c>
      <c r="G14" s="14" t="str">
        <f ca="1">VLOOKUP(F14,Table6[[Native]:[Population4]],5,FALSE)</f>
        <v>中卫市</v>
      </c>
    </row>
    <row r="15" spans="1:7" ht="15.75" thickBot="1" x14ac:dyDescent="0.3">
      <c r="A15" t="s">
        <v>471</v>
      </c>
      <c r="B15" s="1" t="s">
        <v>472</v>
      </c>
      <c r="C15" s="1" t="s">
        <v>11</v>
      </c>
      <c r="D15" s="1" t="s">
        <v>445</v>
      </c>
      <c r="E15" s="3">
        <v>30913</v>
      </c>
      <c r="F15" s="1" t="str">
        <f>VLOOKUP(D15,Table6[[Name]:[Native]],3,FALSE)</f>
        <v>中宁县</v>
      </c>
      <c r="G15" s="14" t="str">
        <f ca="1">VLOOKUP(F15,Table6[[Native]:[Population4]],5,FALSE)</f>
        <v>中卫市</v>
      </c>
    </row>
    <row r="16" spans="1:7" ht="15.75" thickBot="1" x14ac:dyDescent="0.3">
      <c r="A16" t="s">
        <v>473</v>
      </c>
      <c r="B16" s="1" t="s">
        <v>474</v>
      </c>
      <c r="C16" s="1" t="s">
        <v>11</v>
      </c>
      <c r="D16" s="1" t="s">
        <v>451</v>
      </c>
      <c r="E16" s="3">
        <v>16838</v>
      </c>
      <c r="F16" s="1" t="str">
        <f>VLOOKUP(D16,Table6[[Name]:[Native]],3,FALSE)</f>
        <v>海原县</v>
      </c>
      <c r="G16" s="14" t="str">
        <f ca="1">VLOOKUP(F16,Table6[[Native]:[Population4]],5,FALSE)</f>
        <v>中卫市</v>
      </c>
    </row>
    <row r="17" spans="1:7" ht="15.75" thickBot="1" x14ac:dyDescent="0.3">
      <c r="A17" t="s">
        <v>475</v>
      </c>
      <c r="B17" s="1" t="s">
        <v>476</v>
      </c>
      <c r="C17" s="1" t="s">
        <v>11</v>
      </c>
      <c r="D17" s="1" t="s">
        <v>451</v>
      </c>
      <c r="E17" s="3">
        <v>22213</v>
      </c>
      <c r="F17" s="1" t="str">
        <f>VLOOKUP(D17,Table6[[Name]:[Native]],3,FALSE)</f>
        <v>海原县</v>
      </c>
      <c r="G17" s="14" t="str">
        <f ca="1">VLOOKUP(F17,Table6[[Native]:[Population4]],5,FALSE)</f>
        <v>中卫市</v>
      </c>
    </row>
    <row r="18" spans="1:7" ht="15.75" thickBot="1" x14ac:dyDescent="0.3">
      <c r="A18" t="s">
        <v>477</v>
      </c>
      <c r="B18" s="1" t="s">
        <v>478</v>
      </c>
      <c r="C18" s="1" t="s">
        <v>11</v>
      </c>
      <c r="D18" s="1" t="s">
        <v>451</v>
      </c>
      <c r="E18" s="3">
        <v>9654</v>
      </c>
      <c r="F18" s="1" t="str">
        <f>VLOOKUP(D18,Table6[[Name]:[Native]],3,FALSE)</f>
        <v>海原县</v>
      </c>
      <c r="G18" s="14" t="str">
        <f ca="1">VLOOKUP(F18,Table6[[Native]:[Population4]],5,FALSE)</f>
        <v>中卫市</v>
      </c>
    </row>
    <row r="19" spans="1:7" ht="15.75" thickBot="1" x14ac:dyDescent="0.3">
      <c r="A19" t="s">
        <v>479</v>
      </c>
      <c r="B19" s="1" t="s">
        <v>480</v>
      </c>
      <c r="C19" s="1" t="s">
        <v>165</v>
      </c>
      <c r="D19" s="1" t="s">
        <v>451</v>
      </c>
      <c r="E19" s="3">
        <v>52070</v>
      </c>
      <c r="F19" s="1" t="str">
        <f>VLOOKUP(D19,Table6[[Name]:[Native]],3,FALSE)</f>
        <v>海原县</v>
      </c>
      <c r="G19" s="14" t="str">
        <f ca="1">VLOOKUP(F19,Table6[[Native]:[Population4]],5,FALSE)</f>
        <v>中卫市</v>
      </c>
    </row>
    <row r="20" spans="1:7" ht="15.75" thickBot="1" x14ac:dyDescent="0.3">
      <c r="A20" t="s">
        <v>481</v>
      </c>
      <c r="B20" s="1" t="s">
        <v>482</v>
      </c>
      <c r="C20" s="1" t="s">
        <v>11</v>
      </c>
      <c r="D20" s="1" t="s">
        <v>451</v>
      </c>
      <c r="E20" s="3">
        <v>11133</v>
      </c>
      <c r="F20" s="1" t="str">
        <f>VLOOKUP(D20,Table6[[Name]:[Native]],3,FALSE)</f>
        <v>海原县</v>
      </c>
      <c r="G20" s="14" t="str">
        <f ca="1">VLOOKUP(F20,Table6[[Native]:[Population4]],5,FALSE)</f>
        <v>中卫市</v>
      </c>
    </row>
    <row r="21" spans="1:7" ht="15.75" thickBot="1" x14ac:dyDescent="0.3">
      <c r="A21" t="s">
        <v>483</v>
      </c>
      <c r="B21" s="1" t="s">
        <v>484</v>
      </c>
      <c r="C21" s="1" t="s">
        <v>7</v>
      </c>
      <c r="D21" s="1" t="s">
        <v>451</v>
      </c>
      <c r="E21" s="3">
        <v>33126</v>
      </c>
      <c r="F21" s="1" t="str">
        <f>VLOOKUP(D21,Table6[[Name]:[Native]],3,FALSE)</f>
        <v>海原县</v>
      </c>
      <c r="G21" s="14" t="str">
        <f ca="1">VLOOKUP(F21,Table6[[Native]:[Population4]],5,FALSE)</f>
        <v>中卫市</v>
      </c>
    </row>
    <row r="22" spans="1:7" ht="15.75" thickBot="1" x14ac:dyDescent="0.3">
      <c r="A22" t="s">
        <v>485</v>
      </c>
      <c r="B22" s="1" t="s">
        <v>486</v>
      </c>
      <c r="C22" s="1" t="s">
        <v>7</v>
      </c>
      <c r="D22" s="1" t="s">
        <v>445</v>
      </c>
      <c r="E22" s="3">
        <v>19038</v>
      </c>
      <c r="F22" s="1" t="str">
        <f>VLOOKUP(D22,Table6[[Name]:[Native]],3,FALSE)</f>
        <v>中宁县</v>
      </c>
      <c r="G22" s="14" t="str">
        <f ca="1">VLOOKUP(F22,Table6[[Native]:[Population4]],5,FALSE)</f>
        <v>中卫市</v>
      </c>
    </row>
    <row r="23" spans="1:7" ht="15.75" thickBot="1" x14ac:dyDescent="0.3">
      <c r="A23" s="1" t="s">
        <v>487</v>
      </c>
      <c r="B23" s="1" t="s">
        <v>488</v>
      </c>
      <c r="C23" s="1" t="s">
        <v>165</v>
      </c>
      <c r="D23" s="1" t="s">
        <v>451</v>
      </c>
      <c r="E23" s="3">
        <v>299</v>
      </c>
      <c r="F23" s="1" t="str">
        <f>VLOOKUP(D23,Table6[[Name]:[Native]],3,FALSE)</f>
        <v>海原县</v>
      </c>
      <c r="G23" s="14" t="str">
        <f ca="1">VLOOKUP(F23,Table6[[Native]:[Population4]],5,FALSE)</f>
        <v>中卫市</v>
      </c>
    </row>
    <row r="24" spans="1:7" ht="15.75" thickBot="1" x14ac:dyDescent="0.3">
      <c r="A24" t="s">
        <v>489</v>
      </c>
      <c r="B24" s="1" t="s">
        <v>490</v>
      </c>
      <c r="C24" s="1" t="s">
        <v>7</v>
      </c>
      <c r="D24" s="1" t="s">
        <v>445</v>
      </c>
      <c r="E24" s="3">
        <v>74330</v>
      </c>
      <c r="F24" s="1" t="str">
        <f>VLOOKUP(D24,Table6[[Name]:[Native]],3,FALSE)</f>
        <v>中宁县</v>
      </c>
      <c r="G24" s="14" t="str">
        <f ca="1">VLOOKUP(F24,Table6[[Native]:[Population4]],5,FALSE)</f>
        <v>中卫市</v>
      </c>
    </row>
    <row r="25" spans="1:7" ht="15.75" thickBot="1" x14ac:dyDescent="0.3">
      <c r="A25" t="s">
        <v>491</v>
      </c>
      <c r="B25" s="1" t="s">
        <v>492</v>
      </c>
      <c r="C25" s="1" t="s">
        <v>7</v>
      </c>
      <c r="D25" s="1" t="s">
        <v>451</v>
      </c>
      <c r="E25" s="3">
        <v>26553</v>
      </c>
      <c r="F25" s="1" t="str">
        <f>VLOOKUP(D25,Table6[[Name]:[Native]],3,FALSE)</f>
        <v>海原县</v>
      </c>
      <c r="G25" s="14" t="str">
        <f ca="1">VLOOKUP(F25,Table6[[Native]:[Population4]],5,FALSE)</f>
        <v>中卫市</v>
      </c>
    </row>
    <row r="26" spans="1:7" ht="15.75" thickBot="1" x14ac:dyDescent="0.3">
      <c r="A26" t="s">
        <v>493</v>
      </c>
      <c r="B26" s="1" t="s">
        <v>494</v>
      </c>
      <c r="C26" s="1" t="s">
        <v>165</v>
      </c>
      <c r="D26" s="1" t="s">
        <v>445</v>
      </c>
      <c r="E26" s="3">
        <v>15839</v>
      </c>
      <c r="F26" s="1" t="str">
        <f>VLOOKUP(D26,Table6[[Name]:[Native]],3,FALSE)</f>
        <v>中宁县</v>
      </c>
      <c r="G26" s="14" t="str">
        <f ca="1">VLOOKUP(F26,Table6[[Native]:[Population4]],5,FALSE)</f>
        <v>中卫市</v>
      </c>
    </row>
    <row r="27" spans="1:7" ht="15.75" thickBot="1" x14ac:dyDescent="0.3">
      <c r="A27" t="s">
        <v>495</v>
      </c>
      <c r="B27" s="1" t="s">
        <v>496</v>
      </c>
      <c r="C27" s="1" t="s">
        <v>7</v>
      </c>
      <c r="D27" s="1" t="s">
        <v>448</v>
      </c>
      <c r="E27" s="3">
        <v>23088</v>
      </c>
      <c r="F27" s="1" t="str">
        <f>VLOOKUP(D27,Table6[[Name]:[Native]],3,FALSE)</f>
        <v>沙坡头区</v>
      </c>
      <c r="G27" s="14" t="str">
        <f ca="1">VLOOKUP(F27,Table6[[Native]:[Population4]],5,FALSE)</f>
        <v>中卫市</v>
      </c>
    </row>
    <row r="28" spans="1:7" ht="15.75" thickBot="1" x14ac:dyDescent="0.3">
      <c r="A28" t="s">
        <v>497</v>
      </c>
      <c r="B28" s="1" t="s">
        <v>498</v>
      </c>
      <c r="C28" s="1" t="s">
        <v>7</v>
      </c>
      <c r="D28" s="1" t="s">
        <v>451</v>
      </c>
      <c r="E28" s="3">
        <v>37675</v>
      </c>
      <c r="F28" s="1" t="str">
        <f>VLOOKUP(D28,Table6[[Name]:[Native]],3,FALSE)</f>
        <v>海原县</v>
      </c>
      <c r="G28" s="14" t="str">
        <f ca="1">VLOOKUP(F28,Table6[[Native]:[Population4]],5,FALSE)</f>
        <v>中卫市</v>
      </c>
    </row>
    <row r="29" spans="1:7" ht="15.75" thickBot="1" x14ac:dyDescent="0.3">
      <c r="A29" t="s">
        <v>499</v>
      </c>
      <c r="B29" s="1" t="s">
        <v>500</v>
      </c>
      <c r="C29" s="1" t="s">
        <v>11</v>
      </c>
      <c r="D29" s="1" t="s">
        <v>451</v>
      </c>
      <c r="E29" s="3">
        <v>17754</v>
      </c>
      <c r="F29" s="1" t="str">
        <f>VLOOKUP(D29,Table6[[Name]:[Native]],3,FALSE)</f>
        <v>海原县</v>
      </c>
      <c r="G29" s="14" t="str">
        <f ca="1">VLOOKUP(F29,Table6[[Native]:[Population4]],5,FALSE)</f>
        <v>中卫市</v>
      </c>
    </row>
    <row r="30" spans="1:7" ht="15.75" thickBot="1" x14ac:dyDescent="0.3">
      <c r="A30" t="s">
        <v>501</v>
      </c>
      <c r="B30" s="1" t="s">
        <v>502</v>
      </c>
      <c r="C30" s="1" t="s">
        <v>7</v>
      </c>
      <c r="D30" s="1" t="s">
        <v>445</v>
      </c>
      <c r="E30" s="3">
        <v>25608</v>
      </c>
      <c r="F30" s="1" t="str">
        <f>VLOOKUP(D30,Table6[[Name]:[Native]],3,FALSE)</f>
        <v>中宁县</v>
      </c>
      <c r="G30" s="14" t="str">
        <f ca="1">VLOOKUP(F30,Table6[[Native]:[Population4]],5,FALSE)</f>
        <v>中卫市</v>
      </c>
    </row>
    <row r="31" spans="1:7" ht="15.75" thickBot="1" x14ac:dyDescent="0.3">
      <c r="A31" t="s">
        <v>503</v>
      </c>
      <c r="B31" s="1" t="s">
        <v>504</v>
      </c>
      <c r="C31" s="1" t="s">
        <v>11</v>
      </c>
      <c r="D31" s="1" t="s">
        <v>451</v>
      </c>
      <c r="E31" s="3">
        <v>23432</v>
      </c>
      <c r="F31" s="1" t="str">
        <f>VLOOKUP(D31,Table6[[Name]:[Native]],3,FALSE)</f>
        <v>海原县</v>
      </c>
      <c r="G31" s="14" t="str">
        <f ca="1">VLOOKUP(F31,Table6[[Native]:[Population4]],5,FALSE)</f>
        <v>中卫市</v>
      </c>
    </row>
    <row r="32" spans="1:7" ht="15.75" thickBot="1" x14ac:dyDescent="0.3">
      <c r="A32" t="s">
        <v>505</v>
      </c>
      <c r="B32" s="1" t="s">
        <v>506</v>
      </c>
      <c r="C32" s="1" t="s">
        <v>7</v>
      </c>
      <c r="D32" s="1" t="s">
        <v>448</v>
      </c>
      <c r="E32" s="3">
        <v>77336</v>
      </c>
      <c r="F32" s="1" t="str">
        <f>VLOOKUP(D32,Table6[[Name]:[Native]],3,FALSE)</f>
        <v>沙坡头区</v>
      </c>
      <c r="G32" s="14" t="str">
        <f ca="1">VLOOKUP(F32,Table6[[Native]:[Population4]],5,FALSE)</f>
        <v>中卫市</v>
      </c>
    </row>
    <row r="33" spans="1:7" ht="15.75" thickBot="1" x14ac:dyDescent="0.3">
      <c r="A33" t="s">
        <v>507</v>
      </c>
      <c r="B33" s="1" t="s">
        <v>508</v>
      </c>
      <c r="C33" s="1" t="s">
        <v>11</v>
      </c>
      <c r="D33" s="1" t="s">
        <v>448</v>
      </c>
      <c r="E33" s="3">
        <v>8173</v>
      </c>
      <c r="F33" s="1" t="str">
        <f>VLOOKUP(D33,Table6[[Name]:[Native]],3,FALSE)</f>
        <v>沙坡头区</v>
      </c>
      <c r="G33" s="14" t="str">
        <f ca="1">VLOOKUP(F33,Table6[[Native]:[Population4]],5,FALSE)</f>
        <v>中卫市</v>
      </c>
    </row>
    <row r="34" spans="1:7" ht="15.75" thickBot="1" x14ac:dyDescent="0.3">
      <c r="A34" t="s">
        <v>509</v>
      </c>
      <c r="B34" s="1" t="s">
        <v>510</v>
      </c>
      <c r="C34" s="1" t="s">
        <v>7</v>
      </c>
      <c r="D34" s="1" t="s">
        <v>451</v>
      </c>
      <c r="E34" s="3">
        <v>22096</v>
      </c>
      <c r="F34" s="1" t="str">
        <f>VLOOKUP(D34,Table6[[Name]:[Native]],3,FALSE)</f>
        <v>海原县</v>
      </c>
      <c r="G34" s="14" t="str">
        <f ca="1">VLOOKUP(F34,Table6[[Native]:[Population4]],5,FALSE)</f>
        <v>中卫市</v>
      </c>
    </row>
    <row r="35" spans="1:7" ht="15.75" thickBot="1" x14ac:dyDescent="0.3">
      <c r="A35" t="s">
        <v>511</v>
      </c>
      <c r="B35" s="1" t="s">
        <v>512</v>
      </c>
      <c r="C35" s="1" t="s">
        <v>7</v>
      </c>
      <c r="D35" s="1" t="s">
        <v>445</v>
      </c>
      <c r="E35" s="3">
        <v>22356</v>
      </c>
      <c r="F35" s="1" t="str">
        <f>VLOOKUP(D35,Table6[[Name]:[Native]],3,FALSE)</f>
        <v>中宁县</v>
      </c>
      <c r="G35" s="14" t="str">
        <f ca="1">VLOOKUP(F35,Table6[[Native]:[Population4]],5,FALSE)</f>
        <v>中卫市</v>
      </c>
    </row>
    <row r="36" spans="1:7" ht="15.75" thickBot="1" x14ac:dyDescent="0.3">
      <c r="A36" t="s">
        <v>513</v>
      </c>
      <c r="B36" s="1" t="s">
        <v>514</v>
      </c>
      <c r="C36" s="1" t="s">
        <v>7</v>
      </c>
      <c r="D36" s="1" t="s">
        <v>448</v>
      </c>
      <c r="E36" s="3">
        <v>28426</v>
      </c>
      <c r="F36" s="1" t="str">
        <f>VLOOKUP(D36,Table6[[Name]:[Native]],3,FALSE)</f>
        <v>沙坡头区</v>
      </c>
      <c r="G36" s="14" t="str">
        <f ca="1">VLOOKUP(F36,Table6[[Native]:[Population4]],5,FALSE)</f>
        <v>中卫市</v>
      </c>
    </row>
    <row r="37" spans="1:7" ht="15.75" thickBot="1" x14ac:dyDescent="0.3">
      <c r="A37" t="s">
        <v>515</v>
      </c>
      <c r="B37" s="1" t="s">
        <v>516</v>
      </c>
      <c r="C37" s="1" t="s">
        <v>7</v>
      </c>
      <c r="D37" s="1" t="s">
        <v>448</v>
      </c>
      <c r="E37" s="3">
        <v>44594</v>
      </c>
      <c r="F37" s="1" t="str">
        <f>VLOOKUP(D37,Table6[[Name]:[Native]],3,FALSE)</f>
        <v>沙坡头区</v>
      </c>
      <c r="G37" s="14" t="str">
        <f ca="1">VLOOKUP(F37,Table6[[Native]:[Population4]],5,FALSE)</f>
        <v>中卫市</v>
      </c>
    </row>
    <row r="38" spans="1:7" ht="15.75" thickBot="1" x14ac:dyDescent="0.3">
      <c r="A38" t="s">
        <v>517</v>
      </c>
      <c r="B38" s="1" t="s">
        <v>518</v>
      </c>
      <c r="C38" s="1" t="s">
        <v>11</v>
      </c>
      <c r="D38" s="1" t="s">
        <v>445</v>
      </c>
      <c r="E38" s="3">
        <v>3915</v>
      </c>
      <c r="F38" s="1" t="str">
        <f>VLOOKUP(D38,Table6[[Name]:[Native]],3,FALSE)</f>
        <v>中宁县</v>
      </c>
      <c r="G38" s="14" t="str">
        <f ca="1">VLOOKUP(F38,Table6[[Native]:[Population4]],5,FALSE)</f>
        <v>中卫市</v>
      </c>
    </row>
    <row r="39" spans="1:7" ht="15.75" thickBot="1" x14ac:dyDescent="0.3">
      <c r="A39" t="s">
        <v>519</v>
      </c>
      <c r="B39" s="1" t="s">
        <v>520</v>
      </c>
      <c r="C39" s="1" t="s">
        <v>7</v>
      </c>
      <c r="D39" s="1" t="s">
        <v>448</v>
      </c>
      <c r="E39" s="3">
        <v>24969</v>
      </c>
      <c r="F39" s="1" t="str">
        <f>VLOOKUP(D39,Table6[[Name]:[Native]],3,FALSE)</f>
        <v>沙坡头区</v>
      </c>
      <c r="G39" s="14" t="str">
        <f ca="1">VLOOKUP(F39,Table6[[Native]:[Population4]],5,FALSE)</f>
        <v>中卫市</v>
      </c>
    </row>
    <row r="40" spans="1:7" ht="15.75" thickBot="1" x14ac:dyDescent="0.3">
      <c r="A40" t="s">
        <v>521</v>
      </c>
      <c r="B40" s="1" t="s">
        <v>522</v>
      </c>
      <c r="C40" s="1" t="s">
        <v>7</v>
      </c>
      <c r="D40" s="1" t="s">
        <v>448</v>
      </c>
      <c r="E40" s="3">
        <v>27482</v>
      </c>
      <c r="F40" s="1" t="str">
        <f>VLOOKUP(D40,Table6[[Name]:[Native]],3,FALSE)</f>
        <v>沙坡头区</v>
      </c>
      <c r="G40" s="14" t="str">
        <f ca="1">VLOOKUP(F40,Table6[[Native]:[Population4]],5,FALSE)</f>
        <v>中卫市</v>
      </c>
    </row>
    <row r="41" spans="1:7" ht="15.75" thickBot="1" x14ac:dyDescent="0.3">
      <c r="A41" t="s">
        <v>523</v>
      </c>
      <c r="B41" s="1" t="s">
        <v>524</v>
      </c>
      <c r="C41" s="1" t="s">
        <v>11</v>
      </c>
      <c r="D41" s="1" t="s">
        <v>445</v>
      </c>
      <c r="E41" s="3">
        <v>12322</v>
      </c>
      <c r="F41" s="1" t="str">
        <f>VLOOKUP(D41,Table6[[Name]:[Native]],3,FALSE)</f>
        <v>中宁县</v>
      </c>
      <c r="G41" s="14" t="str">
        <f ca="1">VLOOKUP(F41,Table6[[Native]:[Population4]],5,FALSE)</f>
        <v>中卫市</v>
      </c>
    </row>
    <row r="42" spans="1:7" ht="15.75" thickBot="1" x14ac:dyDescent="0.3">
      <c r="A42" t="s">
        <v>525</v>
      </c>
      <c r="B42" s="1" t="s">
        <v>526</v>
      </c>
      <c r="C42" s="1" t="s">
        <v>11</v>
      </c>
      <c r="D42" s="1" t="s">
        <v>451</v>
      </c>
      <c r="E42" s="3">
        <v>17447</v>
      </c>
      <c r="F42" s="1" t="str">
        <f>VLOOKUP(D42,Table6[[Name]:[Native]],3,FALSE)</f>
        <v>海原县</v>
      </c>
      <c r="G42" s="14" t="str">
        <f ca="1">VLOOKUP(F42,Table6[[Native]:[Population4]],5,FALSE)</f>
        <v>中卫市</v>
      </c>
    </row>
    <row r="43" spans="1:7" ht="15.75" thickBot="1" x14ac:dyDescent="0.3">
      <c r="A43" t="s">
        <v>527</v>
      </c>
      <c r="B43" s="1" t="s">
        <v>528</v>
      </c>
      <c r="C43" s="1" t="s">
        <v>7</v>
      </c>
      <c r="D43" s="1" t="s">
        <v>448</v>
      </c>
      <c r="E43" s="3">
        <v>25661</v>
      </c>
      <c r="F43" s="1" t="str">
        <f>VLOOKUP(D43,Table6[[Name]:[Native]],3,FALSE)</f>
        <v>沙坡头区</v>
      </c>
      <c r="G43" s="14" t="str">
        <f ca="1">VLOOKUP(F43,Table6[[Native]:[Population4]],5,FALSE)</f>
        <v>中卫市</v>
      </c>
    </row>
    <row r="44" spans="1:7" ht="15.75" thickBot="1" x14ac:dyDescent="0.3">
      <c r="A44" t="s">
        <v>529</v>
      </c>
      <c r="B44" s="1" t="s">
        <v>530</v>
      </c>
      <c r="C44" s="1" t="s">
        <v>165</v>
      </c>
      <c r="D44" s="1" t="s">
        <v>448</v>
      </c>
      <c r="E44" s="3">
        <v>1032</v>
      </c>
      <c r="F44" s="1" t="str">
        <f>VLOOKUP(D44,Table6[[Name]:[Native]],3,FALSE)</f>
        <v>沙坡头区</v>
      </c>
      <c r="G44" s="14" t="str">
        <f ca="1">VLOOKUP(F44,Table6[[Native]:[Population4]],5,FALSE)</f>
        <v>中卫市</v>
      </c>
    </row>
    <row r="45" spans="1:7" ht="15.75" thickBot="1" x14ac:dyDescent="0.3">
      <c r="A45" t="s">
        <v>531</v>
      </c>
      <c r="B45" s="1" t="s">
        <v>532</v>
      </c>
      <c r="C45" s="1" t="s">
        <v>165</v>
      </c>
      <c r="D45" s="1" t="s">
        <v>448</v>
      </c>
      <c r="E45" s="3">
        <v>1995</v>
      </c>
      <c r="F45" s="1" t="str">
        <f>VLOOKUP(D45,Table6[[Name]:[Native]],3,FALSE)</f>
        <v>沙坡头区</v>
      </c>
      <c r="G45" s="14" t="str">
        <f ca="1">VLOOKUP(F45,Table6[[Native]:[Population4]],5,FALSE)</f>
        <v>中卫市</v>
      </c>
    </row>
    <row r="46" spans="1:7" ht="15.75" thickBot="1" x14ac:dyDescent="0.3">
      <c r="A46" t="s">
        <v>533</v>
      </c>
      <c r="B46" s="1" t="s">
        <v>534</v>
      </c>
      <c r="C46" s="1" t="s">
        <v>165</v>
      </c>
      <c r="D46" s="1" t="s">
        <v>451</v>
      </c>
      <c r="E46" s="3">
        <v>3409</v>
      </c>
      <c r="F46" s="1" t="str">
        <f>VLOOKUP(D46,Table6[[Name]:[Native]],3,FALSE)</f>
        <v>海原县</v>
      </c>
      <c r="G46" s="14" t="str">
        <f ca="1">VLOOKUP(F46,Table6[[Native]:[Population4]],5,FALSE)</f>
        <v>中卫市</v>
      </c>
    </row>
    <row r="47" spans="1:7" ht="15.75" thickBot="1" x14ac:dyDescent="0.3">
      <c r="A47" t="s">
        <v>535</v>
      </c>
      <c r="B47" s="4" t="s">
        <v>536</v>
      </c>
      <c r="C47" s="4" t="s">
        <v>11</v>
      </c>
      <c r="D47" s="4" t="s">
        <v>445</v>
      </c>
      <c r="E47" s="11">
        <v>23794</v>
      </c>
      <c r="F47" s="10" t="str">
        <f>VLOOKUP(D47,Table6[[Name]:[Native]],3,FALSE)</f>
        <v>中宁县</v>
      </c>
      <c r="G47" s="14" t="str">
        <f ca="1">VLOOKUP(F47,Table6[[Native]:[Population4]],5,FALSE)</f>
        <v>中卫市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C94B9-87E3-41BF-833B-314B452240E9}">
  <dimension ref="A1:P256"/>
  <sheetViews>
    <sheetView workbookViewId="0">
      <selection activeCell="G2" sqref="G2:G256"/>
    </sheetView>
  </sheetViews>
  <sheetFormatPr defaultRowHeight="15" x14ac:dyDescent="0.25"/>
  <cols>
    <col min="1" max="9" width="11.28515625" customWidth="1"/>
  </cols>
  <sheetData>
    <row r="1" spans="1:16" x14ac:dyDescent="0.25">
      <c r="A1" t="s">
        <v>579</v>
      </c>
      <c r="B1" t="s">
        <v>589</v>
      </c>
      <c r="C1" t="s">
        <v>700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  <c r="K1" t="s">
        <v>588</v>
      </c>
      <c r="L1" t="s">
        <v>701</v>
      </c>
      <c r="M1" t="s">
        <v>702</v>
      </c>
      <c r="N1" t="s">
        <v>703</v>
      </c>
      <c r="O1" t="s">
        <v>959</v>
      </c>
      <c r="P1" t="s">
        <v>960</v>
      </c>
    </row>
    <row r="2" spans="1:16" hidden="1" x14ac:dyDescent="0.25">
      <c r="A2" t="s">
        <v>137</v>
      </c>
      <c r="B2" t="str">
        <f>IF(COUNTIF(A:A,A2)&gt;1,_xlfn.CONCAT(A2," (",N2,")"),A2)</f>
        <v>Báijīgōu Jiēdào</v>
      </c>
      <c r="C2" t="str">
        <f>IF(COUNTIF(B:B,B2)&gt;1,_xlfn.CONCAT(A2," (",M2,")"),B2)</f>
        <v>Báijīgōu Jiēdào</v>
      </c>
      <c r="D2" t="s">
        <v>138</v>
      </c>
      <c r="E2" t="s">
        <v>52</v>
      </c>
      <c r="F2" t="str">
        <f>_xlfn.CONCAT(D2,", ",H2,", ",I2,", ","宁夏回族自治区")</f>
        <v>白芨沟街道, 大武口区, 石嘴山市, 宁夏回族自治区</v>
      </c>
      <c r="G2">
        <v>8212</v>
      </c>
      <c r="H2" t="s">
        <v>549</v>
      </c>
      <c r="I2" t="s">
        <v>548</v>
      </c>
      <c r="J2">
        <f>VLOOKUP(F2,[1]!china_towns_second__2[[Column1]:[Y]],3,FALSE)</f>
        <v>39.082783169002703</v>
      </c>
      <c r="K2">
        <f>VLOOKUP(F2,[1]!china_towns_second__2[[Column1]:[Y]],2,FALSE)</f>
        <v>106.2026087</v>
      </c>
      <c r="L2" t="s">
        <v>704</v>
      </c>
      <c r="M2" t="str">
        <f>VLOOKUP(H2,CHOOSE({1,2},Table6[Native],Table6[Name]),2,0)</f>
        <v>Dàwŭkŏu Qū</v>
      </c>
      <c r="N2" s="15" t="str">
        <f>VLOOKUP(I2,CHOOSE({1,2},Table6[Native],Table6[Name]),2,0)</f>
        <v>Shízuĭshān Shì</v>
      </c>
      <c r="O2" s="15" t="str">
        <f t="shared" ref="O2:O65" si="0">_xlfn.CONCAT(L2," (",N2,")")</f>
        <v>Baijigou Jiedao (Shízuĭshān Shì)</v>
      </c>
      <c r="P2" s="15" t="str">
        <f t="shared" ref="P2:P65" si="1">IF(COUNTIF(O:O,O2)&gt;1,_xlfn.CONCAT(L2," (",M2,")"),O2)</f>
        <v>Baijigou Jiedao (Shízuĭshān Shì)</v>
      </c>
    </row>
    <row r="3" spans="1:16" hidden="1" x14ac:dyDescent="0.25">
      <c r="A3" t="s">
        <v>443</v>
      </c>
      <c r="B3" t="str">
        <f>IF(COUNTIF(A:A,A3)&gt;1,_xlfn.CONCAT(A3," (",N3,")"),A3)</f>
        <v>Báimă Xiāng</v>
      </c>
      <c r="C3" t="str">
        <f>IF(COUNTIF(B:B,B3)&gt;1,_xlfn.CONCAT(A3," (",M3,")"),B3)</f>
        <v>Báimă Xiāng</v>
      </c>
      <c r="D3" t="s">
        <v>444</v>
      </c>
      <c r="E3" t="s">
        <v>11</v>
      </c>
      <c r="F3" t="str">
        <f>_xlfn.CONCAT(D3,", ",H3,", ",I3,", ","宁夏回族自治区")</f>
        <v>白马乡, 中宁县, 中卫市, 宁夏回族自治区</v>
      </c>
      <c r="G3">
        <v>7118</v>
      </c>
      <c r="H3" t="s">
        <v>573</v>
      </c>
      <c r="I3" t="s">
        <v>570</v>
      </c>
      <c r="J3" t="e">
        <f>VLOOKUP(F3,[1]!china_towns_second__2[[Column1]:[Y]],3,FALSE)</f>
        <v>#N/A</v>
      </c>
      <c r="K3" t="e">
        <f>VLOOKUP(F3,[1]!china_towns_second__2[[Column1]:[Y]],2,FALSE)</f>
        <v>#N/A</v>
      </c>
      <c r="L3" t="s">
        <v>705</v>
      </c>
      <c r="M3" t="str">
        <f>VLOOKUP(H3,CHOOSE({1,2},Table6[Native],Table6[Name]),2,0)</f>
        <v>Zhōngníng Xiàn</v>
      </c>
      <c r="N3" s="15" t="str">
        <f>VLOOKUP(I3,CHOOSE({1,2},Table6[Native],Table6[Name]),2,0)</f>
        <v>Zhōngwèi Shì</v>
      </c>
      <c r="O3" s="15" t="str">
        <f t="shared" si="0"/>
        <v>Baima Xiang (Zhōngwèi Shì)</v>
      </c>
      <c r="P3" s="15" t="str">
        <f t="shared" si="1"/>
        <v>Baima Xiang (Zhōngwèi Shì)</v>
      </c>
    </row>
    <row r="4" spans="1:16" hidden="1" x14ac:dyDescent="0.25">
      <c r="A4" t="s">
        <v>323</v>
      </c>
      <c r="B4" t="str">
        <f>IF(COUNTIF(A:A,A4)&gt;1,_xlfn.CONCAT(A4," (",N4,")"),A4)</f>
        <v>Báitŭgăng Xiāng</v>
      </c>
      <c r="C4" t="str">
        <f>IF(COUNTIF(B:B,B4)&gt;1,_xlfn.CONCAT(A4," (",M4,")"),B4)</f>
        <v>Báitŭgăng Xiāng</v>
      </c>
      <c r="D4" t="s">
        <v>324</v>
      </c>
      <c r="E4" t="s">
        <v>11</v>
      </c>
      <c r="F4" t="str">
        <f>_xlfn.CONCAT(D4,", ",H4,", ",I4,", ","宁夏回族自治区")</f>
        <v>白土岗乡, 灵武市, 银川市, 宁夏回族自治区</v>
      </c>
      <c r="G4">
        <v>8640</v>
      </c>
      <c r="H4" t="s">
        <v>565</v>
      </c>
      <c r="I4" t="s">
        <v>561</v>
      </c>
      <c r="J4" t="e">
        <f>VLOOKUP(F4,[1]!china_towns_second__2[[Column1]:[Y]],3,FALSE)</f>
        <v>#N/A</v>
      </c>
      <c r="K4" t="e">
        <f>VLOOKUP(F4,[1]!china_towns_second__2[[Column1]:[Y]],2,FALSE)</f>
        <v>#N/A</v>
      </c>
      <c r="L4" t="s">
        <v>706</v>
      </c>
      <c r="M4" t="str">
        <f>VLOOKUP(H4,CHOOSE({1,2},Table6[Native],Table6[Name]),2,0)</f>
        <v>Língwŭ Shì</v>
      </c>
      <c r="N4" s="15" t="str">
        <f>VLOOKUP(I4,CHOOSE({1,2},Table6[Native],Table6[Name]),2,0)</f>
        <v>Yínchuān Shì</v>
      </c>
      <c r="O4" s="15" t="str">
        <f t="shared" si="0"/>
        <v>Baitugang Xiang (Yínchuān Shì)</v>
      </c>
      <c r="P4" s="15" t="str">
        <f t="shared" si="1"/>
        <v>Baitugang Xiang (Yínchuān Shì)</v>
      </c>
    </row>
    <row r="5" spans="1:16" hidden="1" x14ac:dyDescent="0.25">
      <c r="A5" t="s">
        <v>9</v>
      </c>
      <c r="B5" t="str">
        <f>IF(COUNTIF(A:A,A5)&gt;1,_xlfn.CONCAT(A5," (",N5,")"),A5)</f>
        <v>Báiyá Xiāng</v>
      </c>
      <c r="C5" t="str">
        <f>IF(COUNTIF(B:B,B5)&gt;1,_xlfn.CONCAT(A5," (",M5,")"),B5)</f>
        <v>Báiyá Xiāng</v>
      </c>
      <c r="D5" t="s">
        <v>10</v>
      </c>
      <c r="E5" t="s">
        <v>11</v>
      </c>
      <c r="F5" t="str">
        <f>_xlfn.CONCAT(D5,", ",H5,", ",I5,", ","宁夏回族自治区")</f>
        <v>白崖乡, 西吉县, 固原市, 宁夏回族自治区</v>
      </c>
      <c r="G5">
        <v>13665</v>
      </c>
      <c r="H5" t="s">
        <v>544</v>
      </c>
      <c r="I5" t="s">
        <v>539</v>
      </c>
      <c r="J5" t="e">
        <f>VLOOKUP(F5,[1]!china_towns_second__2[[Column1]:[Y]],3,FALSE)</f>
        <v>#N/A</v>
      </c>
      <c r="K5" t="e">
        <f>VLOOKUP(F5,[1]!china_towns_second__2[[Column1]:[Y]],2,FALSE)</f>
        <v>#N/A</v>
      </c>
      <c r="L5" t="s">
        <v>707</v>
      </c>
      <c r="M5" t="str">
        <f>VLOOKUP(H5,CHOOSE({1,2},Table6[Native],Table6[Name]),2,0)</f>
        <v>Xījí Xiàn</v>
      </c>
      <c r="N5" s="15" t="str">
        <f>VLOOKUP(I5,CHOOSE({1,2},Table6[Native],Table6[Name]),2,0)</f>
        <v>Gùyuán Shì</v>
      </c>
      <c r="O5" s="15" t="str">
        <f t="shared" si="0"/>
        <v>Baiya Xiang (Gùyuán Shì)</v>
      </c>
      <c r="P5" s="15" t="str">
        <f t="shared" si="1"/>
        <v>Baiya Xiang (Gùyuán Shì)</v>
      </c>
    </row>
    <row r="6" spans="1:16" x14ac:dyDescent="0.25">
      <c r="A6" t="s">
        <v>5</v>
      </c>
      <c r="B6" t="str">
        <f>IF(COUNTIF(A:A,A6)&gt;1,_xlfn.CONCAT(A6," (",N6,")"),A6)</f>
        <v>Báiyáng Zhèn</v>
      </c>
      <c r="C6" t="str">
        <f>IF(COUNTIF(B:B,B6)&gt;1,_xlfn.CONCAT(A6," (",M6,")"),B6)</f>
        <v>Báiyáng Zhèn</v>
      </c>
      <c r="D6" t="s">
        <v>6</v>
      </c>
      <c r="E6" t="s">
        <v>7</v>
      </c>
      <c r="F6" t="str">
        <f>_xlfn.CONCAT(D6,", ",H6,", ",I6,", ","宁夏回族自治区")</f>
        <v>白阳镇, 彭阳县, 固原市, 宁夏回族自治区</v>
      </c>
      <c r="G6">
        <v>52691</v>
      </c>
      <c r="H6" t="s">
        <v>543</v>
      </c>
      <c r="I6" t="s">
        <v>539</v>
      </c>
      <c r="J6">
        <f>VLOOKUP(F6,[1]!china_towns_second__2[[Column1]:[Y]],3,FALSE)</f>
        <v>35.879648058586199</v>
      </c>
      <c r="K6">
        <f>VLOOKUP(F6,[1]!china_towns_second__2[[Column1]:[Y]],2,FALSE)</f>
        <v>106.64875050000001</v>
      </c>
      <c r="L6" t="s">
        <v>708</v>
      </c>
      <c r="M6" t="str">
        <f>VLOOKUP(H6,CHOOSE({1,2},Table6[Native],Table6[Name]),2,0)</f>
        <v>Péngyáng Xiàn</v>
      </c>
      <c r="N6" s="15" t="str">
        <f>VLOOKUP(I6,CHOOSE({1,2},Table6[Native],Table6[Name]),2,0)</f>
        <v>Gùyuán Shì</v>
      </c>
      <c r="O6" s="15" t="str">
        <f t="shared" si="0"/>
        <v>Baiyang Zhen (Gùyuán Shì)</v>
      </c>
      <c r="P6" s="15" t="str">
        <f t="shared" si="1"/>
        <v>Baiyang Zhen (Gùyuán Shì)</v>
      </c>
    </row>
    <row r="7" spans="1:16" hidden="1" x14ac:dyDescent="0.25">
      <c r="A7" t="s">
        <v>220</v>
      </c>
      <c r="B7" t="str">
        <f>IF(COUNTIF(A:A,A7)&gt;1,_xlfn.CONCAT(A7," (",N7,")"),A7)</f>
        <v>Bālànghú Nóngchăng</v>
      </c>
      <c r="C7" t="str">
        <f>IF(COUNTIF(B:B,B7)&gt;1,_xlfn.CONCAT(A7," (",M7,")"),B7)</f>
        <v>Bālànghú Nóngchăng</v>
      </c>
      <c r="D7" t="s">
        <v>221</v>
      </c>
      <c r="E7" t="s">
        <v>165</v>
      </c>
      <c r="F7" t="str">
        <f>_xlfn.CONCAT(D7,", ",H7,", ",I7,", ","宁夏回族自治区")</f>
        <v>巴浪湖农场, 利通区, 吴忠市, 宁夏回族自治区</v>
      </c>
      <c r="G7">
        <v>6966</v>
      </c>
      <c r="H7" t="s">
        <v>555</v>
      </c>
      <c r="I7" t="s">
        <v>553</v>
      </c>
      <c r="J7">
        <f>VLOOKUP(F7,[1]!china_towns_second__2[[Column1]:[Y]],3,FALSE)</f>
        <v>37.867750934829303</v>
      </c>
      <c r="K7">
        <f>VLOOKUP(F7,[1]!china_towns_second__2[[Column1]:[Y]],2,FALSE)</f>
        <v>106.2190026</v>
      </c>
      <c r="L7" t="s">
        <v>709</v>
      </c>
      <c r="M7" t="str">
        <f>VLOOKUP(H7,CHOOSE({1,2},Table6[Native],Table6[Name]),2,0)</f>
        <v>Lìtōng Qū</v>
      </c>
      <c r="N7" s="15" t="str">
        <f>VLOOKUP(I7,CHOOSE({1,2},Table6[Native],Table6[Name]),2,0)</f>
        <v>Wúzhōng Shì</v>
      </c>
      <c r="O7" s="15" t="str">
        <f t="shared" si="0"/>
        <v>Balanghu Nongchang (Wúzhōng Shì)</v>
      </c>
      <c r="P7" s="15" t="str">
        <f t="shared" si="1"/>
        <v>Balanghu Nongchang (Wúzhōng Shì)</v>
      </c>
    </row>
    <row r="8" spans="1:16" hidden="1" x14ac:dyDescent="0.25">
      <c r="A8" t="s">
        <v>223</v>
      </c>
      <c r="B8" t="str">
        <f>IF(COUNTIF(A:A,A8)&gt;1,_xlfn.CONCAT(A8," (",N8,")"),A8)</f>
        <v>Bănqiáo Xiāng</v>
      </c>
      <c r="C8" t="str">
        <f>IF(COUNTIF(B:B,B8)&gt;1,_xlfn.CONCAT(A8," (",M8,")"),B8)</f>
        <v>Bănqiáo Xiāng</v>
      </c>
      <c r="D8" t="s">
        <v>224</v>
      </c>
      <c r="E8" t="s">
        <v>11</v>
      </c>
      <c r="F8" t="str">
        <f>_xlfn.CONCAT(D8,", ",H8,", ",I8,", ","宁夏回族自治区")</f>
        <v>板桥乡, 利通区, 吴忠市, 宁夏回族自治区</v>
      </c>
      <c r="G8">
        <v>29524</v>
      </c>
      <c r="H8" t="s">
        <v>555</v>
      </c>
      <c r="I8" t="s">
        <v>553</v>
      </c>
      <c r="J8" t="e">
        <f>VLOOKUP(F8,[1]!china_towns_second__2[[Column1]:[Y]],3,FALSE)</f>
        <v>#N/A</v>
      </c>
      <c r="K8" t="e">
        <f>VLOOKUP(F8,[1]!china_towns_second__2[[Column1]:[Y]],2,FALSE)</f>
        <v>#N/A</v>
      </c>
      <c r="L8" t="s">
        <v>710</v>
      </c>
      <c r="M8" t="str">
        <f>VLOOKUP(H8,CHOOSE({1,2},Table6[Native],Table6[Name]),2,0)</f>
        <v>Lìtōng Qū</v>
      </c>
      <c r="N8" s="15" t="str">
        <f>VLOOKUP(I8,CHOOSE({1,2},Table6[Native],Table6[Name]),2,0)</f>
        <v>Wúzhōng Shì</v>
      </c>
      <c r="O8" s="15" t="str">
        <f t="shared" si="0"/>
        <v>Banqiao Xiang (Wúzhōng Shì)</v>
      </c>
      <c r="P8" s="15" t="str">
        <f t="shared" si="1"/>
        <v>Banqiao Xiang (Wúzhōng Shì)</v>
      </c>
    </row>
    <row r="9" spans="1:16" x14ac:dyDescent="0.25">
      <c r="A9" t="s">
        <v>140</v>
      </c>
      <c r="B9" t="str">
        <f>IF(COUNTIF(A:A,A9)&gt;1,_xlfn.CONCAT(A9," (",N9,")"),A9)</f>
        <v>Băofēng Zhèn</v>
      </c>
      <c r="C9" t="str">
        <f>IF(COUNTIF(B:B,B9)&gt;1,_xlfn.CONCAT(A9," (",M9,")"),B9)</f>
        <v>Băofēng Zhèn</v>
      </c>
      <c r="D9" t="s">
        <v>141</v>
      </c>
      <c r="E9" t="s">
        <v>7</v>
      </c>
      <c r="F9" t="str">
        <f>_xlfn.CONCAT(D9,", ",H9,", ",I9,", ","宁夏回族自治区")</f>
        <v>宝丰镇, 平罗县, 石嘴山市, 宁夏回族自治区</v>
      </c>
      <c r="G9">
        <v>10552</v>
      </c>
      <c r="H9" t="s">
        <v>551</v>
      </c>
      <c r="I9" t="s">
        <v>548</v>
      </c>
      <c r="J9">
        <f>VLOOKUP(F9,[1]!china_towns_second__2[[Column1]:[Y]],3,FALSE)</f>
        <v>39.052158394678202</v>
      </c>
      <c r="K9">
        <f>VLOOKUP(F9,[1]!china_towns_second__2[[Column1]:[Y]],2,FALSE)</f>
        <v>106.73573519999999</v>
      </c>
      <c r="L9" t="s">
        <v>711</v>
      </c>
      <c r="M9" t="str">
        <f>VLOOKUP(H9,CHOOSE({1,2},Table6[Native],Table6[Name]),2,0)</f>
        <v>Píngluó Xiàn</v>
      </c>
      <c r="N9" s="15" t="str">
        <f>VLOOKUP(I9,CHOOSE({1,2},Table6[Native],Table6[Name]),2,0)</f>
        <v>Shízuĭshān Shì</v>
      </c>
      <c r="O9" s="15" t="str">
        <f t="shared" si="0"/>
        <v>Baofeng Zhen (Shízuĭshān Shì)</v>
      </c>
      <c r="P9" s="15" t="str">
        <f t="shared" si="1"/>
        <v>Baofeng Zhen (Shízuĭshān Shì)</v>
      </c>
    </row>
    <row r="10" spans="1:16" hidden="1" x14ac:dyDescent="0.25">
      <c r="A10" t="s">
        <v>143</v>
      </c>
      <c r="B10" t="str">
        <f>IF(COUNTIF(A:A,A10)&gt;1,_xlfn.CONCAT(A10," (",N10,")"),A10)</f>
        <v>Bĕijiē Jiēdào</v>
      </c>
      <c r="C10" t="str">
        <f>IF(COUNTIF(B:B,B10)&gt;1,_xlfn.CONCAT(A10," (",M10,")"),B10)</f>
        <v>Bĕijiē Jiēdào</v>
      </c>
      <c r="D10" t="s">
        <v>144</v>
      </c>
      <c r="E10" t="s">
        <v>52</v>
      </c>
      <c r="F10" t="str">
        <f>_xlfn.CONCAT(D10,", ",H10,", ",I10,", ","宁夏回族自治区")</f>
        <v>北街街道, 惠农区, 石嘴山市, 宁夏回族自治区</v>
      </c>
      <c r="G10">
        <v>4412</v>
      </c>
      <c r="H10" t="s">
        <v>550</v>
      </c>
      <c r="I10" t="s">
        <v>548</v>
      </c>
      <c r="J10">
        <f>VLOOKUP(F10,[1]!china_towns_second__2[[Column1]:[Y]],3,FALSE)</f>
        <v>39.2535264071795</v>
      </c>
      <c r="K10">
        <f>VLOOKUP(F10,[1]!china_towns_second__2[[Column1]:[Y]],2,FALSE)</f>
        <v>106.7842507</v>
      </c>
      <c r="L10" t="s">
        <v>712</v>
      </c>
      <c r="M10" t="str">
        <f>VLOOKUP(H10,CHOOSE({1,2},Table6[Native],Table6[Name]),2,0)</f>
        <v>Huìnóng Qū</v>
      </c>
      <c r="N10" s="15" t="str">
        <f>VLOOKUP(I10,CHOOSE({1,2},Table6[Native],Table6[Name]),2,0)</f>
        <v>Shízuĭshān Shì</v>
      </c>
      <c r="O10" s="15" t="str">
        <f t="shared" si="0"/>
        <v>Beijie Jiedao (Shízuĭshān Shì)</v>
      </c>
      <c r="P10" s="15" t="str">
        <f t="shared" si="1"/>
        <v>Beijie Jiedao (Shízuĭshān Shì)</v>
      </c>
    </row>
    <row r="11" spans="1:16" hidden="1" x14ac:dyDescent="0.25">
      <c r="A11" t="s">
        <v>326</v>
      </c>
      <c r="B11" t="str">
        <f>IF(COUNTIF(A:A,A11)&gt;1,_xlfn.CONCAT(A11," (",N11,")"),A11)</f>
        <v>Bĕijīng Xīlù Jiēdào</v>
      </c>
      <c r="C11" t="str">
        <f>IF(COUNTIF(B:B,B11)&gt;1,_xlfn.CONCAT(A11," (",M11,")"),B11)</f>
        <v>Bĕijīng Xīlù Jiēdào</v>
      </c>
      <c r="D11" t="s">
        <v>327</v>
      </c>
      <c r="E11" t="s">
        <v>52</v>
      </c>
      <c r="F11" t="str">
        <f>_xlfn.CONCAT(D11,", ",H11,", ",I11,", ","宁夏回族自治区")</f>
        <v>北京西路街道, 西夏区, 银川市, 宁夏回族自治区</v>
      </c>
      <c r="G11">
        <v>36987</v>
      </c>
      <c r="H11" t="s">
        <v>567</v>
      </c>
      <c r="I11" t="s">
        <v>561</v>
      </c>
      <c r="J11">
        <f>VLOOKUP(F11,[1]!china_towns_second__2[[Column1]:[Y]],3,FALSE)</f>
        <v>38.4682649289567</v>
      </c>
      <c r="K11">
        <f>VLOOKUP(F11,[1]!china_towns_second__2[[Column1]:[Y]],2,FALSE)</f>
        <v>106.12805609999999</v>
      </c>
      <c r="L11" t="s">
        <v>713</v>
      </c>
      <c r="M11" t="str">
        <f>VLOOKUP(H11,CHOOSE({1,2},Table6[Native],Table6[Name]),2,0)</f>
        <v>Xīxià Qū</v>
      </c>
      <c r="N11" s="15" t="str">
        <f>VLOOKUP(I11,CHOOSE({1,2},Table6[Native],Table6[Name]),2,0)</f>
        <v>Yínchuān Shì</v>
      </c>
      <c r="O11" s="15" t="str">
        <f t="shared" si="0"/>
        <v>Beijing Xilu Jiedao (Yínchuān Shì)</v>
      </c>
      <c r="P11" s="15" t="str">
        <f t="shared" si="1"/>
        <v>Beijing Xilu Jiedao (Yínchuān Shì)</v>
      </c>
    </row>
    <row r="12" spans="1:16" hidden="1" x14ac:dyDescent="0.25">
      <c r="A12" t="s">
        <v>329</v>
      </c>
      <c r="B12" t="str">
        <f>IF(COUNTIF(A:A,A12)&gt;1,_xlfn.CONCAT(A12," (",N12,")"),A12)</f>
        <v>Bĕijīng Zhōnglù Jiēdào</v>
      </c>
      <c r="C12" t="str">
        <f>IF(COUNTIF(B:B,B12)&gt;1,_xlfn.CONCAT(A12," (",M12,")"),B12)</f>
        <v>Bĕijīng Zhōnglù Jiēdào</v>
      </c>
      <c r="D12" t="s">
        <v>330</v>
      </c>
      <c r="E12" t="s">
        <v>52</v>
      </c>
      <c r="F12" t="str">
        <f>_xlfn.CONCAT(D12,", ",H12,", ",I12,", ","宁夏回族自治区")</f>
        <v>北京中路街道, 金凤区, 银川市, 宁夏回族自治区</v>
      </c>
      <c r="G12">
        <v>32964</v>
      </c>
      <c r="H12" t="s">
        <v>563</v>
      </c>
      <c r="I12" t="s">
        <v>561</v>
      </c>
      <c r="J12">
        <f>VLOOKUP(F12,[1]!china_towns_second__2[[Column1]:[Y]],3,FALSE)</f>
        <v>38.478571413298198</v>
      </c>
      <c r="K12">
        <f>VLOOKUP(F12,[1]!china_towns_second__2[[Column1]:[Y]],2,FALSE)</f>
        <v>106.2209896</v>
      </c>
      <c r="L12" t="s">
        <v>714</v>
      </c>
      <c r="M12" t="str">
        <f>VLOOKUP(H12,CHOOSE({1,2},Table6[Native],Table6[Name]),2,0)</f>
        <v>Jīnfèng Qū</v>
      </c>
      <c r="N12" s="15" t="str">
        <f>VLOOKUP(I12,CHOOSE({1,2},Table6[Native],Table6[Name]),2,0)</f>
        <v>Yínchuān Shì</v>
      </c>
      <c r="O12" s="15" t="str">
        <f t="shared" si="0"/>
        <v>Beijing Zhonglu Jiedao (Yínchuān Shì)</v>
      </c>
      <c r="P12" s="15" t="str">
        <f t="shared" si="1"/>
        <v>Beijing Zhonglu Jiedao (Yínchuān Shì)</v>
      </c>
    </row>
    <row r="13" spans="1:16" x14ac:dyDescent="0.25">
      <c r="A13" t="s">
        <v>225</v>
      </c>
      <c r="B13" t="str">
        <f>IF(COUNTIF(A:A,A13)&gt;1,_xlfn.CONCAT(A13," (",N13,")"),A13)</f>
        <v>Biăndāngōu Zhèn</v>
      </c>
      <c r="C13" t="str">
        <f>IF(COUNTIF(B:B,B13)&gt;1,_xlfn.CONCAT(A13," (",M13,")"),B13)</f>
        <v>Biăndāngōu Zhèn</v>
      </c>
      <c r="D13" t="s">
        <v>226</v>
      </c>
      <c r="E13" t="s">
        <v>7</v>
      </c>
      <c r="F13" t="str">
        <f>_xlfn.CONCAT(D13,", ",H13,", ",I13,", ","宁夏回族自治区")</f>
        <v>扁担沟镇, 利通区, 吴忠市, 宁夏回族自治区</v>
      </c>
      <c r="G13">
        <v>16921</v>
      </c>
      <c r="H13" t="s">
        <v>555</v>
      </c>
      <c r="I13" t="s">
        <v>553</v>
      </c>
      <c r="J13">
        <f>VLOOKUP(F13,[1]!china_towns_second__2[[Column1]:[Y]],3,FALSE)</f>
        <v>37.710231917292901</v>
      </c>
      <c r="K13">
        <f>VLOOKUP(F13,[1]!china_towns_second__2[[Column1]:[Y]],2,FALSE)</f>
        <v>106.3899303</v>
      </c>
      <c r="L13" t="s">
        <v>715</v>
      </c>
      <c r="M13" t="str">
        <f>VLOOKUP(H13,CHOOSE({1,2},Table6[Native],Table6[Name]),2,0)</f>
        <v>Lìtōng Qū</v>
      </c>
      <c r="N13" s="15" t="str">
        <f>VLOOKUP(I13,CHOOSE({1,2},Table6[Native],Table6[Name]),2,0)</f>
        <v>Wúzhōng Shì</v>
      </c>
      <c r="O13" s="15" t="str">
        <f t="shared" si="0"/>
        <v>Biandangou Zhen (Wúzhōng Shì)</v>
      </c>
      <c r="P13" s="15" t="str">
        <f t="shared" si="1"/>
        <v>Biandangou Zhen (Wúzhōng Shì)</v>
      </c>
    </row>
    <row r="14" spans="1:16" x14ac:dyDescent="0.25">
      <c r="A14" t="s">
        <v>446</v>
      </c>
      <c r="B14" t="str">
        <f>IF(COUNTIF(A:A,A14)&gt;1,_xlfn.CONCAT(A14," (",N14,")"),A14)</f>
        <v>Bīnhé Zhèn</v>
      </c>
      <c r="C14" t="str">
        <f>IF(COUNTIF(B:B,B14)&gt;1,_xlfn.CONCAT(A14," (",M14,")"),B14)</f>
        <v>Bīnhé Zhèn</v>
      </c>
      <c r="D14" t="s">
        <v>447</v>
      </c>
      <c r="E14" t="s">
        <v>7</v>
      </c>
      <c r="F14" t="str">
        <f>_xlfn.CONCAT(D14,", ",H14,", ",I14,", ","宁夏回族自治区")</f>
        <v>滨河镇, 沙坡头区, 中卫市, 宁夏回族自治区</v>
      </c>
      <c r="G14">
        <v>66331</v>
      </c>
      <c r="H14" t="s">
        <v>572</v>
      </c>
      <c r="I14" t="s">
        <v>570</v>
      </c>
      <c r="J14">
        <f>VLOOKUP(F14,[1]!china_towns_second__2[[Column1]:[Y]],3,FALSE)</f>
        <v>37.500250393053904</v>
      </c>
      <c r="K14">
        <f>VLOOKUP(F14,[1]!china_towns_second__2[[Column1]:[Y]],2,FALSE)</f>
        <v>105.1614289</v>
      </c>
      <c r="L14" t="s">
        <v>716</v>
      </c>
      <c r="M14" t="str">
        <f>VLOOKUP(H14,CHOOSE({1,2},Table6[Native],Table6[Name]),2,0)</f>
        <v>Shāpōtóu Qū</v>
      </c>
      <c r="N14" s="15" t="str">
        <f>VLOOKUP(I14,CHOOSE({1,2},Table6[Native],Table6[Name]),2,0)</f>
        <v>Zhōngwèi Shì</v>
      </c>
      <c r="O14" s="15" t="str">
        <f t="shared" si="0"/>
        <v>Binhe Zhen (Zhōngwèi Shì)</v>
      </c>
      <c r="P14" s="15" t="str">
        <f t="shared" si="1"/>
        <v>Binhe Zhen (Zhōngwèi Shì)</v>
      </c>
    </row>
    <row r="15" spans="1:16" hidden="1" x14ac:dyDescent="0.25">
      <c r="A15" t="s">
        <v>13</v>
      </c>
      <c r="B15" t="str">
        <f>IF(COUNTIF(A:A,A15)&gt;1,_xlfn.CONCAT(A15," (",N15,")"),A15)</f>
        <v>Căomiào Xiāng</v>
      </c>
      <c r="C15" t="str">
        <f>IF(COUNTIF(B:B,B15)&gt;1,_xlfn.CONCAT(A15," (",M15,")"),B15)</f>
        <v>Căomiào Xiāng</v>
      </c>
      <c r="D15" t="s">
        <v>14</v>
      </c>
      <c r="E15" t="s">
        <v>11</v>
      </c>
      <c r="F15" t="str">
        <f>_xlfn.CONCAT(D15,", ",H15,", ",I15,", ","宁夏回族自治区")</f>
        <v>草庙乡, 彭阳县, 固原市, 宁夏回族自治区</v>
      </c>
      <c r="G15">
        <v>11253</v>
      </c>
      <c r="H15" t="s">
        <v>543</v>
      </c>
      <c r="I15" t="s">
        <v>539</v>
      </c>
      <c r="J15" t="e">
        <f>VLOOKUP(F15,[1]!china_towns_second__2[[Column1]:[Y]],3,FALSE)</f>
        <v>#N/A</v>
      </c>
      <c r="K15" t="e">
        <f>VLOOKUP(F15,[1]!china_towns_second__2[[Column1]:[Y]],2,FALSE)</f>
        <v>#N/A</v>
      </c>
      <c r="L15" t="s">
        <v>717</v>
      </c>
      <c r="M15" t="str">
        <f>VLOOKUP(H15,CHOOSE({1,2},Table6[Native],Table6[Name]),2,0)</f>
        <v>Péngyáng Xiàn</v>
      </c>
      <c r="N15" s="15" t="str">
        <f>VLOOKUP(I15,CHOOSE({1,2},Table6[Native],Table6[Name]),2,0)</f>
        <v>Gùyuán Shì</v>
      </c>
      <c r="O15" s="15" t="str">
        <f t="shared" si="0"/>
        <v>Caomiao Xiang (Gùyuán Shì)</v>
      </c>
      <c r="P15" s="15" t="str">
        <f t="shared" si="1"/>
        <v>Caomiao Xiang (Gùyuán Shì)</v>
      </c>
    </row>
    <row r="16" spans="1:16" hidden="1" x14ac:dyDescent="0.25">
      <c r="A16" t="s">
        <v>449</v>
      </c>
      <c r="B16" t="str">
        <f>IF(COUNTIF(A:A,A16)&gt;1,_xlfn.CONCAT(A16," (",N16,")"),A16)</f>
        <v>Cáowā Xiāng</v>
      </c>
      <c r="C16" t="str">
        <f>IF(COUNTIF(B:B,B16)&gt;1,_xlfn.CONCAT(A16," (",M16,")"),B16)</f>
        <v>Cáowā Xiāng</v>
      </c>
      <c r="D16" t="s">
        <v>450</v>
      </c>
      <c r="E16" t="s">
        <v>11</v>
      </c>
      <c r="F16" t="str">
        <f>_xlfn.CONCAT(D16,", ",H16,", ",I16,", ","宁夏回族自治区")</f>
        <v>曹洼乡, 海原县, 中卫市, 宁夏回族自治区</v>
      </c>
      <c r="G16">
        <v>9955</v>
      </c>
      <c r="H16" t="s">
        <v>571</v>
      </c>
      <c r="I16" t="s">
        <v>570</v>
      </c>
      <c r="J16" t="e">
        <f>VLOOKUP(F16,[1]!china_towns_second__2[[Column1]:[Y]],3,FALSE)</f>
        <v>#N/A</v>
      </c>
      <c r="K16" t="e">
        <f>VLOOKUP(F16,[1]!china_towns_second__2[[Column1]:[Y]],2,FALSE)</f>
        <v>#N/A</v>
      </c>
      <c r="L16" t="s">
        <v>718</v>
      </c>
      <c r="M16" t="str">
        <f>VLOOKUP(H16,CHOOSE({1,2},Table6[Native],Table6[Name]),2,0)</f>
        <v>Hăiyuán Xiàn</v>
      </c>
      <c r="N16" s="15" t="str">
        <f>VLOOKUP(I16,CHOOSE({1,2},Table6[Native],Table6[Name]),2,0)</f>
        <v>Zhōngwèi Shì</v>
      </c>
      <c r="O16" s="15" t="str">
        <f t="shared" si="0"/>
        <v>Caowa Xiang (Zhōngwèi Shì)</v>
      </c>
      <c r="P16" s="15" t="str">
        <f t="shared" si="1"/>
        <v>Caowa Xiang (Zhōngwèi Shì)</v>
      </c>
    </row>
    <row r="17" spans="1:16" hidden="1" x14ac:dyDescent="0.25">
      <c r="A17" t="s">
        <v>146</v>
      </c>
      <c r="B17" t="str">
        <f>IF(COUNTIF(A:A,A17)&gt;1,_xlfn.CONCAT(A17," (",N17,")"),A17)</f>
        <v>Chángchéng Jiēdào</v>
      </c>
      <c r="C17" t="str">
        <f>IF(COUNTIF(B:B,B17)&gt;1,_xlfn.CONCAT(A17," (",M17,")"),B17)</f>
        <v>Chángchéng Jiēdào</v>
      </c>
      <c r="D17" t="s">
        <v>147</v>
      </c>
      <c r="E17" t="s">
        <v>52</v>
      </c>
      <c r="F17" t="str">
        <f>_xlfn.CONCAT(D17,", ",H17,", ",I17,", ","宁夏回族自治区")</f>
        <v>长城街道, 大武口区, 石嘴山市, 宁夏回族自治区</v>
      </c>
      <c r="G17">
        <v>36932</v>
      </c>
      <c r="H17" t="s">
        <v>549</v>
      </c>
      <c r="I17" t="s">
        <v>548</v>
      </c>
      <c r="J17">
        <f>VLOOKUP(F17,[1]!china_towns_second__2[[Column1]:[Y]],3,FALSE)</f>
        <v>39.031598794673897</v>
      </c>
      <c r="K17">
        <f>VLOOKUP(F17,[1]!china_towns_second__2[[Column1]:[Y]],2,FALSE)</f>
        <v>106.363052</v>
      </c>
      <c r="L17" t="s">
        <v>719</v>
      </c>
      <c r="M17" t="str">
        <f>VLOOKUP(H17,CHOOSE({1,2},Table6[Native],Table6[Name]),2,0)</f>
        <v>Dàwŭkŏu Qū</v>
      </c>
      <c r="N17" s="15" t="str">
        <f>VLOOKUP(I17,CHOOSE({1,2},Table6[Native],Table6[Name]),2,0)</f>
        <v>Shízuĭshān Shì</v>
      </c>
      <c r="O17" s="15" t="str">
        <f t="shared" si="0"/>
        <v>Changcheng Jiedao (Shízuĭshān Shì)</v>
      </c>
      <c r="P17" s="15" t="str">
        <f t="shared" si="1"/>
        <v>Changcheng Jiedao (Shízuĭshān Shì)</v>
      </c>
    </row>
    <row r="18" spans="1:16" hidden="1" x14ac:dyDescent="0.25">
      <c r="A18" t="s">
        <v>332</v>
      </c>
      <c r="B18" t="str">
        <f>IF(COUNTIF(A:A,A18)&gt;1,_xlfn.CONCAT(A18," (",N18,")"),A18)</f>
        <v>Chángchéng Zhōnglù Jiēdào</v>
      </c>
      <c r="C18" t="str">
        <f>IF(COUNTIF(B:B,B18)&gt;1,_xlfn.CONCAT(A18," (",M18,")"),B18)</f>
        <v>Chángchéng Zhōnglù Jiēdào</v>
      </c>
      <c r="D18" t="s">
        <v>333</v>
      </c>
      <c r="E18" t="s">
        <v>52</v>
      </c>
      <c r="F18" t="str">
        <f>_xlfn.CONCAT(D18,", ",H18,", ",I18,", ","宁夏回族自治区")</f>
        <v>长城中路街道, 金凤区, 银川市, 宁夏回族自治区</v>
      </c>
      <c r="G18">
        <v>72606</v>
      </c>
      <c r="H18" t="s">
        <v>563</v>
      </c>
      <c r="I18" t="s">
        <v>561</v>
      </c>
      <c r="J18">
        <f>VLOOKUP(F18,[1]!china_towns_second__2[[Column1]:[Y]],3,FALSE)</f>
        <v>38.439117206295101</v>
      </c>
      <c r="K18">
        <f>VLOOKUP(F18,[1]!china_towns_second__2[[Column1]:[Y]],2,FALSE)</f>
        <v>106.2361334</v>
      </c>
      <c r="L18" t="s">
        <v>720</v>
      </c>
      <c r="M18" t="str">
        <f>VLOOKUP(H18,CHOOSE({1,2},Table6[Native],Table6[Name]),2,0)</f>
        <v>Jīnfèng Qū</v>
      </c>
      <c r="N18" s="15" t="str">
        <f>VLOOKUP(I18,CHOOSE({1,2},Table6[Native],Table6[Name]),2,0)</f>
        <v>Yínchuān Shì</v>
      </c>
      <c r="O18" s="15" t="str">
        <f t="shared" si="0"/>
        <v>Changcheng Zhonglu Jiedao (Yínchuān Shì)</v>
      </c>
      <c r="P18" s="15" t="str">
        <f t="shared" si="1"/>
        <v>Changcheng Zhonglu Jiedao (Yínchuān Shì)</v>
      </c>
    </row>
    <row r="19" spans="1:16" x14ac:dyDescent="0.25">
      <c r="A19" t="s">
        <v>452</v>
      </c>
      <c r="B19" t="str">
        <f>IF(COUNTIF(A:A,A19)&gt;1,_xlfn.CONCAT(A19," (",N19,")"),A19)</f>
        <v>Chánglè Zhèn</v>
      </c>
      <c r="C19" t="str">
        <f>IF(COUNTIF(B:B,B19)&gt;1,_xlfn.CONCAT(A19," (",M19,")"),B19)</f>
        <v>Chánglè Zhèn</v>
      </c>
      <c r="D19" t="s">
        <v>453</v>
      </c>
      <c r="E19" t="s">
        <v>7</v>
      </c>
      <c r="F19" t="str">
        <f>_xlfn.CONCAT(D19,", ",H19,", ",I19,", ","宁夏回族自治区")</f>
        <v>常乐镇, 沙坡头区, 中卫市, 宁夏回族自治区</v>
      </c>
      <c r="G19">
        <v>18573</v>
      </c>
      <c r="H19" t="s">
        <v>572</v>
      </c>
      <c r="I19" t="s">
        <v>570</v>
      </c>
      <c r="J19">
        <f>VLOOKUP(F19,[1]!china_towns_second__2[[Column1]:[Y]],3,FALSE)</f>
        <v>37.287896452369999</v>
      </c>
      <c r="K19">
        <f>VLOOKUP(F19,[1]!china_towns_second__2[[Column1]:[Y]],2,FALSE)</f>
        <v>105.143175</v>
      </c>
      <c r="L19" t="s">
        <v>721</v>
      </c>
      <c r="M19" t="str">
        <f>VLOOKUP(H19,CHOOSE({1,2},Table6[Native],Table6[Name]),2,0)</f>
        <v>Shāpōtóu Qū</v>
      </c>
      <c r="N19" s="15" t="str">
        <f>VLOOKUP(I19,CHOOSE({1,2},Table6[Native],Table6[Name]),2,0)</f>
        <v>Zhōngwèi Shì</v>
      </c>
      <c r="O19" s="15" t="str">
        <f t="shared" si="0"/>
        <v>Changle Zhen (Zhōngwèi Shì)</v>
      </c>
      <c r="P19" s="15" t="str">
        <f t="shared" si="1"/>
        <v>Changle Zhen (Zhōngwèi Shì)</v>
      </c>
    </row>
    <row r="20" spans="1:16" hidden="1" x14ac:dyDescent="0.25">
      <c r="A20" t="s">
        <v>454</v>
      </c>
      <c r="B20" t="str">
        <f>IF(COUNTIF(A:A,A20)&gt;1,_xlfn.CONCAT(A20," (",N20,")"),A20)</f>
        <v>Chángshāntóu Nóngchăng</v>
      </c>
      <c r="C20" t="str">
        <f>IF(COUNTIF(B:B,B20)&gt;1,_xlfn.CONCAT(A20," (",M20,")"),B20)</f>
        <v>Chángshāntóu Nóngchăng</v>
      </c>
      <c r="D20" t="s">
        <v>455</v>
      </c>
      <c r="E20" t="s">
        <v>165</v>
      </c>
      <c r="F20" t="str">
        <f>_xlfn.CONCAT(D20,", ",H20,", ",I20,", ","宁夏回族自治区")</f>
        <v>长山头农场, 中宁县, 中卫市, 宁夏回族自治区</v>
      </c>
      <c r="G20">
        <v>8732</v>
      </c>
      <c r="H20" t="s">
        <v>573</v>
      </c>
      <c r="I20" t="s">
        <v>570</v>
      </c>
      <c r="J20">
        <f>VLOOKUP(F20,[1]!china_towns_second__2[[Column1]:[Y]],3,FALSE)</f>
        <v>37.238254422095999</v>
      </c>
      <c r="K20">
        <f>VLOOKUP(F20,[1]!china_towns_second__2[[Column1]:[Y]],2,FALSE)</f>
        <v>105.7219249</v>
      </c>
      <c r="L20" t="s">
        <v>722</v>
      </c>
      <c r="M20" t="str">
        <f>VLOOKUP(H20,CHOOSE({1,2},Table6[Native],Table6[Name]),2,0)</f>
        <v>Zhōngníng Xiàn</v>
      </c>
      <c r="N20" s="15" t="str">
        <f>VLOOKUP(I20,CHOOSE({1,2},Table6[Native],Table6[Name]),2,0)</f>
        <v>Zhōngwèi Shì</v>
      </c>
      <c r="O20" s="15" t="str">
        <f t="shared" si="0"/>
        <v>Changshantou Nongchang (Zhōngwèi Shì)</v>
      </c>
      <c r="P20" s="15" t="str">
        <f t="shared" si="1"/>
        <v>Changshantou Nongchang (Zhōngwèi Shì)</v>
      </c>
    </row>
    <row r="21" spans="1:16" hidden="1" x14ac:dyDescent="0.25">
      <c r="A21" t="s">
        <v>148</v>
      </c>
      <c r="B21" t="str">
        <f>IF(COUNTIF(A:A,A21)&gt;1,_xlfn.CONCAT(A21," (",N21,")"),A21)</f>
        <v>Chángshèng Jiēdào</v>
      </c>
      <c r="C21" t="str">
        <f>IF(COUNTIF(B:B,B21)&gt;1,_xlfn.CONCAT(A21," (",M21,")"),B21)</f>
        <v>Chángshèng Jiēdào</v>
      </c>
      <c r="D21" t="s">
        <v>149</v>
      </c>
      <c r="E21" t="s">
        <v>52</v>
      </c>
      <c r="F21" t="str">
        <f>_xlfn.CONCAT(D21,", ",H21,", ",I21,", ","宁夏回族自治区")</f>
        <v>长胜街道, 大武口区, 石嘴山市, 宁夏回族自治区</v>
      </c>
      <c r="G21">
        <v>23069</v>
      </c>
      <c r="H21" t="s">
        <v>549</v>
      </c>
      <c r="I21" t="s">
        <v>548</v>
      </c>
      <c r="J21">
        <f>VLOOKUP(F21,[1]!china_towns_second__2[[Column1]:[Y]],3,FALSE)</f>
        <v>38.994367269959703</v>
      </c>
      <c r="K21">
        <f>VLOOKUP(F21,[1]!china_towns_second__2[[Column1]:[Y]],2,FALSE)</f>
        <v>106.2540219</v>
      </c>
      <c r="L21" t="s">
        <v>723</v>
      </c>
      <c r="M21" t="str">
        <f>VLOOKUP(H21,CHOOSE({1,2},Table6[Native],Table6[Name]),2,0)</f>
        <v>Dàwŭkŏu Qū</v>
      </c>
      <c r="N21" s="15" t="str">
        <f>VLOOKUP(I21,CHOOSE({1,2},Table6[Native],Table6[Name]),2,0)</f>
        <v>Shízuĭshān Shì</v>
      </c>
      <c r="O21" s="15" t="str">
        <f t="shared" si="0"/>
        <v>Changsheng Jiedao (Shízuĭshān Shì)</v>
      </c>
      <c r="P21" s="15" t="str">
        <f t="shared" si="1"/>
        <v>Changsheng Jiedao (Shízuĭshān Shì)</v>
      </c>
    </row>
    <row r="22" spans="1:16" hidden="1" x14ac:dyDescent="0.25">
      <c r="A22" t="s">
        <v>334</v>
      </c>
      <c r="B22" t="str">
        <f>IF(COUNTIF(A:A,A22)&gt;1,_xlfn.CONCAT(A22," (",N22,")"),A22)</f>
        <v>Chángxìn Xiāng</v>
      </c>
      <c r="C22" t="str">
        <f>IF(COUNTIF(B:B,B22)&gt;1,_xlfn.CONCAT(A22," (",M22,")"),B22)</f>
        <v>Chángxìn Xiāng</v>
      </c>
      <c r="D22" t="s">
        <v>335</v>
      </c>
      <c r="E22" t="s">
        <v>11</v>
      </c>
      <c r="F22" t="str">
        <f>_xlfn.CONCAT(D22,", ",H22,", ",I22,", ","宁夏回族自治区")</f>
        <v>常信乡, 贺兰县, 银川市, 宁夏回族自治区</v>
      </c>
      <c r="G22">
        <v>25095</v>
      </c>
      <c r="H22" t="s">
        <v>562</v>
      </c>
      <c r="I22" t="s">
        <v>561</v>
      </c>
      <c r="J22" t="e">
        <f>VLOOKUP(F22,[1]!china_towns_second__2[[Column1]:[Y]],3,FALSE)</f>
        <v>#N/A</v>
      </c>
      <c r="K22" t="e">
        <f>VLOOKUP(F22,[1]!china_towns_second__2[[Column1]:[Y]],2,FALSE)</f>
        <v>#N/A</v>
      </c>
      <c r="L22" t="s">
        <v>724</v>
      </c>
      <c r="M22" t="str">
        <f>VLOOKUP(H22,CHOOSE({1,2},Table6[Native],Table6[Name]),2,0)</f>
        <v>Hèlán Xiàn</v>
      </c>
      <c r="N22" s="15" t="str">
        <f>VLOOKUP(I22,CHOOSE({1,2},Table6[Native],Table6[Name]),2,0)</f>
        <v>Yínchuān Shì</v>
      </c>
      <c r="O22" s="15" t="str">
        <f t="shared" si="0"/>
        <v>Changxin Xiang (Yínchuān Shì)</v>
      </c>
      <c r="P22" s="15" t="str">
        <f t="shared" si="1"/>
        <v>Changxin Xiang (Yínchuān Shì)</v>
      </c>
    </row>
    <row r="23" spans="1:16" hidden="1" x14ac:dyDescent="0.25">
      <c r="A23" t="s">
        <v>150</v>
      </c>
      <c r="B23" t="str">
        <f>IF(COUNTIF(A:A,A23)&gt;1,_xlfn.CONCAT(A23," (",N23,")"),A23)</f>
        <v>Chángxīng Jiēdào</v>
      </c>
      <c r="C23" t="str">
        <f>IF(COUNTIF(B:B,B23)&gt;1,_xlfn.CONCAT(A23," (",M23,")"),B23)</f>
        <v>Chángxīng Jiēdào</v>
      </c>
      <c r="D23" t="s">
        <v>151</v>
      </c>
      <c r="E23" t="s">
        <v>52</v>
      </c>
      <c r="F23" t="str">
        <f>_xlfn.CONCAT(D23,", ",H23,", ",I23,", ","宁夏回族自治区")</f>
        <v>长兴街道, 大武口区, 石嘴山市, 宁夏回族自治区</v>
      </c>
      <c r="G23">
        <v>10273</v>
      </c>
      <c r="H23" t="s">
        <v>549</v>
      </c>
      <c r="I23" t="s">
        <v>548</v>
      </c>
      <c r="J23">
        <f>VLOOKUP(F23,[1]!china_towns_second__2[[Column1]:[Y]],3,FALSE)</f>
        <v>39.041168550900501</v>
      </c>
      <c r="K23">
        <f>VLOOKUP(F23,[1]!china_towns_second__2[[Column1]:[Y]],2,FALSE)</f>
        <v>106.3997131</v>
      </c>
      <c r="L23" t="s">
        <v>725</v>
      </c>
      <c r="M23" t="str">
        <f>VLOOKUP(H23,CHOOSE({1,2},Table6[Native],Table6[Name]),2,0)</f>
        <v>Dàwŭkŏu Qū</v>
      </c>
      <c r="N23" s="15" t="str">
        <f>VLOOKUP(I23,CHOOSE({1,2},Table6[Native],Table6[Name]),2,0)</f>
        <v>Shízuĭshān Shì</v>
      </c>
      <c r="O23" s="15" t="str">
        <f t="shared" si="0"/>
        <v>Changxing Jiedao (Shízuĭshān Shì)</v>
      </c>
      <c r="P23" s="15" t="str">
        <f t="shared" si="1"/>
        <v>Changxing Jiedao (Shízuĭshān Shì)</v>
      </c>
    </row>
    <row r="24" spans="1:16" hidden="1" x14ac:dyDescent="0.25">
      <c r="A24" t="s">
        <v>152</v>
      </c>
      <c r="B24" t="str">
        <f>IF(COUNTIF(A:A,A24)&gt;1,_xlfn.CONCAT(A24," (",N24,")"),A24)</f>
        <v>Cháoyáng Jiēdào</v>
      </c>
      <c r="C24" t="str">
        <f>IF(COUNTIF(B:B,B24)&gt;1,_xlfn.CONCAT(A24," (",M24,")"),B24)</f>
        <v>Cháoyáng Jiēdào</v>
      </c>
      <c r="D24" t="s">
        <v>153</v>
      </c>
      <c r="E24" t="s">
        <v>52</v>
      </c>
      <c r="F24" t="str">
        <f>_xlfn.CONCAT(D24,", ",H24,", ",I24,", ","宁夏回族自治区")</f>
        <v>朝阳街道, 大武口区, 石嘴山市, 宁夏回族自治区</v>
      </c>
      <c r="G24">
        <v>49490</v>
      </c>
      <c r="H24" t="s">
        <v>549</v>
      </c>
      <c r="I24" t="s">
        <v>548</v>
      </c>
      <c r="J24">
        <f>VLOOKUP(F24,[1]!china_towns_second__2[[Column1]:[Y]],3,FALSE)</f>
        <v>38.989891420099802</v>
      </c>
      <c r="K24">
        <f>VLOOKUP(F24,[1]!china_towns_second__2[[Column1]:[Y]],2,FALSE)</f>
        <v>106.3808725</v>
      </c>
      <c r="L24" t="s">
        <v>726</v>
      </c>
      <c r="M24" t="str">
        <f>VLOOKUP(H24,CHOOSE({1,2},Table6[Native],Table6[Name]),2,0)</f>
        <v>Dàwŭkŏu Qū</v>
      </c>
      <c r="N24" s="15" t="str">
        <f>VLOOKUP(I24,CHOOSE({1,2},Table6[Native],Table6[Name]),2,0)</f>
        <v>Shízuĭshān Shì</v>
      </c>
      <c r="O24" s="15" t="str">
        <f t="shared" si="0"/>
        <v>Chaoyang Jiedao (Shízuĭshān Shì)</v>
      </c>
      <c r="P24" s="15" t="str">
        <f t="shared" si="1"/>
        <v>Chaoyang Jiedao (Shízuĭshān Shì)</v>
      </c>
    </row>
    <row r="25" spans="1:16" x14ac:dyDescent="0.25">
      <c r="A25" t="s">
        <v>154</v>
      </c>
      <c r="B25" t="str">
        <f>IF(COUNTIF(A:A,A25)&gt;1,_xlfn.CONCAT(A25," (",N25,")"),A25)</f>
        <v>Chéngguān Zhèn</v>
      </c>
      <c r="C25" t="str">
        <f>IF(COUNTIF(B:B,B25)&gt;1,_xlfn.CONCAT(A25," (",M25,")"),B25)</f>
        <v>Chéngguān Zhèn</v>
      </c>
      <c r="D25" t="s">
        <v>16</v>
      </c>
      <c r="E25" t="s">
        <v>7</v>
      </c>
      <c r="F25" t="str">
        <f>_xlfn.CONCAT(D25,", ",H25,", ",I25,", ","宁夏回族自治区")</f>
        <v>城关镇, 平罗县, 石嘴山市, 宁夏回族自治区</v>
      </c>
      <c r="G25">
        <v>91912</v>
      </c>
      <c r="H25" t="s">
        <v>551</v>
      </c>
      <c r="I25" t="s">
        <v>548</v>
      </c>
      <c r="J25">
        <f>VLOOKUP(F25,[1]!china_towns_second__2[[Column1]:[Y]],3,FALSE)</f>
        <v>38.8981295858013</v>
      </c>
      <c r="K25">
        <f>VLOOKUP(F25,[1]!china_towns_second__2[[Column1]:[Y]],2,FALSE)</f>
        <v>106.4905066</v>
      </c>
      <c r="L25" t="s">
        <v>727</v>
      </c>
      <c r="M25" t="str">
        <f>VLOOKUP(H25,CHOOSE({1,2},Table6[Native],Table6[Name]),2,0)</f>
        <v>Píngluó Xiàn</v>
      </c>
      <c r="N25" s="15" t="str">
        <f>VLOOKUP(I25,CHOOSE({1,2},Table6[Native],Table6[Name]),2,0)</f>
        <v>Shízuĭshān Shì</v>
      </c>
      <c r="O25" s="15" t="str">
        <f t="shared" si="0"/>
        <v>Chengguan Zhen (Shízuĭshān Shì)</v>
      </c>
      <c r="P25" s="15" t="str">
        <f t="shared" si="1"/>
        <v>Chengguan Zhen (Shízuĭshān Shì)</v>
      </c>
    </row>
    <row r="26" spans="1:16" x14ac:dyDescent="0.25">
      <c r="A26" t="s">
        <v>15</v>
      </c>
      <c r="B26" t="str">
        <f>IF(COUNTIF(A:A,A26)&gt;1,_xlfn.CONCAT(A26," (",N26,")"),A26)</f>
        <v>Chéngguān Zhèn [incl. Liùpánshān Jiēdào]</v>
      </c>
      <c r="C26" t="str">
        <f>IF(COUNTIF(B:B,B26)&gt;1,_xlfn.CONCAT(A26," (",M26,")"),B26)</f>
        <v>Chéngguān Zhèn [incl. Liùpánshān Jiēdào]</v>
      </c>
      <c r="D26" t="s">
        <v>16</v>
      </c>
      <c r="E26" t="s">
        <v>7</v>
      </c>
      <c r="F26" t="str">
        <f>_xlfn.CONCAT(D26,", ",H26,", ",I26,", ","宁夏回族自治区")</f>
        <v>城关镇, 隆德县, 固原市, 宁夏回族自治区</v>
      </c>
      <c r="G26">
        <v>39117</v>
      </c>
      <c r="H26" t="s">
        <v>542</v>
      </c>
      <c r="I26" t="s">
        <v>539</v>
      </c>
      <c r="J26">
        <f>VLOOKUP(F26,[1]!china_towns_second__2[[Column1]:[Y]],3,FALSE)</f>
        <v>35.619714356185703</v>
      </c>
      <c r="K26">
        <f>VLOOKUP(F26,[1]!china_towns_second__2[[Column1]:[Y]],2,FALSE)</f>
        <v>106.12343319999999</v>
      </c>
      <c r="L26" t="s">
        <v>728</v>
      </c>
      <c r="M26" t="str">
        <f>VLOOKUP(H26,CHOOSE({1,2},Table6[Native],Table6[Name]),2,0)</f>
        <v>Lóngdé Xiàn</v>
      </c>
      <c r="N26" s="15" t="str">
        <f>VLOOKUP(I26,CHOOSE({1,2},Table6[Native],Table6[Name]),2,0)</f>
        <v>Gùyuán Shì</v>
      </c>
      <c r="O26" s="15" t="str">
        <f t="shared" si="0"/>
        <v>Chengguan Zhen [incl. Liupanshan Jiedao] (Gùyuán Shì)</v>
      </c>
      <c r="P26" s="15" t="str">
        <f t="shared" si="1"/>
        <v>Chengguan Zhen [incl. Liupanshan Jiedao] (Gùyuán Shì)</v>
      </c>
    </row>
    <row r="27" spans="1:16" hidden="1" x14ac:dyDescent="0.25">
      <c r="A27" t="s">
        <v>337</v>
      </c>
      <c r="B27" t="str">
        <f>IF(COUNTIF(A:A,A27)&gt;1,_xlfn.CONCAT(A27," (",N27,")"),A27)</f>
        <v>Chéngqū Jiēdào</v>
      </c>
      <c r="C27" t="str">
        <f>IF(COUNTIF(B:B,B27)&gt;1,_xlfn.CONCAT(A27," (",M27,")"),B27)</f>
        <v>Chéngqū Jiēdào</v>
      </c>
      <c r="D27" t="s">
        <v>338</v>
      </c>
      <c r="E27" t="s">
        <v>52</v>
      </c>
      <c r="F27" t="str">
        <f>_xlfn.CONCAT(D27,", ",H27,", ",I27,", ","宁夏回族自治区")</f>
        <v>城区街道, 灵武市, 银川市, 宁夏回族自治区</v>
      </c>
      <c r="G27">
        <v>52863</v>
      </c>
      <c r="H27" t="s">
        <v>565</v>
      </c>
      <c r="I27" t="s">
        <v>561</v>
      </c>
      <c r="J27">
        <f>VLOOKUP(F27,[1]!china_towns_second__2[[Column1]:[Y]],3,FALSE)</f>
        <v>38.100099089981804</v>
      </c>
      <c r="K27">
        <f>VLOOKUP(F27,[1]!china_towns_second__2[[Column1]:[Y]],2,FALSE)</f>
        <v>106.32619010000001</v>
      </c>
      <c r="L27" t="s">
        <v>729</v>
      </c>
      <c r="M27" t="str">
        <f>VLOOKUP(H27,CHOOSE({1,2},Table6[Native],Table6[Name]),2,0)</f>
        <v>Língwŭ Shì</v>
      </c>
      <c r="N27" s="15" t="str">
        <f>VLOOKUP(I27,CHOOSE({1,2},Table6[Native],Table6[Name]),2,0)</f>
        <v>Yínchuān Shì</v>
      </c>
      <c r="O27" s="15" t="str">
        <f t="shared" si="0"/>
        <v>Chengqu Jiedao (Yínchuān Shì)</v>
      </c>
      <c r="P27" s="15" t="str">
        <f t="shared" si="1"/>
        <v>Chengqu Jiedao (Yínchuān Shì)</v>
      </c>
    </row>
    <row r="28" spans="1:16" hidden="1" x14ac:dyDescent="0.25">
      <c r="A28" t="s">
        <v>18</v>
      </c>
      <c r="B28" t="str">
        <f>IF(COUNTIF(A:A,A28)&gt;1,_xlfn.CONCAT(A28," (",N28,")"),A28)</f>
        <v>Chéngyáng Xiāng</v>
      </c>
      <c r="C28" t="str">
        <f>IF(COUNTIF(B:B,B28)&gt;1,_xlfn.CONCAT(A28," (",M28,")"),B28)</f>
        <v>Chéngyáng Xiāng</v>
      </c>
      <c r="D28" t="s">
        <v>19</v>
      </c>
      <c r="E28" t="s">
        <v>11</v>
      </c>
      <c r="F28" t="str">
        <f>_xlfn.CONCAT(D28,", ",H28,", ",I28,", ","宁夏回族自治区")</f>
        <v>城阳乡, 彭阳县, 固原市, 宁夏回族自治区</v>
      </c>
      <c r="G28">
        <v>15352</v>
      </c>
      <c r="H28" t="s">
        <v>543</v>
      </c>
      <c r="I28" t="s">
        <v>539</v>
      </c>
      <c r="J28" t="e">
        <f>VLOOKUP(F28,[1]!china_towns_second__2[[Column1]:[Y]],3,FALSE)</f>
        <v>#N/A</v>
      </c>
      <c r="K28" t="e">
        <f>VLOOKUP(F28,[1]!china_towns_second__2[[Column1]:[Y]],2,FALSE)</f>
        <v>#N/A</v>
      </c>
      <c r="L28" t="s">
        <v>730</v>
      </c>
      <c r="M28" t="str">
        <f>VLOOKUP(H28,CHOOSE({1,2},Table6[Native],Table6[Name]),2,0)</f>
        <v>Péngyáng Xiàn</v>
      </c>
      <c r="N28" s="15" t="str">
        <f>VLOOKUP(I28,CHOOSE({1,2},Table6[Native],Table6[Name]),2,0)</f>
        <v>Gùyuán Shì</v>
      </c>
      <c r="O28" s="15" t="str">
        <f t="shared" si="0"/>
        <v>Chengyang Xiang (Gùyuán Shì)</v>
      </c>
      <c r="P28" s="15" t="str">
        <f t="shared" si="1"/>
        <v>Chengyang Xiang (Gùyuán Shì)</v>
      </c>
    </row>
    <row r="29" spans="1:16" hidden="1" x14ac:dyDescent="0.25">
      <c r="A29" t="s">
        <v>20</v>
      </c>
      <c r="B29" t="str">
        <f>IF(COUNTIF(A:A,A29)&gt;1,_xlfn.CONCAT(A29," (",N29,")"),A29)</f>
        <v>Chénjìn Xiāng</v>
      </c>
      <c r="C29" t="str">
        <f>IF(COUNTIF(B:B,B29)&gt;1,_xlfn.CONCAT(A29," (",M29,")"),B29)</f>
        <v>Chénjìn Xiāng</v>
      </c>
      <c r="D29" t="s">
        <v>21</v>
      </c>
      <c r="E29" t="s">
        <v>11</v>
      </c>
      <c r="F29" t="str">
        <f>_xlfn.CONCAT(D29,", ",H29,", ",I29,", ","宁夏回族自治区")</f>
        <v>陈靳乡, 隆德县, 固原市, 宁夏回族自治区</v>
      </c>
      <c r="G29">
        <v>5634</v>
      </c>
      <c r="H29" t="s">
        <v>542</v>
      </c>
      <c r="I29" t="s">
        <v>539</v>
      </c>
      <c r="J29" t="e">
        <f>VLOOKUP(F29,[1]!china_towns_second__2[[Column1]:[Y]],3,FALSE)</f>
        <v>#N/A</v>
      </c>
      <c r="K29" t="e">
        <f>VLOOKUP(F29,[1]!china_towns_second__2[[Column1]:[Y]],2,FALSE)</f>
        <v>#N/A</v>
      </c>
      <c r="L29" t="s">
        <v>731</v>
      </c>
      <c r="M29" t="str">
        <f>VLOOKUP(H29,CHOOSE({1,2},Table6[Native],Table6[Name]),2,0)</f>
        <v>Lóngdé Xiàn</v>
      </c>
      <c r="N29" s="15" t="str">
        <f>VLOOKUP(I29,CHOOSE({1,2},Table6[Native],Table6[Name]),2,0)</f>
        <v>Gùyuán Shì</v>
      </c>
      <c r="O29" s="15" t="str">
        <f t="shared" si="0"/>
        <v>Chenjin Xiang (Gùyuán Shì)</v>
      </c>
      <c r="P29" s="15" t="str">
        <f t="shared" si="1"/>
        <v>Chenjin Xiang (Gùyuán Shì)</v>
      </c>
    </row>
    <row r="30" spans="1:16" x14ac:dyDescent="0.25">
      <c r="A30" t="s">
        <v>227</v>
      </c>
      <c r="B30" t="str">
        <f>IF(COUNTIF(A:A,A30)&gt;1,_xlfn.CONCAT(A30," (",N30,")"),A30)</f>
        <v>Chényuántān Zhèn</v>
      </c>
      <c r="C30" t="str">
        <f>IF(COUNTIF(B:B,B30)&gt;1,_xlfn.CONCAT(A30," (",M30,")"),B30)</f>
        <v>Chényuántān Zhèn</v>
      </c>
      <c r="D30" t="s">
        <v>228</v>
      </c>
      <c r="E30" t="s">
        <v>7</v>
      </c>
      <c r="F30" t="str">
        <f>_xlfn.CONCAT(D30,", ",H30,", ",I30,", ","宁夏回族自治区")</f>
        <v>陈袁滩镇, 青铜峡市, 吴忠市, 宁夏回族自治区</v>
      </c>
      <c r="G30">
        <v>16380</v>
      </c>
      <c r="H30" t="s">
        <v>557</v>
      </c>
      <c r="I30" t="s">
        <v>553</v>
      </c>
      <c r="J30">
        <f>VLOOKUP(F30,[1]!china_towns_second__2[[Column1]:[Y]],3,FALSE)</f>
        <v>38.034656806482303</v>
      </c>
      <c r="K30">
        <f>VLOOKUP(F30,[1]!china_towns_second__2[[Column1]:[Y]],2,FALSE)</f>
        <v>106.1476201</v>
      </c>
      <c r="L30" t="s">
        <v>732</v>
      </c>
      <c r="M30" t="str">
        <f>VLOOKUP(H30,CHOOSE({1,2},Table6[Native],Table6[Name]),2,0)</f>
        <v>Qīngtóngxiá Shì</v>
      </c>
      <c r="N30" s="15" t="str">
        <f>VLOOKUP(I30,CHOOSE({1,2},Table6[Native],Table6[Name]),2,0)</f>
        <v>Wúzhōng Shì</v>
      </c>
      <c r="O30" s="15" t="str">
        <f t="shared" si="0"/>
        <v>Chenyuantan Zhen (Wúzhōng Shì)</v>
      </c>
      <c r="P30" s="15" t="str">
        <f t="shared" si="1"/>
        <v>Chenyuantan Zhen (Wúzhōng Shì)</v>
      </c>
    </row>
    <row r="31" spans="1:16" x14ac:dyDescent="0.25">
      <c r="A31" t="s">
        <v>155</v>
      </c>
      <c r="B31" t="str">
        <f>IF(COUNTIF(A:A,A31)&gt;1,_xlfn.CONCAT(A31," (",N31,")"),A31)</f>
        <v>Chónggăng Zhèn</v>
      </c>
      <c r="C31" t="str">
        <f>IF(COUNTIF(B:B,B31)&gt;1,_xlfn.CONCAT(A31," (",M31,")"),B31)</f>
        <v>Chónggăng Zhèn</v>
      </c>
      <c r="D31" t="s">
        <v>156</v>
      </c>
      <c r="E31" t="s">
        <v>7</v>
      </c>
      <c r="F31" t="str">
        <f>_xlfn.CONCAT(D31,", ",H31,", ",I31,", ","宁夏回族自治区")</f>
        <v>崇岗镇, 平罗县, 石嘴山市, 宁夏回族自治区</v>
      </c>
      <c r="G31">
        <v>17540</v>
      </c>
      <c r="H31" t="s">
        <v>551</v>
      </c>
      <c r="I31" t="s">
        <v>548</v>
      </c>
      <c r="J31">
        <f>VLOOKUP(F31,[1]!china_towns_second__2[[Column1]:[Y]],3,FALSE)</f>
        <v>38.908935363090897</v>
      </c>
      <c r="K31">
        <f>VLOOKUP(F31,[1]!china_towns_second__2[[Column1]:[Y]],2,FALSE)</f>
        <v>106.1425127</v>
      </c>
      <c r="L31" t="s">
        <v>733</v>
      </c>
      <c r="M31" t="str">
        <f>VLOOKUP(H31,CHOOSE({1,2},Table6[Native],Table6[Name]),2,0)</f>
        <v>Píngluó Xiàn</v>
      </c>
      <c r="N31" s="15" t="str">
        <f>VLOOKUP(I31,CHOOSE({1,2},Table6[Native],Table6[Name]),2,0)</f>
        <v>Shízuĭshān Shì</v>
      </c>
      <c r="O31" s="15" t="str">
        <f t="shared" si="0"/>
        <v>Chonggang Zhen (Shízuĭshān Shì)</v>
      </c>
      <c r="P31" s="15" t="str">
        <f t="shared" si="1"/>
        <v>Chonggang Zhen (Shízuĭshān Shì)</v>
      </c>
    </row>
    <row r="32" spans="1:16" x14ac:dyDescent="0.25">
      <c r="A32" t="s">
        <v>339</v>
      </c>
      <c r="B32" t="str">
        <f>IF(COUNTIF(A:A,A32)&gt;1,_xlfn.CONCAT(A32," (",N32,")"),A32)</f>
        <v>Chóngxīng Zhèn</v>
      </c>
      <c r="C32" t="str">
        <f>IF(COUNTIF(B:B,B32)&gt;1,_xlfn.CONCAT(A32," (",M32,")"),B32)</f>
        <v>Chóngxīng Zhèn</v>
      </c>
      <c r="D32" t="s">
        <v>340</v>
      </c>
      <c r="E32" t="s">
        <v>7</v>
      </c>
      <c r="F32" t="str">
        <f>_xlfn.CONCAT(D32,", ",H32,", ",I32,", ","宁夏回族自治区")</f>
        <v>崇兴镇, 灵武市, 银川市, 宁夏回族自治区</v>
      </c>
      <c r="G32">
        <v>41212</v>
      </c>
      <c r="H32" t="s">
        <v>565</v>
      </c>
      <c r="I32" t="s">
        <v>561</v>
      </c>
      <c r="J32">
        <f>VLOOKUP(F32,[1]!china_towns_second__2[[Column1]:[Y]],3,FALSE)</f>
        <v>38.033012737264301</v>
      </c>
      <c r="K32">
        <f>VLOOKUP(F32,[1]!china_towns_second__2[[Column1]:[Y]],2,FALSE)</f>
        <v>106.355453</v>
      </c>
      <c r="L32" t="s">
        <v>734</v>
      </c>
      <c r="M32" t="str">
        <f>VLOOKUP(H32,CHOOSE({1,2},Table6[Native],Table6[Name]),2,0)</f>
        <v>Língwŭ Shì</v>
      </c>
      <c r="N32" s="15" t="str">
        <f>VLOOKUP(I32,CHOOSE({1,2},Table6[Native],Table6[Name]),2,0)</f>
        <v>Yínchuān Shì</v>
      </c>
      <c r="O32" s="15" t="str">
        <f t="shared" si="0"/>
        <v>Chongxing Zhen (Yínchuān Shì)</v>
      </c>
      <c r="P32" s="15" t="str">
        <f t="shared" si="1"/>
        <v>Chongxing Zhen (Yínchuān Shì)</v>
      </c>
    </row>
    <row r="33" spans="1:16" x14ac:dyDescent="0.25">
      <c r="A33" t="s">
        <v>230</v>
      </c>
      <c r="B33" t="str">
        <f>IF(COUNTIF(A:A,A33)&gt;1,_xlfn.CONCAT(A33," (",N33,")"),A33)</f>
        <v>Dàbà Zhèn</v>
      </c>
      <c r="C33" t="str">
        <f>IF(COUNTIF(B:B,B33)&gt;1,_xlfn.CONCAT(A33," (",M33,")"),B33)</f>
        <v>Dàbà Zhèn</v>
      </c>
      <c r="D33" t="s">
        <v>231</v>
      </c>
      <c r="E33" t="s">
        <v>7</v>
      </c>
      <c r="F33" t="str">
        <f>_xlfn.CONCAT(D33,", ",H33,", ",I33,", ","宁夏回族自治区")</f>
        <v>大坝镇, 青铜峡市, 吴忠市, 宁夏回族自治区</v>
      </c>
      <c r="G33">
        <v>29426</v>
      </c>
      <c r="H33" t="s">
        <v>557</v>
      </c>
      <c r="I33" t="s">
        <v>553</v>
      </c>
      <c r="J33">
        <f>VLOOKUP(F33,[1]!china_towns_second__2[[Column1]:[Y]],3,FALSE)</f>
        <v>37.968389339287398</v>
      </c>
      <c r="K33">
        <f>VLOOKUP(F33,[1]!china_towns_second__2[[Column1]:[Y]],2,FALSE)</f>
        <v>105.9557719</v>
      </c>
      <c r="L33" t="s">
        <v>735</v>
      </c>
      <c r="M33" t="str">
        <f>VLOOKUP(H33,CHOOSE({1,2},Table6[Native],Table6[Name]),2,0)</f>
        <v>Qīngtóngxiá Shì</v>
      </c>
      <c r="N33" s="15" t="str">
        <f>VLOOKUP(I33,CHOOSE({1,2},Table6[Native],Table6[Name]),2,0)</f>
        <v>Wúzhōng Shì</v>
      </c>
      <c r="O33" s="15" t="str">
        <f t="shared" si="0"/>
        <v>Daba Zhen (Wúzhōng Shì)</v>
      </c>
      <c r="P33" s="15" t="str">
        <f t="shared" si="1"/>
        <v>Daba Zhen (Wúzhōng Shì)</v>
      </c>
    </row>
    <row r="34" spans="1:16" hidden="1" x14ac:dyDescent="0.25">
      <c r="A34" t="s">
        <v>232</v>
      </c>
      <c r="B34" t="str">
        <f>IF(COUNTIF(A:A,A34)&gt;1,_xlfn.CONCAT(A34," (",N34,")"),A34)</f>
        <v>Dàhé Xiāng</v>
      </c>
      <c r="C34" t="str">
        <f>IF(COUNTIF(B:B,B34)&gt;1,_xlfn.CONCAT(A34," (",M34,")"),B34)</f>
        <v>Dàhé Xiāng</v>
      </c>
      <c r="D34" t="s">
        <v>233</v>
      </c>
      <c r="E34" t="s">
        <v>11</v>
      </c>
      <c r="F34" t="str">
        <f>_xlfn.CONCAT(D34,", ",H34,", ",I34,", ","宁夏回族自治区")</f>
        <v>大河乡, 红寺堡区, 吴忠市, 宁夏回族自治区</v>
      </c>
      <c r="G34">
        <v>25213</v>
      </c>
      <c r="H34" t="s">
        <v>554</v>
      </c>
      <c r="I34" t="s">
        <v>553</v>
      </c>
      <c r="J34" t="e">
        <f>VLOOKUP(F34,[1]!china_towns_second__2[[Column1]:[Y]],3,FALSE)</f>
        <v>#N/A</v>
      </c>
      <c r="K34" t="e">
        <f>VLOOKUP(F34,[1]!china_towns_second__2[[Column1]:[Y]],2,FALSE)</f>
        <v>#N/A</v>
      </c>
      <c r="L34" t="s">
        <v>736</v>
      </c>
      <c r="M34" t="str">
        <f>VLOOKUP(H34,CHOOSE({1,2},Table6[Native],Table6[Name]),2,0)</f>
        <v>Hóngsìpǔ Qū</v>
      </c>
      <c r="N34" s="15" t="str">
        <f>VLOOKUP(I34,CHOOSE({1,2},Table6[Native],Table6[Name]),2,0)</f>
        <v>Wúzhōng Shì</v>
      </c>
      <c r="O34" s="15" t="str">
        <f t="shared" si="0"/>
        <v>Dahe Xiang (Wúzhōng Shì)</v>
      </c>
      <c r="P34" s="15" t="str">
        <f t="shared" si="1"/>
        <v>Dahe Xiang (Wúzhōng Shì)</v>
      </c>
    </row>
    <row r="35" spans="1:16" x14ac:dyDescent="0.25">
      <c r="A35" t="s">
        <v>235</v>
      </c>
      <c r="B35" t="str">
        <f>IF(COUNTIF(A:A,A35)&gt;1,_xlfn.CONCAT(A35," (",N35,")"),A35)</f>
        <v>Dàshuĭkēng Zhèn</v>
      </c>
      <c r="C35" t="str">
        <f>IF(COUNTIF(B:B,B35)&gt;1,_xlfn.CONCAT(A35," (",M35,")"),B35)</f>
        <v>Dàshuĭkēng Zhèn</v>
      </c>
      <c r="D35" t="s">
        <v>236</v>
      </c>
      <c r="E35" t="s">
        <v>7</v>
      </c>
      <c r="F35" t="str">
        <f>_xlfn.CONCAT(D35,", ",H35,", ",I35,", ","宁夏回族自治区")</f>
        <v>大水坑镇, 盐池县, 吴忠市, 宁夏回族自治区</v>
      </c>
      <c r="G35">
        <v>21114</v>
      </c>
      <c r="H35" t="s">
        <v>559</v>
      </c>
      <c r="I35" t="s">
        <v>553</v>
      </c>
      <c r="J35">
        <f>VLOOKUP(F35,[1]!china_towns_second__2[[Column1]:[Y]],3,FALSE)</f>
        <v>37.385928992861601</v>
      </c>
      <c r="K35">
        <f>VLOOKUP(F35,[1]!china_towns_second__2[[Column1]:[Y]],2,FALSE)</f>
        <v>107.0532666</v>
      </c>
      <c r="L35" t="s">
        <v>737</v>
      </c>
      <c r="M35" t="str">
        <f>VLOOKUP(H35,CHOOSE({1,2},Table6[Native],Table6[Name]),2,0)</f>
        <v>Yánchí Xiàn</v>
      </c>
      <c r="N35" s="15" t="str">
        <f>VLOOKUP(I35,CHOOSE({1,2},Table6[Native],Table6[Name]),2,0)</f>
        <v>Wúzhōng Shì</v>
      </c>
      <c r="O35" s="15" t="str">
        <f t="shared" si="0"/>
        <v>Dashuikeng Zhen (Wúzhōng Shì)</v>
      </c>
      <c r="P35" s="15" t="str">
        <f t="shared" si="1"/>
        <v>Dashuikeng Zhen (Wúzhōng Shì)</v>
      </c>
    </row>
    <row r="36" spans="1:16" hidden="1" x14ac:dyDescent="0.25">
      <c r="A36" t="s">
        <v>22</v>
      </c>
      <c r="B36" t="str">
        <f>IF(COUNTIF(A:A,A36)&gt;1,_xlfn.CONCAT(A36," (",N36,")"),A36)</f>
        <v>Dàwān Xiāng</v>
      </c>
      <c r="C36" t="str">
        <f>IF(COUNTIF(B:B,B36)&gt;1,_xlfn.CONCAT(A36," (",M36,")"),B36)</f>
        <v>Dàwān Xiāng</v>
      </c>
      <c r="D36" t="s">
        <v>23</v>
      </c>
      <c r="E36" t="s">
        <v>11</v>
      </c>
      <c r="F36" t="str">
        <f>_xlfn.CONCAT(D36,", ",H36,", ",I36,", ","宁夏回族自治区")</f>
        <v>大湾乡, 泾源县, 固原市, 宁夏回族自治区</v>
      </c>
      <c r="G36">
        <v>10201</v>
      </c>
      <c r="H36" t="s">
        <v>541</v>
      </c>
      <c r="I36" t="s">
        <v>539</v>
      </c>
      <c r="J36" t="e">
        <f>VLOOKUP(F36,[1]!china_towns_second__2[[Column1]:[Y]],3,FALSE)</f>
        <v>#N/A</v>
      </c>
      <c r="K36" t="e">
        <f>VLOOKUP(F36,[1]!china_towns_second__2[[Column1]:[Y]],2,FALSE)</f>
        <v>#N/A</v>
      </c>
      <c r="L36" t="s">
        <v>738</v>
      </c>
      <c r="M36" t="str">
        <f>VLOOKUP(H36,CHOOSE({1,2},Table6[Native],Table6[Name]),2,0)</f>
        <v>Jīngyuán Xiàn</v>
      </c>
      <c r="N36" s="15" t="str">
        <f>VLOOKUP(I36,CHOOSE({1,2},Table6[Native],Table6[Name]),2,0)</f>
        <v>Gùyuán Shì</v>
      </c>
      <c r="O36" s="15" t="str">
        <f t="shared" si="0"/>
        <v>Dawan Xiang (Gùyuán Shì)</v>
      </c>
      <c r="P36" s="15" t="str">
        <f t="shared" si="1"/>
        <v>Dawan Xiang (Gùyuán Shì)</v>
      </c>
    </row>
    <row r="37" spans="1:16" x14ac:dyDescent="0.25">
      <c r="A37" t="s">
        <v>341</v>
      </c>
      <c r="B37" t="str">
        <f>IF(COUNTIF(A:A,A37)&gt;1,_xlfn.CONCAT(A37," (",N37,")"),A37)</f>
        <v>Dàxīn Zhèn</v>
      </c>
      <c r="C37" t="str">
        <f>IF(COUNTIF(B:B,B37)&gt;1,_xlfn.CONCAT(A37," (",M37,")"),B37)</f>
        <v>Dàxīn Zhèn</v>
      </c>
      <c r="D37" t="s">
        <v>342</v>
      </c>
      <c r="E37" t="s">
        <v>7</v>
      </c>
      <c r="F37" t="str">
        <f>_xlfn.CONCAT(D37,", ",H37,", ",I37,", ","宁夏回族自治区")</f>
        <v>大新镇, 兴庆区, 银川市, 宁夏回族自治区</v>
      </c>
      <c r="G37">
        <v>76536</v>
      </c>
      <c r="H37" t="s">
        <v>566</v>
      </c>
      <c r="I37" t="s">
        <v>561</v>
      </c>
      <c r="J37">
        <f>VLOOKUP(F37,[1]!china_towns_second__2[[Column1]:[Y]],3,FALSE)</f>
        <v>38.4577762881407</v>
      </c>
      <c r="K37">
        <f>VLOOKUP(F37,[1]!china_towns_second__2[[Column1]:[Y]],2,FALSE)</f>
        <v>106.319934</v>
      </c>
      <c r="L37" t="s">
        <v>739</v>
      </c>
      <c r="M37" t="str">
        <f>VLOOKUP(H37,CHOOSE({1,2},Table6[Native],Table6[Name]),2,0)</f>
        <v>Xīngqìng Qū</v>
      </c>
      <c r="N37" s="15" t="str">
        <f>VLOOKUP(I37,CHOOSE({1,2},Table6[Native],Table6[Name]),2,0)</f>
        <v>Yínchuān Shì</v>
      </c>
      <c r="O37" s="15" t="str">
        <f t="shared" si="0"/>
        <v>Daxin Zhen (Yínchuān Shì)</v>
      </c>
      <c r="P37" s="15" t="str">
        <f t="shared" si="1"/>
        <v>Daxin Zhen (Yínchuān Shì)</v>
      </c>
    </row>
    <row r="38" spans="1:16" x14ac:dyDescent="0.25">
      <c r="A38" t="s">
        <v>456</v>
      </c>
      <c r="B38" t="str">
        <f>IF(COUNTIF(A:A,A38)&gt;1,_xlfn.CONCAT(A38," (",N38,")"),A38)</f>
        <v>Dàzhànchăng Zhèn</v>
      </c>
      <c r="C38" t="str">
        <f>IF(COUNTIF(B:B,B38)&gt;1,_xlfn.CONCAT(A38," (",M38,")"),B38)</f>
        <v>Dàzhànchăng Zhèn</v>
      </c>
      <c r="D38" t="s">
        <v>457</v>
      </c>
      <c r="E38" t="s">
        <v>7</v>
      </c>
      <c r="F38" t="str">
        <f>_xlfn.CONCAT(D38,", ",H38,", ",I38,", ","宁夏回族自治区")</f>
        <v>大战场镇, 中宁县, 中卫市, 宁夏回族自治区</v>
      </c>
      <c r="G38">
        <v>49680</v>
      </c>
      <c r="H38" t="s">
        <v>573</v>
      </c>
      <c r="I38" t="s">
        <v>570</v>
      </c>
      <c r="J38">
        <f>VLOOKUP(F38,[1]!china_towns_second__2[[Column1]:[Y]],3,FALSE)</f>
        <v>37.318738329160801</v>
      </c>
      <c r="K38">
        <f>VLOOKUP(F38,[1]!china_towns_second__2[[Column1]:[Y]],2,FALSE)</f>
        <v>105.6035342</v>
      </c>
      <c r="L38" t="s">
        <v>740</v>
      </c>
      <c r="M38" t="str">
        <f>VLOOKUP(H38,CHOOSE({1,2},Table6[Native],Table6[Name]),2,0)</f>
        <v>Zhōngníng Xiàn</v>
      </c>
      <c r="N38" s="15" t="str">
        <f>VLOOKUP(I38,CHOOSE({1,2},Table6[Native],Table6[Name]),2,0)</f>
        <v>Zhōngwèi Shì</v>
      </c>
      <c r="O38" s="15" t="str">
        <f t="shared" si="0"/>
        <v>Dazhanchang Zhen (Zhōngwèi Shì)</v>
      </c>
      <c r="P38" s="15" t="str">
        <f t="shared" si="1"/>
        <v>Dazhanchang Zhen (Zhōngwèi Shì)</v>
      </c>
    </row>
    <row r="39" spans="1:16" hidden="1" x14ac:dyDescent="0.25">
      <c r="A39" t="s">
        <v>25</v>
      </c>
      <c r="B39" t="str">
        <f>IF(COUNTIF(A:A,A39)&gt;1,_xlfn.CONCAT(A39," (",N39,")"),A39)</f>
        <v>Diàn'ān Xiāng</v>
      </c>
      <c r="C39" t="str">
        <f>IF(COUNTIF(B:B,B39)&gt;1,_xlfn.CONCAT(A39," (",M39,")"),B39)</f>
        <v>Diàn'ān Xiāng</v>
      </c>
      <c r="D39" t="s">
        <v>26</v>
      </c>
      <c r="E39" t="s">
        <v>11</v>
      </c>
      <c r="F39" t="str">
        <f>_xlfn.CONCAT(D39,", ",H39,", ",I39,", ","宁夏回族自治区")</f>
        <v>奠安乡, 隆德县, 固原市, 宁夏回族自治区</v>
      </c>
      <c r="G39">
        <v>6387</v>
      </c>
      <c r="H39" t="s">
        <v>542</v>
      </c>
      <c r="I39" t="s">
        <v>539</v>
      </c>
      <c r="J39" t="e">
        <f>VLOOKUP(F39,[1]!china_towns_second__2[[Column1]:[Y]],3,FALSE)</f>
        <v>#N/A</v>
      </c>
      <c r="K39" t="e">
        <f>VLOOKUP(F39,[1]!china_towns_second__2[[Column1]:[Y]],2,FALSE)</f>
        <v>#N/A</v>
      </c>
      <c r="L39" t="s">
        <v>741</v>
      </c>
      <c r="M39" t="str">
        <f>VLOOKUP(H39,CHOOSE({1,2},Table6[Native],Table6[Name]),2,0)</f>
        <v>Lóngdé Xiàn</v>
      </c>
      <c r="N39" s="15" t="str">
        <f>VLOOKUP(I39,CHOOSE({1,2},Table6[Native],Table6[Name]),2,0)</f>
        <v>Gùyuán Shì</v>
      </c>
      <c r="O39" s="15" t="str">
        <f t="shared" si="0"/>
        <v>Dian'an Xiang (Gùyuán Shì)</v>
      </c>
      <c r="P39" s="15" t="str">
        <f t="shared" si="1"/>
        <v>Dian'an Xiang (Gùyuán Shì)</v>
      </c>
    </row>
    <row r="40" spans="1:16" x14ac:dyDescent="0.25">
      <c r="A40" t="s">
        <v>238</v>
      </c>
      <c r="B40" t="str">
        <f>IF(COUNTIF(A:A,A40)&gt;1,_xlfn.CONCAT(A40," (",N40,")"),A40)</f>
        <v>Dīngtáng Zhèn</v>
      </c>
      <c r="C40" t="str">
        <f>IF(COUNTIF(B:B,B40)&gt;1,_xlfn.CONCAT(A40," (",M40,")"),B40)</f>
        <v>Dīngtáng Zhèn</v>
      </c>
      <c r="D40" t="s">
        <v>239</v>
      </c>
      <c r="E40" t="s">
        <v>7</v>
      </c>
      <c r="F40" t="str">
        <f>_xlfn.CONCAT(D40,", ",H40,", ",I40,", ","宁夏回族自治区")</f>
        <v>丁塘镇, 同心县, 吴忠市, 宁夏回族自治区</v>
      </c>
      <c r="G40">
        <v>39028</v>
      </c>
      <c r="H40" t="s">
        <v>558</v>
      </c>
      <c r="I40" t="s">
        <v>553</v>
      </c>
      <c r="J40">
        <f>VLOOKUP(F40,[1]!china_towns_second__2[[Column1]:[Y]],3,FALSE)</f>
        <v>37.032792138187098</v>
      </c>
      <c r="K40">
        <f>VLOOKUP(F40,[1]!china_towns_second__2[[Column1]:[Y]],2,FALSE)</f>
        <v>105.9026933</v>
      </c>
      <c r="L40" t="s">
        <v>742</v>
      </c>
      <c r="M40" t="str">
        <f>VLOOKUP(H40,CHOOSE({1,2},Table6[Native],Table6[Name]),2,0)</f>
        <v>Tóngxīn Xiàn</v>
      </c>
      <c r="N40" s="15" t="str">
        <f>VLOOKUP(I40,CHOOSE({1,2},Table6[Native],Table6[Name]),2,0)</f>
        <v>Wúzhōng Shì</v>
      </c>
      <c r="O40" s="15" t="str">
        <f t="shared" si="0"/>
        <v>Dingtang Zhen (Wúzhōng Shì)</v>
      </c>
      <c r="P40" s="15" t="str">
        <f t="shared" si="1"/>
        <v>Dingtang Zhen (Wúzhōng Shì)</v>
      </c>
    </row>
    <row r="41" spans="1:16" x14ac:dyDescent="0.25">
      <c r="A41" t="s">
        <v>344</v>
      </c>
      <c r="B41" t="str">
        <f>IF(COUNTIF(A:A,A41)&gt;1,_xlfn.CONCAT(A41," (",N41,")"),A41)</f>
        <v>Dōngtă Zhèn</v>
      </c>
      <c r="C41" t="str">
        <f>IF(COUNTIF(B:B,B41)&gt;1,_xlfn.CONCAT(A41," (",M41,")"),B41)</f>
        <v>Dōngtă Zhèn</v>
      </c>
      <c r="D41" t="s">
        <v>345</v>
      </c>
      <c r="E41" t="s">
        <v>7</v>
      </c>
      <c r="F41" t="str">
        <f>_xlfn.CONCAT(D41,", ",H41,", ",I41,", ","宁夏回族自治区")</f>
        <v>东塔镇, 灵武市, 银川市, 宁夏回族自治区</v>
      </c>
      <c r="G41">
        <v>22040</v>
      </c>
      <c r="H41" t="s">
        <v>565</v>
      </c>
      <c r="I41" t="s">
        <v>561</v>
      </c>
      <c r="J41">
        <f>VLOOKUP(F41,[1]!china_towns_second__2[[Column1]:[Y]],3,FALSE)</f>
        <v>38.1038708872005</v>
      </c>
      <c r="K41">
        <f>VLOOKUP(F41,[1]!china_towns_second__2[[Column1]:[Y]],2,FALSE)</f>
        <v>106.3875018</v>
      </c>
      <c r="L41" t="s">
        <v>743</v>
      </c>
      <c r="M41" t="str">
        <f>VLOOKUP(H41,CHOOSE({1,2},Table6[Native],Table6[Name]),2,0)</f>
        <v>Língwŭ Shì</v>
      </c>
      <c r="N41" s="15" t="str">
        <f>VLOOKUP(I41,CHOOSE({1,2},Table6[Native],Table6[Name]),2,0)</f>
        <v>Yínchuān Shì</v>
      </c>
      <c r="O41" s="15" t="str">
        <f t="shared" si="0"/>
        <v>Dongta Zhen (Yínchuān Shì)</v>
      </c>
      <c r="P41" s="15" t="str">
        <f t="shared" si="1"/>
        <v>Dongta Zhen (Yínchuān Shì)</v>
      </c>
    </row>
    <row r="42" spans="1:16" hidden="1" x14ac:dyDescent="0.25">
      <c r="A42" t="s">
        <v>241</v>
      </c>
      <c r="B42" t="str">
        <f>IF(COUNTIF(A:A,A42)&gt;1,_xlfn.CONCAT(A42," (",N42,")"),A42)</f>
        <v>Dōngtăsì Xiāng</v>
      </c>
      <c r="C42" t="str">
        <f>IF(COUNTIF(B:B,B42)&gt;1,_xlfn.CONCAT(A42," (",M42,")"),B42)</f>
        <v>Dōngtăsì Xiāng</v>
      </c>
      <c r="D42" t="s">
        <v>242</v>
      </c>
      <c r="E42" t="s">
        <v>11</v>
      </c>
      <c r="F42" t="str">
        <f>_xlfn.CONCAT(D42,", ",H42,", ",I42,", ","宁夏回族自治区")</f>
        <v>东塔寺乡, 利通区, 吴忠市, 宁夏回族自治区</v>
      </c>
      <c r="G42">
        <v>23839</v>
      </c>
      <c r="H42" t="s">
        <v>555</v>
      </c>
      <c r="I42" t="s">
        <v>553</v>
      </c>
      <c r="J42" t="e">
        <f>VLOOKUP(F42,[1]!china_towns_second__2[[Column1]:[Y]],3,FALSE)</f>
        <v>#N/A</v>
      </c>
      <c r="K42" t="e">
        <f>VLOOKUP(F42,[1]!china_towns_second__2[[Column1]:[Y]],2,FALSE)</f>
        <v>#N/A</v>
      </c>
      <c r="L42" t="s">
        <v>744</v>
      </c>
      <c r="M42" t="str">
        <f>VLOOKUP(H42,CHOOSE({1,2},Table6[Native],Table6[Name]),2,0)</f>
        <v>Lìtōng Qū</v>
      </c>
      <c r="N42" s="15" t="str">
        <f>VLOOKUP(I42,CHOOSE({1,2},Table6[Native],Table6[Name]),2,0)</f>
        <v>Wúzhōng Shì</v>
      </c>
      <c r="O42" s="15" t="str">
        <f t="shared" si="0"/>
        <v>Dongtasi Xiang (Wúzhōng Shì)</v>
      </c>
      <c r="P42" s="15" t="str">
        <f t="shared" si="1"/>
        <v>Dongtasi Xiang (Wúzhōng Shì)</v>
      </c>
    </row>
    <row r="43" spans="1:16" x14ac:dyDescent="0.25">
      <c r="A43" t="s">
        <v>458</v>
      </c>
      <c r="B43" t="str">
        <f>IF(COUNTIF(A:A,A43)&gt;1,_xlfn.CONCAT(A43," (",N43,")"),A43)</f>
        <v>Dōngyuán Zhèn</v>
      </c>
      <c r="C43" t="str">
        <f>IF(COUNTIF(B:B,B43)&gt;1,_xlfn.CONCAT(A43," (",M43,")"),B43)</f>
        <v>Dōngyuán Zhèn</v>
      </c>
      <c r="D43" t="s">
        <v>459</v>
      </c>
      <c r="E43" t="s">
        <v>7</v>
      </c>
      <c r="F43" t="str">
        <f>_xlfn.CONCAT(D43,", ",H43,", ",I43,", ","宁夏回族自治区")</f>
        <v>东园镇, 沙坡头区, 中卫市, 宁夏回族自治区</v>
      </c>
      <c r="G43">
        <v>30946</v>
      </c>
      <c r="H43" t="s">
        <v>572</v>
      </c>
      <c r="I43" t="s">
        <v>570</v>
      </c>
      <c r="J43">
        <f>VLOOKUP(F43,[1]!china_towns_second__2[[Column1]:[Y]],3,FALSE)</f>
        <v>37.558816539726699</v>
      </c>
      <c r="K43">
        <f>VLOOKUP(F43,[1]!china_towns_second__2[[Column1]:[Y]],2,FALSE)</f>
        <v>105.2400722</v>
      </c>
      <c r="L43" t="s">
        <v>745</v>
      </c>
      <c r="M43" t="str">
        <f>VLOOKUP(H43,CHOOSE({1,2},Table6[Native],Table6[Name]),2,0)</f>
        <v>Shāpōtóu Qū</v>
      </c>
      <c r="N43" s="15" t="str">
        <f>VLOOKUP(I43,CHOOSE({1,2},Table6[Native],Table6[Name]),2,0)</f>
        <v>Zhōngwèi Shì</v>
      </c>
      <c r="O43" s="15" t="str">
        <f t="shared" si="0"/>
        <v>Dongyuan Zhen (Zhōngwèi Shì)</v>
      </c>
      <c r="P43" s="15" t="str">
        <f t="shared" si="1"/>
        <v>Dongyuan Zhen (Zhōngwèi Shì)</v>
      </c>
    </row>
    <row r="44" spans="1:16" x14ac:dyDescent="0.25">
      <c r="A44" t="s">
        <v>460</v>
      </c>
      <c r="B44" t="str">
        <f>IF(COUNTIF(A:A,A44)&gt;1,_xlfn.CONCAT(A44," (",N44,")"),A44)</f>
        <v>Ēnhé Zhèn</v>
      </c>
      <c r="C44" t="str">
        <f>IF(COUNTIF(B:B,B44)&gt;1,_xlfn.CONCAT(A44," (",M44,")"),B44)</f>
        <v>Ēnhé Zhèn</v>
      </c>
      <c r="D44" t="s">
        <v>461</v>
      </c>
      <c r="E44" t="s">
        <v>7</v>
      </c>
      <c r="F44" t="str">
        <f>_xlfn.CONCAT(D44,", ",H44,", ",I44,", ","宁夏回族自治区")</f>
        <v>恩和镇, 中宁县, 中卫市, 宁夏回族自治区</v>
      </c>
      <c r="G44">
        <v>19276</v>
      </c>
      <c r="H44" t="s">
        <v>573</v>
      </c>
      <c r="I44" t="s">
        <v>570</v>
      </c>
      <c r="J44">
        <f>VLOOKUP(F44,[1]!china_towns_second__2[[Column1]:[Y]],3,FALSE)</f>
        <v>37.434767546840902</v>
      </c>
      <c r="K44">
        <f>VLOOKUP(F44,[1]!china_towns_second__2[[Column1]:[Y]],2,FALSE)</f>
        <v>105.8387973</v>
      </c>
      <c r="L44" t="s">
        <v>746</v>
      </c>
      <c r="M44" t="str">
        <f>VLOOKUP(H44,CHOOSE({1,2},Table6[Native],Table6[Name]),2,0)</f>
        <v>Zhōngníng Xiàn</v>
      </c>
      <c r="N44" s="15" t="str">
        <f>VLOOKUP(I44,CHOOSE({1,2},Table6[Native],Table6[Name]),2,0)</f>
        <v>Zhōngwèi Shì</v>
      </c>
      <c r="O44" s="15" t="str">
        <f t="shared" si="0"/>
        <v>Enhe Zhen (Zhōngwèi Shì)</v>
      </c>
      <c r="P44" s="15" t="str">
        <f t="shared" si="1"/>
        <v>Enhe Zhen (Zhōngwèi Shì)</v>
      </c>
    </row>
    <row r="45" spans="1:16" x14ac:dyDescent="0.25">
      <c r="A45" t="s">
        <v>346</v>
      </c>
      <c r="B45" t="str">
        <f>IF(COUNTIF(A:A,A45)&gt;1,_xlfn.CONCAT(A45," (",N45,")"),A45)</f>
        <v>Fēngdēng Zhèn</v>
      </c>
      <c r="C45" t="str">
        <f>IF(COUNTIF(B:B,B45)&gt;1,_xlfn.CONCAT(A45," (",M45,")"),B45)</f>
        <v>Fēngdēng Zhèn</v>
      </c>
      <c r="D45" t="s">
        <v>347</v>
      </c>
      <c r="E45" t="s">
        <v>7</v>
      </c>
      <c r="F45" t="str">
        <f>_xlfn.CONCAT(D45,", ",H45,", ",I45,", ","宁夏回族自治区")</f>
        <v>丰登镇, 金凤区, 银川市, 宁夏回族自治区</v>
      </c>
      <c r="G45">
        <v>12922</v>
      </c>
      <c r="H45" t="s">
        <v>563</v>
      </c>
      <c r="I45" t="s">
        <v>561</v>
      </c>
      <c r="J45">
        <f>VLOOKUP(F45,[1]!china_towns_second__2[[Column1]:[Y]],3,FALSE)</f>
        <v>38.546502705672097</v>
      </c>
      <c r="K45">
        <f>VLOOKUP(F45,[1]!china_towns_second__2[[Column1]:[Y]],2,FALSE)</f>
        <v>106.2470667</v>
      </c>
      <c r="L45" t="s">
        <v>747</v>
      </c>
      <c r="M45" t="str">
        <f>VLOOKUP(H45,CHOOSE({1,2},Table6[Native],Table6[Name]),2,0)</f>
        <v>Jīnfèng Qū</v>
      </c>
      <c r="N45" s="15" t="str">
        <f>VLOOKUP(I45,CHOOSE({1,2},Table6[Native],Table6[Name]),2,0)</f>
        <v>Yínchuān Shì</v>
      </c>
      <c r="O45" s="15" t="str">
        <f t="shared" si="0"/>
        <v>Fengdeng Zhen (Yínchuān Shì)</v>
      </c>
      <c r="P45" s="15" t="str">
        <f t="shared" si="1"/>
        <v>Fengdeng Zhen (Yínchuān Shì)</v>
      </c>
    </row>
    <row r="46" spans="1:16" hidden="1" x14ac:dyDescent="0.25">
      <c r="A46" t="s">
        <v>348</v>
      </c>
      <c r="B46" t="str">
        <f>IF(COUNTIF(A:A,A46)&gt;1,_xlfn.CONCAT(A46," (",N46,")"),A46)</f>
        <v>Fènghuáng Bĕijiē Jiēdào</v>
      </c>
      <c r="C46" t="str">
        <f>IF(COUNTIF(B:B,B46)&gt;1,_xlfn.CONCAT(A46," (",M46,")"),B46)</f>
        <v>Fènghuáng Bĕijiē Jiēdào</v>
      </c>
      <c r="D46" t="s">
        <v>349</v>
      </c>
      <c r="E46" t="s">
        <v>52</v>
      </c>
      <c r="F46" t="str">
        <f>_xlfn.CONCAT(D46,", ",H46,", ",I46,", ","宁夏回族自治区")</f>
        <v>凤凰北街街道, 兴庆区, 银川市, 宁夏回族自治区</v>
      </c>
      <c r="G46">
        <v>41402</v>
      </c>
      <c r="H46" t="s">
        <v>566</v>
      </c>
      <c r="I46" t="s">
        <v>561</v>
      </c>
      <c r="J46">
        <f>VLOOKUP(F46,[1]!china_towns_second__2[[Column1]:[Y]],3,FALSE)</f>
        <v>38.479366825842803</v>
      </c>
      <c r="K46">
        <f>VLOOKUP(F46,[1]!china_towns_second__2[[Column1]:[Y]],2,FALSE)</f>
        <v>106.25442990000001</v>
      </c>
      <c r="L46" t="s">
        <v>748</v>
      </c>
      <c r="M46" t="str">
        <f>VLOOKUP(H46,CHOOSE({1,2},Table6[Native],Table6[Name]),2,0)</f>
        <v>Xīngqìng Qū</v>
      </c>
      <c r="N46" s="15" t="str">
        <f>VLOOKUP(I46,CHOOSE({1,2},Table6[Native],Table6[Name]),2,0)</f>
        <v>Yínchuān Shì</v>
      </c>
      <c r="O46" s="15" t="str">
        <f t="shared" si="0"/>
        <v>Fenghuang Beijie Jiedao (Yínchuān Shì)</v>
      </c>
      <c r="P46" s="15" t="str">
        <f t="shared" si="1"/>
        <v>Fenghuang Beijie Jiedao (Yínchuān Shì)</v>
      </c>
    </row>
    <row r="47" spans="1:16" hidden="1" x14ac:dyDescent="0.25">
      <c r="A47" t="s">
        <v>243</v>
      </c>
      <c r="B47" t="str">
        <f>IF(COUNTIF(A:A,A47)&gt;1,_xlfn.CONCAT(A47," (",N47,")"),A47)</f>
        <v>Féngjìgōu Xiāng</v>
      </c>
      <c r="C47" t="str">
        <f>IF(COUNTIF(B:B,B47)&gt;1,_xlfn.CONCAT(A47," (",M47,")"),B47)</f>
        <v>Féngjìgōu Xiāng</v>
      </c>
      <c r="D47" t="s">
        <v>244</v>
      </c>
      <c r="E47" t="s">
        <v>11</v>
      </c>
      <c r="F47" t="str">
        <f>_xlfn.CONCAT(D47,", ",H47,", ",I47,", ","宁夏回族自治区")</f>
        <v>冯记沟乡, 盐池县, 吴忠市, 宁夏回族自治区</v>
      </c>
      <c r="G47">
        <v>7190</v>
      </c>
      <c r="H47" t="s">
        <v>559</v>
      </c>
      <c r="I47" t="s">
        <v>553</v>
      </c>
      <c r="J47" t="e">
        <f>VLOOKUP(F47,[1]!china_towns_second__2[[Column1]:[Y]],3,FALSE)</f>
        <v>#N/A</v>
      </c>
      <c r="K47" t="e">
        <f>VLOOKUP(F47,[1]!china_towns_second__2[[Column1]:[Y]],2,FALSE)</f>
        <v>#N/A</v>
      </c>
      <c r="L47" t="s">
        <v>749</v>
      </c>
      <c r="M47" t="str">
        <f>VLOOKUP(H47,CHOOSE({1,2},Table6[Native],Table6[Name]),2,0)</f>
        <v>Yánchí Xiàn</v>
      </c>
      <c r="N47" s="15" t="str">
        <f>VLOOKUP(I47,CHOOSE({1,2},Table6[Native],Table6[Name]),2,0)</f>
        <v>Wúzhōng Shì</v>
      </c>
      <c r="O47" s="15" t="str">
        <f t="shared" si="0"/>
        <v>Fengjigou Xiang (Wúzhōng Shì)</v>
      </c>
      <c r="P47" s="15" t="str">
        <f t="shared" si="1"/>
        <v>Fengjigou Xiang (Wúzhōng Shì)</v>
      </c>
    </row>
    <row r="48" spans="1:16" hidden="1" x14ac:dyDescent="0.25">
      <c r="A48" t="s">
        <v>27</v>
      </c>
      <c r="B48" t="str">
        <f>IF(COUNTIF(A:A,A48)&gt;1,_xlfn.CONCAT(A48," (",N48,")"),A48)</f>
        <v>Fènglĭng Xiāng</v>
      </c>
      <c r="C48" t="str">
        <f>IF(COUNTIF(B:B,B48)&gt;1,_xlfn.CONCAT(A48," (",M48,")"),B48)</f>
        <v>Fènglĭng Xiāng</v>
      </c>
      <c r="D48" t="s">
        <v>28</v>
      </c>
      <c r="E48" t="s">
        <v>11</v>
      </c>
      <c r="F48" t="str">
        <f>_xlfn.CONCAT(D48,", ",H48,", ",I48,", ","宁夏回族自治区")</f>
        <v>凤岭乡, 隆德县, 固原市, 宁夏回族自治区</v>
      </c>
      <c r="G48">
        <v>10598</v>
      </c>
      <c r="H48" t="s">
        <v>542</v>
      </c>
      <c r="I48" t="s">
        <v>539</v>
      </c>
      <c r="J48" t="e">
        <f>VLOOKUP(F48,[1]!china_towns_second__2[[Column1]:[Y]],3,FALSE)</f>
        <v>#N/A</v>
      </c>
      <c r="K48" t="e">
        <f>VLOOKUP(F48,[1]!china_towns_second__2[[Column1]:[Y]],2,FALSE)</f>
        <v>#N/A</v>
      </c>
      <c r="L48" t="s">
        <v>750</v>
      </c>
      <c r="M48" t="str">
        <f>VLOOKUP(H48,CHOOSE({1,2},Table6[Native],Table6[Name]),2,0)</f>
        <v>Lóngdé Xiàn</v>
      </c>
      <c r="N48" s="15" t="str">
        <f>VLOOKUP(I48,CHOOSE({1,2},Table6[Native],Table6[Name]),2,0)</f>
        <v>Gùyuán Shì</v>
      </c>
      <c r="O48" s="15" t="str">
        <f t="shared" si="0"/>
        <v>Fengling Xiang (Gùyuán Shì)</v>
      </c>
      <c r="P48" s="15" t="str">
        <f t="shared" si="1"/>
        <v>Fengling Xiang (Gùyuán Shì)</v>
      </c>
    </row>
    <row r="49" spans="1:16" hidden="1" x14ac:dyDescent="0.25">
      <c r="A49" t="s">
        <v>29</v>
      </c>
      <c r="B49" t="str">
        <f>IF(COUNTIF(A:A,A49)&gt;1,_xlfn.CONCAT(A49," (",N49,")"),A49)</f>
        <v>Féngzhuāng Xiāng</v>
      </c>
      <c r="C49" t="str">
        <f>IF(COUNTIF(B:B,B49)&gt;1,_xlfn.CONCAT(A49," (",M49,")"),B49)</f>
        <v>Féngzhuāng Xiāng</v>
      </c>
      <c r="D49" t="s">
        <v>30</v>
      </c>
      <c r="E49" t="s">
        <v>11</v>
      </c>
      <c r="F49" t="str">
        <f>_xlfn.CONCAT(D49,", ",H49,", ",I49,", ","宁夏回族自治区")</f>
        <v>冯庄乡, 彭阳县, 固原市, 宁夏回族自治区</v>
      </c>
      <c r="G49">
        <v>7174</v>
      </c>
      <c r="H49" t="s">
        <v>543</v>
      </c>
      <c r="I49" t="s">
        <v>539</v>
      </c>
      <c r="J49" t="e">
        <f>VLOOKUP(F49,[1]!china_towns_second__2[[Column1]:[Y]],3,FALSE)</f>
        <v>#N/A</v>
      </c>
      <c r="K49" t="e">
        <f>VLOOKUP(F49,[1]!china_towns_second__2[[Column1]:[Y]],2,FALSE)</f>
        <v>#N/A</v>
      </c>
      <c r="L49" t="s">
        <v>751</v>
      </c>
      <c r="M49" t="str">
        <f>VLOOKUP(H49,CHOOSE({1,2},Table6[Native],Table6[Name]),2,0)</f>
        <v>Péngyáng Xiàn</v>
      </c>
      <c r="N49" s="15" t="str">
        <f>VLOOKUP(I49,CHOOSE({1,2},Table6[Native],Table6[Name]),2,0)</f>
        <v>Gùyuán Shì</v>
      </c>
      <c r="O49" s="15" t="str">
        <f t="shared" si="0"/>
        <v>Fengzhuang Xiang (Gùyuán Shì)</v>
      </c>
      <c r="P49" s="15" t="str">
        <f t="shared" si="1"/>
        <v>Fengzhuang Xiang (Gùyuán Shì)</v>
      </c>
    </row>
    <row r="50" spans="1:16" hidden="1" x14ac:dyDescent="0.25">
      <c r="A50" t="s">
        <v>350</v>
      </c>
      <c r="B50" t="str">
        <f>IF(COUNTIF(A:A,A50)&gt;1,_xlfn.CONCAT(A50," (",N50,")"),A50)</f>
        <v>Fùníngjiē Jiēdào</v>
      </c>
      <c r="C50" t="str">
        <f>IF(COUNTIF(B:B,B50)&gt;1,_xlfn.CONCAT(A50," (",M50,")"),B50)</f>
        <v>Fùníngjiē Jiēdào</v>
      </c>
      <c r="D50" t="s">
        <v>351</v>
      </c>
      <c r="E50" t="s">
        <v>52</v>
      </c>
      <c r="F50" t="str">
        <f>_xlfn.CONCAT(D50,", ",H50,", ",I50,", ","宁夏回族自治区")</f>
        <v>富宁街街道, 兴庆区, 银川市, 宁夏回族自治区</v>
      </c>
      <c r="G50">
        <v>47793</v>
      </c>
      <c r="H50" t="s">
        <v>566</v>
      </c>
      <c r="I50" t="s">
        <v>561</v>
      </c>
      <c r="J50">
        <f>VLOOKUP(F50,[1]!china_towns_second__2[[Column1]:[Y]],3,FALSE)</f>
        <v>38.461610705113102</v>
      </c>
      <c r="K50">
        <f>VLOOKUP(F50,[1]!china_towns_second__2[[Column1]:[Y]],2,FALSE)</f>
        <v>106.25712300000001</v>
      </c>
      <c r="L50" t="s">
        <v>752</v>
      </c>
      <c r="M50" t="str">
        <f>VLOOKUP(H50,CHOOSE({1,2},Table6[Native],Table6[Name]),2,0)</f>
        <v>Xīngqìng Qū</v>
      </c>
      <c r="N50" s="15" t="str">
        <f>VLOOKUP(I50,CHOOSE({1,2},Table6[Native],Table6[Name]),2,0)</f>
        <v>Yínchuān Shì</v>
      </c>
      <c r="O50" s="15" t="str">
        <f t="shared" si="0"/>
        <v>Funingjie Jiedao (Yínchuān Shì)</v>
      </c>
      <c r="P50" s="15" t="str">
        <f t="shared" si="1"/>
        <v>Funingjie Jiedao (Yínchuān Shì)</v>
      </c>
    </row>
    <row r="51" spans="1:16" hidden="1" x14ac:dyDescent="0.25">
      <c r="A51" t="s">
        <v>462</v>
      </c>
      <c r="B51" t="str">
        <f>IF(COUNTIF(A:A,A51)&gt;1,_xlfn.CONCAT(A51," (",N51,")"),A51)</f>
        <v>Gānchéng Xiāng</v>
      </c>
      <c r="C51" t="str">
        <f>IF(COUNTIF(B:B,B51)&gt;1,_xlfn.CONCAT(A51," (",M51,")"),B51)</f>
        <v>Gānchéng Xiāng</v>
      </c>
      <c r="D51" t="s">
        <v>463</v>
      </c>
      <c r="E51" t="s">
        <v>11</v>
      </c>
      <c r="F51" t="str">
        <f>_xlfn.CONCAT(D51,", ",H51,", ",I51,", ","宁夏回族自治区")</f>
        <v>甘城乡, 海原县, 中卫市, 宁夏回族自治区</v>
      </c>
      <c r="G51">
        <v>7715</v>
      </c>
      <c r="H51" t="s">
        <v>571</v>
      </c>
      <c r="I51" t="s">
        <v>570</v>
      </c>
      <c r="J51" t="e">
        <f>VLOOKUP(F51,[1]!china_towns_second__2[[Column1]:[Y]],3,FALSE)</f>
        <v>#N/A</v>
      </c>
      <c r="K51" t="e">
        <f>VLOOKUP(F51,[1]!china_towns_second__2[[Column1]:[Y]],2,FALSE)</f>
        <v>#N/A</v>
      </c>
      <c r="L51" t="s">
        <v>753</v>
      </c>
      <c r="M51" t="str">
        <f>VLOOKUP(H51,CHOOSE({1,2},Table6[Native],Table6[Name]),2,0)</f>
        <v>Hăiyuán Xiàn</v>
      </c>
      <c r="N51" s="15" t="str">
        <f>VLOOKUP(I51,CHOOSE({1,2},Table6[Native],Table6[Name]),2,0)</f>
        <v>Zhōngwèi Shì</v>
      </c>
      <c r="O51" s="15" t="str">
        <f t="shared" si="0"/>
        <v>Gancheng Xiang (Zhōngwèi Shì)</v>
      </c>
      <c r="P51" s="15" t="str">
        <f t="shared" si="1"/>
        <v>Gancheng Xiang (Zhōngwèi Shì)</v>
      </c>
    </row>
    <row r="52" spans="1:16" hidden="1" x14ac:dyDescent="0.25">
      <c r="A52" t="s">
        <v>157</v>
      </c>
      <c r="B52" t="str">
        <f>IF(COUNTIF(A:A,A52)&gt;1,_xlfn.CONCAT(A52," (",N52,")"),A52)</f>
        <v>Gāorén Xiāng</v>
      </c>
      <c r="C52" t="str">
        <f>IF(COUNTIF(B:B,B52)&gt;1,_xlfn.CONCAT(A52," (",M52,")"),B52)</f>
        <v>Gāorén Xiāng</v>
      </c>
      <c r="D52" t="s">
        <v>158</v>
      </c>
      <c r="E52" t="s">
        <v>11</v>
      </c>
      <c r="F52" t="str">
        <f>_xlfn.CONCAT(D52,", ",H52,", ",I52,", ","宁夏回族自治区")</f>
        <v>高仁乡, 平罗县, 石嘴山市, 宁夏回族自治区</v>
      </c>
      <c r="G52">
        <v>5111</v>
      </c>
      <c r="H52" t="s">
        <v>551</v>
      </c>
      <c r="I52" t="s">
        <v>548</v>
      </c>
      <c r="J52" t="e">
        <f>VLOOKUP(F52,[1]!china_towns_second__2[[Column1]:[Y]],3,FALSE)</f>
        <v>#N/A</v>
      </c>
      <c r="K52" t="e">
        <f>VLOOKUP(F52,[1]!china_towns_second__2[[Column1]:[Y]],2,FALSE)</f>
        <v>#N/A</v>
      </c>
      <c r="L52" t="s">
        <v>754</v>
      </c>
      <c r="M52" t="str">
        <f>VLOOKUP(H52,CHOOSE({1,2},Table6[Native],Table6[Name]),2,0)</f>
        <v>Píngluó Xiàn</v>
      </c>
      <c r="N52" s="15" t="str">
        <f>VLOOKUP(I52,CHOOSE({1,2},Table6[Native],Table6[Name]),2,0)</f>
        <v>Shízuĭshān Shì</v>
      </c>
      <c r="O52" s="15" t="str">
        <f t="shared" si="0"/>
        <v>Gaoren Xiang (Shízuĭshān Shì)</v>
      </c>
      <c r="P52" s="15" t="str">
        <f t="shared" si="1"/>
        <v>Gaoren Xiang (Shízuĭshān Shì)</v>
      </c>
    </row>
    <row r="53" spans="1:16" x14ac:dyDescent="0.25">
      <c r="A53" t="s">
        <v>245</v>
      </c>
      <c r="B53" t="str">
        <f>IF(COUNTIF(A:A,A53)&gt;1,_xlfn.CONCAT(A53," (",N53,")"),A53)</f>
        <v>Gāoshāwō Zhèn</v>
      </c>
      <c r="C53" t="str">
        <f>IF(COUNTIF(B:B,B53)&gt;1,_xlfn.CONCAT(A53," (",M53,")"),B53)</f>
        <v>Gāoshāwō Zhèn</v>
      </c>
      <c r="D53" t="s">
        <v>246</v>
      </c>
      <c r="E53" t="s">
        <v>7</v>
      </c>
      <c r="F53" t="str">
        <f>_xlfn.CONCAT(D53,", ",H53,", ",I53,", ","宁夏回族自治区")</f>
        <v>高沙窝镇, 盐池县, 吴忠市, 宁夏回族自治区</v>
      </c>
      <c r="G53">
        <v>6045</v>
      </c>
      <c r="H53" t="s">
        <v>559</v>
      </c>
      <c r="I53" t="s">
        <v>553</v>
      </c>
      <c r="J53">
        <f>VLOOKUP(F53,[1]!china_towns_second__2[[Column1]:[Y]],3,FALSE)</f>
        <v>38.0170257939997</v>
      </c>
      <c r="K53">
        <f>VLOOKUP(F53,[1]!china_towns_second__2[[Column1]:[Y]],2,FALSE)</f>
        <v>106.9484743</v>
      </c>
      <c r="L53" t="s">
        <v>755</v>
      </c>
      <c r="M53" t="str">
        <f>VLOOKUP(H53,CHOOSE({1,2},Table6[Native],Table6[Name]),2,0)</f>
        <v>Yánchí Xiàn</v>
      </c>
      <c r="N53" s="15" t="str">
        <f>VLOOKUP(I53,CHOOSE({1,2},Table6[Native],Table6[Name]),2,0)</f>
        <v>Wúzhōng Shì</v>
      </c>
      <c r="O53" s="15" t="str">
        <f t="shared" si="0"/>
        <v>Gaoshawo Zhen (Wúzhōng Shì)</v>
      </c>
      <c r="P53" s="15" t="str">
        <f t="shared" si="1"/>
        <v>Gaoshawo Zhen (Wúzhōng Shì)</v>
      </c>
    </row>
    <row r="54" spans="1:16" hidden="1" x14ac:dyDescent="0.25">
      <c r="A54" t="s">
        <v>464</v>
      </c>
      <c r="B54" t="str">
        <f>IF(COUNTIF(A:A,A54)&gt;1,_xlfn.CONCAT(A54," (",N54,")"),A54)</f>
        <v>Gāoyá Xiāng</v>
      </c>
      <c r="C54" t="str">
        <f>IF(COUNTIF(B:B,B54)&gt;1,_xlfn.CONCAT(A54," (",M54,")"),B54)</f>
        <v>Gāoyá Xiāng</v>
      </c>
      <c r="D54" t="s">
        <v>465</v>
      </c>
      <c r="E54" t="s">
        <v>11</v>
      </c>
      <c r="F54" t="str">
        <f>_xlfn.CONCAT(D54,", ",H54,", ",I54,", ","宁夏回族自治区")</f>
        <v>高崖乡, 海原县, 中卫市, 宁夏回族自治区</v>
      </c>
      <c r="G54">
        <v>23428</v>
      </c>
      <c r="H54" t="s">
        <v>571</v>
      </c>
      <c r="I54" t="s">
        <v>570</v>
      </c>
      <c r="J54" t="e">
        <f>VLOOKUP(F54,[1]!china_towns_second__2[[Column1]:[Y]],3,FALSE)</f>
        <v>#N/A</v>
      </c>
      <c r="K54" t="e">
        <f>VLOOKUP(F54,[1]!china_towns_second__2[[Column1]:[Y]],2,FALSE)</f>
        <v>#N/A</v>
      </c>
      <c r="L54" t="s">
        <v>756</v>
      </c>
      <c r="M54" t="str">
        <f>VLOOKUP(H54,CHOOSE({1,2},Table6[Native],Table6[Name]),2,0)</f>
        <v>Hăiyuán Xiàn</v>
      </c>
      <c r="N54" s="15" t="str">
        <f>VLOOKUP(I54,CHOOSE({1,2},Table6[Native],Table6[Name]),2,0)</f>
        <v>Zhōngwèi Shì</v>
      </c>
      <c r="O54" s="15" t="str">
        <f t="shared" si="0"/>
        <v>Gaoya Xiang (Zhōngwèi Shì)</v>
      </c>
      <c r="P54" s="15" t="str">
        <f t="shared" si="1"/>
        <v>Gaoya Xiang (Zhōngwèi Shì)</v>
      </c>
    </row>
    <row r="55" spans="1:16" x14ac:dyDescent="0.25">
      <c r="A55" t="s">
        <v>247</v>
      </c>
      <c r="B55" t="str">
        <f>IF(COUNTIF(A:A,A55)&gt;1,_xlfn.CONCAT(A55," (",N55,")"),A55)</f>
        <v>Gāozhá Zhèn</v>
      </c>
      <c r="C55" t="str">
        <f>IF(COUNTIF(B:B,B55)&gt;1,_xlfn.CONCAT(A55," (",M55,")"),B55)</f>
        <v>Gāozhá Zhèn</v>
      </c>
      <c r="D55" t="s">
        <v>248</v>
      </c>
      <c r="E55" t="s">
        <v>7</v>
      </c>
      <c r="F55" t="str">
        <f>_xlfn.CONCAT(D55,", ",H55,", ",I55,", ","宁夏回族自治区")</f>
        <v>高闸镇, 利通区, 吴忠市, 宁夏回族自治区</v>
      </c>
      <c r="G55">
        <v>21613</v>
      </c>
      <c r="H55" t="s">
        <v>555</v>
      </c>
      <c r="I55" t="s">
        <v>553</v>
      </c>
      <c r="J55">
        <f>VLOOKUP(F55,[1]!china_towns_second__2[[Column1]:[Y]],3,FALSE)</f>
        <v>37.862322955565702</v>
      </c>
      <c r="K55">
        <f>VLOOKUP(F55,[1]!china_towns_second__2[[Column1]:[Y]],2,FALSE)</f>
        <v>106.16828049999999</v>
      </c>
      <c r="L55" t="s">
        <v>757</v>
      </c>
      <c r="M55" t="str">
        <f>VLOOKUP(H55,CHOOSE({1,2},Table6[Native],Table6[Name]),2,0)</f>
        <v>Lìtōng Qū</v>
      </c>
      <c r="N55" s="15" t="str">
        <f>VLOOKUP(I55,CHOOSE({1,2},Table6[Native],Table6[Name]),2,0)</f>
        <v>Wúzhōng Shì</v>
      </c>
      <c r="O55" s="15" t="str">
        <f t="shared" si="0"/>
        <v>Gaozha Zhen (Wúzhōng Shì)</v>
      </c>
      <c r="P55" s="15" t="str">
        <f t="shared" si="1"/>
        <v>Gaozha Zhen (Wúzhōng Shì)</v>
      </c>
    </row>
    <row r="56" spans="1:16" hidden="1" x14ac:dyDescent="0.25">
      <c r="A56" t="s">
        <v>159</v>
      </c>
      <c r="B56" t="str">
        <f>IF(COUNTIF(A:A,A56)&gt;1,_xlfn.CONCAT(A56," (",N56,")"),A56)</f>
        <v>Gāozhuāng Xiāng</v>
      </c>
      <c r="C56" t="str">
        <f>IF(COUNTIF(B:B,B56)&gt;1,_xlfn.CONCAT(A56," (",M56,")"),B56)</f>
        <v>Gāozhuāng Xiāng</v>
      </c>
      <c r="D56" t="s">
        <v>160</v>
      </c>
      <c r="E56" t="s">
        <v>11</v>
      </c>
      <c r="F56" t="str">
        <f>_xlfn.CONCAT(D56,", ",H56,", ",I56,", ","宁夏回族自治区")</f>
        <v>高庄乡, 平罗县, 石嘴山市, 宁夏回族自治区</v>
      </c>
      <c r="G56">
        <v>15121</v>
      </c>
      <c r="H56" t="s">
        <v>551</v>
      </c>
      <c r="I56" t="s">
        <v>548</v>
      </c>
      <c r="J56" t="e">
        <f>VLOOKUP(F56,[1]!china_towns_second__2[[Column1]:[Y]],3,FALSE)</f>
        <v>#N/A</v>
      </c>
      <c r="K56" t="e">
        <f>VLOOKUP(F56,[1]!china_towns_second__2[[Column1]:[Y]],2,FALSE)</f>
        <v>#N/A</v>
      </c>
      <c r="L56" t="s">
        <v>758</v>
      </c>
      <c r="M56" t="str">
        <f>VLOOKUP(H56,CHOOSE({1,2},Table6[Native],Table6[Name]),2,0)</f>
        <v>Píngluó Xiàn</v>
      </c>
      <c r="N56" s="15" t="str">
        <f>VLOOKUP(I56,CHOOSE({1,2},Table6[Native],Table6[Name]),2,0)</f>
        <v>Shízuĭshān Shì</v>
      </c>
      <c r="O56" s="15" t="str">
        <f t="shared" si="0"/>
        <v>Gaozhuang Xiang (Shízuĭshān Shì)</v>
      </c>
      <c r="P56" s="15" t="str">
        <f t="shared" si="1"/>
        <v>Gaozhuang Xiang (Shízuĭshān Shì)</v>
      </c>
    </row>
    <row r="57" spans="1:16" hidden="1" x14ac:dyDescent="0.25">
      <c r="A57" t="s">
        <v>161</v>
      </c>
      <c r="B57" t="str">
        <f>IF(COUNTIF(A:A,A57)&gt;1,_xlfn.CONCAT(A57," (",N57,")"),A57)</f>
        <v>Gōukŏu Jiēdào</v>
      </c>
      <c r="C57" t="str">
        <f>IF(COUNTIF(B:B,B57)&gt;1,_xlfn.CONCAT(A57," (",M57,")"),B57)</f>
        <v>Gōukŏu Jiēdào</v>
      </c>
      <c r="D57" t="s">
        <v>162</v>
      </c>
      <c r="E57" t="s">
        <v>52</v>
      </c>
      <c r="F57" t="str">
        <f>_xlfn.CONCAT(D57,", ",H57,", ",I57,", ","宁夏回族自治区")</f>
        <v>沟口街道, 大武口区, 石嘴山市, 宁夏回族自治区</v>
      </c>
      <c r="G57">
        <v>6451</v>
      </c>
      <c r="H57" t="s">
        <v>549</v>
      </c>
      <c r="I57" t="s">
        <v>548</v>
      </c>
      <c r="J57">
        <f>VLOOKUP(F57,[1]!china_towns_second__2[[Column1]:[Y]],3,FALSE)</f>
        <v>39.0253504648907</v>
      </c>
      <c r="K57">
        <f>VLOOKUP(F57,[1]!china_towns_second__2[[Column1]:[Y]],2,FALSE)</f>
        <v>106.4481242</v>
      </c>
      <c r="L57" t="s">
        <v>759</v>
      </c>
      <c r="M57" t="str">
        <f>VLOOKUP(H57,CHOOSE({1,2},Table6[Native],Table6[Name]),2,0)</f>
        <v>Dàwŭkŏu Qū</v>
      </c>
      <c r="N57" s="15" t="str">
        <f>VLOOKUP(I57,CHOOSE({1,2},Table6[Native],Table6[Name]),2,0)</f>
        <v>Shízuĭshān Shì</v>
      </c>
      <c r="O57" s="15" t="str">
        <f t="shared" si="0"/>
        <v>Goukou Jiedao (Shízuĭshān Shì)</v>
      </c>
      <c r="P57" s="15" t="str">
        <f t="shared" si="1"/>
        <v>Goukou Jiedao (Shízuĭshān Shì)</v>
      </c>
    </row>
    <row r="58" spans="1:16" hidden="1" x14ac:dyDescent="0.25">
      <c r="A58" t="s">
        <v>466</v>
      </c>
      <c r="B58" t="str">
        <f>IF(COUNTIF(A:A,A58)&gt;1,_xlfn.CONCAT(A58," (",N58,")"),A58)</f>
        <v>Guānqiáo Xiāng</v>
      </c>
      <c r="C58" t="str">
        <f>IF(COUNTIF(B:B,B58)&gt;1,_xlfn.CONCAT(A58," (",M58,")"),B58)</f>
        <v>Guānqiáo Xiāng</v>
      </c>
      <c r="D58" t="s">
        <v>467</v>
      </c>
      <c r="E58" t="s">
        <v>11</v>
      </c>
      <c r="F58" t="str">
        <f>_xlfn.CONCAT(D58,", ",H58,", ",I58,", ","宁夏回族自治区")</f>
        <v>关桥乡, 海原县, 中卫市, 宁夏回族自治区</v>
      </c>
      <c r="G58">
        <v>24997</v>
      </c>
      <c r="H58" t="s">
        <v>571</v>
      </c>
      <c r="I58" t="s">
        <v>570</v>
      </c>
      <c r="J58" t="e">
        <f>VLOOKUP(F58,[1]!china_towns_second__2[[Column1]:[Y]],3,FALSE)</f>
        <v>#N/A</v>
      </c>
      <c r="K58" t="e">
        <f>VLOOKUP(F58,[1]!china_towns_second__2[[Column1]:[Y]],2,FALSE)</f>
        <v>#N/A</v>
      </c>
      <c r="L58" t="s">
        <v>760</v>
      </c>
      <c r="M58" t="str">
        <f>VLOOKUP(H58,CHOOSE({1,2},Table6[Native],Table6[Name]),2,0)</f>
        <v>Hăiyuán Xiàn</v>
      </c>
      <c r="N58" s="15" t="str">
        <f>VLOOKUP(I58,CHOOSE({1,2},Table6[Native],Table6[Name]),2,0)</f>
        <v>Zhōngwèi Shì</v>
      </c>
      <c r="O58" s="15" t="str">
        <f t="shared" si="0"/>
        <v>Guanqiao Xiang (Zhōngwèi Shì)</v>
      </c>
      <c r="P58" s="15" t="str">
        <f t="shared" si="1"/>
        <v>Guanqiao Xiang (Zhōngwèi Shì)</v>
      </c>
    </row>
    <row r="59" spans="1:16" x14ac:dyDescent="0.25">
      <c r="A59" t="s">
        <v>31</v>
      </c>
      <c r="B59" t="str">
        <f>IF(COUNTIF(A:A,A59)&gt;1,_xlfn.CONCAT(A59," (",N59,")"),A59)</f>
        <v>Guāntīng Zhèn [incl. Qīnghé Zhèn]</v>
      </c>
      <c r="C59" t="str">
        <f>IF(COUNTIF(B:B,B59)&gt;1,_xlfn.CONCAT(A59," (",M59,")"),B59)</f>
        <v>Guāntīng Zhèn [incl. Qīnghé Zhèn]</v>
      </c>
      <c r="D59" t="s">
        <v>32</v>
      </c>
      <c r="E59" t="s">
        <v>7</v>
      </c>
      <c r="F59" t="str">
        <f>_xlfn.CONCAT(D59,", ",H59,", ",I59,", ","宁夏回族自治区")</f>
        <v>官厅镇, 原州区, 固原市, 宁夏回族自治区</v>
      </c>
      <c r="G59">
        <v>41571</v>
      </c>
      <c r="H59" t="s">
        <v>546</v>
      </c>
      <c r="I59" t="s">
        <v>539</v>
      </c>
      <c r="J59">
        <f>VLOOKUP(F59,[1]!china_towns_second__2[[Column1]:[Y]],3,FALSE)</f>
        <v>36.101128147602097</v>
      </c>
      <c r="K59">
        <f>VLOOKUP(F59,[1]!china_towns_second__2[[Column1]:[Y]],2,FALSE)</f>
        <v>106.3682039</v>
      </c>
      <c r="L59" t="s">
        <v>761</v>
      </c>
      <c r="M59" t="str">
        <f>VLOOKUP(H59,CHOOSE({1,2},Table6[Native],Table6[Name]),2,0)</f>
        <v>Yuánzhōu Qū</v>
      </c>
      <c r="N59" s="15" t="str">
        <f>VLOOKUP(I59,CHOOSE({1,2},Table6[Native],Table6[Name]),2,0)</f>
        <v>Gùyuán Shì</v>
      </c>
      <c r="O59" s="15" t="str">
        <f t="shared" si="0"/>
        <v>Guanting Zhen [incl. Qinghe Zhen] (Gùyuán Shì)</v>
      </c>
      <c r="P59" s="15" t="str">
        <f t="shared" si="1"/>
        <v>Guanting Zhen [incl. Qinghe Zhen] (Gùyuán Shì)</v>
      </c>
    </row>
    <row r="60" spans="1:16" hidden="1" x14ac:dyDescent="0.25">
      <c r="A60" t="s">
        <v>34</v>
      </c>
      <c r="B60" t="str">
        <f>IF(COUNTIF(A:A,A60)&gt;1,_xlfn.CONCAT(A60," (",N60,")"),A60)</f>
        <v>Guānzhuāng Xiāng (Gùyuán Shì)</v>
      </c>
      <c r="C60" t="str">
        <f>IF(COUNTIF(B:B,B60)&gt;1,_xlfn.CONCAT(A60," (",M60,")"),B60)</f>
        <v>Guānzhuāng Xiāng (Gùyuán Shì)</v>
      </c>
      <c r="D60" t="s">
        <v>35</v>
      </c>
      <c r="E60" t="s">
        <v>11</v>
      </c>
      <c r="F60" t="str">
        <f>_xlfn.CONCAT(D60,", ",H60,", ",I60,", ","宁夏回族自治区")</f>
        <v>观庄乡, 隆德县, 固原市, 宁夏回族自治区</v>
      </c>
      <c r="G60">
        <v>17592</v>
      </c>
      <c r="H60" t="s">
        <v>542</v>
      </c>
      <c r="I60" t="s">
        <v>539</v>
      </c>
      <c r="J60" t="e">
        <f>VLOOKUP(F60,[1]!china_towns_second__2[[Column1]:[Y]],3,FALSE)</f>
        <v>#N/A</v>
      </c>
      <c r="K60" t="e">
        <f>VLOOKUP(F60,[1]!china_towns_second__2[[Column1]:[Y]],2,FALSE)</f>
        <v>#N/A</v>
      </c>
      <c r="L60" t="s">
        <v>762</v>
      </c>
      <c r="M60" t="str">
        <f>VLOOKUP(H60,CHOOSE({1,2},Table6[Native],Table6[Name]),2,0)</f>
        <v>Lóngdé Xiàn</v>
      </c>
      <c r="N60" s="15" t="str">
        <f>VLOOKUP(I60,CHOOSE({1,2},Table6[Native],Table6[Name]),2,0)</f>
        <v>Gùyuán Shì</v>
      </c>
      <c r="O60" s="15" t="str">
        <f t="shared" si="0"/>
        <v>Guanzhuang Xiang (Guyuan Shi) (Gùyuán Shì)</v>
      </c>
      <c r="P60" s="15" t="str">
        <f t="shared" si="1"/>
        <v>Guanzhuang Xiang (Guyuan Shi) (Gùyuán Shì)</v>
      </c>
    </row>
    <row r="61" spans="1:16" hidden="1" x14ac:dyDescent="0.25">
      <c r="A61" t="s">
        <v>34</v>
      </c>
      <c r="B61" t="str">
        <f>IF(COUNTIF(A:A,A61)&gt;1,_xlfn.CONCAT(A61," (",N61,")"),A61)</f>
        <v>Guānzhuāng Xiāng (Zhōngwèi Shì)</v>
      </c>
      <c r="C61" t="str">
        <f>IF(COUNTIF(B:B,B61)&gt;1,_xlfn.CONCAT(A61," (",M61,")"),B61)</f>
        <v>Guānzhuāng Xiāng (Zhōngwèi Shì)</v>
      </c>
      <c r="D61" t="s">
        <v>468</v>
      </c>
      <c r="E61" t="s">
        <v>11</v>
      </c>
      <c r="F61" t="str">
        <f>_xlfn.CONCAT(D61,", ",H61,", ",I61,", ","宁夏回族自治区")</f>
        <v>关庄乡, 海原县, 中卫市, 宁夏回族自治区</v>
      </c>
      <c r="G61">
        <v>8667</v>
      </c>
      <c r="H61" t="s">
        <v>571</v>
      </c>
      <c r="I61" t="s">
        <v>570</v>
      </c>
      <c r="J61" t="e">
        <f>VLOOKUP(F61,[1]!china_towns_second__2[[Column1]:[Y]],3,FALSE)</f>
        <v>#N/A</v>
      </c>
      <c r="K61" t="e">
        <f>VLOOKUP(F61,[1]!china_towns_second__2[[Column1]:[Y]],2,FALSE)</f>
        <v>#N/A</v>
      </c>
      <c r="L61" t="s">
        <v>763</v>
      </c>
      <c r="M61" t="str">
        <f>VLOOKUP(H61,CHOOSE({1,2},Table6[Native],Table6[Name]),2,0)</f>
        <v>Hăiyuán Xiàn</v>
      </c>
      <c r="N61" s="15" t="str">
        <f>VLOOKUP(I61,CHOOSE({1,2},Table6[Native],Table6[Name]),2,0)</f>
        <v>Zhōngwèi Shì</v>
      </c>
      <c r="O61" s="15" t="str">
        <f t="shared" si="0"/>
        <v>Guanzhuang Xiang (Zhongwei Shi) (Zhōngwèi Shì)</v>
      </c>
      <c r="P61" s="15" t="str">
        <f t="shared" si="1"/>
        <v>Guanzhuang Xiang (Zhongwei Shi) (Zhōngwèi Shì)</v>
      </c>
    </row>
    <row r="62" spans="1:16" x14ac:dyDescent="0.25">
      <c r="A62" t="s">
        <v>36</v>
      </c>
      <c r="B62" t="str">
        <f>IF(COUNTIF(A:A,A62)&gt;1,_xlfn.CONCAT(A62," (",N62,")"),A62)</f>
        <v>Gŭchéng Zhèn (Gùyuán Shì)</v>
      </c>
      <c r="C62" t="str">
        <f>IF(COUNTIF(B:B,B62)&gt;1,_xlfn.CONCAT(A62," (",M62,")"),B62)</f>
        <v>Gŭchéng Zhèn (Gùyuán Shì)</v>
      </c>
      <c r="D62" t="s">
        <v>37</v>
      </c>
      <c r="E62" t="s">
        <v>7</v>
      </c>
      <c r="F62" t="str">
        <f>_xlfn.CONCAT(D62,", ",H62,", ",I62,", ","宁夏回族自治区")</f>
        <v>古城镇, 彭阳县, 固原市, 宁夏回族自治区</v>
      </c>
      <c r="G62">
        <v>22259</v>
      </c>
      <c r="H62" t="s">
        <v>543</v>
      </c>
      <c r="I62" t="s">
        <v>539</v>
      </c>
      <c r="J62">
        <f>VLOOKUP(F62,[1]!china_towns_second__2[[Column1]:[Y]],3,FALSE)</f>
        <v>35.863872135393102</v>
      </c>
      <c r="K62">
        <f>VLOOKUP(F62,[1]!china_towns_second__2[[Column1]:[Y]],2,FALSE)</f>
        <v>106.4133894</v>
      </c>
      <c r="L62" t="s">
        <v>764</v>
      </c>
      <c r="M62" t="str">
        <f>VLOOKUP(H62,CHOOSE({1,2},Table6[Native],Table6[Name]),2,0)</f>
        <v>Péngyáng Xiàn</v>
      </c>
      <c r="N62" s="15" t="str">
        <f>VLOOKUP(I62,CHOOSE({1,2},Table6[Native],Table6[Name]),2,0)</f>
        <v>Gùyuán Shì</v>
      </c>
      <c r="O62" s="15" t="str">
        <f t="shared" si="0"/>
        <v>Gucheng Zhen (Guyuan Shi) (Gùyuán Shì)</v>
      </c>
      <c r="P62" s="15" t="str">
        <f t="shared" si="1"/>
        <v>Gucheng Zhen (Guyuan Shi) (Gùyuán Shì)</v>
      </c>
    </row>
    <row r="63" spans="1:16" x14ac:dyDescent="0.25">
      <c r="A63" t="s">
        <v>36</v>
      </c>
      <c r="B63" t="str">
        <f>IF(COUNTIF(A:A,A63)&gt;1,_xlfn.CONCAT(A63," (",N63,")"),A63)</f>
        <v>Gŭchéng Zhèn (Wúzhōng Shì)</v>
      </c>
      <c r="C63" t="str">
        <f>IF(COUNTIF(B:B,B63)&gt;1,_xlfn.CONCAT(A63," (",M63,")"),B63)</f>
        <v>Gŭchéng Zhèn (Wúzhōng Shì)</v>
      </c>
      <c r="D63" t="s">
        <v>37</v>
      </c>
      <c r="E63" t="s">
        <v>7</v>
      </c>
      <c r="F63" t="str">
        <f>_xlfn.CONCAT(D63,", ",H63,", ",I63,", ","宁夏回族自治区")</f>
        <v>古城镇, 利通区, 吴忠市, 宁夏回族自治区</v>
      </c>
      <c r="G63">
        <v>38537</v>
      </c>
      <c r="H63" t="s">
        <v>555</v>
      </c>
      <c r="I63" t="s">
        <v>553</v>
      </c>
      <c r="J63">
        <f>VLOOKUP(F63,[1]!china_towns_second__2[[Column1]:[Y]],3,FALSE)</f>
        <v>38.022188434640697</v>
      </c>
      <c r="K63">
        <f>VLOOKUP(F63,[1]!china_towns_second__2[[Column1]:[Y]],2,FALSE)</f>
        <v>106.1919348</v>
      </c>
      <c r="L63" t="s">
        <v>765</v>
      </c>
      <c r="M63" t="str">
        <f>VLOOKUP(H63,CHOOSE({1,2},Table6[Native],Table6[Name]),2,0)</f>
        <v>Lìtōng Qū</v>
      </c>
      <c r="N63" s="15" t="str">
        <f>VLOOKUP(I63,CHOOSE({1,2},Table6[Native],Table6[Name]),2,0)</f>
        <v>Wúzhōng Shì</v>
      </c>
      <c r="O63" s="15" t="str">
        <f t="shared" si="0"/>
        <v>Gucheng Zhen (Wuzhong Shi) (Wúzhōng Shì)</v>
      </c>
      <c r="P63" s="15" t="str">
        <f t="shared" si="1"/>
        <v>Gucheng Zhen (Wuzhong Shi) (Wúzhōng Shì)</v>
      </c>
    </row>
    <row r="64" spans="1:16" hidden="1" x14ac:dyDescent="0.25">
      <c r="A64" t="s">
        <v>249</v>
      </c>
      <c r="B64" t="str">
        <f>IF(COUNTIF(A:A,A64)&gt;1,_xlfn.CONCAT(A64," (",N64,")"),A64)</f>
        <v>Guōjiāqiáo Xiāng [Guōqiáo]</v>
      </c>
      <c r="C64" t="str">
        <f>IF(COUNTIF(B:B,B64)&gt;1,_xlfn.CONCAT(A64," (",M64,")"),B64)</f>
        <v>Guōjiāqiáo Xiāng [Guōqiáo]</v>
      </c>
      <c r="D64" t="s">
        <v>250</v>
      </c>
      <c r="E64" t="s">
        <v>11</v>
      </c>
      <c r="F64" t="str">
        <f>_xlfn.CONCAT(D64,", ",H64,", ",I64,", ","宁夏回族自治区")</f>
        <v>郭家桥乡, 利通区, 吴忠市, 宁夏回族自治区</v>
      </c>
      <c r="G64">
        <v>17620</v>
      </c>
      <c r="H64" t="s">
        <v>555</v>
      </c>
      <c r="I64" t="s">
        <v>553</v>
      </c>
      <c r="J64" t="e">
        <f>VLOOKUP(F64,[1]!china_towns_second__2[[Column1]:[Y]],3,FALSE)</f>
        <v>#N/A</v>
      </c>
      <c r="K64" t="e">
        <f>VLOOKUP(F64,[1]!china_towns_second__2[[Column1]:[Y]],2,FALSE)</f>
        <v>#N/A</v>
      </c>
      <c r="L64" t="s">
        <v>766</v>
      </c>
      <c r="M64" t="str">
        <f>VLOOKUP(H64,CHOOSE({1,2},Table6[Native],Table6[Name]),2,0)</f>
        <v>Lìtōng Qū</v>
      </c>
      <c r="N64" s="15" t="str">
        <f>VLOOKUP(I64,CHOOSE({1,2},Table6[Native],Table6[Name]),2,0)</f>
        <v>Wúzhōng Shì</v>
      </c>
      <c r="O64" s="15" t="str">
        <f t="shared" si="0"/>
        <v>Guojiaqiao Xiang [Guoqiao] (Wúzhōng Shì)</v>
      </c>
      <c r="P64" s="15" t="str">
        <f t="shared" si="1"/>
        <v>Guojiaqiao Xiang [Guoqiao] (Wúzhōng Shì)</v>
      </c>
    </row>
    <row r="65" spans="1:16" hidden="1" x14ac:dyDescent="0.25">
      <c r="A65" t="s">
        <v>163</v>
      </c>
      <c r="B65" t="str">
        <f>IF(COUNTIF(A:A,A65)&gt;1,_xlfn.CONCAT(A65," (",N65,")"),A65)</f>
        <v>Guóyíng Nónglín Mùchăng</v>
      </c>
      <c r="C65" t="str">
        <f>IF(COUNTIF(B:B,B65)&gt;1,_xlfn.CONCAT(A65," (",M65,")"),B65)</f>
        <v>Guóyíng Nónglín Mùchăng</v>
      </c>
      <c r="D65" t="s">
        <v>164</v>
      </c>
      <c r="E65" t="s">
        <v>165</v>
      </c>
      <c r="F65" t="str">
        <f>_xlfn.CONCAT(D65,", ",H65,", ",I65,", ","宁夏回族自治区")</f>
        <v>国营农林牧场, 惠农区, 石嘴山市, 宁夏回族自治区</v>
      </c>
      <c r="G65">
        <v>2521</v>
      </c>
      <c r="H65" t="s">
        <v>550</v>
      </c>
      <c r="I65" t="s">
        <v>548</v>
      </c>
      <c r="J65">
        <f>VLOOKUP(F65,[1]!china_towns_second__2[[Column1]:[Y]],3,FALSE)</f>
        <v>39.134347945080798</v>
      </c>
      <c r="K65">
        <f>VLOOKUP(F65,[1]!china_towns_second__2[[Column1]:[Y]],2,FALSE)</f>
        <v>106.81690140000001</v>
      </c>
      <c r="L65" t="s">
        <v>767</v>
      </c>
      <c r="M65" t="str">
        <f>VLOOKUP(H65,CHOOSE({1,2},Table6[Native],Table6[Name]),2,0)</f>
        <v>Huìnóng Qū</v>
      </c>
      <c r="N65" s="15" t="str">
        <f>VLOOKUP(I65,CHOOSE({1,2},Table6[Native],Table6[Name]),2,0)</f>
        <v>Shízuĭshān Shì</v>
      </c>
      <c r="O65" s="15" t="str">
        <f t="shared" si="0"/>
        <v>Guoying Nonglin Muchang (Shízuĭshān Shì)</v>
      </c>
      <c r="P65" s="15" t="str">
        <f t="shared" si="1"/>
        <v>Guoying Nonglin Muchang (Shízuĭshān Shì)</v>
      </c>
    </row>
    <row r="66" spans="1:16" x14ac:dyDescent="0.25">
      <c r="A66" t="s">
        <v>469</v>
      </c>
      <c r="B66" t="str">
        <f>IF(COUNTIF(A:A,A66)&gt;1,_xlfn.CONCAT(A66," (",N66,")"),A66)</f>
        <v>Hăichéng Zhèn</v>
      </c>
      <c r="C66" t="str">
        <f>IF(COUNTIF(B:B,B66)&gt;1,_xlfn.CONCAT(A66," (",M66,")"),B66)</f>
        <v>Hăichéng Zhèn</v>
      </c>
      <c r="D66" t="s">
        <v>470</v>
      </c>
      <c r="E66" t="s">
        <v>7</v>
      </c>
      <c r="F66" t="str">
        <f>_xlfn.CONCAT(D66,", ",H66,", ",I66,", ","宁夏回族自治区")</f>
        <v>海城镇, 海原县, 中卫市, 宁夏回族自治区</v>
      </c>
      <c r="G66">
        <v>20844</v>
      </c>
      <c r="H66" t="s">
        <v>571</v>
      </c>
      <c r="I66" t="s">
        <v>570</v>
      </c>
      <c r="J66">
        <f>VLOOKUP(F66,[1]!china_towns_second__2[[Column1]:[Y]],3,FALSE)</f>
        <v>36.582093442171498</v>
      </c>
      <c r="K66">
        <f>VLOOKUP(F66,[1]!china_towns_second__2[[Column1]:[Y]],2,FALSE)</f>
        <v>105.6128918</v>
      </c>
      <c r="L66" t="s">
        <v>768</v>
      </c>
      <c r="M66" t="str">
        <f>VLOOKUP(H66,CHOOSE({1,2},Table6[Native],Table6[Name]),2,0)</f>
        <v>Hăiyuán Xiàn</v>
      </c>
      <c r="N66" s="15" t="str">
        <f>VLOOKUP(I66,CHOOSE({1,2},Table6[Native],Table6[Name]),2,0)</f>
        <v>Zhōngwèi Shì</v>
      </c>
      <c r="O66" s="15" t="str">
        <f t="shared" ref="O66:O129" si="2">_xlfn.CONCAT(L66," (",N66,")")</f>
        <v>Haicheng Zhen (Zhōngwèi Shì)</v>
      </c>
      <c r="P66" s="15" t="str">
        <f t="shared" ref="P66:P129" si="3">IF(COUNTIF(O:O,O66)&gt;1,_xlfn.CONCAT(L66," (",M66,")"),O66)</f>
        <v>Haicheng Zhen (Zhōngwèi Shì)</v>
      </c>
    </row>
    <row r="67" spans="1:16" hidden="1" x14ac:dyDescent="0.25">
      <c r="A67" t="s">
        <v>471</v>
      </c>
      <c r="B67" t="str">
        <f>IF(COUNTIF(A:A,A67)&gt;1,_xlfn.CONCAT(A67," (",N67,")"),A67)</f>
        <v>Hănjiàoshuĭ Xiāng</v>
      </c>
      <c r="C67" t="str">
        <f>IF(COUNTIF(B:B,B67)&gt;1,_xlfn.CONCAT(A67," (",M67,")"),B67)</f>
        <v>Hănjiàoshuĭ Xiāng</v>
      </c>
      <c r="D67" t="s">
        <v>472</v>
      </c>
      <c r="E67" t="s">
        <v>11</v>
      </c>
      <c r="F67" t="str">
        <f>_xlfn.CONCAT(D67,", ",H67,", ",I67,", ","宁夏回族自治区")</f>
        <v>喊叫水乡, 中宁县, 中卫市, 宁夏回族自治区</v>
      </c>
      <c r="G67">
        <v>30913</v>
      </c>
      <c r="H67" t="s">
        <v>573</v>
      </c>
      <c r="I67" t="s">
        <v>570</v>
      </c>
      <c r="J67" t="e">
        <f>VLOOKUP(F67,[1]!china_towns_second__2[[Column1]:[Y]],3,FALSE)</f>
        <v>#N/A</v>
      </c>
      <c r="K67" t="e">
        <f>VLOOKUP(F67,[1]!china_towns_second__2[[Column1]:[Y]],2,FALSE)</f>
        <v>#N/A</v>
      </c>
      <c r="L67" t="s">
        <v>769</v>
      </c>
      <c r="M67" t="str">
        <f>VLOOKUP(H67,CHOOSE({1,2},Table6[Native],Table6[Name]),2,0)</f>
        <v>Zhōngníng Xiàn</v>
      </c>
      <c r="N67" s="15" t="str">
        <f>VLOOKUP(I67,CHOOSE({1,2},Table6[Native],Table6[Name]),2,0)</f>
        <v>Zhōngwèi Shì</v>
      </c>
      <c r="O67" s="15" t="str">
        <f t="shared" si="2"/>
        <v>Hanjiaoshui Xiang (Zhōngwèi Shì)</v>
      </c>
      <c r="P67" s="15" t="str">
        <f t="shared" si="3"/>
        <v>Hanjiaoshui Xiang (Zhōngwèi Shì)</v>
      </c>
    </row>
    <row r="68" spans="1:16" x14ac:dyDescent="0.25">
      <c r="A68" t="s">
        <v>352</v>
      </c>
      <c r="B68" t="str">
        <f>IF(COUNTIF(A:A,A68)&gt;1,_xlfn.CONCAT(A68," (",N68,")"),A68)</f>
        <v>Hăojiāqiáo Zhèn</v>
      </c>
      <c r="C68" t="str">
        <f>IF(COUNTIF(B:B,B68)&gt;1,_xlfn.CONCAT(A68," (",M68,")"),B68)</f>
        <v>Hăojiāqiáo Zhèn</v>
      </c>
      <c r="D68" t="s">
        <v>353</v>
      </c>
      <c r="E68" t="s">
        <v>7</v>
      </c>
      <c r="F68" t="str">
        <f>_xlfn.CONCAT(D68,", ",H68,", ",I68,", ","宁夏回族自治区")</f>
        <v>郝家桥镇, 灵武市, 银川市, 宁夏回族自治区</v>
      </c>
      <c r="G68">
        <v>32507</v>
      </c>
      <c r="H68" t="s">
        <v>565</v>
      </c>
      <c r="I68" t="s">
        <v>561</v>
      </c>
      <c r="J68">
        <f>VLOOKUP(F68,[1]!china_towns_second__2[[Column1]:[Y]],3,FALSE)</f>
        <v>37.9388361380486</v>
      </c>
      <c r="K68">
        <f>VLOOKUP(F68,[1]!china_towns_second__2[[Column1]:[Y]],2,FALSE)</f>
        <v>106.38395389999999</v>
      </c>
      <c r="L68" t="s">
        <v>770</v>
      </c>
      <c r="M68" t="str">
        <f>VLOOKUP(H68,CHOOSE({1,2},Table6[Native],Table6[Name]),2,0)</f>
        <v>Língwŭ Shì</v>
      </c>
      <c r="N68" s="15" t="str">
        <f>VLOOKUP(I68,CHOOSE({1,2},Table6[Native],Table6[Name]),2,0)</f>
        <v>Yínchuān Shì</v>
      </c>
      <c r="O68" s="15" t="str">
        <f t="shared" si="2"/>
        <v>Haojiaqiao Zhen (Yínchuān Shì)</v>
      </c>
      <c r="P68" s="15" t="str">
        <f t="shared" si="3"/>
        <v>Haojiaqiao Zhen (Yínchuān Shì)</v>
      </c>
    </row>
    <row r="69" spans="1:16" hidden="1" x14ac:dyDescent="0.25">
      <c r="A69" t="s">
        <v>38</v>
      </c>
      <c r="B69" t="str">
        <f>IF(COUNTIF(A:A,A69)&gt;1,_xlfn.CONCAT(A69," (",N69,")"),A69)</f>
        <v>Hăoshuĭ Xiāng</v>
      </c>
      <c r="C69" t="str">
        <f>IF(COUNTIF(B:B,B69)&gt;1,_xlfn.CONCAT(A69," (",M69,")"),B69)</f>
        <v>Hăoshuĭ Xiāng</v>
      </c>
      <c r="D69" t="s">
        <v>39</v>
      </c>
      <c r="E69" t="s">
        <v>11</v>
      </c>
      <c r="F69" t="str">
        <f>_xlfn.CONCAT(D69,", ",H69,", ",I69,", ","宁夏回族自治区")</f>
        <v>好水乡, 隆德县, 固原市, 宁夏回族自治区</v>
      </c>
      <c r="G69">
        <v>6878</v>
      </c>
      <c r="H69" t="s">
        <v>542</v>
      </c>
      <c r="I69" t="s">
        <v>539</v>
      </c>
      <c r="J69" t="e">
        <f>VLOOKUP(F69,[1]!china_towns_second__2[[Column1]:[Y]],3,FALSE)</f>
        <v>#N/A</v>
      </c>
      <c r="K69" t="e">
        <f>VLOOKUP(F69,[1]!china_towns_second__2[[Column1]:[Y]],2,FALSE)</f>
        <v>#N/A</v>
      </c>
      <c r="L69" t="s">
        <v>771</v>
      </c>
      <c r="M69" t="str">
        <f>VLOOKUP(H69,CHOOSE({1,2},Table6[Native],Table6[Name]),2,0)</f>
        <v>Lóngdé Xiàn</v>
      </c>
      <c r="N69" s="15" t="str">
        <f>VLOOKUP(I69,CHOOSE({1,2},Table6[Native],Table6[Name]),2,0)</f>
        <v>Gùyuán Shì</v>
      </c>
      <c r="O69" s="15" t="str">
        <f t="shared" si="2"/>
        <v>Haoshui Xiang (Gùyuán Shì)</v>
      </c>
      <c r="P69" s="15" t="str">
        <f t="shared" si="3"/>
        <v>Haoshui Xiang (Gùyuán Shì)</v>
      </c>
    </row>
    <row r="70" spans="1:16" hidden="1" x14ac:dyDescent="0.25">
      <c r="A70" t="s">
        <v>166</v>
      </c>
      <c r="B70" t="str">
        <f>IF(COUNTIF(A:A,A70)&gt;1,_xlfn.CONCAT(A70," (",N70,")"),A70)</f>
        <v>Hébīn Jiēdào</v>
      </c>
      <c r="C70" t="str">
        <f>IF(COUNTIF(B:B,B70)&gt;1,_xlfn.CONCAT(A70," (",M70,")"),B70)</f>
        <v>Hébīn Jiēdào</v>
      </c>
      <c r="D70" t="s">
        <v>167</v>
      </c>
      <c r="E70" t="s">
        <v>52</v>
      </c>
      <c r="F70" t="str">
        <f>_xlfn.CONCAT(D70,", ",H70,", ",I70,", ","宁夏回族自治区")</f>
        <v>河滨街道, 惠农区, 石嘴山市, 宁夏回族自治区</v>
      </c>
      <c r="G70">
        <v>24254</v>
      </c>
      <c r="H70" t="s">
        <v>550</v>
      </c>
      <c r="I70" t="s">
        <v>548</v>
      </c>
      <c r="J70">
        <f>VLOOKUP(F70,[1]!china_towns_second__2[[Column1]:[Y]],3,FALSE)</f>
        <v>39.324087252345699</v>
      </c>
      <c r="K70">
        <f>VLOOKUP(F70,[1]!china_towns_second__2[[Column1]:[Y]],2,FALSE)</f>
        <v>106.7566456</v>
      </c>
      <c r="L70" t="s">
        <v>772</v>
      </c>
      <c r="M70" t="str">
        <f>VLOOKUP(H70,CHOOSE({1,2},Table6[Native],Table6[Name]),2,0)</f>
        <v>Huìnóng Qū</v>
      </c>
      <c r="N70" s="15" t="str">
        <f>VLOOKUP(I70,CHOOSE({1,2},Table6[Native],Table6[Name]),2,0)</f>
        <v>Shízuĭshān Shì</v>
      </c>
      <c r="O70" s="15" t="str">
        <f t="shared" si="2"/>
        <v>Hebin Jiedao (Shízuĭshān Shì)</v>
      </c>
      <c r="P70" s="15" t="str">
        <f t="shared" si="3"/>
        <v>Hebin Jiedao (Shízuĭshān Shì)</v>
      </c>
    </row>
    <row r="71" spans="1:16" hidden="1" x14ac:dyDescent="0.25">
      <c r="A71" t="s">
        <v>40</v>
      </c>
      <c r="B71" t="str">
        <f>IF(COUNTIF(A:A,A71)&gt;1,_xlfn.CONCAT(A71," (",N71,")"),A71)</f>
        <v>Héchuān Xiāng</v>
      </c>
      <c r="C71" t="str">
        <f>IF(COUNTIF(B:B,B71)&gt;1,_xlfn.CONCAT(A71," (",M71,")"),B71)</f>
        <v>Héchuān Xiāng</v>
      </c>
      <c r="D71" t="s">
        <v>41</v>
      </c>
      <c r="E71" t="s">
        <v>11</v>
      </c>
      <c r="F71" t="str">
        <f>_xlfn.CONCAT(D71,", ",H71,", ",I71,", ","宁夏回族自治区")</f>
        <v>河川乡, 原州区, 固原市, 宁夏回族自治区</v>
      </c>
      <c r="G71">
        <v>8591</v>
      </c>
      <c r="H71" t="s">
        <v>546</v>
      </c>
      <c r="I71" t="s">
        <v>539</v>
      </c>
      <c r="J71" t="e">
        <f>VLOOKUP(F71,[1]!china_towns_second__2[[Column1]:[Y]],3,FALSE)</f>
        <v>#N/A</v>
      </c>
      <c r="K71" t="e">
        <f>VLOOKUP(F71,[1]!china_towns_second__2[[Column1]:[Y]],2,FALSE)</f>
        <v>#N/A</v>
      </c>
      <c r="L71" t="s">
        <v>773</v>
      </c>
      <c r="M71" t="str">
        <f>VLOOKUP(H71,CHOOSE({1,2},Table6[Native],Table6[Name]),2,0)</f>
        <v>Yuánzhōu Qū</v>
      </c>
      <c r="N71" s="15" t="str">
        <f>VLOOKUP(I71,CHOOSE({1,2},Table6[Native],Table6[Name]),2,0)</f>
        <v>Gùyuán Shì</v>
      </c>
      <c r="O71" s="15" t="str">
        <f t="shared" si="2"/>
        <v>Hechuan Xiang (Gùyuán Shì)</v>
      </c>
      <c r="P71" s="15" t="str">
        <f t="shared" si="3"/>
        <v>Hechuan Xiang (Gùyuán Shì)</v>
      </c>
    </row>
    <row r="72" spans="1:16" hidden="1" x14ac:dyDescent="0.25">
      <c r="A72" t="s">
        <v>354</v>
      </c>
      <c r="B72" t="str">
        <f>IF(COUNTIF(A:A,A72)&gt;1,_xlfn.CONCAT(A72," (",N72,")"),A72)</f>
        <v>Hèlánshān Xīlù Jiēdào</v>
      </c>
      <c r="C72" t="str">
        <f>IF(COUNTIF(B:B,B72)&gt;1,_xlfn.CONCAT(A72," (",M72,")"),B72)</f>
        <v>Hèlánshān Xīlù Jiēdào</v>
      </c>
      <c r="D72" t="s">
        <v>355</v>
      </c>
      <c r="E72" t="s">
        <v>52</v>
      </c>
      <c r="F72" t="str">
        <f>_xlfn.CONCAT(D72,", ",H72,", ",I72,", ","宁夏回族自治区")</f>
        <v>贺兰山西路街道, 西夏区, 银川市, 宁夏回族自治区</v>
      </c>
      <c r="G72">
        <v>65619</v>
      </c>
      <c r="H72" t="s">
        <v>567</v>
      </c>
      <c r="I72" t="s">
        <v>561</v>
      </c>
      <c r="J72">
        <f>VLOOKUP(F72,[1]!china_towns_second__2[[Column1]:[Y]],3,FALSE)</f>
        <v>38.594725639354898</v>
      </c>
      <c r="K72">
        <f>VLOOKUP(F72,[1]!china_towns_second__2[[Column1]:[Y]],2,FALSE)</f>
        <v>106.1297718</v>
      </c>
      <c r="L72" t="s">
        <v>774</v>
      </c>
      <c r="M72" t="str">
        <f>VLOOKUP(H72,CHOOSE({1,2},Table6[Native],Table6[Name]),2,0)</f>
        <v>Xīxià Qū</v>
      </c>
      <c r="N72" s="15" t="str">
        <f>VLOOKUP(I72,CHOOSE({1,2},Table6[Native],Table6[Name]),2,0)</f>
        <v>Yínchuān Shì</v>
      </c>
      <c r="O72" s="15" t="str">
        <f t="shared" si="2"/>
        <v>Helanshan Xilu Jiedao (Yínchuān Shì)</v>
      </c>
      <c r="P72" s="15" t="str">
        <f t="shared" si="3"/>
        <v>Helanshan Xilu Jiedao (Yínchuān Shì)</v>
      </c>
    </row>
    <row r="73" spans="1:16" x14ac:dyDescent="0.25">
      <c r="A73" t="s">
        <v>251</v>
      </c>
      <c r="B73" t="str">
        <f>IF(COUNTIF(A:A,A73)&gt;1,_xlfn.CONCAT(A73," (",N73,")"),A73)</f>
        <v>Héxī Zhèn</v>
      </c>
      <c r="C73" t="str">
        <f>IF(COUNTIF(B:B,B73)&gt;1,_xlfn.CONCAT(A73," (",M73,")"),B73)</f>
        <v>Héxī Zhèn</v>
      </c>
      <c r="D73" t="s">
        <v>252</v>
      </c>
      <c r="E73" t="s">
        <v>7</v>
      </c>
      <c r="F73" t="str">
        <f>_xlfn.CONCAT(D73,", ",H73,", ",I73,", ","宁夏回族自治区")</f>
        <v>河西镇, 同心县, 吴忠市, 宁夏回族自治区</v>
      </c>
      <c r="G73">
        <v>40914</v>
      </c>
      <c r="H73" t="s">
        <v>558</v>
      </c>
      <c r="I73" t="s">
        <v>553</v>
      </c>
      <c r="J73">
        <f>VLOOKUP(F73,[1]!china_towns_second__2[[Column1]:[Y]],3,FALSE)</f>
        <v>37.134312513332603</v>
      </c>
      <c r="K73">
        <f>VLOOKUP(F73,[1]!china_towns_second__2[[Column1]:[Y]],2,FALSE)</f>
        <v>105.8644142</v>
      </c>
      <c r="L73" t="s">
        <v>775</v>
      </c>
      <c r="M73" t="str">
        <f>VLOOKUP(H73,CHOOSE({1,2},Table6[Native],Table6[Name]),2,0)</f>
        <v>Tóngxīn Xiàn</v>
      </c>
      <c r="N73" s="15" t="str">
        <f>VLOOKUP(I73,CHOOSE({1,2},Table6[Native],Table6[Name]),2,0)</f>
        <v>Wúzhōng Shì</v>
      </c>
      <c r="O73" s="15" t="str">
        <f t="shared" si="2"/>
        <v>Hexi Zhen (Wúzhōng Shì)</v>
      </c>
      <c r="P73" s="15" t="str">
        <f t="shared" si="3"/>
        <v>Hexi Zhen (Wúzhōng Shì)</v>
      </c>
    </row>
    <row r="74" spans="1:16" x14ac:dyDescent="0.25">
      <c r="A74" t="s">
        <v>356</v>
      </c>
      <c r="B74" t="str">
        <f>IF(COUNTIF(A:A,A74)&gt;1,_xlfn.CONCAT(A74," (",N74,")"),A74)</f>
        <v>Hóngguăng Zhèn</v>
      </c>
      <c r="C74" t="str">
        <f>IF(COUNTIF(B:B,B74)&gt;1,_xlfn.CONCAT(A74," (",M74,")"),B74)</f>
        <v>Hóngguăng Zhèn</v>
      </c>
      <c r="D74" t="s">
        <v>357</v>
      </c>
      <c r="E74" t="s">
        <v>7</v>
      </c>
      <c r="F74" t="str">
        <f>_xlfn.CONCAT(D74,", ",H74,", ",I74,", ","宁夏回族自治区")</f>
        <v>洪广镇, 贺兰县, 银川市, 宁夏回族自治区</v>
      </c>
      <c r="G74">
        <v>17409</v>
      </c>
      <c r="H74" t="s">
        <v>562</v>
      </c>
      <c r="I74" t="s">
        <v>561</v>
      </c>
      <c r="J74">
        <f>VLOOKUP(F74,[1]!china_towns_second__2[[Column1]:[Y]],3,FALSE)</f>
        <v>38.752769329441399</v>
      </c>
      <c r="K74">
        <f>VLOOKUP(F74,[1]!china_towns_second__2[[Column1]:[Y]],2,FALSE)</f>
        <v>106.087129</v>
      </c>
      <c r="L74" t="s">
        <v>776</v>
      </c>
      <c r="M74" t="str">
        <f>VLOOKUP(H74,CHOOSE({1,2},Table6[Native],Table6[Name]),2,0)</f>
        <v>Hèlán Xiàn</v>
      </c>
      <c r="N74" s="15" t="str">
        <f>VLOOKUP(I74,CHOOSE({1,2},Table6[Native],Table6[Name]),2,0)</f>
        <v>Yínchuān Shì</v>
      </c>
      <c r="O74" s="15" t="str">
        <f t="shared" si="2"/>
        <v>Hongguang Zhen (Yínchuān Shì)</v>
      </c>
      <c r="P74" s="15" t="str">
        <f t="shared" si="3"/>
        <v>Hongguang Zhen (Yínchuān Shì)</v>
      </c>
    </row>
    <row r="75" spans="1:16" x14ac:dyDescent="0.25">
      <c r="A75" t="s">
        <v>168</v>
      </c>
      <c r="B75" t="str">
        <f>IF(COUNTIF(A:A,A75)&gt;1,_xlfn.CONCAT(A75," (",N75,")"),A75)</f>
        <v>Hóngguŏzi Zhèn</v>
      </c>
      <c r="C75" t="str">
        <f>IF(COUNTIF(B:B,B75)&gt;1,_xlfn.CONCAT(A75," (",M75,")"),B75)</f>
        <v>Hóngguŏzi Zhèn</v>
      </c>
      <c r="D75" t="s">
        <v>169</v>
      </c>
      <c r="E75" t="s">
        <v>7</v>
      </c>
      <c r="F75" t="str">
        <f>_xlfn.CONCAT(D75,", ",H75,", ",I75,", ","宁夏回族自治区")</f>
        <v>红果子镇, 惠农区, 石嘴山市, 宁夏回族自治区</v>
      </c>
      <c r="G75">
        <v>21426</v>
      </c>
      <c r="H75" t="s">
        <v>550</v>
      </c>
      <c r="I75" t="s">
        <v>548</v>
      </c>
      <c r="J75">
        <f>VLOOKUP(F75,[1]!china_towns_second__2[[Column1]:[Y]],3,FALSE)</f>
        <v>39.244642093007897</v>
      </c>
      <c r="K75">
        <f>VLOOKUP(F75,[1]!china_towns_second__2[[Column1]:[Y]],2,FALSE)</f>
        <v>106.6168361</v>
      </c>
      <c r="L75" t="s">
        <v>777</v>
      </c>
      <c r="M75" t="str">
        <f>VLOOKUP(H75,CHOOSE({1,2},Table6[Native],Table6[Name]),2,0)</f>
        <v>Huìnóng Qū</v>
      </c>
      <c r="N75" s="15" t="str">
        <f>VLOOKUP(I75,CHOOSE({1,2},Table6[Native],Table6[Name]),2,0)</f>
        <v>Shízuĭshān Shì</v>
      </c>
      <c r="O75" s="15" t="str">
        <f t="shared" si="2"/>
        <v>Hongguozi Zhen (Shízuĭshān Shì)</v>
      </c>
      <c r="P75" s="15" t="str">
        <f t="shared" si="3"/>
        <v>Hongguozi Zhen (Shízuĭshān Shì)</v>
      </c>
    </row>
    <row r="76" spans="1:16" x14ac:dyDescent="0.25">
      <c r="A76" t="s">
        <v>42</v>
      </c>
      <c r="B76" t="str">
        <f>IF(COUNTIF(A:A,A76)&gt;1,_xlfn.CONCAT(A76," (",N76,")"),A76)</f>
        <v>Hónghé Zhèn</v>
      </c>
      <c r="C76" t="str">
        <f>IF(COUNTIF(B:B,B76)&gt;1,_xlfn.CONCAT(A76," (",M76,")"),B76)</f>
        <v>Hónghé Zhèn</v>
      </c>
      <c r="D76" t="s">
        <v>43</v>
      </c>
      <c r="E76" t="s">
        <v>7</v>
      </c>
      <c r="F76" t="str">
        <f>_xlfn.CONCAT(D76,", ",H76,", ",I76,", ","宁夏回族自治区")</f>
        <v>红河镇, 彭阳县, 固原市, 宁夏回族自治区</v>
      </c>
      <c r="G76">
        <v>17833</v>
      </c>
      <c r="H76" t="s">
        <v>543</v>
      </c>
      <c r="I76" t="s">
        <v>539</v>
      </c>
      <c r="J76">
        <f>VLOOKUP(F76,[1]!china_towns_second__2[[Column1]:[Y]],3,FALSE)</f>
        <v>35.751374201310902</v>
      </c>
      <c r="K76">
        <f>VLOOKUP(F76,[1]!china_towns_second__2[[Column1]:[Y]],2,FALSE)</f>
        <v>106.7049461</v>
      </c>
      <c r="L76" t="s">
        <v>778</v>
      </c>
      <c r="M76" t="str">
        <f>VLOOKUP(H76,CHOOSE({1,2},Table6[Native],Table6[Name]),2,0)</f>
        <v>Péngyáng Xiàn</v>
      </c>
      <c r="N76" s="15" t="str">
        <f>VLOOKUP(I76,CHOOSE({1,2},Table6[Native],Table6[Name]),2,0)</f>
        <v>Gùyuán Shì</v>
      </c>
      <c r="O76" s="15" t="str">
        <f t="shared" si="2"/>
        <v>Honghe Zhen (Gùyuán Shì)</v>
      </c>
      <c r="P76" s="15" t="str">
        <f t="shared" si="3"/>
        <v>Honghe Zhen (Gùyuán Shì)</v>
      </c>
    </row>
    <row r="77" spans="1:16" hidden="1" x14ac:dyDescent="0.25">
      <c r="A77" t="s">
        <v>253</v>
      </c>
      <c r="B77" t="str">
        <f>IF(COUNTIF(A:A,A77)&gt;1,_xlfn.CONCAT(A77," (",N77,")"),A77)</f>
        <v>Hóngsìbăo Gōngyè Yuánqū Guănwĕihuì</v>
      </c>
      <c r="C77" t="str">
        <f>IF(COUNTIF(B:B,B77)&gt;1,_xlfn.CONCAT(A77," (",M77,")"),B77)</f>
        <v>Hóngsìbăo Gōngyè Yuánqū Guănwĕihuì</v>
      </c>
      <c r="D77" t="s">
        <v>254</v>
      </c>
      <c r="E77" t="s">
        <v>165</v>
      </c>
      <c r="F77" t="str">
        <f>_xlfn.CONCAT(D77,", ",H77,", ",I77,", ","宁夏回族自治区")</f>
        <v>红寺堡工业园区管委会, 红寺堡区, 吴忠市, 宁夏回族自治区</v>
      </c>
      <c r="G77">
        <v>348</v>
      </c>
      <c r="H77" t="s">
        <v>554</v>
      </c>
      <c r="I77" t="s">
        <v>553</v>
      </c>
      <c r="J77" t="e">
        <f>VLOOKUP(F77,[1]!china_towns_second__2[[Column1]:[Y]],3,FALSE)</f>
        <v>#N/A</v>
      </c>
      <c r="K77" t="e">
        <f>VLOOKUP(F77,[1]!china_towns_second__2[[Column1]:[Y]],2,FALSE)</f>
        <v>#N/A</v>
      </c>
      <c r="L77" t="s">
        <v>779</v>
      </c>
      <c r="M77" t="str">
        <f>VLOOKUP(H77,CHOOSE({1,2},Table6[Native],Table6[Name]),2,0)</f>
        <v>Hóngsìpǔ Qū</v>
      </c>
      <c r="N77" s="15" t="str">
        <f>VLOOKUP(I77,CHOOSE({1,2},Table6[Native],Table6[Name]),2,0)</f>
        <v>Wúzhōng Shì</v>
      </c>
      <c r="O77" s="15" t="str">
        <f t="shared" si="2"/>
        <v>Hongsibao Gongye Yuanqu Guanweihui (Wúzhōng Shì)</v>
      </c>
      <c r="P77" s="15" t="str">
        <f t="shared" si="3"/>
        <v>Hongsibao Gongye Yuanqu Guanweihui (Wúzhōng Shì)</v>
      </c>
    </row>
    <row r="78" spans="1:16" x14ac:dyDescent="0.25">
      <c r="A78" t="s">
        <v>255</v>
      </c>
      <c r="B78" t="str">
        <f>IF(COUNTIF(A:A,A78)&gt;1,_xlfn.CONCAT(A78," (",N78,")"),A78)</f>
        <v>Hóngsìbăo Zhèn [incl. Xīnmín Jiēdào]</v>
      </c>
      <c r="C78" t="str">
        <f>IF(COUNTIF(B:B,B78)&gt;1,_xlfn.CONCAT(A78," (",M78,")"),B78)</f>
        <v>Hóngsìbăo Zhèn [incl. Xīnmín Jiēdào]</v>
      </c>
      <c r="D78" t="s">
        <v>256</v>
      </c>
      <c r="E78" t="s">
        <v>7</v>
      </c>
      <c r="F78" t="str">
        <f>_xlfn.CONCAT(D78,", ",H78,", ",I78,", ","宁夏回族自治区")</f>
        <v>红寺堡镇, 红寺堡区, 吴忠市, 宁夏回族自治区</v>
      </c>
      <c r="G78">
        <v>73750</v>
      </c>
      <c r="H78" t="s">
        <v>554</v>
      </c>
      <c r="I78" t="s">
        <v>553</v>
      </c>
      <c r="J78">
        <f>VLOOKUP(F78,[1]!china_towns_second__2[[Column1]:[Y]],3,FALSE)</f>
        <v>37.461930250880798</v>
      </c>
      <c r="K78">
        <f>VLOOKUP(F78,[1]!china_towns_second__2[[Column1]:[Y]],2,FALSE)</f>
        <v>106.0741056</v>
      </c>
      <c r="L78" t="s">
        <v>780</v>
      </c>
      <c r="M78" t="str">
        <f>VLOOKUP(H78,CHOOSE({1,2},Table6[Native],Table6[Name]),2,0)</f>
        <v>Hóngsìpǔ Qū</v>
      </c>
      <c r="N78" s="15" t="str">
        <f>VLOOKUP(I78,CHOOSE({1,2},Table6[Native],Table6[Name]),2,0)</f>
        <v>Wúzhōng Shì</v>
      </c>
      <c r="O78" s="15" t="str">
        <f t="shared" si="2"/>
        <v>Hongsibao Zhen [incl. Xinmin Jiedao] (Wúzhōng Shì)</v>
      </c>
      <c r="P78" s="15" t="str">
        <f t="shared" si="3"/>
        <v>Hongsibao Zhen [incl. Xinmin Jiedao] (Wúzhōng Shì)</v>
      </c>
    </row>
    <row r="79" spans="1:16" hidden="1" x14ac:dyDescent="0.25">
      <c r="A79" t="s">
        <v>473</v>
      </c>
      <c r="B79" t="str">
        <f>IF(COUNTIF(A:A,A79)&gt;1,_xlfn.CONCAT(A79," (",N79,")"),A79)</f>
        <v>Hóngyáng Xiāng</v>
      </c>
      <c r="C79" t="str">
        <f>IF(COUNTIF(B:B,B79)&gt;1,_xlfn.CONCAT(A79," (",M79,")"),B79)</f>
        <v>Hóngyáng Xiāng</v>
      </c>
      <c r="D79" t="s">
        <v>474</v>
      </c>
      <c r="E79" t="s">
        <v>11</v>
      </c>
      <c r="F79" t="str">
        <f>_xlfn.CONCAT(D79,", ",H79,", ",I79,", ","宁夏回族自治区")</f>
        <v>红羊乡, 海原县, 中卫市, 宁夏回族自治区</v>
      </c>
      <c r="G79">
        <v>16838</v>
      </c>
      <c r="H79" t="s">
        <v>571</v>
      </c>
      <c r="I79" t="s">
        <v>570</v>
      </c>
      <c r="J79" t="e">
        <f>VLOOKUP(F79,[1]!china_towns_second__2[[Column1]:[Y]],3,FALSE)</f>
        <v>#N/A</v>
      </c>
      <c r="K79" t="e">
        <f>VLOOKUP(F79,[1]!china_towns_second__2[[Column1]:[Y]],2,FALSE)</f>
        <v>#N/A</v>
      </c>
      <c r="L79" t="s">
        <v>781</v>
      </c>
      <c r="M79" t="str">
        <f>VLOOKUP(H79,CHOOSE({1,2},Table6[Native],Table6[Name]),2,0)</f>
        <v>Hăiyuán Xiàn</v>
      </c>
      <c r="N79" s="15" t="str">
        <f>VLOOKUP(I79,CHOOSE({1,2},Table6[Native],Table6[Name]),2,0)</f>
        <v>Zhōngwèi Shì</v>
      </c>
      <c r="O79" s="15" t="str">
        <f t="shared" si="2"/>
        <v>Hongyang Xiang (Zhōngwèi Shì)</v>
      </c>
      <c r="P79" s="15" t="str">
        <f t="shared" si="3"/>
        <v>Hongyang Xiang (Zhōngwèi Shì)</v>
      </c>
    </row>
    <row r="80" spans="1:16" hidden="1" x14ac:dyDescent="0.25">
      <c r="A80" t="s">
        <v>44</v>
      </c>
      <c r="B80" t="str">
        <f>IF(COUNTIF(A:A,A80)&gt;1,_xlfn.CONCAT(A80," (",N80,")"),A80)</f>
        <v>Hóngyào Xiāng</v>
      </c>
      <c r="C80" t="str">
        <f>IF(COUNTIF(B:B,B80)&gt;1,_xlfn.CONCAT(A80," (",M80,")"),B80)</f>
        <v>Hóngyào Xiāng</v>
      </c>
      <c r="D80" t="s">
        <v>45</v>
      </c>
      <c r="E80" t="s">
        <v>11</v>
      </c>
      <c r="F80" t="str">
        <f>_xlfn.CONCAT(D80,", ",H80,", ",I80,", ","宁夏回族自治区")</f>
        <v>红耀乡, 西吉县, 固原市, 宁夏回族自治区</v>
      </c>
      <c r="G80">
        <v>7160</v>
      </c>
      <c r="H80" t="s">
        <v>544</v>
      </c>
      <c r="I80" t="s">
        <v>539</v>
      </c>
      <c r="J80" t="e">
        <f>VLOOKUP(F80,[1]!china_towns_second__2[[Column1]:[Y]],3,FALSE)</f>
        <v>#N/A</v>
      </c>
      <c r="K80" t="e">
        <f>VLOOKUP(F80,[1]!china_towns_second__2[[Column1]:[Y]],2,FALSE)</f>
        <v>#N/A</v>
      </c>
      <c r="L80" t="s">
        <v>782</v>
      </c>
      <c r="M80" t="str">
        <f>VLOOKUP(H80,CHOOSE({1,2},Table6[Native],Table6[Name]),2,0)</f>
        <v>Xījí Xiàn</v>
      </c>
      <c r="N80" s="15" t="str">
        <f>VLOOKUP(I80,CHOOSE({1,2},Table6[Native],Table6[Name]),2,0)</f>
        <v>Gùyuán Shì</v>
      </c>
      <c r="O80" s="15" t="str">
        <f t="shared" si="2"/>
        <v>Hongyao Xiang (Gùyuán Shì)</v>
      </c>
      <c r="P80" s="15" t="str">
        <f t="shared" si="3"/>
        <v>Hongyao Xiang (Gùyuán Shì)</v>
      </c>
    </row>
    <row r="81" spans="1:16" hidden="1" x14ac:dyDescent="0.25">
      <c r="A81" t="s">
        <v>170</v>
      </c>
      <c r="B81" t="str">
        <f>IF(COUNTIF(A:A,A81)&gt;1,_xlfn.CONCAT(A81," (",N81,")"),A81)</f>
        <v>Hóngyázi Xiāng</v>
      </c>
      <c r="C81" t="str">
        <f>IF(COUNTIF(B:B,B81)&gt;1,_xlfn.CONCAT(A81," (",M81,")"),B81)</f>
        <v>Hóngyázi Xiāng</v>
      </c>
      <c r="D81" t="s">
        <v>171</v>
      </c>
      <c r="E81" t="s">
        <v>11</v>
      </c>
      <c r="F81" t="str">
        <f>_xlfn.CONCAT(D81,", ",H81,", ",I81,", ","宁夏回族自治区")</f>
        <v>红崖子乡, 平罗县, 石嘴山市, 宁夏回族自治区</v>
      </c>
      <c r="G81">
        <v>6646</v>
      </c>
      <c r="H81" t="s">
        <v>551</v>
      </c>
      <c r="I81" t="s">
        <v>548</v>
      </c>
      <c r="J81" t="e">
        <f>VLOOKUP(F81,[1]!china_towns_second__2[[Column1]:[Y]],3,FALSE)</f>
        <v>#N/A</v>
      </c>
      <c r="K81" t="e">
        <f>VLOOKUP(F81,[1]!china_towns_second__2[[Column1]:[Y]],2,FALSE)</f>
        <v>#N/A</v>
      </c>
      <c r="L81" t="s">
        <v>783</v>
      </c>
      <c r="M81" t="str">
        <f>VLOOKUP(H81,CHOOSE({1,2},Table6[Native],Table6[Name]),2,0)</f>
        <v>Píngluó Xiàn</v>
      </c>
      <c r="N81" s="15" t="str">
        <f>VLOOKUP(I81,CHOOSE({1,2},Table6[Native],Table6[Name]),2,0)</f>
        <v>Shízuĭshān Shì</v>
      </c>
      <c r="O81" s="15" t="str">
        <f t="shared" si="2"/>
        <v>Hongyazi Xiang (Shízuĭshān Shì)</v>
      </c>
      <c r="P81" s="15" t="str">
        <f t="shared" si="3"/>
        <v>Hongyazi Xiang (Shízuĭshān Shì)</v>
      </c>
    </row>
    <row r="82" spans="1:16" x14ac:dyDescent="0.25">
      <c r="A82" t="s">
        <v>257</v>
      </c>
      <c r="B82" t="str">
        <f>IF(COUNTIF(A:A,A82)&gt;1,_xlfn.CONCAT(A82," (",N82,")"),A82)</f>
        <v>Huāmăchí Zhèn</v>
      </c>
      <c r="C82" t="str">
        <f>IF(COUNTIF(B:B,B82)&gt;1,_xlfn.CONCAT(A82," (",M82,")"),B82)</f>
        <v>Huāmăchí Zhèn</v>
      </c>
      <c r="D82" t="s">
        <v>258</v>
      </c>
      <c r="E82" t="s">
        <v>7</v>
      </c>
      <c r="F82" t="str">
        <f>_xlfn.CONCAT(D82,", ",H82,", ",I82,", ","宁夏回族自治区")</f>
        <v>花马池镇, 盐池县, 吴忠市, 宁夏回族自治区</v>
      </c>
      <c r="G82">
        <v>77426</v>
      </c>
      <c r="H82" t="s">
        <v>559</v>
      </c>
      <c r="I82" t="s">
        <v>553</v>
      </c>
      <c r="J82">
        <f>VLOOKUP(F82,[1]!china_towns_second__2[[Column1]:[Y]],3,FALSE)</f>
        <v>37.8967083453499</v>
      </c>
      <c r="K82">
        <f>VLOOKUP(F82,[1]!china_towns_second__2[[Column1]:[Y]],2,FALSE)</f>
        <v>107.3482824</v>
      </c>
      <c r="L82" t="s">
        <v>784</v>
      </c>
      <c r="M82" t="str">
        <f>VLOOKUP(H82,CHOOSE({1,2},Table6[Native],Table6[Name]),2,0)</f>
        <v>Yánchí Xiàn</v>
      </c>
      <c r="N82" s="15" t="str">
        <f>VLOOKUP(I82,CHOOSE({1,2},Table6[Native],Table6[Name]),2,0)</f>
        <v>Wúzhōng Shì</v>
      </c>
      <c r="O82" s="15" t="str">
        <f t="shared" si="2"/>
        <v>Huamachi Zhen (Wúzhōng Shì)</v>
      </c>
      <c r="P82" s="15" t="str">
        <f t="shared" si="3"/>
        <v>Huamachi Zhen (Wúzhōng Shì)</v>
      </c>
    </row>
    <row r="83" spans="1:16" hidden="1" x14ac:dyDescent="0.25">
      <c r="A83" t="s">
        <v>358</v>
      </c>
      <c r="B83" t="str">
        <f>IF(COUNTIF(A:A,A83)&gt;1,_xlfn.CONCAT(A83," (",N83,")"),A83)</f>
        <v>Huánghé Dōnglù Jiēdào</v>
      </c>
      <c r="C83" t="str">
        <f>IF(COUNTIF(B:B,B83)&gt;1,_xlfn.CONCAT(A83," (",M83,")"),B83)</f>
        <v>Huánghé Dōnglù Jiēdào</v>
      </c>
      <c r="D83" t="s">
        <v>359</v>
      </c>
      <c r="E83" t="s">
        <v>52</v>
      </c>
      <c r="F83" t="str">
        <f>_xlfn.CONCAT(D83,", ",H83,", ",I83,", ","宁夏回族自治区")</f>
        <v>黄河东路街道, 金凤区, 银川市, 宁夏回族自治区</v>
      </c>
      <c r="G83">
        <v>56528</v>
      </c>
      <c r="H83" t="s">
        <v>563</v>
      </c>
      <c r="I83" t="s">
        <v>561</v>
      </c>
      <c r="J83">
        <f>VLOOKUP(F83,[1]!china_towns_second__2[[Column1]:[Y]],3,FALSE)</f>
        <v>38.447547137064099</v>
      </c>
      <c r="K83">
        <f>VLOOKUP(F83,[1]!china_towns_second__2[[Column1]:[Y]],2,FALSE)</f>
        <v>106.1841103</v>
      </c>
      <c r="L83" t="s">
        <v>785</v>
      </c>
      <c r="M83" t="str">
        <f>VLOOKUP(H83,CHOOSE({1,2},Table6[Native],Table6[Name]),2,0)</f>
        <v>Jīnfèng Qū</v>
      </c>
      <c r="N83" s="15" t="str">
        <f>VLOOKUP(I83,CHOOSE({1,2},Table6[Native],Table6[Name]),2,0)</f>
        <v>Yínchuān Shì</v>
      </c>
      <c r="O83" s="15" t="str">
        <f t="shared" si="2"/>
        <v>Huanghe Donglu Jiedao (Yínchuān Shì)</v>
      </c>
      <c r="P83" s="15" t="str">
        <f t="shared" si="3"/>
        <v>Huanghe Donglu Jiedao (Yínchuān Shì)</v>
      </c>
    </row>
    <row r="84" spans="1:16" hidden="1" x14ac:dyDescent="0.25">
      <c r="A84" t="s">
        <v>46</v>
      </c>
      <c r="B84" t="str">
        <f>IF(COUNTIF(A:A,A84)&gt;1,_xlfn.CONCAT(A84," (",N84,")"),A84)</f>
        <v>Huánghuā Xiāng</v>
      </c>
      <c r="C84" t="str">
        <f>IF(COUNTIF(B:B,B84)&gt;1,_xlfn.CONCAT(A84," (",M84,")"),B84)</f>
        <v>Huánghuā Xiāng</v>
      </c>
      <c r="D84" t="s">
        <v>47</v>
      </c>
      <c r="E84" t="s">
        <v>11</v>
      </c>
      <c r="F84" t="str">
        <f>_xlfn.CONCAT(D84,", ",H84,", ",I84,", ","宁夏回族自治区")</f>
        <v>黄花乡, 泾源县, 固原市, 宁夏回族自治区</v>
      </c>
      <c r="G84">
        <v>9383</v>
      </c>
      <c r="H84" t="s">
        <v>541</v>
      </c>
      <c r="I84" t="s">
        <v>539</v>
      </c>
      <c r="J84" t="e">
        <f>VLOOKUP(F84,[1]!china_towns_second__2[[Column1]:[Y]],3,FALSE)</f>
        <v>#N/A</v>
      </c>
      <c r="K84" t="e">
        <f>VLOOKUP(F84,[1]!china_towns_second__2[[Column1]:[Y]],2,FALSE)</f>
        <v>#N/A</v>
      </c>
      <c r="L84" t="s">
        <v>786</v>
      </c>
      <c r="M84" t="str">
        <f>VLOOKUP(H84,CHOOSE({1,2},Table6[Native],Table6[Name]),2,0)</f>
        <v>Jīngyuán Xiàn</v>
      </c>
      <c r="N84" s="15" t="str">
        <f>VLOOKUP(I84,CHOOSE({1,2},Table6[Native],Table6[Name]),2,0)</f>
        <v>Gùyuán Shì</v>
      </c>
      <c r="O84" s="15" t="str">
        <f t="shared" si="2"/>
        <v>Huanghua Xiang (Gùyuán Shì)</v>
      </c>
      <c r="P84" s="15" t="str">
        <f t="shared" si="3"/>
        <v>Huanghua Xiang (Gùyuán Shì)</v>
      </c>
    </row>
    <row r="85" spans="1:16" x14ac:dyDescent="0.25">
      <c r="A85" t="s">
        <v>172</v>
      </c>
      <c r="B85" t="str">
        <f>IF(COUNTIF(A:A,A85)&gt;1,_xlfn.CONCAT(A85," (",N85,")"),A85)</f>
        <v>Huángqúqiáo Zhèn</v>
      </c>
      <c r="C85" t="str">
        <f>IF(COUNTIF(B:B,B85)&gt;1,_xlfn.CONCAT(A85," (",M85,")"),B85)</f>
        <v>Huángqúqiáo Zhèn</v>
      </c>
      <c r="D85" t="s">
        <v>173</v>
      </c>
      <c r="E85" t="s">
        <v>7</v>
      </c>
      <c r="F85" t="str">
        <f>_xlfn.CONCAT(D85,", ",H85,", ",I85,", ","宁夏回族自治区")</f>
        <v>黄渠桥镇, 平罗县, 石嘴山市, 宁夏回族自治区</v>
      </c>
      <c r="G85">
        <v>14739</v>
      </c>
      <c r="H85" t="s">
        <v>551</v>
      </c>
      <c r="I85" t="s">
        <v>548</v>
      </c>
      <c r="J85">
        <f>VLOOKUP(F85,[1]!china_towns_second__2[[Column1]:[Y]],3,FALSE)</f>
        <v>39.009299454712099</v>
      </c>
      <c r="K85">
        <f>VLOOKUP(F85,[1]!china_towns_second__2[[Column1]:[Y]],2,FALSE)</f>
        <v>106.6472342</v>
      </c>
      <c r="L85" t="s">
        <v>787</v>
      </c>
      <c r="M85" t="str">
        <f>VLOOKUP(H85,CHOOSE({1,2},Table6[Native],Table6[Name]),2,0)</f>
        <v>Píngluó Xiàn</v>
      </c>
      <c r="N85" s="15" t="str">
        <f>VLOOKUP(I85,CHOOSE({1,2},Table6[Native],Table6[Name]),2,0)</f>
        <v>Shízuĭshān Shì</v>
      </c>
      <c r="O85" s="15" t="str">
        <f t="shared" si="2"/>
        <v>Huangquqiao Zhen (Shízuĭshān Shì)</v>
      </c>
      <c r="P85" s="15" t="str">
        <f t="shared" si="3"/>
        <v>Huangquqiao Zhen (Shízuĭshān Shì)</v>
      </c>
    </row>
    <row r="86" spans="1:16" hidden="1" x14ac:dyDescent="0.25">
      <c r="A86" t="s">
        <v>360</v>
      </c>
      <c r="B86" t="str">
        <f>IF(COUNTIF(A:A,A86)&gt;1,_xlfn.CONCAT(A86," (",N86,")"),A86)</f>
        <v>Huángyángtān Nóngchăng</v>
      </c>
      <c r="C86" t="str">
        <f>IF(COUNTIF(B:B,B86)&gt;1,_xlfn.CONCAT(A86," (",M86,")"),B86)</f>
        <v>Huángyángtān Nóngchăng</v>
      </c>
      <c r="D86" t="s">
        <v>361</v>
      </c>
      <c r="E86" t="s">
        <v>165</v>
      </c>
      <c r="F86" t="str">
        <f>_xlfn.CONCAT(D86,", ",H86,", ",I86,", ","宁夏回族自治区")</f>
        <v>黄羊滩农场, 永宁县, 银川市, 宁夏回族自治区</v>
      </c>
      <c r="G86">
        <v>3984</v>
      </c>
      <c r="H86" t="s">
        <v>568</v>
      </c>
      <c r="I86" t="s">
        <v>561</v>
      </c>
      <c r="J86">
        <f>VLOOKUP(F86,[1]!china_towns_second__2[[Column1]:[Y]],3,FALSE)</f>
        <v>38.318127630369403</v>
      </c>
      <c r="K86">
        <f>VLOOKUP(F86,[1]!china_towns_second__2[[Column1]:[Y]],2,FALSE)</f>
        <v>106.0026368</v>
      </c>
      <c r="L86" t="s">
        <v>788</v>
      </c>
      <c r="M86" t="str">
        <f>VLOOKUP(H86,CHOOSE({1,2},Table6[Native],Table6[Name]),2,0)</f>
        <v>Yŏngníng Xiàn</v>
      </c>
      <c r="N86" s="15" t="str">
        <f>VLOOKUP(I86,CHOOSE({1,2},Table6[Native],Table6[Name]),2,0)</f>
        <v>Yínchuān Shì</v>
      </c>
      <c r="O86" s="15" t="str">
        <f t="shared" si="2"/>
        <v>Huangyangtan Nongchang (Yínchuān Shì)</v>
      </c>
      <c r="P86" s="15" t="str">
        <f t="shared" si="3"/>
        <v>Huangyangtan Nongchang (Yínchuān Shì)</v>
      </c>
    </row>
    <row r="87" spans="1:16" x14ac:dyDescent="0.25">
      <c r="A87" t="s">
        <v>259</v>
      </c>
      <c r="B87" t="str">
        <f>IF(COUNTIF(A:A,A87)&gt;1,_xlfn.CONCAT(A87," (",N87,")"),A87)</f>
        <v>Huì'ānbăo Zhèn</v>
      </c>
      <c r="C87" t="str">
        <f>IF(COUNTIF(B:B,B87)&gt;1,_xlfn.CONCAT(A87," (",M87,")"),B87)</f>
        <v>Huì'ānbăo Zhèn</v>
      </c>
      <c r="D87" t="s">
        <v>260</v>
      </c>
      <c r="E87" t="s">
        <v>7</v>
      </c>
      <c r="F87" t="str">
        <f>_xlfn.CONCAT(D87,", ",H87,", ",I87,", ","宁夏回族自治区")</f>
        <v>惠安堡镇, 盐池县, 吴忠市, 宁夏回族自治区</v>
      </c>
      <c r="G87">
        <v>15489</v>
      </c>
      <c r="H87" t="s">
        <v>559</v>
      </c>
      <c r="I87" t="s">
        <v>553</v>
      </c>
      <c r="J87">
        <f>VLOOKUP(F87,[1]!china_towns_second__2[[Column1]:[Y]],3,FALSE)</f>
        <v>37.312591949824302</v>
      </c>
      <c r="K87">
        <f>VLOOKUP(F87,[1]!china_towns_second__2[[Column1]:[Y]],2,FALSE)</f>
        <v>106.7482656</v>
      </c>
      <c r="L87" t="s">
        <v>789</v>
      </c>
      <c r="M87" t="str">
        <f>VLOOKUP(H87,CHOOSE({1,2},Table6[Native],Table6[Name]),2,0)</f>
        <v>Yánchí Xiàn</v>
      </c>
      <c r="N87" s="15" t="str">
        <f>VLOOKUP(I87,CHOOSE({1,2},Table6[Native],Table6[Name]),2,0)</f>
        <v>Wúzhōng Shì</v>
      </c>
      <c r="O87" s="15" t="str">
        <f t="shared" si="2"/>
        <v>Hui'anbao Zhen (Wúzhōng Shì)</v>
      </c>
      <c r="P87" s="15" t="str">
        <f t="shared" si="3"/>
        <v>Hui'anbao Zhen (Wúzhōng Shì)</v>
      </c>
    </row>
    <row r="88" spans="1:16" hidden="1" x14ac:dyDescent="0.25">
      <c r="A88" t="s">
        <v>174</v>
      </c>
      <c r="B88" t="str">
        <f>IF(COUNTIF(A:A,A88)&gt;1,_xlfn.CONCAT(A88," (",N88,")"),A88)</f>
        <v>Huŏchēzhàn Jiēdào</v>
      </c>
      <c r="C88" t="str">
        <f>IF(COUNTIF(B:B,B88)&gt;1,_xlfn.CONCAT(A88," (",M88,")"),B88)</f>
        <v>Huŏchēzhàn Jiēdào</v>
      </c>
      <c r="D88" t="s">
        <v>175</v>
      </c>
      <c r="E88" t="s">
        <v>52</v>
      </c>
      <c r="F88" t="str">
        <f>_xlfn.CONCAT(D88,", ",H88,", ",I88,", ","宁夏回族自治区")</f>
        <v>火车站街道, 惠农区, 石嘴山市, 宁夏回族自治区</v>
      </c>
      <c r="G88">
        <v>7470</v>
      </c>
      <c r="H88" t="s">
        <v>550</v>
      </c>
      <c r="I88" t="s">
        <v>548</v>
      </c>
      <c r="J88">
        <f>VLOOKUP(F88,[1]!china_towns_second__2[[Column1]:[Y]],3,FALSE)</f>
        <v>39.261784933984003</v>
      </c>
      <c r="K88">
        <f>VLOOKUP(F88,[1]!china_towns_second__2[[Column1]:[Y]],2,FALSE)</f>
        <v>106.7143834</v>
      </c>
      <c r="L88" t="s">
        <v>790</v>
      </c>
      <c r="M88" t="str">
        <f>VLOOKUP(H88,CHOOSE({1,2},Table6[Native],Table6[Name]),2,0)</f>
        <v>Huìnóng Qū</v>
      </c>
      <c r="N88" s="15" t="str">
        <f>VLOOKUP(I88,CHOOSE({1,2},Table6[Native],Table6[Name]),2,0)</f>
        <v>Shízuĭshān Shì</v>
      </c>
      <c r="O88" s="15" t="str">
        <f t="shared" si="2"/>
        <v>Huochezhan Jiedao (Shízuĭshān Shì)</v>
      </c>
      <c r="P88" s="15" t="str">
        <f t="shared" si="3"/>
        <v>Huochezhan Jiedao (Shízuĭshān Shì)</v>
      </c>
    </row>
    <row r="89" spans="1:16" hidden="1" x14ac:dyDescent="0.25">
      <c r="A89" t="s">
        <v>48</v>
      </c>
      <c r="B89" t="str">
        <f>IF(COUNTIF(A:A,A89)&gt;1,_xlfn.CONCAT(A89," (",N89,")"),A89)</f>
        <v>Huŏshízhài Xiāng</v>
      </c>
      <c r="C89" t="str">
        <f>IF(COUNTIF(B:B,B89)&gt;1,_xlfn.CONCAT(A89," (",M89,")"),B89)</f>
        <v>Huŏshízhài Xiāng</v>
      </c>
      <c r="D89" t="s">
        <v>49</v>
      </c>
      <c r="E89" t="s">
        <v>11</v>
      </c>
      <c r="F89" t="str">
        <f>_xlfn.CONCAT(D89,", ",H89,", ",I89,", ","宁夏回族自治区")</f>
        <v>火石寨乡, 西吉县, 固原市, 宁夏回族自治区</v>
      </c>
      <c r="G89">
        <v>11669</v>
      </c>
      <c r="H89" t="s">
        <v>544</v>
      </c>
      <c r="I89" t="s">
        <v>539</v>
      </c>
      <c r="J89" t="e">
        <f>VLOOKUP(F89,[1]!china_towns_second__2[[Column1]:[Y]],3,FALSE)</f>
        <v>#N/A</v>
      </c>
      <c r="K89" t="e">
        <f>VLOOKUP(F89,[1]!china_towns_second__2[[Column1]:[Y]],2,FALSE)</f>
        <v>#N/A</v>
      </c>
      <c r="L89" t="s">
        <v>791</v>
      </c>
      <c r="M89" t="str">
        <f>VLOOKUP(H89,CHOOSE({1,2},Table6[Native],Table6[Name]),2,0)</f>
        <v>Xījí Xiàn</v>
      </c>
      <c r="N89" s="15" t="str">
        <f>VLOOKUP(I89,CHOOSE({1,2},Table6[Native],Table6[Name]),2,0)</f>
        <v>Gùyuán Shì</v>
      </c>
      <c r="O89" s="15" t="str">
        <f t="shared" si="2"/>
        <v>Huoshizhai Xiang (Gùyuán Shì)</v>
      </c>
      <c r="P89" s="15" t="str">
        <f t="shared" si="3"/>
        <v>Huoshizhai Xiang (Gùyuán Shì)</v>
      </c>
    </row>
    <row r="90" spans="1:16" hidden="1" x14ac:dyDescent="0.25">
      <c r="A90" t="s">
        <v>50</v>
      </c>
      <c r="B90" t="str">
        <f>IF(COUNTIF(A:A,A90)&gt;1,_xlfn.CONCAT(A90," (",N90,")"),A90)</f>
        <v>Jiāngtái Jiēdào [Jiāngtái Xiāng]</v>
      </c>
      <c r="C90" t="str">
        <f>IF(COUNTIF(B:B,B90)&gt;1,_xlfn.CONCAT(A90," (",M90,")"),B90)</f>
        <v>Jiāngtái Jiēdào [Jiāngtái Xiāng]</v>
      </c>
      <c r="D90" t="s">
        <v>51</v>
      </c>
      <c r="E90" t="s">
        <v>52</v>
      </c>
      <c r="F90" t="str">
        <f>_xlfn.CONCAT(D90,", ",H90,", ",I90,", ","宁夏回族自治区")</f>
        <v>将台堡镇, 西吉县, 固原市, 宁夏回族自治区</v>
      </c>
      <c r="G90">
        <v>18564</v>
      </c>
      <c r="H90" t="s">
        <v>544</v>
      </c>
      <c r="I90" t="s">
        <v>539</v>
      </c>
      <c r="J90" t="e">
        <f>VLOOKUP(F90,[1]!china_towns_second__2[[Column1]:[Y]],3,FALSE)</f>
        <v>#N/A</v>
      </c>
      <c r="K90" t="e">
        <f>VLOOKUP(F90,[1]!china_towns_second__2[[Column1]:[Y]],2,FALSE)</f>
        <v>#N/A</v>
      </c>
      <c r="L90" t="s">
        <v>792</v>
      </c>
      <c r="M90" t="str">
        <f>VLOOKUP(H90,CHOOSE({1,2},Table6[Native],Table6[Name]),2,0)</f>
        <v>Xījí Xiàn</v>
      </c>
      <c r="N90" s="15" t="str">
        <f>VLOOKUP(I90,CHOOSE({1,2},Table6[Native],Table6[Name]),2,0)</f>
        <v>Gùyuán Shì</v>
      </c>
      <c r="O90" s="15" t="str">
        <f t="shared" si="2"/>
        <v>Jiangtai Jiedao [Jiangtai Xiang] (Gùyuán Shì)</v>
      </c>
      <c r="P90" s="15" t="str">
        <f t="shared" si="3"/>
        <v>Jiangtai Jiedao [Jiangtai Xiang] (Gùyuán Shì)</v>
      </c>
    </row>
    <row r="91" spans="1:16" hidden="1" x14ac:dyDescent="0.25">
      <c r="A91" t="s">
        <v>176</v>
      </c>
      <c r="B91" t="str">
        <f>IF(COUNTIF(A:A,A91)&gt;1,_xlfn.CONCAT(A91," (",N91,")"),A91)</f>
        <v>Jiănquán Nóngchăng</v>
      </c>
      <c r="C91" t="str">
        <f>IF(COUNTIF(B:B,B91)&gt;1,_xlfn.CONCAT(A91," (",M91,")"),B91)</f>
        <v>Jiănquán Nóngchăng</v>
      </c>
      <c r="D91" t="s">
        <v>177</v>
      </c>
      <c r="E91" t="s">
        <v>165</v>
      </c>
      <c r="F91" t="str">
        <f>_xlfn.CONCAT(D91,", ",H91,", ",I91,", ","宁夏回族自治区")</f>
        <v>简泉农场, 惠农区, 石嘴山市, 宁夏回族自治区</v>
      </c>
      <c r="G91">
        <v>2502</v>
      </c>
      <c r="H91" t="s">
        <v>550</v>
      </c>
      <c r="I91" t="s">
        <v>548</v>
      </c>
      <c r="J91">
        <f>VLOOKUP(F91,[1]!china_towns_second__2[[Column1]:[Y]],3,FALSE)</f>
        <v>39.104799334444202</v>
      </c>
      <c r="K91">
        <f>VLOOKUP(F91,[1]!china_towns_second__2[[Column1]:[Y]],2,FALSE)</f>
        <v>106.51365629999999</v>
      </c>
      <c r="L91" t="s">
        <v>793</v>
      </c>
      <c r="M91" t="str">
        <f>VLOOKUP(H91,CHOOSE({1,2},Table6[Native],Table6[Name]),2,0)</f>
        <v>Huìnóng Qū</v>
      </c>
      <c r="N91" s="15" t="str">
        <f>VLOOKUP(I91,CHOOSE({1,2},Table6[Native],Table6[Name]),2,0)</f>
        <v>Shízuĭshān Shì</v>
      </c>
      <c r="O91" s="15" t="str">
        <f t="shared" si="2"/>
        <v>Jianquan Nongchang (Shízuĭshān Shì)</v>
      </c>
      <c r="P91" s="15" t="str">
        <f t="shared" si="3"/>
        <v>Jianquan Nongchang (Shízuĭshān Shì)</v>
      </c>
    </row>
    <row r="92" spans="1:16" hidden="1" x14ac:dyDescent="0.25">
      <c r="A92" t="s">
        <v>53</v>
      </c>
      <c r="B92" t="str">
        <f>IF(COUNTIF(A:A,A92)&gt;1,_xlfn.CONCAT(A92," (",N92,")"),A92)</f>
        <v>Jiāochà Xiāng</v>
      </c>
      <c r="C92" t="str">
        <f>IF(COUNTIF(B:B,B92)&gt;1,_xlfn.CONCAT(A92," (",M92,")"),B92)</f>
        <v>Jiāochà Xiāng</v>
      </c>
      <c r="D92" t="s">
        <v>54</v>
      </c>
      <c r="E92" t="s">
        <v>11</v>
      </c>
      <c r="F92" t="str">
        <f>_xlfn.CONCAT(D92,", ",H92,", ",I92,", ","宁夏回族自治区")</f>
        <v>交岔乡, 彭阳县, 固原市, 宁夏回族自治区</v>
      </c>
      <c r="G92">
        <v>4554</v>
      </c>
      <c r="H92" t="s">
        <v>543</v>
      </c>
      <c r="I92" t="s">
        <v>539</v>
      </c>
      <c r="J92" t="e">
        <f>VLOOKUP(F92,[1]!china_towns_second__2[[Column1]:[Y]],3,FALSE)</f>
        <v>#N/A</v>
      </c>
      <c r="K92" t="e">
        <f>VLOOKUP(F92,[1]!china_towns_second__2[[Column1]:[Y]],2,FALSE)</f>
        <v>#N/A</v>
      </c>
      <c r="L92" t="s">
        <v>794</v>
      </c>
      <c r="M92" t="str">
        <f>VLOOKUP(H92,CHOOSE({1,2},Table6[Native],Table6[Name]),2,0)</f>
        <v>Péngyáng Xiàn</v>
      </c>
      <c r="N92" s="15" t="str">
        <f>VLOOKUP(I92,CHOOSE({1,2},Table6[Native],Table6[Name]),2,0)</f>
        <v>Gùyuán Shì</v>
      </c>
      <c r="O92" s="15" t="str">
        <f t="shared" si="2"/>
        <v>Jiaocha Xiang (Gùyuán Shì)</v>
      </c>
      <c r="P92" s="15" t="str">
        <f t="shared" si="3"/>
        <v>Jiaocha Xiang (Gùyuán Shì)</v>
      </c>
    </row>
    <row r="93" spans="1:16" hidden="1" x14ac:dyDescent="0.25">
      <c r="A93" t="s">
        <v>475</v>
      </c>
      <c r="B93" t="str">
        <f>IF(COUNTIF(A:A,A93)&gt;1,_xlfn.CONCAT(A93," (",N93,")"),A93)</f>
        <v>Jiătáng Xiāng</v>
      </c>
      <c r="C93" t="str">
        <f>IF(COUNTIF(B:B,B93)&gt;1,_xlfn.CONCAT(A93," (",M93,")"),B93)</f>
        <v>Jiătáng Xiāng</v>
      </c>
      <c r="D93" t="s">
        <v>476</v>
      </c>
      <c r="E93" t="s">
        <v>11</v>
      </c>
      <c r="F93" t="str">
        <f>_xlfn.CONCAT(D93,", ",H93,", ",I93,", ","宁夏回族自治区")</f>
        <v>贾塘乡, 海原县, 中卫市, 宁夏回族自治区</v>
      </c>
      <c r="G93">
        <v>22213</v>
      </c>
      <c r="H93" t="s">
        <v>571</v>
      </c>
      <c r="I93" t="s">
        <v>570</v>
      </c>
      <c r="J93" t="e">
        <f>VLOOKUP(F93,[1]!china_towns_second__2[[Column1]:[Y]],3,FALSE)</f>
        <v>#N/A</v>
      </c>
      <c r="K93" t="e">
        <f>VLOOKUP(F93,[1]!china_towns_second__2[[Column1]:[Y]],2,FALSE)</f>
        <v>#N/A</v>
      </c>
      <c r="L93" t="s">
        <v>795</v>
      </c>
      <c r="M93" t="str">
        <f>VLOOKUP(H93,CHOOSE({1,2},Table6[Native],Table6[Name]),2,0)</f>
        <v>Hăiyuán Xiàn</v>
      </c>
      <c r="N93" s="15" t="str">
        <f>VLOOKUP(I93,CHOOSE({1,2},Table6[Native],Table6[Name]),2,0)</f>
        <v>Zhōngwèi Shì</v>
      </c>
      <c r="O93" s="15" t="str">
        <f t="shared" si="2"/>
        <v>Jiatang Xiang (Zhōngwèi Shì)</v>
      </c>
      <c r="P93" s="15" t="str">
        <f t="shared" si="3"/>
        <v>Jiatang Xiang (Zhōngwèi Shì)</v>
      </c>
    </row>
    <row r="94" spans="1:16" hidden="1" x14ac:dyDescent="0.25">
      <c r="A94" t="s">
        <v>363</v>
      </c>
      <c r="B94" t="str">
        <f>IF(COUNTIF(A:A,A94)&gt;1,_xlfn.CONCAT(A94," (",N94,")"),A94)</f>
        <v>Jiĕfàng Xījiē Jiēdào</v>
      </c>
      <c r="C94" t="str">
        <f>IF(COUNTIF(B:B,B94)&gt;1,_xlfn.CONCAT(A94," (",M94,")"),B94)</f>
        <v>Jiĕfàng Xījiē Jiēdào</v>
      </c>
      <c r="D94" t="s">
        <v>364</v>
      </c>
      <c r="E94" t="s">
        <v>52</v>
      </c>
      <c r="F94" t="str">
        <f>_xlfn.CONCAT(D94,", ",H94,", ",I94,", ","宁夏回族自治区")</f>
        <v>解放西街街道, 兴庆区, 银川市, 宁夏回族自治区</v>
      </c>
      <c r="G94">
        <v>45646</v>
      </c>
      <c r="H94" t="s">
        <v>566</v>
      </c>
      <c r="I94" t="s">
        <v>561</v>
      </c>
      <c r="J94">
        <f>VLOOKUP(F94,[1]!china_towns_second__2[[Column1]:[Y]],3,FALSE)</f>
        <v>38.476446972089498</v>
      </c>
      <c r="K94">
        <f>VLOOKUP(F94,[1]!china_towns_second__2[[Column1]:[Y]],2,FALSE)</f>
        <v>106.2670213</v>
      </c>
      <c r="L94" t="s">
        <v>796</v>
      </c>
      <c r="M94" t="str">
        <f>VLOOKUP(H94,CHOOSE({1,2},Table6[Native],Table6[Name]),2,0)</f>
        <v>Xīngqìng Qū</v>
      </c>
      <c r="N94" s="15" t="str">
        <f>VLOOKUP(I94,CHOOSE({1,2},Table6[Native],Table6[Name]),2,0)</f>
        <v>Yínchuān Shì</v>
      </c>
      <c r="O94" s="15" t="str">
        <f t="shared" si="2"/>
        <v>Jiefang Xijie Jiedao (Yínchuān Shì)</v>
      </c>
      <c r="P94" s="15" t="str">
        <f t="shared" si="3"/>
        <v>Jiefang Xijie Jiedao (Yínchuān Shì)</v>
      </c>
    </row>
    <row r="95" spans="1:16" x14ac:dyDescent="0.25">
      <c r="A95" t="s">
        <v>55</v>
      </c>
      <c r="B95" t="str">
        <f>IF(COUNTIF(A:A,A95)&gt;1,_xlfn.CONCAT(A95," (",N95,")"),A95)</f>
        <v>Jīnghéyuán Zhèn</v>
      </c>
      <c r="C95" t="str">
        <f>IF(COUNTIF(B:B,B95)&gt;1,_xlfn.CONCAT(A95," (",M95,")"),B95)</f>
        <v>Jīnghéyuán Zhèn</v>
      </c>
      <c r="D95" t="s">
        <v>56</v>
      </c>
      <c r="E95" t="s">
        <v>7</v>
      </c>
      <c r="F95" t="str">
        <f>_xlfn.CONCAT(D95,", ",H95,", ",I95,", ","宁夏回族自治区")</f>
        <v>泾河源镇, 泾源县, 固原市, 宁夏回族自治区</v>
      </c>
      <c r="G95">
        <v>18147</v>
      </c>
      <c r="H95" t="s">
        <v>541</v>
      </c>
      <c r="I95" t="s">
        <v>539</v>
      </c>
      <c r="J95">
        <f>VLOOKUP(F95,[1]!china_towns_second__2[[Column1]:[Y]],3,FALSE)</f>
        <v>35.386103257809602</v>
      </c>
      <c r="K95">
        <f>VLOOKUP(F95,[1]!china_towns_second__2[[Column1]:[Y]],2,FALSE)</f>
        <v>106.3640987</v>
      </c>
      <c r="L95" t="s">
        <v>797</v>
      </c>
      <c r="M95" t="str">
        <f>VLOOKUP(H95,CHOOSE({1,2},Table6[Native],Table6[Name]),2,0)</f>
        <v>Jīngyuán Xiàn</v>
      </c>
      <c r="N95" s="15" t="str">
        <f>VLOOKUP(I95,CHOOSE({1,2},Table6[Native],Table6[Name]),2,0)</f>
        <v>Gùyuán Shì</v>
      </c>
      <c r="O95" s="15" t="str">
        <f t="shared" si="2"/>
        <v>Jingheyuan Zhen (Gùyuán Shì)</v>
      </c>
      <c r="P95" s="15" t="str">
        <f t="shared" si="3"/>
        <v>Jingheyuan Zhen (Gùyuán Shì)</v>
      </c>
    </row>
    <row r="96" spans="1:16" x14ac:dyDescent="0.25">
      <c r="A96" t="s">
        <v>365</v>
      </c>
      <c r="B96" t="str">
        <f>IF(COUNTIF(A:A,A96)&gt;1,_xlfn.CONCAT(A96," (",N96,")"),A96)</f>
        <v>Jīnguì Zhèn</v>
      </c>
      <c r="C96" t="str">
        <f>IF(COUNTIF(B:B,B96)&gt;1,_xlfn.CONCAT(A96," (",M96,")"),B96)</f>
        <v>Jīnguì Zhèn</v>
      </c>
      <c r="D96" t="s">
        <v>366</v>
      </c>
      <c r="E96" t="s">
        <v>7</v>
      </c>
      <c r="F96" t="str">
        <f>_xlfn.CONCAT(D96,", ",H96,", ",I96,", ","宁夏回族自治区")</f>
        <v>金贵镇, 贺兰县, 银川市, 宁夏回族自治区</v>
      </c>
      <c r="G96">
        <v>29796</v>
      </c>
      <c r="H96" t="s">
        <v>562</v>
      </c>
      <c r="I96" t="s">
        <v>561</v>
      </c>
      <c r="J96">
        <f>VLOOKUP(F96,[1]!china_towns_second__2[[Column1]:[Y]],3,FALSE)</f>
        <v>38.527491796557001</v>
      </c>
      <c r="K96">
        <f>VLOOKUP(F96,[1]!china_towns_second__2[[Column1]:[Y]],2,FALSE)</f>
        <v>106.4372398</v>
      </c>
      <c r="L96" t="s">
        <v>798</v>
      </c>
      <c r="M96" t="str">
        <f>VLOOKUP(H96,CHOOSE({1,2},Table6[Native],Table6[Name]),2,0)</f>
        <v>Hèlán Xiàn</v>
      </c>
      <c r="N96" s="15" t="str">
        <f>VLOOKUP(I96,CHOOSE({1,2},Table6[Native],Table6[Name]),2,0)</f>
        <v>Yínchuān Shì</v>
      </c>
      <c r="O96" s="15" t="str">
        <f t="shared" si="2"/>
        <v>Jingui Zhen (Yínchuān Shì)</v>
      </c>
      <c r="P96" s="15" t="str">
        <f t="shared" si="3"/>
        <v>Jingui Zhen (Yínchuān Shì)</v>
      </c>
    </row>
    <row r="97" spans="1:16" hidden="1" x14ac:dyDescent="0.25">
      <c r="A97" t="s">
        <v>367</v>
      </c>
      <c r="B97" t="str">
        <f>IF(COUNTIF(A:A,A97)&gt;1,_xlfn.CONCAT(A97," (",N97,")"),A97)</f>
        <v>Jīngxīngnóng Mùchăng</v>
      </c>
      <c r="C97" t="str">
        <f>IF(COUNTIF(B:B,B97)&gt;1,_xlfn.CONCAT(A97," (",M97,")"),B97)</f>
        <v>Jīngxīngnóng Mùchăng</v>
      </c>
      <c r="D97" t="s">
        <v>368</v>
      </c>
      <c r="E97" t="s">
        <v>165</v>
      </c>
      <c r="F97" t="str">
        <f>_xlfn.CONCAT(D97,", ",H97,", ",I97,", ","宁夏回族自治区")</f>
        <v>京星农牧场, 贺兰县, 银川市, 宁夏回族自治区</v>
      </c>
      <c r="G97">
        <v>596</v>
      </c>
      <c r="H97" t="s">
        <v>562</v>
      </c>
      <c r="I97" t="s">
        <v>561</v>
      </c>
      <c r="J97">
        <f>VLOOKUP(F97,[1]!china_towns_second__2[[Column1]:[Y]],3,FALSE)</f>
        <v>38.627336658273201</v>
      </c>
      <c r="K97">
        <f>VLOOKUP(F97,[1]!china_towns_second__2[[Column1]:[Y]],2,FALSE)</f>
        <v>106.5340448</v>
      </c>
      <c r="L97" t="s">
        <v>799</v>
      </c>
      <c r="M97" t="str">
        <f>VLOOKUP(H97,CHOOSE({1,2},Table6[Native],Table6[Name]),2,0)</f>
        <v>Hèlán Xiàn</v>
      </c>
      <c r="N97" s="15" t="str">
        <f>VLOOKUP(I97,CHOOSE({1,2},Table6[Native],Table6[Name]),2,0)</f>
        <v>Yínchuān Shì</v>
      </c>
      <c r="O97" s="15" t="str">
        <f t="shared" si="2"/>
        <v>Jingxingnong Muchang (Yínchuān Shì)</v>
      </c>
      <c r="P97" s="15" t="str">
        <f t="shared" si="3"/>
        <v>Jingxingnong Muchang (Yínchuān Shì)</v>
      </c>
    </row>
    <row r="98" spans="1:16" x14ac:dyDescent="0.25">
      <c r="A98" t="s">
        <v>261</v>
      </c>
      <c r="B98" t="str">
        <f>IF(COUNTIF(A:A,A98)&gt;1,_xlfn.CONCAT(A98," (",N98,")"),A98)</f>
        <v>Jīnjī Zhèn</v>
      </c>
      <c r="C98" t="str">
        <f>IF(COUNTIF(B:B,B98)&gt;1,_xlfn.CONCAT(A98," (",M98,")"),B98)</f>
        <v>Jīnjī Zhèn</v>
      </c>
      <c r="D98" t="s">
        <v>262</v>
      </c>
      <c r="E98" t="s">
        <v>7</v>
      </c>
      <c r="F98" t="str">
        <f>_xlfn.CONCAT(D98,", ",H98,", ",I98,", ","宁夏回族自治区")</f>
        <v>金积镇, 利通区, 吴忠市, 宁夏回族自治区</v>
      </c>
      <c r="G98">
        <v>36092</v>
      </c>
      <c r="H98" t="s">
        <v>555</v>
      </c>
      <c r="I98" t="s">
        <v>553</v>
      </c>
      <c r="J98">
        <f>VLOOKUP(F98,[1]!china_towns_second__2[[Column1]:[Y]],3,FALSE)</f>
        <v>37.931004274209101</v>
      </c>
      <c r="K98">
        <f>VLOOKUP(F98,[1]!china_towns_second__2[[Column1]:[Y]],2,FALSE)</f>
        <v>106.11032539999999</v>
      </c>
      <c r="L98" t="s">
        <v>800</v>
      </c>
      <c r="M98" t="str">
        <f>VLOOKUP(H98,CHOOSE({1,2},Table6[Native],Table6[Name]),2,0)</f>
        <v>Lìtōng Qū</v>
      </c>
      <c r="N98" s="15" t="str">
        <f>VLOOKUP(I98,CHOOSE({1,2},Table6[Native],Table6[Name]),2,0)</f>
        <v>Wúzhōng Shì</v>
      </c>
      <c r="O98" s="15" t="str">
        <f t="shared" si="2"/>
        <v>Jinji Zhen (Wúzhōng Shì)</v>
      </c>
      <c r="P98" s="15" t="str">
        <f t="shared" si="3"/>
        <v>Jinji Zhen (Wúzhōng Shì)</v>
      </c>
    </row>
    <row r="99" spans="1:16" hidden="1" x14ac:dyDescent="0.25">
      <c r="A99" t="s">
        <v>178</v>
      </c>
      <c r="B99" t="str">
        <f>IF(COUNTIF(A:A,A99)&gt;1,_xlfn.CONCAT(A99," (",N99,")"),A99)</f>
        <v>Jĭnlín Jiēdào</v>
      </c>
      <c r="C99" t="str">
        <f>IF(COUNTIF(B:B,B99)&gt;1,_xlfn.CONCAT(A99," (",M99,")"),B99)</f>
        <v>Jĭnlín Jiēdào</v>
      </c>
      <c r="D99" t="s">
        <v>179</v>
      </c>
      <c r="E99" t="s">
        <v>52</v>
      </c>
      <c r="F99" t="str">
        <f>_xlfn.CONCAT(D99,", ",H99,", ",I99,", ","宁夏回族自治区")</f>
        <v>锦林街道, 大武口区, 石嘴山市, 宁夏回族自治区</v>
      </c>
      <c r="G99">
        <v>14907</v>
      </c>
      <c r="H99" t="s">
        <v>549</v>
      </c>
      <c r="I99" t="s">
        <v>548</v>
      </c>
      <c r="J99">
        <f>VLOOKUP(F99,[1]!china_towns_second__2[[Column1]:[Y]],3,FALSE)</f>
        <v>38.964880568076097</v>
      </c>
      <c r="K99">
        <f>VLOOKUP(F99,[1]!china_towns_second__2[[Column1]:[Y]],2,FALSE)</f>
        <v>106.3352928</v>
      </c>
      <c r="L99" t="s">
        <v>801</v>
      </c>
      <c r="M99" t="str">
        <f>VLOOKUP(H99,CHOOSE({1,2},Table6[Native],Table6[Name]),2,0)</f>
        <v>Dàwŭkŏu Qū</v>
      </c>
      <c r="N99" s="15" t="str">
        <f>VLOOKUP(I99,CHOOSE({1,2},Table6[Native],Table6[Name]),2,0)</f>
        <v>Shízuĭshān Shì</v>
      </c>
      <c r="O99" s="15" t="str">
        <f t="shared" si="2"/>
        <v>Jinlin Jiedao (Shízuĭshān Shì)</v>
      </c>
      <c r="P99" s="15" t="str">
        <f t="shared" si="3"/>
        <v>Jinlin Jiedao (Shízuĭshān Shì)</v>
      </c>
    </row>
    <row r="100" spans="1:16" x14ac:dyDescent="0.25">
      <c r="A100" t="s">
        <v>263</v>
      </c>
      <c r="B100" t="str">
        <f>IF(COUNTIF(A:A,A100)&gt;1,_xlfn.CONCAT(A100," (",N100,")"),A100)</f>
        <v>Jīnxīng Zhèn</v>
      </c>
      <c r="C100" t="str">
        <f>IF(COUNTIF(B:B,B100)&gt;1,_xlfn.CONCAT(A100," (",M100,")"),B100)</f>
        <v>Jīnxīng Zhèn</v>
      </c>
      <c r="D100" t="s">
        <v>264</v>
      </c>
      <c r="E100" t="s">
        <v>7</v>
      </c>
      <c r="F100" t="str">
        <f>_xlfn.CONCAT(D100,", ",H100,", ",I100,", ","宁夏回族自治区")</f>
        <v>金星镇, 利通区, 吴忠市, 宁夏回族自治区</v>
      </c>
      <c r="G100">
        <v>60086</v>
      </c>
      <c r="H100" t="s">
        <v>555</v>
      </c>
      <c r="I100" t="s">
        <v>553</v>
      </c>
      <c r="J100">
        <f>VLOOKUP(F100,[1]!china_towns_second__2[[Column1]:[Y]],3,FALSE)</f>
        <v>37.994899810076298</v>
      </c>
      <c r="K100">
        <f>VLOOKUP(F100,[1]!china_towns_second__2[[Column1]:[Y]],2,FALSE)</f>
        <v>106.1946808</v>
      </c>
      <c r="L100" t="s">
        <v>802</v>
      </c>
      <c r="M100" t="str">
        <f>VLOOKUP(H100,CHOOSE({1,2},Table6[Native],Table6[Name]),2,0)</f>
        <v>Lìtōng Qū</v>
      </c>
      <c r="N100" s="15" t="str">
        <f>VLOOKUP(I100,CHOOSE({1,2},Table6[Native],Table6[Name]),2,0)</f>
        <v>Wúzhōng Shì</v>
      </c>
      <c r="O100" s="15" t="str">
        <f t="shared" si="2"/>
        <v>Jinxing Zhen (Wúzhōng Shì)</v>
      </c>
      <c r="P100" s="15" t="str">
        <f t="shared" si="3"/>
        <v>Jinxing Zhen (Wúzhōng Shì)</v>
      </c>
    </row>
    <row r="101" spans="1:16" x14ac:dyDescent="0.25">
      <c r="A101" t="s">
        <v>265</v>
      </c>
      <c r="B101" t="str">
        <f>IF(COUNTIF(A:A,A101)&gt;1,_xlfn.CONCAT(A101," (",N101,")"),A101)</f>
        <v>Jīnyíntān Zhèn</v>
      </c>
      <c r="C101" t="str">
        <f>IF(COUNTIF(B:B,B101)&gt;1,_xlfn.CONCAT(A101," (",M101,")"),B101)</f>
        <v>Jīnyíntān Zhèn</v>
      </c>
      <c r="D101" t="s">
        <v>266</v>
      </c>
      <c r="E101" t="s">
        <v>7</v>
      </c>
      <c r="F101" t="str">
        <f>_xlfn.CONCAT(D101,", ",H101,", ",I101,", ","宁夏回族自治区")</f>
        <v>金银滩镇, 利通区, 吴忠市, 宁夏回族自治区</v>
      </c>
      <c r="G101">
        <v>28969</v>
      </c>
      <c r="H101" t="s">
        <v>555</v>
      </c>
      <c r="I101" t="s">
        <v>553</v>
      </c>
      <c r="J101">
        <f>VLOOKUP(F101,[1]!china_towns_second__2[[Column1]:[Y]],3,FALSE)</f>
        <v>37.909193292871002</v>
      </c>
      <c r="K101">
        <f>VLOOKUP(F101,[1]!china_towns_second__2[[Column1]:[Y]],2,FALSE)</f>
        <v>106.2887352</v>
      </c>
      <c r="L101" t="s">
        <v>803</v>
      </c>
      <c r="M101" t="str">
        <f>VLOOKUP(H101,CHOOSE({1,2},Table6[Native],Table6[Name]),2,0)</f>
        <v>Lìtōng Qū</v>
      </c>
      <c r="N101" s="15" t="str">
        <f>VLOOKUP(I101,CHOOSE({1,2},Table6[Native],Table6[Name]),2,0)</f>
        <v>Wúzhōng Shì</v>
      </c>
      <c r="O101" s="15" t="str">
        <f t="shared" si="2"/>
        <v>Jinyintan Zhen (Wúzhōng Shì)</v>
      </c>
      <c r="P101" s="15" t="str">
        <f t="shared" si="3"/>
        <v>Jinyintan Zhen (Wúzhōng Shì)</v>
      </c>
    </row>
    <row r="102" spans="1:16" x14ac:dyDescent="0.25">
      <c r="A102" t="s">
        <v>57</v>
      </c>
      <c r="B102" t="str">
        <f>IF(COUNTIF(A:A,A102)&gt;1,_xlfn.CONCAT(A102," (",N102,")"),A102)</f>
        <v>Jíqiáng Zhèn</v>
      </c>
      <c r="C102" t="str">
        <f>IF(COUNTIF(B:B,B102)&gt;1,_xlfn.CONCAT(A102," (",M102,")"),B102)</f>
        <v>Jíqiáng Zhèn</v>
      </c>
      <c r="D102" t="s">
        <v>58</v>
      </c>
      <c r="E102" t="s">
        <v>7</v>
      </c>
      <c r="F102" t="str">
        <f>_xlfn.CONCAT(D102,", ",H102,", ",I102,", ","宁夏回族自治区")</f>
        <v>吉强镇, 西吉县, 固原市, 宁夏回族自治区</v>
      </c>
      <c r="G102">
        <v>79348</v>
      </c>
      <c r="H102" t="s">
        <v>544</v>
      </c>
      <c r="I102" t="s">
        <v>539</v>
      </c>
      <c r="J102">
        <f>VLOOKUP(F102,[1]!china_towns_second__2[[Column1]:[Y]],3,FALSE)</f>
        <v>35.978579860784301</v>
      </c>
      <c r="K102">
        <f>VLOOKUP(F102,[1]!china_towns_second__2[[Column1]:[Y]],2,FALSE)</f>
        <v>105.7181118</v>
      </c>
      <c r="L102" t="s">
        <v>804</v>
      </c>
      <c r="M102" t="str">
        <f>VLOOKUP(H102,CHOOSE({1,2},Table6[Native],Table6[Name]),2,0)</f>
        <v>Xījí Xiàn</v>
      </c>
      <c r="N102" s="15" t="str">
        <f>VLOOKUP(I102,CHOOSE({1,2},Table6[Native],Table6[Name]),2,0)</f>
        <v>Gùyuán Shì</v>
      </c>
      <c r="O102" s="15" t="str">
        <f t="shared" si="2"/>
        <v>Jiqiang Zhen (Gùyuán Shì)</v>
      </c>
      <c r="P102" s="15" t="str">
        <f t="shared" si="3"/>
        <v>Jiqiang Zhen (Gùyuán Shì)</v>
      </c>
    </row>
    <row r="103" spans="1:16" hidden="1" x14ac:dyDescent="0.25">
      <c r="A103" t="s">
        <v>477</v>
      </c>
      <c r="B103" t="str">
        <f>IF(COUNTIF(A:A,A103)&gt;1,_xlfn.CONCAT(A103," (",N103,")"),A103)</f>
        <v>Jiŭcăi Xiāng</v>
      </c>
      <c r="C103" t="str">
        <f>IF(COUNTIF(B:B,B103)&gt;1,_xlfn.CONCAT(A103," (",M103,")"),B103)</f>
        <v>Jiŭcăi Xiāng</v>
      </c>
      <c r="D103" t="s">
        <v>478</v>
      </c>
      <c r="E103" t="s">
        <v>11</v>
      </c>
      <c r="F103" t="str">
        <f>_xlfn.CONCAT(D103,", ",H103,", ",I103,", ","宁夏回族自治区")</f>
        <v>九彩乡, 海原县, 中卫市, 宁夏回族自治区</v>
      </c>
      <c r="G103">
        <v>9654</v>
      </c>
      <c r="H103" t="s">
        <v>571</v>
      </c>
      <c r="I103" t="s">
        <v>570</v>
      </c>
      <c r="J103" t="e">
        <f>VLOOKUP(F103,[1]!china_towns_second__2[[Column1]:[Y]],3,FALSE)</f>
        <v>#N/A</v>
      </c>
      <c r="K103" t="e">
        <f>VLOOKUP(F103,[1]!china_towns_second__2[[Column1]:[Y]],2,FALSE)</f>
        <v>#N/A</v>
      </c>
      <c r="L103" t="s">
        <v>805</v>
      </c>
      <c r="M103" t="str">
        <f>VLOOKUP(H103,CHOOSE({1,2},Table6[Native],Table6[Name]),2,0)</f>
        <v>Hăiyuán Xiàn</v>
      </c>
      <c r="N103" s="15" t="str">
        <f>VLOOKUP(I103,CHOOSE({1,2},Table6[Native],Table6[Name]),2,0)</f>
        <v>Zhōngwèi Shì</v>
      </c>
      <c r="O103" s="15" t="str">
        <f t="shared" si="2"/>
        <v>Jiucai Xiang (Zhōngwèi Shì)</v>
      </c>
      <c r="P103" s="15" t="str">
        <f t="shared" si="3"/>
        <v>Jiucai Xiang (Zhōngwèi Shì)</v>
      </c>
    </row>
    <row r="104" spans="1:16" x14ac:dyDescent="0.25">
      <c r="A104" t="s">
        <v>267</v>
      </c>
      <c r="B104" t="str">
        <f>IF(COUNTIF(A:A,A104)&gt;1,_xlfn.CONCAT(A104," (",N104,")"),A104)</f>
        <v>Jùjìng Zhèn</v>
      </c>
      <c r="C104" t="str">
        <f>IF(COUNTIF(B:B,B104)&gt;1,_xlfn.CONCAT(A104," (",M104,")"),B104)</f>
        <v>Jùjìng Zhèn</v>
      </c>
      <c r="D104" t="s">
        <v>268</v>
      </c>
      <c r="E104" t="s">
        <v>7</v>
      </c>
      <c r="F104" t="str">
        <f>_xlfn.CONCAT(D104,", ",H104,", ",I104,", ","宁夏回族自治区")</f>
        <v>瞿靖镇, 青铜峡市, 吴忠市, 宁夏回族自治区</v>
      </c>
      <c r="G104">
        <v>28086</v>
      </c>
      <c r="H104" t="s">
        <v>557</v>
      </c>
      <c r="I104" t="s">
        <v>553</v>
      </c>
      <c r="J104">
        <f>VLOOKUP(F104,[1]!china_towns_second__2[[Column1]:[Y]],3,FALSE)</f>
        <v>38.077895640224099</v>
      </c>
      <c r="K104">
        <f>VLOOKUP(F104,[1]!china_towns_second__2[[Column1]:[Y]],2,FALSE)</f>
        <v>106.03351240000001</v>
      </c>
      <c r="L104" t="s">
        <v>806</v>
      </c>
      <c r="M104" t="str">
        <f>VLOOKUP(H104,CHOOSE({1,2},Table6[Native],Table6[Name]),2,0)</f>
        <v>Qīngtóngxiá Shì</v>
      </c>
      <c r="N104" s="15" t="str">
        <f>VLOOKUP(I104,CHOOSE({1,2},Table6[Native],Table6[Name]),2,0)</f>
        <v>Wúzhōng Shì</v>
      </c>
      <c r="O104" s="15" t="str">
        <f t="shared" si="2"/>
        <v>Jujing Zhen (Wúzhōng Shì)</v>
      </c>
      <c r="P104" s="15" t="str">
        <f t="shared" si="3"/>
        <v>Jujing Zhen (Wúzhōng Shì)</v>
      </c>
    </row>
    <row r="105" spans="1:16" x14ac:dyDescent="0.25">
      <c r="A105" t="s">
        <v>59</v>
      </c>
      <c r="B105" t="str">
        <f>IF(COUNTIF(A:A,A105)&gt;1,_xlfn.CONCAT(A105," (",N105,")"),A105)</f>
        <v>Kāichéng Zhèn</v>
      </c>
      <c r="C105" t="str">
        <f>IF(COUNTIF(B:B,B105)&gt;1,_xlfn.CONCAT(A105," (",M105,")"),B105)</f>
        <v>Kāichéng Zhèn</v>
      </c>
      <c r="D105" t="s">
        <v>60</v>
      </c>
      <c r="E105" t="s">
        <v>7</v>
      </c>
      <c r="F105" t="str">
        <f>_xlfn.CONCAT(D105,", ",H105,", ",I105,", ","宁夏回族自治区")</f>
        <v>开城镇, 原州区, 固原市, 宁夏回族自治区</v>
      </c>
      <c r="G105">
        <v>31516</v>
      </c>
      <c r="H105" t="s">
        <v>546</v>
      </c>
      <c r="I105" t="s">
        <v>539</v>
      </c>
      <c r="J105">
        <f>VLOOKUP(F105,[1]!china_towns_second__2[[Column1]:[Y]],3,FALSE)</f>
        <v>35.882776053916601</v>
      </c>
      <c r="K105">
        <f>VLOOKUP(F105,[1]!china_towns_second__2[[Column1]:[Y]],2,FALSE)</f>
        <v>106.2369341</v>
      </c>
      <c r="L105" t="s">
        <v>807</v>
      </c>
      <c r="M105" t="str">
        <f>VLOOKUP(H105,CHOOSE({1,2},Table6[Native],Table6[Name]),2,0)</f>
        <v>Yuánzhōu Qū</v>
      </c>
      <c r="N105" s="15" t="str">
        <f>VLOOKUP(I105,CHOOSE({1,2},Table6[Native],Table6[Name]),2,0)</f>
        <v>Gùyuán Shì</v>
      </c>
      <c r="O105" s="15" t="str">
        <f t="shared" si="2"/>
        <v>Kaicheng Zhen (Gùyuán Shì)</v>
      </c>
      <c r="P105" s="15" t="str">
        <f t="shared" si="3"/>
        <v>Kaicheng Zhen (Gùyuán Shì)</v>
      </c>
    </row>
    <row r="106" spans="1:16" hidden="1" x14ac:dyDescent="0.25">
      <c r="A106" t="s">
        <v>479</v>
      </c>
      <c r="B106" t="str">
        <f>IF(COUNTIF(A:A,A106)&gt;1,_xlfn.CONCAT(A106," (",N106,")"),A106)</f>
        <v>Lăochéng Guănlĭ Bàngōngshì</v>
      </c>
      <c r="C106" t="str">
        <f>IF(COUNTIF(B:B,B106)&gt;1,_xlfn.CONCAT(A106," (",M106,")"),B106)</f>
        <v>Lăochéng Guănlĭ Bàngōngshì</v>
      </c>
      <c r="D106" t="s">
        <v>480</v>
      </c>
      <c r="E106" t="s">
        <v>165</v>
      </c>
      <c r="F106" t="str">
        <f>_xlfn.CONCAT(D106,", ",H106,", ",I106,", ","宁夏回族自治区")</f>
        <v>老城管理办公室, 海原县, 中卫市, 宁夏回族自治区</v>
      </c>
      <c r="G106">
        <v>52070</v>
      </c>
      <c r="H106" t="s">
        <v>571</v>
      </c>
      <c r="I106" t="s">
        <v>570</v>
      </c>
      <c r="J106">
        <f>VLOOKUP(F106,[1]!china_towns_second__2[[Column1]:[Y]],3,FALSE)</f>
        <v>36.554841155928301</v>
      </c>
      <c r="K106">
        <f>VLOOKUP(F106,[1]!china_towns_second__2[[Column1]:[Y]],2,FALSE)</f>
        <v>105.63669400000001</v>
      </c>
      <c r="L106" t="s">
        <v>808</v>
      </c>
      <c r="M106" t="str">
        <f>VLOOKUP(H106,CHOOSE({1,2},Table6[Native],Table6[Name]),2,0)</f>
        <v>Hăiyuán Xiàn</v>
      </c>
      <c r="N106" s="15" t="str">
        <f>VLOOKUP(I106,CHOOSE({1,2},Table6[Native],Table6[Name]),2,0)</f>
        <v>Zhōngwèi Shì</v>
      </c>
      <c r="O106" s="15" t="str">
        <f t="shared" si="2"/>
        <v>Laocheng Guanli Bangongshi (Zhōngwèi Shì)</v>
      </c>
      <c r="P106" s="15" t="str">
        <f t="shared" si="3"/>
        <v>Laocheng Guanli Bangongshi (Zhōngwèi Shì)</v>
      </c>
    </row>
    <row r="107" spans="1:16" x14ac:dyDescent="0.25">
      <c r="A107" t="s">
        <v>61</v>
      </c>
      <c r="B107" t="str">
        <f>IF(COUNTIF(A:A,A107)&gt;1,_xlfn.CONCAT(A107," (",N107,")"),A107)</f>
        <v>Liáncái Zhèn</v>
      </c>
      <c r="C107" t="str">
        <f>IF(COUNTIF(B:B,B107)&gt;1,_xlfn.CONCAT(A107," (",M107,")"),B107)</f>
        <v>Liáncái Zhèn</v>
      </c>
      <c r="D107" t="s">
        <v>62</v>
      </c>
      <c r="E107" t="s">
        <v>7</v>
      </c>
      <c r="F107" t="str">
        <f>_xlfn.CONCAT(D107,", ",H107,", ",I107,", ","宁夏回族自治区")</f>
        <v>联财镇, 隆德县, 固原市, 宁夏回族自治区</v>
      </c>
      <c r="G107">
        <v>9594</v>
      </c>
      <c r="H107" t="s">
        <v>542</v>
      </c>
      <c r="I107" t="s">
        <v>539</v>
      </c>
      <c r="J107">
        <f>VLOOKUP(F107,[1]!china_towns_second__2[[Column1]:[Y]],3,FALSE)</f>
        <v>35.553468354762302</v>
      </c>
      <c r="K107">
        <f>VLOOKUP(F107,[1]!china_towns_second__2[[Column1]:[Y]],2,FALSE)</f>
        <v>105.851878</v>
      </c>
      <c r="L107" t="s">
        <v>809</v>
      </c>
      <c r="M107" t="str">
        <f>VLOOKUP(H107,CHOOSE({1,2},Table6[Native],Table6[Name]),2,0)</f>
        <v>Lóngdé Xiàn</v>
      </c>
      <c r="N107" s="15" t="str">
        <f>VLOOKUP(I107,CHOOSE({1,2},Table6[Native],Table6[Name]),2,0)</f>
        <v>Gùyuán Shì</v>
      </c>
      <c r="O107" s="15" t="str">
        <f t="shared" si="2"/>
        <v>Liancai Zhen (Gùyuán Shì)</v>
      </c>
      <c r="P107" s="15" t="str">
        <f t="shared" si="3"/>
        <v>Liancai Zhen (Gùyuán Shì)</v>
      </c>
    </row>
    <row r="108" spans="1:16" x14ac:dyDescent="0.25">
      <c r="A108" t="s">
        <v>369</v>
      </c>
      <c r="B108" t="str">
        <f>IF(COUNTIF(A:A,A108)&gt;1,_xlfn.CONCAT(A108," (",N108,")"),A108)</f>
        <v>Liángtián Zhèn</v>
      </c>
      <c r="C108" t="str">
        <f>IF(COUNTIF(B:B,B108)&gt;1,_xlfn.CONCAT(A108," (",M108,")"),B108)</f>
        <v>Liángtián Zhèn</v>
      </c>
      <c r="D108" t="s">
        <v>370</v>
      </c>
      <c r="E108" t="s">
        <v>7</v>
      </c>
      <c r="F108" t="str">
        <f>_xlfn.CONCAT(D108,", ",H108,", ",I108,", ","宁夏回族自治区")</f>
        <v>良田镇, 金凤区, 银川市, 宁夏回族自治区</v>
      </c>
      <c r="G108">
        <v>22160</v>
      </c>
      <c r="H108" t="s">
        <v>563</v>
      </c>
      <c r="I108" t="s">
        <v>561</v>
      </c>
      <c r="J108">
        <f>VLOOKUP(F108,[1]!china_towns_second__2[[Column1]:[Y]],3,FALSE)</f>
        <v>38.369612043550298</v>
      </c>
      <c r="K108">
        <f>VLOOKUP(F108,[1]!china_towns_second__2[[Column1]:[Y]],2,FALSE)</f>
        <v>106.12774949999999</v>
      </c>
      <c r="L108" t="s">
        <v>810</v>
      </c>
      <c r="M108" t="str">
        <f>VLOOKUP(H108,CHOOSE({1,2},Table6[Native],Table6[Name]),2,0)</f>
        <v>Jīnfèng Qū</v>
      </c>
      <c r="N108" s="15" t="str">
        <f>VLOOKUP(I108,CHOOSE({1,2},Table6[Native],Table6[Name]),2,0)</f>
        <v>Yínchuān Shì</v>
      </c>
      <c r="O108" s="15" t="str">
        <f t="shared" si="2"/>
        <v>Liangtian Zhen (Yínchuān Shì)</v>
      </c>
      <c r="P108" s="15" t="str">
        <f t="shared" si="3"/>
        <v>Liangtian Zhen (Yínchuān Shì)</v>
      </c>
    </row>
    <row r="109" spans="1:16" hidden="1" x14ac:dyDescent="0.25">
      <c r="A109" t="s">
        <v>180</v>
      </c>
      <c r="B109" t="str">
        <f>IF(COUNTIF(A:A,A109)&gt;1,_xlfn.CONCAT(A109," (",N109,")"),A109)</f>
        <v>Liángzhŏng Fánzhí Chăng</v>
      </c>
      <c r="C109" t="str">
        <f>IF(COUNTIF(B:B,B109)&gt;1,_xlfn.CONCAT(A109," (",M109,")"),B109)</f>
        <v>Liángzhŏng Fánzhí Chăng</v>
      </c>
      <c r="D109" t="s">
        <v>181</v>
      </c>
      <c r="E109" t="s">
        <v>165</v>
      </c>
      <c r="F109" t="str">
        <f>_xlfn.CONCAT(D109,", ",H109,", ",I109,", ","宁夏回族自治区")</f>
        <v>良种繁殖场, 惠农区, 石嘴山市, 宁夏回族自治区</v>
      </c>
      <c r="G109">
        <v>149</v>
      </c>
      <c r="H109" t="s">
        <v>550</v>
      </c>
      <c r="I109" t="s">
        <v>548</v>
      </c>
      <c r="J109">
        <f>VLOOKUP(F109,[1]!china_towns_second__2[[Column1]:[Y]],3,FALSE)</f>
        <v>39.185209027656001</v>
      </c>
      <c r="K109">
        <f>VLOOKUP(F109,[1]!china_towns_second__2[[Column1]:[Y]],2,FALSE)</f>
        <v>106.79186110000001</v>
      </c>
      <c r="L109" t="s">
        <v>811</v>
      </c>
      <c r="M109" t="str">
        <f>VLOOKUP(H109,CHOOSE({1,2},Table6[Native],Table6[Name]),2,0)</f>
        <v>Huìnóng Qū</v>
      </c>
      <c r="N109" s="15" t="str">
        <f>VLOOKUP(I109,CHOOSE({1,2},Table6[Native],Table6[Name]),2,0)</f>
        <v>Shízuĭshān Shì</v>
      </c>
      <c r="O109" s="15" t="str">
        <f t="shared" si="2"/>
        <v>Liangzhong Fanzhi Chang (Shízuĭshān Shì)</v>
      </c>
      <c r="P109" s="15" t="str">
        <f t="shared" si="3"/>
        <v>Liangzhong Fanzhi Chang (Shízuĭshān Shì)</v>
      </c>
    </row>
    <row r="110" spans="1:16" hidden="1" x14ac:dyDescent="0.25">
      <c r="A110" t="s">
        <v>269</v>
      </c>
      <c r="B110" t="str">
        <f>IF(COUNTIF(A:A,A110)&gt;1,_xlfn.CONCAT(A110," (",N110,")"),A110)</f>
        <v>Liánhú Nóngchăng</v>
      </c>
      <c r="C110" t="str">
        <f>IF(COUNTIF(B:B,B110)&gt;1,_xlfn.CONCAT(A110," (",M110,")"),B110)</f>
        <v>Liánhú Nóngchăng</v>
      </c>
      <c r="D110" t="s">
        <v>270</v>
      </c>
      <c r="E110" t="s">
        <v>165</v>
      </c>
      <c r="F110" t="str">
        <f>_xlfn.CONCAT(D110,", ",H110,", ",I110,", ","宁夏回族自治区")</f>
        <v>连湖农场, 青铜峡市, 吴忠市, 宁夏回族自治区</v>
      </c>
      <c r="G110">
        <v>5181</v>
      </c>
      <c r="H110" t="s">
        <v>557</v>
      </c>
      <c r="I110" t="s">
        <v>553</v>
      </c>
      <c r="J110">
        <f>VLOOKUP(F110,[1]!china_towns_second__2[[Column1]:[Y]],3,FALSE)</f>
        <v>38.141347445167803</v>
      </c>
      <c r="K110">
        <f>VLOOKUP(F110,[1]!china_towns_second__2[[Column1]:[Y]],2,FALSE)</f>
        <v>106.0641098</v>
      </c>
      <c r="L110" t="s">
        <v>812</v>
      </c>
      <c r="M110" t="str">
        <f>VLOOKUP(H110,CHOOSE({1,2},Table6[Native],Table6[Name]),2,0)</f>
        <v>Qīngtóngxiá Shì</v>
      </c>
      <c r="N110" s="15" t="str">
        <f>VLOOKUP(I110,CHOOSE({1,2},Table6[Native],Table6[Name]),2,0)</f>
        <v>Wúzhōng Shì</v>
      </c>
      <c r="O110" s="15" t="str">
        <f t="shared" si="2"/>
        <v>Lianhu Nongchang (Wúzhōng Shì)</v>
      </c>
      <c r="P110" s="15" t="str">
        <f t="shared" si="3"/>
        <v>Lianhu Nongchang (Wúzhōng Shì)</v>
      </c>
    </row>
    <row r="111" spans="1:16" x14ac:dyDescent="0.25">
      <c r="A111" t="s">
        <v>371</v>
      </c>
      <c r="B111" t="str">
        <f>IF(COUNTIF(A:A,A111)&gt;1,_xlfn.CONCAT(A111," (",N111,")"),A111)</f>
        <v>Lìgăng Zhèn</v>
      </c>
      <c r="C111" t="str">
        <f>IF(COUNTIF(B:B,B111)&gt;1,_xlfn.CONCAT(A111," (",M111,")"),B111)</f>
        <v>Lìgăng Zhèn</v>
      </c>
      <c r="D111" t="s">
        <v>372</v>
      </c>
      <c r="E111" t="s">
        <v>7</v>
      </c>
      <c r="F111" t="str">
        <f>_xlfn.CONCAT(D111,", ",H111,", ",I111,", ","宁夏回族自治区")</f>
        <v>立岗镇, 贺兰县, 银川市, 宁夏回族自治区</v>
      </c>
      <c r="G111">
        <v>24165</v>
      </c>
      <c r="H111" t="s">
        <v>562</v>
      </c>
      <c r="I111" t="s">
        <v>561</v>
      </c>
      <c r="J111">
        <f>VLOOKUP(F111,[1]!china_towns_second__2[[Column1]:[Y]],3,FALSE)</f>
        <v>38.6400702604437</v>
      </c>
      <c r="K111">
        <f>VLOOKUP(F111,[1]!china_towns_second__2[[Column1]:[Y]],2,FALSE)</f>
        <v>106.48264589999999</v>
      </c>
      <c r="L111" t="s">
        <v>813</v>
      </c>
      <c r="M111" t="str">
        <f>VLOOKUP(H111,CHOOSE({1,2},Table6[Native],Table6[Name]),2,0)</f>
        <v>Hèlán Xiàn</v>
      </c>
      <c r="N111" s="15" t="str">
        <f>VLOOKUP(I111,CHOOSE({1,2},Table6[Native],Table6[Name]),2,0)</f>
        <v>Yínchuān Shì</v>
      </c>
      <c r="O111" s="15" t="str">
        <f t="shared" si="2"/>
        <v>Ligang Zhen (Yínchuān Shì)</v>
      </c>
      <c r="P111" s="15" t="str">
        <f t="shared" si="3"/>
        <v>Ligang Zhen (Yínchuān Shì)</v>
      </c>
    </row>
    <row r="112" spans="1:16" hidden="1" x14ac:dyDescent="0.25">
      <c r="A112" t="s">
        <v>182</v>
      </c>
      <c r="B112" t="str">
        <f>IF(COUNTIF(A:A,A112)&gt;1,_xlfn.CONCAT(A112," (",N112,")"),A112)</f>
        <v>Lĭhé Xiāng</v>
      </c>
      <c r="C112" t="str">
        <f>IF(COUNTIF(B:B,B112)&gt;1,_xlfn.CONCAT(A112," (",M112,")"),B112)</f>
        <v>Lĭhé Xiāng</v>
      </c>
      <c r="D112" t="s">
        <v>183</v>
      </c>
      <c r="E112" t="s">
        <v>11</v>
      </c>
      <c r="F112" t="str">
        <f>_xlfn.CONCAT(D112,", ",H112,", ",I112,", ","宁夏回族自治区")</f>
        <v>礼和乡, 惠农区, 石嘴山市, 宁夏回族自治区</v>
      </c>
      <c r="G112">
        <v>8208</v>
      </c>
      <c r="H112" t="s">
        <v>550</v>
      </c>
      <c r="I112" t="s">
        <v>548</v>
      </c>
      <c r="J112" t="e">
        <f>VLOOKUP(F112,[1]!china_towns_second__2[[Column1]:[Y]],3,FALSE)</f>
        <v>#N/A</v>
      </c>
      <c r="K112" t="e">
        <f>VLOOKUP(F112,[1]!china_towns_second__2[[Column1]:[Y]],2,FALSE)</f>
        <v>#N/A</v>
      </c>
      <c r="L112" t="s">
        <v>814</v>
      </c>
      <c r="M112" t="str">
        <f>VLOOKUP(H112,CHOOSE({1,2},Table6[Native],Table6[Name]),2,0)</f>
        <v>Huìnóng Qū</v>
      </c>
      <c r="N112" s="15" t="str">
        <f>VLOOKUP(I112,CHOOSE({1,2},Table6[Native],Table6[Name]),2,0)</f>
        <v>Shízuĭshān Shì</v>
      </c>
      <c r="O112" s="15" t="str">
        <f t="shared" si="2"/>
        <v>Lihe Xiang (Shízuĭshān Shì)</v>
      </c>
      <c r="P112" s="15" t="str">
        <f t="shared" si="3"/>
        <v>Lihe Xiang (Shízuĭshān Shì)</v>
      </c>
    </row>
    <row r="113" spans="1:16" hidden="1" x14ac:dyDescent="0.25">
      <c r="A113" t="s">
        <v>373</v>
      </c>
      <c r="B113" t="str">
        <f>IF(COUNTIF(A:A,A113)&gt;1,_xlfn.CONCAT(A113," (",N113,")"),A113)</f>
        <v>Lìjĭngjiē Jiēdào</v>
      </c>
      <c r="C113" t="str">
        <f>IF(COUNTIF(B:B,B113)&gt;1,_xlfn.CONCAT(A113," (",M113,")"),B113)</f>
        <v>Lìjĭngjiē Jiēdào</v>
      </c>
      <c r="D113" t="s">
        <v>374</v>
      </c>
      <c r="E113" t="s">
        <v>52</v>
      </c>
      <c r="F113" t="str">
        <f>_xlfn.CONCAT(D113,", ",H113,", ",I113,", ","宁夏回族自治区")</f>
        <v>丽景街街道, 兴庆区, 银川市, 宁夏回族自治区</v>
      </c>
      <c r="G113">
        <v>72736</v>
      </c>
      <c r="H113" t="s">
        <v>566</v>
      </c>
      <c r="I113" t="s">
        <v>561</v>
      </c>
      <c r="J113">
        <f>VLOOKUP(F113,[1]!china_towns_second__2[[Column1]:[Y]],3,FALSE)</f>
        <v>38.497147185619902</v>
      </c>
      <c r="K113">
        <f>VLOOKUP(F113,[1]!china_towns_second__2[[Column1]:[Y]],2,FALSE)</f>
        <v>106.2956537</v>
      </c>
      <c r="L113" t="s">
        <v>815</v>
      </c>
      <c r="M113" t="str">
        <f>VLOOKUP(H113,CHOOSE({1,2},Table6[Native],Table6[Name]),2,0)</f>
        <v>Xīngqìng Qū</v>
      </c>
      <c r="N113" s="15" t="str">
        <f>VLOOKUP(I113,CHOOSE({1,2},Table6[Native],Table6[Name]),2,0)</f>
        <v>Yínchuān Shì</v>
      </c>
      <c r="O113" s="15" t="str">
        <f t="shared" si="2"/>
        <v>Lijingjie Jiedao (Yínchuān Shì)</v>
      </c>
      <c r="P113" s="15" t="str">
        <f t="shared" si="3"/>
        <v>Lijingjie Jiedao (Yínchuān Shì)</v>
      </c>
    </row>
    <row r="114" spans="1:16" hidden="1" x14ac:dyDescent="0.25">
      <c r="A114" t="s">
        <v>481</v>
      </c>
      <c r="B114" t="str">
        <f>IF(COUNTIF(A:A,A114)&gt;1,_xlfn.CONCAT(A114," (",N114,")"),A114)</f>
        <v>Lĭjùn Xiāng</v>
      </c>
      <c r="C114" t="str">
        <f>IF(COUNTIF(B:B,B114)&gt;1,_xlfn.CONCAT(A114," (",M114,")"),B114)</f>
        <v>Lĭjùn Xiāng</v>
      </c>
      <c r="D114" t="s">
        <v>482</v>
      </c>
      <c r="E114" t="s">
        <v>11</v>
      </c>
      <c r="F114" t="str">
        <f>_xlfn.CONCAT(D114,", ",H114,", ",I114,", ","宁夏回族自治区")</f>
        <v>李俊乡, 海原县, 中卫市, 宁夏回族自治区</v>
      </c>
      <c r="G114">
        <v>11133</v>
      </c>
      <c r="H114" t="s">
        <v>571</v>
      </c>
      <c r="I114" t="s">
        <v>570</v>
      </c>
      <c r="J114" t="e">
        <f>VLOOKUP(F114,[1]!china_towns_second__2[[Column1]:[Y]],3,FALSE)</f>
        <v>#N/A</v>
      </c>
      <c r="K114" t="e">
        <f>VLOOKUP(F114,[1]!china_towns_second__2[[Column1]:[Y]],2,FALSE)</f>
        <v>#N/A</v>
      </c>
      <c r="L114" t="s">
        <v>816</v>
      </c>
      <c r="M114" t="str">
        <f>VLOOKUP(H114,CHOOSE({1,2},Table6[Native],Table6[Name]),2,0)</f>
        <v>Hăiyuán Xiàn</v>
      </c>
      <c r="N114" s="15" t="str">
        <f>VLOOKUP(I114,CHOOSE({1,2},Table6[Native],Table6[Name]),2,0)</f>
        <v>Zhōngwèi Shì</v>
      </c>
      <c r="O114" s="15" t="str">
        <f t="shared" si="2"/>
        <v>Lijun Xiang (Zhōngwèi Shì)</v>
      </c>
      <c r="P114" s="15" t="str">
        <f t="shared" si="3"/>
        <v>Lijun Xiang (Zhōngwèi Shì)</v>
      </c>
    </row>
    <row r="115" spans="1:16" x14ac:dyDescent="0.25">
      <c r="A115" t="s">
        <v>375</v>
      </c>
      <c r="B115" t="str">
        <f>IF(COUNTIF(A:A,A115)&gt;1,_xlfn.CONCAT(A115," (",N115,")"),A115)</f>
        <v>Lĭjùn Zhèn</v>
      </c>
      <c r="C115" t="str">
        <f>IF(COUNTIF(B:B,B115)&gt;1,_xlfn.CONCAT(A115," (",M115,")"),B115)</f>
        <v>Lĭjùn Zhèn</v>
      </c>
      <c r="D115" t="s">
        <v>376</v>
      </c>
      <c r="E115" t="s">
        <v>7</v>
      </c>
      <c r="F115" t="str">
        <f>_xlfn.CONCAT(D115,", ",H115,", ",I115,", ","宁夏回族自治区")</f>
        <v>李俊镇, 永宁县, 银川市, 宁夏回族自治区</v>
      </c>
      <c r="G115">
        <v>27723</v>
      </c>
      <c r="H115" t="s">
        <v>568</v>
      </c>
      <c r="I115" t="s">
        <v>561</v>
      </c>
      <c r="J115">
        <f>VLOOKUP(F115,[1]!china_towns_second__2[[Column1]:[Y]],3,FALSE)</f>
        <v>38.1875711888732</v>
      </c>
      <c r="K115">
        <f>VLOOKUP(F115,[1]!china_towns_second__2[[Column1]:[Y]],2,FALSE)</f>
        <v>106.1273683</v>
      </c>
      <c r="L115" t="s">
        <v>817</v>
      </c>
      <c r="M115" t="str">
        <f>VLOOKUP(H115,CHOOSE({1,2},Table6[Native],Table6[Name]),2,0)</f>
        <v>Yŏngníng Xiàn</v>
      </c>
      <c r="N115" s="15" t="str">
        <f>VLOOKUP(I115,CHOOSE({1,2},Table6[Native],Table6[Name]),2,0)</f>
        <v>Yínchuān Shì</v>
      </c>
      <c r="O115" s="15" t="str">
        <f t="shared" si="2"/>
        <v>Lijun Zhen (Yínchuān Shì)</v>
      </c>
      <c r="P115" s="15" t="str">
        <f t="shared" si="3"/>
        <v>Lijun Zhen (Yínchuān Shì)</v>
      </c>
    </row>
    <row r="116" spans="1:16" hidden="1" x14ac:dyDescent="0.25">
      <c r="A116" t="s">
        <v>184</v>
      </c>
      <c r="B116" t="str">
        <f>IF(COUNTIF(A:A,A116)&gt;1,_xlfn.CONCAT(A116," (",N116,")"),A116)</f>
        <v>Língshā Xiāng</v>
      </c>
      <c r="C116" t="str">
        <f>IF(COUNTIF(B:B,B116)&gt;1,_xlfn.CONCAT(A116," (",M116,")"),B116)</f>
        <v>Língshā Xiāng</v>
      </c>
      <c r="D116" t="s">
        <v>185</v>
      </c>
      <c r="E116" t="s">
        <v>11</v>
      </c>
      <c r="F116" t="str">
        <f>_xlfn.CONCAT(D116,", ",H116,", ",I116,", ","宁夏回族自治区")</f>
        <v>灵沙乡, 平罗县, 石嘴山市, 宁夏回族自治区</v>
      </c>
      <c r="G116">
        <v>14434</v>
      </c>
      <c r="H116" t="s">
        <v>551</v>
      </c>
      <c r="I116" t="s">
        <v>548</v>
      </c>
      <c r="J116" t="e">
        <f>VLOOKUP(F116,[1]!china_towns_second__2[[Column1]:[Y]],3,FALSE)</f>
        <v>#N/A</v>
      </c>
      <c r="K116" t="e">
        <f>VLOOKUP(F116,[1]!china_towns_second__2[[Column1]:[Y]],2,FALSE)</f>
        <v>#N/A</v>
      </c>
      <c r="L116" t="s">
        <v>818</v>
      </c>
      <c r="M116" t="str">
        <f>VLOOKUP(H116,CHOOSE({1,2},Table6[Native],Table6[Name]),2,0)</f>
        <v>Píngluó Xiàn</v>
      </c>
      <c r="N116" s="15" t="str">
        <f>VLOOKUP(I116,CHOOSE({1,2},Table6[Native],Table6[Name]),2,0)</f>
        <v>Shízuĭshān Shì</v>
      </c>
      <c r="O116" s="15" t="str">
        <f t="shared" si="2"/>
        <v>Lingsha Xiang (Shízuĭshān Shì)</v>
      </c>
      <c r="P116" s="15" t="str">
        <f t="shared" si="3"/>
        <v>Lingsha Xiang (Shízuĭshān Shì)</v>
      </c>
    </row>
    <row r="117" spans="1:16" hidden="1" x14ac:dyDescent="0.25">
      <c r="A117" t="s">
        <v>377</v>
      </c>
      <c r="B117" t="str">
        <f>IF(COUNTIF(A:A,A117)&gt;1,_xlfn.CONCAT(A117," (",N117,")"),A117)</f>
        <v>Língwŭ Nóngchăng</v>
      </c>
      <c r="C117" t="str">
        <f>IF(COUNTIF(B:B,B117)&gt;1,_xlfn.CONCAT(A117," (",M117,")"),B117)</f>
        <v>Língwŭ Nóngchăng</v>
      </c>
      <c r="D117" t="s">
        <v>378</v>
      </c>
      <c r="E117" t="s">
        <v>165</v>
      </c>
      <c r="F117" t="str">
        <f>_xlfn.CONCAT(D117,", ",H117,", ",I117,", ","宁夏回族自治区")</f>
        <v>灵武农场, 灵武市, 银川市, 宁夏回族自治区</v>
      </c>
      <c r="G117">
        <v>9949</v>
      </c>
      <c r="H117" t="s">
        <v>565</v>
      </c>
      <c r="I117" t="s">
        <v>561</v>
      </c>
      <c r="J117">
        <f>VLOOKUP(F117,[1]!china_towns_second__2[[Column1]:[Y]],3,FALSE)</f>
        <v>38.121623831241898</v>
      </c>
      <c r="K117">
        <f>VLOOKUP(F117,[1]!china_towns_second__2[[Column1]:[Y]],2,FALSE)</f>
        <v>106.2993821</v>
      </c>
      <c r="L117" t="s">
        <v>819</v>
      </c>
      <c r="M117" t="str">
        <f>VLOOKUP(H117,CHOOSE({1,2},Table6[Native],Table6[Name]),2,0)</f>
        <v>Língwŭ Shì</v>
      </c>
      <c r="N117" s="15" t="str">
        <f>VLOOKUP(I117,CHOOSE({1,2},Table6[Native],Table6[Name]),2,0)</f>
        <v>Yínchuān Shì</v>
      </c>
      <c r="O117" s="15" t="str">
        <f t="shared" si="2"/>
        <v>Lingwu Nongchang (Yínchuān Shì)</v>
      </c>
      <c r="P117" s="15" t="str">
        <f t="shared" si="3"/>
        <v>Lingwu Nongchang (Yínchuān Shì)</v>
      </c>
    </row>
    <row r="118" spans="1:16" x14ac:dyDescent="0.25">
      <c r="A118" t="s">
        <v>379</v>
      </c>
      <c r="B118" t="str">
        <f>IF(COUNTIF(A:A,A118)&gt;1,_xlfn.CONCAT(A118," (",N118,")"),A118)</f>
        <v>Línhé Zhèn</v>
      </c>
      <c r="C118" t="str">
        <f>IF(COUNTIF(B:B,B118)&gt;1,_xlfn.CONCAT(A118," (",M118,")"),B118)</f>
        <v>Línhé Zhèn</v>
      </c>
      <c r="D118" t="s">
        <v>380</v>
      </c>
      <c r="E118" t="s">
        <v>7</v>
      </c>
      <c r="F118" t="str">
        <f>_xlfn.CONCAT(D118,", ",H118,", ",I118,", ","宁夏回族自治区")</f>
        <v>临河镇, 灵武市, 银川市, 宁夏回族自治区</v>
      </c>
      <c r="G118">
        <v>16723</v>
      </c>
      <c r="H118" t="s">
        <v>565</v>
      </c>
      <c r="I118" t="s">
        <v>561</v>
      </c>
      <c r="J118">
        <f>VLOOKUP(F118,[1]!china_towns_second__2[[Column1]:[Y]],3,FALSE)</f>
        <v>38.213412170153198</v>
      </c>
      <c r="K118">
        <f>VLOOKUP(F118,[1]!china_towns_second__2[[Column1]:[Y]],2,FALSE)</f>
        <v>106.465547</v>
      </c>
      <c r="L118" t="s">
        <v>820</v>
      </c>
      <c r="M118" t="str">
        <f>VLOOKUP(H118,CHOOSE({1,2},Table6[Native],Table6[Name]),2,0)</f>
        <v>Língwŭ Shì</v>
      </c>
      <c r="N118" s="15" t="str">
        <f>VLOOKUP(I118,CHOOSE({1,2},Table6[Native],Table6[Name]),2,0)</f>
        <v>Yínchuān Shì</v>
      </c>
      <c r="O118" s="15" t="str">
        <f t="shared" si="2"/>
        <v>Linhe Zhen (Yínchuān Shì)</v>
      </c>
      <c r="P118" s="15" t="str">
        <f t="shared" si="3"/>
        <v>Linhe Zhen (Yínchuān Shì)</v>
      </c>
    </row>
    <row r="119" spans="1:16" x14ac:dyDescent="0.25">
      <c r="A119" t="s">
        <v>63</v>
      </c>
      <c r="B119" t="str">
        <f>IF(COUNTIF(A:A,A119)&gt;1,_xlfn.CONCAT(A119," (",N119,")"),A119)</f>
        <v>Liùpánshān Zhèn</v>
      </c>
      <c r="C119" t="str">
        <f>IF(COUNTIF(B:B,B119)&gt;1,_xlfn.CONCAT(A119," (",M119,")"),B119)</f>
        <v>Liùpánshān Zhèn</v>
      </c>
      <c r="D119" t="s">
        <v>64</v>
      </c>
      <c r="E119" t="s">
        <v>7</v>
      </c>
      <c r="F119" t="str">
        <f>_xlfn.CONCAT(D119,", ",H119,", ",I119,", ","宁夏回族自治区")</f>
        <v>六盘山镇, 泾源县, 固原市, 宁夏回族自治区</v>
      </c>
      <c r="G119">
        <v>13344</v>
      </c>
      <c r="H119" t="s">
        <v>541</v>
      </c>
      <c r="I119" t="s">
        <v>539</v>
      </c>
      <c r="J119">
        <f>VLOOKUP(F119,[1]!china_towns_second__2[[Column1]:[Y]],3,FALSE)</f>
        <v>35.651132058129001</v>
      </c>
      <c r="K119">
        <f>VLOOKUP(F119,[1]!china_towns_second__2[[Column1]:[Y]],2,FALSE)</f>
        <v>106.3289059</v>
      </c>
      <c r="L119" t="s">
        <v>821</v>
      </c>
      <c r="M119" t="str">
        <f>VLOOKUP(H119,CHOOSE({1,2},Table6[Native],Table6[Name]),2,0)</f>
        <v>Jīngyuán Xiàn</v>
      </c>
      <c r="N119" s="15" t="str">
        <f>VLOOKUP(I119,CHOOSE({1,2},Table6[Native],Table6[Name]),2,0)</f>
        <v>Gùyuán Shì</v>
      </c>
      <c r="O119" s="15" t="str">
        <f t="shared" si="2"/>
        <v>Liupanshan Zhen (Gùyuán Shì)</v>
      </c>
      <c r="P119" s="15" t="str">
        <f t="shared" si="3"/>
        <v>Liupanshan Zhen (Gùyuán Shì)</v>
      </c>
    </row>
    <row r="120" spans="1:16" x14ac:dyDescent="0.25">
      <c r="A120" t="s">
        <v>483</v>
      </c>
      <c r="B120" t="str">
        <f>IF(COUNTIF(A:A,A120)&gt;1,_xlfn.CONCAT(A120," (",N120,")"),A120)</f>
        <v>Lĭwàng Zhèn</v>
      </c>
      <c r="C120" t="str">
        <f>IF(COUNTIF(B:B,B120)&gt;1,_xlfn.CONCAT(A120," (",M120,")"),B120)</f>
        <v>Lĭwàng Zhèn</v>
      </c>
      <c r="D120" t="s">
        <v>484</v>
      </c>
      <c r="E120" t="s">
        <v>7</v>
      </c>
      <c r="F120" t="str">
        <f>_xlfn.CONCAT(D120,", ",H120,", ",I120,", ","宁夏回族自治区")</f>
        <v>李旺镇, 海原县, 中卫市, 宁夏回族自治区</v>
      </c>
      <c r="G120">
        <v>33126</v>
      </c>
      <c r="H120" t="s">
        <v>571</v>
      </c>
      <c r="I120" t="s">
        <v>570</v>
      </c>
      <c r="J120">
        <f>VLOOKUP(F120,[1]!china_towns_second__2[[Column1]:[Y]],3,FALSE)</f>
        <v>36.655351277489103</v>
      </c>
      <c r="K120">
        <f>VLOOKUP(F120,[1]!china_towns_second__2[[Column1]:[Y]],2,FALSE)</f>
        <v>106.029236</v>
      </c>
      <c r="L120" t="s">
        <v>822</v>
      </c>
      <c r="M120" t="str">
        <f>VLOOKUP(H120,CHOOSE({1,2},Table6[Native],Table6[Name]),2,0)</f>
        <v>Hăiyuán Xiàn</v>
      </c>
      <c r="N120" s="15" t="str">
        <f>VLOOKUP(I120,CHOOSE({1,2},Table6[Native],Table6[Name]),2,0)</f>
        <v>Zhōngwèi Shì</v>
      </c>
      <c r="O120" s="15" t="str">
        <f t="shared" si="2"/>
        <v>Liwang Zhen (Zhōngwèi Shì)</v>
      </c>
      <c r="P120" s="15" t="str">
        <f t="shared" si="3"/>
        <v>Liwang Zhen (Zhōngwèi Shì)</v>
      </c>
    </row>
    <row r="121" spans="1:16" hidden="1" x14ac:dyDescent="0.25">
      <c r="A121" t="s">
        <v>65</v>
      </c>
      <c r="B121" t="str">
        <f>IF(COUNTIF(A:A,A121)&gt;1,_xlfn.CONCAT(A121," (",N121,")"),A121)</f>
        <v>Luówā Xiāng</v>
      </c>
      <c r="C121" t="str">
        <f>IF(COUNTIF(B:B,B121)&gt;1,_xlfn.CONCAT(A121," (",M121,")"),B121)</f>
        <v>Luówā Xiāng</v>
      </c>
      <c r="D121" t="s">
        <v>66</v>
      </c>
      <c r="E121" t="s">
        <v>11</v>
      </c>
      <c r="F121" t="str">
        <f>_xlfn.CONCAT(D121,", ",H121,", ",I121,", ","宁夏回族自治区")</f>
        <v>罗洼乡, 彭阳县, 固原市, 宁夏回族自治区</v>
      </c>
      <c r="G121">
        <v>5008</v>
      </c>
      <c r="H121" t="s">
        <v>543</v>
      </c>
      <c r="I121" t="s">
        <v>539</v>
      </c>
      <c r="J121" t="e">
        <f>VLOOKUP(F121,[1]!china_towns_second__2[[Column1]:[Y]],3,FALSE)</f>
        <v>#N/A</v>
      </c>
      <c r="K121" t="e">
        <f>VLOOKUP(F121,[1]!china_towns_second__2[[Column1]:[Y]],2,FALSE)</f>
        <v>#N/A</v>
      </c>
      <c r="L121" t="s">
        <v>823</v>
      </c>
      <c r="M121" t="str">
        <f>VLOOKUP(H121,CHOOSE({1,2},Table6[Native],Table6[Name]),2,0)</f>
        <v>Péngyáng Xiàn</v>
      </c>
      <c r="N121" s="15" t="str">
        <f>VLOOKUP(I121,CHOOSE({1,2},Table6[Native],Table6[Name]),2,0)</f>
        <v>Gùyuán Shì</v>
      </c>
      <c r="O121" s="15" t="str">
        <f t="shared" si="2"/>
        <v>Luowa Xiang (Gùyuán Shì)</v>
      </c>
      <c r="P121" s="15" t="str">
        <f t="shared" si="3"/>
        <v>Luowa Xiang (Gùyuán Shì)</v>
      </c>
    </row>
    <row r="122" spans="1:16" hidden="1" x14ac:dyDescent="0.25">
      <c r="A122" t="s">
        <v>271</v>
      </c>
      <c r="B122" t="str">
        <f>IF(COUNTIF(A:A,A122)&gt;1,_xlfn.CONCAT(A122," (",N122,")"),A122)</f>
        <v>Măgāozhuāng Xiāng</v>
      </c>
      <c r="C122" t="str">
        <f>IF(COUNTIF(B:B,B122)&gt;1,_xlfn.CONCAT(A122," (",M122,")"),B122)</f>
        <v>Măgāozhuāng Xiāng</v>
      </c>
      <c r="D122" t="s">
        <v>272</v>
      </c>
      <c r="E122" t="s">
        <v>11</v>
      </c>
      <c r="F122" t="str">
        <f>_xlfn.CONCAT(D122,", ",H122,", ",I122,", ","宁夏回族自治区")</f>
        <v>马高庄乡, 同心县, 吴忠市, 宁夏回族自治区</v>
      </c>
      <c r="G122">
        <v>13853</v>
      </c>
      <c r="H122" t="s">
        <v>558</v>
      </c>
      <c r="I122" t="s">
        <v>553</v>
      </c>
      <c r="J122" t="e">
        <f>VLOOKUP(F122,[1]!china_towns_second__2[[Column1]:[Y]],3,FALSE)</f>
        <v>#N/A</v>
      </c>
      <c r="K122" t="e">
        <f>VLOOKUP(F122,[1]!china_towns_second__2[[Column1]:[Y]],2,FALSE)</f>
        <v>#N/A</v>
      </c>
      <c r="L122" t="s">
        <v>824</v>
      </c>
      <c r="M122" t="str">
        <f>VLOOKUP(H122,CHOOSE({1,2},Table6[Native],Table6[Name]),2,0)</f>
        <v>Tóngxīn Xiàn</v>
      </c>
      <c r="N122" s="15" t="str">
        <f>VLOOKUP(I122,CHOOSE({1,2},Table6[Native],Table6[Name]),2,0)</f>
        <v>Wúzhōng Shì</v>
      </c>
      <c r="O122" s="15" t="str">
        <f t="shared" si="2"/>
        <v>Magaozhuang Xiang (Wúzhōng Shì)</v>
      </c>
      <c r="P122" s="15" t="str">
        <f t="shared" si="3"/>
        <v>Magaozhuang Xiang (Wúzhōng Shì)</v>
      </c>
    </row>
    <row r="123" spans="1:16" hidden="1" x14ac:dyDescent="0.25">
      <c r="A123" t="s">
        <v>273</v>
      </c>
      <c r="B123" t="str">
        <f>IF(COUNTIF(A:A,A123)&gt;1,_xlfn.CONCAT(A123," (",N123,")"),A123)</f>
        <v>Máhuángshān Xiāng</v>
      </c>
      <c r="C123" t="str">
        <f>IF(COUNTIF(B:B,B123)&gt;1,_xlfn.CONCAT(A123," (",M123,")"),B123)</f>
        <v>Máhuángshān Xiāng</v>
      </c>
      <c r="D123" t="s">
        <v>274</v>
      </c>
      <c r="E123" t="s">
        <v>11</v>
      </c>
      <c r="F123" t="str">
        <f>_xlfn.CONCAT(D123,", ",H123,", ",I123,", ","宁夏回族自治区")</f>
        <v>麻黄山乡, 盐池县, 吴忠市, 宁夏回族自治区</v>
      </c>
      <c r="G123">
        <v>6442</v>
      </c>
      <c r="H123" t="s">
        <v>559</v>
      </c>
      <c r="I123" t="s">
        <v>553</v>
      </c>
      <c r="J123" t="e">
        <f>VLOOKUP(F123,[1]!china_towns_second__2[[Column1]:[Y]],3,FALSE)</f>
        <v>#N/A</v>
      </c>
      <c r="K123" t="e">
        <f>VLOOKUP(F123,[1]!china_towns_second__2[[Column1]:[Y]],2,FALSE)</f>
        <v>#N/A</v>
      </c>
      <c r="L123" t="s">
        <v>825</v>
      </c>
      <c r="M123" t="str">
        <f>VLOOKUP(H123,CHOOSE({1,2},Table6[Native],Table6[Name]),2,0)</f>
        <v>Yánchí Xiàn</v>
      </c>
      <c r="N123" s="15" t="str">
        <f>VLOOKUP(I123,CHOOSE({1,2},Table6[Native],Table6[Name]),2,0)</f>
        <v>Wúzhōng Shì</v>
      </c>
      <c r="O123" s="15" t="str">
        <f t="shared" si="2"/>
        <v>Mahuangshan Xiang (Wúzhōng Shì)</v>
      </c>
      <c r="P123" s="15" t="str">
        <f t="shared" si="3"/>
        <v>Mahuangshan Xiang (Wúzhōng Shì)</v>
      </c>
    </row>
    <row r="124" spans="1:16" hidden="1" x14ac:dyDescent="0.25">
      <c r="A124" t="s">
        <v>67</v>
      </c>
      <c r="B124" t="str">
        <f>IF(COUNTIF(A:A,A124)&gt;1,_xlfn.CONCAT(A124," (",N124,")"),A124)</f>
        <v>Măjiàn Xiāng</v>
      </c>
      <c r="C124" t="str">
        <f>IF(COUNTIF(B:B,B124)&gt;1,_xlfn.CONCAT(A124," (",M124,")"),B124)</f>
        <v>Măjiàn Xiāng</v>
      </c>
      <c r="D124" t="s">
        <v>68</v>
      </c>
      <c r="E124" t="s">
        <v>11</v>
      </c>
      <c r="F124" t="str">
        <f>_xlfn.CONCAT(D124,", ",H124,", ",I124,", ","宁夏回族自治区")</f>
        <v>马建乡, 西吉县, 固原市, 宁夏回族自治区</v>
      </c>
      <c r="G124">
        <v>13961</v>
      </c>
      <c r="H124" t="s">
        <v>544</v>
      </c>
      <c r="I124" t="s">
        <v>539</v>
      </c>
      <c r="J124" t="e">
        <f>VLOOKUP(F124,[1]!china_towns_second__2[[Column1]:[Y]],3,FALSE)</f>
        <v>#N/A</v>
      </c>
      <c r="K124" t="e">
        <f>VLOOKUP(F124,[1]!china_towns_second__2[[Column1]:[Y]],2,FALSE)</f>
        <v>#N/A</v>
      </c>
      <c r="L124" t="s">
        <v>826</v>
      </c>
      <c r="M124" t="str">
        <f>VLOOKUP(H124,CHOOSE({1,2},Table6[Native],Table6[Name]),2,0)</f>
        <v>Xījí Xiàn</v>
      </c>
      <c r="N124" s="15" t="str">
        <f>VLOOKUP(I124,CHOOSE({1,2},Table6[Native],Table6[Name]),2,0)</f>
        <v>Gùyuán Shì</v>
      </c>
      <c r="O124" s="15" t="str">
        <f t="shared" si="2"/>
        <v>Majian Xiang (Gùyuán Shì)</v>
      </c>
      <c r="P124" s="15" t="str">
        <f t="shared" si="3"/>
        <v>Majian Xiang (Gùyuán Shì)</v>
      </c>
    </row>
    <row r="125" spans="1:16" x14ac:dyDescent="0.25">
      <c r="A125" t="s">
        <v>381</v>
      </c>
      <c r="B125" t="str">
        <f>IF(COUNTIF(A:A,A125)&gt;1,_xlfn.CONCAT(A125," (",N125,")"),A125)</f>
        <v>Măjiātān Zhèn</v>
      </c>
      <c r="C125" t="str">
        <f>IF(COUNTIF(B:B,B125)&gt;1,_xlfn.CONCAT(A125," (",M125,")"),B125)</f>
        <v>Măjiātān Zhèn</v>
      </c>
      <c r="D125" t="s">
        <v>382</v>
      </c>
      <c r="E125" t="s">
        <v>7</v>
      </c>
      <c r="F125" t="str">
        <f>_xlfn.CONCAT(D125,", ",H125,", ",I125,", ","宁夏回族自治区")</f>
        <v>马家滩镇, 灵武市, 银川市, 宁夏回族自治区</v>
      </c>
      <c r="G125">
        <v>8650</v>
      </c>
      <c r="H125" t="s">
        <v>565</v>
      </c>
      <c r="I125" t="s">
        <v>561</v>
      </c>
      <c r="J125">
        <f>VLOOKUP(F125,[1]!china_towns_second__2[[Column1]:[Y]],3,FALSE)</f>
        <v>37.854353470960298</v>
      </c>
      <c r="K125">
        <f>VLOOKUP(F125,[1]!china_towns_second__2[[Column1]:[Y]],2,FALSE)</f>
        <v>106.657606</v>
      </c>
      <c r="L125" t="s">
        <v>827</v>
      </c>
      <c r="M125" t="str">
        <f>VLOOKUP(H125,CHOOSE({1,2},Table6[Native],Table6[Name]),2,0)</f>
        <v>Língwŭ Shì</v>
      </c>
      <c r="N125" s="15" t="str">
        <f>VLOOKUP(I125,CHOOSE({1,2},Table6[Native],Table6[Name]),2,0)</f>
        <v>Yínchuān Shì</v>
      </c>
      <c r="O125" s="15" t="str">
        <f t="shared" si="2"/>
        <v>Majiatan Zhen (Yínchuān Shì)</v>
      </c>
      <c r="P125" s="15" t="str">
        <f t="shared" si="3"/>
        <v>Majiatan Zhen (Yínchuān Shì)</v>
      </c>
    </row>
    <row r="126" spans="1:16" hidden="1" x14ac:dyDescent="0.25">
      <c r="A126" t="s">
        <v>69</v>
      </c>
      <c r="B126" t="str">
        <f>IF(COUNTIF(A:A,A126)&gt;1,_xlfn.CONCAT(A126," (",N126,")"),A126)</f>
        <v>Mălián Xiāng</v>
      </c>
      <c r="C126" t="str">
        <f>IF(COUNTIF(B:B,B126)&gt;1,_xlfn.CONCAT(A126," (",M126,")"),B126)</f>
        <v>Mălián Xiāng</v>
      </c>
      <c r="D126" t="s">
        <v>70</v>
      </c>
      <c r="E126" t="s">
        <v>11</v>
      </c>
      <c r="F126" t="str">
        <f>_xlfn.CONCAT(D126,", ",H126,", ",I126,", ","宁夏回族自治区")</f>
        <v>马莲乡, 西吉县, 固原市, 宁夏回族自治区</v>
      </c>
      <c r="G126">
        <v>15155</v>
      </c>
      <c r="H126" t="s">
        <v>544</v>
      </c>
      <c r="I126" t="s">
        <v>539</v>
      </c>
      <c r="J126" t="e">
        <f>VLOOKUP(F126,[1]!china_towns_second__2[[Column1]:[Y]],3,FALSE)</f>
        <v>#N/A</v>
      </c>
      <c r="K126" t="e">
        <f>VLOOKUP(F126,[1]!china_towns_second__2[[Column1]:[Y]],2,FALSE)</f>
        <v>#N/A</v>
      </c>
      <c r="L126" t="s">
        <v>828</v>
      </c>
      <c r="M126" t="str">
        <f>VLOOKUP(H126,CHOOSE({1,2},Table6[Native],Table6[Name]),2,0)</f>
        <v>Xījí Xiàn</v>
      </c>
      <c r="N126" s="15" t="str">
        <f>VLOOKUP(I126,CHOOSE({1,2},Table6[Native],Table6[Name]),2,0)</f>
        <v>Gùyuán Shì</v>
      </c>
      <c r="O126" s="15" t="str">
        <f t="shared" si="2"/>
        <v>Malian Xiang (Gùyuán Shì)</v>
      </c>
      <c r="P126" s="15" t="str">
        <f t="shared" si="3"/>
        <v>Malian Xiang (Gùyuán Shì)</v>
      </c>
    </row>
    <row r="127" spans="1:16" hidden="1" x14ac:dyDescent="0.25">
      <c r="A127" t="s">
        <v>275</v>
      </c>
      <c r="B127" t="str">
        <f>IF(COUNTIF(A:A,A127)&gt;1,_xlfn.CONCAT(A127," (",N127,")"),A127)</f>
        <v>Măliánqú Xiāng</v>
      </c>
      <c r="C127" t="str">
        <f>IF(COUNTIF(B:B,B127)&gt;1,_xlfn.CONCAT(A127," (",M127,")"),B127)</f>
        <v>Măliánqú Xiāng</v>
      </c>
      <c r="D127" t="s">
        <v>276</v>
      </c>
      <c r="E127" t="s">
        <v>11</v>
      </c>
      <c r="F127" t="str">
        <f>_xlfn.CONCAT(D127,", ",H127,", ",I127,", ","宁夏回族自治区")</f>
        <v>马莲渠乡, 利通区, 吴忠市, 宁夏回族自治区</v>
      </c>
      <c r="G127">
        <v>21122</v>
      </c>
      <c r="H127" t="s">
        <v>555</v>
      </c>
      <c r="I127" t="s">
        <v>553</v>
      </c>
      <c r="J127" t="e">
        <f>VLOOKUP(F127,[1]!china_towns_second__2[[Column1]:[Y]],3,FALSE)</f>
        <v>#N/A</v>
      </c>
      <c r="K127" t="e">
        <f>VLOOKUP(F127,[1]!china_towns_second__2[[Column1]:[Y]],2,FALSE)</f>
        <v>#N/A</v>
      </c>
      <c r="L127" t="s">
        <v>829</v>
      </c>
      <c r="M127" t="str">
        <f>VLOOKUP(H127,CHOOSE({1,2},Table6[Native],Table6[Name]),2,0)</f>
        <v>Lìtōng Qū</v>
      </c>
      <c r="N127" s="15" t="str">
        <f>VLOOKUP(I127,CHOOSE({1,2},Table6[Native],Table6[Name]),2,0)</f>
        <v>Wúzhōng Shì</v>
      </c>
      <c r="O127" s="15" t="str">
        <f t="shared" si="2"/>
        <v>Malianqu Xiang (Wúzhōng Shì)</v>
      </c>
      <c r="P127" s="15" t="str">
        <f t="shared" si="3"/>
        <v>Malianqu Xiang (Wúzhōng Shì)</v>
      </c>
    </row>
    <row r="128" spans="1:16" hidden="1" x14ac:dyDescent="0.25">
      <c r="A128" t="s">
        <v>383</v>
      </c>
      <c r="B128" t="str">
        <f>IF(COUNTIF(A:A,A128)&gt;1,_xlfn.CONCAT(A128," (",N128,")"),A128)</f>
        <v>Mănchéng Bĕijiē Jiēdào</v>
      </c>
      <c r="C128" t="str">
        <f>IF(COUNTIF(B:B,B128)&gt;1,_xlfn.CONCAT(A128," (",M128,")"),B128)</f>
        <v>Mănchéng Bĕijiē Jiēdào</v>
      </c>
      <c r="D128" t="s">
        <v>384</v>
      </c>
      <c r="E128" t="s">
        <v>52</v>
      </c>
      <c r="F128" t="str">
        <f>_xlfn.CONCAT(D128,", ",H128,", ",I128,", ","宁夏回族自治区")</f>
        <v>满城北街街道, 金凤区, 银川市, 宁夏回族自治区</v>
      </c>
      <c r="G128">
        <v>42797</v>
      </c>
      <c r="H128" t="s">
        <v>563</v>
      </c>
      <c r="I128" t="s">
        <v>561</v>
      </c>
      <c r="J128">
        <f>VLOOKUP(F128,[1]!china_towns_second__2[[Column1]:[Y]],3,FALSE)</f>
        <v>38.565979735041601</v>
      </c>
      <c r="K128">
        <f>VLOOKUP(F128,[1]!china_towns_second__2[[Column1]:[Y]],2,FALSE)</f>
        <v>106.20753550000001</v>
      </c>
      <c r="L128" t="s">
        <v>830</v>
      </c>
      <c r="M128" t="str">
        <f>VLOOKUP(H128,CHOOSE({1,2},Table6[Native],Table6[Name]),2,0)</f>
        <v>Jīnfèng Qū</v>
      </c>
      <c r="N128" s="15" t="str">
        <f>VLOOKUP(I128,CHOOSE({1,2},Table6[Native],Table6[Name]),2,0)</f>
        <v>Yínchuān Shì</v>
      </c>
      <c r="O128" s="15" t="str">
        <f t="shared" si="2"/>
        <v>Mancheng Beijie Jiedao (Yínchuān Shì)</v>
      </c>
      <c r="P128" s="15" t="str">
        <f t="shared" si="3"/>
        <v>Mancheng Beijie Jiedao (Yínchuān Shì)</v>
      </c>
    </row>
    <row r="129" spans="1:16" hidden="1" x14ac:dyDescent="0.25">
      <c r="A129" t="s">
        <v>71</v>
      </c>
      <c r="B129" t="str">
        <f>IF(COUNTIF(A:A,A129)&gt;1,_xlfn.CONCAT(A129," (",N129,")"),A129)</f>
        <v>Mèngyuán Xiāng</v>
      </c>
      <c r="C129" t="str">
        <f>IF(COUNTIF(B:B,B129)&gt;1,_xlfn.CONCAT(A129," (",M129,")"),B129)</f>
        <v>Mèngyuán Xiāng</v>
      </c>
      <c r="D129" t="s">
        <v>72</v>
      </c>
      <c r="E129" t="s">
        <v>11</v>
      </c>
      <c r="F129" t="str">
        <f>_xlfn.CONCAT(D129,", ",H129,", ",I129,", ","宁夏回族自治区")</f>
        <v>孟塬乡, 彭阳县, 固原市, 宁夏回族自治区</v>
      </c>
      <c r="G129">
        <v>11365</v>
      </c>
      <c r="H129" t="s">
        <v>543</v>
      </c>
      <c r="I129" t="s">
        <v>539</v>
      </c>
      <c r="J129" t="e">
        <f>VLOOKUP(F129,[1]!china_towns_second__2[[Column1]:[Y]],3,FALSE)</f>
        <v>#N/A</v>
      </c>
      <c r="K129" t="e">
        <f>VLOOKUP(F129,[1]!china_towns_second__2[[Column1]:[Y]],2,FALSE)</f>
        <v>#N/A</v>
      </c>
      <c r="L129" t="s">
        <v>831</v>
      </c>
      <c r="M129" t="str">
        <f>VLOOKUP(H129,CHOOSE({1,2},Table6[Native],Table6[Name]),2,0)</f>
        <v>Péngyáng Xiàn</v>
      </c>
      <c r="N129" s="15" t="str">
        <f>VLOOKUP(I129,CHOOSE({1,2},Table6[Native],Table6[Name]),2,0)</f>
        <v>Gùyuán Shì</v>
      </c>
      <c r="O129" s="15" t="str">
        <f t="shared" si="2"/>
        <v>Mengyuan Xiang (Gùyuán Shì)</v>
      </c>
      <c r="P129" s="15" t="str">
        <f t="shared" si="3"/>
        <v>Mengyuan Xiang (Gùyuán Shì)</v>
      </c>
    </row>
    <row r="130" spans="1:16" hidden="1" x14ac:dyDescent="0.25">
      <c r="A130" t="s">
        <v>186</v>
      </c>
      <c r="B130" t="str">
        <f>IF(COUNTIF(A:A,A130)&gt;1,_xlfn.CONCAT(A130," (",N130,")"),A130)</f>
        <v>Miàotái Xiāng</v>
      </c>
      <c r="C130" t="str">
        <f>IF(COUNTIF(B:B,B130)&gt;1,_xlfn.CONCAT(A130," (",M130,")"),B130)</f>
        <v>Miàotái Xiāng</v>
      </c>
      <c r="D130" t="s">
        <v>187</v>
      </c>
      <c r="E130" t="s">
        <v>11</v>
      </c>
      <c r="F130" t="str">
        <f>_xlfn.CONCAT(D130,", ",H130,", ",I130,", ","宁夏回族自治区")</f>
        <v>庙台乡, 惠农区, 石嘴山市, 宁夏回族自治区</v>
      </c>
      <c r="G130">
        <v>5788</v>
      </c>
      <c r="H130" t="s">
        <v>550</v>
      </c>
      <c r="I130" t="s">
        <v>548</v>
      </c>
      <c r="J130" t="e">
        <f>VLOOKUP(F130,[1]!china_towns_second__2[[Column1]:[Y]],3,FALSE)</f>
        <v>#N/A</v>
      </c>
      <c r="K130" t="e">
        <f>VLOOKUP(F130,[1]!china_towns_second__2[[Column1]:[Y]],2,FALSE)</f>
        <v>#N/A</v>
      </c>
      <c r="L130" t="s">
        <v>832</v>
      </c>
      <c r="M130" t="str">
        <f>VLOOKUP(H130,CHOOSE({1,2},Table6[Native],Table6[Name]),2,0)</f>
        <v>Huìnóng Qū</v>
      </c>
      <c r="N130" s="15" t="str">
        <f>VLOOKUP(I130,CHOOSE({1,2},Table6[Native],Table6[Name]),2,0)</f>
        <v>Shízuĭshān Shì</v>
      </c>
      <c r="O130" s="15" t="str">
        <f t="shared" ref="O130:O193" si="4">_xlfn.CONCAT(L130," (",N130,")")</f>
        <v>Miaotai Xiang (Shízuĭshān Shì)</v>
      </c>
      <c r="P130" s="15" t="str">
        <f t="shared" ref="P130:P193" si="5">IF(COUNTIF(O:O,O130)&gt;1,_xlfn.CONCAT(L130," (",M130,")"),O130)</f>
        <v>Miaotai Xiang (Shízuĭshān Shì)</v>
      </c>
    </row>
    <row r="131" spans="1:16" x14ac:dyDescent="0.25">
      <c r="A131" t="s">
        <v>485</v>
      </c>
      <c r="B131" t="str">
        <f>IF(COUNTIF(A:A,A131)&gt;1,_xlfn.CONCAT(A131," (",N131,")"),A131)</f>
        <v>Míngshā Zhèn</v>
      </c>
      <c r="C131" t="str">
        <f>IF(COUNTIF(B:B,B131)&gt;1,_xlfn.CONCAT(A131," (",M131,")"),B131)</f>
        <v>Míngshā Zhèn</v>
      </c>
      <c r="D131" t="s">
        <v>486</v>
      </c>
      <c r="E131" t="s">
        <v>7</v>
      </c>
      <c r="F131" t="str">
        <f>_xlfn.CONCAT(D131,", ",H131,", ",I131,", ","宁夏回族自治区")</f>
        <v>鸣沙镇, 中宁县, 中卫市, 宁夏回族自治区</v>
      </c>
      <c r="G131">
        <v>19038</v>
      </c>
      <c r="H131" t="s">
        <v>573</v>
      </c>
      <c r="I131" t="s">
        <v>570</v>
      </c>
      <c r="J131">
        <f>VLOOKUP(F131,[1]!china_towns_second__2[[Column1]:[Y]],3,FALSE)</f>
        <v>37.526576351827003</v>
      </c>
      <c r="K131">
        <f>VLOOKUP(F131,[1]!china_towns_second__2[[Column1]:[Y]],2,FALSE)</f>
        <v>105.90934780000001</v>
      </c>
      <c r="L131" t="s">
        <v>833</v>
      </c>
      <c r="M131" t="str">
        <f>VLOOKUP(H131,CHOOSE({1,2},Table6[Native],Table6[Name]),2,0)</f>
        <v>Zhōngníng Xiàn</v>
      </c>
      <c r="N131" s="15" t="str">
        <f>VLOOKUP(I131,CHOOSE({1,2},Table6[Native],Table6[Name]),2,0)</f>
        <v>Zhōngwèi Shì</v>
      </c>
      <c r="O131" s="15" t="str">
        <f t="shared" si="4"/>
        <v>Mingsha Zhen (Zhōngwèi Shì)</v>
      </c>
      <c r="P131" s="15" t="str">
        <f t="shared" si="5"/>
        <v>Mingsha Zhen (Zhōngwèi Shì)</v>
      </c>
    </row>
    <row r="132" spans="1:16" x14ac:dyDescent="0.25">
      <c r="A132" t="s">
        <v>385</v>
      </c>
      <c r="B132" t="str">
        <f>IF(COUNTIF(A:A,A132)&gt;1,_xlfn.CONCAT(A132," (",N132,")"),A132)</f>
        <v>Mĭnníng Zhèn</v>
      </c>
      <c r="C132" t="str">
        <f>IF(COUNTIF(B:B,B132)&gt;1,_xlfn.CONCAT(A132," (",M132,")"),B132)</f>
        <v>Mĭnníng Zhèn</v>
      </c>
      <c r="D132" t="s">
        <v>386</v>
      </c>
      <c r="E132" t="s">
        <v>7</v>
      </c>
      <c r="F132" t="str">
        <f>_xlfn.CONCAT(D132,", ",H132,", ",I132,", ","宁夏回族自治区")</f>
        <v>闽宁镇, 永宁县, 银川市, 宁夏回族自治区</v>
      </c>
      <c r="G132">
        <v>24696</v>
      </c>
      <c r="H132" t="s">
        <v>568</v>
      </c>
      <c r="I132" t="s">
        <v>561</v>
      </c>
      <c r="J132">
        <f>VLOOKUP(F132,[1]!china_towns_second__2[[Column1]:[Y]],3,FALSE)</f>
        <v>38.325312332965702</v>
      </c>
      <c r="K132">
        <f>VLOOKUP(F132,[1]!china_towns_second__2[[Column1]:[Y]],2,FALSE)</f>
        <v>105.9176274</v>
      </c>
      <c r="L132" t="s">
        <v>834</v>
      </c>
      <c r="M132" t="str">
        <f>VLOOKUP(H132,CHOOSE({1,2},Table6[Native],Table6[Name]),2,0)</f>
        <v>Yŏngníng Xiàn</v>
      </c>
      <c r="N132" s="15" t="str">
        <f>VLOOKUP(I132,CHOOSE({1,2},Table6[Native],Table6[Name]),2,0)</f>
        <v>Yínchuān Shì</v>
      </c>
      <c r="O132" s="15" t="str">
        <f t="shared" si="4"/>
        <v>Minning Zhen (Yínchuān Shì)</v>
      </c>
      <c r="P132" s="15" t="str">
        <f t="shared" si="5"/>
        <v>Minning Zhen (Yínchuān Shì)</v>
      </c>
    </row>
    <row r="133" spans="1:16" hidden="1" x14ac:dyDescent="0.25">
      <c r="A133" t="s">
        <v>73</v>
      </c>
      <c r="B133" t="str">
        <f>IF(COUNTIF(A:A,A133)&gt;1,_xlfn.CONCAT(A133," (",N133,")"),A133)</f>
        <v>Nánguān Jiēdào [incl. Zhōngshān Jiēdào, Gǔyàn Jiēdào, Běiyuán Jiēdào]</v>
      </c>
      <c r="C133" t="str">
        <f>IF(COUNTIF(B:B,B133)&gt;1,_xlfn.CONCAT(A133," (",M133,")"),B133)</f>
        <v>Nánguān Jiēdào [incl. Zhōngshān Jiēdào, Gǔyàn Jiēdào, Běiyuán Jiēdào]</v>
      </c>
      <c r="D133" t="s">
        <v>74</v>
      </c>
      <c r="E133" t="s">
        <v>52</v>
      </c>
      <c r="F133" t="str">
        <f>_xlfn.CONCAT(D133,", ",H133,", ",I133,", ","宁夏回族自治区")</f>
        <v>南关街道, 原州区, 固原市, 宁夏回族自治区</v>
      </c>
      <c r="G133">
        <v>142505</v>
      </c>
      <c r="H133" t="s">
        <v>546</v>
      </c>
      <c r="I133" t="s">
        <v>539</v>
      </c>
      <c r="J133">
        <f>VLOOKUP(F133,[1]!china_towns_second__2[[Column1]:[Y]],3,FALSE)</f>
        <v>35.9669047193305</v>
      </c>
      <c r="K133">
        <f>VLOOKUP(F133,[1]!china_towns_second__2[[Column1]:[Y]],2,FALSE)</f>
        <v>106.29047199999999</v>
      </c>
      <c r="L133" t="s">
        <v>835</v>
      </c>
      <c r="M133" t="str">
        <f>VLOOKUP(H133,CHOOSE({1,2},Table6[Native],Table6[Name]),2,0)</f>
        <v>Yuánzhōu Qū</v>
      </c>
      <c r="N133" s="15" t="str">
        <f>VLOOKUP(I133,CHOOSE({1,2},Table6[Native],Table6[Name]),2,0)</f>
        <v>Gùyuán Shì</v>
      </c>
      <c r="O133" s="15" t="str">
        <f t="shared" si="4"/>
        <v>Nanguan Jiedao [incl. Zhongshan Jiedao, Guyan Jiedao, Beiyuan Jiedao] (Gùyuán Shì)</v>
      </c>
      <c r="P133" s="15" t="str">
        <f t="shared" si="5"/>
        <v>Nanguan Jiedao [incl. Zhongshan Jiedao, Guyan Jiedao, Beiyuan Jiedao] (Gùyuán Shì)</v>
      </c>
    </row>
    <row r="134" spans="1:16" hidden="1" x14ac:dyDescent="0.25">
      <c r="A134" t="s">
        <v>487</v>
      </c>
      <c r="B134" t="str">
        <f>IF(COUNTIF(A:A,A134)&gt;1,_xlfn.CONCAT(A134," (",N134,")"),A134)</f>
        <v>Nánhuáshān Zìrán Bǎohù Qū Guănlĭchŭ</v>
      </c>
      <c r="C134" t="str">
        <f>IF(COUNTIF(B:B,B134)&gt;1,_xlfn.CONCAT(A134," (",M134,")"),B134)</f>
        <v>Nánhuáshān Zìrán Bǎohù Qū Guănlĭchŭ</v>
      </c>
      <c r="D134" t="s">
        <v>488</v>
      </c>
      <c r="E134" t="s">
        <v>165</v>
      </c>
      <c r="F134" t="str">
        <f>_xlfn.CONCAT(D134,", ",H134,", ",I134,", ","宁夏回族自治区")</f>
        <v>南华山自然保护区管理处, 海原县, 中卫市, 宁夏回族自治区</v>
      </c>
      <c r="G134">
        <v>299</v>
      </c>
      <c r="H134" t="s">
        <v>571</v>
      </c>
      <c r="I134" t="s">
        <v>570</v>
      </c>
      <c r="J134" t="e">
        <f>VLOOKUP(F134,[1]!china_towns_second__2[[Column1]:[Y]],3,FALSE)</f>
        <v>#N/A</v>
      </c>
      <c r="K134" t="e">
        <f>VLOOKUP(F134,[1]!china_towns_second__2[[Column1]:[Y]],2,FALSE)</f>
        <v>#N/A</v>
      </c>
      <c r="L134" t="s">
        <v>836</v>
      </c>
      <c r="M134" t="str">
        <f>VLOOKUP(H134,CHOOSE({1,2},Table6[Native],Table6[Name]),2,0)</f>
        <v>Hăiyuán Xiàn</v>
      </c>
      <c r="N134" s="15" t="str">
        <f>VLOOKUP(I134,CHOOSE({1,2},Table6[Native],Table6[Name]),2,0)</f>
        <v>Zhōngwèi Shì</v>
      </c>
      <c r="O134" s="15" t="str">
        <f t="shared" si="4"/>
        <v>Nanhuashan Ziran Baohu Qu Guanlichu (Zhōngwèi Shì)</v>
      </c>
      <c r="P134" s="15" t="str">
        <f t="shared" si="5"/>
        <v>Nanhuashan Ziran Baohu Qu Guanlichu (Zhōngwèi Shì)</v>
      </c>
    </row>
    <row r="135" spans="1:16" hidden="1" x14ac:dyDescent="0.25">
      <c r="A135" t="s">
        <v>188</v>
      </c>
      <c r="B135" t="str">
        <f>IF(COUNTIF(A:A,A135)&gt;1,_xlfn.CONCAT(A135," (",N135,")"),A135)</f>
        <v>Nánjiē Jiēdào</v>
      </c>
      <c r="C135" t="str">
        <f>IF(COUNTIF(B:B,B135)&gt;1,_xlfn.CONCAT(A135," (",M135,")"),B135)</f>
        <v>Nánjiē Jiēdào</v>
      </c>
      <c r="D135" t="s">
        <v>189</v>
      </c>
      <c r="E135" t="s">
        <v>52</v>
      </c>
      <c r="F135" t="str">
        <f>_xlfn.CONCAT(D135,", ",H135,", ",I135,", ","宁夏回族自治区")</f>
        <v>南街街道, 惠农区, 石嘴山市, 宁夏回族自治区</v>
      </c>
      <c r="G135">
        <v>26093</v>
      </c>
      <c r="H135" t="s">
        <v>550</v>
      </c>
      <c r="I135" t="s">
        <v>548</v>
      </c>
      <c r="J135">
        <f>VLOOKUP(F135,[1]!china_towns_second__2[[Column1]:[Y]],3,FALSE)</f>
        <v>39.228132569721502</v>
      </c>
      <c r="K135">
        <f>VLOOKUP(F135,[1]!china_towns_second__2[[Column1]:[Y]],2,FALSE)</f>
        <v>106.7637977</v>
      </c>
      <c r="L135" t="s">
        <v>837</v>
      </c>
      <c r="M135" t="str">
        <f>VLOOKUP(H135,CHOOSE({1,2},Table6[Native],Table6[Name]),2,0)</f>
        <v>Huìnóng Qū</v>
      </c>
      <c r="N135" s="15" t="str">
        <f>VLOOKUP(I135,CHOOSE({1,2},Table6[Native],Table6[Name]),2,0)</f>
        <v>Shízuĭshān Shì</v>
      </c>
      <c r="O135" s="15" t="str">
        <f t="shared" si="4"/>
        <v>Nanjie Jiedao (Shízuĭshān Shì)</v>
      </c>
      <c r="P135" s="15" t="str">
        <f t="shared" si="5"/>
        <v>Nanjie Jiedao (Shízuĭshān Shì)</v>
      </c>
    </row>
    <row r="136" spans="1:16" hidden="1" x14ac:dyDescent="0.25">
      <c r="A136" t="s">
        <v>387</v>
      </c>
      <c r="B136" t="str">
        <f>IF(COUNTIF(A:A,A136)&gt;1,_xlfn.CONCAT(A136," (",N136,")"),A136)</f>
        <v>Nánliáng Táizi Guănwĕihuì</v>
      </c>
      <c r="C136" t="str">
        <f>IF(COUNTIF(B:B,B136)&gt;1,_xlfn.CONCAT(A136," (",M136,")"),B136)</f>
        <v>Nánliáng Táizi Guănwĕihuì</v>
      </c>
      <c r="D136" t="s">
        <v>388</v>
      </c>
      <c r="E136" t="s">
        <v>165</v>
      </c>
      <c r="F136" t="str">
        <f>_xlfn.CONCAT(D136,", ",H136,", ",I136,", ","宁夏回族自治区")</f>
        <v>南梁台子管委会, 贺兰县, 银川市, 宁夏回族自治区</v>
      </c>
      <c r="G136">
        <v>7810</v>
      </c>
      <c r="H136" t="s">
        <v>562</v>
      </c>
      <c r="I136" t="s">
        <v>561</v>
      </c>
      <c r="J136">
        <f>VLOOKUP(F136,[1]!china_towns_second__2[[Column1]:[Y]],3,FALSE)</f>
        <v>38.658918952378798</v>
      </c>
      <c r="K136">
        <f>VLOOKUP(F136,[1]!china_towns_second__2[[Column1]:[Y]],2,FALSE)</f>
        <v>106.23218610000001</v>
      </c>
      <c r="L136" t="s">
        <v>838</v>
      </c>
      <c r="M136" t="str">
        <f>VLOOKUP(H136,CHOOSE({1,2},Table6[Native],Table6[Name]),2,0)</f>
        <v>Hèlán Xiàn</v>
      </c>
      <c r="N136" s="15" t="str">
        <f>VLOOKUP(I136,CHOOSE({1,2},Table6[Native],Table6[Name]),2,0)</f>
        <v>Yínchuān Shì</v>
      </c>
      <c r="O136" s="15" t="str">
        <f t="shared" si="4"/>
        <v>Nanliang Taizi Guanweihui (Yínchuān Shì)</v>
      </c>
      <c r="P136" s="15" t="str">
        <f t="shared" si="5"/>
        <v>Nanliang Taizi Guanweihui (Yínchuān Shì)</v>
      </c>
    </row>
    <row r="137" spans="1:16" x14ac:dyDescent="0.25">
      <c r="A137" t="s">
        <v>489</v>
      </c>
      <c r="B137" t="str">
        <f>IF(COUNTIF(A:A,A137)&gt;1,_xlfn.CONCAT(A137," (",N137,")"),A137)</f>
        <v>Níng'ān Zhèn</v>
      </c>
      <c r="C137" t="str">
        <f>IF(COUNTIF(B:B,B137)&gt;1,_xlfn.CONCAT(A137," (",M137,")"),B137)</f>
        <v>Níng'ān Zhèn</v>
      </c>
      <c r="D137" t="s">
        <v>490</v>
      </c>
      <c r="E137" t="s">
        <v>7</v>
      </c>
      <c r="F137" t="str">
        <f>_xlfn.CONCAT(D137,", ",H137,", ",I137,", ","宁夏回族自治区")</f>
        <v>宁安镇, 中宁县, 中卫市, 宁夏回族自治区</v>
      </c>
      <c r="G137">
        <v>74330</v>
      </c>
      <c r="H137" t="s">
        <v>573</v>
      </c>
      <c r="I137" t="s">
        <v>570</v>
      </c>
      <c r="J137">
        <f>VLOOKUP(F137,[1]!china_towns_second__2[[Column1]:[Y]],3,FALSE)</f>
        <v>37.431240895742498</v>
      </c>
      <c r="K137">
        <f>VLOOKUP(F137,[1]!china_towns_second__2[[Column1]:[Y]],2,FALSE)</f>
        <v>105.6990481</v>
      </c>
      <c r="L137" t="s">
        <v>839</v>
      </c>
      <c r="M137" t="str">
        <f>VLOOKUP(H137,CHOOSE({1,2},Table6[Native],Table6[Name]),2,0)</f>
        <v>Zhōngníng Xiàn</v>
      </c>
      <c r="N137" s="15" t="str">
        <f>VLOOKUP(I137,CHOOSE({1,2},Table6[Native],Table6[Name]),2,0)</f>
        <v>Zhōngwèi Shì</v>
      </c>
      <c r="O137" s="15" t="str">
        <f t="shared" si="4"/>
        <v>Ning'an Zhen (Zhōngwèi Shì)</v>
      </c>
      <c r="P137" s="15" t="str">
        <f t="shared" si="5"/>
        <v>Ning'an Zhen (Zhōngwèi Shì)</v>
      </c>
    </row>
    <row r="138" spans="1:16" x14ac:dyDescent="0.25">
      <c r="A138" t="s">
        <v>389</v>
      </c>
      <c r="B138" t="str">
        <f>IF(COUNTIF(A:A,A138)&gt;1,_xlfn.CONCAT(A138," (",N138,")"),A138)</f>
        <v>Níngdōng Zhèn</v>
      </c>
      <c r="C138" t="str">
        <f>IF(COUNTIF(B:B,B138)&gt;1,_xlfn.CONCAT(A138," (",M138,")"),B138)</f>
        <v>Níngdōng Zhèn</v>
      </c>
      <c r="D138" t="s">
        <v>390</v>
      </c>
      <c r="E138" t="s">
        <v>7</v>
      </c>
      <c r="F138" t="str">
        <f>_xlfn.CONCAT(D138,", ",H138,", ",I138,", ","宁夏回族自治区")</f>
        <v>宁东镇, 灵武市, 银川市, 宁夏回族自治区</v>
      </c>
      <c r="G138">
        <v>48587</v>
      </c>
      <c r="H138" t="s">
        <v>565</v>
      </c>
      <c r="I138" t="s">
        <v>561</v>
      </c>
      <c r="J138">
        <f>VLOOKUP(F138,[1]!china_towns_second__2[[Column1]:[Y]],3,FALSE)</f>
        <v>38.061877461484002</v>
      </c>
      <c r="K138">
        <f>VLOOKUP(F138,[1]!china_towns_second__2[[Column1]:[Y]],2,FALSE)</f>
        <v>106.6589664</v>
      </c>
      <c r="L138" t="s">
        <v>840</v>
      </c>
      <c r="M138" t="str">
        <f>VLOOKUP(H138,CHOOSE({1,2},Table6[Native],Table6[Name]),2,0)</f>
        <v>Língwŭ Shì</v>
      </c>
      <c r="N138" s="15" t="str">
        <f>VLOOKUP(I138,CHOOSE({1,2},Table6[Native],Table6[Name]),2,0)</f>
        <v>Yínchuān Shì</v>
      </c>
      <c r="O138" s="15" t="str">
        <f t="shared" si="4"/>
        <v>Ningdong Zhen (Yínchuān Shì)</v>
      </c>
      <c r="P138" s="15" t="str">
        <f t="shared" si="5"/>
        <v>Ningdong Zhen (Yínchuān Shì)</v>
      </c>
    </row>
    <row r="139" spans="1:16" hidden="1" x14ac:dyDescent="0.25">
      <c r="A139" t="s">
        <v>391</v>
      </c>
      <c r="B139" t="str">
        <f>IF(COUNTIF(A:A,A139)&gt;1,_xlfn.CONCAT(A139," (",N139,")"),A139)</f>
        <v>Nínghuálù Jiēdào</v>
      </c>
      <c r="C139" t="str">
        <f>IF(COUNTIF(B:B,B139)&gt;1,_xlfn.CONCAT(A139," (",M139,")"),B139)</f>
        <v>Nínghuálù Jiēdào</v>
      </c>
      <c r="D139" t="s">
        <v>392</v>
      </c>
      <c r="E139" t="s">
        <v>52</v>
      </c>
      <c r="F139" t="str">
        <f>_xlfn.CONCAT(D139,", ",H139,", ",I139,", ","宁夏回族自治区")</f>
        <v>宁华路街道, 西夏区, 银川市, 宁夏回族自治区</v>
      </c>
      <c r="G139">
        <v>30242</v>
      </c>
      <c r="H139" t="s">
        <v>567</v>
      </c>
      <c r="I139" t="s">
        <v>561</v>
      </c>
      <c r="J139">
        <f>VLOOKUP(F139,[1]!china_towns_second__2[[Column1]:[Y]],3,FALSE)</f>
        <v>38.439351567974001</v>
      </c>
      <c r="K139">
        <f>VLOOKUP(F139,[1]!china_towns_second__2[[Column1]:[Y]],2,FALSE)</f>
        <v>106.0303874</v>
      </c>
      <c r="L139" t="s">
        <v>841</v>
      </c>
      <c r="M139" t="str">
        <f>VLOOKUP(H139,CHOOSE({1,2},Table6[Native],Table6[Name]),2,0)</f>
        <v>Xīxià Qū</v>
      </c>
      <c r="N139" s="15" t="str">
        <f>VLOOKUP(I139,CHOOSE({1,2},Table6[Native],Table6[Name]),2,0)</f>
        <v>Yínchuān Shì</v>
      </c>
      <c r="O139" s="15" t="str">
        <f t="shared" si="4"/>
        <v>Ninghualu Jiedao (Yínchuān Shì)</v>
      </c>
      <c r="P139" s="15" t="str">
        <f t="shared" si="5"/>
        <v>Ninghualu Jiedao (Yínchuān Shì)</v>
      </c>
    </row>
    <row r="140" spans="1:16" hidden="1" x14ac:dyDescent="0.25">
      <c r="A140" t="s">
        <v>393</v>
      </c>
      <c r="B140" t="str">
        <f>IF(COUNTIF(A:A,A140)&gt;1,_xlfn.CONCAT(A140," (",N140,")"),A140)</f>
        <v>Níngxià Yuánzhŏngchăng</v>
      </c>
      <c r="C140" t="str">
        <f>IF(COUNTIF(B:B,B140)&gt;1,_xlfn.CONCAT(A140," (",M140,")"),B140)</f>
        <v>Níngxià Yuánzhŏngchăng</v>
      </c>
      <c r="D140" t="s">
        <v>394</v>
      </c>
      <c r="E140" t="s">
        <v>165</v>
      </c>
      <c r="F140" t="str">
        <f>_xlfn.CONCAT(D140,", ",H140,", ",I140,", ","宁夏回族自治区")</f>
        <v>宁夏原种场, 贺兰县, 银川市, 宁夏回族自治区</v>
      </c>
      <c r="G140">
        <v>1471</v>
      </c>
      <c r="H140" t="s">
        <v>562</v>
      </c>
      <c r="I140" t="s">
        <v>561</v>
      </c>
      <c r="J140">
        <f>VLOOKUP(F140,[1]!china_towns_second__2[[Column1]:[Y]],3,FALSE)</f>
        <v>38.589557289786498</v>
      </c>
      <c r="K140">
        <f>VLOOKUP(F140,[1]!china_towns_second__2[[Column1]:[Y]],2,FALSE)</f>
        <v>106.374274</v>
      </c>
      <c r="L140" t="s">
        <v>842</v>
      </c>
      <c r="M140" t="str">
        <f>VLOOKUP(H140,CHOOSE({1,2},Table6[Native],Table6[Name]),2,0)</f>
        <v>Hèlán Xiàn</v>
      </c>
      <c r="N140" s="15" t="str">
        <f>VLOOKUP(I140,CHOOSE({1,2},Table6[Native],Table6[Name]),2,0)</f>
        <v>Yínchuān Shì</v>
      </c>
      <c r="O140" s="15" t="str">
        <f t="shared" si="4"/>
        <v>Ningxia Yuanzhongchang (Yínchuān Shì)</v>
      </c>
      <c r="P140" s="15" t="str">
        <f t="shared" si="5"/>
        <v>Ningxia Yuanzhongchang (Yínchuān Shì)</v>
      </c>
    </row>
    <row r="141" spans="1:16" hidden="1" x14ac:dyDescent="0.25">
      <c r="A141" t="s">
        <v>395</v>
      </c>
      <c r="B141" t="str">
        <f>IF(COUNTIF(A:A,A141)&gt;1,_xlfn.CONCAT(A141," (",N141,")"),A141)</f>
        <v>Nuănquán Nóngchăng</v>
      </c>
      <c r="C141" t="str">
        <f>IF(COUNTIF(B:B,B141)&gt;1,_xlfn.CONCAT(A141," (",M141,")"),B141)</f>
        <v>Nuănquán Nóngchăng</v>
      </c>
      <c r="D141" t="s">
        <v>396</v>
      </c>
      <c r="E141" t="s">
        <v>165</v>
      </c>
      <c r="F141" t="str">
        <f>_xlfn.CONCAT(D141,", ",H141,", ",I141,", ","宁夏回族自治区")</f>
        <v>暖泉农场, 贺兰县, 银川市, 宁夏回族自治区</v>
      </c>
      <c r="G141">
        <v>4578</v>
      </c>
      <c r="H141" t="s">
        <v>562</v>
      </c>
      <c r="I141" t="s">
        <v>561</v>
      </c>
      <c r="J141">
        <f>VLOOKUP(F141,[1]!china_towns_second__2[[Column1]:[Y]],3,FALSE)</f>
        <v>38.753779077856599</v>
      </c>
      <c r="K141">
        <f>VLOOKUP(F141,[1]!china_towns_second__2[[Column1]:[Y]],2,FALSE)</f>
        <v>106.2044915</v>
      </c>
      <c r="L141" t="s">
        <v>843</v>
      </c>
      <c r="M141" t="str">
        <f>VLOOKUP(H141,CHOOSE({1,2},Table6[Native],Table6[Name]),2,0)</f>
        <v>Hèlán Xiàn</v>
      </c>
      <c r="N141" s="15" t="str">
        <f>VLOOKUP(I141,CHOOSE({1,2},Table6[Native],Table6[Name]),2,0)</f>
        <v>Yínchuān Shì</v>
      </c>
      <c r="O141" s="15" t="str">
        <f t="shared" si="4"/>
        <v>Nuanquan Nongchang (Yínchuān Shì)</v>
      </c>
      <c r="P141" s="15" t="str">
        <f t="shared" si="5"/>
        <v>Nuanquan Nongchang (Yínchuān Shì)</v>
      </c>
    </row>
    <row r="142" spans="1:16" x14ac:dyDescent="0.25">
      <c r="A142" t="s">
        <v>75</v>
      </c>
      <c r="B142" t="str">
        <f>IF(COUNTIF(A:A,A142)&gt;1,_xlfn.CONCAT(A142," (",N142,")"),A142)</f>
        <v>Péngbăo Zhèn</v>
      </c>
      <c r="C142" t="str">
        <f>IF(COUNTIF(B:B,B142)&gt;1,_xlfn.CONCAT(A142," (",M142,")"),B142)</f>
        <v>Péngbăo Zhèn</v>
      </c>
      <c r="D142" t="s">
        <v>76</v>
      </c>
      <c r="E142" t="s">
        <v>7</v>
      </c>
      <c r="F142" t="str">
        <f>_xlfn.CONCAT(D142,", ",H142,", ",I142,", ","宁夏回族自治区")</f>
        <v>彭堡镇, 原州区, 固原市, 宁夏回族自治区</v>
      </c>
      <c r="G142">
        <v>21652</v>
      </c>
      <c r="H142" t="s">
        <v>546</v>
      </c>
      <c r="I142" t="s">
        <v>539</v>
      </c>
      <c r="J142">
        <f>VLOOKUP(F142,[1]!china_towns_second__2[[Column1]:[Y]],3,FALSE)</f>
        <v>36.106462769405198</v>
      </c>
      <c r="K142">
        <f>VLOOKUP(F142,[1]!china_towns_second__2[[Column1]:[Y]],2,FALSE)</f>
        <v>106.14183679999999</v>
      </c>
      <c r="L142" t="s">
        <v>844</v>
      </c>
      <c r="M142" t="str">
        <f>VLOOKUP(H142,CHOOSE({1,2},Table6[Native],Table6[Name]),2,0)</f>
        <v>Yuánzhōu Qū</v>
      </c>
      <c r="N142" s="15" t="str">
        <f>VLOOKUP(I142,CHOOSE({1,2},Table6[Native],Table6[Name]),2,0)</f>
        <v>Gùyuán Shì</v>
      </c>
      <c r="O142" s="15" t="str">
        <f t="shared" si="4"/>
        <v>Pengbao Zhen (Gùyuán Shì)</v>
      </c>
      <c r="P142" s="15" t="str">
        <f t="shared" si="5"/>
        <v>Pengbao Zhen (Gùyuán Shì)</v>
      </c>
    </row>
    <row r="143" spans="1:16" hidden="1" x14ac:dyDescent="0.25">
      <c r="A143" t="s">
        <v>77</v>
      </c>
      <c r="B143" t="str">
        <f>IF(COUNTIF(A:A,A143)&gt;1,_xlfn.CONCAT(A143," (",N143,")"),A143)</f>
        <v>Piānchéng Xiāng</v>
      </c>
      <c r="C143" t="str">
        <f>IF(COUNTIF(B:B,B143)&gt;1,_xlfn.CONCAT(A143," (",M143,")"),B143)</f>
        <v>Piānchéng Xiāng</v>
      </c>
      <c r="D143" t="s">
        <v>78</v>
      </c>
      <c r="E143" t="s">
        <v>11</v>
      </c>
      <c r="F143" t="str">
        <f>_xlfn.CONCAT(D143,", ",H143,", ",I143,", ","宁夏回族自治区")</f>
        <v>偏城乡, 西吉县, 固原市, 宁夏回族自治区</v>
      </c>
      <c r="G143">
        <v>19706</v>
      </c>
      <c r="H143" t="s">
        <v>544</v>
      </c>
      <c r="I143" t="s">
        <v>539</v>
      </c>
      <c r="J143" t="e">
        <f>VLOOKUP(F143,[1]!china_towns_second__2[[Column1]:[Y]],3,FALSE)</f>
        <v>#N/A</v>
      </c>
      <c r="K143" t="e">
        <f>VLOOKUP(F143,[1]!china_towns_second__2[[Column1]:[Y]],2,FALSE)</f>
        <v>#N/A</v>
      </c>
      <c r="L143" t="s">
        <v>845</v>
      </c>
      <c r="M143" t="str">
        <f>VLOOKUP(H143,CHOOSE({1,2},Table6[Native],Table6[Name]),2,0)</f>
        <v>Xījí Xiàn</v>
      </c>
      <c r="N143" s="15" t="str">
        <f>VLOOKUP(I143,CHOOSE({1,2},Table6[Native],Table6[Name]),2,0)</f>
        <v>Gùyuán Shì</v>
      </c>
      <c r="O143" s="15" t="str">
        <f t="shared" si="4"/>
        <v>Piancheng Xiang (Gùyuán Shì)</v>
      </c>
      <c r="P143" s="15" t="str">
        <f t="shared" si="5"/>
        <v>Piancheng Xiang (Gùyuán Shì)</v>
      </c>
    </row>
    <row r="144" spans="1:16" x14ac:dyDescent="0.25">
      <c r="A144" t="s">
        <v>79</v>
      </c>
      <c r="B144" t="str">
        <f>IF(COUNTIF(A:A,A144)&gt;1,_xlfn.CONCAT(A144," (",N144,")"),A144)</f>
        <v>Píngfēng Zhèn</v>
      </c>
      <c r="C144" t="str">
        <f>IF(COUNTIF(B:B,B144)&gt;1,_xlfn.CONCAT(A144," (",M144,")"),B144)</f>
        <v>Píngfēng Zhèn</v>
      </c>
      <c r="D144" t="s">
        <v>80</v>
      </c>
      <c r="E144" t="s">
        <v>7</v>
      </c>
      <c r="F144" t="str">
        <f>_xlfn.CONCAT(D144,", ",H144,", ",I144,", ","宁夏回族自治区")</f>
        <v>平峰镇, 西吉县, 固原市, 宁夏回族自治区</v>
      </c>
      <c r="G144">
        <v>17972</v>
      </c>
      <c r="H144" t="s">
        <v>544</v>
      </c>
      <c r="I144" t="s">
        <v>539</v>
      </c>
      <c r="J144">
        <f>VLOOKUP(F144,[1]!china_towns_second__2[[Column1]:[Y]],3,FALSE)</f>
        <v>35.773176927322197</v>
      </c>
      <c r="K144">
        <f>VLOOKUP(F144,[1]!china_towns_second__2[[Column1]:[Y]],2,FALSE)</f>
        <v>105.55552640000001</v>
      </c>
      <c r="L144" t="s">
        <v>846</v>
      </c>
      <c r="M144" t="str">
        <f>VLOOKUP(H144,CHOOSE({1,2},Table6[Native],Table6[Name]),2,0)</f>
        <v>Xījí Xiàn</v>
      </c>
      <c r="N144" s="15" t="str">
        <f>VLOOKUP(I144,CHOOSE({1,2},Table6[Native],Table6[Name]),2,0)</f>
        <v>Gùyuán Shì</v>
      </c>
      <c r="O144" s="15" t="str">
        <f t="shared" si="4"/>
        <v>Pingfeng Zhen (Gùyuán Shì)</v>
      </c>
      <c r="P144" s="15" t="str">
        <f t="shared" si="5"/>
        <v>Pingfeng Zhen (Gùyuán Shì)</v>
      </c>
    </row>
    <row r="145" spans="1:16" hidden="1" x14ac:dyDescent="0.25">
      <c r="A145" t="s">
        <v>190</v>
      </c>
      <c r="B145" t="str">
        <f>IF(COUNTIF(A:A,A145)&gt;1,_xlfn.CONCAT(A145," (",N145,")"),A145)</f>
        <v>Qiánjìn Nóngchăng</v>
      </c>
      <c r="C145" t="str">
        <f>IF(COUNTIF(B:B,B145)&gt;1,_xlfn.CONCAT(A145," (",M145,")"),B145)</f>
        <v>Qiánjìn Nóngchăng</v>
      </c>
      <c r="D145" t="s">
        <v>191</v>
      </c>
      <c r="E145" t="s">
        <v>165</v>
      </c>
      <c r="F145" t="str">
        <f>_xlfn.CONCAT(D145,", ",H145,", ",I145,", ","宁夏回族自治区")</f>
        <v>前进农场, 平罗县, 石嘴山市, 宁夏回族自治区</v>
      </c>
      <c r="G145">
        <v>7355</v>
      </c>
      <c r="H145" t="s">
        <v>551</v>
      </c>
      <c r="I145" t="s">
        <v>548</v>
      </c>
      <c r="J145">
        <f>VLOOKUP(F145,[1]!china_towns_second__2[[Column1]:[Y]],3,FALSE)</f>
        <v>38.826182505952097</v>
      </c>
      <c r="K145">
        <f>VLOOKUP(F145,[1]!china_towns_second__2[[Column1]:[Y]],2,FALSE)</f>
        <v>106.35762269999999</v>
      </c>
      <c r="L145" t="s">
        <v>847</v>
      </c>
      <c r="M145" t="str">
        <f>VLOOKUP(H145,CHOOSE({1,2},Table6[Native],Table6[Name]),2,0)</f>
        <v>Píngluó Xiàn</v>
      </c>
      <c r="N145" s="15" t="str">
        <f>VLOOKUP(I145,CHOOSE({1,2},Table6[Native],Table6[Name]),2,0)</f>
        <v>Shízuĭshān Shì</v>
      </c>
      <c r="O145" s="15" t="str">
        <f t="shared" si="4"/>
        <v>Qianjin Nongchang (Shízuĭshān Shì)</v>
      </c>
      <c r="P145" s="15" t="str">
        <f t="shared" si="5"/>
        <v>Qianjin Nongchang (Shízuĭshān Shì)</v>
      </c>
    </row>
    <row r="146" spans="1:16" hidden="1" x14ac:dyDescent="0.25">
      <c r="A146" t="s">
        <v>397</v>
      </c>
      <c r="B146" t="str">
        <f>IF(COUNTIF(A:A,A146)&gt;1,_xlfn.CONCAT(A146," (",N146,")"),A146)</f>
        <v>Qiánjìnjiē Jiēdào</v>
      </c>
      <c r="C146" t="str">
        <f>IF(COUNTIF(B:B,B146)&gt;1,_xlfn.CONCAT(A146," (",M146,")"),B146)</f>
        <v>Qiánjìnjiē Jiēdào</v>
      </c>
      <c r="D146" t="s">
        <v>398</v>
      </c>
      <c r="E146" t="s">
        <v>52</v>
      </c>
      <c r="F146" t="str">
        <f>_xlfn.CONCAT(D146,", ",H146,", ",I146,", ","宁夏回族自治区")</f>
        <v>前进街街道, 兴庆区, 银川市, 宁夏回族自治区</v>
      </c>
      <c r="G146">
        <v>33117</v>
      </c>
      <c r="H146" t="s">
        <v>566</v>
      </c>
      <c r="I146" t="s">
        <v>561</v>
      </c>
      <c r="J146">
        <f>VLOOKUP(F146,[1]!china_towns_second__2[[Column1]:[Y]],3,FALSE)</f>
        <v>38.452259910154901</v>
      </c>
      <c r="K146">
        <f>VLOOKUP(F146,[1]!china_towns_second__2[[Column1]:[Y]],2,FALSE)</f>
        <v>106.2637704</v>
      </c>
      <c r="L146" t="s">
        <v>848</v>
      </c>
      <c r="M146" t="str">
        <f>VLOOKUP(H146,CHOOSE({1,2},Table6[Native],Table6[Name]),2,0)</f>
        <v>Xīngqìng Qū</v>
      </c>
      <c r="N146" s="15" t="str">
        <f>VLOOKUP(I146,CHOOSE({1,2},Table6[Native],Table6[Name]),2,0)</f>
        <v>Yínchuān Shì</v>
      </c>
      <c r="O146" s="15" t="str">
        <f t="shared" si="4"/>
        <v>Qianjinjie Jiedao (Yínchuān Shì)</v>
      </c>
      <c r="P146" s="15" t="str">
        <f t="shared" si="5"/>
        <v>Qianjinjie Jiedao (Yínchuān Shì)</v>
      </c>
    </row>
    <row r="147" spans="1:16" hidden="1" x14ac:dyDescent="0.25">
      <c r="A147" t="s">
        <v>192</v>
      </c>
      <c r="B147" t="str">
        <f>IF(COUNTIF(A:A,A147)&gt;1,_xlfn.CONCAT(A147," (",N147,")"),A147)</f>
        <v>Qīngshān Jiēdào</v>
      </c>
      <c r="C147" t="str">
        <f>IF(COUNTIF(B:B,B147)&gt;1,_xlfn.CONCAT(A147," (",M147,")"),B147)</f>
        <v>Qīngshān Jiēdào</v>
      </c>
      <c r="D147" t="s">
        <v>193</v>
      </c>
      <c r="E147" t="s">
        <v>52</v>
      </c>
      <c r="F147" t="str">
        <f>_xlfn.CONCAT(D147,", ",H147,", ",I147,", ","宁夏回族自治区")</f>
        <v>青山街道, 大武口区, 石嘴山市, 宁夏回族自治区</v>
      </c>
      <c r="G147">
        <v>47781</v>
      </c>
      <c r="H147" t="s">
        <v>549</v>
      </c>
      <c r="I147" t="s">
        <v>548</v>
      </c>
      <c r="J147">
        <f>VLOOKUP(F147,[1]!china_towns_second__2[[Column1]:[Y]],3,FALSE)</f>
        <v>39.024788668519101</v>
      </c>
      <c r="K147">
        <f>VLOOKUP(F147,[1]!china_towns_second__2[[Column1]:[Y]],2,FALSE)</f>
        <v>106.34843050000001</v>
      </c>
      <c r="L147" t="s">
        <v>849</v>
      </c>
      <c r="M147" t="str">
        <f>VLOOKUP(H147,CHOOSE({1,2},Table6[Native],Table6[Name]),2,0)</f>
        <v>Dàwŭkŏu Qū</v>
      </c>
      <c r="N147" s="15" t="str">
        <f>VLOOKUP(I147,CHOOSE({1,2},Table6[Native],Table6[Name]),2,0)</f>
        <v>Shízuĭshān Shì</v>
      </c>
      <c r="O147" s="15" t="str">
        <f t="shared" si="4"/>
        <v>Qingshan Jiedao (Shízuĭshān Shì)</v>
      </c>
      <c r="P147" s="15" t="str">
        <f t="shared" si="5"/>
        <v>Qingshan Jiedao (Shízuĭshān Shì)</v>
      </c>
    </row>
    <row r="148" spans="1:16" hidden="1" x14ac:dyDescent="0.25">
      <c r="A148" t="s">
        <v>277</v>
      </c>
      <c r="B148" t="str">
        <f>IF(COUNTIF(A:A,A148)&gt;1,_xlfn.CONCAT(A148," (",N148,")"),A148)</f>
        <v>Qīngshān Xiāng</v>
      </c>
      <c r="C148" t="str">
        <f>IF(COUNTIF(B:B,B148)&gt;1,_xlfn.CONCAT(A148," (",M148,")"),B148)</f>
        <v>Qīngshān Xiāng</v>
      </c>
      <c r="D148" t="s">
        <v>278</v>
      </c>
      <c r="E148" t="s">
        <v>11</v>
      </c>
      <c r="F148" t="str">
        <f>_xlfn.CONCAT(D148,", ",H148,", ",I148,", ","宁夏回族自治区")</f>
        <v>青山乡, 盐池县, 吴忠市, 宁夏回族自治区</v>
      </c>
      <c r="G148">
        <v>5068</v>
      </c>
      <c r="H148" t="s">
        <v>559</v>
      </c>
      <c r="I148" t="s">
        <v>553</v>
      </c>
      <c r="J148" t="e">
        <f>VLOOKUP(F148,[1]!china_towns_second__2[[Column1]:[Y]],3,FALSE)</f>
        <v>#N/A</v>
      </c>
      <c r="K148" t="e">
        <f>VLOOKUP(F148,[1]!china_towns_second__2[[Column1]:[Y]],2,FALSE)</f>
        <v>#N/A</v>
      </c>
      <c r="L148" t="s">
        <v>850</v>
      </c>
      <c r="M148" t="str">
        <f>VLOOKUP(H148,CHOOSE({1,2},Table6[Native],Table6[Name]),2,0)</f>
        <v>Yánchí Xiàn</v>
      </c>
      <c r="N148" s="15" t="str">
        <f>VLOOKUP(I148,CHOOSE({1,2},Table6[Native],Table6[Name]),2,0)</f>
        <v>Wúzhōng Shì</v>
      </c>
      <c r="O148" s="15" t="str">
        <f t="shared" si="4"/>
        <v>Qingshan Xiang (Wúzhōng Shì)</v>
      </c>
      <c r="P148" s="15" t="str">
        <f t="shared" si="5"/>
        <v>Qingshan Xiang (Wúzhōng Shì)</v>
      </c>
    </row>
    <row r="149" spans="1:16" x14ac:dyDescent="0.25">
      <c r="A149" t="s">
        <v>279</v>
      </c>
      <c r="B149" t="str">
        <f>IF(COUNTIF(A:A,A149)&gt;1,_xlfn.CONCAT(A149," (",N149,")"),A149)</f>
        <v>Qīngtóngxiá Zhèn</v>
      </c>
      <c r="C149" t="str">
        <f>IF(COUNTIF(B:B,B149)&gt;1,_xlfn.CONCAT(A149," (",M149,")"),B149)</f>
        <v>Qīngtóngxiá Zhèn</v>
      </c>
      <c r="D149" t="s">
        <v>280</v>
      </c>
      <c r="E149" t="s">
        <v>7</v>
      </c>
      <c r="F149" t="str">
        <f>_xlfn.CONCAT(D149,", ",H149,", ",I149,", ","宁夏回族自治区")</f>
        <v>青铜峡镇, 青铜峡市, 吴忠市, 宁夏回族自治区</v>
      </c>
      <c r="G149">
        <v>41771</v>
      </c>
      <c r="H149" t="s">
        <v>557</v>
      </c>
      <c r="I149" t="s">
        <v>553</v>
      </c>
      <c r="J149">
        <f>VLOOKUP(F149,[1]!china_towns_second__2[[Column1]:[Y]],3,FALSE)</f>
        <v>37.806808658800698</v>
      </c>
      <c r="K149">
        <f>VLOOKUP(F149,[1]!china_towns_second__2[[Column1]:[Y]],2,FALSE)</f>
        <v>105.86613389999999</v>
      </c>
      <c r="L149" t="s">
        <v>851</v>
      </c>
      <c r="M149" t="str">
        <f>VLOOKUP(H149,CHOOSE({1,2},Table6[Native],Table6[Name]),2,0)</f>
        <v>Qīngtóngxiá Shì</v>
      </c>
      <c r="N149" s="15" t="str">
        <f>VLOOKUP(I149,CHOOSE({1,2},Table6[Native],Table6[Name]),2,0)</f>
        <v>Wúzhōng Shì</v>
      </c>
      <c r="O149" s="15" t="str">
        <f t="shared" si="4"/>
        <v>Qingtongxia Zhen (Wúzhōng Shì)</v>
      </c>
      <c r="P149" s="15" t="str">
        <f t="shared" si="5"/>
        <v>Qingtongxia Zhen (Wúzhōng Shì)</v>
      </c>
    </row>
    <row r="150" spans="1:16" x14ac:dyDescent="0.25">
      <c r="A150" t="s">
        <v>491</v>
      </c>
      <c r="B150" t="str">
        <f>IF(COUNTIF(A:A,A150)&gt;1,_xlfn.CONCAT(A150," (",N150,")"),A150)</f>
        <v>Qīyíng Zhèn</v>
      </c>
      <c r="C150" t="str">
        <f>IF(COUNTIF(B:B,B150)&gt;1,_xlfn.CONCAT(A150," (",M150,")"),B150)</f>
        <v>Qīyíng Zhèn</v>
      </c>
      <c r="D150" t="s">
        <v>492</v>
      </c>
      <c r="E150" t="s">
        <v>7</v>
      </c>
      <c r="F150" t="str">
        <f>_xlfn.CONCAT(D150,", ",H150,", ",I150,", ","宁夏回族自治区")</f>
        <v>七营镇, 海原县, 中卫市, 宁夏回族自治区</v>
      </c>
      <c r="G150">
        <v>26553</v>
      </c>
      <c r="H150" t="s">
        <v>571</v>
      </c>
      <c r="I150" t="s">
        <v>570</v>
      </c>
      <c r="J150">
        <f>VLOOKUP(F150,[1]!china_towns_second__2[[Column1]:[Y]],3,FALSE)</f>
        <v>36.503245351172303</v>
      </c>
      <c r="K150">
        <f>VLOOKUP(F150,[1]!china_towns_second__2[[Column1]:[Y]],2,FALSE)</f>
        <v>106.1576515</v>
      </c>
      <c r="L150" t="s">
        <v>852</v>
      </c>
      <c r="M150" t="str">
        <f>VLOOKUP(H150,CHOOSE({1,2},Table6[Native],Table6[Name]),2,0)</f>
        <v>Hăiyuán Xiàn</v>
      </c>
      <c r="N150" s="15" t="str">
        <f>VLOOKUP(I150,CHOOSE({1,2},Table6[Native],Table6[Name]),2,0)</f>
        <v>Zhōngwèi Shì</v>
      </c>
      <c r="O150" s="15" t="str">
        <f t="shared" si="4"/>
        <v>Qiying Zhen (Zhōngwèi Shì)</v>
      </c>
      <c r="P150" s="15" t="str">
        <f t="shared" si="5"/>
        <v>Qiying Zhen (Zhōngwèi Shì)</v>
      </c>
    </row>
    <row r="151" spans="1:16" hidden="1" x14ac:dyDescent="0.25">
      <c r="A151" t="s">
        <v>493</v>
      </c>
      <c r="B151" t="str">
        <f>IF(COUNTIF(A:A,A151)&gt;1,_xlfn.CONCAT(A151," (",N151,")"),A151)</f>
        <v>Qúkŏu Nóngchăng</v>
      </c>
      <c r="C151" t="str">
        <f>IF(COUNTIF(B:B,B151)&gt;1,_xlfn.CONCAT(A151," (",M151,")"),B151)</f>
        <v>Qúkŏu Nóngchăng</v>
      </c>
      <c r="D151" t="s">
        <v>494</v>
      </c>
      <c r="E151" t="s">
        <v>165</v>
      </c>
      <c r="F151" t="str">
        <f>_xlfn.CONCAT(D151,", ",H151,", ",I151,", ","宁夏回族自治区")</f>
        <v>渠口农场, 中宁县, 中卫市, 宁夏回族自治区</v>
      </c>
      <c r="G151">
        <v>15839</v>
      </c>
      <c r="H151" t="s">
        <v>573</v>
      </c>
      <c r="I151" t="s">
        <v>570</v>
      </c>
      <c r="J151">
        <f>VLOOKUP(F151,[1]!china_towns_second__2[[Column1]:[Y]],3,FALSE)</f>
        <v>37.681297949221999</v>
      </c>
      <c r="K151">
        <f>VLOOKUP(F151,[1]!china_towns_second__2[[Column1]:[Y]],2,FALSE)</f>
        <v>105.8349296</v>
      </c>
      <c r="L151" t="s">
        <v>853</v>
      </c>
      <c r="M151" t="str">
        <f>VLOOKUP(H151,CHOOSE({1,2},Table6[Native],Table6[Name]),2,0)</f>
        <v>Zhōngníng Xiàn</v>
      </c>
      <c r="N151" s="15" t="str">
        <f>VLOOKUP(I151,CHOOSE({1,2},Table6[Native],Table6[Name]),2,0)</f>
        <v>Zhōngwèi Shì</v>
      </c>
      <c r="O151" s="15" t="str">
        <f t="shared" si="4"/>
        <v>Qukou Nongchang (Zhōngwèi Shì)</v>
      </c>
      <c r="P151" s="15" t="str">
        <f t="shared" si="5"/>
        <v>Qukou Nongchang (Zhōngwèi Shì)</v>
      </c>
    </row>
    <row r="152" spans="1:16" hidden="1" x14ac:dyDescent="0.25">
      <c r="A152" t="s">
        <v>194</v>
      </c>
      <c r="B152" t="str">
        <f>IF(COUNTIF(A:A,A152)&gt;1,_xlfn.CONCAT(A152," (",N152,")"),A152)</f>
        <v>Qúkŏu Xiāng</v>
      </c>
      <c r="C152" t="str">
        <f>IF(COUNTIF(B:B,B152)&gt;1,_xlfn.CONCAT(A152," (",M152,")"),B152)</f>
        <v>Qúkŏu Xiāng</v>
      </c>
      <c r="D152" t="s">
        <v>195</v>
      </c>
      <c r="E152" t="s">
        <v>11</v>
      </c>
      <c r="F152" t="str">
        <f>_xlfn.CONCAT(D152,", ",H152,", ",I152,", ","宁夏回族自治区")</f>
        <v>渠口乡, 平罗县, 石嘴山市, 宁夏回族自治区</v>
      </c>
      <c r="G152">
        <v>15322</v>
      </c>
      <c r="H152" t="s">
        <v>551</v>
      </c>
      <c r="I152" t="s">
        <v>548</v>
      </c>
      <c r="J152" t="e">
        <f>VLOOKUP(F152,[1]!china_towns_second__2[[Column1]:[Y]],3,FALSE)</f>
        <v>#N/A</v>
      </c>
      <c r="K152" t="e">
        <f>VLOOKUP(F152,[1]!china_towns_second__2[[Column1]:[Y]],2,FALSE)</f>
        <v>#N/A</v>
      </c>
      <c r="L152" t="s">
        <v>854</v>
      </c>
      <c r="M152" t="str">
        <f>VLOOKUP(H152,CHOOSE({1,2},Table6[Native],Table6[Name]),2,0)</f>
        <v>Píngluó Xiàn</v>
      </c>
      <c r="N152" s="15" t="str">
        <f>VLOOKUP(I152,CHOOSE({1,2},Table6[Native],Table6[Name]),2,0)</f>
        <v>Shízuĭshān Shì</v>
      </c>
      <c r="O152" s="15" t="str">
        <f t="shared" si="4"/>
        <v>Qukou Xiang (Shízuĭshān Shì)</v>
      </c>
      <c r="P152" s="15" t="str">
        <f t="shared" si="5"/>
        <v>Qukou Xiang (Shízuĭshān Shì)</v>
      </c>
    </row>
    <row r="153" spans="1:16" hidden="1" x14ac:dyDescent="0.25">
      <c r="A153" t="s">
        <v>196</v>
      </c>
      <c r="B153" t="str">
        <f>IF(COUNTIF(A:A,A153)&gt;1,_xlfn.CONCAT(A153," (",N153,")"),A153)</f>
        <v>Rénmínlù Jiēdào</v>
      </c>
      <c r="C153" t="str">
        <f>IF(COUNTIF(B:B,B153)&gt;1,_xlfn.CONCAT(A153," (",M153,")"),B153)</f>
        <v>Rénmínlù Jiēdào</v>
      </c>
      <c r="D153" t="s">
        <v>197</v>
      </c>
      <c r="E153" t="s">
        <v>52</v>
      </c>
      <c r="F153" t="str">
        <f>_xlfn.CONCAT(D153,", ",H153,", ",I153,", ","宁夏回族自治区")</f>
        <v>人民路街道, 大武口区, 石嘴山市, 宁夏回族自治区</v>
      </c>
      <c r="G153">
        <v>37051</v>
      </c>
      <c r="H153" t="s">
        <v>549</v>
      </c>
      <c r="I153" t="s">
        <v>548</v>
      </c>
      <c r="J153">
        <f>VLOOKUP(F153,[1]!china_towns_second__2[[Column1]:[Y]],3,FALSE)</f>
        <v>39.005063780507598</v>
      </c>
      <c r="K153">
        <f>VLOOKUP(F153,[1]!china_towns_second__2[[Column1]:[Y]],2,FALSE)</f>
        <v>106.3989978</v>
      </c>
      <c r="L153" t="s">
        <v>855</v>
      </c>
      <c r="M153" t="str">
        <f>VLOOKUP(H153,CHOOSE({1,2},Table6[Native],Table6[Name]),2,0)</f>
        <v>Dàwŭkŏu Qū</v>
      </c>
      <c r="N153" s="15" t="str">
        <f>VLOOKUP(I153,CHOOSE({1,2},Table6[Native],Table6[Name]),2,0)</f>
        <v>Shízuĭshān Shì</v>
      </c>
      <c r="O153" s="15" t="str">
        <f t="shared" si="4"/>
        <v>Renminlu Jiedao (Shízuĭshān Shì)</v>
      </c>
      <c r="P153" s="15" t="str">
        <f t="shared" si="5"/>
        <v>Renminlu Jiedao (Shízuĭshān Shì)</v>
      </c>
    </row>
    <row r="154" spans="1:16" x14ac:dyDescent="0.25">
      <c r="A154" t="s">
        <v>495</v>
      </c>
      <c r="B154" t="str">
        <f>IF(COUNTIF(A:A,A154)&gt;1,_xlfn.CONCAT(A154," (",N154,")"),A154)</f>
        <v>Róuyuăn Zhèn</v>
      </c>
      <c r="C154" t="str">
        <f>IF(COUNTIF(B:B,B154)&gt;1,_xlfn.CONCAT(A154," (",M154,")"),B154)</f>
        <v>Róuyuăn Zhèn</v>
      </c>
      <c r="D154" t="s">
        <v>496</v>
      </c>
      <c r="E154" t="s">
        <v>7</v>
      </c>
      <c r="F154" t="str">
        <f>_xlfn.CONCAT(D154,", ",H154,", ",I154,", ","宁夏回族自治区")</f>
        <v>柔远镇, 沙坡头区, 中卫市, 宁夏回族自治区</v>
      </c>
      <c r="G154">
        <v>23088</v>
      </c>
      <c r="H154" t="s">
        <v>572</v>
      </c>
      <c r="I154" t="s">
        <v>570</v>
      </c>
      <c r="J154">
        <f>VLOOKUP(F154,[1]!china_towns_second__2[[Column1]:[Y]],3,FALSE)</f>
        <v>37.513420049032703</v>
      </c>
      <c r="K154">
        <f>VLOOKUP(F154,[1]!china_towns_second__2[[Column1]:[Y]],2,FALSE)</f>
        <v>105.2789813</v>
      </c>
      <c r="L154" t="s">
        <v>856</v>
      </c>
      <c r="M154" t="str">
        <f>VLOOKUP(H154,CHOOSE({1,2},Table6[Native],Table6[Name]),2,0)</f>
        <v>Shāpōtóu Qū</v>
      </c>
      <c r="N154" s="15" t="str">
        <f>VLOOKUP(I154,CHOOSE({1,2},Table6[Native],Table6[Name]),2,0)</f>
        <v>Zhōngwèi Shì</v>
      </c>
      <c r="O154" s="15" t="str">
        <f t="shared" si="4"/>
        <v>Rouyuan Zhen (Zhōngwèi Shì)</v>
      </c>
      <c r="P154" s="15" t="str">
        <f t="shared" si="5"/>
        <v>Rouyuan Zhen (Zhōngwèi Shì)</v>
      </c>
    </row>
    <row r="155" spans="1:16" x14ac:dyDescent="0.25">
      <c r="A155" t="s">
        <v>497</v>
      </c>
      <c r="B155" t="str">
        <f>IF(COUNTIF(A:A,A155)&gt;1,_xlfn.CONCAT(A155," (",N155,")"),A155)</f>
        <v>Sānhé Zhèn [Hēichéng Zhèn]</v>
      </c>
      <c r="C155" t="str">
        <f>IF(COUNTIF(B:B,B155)&gt;1,_xlfn.CONCAT(A155," (",M155,")"),B155)</f>
        <v>Sānhé Zhèn [Hēichéng Zhèn]</v>
      </c>
      <c r="D155" t="s">
        <v>498</v>
      </c>
      <c r="E155" t="s">
        <v>7</v>
      </c>
      <c r="F155" t="str">
        <f>_xlfn.CONCAT(D155,", ",H155,", ",I155,", ","宁夏回族自治区")</f>
        <v>三河镇, 海原县, 中卫市, 宁夏回族自治区</v>
      </c>
      <c r="G155">
        <v>37675</v>
      </c>
      <c r="H155" t="s">
        <v>571</v>
      </c>
      <c r="I155" t="s">
        <v>570</v>
      </c>
      <c r="J155">
        <f>VLOOKUP(F155,[1]!china_towns_second__2[[Column1]:[Y]],3,FALSE)</f>
        <v>36.389947842764698</v>
      </c>
      <c r="K155">
        <f>VLOOKUP(F155,[1]!china_towns_second__2[[Column1]:[Y]],2,FALSE)</f>
        <v>106.1396685</v>
      </c>
      <c r="L155" t="s">
        <v>857</v>
      </c>
      <c r="M155" t="str">
        <f>VLOOKUP(H155,CHOOSE({1,2},Table6[Native],Table6[Name]),2,0)</f>
        <v>Hăiyuán Xiàn</v>
      </c>
      <c r="N155" s="15" t="str">
        <f>VLOOKUP(I155,CHOOSE({1,2},Table6[Native],Table6[Name]),2,0)</f>
        <v>Zhōngwèi Shì</v>
      </c>
      <c r="O155" s="15" t="str">
        <f t="shared" si="4"/>
        <v>Sanhe Zhen [Heicheng Zhen] (Zhōngwèi Shì)</v>
      </c>
      <c r="P155" s="15" t="str">
        <f t="shared" si="5"/>
        <v>Sanhe Zhen [Heicheng Zhen] (Zhōngwèi Shì)</v>
      </c>
    </row>
    <row r="156" spans="1:16" x14ac:dyDescent="0.25">
      <c r="A156" t="s">
        <v>81</v>
      </c>
      <c r="B156" t="str">
        <f>IF(COUNTIF(A:A,A156)&gt;1,_xlfn.CONCAT(A156," (",N156,")"),A156)</f>
        <v>Sānyíng Zhèn</v>
      </c>
      <c r="C156" t="str">
        <f>IF(COUNTIF(B:B,B156)&gt;1,_xlfn.CONCAT(A156," (",M156,")"),B156)</f>
        <v>Sānyíng Zhèn</v>
      </c>
      <c r="D156" t="s">
        <v>82</v>
      </c>
      <c r="E156" t="s">
        <v>7</v>
      </c>
      <c r="F156" t="str">
        <f>_xlfn.CONCAT(D156,", ",H156,", ",I156,", ","宁夏回族自治区")</f>
        <v>三营镇, 原州区, 固原市, 宁夏回族自治区</v>
      </c>
      <c r="G156">
        <v>43237</v>
      </c>
      <c r="H156" t="s">
        <v>546</v>
      </c>
      <c r="I156" t="s">
        <v>539</v>
      </c>
      <c r="J156">
        <f>VLOOKUP(F156,[1]!china_towns_second__2[[Column1]:[Y]],3,FALSE)</f>
        <v>36.301202351641599</v>
      </c>
      <c r="K156">
        <f>VLOOKUP(F156,[1]!china_towns_second__2[[Column1]:[Y]],2,FALSE)</f>
        <v>106.2084461</v>
      </c>
      <c r="L156" t="s">
        <v>858</v>
      </c>
      <c r="M156" t="str">
        <f>VLOOKUP(H156,CHOOSE({1,2},Table6[Native],Table6[Name]),2,0)</f>
        <v>Yuánzhōu Qū</v>
      </c>
      <c r="N156" s="15" t="str">
        <f>VLOOKUP(I156,CHOOSE({1,2},Table6[Native],Table6[Name]),2,0)</f>
        <v>Gùyuán Shì</v>
      </c>
      <c r="O156" s="15" t="str">
        <f t="shared" si="4"/>
        <v>Sanying Zhen (Gùyuán Shì)</v>
      </c>
      <c r="P156" s="15" t="str">
        <f t="shared" si="5"/>
        <v>Sanying Zhen (Gùyuán Shì)</v>
      </c>
    </row>
    <row r="157" spans="1:16" hidden="1" x14ac:dyDescent="0.25">
      <c r="A157" t="s">
        <v>83</v>
      </c>
      <c r="B157" t="str">
        <f>IF(COUNTIF(A:A,A157)&gt;1,_xlfn.CONCAT(A157," (",N157,")"),A157)</f>
        <v>Shāgōu Xiāng</v>
      </c>
      <c r="C157" t="str">
        <f>IF(COUNTIF(B:B,B157)&gt;1,_xlfn.CONCAT(A157," (",M157,")"),B157)</f>
        <v>Shāgōu Xiāng</v>
      </c>
      <c r="D157" t="s">
        <v>84</v>
      </c>
      <c r="E157" t="s">
        <v>11</v>
      </c>
      <c r="F157" t="str">
        <f>_xlfn.CONCAT(D157,", ",H157,", ",I157,", ","宁夏回族自治区")</f>
        <v>沙沟乡, 西吉县, 固原市, 宁夏回族自治区</v>
      </c>
      <c r="G157">
        <v>12500</v>
      </c>
      <c r="H157" t="s">
        <v>544</v>
      </c>
      <c r="I157" t="s">
        <v>539</v>
      </c>
      <c r="J157" t="e">
        <f>VLOOKUP(F157,[1]!china_towns_second__2[[Column1]:[Y]],3,FALSE)</f>
        <v>#N/A</v>
      </c>
      <c r="K157" t="e">
        <f>VLOOKUP(F157,[1]!china_towns_second__2[[Column1]:[Y]],2,FALSE)</f>
        <v>#N/A</v>
      </c>
      <c r="L157" t="s">
        <v>859</v>
      </c>
      <c r="M157" t="str">
        <f>VLOOKUP(H157,CHOOSE({1,2},Table6[Native],Table6[Name]),2,0)</f>
        <v>Xījí Xiàn</v>
      </c>
      <c r="N157" s="15" t="str">
        <f>VLOOKUP(I157,CHOOSE({1,2},Table6[Native],Table6[Name]),2,0)</f>
        <v>Gùyuán Shì</v>
      </c>
      <c r="O157" s="15" t="str">
        <f t="shared" si="4"/>
        <v>Shagou Xiang (Gùyuán Shì)</v>
      </c>
      <c r="P157" s="15" t="str">
        <f t="shared" si="5"/>
        <v>Shagou Xiang (Gùyuán Shì)</v>
      </c>
    </row>
    <row r="158" spans="1:16" hidden="1" x14ac:dyDescent="0.25">
      <c r="A158" t="s">
        <v>399</v>
      </c>
      <c r="B158" t="str">
        <f>IF(COUNTIF(A:A,A158)&gt;1,_xlfn.CONCAT(A158," (",N158,")"),A158)</f>
        <v>Shànghăi Xīlù Jiēdào</v>
      </c>
      <c r="C158" t="str">
        <f>IF(COUNTIF(B:B,B158)&gt;1,_xlfn.CONCAT(A158," (",M158,")"),B158)</f>
        <v>Shànghăi Xīlù Jiēdào</v>
      </c>
      <c r="D158" t="s">
        <v>400</v>
      </c>
      <c r="E158" t="s">
        <v>52</v>
      </c>
      <c r="F158" t="str">
        <f>_xlfn.CONCAT(D158,", ",H158,", ",I158,", ","宁夏回族自治区")</f>
        <v>上海西路街道, 金凤区, 银川市, 宁夏回族自治区</v>
      </c>
      <c r="G158">
        <v>42577</v>
      </c>
      <c r="H158" t="s">
        <v>563</v>
      </c>
      <c r="I158" t="s">
        <v>561</v>
      </c>
      <c r="J158">
        <f>VLOOKUP(F158,[1]!china_towns_second__2[[Column1]:[Y]],3,FALSE)</f>
        <v>38.501051348633901</v>
      </c>
      <c r="K158">
        <f>VLOOKUP(F158,[1]!china_towns_second__2[[Column1]:[Y]],2,FALSE)</f>
        <v>106.2292111</v>
      </c>
      <c r="L158" t="s">
        <v>860</v>
      </c>
      <c r="M158" t="str">
        <f>VLOOKUP(H158,CHOOSE({1,2},Table6[Native],Table6[Name]),2,0)</f>
        <v>Jīnfèng Qū</v>
      </c>
      <c r="N158" s="15" t="str">
        <f>VLOOKUP(I158,CHOOSE({1,2},Table6[Native],Table6[Name]),2,0)</f>
        <v>Yínchuān Shì</v>
      </c>
      <c r="O158" s="15" t="str">
        <f t="shared" si="4"/>
        <v>Shanghai Xilu Jiedao (Yínchuān Shì)</v>
      </c>
      <c r="P158" s="15" t="str">
        <f t="shared" si="5"/>
        <v>Shanghai Xilu Jiedao (Yínchuān Shì)</v>
      </c>
    </row>
    <row r="159" spans="1:16" x14ac:dyDescent="0.25">
      <c r="A159" t="s">
        <v>281</v>
      </c>
      <c r="B159" t="str">
        <f>IF(COUNTIF(A:A,A159)&gt;1,_xlfn.CONCAT(A159," (",N159,")"),A159)</f>
        <v>Shàngqiáo Zhèn</v>
      </c>
      <c r="C159" t="str">
        <f>IF(COUNTIF(B:B,B159)&gt;1,_xlfn.CONCAT(A159," (",M159,")"),B159)</f>
        <v>Shàngqiáo Zhèn</v>
      </c>
      <c r="D159" t="s">
        <v>282</v>
      </c>
      <c r="E159" t="s">
        <v>7</v>
      </c>
      <c r="F159" t="str">
        <f>_xlfn.CONCAT(D159,", ",H159,", ",I159,", ","宁夏回族自治区")</f>
        <v>上桥镇, 利通区, 吴忠市, 宁夏回族自治区</v>
      </c>
      <c r="G159">
        <v>34102</v>
      </c>
      <c r="H159" t="s">
        <v>555</v>
      </c>
      <c r="I159" t="s">
        <v>553</v>
      </c>
      <c r="J159">
        <f>VLOOKUP(F159,[1]!china_towns_second__2[[Column1]:[Y]],3,FALSE)</f>
        <v>37.9654709316506</v>
      </c>
      <c r="K159">
        <f>VLOOKUP(F159,[1]!china_towns_second__2[[Column1]:[Y]],2,FALSE)</f>
        <v>106.2110701</v>
      </c>
      <c r="L159" t="s">
        <v>861</v>
      </c>
      <c r="M159" t="str">
        <f>VLOOKUP(H159,CHOOSE({1,2},Table6[Native],Table6[Name]),2,0)</f>
        <v>Lìtōng Qū</v>
      </c>
      <c r="N159" s="15" t="str">
        <f>VLOOKUP(I159,CHOOSE({1,2},Table6[Native],Table6[Name]),2,0)</f>
        <v>Wúzhōng Shì</v>
      </c>
      <c r="O159" s="15" t="str">
        <f t="shared" si="4"/>
        <v>Shangqiao Zhen (Wúzhōng Shì)</v>
      </c>
      <c r="P159" s="15" t="str">
        <f t="shared" si="5"/>
        <v>Shangqiao Zhen (Wúzhōng Shì)</v>
      </c>
    </row>
    <row r="160" spans="1:16" hidden="1" x14ac:dyDescent="0.25">
      <c r="A160" t="s">
        <v>85</v>
      </c>
      <c r="B160" t="str">
        <f>IF(COUNTIF(A:A,A160)&gt;1,_xlfn.CONCAT(A160," (",N160,")"),A160)</f>
        <v>Shānhé Xiāng</v>
      </c>
      <c r="C160" t="str">
        <f>IF(COUNTIF(B:B,B160)&gt;1,_xlfn.CONCAT(A160," (",M160,")"),B160)</f>
        <v>Shānhé Xiāng</v>
      </c>
      <c r="D160" t="s">
        <v>86</v>
      </c>
      <c r="E160" t="s">
        <v>11</v>
      </c>
      <c r="F160" t="str">
        <f>_xlfn.CONCAT(D160,", ",H160,", ",I160,", ","宁夏回族自治区")</f>
        <v>山河乡, 隆德县, 固原市, 宁夏回族自治区</v>
      </c>
      <c r="G160">
        <v>6536</v>
      </c>
      <c r="H160" t="s">
        <v>542</v>
      </c>
      <c r="I160" t="s">
        <v>539</v>
      </c>
      <c r="J160" t="e">
        <f>VLOOKUP(F160,[1]!china_towns_second__2[[Column1]:[Y]],3,FALSE)</f>
        <v>#N/A</v>
      </c>
      <c r="K160" t="e">
        <f>VLOOKUP(F160,[1]!china_towns_second__2[[Column1]:[Y]],2,FALSE)</f>
        <v>#N/A</v>
      </c>
      <c r="L160" t="s">
        <v>862</v>
      </c>
      <c r="M160" t="str">
        <f>VLOOKUP(H160,CHOOSE({1,2},Table6[Native],Table6[Name]),2,0)</f>
        <v>Lóngdé Xiàn</v>
      </c>
      <c r="N160" s="15" t="str">
        <f>VLOOKUP(I160,CHOOSE({1,2},Table6[Native],Table6[Name]),2,0)</f>
        <v>Gùyuán Shì</v>
      </c>
      <c r="O160" s="15" t="str">
        <f t="shared" si="4"/>
        <v>Shanhe Xiang (Gùyuán Shì)</v>
      </c>
      <c r="P160" s="15" t="str">
        <f t="shared" si="5"/>
        <v>Shanhe Xiang (Gùyuán Shì)</v>
      </c>
    </row>
    <row r="161" spans="1:16" x14ac:dyDescent="0.25">
      <c r="A161" t="s">
        <v>283</v>
      </c>
      <c r="B161" t="str">
        <f>IF(COUNTIF(A:A,A161)&gt;1,_xlfn.CONCAT(A161," (",N161,")"),A161)</f>
        <v>Shàogāng Zhèn</v>
      </c>
      <c r="C161" t="str">
        <f>IF(COUNTIF(B:B,B161)&gt;1,_xlfn.CONCAT(A161," (",M161,")"),B161)</f>
        <v>Shàogāng Zhèn</v>
      </c>
      <c r="D161" t="s">
        <v>284</v>
      </c>
      <c r="E161" t="s">
        <v>7</v>
      </c>
      <c r="F161" t="str">
        <f>_xlfn.CONCAT(D161,", ",H161,", ",I161,", ","宁夏回族自治区")</f>
        <v>邵岗镇, 青铜峡市, 吴忠市, 宁夏回族自治区</v>
      </c>
      <c r="G161">
        <v>18548</v>
      </c>
      <c r="H161" t="s">
        <v>557</v>
      </c>
      <c r="I161" t="s">
        <v>553</v>
      </c>
      <c r="J161">
        <f>VLOOKUP(F161,[1]!china_towns_second__2[[Column1]:[Y]],3,FALSE)</f>
        <v>38.148843304253397</v>
      </c>
      <c r="K161">
        <f>VLOOKUP(F161,[1]!china_towns_second__2[[Column1]:[Y]],2,FALSE)</f>
        <v>105.89498089999999</v>
      </c>
      <c r="L161" t="s">
        <v>863</v>
      </c>
      <c r="M161" t="str">
        <f>VLOOKUP(H161,CHOOSE({1,2},Table6[Native],Table6[Name]),2,0)</f>
        <v>Qīngtóngxiá Shì</v>
      </c>
      <c r="N161" s="15" t="str">
        <f>VLOOKUP(I161,CHOOSE({1,2},Table6[Native],Table6[Name]),2,0)</f>
        <v>Wúzhōng Shì</v>
      </c>
      <c r="O161" s="15" t="str">
        <f t="shared" si="4"/>
        <v>Shaogang Zhen (Wúzhōng Shì)</v>
      </c>
      <c r="P161" s="15" t="str">
        <f t="shared" si="5"/>
        <v>Shaogang Zhen (Wúzhōng Shì)</v>
      </c>
    </row>
    <row r="162" spans="1:16" x14ac:dyDescent="0.25">
      <c r="A162" t="s">
        <v>87</v>
      </c>
      <c r="B162" t="str">
        <f>IF(COUNTIF(A:A,A162)&gt;1,_xlfn.CONCAT(A162," (",N162,")"),A162)</f>
        <v>Shātáng Zhèn</v>
      </c>
      <c r="C162" t="str">
        <f>IF(COUNTIF(B:B,B162)&gt;1,_xlfn.CONCAT(A162," (",M162,")"),B162)</f>
        <v>Shātáng Zhèn</v>
      </c>
      <c r="D162" t="s">
        <v>88</v>
      </c>
      <c r="E162" t="s">
        <v>7</v>
      </c>
      <c r="F162" t="str">
        <f>_xlfn.CONCAT(D162,", ",H162,", ",I162,", ","宁夏回族自治区")</f>
        <v>沙塘镇, 隆德县, 固原市, 宁夏回族自治区</v>
      </c>
      <c r="G162">
        <v>12523</v>
      </c>
      <c r="H162" t="s">
        <v>542</v>
      </c>
      <c r="I162" t="s">
        <v>539</v>
      </c>
      <c r="J162">
        <f>VLOOKUP(F162,[1]!china_towns_second__2[[Column1]:[Y]],3,FALSE)</f>
        <v>35.581966151103501</v>
      </c>
      <c r="K162">
        <f>VLOOKUP(F162,[1]!china_towns_second__2[[Column1]:[Y]],2,FALSE)</f>
        <v>106.01954619999999</v>
      </c>
      <c r="L162" t="s">
        <v>864</v>
      </c>
      <c r="M162" t="str">
        <f>VLOOKUP(H162,CHOOSE({1,2},Table6[Native],Table6[Name]),2,0)</f>
        <v>Lóngdé Xiàn</v>
      </c>
      <c r="N162" s="15" t="str">
        <f>VLOOKUP(I162,CHOOSE({1,2},Table6[Native],Table6[Name]),2,0)</f>
        <v>Gùyuán Shì</v>
      </c>
      <c r="O162" s="15" t="str">
        <f t="shared" si="4"/>
        <v>Shatang Zhen (Gùyuán Shì)</v>
      </c>
      <c r="P162" s="15" t="str">
        <f t="shared" si="5"/>
        <v>Shatang Zhen (Gùyuán Shì)</v>
      </c>
    </row>
    <row r="163" spans="1:16" hidden="1" x14ac:dyDescent="0.25">
      <c r="A163" t="s">
        <v>403</v>
      </c>
      <c r="B163" t="str">
        <f>IF(COUNTIF(A:A,A163)&gt;1,_xlfn.CONCAT(A163," (",N163,")"),A163)</f>
        <v>Shènglì Xiāng</v>
      </c>
      <c r="C163" t="str">
        <f>IF(COUNTIF(B:B,B163)&gt;1,_xlfn.CONCAT(A163," (",M163,")"),B163)</f>
        <v>Shènglì Xiāng</v>
      </c>
      <c r="D163" t="s">
        <v>404</v>
      </c>
      <c r="E163" t="s">
        <v>11</v>
      </c>
      <c r="F163" t="str">
        <f>_xlfn.CONCAT(D163,", ",H163,", ",I163,", ","宁夏回族自治区")</f>
        <v>胜利乡, 永宁县, 银川市, 宁夏回族自治区</v>
      </c>
      <c r="G163">
        <v>15961</v>
      </c>
      <c r="H163" t="s">
        <v>568</v>
      </c>
      <c r="I163" t="s">
        <v>561</v>
      </c>
      <c r="J163" t="e">
        <f>VLOOKUP(F163,[1]!china_towns_second__2[[Column1]:[Y]],3,FALSE)</f>
        <v>#N/A</v>
      </c>
      <c r="K163" t="e">
        <f>VLOOKUP(F163,[1]!china_towns_second__2[[Column1]:[Y]],2,FALSE)</f>
        <v>#N/A</v>
      </c>
      <c r="L163" t="s">
        <v>865</v>
      </c>
      <c r="M163" t="str">
        <f>VLOOKUP(H163,CHOOSE({1,2},Table6[Native],Table6[Name]),2,0)</f>
        <v>Yŏngníng Xiàn</v>
      </c>
      <c r="N163" s="15" t="str">
        <f>VLOOKUP(I163,CHOOSE({1,2},Table6[Native],Table6[Name]),2,0)</f>
        <v>Yínchuān Shì</v>
      </c>
      <c r="O163" s="15" t="str">
        <f t="shared" si="4"/>
        <v>Shengli Xiang (Yínchuān Shì)</v>
      </c>
      <c r="P163" s="15" t="str">
        <f t="shared" si="5"/>
        <v>Shengli Xiang (Yínchuān Shì)</v>
      </c>
    </row>
    <row r="164" spans="1:16" x14ac:dyDescent="0.25">
      <c r="A164" t="s">
        <v>285</v>
      </c>
      <c r="B164" t="str">
        <f>IF(COUNTIF(A:A,A164)&gt;1,_xlfn.CONCAT(A164," (",N164,")"),A164)</f>
        <v>Shènglì Zhèn</v>
      </c>
      <c r="C164" t="str">
        <f>IF(COUNTIF(B:B,B164)&gt;1,_xlfn.CONCAT(A164," (",M164,")"),B164)</f>
        <v>Shènglì Zhèn</v>
      </c>
      <c r="D164" t="s">
        <v>286</v>
      </c>
      <c r="E164" t="s">
        <v>7</v>
      </c>
      <c r="F164" t="str">
        <f>_xlfn.CONCAT(D164,", ",H164,", ",I164,", ","宁夏回族自治区")</f>
        <v>胜利镇, 利通区, 吴忠市, 宁夏回族自治区</v>
      </c>
      <c r="G164">
        <v>36937</v>
      </c>
      <c r="H164" t="s">
        <v>555</v>
      </c>
      <c r="I164" t="s">
        <v>553</v>
      </c>
      <c r="J164">
        <f>VLOOKUP(F164,[1]!china_towns_second__2[[Column1]:[Y]],3,FALSE)</f>
        <v>37.981048767885099</v>
      </c>
      <c r="K164">
        <f>VLOOKUP(F164,[1]!china_towns_second__2[[Column1]:[Y]],2,FALSE)</f>
        <v>106.1901488</v>
      </c>
      <c r="L164" t="s">
        <v>866</v>
      </c>
      <c r="M164" t="str">
        <f>VLOOKUP(H164,CHOOSE({1,2},Table6[Native],Table6[Name]),2,0)</f>
        <v>Lìtōng Qū</v>
      </c>
      <c r="N164" s="15" t="str">
        <f>VLOOKUP(I164,CHOOSE({1,2},Table6[Native],Table6[Name]),2,0)</f>
        <v>Wúzhōng Shì</v>
      </c>
      <c r="O164" s="15" t="str">
        <f t="shared" si="4"/>
        <v>Shengli Zhen (Wúzhōng Shì)</v>
      </c>
      <c r="P164" s="15" t="str">
        <f t="shared" si="5"/>
        <v>Shengli Zhen (Wúzhōng Shì)</v>
      </c>
    </row>
    <row r="165" spans="1:16" hidden="1" x14ac:dyDescent="0.25">
      <c r="A165" t="s">
        <v>401</v>
      </c>
      <c r="B165" t="str">
        <f>IF(COUNTIF(A:A,A165)&gt;1,_xlfn.CONCAT(A165," (",N165,")"),A165)</f>
        <v>Shènglìjiē Jiēdào</v>
      </c>
      <c r="C165" t="str">
        <f>IF(COUNTIF(B:B,B165)&gt;1,_xlfn.CONCAT(A165," (",M165,")"),B165)</f>
        <v>Shènglìjiē Jiēdào</v>
      </c>
      <c r="D165" t="s">
        <v>402</v>
      </c>
      <c r="E165" t="s">
        <v>52</v>
      </c>
      <c r="F165" t="str">
        <f>_xlfn.CONCAT(D165,", ",H165,", ",I165,", ","宁夏回族自治区")</f>
        <v>胜利街街道, 兴庆区, 银川市, 宁夏回族自治区</v>
      </c>
      <c r="G165">
        <v>62333</v>
      </c>
      <c r="H165" t="s">
        <v>566</v>
      </c>
      <c r="I165" t="s">
        <v>561</v>
      </c>
      <c r="J165">
        <f>VLOOKUP(F165,[1]!china_towns_second__2[[Column1]:[Y]],3,FALSE)</f>
        <v>38.4358533731628</v>
      </c>
      <c r="K165">
        <f>VLOOKUP(F165,[1]!china_towns_second__2[[Column1]:[Y]],2,FALSE)</f>
        <v>106.27385080000001</v>
      </c>
      <c r="L165" t="s">
        <v>867</v>
      </c>
      <c r="M165" t="str">
        <f>VLOOKUP(H165,CHOOSE({1,2},Table6[Native],Table6[Name]),2,0)</f>
        <v>Xīngqìng Qū</v>
      </c>
      <c r="N165" s="15" t="str">
        <f>VLOOKUP(I165,CHOOSE({1,2},Table6[Native],Table6[Name]),2,0)</f>
        <v>Yínchuān Shì</v>
      </c>
      <c r="O165" s="15" t="str">
        <f t="shared" si="4"/>
        <v>Shenglijie Jiedao (Yínchuān Shì)</v>
      </c>
      <c r="P165" s="15" t="str">
        <f t="shared" si="5"/>
        <v>Shenglijie Jiedao (Yínchuān Shì)</v>
      </c>
    </row>
    <row r="166" spans="1:16" hidden="1" x14ac:dyDescent="0.25">
      <c r="A166" t="s">
        <v>89</v>
      </c>
      <c r="B166" t="str">
        <f>IF(COUNTIF(A:A,A166)&gt;1,_xlfn.CONCAT(A166," (",N166,")"),A166)</f>
        <v>Shénlín Xiāng</v>
      </c>
      <c r="C166" t="str">
        <f>IF(COUNTIF(B:B,B166)&gt;1,_xlfn.CONCAT(A166," (",M166,")"),B166)</f>
        <v>Shénlín Xiāng</v>
      </c>
      <c r="D166" t="s">
        <v>90</v>
      </c>
      <c r="E166" t="s">
        <v>11</v>
      </c>
      <c r="F166" t="str">
        <f>_xlfn.CONCAT(D166,", ",H166,", ",I166,", ","宁夏回族自治区")</f>
        <v>神林乡, 隆德县, 固原市, 宁夏回族自治区</v>
      </c>
      <c r="G166">
        <v>8832</v>
      </c>
      <c r="H166" t="s">
        <v>542</v>
      </c>
      <c r="I166" t="s">
        <v>539</v>
      </c>
      <c r="J166" t="e">
        <f>VLOOKUP(F166,[1]!china_towns_second__2[[Column1]:[Y]],3,FALSE)</f>
        <v>#N/A</v>
      </c>
      <c r="K166" t="e">
        <f>VLOOKUP(F166,[1]!china_towns_second__2[[Column1]:[Y]],2,FALSE)</f>
        <v>#N/A</v>
      </c>
      <c r="L166" t="s">
        <v>868</v>
      </c>
      <c r="M166" t="str">
        <f>VLOOKUP(H166,CHOOSE({1,2},Table6[Native],Table6[Name]),2,0)</f>
        <v>Lóngdé Xiàn</v>
      </c>
      <c r="N166" s="15" t="str">
        <f>VLOOKUP(I166,CHOOSE({1,2},Table6[Native],Table6[Name]),2,0)</f>
        <v>Gùyuán Shì</v>
      </c>
      <c r="O166" s="15" t="str">
        <f t="shared" si="4"/>
        <v>Shenlin Xiang (Gùyuán Shì)</v>
      </c>
      <c r="P166" s="15" t="str">
        <f t="shared" si="5"/>
        <v>Shenlin Xiang (Gùyuán Shì)</v>
      </c>
    </row>
    <row r="167" spans="1:16" hidden="1" x14ac:dyDescent="0.25">
      <c r="A167" t="s">
        <v>499</v>
      </c>
      <c r="B167" t="str">
        <f>IF(COUNTIF(A:A,A167)&gt;1,_xlfn.CONCAT(A167," (",N167,")"),A167)</f>
        <v>Shĭdiàn Xiāng</v>
      </c>
      <c r="C167" t="str">
        <f>IF(COUNTIF(B:B,B167)&gt;1,_xlfn.CONCAT(A167," (",M167,")"),B167)</f>
        <v>Shĭdiàn Xiāng</v>
      </c>
      <c r="D167" t="s">
        <v>500</v>
      </c>
      <c r="E167" t="s">
        <v>11</v>
      </c>
      <c r="F167" t="str">
        <f>_xlfn.CONCAT(D167,", ",H167,", ",I167,", ","宁夏回族自治区")</f>
        <v>史店乡, 海原县, 中卫市, 宁夏回族自治区</v>
      </c>
      <c r="G167">
        <v>17754</v>
      </c>
      <c r="H167" t="s">
        <v>571</v>
      </c>
      <c r="I167" t="s">
        <v>570</v>
      </c>
      <c r="J167" t="e">
        <f>VLOOKUP(F167,[1]!china_towns_second__2[[Column1]:[Y]],3,FALSE)</f>
        <v>#N/A</v>
      </c>
      <c r="K167" t="e">
        <f>VLOOKUP(F167,[1]!china_towns_second__2[[Column1]:[Y]],2,FALSE)</f>
        <v>#N/A</v>
      </c>
      <c r="L167" t="s">
        <v>869</v>
      </c>
      <c r="M167" t="str">
        <f>VLOOKUP(H167,CHOOSE({1,2},Table6[Native],Table6[Name]),2,0)</f>
        <v>Hăiyuán Xiàn</v>
      </c>
      <c r="N167" s="15" t="str">
        <f>VLOOKUP(I167,CHOOSE({1,2},Table6[Native],Table6[Name]),2,0)</f>
        <v>Zhōngwèi Shì</v>
      </c>
      <c r="O167" s="15" t="str">
        <f t="shared" si="4"/>
        <v>Shidian Xiang (Zhōngwèi Shì)</v>
      </c>
      <c r="P167" s="15" t="str">
        <f t="shared" si="5"/>
        <v>Shidian Xiang (Zhōngwèi Shì)</v>
      </c>
    </row>
    <row r="168" spans="1:16" x14ac:dyDescent="0.25">
      <c r="A168" t="s">
        <v>501</v>
      </c>
      <c r="B168" t="str">
        <f>IF(COUNTIF(A:A,A168)&gt;1,_xlfn.CONCAT(A168," (",N168,")"),A168)</f>
        <v>Shíkōng Zhèn</v>
      </c>
      <c r="C168" t="str">
        <f>IF(COUNTIF(B:B,B168)&gt;1,_xlfn.CONCAT(A168," (",M168,")"),B168)</f>
        <v>Shíkōng Zhèn</v>
      </c>
      <c r="D168" t="s">
        <v>502</v>
      </c>
      <c r="E168" t="s">
        <v>7</v>
      </c>
      <c r="F168" t="str">
        <f>_xlfn.CONCAT(D168,", ",H168,", ",I168,", ","宁夏回族自治区")</f>
        <v>石空镇, 中宁县, 中卫市, 宁夏回族自治区</v>
      </c>
      <c r="G168">
        <v>25608</v>
      </c>
      <c r="H168" t="s">
        <v>573</v>
      </c>
      <c r="I168" t="s">
        <v>570</v>
      </c>
      <c r="J168">
        <f>VLOOKUP(F168,[1]!china_towns_second__2[[Column1]:[Y]],3,FALSE)</f>
        <v>37.628095878461103</v>
      </c>
      <c r="K168">
        <f>VLOOKUP(F168,[1]!china_towns_second__2[[Column1]:[Y]],2,FALSE)</f>
        <v>105.70611599999999</v>
      </c>
      <c r="L168" t="s">
        <v>870</v>
      </c>
      <c r="M168" t="str">
        <f>VLOOKUP(H168,CHOOSE({1,2},Table6[Native],Table6[Name]),2,0)</f>
        <v>Zhōngníng Xiàn</v>
      </c>
      <c r="N168" s="15" t="str">
        <f>VLOOKUP(I168,CHOOSE({1,2},Table6[Native],Table6[Name]),2,0)</f>
        <v>Zhōngwèi Shì</v>
      </c>
      <c r="O168" s="15" t="str">
        <f t="shared" si="4"/>
        <v>Shikong Zhen (Zhōngwèi Shì)</v>
      </c>
      <c r="P168" s="15" t="str">
        <f t="shared" si="5"/>
        <v>Shikong Zhen (Zhōngwèi Shì)</v>
      </c>
    </row>
    <row r="169" spans="1:16" hidden="1" x14ac:dyDescent="0.25">
      <c r="A169" t="s">
        <v>198</v>
      </c>
      <c r="B169" t="str">
        <f>IF(COUNTIF(A:A,A169)&gt;1,_xlfn.CONCAT(A169," (",N169,")"),A169)</f>
        <v>Shítànjĭng Jiēdào</v>
      </c>
      <c r="C169" t="str">
        <f>IF(COUNTIF(B:B,B169)&gt;1,_xlfn.CONCAT(A169," (",M169,")"),B169)</f>
        <v>Shítànjĭng Jiēdào</v>
      </c>
      <c r="D169" t="s">
        <v>199</v>
      </c>
      <c r="E169" t="s">
        <v>52</v>
      </c>
      <c r="F169" t="str">
        <f>_xlfn.CONCAT(D169,", ",H169,", ",I169,", ","宁夏回族自治区")</f>
        <v>石炭井街道, 大武口区, 石嘴山市, 宁夏回族自治区</v>
      </c>
      <c r="G169">
        <v>9748</v>
      </c>
      <c r="H169" t="s">
        <v>549</v>
      </c>
      <c r="I169" t="s">
        <v>548</v>
      </c>
      <c r="J169">
        <f>VLOOKUP(F169,[1]!china_towns_second__2[[Column1]:[Y]],3,FALSE)</f>
        <v>39.178634328933903</v>
      </c>
      <c r="K169">
        <f>VLOOKUP(F169,[1]!china_towns_second__2[[Column1]:[Y]],2,FALSE)</f>
        <v>106.3742816</v>
      </c>
      <c r="L169" t="s">
        <v>871</v>
      </c>
      <c r="M169" t="str">
        <f>VLOOKUP(H169,CHOOSE({1,2},Table6[Native],Table6[Name]),2,0)</f>
        <v>Dàwŭkŏu Qū</v>
      </c>
      <c r="N169" s="15" t="str">
        <f>VLOOKUP(I169,CHOOSE({1,2},Table6[Native],Table6[Name]),2,0)</f>
        <v>Shízuĭshān Shì</v>
      </c>
      <c r="O169" s="15" t="str">
        <f t="shared" si="4"/>
        <v>Shitanjing Jiedao (Shízuĭshān Shì)</v>
      </c>
      <c r="P169" s="15" t="str">
        <f t="shared" si="5"/>
        <v>Shitanjing Jiedao (Shízuĭshān Shì)</v>
      </c>
    </row>
    <row r="170" spans="1:16" hidden="1" x14ac:dyDescent="0.25">
      <c r="A170" t="s">
        <v>91</v>
      </c>
      <c r="B170" t="str">
        <f>IF(COUNTIF(A:A,A170)&gt;1,_xlfn.CONCAT(A170," (",N170,")"),A170)</f>
        <v>Shízì Xiāng</v>
      </c>
      <c r="C170" t="str">
        <f>IF(COUNTIF(B:B,B170)&gt;1,_xlfn.CONCAT(A170," (",M170,")"),B170)</f>
        <v>Shízì Xiāng</v>
      </c>
      <c r="D170" t="s">
        <v>92</v>
      </c>
      <c r="E170" t="s">
        <v>11</v>
      </c>
      <c r="F170" t="str">
        <f>_xlfn.CONCAT(D170,", ",H170,", ",I170,", ","宁夏回族自治区")</f>
        <v>什字乡, 西吉县, 固原市, 宁夏回族自治区</v>
      </c>
      <c r="G170">
        <v>16727</v>
      </c>
      <c r="H170" t="s">
        <v>544</v>
      </c>
      <c r="I170" t="s">
        <v>539</v>
      </c>
      <c r="J170" t="e">
        <f>VLOOKUP(F170,[1]!china_towns_second__2[[Column1]:[Y]],3,FALSE)</f>
        <v>#N/A</v>
      </c>
      <c r="K170" t="e">
        <f>VLOOKUP(F170,[1]!china_towns_second__2[[Column1]:[Y]],2,FALSE)</f>
        <v>#N/A</v>
      </c>
      <c r="L170" t="s">
        <v>872</v>
      </c>
      <c r="M170" t="str">
        <f>VLOOKUP(H170,CHOOSE({1,2},Table6[Native],Table6[Name]),2,0)</f>
        <v>Xījí Xiàn</v>
      </c>
      <c r="N170" s="15" t="str">
        <f>VLOOKUP(I170,CHOOSE({1,2},Table6[Native],Table6[Name]),2,0)</f>
        <v>Gùyuán Shì</v>
      </c>
      <c r="O170" s="15" t="str">
        <f t="shared" si="4"/>
        <v>Shizi Xiang (Gùyuán Shì)</v>
      </c>
      <c r="P170" s="15" t="str">
        <f t="shared" si="5"/>
        <v>Shizi Xiang (Gùyuán Shì)</v>
      </c>
    </row>
    <row r="171" spans="1:16" hidden="1" x14ac:dyDescent="0.25">
      <c r="A171" t="s">
        <v>405</v>
      </c>
      <c r="B171" t="str">
        <f>IF(COUNTIF(A:A,A171)&gt;1,_xlfn.CONCAT(A171," (",N171,")"),A171)</f>
        <v>Shuòfānglù Jiēdào</v>
      </c>
      <c r="C171" t="str">
        <f>IF(COUNTIF(B:B,B171)&gt;1,_xlfn.CONCAT(A171," (",M171,")"),B171)</f>
        <v>Shuòfānglù Jiēdào</v>
      </c>
      <c r="D171" t="s">
        <v>406</v>
      </c>
      <c r="E171" t="s">
        <v>52</v>
      </c>
      <c r="F171" t="str">
        <f>_xlfn.CONCAT(D171,", ",H171,", ",I171,", ","宁夏回族自治区")</f>
        <v>朔方路街道, 西夏区, 银川市, 宁夏回族自治区</v>
      </c>
      <c r="G171">
        <v>67480</v>
      </c>
      <c r="H171" t="s">
        <v>567</v>
      </c>
      <c r="I171" t="s">
        <v>561</v>
      </c>
      <c r="J171">
        <f>VLOOKUP(F171,[1]!china_towns_second__2[[Column1]:[Y]],3,FALSE)</f>
        <v>38.512532228479301</v>
      </c>
      <c r="K171">
        <f>VLOOKUP(F171,[1]!china_towns_second__2[[Column1]:[Y]],2,FALSE)</f>
        <v>106.0753617</v>
      </c>
      <c r="L171" t="s">
        <v>873</v>
      </c>
      <c r="M171" t="str">
        <f>VLOOKUP(H171,CHOOSE({1,2},Table6[Native],Table6[Name]),2,0)</f>
        <v>Xīxià Qū</v>
      </c>
      <c r="N171" s="15" t="str">
        <f>VLOOKUP(I171,CHOOSE({1,2},Table6[Native],Table6[Name]),2,0)</f>
        <v>Yínchuān Shì</v>
      </c>
      <c r="O171" s="15" t="str">
        <f t="shared" si="4"/>
        <v>Shuofanglu Jiedao (Yínchuān Shì)</v>
      </c>
      <c r="P171" s="15" t="str">
        <f t="shared" si="5"/>
        <v>Shuofanglu Jiedao (Yínchuān Shì)</v>
      </c>
    </row>
    <row r="172" spans="1:16" hidden="1" x14ac:dyDescent="0.25">
      <c r="A172" t="s">
        <v>503</v>
      </c>
      <c r="B172" t="str">
        <f>IF(COUNTIF(A:A,A172)&gt;1,_xlfn.CONCAT(A172," (",N172,")"),A172)</f>
        <v>Shùtái Xiāng</v>
      </c>
      <c r="C172" t="str">
        <f>IF(COUNTIF(B:B,B172)&gt;1,_xlfn.CONCAT(A172," (",M172,")"),B172)</f>
        <v>Shùtái Xiāng</v>
      </c>
      <c r="D172" t="s">
        <v>504</v>
      </c>
      <c r="E172" t="s">
        <v>11</v>
      </c>
      <c r="F172" t="str">
        <f>_xlfn.CONCAT(D172,", ",H172,", ",I172,", ","宁夏回族自治区")</f>
        <v>树台乡, 海原县, 中卫市, 宁夏回族自治区</v>
      </c>
      <c r="G172">
        <v>23432</v>
      </c>
      <c r="H172" t="s">
        <v>571</v>
      </c>
      <c r="I172" t="s">
        <v>570</v>
      </c>
      <c r="J172" t="e">
        <f>VLOOKUP(F172,[1]!china_towns_second__2[[Column1]:[Y]],3,FALSE)</f>
        <v>#N/A</v>
      </c>
      <c r="K172" t="e">
        <f>VLOOKUP(F172,[1]!china_towns_second__2[[Column1]:[Y]],2,FALSE)</f>
        <v>#N/A</v>
      </c>
      <c r="L172" t="s">
        <v>874</v>
      </c>
      <c r="M172" t="str">
        <f>VLOOKUP(H172,CHOOSE({1,2},Table6[Native],Table6[Name]),2,0)</f>
        <v>Hăiyuán Xiàn</v>
      </c>
      <c r="N172" s="15" t="str">
        <f>VLOOKUP(I172,CHOOSE({1,2},Table6[Native],Table6[Name]),2,0)</f>
        <v>Zhōngwèi Shì</v>
      </c>
      <c r="O172" s="15" t="str">
        <f t="shared" si="4"/>
        <v>Shutai Xiang (Zhōngwèi Shì)</v>
      </c>
      <c r="P172" s="15" t="str">
        <f t="shared" si="5"/>
        <v>Shutai Xiang (Zhōngwèi Shì)</v>
      </c>
    </row>
    <row r="173" spans="1:16" hidden="1" x14ac:dyDescent="0.25">
      <c r="A173" t="s">
        <v>287</v>
      </c>
      <c r="B173" t="str">
        <f>IF(COUNTIF(A:A,A173)&gt;1,_xlfn.CONCAT(A173," (",N173,")"),A173)</f>
        <v>Shùxīn Línchăng</v>
      </c>
      <c r="C173" t="str">
        <f>IF(COUNTIF(B:B,B173)&gt;1,_xlfn.CONCAT(A173," (",M173,")"),B173)</f>
        <v>Shùxīn Línchăng</v>
      </c>
      <c r="D173" t="s">
        <v>288</v>
      </c>
      <c r="E173" t="s">
        <v>165</v>
      </c>
      <c r="F173" t="str">
        <f>_xlfn.CONCAT(D173,", ",H173,", ",I173,", ","宁夏回族自治区")</f>
        <v>树新林场, 青铜峡市, 吴忠市, 宁夏回族自治区</v>
      </c>
      <c r="G173">
        <v>1998</v>
      </c>
      <c r="H173" t="s">
        <v>557</v>
      </c>
      <c r="I173" t="s">
        <v>553</v>
      </c>
      <c r="J173">
        <f>VLOOKUP(F173,[1]!china_towns_second__2[[Column1]:[Y]],3,FALSE)</f>
        <v>38.035153484159103</v>
      </c>
      <c r="K173">
        <f>VLOOKUP(F173,[1]!china_towns_second__2[[Column1]:[Y]],2,FALSE)</f>
        <v>105.90735549999999</v>
      </c>
      <c r="L173" t="s">
        <v>875</v>
      </c>
      <c r="M173" t="str">
        <f>VLOOKUP(H173,CHOOSE({1,2},Table6[Native],Table6[Name]),2,0)</f>
        <v>Qīngtóngxiá Shì</v>
      </c>
      <c r="N173" s="15" t="str">
        <f>VLOOKUP(I173,CHOOSE({1,2},Table6[Native],Table6[Name]),2,0)</f>
        <v>Wúzhōng Shì</v>
      </c>
      <c r="O173" s="15" t="str">
        <f t="shared" si="4"/>
        <v>Shuxin Linchang (Wúzhōng Shì)</v>
      </c>
      <c r="P173" s="15" t="str">
        <f t="shared" si="5"/>
        <v>Shuxin Linchang (Wúzhōng Shì)</v>
      </c>
    </row>
    <row r="174" spans="1:16" hidden="1" x14ac:dyDescent="0.25">
      <c r="A174" t="s">
        <v>289</v>
      </c>
      <c r="B174" t="str">
        <f>IF(COUNTIF(A:A,A174)&gt;1,_xlfn.CONCAT(A174," (",N174,")"),A174)</f>
        <v>Sūnjiātān Guănwĕihuì</v>
      </c>
      <c r="C174" t="str">
        <f>IF(COUNTIF(B:B,B174)&gt;1,_xlfn.CONCAT(A174," (",M174,")"),B174)</f>
        <v>Sūnjiātān Guănwĕihuì</v>
      </c>
      <c r="D174" t="s">
        <v>290</v>
      </c>
      <c r="E174" t="s">
        <v>165</v>
      </c>
      <c r="F174" t="str">
        <f>_xlfn.CONCAT(D174,", ",H174,", ",I174,", ","宁夏回族自治区")</f>
        <v>孙家滩管委会, 利通区, 吴忠市, 宁夏回族自治区</v>
      </c>
      <c r="G174">
        <v>3719</v>
      </c>
      <c r="H174" t="s">
        <v>555</v>
      </c>
      <c r="I174" t="s">
        <v>553</v>
      </c>
      <c r="J174">
        <f>VLOOKUP(F174,[1]!china_towns_second__2[[Column1]:[Y]],3,FALSE)</f>
        <v>37.626340760559899</v>
      </c>
      <c r="K174">
        <f>VLOOKUP(F174,[1]!china_towns_second__2[[Column1]:[Y]],2,FALSE)</f>
        <v>106.2054223</v>
      </c>
      <c r="L174" t="s">
        <v>876</v>
      </c>
      <c r="M174" t="str">
        <f>VLOOKUP(H174,CHOOSE({1,2},Table6[Native],Table6[Name]),2,0)</f>
        <v>Lìtōng Qū</v>
      </c>
      <c r="N174" s="15" t="str">
        <f>VLOOKUP(I174,CHOOSE({1,2},Table6[Native],Table6[Name]),2,0)</f>
        <v>Wúzhōng Shì</v>
      </c>
      <c r="O174" s="15" t="str">
        <f t="shared" si="4"/>
        <v>Sunjiatan Guanweihui (Wúzhōng Shì)</v>
      </c>
      <c r="P174" s="15" t="str">
        <f t="shared" si="5"/>
        <v>Sunjiatan Guanweihui (Wúzhōng Shì)</v>
      </c>
    </row>
    <row r="175" spans="1:16" hidden="1" x14ac:dyDescent="0.25">
      <c r="A175" t="s">
        <v>291</v>
      </c>
      <c r="B175" t="str">
        <f>IF(COUNTIF(A:A,A175)&gt;1,_xlfn.CONCAT(A175," (",N175,")"),A175)</f>
        <v>Tàiyángshān Kāifāqū</v>
      </c>
      <c r="C175" t="str">
        <f>IF(COUNTIF(B:B,B175)&gt;1,_xlfn.CONCAT(A175," (",M175,")"),B175)</f>
        <v>Tàiyángshān Kāifāqū</v>
      </c>
      <c r="D175" t="s">
        <v>292</v>
      </c>
      <c r="E175" t="s">
        <v>165</v>
      </c>
      <c r="F175" t="str">
        <f>_xlfn.CONCAT(D175,", ",H175,", ",I175,", ","宁夏回族自治区")</f>
        <v>太阳山开发区, 利通区, 吴忠市, 宁夏回族自治区</v>
      </c>
      <c r="G175">
        <v>3299</v>
      </c>
      <c r="H175" t="s">
        <v>555</v>
      </c>
      <c r="I175" t="s">
        <v>553</v>
      </c>
      <c r="J175">
        <f>VLOOKUP(F175,[1]!china_towns_second__2[[Column1]:[Y]],3,FALSE)</f>
        <v>37.4455426626632</v>
      </c>
      <c r="K175">
        <f>VLOOKUP(F175,[1]!china_towns_second__2[[Column1]:[Y]],2,FALSE)</f>
        <v>106.5668379</v>
      </c>
      <c r="L175" t="s">
        <v>877</v>
      </c>
      <c r="M175" t="str">
        <f>VLOOKUP(H175,CHOOSE({1,2},Table6[Native],Table6[Name]),2,0)</f>
        <v>Lìtōng Qū</v>
      </c>
      <c r="N175" s="15" t="str">
        <f>VLOOKUP(I175,CHOOSE({1,2},Table6[Native],Table6[Name]),2,0)</f>
        <v>Wúzhōng Shì</v>
      </c>
      <c r="O175" s="15" t="str">
        <f t="shared" si="4"/>
        <v>Taiyangshan Kaifaqu (Wúzhōng Shì)</v>
      </c>
      <c r="P175" s="15" t="str">
        <f t="shared" si="5"/>
        <v>Taiyangshan Kaifaqu (Wúzhōng Shì)</v>
      </c>
    </row>
    <row r="176" spans="1:16" x14ac:dyDescent="0.25">
      <c r="A176" t="s">
        <v>293</v>
      </c>
      <c r="B176" t="str">
        <f>IF(COUNTIF(A:A,A176)&gt;1,_xlfn.CONCAT(A176," (",N176,")"),A176)</f>
        <v>Tàiyángshān Zhèn</v>
      </c>
      <c r="C176" t="str">
        <f>IF(COUNTIF(B:B,B176)&gt;1,_xlfn.CONCAT(A176," (",M176,")"),B176)</f>
        <v>Tàiyángshān Zhèn</v>
      </c>
      <c r="D176" t="s">
        <v>294</v>
      </c>
      <c r="E176" t="s">
        <v>7</v>
      </c>
      <c r="F176" t="str">
        <f>_xlfn.CONCAT(D176,", ",H176,", ",I176,", ","宁夏回族自治区")</f>
        <v>太阳山镇, 红寺堡区, 吴忠市, 宁夏回族自治区</v>
      </c>
      <c r="G176">
        <v>34945</v>
      </c>
      <c r="H176" t="s">
        <v>554</v>
      </c>
      <c r="I176" t="s">
        <v>553</v>
      </c>
      <c r="J176">
        <f>VLOOKUP(F176,[1]!china_towns_second__2[[Column1]:[Y]],3,FALSE)</f>
        <v>37.471107906621299</v>
      </c>
      <c r="K176">
        <f>VLOOKUP(F176,[1]!china_towns_second__2[[Column1]:[Y]],2,FALSE)</f>
        <v>106.36316530000001</v>
      </c>
      <c r="L176" t="s">
        <v>878</v>
      </c>
      <c r="M176" t="str">
        <f>VLOOKUP(H176,CHOOSE({1,2},Table6[Native],Table6[Name]),2,0)</f>
        <v>Hóngsìpǔ Qū</v>
      </c>
      <c r="N176" s="15" t="str">
        <f>VLOOKUP(I176,CHOOSE({1,2},Table6[Native],Table6[Name]),2,0)</f>
        <v>Wúzhōng Shì</v>
      </c>
      <c r="O176" s="15" t="str">
        <f t="shared" si="4"/>
        <v>Taiyangshan Zhen (Wúzhōng Shì)</v>
      </c>
      <c r="P176" s="15" t="str">
        <f t="shared" si="5"/>
        <v>Taiyangshan Zhen (Wúzhōng Shì)</v>
      </c>
    </row>
    <row r="177" spans="1:16" hidden="1" x14ac:dyDescent="0.25">
      <c r="A177" t="s">
        <v>93</v>
      </c>
      <c r="B177" t="str">
        <f>IF(COUNTIF(A:A,A177)&gt;1,_xlfn.CONCAT(A177," (",N177,")"),A177)</f>
        <v>Tànshān Xiāng</v>
      </c>
      <c r="C177" t="str">
        <f>IF(COUNTIF(B:B,B177)&gt;1,_xlfn.CONCAT(A177," (",M177,")"),B177)</f>
        <v>Tànshān Xiāng</v>
      </c>
      <c r="D177" t="s">
        <v>94</v>
      </c>
      <c r="E177" t="s">
        <v>11</v>
      </c>
      <c r="F177" t="str">
        <f>_xlfn.CONCAT(D177,", ",H177,", ",I177,", ","宁夏回族自治区")</f>
        <v>炭山乡, 原州区, 固原市, 宁夏回族自治区</v>
      </c>
      <c r="G177">
        <v>9490</v>
      </c>
      <c r="H177" t="s">
        <v>546</v>
      </c>
      <c r="I177" t="s">
        <v>539</v>
      </c>
      <c r="J177" t="e">
        <f>VLOOKUP(F177,[1]!china_towns_second__2[[Column1]:[Y]],3,FALSE)</f>
        <v>#N/A</v>
      </c>
      <c r="K177" t="e">
        <f>VLOOKUP(F177,[1]!china_towns_second__2[[Column1]:[Y]],2,FALSE)</f>
        <v>#N/A</v>
      </c>
      <c r="L177" t="s">
        <v>879</v>
      </c>
      <c r="M177" t="str">
        <f>VLOOKUP(H177,CHOOSE({1,2},Table6[Native],Table6[Name]),2,0)</f>
        <v>Yuánzhōu Qū</v>
      </c>
      <c r="N177" s="15" t="str">
        <f>VLOOKUP(I177,CHOOSE({1,2},Table6[Native],Table6[Name]),2,0)</f>
        <v>Gùyuán Shì</v>
      </c>
      <c r="O177" s="15" t="str">
        <f t="shared" si="4"/>
        <v>Tanshan Xiang (Gùyuán Shì)</v>
      </c>
      <c r="P177" s="15" t="str">
        <f t="shared" si="5"/>
        <v>Tanshan Xiang (Gùyuán Shì)</v>
      </c>
    </row>
    <row r="178" spans="1:16" x14ac:dyDescent="0.25">
      <c r="A178" t="s">
        <v>200</v>
      </c>
      <c r="B178" t="str">
        <f>IF(COUNTIF(A:A,A178)&gt;1,_xlfn.CONCAT(A178," (",N178,")"),A178)</f>
        <v>Táolè Zhèn</v>
      </c>
      <c r="C178" t="str">
        <f>IF(COUNTIF(B:B,B178)&gt;1,_xlfn.CONCAT(A178," (",M178,")"),B178)</f>
        <v>Táolè Zhèn</v>
      </c>
      <c r="D178" t="s">
        <v>201</v>
      </c>
      <c r="E178" t="s">
        <v>7</v>
      </c>
      <c r="F178" t="str">
        <f>_xlfn.CONCAT(D178,", ",H178,", ",I178,", ","宁夏回族自治区")</f>
        <v>陶乐镇, 平罗县, 石嘴山市, 宁夏回族自治区</v>
      </c>
      <c r="G178">
        <v>8790</v>
      </c>
      <c r="H178" t="s">
        <v>551</v>
      </c>
      <c r="I178" t="s">
        <v>548</v>
      </c>
      <c r="J178">
        <f>VLOOKUP(F178,[1]!china_towns_second__2[[Column1]:[Y]],3,FALSE)</f>
        <v>38.820785373046398</v>
      </c>
      <c r="K178">
        <f>VLOOKUP(F178,[1]!china_towns_second__2[[Column1]:[Y]],2,FALSE)</f>
        <v>106.7482002</v>
      </c>
      <c r="L178" t="s">
        <v>880</v>
      </c>
      <c r="M178" t="str">
        <f>VLOOKUP(H178,CHOOSE({1,2},Table6[Native],Table6[Name]),2,0)</f>
        <v>Píngluó Xiàn</v>
      </c>
      <c r="N178" s="15" t="str">
        <f>VLOOKUP(I178,CHOOSE({1,2},Table6[Native],Table6[Name]),2,0)</f>
        <v>Shízuĭshān Shì</v>
      </c>
      <c r="O178" s="15" t="str">
        <f t="shared" si="4"/>
        <v>Taole Zhen (Shízuĭshān Shì)</v>
      </c>
      <c r="P178" s="15" t="str">
        <f t="shared" si="5"/>
        <v>Taole Zhen (Shízuĭshān Shì)</v>
      </c>
    </row>
    <row r="179" spans="1:16" hidden="1" x14ac:dyDescent="0.25">
      <c r="A179" t="s">
        <v>295</v>
      </c>
      <c r="B179" t="str">
        <f>IF(COUNTIF(A:A,A179)&gt;1,_xlfn.CONCAT(A179," (",N179,")"),A179)</f>
        <v>Tiánlăozhuāng Xiāng</v>
      </c>
      <c r="C179" t="str">
        <f>IF(COUNTIF(B:B,B179)&gt;1,_xlfn.CONCAT(A179," (",M179,")"),B179)</f>
        <v>Tiánlăozhuāng Xiāng</v>
      </c>
      <c r="D179" t="s">
        <v>296</v>
      </c>
      <c r="E179" t="s">
        <v>11</v>
      </c>
      <c r="F179" t="str">
        <f>_xlfn.CONCAT(D179,", ",H179,", ",I179,", ","宁夏回族自治区")</f>
        <v>田老庄乡, 同心县, 吴忠市, 宁夏回族自治区</v>
      </c>
      <c r="G179">
        <v>16846</v>
      </c>
      <c r="H179" t="s">
        <v>558</v>
      </c>
      <c r="I179" t="s">
        <v>553</v>
      </c>
      <c r="J179" t="e">
        <f>VLOOKUP(F179,[1]!china_towns_second__2[[Column1]:[Y]],3,FALSE)</f>
        <v>#N/A</v>
      </c>
      <c r="K179" t="e">
        <f>VLOOKUP(F179,[1]!china_towns_second__2[[Column1]:[Y]],2,FALSE)</f>
        <v>#N/A</v>
      </c>
      <c r="L179" t="s">
        <v>881</v>
      </c>
      <c r="M179" t="str">
        <f>VLOOKUP(H179,CHOOSE({1,2},Table6[Native],Table6[Name]),2,0)</f>
        <v>Tóngxīn Xiàn</v>
      </c>
      <c r="N179" s="15" t="str">
        <f>VLOOKUP(I179,CHOOSE({1,2},Table6[Native],Table6[Name]),2,0)</f>
        <v>Wúzhōng Shì</v>
      </c>
      <c r="O179" s="15" t="str">
        <f t="shared" si="4"/>
        <v>Tianlaozhuang Xiang (Wúzhōng Shì)</v>
      </c>
      <c r="P179" s="15" t="str">
        <f t="shared" si="5"/>
        <v>Tianlaozhuang Xiang (Wúzhōng Shì)</v>
      </c>
    </row>
    <row r="180" spans="1:16" hidden="1" x14ac:dyDescent="0.25">
      <c r="A180" t="s">
        <v>95</v>
      </c>
      <c r="B180" t="str">
        <f>IF(COUNTIF(A:A,A180)&gt;1,_xlfn.CONCAT(A180," (",N180,")"),A180)</f>
        <v>Tiánpíng Xiāng</v>
      </c>
      <c r="C180" t="str">
        <f>IF(COUNTIF(B:B,B180)&gt;1,_xlfn.CONCAT(A180," (",M180,")"),B180)</f>
        <v>Tiánpíng Xiāng</v>
      </c>
      <c r="D180" t="s">
        <v>96</v>
      </c>
      <c r="E180" t="s">
        <v>11</v>
      </c>
      <c r="F180" t="str">
        <f>_xlfn.CONCAT(D180,", ",H180,", ",I180,", ","宁夏回族自治区")</f>
        <v>田坪乡, 西吉县, 固原市, 宁夏回族自治区</v>
      </c>
      <c r="G180">
        <v>9130</v>
      </c>
      <c r="H180" t="s">
        <v>544</v>
      </c>
      <c r="I180" t="s">
        <v>539</v>
      </c>
      <c r="J180" t="e">
        <f>VLOOKUP(F180,[1]!china_towns_second__2[[Column1]:[Y]],3,FALSE)</f>
        <v>#N/A</v>
      </c>
      <c r="K180" t="e">
        <f>VLOOKUP(F180,[1]!china_towns_second__2[[Column1]:[Y]],2,FALSE)</f>
        <v>#N/A</v>
      </c>
      <c r="L180" t="s">
        <v>882</v>
      </c>
      <c r="M180" t="str">
        <f>VLOOKUP(H180,CHOOSE({1,2},Table6[Native],Table6[Name]),2,0)</f>
        <v>Xījí Xiàn</v>
      </c>
      <c r="N180" s="15" t="str">
        <f>VLOOKUP(I180,CHOOSE({1,2},Table6[Native],Table6[Name]),2,0)</f>
        <v>Gùyuán Shì</v>
      </c>
      <c r="O180" s="15" t="str">
        <f t="shared" si="4"/>
        <v>Tianping Xiang (Gùyuán Shì)</v>
      </c>
      <c r="P180" s="15" t="str">
        <f t="shared" si="5"/>
        <v>Tianping Xiang (Gùyuán Shì)</v>
      </c>
    </row>
    <row r="181" spans="1:16" hidden="1" x14ac:dyDescent="0.25">
      <c r="A181" t="s">
        <v>202</v>
      </c>
      <c r="B181" t="str">
        <f>IF(COUNTIF(A:A,A181)&gt;1,_xlfn.CONCAT(A181," (",N181,")"),A181)</f>
        <v>Tōngfú Xiāng</v>
      </c>
      <c r="C181" t="str">
        <f>IF(COUNTIF(B:B,B181)&gt;1,_xlfn.CONCAT(A181," (",M181,")"),B181)</f>
        <v>Tōngfú Xiāng</v>
      </c>
      <c r="D181" t="s">
        <v>203</v>
      </c>
      <c r="E181" t="s">
        <v>11</v>
      </c>
      <c r="F181" t="str">
        <f>_xlfn.CONCAT(D181,", ",H181,", ",I181,", ","宁夏回族自治区")</f>
        <v>通伏乡, 平罗县, 石嘴山市, 宁夏回族自治区</v>
      </c>
      <c r="G181">
        <v>15942</v>
      </c>
      <c r="H181" t="s">
        <v>551</v>
      </c>
      <c r="I181" t="s">
        <v>548</v>
      </c>
      <c r="J181" t="e">
        <f>VLOOKUP(F181,[1]!china_towns_second__2[[Column1]:[Y]],3,FALSE)</f>
        <v>#N/A</v>
      </c>
      <c r="K181" t="e">
        <f>VLOOKUP(F181,[1]!china_towns_second__2[[Column1]:[Y]],2,FALSE)</f>
        <v>#N/A</v>
      </c>
      <c r="L181" t="s">
        <v>883</v>
      </c>
      <c r="M181" t="str">
        <f>VLOOKUP(H181,CHOOSE({1,2},Table6[Native],Table6[Name]),2,0)</f>
        <v>Píngluó Xiàn</v>
      </c>
      <c r="N181" s="15" t="str">
        <f>VLOOKUP(I181,CHOOSE({1,2},Table6[Native],Table6[Name]),2,0)</f>
        <v>Shízuĭshān Shì</v>
      </c>
      <c r="O181" s="15" t="str">
        <f t="shared" si="4"/>
        <v>Tongfu Xiang (Shízuĭshān Shì)</v>
      </c>
      <c r="P181" s="15" t="str">
        <f t="shared" si="5"/>
        <v>Tongfu Xiang (Shízuĭshān Shì)</v>
      </c>
    </row>
    <row r="182" spans="1:16" hidden="1" x14ac:dyDescent="0.25">
      <c r="A182" t="s">
        <v>407</v>
      </c>
      <c r="B182" t="str">
        <f>IF(COUNTIF(A:A,A182)&gt;1,_xlfn.CONCAT(A182," (",N182,")"),A182)</f>
        <v>Tōngguì Xiāng</v>
      </c>
      <c r="C182" t="str">
        <f>IF(COUNTIF(B:B,B182)&gt;1,_xlfn.CONCAT(A182," (",M182,")"),B182)</f>
        <v>Tōngguì Xiāng</v>
      </c>
      <c r="D182" t="s">
        <v>408</v>
      </c>
      <c r="E182" t="s">
        <v>11</v>
      </c>
      <c r="F182" t="str">
        <f>_xlfn.CONCAT(D182,", ",H182,", ",I182,", ","宁夏回族自治区")</f>
        <v>通贵乡, 兴庆区, 银川市, 宁夏回族自治区</v>
      </c>
      <c r="G182">
        <v>13490</v>
      </c>
      <c r="H182" t="s">
        <v>566</v>
      </c>
      <c r="I182" t="s">
        <v>561</v>
      </c>
      <c r="J182" t="e">
        <f>VLOOKUP(F182,[1]!china_towns_second__2[[Column1]:[Y]],3,FALSE)</f>
        <v>#N/A</v>
      </c>
      <c r="K182" t="e">
        <f>VLOOKUP(F182,[1]!china_towns_second__2[[Column1]:[Y]],2,FALSE)</f>
        <v>#N/A</v>
      </c>
      <c r="L182" t="s">
        <v>884</v>
      </c>
      <c r="M182" t="str">
        <f>VLOOKUP(H182,CHOOSE({1,2},Table6[Native],Table6[Name]),2,0)</f>
        <v>Xīngqìng Qū</v>
      </c>
      <c r="N182" s="15" t="str">
        <f>VLOOKUP(I182,CHOOSE({1,2},Table6[Native],Table6[Name]),2,0)</f>
        <v>Yínchuān Shì</v>
      </c>
      <c r="O182" s="15" t="str">
        <f t="shared" si="4"/>
        <v>Tonggui Xiang (Yínchuān Shì)</v>
      </c>
      <c r="P182" s="15" t="str">
        <f t="shared" si="5"/>
        <v>Tonggui Xiang (Yínchuān Shì)</v>
      </c>
    </row>
    <row r="183" spans="1:16" x14ac:dyDescent="0.25">
      <c r="A183" t="s">
        <v>97</v>
      </c>
      <c r="B183" t="str">
        <f>IF(COUNTIF(A:A,A183)&gt;1,_xlfn.CONCAT(A183," (",N183,")"),A183)</f>
        <v>Tóuyíng Zhèn</v>
      </c>
      <c r="C183" t="str">
        <f>IF(COUNTIF(B:B,B183)&gt;1,_xlfn.CONCAT(A183," (",M183,")"),B183)</f>
        <v>Tóuyíng Zhèn</v>
      </c>
      <c r="D183" t="s">
        <v>98</v>
      </c>
      <c r="E183" t="s">
        <v>7</v>
      </c>
      <c r="F183" t="str">
        <f>_xlfn.CONCAT(D183,", ",H183,", ",I183,", ","宁夏回族自治区")</f>
        <v>头营镇, 原州区, 固原市, 宁夏回族自治区</v>
      </c>
      <c r="G183">
        <v>43698</v>
      </c>
      <c r="H183" t="s">
        <v>546</v>
      </c>
      <c r="I183" t="s">
        <v>539</v>
      </c>
      <c r="J183">
        <f>VLOOKUP(F183,[1]!china_towns_second__2[[Column1]:[Y]],3,FALSE)</f>
        <v>36.196801441691001</v>
      </c>
      <c r="K183">
        <f>VLOOKUP(F183,[1]!china_towns_second__2[[Column1]:[Y]],2,FALSE)</f>
        <v>106.2404556</v>
      </c>
      <c r="L183" t="s">
        <v>885</v>
      </c>
      <c r="M183" t="str">
        <f>VLOOKUP(H183,CHOOSE({1,2},Table6[Native],Table6[Name]),2,0)</f>
        <v>Yuánzhōu Qū</v>
      </c>
      <c r="N183" s="15" t="str">
        <f>VLOOKUP(I183,CHOOSE({1,2},Table6[Native],Table6[Name]),2,0)</f>
        <v>Gùyuán Shì</v>
      </c>
      <c r="O183" s="15" t="str">
        <f t="shared" si="4"/>
        <v>Touying Zhen (Gùyuán Shì)</v>
      </c>
      <c r="P183" s="15" t="str">
        <f t="shared" si="5"/>
        <v>Touying Zhen (Gùyuán Shì)</v>
      </c>
    </row>
    <row r="184" spans="1:16" x14ac:dyDescent="0.25">
      <c r="A184" t="s">
        <v>204</v>
      </c>
      <c r="B184" t="str">
        <f>IF(COUNTIF(A:A,A184)&gt;1,_xlfn.CONCAT(A184," (",N184,")"),A184)</f>
        <v>Tóuzhá Zhèn</v>
      </c>
      <c r="C184" t="str">
        <f>IF(COUNTIF(B:B,B184)&gt;1,_xlfn.CONCAT(A184," (",M184,")"),B184)</f>
        <v>Tóuzhá Zhèn</v>
      </c>
      <c r="D184" t="s">
        <v>205</v>
      </c>
      <c r="E184" t="s">
        <v>7</v>
      </c>
      <c r="F184" t="str">
        <f>_xlfn.CONCAT(D184,", ",H184,", ",I184,", ","宁夏回族自治区")</f>
        <v>头闸镇, 平罗县, 石嘴山市, 宁夏回族自治区</v>
      </c>
      <c r="G184">
        <v>13546</v>
      </c>
      <c r="H184" t="s">
        <v>551</v>
      </c>
      <c r="I184" t="s">
        <v>548</v>
      </c>
      <c r="J184">
        <f>VLOOKUP(F184,[1]!china_towns_second__2[[Column1]:[Y]],3,FALSE)</f>
        <v>38.924980359947597</v>
      </c>
      <c r="K184">
        <f>VLOOKUP(F184,[1]!china_towns_second__2[[Column1]:[Y]],2,FALSE)</f>
        <v>106.6850716</v>
      </c>
      <c r="L184" t="s">
        <v>886</v>
      </c>
      <c r="M184" t="str">
        <f>VLOOKUP(H184,CHOOSE({1,2},Table6[Native],Table6[Name]),2,0)</f>
        <v>Píngluó Xiàn</v>
      </c>
      <c r="N184" s="15" t="str">
        <f>VLOOKUP(I184,CHOOSE({1,2},Table6[Native],Table6[Name]),2,0)</f>
        <v>Shízuĭshān Shì</v>
      </c>
      <c r="O184" s="15" t="str">
        <f t="shared" si="4"/>
        <v>Touzha Zhen (Shízuĭshān Shì)</v>
      </c>
      <c r="P184" s="15" t="str">
        <f t="shared" si="5"/>
        <v>Touzha Zhen (Shízuĭshān Shì)</v>
      </c>
    </row>
    <row r="185" spans="1:16" x14ac:dyDescent="0.25">
      <c r="A185" t="s">
        <v>409</v>
      </c>
      <c r="B185" t="str">
        <f>IF(COUNTIF(A:A,A185)&gt;1,_xlfn.CONCAT(A185," (",N185,")"),A185)</f>
        <v>Wànghóng Zhèn</v>
      </c>
      <c r="C185" t="str">
        <f>IF(COUNTIF(B:B,B185)&gt;1,_xlfn.CONCAT(A185," (",M185,")"),B185)</f>
        <v>Wànghóng Zhèn</v>
      </c>
      <c r="D185" t="s">
        <v>410</v>
      </c>
      <c r="E185" t="s">
        <v>7</v>
      </c>
      <c r="F185" t="str">
        <f>_xlfn.CONCAT(D185,", ",H185,", ",I185,", ","宁夏回族自治区")</f>
        <v>望洪镇, 永宁县, 银川市, 宁夏回族自治区</v>
      </c>
      <c r="G185">
        <v>30943</v>
      </c>
      <c r="H185" t="s">
        <v>568</v>
      </c>
      <c r="I185" t="s">
        <v>561</v>
      </c>
      <c r="J185">
        <f>VLOOKUP(F185,[1]!china_towns_second__2[[Column1]:[Y]],3,FALSE)</f>
        <v>38.236600437393101</v>
      </c>
      <c r="K185">
        <f>VLOOKUP(F185,[1]!china_towns_second__2[[Column1]:[Y]],2,FALSE)</f>
        <v>106.1749482</v>
      </c>
      <c r="L185" t="s">
        <v>887</v>
      </c>
      <c r="M185" t="str">
        <f>VLOOKUP(H185,CHOOSE({1,2},Table6[Native],Table6[Name]),2,0)</f>
        <v>Yŏngníng Xiàn</v>
      </c>
      <c r="N185" s="15" t="str">
        <f>VLOOKUP(I185,CHOOSE({1,2},Table6[Native],Table6[Name]),2,0)</f>
        <v>Yínchuān Shì</v>
      </c>
      <c r="O185" s="15" t="str">
        <f t="shared" si="4"/>
        <v>Wanghong Zhen (Yínchuān Shì)</v>
      </c>
      <c r="P185" s="15" t="str">
        <f t="shared" si="5"/>
        <v>Wanghong Zhen (Yínchuān Shì)</v>
      </c>
    </row>
    <row r="186" spans="1:16" hidden="1" x14ac:dyDescent="0.25">
      <c r="A186" t="s">
        <v>297</v>
      </c>
      <c r="B186" t="str">
        <f>IF(COUNTIF(A:A,A186)&gt;1,_xlfn.CONCAT(A186," (",N186,")"),A186)</f>
        <v>Wánglèjĭng Xiāng</v>
      </c>
      <c r="C186" t="str">
        <f>IF(COUNTIF(B:B,B186)&gt;1,_xlfn.CONCAT(A186," (",M186,")"),B186)</f>
        <v>Wánglèjĭng Xiāng</v>
      </c>
      <c r="D186" t="s">
        <v>298</v>
      </c>
      <c r="E186" t="s">
        <v>11</v>
      </c>
      <c r="F186" t="str">
        <f>_xlfn.CONCAT(D186,", ",H186,", ",I186,", ","宁夏回族自治区")</f>
        <v>王乐井乡, 盐池县, 吴忠市, 宁夏回族自治区</v>
      </c>
      <c r="G186">
        <v>7786</v>
      </c>
      <c r="H186" t="s">
        <v>559</v>
      </c>
      <c r="I186" t="s">
        <v>553</v>
      </c>
      <c r="J186" t="e">
        <f>VLOOKUP(F186,[1]!china_towns_second__2[[Column1]:[Y]],3,FALSE)</f>
        <v>#N/A</v>
      </c>
      <c r="K186" t="e">
        <f>VLOOKUP(F186,[1]!china_towns_second__2[[Column1]:[Y]],2,FALSE)</f>
        <v>#N/A</v>
      </c>
      <c r="L186" t="s">
        <v>888</v>
      </c>
      <c r="M186" t="str">
        <f>VLOOKUP(H186,CHOOSE({1,2},Table6[Native],Table6[Name]),2,0)</f>
        <v>Yánchí Xiàn</v>
      </c>
      <c r="N186" s="15" t="str">
        <f>VLOOKUP(I186,CHOOSE({1,2},Table6[Native],Table6[Name]),2,0)</f>
        <v>Wúzhōng Shì</v>
      </c>
      <c r="O186" s="15" t="str">
        <f t="shared" si="4"/>
        <v>Wanglejing Xiang (Wúzhōng Shì)</v>
      </c>
      <c r="P186" s="15" t="str">
        <f t="shared" si="5"/>
        <v>Wanglejing Xiang (Wúzhōng Shì)</v>
      </c>
    </row>
    <row r="187" spans="1:16" hidden="1" x14ac:dyDescent="0.25">
      <c r="A187" t="s">
        <v>99</v>
      </c>
      <c r="B187" t="str">
        <f>IF(COUNTIF(A:A,A187)&gt;1,_xlfn.CONCAT(A187," (",N187,")"),A187)</f>
        <v>Wángmín Xiāng</v>
      </c>
      <c r="C187" t="str">
        <f>IF(COUNTIF(B:B,B187)&gt;1,_xlfn.CONCAT(A187," (",M187,")"),B187)</f>
        <v>Wángmín Xiāng</v>
      </c>
      <c r="D187" t="s">
        <v>100</v>
      </c>
      <c r="E187" t="s">
        <v>11</v>
      </c>
      <c r="F187" t="str">
        <f>_xlfn.CONCAT(D187,", ",H187,", ",I187,", ","宁夏回族自治区")</f>
        <v>王民乡, 西吉县, 固原市, 宁夏回族自治区</v>
      </c>
      <c r="G187">
        <v>8638</v>
      </c>
      <c r="H187" t="s">
        <v>544</v>
      </c>
      <c r="I187" t="s">
        <v>539</v>
      </c>
      <c r="J187" t="e">
        <f>VLOOKUP(F187,[1]!china_towns_second__2[[Column1]:[Y]],3,FALSE)</f>
        <v>#N/A</v>
      </c>
      <c r="K187" t="e">
        <f>VLOOKUP(F187,[1]!china_towns_second__2[[Column1]:[Y]],2,FALSE)</f>
        <v>#N/A</v>
      </c>
      <c r="L187" t="s">
        <v>889</v>
      </c>
      <c r="M187" t="str">
        <f>VLOOKUP(H187,CHOOSE({1,2},Table6[Native],Table6[Name]),2,0)</f>
        <v>Xījí Xiàn</v>
      </c>
      <c r="N187" s="15" t="str">
        <f>VLOOKUP(I187,CHOOSE({1,2},Table6[Native],Table6[Name]),2,0)</f>
        <v>Gùyuán Shì</v>
      </c>
      <c r="O187" s="15" t="str">
        <f t="shared" si="4"/>
        <v>Wangmin Xiang (Gùyuán Shì)</v>
      </c>
      <c r="P187" s="15" t="str">
        <f t="shared" si="5"/>
        <v>Wangmin Xiang (Gùyuán Shì)</v>
      </c>
    </row>
    <row r="188" spans="1:16" x14ac:dyDescent="0.25">
      <c r="A188" t="s">
        <v>299</v>
      </c>
      <c r="B188" t="str">
        <f>IF(COUNTIF(A:A,A188)&gt;1,_xlfn.CONCAT(A188," (",N188,")"),A188)</f>
        <v>Wángtuán Zhèn</v>
      </c>
      <c r="C188" t="str">
        <f>IF(COUNTIF(B:B,B188)&gt;1,_xlfn.CONCAT(A188," (",M188,")"),B188)</f>
        <v>Wángtuán Zhèn</v>
      </c>
      <c r="D188" t="s">
        <v>300</v>
      </c>
      <c r="E188" t="s">
        <v>7</v>
      </c>
      <c r="F188" t="str">
        <f>_xlfn.CONCAT(D188,", ",H188,", ",I188,", ","宁夏回族自治区")</f>
        <v>王团镇, 同心县, 吴忠市, 宁夏回族自治区</v>
      </c>
      <c r="G188">
        <v>36729</v>
      </c>
      <c r="H188" t="s">
        <v>558</v>
      </c>
      <c r="I188" t="s">
        <v>553</v>
      </c>
      <c r="J188">
        <f>VLOOKUP(F188,[1]!china_towns_second__2[[Column1]:[Y]],3,FALSE)</f>
        <v>36.808154979253501</v>
      </c>
      <c r="K188">
        <f>VLOOKUP(F188,[1]!china_towns_second__2[[Column1]:[Y]],2,FALSE)</f>
        <v>106.1099799</v>
      </c>
      <c r="L188" t="s">
        <v>890</v>
      </c>
      <c r="M188" t="str">
        <f>VLOOKUP(H188,CHOOSE({1,2},Table6[Native],Table6[Name]),2,0)</f>
        <v>Tóngxīn Xiàn</v>
      </c>
      <c r="N188" s="15" t="str">
        <f>VLOOKUP(I188,CHOOSE({1,2},Table6[Native],Table6[Name]),2,0)</f>
        <v>Wúzhōng Shì</v>
      </c>
      <c r="O188" s="15" t="str">
        <f t="shared" si="4"/>
        <v>Wangtuan Zhen (Wúzhōng Shì)</v>
      </c>
      <c r="P188" s="15" t="str">
        <f t="shared" si="5"/>
        <v>Wangtuan Zhen (Wúzhōng Shì)</v>
      </c>
    </row>
    <row r="189" spans="1:16" x14ac:dyDescent="0.25">
      <c r="A189" t="s">
        <v>101</v>
      </c>
      <c r="B189" t="str">
        <f>IF(COUNTIF(A:A,A189)&gt;1,_xlfn.CONCAT(A189," (",N189,")"),A189)</f>
        <v>Wángwā Zhèn</v>
      </c>
      <c r="C189" t="str">
        <f>IF(COUNTIF(B:B,B189)&gt;1,_xlfn.CONCAT(A189," (",M189,")"),B189)</f>
        <v>Wángwā Zhèn</v>
      </c>
      <c r="D189" t="s">
        <v>102</v>
      </c>
      <c r="E189" t="s">
        <v>7</v>
      </c>
      <c r="F189" t="str">
        <f>_xlfn.CONCAT(D189,", ",H189,", ",I189,", ","宁夏回族自治区")</f>
        <v>王洼镇, 彭阳县, 固原市, 宁夏回族自治区</v>
      </c>
      <c r="G189">
        <v>20300</v>
      </c>
      <c r="H189" t="s">
        <v>543</v>
      </c>
      <c r="I189" t="s">
        <v>539</v>
      </c>
      <c r="J189">
        <f>VLOOKUP(F189,[1]!china_towns_second__2[[Column1]:[Y]],3,FALSE)</f>
        <v>36.061520190371297</v>
      </c>
      <c r="K189">
        <f>VLOOKUP(F189,[1]!china_towns_second__2[[Column1]:[Y]],2,FALSE)</f>
        <v>106.5964068</v>
      </c>
      <c r="L189" t="s">
        <v>891</v>
      </c>
      <c r="M189" t="str">
        <f>VLOOKUP(H189,CHOOSE({1,2},Table6[Native],Table6[Name]),2,0)</f>
        <v>Péngyáng Xiàn</v>
      </c>
      <c r="N189" s="15" t="str">
        <f>VLOOKUP(I189,CHOOSE({1,2},Table6[Native],Table6[Name]),2,0)</f>
        <v>Gùyuán Shì</v>
      </c>
      <c r="O189" s="15" t="str">
        <f t="shared" si="4"/>
        <v>Wangwa Zhen (Gùyuán Shì)</v>
      </c>
      <c r="P189" s="15" t="str">
        <f t="shared" si="5"/>
        <v>Wangwa Zhen (Gùyuán Shì)</v>
      </c>
    </row>
    <row r="190" spans="1:16" x14ac:dyDescent="0.25">
      <c r="A190" t="s">
        <v>411</v>
      </c>
      <c r="B190" t="str">
        <f>IF(COUNTIF(A:A,A190)&gt;1,_xlfn.CONCAT(A190," (",N190,")"),A190)</f>
        <v>Wàngyuăn Zhèn</v>
      </c>
      <c r="C190" t="str">
        <f>IF(COUNTIF(B:B,B190)&gt;1,_xlfn.CONCAT(A190," (",M190,")"),B190)</f>
        <v>Wàngyuăn Zhèn</v>
      </c>
      <c r="D190" t="s">
        <v>412</v>
      </c>
      <c r="E190" t="s">
        <v>7</v>
      </c>
      <c r="F190" t="str">
        <f>_xlfn.CONCAT(D190,", ",H190,", ",I190,", ","宁夏回族自治区")</f>
        <v>望远镇, 永宁县, 银川市, 宁夏回族自治区</v>
      </c>
      <c r="G190">
        <v>42022</v>
      </c>
      <c r="H190" t="s">
        <v>568</v>
      </c>
      <c r="I190" t="s">
        <v>561</v>
      </c>
      <c r="J190">
        <f>VLOOKUP(F190,[1]!china_towns_second__2[[Column1]:[Y]],3,FALSE)</f>
        <v>38.362490549027598</v>
      </c>
      <c r="K190">
        <f>VLOOKUP(F190,[1]!china_towns_second__2[[Column1]:[Y]],2,FALSE)</f>
        <v>106.2962771</v>
      </c>
      <c r="L190" t="s">
        <v>892</v>
      </c>
      <c r="M190" t="str">
        <f>VLOOKUP(H190,CHOOSE({1,2},Table6[Native],Table6[Name]),2,0)</f>
        <v>Yŏngníng Xiàn</v>
      </c>
      <c r="N190" s="15" t="str">
        <f>VLOOKUP(I190,CHOOSE({1,2},Table6[Native],Table6[Name]),2,0)</f>
        <v>Yínchuān Shì</v>
      </c>
      <c r="O190" s="15" t="str">
        <f t="shared" si="4"/>
        <v>Wangyuan Zhen (Yínchuān Shì)</v>
      </c>
      <c r="P190" s="15" t="str">
        <f t="shared" si="5"/>
        <v>Wangyuan Zhen (Yínchuān Shì)</v>
      </c>
    </row>
    <row r="191" spans="1:16" x14ac:dyDescent="0.25">
      <c r="A191" t="s">
        <v>206</v>
      </c>
      <c r="B191" t="str">
        <f>IF(COUNTIF(A:A,A191)&gt;1,_xlfn.CONCAT(A191," (",N191,")"),A191)</f>
        <v>Wĕizhá Zhèn</v>
      </c>
      <c r="C191" t="str">
        <f>IF(COUNTIF(B:B,B191)&gt;1,_xlfn.CONCAT(A191," (",M191,")"),B191)</f>
        <v>Wĕizhá Zhèn</v>
      </c>
      <c r="D191" t="s">
        <v>207</v>
      </c>
      <c r="E191" t="s">
        <v>7</v>
      </c>
      <c r="F191" t="str">
        <f>_xlfn.CONCAT(D191,", ",H191,", ",I191,", ","宁夏回族自治区")</f>
        <v>尾闸镇, 惠农区, 石嘴山市, 宁夏回族自治区</v>
      </c>
      <c r="G191">
        <v>7887</v>
      </c>
      <c r="H191" t="s">
        <v>550</v>
      </c>
      <c r="I191" t="s">
        <v>548</v>
      </c>
      <c r="J191">
        <f>VLOOKUP(F191,[1]!china_towns_second__2[[Column1]:[Y]],3,FALSE)</f>
        <v>39.169629414596599</v>
      </c>
      <c r="K191">
        <f>VLOOKUP(F191,[1]!china_towns_second__2[[Column1]:[Y]],2,FALSE)</f>
        <v>106.7403053</v>
      </c>
      <c r="L191" t="s">
        <v>893</v>
      </c>
      <c r="M191" t="str">
        <f>VLOOKUP(H191,CHOOSE({1,2},Table6[Native],Table6[Name]),2,0)</f>
        <v>Huìnóng Qū</v>
      </c>
      <c r="N191" s="15" t="str">
        <f>VLOOKUP(I191,CHOOSE({1,2},Table6[Native],Table6[Name]),2,0)</f>
        <v>Shízuĭshān Shì</v>
      </c>
      <c r="O191" s="15" t="str">
        <f t="shared" si="4"/>
        <v>Weizha Zhen (Shízuĭshān Shì)</v>
      </c>
      <c r="P191" s="15" t="str">
        <f t="shared" si="5"/>
        <v>Weizha Zhen (Shízuĭshān Shì)</v>
      </c>
    </row>
    <row r="192" spans="1:16" x14ac:dyDescent="0.25">
      <c r="A192" t="s">
        <v>301</v>
      </c>
      <c r="B192" t="str">
        <f>IF(COUNTIF(A:A,A192)&gt;1,_xlfn.CONCAT(A192," (",N192,")"),A192)</f>
        <v>Wéizhōu Zhèn</v>
      </c>
      <c r="C192" t="str">
        <f>IF(COUNTIF(B:B,B192)&gt;1,_xlfn.CONCAT(A192," (",M192,")"),B192)</f>
        <v>Wéizhōu Zhèn</v>
      </c>
      <c r="D192" t="s">
        <v>302</v>
      </c>
      <c r="E192" t="s">
        <v>7</v>
      </c>
      <c r="F192" t="str">
        <f>_xlfn.CONCAT(D192,", ",H192,", ",I192,", ","宁夏回族自治区")</f>
        <v>韦州镇, 同心县, 吴忠市, 宁夏回族自治区</v>
      </c>
      <c r="G192">
        <v>22925</v>
      </c>
      <c r="H192" t="s">
        <v>558</v>
      </c>
      <c r="I192" t="s">
        <v>553</v>
      </c>
      <c r="J192">
        <f>VLOOKUP(F192,[1]!china_towns_second__2[[Column1]:[Y]],3,FALSE)</f>
        <v>37.266326697110699</v>
      </c>
      <c r="K192">
        <f>VLOOKUP(F192,[1]!china_towns_second__2[[Column1]:[Y]],2,FALSE)</f>
        <v>106.4864563</v>
      </c>
      <c r="L192" t="s">
        <v>894</v>
      </c>
      <c r="M192" t="str">
        <f>VLOOKUP(H192,CHOOSE({1,2},Table6[Native],Table6[Name]),2,0)</f>
        <v>Tóngxīn Xiàn</v>
      </c>
      <c r="N192" s="15" t="str">
        <f>VLOOKUP(I192,CHOOSE({1,2},Table6[Native],Table6[Name]),2,0)</f>
        <v>Wúzhōng Shì</v>
      </c>
      <c r="O192" s="15" t="str">
        <f t="shared" si="4"/>
        <v>Weizhou Zhen (Wúzhōng Shì)</v>
      </c>
      <c r="P192" s="15" t="str">
        <f t="shared" si="5"/>
        <v>Weizhou Zhen (Wúzhōng Shì)</v>
      </c>
    </row>
    <row r="193" spans="1:16" hidden="1" x14ac:dyDescent="0.25">
      <c r="A193" t="s">
        <v>103</v>
      </c>
      <c r="B193" t="str">
        <f>IF(COUNTIF(A:A,A193)&gt;1,_xlfn.CONCAT(A193," (",N193,")"),A193)</f>
        <v>Wēnbăo Xiāng</v>
      </c>
      <c r="C193" t="str">
        <f>IF(COUNTIF(B:B,B193)&gt;1,_xlfn.CONCAT(A193," (",M193,")"),B193)</f>
        <v>Wēnbăo Xiāng</v>
      </c>
      <c r="D193" t="s">
        <v>104</v>
      </c>
      <c r="E193" t="s">
        <v>11</v>
      </c>
      <c r="F193" t="str">
        <f>_xlfn.CONCAT(D193,", ",H193,", ",I193,", ","宁夏回族自治区")</f>
        <v>温堡乡, 隆德县, 固原市, 宁夏回族自治区</v>
      </c>
      <c r="G193">
        <v>18308</v>
      </c>
      <c r="H193" t="s">
        <v>542</v>
      </c>
      <c r="I193" t="s">
        <v>539</v>
      </c>
      <c r="J193" t="e">
        <f>VLOOKUP(F193,[1]!china_towns_second__2[[Column1]:[Y]],3,FALSE)</f>
        <v>#N/A</v>
      </c>
      <c r="K193" t="e">
        <f>VLOOKUP(F193,[1]!china_towns_second__2[[Column1]:[Y]],2,FALSE)</f>
        <v>#N/A</v>
      </c>
      <c r="L193" t="s">
        <v>895</v>
      </c>
      <c r="M193" t="str">
        <f>VLOOKUP(H193,CHOOSE({1,2},Table6[Native],Table6[Name]),2,0)</f>
        <v>Lóngdé Xiàn</v>
      </c>
      <c r="N193" s="15" t="str">
        <f>VLOOKUP(I193,CHOOSE({1,2},Table6[Native],Table6[Name]),2,0)</f>
        <v>Gùyuán Shì</v>
      </c>
      <c r="O193" s="15" t="str">
        <f t="shared" si="4"/>
        <v>Wenbao Xiang (Gùyuán Shì)</v>
      </c>
      <c r="P193" s="15" t="str">
        <f t="shared" si="5"/>
        <v>Wenbao Xiang (Gùyuán Shì)</v>
      </c>
    </row>
    <row r="194" spans="1:16" x14ac:dyDescent="0.25">
      <c r="A194" t="s">
        <v>505</v>
      </c>
      <c r="B194" t="str">
        <f>IF(COUNTIF(A:A,A194)&gt;1,_xlfn.CONCAT(A194," (",N194,")"),A194)</f>
        <v>Wénchāng Zhèn</v>
      </c>
      <c r="C194" t="str">
        <f>IF(COUNTIF(B:B,B194)&gt;1,_xlfn.CONCAT(A194," (",M194,")"),B194)</f>
        <v>Wénchāng Zhèn</v>
      </c>
      <c r="D194" t="s">
        <v>506</v>
      </c>
      <c r="E194" t="s">
        <v>7</v>
      </c>
      <c r="F194" t="str">
        <f>_xlfn.CONCAT(D194,", ",H194,", ",I194,", ","宁夏回族自治区")</f>
        <v>文昌镇, 沙坡头区, 中卫市, 宁夏回族自治区</v>
      </c>
      <c r="G194">
        <v>77336</v>
      </c>
      <c r="H194" t="s">
        <v>572</v>
      </c>
      <c r="I194" t="s">
        <v>570</v>
      </c>
      <c r="J194">
        <f>VLOOKUP(F194,[1]!china_towns_second__2[[Column1]:[Y]],3,FALSE)</f>
        <v>37.501478382983599</v>
      </c>
      <c r="K194">
        <f>VLOOKUP(F194,[1]!china_towns_second__2[[Column1]:[Y]],2,FALSE)</f>
        <v>105.2102632</v>
      </c>
      <c r="L194" t="s">
        <v>896</v>
      </c>
      <c r="M194" t="str">
        <f>VLOOKUP(H194,CHOOSE({1,2},Table6[Native],Table6[Name]),2,0)</f>
        <v>Shāpōtóu Qū</v>
      </c>
      <c r="N194" s="15" t="str">
        <f>VLOOKUP(I194,CHOOSE({1,2},Table6[Native],Table6[Name]),2,0)</f>
        <v>Zhōngwèi Shì</v>
      </c>
      <c r="O194" s="15" t="str">
        <f t="shared" ref="O194:O257" si="6">_xlfn.CONCAT(L194," (",N194,")")</f>
        <v>Wenchang Zhen (Zhōngwèi Shì)</v>
      </c>
      <c r="P194" s="15" t="str">
        <f t="shared" ref="P194:P257" si="7">IF(COUNTIF(O:O,O194)&gt;1,_xlfn.CONCAT(L194," (",M194,")"),O194)</f>
        <v>Wenchang Zhen (Zhōngwèi Shì)</v>
      </c>
    </row>
    <row r="195" spans="1:16" hidden="1" x14ac:dyDescent="0.25">
      <c r="A195" t="s">
        <v>413</v>
      </c>
      <c r="B195" t="str">
        <f>IF(COUNTIF(A:A,A195)&gt;1,_xlfn.CONCAT(A195," (",N195,")"),A195)</f>
        <v>Wénchānglù Jiēdào</v>
      </c>
      <c r="C195" t="str">
        <f>IF(COUNTIF(B:B,B195)&gt;1,_xlfn.CONCAT(A195," (",M195,")"),B195)</f>
        <v>Wénchānglù Jiēdào</v>
      </c>
      <c r="D195" t="s">
        <v>414</v>
      </c>
      <c r="E195" t="s">
        <v>52</v>
      </c>
      <c r="F195" t="str">
        <f>_xlfn.CONCAT(D195,", ",H195,", ",I195,", ","宁夏回族自治区")</f>
        <v>文昌路街道, 西夏区, 银川市, 宁夏回族自治区</v>
      </c>
      <c r="G195">
        <v>28872</v>
      </c>
      <c r="H195" t="s">
        <v>567</v>
      </c>
      <c r="I195" t="s">
        <v>561</v>
      </c>
      <c r="J195">
        <f>VLOOKUP(F195,[1]!china_towns_second__2[[Column1]:[Y]],3,FALSE)</f>
        <v>38.464877382410897</v>
      </c>
      <c r="K195">
        <f>VLOOKUP(F195,[1]!china_towns_second__2[[Column1]:[Y]],2,FALSE)</f>
        <v>106.1083151</v>
      </c>
      <c r="L195" t="s">
        <v>897</v>
      </c>
      <c r="M195" t="str">
        <f>VLOOKUP(H195,CHOOSE({1,2},Table6[Native],Table6[Name]),2,0)</f>
        <v>Xīxià Qū</v>
      </c>
      <c r="N195" s="15" t="str">
        <f>VLOOKUP(I195,CHOOSE({1,2},Table6[Native],Table6[Name]),2,0)</f>
        <v>Yínchuān Shì</v>
      </c>
      <c r="O195" s="15" t="str">
        <f t="shared" si="6"/>
        <v>Wenchanglu Jiedao (Yínchuān Shì)</v>
      </c>
      <c r="P195" s="15" t="str">
        <f t="shared" si="7"/>
        <v>Wenchanglu Jiedao (Yínchuān Shì)</v>
      </c>
    </row>
    <row r="196" spans="1:16" hidden="1" x14ac:dyDescent="0.25">
      <c r="A196" t="s">
        <v>415</v>
      </c>
      <c r="B196" t="str">
        <f>IF(COUNTIF(A:A,A196)&gt;1,_xlfn.CONCAT(A196," (",N196,")"),A196)</f>
        <v>Wénhuàjiē Jiēdào</v>
      </c>
      <c r="C196" t="str">
        <f>IF(COUNTIF(B:B,B196)&gt;1,_xlfn.CONCAT(A196," (",M196,")"),B196)</f>
        <v>Wénhuàjiē Jiēdào</v>
      </c>
      <c r="D196" t="s">
        <v>416</v>
      </c>
      <c r="E196" t="s">
        <v>52</v>
      </c>
      <c r="F196" t="str">
        <f>_xlfn.CONCAT(D196,", ",H196,", ",I196,", ","宁夏回族自治区")</f>
        <v>文化街街道, 兴庆区, 银川市, 宁夏回族自治区</v>
      </c>
      <c r="G196">
        <v>27829</v>
      </c>
      <c r="H196" t="s">
        <v>566</v>
      </c>
      <c r="I196" t="s">
        <v>561</v>
      </c>
      <c r="J196">
        <f>VLOOKUP(F196,[1]!china_towns_second__2[[Column1]:[Y]],3,FALSE)</f>
        <v>38.472429109344802</v>
      </c>
      <c r="K196">
        <f>VLOOKUP(F196,[1]!china_towns_second__2[[Column1]:[Y]],2,FALSE)</f>
        <v>106.27812179999999</v>
      </c>
      <c r="L196" t="s">
        <v>898</v>
      </c>
      <c r="M196" t="str">
        <f>VLOOKUP(H196,CHOOSE({1,2},Table6[Native],Table6[Name]),2,0)</f>
        <v>Xīngqìng Qū</v>
      </c>
      <c r="N196" s="15" t="str">
        <f>VLOOKUP(I196,CHOOSE({1,2},Table6[Native],Table6[Name]),2,0)</f>
        <v>Yínchuān Shì</v>
      </c>
      <c r="O196" s="15" t="str">
        <f t="shared" si="6"/>
        <v>Wenhuajie Jiedao (Yínchuān Shì)</v>
      </c>
      <c r="P196" s="15" t="str">
        <f t="shared" si="7"/>
        <v>Wenhuajie Jiedao (Yínchuān Shì)</v>
      </c>
    </row>
    <row r="197" spans="1:16" hidden="1" x14ac:dyDescent="0.25">
      <c r="A197" t="s">
        <v>417</v>
      </c>
      <c r="B197" t="str">
        <f>IF(COUNTIF(A:A,A197)&gt;1,_xlfn.CONCAT(A197," (",N197,")"),A197)</f>
        <v>Wútóngshù Xiāng</v>
      </c>
      <c r="C197" t="str">
        <f>IF(COUNTIF(B:B,B197)&gt;1,_xlfn.CONCAT(A197," (",M197,")"),B197)</f>
        <v>Wútóngshù Xiāng</v>
      </c>
      <c r="D197" t="s">
        <v>418</v>
      </c>
      <c r="E197" t="s">
        <v>11</v>
      </c>
      <c r="F197" t="str">
        <f>_xlfn.CONCAT(D197,", ",H197,", ",I197,", ","宁夏回族自治区")</f>
        <v>梧桐树乡, 灵武市, 银川市, 宁夏回族自治区</v>
      </c>
      <c r="G197">
        <v>20506</v>
      </c>
      <c r="H197" t="s">
        <v>565</v>
      </c>
      <c r="I197" t="s">
        <v>561</v>
      </c>
      <c r="J197" t="e">
        <f>VLOOKUP(F197,[1]!china_towns_second__2[[Column1]:[Y]],3,FALSE)</f>
        <v>#N/A</v>
      </c>
      <c r="K197" t="e">
        <f>VLOOKUP(F197,[1]!china_towns_second__2[[Column1]:[Y]],2,FALSE)</f>
        <v>#N/A</v>
      </c>
      <c r="L197" t="s">
        <v>899</v>
      </c>
      <c r="M197" t="str">
        <f>VLOOKUP(H197,CHOOSE({1,2},Table6[Native],Table6[Name]),2,0)</f>
        <v>Língwŭ Shì</v>
      </c>
      <c r="N197" s="15" t="str">
        <f>VLOOKUP(I197,CHOOSE({1,2},Table6[Native],Table6[Name]),2,0)</f>
        <v>Yínchuān Shì</v>
      </c>
      <c r="O197" s="15" t="str">
        <f t="shared" si="6"/>
        <v>Wutongshu Xiang (Yínchuān Shì)</v>
      </c>
      <c r="P197" s="15" t="str">
        <f t="shared" si="7"/>
        <v>Wutongshu Xiang (Yínchuān Shì)</v>
      </c>
    </row>
    <row r="198" spans="1:16" hidden="1" x14ac:dyDescent="0.25">
      <c r="A198" t="s">
        <v>421</v>
      </c>
      <c r="B198" t="str">
        <f>IF(COUNTIF(A:A,A198)&gt;1,_xlfn.CONCAT(A198," (",N198,")"),A198)</f>
        <v>Xī Huāyuán Lù Jiēdào</v>
      </c>
      <c r="C198" t="str">
        <f>IF(COUNTIF(B:B,B198)&gt;1,_xlfn.CONCAT(A198," (",M198,")"),B198)</f>
        <v>Xī Huāyuán Lù Jiēdào</v>
      </c>
      <c r="D198" t="s">
        <v>422</v>
      </c>
      <c r="E198" t="s">
        <v>52</v>
      </c>
      <c r="F198" t="str">
        <f>_xlfn.CONCAT(D198,", ",H198,", ",I198,", ","宁夏回族自治区")</f>
        <v>西花园路街道, 西夏区, 银川市, 宁夏回族自治区</v>
      </c>
      <c r="G198">
        <v>54370</v>
      </c>
      <c r="H198" t="s">
        <v>567</v>
      </c>
      <c r="I198" t="s">
        <v>561</v>
      </c>
      <c r="J198" t="e">
        <f>VLOOKUP(F198,[1]!china_towns_second__2[[Column1]:[Y]],3,FALSE)</f>
        <v>#N/A</v>
      </c>
      <c r="K198" t="e">
        <f>VLOOKUP(F198,[1]!china_towns_second__2[[Column1]:[Y]],2,FALSE)</f>
        <v>#N/A</v>
      </c>
      <c r="L198" t="s">
        <v>900</v>
      </c>
      <c r="M198" t="str">
        <f>VLOOKUP(H198,CHOOSE({1,2},Table6[Native],Table6[Name]),2,0)</f>
        <v>Xīxià Qū</v>
      </c>
      <c r="N198" s="15" t="str">
        <f>VLOOKUP(I198,CHOOSE({1,2},Table6[Native],Table6[Name]),2,0)</f>
        <v>Yínchuān Shì</v>
      </c>
      <c r="O198" s="15" t="str">
        <f t="shared" si="6"/>
        <v>Xi Huayuan Lu Jiedao (Yínchuān Shì)</v>
      </c>
      <c r="P198" s="15" t="str">
        <f t="shared" si="7"/>
        <v>Xi Huayuan Lu Jiedao (Yínchuān Shì)</v>
      </c>
    </row>
    <row r="199" spans="1:16" x14ac:dyDescent="0.25">
      <c r="A199" t="s">
        <v>303</v>
      </c>
      <c r="B199" t="str">
        <f>IF(COUNTIF(A:A,A199)&gt;1,_xlfn.CONCAT(A199," (",N199,")"),A199)</f>
        <v>Xiákŏu Zhèn</v>
      </c>
      <c r="C199" t="str">
        <f>IF(COUNTIF(B:B,B199)&gt;1,_xlfn.CONCAT(A199," (",M199,")"),B199)</f>
        <v>Xiákŏu Zhèn</v>
      </c>
      <c r="D199" t="s">
        <v>304</v>
      </c>
      <c r="E199" t="s">
        <v>7</v>
      </c>
      <c r="F199" t="str">
        <f>_xlfn.CONCAT(D199,", ",H199,", ",I199,", ","宁夏回族自治区")</f>
        <v>峡口镇, 青铜峡市, 吴忠市, 宁夏回族自治区</v>
      </c>
      <c r="G199">
        <v>27866</v>
      </c>
      <c r="H199" t="s">
        <v>557</v>
      </c>
      <c r="I199" t="s">
        <v>553</v>
      </c>
      <c r="J199">
        <f>VLOOKUP(F199,[1]!china_towns_second__2[[Column1]:[Y]],3,FALSE)</f>
        <v>37.758821536500299</v>
      </c>
      <c r="K199">
        <f>VLOOKUP(F199,[1]!china_towns_second__2[[Column1]:[Y]],2,FALSE)</f>
        <v>106.0469111</v>
      </c>
      <c r="L199" t="s">
        <v>901</v>
      </c>
      <c r="M199" t="str">
        <f>VLOOKUP(H199,CHOOSE({1,2},Table6[Native],Table6[Name]),2,0)</f>
        <v>Qīngtóngxiá Shì</v>
      </c>
      <c r="N199" s="15" t="str">
        <f>VLOOKUP(I199,CHOOSE({1,2},Table6[Native],Table6[Name]),2,0)</f>
        <v>Wúzhōng Shì</v>
      </c>
      <c r="O199" s="15" t="str">
        <f t="shared" si="6"/>
        <v>Xiakou Zhen (Wúzhōng Shì)</v>
      </c>
      <c r="P199" s="15" t="str">
        <f t="shared" si="7"/>
        <v>Xiakou Zhen (Wúzhōng Shì)</v>
      </c>
    </row>
    <row r="200" spans="1:16" x14ac:dyDescent="0.25">
      <c r="A200" t="s">
        <v>305</v>
      </c>
      <c r="B200" t="str">
        <f>IF(COUNTIF(A:A,A200)&gt;1,_xlfn.CONCAT(A200," (",N200,")"),A200)</f>
        <v>Xiàmăguān Zhèn</v>
      </c>
      <c r="C200" t="str">
        <f>IF(COUNTIF(B:B,B200)&gt;1,_xlfn.CONCAT(A200," (",M200,")"),B200)</f>
        <v>Xiàmăguān Zhèn</v>
      </c>
      <c r="D200" t="s">
        <v>306</v>
      </c>
      <c r="E200" t="s">
        <v>7</v>
      </c>
      <c r="F200" t="str">
        <f>_xlfn.CONCAT(D200,", ",H200,", ",I200,", ","宁夏回族自治区")</f>
        <v>下马关镇, 同心县, 吴忠市, 宁夏回族自治区</v>
      </c>
      <c r="G200">
        <v>21150</v>
      </c>
      <c r="H200" t="s">
        <v>558</v>
      </c>
      <c r="I200" t="s">
        <v>553</v>
      </c>
      <c r="J200">
        <f>VLOOKUP(F200,[1]!china_towns_second__2[[Column1]:[Y]],3,FALSE)</f>
        <v>37.097326573600498</v>
      </c>
      <c r="K200">
        <f>VLOOKUP(F200,[1]!china_towns_second__2[[Column1]:[Y]],2,FALSE)</f>
        <v>106.4739251</v>
      </c>
      <c r="L200" t="s">
        <v>902</v>
      </c>
      <c r="M200" t="str">
        <f>VLOOKUP(H200,CHOOSE({1,2},Table6[Native],Table6[Name]),2,0)</f>
        <v>Tóngxīn Xiàn</v>
      </c>
      <c r="N200" s="15" t="str">
        <f>VLOOKUP(I200,CHOOSE({1,2},Table6[Native],Table6[Name]),2,0)</f>
        <v>Wúzhōng Shì</v>
      </c>
      <c r="O200" s="15" t="str">
        <f t="shared" si="6"/>
        <v>Xiamaguan Zhen (Wúzhōng Shì)</v>
      </c>
      <c r="P200" s="15" t="str">
        <f t="shared" si="7"/>
        <v>Xiamaguan Zhen (Wúzhōng Shì)</v>
      </c>
    </row>
    <row r="201" spans="1:16" x14ac:dyDescent="0.25">
      <c r="A201" t="s">
        <v>509</v>
      </c>
      <c r="B201" t="str">
        <f>IF(COUNTIF(A:A,A201)&gt;1,_xlfn.CONCAT(A201," (",N201,")"),A201)</f>
        <v>Xī'ān Zhèn</v>
      </c>
      <c r="C201" t="str">
        <f>IF(COUNTIF(B:B,B201)&gt;1,_xlfn.CONCAT(A201," (",M201,")"),B201)</f>
        <v>Xī'ān Zhèn</v>
      </c>
      <c r="D201" t="s">
        <v>510</v>
      </c>
      <c r="E201" t="s">
        <v>7</v>
      </c>
      <c r="F201" t="str">
        <f>_xlfn.CONCAT(D201,", ",H201,", ",I201,", ","宁夏回族自治区")</f>
        <v>西安镇, 海原县, 中卫市, 宁夏回族自治区</v>
      </c>
      <c r="G201">
        <v>22096</v>
      </c>
      <c r="H201" t="s">
        <v>571</v>
      </c>
      <c r="I201" t="s">
        <v>570</v>
      </c>
      <c r="J201">
        <f>VLOOKUP(F201,[1]!china_towns_second__2[[Column1]:[Y]],3,FALSE)</f>
        <v>36.620818637585103</v>
      </c>
      <c r="K201">
        <f>VLOOKUP(F201,[1]!china_towns_second__2[[Column1]:[Y]],2,FALSE)</f>
        <v>105.45458240000001</v>
      </c>
      <c r="L201" t="s">
        <v>903</v>
      </c>
      <c r="M201" t="str">
        <f>VLOOKUP(H201,CHOOSE({1,2},Table6[Native],Table6[Name]),2,0)</f>
        <v>Hăiyuán Xiàn</v>
      </c>
      <c r="N201" s="15" t="str">
        <f>VLOOKUP(I201,CHOOSE({1,2},Table6[Native],Table6[Name]),2,0)</f>
        <v>Zhōngwèi Shì</v>
      </c>
      <c r="O201" s="15" t="str">
        <f t="shared" si="6"/>
        <v>Xi'an Zhen (Zhōngwèi Shì)</v>
      </c>
      <c r="P201" s="15" t="str">
        <f t="shared" si="7"/>
        <v>Xi'an Zhen (Zhōngwèi Shì)</v>
      </c>
    </row>
    <row r="202" spans="1:16" hidden="1" x14ac:dyDescent="0.25">
      <c r="A202" t="s">
        <v>507</v>
      </c>
      <c r="B202" t="str">
        <f>IF(COUNTIF(A:A,A202)&gt;1,_xlfn.CONCAT(A202," (",N202,")"),A202)</f>
        <v>Xiāngshān Xiāng</v>
      </c>
      <c r="C202" t="str">
        <f>IF(COUNTIF(B:B,B202)&gt;1,_xlfn.CONCAT(A202," (",M202,")"),B202)</f>
        <v>Xiāngshān Xiāng</v>
      </c>
      <c r="D202" t="s">
        <v>508</v>
      </c>
      <c r="E202" t="s">
        <v>11</v>
      </c>
      <c r="F202" t="str">
        <f>_xlfn.CONCAT(D202,", ",H202,", ",I202,", ","宁夏回族自治区")</f>
        <v>香山乡, 沙坡头区, 中卫市, 宁夏回族自治区</v>
      </c>
      <c r="G202">
        <v>8173</v>
      </c>
      <c r="H202" t="s">
        <v>572</v>
      </c>
      <c r="I202" t="s">
        <v>570</v>
      </c>
      <c r="J202" t="e">
        <f>VLOOKUP(F202,[1]!china_towns_second__2[[Column1]:[Y]],3,FALSE)</f>
        <v>#N/A</v>
      </c>
      <c r="K202" t="e">
        <f>VLOOKUP(F202,[1]!china_towns_second__2[[Column1]:[Y]],2,FALSE)</f>
        <v>#N/A</v>
      </c>
      <c r="L202" t="s">
        <v>904</v>
      </c>
      <c r="M202" t="str">
        <f>VLOOKUP(H202,CHOOSE({1,2},Table6[Native],Table6[Name]),2,0)</f>
        <v>Shāpōtóu Qū</v>
      </c>
      <c r="N202" s="15" t="str">
        <f>VLOOKUP(I202,CHOOSE({1,2},Table6[Native],Table6[Name]),2,0)</f>
        <v>Zhōngwèi Shì</v>
      </c>
      <c r="O202" s="15" t="str">
        <f t="shared" si="6"/>
        <v>Xiangshan Xiang (Zhōngwèi Shì)</v>
      </c>
      <c r="P202" s="15" t="str">
        <f t="shared" si="7"/>
        <v>Xiangshan Xiang (Zhōngwèi Shì)</v>
      </c>
    </row>
    <row r="203" spans="1:16" x14ac:dyDescent="0.25">
      <c r="A203" t="s">
        <v>105</v>
      </c>
      <c r="B203" t="str">
        <f>IF(COUNTIF(A:A,A203)&gt;1,_xlfn.CONCAT(A203," (",N203,")"),A203)</f>
        <v>Xiāngshuĭ Zhèn</v>
      </c>
      <c r="C203" t="str">
        <f>IF(COUNTIF(B:B,B203)&gt;1,_xlfn.CONCAT(A203," (",M203,")"),B203)</f>
        <v>Xiāngshuĭ Zhèn</v>
      </c>
      <c r="D203" t="s">
        <v>106</v>
      </c>
      <c r="E203" t="s">
        <v>7</v>
      </c>
      <c r="F203" t="str">
        <f>_xlfn.CONCAT(D203,", ",H203,", ",I203,", ","宁夏回族自治区")</f>
        <v>香水镇, 泾源县, 固原市, 宁夏回族自治区</v>
      </c>
      <c r="G203">
        <v>29798</v>
      </c>
      <c r="H203" t="s">
        <v>541</v>
      </c>
      <c r="I203" t="s">
        <v>539</v>
      </c>
      <c r="J203">
        <f>VLOOKUP(F203,[1]!china_towns_second__2[[Column1]:[Y]],3,FALSE)</f>
        <v>35.508686012029997</v>
      </c>
      <c r="K203">
        <f>VLOOKUP(F203,[1]!china_towns_second__2[[Column1]:[Y]],2,FALSE)</f>
        <v>106.32112189999999</v>
      </c>
      <c r="L203" t="s">
        <v>905</v>
      </c>
      <c r="M203" t="str">
        <f>VLOOKUP(H203,CHOOSE({1,2},Table6[Native],Table6[Name]),2,0)</f>
        <v>Jīngyuán Xiàn</v>
      </c>
      <c r="N203" s="15" t="str">
        <f>VLOOKUP(I203,CHOOSE({1,2},Table6[Native],Table6[Name]),2,0)</f>
        <v>Gùyuán Shì</v>
      </c>
      <c r="O203" s="15" t="str">
        <f t="shared" si="6"/>
        <v>Xiangshui Zhen (Gùyuán Shì)</v>
      </c>
      <c r="P203" s="15" t="str">
        <f t="shared" si="7"/>
        <v>Xiangshui Zhen (Gùyuán Shì)</v>
      </c>
    </row>
    <row r="204" spans="1:16" x14ac:dyDescent="0.25">
      <c r="A204" t="s">
        <v>307</v>
      </c>
      <c r="B204" t="str">
        <f>IF(COUNTIF(A:A,A204)&gt;1,_xlfn.CONCAT(A204," (",N204,")"),A204)</f>
        <v>Xiăobà Zhèn</v>
      </c>
      <c r="C204" t="str">
        <f>IF(COUNTIF(B:B,B204)&gt;1,_xlfn.CONCAT(A204," (",M204,")"),B204)</f>
        <v>Xiăobà Zhèn</v>
      </c>
      <c r="D204" t="s">
        <v>308</v>
      </c>
      <c r="E204" t="s">
        <v>7</v>
      </c>
      <c r="F204" t="str">
        <f>_xlfn.CONCAT(D204,", ",H204,", ",I204,", ","宁夏回族自治区")</f>
        <v>小坝镇, 青铜峡市, 吴忠市, 宁夏回族自治区</v>
      </c>
      <c r="G204">
        <v>23436</v>
      </c>
      <c r="H204" t="s">
        <v>557</v>
      </c>
      <c r="I204" t="s">
        <v>553</v>
      </c>
      <c r="J204">
        <f>VLOOKUP(F204,[1]!china_towns_second__2[[Column1]:[Y]],3,FALSE)</f>
        <v>38.049405566716601</v>
      </c>
      <c r="K204">
        <f>VLOOKUP(F204,[1]!china_towns_second__2[[Column1]:[Y]],2,FALSE)</f>
        <v>106.09096839999999</v>
      </c>
      <c r="L204" t="s">
        <v>906</v>
      </c>
      <c r="M204" t="str">
        <f>VLOOKUP(H204,CHOOSE({1,2},Table6[Native],Table6[Name]),2,0)</f>
        <v>Qīngtóngxiá Shì</v>
      </c>
      <c r="N204" s="15" t="str">
        <f>VLOOKUP(I204,CHOOSE({1,2},Table6[Native],Table6[Name]),2,0)</f>
        <v>Wúzhōng Shì</v>
      </c>
      <c r="O204" s="15" t="str">
        <f t="shared" si="6"/>
        <v>Xiaoba Zhen (Wúzhōng Shì)</v>
      </c>
      <c r="P204" s="15" t="str">
        <f t="shared" si="7"/>
        <v>Xiaoba Zhen (Wúzhōng Shì)</v>
      </c>
    </row>
    <row r="205" spans="1:16" hidden="1" x14ac:dyDescent="0.25">
      <c r="A205" t="s">
        <v>107</v>
      </c>
      <c r="B205" t="str">
        <f>IF(COUNTIF(A:A,A205)&gt;1,_xlfn.CONCAT(A205," (",N205,")"),A205)</f>
        <v>Xiăochà Xiāng</v>
      </c>
      <c r="C205" t="str">
        <f>IF(COUNTIF(B:B,B205)&gt;1,_xlfn.CONCAT(A205," (",M205,")"),B205)</f>
        <v>Xiăochà Xiāng</v>
      </c>
      <c r="D205" t="s">
        <v>108</v>
      </c>
      <c r="E205" t="s">
        <v>11</v>
      </c>
      <c r="F205" t="str">
        <f>_xlfn.CONCAT(D205,", ",H205,", ",I205,", ","宁夏回族自治区")</f>
        <v>小岔乡, 彭阳县, 固原市, 宁夏回族自治区</v>
      </c>
      <c r="G205">
        <v>4317</v>
      </c>
      <c r="H205" t="s">
        <v>543</v>
      </c>
      <c r="I205" t="s">
        <v>539</v>
      </c>
      <c r="J205" t="e">
        <f>VLOOKUP(F205,[1]!china_towns_second__2[[Column1]:[Y]],3,FALSE)</f>
        <v>#N/A</v>
      </c>
      <c r="K205" t="e">
        <f>VLOOKUP(F205,[1]!china_towns_second__2[[Column1]:[Y]],2,FALSE)</f>
        <v>#N/A</v>
      </c>
      <c r="L205" t="s">
        <v>907</v>
      </c>
      <c r="M205" t="str">
        <f>VLOOKUP(H205,CHOOSE({1,2},Table6[Native],Table6[Name]),2,0)</f>
        <v>Péngyáng Xiàn</v>
      </c>
      <c r="N205" s="15" t="str">
        <f>VLOOKUP(I205,CHOOSE({1,2},Table6[Native],Table6[Name]),2,0)</f>
        <v>Gùyuán Shì</v>
      </c>
      <c r="O205" s="15" t="str">
        <f t="shared" si="6"/>
        <v>Xiaocha Xiang (Gùyuán Shì)</v>
      </c>
      <c r="P205" s="15" t="str">
        <f t="shared" si="7"/>
        <v>Xiaocha Xiang (Gùyuán Shì)</v>
      </c>
    </row>
    <row r="206" spans="1:16" hidden="1" x14ac:dyDescent="0.25">
      <c r="A206" t="s">
        <v>109</v>
      </c>
      <c r="B206" t="str">
        <f>IF(COUNTIF(A:A,A206)&gt;1,_xlfn.CONCAT(A206," (",N206,")"),A206)</f>
        <v>Xiāohé Xiāng</v>
      </c>
      <c r="C206" t="str">
        <f>IF(COUNTIF(B:B,B206)&gt;1,_xlfn.CONCAT(A206," (",M206,")"),B206)</f>
        <v>Xiāohé Xiāng</v>
      </c>
      <c r="D206" t="s">
        <v>110</v>
      </c>
      <c r="E206" t="s">
        <v>11</v>
      </c>
      <c r="F206" t="str">
        <f>_xlfn.CONCAT(D206,", ",H206,", ",I206,", ","宁夏回族自治区")</f>
        <v>硝河乡, 西吉县, 固原市, 宁夏回族自治区</v>
      </c>
      <c r="G206">
        <v>12932</v>
      </c>
      <c r="H206" t="s">
        <v>544</v>
      </c>
      <c r="I206" t="s">
        <v>539</v>
      </c>
      <c r="J206" t="e">
        <f>VLOOKUP(F206,[1]!china_towns_second__2[[Column1]:[Y]],3,FALSE)</f>
        <v>#N/A</v>
      </c>
      <c r="K206" t="e">
        <f>VLOOKUP(F206,[1]!china_towns_second__2[[Column1]:[Y]],2,FALSE)</f>
        <v>#N/A</v>
      </c>
      <c r="L206" t="s">
        <v>908</v>
      </c>
      <c r="M206" t="str">
        <f>VLOOKUP(H206,CHOOSE({1,2},Table6[Native],Table6[Name]),2,0)</f>
        <v>Xījí Xiàn</v>
      </c>
      <c r="N206" s="15" t="str">
        <f>VLOOKUP(I206,CHOOSE({1,2},Table6[Native],Table6[Name]),2,0)</f>
        <v>Gùyuán Shì</v>
      </c>
      <c r="O206" s="15" t="str">
        <f t="shared" si="6"/>
        <v>Xiaohe Xiang (Gùyuán Shì)</v>
      </c>
      <c r="P206" s="15" t="str">
        <f t="shared" si="7"/>
        <v>Xiaohe Xiang (Gùyuán Shì)</v>
      </c>
    </row>
    <row r="207" spans="1:16" x14ac:dyDescent="0.25">
      <c r="A207" t="s">
        <v>419</v>
      </c>
      <c r="B207" t="str">
        <f>IF(COUNTIF(A:A,A207)&gt;1,_xlfn.CONCAT(A207," (",N207,")"),A207)</f>
        <v>Xígăng Zhèn</v>
      </c>
      <c r="C207" t="str">
        <f>IF(COUNTIF(B:B,B207)&gt;1,_xlfn.CONCAT(A207," (",M207,")"),B207)</f>
        <v>Xígăng Zhèn</v>
      </c>
      <c r="D207" t="s">
        <v>420</v>
      </c>
      <c r="E207" t="s">
        <v>7</v>
      </c>
      <c r="F207" t="str">
        <f>_xlfn.CONCAT(D207,", ",H207,", ",I207,", ","宁夏回族自治区")</f>
        <v>习岗镇, 贺兰县, 银川市, 宁夏回族自治区</v>
      </c>
      <c r="G207">
        <v>112061</v>
      </c>
      <c r="H207" t="s">
        <v>562</v>
      </c>
      <c r="I207" t="s">
        <v>561</v>
      </c>
      <c r="J207">
        <f>VLOOKUP(F207,[1]!china_towns_second__2[[Column1]:[Y]],3,FALSE)</f>
        <v>38.560387385928401</v>
      </c>
      <c r="K207">
        <f>VLOOKUP(F207,[1]!china_towns_second__2[[Column1]:[Y]],2,FALSE)</f>
        <v>106.3286775</v>
      </c>
      <c r="L207" t="s">
        <v>909</v>
      </c>
      <c r="M207" t="str">
        <f>VLOOKUP(H207,CHOOSE({1,2},Table6[Native],Table6[Name]),2,0)</f>
        <v>Hèlán Xiàn</v>
      </c>
      <c r="N207" s="15" t="str">
        <f>VLOOKUP(I207,CHOOSE({1,2},Table6[Native],Table6[Name]),2,0)</f>
        <v>Yínchuān Shì</v>
      </c>
      <c r="O207" s="15" t="str">
        <f t="shared" si="6"/>
        <v>Xigang Zhen (Yínchuān Shì)</v>
      </c>
      <c r="P207" s="15" t="str">
        <f t="shared" si="7"/>
        <v>Xigang Zhen (Yínchuān Shì)</v>
      </c>
    </row>
    <row r="208" spans="1:16" x14ac:dyDescent="0.25">
      <c r="A208" t="s">
        <v>511</v>
      </c>
      <c r="B208" t="str">
        <f>IF(COUNTIF(A:A,A208)&gt;1,_xlfn.CONCAT(A208," (",N208,")"),A208)</f>
        <v>Xīnbăo Zhèn</v>
      </c>
      <c r="C208" t="str">
        <f>IF(COUNTIF(B:B,B208)&gt;1,_xlfn.CONCAT(A208," (",M208,")"),B208)</f>
        <v>Xīnbăo Zhèn</v>
      </c>
      <c r="D208" t="s">
        <v>512</v>
      </c>
      <c r="E208" t="s">
        <v>7</v>
      </c>
      <c r="F208" t="str">
        <f>_xlfn.CONCAT(D208,", ",H208,", ",I208,", ","宁夏回族自治区")</f>
        <v>新堡镇, 中宁县, 中卫市, 宁夏回族自治区</v>
      </c>
      <c r="G208">
        <v>22356</v>
      </c>
      <c r="H208" t="s">
        <v>573</v>
      </c>
      <c r="I208" t="s">
        <v>570</v>
      </c>
      <c r="J208">
        <f>VLOOKUP(F208,[1]!china_towns_second__2[[Column1]:[Y]],3,FALSE)</f>
        <v>37.4048154797132</v>
      </c>
      <c r="K208">
        <f>VLOOKUP(F208,[1]!china_towns_second__2[[Column1]:[Y]],2,FALSE)</f>
        <v>105.746039</v>
      </c>
      <c r="L208" t="s">
        <v>910</v>
      </c>
      <c r="M208" t="str">
        <f>VLOOKUP(H208,CHOOSE({1,2},Table6[Native],Table6[Name]),2,0)</f>
        <v>Zhōngníng Xiàn</v>
      </c>
      <c r="N208" s="15" t="str">
        <f>VLOOKUP(I208,CHOOSE({1,2},Table6[Native],Table6[Name]),2,0)</f>
        <v>Zhōngwèi Shì</v>
      </c>
      <c r="O208" s="15" t="str">
        <f t="shared" si="6"/>
        <v>Xinbao Zhen (Zhōngwèi Shì)</v>
      </c>
      <c r="P208" s="15" t="str">
        <f t="shared" si="7"/>
        <v>Xinbao Zhen (Zhōngwèi Shì)</v>
      </c>
    </row>
    <row r="209" spans="1:16" x14ac:dyDescent="0.25">
      <c r="A209" t="s">
        <v>208</v>
      </c>
      <c r="B209" t="str">
        <f>IF(COUNTIF(A:A,A209)&gt;1,_xlfn.CONCAT(A209," (",N209,")"),A209)</f>
        <v>Xīnghăi Zhèn [Lónghú Jīngjì Kāifāqū]</v>
      </c>
      <c r="C209" t="str">
        <f>IF(COUNTIF(B:B,B209)&gt;1,_xlfn.CONCAT(A209," (",M209,")"),B209)</f>
        <v>Xīnghăi Zhèn [Lónghú Jīngjì Kāifāqū]</v>
      </c>
      <c r="D209" t="s">
        <v>209</v>
      </c>
      <c r="E209" t="s">
        <v>7</v>
      </c>
      <c r="F209" t="str">
        <f>_xlfn.CONCAT(D209,", ",H209,", ",I209,", ","宁夏回族自治区")</f>
        <v>星海镇, 大武口区, 石嘴山市, 宁夏回族自治区</v>
      </c>
      <c r="G209">
        <v>42755</v>
      </c>
      <c r="H209" t="s">
        <v>549</v>
      </c>
      <c r="I209" t="s">
        <v>548</v>
      </c>
      <c r="J209">
        <f>VLOOKUP(F209,[1]!china_towns_second__2[[Column1]:[Y]],3,FALSE)</f>
        <v>38.925888766214499</v>
      </c>
      <c r="K209">
        <f>VLOOKUP(F209,[1]!china_towns_second__2[[Column1]:[Y]],2,FALSE)</f>
        <v>106.3747302</v>
      </c>
      <c r="L209" t="s">
        <v>911</v>
      </c>
      <c r="M209" t="str">
        <f>VLOOKUP(H209,CHOOSE({1,2},Table6[Native],Table6[Name]),2,0)</f>
        <v>Dàwŭkŏu Qū</v>
      </c>
      <c r="N209" s="15" t="str">
        <f>VLOOKUP(I209,CHOOSE({1,2},Table6[Native],Table6[Name]),2,0)</f>
        <v>Shízuĭshān Shì</v>
      </c>
      <c r="O209" s="15" t="str">
        <f t="shared" si="6"/>
        <v>Xinghai Zhen [Longhu Jingji Kaifaqu] (Shízuĭshān Shì)</v>
      </c>
      <c r="P209" s="15" t="str">
        <f t="shared" si="7"/>
        <v>Xinghai Zhen [Longhu Jingji Kaifaqu] (Shízuĭshān Shì)</v>
      </c>
    </row>
    <row r="210" spans="1:16" x14ac:dyDescent="0.25">
      <c r="A210" t="s">
        <v>423</v>
      </c>
      <c r="B210" t="str">
        <f>IF(COUNTIF(A:A,A210)&gt;1,_xlfn.CONCAT(A210," (",N210,")"),A210)</f>
        <v>Xīngjīng Zhèn</v>
      </c>
      <c r="C210" t="str">
        <f>IF(COUNTIF(B:B,B210)&gt;1,_xlfn.CONCAT(A210," (",M210,")"),B210)</f>
        <v>Xīngjīng Zhèn</v>
      </c>
      <c r="D210" t="s">
        <v>424</v>
      </c>
      <c r="E210" t="s">
        <v>7</v>
      </c>
      <c r="F210" t="str">
        <f>_xlfn.CONCAT(D210,", ",H210,", ",I210,", ","宁夏回族自治区")</f>
        <v>兴泾镇, 西夏区, 银川市, 宁夏回族自治区</v>
      </c>
      <c r="G210">
        <v>21034</v>
      </c>
      <c r="H210" t="s">
        <v>567</v>
      </c>
      <c r="I210" t="s">
        <v>561</v>
      </c>
      <c r="J210">
        <f>VLOOKUP(F210,[1]!china_towns_second__2[[Column1]:[Y]],3,FALSE)</f>
        <v>38.380438798343597</v>
      </c>
      <c r="K210">
        <f>VLOOKUP(F210,[1]!china_towns_second__2[[Column1]:[Y]],2,FALSE)</f>
        <v>106.0837609</v>
      </c>
      <c r="L210" t="s">
        <v>912</v>
      </c>
      <c r="M210" t="str">
        <f>VLOOKUP(H210,CHOOSE({1,2},Table6[Native],Table6[Name]),2,0)</f>
        <v>Xīxià Qū</v>
      </c>
      <c r="N210" s="15" t="str">
        <f>VLOOKUP(I210,CHOOSE({1,2},Table6[Native],Table6[Name]),2,0)</f>
        <v>Yínchuān Shì</v>
      </c>
      <c r="O210" s="15" t="str">
        <f t="shared" si="6"/>
        <v>Xingjing Zhen (Yínchuān Shì)</v>
      </c>
      <c r="P210" s="15" t="str">
        <f t="shared" si="7"/>
        <v>Xingjing Zhen (Yínchuān Shì)</v>
      </c>
    </row>
    <row r="211" spans="1:16" hidden="1" x14ac:dyDescent="0.25">
      <c r="A211" t="s">
        <v>309</v>
      </c>
      <c r="B211" t="str">
        <f>IF(COUNTIF(A:A,A211)&gt;1,_xlfn.CONCAT(A211," (",N211,")"),A211)</f>
        <v>Xīnglóng Xiāng</v>
      </c>
      <c r="C211" t="str">
        <f>IF(COUNTIF(B:B,B211)&gt;1,_xlfn.CONCAT(A211," (",M211,")"),B211)</f>
        <v>Xīnglóng Xiāng</v>
      </c>
      <c r="D211" t="s">
        <v>310</v>
      </c>
      <c r="E211" t="s">
        <v>11</v>
      </c>
      <c r="F211" t="str">
        <f>_xlfn.CONCAT(D211,", ",H211,", ",I211,", ","宁夏回族自治区")</f>
        <v>兴隆乡, 同心县, 吴忠市, 宁夏回族自治区</v>
      </c>
      <c r="G211">
        <v>9844</v>
      </c>
      <c r="H211" t="s">
        <v>558</v>
      </c>
      <c r="I211" t="s">
        <v>553</v>
      </c>
      <c r="J211" t="e">
        <f>VLOOKUP(F211,[1]!china_towns_second__2[[Column1]:[Y]],3,FALSE)</f>
        <v>#N/A</v>
      </c>
      <c r="K211" t="e">
        <f>VLOOKUP(F211,[1]!china_towns_second__2[[Column1]:[Y]],2,FALSE)</f>
        <v>#N/A</v>
      </c>
      <c r="L211" t="s">
        <v>913</v>
      </c>
      <c r="M211" t="str">
        <f>VLOOKUP(H211,CHOOSE({1,2},Table6[Native],Table6[Name]),2,0)</f>
        <v>Tóngxīn Xiàn</v>
      </c>
      <c r="N211" s="15" t="str">
        <f>VLOOKUP(I211,CHOOSE({1,2},Table6[Native],Table6[Name]),2,0)</f>
        <v>Wúzhōng Shì</v>
      </c>
      <c r="O211" s="15" t="str">
        <f t="shared" si="6"/>
        <v>Xinglong Xiang (Wúzhōng Shì)</v>
      </c>
      <c r="P211" s="15" t="str">
        <f t="shared" si="7"/>
        <v>Xinglong Xiang (Wúzhōng Shì)</v>
      </c>
    </row>
    <row r="212" spans="1:16" x14ac:dyDescent="0.25">
      <c r="A212" t="s">
        <v>111</v>
      </c>
      <c r="B212" t="str">
        <f>IF(COUNTIF(A:A,A212)&gt;1,_xlfn.CONCAT(A212," (",N212,")"),A212)</f>
        <v>Xīnglóng Zhèn</v>
      </c>
      <c r="C212" t="str">
        <f>IF(COUNTIF(B:B,B212)&gt;1,_xlfn.CONCAT(A212," (",M212,")"),B212)</f>
        <v>Xīnglóng Zhèn</v>
      </c>
      <c r="D212" t="s">
        <v>112</v>
      </c>
      <c r="E212" t="s">
        <v>7</v>
      </c>
      <c r="F212" t="str">
        <f>_xlfn.CONCAT(D212,", ",H212,", ",I212,", ","宁夏回族自治区")</f>
        <v>兴隆镇, 西吉县, 固原市, 宁夏回族自治区</v>
      </c>
      <c r="G212">
        <v>35705</v>
      </c>
      <c r="H212" t="s">
        <v>544</v>
      </c>
      <c r="I212" t="s">
        <v>539</v>
      </c>
      <c r="J212">
        <f>VLOOKUP(F212,[1]!china_towns_second__2[[Column1]:[Y]],3,FALSE)</f>
        <v>35.6683130998791</v>
      </c>
      <c r="K212">
        <f>VLOOKUP(F212,[1]!china_towns_second__2[[Column1]:[Y]],2,FALSE)</f>
        <v>105.80932610000001</v>
      </c>
      <c r="L212" t="s">
        <v>914</v>
      </c>
      <c r="M212" t="str">
        <f>VLOOKUP(H212,CHOOSE({1,2},Table6[Native],Table6[Name]),2,0)</f>
        <v>Xījí Xiàn</v>
      </c>
      <c r="N212" s="15" t="str">
        <f>VLOOKUP(I212,CHOOSE({1,2},Table6[Native],Table6[Name]),2,0)</f>
        <v>Gùyuán Shì</v>
      </c>
      <c r="O212" s="15" t="str">
        <f t="shared" si="6"/>
        <v>Xinglong Zhen (Gùyuán Shì)</v>
      </c>
      <c r="P212" s="15" t="str">
        <f t="shared" si="7"/>
        <v>Xinglong Zhen (Gùyuán Shì)</v>
      </c>
    </row>
    <row r="213" spans="1:16" hidden="1" x14ac:dyDescent="0.25">
      <c r="A213" t="s">
        <v>113</v>
      </c>
      <c r="B213" t="str">
        <f>IF(COUNTIF(A:A,A213)&gt;1,_xlfn.CONCAT(A213," (",N213,")"),A213)</f>
        <v>Xīngpíng Xiāng</v>
      </c>
      <c r="C213" t="str">
        <f>IF(COUNTIF(B:B,B213)&gt;1,_xlfn.CONCAT(A213," (",M213,")"),B213)</f>
        <v>Xīngpíng Xiāng</v>
      </c>
      <c r="D213" t="s">
        <v>114</v>
      </c>
      <c r="E213" t="s">
        <v>11</v>
      </c>
      <c r="F213" t="str">
        <f>_xlfn.CONCAT(D213,", ",H213,", ",I213,", ","宁夏回族自治区")</f>
        <v>兴平乡, 西吉县, 固原市, 宁夏回族自治区</v>
      </c>
      <c r="G213">
        <v>15633</v>
      </c>
      <c r="H213" t="s">
        <v>544</v>
      </c>
      <c r="I213" t="s">
        <v>539</v>
      </c>
      <c r="J213" t="e">
        <f>VLOOKUP(F213,[1]!china_towns_second__2[[Column1]:[Y]],3,FALSE)</f>
        <v>#N/A</v>
      </c>
      <c r="K213" t="e">
        <f>VLOOKUP(F213,[1]!china_towns_second__2[[Column1]:[Y]],2,FALSE)</f>
        <v>#N/A</v>
      </c>
      <c r="L213" t="s">
        <v>915</v>
      </c>
      <c r="M213" t="str">
        <f>VLOOKUP(H213,CHOOSE({1,2},Table6[Native],Table6[Name]),2,0)</f>
        <v>Xījí Xiàn</v>
      </c>
      <c r="N213" s="15" t="str">
        <f>VLOOKUP(I213,CHOOSE({1,2},Table6[Native],Table6[Name]),2,0)</f>
        <v>Gùyuán Shì</v>
      </c>
      <c r="O213" s="15" t="str">
        <f t="shared" si="6"/>
        <v>Xingping Xiang (Gùyuán Shì)</v>
      </c>
      <c r="P213" s="15" t="str">
        <f t="shared" si="7"/>
        <v>Xingping Xiang (Gùyuán Shì)</v>
      </c>
    </row>
    <row r="214" spans="1:16" x14ac:dyDescent="0.25">
      <c r="A214" t="s">
        <v>513</v>
      </c>
      <c r="B214" t="str">
        <f>IF(COUNTIF(A:A,A214)&gt;1,_xlfn.CONCAT(A214," (",N214,")"),A214)</f>
        <v>Xīngrén Zhèn [incl. Hāochuān Xiāng]</v>
      </c>
      <c r="C214" t="str">
        <f>IF(COUNTIF(B:B,B214)&gt;1,_xlfn.CONCAT(A214," (",M214,")"),B214)</f>
        <v>Xīngrén Zhèn [incl. Hāochuān Xiāng]</v>
      </c>
      <c r="D214" t="s">
        <v>514</v>
      </c>
      <c r="E214" t="s">
        <v>7</v>
      </c>
      <c r="F214" t="str">
        <f>_xlfn.CONCAT(D214,", ",H214,", ",I214,", ","宁夏回族自治区")</f>
        <v>兴仁镇, 沙坡头区, 中卫市, 宁夏回族自治区</v>
      </c>
      <c r="G214">
        <v>28426</v>
      </c>
      <c r="H214" t="s">
        <v>572</v>
      </c>
      <c r="I214" t="s">
        <v>570</v>
      </c>
      <c r="J214">
        <f>VLOOKUP(F214,[1]!china_towns_second__2[[Column1]:[Y]],3,FALSE)</f>
        <v>36.930897205589098</v>
      </c>
      <c r="K214">
        <f>VLOOKUP(F214,[1]!china_towns_second__2[[Column1]:[Y]],2,FALSE)</f>
        <v>105.28173409999999</v>
      </c>
      <c r="L214" t="s">
        <v>916</v>
      </c>
      <c r="M214" t="str">
        <f>VLOOKUP(H214,CHOOSE({1,2},Table6[Native],Table6[Name]),2,0)</f>
        <v>Shāpōtóu Qū</v>
      </c>
      <c r="N214" s="15" t="str">
        <f>VLOOKUP(I214,CHOOSE({1,2},Table6[Native],Table6[Name]),2,0)</f>
        <v>Zhōngwèi Shì</v>
      </c>
      <c r="O214" s="15" t="str">
        <f t="shared" si="6"/>
        <v>Xingren Zhen [incl. Haochuan Xiang] (Zhōngwèi Shì)</v>
      </c>
      <c r="P214" s="15" t="str">
        <f t="shared" si="7"/>
        <v>Xingren Zhen [incl. Haochuan Xiang] (Zhōngwèi Shì)</v>
      </c>
    </row>
    <row r="215" spans="1:16" hidden="1" x14ac:dyDescent="0.25">
      <c r="A215" t="s">
        <v>115</v>
      </c>
      <c r="B215" t="str">
        <f>IF(COUNTIF(A:A,A215)&gt;1,_xlfn.CONCAT(A215," (",N215,")"),A215)</f>
        <v>Xīngshèng Xiāng</v>
      </c>
      <c r="C215" t="str">
        <f>IF(COUNTIF(B:B,B215)&gt;1,_xlfn.CONCAT(A215," (",M215,")"),B215)</f>
        <v>Xīngshèng Xiāng</v>
      </c>
      <c r="D215" t="s">
        <v>116</v>
      </c>
      <c r="E215" t="s">
        <v>11</v>
      </c>
      <c r="F215" t="str">
        <f>_xlfn.CONCAT(D215,", ",H215,", ",I215,", ","宁夏回族自治区")</f>
        <v>兴盛乡, 泾源县, 固原市, 宁夏回族自治区</v>
      </c>
      <c r="G215">
        <v>8486</v>
      </c>
      <c r="H215" t="s">
        <v>541</v>
      </c>
      <c r="I215" t="s">
        <v>539</v>
      </c>
      <c r="J215" t="e">
        <f>VLOOKUP(F215,[1]!china_towns_second__2[[Column1]:[Y]],3,FALSE)</f>
        <v>#N/A</v>
      </c>
      <c r="K215" t="e">
        <f>VLOOKUP(F215,[1]!china_towns_second__2[[Column1]:[Y]],2,FALSE)</f>
        <v>#N/A</v>
      </c>
      <c r="L215" t="s">
        <v>917</v>
      </c>
      <c r="M215" t="str">
        <f>VLOOKUP(H215,CHOOSE({1,2},Table6[Native],Table6[Name]),2,0)</f>
        <v>Jīngyuán Xiàn</v>
      </c>
      <c r="N215" s="15" t="str">
        <f>VLOOKUP(I215,CHOOSE({1,2},Table6[Native],Table6[Name]),2,0)</f>
        <v>Gùyuán Shì</v>
      </c>
      <c r="O215" s="15" t="str">
        <f t="shared" si="6"/>
        <v>Xingsheng Xiang (Gùyuán Shì)</v>
      </c>
      <c r="P215" s="15" t="str">
        <f t="shared" si="7"/>
        <v>Xingsheng Xiang (Gùyuán Shì)</v>
      </c>
    </row>
    <row r="216" spans="1:16" hidden="1" x14ac:dyDescent="0.25">
      <c r="A216" t="s">
        <v>425</v>
      </c>
      <c r="B216" t="str">
        <f>IF(COUNTIF(A:A,A216)&gt;1,_xlfn.CONCAT(A216," (",N216,")"),A216)</f>
        <v>Xīnhuájiē Jiēdào</v>
      </c>
      <c r="C216" t="str">
        <f>IF(COUNTIF(B:B,B216)&gt;1,_xlfn.CONCAT(A216," (",M216,")"),B216)</f>
        <v>Xīnhuájiē Jiēdào</v>
      </c>
      <c r="D216" t="s">
        <v>426</v>
      </c>
      <c r="E216" t="s">
        <v>52</v>
      </c>
      <c r="F216" t="str">
        <f>_xlfn.CONCAT(D216,", ",H216,", ",I216,", ","宁夏回族自治区")</f>
        <v>新华街街道, 兴庆区, 银川市, 宁夏回族自治区</v>
      </c>
      <c r="G216">
        <v>27877</v>
      </c>
      <c r="H216" t="s">
        <v>566</v>
      </c>
      <c r="I216" t="s">
        <v>561</v>
      </c>
      <c r="J216">
        <f>VLOOKUP(F216,[1]!china_towns_second__2[[Column1]:[Y]],3,FALSE)</f>
        <v>38.455083549262</v>
      </c>
      <c r="K216">
        <f>VLOOKUP(F216,[1]!china_towns_second__2[[Column1]:[Y]],2,FALSE)</f>
        <v>106.2721809</v>
      </c>
      <c r="L216" t="s">
        <v>918</v>
      </c>
      <c r="M216" t="str">
        <f>VLOOKUP(H216,CHOOSE({1,2},Table6[Native],Table6[Name]),2,0)</f>
        <v>Xīngqìng Qū</v>
      </c>
      <c r="N216" s="15" t="str">
        <f>VLOOKUP(I216,CHOOSE({1,2},Table6[Native],Table6[Name]),2,0)</f>
        <v>Yínchuān Shì</v>
      </c>
      <c r="O216" s="15" t="str">
        <f t="shared" si="6"/>
        <v>Xinhuajie Jiedao (Yínchuān Shì)</v>
      </c>
      <c r="P216" s="15" t="str">
        <f t="shared" si="7"/>
        <v>Xinhuajie Jiedao (Yínchuān Shì)</v>
      </c>
    </row>
    <row r="217" spans="1:16" hidden="1" x14ac:dyDescent="0.25">
      <c r="A217" t="s">
        <v>117</v>
      </c>
      <c r="B217" t="str">
        <f>IF(COUNTIF(A:A,A217)&gt;1,_xlfn.CONCAT(A217," (",N217,")"),A217)</f>
        <v>Xīnjí Xiāng</v>
      </c>
      <c r="C217" t="str">
        <f>IF(COUNTIF(B:B,B217)&gt;1,_xlfn.CONCAT(A217," (",M217,")"),B217)</f>
        <v>Xīnjí Xiāng</v>
      </c>
      <c r="D217" t="s">
        <v>118</v>
      </c>
      <c r="E217" t="s">
        <v>11</v>
      </c>
      <c r="F217" t="str">
        <f>_xlfn.CONCAT(D217,", ",H217,", ",I217,", ","宁夏回族自治区")</f>
        <v>新集乡, 彭阳县, 固原市, 宁夏回族自治区</v>
      </c>
      <c r="G217">
        <v>28095</v>
      </c>
      <c r="H217" t="s">
        <v>543</v>
      </c>
      <c r="I217" t="s">
        <v>539</v>
      </c>
      <c r="J217" t="e">
        <f>VLOOKUP(F217,[1]!china_towns_second__2[[Column1]:[Y]],3,FALSE)</f>
        <v>#N/A</v>
      </c>
      <c r="K217" t="e">
        <f>VLOOKUP(F217,[1]!china_towns_second__2[[Column1]:[Y]],2,FALSE)</f>
        <v>#N/A</v>
      </c>
      <c r="L217" t="s">
        <v>919</v>
      </c>
      <c r="M217" t="str">
        <f>VLOOKUP(H217,CHOOSE({1,2},Table6[Native],Table6[Name]),2,0)</f>
        <v>Péngyáng Xiàn</v>
      </c>
      <c r="N217" s="15" t="str">
        <f>VLOOKUP(I217,CHOOSE({1,2},Table6[Native],Table6[Name]),2,0)</f>
        <v>Gùyuán Shì</v>
      </c>
      <c r="O217" s="15" t="str">
        <f t="shared" si="6"/>
        <v>Xinji Xiang (Gùyuán Shì)</v>
      </c>
      <c r="P217" s="15" t="str">
        <f t="shared" si="7"/>
        <v>Xinji Xiang (Gùyuán Shì)</v>
      </c>
    </row>
    <row r="218" spans="1:16" hidden="1" x14ac:dyDescent="0.25">
      <c r="A218" t="s">
        <v>119</v>
      </c>
      <c r="B218" t="str">
        <f>IF(COUNTIF(A:A,A218)&gt;1,_xlfn.CONCAT(A218," (",N218,")"),A218)</f>
        <v>Xīnmín Xiāng</v>
      </c>
      <c r="C218" t="str">
        <f>IF(COUNTIF(B:B,B218)&gt;1,_xlfn.CONCAT(A218," (",M218,")"),B218)</f>
        <v>Xīnmín Xiāng</v>
      </c>
      <c r="D218" t="s">
        <v>120</v>
      </c>
      <c r="E218" t="s">
        <v>11</v>
      </c>
      <c r="F218" t="str">
        <f>_xlfn.CONCAT(D218,", ",H218,", ",I218,", ","宁夏回族自治区")</f>
        <v>新民乡, 泾源县, 固原市, 宁夏回族自治区</v>
      </c>
      <c r="G218">
        <v>11667</v>
      </c>
      <c r="H218" t="s">
        <v>541</v>
      </c>
      <c r="I218" t="s">
        <v>539</v>
      </c>
      <c r="J218" t="e">
        <f>VLOOKUP(F218,[1]!china_towns_second__2[[Column1]:[Y]],3,FALSE)</f>
        <v>#N/A</v>
      </c>
      <c r="K218" t="e">
        <f>VLOOKUP(F218,[1]!china_towns_second__2[[Column1]:[Y]],2,FALSE)</f>
        <v>#N/A</v>
      </c>
      <c r="L218" t="s">
        <v>920</v>
      </c>
      <c r="M218" t="str">
        <f>VLOOKUP(H218,CHOOSE({1,2},Table6[Native],Table6[Name]),2,0)</f>
        <v>Jīngyuán Xiàn</v>
      </c>
      <c r="N218" s="15" t="str">
        <f>VLOOKUP(I218,CHOOSE({1,2},Table6[Native],Table6[Name]),2,0)</f>
        <v>Gùyuán Shì</v>
      </c>
      <c r="O218" s="15" t="str">
        <f t="shared" si="6"/>
        <v>Xinmin Xiang (Gùyuán Shì)</v>
      </c>
      <c r="P218" s="15" t="str">
        <f t="shared" si="7"/>
        <v>Xinmin Xiang (Gùyuán Shì)</v>
      </c>
    </row>
    <row r="219" spans="1:16" hidden="1" x14ac:dyDescent="0.25">
      <c r="A219" t="s">
        <v>121</v>
      </c>
      <c r="B219" t="str">
        <f>IF(COUNTIF(A:A,A219)&gt;1,_xlfn.CONCAT(A219," (",N219,")"),A219)</f>
        <v>Xīnyíng Xiāng</v>
      </c>
      <c r="C219" t="str">
        <f>IF(COUNTIF(B:B,B219)&gt;1,_xlfn.CONCAT(A219," (",M219,")"),B219)</f>
        <v>Xīnyíng Xiāng</v>
      </c>
      <c r="D219" t="s">
        <v>122</v>
      </c>
      <c r="E219" t="s">
        <v>11</v>
      </c>
      <c r="F219" t="str">
        <f>_xlfn.CONCAT(D219,", ",H219,", ",I219,", ","宁夏回族自治区")</f>
        <v>新营乡, 西吉县, 固原市, 宁夏回族自治区</v>
      </c>
      <c r="G219">
        <v>22428</v>
      </c>
      <c r="H219" t="s">
        <v>544</v>
      </c>
      <c r="I219" t="s">
        <v>539</v>
      </c>
      <c r="J219" t="e">
        <f>VLOOKUP(F219,[1]!china_towns_second__2[[Column1]:[Y]],3,FALSE)</f>
        <v>#N/A</v>
      </c>
      <c r="K219" t="e">
        <f>VLOOKUP(F219,[1]!china_towns_second__2[[Column1]:[Y]],2,FALSE)</f>
        <v>#N/A</v>
      </c>
      <c r="L219" t="s">
        <v>921</v>
      </c>
      <c r="M219" t="str">
        <f>VLOOKUP(H219,CHOOSE({1,2},Table6[Native],Table6[Name]),2,0)</f>
        <v>Xījí Xiàn</v>
      </c>
      <c r="N219" s="15" t="str">
        <f>VLOOKUP(I219,CHOOSE({1,2},Table6[Native],Table6[Name]),2,0)</f>
        <v>Gùyuán Shì</v>
      </c>
      <c r="O219" s="15" t="str">
        <f t="shared" si="6"/>
        <v>Xinying Xiang (Gùyuán Shì)</v>
      </c>
      <c r="P219" s="15" t="str">
        <f t="shared" si="7"/>
        <v>Xinying Xiang (Gùyuán Shì)</v>
      </c>
    </row>
    <row r="220" spans="1:16" hidden="1" x14ac:dyDescent="0.25">
      <c r="A220" t="s">
        <v>311</v>
      </c>
      <c r="B220" t="str">
        <f>IF(COUNTIF(A:A,A220)&gt;1,_xlfn.CONCAT(A220," (",N220,")"),A220)</f>
        <v>Xīnzhuāng Jí Xiāng [Nánchuān Xiāng]</v>
      </c>
      <c r="C220" t="str">
        <f>IF(COUNTIF(B:B,B220)&gt;1,_xlfn.CONCAT(A220," (",M220,")"),B220)</f>
        <v>Xīnzhuāng Jí Xiāng [Nánchuān Xiāng]</v>
      </c>
      <c r="D220" t="s">
        <v>312</v>
      </c>
      <c r="E220" t="s">
        <v>11</v>
      </c>
      <c r="F220" t="str">
        <f>_xlfn.CONCAT(D220,", ",H220,", ",I220,", ","宁夏回族自治区")</f>
        <v>新庄集乡, 红寺堡区, 吴忠市, 宁夏回族自治区</v>
      </c>
      <c r="G220">
        <v>30760</v>
      </c>
      <c r="H220" t="s">
        <v>554</v>
      </c>
      <c r="I220" t="s">
        <v>553</v>
      </c>
      <c r="J220" t="e">
        <f>VLOOKUP(F220,[1]!china_towns_second__2[[Column1]:[Y]],3,FALSE)</f>
        <v>#N/A</v>
      </c>
      <c r="K220" t="e">
        <f>VLOOKUP(F220,[1]!china_towns_second__2[[Column1]:[Y]],2,FALSE)</f>
        <v>#N/A</v>
      </c>
      <c r="L220" t="s">
        <v>922</v>
      </c>
      <c r="M220" t="str">
        <f>VLOOKUP(H220,CHOOSE({1,2},Table6[Native],Table6[Name]),2,0)</f>
        <v>Hóngsìpǔ Qū</v>
      </c>
      <c r="N220" s="15" t="str">
        <f>VLOOKUP(I220,CHOOSE({1,2},Table6[Native],Table6[Name]),2,0)</f>
        <v>Wúzhōng Shì</v>
      </c>
      <c r="O220" s="15" t="str">
        <f t="shared" si="6"/>
        <v>Xinzhuang Ji Xiang [Nanchuan Xiang] (Wúzhōng Shì)</v>
      </c>
      <c r="P220" s="15" t="str">
        <f t="shared" si="7"/>
        <v>Xinzhuang Ji Xiang [Nanchuan Xiang] (Wúzhōng Shì)</v>
      </c>
    </row>
    <row r="221" spans="1:16" hidden="1" x14ac:dyDescent="0.25">
      <c r="A221" t="s">
        <v>123</v>
      </c>
      <c r="B221" t="str">
        <f>IF(COUNTIF(A:A,A221)&gt;1,_xlfn.CONCAT(A221," (",N221,")"),A221)</f>
        <v>Xītān Xiāng</v>
      </c>
      <c r="C221" t="str">
        <f>IF(COUNTIF(B:B,B221)&gt;1,_xlfn.CONCAT(A221," (",M221,")"),B221)</f>
        <v>Xītān Xiāng</v>
      </c>
      <c r="D221" t="s">
        <v>124</v>
      </c>
      <c r="E221" t="s">
        <v>11</v>
      </c>
      <c r="F221" t="str">
        <f>_xlfn.CONCAT(D221,", ",H221,", ",I221,", ","宁夏回族自治区")</f>
        <v>西滩乡, 西吉县, 固原市, 宁夏回族自治区</v>
      </c>
      <c r="G221">
        <v>9796</v>
      </c>
      <c r="H221" t="s">
        <v>544</v>
      </c>
      <c r="I221" t="s">
        <v>539</v>
      </c>
      <c r="J221" t="e">
        <f>VLOOKUP(F221,[1]!china_towns_second__2[[Column1]:[Y]],3,FALSE)</f>
        <v>#N/A</v>
      </c>
      <c r="K221" t="e">
        <f>VLOOKUP(F221,[1]!china_towns_second__2[[Column1]:[Y]],2,FALSE)</f>
        <v>#N/A</v>
      </c>
      <c r="L221" t="s">
        <v>923</v>
      </c>
      <c r="M221" t="str">
        <f>VLOOKUP(H221,CHOOSE({1,2},Table6[Native],Table6[Name]),2,0)</f>
        <v>Xījí Xiàn</v>
      </c>
      <c r="N221" s="15" t="str">
        <f>VLOOKUP(I221,CHOOSE({1,2},Table6[Native],Table6[Name]),2,0)</f>
        <v>Gùyuán Shì</v>
      </c>
      <c r="O221" s="15" t="str">
        <f t="shared" si="6"/>
        <v>Xitan Xiang (Gùyuán Shì)</v>
      </c>
      <c r="P221" s="15" t="str">
        <f t="shared" si="7"/>
        <v>Xitan Xiang (Gùyuán Shì)</v>
      </c>
    </row>
    <row r="222" spans="1:16" x14ac:dyDescent="0.25">
      <c r="A222" t="s">
        <v>515</v>
      </c>
      <c r="B222" t="str">
        <f>IF(COUNTIF(A:A,A222)&gt;1,_xlfn.CONCAT(A222," (",N222,")"),A222)</f>
        <v>Xuānhé Zhèn</v>
      </c>
      <c r="C222" t="str">
        <f>IF(COUNTIF(B:B,B222)&gt;1,_xlfn.CONCAT(A222," (",M222,")"),B222)</f>
        <v>Xuānhé Zhèn</v>
      </c>
      <c r="D222" t="s">
        <v>516</v>
      </c>
      <c r="E222" t="s">
        <v>7</v>
      </c>
      <c r="F222" t="str">
        <f>_xlfn.CONCAT(D222,", ",H222,", ",I222,", ","宁夏回族自治区")</f>
        <v>宣和镇, 沙坡头区, 中卫市, 宁夏回族自治区</v>
      </c>
      <c r="G222">
        <v>44594</v>
      </c>
      <c r="H222" t="s">
        <v>572</v>
      </c>
      <c r="I222" t="s">
        <v>570</v>
      </c>
      <c r="J222">
        <f>VLOOKUP(F222,[1]!china_towns_second__2[[Column1]:[Y]],3,FALSE)</f>
        <v>37.350710217051599</v>
      </c>
      <c r="K222">
        <f>VLOOKUP(F222,[1]!china_towns_second__2[[Column1]:[Y]],2,FALSE)</f>
        <v>105.4610419</v>
      </c>
      <c r="L222" t="s">
        <v>924</v>
      </c>
      <c r="M222" t="str">
        <f>VLOOKUP(H222,CHOOSE({1,2},Table6[Native],Table6[Name]),2,0)</f>
        <v>Shāpōtóu Qū</v>
      </c>
      <c r="N222" s="15" t="str">
        <f>VLOOKUP(I222,CHOOSE({1,2},Table6[Native],Table6[Name]),2,0)</f>
        <v>Zhōngwèi Shì</v>
      </c>
      <c r="O222" s="15" t="str">
        <f t="shared" si="6"/>
        <v>Xuanhe Zhen (Zhōngwèi Shì)</v>
      </c>
      <c r="P222" s="15" t="str">
        <f t="shared" si="7"/>
        <v>Xuanhe Zhen (Zhōngwèi Shì)</v>
      </c>
    </row>
    <row r="223" spans="1:16" hidden="1" x14ac:dyDescent="0.25">
      <c r="A223" t="s">
        <v>517</v>
      </c>
      <c r="B223" t="str">
        <f>IF(COUNTIF(A:A,A223)&gt;1,_xlfn.CONCAT(A223," (",N223,")"),A223)</f>
        <v>Xútào Xiāng</v>
      </c>
      <c r="C223" t="str">
        <f>IF(COUNTIF(B:B,B223)&gt;1,_xlfn.CONCAT(A223," (",M223,")"),B223)</f>
        <v>Xútào Xiāng</v>
      </c>
      <c r="D223" t="s">
        <v>518</v>
      </c>
      <c r="E223" t="s">
        <v>11</v>
      </c>
      <c r="F223" t="str">
        <f>_xlfn.CONCAT(D223,", ",H223,", ",I223,", ","宁夏回族自治区")</f>
        <v>徐套乡, 中宁县, 中卫市, 宁夏回族自治区</v>
      </c>
      <c r="G223">
        <v>3915</v>
      </c>
      <c r="H223" t="s">
        <v>573</v>
      </c>
      <c r="I223" t="s">
        <v>570</v>
      </c>
      <c r="J223" t="e">
        <f>VLOOKUP(F223,[1]!china_towns_second__2[[Column1]:[Y]],3,FALSE)</f>
        <v>#N/A</v>
      </c>
      <c r="K223" t="e">
        <f>VLOOKUP(F223,[1]!china_towns_second__2[[Column1]:[Y]],2,FALSE)</f>
        <v>#N/A</v>
      </c>
      <c r="L223" t="s">
        <v>925</v>
      </c>
      <c r="M223" t="str">
        <f>VLOOKUP(H223,CHOOSE({1,2},Table6[Native],Table6[Name]),2,0)</f>
        <v>Zhōngníng Xiàn</v>
      </c>
      <c r="N223" s="15" t="str">
        <f>VLOOKUP(I223,CHOOSE({1,2},Table6[Native],Table6[Name]),2,0)</f>
        <v>Zhōngwèi Shì</v>
      </c>
      <c r="O223" s="15" t="str">
        <f t="shared" si="6"/>
        <v>Xutao Xiang (Zhōngwèi Shì)</v>
      </c>
      <c r="P223" s="15" t="str">
        <f t="shared" si="7"/>
        <v>Xutao Xiang (Zhōngwèi Shì)</v>
      </c>
    </row>
    <row r="224" spans="1:16" hidden="1" x14ac:dyDescent="0.25">
      <c r="A224" t="s">
        <v>125</v>
      </c>
      <c r="B224" t="str">
        <f>IF(COUNTIF(A:A,A224)&gt;1,_xlfn.CONCAT(A224," (",N224,")"),A224)</f>
        <v>Yánghé Xiāng</v>
      </c>
      <c r="C224" t="str">
        <f>IF(COUNTIF(B:B,B224)&gt;1,_xlfn.CONCAT(A224," (",M224,")"),B224)</f>
        <v>Yánghé Xiāng</v>
      </c>
      <c r="D224" t="s">
        <v>126</v>
      </c>
      <c r="E224" t="s">
        <v>11</v>
      </c>
      <c r="F224" t="str">
        <f>_xlfn.CONCAT(D224,", ",H224,", ",I224,", ","宁夏回族自治区")</f>
        <v>杨河乡, 隆德县, 固原市, 宁夏回族自治区</v>
      </c>
      <c r="G224">
        <v>10585</v>
      </c>
      <c r="H224" t="s">
        <v>542</v>
      </c>
      <c r="I224" t="s">
        <v>539</v>
      </c>
      <c r="J224" t="e">
        <f>VLOOKUP(F224,[1]!china_towns_second__2[[Column1]:[Y]],3,FALSE)</f>
        <v>#N/A</v>
      </c>
      <c r="K224" t="e">
        <f>VLOOKUP(F224,[1]!china_towns_second__2[[Column1]:[Y]],2,FALSE)</f>
        <v>#N/A</v>
      </c>
      <c r="L224" t="s">
        <v>926</v>
      </c>
      <c r="M224" t="str">
        <f>VLOOKUP(H224,CHOOSE({1,2},Table6[Native],Table6[Name]),2,0)</f>
        <v>Lóngdé Xiàn</v>
      </c>
      <c r="N224" s="15" t="str">
        <f>VLOOKUP(I224,CHOOSE({1,2},Table6[Native],Table6[Name]),2,0)</f>
        <v>Gùyuán Shì</v>
      </c>
      <c r="O224" s="15" t="str">
        <f t="shared" si="6"/>
        <v>Yanghe Xiang (Gùyuán Shì)</v>
      </c>
      <c r="P224" s="15" t="str">
        <f t="shared" si="7"/>
        <v>Yanghe Xiang (Gùyuán Shì)</v>
      </c>
    </row>
    <row r="225" spans="1:16" x14ac:dyDescent="0.25">
      <c r="A225" t="s">
        <v>427</v>
      </c>
      <c r="B225" t="str">
        <f>IF(COUNTIF(A:A,A225)&gt;1,_xlfn.CONCAT(A225," (",N225,")"),A225)</f>
        <v>Yánghé Zhèn</v>
      </c>
      <c r="C225" t="str">
        <f>IF(COUNTIF(B:B,B225)&gt;1,_xlfn.CONCAT(A225," (",M225,")"),B225)</f>
        <v>Yánghé Zhèn</v>
      </c>
      <c r="D225" t="s">
        <v>428</v>
      </c>
      <c r="E225" t="s">
        <v>7</v>
      </c>
      <c r="F225" t="str">
        <f>_xlfn.CONCAT(D225,", ",H225,", ",I225,", ","宁夏回族自治区")</f>
        <v>杨和镇, 永宁县, 银川市, 宁夏回族自治区</v>
      </c>
      <c r="G225">
        <v>67901</v>
      </c>
      <c r="H225" t="s">
        <v>568</v>
      </c>
      <c r="I225" t="s">
        <v>561</v>
      </c>
      <c r="J225">
        <f>VLOOKUP(F225,[1]!china_towns_second__2[[Column1]:[Y]],3,FALSE)</f>
        <v>38.278028910899401</v>
      </c>
      <c r="K225">
        <f>VLOOKUP(F225,[1]!china_towns_second__2[[Column1]:[Y]],2,FALSE)</f>
        <v>106.24873530000001</v>
      </c>
      <c r="L225" t="s">
        <v>927</v>
      </c>
      <c r="M225" t="str">
        <f>VLOOKUP(H225,CHOOSE({1,2},Table6[Native],Table6[Name]),2,0)</f>
        <v>Yŏngníng Xiàn</v>
      </c>
      <c r="N225" s="15" t="str">
        <f>VLOOKUP(I225,CHOOSE({1,2},Table6[Native],Table6[Name]),2,0)</f>
        <v>Yínchuān Shì</v>
      </c>
      <c r="O225" s="15" t="str">
        <f t="shared" si="6"/>
        <v>Yanghe Zhen (Yínchuān Shì)</v>
      </c>
      <c r="P225" s="15" t="str">
        <f t="shared" si="7"/>
        <v>Yanghe Zhen (Yínchuān Shì)</v>
      </c>
    </row>
    <row r="226" spans="1:16" hidden="1" x14ac:dyDescent="0.25">
      <c r="A226" t="s">
        <v>210</v>
      </c>
      <c r="B226" t="str">
        <f>IF(COUNTIF(A:A,A226)&gt;1,_xlfn.CONCAT(A226," (",N226,")"),A226)</f>
        <v>Yànzidūn Xiāng</v>
      </c>
      <c r="C226" t="str">
        <f>IF(COUNTIF(B:B,B226)&gt;1,_xlfn.CONCAT(A226," (",M226,")"),B226)</f>
        <v>Yànzidūn Xiāng</v>
      </c>
      <c r="D226" t="s">
        <v>211</v>
      </c>
      <c r="E226" t="s">
        <v>11</v>
      </c>
      <c r="F226" t="str">
        <f>_xlfn.CONCAT(D226,", ",H226,", ",I226,", ","宁夏回族自治区")</f>
        <v>燕子墩乡, 惠农区, 石嘴山市, 宁夏回族自治区</v>
      </c>
      <c r="G226">
        <v>9166</v>
      </c>
      <c r="H226" t="s">
        <v>550</v>
      </c>
      <c r="I226" t="s">
        <v>548</v>
      </c>
      <c r="J226" t="e">
        <f>VLOOKUP(F226,[1]!china_towns_second__2[[Column1]:[Y]],3,FALSE)</f>
        <v>#N/A</v>
      </c>
      <c r="K226" t="e">
        <f>VLOOKUP(F226,[1]!china_towns_second__2[[Column1]:[Y]],2,FALSE)</f>
        <v>#N/A</v>
      </c>
      <c r="L226" t="s">
        <v>928</v>
      </c>
      <c r="M226" t="str">
        <f>VLOOKUP(H226,CHOOSE({1,2},Table6[Native],Table6[Name]),2,0)</f>
        <v>Huìnóng Qū</v>
      </c>
      <c r="N226" s="15" t="str">
        <f>VLOOKUP(I226,CHOOSE({1,2},Table6[Native],Table6[Name]),2,0)</f>
        <v>Shízuĭshān Shì</v>
      </c>
      <c r="O226" s="15" t="str">
        <f t="shared" si="6"/>
        <v>Yanzidun Xiang (Shízuĭshān Shì)</v>
      </c>
      <c r="P226" s="15" t="str">
        <f t="shared" si="7"/>
        <v>Yanzidun Xiang (Shízuĭshān Shì)</v>
      </c>
    </row>
    <row r="227" spans="1:16" x14ac:dyDescent="0.25">
      <c r="A227" t="s">
        <v>212</v>
      </c>
      <c r="B227" t="str">
        <f>IF(COUNTIF(A:A,A227)&gt;1,_xlfn.CONCAT(A227," (",N227,")"),A227)</f>
        <v>Yáofú Zhèn</v>
      </c>
      <c r="C227" t="str">
        <f>IF(COUNTIF(B:B,B227)&gt;1,_xlfn.CONCAT(A227," (",M227,")"),B227)</f>
        <v>Yáofú Zhèn</v>
      </c>
      <c r="D227" t="s">
        <v>213</v>
      </c>
      <c r="E227" t="s">
        <v>7</v>
      </c>
      <c r="F227" t="str">
        <f>_xlfn.CONCAT(D227,", ",H227,", ",I227,", ","宁夏回族自治区")</f>
        <v>姚伏镇, 平罗县, 石嘴山市, 宁夏回族自治区</v>
      </c>
      <c r="G227">
        <v>16000</v>
      </c>
      <c r="H227" t="s">
        <v>551</v>
      </c>
      <c r="I227" t="s">
        <v>548</v>
      </c>
      <c r="J227">
        <f>VLOOKUP(F227,[1]!china_towns_second__2[[Column1]:[Y]],3,FALSE)</f>
        <v>38.7736045297071</v>
      </c>
      <c r="K227">
        <f>VLOOKUP(F227,[1]!china_towns_second__2[[Column1]:[Y]],2,FALSE)</f>
        <v>106.4639554</v>
      </c>
      <c r="L227" t="s">
        <v>929</v>
      </c>
      <c r="M227" t="str">
        <f>VLOOKUP(H227,CHOOSE({1,2},Table6[Native],Table6[Name]),2,0)</f>
        <v>Píngluó Xiàn</v>
      </c>
      <c r="N227" s="15" t="str">
        <f>VLOOKUP(I227,CHOOSE({1,2},Table6[Native],Table6[Name]),2,0)</f>
        <v>Shízuĭshān Shì</v>
      </c>
      <c r="O227" s="15" t="str">
        <f t="shared" si="6"/>
        <v>Yaofu Zhen (Shízuĭshān Shì)</v>
      </c>
      <c r="P227" s="15" t="str">
        <f t="shared" si="7"/>
        <v>Yaofu Zhen (Shízuĭshān Shì)</v>
      </c>
    </row>
    <row r="228" spans="1:16" x14ac:dyDescent="0.25">
      <c r="A228" t="s">
        <v>313</v>
      </c>
      <c r="B228" t="str">
        <f>IF(COUNTIF(A:A,A228)&gt;1,_xlfn.CONCAT(A228," (",N228,")"),A228)</f>
        <v>Yèshēng Zhèn</v>
      </c>
      <c r="C228" t="str">
        <f>IF(COUNTIF(B:B,B228)&gt;1,_xlfn.CONCAT(A228," (",M228,")"),B228)</f>
        <v>Yèshēng Zhèn</v>
      </c>
      <c r="D228" t="s">
        <v>314</v>
      </c>
      <c r="E228" t="s">
        <v>7</v>
      </c>
      <c r="F228" t="str">
        <f>_xlfn.CONCAT(D228,", ",H228,", ",I228,", ","宁夏回族自治区")</f>
        <v>叶盛镇, 青铜峡市, 吴忠市, 宁夏回族自治区</v>
      </c>
      <c r="G228">
        <v>15206</v>
      </c>
      <c r="H228" t="s">
        <v>557</v>
      </c>
      <c r="I228" t="s">
        <v>553</v>
      </c>
      <c r="J228">
        <f>VLOOKUP(F228,[1]!china_towns_second__2[[Column1]:[Y]],3,FALSE)</f>
        <v>38.114611902266397</v>
      </c>
      <c r="K228">
        <f>VLOOKUP(F228,[1]!china_towns_second__2[[Column1]:[Y]],2,FALSE)</f>
        <v>106.1602101</v>
      </c>
      <c r="L228" t="s">
        <v>930</v>
      </c>
      <c r="M228" t="str">
        <f>VLOOKUP(H228,CHOOSE({1,2},Table6[Native],Table6[Name]),2,0)</f>
        <v>Qīngtóngxiá Shì</v>
      </c>
      <c r="N228" s="15" t="str">
        <f>VLOOKUP(I228,CHOOSE({1,2},Table6[Native],Table6[Name]),2,0)</f>
        <v>Wúzhōng Shì</v>
      </c>
      <c r="O228" s="15" t="str">
        <f t="shared" si="6"/>
        <v>Yesheng Zhen (Wúzhōng Shì)</v>
      </c>
      <c r="P228" s="15" t="str">
        <f t="shared" si="7"/>
        <v>Yesheng Zhen (Wúzhōng Shì)</v>
      </c>
    </row>
    <row r="229" spans="1:16" x14ac:dyDescent="0.25">
      <c r="A229" t="s">
        <v>519</v>
      </c>
      <c r="B229" t="str">
        <f>IF(COUNTIF(A:A,A229)&gt;1,_xlfn.CONCAT(A229," (",N229,")"),A229)</f>
        <v>Yíngshuĭqiáo Zhèn</v>
      </c>
      <c r="C229" t="str">
        <f>IF(COUNTIF(B:B,B229)&gt;1,_xlfn.CONCAT(A229," (",M229,")"),B229)</f>
        <v>Yíngshuĭqiáo Zhèn</v>
      </c>
      <c r="D229" t="s">
        <v>520</v>
      </c>
      <c r="E229" t="s">
        <v>7</v>
      </c>
      <c r="F229" t="str">
        <f>_xlfn.CONCAT(D229,", ",H229,", ",I229,", ","宁夏回族自治区")</f>
        <v>迎水桥镇, 沙坡头区, 中卫市, 宁夏回族自治区</v>
      </c>
      <c r="G229">
        <v>24969</v>
      </c>
      <c r="H229" t="s">
        <v>572</v>
      </c>
      <c r="I229" t="s">
        <v>570</v>
      </c>
      <c r="J229">
        <f>VLOOKUP(F229,[1]!china_towns_second__2[[Column1]:[Y]],3,FALSE)</f>
        <v>37.472141383905303</v>
      </c>
      <c r="K229">
        <f>VLOOKUP(F229,[1]!china_towns_second__2[[Column1]:[Y]],2,FALSE)</f>
        <v>104.77695</v>
      </c>
      <c r="L229" t="s">
        <v>931</v>
      </c>
      <c r="M229" t="str">
        <f>VLOOKUP(H229,CHOOSE({1,2},Table6[Native],Table6[Name]),2,0)</f>
        <v>Shāpōtóu Qū</v>
      </c>
      <c r="N229" s="15" t="str">
        <f>VLOOKUP(I229,CHOOSE({1,2},Table6[Native],Table6[Name]),2,0)</f>
        <v>Zhōngwèi Shì</v>
      </c>
      <c r="O229" s="15" t="str">
        <f t="shared" si="6"/>
        <v>Yingshuiqiao Zhen (Zhōngwèi Shì)</v>
      </c>
      <c r="P229" s="15" t="str">
        <f t="shared" si="7"/>
        <v>Yingshuiqiao Zhen (Zhōngwèi Shì)</v>
      </c>
    </row>
    <row r="230" spans="1:16" hidden="1" x14ac:dyDescent="0.25">
      <c r="A230" t="s">
        <v>429</v>
      </c>
      <c r="B230" t="str">
        <f>IF(COUNTIF(A:A,A230)&gt;1,_xlfn.CONCAT(A230," (",N230,")"),A230)</f>
        <v>Yíngŭlù Jiēdào</v>
      </c>
      <c r="C230" t="str">
        <f>IF(COUNTIF(B:B,B230)&gt;1,_xlfn.CONCAT(A230," (",M230,")"),B230)</f>
        <v>Yíngŭlù Jiēdào</v>
      </c>
      <c r="D230" t="s">
        <v>430</v>
      </c>
      <c r="E230" t="s">
        <v>52</v>
      </c>
      <c r="F230" t="str">
        <f>_xlfn.CONCAT(D230,", ",H230,", ",I230,", ","宁夏回族自治区")</f>
        <v>银古路街道, 兴庆区, 银川市, 宁夏回族自治区</v>
      </c>
      <c r="G230">
        <v>104038</v>
      </c>
      <c r="H230" t="s">
        <v>566</v>
      </c>
      <c r="I230" t="s">
        <v>561</v>
      </c>
      <c r="J230">
        <f>VLOOKUP(F230,[1]!china_towns_second__2[[Column1]:[Y]],3,FALSE)</f>
        <v>38.455100508163397</v>
      </c>
      <c r="K230">
        <f>VLOOKUP(F230,[1]!china_towns_second__2[[Column1]:[Y]],2,FALSE)</f>
        <v>106.2986717</v>
      </c>
      <c r="L230" t="s">
        <v>932</v>
      </c>
      <c r="M230" t="str">
        <f>VLOOKUP(H230,CHOOSE({1,2},Table6[Native],Table6[Name]),2,0)</f>
        <v>Xīngqìng Qū</v>
      </c>
      <c r="N230" s="15" t="str">
        <f>VLOOKUP(I230,CHOOSE({1,2},Table6[Native],Table6[Name]),2,0)</f>
        <v>Yínchuān Shì</v>
      </c>
      <c r="O230" s="15" t="str">
        <f t="shared" si="6"/>
        <v>Yingulu Jiedao (Yínchuān Shì)</v>
      </c>
      <c r="P230" s="15" t="str">
        <f t="shared" si="7"/>
        <v>Yingulu Jiedao (Yínchuān Shì)</v>
      </c>
    </row>
    <row r="231" spans="1:16" x14ac:dyDescent="0.25">
      <c r="A231" t="s">
        <v>521</v>
      </c>
      <c r="B231" t="str">
        <f>IF(COUNTIF(A:A,A231)&gt;1,_xlfn.CONCAT(A231," (",N231,")"),A231)</f>
        <v>Yŏngkāng Zhèn</v>
      </c>
      <c r="C231" t="str">
        <f>IF(COUNTIF(B:B,B231)&gt;1,_xlfn.CONCAT(A231," (",M231,")"),B231)</f>
        <v>Yŏngkāng Zhèn</v>
      </c>
      <c r="D231" t="s">
        <v>522</v>
      </c>
      <c r="E231" t="s">
        <v>7</v>
      </c>
      <c r="F231" t="str">
        <f>_xlfn.CONCAT(D231,", ",H231,", ",I231,", ","宁夏回族自治区")</f>
        <v>永康镇, 沙坡头区, 中卫市, 宁夏回族自治区</v>
      </c>
      <c r="G231">
        <v>27482</v>
      </c>
      <c r="H231" t="s">
        <v>572</v>
      </c>
      <c r="I231" t="s">
        <v>570</v>
      </c>
      <c r="J231">
        <f>VLOOKUP(F231,[1]!china_towns_second__2[[Column1]:[Y]],3,FALSE)</f>
        <v>37.311673503418</v>
      </c>
      <c r="K231">
        <f>VLOOKUP(F231,[1]!china_towns_second__2[[Column1]:[Y]],2,FALSE)</f>
        <v>105.32926310000001</v>
      </c>
      <c r="L231" t="s">
        <v>933</v>
      </c>
      <c r="M231" t="str">
        <f>VLOOKUP(H231,CHOOSE({1,2},Table6[Native],Table6[Name]),2,0)</f>
        <v>Shāpōtóu Qū</v>
      </c>
      <c r="N231" s="15" t="str">
        <f>VLOOKUP(I231,CHOOSE({1,2},Table6[Native],Table6[Name]),2,0)</f>
        <v>Zhōngwèi Shì</v>
      </c>
      <c r="O231" s="15" t="str">
        <f t="shared" si="6"/>
        <v>Yongkang Zhen (Zhōngwèi Shì)</v>
      </c>
      <c r="P231" s="15" t="str">
        <f t="shared" si="7"/>
        <v>Yongkang Zhen (Zhōngwèi Shì)</v>
      </c>
    </row>
    <row r="232" spans="1:16" x14ac:dyDescent="0.25">
      <c r="A232" t="s">
        <v>214</v>
      </c>
      <c r="B232" t="str">
        <f>IF(COUNTIF(A:A,A232)&gt;1,_xlfn.CONCAT(A232," (",N232,")"),A232)</f>
        <v>Yuányì Zhèn</v>
      </c>
      <c r="C232" t="str">
        <f>IF(COUNTIF(B:B,B232)&gt;1,_xlfn.CONCAT(A232," (",M232,")"),B232)</f>
        <v>Yuányì Zhèn</v>
      </c>
      <c r="D232" t="s">
        <v>215</v>
      </c>
      <c r="E232" t="s">
        <v>7</v>
      </c>
      <c r="F232" t="str">
        <f>_xlfn.CONCAT(D232,", ",H232,", ",I232,", ","宁夏回族自治区")</f>
        <v>园艺镇, 惠农区, 石嘴山市, 宁夏回族自治区</v>
      </c>
      <c r="G232">
        <v>27895</v>
      </c>
      <c r="H232" t="s">
        <v>550</v>
      </c>
      <c r="I232" t="s">
        <v>548</v>
      </c>
      <c r="J232">
        <f>VLOOKUP(F232,[1]!china_towns_second__2[[Column1]:[Y]],3,FALSE)</f>
        <v>39.213052685364801</v>
      </c>
      <c r="K232">
        <f>VLOOKUP(F232,[1]!china_towns_second__2[[Column1]:[Y]],2,FALSE)</f>
        <v>106.7760814</v>
      </c>
      <c r="L232" t="s">
        <v>934</v>
      </c>
      <c r="M232" t="str">
        <f>VLOOKUP(H232,CHOOSE({1,2},Table6[Native],Table6[Name]),2,0)</f>
        <v>Huìnóng Qū</v>
      </c>
      <c r="N232" s="15" t="str">
        <f>VLOOKUP(I232,CHOOSE({1,2},Table6[Native],Table6[Name]),2,0)</f>
        <v>Shízuĭshān Shì</v>
      </c>
      <c r="O232" s="15" t="str">
        <f t="shared" si="6"/>
        <v>Yuanyi Zhen (Shízuĭshān Shì)</v>
      </c>
      <c r="P232" s="15" t="str">
        <f t="shared" si="7"/>
        <v>Yuanyi Zhen (Shízuĭshān Shì)</v>
      </c>
    </row>
    <row r="233" spans="1:16" hidden="1" x14ac:dyDescent="0.25">
      <c r="A233" t="s">
        <v>216</v>
      </c>
      <c r="B233" t="str">
        <f>IF(COUNTIF(A:A,A233)&gt;1,_xlfn.CONCAT(A233," (",N233,")"),A233)</f>
        <v>Yùcáilù Jiēdào</v>
      </c>
      <c r="C233" t="str">
        <f>IF(COUNTIF(B:B,B233)&gt;1,_xlfn.CONCAT(A233," (",M233,")"),B233)</f>
        <v>Yùcáilù Jiēdào</v>
      </c>
      <c r="D233" t="s">
        <v>217</v>
      </c>
      <c r="E233" t="s">
        <v>52</v>
      </c>
      <c r="F233" t="str">
        <f>_xlfn.CONCAT(D233,", ",H233,", ",I233,", ","宁夏回族自治区")</f>
        <v>育才路街道, 惠农区, 石嘴山市, 宁夏回族自治区</v>
      </c>
      <c r="G233">
        <v>21437</v>
      </c>
      <c r="H233" t="s">
        <v>550</v>
      </c>
      <c r="I233" t="s">
        <v>548</v>
      </c>
      <c r="J233">
        <f>VLOOKUP(F233,[1]!china_towns_second__2[[Column1]:[Y]],3,FALSE)</f>
        <v>39.216880895075903</v>
      </c>
      <c r="K233">
        <f>VLOOKUP(F233,[1]!china_towns_second__2[[Column1]:[Y]],2,FALSE)</f>
        <v>106.7445833</v>
      </c>
      <c r="L233" t="s">
        <v>935</v>
      </c>
      <c r="M233" t="str">
        <f>VLOOKUP(H233,CHOOSE({1,2},Table6[Native],Table6[Name]),2,0)</f>
        <v>Huìnóng Qū</v>
      </c>
      <c r="N233" s="15" t="str">
        <f>VLOOKUP(I233,CHOOSE({1,2},Table6[Native],Table6[Name]),2,0)</f>
        <v>Shízuĭshān Shì</v>
      </c>
      <c r="O233" s="15" t="str">
        <f t="shared" si="6"/>
        <v>Yucailu Jiedao (Shízuĭshān Shì)</v>
      </c>
      <c r="P233" s="15" t="str">
        <f t="shared" si="7"/>
        <v>Yucailu Jiedao (Shízuĭshān Shì)</v>
      </c>
    </row>
    <row r="234" spans="1:16" hidden="1" x14ac:dyDescent="0.25">
      <c r="A234" t="s">
        <v>523</v>
      </c>
      <c r="B234" t="str">
        <f>IF(COUNTIF(A:A,A234)&gt;1,_xlfn.CONCAT(A234," (",N234,")"),A234)</f>
        <v>Yúdīng Xiāng</v>
      </c>
      <c r="C234" t="str">
        <f>IF(COUNTIF(B:B,B234)&gt;1,_xlfn.CONCAT(A234," (",M234,")"),B234)</f>
        <v>Yúdīng Xiāng</v>
      </c>
      <c r="D234" t="s">
        <v>524</v>
      </c>
      <c r="E234" t="s">
        <v>11</v>
      </c>
      <c r="F234" t="str">
        <f>_xlfn.CONCAT(D234,", ",H234,", ",I234,", ","宁夏回族自治区")</f>
        <v>余丁乡, 中宁县, 中卫市, 宁夏回族自治区</v>
      </c>
      <c r="G234">
        <v>12322</v>
      </c>
      <c r="H234" t="s">
        <v>573</v>
      </c>
      <c r="I234" t="s">
        <v>570</v>
      </c>
      <c r="J234" t="e">
        <f>VLOOKUP(F234,[1]!china_towns_second__2[[Column1]:[Y]],3,FALSE)</f>
        <v>#N/A</v>
      </c>
      <c r="K234" t="e">
        <f>VLOOKUP(F234,[1]!china_towns_second__2[[Column1]:[Y]],2,FALSE)</f>
        <v>#N/A</v>
      </c>
      <c r="L234" t="s">
        <v>936</v>
      </c>
      <c r="M234" t="str">
        <f>VLOOKUP(H234,CHOOSE({1,2},Table6[Native],Table6[Name]),2,0)</f>
        <v>Zhōngníng Xiàn</v>
      </c>
      <c r="N234" s="15" t="str">
        <f>VLOOKUP(I234,CHOOSE({1,2},Table6[Native],Table6[Name]),2,0)</f>
        <v>Zhōngwèi Shì</v>
      </c>
      <c r="O234" s="15" t="str">
        <f t="shared" si="6"/>
        <v>Yuding Xiang (Zhōngwèi Shì)</v>
      </c>
      <c r="P234" s="15" t="str">
        <f t="shared" si="7"/>
        <v>Yuding Xiang (Zhōngwèi Shì)</v>
      </c>
    </row>
    <row r="235" spans="1:16" hidden="1" x14ac:dyDescent="0.25">
      <c r="A235" t="s">
        <v>431</v>
      </c>
      <c r="B235" t="str">
        <f>IF(COUNTIF(A:A,A235)&gt;1,_xlfn.CONCAT(A235," (",N235,")"),A235)</f>
        <v>Yuèyáhú Xiāng</v>
      </c>
      <c r="C235" t="str">
        <f>IF(COUNTIF(B:B,B235)&gt;1,_xlfn.CONCAT(A235," (",M235,")"),B235)</f>
        <v>Yuèyáhú Xiāng</v>
      </c>
      <c r="D235" t="s">
        <v>432</v>
      </c>
      <c r="E235" t="s">
        <v>11</v>
      </c>
      <c r="F235" t="str">
        <f>_xlfn.CONCAT(D235,", ",H235,", ",I235,", ","宁夏回族自治区")</f>
        <v>月牙湖乡, 兴庆区, 银川市, 宁夏回族自治区</v>
      </c>
      <c r="G235">
        <v>10439</v>
      </c>
      <c r="H235" t="s">
        <v>566</v>
      </c>
      <c r="I235" t="s">
        <v>561</v>
      </c>
      <c r="J235" t="e">
        <f>VLOOKUP(F235,[1]!china_towns_second__2[[Column1]:[Y]],3,FALSE)</f>
        <v>#N/A</v>
      </c>
      <c r="K235" t="e">
        <f>VLOOKUP(F235,[1]!china_towns_second__2[[Column1]:[Y]],2,FALSE)</f>
        <v>#N/A</v>
      </c>
      <c r="L235" t="s">
        <v>937</v>
      </c>
      <c r="M235" t="str">
        <f>VLOOKUP(H235,CHOOSE({1,2},Table6[Native],Table6[Name]),2,0)</f>
        <v>Xīngqìng Qū</v>
      </c>
      <c r="N235" s="15" t="str">
        <f>VLOOKUP(I235,CHOOSE({1,2},Table6[Native],Table6[Name]),2,0)</f>
        <v>Yínchuān Shì</v>
      </c>
      <c r="O235" s="15" t="str">
        <f t="shared" si="6"/>
        <v>Yueyahu Xiang (Yínchuān Shì)</v>
      </c>
      <c r="P235" s="15" t="str">
        <f t="shared" si="7"/>
        <v>Yueyahu Xiang (Yínchuān Shì)</v>
      </c>
    </row>
    <row r="236" spans="1:16" x14ac:dyDescent="0.25">
      <c r="A236" t="s">
        <v>315</v>
      </c>
      <c r="B236" t="str">
        <f>IF(COUNTIF(A:A,A236)&gt;1,_xlfn.CONCAT(A236," (",N236,")"),A236)</f>
        <v>Yùhăi Zhèn</v>
      </c>
      <c r="C236" t="str">
        <f>IF(COUNTIF(B:B,B236)&gt;1,_xlfn.CONCAT(A236," (",M236,")"),B236)</f>
        <v>Yùhăi Zhèn</v>
      </c>
      <c r="D236" t="s">
        <v>316</v>
      </c>
      <c r="E236" t="s">
        <v>7</v>
      </c>
      <c r="F236" t="str">
        <f>_xlfn.CONCAT(D236,", ",H236,", ",I236,", ","宁夏回族自治区")</f>
        <v>豫海镇, 同心县, 吴忠市, 宁夏回族自治区</v>
      </c>
      <c r="G236">
        <v>83887</v>
      </c>
      <c r="H236" t="s">
        <v>558</v>
      </c>
      <c r="I236" t="s">
        <v>553</v>
      </c>
      <c r="J236">
        <f>VLOOKUP(F236,[1]!china_towns_second__2[[Column1]:[Y]],3,FALSE)</f>
        <v>36.969728813684398</v>
      </c>
      <c r="K236">
        <f>VLOOKUP(F236,[1]!china_towns_second__2[[Column1]:[Y]],2,FALSE)</f>
        <v>105.9591301</v>
      </c>
      <c r="L236" t="s">
        <v>938</v>
      </c>
      <c r="M236" t="str">
        <f>VLOOKUP(H236,CHOOSE({1,2},Table6[Native],Table6[Name]),2,0)</f>
        <v>Tóngxīn Xiàn</v>
      </c>
      <c r="N236" s="15" t="str">
        <f>VLOOKUP(I236,CHOOSE({1,2},Table6[Native],Table6[Name]),2,0)</f>
        <v>Wúzhōng Shì</v>
      </c>
      <c r="O236" s="15" t="str">
        <f t="shared" si="6"/>
        <v>Yuhai Zhen (Wúzhōng Shì)</v>
      </c>
      <c r="P236" s="15" t="str">
        <f t="shared" si="7"/>
        <v>Yuhai Zhen (Wúzhōng Shì)</v>
      </c>
    </row>
    <row r="237" spans="1:16" hidden="1" x14ac:dyDescent="0.25">
      <c r="A237" t="s">
        <v>433</v>
      </c>
      <c r="B237" t="str">
        <f>IF(COUNTIF(A:A,A237)&gt;1,_xlfn.CONCAT(A237," (",N237,")"),A237)</f>
        <v>Yùhuánggé Bĕijiē Jiēdào</v>
      </c>
      <c r="C237" t="str">
        <f>IF(COUNTIF(B:B,B237)&gt;1,_xlfn.CONCAT(A237," (",M237,")"),B237)</f>
        <v>Yùhuánggé Bĕijiē Jiēdào</v>
      </c>
      <c r="D237" t="s">
        <v>434</v>
      </c>
      <c r="E237" t="s">
        <v>52</v>
      </c>
      <c r="F237" t="str">
        <f>_xlfn.CONCAT(D237,", ",H237,", ",I237,", ","宁夏回族自治区")</f>
        <v>玉皇阁北街街道, 兴庆区, 银川市, 宁夏回族自治区</v>
      </c>
      <c r="G237">
        <v>51818</v>
      </c>
      <c r="H237" t="s">
        <v>566</v>
      </c>
      <c r="I237" t="s">
        <v>561</v>
      </c>
      <c r="J237">
        <f>VLOOKUP(F237,[1]!china_towns_second__2[[Column1]:[Y]],3,FALSE)</f>
        <v>38.470987334820002</v>
      </c>
      <c r="K237">
        <f>VLOOKUP(F237,[1]!china_towns_second__2[[Column1]:[Y]],2,FALSE)</f>
        <v>106.28685849999999</v>
      </c>
      <c r="L237" t="s">
        <v>939</v>
      </c>
      <c r="M237" t="str">
        <f>VLOOKUP(H237,CHOOSE({1,2},Table6[Native],Table6[Name]),2,0)</f>
        <v>Xīngqìng Qū</v>
      </c>
      <c r="N237" s="15" t="str">
        <f>VLOOKUP(I237,CHOOSE({1,2},Table6[Native],Table6[Name]),2,0)</f>
        <v>Yínchuān Shì</v>
      </c>
      <c r="O237" s="15" t="str">
        <f t="shared" si="6"/>
        <v>Yuhuangge Beijie Jiedao (Yínchuān Shì)</v>
      </c>
      <c r="P237" s="15" t="str">
        <f t="shared" si="7"/>
        <v>Yuhuangge Beijie Jiedao (Yínchuān Shì)</v>
      </c>
    </row>
    <row r="238" spans="1:16" hidden="1" x14ac:dyDescent="0.25">
      <c r="A238" t="s">
        <v>317</v>
      </c>
      <c r="B238" t="str">
        <f>IF(COUNTIF(A:A,A238)&gt;1,_xlfn.CONCAT(A238," (",N238,")"),A238)</f>
        <v>Yùmín Jiēdào</v>
      </c>
      <c r="C238" t="str">
        <f>IF(COUNTIF(B:B,B238)&gt;1,_xlfn.CONCAT(A238," (",M238,")"),B238)</f>
        <v>Yùmín Jiēdào</v>
      </c>
      <c r="D238" t="s">
        <v>318</v>
      </c>
      <c r="E238" t="s">
        <v>52</v>
      </c>
      <c r="F238" t="str">
        <f>_xlfn.CONCAT(D238,", ",H238,", ",I238,", ","宁夏回族自治区")</f>
        <v>裕民街道, 青铜峡市, 吴忠市, 宁夏回族自治区</v>
      </c>
      <c r="G238">
        <v>56819</v>
      </c>
      <c r="H238" t="s">
        <v>557</v>
      </c>
      <c r="I238" t="s">
        <v>553</v>
      </c>
      <c r="J238">
        <f>VLOOKUP(F238,[1]!china_towns_second__2[[Column1]:[Y]],3,FALSE)</f>
        <v>38.021803524787799</v>
      </c>
      <c r="K238">
        <f>VLOOKUP(F238,[1]!china_towns_second__2[[Column1]:[Y]],2,FALSE)</f>
        <v>106.075019</v>
      </c>
      <c r="L238" t="s">
        <v>940</v>
      </c>
      <c r="M238" t="str">
        <f>VLOOKUP(H238,CHOOSE({1,2},Table6[Native],Table6[Name]),2,0)</f>
        <v>Qīngtóngxiá Shì</v>
      </c>
      <c r="N238" s="15" t="str">
        <f>VLOOKUP(I238,CHOOSE({1,2},Table6[Native],Table6[Name]),2,0)</f>
        <v>Wúzhōng Shì</v>
      </c>
      <c r="O238" s="15" t="str">
        <f t="shared" si="6"/>
        <v>Yumin Jiedao (Wúzhōng Shì)</v>
      </c>
      <c r="P238" s="15" t="str">
        <f t="shared" si="7"/>
        <v>Yumin Jiedao (Wúzhōng Shì)</v>
      </c>
    </row>
    <row r="239" spans="1:16" hidden="1" x14ac:dyDescent="0.25">
      <c r="A239" t="s">
        <v>435</v>
      </c>
      <c r="B239" t="str">
        <f>IF(COUNTIF(A:A,A239)&gt;1,_xlfn.CONCAT(A239," (",N239,")"),A239)</f>
        <v>Yùquányíng Nóngchăng</v>
      </c>
      <c r="C239" t="str">
        <f>IF(COUNTIF(B:B,B239)&gt;1,_xlfn.CONCAT(A239," (",M239,")"),B239)</f>
        <v>Yùquányíng Nóngchăng</v>
      </c>
      <c r="D239" t="s">
        <v>436</v>
      </c>
      <c r="E239" t="s">
        <v>165</v>
      </c>
      <c r="F239" t="str">
        <f>_xlfn.CONCAT(D239,", ",H239,", ",I239,", ","宁夏回族自治区")</f>
        <v>玉泉营农场, 永宁县, 银川市, 宁夏回族自治区</v>
      </c>
      <c r="G239">
        <v>5030</v>
      </c>
      <c r="H239" t="s">
        <v>568</v>
      </c>
      <c r="I239" t="s">
        <v>561</v>
      </c>
      <c r="J239">
        <f>VLOOKUP(F239,[1]!china_towns_second__2[[Column1]:[Y]],3,FALSE)</f>
        <v>38.253332288025703</v>
      </c>
      <c r="K239">
        <f>VLOOKUP(F239,[1]!china_towns_second__2[[Column1]:[Y]],2,FALSE)</f>
        <v>106.0393962</v>
      </c>
      <c r="L239" t="s">
        <v>941</v>
      </c>
      <c r="M239" t="str">
        <f>VLOOKUP(H239,CHOOSE({1,2},Table6[Native],Table6[Name]),2,0)</f>
        <v>Yŏngníng Xiàn</v>
      </c>
      <c r="N239" s="15" t="str">
        <f>VLOOKUP(I239,CHOOSE({1,2},Table6[Native],Table6[Name]),2,0)</f>
        <v>Yínchuān Shì</v>
      </c>
      <c r="O239" s="15" t="str">
        <f t="shared" si="6"/>
        <v>Yuquanying Nongchang (Yínchuān Shì)</v>
      </c>
      <c r="P239" s="15" t="str">
        <f t="shared" si="7"/>
        <v>Yuquanying Nongchang (Yínchuān Shì)</v>
      </c>
    </row>
    <row r="240" spans="1:16" x14ac:dyDescent="0.25">
      <c r="A240" t="s">
        <v>319</v>
      </c>
      <c r="B240" t="str">
        <f>IF(COUNTIF(A:A,A240)&gt;1,_xlfn.CONCAT(A240," (",N240,")"),A240)</f>
        <v>Yùwàng Zhèn</v>
      </c>
      <c r="C240" t="str">
        <f>IF(COUNTIF(B:B,B240)&gt;1,_xlfn.CONCAT(A240," (",M240,")"),B240)</f>
        <v>Yùwàng Zhèn</v>
      </c>
      <c r="D240" t="s">
        <v>320</v>
      </c>
      <c r="E240" t="s">
        <v>7</v>
      </c>
      <c r="F240" t="str">
        <f>_xlfn.CONCAT(D240,", ",H240,", ",I240,", ","宁夏回族自治区")</f>
        <v>预旺镇, 同心县, 吴忠市, 宁夏回族自治区</v>
      </c>
      <c r="G240">
        <v>20320</v>
      </c>
      <c r="H240" t="s">
        <v>558</v>
      </c>
      <c r="I240" t="s">
        <v>553</v>
      </c>
      <c r="J240">
        <f>VLOOKUP(F240,[1]!china_towns_second__2[[Column1]:[Y]],3,FALSE)</f>
        <v>36.852033889469503</v>
      </c>
      <c r="K240">
        <f>VLOOKUP(F240,[1]!china_towns_second__2[[Column1]:[Y]],2,FALSE)</f>
        <v>106.2877585</v>
      </c>
      <c r="L240" t="s">
        <v>942</v>
      </c>
      <c r="M240" t="str">
        <f>VLOOKUP(H240,CHOOSE({1,2},Table6[Native],Table6[Name]),2,0)</f>
        <v>Tóngxīn Xiàn</v>
      </c>
      <c r="N240" s="15" t="str">
        <f>VLOOKUP(I240,CHOOSE({1,2},Table6[Native],Table6[Name]),2,0)</f>
        <v>Wúzhōng Shì</v>
      </c>
      <c r="O240" s="15" t="str">
        <f t="shared" si="6"/>
        <v>Yuwang Zhen (Wúzhōng Shì)</v>
      </c>
      <c r="P240" s="15" t="str">
        <f t="shared" si="7"/>
        <v>Yuwang Zhen (Wúzhōng Shì)</v>
      </c>
    </row>
    <row r="241" spans="1:16" hidden="1" x14ac:dyDescent="0.25">
      <c r="A241" t="s">
        <v>127</v>
      </c>
      <c r="B241" t="str">
        <f>IF(COUNTIF(A:A,A241)&gt;1,_xlfn.CONCAT(A241," (",N241,")"),A241)</f>
        <v>Zhàikē Xiāng</v>
      </c>
      <c r="C241" t="str">
        <f>IF(COUNTIF(B:B,B241)&gt;1,_xlfn.CONCAT(A241," (",M241,")"),B241)</f>
        <v>Zhàikē Xiāng</v>
      </c>
      <c r="D241" t="s">
        <v>128</v>
      </c>
      <c r="E241" t="s">
        <v>11</v>
      </c>
      <c r="F241" t="str">
        <f>_xlfn.CONCAT(D241,", ",H241,", ",I241,", ","宁夏回族自治区")</f>
        <v>寨科乡, 原州区, 固原市, 宁夏回族自治区</v>
      </c>
      <c r="G241">
        <v>10762</v>
      </c>
      <c r="H241" t="s">
        <v>546</v>
      </c>
      <c r="I241" t="s">
        <v>539</v>
      </c>
      <c r="J241" t="e">
        <f>VLOOKUP(F241,[1]!china_towns_second__2[[Column1]:[Y]],3,FALSE)</f>
        <v>#N/A</v>
      </c>
      <c r="K241" t="e">
        <f>VLOOKUP(F241,[1]!china_towns_second__2[[Column1]:[Y]],2,FALSE)</f>
        <v>#N/A</v>
      </c>
      <c r="L241" t="s">
        <v>943</v>
      </c>
      <c r="M241" t="str">
        <f>VLOOKUP(H241,CHOOSE({1,2},Table6[Native],Table6[Name]),2,0)</f>
        <v>Yuánzhōu Qū</v>
      </c>
      <c r="N241" s="15" t="str">
        <f>VLOOKUP(I241,CHOOSE({1,2},Table6[Native],Table6[Name]),2,0)</f>
        <v>Gùyuán Shì</v>
      </c>
      <c r="O241" s="15" t="str">
        <f t="shared" si="6"/>
        <v>Zhaike Xiang (Gùyuán Shì)</v>
      </c>
      <c r="P241" s="15" t="str">
        <f t="shared" si="7"/>
        <v>Zhaike Xiang (Gùyuán Shì)</v>
      </c>
    </row>
    <row r="242" spans="1:16" hidden="1" x14ac:dyDescent="0.25">
      <c r="A242" t="s">
        <v>129</v>
      </c>
      <c r="B242" t="str">
        <f>IF(COUNTIF(A:A,A242)&gt;1,_xlfn.CONCAT(A242," (",N242,")"),A242)</f>
        <v>Zhāngchéng Xiāng</v>
      </c>
      <c r="C242" t="str">
        <f>IF(COUNTIF(B:B,B242)&gt;1,_xlfn.CONCAT(A242," (",M242,")"),B242)</f>
        <v>Zhāngchéng Xiāng</v>
      </c>
      <c r="D242" t="s">
        <v>130</v>
      </c>
      <c r="E242" t="s">
        <v>11</v>
      </c>
      <c r="F242" t="str">
        <f>_xlfn.CONCAT(D242,", ",H242,", ",I242,", ","宁夏回族自治区")</f>
        <v>张程乡, 隆德县, 固原市, 宁夏回族自治区</v>
      </c>
      <c r="G242">
        <v>8170</v>
      </c>
      <c r="H242" t="s">
        <v>542</v>
      </c>
      <c r="I242" t="s">
        <v>539</v>
      </c>
      <c r="J242" t="e">
        <f>VLOOKUP(F242,[1]!china_towns_second__2[[Column1]:[Y]],3,FALSE)</f>
        <v>#N/A</v>
      </c>
      <c r="K242" t="e">
        <f>VLOOKUP(F242,[1]!china_towns_second__2[[Column1]:[Y]],2,FALSE)</f>
        <v>#N/A</v>
      </c>
      <c r="L242" t="s">
        <v>944</v>
      </c>
      <c r="M242" t="str">
        <f>VLOOKUP(H242,CHOOSE({1,2},Table6[Native],Table6[Name]),2,0)</f>
        <v>Lóngdé Xiàn</v>
      </c>
      <c r="N242" s="15" t="str">
        <f>VLOOKUP(I242,CHOOSE({1,2},Table6[Native],Table6[Name]),2,0)</f>
        <v>Gùyuán Shì</v>
      </c>
      <c r="O242" s="15" t="str">
        <f t="shared" si="6"/>
        <v>Zhangcheng Xiang (Gùyuán Shì)</v>
      </c>
      <c r="P242" s="15" t="str">
        <f t="shared" si="7"/>
        <v>Zhangcheng Xiang (Gùyuán Shì)</v>
      </c>
    </row>
    <row r="243" spans="1:16" hidden="1" x14ac:dyDescent="0.25">
      <c r="A243" t="s">
        <v>321</v>
      </c>
      <c r="B243" t="str">
        <f>IF(COUNTIF(A:A,A243)&gt;1,_xlfn.CONCAT(A243," (",N243,")"),A243)</f>
        <v>Zhāngjiāyuán Xiāng</v>
      </c>
      <c r="C243" t="str">
        <f>IF(COUNTIF(B:B,B243)&gt;1,_xlfn.CONCAT(A243," (",M243,")"),B243)</f>
        <v>Zhāngjiāyuán Xiāng</v>
      </c>
      <c r="D243" t="s">
        <v>322</v>
      </c>
      <c r="E243" t="s">
        <v>11</v>
      </c>
      <c r="F243" t="str">
        <f>_xlfn.CONCAT(D243,", ",H243,", ",I243,", ","宁夏回族自治区")</f>
        <v>张家塬乡, 同心县, 吴忠市, 宁夏回族自治区</v>
      </c>
      <c r="G243">
        <v>12657</v>
      </c>
      <c r="H243" t="s">
        <v>558</v>
      </c>
      <c r="I243" t="s">
        <v>553</v>
      </c>
      <c r="J243" t="e">
        <f>VLOOKUP(F243,[1]!china_towns_second__2[[Column1]:[Y]],3,FALSE)</f>
        <v>#N/A</v>
      </c>
      <c r="K243" t="e">
        <f>VLOOKUP(F243,[1]!china_towns_second__2[[Column1]:[Y]],2,FALSE)</f>
        <v>#N/A</v>
      </c>
      <c r="L243" t="s">
        <v>945</v>
      </c>
      <c r="M243" t="str">
        <f>VLOOKUP(H243,CHOOSE({1,2},Table6[Native],Table6[Name]),2,0)</f>
        <v>Tóngxīn Xiàn</v>
      </c>
      <c r="N243" s="15" t="str">
        <f>VLOOKUP(I243,CHOOSE({1,2},Table6[Native],Table6[Name]),2,0)</f>
        <v>Wúzhōng Shì</v>
      </c>
      <c r="O243" s="15" t="str">
        <f t="shared" si="6"/>
        <v>Zhangjiayuan Xiang (Wúzhōng Shì)</v>
      </c>
      <c r="P243" s="15" t="str">
        <f t="shared" si="7"/>
        <v>Zhangjiayuan Xiang (Wúzhōng Shì)</v>
      </c>
    </row>
    <row r="244" spans="1:16" x14ac:dyDescent="0.25">
      <c r="A244" t="s">
        <v>131</v>
      </c>
      <c r="B244" t="str">
        <f>IF(COUNTIF(A:A,A244)&gt;1,_xlfn.CONCAT(A244," (",N244,")"),A244)</f>
        <v>Zhāngyì Zhèn</v>
      </c>
      <c r="C244" t="str">
        <f>IF(COUNTIF(B:B,B244)&gt;1,_xlfn.CONCAT(A244," (",M244,")"),B244)</f>
        <v>Zhāngyì Zhèn</v>
      </c>
      <c r="D244" t="s">
        <v>132</v>
      </c>
      <c r="E244" t="s">
        <v>7</v>
      </c>
      <c r="F244" t="str">
        <f>_xlfn.CONCAT(D244,", ",H244,", ",I244,", ","宁夏回族自治区")</f>
        <v>张易镇, 原州区, 固原市, 宁夏回族自治区</v>
      </c>
      <c r="G244">
        <v>34141</v>
      </c>
      <c r="H244" t="s">
        <v>546</v>
      </c>
      <c r="I244" t="s">
        <v>539</v>
      </c>
      <c r="J244">
        <f>VLOOKUP(F244,[1]!china_towns_second__2[[Column1]:[Y]],3,FALSE)</f>
        <v>35.8482239390259</v>
      </c>
      <c r="K244">
        <f>VLOOKUP(F244,[1]!china_towns_second__2[[Column1]:[Y]],2,FALSE)</f>
        <v>106.1004514</v>
      </c>
      <c r="L244" t="s">
        <v>946</v>
      </c>
      <c r="M244" t="str">
        <f>VLOOKUP(H244,CHOOSE({1,2},Table6[Native],Table6[Name]),2,0)</f>
        <v>Yuánzhōu Qū</v>
      </c>
      <c r="N244" s="15" t="str">
        <f>VLOOKUP(I244,CHOOSE({1,2},Table6[Native],Table6[Name]),2,0)</f>
        <v>Gùyuán Shì</v>
      </c>
      <c r="O244" s="15" t="str">
        <f t="shared" si="6"/>
        <v>Zhangyi Zhen (Gùyuán Shì)</v>
      </c>
      <c r="P244" s="15" t="str">
        <f t="shared" si="7"/>
        <v>Zhangyi Zhen (Gùyuán Shì)</v>
      </c>
    </row>
    <row r="245" spans="1:16" x14ac:dyDescent="0.25">
      <c r="A245" t="s">
        <v>437</v>
      </c>
      <c r="B245" t="str">
        <f>IF(COUNTIF(A:A,A245)&gt;1,_xlfn.CONCAT(A245," (",N245,")"),A245)</f>
        <v>Zhăngzhèng Zhèn</v>
      </c>
      <c r="C245" t="str">
        <f>IF(COUNTIF(B:B,B245)&gt;1,_xlfn.CONCAT(A245," (",M245,")"),B245)</f>
        <v>Zhăngzhèng Zhèn</v>
      </c>
      <c r="D245" t="s">
        <v>438</v>
      </c>
      <c r="E245" t="s">
        <v>7</v>
      </c>
      <c r="F245" t="str">
        <f>_xlfn.CONCAT(D245,", ",H245,", ",I245,", ","宁夏回族自治区")</f>
        <v>掌政镇, 兴庆区, 银川市, 宁夏回族自治区</v>
      </c>
      <c r="G245">
        <v>34256</v>
      </c>
      <c r="H245" t="s">
        <v>566</v>
      </c>
      <c r="I245" t="s">
        <v>561</v>
      </c>
      <c r="J245">
        <f>VLOOKUP(F245,[1]!china_towns_second__2[[Column1]:[Y]],3,FALSE)</f>
        <v>38.399526248852297</v>
      </c>
      <c r="K245">
        <f>VLOOKUP(F245,[1]!china_towns_second__2[[Column1]:[Y]],2,FALSE)</f>
        <v>106.4029285</v>
      </c>
      <c r="L245" t="s">
        <v>947</v>
      </c>
      <c r="M245" t="str">
        <f>VLOOKUP(H245,CHOOSE({1,2},Table6[Native],Table6[Name]),2,0)</f>
        <v>Xīngqìng Qū</v>
      </c>
      <c r="N245" s="15" t="str">
        <f>VLOOKUP(I245,CHOOSE({1,2},Table6[Native],Table6[Name]),2,0)</f>
        <v>Yínchuān Shì</v>
      </c>
      <c r="O245" s="15" t="str">
        <f t="shared" si="6"/>
        <v>Zhangzheng Zhen (Yínchuān Shì)</v>
      </c>
      <c r="P245" s="15" t="str">
        <f t="shared" si="7"/>
        <v>Zhangzheng Zhen (Yínchuān Shì)</v>
      </c>
    </row>
    <row r="246" spans="1:16" x14ac:dyDescent="0.25">
      <c r="A246" t="s">
        <v>439</v>
      </c>
      <c r="B246" t="str">
        <f>IF(COUNTIF(A:A,A246)&gt;1,_xlfn.CONCAT(A246," (",N246,")"),A246)</f>
        <v>Zhènbĕibăo Zhèn</v>
      </c>
      <c r="C246" t="str">
        <f>IF(COUNTIF(B:B,B246)&gt;1,_xlfn.CONCAT(A246," (",M246,")"),B246)</f>
        <v>Zhènbĕibăo Zhèn</v>
      </c>
      <c r="D246" t="s">
        <v>440</v>
      </c>
      <c r="E246" t="s">
        <v>7</v>
      </c>
      <c r="F246" t="str">
        <f>_xlfn.CONCAT(D246,", ",H246,", ",I246,", ","宁夏回族自治区")</f>
        <v>镇北堡镇, 西夏区, 银川市, 宁夏回族自治区</v>
      </c>
      <c r="G246">
        <v>24706</v>
      </c>
      <c r="H246" t="s">
        <v>567</v>
      </c>
      <c r="I246" t="s">
        <v>561</v>
      </c>
      <c r="J246">
        <f>VLOOKUP(F246,[1]!china_towns_second__2[[Column1]:[Y]],3,FALSE)</f>
        <v>38.573849222412903</v>
      </c>
      <c r="K246">
        <f>VLOOKUP(F246,[1]!china_towns_second__2[[Column1]:[Y]],2,FALSE)</f>
        <v>105.96728539999999</v>
      </c>
      <c r="L246" t="s">
        <v>948</v>
      </c>
      <c r="M246" t="str">
        <f>VLOOKUP(H246,CHOOSE({1,2},Table6[Native],Table6[Name]),2,0)</f>
        <v>Xīxià Qū</v>
      </c>
      <c r="N246" s="15" t="str">
        <f>VLOOKUP(I246,CHOOSE({1,2},Table6[Native],Table6[Name]),2,0)</f>
        <v>Yínchuān Shì</v>
      </c>
      <c r="O246" s="15" t="str">
        <f t="shared" si="6"/>
        <v>Zhenbeibao Zhen (Yínchuān Shì)</v>
      </c>
      <c r="P246" s="15" t="str">
        <f t="shared" si="7"/>
        <v>Zhenbeibao Zhen (Yínchuān Shì)</v>
      </c>
    </row>
    <row r="247" spans="1:16" hidden="1" x14ac:dyDescent="0.25">
      <c r="A247" t="s">
        <v>525</v>
      </c>
      <c r="B247" t="str">
        <f>IF(COUNTIF(A:A,A247)&gt;1,_xlfn.CONCAT(A247," (",N247,")"),A247)</f>
        <v>Zhèngqí Xiāng</v>
      </c>
      <c r="C247" t="str">
        <f>IF(COUNTIF(B:B,B247)&gt;1,_xlfn.CONCAT(A247," (",M247,")"),B247)</f>
        <v>Zhèngqí Xiāng</v>
      </c>
      <c r="D247" t="s">
        <v>526</v>
      </c>
      <c r="E247" t="s">
        <v>11</v>
      </c>
      <c r="F247" t="str">
        <f>_xlfn.CONCAT(D247,", ",H247,", ",I247,", ","宁夏回族自治区")</f>
        <v>郑旗乡, 海原县, 中卫市, 宁夏回族自治区</v>
      </c>
      <c r="G247">
        <v>17447</v>
      </c>
      <c r="H247" t="s">
        <v>571</v>
      </c>
      <c r="I247" t="s">
        <v>570</v>
      </c>
      <c r="J247" t="e">
        <f>VLOOKUP(F247,[1]!china_towns_second__2[[Column1]:[Y]],3,FALSE)</f>
        <v>#N/A</v>
      </c>
      <c r="K247" t="e">
        <f>VLOOKUP(F247,[1]!china_towns_second__2[[Column1]:[Y]],2,FALSE)</f>
        <v>#N/A</v>
      </c>
      <c r="L247" t="s">
        <v>949</v>
      </c>
      <c r="M247" t="str">
        <f>VLOOKUP(H247,CHOOSE({1,2},Table6[Native],Table6[Name]),2,0)</f>
        <v>Hăiyuán Xiàn</v>
      </c>
      <c r="N247" s="15" t="str">
        <f>VLOOKUP(I247,CHOOSE({1,2},Table6[Native],Table6[Name]),2,0)</f>
        <v>Zhōngwèi Shì</v>
      </c>
      <c r="O247" s="15" t="str">
        <f t="shared" si="6"/>
        <v>Zhengqi Xiang (Zhōngwèi Shì)</v>
      </c>
      <c r="P247" s="15" t="str">
        <f t="shared" si="7"/>
        <v>Zhengqi Xiang (Zhōngwèi Shì)</v>
      </c>
    </row>
    <row r="248" spans="1:16" hidden="1" x14ac:dyDescent="0.25">
      <c r="A248" t="s">
        <v>133</v>
      </c>
      <c r="B248" t="str">
        <f>IF(COUNTIF(A:A,A248)&gt;1,_xlfn.CONCAT(A248," (",N248,")"),A248)</f>
        <v>Zhènhú Xiāng</v>
      </c>
      <c r="C248" t="str">
        <f>IF(COUNTIF(B:B,B248)&gt;1,_xlfn.CONCAT(A248," (",M248,")"),B248)</f>
        <v>Zhènhú Xiāng</v>
      </c>
      <c r="D248" t="s">
        <v>134</v>
      </c>
      <c r="E248" t="s">
        <v>11</v>
      </c>
      <c r="F248" t="str">
        <f>_xlfn.CONCAT(D248,", ",H248,", ",I248,", ","宁夏回族自治区")</f>
        <v>震湖乡, 西吉县, 固原市, 宁夏回族自治区</v>
      </c>
      <c r="G248">
        <v>13632</v>
      </c>
      <c r="H248" t="s">
        <v>544</v>
      </c>
      <c r="I248" t="s">
        <v>539</v>
      </c>
      <c r="J248" t="e">
        <f>VLOOKUP(F248,[1]!china_towns_second__2[[Column1]:[Y]],3,FALSE)</f>
        <v>#N/A</v>
      </c>
      <c r="K248" t="e">
        <f>VLOOKUP(F248,[1]!china_towns_second__2[[Column1]:[Y]],2,FALSE)</f>
        <v>#N/A</v>
      </c>
      <c r="L248" t="s">
        <v>950</v>
      </c>
      <c r="M248" t="str">
        <f>VLOOKUP(H248,CHOOSE({1,2},Table6[Native],Table6[Name]),2,0)</f>
        <v>Xījí Xiàn</v>
      </c>
      <c r="N248" s="15" t="str">
        <f>VLOOKUP(I248,CHOOSE({1,2},Table6[Native],Table6[Name]),2,0)</f>
        <v>Gùyuán Shì</v>
      </c>
      <c r="O248" s="15" t="str">
        <f t="shared" si="6"/>
        <v>Zhenhu Xiang (Gùyuán Shì)</v>
      </c>
      <c r="P248" s="15" t="str">
        <f t="shared" si="7"/>
        <v>Zhenhu Xiang (Gùyuán Shì)</v>
      </c>
    </row>
    <row r="249" spans="1:16" x14ac:dyDescent="0.25">
      <c r="A249" t="s">
        <v>527</v>
      </c>
      <c r="B249" t="str">
        <f>IF(COUNTIF(A:A,A249)&gt;1,_xlfn.CONCAT(A249," (",N249,")"),A249)</f>
        <v>Zhènluó Zhèn</v>
      </c>
      <c r="C249" t="str">
        <f>IF(COUNTIF(B:B,B249)&gt;1,_xlfn.CONCAT(A249," (",M249,")"),B249)</f>
        <v>Zhènluó Zhèn</v>
      </c>
      <c r="D249" t="s">
        <v>528</v>
      </c>
      <c r="E249" t="s">
        <v>7</v>
      </c>
      <c r="F249" t="str">
        <f>_xlfn.CONCAT(D249,", ",H249,", ",I249,", ","宁夏回族自治区")</f>
        <v>镇罗镇, 沙坡头区, 中卫市, 宁夏回族自治区</v>
      </c>
      <c r="G249">
        <v>25661</v>
      </c>
      <c r="H249" t="s">
        <v>572</v>
      </c>
      <c r="I249" t="s">
        <v>570</v>
      </c>
      <c r="J249">
        <f>VLOOKUP(F249,[1]!china_towns_second__2[[Column1]:[Y]],3,FALSE)</f>
        <v>37.525978599624899</v>
      </c>
      <c r="K249">
        <f>VLOOKUP(F249,[1]!china_towns_second__2[[Column1]:[Y]],2,FALSE)</f>
        <v>105.365634</v>
      </c>
      <c r="L249" t="s">
        <v>951</v>
      </c>
      <c r="M249" t="str">
        <f>VLOOKUP(H249,CHOOSE({1,2},Table6[Native],Table6[Name]),2,0)</f>
        <v>Shāpōtóu Qū</v>
      </c>
      <c r="N249" s="15" t="str">
        <f>VLOOKUP(I249,CHOOSE({1,2},Table6[Native],Table6[Name]),2,0)</f>
        <v>Zhōngwèi Shì</v>
      </c>
      <c r="O249" s="15" t="str">
        <f t="shared" si="6"/>
        <v>Zhenluo Zhen (Zhōngwèi Shì)</v>
      </c>
      <c r="P249" s="15" t="str">
        <f t="shared" si="7"/>
        <v>Zhenluo Zhen (Zhōngwèi Shì)</v>
      </c>
    </row>
    <row r="250" spans="1:16" hidden="1" x14ac:dyDescent="0.25">
      <c r="A250" t="s">
        <v>135</v>
      </c>
      <c r="B250" t="str">
        <f>IF(COUNTIF(A:A,A250)&gt;1,_xlfn.CONCAT(A250," (",N250,")"),A250)</f>
        <v>Zhōnghé Xiāng</v>
      </c>
      <c r="C250" t="str">
        <f>IF(COUNTIF(B:B,B250)&gt;1,_xlfn.CONCAT(A250," (",M250,")"),B250)</f>
        <v>Zhōnghé Xiāng</v>
      </c>
      <c r="D250" t="s">
        <v>136</v>
      </c>
      <c r="E250" t="s">
        <v>11</v>
      </c>
      <c r="F250" t="str">
        <f>_xlfn.CONCAT(D250,", ",H250,", ",I250,", ","宁夏回族自治区")</f>
        <v>中河乡, 原州区, 固原市, 宁夏回族自治区</v>
      </c>
      <c r="G250">
        <v>24691</v>
      </c>
      <c r="H250" t="s">
        <v>546</v>
      </c>
      <c r="I250" t="s">
        <v>539</v>
      </c>
      <c r="J250" t="e">
        <f>VLOOKUP(F250,[1]!china_towns_second__2[[Column1]:[Y]],3,FALSE)</f>
        <v>#N/A</v>
      </c>
      <c r="K250" t="e">
        <f>VLOOKUP(F250,[1]!china_towns_second__2[[Column1]:[Y]],2,FALSE)</f>
        <v>#N/A</v>
      </c>
      <c r="L250" t="s">
        <v>952</v>
      </c>
      <c r="M250" t="str">
        <f>VLOOKUP(H250,CHOOSE({1,2},Table6[Native],Table6[Name]),2,0)</f>
        <v>Yuánzhōu Qū</v>
      </c>
      <c r="N250" s="15" t="str">
        <f>VLOOKUP(I250,CHOOSE({1,2},Table6[Native],Table6[Name]),2,0)</f>
        <v>Gùyuán Shì</v>
      </c>
      <c r="O250" s="15" t="str">
        <f t="shared" si="6"/>
        <v>Zhonghe Xiang (Gùyuán Shì)</v>
      </c>
      <c r="P250" s="15" t="str">
        <f t="shared" si="7"/>
        <v>Zhonghe Xiang (Gùyuán Shì)</v>
      </c>
    </row>
    <row r="251" spans="1:16" hidden="1" x14ac:dyDescent="0.25">
      <c r="A251" t="s">
        <v>218</v>
      </c>
      <c r="B251" t="str">
        <f>IF(COUNTIF(A:A,A251)&gt;1,_xlfn.CONCAT(A251," (",N251,")"),A251)</f>
        <v>Zhōngjiē Jiēdào</v>
      </c>
      <c r="C251" t="str">
        <f>IF(COUNTIF(B:B,B251)&gt;1,_xlfn.CONCAT(A251," (",M251,")"),B251)</f>
        <v>Zhōngjiē Jiēdào</v>
      </c>
      <c r="D251" t="s">
        <v>219</v>
      </c>
      <c r="E251" t="s">
        <v>52</v>
      </c>
      <c r="F251" t="str">
        <f>_xlfn.CONCAT(D251,", ",H251,", ",I251,", ","宁夏回族自治区")</f>
        <v>中街街道, 惠农区, 石嘴山市, 宁夏回族自治区</v>
      </c>
      <c r="G251">
        <v>16595</v>
      </c>
      <c r="H251" t="s">
        <v>550</v>
      </c>
      <c r="I251" t="s">
        <v>548</v>
      </c>
      <c r="J251">
        <f>VLOOKUP(F251,[1]!china_towns_second__2[[Column1]:[Y]],3,FALSE)</f>
        <v>39.2398470941271</v>
      </c>
      <c r="K251">
        <f>VLOOKUP(F251,[1]!china_towns_second__2[[Column1]:[Y]],2,FALSE)</f>
        <v>106.76576180000001</v>
      </c>
      <c r="L251" t="s">
        <v>953</v>
      </c>
      <c r="M251" t="str">
        <f>VLOOKUP(H251,CHOOSE({1,2},Table6[Native],Table6[Name]),2,0)</f>
        <v>Huìnóng Qū</v>
      </c>
      <c r="N251" s="15" t="str">
        <f>VLOOKUP(I251,CHOOSE({1,2},Table6[Native],Table6[Name]),2,0)</f>
        <v>Shízuĭshān Shì</v>
      </c>
      <c r="O251" s="15" t="str">
        <f t="shared" si="6"/>
        <v>Zhongjie Jiedao (Shízuĭshān Shì)</v>
      </c>
      <c r="P251" s="15" t="str">
        <f t="shared" si="7"/>
        <v>Zhongjie Jiedao (Shízuĭshān Shì)</v>
      </c>
    </row>
    <row r="252" spans="1:16" hidden="1" x14ac:dyDescent="0.25">
      <c r="A252" t="s">
        <v>441</v>
      </c>
      <c r="B252" t="str">
        <f>IF(COUNTIF(A:A,A252)&gt;1,_xlfn.CONCAT(A252," (",N252,")"),A252)</f>
        <v>Zhōngshān Nánjiē Jiēdào</v>
      </c>
      <c r="C252" t="str">
        <f>IF(COUNTIF(B:B,B252)&gt;1,_xlfn.CONCAT(A252," (",M252,")"),B252)</f>
        <v>Zhōngshān Nánjiē Jiēdào</v>
      </c>
      <c r="D252" t="s">
        <v>442</v>
      </c>
      <c r="E252" t="s">
        <v>52</v>
      </c>
      <c r="F252" t="str">
        <f>_xlfn.CONCAT(D252,", ",H252,", ",I252,", ","宁夏回族自治区")</f>
        <v>中山南街街道, 兴庆区, 银川市, 宁夏回族自治区</v>
      </c>
      <c r="G252">
        <v>28996</v>
      </c>
      <c r="H252" t="s">
        <v>566</v>
      </c>
      <c r="I252" t="s">
        <v>561</v>
      </c>
      <c r="J252">
        <f>VLOOKUP(F252,[1]!china_towns_second__2[[Column1]:[Y]],3,FALSE)</f>
        <v>38.458340350255398</v>
      </c>
      <c r="K252">
        <f>VLOOKUP(F252,[1]!china_towns_second__2[[Column1]:[Y]],2,FALSE)</f>
        <v>106.28634630000001</v>
      </c>
      <c r="L252" t="s">
        <v>954</v>
      </c>
      <c r="M252" t="str">
        <f>VLOOKUP(H252,CHOOSE({1,2},Table6[Native],Table6[Name]),2,0)</f>
        <v>Xīngqìng Qū</v>
      </c>
      <c r="N252" s="15" t="str">
        <f>VLOOKUP(I252,CHOOSE({1,2},Table6[Native],Table6[Name]),2,0)</f>
        <v>Yínchuān Shì</v>
      </c>
      <c r="O252" s="15" t="str">
        <f t="shared" si="6"/>
        <v>Zhongshan Nanjie Jiedao (Yínchuān Shì)</v>
      </c>
      <c r="P252" s="15" t="str">
        <f t="shared" si="7"/>
        <v>Zhongshan Nanjie Jiedao (Yínchuān Shì)</v>
      </c>
    </row>
    <row r="253" spans="1:16" hidden="1" x14ac:dyDescent="0.25">
      <c r="A253" t="s">
        <v>529</v>
      </c>
      <c r="B253" t="str">
        <f>IF(COUNTIF(A:A,A253)&gt;1,_xlfn.CONCAT(A253," (",N253,")"),A253)</f>
        <v>Zhōngwèi Gōngyè Yuánqū [Mĕilì Gōngyè Yuánqū]</v>
      </c>
      <c r="C253" t="str">
        <f>IF(COUNTIF(B:B,B253)&gt;1,_xlfn.CONCAT(A253," (",M253,")"),B253)</f>
        <v>Zhōngwèi Gōngyè Yuánqū [Mĕilì Gōngyè Yuánqū]</v>
      </c>
      <c r="D253" t="s">
        <v>530</v>
      </c>
      <c r="E253" t="s">
        <v>165</v>
      </c>
      <c r="F253" t="str">
        <f>_xlfn.CONCAT(D253,", ",H253,", ",I253,", ","宁夏回族自治区")</f>
        <v>中卫工业园区, 沙坡头区, 中卫市, 宁夏回族自治区</v>
      </c>
      <c r="G253">
        <v>1032</v>
      </c>
      <c r="H253" t="s">
        <v>572</v>
      </c>
      <c r="I253" t="s">
        <v>570</v>
      </c>
      <c r="J253">
        <f>VLOOKUP(F253,[1]!china_towns_second__2[[Column1]:[Y]],3,FALSE)</f>
        <v>37.615462353324702</v>
      </c>
      <c r="K253">
        <f>VLOOKUP(F253,[1]!china_towns_second__2[[Column1]:[Y]],2,FALSE)</f>
        <v>105.2659518</v>
      </c>
      <c r="L253" t="s">
        <v>955</v>
      </c>
      <c r="M253" t="str">
        <f>VLOOKUP(H253,CHOOSE({1,2},Table6[Native],Table6[Name]),2,0)</f>
        <v>Shāpōtóu Qū</v>
      </c>
      <c r="N253" s="15" t="str">
        <f>VLOOKUP(I253,CHOOSE({1,2},Table6[Native],Table6[Name]),2,0)</f>
        <v>Zhōngwèi Shì</v>
      </c>
      <c r="O253" s="15" t="str">
        <f t="shared" si="6"/>
        <v>Zhongwei Gongye Yuanqu [Meili Gongye Yuanqu] (Zhōngwèi Shì)</v>
      </c>
      <c r="P253" s="15" t="str">
        <f t="shared" si="7"/>
        <v>Zhongwei Gongye Yuanqu [Meili Gongye Yuanqu] (Zhōngwèi Shì)</v>
      </c>
    </row>
    <row r="254" spans="1:16" hidden="1" x14ac:dyDescent="0.25">
      <c r="A254" t="s">
        <v>531</v>
      </c>
      <c r="B254" t="str">
        <f>IF(COUNTIF(A:A,A254)&gt;1,_xlfn.CONCAT(A254," (",N254,")"),A254)</f>
        <v>Zhōngwèi Shānyáng Xuănyù Chăng</v>
      </c>
      <c r="C254" t="str">
        <f>IF(COUNTIF(B:B,B254)&gt;1,_xlfn.CONCAT(A254," (",M254,")"),B254)</f>
        <v>Zhōngwèi Shānyáng Xuănyù Chăng</v>
      </c>
      <c r="D254" t="s">
        <v>532</v>
      </c>
      <c r="E254" t="s">
        <v>165</v>
      </c>
      <c r="F254" t="str">
        <f>_xlfn.CONCAT(D254,", ",H254,", ",I254,", ","宁夏回族自治区")</f>
        <v>中卫山羊选育场, 沙坡头区, 中卫市, 宁夏回族自治区</v>
      </c>
      <c r="G254">
        <v>1995</v>
      </c>
      <c r="H254" t="s">
        <v>572</v>
      </c>
      <c r="I254" t="s">
        <v>570</v>
      </c>
      <c r="J254">
        <f>VLOOKUP(F254,[1]!china_towns_second__2[[Column1]:[Y]],3,FALSE)</f>
        <v>37.3801177510122</v>
      </c>
      <c r="K254">
        <f>VLOOKUP(F254,[1]!china_towns_second__2[[Column1]:[Y]],2,FALSE)</f>
        <v>105.5003279</v>
      </c>
      <c r="L254" t="s">
        <v>956</v>
      </c>
      <c r="M254" t="str">
        <f>VLOOKUP(H254,CHOOSE({1,2},Table6[Native],Table6[Name]),2,0)</f>
        <v>Shāpōtóu Qū</v>
      </c>
      <c r="N254" s="15" t="str">
        <f>VLOOKUP(I254,CHOOSE({1,2},Table6[Native],Table6[Name]),2,0)</f>
        <v>Zhōngwèi Shì</v>
      </c>
      <c r="O254" s="15" t="str">
        <f t="shared" si="6"/>
        <v>Zhongwei Shanyang Xuanyu Chang (Zhōngwèi Shì)</v>
      </c>
      <c r="P254" s="15" t="str">
        <f t="shared" si="7"/>
        <v>Zhongwei Shanyang Xuanyu Chang (Zhōngwèi Shì)</v>
      </c>
    </row>
    <row r="255" spans="1:16" hidden="1" x14ac:dyDescent="0.25">
      <c r="A255" t="s">
        <v>533</v>
      </c>
      <c r="B255" t="str">
        <f>IF(COUNTIF(A:A,A255)&gt;1,_xlfn.CONCAT(A255," (",N255,")"),A255)</f>
        <v>Zhŏngyáng Chăng</v>
      </c>
      <c r="C255" t="str">
        <f>IF(COUNTIF(B:B,B255)&gt;1,_xlfn.CONCAT(A255," (",M255,")"),B255)</f>
        <v>Zhŏngyáng Chăng</v>
      </c>
      <c r="D255" t="s">
        <v>534</v>
      </c>
      <c r="E255" t="s">
        <v>165</v>
      </c>
      <c r="F255" t="str">
        <f>_xlfn.CONCAT(D255,", ",H255,", ",I255,", ","宁夏回族自治区")</f>
        <v>种羊场, 海原县, 中卫市, 宁夏回族自治区</v>
      </c>
      <c r="G255">
        <v>3409</v>
      </c>
      <c r="H255" t="s">
        <v>571</v>
      </c>
      <c r="I255" t="s">
        <v>570</v>
      </c>
      <c r="J255">
        <f>VLOOKUP(F255,[1]!china_towns_second__2[[Column1]:[Y]],3,FALSE)</f>
        <v>36.624286863675202</v>
      </c>
      <c r="K255">
        <f>VLOOKUP(F255,[1]!china_towns_second__2[[Column1]:[Y]],2,FALSE)</f>
        <v>105.2853957</v>
      </c>
      <c r="L255" t="s">
        <v>957</v>
      </c>
      <c r="M255" t="str">
        <f>VLOOKUP(H255,CHOOSE({1,2},Table6[Native],Table6[Name]),2,0)</f>
        <v>Hăiyuán Xiàn</v>
      </c>
      <c r="N255" s="15" t="str">
        <f>VLOOKUP(I255,CHOOSE({1,2},Table6[Native],Table6[Name]),2,0)</f>
        <v>Zhōngwèi Shì</v>
      </c>
      <c r="O255" s="15" t="str">
        <f t="shared" si="6"/>
        <v>Zhongyang Chang (Zhōngwèi Shì)</v>
      </c>
      <c r="P255" s="15" t="str">
        <f t="shared" si="7"/>
        <v>Zhongyang Chang (Zhōngwèi Shì)</v>
      </c>
    </row>
    <row r="256" spans="1:16" hidden="1" x14ac:dyDescent="0.25">
      <c r="A256" t="s">
        <v>535</v>
      </c>
      <c r="B256" t="str">
        <f>IF(COUNTIF(A:A,A256)&gt;1,_xlfn.CONCAT(A256," (",N256,")"),A256)</f>
        <v>Zhōută Xiāng</v>
      </c>
      <c r="C256" t="str">
        <f>IF(COUNTIF(B:B,B256)&gt;1,_xlfn.CONCAT(A256," (",M256,")"),B256)</f>
        <v>Zhōută Xiāng</v>
      </c>
      <c r="D256" t="s">
        <v>536</v>
      </c>
      <c r="E256" t="s">
        <v>11</v>
      </c>
      <c r="F256" t="str">
        <f>_xlfn.CONCAT(D256,", ",H256,", ",I256,", ","宁夏回族自治区")</f>
        <v>舟塔乡, 中宁县, 中卫市, 宁夏回族自治区</v>
      </c>
      <c r="G256">
        <v>23794</v>
      </c>
      <c r="H256" t="s">
        <v>573</v>
      </c>
      <c r="I256" t="s">
        <v>570</v>
      </c>
      <c r="J256" t="e">
        <f>VLOOKUP(F256,[1]!china_towns_second__2[[Column1]:[Y]],3,FALSE)</f>
        <v>#N/A</v>
      </c>
      <c r="K256" t="e">
        <f>VLOOKUP(F256,[1]!china_towns_second__2[[Column1]:[Y]],2,FALSE)</f>
        <v>#N/A</v>
      </c>
      <c r="L256" t="s">
        <v>958</v>
      </c>
      <c r="M256" t="str">
        <f>VLOOKUP(H256,CHOOSE({1,2},Table6[Native],Table6[Name]),2,0)</f>
        <v>Zhōngníng Xiàn</v>
      </c>
      <c r="N256" s="15" t="str">
        <f>VLOOKUP(I256,CHOOSE({1,2},Table6[Native],Table6[Name]),2,0)</f>
        <v>Zhōngwèi Shì</v>
      </c>
      <c r="O256" s="15" t="str">
        <f t="shared" si="6"/>
        <v>Zhouta Xiang (Zhōngwèi Shì)</v>
      </c>
      <c r="P256" s="15" t="str">
        <f t="shared" si="7"/>
        <v>Zhouta Xiang (Zhōngwèi Shì)</v>
      </c>
    </row>
  </sheetData>
  <phoneticPr fontId="3" type="noConversion"/>
  <conditionalFormatting sqref="J2:J256">
    <cfRule type="expression" dxfId="12" priority="7">
      <formula>ISERROR(J2)</formula>
    </cfRule>
  </conditionalFormatting>
  <conditionalFormatting sqref="A2:A256">
    <cfRule type="duplicateValues" dxfId="11" priority="6"/>
  </conditionalFormatting>
  <conditionalFormatting sqref="B2:B256">
    <cfRule type="duplicateValues" dxfId="10" priority="5"/>
  </conditionalFormatting>
  <conditionalFormatting sqref="C2:C256">
    <cfRule type="duplicateValues" dxfId="9" priority="4"/>
  </conditionalFormatting>
  <conditionalFormatting sqref="L2:L256">
    <cfRule type="duplicateValues" dxfId="8" priority="3"/>
  </conditionalFormatting>
  <conditionalFormatting sqref="O2:O256">
    <cfRule type="duplicateValues" dxfId="7" priority="2"/>
  </conditionalFormatting>
  <conditionalFormatting sqref="P2:P25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78EDF-38AC-4F66-B38E-F3E2EEC6ECA0}">
  <dimension ref="A1:E8"/>
  <sheetViews>
    <sheetView workbookViewId="0">
      <selection activeCell="C2" sqref="C2:C8"/>
    </sheetView>
  </sheetViews>
  <sheetFormatPr defaultRowHeight="15" x14ac:dyDescent="0.25"/>
  <cols>
    <col min="1" max="3" width="11.28515625" customWidth="1"/>
  </cols>
  <sheetData>
    <row r="1" spans="1:5" x14ac:dyDescent="0.25">
      <c r="A1" t="s">
        <v>579</v>
      </c>
      <c r="B1" t="s">
        <v>589</v>
      </c>
      <c r="C1" t="s">
        <v>581</v>
      </c>
      <c r="D1" t="s">
        <v>582</v>
      </c>
      <c r="E1" t="s">
        <v>583</v>
      </c>
    </row>
    <row r="2" spans="1:5" x14ac:dyDescent="0.25">
      <c r="A2" t="s">
        <v>570</v>
      </c>
      <c r="B2" t="str">
        <f>VLOOKUP(A2,CHOOSE({1,2},Table6[Native],Table6[Name]),2,0)</f>
        <v>Zhōngwèi Shì</v>
      </c>
      <c r="C2">
        <v>83376</v>
      </c>
      <c r="D2">
        <f>VLOOKUP(A2,[1]!Table1[[name]:[@lon]],5,0)</f>
        <v>36.935161399999998</v>
      </c>
      <c r="E2">
        <f>VLOOKUP(A2,[1]!Table1[[name]:[@lon]],6,0)</f>
        <v>105.375185</v>
      </c>
    </row>
    <row r="3" spans="1:5" x14ac:dyDescent="0.25">
      <c r="A3" t="s">
        <v>557</v>
      </c>
      <c r="B3" t="str">
        <f>VLOOKUP(A3,CHOOSE({1,2},Table6[Native],Table6[Name]),2,0)</f>
        <v>Qīngtóngxiá Shì</v>
      </c>
      <c r="C3">
        <v>63998</v>
      </c>
      <c r="D3">
        <f>VLOOKUP(A3,[1]!Table1[[name]:[@lon]],5,0)</f>
        <v>37.934522100000002</v>
      </c>
      <c r="E3">
        <f>VLOOKUP(A3,[1]!Table1[[name]:[@lon]],6,0)</f>
        <v>105.9154352</v>
      </c>
    </row>
    <row r="4" spans="1:5" x14ac:dyDescent="0.25">
      <c r="A4" t="s">
        <v>553</v>
      </c>
      <c r="B4" t="str">
        <f>VLOOKUP(A4,CHOOSE({1,2},Table6[Native],Table6[Name]),2,0)</f>
        <v>Wúzhōng Shì</v>
      </c>
      <c r="C4">
        <v>14332</v>
      </c>
      <c r="D4">
        <f>VLOOKUP(A4,[1]!Table1[[name]:[@lon]],5,0)</f>
        <v>37.4196806</v>
      </c>
      <c r="E4">
        <f>VLOOKUP(A4,[1]!Table1[[name]:[@lon]],6,0)</f>
        <v>106.6041182</v>
      </c>
    </row>
    <row r="5" spans="1:5" x14ac:dyDescent="0.25">
      <c r="A5" t="s">
        <v>539</v>
      </c>
      <c r="B5" t="str">
        <f>VLOOKUP(A5,CHOOSE({1,2},Table6[Native],Table6[Name]),2,0)</f>
        <v>Gùyuán Shì</v>
      </c>
      <c r="C5">
        <v>161069</v>
      </c>
      <c r="D5">
        <f>VLOOKUP(A5,[1]!Table1[[name]:[@lon]],5,0)</f>
        <v>35.8792349</v>
      </c>
      <c r="E5">
        <f>VLOOKUP(A5,[1]!Table1[[name]:[@lon]],6,0)</f>
        <v>106.1372993</v>
      </c>
    </row>
    <row r="6" spans="1:5" x14ac:dyDescent="0.25">
      <c r="A6" t="s">
        <v>548</v>
      </c>
      <c r="B6" t="str">
        <f>VLOOKUP(A6,CHOOSE({1,2},Table6[Native],Table6[Name]),2,0)</f>
        <v>Shízuĭshān Shì</v>
      </c>
      <c r="C6">
        <v>356702</v>
      </c>
      <c r="D6">
        <f>VLOOKUP(A6,[1]!Table1[[name]:[@lon]],5,0)</f>
        <v>38.9911709</v>
      </c>
      <c r="E6">
        <f>VLOOKUP(A6,[1]!Table1[[name]:[@lon]],6,0)</f>
        <v>106.4651147</v>
      </c>
    </row>
    <row r="7" spans="1:5" x14ac:dyDescent="0.25">
      <c r="A7" t="s">
        <v>565</v>
      </c>
      <c r="B7" t="str">
        <f>VLOOKUP(A7,CHOOSE({1,2},Table6[Native],Table6[Name]),2,0)</f>
        <v>Língwŭ Shì</v>
      </c>
      <c r="C7">
        <v>62812</v>
      </c>
      <c r="D7">
        <f>VLOOKUP(A7,[1]!Table1[[name]:[@lon]],5,0)</f>
        <v>37.9990442</v>
      </c>
      <c r="E7">
        <f>VLOOKUP(A7,[1]!Table1[[name]:[@lon]],6,0)</f>
        <v>106.5408623</v>
      </c>
    </row>
    <row r="8" spans="1:5" x14ac:dyDescent="0.25">
      <c r="A8" t="s">
        <v>561</v>
      </c>
      <c r="B8" t="str">
        <f>VLOOKUP(A8,CHOOSE({1,2},Table6[Native],Table6[Name]),2,0)</f>
        <v>Yínchuān Shì</v>
      </c>
      <c r="C8">
        <v>1098096</v>
      </c>
      <c r="D8">
        <f>VLOOKUP(A8,[1]!Table1[[name]:[@lon]],5,0)</f>
        <v>38.259071300000002</v>
      </c>
      <c r="E8">
        <f>VLOOKUP(A8,[1]!Table1[[name]:[@lon]],6,0)</f>
        <v>106.34633909999999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1A35E-254D-4A1B-92AA-410708511E55}">
  <dimension ref="A1:I108"/>
  <sheetViews>
    <sheetView tabSelected="1" topLeftCell="A81" workbookViewId="0">
      <selection sqref="A1:I108"/>
    </sheetView>
  </sheetViews>
  <sheetFormatPr defaultRowHeight="15" x14ac:dyDescent="0.25"/>
  <sheetData>
    <row r="1" spans="1:9" x14ac:dyDescent="0.25">
      <c r="A1" t="s">
        <v>590</v>
      </c>
      <c r="B1" t="s">
        <v>595</v>
      </c>
      <c r="C1" t="s">
        <v>594</v>
      </c>
      <c r="D1">
        <v>35.879648060000001</v>
      </c>
      <c r="E1" t="s">
        <v>591</v>
      </c>
      <c r="F1">
        <v>106.64875050000001</v>
      </c>
      <c r="G1" t="s">
        <v>592</v>
      </c>
      <c r="H1">
        <v>52691</v>
      </c>
      <c r="I1" t="s">
        <v>593</v>
      </c>
    </row>
    <row r="2" spans="1:9" x14ac:dyDescent="0.25">
      <c r="A2" t="s">
        <v>590</v>
      </c>
      <c r="B2" t="s">
        <v>613</v>
      </c>
      <c r="C2" t="s">
        <v>594</v>
      </c>
      <c r="D2">
        <v>39.052158390000002</v>
      </c>
      <c r="E2" t="s">
        <v>591</v>
      </c>
      <c r="F2">
        <v>106.73573519999999</v>
      </c>
      <c r="G2" t="s">
        <v>592</v>
      </c>
      <c r="H2">
        <v>10552</v>
      </c>
      <c r="I2" t="s">
        <v>593</v>
      </c>
    </row>
    <row r="3" spans="1:9" x14ac:dyDescent="0.25">
      <c r="A3" t="s">
        <v>590</v>
      </c>
      <c r="B3" t="s">
        <v>623</v>
      </c>
      <c r="C3" t="s">
        <v>594</v>
      </c>
      <c r="D3">
        <v>37.710231919999998</v>
      </c>
      <c r="E3" t="s">
        <v>591</v>
      </c>
      <c r="F3">
        <v>106.3899303</v>
      </c>
      <c r="G3" t="s">
        <v>592</v>
      </c>
      <c r="H3">
        <v>16921</v>
      </c>
      <c r="I3" t="s">
        <v>593</v>
      </c>
    </row>
    <row r="4" spans="1:9" x14ac:dyDescent="0.25">
      <c r="A4" t="s">
        <v>590</v>
      </c>
      <c r="B4" t="s">
        <v>672</v>
      </c>
      <c r="C4" t="s">
        <v>594</v>
      </c>
      <c r="D4">
        <v>37.500250389999998</v>
      </c>
      <c r="E4" t="s">
        <v>591</v>
      </c>
      <c r="F4">
        <v>105.1614289</v>
      </c>
      <c r="G4" t="s">
        <v>592</v>
      </c>
      <c r="H4">
        <v>66331</v>
      </c>
      <c r="I4" t="s">
        <v>593</v>
      </c>
    </row>
    <row r="5" spans="1:9" x14ac:dyDescent="0.25">
      <c r="A5" t="s">
        <v>590</v>
      </c>
      <c r="B5" t="s">
        <v>673</v>
      </c>
      <c r="C5" t="s">
        <v>594</v>
      </c>
      <c r="D5">
        <v>37.287896449999998</v>
      </c>
      <c r="E5" t="s">
        <v>591</v>
      </c>
      <c r="F5">
        <v>105.143175</v>
      </c>
      <c r="G5" t="s">
        <v>592</v>
      </c>
      <c r="H5">
        <v>18573</v>
      </c>
      <c r="I5" t="s">
        <v>593</v>
      </c>
    </row>
    <row r="6" spans="1:9" x14ac:dyDescent="0.25">
      <c r="A6" t="s">
        <v>590</v>
      </c>
      <c r="B6" t="s">
        <v>596</v>
      </c>
      <c r="C6" t="s">
        <v>594</v>
      </c>
      <c r="D6">
        <v>38.898129590000003</v>
      </c>
      <c r="E6" t="s">
        <v>591</v>
      </c>
      <c r="F6">
        <v>106.4905066</v>
      </c>
      <c r="G6" t="s">
        <v>592</v>
      </c>
      <c r="H6">
        <v>91912</v>
      </c>
      <c r="I6" t="s">
        <v>593</v>
      </c>
    </row>
    <row r="7" spans="1:9" x14ac:dyDescent="0.25">
      <c r="A7" t="s">
        <v>590</v>
      </c>
      <c r="B7" t="s">
        <v>596</v>
      </c>
      <c r="C7" t="s">
        <v>594</v>
      </c>
      <c r="D7">
        <v>35.619714360000003</v>
      </c>
      <c r="E7" t="s">
        <v>591</v>
      </c>
      <c r="F7">
        <v>106.12343319999999</v>
      </c>
      <c r="G7" t="s">
        <v>592</v>
      </c>
      <c r="H7">
        <v>39117</v>
      </c>
      <c r="I7" t="s">
        <v>593</v>
      </c>
    </row>
    <row r="8" spans="1:9" x14ac:dyDescent="0.25">
      <c r="A8" t="s">
        <v>590</v>
      </c>
      <c r="B8" t="s">
        <v>624</v>
      </c>
      <c r="C8" t="s">
        <v>594</v>
      </c>
      <c r="D8">
        <v>38.034656810000001</v>
      </c>
      <c r="E8" t="s">
        <v>591</v>
      </c>
      <c r="F8">
        <v>106.1476201</v>
      </c>
      <c r="G8" t="s">
        <v>592</v>
      </c>
      <c r="H8">
        <v>16380</v>
      </c>
      <c r="I8" t="s">
        <v>593</v>
      </c>
    </row>
    <row r="9" spans="1:9" x14ac:dyDescent="0.25">
      <c r="A9" t="s">
        <v>590</v>
      </c>
      <c r="B9" t="s">
        <v>614</v>
      </c>
      <c r="C9" t="s">
        <v>594</v>
      </c>
      <c r="D9">
        <v>38.908935360000001</v>
      </c>
      <c r="E9" t="s">
        <v>591</v>
      </c>
      <c r="F9">
        <v>106.1425127</v>
      </c>
      <c r="G9" t="s">
        <v>592</v>
      </c>
      <c r="H9">
        <v>17540</v>
      </c>
      <c r="I9" t="s">
        <v>593</v>
      </c>
    </row>
    <row r="10" spans="1:9" x14ac:dyDescent="0.25">
      <c r="A10" t="s">
        <v>590</v>
      </c>
      <c r="B10" t="s">
        <v>651</v>
      </c>
      <c r="C10" t="s">
        <v>594</v>
      </c>
      <c r="D10">
        <v>38.033012739999997</v>
      </c>
      <c r="E10" t="s">
        <v>591</v>
      </c>
      <c r="F10">
        <v>106.355453</v>
      </c>
      <c r="G10" t="s">
        <v>592</v>
      </c>
      <c r="H10">
        <v>41212</v>
      </c>
      <c r="I10" t="s">
        <v>593</v>
      </c>
    </row>
    <row r="11" spans="1:9" x14ac:dyDescent="0.25">
      <c r="A11" t="s">
        <v>590</v>
      </c>
      <c r="B11" t="s">
        <v>625</v>
      </c>
      <c r="C11" t="s">
        <v>594</v>
      </c>
      <c r="D11">
        <v>37.968389340000002</v>
      </c>
      <c r="E11" t="s">
        <v>591</v>
      </c>
      <c r="F11">
        <v>105.9557719</v>
      </c>
      <c r="G11" t="s">
        <v>592</v>
      </c>
      <c r="H11">
        <v>29426</v>
      </c>
      <c r="I11" t="s">
        <v>593</v>
      </c>
    </row>
    <row r="12" spans="1:9" x14ac:dyDescent="0.25">
      <c r="A12" t="s">
        <v>590</v>
      </c>
      <c r="B12" t="s">
        <v>626</v>
      </c>
      <c r="C12" t="s">
        <v>594</v>
      </c>
      <c r="D12">
        <v>37.385928989999996</v>
      </c>
      <c r="E12" t="s">
        <v>591</v>
      </c>
      <c r="F12">
        <v>107.0532666</v>
      </c>
      <c r="G12" t="s">
        <v>592</v>
      </c>
      <c r="H12">
        <v>21114</v>
      </c>
      <c r="I12" t="s">
        <v>593</v>
      </c>
    </row>
    <row r="13" spans="1:9" x14ac:dyDescent="0.25">
      <c r="A13" t="s">
        <v>590</v>
      </c>
      <c r="B13" t="s">
        <v>652</v>
      </c>
      <c r="C13" t="s">
        <v>594</v>
      </c>
      <c r="D13">
        <v>38.457776289999998</v>
      </c>
      <c r="E13" t="s">
        <v>591</v>
      </c>
      <c r="F13">
        <v>106.319934</v>
      </c>
      <c r="G13" t="s">
        <v>592</v>
      </c>
      <c r="H13">
        <v>76536</v>
      </c>
      <c r="I13" t="s">
        <v>593</v>
      </c>
    </row>
    <row r="14" spans="1:9" x14ac:dyDescent="0.25">
      <c r="A14" t="s">
        <v>590</v>
      </c>
      <c r="B14" t="s">
        <v>674</v>
      </c>
      <c r="C14" t="s">
        <v>594</v>
      </c>
      <c r="D14">
        <v>37.318738330000002</v>
      </c>
      <c r="E14" t="s">
        <v>591</v>
      </c>
      <c r="F14">
        <v>105.6035342</v>
      </c>
      <c r="G14" t="s">
        <v>592</v>
      </c>
      <c r="H14">
        <v>49680</v>
      </c>
      <c r="I14" t="s">
        <v>593</v>
      </c>
    </row>
    <row r="15" spans="1:9" x14ac:dyDescent="0.25">
      <c r="A15" t="s">
        <v>590</v>
      </c>
      <c r="B15" t="s">
        <v>627</v>
      </c>
      <c r="C15" t="s">
        <v>594</v>
      </c>
      <c r="D15">
        <v>37.032792139999998</v>
      </c>
      <c r="E15" t="s">
        <v>591</v>
      </c>
      <c r="F15">
        <v>105.9026933</v>
      </c>
      <c r="G15" t="s">
        <v>592</v>
      </c>
      <c r="H15">
        <v>39028</v>
      </c>
      <c r="I15" t="s">
        <v>593</v>
      </c>
    </row>
    <row r="16" spans="1:9" x14ac:dyDescent="0.25">
      <c r="A16" t="s">
        <v>590</v>
      </c>
      <c r="B16" t="s">
        <v>653</v>
      </c>
      <c r="C16" t="s">
        <v>594</v>
      </c>
      <c r="D16">
        <v>38.103870890000003</v>
      </c>
      <c r="E16" t="s">
        <v>591</v>
      </c>
      <c r="F16">
        <v>106.3875018</v>
      </c>
      <c r="G16" t="s">
        <v>592</v>
      </c>
      <c r="H16">
        <v>22040</v>
      </c>
      <c r="I16" t="s">
        <v>593</v>
      </c>
    </row>
    <row r="17" spans="1:9" x14ac:dyDescent="0.25">
      <c r="A17" t="s">
        <v>590</v>
      </c>
      <c r="B17" t="s">
        <v>675</v>
      </c>
      <c r="C17" t="s">
        <v>594</v>
      </c>
      <c r="D17">
        <v>37.558816540000002</v>
      </c>
      <c r="E17" t="s">
        <v>591</v>
      </c>
      <c r="F17">
        <v>105.2400722</v>
      </c>
      <c r="G17" t="s">
        <v>592</v>
      </c>
      <c r="H17">
        <v>30946</v>
      </c>
      <c r="I17" t="s">
        <v>593</v>
      </c>
    </row>
    <row r="18" spans="1:9" x14ac:dyDescent="0.25">
      <c r="A18" t="s">
        <v>590</v>
      </c>
      <c r="B18" t="s">
        <v>676</v>
      </c>
      <c r="C18" t="s">
        <v>594</v>
      </c>
      <c r="D18">
        <v>37.434767549999997</v>
      </c>
      <c r="E18" t="s">
        <v>591</v>
      </c>
      <c r="F18">
        <v>105.8387973</v>
      </c>
      <c r="G18" t="s">
        <v>592</v>
      </c>
      <c r="H18">
        <v>19276</v>
      </c>
      <c r="I18" t="s">
        <v>593</v>
      </c>
    </row>
    <row r="19" spans="1:9" x14ac:dyDescent="0.25">
      <c r="A19" t="s">
        <v>590</v>
      </c>
      <c r="B19" t="s">
        <v>654</v>
      </c>
      <c r="C19" t="s">
        <v>594</v>
      </c>
      <c r="D19">
        <v>38.546502709999999</v>
      </c>
      <c r="E19" t="s">
        <v>591</v>
      </c>
      <c r="F19">
        <v>106.2470667</v>
      </c>
      <c r="G19" t="s">
        <v>592</v>
      </c>
      <c r="H19">
        <v>12922</v>
      </c>
      <c r="I19" t="s">
        <v>593</v>
      </c>
    </row>
    <row r="20" spans="1:9" x14ac:dyDescent="0.25">
      <c r="A20" t="s">
        <v>590</v>
      </c>
      <c r="B20" t="s">
        <v>628</v>
      </c>
      <c r="C20" t="s">
        <v>594</v>
      </c>
      <c r="D20">
        <v>38.017025789999998</v>
      </c>
      <c r="E20" t="s">
        <v>591</v>
      </c>
      <c r="F20">
        <v>106.9484743</v>
      </c>
      <c r="G20" t="s">
        <v>592</v>
      </c>
      <c r="H20">
        <v>6045</v>
      </c>
      <c r="I20" t="s">
        <v>593</v>
      </c>
    </row>
    <row r="21" spans="1:9" x14ac:dyDescent="0.25">
      <c r="A21" t="s">
        <v>590</v>
      </c>
      <c r="B21" t="s">
        <v>629</v>
      </c>
      <c r="C21" t="s">
        <v>594</v>
      </c>
      <c r="D21">
        <v>37.86232296</v>
      </c>
      <c r="E21" t="s">
        <v>591</v>
      </c>
      <c r="F21">
        <v>106.16828049999999</v>
      </c>
      <c r="G21" t="s">
        <v>592</v>
      </c>
      <c r="H21">
        <v>21613</v>
      </c>
      <c r="I21" t="s">
        <v>593</v>
      </c>
    </row>
    <row r="22" spans="1:9" x14ac:dyDescent="0.25">
      <c r="A22" t="s">
        <v>590</v>
      </c>
      <c r="B22" t="s">
        <v>597</v>
      </c>
      <c r="C22" t="s">
        <v>594</v>
      </c>
      <c r="D22">
        <v>36.101128150000001</v>
      </c>
      <c r="E22" t="s">
        <v>591</v>
      </c>
      <c r="F22">
        <v>106.3682039</v>
      </c>
      <c r="G22" t="s">
        <v>592</v>
      </c>
      <c r="H22">
        <v>41571</v>
      </c>
      <c r="I22" t="s">
        <v>593</v>
      </c>
    </row>
    <row r="23" spans="1:9" x14ac:dyDescent="0.25">
      <c r="A23" t="s">
        <v>590</v>
      </c>
      <c r="B23" t="s">
        <v>961</v>
      </c>
      <c r="C23" t="s">
        <v>594</v>
      </c>
      <c r="D23">
        <v>35.863872139999998</v>
      </c>
      <c r="E23" t="s">
        <v>591</v>
      </c>
      <c r="F23">
        <v>106.4133894</v>
      </c>
      <c r="G23" t="s">
        <v>592</v>
      </c>
      <c r="H23">
        <v>22259</v>
      </c>
      <c r="I23" t="s">
        <v>593</v>
      </c>
    </row>
    <row r="24" spans="1:9" x14ac:dyDescent="0.25">
      <c r="A24" t="s">
        <v>590</v>
      </c>
      <c r="B24" t="s">
        <v>962</v>
      </c>
      <c r="C24" t="s">
        <v>594</v>
      </c>
      <c r="D24">
        <v>38.02218843</v>
      </c>
      <c r="E24" t="s">
        <v>591</v>
      </c>
      <c r="F24">
        <v>106.1919348</v>
      </c>
      <c r="G24" t="s">
        <v>592</v>
      </c>
      <c r="H24">
        <v>38537</v>
      </c>
      <c r="I24" t="s">
        <v>593</v>
      </c>
    </row>
    <row r="25" spans="1:9" x14ac:dyDescent="0.25">
      <c r="A25" t="s">
        <v>590</v>
      </c>
      <c r="B25" t="s">
        <v>677</v>
      </c>
      <c r="C25" t="s">
        <v>594</v>
      </c>
      <c r="D25">
        <v>36.582093440000001</v>
      </c>
      <c r="E25" t="s">
        <v>591</v>
      </c>
      <c r="F25">
        <v>105.6128918</v>
      </c>
      <c r="G25" t="s">
        <v>592</v>
      </c>
      <c r="H25">
        <v>20844</v>
      </c>
      <c r="I25" t="s">
        <v>593</v>
      </c>
    </row>
    <row r="26" spans="1:9" x14ac:dyDescent="0.25">
      <c r="A26" t="s">
        <v>590</v>
      </c>
      <c r="B26" t="s">
        <v>655</v>
      </c>
      <c r="C26" t="s">
        <v>594</v>
      </c>
      <c r="D26">
        <v>37.938836139999999</v>
      </c>
      <c r="E26" t="s">
        <v>591</v>
      </c>
      <c r="F26">
        <v>106.38395389999999</v>
      </c>
      <c r="G26" t="s">
        <v>592</v>
      </c>
      <c r="H26">
        <v>32507</v>
      </c>
      <c r="I26" t="s">
        <v>593</v>
      </c>
    </row>
    <row r="27" spans="1:9" x14ac:dyDescent="0.25">
      <c r="A27" t="s">
        <v>590</v>
      </c>
      <c r="B27" t="s">
        <v>630</v>
      </c>
      <c r="C27" t="s">
        <v>594</v>
      </c>
      <c r="D27">
        <v>37.134312510000001</v>
      </c>
      <c r="E27" t="s">
        <v>591</v>
      </c>
      <c r="F27">
        <v>105.8644142</v>
      </c>
      <c r="G27" t="s">
        <v>592</v>
      </c>
      <c r="H27">
        <v>40914</v>
      </c>
      <c r="I27" t="s">
        <v>593</v>
      </c>
    </row>
    <row r="28" spans="1:9" x14ac:dyDescent="0.25">
      <c r="A28" t="s">
        <v>590</v>
      </c>
      <c r="B28" t="s">
        <v>656</v>
      </c>
      <c r="C28" t="s">
        <v>594</v>
      </c>
      <c r="D28">
        <v>38.75276933</v>
      </c>
      <c r="E28" t="s">
        <v>591</v>
      </c>
      <c r="F28">
        <v>106.087129</v>
      </c>
      <c r="G28" t="s">
        <v>592</v>
      </c>
      <c r="H28">
        <v>17409</v>
      </c>
      <c r="I28" t="s">
        <v>593</v>
      </c>
    </row>
    <row r="29" spans="1:9" x14ac:dyDescent="0.25">
      <c r="A29" t="s">
        <v>590</v>
      </c>
      <c r="B29" t="s">
        <v>615</v>
      </c>
      <c r="C29" t="s">
        <v>594</v>
      </c>
      <c r="D29">
        <v>39.244642089999999</v>
      </c>
      <c r="E29" t="s">
        <v>591</v>
      </c>
      <c r="F29">
        <v>106.6168361</v>
      </c>
      <c r="G29" t="s">
        <v>592</v>
      </c>
      <c r="H29">
        <v>21426</v>
      </c>
      <c r="I29" t="s">
        <v>593</v>
      </c>
    </row>
    <row r="30" spans="1:9" x14ac:dyDescent="0.25">
      <c r="A30" t="s">
        <v>590</v>
      </c>
      <c r="B30" t="s">
        <v>598</v>
      </c>
      <c r="C30" t="s">
        <v>594</v>
      </c>
      <c r="D30">
        <v>35.751374200000001</v>
      </c>
      <c r="E30" t="s">
        <v>591</v>
      </c>
      <c r="F30">
        <v>106.7049461</v>
      </c>
      <c r="G30" t="s">
        <v>592</v>
      </c>
      <c r="H30">
        <v>17833</v>
      </c>
      <c r="I30" t="s">
        <v>593</v>
      </c>
    </row>
    <row r="31" spans="1:9" x14ac:dyDescent="0.25">
      <c r="A31" t="s">
        <v>590</v>
      </c>
      <c r="B31" t="s">
        <v>631</v>
      </c>
      <c r="C31" t="s">
        <v>594</v>
      </c>
      <c r="D31">
        <v>37.461930250000002</v>
      </c>
      <c r="E31" t="s">
        <v>591</v>
      </c>
      <c r="F31">
        <v>106.0741056</v>
      </c>
      <c r="G31" t="s">
        <v>592</v>
      </c>
      <c r="H31">
        <v>73750</v>
      </c>
      <c r="I31" t="s">
        <v>593</v>
      </c>
    </row>
    <row r="32" spans="1:9" x14ac:dyDescent="0.25">
      <c r="A32" t="s">
        <v>590</v>
      </c>
      <c r="B32" t="s">
        <v>632</v>
      </c>
      <c r="C32" t="s">
        <v>594</v>
      </c>
      <c r="D32">
        <v>37.896708349999997</v>
      </c>
      <c r="E32" t="s">
        <v>591</v>
      </c>
      <c r="F32">
        <v>107.3482824</v>
      </c>
      <c r="G32" t="s">
        <v>592</v>
      </c>
      <c r="H32">
        <v>77426</v>
      </c>
      <c r="I32" t="s">
        <v>593</v>
      </c>
    </row>
    <row r="33" spans="1:9" x14ac:dyDescent="0.25">
      <c r="A33" t="s">
        <v>590</v>
      </c>
      <c r="B33" t="s">
        <v>616</v>
      </c>
      <c r="C33" t="s">
        <v>594</v>
      </c>
      <c r="D33">
        <v>39.00929945</v>
      </c>
      <c r="E33" t="s">
        <v>591</v>
      </c>
      <c r="F33">
        <v>106.6472342</v>
      </c>
      <c r="G33" t="s">
        <v>592</v>
      </c>
      <c r="H33">
        <v>14739</v>
      </c>
      <c r="I33" t="s">
        <v>593</v>
      </c>
    </row>
    <row r="34" spans="1:9" x14ac:dyDescent="0.25">
      <c r="A34" t="s">
        <v>590</v>
      </c>
      <c r="B34" t="s">
        <v>633</v>
      </c>
      <c r="C34" t="s">
        <v>594</v>
      </c>
      <c r="D34">
        <v>37.312591949999998</v>
      </c>
      <c r="E34" t="s">
        <v>591</v>
      </c>
      <c r="F34">
        <v>106.7482656</v>
      </c>
      <c r="G34" t="s">
        <v>592</v>
      </c>
      <c r="H34">
        <v>15489</v>
      </c>
      <c r="I34" t="s">
        <v>593</v>
      </c>
    </row>
    <row r="35" spans="1:9" x14ac:dyDescent="0.25">
      <c r="A35" t="s">
        <v>590</v>
      </c>
      <c r="B35" t="s">
        <v>599</v>
      </c>
      <c r="C35" t="s">
        <v>594</v>
      </c>
      <c r="D35">
        <v>35.386103259999999</v>
      </c>
      <c r="E35" t="s">
        <v>591</v>
      </c>
      <c r="F35">
        <v>106.3640987</v>
      </c>
      <c r="G35" t="s">
        <v>592</v>
      </c>
      <c r="H35">
        <v>18147</v>
      </c>
      <c r="I35" t="s">
        <v>593</v>
      </c>
    </row>
    <row r="36" spans="1:9" x14ac:dyDescent="0.25">
      <c r="A36" t="s">
        <v>590</v>
      </c>
      <c r="B36" t="s">
        <v>657</v>
      </c>
      <c r="C36" t="s">
        <v>594</v>
      </c>
      <c r="D36">
        <v>38.5274918</v>
      </c>
      <c r="E36" t="s">
        <v>591</v>
      </c>
      <c r="F36">
        <v>106.4372398</v>
      </c>
      <c r="G36" t="s">
        <v>592</v>
      </c>
      <c r="H36">
        <v>29796</v>
      </c>
      <c r="I36" t="s">
        <v>593</v>
      </c>
    </row>
    <row r="37" spans="1:9" x14ac:dyDescent="0.25">
      <c r="A37" t="s">
        <v>590</v>
      </c>
      <c r="B37" t="s">
        <v>634</v>
      </c>
      <c r="C37" t="s">
        <v>594</v>
      </c>
      <c r="D37">
        <v>37.931004270000003</v>
      </c>
      <c r="E37" t="s">
        <v>591</v>
      </c>
      <c r="F37">
        <v>106.11032539999999</v>
      </c>
      <c r="G37" t="s">
        <v>592</v>
      </c>
      <c r="H37">
        <v>36092</v>
      </c>
      <c r="I37" t="s">
        <v>593</v>
      </c>
    </row>
    <row r="38" spans="1:9" x14ac:dyDescent="0.25">
      <c r="A38" t="s">
        <v>590</v>
      </c>
      <c r="B38" t="s">
        <v>635</v>
      </c>
      <c r="C38" t="s">
        <v>594</v>
      </c>
      <c r="D38">
        <v>37.99489981</v>
      </c>
      <c r="E38" t="s">
        <v>591</v>
      </c>
      <c r="F38">
        <v>106.1946808</v>
      </c>
      <c r="G38" t="s">
        <v>592</v>
      </c>
      <c r="H38">
        <v>60086</v>
      </c>
      <c r="I38" t="s">
        <v>593</v>
      </c>
    </row>
    <row r="39" spans="1:9" x14ac:dyDescent="0.25">
      <c r="A39" t="s">
        <v>590</v>
      </c>
      <c r="B39" t="s">
        <v>636</v>
      </c>
      <c r="C39" t="s">
        <v>594</v>
      </c>
      <c r="D39">
        <v>37.909193289999997</v>
      </c>
      <c r="E39" t="s">
        <v>591</v>
      </c>
      <c r="F39">
        <v>106.2887352</v>
      </c>
      <c r="G39" t="s">
        <v>592</v>
      </c>
      <c r="H39">
        <v>28969</v>
      </c>
      <c r="I39" t="s">
        <v>593</v>
      </c>
    </row>
    <row r="40" spans="1:9" x14ac:dyDescent="0.25">
      <c r="A40" t="s">
        <v>590</v>
      </c>
      <c r="B40" t="s">
        <v>600</v>
      </c>
      <c r="C40" t="s">
        <v>594</v>
      </c>
      <c r="D40">
        <v>35.978579860000004</v>
      </c>
      <c r="E40" t="s">
        <v>591</v>
      </c>
      <c r="F40">
        <v>105.7181118</v>
      </c>
      <c r="G40" t="s">
        <v>592</v>
      </c>
      <c r="H40">
        <v>79348</v>
      </c>
      <c r="I40" t="s">
        <v>593</v>
      </c>
    </row>
    <row r="41" spans="1:9" x14ac:dyDescent="0.25">
      <c r="A41" t="s">
        <v>590</v>
      </c>
      <c r="B41" t="s">
        <v>637</v>
      </c>
      <c r="C41" t="s">
        <v>594</v>
      </c>
      <c r="D41">
        <v>38.077895640000001</v>
      </c>
      <c r="E41" t="s">
        <v>591</v>
      </c>
      <c r="F41">
        <v>106.03351240000001</v>
      </c>
      <c r="G41" t="s">
        <v>592</v>
      </c>
      <c r="H41">
        <v>28086</v>
      </c>
      <c r="I41" t="s">
        <v>593</v>
      </c>
    </row>
    <row r="42" spans="1:9" x14ac:dyDescent="0.25">
      <c r="A42" t="s">
        <v>590</v>
      </c>
      <c r="B42" t="s">
        <v>601</v>
      </c>
      <c r="C42" t="s">
        <v>594</v>
      </c>
      <c r="D42">
        <v>35.882776049999997</v>
      </c>
      <c r="E42" t="s">
        <v>591</v>
      </c>
      <c r="F42">
        <v>106.2369341</v>
      </c>
      <c r="G42" t="s">
        <v>592</v>
      </c>
      <c r="H42">
        <v>31516</v>
      </c>
      <c r="I42" t="s">
        <v>593</v>
      </c>
    </row>
    <row r="43" spans="1:9" x14ac:dyDescent="0.25">
      <c r="A43" t="s">
        <v>590</v>
      </c>
      <c r="B43" t="s">
        <v>602</v>
      </c>
      <c r="C43" t="s">
        <v>594</v>
      </c>
      <c r="D43">
        <v>35.553468350000003</v>
      </c>
      <c r="E43" t="s">
        <v>591</v>
      </c>
      <c r="F43">
        <v>105.851878</v>
      </c>
      <c r="G43" t="s">
        <v>592</v>
      </c>
      <c r="H43">
        <v>9594</v>
      </c>
      <c r="I43" t="s">
        <v>593</v>
      </c>
    </row>
    <row r="44" spans="1:9" x14ac:dyDescent="0.25">
      <c r="A44" t="s">
        <v>590</v>
      </c>
      <c r="B44" t="s">
        <v>658</v>
      </c>
      <c r="C44" t="s">
        <v>594</v>
      </c>
      <c r="D44">
        <v>38.36961204</v>
      </c>
      <c r="E44" t="s">
        <v>591</v>
      </c>
      <c r="F44">
        <v>106.12774949999999</v>
      </c>
      <c r="G44" t="s">
        <v>592</v>
      </c>
      <c r="H44">
        <v>22160</v>
      </c>
      <c r="I44" t="s">
        <v>593</v>
      </c>
    </row>
    <row r="45" spans="1:9" x14ac:dyDescent="0.25">
      <c r="A45" t="s">
        <v>590</v>
      </c>
      <c r="B45" t="s">
        <v>659</v>
      </c>
      <c r="C45" t="s">
        <v>594</v>
      </c>
      <c r="D45">
        <v>38.640070260000002</v>
      </c>
      <c r="E45" t="s">
        <v>591</v>
      </c>
      <c r="F45">
        <v>106.48264589999999</v>
      </c>
      <c r="G45" t="s">
        <v>592</v>
      </c>
      <c r="H45">
        <v>24165</v>
      </c>
      <c r="I45" t="s">
        <v>593</v>
      </c>
    </row>
    <row r="46" spans="1:9" x14ac:dyDescent="0.25">
      <c r="A46" t="s">
        <v>590</v>
      </c>
      <c r="B46" t="s">
        <v>660</v>
      </c>
      <c r="C46" t="s">
        <v>594</v>
      </c>
      <c r="D46">
        <v>38.18757119</v>
      </c>
      <c r="E46" t="s">
        <v>591</v>
      </c>
      <c r="F46">
        <v>106.1273683</v>
      </c>
      <c r="G46" t="s">
        <v>592</v>
      </c>
      <c r="H46">
        <v>27723</v>
      </c>
      <c r="I46" t="s">
        <v>593</v>
      </c>
    </row>
    <row r="47" spans="1:9" x14ac:dyDescent="0.25">
      <c r="A47" t="s">
        <v>590</v>
      </c>
      <c r="B47" t="s">
        <v>661</v>
      </c>
      <c r="C47" t="s">
        <v>594</v>
      </c>
      <c r="D47">
        <v>38.213412169999998</v>
      </c>
      <c r="E47" t="s">
        <v>591</v>
      </c>
      <c r="F47">
        <v>106.465547</v>
      </c>
      <c r="G47" t="s">
        <v>592</v>
      </c>
      <c r="H47">
        <v>16723</v>
      </c>
      <c r="I47" t="s">
        <v>593</v>
      </c>
    </row>
    <row r="48" spans="1:9" x14ac:dyDescent="0.25">
      <c r="A48" t="s">
        <v>590</v>
      </c>
      <c r="B48" t="s">
        <v>603</v>
      </c>
      <c r="C48" t="s">
        <v>594</v>
      </c>
      <c r="D48">
        <v>35.651132060000002</v>
      </c>
      <c r="E48" t="s">
        <v>591</v>
      </c>
      <c r="F48">
        <v>106.3289059</v>
      </c>
      <c r="G48" t="s">
        <v>592</v>
      </c>
      <c r="H48">
        <v>13344</v>
      </c>
      <c r="I48" t="s">
        <v>593</v>
      </c>
    </row>
    <row r="49" spans="1:9" x14ac:dyDescent="0.25">
      <c r="A49" t="s">
        <v>590</v>
      </c>
      <c r="B49" t="s">
        <v>678</v>
      </c>
      <c r="C49" t="s">
        <v>594</v>
      </c>
      <c r="D49">
        <v>36.655351279999998</v>
      </c>
      <c r="E49" t="s">
        <v>591</v>
      </c>
      <c r="F49">
        <v>106.029236</v>
      </c>
      <c r="G49" t="s">
        <v>592</v>
      </c>
      <c r="H49">
        <v>33126</v>
      </c>
      <c r="I49" t="s">
        <v>593</v>
      </c>
    </row>
    <row r="50" spans="1:9" x14ac:dyDescent="0.25">
      <c r="A50" t="s">
        <v>590</v>
      </c>
      <c r="B50" t="s">
        <v>662</v>
      </c>
      <c r="C50" t="s">
        <v>594</v>
      </c>
      <c r="D50">
        <v>37.85435347</v>
      </c>
      <c r="E50" t="s">
        <v>591</v>
      </c>
      <c r="F50">
        <v>106.657606</v>
      </c>
      <c r="G50" t="s">
        <v>592</v>
      </c>
      <c r="H50">
        <v>8650</v>
      </c>
      <c r="I50" t="s">
        <v>593</v>
      </c>
    </row>
    <row r="51" spans="1:9" x14ac:dyDescent="0.25">
      <c r="A51" t="s">
        <v>590</v>
      </c>
      <c r="B51" t="s">
        <v>679</v>
      </c>
      <c r="C51" t="s">
        <v>594</v>
      </c>
      <c r="D51">
        <v>37.526576349999999</v>
      </c>
      <c r="E51" t="s">
        <v>591</v>
      </c>
      <c r="F51">
        <v>105.90934780000001</v>
      </c>
      <c r="G51" t="s">
        <v>592</v>
      </c>
      <c r="H51">
        <v>19038</v>
      </c>
      <c r="I51" t="s">
        <v>593</v>
      </c>
    </row>
    <row r="52" spans="1:9" x14ac:dyDescent="0.25">
      <c r="A52" t="s">
        <v>590</v>
      </c>
      <c r="B52" t="s">
        <v>663</v>
      </c>
      <c r="C52" t="s">
        <v>594</v>
      </c>
      <c r="D52">
        <v>38.325312330000003</v>
      </c>
      <c r="E52" t="s">
        <v>591</v>
      </c>
      <c r="F52">
        <v>105.9176274</v>
      </c>
      <c r="G52" t="s">
        <v>592</v>
      </c>
      <c r="H52">
        <v>24696</v>
      </c>
      <c r="I52" t="s">
        <v>593</v>
      </c>
    </row>
    <row r="53" spans="1:9" x14ac:dyDescent="0.25">
      <c r="A53" t="s">
        <v>590</v>
      </c>
      <c r="B53" t="s">
        <v>680</v>
      </c>
      <c r="C53" t="s">
        <v>594</v>
      </c>
      <c r="D53">
        <v>37.431240899999999</v>
      </c>
      <c r="E53" t="s">
        <v>591</v>
      </c>
      <c r="F53">
        <v>105.6990481</v>
      </c>
      <c r="G53" t="s">
        <v>592</v>
      </c>
      <c r="H53">
        <v>74330</v>
      </c>
      <c r="I53" t="s">
        <v>593</v>
      </c>
    </row>
    <row r="54" spans="1:9" x14ac:dyDescent="0.25">
      <c r="A54" t="s">
        <v>590</v>
      </c>
      <c r="B54" t="s">
        <v>664</v>
      </c>
      <c r="C54" t="s">
        <v>594</v>
      </c>
      <c r="D54">
        <v>38.061877459999998</v>
      </c>
      <c r="E54" t="s">
        <v>591</v>
      </c>
      <c r="F54">
        <v>106.6589664</v>
      </c>
      <c r="G54" t="s">
        <v>592</v>
      </c>
      <c r="H54">
        <v>48587</v>
      </c>
      <c r="I54" t="s">
        <v>593</v>
      </c>
    </row>
    <row r="55" spans="1:9" x14ac:dyDescent="0.25">
      <c r="A55" t="s">
        <v>590</v>
      </c>
      <c r="B55" t="s">
        <v>604</v>
      </c>
      <c r="C55" t="s">
        <v>594</v>
      </c>
      <c r="D55">
        <v>36.10646277</v>
      </c>
      <c r="E55" t="s">
        <v>591</v>
      </c>
      <c r="F55">
        <v>106.14183679999999</v>
      </c>
      <c r="G55" t="s">
        <v>592</v>
      </c>
      <c r="H55">
        <v>21652</v>
      </c>
      <c r="I55" t="s">
        <v>593</v>
      </c>
    </row>
    <row r="56" spans="1:9" x14ac:dyDescent="0.25">
      <c r="A56" t="s">
        <v>590</v>
      </c>
      <c r="B56" t="s">
        <v>605</v>
      </c>
      <c r="C56" t="s">
        <v>594</v>
      </c>
      <c r="D56">
        <v>35.773176929999998</v>
      </c>
      <c r="E56" t="s">
        <v>591</v>
      </c>
      <c r="F56">
        <v>105.55552640000001</v>
      </c>
      <c r="G56" t="s">
        <v>592</v>
      </c>
      <c r="H56">
        <v>17972</v>
      </c>
      <c r="I56" t="s">
        <v>593</v>
      </c>
    </row>
    <row r="57" spans="1:9" x14ac:dyDescent="0.25">
      <c r="A57" t="s">
        <v>590</v>
      </c>
      <c r="B57" t="s">
        <v>638</v>
      </c>
      <c r="C57" t="s">
        <v>594</v>
      </c>
      <c r="D57">
        <v>37.806808660000002</v>
      </c>
      <c r="E57" t="s">
        <v>591</v>
      </c>
      <c r="F57">
        <v>105.86613389999999</v>
      </c>
      <c r="G57" t="s">
        <v>592</v>
      </c>
      <c r="H57">
        <v>41771</v>
      </c>
      <c r="I57" t="s">
        <v>593</v>
      </c>
    </row>
    <row r="58" spans="1:9" x14ac:dyDescent="0.25">
      <c r="A58" t="s">
        <v>590</v>
      </c>
      <c r="B58" t="s">
        <v>681</v>
      </c>
      <c r="C58" t="s">
        <v>594</v>
      </c>
      <c r="D58">
        <v>36.50324535</v>
      </c>
      <c r="E58" t="s">
        <v>591</v>
      </c>
      <c r="F58">
        <v>106.1576515</v>
      </c>
      <c r="G58" t="s">
        <v>592</v>
      </c>
      <c r="H58">
        <v>26553</v>
      </c>
      <c r="I58" t="s">
        <v>593</v>
      </c>
    </row>
    <row r="59" spans="1:9" x14ac:dyDescent="0.25">
      <c r="A59" t="s">
        <v>590</v>
      </c>
      <c r="B59" t="s">
        <v>682</v>
      </c>
      <c r="C59" t="s">
        <v>594</v>
      </c>
      <c r="D59">
        <v>37.513420050000001</v>
      </c>
      <c r="E59" t="s">
        <v>591</v>
      </c>
      <c r="F59">
        <v>105.2789813</v>
      </c>
      <c r="G59" t="s">
        <v>592</v>
      </c>
      <c r="H59">
        <v>23088</v>
      </c>
      <c r="I59" t="s">
        <v>593</v>
      </c>
    </row>
    <row r="60" spans="1:9" x14ac:dyDescent="0.25">
      <c r="A60" t="s">
        <v>590</v>
      </c>
      <c r="B60" t="s">
        <v>683</v>
      </c>
      <c r="C60" t="s">
        <v>594</v>
      </c>
      <c r="D60">
        <v>36.389947839999998</v>
      </c>
      <c r="E60" t="s">
        <v>591</v>
      </c>
      <c r="F60">
        <v>106.1396685</v>
      </c>
      <c r="G60" t="s">
        <v>592</v>
      </c>
      <c r="H60">
        <v>37675</v>
      </c>
      <c r="I60" t="s">
        <v>593</v>
      </c>
    </row>
    <row r="61" spans="1:9" x14ac:dyDescent="0.25">
      <c r="A61" t="s">
        <v>590</v>
      </c>
      <c r="B61" t="s">
        <v>606</v>
      </c>
      <c r="C61" t="s">
        <v>594</v>
      </c>
      <c r="D61">
        <v>36.301202349999997</v>
      </c>
      <c r="E61" t="s">
        <v>591</v>
      </c>
      <c r="F61">
        <v>106.2084461</v>
      </c>
      <c r="G61" t="s">
        <v>592</v>
      </c>
      <c r="H61">
        <v>43237</v>
      </c>
      <c r="I61" t="s">
        <v>593</v>
      </c>
    </row>
    <row r="62" spans="1:9" x14ac:dyDescent="0.25">
      <c r="A62" t="s">
        <v>590</v>
      </c>
      <c r="B62" t="s">
        <v>639</v>
      </c>
      <c r="C62" t="s">
        <v>594</v>
      </c>
      <c r="D62">
        <v>37.965470930000002</v>
      </c>
      <c r="E62" t="s">
        <v>591</v>
      </c>
      <c r="F62">
        <v>106.2110701</v>
      </c>
      <c r="G62" t="s">
        <v>592</v>
      </c>
      <c r="H62">
        <v>34102</v>
      </c>
      <c r="I62" t="s">
        <v>593</v>
      </c>
    </row>
    <row r="63" spans="1:9" x14ac:dyDescent="0.25">
      <c r="A63" t="s">
        <v>590</v>
      </c>
      <c r="B63" t="s">
        <v>640</v>
      </c>
      <c r="C63" t="s">
        <v>594</v>
      </c>
      <c r="D63">
        <v>38.148843300000003</v>
      </c>
      <c r="E63" t="s">
        <v>591</v>
      </c>
      <c r="F63">
        <v>105.89498089999999</v>
      </c>
      <c r="G63" t="s">
        <v>592</v>
      </c>
      <c r="H63">
        <v>18548</v>
      </c>
      <c r="I63" t="s">
        <v>593</v>
      </c>
    </row>
    <row r="64" spans="1:9" x14ac:dyDescent="0.25">
      <c r="A64" t="s">
        <v>590</v>
      </c>
      <c r="B64" t="s">
        <v>607</v>
      </c>
      <c r="C64" t="s">
        <v>594</v>
      </c>
      <c r="D64">
        <v>35.58196615</v>
      </c>
      <c r="E64" t="s">
        <v>591</v>
      </c>
      <c r="F64">
        <v>106.01954619999999</v>
      </c>
      <c r="G64" t="s">
        <v>592</v>
      </c>
      <c r="H64">
        <v>12523</v>
      </c>
      <c r="I64" t="s">
        <v>593</v>
      </c>
    </row>
    <row r="65" spans="1:9" x14ac:dyDescent="0.25">
      <c r="A65" t="s">
        <v>590</v>
      </c>
      <c r="B65" t="s">
        <v>641</v>
      </c>
      <c r="C65" t="s">
        <v>594</v>
      </c>
      <c r="D65">
        <v>37.981048770000001</v>
      </c>
      <c r="E65" t="s">
        <v>591</v>
      </c>
      <c r="F65">
        <v>106.1901488</v>
      </c>
      <c r="G65" t="s">
        <v>592</v>
      </c>
      <c r="H65">
        <v>36937</v>
      </c>
      <c r="I65" t="s">
        <v>593</v>
      </c>
    </row>
    <row r="66" spans="1:9" x14ac:dyDescent="0.25">
      <c r="A66" t="s">
        <v>590</v>
      </c>
      <c r="B66" t="s">
        <v>684</v>
      </c>
      <c r="C66" t="s">
        <v>594</v>
      </c>
      <c r="D66">
        <v>37.628095879999996</v>
      </c>
      <c r="E66" t="s">
        <v>591</v>
      </c>
      <c r="F66">
        <v>105.70611599999999</v>
      </c>
      <c r="G66" t="s">
        <v>592</v>
      </c>
      <c r="H66">
        <v>25608</v>
      </c>
      <c r="I66" t="s">
        <v>593</v>
      </c>
    </row>
    <row r="67" spans="1:9" x14ac:dyDescent="0.25">
      <c r="A67" t="s">
        <v>590</v>
      </c>
      <c r="B67" t="s">
        <v>642</v>
      </c>
      <c r="C67" t="s">
        <v>594</v>
      </c>
      <c r="D67">
        <v>37.471107910000001</v>
      </c>
      <c r="E67" t="s">
        <v>591</v>
      </c>
      <c r="F67">
        <v>106.36316530000001</v>
      </c>
      <c r="G67" t="s">
        <v>592</v>
      </c>
      <c r="H67">
        <v>34945</v>
      </c>
      <c r="I67" t="s">
        <v>593</v>
      </c>
    </row>
    <row r="68" spans="1:9" x14ac:dyDescent="0.25">
      <c r="A68" t="s">
        <v>590</v>
      </c>
      <c r="B68" t="s">
        <v>617</v>
      </c>
      <c r="C68" t="s">
        <v>594</v>
      </c>
      <c r="D68">
        <v>38.820785370000003</v>
      </c>
      <c r="E68" t="s">
        <v>591</v>
      </c>
      <c r="F68">
        <v>106.7482002</v>
      </c>
      <c r="G68" t="s">
        <v>592</v>
      </c>
      <c r="H68">
        <v>8790</v>
      </c>
      <c r="I68" t="s">
        <v>593</v>
      </c>
    </row>
    <row r="69" spans="1:9" x14ac:dyDescent="0.25">
      <c r="A69" t="s">
        <v>590</v>
      </c>
      <c r="B69" t="s">
        <v>608</v>
      </c>
      <c r="C69" t="s">
        <v>594</v>
      </c>
      <c r="D69">
        <v>36.196801440000002</v>
      </c>
      <c r="E69" t="s">
        <v>591</v>
      </c>
      <c r="F69">
        <v>106.2404556</v>
      </c>
      <c r="G69" t="s">
        <v>592</v>
      </c>
      <c r="H69">
        <v>43698</v>
      </c>
      <c r="I69" t="s">
        <v>593</v>
      </c>
    </row>
    <row r="70" spans="1:9" x14ac:dyDescent="0.25">
      <c r="A70" t="s">
        <v>590</v>
      </c>
      <c r="B70" t="s">
        <v>618</v>
      </c>
      <c r="C70" t="s">
        <v>594</v>
      </c>
      <c r="D70">
        <v>38.924980359999999</v>
      </c>
      <c r="E70" t="s">
        <v>591</v>
      </c>
      <c r="F70">
        <v>106.6850716</v>
      </c>
      <c r="G70" t="s">
        <v>592</v>
      </c>
      <c r="H70">
        <v>13546</v>
      </c>
      <c r="I70" t="s">
        <v>593</v>
      </c>
    </row>
    <row r="71" spans="1:9" x14ac:dyDescent="0.25">
      <c r="A71" t="s">
        <v>590</v>
      </c>
      <c r="B71" t="s">
        <v>665</v>
      </c>
      <c r="C71" t="s">
        <v>594</v>
      </c>
      <c r="D71">
        <v>38.236600439999997</v>
      </c>
      <c r="E71" t="s">
        <v>591</v>
      </c>
      <c r="F71">
        <v>106.1749482</v>
      </c>
      <c r="G71" t="s">
        <v>592</v>
      </c>
      <c r="H71">
        <v>30943</v>
      </c>
      <c r="I71" t="s">
        <v>593</v>
      </c>
    </row>
    <row r="72" spans="1:9" x14ac:dyDescent="0.25">
      <c r="A72" t="s">
        <v>590</v>
      </c>
      <c r="B72" t="s">
        <v>643</v>
      </c>
      <c r="C72" t="s">
        <v>594</v>
      </c>
      <c r="D72">
        <v>36.808154979999998</v>
      </c>
      <c r="E72" t="s">
        <v>591</v>
      </c>
      <c r="F72">
        <v>106.1099799</v>
      </c>
      <c r="G72" t="s">
        <v>592</v>
      </c>
      <c r="H72">
        <v>36729</v>
      </c>
      <c r="I72" t="s">
        <v>593</v>
      </c>
    </row>
    <row r="73" spans="1:9" x14ac:dyDescent="0.25">
      <c r="A73" t="s">
        <v>590</v>
      </c>
      <c r="B73" t="s">
        <v>609</v>
      </c>
      <c r="C73" t="s">
        <v>594</v>
      </c>
      <c r="D73">
        <v>36.061520190000003</v>
      </c>
      <c r="E73" t="s">
        <v>591</v>
      </c>
      <c r="F73">
        <v>106.5964068</v>
      </c>
      <c r="G73" t="s">
        <v>592</v>
      </c>
      <c r="H73">
        <v>20300</v>
      </c>
      <c r="I73" t="s">
        <v>593</v>
      </c>
    </row>
    <row r="74" spans="1:9" x14ac:dyDescent="0.25">
      <c r="A74" t="s">
        <v>590</v>
      </c>
      <c r="B74" t="s">
        <v>666</v>
      </c>
      <c r="C74" t="s">
        <v>594</v>
      </c>
      <c r="D74">
        <v>38.362490549999997</v>
      </c>
      <c r="E74" t="s">
        <v>591</v>
      </c>
      <c r="F74">
        <v>106.2962771</v>
      </c>
      <c r="G74" t="s">
        <v>592</v>
      </c>
      <c r="H74">
        <v>42022</v>
      </c>
      <c r="I74" t="s">
        <v>593</v>
      </c>
    </row>
    <row r="75" spans="1:9" x14ac:dyDescent="0.25">
      <c r="A75" t="s">
        <v>590</v>
      </c>
      <c r="B75" t="s">
        <v>619</v>
      </c>
      <c r="C75" t="s">
        <v>594</v>
      </c>
      <c r="D75">
        <v>39.169629409999999</v>
      </c>
      <c r="E75" t="s">
        <v>591</v>
      </c>
      <c r="F75">
        <v>106.7403053</v>
      </c>
      <c r="G75" t="s">
        <v>592</v>
      </c>
      <c r="H75">
        <v>7887</v>
      </c>
      <c r="I75" t="s">
        <v>593</v>
      </c>
    </row>
    <row r="76" spans="1:9" x14ac:dyDescent="0.25">
      <c r="A76" t="s">
        <v>590</v>
      </c>
      <c r="B76" t="s">
        <v>644</v>
      </c>
      <c r="C76" t="s">
        <v>594</v>
      </c>
      <c r="D76">
        <v>37.2663267</v>
      </c>
      <c r="E76" t="s">
        <v>591</v>
      </c>
      <c r="F76">
        <v>106.4864563</v>
      </c>
      <c r="G76" t="s">
        <v>592</v>
      </c>
      <c r="H76">
        <v>22925</v>
      </c>
      <c r="I76" t="s">
        <v>593</v>
      </c>
    </row>
    <row r="77" spans="1:9" x14ac:dyDescent="0.25">
      <c r="A77" t="s">
        <v>590</v>
      </c>
      <c r="B77" t="s">
        <v>685</v>
      </c>
      <c r="C77" t="s">
        <v>594</v>
      </c>
      <c r="D77">
        <v>37.501478380000002</v>
      </c>
      <c r="E77" t="s">
        <v>591</v>
      </c>
      <c r="F77">
        <v>105.2102632</v>
      </c>
      <c r="G77" t="s">
        <v>592</v>
      </c>
      <c r="H77">
        <v>77336</v>
      </c>
      <c r="I77" t="s">
        <v>593</v>
      </c>
    </row>
    <row r="78" spans="1:9" x14ac:dyDescent="0.25">
      <c r="A78" t="s">
        <v>590</v>
      </c>
      <c r="B78" t="s">
        <v>645</v>
      </c>
      <c r="C78" t="s">
        <v>594</v>
      </c>
      <c r="D78">
        <v>37.75882154</v>
      </c>
      <c r="E78" t="s">
        <v>591</v>
      </c>
      <c r="F78">
        <v>106.0469111</v>
      </c>
      <c r="G78" t="s">
        <v>592</v>
      </c>
      <c r="H78">
        <v>27866</v>
      </c>
      <c r="I78" t="s">
        <v>593</v>
      </c>
    </row>
    <row r="79" spans="1:9" x14ac:dyDescent="0.25">
      <c r="A79" t="s">
        <v>590</v>
      </c>
      <c r="B79" t="s">
        <v>646</v>
      </c>
      <c r="C79" t="s">
        <v>594</v>
      </c>
      <c r="D79">
        <v>37.09732657</v>
      </c>
      <c r="E79" t="s">
        <v>591</v>
      </c>
      <c r="F79">
        <v>106.4739251</v>
      </c>
      <c r="G79" t="s">
        <v>592</v>
      </c>
      <c r="H79">
        <v>21150</v>
      </c>
      <c r="I79" t="s">
        <v>593</v>
      </c>
    </row>
    <row r="80" spans="1:9" x14ac:dyDescent="0.25">
      <c r="A80" t="s">
        <v>590</v>
      </c>
      <c r="B80" t="s">
        <v>686</v>
      </c>
      <c r="C80" t="s">
        <v>594</v>
      </c>
      <c r="D80">
        <v>36.620818640000003</v>
      </c>
      <c r="E80" t="s">
        <v>591</v>
      </c>
      <c r="F80">
        <v>105.45458240000001</v>
      </c>
      <c r="G80" t="s">
        <v>592</v>
      </c>
      <c r="H80">
        <v>22096</v>
      </c>
      <c r="I80" t="s">
        <v>593</v>
      </c>
    </row>
    <row r="81" spans="1:9" x14ac:dyDescent="0.25">
      <c r="A81" t="s">
        <v>590</v>
      </c>
      <c r="B81" t="s">
        <v>610</v>
      </c>
      <c r="C81" t="s">
        <v>594</v>
      </c>
      <c r="D81">
        <v>35.508686009999998</v>
      </c>
      <c r="E81" t="s">
        <v>591</v>
      </c>
      <c r="F81">
        <v>106.32112189999999</v>
      </c>
      <c r="G81" t="s">
        <v>592</v>
      </c>
      <c r="H81">
        <v>29798</v>
      </c>
      <c r="I81" t="s">
        <v>593</v>
      </c>
    </row>
    <row r="82" spans="1:9" x14ac:dyDescent="0.25">
      <c r="A82" t="s">
        <v>590</v>
      </c>
      <c r="B82" t="s">
        <v>647</v>
      </c>
      <c r="C82" t="s">
        <v>594</v>
      </c>
      <c r="D82">
        <v>38.049405569999998</v>
      </c>
      <c r="E82" t="s">
        <v>591</v>
      </c>
      <c r="F82">
        <v>106.09096839999999</v>
      </c>
      <c r="G82" t="s">
        <v>592</v>
      </c>
      <c r="H82">
        <v>23436</v>
      </c>
      <c r="I82" t="s">
        <v>593</v>
      </c>
    </row>
    <row r="83" spans="1:9" x14ac:dyDescent="0.25">
      <c r="A83" t="s">
        <v>590</v>
      </c>
      <c r="B83" t="s">
        <v>667</v>
      </c>
      <c r="C83" t="s">
        <v>594</v>
      </c>
      <c r="D83">
        <v>38.560387390000002</v>
      </c>
      <c r="E83" t="s">
        <v>591</v>
      </c>
      <c r="F83">
        <v>106.3286775</v>
      </c>
      <c r="G83" t="s">
        <v>592</v>
      </c>
      <c r="H83">
        <v>112061</v>
      </c>
      <c r="I83" t="s">
        <v>593</v>
      </c>
    </row>
    <row r="84" spans="1:9" x14ac:dyDescent="0.25">
      <c r="A84" t="s">
        <v>590</v>
      </c>
      <c r="B84" t="s">
        <v>687</v>
      </c>
      <c r="C84" t="s">
        <v>594</v>
      </c>
      <c r="D84">
        <v>37.404815480000003</v>
      </c>
      <c r="E84" t="s">
        <v>591</v>
      </c>
      <c r="F84">
        <v>105.746039</v>
      </c>
      <c r="G84" t="s">
        <v>592</v>
      </c>
      <c r="H84">
        <v>22356</v>
      </c>
      <c r="I84" t="s">
        <v>593</v>
      </c>
    </row>
    <row r="85" spans="1:9" x14ac:dyDescent="0.25">
      <c r="A85" t="s">
        <v>590</v>
      </c>
      <c r="B85" t="s">
        <v>620</v>
      </c>
      <c r="C85" t="s">
        <v>594</v>
      </c>
      <c r="D85">
        <v>38.92588877</v>
      </c>
      <c r="E85" t="s">
        <v>591</v>
      </c>
      <c r="F85">
        <v>106.3747302</v>
      </c>
      <c r="G85" t="s">
        <v>592</v>
      </c>
      <c r="H85">
        <v>42755</v>
      </c>
      <c r="I85" t="s">
        <v>593</v>
      </c>
    </row>
    <row r="86" spans="1:9" x14ac:dyDescent="0.25">
      <c r="A86" t="s">
        <v>590</v>
      </c>
      <c r="B86" t="s">
        <v>668</v>
      </c>
      <c r="C86" t="s">
        <v>594</v>
      </c>
      <c r="D86">
        <v>38.3804388</v>
      </c>
      <c r="E86" t="s">
        <v>591</v>
      </c>
      <c r="F86">
        <v>106.0837609</v>
      </c>
      <c r="G86" t="s">
        <v>592</v>
      </c>
      <c r="H86">
        <v>21034</v>
      </c>
      <c r="I86" t="s">
        <v>593</v>
      </c>
    </row>
    <row r="87" spans="1:9" x14ac:dyDescent="0.25">
      <c r="A87" t="s">
        <v>590</v>
      </c>
      <c r="B87" t="s">
        <v>611</v>
      </c>
      <c r="C87" t="s">
        <v>594</v>
      </c>
      <c r="D87">
        <v>35.668313099999999</v>
      </c>
      <c r="E87" t="s">
        <v>591</v>
      </c>
      <c r="F87">
        <v>105.80932610000001</v>
      </c>
      <c r="G87" t="s">
        <v>592</v>
      </c>
      <c r="H87">
        <v>35705</v>
      </c>
      <c r="I87" t="s">
        <v>593</v>
      </c>
    </row>
    <row r="88" spans="1:9" x14ac:dyDescent="0.25">
      <c r="A88" t="s">
        <v>590</v>
      </c>
      <c r="B88" t="s">
        <v>688</v>
      </c>
      <c r="C88" t="s">
        <v>594</v>
      </c>
      <c r="D88">
        <v>36.930897209999998</v>
      </c>
      <c r="E88" t="s">
        <v>591</v>
      </c>
      <c r="F88">
        <v>105.28173409999999</v>
      </c>
      <c r="G88" t="s">
        <v>592</v>
      </c>
      <c r="H88">
        <v>28426</v>
      </c>
      <c r="I88" t="s">
        <v>593</v>
      </c>
    </row>
    <row r="89" spans="1:9" x14ac:dyDescent="0.25">
      <c r="A89" t="s">
        <v>590</v>
      </c>
      <c r="B89" t="s">
        <v>689</v>
      </c>
      <c r="C89" t="s">
        <v>594</v>
      </c>
      <c r="D89">
        <v>37.350710220000003</v>
      </c>
      <c r="E89" t="s">
        <v>591</v>
      </c>
      <c r="F89">
        <v>105.4610419</v>
      </c>
      <c r="G89" t="s">
        <v>592</v>
      </c>
      <c r="H89">
        <v>44594</v>
      </c>
      <c r="I89" t="s">
        <v>593</v>
      </c>
    </row>
    <row r="90" spans="1:9" x14ac:dyDescent="0.25">
      <c r="A90" t="s">
        <v>590</v>
      </c>
      <c r="B90" t="s">
        <v>669</v>
      </c>
      <c r="C90" t="s">
        <v>594</v>
      </c>
      <c r="D90">
        <v>38.278028910000003</v>
      </c>
      <c r="E90" t="s">
        <v>591</v>
      </c>
      <c r="F90">
        <v>106.24873530000001</v>
      </c>
      <c r="G90" t="s">
        <v>592</v>
      </c>
      <c r="H90">
        <v>67901</v>
      </c>
      <c r="I90" t="s">
        <v>593</v>
      </c>
    </row>
    <row r="91" spans="1:9" x14ac:dyDescent="0.25">
      <c r="A91" t="s">
        <v>590</v>
      </c>
      <c r="B91" t="s">
        <v>621</v>
      </c>
      <c r="C91" t="s">
        <v>594</v>
      </c>
      <c r="D91">
        <v>38.77360453</v>
      </c>
      <c r="E91" t="s">
        <v>591</v>
      </c>
      <c r="F91">
        <v>106.4639554</v>
      </c>
      <c r="G91" t="s">
        <v>592</v>
      </c>
      <c r="H91">
        <v>16000</v>
      </c>
      <c r="I91" t="s">
        <v>593</v>
      </c>
    </row>
    <row r="92" spans="1:9" x14ac:dyDescent="0.25">
      <c r="A92" t="s">
        <v>590</v>
      </c>
      <c r="B92" t="s">
        <v>648</v>
      </c>
      <c r="C92" t="s">
        <v>594</v>
      </c>
      <c r="D92">
        <v>38.1146119</v>
      </c>
      <c r="E92" t="s">
        <v>591</v>
      </c>
      <c r="F92">
        <v>106.1602101</v>
      </c>
      <c r="G92" t="s">
        <v>592</v>
      </c>
      <c r="H92">
        <v>15206</v>
      </c>
      <c r="I92" t="s">
        <v>593</v>
      </c>
    </row>
    <row r="93" spans="1:9" x14ac:dyDescent="0.25">
      <c r="A93" t="s">
        <v>590</v>
      </c>
      <c r="B93" t="s">
        <v>690</v>
      </c>
      <c r="C93" t="s">
        <v>594</v>
      </c>
      <c r="D93">
        <v>37.472141379999997</v>
      </c>
      <c r="E93" t="s">
        <v>591</v>
      </c>
      <c r="F93">
        <v>104.77695</v>
      </c>
      <c r="G93" t="s">
        <v>592</v>
      </c>
      <c r="H93">
        <v>24969</v>
      </c>
      <c r="I93" t="s">
        <v>593</v>
      </c>
    </row>
    <row r="94" spans="1:9" x14ac:dyDescent="0.25">
      <c r="A94" t="s">
        <v>590</v>
      </c>
      <c r="B94" t="s">
        <v>691</v>
      </c>
      <c r="C94" t="s">
        <v>594</v>
      </c>
      <c r="D94">
        <v>37.311673499999998</v>
      </c>
      <c r="E94" t="s">
        <v>591</v>
      </c>
      <c r="F94">
        <v>105.32926310000001</v>
      </c>
      <c r="G94" t="s">
        <v>592</v>
      </c>
      <c r="H94">
        <v>27482</v>
      </c>
      <c r="I94" t="s">
        <v>593</v>
      </c>
    </row>
    <row r="95" spans="1:9" x14ac:dyDescent="0.25">
      <c r="A95" t="s">
        <v>590</v>
      </c>
      <c r="B95" t="s">
        <v>622</v>
      </c>
      <c r="C95" t="s">
        <v>594</v>
      </c>
      <c r="D95">
        <v>39.213052689999998</v>
      </c>
      <c r="E95" t="s">
        <v>591</v>
      </c>
      <c r="F95">
        <v>106.7760814</v>
      </c>
      <c r="G95" t="s">
        <v>592</v>
      </c>
      <c r="H95">
        <v>27895</v>
      </c>
      <c r="I95" t="s">
        <v>593</v>
      </c>
    </row>
    <row r="96" spans="1:9" x14ac:dyDescent="0.25">
      <c r="A96" t="s">
        <v>590</v>
      </c>
      <c r="B96" t="s">
        <v>649</v>
      </c>
      <c r="C96" t="s">
        <v>594</v>
      </c>
      <c r="D96">
        <v>36.969728809999999</v>
      </c>
      <c r="E96" t="s">
        <v>591</v>
      </c>
      <c r="F96">
        <v>105.9591301</v>
      </c>
      <c r="G96" t="s">
        <v>592</v>
      </c>
      <c r="H96">
        <v>83887</v>
      </c>
      <c r="I96" t="s">
        <v>593</v>
      </c>
    </row>
    <row r="97" spans="1:9" x14ac:dyDescent="0.25">
      <c r="A97" t="s">
        <v>590</v>
      </c>
      <c r="B97" t="s">
        <v>650</v>
      </c>
      <c r="C97" t="s">
        <v>594</v>
      </c>
      <c r="D97">
        <v>36.852033890000001</v>
      </c>
      <c r="E97" t="s">
        <v>591</v>
      </c>
      <c r="F97">
        <v>106.2877585</v>
      </c>
      <c r="G97" t="s">
        <v>592</v>
      </c>
      <c r="H97">
        <v>20320</v>
      </c>
      <c r="I97" t="s">
        <v>593</v>
      </c>
    </row>
    <row r="98" spans="1:9" x14ac:dyDescent="0.25">
      <c r="A98" t="s">
        <v>590</v>
      </c>
      <c r="B98" t="s">
        <v>612</v>
      </c>
      <c r="C98" t="s">
        <v>594</v>
      </c>
      <c r="D98">
        <v>35.848223939999997</v>
      </c>
      <c r="E98" t="s">
        <v>591</v>
      </c>
      <c r="F98">
        <v>106.1004514</v>
      </c>
      <c r="G98" t="s">
        <v>592</v>
      </c>
      <c r="H98">
        <v>34141</v>
      </c>
      <c r="I98" t="s">
        <v>593</v>
      </c>
    </row>
    <row r="99" spans="1:9" x14ac:dyDescent="0.25">
      <c r="A99" t="s">
        <v>590</v>
      </c>
      <c r="B99" t="s">
        <v>670</v>
      </c>
      <c r="C99" t="s">
        <v>594</v>
      </c>
      <c r="D99">
        <v>38.399526250000001</v>
      </c>
      <c r="E99" t="s">
        <v>591</v>
      </c>
      <c r="F99">
        <v>106.4029285</v>
      </c>
      <c r="G99" t="s">
        <v>592</v>
      </c>
      <c r="H99">
        <v>34256</v>
      </c>
      <c r="I99" t="s">
        <v>593</v>
      </c>
    </row>
    <row r="100" spans="1:9" x14ac:dyDescent="0.25">
      <c r="A100" t="s">
        <v>590</v>
      </c>
      <c r="B100" t="s">
        <v>671</v>
      </c>
      <c r="C100" t="s">
        <v>594</v>
      </c>
      <c r="D100">
        <v>38.57384922</v>
      </c>
      <c r="E100" t="s">
        <v>591</v>
      </c>
      <c r="F100">
        <v>105.96728539999999</v>
      </c>
      <c r="G100" t="s">
        <v>592</v>
      </c>
      <c r="H100">
        <v>24706</v>
      </c>
      <c r="I100" t="s">
        <v>593</v>
      </c>
    </row>
    <row r="101" spans="1:9" x14ac:dyDescent="0.25">
      <c r="A101" t="s">
        <v>590</v>
      </c>
      <c r="B101" t="s">
        <v>692</v>
      </c>
      <c r="C101" t="s">
        <v>594</v>
      </c>
      <c r="D101">
        <v>37.525978600000002</v>
      </c>
      <c r="E101" t="s">
        <v>591</v>
      </c>
      <c r="F101">
        <v>105.365634</v>
      </c>
      <c r="G101" t="s">
        <v>592</v>
      </c>
      <c r="H101">
        <v>25661</v>
      </c>
      <c r="I101" t="s">
        <v>593</v>
      </c>
    </row>
    <row r="102" spans="1:9" x14ac:dyDescent="0.25">
      <c r="A102" t="s">
        <v>590</v>
      </c>
      <c r="B102" t="s">
        <v>693</v>
      </c>
      <c r="C102" t="s">
        <v>594</v>
      </c>
      <c r="D102">
        <v>36.935161399999998</v>
      </c>
      <c r="E102" t="s">
        <v>591</v>
      </c>
      <c r="F102">
        <v>105.375185</v>
      </c>
      <c r="G102" t="s">
        <v>592</v>
      </c>
      <c r="H102">
        <v>83376</v>
      </c>
      <c r="I102" t="s">
        <v>593</v>
      </c>
    </row>
    <row r="103" spans="1:9" x14ac:dyDescent="0.25">
      <c r="A103" t="s">
        <v>590</v>
      </c>
      <c r="B103" t="s">
        <v>638</v>
      </c>
      <c r="C103" t="s">
        <v>594</v>
      </c>
      <c r="D103">
        <v>37.934522100000002</v>
      </c>
      <c r="E103" t="s">
        <v>591</v>
      </c>
      <c r="F103">
        <v>105.9154352</v>
      </c>
      <c r="G103" t="s">
        <v>592</v>
      </c>
      <c r="H103">
        <v>63998</v>
      </c>
      <c r="I103" t="s">
        <v>593</v>
      </c>
    </row>
    <row r="104" spans="1:9" x14ac:dyDescent="0.25">
      <c r="A104" t="s">
        <v>590</v>
      </c>
      <c r="B104" t="s">
        <v>694</v>
      </c>
      <c r="C104" t="s">
        <v>594</v>
      </c>
      <c r="D104">
        <v>37.4196806</v>
      </c>
      <c r="E104" t="s">
        <v>591</v>
      </c>
      <c r="F104">
        <v>106.6041182</v>
      </c>
      <c r="G104" t="s">
        <v>592</v>
      </c>
      <c r="H104">
        <v>14332</v>
      </c>
      <c r="I104" t="s">
        <v>593</v>
      </c>
    </row>
    <row r="105" spans="1:9" x14ac:dyDescent="0.25">
      <c r="A105" t="s">
        <v>590</v>
      </c>
      <c r="B105" t="s">
        <v>695</v>
      </c>
      <c r="C105" t="s">
        <v>594</v>
      </c>
      <c r="D105">
        <v>35.8792349</v>
      </c>
      <c r="E105" t="s">
        <v>591</v>
      </c>
      <c r="F105">
        <v>106.1372993</v>
      </c>
      <c r="G105" t="s">
        <v>592</v>
      </c>
      <c r="H105">
        <v>161069</v>
      </c>
      <c r="I105" t="s">
        <v>593</v>
      </c>
    </row>
    <row r="106" spans="1:9" x14ac:dyDescent="0.25">
      <c r="A106" t="s">
        <v>590</v>
      </c>
      <c r="B106" t="s">
        <v>696</v>
      </c>
      <c r="C106" t="s">
        <v>594</v>
      </c>
      <c r="D106">
        <v>38.9911709</v>
      </c>
      <c r="E106" t="s">
        <v>591</v>
      </c>
      <c r="F106">
        <v>106.4651147</v>
      </c>
      <c r="G106" t="s">
        <v>592</v>
      </c>
      <c r="H106">
        <v>356702</v>
      </c>
      <c r="I106" t="s">
        <v>593</v>
      </c>
    </row>
    <row r="107" spans="1:9" x14ac:dyDescent="0.25">
      <c r="A107" t="s">
        <v>590</v>
      </c>
      <c r="B107" t="s">
        <v>697</v>
      </c>
      <c r="C107" t="s">
        <v>594</v>
      </c>
      <c r="D107">
        <v>37.9990442</v>
      </c>
      <c r="E107" t="s">
        <v>591</v>
      </c>
      <c r="F107">
        <v>106.5408623</v>
      </c>
      <c r="G107" t="s">
        <v>592</v>
      </c>
      <c r="H107">
        <v>62812</v>
      </c>
      <c r="I107" t="s">
        <v>593</v>
      </c>
    </row>
    <row r="108" spans="1:9" x14ac:dyDescent="0.25">
      <c r="A108" t="s">
        <v>590</v>
      </c>
      <c r="B108" t="s">
        <v>698</v>
      </c>
      <c r="C108" t="s">
        <v>594</v>
      </c>
      <c r="D108">
        <v>38.259071300000002</v>
      </c>
      <c r="E108" t="s">
        <v>591</v>
      </c>
      <c r="F108">
        <v>106.34633909999999</v>
      </c>
      <c r="G108" t="s">
        <v>592</v>
      </c>
      <c r="H108">
        <v>1098096</v>
      </c>
      <c r="I108" t="s">
        <v>699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426A-F3FB-4451-93AE-784694E028B2}">
  <dimension ref="A1:G29"/>
  <sheetViews>
    <sheetView workbookViewId="0">
      <selection activeCell="A2" sqref="A2:G29"/>
    </sheetView>
  </sheetViews>
  <sheetFormatPr defaultRowHeight="15" x14ac:dyDescent="0.25"/>
  <cols>
    <col min="4" max="4" width="12.85546875" customWidth="1"/>
    <col min="5" max="6" width="13.85546875" customWidth="1"/>
  </cols>
  <sheetData>
    <row r="1" spans="1:7" ht="15.75" thickBot="1" x14ac:dyDescent="0.3">
      <c r="A1" t="s">
        <v>0</v>
      </c>
      <c r="B1" t="s">
        <v>2</v>
      </c>
      <c r="C1" t="s">
        <v>1</v>
      </c>
      <c r="D1" t="s">
        <v>4</v>
      </c>
      <c r="E1" t="s">
        <v>577</v>
      </c>
      <c r="F1" t="s">
        <v>578</v>
      </c>
      <c r="G1" t="s">
        <v>580</v>
      </c>
    </row>
    <row r="2" spans="1:7" ht="15.75" thickBot="1" x14ac:dyDescent="0.3">
      <c r="A2" t="s">
        <v>537</v>
      </c>
      <c r="B2" s="5" t="s">
        <v>538</v>
      </c>
      <c r="C2" s="5" t="s">
        <v>539</v>
      </c>
      <c r="D2" s="6">
        <v>1383401</v>
      </c>
      <c r="E2" s="6">
        <v>1228156</v>
      </c>
      <c r="F2" s="6">
        <v>1142142</v>
      </c>
      <c r="G2" s="12" t="str" cm="1">
        <f t="array" aca="1" ref="G2" ca="1">IF(Background=36,C2,G1)</f>
        <v>固原市</v>
      </c>
    </row>
    <row r="3" spans="1:7" ht="15.75" thickBot="1" x14ac:dyDescent="0.3">
      <c r="A3" t="s">
        <v>24</v>
      </c>
      <c r="B3" s="1" t="s">
        <v>540</v>
      </c>
      <c r="C3" s="1" t="s">
        <v>541</v>
      </c>
      <c r="D3" s="2">
        <v>81310</v>
      </c>
      <c r="E3" s="2">
        <v>101026</v>
      </c>
      <c r="F3" s="2">
        <v>85023</v>
      </c>
      <c r="G3" s="2" t="str" cm="1">
        <f t="array" aca="1" ref="G3" ca="1">IF(Background=36,C3,G2)</f>
        <v>固原市</v>
      </c>
    </row>
    <row r="4" spans="1:7" ht="15.75" thickBot="1" x14ac:dyDescent="0.3">
      <c r="A4" t="s">
        <v>17</v>
      </c>
      <c r="B4" s="1" t="s">
        <v>540</v>
      </c>
      <c r="C4" s="1" t="s">
        <v>542</v>
      </c>
      <c r="D4" s="2">
        <v>197160</v>
      </c>
      <c r="E4" s="2">
        <v>160754</v>
      </c>
      <c r="F4" s="2">
        <v>109451</v>
      </c>
      <c r="G4" s="2" t="str" cm="1">
        <f t="array" aca="1" ref="G4" ca="1">IF(Background=36,C4,G3)</f>
        <v>固原市</v>
      </c>
    </row>
    <row r="5" spans="1:7" ht="15.75" thickBot="1" x14ac:dyDescent="0.3">
      <c r="A5" t="s">
        <v>8</v>
      </c>
      <c r="B5" s="1" t="s">
        <v>540</v>
      </c>
      <c r="C5" s="1" t="s">
        <v>543</v>
      </c>
      <c r="D5" s="2">
        <v>230981</v>
      </c>
      <c r="E5" s="2">
        <v>200201</v>
      </c>
      <c r="F5" s="2">
        <v>160512</v>
      </c>
      <c r="G5" s="2" t="str" cm="1">
        <f t="array" aca="1" ref="G5" ca="1">IF(Background=36,C5,G4)</f>
        <v>固原市</v>
      </c>
    </row>
    <row r="6" spans="1:7" ht="15.75" thickBot="1" x14ac:dyDescent="0.3">
      <c r="A6" t="s">
        <v>12</v>
      </c>
      <c r="B6" s="1" t="s">
        <v>540</v>
      </c>
      <c r="C6" s="1" t="s">
        <v>544</v>
      </c>
      <c r="D6" s="2">
        <v>403209</v>
      </c>
      <c r="E6" s="2">
        <v>354321</v>
      </c>
      <c r="F6" s="2">
        <v>315827</v>
      </c>
      <c r="G6" s="2" t="str" cm="1">
        <f t="array" aca="1" ref="G6" ca="1">IF(Background=36,C6,G5)</f>
        <v>固原市</v>
      </c>
    </row>
    <row r="7" spans="1:7" ht="15.75" thickBot="1" x14ac:dyDescent="0.3">
      <c r="A7" t="s">
        <v>33</v>
      </c>
      <c r="B7" s="1" t="s">
        <v>545</v>
      </c>
      <c r="C7" s="1" t="s">
        <v>546</v>
      </c>
      <c r="D7" s="2">
        <v>470741</v>
      </c>
      <c r="E7" s="2">
        <v>411854</v>
      </c>
      <c r="F7" s="2">
        <v>471329</v>
      </c>
      <c r="G7" s="2" t="str" cm="1">
        <f t="array" aca="1" ref="G7" ca="1">IF(Background=36,C7,G6)</f>
        <v>固原市</v>
      </c>
    </row>
    <row r="8" spans="1:7" ht="15.75" thickBot="1" x14ac:dyDescent="0.3">
      <c r="A8" t="s">
        <v>547</v>
      </c>
      <c r="B8" s="5" t="s">
        <v>538</v>
      </c>
      <c r="C8" s="5" t="s">
        <v>548</v>
      </c>
      <c r="D8" s="6">
        <v>675378</v>
      </c>
      <c r="E8" s="6">
        <v>725482</v>
      </c>
      <c r="F8" s="6">
        <v>751389</v>
      </c>
      <c r="G8" s="2" t="str" cm="1">
        <f t="array" aca="1" ref="G8" ca="1">IF(Background=36,C8,G7)</f>
        <v>石嘴山市</v>
      </c>
    </row>
    <row r="9" spans="1:7" ht="15.75" thickBot="1" x14ac:dyDescent="0.3">
      <c r="A9" t="s">
        <v>139</v>
      </c>
      <c r="B9" s="1" t="s">
        <v>545</v>
      </c>
      <c r="C9" s="1" t="s">
        <v>549</v>
      </c>
      <c r="D9" s="2">
        <v>255627</v>
      </c>
      <c r="E9" s="2">
        <v>286669</v>
      </c>
      <c r="F9" s="2">
        <v>298292</v>
      </c>
      <c r="G9" s="2" t="str" cm="1">
        <f t="array" aca="1" ref="G9" ca="1">IF(Background=36,C9,G8)</f>
        <v>石嘴山市</v>
      </c>
    </row>
    <row r="10" spans="1:7" ht="15.75" thickBot="1" x14ac:dyDescent="0.3">
      <c r="A10" t="s">
        <v>145</v>
      </c>
      <c r="B10" s="1" t="s">
        <v>545</v>
      </c>
      <c r="C10" s="1" t="s">
        <v>550</v>
      </c>
      <c r="D10" s="2">
        <v>149877</v>
      </c>
      <c r="E10" s="2">
        <v>185803</v>
      </c>
      <c r="F10" s="2">
        <v>178891</v>
      </c>
      <c r="G10" s="2" t="str" cm="1">
        <f t="array" aca="1" ref="G10" ca="1">IF(Background=36,C10,G9)</f>
        <v>石嘴山市</v>
      </c>
    </row>
    <row r="11" spans="1:7" ht="15.75" thickBot="1" x14ac:dyDescent="0.3">
      <c r="A11" t="s">
        <v>142</v>
      </c>
      <c r="B11" s="1" t="s">
        <v>540</v>
      </c>
      <c r="C11" s="1" t="s">
        <v>551</v>
      </c>
      <c r="D11" s="2">
        <v>257445</v>
      </c>
      <c r="E11" s="2">
        <v>253010</v>
      </c>
      <c r="F11" s="2">
        <v>274206</v>
      </c>
      <c r="G11" s="2" t="str" cm="1">
        <f t="array" aca="1" ref="G11" ca="1">IF(Background=36,C11,G10)</f>
        <v>石嘴山市</v>
      </c>
    </row>
    <row r="12" spans="1:7" ht="15.75" thickBot="1" x14ac:dyDescent="0.3">
      <c r="A12" t="s">
        <v>552</v>
      </c>
      <c r="B12" s="5" t="s">
        <v>538</v>
      </c>
      <c r="C12" s="5" t="s">
        <v>553</v>
      </c>
      <c r="D12" s="6">
        <v>1086407</v>
      </c>
      <c r="E12" s="6">
        <v>1273792</v>
      </c>
      <c r="F12" s="6">
        <v>1382713</v>
      </c>
      <c r="G12" s="2" t="str" cm="1">
        <f t="array" aca="1" ref="G12" ca="1">IF(Background=36,C12,G11)</f>
        <v>吴忠市</v>
      </c>
    </row>
    <row r="13" spans="1:7" ht="15.75" thickBot="1" x14ac:dyDescent="0.3">
      <c r="A13" t="s">
        <v>234</v>
      </c>
      <c r="B13" s="1" t="s">
        <v>545</v>
      </c>
      <c r="C13" s="1" t="s">
        <v>554</v>
      </c>
      <c r="D13" s="2">
        <v>51875</v>
      </c>
      <c r="E13" s="2">
        <v>165016</v>
      </c>
      <c r="F13" s="2">
        <v>197604</v>
      </c>
      <c r="G13" s="2" t="str" cm="1">
        <f t="array" aca="1" ref="G13" ca="1">IF(Background=36,C13,G12)</f>
        <v>吴忠市</v>
      </c>
    </row>
    <row r="14" spans="1:7" ht="15.75" thickBot="1" x14ac:dyDescent="0.3">
      <c r="A14" t="s">
        <v>222</v>
      </c>
      <c r="B14" s="1" t="s">
        <v>545</v>
      </c>
      <c r="C14" s="1" t="s">
        <v>555</v>
      </c>
      <c r="D14" s="2">
        <v>303567</v>
      </c>
      <c r="E14" s="2">
        <v>379346</v>
      </c>
      <c r="F14" s="2">
        <v>460790</v>
      </c>
      <c r="G14" s="2" t="str" cm="1">
        <f t="array" aca="1" ref="G14" ca="1">IF(Background=36,C14,G13)</f>
        <v>吴忠市</v>
      </c>
    </row>
    <row r="15" spans="1:7" ht="15.75" thickBot="1" x14ac:dyDescent="0.3">
      <c r="A15" t="s">
        <v>229</v>
      </c>
      <c r="B15" s="1" t="s">
        <v>556</v>
      </c>
      <c r="C15" s="1" t="s">
        <v>557</v>
      </c>
      <c r="D15" s="2">
        <v>248640</v>
      </c>
      <c r="E15" s="2">
        <v>264717</v>
      </c>
      <c r="F15" s="2">
        <v>244309</v>
      </c>
      <c r="G15" s="2" t="str" cm="1">
        <f t="array" aca="1" ref="G15" ca="1">IF(Background=36,C15,G14)</f>
        <v>吴忠市</v>
      </c>
    </row>
    <row r="16" spans="1:7" ht="15.75" thickBot="1" x14ac:dyDescent="0.3">
      <c r="A16" t="s">
        <v>240</v>
      </c>
      <c r="B16" s="1" t="s">
        <v>540</v>
      </c>
      <c r="C16" s="1" t="s">
        <v>558</v>
      </c>
      <c r="D16" s="2">
        <v>328741</v>
      </c>
      <c r="E16" s="2">
        <v>318153</v>
      </c>
      <c r="F16" s="2">
        <v>320801</v>
      </c>
      <c r="G16" s="2" t="str" cm="1">
        <f t="array" aca="1" ref="G16" ca="1">IF(Background=36,C16,G15)</f>
        <v>吴忠市</v>
      </c>
    </row>
    <row r="17" spans="1:7" ht="15.75" thickBot="1" x14ac:dyDescent="0.3">
      <c r="A17" t="s">
        <v>237</v>
      </c>
      <c r="B17" s="1" t="s">
        <v>540</v>
      </c>
      <c r="C17" s="1" t="s">
        <v>559</v>
      </c>
      <c r="D17" s="2">
        <v>153584</v>
      </c>
      <c r="E17" s="2">
        <v>146560</v>
      </c>
      <c r="F17" s="2">
        <v>159209</v>
      </c>
      <c r="G17" s="2" t="str" cm="1">
        <f t="array" aca="1" ref="G17" ca="1">IF(Background=36,C17,G16)</f>
        <v>吴忠市</v>
      </c>
    </row>
    <row r="18" spans="1:7" ht="15.75" thickBot="1" x14ac:dyDescent="0.3">
      <c r="A18" t="s">
        <v>560</v>
      </c>
      <c r="B18" s="5" t="s">
        <v>538</v>
      </c>
      <c r="C18" s="5" t="s">
        <v>561</v>
      </c>
      <c r="D18" s="6">
        <v>1427503</v>
      </c>
      <c r="E18" s="6">
        <v>1993088</v>
      </c>
      <c r="F18" s="6">
        <v>2859074</v>
      </c>
      <c r="G18" s="2" t="str" cm="1">
        <f t="array" aca="1" ref="G18" ca="1">IF(Background=36,C18,G17)</f>
        <v>银川市</v>
      </c>
    </row>
    <row r="19" spans="1:7" ht="15.75" thickBot="1" x14ac:dyDescent="0.3">
      <c r="A19" t="s">
        <v>336</v>
      </c>
      <c r="B19" s="1" t="s">
        <v>540</v>
      </c>
      <c r="C19" s="1" t="s">
        <v>562</v>
      </c>
      <c r="D19" s="2">
        <v>178458</v>
      </c>
      <c r="E19" s="2">
        <v>222981</v>
      </c>
      <c r="F19" s="2">
        <v>341507</v>
      </c>
      <c r="G19" s="2" t="str" cm="1">
        <f t="array" aca="1" ref="G19" ca="1">IF(Background=36,C19,G18)</f>
        <v>银川市</v>
      </c>
    </row>
    <row r="20" spans="1:7" ht="15.75" thickBot="1" x14ac:dyDescent="0.3">
      <c r="A20" t="s">
        <v>331</v>
      </c>
      <c r="B20" s="1" t="s">
        <v>545</v>
      </c>
      <c r="C20" s="1" t="s">
        <v>563</v>
      </c>
      <c r="D20" s="3" t="s">
        <v>564</v>
      </c>
      <c r="E20" s="2">
        <v>282554</v>
      </c>
      <c r="F20" s="2">
        <v>643952</v>
      </c>
      <c r="G20" s="2" t="str" cm="1">
        <f t="array" aca="1" ref="G20" ca="1">IF(Background=36,C20,G19)</f>
        <v>银川市</v>
      </c>
    </row>
    <row r="21" spans="1:7" ht="15.75" thickBot="1" x14ac:dyDescent="0.3">
      <c r="A21" t="s">
        <v>325</v>
      </c>
      <c r="B21" s="1" t="s">
        <v>556</v>
      </c>
      <c r="C21" s="1" t="s">
        <v>565</v>
      </c>
      <c r="D21" s="2">
        <v>249890</v>
      </c>
      <c r="E21" s="2">
        <v>261677</v>
      </c>
      <c r="F21" s="2">
        <v>294156</v>
      </c>
      <c r="G21" s="2" t="str" cm="1">
        <f t="array" aca="1" ref="G21" ca="1">IF(Background=36,C21,G20)</f>
        <v>银川市</v>
      </c>
    </row>
    <row r="22" spans="1:7" ht="15.75" thickBot="1" x14ac:dyDescent="0.3">
      <c r="A22" t="s">
        <v>343</v>
      </c>
      <c r="B22" s="1" t="s">
        <v>545</v>
      </c>
      <c r="C22" s="1" t="s">
        <v>566</v>
      </c>
      <c r="D22" s="3" t="s">
        <v>564</v>
      </c>
      <c r="E22" s="2">
        <v>678306</v>
      </c>
      <c r="F22" s="2">
        <v>808282</v>
      </c>
      <c r="G22" s="2" t="str" cm="1">
        <f t="array" aca="1" ref="G22" ca="1">IF(Background=36,C22,G21)</f>
        <v>银川市</v>
      </c>
    </row>
    <row r="23" spans="1:7" ht="15.75" thickBot="1" x14ac:dyDescent="0.3">
      <c r="A23" t="s">
        <v>328</v>
      </c>
      <c r="B23" s="1" t="s">
        <v>545</v>
      </c>
      <c r="C23" s="1" t="s">
        <v>567</v>
      </c>
      <c r="D23" s="3" t="s">
        <v>564</v>
      </c>
      <c r="E23" s="2">
        <v>329310</v>
      </c>
      <c r="F23" s="2">
        <v>449559</v>
      </c>
      <c r="G23" s="2" t="str" cm="1">
        <f t="array" aca="1" ref="G23" ca="1">IF(Background=36,C23,G22)</f>
        <v>银川市</v>
      </c>
    </row>
    <row r="24" spans="1:7" ht="15.75" thickBot="1" x14ac:dyDescent="0.3">
      <c r="A24" t="s">
        <v>362</v>
      </c>
      <c r="B24" s="1" t="s">
        <v>540</v>
      </c>
      <c r="C24" s="1" t="s">
        <v>568</v>
      </c>
      <c r="D24" s="2">
        <v>191668</v>
      </c>
      <c r="E24" s="2">
        <v>218260</v>
      </c>
      <c r="F24" s="2">
        <v>321618</v>
      </c>
      <c r="G24" s="2" t="str" cm="1">
        <f t="array" aca="1" ref="G24" ca="1">IF(Background=36,C24,G23)</f>
        <v>银川市</v>
      </c>
    </row>
    <row r="25" spans="1:7" ht="15.75" thickBot="1" x14ac:dyDescent="0.3">
      <c r="A25" t="s">
        <v>569</v>
      </c>
      <c r="B25" s="5" t="s">
        <v>538</v>
      </c>
      <c r="C25" s="5" t="s">
        <v>570</v>
      </c>
      <c r="D25" s="6">
        <v>913704</v>
      </c>
      <c r="E25" s="6">
        <v>1080832</v>
      </c>
      <c r="F25" s="6">
        <v>1067336</v>
      </c>
      <c r="G25" s="2" t="str" cm="1">
        <f t="array" aca="1" ref="G25" ca="1">IF(Background=36,C25,G24)</f>
        <v>中卫市</v>
      </c>
    </row>
    <row r="26" spans="1:7" ht="15.75" thickBot="1" x14ac:dyDescent="0.3">
      <c r="A26" t="s">
        <v>451</v>
      </c>
      <c r="B26" s="1" t="s">
        <v>540</v>
      </c>
      <c r="C26" s="1" t="s">
        <v>571</v>
      </c>
      <c r="D26" s="2">
        <v>343960</v>
      </c>
      <c r="E26" s="2">
        <v>389305</v>
      </c>
      <c r="F26" s="2">
        <v>333518</v>
      </c>
      <c r="G26" s="2" t="str" cm="1">
        <f t="array" aca="1" ref="G26" ca="1">IF(Background=36,C26,G25)</f>
        <v>中卫市</v>
      </c>
    </row>
    <row r="27" spans="1:7" ht="15.75" thickBot="1" x14ac:dyDescent="0.3">
      <c r="A27" t="s">
        <v>448</v>
      </c>
      <c r="B27" s="1" t="s">
        <v>545</v>
      </c>
      <c r="C27" s="1" t="s">
        <v>572</v>
      </c>
      <c r="D27" s="2">
        <v>320474</v>
      </c>
      <c r="E27" s="2">
        <v>378606</v>
      </c>
      <c r="F27" s="2">
        <v>399796</v>
      </c>
      <c r="G27" s="2" t="str" cm="1">
        <f t="array" aca="1" ref="G27" ca="1">IF(Background=36,C27,G26)</f>
        <v>中卫市</v>
      </c>
    </row>
    <row r="28" spans="1:7" ht="15.75" thickBot="1" x14ac:dyDescent="0.3">
      <c r="A28" t="s">
        <v>445</v>
      </c>
      <c r="B28" s="1" t="s">
        <v>540</v>
      </c>
      <c r="C28" s="1" t="s">
        <v>573</v>
      </c>
      <c r="D28" s="2">
        <v>249270</v>
      </c>
      <c r="E28" s="2">
        <v>312921</v>
      </c>
      <c r="F28" s="2">
        <v>334022</v>
      </c>
      <c r="G28" s="2" t="str" cm="1">
        <f t="array" aca="1" ref="G28" ca="1">IF(Background=36,C28,G27)</f>
        <v>中卫市</v>
      </c>
    </row>
    <row r="29" spans="1:7" x14ac:dyDescent="0.25">
      <c r="A29" s="7" t="s">
        <v>574</v>
      </c>
      <c r="B29" s="7" t="s">
        <v>575</v>
      </c>
      <c r="C29" s="7" t="s">
        <v>576</v>
      </c>
      <c r="D29" s="8">
        <v>5486393</v>
      </c>
      <c r="E29" s="8">
        <v>6301350</v>
      </c>
      <c r="F29" s="8">
        <v>7202654</v>
      </c>
      <c r="G29" s="13" t="str" cm="1">
        <f t="array" aca="1" ref="G29" ca="1">IF(Background=36,C29,G28)</f>
        <v>中卫市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guyuan</vt:lpstr>
      <vt:lpstr>shizuishan</vt:lpstr>
      <vt:lpstr>wuzhong</vt:lpstr>
      <vt:lpstr>yinchuan</vt:lpstr>
      <vt:lpstr>zhongwei</vt:lpstr>
      <vt:lpstr>main table</vt:lpstr>
      <vt:lpstr>cities</vt:lpstr>
      <vt:lpstr>json</vt:lpstr>
      <vt:lpstr>county-naming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Eisenberg</dc:creator>
  <cp:lastModifiedBy>Timothy Eisenberg</cp:lastModifiedBy>
  <dcterms:created xsi:type="dcterms:W3CDTF">2024-04-02T23:23:54Z</dcterms:created>
  <dcterms:modified xsi:type="dcterms:W3CDTF">2024-05-04T04:04:47Z</dcterms:modified>
</cp:coreProperties>
</file>