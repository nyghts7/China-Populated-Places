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night\OneDrive\Desktop\data\china\books\"/>
    </mc:Choice>
  </mc:AlternateContent>
  <xr:revisionPtr revIDLastSave="0" documentId="13_ncr:1_{CE4A131E-59F9-4C2E-A855-7203369F5B89}" xr6:coauthVersionLast="47" xr6:coauthVersionMax="47" xr10:uidLastSave="{00000000-0000-0000-0000-000000000000}"/>
  <bookViews>
    <workbookView xWindow="-120" yWindow="480" windowWidth="24240" windowHeight="13140" tabRatio="1000" firstSheet="1" activeTab="16" xr2:uid="{0941FDCE-CBF6-4FD6-BD94-2F359BC98CC2}"/>
  </bookViews>
  <sheets>
    <sheet name="baoshan" sheetId="1" r:id="rId1"/>
    <sheet name="chuxiong" sheetId="2" r:id="rId2"/>
    <sheet name="dali" sheetId="3" r:id="rId3"/>
    <sheet name="dehong" sheetId="4" r:id="rId4"/>
    <sheet name="diqing" sheetId="5" r:id="rId5"/>
    <sheet name="honghe" sheetId="6" r:id="rId6"/>
    <sheet name="kunming" sheetId="7" r:id="rId7"/>
    <sheet name="lijiang" sheetId="8" r:id="rId8"/>
    <sheet name="lincang" sheetId="9" r:id="rId9"/>
    <sheet name="nujiang" sheetId="10" r:id="rId10"/>
    <sheet name="qujing" sheetId="12" r:id="rId11"/>
    <sheet name="pu'er" sheetId="11" r:id="rId12"/>
    <sheet name="wenshan" sheetId="13" r:id="rId13"/>
    <sheet name="xishuangbanna" sheetId="14" r:id="rId14"/>
    <sheet name="yuxi" sheetId="15" r:id="rId15"/>
    <sheet name="zhaotong" sheetId="16" r:id="rId16"/>
    <sheet name="main table" sheetId="18" r:id="rId17"/>
    <sheet name="cities" sheetId="19" r:id="rId18"/>
    <sheet name="json" sheetId="20" r:id="rId19"/>
    <sheet name="county-naming" sheetId="17" r:id="rId20"/>
  </sheets>
  <externalReferences>
    <externalReference r:id="rId21"/>
  </externalReferences>
  <definedNames>
    <definedName name="Background">GET.CELL(63,OFFSET(INDIRECT("RC",FALSE),0,-1))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18" l="1"/>
  <c r="B73" i="18"/>
  <c r="B82" i="18"/>
  <c r="B87" i="18"/>
  <c r="B173" i="18"/>
  <c r="B205" i="18"/>
  <c r="B207" i="18"/>
  <c r="B283" i="18"/>
  <c r="B293" i="18"/>
  <c r="B307" i="18"/>
  <c r="B326" i="18"/>
  <c r="B328" i="18"/>
  <c r="B339" i="18"/>
  <c r="B340" i="18"/>
  <c r="B344" i="18"/>
  <c r="B354" i="18"/>
  <c r="B406" i="18"/>
  <c r="B408" i="18"/>
  <c r="B434" i="18"/>
  <c r="B451" i="18"/>
  <c r="B456" i="18"/>
  <c r="B479" i="18"/>
  <c r="B481" i="18"/>
  <c r="B496" i="18"/>
  <c r="B497" i="18"/>
  <c r="B510" i="18"/>
  <c r="B577" i="18"/>
  <c r="B591" i="18"/>
  <c r="B601" i="18"/>
  <c r="B610" i="18"/>
  <c r="B656" i="18"/>
  <c r="B664" i="18"/>
  <c r="B668" i="18"/>
  <c r="B685" i="18"/>
  <c r="B721" i="18"/>
  <c r="B729" i="18"/>
  <c r="B749" i="18"/>
  <c r="B765" i="18"/>
  <c r="B768" i="18"/>
  <c r="B833" i="18"/>
  <c r="B850" i="18"/>
  <c r="B856" i="18"/>
  <c r="B881" i="18"/>
  <c r="B886" i="18"/>
  <c r="B960" i="18"/>
  <c r="B966" i="18"/>
  <c r="B1012" i="18"/>
  <c r="B1022" i="18"/>
  <c r="B1039" i="18"/>
  <c r="B1051" i="18"/>
  <c r="B1052" i="18"/>
  <c r="B1053" i="18"/>
  <c r="B1057" i="18"/>
  <c r="B1064" i="18"/>
  <c r="B1066" i="18"/>
  <c r="B1073" i="18"/>
  <c r="B1081" i="18"/>
  <c r="B1090" i="18"/>
  <c r="B1114" i="18"/>
  <c r="B1203" i="18"/>
  <c r="B1229" i="18"/>
  <c r="B1243" i="18"/>
  <c r="B1291" i="18"/>
  <c r="B1330" i="18"/>
  <c r="B1367" i="18"/>
  <c r="B6" i="18"/>
  <c r="B13" i="18"/>
  <c r="B14" i="18"/>
  <c r="B30" i="18"/>
  <c r="B37" i="18"/>
  <c r="B79" i="18"/>
  <c r="B98" i="18"/>
  <c r="B104" i="18"/>
  <c r="B139" i="18"/>
  <c r="B143" i="18"/>
  <c r="B147" i="18"/>
  <c r="B158" i="18"/>
  <c r="B194" i="18"/>
  <c r="B214" i="18"/>
  <c r="B217" i="18"/>
  <c r="B220" i="18"/>
  <c r="B224" i="18"/>
  <c r="B236" i="18"/>
  <c r="B237" i="18"/>
  <c r="B241" i="18"/>
  <c r="B244" i="18"/>
  <c r="B256" i="18"/>
  <c r="B275" i="18"/>
  <c r="B289" i="18"/>
  <c r="B297" i="18"/>
  <c r="B298" i="18"/>
  <c r="B303" i="18"/>
  <c r="B310" i="18"/>
  <c r="B329" i="18"/>
  <c r="B350" i="18"/>
  <c r="B360" i="18"/>
  <c r="B367" i="18"/>
  <c r="B394" i="18"/>
  <c r="B395" i="18"/>
  <c r="B416" i="18"/>
  <c r="B444" i="18"/>
  <c r="B469" i="18"/>
  <c r="B482" i="18"/>
  <c r="B505" i="18"/>
  <c r="B525" i="18"/>
  <c r="B528" i="18"/>
  <c r="B564" i="18"/>
  <c r="B574" i="18"/>
  <c r="B604" i="18"/>
  <c r="B609" i="18"/>
  <c r="B627" i="18"/>
  <c r="B676" i="18"/>
  <c r="B699" i="18"/>
  <c r="B755" i="18"/>
  <c r="B820" i="18"/>
  <c r="B840" i="18"/>
  <c r="B860" i="18"/>
  <c r="B873" i="18"/>
  <c r="B892" i="18"/>
  <c r="B903" i="18"/>
  <c r="B905" i="18"/>
  <c r="B928" i="18"/>
  <c r="B941" i="18"/>
  <c r="B944" i="18"/>
  <c r="B946" i="18"/>
  <c r="B968" i="18"/>
  <c r="B1008" i="18"/>
  <c r="B1019" i="18"/>
  <c r="B1024" i="18"/>
  <c r="B1042" i="18"/>
  <c r="B1043" i="18"/>
  <c r="B1044" i="18"/>
  <c r="B1046" i="18"/>
  <c r="B1054" i="18"/>
  <c r="B1056" i="18"/>
  <c r="B1068" i="18"/>
  <c r="B1087" i="18"/>
  <c r="B1093" i="18"/>
  <c r="B1101" i="18"/>
  <c r="B1159" i="18"/>
  <c r="B1183" i="18"/>
  <c r="B1198" i="18"/>
  <c r="B1215" i="18"/>
  <c r="B1253" i="18"/>
  <c r="B1254" i="18"/>
  <c r="B1266" i="18"/>
  <c r="B1278" i="18"/>
  <c r="B1286" i="18"/>
  <c r="B1292" i="18"/>
  <c r="B1303" i="18"/>
  <c r="B1320" i="18"/>
  <c r="B1342" i="18"/>
  <c r="B1354" i="18"/>
  <c r="B1377" i="18"/>
  <c r="B1378" i="18"/>
  <c r="B1380" i="18"/>
  <c r="B32" i="18"/>
  <c r="B56" i="18"/>
  <c r="B70" i="18"/>
  <c r="B84" i="18"/>
  <c r="B85" i="18"/>
  <c r="B86" i="18"/>
  <c r="B90" i="18"/>
  <c r="B95" i="18"/>
  <c r="B99" i="18"/>
  <c r="B101" i="18"/>
  <c r="B102" i="18"/>
  <c r="B112" i="18"/>
  <c r="B113" i="18"/>
  <c r="B135" i="18"/>
  <c r="B154" i="18"/>
  <c r="B185" i="18"/>
  <c r="B199" i="18"/>
  <c r="B201" i="18"/>
  <c r="B203" i="18"/>
  <c r="B259" i="18"/>
  <c r="B260" i="18"/>
  <c r="B266" i="18"/>
  <c r="B288" i="18"/>
  <c r="B290" i="18"/>
  <c r="B300" i="18"/>
  <c r="B322" i="18"/>
  <c r="B327" i="18"/>
  <c r="B352" i="18"/>
  <c r="B364" i="18"/>
  <c r="B387" i="18"/>
  <c r="B421" i="18"/>
  <c r="B433" i="18"/>
  <c r="B440" i="18"/>
  <c r="B470" i="18"/>
  <c r="B472" i="18"/>
  <c r="B509" i="18"/>
  <c r="B515" i="18"/>
  <c r="B521" i="18"/>
  <c r="B536" i="18"/>
  <c r="B542" i="18"/>
  <c r="B556" i="18"/>
  <c r="B559" i="18"/>
  <c r="B583" i="18"/>
  <c r="B584" i="18"/>
  <c r="B614" i="18"/>
  <c r="B636" i="18"/>
  <c r="B638" i="18"/>
  <c r="B672" i="18"/>
  <c r="B743" i="18"/>
  <c r="B744" i="18"/>
  <c r="B745" i="18"/>
  <c r="B746" i="18"/>
  <c r="B752" i="18"/>
  <c r="B754" i="18"/>
  <c r="B757" i="18"/>
  <c r="B779" i="18"/>
  <c r="B790" i="18"/>
  <c r="B803" i="18"/>
  <c r="B812" i="18"/>
  <c r="B831" i="18"/>
  <c r="B836" i="18"/>
  <c r="B855" i="18"/>
  <c r="B864" i="18"/>
  <c r="B865" i="18"/>
  <c r="B875" i="18"/>
  <c r="B909" i="18"/>
  <c r="B915" i="18"/>
  <c r="B918" i="18"/>
  <c r="B926" i="18"/>
  <c r="B929" i="18"/>
  <c r="B954" i="18"/>
  <c r="B965" i="18"/>
  <c r="B970" i="18"/>
  <c r="B978" i="18"/>
  <c r="B990" i="18"/>
  <c r="B992" i="18"/>
  <c r="B994" i="18"/>
  <c r="B1000" i="18"/>
  <c r="B1037" i="18"/>
  <c r="B1049" i="18"/>
  <c r="B1061" i="18"/>
  <c r="B1065" i="18"/>
  <c r="B1067" i="18"/>
  <c r="B1097" i="18"/>
  <c r="B1106" i="18"/>
  <c r="B1109" i="18"/>
  <c r="B1113" i="18"/>
  <c r="B1118" i="18"/>
  <c r="B1137" i="18"/>
  <c r="B1142" i="18"/>
  <c r="B1186" i="18"/>
  <c r="B1204" i="18"/>
  <c r="B1208" i="18"/>
  <c r="B1219" i="18"/>
  <c r="B1222" i="18"/>
  <c r="B1262" i="18"/>
  <c r="B1264" i="18"/>
  <c r="B1276" i="18"/>
  <c r="B1280" i="18"/>
  <c r="B1305" i="18"/>
  <c r="B1309" i="18"/>
  <c r="B1359" i="18"/>
  <c r="B1361" i="18"/>
  <c r="B1374" i="18"/>
  <c r="B1375" i="18"/>
  <c r="B119" i="18"/>
  <c r="B136" i="18"/>
  <c r="B253" i="18"/>
  <c r="B373" i="18"/>
  <c r="B379" i="18"/>
  <c r="B381" i="18"/>
  <c r="B392" i="18"/>
  <c r="B407" i="18"/>
  <c r="B427" i="18"/>
  <c r="B450" i="18"/>
  <c r="B474" i="18"/>
  <c r="B571" i="18"/>
  <c r="B659" i="18"/>
  <c r="B660" i="18"/>
  <c r="B667" i="18"/>
  <c r="B670" i="18"/>
  <c r="B700" i="18"/>
  <c r="B702" i="18"/>
  <c r="B717" i="18"/>
  <c r="B719" i="18"/>
  <c r="B733" i="18"/>
  <c r="B738" i="18"/>
  <c r="B772" i="18"/>
  <c r="B778" i="18"/>
  <c r="B810" i="18"/>
  <c r="B811" i="18"/>
  <c r="B838" i="18"/>
  <c r="B841" i="18"/>
  <c r="B879" i="18"/>
  <c r="B906" i="18"/>
  <c r="B982" i="18"/>
  <c r="B1025" i="18"/>
  <c r="B1058" i="18"/>
  <c r="B1060" i="18"/>
  <c r="B1084" i="18"/>
  <c r="B1125" i="18"/>
  <c r="B1153" i="18"/>
  <c r="B1211" i="18"/>
  <c r="B1288" i="18"/>
  <c r="B1316" i="18"/>
  <c r="B1319" i="18"/>
  <c r="B1323" i="18"/>
  <c r="B1325" i="18"/>
  <c r="B1339" i="18"/>
  <c r="B23" i="18"/>
  <c r="B27" i="18"/>
  <c r="B59" i="18"/>
  <c r="B77" i="18"/>
  <c r="B231" i="18"/>
  <c r="B261" i="18"/>
  <c r="B287" i="18"/>
  <c r="B380" i="18"/>
  <c r="B398" i="18"/>
  <c r="B436" i="18"/>
  <c r="B478" i="18"/>
  <c r="B621" i="18"/>
  <c r="B809" i="18"/>
  <c r="B821" i="18"/>
  <c r="B895" i="18"/>
  <c r="B919" i="18"/>
  <c r="B933" i="18"/>
  <c r="B987" i="18"/>
  <c r="B1047" i="18"/>
  <c r="B1069" i="18"/>
  <c r="B1096" i="18"/>
  <c r="B1140" i="18"/>
  <c r="B1141" i="18"/>
  <c r="B1227" i="18"/>
  <c r="B1239" i="18"/>
  <c r="B1250" i="18"/>
  <c r="B1275" i="18"/>
  <c r="B1307" i="18"/>
  <c r="B1348" i="18"/>
  <c r="B2" i="18"/>
  <c r="B18" i="18"/>
  <c r="B25" i="18"/>
  <c r="B36" i="18"/>
  <c r="B58" i="18"/>
  <c r="B64" i="18"/>
  <c r="B67" i="18"/>
  <c r="B71" i="18"/>
  <c r="B100" i="18"/>
  <c r="B107" i="18"/>
  <c r="B115" i="18"/>
  <c r="B118" i="18"/>
  <c r="B146" i="18"/>
  <c r="B162" i="18"/>
  <c r="B170" i="18"/>
  <c r="B174" i="18"/>
  <c r="B184" i="18"/>
  <c r="B188" i="18"/>
  <c r="B192" i="18"/>
  <c r="B206" i="18"/>
  <c r="B210" i="18"/>
  <c r="B240" i="18"/>
  <c r="B246" i="18"/>
  <c r="B271" i="18"/>
  <c r="B281" i="18"/>
  <c r="B302" i="18"/>
  <c r="B351" i="18"/>
  <c r="B359" i="18"/>
  <c r="B362" i="18"/>
  <c r="B403" i="18"/>
  <c r="B405" i="18"/>
  <c r="B432" i="18"/>
  <c r="B438" i="18"/>
  <c r="B445" i="18"/>
  <c r="B475" i="18"/>
  <c r="B498" i="18"/>
  <c r="B507" i="18"/>
  <c r="B508" i="18"/>
  <c r="B511" i="18"/>
  <c r="B513" i="18"/>
  <c r="B516" i="18"/>
  <c r="B520" i="18"/>
  <c r="B523" i="18"/>
  <c r="B532" i="18"/>
  <c r="B540" i="18"/>
  <c r="B543" i="18"/>
  <c r="B546" i="18"/>
  <c r="B549" i="18"/>
  <c r="B586" i="18"/>
  <c r="B599" i="18"/>
  <c r="B619" i="18"/>
  <c r="B635" i="18"/>
  <c r="B671" i="18"/>
  <c r="B708" i="18"/>
  <c r="B724" i="18"/>
  <c r="B740" i="18"/>
  <c r="B750" i="18"/>
  <c r="B756" i="18"/>
  <c r="B787" i="18"/>
  <c r="B789" i="18"/>
  <c r="B791" i="18"/>
  <c r="B800" i="18"/>
  <c r="B806" i="18"/>
  <c r="B817" i="18"/>
  <c r="B823" i="18"/>
  <c r="B826" i="18"/>
  <c r="B835" i="18"/>
  <c r="B847" i="18"/>
  <c r="B858" i="18"/>
  <c r="B867" i="18"/>
  <c r="B870" i="18"/>
  <c r="B871" i="18"/>
  <c r="B885" i="18"/>
  <c r="B901" i="18"/>
  <c r="B904" i="18"/>
  <c r="B907" i="18"/>
  <c r="B912" i="18"/>
  <c r="B914" i="18"/>
  <c r="B923" i="18"/>
  <c r="B927" i="18"/>
  <c r="B930" i="18"/>
  <c r="B943" i="18"/>
  <c r="B963" i="18"/>
  <c r="B1026" i="18"/>
  <c r="B1063" i="18"/>
  <c r="B1076" i="18"/>
  <c r="B1094" i="18"/>
  <c r="B1104" i="18"/>
  <c r="B1119" i="18"/>
  <c r="B1133" i="18"/>
  <c r="B1138" i="18"/>
  <c r="B1143" i="18"/>
  <c r="B1146" i="18"/>
  <c r="B1149" i="18"/>
  <c r="B1155" i="18"/>
  <c r="B1184" i="18"/>
  <c r="B1187" i="18"/>
  <c r="B1194" i="18"/>
  <c r="B1205" i="18"/>
  <c r="B1210" i="18"/>
  <c r="B1216" i="18"/>
  <c r="B1247" i="18"/>
  <c r="B1257" i="18"/>
  <c r="B1258" i="18"/>
  <c r="B1267" i="18"/>
  <c r="B1282" i="18"/>
  <c r="B1300" i="18"/>
  <c r="B1311" i="18"/>
  <c r="B1329" i="18"/>
  <c r="B1338" i="18"/>
  <c r="B1346" i="18"/>
  <c r="B1355" i="18"/>
  <c r="B7" i="18"/>
  <c r="B16" i="18"/>
  <c r="B19" i="18"/>
  <c r="B38" i="18"/>
  <c r="B72" i="18"/>
  <c r="B80" i="18"/>
  <c r="B103" i="18"/>
  <c r="B111" i="18"/>
  <c r="B120" i="18"/>
  <c r="B126" i="18"/>
  <c r="B134" i="18"/>
  <c r="B142" i="18"/>
  <c r="B153" i="18"/>
  <c r="B187" i="18"/>
  <c r="B204" i="18"/>
  <c r="B208" i="18"/>
  <c r="B215" i="18"/>
  <c r="B219" i="18"/>
  <c r="B232" i="18"/>
  <c r="B239" i="18"/>
  <c r="B247" i="18"/>
  <c r="B252" i="18"/>
  <c r="B265" i="18"/>
  <c r="B284" i="18"/>
  <c r="B291" i="18"/>
  <c r="B294" i="18"/>
  <c r="B295" i="18"/>
  <c r="B301" i="18"/>
  <c r="B312" i="18"/>
  <c r="B316" i="18"/>
  <c r="B323" i="18"/>
  <c r="B330" i="18"/>
  <c r="B349" i="18"/>
  <c r="B353" i="18"/>
  <c r="B368" i="18"/>
  <c r="B372" i="18"/>
  <c r="B401" i="18"/>
  <c r="B415" i="18"/>
  <c r="B419" i="18"/>
  <c r="B418" i="18"/>
  <c r="B422" i="18"/>
  <c r="B437" i="18"/>
  <c r="B448" i="18"/>
  <c r="B462" i="18"/>
  <c r="B468" i="18"/>
  <c r="B480" i="18"/>
  <c r="B484" i="18"/>
  <c r="B485" i="18"/>
  <c r="B488" i="18"/>
  <c r="B489" i="18"/>
  <c r="B490" i="18"/>
  <c r="B491" i="18"/>
  <c r="B530" i="18"/>
  <c r="B531" i="18"/>
  <c r="B534" i="18"/>
  <c r="B535" i="18"/>
  <c r="B560" i="18"/>
  <c r="B562" i="18"/>
  <c r="B566" i="18"/>
  <c r="B573" i="18"/>
  <c r="B600" i="18"/>
  <c r="B602" i="18"/>
  <c r="B608" i="18"/>
  <c r="B623" i="18"/>
  <c r="B624" i="18"/>
  <c r="B630" i="18"/>
  <c r="B641" i="18"/>
  <c r="B648" i="18"/>
  <c r="B652" i="18"/>
  <c r="B679" i="18"/>
  <c r="B807" i="18"/>
  <c r="B837" i="18"/>
  <c r="B852" i="18"/>
  <c r="B862" i="18"/>
  <c r="B868" i="18"/>
  <c r="B876" i="18"/>
  <c r="B882" i="18"/>
  <c r="B883" i="18"/>
  <c r="B888" i="18"/>
  <c r="B902" i="18"/>
  <c r="B910" i="18"/>
  <c r="B922" i="18"/>
  <c r="B932" i="18"/>
  <c r="B939" i="18"/>
  <c r="B952" i="18"/>
  <c r="B979" i="18"/>
  <c r="B981" i="18"/>
  <c r="B991" i="18"/>
  <c r="B995" i="18"/>
  <c r="B1002" i="18"/>
  <c r="B1003" i="18"/>
  <c r="B1004" i="18"/>
  <c r="B1006" i="18"/>
  <c r="B1030" i="18"/>
  <c r="B1035" i="18"/>
  <c r="B1038" i="18"/>
  <c r="B1045" i="18"/>
  <c r="B1048" i="18"/>
  <c r="B1080" i="18"/>
  <c r="B1088" i="18"/>
  <c r="B1092" i="18"/>
  <c r="B1095" i="18"/>
  <c r="B1098" i="18"/>
  <c r="B1099" i="18"/>
  <c r="B1102" i="18"/>
  <c r="B1112" i="18"/>
  <c r="B1120" i="18"/>
  <c r="B1122" i="18"/>
  <c r="B1151" i="18"/>
  <c r="B1202" i="18"/>
  <c r="B1206" i="18"/>
  <c r="B1209" i="18"/>
  <c r="B1213" i="18"/>
  <c r="B1228" i="18"/>
  <c r="B1256" i="18"/>
  <c r="B1263" i="18"/>
  <c r="B1277" i="18"/>
  <c r="B1302" i="18"/>
  <c r="B1308" i="18"/>
  <c r="B1315" i="18"/>
  <c r="B1351" i="18"/>
  <c r="B1363" i="18"/>
  <c r="B1370" i="18"/>
  <c r="B1379" i="18"/>
  <c r="B31" i="18"/>
  <c r="B62" i="18"/>
  <c r="B114" i="18"/>
  <c r="B117" i="18"/>
  <c r="B124" i="18"/>
  <c r="B132" i="18"/>
  <c r="B133" i="18"/>
  <c r="B140" i="18"/>
  <c r="B152" i="18"/>
  <c r="B183" i="18"/>
  <c r="B225" i="18"/>
  <c r="B250" i="18"/>
  <c r="B296" i="18"/>
  <c r="B347" i="18"/>
  <c r="B365" i="18"/>
  <c r="B414" i="18"/>
  <c r="B435" i="18"/>
  <c r="B439" i="18"/>
  <c r="B443" i="18"/>
  <c r="B457" i="18"/>
  <c r="B471" i="18"/>
  <c r="B493" i="18"/>
  <c r="B499" i="18"/>
  <c r="B514" i="18"/>
  <c r="B544" i="18"/>
  <c r="B557" i="18"/>
  <c r="B585" i="18"/>
  <c r="B605" i="18"/>
  <c r="B606" i="18"/>
  <c r="B751" i="18"/>
  <c r="B797" i="18"/>
  <c r="B824" i="18"/>
  <c r="B827" i="18"/>
  <c r="B869" i="18"/>
  <c r="B872" i="18"/>
  <c r="B894" i="18"/>
  <c r="B900" i="18"/>
  <c r="B936" i="18"/>
  <c r="B940" i="18"/>
  <c r="B942" i="18"/>
  <c r="B959" i="18"/>
  <c r="B971" i="18"/>
  <c r="B980" i="18"/>
  <c r="B986" i="18"/>
  <c r="B989" i="18"/>
  <c r="B1011" i="18"/>
  <c r="B1028" i="18"/>
  <c r="B1115" i="18"/>
  <c r="B1111" i="18"/>
  <c r="B1144" i="18"/>
  <c r="B1147" i="18"/>
  <c r="B1167" i="18"/>
  <c r="B1188" i="18"/>
  <c r="B1189" i="18"/>
  <c r="B1232" i="18"/>
  <c r="B1272" i="18"/>
  <c r="B1284" i="18"/>
  <c r="B1283" i="18"/>
  <c r="B1287" i="18"/>
  <c r="B1318" i="18"/>
  <c r="B1358" i="18"/>
  <c r="B5" i="18"/>
  <c r="B42" i="18"/>
  <c r="B43" i="18"/>
  <c r="B44" i="18"/>
  <c r="B45" i="18"/>
  <c r="B46" i="18"/>
  <c r="B91" i="18"/>
  <c r="B105" i="18"/>
  <c r="B122" i="18"/>
  <c r="B138" i="18"/>
  <c r="B161" i="18"/>
  <c r="B172" i="18"/>
  <c r="B176" i="18"/>
  <c r="B177" i="18"/>
  <c r="B182" i="18"/>
  <c r="B196" i="18"/>
  <c r="B257" i="18"/>
  <c r="B258" i="18"/>
  <c r="B285" i="18"/>
  <c r="B318" i="18"/>
  <c r="B335" i="18"/>
  <c r="B355" i="18"/>
  <c r="B473" i="18"/>
  <c r="B554" i="18"/>
  <c r="B618" i="18"/>
  <c r="B632" i="18"/>
  <c r="B657" i="18"/>
  <c r="B661" i="18"/>
  <c r="B662" i="18"/>
  <c r="B663" i="18"/>
  <c r="B665" i="18"/>
  <c r="B666" i="18"/>
  <c r="B677" i="18"/>
  <c r="B682" i="18"/>
  <c r="B684" i="18"/>
  <c r="B688" i="18"/>
  <c r="B692" i="18"/>
  <c r="B694" i="18"/>
  <c r="B695" i="18"/>
  <c r="B703" i="18"/>
  <c r="B704" i="18"/>
  <c r="B706" i="18"/>
  <c r="B709" i="18"/>
  <c r="B718" i="18"/>
  <c r="B725" i="18"/>
  <c r="B726" i="18"/>
  <c r="B736" i="18"/>
  <c r="B737" i="18"/>
  <c r="B763" i="18"/>
  <c r="B782" i="18"/>
  <c r="B786" i="18"/>
  <c r="B814" i="18"/>
  <c r="B832" i="18"/>
  <c r="B884" i="18"/>
  <c r="B913" i="18"/>
  <c r="B938" i="18"/>
  <c r="B977" i="18"/>
  <c r="B1103" i="18"/>
  <c r="B1134" i="18"/>
  <c r="B1136" i="18"/>
  <c r="B1163" i="18"/>
  <c r="B1172" i="18"/>
  <c r="B1214" i="18"/>
  <c r="B1217" i="18"/>
  <c r="B1241" i="18"/>
  <c r="B1244" i="18"/>
  <c r="B1271" i="18"/>
  <c r="B1281" i="18"/>
  <c r="B1317" i="18"/>
  <c r="B83" i="18"/>
  <c r="B116" i="18"/>
  <c r="B127" i="18"/>
  <c r="B181" i="18"/>
  <c r="B235" i="18"/>
  <c r="B306" i="18"/>
  <c r="B386" i="18"/>
  <c r="B420" i="18"/>
  <c r="B495" i="18"/>
  <c r="B512" i="18"/>
  <c r="B565" i="18"/>
  <c r="B613" i="18"/>
  <c r="B616" i="18"/>
  <c r="B633" i="18"/>
  <c r="B640" i="18"/>
  <c r="B825" i="18"/>
  <c r="B828" i="18"/>
  <c r="B829" i="18"/>
  <c r="B853" i="18"/>
  <c r="B920" i="18"/>
  <c r="B921" i="18"/>
  <c r="B935" i="18"/>
  <c r="B945" i="18"/>
  <c r="B1029" i="18"/>
  <c r="B1041" i="18"/>
  <c r="B1350" i="18"/>
  <c r="B1376" i="18"/>
  <c r="B9" i="18"/>
  <c r="B10" i="18"/>
  <c r="B12" i="18"/>
  <c r="B39" i="18"/>
  <c r="B65" i="18"/>
  <c r="B78" i="18"/>
  <c r="B137" i="18"/>
  <c r="B150" i="18"/>
  <c r="B195" i="18"/>
  <c r="B198" i="18"/>
  <c r="B218" i="18"/>
  <c r="B221" i="18"/>
  <c r="B238" i="18"/>
  <c r="B245" i="18"/>
  <c r="B262" i="18"/>
  <c r="B264" i="18"/>
  <c r="B269" i="18"/>
  <c r="B292" i="18"/>
  <c r="B305" i="18"/>
  <c r="B319" i="18"/>
  <c r="B370" i="18"/>
  <c r="B374" i="18"/>
  <c r="B385" i="18"/>
  <c r="B424" i="18"/>
  <c r="B425" i="18"/>
  <c r="B431" i="18"/>
  <c r="B430" i="18"/>
  <c r="B458" i="18"/>
  <c r="B459" i="18"/>
  <c r="B477" i="18"/>
  <c r="B492" i="18"/>
  <c r="B537" i="18"/>
  <c r="B545" i="18"/>
  <c r="B550" i="18"/>
  <c r="B555" i="18"/>
  <c r="B567" i="18"/>
  <c r="B570" i="18"/>
  <c r="B580" i="18"/>
  <c r="B596" i="18"/>
  <c r="B655" i="18"/>
  <c r="B669" i="18"/>
  <c r="B686" i="18"/>
  <c r="B689" i="18"/>
  <c r="B691" i="18"/>
  <c r="B705" i="18"/>
  <c r="B710" i="18"/>
  <c r="B711" i="18"/>
  <c r="B714" i="18"/>
  <c r="B720" i="18"/>
  <c r="B728" i="18"/>
  <c r="B732" i="18"/>
  <c r="B753" i="18"/>
  <c r="B760" i="18"/>
  <c r="B767" i="18"/>
  <c r="B775" i="18"/>
  <c r="B781" i="18"/>
  <c r="B793" i="18"/>
  <c r="B796" i="18"/>
  <c r="B813" i="18"/>
  <c r="B815" i="18"/>
  <c r="B859" i="18"/>
  <c r="B861" i="18"/>
  <c r="B887" i="18"/>
  <c r="B924" i="18"/>
  <c r="B975" i="18"/>
  <c r="B974" i="18"/>
  <c r="B976" i="18"/>
  <c r="B1001" i="18"/>
  <c r="B1031" i="18"/>
  <c r="B1034" i="18"/>
  <c r="B1040" i="18"/>
  <c r="B1071" i="18"/>
  <c r="B1072" i="18"/>
  <c r="B1074" i="18"/>
  <c r="B1075" i="18"/>
  <c r="B1078" i="18"/>
  <c r="B1082" i="18"/>
  <c r="B1154" i="18"/>
  <c r="B1156" i="18"/>
  <c r="B1162" i="18"/>
  <c r="B1212" i="18"/>
  <c r="B1249" i="18"/>
  <c r="B1269" i="18"/>
  <c r="B1270" i="18"/>
  <c r="B1285" i="18"/>
  <c r="B1296" i="18"/>
  <c r="B1310" i="18"/>
  <c r="B1312" i="18"/>
  <c r="B1324" i="18"/>
  <c r="B1331" i="18"/>
  <c r="B1332" i="18"/>
  <c r="B1333" i="18"/>
  <c r="B1347" i="18"/>
  <c r="B1371" i="18"/>
  <c r="B3" i="18"/>
  <c r="B4" i="18"/>
  <c r="B33" i="18"/>
  <c r="B63" i="18"/>
  <c r="B89" i="18"/>
  <c r="B110" i="18"/>
  <c r="B128" i="18"/>
  <c r="B144" i="18"/>
  <c r="B145" i="18"/>
  <c r="B148" i="18"/>
  <c r="B151" i="18"/>
  <c r="B159" i="18"/>
  <c r="B160" i="18"/>
  <c r="B164" i="18"/>
  <c r="B171" i="18"/>
  <c r="B193" i="18"/>
  <c r="B200" i="18"/>
  <c r="B202" i="18"/>
  <c r="B243" i="18"/>
  <c r="B263" i="18"/>
  <c r="B267" i="18"/>
  <c r="B276" i="18"/>
  <c r="B286" i="18"/>
  <c r="B308" i="18"/>
  <c r="B321" i="18"/>
  <c r="B346" i="18"/>
  <c r="B356" i="18"/>
  <c r="B363" i="18"/>
  <c r="B377" i="18"/>
  <c r="B378" i="18"/>
  <c r="B396" i="18"/>
  <c r="B449" i="18"/>
  <c r="B465" i="18"/>
  <c r="B467" i="18"/>
  <c r="B483" i="18"/>
  <c r="B486" i="18"/>
  <c r="B494" i="18"/>
  <c r="B517" i="18"/>
  <c r="B522" i="18"/>
  <c r="B538" i="18"/>
  <c r="B548" i="18"/>
  <c r="B572" i="18"/>
  <c r="B575" i="18"/>
  <c r="B587" i="18"/>
  <c r="B597" i="18"/>
  <c r="B603" i="18"/>
  <c r="B612" i="18"/>
  <c r="B615" i="18"/>
  <c r="B625" i="18"/>
  <c r="B628" i="18"/>
  <c r="B639" i="18"/>
  <c r="B651" i="18"/>
  <c r="B653" i="18"/>
  <c r="B761" i="18"/>
  <c r="B774" i="18"/>
  <c r="B783" i="18"/>
  <c r="B794" i="18"/>
  <c r="B818" i="18"/>
  <c r="B854" i="18"/>
  <c r="B893" i="18"/>
  <c r="B896" i="18"/>
  <c r="B916" i="18"/>
  <c r="B934" i="18"/>
  <c r="B951" i="18"/>
  <c r="B1007" i="18"/>
  <c r="B1016" i="18"/>
  <c r="B1033" i="18"/>
  <c r="B1059" i="18"/>
  <c r="B1062" i="18"/>
  <c r="B1083" i="18"/>
  <c r="B1085" i="18"/>
  <c r="B1100" i="18"/>
  <c r="B1105" i="18"/>
  <c r="B1121" i="18"/>
  <c r="B1145" i="18"/>
  <c r="B1174" i="18"/>
  <c r="B1175" i="18"/>
  <c r="B1190" i="18"/>
  <c r="B1192" i="18"/>
  <c r="B1207" i="18"/>
  <c r="B1218" i="18"/>
  <c r="B1220" i="18"/>
  <c r="B1230" i="18"/>
  <c r="B1237" i="18"/>
  <c r="B1251" i="18"/>
  <c r="B1261" i="18"/>
  <c r="B1297" i="18"/>
  <c r="B1299" i="18"/>
  <c r="B1304" i="18"/>
  <c r="B1321" i="18"/>
  <c r="B1326" i="18"/>
  <c r="B1337" i="18"/>
  <c r="B1340" i="18"/>
  <c r="B1356" i="18"/>
  <c r="B1366" i="18"/>
  <c r="B1365" i="18"/>
  <c r="B8" i="18"/>
  <c r="B15" i="18"/>
  <c r="B17" i="18"/>
  <c r="B20" i="18"/>
  <c r="B21" i="18"/>
  <c r="B22" i="18"/>
  <c r="B24" i="18"/>
  <c r="B29" i="18"/>
  <c r="B40" i="18"/>
  <c r="B41" i="18"/>
  <c r="B48" i="18"/>
  <c r="B66" i="18"/>
  <c r="B68" i="18"/>
  <c r="B75" i="18"/>
  <c r="B76" i="18"/>
  <c r="B81" i="18"/>
  <c r="B88" i="18"/>
  <c r="B92" i="18"/>
  <c r="B155" i="18"/>
  <c r="B163" i="18"/>
  <c r="B197" i="18"/>
  <c r="B211" i="18"/>
  <c r="B212" i="18"/>
  <c r="B213" i="18"/>
  <c r="B216" i="18"/>
  <c r="B222" i="18"/>
  <c r="B234" i="18"/>
  <c r="B242" i="18"/>
  <c r="B270" i="18"/>
  <c r="B304" i="18"/>
  <c r="B309" i="18"/>
  <c r="B314" i="18"/>
  <c r="B315" i="18"/>
  <c r="B317" i="18"/>
  <c r="B332" i="18"/>
  <c r="B345" i="18"/>
  <c r="B357" i="18"/>
  <c r="B384" i="18"/>
  <c r="B393" i="18"/>
  <c r="B404" i="18"/>
  <c r="B417" i="18"/>
  <c r="B463" i="18"/>
  <c r="B476" i="18"/>
  <c r="B524" i="18"/>
  <c r="B533" i="18"/>
  <c r="B539" i="18"/>
  <c r="B558" i="18"/>
  <c r="B563" i="18"/>
  <c r="B637" i="18"/>
  <c r="B650" i="18"/>
  <c r="B683" i="18"/>
  <c r="B693" i="18"/>
  <c r="B747" i="18"/>
  <c r="B764" i="18"/>
  <c r="B770" i="18"/>
  <c r="B777" i="18"/>
  <c r="B780" i="18"/>
  <c r="B792" i="18"/>
  <c r="B795" i="18"/>
  <c r="B819" i="18"/>
  <c r="B830" i="18"/>
  <c r="B842" i="18"/>
  <c r="B843" i="18"/>
  <c r="B846" i="18"/>
  <c r="B931" i="18"/>
  <c r="B957" i="18"/>
  <c r="B958" i="18"/>
  <c r="B972" i="18"/>
  <c r="B1017" i="18"/>
  <c r="B1018" i="18"/>
  <c r="B1020" i="18"/>
  <c r="B1023" i="18"/>
  <c r="B1070" i="18"/>
  <c r="B1077" i="18"/>
  <c r="B1108" i="18"/>
  <c r="B1110" i="18"/>
  <c r="B1123" i="18"/>
  <c r="B1150" i="18"/>
  <c r="B1160" i="18"/>
  <c r="B1164" i="18"/>
  <c r="B1173" i="18"/>
  <c r="B1182" i="18"/>
  <c r="B1193" i="18"/>
  <c r="B1231" i="18"/>
  <c r="B1233" i="18"/>
  <c r="B1298" i="18"/>
  <c r="B1327" i="18"/>
  <c r="B1334" i="18"/>
  <c r="B1335" i="18"/>
  <c r="B1336" i="18"/>
  <c r="B1362" i="18"/>
  <c r="B1364" i="18"/>
  <c r="B1368" i="18"/>
  <c r="B1369" i="18"/>
  <c r="B94" i="18"/>
  <c r="B141" i="18"/>
  <c r="B157" i="18"/>
  <c r="B280" i="18"/>
  <c r="B282" i="18"/>
  <c r="B299" i="18"/>
  <c r="B426" i="18"/>
  <c r="B428" i="18"/>
  <c r="B429" i="18"/>
  <c r="B447" i="18"/>
  <c r="B687" i="18"/>
  <c r="B690" i="18"/>
  <c r="B697" i="18"/>
  <c r="B698" i="18"/>
  <c r="B701" i="18"/>
  <c r="B707" i="18"/>
  <c r="B712" i="18"/>
  <c r="B713" i="18"/>
  <c r="B727" i="18"/>
  <c r="B730" i="18"/>
  <c r="B731" i="18"/>
  <c r="B739" i="18"/>
  <c r="B759" i="18"/>
  <c r="B857" i="18"/>
  <c r="B1117" i="18"/>
  <c r="B1148" i="18"/>
  <c r="B1199" i="18"/>
  <c r="B1200" i="18"/>
  <c r="B1246" i="18"/>
  <c r="B1268" i="18"/>
  <c r="B1306" i="18"/>
  <c r="B11" i="18"/>
  <c r="B69" i="18"/>
  <c r="B106" i="18"/>
  <c r="B125" i="18"/>
  <c r="B149" i="18"/>
  <c r="B156" i="18"/>
  <c r="B186" i="18"/>
  <c r="B209" i="18"/>
  <c r="B251" i="18"/>
  <c r="B268" i="18"/>
  <c r="B272" i="18"/>
  <c r="B273" i="18"/>
  <c r="B274" i="18"/>
  <c r="B311" i="18"/>
  <c r="B324" i="18"/>
  <c r="B343" i="18"/>
  <c r="B366" i="18"/>
  <c r="B371" i="18"/>
  <c r="B390" i="18"/>
  <c r="B399" i="18"/>
  <c r="B402" i="18"/>
  <c r="B455" i="18"/>
  <c r="B466" i="18"/>
  <c r="B541" i="18"/>
  <c r="B552" i="18"/>
  <c r="B553" i="18"/>
  <c r="B561" i="18"/>
  <c r="B578" i="18"/>
  <c r="B611" i="18"/>
  <c r="B620" i="18"/>
  <c r="B634" i="18"/>
  <c r="B673" i="18"/>
  <c r="B748" i="18"/>
  <c r="B762" i="18"/>
  <c r="B773" i="18"/>
  <c r="B788" i="18"/>
  <c r="B798" i="18"/>
  <c r="B822" i="18"/>
  <c r="B834" i="18"/>
  <c r="B844" i="18"/>
  <c r="B849" i="18"/>
  <c r="B863" i="18"/>
  <c r="B937" i="18"/>
  <c r="B953" i="18"/>
  <c r="B962" i="18"/>
  <c r="B973" i="18"/>
  <c r="B988" i="18"/>
  <c r="B1027" i="18"/>
  <c r="B1032" i="18"/>
  <c r="B1050" i="18"/>
  <c r="B1127" i="18"/>
  <c r="B1135" i="18"/>
  <c r="B1166" i="18"/>
  <c r="B1171" i="18"/>
  <c r="B1191" i="18"/>
  <c r="B1201" i="18"/>
  <c r="B1221" i="18"/>
  <c r="B1234" i="18"/>
  <c r="B1235" i="18"/>
  <c r="B1236" i="18"/>
  <c r="B1245" i="18"/>
  <c r="B1265" i="18"/>
  <c r="B1293" i="18"/>
  <c r="B1314" i="18"/>
  <c r="B1328" i="18"/>
  <c r="B26" i="18"/>
  <c r="B47" i="18"/>
  <c r="B57" i="18"/>
  <c r="B74" i="18"/>
  <c r="B93" i="18"/>
  <c r="B108" i="18"/>
  <c r="B109" i="18"/>
  <c r="B121" i="18"/>
  <c r="B123" i="18"/>
  <c r="B129" i="18"/>
  <c r="B169" i="18"/>
  <c r="B175" i="18"/>
  <c r="B191" i="18"/>
  <c r="B223" i="18"/>
  <c r="B233" i="18"/>
  <c r="B279" i="18"/>
  <c r="B313" i="18"/>
  <c r="B320" i="18"/>
  <c r="B325" i="18"/>
  <c r="B331" i="18"/>
  <c r="B348" i="18"/>
  <c r="B358" i="18"/>
  <c r="B361" i="18"/>
  <c r="B369" i="18"/>
  <c r="B375" i="18"/>
  <c r="B376" i="18"/>
  <c r="B391" i="18"/>
  <c r="B397" i="18"/>
  <c r="B400" i="18"/>
  <c r="B413" i="18"/>
  <c r="B423" i="18"/>
  <c r="B446" i="18"/>
  <c r="B464" i="18"/>
  <c r="B487" i="18"/>
  <c r="B506" i="18"/>
  <c r="B518" i="18"/>
  <c r="B519" i="18"/>
  <c r="B526" i="18"/>
  <c r="B527" i="18"/>
  <c r="B529" i="18"/>
  <c r="B547" i="18"/>
  <c r="B551" i="18"/>
  <c r="B568" i="18"/>
  <c r="B569" i="18"/>
  <c r="B576" i="18"/>
  <c r="B579" i="18"/>
  <c r="B592" i="18"/>
  <c r="B598" i="18"/>
  <c r="B607" i="18"/>
  <c r="B617" i="18"/>
  <c r="B622" i="18"/>
  <c r="B626" i="18"/>
  <c r="B629" i="18"/>
  <c r="B631" i="18"/>
  <c r="B649" i="18"/>
  <c r="B654" i="18"/>
  <c r="B658" i="18"/>
  <c r="B678" i="18"/>
  <c r="B680" i="18"/>
  <c r="B681" i="18"/>
  <c r="B696" i="18"/>
  <c r="B741" i="18"/>
  <c r="B742" i="18"/>
  <c r="B758" i="18"/>
  <c r="B766" i="18"/>
  <c r="B769" i="18"/>
  <c r="B771" i="18"/>
  <c r="B776" i="18"/>
  <c r="B799" i="18"/>
  <c r="B808" i="18"/>
  <c r="B816" i="18"/>
  <c r="B839" i="18"/>
  <c r="B845" i="18"/>
  <c r="B848" i="18"/>
  <c r="B851" i="18"/>
  <c r="B866" i="18"/>
  <c r="B874" i="18"/>
  <c r="B880" i="18"/>
  <c r="B908" i="18"/>
  <c r="B911" i="18"/>
  <c r="B917" i="18"/>
  <c r="B925" i="18"/>
  <c r="B947" i="18"/>
  <c r="B948" i="18"/>
  <c r="B949" i="18"/>
  <c r="B950" i="18"/>
  <c r="B961" i="18"/>
  <c r="B964" i="18"/>
  <c r="B967" i="18"/>
  <c r="B969" i="18"/>
  <c r="B983" i="18"/>
  <c r="B984" i="18"/>
  <c r="B985" i="18"/>
  <c r="B993" i="18"/>
  <c r="B1005" i="18"/>
  <c r="B1009" i="18"/>
  <c r="B1010" i="18"/>
  <c r="B1021" i="18"/>
  <c r="B1036" i="18"/>
  <c r="B1055" i="18"/>
  <c r="B1079" i="18"/>
  <c r="B1086" i="18"/>
  <c r="B1089" i="18"/>
  <c r="B1091" i="18"/>
  <c r="B1107" i="18"/>
  <c r="B1116" i="18"/>
  <c r="B1124" i="18"/>
  <c r="B1126" i="18"/>
  <c r="B1132" i="18"/>
  <c r="B1139" i="18"/>
  <c r="B1152" i="18"/>
  <c r="B1161" i="18"/>
  <c r="B1165" i="18"/>
  <c r="B1185" i="18"/>
  <c r="B1195" i="18"/>
  <c r="B1238" i="18"/>
  <c r="B1240" i="18"/>
  <c r="B1242" i="18"/>
  <c r="B1248" i="18"/>
  <c r="B1252" i="18"/>
  <c r="B1255" i="18"/>
  <c r="B1279" i="18"/>
  <c r="B1294" i="18"/>
  <c r="B1295" i="18"/>
  <c r="B1301" i="18"/>
  <c r="B1313" i="18"/>
  <c r="B1322" i="18"/>
  <c r="B1341" i="18"/>
  <c r="B1349" i="18"/>
  <c r="B1357" i="18"/>
  <c r="B1360" i="18"/>
  <c r="N28" i="18"/>
  <c r="O28" i="18" s="1"/>
  <c r="N53" i="18"/>
  <c r="N73" i="18"/>
  <c r="O73" i="18" s="1"/>
  <c r="N82" i="18"/>
  <c r="O82" i="18" s="1"/>
  <c r="N87" i="18"/>
  <c r="O87" i="18" s="1"/>
  <c r="N173" i="18"/>
  <c r="O173" i="18" s="1"/>
  <c r="N205" i="18"/>
  <c r="O205" i="18" s="1"/>
  <c r="N207" i="18"/>
  <c r="O207" i="18" s="1"/>
  <c r="N283" i="18"/>
  <c r="O283" i="18" s="1"/>
  <c r="N293" i="18"/>
  <c r="O293" i="18" s="1"/>
  <c r="N307" i="18"/>
  <c r="O307" i="18" s="1"/>
  <c r="N326" i="18"/>
  <c r="O326" i="18" s="1"/>
  <c r="N328" i="18"/>
  <c r="O328" i="18" s="1"/>
  <c r="N339" i="18"/>
  <c r="O339" i="18" s="1"/>
  <c r="N340" i="18"/>
  <c r="O340" i="18" s="1"/>
  <c r="N344" i="18"/>
  <c r="O344" i="18" s="1"/>
  <c r="N354" i="18"/>
  <c r="O354" i="18" s="1"/>
  <c r="N406" i="18"/>
  <c r="O406" i="18" s="1"/>
  <c r="N408" i="18"/>
  <c r="O408" i="18" s="1"/>
  <c r="N434" i="18"/>
  <c r="O434" i="18" s="1"/>
  <c r="N451" i="18"/>
  <c r="O451" i="18" s="1"/>
  <c r="N456" i="18"/>
  <c r="O456" i="18" s="1"/>
  <c r="N479" i="18"/>
  <c r="O479" i="18" s="1"/>
  <c r="N481" i="18"/>
  <c r="O481" i="18" s="1"/>
  <c r="N496" i="18"/>
  <c r="O496" i="18" s="1"/>
  <c r="N497" i="18"/>
  <c r="O497" i="18" s="1"/>
  <c r="N510" i="18"/>
  <c r="O510" i="18" s="1"/>
  <c r="N577" i="18"/>
  <c r="O577" i="18" s="1"/>
  <c r="N591" i="18"/>
  <c r="O591" i="18" s="1"/>
  <c r="N601" i="18"/>
  <c r="O601" i="18" s="1"/>
  <c r="N610" i="18"/>
  <c r="O610" i="18" s="1"/>
  <c r="N656" i="18"/>
  <c r="O656" i="18" s="1"/>
  <c r="N664" i="18"/>
  <c r="O664" i="18" s="1"/>
  <c r="N668" i="18"/>
  <c r="O668" i="18" s="1"/>
  <c r="N685" i="18"/>
  <c r="O685" i="18" s="1"/>
  <c r="N721" i="18"/>
  <c r="O721" i="18" s="1"/>
  <c r="N729" i="18"/>
  <c r="O729" i="18" s="1"/>
  <c r="N749" i="18"/>
  <c r="O749" i="18" s="1"/>
  <c r="N765" i="18"/>
  <c r="O765" i="18" s="1"/>
  <c r="N768" i="18"/>
  <c r="O768" i="18" s="1"/>
  <c r="N833" i="18"/>
  <c r="O833" i="18" s="1"/>
  <c r="N850" i="18"/>
  <c r="O850" i="18" s="1"/>
  <c r="N856" i="18"/>
  <c r="O856" i="18" s="1"/>
  <c r="N881" i="18"/>
  <c r="O881" i="18" s="1"/>
  <c r="N886" i="18"/>
  <c r="O886" i="18" s="1"/>
  <c r="N889" i="18"/>
  <c r="B889" i="18" s="1"/>
  <c r="N960" i="18"/>
  <c r="O960" i="18" s="1"/>
  <c r="N966" i="18"/>
  <c r="O966" i="18" s="1"/>
  <c r="N996" i="18"/>
  <c r="N1012" i="18"/>
  <c r="O1012" i="18" s="1"/>
  <c r="N1022" i="18"/>
  <c r="O1022" i="18" s="1"/>
  <c r="N1039" i="18"/>
  <c r="O1039" i="18" s="1"/>
  <c r="N1051" i="18"/>
  <c r="O1051" i="18" s="1"/>
  <c r="N1052" i="18"/>
  <c r="O1052" i="18" s="1"/>
  <c r="N1053" i="18"/>
  <c r="O1053" i="18" s="1"/>
  <c r="N1057" i="18"/>
  <c r="O1057" i="18" s="1"/>
  <c r="N1064" i="18"/>
  <c r="O1064" i="18" s="1"/>
  <c r="N1066" i="18"/>
  <c r="O1066" i="18" s="1"/>
  <c r="N1073" i="18"/>
  <c r="O1073" i="18" s="1"/>
  <c r="N1081" i="18"/>
  <c r="O1081" i="18" s="1"/>
  <c r="N1090" i="18"/>
  <c r="O1090" i="18" s="1"/>
  <c r="N1114" i="18"/>
  <c r="O1114" i="18" s="1"/>
  <c r="N1168" i="18"/>
  <c r="N1176" i="18"/>
  <c r="N1203" i="18"/>
  <c r="O1203" i="18" s="1"/>
  <c r="N1229" i="18"/>
  <c r="O1229" i="18" s="1"/>
  <c r="N1243" i="18"/>
  <c r="O1243" i="18" s="1"/>
  <c r="N1273" i="18"/>
  <c r="B1273" i="18" s="1"/>
  <c r="N1291" i="18"/>
  <c r="O1291" i="18" s="1"/>
  <c r="N1330" i="18"/>
  <c r="O1330" i="18" s="1"/>
  <c r="N1343" i="18"/>
  <c r="B1343" i="18" s="1"/>
  <c r="N1367" i="18"/>
  <c r="O1367" i="18" s="1"/>
  <c r="N6" i="18"/>
  <c r="O6" i="18" s="1"/>
  <c r="N13" i="18"/>
  <c r="O13" i="18" s="1"/>
  <c r="N14" i="18"/>
  <c r="O14" i="18" s="1"/>
  <c r="N30" i="18"/>
  <c r="O30" i="18" s="1"/>
  <c r="N37" i="18"/>
  <c r="O37" i="18" s="1"/>
  <c r="N79" i="18"/>
  <c r="O79" i="18" s="1"/>
  <c r="N96" i="18"/>
  <c r="N98" i="18"/>
  <c r="O98" i="18" s="1"/>
  <c r="N104" i="18"/>
  <c r="O104" i="18" s="1"/>
  <c r="N139" i="18"/>
  <c r="O139" i="18" s="1"/>
  <c r="N143" i="18"/>
  <c r="O143" i="18" s="1"/>
  <c r="N147" i="18"/>
  <c r="O147" i="18" s="1"/>
  <c r="N158" i="18"/>
  <c r="O158" i="18" s="1"/>
  <c r="N194" i="18"/>
  <c r="O194" i="18" s="1"/>
  <c r="N214" i="18"/>
  <c r="O214" i="18" s="1"/>
  <c r="N217" i="18"/>
  <c r="O217" i="18" s="1"/>
  <c r="N220" i="18"/>
  <c r="O220" i="18" s="1"/>
  <c r="N224" i="18"/>
  <c r="O224" i="18" s="1"/>
  <c r="N236" i="18"/>
  <c r="O236" i="18" s="1"/>
  <c r="N237" i="18"/>
  <c r="O237" i="18" s="1"/>
  <c r="N241" i="18"/>
  <c r="O241" i="18" s="1"/>
  <c r="N244" i="18"/>
  <c r="O244" i="18" s="1"/>
  <c r="N256" i="18"/>
  <c r="O256" i="18" s="1"/>
  <c r="N275" i="18"/>
  <c r="O275" i="18" s="1"/>
  <c r="N277" i="18"/>
  <c r="N289" i="18"/>
  <c r="O289" i="18" s="1"/>
  <c r="N297" i="18"/>
  <c r="O297" i="18" s="1"/>
  <c r="N298" i="18"/>
  <c r="O298" i="18" s="1"/>
  <c r="N303" i="18"/>
  <c r="O303" i="18" s="1"/>
  <c r="N310" i="18"/>
  <c r="O310" i="18" s="1"/>
  <c r="N329" i="18"/>
  <c r="O329" i="18" s="1"/>
  <c r="N336" i="18"/>
  <c r="N350" i="18"/>
  <c r="O350" i="18" s="1"/>
  <c r="N360" i="18"/>
  <c r="O360" i="18" s="1"/>
  <c r="N367" i="18"/>
  <c r="O367" i="18" s="1"/>
  <c r="N388" i="18"/>
  <c r="N394" i="18"/>
  <c r="O394" i="18" s="1"/>
  <c r="N395" i="18"/>
  <c r="O395" i="18" s="1"/>
  <c r="N416" i="18"/>
  <c r="O416" i="18" s="1"/>
  <c r="N444" i="18"/>
  <c r="O444" i="18" s="1"/>
  <c r="N469" i="18"/>
  <c r="O469" i="18" s="1"/>
  <c r="N482" i="18"/>
  <c r="O482" i="18" s="1"/>
  <c r="N505" i="18"/>
  <c r="O505" i="18" s="1"/>
  <c r="N525" i="18"/>
  <c r="O525" i="18" s="1"/>
  <c r="N528" i="18"/>
  <c r="O528" i="18" s="1"/>
  <c r="N564" i="18"/>
  <c r="O564" i="18" s="1"/>
  <c r="N574" i="18"/>
  <c r="O574" i="18" s="1"/>
  <c r="N581" i="18"/>
  <c r="N604" i="18"/>
  <c r="O604" i="18" s="1"/>
  <c r="N609" i="18"/>
  <c r="O609" i="18" s="1"/>
  <c r="N627" i="18"/>
  <c r="O627" i="18" s="1"/>
  <c r="N644" i="18"/>
  <c r="N676" i="18"/>
  <c r="O676" i="18" s="1"/>
  <c r="N699" i="18"/>
  <c r="O699" i="18" s="1"/>
  <c r="N755" i="18"/>
  <c r="O755" i="18" s="1"/>
  <c r="N820" i="18"/>
  <c r="O820" i="18" s="1"/>
  <c r="N840" i="18"/>
  <c r="O840" i="18" s="1"/>
  <c r="N860" i="18"/>
  <c r="O860" i="18" s="1"/>
  <c r="N873" i="18"/>
  <c r="O873" i="18" s="1"/>
  <c r="N892" i="18"/>
  <c r="O892" i="18" s="1"/>
  <c r="N897" i="18"/>
  <c r="B897" i="18" s="1"/>
  <c r="N903" i="18"/>
  <c r="O903" i="18" s="1"/>
  <c r="N905" i="18"/>
  <c r="O905" i="18" s="1"/>
  <c r="N928" i="18"/>
  <c r="O928" i="18" s="1"/>
  <c r="N941" i="18"/>
  <c r="O941" i="18" s="1"/>
  <c r="N944" i="18"/>
  <c r="O944" i="18" s="1"/>
  <c r="N946" i="18"/>
  <c r="O946" i="18" s="1"/>
  <c r="N968" i="18"/>
  <c r="O968" i="18" s="1"/>
  <c r="N997" i="18"/>
  <c r="B997" i="18" s="1"/>
  <c r="N1008" i="18"/>
  <c r="O1008" i="18" s="1"/>
  <c r="N1019" i="18"/>
  <c r="O1019" i="18" s="1"/>
  <c r="N1024" i="18"/>
  <c r="O1024" i="18" s="1"/>
  <c r="N1042" i="18"/>
  <c r="O1042" i="18" s="1"/>
  <c r="N1043" i="18"/>
  <c r="O1043" i="18" s="1"/>
  <c r="N1044" i="18"/>
  <c r="O1044" i="18" s="1"/>
  <c r="N1046" i="18"/>
  <c r="O1046" i="18" s="1"/>
  <c r="N1054" i="18"/>
  <c r="O1054" i="18" s="1"/>
  <c r="N1056" i="18"/>
  <c r="O1056" i="18" s="1"/>
  <c r="N1068" i="18"/>
  <c r="O1068" i="18" s="1"/>
  <c r="N1087" i="18"/>
  <c r="O1087" i="18" s="1"/>
  <c r="N1093" i="18"/>
  <c r="O1093" i="18" s="1"/>
  <c r="N1101" i="18"/>
  <c r="O1101" i="18" s="1"/>
  <c r="N1159" i="18"/>
  <c r="O1159" i="18" s="1"/>
  <c r="N1169" i="18"/>
  <c r="B1169" i="18" s="1"/>
  <c r="N1178" i="18"/>
  <c r="N1183" i="18"/>
  <c r="O1183" i="18" s="1"/>
  <c r="N1198" i="18"/>
  <c r="O1198" i="18" s="1"/>
  <c r="N1215" i="18"/>
  <c r="O1215" i="18" s="1"/>
  <c r="N1225" i="18"/>
  <c r="B1225" i="18" s="1"/>
  <c r="N1253" i="18"/>
  <c r="O1253" i="18" s="1"/>
  <c r="N1254" i="18"/>
  <c r="O1254" i="18" s="1"/>
  <c r="N1266" i="18"/>
  <c r="O1266" i="18" s="1"/>
  <c r="N1278" i="18"/>
  <c r="O1278" i="18" s="1"/>
  <c r="N1286" i="18"/>
  <c r="O1286" i="18" s="1"/>
  <c r="N1292" i="18"/>
  <c r="O1292" i="18" s="1"/>
  <c r="N1303" i="18"/>
  <c r="O1303" i="18" s="1"/>
  <c r="N1320" i="18"/>
  <c r="O1320" i="18" s="1"/>
  <c r="N1342" i="18"/>
  <c r="O1342" i="18" s="1"/>
  <c r="N1344" i="18"/>
  <c r="B1344" i="18" s="1"/>
  <c r="N1354" i="18"/>
  <c r="O1354" i="18" s="1"/>
  <c r="N1377" i="18"/>
  <c r="O1377" i="18" s="1"/>
  <c r="N1378" i="18"/>
  <c r="O1378" i="18" s="1"/>
  <c r="N1380" i="18"/>
  <c r="O1380" i="18" s="1"/>
  <c r="N32" i="18"/>
  <c r="O32" i="18" s="1"/>
  <c r="N56" i="18"/>
  <c r="O56" i="18" s="1"/>
  <c r="N60" i="18"/>
  <c r="N70" i="18"/>
  <c r="O70" i="18" s="1"/>
  <c r="N84" i="18"/>
  <c r="O84" i="18" s="1"/>
  <c r="N85" i="18"/>
  <c r="O85" i="18" s="1"/>
  <c r="N86" i="18"/>
  <c r="O86" i="18" s="1"/>
  <c r="N90" i="18"/>
  <c r="O90" i="18" s="1"/>
  <c r="N95" i="18"/>
  <c r="O95" i="18" s="1"/>
  <c r="N99" i="18"/>
  <c r="O99" i="18" s="1"/>
  <c r="N101" i="18"/>
  <c r="O101" i="18" s="1"/>
  <c r="N102" i="18"/>
  <c r="O102" i="18" s="1"/>
  <c r="N112" i="18"/>
  <c r="O112" i="18" s="1"/>
  <c r="N113" i="18"/>
  <c r="O113" i="18" s="1"/>
  <c r="N135" i="18"/>
  <c r="O135" i="18" s="1"/>
  <c r="N154" i="18"/>
  <c r="O154" i="18" s="1"/>
  <c r="N185" i="18"/>
  <c r="O185" i="18" s="1"/>
  <c r="N199" i="18"/>
  <c r="O199" i="18" s="1"/>
  <c r="N201" i="18"/>
  <c r="O201" i="18" s="1"/>
  <c r="N203" i="18"/>
  <c r="O203" i="18" s="1"/>
  <c r="N226" i="18"/>
  <c r="N259" i="18"/>
  <c r="O259" i="18" s="1"/>
  <c r="N260" i="18"/>
  <c r="O260" i="18" s="1"/>
  <c r="N266" i="18"/>
  <c r="O266" i="18" s="1"/>
  <c r="N288" i="18"/>
  <c r="O288" i="18" s="1"/>
  <c r="N290" i="18"/>
  <c r="O290" i="18" s="1"/>
  <c r="N300" i="18"/>
  <c r="O300" i="18" s="1"/>
  <c r="N322" i="18"/>
  <c r="O322" i="18" s="1"/>
  <c r="N327" i="18"/>
  <c r="O327" i="18" s="1"/>
  <c r="N352" i="18"/>
  <c r="O352" i="18" s="1"/>
  <c r="N364" i="18"/>
  <c r="O364" i="18" s="1"/>
  <c r="N387" i="18"/>
  <c r="O387" i="18" s="1"/>
  <c r="N409" i="18"/>
  <c r="N421" i="18"/>
  <c r="O421" i="18" s="1"/>
  <c r="N433" i="18"/>
  <c r="O433" i="18" s="1"/>
  <c r="N440" i="18"/>
  <c r="O440" i="18" s="1"/>
  <c r="N470" i="18"/>
  <c r="O470" i="18" s="1"/>
  <c r="N472" i="18"/>
  <c r="O472" i="18" s="1"/>
  <c r="N509" i="18"/>
  <c r="O509" i="18" s="1"/>
  <c r="N515" i="18"/>
  <c r="O515" i="18" s="1"/>
  <c r="N521" i="18"/>
  <c r="O521" i="18" s="1"/>
  <c r="N536" i="18"/>
  <c r="O536" i="18" s="1"/>
  <c r="N542" i="18"/>
  <c r="O542" i="18" s="1"/>
  <c r="N556" i="18"/>
  <c r="O556" i="18" s="1"/>
  <c r="N559" i="18"/>
  <c r="O559" i="18" s="1"/>
  <c r="N582" i="18"/>
  <c r="N583" i="18"/>
  <c r="O583" i="18" s="1"/>
  <c r="N584" i="18"/>
  <c r="O584" i="18" s="1"/>
  <c r="N593" i="18"/>
  <c r="N614" i="18"/>
  <c r="O614" i="18" s="1"/>
  <c r="N636" i="18"/>
  <c r="O636" i="18" s="1"/>
  <c r="N638" i="18"/>
  <c r="O638" i="18" s="1"/>
  <c r="N672" i="18"/>
  <c r="O672" i="18" s="1"/>
  <c r="N743" i="18"/>
  <c r="O743" i="18" s="1"/>
  <c r="N744" i="18"/>
  <c r="O744" i="18" s="1"/>
  <c r="N745" i="18"/>
  <c r="O745" i="18" s="1"/>
  <c r="N746" i="18"/>
  <c r="O746" i="18" s="1"/>
  <c r="N752" i="18"/>
  <c r="O752" i="18" s="1"/>
  <c r="N754" i="18"/>
  <c r="O754" i="18" s="1"/>
  <c r="N757" i="18"/>
  <c r="O757" i="18" s="1"/>
  <c r="N779" i="18"/>
  <c r="O779" i="18" s="1"/>
  <c r="N790" i="18"/>
  <c r="O790" i="18" s="1"/>
  <c r="N801" i="18"/>
  <c r="B801" i="18" s="1"/>
  <c r="N802" i="18"/>
  <c r="N803" i="18"/>
  <c r="O803" i="18" s="1"/>
  <c r="N812" i="18"/>
  <c r="O812" i="18" s="1"/>
  <c r="N831" i="18"/>
  <c r="O831" i="18" s="1"/>
  <c r="N836" i="18"/>
  <c r="O836" i="18" s="1"/>
  <c r="N855" i="18"/>
  <c r="O855" i="18" s="1"/>
  <c r="N864" i="18"/>
  <c r="O864" i="18" s="1"/>
  <c r="N865" i="18"/>
  <c r="O865" i="18" s="1"/>
  <c r="N875" i="18"/>
  <c r="O875" i="18" s="1"/>
  <c r="N909" i="18"/>
  <c r="O909" i="18" s="1"/>
  <c r="N915" i="18"/>
  <c r="O915" i="18" s="1"/>
  <c r="N918" i="18"/>
  <c r="O918" i="18" s="1"/>
  <c r="N926" i="18"/>
  <c r="O926" i="18" s="1"/>
  <c r="N929" i="18"/>
  <c r="O929" i="18" s="1"/>
  <c r="N954" i="18"/>
  <c r="O954" i="18" s="1"/>
  <c r="N965" i="18"/>
  <c r="O965" i="18" s="1"/>
  <c r="N970" i="18"/>
  <c r="O970" i="18" s="1"/>
  <c r="N978" i="18"/>
  <c r="O978" i="18" s="1"/>
  <c r="N990" i="18"/>
  <c r="O990" i="18" s="1"/>
  <c r="N992" i="18"/>
  <c r="O992" i="18" s="1"/>
  <c r="N994" i="18"/>
  <c r="O994" i="18" s="1"/>
  <c r="N1000" i="18"/>
  <c r="O1000" i="18" s="1"/>
  <c r="N1037" i="18"/>
  <c r="O1037" i="18" s="1"/>
  <c r="N1049" i="18"/>
  <c r="O1049" i="18" s="1"/>
  <c r="N1061" i="18"/>
  <c r="O1061" i="18" s="1"/>
  <c r="N1065" i="18"/>
  <c r="O1065" i="18" s="1"/>
  <c r="N1067" i="18"/>
  <c r="O1067" i="18" s="1"/>
  <c r="N1097" i="18"/>
  <c r="O1097" i="18" s="1"/>
  <c r="N1106" i="18"/>
  <c r="O1106" i="18" s="1"/>
  <c r="N1109" i="18"/>
  <c r="O1109" i="18" s="1"/>
  <c r="N1113" i="18"/>
  <c r="O1113" i="18" s="1"/>
  <c r="N1118" i="18"/>
  <c r="O1118" i="18" s="1"/>
  <c r="N1137" i="18"/>
  <c r="O1137" i="18" s="1"/>
  <c r="N1142" i="18"/>
  <c r="O1142" i="18" s="1"/>
  <c r="N1179" i="18"/>
  <c r="N1186" i="18"/>
  <c r="O1186" i="18" s="1"/>
  <c r="N1196" i="18"/>
  <c r="N1204" i="18"/>
  <c r="O1204" i="18" s="1"/>
  <c r="N1208" i="18"/>
  <c r="O1208" i="18" s="1"/>
  <c r="N1219" i="18"/>
  <c r="O1219" i="18" s="1"/>
  <c r="N1222" i="18"/>
  <c r="O1222" i="18" s="1"/>
  <c r="N1262" i="18"/>
  <c r="O1262" i="18" s="1"/>
  <c r="N1264" i="18"/>
  <c r="O1264" i="18" s="1"/>
  <c r="N1276" i="18"/>
  <c r="O1276" i="18" s="1"/>
  <c r="N1280" i="18"/>
  <c r="O1280" i="18" s="1"/>
  <c r="N1289" i="18"/>
  <c r="B1289" i="18" s="1"/>
  <c r="N1305" i="18"/>
  <c r="O1305" i="18" s="1"/>
  <c r="N1309" i="18"/>
  <c r="O1309" i="18" s="1"/>
  <c r="N1359" i="18"/>
  <c r="O1359" i="18" s="1"/>
  <c r="N1361" i="18"/>
  <c r="O1361" i="18" s="1"/>
  <c r="N1374" i="18"/>
  <c r="O1374" i="18" s="1"/>
  <c r="N1375" i="18"/>
  <c r="O1375" i="18" s="1"/>
  <c r="N119" i="18"/>
  <c r="O119" i="18" s="1"/>
  <c r="N136" i="18"/>
  <c r="O136" i="18" s="1"/>
  <c r="N253" i="18"/>
  <c r="O253" i="18" s="1"/>
  <c r="N341" i="18"/>
  <c r="N373" i="18"/>
  <c r="O373" i="18" s="1"/>
  <c r="N379" i="18"/>
  <c r="O379" i="18" s="1"/>
  <c r="N381" i="18"/>
  <c r="O381" i="18" s="1"/>
  <c r="N392" i="18"/>
  <c r="O392" i="18" s="1"/>
  <c r="N407" i="18"/>
  <c r="O407" i="18" s="1"/>
  <c r="N427" i="18"/>
  <c r="O427" i="18" s="1"/>
  <c r="N450" i="18"/>
  <c r="O450" i="18" s="1"/>
  <c r="N452" i="18"/>
  <c r="N474" i="18"/>
  <c r="O474" i="18" s="1"/>
  <c r="N571" i="18"/>
  <c r="O571" i="18" s="1"/>
  <c r="N659" i="18"/>
  <c r="O659" i="18" s="1"/>
  <c r="N660" i="18"/>
  <c r="O660" i="18" s="1"/>
  <c r="N667" i="18"/>
  <c r="O667" i="18" s="1"/>
  <c r="N670" i="18"/>
  <c r="O670" i="18" s="1"/>
  <c r="N700" i="18"/>
  <c r="O700" i="18" s="1"/>
  <c r="N702" i="18"/>
  <c r="O702" i="18" s="1"/>
  <c r="N717" i="18"/>
  <c r="O717" i="18" s="1"/>
  <c r="N719" i="18"/>
  <c r="O719" i="18" s="1"/>
  <c r="N733" i="18"/>
  <c r="O733" i="18" s="1"/>
  <c r="N734" i="18"/>
  <c r="N738" i="18"/>
  <c r="O738" i="18" s="1"/>
  <c r="N772" i="18"/>
  <c r="O772" i="18" s="1"/>
  <c r="N778" i="18"/>
  <c r="O778" i="18" s="1"/>
  <c r="N810" i="18"/>
  <c r="O810" i="18" s="1"/>
  <c r="N811" i="18"/>
  <c r="O811" i="18" s="1"/>
  <c r="N838" i="18"/>
  <c r="O838" i="18" s="1"/>
  <c r="N841" i="18"/>
  <c r="O841" i="18" s="1"/>
  <c r="N879" i="18"/>
  <c r="O879" i="18" s="1"/>
  <c r="N906" i="18"/>
  <c r="O906" i="18" s="1"/>
  <c r="N982" i="18"/>
  <c r="O982" i="18" s="1"/>
  <c r="N998" i="18"/>
  <c r="N1025" i="18"/>
  <c r="O1025" i="18" s="1"/>
  <c r="N1058" i="18"/>
  <c r="O1058" i="18" s="1"/>
  <c r="N1060" i="18"/>
  <c r="O1060" i="18" s="1"/>
  <c r="N1084" i="18"/>
  <c r="O1084" i="18" s="1"/>
  <c r="N1125" i="18"/>
  <c r="O1125" i="18" s="1"/>
  <c r="N1153" i="18"/>
  <c r="O1153" i="18" s="1"/>
  <c r="N1157" i="18"/>
  <c r="B1157" i="18" s="1"/>
  <c r="N1197" i="18"/>
  <c r="B1197" i="18" s="1"/>
  <c r="N1211" i="18"/>
  <c r="O1211" i="18" s="1"/>
  <c r="N1288" i="18"/>
  <c r="O1288" i="18" s="1"/>
  <c r="N1316" i="18"/>
  <c r="O1316" i="18" s="1"/>
  <c r="N1319" i="18"/>
  <c r="O1319" i="18" s="1"/>
  <c r="N1323" i="18"/>
  <c r="O1323" i="18" s="1"/>
  <c r="N1325" i="18"/>
  <c r="O1325" i="18" s="1"/>
  <c r="N1339" i="18"/>
  <c r="O1339" i="18" s="1"/>
  <c r="N1352" i="18"/>
  <c r="B1352" i="18" s="1"/>
  <c r="N23" i="18"/>
  <c r="O23" i="18" s="1"/>
  <c r="N27" i="18"/>
  <c r="O27" i="18" s="1"/>
  <c r="N59" i="18"/>
  <c r="O59" i="18" s="1"/>
  <c r="N77" i="18"/>
  <c r="O77" i="18" s="1"/>
  <c r="N231" i="18"/>
  <c r="O231" i="18" s="1"/>
  <c r="N261" i="18"/>
  <c r="O261" i="18" s="1"/>
  <c r="N287" i="18"/>
  <c r="O287" i="18" s="1"/>
  <c r="N380" i="18"/>
  <c r="O380" i="18" s="1"/>
  <c r="N398" i="18"/>
  <c r="O398" i="18" s="1"/>
  <c r="N436" i="18"/>
  <c r="O436" i="18" s="1"/>
  <c r="N478" i="18"/>
  <c r="O478" i="18" s="1"/>
  <c r="N621" i="18"/>
  <c r="O621" i="18" s="1"/>
  <c r="N809" i="18"/>
  <c r="O809" i="18" s="1"/>
  <c r="N821" i="18"/>
  <c r="O821" i="18" s="1"/>
  <c r="N895" i="18"/>
  <c r="O895" i="18" s="1"/>
  <c r="N919" i="18"/>
  <c r="O919" i="18" s="1"/>
  <c r="N933" i="18"/>
  <c r="O933" i="18" s="1"/>
  <c r="N987" i="18"/>
  <c r="O987" i="18" s="1"/>
  <c r="N1047" i="18"/>
  <c r="O1047" i="18" s="1"/>
  <c r="N1069" i="18"/>
  <c r="O1069" i="18" s="1"/>
  <c r="N1096" i="18"/>
  <c r="O1096" i="18" s="1"/>
  <c r="N1140" i="18"/>
  <c r="O1140" i="18" s="1"/>
  <c r="N1141" i="18"/>
  <c r="O1141" i="18" s="1"/>
  <c r="N1227" i="18"/>
  <c r="O1227" i="18" s="1"/>
  <c r="N1239" i="18"/>
  <c r="O1239" i="18" s="1"/>
  <c r="N1250" i="18"/>
  <c r="O1250" i="18" s="1"/>
  <c r="N1275" i="18"/>
  <c r="O1275" i="18" s="1"/>
  <c r="N1307" i="18"/>
  <c r="O1307" i="18" s="1"/>
  <c r="N1348" i="18"/>
  <c r="O1348" i="18" s="1"/>
  <c r="N2" i="18"/>
  <c r="O2" i="18" s="1"/>
  <c r="N18" i="18"/>
  <c r="O18" i="18" s="1"/>
  <c r="N25" i="18"/>
  <c r="O25" i="18" s="1"/>
  <c r="N34" i="18"/>
  <c r="N36" i="18"/>
  <c r="O36" i="18" s="1"/>
  <c r="N49" i="18"/>
  <c r="N58" i="18"/>
  <c r="O58" i="18" s="1"/>
  <c r="N61" i="18"/>
  <c r="N64" i="18"/>
  <c r="O64" i="18" s="1"/>
  <c r="N67" i="18"/>
  <c r="O67" i="18" s="1"/>
  <c r="N71" i="18"/>
  <c r="O71" i="18" s="1"/>
  <c r="N100" i="18"/>
  <c r="O100" i="18" s="1"/>
  <c r="N107" i="18"/>
  <c r="O107" i="18" s="1"/>
  <c r="N115" i="18"/>
  <c r="O115" i="18" s="1"/>
  <c r="N118" i="18"/>
  <c r="O118" i="18" s="1"/>
  <c r="N146" i="18"/>
  <c r="O146" i="18" s="1"/>
  <c r="N162" i="18"/>
  <c r="O162" i="18" s="1"/>
  <c r="N165" i="18"/>
  <c r="N170" i="18"/>
  <c r="O170" i="18" s="1"/>
  <c r="N174" i="18"/>
  <c r="O174" i="18" s="1"/>
  <c r="N178" i="18"/>
  <c r="N184" i="18"/>
  <c r="O184" i="18" s="1"/>
  <c r="N188" i="18"/>
  <c r="O188" i="18" s="1"/>
  <c r="N192" i="18"/>
  <c r="O192" i="18" s="1"/>
  <c r="N206" i="18"/>
  <c r="O206" i="18" s="1"/>
  <c r="N210" i="18"/>
  <c r="O210" i="18" s="1"/>
  <c r="N228" i="18"/>
  <c r="N240" i="18"/>
  <c r="O240" i="18" s="1"/>
  <c r="N246" i="18"/>
  <c r="O246" i="18" s="1"/>
  <c r="N271" i="18"/>
  <c r="O271" i="18" s="1"/>
  <c r="N281" i="18"/>
  <c r="O281" i="18" s="1"/>
  <c r="N302" i="18"/>
  <c r="O302" i="18" s="1"/>
  <c r="N333" i="18"/>
  <c r="N337" i="18"/>
  <c r="N351" i="18"/>
  <c r="O351" i="18" s="1"/>
  <c r="N359" i="18"/>
  <c r="O359" i="18" s="1"/>
  <c r="N362" i="18"/>
  <c r="O362" i="18" s="1"/>
  <c r="N382" i="18"/>
  <c r="N389" i="18"/>
  <c r="N403" i="18"/>
  <c r="O403" i="18" s="1"/>
  <c r="N405" i="18"/>
  <c r="O405" i="18" s="1"/>
  <c r="N411" i="18"/>
  <c r="N432" i="18"/>
  <c r="O432" i="18" s="1"/>
  <c r="N438" i="18"/>
  <c r="O438" i="18" s="1"/>
  <c r="N445" i="18"/>
  <c r="O445" i="18" s="1"/>
  <c r="N453" i="18"/>
  <c r="B453" i="18" s="1"/>
  <c r="N475" i="18"/>
  <c r="O475" i="18" s="1"/>
  <c r="N498" i="18"/>
  <c r="O498" i="18" s="1"/>
  <c r="N503" i="18"/>
  <c r="N507" i="18"/>
  <c r="O507" i="18" s="1"/>
  <c r="N508" i="18"/>
  <c r="O508" i="18" s="1"/>
  <c r="N511" i="18"/>
  <c r="O511" i="18" s="1"/>
  <c r="N513" i="18"/>
  <c r="O513" i="18" s="1"/>
  <c r="N516" i="18"/>
  <c r="O516" i="18" s="1"/>
  <c r="N520" i="18"/>
  <c r="O520" i="18" s="1"/>
  <c r="N523" i="18"/>
  <c r="O523" i="18" s="1"/>
  <c r="N532" i="18"/>
  <c r="O532" i="18" s="1"/>
  <c r="N540" i="18"/>
  <c r="O540" i="18" s="1"/>
  <c r="N543" i="18"/>
  <c r="O543" i="18" s="1"/>
  <c r="N546" i="18"/>
  <c r="O546" i="18" s="1"/>
  <c r="N549" i="18"/>
  <c r="O549" i="18" s="1"/>
  <c r="N586" i="18"/>
  <c r="O586" i="18" s="1"/>
  <c r="N599" i="18"/>
  <c r="O599" i="18" s="1"/>
  <c r="N619" i="18"/>
  <c r="O619" i="18" s="1"/>
  <c r="N635" i="18"/>
  <c r="O635" i="18" s="1"/>
  <c r="N642" i="18"/>
  <c r="B642" i="18" s="1"/>
  <c r="N671" i="18"/>
  <c r="O671" i="18" s="1"/>
  <c r="N708" i="18"/>
  <c r="O708" i="18" s="1"/>
  <c r="N724" i="18"/>
  <c r="O724" i="18" s="1"/>
  <c r="N740" i="18"/>
  <c r="O740" i="18" s="1"/>
  <c r="N750" i="18"/>
  <c r="O750" i="18" s="1"/>
  <c r="N756" i="18"/>
  <c r="O756" i="18" s="1"/>
  <c r="N787" i="18"/>
  <c r="O787" i="18" s="1"/>
  <c r="N789" i="18"/>
  <c r="O789" i="18" s="1"/>
  <c r="N791" i="18"/>
  <c r="O791" i="18" s="1"/>
  <c r="N800" i="18"/>
  <c r="O800" i="18" s="1"/>
  <c r="N804" i="18"/>
  <c r="N806" i="18"/>
  <c r="O806" i="18" s="1"/>
  <c r="N817" i="18"/>
  <c r="O817" i="18" s="1"/>
  <c r="N823" i="18"/>
  <c r="O823" i="18" s="1"/>
  <c r="N826" i="18"/>
  <c r="O826" i="18" s="1"/>
  <c r="N835" i="18"/>
  <c r="O835" i="18" s="1"/>
  <c r="N847" i="18"/>
  <c r="O847" i="18" s="1"/>
  <c r="N858" i="18"/>
  <c r="O858" i="18" s="1"/>
  <c r="N867" i="18"/>
  <c r="O867" i="18" s="1"/>
  <c r="N870" i="18"/>
  <c r="O870" i="18" s="1"/>
  <c r="N871" i="18"/>
  <c r="O871" i="18" s="1"/>
  <c r="N877" i="18"/>
  <c r="B877" i="18" s="1"/>
  <c r="N885" i="18"/>
  <c r="O885" i="18" s="1"/>
  <c r="N901" i="18"/>
  <c r="O901" i="18" s="1"/>
  <c r="N904" i="18"/>
  <c r="O904" i="18" s="1"/>
  <c r="N907" i="18"/>
  <c r="O907" i="18" s="1"/>
  <c r="N912" i="18"/>
  <c r="O912" i="18" s="1"/>
  <c r="N914" i="18"/>
  <c r="O914" i="18" s="1"/>
  <c r="N923" i="18"/>
  <c r="O923" i="18" s="1"/>
  <c r="N927" i="18"/>
  <c r="O927" i="18" s="1"/>
  <c r="N930" i="18"/>
  <c r="O930" i="18" s="1"/>
  <c r="N943" i="18"/>
  <c r="O943" i="18" s="1"/>
  <c r="N963" i="18"/>
  <c r="O963" i="18" s="1"/>
  <c r="N1026" i="18"/>
  <c r="O1026" i="18" s="1"/>
  <c r="N1063" i="18"/>
  <c r="O1063" i="18" s="1"/>
  <c r="N1076" i="18"/>
  <c r="O1076" i="18" s="1"/>
  <c r="N1094" i="18"/>
  <c r="O1094" i="18" s="1"/>
  <c r="N1104" i="18"/>
  <c r="O1104" i="18" s="1"/>
  <c r="N1119" i="18"/>
  <c r="O1119" i="18" s="1"/>
  <c r="N1133" i="18"/>
  <c r="O1133" i="18" s="1"/>
  <c r="N1138" i="18"/>
  <c r="O1138" i="18" s="1"/>
  <c r="N1143" i="18"/>
  <c r="O1143" i="18" s="1"/>
  <c r="N1146" i="18"/>
  <c r="O1146" i="18" s="1"/>
  <c r="N1149" i="18"/>
  <c r="O1149" i="18" s="1"/>
  <c r="N1155" i="18"/>
  <c r="O1155" i="18" s="1"/>
  <c r="N1158" i="18"/>
  <c r="N1170" i="18"/>
  <c r="N1180" i="18"/>
  <c r="N1184" i="18"/>
  <c r="O1184" i="18" s="1"/>
  <c r="N1187" i="18"/>
  <c r="O1187" i="18" s="1"/>
  <c r="N1194" i="18"/>
  <c r="O1194" i="18" s="1"/>
  <c r="N1205" i="18"/>
  <c r="O1205" i="18" s="1"/>
  <c r="N1210" i="18"/>
  <c r="O1210" i="18" s="1"/>
  <c r="N1216" i="18"/>
  <c r="O1216" i="18" s="1"/>
  <c r="N1223" i="18"/>
  <c r="N1247" i="18"/>
  <c r="O1247" i="18" s="1"/>
  <c r="N1257" i="18"/>
  <c r="O1257" i="18" s="1"/>
  <c r="N1258" i="18"/>
  <c r="O1258" i="18" s="1"/>
  <c r="N1267" i="18"/>
  <c r="O1267" i="18" s="1"/>
  <c r="N1282" i="18"/>
  <c r="O1282" i="18" s="1"/>
  <c r="N1300" i="18"/>
  <c r="O1300" i="18" s="1"/>
  <c r="N1311" i="18"/>
  <c r="O1311" i="18" s="1"/>
  <c r="N1329" i="18"/>
  <c r="O1329" i="18" s="1"/>
  <c r="N1338" i="18"/>
  <c r="O1338" i="18" s="1"/>
  <c r="N1346" i="18"/>
  <c r="O1346" i="18" s="1"/>
  <c r="N1355" i="18"/>
  <c r="O1355" i="18" s="1"/>
  <c r="N1372" i="18"/>
  <c r="B1372" i="18" s="1"/>
  <c r="N7" i="18"/>
  <c r="O7" i="18" s="1"/>
  <c r="N16" i="18"/>
  <c r="O16" i="18" s="1"/>
  <c r="N19" i="18"/>
  <c r="O19" i="18" s="1"/>
  <c r="N38" i="18"/>
  <c r="O38" i="18" s="1"/>
  <c r="N51" i="18"/>
  <c r="N72" i="18"/>
  <c r="O72" i="18" s="1"/>
  <c r="N80" i="18"/>
  <c r="O80" i="18" s="1"/>
  <c r="N103" i="18"/>
  <c r="O103" i="18" s="1"/>
  <c r="N111" i="18"/>
  <c r="O111" i="18" s="1"/>
  <c r="N120" i="18"/>
  <c r="O120" i="18" s="1"/>
  <c r="N126" i="18"/>
  <c r="O126" i="18" s="1"/>
  <c r="N130" i="18"/>
  <c r="N134" i="18"/>
  <c r="O134" i="18" s="1"/>
  <c r="N142" i="18"/>
  <c r="O142" i="18" s="1"/>
  <c r="N153" i="18"/>
  <c r="O153" i="18" s="1"/>
  <c r="N187" i="18"/>
  <c r="O187" i="18" s="1"/>
  <c r="N204" i="18"/>
  <c r="O204" i="18" s="1"/>
  <c r="N208" i="18"/>
  <c r="O208" i="18" s="1"/>
  <c r="N215" i="18"/>
  <c r="O215" i="18" s="1"/>
  <c r="N219" i="18"/>
  <c r="O219" i="18" s="1"/>
  <c r="N232" i="18"/>
  <c r="O232" i="18" s="1"/>
  <c r="N239" i="18"/>
  <c r="O239" i="18" s="1"/>
  <c r="N247" i="18"/>
  <c r="O247" i="18" s="1"/>
  <c r="N252" i="18"/>
  <c r="O252" i="18" s="1"/>
  <c r="N265" i="18"/>
  <c r="O265" i="18" s="1"/>
  <c r="N284" i="18"/>
  <c r="O284" i="18" s="1"/>
  <c r="N291" i="18"/>
  <c r="O291" i="18" s="1"/>
  <c r="N294" i="18"/>
  <c r="O294" i="18" s="1"/>
  <c r="N295" i="18"/>
  <c r="O295" i="18" s="1"/>
  <c r="N301" i="18"/>
  <c r="O301" i="18" s="1"/>
  <c r="N312" i="18"/>
  <c r="O312" i="18" s="1"/>
  <c r="N316" i="18"/>
  <c r="O316" i="18" s="1"/>
  <c r="N323" i="18"/>
  <c r="O323" i="18" s="1"/>
  <c r="N330" i="18"/>
  <c r="O330" i="18" s="1"/>
  <c r="N334" i="18"/>
  <c r="N349" i="18"/>
  <c r="O349" i="18" s="1"/>
  <c r="N353" i="18"/>
  <c r="O353" i="18" s="1"/>
  <c r="N368" i="18"/>
  <c r="O368" i="18" s="1"/>
  <c r="N372" i="18"/>
  <c r="O372" i="18" s="1"/>
  <c r="N401" i="18"/>
  <c r="O401" i="18" s="1"/>
  <c r="N412" i="18"/>
  <c r="N415" i="18"/>
  <c r="O415" i="18" s="1"/>
  <c r="N419" i="18"/>
  <c r="O419" i="18" s="1"/>
  <c r="N418" i="18"/>
  <c r="O418" i="18" s="1"/>
  <c r="N422" i="18"/>
  <c r="O422" i="18" s="1"/>
  <c r="N437" i="18"/>
  <c r="O437" i="18" s="1"/>
  <c r="N448" i="18"/>
  <c r="O448" i="18" s="1"/>
  <c r="N462" i="18"/>
  <c r="O462" i="18" s="1"/>
  <c r="N468" i="18"/>
  <c r="O468" i="18" s="1"/>
  <c r="N480" i="18"/>
  <c r="O480" i="18" s="1"/>
  <c r="N484" i="18"/>
  <c r="O484" i="18" s="1"/>
  <c r="N485" i="18"/>
  <c r="O485" i="18" s="1"/>
  <c r="N488" i="18"/>
  <c r="O488" i="18" s="1"/>
  <c r="N489" i="18"/>
  <c r="O489" i="18" s="1"/>
  <c r="N490" i="18"/>
  <c r="O490" i="18" s="1"/>
  <c r="N491" i="18"/>
  <c r="O491" i="18" s="1"/>
  <c r="N530" i="18"/>
  <c r="O530" i="18" s="1"/>
  <c r="N531" i="18"/>
  <c r="O531" i="18" s="1"/>
  <c r="N534" i="18"/>
  <c r="O534" i="18" s="1"/>
  <c r="N535" i="18"/>
  <c r="O535" i="18" s="1"/>
  <c r="N560" i="18"/>
  <c r="O560" i="18" s="1"/>
  <c r="N562" i="18"/>
  <c r="O562" i="18" s="1"/>
  <c r="N566" i="18"/>
  <c r="O566" i="18" s="1"/>
  <c r="N573" i="18"/>
  <c r="O573" i="18" s="1"/>
  <c r="N588" i="18"/>
  <c r="N600" i="18"/>
  <c r="O600" i="18" s="1"/>
  <c r="N602" i="18"/>
  <c r="O602" i="18" s="1"/>
  <c r="N608" i="18"/>
  <c r="O608" i="18" s="1"/>
  <c r="N623" i="18"/>
  <c r="O623" i="18" s="1"/>
  <c r="N624" i="18"/>
  <c r="O624" i="18" s="1"/>
  <c r="N630" i="18"/>
  <c r="O630" i="18" s="1"/>
  <c r="N641" i="18"/>
  <c r="O641" i="18" s="1"/>
  <c r="N645" i="18"/>
  <c r="N648" i="18"/>
  <c r="O648" i="18" s="1"/>
  <c r="N652" i="18"/>
  <c r="O652" i="18" s="1"/>
  <c r="N679" i="18"/>
  <c r="O679" i="18" s="1"/>
  <c r="N807" i="18"/>
  <c r="O807" i="18" s="1"/>
  <c r="N837" i="18"/>
  <c r="O837" i="18" s="1"/>
  <c r="N852" i="18"/>
  <c r="O852" i="18" s="1"/>
  <c r="N862" i="18"/>
  <c r="O862" i="18" s="1"/>
  <c r="N868" i="18"/>
  <c r="O868" i="18" s="1"/>
  <c r="N876" i="18"/>
  <c r="O876" i="18" s="1"/>
  <c r="N882" i="18"/>
  <c r="O882" i="18" s="1"/>
  <c r="N883" i="18"/>
  <c r="O883" i="18" s="1"/>
  <c r="N888" i="18"/>
  <c r="O888" i="18" s="1"/>
  <c r="N902" i="18"/>
  <c r="O902" i="18" s="1"/>
  <c r="N910" i="18"/>
  <c r="O910" i="18" s="1"/>
  <c r="N922" i="18"/>
  <c r="O922" i="18" s="1"/>
  <c r="N932" i="18"/>
  <c r="O932" i="18" s="1"/>
  <c r="N939" i="18"/>
  <c r="O939" i="18" s="1"/>
  <c r="N952" i="18"/>
  <c r="O952" i="18" s="1"/>
  <c r="N955" i="18"/>
  <c r="N979" i="18"/>
  <c r="O979" i="18" s="1"/>
  <c r="N981" i="18"/>
  <c r="O981" i="18" s="1"/>
  <c r="N991" i="18"/>
  <c r="O991" i="18" s="1"/>
  <c r="N995" i="18"/>
  <c r="O995" i="18" s="1"/>
  <c r="N1002" i="18"/>
  <c r="O1002" i="18" s="1"/>
  <c r="N1003" i="18"/>
  <c r="O1003" i="18" s="1"/>
  <c r="N1004" i="18"/>
  <c r="O1004" i="18" s="1"/>
  <c r="N1006" i="18"/>
  <c r="O1006" i="18" s="1"/>
  <c r="N1030" i="18"/>
  <c r="O1030" i="18" s="1"/>
  <c r="N1035" i="18"/>
  <c r="O1035" i="18" s="1"/>
  <c r="N1038" i="18"/>
  <c r="O1038" i="18" s="1"/>
  <c r="N1045" i="18"/>
  <c r="O1045" i="18" s="1"/>
  <c r="N1048" i="18"/>
  <c r="O1048" i="18" s="1"/>
  <c r="N1080" i="18"/>
  <c r="O1080" i="18" s="1"/>
  <c r="N1088" i="18"/>
  <c r="O1088" i="18" s="1"/>
  <c r="N1092" i="18"/>
  <c r="O1092" i="18" s="1"/>
  <c r="N1095" i="18"/>
  <c r="O1095" i="18" s="1"/>
  <c r="N1098" i="18"/>
  <c r="O1098" i="18" s="1"/>
  <c r="N1099" i="18"/>
  <c r="O1099" i="18" s="1"/>
  <c r="N1102" i="18"/>
  <c r="O1102" i="18" s="1"/>
  <c r="N1112" i="18"/>
  <c r="O1112" i="18" s="1"/>
  <c r="N1120" i="18"/>
  <c r="O1120" i="18" s="1"/>
  <c r="N1122" i="18"/>
  <c r="O1122" i="18" s="1"/>
  <c r="N1130" i="18"/>
  <c r="N1151" i="18"/>
  <c r="O1151" i="18" s="1"/>
  <c r="N1202" i="18"/>
  <c r="O1202" i="18" s="1"/>
  <c r="N1206" i="18"/>
  <c r="O1206" i="18" s="1"/>
  <c r="N1209" i="18"/>
  <c r="O1209" i="18" s="1"/>
  <c r="N1213" i="18"/>
  <c r="O1213" i="18" s="1"/>
  <c r="N1226" i="18"/>
  <c r="N1228" i="18"/>
  <c r="O1228" i="18" s="1"/>
  <c r="N1256" i="18"/>
  <c r="O1256" i="18" s="1"/>
  <c r="N1263" i="18"/>
  <c r="O1263" i="18" s="1"/>
  <c r="N1274" i="18"/>
  <c r="N1277" i="18"/>
  <c r="O1277" i="18" s="1"/>
  <c r="N1302" i="18"/>
  <c r="O1302" i="18" s="1"/>
  <c r="N1308" i="18"/>
  <c r="O1308" i="18" s="1"/>
  <c r="N1315" i="18"/>
  <c r="O1315" i="18" s="1"/>
  <c r="N1351" i="18"/>
  <c r="O1351" i="18" s="1"/>
  <c r="N1363" i="18"/>
  <c r="O1363" i="18" s="1"/>
  <c r="N1370" i="18"/>
  <c r="O1370" i="18" s="1"/>
  <c r="N1379" i="18"/>
  <c r="O1379" i="18" s="1"/>
  <c r="N31" i="18"/>
  <c r="O31" i="18" s="1"/>
  <c r="N62" i="18"/>
  <c r="O62" i="18" s="1"/>
  <c r="N114" i="18"/>
  <c r="O114" i="18" s="1"/>
  <c r="N117" i="18"/>
  <c r="O117" i="18" s="1"/>
  <c r="N124" i="18"/>
  <c r="O124" i="18" s="1"/>
  <c r="N132" i="18"/>
  <c r="O132" i="18" s="1"/>
  <c r="N133" i="18"/>
  <c r="O133" i="18" s="1"/>
  <c r="N140" i="18"/>
  <c r="O140" i="18" s="1"/>
  <c r="N152" i="18"/>
  <c r="O152" i="18" s="1"/>
  <c r="N179" i="18"/>
  <c r="N183" i="18"/>
  <c r="O183" i="18" s="1"/>
  <c r="N225" i="18"/>
  <c r="O225" i="18" s="1"/>
  <c r="N250" i="18"/>
  <c r="O250" i="18" s="1"/>
  <c r="N296" i="18"/>
  <c r="O296" i="18" s="1"/>
  <c r="N347" i="18"/>
  <c r="O347" i="18" s="1"/>
  <c r="N365" i="18"/>
  <c r="O365" i="18" s="1"/>
  <c r="N414" i="18"/>
  <c r="O414" i="18" s="1"/>
  <c r="N435" i="18"/>
  <c r="O435" i="18" s="1"/>
  <c r="N439" i="18"/>
  <c r="O439" i="18" s="1"/>
  <c r="N443" i="18"/>
  <c r="O443" i="18" s="1"/>
  <c r="N457" i="18"/>
  <c r="O457" i="18" s="1"/>
  <c r="N471" i="18"/>
  <c r="O471" i="18" s="1"/>
  <c r="N493" i="18"/>
  <c r="O493" i="18" s="1"/>
  <c r="N499" i="18"/>
  <c r="O499" i="18" s="1"/>
  <c r="N514" i="18"/>
  <c r="O514" i="18" s="1"/>
  <c r="N544" i="18"/>
  <c r="O544" i="18" s="1"/>
  <c r="N557" i="18"/>
  <c r="O557" i="18" s="1"/>
  <c r="N585" i="18"/>
  <c r="O585" i="18" s="1"/>
  <c r="N605" i="18"/>
  <c r="O605" i="18" s="1"/>
  <c r="N606" i="18"/>
  <c r="O606" i="18" s="1"/>
  <c r="N751" i="18"/>
  <c r="O751" i="18" s="1"/>
  <c r="N797" i="18"/>
  <c r="O797" i="18" s="1"/>
  <c r="N824" i="18"/>
  <c r="O824" i="18" s="1"/>
  <c r="N827" i="18"/>
  <c r="O827" i="18" s="1"/>
  <c r="N869" i="18"/>
  <c r="O869" i="18" s="1"/>
  <c r="N872" i="18"/>
  <c r="O872" i="18" s="1"/>
  <c r="N890" i="18"/>
  <c r="N894" i="18"/>
  <c r="O894" i="18" s="1"/>
  <c r="N900" i="18"/>
  <c r="O900" i="18" s="1"/>
  <c r="N936" i="18"/>
  <c r="O936" i="18" s="1"/>
  <c r="N940" i="18"/>
  <c r="O940" i="18" s="1"/>
  <c r="N942" i="18"/>
  <c r="O942" i="18" s="1"/>
  <c r="N959" i="18"/>
  <c r="O959" i="18" s="1"/>
  <c r="N971" i="18"/>
  <c r="O971" i="18" s="1"/>
  <c r="N980" i="18"/>
  <c r="O980" i="18" s="1"/>
  <c r="N986" i="18"/>
  <c r="O986" i="18" s="1"/>
  <c r="N989" i="18"/>
  <c r="O989" i="18" s="1"/>
  <c r="N1011" i="18"/>
  <c r="O1011" i="18" s="1"/>
  <c r="N1028" i="18"/>
  <c r="O1028" i="18" s="1"/>
  <c r="N1115" i="18"/>
  <c r="O1115" i="18" s="1"/>
  <c r="N1111" i="18"/>
  <c r="O1111" i="18" s="1"/>
  <c r="N1144" i="18"/>
  <c r="O1144" i="18" s="1"/>
  <c r="N1147" i="18"/>
  <c r="O1147" i="18" s="1"/>
  <c r="N1167" i="18"/>
  <c r="O1167" i="18" s="1"/>
  <c r="N1188" i="18"/>
  <c r="O1188" i="18" s="1"/>
  <c r="N1189" i="18"/>
  <c r="O1189" i="18" s="1"/>
  <c r="N1232" i="18"/>
  <c r="O1232" i="18" s="1"/>
  <c r="N1272" i="18"/>
  <c r="O1272" i="18" s="1"/>
  <c r="N1284" i="18"/>
  <c r="O1284" i="18" s="1"/>
  <c r="N1283" i="18"/>
  <c r="O1283" i="18" s="1"/>
  <c r="N1287" i="18"/>
  <c r="O1287" i="18" s="1"/>
  <c r="N1318" i="18"/>
  <c r="O1318" i="18" s="1"/>
  <c r="N1358" i="18"/>
  <c r="O1358" i="18" s="1"/>
  <c r="N5" i="18"/>
  <c r="O5" i="18" s="1"/>
  <c r="N42" i="18"/>
  <c r="O42" i="18" s="1"/>
  <c r="N43" i="18"/>
  <c r="O43" i="18" s="1"/>
  <c r="N44" i="18"/>
  <c r="O44" i="18" s="1"/>
  <c r="N45" i="18"/>
  <c r="O45" i="18" s="1"/>
  <c r="N46" i="18"/>
  <c r="O46" i="18" s="1"/>
  <c r="N91" i="18"/>
  <c r="O91" i="18" s="1"/>
  <c r="N105" i="18"/>
  <c r="O105" i="18" s="1"/>
  <c r="N122" i="18"/>
  <c r="O122" i="18" s="1"/>
  <c r="N138" i="18"/>
  <c r="O138" i="18" s="1"/>
  <c r="N161" i="18"/>
  <c r="O161" i="18" s="1"/>
  <c r="N167" i="18"/>
  <c r="N172" i="18"/>
  <c r="O172" i="18" s="1"/>
  <c r="N176" i="18"/>
  <c r="O176" i="18" s="1"/>
  <c r="N177" i="18"/>
  <c r="O177" i="18" s="1"/>
  <c r="N182" i="18"/>
  <c r="O182" i="18" s="1"/>
  <c r="N189" i="18"/>
  <c r="B189" i="18" s="1"/>
  <c r="N196" i="18"/>
  <c r="O196" i="18" s="1"/>
  <c r="N254" i="18"/>
  <c r="N257" i="18"/>
  <c r="O257" i="18" s="1"/>
  <c r="N258" i="18"/>
  <c r="O258" i="18" s="1"/>
  <c r="N285" i="18"/>
  <c r="O285" i="18" s="1"/>
  <c r="N318" i="18"/>
  <c r="O318" i="18" s="1"/>
  <c r="N335" i="18"/>
  <c r="O335" i="18" s="1"/>
  <c r="N355" i="18"/>
  <c r="O355" i="18" s="1"/>
  <c r="N473" i="18"/>
  <c r="O473" i="18" s="1"/>
  <c r="N554" i="18"/>
  <c r="O554" i="18" s="1"/>
  <c r="N618" i="18"/>
  <c r="O618" i="18" s="1"/>
  <c r="N632" i="18"/>
  <c r="O632" i="18" s="1"/>
  <c r="N657" i="18"/>
  <c r="O657" i="18" s="1"/>
  <c r="N661" i="18"/>
  <c r="O661" i="18" s="1"/>
  <c r="N662" i="18"/>
  <c r="O662" i="18" s="1"/>
  <c r="N663" i="18"/>
  <c r="O663" i="18" s="1"/>
  <c r="N665" i="18"/>
  <c r="O665" i="18" s="1"/>
  <c r="N666" i="18"/>
  <c r="O666" i="18" s="1"/>
  <c r="N674" i="18"/>
  <c r="B674" i="18" s="1"/>
  <c r="N677" i="18"/>
  <c r="O677" i="18" s="1"/>
  <c r="N682" i="18"/>
  <c r="O682" i="18" s="1"/>
  <c r="N684" i="18"/>
  <c r="O684" i="18" s="1"/>
  <c r="N688" i="18"/>
  <c r="O688" i="18" s="1"/>
  <c r="N692" i="18"/>
  <c r="O692" i="18" s="1"/>
  <c r="N694" i="18"/>
  <c r="O694" i="18" s="1"/>
  <c r="N695" i="18"/>
  <c r="O695" i="18" s="1"/>
  <c r="N703" i="18"/>
  <c r="O703" i="18" s="1"/>
  <c r="N704" i="18"/>
  <c r="O704" i="18" s="1"/>
  <c r="N706" i="18"/>
  <c r="O706" i="18" s="1"/>
  <c r="N709" i="18"/>
  <c r="O709" i="18" s="1"/>
  <c r="N718" i="18"/>
  <c r="O718" i="18" s="1"/>
  <c r="N722" i="18"/>
  <c r="B722" i="18" s="1"/>
  <c r="N725" i="18"/>
  <c r="O725" i="18" s="1"/>
  <c r="N726" i="18"/>
  <c r="O726" i="18" s="1"/>
  <c r="N736" i="18"/>
  <c r="O736" i="18" s="1"/>
  <c r="N737" i="18"/>
  <c r="O737" i="18" s="1"/>
  <c r="N763" i="18"/>
  <c r="O763" i="18" s="1"/>
  <c r="N782" i="18"/>
  <c r="O782" i="18" s="1"/>
  <c r="N786" i="18"/>
  <c r="O786" i="18" s="1"/>
  <c r="N814" i="18"/>
  <c r="O814" i="18" s="1"/>
  <c r="N832" i="18"/>
  <c r="O832" i="18" s="1"/>
  <c r="N884" i="18"/>
  <c r="O884" i="18" s="1"/>
  <c r="N898" i="18"/>
  <c r="N913" i="18"/>
  <c r="O913" i="18" s="1"/>
  <c r="N938" i="18"/>
  <c r="O938" i="18" s="1"/>
  <c r="N977" i="18"/>
  <c r="O977" i="18" s="1"/>
  <c r="N1103" i="18"/>
  <c r="O1103" i="18" s="1"/>
  <c r="N1128" i="18"/>
  <c r="N1134" i="18"/>
  <c r="O1134" i="18" s="1"/>
  <c r="N1136" i="18"/>
  <c r="O1136" i="18" s="1"/>
  <c r="N1163" i="18"/>
  <c r="O1163" i="18" s="1"/>
  <c r="N1172" i="18"/>
  <c r="O1172" i="18" s="1"/>
  <c r="N1214" i="18"/>
  <c r="O1214" i="18" s="1"/>
  <c r="N1217" i="18"/>
  <c r="O1217" i="18" s="1"/>
  <c r="N1241" i="18"/>
  <c r="O1241" i="18" s="1"/>
  <c r="N1244" i="18"/>
  <c r="O1244" i="18" s="1"/>
  <c r="N1259" i="18"/>
  <c r="N1271" i="18"/>
  <c r="O1271" i="18" s="1"/>
  <c r="N1281" i="18"/>
  <c r="O1281" i="18" s="1"/>
  <c r="N1317" i="18"/>
  <c r="O1317" i="18" s="1"/>
  <c r="N83" i="18"/>
  <c r="O83" i="18" s="1"/>
  <c r="N116" i="18"/>
  <c r="O116" i="18" s="1"/>
  <c r="N127" i="18"/>
  <c r="O127" i="18" s="1"/>
  <c r="N181" i="18"/>
  <c r="O181" i="18" s="1"/>
  <c r="N235" i="18"/>
  <c r="O235" i="18" s="1"/>
  <c r="N306" i="18"/>
  <c r="O306" i="18" s="1"/>
  <c r="N342" i="18"/>
  <c r="N386" i="18"/>
  <c r="O386" i="18" s="1"/>
  <c r="N420" i="18"/>
  <c r="O420" i="18" s="1"/>
  <c r="N495" i="18"/>
  <c r="O495" i="18" s="1"/>
  <c r="N512" i="18"/>
  <c r="O512" i="18" s="1"/>
  <c r="N565" i="18"/>
  <c r="O565" i="18" s="1"/>
  <c r="N613" i="18"/>
  <c r="O613" i="18" s="1"/>
  <c r="N616" i="18"/>
  <c r="O616" i="18" s="1"/>
  <c r="N633" i="18"/>
  <c r="O633" i="18" s="1"/>
  <c r="N640" i="18"/>
  <c r="O640" i="18" s="1"/>
  <c r="N825" i="18"/>
  <c r="O825" i="18" s="1"/>
  <c r="N828" i="18"/>
  <c r="O828" i="18" s="1"/>
  <c r="N829" i="18"/>
  <c r="O829" i="18" s="1"/>
  <c r="N853" i="18"/>
  <c r="O853" i="18" s="1"/>
  <c r="N920" i="18"/>
  <c r="O920" i="18" s="1"/>
  <c r="N921" i="18"/>
  <c r="O921" i="18" s="1"/>
  <c r="N935" i="18"/>
  <c r="O935" i="18" s="1"/>
  <c r="N945" i="18"/>
  <c r="O945" i="18" s="1"/>
  <c r="N1029" i="18"/>
  <c r="O1029" i="18" s="1"/>
  <c r="N1041" i="18"/>
  <c r="O1041" i="18" s="1"/>
  <c r="N1260" i="18"/>
  <c r="N1350" i="18"/>
  <c r="O1350" i="18" s="1"/>
  <c r="N1376" i="18"/>
  <c r="O1376" i="18" s="1"/>
  <c r="N9" i="18"/>
  <c r="O9" i="18" s="1"/>
  <c r="N10" i="18"/>
  <c r="O10" i="18" s="1"/>
  <c r="N12" i="18"/>
  <c r="O12" i="18" s="1"/>
  <c r="N39" i="18"/>
  <c r="O39" i="18" s="1"/>
  <c r="N50" i="18"/>
  <c r="N65" i="18"/>
  <c r="O65" i="18" s="1"/>
  <c r="N78" i="18"/>
  <c r="O78" i="18" s="1"/>
  <c r="N137" i="18"/>
  <c r="O137" i="18" s="1"/>
  <c r="N150" i="18"/>
  <c r="O150" i="18" s="1"/>
  <c r="N168" i="18"/>
  <c r="N195" i="18"/>
  <c r="O195" i="18" s="1"/>
  <c r="N198" i="18"/>
  <c r="O198" i="18" s="1"/>
  <c r="N218" i="18"/>
  <c r="O218" i="18" s="1"/>
  <c r="N221" i="18"/>
  <c r="O221" i="18" s="1"/>
  <c r="N238" i="18"/>
  <c r="O238" i="18" s="1"/>
  <c r="N245" i="18"/>
  <c r="O245" i="18" s="1"/>
  <c r="N255" i="18"/>
  <c r="N262" i="18"/>
  <c r="O262" i="18" s="1"/>
  <c r="N264" i="18"/>
  <c r="O264" i="18" s="1"/>
  <c r="N269" i="18"/>
  <c r="O269" i="18" s="1"/>
  <c r="N292" i="18"/>
  <c r="O292" i="18" s="1"/>
  <c r="N305" i="18"/>
  <c r="O305" i="18" s="1"/>
  <c r="N319" i="18"/>
  <c r="O319" i="18" s="1"/>
  <c r="N338" i="18"/>
  <c r="N370" i="18"/>
  <c r="O370" i="18" s="1"/>
  <c r="N374" i="18"/>
  <c r="O374" i="18" s="1"/>
  <c r="N385" i="18"/>
  <c r="O385" i="18" s="1"/>
  <c r="N424" i="18"/>
  <c r="O424" i="18" s="1"/>
  <c r="N425" i="18"/>
  <c r="O425" i="18" s="1"/>
  <c r="N431" i="18"/>
  <c r="O431" i="18" s="1"/>
  <c r="N430" i="18"/>
  <c r="O430" i="18" s="1"/>
  <c r="N441" i="18"/>
  <c r="N458" i="18"/>
  <c r="O458" i="18" s="1"/>
  <c r="N459" i="18"/>
  <c r="O459" i="18" s="1"/>
  <c r="N477" i="18"/>
  <c r="O477" i="18" s="1"/>
  <c r="N492" i="18"/>
  <c r="O492" i="18" s="1"/>
  <c r="N537" i="18"/>
  <c r="O537" i="18" s="1"/>
  <c r="N545" i="18"/>
  <c r="O545" i="18" s="1"/>
  <c r="N550" i="18"/>
  <c r="O550" i="18" s="1"/>
  <c r="N555" i="18"/>
  <c r="O555" i="18" s="1"/>
  <c r="N567" i="18"/>
  <c r="O567" i="18" s="1"/>
  <c r="N570" i="18"/>
  <c r="O570" i="18" s="1"/>
  <c r="N580" i="18"/>
  <c r="O580" i="18" s="1"/>
  <c r="N594" i="18"/>
  <c r="B594" i="18" s="1"/>
  <c r="N596" i="18"/>
  <c r="O596" i="18" s="1"/>
  <c r="N655" i="18"/>
  <c r="O655" i="18" s="1"/>
  <c r="N669" i="18"/>
  <c r="O669" i="18" s="1"/>
  <c r="N675" i="18"/>
  <c r="N686" i="18"/>
  <c r="O686" i="18" s="1"/>
  <c r="N689" i="18"/>
  <c r="O689" i="18" s="1"/>
  <c r="N691" i="18"/>
  <c r="O691" i="18" s="1"/>
  <c r="N705" i="18"/>
  <c r="O705" i="18" s="1"/>
  <c r="N710" i="18"/>
  <c r="O710" i="18" s="1"/>
  <c r="N711" i="18"/>
  <c r="O711" i="18" s="1"/>
  <c r="N714" i="18"/>
  <c r="O714" i="18" s="1"/>
  <c r="N720" i="18"/>
  <c r="O720" i="18" s="1"/>
  <c r="N728" i="18"/>
  <c r="O728" i="18" s="1"/>
  <c r="N732" i="18"/>
  <c r="O732" i="18" s="1"/>
  <c r="N753" i="18"/>
  <c r="O753" i="18" s="1"/>
  <c r="N760" i="18"/>
  <c r="O760" i="18" s="1"/>
  <c r="N767" i="18"/>
  <c r="O767" i="18" s="1"/>
  <c r="N775" i="18"/>
  <c r="O775" i="18" s="1"/>
  <c r="N781" i="18"/>
  <c r="O781" i="18" s="1"/>
  <c r="N784" i="18"/>
  <c r="N793" i="18"/>
  <c r="O793" i="18" s="1"/>
  <c r="N796" i="18"/>
  <c r="O796" i="18" s="1"/>
  <c r="N813" i="18"/>
  <c r="O813" i="18" s="1"/>
  <c r="N815" i="18"/>
  <c r="O815" i="18" s="1"/>
  <c r="N859" i="18"/>
  <c r="O859" i="18" s="1"/>
  <c r="N861" i="18"/>
  <c r="O861" i="18" s="1"/>
  <c r="N887" i="18"/>
  <c r="O887" i="18" s="1"/>
  <c r="N924" i="18"/>
  <c r="O924" i="18" s="1"/>
  <c r="N975" i="18"/>
  <c r="O975" i="18" s="1"/>
  <c r="N974" i="18"/>
  <c r="O974" i="18" s="1"/>
  <c r="N976" i="18"/>
  <c r="O976" i="18" s="1"/>
  <c r="N1001" i="18"/>
  <c r="O1001" i="18" s="1"/>
  <c r="N1013" i="18"/>
  <c r="B1013" i="18" s="1"/>
  <c r="N1031" i="18"/>
  <c r="O1031" i="18" s="1"/>
  <c r="N1034" i="18"/>
  <c r="O1034" i="18" s="1"/>
  <c r="N1040" i="18"/>
  <c r="O1040" i="18" s="1"/>
  <c r="N1071" i="18"/>
  <c r="O1071" i="18" s="1"/>
  <c r="N1072" i="18"/>
  <c r="O1072" i="18" s="1"/>
  <c r="N1074" i="18"/>
  <c r="O1074" i="18" s="1"/>
  <c r="N1075" i="18"/>
  <c r="O1075" i="18" s="1"/>
  <c r="N1078" i="18"/>
  <c r="O1078" i="18" s="1"/>
  <c r="N1082" i="18"/>
  <c r="O1082" i="18" s="1"/>
  <c r="N1154" i="18"/>
  <c r="O1154" i="18" s="1"/>
  <c r="N1156" i="18"/>
  <c r="O1156" i="18" s="1"/>
  <c r="N1162" i="18"/>
  <c r="O1162" i="18" s="1"/>
  <c r="N1212" i="18"/>
  <c r="O1212" i="18" s="1"/>
  <c r="N1249" i="18"/>
  <c r="O1249" i="18" s="1"/>
  <c r="N1269" i="18"/>
  <c r="O1269" i="18" s="1"/>
  <c r="N1270" i="18"/>
  <c r="O1270" i="18" s="1"/>
  <c r="N1285" i="18"/>
  <c r="O1285" i="18" s="1"/>
  <c r="N1296" i="18"/>
  <c r="O1296" i="18" s="1"/>
  <c r="N1310" i="18"/>
  <c r="O1310" i="18" s="1"/>
  <c r="N1312" i="18"/>
  <c r="O1312" i="18" s="1"/>
  <c r="N1324" i="18"/>
  <c r="O1324" i="18" s="1"/>
  <c r="N1331" i="18"/>
  <c r="O1331" i="18" s="1"/>
  <c r="N1332" i="18"/>
  <c r="O1332" i="18" s="1"/>
  <c r="N1333" i="18"/>
  <c r="O1333" i="18" s="1"/>
  <c r="N1347" i="18"/>
  <c r="O1347" i="18" s="1"/>
  <c r="N1371" i="18"/>
  <c r="O1371" i="18" s="1"/>
  <c r="N3" i="18"/>
  <c r="O3" i="18" s="1"/>
  <c r="N4" i="18"/>
  <c r="O4" i="18" s="1"/>
  <c r="N33" i="18"/>
  <c r="O33" i="18" s="1"/>
  <c r="N35" i="18"/>
  <c r="N52" i="18"/>
  <c r="N54" i="18"/>
  <c r="N55" i="18"/>
  <c r="N63" i="18"/>
  <c r="O63" i="18" s="1"/>
  <c r="N89" i="18"/>
  <c r="O89" i="18" s="1"/>
  <c r="N97" i="18"/>
  <c r="N110" i="18"/>
  <c r="O110" i="18" s="1"/>
  <c r="N128" i="18"/>
  <c r="O128" i="18" s="1"/>
  <c r="N144" i="18"/>
  <c r="O144" i="18" s="1"/>
  <c r="N145" i="18"/>
  <c r="O145" i="18" s="1"/>
  <c r="N148" i="18"/>
  <c r="O148" i="18" s="1"/>
  <c r="N151" i="18"/>
  <c r="O151" i="18" s="1"/>
  <c r="N159" i="18"/>
  <c r="O159" i="18" s="1"/>
  <c r="N160" i="18"/>
  <c r="O160" i="18" s="1"/>
  <c r="N164" i="18"/>
  <c r="O164" i="18" s="1"/>
  <c r="N166" i="18"/>
  <c r="N171" i="18"/>
  <c r="O171" i="18" s="1"/>
  <c r="N193" i="18"/>
  <c r="O193" i="18" s="1"/>
  <c r="N200" i="18"/>
  <c r="O200" i="18" s="1"/>
  <c r="N202" i="18"/>
  <c r="O202" i="18" s="1"/>
  <c r="N229" i="18"/>
  <c r="N230" i="18"/>
  <c r="N243" i="18"/>
  <c r="O243" i="18" s="1"/>
  <c r="N263" i="18"/>
  <c r="O263" i="18" s="1"/>
  <c r="N267" i="18"/>
  <c r="O267" i="18" s="1"/>
  <c r="N276" i="18"/>
  <c r="O276" i="18" s="1"/>
  <c r="N286" i="18"/>
  <c r="O286" i="18" s="1"/>
  <c r="N308" i="18"/>
  <c r="O308" i="18" s="1"/>
  <c r="N321" i="18"/>
  <c r="O321" i="18" s="1"/>
  <c r="N346" i="18"/>
  <c r="O346" i="18" s="1"/>
  <c r="N356" i="18"/>
  <c r="O356" i="18" s="1"/>
  <c r="N363" i="18"/>
  <c r="O363" i="18" s="1"/>
  <c r="N377" i="18"/>
  <c r="O377" i="18" s="1"/>
  <c r="N378" i="18"/>
  <c r="O378" i="18" s="1"/>
  <c r="N383" i="18"/>
  <c r="N396" i="18"/>
  <c r="O396" i="18" s="1"/>
  <c r="N449" i="18"/>
  <c r="O449" i="18" s="1"/>
  <c r="N460" i="18"/>
  <c r="N465" i="18"/>
  <c r="O465" i="18" s="1"/>
  <c r="N467" i="18"/>
  <c r="O467" i="18" s="1"/>
  <c r="N483" i="18"/>
  <c r="O483" i="18" s="1"/>
  <c r="N486" i="18"/>
  <c r="O486" i="18" s="1"/>
  <c r="N494" i="18"/>
  <c r="O494" i="18" s="1"/>
  <c r="N500" i="18"/>
  <c r="N501" i="18"/>
  <c r="B501" i="18" s="1"/>
  <c r="N504" i="18"/>
  <c r="N517" i="18"/>
  <c r="O517" i="18" s="1"/>
  <c r="N522" i="18"/>
  <c r="O522" i="18" s="1"/>
  <c r="N538" i="18"/>
  <c r="O538" i="18" s="1"/>
  <c r="N548" i="18"/>
  <c r="O548" i="18" s="1"/>
  <c r="N572" i="18"/>
  <c r="O572" i="18" s="1"/>
  <c r="N575" i="18"/>
  <c r="O575" i="18" s="1"/>
  <c r="N587" i="18"/>
  <c r="O587" i="18" s="1"/>
  <c r="N597" i="18"/>
  <c r="O597" i="18" s="1"/>
  <c r="N603" i="18"/>
  <c r="O603" i="18" s="1"/>
  <c r="N612" i="18"/>
  <c r="O612" i="18" s="1"/>
  <c r="N615" i="18"/>
  <c r="O615" i="18" s="1"/>
  <c r="N625" i="18"/>
  <c r="O625" i="18" s="1"/>
  <c r="N628" i="18"/>
  <c r="O628" i="18" s="1"/>
  <c r="N639" i="18"/>
  <c r="O639" i="18" s="1"/>
  <c r="N646" i="18"/>
  <c r="N647" i="18"/>
  <c r="N651" i="18"/>
  <c r="O651" i="18" s="1"/>
  <c r="N653" i="18"/>
  <c r="O653" i="18" s="1"/>
  <c r="N761" i="18"/>
  <c r="O761" i="18" s="1"/>
  <c r="N774" i="18"/>
  <c r="O774" i="18" s="1"/>
  <c r="N783" i="18"/>
  <c r="O783" i="18" s="1"/>
  <c r="N794" i="18"/>
  <c r="O794" i="18" s="1"/>
  <c r="N818" i="18"/>
  <c r="O818" i="18" s="1"/>
  <c r="N854" i="18"/>
  <c r="O854" i="18" s="1"/>
  <c r="N893" i="18"/>
  <c r="O893" i="18" s="1"/>
  <c r="N896" i="18"/>
  <c r="O896" i="18" s="1"/>
  <c r="N899" i="18"/>
  <c r="N916" i="18"/>
  <c r="O916" i="18" s="1"/>
  <c r="N934" i="18"/>
  <c r="O934" i="18" s="1"/>
  <c r="N951" i="18"/>
  <c r="O951" i="18" s="1"/>
  <c r="N956" i="18"/>
  <c r="N1007" i="18"/>
  <c r="O1007" i="18" s="1"/>
  <c r="N1014" i="18"/>
  <c r="N1016" i="18"/>
  <c r="O1016" i="18" s="1"/>
  <c r="N1033" i="18"/>
  <c r="O1033" i="18" s="1"/>
  <c r="N1059" i="18"/>
  <c r="O1059" i="18" s="1"/>
  <c r="N1062" i="18"/>
  <c r="O1062" i="18" s="1"/>
  <c r="N1083" i="18"/>
  <c r="O1083" i="18" s="1"/>
  <c r="N1085" i="18"/>
  <c r="O1085" i="18" s="1"/>
  <c r="N1100" i="18"/>
  <c r="O1100" i="18" s="1"/>
  <c r="N1105" i="18"/>
  <c r="O1105" i="18" s="1"/>
  <c r="N1121" i="18"/>
  <c r="O1121" i="18" s="1"/>
  <c r="N1145" i="18"/>
  <c r="O1145" i="18" s="1"/>
  <c r="N1174" i="18"/>
  <c r="O1174" i="18" s="1"/>
  <c r="N1175" i="18"/>
  <c r="O1175" i="18" s="1"/>
  <c r="N1190" i="18"/>
  <c r="O1190" i="18" s="1"/>
  <c r="N1192" i="18"/>
  <c r="O1192" i="18" s="1"/>
  <c r="N1207" i="18"/>
  <c r="O1207" i="18" s="1"/>
  <c r="N1218" i="18"/>
  <c r="O1218" i="18" s="1"/>
  <c r="N1220" i="18"/>
  <c r="O1220" i="18" s="1"/>
  <c r="N1230" i="18"/>
  <c r="O1230" i="18" s="1"/>
  <c r="N1237" i="18"/>
  <c r="O1237" i="18" s="1"/>
  <c r="N1251" i="18"/>
  <c r="O1251" i="18" s="1"/>
  <c r="N1261" i="18"/>
  <c r="O1261" i="18" s="1"/>
  <c r="N1297" i="18"/>
  <c r="O1297" i="18" s="1"/>
  <c r="N1299" i="18"/>
  <c r="O1299" i="18" s="1"/>
  <c r="N1304" i="18"/>
  <c r="O1304" i="18" s="1"/>
  <c r="N1321" i="18"/>
  <c r="O1321" i="18" s="1"/>
  <c r="N1326" i="18"/>
  <c r="O1326" i="18" s="1"/>
  <c r="N1337" i="18"/>
  <c r="O1337" i="18" s="1"/>
  <c r="N1340" i="18"/>
  <c r="O1340" i="18" s="1"/>
  <c r="N1353" i="18"/>
  <c r="B1353" i="18" s="1"/>
  <c r="N1356" i="18"/>
  <c r="O1356" i="18" s="1"/>
  <c r="N1366" i="18"/>
  <c r="O1366" i="18" s="1"/>
  <c r="N1365" i="18"/>
  <c r="O1365" i="18" s="1"/>
  <c r="N1373" i="18"/>
  <c r="B1373" i="18" s="1"/>
  <c r="N8" i="18"/>
  <c r="O8" i="18" s="1"/>
  <c r="N15" i="18"/>
  <c r="O15" i="18" s="1"/>
  <c r="N17" i="18"/>
  <c r="O17" i="18" s="1"/>
  <c r="N20" i="18"/>
  <c r="O20" i="18" s="1"/>
  <c r="N21" i="18"/>
  <c r="O21" i="18" s="1"/>
  <c r="N22" i="18"/>
  <c r="O22" i="18" s="1"/>
  <c r="N24" i="18"/>
  <c r="O24" i="18" s="1"/>
  <c r="N29" i="18"/>
  <c r="O29" i="18" s="1"/>
  <c r="N40" i="18"/>
  <c r="O40" i="18" s="1"/>
  <c r="N41" i="18"/>
  <c r="O41" i="18" s="1"/>
  <c r="N48" i="18"/>
  <c r="O48" i="18" s="1"/>
  <c r="N66" i="18"/>
  <c r="O66" i="18" s="1"/>
  <c r="N68" i="18"/>
  <c r="O68" i="18" s="1"/>
  <c r="N75" i="18"/>
  <c r="O75" i="18" s="1"/>
  <c r="N76" i="18"/>
  <c r="O76" i="18" s="1"/>
  <c r="N81" i="18"/>
  <c r="O81" i="18" s="1"/>
  <c r="N88" i="18"/>
  <c r="O88" i="18" s="1"/>
  <c r="N92" i="18"/>
  <c r="O92" i="18" s="1"/>
  <c r="N155" i="18"/>
  <c r="O155" i="18" s="1"/>
  <c r="N163" i="18"/>
  <c r="O163" i="18" s="1"/>
  <c r="N197" i="18"/>
  <c r="O197" i="18" s="1"/>
  <c r="N211" i="18"/>
  <c r="O211" i="18" s="1"/>
  <c r="N212" i="18"/>
  <c r="O212" i="18" s="1"/>
  <c r="N213" i="18"/>
  <c r="O213" i="18" s="1"/>
  <c r="N216" i="18"/>
  <c r="O216" i="18" s="1"/>
  <c r="N222" i="18"/>
  <c r="O222" i="18" s="1"/>
  <c r="N227" i="18"/>
  <c r="N234" i="18"/>
  <c r="O234" i="18" s="1"/>
  <c r="N242" i="18"/>
  <c r="O242" i="18" s="1"/>
  <c r="N270" i="18"/>
  <c r="O270" i="18" s="1"/>
  <c r="N304" i="18"/>
  <c r="O304" i="18" s="1"/>
  <c r="N309" i="18"/>
  <c r="O309" i="18" s="1"/>
  <c r="N314" i="18"/>
  <c r="O314" i="18" s="1"/>
  <c r="N315" i="18"/>
  <c r="O315" i="18" s="1"/>
  <c r="N317" i="18"/>
  <c r="O317" i="18" s="1"/>
  <c r="N332" i="18"/>
  <c r="O332" i="18" s="1"/>
  <c r="N345" i="18"/>
  <c r="O345" i="18" s="1"/>
  <c r="N357" i="18"/>
  <c r="O357" i="18" s="1"/>
  <c r="N384" i="18"/>
  <c r="O384" i="18" s="1"/>
  <c r="N393" i="18"/>
  <c r="O393" i="18" s="1"/>
  <c r="N404" i="18"/>
  <c r="O404" i="18" s="1"/>
  <c r="N410" i="18"/>
  <c r="N417" i="18"/>
  <c r="O417" i="18" s="1"/>
  <c r="N442" i="18"/>
  <c r="N463" i="18"/>
  <c r="O463" i="18" s="1"/>
  <c r="N476" i="18"/>
  <c r="O476" i="18" s="1"/>
  <c r="N524" i="18"/>
  <c r="O524" i="18" s="1"/>
  <c r="N533" i="18"/>
  <c r="O533" i="18" s="1"/>
  <c r="N539" i="18"/>
  <c r="O539" i="18" s="1"/>
  <c r="N558" i="18"/>
  <c r="O558" i="18" s="1"/>
  <c r="N563" i="18"/>
  <c r="O563" i="18" s="1"/>
  <c r="N637" i="18"/>
  <c r="O637" i="18" s="1"/>
  <c r="N643" i="18"/>
  <c r="N650" i="18"/>
  <c r="O650" i="18" s="1"/>
  <c r="N683" i="18"/>
  <c r="O683" i="18" s="1"/>
  <c r="N693" i="18"/>
  <c r="O693" i="18" s="1"/>
  <c r="N747" i="18"/>
  <c r="O747" i="18" s="1"/>
  <c r="N764" i="18"/>
  <c r="O764" i="18" s="1"/>
  <c r="N770" i="18"/>
  <c r="O770" i="18" s="1"/>
  <c r="N777" i="18"/>
  <c r="O777" i="18" s="1"/>
  <c r="N780" i="18"/>
  <c r="O780" i="18" s="1"/>
  <c r="N785" i="18"/>
  <c r="B785" i="18" s="1"/>
  <c r="N792" i="18"/>
  <c r="O792" i="18" s="1"/>
  <c r="N795" i="18"/>
  <c r="O795" i="18" s="1"/>
  <c r="N819" i="18"/>
  <c r="O819" i="18" s="1"/>
  <c r="N830" i="18"/>
  <c r="O830" i="18" s="1"/>
  <c r="N842" i="18"/>
  <c r="O842" i="18" s="1"/>
  <c r="N843" i="18"/>
  <c r="O843" i="18" s="1"/>
  <c r="N846" i="18"/>
  <c r="O846" i="18" s="1"/>
  <c r="N891" i="18"/>
  <c r="N931" i="18"/>
  <c r="O931" i="18" s="1"/>
  <c r="N957" i="18"/>
  <c r="O957" i="18" s="1"/>
  <c r="N958" i="18"/>
  <c r="O958" i="18" s="1"/>
  <c r="N972" i="18"/>
  <c r="O972" i="18" s="1"/>
  <c r="N1017" i="18"/>
  <c r="O1017" i="18" s="1"/>
  <c r="N1018" i="18"/>
  <c r="O1018" i="18" s="1"/>
  <c r="N1020" i="18"/>
  <c r="O1020" i="18" s="1"/>
  <c r="N1023" i="18"/>
  <c r="O1023" i="18" s="1"/>
  <c r="N1070" i="18"/>
  <c r="O1070" i="18" s="1"/>
  <c r="N1077" i="18"/>
  <c r="O1077" i="18" s="1"/>
  <c r="N1108" i="18"/>
  <c r="O1108" i="18" s="1"/>
  <c r="N1110" i="18"/>
  <c r="O1110" i="18" s="1"/>
  <c r="N1123" i="18"/>
  <c r="O1123" i="18" s="1"/>
  <c r="N1131" i="18"/>
  <c r="N1150" i="18"/>
  <c r="O1150" i="18" s="1"/>
  <c r="N1160" i="18"/>
  <c r="O1160" i="18" s="1"/>
  <c r="N1164" i="18"/>
  <c r="O1164" i="18" s="1"/>
  <c r="N1173" i="18"/>
  <c r="O1173" i="18" s="1"/>
  <c r="N1177" i="18"/>
  <c r="B1177" i="18" s="1"/>
  <c r="N1182" i="18"/>
  <c r="O1182" i="18" s="1"/>
  <c r="N1193" i="18"/>
  <c r="O1193" i="18" s="1"/>
  <c r="N1231" i="18"/>
  <c r="O1231" i="18" s="1"/>
  <c r="N1233" i="18"/>
  <c r="O1233" i="18" s="1"/>
  <c r="N1298" i="18"/>
  <c r="O1298" i="18" s="1"/>
  <c r="N1327" i="18"/>
  <c r="O1327" i="18" s="1"/>
  <c r="N1334" i="18"/>
  <c r="O1334" i="18" s="1"/>
  <c r="N1335" i="18"/>
  <c r="O1335" i="18" s="1"/>
  <c r="N1336" i="18"/>
  <c r="O1336" i="18" s="1"/>
  <c r="N1362" i="18"/>
  <c r="O1362" i="18" s="1"/>
  <c r="N1364" i="18"/>
  <c r="O1364" i="18" s="1"/>
  <c r="N1368" i="18"/>
  <c r="O1368" i="18" s="1"/>
  <c r="N1369" i="18"/>
  <c r="O1369" i="18" s="1"/>
  <c r="N94" i="18"/>
  <c r="O94" i="18" s="1"/>
  <c r="N141" i="18"/>
  <c r="O141" i="18" s="1"/>
  <c r="N157" i="18"/>
  <c r="O157" i="18" s="1"/>
  <c r="N280" i="18"/>
  <c r="O280" i="18" s="1"/>
  <c r="N282" i="18"/>
  <c r="O282" i="18" s="1"/>
  <c r="N299" i="18"/>
  <c r="O299" i="18" s="1"/>
  <c r="N426" i="18"/>
  <c r="O426" i="18" s="1"/>
  <c r="N428" i="18"/>
  <c r="O428" i="18" s="1"/>
  <c r="N429" i="18"/>
  <c r="O429" i="18" s="1"/>
  <c r="N447" i="18"/>
  <c r="O447" i="18" s="1"/>
  <c r="N687" i="18"/>
  <c r="O687" i="18" s="1"/>
  <c r="N690" i="18"/>
  <c r="O690" i="18" s="1"/>
  <c r="N697" i="18"/>
  <c r="O697" i="18" s="1"/>
  <c r="N698" i="18"/>
  <c r="O698" i="18" s="1"/>
  <c r="N701" i="18"/>
  <c r="O701" i="18" s="1"/>
  <c r="N707" i="18"/>
  <c r="O707" i="18" s="1"/>
  <c r="N712" i="18"/>
  <c r="O712" i="18" s="1"/>
  <c r="N713" i="18"/>
  <c r="O713" i="18" s="1"/>
  <c r="N715" i="18"/>
  <c r="N716" i="18"/>
  <c r="N723" i="18"/>
  <c r="N727" i="18"/>
  <c r="O727" i="18" s="1"/>
  <c r="N730" i="18"/>
  <c r="O730" i="18" s="1"/>
  <c r="N731" i="18"/>
  <c r="O731" i="18" s="1"/>
  <c r="N735" i="18"/>
  <c r="N739" i="18"/>
  <c r="O739" i="18" s="1"/>
  <c r="N759" i="18"/>
  <c r="O759" i="18" s="1"/>
  <c r="N857" i="18"/>
  <c r="O857" i="18" s="1"/>
  <c r="N1117" i="18"/>
  <c r="O1117" i="18" s="1"/>
  <c r="N1148" i="18"/>
  <c r="O1148" i="18" s="1"/>
  <c r="N1199" i="18"/>
  <c r="O1199" i="18" s="1"/>
  <c r="N1200" i="18"/>
  <c r="O1200" i="18" s="1"/>
  <c r="N1246" i="18"/>
  <c r="O1246" i="18" s="1"/>
  <c r="N1268" i="18"/>
  <c r="O1268" i="18" s="1"/>
  <c r="N1306" i="18"/>
  <c r="O1306" i="18" s="1"/>
  <c r="N11" i="18"/>
  <c r="O11" i="18" s="1"/>
  <c r="N69" i="18"/>
  <c r="O69" i="18" s="1"/>
  <c r="N106" i="18"/>
  <c r="O106" i="18" s="1"/>
  <c r="N125" i="18"/>
  <c r="O125" i="18" s="1"/>
  <c r="N149" i="18"/>
  <c r="O149" i="18" s="1"/>
  <c r="N156" i="18"/>
  <c r="O156" i="18" s="1"/>
  <c r="N186" i="18"/>
  <c r="O186" i="18" s="1"/>
  <c r="N209" i="18"/>
  <c r="O209" i="18" s="1"/>
  <c r="N248" i="18"/>
  <c r="N251" i="18"/>
  <c r="O251" i="18" s="1"/>
  <c r="N268" i="18"/>
  <c r="O268" i="18" s="1"/>
  <c r="N272" i="18"/>
  <c r="O272" i="18" s="1"/>
  <c r="N273" i="18"/>
  <c r="O273" i="18" s="1"/>
  <c r="N274" i="18"/>
  <c r="O274" i="18" s="1"/>
  <c r="N311" i="18"/>
  <c r="O311" i="18" s="1"/>
  <c r="N324" i="18"/>
  <c r="O324" i="18" s="1"/>
  <c r="N343" i="18"/>
  <c r="O343" i="18" s="1"/>
  <c r="N366" i="18"/>
  <c r="O366" i="18" s="1"/>
  <c r="N371" i="18"/>
  <c r="O371" i="18" s="1"/>
  <c r="N390" i="18"/>
  <c r="O390" i="18" s="1"/>
  <c r="N399" i="18"/>
  <c r="O399" i="18" s="1"/>
  <c r="N402" i="18"/>
  <c r="O402" i="18" s="1"/>
  <c r="N455" i="18"/>
  <c r="O455" i="18" s="1"/>
  <c r="N461" i="18"/>
  <c r="N466" i="18"/>
  <c r="O466" i="18" s="1"/>
  <c r="N502" i="18"/>
  <c r="N541" i="18"/>
  <c r="O541" i="18" s="1"/>
  <c r="N552" i="18"/>
  <c r="O552" i="18" s="1"/>
  <c r="N553" i="18"/>
  <c r="O553" i="18" s="1"/>
  <c r="N561" i="18"/>
  <c r="O561" i="18" s="1"/>
  <c r="N578" i="18"/>
  <c r="O578" i="18" s="1"/>
  <c r="N589" i="18"/>
  <c r="N595" i="18"/>
  <c r="N611" i="18"/>
  <c r="O611" i="18" s="1"/>
  <c r="N620" i="18"/>
  <c r="O620" i="18" s="1"/>
  <c r="N634" i="18"/>
  <c r="O634" i="18" s="1"/>
  <c r="N673" i="18"/>
  <c r="O673" i="18" s="1"/>
  <c r="N748" i="18"/>
  <c r="O748" i="18" s="1"/>
  <c r="N762" i="18"/>
  <c r="O762" i="18" s="1"/>
  <c r="N773" i="18"/>
  <c r="O773" i="18" s="1"/>
  <c r="N788" i="18"/>
  <c r="O788" i="18" s="1"/>
  <c r="N798" i="18"/>
  <c r="O798" i="18" s="1"/>
  <c r="N822" i="18"/>
  <c r="O822" i="18" s="1"/>
  <c r="N834" i="18"/>
  <c r="O834" i="18" s="1"/>
  <c r="N844" i="18"/>
  <c r="O844" i="18" s="1"/>
  <c r="N849" i="18"/>
  <c r="O849" i="18" s="1"/>
  <c r="N863" i="18"/>
  <c r="O863" i="18" s="1"/>
  <c r="N878" i="18"/>
  <c r="N937" i="18"/>
  <c r="O937" i="18" s="1"/>
  <c r="N953" i="18"/>
  <c r="O953" i="18" s="1"/>
  <c r="N962" i="18"/>
  <c r="O962" i="18" s="1"/>
  <c r="N973" i="18"/>
  <c r="O973" i="18" s="1"/>
  <c r="N988" i="18"/>
  <c r="O988" i="18" s="1"/>
  <c r="N1027" i="18"/>
  <c r="O1027" i="18" s="1"/>
  <c r="N1032" i="18"/>
  <c r="O1032" i="18" s="1"/>
  <c r="N1050" i="18"/>
  <c r="O1050" i="18" s="1"/>
  <c r="N1127" i="18"/>
  <c r="O1127" i="18" s="1"/>
  <c r="N1129" i="18"/>
  <c r="B1129" i="18" s="1"/>
  <c r="N1135" i="18"/>
  <c r="O1135" i="18" s="1"/>
  <c r="N1166" i="18"/>
  <c r="O1166" i="18" s="1"/>
  <c r="N1171" i="18"/>
  <c r="O1171" i="18" s="1"/>
  <c r="N1191" i="18"/>
  <c r="O1191" i="18" s="1"/>
  <c r="N1201" i="18"/>
  <c r="O1201" i="18" s="1"/>
  <c r="N1221" i="18"/>
  <c r="O1221" i="18" s="1"/>
  <c r="N1224" i="18"/>
  <c r="N1234" i="18"/>
  <c r="O1234" i="18" s="1"/>
  <c r="N1235" i="18"/>
  <c r="O1235" i="18" s="1"/>
  <c r="N1236" i="18"/>
  <c r="O1236" i="18" s="1"/>
  <c r="N1245" i="18"/>
  <c r="O1245" i="18" s="1"/>
  <c r="N1265" i="18"/>
  <c r="O1265" i="18" s="1"/>
  <c r="N1290" i="18"/>
  <c r="B1290" i="18" s="1"/>
  <c r="N1293" i="18"/>
  <c r="O1293" i="18" s="1"/>
  <c r="N1314" i="18"/>
  <c r="O1314" i="18" s="1"/>
  <c r="N1328" i="18"/>
  <c r="O1328" i="18" s="1"/>
  <c r="N26" i="18"/>
  <c r="O26" i="18" s="1"/>
  <c r="N47" i="18"/>
  <c r="O47" i="18" s="1"/>
  <c r="N57" i="18"/>
  <c r="O57" i="18" s="1"/>
  <c r="N74" i="18"/>
  <c r="O74" i="18" s="1"/>
  <c r="N93" i="18"/>
  <c r="O93" i="18" s="1"/>
  <c r="N108" i="18"/>
  <c r="O108" i="18" s="1"/>
  <c r="N109" i="18"/>
  <c r="O109" i="18" s="1"/>
  <c r="N121" i="18"/>
  <c r="O121" i="18" s="1"/>
  <c r="N123" i="18"/>
  <c r="O123" i="18" s="1"/>
  <c r="N129" i="18"/>
  <c r="O129" i="18" s="1"/>
  <c r="N131" i="18"/>
  <c r="N169" i="18"/>
  <c r="O169" i="18" s="1"/>
  <c r="N175" i="18"/>
  <c r="O175" i="18" s="1"/>
  <c r="N180" i="18"/>
  <c r="N190" i="18"/>
  <c r="N191" i="18"/>
  <c r="O191" i="18" s="1"/>
  <c r="N223" i="18"/>
  <c r="O223" i="18" s="1"/>
  <c r="N233" i="18"/>
  <c r="O233" i="18" s="1"/>
  <c r="N249" i="18"/>
  <c r="N278" i="18"/>
  <c r="N279" i="18"/>
  <c r="O279" i="18" s="1"/>
  <c r="N313" i="18"/>
  <c r="O313" i="18" s="1"/>
  <c r="N320" i="18"/>
  <c r="O320" i="18" s="1"/>
  <c r="N325" i="18"/>
  <c r="O325" i="18" s="1"/>
  <c r="N331" i="18"/>
  <c r="O331" i="18" s="1"/>
  <c r="N348" i="18"/>
  <c r="O348" i="18" s="1"/>
  <c r="N358" i="18"/>
  <c r="O358" i="18" s="1"/>
  <c r="N361" i="18"/>
  <c r="O361" i="18" s="1"/>
  <c r="N369" i="18"/>
  <c r="O369" i="18" s="1"/>
  <c r="N375" i="18"/>
  <c r="O375" i="18" s="1"/>
  <c r="N376" i="18"/>
  <c r="O376" i="18" s="1"/>
  <c r="N391" i="18"/>
  <c r="O391" i="18" s="1"/>
  <c r="N397" i="18"/>
  <c r="O397" i="18" s="1"/>
  <c r="N400" i="18"/>
  <c r="O400" i="18" s="1"/>
  <c r="N413" i="18"/>
  <c r="O413" i="18" s="1"/>
  <c r="N423" i="18"/>
  <c r="O423" i="18" s="1"/>
  <c r="N446" i="18"/>
  <c r="O446" i="18" s="1"/>
  <c r="N454" i="18"/>
  <c r="N464" i="18"/>
  <c r="O464" i="18" s="1"/>
  <c r="N487" i="18"/>
  <c r="O487" i="18" s="1"/>
  <c r="N506" i="18"/>
  <c r="O506" i="18" s="1"/>
  <c r="N518" i="18"/>
  <c r="O518" i="18" s="1"/>
  <c r="N519" i="18"/>
  <c r="O519" i="18" s="1"/>
  <c r="N526" i="18"/>
  <c r="O526" i="18" s="1"/>
  <c r="N527" i="18"/>
  <c r="O527" i="18" s="1"/>
  <c r="N529" i="18"/>
  <c r="O529" i="18" s="1"/>
  <c r="N547" i="18"/>
  <c r="O547" i="18" s="1"/>
  <c r="N551" i="18"/>
  <c r="O551" i="18" s="1"/>
  <c r="N568" i="18"/>
  <c r="O568" i="18" s="1"/>
  <c r="N569" i="18"/>
  <c r="O569" i="18" s="1"/>
  <c r="N576" i="18"/>
  <c r="O576" i="18" s="1"/>
  <c r="N579" i="18"/>
  <c r="O579" i="18" s="1"/>
  <c r="N590" i="18"/>
  <c r="N592" i="18"/>
  <c r="O592" i="18" s="1"/>
  <c r="N598" i="18"/>
  <c r="O598" i="18" s="1"/>
  <c r="N607" i="18"/>
  <c r="O607" i="18" s="1"/>
  <c r="N617" i="18"/>
  <c r="O617" i="18" s="1"/>
  <c r="N622" i="18"/>
  <c r="O622" i="18" s="1"/>
  <c r="N626" i="18"/>
  <c r="O626" i="18" s="1"/>
  <c r="N629" i="18"/>
  <c r="O629" i="18" s="1"/>
  <c r="N631" i="18"/>
  <c r="O631" i="18" s="1"/>
  <c r="N649" i="18"/>
  <c r="O649" i="18" s="1"/>
  <c r="N654" i="18"/>
  <c r="O654" i="18" s="1"/>
  <c r="N658" i="18"/>
  <c r="O658" i="18" s="1"/>
  <c r="N678" i="18"/>
  <c r="O678" i="18" s="1"/>
  <c r="N680" i="18"/>
  <c r="O680" i="18" s="1"/>
  <c r="N681" i="18"/>
  <c r="O681" i="18" s="1"/>
  <c r="N696" i="18"/>
  <c r="O696" i="18" s="1"/>
  <c r="N741" i="18"/>
  <c r="O741" i="18" s="1"/>
  <c r="N742" i="18"/>
  <c r="O742" i="18" s="1"/>
  <c r="N758" i="18"/>
  <c r="O758" i="18" s="1"/>
  <c r="N766" i="18"/>
  <c r="O766" i="18" s="1"/>
  <c r="N769" i="18"/>
  <c r="O769" i="18" s="1"/>
  <c r="N771" i="18"/>
  <c r="O771" i="18" s="1"/>
  <c r="N776" i="18"/>
  <c r="O776" i="18" s="1"/>
  <c r="N799" i="18"/>
  <c r="O799" i="18" s="1"/>
  <c r="N805" i="18"/>
  <c r="B805" i="18" s="1"/>
  <c r="N808" i="18"/>
  <c r="O808" i="18" s="1"/>
  <c r="N816" i="18"/>
  <c r="O816" i="18" s="1"/>
  <c r="N839" i="18"/>
  <c r="O839" i="18" s="1"/>
  <c r="N845" i="18"/>
  <c r="O845" i="18" s="1"/>
  <c r="N848" i="18"/>
  <c r="O848" i="18" s="1"/>
  <c r="N851" i="18"/>
  <c r="O851" i="18" s="1"/>
  <c r="N866" i="18"/>
  <c r="O866" i="18" s="1"/>
  <c r="N874" i="18"/>
  <c r="O874" i="18" s="1"/>
  <c r="N880" i="18"/>
  <c r="O880" i="18" s="1"/>
  <c r="N908" i="18"/>
  <c r="O908" i="18" s="1"/>
  <c r="N911" i="18"/>
  <c r="O911" i="18" s="1"/>
  <c r="N917" i="18"/>
  <c r="O917" i="18" s="1"/>
  <c r="N925" i="18"/>
  <c r="O925" i="18" s="1"/>
  <c r="N947" i="18"/>
  <c r="O947" i="18" s="1"/>
  <c r="N948" i="18"/>
  <c r="O948" i="18" s="1"/>
  <c r="N949" i="18"/>
  <c r="O949" i="18" s="1"/>
  <c r="N950" i="18"/>
  <c r="O950" i="18" s="1"/>
  <c r="N961" i="18"/>
  <c r="O961" i="18" s="1"/>
  <c r="N964" i="18"/>
  <c r="O964" i="18" s="1"/>
  <c r="N967" i="18"/>
  <c r="O967" i="18" s="1"/>
  <c r="N969" i="18"/>
  <c r="O969" i="18" s="1"/>
  <c r="N983" i="18"/>
  <c r="O983" i="18" s="1"/>
  <c r="N984" i="18"/>
  <c r="O984" i="18" s="1"/>
  <c r="N985" i="18"/>
  <c r="O985" i="18" s="1"/>
  <c r="N993" i="18"/>
  <c r="O993" i="18" s="1"/>
  <c r="N999" i="18"/>
  <c r="N1005" i="18"/>
  <c r="O1005" i="18" s="1"/>
  <c r="N1009" i="18"/>
  <c r="O1009" i="18" s="1"/>
  <c r="N1010" i="18"/>
  <c r="O1010" i="18" s="1"/>
  <c r="N1015" i="18"/>
  <c r="N1021" i="18"/>
  <c r="O1021" i="18" s="1"/>
  <c r="N1036" i="18"/>
  <c r="O1036" i="18" s="1"/>
  <c r="N1055" i="18"/>
  <c r="O1055" i="18" s="1"/>
  <c r="N1079" i="18"/>
  <c r="O1079" i="18" s="1"/>
  <c r="N1086" i="18"/>
  <c r="O1086" i="18" s="1"/>
  <c r="N1089" i="18"/>
  <c r="O1089" i="18" s="1"/>
  <c r="N1091" i="18"/>
  <c r="O1091" i="18" s="1"/>
  <c r="N1107" i="18"/>
  <c r="O1107" i="18" s="1"/>
  <c r="N1116" i="18"/>
  <c r="O1116" i="18" s="1"/>
  <c r="N1124" i="18"/>
  <c r="O1124" i="18" s="1"/>
  <c r="N1126" i="18"/>
  <c r="O1126" i="18" s="1"/>
  <c r="N1132" i="18"/>
  <c r="O1132" i="18" s="1"/>
  <c r="N1139" i="18"/>
  <c r="O1139" i="18" s="1"/>
  <c r="N1152" i="18"/>
  <c r="O1152" i="18" s="1"/>
  <c r="N1161" i="18"/>
  <c r="O1161" i="18" s="1"/>
  <c r="N1165" i="18"/>
  <c r="O1165" i="18" s="1"/>
  <c r="N1181" i="18"/>
  <c r="B1181" i="18" s="1"/>
  <c r="N1185" i="18"/>
  <c r="O1185" i="18" s="1"/>
  <c r="N1195" i="18"/>
  <c r="O1195" i="18" s="1"/>
  <c r="N1238" i="18"/>
  <c r="O1238" i="18" s="1"/>
  <c r="N1240" i="18"/>
  <c r="O1240" i="18" s="1"/>
  <c r="N1242" i="18"/>
  <c r="O1242" i="18" s="1"/>
  <c r="N1248" i="18"/>
  <c r="O1248" i="18" s="1"/>
  <c r="N1252" i="18"/>
  <c r="O1252" i="18" s="1"/>
  <c r="N1255" i="18"/>
  <c r="O1255" i="18" s="1"/>
  <c r="N1279" i="18"/>
  <c r="O1279" i="18" s="1"/>
  <c r="N1294" i="18"/>
  <c r="O1294" i="18" s="1"/>
  <c r="N1295" i="18"/>
  <c r="O1295" i="18" s="1"/>
  <c r="N1301" i="18"/>
  <c r="O1301" i="18" s="1"/>
  <c r="N1313" i="18"/>
  <c r="O1313" i="18" s="1"/>
  <c r="N1322" i="18"/>
  <c r="O1322" i="18" s="1"/>
  <c r="N1341" i="18"/>
  <c r="O1341" i="18" s="1"/>
  <c r="N1345" i="18"/>
  <c r="B1345" i="18" s="1"/>
  <c r="N1349" i="18"/>
  <c r="O1349" i="18" s="1"/>
  <c r="N1357" i="18"/>
  <c r="O1357" i="18" s="1"/>
  <c r="N1360" i="18"/>
  <c r="O1360" i="18" s="1"/>
  <c r="M28" i="18"/>
  <c r="M53" i="18"/>
  <c r="M73" i="18"/>
  <c r="M82" i="18"/>
  <c r="M87" i="18"/>
  <c r="M173" i="18"/>
  <c r="M205" i="18"/>
  <c r="M207" i="18"/>
  <c r="M283" i="18"/>
  <c r="M293" i="18"/>
  <c r="M307" i="18"/>
  <c r="M326" i="18"/>
  <c r="M328" i="18"/>
  <c r="M339" i="18"/>
  <c r="M340" i="18"/>
  <c r="M344" i="18"/>
  <c r="M354" i="18"/>
  <c r="M406" i="18"/>
  <c r="M408" i="18"/>
  <c r="M434" i="18"/>
  <c r="M451" i="18"/>
  <c r="M456" i="18"/>
  <c r="M479" i="18"/>
  <c r="M481" i="18"/>
  <c r="M496" i="18"/>
  <c r="M497" i="18"/>
  <c r="M510" i="18"/>
  <c r="M577" i="18"/>
  <c r="M591" i="18"/>
  <c r="M601" i="18"/>
  <c r="M610" i="18"/>
  <c r="M656" i="18"/>
  <c r="M664" i="18"/>
  <c r="M668" i="18"/>
  <c r="M685" i="18"/>
  <c r="M721" i="18"/>
  <c r="M729" i="18"/>
  <c r="M749" i="18"/>
  <c r="M765" i="18"/>
  <c r="M768" i="18"/>
  <c r="M833" i="18"/>
  <c r="M850" i="18"/>
  <c r="M856" i="18"/>
  <c r="M881" i="18"/>
  <c r="M886" i="18"/>
  <c r="M889" i="18"/>
  <c r="M960" i="18"/>
  <c r="M966" i="18"/>
  <c r="M996" i="18"/>
  <c r="M1012" i="18"/>
  <c r="M1022" i="18"/>
  <c r="M1039" i="18"/>
  <c r="M1051" i="18"/>
  <c r="M1052" i="18"/>
  <c r="M1053" i="18"/>
  <c r="M1057" i="18"/>
  <c r="M1064" i="18"/>
  <c r="M1066" i="18"/>
  <c r="M1073" i="18"/>
  <c r="M1081" i="18"/>
  <c r="M1090" i="18"/>
  <c r="M1114" i="18"/>
  <c r="M1168" i="18"/>
  <c r="M1176" i="18"/>
  <c r="M1203" i="18"/>
  <c r="M1229" i="18"/>
  <c r="M1243" i="18"/>
  <c r="M1273" i="18"/>
  <c r="M1291" i="18"/>
  <c r="M1330" i="18"/>
  <c r="M1343" i="18"/>
  <c r="M1367" i="18"/>
  <c r="M6" i="18"/>
  <c r="M13" i="18"/>
  <c r="M14" i="18"/>
  <c r="M30" i="18"/>
  <c r="M37" i="18"/>
  <c r="M79" i="18"/>
  <c r="M96" i="18"/>
  <c r="M98" i="18"/>
  <c r="M104" i="18"/>
  <c r="M139" i="18"/>
  <c r="M143" i="18"/>
  <c r="M147" i="18"/>
  <c r="M158" i="18"/>
  <c r="M194" i="18"/>
  <c r="M214" i="18"/>
  <c r="M217" i="18"/>
  <c r="M220" i="18"/>
  <c r="M224" i="18"/>
  <c r="M236" i="18"/>
  <c r="M237" i="18"/>
  <c r="M241" i="18"/>
  <c r="M244" i="18"/>
  <c r="M256" i="18"/>
  <c r="M275" i="18"/>
  <c r="M277" i="18"/>
  <c r="M289" i="18"/>
  <c r="M297" i="18"/>
  <c r="M298" i="18"/>
  <c r="M303" i="18"/>
  <c r="M310" i="18"/>
  <c r="M329" i="18"/>
  <c r="M336" i="18"/>
  <c r="M350" i="18"/>
  <c r="M360" i="18"/>
  <c r="M367" i="18"/>
  <c r="M388" i="18"/>
  <c r="M394" i="18"/>
  <c r="M395" i="18"/>
  <c r="M416" i="18"/>
  <c r="M444" i="18"/>
  <c r="M469" i="18"/>
  <c r="M482" i="18"/>
  <c r="M505" i="18"/>
  <c r="M525" i="18"/>
  <c r="M528" i="18"/>
  <c r="M564" i="18"/>
  <c r="M574" i="18"/>
  <c r="M581" i="18"/>
  <c r="M604" i="18"/>
  <c r="M609" i="18"/>
  <c r="M627" i="18"/>
  <c r="M644" i="18"/>
  <c r="M676" i="18"/>
  <c r="M699" i="18"/>
  <c r="M755" i="18"/>
  <c r="M820" i="18"/>
  <c r="M840" i="18"/>
  <c r="M860" i="18"/>
  <c r="M873" i="18"/>
  <c r="M892" i="18"/>
  <c r="M897" i="18"/>
  <c r="M903" i="18"/>
  <c r="M905" i="18"/>
  <c r="M928" i="18"/>
  <c r="M941" i="18"/>
  <c r="M944" i="18"/>
  <c r="M946" i="18"/>
  <c r="M968" i="18"/>
  <c r="M997" i="18"/>
  <c r="M1008" i="18"/>
  <c r="M1019" i="18"/>
  <c r="M1024" i="18"/>
  <c r="M1042" i="18"/>
  <c r="M1043" i="18"/>
  <c r="M1044" i="18"/>
  <c r="M1046" i="18"/>
  <c r="M1054" i="18"/>
  <c r="M1056" i="18"/>
  <c r="M1068" i="18"/>
  <c r="M1087" i="18"/>
  <c r="M1093" i="18"/>
  <c r="M1101" i="18"/>
  <c r="M1159" i="18"/>
  <c r="M1169" i="18"/>
  <c r="M1178" i="18"/>
  <c r="M1183" i="18"/>
  <c r="M1198" i="18"/>
  <c r="M1215" i="18"/>
  <c r="M1225" i="18"/>
  <c r="M1253" i="18"/>
  <c r="M1254" i="18"/>
  <c r="M1266" i="18"/>
  <c r="M1278" i="18"/>
  <c r="M1286" i="18"/>
  <c r="M1292" i="18"/>
  <c r="M1303" i="18"/>
  <c r="M1320" i="18"/>
  <c r="M1342" i="18"/>
  <c r="M1344" i="18"/>
  <c r="M1354" i="18"/>
  <c r="M1377" i="18"/>
  <c r="M1378" i="18"/>
  <c r="M1380" i="18"/>
  <c r="M32" i="18"/>
  <c r="M56" i="18"/>
  <c r="M60" i="18"/>
  <c r="M70" i="18"/>
  <c r="M84" i="18"/>
  <c r="M85" i="18"/>
  <c r="M86" i="18"/>
  <c r="M90" i="18"/>
  <c r="M95" i="18"/>
  <c r="M99" i="18"/>
  <c r="M101" i="18"/>
  <c r="M102" i="18"/>
  <c r="M112" i="18"/>
  <c r="M113" i="18"/>
  <c r="M135" i="18"/>
  <c r="M154" i="18"/>
  <c r="M185" i="18"/>
  <c r="M199" i="18"/>
  <c r="M201" i="18"/>
  <c r="M203" i="18"/>
  <c r="M226" i="18"/>
  <c r="M259" i="18"/>
  <c r="M260" i="18"/>
  <c r="M266" i="18"/>
  <c r="M288" i="18"/>
  <c r="M290" i="18"/>
  <c r="M300" i="18"/>
  <c r="M322" i="18"/>
  <c r="M327" i="18"/>
  <c r="M352" i="18"/>
  <c r="M364" i="18"/>
  <c r="M387" i="18"/>
  <c r="M409" i="18"/>
  <c r="M421" i="18"/>
  <c r="M433" i="18"/>
  <c r="M440" i="18"/>
  <c r="M470" i="18"/>
  <c r="M472" i="18"/>
  <c r="M509" i="18"/>
  <c r="M515" i="18"/>
  <c r="M521" i="18"/>
  <c r="M536" i="18"/>
  <c r="M542" i="18"/>
  <c r="M556" i="18"/>
  <c r="M559" i="18"/>
  <c r="M582" i="18"/>
  <c r="M583" i="18"/>
  <c r="M584" i="18"/>
  <c r="M593" i="18"/>
  <c r="M614" i="18"/>
  <c r="M636" i="18"/>
  <c r="M638" i="18"/>
  <c r="M672" i="18"/>
  <c r="M743" i="18"/>
  <c r="M744" i="18"/>
  <c r="M745" i="18"/>
  <c r="M746" i="18"/>
  <c r="M752" i="18"/>
  <c r="M754" i="18"/>
  <c r="M757" i="18"/>
  <c r="M779" i="18"/>
  <c r="M790" i="18"/>
  <c r="M801" i="18"/>
  <c r="M802" i="18"/>
  <c r="M803" i="18"/>
  <c r="M812" i="18"/>
  <c r="M831" i="18"/>
  <c r="M836" i="18"/>
  <c r="M855" i="18"/>
  <c r="M864" i="18"/>
  <c r="M865" i="18"/>
  <c r="M875" i="18"/>
  <c r="M909" i="18"/>
  <c r="M915" i="18"/>
  <c r="M918" i="18"/>
  <c r="M926" i="18"/>
  <c r="M929" i="18"/>
  <c r="M954" i="18"/>
  <c r="M965" i="18"/>
  <c r="M970" i="18"/>
  <c r="M978" i="18"/>
  <c r="M990" i="18"/>
  <c r="M992" i="18"/>
  <c r="M994" i="18"/>
  <c r="M1000" i="18"/>
  <c r="M1037" i="18"/>
  <c r="M1049" i="18"/>
  <c r="M1061" i="18"/>
  <c r="M1065" i="18"/>
  <c r="M1067" i="18"/>
  <c r="M1097" i="18"/>
  <c r="M1106" i="18"/>
  <c r="M1109" i="18"/>
  <c r="M1113" i="18"/>
  <c r="M1118" i="18"/>
  <c r="M1137" i="18"/>
  <c r="M1142" i="18"/>
  <c r="M1179" i="18"/>
  <c r="M1186" i="18"/>
  <c r="M1196" i="18"/>
  <c r="M1204" i="18"/>
  <c r="M1208" i="18"/>
  <c r="M1219" i="18"/>
  <c r="M1222" i="18"/>
  <c r="M1262" i="18"/>
  <c r="M1264" i="18"/>
  <c r="M1276" i="18"/>
  <c r="M1280" i="18"/>
  <c r="M1289" i="18"/>
  <c r="M1305" i="18"/>
  <c r="M1309" i="18"/>
  <c r="M1359" i="18"/>
  <c r="M1361" i="18"/>
  <c r="M1374" i="18"/>
  <c r="M1375" i="18"/>
  <c r="M119" i="18"/>
  <c r="M136" i="18"/>
  <c r="M253" i="18"/>
  <c r="M341" i="18"/>
  <c r="M373" i="18"/>
  <c r="M379" i="18"/>
  <c r="M381" i="18"/>
  <c r="M392" i="18"/>
  <c r="M407" i="18"/>
  <c r="M427" i="18"/>
  <c r="M450" i="18"/>
  <c r="M452" i="18"/>
  <c r="M474" i="18"/>
  <c r="M571" i="18"/>
  <c r="M659" i="18"/>
  <c r="M660" i="18"/>
  <c r="M667" i="18"/>
  <c r="M670" i="18"/>
  <c r="M700" i="18"/>
  <c r="M702" i="18"/>
  <c r="M717" i="18"/>
  <c r="M719" i="18"/>
  <c r="M733" i="18"/>
  <c r="M734" i="18"/>
  <c r="M738" i="18"/>
  <c r="M772" i="18"/>
  <c r="M778" i="18"/>
  <c r="M810" i="18"/>
  <c r="M811" i="18"/>
  <c r="M838" i="18"/>
  <c r="M841" i="18"/>
  <c r="M879" i="18"/>
  <c r="M906" i="18"/>
  <c r="M982" i="18"/>
  <c r="M998" i="18"/>
  <c r="M1025" i="18"/>
  <c r="M1058" i="18"/>
  <c r="M1060" i="18"/>
  <c r="M1084" i="18"/>
  <c r="M1125" i="18"/>
  <c r="M1153" i="18"/>
  <c r="M1157" i="18"/>
  <c r="M1197" i="18"/>
  <c r="M1211" i="18"/>
  <c r="M1288" i="18"/>
  <c r="M1316" i="18"/>
  <c r="M1319" i="18"/>
  <c r="M1323" i="18"/>
  <c r="M1325" i="18"/>
  <c r="M1339" i="18"/>
  <c r="M1352" i="18"/>
  <c r="M23" i="18"/>
  <c r="M27" i="18"/>
  <c r="M59" i="18"/>
  <c r="M77" i="18"/>
  <c r="M231" i="18"/>
  <c r="M261" i="18"/>
  <c r="M287" i="18"/>
  <c r="M380" i="18"/>
  <c r="M398" i="18"/>
  <c r="M436" i="18"/>
  <c r="M478" i="18"/>
  <c r="M621" i="18"/>
  <c r="M809" i="18"/>
  <c r="M821" i="18"/>
  <c r="M895" i="18"/>
  <c r="M919" i="18"/>
  <c r="M933" i="18"/>
  <c r="M987" i="18"/>
  <c r="M1047" i="18"/>
  <c r="M1069" i="18"/>
  <c r="M1096" i="18"/>
  <c r="M1140" i="18"/>
  <c r="M1141" i="18"/>
  <c r="M1227" i="18"/>
  <c r="M1239" i="18"/>
  <c r="M1250" i="18"/>
  <c r="M1275" i="18"/>
  <c r="M1307" i="18"/>
  <c r="M1348" i="18"/>
  <c r="M2" i="18"/>
  <c r="M18" i="18"/>
  <c r="M25" i="18"/>
  <c r="M34" i="18"/>
  <c r="M36" i="18"/>
  <c r="M49" i="18"/>
  <c r="M58" i="18"/>
  <c r="M61" i="18"/>
  <c r="M64" i="18"/>
  <c r="M67" i="18"/>
  <c r="M71" i="18"/>
  <c r="M100" i="18"/>
  <c r="M107" i="18"/>
  <c r="M115" i="18"/>
  <c r="M118" i="18"/>
  <c r="M146" i="18"/>
  <c r="M162" i="18"/>
  <c r="M165" i="18"/>
  <c r="M170" i="18"/>
  <c r="M174" i="18"/>
  <c r="M178" i="18"/>
  <c r="M184" i="18"/>
  <c r="M188" i="18"/>
  <c r="M192" i="18"/>
  <c r="M206" i="18"/>
  <c r="M210" i="18"/>
  <c r="M228" i="18"/>
  <c r="M240" i="18"/>
  <c r="M246" i="18"/>
  <c r="M271" i="18"/>
  <c r="M281" i="18"/>
  <c r="M302" i="18"/>
  <c r="M333" i="18"/>
  <c r="M337" i="18"/>
  <c r="M351" i="18"/>
  <c r="M359" i="18"/>
  <c r="M362" i="18"/>
  <c r="M382" i="18"/>
  <c r="M389" i="18"/>
  <c r="M403" i="18"/>
  <c r="M405" i="18"/>
  <c r="M411" i="18"/>
  <c r="M432" i="18"/>
  <c r="M438" i="18"/>
  <c r="M445" i="18"/>
  <c r="M453" i="18"/>
  <c r="M475" i="18"/>
  <c r="M498" i="18"/>
  <c r="M503" i="18"/>
  <c r="M507" i="18"/>
  <c r="M508" i="18"/>
  <c r="M511" i="18"/>
  <c r="M513" i="18"/>
  <c r="M516" i="18"/>
  <c r="M520" i="18"/>
  <c r="M523" i="18"/>
  <c r="M532" i="18"/>
  <c r="M540" i="18"/>
  <c r="M543" i="18"/>
  <c r="M546" i="18"/>
  <c r="M549" i="18"/>
  <c r="M586" i="18"/>
  <c r="M599" i="18"/>
  <c r="M619" i="18"/>
  <c r="M635" i="18"/>
  <c r="M642" i="18"/>
  <c r="M671" i="18"/>
  <c r="M708" i="18"/>
  <c r="M724" i="18"/>
  <c r="M740" i="18"/>
  <c r="M750" i="18"/>
  <c r="M756" i="18"/>
  <c r="M787" i="18"/>
  <c r="M789" i="18"/>
  <c r="M791" i="18"/>
  <c r="M800" i="18"/>
  <c r="M804" i="18"/>
  <c r="M806" i="18"/>
  <c r="M817" i="18"/>
  <c r="M823" i="18"/>
  <c r="M826" i="18"/>
  <c r="M835" i="18"/>
  <c r="M847" i="18"/>
  <c r="M858" i="18"/>
  <c r="M867" i="18"/>
  <c r="M870" i="18"/>
  <c r="M871" i="18"/>
  <c r="M877" i="18"/>
  <c r="M885" i="18"/>
  <c r="M901" i="18"/>
  <c r="M904" i="18"/>
  <c r="M907" i="18"/>
  <c r="M912" i="18"/>
  <c r="M914" i="18"/>
  <c r="M923" i="18"/>
  <c r="M927" i="18"/>
  <c r="M930" i="18"/>
  <c r="M943" i="18"/>
  <c r="M963" i="18"/>
  <c r="M1026" i="18"/>
  <c r="M1063" i="18"/>
  <c r="M1076" i="18"/>
  <c r="M1094" i="18"/>
  <c r="M1104" i="18"/>
  <c r="M1119" i="18"/>
  <c r="M1133" i="18"/>
  <c r="M1138" i="18"/>
  <c r="M1143" i="18"/>
  <c r="M1146" i="18"/>
  <c r="M1149" i="18"/>
  <c r="M1155" i="18"/>
  <c r="M1158" i="18"/>
  <c r="M1170" i="18"/>
  <c r="M1180" i="18"/>
  <c r="M1184" i="18"/>
  <c r="M1187" i="18"/>
  <c r="M1194" i="18"/>
  <c r="M1205" i="18"/>
  <c r="M1210" i="18"/>
  <c r="M1216" i="18"/>
  <c r="M1223" i="18"/>
  <c r="M1247" i="18"/>
  <c r="M1257" i="18"/>
  <c r="M1258" i="18"/>
  <c r="M1267" i="18"/>
  <c r="M1282" i="18"/>
  <c r="M1300" i="18"/>
  <c r="M1311" i="18"/>
  <c r="M1329" i="18"/>
  <c r="M1338" i="18"/>
  <c r="M1346" i="18"/>
  <c r="M1355" i="18"/>
  <c r="M1372" i="18"/>
  <c r="M7" i="18"/>
  <c r="M16" i="18"/>
  <c r="M19" i="18"/>
  <c r="M38" i="18"/>
  <c r="M51" i="18"/>
  <c r="M72" i="18"/>
  <c r="M80" i="18"/>
  <c r="M103" i="18"/>
  <c r="M111" i="18"/>
  <c r="M120" i="18"/>
  <c r="M126" i="18"/>
  <c r="M130" i="18"/>
  <c r="M134" i="18"/>
  <c r="M142" i="18"/>
  <c r="M153" i="18"/>
  <c r="M187" i="18"/>
  <c r="M204" i="18"/>
  <c r="M208" i="18"/>
  <c r="M215" i="18"/>
  <c r="M219" i="18"/>
  <c r="M232" i="18"/>
  <c r="M239" i="18"/>
  <c r="M247" i="18"/>
  <c r="M252" i="18"/>
  <c r="M265" i="18"/>
  <c r="M284" i="18"/>
  <c r="M291" i="18"/>
  <c r="M294" i="18"/>
  <c r="M295" i="18"/>
  <c r="M301" i="18"/>
  <c r="M312" i="18"/>
  <c r="M316" i="18"/>
  <c r="M323" i="18"/>
  <c r="M330" i="18"/>
  <c r="M334" i="18"/>
  <c r="M349" i="18"/>
  <c r="M353" i="18"/>
  <c r="M368" i="18"/>
  <c r="M372" i="18"/>
  <c r="M401" i="18"/>
  <c r="M412" i="18"/>
  <c r="M415" i="18"/>
  <c r="M419" i="18"/>
  <c r="M418" i="18"/>
  <c r="M422" i="18"/>
  <c r="M437" i="18"/>
  <c r="M448" i="18"/>
  <c r="M462" i="18"/>
  <c r="M468" i="18"/>
  <c r="M480" i="18"/>
  <c r="M484" i="18"/>
  <c r="M485" i="18"/>
  <c r="M488" i="18"/>
  <c r="M489" i="18"/>
  <c r="M490" i="18"/>
  <c r="M491" i="18"/>
  <c r="M530" i="18"/>
  <c r="M531" i="18"/>
  <c r="M534" i="18"/>
  <c r="M535" i="18"/>
  <c r="M560" i="18"/>
  <c r="M562" i="18"/>
  <c r="M566" i="18"/>
  <c r="M573" i="18"/>
  <c r="M588" i="18"/>
  <c r="M600" i="18"/>
  <c r="M602" i="18"/>
  <c r="M608" i="18"/>
  <c r="M623" i="18"/>
  <c r="M624" i="18"/>
  <c r="M630" i="18"/>
  <c r="M641" i="18"/>
  <c r="M645" i="18"/>
  <c r="M648" i="18"/>
  <c r="M652" i="18"/>
  <c r="M679" i="18"/>
  <c r="M807" i="18"/>
  <c r="M837" i="18"/>
  <c r="M852" i="18"/>
  <c r="M862" i="18"/>
  <c r="M868" i="18"/>
  <c r="M876" i="18"/>
  <c r="M882" i="18"/>
  <c r="M883" i="18"/>
  <c r="M888" i="18"/>
  <c r="M902" i="18"/>
  <c r="M910" i="18"/>
  <c r="M922" i="18"/>
  <c r="M932" i="18"/>
  <c r="M939" i="18"/>
  <c r="M952" i="18"/>
  <c r="M955" i="18"/>
  <c r="M979" i="18"/>
  <c r="M981" i="18"/>
  <c r="M991" i="18"/>
  <c r="M995" i="18"/>
  <c r="M1002" i="18"/>
  <c r="M1003" i="18"/>
  <c r="M1004" i="18"/>
  <c r="M1006" i="18"/>
  <c r="M1030" i="18"/>
  <c r="M1035" i="18"/>
  <c r="M1038" i="18"/>
  <c r="M1045" i="18"/>
  <c r="M1048" i="18"/>
  <c r="M1080" i="18"/>
  <c r="M1088" i="18"/>
  <c r="M1092" i="18"/>
  <c r="M1095" i="18"/>
  <c r="M1098" i="18"/>
  <c r="M1099" i="18"/>
  <c r="M1102" i="18"/>
  <c r="M1112" i="18"/>
  <c r="M1120" i="18"/>
  <c r="M1122" i="18"/>
  <c r="M1130" i="18"/>
  <c r="M1151" i="18"/>
  <c r="M1202" i="18"/>
  <c r="M1206" i="18"/>
  <c r="M1209" i="18"/>
  <c r="M1213" i="18"/>
  <c r="M1226" i="18"/>
  <c r="M1228" i="18"/>
  <c r="M1256" i="18"/>
  <c r="M1263" i="18"/>
  <c r="M1274" i="18"/>
  <c r="M1277" i="18"/>
  <c r="M1302" i="18"/>
  <c r="M1308" i="18"/>
  <c r="M1315" i="18"/>
  <c r="M1351" i="18"/>
  <c r="M1363" i="18"/>
  <c r="M1370" i="18"/>
  <c r="M1379" i="18"/>
  <c r="M31" i="18"/>
  <c r="M62" i="18"/>
  <c r="M114" i="18"/>
  <c r="M117" i="18"/>
  <c r="M124" i="18"/>
  <c r="M132" i="18"/>
  <c r="M133" i="18"/>
  <c r="M140" i="18"/>
  <c r="M152" i="18"/>
  <c r="M179" i="18"/>
  <c r="M183" i="18"/>
  <c r="M225" i="18"/>
  <c r="M250" i="18"/>
  <c r="M296" i="18"/>
  <c r="M347" i="18"/>
  <c r="M365" i="18"/>
  <c r="M414" i="18"/>
  <c r="M435" i="18"/>
  <c r="M439" i="18"/>
  <c r="M443" i="18"/>
  <c r="M457" i="18"/>
  <c r="M471" i="18"/>
  <c r="M493" i="18"/>
  <c r="M499" i="18"/>
  <c r="M514" i="18"/>
  <c r="M544" i="18"/>
  <c r="M557" i="18"/>
  <c r="M585" i="18"/>
  <c r="M605" i="18"/>
  <c r="M606" i="18"/>
  <c r="M751" i="18"/>
  <c r="M797" i="18"/>
  <c r="M824" i="18"/>
  <c r="M827" i="18"/>
  <c r="M869" i="18"/>
  <c r="M872" i="18"/>
  <c r="M890" i="18"/>
  <c r="M894" i="18"/>
  <c r="M900" i="18"/>
  <c r="M936" i="18"/>
  <c r="M940" i="18"/>
  <c r="M942" i="18"/>
  <c r="M959" i="18"/>
  <c r="M971" i="18"/>
  <c r="M980" i="18"/>
  <c r="M986" i="18"/>
  <c r="M989" i="18"/>
  <c r="M1011" i="18"/>
  <c r="M1028" i="18"/>
  <c r="M1115" i="18"/>
  <c r="M1111" i="18"/>
  <c r="M1144" i="18"/>
  <c r="M1147" i="18"/>
  <c r="M1167" i="18"/>
  <c r="M1188" i="18"/>
  <c r="M1189" i="18"/>
  <c r="M1232" i="18"/>
  <c r="M1272" i="18"/>
  <c r="M1284" i="18"/>
  <c r="M1283" i="18"/>
  <c r="M1287" i="18"/>
  <c r="M1318" i="18"/>
  <c r="M1358" i="18"/>
  <c r="M5" i="18"/>
  <c r="M42" i="18"/>
  <c r="M43" i="18"/>
  <c r="M44" i="18"/>
  <c r="M45" i="18"/>
  <c r="M46" i="18"/>
  <c r="M91" i="18"/>
  <c r="M105" i="18"/>
  <c r="M122" i="18"/>
  <c r="M138" i="18"/>
  <c r="M161" i="18"/>
  <c r="M167" i="18"/>
  <c r="M172" i="18"/>
  <c r="M176" i="18"/>
  <c r="M177" i="18"/>
  <c r="M182" i="18"/>
  <c r="M189" i="18"/>
  <c r="M196" i="18"/>
  <c r="M254" i="18"/>
  <c r="M257" i="18"/>
  <c r="M258" i="18"/>
  <c r="M285" i="18"/>
  <c r="M318" i="18"/>
  <c r="M335" i="18"/>
  <c r="M355" i="18"/>
  <c r="M473" i="18"/>
  <c r="M554" i="18"/>
  <c r="M618" i="18"/>
  <c r="M632" i="18"/>
  <c r="M657" i="18"/>
  <c r="M661" i="18"/>
  <c r="M662" i="18"/>
  <c r="M663" i="18"/>
  <c r="M665" i="18"/>
  <c r="M666" i="18"/>
  <c r="M674" i="18"/>
  <c r="M677" i="18"/>
  <c r="M682" i="18"/>
  <c r="M684" i="18"/>
  <c r="M688" i="18"/>
  <c r="M692" i="18"/>
  <c r="M694" i="18"/>
  <c r="M695" i="18"/>
  <c r="M703" i="18"/>
  <c r="M704" i="18"/>
  <c r="M706" i="18"/>
  <c r="M709" i="18"/>
  <c r="M718" i="18"/>
  <c r="M722" i="18"/>
  <c r="M725" i="18"/>
  <c r="M726" i="18"/>
  <c r="M736" i="18"/>
  <c r="M737" i="18"/>
  <c r="M763" i="18"/>
  <c r="M782" i="18"/>
  <c r="M786" i="18"/>
  <c r="M814" i="18"/>
  <c r="M832" i="18"/>
  <c r="M884" i="18"/>
  <c r="M898" i="18"/>
  <c r="M913" i="18"/>
  <c r="M938" i="18"/>
  <c r="M977" i="18"/>
  <c r="M1103" i="18"/>
  <c r="M1128" i="18"/>
  <c r="M1134" i="18"/>
  <c r="M1136" i="18"/>
  <c r="M1163" i="18"/>
  <c r="M1172" i="18"/>
  <c r="M1214" i="18"/>
  <c r="M1217" i="18"/>
  <c r="M1241" i="18"/>
  <c r="M1244" i="18"/>
  <c r="M1259" i="18"/>
  <c r="M1271" i="18"/>
  <c r="M1281" i="18"/>
  <c r="M1317" i="18"/>
  <c r="M83" i="18"/>
  <c r="M116" i="18"/>
  <c r="M127" i="18"/>
  <c r="M181" i="18"/>
  <c r="M235" i="18"/>
  <c r="M306" i="18"/>
  <c r="M342" i="18"/>
  <c r="M386" i="18"/>
  <c r="M420" i="18"/>
  <c r="M495" i="18"/>
  <c r="M512" i="18"/>
  <c r="M565" i="18"/>
  <c r="M613" i="18"/>
  <c r="M616" i="18"/>
  <c r="M633" i="18"/>
  <c r="M640" i="18"/>
  <c r="M825" i="18"/>
  <c r="M828" i="18"/>
  <c r="M829" i="18"/>
  <c r="M853" i="18"/>
  <c r="M920" i="18"/>
  <c r="M921" i="18"/>
  <c r="M935" i="18"/>
  <c r="M945" i="18"/>
  <c r="M1029" i="18"/>
  <c r="M1041" i="18"/>
  <c r="M1260" i="18"/>
  <c r="M1350" i="18"/>
  <c r="M1376" i="18"/>
  <c r="M9" i="18"/>
  <c r="M10" i="18"/>
  <c r="M12" i="18"/>
  <c r="M39" i="18"/>
  <c r="M50" i="18"/>
  <c r="M65" i="18"/>
  <c r="M78" i="18"/>
  <c r="M137" i="18"/>
  <c r="M150" i="18"/>
  <c r="M168" i="18"/>
  <c r="M195" i="18"/>
  <c r="M198" i="18"/>
  <c r="M218" i="18"/>
  <c r="M221" i="18"/>
  <c r="M238" i="18"/>
  <c r="M245" i="18"/>
  <c r="M255" i="18"/>
  <c r="M262" i="18"/>
  <c r="M264" i="18"/>
  <c r="M269" i="18"/>
  <c r="M292" i="18"/>
  <c r="M305" i="18"/>
  <c r="M319" i="18"/>
  <c r="M338" i="18"/>
  <c r="M370" i="18"/>
  <c r="M374" i="18"/>
  <c r="M385" i="18"/>
  <c r="M424" i="18"/>
  <c r="M425" i="18"/>
  <c r="M431" i="18"/>
  <c r="M430" i="18"/>
  <c r="M441" i="18"/>
  <c r="M458" i="18"/>
  <c r="M459" i="18"/>
  <c r="M477" i="18"/>
  <c r="M492" i="18"/>
  <c r="M537" i="18"/>
  <c r="M545" i="18"/>
  <c r="M550" i="18"/>
  <c r="M555" i="18"/>
  <c r="M567" i="18"/>
  <c r="M570" i="18"/>
  <c r="M580" i="18"/>
  <c r="M594" i="18"/>
  <c r="M596" i="18"/>
  <c r="M655" i="18"/>
  <c r="M669" i="18"/>
  <c r="M675" i="18"/>
  <c r="M686" i="18"/>
  <c r="M689" i="18"/>
  <c r="M691" i="18"/>
  <c r="M705" i="18"/>
  <c r="M710" i="18"/>
  <c r="M711" i="18"/>
  <c r="M714" i="18"/>
  <c r="M720" i="18"/>
  <c r="M728" i="18"/>
  <c r="M732" i="18"/>
  <c r="M753" i="18"/>
  <c r="M760" i="18"/>
  <c r="M767" i="18"/>
  <c r="M775" i="18"/>
  <c r="M781" i="18"/>
  <c r="M784" i="18"/>
  <c r="M793" i="18"/>
  <c r="M796" i="18"/>
  <c r="M813" i="18"/>
  <c r="M815" i="18"/>
  <c r="M859" i="18"/>
  <c r="M861" i="18"/>
  <c r="M887" i="18"/>
  <c r="M924" i="18"/>
  <c r="M975" i="18"/>
  <c r="M974" i="18"/>
  <c r="M976" i="18"/>
  <c r="M1001" i="18"/>
  <c r="M1013" i="18"/>
  <c r="M1031" i="18"/>
  <c r="M1034" i="18"/>
  <c r="M1040" i="18"/>
  <c r="M1071" i="18"/>
  <c r="M1072" i="18"/>
  <c r="M1074" i="18"/>
  <c r="M1075" i="18"/>
  <c r="M1078" i="18"/>
  <c r="M1082" i="18"/>
  <c r="M1154" i="18"/>
  <c r="M1156" i="18"/>
  <c r="M1162" i="18"/>
  <c r="M1212" i="18"/>
  <c r="M1249" i="18"/>
  <c r="M1269" i="18"/>
  <c r="M1270" i="18"/>
  <c r="M1285" i="18"/>
  <c r="M1296" i="18"/>
  <c r="M1310" i="18"/>
  <c r="M1312" i="18"/>
  <c r="M1324" i="18"/>
  <c r="M1331" i="18"/>
  <c r="M1332" i="18"/>
  <c r="M1333" i="18"/>
  <c r="M1347" i="18"/>
  <c r="M1371" i="18"/>
  <c r="M3" i="18"/>
  <c r="M4" i="18"/>
  <c r="M33" i="18"/>
  <c r="M35" i="18"/>
  <c r="M52" i="18"/>
  <c r="M54" i="18"/>
  <c r="M55" i="18"/>
  <c r="M63" i="18"/>
  <c r="M89" i="18"/>
  <c r="M97" i="18"/>
  <c r="M110" i="18"/>
  <c r="M128" i="18"/>
  <c r="M144" i="18"/>
  <c r="M145" i="18"/>
  <c r="M148" i="18"/>
  <c r="M151" i="18"/>
  <c r="M159" i="18"/>
  <c r="M160" i="18"/>
  <c r="M164" i="18"/>
  <c r="M166" i="18"/>
  <c r="M171" i="18"/>
  <c r="M193" i="18"/>
  <c r="M200" i="18"/>
  <c r="M202" i="18"/>
  <c r="M229" i="18"/>
  <c r="M230" i="18"/>
  <c r="M243" i="18"/>
  <c r="M263" i="18"/>
  <c r="M267" i="18"/>
  <c r="M276" i="18"/>
  <c r="M286" i="18"/>
  <c r="M308" i="18"/>
  <c r="M321" i="18"/>
  <c r="M346" i="18"/>
  <c r="M356" i="18"/>
  <c r="M363" i="18"/>
  <c r="M377" i="18"/>
  <c r="M378" i="18"/>
  <c r="M383" i="18"/>
  <c r="M396" i="18"/>
  <c r="M449" i="18"/>
  <c r="M460" i="18"/>
  <c r="M465" i="18"/>
  <c r="M467" i="18"/>
  <c r="M483" i="18"/>
  <c r="M486" i="18"/>
  <c r="M494" i="18"/>
  <c r="M500" i="18"/>
  <c r="M501" i="18"/>
  <c r="M504" i="18"/>
  <c r="M517" i="18"/>
  <c r="M522" i="18"/>
  <c r="M538" i="18"/>
  <c r="M548" i="18"/>
  <c r="M572" i="18"/>
  <c r="M575" i="18"/>
  <c r="M587" i="18"/>
  <c r="M597" i="18"/>
  <c r="M603" i="18"/>
  <c r="M612" i="18"/>
  <c r="M615" i="18"/>
  <c r="M625" i="18"/>
  <c r="M628" i="18"/>
  <c r="M639" i="18"/>
  <c r="M646" i="18"/>
  <c r="M647" i="18"/>
  <c r="M651" i="18"/>
  <c r="M653" i="18"/>
  <c r="M761" i="18"/>
  <c r="M774" i="18"/>
  <c r="M783" i="18"/>
  <c r="M794" i="18"/>
  <c r="M818" i="18"/>
  <c r="M854" i="18"/>
  <c r="M893" i="18"/>
  <c r="M896" i="18"/>
  <c r="M899" i="18"/>
  <c r="M916" i="18"/>
  <c r="M934" i="18"/>
  <c r="M951" i="18"/>
  <c r="M956" i="18"/>
  <c r="M1007" i="18"/>
  <c r="M1014" i="18"/>
  <c r="M1016" i="18"/>
  <c r="M1033" i="18"/>
  <c r="M1059" i="18"/>
  <c r="M1062" i="18"/>
  <c r="M1083" i="18"/>
  <c r="M1085" i="18"/>
  <c r="M1100" i="18"/>
  <c r="M1105" i="18"/>
  <c r="M1121" i="18"/>
  <c r="M1145" i="18"/>
  <c r="M1174" i="18"/>
  <c r="M1175" i="18"/>
  <c r="M1190" i="18"/>
  <c r="M1192" i="18"/>
  <c r="M1207" i="18"/>
  <c r="M1218" i="18"/>
  <c r="M1220" i="18"/>
  <c r="M1230" i="18"/>
  <c r="M1237" i="18"/>
  <c r="M1251" i="18"/>
  <c r="M1261" i="18"/>
  <c r="M1297" i="18"/>
  <c r="M1299" i="18"/>
  <c r="M1304" i="18"/>
  <c r="M1321" i="18"/>
  <c r="M1326" i="18"/>
  <c r="M1337" i="18"/>
  <c r="M1340" i="18"/>
  <c r="M1353" i="18"/>
  <c r="M1356" i="18"/>
  <c r="M1366" i="18"/>
  <c r="M1365" i="18"/>
  <c r="M1373" i="18"/>
  <c r="M8" i="18"/>
  <c r="M15" i="18"/>
  <c r="M17" i="18"/>
  <c r="M20" i="18"/>
  <c r="M21" i="18"/>
  <c r="M22" i="18"/>
  <c r="M24" i="18"/>
  <c r="M29" i="18"/>
  <c r="M40" i="18"/>
  <c r="M41" i="18"/>
  <c r="M48" i="18"/>
  <c r="M66" i="18"/>
  <c r="M68" i="18"/>
  <c r="M75" i="18"/>
  <c r="M76" i="18"/>
  <c r="M81" i="18"/>
  <c r="M88" i="18"/>
  <c r="M92" i="18"/>
  <c r="M155" i="18"/>
  <c r="M163" i="18"/>
  <c r="M197" i="18"/>
  <c r="M211" i="18"/>
  <c r="M212" i="18"/>
  <c r="M213" i="18"/>
  <c r="M216" i="18"/>
  <c r="M222" i="18"/>
  <c r="M227" i="18"/>
  <c r="M234" i="18"/>
  <c r="M242" i="18"/>
  <c r="M270" i="18"/>
  <c r="M304" i="18"/>
  <c r="M309" i="18"/>
  <c r="M314" i="18"/>
  <c r="M315" i="18"/>
  <c r="M317" i="18"/>
  <c r="M332" i="18"/>
  <c r="M345" i="18"/>
  <c r="M357" i="18"/>
  <c r="M384" i="18"/>
  <c r="M393" i="18"/>
  <c r="M404" i="18"/>
  <c r="M410" i="18"/>
  <c r="M417" i="18"/>
  <c r="M442" i="18"/>
  <c r="M463" i="18"/>
  <c r="M476" i="18"/>
  <c r="M524" i="18"/>
  <c r="M533" i="18"/>
  <c r="M539" i="18"/>
  <c r="M558" i="18"/>
  <c r="M563" i="18"/>
  <c r="M637" i="18"/>
  <c r="M643" i="18"/>
  <c r="M650" i="18"/>
  <c r="M683" i="18"/>
  <c r="M693" i="18"/>
  <c r="M747" i="18"/>
  <c r="M764" i="18"/>
  <c r="M770" i="18"/>
  <c r="M777" i="18"/>
  <c r="M780" i="18"/>
  <c r="M785" i="18"/>
  <c r="M792" i="18"/>
  <c r="M795" i="18"/>
  <c r="M819" i="18"/>
  <c r="M830" i="18"/>
  <c r="M842" i="18"/>
  <c r="M843" i="18"/>
  <c r="M846" i="18"/>
  <c r="M891" i="18"/>
  <c r="M931" i="18"/>
  <c r="M957" i="18"/>
  <c r="M958" i="18"/>
  <c r="M972" i="18"/>
  <c r="M1017" i="18"/>
  <c r="M1018" i="18"/>
  <c r="M1020" i="18"/>
  <c r="M1023" i="18"/>
  <c r="M1070" i="18"/>
  <c r="M1077" i="18"/>
  <c r="M1108" i="18"/>
  <c r="M1110" i="18"/>
  <c r="M1123" i="18"/>
  <c r="M1131" i="18"/>
  <c r="M1150" i="18"/>
  <c r="M1160" i="18"/>
  <c r="M1164" i="18"/>
  <c r="M1173" i="18"/>
  <c r="M1177" i="18"/>
  <c r="M1182" i="18"/>
  <c r="M1193" i="18"/>
  <c r="M1231" i="18"/>
  <c r="M1233" i="18"/>
  <c r="M1298" i="18"/>
  <c r="M1327" i="18"/>
  <c r="M1334" i="18"/>
  <c r="M1335" i="18"/>
  <c r="M1336" i="18"/>
  <c r="M1362" i="18"/>
  <c r="M1364" i="18"/>
  <c r="M1368" i="18"/>
  <c r="M1369" i="18"/>
  <c r="M94" i="18"/>
  <c r="M141" i="18"/>
  <c r="M157" i="18"/>
  <c r="M280" i="18"/>
  <c r="M282" i="18"/>
  <c r="M299" i="18"/>
  <c r="M426" i="18"/>
  <c r="M428" i="18"/>
  <c r="M429" i="18"/>
  <c r="M447" i="18"/>
  <c r="M687" i="18"/>
  <c r="M690" i="18"/>
  <c r="M697" i="18"/>
  <c r="M698" i="18"/>
  <c r="M701" i="18"/>
  <c r="M707" i="18"/>
  <c r="M712" i="18"/>
  <c r="M713" i="18"/>
  <c r="M715" i="18"/>
  <c r="M716" i="18"/>
  <c r="M723" i="18"/>
  <c r="M727" i="18"/>
  <c r="M730" i="18"/>
  <c r="M731" i="18"/>
  <c r="M735" i="18"/>
  <c r="M739" i="18"/>
  <c r="M759" i="18"/>
  <c r="M857" i="18"/>
  <c r="M1117" i="18"/>
  <c r="M1148" i="18"/>
  <c r="M1199" i="18"/>
  <c r="M1200" i="18"/>
  <c r="M1246" i="18"/>
  <c r="M1268" i="18"/>
  <c r="M1306" i="18"/>
  <c r="M11" i="18"/>
  <c r="M69" i="18"/>
  <c r="M106" i="18"/>
  <c r="M125" i="18"/>
  <c r="M149" i="18"/>
  <c r="M156" i="18"/>
  <c r="M186" i="18"/>
  <c r="M209" i="18"/>
  <c r="M248" i="18"/>
  <c r="M251" i="18"/>
  <c r="M268" i="18"/>
  <c r="M272" i="18"/>
  <c r="M273" i="18"/>
  <c r="M274" i="18"/>
  <c r="M311" i="18"/>
  <c r="M324" i="18"/>
  <c r="M343" i="18"/>
  <c r="M366" i="18"/>
  <c r="M371" i="18"/>
  <c r="M390" i="18"/>
  <c r="M399" i="18"/>
  <c r="M402" i="18"/>
  <c r="M455" i="18"/>
  <c r="M461" i="18"/>
  <c r="M466" i="18"/>
  <c r="M502" i="18"/>
  <c r="M541" i="18"/>
  <c r="M552" i="18"/>
  <c r="M553" i="18"/>
  <c r="M561" i="18"/>
  <c r="M578" i="18"/>
  <c r="M589" i="18"/>
  <c r="M595" i="18"/>
  <c r="M611" i="18"/>
  <c r="M620" i="18"/>
  <c r="M634" i="18"/>
  <c r="M673" i="18"/>
  <c r="M748" i="18"/>
  <c r="M762" i="18"/>
  <c r="M773" i="18"/>
  <c r="M788" i="18"/>
  <c r="M798" i="18"/>
  <c r="M822" i="18"/>
  <c r="M834" i="18"/>
  <c r="M844" i="18"/>
  <c r="M849" i="18"/>
  <c r="M863" i="18"/>
  <c r="M878" i="18"/>
  <c r="M937" i="18"/>
  <c r="M953" i="18"/>
  <c r="M962" i="18"/>
  <c r="M973" i="18"/>
  <c r="M988" i="18"/>
  <c r="M1027" i="18"/>
  <c r="M1032" i="18"/>
  <c r="M1050" i="18"/>
  <c r="M1127" i="18"/>
  <c r="M1129" i="18"/>
  <c r="M1135" i="18"/>
  <c r="M1166" i="18"/>
  <c r="M1171" i="18"/>
  <c r="M1191" i="18"/>
  <c r="M1201" i="18"/>
  <c r="M1221" i="18"/>
  <c r="M1224" i="18"/>
  <c r="M1234" i="18"/>
  <c r="M1235" i="18"/>
  <c r="M1236" i="18"/>
  <c r="M1245" i="18"/>
  <c r="M1265" i="18"/>
  <c r="M1290" i="18"/>
  <c r="M1293" i="18"/>
  <c r="M1314" i="18"/>
  <c r="M1328" i="18"/>
  <c r="M26" i="18"/>
  <c r="M47" i="18"/>
  <c r="M57" i="18"/>
  <c r="M74" i="18"/>
  <c r="M93" i="18"/>
  <c r="M108" i="18"/>
  <c r="M109" i="18"/>
  <c r="M121" i="18"/>
  <c r="M123" i="18"/>
  <c r="M129" i="18"/>
  <c r="M131" i="18"/>
  <c r="M169" i="18"/>
  <c r="M175" i="18"/>
  <c r="M180" i="18"/>
  <c r="M190" i="18"/>
  <c r="M191" i="18"/>
  <c r="M223" i="18"/>
  <c r="M233" i="18"/>
  <c r="M249" i="18"/>
  <c r="M278" i="18"/>
  <c r="M279" i="18"/>
  <c r="M313" i="18"/>
  <c r="M320" i="18"/>
  <c r="M325" i="18"/>
  <c r="M331" i="18"/>
  <c r="M348" i="18"/>
  <c r="M358" i="18"/>
  <c r="M361" i="18"/>
  <c r="M369" i="18"/>
  <c r="M375" i="18"/>
  <c r="M376" i="18"/>
  <c r="M391" i="18"/>
  <c r="M397" i="18"/>
  <c r="M400" i="18"/>
  <c r="M413" i="18"/>
  <c r="M423" i="18"/>
  <c r="M446" i="18"/>
  <c r="M454" i="18"/>
  <c r="M464" i="18"/>
  <c r="M487" i="18"/>
  <c r="M506" i="18"/>
  <c r="M518" i="18"/>
  <c r="M519" i="18"/>
  <c r="M526" i="18"/>
  <c r="M527" i="18"/>
  <c r="M529" i="18"/>
  <c r="M547" i="18"/>
  <c r="M551" i="18"/>
  <c r="M568" i="18"/>
  <c r="M569" i="18"/>
  <c r="M576" i="18"/>
  <c r="M579" i="18"/>
  <c r="M590" i="18"/>
  <c r="M592" i="18"/>
  <c r="M598" i="18"/>
  <c r="M607" i="18"/>
  <c r="M617" i="18"/>
  <c r="M622" i="18"/>
  <c r="M626" i="18"/>
  <c r="M629" i="18"/>
  <c r="M631" i="18"/>
  <c r="M649" i="18"/>
  <c r="M654" i="18"/>
  <c r="M658" i="18"/>
  <c r="M678" i="18"/>
  <c r="M680" i="18"/>
  <c r="M681" i="18"/>
  <c r="M696" i="18"/>
  <c r="M741" i="18"/>
  <c r="M742" i="18"/>
  <c r="M758" i="18"/>
  <c r="M766" i="18"/>
  <c r="M769" i="18"/>
  <c r="M771" i="18"/>
  <c r="M776" i="18"/>
  <c r="M799" i="18"/>
  <c r="M805" i="18"/>
  <c r="M808" i="18"/>
  <c r="M816" i="18"/>
  <c r="M839" i="18"/>
  <c r="M845" i="18"/>
  <c r="M848" i="18"/>
  <c r="M851" i="18"/>
  <c r="M866" i="18"/>
  <c r="M874" i="18"/>
  <c r="M880" i="18"/>
  <c r="M908" i="18"/>
  <c r="M911" i="18"/>
  <c r="M917" i="18"/>
  <c r="M925" i="18"/>
  <c r="M947" i="18"/>
  <c r="M948" i="18"/>
  <c r="M949" i="18"/>
  <c r="M950" i="18"/>
  <c r="M961" i="18"/>
  <c r="M964" i="18"/>
  <c r="M967" i="18"/>
  <c r="M969" i="18"/>
  <c r="M983" i="18"/>
  <c r="M984" i="18"/>
  <c r="M985" i="18"/>
  <c r="M993" i="18"/>
  <c r="M999" i="18"/>
  <c r="M1005" i="18"/>
  <c r="M1009" i="18"/>
  <c r="M1010" i="18"/>
  <c r="M1015" i="18"/>
  <c r="M1021" i="18"/>
  <c r="M1036" i="18"/>
  <c r="M1055" i="18"/>
  <c r="M1079" i="18"/>
  <c r="M1086" i="18"/>
  <c r="M1089" i="18"/>
  <c r="M1091" i="18"/>
  <c r="M1107" i="18"/>
  <c r="M1116" i="18"/>
  <c r="M1124" i="18"/>
  <c r="M1126" i="18"/>
  <c r="M1132" i="18"/>
  <c r="M1139" i="18"/>
  <c r="M1152" i="18"/>
  <c r="M1161" i="18"/>
  <c r="M1165" i="18"/>
  <c r="M1181" i="18"/>
  <c r="M1185" i="18"/>
  <c r="M1195" i="18"/>
  <c r="M1238" i="18"/>
  <c r="M1240" i="18"/>
  <c r="M1242" i="18"/>
  <c r="M1248" i="18"/>
  <c r="M1252" i="18"/>
  <c r="M1255" i="18"/>
  <c r="M1279" i="18"/>
  <c r="M1294" i="18"/>
  <c r="M1295" i="18"/>
  <c r="M1301" i="18"/>
  <c r="M1313" i="18"/>
  <c r="M1322" i="18"/>
  <c r="M1341" i="18"/>
  <c r="M1345" i="18"/>
  <c r="M1349" i="18"/>
  <c r="M1357" i="18"/>
  <c r="M1360" i="18"/>
  <c r="D2" i="19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B2" i="19"/>
  <c r="B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F28" i="18"/>
  <c r="F53" i="18"/>
  <c r="F73" i="18"/>
  <c r="F82" i="18"/>
  <c r="F87" i="18"/>
  <c r="F173" i="18"/>
  <c r="F205" i="18"/>
  <c r="F207" i="18"/>
  <c r="F283" i="18"/>
  <c r="F293" i="18"/>
  <c r="F307" i="18"/>
  <c r="F326" i="18"/>
  <c r="F328" i="18"/>
  <c r="F339" i="18"/>
  <c r="F340" i="18"/>
  <c r="F344" i="18"/>
  <c r="F354" i="18"/>
  <c r="F406" i="18"/>
  <c r="F408" i="18"/>
  <c r="F434" i="18"/>
  <c r="F451" i="18"/>
  <c r="F456" i="18"/>
  <c r="F479" i="18"/>
  <c r="F481" i="18"/>
  <c r="F496" i="18"/>
  <c r="F497" i="18"/>
  <c r="F510" i="18"/>
  <c r="F577" i="18"/>
  <c r="F591" i="18"/>
  <c r="F601" i="18"/>
  <c r="F610" i="18"/>
  <c r="F656" i="18"/>
  <c r="F664" i="18"/>
  <c r="F668" i="18"/>
  <c r="F685" i="18"/>
  <c r="F721" i="18"/>
  <c r="F729" i="18"/>
  <c r="F749" i="18"/>
  <c r="F765" i="18"/>
  <c r="F768" i="18"/>
  <c r="F833" i="18"/>
  <c r="F850" i="18"/>
  <c r="F856" i="18"/>
  <c r="F881" i="18"/>
  <c r="F886" i="18"/>
  <c r="F889" i="18"/>
  <c r="F960" i="18"/>
  <c r="F966" i="18"/>
  <c r="F996" i="18"/>
  <c r="F1012" i="18"/>
  <c r="F1022" i="18"/>
  <c r="F1039" i="18"/>
  <c r="F1051" i="18"/>
  <c r="F1052" i="18"/>
  <c r="F1053" i="18"/>
  <c r="F1057" i="18"/>
  <c r="F1064" i="18"/>
  <c r="F1066" i="18"/>
  <c r="F1073" i="18"/>
  <c r="F1081" i="18"/>
  <c r="F1090" i="18"/>
  <c r="F1114" i="18"/>
  <c r="F1168" i="18"/>
  <c r="F1176" i="18"/>
  <c r="F1203" i="18"/>
  <c r="F1229" i="18"/>
  <c r="F1243" i="18"/>
  <c r="F1273" i="18"/>
  <c r="F1291" i="18"/>
  <c r="F1330" i="18"/>
  <c r="F1343" i="18"/>
  <c r="F1367" i="18"/>
  <c r="F6" i="18"/>
  <c r="F13" i="18"/>
  <c r="F14" i="18"/>
  <c r="F30" i="18"/>
  <c r="F37" i="18"/>
  <c r="F79" i="18"/>
  <c r="F96" i="18"/>
  <c r="F98" i="18"/>
  <c r="F104" i="18"/>
  <c r="F139" i="18"/>
  <c r="F143" i="18"/>
  <c r="F147" i="18"/>
  <c r="F158" i="18"/>
  <c r="F194" i="18"/>
  <c r="F214" i="18"/>
  <c r="F217" i="18"/>
  <c r="F220" i="18"/>
  <c r="F224" i="18"/>
  <c r="F236" i="18"/>
  <c r="F237" i="18"/>
  <c r="F241" i="18"/>
  <c r="F244" i="18"/>
  <c r="F256" i="18"/>
  <c r="F275" i="18"/>
  <c r="F277" i="18"/>
  <c r="F289" i="18"/>
  <c r="F297" i="18"/>
  <c r="F298" i="18"/>
  <c r="F303" i="18"/>
  <c r="F310" i="18"/>
  <c r="F329" i="18"/>
  <c r="F336" i="18"/>
  <c r="F350" i="18"/>
  <c r="F360" i="18"/>
  <c r="F367" i="18"/>
  <c r="F388" i="18"/>
  <c r="F394" i="18"/>
  <c r="F395" i="18"/>
  <c r="F416" i="18"/>
  <c r="F444" i="18"/>
  <c r="F469" i="18"/>
  <c r="F482" i="18"/>
  <c r="F505" i="18"/>
  <c r="F525" i="18"/>
  <c r="F528" i="18"/>
  <c r="F564" i="18"/>
  <c r="F574" i="18"/>
  <c r="F581" i="18"/>
  <c r="F604" i="18"/>
  <c r="F609" i="18"/>
  <c r="F627" i="18"/>
  <c r="F644" i="18"/>
  <c r="F676" i="18"/>
  <c r="F699" i="18"/>
  <c r="F755" i="18"/>
  <c r="F820" i="18"/>
  <c r="F840" i="18"/>
  <c r="F860" i="18"/>
  <c r="F873" i="18"/>
  <c r="F892" i="18"/>
  <c r="F897" i="18"/>
  <c r="F903" i="18"/>
  <c r="F905" i="18"/>
  <c r="F928" i="18"/>
  <c r="F941" i="18"/>
  <c r="F944" i="18"/>
  <c r="F946" i="18"/>
  <c r="F968" i="18"/>
  <c r="F997" i="18"/>
  <c r="F1008" i="18"/>
  <c r="F1019" i="18"/>
  <c r="F1024" i="18"/>
  <c r="F1042" i="18"/>
  <c r="F1043" i="18"/>
  <c r="F1044" i="18"/>
  <c r="F1046" i="18"/>
  <c r="F1054" i="18"/>
  <c r="F1056" i="18"/>
  <c r="F1068" i="18"/>
  <c r="F1087" i="18"/>
  <c r="F1093" i="18"/>
  <c r="F1101" i="18"/>
  <c r="F1159" i="18"/>
  <c r="F1169" i="18"/>
  <c r="F1178" i="18"/>
  <c r="F1183" i="18"/>
  <c r="F1198" i="18"/>
  <c r="F1215" i="18"/>
  <c r="F1225" i="18"/>
  <c r="F1253" i="18"/>
  <c r="F1254" i="18"/>
  <c r="F1266" i="18"/>
  <c r="F1278" i="18"/>
  <c r="F1286" i="18"/>
  <c r="F1292" i="18"/>
  <c r="F1303" i="18"/>
  <c r="F1320" i="18"/>
  <c r="F1342" i="18"/>
  <c r="F1344" i="18"/>
  <c r="F1354" i="18"/>
  <c r="F1377" i="18"/>
  <c r="F1378" i="18"/>
  <c r="F1380" i="18"/>
  <c r="F32" i="18"/>
  <c r="F56" i="18"/>
  <c r="F60" i="18"/>
  <c r="F70" i="18"/>
  <c r="F84" i="18"/>
  <c r="F85" i="18"/>
  <c r="F86" i="18"/>
  <c r="F90" i="18"/>
  <c r="F95" i="18"/>
  <c r="F99" i="18"/>
  <c r="F101" i="18"/>
  <c r="F102" i="18"/>
  <c r="F112" i="18"/>
  <c r="F113" i="18"/>
  <c r="F135" i="18"/>
  <c r="F154" i="18"/>
  <c r="F185" i="18"/>
  <c r="F199" i="18"/>
  <c r="F201" i="18"/>
  <c r="F203" i="18"/>
  <c r="F226" i="18"/>
  <c r="F259" i="18"/>
  <c r="F260" i="18"/>
  <c r="F266" i="18"/>
  <c r="F288" i="18"/>
  <c r="F290" i="18"/>
  <c r="F300" i="18"/>
  <c r="F322" i="18"/>
  <c r="F327" i="18"/>
  <c r="F352" i="18"/>
  <c r="F364" i="18"/>
  <c r="F387" i="18"/>
  <c r="F409" i="18"/>
  <c r="F421" i="18"/>
  <c r="F433" i="18"/>
  <c r="F440" i="18"/>
  <c r="F470" i="18"/>
  <c r="F472" i="18"/>
  <c r="F509" i="18"/>
  <c r="F515" i="18"/>
  <c r="F521" i="18"/>
  <c r="F536" i="18"/>
  <c r="F542" i="18"/>
  <c r="F556" i="18"/>
  <c r="F559" i="18"/>
  <c r="F582" i="18"/>
  <c r="F583" i="18"/>
  <c r="F584" i="18"/>
  <c r="F593" i="18"/>
  <c r="F614" i="18"/>
  <c r="F636" i="18"/>
  <c r="F638" i="18"/>
  <c r="F672" i="18"/>
  <c r="F743" i="18"/>
  <c r="F744" i="18"/>
  <c r="F745" i="18"/>
  <c r="F746" i="18"/>
  <c r="F752" i="18"/>
  <c r="F754" i="18"/>
  <c r="F757" i="18"/>
  <c r="F779" i="18"/>
  <c r="F790" i="18"/>
  <c r="F801" i="18"/>
  <c r="F802" i="18"/>
  <c r="F803" i="18"/>
  <c r="F812" i="18"/>
  <c r="F831" i="18"/>
  <c r="F836" i="18"/>
  <c r="F855" i="18"/>
  <c r="F864" i="18"/>
  <c r="F865" i="18"/>
  <c r="F875" i="18"/>
  <c r="F909" i="18"/>
  <c r="F915" i="18"/>
  <c r="F918" i="18"/>
  <c r="F926" i="18"/>
  <c r="F929" i="18"/>
  <c r="F954" i="18"/>
  <c r="F965" i="18"/>
  <c r="F970" i="18"/>
  <c r="F978" i="18"/>
  <c r="F990" i="18"/>
  <c r="F992" i="18"/>
  <c r="F994" i="18"/>
  <c r="F1000" i="18"/>
  <c r="F1037" i="18"/>
  <c r="F1049" i="18"/>
  <c r="F1061" i="18"/>
  <c r="F1065" i="18"/>
  <c r="F1067" i="18"/>
  <c r="F1097" i="18"/>
  <c r="F1106" i="18"/>
  <c r="F1109" i="18"/>
  <c r="F1113" i="18"/>
  <c r="F1118" i="18"/>
  <c r="F1137" i="18"/>
  <c r="F1142" i="18"/>
  <c r="F1179" i="18"/>
  <c r="F1186" i="18"/>
  <c r="F1196" i="18"/>
  <c r="F1204" i="18"/>
  <c r="F1208" i="18"/>
  <c r="F1219" i="18"/>
  <c r="F1222" i="18"/>
  <c r="F1262" i="18"/>
  <c r="F1264" i="18"/>
  <c r="F1276" i="18"/>
  <c r="F1280" i="18"/>
  <c r="F1289" i="18"/>
  <c r="F1305" i="18"/>
  <c r="F1309" i="18"/>
  <c r="F1359" i="18"/>
  <c r="F1361" i="18"/>
  <c r="F1374" i="18"/>
  <c r="F1375" i="18"/>
  <c r="F119" i="18"/>
  <c r="F136" i="18"/>
  <c r="F253" i="18"/>
  <c r="F341" i="18"/>
  <c r="F373" i="18"/>
  <c r="F379" i="18"/>
  <c r="F381" i="18"/>
  <c r="F392" i="18"/>
  <c r="F407" i="18"/>
  <c r="F427" i="18"/>
  <c r="F450" i="18"/>
  <c r="F452" i="18"/>
  <c r="F474" i="18"/>
  <c r="F571" i="18"/>
  <c r="F659" i="18"/>
  <c r="F660" i="18"/>
  <c r="F667" i="18"/>
  <c r="F670" i="18"/>
  <c r="F700" i="18"/>
  <c r="F702" i="18"/>
  <c r="F717" i="18"/>
  <c r="F719" i="18"/>
  <c r="F733" i="18"/>
  <c r="F734" i="18"/>
  <c r="F738" i="18"/>
  <c r="F772" i="18"/>
  <c r="F778" i="18"/>
  <c r="F810" i="18"/>
  <c r="F811" i="18"/>
  <c r="F838" i="18"/>
  <c r="F841" i="18"/>
  <c r="F879" i="18"/>
  <c r="F906" i="18"/>
  <c r="F982" i="18"/>
  <c r="F998" i="18"/>
  <c r="F1025" i="18"/>
  <c r="F1058" i="18"/>
  <c r="F1060" i="18"/>
  <c r="F1084" i="18"/>
  <c r="F1125" i="18"/>
  <c r="F1153" i="18"/>
  <c r="F1157" i="18"/>
  <c r="F1197" i="18"/>
  <c r="F1211" i="18"/>
  <c r="F1288" i="18"/>
  <c r="F1316" i="18"/>
  <c r="F1319" i="18"/>
  <c r="F1323" i="18"/>
  <c r="F1325" i="18"/>
  <c r="F1339" i="18"/>
  <c r="F1352" i="18"/>
  <c r="F23" i="18"/>
  <c r="F27" i="18"/>
  <c r="F59" i="18"/>
  <c r="F77" i="18"/>
  <c r="F231" i="18"/>
  <c r="F261" i="18"/>
  <c r="F287" i="18"/>
  <c r="F380" i="18"/>
  <c r="F398" i="18"/>
  <c r="F436" i="18"/>
  <c r="F478" i="18"/>
  <c r="F621" i="18"/>
  <c r="F809" i="18"/>
  <c r="F821" i="18"/>
  <c r="F895" i="18"/>
  <c r="F919" i="18"/>
  <c r="F933" i="18"/>
  <c r="F987" i="18"/>
  <c r="F1047" i="18"/>
  <c r="F1069" i="18"/>
  <c r="F1096" i="18"/>
  <c r="F1140" i="18"/>
  <c r="F1141" i="18"/>
  <c r="F1227" i="18"/>
  <c r="F1239" i="18"/>
  <c r="F1250" i="18"/>
  <c r="F1275" i="18"/>
  <c r="F1307" i="18"/>
  <c r="F1348" i="18"/>
  <c r="F2" i="18"/>
  <c r="F18" i="18"/>
  <c r="F25" i="18"/>
  <c r="F34" i="18"/>
  <c r="F36" i="18"/>
  <c r="F49" i="18"/>
  <c r="F58" i="18"/>
  <c r="F61" i="18"/>
  <c r="F64" i="18"/>
  <c r="F67" i="18"/>
  <c r="F71" i="18"/>
  <c r="F100" i="18"/>
  <c r="F107" i="18"/>
  <c r="F115" i="18"/>
  <c r="F118" i="18"/>
  <c r="F146" i="18"/>
  <c r="F162" i="18"/>
  <c r="F165" i="18"/>
  <c r="F170" i="18"/>
  <c r="F174" i="18"/>
  <c r="F178" i="18"/>
  <c r="F184" i="18"/>
  <c r="F188" i="18"/>
  <c r="F192" i="18"/>
  <c r="F206" i="18"/>
  <c r="F210" i="18"/>
  <c r="F228" i="18"/>
  <c r="F240" i="18"/>
  <c r="F246" i="18"/>
  <c r="F271" i="18"/>
  <c r="F281" i="18"/>
  <c r="F302" i="18"/>
  <c r="F333" i="18"/>
  <c r="F337" i="18"/>
  <c r="F351" i="18"/>
  <c r="F359" i="18"/>
  <c r="F362" i="18"/>
  <c r="F382" i="18"/>
  <c r="F389" i="18"/>
  <c r="F403" i="18"/>
  <c r="F405" i="18"/>
  <c r="F411" i="18"/>
  <c r="F432" i="18"/>
  <c r="F438" i="18"/>
  <c r="F445" i="18"/>
  <c r="F453" i="18"/>
  <c r="F475" i="18"/>
  <c r="F498" i="18"/>
  <c r="F503" i="18"/>
  <c r="F507" i="18"/>
  <c r="F508" i="18"/>
  <c r="F511" i="18"/>
  <c r="F513" i="18"/>
  <c r="F516" i="18"/>
  <c r="F520" i="18"/>
  <c r="F523" i="18"/>
  <c r="F532" i="18"/>
  <c r="F540" i="18"/>
  <c r="F543" i="18"/>
  <c r="F546" i="18"/>
  <c r="F549" i="18"/>
  <c r="F586" i="18"/>
  <c r="F599" i="18"/>
  <c r="F619" i="18"/>
  <c r="F635" i="18"/>
  <c r="F642" i="18"/>
  <c r="F671" i="18"/>
  <c r="F708" i="18"/>
  <c r="F724" i="18"/>
  <c r="F740" i="18"/>
  <c r="F750" i="18"/>
  <c r="F756" i="18"/>
  <c r="F787" i="18"/>
  <c r="F789" i="18"/>
  <c r="F791" i="18"/>
  <c r="F800" i="18"/>
  <c r="F804" i="18"/>
  <c r="F806" i="18"/>
  <c r="F817" i="18"/>
  <c r="F823" i="18"/>
  <c r="F826" i="18"/>
  <c r="F835" i="18"/>
  <c r="F847" i="18"/>
  <c r="F858" i="18"/>
  <c r="F867" i="18"/>
  <c r="F870" i="18"/>
  <c r="F871" i="18"/>
  <c r="F877" i="18"/>
  <c r="F885" i="18"/>
  <c r="F901" i="18"/>
  <c r="F904" i="18"/>
  <c r="F907" i="18"/>
  <c r="F912" i="18"/>
  <c r="F914" i="18"/>
  <c r="F923" i="18"/>
  <c r="F927" i="18"/>
  <c r="F930" i="18"/>
  <c r="F943" i="18"/>
  <c r="F963" i="18"/>
  <c r="F1026" i="18"/>
  <c r="F1063" i="18"/>
  <c r="F1076" i="18"/>
  <c r="F1094" i="18"/>
  <c r="F1104" i="18"/>
  <c r="F1119" i="18"/>
  <c r="F1133" i="18"/>
  <c r="F1138" i="18"/>
  <c r="F1143" i="18"/>
  <c r="F1146" i="18"/>
  <c r="F1149" i="18"/>
  <c r="F1155" i="18"/>
  <c r="F1158" i="18"/>
  <c r="F1170" i="18"/>
  <c r="F1180" i="18"/>
  <c r="F1184" i="18"/>
  <c r="F1187" i="18"/>
  <c r="F1194" i="18"/>
  <c r="F1205" i="18"/>
  <c r="F1210" i="18"/>
  <c r="F1216" i="18"/>
  <c r="F1223" i="18"/>
  <c r="F1247" i="18"/>
  <c r="F1257" i="18"/>
  <c r="F1258" i="18"/>
  <c r="F1267" i="18"/>
  <c r="F1282" i="18"/>
  <c r="F1300" i="18"/>
  <c r="F1311" i="18"/>
  <c r="F1329" i="18"/>
  <c r="F1338" i="18"/>
  <c r="F1346" i="18"/>
  <c r="F1355" i="18"/>
  <c r="F1372" i="18"/>
  <c r="F7" i="18"/>
  <c r="F16" i="18"/>
  <c r="F19" i="18"/>
  <c r="F38" i="18"/>
  <c r="F51" i="18"/>
  <c r="F72" i="18"/>
  <c r="F80" i="18"/>
  <c r="F103" i="18"/>
  <c r="F111" i="18"/>
  <c r="F120" i="18"/>
  <c r="F126" i="18"/>
  <c r="F130" i="18"/>
  <c r="F134" i="18"/>
  <c r="F142" i="18"/>
  <c r="F153" i="18"/>
  <c r="F187" i="18"/>
  <c r="F204" i="18"/>
  <c r="F208" i="18"/>
  <c r="F215" i="18"/>
  <c r="F219" i="18"/>
  <c r="F232" i="18"/>
  <c r="F239" i="18"/>
  <c r="F247" i="18"/>
  <c r="F252" i="18"/>
  <c r="F265" i="18"/>
  <c r="F284" i="18"/>
  <c r="F291" i="18"/>
  <c r="F294" i="18"/>
  <c r="F295" i="18"/>
  <c r="F301" i="18"/>
  <c r="F312" i="18"/>
  <c r="F316" i="18"/>
  <c r="F323" i="18"/>
  <c r="F330" i="18"/>
  <c r="F334" i="18"/>
  <c r="F349" i="18"/>
  <c r="F353" i="18"/>
  <c r="F368" i="18"/>
  <c r="F372" i="18"/>
  <c r="F401" i="18"/>
  <c r="F412" i="18"/>
  <c r="F415" i="18"/>
  <c r="F419" i="18"/>
  <c r="F418" i="18"/>
  <c r="F422" i="18"/>
  <c r="F437" i="18"/>
  <c r="F448" i="18"/>
  <c r="F462" i="18"/>
  <c r="F468" i="18"/>
  <c r="F480" i="18"/>
  <c r="F484" i="18"/>
  <c r="F485" i="18"/>
  <c r="F488" i="18"/>
  <c r="F489" i="18"/>
  <c r="F490" i="18"/>
  <c r="F491" i="18"/>
  <c r="F530" i="18"/>
  <c r="F531" i="18"/>
  <c r="F534" i="18"/>
  <c r="F535" i="18"/>
  <c r="F560" i="18"/>
  <c r="F562" i="18"/>
  <c r="F566" i="18"/>
  <c r="F573" i="18"/>
  <c r="F588" i="18"/>
  <c r="F600" i="18"/>
  <c r="F602" i="18"/>
  <c r="F608" i="18"/>
  <c r="F623" i="18"/>
  <c r="F624" i="18"/>
  <c r="F630" i="18"/>
  <c r="F641" i="18"/>
  <c r="F645" i="18"/>
  <c r="F648" i="18"/>
  <c r="F652" i="18"/>
  <c r="F679" i="18"/>
  <c r="F807" i="18"/>
  <c r="F837" i="18"/>
  <c r="F852" i="18"/>
  <c r="F862" i="18"/>
  <c r="F868" i="18"/>
  <c r="F876" i="18"/>
  <c r="F882" i="18"/>
  <c r="F883" i="18"/>
  <c r="F888" i="18"/>
  <c r="F902" i="18"/>
  <c r="F910" i="18"/>
  <c r="F922" i="18"/>
  <c r="F932" i="18"/>
  <c r="F939" i="18"/>
  <c r="F952" i="18"/>
  <c r="F955" i="18"/>
  <c r="F979" i="18"/>
  <c r="F981" i="18"/>
  <c r="F991" i="18"/>
  <c r="F995" i="18"/>
  <c r="F1002" i="18"/>
  <c r="F1003" i="18"/>
  <c r="F1004" i="18"/>
  <c r="F1006" i="18"/>
  <c r="F1030" i="18"/>
  <c r="F1035" i="18"/>
  <c r="F1038" i="18"/>
  <c r="F1045" i="18"/>
  <c r="F1048" i="18"/>
  <c r="F1080" i="18"/>
  <c r="F1088" i="18"/>
  <c r="F1092" i="18"/>
  <c r="F1095" i="18"/>
  <c r="F1098" i="18"/>
  <c r="F1099" i="18"/>
  <c r="F1102" i="18"/>
  <c r="F1112" i="18"/>
  <c r="F1120" i="18"/>
  <c r="F1122" i="18"/>
  <c r="F1130" i="18"/>
  <c r="F1151" i="18"/>
  <c r="F1202" i="18"/>
  <c r="F1206" i="18"/>
  <c r="F1209" i="18"/>
  <c r="F1213" i="18"/>
  <c r="F1226" i="18"/>
  <c r="F1228" i="18"/>
  <c r="F1256" i="18"/>
  <c r="F1263" i="18"/>
  <c r="F1274" i="18"/>
  <c r="F1277" i="18"/>
  <c r="F1302" i="18"/>
  <c r="F1308" i="18"/>
  <c r="F1315" i="18"/>
  <c r="F1351" i="18"/>
  <c r="F1363" i="18"/>
  <c r="F1370" i="18"/>
  <c r="F1379" i="18"/>
  <c r="F31" i="18"/>
  <c r="F62" i="18"/>
  <c r="F114" i="18"/>
  <c r="F117" i="18"/>
  <c r="F124" i="18"/>
  <c r="F132" i="18"/>
  <c r="F133" i="18"/>
  <c r="F140" i="18"/>
  <c r="F152" i="18"/>
  <c r="F179" i="18"/>
  <c r="F183" i="18"/>
  <c r="F225" i="18"/>
  <c r="F250" i="18"/>
  <c r="F296" i="18"/>
  <c r="F347" i="18"/>
  <c r="F365" i="18"/>
  <c r="F414" i="18"/>
  <c r="F435" i="18"/>
  <c r="F439" i="18"/>
  <c r="F443" i="18"/>
  <c r="F457" i="18"/>
  <c r="F471" i="18"/>
  <c r="F493" i="18"/>
  <c r="F499" i="18"/>
  <c r="F514" i="18"/>
  <c r="F544" i="18"/>
  <c r="F557" i="18"/>
  <c r="F585" i="18"/>
  <c r="F605" i="18"/>
  <c r="F606" i="18"/>
  <c r="F751" i="18"/>
  <c r="F797" i="18"/>
  <c r="F824" i="18"/>
  <c r="F827" i="18"/>
  <c r="F869" i="18"/>
  <c r="F872" i="18"/>
  <c r="F890" i="18"/>
  <c r="F894" i="18"/>
  <c r="F900" i="18"/>
  <c r="F936" i="18"/>
  <c r="F940" i="18"/>
  <c r="F942" i="18"/>
  <c r="F959" i="18"/>
  <c r="F971" i="18"/>
  <c r="F980" i="18"/>
  <c r="F986" i="18"/>
  <c r="F989" i="18"/>
  <c r="F1011" i="18"/>
  <c r="F1028" i="18"/>
  <c r="F1115" i="18"/>
  <c r="F1111" i="18"/>
  <c r="F1144" i="18"/>
  <c r="F1147" i="18"/>
  <c r="F1167" i="18"/>
  <c r="F1188" i="18"/>
  <c r="F1189" i="18"/>
  <c r="F1232" i="18"/>
  <c r="F1272" i="18"/>
  <c r="F1284" i="18"/>
  <c r="F1283" i="18"/>
  <c r="F1287" i="18"/>
  <c r="F1318" i="18"/>
  <c r="F1358" i="18"/>
  <c r="F5" i="18"/>
  <c r="F42" i="18"/>
  <c r="F43" i="18"/>
  <c r="F44" i="18"/>
  <c r="F45" i="18"/>
  <c r="F46" i="18"/>
  <c r="F91" i="18"/>
  <c r="F105" i="18"/>
  <c r="F122" i="18"/>
  <c r="F138" i="18"/>
  <c r="F161" i="18"/>
  <c r="F167" i="18"/>
  <c r="F172" i="18"/>
  <c r="F176" i="18"/>
  <c r="F177" i="18"/>
  <c r="F182" i="18"/>
  <c r="F189" i="18"/>
  <c r="F196" i="18"/>
  <c r="F254" i="18"/>
  <c r="F257" i="18"/>
  <c r="F258" i="18"/>
  <c r="F285" i="18"/>
  <c r="F318" i="18"/>
  <c r="F335" i="18"/>
  <c r="F355" i="18"/>
  <c r="F473" i="18"/>
  <c r="F554" i="18"/>
  <c r="F618" i="18"/>
  <c r="F632" i="18"/>
  <c r="F657" i="18"/>
  <c r="F661" i="18"/>
  <c r="F662" i="18"/>
  <c r="F663" i="18"/>
  <c r="F665" i="18"/>
  <c r="F666" i="18"/>
  <c r="F674" i="18"/>
  <c r="F677" i="18"/>
  <c r="F682" i="18"/>
  <c r="F684" i="18"/>
  <c r="F688" i="18"/>
  <c r="F692" i="18"/>
  <c r="F694" i="18"/>
  <c r="F695" i="18"/>
  <c r="F703" i="18"/>
  <c r="F704" i="18"/>
  <c r="F706" i="18"/>
  <c r="F709" i="18"/>
  <c r="F718" i="18"/>
  <c r="F722" i="18"/>
  <c r="F725" i="18"/>
  <c r="F726" i="18"/>
  <c r="F736" i="18"/>
  <c r="F737" i="18"/>
  <c r="F763" i="18"/>
  <c r="F782" i="18"/>
  <c r="F786" i="18"/>
  <c r="F814" i="18"/>
  <c r="F832" i="18"/>
  <c r="F884" i="18"/>
  <c r="F898" i="18"/>
  <c r="F913" i="18"/>
  <c r="F938" i="18"/>
  <c r="F977" i="18"/>
  <c r="F1103" i="18"/>
  <c r="F1128" i="18"/>
  <c r="F1134" i="18"/>
  <c r="F1136" i="18"/>
  <c r="F1163" i="18"/>
  <c r="F1172" i="18"/>
  <c r="F1214" i="18"/>
  <c r="F1217" i="18"/>
  <c r="F1241" i="18"/>
  <c r="F1244" i="18"/>
  <c r="F1259" i="18"/>
  <c r="F1271" i="18"/>
  <c r="F1281" i="18"/>
  <c r="F1317" i="18"/>
  <c r="F83" i="18"/>
  <c r="F116" i="18"/>
  <c r="F127" i="18"/>
  <c r="F181" i="18"/>
  <c r="F235" i="18"/>
  <c r="F306" i="18"/>
  <c r="F342" i="18"/>
  <c r="F386" i="18"/>
  <c r="F420" i="18"/>
  <c r="F495" i="18"/>
  <c r="F512" i="18"/>
  <c r="F565" i="18"/>
  <c r="F613" i="18"/>
  <c r="F616" i="18"/>
  <c r="F633" i="18"/>
  <c r="F640" i="18"/>
  <c r="F825" i="18"/>
  <c r="F828" i="18"/>
  <c r="F829" i="18"/>
  <c r="F853" i="18"/>
  <c r="F920" i="18"/>
  <c r="F921" i="18"/>
  <c r="F935" i="18"/>
  <c r="F945" i="18"/>
  <c r="F1029" i="18"/>
  <c r="F1041" i="18"/>
  <c r="F1260" i="18"/>
  <c r="F1350" i="18"/>
  <c r="F1376" i="18"/>
  <c r="F9" i="18"/>
  <c r="F10" i="18"/>
  <c r="F12" i="18"/>
  <c r="F39" i="18"/>
  <c r="F50" i="18"/>
  <c r="F65" i="18"/>
  <c r="F78" i="18"/>
  <c r="F137" i="18"/>
  <c r="F150" i="18"/>
  <c r="F168" i="18"/>
  <c r="F195" i="18"/>
  <c r="F198" i="18"/>
  <c r="F218" i="18"/>
  <c r="F221" i="18"/>
  <c r="F238" i="18"/>
  <c r="F245" i="18"/>
  <c r="F255" i="18"/>
  <c r="F262" i="18"/>
  <c r="F264" i="18"/>
  <c r="F269" i="18"/>
  <c r="F292" i="18"/>
  <c r="F305" i="18"/>
  <c r="F319" i="18"/>
  <c r="F338" i="18"/>
  <c r="F370" i="18"/>
  <c r="F374" i="18"/>
  <c r="F385" i="18"/>
  <c r="F424" i="18"/>
  <c r="F425" i="18"/>
  <c r="F431" i="18"/>
  <c r="F430" i="18"/>
  <c r="F441" i="18"/>
  <c r="F458" i="18"/>
  <c r="F459" i="18"/>
  <c r="F477" i="18"/>
  <c r="F492" i="18"/>
  <c r="F537" i="18"/>
  <c r="F545" i="18"/>
  <c r="F550" i="18"/>
  <c r="F555" i="18"/>
  <c r="F567" i="18"/>
  <c r="F570" i="18"/>
  <c r="F580" i="18"/>
  <c r="F594" i="18"/>
  <c r="F596" i="18"/>
  <c r="F655" i="18"/>
  <c r="F669" i="18"/>
  <c r="F675" i="18"/>
  <c r="F686" i="18"/>
  <c r="F689" i="18"/>
  <c r="F691" i="18"/>
  <c r="F705" i="18"/>
  <c r="F710" i="18"/>
  <c r="F711" i="18"/>
  <c r="F714" i="18"/>
  <c r="F720" i="18"/>
  <c r="F728" i="18"/>
  <c r="F732" i="18"/>
  <c r="F753" i="18"/>
  <c r="F760" i="18"/>
  <c r="F767" i="18"/>
  <c r="F775" i="18"/>
  <c r="F781" i="18"/>
  <c r="F784" i="18"/>
  <c r="F793" i="18"/>
  <c r="F796" i="18"/>
  <c r="F813" i="18"/>
  <c r="F815" i="18"/>
  <c r="F859" i="18"/>
  <c r="F861" i="18"/>
  <c r="F887" i="18"/>
  <c r="F924" i="18"/>
  <c r="F975" i="18"/>
  <c r="F974" i="18"/>
  <c r="F976" i="18"/>
  <c r="F1001" i="18"/>
  <c r="F1013" i="18"/>
  <c r="F1031" i="18"/>
  <c r="F1034" i="18"/>
  <c r="F1040" i="18"/>
  <c r="F1071" i="18"/>
  <c r="F1072" i="18"/>
  <c r="F1074" i="18"/>
  <c r="F1075" i="18"/>
  <c r="F1078" i="18"/>
  <c r="F1082" i="18"/>
  <c r="F1154" i="18"/>
  <c r="F1156" i="18"/>
  <c r="F1162" i="18"/>
  <c r="F1212" i="18"/>
  <c r="F1249" i="18"/>
  <c r="F1269" i="18"/>
  <c r="F1270" i="18"/>
  <c r="F1285" i="18"/>
  <c r="F1296" i="18"/>
  <c r="F1310" i="18"/>
  <c r="F1312" i="18"/>
  <c r="F1324" i="18"/>
  <c r="F1331" i="18"/>
  <c r="F1332" i="18"/>
  <c r="F1333" i="18"/>
  <c r="F1347" i="18"/>
  <c r="F1371" i="18"/>
  <c r="F3" i="18"/>
  <c r="F4" i="18"/>
  <c r="F33" i="18"/>
  <c r="F35" i="18"/>
  <c r="F52" i="18"/>
  <c r="F54" i="18"/>
  <c r="F55" i="18"/>
  <c r="F63" i="18"/>
  <c r="F89" i="18"/>
  <c r="F97" i="18"/>
  <c r="F110" i="18"/>
  <c r="F128" i="18"/>
  <c r="F144" i="18"/>
  <c r="F145" i="18"/>
  <c r="F148" i="18"/>
  <c r="F151" i="18"/>
  <c r="F159" i="18"/>
  <c r="F160" i="18"/>
  <c r="F164" i="18"/>
  <c r="F166" i="18"/>
  <c r="F171" i="18"/>
  <c r="F193" i="18"/>
  <c r="F200" i="18"/>
  <c r="F202" i="18"/>
  <c r="F229" i="18"/>
  <c r="F230" i="18"/>
  <c r="F243" i="18"/>
  <c r="F263" i="18"/>
  <c r="F267" i="18"/>
  <c r="F276" i="18"/>
  <c r="F286" i="18"/>
  <c r="F308" i="18"/>
  <c r="F321" i="18"/>
  <c r="F346" i="18"/>
  <c r="F356" i="18"/>
  <c r="F363" i="18"/>
  <c r="F377" i="18"/>
  <c r="F378" i="18"/>
  <c r="F383" i="18"/>
  <c r="F396" i="18"/>
  <c r="F449" i="18"/>
  <c r="F460" i="18"/>
  <c r="F465" i="18"/>
  <c r="F467" i="18"/>
  <c r="F483" i="18"/>
  <c r="F486" i="18"/>
  <c r="F494" i="18"/>
  <c r="F500" i="18"/>
  <c r="F501" i="18"/>
  <c r="F504" i="18"/>
  <c r="F517" i="18"/>
  <c r="F522" i="18"/>
  <c r="F538" i="18"/>
  <c r="F548" i="18"/>
  <c r="F572" i="18"/>
  <c r="F575" i="18"/>
  <c r="F587" i="18"/>
  <c r="F597" i="18"/>
  <c r="F603" i="18"/>
  <c r="F612" i="18"/>
  <c r="F615" i="18"/>
  <c r="F625" i="18"/>
  <c r="F628" i="18"/>
  <c r="F639" i="18"/>
  <c r="F646" i="18"/>
  <c r="F647" i="18"/>
  <c r="F651" i="18"/>
  <c r="F653" i="18"/>
  <c r="F761" i="18"/>
  <c r="F774" i="18"/>
  <c r="F783" i="18"/>
  <c r="F794" i="18"/>
  <c r="F818" i="18"/>
  <c r="F854" i="18"/>
  <c r="F893" i="18"/>
  <c r="F896" i="18"/>
  <c r="F899" i="18"/>
  <c r="F916" i="18"/>
  <c r="F934" i="18"/>
  <c r="F951" i="18"/>
  <c r="F956" i="18"/>
  <c r="F1007" i="18"/>
  <c r="F1014" i="18"/>
  <c r="F1016" i="18"/>
  <c r="F1033" i="18"/>
  <c r="F1059" i="18"/>
  <c r="F1062" i="18"/>
  <c r="F1083" i="18"/>
  <c r="F1085" i="18"/>
  <c r="F1100" i="18"/>
  <c r="F1105" i="18"/>
  <c r="F1121" i="18"/>
  <c r="F1145" i="18"/>
  <c r="F1174" i="18"/>
  <c r="F1175" i="18"/>
  <c r="F1190" i="18"/>
  <c r="F1192" i="18"/>
  <c r="F1207" i="18"/>
  <c r="F1218" i="18"/>
  <c r="F1220" i="18"/>
  <c r="F1230" i="18"/>
  <c r="F1237" i="18"/>
  <c r="F1251" i="18"/>
  <c r="F1261" i="18"/>
  <c r="F1297" i="18"/>
  <c r="F1299" i="18"/>
  <c r="F1304" i="18"/>
  <c r="F1321" i="18"/>
  <c r="F1326" i="18"/>
  <c r="F1337" i="18"/>
  <c r="F1340" i="18"/>
  <c r="F1353" i="18"/>
  <c r="F1356" i="18"/>
  <c r="F1366" i="18"/>
  <c r="F1365" i="18"/>
  <c r="F1373" i="18"/>
  <c r="F8" i="18"/>
  <c r="F15" i="18"/>
  <c r="F17" i="18"/>
  <c r="F20" i="18"/>
  <c r="F21" i="18"/>
  <c r="F22" i="18"/>
  <c r="F24" i="18"/>
  <c r="F29" i="18"/>
  <c r="F40" i="18"/>
  <c r="F41" i="18"/>
  <c r="F48" i="18"/>
  <c r="F66" i="18"/>
  <c r="F68" i="18"/>
  <c r="F75" i="18"/>
  <c r="F76" i="18"/>
  <c r="F81" i="18"/>
  <c r="F88" i="18"/>
  <c r="F92" i="18"/>
  <c r="F155" i="18"/>
  <c r="F163" i="18"/>
  <c r="F197" i="18"/>
  <c r="F211" i="18"/>
  <c r="F212" i="18"/>
  <c r="F213" i="18"/>
  <c r="F216" i="18"/>
  <c r="F222" i="18"/>
  <c r="F227" i="18"/>
  <c r="F234" i="18"/>
  <c r="F242" i="18"/>
  <c r="F270" i="18"/>
  <c r="F304" i="18"/>
  <c r="F309" i="18"/>
  <c r="F314" i="18"/>
  <c r="F315" i="18"/>
  <c r="F317" i="18"/>
  <c r="F332" i="18"/>
  <c r="F345" i="18"/>
  <c r="F357" i="18"/>
  <c r="F384" i="18"/>
  <c r="F393" i="18"/>
  <c r="F404" i="18"/>
  <c r="F410" i="18"/>
  <c r="F417" i="18"/>
  <c r="F442" i="18"/>
  <c r="F463" i="18"/>
  <c r="F476" i="18"/>
  <c r="F524" i="18"/>
  <c r="F533" i="18"/>
  <c r="F539" i="18"/>
  <c r="F558" i="18"/>
  <c r="F563" i="18"/>
  <c r="F637" i="18"/>
  <c r="F643" i="18"/>
  <c r="F650" i="18"/>
  <c r="F683" i="18"/>
  <c r="F693" i="18"/>
  <c r="F747" i="18"/>
  <c r="F764" i="18"/>
  <c r="F770" i="18"/>
  <c r="F777" i="18"/>
  <c r="F780" i="18"/>
  <c r="F785" i="18"/>
  <c r="F792" i="18"/>
  <c r="F795" i="18"/>
  <c r="F819" i="18"/>
  <c r="F830" i="18"/>
  <c r="F842" i="18"/>
  <c r="F843" i="18"/>
  <c r="F846" i="18"/>
  <c r="F891" i="18"/>
  <c r="F931" i="18"/>
  <c r="F957" i="18"/>
  <c r="F958" i="18"/>
  <c r="F972" i="18"/>
  <c r="F1017" i="18"/>
  <c r="F1018" i="18"/>
  <c r="F1020" i="18"/>
  <c r="F1023" i="18"/>
  <c r="F1070" i="18"/>
  <c r="F1077" i="18"/>
  <c r="F1108" i="18"/>
  <c r="F1110" i="18"/>
  <c r="F1123" i="18"/>
  <c r="F1131" i="18"/>
  <c r="F1150" i="18"/>
  <c r="F1160" i="18"/>
  <c r="F1164" i="18"/>
  <c r="F1173" i="18"/>
  <c r="F1177" i="18"/>
  <c r="F1182" i="18"/>
  <c r="F1193" i="18"/>
  <c r="F1231" i="18"/>
  <c r="F1233" i="18"/>
  <c r="F1298" i="18"/>
  <c r="F1327" i="18"/>
  <c r="F1334" i="18"/>
  <c r="F1335" i="18"/>
  <c r="F1336" i="18"/>
  <c r="F1362" i="18"/>
  <c r="F1364" i="18"/>
  <c r="F1368" i="18"/>
  <c r="F1369" i="18"/>
  <c r="F94" i="18"/>
  <c r="F141" i="18"/>
  <c r="F157" i="18"/>
  <c r="F280" i="18"/>
  <c r="F282" i="18"/>
  <c r="F299" i="18"/>
  <c r="F426" i="18"/>
  <c r="F428" i="18"/>
  <c r="F429" i="18"/>
  <c r="F447" i="18"/>
  <c r="F687" i="18"/>
  <c r="F690" i="18"/>
  <c r="F697" i="18"/>
  <c r="F698" i="18"/>
  <c r="F701" i="18"/>
  <c r="F707" i="18"/>
  <c r="F712" i="18"/>
  <c r="F713" i="18"/>
  <c r="F715" i="18"/>
  <c r="F716" i="18"/>
  <c r="F723" i="18"/>
  <c r="F727" i="18"/>
  <c r="F730" i="18"/>
  <c r="F731" i="18"/>
  <c r="F735" i="18"/>
  <c r="F739" i="18"/>
  <c r="F759" i="18"/>
  <c r="F857" i="18"/>
  <c r="F1117" i="18"/>
  <c r="F1148" i="18"/>
  <c r="F1199" i="18"/>
  <c r="F1200" i="18"/>
  <c r="F1246" i="18"/>
  <c r="F1268" i="18"/>
  <c r="F1306" i="18"/>
  <c r="F11" i="18"/>
  <c r="F69" i="18"/>
  <c r="F106" i="18"/>
  <c r="F125" i="18"/>
  <c r="F149" i="18"/>
  <c r="F156" i="18"/>
  <c r="F186" i="18"/>
  <c r="F209" i="18"/>
  <c r="F248" i="18"/>
  <c r="F251" i="18"/>
  <c r="F268" i="18"/>
  <c r="F272" i="18"/>
  <c r="F273" i="18"/>
  <c r="F274" i="18"/>
  <c r="F311" i="18"/>
  <c r="F324" i="18"/>
  <c r="F343" i="18"/>
  <c r="F366" i="18"/>
  <c r="F371" i="18"/>
  <c r="F390" i="18"/>
  <c r="F399" i="18"/>
  <c r="F402" i="18"/>
  <c r="F455" i="18"/>
  <c r="F461" i="18"/>
  <c r="F466" i="18"/>
  <c r="F502" i="18"/>
  <c r="F541" i="18"/>
  <c r="F552" i="18"/>
  <c r="F553" i="18"/>
  <c r="F561" i="18"/>
  <c r="F578" i="18"/>
  <c r="F589" i="18"/>
  <c r="F595" i="18"/>
  <c r="F611" i="18"/>
  <c r="F620" i="18"/>
  <c r="F634" i="18"/>
  <c r="F673" i="18"/>
  <c r="F748" i="18"/>
  <c r="F762" i="18"/>
  <c r="F773" i="18"/>
  <c r="F788" i="18"/>
  <c r="F798" i="18"/>
  <c r="F822" i="18"/>
  <c r="F834" i="18"/>
  <c r="F844" i="18"/>
  <c r="F849" i="18"/>
  <c r="F863" i="18"/>
  <c r="F878" i="18"/>
  <c r="F937" i="18"/>
  <c r="F953" i="18"/>
  <c r="F962" i="18"/>
  <c r="F973" i="18"/>
  <c r="F988" i="18"/>
  <c r="F1027" i="18"/>
  <c r="F1032" i="18"/>
  <c r="F1050" i="18"/>
  <c r="F1127" i="18"/>
  <c r="F1129" i="18"/>
  <c r="F1135" i="18"/>
  <c r="F1166" i="18"/>
  <c r="F1171" i="18"/>
  <c r="F1191" i="18"/>
  <c r="F1201" i="18"/>
  <c r="F1221" i="18"/>
  <c r="F1224" i="18"/>
  <c r="F1234" i="18"/>
  <c r="F1235" i="18"/>
  <c r="F1236" i="18"/>
  <c r="F1245" i="18"/>
  <c r="F1265" i="18"/>
  <c r="F1290" i="18"/>
  <c r="F1293" i="18"/>
  <c r="F1314" i="18"/>
  <c r="F1328" i="18"/>
  <c r="F26" i="18"/>
  <c r="F47" i="18"/>
  <c r="F57" i="18"/>
  <c r="F74" i="18"/>
  <c r="F93" i="18"/>
  <c r="F108" i="18"/>
  <c r="F109" i="18"/>
  <c r="F121" i="18"/>
  <c r="F123" i="18"/>
  <c r="F129" i="18"/>
  <c r="F131" i="18"/>
  <c r="F169" i="18"/>
  <c r="F175" i="18"/>
  <c r="F180" i="18"/>
  <c r="F190" i="18"/>
  <c r="F191" i="18"/>
  <c r="F223" i="18"/>
  <c r="F233" i="18"/>
  <c r="F249" i="18"/>
  <c r="F278" i="18"/>
  <c r="F279" i="18"/>
  <c r="F313" i="18"/>
  <c r="F320" i="18"/>
  <c r="F325" i="18"/>
  <c r="F331" i="18"/>
  <c r="F348" i="18"/>
  <c r="F358" i="18"/>
  <c r="F361" i="18"/>
  <c r="F369" i="18"/>
  <c r="F375" i="18"/>
  <c r="F376" i="18"/>
  <c r="F391" i="18"/>
  <c r="F397" i="18"/>
  <c r="F400" i="18"/>
  <c r="F413" i="18"/>
  <c r="F423" i="18"/>
  <c r="F446" i="18"/>
  <c r="F454" i="18"/>
  <c r="F464" i="18"/>
  <c r="F487" i="18"/>
  <c r="F506" i="18"/>
  <c r="F518" i="18"/>
  <c r="F519" i="18"/>
  <c r="F526" i="18"/>
  <c r="F527" i="18"/>
  <c r="F529" i="18"/>
  <c r="F547" i="18"/>
  <c r="F551" i="18"/>
  <c r="F568" i="18"/>
  <c r="F569" i="18"/>
  <c r="F576" i="18"/>
  <c r="F579" i="18"/>
  <c r="F590" i="18"/>
  <c r="F592" i="18"/>
  <c r="F598" i="18"/>
  <c r="F607" i="18"/>
  <c r="F617" i="18"/>
  <c r="F622" i="18"/>
  <c r="F626" i="18"/>
  <c r="F629" i="18"/>
  <c r="F631" i="18"/>
  <c r="F649" i="18"/>
  <c r="F654" i="18"/>
  <c r="F658" i="18"/>
  <c r="F678" i="18"/>
  <c r="F680" i="18"/>
  <c r="F681" i="18"/>
  <c r="F696" i="18"/>
  <c r="F741" i="18"/>
  <c r="F742" i="18"/>
  <c r="F758" i="18"/>
  <c r="F766" i="18"/>
  <c r="F769" i="18"/>
  <c r="F771" i="18"/>
  <c r="F776" i="18"/>
  <c r="F799" i="18"/>
  <c r="F805" i="18"/>
  <c r="F808" i="18"/>
  <c r="F816" i="18"/>
  <c r="F839" i="18"/>
  <c r="F845" i="18"/>
  <c r="F848" i="18"/>
  <c r="F851" i="18"/>
  <c r="F866" i="18"/>
  <c r="F874" i="18"/>
  <c r="F880" i="18"/>
  <c r="F908" i="18"/>
  <c r="F911" i="18"/>
  <c r="F917" i="18"/>
  <c r="F925" i="18"/>
  <c r="F947" i="18"/>
  <c r="F948" i="18"/>
  <c r="F949" i="18"/>
  <c r="F950" i="18"/>
  <c r="F961" i="18"/>
  <c r="F964" i="18"/>
  <c r="F967" i="18"/>
  <c r="F969" i="18"/>
  <c r="F983" i="18"/>
  <c r="F984" i="18"/>
  <c r="F985" i="18"/>
  <c r="F993" i="18"/>
  <c r="F999" i="18"/>
  <c r="F1005" i="18"/>
  <c r="F1009" i="18"/>
  <c r="F1010" i="18"/>
  <c r="F1015" i="18"/>
  <c r="F1021" i="18"/>
  <c r="F1036" i="18"/>
  <c r="F1055" i="18"/>
  <c r="F1079" i="18"/>
  <c r="F1086" i="18"/>
  <c r="F1089" i="18"/>
  <c r="F1091" i="18"/>
  <c r="F1107" i="18"/>
  <c r="F1116" i="18"/>
  <c r="F1124" i="18"/>
  <c r="F1126" i="18"/>
  <c r="F1132" i="18"/>
  <c r="F1139" i="18"/>
  <c r="F1152" i="18"/>
  <c r="F1161" i="18"/>
  <c r="F1165" i="18"/>
  <c r="F1181" i="18"/>
  <c r="F1185" i="18"/>
  <c r="F1195" i="18"/>
  <c r="F1238" i="18"/>
  <c r="F1240" i="18"/>
  <c r="F1242" i="18"/>
  <c r="F1248" i="18"/>
  <c r="F1252" i="18"/>
  <c r="F1255" i="18"/>
  <c r="F1279" i="18"/>
  <c r="F1294" i="18"/>
  <c r="F1295" i="18"/>
  <c r="F1301" i="18"/>
  <c r="F1313" i="18"/>
  <c r="F1322" i="18"/>
  <c r="F1341" i="18"/>
  <c r="F1345" i="18"/>
  <c r="F1349" i="18"/>
  <c r="F1357" i="18"/>
  <c r="F1360" i="18"/>
  <c r="F2" i="16"/>
  <c r="F3" i="16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96" i="16"/>
  <c r="F97" i="16"/>
  <c r="F98" i="16"/>
  <c r="F99" i="16"/>
  <c r="F100" i="16"/>
  <c r="F101" i="16"/>
  <c r="F102" i="16"/>
  <c r="F103" i="16"/>
  <c r="F104" i="16"/>
  <c r="F105" i="16"/>
  <c r="F106" i="16"/>
  <c r="F107" i="16"/>
  <c r="F108" i="16"/>
  <c r="F109" i="16"/>
  <c r="F110" i="16"/>
  <c r="F111" i="16"/>
  <c r="F112" i="16"/>
  <c r="F113" i="16"/>
  <c r="F114" i="16"/>
  <c r="F115" i="16"/>
  <c r="F116" i="16"/>
  <c r="F117" i="16"/>
  <c r="F118" i="16"/>
  <c r="F119" i="16"/>
  <c r="F120" i="16"/>
  <c r="F121" i="16"/>
  <c r="F122" i="16"/>
  <c r="F123" i="16"/>
  <c r="F124" i="16"/>
  <c r="F125" i="16"/>
  <c r="F126" i="16"/>
  <c r="F127" i="16"/>
  <c r="F128" i="16"/>
  <c r="F129" i="16"/>
  <c r="F130" i="16"/>
  <c r="F131" i="16"/>
  <c r="F132" i="16"/>
  <c r="F133" i="16"/>
  <c r="F134" i="16"/>
  <c r="F135" i="16"/>
  <c r="F136" i="16"/>
  <c r="F137" i="16"/>
  <c r="F138" i="16"/>
  <c r="F139" i="16"/>
  <c r="F140" i="16"/>
  <c r="F141" i="16"/>
  <c r="F142" i="16"/>
  <c r="F143" i="16"/>
  <c r="F144" i="16"/>
  <c r="F2" i="15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2" i="14"/>
  <c r="F3" i="14"/>
  <c r="F4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2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G77" i="17" a="1"/>
  <c r="G121" i="17" a="1"/>
  <c r="G42" i="17" a="1"/>
  <c r="G112" i="17" a="1"/>
  <c r="G32" i="17" a="1"/>
  <c r="G19" i="17" a="1"/>
  <c r="G102" i="17" a="1"/>
  <c r="G135" i="17" a="1"/>
  <c r="G38" i="17" a="1"/>
  <c r="G125" i="17" a="1"/>
  <c r="G56" i="17" a="1"/>
  <c r="G86" i="17" a="1"/>
  <c r="G91" i="17" a="1"/>
  <c r="G71" i="17" a="1"/>
  <c r="G2" i="17" a="1"/>
  <c r="G8" i="17" a="1"/>
  <c r="B454" i="18" l="1"/>
  <c r="O454" i="18"/>
  <c r="B180" i="18"/>
  <c r="O180" i="18"/>
  <c r="B878" i="18"/>
  <c r="O878" i="18"/>
  <c r="B589" i="18"/>
  <c r="O589" i="18"/>
  <c r="B461" i="18"/>
  <c r="O461" i="18"/>
  <c r="B715" i="18"/>
  <c r="O715" i="18"/>
  <c r="B643" i="18"/>
  <c r="O643" i="18"/>
  <c r="B956" i="18"/>
  <c r="O956" i="18"/>
  <c r="B899" i="18"/>
  <c r="O899" i="18"/>
  <c r="B646" i="18"/>
  <c r="O646" i="18"/>
  <c r="B229" i="18"/>
  <c r="O229" i="18"/>
  <c r="B52" i="18"/>
  <c r="O52" i="18"/>
  <c r="B784" i="18"/>
  <c r="O784" i="18"/>
  <c r="B675" i="18"/>
  <c r="O675" i="18"/>
  <c r="B441" i="18"/>
  <c r="O441" i="18"/>
  <c r="B338" i="18"/>
  <c r="O338" i="18"/>
  <c r="B1259" i="18"/>
  <c r="O1259" i="18"/>
  <c r="B890" i="18"/>
  <c r="O890" i="18"/>
  <c r="B334" i="18"/>
  <c r="O334" i="18"/>
  <c r="B1158" i="18"/>
  <c r="O1158" i="18"/>
  <c r="B61" i="18"/>
  <c r="O61" i="18"/>
  <c r="B34" i="18"/>
  <c r="C1161" i="18" s="1"/>
  <c r="O34" i="18"/>
  <c r="B734" i="18"/>
  <c r="O734" i="18"/>
  <c r="B452" i="18"/>
  <c r="O452" i="18"/>
  <c r="B341" i="18"/>
  <c r="O341" i="18"/>
  <c r="B60" i="18"/>
  <c r="O60" i="18"/>
  <c r="B53" i="18"/>
  <c r="O53" i="18"/>
  <c r="O1343" i="18"/>
  <c r="O1197" i="18"/>
  <c r="O1181" i="18"/>
  <c r="O877" i="18"/>
  <c r="O722" i="18"/>
  <c r="O594" i="18"/>
  <c r="O453" i="18"/>
  <c r="B590" i="18"/>
  <c r="O590" i="18"/>
  <c r="B1131" i="18"/>
  <c r="O1131" i="18"/>
  <c r="B442" i="18"/>
  <c r="O442" i="18"/>
  <c r="B500" i="18"/>
  <c r="O500" i="18"/>
  <c r="B166" i="18"/>
  <c r="O166" i="18"/>
  <c r="B35" i="18"/>
  <c r="O35" i="18"/>
  <c r="B1128" i="18"/>
  <c r="O1128" i="18"/>
  <c r="B1274" i="18"/>
  <c r="O1274" i="18"/>
  <c r="B1226" i="18"/>
  <c r="O1226" i="18"/>
  <c r="B389" i="18"/>
  <c r="O389" i="18"/>
  <c r="B228" i="18"/>
  <c r="O228" i="18"/>
  <c r="B998" i="18"/>
  <c r="O998" i="18"/>
  <c r="B1179" i="18"/>
  <c r="O1179" i="18"/>
  <c r="B582" i="18"/>
  <c r="O582" i="18"/>
  <c r="B1178" i="18"/>
  <c r="O1178" i="18"/>
  <c r="B277" i="18"/>
  <c r="O277" i="18"/>
  <c r="B996" i="18"/>
  <c r="O996" i="18"/>
  <c r="O1290" i="18"/>
  <c r="O1273" i="18"/>
  <c r="O1225" i="18"/>
  <c r="O1177" i="18"/>
  <c r="O1129" i="18"/>
  <c r="O889" i="18"/>
  <c r="O501" i="18"/>
  <c r="B278" i="18"/>
  <c r="O278" i="18"/>
  <c r="B502" i="18"/>
  <c r="O502" i="18"/>
  <c r="B735" i="18"/>
  <c r="O735" i="18"/>
  <c r="B723" i="18"/>
  <c r="O723" i="18"/>
  <c r="B227" i="18"/>
  <c r="O227" i="18"/>
  <c r="B1014" i="18"/>
  <c r="O1014" i="18"/>
  <c r="B383" i="18"/>
  <c r="O383" i="18"/>
  <c r="B55" i="18"/>
  <c r="O55" i="18"/>
  <c r="B168" i="18"/>
  <c r="O168" i="18"/>
  <c r="B1260" i="18"/>
  <c r="O1260" i="18"/>
  <c r="B342" i="18"/>
  <c r="O342" i="18"/>
  <c r="B898" i="18"/>
  <c r="O898" i="18"/>
  <c r="B167" i="18"/>
  <c r="O167" i="18"/>
  <c r="B645" i="18"/>
  <c r="O645" i="18"/>
  <c r="B588" i="18"/>
  <c r="O588" i="18"/>
  <c r="B412" i="18"/>
  <c r="O412" i="18"/>
  <c r="B51" i="18"/>
  <c r="O51" i="18"/>
  <c r="B1180" i="18"/>
  <c r="O1180" i="18"/>
  <c r="B411" i="18"/>
  <c r="O411" i="18"/>
  <c r="B382" i="18"/>
  <c r="O382" i="18"/>
  <c r="B337" i="18"/>
  <c r="O337" i="18"/>
  <c r="B165" i="18"/>
  <c r="O165" i="18"/>
  <c r="B49" i="18"/>
  <c r="C927" i="18" s="1"/>
  <c r="O49" i="18"/>
  <c r="B593" i="18"/>
  <c r="O593" i="18"/>
  <c r="B409" i="18"/>
  <c r="O409" i="18"/>
  <c r="B226" i="18"/>
  <c r="O226" i="18"/>
  <c r="B644" i="18"/>
  <c r="O644" i="18"/>
  <c r="B581" i="18"/>
  <c r="O581" i="18"/>
  <c r="B388" i="18"/>
  <c r="O388" i="18"/>
  <c r="B336" i="18"/>
  <c r="O336" i="18"/>
  <c r="B1176" i="18"/>
  <c r="O1176" i="18"/>
  <c r="O1373" i="18"/>
  <c r="O1353" i="18"/>
  <c r="O1345" i="18"/>
  <c r="O1289" i="18"/>
  <c r="O1157" i="18"/>
  <c r="O1013" i="18"/>
  <c r="O997" i="18"/>
  <c r="O805" i="18"/>
  <c r="O674" i="18"/>
  <c r="O642" i="18"/>
  <c r="O189" i="18"/>
  <c r="B1015" i="18"/>
  <c r="O1015" i="18"/>
  <c r="B999" i="18"/>
  <c r="O999" i="18"/>
  <c r="B249" i="18"/>
  <c r="O249" i="18"/>
  <c r="B190" i="18"/>
  <c r="O190" i="18"/>
  <c r="B131" i="18"/>
  <c r="O131" i="18"/>
  <c r="B1224" i="18"/>
  <c r="O1224" i="18"/>
  <c r="B595" i="18"/>
  <c r="O595" i="18"/>
  <c r="B248" i="18"/>
  <c r="O248" i="18"/>
  <c r="B716" i="18"/>
  <c r="O716" i="18"/>
  <c r="B891" i="18"/>
  <c r="O891" i="18"/>
  <c r="B410" i="18"/>
  <c r="O410" i="18"/>
  <c r="B647" i="18"/>
  <c r="O647" i="18"/>
  <c r="B504" i="18"/>
  <c r="O504" i="18"/>
  <c r="B460" i="18"/>
  <c r="O460" i="18"/>
  <c r="B230" i="18"/>
  <c r="O230" i="18"/>
  <c r="B97" i="18"/>
  <c r="O97" i="18"/>
  <c r="B54" i="18"/>
  <c r="O54" i="18"/>
  <c r="B255" i="18"/>
  <c r="O255" i="18"/>
  <c r="B50" i="18"/>
  <c r="O50" i="18"/>
  <c r="B254" i="18"/>
  <c r="O254" i="18"/>
  <c r="B179" i="18"/>
  <c r="O179" i="18"/>
  <c r="B1130" i="18"/>
  <c r="O1130" i="18"/>
  <c r="B955" i="18"/>
  <c r="O955" i="18"/>
  <c r="B130" i="18"/>
  <c r="O130" i="18"/>
  <c r="B1223" i="18"/>
  <c r="O1223" i="18"/>
  <c r="B1170" i="18"/>
  <c r="O1170" i="18"/>
  <c r="B804" i="18"/>
  <c r="O804" i="18"/>
  <c r="B503" i="18"/>
  <c r="O503" i="18"/>
  <c r="B333" i="18"/>
  <c r="O333" i="18"/>
  <c r="B178" i="18"/>
  <c r="O178" i="18"/>
  <c r="B1196" i="18"/>
  <c r="O1196" i="18"/>
  <c r="B802" i="18"/>
  <c r="O802" i="18"/>
  <c r="B96" i="18"/>
  <c r="C119" i="18" s="1"/>
  <c r="O96" i="18"/>
  <c r="B1168" i="18"/>
  <c r="O1168" i="18"/>
  <c r="O1372" i="18"/>
  <c r="O1352" i="18"/>
  <c r="O1344" i="18"/>
  <c r="O1169" i="18"/>
  <c r="O897" i="18"/>
  <c r="O801" i="18"/>
  <c r="O785" i="18"/>
  <c r="C282" i="18"/>
  <c r="C690" i="18"/>
  <c r="C46" i="18"/>
  <c r="C630" i="18"/>
  <c r="C810" i="18"/>
  <c r="C831" i="18"/>
  <c r="C632" i="18"/>
  <c r="C499" i="18"/>
  <c r="C904" i="18"/>
  <c r="C170" i="18"/>
  <c r="C113" i="18"/>
  <c r="C1054" i="18"/>
  <c r="C1358" i="18"/>
  <c r="C959" i="18"/>
  <c r="C1112" i="18"/>
  <c r="C979" i="18"/>
  <c r="C323" i="18"/>
  <c r="C204" i="18"/>
  <c r="C914" i="18"/>
  <c r="C806" i="18"/>
  <c r="C18" i="18"/>
  <c r="C895" i="18"/>
  <c r="C571" i="18"/>
  <c r="C1361" i="18"/>
  <c r="C779" i="18"/>
  <c r="C521" i="18"/>
  <c r="C1215" i="18"/>
  <c r="C968" i="18"/>
  <c r="C30" i="18"/>
  <c r="C668" i="18"/>
  <c r="C1115" i="18"/>
  <c r="C827" i="18"/>
  <c r="C1102" i="18"/>
  <c r="C995" i="18"/>
  <c r="C418" i="18"/>
  <c r="C294" i="18"/>
  <c r="C930" i="18"/>
  <c r="C826" i="18"/>
  <c r="C162" i="18"/>
  <c r="C2" i="18"/>
  <c r="C906" i="18"/>
  <c r="C667" i="18"/>
  <c r="C970" i="18"/>
  <c r="C757" i="18"/>
  <c r="C556" i="18"/>
  <c r="C102" i="18"/>
  <c r="C1292" i="18"/>
  <c r="C1068" i="18"/>
  <c r="C574" i="18"/>
  <c r="C329" i="18"/>
  <c r="C214" i="18"/>
  <c r="C293" i="18"/>
  <c r="C833" i="18"/>
  <c r="C496" i="18"/>
  <c r="C1057" i="18"/>
  <c r="C768" i="18"/>
  <c r="C481" i="18"/>
  <c r="C207" i="18"/>
  <c r="C1022" i="18"/>
  <c r="C685" i="18"/>
  <c r="C408" i="18"/>
  <c r="C73" i="18"/>
  <c r="G135" i="17"/>
  <c r="G125" i="17"/>
  <c r="G121" i="17"/>
  <c r="G91" i="17"/>
  <c r="G77" i="17"/>
  <c r="G71" i="17"/>
  <c r="G19" i="17"/>
  <c r="G112" i="17"/>
  <c r="G102" i="17"/>
  <c r="G86" i="17"/>
  <c r="G56" i="17"/>
  <c r="G42" i="17"/>
  <c r="G38" i="17"/>
  <c r="G32" i="17"/>
  <c r="G8" i="17"/>
  <c r="G2" i="17"/>
  <c r="G78" i="17" a="1"/>
  <c r="G57" i="17" a="1"/>
  <c r="G136" i="17" a="1"/>
  <c r="G20" i="17" a="1"/>
  <c r="G122" i="17" a="1"/>
  <c r="G87" i="17" a="1"/>
  <c r="G33" i="17" a="1"/>
  <c r="G39" i="17" a="1"/>
  <c r="G72" i="17" a="1"/>
  <c r="G103" i="17" a="1"/>
  <c r="G43" i="17" a="1"/>
  <c r="G3" i="17" a="1"/>
  <c r="G113" i="17" a="1"/>
  <c r="G92" i="17" a="1"/>
  <c r="G126" i="17" a="1"/>
  <c r="G9" i="17" a="1"/>
  <c r="C1196" i="18" l="1"/>
  <c r="C804" i="18"/>
  <c r="C1179" i="18"/>
  <c r="C283" i="18"/>
  <c r="C1114" i="18"/>
  <c r="C905" i="18"/>
  <c r="C322" i="18"/>
  <c r="C1137" i="18"/>
  <c r="C1325" i="18"/>
  <c r="C405" i="18"/>
  <c r="C1194" i="18"/>
  <c r="C535" i="18"/>
  <c r="C1363" i="18"/>
  <c r="C43" i="18"/>
  <c r="C237" i="18"/>
  <c r="C32" i="18"/>
  <c r="C929" i="18"/>
  <c r="C838" i="18"/>
  <c r="C210" i="18"/>
  <c r="C1149" i="18"/>
  <c r="C488" i="18"/>
  <c r="C1370" i="18"/>
  <c r="C104" i="18"/>
  <c r="C864" i="18"/>
  <c r="C239" i="18"/>
  <c r="C360" i="18"/>
  <c r="C174" i="18"/>
  <c r="C1230" i="18"/>
  <c r="C821" i="18"/>
  <c r="C549" i="18"/>
  <c r="C103" i="18"/>
  <c r="C679" i="18"/>
  <c r="C435" i="18"/>
  <c r="C406" i="18"/>
  <c r="C525" i="18"/>
  <c r="C185" i="18"/>
  <c r="C1109" i="18"/>
  <c r="C1339" i="18"/>
  <c r="C540" i="18"/>
  <c r="C1338" i="18"/>
  <c r="C807" i="18"/>
  <c r="C439" i="18"/>
  <c r="C394" i="18"/>
  <c r="C733" i="18"/>
  <c r="C902" i="18"/>
  <c r="C1342" i="18"/>
  <c r="C956" i="18"/>
  <c r="C96" i="18"/>
  <c r="C333" i="18"/>
  <c r="C955" i="18"/>
  <c r="C230" i="18"/>
  <c r="C205" i="18"/>
  <c r="C479" i="18"/>
  <c r="C765" i="18"/>
  <c r="C1053" i="18"/>
  <c r="C326" i="18"/>
  <c r="C577" i="18"/>
  <c r="C881" i="18"/>
  <c r="C1081" i="18"/>
  <c r="C328" i="18"/>
  <c r="C591" i="18"/>
  <c r="C886" i="18"/>
  <c r="C1012" i="18"/>
  <c r="C1243" i="18"/>
  <c r="C236" i="18"/>
  <c r="C367" i="18"/>
  <c r="C627" i="18"/>
  <c r="C946" i="18"/>
  <c r="C1159" i="18"/>
  <c r="C1380" i="18"/>
  <c r="C154" i="18"/>
  <c r="C387" i="18"/>
  <c r="C584" i="18"/>
  <c r="C836" i="18"/>
  <c r="C994" i="18"/>
  <c r="C1222" i="18"/>
  <c r="C373" i="18"/>
  <c r="C717" i="18"/>
  <c r="C1058" i="18"/>
  <c r="C27" i="18"/>
  <c r="C987" i="18"/>
  <c r="C36" i="18"/>
  <c r="C206" i="18"/>
  <c r="C445" i="18"/>
  <c r="C635" i="18"/>
  <c r="C867" i="18"/>
  <c r="C1063" i="18"/>
  <c r="C1267" i="18"/>
  <c r="C187" i="18"/>
  <c r="C316" i="18"/>
  <c r="C462" i="18"/>
  <c r="C573" i="18"/>
  <c r="C862" i="18"/>
  <c r="C1006" i="18"/>
  <c r="C1209" i="18"/>
  <c r="C62" i="18"/>
  <c r="C471" i="18"/>
  <c r="C894" i="18"/>
  <c r="C1167" i="18"/>
  <c r="C91" i="18"/>
  <c r="C456" i="18"/>
  <c r="C749" i="18"/>
  <c r="C98" i="18"/>
  <c r="C275" i="18"/>
  <c r="C820" i="18"/>
  <c r="C1024" i="18"/>
  <c r="C1266" i="18"/>
  <c r="C84" i="18"/>
  <c r="C288" i="18"/>
  <c r="C559" i="18"/>
  <c r="C803" i="18"/>
  <c r="C978" i="18"/>
  <c r="C1142" i="18"/>
  <c r="C136" i="18"/>
  <c r="C670" i="18"/>
  <c r="C982" i="18"/>
  <c r="C59" i="18"/>
  <c r="C1047" i="18"/>
  <c r="C67" i="18"/>
  <c r="C271" i="18"/>
  <c r="C586" i="18"/>
  <c r="C835" i="18"/>
  <c r="C943" i="18"/>
  <c r="C1205" i="18"/>
  <c r="C7" i="18"/>
  <c r="C232" i="18"/>
  <c r="C353" i="18"/>
  <c r="C530" i="18"/>
  <c r="C868" i="18"/>
  <c r="C1002" i="18"/>
  <c r="C1151" i="18"/>
  <c r="C114" i="18"/>
  <c r="C557" i="18"/>
  <c r="C989" i="18"/>
  <c r="C1203" i="18"/>
  <c r="C220" i="18"/>
  <c r="C469" i="18"/>
  <c r="C1093" i="18"/>
  <c r="C199" i="18"/>
  <c r="C1037" i="18"/>
  <c r="C1319" i="18"/>
  <c r="C432" i="18"/>
  <c r="C1138" i="18"/>
  <c r="C368" i="18"/>
  <c r="C1035" i="18"/>
  <c r="C936" i="18"/>
  <c r="C1064" i="18"/>
  <c r="C609" i="18"/>
  <c r="C135" i="18"/>
  <c r="C992" i="18"/>
  <c r="C1211" i="18"/>
  <c r="C359" i="18"/>
  <c r="C1216" i="18"/>
  <c r="C1038" i="18"/>
  <c r="C1214" i="18"/>
  <c r="C539" i="18"/>
  <c r="C661" i="18"/>
  <c r="C626" i="18"/>
  <c r="C1223" i="18"/>
  <c r="C1014" i="18"/>
  <c r="C698" i="18"/>
  <c r="C317" i="18"/>
  <c r="C732" i="18"/>
  <c r="C178" i="18"/>
  <c r="C358" i="18"/>
  <c r="C1110" i="18"/>
  <c r="C548" i="18"/>
  <c r="C1041" i="18"/>
  <c r="C1158" i="18"/>
  <c r="C993" i="18"/>
  <c r="C108" i="18"/>
  <c r="C701" i="18"/>
  <c r="C314" i="18"/>
  <c r="C1033" i="18"/>
  <c r="C1332" i="18"/>
  <c r="C245" i="18"/>
  <c r="C763" i="18"/>
  <c r="C42" i="18"/>
  <c r="C605" i="18"/>
  <c r="C1351" i="18"/>
  <c r="C1004" i="18"/>
  <c r="C602" i="18"/>
  <c r="C312" i="18"/>
  <c r="C19" i="18"/>
  <c r="C1187" i="18"/>
  <c r="C858" i="18"/>
  <c r="C619" i="18"/>
  <c r="C498" i="18"/>
  <c r="C302" i="18"/>
  <c r="C146" i="18"/>
  <c r="C1096" i="18"/>
  <c r="C231" i="18"/>
  <c r="C1125" i="18"/>
  <c r="C702" i="18"/>
  <c r="C1309" i="18"/>
  <c r="C1118" i="18"/>
  <c r="C965" i="18"/>
  <c r="C754" i="18"/>
  <c r="C542" i="18"/>
  <c r="C300" i="18"/>
  <c r="C101" i="18"/>
  <c r="C1286" i="18"/>
  <c r="C1056" i="18"/>
  <c r="C903" i="18"/>
  <c r="C564" i="18"/>
  <c r="C310" i="18"/>
  <c r="C194" i="18"/>
  <c r="C1330" i="18"/>
  <c r="C692" i="18"/>
  <c r="C355" i="18"/>
  <c r="C45" i="18"/>
  <c r="C1144" i="18"/>
  <c r="C872" i="18"/>
  <c r="C443" i="18"/>
  <c r="C117" i="18"/>
  <c r="C1120" i="18"/>
  <c r="C1003" i="18"/>
  <c r="C876" i="18"/>
  <c r="C600" i="18"/>
  <c r="C480" i="18"/>
  <c r="C330" i="18"/>
  <c r="C208" i="18"/>
  <c r="C16" i="18"/>
  <c r="C1210" i="18"/>
  <c r="C1094" i="18"/>
  <c r="C871" i="18"/>
  <c r="C750" i="18"/>
  <c r="C520" i="18"/>
  <c r="C351" i="18"/>
  <c r="C118" i="18"/>
  <c r="C1307" i="18"/>
  <c r="C621" i="18"/>
  <c r="C1084" i="18"/>
  <c r="C700" i="18"/>
  <c r="C253" i="18"/>
  <c r="C1208" i="18"/>
  <c r="C990" i="18"/>
  <c r="C812" i="18"/>
  <c r="C614" i="18"/>
  <c r="C352" i="18"/>
  <c r="C691" i="18"/>
  <c r="C1175" i="18"/>
  <c r="C221" i="18"/>
  <c r="C1252" i="18"/>
  <c r="C988" i="18"/>
  <c r="C357" i="18"/>
  <c r="C4" i="18"/>
  <c r="C1271" i="18"/>
  <c r="C452" i="18"/>
  <c r="C808" i="18"/>
  <c r="C1166" i="18"/>
  <c r="C1335" i="18"/>
  <c r="C88" i="18"/>
  <c r="C587" i="18"/>
  <c r="C1075" i="18"/>
  <c r="C1376" i="18"/>
  <c r="C682" i="18"/>
  <c r="C1147" i="18"/>
  <c r="C414" i="18"/>
  <c r="C1206" i="18"/>
  <c r="C910" i="18"/>
  <c r="C490" i="18"/>
  <c r="C215" i="18"/>
  <c r="C1355" i="18"/>
  <c r="C1104" i="18"/>
  <c r="C823" i="18"/>
  <c r="C546" i="18"/>
  <c r="C438" i="18"/>
  <c r="C240" i="18"/>
  <c r="C100" i="18"/>
  <c r="C933" i="18"/>
  <c r="C23" i="18"/>
  <c r="C1025" i="18"/>
  <c r="C660" i="18"/>
  <c r="C1276" i="18"/>
  <c r="C1097" i="18"/>
  <c r="C918" i="18"/>
  <c r="C744" i="18"/>
  <c r="C509" i="18"/>
  <c r="C260" i="18"/>
  <c r="C86" i="18"/>
  <c r="C1253" i="18"/>
  <c r="C1043" i="18"/>
  <c r="C860" i="18"/>
  <c r="C482" i="18"/>
  <c r="C289" i="18"/>
  <c r="C139" i="18"/>
  <c r="C1229" i="18"/>
  <c r="C677" i="18"/>
  <c r="C258" i="18"/>
  <c r="C5" i="18"/>
  <c r="C1011" i="18"/>
  <c r="C797" i="18"/>
  <c r="C365" i="18"/>
  <c r="C1379" i="18"/>
  <c r="C1098" i="18"/>
  <c r="C981" i="18"/>
  <c r="C837" i="18"/>
  <c r="C562" i="18"/>
  <c r="C437" i="18"/>
  <c r="C301" i="18"/>
  <c r="C142" i="18"/>
  <c r="C1346" i="18"/>
  <c r="C1184" i="18"/>
  <c r="C963" i="18"/>
  <c r="C847" i="18"/>
  <c r="C671" i="18"/>
  <c r="C508" i="18"/>
  <c r="C281" i="18"/>
  <c r="C71" i="18"/>
  <c r="C1227" i="18"/>
  <c r="C380" i="18"/>
  <c r="C841" i="18"/>
  <c r="C659" i="18"/>
  <c r="C1374" i="18"/>
  <c r="C1113" i="18"/>
  <c r="C954" i="18"/>
  <c r="C790" i="18"/>
  <c r="C536" i="18"/>
  <c r="C290" i="18"/>
  <c r="C99" i="18"/>
  <c r="C1320" i="18"/>
  <c r="C1042" i="18"/>
  <c r="C604" i="18"/>
  <c r="C350" i="18"/>
  <c r="C158" i="18"/>
  <c r="C1291" i="18"/>
  <c r="C1188" i="18"/>
  <c r="C900" i="18"/>
  <c r="C493" i="18"/>
  <c r="C133" i="18"/>
  <c r="C1263" i="18"/>
  <c r="C1095" i="18"/>
  <c r="C1260" i="18"/>
  <c r="C948" i="18"/>
  <c r="C494" i="18"/>
  <c r="C1103" i="18"/>
  <c r="C947" i="18"/>
  <c r="C343" i="18"/>
  <c r="C22" i="18"/>
  <c r="C859" i="18"/>
  <c r="C782" i="18"/>
  <c r="C1357" i="18"/>
  <c r="C622" i="18"/>
  <c r="C634" i="18"/>
  <c r="C846" i="18"/>
  <c r="C8" i="18"/>
  <c r="C377" i="18"/>
  <c r="C815" i="18"/>
  <c r="C613" i="18"/>
  <c r="C285" i="18"/>
  <c r="C1028" i="18"/>
  <c r="C250" i="18"/>
  <c r="C1122" i="18"/>
  <c r="C882" i="18"/>
  <c r="C484" i="18"/>
  <c r="C153" i="18"/>
  <c r="C1258" i="18"/>
  <c r="C1026" i="18"/>
  <c r="C800" i="18"/>
  <c r="C523" i="18"/>
  <c r="C403" i="18"/>
  <c r="C192" i="18"/>
  <c r="C1348" i="18"/>
  <c r="C809" i="18"/>
  <c r="C1323" i="18"/>
  <c r="C879" i="18"/>
  <c r="C392" i="18"/>
  <c r="C1219" i="18"/>
  <c r="C1049" i="18"/>
  <c r="C865" i="18"/>
  <c r="C636" i="18"/>
  <c r="C433" i="18"/>
  <c r="C201" i="18"/>
  <c r="C1378" i="18"/>
  <c r="C1183" i="18"/>
  <c r="C1008" i="18"/>
  <c r="C699" i="18"/>
  <c r="C395" i="18"/>
  <c r="C244" i="18"/>
  <c r="C79" i="18"/>
  <c r="C1090" i="18"/>
  <c r="C663" i="18"/>
  <c r="C172" i="18"/>
  <c r="C1283" i="18"/>
  <c r="C971" i="18"/>
  <c r="C585" i="18"/>
  <c r="C225" i="18"/>
  <c r="C1315" i="18"/>
  <c r="C1080" i="18"/>
  <c r="C939" i="18"/>
  <c r="C648" i="18"/>
  <c r="C531" i="18"/>
  <c r="C415" i="18"/>
  <c r="C284" i="18"/>
  <c r="C120" i="18"/>
  <c r="C1300" i="18"/>
  <c r="C1155" i="18"/>
  <c r="C923" i="18"/>
  <c r="C817" i="18"/>
  <c r="C599" i="18"/>
  <c r="C475" i="18"/>
  <c r="C188" i="18"/>
  <c r="C58" i="18"/>
  <c r="C1069" i="18"/>
  <c r="C77" i="18"/>
  <c r="C778" i="18"/>
  <c r="C450" i="18"/>
  <c r="C1305" i="18"/>
  <c r="C1067" i="18"/>
  <c r="C915" i="18"/>
  <c r="C752" i="18"/>
  <c r="C472" i="18"/>
  <c r="C259" i="18"/>
  <c r="C85" i="18"/>
  <c r="C1278" i="18"/>
  <c r="C941" i="18"/>
  <c r="C528" i="18"/>
  <c r="P1092" i="18"/>
  <c r="C307" i="18"/>
  <c r="C510" i="18"/>
  <c r="C856" i="18"/>
  <c r="C1073" i="18"/>
  <c r="C344" i="18"/>
  <c r="C656" i="18"/>
  <c r="C966" i="18"/>
  <c r="C28" i="18"/>
  <c r="C354" i="18"/>
  <c r="C664" i="18"/>
  <c r="C1051" i="18"/>
  <c r="C1052" i="18"/>
  <c r="C14" i="18"/>
  <c r="C256" i="18"/>
  <c r="C416" i="18"/>
  <c r="C755" i="18"/>
  <c r="C1019" i="18"/>
  <c r="C1198" i="18"/>
  <c r="C70" i="18"/>
  <c r="C203" i="18"/>
  <c r="C440" i="18"/>
  <c r="C638" i="18"/>
  <c r="C875" i="18"/>
  <c r="C1061" i="18"/>
  <c r="C1280" i="18"/>
  <c r="C407" i="18"/>
  <c r="C738" i="18"/>
  <c r="C1153" i="18"/>
  <c r="C261" i="18"/>
  <c r="C1140" i="18"/>
  <c r="C64" i="18"/>
  <c r="C246" i="18"/>
  <c r="C513" i="18"/>
  <c r="C724" i="18"/>
  <c r="C885" i="18"/>
  <c r="C1119" i="18"/>
  <c r="C1329" i="18"/>
  <c r="C219" i="18"/>
  <c r="C349" i="18"/>
  <c r="C485" i="18"/>
  <c r="C608" i="18"/>
  <c r="C883" i="18"/>
  <c r="C1045" i="18"/>
  <c r="C1256" i="18"/>
  <c r="C132" i="18"/>
  <c r="C544" i="18"/>
  <c r="C942" i="18"/>
  <c r="C1272" i="18"/>
  <c r="C161" i="18"/>
  <c r="C497" i="18"/>
  <c r="C850" i="18"/>
  <c r="C147" i="18"/>
  <c r="C298" i="18"/>
  <c r="C892" i="18"/>
  <c r="C1046" i="18"/>
  <c r="C1303" i="18"/>
  <c r="C95" i="18"/>
  <c r="C327" i="18"/>
  <c r="C672" i="18"/>
  <c r="C855" i="18"/>
  <c r="C1000" i="18"/>
  <c r="C1204" i="18"/>
  <c r="C379" i="18"/>
  <c r="C719" i="18"/>
  <c r="C1060" i="18"/>
  <c r="C287" i="18"/>
  <c r="C1141" i="18"/>
  <c r="C115" i="18"/>
  <c r="C507" i="18"/>
  <c r="C740" i="18"/>
  <c r="C870" i="18"/>
  <c r="C1076" i="18"/>
  <c r="C1247" i="18"/>
  <c r="C111" i="18"/>
  <c r="C265" i="18"/>
  <c r="C422" i="18"/>
  <c r="C560" i="18"/>
  <c r="C888" i="18"/>
  <c r="C1030" i="18"/>
  <c r="C1213" i="18"/>
  <c r="C183" i="18"/>
  <c r="C751" i="18"/>
  <c r="C1111" i="18"/>
  <c r="C6" i="18"/>
  <c r="C241" i="18"/>
  <c r="C676" i="18"/>
  <c r="C1377" i="18"/>
  <c r="C421" i="18"/>
  <c r="C1264" i="18"/>
  <c r="C919" i="18"/>
  <c r="C543" i="18"/>
  <c r="C1257" i="18"/>
  <c r="C489" i="18"/>
  <c r="C1202" i="18"/>
  <c r="C1189" i="18"/>
  <c r="C13" i="18"/>
  <c r="C944" i="18"/>
  <c r="C364" i="18"/>
  <c r="C1186" i="18"/>
  <c r="C398" i="18"/>
  <c r="C511" i="18"/>
  <c r="C80" i="18"/>
  <c r="C31" i="18"/>
  <c r="C555" i="18"/>
  <c r="C125" i="18"/>
  <c r="C537" i="18"/>
  <c r="C177" i="18"/>
  <c r="C340" i="18"/>
  <c r="C610" i="18"/>
  <c r="C960" i="18"/>
  <c r="C82" i="18"/>
  <c r="C434" i="18"/>
  <c r="C721" i="18"/>
  <c r="C1039" i="18"/>
  <c r="C87" i="18"/>
  <c r="C451" i="18"/>
  <c r="C729" i="18"/>
  <c r="C173" i="18"/>
  <c r="C1066" i="18"/>
  <c r="C143" i="18"/>
  <c r="C297" i="18"/>
  <c r="C505" i="18"/>
  <c r="C873" i="18"/>
  <c r="C1044" i="18"/>
  <c r="C1254" i="18"/>
  <c r="C90" i="18"/>
  <c r="C266" i="18"/>
  <c r="C515" i="18"/>
  <c r="C745" i="18"/>
  <c r="C926" i="18"/>
  <c r="C1106" i="18"/>
  <c r="C1359" i="18"/>
  <c r="C474" i="18"/>
  <c r="C811" i="18"/>
  <c r="C1288" i="18"/>
  <c r="C436" i="18"/>
  <c r="C1250" i="18"/>
  <c r="C107" i="18"/>
  <c r="C362" i="18"/>
  <c r="C532" i="18"/>
  <c r="C787" i="18"/>
  <c r="C912" i="18"/>
  <c r="C1146" i="18"/>
  <c r="C38" i="18"/>
  <c r="C252" i="18"/>
  <c r="C401" i="18"/>
  <c r="C491" i="18"/>
  <c r="C641" i="18"/>
  <c r="C922" i="18"/>
  <c r="C1092" i="18"/>
  <c r="C1302" i="18"/>
  <c r="C296" i="18"/>
  <c r="C606" i="18"/>
  <c r="C986" i="18"/>
  <c r="C1318" i="18"/>
  <c r="C339" i="18"/>
  <c r="C601" i="18"/>
  <c r="C1367" i="18"/>
  <c r="C217" i="18"/>
  <c r="C444" i="18"/>
  <c r="C928" i="18"/>
  <c r="C1087" i="18"/>
  <c r="C1354" i="18"/>
  <c r="C112" i="18"/>
  <c r="C470" i="18"/>
  <c r="C746" i="18"/>
  <c r="C909" i="18"/>
  <c r="C1065" i="18"/>
  <c r="C1262" i="18"/>
  <c r="C427" i="18"/>
  <c r="C772" i="18"/>
  <c r="C1316" i="18"/>
  <c r="C478" i="18"/>
  <c r="C1275" i="18"/>
  <c r="C184" i="18"/>
  <c r="C516" i="18"/>
  <c r="C789" i="18"/>
  <c r="C901" i="18"/>
  <c r="C1133" i="18"/>
  <c r="C1282" i="18"/>
  <c r="C134" i="18"/>
  <c r="C295" i="18"/>
  <c r="C468" i="18"/>
  <c r="C623" i="18"/>
  <c r="C932" i="18"/>
  <c r="C1048" i="18"/>
  <c r="C1308" i="18"/>
  <c r="C347" i="18"/>
  <c r="C869" i="18"/>
  <c r="C1284" i="18"/>
  <c r="C37" i="18"/>
  <c r="C303" i="18"/>
  <c r="C840" i="18"/>
  <c r="C56" i="18"/>
  <c r="C743" i="18"/>
  <c r="C381" i="18"/>
  <c r="C25" i="18"/>
  <c r="C791" i="18"/>
  <c r="C72" i="18"/>
  <c r="C624" i="18"/>
  <c r="C140" i="18"/>
  <c r="C122" i="18"/>
  <c r="C224" i="18"/>
  <c r="C1101" i="18"/>
  <c r="C583" i="18"/>
  <c r="C1375" i="18"/>
  <c r="C1239" i="18"/>
  <c r="C708" i="18"/>
  <c r="C372" i="18"/>
  <c r="C824" i="18"/>
  <c r="C159" i="18"/>
  <c r="C400" i="18"/>
  <c r="C1100" i="18"/>
  <c r="C1324" i="18"/>
  <c r="C167" i="18"/>
  <c r="C594" i="18"/>
  <c r="C997" i="18"/>
  <c r="C279" i="18"/>
  <c r="C1364" i="18"/>
  <c r="C794" i="18"/>
  <c r="C477" i="18"/>
  <c r="C453" i="18"/>
  <c r="C799" i="18"/>
  <c r="C748" i="18"/>
  <c r="C1362" i="18"/>
  <c r="C683" i="18"/>
  <c r="C212" i="18"/>
  <c r="C1365" i="18"/>
  <c r="C1062" i="18"/>
  <c r="C628" i="18"/>
  <c r="C465" i="18"/>
  <c r="C148" i="18"/>
  <c r="C1285" i="18"/>
  <c r="C974" i="18"/>
  <c r="C689" i="18"/>
  <c r="C431" i="18"/>
  <c r="C65" i="18"/>
  <c r="C127" i="18"/>
  <c r="C786" i="18"/>
  <c r="C662" i="18"/>
  <c r="C1130" i="18"/>
  <c r="C1170" i="18"/>
  <c r="C1360" i="18"/>
  <c r="C1238" i="18"/>
  <c r="C1079" i="18"/>
  <c r="C908" i="18"/>
  <c r="C758" i="18"/>
  <c r="C598" i="18"/>
  <c r="C464" i="18"/>
  <c r="C320" i="18"/>
  <c r="C1245" i="18"/>
  <c r="C937" i="18"/>
  <c r="C553" i="18"/>
  <c r="C273" i="18"/>
  <c r="C857" i="18"/>
  <c r="C428" i="18"/>
  <c r="C1298" i="18"/>
  <c r="C1023" i="18"/>
  <c r="C650" i="18"/>
  <c r="C315" i="18"/>
  <c r="C92" i="18"/>
  <c r="C15" i="18"/>
  <c r="C1237" i="18"/>
  <c r="C1059" i="18"/>
  <c r="C774" i="18"/>
  <c r="C486" i="18"/>
  <c r="C193" i="18"/>
  <c r="C1333" i="18"/>
  <c r="C1078" i="18"/>
  <c r="C793" i="18"/>
  <c r="C686" i="18"/>
  <c r="C458" i="18"/>
  <c r="C218" i="18"/>
  <c r="C921" i="18"/>
  <c r="C306" i="18"/>
  <c r="C1136" i="18"/>
  <c r="C726" i="18"/>
  <c r="C666" i="18"/>
  <c r="C890" i="18"/>
  <c r="C61" i="18"/>
  <c r="C341" i="18"/>
  <c r="C53" i="18"/>
  <c r="C1248" i="18"/>
  <c r="C1091" i="18"/>
  <c r="C969" i="18"/>
  <c r="C848" i="18"/>
  <c r="C680" i="18"/>
  <c r="C569" i="18"/>
  <c r="C375" i="18"/>
  <c r="C129" i="18"/>
  <c r="C1236" i="18"/>
  <c r="C973" i="18"/>
  <c r="C552" i="18"/>
  <c r="C209" i="18"/>
  <c r="C759" i="18"/>
  <c r="C426" i="18"/>
  <c r="C1233" i="18"/>
  <c r="C958" i="18"/>
  <c r="C442" i="18"/>
  <c r="C1036" i="18"/>
  <c r="C822" i="18"/>
  <c r="C533" i="18"/>
  <c r="C151" i="18"/>
  <c r="C640" i="18"/>
  <c r="C361" i="18"/>
  <c r="C251" i="18"/>
  <c r="C1017" i="18"/>
  <c r="C563" i="18"/>
  <c r="C155" i="18"/>
  <c r="C1251" i="18"/>
  <c r="C934" i="18"/>
  <c r="C603" i="18"/>
  <c r="C286" i="18"/>
  <c r="C110" i="18"/>
  <c r="C1212" i="18"/>
  <c r="C796" i="18"/>
  <c r="C655" i="18"/>
  <c r="C374" i="18"/>
  <c r="C935" i="18"/>
  <c r="C1281" i="18"/>
  <c r="C736" i="18"/>
  <c r="C335" i="18"/>
  <c r="C1344" i="18"/>
  <c r="C1341" i="18"/>
  <c r="C1165" i="18"/>
  <c r="C983" i="18"/>
  <c r="C851" i="18"/>
  <c r="C681" i="18"/>
  <c r="C576" i="18"/>
  <c r="C413" i="18"/>
  <c r="C109" i="18"/>
  <c r="C1171" i="18"/>
  <c r="C844" i="18"/>
  <c r="C466" i="18"/>
  <c r="C149" i="18"/>
  <c r="C731" i="18"/>
  <c r="C280" i="18"/>
  <c r="C1182" i="18"/>
  <c r="C972" i="18"/>
  <c r="C558" i="18"/>
  <c r="C270" i="18"/>
  <c r="C75" i="18"/>
  <c r="C1366" i="18"/>
  <c r="C1207" i="18"/>
  <c r="C1007" i="18"/>
  <c r="C625" i="18"/>
  <c r="C378" i="18"/>
  <c r="C160" i="18"/>
  <c r="C1312" i="18"/>
  <c r="C1071" i="18"/>
  <c r="C767" i="18"/>
  <c r="C596" i="18"/>
  <c r="C425" i="18"/>
  <c r="C150" i="18"/>
  <c r="C828" i="18"/>
  <c r="C247" i="18"/>
  <c r="C419" i="18"/>
  <c r="C534" i="18"/>
  <c r="C652" i="18"/>
  <c r="C952" i="18"/>
  <c r="C1088" i="18"/>
  <c r="C1228" i="18"/>
  <c r="C124" i="18"/>
  <c r="C457" i="18"/>
  <c r="C940" i="18"/>
  <c r="C1232" i="18"/>
  <c r="C138" i="18"/>
  <c r="C473" i="18"/>
  <c r="C694" i="18"/>
  <c r="C832" i="18"/>
  <c r="C83" i="18"/>
  <c r="C825" i="18"/>
  <c r="C39" i="18"/>
  <c r="C269" i="18"/>
  <c r="C705" i="18"/>
  <c r="C924" i="18"/>
  <c r="C1156" i="18"/>
  <c r="C3" i="18"/>
  <c r="C171" i="18"/>
  <c r="C449" i="18"/>
  <c r="C615" i="18"/>
  <c r="C1085" i="18"/>
  <c r="C1297" i="18"/>
  <c r="C21" i="18"/>
  <c r="C197" i="18"/>
  <c r="C345" i="18"/>
  <c r="C747" i="18"/>
  <c r="C1020" i="18"/>
  <c r="C1368" i="18"/>
  <c r="C730" i="18"/>
  <c r="C272" i="18"/>
  <c r="C773" i="18"/>
  <c r="C1221" i="18"/>
  <c r="C233" i="18"/>
  <c r="C518" i="18"/>
  <c r="C649" i="18"/>
  <c r="C880" i="18"/>
  <c r="C1010" i="18"/>
  <c r="C1195" i="18"/>
  <c r="C889" i="18"/>
  <c r="C734" i="18"/>
  <c r="C334" i="18"/>
  <c r="C684" i="18"/>
  <c r="C884" i="18"/>
  <c r="C116" i="18"/>
  <c r="C9" i="18"/>
  <c r="C567" i="18"/>
  <c r="C975" i="18"/>
  <c r="C145" i="18"/>
  <c r="C597" i="18"/>
  <c r="C1174" i="18"/>
  <c r="C41" i="18"/>
  <c r="C476" i="18"/>
  <c r="C1160" i="18"/>
  <c r="C707" i="18"/>
  <c r="C399" i="18"/>
  <c r="C1127" i="18"/>
  <c r="C376" i="18"/>
  <c r="C654" i="18"/>
  <c r="C961" i="18"/>
  <c r="C1295" i="18"/>
  <c r="C257" i="18"/>
  <c r="C1241" i="18"/>
  <c r="C262" i="18"/>
  <c r="C775" i="18"/>
  <c r="C33" i="18"/>
  <c r="C517" i="18"/>
  <c r="C1218" i="18"/>
  <c r="C417" i="18"/>
  <c r="C69" i="18"/>
  <c r="C1273" i="18"/>
  <c r="C1331" i="18"/>
  <c r="C541" i="18"/>
  <c r="C166" i="18"/>
  <c r="C1345" i="18"/>
  <c r="P1169" i="18"/>
  <c r="C644" i="18"/>
  <c r="C756" i="18"/>
  <c r="C907" i="18"/>
  <c r="C1143" i="18"/>
  <c r="C1311" i="18"/>
  <c r="C126" i="18"/>
  <c r="C291" i="18"/>
  <c r="C448" i="18"/>
  <c r="C566" i="18"/>
  <c r="C852" i="18"/>
  <c r="C991" i="18"/>
  <c r="C1099" i="18"/>
  <c r="C1277" i="18"/>
  <c r="C152" i="18"/>
  <c r="C514" i="18"/>
  <c r="C980" i="18"/>
  <c r="C1287" i="18"/>
  <c r="C176" i="18"/>
  <c r="C657" i="18"/>
  <c r="C706" i="18"/>
  <c r="C938" i="18"/>
  <c r="C235" i="18"/>
  <c r="C920" i="18"/>
  <c r="C137" i="18"/>
  <c r="C424" i="18"/>
  <c r="C720" i="18"/>
  <c r="C1001" i="18"/>
  <c r="C1269" i="18"/>
  <c r="C89" i="18"/>
  <c r="C267" i="18"/>
  <c r="C483" i="18"/>
  <c r="C761" i="18"/>
  <c r="C1145" i="18"/>
  <c r="C1326" i="18"/>
  <c r="C40" i="18"/>
  <c r="C216" i="18"/>
  <c r="C404" i="18"/>
  <c r="C780" i="18"/>
  <c r="C1108" i="18"/>
  <c r="C157" i="18"/>
  <c r="C1199" i="18"/>
  <c r="C324" i="18"/>
  <c r="C834" i="18"/>
  <c r="C1293" i="18"/>
  <c r="C313" i="18"/>
  <c r="C529" i="18"/>
  <c r="C742" i="18"/>
  <c r="C925" i="18"/>
  <c r="C1055" i="18"/>
  <c r="C1294" i="18"/>
  <c r="C60" i="18"/>
  <c r="C34" i="18"/>
  <c r="C318" i="18"/>
  <c r="C695" i="18"/>
  <c r="C977" i="18"/>
  <c r="C495" i="18"/>
  <c r="C292" i="18"/>
  <c r="C710" i="18"/>
  <c r="C1162" i="18"/>
  <c r="C276" i="18"/>
  <c r="C854" i="18"/>
  <c r="C1299" i="18"/>
  <c r="C211" i="18"/>
  <c r="C764" i="18"/>
  <c r="C1336" i="18"/>
  <c r="C1200" i="18"/>
  <c r="C673" i="18"/>
  <c r="C1314" i="18"/>
  <c r="C519" i="18"/>
  <c r="C776" i="18"/>
  <c r="C1107" i="18"/>
  <c r="C1343" i="18"/>
  <c r="C688" i="18"/>
  <c r="C633" i="18"/>
  <c r="C459" i="18"/>
  <c r="C1031" i="18"/>
  <c r="C200" i="18"/>
  <c r="C651" i="18"/>
  <c r="C17" i="18"/>
  <c r="C842" i="18"/>
  <c r="C849" i="18"/>
  <c r="C412" i="18"/>
  <c r="C1083" i="18"/>
  <c r="C446" i="18"/>
  <c r="C229" i="18"/>
  <c r="C196" i="18"/>
  <c r="C665" i="18"/>
  <c r="C725" i="18"/>
  <c r="C1134" i="18"/>
  <c r="C420" i="18"/>
  <c r="C1029" i="18"/>
  <c r="C198" i="18"/>
  <c r="C492" i="18"/>
  <c r="C760" i="18"/>
  <c r="C1040" i="18"/>
  <c r="C1310" i="18"/>
  <c r="C144" i="18"/>
  <c r="C321" i="18"/>
  <c r="C538" i="18"/>
  <c r="C818" i="18"/>
  <c r="C1192" i="18"/>
  <c r="C1356" i="18"/>
  <c r="C68" i="18"/>
  <c r="C242" i="18"/>
  <c r="C463" i="18"/>
  <c r="C819" i="18"/>
  <c r="C1150" i="18"/>
  <c r="C687" i="18"/>
  <c r="C1306" i="18"/>
  <c r="C390" i="18"/>
  <c r="C1050" i="18"/>
  <c r="C47" i="18"/>
  <c r="C348" i="18"/>
  <c r="C592" i="18"/>
  <c r="C771" i="18"/>
  <c r="C950" i="18"/>
  <c r="C1126" i="18"/>
  <c r="C1322" i="18"/>
  <c r="C801" i="18"/>
  <c r="C877" i="18"/>
  <c r="C554" i="18"/>
  <c r="C709" i="18"/>
  <c r="C1217" i="18"/>
  <c r="C616" i="18"/>
  <c r="C370" i="18"/>
  <c r="C728" i="18"/>
  <c r="C1270" i="18"/>
  <c r="C346" i="18"/>
  <c r="C916" i="18"/>
  <c r="C1337" i="18"/>
  <c r="C222" i="18"/>
  <c r="C830" i="18"/>
  <c r="C1369" i="18"/>
  <c r="C11" i="18"/>
  <c r="C788" i="18"/>
  <c r="C57" i="18"/>
  <c r="C547" i="18"/>
  <c r="C816" i="18"/>
  <c r="C1132" i="18"/>
  <c r="C130" i="18"/>
  <c r="C703" i="18"/>
  <c r="C829" i="18"/>
  <c r="C570" i="18"/>
  <c r="C1072" i="18"/>
  <c r="C243" i="18"/>
  <c r="C893" i="18"/>
  <c r="C24" i="18"/>
  <c r="C931" i="18"/>
  <c r="C121" i="18"/>
  <c r="C1317" i="18"/>
  <c r="C234" i="18"/>
  <c r="C949" i="18"/>
  <c r="C255" i="18"/>
  <c r="C1168" i="18"/>
  <c r="C802" i="18"/>
  <c r="C1117" i="18"/>
  <c r="C503" i="18"/>
  <c r="C629" i="18"/>
  <c r="C502" i="18"/>
  <c r="C248" i="18"/>
  <c r="C190" i="18"/>
  <c r="P1168" i="18"/>
  <c r="P802" i="18"/>
  <c r="P577" i="18"/>
  <c r="P298" i="18"/>
  <c r="P664" i="18"/>
  <c r="P394" i="18"/>
  <c r="P421" i="18"/>
  <c r="P850" i="18"/>
  <c r="P564" i="18"/>
  <c r="P364" i="18"/>
  <c r="P205" i="18"/>
  <c r="P214" i="18"/>
  <c r="P1254" i="18"/>
  <c r="P515" i="18"/>
  <c r="P1359" i="18"/>
  <c r="P436" i="18"/>
  <c r="P532" i="18"/>
  <c r="P38" i="18"/>
  <c r="P641" i="18"/>
  <c r="P785" i="18"/>
  <c r="P1344" i="18"/>
  <c r="C460" i="18"/>
  <c r="P642" i="18"/>
  <c r="P1013" i="18"/>
  <c r="P1353" i="18"/>
  <c r="P336" i="18"/>
  <c r="P581" i="18"/>
  <c r="P226" i="18"/>
  <c r="P593" i="18"/>
  <c r="P165" i="18"/>
  <c r="P382" i="18"/>
  <c r="P1180" i="18"/>
  <c r="P412" i="18"/>
  <c r="P645" i="18"/>
  <c r="P898" i="18"/>
  <c r="P1260" i="18"/>
  <c r="P55" i="18"/>
  <c r="P1014" i="18"/>
  <c r="P723" i="18"/>
  <c r="P502" i="18"/>
  <c r="P501" i="18"/>
  <c r="P1225" i="18"/>
  <c r="P877" i="18"/>
  <c r="P53" i="18"/>
  <c r="P341" i="18"/>
  <c r="P734" i="18"/>
  <c r="P61" i="18"/>
  <c r="P334" i="18"/>
  <c r="P1259" i="18"/>
  <c r="P441" i="18"/>
  <c r="P784" i="18"/>
  <c r="P229" i="18"/>
  <c r="P899" i="18"/>
  <c r="P643" i="18"/>
  <c r="P461" i="18"/>
  <c r="P878" i="18"/>
  <c r="P454" i="18"/>
  <c r="P881" i="18"/>
  <c r="P1046" i="18"/>
  <c r="P1051" i="18"/>
  <c r="P941" i="18"/>
  <c r="P743" i="18"/>
  <c r="P1330" i="18"/>
  <c r="P1043" i="18"/>
  <c r="P583" i="18"/>
  <c r="P479" i="18"/>
  <c r="P329" i="18"/>
  <c r="P154" i="18"/>
  <c r="P745" i="18"/>
  <c r="P474" i="18"/>
  <c r="P1250" i="18"/>
  <c r="P787" i="18"/>
  <c r="P252" i="18"/>
  <c r="P922" i="18"/>
  <c r="C1372" i="18"/>
  <c r="C179" i="18"/>
  <c r="C618" i="18"/>
  <c r="C718" i="18"/>
  <c r="C1163" i="18"/>
  <c r="C512" i="18"/>
  <c r="C10" i="18"/>
  <c r="C305" i="18"/>
  <c r="C545" i="18"/>
  <c r="C711" i="18"/>
  <c r="C861" i="18"/>
  <c r="C1082" i="18"/>
  <c r="C1347" i="18"/>
  <c r="C164" i="18"/>
  <c r="C356" i="18"/>
  <c r="C572" i="18"/>
  <c r="C783" i="18"/>
  <c r="C1105" i="18"/>
  <c r="C1304" i="18"/>
  <c r="C76" i="18"/>
  <c r="C384" i="18"/>
  <c r="C770" i="18"/>
  <c r="C1123" i="18"/>
  <c r="C697" i="18"/>
  <c r="C366" i="18"/>
  <c r="C1027" i="18"/>
  <c r="C526" i="18"/>
  <c r="C1021" i="18"/>
  <c r="C593" i="18"/>
  <c r="C105" i="18"/>
  <c r="C12" i="18"/>
  <c r="C813" i="18"/>
  <c r="C363" i="18"/>
  <c r="C1261" i="18"/>
  <c r="C795" i="18"/>
  <c r="C1148" i="18"/>
  <c r="C1135" i="18"/>
  <c r="C617" i="18"/>
  <c r="C1185" i="18"/>
  <c r="C228" i="18"/>
  <c r="C805" i="18"/>
  <c r="C410" i="18"/>
  <c r="P801" i="18"/>
  <c r="P1352" i="18"/>
  <c r="P96" i="18"/>
  <c r="P1196" i="18"/>
  <c r="P333" i="18"/>
  <c r="P804" i="18"/>
  <c r="P1223" i="18"/>
  <c r="P955" i="18"/>
  <c r="P179" i="18"/>
  <c r="P50" i="18"/>
  <c r="P54" i="18"/>
  <c r="P230" i="18"/>
  <c r="P504" i="18"/>
  <c r="P410" i="18"/>
  <c r="P716" i="18"/>
  <c r="P595" i="18"/>
  <c r="P131" i="18"/>
  <c r="P249" i="18"/>
  <c r="P1015" i="18"/>
  <c r="P674" i="18"/>
  <c r="P1157" i="18"/>
  <c r="P1373" i="18"/>
  <c r="P807" i="18"/>
  <c r="P1081" i="18"/>
  <c r="P1303" i="18"/>
  <c r="P6" i="18"/>
  <c r="P1278" i="18"/>
  <c r="P173" i="18"/>
  <c r="P194" i="18"/>
  <c r="P1286" i="18"/>
  <c r="P865" i="18"/>
  <c r="P765" i="18"/>
  <c r="P627" i="18"/>
  <c r="P960" i="18"/>
  <c r="P926" i="18"/>
  <c r="P811" i="18"/>
  <c r="P107" i="18"/>
  <c r="P912" i="18"/>
  <c r="P401" i="18"/>
  <c r="C1193" i="18"/>
  <c r="C561" i="18"/>
  <c r="C1234" i="18"/>
  <c r="C1240" i="18"/>
  <c r="C165" i="18"/>
  <c r="C814" i="18"/>
  <c r="C264" i="18"/>
  <c r="C1074" i="18"/>
  <c r="C575" i="18"/>
  <c r="C66" i="18"/>
  <c r="C1077" i="18"/>
  <c r="C268" i="18"/>
  <c r="C93" i="18"/>
  <c r="C769" i="18"/>
  <c r="C1349" i="18"/>
  <c r="C189" i="18"/>
  <c r="C878" i="18"/>
  <c r="P897" i="18"/>
  <c r="P1372" i="18"/>
  <c r="C325" i="18"/>
  <c r="C50" i="18"/>
  <c r="C54" i="18"/>
  <c r="C504" i="18"/>
  <c r="C716" i="18"/>
  <c r="C595" i="18"/>
  <c r="C131" i="18"/>
  <c r="C249" i="18"/>
  <c r="P805" i="18"/>
  <c r="P1289" i="18"/>
  <c r="P1176" i="18"/>
  <c r="P388" i="18"/>
  <c r="P644" i="18"/>
  <c r="P409" i="18"/>
  <c r="P49" i="18"/>
  <c r="P1361" i="18"/>
  <c r="P1109" i="18"/>
  <c r="P929" i="18"/>
  <c r="P779" i="18"/>
  <c r="P521" i="18"/>
  <c r="P185" i="18"/>
  <c r="P32" i="18"/>
  <c r="P892" i="18"/>
  <c r="P650" i="18"/>
  <c r="P315" i="18"/>
  <c r="P92" i="18"/>
  <c r="P15" i="18"/>
  <c r="P1237" i="18"/>
  <c r="P1059" i="18"/>
  <c r="P774" i="18"/>
  <c r="P486" i="18"/>
  <c r="P193" i="18"/>
  <c r="P1333" i="18"/>
  <c r="P1078" i="18"/>
  <c r="P793" i="18"/>
  <c r="P686" i="18"/>
  <c r="P458" i="18"/>
  <c r="P218" i="18"/>
  <c r="P921" i="18"/>
  <c r="P306" i="18"/>
  <c r="P1136" i="18"/>
  <c r="P726" i="18"/>
  <c r="P666" i="18"/>
  <c r="P177" i="18"/>
  <c r="P1318" i="18"/>
  <c r="P986" i="18"/>
  <c r="P606" i="18"/>
  <c r="P296" i="18"/>
  <c r="P337" i="18"/>
  <c r="P411" i="18"/>
  <c r="P51" i="18"/>
  <c r="P588" i="18"/>
  <c r="P167" i="18"/>
  <c r="P1294" i="18"/>
  <c r="P326" i="18"/>
  <c r="P147" i="18"/>
  <c r="P328" i="18"/>
  <c r="P220" i="18"/>
  <c r="P113" i="18"/>
  <c r="P456" i="18"/>
  <c r="P310" i="18"/>
  <c r="P135" i="18"/>
  <c r="P1097" i="18"/>
  <c r="P1073" i="18"/>
  <c r="P946" i="18"/>
  <c r="P1292" i="18"/>
  <c r="P1106" i="18"/>
  <c r="P1288" i="18"/>
  <c r="P362" i="18"/>
  <c r="P1146" i="18"/>
  <c r="P491" i="18"/>
  <c r="P1302" i="18"/>
  <c r="P571" i="18"/>
  <c r="P838" i="18"/>
  <c r="P1339" i="18"/>
  <c r="P895" i="18"/>
  <c r="P18" i="18"/>
  <c r="P210" i="18"/>
  <c r="P540" i="18"/>
  <c r="P806" i="18"/>
  <c r="P914" i="18"/>
  <c r="P1149" i="18"/>
  <c r="P1338" i="18"/>
  <c r="P204" i="18"/>
  <c r="P323" i="18"/>
  <c r="P488" i="18"/>
  <c r="P979" i="18"/>
  <c r="P1095" i="18"/>
  <c r="P1263" i="18"/>
  <c r="P133" i="18"/>
  <c r="P493" i="18"/>
  <c r="P900" i="18"/>
  <c r="P1188" i="18"/>
  <c r="P105" i="18"/>
  <c r="P618" i="18"/>
  <c r="P718" i="18"/>
  <c r="P1163" i="18"/>
  <c r="P512" i="18"/>
  <c r="P10" i="18"/>
  <c r="P305" i="18"/>
  <c r="P545" i="18"/>
  <c r="P711" i="18"/>
  <c r="P861" i="18"/>
  <c r="P1082" i="18"/>
  <c r="P1347" i="18"/>
  <c r="P164" i="18"/>
  <c r="P356" i="18"/>
  <c r="P572" i="18"/>
  <c r="P783" i="18"/>
  <c r="P1105" i="18"/>
  <c r="P1304" i="18"/>
  <c r="P24" i="18"/>
  <c r="P212" i="18"/>
  <c r="P496" i="18"/>
  <c r="P1320" i="18"/>
  <c r="P915" i="18"/>
  <c r="P1067" i="18"/>
  <c r="P1305" i="18"/>
  <c r="P450" i="18"/>
  <c r="P778" i="18"/>
  <c r="P77" i="18"/>
  <c r="P1069" i="18"/>
  <c r="P58" i="18"/>
  <c r="P188" i="18"/>
  <c r="P475" i="18"/>
  <c r="P599" i="18"/>
  <c r="P817" i="18"/>
  <c r="P923" i="18"/>
  <c r="P1155" i="18"/>
  <c r="P1300" i="18"/>
  <c r="P120" i="18"/>
  <c r="P284" i="18"/>
  <c r="P415" i="18"/>
  <c r="P531" i="18"/>
  <c r="P648" i="18"/>
  <c r="P939" i="18"/>
  <c r="P1080" i="18"/>
  <c r="P1315" i="18"/>
  <c r="P225" i="18"/>
  <c r="P585" i="18"/>
  <c r="P971" i="18"/>
  <c r="P1283" i="18"/>
  <c r="P172" i="18"/>
  <c r="P663" i="18"/>
  <c r="P737" i="18"/>
  <c r="P1244" i="18"/>
  <c r="P565" i="18"/>
  <c r="P1350" i="18"/>
  <c r="P238" i="18"/>
  <c r="P430" i="18"/>
  <c r="P669" i="18"/>
  <c r="P781" i="18"/>
  <c r="P1034" i="18"/>
  <c r="P1296" i="18"/>
  <c r="P128" i="18"/>
  <c r="P308" i="18"/>
  <c r="P522" i="18"/>
  <c r="P653" i="18"/>
  <c r="P1016" i="18"/>
  <c r="P1220" i="18"/>
  <c r="P29" i="18"/>
  <c r="P213" i="18"/>
  <c r="P393" i="18"/>
  <c r="P777" i="18"/>
  <c r="P1018" i="18"/>
  <c r="P1052" i="18"/>
  <c r="P1056" i="18"/>
  <c r="P1219" i="18"/>
  <c r="P392" i="18"/>
  <c r="P879" i="18"/>
  <c r="P1323" i="18"/>
  <c r="P809" i="18"/>
  <c r="P1348" i="18"/>
  <c r="P192" i="18"/>
  <c r="P403" i="18"/>
  <c r="P523" i="18"/>
  <c r="P756" i="18"/>
  <c r="P907" i="18"/>
  <c r="P1143" i="18"/>
  <c r="P1311" i="18"/>
  <c r="P126" i="18"/>
  <c r="P291" i="18"/>
  <c r="P448" i="18"/>
  <c r="P566" i="18"/>
  <c r="P852" i="18"/>
  <c r="P991" i="18"/>
  <c r="P1099" i="18"/>
  <c r="P1277" i="18"/>
  <c r="P152" i="18"/>
  <c r="P514" i="18"/>
  <c r="P980" i="18"/>
  <c r="P1287" i="18"/>
  <c r="P176" i="18"/>
  <c r="P657" i="18"/>
  <c r="P706" i="18"/>
  <c r="P938" i="18"/>
  <c r="P235" i="18"/>
  <c r="P920" i="18"/>
  <c r="P137" i="18"/>
  <c r="P424" i="18"/>
  <c r="P720" i="18"/>
  <c r="P1001" i="18"/>
  <c r="P1269" i="18"/>
  <c r="P89" i="18"/>
  <c r="P267" i="18"/>
  <c r="P483" i="18"/>
  <c r="P761" i="18"/>
  <c r="P972" i="18"/>
  <c r="P1182" i="18"/>
  <c r="P280" i="18"/>
  <c r="P731" i="18"/>
  <c r="P149" i="18"/>
  <c r="P466" i="18"/>
  <c r="P844" i="18"/>
  <c r="P1171" i="18"/>
  <c r="P109" i="18"/>
  <c r="P413" i="18"/>
  <c r="P576" i="18"/>
  <c r="P681" i="18"/>
  <c r="P851" i="18"/>
  <c r="P983" i="18"/>
  <c r="P1165" i="18"/>
  <c r="P1341" i="18"/>
  <c r="P563" i="18"/>
  <c r="P842" i="18"/>
  <c r="P1123" i="18"/>
  <c r="P1362" i="18"/>
  <c r="P697" i="18"/>
  <c r="P69" i="18"/>
  <c r="P366" i="18"/>
  <c r="P748" i="18"/>
  <c r="P1027" i="18"/>
  <c r="P1328" i="18"/>
  <c r="P191" i="18"/>
  <c r="P423" i="18"/>
  <c r="P579" i="18"/>
  <c r="P696" i="18"/>
  <c r="P866" i="18"/>
  <c r="P984" i="18"/>
  <c r="P1116" i="18"/>
  <c r="P1301" i="18"/>
  <c r="P1364" i="18"/>
  <c r="P698" i="18"/>
  <c r="P1148" i="18"/>
  <c r="P268" i="18"/>
  <c r="P541" i="18"/>
  <c r="P822" i="18"/>
  <c r="P1135" i="18"/>
  <c r="P93" i="18"/>
  <c r="P279" i="18"/>
  <c r="P446" i="18"/>
  <c r="P617" i="18"/>
  <c r="P769" i="18"/>
  <c r="P949" i="18"/>
  <c r="P1036" i="18"/>
  <c r="P1185" i="18"/>
  <c r="P1349" i="18"/>
  <c r="P1297" i="18"/>
  <c r="P21" i="18"/>
  <c r="P197" i="18"/>
  <c r="P345" i="18"/>
  <c r="P747" i="18"/>
  <c r="P958" i="18"/>
  <c r="P1233" i="18"/>
  <c r="P426" i="18"/>
  <c r="P759" i="18"/>
  <c r="P209" i="18"/>
  <c r="P552" i="18"/>
  <c r="P973" i="18"/>
  <c r="P1236" i="18"/>
  <c r="P129" i="18"/>
  <c r="P375" i="18"/>
  <c r="P569" i="18"/>
  <c r="P680" i="18"/>
  <c r="P848" i="18"/>
  <c r="P969" i="18"/>
  <c r="P1091" i="18"/>
  <c r="P1248" i="18"/>
  <c r="P889" i="18"/>
  <c r="P1273" i="18"/>
  <c r="P277" i="18"/>
  <c r="P582" i="18"/>
  <c r="P998" i="18"/>
  <c r="P389" i="18"/>
  <c r="P1274" i="18"/>
  <c r="P35" i="18"/>
  <c r="P500" i="18"/>
  <c r="P1131" i="18"/>
  <c r="P453" i="18"/>
  <c r="P1181" i="18"/>
  <c r="P344" i="18"/>
  <c r="P656" i="18"/>
  <c r="P966" i="18"/>
  <c r="P1367" i="18"/>
  <c r="P217" i="18"/>
  <c r="P444" i="18"/>
  <c r="P1087" i="18"/>
  <c r="P28" i="18"/>
  <c r="P354" i="18"/>
  <c r="P729" i="18"/>
  <c r="P1090" i="18"/>
  <c r="P37" i="18"/>
  <c r="P241" i="18"/>
  <c r="P469" i="18"/>
  <c r="P1042" i="18"/>
  <c r="P56" i="18"/>
  <c r="P199" i="18"/>
  <c r="P472" i="18"/>
  <c r="P752" i="18"/>
  <c r="P293" i="18"/>
  <c r="P497" i="18"/>
  <c r="P1066" i="18"/>
  <c r="P13" i="18"/>
  <c r="P224" i="18"/>
  <c r="P360" i="18"/>
  <c r="P609" i="18"/>
  <c r="P1101" i="18"/>
  <c r="P1342" i="18"/>
  <c r="P201" i="18"/>
  <c r="P433" i="18"/>
  <c r="P744" i="18"/>
  <c r="P918" i="18"/>
  <c r="P1118" i="18"/>
  <c r="P307" i="18"/>
  <c r="P510" i="18"/>
  <c r="P856" i="18"/>
  <c r="P1243" i="18"/>
  <c r="P236" i="18"/>
  <c r="P367" i="18"/>
  <c r="P755" i="18"/>
  <c r="P1019" i="18"/>
  <c r="P70" i="18"/>
  <c r="P203" i="18"/>
  <c r="P416" i="18"/>
  <c r="P1380" i="18"/>
  <c r="P556" i="18"/>
  <c r="P757" i="18"/>
  <c r="P970" i="18"/>
  <c r="P1137" i="18"/>
  <c r="P119" i="18"/>
  <c r="P667" i="18"/>
  <c r="P906" i="18"/>
  <c r="P1325" i="18"/>
  <c r="P821" i="18"/>
  <c r="P2" i="18"/>
  <c r="P162" i="18"/>
  <c r="P405" i="18"/>
  <c r="P549" i="18"/>
  <c r="P826" i="18"/>
  <c r="P930" i="18"/>
  <c r="P1194" i="18"/>
  <c r="P103" i="18"/>
  <c r="P294" i="18"/>
  <c r="P418" i="18"/>
  <c r="P535" i="18"/>
  <c r="P679" i="18"/>
  <c r="P995" i="18"/>
  <c r="P1102" i="18"/>
  <c r="P1363" i="18"/>
  <c r="P435" i="18"/>
  <c r="P827" i="18"/>
  <c r="P1115" i="18"/>
  <c r="P43" i="18"/>
  <c r="P318" i="18"/>
  <c r="P684" i="18"/>
  <c r="P782" i="18"/>
  <c r="P1217" i="18"/>
  <c r="P495" i="18"/>
  <c r="P1041" i="18"/>
  <c r="P292" i="18"/>
  <c r="P537" i="18"/>
  <c r="P710" i="18"/>
  <c r="P859" i="18"/>
  <c r="P1162" i="18"/>
  <c r="P4" i="18"/>
  <c r="P276" i="18"/>
  <c r="P548" i="18"/>
  <c r="P854" i="18"/>
  <c r="P1100" i="18"/>
  <c r="P1299" i="18"/>
  <c r="P22" i="18"/>
  <c r="P211" i="18"/>
  <c r="P357" i="18"/>
  <c r="P764" i="18"/>
  <c r="P968" i="18"/>
  <c r="P84" i="18"/>
  <c r="P288" i="18"/>
  <c r="P559" i="18"/>
  <c r="P803" i="18"/>
  <c r="P978" i="18"/>
  <c r="P1142" i="18"/>
  <c r="P136" i="18"/>
  <c r="P670" i="18"/>
  <c r="P982" i="18"/>
  <c r="P59" i="18"/>
  <c r="P1047" i="18"/>
  <c r="P67" i="18"/>
  <c r="P271" i="18"/>
  <c r="P586" i="18"/>
  <c r="P835" i="18"/>
  <c r="P943" i="18"/>
  <c r="P1205" i="18"/>
  <c r="P7" i="18"/>
  <c r="P232" i="18"/>
  <c r="P353" i="18"/>
  <c r="P530" i="18"/>
  <c r="P868" i="18"/>
  <c r="P1002" i="18"/>
  <c r="P1112" i="18"/>
  <c r="P1308" i="18"/>
  <c r="P183" i="18"/>
  <c r="P557" i="18"/>
  <c r="P959" i="18"/>
  <c r="P1284" i="18"/>
  <c r="P182" i="18"/>
  <c r="P662" i="18"/>
  <c r="P736" i="18"/>
  <c r="P1241" i="18"/>
  <c r="P633" i="18"/>
  <c r="P65" i="18"/>
  <c r="P374" i="18"/>
  <c r="P570" i="18"/>
  <c r="P732" i="18"/>
  <c r="P974" i="18"/>
  <c r="P1212" i="18"/>
  <c r="P33" i="18"/>
  <c r="P200" i="18"/>
  <c r="P465" i="18"/>
  <c r="P603" i="18"/>
  <c r="P893" i="18"/>
  <c r="P1175" i="18"/>
  <c r="P1340" i="18"/>
  <c r="P48" i="18"/>
  <c r="P304" i="18"/>
  <c r="P1064" i="18"/>
  <c r="P1377" i="18"/>
  <c r="P954" i="18"/>
  <c r="P1113" i="18"/>
  <c r="P1374" i="18"/>
  <c r="P659" i="18"/>
  <c r="P841" i="18"/>
  <c r="P380" i="18"/>
  <c r="P1227" i="18"/>
  <c r="P71" i="18"/>
  <c r="P281" i="18"/>
  <c r="P508" i="18"/>
  <c r="P671" i="18"/>
  <c r="P847" i="18"/>
  <c r="P963" i="18"/>
  <c r="P1184" i="18"/>
  <c r="P1346" i="18"/>
  <c r="P142" i="18"/>
  <c r="P301" i="18"/>
  <c r="P437" i="18"/>
  <c r="P562" i="18"/>
  <c r="P837" i="18"/>
  <c r="P981" i="18"/>
  <c r="P1098" i="18"/>
  <c r="P1379" i="18"/>
  <c r="P365" i="18"/>
  <c r="P797" i="18"/>
  <c r="P1011" i="18"/>
  <c r="P5" i="18"/>
  <c r="P258" i="18"/>
  <c r="P677" i="18"/>
  <c r="P814" i="18"/>
  <c r="P1317" i="18"/>
  <c r="P640" i="18"/>
  <c r="P12" i="18"/>
  <c r="P264" i="18"/>
  <c r="P477" i="18"/>
  <c r="P691" i="18"/>
  <c r="P813" i="18"/>
  <c r="P1074" i="18"/>
  <c r="P1331" i="18"/>
  <c r="P151" i="18"/>
  <c r="P363" i="18"/>
  <c r="P575" i="18"/>
  <c r="P794" i="18"/>
  <c r="P1083" i="18"/>
  <c r="P1261" i="18"/>
  <c r="P66" i="18"/>
  <c r="P234" i="18"/>
  <c r="P533" i="18"/>
  <c r="P795" i="18"/>
  <c r="P1077" i="18"/>
  <c r="P860" i="18"/>
  <c r="P1378" i="18"/>
  <c r="P1276" i="18"/>
  <c r="P660" i="18"/>
  <c r="P1025" i="18"/>
  <c r="P23" i="18"/>
  <c r="P933" i="18"/>
  <c r="P100" i="18"/>
  <c r="P240" i="18"/>
  <c r="P438" i="18"/>
  <c r="P546" i="18"/>
  <c r="P800" i="18"/>
  <c r="P927" i="18"/>
  <c r="P1187" i="18"/>
  <c r="P1355" i="18"/>
  <c r="P153" i="18"/>
  <c r="P312" i="18"/>
  <c r="P484" i="18"/>
  <c r="P602" i="18"/>
  <c r="P882" i="18"/>
  <c r="P1004" i="18"/>
  <c r="P1122" i="18"/>
  <c r="P1351" i="18"/>
  <c r="P250" i="18"/>
  <c r="P605" i="18"/>
  <c r="P1028" i="18"/>
  <c r="P42" i="18"/>
  <c r="P196" i="18"/>
  <c r="P665" i="18"/>
  <c r="P725" i="18"/>
  <c r="P1134" i="18"/>
  <c r="P420" i="18"/>
  <c r="P1029" i="18"/>
  <c r="P198" i="18"/>
  <c r="P492" i="18"/>
  <c r="P760" i="18"/>
  <c r="P1040" i="18"/>
  <c r="P1310" i="18"/>
  <c r="P144" i="18"/>
  <c r="P321" i="18"/>
  <c r="P538" i="18"/>
  <c r="P818" i="18"/>
  <c r="P1023" i="18"/>
  <c r="P1298" i="18"/>
  <c r="P428" i="18"/>
  <c r="P857" i="18"/>
  <c r="P273" i="18"/>
  <c r="P553" i="18"/>
  <c r="P937" i="18"/>
  <c r="P1245" i="18"/>
  <c r="P320" i="18"/>
  <c r="P464" i="18"/>
  <c r="P598" i="18"/>
  <c r="P758" i="18"/>
  <c r="P908" i="18"/>
  <c r="P1079" i="18"/>
  <c r="P1238" i="18"/>
  <c r="P1360" i="18"/>
  <c r="P683" i="18"/>
  <c r="P931" i="18"/>
  <c r="P1164" i="18"/>
  <c r="P94" i="18"/>
  <c r="P712" i="18"/>
  <c r="P156" i="18"/>
  <c r="P402" i="18"/>
  <c r="P798" i="18"/>
  <c r="P1191" i="18"/>
  <c r="P74" i="18"/>
  <c r="P325" i="18"/>
  <c r="P487" i="18"/>
  <c r="P607" i="18"/>
  <c r="P766" i="18"/>
  <c r="P911" i="18"/>
  <c r="P1005" i="18"/>
  <c r="P1139" i="18"/>
  <c r="P1173" i="18"/>
  <c r="P141" i="18"/>
  <c r="P713" i="18"/>
  <c r="P1268" i="18"/>
  <c r="P311" i="18"/>
  <c r="P578" i="18"/>
  <c r="P863" i="18"/>
  <c r="P1201" i="18"/>
  <c r="P123" i="18"/>
  <c r="P331" i="18"/>
  <c r="P506" i="18"/>
  <c r="P631" i="18"/>
  <c r="P845" i="18"/>
  <c r="P967" i="18"/>
  <c r="P1089" i="18"/>
  <c r="P1242" i="18"/>
  <c r="P1145" i="18"/>
  <c r="P1326" i="18"/>
  <c r="P40" i="18"/>
  <c r="P216" i="18"/>
  <c r="P404" i="18"/>
  <c r="P780" i="18"/>
  <c r="P1020" i="18"/>
  <c r="P1335" i="18"/>
  <c r="P687" i="18"/>
  <c r="P1199" i="18"/>
  <c r="P272" i="18"/>
  <c r="P634" i="18"/>
  <c r="P1050" i="18"/>
  <c r="P1293" i="18"/>
  <c r="P233" i="18"/>
  <c r="P400" i="18"/>
  <c r="P592" i="18"/>
  <c r="P742" i="18"/>
  <c r="P880" i="18"/>
  <c r="P993" i="18"/>
  <c r="P1126" i="18"/>
  <c r="P342" i="18"/>
  <c r="P168" i="18"/>
  <c r="P383" i="18"/>
  <c r="P227" i="18"/>
  <c r="P735" i="18"/>
  <c r="P278" i="18"/>
  <c r="P1129" i="18"/>
  <c r="P1290" i="18"/>
  <c r="C277" i="18"/>
  <c r="C582" i="18"/>
  <c r="C998" i="18"/>
  <c r="C389" i="18"/>
  <c r="C1274" i="18"/>
  <c r="C1181" i="18"/>
  <c r="C500" i="18"/>
  <c r="C1131" i="18"/>
  <c r="P594" i="18"/>
  <c r="P1197" i="18"/>
  <c r="P60" i="18"/>
  <c r="P452" i="18"/>
  <c r="P34" i="18"/>
  <c r="P1158" i="18"/>
  <c r="P890" i="18"/>
  <c r="P338" i="18"/>
  <c r="P675" i="18"/>
  <c r="P52" i="18"/>
  <c r="P646" i="18"/>
  <c r="P956" i="18"/>
  <c r="P715" i="18"/>
  <c r="P589" i="18"/>
  <c r="P180" i="18"/>
  <c r="P82" i="18"/>
  <c r="P434" i="18"/>
  <c r="P721" i="18"/>
  <c r="P1039" i="18"/>
  <c r="P30" i="18"/>
  <c r="P237" i="18"/>
  <c r="P525" i="18"/>
  <c r="P1215" i="18"/>
  <c r="P87" i="18"/>
  <c r="P451" i="18"/>
  <c r="P833" i="18"/>
  <c r="P1203" i="18"/>
  <c r="P104" i="18"/>
  <c r="P303" i="18"/>
  <c r="P604" i="18"/>
  <c r="P1054" i="18"/>
  <c r="P85" i="18"/>
  <c r="P259" i="18"/>
  <c r="P536" i="18"/>
  <c r="P790" i="18"/>
  <c r="P339" i="18"/>
  <c r="P601" i="18"/>
  <c r="P1114" i="18"/>
  <c r="P79" i="18"/>
  <c r="P244" i="18"/>
  <c r="P395" i="18"/>
  <c r="P699" i="18"/>
  <c r="P1183" i="18"/>
  <c r="P86" i="18"/>
  <c r="P260" i="18"/>
  <c r="P509" i="18"/>
  <c r="P754" i="18"/>
  <c r="P965" i="18"/>
  <c r="P1186" i="18"/>
  <c r="P340" i="18"/>
  <c r="P610" i="18"/>
  <c r="P1022" i="18"/>
  <c r="P14" i="18"/>
  <c r="P256" i="18"/>
  <c r="P505" i="18"/>
  <c r="P873" i="18"/>
  <c r="P1159" i="18"/>
  <c r="P90" i="18"/>
  <c r="P266" i="18"/>
  <c r="P1044" i="18"/>
  <c r="P387" i="18"/>
  <c r="P584" i="18"/>
  <c r="P836" i="18"/>
  <c r="P994" i="18"/>
  <c r="P1222" i="18"/>
  <c r="P373" i="18"/>
  <c r="P717" i="18"/>
  <c r="P1058" i="18"/>
  <c r="P27" i="18"/>
  <c r="P987" i="18"/>
  <c r="P36" i="18"/>
  <c r="P206" i="18"/>
  <c r="P445" i="18"/>
  <c r="P635" i="18"/>
  <c r="P867" i="18"/>
  <c r="P1063" i="18"/>
  <c r="P1267" i="18"/>
  <c r="P187" i="18"/>
  <c r="P316" i="18"/>
  <c r="P462" i="18"/>
  <c r="P573" i="18"/>
  <c r="P862" i="18"/>
  <c r="P1006" i="18"/>
  <c r="P1209" i="18"/>
  <c r="P62" i="18"/>
  <c r="P471" i="18"/>
  <c r="P894" i="18"/>
  <c r="P1167" i="18"/>
  <c r="P91" i="18"/>
  <c r="P554" i="18"/>
  <c r="P695" i="18"/>
  <c r="P884" i="18"/>
  <c r="P1271" i="18"/>
  <c r="P616" i="18"/>
  <c r="P9" i="18"/>
  <c r="P370" i="18"/>
  <c r="P567" i="18"/>
  <c r="P728" i="18"/>
  <c r="P975" i="18"/>
  <c r="P1270" i="18"/>
  <c r="P145" i="18"/>
  <c r="P346" i="18"/>
  <c r="P597" i="18"/>
  <c r="P916" i="18"/>
  <c r="P1174" i="18"/>
  <c r="P1337" i="18"/>
  <c r="P41" i="18"/>
  <c r="P222" i="18"/>
  <c r="P476" i="18"/>
  <c r="P830" i="18"/>
  <c r="P1024" i="18"/>
  <c r="P95" i="18"/>
  <c r="P327" i="18"/>
  <c r="P672" i="18"/>
  <c r="P855" i="18"/>
  <c r="P1000" i="18"/>
  <c r="P1204" i="18"/>
  <c r="P379" i="18"/>
  <c r="P719" i="18"/>
  <c r="P1060" i="18"/>
  <c r="P287" i="18"/>
  <c r="P1141" i="18"/>
  <c r="P115" i="18"/>
  <c r="P507" i="18"/>
  <c r="P740" i="18"/>
  <c r="P870" i="18"/>
  <c r="P1076" i="18"/>
  <c r="P1247" i="18"/>
  <c r="P111" i="18"/>
  <c r="P265" i="18"/>
  <c r="P422" i="18"/>
  <c r="P560" i="18"/>
  <c r="P888" i="18"/>
  <c r="P1030" i="18"/>
  <c r="P1151" i="18"/>
  <c r="P1370" i="18"/>
  <c r="P347" i="18"/>
  <c r="P751" i="18"/>
  <c r="P989" i="18"/>
  <c r="P1358" i="18"/>
  <c r="P257" i="18"/>
  <c r="P688" i="18"/>
  <c r="P786" i="18"/>
  <c r="P1281" i="18"/>
  <c r="P829" i="18"/>
  <c r="P221" i="18"/>
  <c r="P431" i="18"/>
  <c r="P655" i="18"/>
  <c r="P775" i="18"/>
  <c r="P1031" i="18"/>
  <c r="P1285" i="18"/>
  <c r="P110" i="18"/>
  <c r="P243" i="18"/>
  <c r="P494" i="18"/>
  <c r="P628" i="18"/>
  <c r="P934" i="18"/>
  <c r="P1218" i="18"/>
  <c r="P1365" i="18"/>
  <c r="P76" i="18"/>
  <c r="P317" i="18"/>
  <c r="P528" i="18"/>
  <c r="P352" i="18"/>
  <c r="P990" i="18"/>
  <c r="P1208" i="18"/>
  <c r="P253" i="18"/>
  <c r="P700" i="18"/>
  <c r="P1084" i="18"/>
  <c r="P621" i="18"/>
  <c r="P1307" i="18"/>
  <c r="P118" i="18"/>
  <c r="P351" i="18"/>
  <c r="P520" i="18"/>
  <c r="P750" i="18"/>
  <c r="P871" i="18"/>
  <c r="P1094" i="18"/>
  <c r="P1210" i="18"/>
  <c r="P16" i="18"/>
  <c r="P208" i="18"/>
  <c r="P330" i="18"/>
  <c r="P480" i="18"/>
  <c r="P600" i="18"/>
  <c r="P876" i="18"/>
  <c r="P1003" i="18"/>
  <c r="P1120" i="18"/>
  <c r="P117" i="18"/>
  <c r="P443" i="18"/>
  <c r="P872" i="18"/>
  <c r="P1144" i="18"/>
  <c r="P45" i="18"/>
  <c r="P355" i="18"/>
  <c r="P692" i="18"/>
  <c r="P913" i="18"/>
  <c r="P181" i="18"/>
  <c r="P853" i="18"/>
  <c r="P78" i="18"/>
  <c r="P319" i="18"/>
  <c r="P550" i="18"/>
  <c r="P714" i="18"/>
  <c r="P887" i="18"/>
  <c r="P1154" i="18"/>
  <c r="P1371" i="18"/>
  <c r="P202" i="18"/>
  <c r="P396" i="18"/>
  <c r="P612" i="18"/>
  <c r="P896" i="18"/>
  <c r="P1121" i="18"/>
  <c r="P1321" i="18"/>
  <c r="P81" i="18"/>
  <c r="P309" i="18"/>
  <c r="P637" i="18"/>
  <c r="P843" i="18"/>
  <c r="P668" i="18"/>
  <c r="P944" i="18"/>
  <c r="P636" i="18"/>
  <c r="P1309" i="18"/>
  <c r="P702" i="18"/>
  <c r="P1125" i="18"/>
  <c r="P231" i="18"/>
  <c r="P1096" i="18"/>
  <c r="P146" i="18"/>
  <c r="P302" i="18"/>
  <c r="P498" i="18"/>
  <c r="P619" i="18"/>
  <c r="P823" i="18"/>
  <c r="P1026" i="18"/>
  <c r="P1216" i="18"/>
  <c r="P19" i="18"/>
  <c r="P215" i="18"/>
  <c r="P372" i="18"/>
  <c r="P490" i="18"/>
  <c r="P630" i="18"/>
  <c r="P910" i="18"/>
  <c r="P1038" i="18"/>
  <c r="P1206" i="18"/>
  <c r="P31" i="18"/>
  <c r="P414" i="18"/>
  <c r="P824" i="18"/>
  <c r="P1147" i="18"/>
  <c r="P46" i="18"/>
  <c r="P285" i="18"/>
  <c r="P682" i="18"/>
  <c r="P763" i="18"/>
  <c r="P1214" i="18"/>
  <c r="P613" i="18"/>
  <c r="P1376" i="18"/>
  <c r="P245" i="18"/>
  <c r="P555" i="18"/>
  <c r="P815" i="18"/>
  <c r="P1075" i="18"/>
  <c r="P1332" i="18"/>
  <c r="P159" i="18"/>
  <c r="P377" i="18"/>
  <c r="P587" i="18"/>
  <c r="P1033" i="18"/>
  <c r="P1110" i="18"/>
  <c r="P1336" i="18"/>
  <c r="P690" i="18"/>
  <c r="P1200" i="18"/>
  <c r="P343" i="18"/>
  <c r="P673" i="18"/>
  <c r="P988" i="18"/>
  <c r="P1314" i="18"/>
  <c r="P358" i="18"/>
  <c r="P519" i="18"/>
  <c r="P626" i="18"/>
  <c r="P776" i="18"/>
  <c r="P947" i="18"/>
  <c r="P1107" i="18"/>
  <c r="P1252" i="18"/>
  <c r="P417" i="18"/>
  <c r="P770" i="18"/>
  <c r="P1017" i="18"/>
  <c r="P1193" i="18"/>
  <c r="P282" i="18"/>
  <c r="P1117" i="18"/>
  <c r="P251" i="18"/>
  <c r="P561" i="18"/>
  <c r="P849" i="18"/>
  <c r="P1234" i="18"/>
  <c r="P121" i="18"/>
  <c r="P361" i="18"/>
  <c r="P526" i="18"/>
  <c r="P629" i="18"/>
  <c r="P799" i="18"/>
  <c r="P948" i="18"/>
  <c r="P1021" i="18"/>
  <c r="P1240" i="18"/>
  <c r="P1231" i="18"/>
  <c r="P299" i="18"/>
  <c r="P727" i="18"/>
  <c r="P106" i="18"/>
  <c r="P371" i="18"/>
  <c r="P620" i="18"/>
  <c r="P962" i="18"/>
  <c r="P1235" i="18"/>
  <c r="P175" i="18"/>
  <c r="P369" i="18"/>
  <c r="P527" i="18"/>
  <c r="P678" i="18"/>
  <c r="P874" i="18"/>
  <c r="P985" i="18"/>
  <c r="P1124" i="18"/>
  <c r="P1279" i="18"/>
  <c r="P1192" i="18"/>
  <c r="P1356" i="18"/>
  <c r="P68" i="18"/>
  <c r="P242" i="18"/>
  <c r="P463" i="18"/>
  <c r="P819" i="18"/>
  <c r="P1108" i="18"/>
  <c r="P1368" i="18"/>
  <c r="P701" i="18"/>
  <c r="P1306" i="18"/>
  <c r="P324" i="18"/>
  <c r="P773" i="18"/>
  <c r="P1166" i="18"/>
  <c r="P47" i="18"/>
  <c r="P313" i="18"/>
  <c r="P518" i="18"/>
  <c r="P622" i="18"/>
  <c r="P771" i="18"/>
  <c r="P925" i="18"/>
  <c r="P1010" i="18"/>
  <c r="P1161" i="18"/>
  <c r="P1322" i="18"/>
  <c r="P178" i="18"/>
  <c r="P503" i="18"/>
  <c r="P1170" i="18"/>
  <c r="P130" i="18"/>
  <c r="P1130" i="18"/>
  <c r="P254" i="18"/>
  <c r="P255" i="18"/>
  <c r="P97" i="18"/>
  <c r="P460" i="18"/>
  <c r="P647" i="18"/>
  <c r="P891" i="18"/>
  <c r="P248" i="18"/>
  <c r="P1224" i="18"/>
  <c r="P190" i="18"/>
  <c r="P999" i="18"/>
  <c r="P189" i="18"/>
  <c r="P997" i="18"/>
  <c r="P1345" i="18"/>
  <c r="P1177" i="18"/>
  <c r="P996" i="18"/>
  <c r="P1178" i="18"/>
  <c r="P1179" i="18"/>
  <c r="P228" i="18"/>
  <c r="P1226" i="18"/>
  <c r="P1128" i="18"/>
  <c r="P166" i="18"/>
  <c r="P442" i="18"/>
  <c r="P590" i="18"/>
  <c r="P722" i="18"/>
  <c r="P1343" i="18"/>
  <c r="P207" i="18"/>
  <c r="P481" i="18"/>
  <c r="P768" i="18"/>
  <c r="P1057" i="18"/>
  <c r="P98" i="18"/>
  <c r="P275" i="18"/>
  <c r="P928" i="18"/>
  <c r="P1266" i="18"/>
  <c r="P283" i="18"/>
  <c r="P591" i="18"/>
  <c r="P886" i="18"/>
  <c r="P1291" i="18"/>
  <c r="P158" i="18"/>
  <c r="P350" i="18"/>
  <c r="P840" i="18"/>
  <c r="P1093" i="18"/>
  <c r="P99" i="18"/>
  <c r="P290" i="18"/>
  <c r="P614" i="18"/>
  <c r="P864" i="18"/>
  <c r="P406" i="18"/>
  <c r="P749" i="18"/>
  <c r="P1229" i="18"/>
  <c r="P139" i="18"/>
  <c r="P289" i="18"/>
  <c r="P482" i="18"/>
  <c r="P903" i="18"/>
  <c r="P1253" i="18"/>
  <c r="P101" i="18"/>
  <c r="P300" i="18"/>
  <c r="P542" i="18"/>
  <c r="P831" i="18"/>
  <c r="P1049" i="18"/>
  <c r="P73" i="18"/>
  <c r="P408" i="18"/>
  <c r="P685" i="18"/>
  <c r="P1053" i="18"/>
  <c r="P143" i="18"/>
  <c r="P297" i="18"/>
  <c r="P574" i="18"/>
  <c r="P905" i="18"/>
  <c r="P1198" i="18"/>
  <c r="P102" i="18"/>
  <c r="P322" i="18"/>
  <c r="P1068" i="18"/>
  <c r="P440" i="18"/>
  <c r="P638" i="18"/>
  <c r="P875" i="18"/>
  <c r="P1061" i="18"/>
  <c r="P1280" i="18"/>
  <c r="P407" i="18"/>
  <c r="P738" i="18"/>
  <c r="P1153" i="18"/>
  <c r="P261" i="18"/>
  <c r="P1140" i="18"/>
  <c r="P64" i="18"/>
  <c r="P246" i="18"/>
  <c r="P513" i="18"/>
  <c r="P724" i="18"/>
  <c r="P885" i="18"/>
  <c r="P1119" i="18"/>
  <c r="P1329" i="18"/>
  <c r="P219" i="18"/>
  <c r="P349" i="18"/>
  <c r="P485" i="18"/>
  <c r="P608" i="18"/>
  <c r="P883" i="18"/>
  <c r="P1045" i="18"/>
  <c r="P1256" i="18"/>
  <c r="P132" i="18"/>
  <c r="P544" i="18"/>
  <c r="P942" i="18"/>
  <c r="P1272" i="18"/>
  <c r="P161" i="18"/>
  <c r="P661" i="18"/>
  <c r="P709" i="18"/>
  <c r="P977" i="18"/>
  <c r="P116" i="18"/>
  <c r="P828" i="18"/>
  <c r="P150" i="18"/>
  <c r="P425" i="18"/>
  <c r="P596" i="18"/>
  <c r="P767" i="18"/>
  <c r="P1071" i="18"/>
  <c r="P1312" i="18"/>
  <c r="P160" i="18"/>
  <c r="P378" i="18"/>
  <c r="P625" i="18"/>
  <c r="P1007" i="18"/>
  <c r="P1207" i="18"/>
  <c r="P1366" i="18"/>
  <c r="P75" i="18"/>
  <c r="P270" i="18"/>
  <c r="P558" i="18"/>
  <c r="P820" i="18"/>
  <c r="P1354" i="18"/>
  <c r="P112" i="18"/>
  <c r="P470" i="18"/>
  <c r="P746" i="18"/>
  <c r="P909" i="18"/>
  <c r="P1065" i="18"/>
  <c r="P1262" i="18"/>
  <c r="P427" i="18"/>
  <c r="P772" i="18"/>
  <c r="P1316" i="18"/>
  <c r="P478" i="18"/>
  <c r="P1275" i="18"/>
  <c r="P184" i="18"/>
  <c r="P516" i="18"/>
  <c r="P789" i="18"/>
  <c r="P901" i="18"/>
  <c r="P1133" i="18"/>
  <c r="P1282" i="18"/>
  <c r="P134" i="18"/>
  <c r="P295" i="18"/>
  <c r="P468" i="18"/>
  <c r="P623" i="18"/>
  <c r="P932" i="18"/>
  <c r="P1048" i="18"/>
  <c r="P1213" i="18"/>
  <c r="P114" i="18"/>
  <c r="P439" i="18"/>
  <c r="P869" i="18"/>
  <c r="P1111" i="18"/>
  <c r="P44" i="18"/>
  <c r="P335" i="18"/>
  <c r="P703" i="18"/>
  <c r="P1103" i="18"/>
  <c r="P127" i="18"/>
  <c r="P935" i="18"/>
  <c r="P262" i="18"/>
  <c r="P459" i="18"/>
  <c r="P689" i="18"/>
  <c r="P796" i="18"/>
  <c r="P1072" i="18"/>
  <c r="P1324" i="18"/>
  <c r="P148" i="18"/>
  <c r="P286" i="18"/>
  <c r="P517" i="18"/>
  <c r="P651" i="18"/>
  <c r="P1062" i="18"/>
  <c r="P1251" i="18"/>
  <c r="P17" i="18"/>
  <c r="P155" i="18"/>
  <c r="P384" i="18"/>
  <c r="P676" i="18"/>
  <c r="P812" i="18"/>
  <c r="P1037" i="18"/>
  <c r="P1264" i="18"/>
  <c r="P381" i="18"/>
  <c r="P733" i="18"/>
  <c r="P1319" i="18"/>
  <c r="P919" i="18"/>
  <c r="P25" i="18"/>
  <c r="P170" i="18"/>
  <c r="P432" i="18"/>
  <c r="P543" i="18"/>
  <c r="P791" i="18"/>
  <c r="P904" i="18"/>
  <c r="P1138" i="18"/>
  <c r="P1257" i="18"/>
  <c r="P72" i="18"/>
  <c r="P239" i="18"/>
  <c r="P368" i="18"/>
  <c r="P489" i="18"/>
  <c r="P624" i="18"/>
  <c r="P902" i="18"/>
  <c r="P1035" i="18"/>
  <c r="P1202" i="18"/>
  <c r="P140" i="18"/>
  <c r="P499" i="18"/>
  <c r="P936" i="18"/>
  <c r="P1189" i="18"/>
  <c r="P122" i="18"/>
  <c r="P632" i="18"/>
  <c r="P704" i="18"/>
  <c r="P1172" i="18"/>
  <c r="P386" i="18"/>
  <c r="P945" i="18"/>
  <c r="P195" i="18"/>
  <c r="P385" i="18"/>
  <c r="P580" i="18"/>
  <c r="P753" i="18"/>
  <c r="P976" i="18"/>
  <c r="P1249" i="18"/>
  <c r="P63" i="18"/>
  <c r="P263" i="18"/>
  <c r="P467" i="18"/>
  <c r="P639" i="18"/>
  <c r="P951" i="18"/>
  <c r="P1190" i="18"/>
  <c r="P20" i="18"/>
  <c r="P163" i="18"/>
  <c r="P332" i="18"/>
  <c r="P693" i="18"/>
  <c r="P957" i="18"/>
  <c r="P1012" i="18"/>
  <c r="P1008" i="18"/>
  <c r="P992" i="18"/>
  <c r="P1375" i="18"/>
  <c r="P810" i="18"/>
  <c r="P1211" i="18"/>
  <c r="P398" i="18"/>
  <c r="P1239" i="18"/>
  <c r="P174" i="18"/>
  <c r="P359" i="18"/>
  <c r="P511" i="18"/>
  <c r="P708" i="18"/>
  <c r="P858" i="18"/>
  <c r="P1104" i="18"/>
  <c r="P1258" i="18"/>
  <c r="P80" i="18"/>
  <c r="P247" i="18"/>
  <c r="P419" i="18"/>
  <c r="P534" i="18"/>
  <c r="P652" i="18"/>
  <c r="P952" i="18"/>
  <c r="P1088" i="18"/>
  <c r="P1228" i="18"/>
  <c r="P124" i="18"/>
  <c r="P457" i="18"/>
  <c r="P940" i="18"/>
  <c r="P1232" i="18"/>
  <c r="P138" i="18"/>
  <c r="P473" i="18"/>
  <c r="P694" i="18"/>
  <c r="P832" i="18"/>
  <c r="P83" i="18"/>
  <c r="P825" i="18"/>
  <c r="P39" i="18"/>
  <c r="P269" i="18"/>
  <c r="P705" i="18"/>
  <c r="P924" i="18"/>
  <c r="P1156" i="18"/>
  <c r="P3" i="18"/>
  <c r="P171" i="18"/>
  <c r="P449" i="18"/>
  <c r="P615" i="18"/>
  <c r="P1085" i="18"/>
  <c r="P1160" i="18"/>
  <c r="P1369" i="18"/>
  <c r="P707" i="18"/>
  <c r="P11" i="18"/>
  <c r="P399" i="18"/>
  <c r="P788" i="18"/>
  <c r="P1127" i="18"/>
  <c r="P57" i="18"/>
  <c r="P376" i="18"/>
  <c r="P547" i="18"/>
  <c r="P654" i="18"/>
  <c r="P816" i="18"/>
  <c r="P961" i="18"/>
  <c r="P1132" i="18"/>
  <c r="P1295" i="18"/>
  <c r="P524" i="18"/>
  <c r="P792" i="18"/>
  <c r="P1070" i="18"/>
  <c r="P1327" i="18"/>
  <c r="P429" i="18"/>
  <c r="P1246" i="18"/>
  <c r="P274" i="18"/>
  <c r="P611" i="18"/>
  <c r="P953" i="18"/>
  <c r="P1265" i="18"/>
  <c r="P169" i="18"/>
  <c r="P391" i="18"/>
  <c r="P551" i="18"/>
  <c r="P658" i="18"/>
  <c r="P839" i="18"/>
  <c r="P964" i="18"/>
  <c r="P1086" i="18"/>
  <c r="P1255" i="18"/>
  <c r="P1334" i="18"/>
  <c r="P447" i="18"/>
  <c r="P739" i="18"/>
  <c r="P186" i="18"/>
  <c r="P455" i="18"/>
  <c r="P762" i="18"/>
  <c r="P1032" i="18"/>
  <c r="P26" i="18"/>
  <c r="P223" i="18"/>
  <c r="P397" i="18"/>
  <c r="P568" i="18"/>
  <c r="P741" i="18"/>
  <c r="P917" i="18"/>
  <c r="P1009" i="18"/>
  <c r="P1152" i="18"/>
  <c r="P1313" i="18"/>
  <c r="P1230" i="18"/>
  <c r="P8" i="18"/>
  <c r="P88" i="18"/>
  <c r="P314" i="18"/>
  <c r="P539" i="18"/>
  <c r="P846" i="18"/>
  <c r="P1150" i="18"/>
  <c r="P157" i="18"/>
  <c r="P730" i="18"/>
  <c r="P125" i="18"/>
  <c r="P390" i="18"/>
  <c r="P834" i="18"/>
  <c r="P1221" i="18"/>
  <c r="P108" i="18"/>
  <c r="P348" i="18"/>
  <c r="P529" i="18"/>
  <c r="P649" i="18"/>
  <c r="P808" i="18"/>
  <c r="P950" i="18"/>
  <c r="P1055" i="18"/>
  <c r="P1195" i="18"/>
  <c r="P1357" i="18"/>
  <c r="C1015" i="18"/>
  <c r="C1340" i="18"/>
  <c r="C48" i="18"/>
  <c r="C304" i="18"/>
  <c r="C524" i="18"/>
  <c r="C792" i="18"/>
  <c r="C1070" i="18"/>
  <c r="C1327" i="18"/>
  <c r="C429" i="18"/>
  <c r="C1246" i="18"/>
  <c r="C274" i="18"/>
  <c r="C611" i="18"/>
  <c r="C953" i="18"/>
  <c r="C1265" i="18"/>
  <c r="C169" i="18"/>
  <c r="C391" i="18"/>
  <c r="C551" i="18"/>
  <c r="C658" i="18"/>
  <c r="C839" i="18"/>
  <c r="C964" i="18"/>
  <c r="C1086" i="18"/>
  <c r="C1255" i="18"/>
  <c r="C336" i="18"/>
  <c r="C1169" i="18"/>
  <c r="C1289" i="18"/>
  <c r="C337" i="18"/>
  <c r="C642" i="18"/>
  <c r="C588" i="18"/>
  <c r="C182" i="18"/>
  <c r="C913" i="18"/>
  <c r="C181" i="18"/>
  <c r="C853" i="18"/>
  <c r="C78" i="18"/>
  <c r="C319" i="18"/>
  <c r="C550" i="18"/>
  <c r="C714" i="18"/>
  <c r="C887" i="18"/>
  <c r="C1154" i="18"/>
  <c r="C1371" i="18"/>
  <c r="C202" i="18"/>
  <c r="C396" i="18"/>
  <c r="C612" i="18"/>
  <c r="C896" i="18"/>
  <c r="C1121" i="18"/>
  <c r="C1321" i="18"/>
  <c r="C81" i="18"/>
  <c r="C309" i="18"/>
  <c r="C637" i="18"/>
  <c r="C843" i="18"/>
  <c r="C1173" i="18"/>
  <c r="C141" i="18"/>
  <c r="C713" i="18"/>
  <c r="C1268" i="18"/>
  <c r="C311" i="18"/>
  <c r="C578" i="18"/>
  <c r="C863" i="18"/>
  <c r="C1201" i="18"/>
  <c r="C123" i="18"/>
  <c r="C331" i="18"/>
  <c r="C506" i="18"/>
  <c r="C631" i="18"/>
  <c r="C845" i="18"/>
  <c r="C967" i="18"/>
  <c r="C1089" i="18"/>
  <c r="C1242" i="18"/>
  <c r="C996" i="18"/>
  <c r="C1178" i="18"/>
  <c r="C722" i="18"/>
  <c r="C715" i="18"/>
  <c r="C1259" i="18"/>
  <c r="C675" i="18"/>
  <c r="C501" i="18"/>
  <c r="C643" i="18"/>
  <c r="C180" i="18"/>
  <c r="C1013" i="18"/>
  <c r="C785" i="18"/>
  <c r="C674" i="18"/>
  <c r="C168" i="18"/>
  <c r="C227" i="18"/>
  <c r="C1129" i="18"/>
  <c r="C1328" i="18"/>
  <c r="C191" i="18"/>
  <c r="C423" i="18"/>
  <c r="C579" i="18"/>
  <c r="C696" i="18"/>
  <c r="C866" i="18"/>
  <c r="C984" i="18"/>
  <c r="C1116" i="18"/>
  <c r="C1301" i="18"/>
  <c r="C388" i="18"/>
  <c r="C226" i="18"/>
  <c r="C1157" i="18"/>
  <c r="C382" i="18"/>
  <c r="C1180" i="18"/>
  <c r="C645" i="18"/>
  <c r="C704" i="18"/>
  <c r="C1172" i="18"/>
  <c r="C386" i="18"/>
  <c r="C945" i="18"/>
  <c r="C195" i="18"/>
  <c r="C385" i="18"/>
  <c r="C580" i="18"/>
  <c r="C753" i="18"/>
  <c r="C976" i="18"/>
  <c r="C1249" i="18"/>
  <c r="C63" i="18"/>
  <c r="C263" i="18"/>
  <c r="C467" i="18"/>
  <c r="C639" i="18"/>
  <c r="C951" i="18"/>
  <c r="C1190" i="18"/>
  <c r="C20" i="18"/>
  <c r="C163" i="18"/>
  <c r="C332" i="18"/>
  <c r="C693" i="18"/>
  <c r="C957" i="18"/>
  <c r="C1231" i="18"/>
  <c r="C299" i="18"/>
  <c r="C727" i="18"/>
  <c r="C106" i="18"/>
  <c r="C371" i="18"/>
  <c r="C620" i="18"/>
  <c r="C962" i="18"/>
  <c r="C1235" i="18"/>
  <c r="C175" i="18"/>
  <c r="C369" i="18"/>
  <c r="C527" i="18"/>
  <c r="C678" i="18"/>
  <c r="C874" i="18"/>
  <c r="C985" i="18"/>
  <c r="C1124" i="18"/>
  <c r="C1279" i="18"/>
  <c r="C1225" i="18"/>
  <c r="C1197" i="18"/>
  <c r="C1226" i="18"/>
  <c r="C1128" i="18"/>
  <c r="C1353" i="18"/>
  <c r="C1290" i="18"/>
  <c r="C589" i="18"/>
  <c r="C338" i="18"/>
  <c r="C784" i="18"/>
  <c r="C646" i="18"/>
  <c r="C1177" i="18"/>
  <c r="C254" i="18"/>
  <c r="C891" i="18"/>
  <c r="C1224" i="18"/>
  <c r="C898" i="18"/>
  <c r="C55" i="18"/>
  <c r="C723" i="18"/>
  <c r="C278" i="18"/>
  <c r="C999" i="18"/>
  <c r="C1164" i="18"/>
  <c r="C94" i="18"/>
  <c r="C712" i="18"/>
  <c r="C156" i="18"/>
  <c r="C402" i="18"/>
  <c r="C798" i="18"/>
  <c r="C1191" i="18"/>
  <c r="C74" i="18"/>
  <c r="C487" i="18"/>
  <c r="C607" i="18"/>
  <c r="C766" i="18"/>
  <c r="C911" i="18"/>
  <c r="C1005" i="18"/>
  <c r="C1139" i="18"/>
  <c r="C1176" i="18"/>
  <c r="C581" i="18"/>
  <c r="C409" i="18"/>
  <c r="C49" i="18"/>
  <c r="C411" i="18"/>
  <c r="C51" i="18"/>
  <c r="C44" i="18"/>
  <c r="C737" i="18"/>
  <c r="C1244" i="18"/>
  <c r="C565" i="18"/>
  <c r="C1350" i="18"/>
  <c r="C238" i="18"/>
  <c r="C430" i="18"/>
  <c r="C669" i="18"/>
  <c r="C781" i="18"/>
  <c r="C1034" i="18"/>
  <c r="C1296" i="18"/>
  <c r="C128" i="18"/>
  <c r="C308" i="18"/>
  <c r="C522" i="18"/>
  <c r="C653" i="18"/>
  <c r="C1016" i="18"/>
  <c r="C1220" i="18"/>
  <c r="C29" i="18"/>
  <c r="C213" i="18"/>
  <c r="C393" i="18"/>
  <c r="C777" i="18"/>
  <c r="C1018" i="18"/>
  <c r="C1334" i="18"/>
  <c r="C447" i="18"/>
  <c r="C739" i="18"/>
  <c r="C186" i="18"/>
  <c r="C455" i="18"/>
  <c r="C762" i="18"/>
  <c r="C1032" i="18"/>
  <c r="C26" i="18"/>
  <c r="C223" i="18"/>
  <c r="C397" i="18"/>
  <c r="C568" i="18"/>
  <c r="C741" i="18"/>
  <c r="C917" i="18"/>
  <c r="C1009" i="18"/>
  <c r="C1152" i="18"/>
  <c r="C1313" i="18"/>
  <c r="C897" i="18"/>
  <c r="C1352" i="18"/>
  <c r="C35" i="18"/>
  <c r="C1373" i="18"/>
  <c r="C590" i="18"/>
  <c r="C454" i="18"/>
  <c r="C441" i="18"/>
  <c r="C52" i="18"/>
  <c r="C899" i="18"/>
  <c r="C461" i="18"/>
  <c r="C97" i="18"/>
  <c r="C647" i="18"/>
  <c r="C342" i="18"/>
  <c r="C383" i="18"/>
  <c r="C735" i="18"/>
  <c r="G3" i="17"/>
  <c r="G43" i="17"/>
  <c r="G113" i="17"/>
  <c r="G92" i="17"/>
  <c r="G9" i="17"/>
  <c r="G57" i="17"/>
  <c r="G20" i="17"/>
  <c r="G122" i="17"/>
  <c r="G33" i="17"/>
  <c r="G87" i="17"/>
  <c r="G72" i="17"/>
  <c r="G126" i="17"/>
  <c r="G39" i="17"/>
  <c r="G103" i="17"/>
  <c r="G78" i="17"/>
  <c r="G136" i="17"/>
  <c r="G10" i="17" a="1"/>
  <c r="G4" i="17" a="1"/>
  <c r="G79" i="17" a="1"/>
  <c r="G73" i="17" a="1"/>
  <c r="G58" i="17" a="1"/>
  <c r="G40" i="17" a="1"/>
  <c r="G44" i="17" a="1"/>
  <c r="G88" i="17" a="1"/>
  <c r="G127" i="17" a="1"/>
  <c r="G34" i="17" a="1"/>
  <c r="G114" i="17" a="1"/>
  <c r="G104" i="17" a="1"/>
  <c r="G137" i="17" a="1"/>
  <c r="G93" i="17" a="1"/>
  <c r="G21" i="17" a="1"/>
  <c r="G123" i="17" a="1"/>
  <c r="G12" i="16" l="1"/>
  <c r="G36" i="16"/>
  <c r="G136" i="16"/>
  <c r="G73" i="16"/>
  <c r="G138" i="16"/>
  <c r="G90" i="16"/>
  <c r="G21" i="16"/>
  <c r="G109" i="16"/>
  <c r="G93" i="16"/>
  <c r="G17" i="15"/>
  <c r="G72" i="15"/>
  <c r="G32" i="15"/>
  <c r="G68" i="15"/>
  <c r="G11" i="15"/>
  <c r="G24" i="15"/>
  <c r="G8" i="14"/>
  <c r="G11" i="14"/>
  <c r="G36" i="14"/>
  <c r="G29" i="14"/>
  <c r="G5" i="14"/>
  <c r="G15" i="14"/>
  <c r="G18" i="14"/>
  <c r="G33" i="14"/>
  <c r="G24" i="14"/>
  <c r="G26" i="14"/>
  <c r="G10" i="14"/>
  <c r="G9" i="14"/>
  <c r="G3" i="14"/>
  <c r="G61" i="13"/>
  <c r="G77" i="13"/>
  <c r="G4" i="13"/>
  <c r="G12" i="13"/>
  <c r="G60" i="13"/>
  <c r="G25" i="13"/>
  <c r="G33" i="13"/>
  <c r="G89" i="13"/>
  <c r="G97" i="13"/>
  <c r="G39" i="13"/>
  <c r="G34" i="13"/>
  <c r="G50" i="13"/>
  <c r="G18" i="13"/>
  <c r="G37" i="12"/>
  <c r="G33" i="12"/>
  <c r="G105" i="12"/>
  <c r="G117" i="12"/>
  <c r="G29" i="12"/>
  <c r="G15" i="12"/>
  <c r="G51" i="12"/>
  <c r="G70" i="12"/>
  <c r="G80" i="12"/>
  <c r="G36" i="12"/>
  <c r="G112" i="12"/>
  <c r="G72" i="11"/>
  <c r="G24" i="11"/>
  <c r="G36" i="11"/>
  <c r="G7" i="11"/>
  <c r="G100" i="11"/>
  <c r="G55" i="11"/>
  <c r="G28" i="11"/>
  <c r="G9" i="10"/>
  <c r="G25" i="10"/>
  <c r="G17" i="10"/>
  <c r="G30" i="10"/>
  <c r="G20" i="10"/>
  <c r="G14" i="10"/>
  <c r="G23" i="10"/>
  <c r="G5" i="9"/>
  <c r="G73" i="9"/>
  <c r="G52" i="9"/>
  <c r="G58" i="9"/>
  <c r="G34" i="9"/>
  <c r="G48" i="9"/>
  <c r="G12" i="9"/>
  <c r="G43" i="9"/>
  <c r="G7" i="9"/>
  <c r="G46" i="9"/>
  <c r="G9" i="8"/>
  <c r="G21" i="8"/>
  <c r="G44" i="8"/>
  <c r="G12" i="8"/>
  <c r="G18" i="8"/>
  <c r="G52" i="8"/>
  <c r="G36" i="8"/>
  <c r="G51" i="8"/>
  <c r="G19" i="8"/>
  <c r="G5" i="7"/>
  <c r="G9" i="7"/>
  <c r="G83" i="7"/>
  <c r="G46" i="7"/>
  <c r="G97" i="7"/>
  <c r="G68" i="7"/>
  <c r="G115" i="7"/>
  <c r="G61" i="7"/>
  <c r="G107" i="7"/>
  <c r="G21" i="6"/>
  <c r="G41" i="6"/>
  <c r="G110" i="6"/>
  <c r="G94" i="6"/>
  <c r="G50" i="6"/>
  <c r="G68" i="6"/>
  <c r="G8" i="6"/>
  <c r="G43" i="6"/>
  <c r="G16" i="6"/>
  <c r="G48" i="6"/>
  <c r="G24" i="5"/>
  <c r="G25" i="5"/>
  <c r="G20" i="5"/>
  <c r="G5" i="5"/>
  <c r="G29" i="5"/>
  <c r="G7" i="5"/>
  <c r="G18" i="5"/>
  <c r="G26" i="5"/>
  <c r="G25" i="4"/>
  <c r="G49" i="4"/>
  <c r="G41" i="4"/>
  <c r="G5" i="4"/>
  <c r="G12" i="4"/>
  <c r="G3" i="4"/>
  <c r="G16" i="4"/>
  <c r="G28" i="4"/>
  <c r="G31" i="4"/>
  <c r="G83" i="3"/>
  <c r="G68" i="3"/>
  <c r="G38" i="3"/>
  <c r="G6" i="3"/>
  <c r="G114" i="3"/>
  <c r="G18" i="3"/>
  <c r="G44" i="3"/>
  <c r="G10" i="3"/>
  <c r="G41" i="3"/>
  <c r="G37" i="3"/>
  <c r="G7" i="3"/>
  <c r="G71" i="3"/>
  <c r="G113" i="3"/>
  <c r="G9" i="2"/>
  <c r="G17" i="2"/>
  <c r="G69" i="2"/>
  <c r="G101" i="2"/>
  <c r="G88" i="2"/>
  <c r="G11" i="2"/>
  <c r="G102" i="2"/>
  <c r="G6" i="2"/>
  <c r="G84" i="2"/>
  <c r="G50" i="2"/>
  <c r="G18" i="2"/>
  <c r="G103" i="2"/>
  <c r="G51" i="2"/>
  <c r="G12" i="2"/>
  <c r="G63" i="2"/>
  <c r="G57" i="1"/>
  <c r="G73" i="1"/>
  <c r="G25" i="1"/>
  <c r="G61" i="1"/>
  <c r="G38" i="1"/>
  <c r="G7" i="1"/>
  <c r="G60" i="1"/>
  <c r="G35" i="1"/>
  <c r="G24" i="1"/>
  <c r="G10" i="1"/>
  <c r="G52" i="1"/>
  <c r="G20" i="1"/>
  <c r="G11" i="1"/>
  <c r="G114" i="17"/>
  <c r="G137" i="17"/>
  <c r="G127" i="17"/>
  <c r="G123" i="17"/>
  <c r="G93" i="17"/>
  <c r="G79" i="17"/>
  <c r="G73" i="17"/>
  <c r="G21" i="17"/>
  <c r="G104" i="17"/>
  <c r="G88" i="17"/>
  <c r="G58" i="17"/>
  <c r="G44" i="17"/>
  <c r="G40" i="17"/>
  <c r="G34" i="17"/>
  <c r="G10" i="17"/>
  <c r="G4" i="17"/>
  <c r="G11" i="17" a="1"/>
  <c r="G105" i="17" a="1"/>
  <c r="G35" i="17" a="1"/>
  <c r="G124" i="17" a="1"/>
  <c r="G74" i="17" a="1"/>
  <c r="G45" i="17" a="1"/>
  <c r="G80" i="17" a="1"/>
  <c r="G22" i="17" a="1"/>
  <c r="G138" i="17" a="1"/>
  <c r="G89" i="17" a="1"/>
  <c r="G41" i="17" a="1"/>
  <c r="G5" i="17" a="1"/>
  <c r="G115" i="17" a="1"/>
  <c r="G59" i="17" a="1"/>
  <c r="G94" i="17" a="1"/>
  <c r="G128" i="17" a="1"/>
  <c r="G32" i="16" l="1"/>
  <c r="G56" i="16"/>
  <c r="G96" i="16"/>
  <c r="G112" i="16"/>
  <c r="G107" i="16"/>
  <c r="G43" i="16"/>
  <c r="G11" i="16"/>
  <c r="G55" i="16"/>
  <c r="G102" i="16"/>
  <c r="G125" i="16"/>
  <c r="G121" i="16"/>
  <c r="G33" i="16"/>
  <c r="G9" i="15"/>
  <c r="G19" i="15"/>
  <c r="G58" i="15"/>
  <c r="G12" i="15"/>
  <c r="G4" i="15"/>
  <c r="G54" i="15"/>
  <c r="G7" i="15"/>
  <c r="G51" i="15"/>
  <c r="G27" i="14"/>
  <c r="G14" i="14"/>
  <c r="G16" i="14"/>
  <c r="G20" i="14"/>
  <c r="G12" i="14"/>
  <c r="G4" i="14"/>
  <c r="G23" i="14"/>
  <c r="G25" i="14"/>
  <c r="G6" i="14"/>
  <c r="G31" i="14"/>
  <c r="G2" i="14"/>
  <c r="G24" i="13"/>
  <c r="G48" i="13"/>
  <c r="G64" i="13"/>
  <c r="G100" i="13"/>
  <c r="G5" i="13"/>
  <c r="G37" i="13"/>
  <c r="G93" i="13"/>
  <c r="G98" i="13"/>
  <c r="G103" i="13"/>
  <c r="G23" i="13"/>
  <c r="G46" i="13"/>
  <c r="G102" i="13"/>
  <c r="G11" i="13"/>
  <c r="G74" i="13"/>
  <c r="G99" i="13"/>
  <c r="G10" i="13"/>
  <c r="G63" i="13"/>
  <c r="G82" i="13"/>
  <c r="G21" i="12"/>
  <c r="G17" i="12"/>
  <c r="G53" i="12"/>
  <c r="G84" i="12"/>
  <c r="G71" i="12"/>
  <c r="G62" i="12"/>
  <c r="G104" i="12"/>
  <c r="G14" i="12"/>
  <c r="G16" i="12"/>
  <c r="G108" i="12"/>
  <c r="G96" i="12"/>
  <c r="G40" i="12"/>
  <c r="G38" i="12"/>
  <c r="G68" i="12"/>
  <c r="G50" i="12"/>
  <c r="G110" i="12"/>
  <c r="G46" i="12"/>
  <c r="G92" i="12"/>
  <c r="G111" i="12"/>
  <c r="G79" i="12"/>
  <c r="G42" i="12"/>
  <c r="G9" i="11"/>
  <c r="G29" i="11"/>
  <c r="G77" i="11"/>
  <c r="G33" i="11"/>
  <c r="G49" i="11"/>
  <c r="G85" i="11"/>
  <c r="G86" i="11"/>
  <c r="G26" i="11"/>
  <c r="G40" i="11"/>
  <c r="G3" i="11"/>
  <c r="G10" i="11"/>
  <c r="G44" i="11"/>
  <c r="G47" i="11"/>
  <c r="G21" i="10"/>
  <c r="G2" i="10"/>
  <c r="G18" i="10"/>
  <c r="G6" i="10"/>
  <c r="G4" i="10"/>
  <c r="G29" i="9"/>
  <c r="G61" i="9"/>
  <c r="G75" i="9"/>
  <c r="G70" i="9"/>
  <c r="G54" i="9"/>
  <c r="G14" i="9"/>
  <c r="G68" i="9"/>
  <c r="G20" i="9"/>
  <c r="G63" i="9"/>
  <c r="G24" i="9"/>
  <c r="G74" i="9"/>
  <c r="G30" i="9"/>
  <c r="G71" i="9"/>
  <c r="G57" i="8"/>
  <c r="G6" i="8"/>
  <c r="G50" i="8"/>
  <c r="G55" i="8"/>
  <c r="G39" i="8"/>
  <c r="G42" i="8"/>
  <c r="G64" i="8"/>
  <c r="G62" i="8"/>
  <c r="G82" i="7"/>
  <c r="G72" i="7"/>
  <c r="G75" i="7"/>
  <c r="G129" i="7"/>
  <c r="G65" i="7"/>
  <c r="G17" i="7"/>
  <c r="G70" i="7"/>
  <c r="G22" i="7"/>
  <c r="G109" i="7"/>
  <c r="G111" i="7"/>
  <c r="G51" i="6"/>
  <c r="G123" i="6"/>
  <c r="G58" i="6"/>
  <c r="G75" i="6"/>
  <c r="G86" i="6"/>
  <c r="G34" i="6"/>
  <c r="G21" i="5"/>
  <c r="G4" i="5"/>
  <c r="G12" i="5"/>
  <c r="G28" i="5"/>
  <c r="G30" i="5"/>
  <c r="G2" i="5"/>
  <c r="G27" i="5"/>
  <c r="G19" i="5"/>
  <c r="G3" i="5"/>
  <c r="G15" i="5"/>
  <c r="G33" i="4"/>
  <c r="G39" i="4"/>
  <c r="G26" i="4"/>
  <c r="G15" i="4"/>
  <c r="G47" i="4"/>
  <c r="G7" i="4"/>
  <c r="G6" i="4"/>
  <c r="G11" i="4"/>
  <c r="G2" i="4"/>
  <c r="G94" i="3"/>
  <c r="G76" i="3"/>
  <c r="G29" i="3"/>
  <c r="G54" i="3"/>
  <c r="G103" i="3"/>
  <c r="G79" i="3"/>
  <c r="G90" i="3"/>
  <c r="G89" i="3"/>
  <c r="G84" i="3"/>
  <c r="G107" i="3"/>
  <c r="G86" i="3"/>
  <c r="G23" i="3"/>
  <c r="G17" i="3"/>
  <c r="G73" i="2"/>
  <c r="G49" i="2"/>
  <c r="G40" i="2"/>
  <c r="G86" i="2"/>
  <c r="G47" i="2"/>
  <c r="G71" i="2"/>
  <c r="G98" i="2"/>
  <c r="G64" i="2"/>
  <c r="G67" i="2"/>
  <c r="G78" i="2"/>
  <c r="G62" i="2"/>
  <c r="G31" i="2"/>
  <c r="G29" i="1"/>
  <c r="G37" i="1"/>
  <c r="G6" i="1"/>
  <c r="G71" i="1"/>
  <c r="G30" i="1"/>
  <c r="G40" i="1"/>
  <c r="G63" i="1"/>
  <c r="G31" i="1"/>
  <c r="G42" i="1"/>
  <c r="G26" i="1"/>
  <c r="G5" i="17"/>
  <c r="G45" i="17"/>
  <c r="G22" i="17"/>
  <c r="G124" i="17"/>
  <c r="G11" i="17"/>
  <c r="G59" i="17"/>
  <c r="G74" i="17"/>
  <c r="G128" i="17"/>
  <c r="G35" i="17"/>
  <c r="G89" i="17"/>
  <c r="G80" i="17"/>
  <c r="G138" i="17"/>
  <c r="G41" i="17"/>
  <c r="G105" i="17"/>
  <c r="G94" i="17"/>
  <c r="G115" i="17"/>
  <c r="G6" i="17" a="1"/>
  <c r="G75" i="17" a="1"/>
  <c r="G139" i="17" a="1"/>
  <c r="G116" i="17" a="1"/>
  <c r="G12" i="17" a="1"/>
  <c r="G106" i="17" a="1"/>
  <c r="G95" i="17" a="1"/>
  <c r="G46" i="17" a="1"/>
  <c r="G36" i="17" a="1"/>
  <c r="G81" i="17" a="1"/>
  <c r="G23" i="17" a="1"/>
  <c r="G90" i="17" a="1"/>
  <c r="G60" i="17" a="1"/>
  <c r="G129" i="17" a="1"/>
  <c r="G4" i="16" l="1"/>
  <c r="G16" i="16"/>
  <c r="G68" i="16"/>
  <c r="G144" i="16"/>
  <c r="G57" i="16"/>
  <c r="G123" i="16"/>
  <c r="G27" i="16"/>
  <c r="G42" i="16"/>
  <c r="G10" i="16"/>
  <c r="G69" i="16"/>
  <c r="G119" i="16"/>
  <c r="G38" i="16"/>
  <c r="G131" i="16"/>
  <c r="G67" i="16"/>
  <c r="G18" i="16"/>
  <c r="G2" i="16"/>
  <c r="G29" i="15"/>
  <c r="G73" i="15"/>
  <c r="G5" i="15"/>
  <c r="G69" i="15"/>
  <c r="G14" i="15"/>
  <c r="G74" i="15"/>
  <c r="G10" i="15"/>
  <c r="G60" i="15"/>
  <c r="G36" i="15"/>
  <c r="G8" i="15"/>
  <c r="G3" i="15"/>
  <c r="G32" i="14"/>
  <c r="G30" i="14"/>
  <c r="G13" i="14"/>
  <c r="G19" i="14"/>
  <c r="G22" i="14"/>
  <c r="G7" i="14"/>
  <c r="G28" i="14"/>
  <c r="G35" i="14"/>
  <c r="G21" i="14"/>
  <c r="G34" i="14"/>
  <c r="G17" i="14"/>
  <c r="G40" i="13"/>
  <c r="G84" i="13"/>
  <c r="G29" i="13"/>
  <c r="G53" i="13"/>
  <c r="G20" i="13"/>
  <c r="G44" i="13"/>
  <c r="G71" i="13"/>
  <c r="G62" i="13"/>
  <c r="G14" i="13"/>
  <c r="G35" i="13"/>
  <c r="G58" i="13"/>
  <c r="G70" i="13"/>
  <c r="G59" i="13"/>
  <c r="G61" i="12"/>
  <c r="G109" i="12"/>
  <c r="G57" i="12"/>
  <c r="G93" i="12"/>
  <c r="G39" i="12"/>
  <c r="G66" i="12"/>
  <c r="G28" i="12"/>
  <c r="G7" i="12"/>
  <c r="G114" i="12"/>
  <c r="G18" i="12"/>
  <c r="G78" i="12"/>
  <c r="G101" i="11"/>
  <c r="G95" i="11"/>
  <c r="G8" i="11"/>
  <c r="G6" i="11"/>
  <c r="G51" i="11"/>
  <c r="G82" i="11"/>
  <c r="G18" i="11"/>
  <c r="G30" i="11"/>
  <c r="G94" i="11"/>
  <c r="G60" i="11"/>
  <c r="G29" i="10"/>
  <c r="G24" i="10"/>
  <c r="G8" i="10"/>
  <c r="G10" i="10"/>
  <c r="G28" i="10"/>
  <c r="G26" i="10"/>
  <c r="G11" i="10"/>
  <c r="G27" i="10"/>
  <c r="G25" i="9"/>
  <c r="G45" i="9"/>
  <c r="G53" i="9"/>
  <c r="G42" i="9"/>
  <c r="G51" i="9"/>
  <c r="G64" i="9"/>
  <c r="G32" i="9"/>
  <c r="G16" i="9"/>
  <c r="G23" i="9"/>
  <c r="G53" i="8"/>
  <c r="G61" i="8"/>
  <c r="G25" i="8"/>
  <c r="G33" i="8"/>
  <c r="G60" i="8"/>
  <c r="G54" i="8"/>
  <c r="G56" i="8"/>
  <c r="G34" i="8"/>
  <c r="G24" i="8"/>
  <c r="G63" i="8"/>
  <c r="G11" i="8"/>
  <c r="G7" i="8"/>
  <c r="G20" i="8"/>
  <c r="G4" i="8"/>
  <c r="G16" i="8"/>
  <c r="G99" i="7"/>
  <c r="G37" i="7"/>
  <c r="G126" i="7"/>
  <c r="G3" i="7"/>
  <c r="G90" i="7"/>
  <c r="G112" i="7"/>
  <c r="G102" i="7"/>
  <c r="G105" i="7"/>
  <c r="G49" i="6"/>
  <c r="G57" i="6"/>
  <c r="G65" i="6"/>
  <c r="G9" i="6"/>
  <c r="G15" i="6"/>
  <c r="G126" i="6"/>
  <c r="G99" i="6"/>
  <c r="G27" i="6"/>
  <c r="G42" i="6"/>
  <c r="G39" i="6"/>
  <c r="G91" i="6"/>
  <c r="G23" i="6"/>
  <c r="G3" i="6"/>
  <c r="G8" i="5"/>
  <c r="G16" i="5"/>
  <c r="G9" i="5"/>
  <c r="G13" i="5"/>
  <c r="G17" i="5"/>
  <c r="G23" i="5"/>
  <c r="G14" i="5"/>
  <c r="G11" i="5"/>
  <c r="G10" i="5"/>
  <c r="G6" i="5"/>
  <c r="G22" i="5"/>
  <c r="G9" i="4"/>
  <c r="G17" i="4"/>
  <c r="G21" i="4"/>
  <c r="G45" i="4"/>
  <c r="G50" i="4"/>
  <c r="G40" i="4"/>
  <c r="G4" i="4"/>
  <c r="G18" i="4"/>
  <c r="G52" i="4"/>
  <c r="G20" i="4"/>
  <c r="G34" i="4"/>
  <c r="G44" i="4"/>
  <c r="G115" i="3"/>
  <c r="G24" i="3"/>
  <c r="G110" i="3"/>
  <c r="G101" i="3"/>
  <c r="G72" i="3"/>
  <c r="G65" i="3"/>
  <c r="G74" i="3"/>
  <c r="G20" i="3"/>
  <c r="G43" i="3"/>
  <c r="G25" i="2"/>
  <c r="G33" i="2"/>
  <c r="G61" i="2"/>
  <c r="G29" i="2"/>
  <c r="G41" i="2"/>
  <c r="G93" i="2"/>
  <c r="G8" i="2"/>
  <c r="G43" i="2"/>
  <c r="G60" i="2"/>
  <c r="G7" i="2"/>
  <c r="G32" i="2"/>
  <c r="G76" i="2"/>
  <c r="G99" i="2"/>
  <c r="G74" i="2"/>
  <c r="G13" i="1"/>
  <c r="G21" i="1"/>
  <c r="G49" i="1"/>
  <c r="G65" i="1"/>
  <c r="G5" i="1"/>
  <c r="G69" i="1"/>
  <c r="G54" i="1"/>
  <c r="G32" i="1"/>
  <c r="G16" i="1"/>
  <c r="G55" i="1"/>
  <c r="G66" i="1"/>
  <c r="G34" i="1"/>
  <c r="G44" i="1"/>
  <c r="G67" i="1"/>
  <c r="G3" i="1"/>
  <c r="G56" i="1"/>
  <c r="G59" i="1"/>
  <c r="G27" i="1"/>
  <c r="G106" i="17"/>
  <c r="G90" i="17"/>
  <c r="G60" i="17"/>
  <c r="G36" i="17"/>
  <c r="G12" i="17"/>
  <c r="G6" i="17"/>
  <c r="G116" i="17"/>
  <c r="G139" i="17"/>
  <c r="G129" i="17"/>
  <c r="G95" i="17"/>
  <c r="G81" i="17"/>
  <c r="G75" i="17"/>
  <c r="G23" i="17"/>
  <c r="G46" i="17"/>
  <c r="G96" i="17" a="1"/>
  <c r="G82" i="17" a="1"/>
  <c r="G130" i="17" a="1"/>
  <c r="G13" i="17" a="1"/>
  <c r="G47" i="17" a="1"/>
  <c r="G7" i="17" a="1"/>
  <c r="G117" i="17" a="1"/>
  <c r="G24" i="17" a="1"/>
  <c r="G61" i="17" a="1"/>
  <c r="G140" i="17" a="1"/>
  <c r="G107" i="17" a="1"/>
  <c r="G76" i="17" a="1"/>
  <c r="G37" i="17" a="1"/>
  <c r="G104" i="16" l="1"/>
  <c r="G117" i="16"/>
  <c r="G47" i="16"/>
  <c r="G49" i="15"/>
  <c r="G44" i="15"/>
  <c r="G43" i="15"/>
  <c r="G56" i="15"/>
  <c r="G20" i="15"/>
  <c r="G76" i="13"/>
  <c r="G21" i="13"/>
  <c r="G57" i="13"/>
  <c r="G55" i="13"/>
  <c r="G94" i="13"/>
  <c r="G83" i="13"/>
  <c r="G51" i="13"/>
  <c r="G26" i="13"/>
  <c r="G79" i="13"/>
  <c r="G54" i="13"/>
  <c r="G6" i="13"/>
  <c r="G49" i="12"/>
  <c r="G113" i="12"/>
  <c r="G30" i="12"/>
  <c r="G60" i="12"/>
  <c r="G44" i="12"/>
  <c r="G12" i="12"/>
  <c r="G64" i="12"/>
  <c r="G43" i="12"/>
  <c r="G3" i="12"/>
  <c r="G22" i="12"/>
  <c r="G8" i="12"/>
  <c r="G67" i="12"/>
  <c r="G69" i="11"/>
  <c r="G17" i="11"/>
  <c r="G37" i="11"/>
  <c r="G73" i="11"/>
  <c r="G11" i="11"/>
  <c r="G62" i="11"/>
  <c r="G91" i="11"/>
  <c r="G104" i="11"/>
  <c r="G68" i="11"/>
  <c r="G4" i="11"/>
  <c r="G27" i="11"/>
  <c r="G71" i="11"/>
  <c r="G64" i="11"/>
  <c r="G19" i="11"/>
  <c r="G15" i="11"/>
  <c r="G14" i="11"/>
  <c r="G35" i="11"/>
  <c r="G54" i="11"/>
  <c r="G83" i="11"/>
  <c r="G20" i="11"/>
  <c r="G13" i="10"/>
  <c r="G5" i="10"/>
  <c r="G19" i="10"/>
  <c r="G3" i="10"/>
  <c r="G12" i="10"/>
  <c r="G22" i="10"/>
  <c r="G16" i="10"/>
  <c r="G15" i="10"/>
  <c r="G7" i="10"/>
  <c r="G59" i="9"/>
  <c r="G36" i="9"/>
  <c r="G4" i="9"/>
  <c r="G78" i="9"/>
  <c r="G56" i="9"/>
  <c r="G8" i="9"/>
  <c r="G39" i="9"/>
  <c r="G60" i="9"/>
  <c r="G22" i="9"/>
  <c r="G40" i="9"/>
  <c r="G13" i="8"/>
  <c r="G37" i="8"/>
  <c r="G45" i="8"/>
  <c r="G5" i="8"/>
  <c r="G49" i="8"/>
  <c r="G38" i="8"/>
  <c r="G28" i="8"/>
  <c r="G31" i="8"/>
  <c r="G15" i="8"/>
  <c r="G59" i="8"/>
  <c r="G40" i="8"/>
  <c r="G8" i="8"/>
  <c r="G58" i="8"/>
  <c r="G35" i="8"/>
  <c r="G46" i="8"/>
  <c r="G87" i="7"/>
  <c r="G53" i="7"/>
  <c r="G11" i="7"/>
  <c r="G20" i="7"/>
  <c r="G71" i="7"/>
  <c r="G128" i="7"/>
  <c r="G33" i="6"/>
  <c r="G85" i="6"/>
  <c r="G61" i="6"/>
  <c r="G89" i="6"/>
  <c r="G76" i="6"/>
  <c r="G14" i="6"/>
  <c r="G80" i="6"/>
  <c r="G90" i="6"/>
  <c r="G26" i="6"/>
  <c r="G84" i="6"/>
  <c r="G71" i="6"/>
  <c r="G60" i="6"/>
  <c r="G59" i="6"/>
  <c r="G120" i="6"/>
  <c r="G29" i="4"/>
  <c r="G24" i="4"/>
  <c r="G8" i="4"/>
  <c r="G22" i="4"/>
  <c r="G10" i="4"/>
  <c r="G38" i="4"/>
  <c r="G35" i="3"/>
  <c r="G46" i="3"/>
  <c r="G32" i="3"/>
  <c r="G48" i="3"/>
  <c r="G102" i="3"/>
  <c r="G82" i="3"/>
  <c r="G100" i="3"/>
  <c r="G111" i="3"/>
  <c r="G12" i="3"/>
  <c r="G57" i="2"/>
  <c r="G89" i="2"/>
  <c r="G24" i="2"/>
  <c r="G27" i="2"/>
  <c r="G38" i="2"/>
  <c r="G87" i="2"/>
  <c r="G3" i="2"/>
  <c r="G17" i="1"/>
  <c r="G41" i="1"/>
  <c r="G9" i="1"/>
  <c r="G70" i="1"/>
  <c r="G22" i="1"/>
  <c r="G48" i="1"/>
  <c r="G23" i="1"/>
  <c r="G50" i="1"/>
  <c r="G2" i="1"/>
  <c r="G28" i="1"/>
  <c r="G47" i="1"/>
  <c r="G58" i="1"/>
  <c r="G68" i="1"/>
  <c r="G24" i="17"/>
  <c r="G13" i="17"/>
  <c r="G107" i="17"/>
  <c r="G76" i="17"/>
  <c r="G140" i="17"/>
  <c r="G37" i="17"/>
  <c r="G82" i="17"/>
  <c r="G117" i="17"/>
  <c r="G61" i="17"/>
  <c r="G130" i="17"/>
  <c r="G47" i="17"/>
  <c r="G96" i="17"/>
  <c r="G7" i="17"/>
  <c r="G141" i="17" a="1"/>
  <c r="G108" i="17" a="1"/>
  <c r="G48" i="17" a="1"/>
  <c r="G118" i="17" a="1"/>
  <c r="G62" i="17" a="1"/>
  <c r="G14" i="17" a="1"/>
  <c r="G131" i="17" a="1"/>
  <c r="G25" i="17" a="1"/>
  <c r="G97" i="17" a="1"/>
  <c r="G83" i="17" a="1"/>
  <c r="G140" i="16" l="1"/>
  <c r="G76" i="16"/>
  <c r="G126" i="16"/>
  <c r="G3" i="16"/>
  <c r="G31" i="16"/>
  <c r="G21" i="15"/>
  <c r="G48" i="15"/>
  <c r="G63" i="15"/>
  <c r="G26" i="15"/>
  <c r="G35" i="15"/>
  <c r="G6" i="15"/>
  <c r="G2" i="15"/>
  <c r="G32" i="13"/>
  <c r="G72" i="13"/>
  <c r="G45" i="13"/>
  <c r="G69" i="13"/>
  <c r="G65" i="13"/>
  <c r="G73" i="13"/>
  <c r="G81" i="13"/>
  <c r="G78" i="13"/>
  <c r="G87" i="13"/>
  <c r="G7" i="13"/>
  <c r="G95" i="13"/>
  <c r="G75" i="13"/>
  <c r="G73" i="12"/>
  <c r="G45" i="12"/>
  <c r="G69" i="12"/>
  <c r="G65" i="12"/>
  <c r="G86" i="12"/>
  <c r="G23" i="12"/>
  <c r="G87" i="12"/>
  <c r="G106" i="12"/>
  <c r="G21" i="11"/>
  <c r="G22" i="11"/>
  <c r="G56" i="11"/>
  <c r="G66" i="11"/>
  <c r="G48" i="11"/>
  <c r="G32" i="11"/>
  <c r="G49" i="9"/>
  <c r="G35" i="9"/>
  <c r="G3" i="9"/>
  <c r="G15" i="9"/>
  <c r="G47" i="9"/>
  <c r="G62" i="9"/>
  <c r="G29" i="8"/>
  <c r="G17" i="8"/>
  <c r="G41" i="8"/>
  <c r="G22" i="8"/>
  <c r="G47" i="8"/>
  <c r="G2" i="8"/>
  <c r="G43" i="8"/>
  <c r="G27" i="8"/>
  <c r="G23" i="8"/>
  <c r="G26" i="8"/>
  <c r="G48" i="8"/>
  <c r="G32" i="8"/>
  <c r="G3" i="8"/>
  <c r="G30" i="8"/>
  <c r="G14" i="8"/>
  <c r="G10" i="8"/>
  <c r="G47" i="7"/>
  <c r="G2" i="7"/>
  <c r="G55" i="7"/>
  <c r="G110" i="7"/>
  <c r="G62" i="7"/>
  <c r="G30" i="7"/>
  <c r="G14" i="7"/>
  <c r="G31" i="7"/>
  <c r="G116" i="7"/>
  <c r="G125" i="7"/>
  <c r="G96" i="7"/>
  <c r="G101" i="6"/>
  <c r="G125" i="6"/>
  <c r="G53" i="6"/>
  <c r="G69" i="6"/>
  <c r="G46" i="6"/>
  <c r="G52" i="6"/>
  <c r="G24" i="6"/>
  <c r="G2" i="6"/>
  <c r="G44" i="6"/>
  <c r="G70" i="6"/>
  <c r="G130" i="6"/>
  <c r="G98" i="6"/>
  <c r="G66" i="6"/>
  <c r="G13" i="4"/>
  <c r="G37" i="4"/>
  <c r="G19" i="4"/>
  <c r="G51" i="4"/>
  <c r="G46" i="4"/>
  <c r="G30" i="4"/>
  <c r="G36" i="4"/>
  <c r="G14" i="4"/>
  <c r="G48" i="4"/>
  <c r="G23" i="4"/>
  <c r="G43" i="4"/>
  <c r="G42" i="4"/>
  <c r="G35" i="4"/>
  <c r="G27" i="4"/>
  <c r="G32" i="4"/>
  <c r="G78" i="3"/>
  <c r="G53" i="3"/>
  <c r="G21" i="3"/>
  <c r="G40" i="3"/>
  <c r="G104" i="3"/>
  <c r="G60" i="3"/>
  <c r="G96" i="3"/>
  <c r="G36" i="3"/>
  <c r="G97" i="2"/>
  <c r="G81" i="2"/>
  <c r="G53" i="2"/>
  <c r="G65" i="2"/>
  <c r="G91" i="2"/>
  <c r="G75" i="2"/>
  <c r="G52" i="2"/>
  <c r="G82" i="2"/>
  <c r="G34" i="2"/>
  <c r="G48" i="2"/>
  <c r="G33" i="1"/>
  <c r="G53" i="1"/>
  <c r="G45" i="1"/>
  <c r="G64" i="1"/>
  <c r="G39" i="1"/>
  <c r="G18" i="1"/>
  <c r="G12" i="1"/>
  <c r="G51" i="1"/>
  <c r="G19" i="1"/>
  <c r="G62" i="1"/>
  <c r="G46" i="1"/>
  <c r="G14" i="1"/>
  <c r="G72" i="1"/>
  <c r="G8" i="1"/>
  <c r="G15" i="1"/>
  <c r="G36" i="1"/>
  <c r="G4" i="1"/>
  <c r="G43" i="1"/>
  <c r="G141" i="17"/>
  <c r="G97" i="17"/>
  <c r="G118" i="17"/>
  <c r="G48" i="17"/>
  <c r="G83" i="17"/>
  <c r="G108" i="17"/>
  <c r="G62" i="17"/>
  <c r="G25" i="17"/>
  <c r="G131" i="17"/>
  <c r="G14" i="17"/>
  <c r="G119" i="17" a="1"/>
  <c r="G63" i="17" a="1"/>
  <c r="G132" i="17" a="1"/>
  <c r="G84" i="17" a="1"/>
  <c r="G109" i="17" a="1"/>
  <c r="G98" i="17" a="1"/>
  <c r="G26" i="17" a="1"/>
  <c r="G142" i="17" a="1"/>
  <c r="G49" i="17" a="1"/>
  <c r="G15" i="17" a="1"/>
  <c r="G48" i="16" l="1"/>
  <c r="G88" i="16"/>
  <c r="G97" i="16"/>
  <c r="G139" i="16"/>
  <c r="G58" i="16"/>
  <c r="G95" i="16"/>
  <c r="G71" i="16"/>
  <c r="G39" i="16"/>
  <c r="G7" i="16"/>
  <c r="G22" i="16"/>
  <c r="G65" i="15"/>
  <c r="G41" i="15"/>
  <c r="G61" i="15"/>
  <c r="G25" i="15"/>
  <c r="G53" i="15"/>
  <c r="G30" i="15"/>
  <c r="G64" i="15"/>
  <c r="G15" i="15"/>
  <c r="G18" i="15"/>
  <c r="G56" i="13"/>
  <c r="G13" i="13"/>
  <c r="G85" i="13"/>
  <c r="G28" i="13"/>
  <c r="G36" i="13"/>
  <c r="G52" i="13"/>
  <c r="G17" i="13"/>
  <c r="G101" i="13"/>
  <c r="G22" i="13"/>
  <c r="G90" i="13"/>
  <c r="G67" i="13"/>
  <c r="G19" i="13"/>
  <c r="G86" i="13"/>
  <c r="G47" i="13"/>
  <c r="G38" i="13"/>
  <c r="G13" i="12"/>
  <c r="G41" i="12"/>
  <c r="G77" i="12"/>
  <c r="G103" i="12"/>
  <c r="G115" i="12"/>
  <c r="G94" i="12"/>
  <c r="G26" i="12"/>
  <c r="G107" i="12"/>
  <c r="G54" i="12"/>
  <c r="G72" i="12"/>
  <c r="G4" i="12"/>
  <c r="G57" i="11"/>
  <c r="G5" i="11"/>
  <c r="G45" i="11"/>
  <c r="G81" i="11"/>
  <c r="G90" i="11"/>
  <c r="G43" i="11"/>
  <c r="G88" i="11"/>
  <c r="G79" i="11"/>
  <c r="G31" i="11"/>
  <c r="G76" i="11"/>
  <c r="G87" i="11"/>
  <c r="G63" i="11"/>
  <c r="G98" i="11"/>
  <c r="G38" i="11"/>
  <c r="G92" i="11"/>
  <c r="G13" i="9"/>
  <c r="G41" i="9"/>
  <c r="G65" i="9"/>
  <c r="G77" i="9"/>
  <c r="G17" i="9"/>
  <c r="G67" i="9"/>
  <c r="G19" i="9"/>
  <c r="G10" i="9"/>
  <c r="G72" i="9"/>
  <c r="G6" i="9"/>
  <c r="G89" i="7"/>
  <c r="G44" i="7"/>
  <c r="G119" i="7"/>
  <c r="G92" i="7"/>
  <c r="G23" i="7"/>
  <c r="G63" i="7"/>
  <c r="G57" i="7"/>
  <c r="G25" i="6"/>
  <c r="G62" i="6"/>
  <c r="G107" i="6"/>
  <c r="G132" i="6"/>
  <c r="G122" i="6"/>
  <c r="G12" i="6"/>
  <c r="G55" i="6"/>
  <c r="G99" i="3"/>
  <c r="G19" i="3"/>
  <c r="G61" i="3"/>
  <c r="G39" i="3"/>
  <c r="G66" i="3"/>
  <c r="G31" i="3"/>
  <c r="G106" i="3"/>
  <c r="G57" i="3"/>
  <c r="G21" i="2"/>
  <c r="G77" i="2"/>
  <c r="G22" i="2"/>
  <c r="G15" i="2"/>
  <c r="G20" i="2"/>
  <c r="G4" i="2"/>
  <c r="G2" i="2"/>
  <c r="G14" i="2"/>
  <c r="G132" i="17"/>
  <c r="G84" i="17"/>
  <c r="G142" i="17"/>
  <c r="G26" i="17"/>
  <c r="G49" i="17"/>
  <c r="G63" i="17"/>
  <c r="G119" i="17"/>
  <c r="G15" i="17"/>
  <c r="G109" i="17"/>
  <c r="G98" i="17"/>
  <c r="G99" i="17" a="1"/>
  <c r="G50" i="17" a="1"/>
  <c r="G27" i="17" a="1"/>
  <c r="G133" i="17" a="1"/>
  <c r="G85" i="17" a="1"/>
  <c r="G16" i="17" a="1"/>
  <c r="G143" i="17" a="1"/>
  <c r="G64" i="17" a="1"/>
  <c r="G110" i="17" a="1"/>
  <c r="G120" i="17" a="1"/>
  <c r="G92" i="16" l="1"/>
  <c r="G124" i="16"/>
  <c r="G84" i="16"/>
  <c r="G128" i="16"/>
  <c r="G141" i="16"/>
  <c r="G106" i="16"/>
  <c r="G70" i="16"/>
  <c r="G19" i="16"/>
  <c r="G61" i="16"/>
  <c r="G79" i="16"/>
  <c r="G45" i="15"/>
  <c r="G62" i="15"/>
  <c r="G46" i="15"/>
  <c r="G16" i="15"/>
  <c r="G75" i="15"/>
  <c r="G27" i="15"/>
  <c r="G70" i="15"/>
  <c r="G22" i="15"/>
  <c r="G40" i="15"/>
  <c r="G23" i="15"/>
  <c r="G52" i="15"/>
  <c r="G67" i="15"/>
  <c r="G16" i="13"/>
  <c r="G92" i="13"/>
  <c r="G88" i="13"/>
  <c r="G9" i="13"/>
  <c r="G49" i="13"/>
  <c r="G30" i="13"/>
  <c r="G91" i="13"/>
  <c r="G43" i="13"/>
  <c r="G27" i="13"/>
  <c r="G97" i="12"/>
  <c r="G116" i="12"/>
  <c r="G11" i="12"/>
  <c r="G47" i="12"/>
  <c r="G58" i="12"/>
  <c r="G19" i="12"/>
  <c r="G31" i="12"/>
  <c r="G91" i="12"/>
  <c r="G13" i="11"/>
  <c r="G61" i="11"/>
  <c r="G59" i="11"/>
  <c r="G50" i="11"/>
  <c r="G70" i="11"/>
  <c r="G12" i="11"/>
  <c r="G39" i="11"/>
  <c r="G80" i="11"/>
  <c r="G67" i="11"/>
  <c r="G37" i="9"/>
  <c r="G69" i="9"/>
  <c r="G9" i="9"/>
  <c r="G33" i="9"/>
  <c r="G2" i="9"/>
  <c r="G38" i="9"/>
  <c r="G76" i="9"/>
  <c r="G11" i="9"/>
  <c r="G26" i="9"/>
  <c r="G66" i="9"/>
  <c r="G28" i="9"/>
  <c r="G18" i="9"/>
  <c r="G130" i="7"/>
  <c r="G101" i="7"/>
  <c r="G133" i="7"/>
  <c r="G104" i="7"/>
  <c r="G88" i="7"/>
  <c r="G41" i="7"/>
  <c r="G108" i="7"/>
  <c r="G76" i="7"/>
  <c r="G131" i="7"/>
  <c r="G113" i="7"/>
  <c r="G49" i="7"/>
  <c r="G79" i="7"/>
  <c r="G132" i="7"/>
  <c r="G122" i="7"/>
  <c r="G77" i="7"/>
  <c r="G13" i="7"/>
  <c r="G17" i="6"/>
  <c r="G83" i="6"/>
  <c r="G88" i="6"/>
  <c r="G32" i="6"/>
  <c r="G79" i="6"/>
  <c r="G92" i="6"/>
  <c r="G20" i="6"/>
  <c r="G7" i="6"/>
  <c r="G22" i="6"/>
  <c r="G62" i="3"/>
  <c r="G27" i="3"/>
  <c r="G97" i="3"/>
  <c r="G108" i="3"/>
  <c r="G42" i="3"/>
  <c r="G8" i="3"/>
  <c r="G92" i="3"/>
  <c r="G4" i="3"/>
  <c r="G5" i="2"/>
  <c r="G72" i="2"/>
  <c r="G54" i="2"/>
  <c r="G10" i="2"/>
  <c r="G36" i="2"/>
  <c r="G23" i="2"/>
  <c r="G66" i="2"/>
  <c r="G19" i="2"/>
  <c r="G79" i="2"/>
  <c r="G42" i="2"/>
  <c r="G26" i="2"/>
  <c r="G110" i="17"/>
  <c r="G50" i="17"/>
  <c r="G16" i="17"/>
  <c r="G27" i="17"/>
  <c r="G120" i="17"/>
  <c r="G143" i="17"/>
  <c r="G133" i="17"/>
  <c r="G99" i="17"/>
  <c r="G64" i="17"/>
  <c r="G85" i="17"/>
  <c r="G28" i="17" a="1"/>
  <c r="G51" i="17" a="1"/>
  <c r="G111" i="17" a="1"/>
  <c r="G134" i="17" a="1"/>
  <c r="G100" i="17" a="1"/>
  <c r="G17" i="17" a="1"/>
  <c r="G65" i="17" a="1"/>
  <c r="G144" i="17" a="1"/>
  <c r="G33" i="15" l="1"/>
  <c r="G37" i="15"/>
  <c r="G47" i="15"/>
  <c r="G31" i="15"/>
  <c r="G59" i="15"/>
  <c r="G55" i="15"/>
  <c r="G50" i="15"/>
  <c r="G8" i="13"/>
  <c r="G68" i="13"/>
  <c r="G80" i="13"/>
  <c r="G96" i="13"/>
  <c r="G41" i="13"/>
  <c r="G31" i="13"/>
  <c r="G66" i="13"/>
  <c r="G2" i="13"/>
  <c r="G3" i="13"/>
  <c r="G42" i="13"/>
  <c r="G15" i="13"/>
  <c r="G9" i="12"/>
  <c r="G85" i="12"/>
  <c r="G81" i="12"/>
  <c r="G89" i="12"/>
  <c r="G101" i="12"/>
  <c r="G34" i="12"/>
  <c r="G6" i="12"/>
  <c r="G83" i="12"/>
  <c r="G59" i="12"/>
  <c r="G76" i="12"/>
  <c r="G95" i="12"/>
  <c r="G63" i="12"/>
  <c r="G35" i="12"/>
  <c r="G90" i="12"/>
  <c r="G2" i="12"/>
  <c r="G75" i="12"/>
  <c r="G56" i="12"/>
  <c r="G24" i="12"/>
  <c r="G48" i="12"/>
  <c r="G82" i="12"/>
  <c r="G99" i="12"/>
  <c r="G27" i="12"/>
  <c r="G88" i="12"/>
  <c r="G52" i="12"/>
  <c r="G102" i="12"/>
  <c r="G32" i="12"/>
  <c r="G65" i="11"/>
  <c r="G93" i="11"/>
  <c r="G97" i="11"/>
  <c r="G74" i="11"/>
  <c r="G42" i="11"/>
  <c r="G75" i="11"/>
  <c r="G46" i="11"/>
  <c r="G21" i="9"/>
  <c r="G57" i="9"/>
  <c r="G31" i="9"/>
  <c r="G55" i="9"/>
  <c r="G27" i="9"/>
  <c r="G44" i="9"/>
  <c r="G50" i="9"/>
  <c r="G66" i="7"/>
  <c r="G21" i="7"/>
  <c r="G94" i="7"/>
  <c r="G33" i="7"/>
  <c r="G84" i="7"/>
  <c r="G4" i="7"/>
  <c r="G12" i="7"/>
  <c r="G106" i="7"/>
  <c r="G19" i="7"/>
  <c r="G93" i="7"/>
  <c r="G45" i="7"/>
  <c r="G60" i="7"/>
  <c r="G5" i="6"/>
  <c r="G93" i="6"/>
  <c r="G133" i="6"/>
  <c r="G45" i="6"/>
  <c r="G127" i="6"/>
  <c r="G47" i="6"/>
  <c r="G106" i="6"/>
  <c r="G104" i="6"/>
  <c r="G116" i="3"/>
  <c r="G109" i="3"/>
  <c r="G93" i="3"/>
  <c r="G52" i="3"/>
  <c r="G55" i="3"/>
  <c r="G63" i="3"/>
  <c r="G64" i="3"/>
  <c r="G16" i="3"/>
  <c r="G73" i="3"/>
  <c r="G91" i="3"/>
  <c r="G13" i="2"/>
  <c r="G104" i="2"/>
  <c r="G56" i="2"/>
  <c r="G59" i="2"/>
  <c r="G70" i="2"/>
  <c r="G28" i="2"/>
  <c r="G68" i="2"/>
  <c r="G16" i="2"/>
  <c r="G30" i="2"/>
  <c r="G65" i="17"/>
  <c r="G111" i="17"/>
  <c r="G100" i="17"/>
  <c r="G28" i="17"/>
  <c r="G134" i="17"/>
  <c r="G17" i="17"/>
  <c r="G144" i="17"/>
  <c r="G51" i="17"/>
  <c r="G52" i="17" a="1"/>
  <c r="G18" i="17" a="1"/>
  <c r="G29" i="17" a="1"/>
  <c r="G145" i="17" a="1"/>
  <c r="G101" i="17" a="1"/>
  <c r="G66" i="17" a="1"/>
  <c r="G64" i="16" l="1"/>
  <c r="G72" i="16"/>
  <c r="G116" i="16"/>
  <c r="G122" i="16"/>
  <c r="G29" i="16"/>
  <c r="G87" i="16"/>
  <c r="G23" i="16"/>
  <c r="G45" i="16"/>
  <c r="G63" i="16"/>
  <c r="G15" i="16"/>
  <c r="G115" i="16"/>
  <c r="G98" i="16"/>
  <c r="G66" i="16"/>
  <c r="G127" i="16"/>
  <c r="G110" i="16"/>
  <c r="G13" i="15"/>
  <c r="G57" i="15"/>
  <c r="G42" i="15"/>
  <c r="G28" i="15"/>
  <c r="G38" i="15"/>
  <c r="G71" i="15"/>
  <c r="G39" i="15"/>
  <c r="G66" i="15"/>
  <c r="G34" i="15"/>
  <c r="G25" i="12"/>
  <c r="G5" i="12"/>
  <c r="G98" i="12"/>
  <c r="G74" i="12"/>
  <c r="G100" i="12"/>
  <c r="G55" i="12"/>
  <c r="G10" i="12"/>
  <c r="G20" i="12"/>
  <c r="G41" i="11"/>
  <c r="G89" i="11"/>
  <c r="G53" i="11"/>
  <c r="G103" i="11"/>
  <c r="G96" i="11"/>
  <c r="G58" i="11"/>
  <c r="G84" i="11"/>
  <c r="G69" i="7"/>
  <c r="G91" i="7"/>
  <c r="G10" i="7"/>
  <c r="G32" i="7"/>
  <c r="G16" i="7"/>
  <c r="G118" i="7"/>
  <c r="G6" i="7"/>
  <c r="G13" i="6"/>
  <c r="G109" i="6"/>
  <c r="G112" i="6"/>
  <c r="G103" i="6"/>
  <c r="G56" i="6"/>
  <c r="G131" i="6"/>
  <c r="G100" i="6"/>
  <c r="G128" i="6"/>
  <c r="G72" i="6"/>
  <c r="G54" i="6"/>
  <c r="G87" i="6"/>
  <c r="G112" i="3"/>
  <c r="G51" i="3"/>
  <c r="G30" i="3"/>
  <c r="G45" i="3"/>
  <c r="G95" i="3"/>
  <c r="G58" i="3"/>
  <c r="G75" i="3"/>
  <c r="G70" i="3"/>
  <c r="G22" i="3"/>
  <c r="G98" i="3"/>
  <c r="G45" i="2"/>
  <c r="G94" i="2"/>
  <c r="G92" i="2"/>
  <c r="G95" i="2"/>
  <c r="G100" i="2"/>
  <c r="G55" i="2"/>
  <c r="G80" i="2"/>
  <c r="G52" i="17"/>
  <c r="G29" i="17"/>
  <c r="G145" i="17"/>
  <c r="G101" i="17"/>
  <c r="G18" i="17"/>
  <c r="G66" i="17"/>
  <c r="G67" i="17" a="1"/>
  <c r="G53" i="17" a="1"/>
  <c r="G146" i="17" a="1"/>
  <c r="G30" i="17" a="1"/>
  <c r="G80" i="16" l="1"/>
  <c r="G100" i="16"/>
  <c r="G108" i="16"/>
  <c r="G20" i="16"/>
  <c r="G40" i="16"/>
  <c r="G44" i="16"/>
  <c r="G120" i="16"/>
  <c r="G94" i="16"/>
  <c r="G129" i="16"/>
  <c r="G37" i="16"/>
  <c r="G5" i="16"/>
  <c r="G101" i="16"/>
  <c r="G103" i="16"/>
  <c r="G134" i="16"/>
  <c r="G86" i="16"/>
  <c r="G54" i="16"/>
  <c r="G6" i="16"/>
  <c r="G17" i="16"/>
  <c r="G89" i="16"/>
  <c r="G13" i="16"/>
  <c r="G25" i="11"/>
  <c r="G23" i="11"/>
  <c r="G78" i="11"/>
  <c r="G16" i="11"/>
  <c r="G2" i="11"/>
  <c r="G52" i="11"/>
  <c r="G34" i="11"/>
  <c r="G102" i="11"/>
  <c r="G99" i="11"/>
  <c r="G117" i="7"/>
  <c r="G78" i="7"/>
  <c r="G95" i="7"/>
  <c r="G124" i="7"/>
  <c r="G105" i="6"/>
  <c r="G73" i="6"/>
  <c r="G121" i="6"/>
  <c r="G40" i="6"/>
  <c r="G28" i="6"/>
  <c r="G116" i="6"/>
  <c r="G111" i="6"/>
  <c r="G82" i="6"/>
  <c r="G119" i="6"/>
  <c r="G134" i="6"/>
  <c r="G118" i="6"/>
  <c r="G36" i="6"/>
  <c r="G88" i="3"/>
  <c r="G105" i="3"/>
  <c r="G25" i="3"/>
  <c r="G11" i="3"/>
  <c r="G85" i="3"/>
  <c r="G69" i="3"/>
  <c r="G50" i="3"/>
  <c r="G34" i="3"/>
  <c r="G81" i="3"/>
  <c r="G85" i="2"/>
  <c r="G37" i="2"/>
  <c r="G46" i="2"/>
  <c r="G90" i="2"/>
  <c r="G58" i="2"/>
  <c r="G39" i="2"/>
  <c r="G96" i="2"/>
  <c r="G83" i="2"/>
  <c r="G35" i="2"/>
  <c r="G44" i="2"/>
  <c r="G146" i="17"/>
  <c r="G67" i="17"/>
  <c r="G30" i="17"/>
  <c r="G53" i="17"/>
  <c r="G31" i="17" a="1"/>
  <c r="G147" i="17" a="1"/>
  <c r="G68" i="17" a="1"/>
  <c r="G54" i="17" a="1"/>
  <c r="G132" i="16" l="1"/>
  <c r="G8" i="16"/>
  <c r="G24" i="16"/>
  <c r="G28" i="16"/>
  <c r="G9" i="16"/>
  <c r="G91" i="16"/>
  <c r="G75" i="16"/>
  <c r="G59" i="16"/>
  <c r="G113" i="16"/>
  <c r="G74" i="16"/>
  <c r="G26" i="16"/>
  <c r="G143" i="16"/>
  <c r="G133" i="16"/>
  <c r="G135" i="16"/>
  <c r="G77" i="16"/>
  <c r="G111" i="16"/>
  <c r="G30" i="16"/>
  <c r="G81" i="16"/>
  <c r="G65" i="16"/>
  <c r="G49" i="16"/>
  <c r="G137" i="16"/>
  <c r="G83" i="16"/>
  <c r="G130" i="16"/>
  <c r="G114" i="16"/>
  <c r="G82" i="16"/>
  <c r="G34" i="16"/>
  <c r="G105" i="16"/>
  <c r="G14" i="16"/>
  <c r="G39" i="7"/>
  <c r="G40" i="7"/>
  <c r="G38" i="7"/>
  <c r="G35" i="7"/>
  <c r="G121" i="7"/>
  <c r="G25" i="7"/>
  <c r="G67" i="7"/>
  <c r="G15" i="7"/>
  <c r="G80" i="7"/>
  <c r="G59" i="7"/>
  <c r="G54" i="7"/>
  <c r="G129" i="6"/>
  <c r="G117" i="6"/>
  <c r="G4" i="6"/>
  <c r="G35" i="6"/>
  <c r="G114" i="6"/>
  <c r="G102" i="6"/>
  <c r="G6" i="6"/>
  <c r="G14" i="3"/>
  <c r="G77" i="3"/>
  <c r="G80" i="3"/>
  <c r="G47" i="3"/>
  <c r="G9" i="3"/>
  <c r="G5" i="3"/>
  <c r="G49" i="3"/>
  <c r="G54" i="17"/>
  <c r="G31" i="17"/>
  <c r="G68" i="17"/>
  <c r="G147" i="17"/>
  <c r="G55" i="17" a="1"/>
  <c r="G69" i="17" a="1"/>
  <c r="G135" i="7" l="1"/>
  <c r="G34" i="7"/>
  <c r="G43" i="7"/>
  <c r="G120" i="7"/>
  <c r="G56" i="7"/>
  <c r="G8" i="7"/>
  <c r="G127" i="7"/>
  <c r="G81" i="7"/>
  <c r="G73" i="7"/>
  <c r="G26" i="7"/>
  <c r="G103" i="7"/>
  <c r="G113" i="6"/>
  <c r="G97" i="6"/>
  <c r="G124" i="6"/>
  <c r="G78" i="6"/>
  <c r="G19" i="6"/>
  <c r="G64" i="6"/>
  <c r="G63" i="6"/>
  <c r="G11" i="6"/>
  <c r="G10" i="6"/>
  <c r="G56" i="3"/>
  <c r="G67" i="3"/>
  <c r="G3" i="3"/>
  <c r="G13" i="3"/>
  <c r="G33" i="3"/>
  <c r="G15" i="3"/>
  <c r="G26" i="3"/>
  <c r="G28" i="3"/>
  <c r="G59" i="3"/>
  <c r="G87" i="3"/>
  <c r="G2" i="3"/>
  <c r="G69" i="17"/>
  <c r="G55" i="17"/>
  <c r="G70" i="17" a="1"/>
  <c r="G114" i="7" l="1"/>
  <c r="G18" i="7"/>
  <c r="G85" i="7"/>
  <c r="G24" i="7"/>
  <c r="G100" i="7"/>
  <c r="G36" i="7"/>
  <c r="G86" i="7"/>
  <c r="G51" i="7"/>
  <c r="G28" i="7"/>
  <c r="G123" i="7"/>
  <c r="G58" i="7"/>
  <c r="G42" i="7"/>
  <c r="G64" i="7"/>
  <c r="G48" i="7"/>
  <c r="G37" i="6"/>
  <c r="G77" i="6"/>
  <c r="G29" i="6"/>
  <c r="G81" i="6"/>
  <c r="G108" i="6"/>
  <c r="G67" i="6"/>
  <c r="G31" i="6"/>
  <c r="G95" i="6"/>
  <c r="G30" i="6"/>
  <c r="G74" i="6"/>
  <c r="G96" i="6"/>
  <c r="G115" i="6"/>
  <c r="G38" i="6"/>
  <c r="G18" i="6"/>
  <c r="G70" i="17"/>
  <c r="G60" i="16" l="1"/>
  <c r="G52" i="16"/>
  <c r="G41" i="16"/>
  <c r="G25" i="16"/>
  <c r="G46" i="16"/>
  <c r="G85" i="16"/>
  <c r="G53" i="16"/>
  <c r="G118" i="16"/>
  <c r="G78" i="16"/>
  <c r="G99" i="16"/>
  <c r="G51" i="16"/>
  <c r="G35" i="16"/>
  <c r="G50" i="16"/>
  <c r="G142" i="16"/>
  <c r="G62" i="16"/>
  <c r="G98" i="7"/>
  <c r="G50" i="7"/>
  <c r="G134" i="7"/>
  <c r="G27" i="7"/>
  <c r="G52" i="7"/>
  <c r="G7" i="7"/>
  <c r="G74" i="7"/>
  <c r="G29" i="7"/>
  <c r="J1172" i="18" l="1"/>
  <c r="J786" i="18"/>
  <c r="J1367" i="18"/>
  <c r="J625" i="18"/>
  <c r="K378" i="18"/>
  <c r="K993" i="18"/>
  <c r="K1050" i="18"/>
  <c r="K846" i="18"/>
  <c r="K1313" i="18"/>
  <c r="J65" i="18"/>
  <c r="J1282" i="18"/>
  <c r="J1059" i="18"/>
  <c r="J1323" i="18"/>
  <c r="J1126" i="18"/>
  <c r="J1236" i="18"/>
  <c r="J1150" i="18"/>
  <c r="J646" i="18"/>
  <c r="J678" i="18"/>
  <c r="J1290" i="18"/>
  <c r="J455" i="18"/>
  <c r="J727" i="18"/>
  <c r="J1231" i="18"/>
  <c r="J777" i="18"/>
  <c r="J234" i="18"/>
  <c r="J1353" i="18"/>
  <c r="J951" i="18"/>
  <c r="J500" i="18"/>
  <c r="J151" i="18"/>
  <c r="J1154" i="18"/>
  <c r="J714" i="18"/>
  <c r="J655" i="18"/>
  <c r="J979" i="18"/>
  <c r="J704" i="18"/>
  <c r="K427" i="18"/>
  <c r="J759" i="18"/>
  <c r="K985" i="18"/>
  <c r="J93" i="18"/>
  <c r="K371" i="18"/>
  <c r="K299" i="18"/>
  <c r="J795" i="18"/>
  <c r="K213" i="18"/>
  <c r="K1190" i="18"/>
  <c r="J522" i="18"/>
  <c r="K128" i="18"/>
  <c r="K887" i="18"/>
  <c r="J430" i="18"/>
  <c r="J1350" i="18"/>
  <c r="J454" i="18"/>
  <c r="J715" i="18"/>
  <c r="J1297" i="18"/>
  <c r="J845" i="18"/>
  <c r="J223" i="18"/>
  <c r="J1345" i="18"/>
  <c r="J677" i="18"/>
  <c r="K1059" i="18"/>
  <c r="K773" i="18"/>
  <c r="K1185" i="18"/>
  <c r="J279" i="18"/>
  <c r="K541" i="18"/>
  <c r="K698" i="18"/>
  <c r="J957" i="18"/>
  <c r="K309" i="18"/>
  <c r="K1261" i="18"/>
  <c r="J612" i="18"/>
  <c r="K166" i="18"/>
  <c r="K1034" i="18"/>
  <c r="K550" i="18"/>
  <c r="K78" i="18"/>
  <c r="K680" i="18"/>
  <c r="K324" i="18"/>
  <c r="K197" i="18"/>
  <c r="K967" i="18"/>
  <c r="K397" i="18"/>
  <c r="K822" i="18"/>
  <c r="J545" i="18"/>
  <c r="J378" i="18"/>
  <c r="J742" i="18"/>
  <c r="J404" i="18"/>
  <c r="K678" i="18"/>
  <c r="J863" i="18"/>
  <c r="K1268" i="18"/>
  <c r="K1231" i="18"/>
  <c r="J533" i="18"/>
  <c r="K29" i="18"/>
  <c r="K951" i="18"/>
  <c r="J1080" i="18"/>
  <c r="J1188" i="18"/>
  <c r="J208" i="18"/>
  <c r="J276" i="18"/>
  <c r="K513" i="18"/>
  <c r="K742" i="18"/>
  <c r="K461" i="18"/>
  <c r="K404" i="18"/>
  <c r="J172" i="18"/>
  <c r="J718" i="18"/>
  <c r="J1317" i="18"/>
  <c r="J548" i="18"/>
  <c r="K1282" i="18"/>
  <c r="J880" i="18"/>
  <c r="J773" i="18"/>
  <c r="J747" i="18"/>
  <c r="J1185" i="18"/>
  <c r="J527" i="18"/>
  <c r="J1032" i="18"/>
  <c r="J311" i="18"/>
  <c r="J698" i="18"/>
  <c r="J1131" i="18"/>
  <c r="J637" i="18"/>
  <c r="J163" i="18"/>
  <c r="J1261" i="18"/>
  <c r="J794" i="18"/>
  <c r="J396" i="18"/>
  <c r="J63" i="18"/>
  <c r="J1034" i="18"/>
  <c r="J669" i="18"/>
  <c r="J512" i="18"/>
  <c r="J117" i="18"/>
  <c r="J774" i="18"/>
  <c r="J993" i="18"/>
  <c r="J846" i="18"/>
  <c r="J805" i="18"/>
  <c r="K1201" i="18"/>
  <c r="K106" i="18"/>
  <c r="J1334" i="18"/>
  <c r="K693" i="18"/>
  <c r="K66" i="18"/>
  <c r="J1016" i="18"/>
  <c r="K467" i="18"/>
  <c r="K1371" i="18"/>
  <c r="J753" i="18"/>
  <c r="J319" i="18"/>
  <c r="J1195" i="18"/>
  <c r="J108" i="18"/>
  <c r="J1177" i="18"/>
  <c r="J1349" i="18"/>
  <c r="J741" i="18"/>
  <c r="J26" i="18"/>
  <c r="J1255" i="18"/>
  <c r="J1120" i="18"/>
  <c r="K1046" i="18"/>
  <c r="K701" i="18"/>
  <c r="J949" i="18"/>
  <c r="K93" i="18"/>
  <c r="K311" i="18"/>
  <c r="J141" i="18"/>
  <c r="K795" i="18"/>
  <c r="K163" i="18"/>
  <c r="J1121" i="18"/>
  <c r="K522" i="18"/>
  <c r="K63" i="18"/>
  <c r="J813" i="18"/>
  <c r="K430" i="18"/>
  <c r="K1350" i="18"/>
  <c r="K454" i="18"/>
  <c r="K715" i="18"/>
  <c r="K1297" i="18"/>
  <c r="K845" i="18"/>
  <c r="K223" i="18"/>
  <c r="K1345" i="18"/>
  <c r="J560" i="18"/>
  <c r="J1158" i="18"/>
  <c r="J129" i="18"/>
  <c r="J1192" i="18"/>
  <c r="J446" i="18"/>
  <c r="K620" i="18"/>
  <c r="K727" i="18"/>
  <c r="J1077" i="18"/>
  <c r="K393" i="18"/>
  <c r="K1353" i="18"/>
  <c r="J653" i="18"/>
  <c r="J1031" i="18"/>
  <c r="J1263" i="18"/>
  <c r="J45" i="18"/>
  <c r="J1250" i="18"/>
  <c r="K548" i="18"/>
  <c r="K518" i="18"/>
  <c r="K759" i="18"/>
  <c r="K68" i="18"/>
  <c r="J480" i="18"/>
  <c r="J989" i="18"/>
  <c r="J685" i="18"/>
  <c r="J930" i="18"/>
  <c r="K774" i="18"/>
  <c r="J622" i="18"/>
  <c r="J209" i="18"/>
  <c r="J242" i="18"/>
  <c r="J985" i="18"/>
  <c r="J369" i="18"/>
  <c r="J762" i="18"/>
  <c r="J106" i="18"/>
  <c r="J299" i="18"/>
  <c r="J1018" i="18"/>
  <c r="J442" i="18"/>
  <c r="J66" i="18"/>
  <c r="J1190" i="18"/>
  <c r="J639" i="18"/>
  <c r="J308" i="18"/>
  <c r="J1371" i="18"/>
  <c r="J887" i="18"/>
  <c r="J971" i="18"/>
  <c r="J335" i="18"/>
  <c r="J182" i="18"/>
  <c r="J206" i="18"/>
  <c r="J518" i="18"/>
  <c r="J68" i="18"/>
  <c r="K590" i="18"/>
  <c r="K762" i="18"/>
  <c r="J739" i="18"/>
  <c r="K1173" i="18"/>
  <c r="K442" i="18"/>
  <c r="J1373" i="18"/>
  <c r="K896" i="18"/>
  <c r="K308" i="18"/>
  <c r="J1249" i="18"/>
  <c r="K691" i="18"/>
  <c r="J238" i="18"/>
  <c r="J950" i="18"/>
  <c r="J834" i="18"/>
  <c r="J643" i="18"/>
  <c r="J1124" i="18"/>
  <c r="J568" i="18"/>
  <c r="J1135" i="18"/>
  <c r="J1347" i="18"/>
  <c r="J486" i="18"/>
  <c r="K880" i="18"/>
  <c r="K747" i="18"/>
  <c r="K805" i="18"/>
  <c r="K1032" i="18"/>
  <c r="J1268" i="18"/>
  <c r="K1334" i="18"/>
  <c r="K637" i="18"/>
  <c r="J29" i="18"/>
  <c r="K1016" i="18"/>
  <c r="K396" i="18"/>
  <c r="J1331" i="18"/>
  <c r="K753" i="18"/>
  <c r="K319" i="18"/>
  <c r="K1195" i="18"/>
  <c r="K108" i="18"/>
  <c r="K1177" i="18"/>
  <c r="K1349" i="18"/>
  <c r="K741" i="18"/>
  <c r="K26" i="18"/>
  <c r="K1255" i="18"/>
  <c r="J872" i="18"/>
  <c r="K872" i="18"/>
  <c r="J461" i="18"/>
  <c r="J1089" i="18"/>
  <c r="K279" i="18"/>
  <c r="K455" i="18"/>
  <c r="J447" i="18"/>
  <c r="K957" i="18"/>
  <c r="K234" i="18"/>
  <c r="J1220" i="18"/>
  <c r="K612" i="18"/>
  <c r="J221" i="18"/>
  <c r="J295" i="18"/>
  <c r="J1174" i="18"/>
  <c r="J800" i="18"/>
  <c r="K1248" i="18"/>
  <c r="K129" i="18"/>
  <c r="K1368" i="18"/>
  <c r="K1192" i="18"/>
  <c r="J861" i="18"/>
  <c r="J1151" i="18"/>
  <c r="J225" i="18"/>
  <c r="J1061" i="18"/>
  <c r="K876" i="18"/>
  <c r="J348" i="18"/>
  <c r="J701" i="18"/>
  <c r="J1356" i="18"/>
  <c r="J874" i="18"/>
  <c r="J175" i="18"/>
  <c r="J578" i="18"/>
  <c r="J1148" i="18"/>
  <c r="J1364" i="18"/>
  <c r="J843" i="18"/>
  <c r="J332" i="18"/>
  <c r="J20" i="18"/>
  <c r="J1083" i="18"/>
  <c r="J575" i="18"/>
  <c r="J202" i="18"/>
  <c r="J1296" i="18"/>
  <c r="J781" i="18"/>
  <c r="J55" i="18"/>
  <c r="J493" i="18"/>
  <c r="J1046" i="18"/>
  <c r="J395" i="18"/>
  <c r="J1050" i="18"/>
  <c r="J1313" i="18"/>
  <c r="K369" i="18"/>
  <c r="J541" i="18"/>
  <c r="K713" i="18"/>
  <c r="K1018" i="18"/>
  <c r="J309" i="18"/>
  <c r="K1321" i="18"/>
  <c r="K639" i="18"/>
  <c r="J166" i="18"/>
  <c r="K1074" i="18"/>
  <c r="J550" i="18"/>
  <c r="J78" i="18"/>
  <c r="J680" i="18"/>
  <c r="J324" i="18"/>
  <c r="J197" i="18"/>
  <c r="J967" i="18"/>
  <c r="J397" i="18"/>
  <c r="J822" i="18"/>
  <c r="J347" i="18"/>
  <c r="J584" i="18"/>
  <c r="K348" i="18"/>
  <c r="K1356" i="18"/>
  <c r="K527" i="18"/>
  <c r="J620" i="18"/>
  <c r="K739" i="18"/>
  <c r="K1131" i="18"/>
  <c r="J393" i="18"/>
  <c r="K1373" i="18"/>
  <c r="K794" i="18"/>
  <c r="J263" i="18"/>
  <c r="K1249" i="18"/>
  <c r="K669" i="18"/>
  <c r="K238" i="18"/>
  <c r="K950" i="18"/>
  <c r="K834" i="18"/>
  <c r="K643" i="18"/>
  <c r="K1124" i="18"/>
  <c r="K568" i="18"/>
  <c r="K1135" i="18"/>
  <c r="K1181" i="18"/>
  <c r="J876" i="18"/>
  <c r="J1248" i="18"/>
  <c r="J1368" i="18"/>
  <c r="K949" i="18"/>
  <c r="K1290" i="18"/>
  <c r="J186" i="18"/>
  <c r="K141" i="18"/>
  <c r="K777" i="18"/>
  <c r="J81" i="18"/>
  <c r="K1121" i="18"/>
  <c r="K500" i="18"/>
  <c r="J363" i="18"/>
  <c r="K1331" i="18"/>
  <c r="K714" i="18"/>
  <c r="J264" i="18"/>
  <c r="J1055" i="18"/>
  <c r="J1166" i="18"/>
  <c r="K622" i="18"/>
  <c r="K1148" i="18"/>
  <c r="J896" i="18"/>
  <c r="K264" i="18"/>
  <c r="J345" i="18"/>
  <c r="J506" i="18"/>
  <c r="J1181" i="18"/>
  <c r="K948" i="18"/>
  <c r="K629" i="18"/>
  <c r="K361" i="18"/>
  <c r="K1265" i="18"/>
  <c r="K748" i="18"/>
  <c r="K156" i="18"/>
  <c r="K429" i="18"/>
  <c r="K808" i="18"/>
  <c r="K552" i="18"/>
  <c r="K314" i="18"/>
  <c r="K617" i="18"/>
  <c r="K1107" i="18"/>
  <c r="K851" i="18"/>
  <c r="K576" i="18"/>
  <c r="J101" i="18"/>
  <c r="K578" i="18"/>
  <c r="J1321" i="18"/>
  <c r="K580" i="18"/>
  <c r="K157" i="18"/>
  <c r="K769" i="18"/>
  <c r="K1301" i="18"/>
  <c r="J964" i="18"/>
  <c r="J658" i="18"/>
  <c r="J391" i="18"/>
  <c r="J1328" i="18"/>
  <c r="J798" i="18"/>
  <c r="J251" i="18"/>
  <c r="J697" i="18"/>
  <c r="J969" i="18"/>
  <c r="J878" i="18"/>
  <c r="J539" i="18"/>
  <c r="J1009" i="18"/>
  <c r="J1132" i="18"/>
  <c r="J908" i="18"/>
  <c r="J598" i="18"/>
  <c r="J320" i="18"/>
  <c r="K1089" i="18"/>
  <c r="K843" i="18"/>
  <c r="J128" i="18"/>
  <c r="K569" i="18"/>
  <c r="J1242" i="18"/>
  <c r="J1235" i="18"/>
  <c r="K1086" i="18"/>
  <c r="K839" i="18"/>
  <c r="K551" i="18"/>
  <c r="K191" i="18"/>
  <c r="K1129" i="18"/>
  <c r="K502" i="18"/>
  <c r="K1117" i="18"/>
  <c r="K1362" i="18"/>
  <c r="K375" i="18"/>
  <c r="K687" i="18"/>
  <c r="K1230" i="18"/>
  <c r="K1295" i="18"/>
  <c r="K999" i="18"/>
  <c r="K758" i="18"/>
  <c r="K464" i="18"/>
  <c r="K81" i="18"/>
  <c r="K268" i="18"/>
  <c r="J74" i="18"/>
  <c r="J1091" i="18"/>
  <c r="J1165" i="18"/>
  <c r="K249" i="18"/>
  <c r="K1171" i="18"/>
  <c r="K553" i="18"/>
  <c r="K1200" i="18"/>
  <c r="K1369" i="18"/>
  <c r="K891" i="18"/>
  <c r="K357" i="18"/>
  <c r="K22" i="18"/>
  <c r="K1161" i="18"/>
  <c r="K973" i="18"/>
  <c r="K780" i="18"/>
  <c r="K956" i="18"/>
  <c r="K377" i="18"/>
  <c r="K52" i="18"/>
  <c r="K1001" i="18"/>
  <c r="K594" i="18"/>
  <c r="K198" i="18"/>
  <c r="K420" i="18"/>
  <c r="K763" i="18"/>
  <c r="K285" i="18"/>
  <c r="K1147" i="18"/>
  <c r="K457" i="18"/>
  <c r="K1228" i="18"/>
  <c r="K952" i="18"/>
  <c r="K534" i="18"/>
  <c r="K291" i="18"/>
  <c r="K1311" i="18"/>
  <c r="K907" i="18"/>
  <c r="K523" i="18"/>
  <c r="K192" i="18"/>
  <c r="K1096" i="18"/>
  <c r="K1025" i="18"/>
  <c r="K341" i="18"/>
  <c r="K1049" i="18"/>
  <c r="K744" i="18"/>
  <c r="K260" i="18"/>
  <c r="K1253" i="18"/>
  <c r="K1126" i="18"/>
  <c r="K958" i="18"/>
  <c r="J629" i="18"/>
  <c r="J156" i="18"/>
  <c r="J314" i="18"/>
  <c r="J576" i="18"/>
  <c r="J1314" i="18"/>
  <c r="J788" i="18"/>
  <c r="J248" i="18"/>
  <c r="J690" i="18"/>
  <c r="J1110" i="18"/>
  <c r="J558" i="18"/>
  <c r="J92" i="18"/>
  <c r="J1237" i="18"/>
  <c r="J400" i="18"/>
  <c r="J426" i="18"/>
  <c r="J1145" i="18"/>
  <c r="J501" i="18"/>
  <c r="J159" i="18"/>
  <c r="J1156" i="18"/>
  <c r="J720" i="18"/>
  <c r="J338" i="18"/>
  <c r="J920" i="18"/>
  <c r="J1134" i="18"/>
  <c r="J665" i="18"/>
  <c r="J42" i="18"/>
  <c r="J824" i="18"/>
  <c r="J31" i="18"/>
  <c r="J1038" i="18"/>
  <c r="J630" i="18"/>
  <c r="J372" i="18"/>
  <c r="J80" i="18"/>
  <c r="J1104" i="18"/>
  <c r="J708" i="18"/>
  <c r="J359" i="18"/>
  <c r="J34" i="18"/>
  <c r="J23" i="18"/>
  <c r="J660" i="18"/>
  <c r="J1186" i="18"/>
  <c r="J831" i="18"/>
  <c r="J433" i="18"/>
  <c r="J1378" i="18"/>
  <c r="J1008" i="18"/>
  <c r="J467" i="18"/>
  <c r="J1116" i="18"/>
  <c r="J1191" i="18"/>
  <c r="J529" i="18"/>
  <c r="J1015" i="18"/>
  <c r="K190" i="18"/>
  <c r="K1127" i="18"/>
  <c r="K466" i="18"/>
  <c r="K857" i="18"/>
  <c r="K1336" i="18"/>
  <c r="K830" i="18"/>
  <c r="K315" i="18"/>
  <c r="K15" i="18"/>
  <c r="K1010" i="18"/>
  <c r="K634" i="18"/>
  <c r="K263" i="18"/>
  <c r="K1154" i="18"/>
  <c r="J580" i="18"/>
  <c r="J195" i="18"/>
  <c r="J848" i="18"/>
  <c r="J589" i="18"/>
  <c r="K242" i="18"/>
  <c r="J1173" i="18"/>
  <c r="K363" i="18"/>
  <c r="K1055" i="18"/>
  <c r="J587" i="18"/>
  <c r="J123" i="18"/>
  <c r="K1116" i="18"/>
  <c r="K866" i="18"/>
  <c r="K579" i="18"/>
  <c r="K278" i="18"/>
  <c r="K1191" i="18"/>
  <c r="K561" i="18"/>
  <c r="K1246" i="18"/>
  <c r="K94" i="18"/>
  <c r="K529" i="18"/>
  <c r="K1199" i="18"/>
  <c r="K8" i="18"/>
  <c r="K1341" i="18"/>
  <c r="K1015" i="18"/>
  <c r="K776" i="18"/>
  <c r="K519" i="18"/>
  <c r="K1236" i="18"/>
  <c r="J713" i="18"/>
  <c r="K653" i="18"/>
  <c r="K195" i="18"/>
  <c r="K345" i="18"/>
  <c r="K506" i="18"/>
  <c r="J1139" i="18"/>
  <c r="J911" i="18"/>
  <c r="J607" i="18"/>
  <c r="J325" i="18"/>
  <c r="J1234" i="18"/>
  <c r="J611" i="18"/>
  <c r="J69" i="18"/>
  <c r="J282" i="18"/>
  <c r="J649" i="18"/>
  <c r="J272" i="18"/>
  <c r="J88" i="18"/>
  <c r="J1360" i="18"/>
  <c r="J1079" i="18"/>
  <c r="J816" i="18"/>
  <c r="J547" i="18"/>
  <c r="J945" i="18"/>
  <c r="K175" i="18"/>
  <c r="J213" i="18"/>
  <c r="K976" i="18"/>
  <c r="J1306" i="18"/>
  <c r="J917" i="18"/>
  <c r="J268" i="18"/>
  <c r="K1005" i="18"/>
  <c r="K766" i="18"/>
  <c r="K487" i="18"/>
  <c r="K121" i="18"/>
  <c r="K953" i="18"/>
  <c r="K366" i="18"/>
  <c r="K723" i="18"/>
  <c r="K1294" i="18"/>
  <c r="K47" i="18"/>
  <c r="K1108" i="18"/>
  <c r="K1279" i="18"/>
  <c r="K1238" i="18"/>
  <c r="K961" i="18"/>
  <c r="K654" i="18"/>
  <c r="K376" i="18"/>
  <c r="K781" i="18"/>
  <c r="J984" i="18"/>
  <c r="J849" i="18"/>
  <c r="J1221" i="18"/>
  <c r="J947" i="18"/>
  <c r="K131" i="18"/>
  <c r="K988" i="18"/>
  <c r="K399" i="18"/>
  <c r="K731" i="18"/>
  <c r="K1298" i="18"/>
  <c r="K785" i="18"/>
  <c r="K270" i="18"/>
  <c r="K1366" i="18"/>
  <c r="K925" i="18"/>
  <c r="K390" i="18"/>
  <c r="K216" i="18"/>
  <c r="K818" i="18"/>
  <c r="K267" i="18"/>
  <c r="K1332" i="18"/>
  <c r="K815" i="18"/>
  <c r="K492" i="18"/>
  <c r="K39" i="18"/>
  <c r="K83" i="18"/>
  <c r="K706" i="18"/>
  <c r="K176" i="18"/>
  <c r="K980" i="18"/>
  <c r="K250" i="18"/>
  <c r="K1122" i="18"/>
  <c r="K882" i="18"/>
  <c r="K484" i="18"/>
  <c r="K215" i="18"/>
  <c r="K1216" i="18"/>
  <c r="K858" i="18"/>
  <c r="K498" i="18"/>
  <c r="K146" i="18"/>
  <c r="K809" i="18"/>
  <c r="K810" i="18"/>
  <c r="K1309" i="18"/>
  <c r="K965" i="18"/>
  <c r="K583" i="18"/>
  <c r="K135" i="18"/>
  <c r="K1101" i="18"/>
  <c r="K186" i="18"/>
  <c r="K631" i="18"/>
  <c r="J361" i="18"/>
  <c r="J429" i="18"/>
  <c r="J617" i="18"/>
  <c r="K358" i="18"/>
  <c r="J1224" i="18"/>
  <c r="J595" i="18"/>
  <c r="J11" i="18"/>
  <c r="J280" i="18"/>
  <c r="J972" i="18"/>
  <c r="J410" i="18"/>
  <c r="J41" i="18"/>
  <c r="J1322" i="18"/>
  <c r="J1293" i="18"/>
  <c r="J1020" i="18"/>
  <c r="J1033" i="18"/>
  <c r="J449" i="18"/>
  <c r="J89" i="18"/>
  <c r="J1040" i="18"/>
  <c r="J675" i="18"/>
  <c r="J245" i="18"/>
  <c r="J613" i="18"/>
  <c r="J832" i="18"/>
  <c r="J473" i="18"/>
  <c r="J1232" i="18"/>
  <c r="J514" i="18"/>
  <c r="J1277" i="18"/>
  <c r="J991" i="18"/>
  <c r="J566" i="18"/>
  <c r="J312" i="18"/>
  <c r="J1355" i="18"/>
  <c r="J927" i="18"/>
  <c r="J546" i="18"/>
  <c r="J240" i="18"/>
  <c r="J1239" i="18"/>
  <c r="J1125" i="18"/>
  <c r="J392" i="18"/>
  <c r="J1097" i="18"/>
  <c r="J754" i="18"/>
  <c r="J300" i="18"/>
  <c r="J1286" i="18"/>
  <c r="J903" i="18"/>
  <c r="K1357" i="18"/>
  <c r="J866" i="18"/>
  <c r="J561" i="18"/>
  <c r="J1199" i="18"/>
  <c r="J776" i="18"/>
  <c r="K109" i="18"/>
  <c r="K937" i="18"/>
  <c r="K343" i="18"/>
  <c r="K716" i="18"/>
  <c r="K1182" i="18"/>
  <c r="K764" i="18"/>
  <c r="K222" i="18"/>
  <c r="K1337" i="18"/>
  <c r="K771" i="18"/>
  <c r="K125" i="18"/>
  <c r="K151" i="18"/>
  <c r="J976" i="18"/>
  <c r="J477" i="18"/>
  <c r="J12" i="18"/>
  <c r="J569" i="18"/>
  <c r="J127" i="18"/>
  <c r="J590" i="18"/>
  <c r="K533" i="18"/>
  <c r="K1296" i="18"/>
  <c r="K1166" i="18"/>
  <c r="J1036" i="18"/>
  <c r="J962" i="18"/>
  <c r="K1021" i="18"/>
  <c r="K799" i="18"/>
  <c r="K526" i="18"/>
  <c r="K169" i="18"/>
  <c r="K1027" i="18"/>
  <c r="K402" i="18"/>
  <c r="K735" i="18"/>
  <c r="K1327" i="18"/>
  <c r="K233" i="18"/>
  <c r="K1335" i="18"/>
  <c r="K615" i="18"/>
  <c r="K1252" i="18"/>
  <c r="K983" i="18"/>
  <c r="K681" i="18"/>
  <c r="K413" i="18"/>
  <c r="K646" i="18"/>
  <c r="K1077" i="18"/>
  <c r="K202" i="18"/>
  <c r="K848" i="18"/>
  <c r="K587" i="18"/>
  <c r="K123" i="18"/>
  <c r="J1086" i="18"/>
  <c r="J839" i="18"/>
  <c r="J551" i="18"/>
  <c r="J191" i="18"/>
  <c r="J1129" i="18"/>
  <c r="J502" i="18"/>
  <c r="J1117" i="18"/>
  <c r="J1362" i="18"/>
  <c r="J375" i="18"/>
  <c r="J687" i="18"/>
  <c r="J1230" i="18"/>
  <c r="J1295" i="18"/>
  <c r="J999" i="18"/>
  <c r="J758" i="18"/>
  <c r="J464" i="18"/>
  <c r="K1080" i="18"/>
  <c r="J371" i="18"/>
  <c r="K1220" i="18"/>
  <c r="K477" i="18"/>
  <c r="J958" i="18"/>
  <c r="J631" i="18"/>
  <c r="J1240" i="18"/>
  <c r="K964" i="18"/>
  <c r="K658" i="18"/>
  <c r="K391" i="18"/>
  <c r="K1328" i="18"/>
  <c r="K798" i="18"/>
  <c r="K251" i="18"/>
  <c r="K697" i="18"/>
  <c r="K969" i="18"/>
  <c r="K878" i="18"/>
  <c r="K539" i="18"/>
  <c r="K1009" i="18"/>
  <c r="K1132" i="18"/>
  <c r="K908" i="18"/>
  <c r="K598" i="18"/>
  <c r="J916" i="18"/>
  <c r="K1306" i="18"/>
  <c r="J696" i="18"/>
  <c r="J274" i="18"/>
  <c r="J819" i="18"/>
  <c r="J626" i="18"/>
  <c r="K57" i="18"/>
  <c r="K844" i="18"/>
  <c r="K273" i="18"/>
  <c r="K707" i="18"/>
  <c r="K1160" i="18"/>
  <c r="K650" i="18"/>
  <c r="K211" i="18"/>
  <c r="K1299" i="18"/>
  <c r="K592" i="18"/>
  <c r="K730" i="18"/>
  <c r="K1326" i="18"/>
  <c r="K538" i="18"/>
  <c r="K171" i="18"/>
  <c r="K1269" i="18"/>
  <c r="K760" i="18"/>
  <c r="K424" i="18"/>
  <c r="K1029" i="18"/>
  <c r="K1214" i="18"/>
  <c r="K682" i="18"/>
  <c r="K46" i="18"/>
  <c r="K890" i="18"/>
  <c r="K124" i="18"/>
  <c r="K1088" i="18"/>
  <c r="K652" i="18"/>
  <c r="K419" i="18"/>
  <c r="K126" i="18"/>
  <c r="K1143" i="18"/>
  <c r="K756" i="18"/>
  <c r="K403" i="18"/>
  <c r="K61" i="18"/>
  <c r="K231" i="18"/>
  <c r="K702" i="18"/>
  <c r="K1219" i="18"/>
  <c r="K865" i="18"/>
  <c r="K509" i="18"/>
  <c r="K60" i="18"/>
  <c r="K1043" i="18"/>
  <c r="K1083" i="18"/>
  <c r="K1240" i="18"/>
  <c r="J1265" i="18"/>
  <c r="J808" i="18"/>
  <c r="J1107" i="18"/>
  <c r="J190" i="18"/>
  <c r="J1127" i="18"/>
  <c r="J466" i="18"/>
  <c r="J857" i="18"/>
  <c r="J1336" i="18"/>
  <c r="J830" i="18"/>
  <c r="J315" i="18"/>
  <c r="J15" i="18"/>
  <c r="J1010" i="18"/>
  <c r="J634" i="18"/>
  <c r="J463" i="18"/>
  <c r="J899" i="18"/>
  <c r="J321" i="18"/>
  <c r="J3" i="18"/>
  <c r="J924" i="18"/>
  <c r="J555" i="18"/>
  <c r="J137" i="18"/>
  <c r="J235" i="18"/>
  <c r="J725" i="18"/>
  <c r="J196" i="18"/>
  <c r="J1028" i="18"/>
  <c r="J414" i="18"/>
  <c r="J1206" i="18"/>
  <c r="J910" i="18"/>
  <c r="J490" i="18"/>
  <c r="J247" i="18"/>
  <c r="J1258" i="18"/>
  <c r="J877" i="18"/>
  <c r="J511" i="18"/>
  <c r="J174" i="18"/>
  <c r="J933" i="18"/>
  <c r="J879" i="18"/>
  <c r="J1375" i="18"/>
  <c r="J992" i="18"/>
  <c r="J636" i="18"/>
  <c r="J201" i="18"/>
  <c r="J1183" i="18"/>
  <c r="K1150" i="18"/>
  <c r="K21" i="18"/>
  <c r="J579" i="18"/>
  <c r="J1246" i="18"/>
  <c r="J8" i="18"/>
  <c r="J519" i="18"/>
  <c r="K1314" i="18"/>
  <c r="K788" i="18"/>
  <c r="K248" i="18"/>
  <c r="K690" i="18"/>
  <c r="K1110" i="18"/>
  <c r="K558" i="18"/>
  <c r="K92" i="18"/>
  <c r="K1237" i="18"/>
  <c r="K400" i="18"/>
  <c r="K426" i="18"/>
  <c r="J35" i="18"/>
  <c r="K813" i="18"/>
  <c r="J385" i="18"/>
  <c r="J1357" i="18"/>
  <c r="J313" i="18"/>
  <c r="J513" i="18"/>
  <c r="K863" i="18"/>
  <c r="K20" i="18"/>
  <c r="J691" i="18"/>
  <c r="J157" i="18"/>
  <c r="J769" i="18"/>
  <c r="J1301" i="18"/>
  <c r="K984" i="18"/>
  <c r="K696" i="18"/>
  <c r="K423" i="18"/>
  <c r="K74" i="18"/>
  <c r="K849" i="18"/>
  <c r="K274" i="18"/>
  <c r="K712" i="18"/>
  <c r="K1091" i="18"/>
  <c r="K1221" i="18"/>
  <c r="K819" i="18"/>
  <c r="K1152" i="18"/>
  <c r="K1165" i="18"/>
  <c r="K947" i="18"/>
  <c r="K626" i="18"/>
  <c r="J427" i="18"/>
  <c r="K446" i="18"/>
  <c r="K332" i="18"/>
  <c r="J1074" i="18"/>
  <c r="K589" i="18"/>
  <c r="K1036" i="18"/>
  <c r="K962" i="18"/>
  <c r="J1005" i="18"/>
  <c r="J766" i="18"/>
  <c r="J487" i="18"/>
  <c r="J121" i="18"/>
  <c r="J953" i="18"/>
  <c r="J366" i="18"/>
  <c r="J723" i="18"/>
  <c r="J1294" i="18"/>
  <c r="J47" i="18"/>
  <c r="J1108" i="18"/>
  <c r="J1279" i="18"/>
  <c r="J1238" i="18"/>
  <c r="J961" i="18"/>
  <c r="J654" i="18"/>
  <c r="J376" i="18"/>
  <c r="K209" i="18"/>
  <c r="K447" i="18"/>
  <c r="K575" i="18"/>
  <c r="K12" i="18"/>
  <c r="J21" i="18"/>
  <c r="J331" i="18"/>
  <c r="K1139" i="18"/>
  <c r="K911" i="18"/>
  <c r="K607" i="18"/>
  <c r="K325" i="18"/>
  <c r="K1234" i="18"/>
  <c r="K611" i="18"/>
  <c r="K69" i="18"/>
  <c r="K282" i="18"/>
  <c r="K649" i="18"/>
  <c r="K272" i="18"/>
  <c r="K88" i="18"/>
  <c r="K1360" i="18"/>
  <c r="K1079" i="18"/>
  <c r="K816" i="18"/>
  <c r="K547" i="18"/>
  <c r="J1201" i="18"/>
  <c r="K917" i="18"/>
  <c r="J423" i="18"/>
  <c r="J712" i="18"/>
  <c r="J1152" i="18"/>
  <c r="J358" i="18"/>
  <c r="K1245" i="18"/>
  <c r="K673" i="18"/>
  <c r="K149" i="18"/>
  <c r="K428" i="18"/>
  <c r="K1023" i="18"/>
  <c r="K476" i="18"/>
  <c r="K75" i="18"/>
  <c r="K1207" i="18"/>
  <c r="K180" i="18"/>
  <c r="K1233" i="18"/>
  <c r="K1085" i="18"/>
  <c r="K483" i="18"/>
  <c r="K144" i="18"/>
  <c r="K1075" i="18"/>
  <c r="K705" i="18"/>
  <c r="K269" i="18"/>
  <c r="K825" i="18"/>
  <c r="K938" i="18"/>
  <c r="K657" i="18"/>
  <c r="K1287" i="18"/>
  <c r="K605" i="18"/>
  <c r="K1351" i="18"/>
  <c r="K1004" i="18"/>
  <c r="K602" i="18"/>
  <c r="K334" i="18"/>
  <c r="K19" i="18"/>
  <c r="K1026" i="18"/>
  <c r="K619" i="18"/>
  <c r="K302" i="18"/>
  <c r="K1348" i="18"/>
  <c r="K1211" i="18"/>
  <c r="K452" i="18"/>
  <c r="K1118" i="18"/>
  <c r="K801" i="18"/>
  <c r="K364" i="18"/>
  <c r="K1342" i="18"/>
  <c r="K944" i="18"/>
  <c r="K385" i="18"/>
  <c r="J948" i="18"/>
  <c r="J748" i="18"/>
  <c r="J552" i="18"/>
  <c r="J851" i="18"/>
  <c r="J109" i="18"/>
  <c r="J937" i="18"/>
  <c r="J343" i="18"/>
  <c r="J716" i="18"/>
  <c r="J1182" i="18"/>
  <c r="J764" i="18"/>
  <c r="J222" i="18"/>
  <c r="J1337" i="18"/>
  <c r="J771" i="18"/>
  <c r="J125" i="18"/>
  <c r="J40" i="18"/>
  <c r="J761" i="18"/>
  <c r="J229" i="18"/>
  <c r="J1310" i="18"/>
  <c r="J784" i="18"/>
  <c r="J441" i="18"/>
  <c r="J1376" i="18"/>
  <c r="J1259" i="18"/>
  <c r="J694" i="18"/>
  <c r="J138" i="18"/>
  <c r="J940" i="18"/>
  <c r="J152" i="18"/>
  <c r="J1099" i="18"/>
  <c r="J852" i="18"/>
  <c r="J448" i="18"/>
  <c r="J153" i="18"/>
  <c r="J1187" i="18"/>
  <c r="J823" i="18"/>
  <c r="J438" i="18"/>
  <c r="J100" i="18"/>
  <c r="J398" i="18"/>
  <c r="J734" i="18"/>
  <c r="J1276" i="18"/>
  <c r="J918" i="18"/>
  <c r="J542" i="18"/>
  <c r="J86" i="18"/>
  <c r="J1056" i="18"/>
  <c r="K1364" i="18"/>
  <c r="K331" i="18"/>
  <c r="J278" i="18"/>
  <c r="J94" i="18"/>
  <c r="J1341" i="18"/>
  <c r="K320" i="18"/>
  <c r="K1224" i="18"/>
  <c r="K595" i="18"/>
  <c r="K11" i="18"/>
  <c r="K280" i="18"/>
  <c r="K972" i="18"/>
  <c r="K410" i="18"/>
  <c r="K41" i="18"/>
  <c r="K1322" i="18"/>
  <c r="K1293" i="18"/>
  <c r="K1020" i="18"/>
  <c r="K463" i="18"/>
  <c r="K899" i="18"/>
  <c r="K321" i="18"/>
  <c r="K3" i="18"/>
  <c r="K924" i="18"/>
  <c r="K555" i="18"/>
  <c r="K137" i="18"/>
  <c r="K235" i="18"/>
  <c r="K725" i="18"/>
  <c r="K196" i="18"/>
  <c r="K1028" i="18"/>
  <c r="K414" i="18"/>
  <c r="K1206" i="18"/>
  <c r="K910" i="18"/>
  <c r="K490" i="18"/>
  <c r="K247" i="18"/>
  <c r="K1258" i="18"/>
  <c r="K877" i="18"/>
  <c r="K511" i="18"/>
  <c r="K174" i="18"/>
  <c r="K933" i="18"/>
  <c r="K879" i="18"/>
  <c r="K1375" i="18"/>
  <c r="K992" i="18"/>
  <c r="K636" i="18"/>
  <c r="K201" i="18"/>
  <c r="K1183" i="18"/>
  <c r="K874" i="18"/>
  <c r="J615" i="18"/>
  <c r="J149" i="18"/>
  <c r="J75" i="18"/>
  <c r="J1085" i="18"/>
  <c r="J705" i="18"/>
  <c r="J657" i="18"/>
  <c r="J1004" i="18"/>
  <c r="J1026" i="18"/>
  <c r="J1211" i="18"/>
  <c r="J364" i="18"/>
  <c r="K564" i="18"/>
  <c r="K139" i="18"/>
  <c r="K1012" i="18"/>
  <c r="K406" i="18"/>
  <c r="J853" i="18"/>
  <c r="J814" i="18"/>
  <c r="J189" i="18"/>
  <c r="J797" i="18"/>
  <c r="J1274" i="18"/>
  <c r="J902" i="18"/>
  <c r="J437" i="18"/>
  <c r="J120" i="18"/>
  <c r="J1155" i="18"/>
  <c r="J817" i="18"/>
  <c r="J475" i="18"/>
  <c r="J118" i="18"/>
  <c r="J621" i="18"/>
  <c r="J841" i="18"/>
  <c r="J1374" i="18"/>
  <c r="J990" i="18"/>
  <c r="J614" i="18"/>
  <c r="J199" i="18"/>
  <c r="J1225" i="18"/>
  <c r="J840" i="18"/>
  <c r="J277" i="18"/>
  <c r="J1203" i="18"/>
  <c r="J664" i="18"/>
  <c r="J28" i="18"/>
  <c r="K1193" i="18"/>
  <c r="K770" i="18"/>
  <c r="K227" i="18"/>
  <c r="K1340" i="18"/>
  <c r="K934" i="18"/>
  <c r="K494" i="18"/>
  <c r="K148" i="18"/>
  <c r="K974" i="18"/>
  <c r="K431" i="18"/>
  <c r="K829" i="18"/>
  <c r="K736" i="18"/>
  <c r="K105" i="18"/>
  <c r="K751" i="18"/>
  <c r="K1213" i="18"/>
  <c r="K868" i="18"/>
  <c r="K422" i="18"/>
  <c r="K111" i="18"/>
  <c r="K1133" i="18"/>
  <c r="K789" i="18"/>
  <c r="K411" i="18"/>
  <c r="K67" i="18"/>
  <c r="K287" i="18"/>
  <c r="K772" i="18"/>
  <c r="K1262" i="18"/>
  <c r="K909" i="18"/>
  <c r="K521" i="18"/>
  <c r="K95" i="18"/>
  <c r="K1087" i="18"/>
  <c r="K525" i="18"/>
  <c r="K147" i="18"/>
  <c r="K966" i="18"/>
  <c r="K344" i="18"/>
  <c r="K45" i="18"/>
  <c r="J647" i="18"/>
  <c r="J145" i="18"/>
  <c r="J1078" i="18"/>
  <c r="J710" i="18"/>
  <c r="J292" i="18"/>
  <c r="J828" i="18"/>
  <c r="J977" i="18"/>
  <c r="J661" i="18"/>
  <c r="J1318" i="18"/>
  <c r="J606" i="18"/>
  <c r="J1363" i="18"/>
  <c r="J169" i="18"/>
  <c r="J1171" i="18"/>
  <c r="J891" i="18"/>
  <c r="J973" i="18"/>
  <c r="J52" i="18"/>
  <c r="J420" i="18"/>
  <c r="J457" i="18"/>
  <c r="J291" i="18"/>
  <c r="J192" i="18"/>
  <c r="J1049" i="18"/>
  <c r="J860" i="18"/>
  <c r="J244" i="18"/>
  <c r="J1114" i="18"/>
  <c r="J601" i="18"/>
  <c r="K1347" i="18"/>
  <c r="K181" i="18"/>
  <c r="K663" i="18"/>
  <c r="K1189" i="18"/>
  <c r="K365" i="18"/>
  <c r="K1035" i="18"/>
  <c r="K600" i="18"/>
  <c r="K301" i="18"/>
  <c r="K1300" i="18"/>
  <c r="K923" i="18"/>
  <c r="K599" i="18"/>
  <c r="K281" i="18"/>
  <c r="K1307" i="18"/>
  <c r="K1319" i="18"/>
  <c r="K659" i="18"/>
  <c r="K1179" i="18"/>
  <c r="K812" i="18"/>
  <c r="K421" i="18"/>
  <c r="K56" i="18"/>
  <c r="K1042" i="18"/>
  <c r="K469" i="18"/>
  <c r="K104" i="18"/>
  <c r="K996" i="18"/>
  <c r="K354" i="18"/>
  <c r="K1263" i="18"/>
  <c r="J931" i="18"/>
  <c r="J384" i="18"/>
  <c r="J24" i="18"/>
  <c r="J1105" i="18"/>
  <c r="J603" i="18"/>
  <c r="J243" i="18"/>
  <c r="J1212" i="18"/>
  <c r="J689" i="18"/>
  <c r="J10" i="18"/>
  <c r="J1163" i="18"/>
  <c r="J618" i="18"/>
  <c r="J959" i="18"/>
  <c r="J114" i="18"/>
  <c r="J1002" i="18"/>
  <c r="J530" i="18"/>
  <c r="J232" i="18"/>
  <c r="J1205" i="18"/>
  <c r="J870" i="18"/>
  <c r="J516" i="18"/>
  <c r="J184" i="18"/>
  <c r="J1047" i="18"/>
  <c r="J1060" i="18"/>
  <c r="J136" i="18"/>
  <c r="J1000" i="18"/>
  <c r="J672" i="18"/>
  <c r="J226" i="18"/>
  <c r="J1266" i="18"/>
  <c r="J820" i="18"/>
  <c r="J275" i="18"/>
  <c r="J1081" i="18"/>
  <c r="J577" i="18"/>
  <c r="K625" i="18"/>
  <c r="K1367" i="18"/>
  <c r="K346" i="18"/>
  <c r="J1021" i="18"/>
  <c r="J131" i="18"/>
  <c r="J1298" i="18"/>
  <c r="J925" i="18"/>
  <c r="J267" i="18"/>
  <c r="J39" i="18"/>
  <c r="J980" i="18"/>
  <c r="J484" i="18"/>
  <c r="J498" i="18"/>
  <c r="J1309" i="18"/>
  <c r="J1101" i="18"/>
  <c r="K310" i="18"/>
  <c r="K1330" i="18"/>
  <c r="K749" i="18"/>
  <c r="K173" i="18"/>
  <c r="J386" i="18"/>
  <c r="J692" i="18"/>
  <c r="J1283" i="18"/>
  <c r="J443" i="18"/>
  <c r="J1098" i="18"/>
  <c r="J624" i="18"/>
  <c r="J330" i="18"/>
  <c r="J1346" i="18"/>
  <c r="J963" i="18"/>
  <c r="J671" i="18"/>
  <c r="J351" i="18"/>
  <c r="J25" i="18"/>
  <c r="J1352" i="18"/>
  <c r="J700" i="18"/>
  <c r="J1208" i="18"/>
  <c r="J864" i="18"/>
  <c r="J472" i="18"/>
  <c r="J85" i="18"/>
  <c r="J1054" i="18"/>
  <c r="J528" i="18"/>
  <c r="J158" i="18"/>
  <c r="J1051" i="18"/>
  <c r="J451" i="18"/>
  <c r="K172" i="18"/>
  <c r="K1070" i="18"/>
  <c r="K524" i="18"/>
  <c r="K76" i="18"/>
  <c r="K1218" i="18"/>
  <c r="K651" i="18"/>
  <c r="K356" i="18"/>
  <c r="K1324" i="18"/>
  <c r="K732" i="18"/>
  <c r="K262" i="18"/>
  <c r="K1281" i="18"/>
  <c r="K674" i="18"/>
  <c r="K1284" i="18"/>
  <c r="K183" i="18"/>
  <c r="K1048" i="18"/>
  <c r="K623" i="18"/>
  <c r="K323" i="18"/>
  <c r="K1338" i="18"/>
  <c r="K914" i="18"/>
  <c r="K586" i="18"/>
  <c r="K271" i="18"/>
  <c r="K1275" i="18"/>
  <c r="K1316" i="18"/>
  <c r="K571" i="18"/>
  <c r="K1109" i="18"/>
  <c r="K779" i="18"/>
  <c r="K327" i="18"/>
  <c r="K1354" i="18"/>
  <c r="K928" i="18"/>
  <c r="K336" i="18"/>
  <c r="K1273" i="18"/>
  <c r="K721" i="18"/>
  <c r="K82" i="18"/>
  <c r="K930" i="18"/>
  <c r="J460" i="18"/>
  <c r="J4" i="18"/>
  <c r="J975" i="18"/>
  <c r="J567" i="18"/>
  <c r="J150" i="18"/>
  <c r="J306" i="18"/>
  <c r="J726" i="18"/>
  <c r="J254" i="18"/>
  <c r="J1115" i="18"/>
  <c r="J435" i="18"/>
  <c r="J1209" i="18"/>
  <c r="J922" i="18"/>
  <c r="J491" i="18"/>
  <c r="K313" i="18"/>
  <c r="J538" i="18"/>
  <c r="J756" i="18"/>
  <c r="J13" i="18"/>
  <c r="K737" i="18"/>
  <c r="K837" i="18"/>
  <c r="K791" i="18"/>
  <c r="K778" i="18"/>
  <c r="K113" i="18"/>
  <c r="K1090" i="18"/>
  <c r="J563" i="18"/>
  <c r="J383" i="18"/>
  <c r="J342" i="18"/>
  <c r="J1095" i="18"/>
  <c r="J943" i="18"/>
  <c r="J1339" i="18"/>
  <c r="J409" i="18"/>
  <c r="J30" i="18"/>
  <c r="K597" i="18"/>
  <c r="K793" i="18"/>
  <c r="K9" i="18"/>
  <c r="K695" i="18"/>
  <c r="K942" i="18"/>
  <c r="K1130" i="18"/>
  <c r="K641" i="18"/>
  <c r="J294" i="18"/>
  <c r="J1329" i="18"/>
  <c r="J912" i="18"/>
  <c r="J549" i="18"/>
  <c r="J178" i="18"/>
  <c r="J821" i="18"/>
  <c r="J906" i="18"/>
  <c r="J119" i="18"/>
  <c r="J970" i="18"/>
  <c r="J556" i="18"/>
  <c r="J102" i="18"/>
  <c r="J1159" i="18"/>
  <c r="J627" i="18"/>
  <c r="J236" i="18"/>
  <c r="J1073" i="18"/>
  <c r="J479" i="18"/>
  <c r="K335" i="18"/>
  <c r="K939" i="18"/>
  <c r="K897" i="18"/>
  <c r="J431" i="18"/>
  <c r="J67" i="18"/>
  <c r="K718" i="18"/>
  <c r="K977" i="18"/>
  <c r="K573" i="18"/>
  <c r="K885" i="18"/>
  <c r="K27" i="18"/>
  <c r="K836" i="18"/>
  <c r="K1019" i="18"/>
  <c r="K765" i="18"/>
  <c r="J57" i="18"/>
  <c r="J1029" i="18"/>
  <c r="J1219" i="18"/>
  <c r="J668" i="18"/>
  <c r="K1283" i="18"/>
  <c r="K330" i="18"/>
  <c r="K351" i="18"/>
  <c r="K1208" i="18"/>
  <c r="K1054" i="18"/>
  <c r="K451" i="18"/>
  <c r="J48" i="18"/>
  <c r="J1285" i="18"/>
  <c r="J662" i="18"/>
  <c r="J588" i="18"/>
  <c r="J540" i="18"/>
  <c r="J379" i="18"/>
  <c r="J1303" i="18"/>
  <c r="J656" i="18"/>
  <c r="K54" i="18"/>
  <c r="K40" i="18"/>
  <c r="K761" i="18"/>
  <c r="K229" i="18"/>
  <c r="K1310" i="18"/>
  <c r="K784" i="18"/>
  <c r="K441" i="18"/>
  <c r="K1376" i="18"/>
  <c r="K1259" i="18"/>
  <c r="K694" i="18"/>
  <c r="K138" i="18"/>
  <c r="K940" i="18"/>
  <c r="K152" i="18"/>
  <c r="K1099" i="18"/>
  <c r="K852" i="18"/>
  <c r="K448" i="18"/>
  <c r="K153" i="18"/>
  <c r="K1187" i="18"/>
  <c r="K823" i="18"/>
  <c r="K438" i="18"/>
  <c r="K100" i="18"/>
  <c r="K398" i="18"/>
  <c r="K734" i="18"/>
  <c r="K1276" i="18"/>
  <c r="K918" i="18"/>
  <c r="K542" i="18"/>
  <c r="K86" i="18"/>
  <c r="K1056" i="18"/>
  <c r="K1242" i="18"/>
  <c r="J413" i="18"/>
  <c r="J428" i="18"/>
  <c r="J1207" i="18"/>
  <c r="J483" i="18"/>
  <c r="J269" i="18"/>
  <c r="J1287" i="18"/>
  <c r="J602" i="18"/>
  <c r="J619" i="18"/>
  <c r="J452" i="18"/>
  <c r="J1342" i="18"/>
  <c r="K360" i="18"/>
  <c r="K13" i="18"/>
  <c r="K850" i="18"/>
  <c r="K293" i="18"/>
  <c r="J565" i="18"/>
  <c r="J722" i="18"/>
  <c r="J5" i="18"/>
  <c r="J499" i="18"/>
  <c r="J1202" i="18"/>
  <c r="J648" i="18"/>
  <c r="J368" i="18"/>
  <c r="J16" i="18"/>
  <c r="J1094" i="18"/>
  <c r="J750" i="18"/>
  <c r="J389" i="18"/>
  <c r="J58" i="18"/>
  <c r="J77" i="18"/>
  <c r="J733" i="18"/>
  <c r="J1264" i="18"/>
  <c r="J915" i="18"/>
  <c r="J536" i="18"/>
  <c r="J99" i="18"/>
  <c r="J1093" i="18"/>
  <c r="J604" i="18"/>
  <c r="J220" i="18"/>
  <c r="J1064" i="18"/>
  <c r="J496" i="18"/>
  <c r="K1317" i="18"/>
  <c r="K1123" i="18"/>
  <c r="K563" i="18"/>
  <c r="K155" i="18"/>
  <c r="K1251" i="18"/>
  <c r="K783" i="18"/>
  <c r="K383" i="18"/>
  <c r="K33" i="18"/>
  <c r="K775" i="18"/>
  <c r="K305" i="18"/>
  <c r="K342" i="18"/>
  <c r="K688" i="18"/>
  <c r="K1358" i="18"/>
  <c r="K439" i="18"/>
  <c r="K1095" i="18"/>
  <c r="K645" i="18"/>
  <c r="K353" i="18"/>
  <c r="K7" i="18"/>
  <c r="K943" i="18"/>
  <c r="K642" i="18"/>
  <c r="K337" i="18"/>
  <c r="K18" i="18"/>
  <c r="K1339" i="18"/>
  <c r="K670" i="18"/>
  <c r="K1142" i="18"/>
  <c r="K803" i="18"/>
  <c r="K409" i="18"/>
  <c r="K32" i="18"/>
  <c r="K968" i="18"/>
  <c r="K388" i="18"/>
  <c r="K30" i="18"/>
  <c r="K768" i="18"/>
  <c r="K207" i="18"/>
  <c r="K560" i="18"/>
  <c r="J504" i="18"/>
  <c r="J54" i="18"/>
  <c r="J1013" i="18"/>
  <c r="J596" i="18"/>
  <c r="J218" i="18"/>
  <c r="J495" i="18"/>
  <c r="J782" i="18"/>
  <c r="J318" i="18"/>
  <c r="J1167" i="18"/>
  <c r="J471" i="18"/>
  <c r="J1256" i="18"/>
  <c r="J1327" i="18"/>
  <c r="J553" i="18"/>
  <c r="J357" i="18"/>
  <c r="J780" i="18"/>
  <c r="J1001" i="18"/>
  <c r="J763" i="18"/>
  <c r="J1228" i="18"/>
  <c r="J1311" i="18"/>
  <c r="J1096" i="18"/>
  <c r="J744" i="18"/>
  <c r="J609" i="18"/>
  <c r="J194" i="18"/>
  <c r="J1052" i="18"/>
  <c r="J456" i="18"/>
  <c r="K677" i="18"/>
  <c r="K1128" i="18"/>
  <c r="K355" i="18"/>
  <c r="K1011" i="18"/>
  <c r="K1379" i="18"/>
  <c r="K981" i="18"/>
  <c r="K531" i="18"/>
  <c r="K239" i="18"/>
  <c r="K1210" i="18"/>
  <c r="K871" i="18"/>
  <c r="K520" i="18"/>
  <c r="K188" i="18"/>
  <c r="K1069" i="18"/>
  <c r="K1084" i="18"/>
  <c r="K381" i="18"/>
  <c r="K1067" i="18"/>
  <c r="K752" i="18"/>
  <c r="K290" i="18"/>
  <c r="K1320" i="18"/>
  <c r="K941" i="18"/>
  <c r="K350" i="18"/>
  <c r="K6" i="18"/>
  <c r="K833" i="18"/>
  <c r="K283" i="18"/>
  <c r="K1061" i="18"/>
  <c r="J792" i="18"/>
  <c r="J304" i="18"/>
  <c r="J1365" i="18"/>
  <c r="J1014" i="18"/>
  <c r="J517" i="18"/>
  <c r="J164" i="18"/>
  <c r="J1072" i="18"/>
  <c r="J459" i="18"/>
  <c r="J935" i="18"/>
  <c r="J898" i="18"/>
  <c r="J167" i="18"/>
  <c r="J869" i="18"/>
  <c r="J1308" i="18"/>
  <c r="J888" i="18"/>
  <c r="J468" i="18"/>
  <c r="J134" i="18"/>
  <c r="J1149" i="18"/>
  <c r="J806" i="18"/>
  <c r="J453" i="18"/>
  <c r="J115" i="18"/>
  <c r="J478" i="18"/>
  <c r="J838" i="18"/>
  <c r="J1289" i="18"/>
  <c r="J929" i="18"/>
  <c r="J559" i="18"/>
  <c r="J112" i="18"/>
  <c r="J1169" i="18"/>
  <c r="J581" i="18"/>
  <c r="J217" i="18"/>
  <c r="J1039" i="18"/>
  <c r="J434" i="18"/>
  <c r="K65" i="18"/>
  <c r="K1007" i="18"/>
  <c r="K193" i="18"/>
  <c r="J1027" i="18"/>
  <c r="J988" i="18"/>
  <c r="J785" i="18"/>
  <c r="J390" i="18"/>
  <c r="J1332" i="18"/>
  <c r="J83" i="18"/>
  <c r="J250" i="18"/>
  <c r="J215" i="18"/>
  <c r="J146" i="18"/>
  <c r="J965" i="18"/>
  <c r="K860" i="18"/>
  <c r="K244" i="18"/>
  <c r="K1114" i="18"/>
  <c r="K601" i="18"/>
  <c r="K545" i="18"/>
  <c r="J1244" i="18"/>
  <c r="J632" i="18"/>
  <c r="J1144" i="18"/>
  <c r="J140" i="18"/>
  <c r="J1003" i="18"/>
  <c r="J562" i="18"/>
  <c r="J284" i="18"/>
  <c r="J1257" i="18"/>
  <c r="J904" i="18"/>
  <c r="J543" i="18"/>
  <c r="J228" i="18"/>
  <c r="J1227" i="18"/>
  <c r="J1197" i="18"/>
  <c r="J450" i="18"/>
  <c r="J1113" i="18"/>
  <c r="J790" i="18"/>
  <c r="J352" i="18"/>
  <c r="J1377" i="18"/>
  <c r="J997" i="18"/>
  <c r="J394" i="18"/>
  <c r="J37" i="18"/>
  <c r="J886" i="18"/>
  <c r="J328" i="18"/>
  <c r="K295" i="18"/>
  <c r="K931" i="18"/>
  <c r="K384" i="18"/>
  <c r="K24" i="18"/>
  <c r="K1105" i="18"/>
  <c r="K603" i="18"/>
  <c r="K243" i="18"/>
  <c r="K1212" i="18"/>
  <c r="K689" i="18"/>
  <c r="K10" i="18"/>
  <c r="K1163" i="18"/>
  <c r="K618" i="18"/>
  <c r="K959" i="18"/>
  <c r="K114" i="18"/>
  <c r="K1002" i="18"/>
  <c r="K530" i="18"/>
  <c r="K232" i="18"/>
  <c r="K1205" i="18"/>
  <c r="K870" i="18"/>
  <c r="K516" i="18"/>
  <c r="K184" i="18"/>
  <c r="K1047" i="18"/>
  <c r="K1060" i="18"/>
  <c r="K136" i="18"/>
  <c r="K1000" i="18"/>
  <c r="K672" i="18"/>
  <c r="K226" i="18"/>
  <c r="K1266" i="18"/>
  <c r="K820" i="18"/>
  <c r="K275" i="18"/>
  <c r="K1081" i="18"/>
  <c r="K577" i="18"/>
  <c r="K486" i="18"/>
  <c r="J1100" i="18"/>
  <c r="J230" i="18"/>
  <c r="J1312" i="18"/>
  <c r="J793" i="18"/>
  <c r="J458" i="18"/>
  <c r="J9" i="18"/>
  <c r="J1271" i="18"/>
  <c r="J695" i="18"/>
  <c r="J161" i="18"/>
  <c r="J942" i="18"/>
  <c r="J179" i="18"/>
  <c r="J1102" i="18"/>
  <c r="J862" i="18"/>
  <c r="J462" i="18"/>
  <c r="J681" i="18"/>
  <c r="J424" i="18"/>
  <c r="J702" i="18"/>
  <c r="J850" i="18"/>
  <c r="K122" i="18"/>
  <c r="K415" i="18"/>
  <c r="K432" i="18"/>
  <c r="K1305" i="18"/>
  <c r="K1178" i="18"/>
  <c r="K591" i="18"/>
  <c r="J155" i="18"/>
  <c r="J33" i="18"/>
  <c r="J688" i="18"/>
  <c r="J645" i="18"/>
  <c r="J642" i="18"/>
  <c r="J670" i="18"/>
  <c r="J32" i="18"/>
  <c r="J768" i="18"/>
  <c r="K97" i="18"/>
  <c r="K686" i="18"/>
  <c r="K616" i="18"/>
  <c r="K554" i="18"/>
  <c r="K544" i="18"/>
  <c r="K1045" i="18"/>
  <c r="J535" i="18"/>
  <c r="J219" i="18"/>
  <c r="J1223" i="18"/>
  <c r="J867" i="18"/>
  <c r="J503" i="18"/>
  <c r="J107" i="18"/>
  <c r="J261" i="18"/>
  <c r="J738" i="18"/>
  <c r="J1280" i="18"/>
  <c r="J875" i="18"/>
  <c r="J440" i="18"/>
  <c r="J70" i="18"/>
  <c r="J1044" i="18"/>
  <c r="J505" i="18"/>
  <c r="J143" i="18"/>
  <c r="J1022" i="18"/>
  <c r="J340" i="18"/>
  <c r="K979" i="18"/>
  <c r="K508" i="18"/>
  <c r="K729" i="18"/>
  <c r="J105" i="18"/>
  <c r="J1262" i="18"/>
  <c r="K1333" i="18"/>
  <c r="K1318" i="18"/>
  <c r="K316" i="18"/>
  <c r="K532" i="18"/>
  <c r="K811" i="18"/>
  <c r="K515" i="18"/>
  <c r="K416" i="18"/>
  <c r="K307" i="18"/>
  <c r="J1160" i="18"/>
  <c r="J890" i="18"/>
  <c r="J1043" i="18"/>
  <c r="J53" i="18"/>
  <c r="K443" i="18"/>
  <c r="K1346" i="18"/>
  <c r="K25" i="18"/>
  <c r="K864" i="18"/>
  <c r="K528" i="18"/>
  <c r="K1188" i="18"/>
  <c r="J1175" i="18"/>
  <c r="J711" i="18"/>
  <c r="J1111" i="18"/>
  <c r="J265" i="18"/>
  <c r="J210" i="18"/>
  <c r="J1065" i="18"/>
  <c r="J892" i="18"/>
  <c r="K1174" i="18"/>
  <c r="K1270" i="18"/>
  <c r="K1145" i="18"/>
  <c r="K501" i="18"/>
  <c r="K159" i="18"/>
  <c r="K1156" i="18"/>
  <c r="K720" i="18"/>
  <c r="K338" i="18"/>
  <c r="K920" i="18"/>
  <c r="K1134" i="18"/>
  <c r="K665" i="18"/>
  <c r="K42" i="18"/>
  <c r="K824" i="18"/>
  <c r="K31" i="18"/>
  <c r="K1038" i="18"/>
  <c r="K630" i="18"/>
  <c r="K372" i="18"/>
  <c r="K80" i="18"/>
  <c r="K1104" i="18"/>
  <c r="K708" i="18"/>
  <c r="K359" i="18"/>
  <c r="K34" i="18"/>
  <c r="K23" i="18"/>
  <c r="K660" i="18"/>
  <c r="K1186" i="18"/>
  <c r="K831" i="18"/>
  <c r="K433" i="18"/>
  <c r="K1378" i="18"/>
  <c r="K1008" i="18"/>
  <c r="J526" i="18"/>
  <c r="J1245" i="18"/>
  <c r="J1023" i="18"/>
  <c r="J180" i="18"/>
  <c r="J144" i="18"/>
  <c r="J825" i="18"/>
  <c r="J605" i="18"/>
  <c r="J334" i="18"/>
  <c r="J302" i="18"/>
  <c r="J1118" i="18"/>
  <c r="J944" i="18"/>
  <c r="K289" i="18"/>
  <c r="K1229" i="18"/>
  <c r="K668" i="18"/>
  <c r="K53" i="18"/>
  <c r="J181" i="18"/>
  <c r="J663" i="18"/>
  <c r="J1189" i="18"/>
  <c r="J365" i="18"/>
  <c r="J1035" i="18"/>
  <c r="J600" i="18"/>
  <c r="J301" i="18"/>
  <c r="J1300" i="18"/>
  <c r="J923" i="18"/>
  <c r="J599" i="18"/>
  <c r="J281" i="18"/>
  <c r="J1307" i="18"/>
  <c r="J1319" i="18"/>
  <c r="J659" i="18"/>
  <c r="J1179" i="18"/>
  <c r="J812" i="18"/>
  <c r="J421" i="18"/>
  <c r="J56" i="18"/>
  <c r="J1042" i="18"/>
  <c r="J469" i="18"/>
  <c r="J104" i="18"/>
  <c r="J996" i="18"/>
  <c r="J354" i="18"/>
  <c r="K225" i="18"/>
  <c r="K1017" i="18"/>
  <c r="K417" i="18"/>
  <c r="K48" i="18"/>
  <c r="K1175" i="18"/>
  <c r="K628" i="18"/>
  <c r="K286" i="18"/>
  <c r="K1285" i="18"/>
  <c r="K711" i="18"/>
  <c r="K168" i="18"/>
  <c r="K1241" i="18"/>
  <c r="K662" i="18"/>
  <c r="K1111" i="18"/>
  <c r="K133" i="18"/>
  <c r="K1030" i="18"/>
  <c r="K588" i="18"/>
  <c r="K265" i="18"/>
  <c r="K1247" i="18"/>
  <c r="K901" i="18"/>
  <c r="K540" i="18"/>
  <c r="K210" i="18"/>
  <c r="K1141" i="18"/>
  <c r="K1157" i="18"/>
  <c r="K379" i="18"/>
  <c r="K1065" i="18"/>
  <c r="K746" i="18"/>
  <c r="K288" i="18"/>
  <c r="K1303" i="18"/>
  <c r="K892" i="18"/>
  <c r="K298" i="18"/>
  <c r="K1176" i="18"/>
  <c r="K656" i="18"/>
  <c r="K916" i="18"/>
  <c r="K584" i="18"/>
  <c r="J346" i="18"/>
  <c r="J1333" i="18"/>
  <c r="J859" i="18"/>
  <c r="J537" i="18"/>
  <c r="J50" i="18"/>
  <c r="J116" i="18"/>
  <c r="J709" i="18"/>
  <c r="J177" i="18"/>
  <c r="J986" i="18"/>
  <c r="J296" i="18"/>
  <c r="J693" i="18"/>
  <c r="J1252" i="18"/>
  <c r="J1200" i="18"/>
  <c r="J22" i="18"/>
  <c r="J956" i="18"/>
  <c r="J594" i="18"/>
  <c r="J285" i="18"/>
  <c r="J952" i="18"/>
  <c r="J907" i="18"/>
  <c r="J1025" i="18"/>
  <c r="J260" i="18"/>
  <c r="J482" i="18"/>
  <c r="J79" i="18"/>
  <c r="J889" i="18"/>
  <c r="J339" i="18"/>
  <c r="K853" i="18"/>
  <c r="K814" i="18"/>
  <c r="K189" i="18"/>
  <c r="K797" i="18"/>
  <c r="K1274" i="18"/>
  <c r="K902" i="18"/>
  <c r="K437" i="18"/>
  <c r="K120" i="18"/>
  <c r="K1155" i="18"/>
  <c r="K817" i="18"/>
  <c r="K475" i="18"/>
  <c r="K118" i="18"/>
  <c r="K621" i="18"/>
  <c r="K841" i="18"/>
  <c r="K1374" i="18"/>
  <c r="K990" i="18"/>
  <c r="K614" i="18"/>
  <c r="K199" i="18"/>
  <c r="K1225" i="18"/>
  <c r="K840" i="18"/>
  <c r="K277" i="18"/>
  <c r="K1203" i="18"/>
  <c r="K664" i="18"/>
  <c r="K28" i="18"/>
  <c r="J1164" i="18"/>
  <c r="J683" i="18"/>
  <c r="J212" i="18"/>
  <c r="J1304" i="18"/>
  <c r="J893" i="18"/>
  <c r="J465" i="18"/>
  <c r="J110" i="18"/>
  <c r="J796" i="18"/>
  <c r="J374" i="18"/>
  <c r="J633" i="18"/>
  <c r="J703" i="18"/>
  <c r="J44" i="18"/>
  <c r="J557" i="18"/>
  <c r="J1112" i="18"/>
  <c r="J807" i="18"/>
  <c r="J412" i="18"/>
  <c r="J51" i="18"/>
  <c r="J1076" i="18"/>
  <c r="J740" i="18"/>
  <c r="J382" i="18"/>
  <c r="J49" i="18"/>
  <c r="J59" i="18"/>
  <c r="J719" i="18"/>
  <c r="J1204" i="18"/>
  <c r="J855" i="18"/>
  <c r="J470" i="18"/>
  <c r="J84" i="18"/>
  <c r="J1024" i="18"/>
  <c r="J444" i="18"/>
  <c r="J98" i="18"/>
  <c r="J881" i="18"/>
  <c r="J326" i="18"/>
  <c r="K989" i="18"/>
  <c r="K647" i="18"/>
  <c r="K145" i="18"/>
  <c r="J233" i="18"/>
  <c r="J399" i="18"/>
  <c r="J270" i="18"/>
  <c r="J216" i="18"/>
  <c r="J815" i="18"/>
  <c r="J706" i="18"/>
  <c r="J1122" i="18"/>
  <c r="J1216" i="18"/>
  <c r="J809" i="18"/>
  <c r="J583" i="18"/>
  <c r="K609" i="18"/>
  <c r="K194" i="18"/>
  <c r="K1052" i="18"/>
  <c r="K456" i="18"/>
  <c r="K182" i="18"/>
  <c r="J913" i="18"/>
  <c r="J258" i="18"/>
  <c r="J936" i="18"/>
  <c r="J1315" i="18"/>
  <c r="J939" i="18"/>
  <c r="J489" i="18"/>
  <c r="J142" i="18"/>
  <c r="J1184" i="18"/>
  <c r="J847" i="18"/>
  <c r="J508" i="18"/>
  <c r="J170" i="18"/>
  <c r="J919" i="18"/>
  <c r="J998" i="18"/>
  <c r="J253" i="18"/>
  <c r="J1037" i="18"/>
  <c r="J743" i="18"/>
  <c r="J259" i="18"/>
  <c r="J1278" i="18"/>
  <c r="J897" i="18"/>
  <c r="J303" i="18"/>
  <c r="J1291" i="18"/>
  <c r="J729" i="18"/>
  <c r="J87" i="18"/>
  <c r="K395" i="18"/>
  <c r="K792" i="18"/>
  <c r="K304" i="18"/>
  <c r="K1365" i="18"/>
  <c r="K1014" i="18"/>
  <c r="K517" i="18"/>
  <c r="K164" i="18"/>
  <c r="K1072" i="18"/>
  <c r="K459" i="18"/>
  <c r="K935" i="18"/>
  <c r="K898" i="18"/>
  <c r="K167" i="18"/>
  <c r="K869" i="18"/>
  <c r="K1308" i="18"/>
  <c r="K888" i="18"/>
  <c r="K468" i="18"/>
  <c r="K134" i="18"/>
  <c r="K1149" i="18"/>
  <c r="K806" i="18"/>
  <c r="K453" i="18"/>
  <c r="K115" i="18"/>
  <c r="K478" i="18"/>
  <c r="K838" i="18"/>
  <c r="K1289" i="18"/>
  <c r="K929" i="18"/>
  <c r="K559" i="18"/>
  <c r="K112" i="18"/>
  <c r="K1169" i="18"/>
  <c r="K581" i="18"/>
  <c r="K217" i="18"/>
  <c r="K1039" i="18"/>
  <c r="K434" i="18"/>
  <c r="K1172" i="18"/>
  <c r="J854" i="18"/>
  <c r="J160" i="18"/>
  <c r="J1162" i="18"/>
  <c r="J728" i="18"/>
  <c r="J370" i="18"/>
  <c r="J921" i="18"/>
  <c r="J1136" i="18"/>
  <c r="J666" i="18"/>
  <c r="J43" i="18"/>
  <c r="J827" i="18"/>
  <c r="J62" i="18"/>
  <c r="J1045" i="18"/>
  <c r="J641" i="18"/>
  <c r="J401" i="18"/>
  <c r="J707" i="18"/>
  <c r="J46" i="18"/>
  <c r="J60" i="18"/>
  <c r="J293" i="18"/>
  <c r="K585" i="18"/>
  <c r="K72" i="18"/>
  <c r="K71" i="18"/>
  <c r="K954" i="18"/>
  <c r="K676" i="18"/>
  <c r="K221" i="18"/>
  <c r="J1251" i="18"/>
  <c r="J775" i="18"/>
  <c r="J1358" i="18"/>
  <c r="J353" i="18"/>
  <c r="J337" i="18"/>
  <c r="J1142" i="18"/>
  <c r="J968" i="18"/>
  <c r="J207" i="18"/>
  <c r="K1312" i="18"/>
  <c r="K458" i="18"/>
  <c r="K1271" i="18"/>
  <c r="K161" i="18"/>
  <c r="K179" i="18"/>
  <c r="J955" i="18"/>
  <c r="K485" i="18"/>
  <c r="J130" i="18"/>
  <c r="J1170" i="18"/>
  <c r="J804" i="18"/>
  <c r="J405" i="18"/>
  <c r="J36" i="18"/>
  <c r="J1325" i="18"/>
  <c r="J667" i="18"/>
  <c r="J1196" i="18"/>
  <c r="J802" i="18"/>
  <c r="J322" i="18"/>
  <c r="J1344" i="18"/>
  <c r="J946" i="18"/>
  <c r="J367" i="18"/>
  <c r="J14" i="18"/>
  <c r="J856" i="18"/>
  <c r="J205" i="18"/>
  <c r="K101" i="18"/>
  <c r="K998" i="18"/>
  <c r="J770" i="18"/>
  <c r="J868" i="18"/>
  <c r="J95" i="18"/>
  <c r="K710" i="18"/>
  <c r="K296" i="18"/>
  <c r="K103" i="18"/>
  <c r="K246" i="18"/>
  <c r="K373" i="18"/>
  <c r="K154" i="18"/>
  <c r="K214" i="18"/>
  <c r="K1120" i="18"/>
  <c r="J592" i="18"/>
  <c r="J419" i="18"/>
  <c r="J289" i="18"/>
  <c r="K386" i="18"/>
  <c r="K1098" i="18"/>
  <c r="K963" i="18"/>
  <c r="K1352" i="18"/>
  <c r="K472" i="18"/>
  <c r="K158" i="18"/>
  <c r="J1017" i="18"/>
  <c r="J628" i="18"/>
  <c r="J168" i="18"/>
  <c r="J133" i="18"/>
  <c r="J1247" i="18"/>
  <c r="J1141" i="18"/>
  <c r="J746" i="18"/>
  <c r="J298" i="18"/>
  <c r="K1250" i="18"/>
  <c r="K1013" i="18"/>
  <c r="K1033" i="18"/>
  <c r="K449" i="18"/>
  <c r="K89" i="18"/>
  <c r="K1040" i="18"/>
  <c r="K675" i="18"/>
  <c r="K245" i="18"/>
  <c r="K613" i="18"/>
  <c r="K832" i="18"/>
  <c r="K473" i="18"/>
  <c r="K1232" i="18"/>
  <c r="K514" i="18"/>
  <c r="K1277" i="18"/>
  <c r="K991" i="18"/>
  <c r="K566" i="18"/>
  <c r="K312" i="18"/>
  <c r="K1355" i="18"/>
  <c r="K927" i="18"/>
  <c r="K546" i="18"/>
  <c r="K240" i="18"/>
  <c r="K1239" i="18"/>
  <c r="K1125" i="18"/>
  <c r="K392" i="18"/>
  <c r="K1097" i="18"/>
  <c r="K754" i="18"/>
  <c r="K300" i="18"/>
  <c r="K1286" i="18"/>
  <c r="K903" i="18"/>
  <c r="J735" i="18"/>
  <c r="J673" i="18"/>
  <c r="J476" i="18"/>
  <c r="J1233" i="18"/>
  <c r="J1075" i="18"/>
  <c r="J938" i="18"/>
  <c r="J1351" i="18"/>
  <c r="J19" i="18"/>
  <c r="J1348" i="18"/>
  <c r="J801" i="18"/>
  <c r="K699" i="18"/>
  <c r="K224" i="18"/>
  <c r="K1066" i="18"/>
  <c r="K497" i="18"/>
  <c r="K127" i="18"/>
  <c r="J1128" i="18"/>
  <c r="J355" i="18"/>
  <c r="J1011" i="18"/>
  <c r="J1379" i="18"/>
  <c r="J981" i="18"/>
  <c r="J531" i="18"/>
  <c r="J239" i="18"/>
  <c r="J1210" i="18"/>
  <c r="J871" i="18"/>
  <c r="J520" i="18"/>
  <c r="J188" i="18"/>
  <c r="J1069" i="18"/>
  <c r="J1084" i="18"/>
  <c r="J381" i="18"/>
  <c r="J1067" i="18"/>
  <c r="J752" i="18"/>
  <c r="J290" i="18"/>
  <c r="J1320" i="18"/>
  <c r="J941" i="18"/>
  <c r="J350" i="18"/>
  <c r="J6" i="18"/>
  <c r="J833" i="18"/>
  <c r="J283" i="18"/>
  <c r="K206" i="18"/>
  <c r="K842" i="18"/>
  <c r="K317" i="18"/>
  <c r="K17" i="18"/>
  <c r="K1062" i="18"/>
  <c r="K572" i="18"/>
  <c r="K200" i="18"/>
  <c r="K1082" i="18"/>
  <c r="K570" i="18"/>
  <c r="K1260" i="18"/>
  <c r="K1103" i="18"/>
  <c r="K257" i="18"/>
  <c r="K900" i="18"/>
  <c r="K1370" i="18"/>
  <c r="K932" i="18"/>
  <c r="K488" i="18"/>
  <c r="K204" i="18"/>
  <c r="K1180" i="18"/>
  <c r="K835" i="18"/>
  <c r="K507" i="18"/>
  <c r="K165" i="18"/>
  <c r="K895" i="18"/>
  <c r="K982" i="18"/>
  <c r="K1361" i="18"/>
  <c r="K978" i="18"/>
  <c r="K593" i="18"/>
  <c r="K185" i="18"/>
  <c r="K1215" i="18"/>
  <c r="K644" i="18"/>
  <c r="K237" i="18"/>
  <c r="K1057" i="18"/>
  <c r="K481" i="18"/>
  <c r="K861" i="18"/>
  <c r="J1007" i="18"/>
  <c r="J193" i="18"/>
  <c r="J1270" i="18"/>
  <c r="J767" i="18"/>
  <c r="J425" i="18"/>
  <c r="J1041" i="18"/>
  <c r="J1217" i="18"/>
  <c r="J684" i="18"/>
  <c r="J91" i="18"/>
  <c r="J894" i="18"/>
  <c r="J132" i="18"/>
  <c r="K1235" i="18"/>
  <c r="J249" i="18"/>
  <c r="J1369" i="18"/>
  <c r="J1161" i="18"/>
  <c r="J377" i="18"/>
  <c r="J198" i="18"/>
  <c r="J1147" i="18"/>
  <c r="J534" i="18"/>
  <c r="J523" i="18"/>
  <c r="J341" i="18"/>
  <c r="J1253" i="18"/>
  <c r="J310" i="18"/>
  <c r="J1330" i="18"/>
  <c r="J749" i="18"/>
  <c r="J173" i="18"/>
  <c r="K565" i="18"/>
  <c r="K722" i="18"/>
  <c r="K5" i="18"/>
  <c r="K499" i="18"/>
  <c r="K1202" i="18"/>
  <c r="K648" i="18"/>
  <c r="K368" i="18"/>
  <c r="K16" i="18"/>
  <c r="K1094" i="18"/>
  <c r="K750" i="18"/>
  <c r="K389" i="18"/>
  <c r="K58" i="18"/>
  <c r="K77" i="18"/>
  <c r="K733" i="18"/>
  <c r="K1264" i="18"/>
  <c r="K915" i="18"/>
  <c r="K536" i="18"/>
  <c r="K99" i="18"/>
  <c r="K1093" i="18"/>
  <c r="K604" i="18"/>
  <c r="K220" i="18"/>
  <c r="K1064" i="18"/>
  <c r="K496" i="18"/>
  <c r="K786" i="18"/>
  <c r="J1070" i="18"/>
  <c r="J524" i="18"/>
  <c r="J76" i="18"/>
  <c r="J1218" i="18"/>
  <c r="J651" i="18"/>
  <c r="J356" i="18"/>
  <c r="J1324" i="18"/>
  <c r="J732" i="18"/>
  <c r="J262" i="18"/>
  <c r="J1281" i="18"/>
  <c r="J674" i="18"/>
  <c r="J1284" i="18"/>
  <c r="J183" i="18"/>
  <c r="J1048" i="18"/>
  <c r="J623" i="18"/>
  <c r="J323" i="18"/>
  <c r="J1338" i="18"/>
  <c r="J914" i="18"/>
  <c r="J586" i="18"/>
  <c r="J271" i="18"/>
  <c r="J1275" i="18"/>
  <c r="J1316" i="18"/>
  <c r="J571" i="18"/>
  <c r="J1109" i="18"/>
  <c r="J779" i="18"/>
  <c r="J327" i="18"/>
  <c r="J1354" i="18"/>
  <c r="J928" i="18"/>
  <c r="J336" i="18"/>
  <c r="J1273" i="18"/>
  <c r="J721" i="18"/>
  <c r="J82" i="18"/>
  <c r="K208" i="18"/>
  <c r="K504" i="18"/>
  <c r="K35" i="18"/>
  <c r="J983" i="18"/>
  <c r="J731" i="18"/>
  <c r="J1366" i="18"/>
  <c r="J818" i="18"/>
  <c r="J492" i="18"/>
  <c r="J176" i="18"/>
  <c r="J882" i="18"/>
  <c r="J858" i="18"/>
  <c r="J810" i="18"/>
  <c r="J135" i="18"/>
  <c r="K482" i="18"/>
  <c r="K79" i="18"/>
  <c r="K889" i="18"/>
  <c r="K339" i="18"/>
  <c r="J640" i="18"/>
  <c r="J737" i="18"/>
  <c r="J122" i="18"/>
  <c r="J585" i="18"/>
  <c r="J1226" i="18"/>
  <c r="J837" i="18"/>
  <c r="J415" i="18"/>
  <c r="J72" i="18"/>
  <c r="J1138" i="18"/>
  <c r="J791" i="18"/>
  <c r="J432" i="18"/>
  <c r="J71" i="18"/>
  <c r="J380" i="18"/>
  <c r="J778" i="18"/>
  <c r="J1305" i="18"/>
  <c r="J954" i="18"/>
  <c r="J582" i="18"/>
  <c r="J113" i="18"/>
  <c r="J1178" i="18"/>
  <c r="J676" i="18"/>
  <c r="J241" i="18"/>
  <c r="J1090" i="18"/>
  <c r="J591" i="18"/>
  <c r="K1031" i="18"/>
  <c r="K1164" i="18"/>
  <c r="K683" i="18"/>
  <c r="K212" i="18"/>
  <c r="K1304" i="18"/>
  <c r="K893" i="18"/>
  <c r="K465" i="18"/>
  <c r="K110" i="18"/>
  <c r="K796" i="18"/>
  <c r="K374" i="18"/>
  <c r="K633" i="18"/>
  <c r="K703" i="18"/>
  <c r="K44" i="18"/>
  <c r="K557" i="18"/>
  <c r="K1112" i="18"/>
  <c r="K807" i="18"/>
  <c r="K412" i="18"/>
  <c r="K51" i="18"/>
  <c r="K1076" i="18"/>
  <c r="K740" i="18"/>
  <c r="K382" i="18"/>
  <c r="K49" i="18"/>
  <c r="K59" i="18"/>
  <c r="K719" i="18"/>
  <c r="K1204" i="18"/>
  <c r="K855" i="18"/>
  <c r="K470" i="18"/>
  <c r="K84" i="18"/>
  <c r="K1024" i="18"/>
  <c r="K444" i="18"/>
  <c r="K98" i="18"/>
  <c r="K881" i="18"/>
  <c r="K326" i="18"/>
  <c r="K117" i="18"/>
  <c r="J597" i="18"/>
  <c r="J97" i="18"/>
  <c r="J1071" i="18"/>
  <c r="J686" i="18"/>
  <c r="J255" i="18"/>
  <c r="J616" i="18"/>
  <c r="J884" i="18"/>
  <c r="J554" i="18"/>
  <c r="J1272" i="18"/>
  <c r="J544" i="18"/>
  <c r="J1302" i="18"/>
  <c r="J995" i="18"/>
  <c r="J573" i="18"/>
  <c r="J316" i="18"/>
  <c r="J1299" i="18"/>
  <c r="J652" i="18"/>
  <c r="J360" i="18"/>
  <c r="K640" i="18"/>
  <c r="K1226" i="18"/>
  <c r="K1138" i="18"/>
  <c r="K380" i="18"/>
  <c r="K582" i="18"/>
  <c r="K241" i="18"/>
  <c r="J1123" i="18"/>
  <c r="J783" i="18"/>
  <c r="J305" i="18"/>
  <c r="J439" i="18"/>
  <c r="J7" i="18"/>
  <c r="J18" i="18"/>
  <c r="J803" i="18"/>
  <c r="J388" i="18"/>
  <c r="K1151" i="18"/>
  <c r="K1071" i="18"/>
  <c r="K255" i="18"/>
  <c r="K884" i="18"/>
  <c r="K1272" i="18"/>
  <c r="K1302" i="18"/>
  <c r="K883" i="18"/>
  <c r="K401" i="18"/>
  <c r="J38" i="18"/>
  <c r="J1119" i="18"/>
  <c r="J724" i="18"/>
  <c r="J333" i="18"/>
  <c r="J1140" i="18"/>
  <c r="J1153" i="18"/>
  <c r="J407" i="18"/>
  <c r="J1106" i="18"/>
  <c r="J745" i="18"/>
  <c r="J203" i="18"/>
  <c r="J1254" i="18"/>
  <c r="J873" i="18"/>
  <c r="J297" i="18"/>
  <c r="J1243" i="18"/>
  <c r="J610" i="18"/>
  <c r="K55" i="18"/>
  <c r="J1088" i="18"/>
  <c r="K743" i="18"/>
  <c r="J934" i="18"/>
  <c r="J1133" i="18"/>
  <c r="J147" i="18"/>
  <c r="K50" i="18"/>
  <c r="K1092" i="18"/>
  <c r="K1194" i="18"/>
  <c r="K2" i="18"/>
  <c r="K1137" i="18"/>
  <c r="K1292" i="18"/>
  <c r="K1168" i="18"/>
  <c r="J799" i="18"/>
  <c r="J171" i="18"/>
  <c r="J403" i="18"/>
  <c r="J1229" i="18"/>
  <c r="K692" i="18"/>
  <c r="K624" i="18"/>
  <c r="K671" i="18"/>
  <c r="K700" i="18"/>
  <c r="K85" i="18"/>
  <c r="K1051" i="18"/>
  <c r="J417" i="18"/>
  <c r="J286" i="18"/>
  <c r="J1241" i="18"/>
  <c r="J1030" i="18"/>
  <c r="J901" i="18"/>
  <c r="J1157" i="18"/>
  <c r="J288" i="18"/>
  <c r="J1176" i="18"/>
  <c r="K460" i="18"/>
  <c r="K767" i="18"/>
  <c r="K596" i="18"/>
  <c r="K495" i="18"/>
  <c r="K318" i="18"/>
  <c r="K471" i="18"/>
  <c r="J1006" i="18"/>
  <c r="K535" i="18"/>
  <c r="K219" i="18"/>
  <c r="K1223" i="18"/>
  <c r="K867" i="18"/>
  <c r="K503" i="18"/>
  <c r="K107" i="18"/>
  <c r="K261" i="18"/>
  <c r="K738" i="18"/>
  <c r="K1280" i="18"/>
  <c r="K875" i="18"/>
  <c r="K440" i="18"/>
  <c r="K70" i="18"/>
  <c r="K1044" i="18"/>
  <c r="K505" i="18"/>
  <c r="K143" i="18"/>
  <c r="K1022" i="18"/>
  <c r="K340" i="18"/>
  <c r="K480" i="18"/>
  <c r="K142" i="18"/>
  <c r="K1278" i="18"/>
  <c r="J148" i="18"/>
  <c r="J789" i="18"/>
  <c r="J966" i="18"/>
  <c r="K828" i="18"/>
  <c r="K995" i="18"/>
  <c r="K1267" i="18"/>
  <c r="K64" i="18"/>
  <c r="K1222" i="18"/>
  <c r="K1380" i="18"/>
  <c r="K96" i="18"/>
  <c r="J402" i="18"/>
  <c r="J1269" i="18"/>
  <c r="J61" i="18"/>
  <c r="J1066" i="18"/>
  <c r="K632" i="18"/>
  <c r="K562" i="18"/>
  <c r="K543" i="18"/>
  <c r="K450" i="18"/>
  <c r="K1377" i="18"/>
  <c r="K886" i="18"/>
  <c r="J317" i="18"/>
  <c r="J200" i="18"/>
  <c r="J1103" i="18"/>
  <c r="J932" i="18"/>
  <c r="J835" i="18"/>
  <c r="J982" i="18"/>
  <c r="J185" i="18"/>
  <c r="J1057" i="18"/>
  <c r="K230" i="18"/>
  <c r="K728" i="18"/>
  <c r="K921" i="18"/>
  <c r="K666" i="18"/>
  <c r="K827" i="18"/>
  <c r="J1092" i="18"/>
  <c r="K608" i="18"/>
  <c r="J252" i="18"/>
  <c r="J1267" i="18"/>
  <c r="J885" i="18"/>
  <c r="J532" i="18"/>
  <c r="J162" i="18"/>
  <c r="J436" i="18"/>
  <c r="J811" i="18"/>
  <c r="J1359" i="18"/>
  <c r="J926" i="18"/>
  <c r="J515" i="18"/>
  <c r="J90" i="18"/>
  <c r="J1068" i="18"/>
  <c r="J574" i="18"/>
  <c r="J214" i="18"/>
  <c r="J1053" i="18"/>
  <c r="J408" i="18"/>
  <c r="K493" i="18"/>
  <c r="J211" i="18"/>
  <c r="J1143" i="18"/>
  <c r="J1012" i="18"/>
  <c r="K258" i="18"/>
  <c r="K170" i="18"/>
  <c r="K87" i="18"/>
  <c r="J736" i="18"/>
  <c r="J772" i="18"/>
  <c r="K160" i="18"/>
  <c r="K709" i="18"/>
  <c r="J883" i="18"/>
  <c r="K1146" i="18"/>
  <c r="K162" i="18"/>
  <c r="K1359" i="18"/>
  <c r="K90" i="18"/>
  <c r="K256" i="18"/>
  <c r="K73" i="18"/>
  <c r="K1343" i="18"/>
  <c r="K425" i="18"/>
  <c r="K1217" i="18"/>
  <c r="K91" i="18"/>
  <c r="K132" i="18"/>
  <c r="K955" i="18"/>
  <c r="K462" i="18"/>
  <c r="K130" i="18"/>
  <c r="K1170" i="18"/>
  <c r="K804" i="18"/>
  <c r="K405" i="18"/>
  <c r="K36" i="18"/>
  <c r="K1325" i="18"/>
  <c r="K667" i="18"/>
  <c r="K1196" i="18"/>
  <c r="K802" i="18"/>
  <c r="K322" i="18"/>
  <c r="K1344" i="18"/>
  <c r="K946" i="18"/>
  <c r="K367" i="18"/>
  <c r="K14" i="18"/>
  <c r="K856" i="18"/>
  <c r="K205" i="18"/>
  <c r="K685" i="18"/>
  <c r="K847" i="18"/>
  <c r="K1291" i="18"/>
  <c r="J829" i="18"/>
  <c r="J287" i="18"/>
  <c r="K854" i="18"/>
  <c r="K661" i="18"/>
  <c r="K679" i="18"/>
  <c r="K1063" i="18"/>
  <c r="K436" i="18"/>
  <c r="K926" i="18"/>
  <c r="K1068" i="18"/>
  <c r="K960" i="18"/>
  <c r="J844" i="18"/>
  <c r="J1214" i="18"/>
  <c r="J865" i="18"/>
  <c r="J497" i="18"/>
  <c r="K1144" i="18"/>
  <c r="K284" i="18"/>
  <c r="K228" i="18"/>
  <c r="K1113" i="18"/>
  <c r="K997" i="18"/>
  <c r="K328" i="18"/>
  <c r="J17" i="18"/>
  <c r="J1082" i="18"/>
  <c r="J257" i="18"/>
  <c r="J488" i="18"/>
  <c r="J507" i="18"/>
  <c r="J1361" i="18"/>
  <c r="J1215" i="18"/>
  <c r="J481" i="18"/>
  <c r="K4" i="18"/>
  <c r="K567" i="18"/>
  <c r="K306" i="18"/>
  <c r="K254" i="18"/>
  <c r="K435" i="18"/>
  <c r="K1006" i="18"/>
  <c r="K491" i="18"/>
  <c r="J187" i="18"/>
  <c r="J1194" i="18"/>
  <c r="J826" i="18"/>
  <c r="J445" i="18"/>
  <c r="J64" i="18"/>
  <c r="J27" i="18"/>
  <c r="J717" i="18"/>
  <c r="J1222" i="18"/>
  <c r="J836" i="18"/>
  <c r="J387" i="18"/>
  <c r="J1380" i="18"/>
  <c r="J1019" i="18"/>
  <c r="J416" i="18"/>
  <c r="J96" i="18"/>
  <c r="J960" i="18"/>
  <c r="J307" i="18"/>
  <c r="K800" i="18"/>
  <c r="J1326" i="18"/>
  <c r="J509" i="18"/>
  <c r="J406" i="18"/>
  <c r="K1315" i="18"/>
  <c r="K253" i="18"/>
  <c r="J227" i="18"/>
  <c r="J1213" i="18"/>
  <c r="J521" i="18"/>
  <c r="K859" i="18"/>
  <c r="K177" i="18"/>
  <c r="J485" i="18"/>
  <c r="K826" i="18"/>
  <c r="K987" i="18"/>
  <c r="K1198" i="18"/>
  <c r="K218" i="18"/>
  <c r="K782" i="18"/>
  <c r="K1167" i="18"/>
  <c r="K1256" i="18"/>
  <c r="K862" i="18"/>
  <c r="J349" i="18"/>
  <c r="K38" i="18"/>
  <c r="K1119" i="18"/>
  <c r="K724" i="18"/>
  <c r="K333" i="18"/>
  <c r="K1140" i="18"/>
  <c r="K1153" i="18"/>
  <c r="K407" i="18"/>
  <c r="K1106" i="18"/>
  <c r="K745" i="18"/>
  <c r="K203" i="18"/>
  <c r="K1254" i="18"/>
  <c r="K873" i="18"/>
  <c r="K297" i="18"/>
  <c r="K1243" i="18"/>
  <c r="K610" i="18"/>
  <c r="K655" i="18"/>
  <c r="J231" i="18"/>
  <c r="K919" i="18"/>
  <c r="J1193" i="18"/>
  <c r="J751" i="18"/>
  <c r="J909" i="18"/>
  <c r="K1078" i="18"/>
  <c r="K986" i="18"/>
  <c r="K418" i="18"/>
  <c r="K787" i="18"/>
  <c r="K1058" i="18"/>
  <c r="K638" i="18"/>
  <c r="K755" i="18"/>
  <c r="K408" i="18"/>
  <c r="J650" i="18"/>
  <c r="J124" i="18"/>
  <c r="J699" i="18"/>
  <c r="K945" i="18"/>
  <c r="K140" i="18"/>
  <c r="K1257" i="18"/>
  <c r="K1227" i="18"/>
  <c r="K790" i="18"/>
  <c r="K394" i="18"/>
  <c r="K1158" i="18"/>
  <c r="J1062" i="18"/>
  <c r="J570" i="18"/>
  <c r="J900" i="18"/>
  <c r="J204" i="18"/>
  <c r="J165" i="18"/>
  <c r="J978" i="18"/>
  <c r="J644" i="18"/>
  <c r="K276" i="18"/>
  <c r="K1162" i="18"/>
  <c r="K370" i="18"/>
  <c r="K1136" i="18"/>
  <c r="K43" i="18"/>
  <c r="K62" i="18"/>
  <c r="K922" i="18"/>
  <c r="J418" i="18"/>
  <c r="J103" i="18"/>
  <c r="J1146" i="18"/>
  <c r="J787" i="18"/>
  <c r="J362" i="18"/>
  <c r="J2" i="18"/>
  <c r="J1288" i="18"/>
  <c r="J474" i="18"/>
  <c r="J1137" i="18"/>
  <c r="J757" i="18"/>
  <c r="J266" i="18"/>
  <c r="J1292" i="18"/>
  <c r="J905" i="18"/>
  <c r="J329" i="18"/>
  <c r="J1343" i="18"/>
  <c r="J765" i="18"/>
  <c r="J73" i="18"/>
  <c r="J1335" i="18"/>
  <c r="J760" i="18"/>
  <c r="J564" i="18"/>
  <c r="K347" i="18"/>
  <c r="K489" i="18"/>
  <c r="K259" i="18"/>
  <c r="J494" i="18"/>
  <c r="J111" i="18"/>
  <c r="J525" i="18"/>
  <c r="K292" i="18"/>
  <c r="K606" i="18"/>
  <c r="K252" i="18"/>
  <c r="K635" i="18"/>
  <c r="K1288" i="18"/>
  <c r="K757" i="18"/>
  <c r="K905" i="18"/>
  <c r="K1053" i="18"/>
  <c r="K1041" i="18"/>
  <c r="K684" i="18"/>
  <c r="K894" i="18"/>
  <c r="K1102" i="18"/>
  <c r="J608" i="18"/>
  <c r="K294" i="18"/>
  <c r="K1329" i="18"/>
  <c r="K912" i="18"/>
  <c r="K549" i="18"/>
  <c r="K178" i="18"/>
  <c r="K821" i="18"/>
  <c r="K906" i="18"/>
  <c r="K119" i="18"/>
  <c r="K970" i="18"/>
  <c r="K556" i="18"/>
  <c r="K102" i="18"/>
  <c r="K1159" i="18"/>
  <c r="K627" i="18"/>
  <c r="K236" i="18"/>
  <c r="K1073" i="18"/>
  <c r="K479" i="18"/>
  <c r="K971" i="18"/>
  <c r="K936" i="18"/>
  <c r="K1037" i="18"/>
  <c r="J1340" i="18"/>
  <c r="J422" i="18"/>
  <c r="J1087" i="18"/>
  <c r="K537" i="18"/>
  <c r="K1363" i="18"/>
  <c r="K187" i="18"/>
  <c r="K445" i="18"/>
  <c r="K474" i="18"/>
  <c r="K266" i="18"/>
  <c r="K329" i="18"/>
  <c r="K704" i="18"/>
  <c r="J730" i="18"/>
  <c r="J126" i="18"/>
  <c r="J224" i="18"/>
  <c r="K1244" i="18"/>
  <c r="K1003" i="18"/>
  <c r="K904" i="18"/>
  <c r="K1197" i="18"/>
  <c r="K352" i="18"/>
  <c r="K37" i="18"/>
  <c r="J842" i="18"/>
  <c r="J572" i="18"/>
  <c r="J1260" i="18"/>
  <c r="J1370" i="18"/>
  <c r="J1180" i="18"/>
  <c r="J895" i="18"/>
  <c r="J593" i="18"/>
  <c r="J237" i="18"/>
  <c r="K1100" i="18"/>
  <c r="K975" i="18"/>
  <c r="K150" i="18"/>
  <c r="K726" i="18"/>
  <c r="K1115" i="18"/>
  <c r="K1209" i="18"/>
  <c r="J679" i="18"/>
  <c r="K349" i="18"/>
  <c r="J1372" i="18"/>
  <c r="J1063" i="18"/>
  <c r="J635" i="18"/>
  <c r="J246" i="18"/>
  <c r="J987" i="18"/>
  <c r="J1058" i="18"/>
  <c r="J373" i="18"/>
  <c r="J994" i="18"/>
  <c r="J638" i="18"/>
  <c r="J154" i="18"/>
  <c r="J1198" i="18"/>
  <c r="J755" i="18"/>
  <c r="J256" i="18"/>
  <c r="J1168" i="18"/>
  <c r="J510" i="18"/>
  <c r="K512" i="18"/>
  <c r="J273" i="18"/>
  <c r="J682" i="18"/>
  <c r="J139" i="18"/>
  <c r="K913" i="18"/>
  <c r="K1184" i="18"/>
  <c r="K303" i="18"/>
  <c r="J974" i="18"/>
  <c r="J411" i="18"/>
  <c r="J344" i="18"/>
  <c r="K116" i="18"/>
  <c r="J1130" i="18"/>
  <c r="K1372" i="18"/>
  <c r="K362" i="18"/>
  <c r="K717" i="18"/>
  <c r="K387" i="18"/>
  <c r="K574" i="18"/>
  <c r="K510" i="18"/>
  <c r="K994" i="18"/>
  <c r="K1323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<sst xmlns="http://schemas.openxmlformats.org/spreadsheetml/2006/main" count="18641" uniqueCount="5018">
  <si>
    <t>Name</t>
  </si>
  <si>
    <t>Native</t>
  </si>
  <si>
    <t>Status</t>
  </si>
  <si>
    <t>City / District / County</t>
  </si>
  <si>
    <t>Population</t>
  </si>
  <si>
    <t>Băiláng Yízú Bùlăngzú Xiāng</t>
  </si>
  <si>
    <t>摆榔彝族布朗族乡</t>
  </si>
  <si>
    <t>Rural Township</t>
  </si>
  <si>
    <t>Shīdiàn Xiàn</t>
  </si>
  <si>
    <t>Bănqiáo Zhèn</t>
  </si>
  <si>
    <t>板桥镇</t>
  </si>
  <si>
    <t>Town</t>
  </si>
  <si>
    <t>Lóngyáng Qū</t>
  </si>
  <si>
    <t>Bĕihăi Xiāng</t>
  </si>
  <si>
    <t>北海乡</t>
  </si>
  <si>
    <t>Téngchōng Shì</t>
  </si>
  <si>
    <t>Bĭngmá Xiāng</t>
  </si>
  <si>
    <t>丙麻乡</t>
  </si>
  <si>
    <t>Bìzhài Xiāng</t>
  </si>
  <si>
    <t>碧寨乡</t>
  </si>
  <si>
    <t>Lónglíng Xiàn</t>
  </si>
  <si>
    <t>Dàtiánbà Zhèn</t>
  </si>
  <si>
    <t>大田坝镇</t>
  </si>
  <si>
    <t>Chāngníng Xiàn</t>
  </si>
  <si>
    <t>Diāntān Zhèn</t>
  </si>
  <si>
    <t>滇滩镇</t>
  </si>
  <si>
    <t>Diànyáng Zhèn</t>
  </si>
  <si>
    <t>甸阳镇</t>
  </si>
  <si>
    <t>Gèngjiá Xiāng</t>
  </si>
  <si>
    <t>更戛乡</t>
  </si>
  <si>
    <t>Góujiē Yízú Miáozú Xiāng</t>
  </si>
  <si>
    <t>耈街彝族苗族乡</t>
  </si>
  <si>
    <t>Gùdōng Zhèn</t>
  </si>
  <si>
    <t>固东镇</t>
  </si>
  <si>
    <t>Hànzhuāng Zhèn</t>
  </si>
  <si>
    <t>汉庄镇</t>
  </si>
  <si>
    <t>Héhuā Zhèn</t>
  </si>
  <si>
    <t>荷花镇</t>
  </si>
  <si>
    <t>Héshùn Zhèn</t>
  </si>
  <si>
    <t>和顺镇</t>
  </si>
  <si>
    <t>Hétú Jiēdào</t>
  </si>
  <si>
    <t>河图街道</t>
  </si>
  <si>
    <t>Urban Subdistrict</t>
  </si>
  <si>
    <t>Héyuán Xiāng</t>
  </si>
  <si>
    <t>何元乡</t>
  </si>
  <si>
    <t>Hóuqiáo Zhèn</t>
  </si>
  <si>
    <t>猴桥镇</t>
  </si>
  <si>
    <t>Jiètóu Zhèn</t>
  </si>
  <si>
    <t>界头镇</t>
  </si>
  <si>
    <t>Jīfēi Zhèn</t>
  </si>
  <si>
    <t>鸡飞镇</t>
  </si>
  <si>
    <t>Jīnjī Xiāng</t>
  </si>
  <si>
    <t>金鸡乡</t>
  </si>
  <si>
    <t>Jiùchéng Xiāng</t>
  </si>
  <si>
    <t>旧城乡</t>
  </si>
  <si>
    <t>Jiŭfáng Xiāng</t>
  </si>
  <si>
    <t>酒房乡</t>
  </si>
  <si>
    <t>Kăsī Zhèn</t>
  </si>
  <si>
    <t>卡斯镇</t>
  </si>
  <si>
    <t>Kējiē Zhèn</t>
  </si>
  <si>
    <t>柯街镇</t>
  </si>
  <si>
    <t>Làmĕng Zhèn</t>
  </si>
  <si>
    <t>腊勐镇</t>
  </si>
  <si>
    <t>Lánchéng Jiēdào</t>
  </si>
  <si>
    <t>兰城街道</t>
  </si>
  <si>
    <t>Lăomài Xiāng</t>
  </si>
  <si>
    <t>老麦乡</t>
  </si>
  <si>
    <t>Lóngjiāng Xiāng</t>
  </si>
  <si>
    <t>龙江乡</t>
  </si>
  <si>
    <t>Lóngshān Zhèn</t>
  </si>
  <si>
    <t>龙山镇</t>
  </si>
  <si>
    <t>Lóngxīn Xiāng</t>
  </si>
  <si>
    <t>龙新乡</t>
  </si>
  <si>
    <t>Lùjiāng Zhèn</t>
  </si>
  <si>
    <t>潞江镇</t>
  </si>
  <si>
    <t>Mángbàng Zhèn</t>
  </si>
  <si>
    <t>芒棒镇</t>
  </si>
  <si>
    <t>Mángkuān Yízú Dăizú Xiāng</t>
  </si>
  <si>
    <t>芒宽彝族傣族乡</t>
  </si>
  <si>
    <t>Măngshuĭ Zhèn</t>
  </si>
  <si>
    <t>漭水镇</t>
  </si>
  <si>
    <t>Măzhàn Xiāng</t>
  </si>
  <si>
    <t>马站乡</t>
  </si>
  <si>
    <t>Mĕngnuò Zhèn</t>
  </si>
  <si>
    <t>勐糯镇</t>
  </si>
  <si>
    <t>Mĕngtŏng Zhèn</t>
  </si>
  <si>
    <t>勐统镇</t>
  </si>
  <si>
    <t>Míngguāng Zhèn</t>
  </si>
  <si>
    <t>明光镇</t>
  </si>
  <si>
    <t>Mùchéng Yízú Lìsùzú Xiāng</t>
  </si>
  <si>
    <t>木城彝族傈僳族乡</t>
  </si>
  <si>
    <t>Mùlăoyuán Bùlăngzú Yízú Xiāng</t>
  </si>
  <si>
    <t>木老元布朗族彝族乡</t>
  </si>
  <si>
    <t>Píngdá Xiāng</t>
  </si>
  <si>
    <t>平达乡</t>
  </si>
  <si>
    <t>Púchuān Xiāng</t>
  </si>
  <si>
    <t>蒲川乡</t>
  </si>
  <si>
    <t>Púpiāo Zhèn</t>
  </si>
  <si>
    <t>蒲缥镇</t>
  </si>
  <si>
    <t>Qīngshuĭ Xiāng</t>
  </si>
  <si>
    <t>清水乡</t>
  </si>
  <si>
    <t>Qŭshí Zhèn</t>
  </si>
  <si>
    <t>曲石镇</t>
  </si>
  <si>
    <t>Rénhé Zhèn</t>
  </si>
  <si>
    <t>仁和镇</t>
  </si>
  <si>
    <t>Shuĭcháng Xiāng</t>
  </si>
  <si>
    <t>水长乡</t>
  </si>
  <si>
    <t>Shuĭzhài Xiāng</t>
  </si>
  <si>
    <t>水寨乡</t>
  </si>
  <si>
    <t>Tàipíng Zhèn</t>
  </si>
  <si>
    <t>太平镇</t>
  </si>
  <si>
    <t>Téngyuè Zhèn</t>
  </si>
  <si>
    <t>腾越镇</t>
  </si>
  <si>
    <t>Tiányuán Zhèn</t>
  </si>
  <si>
    <t>田园镇</t>
  </si>
  <si>
    <t>Tuántián Xiāng</t>
  </si>
  <si>
    <t>团田乡</t>
  </si>
  <si>
    <t>Wădù Xiāng</t>
  </si>
  <si>
    <t>瓦渡乡</t>
  </si>
  <si>
    <t>Wăfáng Yízú Miáozú Xiāng</t>
  </si>
  <si>
    <t>瓦房彝族苗族乡</t>
  </si>
  <si>
    <t>Wămă Yízú Báizú Xiāng</t>
  </si>
  <si>
    <t>瓦马彝族白族乡</t>
  </si>
  <si>
    <t>Wāndiàn Dăizú Xiāng</t>
  </si>
  <si>
    <t>湾甸傣族乡</t>
  </si>
  <si>
    <t>Wànxīng Xiāng</t>
  </si>
  <si>
    <t>万兴乡</t>
  </si>
  <si>
    <t>Wăyáo Zhèn</t>
  </si>
  <si>
    <t>瓦窑镇</t>
  </si>
  <si>
    <t>Wēngdŭ Zhèn</t>
  </si>
  <si>
    <t>翁堵镇</t>
  </si>
  <si>
    <t>Wēnquán Zhèn</t>
  </si>
  <si>
    <t>温泉镇</t>
  </si>
  <si>
    <t>Wŭhé Xiāng</t>
  </si>
  <si>
    <t>五合乡</t>
  </si>
  <si>
    <t>Xiàngdá Zhèn</t>
  </si>
  <si>
    <t>象达镇</t>
  </si>
  <si>
    <t>Xīnhuá Xiāng</t>
  </si>
  <si>
    <t>新华乡</t>
  </si>
  <si>
    <t>Xīnjiē Xiāng</t>
  </si>
  <si>
    <t>辛街乡</t>
  </si>
  <si>
    <t>Xīyì Xiāng</t>
  </si>
  <si>
    <t>西邑乡</t>
  </si>
  <si>
    <t>Yángliŭ Báizú Yízú Xiāng</t>
  </si>
  <si>
    <t>杨柳白族彝族乡</t>
  </si>
  <si>
    <t>Yáoguān Zhèn</t>
  </si>
  <si>
    <t>姚关镇</t>
  </si>
  <si>
    <t>Yŏngchāng Jiēdào</t>
  </si>
  <si>
    <t>永昌街道</t>
  </si>
  <si>
    <t>Yóuwàng Zhèn</t>
  </si>
  <si>
    <t>由旺镇</t>
  </si>
  <si>
    <t>Zhèn'ān Zhèn</t>
  </si>
  <si>
    <t>镇安镇</t>
  </si>
  <si>
    <t>Zhōnghé Zhèn</t>
  </si>
  <si>
    <t>中和镇</t>
  </si>
  <si>
    <t>Zhūjiē Yízú Xiāng</t>
  </si>
  <si>
    <t>珠街彝族乡</t>
  </si>
  <si>
    <t>Àiníshān Xiāng</t>
  </si>
  <si>
    <t>爱尼山乡</t>
  </si>
  <si>
    <t>Shuāngbǎi Xiàn</t>
  </si>
  <si>
    <t>Ānlè Xiāng</t>
  </si>
  <si>
    <t>安乐乡</t>
  </si>
  <si>
    <t>Móudìng Xiàn</t>
  </si>
  <si>
    <t>Ānlóngbăo Xiāng</t>
  </si>
  <si>
    <t>安龙堡乡</t>
  </si>
  <si>
    <t>Báilù Zhèn</t>
  </si>
  <si>
    <t>白路镇</t>
  </si>
  <si>
    <t>Wŭdìng Xiàn</t>
  </si>
  <si>
    <t>Bājiăo Zhèn</t>
  </si>
  <si>
    <t>八角镇</t>
  </si>
  <si>
    <t>Chŭxióng Shì</t>
  </si>
  <si>
    <t>Bìchéng Zhèn</t>
  </si>
  <si>
    <t>碧城镇</t>
  </si>
  <si>
    <t>Lùfēng Xiàn</t>
  </si>
  <si>
    <t>Căiyún Zhèn</t>
  </si>
  <si>
    <t>彩云镇</t>
  </si>
  <si>
    <t>Cānglĭng Zhèn</t>
  </si>
  <si>
    <t>苍岭镇</t>
  </si>
  <si>
    <t>Chādiàn Zhèn</t>
  </si>
  <si>
    <t>插甸镇</t>
  </si>
  <si>
    <t>Dàdìjī Xiāng</t>
  </si>
  <si>
    <t>大地基乡</t>
  </si>
  <si>
    <t>Dàguòkŏu Xiāng</t>
  </si>
  <si>
    <t>大过口乡</t>
  </si>
  <si>
    <t>Dàhékŏu Xiāng</t>
  </si>
  <si>
    <t>大河口乡</t>
  </si>
  <si>
    <t>Yáo'ān Xiàn</t>
  </si>
  <si>
    <t>Dàmàidì Zhèn</t>
  </si>
  <si>
    <t>大麦地镇</t>
  </si>
  <si>
    <t>Dàzhuāng Zhèn</t>
  </si>
  <si>
    <t>大庄镇</t>
  </si>
  <si>
    <t>Dòngchuān Zhèn</t>
  </si>
  <si>
    <t>栋川镇</t>
  </si>
  <si>
    <t>Dōngguā Zhèn</t>
  </si>
  <si>
    <t>东瓜镇</t>
  </si>
  <si>
    <t>Dōnghuá Zhèn</t>
  </si>
  <si>
    <t>东华镇</t>
  </si>
  <si>
    <t>Dōngpō Dǎizú Xiāng</t>
  </si>
  <si>
    <t>东坡傣族乡</t>
  </si>
  <si>
    <t>Dútián Xiāng</t>
  </si>
  <si>
    <t>独田乡</t>
  </si>
  <si>
    <t>Èjiā Zhèn</t>
  </si>
  <si>
    <t>鄂嘉镇</t>
  </si>
  <si>
    <t>Făbiāo Zhèn</t>
  </si>
  <si>
    <t>法脿镇</t>
  </si>
  <si>
    <t>Fāwō Xiāng</t>
  </si>
  <si>
    <t>发窝乡</t>
  </si>
  <si>
    <t>Fèngtún Zhèn</t>
  </si>
  <si>
    <t>凤屯镇</t>
  </si>
  <si>
    <t>Gāofēng Xiāng</t>
  </si>
  <si>
    <t>高峰乡</t>
  </si>
  <si>
    <t>Gāoqiáo Zhèn</t>
  </si>
  <si>
    <t>高桥镇</t>
  </si>
  <si>
    <t>Gònghé Zhèn</t>
  </si>
  <si>
    <t>共和镇</t>
  </si>
  <si>
    <t>Guānglù Zhèn</t>
  </si>
  <si>
    <t>光禄镇</t>
  </si>
  <si>
    <t>Guăngtōng Zhèn</t>
  </si>
  <si>
    <t>广通镇</t>
  </si>
  <si>
    <t>Guāntún Zhèn</t>
  </si>
  <si>
    <t>官屯镇</t>
  </si>
  <si>
    <t>Guìhuā Zhèn</t>
  </si>
  <si>
    <t>桂花镇</t>
  </si>
  <si>
    <t>Dàyáo Xiàn</t>
  </si>
  <si>
    <t>Hēijĭng Zhèn</t>
  </si>
  <si>
    <t>黑井镇</t>
  </si>
  <si>
    <t>Hépíng Zhèn</t>
  </si>
  <si>
    <t>和平镇</t>
  </si>
  <si>
    <t>Hóngtŭpō Zhèn</t>
  </si>
  <si>
    <t>红土坡镇</t>
  </si>
  <si>
    <t>Nánhuá Xiàn</t>
  </si>
  <si>
    <t>Huángguāyuán Zhèn</t>
  </si>
  <si>
    <t>黄瓜园镇</t>
  </si>
  <si>
    <t>Yuánmóu Xiàn</t>
  </si>
  <si>
    <t>Huánzhōu Xiāng</t>
  </si>
  <si>
    <t>环州乡</t>
  </si>
  <si>
    <t>Jiāngbiān Xiāng</t>
  </si>
  <si>
    <t>江边乡</t>
  </si>
  <si>
    <t>Jiāngpō Zhèn</t>
  </si>
  <si>
    <t>江坡镇</t>
  </si>
  <si>
    <t>Jiāngyì Xiāng</t>
  </si>
  <si>
    <t>姜驿乡</t>
  </si>
  <si>
    <t>Jīnbì Zhèn</t>
  </si>
  <si>
    <t>金碧镇</t>
  </si>
  <si>
    <t>Jīnshān Zhèn</t>
  </si>
  <si>
    <t>金山镇</t>
  </si>
  <si>
    <t>Jĭyī Zhèn</t>
  </si>
  <si>
    <t>己衣镇</t>
  </si>
  <si>
    <t>Kŏnglóngshān Zhèn</t>
  </si>
  <si>
    <t>恐龙山镇</t>
  </si>
  <si>
    <t>Lăochéng Xiāng</t>
  </si>
  <si>
    <t>老城乡</t>
  </si>
  <si>
    <t>Liánchí Xiāng</t>
  </si>
  <si>
    <t>莲池乡</t>
  </si>
  <si>
    <t>Yŏngrén Xiàn</t>
  </si>
  <si>
    <t>Liángshān Xiāng</t>
  </si>
  <si>
    <t>凉山乡</t>
  </si>
  <si>
    <t>Liùjū Zhèn</t>
  </si>
  <si>
    <t>六苴镇</t>
  </si>
  <si>
    <t>Lóngchuān Zhèn</t>
  </si>
  <si>
    <t>龙川镇</t>
  </si>
  <si>
    <t>Lóngjiē Zhèn</t>
  </si>
  <si>
    <t>龙街镇</t>
  </si>
  <si>
    <t>Lùchéng Zhèn</t>
  </si>
  <si>
    <t>鹿城镇</t>
  </si>
  <si>
    <t>Lǚhé Zhèn</t>
  </si>
  <si>
    <t>吕合镇</t>
  </si>
  <si>
    <t>Luówŭzhuāng Xiāng</t>
  </si>
  <si>
    <t>罗武庄乡</t>
  </si>
  <si>
    <t>Măjiē Zhèn</t>
  </si>
  <si>
    <t>马街镇</t>
  </si>
  <si>
    <t>Māojiē Zhèn</t>
  </si>
  <si>
    <t>猫街镇</t>
  </si>
  <si>
    <t>Mĕnghŭ Xiāng</t>
  </si>
  <si>
    <t>猛虎乡</t>
  </si>
  <si>
    <t>Míxīng Zhèn</t>
  </si>
  <si>
    <t>弥兴镇</t>
  </si>
  <si>
    <t>Pánmāo Xiāng</t>
  </si>
  <si>
    <t>蟠猫乡</t>
  </si>
  <si>
    <t>Píngtián Xiāng</t>
  </si>
  <si>
    <t>平田乡</t>
  </si>
  <si>
    <t>Qiánchăng Zhèn</t>
  </si>
  <si>
    <t>前场镇</t>
  </si>
  <si>
    <t>Qínfēng Zhèn</t>
  </si>
  <si>
    <t>勤丰镇</t>
  </si>
  <si>
    <t>Rénxīng Zhèn</t>
  </si>
  <si>
    <t>仁兴镇</t>
  </si>
  <si>
    <t>Sānchàhé Zhèn</t>
  </si>
  <si>
    <t>三岔河镇</t>
  </si>
  <si>
    <t>Sānjiē Zhèn</t>
  </si>
  <si>
    <t>三街镇</t>
  </si>
  <si>
    <t>Sāntái Xiāng</t>
  </si>
  <si>
    <t>三台乡</t>
  </si>
  <si>
    <t>Shāqiáo Zhèn</t>
  </si>
  <si>
    <t>沙桥镇</t>
  </si>
  <si>
    <t>Shīshān Zhèn</t>
  </si>
  <si>
    <t>狮山镇</t>
  </si>
  <si>
    <t>Shíyáng Zhèn</t>
  </si>
  <si>
    <t>石羊镇</t>
  </si>
  <si>
    <t>Shìzhōng Xiāng</t>
  </si>
  <si>
    <t>适中乡</t>
  </si>
  <si>
    <t>Shùjū Xiāng</t>
  </si>
  <si>
    <t>树苴乡</t>
  </si>
  <si>
    <t>Tánhuá Xiāng</t>
  </si>
  <si>
    <t>昙华乡</t>
  </si>
  <si>
    <t>Tiánxīn Xiāng</t>
  </si>
  <si>
    <t>田心乡</t>
  </si>
  <si>
    <t>Tiĕsuŏ Xiāng</t>
  </si>
  <si>
    <t>铁锁乡</t>
  </si>
  <si>
    <t>Tŭguān Zhèn</t>
  </si>
  <si>
    <t>土官镇</t>
  </si>
  <si>
    <t>Tùjiē Zhèn</t>
  </si>
  <si>
    <t>兔街镇</t>
  </si>
  <si>
    <t>Tuŏ'ān Xiāng</t>
  </si>
  <si>
    <t>妥安乡</t>
  </si>
  <si>
    <t>Tuŏdiàn Zhèn</t>
  </si>
  <si>
    <t>妥甸镇</t>
  </si>
  <si>
    <t>Wānbì Dǎizú Lìsùzú Xiāng</t>
  </si>
  <si>
    <t>湾碧傣族傈僳族乡</t>
  </si>
  <si>
    <t>Wàndé Zhèn</t>
  </si>
  <si>
    <t>万德镇</t>
  </si>
  <si>
    <t>Wéide Xiāng</t>
  </si>
  <si>
    <t>维的乡</t>
  </si>
  <si>
    <t>Wŭdĭngshān Xiāng</t>
  </si>
  <si>
    <t>五顶山乡</t>
  </si>
  <si>
    <t>Wŭjiē Zhèn</t>
  </si>
  <si>
    <t>五街镇</t>
  </si>
  <si>
    <t>Wùmào Xiāng</t>
  </si>
  <si>
    <t>物茂乡</t>
  </si>
  <si>
    <t>Xīncūn Zhèn</t>
  </si>
  <si>
    <t>新村镇</t>
  </si>
  <si>
    <t>Xīnjiē Zhèn</t>
  </si>
  <si>
    <t>新街镇</t>
  </si>
  <si>
    <t>Xīnqiáo Zhèn</t>
  </si>
  <si>
    <t>新桥镇</t>
  </si>
  <si>
    <t>Xīshèlù Zhèn</t>
  </si>
  <si>
    <t>西舍路镇</t>
  </si>
  <si>
    <t>Xūjiē Xiāng</t>
  </si>
  <si>
    <t>戌街乡</t>
  </si>
  <si>
    <t>Yángjiē Zhèn</t>
  </si>
  <si>
    <t>羊街镇</t>
  </si>
  <si>
    <t>Yījiē Xiāng</t>
  </si>
  <si>
    <t>一街乡</t>
  </si>
  <si>
    <t>Yíjiù Zhèn</t>
  </si>
  <si>
    <t>宜就镇</t>
  </si>
  <si>
    <t>Yīpínglàng Zhèn</t>
  </si>
  <si>
    <t>一平浪镇</t>
  </si>
  <si>
    <t>Yŏngdìng Zhèn</t>
  </si>
  <si>
    <t>永定镇</t>
  </si>
  <si>
    <t>Yŏngxīng Dǎizú Xiāng</t>
  </si>
  <si>
    <t>永兴傣族乡</t>
  </si>
  <si>
    <t>Yuánmă Zhèn</t>
  </si>
  <si>
    <t>元马镇</t>
  </si>
  <si>
    <t>Yŭlù Báizú Xiāng</t>
  </si>
  <si>
    <t>雨露白族乡</t>
  </si>
  <si>
    <t>Zhàojiādiàn Zhèn</t>
  </si>
  <si>
    <t>赵家店镇</t>
  </si>
  <si>
    <t>Zhōngcūn Xiāng</t>
  </si>
  <si>
    <t>中村乡</t>
  </si>
  <si>
    <t>Zhōngshān Zhèn</t>
  </si>
  <si>
    <t>中山镇</t>
  </si>
  <si>
    <t>Ziwŭ Zhèn</t>
  </si>
  <si>
    <t>子午镇</t>
  </si>
  <si>
    <t>Zĭxī Zhèn</t>
  </si>
  <si>
    <t>紫溪镇</t>
  </si>
  <si>
    <t>Zuŏmén Xiāng</t>
  </si>
  <si>
    <t>左门乡</t>
  </si>
  <si>
    <t>Báishí Zhèn</t>
  </si>
  <si>
    <t>白石镇</t>
  </si>
  <si>
    <t>Yúnlóng Xiàn</t>
  </si>
  <si>
    <t>Băofēng Xiāng</t>
  </si>
  <si>
    <t>宝丰乡</t>
  </si>
  <si>
    <t>Băohuá Zhèn</t>
  </si>
  <si>
    <t>宝华镇</t>
  </si>
  <si>
    <t>Nánjiàn Yízú Zìzhìxiàn</t>
  </si>
  <si>
    <t>Bĕidòu Yízú Xiāng</t>
  </si>
  <si>
    <t>北斗彝族乡</t>
  </si>
  <si>
    <t>Yŏngpíng Xiàn</t>
  </si>
  <si>
    <t>Bīnjū Huáqiáo Guănlĭqū</t>
  </si>
  <si>
    <t>宾居华侨管理区</t>
  </si>
  <si>
    <t>Township-like Area</t>
  </si>
  <si>
    <t>Bīnchuān Xiàn</t>
  </si>
  <si>
    <t>Bīnjū Zhèn</t>
  </si>
  <si>
    <t>宾居镇</t>
  </si>
  <si>
    <t>Bìxī Xiāng</t>
  </si>
  <si>
    <t>碧溪乡</t>
  </si>
  <si>
    <t>Bónán Zhèn</t>
  </si>
  <si>
    <t>博南镇</t>
  </si>
  <si>
    <t>Căifèng Huáqiáo Guănlĭqū</t>
  </si>
  <si>
    <t>彩凤华侨管理区</t>
  </si>
  <si>
    <t>Cāngshānxī Zhèn</t>
  </si>
  <si>
    <t>苍山西镇</t>
  </si>
  <si>
    <t>Yàngbì Yízú Zìzhìxiàn</t>
  </si>
  <si>
    <t>Căohăi Zhèn</t>
  </si>
  <si>
    <t>草海镇</t>
  </si>
  <si>
    <t>Hèqìng Xiàn</t>
  </si>
  <si>
    <t>Cáojiàn Zhèn</t>
  </si>
  <si>
    <t>漕涧镇</t>
  </si>
  <si>
    <t>Chăngjiē Yízú Xiāng</t>
  </si>
  <si>
    <t>厂街彝族乡</t>
  </si>
  <si>
    <t>Chángxīn Xiāng</t>
  </si>
  <si>
    <t>长新乡</t>
  </si>
  <si>
    <t>Dàcāng Zhèn</t>
  </si>
  <si>
    <t>大仓镇</t>
  </si>
  <si>
    <t>Wēishān Yízú Huízú Zìzhìxiàn</t>
  </si>
  <si>
    <t>Dàlĭ Zhèn</t>
  </si>
  <si>
    <t>大理镇</t>
  </si>
  <si>
    <t>Dàlĭ Shì</t>
  </si>
  <si>
    <t>Dàyíng Zhèn</t>
  </si>
  <si>
    <t>大营镇</t>
  </si>
  <si>
    <t>Déjū Xiāng</t>
  </si>
  <si>
    <t>德苴乡</t>
  </si>
  <si>
    <t>Mídù Xiàn</t>
  </si>
  <si>
    <t>Dèngchuān Zhèn</t>
  </si>
  <si>
    <t>邓川镇</t>
  </si>
  <si>
    <t>Ĕryuán Xiàn</t>
  </si>
  <si>
    <t>Diànnán Zhèn</t>
  </si>
  <si>
    <t>甸南镇</t>
  </si>
  <si>
    <t>Jiànchuān Xiàn</t>
  </si>
  <si>
    <t>Dōngshān Yízú Xiāng</t>
  </si>
  <si>
    <t>东山彝族乡</t>
  </si>
  <si>
    <t>Xiángyún Xiàn</t>
  </si>
  <si>
    <t>Fèngyí Zhèn</t>
  </si>
  <si>
    <t>凤仪镇</t>
  </si>
  <si>
    <t>Fèngyŭ Zhèn</t>
  </si>
  <si>
    <t>凤羽镇</t>
  </si>
  <si>
    <t>Fùhéng Xiāng</t>
  </si>
  <si>
    <t>富恒乡</t>
  </si>
  <si>
    <t>Gōngguǒqiáo Zhèn [Jiùzhōu Zhèn]</t>
  </si>
  <si>
    <t>功果桥镇</t>
  </si>
  <si>
    <t>Gōngláng Zhèn</t>
  </si>
  <si>
    <t>公郎镇</t>
  </si>
  <si>
    <t>Guānpíng Xiāng</t>
  </si>
  <si>
    <t>关坪乡</t>
  </si>
  <si>
    <t>Hăidōng Zhèn</t>
  </si>
  <si>
    <t>海东镇</t>
  </si>
  <si>
    <t>Hédiàn Zhèn</t>
  </si>
  <si>
    <t>禾甸镇</t>
  </si>
  <si>
    <t>Hóngyán Zhèn</t>
  </si>
  <si>
    <t>红岩镇</t>
  </si>
  <si>
    <t>Huángpíng Zhèn</t>
  </si>
  <si>
    <t>黄坪镇</t>
  </si>
  <si>
    <t>Jiăncáo Xiāng</t>
  </si>
  <si>
    <t>检槽乡</t>
  </si>
  <si>
    <t>Jījiē Xiāng</t>
  </si>
  <si>
    <t>鸡街乡</t>
  </si>
  <si>
    <t>Jīndūn Xiāng</t>
  </si>
  <si>
    <t>金墩乡</t>
  </si>
  <si>
    <t>Jīnhuá Zhèn</t>
  </si>
  <si>
    <t>金华镇</t>
  </si>
  <si>
    <t>Jīnniú Zhèn</t>
  </si>
  <si>
    <t>金牛镇</t>
  </si>
  <si>
    <t>Jīzúshān Zhèn</t>
  </si>
  <si>
    <t>鸡足山镇</t>
  </si>
  <si>
    <t>Jūlì Zhèn</t>
  </si>
  <si>
    <t>苴力镇</t>
  </si>
  <si>
    <t>Lăojūnshān Zhèn</t>
  </si>
  <si>
    <t>老君山镇</t>
  </si>
  <si>
    <t>Lāwū Yízú Xiāng</t>
  </si>
  <si>
    <t>拉乌彝族乡</t>
  </si>
  <si>
    <t>Lèqiū Xiāng</t>
  </si>
  <si>
    <t>乐秋乡</t>
  </si>
  <si>
    <t>Liàntiĕ Xiāng</t>
  </si>
  <si>
    <t>炼铁乡</t>
  </si>
  <si>
    <t>Lìjiăo Zhèn</t>
  </si>
  <si>
    <t>力角镇</t>
  </si>
  <si>
    <t>Liúchăng Zhèn</t>
  </si>
  <si>
    <t>刘厂镇</t>
  </si>
  <si>
    <t>Liùhé Yízú Xiāng</t>
  </si>
  <si>
    <t>六合彝族乡</t>
  </si>
  <si>
    <t>Lóngkāikŏu Zhèn</t>
  </si>
  <si>
    <t>龙开口镇</t>
  </si>
  <si>
    <t>Lóngmén Xiāng</t>
  </si>
  <si>
    <t>龙门乡</t>
  </si>
  <si>
    <t>Lóngtán Xiāng</t>
  </si>
  <si>
    <t>龙潭乡</t>
  </si>
  <si>
    <t>Lùmíng Xiāng</t>
  </si>
  <si>
    <t>鹿鸣乡</t>
  </si>
  <si>
    <t>Mă'ānshān Xiāng</t>
  </si>
  <si>
    <t>马鞍山乡</t>
  </si>
  <si>
    <t>Mădēng Zhèn</t>
  </si>
  <si>
    <t>马登镇</t>
  </si>
  <si>
    <t>Mănjiāng Jiēdào</t>
  </si>
  <si>
    <t>满江街道</t>
  </si>
  <si>
    <t>Miàojiē Zhèn</t>
  </si>
  <si>
    <t>庙街镇</t>
  </si>
  <si>
    <t>Miáowěi Lìsùzú Xiāng [Biăocūn Xiāng]</t>
  </si>
  <si>
    <t>苗尾傈僳族乡</t>
  </si>
  <si>
    <t>Míchéng Zhèn</t>
  </si>
  <si>
    <t>弥城镇</t>
  </si>
  <si>
    <t>Mĭdiàn Zhèn</t>
  </si>
  <si>
    <t>米甸镇</t>
  </si>
  <si>
    <t>Mínjiàn Xiāng</t>
  </si>
  <si>
    <t>民建乡</t>
  </si>
  <si>
    <t>Míshā Xiāng</t>
  </si>
  <si>
    <t>弥沙乡</t>
  </si>
  <si>
    <t>Mìzhĭ Zhèn</t>
  </si>
  <si>
    <t>密祉镇</t>
  </si>
  <si>
    <t>Nánjiàn Zhèn</t>
  </si>
  <si>
    <t>南涧镇</t>
  </si>
  <si>
    <t>Nánzhào Zhèn</t>
  </si>
  <si>
    <t>南诏镇</t>
  </si>
  <si>
    <t>Niújiē Xiāng</t>
  </si>
  <si>
    <t>牛街乡</t>
  </si>
  <si>
    <t>Niújiē Yízú Xiāng</t>
  </si>
  <si>
    <t>牛街彝族乡</t>
  </si>
  <si>
    <t>Nuòdèng Zhèn</t>
  </si>
  <si>
    <t>诺邓镇</t>
  </si>
  <si>
    <t>Píngchuān Zhèn</t>
  </si>
  <si>
    <t>平川镇</t>
  </si>
  <si>
    <t>Píngpō Zhèn</t>
  </si>
  <si>
    <t>平坡镇</t>
  </si>
  <si>
    <t>Pŭpéng Zhèn</t>
  </si>
  <si>
    <t>普棚镇</t>
  </si>
  <si>
    <t>Qiáodiàn Zhèn</t>
  </si>
  <si>
    <t>乔甸镇</t>
  </si>
  <si>
    <t>Qiáohòu Zhèn</t>
  </si>
  <si>
    <t>乔后镇</t>
  </si>
  <si>
    <t>Qīnghuá Xiāng</t>
  </si>
  <si>
    <t>青华乡</t>
  </si>
  <si>
    <t>Sānyíng Zhèn</t>
  </si>
  <si>
    <t>三营镇</t>
  </si>
  <si>
    <t>Shālóng Zhèn</t>
  </si>
  <si>
    <t>沙龙镇</t>
  </si>
  <si>
    <t>Shàngguān Zhèn [Jiāngwěi Zhèn]</t>
  </si>
  <si>
    <t>上关镇</t>
  </si>
  <si>
    <t>Shānyáng Zhèn</t>
  </si>
  <si>
    <t>杉阳镇</t>
  </si>
  <si>
    <t>Shāxī Zhèn</t>
  </si>
  <si>
    <t>沙溪镇</t>
  </si>
  <si>
    <t>Shuāngláng Zhèn</t>
  </si>
  <si>
    <t>双廊镇</t>
  </si>
  <si>
    <t>Shuĭxiè Yízú Xiāng</t>
  </si>
  <si>
    <t>水泄彝族乡</t>
  </si>
  <si>
    <t>Shùnbì Zhèn</t>
  </si>
  <si>
    <t>顺濞镇</t>
  </si>
  <si>
    <t>Sōngguì Zhèn</t>
  </si>
  <si>
    <t>松桂镇</t>
  </si>
  <si>
    <t>Tàihé Huáqiáo Guănlĭqū</t>
  </si>
  <si>
    <t>太和华侨管理区</t>
  </si>
  <si>
    <t>Tàihé Jiēdào [Tiānjĭng Jiēdào]</t>
  </si>
  <si>
    <t>太和街道</t>
  </si>
  <si>
    <t>Tàipíng Xiāng</t>
  </si>
  <si>
    <t>太平乡</t>
  </si>
  <si>
    <t>Tàiyì Yízú Xiāng</t>
  </si>
  <si>
    <t>太邑彝族乡</t>
  </si>
  <si>
    <t>Tuánjié Yízú Xiāng</t>
  </si>
  <si>
    <t>团结彝族乡</t>
  </si>
  <si>
    <t>Wăchăng Xiāng</t>
  </si>
  <si>
    <t>瓦厂乡</t>
  </si>
  <si>
    <t>Wānqiáo Zhèn</t>
  </si>
  <si>
    <t>湾桥镇</t>
  </si>
  <si>
    <t>Wāsè Zhèn</t>
  </si>
  <si>
    <t>挖色镇</t>
  </si>
  <si>
    <t>Wēibăoshān Xiāng</t>
  </si>
  <si>
    <t>巍宝山乡</t>
  </si>
  <si>
    <t>Wúliàngshān Zhèn</t>
  </si>
  <si>
    <t>无量山镇</t>
  </si>
  <si>
    <t>Wŭyìn Xiāng</t>
  </si>
  <si>
    <t>五印乡</t>
  </si>
  <si>
    <t>Xiàguān Jiēdào</t>
  </si>
  <si>
    <t>下关街道</t>
  </si>
  <si>
    <t>Xiángchéng Zhèn</t>
  </si>
  <si>
    <t>祥城镇</t>
  </si>
  <si>
    <t>Xiàngtú Xiāng</t>
  </si>
  <si>
    <t>象图乡</t>
  </si>
  <si>
    <t>Xiăowāndōng Zhèn</t>
  </si>
  <si>
    <t>小湾东镇</t>
  </si>
  <si>
    <t>Xiàzhuāng Zhèn</t>
  </si>
  <si>
    <t>下庄镇</t>
  </si>
  <si>
    <t>Xīntún Zhèn</t>
  </si>
  <si>
    <t>辛屯镇</t>
  </si>
  <si>
    <t>Xīshān Xiāng</t>
  </si>
  <si>
    <t>西山乡</t>
  </si>
  <si>
    <t>Xīyì Zhèn</t>
  </si>
  <si>
    <t>西邑镇</t>
  </si>
  <si>
    <t>Xĭzhōu Zhèn</t>
  </si>
  <si>
    <t>喜洲镇</t>
  </si>
  <si>
    <t>Yángcén Xiāng</t>
  </si>
  <si>
    <t>羊岑乡</t>
  </si>
  <si>
    <t>Yàngjiāng Zhèn</t>
  </si>
  <si>
    <t>漾江镇</t>
  </si>
  <si>
    <t>Yínjiē Zhèn</t>
  </si>
  <si>
    <t>寅街镇</t>
  </si>
  <si>
    <t>Yínqiáo Zhèn</t>
  </si>
  <si>
    <t>银桥镇</t>
  </si>
  <si>
    <t>Yōngcuì Xiāng</t>
  </si>
  <si>
    <t>拥翠乡</t>
  </si>
  <si>
    <t>Yŏngjiàn Zhèn</t>
  </si>
  <si>
    <t>永建镇</t>
  </si>
  <si>
    <t>Yòusuŏ Zhèn</t>
  </si>
  <si>
    <t>右所镇</t>
  </si>
  <si>
    <t>Yúnhè Zhèn</t>
  </si>
  <si>
    <t>云鹤镇</t>
  </si>
  <si>
    <t>Yúnnányì Zhèn</t>
  </si>
  <si>
    <t>云南驿镇</t>
  </si>
  <si>
    <t>Zhōngyīng Lìsùzú Yízú Xiāng</t>
  </si>
  <si>
    <t>钟英傈僳族彝族乡</t>
  </si>
  <si>
    <t>Zhōuchéng Zhèn</t>
  </si>
  <si>
    <t>州城镇</t>
  </si>
  <si>
    <t>Zĭbìhú Zhèn</t>
  </si>
  <si>
    <t>茈碧湖镇</t>
  </si>
  <si>
    <t>Zĭjīn Xiāng</t>
  </si>
  <si>
    <t>紫金乡</t>
  </si>
  <si>
    <t>Chéngzi Zhèn</t>
  </si>
  <si>
    <t>城子镇</t>
  </si>
  <si>
    <t>Lŏngchuān Xiàn</t>
  </si>
  <si>
    <t>Dàchăng Xiāng</t>
  </si>
  <si>
    <t>大厂乡</t>
  </si>
  <si>
    <t>Liánghé Xiàn</t>
  </si>
  <si>
    <t>Fēngpíng Zhèn</t>
  </si>
  <si>
    <t>风平镇</t>
  </si>
  <si>
    <t>Máng Shì</t>
  </si>
  <si>
    <t>Héxī Xiāng</t>
  </si>
  <si>
    <t>河西乡</t>
  </si>
  <si>
    <t>Hùguó Xiāng</t>
  </si>
  <si>
    <t>护国乡</t>
  </si>
  <si>
    <t>Hùsā'ā Chāngzú Xiāng</t>
  </si>
  <si>
    <t>户撒阿昌族乡</t>
  </si>
  <si>
    <t>Hùyù Xiāng</t>
  </si>
  <si>
    <t>户育乡</t>
  </si>
  <si>
    <t>Ruìlì Shì</t>
  </si>
  <si>
    <t>Jiāngdōng Xiāng</t>
  </si>
  <si>
    <t>江东乡</t>
  </si>
  <si>
    <t>Jiĕxiāng Xiāng</t>
  </si>
  <si>
    <t>姐相乡</t>
  </si>
  <si>
    <t>Jĭnghăn Zhèn</t>
  </si>
  <si>
    <t>景罕镇</t>
  </si>
  <si>
    <t>Jiŭbăo'ā Chāngzú Xiāng</t>
  </si>
  <si>
    <t>九保阿昌族乡</t>
  </si>
  <si>
    <t>Jiùchéng Zhèn</t>
  </si>
  <si>
    <t>旧城镇</t>
  </si>
  <si>
    <t>Yíngjiāng Xiàn</t>
  </si>
  <si>
    <t>Kăchăng Zhèn</t>
  </si>
  <si>
    <t>卡场镇</t>
  </si>
  <si>
    <t>Lŏngbă Zhèn</t>
  </si>
  <si>
    <t>陇把镇</t>
  </si>
  <si>
    <t>Mángdōng Zhèn</t>
  </si>
  <si>
    <t>芒东镇</t>
  </si>
  <si>
    <t>Mánghăi Zhèn</t>
  </si>
  <si>
    <t>芒海镇</t>
  </si>
  <si>
    <t>Mángshì Zhèn</t>
  </si>
  <si>
    <t>芒市镇</t>
  </si>
  <si>
    <t>Mángzhāng Xiāng</t>
  </si>
  <si>
    <t>芒章乡</t>
  </si>
  <si>
    <t>Mĕnghuàn Jiēdào</t>
  </si>
  <si>
    <t>勐焕街道</t>
  </si>
  <si>
    <t>Mĕngjiá Zhèn</t>
  </si>
  <si>
    <t>勐戛镇</t>
  </si>
  <si>
    <t>Mĕngmăo Zhèn</t>
  </si>
  <si>
    <t>勐卯镇</t>
  </si>
  <si>
    <t>Mĕngnòng Xiāng</t>
  </si>
  <si>
    <t>勐弄乡</t>
  </si>
  <si>
    <t>Mĕngxiù Xiāng</t>
  </si>
  <si>
    <t>勐秀乡</t>
  </si>
  <si>
    <t>Mĕngyăng Zhèn</t>
  </si>
  <si>
    <t>勐养镇</t>
  </si>
  <si>
    <t>Mĕngyuē Xiāng</t>
  </si>
  <si>
    <t>勐约乡</t>
  </si>
  <si>
    <t>Nàbāng Zhèn</t>
  </si>
  <si>
    <t>那邦镇</t>
  </si>
  <si>
    <t>Năngsòng'ā Chāngzú Xiāng</t>
  </si>
  <si>
    <t>曩宋阿昌族乡</t>
  </si>
  <si>
    <t>Nòngdăo Zhèn</t>
  </si>
  <si>
    <t>弄岛镇</t>
  </si>
  <si>
    <t>Nòngzhāng Zhèn</t>
  </si>
  <si>
    <t>弄璋镇</t>
  </si>
  <si>
    <t>Píngshān Xiāng</t>
  </si>
  <si>
    <t>平山乡</t>
  </si>
  <si>
    <t>Píngyuán Zhèn</t>
  </si>
  <si>
    <t>平原镇</t>
  </si>
  <si>
    <t>Qīngpíng Xiāng</t>
  </si>
  <si>
    <t>清平乡</t>
  </si>
  <si>
    <t>Sāntáishān Dé'ángzú Xiāng</t>
  </si>
  <si>
    <t>三台山德昂族乡</t>
  </si>
  <si>
    <t>Sūdiăn Lìsùzú Xiāng</t>
  </si>
  <si>
    <t>苏典傈僳族乡</t>
  </si>
  <si>
    <t>Tóngbìguān Xiāng</t>
  </si>
  <si>
    <t>铜壁关乡</t>
  </si>
  <si>
    <t>Wăndīng Zhèn</t>
  </si>
  <si>
    <t>畹町镇</t>
  </si>
  <si>
    <t>Wángzishù Xiāng</t>
  </si>
  <si>
    <t>王子树乡</t>
  </si>
  <si>
    <t>Wŭchàlù Xiāng</t>
  </si>
  <si>
    <t>五岔路乡</t>
  </si>
  <si>
    <t>Xiăochăng Xiāng</t>
  </si>
  <si>
    <t>小厂乡</t>
  </si>
  <si>
    <t>Xīmă Zhèn</t>
  </si>
  <si>
    <t>昔马镇</t>
  </si>
  <si>
    <t>Xīnchéng Xiāng</t>
  </si>
  <si>
    <t>新城乡</t>
  </si>
  <si>
    <t>Xuāngăng Xiāng</t>
  </si>
  <si>
    <t>轩岗乡</t>
  </si>
  <si>
    <t>Yóusōnglĭng Xiāng</t>
  </si>
  <si>
    <t>油松岭乡</t>
  </si>
  <si>
    <t>Zhāngfèng Zhèn</t>
  </si>
  <si>
    <t>章凤镇</t>
  </si>
  <si>
    <t>Zhănxī Zhèn</t>
  </si>
  <si>
    <t>盏西镇</t>
  </si>
  <si>
    <t>Zhēdăo Zhèn</t>
  </si>
  <si>
    <t>遮岛镇</t>
  </si>
  <si>
    <t>Zhēfàng Zhèn</t>
  </si>
  <si>
    <t>遮放镇</t>
  </si>
  <si>
    <t>Zhīnèi Xiāng</t>
  </si>
  <si>
    <t>支那乡</t>
  </si>
  <si>
    <t>Zhōngshān Xiāng</t>
  </si>
  <si>
    <t>中山乡</t>
  </si>
  <si>
    <t>Bādí Xiāng</t>
  </si>
  <si>
    <t>巴迪乡</t>
  </si>
  <si>
    <t>Wéixī Lìsùzú Zìzhìxiàn</t>
  </si>
  <si>
    <t>Báijìxùn Xiāng</t>
  </si>
  <si>
    <t>白济汛乡</t>
  </si>
  <si>
    <t>Băohé Zhèn</t>
  </si>
  <si>
    <t>保和镇</t>
  </si>
  <si>
    <t>Bēnzilán Zhèn</t>
  </si>
  <si>
    <t>奔子栏镇</t>
  </si>
  <si>
    <t>Déqīn Xiàn</t>
  </si>
  <si>
    <t>Dōngwàng Xiāng</t>
  </si>
  <si>
    <t>东旺乡</t>
  </si>
  <si>
    <t>Xiānggélĭlā Shì</t>
  </si>
  <si>
    <t>Fóshān Xiāng</t>
  </si>
  <si>
    <t>佛山乡</t>
  </si>
  <si>
    <t>Gézán Xiāng</t>
  </si>
  <si>
    <t>格咱乡</t>
  </si>
  <si>
    <t>Hŭtiàoxiá Zhèn</t>
  </si>
  <si>
    <t>虎跳峡镇</t>
  </si>
  <si>
    <t>Jiàntáng Zhèn</t>
  </si>
  <si>
    <t>建塘镇</t>
  </si>
  <si>
    <t>Jīnjiāng Zhèn</t>
  </si>
  <si>
    <t>金江镇</t>
  </si>
  <si>
    <t>Kāngpŭ Xiāng</t>
  </si>
  <si>
    <t>康普乡</t>
  </si>
  <si>
    <t>Luòjí Xiāng</t>
  </si>
  <si>
    <t>洛吉乡</t>
  </si>
  <si>
    <t>Níxī Xiāng</t>
  </si>
  <si>
    <t>尼西乡</t>
  </si>
  <si>
    <t>Pāntiāngé Xiāng</t>
  </si>
  <si>
    <t>攀天阁乡</t>
  </si>
  <si>
    <t>Sānbà Nàxīzú Xiāng</t>
  </si>
  <si>
    <t>三坝纳西族乡</t>
  </si>
  <si>
    <t>Shàngjiāng Xiāng</t>
  </si>
  <si>
    <t>上江乡</t>
  </si>
  <si>
    <t>Shēngpíng Zhèn</t>
  </si>
  <si>
    <t>升平镇</t>
  </si>
  <si>
    <t>Tăchéng Zhèn</t>
  </si>
  <si>
    <t>塔城镇</t>
  </si>
  <si>
    <t>Tuōdĭng Lìsùzú Xiāng</t>
  </si>
  <si>
    <t>拖顶傈僳族乡</t>
  </si>
  <si>
    <t>Wéidēng Xiāng</t>
  </si>
  <si>
    <t>维登乡</t>
  </si>
  <si>
    <t>Wŭjìng Xiāng</t>
  </si>
  <si>
    <t>五境乡</t>
  </si>
  <si>
    <t>Xiăozhōngdiàn Zhèn</t>
  </si>
  <si>
    <t>小中甸镇</t>
  </si>
  <si>
    <t>Xiáruò Lìsùzú Xiāng</t>
  </si>
  <si>
    <t>霞若傈僳族乡</t>
  </si>
  <si>
    <t>Yánglā Xiāng</t>
  </si>
  <si>
    <t>羊拉乡</t>
  </si>
  <si>
    <t>Yànmén Xiāng</t>
  </si>
  <si>
    <t>燕门乡</t>
  </si>
  <si>
    <t>Yèzhī Zhèn</t>
  </si>
  <si>
    <t>叶枝镇</t>
  </si>
  <si>
    <t>Yŏngchūn Xiāng</t>
  </si>
  <si>
    <t>永春乡</t>
  </si>
  <si>
    <t>Yúnlĭng Xiāng</t>
  </si>
  <si>
    <t>云岭乡</t>
  </si>
  <si>
    <t>Zhōnglù Xiāng</t>
  </si>
  <si>
    <t>中路乡</t>
  </si>
  <si>
    <t>Ādébó Xiāng</t>
  </si>
  <si>
    <t>阿得博乡</t>
  </si>
  <si>
    <t>Jīnpíng Miáozú Yáozú Dăizú Zìzhìxiàn</t>
  </si>
  <si>
    <t>Āzhāhé Xiāng</t>
  </si>
  <si>
    <t>阿扎河乡</t>
  </si>
  <si>
    <t>Hónghé Xiàn</t>
  </si>
  <si>
    <t>Báihé Zhèn</t>
  </si>
  <si>
    <t>白河镇</t>
  </si>
  <si>
    <t>Píngbiān Miáozú Zìzhìxiàn</t>
  </si>
  <si>
    <t>Báishuĭ Zhèn</t>
  </si>
  <si>
    <t>白水镇</t>
  </si>
  <si>
    <t>Lúxī Xiàn</t>
  </si>
  <si>
    <t>Báiyún Xiāng</t>
  </si>
  <si>
    <t>白云乡</t>
  </si>
  <si>
    <t>Bànpō Xiāng</t>
  </si>
  <si>
    <t>半坡乡</t>
  </si>
  <si>
    <t>Lǜchūn Xiàn</t>
  </si>
  <si>
    <t>Băohé Xiāng</t>
  </si>
  <si>
    <t>保和乡</t>
  </si>
  <si>
    <t>Gèjiù Shì</t>
  </si>
  <si>
    <t>Băoxiù Zhèn</t>
  </si>
  <si>
    <t>宝秀镇</t>
  </si>
  <si>
    <t>Shípíng Xiàn</t>
  </si>
  <si>
    <t>Bàxīn Zhèn</t>
  </si>
  <si>
    <t>坝心镇</t>
  </si>
  <si>
    <t>Bēigé Xiāng</t>
  </si>
  <si>
    <t>碑格乡</t>
  </si>
  <si>
    <t>Kāiyuăn Shì</t>
  </si>
  <si>
    <t>Căobà Zhèn</t>
  </si>
  <si>
    <t>草坝镇</t>
  </si>
  <si>
    <t>Mĕngzì Shì</t>
  </si>
  <si>
    <t>Chàkē Zhèn</t>
  </si>
  <si>
    <t>岔科镇</t>
  </si>
  <si>
    <t>Jiànshuĭ Xiàn</t>
  </si>
  <si>
    <t>Chēgŭ Xiāng</t>
  </si>
  <si>
    <t>车古乡</t>
  </si>
  <si>
    <t>Chéngqū Jiēdào</t>
  </si>
  <si>
    <t>城区街道</t>
  </si>
  <si>
    <t>Dàhēishān Zhèn</t>
  </si>
  <si>
    <t>大黑山镇</t>
  </si>
  <si>
    <t>Dàpíng Xiāng</t>
  </si>
  <si>
    <t>大坪乡</t>
  </si>
  <si>
    <t>Yuányáng Xiàn</t>
  </si>
  <si>
    <t>Dàqiáo Xiāng</t>
  </si>
  <si>
    <t>大桥乡</t>
  </si>
  <si>
    <t>Dàshuĭgōu Xiāng</t>
  </si>
  <si>
    <t>大水沟乡</t>
  </si>
  <si>
    <t>Dàtún Jiēdào</t>
  </si>
  <si>
    <t>大屯街道</t>
  </si>
  <si>
    <t>Dàxīng Zhèn</t>
  </si>
  <si>
    <t>大兴镇</t>
  </si>
  <si>
    <t>Dàyángjiē Xiāng</t>
  </si>
  <si>
    <t>大羊街乡</t>
  </si>
  <si>
    <t>Dàzhài Xiāng</t>
  </si>
  <si>
    <t>大寨乡</t>
  </si>
  <si>
    <t>Dàzhuāng Huízú Xiāng</t>
  </si>
  <si>
    <t>大庄回族乡</t>
  </si>
  <si>
    <t>Diànwĕi Xiāng</t>
  </si>
  <si>
    <t>甸尾乡</t>
  </si>
  <si>
    <t>Diémă Xiāng</t>
  </si>
  <si>
    <t>垤玛乡</t>
  </si>
  <si>
    <t>Dōngshān Zhèn</t>
  </si>
  <si>
    <t>东山镇</t>
  </si>
  <si>
    <t>Mílè Shì</t>
  </si>
  <si>
    <t>Ézhā Xiāng</t>
  </si>
  <si>
    <t>俄扎乡</t>
  </si>
  <si>
    <t>Féngchūnlĭng Xiāng</t>
  </si>
  <si>
    <t>逢春岭乡</t>
  </si>
  <si>
    <t>Gāniáng Xiāng</t>
  </si>
  <si>
    <t>嘎娘乡</t>
  </si>
  <si>
    <t>Gēkuí Xiāng</t>
  </si>
  <si>
    <t>戈奎乡</t>
  </si>
  <si>
    <t>Guāntīng Zhèn</t>
  </si>
  <si>
    <t>官厅镇</t>
  </si>
  <si>
    <t>Hékŏu Zhèn</t>
  </si>
  <si>
    <t>河口镇</t>
  </si>
  <si>
    <t>Hékŏu Yáozú Zìzhìxiàn</t>
  </si>
  <si>
    <t>Hóngxī Zhèn</t>
  </si>
  <si>
    <t>虹溪镇</t>
  </si>
  <si>
    <t>Huángcăolĭng Xiāng</t>
  </si>
  <si>
    <t>黄草岭乡</t>
  </si>
  <si>
    <t>Huángmáolĭng Xiāng</t>
  </si>
  <si>
    <t>黄茅岭乡</t>
  </si>
  <si>
    <t>Jiàchē Xiāng</t>
  </si>
  <si>
    <t>架车乡</t>
  </si>
  <si>
    <t>Jiăshā Xiāng</t>
  </si>
  <si>
    <t>贾沙乡</t>
  </si>
  <si>
    <t>Jiăyín Zhèn</t>
  </si>
  <si>
    <t>甲寅镇</t>
  </si>
  <si>
    <t>Jījiē Zhèn</t>
  </si>
  <si>
    <t>鸡街镇</t>
  </si>
  <si>
    <t>Jīnhé Zhèn</t>
  </si>
  <si>
    <t>金河镇</t>
  </si>
  <si>
    <t>Jīnmă Zhèn</t>
  </si>
  <si>
    <t>金马镇</t>
  </si>
  <si>
    <t>Jīnshuĭhé Zhèn</t>
  </si>
  <si>
    <t>金水河镇</t>
  </si>
  <si>
    <t>Kăfáng Zhèn</t>
  </si>
  <si>
    <t>卡房镇</t>
  </si>
  <si>
    <t>Làngdī Zhèn</t>
  </si>
  <si>
    <t>浪堤镇</t>
  </si>
  <si>
    <t>Lăochăng Zhèn</t>
  </si>
  <si>
    <t>老厂镇</t>
  </si>
  <si>
    <t>Lăofànzhài Xiāng</t>
  </si>
  <si>
    <t>老范寨乡</t>
  </si>
  <si>
    <t>Lăojízhài Xiāng</t>
  </si>
  <si>
    <t>老集寨乡</t>
  </si>
  <si>
    <t>Lăomĕng Zhèn</t>
  </si>
  <si>
    <t>老勐镇</t>
  </si>
  <si>
    <t>Lăozhài Miáozú Xiāng</t>
  </si>
  <si>
    <t>老寨苗族乡</t>
  </si>
  <si>
    <t>Lèbáidào Jiēdào</t>
  </si>
  <si>
    <t>乐白道街道</t>
  </si>
  <si>
    <t>Lĕngquán Zhèn</t>
  </si>
  <si>
    <t>冷泉镇</t>
  </si>
  <si>
    <t>Lèyù Zhèn</t>
  </si>
  <si>
    <t>乐育镇</t>
  </si>
  <si>
    <t>Liánhuātān Xiāng</t>
  </si>
  <si>
    <t>莲花滩乡</t>
  </si>
  <si>
    <t>Lĭhàozhài Xiāng</t>
  </si>
  <si>
    <t>李浩寨乡</t>
  </si>
  <si>
    <t>Lìmín Xiāng</t>
  </si>
  <si>
    <t>利民乡</t>
  </si>
  <si>
    <t>Lín'ān Zhèn</t>
  </si>
  <si>
    <t>临安镇</t>
  </si>
  <si>
    <t>Língquán Jiēdào</t>
  </si>
  <si>
    <t>灵泉街道</t>
  </si>
  <si>
    <t>Lóngpéng Zhèn</t>
  </si>
  <si>
    <t>龙朋镇</t>
  </si>
  <si>
    <t>Lóngwŭ Zhèn</t>
  </si>
  <si>
    <t>龙武镇</t>
  </si>
  <si>
    <t>Luò'ēn Xiāng</t>
  </si>
  <si>
    <t>洛恩乡</t>
  </si>
  <si>
    <t>Mă'āndĭ Xiāng</t>
  </si>
  <si>
    <t>马鞍底乡</t>
  </si>
  <si>
    <t>Măjiē Xiāng</t>
  </si>
  <si>
    <t>马街乡</t>
  </si>
  <si>
    <t>Mànhào Zhèn</t>
  </si>
  <si>
    <t>蔓耗镇</t>
  </si>
  <si>
    <t>Mĕnglā Zhèn</t>
  </si>
  <si>
    <t>勐拉镇</t>
  </si>
  <si>
    <t>Mĕngqiáo Xiāng</t>
  </si>
  <si>
    <t>勐桥乡</t>
  </si>
  <si>
    <t>Miàndiàn Zhèn</t>
  </si>
  <si>
    <t>面甸镇</t>
  </si>
  <si>
    <t>Míngjiù Zhèn</t>
  </si>
  <si>
    <t>鸣鹫镇</t>
  </si>
  <si>
    <t>Míyáng Zhèn</t>
  </si>
  <si>
    <t>弥阳镇</t>
  </si>
  <si>
    <t>Nánshā Zhèn</t>
  </si>
  <si>
    <t>南沙镇</t>
  </si>
  <si>
    <t>Nánxī Zhèn</t>
  </si>
  <si>
    <t>南溪镇</t>
  </si>
  <si>
    <t>Nánzhuāng Zhèn</t>
  </si>
  <si>
    <t>南庄镇</t>
  </si>
  <si>
    <t>Niújiăozhài Zhèn</t>
  </si>
  <si>
    <t>牛角寨镇</t>
  </si>
  <si>
    <t>Niújiē Zhèn</t>
  </si>
  <si>
    <t>牛街镇</t>
  </si>
  <si>
    <t>Niúkŏng Zhèn</t>
  </si>
  <si>
    <t>牛孔镇</t>
  </si>
  <si>
    <t>Pánjiāng Xiāng</t>
  </si>
  <si>
    <t>盘江乡</t>
  </si>
  <si>
    <t>Pānzhīhuā Xiāng</t>
  </si>
  <si>
    <t>攀枝花乡</t>
  </si>
  <si>
    <t>Péngpŭ Zhèn</t>
  </si>
  <si>
    <t>朋普镇</t>
  </si>
  <si>
    <t>Pínghé Zhèn</t>
  </si>
  <si>
    <t>平河镇</t>
  </si>
  <si>
    <t>Pōtóu Xiāng</t>
  </si>
  <si>
    <t>坡头乡</t>
  </si>
  <si>
    <t>Pŭxióng Xiāng</t>
  </si>
  <si>
    <t>普雄乡</t>
  </si>
  <si>
    <t>Qiáotóu Miáozú Zhuàngzú Xiāng</t>
  </si>
  <si>
    <t>桥头苗族壮族乡</t>
  </si>
  <si>
    <t>Qīlùbái Miáozú Xiāng</t>
  </si>
  <si>
    <t>期路白苗族乡</t>
  </si>
  <si>
    <t>Qímăbà Xiāng</t>
  </si>
  <si>
    <t>骑马坝乡</t>
  </si>
  <si>
    <t>Qīnglóng Zhèn</t>
  </si>
  <si>
    <t>青龙镇</t>
  </si>
  <si>
    <t>Qŭjiāng Zhèn</t>
  </si>
  <si>
    <t>曲江镇</t>
  </si>
  <si>
    <t>Sāncūn Xiāng</t>
  </si>
  <si>
    <t>三村乡</t>
  </si>
  <si>
    <t>Sānmĕng Xiāng</t>
  </si>
  <si>
    <t>三猛乡</t>
  </si>
  <si>
    <t>Sāntáng Xiāng</t>
  </si>
  <si>
    <t>三塘乡</t>
  </si>
  <si>
    <t>Shādiàn Jiēdào</t>
  </si>
  <si>
    <t>沙甸街道</t>
  </si>
  <si>
    <t>Shālātuō Xiāng</t>
  </si>
  <si>
    <t>沙拉托乡</t>
  </si>
  <si>
    <t>Shàngxīnchéng Xiāng</t>
  </si>
  <si>
    <t>上新城乡</t>
  </si>
  <si>
    <t>Shàochōng Zhèn</t>
  </si>
  <si>
    <t>哨冲镇</t>
  </si>
  <si>
    <t>Shāyīpō Xiāng</t>
  </si>
  <si>
    <t>沙依坡乡</t>
  </si>
  <si>
    <t>Shítóuzhài Xiāng</t>
  </si>
  <si>
    <t>石头寨乡</t>
  </si>
  <si>
    <t>Shuĭtián Xiāng</t>
  </si>
  <si>
    <t>水田乡</t>
  </si>
  <si>
    <t>Tóngchăng Xiāng</t>
  </si>
  <si>
    <t>铜厂乡</t>
  </si>
  <si>
    <t>Wāntáng Xiāng</t>
  </si>
  <si>
    <t>湾塘乡</t>
  </si>
  <si>
    <t>Wénlán Jiēdào</t>
  </si>
  <si>
    <t>文澜街道</t>
  </si>
  <si>
    <t>Wŭjiēpū Zhèn</t>
  </si>
  <si>
    <t>午街铺镇</t>
  </si>
  <si>
    <t>Wŭshān Xiāng</t>
  </si>
  <si>
    <t>五山乡</t>
  </si>
  <si>
    <t>Xiàngyáng Xiāng</t>
  </si>
  <si>
    <t>向阳乡</t>
  </si>
  <si>
    <t>Xiăolóngtán Zhèn</t>
  </si>
  <si>
    <t>小龙潭镇</t>
  </si>
  <si>
    <t>Xiăoxīnjiē Xiāng</t>
  </si>
  <si>
    <t>小新街乡</t>
  </si>
  <si>
    <t>Xībĕilè Xiāng</t>
  </si>
  <si>
    <t>西北勒乡</t>
  </si>
  <si>
    <t>Xīchéng Zhèn</t>
  </si>
  <si>
    <t>锡城镇</t>
  </si>
  <si>
    <t>Xī'èr Zhèn</t>
  </si>
  <si>
    <t>西二镇</t>
  </si>
  <si>
    <t>Xīn'ānsuŏ Zhèn</t>
  </si>
  <si>
    <t>新安所镇</t>
  </si>
  <si>
    <t>Xīnshào Zhèn</t>
  </si>
  <si>
    <t>新哨镇</t>
  </si>
  <si>
    <t>Xīnxiàn Zhèn</t>
  </si>
  <si>
    <t>新现镇</t>
  </si>
  <si>
    <t>Xīsān Zhèn</t>
  </si>
  <si>
    <t>西三镇</t>
  </si>
  <si>
    <t>Xīyī Zhèn</t>
  </si>
  <si>
    <t>西一镇</t>
  </si>
  <si>
    <t>Xīzhuāng Zhèn</t>
  </si>
  <si>
    <t>西庄镇</t>
  </si>
  <si>
    <t>Xúnjiănsī Zhèn</t>
  </si>
  <si>
    <t>巡检司镇</t>
  </si>
  <si>
    <t>Yángjiē Xiāng</t>
  </si>
  <si>
    <t>羊街乡</t>
  </si>
  <si>
    <t>Yáoshān Xiāng</t>
  </si>
  <si>
    <t>瑶山乡</t>
  </si>
  <si>
    <t>Yìlóng Zhèn</t>
  </si>
  <si>
    <t>异龙镇</t>
  </si>
  <si>
    <t>Yíngpán Xiāng</t>
  </si>
  <si>
    <t>营盘乡</t>
  </si>
  <si>
    <t>Yĭsà Zhèn</t>
  </si>
  <si>
    <t>迤萨镇</t>
  </si>
  <si>
    <t>Yŏngníng Xiāng</t>
  </si>
  <si>
    <t>永宁乡</t>
  </si>
  <si>
    <t>Yŭguòpū Jiēdào</t>
  </si>
  <si>
    <t>雨过铺街道</t>
  </si>
  <si>
    <t>Yùpíng Zhèn</t>
  </si>
  <si>
    <t>玉屏镇</t>
  </si>
  <si>
    <t>Zhĕmĭlāhù Lāhùzú Xiāng</t>
  </si>
  <si>
    <t>者米拉祜族乡</t>
  </si>
  <si>
    <t>Zhĭcūn Zhèn</t>
  </si>
  <si>
    <t>芷村镇</t>
  </si>
  <si>
    <t>Zhōnghéyíng Zhèn</t>
  </si>
  <si>
    <t>中和营镇</t>
  </si>
  <si>
    <t>Zhōngshū Zhèn</t>
  </si>
  <si>
    <t>中枢镇</t>
  </si>
  <si>
    <t>Zhúyuán Zhèn</t>
  </si>
  <si>
    <t>竹园镇</t>
  </si>
  <si>
    <t>Ālā Jiēdào</t>
  </si>
  <si>
    <t>阿拉街道</t>
  </si>
  <si>
    <t>Guāndù Qū</t>
  </si>
  <si>
    <t>Āwàng Zhèn</t>
  </si>
  <si>
    <t>阿旺镇</t>
  </si>
  <si>
    <t>Dōngchuān Qū</t>
  </si>
  <si>
    <t>Āziyíng Jiēdào</t>
  </si>
  <si>
    <t>阿子营街道</t>
  </si>
  <si>
    <t>Pánlóng Qū</t>
  </si>
  <si>
    <t>Bājiē Jiēdào</t>
  </si>
  <si>
    <t>八街街道</t>
  </si>
  <si>
    <t>Ānníng Shì</t>
  </si>
  <si>
    <t>Bănqiáo Jiēdào</t>
  </si>
  <si>
    <t>板桥街道</t>
  </si>
  <si>
    <t>Shílín Yízú Zìzhìxiàn</t>
  </si>
  <si>
    <t>Bĕigŭchéng Zhèn</t>
  </si>
  <si>
    <t>北古城镇</t>
  </si>
  <si>
    <t>Yíliáng Xiàn</t>
  </si>
  <si>
    <t>Bìjī Jiēdào</t>
  </si>
  <si>
    <t>碧鸡街道</t>
  </si>
  <si>
    <t>Xīshān Qū</t>
  </si>
  <si>
    <t>Căopū Jiēdào</t>
  </si>
  <si>
    <t>草铺街道</t>
  </si>
  <si>
    <t>Chánghú Zhèn</t>
  </si>
  <si>
    <t>长湖镇</t>
  </si>
  <si>
    <t>Chìjiù Zhèn</t>
  </si>
  <si>
    <t>赤鹫镇</t>
  </si>
  <si>
    <t>Fùmín Xiàn</t>
  </si>
  <si>
    <t>Cíbà Jiēdào</t>
  </si>
  <si>
    <t>茨坝街道</t>
  </si>
  <si>
    <t>Cuìhuá Zhèn</t>
  </si>
  <si>
    <t>翠华镇</t>
  </si>
  <si>
    <t>Lùquàn Yízú Miáozú Zìzhìxiàn</t>
  </si>
  <si>
    <t>Dàbănqiáo Jiēdào</t>
  </si>
  <si>
    <t>大板桥街道</t>
  </si>
  <si>
    <t>Dàguān Jiēdào</t>
  </si>
  <si>
    <t>大观街道</t>
  </si>
  <si>
    <t>Wŭhuá Qū</t>
  </si>
  <si>
    <t>Dàkĕ Xiāng</t>
  </si>
  <si>
    <t>大可乡</t>
  </si>
  <si>
    <t>Dàyú Jiēdào</t>
  </si>
  <si>
    <t>大渔街道</t>
  </si>
  <si>
    <t>Chénggòng Qū</t>
  </si>
  <si>
    <t>Diànshā Xiāng</t>
  </si>
  <si>
    <t>甸沙乡</t>
  </si>
  <si>
    <t>Xúndiàn Huízú Yízú Zìzhìxiàn</t>
  </si>
  <si>
    <t>Diānyuán Jiēdào</t>
  </si>
  <si>
    <t>滇源街道</t>
  </si>
  <si>
    <t>Dōngcūn Zhèn</t>
  </si>
  <si>
    <t>东村镇</t>
  </si>
  <si>
    <t>Dōnghuá Jiēdào</t>
  </si>
  <si>
    <t>东华街道</t>
  </si>
  <si>
    <t>Dòunán Jiēdào</t>
  </si>
  <si>
    <t>斗南街道</t>
  </si>
  <si>
    <t>Èrjiē Zhèn</t>
  </si>
  <si>
    <t>二街镇</t>
  </si>
  <si>
    <t>Jìnníng Qū</t>
  </si>
  <si>
    <t>Fènghé Zhèn</t>
  </si>
  <si>
    <t>凤合镇</t>
  </si>
  <si>
    <t>Fēngníng Jiēdào</t>
  </si>
  <si>
    <t>丰宁街道</t>
  </si>
  <si>
    <t>Fúhăi Jiēdào</t>
  </si>
  <si>
    <t>福海街道</t>
  </si>
  <si>
    <t>Gĕngjiāyíng Yízú Miáozú Xiāng</t>
  </si>
  <si>
    <t>耿家营彝族苗族乡</t>
  </si>
  <si>
    <t>Gōngshān Zhèn</t>
  </si>
  <si>
    <t>功山镇</t>
  </si>
  <si>
    <t>Gŏujiē Zhèn</t>
  </si>
  <si>
    <t>狗街镇</t>
  </si>
  <si>
    <t>Guāndù Jiēdào</t>
  </si>
  <si>
    <t>官渡街道</t>
  </si>
  <si>
    <t>Guānshàng Jiēdào</t>
  </si>
  <si>
    <t>关上街道</t>
  </si>
  <si>
    <t>Guīshān Zhèn</t>
  </si>
  <si>
    <t>圭山镇</t>
  </si>
  <si>
    <t>Gŭlóu Jiēdào</t>
  </si>
  <si>
    <t>鼓楼街道</t>
  </si>
  <si>
    <t>Hăikŏu Jiēdào</t>
  </si>
  <si>
    <t>海口街道</t>
  </si>
  <si>
    <t>Hēilínpū Jiēdào</t>
  </si>
  <si>
    <t>黑林铺街道</t>
  </si>
  <si>
    <t>Hóngtŭdì Zhèn</t>
  </si>
  <si>
    <t>红土地镇</t>
  </si>
  <si>
    <t>Hóngyún Jiēdào</t>
  </si>
  <si>
    <t>红云街道</t>
  </si>
  <si>
    <t>Huáshān Jiēdào</t>
  </si>
  <si>
    <t>华山街道</t>
  </si>
  <si>
    <t>Hùguó Jiēdào</t>
  </si>
  <si>
    <t>护国街道</t>
  </si>
  <si>
    <t>Jiăopíngdù Zhèn</t>
  </si>
  <si>
    <t>皎平渡镇</t>
  </si>
  <si>
    <t>Jīnbì Jiēdào</t>
  </si>
  <si>
    <t>金碧街道</t>
  </si>
  <si>
    <t>Jìnchéng Zhèn [incl. Xīnjiē Zhèn]</t>
  </si>
  <si>
    <t>晋城镇</t>
  </si>
  <si>
    <t>Jīnchén Jiēdào</t>
  </si>
  <si>
    <t>金辰街道</t>
  </si>
  <si>
    <t>Jīnfāng Jiēdào</t>
  </si>
  <si>
    <t>金方街道</t>
  </si>
  <si>
    <t>Jīnmă Jiēdào</t>
  </si>
  <si>
    <t>金马街道</t>
  </si>
  <si>
    <t>Jīnyuán Xiāng</t>
  </si>
  <si>
    <t>金源乡</t>
  </si>
  <si>
    <t>Jiŭlóng Zhèn</t>
  </si>
  <si>
    <t>九龙镇</t>
  </si>
  <si>
    <t>Jiŭxiāng Yízú Huízú Xiāng</t>
  </si>
  <si>
    <t>九乡彝族回族乡</t>
  </si>
  <si>
    <t>Kēdù Zhèn</t>
  </si>
  <si>
    <t>柯渡镇</t>
  </si>
  <si>
    <t>Kuāngyuăn Jiēdào [incl. Nányáng Jiēdào]</t>
  </si>
  <si>
    <t>匡远街道</t>
  </si>
  <si>
    <t>Kuănzhuāng Zhèn</t>
  </si>
  <si>
    <t>款庄镇</t>
  </si>
  <si>
    <t>Kūnmíng Guójiā Gāoxīn Jìshù Chănyè Kāifāqū</t>
  </si>
  <si>
    <t>昆明国家高新技术产业开发区</t>
  </si>
  <si>
    <t>Kūnmíng Jīngjì Jìshù Kāifāqū</t>
  </si>
  <si>
    <t>昆明经济技术开发区</t>
  </si>
  <si>
    <t>Kūnmíng Liānchíguójiā Lǚyóu Dùjiăqū</t>
  </si>
  <si>
    <t>昆明滇池国家旅游度假区</t>
  </si>
  <si>
    <t>Kūnyáng Jiēdào [incl. Bǎofēng Jiēdào]</t>
  </si>
  <si>
    <t>昆阳街道</t>
  </si>
  <si>
    <t>Liánhé Xiāng</t>
  </si>
  <si>
    <t>联合乡</t>
  </si>
  <si>
    <t>Liánhuá Jiēdào</t>
  </si>
  <si>
    <t>莲华街道</t>
  </si>
  <si>
    <t>Liánméng Jiēdào</t>
  </si>
  <si>
    <t>联盟街道</t>
  </si>
  <si>
    <t>Liánrán Jiēdào</t>
  </si>
  <si>
    <t>连然街道</t>
  </si>
  <si>
    <t>Liùjiă Jiēdào</t>
  </si>
  <si>
    <t>六甲街道</t>
  </si>
  <si>
    <t>Liùjiē Zhèn</t>
  </si>
  <si>
    <t>六街镇</t>
  </si>
  <si>
    <t>Liùshào Xiāng</t>
  </si>
  <si>
    <t>六哨乡</t>
  </si>
  <si>
    <t>Lóngchéng Jiēdào</t>
  </si>
  <si>
    <t>龙城街道</t>
  </si>
  <si>
    <t>Lóngquán Jiēdào</t>
  </si>
  <si>
    <t>龙泉街道</t>
  </si>
  <si>
    <t>Lóngxiáng Jiēdào</t>
  </si>
  <si>
    <t>龙翔街道</t>
  </si>
  <si>
    <t>Lùbiāo Jiēdào</t>
  </si>
  <si>
    <t>禄脿街道</t>
  </si>
  <si>
    <t>Lùfù Jiēdào</t>
  </si>
  <si>
    <t>鹿阜街道</t>
  </si>
  <si>
    <t>Luòlóng Jiēdào</t>
  </si>
  <si>
    <t>洛龙街道</t>
  </si>
  <si>
    <t>Luómiăn Zhèn</t>
  </si>
  <si>
    <t>罗免镇</t>
  </si>
  <si>
    <t>Luòyáng Jiēdào</t>
  </si>
  <si>
    <t>洛羊街道</t>
  </si>
  <si>
    <t>Măjiē Jiēdào</t>
  </si>
  <si>
    <t>马街街道</t>
  </si>
  <si>
    <t>Măjīnpū Jiēdào</t>
  </si>
  <si>
    <t>马金铺街道</t>
  </si>
  <si>
    <t>Mălùtáng Xiāng</t>
  </si>
  <si>
    <t>马鹿塘乡</t>
  </si>
  <si>
    <t>Màoshān Zhèn</t>
  </si>
  <si>
    <t>茂山镇</t>
  </si>
  <si>
    <t>Niúlánjiāng Zhèn</t>
  </si>
  <si>
    <t>牛栏江镇</t>
  </si>
  <si>
    <t>Sōngmíng Xiàn</t>
  </si>
  <si>
    <t>Píngshān Jiēdào [incl. Chóngdé Jiēdào]</t>
  </si>
  <si>
    <t>屏山街道</t>
  </si>
  <si>
    <t>Pŭjí Jiēdào</t>
  </si>
  <si>
    <t>普吉街道</t>
  </si>
  <si>
    <t>Qiánwèi Jiēdào</t>
  </si>
  <si>
    <t>前卫街道</t>
  </si>
  <si>
    <t>Qīdiàn Jiēdào</t>
  </si>
  <si>
    <t>七甸街道</t>
  </si>
  <si>
    <t>Qīnglóng Jiēdào</t>
  </si>
  <si>
    <t>青龙街道</t>
  </si>
  <si>
    <t>Qīngyún Jiēdào</t>
  </si>
  <si>
    <t>青云街道</t>
  </si>
  <si>
    <t>Qīxīng Zhèn</t>
  </si>
  <si>
    <t>七星镇</t>
  </si>
  <si>
    <t>Réndé Jiēdào [incl. Tángzi Jiēdào, Jīnsuǒ Jiēdào]</t>
  </si>
  <si>
    <t>仁德街道</t>
  </si>
  <si>
    <t>Sàndàn Zhèn</t>
  </si>
  <si>
    <t>散旦镇</t>
  </si>
  <si>
    <t>Sāyíngpán Zhèn</t>
  </si>
  <si>
    <t>撒营盘镇</t>
  </si>
  <si>
    <t>Shàngsuàn Zhèn</t>
  </si>
  <si>
    <t>上蒜镇</t>
  </si>
  <si>
    <t>Shèkuài Xiāng</t>
  </si>
  <si>
    <t>舍块乡</t>
  </si>
  <si>
    <t>Shílín Jiēdào</t>
  </si>
  <si>
    <t>石林街道</t>
  </si>
  <si>
    <t>Shuānghé Yízú Xiāng</t>
  </si>
  <si>
    <t>双河彝族乡</t>
  </si>
  <si>
    <t>Shuānglóng Jiēdào</t>
  </si>
  <si>
    <t>双龙街道</t>
  </si>
  <si>
    <t>Sōnghuá Jiēdào</t>
  </si>
  <si>
    <t>松华街道</t>
  </si>
  <si>
    <t>Sōngyáng Jiēdào [incl. Yángqiáo Jiēdào]</t>
  </si>
  <si>
    <t>嵩阳街道</t>
  </si>
  <si>
    <t>Tàihé Jiēdào</t>
  </si>
  <si>
    <t>Tàipíng Xīnchéng Jiēdào</t>
  </si>
  <si>
    <t>太平新城街道</t>
  </si>
  <si>
    <t>Tāngchí Jiēdào</t>
  </si>
  <si>
    <t>汤池街道</t>
  </si>
  <si>
    <t>Tāngdān Zhèn</t>
  </si>
  <si>
    <t>汤丹镇</t>
  </si>
  <si>
    <t>Tăngdiàn Zhèn</t>
  </si>
  <si>
    <t>倘甸镇</t>
  </si>
  <si>
    <t>Tāngláng Xiāng</t>
  </si>
  <si>
    <t>汤郎乡</t>
  </si>
  <si>
    <t>Tóngdū Jiēdào [incl. Bìgǔ Jiēdào]</t>
  </si>
  <si>
    <t>铜都街道</t>
  </si>
  <si>
    <t>Tuánjié Jiēdào</t>
  </si>
  <si>
    <t>团结街道</t>
  </si>
  <si>
    <t>Tuánjiē Zhèn</t>
  </si>
  <si>
    <t>团街镇</t>
  </si>
  <si>
    <t>Tuōbùkă Zhèn</t>
  </si>
  <si>
    <t>拖布卡镇</t>
  </si>
  <si>
    <t>Tuòdōng Jiēdào</t>
  </si>
  <si>
    <t>拓东街道</t>
  </si>
  <si>
    <t>Wēnquán Jiēdào</t>
  </si>
  <si>
    <t>温泉街道</t>
  </si>
  <si>
    <t>Wūdōngdé Zhèn</t>
  </si>
  <si>
    <t>乌东德镇</t>
  </si>
  <si>
    <t>Wújiāyíng Jiēdào</t>
  </si>
  <si>
    <t>吴家营街道</t>
  </si>
  <si>
    <t>Wújĭng Jiēdào</t>
  </si>
  <si>
    <t>吴井街道</t>
  </si>
  <si>
    <t>Wūlóng Jiēdào</t>
  </si>
  <si>
    <t>乌龙街道</t>
  </si>
  <si>
    <t>Wūlóng Zhèn</t>
  </si>
  <si>
    <t>乌龙镇</t>
  </si>
  <si>
    <t>Wūmĕng Xiāng</t>
  </si>
  <si>
    <t>乌蒙乡</t>
  </si>
  <si>
    <t>Xiānfēng Zhèn</t>
  </si>
  <si>
    <t>先锋镇</t>
  </si>
  <si>
    <t>Xiànjiē Jiēdào</t>
  </si>
  <si>
    <t>县街街道</t>
  </si>
  <si>
    <t>Xiăobănqiáo Jiēdào</t>
  </si>
  <si>
    <t>小板桥街道</t>
  </si>
  <si>
    <t>Xiăojiē Zhèn</t>
  </si>
  <si>
    <t>小街镇</t>
  </si>
  <si>
    <t>Xījiēkŏu Zhèn</t>
  </si>
  <si>
    <t>西街口镇</t>
  </si>
  <si>
    <t>Xīyáng Yízú Xiāng</t>
  </si>
  <si>
    <t>夕阳彝族乡</t>
  </si>
  <si>
    <t>Xīyuàn Jiēdào</t>
  </si>
  <si>
    <t>西苑街道</t>
  </si>
  <si>
    <t>Xīzhù Jiēdào [incl. Shālăng Jiēdào, Chăngkŏu Jiēdào]</t>
  </si>
  <si>
    <t>西翥街道</t>
  </si>
  <si>
    <t>Xuĕshān Xiāng</t>
  </si>
  <si>
    <t>雪山乡</t>
  </si>
  <si>
    <t>Yánglín Zhèn</t>
  </si>
  <si>
    <t>杨林镇</t>
  </si>
  <si>
    <t>Yĭliù Jiēdào</t>
  </si>
  <si>
    <t>矣六街道</t>
  </si>
  <si>
    <t>Yīnmín Zhèn</t>
  </si>
  <si>
    <t>因民镇</t>
  </si>
  <si>
    <t>Yŏngdìng Jiēdào [incl. Dàyíng Jiēdào]</t>
  </si>
  <si>
    <t>永定街道</t>
  </si>
  <si>
    <t>Yŭhuā Jiēdào</t>
  </si>
  <si>
    <t>雨花街道</t>
  </si>
  <si>
    <t>Yúnlóng Xiāng</t>
  </si>
  <si>
    <t>云龙乡</t>
  </si>
  <si>
    <t>Zéhēi Xiāng</t>
  </si>
  <si>
    <t>则黑乡</t>
  </si>
  <si>
    <t>Zhōngpíng Zhèn</t>
  </si>
  <si>
    <t>中屏镇</t>
  </si>
  <si>
    <t>Zhuănlóng Zhèn</t>
  </si>
  <si>
    <t>转龙镇</t>
  </si>
  <si>
    <t>Zhúshān Zhèn</t>
  </si>
  <si>
    <t>竹山镇</t>
  </si>
  <si>
    <t>Zōngshùyíng Jiēdào</t>
  </si>
  <si>
    <t>棕树营街道</t>
  </si>
  <si>
    <t>Báishā Zhèn</t>
  </si>
  <si>
    <t>白沙镇</t>
  </si>
  <si>
    <t>Yùlóng Nàxīzú Zìzhìxiàn</t>
  </si>
  <si>
    <t>Băoshān Xiāng</t>
  </si>
  <si>
    <t>宝山乡</t>
  </si>
  <si>
    <t>Chánzhànhé Xiāng</t>
  </si>
  <si>
    <t>蝉战河乡</t>
  </si>
  <si>
    <t>Nínglàng Yízú Zìzhìxiàn</t>
  </si>
  <si>
    <t>Chénghăi Zhèn</t>
  </si>
  <si>
    <t>程海镇</t>
  </si>
  <si>
    <t>Yŏngshèng Xiàn</t>
  </si>
  <si>
    <t>Chuánfáng Lìsùzú Dăizú Xiāng</t>
  </si>
  <si>
    <t>船房傈僳族傣族乡</t>
  </si>
  <si>
    <t>Huápíng Xiàn</t>
  </si>
  <si>
    <t>Cuìyù Lìsùzú Pŭmĭzú Xiāng</t>
  </si>
  <si>
    <t>翠玉傈僳族普米族乡</t>
  </si>
  <si>
    <t>Dà'ān Yízú Nàxīzú Xiāng</t>
  </si>
  <si>
    <t>大安彝族纳西族乡</t>
  </si>
  <si>
    <t>Dàdōng Xiāng</t>
  </si>
  <si>
    <t>大东乡</t>
  </si>
  <si>
    <t>Gŭchéng Qū</t>
  </si>
  <si>
    <t>Dàjù Xiāng</t>
  </si>
  <si>
    <t>大具乡</t>
  </si>
  <si>
    <t>Dàyán Jiēdào</t>
  </si>
  <si>
    <t>大研街道</t>
  </si>
  <si>
    <t>Dōngshān Lìsùzú Yízú Xiāng</t>
  </si>
  <si>
    <t>东山傈僳族彝族乡</t>
  </si>
  <si>
    <t>Fèngkē Zhèn</t>
  </si>
  <si>
    <t>奉科镇</t>
  </si>
  <si>
    <t>Guānghuá Lìsùzú Yízú Xiāng</t>
  </si>
  <si>
    <t>光华傈僳族彝族乡</t>
  </si>
  <si>
    <t>Hóngqiáo Zhèn</t>
  </si>
  <si>
    <t>红桥镇</t>
  </si>
  <si>
    <t>Huángshān Zhèn</t>
  </si>
  <si>
    <t>黄山镇</t>
  </si>
  <si>
    <t>Jīn'ān Zhèn</t>
  </si>
  <si>
    <t>金安镇</t>
  </si>
  <si>
    <t>Jīnjiāng Báizú Xiāng</t>
  </si>
  <si>
    <t>金江白族乡</t>
  </si>
  <si>
    <t>Jīnmián Xiāng</t>
  </si>
  <si>
    <t>金棉乡</t>
  </si>
  <si>
    <t>Jīnshān Jiēdào</t>
  </si>
  <si>
    <t>金山街道</t>
  </si>
  <si>
    <t>Jiŭhé Báizú Xiāng</t>
  </si>
  <si>
    <t>九河白族乡</t>
  </si>
  <si>
    <t>Jùdiàn Zhèn</t>
  </si>
  <si>
    <t>巨甸镇</t>
  </si>
  <si>
    <t>Lābó Xiāng</t>
  </si>
  <si>
    <t>拉伯乡</t>
  </si>
  <si>
    <t>Lànníqìng Xiāng</t>
  </si>
  <si>
    <t>烂泥箐乡</t>
  </si>
  <si>
    <t>Lāshì Zhèn</t>
  </si>
  <si>
    <t>拉市镇</t>
  </si>
  <si>
    <t>Límíng Lìsùzú Xiāng</t>
  </si>
  <si>
    <t>黎明傈僳族乡</t>
  </si>
  <si>
    <t>Liùdé Lìsùzú Yízú Xiāng</t>
  </si>
  <si>
    <t>六德傈僳族彝族乡</t>
  </si>
  <si>
    <t>Lóngpán Xiāng</t>
  </si>
  <si>
    <t>龙蟠乡</t>
  </si>
  <si>
    <t>Lŭdiàn Xiāng</t>
  </si>
  <si>
    <t>鲁甸乡</t>
  </si>
  <si>
    <t>Lǔdìlā Zhèn [Dōngfēng Xiāng]</t>
  </si>
  <si>
    <t>东风傈僳族乡</t>
  </si>
  <si>
    <t>Míngyīn Zhèn</t>
  </si>
  <si>
    <t>鸣音镇</t>
  </si>
  <si>
    <t>Nínglì Xiāng</t>
  </si>
  <si>
    <t>宁利乡</t>
  </si>
  <si>
    <t>Păomăpíng Xiāng</t>
  </si>
  <si>
    <t>跑马坪乡</t>
  </si>
  <si>
    <t>Piànjiăo Zhèn</t>
  </si>
  <si>
    <t>片角镇</t>
  </si>
  <si>
    <t>Qīhé Zhèn</t>
  </si>
  <si>
    <t>七河镇</t>
  </si>
  <si>
    <t>Qīnà Zhèn</t>
  </si>
  <si>
    <t>期纳镇</t>
  </si>
  <si>
    <t>Róngjiāng Zhèn</t>
  </si>
  <si>
    <t>荣将镇</t>
  </si>
  <si>
    <t>Sānchuān Zhèn</t>
  </si>
  <si>
    <t>三川镇</t>
  </si>
  <si>
    <t>Shígŭ Zhèn</t>
  </si>
  <si>
    <t>石鼓镇</t>
  </si>
  <si>
    <t>Shílóngbà Zhèn</t>
  </si>
  <si>
    <t>石龙坝镇</t>
  </si>
  <si>
    <t>Shítóu Báizú Xiāng</t>
  </si>
  <si>
    <t>石头白族乡</t>
  </si>
  <si>
    <t>Shùhé Jiēdào</t>
  </si>
  <si>
    <t>束河街道</t>
  </si>
  <si>
    <t>Shùnzhōu Zhèn</t>
  </si>
  <si>
    <t>顺州镇</t>
  </si>
  <si>
    <t>Sōngpíng Lìsùzú Yízú Xiāng</t>
  </si>
  <si>
    <t>松坪傈僳族彝族乡</t>
  </si>
  <si>
    <t>Tăchéng Xiāng</t>
  </si>
  <si>
    <t>塔城乡</t>
  </si>
  <si>
    <t>Tài'ān Xiāng</t>
  </si>
  <si>
    <t>太安乡</t>
  </si>
  <si>
    <t>Tāoyuán Zhèn</t>
  </si>
  <si>
    <t>涛源镇</t>
  </si>
  <si>
    <t>Tōngdá Lìsùzú Xiāng</t>
  </si>
  <si>
    <t>通达傈僳族乡</t>
  </si>
  <si>
    <t>Xiánghé Jiēdào</t>
  </si>
  <si>
    <t>祥和街道</t>
  </si>
  <si>
    <t>Xī'ān Jiēdào</t>
  </si>
  <si>
    <t>西安街道</t>
  </si>
  <si>
    <t>Xībùhé Xiāng</t>
  </si>
  <si>
    <t>西布河乡</t>
  </si>
  <si>
    <t>Xīchuān Xiāng</t>
  </si>
  <si>
    <t>西川乡</t>
  </si>
  <si>
    <t>Xīngquán Zhèn</t>
  </si>
  <si>
    <t>兴泉镇</t>
  </si>
  <si>
    <t>Xīnyíngpán Xiāng</t>
  </si>
  <si>
    <t>新营盘乡</t>
  </si>
  <si>
    <t>Xīnzhuāng Lìsùzú Dăizú Xiāng</t>
  </si>
  <si>
    <t>新庄傈僳族傣族乡</t>
  </si>
  <si>
    <t>Yángpíng Yízú Xiāng</t>
  </si>
  <si>
    <t>羊坪彝族乡</t>
  </si>
  <si>
    <t>Yŏngbĕi Zhèn</t>
  </si>
  <si>
    <t>永北镇</t>
  </si>
  <si>
    <t>Yŏngníngpíng Xiāng</t>
  </si>
  <si>
    <t>永宁坪乡</t>
  </si>
  <si>
    <t>Yŏngníng Zhèn</t>
  </si>
  <si>
    <t>永宁镇</t>
  </si>
  <si>
    <t>Yŏngxīng Lìsùzú Xiāng</t>
  </si>
  <si>
    <t>永兴傈僳族乡</t>
  </si>
  <si>
    <t>Zhànhé Zhèn</t>
  </si>
  <si>
    <t>战河镇</t>
  </si>
  <si>
    <t>Zhōngxīn Zhèn</t>
  </si>
  <si>
    <t>中心镇</t>
  </si>
  <si>
    <t>Àihuá Zhèn</t>
  </si>
  <si>
    <t>爱华镇</t>
  </si>
  <si>
    <t>Yún Xiàn</t>
  </si>
  <si>
    <t>Bāngbĭng Xiāng</t>
  </si>
  <si>
    <t>邦丙乡</t>
  </si>
  <si>
    <t>Shuāngjiāng Lāhùzú Wăzú Bùlăngzú Dăizú Zìzhìxiàn</t>
  </si>
  <si>
    <t>Bāngdōng Xiāng</t>
  </si>
  <si>
    <t>邦东乡</t>
  </si>
  <si>
    <t>Línxiáng Qū</t>
  </si>
  <si>
    <t>Bānhóng Xiāng</t>
  </si>
  <si>
    <t>班洪乡</t>
  </si>
  <si>
    <t>Cāngyuán Wăzú Zìzhìxiàn</t>
  </si>
  <si>
    <t>Bānkă Xiāng</t>
  </si>
  <si>
    <t>班卡乡</t>
  </si>
  <si>
    <t>Yŏngdé Xiàn</t>
  </si>
  <si>
    <t>Bānlăo Xiāng</t>
  </si>
  <si>
    <t>班老乡</t>
  </si>
  <si>
    <t>Bóshàng Zhèn</t>
  </si>
  <si>
    <t>博尚镇</t>
  </si>
  <si>
    <t>Cháfáng Xiāng</t>
  </si>
  <si>
    <t>茶房乡</t>
  </si>
  <si>
    <t>Chónggăng Xiāng</t>
  </si>
  <si>
    <t>崇岗乡</t>
  </si>
  <si>
    <t>Dàcháo Shānxī Zhèn</t>
  </si>
  <si>
    <t>大朝山西镇</t>
  </si>
  <si>
    <t>Dānjiă Xiāng</t>
  </si>
  <si>
    <t>单甲乡</t>
  </si>
  <si>
    <t>Dàshān Xiāng</t>
  </si>
  <si>
    <t>大山乡</t>
  </si>
  <si>
    <t>Dàsì Xiāng</t>
  </si>
  <si>
    <t>大寺乡</t>
  </si>
  <si>
    <t>Fèngqìng Xiàn</t>
  </si>
  <si>
    <t>Dàwén Xiāng</t>
  </si>
  <si>
    <t>大文乡</t>
  </si>
  <si>
    <t>Dàxīng Xiāng</t>
  </si>
  <si>
    <t>大兴乡</t>
  </si>
  <si>
    <t>Gĕngmă Dăizú Wăzú Zìzhìxiàn</t>
  </si>
  <si>
    <t>Dàxuĕshān Yízú Lāhùzú Dǎizú Xiāng</t>
  </si>
  <si>
    <t>大雪山彝族拉祜族傣族乡</t>
  </si>
  <si>
    <t>Dàzhài Zhèn</t>
  </si>
  <si>
    <t>大寨镇</t>
  </si>
  <si>
    <t>Dédăng Zhèn</t>
  </si>
  <si>
    <t>德党镇</t>
  </si>
  <si>
    <t>Fèngshān Zhèn</t>
  </si>
  <si>
    <t>凤山镇</t>
  </si>
  <si>
    <t>Fèngwĕi Zhèn</t>
  </si>
  <si>
    <t>凤尾镇</t>
  </si>
  <si>
    <t>Zhènkāng Xiàn</t>
  </si>
  <si>
    <t>Fèngxiáng Jiēdào</t>
  </si>
  <si>
    <t>凤翔街道</t>
  </si>
  <si>
    <t>Gĕngmă Zhèn</t>
  </si>
  <si>
    <t>耿马镇</t>
  </si>
  <si>
    <t>Guōdàzhài Yízú Báizú Xiāng</t>
  </si>
  <si>
    <t>郭大寨彝族白族乡</t>
  </si>
  <si>
    <t>Hèpài Xiāng</t>
  </si>
  <si>
    <t>贺派乡</t>
  </si>
  <si>
    <t>Hòuqìng Yízú Xiāng</t>
  </si>
  <si>
    <t>后箐彝族乡</t>
  </si>
  <si>
    <t>Jūnsài Wǎzú Lāhùzú Lìsùzú Dé'ángzú Xiāng</t>
  </si>
  <si>
    <t>军赛佤族拉祜族傈僳族德昂族乡</t>
  </si>
  <si>
    <t>Lìshù Yízú Dǎizú Xiāng</t>
  </si>
  <si>
    <t>栗树彝族傣族乡</t>
  </si>
  <si>
    <t>Luòdăng Zhèn</t>
  </si>
  <si>
    <t>洛党镇</t>
  </si>
  <si>
    <t>Lŭshĭ Zhèn</t>
  </si>
  <si>
    <t>鲁史镇</t>
  </si>
  <si>
    <t>Mángbĭng Xiāng</t>
  </si>
  <si>
    <t>忙丙乡</t>
  </si>
  <si>
    <t>Mánghóng Lāhùzú Bùlǎngzú Xiāng</t>
  </si>
  <si>
    <t>芒洪拉祜族布朗族乡</t>
  </si>
  <si>
    <t>Mánghuái Yízú Bùlǎngzú Xiāng</t>
  </si>
  <si>
    <t>忙怀彝族布朗族</t>
  </si>
  <si>
    <t>Mángkă Zhèn</t>
  </si>
  <si>
    <t>芒卡镇</t>
  </si>
  <si>
    <t>Mángnuò Xiāng</t>
  </si>
  <si>
    <t>忙糯乡</t>
  </si>
  <si>
    <t>Mángpàn Jiēdào</t>
  </si>
  <si>
    <t>忙畔街道</t>
  </si>
  <si>
    <t>Mànwān Zhèn</t>
  </si>
  <si>
    <t>漫湾镇</t>
  </si>
  <si>
    <t>Màolán Zhèn</t>
  </si>
  <si>
    <t>茂兰镇</t>
  </si>
  <si>
    <t>Mătái Xiāng</t>
  </si>
  <si>
    <t>马台乡</t>
  </si>
  <si>
    <t>Măyĭduī Xiāng</t>
  </si>
  <si>
    <t>蚂蚁堆乡</t>
  </si>
  <si>
    <t>Mĕngbăn Xiāng</t>
  </si>
  <si>
    <t>勐板乡</t>
  </si>
  <si>
    <t>Mèngdìng Zhèn</t>
  </si>
  <si>
    <t>孟定镇</t>
  </si>
  <si>
    <t>Mĕngdŏng Zhèn</t>
  </si>
  <si>
    <t>勐董镇</t>
  </si>
  <si>
    <t>Mĕngduī Xiāng</t>
  </si>
  <si>
    <t>勐堆乡</t>
  </si>
  <si>
    <t>Mĕngjiăn Xiāng</t>
  </si>
  <si>
    <t>勐简乡</t>
  </si>
  <si>
    <t>Mĕngjiăo Dǎizú Yízú Lāhùzú Xiāng</t>
  </si>
  <si>
    <t>勐角傣族彝族拉祜族乡</t>
  </si>
  <si>
    <t>Mĕngkù Zhèn</t>
  </si>
  <si>
    <t>勐库镇</t>
  </si>
  <si>
    <t>Mĕnglái Xiāng</t>
  </si>
  <si>
    <t>勐来乡</t>
  </si>
  <si>
    <t>Mĕngmĕng Zhèn</t>
  </si>
  <si>
    <t>勐勐镇</t>
  </si>
  <si>
    <t>Mĕngpĕng Zhèn</t>
  </si>
  <si>
    <t>勐捧镇</t>
  </si>
  <si>
    <t>Mĕngsā Zhèn</t>
  </si>
  <si>
    <t>勐撒镇</t>
  </si>
  <si>
    <t>Mĕngshĕng Zhèn</t>
  </si>
  <si>
    <t>勐省镇</t>
  </si>
  <si>
    <t>Mĕngyŏng Zhèn</t>
  </si>
  <si>
    <t>勐永镇</t>
  </si>
  <si>
    <t>Mĕngyòu Zhèn</t>
  </si>
  <si>
    <t>勐佑镇</t>
  </si>
  <si>
    <t>Mùchăng Xiāng</t>
  </si>
  <si>
    <t>木场乡</t>
  </si>
  <si>
    <t>Nánmĕi Lāhùzú Xiāng</t>
  </si>
  <si>
    <t>南美拉祜族乡</t>
  </si>
  <si>
    <t>Nánsăn Zhèn</t>
  </si>
  <si>
    <t>南伞镇</t>
  </si>
  <si>
    <t>Nuòliáng Xiāng</t>
  </si>
  <si>
    <t>糯良乡</t>
  </si>
  <si>
    <t>Píngcūn Yízú Dǎizú Xiāng</t>
  </si>
  <si>
    <t>平村彝族傣族乡</t>
  </si>
  <si>
    <t>Quānnèi Xiāng</t>
  </si>
  <si>
    <t>圈内乡</t>
  </si>
  <si>
    <t>Shāhé Xiāng</t>
  </si>
  <si>
    <t>沙河乡</t>
  </si>
  <si>
    <t>Shīlĭ Xiāng</t>
  </si>
  <si>
    <t>诗礼乡</t>
  </si>
  <si>
    <t>Sìpáishān Xiāng</t>
  </si>
  <si>
    <t>四排山乡</t>
  </si>
  <si>
    <t>Wūmùlóng Yízú Xiāng</t>
  </si>
  <si>
    <t>乌木龙彝族乡</t>
  </si>
  <si>
    <t>Xiăojiē Xiāng</t>
  </si>
  <si>
    <t>晓街乡</t>
  </si>
  <si>
    <t>Xiăomĕngtŏng Zhèn</t>
  </si>
  <si>
    <t>小勐统镇</t>
  </si>
  <si>
    <t>Xiăowān Zhèn</t>
  </si>
  <si>
    <t>小湾镇</t>
  </si>
  <si>
    <t>Xìngfú Zhèn</t>
  </si>
  <si>
    <t>幸福镇</t>
  </si>
  <si>
    <t>Xīnhuá Yízú Miáozú Xiāng</t>
  </si>
  <si>
    <t>新华彝族苗族乡</t>
  </si>
  <si>
    <t>Xuĕshān Zhèn</t>
  </si>
  <si>
    <t>雪山镇</t>
  </si>
  <si>
    <t>Yàliàn Xiāng</t>
  </si>
  <si>
    <t>亚练乡</t>
  </si>
  <si>
    <t>Yánshuài Zhèn</t>
  </si>
  <si>
    <t>岩帅镇</t>
  </si>
  <si>
    <t>Yāojiē Yízú Xiāng</t>
  </si>
  <si>
    <t>腰街彝族乡</t>
  </si>
  <si>
    <t>Yíngpán Zhèn</t>
  </si>
  <si>
    <t>营盘镇</t>
  </si>
  <si>
    <t>Yŏngbăo Zhèn</t>
  </si>
  <si>
    <t>涌宝镇</t>
  </si>
  <si>
    <t>Yŏngkāng Zhèn</t>
  </si>
  <si>
    <t>永康镇</t>
  </si>
  <si>
    <t>Zhāngtuó Xiāng</t>
  </si>
  <si>
    <t>章驮乡</t>
  </si>
  <si>
    <t>Bĭngzhōngluò Zhèn</t>
  </si>
  <si>
    <t>丙中洛镇</t>
  </si>
  <si>
    <t>Gòngshān Dúlóngzú Nùzú Zìzhìxiàn</t>
  </si>
  <si>
    <t>Chēnggān Xiāng</t>
  </si>
  <si>
    <t>称杆乡</t>
  </si>
  <si>
    <t>Lúshuĭ Shì</t>
  </si>
  <si>
    <t>Cíkāi Zhèn</t>
  </si>
  <si>
    <t>茨开镇</t>
  </si>
  <si>
    <t>Dàxīngdì Zhèn</t>
  </si>
  <si>
    <t>大兴地镇</t>
  </si>
  <si>
    <t>Dúlóngjiāng Xiāng</t>
  </si>
  <si>
    <t>独龙江乡</t>
  </si>
  <si>
    <t>Gŭdēng Xiāng</t>
  </si>
  <si>
    <t>古登乡</t>
  </si>
  <si>
    <t>Lánpíng Báizú Pŭmĭzú Zìzhìxiàn</t>
  </si>
  <si>
    <t>Jiàkēdĭ Xiāng</t>
  </si>
  <si>
    <t>架科底乡</t>
  </si>
  <si>
    <t>Fúgòng Xiàn</t>
  </si>
  <si>
    <t>Jīndĭng Zhèn</t>
  </si>
  <si>
    <t>金顶镇</t>
  </si>
  <si>
    <t>Lajĭng Zhèn</t>
  </si>
  <si>
    <t>啦井镇</t>
  </si>
  <si>
    <t>Lăowō Zhèn</t>
  </si>
  <si>
    <t>老窝镇</t>
  </si>
  <si>
    <t>Liùkù Zhèn</t>
  </si>
  <si>
    <t>六库镇</t>
  </si>
  <si>
    <t>Lùmădēng Xiāng</t>
  </si>
  <si>
    <t>鹿马登乡</t>
  </si>
  <si>
    <t>Luòbĕnzhuó Báizú Xiāng</t>
  </si>
  <si>
    <t>洛本卓白族乡</t>
  </si>
  <si>
    <t>Lŭzhăng Zhèn</t>
  </si>
  <si>
    <t>鲁掌镇</t>
  </si>
  <si>
    <t>Măjí Xiāng</t>
  </si>
  <si>
    <t>马吉乡</t>
  </si>
  <si>
    <t>Pĕngdāng Xiāng</t>
  </si>
  <si>
    <t>捧当乡</t>
  </si>
  <si>
    <t>Piànmă Zhèn</t>
  </si>
  <si>
    <t>片马镇</t>
  </si>
  <si>
    <t>Pĭhé Nùzú Xiāng</t>
  </si>
  <si>
    <t>匹河怒族乡</t>
  </si>
  <si>
    <t>Pŭlādĭ Xiāng</t>
  </si>
  <si>
    <t>普拉底乡</t>
  </si>
  <si>
    <t>Shàngjiāng Zhèn</t>
  </si>
  <si>
    <t>上江镇</t>
  </si>
  <si>
    <t>Shàngpà Zhèn</t>
  </si>
  <si>
    <t>上帕镇</t>
  </si>
  <si>
    <t>Shídēng Xiāng</t>
  </si>
  <si>
    <t>石登乡</t>
  </si>
  <si>
    <t>Shíyuèliàng Xiāng</t>
  </si>
  <si>
    <t>石月亮乡</t>
  </si>
  <si>
    <t>Tōngdiàn Zhèn</t>
  </si>
  <si>
    <t>通甸镇</t>
  </si>
  <si>
    <t>Tù'é Xiāng</t>
  </si>
  <si>
    <t>兔峨乡</t>
  </si>
  <si>
    <t>Zhōngpái Xiāng</t>
  </si>
  <si>
    <t>中排乡</t>
  </si>
  <si>
    <t>Zilĭjiă Xiāng</t>
  </si>
  <si>
    <t>子里甲乡</t>
  </si>
  <si>
    <t>Ànbăn Zhèn</t>
  </si>
  <si>
    <t>按板镇</t>
  </si>
  <si>
    <t>Zhènyuán Yízú Hānízú Lāhùzú Zìzhìxiàn</t>
  </si>
  <si>
    <t>Āndìng Zhèn</t>
  </si>
  <si>
    <t>安定镇</t>
  </si>
  <si>
    <t>Jĭngdōng Yízú Zìzhìxiàn</t>
  </si>
  <si>
    <t>Ānkāng Wăzú Xiāng</t>
  </si>
  <si>
    <t>安康佤族乡</t>
  </si>
  <si>
    <t>Láncāng Lāhùzú Zìzhìxiàn</t>
  </si>
  <si>
    <t>Bàliū Zhèn</t>
  </si>
  <si>
    <t>坝溜镇</t>
  </si>
  <si>
    <t>Mòjiāng Hānízú Zìzhìxiàn</t>
  </si>
  <si>
    <t>Jĭnggŭ Dăizú Yízú Zìzhìxiàn</t>
  </si>
  <si>
    <t>Băozàng Zhèn</t>
  </si>
  <si>
    <t>宝藏镇</t>
  </si>
  <si>
    <t>Jiāngchéng Hānízú Yízú Zìzhìxiàn</t>
  </si>
  <si>
    <t>Bì'ān Xiāng</t>
  </si>
  <si>
    <t>碧安乡</t>
  </si>
  <si>
    <t>Dàcháo Shāndōng Zhèn</t>
  </si>
  <si>
    <t>大朝山东镇</t>
  </si>
  <si>
    <t>Dàjiē Zhèn</t>
  </si>
  <si>
    <t>大街镇</t>
  </si>
  <si>
    <t>Dé'ān Xiāng</t>
  </si>
  <si>
    <t>德安乡</t>
  </si>
  <si>
    <t>Níng'ĕr Hānízú Yízú Zìzhìxiàn</t>
  </si>
  <si>
    <t>Déhuà Zhèn</t>
  </si>
  <si>
    <t>德化镇</t>
  </si>
  <si>
    <t>Dōnghé Xiāng</t>
  </si>
  <si>
    <t>东河乡</t>
  </si>
  <si>
    <t>Dōnghuí Zhèn</t>
  </si>
  <si>
    <t>东回镇</t>
  </si>
  <si>
    <t>Ēnlè Zhèn</t>
  </si>
  <si>
    <t>恩乐镇</t>
  </si>
  <si>
    <t>Fāzhănhé Hānízú Xiāng</t>
  </si>
  <si>
    <t>发展河哈尼族乡</t>
  </si>
  <si>
    <t>Fùbāng Xiāng</t>
  </si>
  <si>
    <t>富邦乡</t>
  </si>
  <si>
    <t>Fùdōng Xiāng</t>
  </si>
  <si>
    <t>富东乡</t>
  </si>
  <si>
    <t>Fùyán Zhèn</t>
  </si>
  <si>
    <t>富岩镇</t>
  </si>
  <si>
    <t>Mènglián Dăizú Lāhùzú Wăzú Zìzhìxiàn</t>
  </si>
  <si>
    <t>Gōngxìn Xiāng</t>
  </si>
  <si>
    <t>公信乡</t>
  </si>
  <si>
    <t>Gŭchéng Zhèn</t>
  </si>
  <si>
    <t>古城镇</t>
  </si>
  <si>
    <t>Guóqìng Xiāng</t>
  </si>
  <si>
    <t>国庆乡</t>
  </si>
  <si>
    <t>Huāshān Zhèn</t>
  </si>
  <si>
    <t>花山镇</t>
  </si>
  <si>
    <t>Huìmín Zhèn</t>
  </si>
  <si>
    <t>惠民镇</t>
  </si>
  <si>
    <t>Jiāhé Xiāng</t>
  </si>
  <si>
    <t>嘉禾乡</t>
  </si>
  <si>
    <t>Jĭngfú Zhèn</t>
  </si>
  <si>
    <t>景福镇</t>
  </si>
  <si>
    <t>Jĭnggŭ Zhèn</t>
  </si>
  <si>
    <t>景谷镇</t>
  </si>
  <si>
    <t>Jĭngxīng Zhèn</t>
  </si>
  <si>
    <t>景星镇</t>
  </si>
  <si>
    <t>Jĭngxìn Xiāng</t>
  </si>
  <si>
    <t>景信乡</t>
  </si>
  <si>
    <t>Jĭnpíng Zhèn</t>
  </si>
  <si>
    <t>锦屏镇</t>
  </si>
  <si>
    <t>Jiŭjiă Zhèn</t>
  </si>
  <si>
    <t>九甲镇</t>
  </si>
  <si>
    <t>Jiŭjĭng Hānízú Xiāng</t>
  </si>
  <si>
    <t>酒井哈尼族乡</t>
  </si>
  <si>
    <t>Kāngpíng Zhèn</t>
  </si>
  <si>
    <t>康平镇</t>
  </si>
  <si>
    <t>Lābā Xiāng</t>
  </si>
  <si>
    <t>拉巴乡</t>
  </si>
  <si>
    <t>Liánzhū Zhèn</t>
  </si>
  <si>
    <t>联珠镇</t>
  </si>
  <si>
    <t>Límíng Xiāng</t>
  </si>
  <si>
    <t>黎明乡</t>
  </si>
  <si>
    <t>Línjiē Xiāng</t>
  </si>
  <si>
    <t>林街乡</t>
  </si>
  <si>
    <t>Lìsuŏ Lāhùzú Xiāng</t>
  </si>
  <si>
    <t>力所拉祜族乡</t>
  </si>
  <si>
    <t>Xīméng Wăzú Zìzhìxiàn</t>
  </si>
  <si>
    <t>Liùshùn Zhèn</t>
  </si>
  <si>
    <t>六顺镇</t>
  </si>
  <si>
    <t>Sīmáo Qū</t>
  </si>
  <si>
    <t>Lóngbà Zhèn</t>
  </si>
  <si>
    <t>龙坝镇</t>
  </si>
  <si>
    <t>Lóngjiē Xiāng</t>
  </si>
  <si>
    <t>龙街乡</t>
  </si>
  <si>
    <t>Lóngtán Yízú Dăizú Xiāng</t>
  </si>
  <si>
    <t>龙潭彝族傣族乡</t>
  </si>
  <si>
    <t>Màndĕng Xiāng</t>
  </si>
  <si>
    <t>曼等乡</t>
  </si>
  <si>
    <t>Mángxìn Zhèn</t>
  </si>
  <si>
    <t>芒信镇</t>
  </si>
  <si>
    <t>Méizi Zhèn</t>
  </si>
  <si>
    <t>梅子镇</t>
  </si>
  <si>
    <t>Mĕngbān Xiāng</t>
  </si>
  <si>
    <t>勐班乡</t>
  </si>
  <si>
    <t>Mĕngdà Zhèn</t>
  </si>
  <si>
    <t>勐大镇</t>
  </si>
  <si>
    <t>Mĕngkă Zhèn</t>
  </si>
  <si>
    <t>勐卡镇</t>
  </si>
  <si>
    <t>Mĕnglăng Zhèn</t>
  </si>
  <si>
    <t>勐朗镇</t>
  </si>
  <si>
    <t>Mĕngliè Zhèn</t>
  </si>
  <si>
    <t>勐烈镇</t>
  </si>
  <si>
    <t>Mĕngmă Zhèn</t>
  </si>
  <si>
    <t>勐马镇</t>
  </si>
  <si>
    <t>Mèngnòng Yízú Xiāng</t>
  </si>
  <si>
    <t>孟弄彝族乡</t>
  </si>
  <si>
    <t>Mĕngsuō Zhèn</t>
  </si>
  <si>
    <t>勐梭镇</t>
  </si>
  <si>
    <t>Mĕngxiān Zhèn</t>
  </si>
  <si>
    <t>勐先镇</t>
  </si>
  <si>
    <t>Mínlè Zhèn</t>
  </si>
  <si>
    <t>民乐镇</t>
  </si>
  <si>
    <t>Móhēi Zhèn</t>
  </si>
  <si>
    <t>磨黑镇</t>
  </si>
  <si>
    <t>Mùjiá Xiāng</t>
  </si>
  <si>
    <t>木戛乡</t>
  </si>
  <si>
    <t>Nàhā Xiāng</t>
  </si>
  <si>
    <t>那哈乡</t>
  </si>
  <si>
    <t>Nánlĭng Xiāng</t>
  </si>
  <si>
    <t>南岭乡</t>
  </si>
  <si>
    <t>Nánpíng Zhèn</t>
  </si>
  <si>
    <t>南屏镇</t>
  </si>
  <si>
    <t>Nàyŭn Zhèn</t>
  </si>
  <si>
    <t>娜允镇</t>
  </si>
  <si>
    <t>Níng'ĕr Zhèn</t>
  </si>
  <si>
    <t>宁洱镇</t>
  </si>
  <si>
    <t>Nuòfú Xiāng</t>
  </si>
  <si>
    <t>糯福乡</t>
  </si>
  <si>
    <t>Nuòzhādù Zhèn</t>
  </si>
  <si>
    <t>糯扎渡镇</t>
  </si>
  <si>
    <t>Pŭyì Xiāng</t>
  </si>
  <si>
    <t>普义乡</t>
  </si>
  <si>
    <t>Qiānliù Yízú Xiāng</t>
  </si>
  <si>
    <t>谦六彝族乡</t>
  </si>
  <si>
    <t>Qŭshuĭ Zhèn</t>
  </si>
  <si>
    <t>曲水镇</t>
  </si>
  <si>
    <t>Shàngyŭn Zhèn</t>
  </si>
  <si>
    <t>上允镇</t>
  </si>
  <si>
    <t>Sīmáogăng Zhèn</t>
  </si>
  <si>
    <t>思茅港镇</t>
  </si>
  <si>
    <t>Sīmáo Jiēdào</t>
  </si>
  <si>
    <t>思茅街道</t>
  </si>
  <si>
    <t>Sìnánjiāng Zhèn</t>
  </si>
  <si>
    <t>泗南江镇</t>
  </si>
  <si>
    <t>Tàizhōng Zhèn</t>
  </si>
  <si>
    <t>太忠镇</t>
  </si>
  <si>
    <t>Tiánbà Xiāng</t>
  </si>
  <si>
    <t>田坝乡</t>
  </si>
  <si>
    <t>Tōngguān Zhèn</t>
  </si>
  <si>
    <t>通关镇</t>
  </si>
  <si>
    <t>Tóngxīn Zhèn</t>
  </si>
  <si>
    <t>同心镇</t>
  </si>
  <si>
    <t>Tuántián Zhèn</t>
  </si>
  <si>
    <t>团田镇</t>
  </si>
  <si>
    <t>Wēiyuăn Zhèn</t>
  </si>
  <si>
    <t>威远镇</t>
  </si>
  <si>
    <t>Wéndōng Wăzú Xiāng</t>
  </si>
  <si>
    <t>文东佤族乡</t>
  </si>
  <si>
    <t>Wēnggākē Zhèn</t>
  </si>
  <si>
    <t>翁嘎科镇</t>
  </si>
  <si>
    <t>Wénjĭng Zhèn</t>
  </si>
  <si>
    <t>文井镇</t>
  </si>
  <si>
    <t>Wénlóng Zhèn</t>
  </si>
  <si>
    <t>文龙镇</t>
  </si>
  <si>
    <t>Wénwŭ Zhèn</t>
  </si>
  <si>
    <t>文武镇</t>
  </si>
  <si>
    <t>Xīn'ān Zhèn</t>
  </si>
  <si>
    <t>新安镇</t>
  </si>
  <si>
    <t>Xīnchăng Zhèn</t>
  </si>
  <si>
    <t>新厂镇</t>
  </si>
  <si>
    <t>Xīnfŭ Zhèn</t>
  </si>
  <si>
    <t>新抚镇</t>
  </si>
  <si>
    <t>Xuĕlín Wăzú Xiāng</t>
  </si>
  <si>
    <t>雪林佤族乡</t>
  </si>
  <si>
    <t>Yăyì Zhèn</t>
  </si>
  <si>
    <t>雅邑镇</t>
  </si>
  <si>
    <t>Yĭxiàng Zhèn</t>
  </si>
  <si>
    <t>倚象镇</t>
  </si>
  <si>
    <t>Yìzhì Xiāng</t>
  </si>
  <si>
    <t>益智乡</t>
  </si>
  <si>
    <t>Yŏngpíng Zhèn</t>
  </si>
  <si>
    <t>永平镇</t>
  </si>
  <si>
    <t>Yuèsòng Xiāng</t>
  </si>
  <si>
    <t>岳宋乡</t>
  </si>
  <si>
    <t>Yúnxiān Yízú Xiāng</t>
  </si>
  <si>
    <t>云仙彝族乡</t>
  </si>
  <si>
    <t>Yútáng Zhèn</t>
  </si>
  <si>
    <t>鱼塘镇</t>
  </si>
  <si>
    <t>Zhĕdōng Zhèn</t>
  </si>
  <si>
    <t>者东镇</t>
  </si>
  <si>
    <t>Zhĕngdŏng Zhèn</t>
  </si>
  <si>
    <t>整董镇</t>
  </si>
  <si>
    <t>Zhèngxīng Zhèn</t>
  </si>
  <si>
    <t>正兴镇</t>
  </si>
  <si>
    <t>Zhèntài Zhèn</t>
  </si>
  <si>
    <t>振太镇</t>
  </si>
  <si>
    <t>Zhōngkè Zhèn</t>
  </si>
  <si>
    <t>中课镇</t>
  </si>
  <si>
    <t>Zhútáng Xiāng</t>
  </si>
  <si>
    <t>竹塘乡</t>
  </si>
  <si>
    <t>Ādū Xiāng</t>
  </si>
  <si>
    <t>阿都乡</t>
  </si>
  <si>
    <t>Xuānwēi Shì</t>
  </si>
  <si>
    <t>Āgăng Zhèn</t>
  </si>
  <si>
    <t>阿岗镇</t>
  </si>
  <si>
    <t>Luópíng Xiàn</t>
  </si>
  <si>
    <t>Báishíjiāng Jiēdào</t>
  </si>
  <si>
    <t>白石江街道</t>
  </si>
  <si>
    <t>Qílín Qū</t>
  </si>
  <si>
    <t>Zhānyì Qū</t>
  </si>
  <si>
    <t>Lùliáng Xiàn</t>
  </si>
  <si>
    <t>Băoshān Zhèn</t>
  </si>
  <si>
    <t>宝山镇</t>
  </si>
  <si>
    <t>Bōlè Xiāng</t>
  </si>
  <si>
    <t>播乐乡</t>
  </si>
  <si>
    <t>Shīzōng Xiàn</t>
  </si>
  <si>
    <t>Chángdĭ Bùyīzú Xiāng</t>
  </si>
  <si>
    <t>长底布依族乡</t>
  </si>
  <si>
    <t>Cíyíng Zhèn</t>
  </si>
  <si>
    <t>茨营镇</t>
  </si>
  <si>
    <t>Dàhăi Xiāng</t>
  </si>
  <si>
    <t>大海乡</t>
  </si>
  <si>
    <t>Huìzé Xiàn</t>
  </si>
  <si>
    <t>Dàhé Zhèn</t>
  </si>
  <si>
    <t>大河镇</t>
  </si>
  <si>
    <t>Fùyuán Xiàn</t>
  </si>
  <si>
    <t>Dàibŭ Zhèn</t>
  </si>
  <si>
    <t>待补镇</t>
  </si>
  <si>
    <t>Dàjĭng Zhèn</t>
  </si>
  <si>
    <t>大井镇</t>
  </si>
  <si>
    <t>Dàmògŭ Zhèn</t>
  </si>
  <si>
    <t>大莫古镇</t>
  </si>
  <si>
    <t>Dānfèng Zhèn [incl. Dānfèng Jiēdào, Yàngyuè Jiēdào, Dàtóng Jiēdào]</t>
  </si>
  <si>
    <t>丹凤镇</t>
  </si>
  <si>
    <t>Dàpō Xiāng</t>
  </si>
  <si>
    <t>大坡乡</t>
  </si>
  <si>
    <t>Dàshuĭjĭng Xiāng</t>
  </si>
  <si>
    <t>大水井乡</t>
  </si>
  <si>
    <t>Dàzhuāng Xiāng</t>
  </si>
  <si>
    <t>大庄乡</t>
  </si>
  <si>
    <t>Mălóng Qū</t>
  </si>
  <si>
    <t>Délù Xiāng</t>
  </si>
  <si>
    <t>得禄乡</t>
  </si>
  <si>
    <t>Dézé Xiāng</t>
  </si>
  <si>
    <t>德泽乡</t>
  </si>
  <si>
    <t>Fānghuá Zhèn</t>
  </si>
  <si>
    <t>芳华镇</t>
  </si>
  <si>
    <t>Fùcūn Zhèn</t>
  </si>
  <si>
    <t>富村镇</t>
  </si>
  <si>
    <t>Fùlè Zhèn</t>
  </si>
  <si>
    <t>富乐镇</t>
  </si>
  <si>
    <t>Gāoliáng Zhuàngzú Miáozú Yáozú Xiāng</t>
  </si>
  <si>
    <t>高良壮族苗族瑶族乡</t>
  </si>
  <si>
    <t>Géyí Zhèn</t>
  </si>
  <si>
    <t>格宜镇</t>
  </si>
  <si>
    <t>Gŭgăn Shuǐzú Xiāng</t>
  </si>
  <si>
    <t>古敢水族乡</t>
  </si>
  <si>
    <t>Hăidài Zhèn</t>
  </si>
  <si>
    <t>海岱镇</t>
  </si>
  <si>
    <t>Hóngqiáo Jiēdào</t>
  </si>
  <si>
    <t>虹桥街道</t>
  </si>
  <si>
    <t>Hòusuŏ Zhèn</t>
  </si>
  <si>
    <t>后所镇</t>
  </si>
  <si>
    <t>Huángníhé Zhèn</t>
  </si>
  <si>
    <t>黄泥河镇</t>
  </si>
  <si>
    <t>Huŏhóng Xiāng</t>
  </si>
  <si>
    <t>火红乡</t>
  </si>
  <si>
    <t>Huóshuĭ Xiāng</t>
  </si>
  <si>
    <t>活水乡</t>
  </si>
  <si>
    <t>驾车乡</t>
  </si>
  <si>
    <t>Jiànníng Jiēdào</t>
  </si>
  <si>
    <t>建宁街道</t>
  </si>
  <si>
    <t>Jīnzhōng Zhèn [incl. Jīnzhōng Jiēdào, Gǔchéng Jiēdào, Bǎoyún Jiēdào]</t>
  </si>
  <si>
    <t>金钟镇</t>
  </si>
  <si>
    <t>Jiŭlóng Jiēdào</t>
  </si>
  <si>
    <t>九龙街道</t>
  </si>
  <si>
    <t>Jiùwūjī Yízú Xiāng</t>
  </si>
  <si>
    <t>旧屋基彝族乡</t>
  </si>
  <si>
    <t>Jiùxiàn Jiēdào</t>
  </si>
  <si>
    <t>旧县街道</t>
  </si>
  <si>
    <t>Kuàngshān Zhèn</t>
  </si>
  <si>
    <t>矿山镇</t>
  </si>
  <si>
    <t>Kuíshān Zhèn</t>
  </si>
  <si>
    <t>葵山镇</t>
  </si>
  <si>
    <t>Láibīn Jiēdào [incl. Fènghuáng Jiēdào]</t>
  </si>
  <si>
    <t>来宾街道</t>
  </si>
  <si>
    <t>Lăochăng Xiāng</t>
  </si>
  <si>
    <t>老厂乡</t>
  </si>
  <si>
    <t>Lèfēng Xiāng</t>
  </si>
  <si>
    <t>乐丰乡</t>
  </si>
  <si>
    <t>Lèyè Zhèn</t>
  </si>
  <si>
    <t>乐业镇</t>
  </si>
  <si>
    <t>Liáokuò Jiēdào</t>
  </si>
  <si>
    <t>寥廓街道</t>
  </si>
  <si>
    <t>Língjiăo Xiāng</t>
  </si>
  <si>
    <t>菱角乡</t>
  </si>
  <si>
    <t>Lóngchăng Zhèn</t>
  </si>
  <si>
    <t>龙场镇</t>
  </si>
  <si>
    <t>Lónghăi Xiāng</t>
  </si>
  <si>
    <t>龙海乡</t>
  </si>
  <si>
    <t>Lóngqìng Yízú Zhuàngzú Xiāng</t>
  </si>
  <si>
    <t>龙庆彝族壮族乡</t>
  </si>
  <si>
    <t>Lóngtán Zhèn</t>
  </si>
  <si>
    <t>龙潭镇</t>
  </si>
  <si>
    <t>Lŭbùgé Bùyīzú Miáozú Xiāng</t>
  </si>
  <si>
    <t>鲁布革布依族苗族乡</t>
  </si>
  <si>
    <t>Lùliáng Huáqiáo Guănlĭqū</t>
  </si>
  <si>
    <t>陆良华侨管理区</t>
  </si>
  <si>
    <t>Lŭnà Xiāng</t>
  </si>
  <si>
    <t>鲁纳乡</t>
  </si>
  <si>
    <t>Luòshuĭ Zhèn</t>
  </si>
  <si>
    <t>落水镇</t>
  </si>
  <si>
    <t>Luóxióng Zhèn [incl. Luóxióng Jiēdào, Làshān Jiēdào]</t>
  </si>
  <si>
    <t>罗雄镇</t>
  </si>
  <si>
    <t>Măguòhé Zhèn</t>
  </si>
  <si>
    <t>马过河镇</t>
  </si>
  <si>
    <t>Mălù Xiāng</t>
  </si>
  <si>
    <t>马路乡</t>
  </si>
  <si>
    <t>Mămíng Xiāng</t>
  </si>
  <si>
    <t>马鸣乡</t>
  </si>
  <si>
    <t>Mòhóng Zhèn</t>
  </si>
  <si>
    <t>墨红镇</t>
  </si>
  <si>
    <t>Nàgū Zhèn</t>
  </si>
  <si>
    <t>娜姑镇</t>
  </si>
  <si>
    <t>Nánníng Jiēdào</t>
  </si>
  <si>
    <t>南宁街道</t>
  </si>
  <si>
    <t>Nàzhāng Zhèn</t>
  </si>
  <si>
    <t>纳章镇</t>
  </si>
  <si>
    <t>Pánjiāng Zhèn [incl. Huāshān Jiēdào]</t>
  </si>
  <si>
    <t>盘江镇</t>
  </si>
  <si>
    <t>Pŭlì Xiāng</t>
  </si>
  <si>
    <t>普立乡</t>
  </si>
  <si>
    <t>Rèshuĭ Zhèn</t>
  </si>
  <si>
    <t>热水镇</t>
  </si>
  <si>
    <t>Sānbăo Jiēdào</t>
  </si>
  <si>
    <t>三宝街道</t>
  </si>
  <si>
    <t>Shàngcūn Xiāng</t>
  </si>
  <si>
    <t>上村乡</t>
  </si>
  <si>
    <t>Shíbāliánshān Zhèn</t>
  </si>
  <si>
    <t>十八连山镇</t>
  </si>
  <si>
    <t>Shuānghé Xiāng</t>
  </si>
  <si>
    <t>双河乡</t>
  </si>
  <si>
    <t>Tăngtáng Zhèn</t>
  </si>
  <si>
    <t>倘塘镇</t>
  </si>
  <si>
    <t>Tiánbà Zhèn</t>
  </si>
  <si>
    <t>田坝镇</t>
  </si>
  <si>
    <t>Tōngquán Zhèn [incl. Tōngquán Jiēdào, Jītóucūn Jiēdào]</t>
  </si>
  <si>
    <t>通泉镇</t>
  </si>
  <si>
    <t>Wángjiāzhuāng Zhèn [incl. Wángjiāzhuāng Jiēdào, Zhāng'āntún Jiēdào]</t>
  </si>
  <si>
    <t>王家庄镇</t>
  </si>
  <si>
    <t>Wănshuĭ Jiēdào [incl. Fēnghuá Jiēdào]</t>
  </si>
  <si>
    <t>宛水街道</t>
  </si>
  <si>
    <t>Wénxīng Xiāng</t>
  </si>
  <si>
    <t>文兴乡</t>
  </si>
  <si>
    <t>Wùdé Zhèn</t>
  </si>
  <si>
    <t>务德镇</t>
  </si>
  <si>
    <t>Wŭlóng Zhuàngzú Xiāng</t>
  </si>
  <si>
    <t>五龙壮族乡</t>
  </si>
  <si>
    <t>Wŭxīng Xiāng</t>
  </si>
  <si>
    <t>五星乡</t>
  </si>
  <si>
    <t>Xiăobăihù Zhèn</t>
  </si>
  <si>
    <t>小百户镇</t>
  </si>
  <si>
    <t>Xīchéng Jiēdào</t>
  </si>
  <si>
    <t>西城街道</t>
  </si>
  <si>
    <t>Xīníng Jiēdào</t>
  </si>
  <si>
    <t>西宁街道</t>
  </si>
  <si>
    <t>Xīnjiē Huízú Xiāng</t>
  </si>
  <si>
    <t>新街回族乡</t>
  </si>
  <si>
    <t>Xióngbì Zhèn</t>
  </si>
  <si>
    <t>雄壁镇</t>
  </si>
  <si>
    <t>Xīpíng Zhèn [incl. Xīpíng Jiēdào, Lónghuá Jiēdào, Jīnlóng Jiēdào]</t>
  </si>
  <si>
    <t>西平街道</t>
  </si>
  <si>
    <t>Xīzé Xiāng</t>
  </si>
  <si>
    <t>西泽乡</t>
  </si>
  <si>
    <t>Yánfāng Xiāng</t>
  </si>
  <si>
    <t>炎方乡</t>
  </si>
  <si>
    <t>Yángchăng Zhèn</t>
  </si>
  <si>
    <t>羊场镇</t>
  </si>
  <si>
    <t>Yángliŭ Zhèn</t>
  </si>
  <si>
    <t>杨柳镇</t>
  </si>
  <si>
    <t>Yánjiāng Jiēdào</t>
  </si>
  <si>
    <t>沿江街道</t>
  </si>
  <si>
    <t>Yĭchē Zhèn</t>
  </si>
  <si>
    <t>迤车镇</t>
  </si>
  <si>
    <t>Yíngshàng Zhèn</t>
  </si>
  <si>
    <t>营上镇</t>
  </si>
  <si>
    <t>Yuèwàng Xiāng</t>
  </si>
  <si>
    <t>月望乡</t>
  </si>
  <si>
    <t>Yuèzhōu Zhèn</t>
  </si>
  <si>
    <t>越州镇</t>
  </si>
  <si>
    <t>Yŭlù Xiāng</t>
  </si>
  <si>
    <t>雨碌乡</t>
  </si>
  <si>
    <t>Zhàokuā Zhèn</t>
  </si>
  <si>
    <t>召夸镇</t>
  </si>
  <si>
    <t>Zhĕhăi Zhèn</t>
  </si>
  <si>
    <t>者海镇</t>
  </si>
  <si>
    <t>Zhĭchăng Xiāng</t>
  </si>
  <si>
    <t>纸厂乡</t>
  </si>
  <si>
    <t>Zhōng'ān Zhèn [incl. Zhōng'ān Jiēdào, Shèngjìng Jiēdào]</t>
  </si>
  <si>
    <t>中安镇</t>
  </si>
  <si>
    <t>钟山乡</t>
  </si>
  <si>
    <t>Zhōngshū Zhèn [incl. Zhōngshū Jiēdào, Tónglè Jiēdào]</t>
  </si>
  <si>
    <t>Zhūjiē Jiēdào</t>
  </si>
  <si>
    <t>珠街街道</t>
  </si>
  <si>
    <t>Zhújī Zhèn</t>
  </si>
  <si>
    <t>竹基镇</t>
  </si>
  <si>
    <t>Āmĕng Zhèn</t>
  </si>
  <si>
    <t>阿猛镇</t>
  </si>
  <si>
    <t>Yànshān Xiàn</t>
  </si>
  <si>
    <t>Āshè Yízú Xiāng</t>
  </si>
  <si>
    <t>阿舍彝族乡</t>
  </si>
  <si>
    <t>Āyòng Xiāng</t>
  </si>
  <si>
    <t>阿用乡</t>
  </si>
  <si>
    <t>Fùníng Xiàn</t>
  </si>
  <si>
    <t>Bābăo Zhèn</t>
  </si>
  <si>
    <t>八宝镇</t>
  </si>
  <si>
    <t>Guăngnán Xiàn</t>
  </si>
  <si>
    <t>Bābù Xiāng</t>
  </si>
  <si>
    <t>八布乡</t>
  </si>
  <si>
    <t>Málìpō Xiàn</t>
  </si>
  <si>
    <t>Bādàoshào Yízú Xiāng</t>
  </si>
  <si>
    <t>八道哨彝族乡</t>
  </si>
  <si>
    <t>Qiūbĕi Xiàn</t>
  </si>
  <si>
    <t>Bāgā Xiāng</t>
  </si>
  <si>
    <t>八嘎乡</t>
  </si>
  <si>
    <t>Bǎilín Xiāng</t>
  </si>
  <si>
    <t>柏林乡</t>
  </si>
  <si>
    <t>Xīchóu Xiàn</t>
  </si>
  <si>
    <t>Bàmĕi Zhèn</t>
  </si>
  <si>
    <t>坝美镇</t>
  </si>
  <si>
    <t>Bănbèng Xiāng</t>
  </si>
  <si>
    <t>板蚌乡</t>
  </si>
  <si>
    <t>Bănlún Xiāng</t>
  </si>
  <si>
    <t>板仑乡</t>
  </si>
  <si>
    <t>Bàxīn Yízú Xiāng</t>
  </si>
  <si>
    <t>坝心彝族乡</t>
  </si>
  <si>
    <t>Wénshān Shì</t>
  </si>
  <si>
    <t>Bāzhài Zhèn</t>
  </si>
  <si>
    <t>八寨镇</t>
  </si>
  <si>
    <t>Măguān Xiàn</t>
  </si>
  <si>
    <t>Bèng'é Xiāng</t>
  </si>
  <si>
    <t>蚌峨乡</t>
  </si>
  <si>
    <t>Bènggŭ Xiāng</t>
  </si>
  <si>
    <t>蚌谷乡</t>
  </si>
  <si>
    <t>Bĭngliè Yízú Xiāng</t>
  </si>
  <si>
    <t>秉烈彝族乡</t>
  </si>
  <si>
    <t>Bō'ài Zhèn</t>
  </si>
  <si>
    <t>剥隘镇</t>
  </si>
  <si>
    <t>Bózhú Zhèn</t>
  </si>
  <si>
    <t>薄竹镇</t>
  </si>
  <si>
    <t>Dàlìshù Xiāng</t>
  </si>
  <si>
    <t>大栗树乡</t>
  </si>
  <si>
    <t>Dàpíng Zhèn</t>
  </si>
  <si>
    <t>大坪镇</t>
  </si>
  <si>
    <t>Déhòu Zhèn</t>
  </si>
  <si>
    <t>德厚镇</t>
  </si>
  <si>
    <t>Dĭwéi Xiāng</t>
  </si>
  <si>
    <t>底圩乡</t>
  </si>
  <si>
    <t>Dŏngbăo Xiāng</t>
  </si>
  <si>
    <t>董堡乡</t>
  </si>
  <si>
    <t>Dòngbō Yáozú Xiāng</t>
  </si>
  <si>
    <t>洞波瑶族乡</t>
  </si>
  <si>
    <t>Dŏnggān Zhèn</t>
  </si>
  <si>
    <t>董干镇</t>
  </si>
  <si>
    <t>Dŏngmă Xiāng</t>
  </si>
  <si>
    <t>董马乡</t>
  </si>
  <si>
    <t>Dūlóng Zhèn</t>
  </si>
  <si>
    <t>都龙镇</t>
  </si>
  <si>
    <t>Fădòu Xiāng</t>
  </si>
  <si>
    <t>法斗乡</t>
  </si>
  <si>
    <t>Gānhé Yízú Xiāng</t>
  </si>
  <si>
    <t>干河彝族乡</t>
  </si>
  <si>
    <t>Guānzhài Xiāng</t>
  </si>
  <si>
    <t>官寨乡</t>
  </si>
  <si>
    <t>Guīcháo Zhèn</t>
  </si>
  <si>
    <t>归朝镇</t>
  </si>
  <si>
    <t>Gŭlā Xiāng</t>
  </si>
  <si>
    <t>谷拉乡</t>
  </si>
  <si>
    <t>Gŭlínqìng Xiāng</t>
  </si>
  <si>
    <t>古林箐乡</t>
  </si>
  <si>
    <t>Gŭmù Zhèn</t>
  </si>
  <si>
    <t>古木镇</t>
  </si>
  <si>
    <t>Hēizhīguŏ Xiāng</t>
  </si>
  <si>
    <t>黑支果乡</t>
  </si>
  <si>
    <t>Hóngdiàn Huízú Xiāng</t>
  </si>
  <si>
    <t>红甸回族乡</t>
  </si>
  <si>
    <t>Huājiă Xiāng</t>
  </si>
  <si>
    <t>花甲乡</t>
  </si>
  <si>
    <t>Jiāhánqìng Zhèn</t>
  </si>
  <si>
    <t>夹寒箐镇</t>
  </si>
  <si>
    <t>Jiāngnèi Zhèn</t>
  </si>
  <si>
    <t>江那镇</t>
  </si>
  <si>
    <t>Jiàyī Zhèn</t>
  </si>
  <si>
    <t>稼依镇</t>
  </si>
  <si>
    <t>Jīnchăng Zhèn</t>
  </si>
  <si>
    <t>金厂镇</t>
  </si>
  <si>
    <t>Jiùmò Xiāng</t>
  </si>
  <si>
    <t>旧莫乡</t>
  </si>
  <si>
    <t>Kāihuà Zhèn [incl. Kāihuà Jiēdào, Wòlóng jiēdào, Xīnpíng Jiēdào]</t>
  </si>
  <si>
    <t>开化镇</t>
  </si>
  <si>
    <t>Liánchéng Zhèn</t>
  </si>
  <si>
    <t>莲城镇</t>
  </si>
  <si>
    <t>Liánhuātáng Xiāng</t>
  </si>
  <si>
    <t>莲花塘乡</t>
  </si>
  <si>
    <t>Lĭdá Zhèn</t>
  </si>
  <si>
    <t>里达镇</t>
  </si>
  <si>
    <t>Liùhé Xiāng</t>
  </si>
  <si>
    <t>六河乡</t>
  </si>
  <si>
    <t>Liŭjĭng Yízú Xiāng</t>
  </si>
  <si>
    <t>柳井彝族乡</t>
  </si>
  <si>
    <t>Măbái Zhèn</t>
  </si>
  <si>
    <t>马白镇</t>
  </si>
  <si>
    <t>Málì Zhèn</t>
  </si>
  <si>
    <t>麻栗镇</t>
  </si>
  <si>
    <t>Mătáng Zhèn</t>
  </si>
  <si>
    <t>马塘镇</t>
  </si>
  <si>
    <t>Mĕngdòng Yáozú Xiāng</t>
  </si>
  <si>
    <t>猛硐瑶族乡</t>
  </si>
  <si>
    <t>Mièchăng Xiāng</t>
  </si>
  <si>
    <t>篾厂乡</t>
  </si>
  <si>
    <t>Mùchăng Zhèn</t>
  </si>
  <si>
    <t>木厂镇</t>
  </si>
  <si>
    <t>Mùyāng Zhèn</t>
  </si>
  <si>
    <t>木央镇</t>
  </si>
  <si>
    <t>Nànéng Xiāng</t>
  </si>
  <si>
    <t>那能乡</t>
  </si>
  <si>
    <t>Nánlāo Xiāng</t>
  </si>
  <si>
    <t>南捞乡</t>
  </si>
  <si>
    <t>Nàsă Zhèn</t>
  </si>
  <si>
    <t>那洒镇</t>
  </si>
  <si>
    <t>Nìjiăo Yízú Xiāng</t>
  </si>
  <si>
    <t>腻脚彝族乡</t>
  </si>
  <si>
    <t>Pánlóng Yízú Xiāng</t>
  </si>
  <si>
    <t>盘龙彝族乡</t>
  </si>
  <si>
    <t>Píngbà Zhèn</t>
  </si>
  <si>
    <t>平坝镇</t>
  </si>
  <si>
    <t>Píngyuăn Zhèn</t>
  </si>
  <si>
    <t>平远镇</t>
  </si>
  <si>
    <t>Píngzhài Xiāng</t>
  </si>
  <si>
    <t>平寨乡</t>
  </si>
  <si>
    <t>Pōjiăo Zhèn</t>
  </si>
  <si>
    <t>坡脚镇</t>
  </si>
  <si>
    <t>Shèdé Yízú Xiāng</t>
  </si>
  <si>
    <t>舍得彝族乡</t>
  </si>
  <si>
    <t>Shuānglóngyíng Zhèn</t>
  </si>
  <si>
    <t>双龙营镇</t>
  </si>
  <si>
    <t>Shŭguāng Xiāng</t>
  </si>
  <si>
    <t>曙光乡</t>
  </si>
  <si>
    <t>Shùpí Yízú Xiāng</t>
  </si>
  <si>
    <t>树皮彝族乡</t>
  </si>
  <si>
    <t>Tiānbăo Zhèn</t>
  </si>
  <si>
    <t>天保镇</t>
  </si>
  <si>
    <t>Tiánpéng Zhèn</t>
  </si>
  <si>
    <t>田蓬镇</t>
  </si>
  <si>
    <t>Tiānxīng Xiāng</t>
  </si>
  <si>
    <t>天星乡</t>
  </si>
  <si>
    <t>Tiĕchăng Xiāng</t>
  </si>
  <si>
    <t>铁厂乡</t>
  </si>
  <si>
    <t>Wéimó Yízú Xiāng</t>
  </si>
  <si>
    <t>维摩彝族乡</t>
  </si>
  <si>
    <t>Wēnliú Xiāng</t>
  </si>
  <si>
    <t>温浏乡</t>
  </si>
  <si>
    <t>Wŭzhū Xiāng</t>
  </si>
  <si>
    <t>五珠乡</t>
  </si>
  <si>
    <t>Xiàjīnchăng Xiāng</t>
  </si>
  <si>
    <t>下金厂乡</t>
  </si>
  <si>
    <t>Xiăobàzi Zhèn</t>
  </si>
  <si>
    <t>小坝子镇</t>
  </si>
  <si>
    <t>Xĭgŭ Xiāng</t>
  </si>
  <si>
    <t>喜古乡</t>
  </si>
  <si>
    <t>Xīndiàn Yízú Xiāng</t>
  </si>
  <si>
    <t>新店彝族乡</t>
  </si>
  <si>
    <t>Xīngjiē Zhèn</t>
  </si>
  <si>
    <t>兴街镇</t>
  </si>
  <si>
    <t>Xīnhuá Zhèn</t>
  </si>
  <si>
    <t>新华镇</t>
  </si>
  <si>
    <t>新街乡</t>
  </si>
  <si>
    <t>Xīnmăjiē Xiāng</t>
  </si>
  <si>
    <t>新马街乡</t>
  </si>
  <si>
    <t>Xīsă Zhèn</t>
  </si>
  <si>
    <t>西洒镇</t>
  </si>
  <si>
    <t>Yángliŭjĭng Xiāng</t>
  </si>
  <si>
    <t>杨柳井乡</t>
  </si>
  <si>
    <t>Yángwàn Xiāng</t>
  </si>
  <si>
    <t>杨万乡</t>
  </si>
  <si>
    <t>Yuēzhĕ Zhèn</t>
  </si>
  <si>
    <t>曰者镇</t>
  </si>
  <si>
    <t>Zhĕlà Xiāng</t>
  </si>
  <si>
    <t>者腊乡</t>
  </si>
  <si>
    <t>Zhĕsāng Xiāng</t>
  </si>
  <si>
    <t>者桑乡</t>
  </si>
  <si>
    <t>Zhĕtài Xiāng</t>
  </si>
  <si>
    <t>者太乡</t>
  </si>
  <si>
    <t>Zhĕtù Xiāng</t>
  </si>
  <si>
    <t>者兔乡</t>
  </si>
  <si>
    <t>Zhuànjiăo Xiāng</t>
  </si>
  <si>
    <t>篆角乡</t>
  </si>
  <si>
    <t>Zhuīlìjiē Zhèn</t>
  </si>
  <si>
    <t>追栗街镇</t>
  </si>
  <si>
    <t>Zhūjiē Zhèn</t>
  </si>
  <si>
    <t>珠街镇</t>
  </si>
  <si>
    <t>Zhūlín Zhèn</t>
  </si>
  <si>
    <t>珠琳镇</t>
  </si>
  <si>
    <t>Bùlăngshān Bùlǎngzú Xiāng</t>
  </si>
  <si>
    <t>布朗山布朗族乡</t>
  </si>
  <si>
    <t>Mĕnghăi Xiàn</t>
  </si>
  <si>
    <t>Dàdùgăng Xiāng</t>
  </si>
  <si>
    <t>大渡岗乡</t>
  </si>
  <si>
    <t>Jĭnghóng Shì</t>
  </si>
  <si>
    <t>Dăluò Zhèn</t>
  </si>
  <si>
    <t>打洛镇</t>
  </si>
  <si>
    <t>Gāsă Zhèn</t>
  </si>
  <si>
    <t>嘎洒镇</t>
  </si>
  <si>
    <t>Gélănghé Hānízú Xiāng</t>
  </si>
  <si>
    <t>格朗和哈尼族乡</t>
  </si>
  <si>
    <t>Guānlĕi Zhèn</t>
  </si>
  <si>
    <t>关累镇</t>
  </si>
  <si>
    <t>Mĕnglà Xiàn</t>
  </si>
  <si>
    <t>Jĭnghā Hānízú Xiāng</t>
  </si>
  <si>
    <t>景哈哈尼族乡</t>
  </si>
  <si>
    <t>Jĭnghóng Gōngyè Yuánqū</t>
  </si>
  <si>
    <t>景洪工业园区</t>
  </si>
  <si>
    <t>Jĭngnè Xiāng</t>
  </si>
  <si>
    <t>景讷乡</t>
  </si>
  <si>
    <t>Jīnuò Shānjīnuòzú Xiāng</t>
  </si>
  <si>
    <t>基诺山基诺族乡</t>
  </si>
  <si>
    <t>Mĕng'ā Zhèn</t>
  </si>
  <si>
    <t>勐阿镇</t>
  </si>
  <si>
    <t>Mĕngbàn Zhèn</t>
  </si>
  <si>
    <t>勐伴镇</t>
  </si>
  <si>
    <t>Mĕnghăi Zhèn</t>
  </si>
  <si>
    <t>勐海镇</t>
  </si>
  <si>
    <t>Mĕnghăn Zhèn</t>
  </si>
  <si>
    <t>勐罕镇</t>
  </si>
  <si>
    <t>Mĕnghùn Zhèn</t>
  </si>
  <si>
    <t>勐混镇</t>
  </si>
  <si>
    <t>Mĕnglà Zhèn</t>
  </si>
  <si>
    <t>勐腊镇</t>
  </si>
  <si>
    <t>Mĕnglóng Zhèn</t>
  </si>
  <si>
    <t>勐龙镇</t>
  </si>
  <si>
    <t>Mĕnglún Zhèn</t>
  </si>
  <si>
    <t>勐仑镇</t>
  </si>
  <si>
    <t>Mĕngmăn Zhèn</t>
  </si>
  <si>
    <t>勐满镇</t>
  </si>
  <si>
    <t>Mĕngsòng Xiāng</t>
  </si>
  <si>
    <t>勐宋乡</t>
  </si>
  <si>
    <t>Mĕngwàng Xiāng</t>
  </si>
  <si>
    <t>勐旺乡</t>
  </si>
  <si>
    <t>Mĕngwăng Xiāng</t>
  </si>
  <si>
    <t>勐往乡</t>
  </si>
  <si>
    <t>Mĕngzhē Zhèn</t>
  </si>
  <si>
    <t>勐遮镇</t>
  </si>
  <si>
    <t>Móhān Zhèn [Shàngyŏng Zhèn]</t>
  </si>
  <si>
    <t>磨憨镇</t>
  </si>
  <si>
    <t>Pŭwén Zhèn</t>
  </si>
  <si>
    <t>普文镇</t>
  </si>
  <si>
    <t>Xiàngmíng Yízú Xiāng</t>
  </si>
  <si>
    <t>象明彝族乡</t>
  </si>
  <si>
    <t>Xīdìng Hānízú Bùlǎngzú Xiāng</t>
  </si>
  <si>
    <t>西定哈尼族布朗族乡</t>
  </si>
  <si>
    <t>Xīshuāngbănnà Móhān Jīngjì Kāifāqū</t>
  </si>
  <si>
    <t>西双版纳磨憨经济开发区</t>
  </si>
  <si>
    <t>Xīshuāngbănnà Wàidù Jiăqū</t>
  </si>
  <si>
    <t>西双版纳外渡假区</t>
  </si>
  <si>
    <t>Yáoqū Yáozú Xiāng</t>
  </si>
  <si>
    <t>瑶区瑶族乡</t>
  </si>
  <si>
    <t>Yìwŭ Zhèn</t>
  </si>
  <si>
    <t>易武镇</t>
  </si>
  <si>
    <t>Yŭnjĭnghóng Jiēdào</t>
  </si>
  <si>
    <t>允景洪街道</t>
  </si>
  <si>
    <t>Ānhuà Yízú Xiāng</t>
  </si>
  <si>
    <t>安化彝族乡</t>
  </si>
  <si>
    <t>Jiāngchuān Qū</t>
  </si>
  <si>
    <t>Bĕichéng Jiēdào</t>
  </si>
  <si>
    <t>北城街道</t>
  </si>
  <si>
    <t>Hóngtă Qū</t>
  </si>
  <si>
    <t>Chàhé Xiāng</t>
  </si>
  <si>
    <t>岔河乡</t>
  </si>
  <si>
    <t>Éshān Yízú Zìzhìxiàn</t>
  </si>
  <si>
    <t>Chūnhé Jiēdào</t>
  </si>
  <si>
    <t>春和街道</t>
  </si>
  <si>
    <t>Dàjiē Jiēdào</t>
  </si>
  <si>
    <t>大街街道</t>
  </si>
  <si>
    <t>Dàlóngtán Xiāng</t>
  </si>
  <si>
    <t>大龙潭乡</t>
  </si>
  <si>
    <t>Dàyíngjiē Jiēdào</t>
  </si>
  <si>
    <t>大营街街道</t>
  </si>
  <si>
    <t>Diànzhōng Zhèn</t>
  </si>
  <si>
    <t>甸中镇</t>
  </si>
  <si>
    <t>Fènghuáng Jiēdào</t>
  </si>
  <si>
    <t>凤凰街道</t>
  </si>
  <si>
    <t>Fènglù Jiēdào</t>
  </si>
  <si>
    <t>凤麓街道</t>
  </si>
  <si>
    <t>Chéngjiāng Shì</t>
  </si>
  <si>
    <t>Fùliángpéng Xiāng</t>
  </si>
  <si>
    <t>富良棚乡</t>
  </si>
  <si>
    <t>Gānzhuāng Jiēdào [Qīnglóngchăng Zhèn]</t>
  </si>
  <si>
    <t>甘庄街道</t>
  </si>
  <si>
    <t>Yuánjiāng Hānízú Yízú Dăizú Zìzhìxiàn</t>
  </si>
  <si>
    <t>Gāocāng Jiēdào</t>
  </si>
  <si>
    <t>高仓街道</t>
  </si>
  <si>
    <t>Gāodà Yízú Xiāng</t>
  </si>
  <si>
    <t>高大傣族彝族乡</t>
  </si>
  <si>
    <t>Tōnghăi Xiàn</t>
  </si>
  <si>
    <t>Guìshān Jiēdào [incl. Gǔchéng Jiēdào]</t>
  </si>
  <si>
    <t>桂山街道</t>
  </si>
  <si>
    <t>Xīnpíng Yízú Dăizú Zìzhìxiàn</t>
  </si>
  <si>
    <t>Hăikŏu Zhèn</t>
  </si>
  <si>
    <t>海口镇</t>
  </si>
  <si>
    <t>Héxī Zhèn</t>
  </si>
  <si>
    <t>河西镇</t>
  </si>
  <si>
    <t>Huàniàn Zhèn</t>
  </si>
  <si>
    <t>化念镇</t>
  </si>
  <si>
    <t>Huáxī Zhèn</t>
  </si>
  <si>
    <t>华溪镇</t>
  </si>
  <si>
    <t>Huáníng Xiàn</t>
  </si>
  <si>
    <t>Jiāngchéng Zhèn</t>
  </si>
  <si>
    <t>江城镇</t>
  </si>
  <si>
    <t>Jiànxīng Xiāng</t>
  </si>
  <si>
    <t>建兴乡</t>
  </si>
  <si>
    <t>Jiásă Zhèn</t>
  </si>
  <si>
    <t>戛洒镇</t>
  </si>
  <si>
    <t>Jiŭcūn Zhèn</t>
  </si>
  <si>
    <t>九村镇</t>
  </si>
  <si>
    <t>Jiŭxī Zhèn</t>
  </si>
  <si>
    <t>九溪镇</t>
  </si>
  <si>
    <t>Lĭjiāng Zhèn [incl. Lĭjiāng Jiēdào, Hónghé Jiēdào]</t>
  </si>
  <si>
    <t>澧江镇</t>
  </si>
  <si>
    <t>Lĭqí Jiēdào</t>
  </si>
  <si>
    <t>李棋街道</t>
  </si>
  <si>
    <t>Lĭshān Yízú Xiāng</t>
  </si>
  <si>
    <t>里山彝族乡</t>
  </si>
  <si>
    <t>Liùjiē Jiēdào</t>
  </si>
  <si>
    <t>六街街道</t>
  </si>
  <si>
    <t>Yìmén Xiàn</t>
  </si>
  <si>
    <t>Lóngjiē Jiēdào</t>
  </si>
  <si>
    <t>龙街街道</t>
  </si>
  <si>
    <t>Lùjū Zhèn</t>
  </si>
  <si>
    <t>路居镇</t>
  </si>
  <si>
    <t>Luòhé Yízú Xiāng</t>
  </si>
  <si>
    <t>洛河彝族乡</t>
  </si>
  <si>
    <t>Lǜzhī Zhèn</t>
  </si>
  <si>
    <t>绿汁镇</t>
  </si>
  <si>
    <t>Mànlái Zhèn [incl. Dōng'é Zhèn, Yángchàjiē Xiāng]</t>
  </si>
  <si>
    <t>曼来镇</t>
  </si>
  <si>
    <t>Mīlī Xiāng</t>
  </si>
  <si>
    <t>咪哩乡</t>
  </si>
  <si>
    <t>Mòshā Zhèn</t>
  </si>
  <si>
    <t>漠沙镇</t>
  </si>
  <si>
    <t>Nàgŭ Zhèn</t>
  </si>
  <si>
    <t>纳古镇</t>
  </si>
  <si>
    <t>Nànuò Xiāng</t>
  </si>
  <si>
    <t>那诺乡</t>
  </si>
  <si>
    <t>Níngzhōu Jiēdào</t>
  </si>
  <si>
    <t>宁州街道</t>
  </si>
  <si>
    <t>Pánxī Zhèn</t>
  </si>
  <si>
    <t>盘溪镇</t>
  </si>
  <si>
    <t>Píngdiàn Xiāng</t>
  </si>
  <si>
    <t>平甸乡</t>
  </si>
  <si>
    <t>Píngzhăng Xiāng</t>
  </si>
  <si>
    <t>平掌乡</t>
  </si>
  <si>
    <t>Pŭbèi Yízú Xiāng</t>
  </si>
  <si>
    <t>浦贝彝族乡</t>
  </si>
  <si>
    <t>Qiánwèi Zhèn</t>
  </si>
  <si>
    <t>前卫镇</t>
  </si>
  <si>
    <t>Shíjiē Yízú Xiāng</t>
  </si>
  <si>
    <t>十街彝族乡</t>
  </si>
  <si>
    <t>Shuāngjiāng Jiēdào</t>
  </si>
  <si>
    <t>双江街道</t>
  </si>
  <si>
    <t>Shuĭtáng Zhèn</t>
  </si>
  <si>
    <t>水塘镇</t>
  </si>
  <si>
    <t>Sìjiē Zhèn</t>
  </si>
  <si>
    <t>四街镇</t>
  </si>
  <si>
    <t>Tădiàn Zhèn</t>
  </si>
  <si>
    <t>塔甸镇</t>
  </si>
  <si>
    <t>Tóngchăng Yízú Xiāng</t>
  </si>
  <si>
    <t>铜厂彝族乡</t>
  </si>
  <si>
    <t>Tōnghóngdiàn Yízú Miáozú Xiāng</t>
  </si>
  <si>
    <t>通红甸彝族苗族乡</t>
  </si>
  <si>
    <t>Wādié Xiāng</t>
  </si>
  <si>
    <t>洼垤乡</t>
  </si>
  <si>
    <t>Xiăojiē Jiēdào</t>
  </si>
  <si>
    <t>小街街道</t>
  </si>
  <si>
    <t>小街乡</t>
  </si>
  <si>
    <t>Xiăoshíqiáo Yízú Xiāng</t>
  </si>
  <si>
    <t>小石桥彝族乡</t>
  </si>
  <si>
    <t>Xīngmĕng Ménggǔzú Xiāng</t>
  </si>
  <si>
    <t>兴蒙蒙古族乡</t>
  </si>
  <si>
    <t>Xīnhuà Xiāng</t>
  </si>
  <si>
    <t>新化乡</t>
  </si>
  <si>
    <t>Xióngguān Xiāng</t>
  </si>
  <si>
    <t>雄关乡</t>
  </si>
  <si>
    <t>Xiùshān Jiēdào</t>
  </si>
  <si>
    <t>秀山街道</t>
  </si>
  <si>
    <t>Yángguăng Zhèn</t>
  </si>
  <si>
    <t>杨广镇</t>
  </si>
  <si>
    <t>Yángwŭ Zhèn</t>
  </si>
  <si>
    <t>扬武镇</t>
  </si>
  <si>
    <t>Yángzōng Zhèn</t>
  </si>
  <si>
    <t>阳宗镇</t>
  </si>
  <si>
    <t>Yánhé Jiēdào</t>
  </si>
  <si>
    <t>研和街道</t>
  </si>
  <si>
    <t>Yāojiē Zhèn [→ Jiásă Zhèn, Mòshā Zhèn]</t>
  </si>
  <si>
    <t>腰街镇</t>
  </si>
  <si>
    <t>Yīnyuăn Zhèn</t>
  </si>
  <si>
    <t>因远镇</t>
  </si>
  <si>
    <t>Yùdài Jiēdào</t>
  </si>
  <si>
    <t>玉带街道</t>
  </si>
  <si>
    <t>Yùxīng Jiēdào</t>
  </si>
  <si>
    <t>玉兴街道</t>
  </si>
  <si>
    <t>Zhĕlóng Xiāng</t>
  </si>
  <si>
    <t>者竜乡</t>
  </si>
  <si>
    <t>Báihètān Zhèn</t>
  </si>
  <si>
    <t>白鹤滩镇</t>
  </si>
  <si>
    <t>Qiăojiā Xiàn</t>
  </si>
  <si>
    <t>Bănlì Zhèn</t>
  </si>
  <si>
    <t>板栗镇</t>
  </si>
  <si>
    <t>Suíjiāng Xiàn</t>
  </si>
  <si>
    <t>Bāogŭnăo Xiāng</t>
  </si>
  <si>
    <t>包谷垴乡</t>
  </si>
  <si>
    <t>Bĕizhá Zhèn</t>
  </si>
  <si>
    <t>北闸镇</t>
  </si>
  <si>
    <t>Zhāoyáng Qū</t>
  </si>
  <si>
    <t>Bùgā Huízú Xiāng</t>
  </si>
  <si>
    <t>布嘎回族乡</t>
  </si>
  <si>
    <t>Cháng'ān Zhèn</t>
  </si>
  <si>
    <t>长安镇</t>
  </si>
  <si>
    <t>Wēixìn Xiàn</t>
  </si>
  <si>
    <t>Chăngbà Zhèn</t>
  </si>
  <si>
    <t>场坝镇</t>
  </si>
  <si>
    <t>Zhènxióng Xiàn</t>
  </si>
  <si>
    <t>Chìshuĭyuán Zhèn</t>
  </si>
  <si>
    <t>赤水源镇</t>
  </si>
  <si>
    <t>Chóngxī Zhèn</t>
  </si>
  <si>
    <t>崇溪镇</t>
  </si>
  <si>
    <t>Cíyuàn Huízú Xiāng</t>
  </si>
  <si>
    <t>茨院回族乡</t>
  </si>
  <si>
    <t>Lŭdiàn Xiàn</t>
  </si>
  <si>
    <t>Dàguān Xiàn</t>
  </si>
  <si>
    <t>Dàshānbāo Zhèn</t>
  </si>
  <si>
    <t>大山包镇</t>
  </si>
  <si>
    <t>Dàwān Zhèn</t>
  </si>
  <si>
    <t>大湾镇</t>
  </si>
  <si>
    <t>Yŏngshàn Xiàn</t>
  </si>
  <si>
    <t>Dàzhàizi Xiāng</t>
  </si>
  <si>
    <t>大寨子乡</t>
  </si>
  <si>
    <t>Dōngpíng Zhèn</t>
  </si>
  <si>
    <t>东坪镇</t>
  </si>
  <si>
    <t>Dòushā Zhèn</t>
  </si>
  <si>
    <t>豆沙镇</t>
  </si>
  <si>
    <t>Yánjīn Xiàn</t>
  </si>
  <si>
    <t>Gāotián Xiāng</t>
  </si>
  <si>
    <t>高田乡</t>
  </si>
  <si>
    <t>Guìxī Zhèn</t>
  </si>
  <si>
    <t>桧溪镇</t>
  </si>
  <si>
    <t>Guŏzhū Yízú Xiāng</t>
  </si>
  <si>
    <t>果珠彝族乡</t>
  </si>
  <si>
    <t>Hăizi Zhèn</t>
  </si>
  <si>
    <t>海子镇</t>
  </si>
  <si>
    <t>Hēishù Zhèn</t>
  </si>
  <si>
    <t>黑树镇</t>
  </si>
  <si>
    <t>Hóngshān Xiāng</t>
  </si>
  <si>
    <t>红山乡</t>
  </si>
  <si>
    <t>Huālăng Xiāng</t>
  </si>
  <si>
    <t>花朗乡</t>
  </si>
  <si>
    <t>Huánghuá Zhèn</t>
  </si>
  <si>
    <t>黄华镇</t>
  </si>
  <si>
    <t>Huāshān Xiāng</t>
  </si>
  <si>
    <t>花山乡</t>
  </si>
  <si>
    <t>Huìyí Zhèn</t>
  </si>
  <si>
    <t>会仪镇</t>
  </si>
  <si>
    <t>Huŏdéhóng Zhèn</t>
  </si>
  <si>
    <t>火德红镇</t>
  </si>
  <si>
    <t>Jiāngdĭ Zhèn</t>
  </si>
  <si>
    <t>江底镇</t>
  </si>
  <si>
    <t>Jiānshān Xiāng</t>
  </si>
  <si>
    <t>尖山乡</t>
  </si>
  <si>
    <t>Jiăokuí Zhèn</t>
  </si>
  <si>
    <t>角奎镇</t>
  </si>
  <si>
    <t>Jílì Zhèn</t>
  </si>
  <si>
    <t>吉利镇</t>
  </si>
  <si>
    <t>Jìng'ān Zhèn</t>
  </si>
  <si>
    <t>靖安镇</t>
  </si>
  <si>
    <t>Jīntáng Zhèn</t>
  </si>
  <si>
    <t>金塘镇</t>
  </si>
  <si>
    <t>Jiùpŭ Zhèn</t>
  </si>
  <si>
    <t>旧圃镇</t>
  </si>
  <si>
    <t>Kuíxiāng Miáozú Yízú Xiāng</t>
  </si>
  <si>
    <t>奎香苗族彝族乡</t>
  </si>
  <si>
    <t>Lăodiàn Zhèn</t>
  </si>
  <si>
    <t>老店镇</t>
  </si>
  <si>
    <t>Lèhóng Zhèn</t>
  </si>
  <si>
    <t>乐红镇</t>
  </si>
  <si>
    <t>Lèjū Zhèn</t>
  </si>
  <si>
    <t>乐居镇</t>
  </si>
  <si>
    <t>Liánfēng Zhèn</t>
  </si>
  <si>
    <t>莲峰镇</t>
  </si>
  <si>
    <t>Liănghé Zhèn</t>
  </si>
  <si>
    <t>两河镇</t>
  </si>
  <si>
    <t>Liăngwăn Zhèn</t>
  </si>
  <si>
    <t>两碗镇</t>
  </si>
  <si>
    <t>Shuĭfù Shì</t>
  </si>
  <si>
    <t>Línfèng Zhèn</t>
  </si>
  <si>
    <t>麟凤镇</t>
  </si>
  <si>
    <t>Línkŏu Yízú Miáozú Xiāng</t>
  </si>
  <si>
    <t>林口彝族苗族乡</t>
  </si>
  <si>
    <t>Liŭxī Miáozú Xiāng</t>
  </si>
  <si>
    <t>柳溪苗族乡</t>
  </si>
  <si>
    <t>Lóng'ān Zhèn</t>
  </si>
  <si>
    <t>龙安镇</t>
  </si>
  <si>
    <t>Lónghăi Zhèn</t>
  </si>
  <si>
    <t>龙海镇</t>
  </si>
  <si>
    <t>Lóngjiē Miáozú Yízú Xiāng</t>
  </si>
  <si>
    <t>龙街苗族彝族乡</t>
  </si>
  <si>
    <t>Lóngshù Zhèn</t>
  </si>
  <si>
    <t>龙树镇</t>
  </si>
  <si>
    <t>Lóngtóushān Zhèn</t>
  </si>
  <si>
    <t>龙头山镇</t>
  </si>
  <si>
    <t>Lúfáng Xiāng</t>
  </si>
  <si>
    <t>炉房乡</t>
  </si>
  <si>
    <t>Luóbù Zhèn</t>
  </si>
  <si>
    <t>罗布镇</t>
  </si>
  <si>
    <t>Luókăn Zhèn</t>
  </si>
  <si>
    <t>罗坎镇</t>
  </si>
  <si>
    <t>Luòwàng Miáozú Xiāng</t>
  </si>
  <si>
    <t>洛旺苗族乡</t>
  </si>
  <si>
    <t>Luòyàn Xiāng</t>
  </si>
  <si>
    <t>落雁乡</t>
  </si>
  <si>
    <t>Luòzéhé Zhèn</t>
  </si>
  <si>
    <t>洛泽河镇</t>
  </si>
  <si>
    <t>Măkŏu Zhèn</t>
  </si>
  <si>
    <t>码口镇</t>
  </si>
  <si>
    <t>Mănán Miáozú Yízú Xiāng</t>
  </si>
  <si>
    <t>马楠苗族彝族乡</t>
  </si>
  <si>
    <t>Mángbù Zhèn</t>
  </si>
  <si>
    <t>芒部镇</t>
  </si>
  <si>
    <t>Màolín Zhèn</t>
  </si>
  <si>
    <t>茂林镇</t>
  </si>
  <si>
    <t>Màozū Zhèn</t>
  </si>
  <si>
    <t>茂租镇</t>
  </si>
  <si>
    <t>Măshù Zhèn</t>
  </si>
  <si>
    <t>马树镇</t>
  </si>
  <si>
    <t>Mĕnggū Zhèn</t>
  </si>
  <si>
    <t>蒙姑镇</t>
  </si>
  <si>
    <t>Miàobà Zhèn</t>
  </si>
  <si>
    <t>庙坝镇</t>
  </si>
  <si>
    <t>Miàogōu Zhèn</t>
  </si>
  <si>
    <t>庙沟镇</t>
  </si>
  <si>
    <t>Mòhàn Xiāng</t>
  </si>
  <si>
    <t>墨翰乡</t>
  </si>
  <si>
    <t>Mùgān Zhèn</t>
  </si>
  <si>
    <t>木杆镇</t>
  </si>
  <si>
    <t>Mŭxiăng Zhèn</t>
  </si>
  <si>
    <t>母享镇</t>
  </si>
  <si>
    <t>Mùzhuó Zhèn</t>
  </si>
  <si>
    <t>木卓镇</t>
  </si>
  <si>
    <t>Nán'àn Zhèn</t>
  </si>
  <si>
    <t>南岸镇</t>
  </si>
  <si>
    <t>Niúchăng Zhèn</t>
  </si>
  <si>
    <t>牛场镇</t>
  </si>
  <si>
    <t>Niúzhài Xiāng</t>
  </si>
  <si>
    <t>牛寨乡</t>
  </si>
  <si>
    <t>Pánhé Zhèn</t>
  </si>
  <si>
    <t>盘河镇</t>
  </si>
  <si>
    <t>Píngshàng Zhèn</t>
  </si>
  <si>
    <t>坪上镇</t>
  </si>
  <si>
    <t>Pōjī Zhèn</t>
  </si>
  <si>
    <t>泼机镇</t>
  </si>
  <si>
    <t>Pōtóu Zhèn</t>
  </si>
  <si>
    <t>坡头镇</t>
  </si>
  <si>
    <t>Pŭ'ĕr Zhèn</t>
  </si>
  <si>
    <t>普洱镇</t>
  </si>
  <si>
    <t>Qiáoshān Zhèn</t>
  </si>
  <si>
    <t>荞山镇</t>
  </si>
  <si>
    <t>Qīnggănglĭng Huízú Yízú Xiāng</t>
  </si>
  <si>
    <t>青岗岭回族彝族乡</t>
  </si>
  <si>
    <t>Qīngshèng Xiāng</t>
  </si>
  <si>
    <t>青胜乡</t>
  </si>
  <si>
    <t>Sāntáo Xiāng</t>
  </si>
  <si>
    <t>三桃乡</t>
  </si>
  <si>
    <t>Săyú Zhèn</t>
  </si>
  <si>
    <t>洒渔镇</t>
  </si>
  <si>
    <t>Shànggāoqiáo Huízú Yízú Miáozú Xiāng</t>
  </si>
  <si>
    <t>上高桥回族彝族苗族乡</t>
  </si>
  <si>
    <t>Shānshù Xiāng</t>
  </si>
  <si>
    <t>杉树乡</t>
  </si>
  <si>
    <t>Shìzi Zhèn</t>
  </si>
  <si>
    <t>柿子镇</t>
  </si>
  <si>
    <t>Shòushān Zhèn</t>
  </si>
  <si>
    <t>寿山镇</t>
  </si>
  <si>
    <t>Shŏuwàng Huízú Xiāng</t>
  </si>
  <si>
    <t>守望回族乡</t>
  </si>
  <si>
    <t>Shuānghé Miáozú Yízú Xiāng</t>
  </si>
  <si>
    <t>双河苗族彝族乡</t>
  </si>
  <si>
    <t>Shuĭmó Zhèn</t>
  </si>
  <si>
    <t>水磨镇</t>
  </si>
  <si>
    <t>Shuĭtián Zhèn</t>
  </si>
  <si>
    <t>水田镇</t>
  </si>
  <si>
    <t>Shuĭzhú Xiāng</t>
  </si>
  <si>
    <t>水竹乡</t>
  </si>
  <si>
    <t>Shùlín Yízú Miáozú Xiāng</t>
  </si>
  <si>
    <t>树林彝族苗族乡</t>
  </si>
  <si>
    <t>Sūjiă Xiāng</t>
  </si>
  <si>
    <t>苏甲乡</t>
  </si>
  <si>
    <t>Sūjiāyuàn Zhèn</t>
  </si>
  <si>
    <t>苏家院镇</t>
  </si>
  <si>
    <t>Suōshān Zhèn</t>
  </si>
  <si>
    <t>梭山镇</t>
  </si>
  <si>
    <t>Tàipíng Jiēdào</t>
  </si>
  <si>
    <t>太平街道</t>
  </si>
  <si>
    <t>Tángfáng Zhèn</t>
  </si>
  <si>
    <t>塘房镇</t>
  </si>
  <si>
    <t>Tāntóu Xiāng</t>
  </si>
  <si>
    <t>滩头乡</t>
  </si>
  <si>
    <t>Táoyuán Huízú Xiāng</t>
  </si>
  <si>
    <t>桃源回族乡</t>
  </si>
  <si>
    <t>Tiānxīng Zhèn</t>
  </si>
  <si>
    <t>天星镇</t>
  </si>
  <si>
    <t>Tuánjié Xiāng</t>
  </si>
  <si>
    <t>团结乡</t>
  </si>
  <si>
    <t>Wănchăng Zhèn</t>
  </si>
  <si>
    <t>碗厂镇</t>
  </si>
  <si>
    <t>Wénpíng Zhèn</t>
  </si>
  <si>
    <t>文屏镇</t>
  </si>
  <si>
    <t>Wŭdé Zhèn</t>
  </si>
  <si>
    <t>五德镇</t>
  </si>
  <si>
    <t>Wūfēng Zhèn [incl. Wūfēng Jiēdào, Nántái Jiēdào, Jiùfǔ Jiēdào]</t>
  </si>
  <si>
    <t>乌峰镇</t>
  </si>
  <si>
    <t>Wùjī Zhèn</t>
  </si>
  <si>
    <t>务基镇</t>
  </si>
  <si>
    <t>Wŭzhài Yízú Miáozú Xiāng</t>
  </si>
  <si>
    <t>伍寨彝族苗族乡</t>
  </si>
  <si>
    <t>Xiàngjiābà Zhèn [incl. Yúnfù Jiēdào]</t>
  </si>
  <si>
    <t>向家坝镇</t>
  </si>
  <si>
    <t>Xiăocăobà Zhèn</t>
  </si>
  <si>
    <t>小草坝镇</t>
  </si>
  <si>
    <t>Xiăohé Zhèn</t>
  </si>
  <si>
    <t>小河镇</t>
  </si>
  <si>
    <t>Xiăolóngdòng Huízú Yízú Xiāng</t>
  </si>
  <si>
    <t>小龙洞回族彝族乡</t>
  </si>
  <si>
    <t>Xiăozhài Zhèn</t>
  </si>
  <si>
    <t>小寨镇</t>
  </si>
  <si>
    <t>Xīluòdù Zhèn</t>
  </si>
  <si>
    <t>溪洛渡镇</t>
  </si>
  <si>
    <t>Xīndiàn Zhèn</t>
  </si>
  <si>
    <t>新店镇</t>
  </si>
  <si>
    <t>Xīnglóng Xiāng</t>
  </si>
  <si>
    <t>兴隆乡</t>
  </si>
  <si>
    <t>Xīntān Zhèn</t>
  </si>
  <si>
    <t>新滩镇</t>
  </si>
  <si>
    <t>Xìshā Xiāng</t>
  </si>
  <si>
    <t>细沙乡</t>
  </si>
  <si>
    <t>Yánjĭng Zhèn</t>
  </si>
  <si>
    <t>盐井镇</t>
  </si>
  <si>
    <t>Yánshān Zhèn</t>
  </si>
  <si>
    <t>炎山镇</t>
  </si>
  <si>
    <t>Yányuán Zhèn</t>
  </si>
  <si>
    <t>盐源镇</t>
  </si>
  <si>
    <t>Yàoshān Zhèn</t>
  </si>
  <si>
    <t>药山镇</t>
  </si>
  <si>
    <t>Yĭgŭ Zhèn</t>
  </si>
  <si>
    <t>以古镇</t>
  </si>
  <si>
    <t>Yĭlè Zhèn</t>
  </si>
  <si>
    <t>以勒镇</t>
  </si>
  <si>
    <t>Yŏngfēng Zhèn</t>
  </si>
  <si>
    <t>永丰镇</t>
  </si>
  <si>
    <t>Yúdòng Xiāng</t>
  </si>
  <si>
    <t>鱼洞乡</t>
  </si>
  <si>
    <t>Yuèlè Zhèn</t>
  </si>
  <si>
    <t>悦乐镇</t>
  </si>
  <si>
    <t>Yŭhé Zhèn</t>
  </si>
  <si>
    <t>雨河镇</t>
  </si>
  <si>
    <t>Yùwăn Zhèn</t>
  </si>
  <si>
    <t>玉碗镇</t>
  </si>
  <si>
    <t>Zhāxī Zhèn</t>
  </si>
  <si>
    <t>扎西镇</t>
  </si>
  <si>
    <t>Zhōngchéng Zhèn</t>
  </si>
  <si>
    <t>中城镇</t>
  </si>
  <si>
    <t>Zhōngmíng Zhèn</t>
  </si>
  <si>
    <t>钟鸣镇</t>
  </si>
  <si>
    <t>Zhōngtún Zhèn</t>
  </si>
  <si>
    <t>中屯镇</t>
  </si>
  <si>
    <t>Zhōngzhài Xiāng</t>
  </si>
  <si>
    <t>中寨乡</t>
  </si>
  <si>
    <t>Băoshān Shì</t>
  </si>
  <si>
    <t>Prefecture-level City</t>
  </si>
  <si>
    <t>保山市</t>
  </si>
  <si>
    <t>County</t>
  </si>
  <si>
    <t>昌宁县</t>
  </si>
  <si>
    <t>龙陵县</t>
  </si>
  <si>
    <t>District</t>
  </si>
  <si>
    <t>隆阳区</t>
  </si>
  <si>
    <t>施甸县</t>
  </si>
  <si>
    <t>County-level City</t>
  </si>
  <si>
    <t>腾冲市</t>
  </si>
  <si>
    <t>Chŭxióng Yízú Zìzhìzhōu</t>
  </si>
  <si>
    <t>Yi Autonomous Prefecture</t>
  </si>
  <si>
    <t>楚雄彝族自治州</t>
  </si>
  <si>
    <t>楚雄市</t>
  </si>
  <si>
    <t>大姚县</t>
  </si>
  <si>
    <t>禄丰县</t>
  </si>
  <si>
    <t>牟定县</t>
  </si>
  <si>
    <t>南华县</t>
  </si>
  <si>
    <t>双柏县</t>
  </si>
  <si>
    <t>武定县</t>
  </si>
  <si>
    <t>姚安县</t>
  </si>
  <si>
    <t>永仁县</t>
  </si>
  <si>
    <t>元谋县</t>
  </si>
  <si>
    <t>Dàlĭ Báizú Zìzhìzhōu</t>
  </si>
  <si>
    <t>Bai Autonomous Prefecture</t>
  </si>
  <si>
    <t>大理白族自治州</t>
  </si>
  <si>
    <t>宾川县</t>
  </si>
  <si>
    <t>大理市</t>
  </si>
  <si>
    <t>洱源县</t>
  </si>
  <si>
    <t>鹤庆县</t>
  </si>
  <si>
    <t>剑川县</t>
  </si>
  <si>
    <t>弥渡县</t>
  </si>
  <si>
    <t>Autonomous County</t>
  </si>
  <si>
    <t>南涧彝族自治县</t>
  </si>
  <si>
    <t>巍山彝族回族自治县</t>
  </si>
  <si>
    <t>祥云县</t>
  </si>
  <si>
    <t>漾濞彝族自治县</t>
  </si>
  <si>
    <t>永平县</t>
  </si>
  <si>
    <t>云龙县</t>
  </si>
  <si>
    <t>Déhóng Dăizú Jĭngpōzú Zìzhìzhōu</t>
  </si>
  <si>
    <t>Dai and Jingpo Autonomous Prefecture</t>
  </si>
  <si>
    <t>德宏傣族景颇族自治州</t>
  </si>
  <si>
    <t>梁河县</t>
  </si>
  <si>
    <t>陇川县</t>
  </si>
  <si>
    <t>芒市</t>
  </si>
  <si>
    <t>瑞丽市</t>
  </si>
  <si>
    <t>盈江县</t>
  </si>
  <si>
    <t>Tibetan Autonomous Prefecture</t>
  </si>
  <si>
    <t>迪庆藏族自治州</t>
  </si>
  <si>
    <t>德钦县</t>
  </si>
  <si>
    <t>维西傈僳族自治县</t>
  </si>
  <si>
    <t>香格里拉市</t>
  </si>
  <si>
    <t>Hónghé Hānízú Yízú Zìzhìzhōu</t>
  </si>
  <si>
    <t>Hani and Yi Autonomous Prefecture</t>
  </si>
  <si>
    <t>红河哈尼族彝族自治州</t>
  </si>
  <si>
    <t>个旧市</t>
  </si>
  <si>
    <t>河口瑶族自治县</t>
  </si>
  <si>
    <t>红河县</t>
  </si>
  <si>
    <t>建水县</t>
  </si>
  <si>
    <t>金平苗族瑶族傣族自治县</t>
  </si>
  <si>
    <t>开远市</t>
  </si>
  <si>
    <t>绿春县</t>
  </si>
  <si>
    <t>泸西县</t>
  </si>
  <si>
    <t>蒙自市</t>
  </si>
  <si>
    <t>弥勒市</t>
  </si>
  <si>
    <t>屏边苗族自治县</t>
  </si>
  <si>
    <t>石屏县</t>
  </si>
  <si>
    <t>元阳县</t>
  </si>
  <si>
    <t>Kūnmíng Shì</t>
  </si>
  <si>
    <t>昆明市</t>
  </si>
  <si>
    <t>安宁市</t>
  </si>
  <si>
    <t>呈贡区</t>
  </si>
  <si>
    <t>东川区</t>
  </si>
  <si>
    <t>富民县</t>
  </si>
  <si>
    <t>官渡区</t>
  </si>
  <si>
    <t>晋宁区</t>
  </si>
  <si>
    <t>禄劝彝族苗族自治县</t>
  </si>
  <si>
    <t>盘龙区</t>
  </si>
  <si>
    <t>石林彝族自治县</t>
  </si>
  <si>
    <t>嵩明县</t>
  </si>
  <si>
    <t>五华区</t>
  </si>
  <si>
    <t>西山区</t>
  </si>
  <si>
    <t>寻甸回族彝族自治县</t>
  </si>
  <si>
    <t>宜良县</t>
  </si>
  <si>
    <t>Lìjiāng Shì</t>
  </si>
  <si>
    <t>丽江市</t>
  </si>
  <si>
    <t>古城区</t>
  </si>
  <si>
    <t>...</t>
  </si>
  <si>
    <t>华坪县</t>
  </si>
  <si>
    <t>宁蒗彝族自治县</t>
  </si>
  <si>
    <t>永胜县</t>
  </si>
  <si>
    <t>玉龙纳西族自治县</t>
  </si>
  <si>
    <t>Líncāng Shì</t>
  </si>
  <si>
    <t>临沧市</t>
  </si>
  <si>
    <t>沧源佤族自治县</t>
  </si>
  <si>
    <t>凤庆县</t>
  </si>
  <si>
    <t>耿马傣族佤族自治县</t>
  </si>
  <si>
    <t>临翔区</t>
  </si>
  <si>
    <t>双江拉祜族佤族布朗族傣族自治县</t>
  </si>
  <si>
    <t>永德县</t>
  </si>
  <si>
    <t>云县</t>
  </si>
  <si>
    <t>镇康县</t>
  </si>
  <si>
    <t>Nùjiāng Lìsùzú Zìzhìzhōu</t>
  </si>
  <si>
    <t>Lisu Autonomous Prefecture</t>
  </si>
  <si>
    <t>怒江傈僳族自治州</t>
  </si>
  <si>
    <t>福贡县</t>
  </si>
  <si>
    <t>贡山独龙族怒族自治县</t>
  </si>
  <si>
    <t>兰坪白族普米族自治县</t>
  </si>
  <si>
    <t>泸水市</t>
  </si>
  <si>
    <t>Pŭ'ĕr Shì</t>
  </si>
  <si>
    <t>普洱市</t>
  </si>
  <si>
    <t>江城哈尼族彝族自治县</t>
  </si>
  <si>
    <t>景东彝族自治县</t>
  </si>
  <si>
    <t>景谷傣族彝族自治县</t>
  </si>
  <si>
    <t>澜沧拉祜族自治县</t>
  </si>
  <si>
    <t>孟连傣族拉祜族佤族自治县</t>
  </si>
  <si>
    <t>墨江哈尼族自治县</t>
  </si>
  <si>
    <t>宁洱哈尼族彝族自治县</t>
  </si>
  <si>
    <t>思茅区</t>
  </si>
  <si>
    <t>西盟佤族自治县</t>
  </si>
  <si>
    <t>镇沅彝族哈尼族拉祜族自治县</t>
  </si>
  <si>
    <t>Qŭjìng Shì</t>
  </si>
  <si>
    <t>曲靖市</t>
  </si>
  <si>
    <t>富源县</t>
  </si>
  <si>
    <t>会泽县</t>
  </si>
  <si>
    <t>陆良县</t>
  </si>
  <si>
    <t>罗平县</t>
  </si>
  <si>
    <t>马龙区</t>
  </si>
  <si>
    <t>麒麟区</t>
  </si>
  <si>
    <t>师宗县</t>
  </si>
  <si>
    <t>宣威市</t>
  </si>
  <si>
    <t>沾益区</t>
  </si>
  <si>
    <t>Wénshān Zhuàngzú Miáozú Zìzhìzhōu</t>
  </si>
  <si>
    <t>Zhuang and Miao Autonomous Prefecture</t>
  </si>
  <si>
    <t>文山壮族苗族自治州</t>
  </si>
  <si>
    <t>富宁县</t>
  </si>
  <si>
    <t>广南县</t>
  </si>
  <si>
    <t>马关县</t>
  </si>
  <si>
    <t>麻栗坡县</t>
  </si>
  <si>
    <t>丘北县</t>
  </si>
  <si>
    <t>文山市</t>
  </si>
  <si>
    <t>西畴县</t>
  </si>
  <si>
    <t>砚山县</t>
  </si>
  <si>
    <t>Xīshuāngbănnà Dăizú Zìzhìzhōu</t>
  </si>
  <si>
    <t>Dai Autonomous Prefecture</t>
  </si>
  <si>
    <t>西双版纳傣族自治州</t>
  </si>
  <si>
    <t>景洪市</t>
  </si>
  <si>
    <t>勐海县</t>
  </si>
  <si>
    <t>勐腊县</t>
  </si>
  <si>
    <t>Yùxī Shì</t>
  </si>
  <si>
    <t>玉溪市</t>
  </si>
  <si>
    <t>澄江市</t>
  </si>
  <si>
    <t>峨山彝族自治县</t>
  </si>
  <si>
    <t>红塔区</t>
  </si>
  <si>
    <t>华宁县</t>
  </si>
  <si>
    <t>江川区</t>
  </si>
  <si>
    <t>通海县</t>
  </si>
  <si>
    <t>新平彝族傣族自治县</t>
  </si>
  <si>
    <t>易门县</t>
  </si>
  <si>
    <t>元江哈尼族彝族傣族自治县</t>
  </si>
  <si>
    <t>Zhāotōng Shì</t>
  </si>
  <si>
    <t>昭通市</t>
  </si>
  <si>
    <t>大关县</t>
  </si>
  <si>
    <t>鲁甸县</t>
  </si>
  <si>
    <t>巧家县</t>
  </si>
  <si>
    <t>水富市</t>
  </si>
  <si>
    <t>绥江县</t>
  </si>
  <si>
    <t>威信县</t>
  </si>
  <si>
    <t>盐津县</t>
  </si>
  <si>
    <t>彝良县</t>
  </si>
  <si>
    <t>永善县</t>
  </si>
  <si>
    <t>昭阳区</t>
  </si>
  <si>
    <t>镇雄县</t>
  </si>
  <si>
    <t>Yúnnán</t>
  </si>
  <si>
    <t>Province</t>
  </si>
  <si>
    <t>云南省</t>
  </si>
  <si>
    <t>Population2</t>
  </si>
  <si>
    <t>Population3</t>
  </si>
  <si>
    <t>Díqìng Zàngzú Zìzhìzhōu</t>
  </si>
  <si>
    <t>Column1</t>
  </si>
  <si>
    <t>Population4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</si>
  <si>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</si>
  <si>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</si>
  <si>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</si>
  <si>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</si>
  <si>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</si>
  <si>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</si>
  <si>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</si>
  <si>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</si>
  <si>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</si>
  <si>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{"name":"</t>
  </si>
  <si>
    <t>,"longitude":</t>
  </si>
  <si>
    <t>,"population":</t>
  </si>
  <si>
    <t xml:space="preserve">,"stateCapital":false,"nationalCapital":false,"pk":null,"quiz":"asia","code":null,"archived":false,"percentageOfSessions":null}, </t>
  </si>
  <si>
    <t>","state":"Yúnnán","territory":"","country":"China","latitude":</t>
  </si>
  <si>
    <t>西平镇</t>
  </si>
  <si>
    <t>东风傈僳族镇</t>
  </si>
  <si>
    <t>Dàtiánbà</t>
  </si>
  <si>
    <t>Diāntān</t>
  </si>
  <si>
    <t>Diànyáng</t>
  </si>
  <si>
    <t>Gùdōng</t>
  </si>
  <si>
    <t>Hànzhuāng</t>
  </si>
  <si>
    <t>Héhuā</t>
  </si>
  <si>
    <t>Héshùn</t>
  </si>
  <si>
    <t>Hóuqiáo</t>
  </si>
  <si>
    <t>Jiètóu</t>
  </si>
  <si>
    <t>Jīfēi</t>
  </si>
  <si>
    <t>Kăsī</t>
  </si>
  <si>
    <t>Kējiē</t>
  </si>
  <si>
    <t>Làmĕng</t>
  </si>
  <si>
    <t>Lóngshān</t>
  </si>
  <si>
    <t>Lùjiāng</t>
  </si>
  <si>
    <t>Mángbàng</t>
  </si>
  <si>
    <t>Măngshuĭ</t>
  </si>
  <si>
    <t>Mĕngnuò</t>
  </si>
  <si>
    <t>Mĕngtŏng</t>
  </si>
  <si>
    <t>Míngguāng</t>
  </si>
  <si>
    <t>Púpiāo</t>
  </si>
  <si>
    <t>Qŭshí</t>
  </si>
  <si>
    <t>Téngyuè</t>
  </si>
  <si>
    <t>Tiányuán</t>
  </si>
  <si>
    <t>Wăyáo</t>
  </si>
  <si>
    <t>Wēngdŭ</t>
  </si>
  <si>
    <t>Wēnquán</t>
  </si>
  <si>
    <t>Xiàngdá</t>
  </si>
  <si>
    <t>Yáoguān</t>
  </si>
  <si>
    <t>Yóuwàng</t>
  </si>
  <si>
    <t>Zhèn'ān</t>
  </si>
  <si>
    <t>Báilù</t>
  </si>
  <si>
    <t>Bājiăo</t>
  </si>
  <si>
    <t>Bìchéng</t>
  </si>
  <si>
    <t>Cānglĭng</t>
  </si>
  <si>
    <t>Chādiàn</t>
  </si>
  <si>
    <t>Dàmàidì</t>
  </si>
  <si>
    <t>Dàzhuāng</t>
  </si>
  <si>
    <t>Dòngchuān</t>
  </si>
  <si>
    <t>Dōngguā</t>
  </si>
  <si>
    <t>Dōnghuá</t>
  </si>
  <si>
    <t>Èjiā</t>
  </si>
  <si>
    <t>Făbiāo</t>
  </si>
  <si>
    <t>Fèngtún</t>
  </si>
  <si>
    <t>Gònghé</t>
  </si>
  <si>
    <t>Guānglù</t>
  </si>
  <si>
    <t>Guăngtōng</t>
  </si>
  <si>
    <t>Guāntún</t>
  </si>
  <si>
    <t>Guìhuā</t>
  </si>
  <si>
    <t>Hēijĭng</t>
  </si>
  <si>
    <t>Hóngtŭpō</t>
  </si>
  <si>
    <t>Huángguāyuán</t>
  </si>
  <si>
    <t>Jiāngpō</t>
  </si>
  <si>
    <t>Jīnbì</t>
  </si>
  <si>
    <t>Jīnshān</t>
  </si>
  <si>
    <t>Jĭyī</t>
  </si>
  <si>
    <t>Kŏnglóngshān</t>
  </si>
  <si>
    <t>Liùjū</t>
  </si>
  <si>
    <t>Lóngchuān</t>
  </si>
  <si>
    <t>Lùchéng</t>
  </si>
  <si>
    <t>Lǚhé</t>
  </si>
  <si>
    <t>Māojiē</t>
  </si>
  <si>
    <t>Míxīng</t>
  </si>
  <si>
    <t>Qiánchăng</t>
  </si>
  <si>
    <t>Qínfēng</t>
  </si>
  <si>
    <t>Rénxīng</t>
  </si>
  <si>
    <t>Sānjiē</t>
  </si>
  <si>
    <t>Shāqiáo</t>
  </si>
  <si>
    <t>Shīshān</t>
  </si>
  <si>
    <t>Shíyáng</t>
  </si>
  <si>
    <t>Tŭguān</t>
  </si>
  <si>
    <t>Tùjiē</t>
  </si>
  <si>
    <t>Tuŏdiàn</t>
  </si>
  <si>
    <t>Wàndé</t>
  </si>
  <si>
    <t>Wŭjiē</t>
  </si>
  <si>
    <t>Xīncūn</t>
  </si>
  <si>
    <t>Xīnqiáo</t>
  </si>
  <si>
    <t>Xīshèlù</t>
  </si>
  <si>
    <t>Yíjiù</t>
  </si>
  <si>
    <t>Yīpínglàng</t>
  </si>
  <si>
    <t>Yŏngdìng</t>
  </si>
  <si>
    <t>Yuánmă</t>
  </si>
  <si>
    <t>Zhàojiādiàn</t>
  </si>
  <si>
    <t>Zhōngshān</t>
  </si>
  <si>
    <t>Ziwŭ</t>
  </si>
  <si>
    <t>Zĭxī</t>
  </si>
  <si>
    <t>Báishí</t>
  </si>
  <si>
    <t>Bīnjū</t>
  </si>
  <si>
    <t>Bónán</t>
  </si>
  <si>
    <t>Cāngshānxī</t>
  </si>
  <si>
    <t>Căohăi</t>
  </si>
  <si>
    <t>Cáojiàn</t>
  </si>
  <si>
    <t>Dàcāng</t>
  </si>
  <si>
    <t>Dàlĭ</t>
  </si>
  <si>
    <t>Dàyíng</t>
  </si>
  <si>
    <t>Dèngchuān</t>
  </si>
  <si>
    <t>Diànnán</t>
  </si>
  <si>
    <t>Fèngyí</t>
  </si>
  <si>
    <t>Fèngyŭ</t>
  </si>
  <si>
    <t>Gōngguǒqiáo</t>
  </si>
  <si>
    <t>Gōngláng</t>
  </si>
  <si>
    <t>Hăidōng</t>
  </si>
  <si>
    <t>Hédiàn</t>
  </si>
  <si>
    <t>Hóngyán</t>
  </si>
  <si>
    <t>Huángpíng</t>
  </si>
  <si>
    <t>Jīnhuá</t>
  </si>
  <si>
    <t>Jīnniú</t>
  </si>
  <si>
    <t>Jīzúshān</t>
  </si>
  <si>
    <t>Jūlì</t>
  </si>
  <si>
    <t>Lăojūnshān</t>
  </si>
  <si>
    <t>Lìjiăo</t>
  </si>
  <si>
    <t>Liúchăng</t>
  </si>
  <si>
    <t>Lóngkāikŏu</t>
  </si>
  <si>
    <t>Mădēng</t>
  </si>
  <si>
    <t>Miàojiē</t>
  </si>
  <si>
    <t>Míchéng</t>
  </si>
  <si>
    <t>Mĭdiàn</t>
  </si>
  <si>
    <t>Mìzhĭ</t>
  </si>
  <si>
    <t>Nánjiàn</t>
  </si>
  <si>
    <t>Nánzhào</t>
  </si>
  <si>
    <t>Nuòdèng</t>
  </si>
  <si>
    <t>Píngchuān</t>
  </si>
  <si>
    <t>Píngpō</t>
  </si>
  <si>
    <t>Pŭpéng</t>
  </si>
  <si>
    <t>Qiáodiàn</t>
  </si>
  <si>
    <t>Qiáohòu</t>
  </si>
  <si>
    <t>Sānyíng</t>
  </si>
  <si>
    <t>Shālóng</t>
  </si>
  <si>
    <t>Shàngguān</t>
  </si>
  <si>
    <t>Shānyáng</t>
  </si>
  <si>
    <t>Shāxī</t>
  </si>
  <si>
    <t>Shuāngláng</t>
  </si>
  <si>
    <t>Shùnbì</t>
  </si>
  <si>
    <t>Sōngguì</t>
  </si>
  <si>
    <t>Wānqiáo</t>
  </si>
  <si>
    <t>Wāsè</t>
  </si>
  <si>
    <t>Wúliàngshān</t>
  </si>
  <si>
    <t>Xiángchéng</t>
  </si>
  <si>
    <t>Xiăowāndōng</t>
  </si>
  <si>
    <t>Xiàzhuāng</t>
  </si>
  <si>
    <t>Xīntún</t>
  </si>
  <si>
    <t>Xīyì</t>
  </si>
  <si>
    <t>Xĭzhōu</t>
  </si>
  <si>
    <t>Yàngjiāng</t>
  </si>
  <si>
    <t>Yínjiē</t>
  </si>
  <si>
    <t>Yínqiáo</t>
  </si>
  <si>
    <t>Yŏngjiàn</t>
  </si>
  <si>
    <t>Yúnhè</t>
  </si>
  <si>
    <t>Yúnnányì</t>
  </si>
  <si>
    <t>Zhōuchéng</t>
  </si>
  <si>
    <t>Zĭbìhú</t>
  </si>
  <si>
    <t>Chéngzi</t>
  </si>
  <si>
    <t>Fēngpíng</t>
  </si>
  <si>
    <t>Jĭnghăn</t>
  </si>
  <si>
    <t>Kăchăng</t>
  </si>
  <si>
    <t>Lŏngbă</t>
  </si>
  <si>
    <t>Mángdōng</t>
  </si>
  <si>
    <t>Mánghăi</t>
  </si>
  <si>
    <t>Mángshì</t>
  </si>
  <si>
    <t>Mĕngjiá</t>
  </si>
  <si>
    <t>Mĕngmăo</t>
  </si>
  <si>
    <t>Nàbāng</t>
  </si>
  <si>
    <t>Nòngdăo</t>
  </si>
  <si>
    <t>Nòngzhāng</t>
  </si>
  <si>
    <t>Píngyuán</t>
  </si>
  <si>
    <t>Wăndīng</t>
  </si>
  <si>
    <t>Xīmă</t>
  </si>
  <si>
    <t>Zhāngfèng</t>
  </si>
  <si>
    <t>Zhănxī</t>
  </si>
  <si>
    <t>Zhēdăo</t>
  </si>
  <si>
    <t>Zhēfàng</t>
  </si>
  <si>
    <t>Băohé</t>
  </si>
  <si>
    <t>Bēnzilán</t>
  </si>
  <si>
    <t>Hŭtiàoxiá</t>
  </si>
  <si>
    <t>Jiàntáng</t>
  </si>
  <si>
    <t>Jīnjiāng</t>
  </si>
  <si>
    <t>Shēngpíng</t>
  </si>
  <si>
    <t>Tăchéng</t>
  </si>
  <si>
    <t>Xiăozhōngdiàn</t>
  </si>
  <si>
    <t>Yèzhī</t>
  </si>
  <si>
    <t>Báihé</t>
  </si>
  <si>
    <t>Băoxiù</t>
  </si>
  <si>
    <t>Bàxīn</t>
  </si>
  <si>
    <t>Căobà</t>
  </si>
  <si>
    <t>Chàkē</t>
  </si>
  <si>
    <t>Dàhēishān</t>
  </si>
  <si>
    <t>Guāntīng</t>
  </si>
  <si>
    <t>Hóngxī</t>
  </si>
  <si>
    <t>Jiăyín</t>
  </si>
  <si>
    <t>Jīnhé</t>
  </si>
  <si>
    <t>Jīnmă</t>
  </si>
  <si>
    <t>Jīnshuĭhé</t>
  </si>
  <si>
    <t>Kăfáng</t>
  </si>
  <si>
    <t>Làngdī</t>
  </si>
  <si>
    <t>Lăomĕng</t>
  </si>
  <si>
    <t>Lĕngquán</t>
  </si>
  <si>
    <t>Lèyù</t>
  </si>
  <si>
    <t>Lín'ān</t>
  </si>
  <si>
    <t>Lóngpéng</t>
  </si>
  <si>
    <t>Lóngwŭ</t>
  </si>
  <si>
    <t>Mànhào</t>
  </si>
  <si>
    <t>Mĕnglā</t>
  </si>
  <si>
    <t>Miàndiàn</t>
  </si>
  <si>
    <t>Míngjiù</t>
  </si>
  <si>
    <t>Míyáng</t>
  </si>
  <si>
    <t>Nánshā</t>
  </si>
  <si>
    <t>Nánxī</t>
  </si>
  <si>
    <t>Nánzhuāng</t>
  </si>
  <si>
    <t>Niújiăozhài</t>
  </si>
  <si>
    <t>Niúkŏng</t>
  </si>
  <si>
    <t>Péngpŭ</t>
  </si>
  <si>
    <t>Pínghé</t>
  </si>
  <si>
    <t>Qŭjiāng</t>
  </si>
  <si>
    <t>Shàochōng</t>
  </si>
  <si>
    <t>Wŭjiēpū</t>
  </si>
  <si>
    <t>Xiăolóngtán</t>
  </si>
  <si>
    <t>Xīchéng</t>
  </si>
  <si>
    <t>Xī'èr</t>
  </si>
  <si>
    <t>Xīn'ānsuŏ</t>
  </si>
  <si>
    <t>Xīnshào</t>
  </si>
  <si>
    <t>Xīnxiàn</t>
  </si>
  <si>
    <t>Xīsān</t>
  </si>
  <si>
    <t>Xīyī</t>
  </si>
  <si>
    <t>Xīzhuāng</t>
  </si>
  <si>
    <t>Xúnjiănsī</t>
  </si>
  <si>
    <t>Yìlóng</t>
  </si>
  <si>
    <t>Yĭsà</t>
  </si>
  <si>
    <t>Yùpíng</t>
  </si>
  <si>
    <t>Zhĭcūn</t>
  </si>
  <si>
    <t>Zhōnghéyíng</t>
  </si>
  <si>
    <t>Zhōngshū</t>
  </si>
  <si>
    <t>Āwàng</t>
  </si>
  <si>
    <t>Bĕigŭchéng</t>
  </si>
  <si>
    <t>Chánghú</t>
  </si>
  <si>
    <t>Chìjiù</t>
  </si>
  <si>
    <t>Dōngcūn</t>
  </si>
  <si>
    <t>Èrjiē</t>
  </si>
  <si>
    <t>Fènghé</t>
  </si>
  <si>
    <t>Gōngshān</t>
  </si>
  <si>
    <t>Gŏujiē</t>
  </si>
  <si>
    <t>Guīshān</t>
  </si>
  <si>
    <t>Hóngtŭdì</t>
  </si>
  <si>
    <t>Jiăopíngdù</t>
  </si>
  <si>
    <t>Jìnchéng</t>
  </si>
  <si>
    <t>Jiŭlóng</t>
  </si>
  <si>
    <t>Kēdù</t>
  </si>
  <si>
    <t>Kuănzhuāng</t>
  </si>
  <si>
    <t>Liùjiē</t>
  </si>
  <si>
    <t>Luómiăn</t>
  </si>
  <si>
    <t>Màoshān</t>
  </si>
  <si>
    <t>Niúlánjiāng</t>
  </si>
  <si>
    <t>Qīxīng</t>
  </si>
  <si>
    <t>Sàndàn</t>
  </si>
  <si>
    <t>Sāyíngpán</t>
  </si>
  <si>
    <t>Shàngsuàn</t>
  </si>
  <si>
    <t>Tāngdān</t>
  </si>
  <si>
    <t>Tăngdiàn</t>
  </si>
  <si>
    <t>Tuánjiē</t>
  </si>
  <si>
    <t>Tuōbùkă</t>
  </si>
  <si>
    <t>Wūdōngdé</t>
  </si>
  <si>
    <t>Wūlóng</t>
  </si>
  <si>
    <t>Xiānfēng</t>
  </si>
  <si>
    <t>Xījiēkŏu</t>
  </si>
  <si>
    <t>Yánglín</t>
  </si>
  <si>
    <t>Yīnmín</t>
  </si>
  <si>
    <t>Zhōngpíng</t>
  </si>
  <si>
    <t>Zhuănlóng</t>
  </si>
  <si>
    <t>Zhúshān</t>
  </si>
  <si>
    <t>Báishā</t>
  </si>
  <si>
    <t>Chénghăi</t>
  </si>
  <si>
    <t>Fèngkē</t>
  </si>
  <si>
    <t>Hóngqiáo</t>
  </si>
  <si>
    <t>Huángshān</t>
  </si>
  <si>
    <t>Jīn'ān</t>
  </si>
  <si>
    <t>Jùdiàn</t>
  </si>
  <si>
    <t>Lāshì</t>
  </si>
  <si>
    <t>Lǔdìlā</t>
  </si>
  <si>
    <t>Míngyīn</t>
  </si>
  <si>
    <t>Piànjiăo</t>
  </si>
  <si>
    <t>Qīhé</t>
  </si>
  <si>
    <t>Qīnà</t>
  </si>
  <si>
    <t>Róngjiāng</t>
  </si>
  <si>
    <t>Sānchuān</t>
  </si>
  <si>
    <t>Shígŭ</t>
  </si>
  <si>
    <t>Shílóngbà</t>
  </si>
  <si>
    <t>Shùnzhōu</t>
  </si>
  <si>
    <t>Tāoyuán</t>
  </si>
  <si>
    <t>Xīngquán</t>
  </si>
  <si>
    <t>Yŏngbĕi</t>
  </si>
  <si>
    <t>Yŏngníng</t>
  </si>
  <si>
    <t>Zhànhé</t>
  </si>
  <si>
    <t>Zhōngxīn</t>
  </si>
  <si>
    <t>Àihuá</t>
  </si>
  <si>
    <t>Bóshàng</t>
  </si>
  <si>
    <t>Dàcháo Shānxī</t>
  </si>
  <si>
    <t>Dédăng</t>
  </si>
  <si>
    <t>Fèngwĕi</t>
  </si>
  <si>
    <t>Gĕngmă</t>
  </si>
  <si>
    <t>Luòdăng</t>
  </si>
  <si>
    <t>Lŭshĭ</t>
  </si>
  <si>
    <t>Mángkă</t>
  </si>
  <si>
    <t>Màolán</t>
  </si>
  <si>
    <t>Mèngdìng</t>
  </si>
  <si>
    <t>Mĕngdŏng</t>
  </si>
  <si>
    <t>Mĕngkù</t>
  </si>
  <si>
    <t>Mĕngmĕng</t>
  </si>
  <si>
    <t>Mĕngsā</t>
  </si>
  <si>
    <t>Mĕngshĕng</t>
  </si>
  <si>
    <t>Mĕngyŏng</t>
  </si>
  <si>
    <t>Mĕngyòu</t>
  </si>
  <si>
    <t>Nánsăn</t>
  </si>
  <si>
    <t>Xiăomĕngtŏng</t>
  </si>
  <si>
    <t>Xiăowān</t>
  </si>
  <si>
    <t>Xìngfú</t>
  </si>
  <si>
    <t>Xuĕshān</t>
  </si>
  <si>
    <t>Yánshuài</t>
  </si>
  <si>
    <t>Yŏngbăo</t>
  </si>
  <si>
    <t>Yŏngkāng</t>
  </si>
  <si>
    <t>Bĭngzhōngluò</t>
  </si>
  <si>
    <t>Cíkāi</t>
  </si>
  <si>
    <t>Dàxīngdì</t>
  </si>
  <si>
    <t>Jīndĭng</t>
  </si>
  <si>
    <t>Lajĭng</t>
  </si>
  <si>
    <t>Lăowō</t>
  </si>
  <si>
    <t>Liùkù</t>
  </si>
  <si>
    <t>Lŭzhăng</t>
  </si>
  <si>
    <t>Piànmă</t>
  </si>
  <si>
    <t>Shàngjiāng</t>
  </si>
  <si>
    <t>Shàngpà</t>
  </si>
  <si>
    <t>Tōngdiàn</t>
  </si>
  <si>
    <t>Ànbăn</t>
  </si>
  <si>
    <t>Āndìng</t>
  </si>
  <si>
    <t>Bàliū</t>
  </si>
  <si>
    <t>Băozàng</t>
  </si>
  <si>
    <t>Dàcháo Shāndōng</t>
  </si>
  <si>
    <t>Dàjiē</t>
  </si>
  <si>
    <t>Déhuà</t>
  </si>
  <si>
    <t>Dōnghuí</t>
  </si>
  <si>
    <t>Ēnlè</t>
  </si>
  <si>
    <t>Fùyán</t>
  </si>
  <si>
    <t>Gŭchéng</t>
  </si>
  <si>
    <t>Huāshān</t>
  </si>
  <si>
    <t>Huìmín</t>
  </si>
  <si>
    <t>Jĭngfú</t>
  </si>
  <si>
    <t>Jĭnggŭ</t>
  </si>
  <si>
    <t>Jĭngxīng</t>
  </si>
  <si>
    <t>Jiŭjiă</t>
  </si>
  <si>
    <t>Kāngpíng</t>
  </si>
  <si>
    <t>Liánzhū</t>
  </si>
  <si>
    <t>Liùshùn</t>
  </si>
  <si>
    <t>Lóngbà</t>
  </si>
  <si>
    <t>Mángxìn</t>
  </si>
  <si>
    <t>Méizi</t>
  </si>
  <si>
    <t>Mĕngdà</t>
  </si>
  <si>
    <t>Mĕngkă</t>
  </si>
  <si>
    <t>Mĕnglăng</t>
  </si>
  <si>
    <t>Mĕngliè</t>
  </si>
  <si>
    <t>Mĕngmă</t>
  </si>
  <si>
    <t>Mĕngsuō</t>
  </si>
  <si>
    <t>Mĕngxiān</t>
  </si>
  <si>
    <t>Mínlè</t>
  </si>
  <si>
    <t>Móhēi</t>
  </si>
  <si>
    <t>Nàyŭn</t>
  </si>
  <si>
    <t>Níng'ĕr</t>
  </si>
  <si>
    <t>Nuòzhādù</t>
  </si>
  <si>
    <t>Qŭshuĭ</t>
  </si>
  <si>
    <t>Shàngyŭn</t>
  </si>
  <si>
    <t>Sīmáogăng</t>
  </si>
  <si>
    <t>Sìnánjiāng</t>
  </si>
  <si>
    <t>Tàizhōng</t>
  </si>
  <si>
    <t>Tōngguān</t>
  </si>
  <si>
    <t>Tóngxīn</t>
  </si>
  <si>
    <t>Tuántián</t>
  </si>
  <si>
    <t>Wēiyuăn</t>
  </si>
  <si>
    <t>Wēnggākē</t>
  </si>
  <si>
    <t>Wénjĭng</t>
  </si>
  <si>
    <t>Wénlóng</t>
  </si>
  <si>
    <t>Wénwŭ</t>
  </si>
  <si>
    <t>Xīn'ān</t>
  </si>
  <si>
    <t>Xīnchăng</t>
  </si>
  <si>
    <t>Xīnfŭ</t>
  </si>
  <si>
    <t>Yăyì</t>
  </si>
  <si>
    <t>Yĭxiàng</t>
  </si>
  <si>
    <t>Yŏngpíng</t>
  </si>
  <si>
    <t>Yútáng</t>
  </si>
  <si>
    <t>Zhĕdōng</t>
  </si>
  <si>
    <t>Zhĕngdŏng</t>
  </si>
  <si>
    <t>Zhèngxīng</t>
  </si>
  <si>
    <t>Zhèntài</t>
  </si>
  <si>
    <t>Zhōngkè</t>
  </si>
  <si>
    <t>Āgăng</t>
  </si>
  <si>
    <t>Băoshān</t>
  </si>
  <si>
    <t>Cíyíng</t>
  </si>
  <si>
    <t>Dàhé</t>
  </si>
  <si>
    <t>Dàibŭ</t>
  </si>
  <si>
    <t>Dàjĭng</t>
  </si>
  <si>
    <t>Dàmògŭ</t>
  </si>
  <si>
    <t>Dānfèng</t>
  </si>
  <si>
    <t>Fānghuá</t>
  </si>
  <si>
    <t>Fùcūn</t>
  </si>
  <si>
    <t>Fùlè</t>
  </si>
  <si>
    <t>Géyí</t>
  </si>
  <si>
    <t>Hăidài</t>
  </si>
  <si>
    <t>Hòusuŏ</t>
  </si>
  <si>
    <t>Huángníhé</t>
  </si>
  <si>
    <t>Jīnzhōng</t>
  </si>
  <si>
    <t>Kuàngshān</t>
  </si>
  <si>
    <t>Kuíshān</t>
  </si>
  <si>
    <t>Lèyè</t>
  </si>
  <si>
    <t>Lóngchăng</t>
  </si>
  <si>
    <t>Lóngtán</t>
  </si>
  <si>
    <t>Luòshuĭ</t>
  </si>
  <si>
    <t>Luóxióng</t>
  </si>
  <si>
    <t>Măguòhé</t>
  </si>
  <si>
    <t>Mòhóng</t>
  </si>
  <si>
    <t>Nàgū</t>
  </si>
  <si>
    <t>Nàzhāng</t>
  </si>
  <si>
    <t>Pánjiāng</t>
  </si>
  <si>
    <t>Rèshuĭ</t>
  </si>
  <si>
    <t>Shíbāliánshān</t>
  </si>
  <si>
    <t>Tăngtáng</t>
  </si>
  <si>
    <t>Tiánbà</t>
  </si>
  <si>
    <t>Tōngquán</t>
  </si>
  <si>
    <t>Wángjiāzhuāng</t>
  </si>
  <si>
    <t>Wùdé</t>
  </si>
  <si>
    <t>Xiăobăihù</t>
  </si>
  <si>
    <t>Xióngbì</t>
  </si>
  <si>
    <t>Xīpíng</t>
  </si>
  <si>
    <t>Yángchăng</t>
  </si>
  <si>
    <t>Yángliŭ</t>
  </si>
  <si>
    <t>Yĭchē</t>
  </si>
  <si>
    <t>Yíngshàng</t>
  </si>
  <si>
    <t>Yuèzhōu</t>
  </si>
  <si>
    <t>Zhàokuā</t>
  </si>
  <si>
    <t>Zhĕhăi</t>
  </si>
  <si>
    <t>Zhōng'ān</t>
  </si>
  <si>
    <t>Zhújī</t>
  </si>
  <si>
    <t>Āmĕng</t>
  </si>
  <si>
    <t>Bābăo</t>
  </si>
  <si>
    <t>Bàmĕi</t>
  </si>
  <si>
    <t>Bāzhài</t>
  </si>
  <si>
    <t>Bō'ài</t>
  </si>
  <si>
    <t>Bózhú</t>
  </si>
  <si>
    <t>Dàpíng</t>
  </si>
  <si>
    <t>Déhòu</t>
  </si>
  <si>
    <t>Dŏnggān</t>
  </si>
  <si>
    <t>Dūlóng</t>
  </si>
  <si>
    <t>Guīcháo</t>
  </si>
  <si>
    <t>Gŭmù</t>
  </si>
  <si>
    <t>Jiāhánqìng</t>
  </si>
  <si>
    <t>Jiāngnèi</t>
  </si>
  <si>
    <t>Jiàyī</t>
  </si>
  <si>
    <t>Jīnchăng</t>
  </si>
  <si>
    <t>Kāihuà</t>
  </si>
  <si>
    <t>Liánchéng</t>
  </si>
  <si>
    <t>Lĭdá</t>
  </si>
  <si>
    <t>Măbái</t>
  </si>
  <si>
    <t>Málì</t>
  </si>
  <si>
    <t>Mătáng</t>
  </si>
  <si>
    <t>Mùchăng</t>
  </si>
  <si>
    <t>Mùyāng</t>
  </si>
  <si>
    <t>Nàsă</t>
  </si>
  <si>
    <t>Píngbà</t>
  </si>
  <si>
    <t>Píngyuăn</t>
  </si>
  <si>
    <t>Pōjiăo</t>
  </si>
  <si>
    <t>Shuānglóngyíng</t>
  </si>
  <si>
    <t>Tiānbăo</t>
  </si>
  <si>
    <t>Tiánpéng</t>
  </si>
  <si>
    <t>Xiăobàzi</t>
  </si>
  <si>
    <t>Xīngjiē</t>
  </si>
  <si>
    <t>Xīnhuá</t>
  </si>
  <si>
    <t>Xīsă</t>
  </si>
  <si>
    <t>Yuēzhĕ</t>
  </si>
  <si>
    <t>Zhuīlìjiē</t>
  </si>
  <si>
    <t>Zhūjiē</t>
  </si>
  <si>
    <t>Zhūlín</t>
  </si>
  <si>
    <t>Dăluò</t>
  </si>
  <si>
    <t>Gāsă</t>
  </si>
  <si>
    <t>Guānlĕi</t>
  </si>
  <si>
    <t>Mĕng'ā</t>
  </si>
  <si>
    <t>Mĕngbàn</t>
  </si>
  <si>
    <t>Mĕnghăi</t>
  </si>
  <si>
    <t>Mĕnghăn</t>
  </si>
  <si>
    <t>Mĕnghùn</t>
  </si>
  <si>
    <t>Mĕnglà</t>
  </si>
  <si>
    <t>Mĕnglóng</t>
  </si>
  <si>
    <t>Mĕnglún</t>
  </si>
  <si>
    <t>Mĕngzhē</t>
  </si>
  <si>
    <t>Móhān</t>
  </si>
  <si>
    <t>Pŭwén</t>
  </si>
  <si>
    <t>Yìwŭ</t>
  </si>
  <si>
    <t>Diànzhōng</t>
  </si>
  <si>
    <t>Hăikŏu</t>
  </si>
  <si>
    <t>Héxī</t>
  </si>
  <si>
    <t>Huàniàn</t>
  </si>
  <si>
    <t>Huáxī</t>
  </si>
  <si>
    <t>Jiāngchéng</t>
  </si>
  <si>
    <t>Jiásă</t>
  </si>
  <si>
    <t>Jiŭcūn</t>
  </si>
  <si>
    <t>Jiŭxī</t>
  </si>
  <si>
    <t>Lĭjiāng</t>
  </si>
  <si>
    <t>Lùjū</t>
  </si>
  <si>
    <t>Lǜzhī</t>
  </si>
  <si>
    <t>Mànlái</t>
  </si>
  <si>
    <t>Mòshā</t>
  </si>
  <si>
    <t>Nàgŭ</t>
  </si>
  <si>
    <t>Pánxī</t>
  </si>
  <si>
    <t>Qiánwèi</t>
  </si>
  <si>
    <t>Shuĭtáng</t>
  </si>
  <si>
    <t>Sìjiē</t>
  </si>
  <si>
    <t>Tădiàn</t>
  </si>
  <si>
    <t>Yángguăng</t>
  </si>
  <si>
    <t>Yángwŭ</t>
  </si>
  <si>
    <t>Yángzōng</t>
  </si>
  <si>
    <t>Yāojiē</t>
  </si>
  <si>
    <t>Yīnyuăn</t>
  </si>
  <si>
    <t>Báihètān</t>
  </si>
  <si>
    <t>Bănlì</t>
  </si>
  <si>
    <t>Bĕizhá</t>
  </si>
  <si>
    <t>Cháng'ān</t>
  </si>
  <si>
    <t>Chăngbà</t>
  </si>
  <si>
    <t>Chìshuĭyuán</t>
  </si>
  <si>
    <t>Chóngxī</t>
  </si>
  <si>
    <t>Dàshānbāo</t>
  </si>
  <si>
    <t>Dàwān</t>
  </si>
  <si>
    <t>Dōngpíng</t>
  </si>
  <si>
    <t>Dòushā</t>
  </si>
  <si>
    <t>Guìxī</t>
  </si>
  <si>
    <t>Hăizi</t>
  </si>
  <si>
    <t>Hēishù</t>
  </si>
  <si>
    <t>Huánghuá</t>
  </si>
  <si>
    <t>Huìyí</t>
  </si>
  <si>
    <t>Huŏdéhóng</t>
  </si>
  <si>
    <t>Jiāngdĭ</t>
  </si>
  <si>
    <t>Jiăokuí</t>
  </si>
  <si>
    <t>Jílì</t>
  </si>
  <si>
    <t>Jìng'ān</t>
  </si>
  <si>
    <t>Jīntáng</t>
  </si>
  <si>
    <t>Jiùpŭ</t>
  </si>
  <si>
    <t>Lăodiàn</t>
  </si>
  <si>
    <t>Lèhóng</t>
  </si>
  <si>
    <t>Lèjū</t>
  </si>
  <si>
    <t>Liánfēng</t>
  </si>
  <si>
    <t>Liănghé</t>
  </si>
  <si>
    <t>Liăngwăn</t>
  </si>
  <si>
    <t>Línfèng</t>
  </si>
  <si>
    <t>Lóng'ān</t>
  </si>
  <si>
    <t>Lónghăi</t>
  </si>
  <si>
    <t>Lóngshù</t>
  </si>
  <si>
    <t>Lóngtóushān</t>
  </si>
  <si>
    <t>Luóbù</t>
  </si>
  <si>
    <t>Luókăn</t>
  </si>
  <si>
    <t>Luòzéhé</t>
  </si>
  <si>
    <t>Măkŏu</t>
  </si>
  <si>
    <t>Mángbù</t>
  </si>
  <si>
    <t>Màolín</t>
  </si>
  <si>
    <t>Màozū</t>
  </si>
  <si>
    <t>Măshù</t>
  </si>
  <si>
    <t>Mĕnggū</t>
  </si>
  <si>
    <t>Miàobà</t>
  </si>
  <si>
    <t>Miàogōu</t>
  </si>
  <si>
    <t>Mùgān</t>
  </si>
  <si>
    <t>Mŭxiăng</t>
  </si>
  <si>
    <t>Mùzhuó</t>
  </si>
  <si>
    <t>Nán'àn</t>
  </si>
  <si>
    <t>Niúchăng</t>
  </si>
  <si>
    <t>Pánhé</t>
  </si>
  <si>
    <t>Píngshàng</t>
  </si>
  <si>
    <t>Pōjī</t>
  </si>
  <si>
    <t>Pōtóu</t>
  </si>
  <si>
    <t>Pŭ'ĕr</t>
  </si>
  <si>
    <t>Qiáoshān</t>
  </si>
  <si>
    <t>Săyú</t>
  </si>
  <si>
    <t>Shìzi</t>
  </si>
  <si>
    <t>Shòushān</t>
  </si>
  <si>
    <t>Shuĭmó</t>
  </si>
  <si>
    <t>Shuĭtián</t>
  </si>
  <si>
    <t>Sūjiāyuàn</t>
  </si>
  <si>
    <t>Suōshān</t>
  </si>
  <si>
    <t>Tángfáng</t>
  </si>
  <si>
    <t>Tiānxīng</t>
  </si>
  <si>
    <t>Wănchăng</t>
  </si>
  <si>
    <t>Wénpíng</t>
  </si>
  <si>
    <t>Wŭdé</t>
  </si>
  <si>
    <t>Wūfēng</t>
  </si>
  <si>
    <t>Wùjī</t>
  </si>
  <si>
    <t>Xiàngjiābà</t>
  </si>
  <si>
    <t>Xiăocăobà</t>
  </si>
  <si>
    <t>Xiăohé</t>
  </si>
  <si>
    <t>Xiăozhài</t>
  </si>
  <si>
    <t>Xīluòdù</t>
  </si>
  <si>
    <t>Xīndiàn</t>
  </si>
  <si>
    <t>Xīntān</t>
  </si>
  <si>
    <t>Yánjĭng</t>
  </si>
  <si>
    <t>Yánshān</t>
  </si>
  <si>
    <t>Yányuán</t>
  </si>
  <si>
    <t>Yàoshān</t>
  </si>
  <si>
    <t>Yĭgŭ</t>
  </si>
  <si>
    <t>Yĭlè</t>
  </si>
  <si>
    <t>Yŏngfēng</t>
  </si>
  <si>
    <t>Yuèlè</t>
  </si>
  <si>
    <t>Yŭhé</t>
  </si>
  <si>
    <t>Yùwăn</t>
  </si>
  <si>
    <t>Zhāxī</t>
  </si>
  <si>
    <t>Zhōngchéng</t>
  </si>
  <si>
    <t>Zhōngmíng</t>
  </si>
  <si>
    <t>Zhōngtún</t>
  </si>
  <si>
    <t>Líncāng</t>
  </si>
  <si>
    <t>Lìjiāng</t>
  </si>
  <si>
    <t>Máng</t>
  </si>
  <si>
    <t>Ānníng</t>
  </si>
  <si>
    <t>Kūnmíng</t>
  </si>
  <si>
    <t>Zhāotōng</t>
  </si>
  <si>
    <t>Xuānwēi</t>
  </si>
  <si>
    <t>Qŭjìng</t>
  </si>
  <si>
    <t>Chéngjiāng</t>
  </si>
  <si>
    <t>Yùxī</t>
  </si>
  <si>
    <t>Gèjiù</t>
  </si>
  <si>
    <t>Kāiyuăn</t>
  </si>
  <si>
    <t>Mĕngzì</t>
  </si>
  <si>
    <t>Jĭnghóng</t>
  </si>
  <si>
    <t xml:space="preserve">,"stateCapital":true,"nationalCapital":false,"pk":null,"quiz":"asia","code":null,"archived":false,"percentageOfSessions":null}, </t>
  </si>
  <si>
    <t>Column13</t>
  </si>
  <si>
    <t>Column10</t>
  </si>
  <si>
    <t>Column11</t>
  </si>
  <si>
    <t>Column112</t>
  </si>
  <si>
    <t>Adebo Xiang</t>
  </si>
  <si>
    <t>Adu Xiang</t>
  </si>
  <si>
    <t>Agang Zhen</t>
  </si>
  <si>
    <t>Aihua Zhen</t>
  </si>
  <si>
    <t>Ainishan Xiang</t>
  </si>
  <si>
    <t>Ala Jiedao</t>
  </si>
  <si>
    <t>Ameng Zhen</t>
  </si>
  <si>
    <t>Anban Zhen</t>
  </si>
  <si>
    <t>Anding Zhen</t>
  </si>
  <si>
    <t>Anhua Yizu Xiang</t>
  </si>
  <si>
    <t>Ankang Wazu Xiang</t>
  </si>
  <si>
    <t>Anle Xiang</t>
  </si>
  <si>
    <t>Anlongbao Xiang</t>
  </si>
  <si>
    <t>Ashe Yizu Xiang</t>
  </si>
  <si>
    <t>Awang Zhen</t>
  </si>
  <si>
    <t>Ayong Xiang</t>
  </si>
  <si>
    <t>Azhahe Xiang</t>
  </si>
  <si>
    <t>Aziying Jiedao</t>
  </si>
  <si>
    <t>Babao Zhen</t>
  </si>
  <si>
    <t>Babu Xiang</t>
  </si>
  <si>
    <t>Badaoshao Yizu Xiang</t>
  </si>
  <si>
    <t>Badi Xiang</t>
  </si>
  <si>
    <t>Baga Xiang</t>
  </si>
  <si>
    <t>Baihe Zhen</t>
  </si>
  <si>
    <t>Baihetan Zhen</t>
  </si>
  <si>
    <t>Baijixun Xiang</t>
  </si>
  <si>
    <t>Bailang Yizu Bulangzu Xiang</t>
  </si>
  <si>
    <t>Bailin Xiang</t>
  </si>
  <si>
    <t>Bailu Zhen</t>
  </si>
  <si>
    <t>Baisha Zhen</t>
  </si>
  <si>
    <t>Baishi Zhen</t>
  </si>
  <si>
    <t>Baishijiang Jiedao</t>
  </si>
  <si>
    <t>Baishui Zhen (Honghe Hanizu Yizu Zizhizhou)</t>
  </si>
  <si>
    <t>Baishui Zhen (Qujing Shi)</t>
  </si>
  <si>
    <t>Baiyun Xiang</t>
  </si>
  <si>
    <t>Bajiao Zhen</t>
  </si>
  <si>
    <t>Bajie Jiedao</t>
  </si>
  <si>
    <t>Baliu Zhen</t>
  </si>
  <si>
    <t>Bamei Zhen</t>
  </si>
  <si>
    <t>Banbeng Xiang</t>
  </si>
  <si>
    <t>Bangbing Xiang</t>
  </si>
  <si>
    <t>Bangdong Xiang</t>
  </si>
  <si>
    <t>Banhong Xiang</t>
  </si>
  <si>
    <t>Banka Xiang</t>
  </si>
  <si>
    <t>Banlao Xiang</t>
  </si>
  <si>
    <t>Banli Zhen</t>
  </si>
  <si>
    <t>Banlun Xiang</t>
  </si>
  <si>
    <t>Banpo Xiang (Honghe Hanizu Yizu Zizhizhou)</t>
  </si>
  <si>
    <t>Banpo Xiang (Pu'er Shi)</t>
  </si>
  <si>
    <t>Banqiao Jiedao (Kunming Shi)</t>
  </si>
  <si>
    <t>Banqiao Jiedao (Qujing Shi)</t>
  </si>
  <si>
    <t>Banqiao Zhen (Baoshan Shi)</t>
  </si>
  <si>
    <t>Banqiao Zhen (Luliang Xian)</t>
  </si>
  <si>
    <t>Banqiao Zhen (Luoping Xian)</t>
  </si>
  <si>
    <t>Baofeng Xiang</t>
  </si>
  <si>
    <t>Baogunao Xiang</t>
  </si>
  <si>
    <t>Baohe Xiang</t>
  </si>
  <si>
    <t>Baohe Zhen</t>
  </si>
  <si>
    <t>Baohua Zhen (Dali Baizu Zizhizhou)</t>
  </si>
  <si>
    <t>Baohua Zhen (Honghe Hanizu Yizu Zizhizhou)</t>
  </si>
  <si>
    <t>Baoshan Xiang</t>
  </si>
  <si>
    <t>Baoshan Zhen</t>
  </si>
  <si>
    <t>Baoxiu Zhen</t>
  </si>
  <si>
    <t>Baozang Zhen</t>
  </si>
  <si>
    <t>Baxin Yizu Xiang</t>
  </si>
  <si>
    <t>Baxin Zhen</t>
  </si>
  <si>
    <t>Bazhai Zhen</t>
  </si>
  <si>
    <t>Beicheng Jiedao</t>
  </si>
  <si>
    <t>Beidou Yizu Xiang</t>
  </si>
  <si>
    <t>Beige Xiang</t>
  </si>
  <si>
    <t>Beigucheng Zhen</t>
  </si>
  <si>
    <t>Beihai Xiang</t>
  </si>
  <si>
    <t>Beizha Zhen</t>
  </si>
  <si>
    <t>Beng'e Xiang</t>
  </si>
  <si>
    <t>Benggu Xiang</t>
  </si>
  <si>
    <t>Benzilan Zhen</t>
  </si>
  <si>
    <t>Bi'an Xiang</t>
  </si>
  <si>
    <t>Bicheng Zhen</t>
  </si>
  <si>
    <t>Biji Jiedao</t>
  </si>
  <si>
    <t>Binglie Yizu Xiang</t>
  </si>
  <si>
    <t>Bingma Xiang</t>
  </si>
  <si>
    <t>Bingzhongluo Zhen</t>
  </si>
  <si>
    <t>Binju Huaqiao Guanliqu</t>
  </si>
  <si>
    <t>Binju Zhen</t>
  </si>
  <si>
    <t>Bixi Xiang</t>
  </si>
  <si>
    <t>Bizhai Xiang</t>
  </si>
  <si>
    <t>Bo'ai Zhen</t>
  </si>
  <si>
    <t>Bole Xiang</t>
  </si>
  <si>
    <t>Bonan Zhen</t>
  </si>
  <si>
    <t>Boshang Zhen</t>
  </si>
  <si>
    <t>Bozhu Zhen</t>
  </si>
  <si>
    <t>Buga Huizu Xiang</t>
  </si>
  <si>
    <t>Bulangshan Bulangzu Xiang</t>
  </si>
  <si>
    <t>Caifeng Huaqiao Guanliqu</t>
  </si>
  <si>
    <t>Caiyun Zhen (Chuxiong Yizu Zizhizhou)</t>
  </si>
  <si>
    <t>Caiyun Zhen (Qujing Shi)</t>
  </si>
  <si>
    <t>Cangling Zhen</t>
  </si>
  <si>
    <t>Cangshanxi Zhen</t>
  </si>
  <si>
    <t>Caoba Zhen</t>
  </si>
  <si>
    <t>Caohai Zhen</t>
  </si>
  <si>
    <t>Caojian Zhen</t>
  </si>
  <si>
    <t>Caopu Jiedao</t>
  </si>
  <si>
    <t>Chadian Zhen</t>
  </si>
  <si>
    <t>Chafang Xiang</t>
  </si>
  <si>
    <t>Chahe Xiang</t>
  </si>
  <si>
    <t>Chake Zhen</t>
  </si>
  <si>
    <t>Chang'an Zhen</t>
  </si>
  <si>
    <t>Changba Zhen</t>
  </si>
  <si>
    <t>Changdi Buyizu Xiang</t>
  </si>
  <si>
    <t>Changhu Zhen</t>
  </si>
  <si>
    <t>Changjie Yizu Xiang</t>
  </si>
  <si>
    <t>Changxin Xiang</t>
  </si>
  <si>
    <t>Chanzhanhe Xiang</t>
  </si>
  <si>
    <t>Chegu Xiang</t>
  </si>
  <si>
    <t>Chenggan Xiang</t>
  </si>
  <si>
    <t>Chenghai Zhen</t>
  </si>
  <si>
    <t>Chengqu Jiedao</t>
  </si>
  <si>
    <t>Chengzi Zhen</t>
  </si>
  <si>
    <t>Chijiu Zhen</t>
  </si>
  <si>
    <t>Chishuiyuan Zhen</t>
  </si>
  <si>
    <t>Chonggang Xiang</t>
  </si>
  <si>
    <t>Chongxi Zhen</t>
  </si>
  <si>
    <t>Chuanfang Lisuzu Daizu Xiang</t>
  </si>
  <si>
    <t>Chunhe Jiedao</t>
  </si>
  <si>
    <t>Ciba Jiedao</t>
  </si>
  <si>
    <t>Cikai Zhen</t>
  </si>
  <si>
    <t>Ciying Zhen</t>
  </si>
  <si>
    <t>Ciyuan Huizu Xiang</t>
  </si>
  <si>
    <t>Cuihua Zhen (Kunming Shi)</t>
  </si>
  <si>
    <t>Cuihua Zhen (Zhaotong Shi)</t>
  </si>
  <si>
    <t>Cuiyu Lisuzu Pumizu Xiang</t>
  </si>
  <si>
    <t>Da'an Yizu Naxizu Xiang</t>
  </si>
  <si>
    <t>Dabanqiao Jiedao</t>
  </si>
  <si>
    <t>Dacang Zhen</t>
  </si>
  <si>
    <t>Dachang Xiang</t>
  </si>
  <si>
    <t>Dachao Shandong Zhen</t>
  </si>
  <si>
    <t>Dachao Shanxi Zhen</t>
  </si>
  <si>
    <t>Dadiji Xiang</t>
  </si>
  <si>
    <t>Dadong Xiang</t>
  </si>
  <si>
    <t>Dadugang Xiang</t>
  </si>
  <si>
    <t>Daguan Jiedao</t>
  </si>
  <si>
    <t>Daguokou Xiang</t>
  </si>
  <si>
    <t>Dahai Xiang</t>
  </si>
  <si>
    <t>Dahe Zhen</t>
  </si>
  <si>
    <t>Daheishan Zhen</t>
  </si>
  <si>
    <t>Dahekou Xiang</t>
  </si>
  <si>
    <t>Daibu Zhen</t>
  </si>
  <si>
    <t>Dajie Jiedao</t>
  </si>
  <si>
    <t>Dajie Zhen</t>
  </si>
  <si>
    <t>Dajing Zhen</t>
  </si>
  <si>
    <t>Daju Xiang</t>
  </si>
  <si>
    <t>Dake Xiang</t>
  </si>
  <si>
    <t>Dali Zhen</t>
  </si>
  <si>
    <t>Dalishu Xiang</t>
  </si>
  <si>
    <t>Dalongtan Xiang</t>
  </si>
  <si>
    <t>Daluo Zhen</t>
  </si>
  <si>
    <t>Damaidi Zhen</t>
  </si>
  <si>
    <t>Damogu Zhen</t>
  </si>
  <si>
    <t>Danfeng Zhen [incl. Danfeng Jiedao, Yangyue Jiedao, Datong Jiedao]</t>
  </si>
  <si>
    <t>Danjia Xiang</t>
  </si>
  <si>
    <t>Daping Xiang</t>
  </si>
  <si>
    <t>Daping Zhen</t>
  </si>
  <si>
    <t>Dapo Xiang</t>
  </si>
  <si>
    <t>Daqiao Xiang (Honghe Hanizu Yizu Zizhizhou)</t>
  </si>
  <si>
    <t>Daqiao Xiang (Qujing Shi)</t>
  </si>
  <si>
    <t>Dashan Xiang (Lincang Shi)</t>
  </si>
  <si>
    <t>Dashan Xiang (Pu'er Shi)</t>
  </si>
  <si>
    <t>Dashanbao Zhen</t>
  </si>
  <si>
    <t>Dashuigou Xiang</t>
  </si>
  <si>
    <t>Dashuijing Xiang</t>
  </si>
  <si>
    <t>Dasi Xiang</t>
  </si>
  <si>
    <t>Datianba Zhen</t>
  </si>
  <si>
    <t>Datun Jiedao</t>
  </si>
  <si>
    <t>Dawan Zhen</t>
  </si>
  <si>
    <t>Dawen Xiang</t>
  </si>
  <si>
    <t>Daxing Xiang</t>
  </si>
  <si>
    <t>Daxing Zhen (Honghe Hanizu Yizu Zizhizhou)</t>
  </si>
  <si>
    <t>Daxing Zhen (Lijiang Shi)</t>
  </si>
  <si>
    <t>Daxing Zhen (Zhaotong Shi)</t>
  </si>
  <si>
    <t>Daxingdi Zhen</t>
  </si>
  <si>
    <t>Daxueshan Yizu Lahuzu Daizu Xiang</t>
  </si>
  <si>
    <t>Dayan Jiedao</t>
  </si>
  <si>
    <t>Dayangjie Xiang</t>
  </si>
  <si>
    <t>Daying Zhen</t>
  </si>
  <si>
    <t>Dayingjie Jiedao</t>
  </si>
  <si>
    <t>Dayu Jiedao</t>
  </si>
  <si>
    <t>Dazhai Xiang</t>
  </si>
  <si>
    <t>Dazhai Zhen (Lincang Shi)</t>
  </si>
  <si>
    <t>Dazhai Zhen (Zhaotong Shi)</t>
  </si>
  <si>
    <t>Dazhaizi Xiang</t>
  </si>
  <si>
    <t>Dazhuang Huizu Xiang</t>
  </si>
  <si>
    <t>Dazhuang Xiang</t>
  </si>
  <si>
    <t>Dazhuang Zhen</t>
  </si>
  <si>
    <t>De'an Xiang</t>
  </si>
  <si>
    <t>Dedang Zhen</t>
  </si>
  <si>
    <t>Dehou Zhen</t>
  </si>
  <si>
    <t>Dehua Zhen</t>
  </si>
  <si>
    <t>Deju Xiang</t>
  </si>
  <si>
    <t>Delu Xiang</t>
  </si>
  <si>
    <t>Dengchuan Zhen</t>
  </si>
  <si>
    <t>Deze Xiang</t>
  </si>
  <si>
    <t>Diannan Zhen</t>
  </si>
  <si>
    <t>Diansha Xiang</t>
  </si>
  <si>
    <t>Diantan Zhen</t>
  </si>
  <si>
    <t>Dianwei Xiang</t>
  </si>
  <si>
    <t>Dianyang Zhen</t>
  </si>
  <si>
    <t>Dianyuan Jiedao</t>
  </si>
  <si>
    <t>Dianzhong Zhen</t>
  </si>
  <si>
    <t>Diema Xiang</t>
  </si>
  <si>
    <t>Diwei Xiang</t>
  </si>
  <si>
    <t>Dongbao Xiang</t>
  </si>
  <si>
    <t>Dongbo Yaozu Xiang</t>
  </si>
  <si>
    <t>Dongchuan Zhen</t>
  </si>
  <si>
    <t>Dongcun Zhen</t>
  </si>
  <si>
    <t>Donggan Zhen</t>
  </si>
  <si>
    <t>Donggua Zhen</t>
  </si>
  <si>
    <t>Donghe Xiang</t>
  </si>
  <si>
    <t>Donghua Jiedao</t>
  </si>
  <si>
    <t>Donghua Zhen</t>
  </si>
  <si>
    <t>Donghui Zhen</t>
  </si>
  <si>
    <t>Dongma Xiang</t>
  </si>
  <si>
    <t>Dongping Zhen</t>
  </si>
  <si>
    <t>Dongpo Daizu Xiang</t>
  </si>
  <si>
    <t>Dongshan Lisuzu Yizu Xiang</t>
  </si>
  <si>
    <t>Dongshan Yizu Xiang (Dali Baizu Zizhizhou)</t>
  </si>
  <si>
    <t>Dongshan Yizu Xiang (Wenshan Zhuangzu Miaozu Zizhizhou)</t>
  </si>
  <si>
    <t>Dongshan Zhen (Honghe Hanizu Yizu Zizhizhou)</t>
  </si>
  <si>
    <t>Dongshan Zhen (Qilin Qu)</t>
  </si>
  <si>
    <t>Dongshan Zhen (Xuanwei Shi)</t>
  </si>
  <si>
    <t>Dongwang Xiang</t>
  </si>
  <si>
    <t>Dounan Jiedao</t>
  </si>
  <si>
    <t>Dousha Zhen</t>
  </si>
  <si>
    <t>Dulong Zhen</t>
  </si>
  <si>
    <t>Dulongjiang Xiang</t>
  </si>
  <si>
    <t>Dutian Xiang</t>
  </si>
  <si>
    <t>Ejia Zhen</t>
  </si>
  <si>
    <t>Enle Zhen</t>
  </si>
  <si>
    <t>Erjie Zhen</t>
  </si>
  <si>
    <t>Ezha Xiang</t>
  </si>
  <si>
    <t>Fabiao Zhen</t>
  </si>
  <si>
    <t>Fadou Xiang</t>
  </si>
  <si>
    <t>Fanghua Zhen</t>
  </si>
  <si>
    <t>Fawo Xiang</t>
  </si>
  <si>
    <t>Fazhanhe Hanizu Xiang</t>
  </si>
  <si>
    <t>Fengchunling Xiang</t>
  </si>
  <si>
    <t>Fenghe Zhen</t>
  </si>
  <si>
    <t>Fenghuang Jiedao (Yuxi Shi)</t>
  </si>
  <si>
    <t>Fenghuang Jiedao (Zhaotong Shi)</t>
  </si>
  <si>
    <t>Fengke Zhen</t>
  </si>
  <si>
    <t>Fenglu Jiedao</t>
  </si>
  <si>
    <t>Fengning Jiedao</t>
  </si>
  <si>
    <t>Fengping Zhen</t>
  </si>
  <si>
    <t>Fengshan Zhen (Lincang Shi)</t>
  </si>
  <si>
    <t>Fengshan Zhen (Pu'er Shi)</t>
  </si>
  <si>
    <t>Fengtun Zhen</t>
  </si>
  <si>
    <t>Fengwei Zhen</t>
  </si>
  <si>
    <t>Fengxiang Jiedao</t>
  </si>
  <si>
    <t>Fengyi Zhen</t>
  </si>
  <si>
    <t>Fengyu Zhen</t>
  </si>
  <si>
    <t>Foshan Xiang</t>
  </si>
  <si>
    <t>Fubang Xiang</t>
  </si>
  <si>
    <t>Fucun Zhen</t>
  </si>
  <si>
    <t>Fudong Xiang</t>
  </si>
  <si>
    <t>Fuhai Jiedao</t>
  </si>
  <si>
    <t>Fuheng Xiang</t>
  </si>
  <si>
    <t>Fule Zhen</t>
  </si>
  <si>
    <t>Fuliangpeng Xiang</t>
  </si>
  <si>
    <t>Fuyan Zhen</t>
  </si>
  <si>
    <t>Ganhe Yizu Xiang</t>
  </si>
  <si>
    <t>Ganiang Xiang</t>
  </si>
  <si>
    <t>Ganzhuang Jiedao [Qinglongchang Zhen]</t>
  </si>
  <si>
    <t>Gaocang Jiedao</t>
  </si>
  <si>
    <t>Gaoda Yizu Xiang</t>
  </si>
  <si>
    <t>Gaofeng Xiang</t>
  </si>
  <si>
    <t>Gaoliang Zhuangzu Miaozu Yaozu Xiang</t>
  </si>
  <si>
    <t>Gaoqiao Zhen (Chuxiong Yizu Zizhizhou)</t>
  </si>
  <si>
    <t>Gaoqiao Zhen (Zhaotong Shi)</t>
  </si>
  <si>
    <t>Gaotian Xiang</t>
  </si>
  <si>
    <t>Gasa Zhen</t>
  </si>
  <si>
    <t>Gekui Xiang</t>
  </si>
  <si>
    <t>Gelanghe Hanizu Xiang</t>
  </si>
  <si>
    <t>Gengjia Xiang</t>
  </si>
  <si>
    <t>Gengjiaying Yizu Miaozu Xiang</t>
  </si>
  <si>
    <t>Gengma Zhen</t>
  </si>
  <si>
    <t>Geyi Zhen</t>
  </si>
  <si>
    <t>Gezan Xiang</t>
  </si>
  <si>
    <t>Gongguoqiao Zhen [Jiuzhou Zhen]</t>
  </si>
  <si>
    <t>Gonghe Zhen</t>
  </si>
  <si>
    <t>Gonglang Zhen</t>
  </si>
  <si>
    <t>Gongshan Zhen</t>
  </si>
  <si>
    <t>Gongxin Xiang</t>
  </si>
  <si>
    <t>Goujie Yizu Miaozu Xiang</t>
  </si>
  <si>
    <t>Goujie Zhen</t>
  </si>
  <si>
    <t>Guandu Jiedao</t>
  </si>
  <si>
    <t>Guanghua Lisuzu Yizu Xiang</t>
  </si>
  <si>
    <t>Guanglu Zhen</t>
  </si>
  <si>
    <t>Guangtong Zhen</t>
  </si>
  <si>
    <t>Guanlei Zhen</t>
  </si>
  <si>
    <t>Guanping Xiang</t>
  </si>
  <si>
    <t>Guanshang Jiedao</t>
  </si>
  <si>
    <t>Guanting Zhen</t>
  </si>
  <si>
    <t>Guantun Zhen</t>
  </si>
  <si>
    <t>Guanzhai Xiang</t>
  </si>
  <si>
    <t>Gucheng Zhen</t>
  </si>
  <si>
    <t>Gudeng Xiang</t>
  </si>
  <si>
    <t>Gudong Zhen</t>
  </si>
  <si>
    <t>Gugan Shuizu Xiang</t>
  </si>
  <si>
    <t>Guichao Zhen</t>
  </si>
  <si>
    <t>Guihua Zhen</t>
  </si>
  <si>
    <t>Guishan Jiedao [incl. Gucheng Jiedao]</t>
  </si>
  <si>
    <t>Guishan Zhen</t>
  </si>
  <si>
    <t>Guixi Zhen</t>
  </si>
  <si>
    <t>Gula Xiang</t>
  </si>
  <si>
    <t>Gulinqing Xiang</t>
  </si>
  <si>
    <t>Gulou Jiedao</t>
  </si>
  <si>
    <t>Gumu Zhen</t>
  </si>
  <si>
    <t>Guodazhai Yizu Baizu Xiang</t>
  </si>
  <si>
    <t>Guoqing Xiang</t>
  </si>
  <si>
    <t>Guozhu Yizu Xiang</t>
  </si>
  <si>
    <t>Haidai Zhen</t>
  </si>
  <si>
    <t>Haidong Zhen</t>
  </si>
  <si>
    <t>Haikou Jiedao</t>
  </si>
  <si>
    <t>Haikou Zhen</t>
  </si>
  <si>
    <t>Haizi Zhen</t>
  </si>
  <si>
    <t>Hanzhuang Zhen</t>
  </si>
  <si>
    <t>Hedian Zhen</t>
  </si>
  <si>
    <t>Hehua Zhen</t>
  </si>
  <si>
    <t>Heijing Zhen</t>
  </si>
  <si>
    <t>Heilinpu Jiedao</t>
  </si>
  <si>
    <t>Heishu Zhen</t>
  </si>
  <si>
    <t>Heizhiguo Xiang</t>
  </si>
  <si>
    <t>Hekou Zhen (Honghe Hanizu Yizu Zizhizhou)</t>
  </si>
  <si>
    <t>Hekou Zhen (Kunming Shi)</t>
  </si>
  <si>
    <t>Hepai Xiang</t>
  </si>
  <si>
    <t>Heping Zhen (Chuxiong Yizu Zizhizhou)</t>
  </si>
  <si>
    <t>Heping Zhen (Honghe Hanizu Yizu Zizhizhou)</t>
  </si>
  <si>
    <t>Heping Zhen (Pu'er Shi)</t>
  </si>
  <si>
    <t>Heshun Zhen</t>
  </si>
  <si>
    <t>Hetu Jiedao</t>
  </si>
  <si>
    <t>Hexi Xiang (Dehong Daizu Jingpozu Zizhizhou)</t>
  </si>
  <si>
    <t>Hexi Xiang (Nujiang Lisuzu Zizhizhou)</t>
  </si>
  <si>
    <t>Hexi Zhen</t>
  </si>
  <si>
    <t>Heyuan Xiang</t>
  </si>
  <si>
    <t>Hongdian Huizu Xiang</t>
  </si>
  <si>
    <t>Hongqiao Jiedao</t>
  </si>
  <si>
    <t>Hongqiao Zhen</t>
  </si>
  <si>
    <t>Hongshan Xiang</t>
  </si>
  <si>
    <t>Hongtudi Zhen</t>
  </si>
  <si>
    <t>Hongtupo Zhen</t>
  </si>
  <si>
    <t>Hongxi Zhen</t>
  </si>
  <si>
    <t>Hongyan Zhen</t>
  </si>
  <si>
    <t>Hongyun Jiedao</t>
  </si>
  <si>
    <t>Houqiao Zhen</t>
  </si>
  <si>
    <t>Houqing Yizu Xiang</t>
  </si>
  <si>
    <t>Housuo Zhen</t>
  </si>
  <si>
    <t>Huajia Xiang</t>
  </si>
  <si>
    <t>Hualang Xiang</t>
  </si>
  <si>
    <t>Huangcaoling Xiang</t>
  </si>
  <si>
    <t>Huangguayuan Zhen</t>
  </si>
  <si>
    <t>Huanghua Zhen</t>
  </si>
  <si>
    <t>Huangmaoling Xiang</t>
  </si>
  <si>
    <t>Huangnihe Zhen</t>
  </si>
  <si>
    <t>Huangping Zhen</t>
  </si>
  <si>
    <t>Huangshan Zhen</t>
  </si>
  <si>
    <t>Huanian Zhen</t>
  </si>
  <si>
    <t>Huanzhou Xiang</t>
  </si>
  <si>
    <t>Huashan Jiedao</t>
  </si>
  <si>
    <t>Huashan Xiang</t>
  </si>
  <si>
    <t>Huashan Zhen</t>
  </si>
  <si>
    <t>Huaxi Zhen</t>
  </si>
  <si>
    <t>Huguo Jiedao</t>
  </si>
  <si>
    <t>Huguo Xiang</t>
  </si>
  <si>
    <t>Huimin Zhen</t>
  </si>
  <si>
    <t>Huiyi Zhen</t>
  </si>
  <si>
    <t>Huodehong Zhen</t>
  </si>
  <si>
    <t>Huohong Xiang</t>
  </si>
  <si>
    <t>Huoshui Xiang</t>
  </si>
  <si>
    <t>Husa'a Changzu Xiang</t>
  </si>
  <si>
    <t>Hutiaoxia Zhen</t>
  </si>
  <si>
    <t>Huyu Xiang</t>
  </si>
  <si>
    <t>Jiache Xiang (Honghe Hanizu Yizu Zizhizhou)</t>
  </si>
  <si>
    <t>Jiache Xiang (Qujing Shi)</t>
  </si>
  <si>
    <t>Jiahanqing Zhen</t>
  </si>
  <si>
    <t>Jiahe Xiang</t>
  </si>
  <si>
    <t>Jiakedi Xiang</t>
  </si>
  <si>
    <t>Jiancao Xiang</t>
  </si>
  <si>
    <t>Jiangbian Xiang (Chuxiong Yizu Zizhizhou)</t>
  </si>
  <si>
    <t>Jiangbian Xiang (Honghe Hanizu Yizu Zizhizhou)</t>
  </si>
  <si>
    <t>Jiangcheng Zhen</t>
  </si>
  <si>
    <t>Jiangdi Zhen</t>
  </si>
  <si>
    <t>Jiangdong Xiang</t>
  </si>
  <si>
    <t>Jiangnei Zhen</t>
  </si>
  <si>
    <t>Jiangpo Zhen</t>
  </si>
  <si>
    <t>Jiangyi Xiang</t>
  </si>
  <si>
    <t>Jianning Jiedao</t>
  </si>
  <si>
    <t>Jianshan Xiang</t>
  </si>
  <si>
    <t>Jiantang Zhen</t>
  </si>
  <si>
    <t>Jianxing Xiang</t>
  </si>
  <si>
    <t>Jiaokui Zhen</t>
  </si>
  <si>
    <t>Jiaopingdu Zhen</t>
  </si>
  <si>
    <t>Jiasa Zhen</t>
  </si>
  <si>
    <t>Jiasha Xiang</t>
  </si>
  <si>
    <t>Jiayi Zhen</t>
  </si>
  <si>
    <t>Jiayin Zhen</t>
  </si>
  <si>
    <t>Jietou Zhen</t>
  </si>
  <si>
    <t>Jiexiang Xiang</t>
  </si>
  <si>
    <t>Jifei Zhen</t>
  </si>
  <si>
    <t>Jijie Xiang (Dali Baizu Zizhizhou)</t>
  </si>
  <si>
    <t>Jijie Xiang (Wenshan Zhuangzu Miaozu Zizhizhou)</t>
  </si>
  <si>
    <t>Jijie Zhen (Honghe Hanizu Yizu Zizhizhou)</t>
  </si>
  <si>
    <t>Jijie Zhen (Kunming Shi)</t>
  </si>
  <si>
    <t>Jili Zhen</t>
  </si>
  <si>
    <t>Jin'an Zhen</t>
  </si>
  <si>
    <t>Jinbi Jiedao</t>
  </si>
  <si>
    <t>Jinbi Zhen</t>
  </si>
  <si>
    <t>Jinchang Zhen</t>
  </si>
  <si>
    <t>Jinchen Jiedao</t>
  </si>
  <si>
    <t>Jincheng Zhen [incl. Xinjie Zhen]</t>
  </si>
  <si>
    <t>Jinding Zhen</t>
  </si>
  <si>
    <t>Jindun Xiang</t>
  </si>
  <si>
    <t>Jinfang Jiedao</t>
  </si>
  <si>
    <t>Jing'an Zhen</t>
  </si>
  <si>
    <t>Jingfu Zhen</t>
  </si>
  <si>
    <t>Jinggu Zhen</t>
  </si>
  <si>
    <t>Jingha Hanizu Xiang</t>
  </si>
  <si>
    <t>Jinghan Zhen</t>
  </si>
  <si>
    <t>Jinghong Gongye Yuanqu</t>
  </si>
  <si>
    <t>Jingne Xiang</t>
  </si>
  <si>
    <t>Jingxin Xiang</t>
  </si>
  <si>
    <t>Jingxing Zhen</t>
  </si>
  <si>
    <t>Jinhe Zhen</t>
  </si>
  <si>
    <t>Jinhua Zhen</t>
  </si>
  <si>
    <t>Jinji Xiang</t>
  </si>
  <si>
    <t>Jinjiang Baizu Xiang</t>
  </si>
  <si>
    <t>Jinjiang Zhen</t>
  </si>
  <si>
    <t>Jinma Jiedao</t>
  </si>
  <si>
    <t>Jinma Zhen</t>
  </si>
  <si>
    <t>Jinmian Xiang</t>
  </si>
  <si>
    <t>Jinniu Zhen</t>
  </si>
  <si>
    <t>Jinping Zhen (Pu'er Shi)</t>
  </si>
  <si>
    <t>Jinping Zhen (Wenshan Zhuangzu Miaozu Zizhizhou)</t>
  </si>
  <si>
    <t>Jinshan Jiedao</t>
  </si>
  <si>
    <t>Jinshan Zhen</t>
  </si>
  <si>
    <t>Jinshuihe Zhen</t>
  </si>
  <si>
    <t>Jintang Zhen</t>
  </si>
  <si>
    <t>Jinuo Shanjinuozu Xiang</t>
  </si>
  <si>
    <t>Jinyuan Xiang</t>
  </si>
  <si>
    <t>Jinzhong Zhen [incl. Jinzhong Jiedao, Gucheng Jiedao, Baoyun Jiedao]</t>
  </si>
  <si>
    <t>Jiubao'a Changzu Xiang</t>
  </si>
  <si>
    <t>Jiucheng Xiang</t>
  </si>
  <si>
    <t>Jiucheng Zhen (Dehong Daizu Jingpozu Zizhizhou)</t>
  </si>
  <si>
    <t>Jiucheng Zhen (Honghe Hanizu Yizu Zizhizhou)</t>
  </si>
  <si>
    <t>Jiucheng Zhen (Zhaotong Shi)</t>
  </si>
  <si>
    <t>Jiucun Zhen</t>
  </si>
  <si>
    <t>Jiufang Xiang</t>
  </si>
  <si>
    <t>Jiuhe Baizu Xiang</t>
  </si>
  <si>
    <t>Jiujia Zhen</t>
  </si>
  <si>
    <t>Jiujing Hanizu Xiang</t>
  </si>
  <si>
    <t>Jiulong Jiedao (Qujing Shi)</t>
  </si>
  <si>
    <t>Jiulong Jiedao (Yuxi Shi)</t>
  </si>
  <si>
    <t>Jiulong Zhen</t>
  </si>
  <si>
    <t>Jiumo Xiang</t>
  </si>
  <si>
    <t>Jiupu Zhen</t>
  </si>
  <si>
    <t>Jiuwuji Yizu Xiang</t>
  </si>
  <si>
    <t>Jiuxi Zhen</t>
  </si>
  <si>
    <t>Jiuxian Jiedao</t>
  </si>
  <si>
    <t>Jiuxiang Yizu Huizu Xiang</t>
  </si>
  <si>
    <t>Jiyi Zhen</t>
  </si>
  <si>
    <t>Jizushan Zhen</t>
  </si>
  <si>
    <t>Judian Zhen</t>
  </si>
  <si>
    <t>Juli Zhen</t>
  </si>
  <si>
    <t>Junsai Wazu Lahuzu Lisuzu De'angzu Xiang</t>
  </si>
  <si>
    <t>Kachang Zhen</t>
  </si>
  <si>
    <t>Kafang Zhen</t>
  </si>
  <si>
    <t>Kaihua Zhen [incl. Kaihua Jiedao, Wolong jiedao, Xinping Jiedao]</t>
  </si>
  <si>
    <t>Kangping Zhen</t>
  </si>
  <si>
    <t>Kangpu Xiang</t>
  </si>
  <si>
    <t>Kasi Zhen</t>
  </si>
  <si>
    <t>Kedu Zhen</t>
  </si>
  <si>
    <t>Kejie Zhen</t>
  </si>
  <si>
    <t>Konglongshan Zhen</t>
  </si>
  <si>
    <t>Kuangshan Zhen</t>
  </si>
  <si>
    <t>Kuangyuan Jiedao [incl. Nanyang Jiedao]</t>
  </si>
  <si>
    <t>Kuanzhuang Zhen</t>
  </si>
  <si>
    <t>Kuishan Zhen</t>
  </si>
  <si>
    <t>Kuixiang Miaozu Yizu Xiang</t>
  </si>
  <si>
    <t>Kunming Guojia Gaoxin Jishu Chanye Kaifaqu</t>
  </si>
  <si>
    <t>Kunming Jingji Jishu Kaifaqu</t>
  </si>
  <si>
    <t>Kunming Lianchiguojia Luyou Dujiaqu</t>
  </si>
  <si>
    <t>Kunyang Jiedao [incl. Baofeng Jiedao]</t>
  </si>
  <si>
    <t>Laba Xiang</t>
  </si>
  <si>
    <t>Labo Xiang</t>
  </si>
  <si>
    <t>Laibin Jiedao [incl. Fenghuang Jiedao]</t>
  </si>
  <si>
    <t>Lajing Zhen</t>
  </si>
  <si>
    <t>Lameng Zhen</t>
  </si>
  <si>
    <t>Lancheng Jiedao</t>
  </si>
  <si>
    <t>Langdi Zhen</t>
  </si>
  <si>
    <t>Lanniqing Xiang</t>
  </si>
  <si>
    <t>Laochang Xiang (Luoping Xian)</t>
  </si>
  <si>
    <t>Laochang Xiang (Huize Xian)</t>
  </si>
  <si>
    <t>Laochang Xiang (Yuxi Shi)</t>
  </si>
  <si>
    <t>Laochang Zhen (Honghe Hanizu Yizu Zizhizhou)</t>
  </si>
  <si>
    <t>Laochang Zhen (Qujing Shi)</t>
  </si>
  <si>
    <t>Laocheng Xiang</t>
  </si>
  <si>
    <t>Laodian Zhen</t>
  </si>
  <si>
    <t>Laofanzhai Xiang</t>
  </si>
  <si>
    <t>Laojizhai Xiang</t>
  </si>
  <si>
    <t>Laojunshan Zhen</t>
  </si>
  <si>
    <t>Laomai Xiang</t>
  </si>
  <si>
    <t>Laomeng Zhen</t>
  </si>
  <si>
    <t>Laowo Zhen</t>
  </si>
  <si>
    <t>Laozhai Miaozu Xiang</t>
  </si>
  <si>
    <t>Lashi Zhen</t>
  </si>
  <si>
    <t>Lawu Yizu Xiang</t>
  </si>
  <si>
    <t>Lebaidao Jiedao</t>
  </si>
  <si>
    <t>Lefeng Xiang</t>
  </si>
  <si>
    <t>Lehong Zhen</t>
  </si>
  <si>
    <t>Leju Zhen</t>
  </si>
  <si>
    <t>Lengquan Zhen</t>
  </si>
  <si>
    <t>Leqiu Xiang</t>
  </si>
  <si>
    <t>Leye Zhen</t>
  </si>
  <si>
    <t>Leyu Zhen</t>
  </si>
  <si>
    <t>Liancheng Zhen</t>
  </si>
  <si>
    <t>Lianchi Xiang</t>
  </si>
  <si>
    <t>Lianfeng Zhen</t>
  </si>
  <si>
    <t>Lianghe Zhen</t>
  </si>
  <si>
    <t>Liangshan Xiang</t>
  </si>
  <si>
    <t>Liangwan Zhen</t>
  </si>
  <si>
    <t>Lianhe Xiang</t>
  </si>
  <si>
    <t>Lianhua Jiedao</t>
  </si>
  <si>
    <t>Lianhuatan Xiang</t>
  </si>
  <si>
    <t>Lianhuatang Xiang</t>
  </si>
  <si>
    <t>Lianmeng Jiedao</t>
  </si>
  <si>
    <t>Lianran Jiedao</t>
  </si>
  <si>
    <t>Liantie Xiang</t>
  </si>
  <si>
    <t>Lianzhu Zhen</t>
  </si>
  <si>
    <t>Liaokuo Jiedao</t>
  </si>
  <si>
    <t>Lida Zhen</t>
  </si>
  <si>
    <t>Lihaozhai Xiang</t>
  </si>
  <si>
    <t>Lijiang Zhen [incl. Lijiang Jiedao, Honghe Jiedao]</t>
  </si>
  <si>
    <t>Lijiao Zhen</t>
  </si>
  <si>
    <t>Limin Xiang</t>
  </si>
  <si>
    <t>Liming Lisuzu Xiang</t>
  </si>
  <si>
    <t>Liming Xiang</t>
  </si>
  <si>
    <t>Lin'an Zhen</t>
  </si>
  <si>
    <t>Linfeng Zhen</t>
  </si>
  <si>
    <t>Lingjiao Xiang</t>
  </si>
  <si>
    <t>Lingquan Jiedao</t>
  </si>
  <si>
    <t>Linjie Xiang</t>
  </si>
  <si>
    <t>Linkou Yizu Miaozu Xiang</t>
  </si>
  <si>
    <t>Liqi Jiedao</t>
  </si>
  <si>
    <t>Lishan Yizu Xiang</t>
  </si>
  <si>
    <t>Lishu Yizu Daizu Xiang</t>
  </si>
  <si>
    <t>Lisuo Lahuzu Xiang</t>
  </si>
  <si>
    <t>Liuchang Zhen</t>
  </si>
  <si>
    <t>Liude Lisuzu Yizu Xiang</t>
  </si>
  <si>
    <t>Liuhe Xiang</t>
  </si>
  <si>
    <t>Liuhe Yizu Xiang</t>
  </si>
  <si>
    <t>Liujia Jiedao</t>
  </si>
  <si>
    <t>Liujie Jiedao</t>
  </si>
  <si>
    <t>Liujie Zhen</t>
  </si>
  <si>
    <t>Liujing Yizu Xiang</t>
  </si>
  <si>
    <t>Liuju Zhen</t>
  </si>
  <si>
    <t>Liuku Zhen</t>
  </si>
  <si>
    <t>Liushao Xiang</t>
  </si>
  <si>
    <t>Liushun Zhen</t>
  </si>
  <si>
    <t>Liuxi Miaozu Xiang</t>
  </si>
  <si>
    <t>Long'an Zhen</t>
  </si>
  <si>
    <t>Longba Zhen</t>
  </si>
  <si>
    <t>Longchang Zhen</t>
  </si>
  <si>
    <t>Longcheng Jiedao</t>
  </si>
  <si>
    <t>Longchuan Zhen</t>
  </si>
  <si>
    <t>Longhai Xiang</t>
  </si>
  <si>
    <t>Longhai Zhen</t>
  </si>
  <si>
    <t>Longjiang Xiang</t>
  </si>
  <si>
    <t>Longjie Jiedao</t>
  </si>
  <si>
    <t>Longjie Miaozu Yizu Xiang</t>
  </si>
  <si>
    <t>Longjie Xiang</t>
  </si>
  <si>
    <t>Longjie Zhen (Chuxiong Yizu Zizhizhou)</t>
  </si>
  <si>
    <t>Longjie Zhen (Dali Baizu Zizhizhou)</t>
  </si>
  <si>
    <t>Longkaikou Zhen</t>
  </si>
  <si>
    <t>Longmen Xiang</t>
  </si>
  <si>
    <t>Longpan Xiang</t>
  </si>
  <si>
    <t>Longpeng Zhen</t>
  </si>
  <si>
    <t>Longqing Yizu Zhuangzu Xiang</t>
  </si>
  <si>
    <t>Longquan Jiedao (Kunming Shi)</t>
  </si>
  <si>
    <t>Longquan Jiedao (Yuxi Shi)</t>
  </si>
  <si>
    <t>Longquan Jiedao (Zhaotong Shi)</t>
  </si>
  <si>
    <t>Longshan Zhen</t>
  </si>
  <si>
    <t>Longshu Zhen</t>
  </si>
  <si>
    <t>Longtan Xiang (Dali Baizu Zizhizhou)</t>
  </si>
  <si>
    <t>Longtan Xiang (Pu'er Shi)</t>
  </si>
  <si>
    <t>Longtan Xiang (Yuxi Shi)</t>
  </si>
  <si>
    <t>Longtan Yizu Daizu Xiang</t>
  </si>
  <si>
    <t>Longtan Zhen</t>
  </si>
  <si>
    <t>Longtoushan Zhen</t>
  </si>
  <si>
    <t>Longwu Zhen</t>
  </si>
  <si>
    <t>Longxiang Jiedao</t>
  </si>
  <si>
    <t>Longxin Xiang</t>
  </si>
  <si>
    <t>Lubiao Jiedao</t>
  </si>
  <si>
    <t>Lubuge Buyizu Miaozu Xiang</t>
  </si>
  <si>
    <t>Lucheng Zhen</t>
  </si>
  <si>
    <t>Ludian Xiang</t>
  </si>
  <si>
    <t>Ludila Zhen [Dongfeng Xiang]</t>
  </si>
  <si>
    <t>Lufang Xiang</t>
  </si>
  <si>
    <t>Lufu Jiedao</t>
  </si>
  <si>
    <t>Luhe Zhen</t>
  </si>
  <si>
    <t>Lujiang Zhen</t>
  </si>
  <si>
    <t>Luju Zhen</t>
  </si>
  <si>
    <t>Luliang Huaqiao Guanliqu</t>
  </si>
  <si>
    <t>Lumadeng Xiang</t>
  </si>
  <si>
    <t>Luming Xiang</t>
  </si>
  <si>
    <t>Luna Xiang</t>
  </si>
  <si>
    <t>Luobenzhuo Baizu Xiang</t>
  </si>
  <si>
    <t>Luobu Zhen</t>
  </si>
  <si>
    <t>Luodang Zhen</t>
  </si>
  <si>
    <t>Luo'en Xiang</t>
  </si>
  <si>
    <t>Luohe Yizu Xiang</t>
  </si>
  <si>
    <t>Luoji Xiang</t>
  </si>
  <si>
    <t>Luokan Zhen</t>
  </si>
  <si>
    <t>Luolong Jiedao</t>
  </si>
  <si>
    <t>Luomian Zhen</t>
  </si>
  <si>
    <t>Luoshui Zhen</t>
  </si>
  <si>
    <t>Luowang Miaozu Xiang</t>
  </si>
  <si>
    <t>Luowuzhuang Xiang</t>
  </si>
  <si>
    <t>Luoxiong Zhen [incl. Luoxiong Jiedao, Lashan Jiedao]</t>
  </si>
  <si>
    <t>Luoyan Xiang</t>
  </si>
  <si>
    <t>Luoyang Jiedao</t>
  </si>
  <si>
    <t>Luozehe Zhen</t>
  </si>
  <si>
    <t>Lushi Zhen</t>
  </si>
  <si>
    <t>Luzhang Zhen</t>
  </si>
  <si>
    <t>Luzhi Zhen</t>
  </si>
  <si>
    <t>Ma'andi Xiang</t>
  </si>
  <si>
    <t>Ma'anshan Xiang</t>
  </si>
  <si>
    <t>Mabai Zhen</t>
  </si>
  <si>
    <t>Madeng Zhen</t>
  </si>
  <si>
    <t>Maguohe Zhen</t>
  </si>
  <si>
    <t>Maji Xiang</t>
  </si>
  <si>
    <t>Majie Jiedao</t>
  </si>
  <si>
    <t>Majie Xiang (Honghe Hanizu Yizu Zizhizhou)</t>
  </si>
  <si>
    <t>Majie Xiang (Wenshan Zhuangzu Miaozu Zizhizhou)</t>
  </si>
  <si>
    <t>Majie Zhen (Chuxiong Yizu Zizhizhou)</t>
  </si>
  <si>
    <t>Majie Zhen (Kunming Shi)</t>
  </si>
  <si>
    <t>Majie Zhen (Luliang Xian)</t>
  </si>
  <si>
    <t>Majie Zhen (Luoping Xian)</t>
  </si>
  <si>
    <t>Majinpu Jiedao</t>
  </si>
  <si>
    <t>Makou Zhen</t>
  </si>
  <si>
    <t>Mali Zhen</t>
  </si>
  <si>
    <t>Malu Xiang</t>
  </si>
  <si>
    <t>Malutang Xiang</t>
  </si>
  <si>
    <t>Maming Xiang</t>
  </si>
  <si>
    <t>Manan Miaozu Yizu Xiang</t>
  </si>
  <si>
    <t>Mandeng Xiang</t>
  </si>
  <si>
    <t>Mangbang Zhen</t>
  </si>
  <si>
    <t>Mangbing Xiang</t>
  </si>
  <si>
    <t>Mangbu Zhen</t>
  </si>
  <si>
    <t>Mangdong Zhen</t>
  </si>
  <si>
    <t>Manghai Zhen</t>
  </si>
  <si>
    <t>Manghong Lahuzu Bulangzu Xiang</t>
  </si>
  <si>
    <t>Manghuai Yizu Bulangzu Xiang</t>
  </si>
  <si>
    <t>Mangka Zhen</t>
  </si>
  <si>
    <t>Mangkuan Yizu Daizu Xiang</t>
  </si>
  <si>
    <t>Mangnuo Xiang</t>
  </si>
  <si>
    <t>Mangpan Jiedao</t>
  </si>
  <si>
    <t>Mangshi Zhen</t>
  </si>
  <si>
    <t>Mangshui Zhen</t>
  </si>
  <si>
    <t>Mangxin Zhen</t>
  </si>
  <si>
    <t>Mangzhang Xiang</t>
  </si>
  <si>
    <t>Manhao Zhen</t>
  </si>
  <si>
    <t>Manjiang Jiedao</t>
  </si>
  <si>
    <t>Manlai Zhen [incl. Dong'e Zhen, Yangchajie Xiang]</t>
  </si>
  <si>
    <t>Manwan Zhen (Lincang Shi)</t>
  </si>
  <si>
    <t>Manwan Zhen (Pu'er Shi)</t>
  </si>
  <si>
    <t>Maojie Zhen</t>
  </si>
  <si>
    <t>Maolan Zhen</t>
  </si>
  <si>
    <t>Maolin Zhen</t>
  </si>
  <si>
    <t>Maoshan Zhen</t>
  </si>
  <si>
    <t>Maozu Zhen</t>
  </si>
  <si>
    <t>Mashu Zhen</t>
  </si>
  <si>
    <t>Matai Xiang</t>
  </si>
  <si>
    <t>Matang Zhen</t>
  </si>
  <si>
    <t>Mayidui Xiang</t>
  </si>
  <si>
    <t>Mazhan Xiang</t>
  </si>
  <si>
    <t>Meizi Zhen</t>
  </si>
  <si>
    <t>Meng'a Zhen</t>
  </si>
  <si>
    <t>Mengban Xiang</t>
  </si>
  <si>
    <t>Mengban Zhen</t>
  </si>
  <si>
    <t>Mengda Zhen</t>
  </si>
  <si>
    <t>Mengding Zhen</t>
  </si>
  <si>
    <t>Mengdong Yaozu Xiang</t>
  </si>
  <si>
    <t>Mengdong Zhen</t>
  </si>
  <si>
    <t>Mengdui Xiang</t>
  </si>
  <si>
    <t>Menggu Zhen</t>
  </si>
  <si>
    <t>Menghai Zhen</t>
  </si>
  <si>
    <t>Menghan Zhen</t>
  </si>
  <si>
    <t>Menghu Xiang</t>
  </si>
  <si>
    <t>Menghuan Jiedao</t>
  </si>
  <si>
    <t>Menghun Zhen</t>
  </si>
  <si>
    <t>Mengjia Zhen</t>
  </si>
  <si>
    <t>Mengjian Xiang</t>
  </si>
  <si>
    <t>Mengjiao Daizu Yizu Lahuzu Xiang</t>
  </si>
  <si>
    <t>Mengka Zhen</t>
  </si>
  <si>
    <t>Mengku Zhen</t>
  </si>
  <si>
    <t>Mengla Zhen</t>
  </si>
  <si>
    <t>Menglai Xiang</t>
  </si>
  <si>
    <t>Menglang Zhen</t>
  </si>
  <si>
    <t>Menglie Zhen</t>
  </si>
  <si>
    <t>Menglong Zhen</t>
  </si>
  <si>
    <t>Menglun Zhen</t>
  </si>
  <si>
    <t>Mengma Zhen</t>
  </si>
  <si>
    <t>Mengman Zhen (Menghai Xian)</t>
  </si>
  <si>
    <t>Mengman Zhen (Mengla Xian)</t>
  </si>
  <si>
    <t>Mengmao Zhen</t>
  </si>
  <si>
    <t>Mengmeng Zhen</t>
  </si>
  <si>
    <t>Mengnong Xiang</t>
  </si>
  <si>
    <t>Mengnong Yizu Xiang</t>
  </si>
  <si>
    <t>Mengnuo Zhen</t>
  </si>
  <si>
    <t>Mengpeng Zhen (Lincang Shi)</t>
  </si>
  <si>
    <t>Mengpeng Zhen (Xishuangbanna Daizu Zizhizhou)</t>
  </si>
  <si>
    <t>Mengqiao Xiang</t>
  </si>
  <si>
    <t>Mengsa Zhen</t>
  </si>
  <si>
    <t>Mengsheng Zhen</t>
  </si>
  <si>
    <t>Mengsong Xiang</t>
  </si>
  <si>
    <t>Mengsuo Zhen</t>
  </si>
  <si>
    <t>Mengtong Zhen</t>
  </si>
  <si>
    <t>Mengwang Xiang</t>
  </si>
  <si>
    <t>Mengxian Zhen</t>
  </si>
  <si>
    <t>Mengxiu Xiang</t>
  </si>
  <si>
    <t>Mengyang Zhen (Dehong Daizu Jingpozu Zizhizhou)</t>
  </si>
  <si>
    <t>Mengyang Zhen (Xishuangbanna Daizu Zizhizhou)</t>
  </si>
  <si>
    <t>Mengyong Zhen</t>
  </si>
  <si>
    <t>Mengyou Zhen</t>
  </si>
  <si>
    <t>Mengyue Xiang</t>
  </si>
  <si>
    <t>Mengzhe Zhen</t>
  </si>
  <si>
    <t>Miandian Zhen</t>
  </si>
  <si>
    <t>Miaoba Zhen</t>
  </si>
  <si>
    <t>Miaogou Zhen</t>
  </si>
  <si>
    <t>Miaojie Zhen</t>
  </si>
  <si>
    <t>Miaowei Lisuzu Xiang [Biaocun Xiang]</t>
  </si>
  <si>
    <t>Micheng Zhen</t>
  </si>
  <si>
    <t>Midian Zhen</t>
  </si>
  <si>
    <t>Miechang Xiang</t>
  </si>
  <si>
    <t>Mili Xiang</t>
  </si>
  <si>
    <t>Mingguang Zhen</t>
  </si>
  <si>
    <t>Mingjiu Zhen</t>
  </si>
  <si>
    <t>Mingyin Zhen</t>
  </si>
  <si>
    <t>Minjian Xiang</t>
  </si>
  <si>
    <t>Minle Zhen</t>
  </si>
  <si>
    <t>Misha Xiang</t>
  </si>
  <si>
    <t>Mixing Zhen</t>
  </si>
  <si>
    <t>Miyang Zhen</t>
  </si>
  <si>
    <t>Mizhi Zhen</t>
  </si>
  <si>
    <t>Mohan Xiang</t>
  </si>
  <si>
    <t>Mohan Zhen [Shangyong Zhen]</t>
  </si>
  <si>
    <t>Mohei Zhen</t>
  </si>
  <si>
    <t>Mohong Zhen</t>
  </si>
  <si>
    <t>Mosha Zhen</t>
  </si>
  <si>
    <t>Muchang Xiang</t>
  </si>
  <si>
    <t>Muchang Zhen</t>
  </si>
  <si>
    <t>Mucheng Yizu Lisuzu Xiang</t>
  </si>
  <si>
    <t>Mugan Zhen</t>
  </si>
  <si>
    <t>Mujia Xiang</t>
  </si>
  <si>
    <t>Mulaoyuan Bulangzu Yizu Xiang</t>
  </si>
  <si>
    <t>Muxiang Zhen</t>
  </si>
  <si>
    <t>Muyang Zhen</t>
  </si>
  <si>
    <t>Muzhuo Zhen</t>
  </si>
  <si>
    <t>Nabang Zhen</t>
  </si>
  <si>
    <t>Nagu Zhen</t>
  </si>
  <si>
    <t>Naha Xiang</t>
  </si>
  <si>
    <t>Nan'an Zhen</t>
  </si>
  <si>
    <t>Naneng Xiang</t>
  </si>
  <si>
    <t>Nangsong'a Changzu Xiang</t>
  </si>
  <si>
    <t>Nanjian Zhen</t>
  </si>
  <si>
    <t>Nanlao Xiang</t>
  </si>
  <si>
    <t>Nanling Xiang</t>
  </si>
  <si>
    <t>Nanmei Lahuzu Xiang</t>
  </si>
  <si>
    <t>Nanning Jiedao</t>
  </si>
  <si>
    <t>Nanping Zhen (Pu'er Shi)</t>
  </si>
  <si>
    <t>Nanping Zhen (Wenshan Zhuangzu Miaozu Zizhizhou)</t>
  </si>
  <si>
    <t>Nansan Zhen</t>
  </si>
  <si>
    <t>Nansha Zhen</t>
  </si>
  <si>
    <t>Nanuo Xiang</t>
  </si>
  <si>
    <t>Nanxi Zhen</t>
  </si>
  <si>
    <t>Nanzhao Zhen</t>
  </si>
  <si>
    <t>Nanzhuang Zhen</t>
  </si>
  <si>
    <t>Nasa Zhen</t>
  </si>
  <si>
    <t>Nayun Zhen</t>
  </si>
  <si>
    <t>Nazhang Zhen</t>
  </si>
  <si>
    <t>Nijiao Yizu Xiang</t>
  </si>
  <si>
    <t>Ning'er Zhen</t>
  </si>
  <si>
    <t>Ningli Xiang</t>
  </si>
  <si>
    <t>Ningzhou Jiedao</t>
  </si>
  <si>
    <t>Niuchang Zhen</t>
  </si>
  <si>
    <t>Niujiaozhai Zhen</t>
  </si>
  <si>
    <t>Niujie Xiang (Weishan Yizu Huizu Zizhixian)</t>
  </si>
  <si>
    <t>Niujie Xiang (Ĕryuan Xian)</t>
  </si>
  <si>
    <t>Niujie Yizu Xiang</t>
  </si>
  <si>
    <t>Niujie Zhen (Honghe Hanizu Yizu Zizhizhou)</t>
  </si>
  <si>
    <t>Niujie Zhen (Zhaotong Shi)</t>
  </si>
  <si>
    <t>Niukong Zhen</t>
  </si>
  <si>
    <t>Niulanjiang Zhen</t>
  </si>
  <si>
    <t>Niuzhai Xiang</t>
  </si>
  <si>
    <t>Nixi Xiang</t>
  </si>
  <si>
    <t>Nongdao Zhen</t>
  </si>
  <si>
    <t>Nongzhang Zhen</t>
  </si>
  <si>
    <t>Nuodeng Zhen</t>
  </si>
  <si>
    <t>Nuofu Xiang</t>
  </si>
  <si>
    <t>Nuoliang Xiang</t>
  </si>
  <si>
    <t>Nuozhadu Zhen</t>
  </si>
  <si>
    <t>Panhe Zhen</t>
  </si>
  <si>
    <t>Panjiang Xiang</t>
  </si>
  <si>
    <t>Panjiang Zhen [incl. Huashan Jiedao]</t>
  </si>
  <si>
    <t>Panlong Yizu Xiang</t>
  </si>
  <si>
    <t>Panmao Xiang</t>
  </si>
  <si>
    <t>Pantiange Xiang</t>
  </si>
  <si>
    <t>Panxi Zhen</t>
  </si>
  <si>
    <t>Panzhihua Xiang</t>
  </si>
  <si>
    <t>Paomaping Xiang</t>
  </si>
  <si>
    <t>Pengdang Xiang</t>
  </si>
  <si>
    <t>Pengpu Zhen</t>
  </si>
  <si>
    <t>Pianjiao Zhen</t>
  </si>
  <si>
    <t>Pianma Zhen</t>
  </si>
  <si>
    <t>Pihe Nuzu Xiang</t>
  </si>
  <si>
    <t>Pingba Zhen</t>
  </si>
  <si>
    <t>Pingchuan Zhen</t>
  </si>
  <si>
    <t>Pingcun Yizu Daizu Xiang</t>
  </si>
  <si>
    <t>Pingda Xiang</t>
  </si>
  <si>
    <t>Pingdian Xiang</t>
  </si>
  <si>
    <t>Pinghe Zhen</t>
  </si>
  <si>
    <t>Pingpo Zhen</t>
  </si>
  <si>
    <t>Pingshan Jiedao [incl. Chongde Jiedao]</t>
  </si>
  <si>
    <t>Pingshan Xiang</t>
  </si>
  <si>
    <t>Pingshang Zhen</t>
  </si>
  <si>
    <t>Pingtian Xiang</t>
  </si>
  <si>
    <t>Pingyuan Zhen</t>
  </si>
  <si>
    <t>Pingzhai Xiang</t>
  </si>
  <si>
    <t>Pingzhang Xiang</t>
  </si>
  <si>
    <t>Poji Zhen</t>
  </si>
  <si>
    <t>Pojiao Zhen</t>
  </si>
  <si>
    <t>Potou Xiang</t>
  </si>
  <si>
    <t>Potou Zhen</t>
  </si>
  <si>
    <t>Pubei Yizu Xiang</t>
  </si>
  <si>
    <t>Puchuan Xiang</t>
  </si>
  <si>
    <t>Pu'er Zhen</t>
  </si>
  <si>
    <t>Puji Jiedao</t>
  </si>
  <si>
    <t>Puladi Xiang</t>
  </si>
  <si>
    <t>Puli Xiang</t>
  </si>
  <si>
    <t>Pupeng Zhen</t>
  </si>
  <si>
    <t>Pupiao Zhen</t>
  </si>
  <si>
    <t>Puwen Zhen</t>
  </si>
  <si>
    <t>Puxiong Xiang</t>
  </si>
  <si>
    <t>Puyi Xiang</t>
  </si>
  <si>
    <t>Qianchang Zhen</t>
  </si>
  <si>
    <t>Qianliu Yizu Xiang</t>
  </si>
  <si>
    <t>Qianwei Jiedao</t>
  </si>
  <si>
    <t>Qianwei Zhen</t>
  </si>
  <si>
    <t>Qiaodian Zhen</t>
  </si>
  <si>
    <t>Qiaohou Zhen</t>
  </si>
  <si>
    <t>Qiaoshan Zhen</t>
  </si>
  <si>
    <t>Qiaotou Miaozu Zhuangzu Xiang</t>
  </si>
  <si>
    <t>Qidian Jiedao</t>
  </si>
  <si>
    <t>Qihe Zhen</t>
  </si>
  <si>
    <t>Qilubai Miaozu Xiang</t>
  </si>
  <si>
    <t>Qimaba Xiang</t>
  </si>
  <si>
    <t>Qina Zhen</t>
  </si>
  <si>
    <t>Qinfeng Zhen</t>
  </si>
  <si>
    <t>Qinggangling Huizu Yizu Xiang</t>
  </si>
  <si>
    <t>Qinghua Xiang</t>
  </si>
  <si>
    <t>Qinglong Jiedao</t>
  </si>
  <si>
    <t>Qinglong Zhen (Honghe Hanizu Yizu Zizhizhou)</t>
  </si>
  <si>
    <t>Qinglong Zhen (Yuxi Shi)</t>
  </si>
  <si>
    <t>Qingping Xiang</t>
  </si>
  <si>
    <t>Qingsheng Xiang</t>
  </si>
  <si>
    <t>Qingshui Xiang</t>
  </si>
  <si>
    <t>Qingyun Jiedao</t>
  </si>
  <si>
    <t>Qixing Zhen</t>
  </si>
  <si>
    <t>Quannei Xiang</t>
  </si>
  <si>
    <t>Qujiang Zhen</t>
  </si>
  <si>
    <t>Qushi Zhen</t>
  </si>
  <si>
    <t>Qushui Zhen</t>
  </si>
  <si>
    <t>Rende Jiedao [incl. Tangzi Jiedao, Jinsuo Jiedao]</t>
  </si>
  <si>
    <t>Renhe Zhen (Baoshan Shi)</t>
  </si>
  <si>
    <t>Renhe Zhen (Lijiang Shi)</t>
  </si>
  <si>
    <t>Renhe Zhen (Wenshan Zhuangzu Miaozu Zizhizhou)</t>
  </si>
  <si>
    <t>Renxing Zhen</t>
  </si>
  <si>
    <t>Reshui Zhen</t>
  </si>
  <si>
    <t>Rongjiang Zhen</t>
  </si>
  <si>
    <t>Sanba Naxizu Xiang</t>
  </si>
  <si>
    <t>Sanbao Jiedao</t>
  </si>
  <si>
    <t>Sanchahe Zhen (Chuxiong Yizu Zizhizhou)</t>
  </si>
  <si>
    <t>Sanchahe Zhen (Lincang Shi)</t>
  </si>
  <si>
    <t>Sanchahe Zhen (Qujing Shi)</t>
  </si>
  <si>
    <t>Sanchuan Zhen</t>
  </si>
  <si>
    <t>Sancun Xiang</t>
  </si>
  <si>
    <t>Sandan Zhen</t>
  </si>
  <si>
    <t>Sanjie Zhen</t>
  </si>
  <si>
    <t>Sanmeng Xiang</t>
  </si>
  <si>
    <t>Santai Xiang</t>
  </si>
  <si>
    <t>Santaishan De'angzu Xiang</t>
  </si>
  <si>
    <t>Santang Xiang</t>
  </si>
  <si>
    <t>Santao Xiang</t>
  </si>
  <si>
    <t>Sanying Zhen</t>
  </si>
  <si>
    <t>Sayingpan Zhen</t>
  </si>
  <si>
    <t>Sayu Zhen</t>
  </si>
  <si>
    <t>Shadian Jiedao</t>
  </si>
  <si>
    <t>Shahe Xiang</t>
  </si>
  <si>
    <t>Shalatuo Xiang</t>
  </si>
  <si>
    <t>Shalong Zhen</t>
  </si>
  <si>
    <t>Shangcun Xiang</t>
  </si>
  <si>
    <t>Shanggaoqiao Huizu Yizu Miaozu Xiang</t>
  </si>
  <si>
    <t>Shangguan Zhen [Jiangwei Zhen]</t>
  </si>
  <si>
    <t>Shangjiang Xiang</t>
  </si>
  <si>
    <t>Shangjiang Zhen</t>
  </si>
  <si>
    <t>Shangpa Zhen</t>
  </si>
  <si>
    <t>Shangsuan Zhen</t>
  </si>
  <si>
    <t>Shangxincheng Xiang</t>
  </si>
  <si>
    <t>Shangyun Zhen</t>
  </si>
  <si>
    <t>Shanshu Xiang</t>
  </si>
  <si>
    <t>Shanyang Zhen</t>
  </si>
  <si>
    <t>Shaochong Zhen</t>
  </si>
  <si>
    <t>Shaqiao Zhen</t>
  </si>
  <si>
    <t>Shaxi Zhen</t>
  </si>
  <si>
    <t>Shayipo Xiang</t>
  </si>
  <si>
    <t>Shede Yizu Xiang</t>
  </si>
  <si>
    <t>Shekuai Xiang</t>
  </si>
  <si>
    <t>Shengping Zhen</t>
  </si>
  <si>
    <t>Shibalianshan Zhen</t>
  </si>
  <si>
    <t>Shideng Xiang</t>
  </si>
  <si>
    <t>Shigu Zhen</t>
  </si>
  <si>
    <t>Shijie Yizu Xiang</t>
  </si>
  <si>
    <t>Shili Xiang</t>
  </si>
  <si>
    <t>Shilin Jiedao</t>
  </si>
  <si>
    <t>Shilongba Zhen</t>
  </si>
  <si>
    <t>Shishan Zhen</t>
  </si>
  <si>
    <t>Shitou Baizu Xiang</t>
  </si>
  <si>
    <t>Shitouzhai Xiang</t>
  </si>
  <si>
    <t>Shiyang Zhen</t>
  </si>
  <si>
    <t>Shiyueliang Xiang</t>
  </si>
  <si>
    <t>Shizhong Xiang</t>
  </si>
  <si>
    <t>Shizi Zhen</t>
  </si>
  <si>
    <t>Shoushan Zhen</t>
  </si>
  <si>
    <t>Shouwang Huizu Xiang</t>
  </si>
  <si>
    <t>Shuanghe Miaozu Yizu Xiang</t>
  </si>
  <si>
    <t>Shuanghe Xiang</t>
  </si>
  <si>
    <t>Shuanghe Yizu Xiang</t>
  </si>
  <si>
    <t>Shuangjiang Jiedao</t>
  </si>
  <si>
    <t>Shuanglang Zhen</t>
  </si>
  <si>
    <t>Shuanglong Jiedao (Kunming Shi)</t>
  </si>
  <si>
    <t>Shuanglong Jiedao (Qujing Shi)</t>
  </si>
  <si>
    <t>Shuanglongying Zhen</t>
  </si>
  <si>
    <t>Shuguang Xiang</t>
  </si>
  <si>
    <t>Shuhe Jiedao</t>
  </si>
  <si>
    <t>Shuichang Xiang</t>
  </si>
  <si>
    <t>Shuimo Zhen</t>
  </si>
  <si>
    <t>Shuitang Zhen</t>
  </si>
  <si>
    <t>Shuitian Xiang</t>
  </si>
  <si>
    <t>Shuitian Zhen</t>
  </si>
  <si>
    <t>Shuixie Yizu Xiang</t>
  </si>
  <si>
    <t>Shuizhai Xiang</t>
  </si>
  <si>
    <t>Shuizhu Xiang</t>
  </si>
  <si>
    <t>Shuju Xiang</t>
  </si>
  <si>
    <t>Shulin Yizu Miaozu Xiang</t>
  </si>
  <si>
    <t>Shunbi Zhen</t>
  </si>
  <si>
    <t>Shunzhou Zhen</t>
  </si>
  <si>
    <t>Shupi Yizu Xiang</t>
  </si>
  <si>
    <t>Sijie Zhen</t>
  </si>
  <si>
    <t>Simao Jiedao</t>
  </si>
  <si>
    <t>Simaogang Zhen</t>
  </si>
  <si>
    <t>Sinanjiang Zhen</t>
  </si>
  <si>
    <t>Sipaishan Xiang</t>
  </si>
  <si>
    <t>Songgui Zhen</t>
  </si>
  <si>
    <t>Songhua Jiedao</t>
  </si>
  <si>
    <t>Songping Lisuzu Yizu Xiang</t>
  </si>
  <si>
    <t>Songyang Jiedao [incl. Yangqiao Jiedao]</t>
  </si>
  <si>
    <t>Sudian Lisuzu Xiang</t>
  </si>
  <si>
    <t>Sujia Xiang</t>
  </si>
  <si>
    <t>Sujiayuan Zhen</t>
  </si>
  <si>
    <t>Suoshan Zhen</t>
  </si>
  <si>
    <t>Tacheng Xiang</t>
  </si>
  <si>
    <t>Tacheng Zhen</t>
  </si>
  <si>
    <t>Tadian Zhen</t>
  </si>
  <si>
    <t>Tai'an Xiang</t>
  </si>
  <si>
    <t>Taihe Huaqiao Guanliqu</t>
  </si>
  <si>
    <t>Taihe Jiedao</t>
  </si>
  <si>
    <t>Taihe Jiedao [Tianjing Jiedao]</t>
  </si>
  <si>
    <t>Taiping Jiedao</t>
  </si>
  <si>
    <t>Taiping Xiang</t>
  </si>
  <si>
    <t>Taiping Xincheng Jiedao</t>
  </si>
  <si>
    <t>Taiping Zhen (Baoshan Shi)</t>
  </si>
  <si>
    <t>Taiping Zhen (Chuxiong Yizu Zizhizhou)</t>
  </si>
  <si>
    <t>Taiping Zhen (Dehong Daizu Jingpozu Zizhizhou)</t>
  </si>
  <si>
    <t>Taiping Zhen (Zhaotong Shi)</t>
  </si>
  <si>
    <t>Taiyi Yizu Xiang</t>
  </si>
  <si>
    <t>Taizhong Zhen</t>
  </si>
  <si>
    <t>Tangchi Jiedao</t>
  </si>
  <si>
    <t>Tangdan Zhen</t>
  </si>
  <si>
    <t>Tangdian Zhen</t>
  </si>
  <si>
    <t>Tangfang Zhen</t>
  </si>
  <si>
    <t>Tanglang Xiang</t>
  </si>
  <si>
    <t>Tangtang Zhen</t>
  </si>
  <si>
    <t>Tanhua Xiang</t>
  </si>
  <si>
    <t>Tantou Xiang</t>
  </si>
  <si>
    <t>Taoyuan Huizu Xiang</t>
  </si>
  <si>
    <t>Taoyuan Zhen</t>
  </si>
  <si>
    <t>Tengyue Zhen</t>
  </si>
  <si>
    <t>Tianba Xiang (Pu'er Shi)</t>
  </si>
  <si>
    <t>Tianba Xiang (Qujing Shi)</t>
  </si>
  <si>
    <t>Tianba Xiang (Zhaotong Shi)</t>
  </si>
  <si>
    <t>Tianba Zhen</t>
  </si>
  <si>
    <t>Tianbao Zhen</t>
  </si>
  <si>
    <t>Tianpeng Zhen</t>
  </si>
  <si>
    <t>Tianxin Xiang</t>
  </si>
  <si>
    <t>Tianxing Xiang</t>
  </si>
  <si>
    <t>Tianxing Zhen</t>
  </si>
  <si>
    <t>Tianyuan Zhen</t>
  </si>
  <si>
    <t>Tiechang Xiang</t>
  </si>
  <si>
    <t>Tiesuo Xiang</t>
  </si>
  <si>
    <t>Tongbiguan Xiang</t>
  </si>
  <si>
    <t>Tongchang Xiang</t>
  </si>
  <si>
    <t>Tongchang Yizu Xiang</t>
  </si>
  <si>
    <t>Tongda Lisuzu Xiang</t>
  </si>
  <si>
    <t>Tongdian Zhen</t>
  </si>
  <si>
    <t>Tongdu Jiedao [incl. Bigu Jiedao]</t>
  </si>
  <si>
    <t>Tongguan Zhen</t>
  </si>
  <si>
    <t>Tonghongdian Yizu Miaozu Xiang</t>
  </si>
  <si>
    <t>Tongquan Zhen [incl. Tongquan Jiedao, Jitoucun Jiedao]</t>
  </si>
  <si>
    <t>Tongxin Zhen</t>
  </si>
  <si>
    <t>Tuanjie Jiedao</t>
  </si>
  <si>
    <t>Tuanjie Xiang</t>
  </si>
  <si>
    <t>Tuanjie Yizu Xiang</t>
  </si>
  <si>
    <t>Tuanjie Zhen</t>
  </si>
  <si>
    <t>Tuantian Xiang</t>
  </si>
  <si>
    <t>Tuantian Zhen</t>
  </si>
  <si>
    <t>Tu'e Xiang</t>
  </si>
  <si>
    <t>Tuguan Zhen</t>
  </si>
  <si>
    <t>Tujie Zhen</t>
  </si>
  <si>
    <t>Tuo'an Xiang</t>
  </si>
  <si>
    <t>Tuobuka Zhen</t>
  </si>
  <si>
    <t>Tuodian Zhen</t>
  </si>
  <si>
    <t>Tuoding Lisuzu Xiang</t>
  </si>
  <si>
    <t>Tuodong Jiedao</t>
  </si>
  <si>
    <t>Wachang Xiang</t>
  </si>
  <si>
    <t>Wadie Xiang</t>
  </si>
  <si>
    <t>Wadu Xiang</t>
  </si>
  <si>
    <t>Wafang Yizu Miaozu Xiang</t>
  </si>
  <si>
    <t>Wama Yizu Baizu Xiang</t>
  </si>
  <si>
    <t>Wanbi Daizu Lisuzu Xiang</t>
  </si>
  <si>
    <t>Wanchang Zhen</t>
  </si>
  <si>
    <t>Wande Zhen</t>
  </si>
  <si>
    <t>Wandian Daizu Xiang</t>
  </si>
  <si>
    <t>Wanding Zhen</t>
  </si>
  <si>
    <t>Wangjiazhuang Zhen [incl. Wangjiazhuang Jiedao, Zhang'antun Jiedao]</t>
  </si>
  <si>
    <t>Wangzishu Xiang</t>
  </si>
  <si>
    <t>Wanqiao Zhen</t>
  </si>
  <si>
    <t>Wanshui Jiedao [incl. Fenghua Jiedao]</t>
  </si>
  <si>
    <t>Wantang Xiang</t>
  </si>
  <si>
    <t>Wanxing Xiang</t>
  </si>
  <si>
    <t>Wase Zhen</t>
  </si>
  <si>
    <t>Wayao Zhen</t>
  </si>
  <si>
    <t>Weibaoshan Xiang</t>
  </si>
  <si>
    <t>Weide Xiang</t>
  </si>
  <si>
    <t>Weideng Xiang</t>
  </si>
  <si>
    <t>Weimo Yizu Xiang</t>
  </si>
  <si>
    <t>Weiyuan Zhen</t>
  </si>
  <si>
    <t>Wendong Wazu Xiang</t>
  </si>
  <si>
    <t>Wengdu Zhen</t>
  </si>
  <si>
    <t>Wenggake Zhen</t>
  </si>
  <si>
    <t>Wenjing Zhen</t>
  </si>
  <si>
    <t>Wenlan Jiedao</t>
  </si>
  <si>
    <t>Wenliu Xiang</t>
  </si>
  <si>
    <t>Wenlong Zhen</t>
  </si>
  <si>
    <t>Wenping Zhen</t>
  </si>
  <si>
    <t>Wenquan Jiedao</t>
  </si>
  <si>
    <t>Wenquan Zhen</t>
  </si>
  <si>
    <t>Wenwu Zhen</t>
  </si>
  <si>
    <t>Wenxing Xiang</t>
  </si>
  <si>
    <t>Wuchalu Xiang</t>
  </si>
  <si>
    <t>Wude Zhen</t>
  </si>
  <si>
    <t>Wudingshan Xiang</t>
  </si>
  <si>
    <t>Wudongde Zhen</t>
  </si>
  <si>
    <t>Wufeng Zhen [incl. Wufeng Jiedao, Nantai Jiedao, Jiufu Jiedao]</t>
  </si>
  <si>
    <t>Wuhe Xiang</t>
  </si>
  <si>
    <t>Wuji Zhen</t>
  </si>
  <si>
    <t>Wujiaying Jiedao</t>
  </si>
  <si>
    <t>Wujie Zhen</t>
  </si>
  <si>
    <t>Wujiepu Zhen</t>
  </si>
  <si>
    <t>Wujing Jiedao</t>
  </si>
  <si>
    <t>Wujing Xiang</t>
  </si>
  <si>
    <t>Wuliangshan Zhen</t>
  </si>
  <si>
    <t>Wulong Jiedao</t>
  </si>
  <si>
    <t>Wulong Zhen</t>
  </si>
  <si>
    <t>Wulong Zhuangzu Xiang</t>
  </si>
  <si>
    <t>Wumao Xiang</t>
  </si>
  <si>
    <t>Wumeng Xiang</t>
  </si>
  <si>
    <t>Wumulong Yizu Xiang</t>
  </si>
  <si>
    <t>Wushan Xiang</t>
  </si>
  <si>
    <t>Wuxing Xiang</t>
  </si>
  <si>
    <t>Wuyin Xiang</t>
  </si>
  <si>
    <t>Wuzhai Yizu Miaozu Xiang</t>
  </si>
  <si>
    <t>Wuzhu Xiang</t>
  </si>
  <si>
    <t>Xiaguan Jiedao</t>
  </si>
  <si>
    <t>Xiajinchang Xiang</t>
  </si>
  <si>
    <t>Xi'an Jiedao</t>
  </si>
  <si>
    <t>Xianfeng Zhen</t>
  </si>
  <si>
    <t>Xiangcheng Zhen</t>
  </si>
  <si>
    <t>Xiangda Zhen</t>
  </si>
  <si>
    <t>Xianghe Jiedao</t>
  </si>
  <si>
    <t>Xiangjiaba Zhen [incl. Yunfu Jiedao]</t>
  </si>
  <si>
    <t>Xiangming Yizu Xiang</t>
  </si>
  <si>
    <t>Xiangtu Xiang</t>
  </si>
  <si>
    <t>Xiangyang Xiang</t>
  </si>
  <si>
    <t>Xianjie Jiedao</t>
  </si>
  <si>
    <t>Xiaobaihu Zhen</t>
  </si>
  <si>
    <t>Xiaobanqiao Jiedao</t>
  </si>
  <si>
    <t>Xiaobazi Zhen</t>
  </si>
  <si>
    <t>Xiaocaoba Zhen</t>
  </si>
  <si>
    <t>Xiaochang Xiang</t>
  </si>
  <si>
    <t>Xiaohe Zhen</t>
  </si>
  <si>
    <t>Xiaojie Jiedao</t>
  </si>
  <si>
    <t>Xiaojie Xiang (Lincang Shi)</t>
  </si>
  <si>
    <t>Xiaojie Xiang (Yuxi Shi)</t>
  </si>
  <si>
    <t>Xiaojie Zhen (Kunming Shi)</t>
  </si>
  <si>
    <t>Xiaojie Zhen (Wenshan Zhuangzu Miaozu Zizhizhou)</t>
  </si>
  <si>
    <t>Xiaolongdong Huizu Yizu Xiang</t>
  </si>
  <si>
    <t>Xiaolongtan Zhen</t>
  </si>
  <si>
    <t>Xiaomengtong Zhen</t>
  </si>
  <si>
    <t>Xiaoshiqiao Yizu Xiang</t>
  </si>
  <si>
    <t>Xiaowan Zhen</t>
  </si>
  <si>
    <t>Xiaowandong Zhen</t>
  </si>
  <si>
    <t>Xiaoxinjie Xiang</t>
  </si>
  <si>
    <t>Xiaozhai Zhen</t>
  </si>
  <si>
    <t>Xiaozhongdian Zhen</t>
  </si>
  <si>
    <t>Xiaruo Lisuzu Xiang</t>
  </si>
  <si>
    <t>Xiazhuang Zhen</t>
  </si>
  <si>
    <t>Xibeile Xiang</t>
  </si>
  <si>
    <t>Xibuhe Xiang</t>
  </si>
  <si>
    <t>Xicheng Jiedao</t>
  </si>
  <si>
    <t>Xicheng Zhen</t>
  </si>
  <si>
    <t>Xichuan Xiang</t>
  </si>
  <si>
    <t>Xiding Hanizu Bulangzu Xiang</t>
  </si>
  <si>
    <t>Xi'er Zhen</t>
  </si>
  <si>
    <t>Xigu Xiang</t>
  </si>
  <si>
    <t>Xijiekou Zhen</t>
  </si>
  <si>
    <t>Xiluodu Zhen</t>
  </si>
  <si>
    <t>Xima Zhen</t>
  </si>
  <si>
    <t>Xin'an Zhen</t>
  </si>
  <si>
    <t>Xin'ansuo Zhen</t>
  </si>
  <si>
    <t>Xinchang Zhen</t>
  </si>
  <si>
    <t>Xincheng Xiang (Dehong Daizu Jingpozu Zizhizhou)</t>
  </si>
  <si>
    <t>Xincheng Xiang (Honghe Hanizu Yizu Zizhizhou)</t>
  </si>
  <si>
    <t>Xincun Zhen</t>
  </si>
  <si>
    <t>Xindian Yizu Xiang</t>
  </si>
  <si>
    <t>Xindian Zhen</t>
  </si>
  <si>
    <t>Xinfu Zhen</t>
  </si>
  <si>
    <t>Xingfu Zhen</t>
  </si>
  <si>
    <t>Xingjie Zhen</t>
  </si>
  <si>
    <t>Xinglong Xiang</t>
  </si>
  <si>
    <t>Xingmeng Mengguzu Xiang</t>
  </si>
  <si>
    <t>Xingquan Zhen</t>
  </si>
  <si>
    <t>Xinhua Xiang (Baoshan Shi)</t>
  </si>
  <si>
    <t>Xinhua Xiang (Chuxiong Yizu Zizhizhou)</t>
  </si>
  <si>
    <t>Xinhua Xiang (Honghe Hanizu Yizu Zizhizhou)</t>
  </si>
  <si>
    <t>Xinhua Xiang</t>
  </si>
  <si>
    <t>Xinhua Yizu Miaozu Xiang</t>
  </si>
  <si>
    <t>Xinhua Zhen</t>
  </si>
  <si>
    <t>Xining Jiedao</t>
  </si>
  <si>
    <t>Xinjie Huizu Xiang</t>
  </si>
  <si>
    <t>Xinjie Xiang (Baoshan Shi)</t>
  </si>
  <si>
    <t>Xinjie Xiang (Wenshan Zhuangzu Miaozu Zizhizhou)</t>
  </si>
  <si>
    <t>Xinjie Zhen (Chuxiong Yizu Zizhizhou)</t>
  </si>
  <si>
    <t>Xinjie Zhen (Dali Baizu Zizhizhou)</t>
  </si>
  <si>
    <t>Xinjie Zhen (Honghe Hanizu Yizu Zizhizhou)</t>
  </si>
  <si>
    <t>Xinjie Zhen (Zhaotong Shi)</t>
  </si>
  <si>
    <t>Xinmajie Xiang</t>
  </si>
  <si>
    <t>Xinqiao Zhen</t>
  </si>
  <si>
    <t>Xinshao Zhen</t>
  </si>
  <si>
    <t>Xintan Zhen</t>
  </si>
  <si>
    <t>Xintun Zhen</t>
  </si>
  <si>
    <t>Xinxian Zhen</t>
  </si>
  <si>
    <t>Xinyingpan Xiang</t>
  </si>
  <si>
    <t>Xinzhuang Lisuzu Daizu Xiang</t>
  </si>
  <si>
    <t>Xiongbi Zhen</t>
  </si>
  <si>
    <t>Xiongguan Xiang</t>
  </si>
  <si>
    <t>Xiping Zhen [incl. Xiping Jiedao, Longhua Jiedao, Jinlong Jiedao]</t>
  </si>
  <si>
    <t>Xisa Zhen</t>
  </si>
  <si>
    <t>Xisan Zhen</t>
  </si>
  <si>
    <t>Xisha Xiang</t>
  </si>
  <si>
    <t>Xishan Xiang (Dali Baizu Zizhizhou)</t>
  </si>
  <si>
    <t>Xishan Xiang (Dehong Daizu Jingpozu Zizhizhou)</t>
  </si>
  <si>
    <t>Xishelu Zhen</t>
  </si>
  <si>
    <t>Xishuangbanna Mohan Jingji Kaifaqu</t>
  </si>
  <si>
    <t>Xishuangbanna Waidu Jiaqu</t>
  </si>
  <si>
    <t>Xiushan Jiedao</t>
  </si>
  <si>
    <t>Xiyang Yizu Xiang</t>
  </si>
  <si>
    <t>Xiyi Xiang</t>
  </si>
  <si>
    <t>Xiyi Zhen</t>
  </si>
  <si>
    <t>Xiyuan Jiedao</t>
  </si>
  <si>
    <t>Xize Xiang</t>
  </si>
  <si>
    <t>Xizhou Zhen</t>
  </si>
  <si>
    <t>Xizhu Jiedao [incl. Shalang Jiedao, Changkou Jiedao]</t>
  </si>
  <si>
    <t>Xizhuang Zhen</t>
  </si>
  <si>
    <t>Xuangang Xiang</t>
  </si>
  <si>
    <t>Xuelin Wazu Xiang</t>
  </si>
  <si>
    <t>Xueshan Xiang</t>
  </si>
  <si>
    <t>Xueshan Zhen</t>
  </si>
  <si>
    <t>Xujie Xiang</t>
  </si>
  <si>
    <t>Xunjiansi Zhen</t>
  </si>
  <si>
    <t>Yalian Xiang</t>
  </si>
  <si>
    <t>Yanfang Xiang</t>
  </si>
  <si>
    <t>Yangcen Xiang</t>
  </si>
  <si>
    <t>Yangchang Zhen</t>
  </si>
  <si>
    <t>Yangguang Zhen</t>
  </si>
  <si>
    <t>Yangjiang Zhen</t>
  </si>
  <si>
    <t>Yangjie Xiang (Honghe Hanizu Yizu Zizhizhou)</t>
  </si>
  <si>
    <t>Yangjie Xiang (Yuxi Shi)</t>
  </si>
  <si>
    <t>Yangjie Zhen (Chuxiong Yizu Zizhizhou)</t>
  </si>
  <si>
    <t>Yangjie Zhen (Kunming Shi)</t>
  </si>
  <si>
    <t>Yangla Xiang</t>
  </si>
  <si>
    <t>Yanglin Zhen</t>
  </si>
  <si>
    <t>Yangliu Baizu Yizu Xiang</t>
  </si>
  <si>
    <t>Yangliu Zhen</t>
  </si>
  <si>
    <t>Yangliujing Xiang</t>
  </si>
  <si>
    <t>Yangping Yizu Xiang</t>
  </si>
  <si>
    <t>Yangwan Xiang</t>
  </si>
  <si>
    <t>Yangwu Zhen</t>
  </si>
  <si>
    <t>Yangzong Zhen</t>
  </si>
  <si>
    <t>Yanhe Jiedao</t>
  </si>
  <si>
    <t>Yanjiang Jiedao</t>
  </si>
  <si>
    <t>Yanjing Zhen</t>
  </si>
  <si>
    <t>Yanmen Xiang</t>
  </si>
  <si>
    <t>Yanshan Zhen</t>
  </si>
  <si>
    <t>Yanshuai Zhen</t>
  </si>
  <si>
    <t>Yanyuan Zhen</t>
  </si>
  <si>
    <t>Yaoguan Zhen</t>
  </si>
  <si>
    <t>Yaojie Yizu Xiang</t>
  </si>
  <si>
    <t>Yaojie Zhen [→ Jiasa Zhen, Mosha Zhen]</t>
  </si>
  <si>
    <t>Yaoqu Yaozu Xiang</t>
  </si>
  <si>
    <t>Yaoshan Xiang</t>
  </si>
  <si>
    <t>Yaoshan Zhen</t>
  </si>
  <si>
    <t>Yayi Zhen</t>
  </si>
  <si>
    <t>Yezhi Zhen</t>
  </si>
  <si>
    <t>Yiche Zhen</t>
  </si>
  <si>
    <t>Yigu Zhen</t>
  </si>
  <si>
    <t>Yijie Xiang</t>
  </si>
  <si>
    <t>Yijiu Zhen</t>
  </si>
  <si>
    <t>Yile Zhen</t>
  </si>
  <si>
    <t>Yiliu Jiedao</t>
  </si>
  <si>
    <t>Yilong Zhen</t>
  </si>
  <si>
    <t>Yingpan Xiang</t>
  </si>
  <si>
    <t>Yingpan Zhen (Lincang Shi)</t>
  </si>
  <si>
    <t>Yingpan Zhen (Nujiang Lisuzu Zizhizhou)</t>
  </si>
  <si>
    <t>Yingshang Zhen</t>
  </si>
  <si>
    <t>Yinjie Zhen</t>
  </si>
  <si>
    <t>Yinmin Zhen</t>
  </si>
  <si>
    <t>Yinqiao Zhen</t>
  </si>
  <si>
    <t>Yinyuan Zhen</t>
  </si>
  <si>
    <t>Yipinglang Zhen</t>
  </si>
  <si>
    <t>Yisa Zhen</t>
  </si>
  <si>
    <t>Yiwu Zhen</t>
  </si>
  <si>
    <t>Yixiang Zhen</t>
  </si>
  <si>
    <t>Yizhi Xiang</t>
  </si>
  <si>
    <t>Yongbao Zhen</t>
  </si>
  <si>
    <t>Yongbei Zhen</t>
  </si>
  <si>
    <t>Yongchang Jiedao (Baoshan Shi)</t>
  </si>
  <si>
    <t>Yongchang Jiedao (Kunming Shi)</t>
  </si>
  <si>
    <t>Yongchun Xiang</t>
  </si>
  <si>
    <t>Yongcui Xiang</t>
  </si>
  <si>
    <t>Yongding Jiedao [incl. Daying Jiedao]</t>
  </si>
  <si>
    <t>Yongding Zhen</t>
  </si>
  <si>
    <t>Yongfeng Zhen</t>
  </si>
  <si>
    <t>Yongjian Zhen</t>
  </si>
  <si>
    <t>Yongkang Zhen</t>
  </si>
  <si>
    <t>Yongning Xiang</t>
  </si>
  <si>
    <t>Yongning Zhen</t>
  </si>
  <si>
    <t>Yongningping Xiang</t>
  </si>
  <si>
    <t>Yongping Zhen</t>
  </si>
  <si>
    <t>Yongxing Daizu Xiang</t>
  </si>
  <si>
    <t>Yongxing Lisuzu Xiang</t>
  </si>
  <si>
    <t>Yousongling Xiang</t>
  </si>
  <si>
    <t>Yousuo Zhen (Dali Baizu Zizhizhou)</t>
  </si>
  <si>
    <t>Yousuo Zhen (Yuxi Shi)</t>
  </si>
  <si>
    <t>Youwang Zhen</t>
  </si>
  <si>
    <t>Yuanma Zhen</t>
  </si>
  <si>
    <t>Yudai Jiedao</t>
  </si>
  <si>
    <t>Yudong Xiang</t>
  </si>
  <si>
    <t>Yuele Zhen</t>
  </si>
  <si>
    <t>Yuesong Xiang</t>
  </si>
  <si>
    <t>Yuewang Xiang</t>
  </si>
  <si>
    <t>Yuezhe Zhen</t>
  </si>
  <si>
    <t>Yuezhou Zhen</t>
  </si>
  <si>
    <t>Yuguopu Jiedao</t>
  </si>
  <si>
    <t>Yuhe Zhen</t>
  </si>
  <si>
    <t>Yuhua Jiedao</t>
  </si>
  <si>
    <t>Yulu Baizu Xiang</t>
  </si>
  <si>
    <t>Yulu Xiang</t>
  </si>
  <si>
    <t>Yunhe Zhen</t>
  </si>
  <si>
    <t>Yunjinghong Jiedao</t>
  </si>
  <si>
    <t>Yunling Xiang</t>
  </si>
  <si>
    <t>Yunlong Xiang</t>
  </si>
  <si>
    <t>Yunnanyi Zhen</t>
  </si>
  <si>
    <t>Yunxian Yizu Xiang</t>
  </si>
  <si>
    <t>Yuping Zhen</t>
  </si>
  <si>
    <t>Yutang Zhen</t>
  </si>
  <si>
    <t>Yuwan Zhen</t>
  </si>
  <si>
    <t>Yuxing Jiedao</t>
  </si>
  <si>
    <t>Zehei Xiang</t>
  </si>
  <si>
    <t>Zhangfeng Zhen</t>
  </si>
  <si>
    <t>Zhangtuo Xiang</t>
  </si>
  <si>
    <t>Zhanhe Zhen</t>
  </si>
  <si>
    <t>Zhanxi Zhen</t>
  </si>
  <si>
    <t>Zhaojiadian Zhen</t>
  </si>
  <si>
    <t>Zhaokua Zhen</t>
  </si>
  <si>
    <t>Zhaxi Zhen</t>
  </si>
  <si>
    <t>Zhedao Zhen</t>
  </si>
  <si>
    <t>Zhedong Zhen</t>
  </si>
  <si>
    <t>Zhefang Zhen</t>
  </si>
  <si>
    <t>Zhehai Zhen</t>
  </si>
  <si>
    <t>Zhela Xiang</t>
  </si>
  <si>
    <t>Zhelong Xiang</t>
  </si>
  <si>
    <t>Zhemilahu Lahuzu Xiang</t>
  </si>
  <si>
    <t>Zhen'an Zhen</t>
  </si>
  <si>
    <t>Zhengdong Zhen</t>
  </si>
  <si>
    <t>Zhengxing Zhen</t>
  </si>
  <si>
    <t>Zhentai Zhen</t>
  </si>
  <si>
    <t>Zhesang Xiang</t>
  </si>
  <si>
    <t>Zhetai Xiang</t>
  </si>
  <si>
    <t>Zhetu Xiang</t>
  </si>
  <si>
    <t>Zhichang Xiang</t>
  </si>
  <si>
    <t>Zhicun Zhen</t>
  </si>
  <si>
    <t>Zhinei Xiang</t>
  </si>
  <si>
    <t>Zhong'an Zhen [incl. Zhong'an Jiedao, Shengjing Jiedao]</t>
  </si>
  <si>
    <t>Zhongcheng Zhen</t>
  </si>
  <si>
    <t>Zhongcun Xiang</t>
  </si>
  <si>
    <t>Zhonghe Zhen (Baoshan Shi)</t>
  </si>
  <si>
    <t>Zhonghe Zhen (Chuxiong Yizu Zizhizhou)</t>
  </si>
  <si>
    <t>Zhonghe Zhen (Zhaotong Shi)</t>
  </si>
  <si>
    <t>Zhongheying Zhen</t>
  </si>
  <si>
    <t>Zhongke Zhen</t>
  </si>
  <si>
    <t>Zhonglu Xiang</t>
  </si>
  <si>
    <t>Zhongming Zhen</t>
  </si>
  <si>
    <t>Zhongpai Xiang</t>
  </si>
  <si>
    <t>Zhongping Zhen</t>
  </si>
  <si>
    <t>Zhongshan Xiang (Dehong Daizu Jingpozu Zizhizhou)</t>
  </si>
  <si>
    <t>Zhongshan Xiang (Qujing Shi)</t>
  </si>
  <si>
    <t>Zhongshan Zhen</t>
  </si>
  <si>
    <t>Zhongshu Zhen</t>
  </si>
  <si>
    <t>Zhongshu Zhen [incl. Zhongshu Jiedao, Tongle Jiedao]</t>
  </si>
  <si>
    <t>Zhongtun Zhen</t>
  </si>
  <si>
    <t>Zhongxin Zhen</t>
  </si>
  <si>
    <t>Zhongying Lisuzu Yizu Xiang</t>
  </si>
  <si>
    <t>Zhongzhai Xiang</t>
  </si>
  <si>
    <t>Zhoucheng Zhen</t>
  </si>
  <si>
    <t>Zhuanjiao Xiang</t>
  </si>
  <si>
    <t>Zhuanlong Zhen</t>
  </si>
  <si>
    <t>Zhuilijie Zhen</t>
  </si>
  <si>
    <t>Zhuji Zhen</t>
  </si>
  <si>
    <t>Zhujie Jiedao</t>
  </si>
  <si>
    <t>Zhujie Yizu Xiang</t>
  </si>
  <si>
    <t>Zhujie Zhen</t>
  </si>
  <si>
    <t>Zhulin Zhen</t>
  </si>
  <si>
    <t>Zhushan Zhen</t>
  </si>
  <si>
    <t>Zhutang Xiang</t>
  </si>
  <si>
    <t>Zhuyuan Zhen (Honghe Hanizu Yizu Zizhizhou)</t>
  </si>
  <si>
    <t>Zhuyuan Zhen (Qujing Shi)</t>
  </si>
  <si>
    <t>Zibihu Zhen</t>
  </si>
  <si>
    <t>Zijin Xiang</t>
  </si>
  <si>
    <t>Zilijia Xiang</t>
  </si>
  <si>
    <t>Ziwu Zhen</t>
  </si>
  <si>
    <t>Zixi Zhen</t>
  </si>
  <si>
    <t>Zongshuying Jiedao</t>
  </si>
  <si>
    <t>Zuomen Xiang</t>
  </si>
  <si>
    <t>Column113</t>
  </si>
  <si>
    <t>Column114</t>
  </si>
  <si>
    <t>Báishuĭ (Hónghé Hānízú Yízú Zìzhìzhōu)</t>
  </si>
  <si>
    <t>Báishuĭ (Qŭjìng)</t>
  </si>
  <si>
    <t>Bănqiáo (Băoshān)</t>
  </si>
  <si>
    <t>Bănqiáo (Lùliáng)</t>
  </si>
  <si>
    <t>Bănqiáo (Luópíng)</t>
  </si>
  <si>
    <t>Băohuá (Dàlĭ Báizú Zìzhìzhōu)</t>
  </si>
  <si>
    <t>Băohuá (Hónghé Hānízú Yízú Zìzhìzhōu)</t>
  </si>
  <si>
    <t>Căiyún (Chŭxióng Yízú Zìzhìzhōu)</t>
  </si>
  <si>
    <t>Căiyún (Qŭjìng)</t>
  </si>
  <si>
    <t>Cuìhuá (Kūnmíng)</t>
  </si>
  <si>
    <t>Cuìhuá (Zhāotōng)</t>
  </si>
  <si>
    <t>Dàxīng (Hónghé Hānízú Yízú Zìzhìzhōu)</t>
  </si>
  <si>
    <t>Dàxīng (Lìjiāng)</t>
  </si>
  <si>
    <t>Dàxīng (Zhāotōng)</t>
  </si>
  <si>
    <t>Dàzhài (Líncāng)</t>
  </si>
  <si>
    <t>Dàzhài (Zhāotōng)</t>
  </si>
  <si>
    <t>Dōngshān (Hónghé Hānízú Yízú Zìzhìzhōu)</t>
  </si>
  <si>
    <t>Dōngshān (Qílín)</t>
  </si>
  <si>
    <t>Dōngshān (Xuānwēi)</t>
  </si>
  <si>
    <t>Fèngshān (Líncāng)</t>
  </si>
  <si>
    <t>Fèngshān (Pŭ'ĕr)</t>
  </si>
  <si>
    <t>Gāoqiáo (Chŭxióng Yízú Zìzhìzhōu)</t>
  </si>
  <si>
    <t>Gāoqiáo (Zhāotōng)</t>
  </si>
  <si>
    <t>Hékŏu (Hónghé Hānízú Yízú Zìzhìzhōu)</t>
  </si>
  <si>
    <t>Hékŏu (Kūnmíng)</t>
  </si>
  <si>
    <t>Hépíng (Chŭxióng Yízú Zìzhìzhōu)</t>
  </si>
  <si>
    <t>Hépíng (Hónghé Hānízú Yízú Zìzhìzhōu)</t>
  </si>
  <si>
    <t>Hépíng (Pŭ'ĕr)</t>
  </si>
  <si>
    <t>Jījiē (Hónghé Hānízú Yízú Zìzhìzhōu)</t>
  </si>
  <si>
    <t>Jījiē (Kūnmíng)</t>
  </si>
  <si>
    <t>Jĭnpíng (Pŭ'ĕr)</t>
  </si>
  <si>
    <t>Jĭnpíng (Wénshān Zhuàngzú Miáozú Zìzhìzhōu)</t>
  </si>
  <si>
    <t>Jiùchéng (Déhóng Dăizú Jĭngpōzú Zìzhìzhōu)</t>
  </si>
  <si>
    <t>Jiùchéng (Hónghé Hānízú Yízú Zìzhìzhōu)</t>
  </si>
  <si>
    <t>Jiùchéng (Zhāotōng)</t>
  </si>
  <si>
    <t>Lăochăng (Hónghé Hānízú Yízú Zìzhìzhōu)</t>
  </si>
  <si>
    <t>Lăochăng (Qŭjìng)</t>
  </si>
  <si>
    <t>Lóngjiē (Chŭxióng Yízú Zìzhìzhōu)</t>
  </si>
  <si>
    <t>Lóngjiē (Dàlĭ Báizú Zìzhìzhōu)</t>
  </si>
  <si>
    <t>Măjiē (Chŭxióng Yízú Zìzhìzhōu)</t>
  </si>
  <si>
    <t>Măjiē (Kūnmíng)</t>
  </si>
  <si>
    <t>Măjiē (Lùliáng)</t>
  </si>
  <si>
    <t>Măjiē (Luópíng)</t>
  </si>
  <si>
    <t>Mànwān (Líncāng)</t>
  </si>
  <si>
    <t>Mànwān (Pŭ'ĕr)</t>
  </si>
  <si>
    <t>Mĕngmăn (Mĕnghăi)</t>
  </si>
  <si>
    <t>Mĕngmăn (Mĕnglà)</t>
  </si>
  <si>
    <t>Mĕngpĕng (Líncāng)</t>
  </si>
  <si>
    <t>Mĕngpĕng (Xīshuāngbănnà Dăizú Zìzhìzhōu)</t>
  </si>
  <si>
    <t>Mĕngyăng (Déhóng Dăizú Jĭngpōzú Zìzhìzhōu)</t>
  </si>
  <si>
    <t>Mĕngyăng (Xīshuāngbănnà Dăizú Zìzhìzhōu)</t>
  </si>
  <si>
    <t>Nánpíng (Pŭ'ĕr)</t>
  </si>
  <si>
    <t>Nánpíng (Wénshān Zhuàngzú Miáozú Zìzhìzhōu)</t>
  </si>
  <si>
    <t>Niújiē (Hónghé Hānízú Yízú Zìzhìzhōu)</t>
  </si>
  <si>
    <t>Niújiē (Zhāotōng)</t>
  </si>
  <si>
    <t>Qīnglóng (Hónghé Hānízú Yízú Zìzhìzhōu)</t>
  </si>
  <si>
    <t>Qīnglóng (Yùxī)</t>
  </si>
  <si>
    <t>Rénhé (Băoshān)</t>
  </si>
  <si>
    <t>Rénhé (Lìjiāng)</t>
  </si>
  <si>
    <t>Rénhé (Wénshān Zhuàngzú Miáozú Zìzhìzhōu)</t>
  </si>
  <si>
    <t>Sānchàhé (Chŭxióng Yízú Zìzhìzhōu)</t>
  </si>
  <si>
    <t>Sānchàhé (Líncāng)</t>
  </si>
  <si>
    <t>Sānchàhé (Qŭjìng)</t>
  </si>
  <si>
    <t>Tàipíng (Băoshān)</t>
  </si>
  <si>
    <t>Tàipíng (Chŭxióng Yízú Zìzhìzhōu)</t>
  </si>
  <si>
    <t>Tàipíng (Déhóng Dăizú Jĭngpōzú Zìzhìzhōu)</t>
  </si>
  <si>
    <t>Tàipíng (Zhāotōng)</t>
  </si>
  <si>
    <t>Xiăojiē (Kūnmíng)</t>
  </si>
  <si>
    <t>Xiăojiē (Wénshān Zhuàngzú Miáozú Zìzhìzhōu)</t>
  </si>
  <si>
    <t>Xīnjiē (Chŭxióng Yízú Zìzhìzhōu)</t>
  </si>
  <si>
    <t>Xīnjiē (Dàlĭ Báizú Zìzhìzhōu)</t>
  </si>
  <si>
    <t>Xīnjiē (Hónghé Hānízú Yízú Zìzhìzhōu)</t>
  </si>
  <si>
    <t>Xīnjiē (Zhāotōng)</t>
  </si>
  <si>
    <t>Yángjiē (Chŭxióng Yízú Zìzhìzhōu)</t>
  </si>
  <si>
    <t>Yángjiē (Kūnmíng)</t>
  </si>
  <si>
    <t>Yíngpán (Líncāng)</t>
  </si>
  <si>
    <t>Yíngpán (Nùjiāng Lìsùzú Zìzhìzhōu)</t>
  </si>
  <si>
    <t>Yòusuŏ (Dàlĭ Báizú Zìzhìzhōu)</t>
  </si>
  <si>
    <t>Yòusuŏ (Yùxī)</t>
  </si>
  <si>
    <t>Zhōnghé (Băoshān)</t>
  </si>
  <si>
    <t>Zhōnghé (Chŭxióng Yízú Zìzhìzhōu)</t>
  </si>
  <si>
    <t>Zhōnghé (Zhāotōng)</t>
  </si>
  <si>
    <t>Zhúyuán (Hónghé Hānízú Yízú Zìzhìzhōu)</t>
  </si>
  <si>
    <t>Zhúyuán (Qŭjìng)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</si>
</sst>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EE88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FFCC33"/>
        <bgColor indexed="64"/>
      </patternFill>
    </fill>
  </fills>
  <borders count="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left" vertical="top"/>
    </xf>
    <xf numFmtId="3" fontId="1" fillId="2" borderId="1" xfId="0" applyNumberFormat="1" applyFont="1" applyFill="1" applyBorder="1" applyAlignment="1">
      <alignment horizontal="right" vertical="top"/>
    </xf>
    <xf numFmtId="0" fontId="1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3" fontId="2" fillId="4" borderId="1" xfId="0" applyNumberFormat="1" applyFont="1" applyFill="1" applyBorder="1" applyAlignment="1">
      <alignment horizontal="right" vertical="top"/>
    </xf>
    <xf numFmtId="0" fontId="1" fillId="2" borderId="1" xfId="0" applyFont="1" applyFill="1" applyBorder="1" applyAlignment="1">
      <alignment horizontal="right" vertical="top"/>
    </xf>
    <xf numFmtId="0" fontId="2" fillId="5" borderId="2" xfId="0" applyFont="1" applyFill="1" applyBorder="1" applyAlignment="1">
      <alignment horizontal="left" vertical="top"/>
    </xf>
    <xf numFmtId="3" fontId="2" fillId="5" borderId="2" xfId="0" applyNumberFormat="1" applyFont="1" applyFill="1" applyBorder="1" applyAlignment="1">
      <alignment horizontal="right" vertical="top"/>
    </xf>
    <xf numFmtId="0" fontId="1" fillId="2" borderId="3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3" borderId="1" xfId="0" applyFont="1" applyFill="1" applyBorder="1" applyAlignment="1">
      <alignment horizontal="right" vertical="top"/>
    </xf>
    <xf numFmtId="3" fontId="1" fillId="2" borderId="3" xfId="0" applyNumberFormat="1" applyFont="1" applyFill="1" applyBorder="1" applyAlignment="1">
      <alignment horizontal="right" vertical="top"/>
    </xf>
    <xf numFmtId="3" fontId="1" fillId="2" borderId="2" xfId="0" applyNumberFormat="1" applyFont="1" applyFill="1" applyBorder="1" applyAlignment="1">
      <alignment horizontal="right" vertical="top"/>
    </xf>
    <xf numFmtId="0" fontId="1" fillId="2" borderId="0" xfId="0" applyFont="1" applyFill="1" applyAlignment="1">
      <alignment horizontal="left" vertical="top"/>
    </xf>
    <xf numFmtId="0" fontId="0" fillId="0" borderId="0" xfId="0" applyNumberFormat="1"/>
  </cellXfs>
  <cellStyles count="1">
    <cellStyle name="Normal" xfId="0" builtinId="0"/>
  </cellStyles>
  <dxfs count="195"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ght\OneDrive\Desktop\data\china\china-towns-xlsx.xlsx" TargetMode="External"/><Relationship Id="rId1" Type="http://schemas.openxmlformats.org/officeDocument/2006/relationships/externalLinkPath" Target="/Users/night/OneDrive/Desktop/data/china/china-towns-xls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na-towns-second (2)"/>
      <sheetName val="Sheet2"/>
      <sheetName val="Sheet1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4FF13C-A315-4026-8180-6FD1AF23B129}" name="Table1" displayName="Table1" ref="A1:G73" totalsRowShown="0" headerRowDxfId="194" dataDxfId="193">
  <autoFilter ref="A1:G73" xr:uid="{824FF13C-A315-4026-8180-6FD1AF23B129}"/>
  <tableColumns count="7">
    <tableColumn id="1" xr3:uid="{F22ABA77-3BF4-43B0-9F13-2AB871BE9FFB}" name="Name" dataDxfId="192"/>
    <tableColumn id="2" xr3:uid="{1C78435A-E000-43B0-A196-C42C1A52D842}" name="Native" dataDxfId="191"/>
    <tableColumn id="3" xr3:uid="{0B47FC3A-24D3-4936-9685-2D6D4C6204DB}" name="Status" dataDxfId="190"/>
    <tableColumn id="4" xr3:uid="{D3D8C0C7-47C3-4CDA-A3DA-6C60A716646B}" name="City / District / County" dataDxfId="189"/>
    <tableColumn id="5" xr3:uid="{646AAB15-48B3-4D4D-A63F-1E6D42D49FE3}" name="Population" dataDxfId="188"/>
    <tableColumn id="6" xr3:uid="{326C7934-58C7-46ED-9B04-193129EBB3AA}" name="Column1" dataDxfId="187">
      <calculatedColumnFormula>VLOOKUP(D2,Table17[[Name]:[Native]],3,FALSE)</calculatedColumnFormula>
    </tableColumn>
    <tableColumn id="7" xr3:uid="{4572AEDE-21A2-4449-8E44-EDB6BF9694B0}" name="Column2" dataDxfId="186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4D332E-890C-46BE-A6F1-EBE3118439D5}" name="Table2" displayName="Table2" ref="A1:G104" totalsRowShown="0" headerRowDxfId="185" dataDxfId="184">
  <autoFilter ref="A1:G104" xr:uid="{8A4D332E-890C-46BE-A6F1-EBE3118439D5}"/>
  <tableColumns count="7">
    <tableColumn id="1" xr3:uid="{0EDFB6DE-0872-4C92-936C-25AD276C032C}" name="Name" dataDxfId="183"/>
    <tableColumn id="2" xr3:uid="{7CEBFED0-657E-4A98-87CC-44405EF2C9F8}" name="Native" dataDxfId="182"/>
    <tableColumn id="3" xr3:uid="{880D8CB4-74B7-491E-8908-4071AEFEF135}" name="Status" dataDxfId="181"/>
    <tableColumn id="4" xr3:uid="{67CCFD64-20CC-4A38-B2B4-D8D3BC6262B2}" name="City / District / County" dataDxfId="180"/>
    <tableColumn id="5" xr3:uid="{CF45D835-9451-4610-A1EE-5D5545F9B890}" name="Population" dataDxfId="179"/>
    <tableColumn id="6" xr3:uid="{28410AD2-2AF4-49AD-A4AD-F0501F7B802D}" name="Column1" dataDxfId="178">
      <calculatedColumnFormula>VLOOKUP(D2,Table17[[Name]:[Native]],3,FALSE)</calculatedColumnFormula>
    </tableColumn>
    <tableColumn id="7" xr3:uid="{2F442FF5-9994-4EAD-8A10-C0778DD0A857}" name="Column2" dataDxfId="177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0F8FA2-32B6-4DEF-80D9-3055611881E2}" name="Table3" displayName="Table3" ref="A1:G116" totalsRowShown="0" headerRowDxfId="176" dataDxfId="175">
  <autoFilter ref="A1:G116" xr:uid="{240F8FA2-32B6-4DEF-80D9-3055611881E2}"/>
  <tableColumns count="7">
    <tableColumn id="1" xr3:uid="{8CFE7566-9FA9-4594-9713-B34A4F243E8C}" name="Name" dataDxfId="174"/>
    <tableColumn id="2" xr3:uid="{BCEEE108-3EA0-47BA-A560-30D8DB768013}" name="Native" dataDxfId="173"/>
    <tableColumn id="3" xr3:uid="{C8A71178-7737-47A5-93B1-C299575EF5F7}" name="Status" dataDxfId="172"/>
    <tableColumn id="4" xr3:uid="{CD6B9C03-26E8-4C81-B3FC-17F9ED3F8372}" name="City / District / County" dataDxfId="171"/>
    <tableColumn id="5" xr3:uid="{13674B8B-D5A5-47EA-8993-0999FE2B68F3}" name="Population" dataDxfId="170"/>
    <tableColumn id="6" xr3:uid="{1BB7C3CE-22C5-40DD-9CC6-5E324658CD26}" name="Column1" dataDxfId="169">
      <calculatedColumnFormula>VLOOKUP(D2,Table17[[Name]:[Native]],3,FALSE)</calculatedColumnFormula>
    </tableColumn>
    <tableColumn id="7" xr3:uid="{3CB4B0E4-4034-451C-BE16-4B46472E2BD0}" name="Column2" dataDxfId="168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766FB25-086D-450B-917E-AF84045E8FB7}" name="Table4" displayName="Table4" ref="A1:G52" totalsRowShown="0" headerRowDxfId="167" dataDxfId="166">
  <autoFilter ref="A1:G52" xr:uid="{B766FB25-086D-450B-917E-AF84045E8FB7}"/>
  <tableColumns count="7">
    <tableColumn id="1" xr3:uid="{A0618A46-F3DE-488E-BF2F-AF6DDAEE42E4}" name="Name" dataDxfId="165"/>
    <tableColumn id="2" xr3:uid="{CC960361-0A4C-4619-83D8-6600AE1BB0A7}" name="Native" dataDxfId="164"/>
    <tableColumn id="3" xr3:uid="{785F713A-9935-4EF9-82DA-C4F15CEC3978}" name="Status" dataDxfId="163"/>
    <tableColumn id="4" xr3:uid="{326DDA4A-63BE-4876-A10F-2B5F5E4BF117}" name="City / District / County" dataDxfId="162"/>
    <tableColumn id="5" xr3:uid="{FB84645F-F8A2-4D90-89F0-CAAB0C9F83E9}" name="Population" dataDxfId="161"/>
    <tableColumn id="6" xr3:uid="{A87306CA-33C2-48B1-B7F5-8E25BBCF740D}" name="Column1" dataDxfId="160">
      <calculatedColumnFormula>VLOOKUP(D2,Table17[[Name]:[Native]],3,FALSE)</calculatedColumnFormula>
    </tableColumn>
    <tableColumn id="7" xr3:uid="{CE451EAA-F43E-4A7A-9E0E-B3049227DBB2}" name="Column2" dataDxfId="159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29293E0-48B4-45C4-B37C-2B8DB3BB8789}" name="Table5" displayName="Table5" ref="A1:G30" totalsRowShown="0" headerRowDxfId="158" dataDxfId="157">
  <autoFilter ref="A1:G30" xr:uid="{129293E0-48B4-45C4-B37C-2B8DB3BB8789}"/>
  <tableColumns count="7">
    <tableColumn id="1" xr3:uid="{735E682C-BF83-4098-8F9A-1B4849F4C2C3}" name="Name" dataDxfId="156"/>
    <tableColumn id="2" xr3:uid="{029BAFA8-FC00-431E-B868-ECAE8213B140}" name="Native" dataDxfId="155"/>
    <tableColumn id="3" xr3:uid="{F80CE43B-1D42-4507-806D-D6AAE52FE9F2}" name="Status" dataDxfId="154"/>
    <tableColumn id="4" xr3:uid="{86197543-A720-47BF-B636-118D0CCE0C25}" name="City / District / County" dataDxfId="153"/>
    <tableColumn id="5" xr3:uid="{B23E4A94-B522-458D-BC52-55B2BBE9FE2B}" name="Population" dataDxfId="152"/>
    <tableColumn id="6" xr3:uid="{2D5FDC71-B979-4546-8BAA-69CDCD44A405}" name="Column1" dataDxfId="151">
      <calculatedColumnFormula>VLOOKUP(D2,Table17[[Name]:[Native]],3,FALSE)</calculatedColumnFormula>
    </tableColumn>
    <tableColumn id="7" xr3:uid="{23965DBC-CD7D-4DCF-8618-B6A7AFD19473}" name="Column2" dataDxfId="150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AFB0F39-9376-4C6C-A419-1BBBFA654A36}" name="Table6" displayName="Table6" ref="A1:G134" totalsRowShown="0" headerRowDxfId="149" dataDxfId="148">
  <autoFilter ref="A1:G134" xr:uid="{CAFB0F39-9376-4C6C-A419-1BBBFA654A36}"/>
  <tableColumns count="7">
    <tableColumn id="1" xr3:uid="{BD17E4FE-AC65-4985-B632-3A26727480A9}" name="Name" dataDxfId="147"/>
    <tableColumn id="2" xr3:uid="{CBC70AB4-EF3E-4544-B57D-1474225B3604}" name="Native" dataDxfId="146"/>
    <tableColumn id="3" xr3:uid="{792CFFB4-9173-4973-881E-EB5D1F5627D7}" name="Status" dataDxfId="145"/>
    <tableColumn id="4" xr3:uid="{D16B32D5-0723-4136-A05B-E37CAF4E279A}" name="City / District / County" dataDxfId="144"/>
    <tableColumn id="5" xr3:uid="{D5522037-B031-47B9-BE38-61DA76E1DBA2}" name="Population" dataDxfId="143"/>
    <tableColumn id="6" xr3:uid="{D1194C49-CC1C-42C4-80CB-E9E94A3AFADE}" name="Column1" dataDxfId="142">
      <calculatedColumnFormula>VLOOKUP(D2,Table17[[Name]:[Native]],3,FALSE)</calculatedColumnFormula>
    </tableColumn>
    <tableColumn id="7" xr3:uid="{961D0B00-5497-4469-924D-9BACA5BE4F78}" name="Column2" dataDxfId="141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654522-D0B4-4F04-AEF5-8636FD3EEC11}" name="Table7" displayName="Table7" ref="A1:G135" totalsRowShown="0" headerRowDxfId="140" dataDxfId="139">
  <autoFilter ref="A1:G135" xr:uid="{63654522-D0B4-4F04-AEF5-8636FD3EEC11}"/>
  <tableColumns count="7">
    <tableColumn id="1" xr3:uid="{9B21E596-612C-42FC-9039-12EA9496A7C9}" name="Name" dataDxfId="138"/>
    <tableColumn id="2" xr3:uid="{2D013C9A-C606-473E-9E02-1657D71AB689}" name="Native" dataDxfId="137"/>
    <tableColumn id="3" xr3:uid="{0913B64D-47F3-4955-8326-D7FF33856DB3}" name="Status" dataDxfId="136"/>
    <tableColumn id="4" xr3:uid="{0A6D7817-133E-46F6-91F8-35C15C1DC44E}" name="City / District / County" dataDxfId="135"/>
    <tableColumn id="5" xr3:uid="{32A17E46-33A6-435D-A8F0-7557A59B3838}" name="Population" dataDxfId="134"/>
    <tableColumn id="6" xr3:uid="{3D3977C7-3480-4C26-9864-2AEF32938FD2}" name="Column1" dataDxfId="133">
      <calculatedColumnFormula>VLOOKUP(D2,Table17[[Name]:[Native]],3,FALSE)</calculatedColumnFormula>
    </tableColumn>
    <tableColumn id="7" xr3:uid="{08BFB18B-B5C0-42ED-A808-3F6C9594874D}" name="Column2" dataDxfId="132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3B59CB-9B0F-446C-A32D-0483119CCE5F}" name="Table8" displayName="Table8" ref="A1:G64" totalsRowShown="0" headerRowDxfId="131" dataDxfId="130">
  <autoFilter ref="A1:G64" xr:uid="{A63B59CB-9B0F-446C-A32D-0483119CCE5F}"/>
  <tableColumns count="7">
    <tableColumn id="1" xr3:uid="{51CFEC38-E0D3-4A91-8A5E-107248964ED4}" name="Name" dataDxfId="129"/>
    <tableColumn id="2" xr3:uid="{4F407CF5-6DE6-4340-A314-7C1572A6984B}" name="Native" dataDxfId="128"/>
    <tableColumn id="3" xr3:uid="{B0974381-AB0A-4BFB-91DF-D186B1FC9E7D}" name="Status" dataDxfId="127"/>
    <tableColumn id="4" xr3:uid="{71EA6DB0-30F2-41A3-AD61-34CDA46DA193}" name="City / District / County" dataDxfId="126"/>
    <tableColumn id="5" xr3:uid="{A9F2F9EA-7816-47A6-A5C0-FE44BD4A4510}" name="Population" dataDxfId="125"/>
    <tableColumn id="6" xr3:uid="{44973A41-3D8A-45F8-9901-60ED7870DFD8}" name="Column1" dataDxfId="124">
      <calculatedColumnFormula>VLOOKUP(D2,Table17[[Name]:[Native]],3,FALSE)</calculatedColumnFormula>
    </tableColumn>
    <tableColumn id="7" xr3:uid="{7DBC402B-8A94-4300-B9E7-BD8B31A33155}" name="Column2" dataDxfId="123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8142794-DB50-4AA9-9F18-CE4E7FB4E840}" name="Table9" displayName="Table9" ref="A1:G78" totalsRowShown="0" headerRowDxfId="122" dataDxfId="121">
  <autoFilter ref="A1:G78" xr:uid="{38142794-DB50-4AA9-9F18-CE4E7FB4E840}"/>
  <tableColumns count="7">
    <tableColumn id="1" xr3:uid="{70DA1F7C-9982-4821-8515-DA4BB765D6D6}" name="Name" dataDxfId="120"/>
    <tableColumn id="2" xr3:uid="{AB833022-2DD3-4119-96B2-7F4147B40442}" name="Native" dataDxfId="119"/>
    <tableColumn id="3" xr3:uid="{451800C1-9FBD-4D47-A0CD-C4D73A01E157}" name="Status" dataDxfId="118"/>
    <tableColumn id="4" xr3:uid="{18A3631D-759E-4D9E-8651-6AE6D28E6592}" name="City / District / County" dataDxfId="117"/>
    <tableColumn id="5" xr3:uid="{E9521E86-4BFD-41E7-A0CF-B4A464FF1595}" name="Population" dataDxfId="116"/>
    <tableColumn id="6" xr3:uid="{6AB79191-96C7-4F24-955A-9ECE271007DB}" name="Column1" dataDxfId="115">
      <calculatedColumnFormula>VLOOKUP(D2,Table17[[Name]:[Native]],3,FALSE)</calculatedColumnFormula>
    </tableColumn>
    <tableColumn id="7" xr3:uid="{B694945C-E1A7-4E47-A7DC-1F19558F421B}" name="Column2" dataDxfId="114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8055E24-3707-4521-900C-B392F24DAB9C}" name="Table10" displayName="Table10" ref="A1:G30" totalsRowShown="0" headerRowDxfId="113" dataDxfId="112">
  <autoFilter ref="A1:G30" xr:uid="{28055E24-3707-4521-900C-B392F24DAB9C}"/>
  <tableColumns count="7">
    <tableColumn id="1" xr3:uid="{709EF5A4-6C0A-420E-86D5-9CFE4D7CD3D3}" name="Name" dataDxfId="111"/>
    <tableColumn id="2" xr3:uid="{D94E2B97-57E2-4E63-9FA9-46ECD50D9D02}" name="Native" dataDxfId="110"/>
    <tableColumn id="3" xr3:uid="{1B63A311-C42F-481E-A84F-42063FE4869B}" name="Status" dataDxfId="109"/>
    <tableColumn id="4" xr3:uid="{172103D0-37D1-4869-9929-1C094D05E23B}" name="City / District / County" dataDxfId="108"/>
    <tableColumn id="5" xr3:uid="{E09D921D-FEFD-4EEB-B7F6-66126152AF05}" name="Population" dataDxfId="107"/>
    <tableColumn id="6" xr3:uid="{09D4A354-6099-4545-BBDA-8F317B82DB38}" name="Column1" dataDxfId="106">
      <calculatedColumnFormula>VLOOKUP(D2,Table17[[Name]:[Native]],3,FALSE)</calculatedColumnFormula>
    </tableColumn>
    <tableColumn id="7" xr3:uid="{25DD070C-4070-433A-BD2C-A21B0BC1CC26}" name="Column2" dataDxfId="105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BC7E0E9-6922-4377-86EB-EA7D4E7FA9D4}" name="Table12" displayName="Table12" ref="A1:G117" totalsRowShown="0" headerRowDxfId="104" dataDxfId="103">
  <autoFilter ref="A1:G117" xr:uid="{7BC7E0E9-6922-4377-86EB-EA7D4E7FA9D4}"/>
  <tableColumns count="7">
    <tableColumn id="1" xr3:uid="{516C4664-8BB9-4A5A-B0E3-506E694A0843}" name="Name" dataDxfId="102"/>
    <tableColumn id="2" xr3:uid="{A0226A1C-A6CC-4E7B-9D07-DF3F2458D614}" name="Native" dataDxfId="101"/>
    <tableColumn id="3" xr3:uid="{30A8904E-F376-4AC9-8883-F8AA29B9F36F}" name="Status" dataDxfId="100"/>
    <tableColumn id="4" xr3:uid="{FFCE75B1-EC88-4C77-9816-7F47C34A3064}" name="City / District / County" dataDxfId="99"/>
    <tableColumn id="5" xr3:uid="{B01558D3-79E6-446A-BB8A-5F3102FBB1D5}" name="Population" dataDxfId="98"/>
    <tableColumn id="6" xr3:uid="{D04AEB47-D4C1-4A94-82C3-D1998EAD45F4}" name="Column1" dataDxfId="97">
      <calculatedColumnFormula>VLOOKUP(D2,Table17[[Name]:[Native]],3,FALSE)</calculatedColumnFormula>
    </tableColumn>
    <tableColumn id="7" xr3:uid="{ABAC9FA5-ACF0-40D0-92B6-64831AECD322}" name="Column2" dataDxfId="96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AF69121-5F52-4977-83D1-392DD6D4CBCD}" name="Table11" displayName="Table11" ref="A1:G104" totalsRowShown="0" headerRowDxfId="95" dataDxfId="94">
  <autoFilter ref="A1:G104" xr:uid="{3AF69121-5F52-4977-83D1-392DD6D4CBCD}"/>
  <tableColumns count="7">
    <tableColumn id="1" xr3:uid="{EC1DA015-DA0E-4194-8376-F9ED398E75A3}" name="Name" dataDxfId="93"/>
    <tableColumn id="2" xr3:uid="{CBDD0246-887A-4ACE-ACDC-737DDF844182}" name="Native" dataDxfId="92"/>
    <tableColumn id="3" xr3:uid="{CF8E977A-794C-4441-A1BE-65B1735B6768}" name="Status" dataDxfId="91"/>
    <tableColumn id="4" xr3:uid="{502B69C8-8F81-4620-90A3-6B4E2113A7BA}" name="City / District / County" dataDxfId="90"/>
    <tableColumn id="5" xr3:uid="{F9D6B225-4717-4A7C-BF13-FF94BB1FF7EC}" name="Population" dataDxfId="89"/>
    <tableColumn id="6" xr3:uid="{FBC7CCB7-4917-45B0-8759-3996912AA92B}" name="Column1" dataDxfId="88">
      <calculatedColumnFormula>VLOOKUP(D2,Table17[[Name]:[Native]],3,FALSE)</calculatedColumnFormula>
    </tableColumn>
    <tableColumn id="7" xr3:uid="{40EE9D01-CF64-4387-8CF5-9261A928FCB3}" name="Column2" dataDxfId="87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F7F666-EBBE-41D3-8EEA-FA87C61FECBF}" name="Table13" displayName="Table13" ref="A1:G103" totalsRowShown="0" headerRowDxfId="86" dataDxfId="85">
  <autoFilter ref="A1:G103" xr:uid="{E2F7F666-EBBE-41D3-8EEA-FA87C61FECBF}"/>
  <tableColumns count="7">
    <tableColumn id="1" xr3:uid="{08978F4F-A6A2-47D0-BF76-8304ABBEDA69}" name="Name" dataDxfId="84"/>
    <tableColumn id="2" xr3:uid="{740A010C-0841-4A20-8C49-E22BBC7382D2}" name="Native" dataDxfId="83"/>
    <tableColumn id="3" xr3:uid="{76F6F57F-3E03-475E-B222-46B369771CAC}" name="Status" dataDxfId="82"/>
    <tableColumn id="4" xr3:uid="{08791A86-536B-478B-BC22-78AD058B0BCA}" name="City / District / County" dataDxfId="81"/>
    <tableColumn id="5" xr3:uid="{D29BF086-C751-4DDF-B437-7D749E02270B}" name="Population" dataDxfId="80"/>
    <tableColumn id="6" xr3:uid="{229B439E-085C-4EC3-A6CC-87D1D68FE729}" name="Column1" dataDxfId="79">
      <calculatedColumnFormula>VLOOKUP(D2,Table17[[Name]:[Native]],3,FALSE)</calculatedColumnFormula>
    </tableColumn>
    <tableColumn id="7" xr3:uid="{8642264D-9850-406E-98E2-CA97AE70E75A}" name="Column2" dataDxfId="78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A70238A-31B9-4442-8902-8B8742B885CB}" name="Table14" displayName="Table14" ref="A1:G36" totalsRowShown="0" headerRowDxfId="77" dataDxfId="76">
  <autoFilter ref="A1:G36" xr:uid="{8A70238A-31B9-4442-8902-8B8742B885CB}"/>
  <tableColumns count="7">
    <tableColumn id="1" xr3:uid="{EDD29533-4A3C-4457-8DCA-2013FDB13156}" name="Name" dataDxfId="75"/>
    <tableColumn id="2" xr3:uid="{830FD9AE-F41E-4E53-A113-546620B5B21D}" name="Native" dataDxfId="74"/>
    <tableColumn id="3" xr3:uid="{B01DCFCD-FED0-4B47-BFEA-8020FAD4F86E}" name="Status" dataDxfId="73"/>
    <tableColumn id="4" xr3:uid="{7620630B-2A42-4ADA-8E1A-7B5525CF293C}" name="City / District / County" dataDxfId="72"/>
    <tableColumn id="5" xr3:uid="{39DA545C-3F90-4A79-BE11-2791F05200F2}" name="Population" dataDxfId="71"/>
    <tableColumn id="6" xr3:uid="{79E73601-C130-449A-9BFF-6B9AB75DA8EE}" name="Column1" dataDxfId="70">
      <calculatedColumnFormula>VLOOKUP(D2,Table17[[Name]:[Native]],3,FALSE)</calculatedColumnFormula>
    </tableColumn>
    <tableColumn id="7" xr3:uid="{2813D56C-1B8B-44D9-9D3C-AE0C9F4C3164}" name="Column2" dataDxfId="69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829A437-E1F0-454E-A72C-C26DEEE1CE48}" name="Table15" displayName="Table15" ref="A1:G75" totalsRowShown="0" headerRowDxfId="68" dataDxfId="67">
  <autoFilter ref="A1:G75" xr:uid="{9829A437-E1F0-454E-A72C-C26DEEE1CE48}"/>
  <tableColumns count="7">
    <tableColumn id="1" xr3:uid="{965FC9A3-209F-4D52-B096-57A0316AAFBE}" name="Name" dataDxfId="66"/>
    <tableColumn id="2" xr3:uid="{049FCC78-B16F-41AE-9F18-0673C27EF36F}" name="Native" dataDxfId="65"/>
    <tableColumn id="3" xr3:uid="{C586A78A-2F4D-44E0-8C1A-CBFA5E9A9C23}" name="Status" dataDxfId="64"/>
    <tableColumn id="4" xr3:uid="{B5246522-A21E-4B20-A165-A15F975EE1C0}" name="City / District / County" dataDxfId="63"/>
    <tableColumn id="5" xr3:uid="{72967A4C-7E19-4824-B1FF-979A27CB3BE0}" name="Population" dataDxfId="62"/>
    <tableColumn id="6" xr3:uid="{8B65F8CB-7149-4FD6-BF10-55238E1301EB}" name="Column1" dataDxfId="61">
      <calculatedColumnFormula>VLOOKUP(D2,Table17[[Name]:[Native]],3,FALSE)</calculatedColumnFormula>
    </tableColumn>
    <tableColumn id="7" xr3:uid="{9A30AC9E-9720-4FCF-A487-2421ACAF1BA9}" name="Column2" dataDxfId="60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A81477D-DD20-42FB-AF75-603FBD2EEDD3}" name="Table16" displayName="Table16" ref="A1:G144" totalsRowShown="0" headerRowDxfId="59" dataDxfId="58">
  <autoFilter ref="A1:G144" xr:uid="{7A81477D-DD20-42FB-AF75-603FBD2EEDD3}"/>
  <tableColumns count="7">
    <tableColumn id="1" xr3:uid="{D50906AB-6F15-4DD3-8F03-B41211B28E0D}" name="Name" dataDxfId="57"/>
    <tableColumn id="2" xr3:uid="{218C1C64-7C3D-4434-BD39-B7EC9F73173B}" name="Native" dataDxfId="56"/>
    <tableColumn id="3" xr3:uid="{2A10FF4F-6849-4AD0-8F80-3E89851EAA1D}" name="Status" dataDxfId="55"/>
    <tableColumn id="4" xr3:uid="{272D617E-A69C-4667-8919-1FA2733245B1}" name="City / District / County" dataDxfId="54"/>
    <tableColumn id="5" xr3:uid="{3FDE1E7E-9DAE-4FA7-9EA1-E7EE8EE194AB}" name="Population" dataDxfId="53"/>
    <tableColumn id="6" xr3:uid="{2E83B996-6721-489C-B3D5-96E5704709DC}" name="Column1" dataDxfId="52">
      <calculatedColumnFormula>VLOOKUP(D2,Table17[[Name]:[Native]],3,FALSE)</calculatedColumnFormula>
    </tableColumn>
    <tableColumn id="7" xr3:uid="{A16CD8C4-3EF2-46CB-B9F0-29B9A15C7A16}" name="Column2" dataDxfId="51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C1D1E2F-C6D4-46F0-9270-15DCEB1213C0}" name="Table18" displayName="Table18" ref="A1:P1380" totalsRowShown="0">
  <autoFilter ref="A1:P1380" xr:uid="{2C1D1E2F-C6D4-46F0-9270-15DCEB1213C0}">
    <filterColumn colId="4">
      <filters>
        <filter val="Town"/>
      </filters>
    </filterColumn>
    <filterColumn colId="11">
      <colorFilter dxfId="0"/>
    </filterColumn>
  </autoFilter>
  <sortState xmlns:xlrd2="http://schemas.microsoft.com/office/spreadsheetml/2017/richdata2" ref="A2:N1380">
    <sortCondition ref="A1:A1380"/>
  </sortState>
  <tableColumns count="16">
    <tableColumn id="1" xr3:uid="{08B6BA70-6BBF-4E03-BFD0-20FDF65B7FA4}" name="Column1"/>
    <tableColumn id="10" xr3:uid="{36ABA66D-200B-436C-811F-DB8A109B2341}" name="Column12" dataDxfId="32">
      <calculatedColumnFormula>IF(COUNTIF(A:A,A2)&gt;1,_xlfn.CONCAT(A2," (",N2,")"),A2)</calculatedColumnFormula>
    </tableColumn>
    <tableColumn id="11" xr3:uid="{E5EC046A-153B-423D-AACB-3CF407B558B3}" name="Column13" dataDxfId="31">
      <calculatedColumnFormula>IF(COUNTIF(B:B,B2)&gt;1,_xlfn.CONCAT(A2," (",M2,")"),B2)</calculatedColumnFormula>
    </tableColumn>
    <tableColumn id="2" xr3:uid="{89076A9D-FB3A-4A2F-8396-DA5C99F54EE9}" name="Column2"/>
    <tableColumn id="3" xr3:uid="{627477C2-C8D3-4A66-85BB-5149956EB1A7}" name="Column3"/>
    <tableColumn id="4" xr3:uid="{96E45ABF-0E0B-4525-AB40-1421A080CE61}" name="Column4" dataDxfId="50">
      <calculatedColumnFormula>_xlfn.CONCAT(D2,", ",H2,", ",I2,", ","云南省")</calculatedColumnFormula>
    </tableColumn>
    <tableColumn id="5" xr3:uid="{4835E688-FFC4-4268-9E8A-DE22E52BC285}" name="Column5"/>
    <tableColumn id="6" xr3:uid="{1A7AF738-BE08-46F6-9E85-4D2C8BF4B163}" name="Column6"/>
    <tableColumn id="7" xr3:uid="{FB9224E0-4E9A-40B5-99D5-46B16C48C4FF}" name="Column7"/>
    <tableColumn id="8" xr3:uid="{D79EF955-85F0-4924-9892-6133FE6B7CE3}" name="Column8" dataDxfId="49">
      <calculatedColumnFormula>VLOOKUP(F2,[1]!china_towns_second__2[[Column1]:[Y]],3,FALSE)</calculatedColumnFormula>
    </tableColumn>
    <tableColumn id="9" xr3:uid="{E9F1868C-B041-452B-9FE1-C947C9BDF8D8}" name="Column9" dataDxfId="48">
      <calculatedColumnFormula>VLOOKUP(F2,[1]!china_towns_second__2[[Column1]:[Y]],2,FALSE)</calculatedColumnFormula>
    </tableColumn>
    <tableColumn id="12" xr3:uid="{4C8B09C1-9047-41C8-9160-F9A204C630BD}" name="Column10"/>
    <tableColumn id="13" xr3:uid="{24F324CE-35EF-49BE-BF9C-7AC658E8C670}" name="Column11" dataDxfId="34">
      <calculatedColumnFormula>VLOOKUP(H2,CHOOSE({1,2},Table17[Native],Table17[Name]),2,0)</calculatedColumnFormula>
    </tableColumn>
    <tableColumn id="14" xr3:uid="{2E24A657-FB58-4605-81EA-1A459C152186}" name="Column112" dataDxfId="33">
      <calculatedColumnFormula>VLOOKUP(I2,CHOOSE({1,2},Table17[Native],Table17[Name]),2,0)</calculatedColumnFormula>
    </tableColumn>
    <tableColumn id="15" xr3:uid="{48080153-A7F5-4063-8CEA-713A1F6CE099}" name="Column113" dataDxfId="24">
      <calculatedColumnFormula>_xlfn.CONCAT(L2," (",N2,")")</calculatedColumnFormula>
    </tableColumn>
    <tableColumn id="16" xr3:uid="{D07DF914-633E-4410-8E5A-83EA8D258A37}" name="Column114" dataDxfId="23">
      <calculatedColumnFormula>IF(COUNTIF(O:O,O2)&gt;1,_xlfn.CONCAT(L2," (",M2,")"),O2)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EA239A0-304A-480B-8566-53487B054B35}" name="Table19" displayName="Table19" ref="A1:E18" totalsRowShown="0">
  <autoFilter ref="A1:E18" xr:uid="{CEA239A0-304A-480B-8566-53487B054B35}"/>
  <tableColumns count="5">
    <tableColumn id="1" xr3:uid="{64F715DC-984C-48D0-96A5-FD11BDD54DE8}" name="Column1"/>
    <tableColumn id="3" xr3:uid="{960D8224-E0C5-4316-BB6E-6CF53B9EBAEF}" name="Column12" dataDxfId="47">
      <calculatedColumnFormula>VLOOKUP(A2,CHOOSE({1,2},Table17[Native],Table17[Name]),2,0)</calculatedColumnFormula>
    </tableColumn>
    <tableColumn id="2" xr3:uid="{48BA63CE-D94E-4E4B-84A4-AB36AF99D7BC}" name="Column2"/>
    <tableColumn id="4" xr3:uid="{3CCEC354-50EB-4284-BCB7-8F4237803BEB}" name="Column3" dataDxfId="46">
      <calculatedColumnFormula>VLOOKUP(A2,[1]!Table1[[name]:[@lon]],5,0)</calculatedColumnFormula>
    </tableColumn>
    <tableColumn id="5" xr3:uid="{F1672493-4940-473F-9D55-4A50BC6AD76F}" name="Column4" dataDxfId="45">
      <calculatedColumnFormula>VLOOKUP(A2,[1]!Table1[[name]:[@lon]],6,0)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175CD4E-2380-43FA-B904-83C0A2427E44}" name="Table17" displayName="Table17" ref="A1:G147" totalsRowShown="0" headerRowDxfId="44" dataDxfId="43" tableBorderDxfId="42">
  <autoFilter ref="A1:G147" xr:uid="{5175CD4E-2380-43FA-B904-83C0A2427E44}"/>
  <tableColumns count="7">
    <tableColumn id="1" xr3:uid="{CC270119-B91E-4FA5-BFDC-69C953E0A795}" name="Name" dataDxfId="41"/>
    <tableColumn id="2" xr3:uid="{B7FF3B85-066F-46E5-B787-EE2C97C49AB9}" name="Status" dataDxfId="40"/>
    <tableColumn id="3" xr3:uid="{8A6C4D1D-500C-48B6-A5A1-6E6061EDDBAB}" name="Native" dataDxfId="39"/>
    <tableColumn id="4" xr3:uid="{5EF4E4EE-EF0B-4873-8F63-DD2F8B841FED}" name="Population" dataDxfId="38"/>
    <tableColumn id="5" xr3:uid="{05A172E9-043F-47E8-B91F-3EE08150D15B}" name="Population2" dataDxfId="37"/>
    <tableColumn id="6" xr3:uid="{E286CC2C-BDD0-4793-B1A9-9C9082B3D244}" name="Population3" dataDxfId="36"/>
    <tableColumn id="7" xr3:uid="{B94A7902-3B71-4980-9099-245FA9744F27}" name="Population4" dataDxfId="35">
      <calculatedColumnFormula array="1">IF(Background=36,C2,G1)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BC714-9B76-4A62-8E81-33FE53DF530F}">
  <dimension ref="A1:G73"/>
  <sheetViews>
    <sheetView topLeftCell="A48" workbookViewId="0">
      <selection activeCell="G2" sqref="A2:G7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2917</v>
      </c>
      <c r="G1" t="s">
        <v>2919</v>
      </c>
    </row>
    <row r="2" spans="1:7" ht="15.75" thickBot="1" x14ac:dyDescent="0.3">
      <c r="A2" t="s">
        <v>5</v>
      </c>
      <c r="B2" s="1" t="s">
        <v>6</v>
      </c>
      <c r="C2" s="1" t="s">
        <v>7</v>
      </c>
      <c r="D2" s="1" t="s">
        <v>8</v>
      </c>
      <c r="E2" s="6">
        <v>6578</v>
      </c>
      <c r="F2" s="9" t="str">
        <f>VLOOKUP(D2,Table17[[Name]:[Native]],3,FALSE)</f>
        <v>施甸县</v>
      </c>
      <c r="G2" s="14" t="str">
        <f ca="1">VLOOKUP(F2,Table17[[Native]:[Population4]],5,FALSE)</f>
        <v>保山市</v>
      </c>
    </row>
    <row r="3" spans="1:7" ht="15.75" thickBot="1" x14ac:dyDescent="0.3">
      <c r="A3" t="s">
        <v>9</v>
      </c>
      <c r="B3" s="1" t="s">
        <v>10</v>
      </c>
      <c r="C3" s="1" t="s">
        <v>11</v>
      </c>
      <c r="D3" s="1" t="s">
        <v>12</v>
      </c>
      <c r="E3" s="6">
        <v>97512</v>
      </c>
      <c r="F3" s="1" t="str">
        <f>VLOOKUP(D3,Table17[[Name]:[Native]],3,FALSE)</f>
        <v>隆阳区</v>
      </c>
      <c r="G3" s="14" t="str">
        <f ca="1">VLOOKUP(F3,Table17[[Native]:[Population4]],5,FALSE)</f>
        <v>保山市</v>
      </c>
    </row>
    <row r="4" spans="1:7" ht="15.75" thickBot="1" x14ac:dyDescent="0.3">
      <c r="A4" t="s">
        <v>13</v>
      </c>
      <c r="B4" s="1" t="s">
        <v>14</v>
      </c>
      <c r="C4" s="1" t="s">
        <v>7</v>
      </c>
      <c r="D4" s="1" t="s">
        <v>15</v>
      </c>
      <c r="E4" s="6">
        <v>22668</v>
      </c>
      <c r="F4" s="1" t="str">
        <f>VLOOKUP(D4,Table17[[Name]:[Native]],3,FALSE)</f>
        <v>腾冲市</v>
      </c>
      <c r="G4" s="14" t="str">
        <f ca="1">VLOOKUP(F4,Table17[[Native]:[Population4]],5,FALSE)</f>
        <v>保山市</v>
      </c>
    </row>
    <row r="5" spans="1:7" ht="15.75" thickBot="1" x14ac:dyDescent="0.3">
      <c r="A5" t="s">
        <v>16</v>
      </c>
      <c r="B5" s="1" t="s">
        <v>17</v>
      </c>
      <c r="C5" s="1" t="s">
        <v>7</v>
      </c>
      <c r="D5" s="1" t="s">
        <v>12</v>
      </c>
      <c r="E5" s="6">
        <v>28027</v>
      </c>
      <c r="F5" s="1" t="str">
        <f>VLOOKUP(D5,Table17[[Name]:[Native]],3,FALSE)</f>
        <v>隆阳区</v>
      </c>
      <c r="G5" s="14" t="str">
        <f ca="1">VLOOKUP(F5,Table17[[Native]:[Population4]],5,FALSE)</f>
        <v>保山市</v>
      </c>
    </row>
    <row r="6" spans="1:7" ht="15.75" thickBot="1" x14ac:dyDescent="0.3">
      <c r="A6" t="s">
        <v>18</v>
      </c>
      <c r="B6" s="1" t="s">
        <v>19</v>
      </c>
      <c r="C6" s="1" t="s">
        <v>7</v>
      </c>
      <c r="D6" s="1" t="s">
        <v>20</v>
      </c>
      <c r="E6" s="6">
        <v>20289</v>
      </c>
      <c r="F6" s="1" t="str">
        <f>VLOOKUP(D6,Table17[[Name]:[Native]],3,FALSE)</f>
        <v>龙陵县</v>
      </c>
      <c r="G6" s="14" t="str">
        <f ca="1">VLOOKUP(F6,Table17[[Native]:[Population4]],5,FALSE)</f>
        <v>保山市</v>
      </c>
    </row>
    <row r="7" spans="1:7" ht="15.75" thickBot="1" x14ac:dyDescent="0.3">
      <c r="A7" t="s">
        <v>21</v>
      </c>
      <c r="B7" s="1" t="s">
        <v>22</v>
      </c>
      <c r="C7" s="1" t="s">
        <v>11</v>
      </c>
      <c r="D7" s="1" t="s">
        <v>23</v>
      </c>
      <c r="E7" s="6">
        <v>20726</v>
      </c>
      <c r="F7" s="1" t="str">
        <f>VLOOKUP(D7,Table17[[Name]:[Native]],3,FALSE)</f>
        <v>昌宁县</v>
      </c>
      <c r="G7" s="14" t="str">
        <f ca="1">VLOOKUP(F7,Table17[[Native]:[Population4]],5,FALSE)</f>
        <v>保山市</v>
      </c>
    </row>
    <row r="8" spans="1:7" ht="15.75" thickBot="1" x14ac:dyDescent="0.3">
      <c r="A8" t="s">
        <v>24</v>
      </c>
      <c r="B8" s="1" t="s">
        <v>25</v>
      </c>
      <c r="C8" s="1" t="s">
        <v>11</v>
      </c>
      <c r="D8" s="1" t="s">
        <v>15</v>
      </c>
      <c r="E8" s="6">
        <v>28612</v>
      </c>
      <c r="F8" s="1" t="str">
        <f>VLOOKUP(D8,Table17[[Name]:[Native]],3,FALSE)</f>
        <v>腾冲市</v>
      </c>
      <c r="G8" s="14" t="str">
        <f ca="1">VLOOKUP(F8,Table17[[Native]:[Population4]],5,FALSE)</f>
        <v>保山市</v>
      </c>
    </row>
    <row r="9" spans="1:7" ht="15.75" thickBot="1" x14ac:dyDescent="0.3">
      <c r="A9" t="s">
        <v>26</v>
      </c>
      <c r="B9" s="1" t="s">
        <v>27</v>
      </c>
      <c r="C9" s="1" t="s">
        <v>11</v>
      </c>
      <c r="D9" s="1" t="s">
        <v>8</v>
      </c>
      <c r="E9" s="6">
        <v>45418</v>
      </c>
      <c r="F9" s="1" t="str">
        <f>VLOOKUP(D9,Table17[[Name]:[Native]],3,FALSE)</f>
        <v>施甸县</v>
      </c>
      <c r="G9" s="14" t="str">
        <f ca="1">VLOOKUP(F9,Table17[[Native]:[Population4]],5,FALSE)</f>
        <v>保山市</v>
      </c>
    </row>
    <row r="10" spans="1:7" ht="15.75" thickBot="1" x14ac:dyDescent="0.3">
      <c r="A10" t="s">
        <v>28</v>
      </c>
      <c r="B10" s="1" t="s">
        <v>29</v>
      </c>
      <c r="C10" s="1" t="s">
        <v>7</v>
      </c>
      <c r="D10" s="1" t="s">
        <v>23</v>
      </c>
      <c r="E10" s="6">
        <v>25030</v>
      </c>
      <c r="F10" s="1" t="str">
        <f>VLOOKUP(D10,Table17[[Name]:[Native]],3,FALSE)</f>
        <v>昌宁县</v>
      </c>
      <c r="G10" s="14" t="str">
        <f ca="1">VLOOKUP(F10,Table17[[Native]:[Population4]],5,FALSE)</f>
        <v>保山市</v>
      </c>
    </row>
    <row r="11" spans="1:7" ht="15.75" thickBot="1" x14ac:dyDescent="0.3">
      <c r="A11" t="s">
        <v>30</v>
      </c>
      <c r="B11" s="1" t="s">
        <v>31</v>
      </c>
      <c r="C11" s="1" t="s">
        <v>7</v>
      </c>
      <c r="D11" s="1" t="s">
        <v>23</v>
      </c>
      <c r="E11" s="6">
        <v>23219</v>
      </c>
      <c r="F11" s="1" t="str">
        <f>VLOOKUP(D11,Table17[[Name]:[Native]],3,FALSE)</f>
        <v>昌宁县</v>
      </c>
      <c r="G11" s="14" t="str">
        <f ca="1">VLOOKUP(F11,Table17[[Native]:[Population4]],5,FALSE)</f>
        <v>保山市</v>
      </c>
    </row>
    <row r="12" spans="1:7" ht="15.75" thickBot="1" x14ac:dyDescent="0.3">
      <c r="A12" t="s">
        <v>32</v>
      </c>
      <c r="B12" s="1" t="s">
        <v>33</v>
      </c>
      <c r="C12" s="1" t="s">
        <v>11</v>
      </c>
      <c r="D12" s="1" t="s">
        <v>15</v>
      </c>
      <c r="E12" s="6">
        <v>45528</v>
      </c>
      <c r="F12" s="1" t="str">
        <f>VLOOKUP(D12,Table17[[Name]:[Native]],3,FALSE)</f>
        <v>腾冲市</v>
      </c>
      <c r="G12" s="14" t="str">
        <f ca="1">VLOOKUP(F12,Table17[[Native]:[Population4]],5,FALSE)</f>
        <v>保山市</v>
      </c>
    </row>
    <row r="13" spans="1:7" ht="15.75" thickBot="1" x14ac:dyDescent="0.3">
      <c r="A13" t="s">
        <v>34</v>
      </c>
      <c r="B13" s="1" t="s">
        <v>35</v>
      </c>
      <c r="C13" s="1" t="s">
        <v>11</v>
      </c>
      <c r="D13" s="1" t="s">
        <v>12</v>
      </c>
      <c r="E13" s="6">
        <v>72675</v>
      </c>
      <c r="F13" s="1" t="str">
        <f>VLOOKUP(D13,Table17[[Name]:[Native]],3,FALSE)</f>
        <v>隆阳区</v>
      </c>
      <c r="G13" s="14" t="str">
        <f ca="1">VLOOKUP(F13,Table17[[Native]:[Population4]],5,FALSE)</f>
        <v>保山市</v>
      </c>
    </row>
    <row r="14" spans="1:7" ht="15.75" thickBot="1" x14ac:dyDescent="0.3">
      <c r="A14" t="s">
        <v>36</v>
      </c>
      <c r="B14" s="1" t="s">
        <v>37</v>
      </c>
      <c r="C14" s="1" t="s">
        <v>11</v>
      </c>
      <c r="D14" s="1" t="s">
        <v>15</v>
      </c>
      <c r="E14" s="6">
        <v>24814</v>
      </c>
      <c r="F14" s="1" t="str">
        <f>VLOOKUP(D14,Table17[[Name]:[Native]],3,FALSE)</f>
        <v>腾冲市</v>
      </c>
      <c r="G14" s="14" t="str">
        <f ca="1">VLOOKUP(F14,Table17[[Native]:[Population4]],5,FALSE)</f>
        <v>保山市</v>
      </c>
    </row>
    <row r="15" spans="1:7" ht="15.75" thickBot="1" x14ac:dyDescent="0.3">
      <c r="A15" t="s">
        <v>38</v>
      </c>
      <c r="B15" s="1" t="s">
        <v>39</v>
      </c>
      <c r="C15" s="1" t="s">
        <v>11</v>
      </c>
      <c r="D15" s="1" t="s">
        <v>15</v>
      </c>
      <c r="E15" s="6">
        <v>6560</v>
      </c>
      <c r="F15" s="1" t="str">
        <f>VLOOKUP(D15,Table17[[Name]:[Native]],3,FALSE)</f>
        <v>腾冲市</v>
      </c>
      <c r="G15" s="14" t="str">
        <f ca="1">VLOOKUP(F15,Table17[[Native]:[Population4]],5,FALSE)</f>
        <v>保山市</v>
      </c>
    </row>
    <row r="16" spans="1:7" ht="15.75" thickBot="1" x14ac:dyDescent="0.3">
      <c r="A16" t="s">
        <v>40</v>
      </c>
      <c r="B16" s="1" t="s">
        <v>41</v>
      </c>
      <c r="C16" s="1" t="s">
        <v>42</v>
      </c>
      <c r="D16" s="1" t="s">
        <v>12</v>
      </c>
      <c r="E16" s="6">
        <v>47481</v>
      </c>
      <c r="F16" s="1" t="str">
        <f>VLOOKUP(D16,Table17[[Name]:[Native]],3,FALSE)</f>
        <v>隆阳区</v>
      </c>
      <c r="G16" s="14" t="str">
        <f ca="1">VLOOKUP(F16,Table17[[Native]:[Population4]],5,FALSE)</f>
        <v>保山市</v>
      </c>
    </row>
    <row r="17" spans="1:7" ht="15.75" thickBot="1" x14ac:dyDescent="0.3">
      <c r="A17" t="s">
        <v>43</v>
      </c>
      <c r="B17" s="1" t="s">
        <v>44</v>
      </c>
      <c r="C17" s="1" t="s">
        <v>7</v>
      </c>
      <c r="D17" s="1" t="s">
        <v>8</v>
      </c>
      <c r="E17" s="6">
        <v>14462</v>
      </c>
      <c r="F17" s="1" t="str">
        <f>VLOOKUP(D17,Table17[[Name]:[Native]],3,FALSE)</f>
        <v>施甸县</v>
      </c>
      <c r="G17" s="14" t="str">
        <f ca="1">VLOOKUP(F17,Table17[[Native]:[Population4]],5,FALSE)</f>
        <v>保山市</v>
      </c>
    </row>
    <row r="18" spans="1:7" ht="15.75" thickBot="1" x14ac:dyDescent="0.3">
      <c r="A18" t="s">
        <v>45</v>
      </c>
      <c r="B18" s="1" t="s">
        <v>46</v>
      </c>
      <c r="C18" s="1" t="s">
        <v>11</v>
      </c>
      <c r="D18" s="1" t="s">
        <v>15</v>
      </c>
      <c r="E18" s="6">
        <v>27965</v>
      </c>
      <c r="F18" s="1" t="str">
        <f>VLOOKUP(D18,Table17[[Name]:[Native]],3,FALSE)</f>
        <v>腾冲市</v>
      </c>
      <c r="G18" s="14" t="str">
        <f ca="1">VLOOKUP(F18,Table17[[Native]:[Population4]],5,FALSE)</f>
        <v>保山市</v>
      </c>
    </row>
    <row r="19" spans="1:7" ht="15.75" thickBot="1" x14ac:dyDescent="0.3">
      <c r="A19" t="s">
        <v>47</v>
      </c>
      <c r="B19" s="1" t="s">
        <v>48</v>
      </c>
      <c r="C19" s="1" t="s">
        <v>11</v>
      </c>
      <c r="D19" s="1" t="s">
        <v>15</v>
      </c>
      <c r="E19" s="6">
        <v>65843</v>
      </c>
      <c r="F19" s="1" t="str">
        <f>VLOOKUP(D19,Table17[[Name]:[Native]],3,FALSE)</f>
        <v>腾冲市</v>
      </c>
      <c r="G19" s="14" t="str">
        <f ca="1">VLOOKUP(F19,Table17[[Native]:[Population4]],5,FALSE)</f>
        <v>保山市</v>
      </c>
    </row>
    <row r="20" spans="1:7" ht="15.75" thickBot="1" x14ac:dyDescent="0.3">
      <c r="A20" t="s">
        <v>49</v>
      </c>
      <c r="B20" s="1" t="s">
        <v>50</v>
      </c>
      <c r="C20" s="1" t="s">
        <v>11</v>
      </c>
      <c r="D20" s="1" t="s">
        <v>23</v>
      </c>
      <c r="E20" s="6">
        <v>18456</v>
      </c>
      <c r="F20" s="1" t="str">
        <f>VLOOKUP(D20,Table17[[Name]:[Native]],3,FALSE)</f>
        <v>昌宁县</v>
      </c>
      <c r="G20" s="14" t="str">
        <f ca="1">VLOOKUP(F20,Table17[[Native]:[Population4]],5,FALSE)</f>
        <v>保山市</v>
      </c>
    </row>
    <row r="21" spans="1:7" ht="15.75" thickBot="1" x14ac:dyDescent="0.3">
      <c r="A21" t="s">
        <v>51</v>
      </c>
      <c r="B21" s="1" t="s">
        <v>52</v>
      </c>
      <c r="C21" s="1" t="s">
        <v>7</v>
      </c>
      <c r="D21" s="1" t="s">
        <v>12</v>
      </c>
      <c r="E21" s="6">
        <v>24709</v>
      </c>
      <c r="F21" s="1" t="str">
        <f>VLOOKUP(D21,Table17[[Name]:[Native]],3,FALSE)</f>
        <v>隆阳区</v>
      </c>
      <c r="G21" s="14" t="str">
        <f ca="1">VLOOKUP(F21,Table17[[Native]:[Population4]],5,FALSE)</f>
        <v>保山市</v>
      </c>
    </row>
    <row r="22" spans="1:7" ht="15.75" thickBot="1" x14ac:dyDescent="0.3">
      <c r="A22" t="s">
        <v>53</v>
      </c>
      <c r="B22" s="1" t="s">
        <v>54</v>
      </c>
      <c r="C22" s="1" t="s">
        <v>7</v>
      </c>
      <c r="D22" s="1" t="s">
        <v>8</v>
      </c>
      <c r="E22" s="6">
        <v>15031</v>
      </c>
      <c r="F22" s="1" t="str">
        <f>VLOOKUP(D22,Table17[[Name]:[Native]],3,FALSE)</f>
        <v>施甸县</v>
      </c>
      <c r="G22" s="14" t="str">
        <f ca="1">VLOOKUP(F22,Table17[[Native]:[Population4]],5,FALSE)</f>
        <v>保山市</v>
      </c>
    </row>
    <row r="23" spans="1:7" ht="15.75" thickBot="1" x14ac:dyDescent="0.3">
      <c r="A23" t="s">
        <v>55</v>
      </c>
      <c r="B23" s="1" t="s">
        <v>56</v>
      </c>
      <c r="C23" s="1" t="s">
        <v>7</v>
      </c>
      <c r="D23" s="1" t="s">
        <v>8</v>
      </c>
      <c r="E23" s="6">
        <v>24246</v>
      </c>
      <c r="F23" s="1" t="str">
        <f>VLOOKUP(D23,Table17[[Name]:[Native]],3,FALSE)</f>
        <v>施甸县</v>
      </c>
      <c r="G23" s="14" t="str">
        <f ca="1">VLOOKUP(F23,Table17[[Native]:[Population4]],5,FALSE)</f>
        <v>保山市</v>
      </c>
    </row>
    <row r="24" spans="1:7" ht="15.75" thickBot="1" x14ac:dyDescent="0.3">
      <c r="A24" t="s">
        <v>57</v>
      </c>
      <c r="B24" s="1" t="s">
        <v>58</v>
      </c>
      <c r="C24" s="1" t="s">
        <v>11</v>
      </c>
      <c r="D24" s="1" t="s">
        <v>23</v>
      </c>
      <c r="E24" s="6">
        <v>38416</v>
      </c>
      <c r="F24" s="1" t="str">
        <f>VLOOKUP(D24,Table17[[Name]:[Native]],3,FALSE)</f>
        <v>昌宁县</v>
      </c>
      <c r="G24" s="14" t="str">
        <f ca="1">VLOOKUP(F24,Table17[[Native]:[Population4]],5,FALSE)</f>
        <v>保山市</v>
      </c>
    </row>
    <row r="25" spans="1:7" ht="15.75" thickBot="1" x14ac:dyDescent="0.3">
      <c r="A25" t="s">
        <v>59</v>
      </c>
      <c r="B25" s="1" t="s">
        <v>60</v>
      </c>
      <c r="C25" s="1" t="s">
        <v>11</v>
      </c>
      <c r="D25" s="1" t="s">
        <v>23</v>
      </c>
      <c r="E25" s="6">
        <v>30107</v>
      </c>
      <c r="F25" s="1" t="str">
        <f>VLOOKUP(D25,Table17[[Name]:[Native]],3,FALSE)</f>
        <v>昌宁县</v>
      </c>
      <c r="G25" s="14" t="str">
        <f ca="1">VLOOKUP(F25,Table17[[Native]:[Population4]],5,FALSE)</f>
        <v>保山市</v>
      </c>
    </row>
    <row r="26" spans="1:7" ht="15.75" thickBot="1" x14ac:dyDescent="0.3">
      <c r="A26" t="s">
        <v>61</v>
      </c>
      <c r="B26" s="1" t="s">
        <v>62</v>
      </c>
      <c r="C26" s="1" t="s">
        <v>11</v>
      </c>
      <c r="D26" s="1" t="s">
        <v>20</v>
      </c>
      <c r="E26" s="6">
        <v>20201</v>
      </c>
      <c r="F26" s="1" t="str">
        <f>VLOOKUP(D26,Table17[[Name]:[Native]],3,FALSE)</f>
        <v>龙陵县</v>
      </c>
      <c r="G26" s="14" t="str">
        <f ca="1">VLOOKUP(F26,Table17[[Native]:[Population4]],5,FALSE)</f>
        <v>保山市</v>
      </c>
    </row>
    <row r="27" spans="1:7" ht="15.75" thickBot="1" x14ac:dyDescent="0.3">
      <c r="A27" t="s">
        <v>63</v>
      </c>
      <c r="B27" s="1" t="s">
        <v>64</v>
      </c>
      <c r="C27" s="1" t="s">
        <v>42</v>
      </c>
      <c r="D27" s="1" t="s">
        <v>12</v>
      </c>
      <c r="E27" s="6">
        <v>90841</v>
      </c>
      <c r="F27" s="1" t="str">
        <f>VLOOKUP(D27,Table17[[Name]:[Native]],3,FALSE)</f>
        <v>隆阳区</v>
      </c>
      <c r="G27" s="14" t="str">
        <f ca="1">VLOOKUP(F27,Table17[[Native]:[Population4]],5,FALSE)</f>
        <v>保山市</v>
      </c>
    </row>
    <row r="28" spans="1:7" ht="15.75" thickBot="1" x14ac:dyDescent="0.3">
      <c r="A28" t="s">
        <v>65</v>
      </c>
      <c r="B28" s="1" t="s">
        <v>66</v>
      </c>
      <c r="C28" s="1" t="s">
        <v>7</v>
      </c>
      <c r="D28" s="1" t="s">
        <v>8</v>
      </c>
      <c r="E28" s="6">
        <v>20140</v>
      </c>
      <c r="F28" s="1" t="str">
        <f>VLOOKUP(D28,Table17[[Name]:[Native]],3,FALSE)</f>
        <v>施甸县</v>
      </c>
      <c r="G28" s="14" t="str">
        <f ca="1">VLOOKUP(F28,Table17[[Native]:[Population4]],5,FALSE)</f>
        <v>保山市</v>
      </c>
    </row>
    <row r="29" spans="1:7" ht="15.75" thickBot="1" x14ac:dyDescent="0.3">
      <c r="A29" t="s">
        <v>67</v>
      </c>
      <c r="B29" s="1" t="s">
        <v>68</v>
      </c>
      <c r="C29" s="1" t="s">
        <v>7</v>
      </c>
      <c r="D29" s="1" t="s">
        <v>20</v>
      </c>
      <c r="E29" s="6">
        <v>28116</v>
      </c>
      <c r="F29" s="1" t="str">
        <f>VLOOKUP(D29,Table17[[Name]:[Native]],3,FALSE)</f>
        <v>龙陵县</v>
      </c>
      <c r="G29" s="14" t="str">
        <f ca="1">VLOOKUP(F29,Table17[[Native]:[Population4]],5,FALSE)</f>
        <v>保山市</v>
      </c>
    </row>
    <row r="30" spans="1:7" ht="15.75" thickBot="1" x14ac:dyDescent="0.3">
      <c r="A30" t="s">
        <v>69</v>
      </c>
      <c r="B30" s="1" t="s">
        <v>70</v>
      </c>
      <c r="C30" s="1" t="s">
        <v>11</v>
      </c>
      <c r="D30" s="1" t="s">
        <v>20</v>
      </c>
      <c r="E30" s="6">
        <v>54140</v>
      </c>
      <c r="F30" s="1" t="str">
        <f>VLOOKUP(D30,Table17[[Name]:[Native]],3,FALSE)</f>
        <v>龙陵县</v>
      </c>
      <c r="G30" s="14" t="str">
        <f ca="1">VLOOKUP(F30,Table17[[Native]:[Population4]],5,FALSE)</f>
        <v>保山市</v>
      </c>
    </row>
    <row r="31" spans="1:7" ht="15.75" thickBot="1" x14ac:dyDescent="0.3">
      <c r="A31" t="s">
        <v>71</v>
      </c>
      <c r="B31" s="1" t="s">
        <v>72</v>
      </c>
      <c r="C31" s="1" t="s">
        <v>7</v>
      </c>
      <c r="D31" s="1" t="s">
        <v>20</v>
      </c>
      <c r="E31" s="6">
        <v>29764</v>
      </c>
      <c r="F31" s="1" t="str">
        <f>VLOOKUP(D31,Table17[[Name]:[Native]],3,FALSE)</f>
        <v>龙陵县</v>
      </c>
      <c r="G31" s="14" t="str">
        <f ca="1">VLOOKUP(F31,Table17[[Native]:[Population4]],5,FALSE)</f>
        <v>保山市</v>
      </c>
    </row>
    <row r="32" spans="1:7" ht="15.75" thickBot="1" x14ac:dyDescent="0.3">
      <c r="A32" t="s">
        <v>73</v>
      </c>
      <c r="B32" s="1" t="s">
        <v>74</v>
      </c>
      <c r="C32" s="1" t="s">
        <v>11</v>
      </c>
      <c r="D32" s="1" t="s">
        <v>12</v>
      </c>
      <c r="E32" s="6">
        <v>73380</v>
      </c>
      <c r="F32" s="1" t="str">
        <f>VLOOKUP(D32,Table17[[Name]:[Native]],3,FALSE)</f>
        <v>隆阳区</v>
      </c>
      <c r="G32" s="14" t="str">
        <f ca="1">VLOOKUP(F32,Table17[[Native]:[Population4]],5,FALSE)</f>
        <v>保山市</v>
      </c>
    </row>
    <row r="33" spans="1:7" ht="15.75" thickBot="1" x14ac:dyDescent="0.3">
      <c r="A33" t="s">
        <v>75</v>
      </c>
      <c r="B33" s="1" t="s">
        <v>76</v>
      </c>
      <c r="C33" s="1" t="s">
        <v>11</v>
      </c>
      <c r="D33" s="1" t="s">
        <v>15</v>
      </c>
      <c r="E33" s="6">
        <v>39273</v>
      </c>
      <c r="F33" s="1" t="str">
        <f>VLOOKUP(D33,Table17[[Name]:[Native]],3,FALSE)</f>
        <v>腾冲市</v>
      </c>
      <c r="G33" s="14" t="str">
        <f ca="1">VLOOKUP(F33,Table17[[Native]:[Population4]],5,FALSE)</f>
        <v>保山市</v>
      </c>
    </row>
    <row r="34" spans="1:7" ht="15.75" thickBot="1" x14ac:dyDescent="0.3">
      <c r="A34" t="s">
        <v>77</v>
      </c>
      <c r="B34" s="1" t="s">
        <v>78</v>
      </c>
      <c r="C34" s="1" t="s">
        <v>7</v>
      </c>
      <c r="D34" s="1" t="s">
        <v>12</v>
      </c>
      <c r="E34" s="6">
        <v>44716</v>
      </c>
      <c r="F34" s="1" t="str">
        <f>VLOOKUP(D34,Table17[[Name]:[Native]],3,FALSE)</f>
        <v>隆阳区</v>
      </c>
      <c r="G34" s="14" t="str">
        <f ca="1">VLOOKUP(F34,Table17[[Native]:[Population4]],5,FALSE)</f>
        <v>保山市</v>
      </c>
    </row>
    <row r="35" spans="1:7" ht="15.75" thickBot="1" x14ac:dyDescent="0.3">
      <c r="A35" t="s">
        <v>79</v>
      </c>
      <c r="B35" s="1" t="s">
        <v>80</v>
      </c>
      <c r="C35" s="1" t="s">
        <v>11</v>
      </c>
      <c r="D35" s="1" t="s">
        <v>23</v>
      </c>
      <c r="E35" s="6">
        <v>28638</v>
      </c>
      <c r="F35" s="1" t="str">
        <f>VLOOKUP(D35,Table17[[Name]:[Native]],3,FALSE)</f>
        <v>昌宁县</v>
      </c>
      <c r="G35" s="14" t="str">
        <f ca="1">VLOOKUP(F35,Table17[[Native]:[Population4]],5,FALSE)</f>
        <v>保山市</v>
      </c>
    </row>
    <row r="36" spans="1:7" ht="15.75" thickBot="1" x14ac:dyDescent="0.3">
      <c r="A36" t="s">
        <v>81</v>
      </c>
      <c r="B36" s="1" t="s">
        <v>82</v>
      </c>
      <c r="C36" s="1" t="s">
        <v>7</v>
      </c>
      <c r="D36" s="1" t="s">
        <v>15</v>
      </c>
      <c r="E36" s="6">
        <v>27373</v>
      </c>
      <c r="F36" s="1" t="str">
        <f>VLOOKUP(D36,Table17[[Name]:[Native]],3,FALSE)</f>
        <v>腾冲市</v>
      </c>
      <c r="G36" s="14" t="str">
        <f ca="1">VLOOKUP(F36,Table17[[Native]:[Population4]],5,FALSE)</f>
        <v>保山市</v>
      </c>
    </row>
    <row r="37" spans="1:7" ht="15.75" thickBot="1" x14ac:dyDescent="0.3">
      <c r="A37" t="s">
        <v>83</v>
      </c>
      <c r="B37" s="1" t="s">
        <v>84</v>
      </c>
      <c r="C37" s="1" t="s">
        <v>11</v>
      </c>
      <c r="D37" s="1" t="s">
        <v>20</v>
      </c>
      <c r="E37" s="6">
        <v>18627</v>
      </c>
      <c r="F37" s="1" t="str">
        <f>VLOOKUP(D37,Table17[[Name]:[Native]],3,FALSE)</f>
        <v>龙陵县</v>
      </c>
      <c r="G37" s="14" t="str">
        <f ca="1">VLOOKUP(F37,Table17[[Native]:[Population4]],5,FALSE)</f>
        <v>保山市</v>
      </c>
    </row>
    <row r="38" spans="1:7" ht="15.75" thickBot="1" x14ac:dyDescent="0.3">
      <c r="A38" t="s">
        <v>85</v>
      </c>
      <c r="B38" s="1" t="s">
        <v>86</v>
      </c>
      <c r="C38" s="1" t="s">
        <v>11</v>
      </c>
      <c r="D38" s="1" t="s">
        <v>23</v>
      </c>
      <c r="E38" s="6">
        <v>25519</v>
      </c>
      <c r="F38" s="1" t="str">
        <f>VLOOKUP(D38,Table17[[Name]:[Native]],3,FALSE)</f>
        <v>昌宁县</v>
      </c>
      <c r="G38" s="14" t="str">
        <f ca="1">VLOOKUP(F38,Table17[[Native]:[Population4]],5,FALSE)</f>
        <v>保山市</v>
      </c>
    </row>
    <row r="39" spans="1:7" ht="15.75" thickBot="1" x14ac:dyDescent="0.3">
      <c r="A39" t="s">
        <v>87</v>
      </c>
      <c r="B39" s="1" t="s">
        <v>88</v>
      </c>
      <c r="C39" s="1" t="s">
        <v>11</v>
      </c>
      <c r="D39" s="1" t="s">
        <v>15</v>
      </c>
      <c r="E39" s="6">
        <v>40221</v>
      </c>
      <c r="F39" s="1" t="str">
        <f>VLOOKUP(D39,Table17[[Name]:[Native]],3,FALSE)</f>
        <v>腾冲市</v>
      </c>
      <c r="G39" s="14" t="str">
        <f ca="1">VLOOKUP(F39,Table17[[Native]:[Population4]],5,FALSE)</f>
        <v>保山市</v>
      </c>
    </row>
    <row r="40" spans="1:7" ht="15.75" thickBot="1" x14ac:dyDescent="0.3">
      <c r="A40" t="s">
        <v>89</v>
      </c>
      <c r="B40" s="1" t="s">
        <v>90</v>
      </c>
      <c r="C40" s="1" t="s">
        <v>7</v>
      </c>
      <c r="D40" s="1" t="s">
        <v>20</v>
      </c>
      <c r="E40" s="6">
        <v>8208</v>
      </c>
      <c r="F40" s="1" t="str">
        <f>VLOOKUP(D40,Table17[[Name]:[Native]],3,FALSE)</f>
        <v>龙陵县</v>
      </c>
      <c r="G40" s="14" t="str">
        <f ca="1">VLOOKUP(F40,Table17[[Native]:[Population4]],5,FALSE)</f>
        <v>保山市</v>
      </c>
    </row>
    <row r="41" spans="1:7" ht="15.75" thickBot="1" x14ac:dyDescent="0.3">
      <c r="A41" t="s">
        <v>91</v>
      </c>
      <c r="B41" s="1" t="s">
        <v>92</v>
      </c>
      <c r="C41" s="1" t="s">
        <v>7</v>
      </c>
      <c r="D41" s="1" t="s">
        <v>8</v>
      </c>
      <c r="E41" s="6">
        <v>5383</v>
      </c>
      <c r="F41" s="1" t="str">
        <f>VLOOKUP(D41,Table17[[Name]:[Native]],3,FALSE)</f>
        <v>施甸县</v>
      </c>
      <c r="G41" s="14" t="str">
        <f ca="1">VLOOKUP(F41,Table17[[Native]:[Population4]],5,FALSE)</f>
        <v>保山市</v>
      </c>
    </row>
    <row r="42" spans="1:7" ht="15.75" thickBot="1" x14ac:dyDescent="0.3">
      <c r="A42" t="s">
        <v>93</v>
      </c>
      <c r="B42" s="1" t="s">
        <v>94</v>
      </c>
      <c r="C42" s="1" t="s">
        <v>7</v>
      </c>
      <c r="D42" s="1" t="s">
        <v>20</v>
      </c>
      <c r="E42" s="6">
        <v>23983</v>
      </c>
      <c r="F42" s="1" t="str">
        <f>VLOOKUP(D42,Table17[[Name]:[Native]],3,FALSE)</f>
        <v>龙陵县</v>
      </c>
      <c r="G42" s="14" t="str">
        <f ca="1">VLOOKUP(F42,Table17[[Native]:[Population4]],5,FALSE)</f>
        <v>保山市</v>
      </c>
    </row>
    <row r="43" spans="1:7" ht="15.75" thickBot="1" x14ac:dyDescent="0.3">
      <c r="A43" t="s">
        <v>95</v>
      </c>
      <c r="B43" s="1" t="s">
        <v>96</v>
      </c>
      <c r="C43" s="1" t="s">
        <v>7</v>
      </c>
      <c r="D43" s="1" t="s">
        <v>15</v>
      </c>
      <c r="E43" s="6">
        <v>27049</v>
      </c>
      <c r="F43" s="1" t="str">
        <f>VLOOKUP(D43,Table17[[Name]:[Native]],3,FALSE)</f>
        <v>腾冲市</v>
      </c>
      <c r="G43" s="14" t="str">
        <f ca="1">VLOOKUP(F43,Table17[[Native]:[Population4]],5,FALSE)</f>
        <v>保山市</v>
      </c>
    </row>
    <row r="44" spans="1:7" ht="15.75" thickBot="1" x14ac:dyDescent="0.3">
      <c r="A44" t="s">
        <v>97</v>
      </c>
      <c r="B44" s="1" t="s">
        <v>98</v>
      </c>
      <c r="C44" s="1" t="s">
        <v>11</v>
      </c>
      <c r="D44" s="1" t="s">
        <v>12</v>
      </c>
      <c r="E44" s="6">
        <v>52676</v>
      </c>
      <c r="F44" s="1" t="str">
        <f>VLOOKUP(D44,Table17[[Name]:[Native]],3,FALSE)</f>
        <v>隆阳区</v>
      </c>
      <c r="G44" s="14" t="str">
        <f ca="1">VLOOKUP(F44,Table17[[Native]:[Population4]],5,FALSE)</f>
        <v>保山市</v>
      </c>
    </row>
    <row r="45" spans="1:7" ht="15.75" thickBot="1" x14ac:dyDescent="0.3">
      <c r="A45" t="s">
        <v>99</v>
      </c>
      <c r="B45" s="1" t="s">
        <v>100</v>
      </c>
      <c r="C45" s="1" t="s">
        <v>7</v>
      </c>
      <c r="D45" s="1" t="s">
        <v>15</v>
      </c>
      <c r="E45" s="6">
        <v>14986</v>
      </c>
      <c r="F45" s="1" t="str">
        <f>VLOOKUP(D45,Table17[[Name]:[Native]],3,FALSE)</f>
        <v>腾冲市</v>
      </c>
      <c r="G45" s="14" t="str">
        <f ca="1">VLOOKUP(F45,Table17[[Native]:[Population4]],5,FALSE)</f>
        <v>保山市</v>
      </c>
    </row>
    <row r="46" spans="1:7" ht="15.75" thickBot="1" x14ac:dyDescent="0.3">
      <c r="A46" t="s">
        <v>101</v>
      </c>
      <c r="B46" s="1" t="s">
        <v>102</v>
      </c>
      <c r="C46" s="1" t="s">
        <v>11</v>
      </c>
      <c r="D46" s="1" t="s">
        <v>15</v>
      </c>
      <c r="E46" s="6">
        <v>42380</v>
      </c>
      <c r="F46" s="1" t="str">
        <f>VLOOKUP(D46,Table17[[Name]:[Native]],3,FALSE)</f>
        <v>腾冲市</v>
      </c>
      <c r="G46" s="14" t="str">
        <f ca="1">VLOOKUP(F46,Table17[[Native]:[Population4]],5,FALSE)</f>
        <v>保山市</v>
      </c>
    </row>
    <row r="47" spans="1:7" ht="15.75" thickBot="1" x14ac:dyDescent="0.3">
      <c r="A47" t="s">
        <v>103</v>
      </c>
      <c r="B47" s="1" t="s">
        <v>104</v>
      </c>
      <c r="C47" s="1" t="s">
        <v>11</v>
      </c>
      <c r="D47" s="1" t="s">
        <v>8</v>
      </c>
      <c r="E47" s="6">
        <v>47862</v>
      </c>
      <c r="F47" s="1" t="str">
        <f>VLOOKUP(D47,Table17[[Name]:[Native]],3,FALSE)</f>
        <v>施甸县</v>
      </c>
      <c r="G47" s="14" t="str">
        <f ca="1">VLOOKUP(F47,Table17[[Native]:[Population4]],5,FALSE)</f>
        <v>保山市</v>
      </c>
    </row>
    <row r="48" spans="1:7" ht="15.75" thickBot="1" x14ac:dyDescent="0.3">
      <c r="A48" t="s">
        <v>105</v>
      </c>
      <c r="B48" s="1" t="s">
        <v>106</v>
      </c>
      <c r="C48" s="1" t="s">
        <v>7</v>
      </c>
      <c r="D48" s="1" t="s">
        <v>8</v>
      </c>
      <c r="E48" s="6">
        <v>15846</v>
      </c>
      <c r="F48" s="1" t="str">
        <f>VLOOKUP(D48,Table17[[Name]:[Native]],3,FALSE)</f>
        <v>施甸县</v>
      </c>
      <c r="G48" s="14" t="str">
        <f ca="1">VLOOKUP(F48,Table17[[Native]:[Population4]],5,FALSE)</f>
        <v>保山市</v>
      </c>
    </row>
    <row r="49" spans="1:7" ht="15.75" thickBot="1" x14ac:dyDescent="0.3">
      <c r="A49" t="s">
        <v>107</v>
      </c>
      <c r="B49" s="1" t="s">
        <v>108</v>
      </c>
      <c r="C49" s="1" t="s">
        <v>7</v>
      </c>
      <c r="D49" s="1" t="s">
        <v>12</v>
      </c>
      <c r="E49" s="6">
        <v>14453</v>
      </c>
      <c r="F49" s="1" t="str">
        <f>VLOOKUP(D49,Table17[[Name]:[Native]],3,FALSE)</f>
        <v>隆阳区</v>
      </c>
      <c r="G49" s="14" t="str">
        <f ca="1">VLOOKUP(F49,Table17[[Native]:[Population4]],5,FALSE)</f>
        <v>保山市</v>
      </c>
    </row>
    <row r="50" spans="1:7" ht="15.75" thickBot="1" x14ac:dyDescent="0.3">
      <c r="A50" t="s">
        <v>109</v>
      </c>
      <c r="B50" s="1" t="s">
        <v>110</v>
      </c>
      <c r="C50" s="1" t="s">
        <v>11</v>
      </c>
      <c r="D50" s="1" t="s">
        <v>8</v>
      </c>
      <c r="E50" s="6">
        <v>27347</v>
      </c>
      <c r="F50" s="1" t="str">
        <f>VLOOKUP(D50,Table17[[Name]:[Native]],3,FALSE)</f>
        <v>施甸县</v>
      </c>
      <c r="G50" s="14" t="str">
        <f ca="1">VLOOKUP(F50,Table17[[Native]:[Population4]],5,FALSE)</f>
        <v>保山市</v>
      </c>
    </row>
    <row r="51" spans="1:7" ht="15.75" thickBot="1" x14ac:dyDescent="0.3">
      <c r="A51" t="s">
        <v>111</v>
      </c>
      <c r="B51" s="1" t="s">
        <v>112</v>
      </c>
      <c r="C51" s="1" t="s">
        <v>11</v>
      </c>
      <c r="D51" s="1" t="s">
        <v>15</v>
      </c>
      <c r="E51" s="6">
        <v>127133</v>
      </c>
      <c r="F51" s="1" t="str">
        <f>VLOOKUP(D51,Table17[[Name]:[Native]],3,FALSE)</f>
        <v>腾冲市</v>
      </c>
      <c r="G51" s="14" t="str">
        <f ca="1">VLOOKUP(F51,Table17[[Native]:[Population4]],5,FALSE)</f>
        <v>保山市</v>
      </c>
    </row>
    <row r="52" spans="1:7" ht="15.75" thickBot="1" x14ac:dyDescent="0.3">
      <c r="A52" t="s">
        <v>113</v>
      </c>
      <c r="B52" s="1" t="s">
        <v>114</v>
      </c>
      <c r="C52" s="1" t="s">
        <v>11</v>
      </c>
      <c r="D52" s="1" t="s">
        <v>23</v>
      </c>
      <c r="E52" s="6">
        <v>64265</v>
      </c>
      <c r="F52" s="1" t="str">
        <f>VLOOKUP(D52,Table17[[Name]:[Native]],3,FALSE)</f>
        <v>昌宁县</v>
      </c>
      <c r="G52" s="14" t="str">
        <f ca="1">VLOOKUP(F52,Table17[[Native]:[Population4]],5,FALSE)</f>
        <v>保山市</v>
      </c>
    </row>
    <row r="53" spans="1:7" ht="15.75" thickBot="1" x14ac:dyDescent="0.3">
      <c r="A53" t="s">
        <v>115</v>
      </c>
      <c r="B53" s="1" t="s">
        <v>116</v>
      </c>
      <c r="C53" s="1" t="s">
        <v>7</v>
      </c>
      <c r="D53" s="1" t="s">
        <v>15</v>
      </c>
      <c r="E53" s="6">
        <v>17484</v>
      </c>
      <c r="F53" s="1" t="str">
        <f>VLOOKUP(D53,Table17[[Name]:[Native]],3,FALSE)</f>
        <v>腾冲市</v>
      </c>
      <c r="G53" s="14" t="str">
        <f ca="1">VLOOKUP(F53,Table17[[Native]:[Population4]],5,FALSE)</f>
        <v>保山市</v>
      </c>
    </row>
    <row r="54" spans="1:7" ht="15.75" thickBot="1" x14ac:dyDescent="0.3">
      <c r="A54" t="s">
        <v>117</v>
      </c>
      <c r="B54" s="1" t="s">
        <v>118</v>
      </c>
      <c r="C54" s="1" t="s">
        <v>7</v>
      </c>
      <c r="D54" s="1" t="s">
        <v>12</v>
      </c>
      <c r="E54" s="6">
        <v>24013</v>
      </c>
      <c r="F54" s="1" t="str">
        <f>VLOOKUP(D54,Table17[[Name]:[Native]],3,FALSE)</f>
        <v>隆阳区</v>
      </c>
      <c r="G54" s="14" t="str">
        <f ca="1">VLOOKUP(F54,Table17[[Native]:[Population4]],5,FALSE)</f>
        <v>保山市</v>
      </c>
    </row>
    <row r="55" spans="1:7" ht="15.75" thickBot="1" x14ac:dyDescent="0.3">
      <c r="A55" t="s">
        <v>119</v>
      </c>
      <c r="B55" s="1" t="s">
        <v>120</v>
      </c>
      <c r="C55" s="1" t="s">
        <v>7</v>
      </c>
      <c r="D55" s="1" t="s">
        <v>12</v>
      </c>
      <c r="E55" s="6">
        <v>32507</v>
      </c>
      <c r="F55" s="1" t="str">
        <f>VLOOKUP(D55,Table17[[Name]:[Native]],3,FALSE)</f>
        <v>隆阳区</v>
      </c>
      <c r="G55" s="14" t="str">
        <f ca="1">VLOOKUP(F55,Table17[[Native]:[Population4]],5,FALSE)</f>
        <v>保山市</v>
      </c>
    </row>
    <row r="56" spans="1:7" ht="15.75" thickBot="1" x14ac:dyDescent="0.3">
      <c r="A56" t="s">
        <v>121</v>
      </c>
      <c r="B56" s="1" t="s">
        <v>122</v>
      </c>
      <c r="C56" s="1" t="s">
        <v>7</v>
      </c>
      <c r="D56" s="1" t="s">
        <v>12</v>
      </c>
      <c r="E56" s="6">
        <v>24605</v>
      </c>
      <c r="F56" s="1" t="str">
        <f>VLOOKUP(D56,Table17[[Name]:[Native]],3,FALSE)</f>
        <v>隆阳区</v>
      </c>
      <c r="G56" s="14" t="str">
        <f ca="1">VLOOKUP(F56,Table17[[Native]:[Population4]],5,FALSE)</f>
        <v>保山市</v>
      </c>
    </row>
    <row r="57" spans="1:7" ht="15.75" thickBot="1" x14ac:dyDescent="0.3">
      <c r="A57" t="s">
        <v>123</v>
      </c>
      <c r="B57" s="1" t="s">
        <v>124</v>
      </c>
      <c r="C57" s="1" t="s">
        <v>7</v>
      </c>
      <c r="D57" s="1" t="s">
        <v>23</v>
      </c>
      <c r="E57" s="6">
        <v>15459</v>
      </c>
      <c r="F57" s="1" t="str">
        <f>VLOOKUP(D57,Table17[[Name]:[Native]],3,FALSE)</f>
        <v>昌宁县</v>
      </c>
      <c r="G57" s="14" t="str">
        <f ca="1">VLOOKUP(F57,Table17[[Native]:[Population4]],5,FALSE)</f>
        <v>保山市</v>
      </c>
    </row>
    <row r="58" spans="1:7" ht="15.75" thickBot="1" x14ac:dyDescent="0.3">
      <c r="A58" t="s">
        <v>125</v>
      </c>
      <c r="B58" s="1" t="s">
        <v>126</v>
      </c>
      <c r="C58" s="1" t="s">
        <v>7</v>
      </c>
      <c r="D58" s="1" t="s">
        <v>8</v>
      </c>
      <c r="E58" s="6">
        <v>13836</v>
      </c>
      <c r="F58" s="1" t="str">
        <f>VLOOKUP(D58,Table17[[Name]:[Native]],3,FALSE)</f>
        <v>施甸县</v>
      </c>
      <c r="G58" s="14" t="str">
        <f ca="1">VLOOKUP(F58,Table17[[Native]:[Population4]],5,FALSE)</f>
        <v>保山市</v>
      </c>
    </row>
    <row r="59" spans="1:7" ht="15.75" thickBot="1" x14ac:dyDescent="0.3">
      <c r="A59" t="s">
        <v>127</v>
      </c>
      <c r="B59" s="1" t="s">
        <v>128</v>
      </c>
      <c r="C59" s="1" t="s">
        <v>11</v>
      </c>
      <c r="D59" s="1" t="s">
        <v>12</v>
      </c>
      <c r="E59" s="6">
        <v>37154</v>
      </c>
      <c r="F59" s="1" t="str">
        <f>VLOOKUP(D59,Table17[[Name]:[Native]],3,FALSE)</f>
        <v>隆阳区</v>
      </c>
      <c r="G59" s="14" t="str">
        <f ca="1">VLOOKUP(F59,Table17[[Native]:[Population4]],5,FALSE)</f>
        <v>保山市</v>
      </c>
    </row>
    <row r="60" spans="1:7" ht="15.75" thickBot="1" x14ac:dyDescent="0.3">
      <c r="A60" t="s">
        <v>129</v>
      </c>
      <c r="B60" s="1" t="s">
        <v>130</v>
      </c>
      <c r="C60" s="1" t="s">
        <v>11</v>
      </c>
      <c r="D60" s="1" t="s">
        <v>23</v>
      </c>
      <c r="E60" s="6">
        <v>14063</v>
      </c>
      <c r="F60" s="1" t="str">
        <f>VLOOKUP(D60,Table17[[Name]:[Native]],3,FALSE)</f>
        <v>昌宁县</v>
      </c>
      <c r="G60" s="14" t="str">
        <f ca="1">VLOOKUP(F60,Table17[[Native]:[Population4]],5,FALSE)</f>
        <v>保山市</v>
      </c>
    </row>
    <row r="61" spans="1:7" ht="15.75" thickBot="1" x14ac:dyDescent="0.3">
      <c r="A61" t="s">
        <v>131</v>
      </c>
      <c r="B61" s="1" t="s">
        <v>132</v>
      </c>
      <c r="C61" s="1" t="s">
        <v>11</v>
      </c>
      <c r="D61" s="1" t="s">
        <v>23</v>
      </c>
      <c r="E61" s="6">
        <v>24526</v>
      </c>
      <c r="F61" s="1" t="str">
        <f>VLOOKUP(D61,Table17[[Name]:[Native]],3,FALSE)</f>
        <v>昌宁县</v>
      </c>
      <c r="G61" s="14" t="str">
        <f ca="1">VLOOKUP(F61,Table17[[Native]:[Population4]],5,FALSE)</f>
        <v>保山市</v>
      </c>
    </row>
    <row r="62" spans="1:7" ht="15.75" thickBot="1" x14ac:dyDescent="0.3">
      <c r="A62" t="s">
        <v>133</v>
      </c>
      <c r="B62" s="1" t="s">
        <v>134</v>
      </c>
      <c r="C62" s="1" t="s">
        <v>7</v>
      </c>
      <c r="D62" s="1" t="s">
        <v>15</v>
      </c>
      <c r="E62" s="6">
        <v>32858</v>
      </c>
      <c r="F62" s="1" t="str">
        <f>VLOOKUP(D62,Table17[[Name]:[Native]],3,FALSE)</f>
        <v>腾冲市</v>
      </c>
      <c r="G62" s="14" t="str">
        <f ca="1">VLOOKUP(F62,Table17[[Native]:[Population4]],5,FALSE)</f>
        <v>保山市</v>
      </c>
    </row>
    <row r="63" spans="1:7" ht="15.75" thickBot="1" x14ac:dyDescent="0.3">
      <c r="A63" t="s">
        <v>135</v>
      </c>
      <c r="B63" s="1" t="s">
        <v>136</v>
      </c>
      <c r="C63" s="1" t="s">
        <v>11</v>
      </c>
      <c r="D63" s="1" t="s">
        <v>20</v>
      </c>
      <c r="E63" s="6">
        <v>33829</v>
      </c>
      <c r="F63" s="1" t="str">
        <f>VLOOKUP(D63,Table17[[Name]:[Native]],3,FALSE)</f>
        <v>龙陵县</v>
      </c>
      <c r="G63" s="14" t="str">
        <f ca="1">VLOOKUP(F63,Table17[[Native]:[Population4]],5,FALSE)</f>
        <v>保山市</v>
      </c>
    </row>
    <row r="64" spans="1:7" ht="15.75" thickBot="1" x14ac:dyDescent="0.3">
      <c r="A64" t="s">
        <v>137</v>
      </c>
      <c r="B64" s="1" t="s">
        <v>138</v>
      </c>
      <c r="C64" s="1" t="s">
        <v>7</v>
      </c>
      <c r="D64" s="1" t="s">
        <v>15</v>
      </c>
      <c r="E64" s="6">
        <v>16336</v>
      </c>
      <c r="F64" s="1" t="str">
        <f>VLOOKUP(D64,Table17[[Name]:[Native]],3,FALSE)</f>
        <v>腾冲市</v>
      </c>
      <c r="G64" s="14" t="str">
        <f ca="1">VLOOKUP(F64,Table17[[Native]:[Population4]],5,FALSE)</f>
        <v>保山市</v>
      </c>
    </row>
    <row r="65" spans="1:7" ht="15.75" thickBot="1" x14ac:dyDescent="0.3">
      <c r="A65" t="s">
        <v>139</v>
      </c>
      <c r="B65" s="1" t="s">
        <v>140</v>
      </c>
      <c r="C65" s="1" t="s">
        <v>7</v>
      </c>
      <c r="D65" s="1" t="s">
        <v>12</v>
      </c>
      <c r="E65" s="6">
        <v>66746</v>
      </c>
      <c r="F65" s="1" t="str">
        <f>VLOOKUP(D65,Table17[[Name]:[Native]],3,FALSE)</f>
        <v>隆阳区</v>
      </c>
      <c r="G65" s="14" t="str">
        <f ca="1">VLOOKUP(F65,Table17[[Native]:[Population4]],5,FALSE)</f>
        <v>保山市</v>
      </c>
    </row>
    <row r="66" spans="1:7" ht="15.75" thickBot="1" x14ac:dyDescent="0.3">
      <c r="A66" t="s">
        <v>141</v>
      </c>
      <c r="B66" s="1" t="s">
        <v>142</v>
      </c>
      <c r="C66" s="1" t="s">
        <v>7</v>
      </c>
      <c r="D66" s="1" t="s">
        <v>12</v>
      </c>
      <c r="E66" s="6">
        <v>61282</v>
      </c>
      <c r="F66" s="1" t="str">
        <f>VLOOKUP(D66,Table17[[Name]:[Native]],3,FALSE)</f>
        <v>隆阳区</v>
      </c>
      <c r="G66" s="14" t="str">
        <f ca="1">VLOOKUP(F66,Table17[[Native]:[Population4]],5,FALSE)</f>
        <v>保山市</v>
      </c>
    </row>
    <row r="67" spans="1:7" ht="15.75" thickBot="1" x14ac:dyDescent="0.3">
      <c r="A67" t="s">
        <v>143</v>
      </c>
      <c r="B67" s="1" t="s">
        <v>144</v>
      </c>
      <c r="C67" s="1" t="s">
        <v>7</v>
      </c>
      <c r="D67" s="1" t="s">
        <v>12</v>
      </c>
      <c r="E67" s="6">
        <v>38704</v>
      </c>
      <c r="F67" s="1" t="str">
        <f>VLOOKUP(D67,Table17[[Name]:[Native]],3,FALSE)</f>
        <v>隆阳区</v>
      </c>
      <c r="G67" s="14" t="str">
        <f ca="1">VLOOKUP(F67,Table17[[Native]:[Population4]],5,FALSE)</f>
        <v>保山市</v>
      </c>
    </row>
    <row r="68" spans="1:7" ht="15.75" thickBot="1" x14ac:dyDescent="0.3">
      <c r="A68" t="s">
        <v>145</v>
      </c>
      <c r="B68" s="1" t="s">
        <v>146</v>
      </c>
      <c r="C68" s="1" t="s">
        <v>11</v>
      </c>
      <c r="D68" s="1" t="s">
        <v>8</v>
      </c>
      <c r="E68" s="6">
        <v>35096</v>
      </c>
      <c r="F68" s="1" t="str">
        <f>VLOOKUP(D68,Table17[[Name]:[Native]],3,FALSE)</f>
        <v>施甸县</v>
      </c>
      <c r="G68" s="14" t="str">
        <f ca="1">VLOOKUP(F68,Table17[[Native]:[Population4]],5,FALSE)</f>
        <v>保山市</v>
      </c>
    </row>
    <row r="69" spans="1:7" ht="15.75" thickBot="1" x14ac:dyDescent="0.3">
      <c r="A69" t="s">
        <v>147</v>
      </c>
      <c r="B69" s="1" t="s">
        <v>148</v>
      </c>
      <c r="C69" s="1" t="s">
        <v>42</v>
      </c>
      <c r="D69" s="1" t="s">
        <v>12</v>
      </c>
      <c r="E69" s="6">
        <v>104137</v>
      </c>
      <c r="F69" s="1" t="str">
        <f>VLOOKUP(D69,Table17[[Name]:[Native]],3,FALSE)</f>
        <v>隆阳区</v>
      </c>
      <c r="G69" s="14" t="str">
        <f ca="1">VLOOKUP(F69,Table17[[Native]:[Population4]],5,FALSE)</f>
        <v>保山市</v>
      </c>
    </row>
    <row r="70" spans="1:7" ht="15.75" thickBot="1" x14ac:dyDescent="0.3">
      <c r="A70" t="s">
        <v>149</v>
      </c>
      <c r="B70" s="1" t="s">
        <v>150</v>
      </c>
      <c r="C70" s="1" t="s">
        <v>11</v>
      </c>
      <c r="D70" s="1" t="s">
        <v>8</v>
      </c>
      <c r="E70" s="6">
        <v>33978</v>
      </c>
      <c r="F70" s="1" t="str">
        <f>VLOOKUP(D70,Table17[[Name]:[Native]],3,FALSE)</f>
        <v>施甸县</v>
      </c>
      <c r="G70" s="14" t="str">
        <f ca="1">VLOOKUP(F70,Table17[[Native]:[Population4]],5,FALSE)</f>
        <v>保山市</v>
      </c>
    </row>
    <row r="71" spans="1:7" ht="15.75" thickBot="1" x14ac:dyDescent="0.3">
      <c r="A71" t="s">
        <v>151</v>
      </c>
      <c r="B71" s="1" t="s">
        <v>152</v>
      </c>
      <c r="C71" s="1" t="s">
        <v>11</v>
      </c>
      <c r="D71" s="1" t="s">
        <v>20</v>
      </c>
      <c r="E71" s="6">
        <v>40162</v>
      </c>
      <c r="F71" s="1" t="str">
        <f>VLOOKUP(D71,Table17[[Name]:[Native]],3,FALSE)</f>
        <v>龙陵县</v>
      </c>
      <c r="G71" s="14" t="str">
        <f ca="1">VLOOKUP(F71,Table17[[Native]:[Population4]],5,FALSE)</f>
        <v>保山市</v>
      </c>
    </row>
    <row r="72" spans="1:7" ht="15.75" thickBot="1" x14ac:dyDescent="0.3">
      <c r="A72" t="s">
        <v>153</v>
      </c>
      <c r="B72" s="1" t="s">
        <v>154</v>
      </c>
      <c r="C72" s="1" t="s">
        <v>11</v>
      </c>
      <c r="D72" s="1" t="s">
        <v>15</v>
      </c>
      <c r="E72" s="6">
        <v>37682</v>
      </c>
      <c r="F72" s="1" t="str">
        <f>VLOOKUP(D72,Table17[[Name]:[Native]],3,FALSE)</f>
        <v>腾冲市</v>
      </c>
      <c r="G72" s="14" t="str">
        <f ca="1">VLOOKUP(F72,Table17[[Native]:[Population4]],5,FALSE)</f>
        <v>保山市</v>
      </c>
    </row>
    <row r="73" spans="1:7" ht="15.75" thickBot="1" x14ac:dyDescent="0.3">
      <c r="A73" t="s">
        <v>155</v>
      </c>
      <c r="B73" s="1" t="s">
        <v>156</v>
      </c>
      <c r="C73" s="1" t="s">
        <v>7</v>
      </c>
      <c r="D73" s="1" t="s">
        <v>23</v>
      </c>
      <c r="E73" s="6">
        <v>15142</v>
      </c>
      <c r="F73" s="10" t="str">
        <f>VLOOKUP(D73,Table17[[Name]:[Native]],3,FALSE)</f>
        <v>昌宁县</v>
      </c>
      <c r="G73" s="14" t="str">
        <f ca="1">VLOOKUP(F73,Table17[[Native]:[Population4]],5,FALSE)</f>
        <v>保山市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43AFC-9823-4DF6-AEF9-F3BC4C8DE133}">
  <dimension ref="A1:G104"/>
  <sheetViews>
    <sheetView topLeftCell="A79" workbookViewId="0">
      <selection activeCell="G79" sqref="G78:G79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2917</v>
      </c>
      <c r="G1" t="s">
        <v>2919</v>
      </c>
    </row>
    <row r="2" spans="1:7" ht="15.75" thickBot="1" x14ac:dyDescent="0.3">
      <c r="A2" t="s">
        <v>157</v>
      </c>
      <c r="B2" s="1" t="s">
        <v>158</v>
      </c>
      <c r="C2" s="1" t="s">
        <v>7</v>
      </c>
      <c r="D2" s="1" t="s">
        <v>159</v>
      </c>
      <c r="E2" s="6">
        <v>13195</v>
      </c>
      <c r="F2" s="9" t="str">
        <f>VLOOKUP(D2,Table17[[Name]:[Native]],3,FALSE)</f>
        <v>双柏县</v>
      </c>
      <c r="G2" s="14" t="str">
        <f ca="1">VLOOKUP(F2,Table17[[Native]:[Population4]],5,FALSE)</f>
        <v>楚雄彝族自治州</v>
      </c>
    </row>
    <row r="3" spans="1:7" ht="15.75" thickBot="1" x14ac:dyDescent="0.3">
      <c r="A3" t="s">
        <v>160</v>
      </c>
      <c r="B3" s="1" t="s">
        <v>161</v>
      </c>
      <c r="C3" s="1" t="s">
        <v>7</v>
      </c>
      <c r="D3" s="1" t="s">
        <v>162</v>
      </c>
      <c r="E3" s="6">
        <v>24224</v>
      </c>
      <c r="F3" s="1" t="str">
        <f>VLOOKUP(D3,Table17[[Name]:[Native]],3,FALSE)</f>
        <v>牟定县</v>
      </c>
      <c r="G3" s="14" t="str">
        <f ca="1">VLOOKUP(F3,Table17[[Native]:[Population4]],5,FALSE)</f>
        <v>楚雄彝族自治州</v>
      </c>
    </row>
    <row r="4" spans="1:7" ht="15.75" thickBot="1" x14ac:dyDescent="0.3">
      <c r="A4" t="s">
        <v>163</v>
      </c>
      <c r="B4" s="1" t="s">
        <v>164</v>
      </c>
      <c r="C4" s="1" t="s">
        <v>7</v>
      </c>
      <c r="D4" s="1" t="s">
        <v>159</v>
      </c>
      <c r="E4" s="6">
        <v>9450</v>
      </c>
      <c r="F4" s="1" t="str">
        <f>VLOOKUP(D4,Table17[[Name]:[Native]],3,FALSE)</f>
        <v>双柏县</v>
      </c>
      <c r="G4" s="14" t="str">
        <f ca="1">VLOOKUP(F4,Table17[[Native]:[Population4]],5,FALSE)</f>
        <v>楚雄彝族自治州</v>
      </c>
    </row>
    <row r="5" spans="1:7" ht="15.75" thickBot="1" x14ac:dyDescent="0.3">
      <c r="A5" t="s">
        <v>165</v>
      </c>
      <c r="B5" s="1" t="s">
        <v>166</v>
      </c>
      <c r="C5" s="1" t="s">
        <v>11</v>
      </c>
      <c r="D5" s="1" t="s">
        <v>167</v>
      </c>
      <c r="E5" s="6">
        <v>14156</v>
      </c>
      <c r="F5" s="1" t="str">
        <f>VLOOKUP(D5,Table17[[Name]:[Native]],3,FALSE)</f>
        <v>武定县</v>
      </c>
      <c r="G5" s="14" t="str">
        <f ca="1">VLOOKUP(F5,Table17[[Native]:[Population4]],5,FALSE)</f>
        <v>楚雄彝族自治州</v>
      </c>
    </row>
    <row r="6" spans="1:7" ht="15.75" thickBot="1" x14ac:dyDescent="0.3">
      <c r="A6" t="s">
        <v>168</v>
      </c>
      <c r="B6" s="1" t="s">
        <v>169</v>
      </c>
      <c r="C6" s="1" t="s">
        <v>11</v>
      </c>
      <c r="D6" s="1" t="s">
        <v>170</v>
      </c>
      <c r="E6" s="6">
        <v>16317</v>
      </c>
      <c r="F6" s="1" t="str">
        <f>VLOOKUP(D6,Table17[[Name]:[Native]],3,FALSE)</f>
        <v>楚雄市</v>
      </c>
      <c r="G6" s="14" t="str">
        <f ca="1">VLOOKUP(F6,Table17[[Native]:[Population4]],5,FALSE)</f>
        <v>楚雄彝族自治州</v>
      </c>
    </row>
    <row r="7" spans="1:7" ht="15.75" thickBot="1" x14ac:dyDescent="0.3">
      <c r="A7" t="s">
        <v>171</v>
      </c>
      <c r="B7" s="1" t="s">
        <v>172</v>
      </c>
      <c r="C7" s="1" t="s">
        <v>11</v>
      </c>
      <c r="D7" s="1" t="s">
        <v>173</v>
      </c>
      <c r="E7" s="6">
        <v>46577</v>
      </c>
      <c r="F7" s="1" t="str">
        <f>VLOOKUP(D7,Table17[[Name]:[Native]],3,FALSE)</f>
        <v>禄丰县</v>
      </c>
      <c r="G7" s="14" t="str">
        <f ca="1">VLOOKUP(F7,Table17[[Native]:[Population4]],5,FALSE)</f>
        <v>楚雄彝族自治州</v>
      </c>
    </row>
    <row r="8" spans="1:7" ht="15.75" thickBot="1" x14ac:dyDescent="0.3">
      <c r="A8" t="s">
        <v>174</v>
      </c>
      <c r="B8" s="1" t="s">
        <v>175</v>
      </c>
      <c r="C8" s="1" t="s">
        <v>11</v>
      </c>
      <c r="D8" s="1" t="s">
        <v>173</v>
      </c>
      <c r="E8" s="6">
        <v>17349</v>
      </c>
      <c r="F8" s="1" t="str">
        <f>VLOOKUP(D8,Table17[[Name]:[Native]],3,FALSE)</f>
        <v>禄丰县</v>
      </c>
      <c r="G8" s="14" t="str">
        <f ca="1">VLOOKUP(F8,Table17[[Native]:[Population4]],5,FALSE)</f>
        <v>楚雄彝族自治州</v>
      </c>
    </row>
    <row r="9" spans="1:7" ht="15.75" thickBot="1" x14ac:dyDescent="0.3">
      <c r="A9" t="s">
        <v>176</v>
      </c>
      <c r="B9" s="1" t="s">
        <v>177</v>
      </c>
      <c r="C9" s="1" t="s">
        <v>11</v>
      </c>
      <c r="D9" s="1" t="s">
        <v>170</v>
      </c>
      <c r="E9" s="6">
        <v>27750</v>
      </c>
      <c r="F9" s="1" t="str">
        <f>VLOOKUP(D9,Table17[[Name]:[Native]],3,FALSE)</f>
        <v>楚雄市</v>
      </c>
      <c r="G9" s="14" t="str">
        <f ca="1">VLOOKUP(F9,Table17[[Native]:[Population4]],5,FALSE)</f>
        <v>楚雄彝族自治州</v>
      </c>
    </row>
    <row r="10" spans="1:7" ht="15.75" thickBot="1" x14ac:dyDescent="0.3">
      <c r="A10" t="s">
        <v>178</v>
      </c>
      <c r="B10" s="1" t="s">
        <v>179</v>
      </c>
      <c r="C10" s="1" t="s">
        <v>11</v>
      </c>
      <c r="D10" s="1" t="s">
        <v>167</v>
      </c>
      <c r="E10" s="6">
        <v>22703</v>
      </c>
      <c r="F10" s="1" t="str">
        <f>VLOOKUP(D10,Table17[[Name]:[Native]],3,FALSE)</f>
        <v>武定县</v>
      </c>
      <c r="G10" s="14" t="str">
        <f ca="1">VLOOKUP(F10,Table17[[Native]:[Population4]],5,FALSE)</f>
        <v>楚雄彝族自治州</v>
      </c>
    </row>
    <row r="11" spans="1:7" ht="15.75" thickBot="1" x14ac:dyDescent="0.3">
      <c r="A11" t="s">
        <v>180</v>
      </c>
      <c r="B11" s="1" t="s">
        <v>181</v>
      </c>
      <c r="C11" s="1" t="s">
        <v>7</v>
      </c>
      <c r="D11" s="1" t="s">
        <v>170</v>
      </c>
      <c r="E11" s="6">
        <v>10832</v>
      </c>
      <c r="F11" s="1" t="str">
        <f>VLOOKUP(D11,Table17[[Name]:[Native]],3,FALSE)</f>
        <v>楚雄市</v>
      </c>
      <c r="G11" s="14" t="str">
        <f ca="1">VLOOKUP(F11,Table17[[Native]:[Population4]],5,FALSE)</f>
        <v>楚雄彝族自治州</v>
      </c>
    </row>
    <row r="12" spans="1:7" ht="15.75" thickBot="1" x14ac:dyDescent="0.3">
      <c r="A12" t="s">
        <v>182</v>
      </c>
      <c r="B12" s="1" t="s">
        <v>183</v>
      </c>
      <c r="C12" s="1" t="s">
        <v>7</v>
      </c>
      <c r="D12" s="1" t="s">
        <v>170</v>
      </c>
      <c r="E12" s="6">
        <v>15327</v>
      </c>
      <c r="F12" s="1" t="str">
        <f>VLOOKUP(D12,Table17[[Name]:[Native]],3,FALSE)</f>
        <v>楚雄市</v>
      </c>
      <c r="G12" s="14" t="str">
        <f ca="1">VLOOKUP(F12,Table17[[Native]:[Population4]],5,FALSE)</f>
        <v>楚雄彝族自治州</v>
      </c>
    </row>
    <row r="13" spans="1:7" ht="15.75" thickBot="1" x14ac:dyDescent="0.3">
      <c r="A13" t="s">
        <v>184</v>
      </c>
      <c r="B13" s="1" t="s">
        <v>185</v>
      </c>
      <c r="C13" s="1" t="s">
        <v>7</v>
      </c>
      <c r="D13" s="1" t="s">
        <v>186</v>
      </c>
      <c r="E13" s="6">
        <v>7448</v>
      </c>
      <c r="F13" s="1" t="str">
        <f>VLOOKUP(D13,Table17[[Name]:[Native]],3,FALSE)</f>
        <v>姚安县</v>
      </c>
      <c r="G13" s="14" t="str">
        <f ca="1">VLOOKUP(F13,Table17[[Native]:[Population4]],5,FALSE)</f>
        <v>楚雄彝族自治州</v>
      </c>
    </row>
    <row r="14" spans="1:7" ht="15.75" thickBot="1" x14ac:dyDescent="0.3">
      <c r="A14" t="s">
        <v>187</v>
      </c>
      <c r="B14" s="1" t="s">
        <v>188</v>
      </c>
      <c r="C14" s="1" t="s">
        <v>11</v>
      </c>
      <c r="D14" s="1" t="s">
        <v>159</v>
      </c>
      <c r="E14" s="6">
        <v>10041</v>
      </c>
      <c r="F14" s="1" t="str">
        <f>VLOOKUP(D14,Table17[[Name]:[Native]],3,FALSE)</f>
        <v>双柏县</v>
      </c>
      <c r="G14" s="14" t="str">
        <f ca="1">VLOOKUP(F14,Table17[[Native]:[Population4]],5,FALSE)</f>
        <v>楚雄彝族自治州</v>
      </c>
    </row>
    <row r="15" spans="1:7" ht="15.75" thickBot="1" x14ac:dyDescent="0.3">
      <c r="A15" t="s">
        <v>189</v>
      </c>
      <c r="B15" s="1" t="s">
        <v>190</v>
      </c>
      <c r="C15" s="1" t="s">
        <v>11</v>
      </c>
      <c r="D15" s="1" t="s">
        <v>159</v>
      </c>
      <c r="E15" s="6">
        <v>26880</v>
      </c>
      <c r="F15" s="1" t="str">
        <f>VLOOKUP(D15,Table17[[Name]:[Native]],3,FALSE)</f>
        <v>双柏县</v>
      </c>
      <c r="G15" s="14" t="str">
        <f ca="1">VLOOKUP(F15,Table17[[Native]:[Population4]],5,FALSE)</f>
        <v>楚雄彝族自治州</v>
      </c>
    </row>
    <row r="16" spans="1:7" ht="15.75" thickBot="1" x14ac:dyDescent="0.3">
      <c r="A16" t="s">
        <v>191</v>
      </c>
      <c r="B16" s="1" t="s">
        <v>192</v>
      </c>
      <c r="C16" s="1" t="s">
        <v>11</v>
      </c>
      <c r="D16" s="1" t="s">
        <v>186</v>
      </c>
      <c r="E16" s="6">
        <v>88481</v>
      </c>
      <c r="F16" s="1" t="str">
        <f>VLOOKUP(D16,Table17[[Name]:[Native]],3,FALSE)</f>
        <v>姚安县</v>
      </c>
      <c r="G16" s="14" t="str">
        <f ca="1">VLOOKUP(F16,Table17[[Native]:[Population4]],5,FALSE)</f>
        <v>楚雄彝族自治州</v>
      </c>
    </row>
    <row r="17" spans="1:7" ht="15.75" thickBot="1" x14ac:dyDescent="0.3">
      <c r="A17" t="s">
        <v>193</v>
      </c>
      <c r="B17" s="1" t="s">
        <v>194</v>
      </c>
      <c r="C17" s="1" t="s">
        <v>11</v>
      </c>
      <c r="D17" s="1" t="s">
        <v>170</v>
      </c>
      <c r="E17" s="6">
        <v>103115</v>
      </c>
      <c r="F17" s="1" t="str">
        <f>VLOOKUP(D17,Table17[[Name]:[Native]],3,FALSE)</f>
        <v>楚雄市</v>
      </c>
      <c r="G17" s="14" t="str">
        <f ca="1">VLOOKUP(F17,Table17[[Native]:[Population4]],5,FALSE)</f>
        <v>楚雄彝族自治州</v>
      </c>
    </row>
    <row r="18" spans="1:7" ht="15.75" thickBot="1" x14ac:dyDescent="0.3">
      <c r="A18" t="s">
        <v>195</v>
      </c>
      <c r="B18" s="1" t="s">
        <v>196</v>
      </c>
      <c r="C18" s="1" t="s">
        <v>11</v>
      </c>
      <c r="D18" s="1" t="s">
        <v>170</v>
      </c>
      <c r="E18" s="6">
        <v>25496</v>
      </c>
      <c r="F18" s="1" t="str">
        <f>VLOOKUP(D18,Table17[[Name]:[Native]],3,FALSE)</f>
        <v>楚雄市</v>
      </c>
      <c r="G18" s="14" t="str">
        <f ca="1">VLOOKUP(F18,Table17[[Native]:[Population4]],5,FALSE)</f>
        <v>楚雄彝族自治州</v>
      </c>
    </row>
    <row r="19" spans="1:7" ht="15.75" thickBot="1" x14ac:dyDescent="0.3">
      <c r="A19" t="s">
        <v>197</v>
      </c>
      <c r="B19" s="1" t="s">
        <v>198</v>
      </c>
      <c r="C19" s="1" t="s">
        <v>7</v>
      </c>
      <c r="D19" s="1" t="s">
        <v>167</v>
      </c>
      <c r="E19" s="6">
        <v>12944</v>
      </c>
      <c r="F19" s="1" t="str">
        <f>VLOOKUP(D19,Table17[[Name]:[Native]],3,FALSE)</f>
        <v>武定县</v>
      </c>
      <c r="G19" s="14" t="str">
        <f ca="1">VLOOKUP(F19,Table17[[Native]:[Population4]],5,FALSE)</f>
        <v>楚雄彝族自治州</v>
      </c>
    </row>
    <row r="20" spans="1:7" ht="15.75" thickBot="1" x14ac:dyDescent="0.3">
      <c r="A20" t="s">
        <v>199</v>
      </c>
      <c r="B20" s="1" t="s">
        <v>200</v>
      </c>
      <c r="C20" s="1" t="s">
        <v>7</v>
      </c>
      <c r="D20" s="1" t="s">
        <v>159</v>
      </c>
      <c r="E20" s="6">
        <v>4145</v>
      </c>
      <c r="F20" s="1" t="str">
        <f>VLOOKUP(D20,Table17[[Name]:[Native]],3,FALSE)</f>
        <v>双柏县</v>
      </c>
      <c r="G20" s="14" t="str">
        <f ca="1">VLOOKUP(F20,Table17[[Native]:[Population4]],5,FALSE)</f>
        <v>楚雄彝族自治州</v>
      </c>
    </row>
    <row r="21" spans="1:7" ht="15.75" thickBot="1" x14ac:dyDescent="0.3">
      <c r="A21" t="s">
        <v>201</v>
      </c>
      <c r="B21" s="1" t="s">
        <v>202</v>
      </c>
      <c r="C21" s="1" t="s">
        <v>11</v>
      </c>
      <c r="D21" s="1" t="s">
        <v>159</v>
      </c>
      <c r="E21" s="6">
        <v>27235</v>
      </c>
      <c r="F21" s="1" t="str">
        <f>VLOOKUP(D21,Table17[[Name]:[Native]],3,FALSE)</f>
        <v>双柏县</v>
      </c>
      <c r="G21" s="14" t="str">
        <f ca="1">VLOOKUP(F21,Table17[[Native]:[Population4]],5,FALSE)</f>
        <v>楚雄彝族自治州</v>
      </c>
    </row>
    <row r="22" spans="1:7" ht="15.75" thickBot="1" x14ac:dyDescent="0.3">
      <c r="A22" t="s">
        <v>203</v>
      </c>
      <c r="B22" s="1" t="s">
        <v>204</v>
      </c>
      <c r="C22" s="1" t="s">
        <v>11</v>
      </c>
      <c r="D22" s="1" t="s">
        <v>159</v>
      </c>
      <c r="E22" s="6">
        <v>24656</v>
      </c>
      <c r="F22" s="1" t="str">
        <f>VLOOKUP(D22,Table17[[Name]:[Native]],3,FALSE)</f>
        <v>双柏县</v>
      </c>
      <c r="G22" s="14" t="str">
        <f ca="1">VLOOKUP(F22,Table17[[Native]:[Population4]],5,FALSE)</f>
        <v>楚雄彝族自治州</v>
      </c>
    </row>
    <row r="23" spans="1:7" ht="15.75" thickBot="1" x14ac:dyDescent="0.3">
      <c r="A23" t="s">
        <v>205</v>
      </c>
      <c r="B23" s="1" t="s">
        <v>206</v>
      </c>
      <c r="C23" s="1" t="s">
        <v>7</v>
      </c>
      <c r="D23" s="1" t="s">
        <v>167</v>
      </c>
      <c r="E23" s="6">
        <v>13110</v>
      </c>
      <c r="F23" s="1" t="str">
        <f>VLOOKUP(D23,Table17[[Name]:[Native]],3,FALSE)</f>
        <v>武定县</v>
      </c>
      <c r="G23" s="14" t="str">
        <f ca="1">VLOOKUP(F23,Table17[[Native]:[Population4]],5,FALSE)</f>
        <v>楚雄彝族自治州</v>
      </c>
    </row>
    <row r="24" spans="1:7" ht="15.75" thickBot="1" x14ac:dyDescent="0.3">
      <c r="A24" t="s">
        <v>207</v>
      </c>
      <c r="B24" s="1" t="s">
        <v>208</v>
      </c>
      <c r="C24" s="1" t="s">
        <v>11</v>
      </c>
      <c r="D24" s="1" t="s">
        <v>162</v>
      </c>
      <c r="E24" s="6">
        <v>17514</v>
      </c>
      <c r="F24" s="1" t="str">
        <f>VLOOKUP(D24,Table17[[Name]:[Native]],3,FALSE)</f>
        <v>牟定县</v>
      </c>
      <c r="G24" s="14" t="str">
        <f ca="1">VLOOKUP(F24,Table17[[Native]:[Population4]],5,FALSE)</f>
        <v>楚雄彝族自治州</v>
      </c>
    </row>
    <row r="25" spans="1:7" ht="15.75" thickBot="1" x14ac:dyDescent="0.3">
      <c r="A25" t="s">
        <v>209</v>
      </c>
      <c r="B25" s="1" t="s">
        <v>210</v>
      </c>
      <c r="C25" s="1" t="s">
        <v>7</v>
      </c>
      <c r="D25" s="1" t="s">
        <v>173</v>
      </c>
      <c r="E25" s="6">
        <v>9191</v>
      </c>
      <c r="F25" s="1" t="str">
        <f>VLOOKUP(D25,Table17[[Name]:[Native]],3,FALSE)</f>
        <v>禄丰县</v>
      </c>
      <c r="G25" s="14" t="str">
        <f ca="1">VLOOKUP(F25,Table17[[Native]:[Population4]],5,FALSE)</f>
        <v>楚雄彝族自治州</v>
      </c>
    </row>
    <row r="26" spans="1:7" ht="15.75" thickBot="1" x14ac:dyDescent="0.3">
      <c r="A26" t="s">
        <v>211</v>
      </c>
      <c r="B26" s="1" t="s">
        <v>212</v>
      </c>
      <c r="C26" s="1" t="s">
        <v>11</v>
      </c>
      <c r="D26" s="1" t="s">
        <v>167</v>
      </c>
      <c r="E26" s="6">
        <v>33758</v>
      </c>
      <c r="F26" s="1" t="str">
        <f>VLOOKUP(D26,Table17[[Name]:[Native]],3,FALSE)</f>
        <v>武定县</v>
      </c>
      <c r="G26" s="14" t="str">
        <f ca="1">VLOOKUP(F26,Table17[[Native]:[Population4]],5,FALSE)</f>
        <v>楚雄彝族自治州</v>
      </c>
    </row>
    <row r="27" spans="1:7" ht="15.75" thickBot="1" x14ac:dyDescent="0.3">
      <c r="A27" t="s">
        <v>213</v>
      </c>
      <c r="B27" s="1" t="s">
        <v>214</v>
      </c>
      <c r="C27" s="1" t="s">
        <v>11</v>
      </c>
      <c r="D27" s="1" t="s">
        <v>162</v>
      </c>
      <c r="E27" s="6">
        <v>81667</v>
      </c>
      <c r="F27" s="1" t="str">
        <f>VLOOKUP(D27,Table17[[Name]:[Native]],3,FALSE)</f>
        <v>牟定县</v>
      </c>
      <c r="G27" s="14" t="str">
        <f ca="1">VLOOKUP(F27,Table17[[Native]:[Population4]],5,FALSE)</f>
        <v>楚雄彝族自治州</v>
      </c>
    </row>
    <row r="28" spans="1:7" ht="15.75" thickBot="1" x14ac:dyDescent="0.3">
      <c r="A28" t="s">
        <v>215</v>
      </c>
      <c r="B28" s="1" t="s">
        <v>216</v>
      </c>
      <c r="C28" s="1" t="s">
        <v>11</v>
      </c>
      <c r="D28" s="1" t="s">
        <v>186</v>
      </c>
      <c r="E28" s="6">
        <v>30133</v>
      </c>
      <c r="F28" s="1" t="str">
        <f>VLOOKUP(D28,Table17[[Name]:[Native]],3,FALSE)</f>
        <v>姚安县</v>
      </c>
      <c r="G28" s="14" t="str">
        <f ca="1">VLOOKUP(F28,Table17[[Native]:[Population4]],5,FALSE)</f>
        <v>楚雄彝族自治州</v>
      </c>
    </row>
    <row r="29" spans="1:7" ht="15.75" thickBot="1" x14ac:dyDescent="0.3">
      <c r="A29" t="s">
        <v>217</v>
      </c>
      <c r="B29" s="1" t="s">
        <v>218</v>
      </c>
      <c r="C29" s="1" t="s">
        <v>11</v>
      </c>
      <c r="D29" s="1" t="s">
        <v>173</v>
      </c>
      <c r="E29" s="6">
        <v>42306</v>
      </c>
      <c r="F29" s="1" t="str">
        <f>VLOOKUP(D29,Table17[[Name]:[Native]],3,FALSE)</f>
        <v>禄丰县</v>
      </c>
      <c r="G29" s="14" t="str">
        <f ca="1">VLOOKUP(F29,Table17[[Native]:[Population4]],5,FALSE)</f>
        <v>楚雄彝族自治州</v>
      </c>
    </row>
    <row r="30" spans="1:7" ht="15.75" thickBot="1" x14ac:dyDescent="0.3">
      <c r="A30" t="s">
        <v>219</v>
      </c>
      <c r="B30" s="1" t="s">
        <v>220</v>
      </c>
      <c r="C30" s="1" t="s">
        <v>11</v>
      </c>
      <c r="D30" s="1" t="s">
        <v>186</v>
      </c>
      <c r="E30" s="6">
        <v>15432</v>
      </c>
      <c r="F30" s="1" t="str">
        <f>VLOOKUP(D30,Table17[[Name]:[Native]],3,FALSE)</f>
        <v>姚安县</v>
      </c>
      <c r="G30" s="14" t="str">
        <f ca="1">VLOOKUP(F30,Table17[[Native]:[Population4]],5,FALSE)</f>
        <v>楚雄彝族自治州</v>
      </c>
    </row>
    <row r="31" spans="1:7" ht="15.75" thickBot="1" x14ac:dyDescent="0.3">
      <c r="A31" t="s">
        <v>221</v>
      </c>
      <c r="B31" s="1" t="s">
        <v>222</v>
      </c>
      <c r="C31" s="1" t="s">
        <v>11</v>
      </c>
      <c r="D31" s="1" t="s">
        <v>223</v>
      </c>
      <c r="E31" s="6">
        <v>11963</v>
      </c>
      <c r="F31" s="1" t="str">
        <f>VLOOKUP(D31,Table17[[Name]:[Native]],3,FALSE)</f>
        <v>大姚县</v>
      </c>
      <c r="G31" s="14" t="str">
        <f ca="1">VLOOKUP(F31,Table17[[Native]:[Population4]],5,FALSE)</f>
        <v>楚雄彝族自治州</v>
      </c>
    </row>
    <row r="32" spans="1:7" ht="15.75" thickBot="1" x14ac:dyDescent="0.3">
      <c r="A32" t="s">
        <v>224</v>
      </c>
      <c r="B32" s="1" t="s">
        <v>225</v>
      </c>
      <c r="C32" s="1" t="s">
        <v>11</v>
      </c>
      <c r="D32" s="1" t="s">
        <v>173</v>
      </c>
      <c r="E32" s="6">
        <v>14900</v>
      </c>
      <c r="F32" s="1" t="str">
        <f>VLOOKUP(D32,Table17[[Name]:[Native]],3,FALSE)</f>
        <v>禄丰县</v>
      </c>
      <c r="G32" s="14" t="str">
        <f ca="1">VLOOKUP(F32,Table17[[Native]:[Population4]],5,FALSE)</f>
        <v>楚雄彝族自治州</v>
      </c>
    </row>
    <row r="33" spans="1:7" ht="15.75" thickBot="1" x14ac:dyDescent="0.3">
      <c r="A33" t="s">
        <v>226</v>
      </c>
      <c r="B33" s="1" t="s">
        <v>227</v>
      </c>
      <c r="C33" s="1" t="s">
        <v>11</v>
      </c>
      <c r="D33" s="1" t="s">
        <v>173</v>
      </c>
      <c r="E33" s="6">
        <v>21826</v>
      </c>
      <c r="F33" s="1" t="str">
        <f>VLOOKUP(D33,Table17[[Name]:[Native]],3,FALSE)</f>
        <v>禄丰县</v>
      </c>
      <c r="G33" s="14" t="str">
        <f ca="1">VLOOKUP(F33,Table17[[Native]:[Population4]],5,FALSE)</f>
        <v>楚雄彝族自治州</v>
      </c>
    </row>
    <row r="34" spans="1:7" ht="15.75" thickBot="1" x14ac:dyDescent="0.3">
      <c r="A34" t="s">
        <v>228</v>
      </c>
      <c r="B34" s="1" t="s">
        <v>229</v>
      </c>
      <c r="C34" s="1" t="s">
        <v>11</v>
      </c>
      <c r="D34" s="1" t="s">
        <v>230</v>
      </c>
      <c r="E34" s="6">
        <v>12457</v>
      </c>
      <c r="F34" s="1" t="str">
        <f>VLOOKUP(D34,Table17[[Name]:[Native]],3,FALSE)</f>
        <v>南华县</v>
      </c>
      <c r="G34" s="14" t="str">
        <f ca="1">VLOOKUP(F34,Table17[[Native]:[Population4]],5,FALSE)</f>
        <v>楚雄彝族自治州</v>
      </c>
    </row>
    <row r="35" spans="1:7" ht="15.75" thickBot="1" x14ac:dyDescent="0.3">
      <c r="A35" t="s">
        <v>231</v>
      </c>
      <c r="B35" s="1" t="s">
        <v>232</v>
      </c>
      <c r="C35" s="1" t="s">
        <v>11</v>
      </c>
      <c r="D35" s="1" t="s">
        <v>233</v>
      </c>
      <c r="E35" s="6">
        <v>37528</v>
      </c>
      <c r="F35" s="1" t="str">
        <f>VLOOKUP(D35,Table17[[Name]:[Native]],3,FALSE)</f>
        <v>元谋县</v>
      </c>
      <c r="G35" s="14" t="str">
        <f ca="1">VLOOKUP(F35,Table17[[Native]:[Population4]],5,FALSE)</f>
        <v>楚雄彝族自治州</v>
      </c>
    </row>
    <row r="36" spans="1:7" ht="15.75" thickBot="1" x14ac:dyDescent="0.3">
      <c r="A36" t="s">
        <v>234</v>
      </c>
      <c r="B36" s="1" t="s">
        <v>235</v>
      </c>
      <c r="C36" s="1" t="s">
        <v>7</v>
      </c>
      <c r="D36" s="1" t="s">
        <v>167</v>
      </c>
      <c r="E36" s="6">
        <v>10189</v>
      </c>
      <c r="F36" s="1" t="str">
        <f>VLOOKUP(D36,Table17[[Name]:[Native]],3,FALSE)</f>
        <v>武定县</v>
      </c>
      <c r="G36" s="14" t="str">
        <f ca="1">VLOOKUP(F36,Table17[[Native]:[Population4]],5,FALSE)</f>
        <v>楚雄彝族自治州</v>
      </c>
    </row>
    <row r="37" spans="1:7" ht="15.75" thickBot="1" x14ac:dyDescent="0.3">
      <c r="A37" t="s">
        <v>236</v>
      </c>
      <c r="B37" s="1" t="s">
        <v>237</v>
      </c>
      <c r="C37" s="1" t="s">
        <v>7</v>
      </c>
      <c r="D37" s="1" t="s">
        <v>233</v>
      </c>
      <c r="E37" s="6">
        <v>14760</v>
      </c>
      <c r="F37" s="1" t="str">
        <f>VLOOKUP(D37,Table17[[Name]:[Native]],3,FALSE)</f>
        <v>元谋县</v>
      </c>
      <c r="G37" s="14" t="str">
        <f ca="1">VLOOKUP(F37,Table17[[Native]:[Population4]],5,FALSE)</f>
        <v>楚雄彝族自治州</v>
      </c>
    </row>
    <row r="38" spans="1:7" ht="15.75" thickBot="1" x14ac:dyDescent="0.3">
      <c r="A38" t="s">
        <v>238</v>
      </c>
      <c r="B38" s="1" t="s">
        <v>239</v>
      </c>
      <c r="C38" s="1" t="s">
        <v>11</v>
      </c>
      <c r="D38" s="1" t="s">
        <v>162</v>
      </c>
      <c r="E38" s="6">
        <v>26447</v>
      </c>
      <c r="F38" s="1" t="str">
        <f>VLOOKUP(D38,Table17[[Name]:[Native]],3,FALSE)</f>
        <v>牟定县</v>
      </c>
      <c r="G38" s="14" t="str">
        <f ca="1">VLOOKUP(F38,Table17[[Native]:[Population4]],5,FALSE)</f>
        <v>楚雄彝族自治州</v>
      </c>
    </row>
    <row r="39" spans="1:7" ht="15.75" thickBot="1" x14ac:dyDescent="0.3">
      <c r="A39" t="s">
        <v>240</v>
      </c>
      <c r="B39" s="1" t="s">
        <v>241</v>
      </c>
      <c r="C39" s="1" t="s">
        <v>7</v>
      </c>
      <c r="D39" s="1" t="s">
        <v>233</v>
      </c>
      <c r="E39" s="6">
        <v>13304</v>
      </c>
      <c r="F39" s="1" t="str">
        <f>VLOOKUP(D39,Table17[[Name]:[Native]],3,FALSE)</f>
        <v>元谋县</v>
      </c>
      <c r="G39" s="14" t="str">
        <f ca="1">VLOOKUP(F39,Table17[[Native]:[Population4]],5,FALSE)</f>
        <v>楚雄彝族自治州</v>
      </c>
    </row>
    <row r="40" spans="1:7" ht="15.75" thickBot="1" x14ac:dyDescent="0.3">
      <c r="A40" t="s">
        <v>242</v>
      </c>
      <c r="B40" s="1" t="s">
        <v>243</v>
      </c>
      <c r="C40" s="1" t="s">
        <v>11</v>
      </c>
      <c r="D40" s="1" t="s">
        <v>223</v>
      </c>
      <c r="E40" s="6">
        <v>95639</v>
      </c>
      <c r="F40" s="1" t="str">
        <f>VLOOKUP(D40,Table17[[Name]:[Native]],3,FALSE)</f>
        <v>大姚县</v>
      </c>
      <c r="G40" s="14" t="str">
        <f ca="1">VLOOKUP(F40,Table17[[Native]:[Population4]],5,FALSE)</f>
        <v>楚雄彝族自治州</v>
      </c>
    </row>
    <row r="41" spans="1:7" ht="15.75" thickBot="1" x14ac:dyDescent="0.3">
      <c r="A41" t="s">
        <v>244</v>
      </c>
      <c r="B41" s="1" t="s">
        <v>245</v>
      </c>
      <c r="C41" s="1" t="s">
        <v>11</v>
      </c>
      <c r="D41" s="1" t="s">
        <v>173</v>
      </c>
      <c r="E41" s="6">
        <v>95044</v>
      </c>
      <c r="F41" s="1" t="str">
        <f>VLOOKUP(D41,Table17[[Name]:[Native]],3,FALSE)</f>
        <v>禄丰县</v>
      </c>
      <c r="G41" s="14" t="str">
        <f ca="1">VLOOKUP(F41,Table17[[Native]:[Population4]],5,FALSE)</f>
        <v>楚雄彝族自治州</v>
      </c>
    </row>
    <row r="42" spans="1:7" ht="15.75" thickBot="1" x14ac:dyDescent="0.3">
      <c r="A42" t="s">
        <v>246</v>
      </c>
      <c r="B42" s="1" t="s">
        <v>247</v>
      </c>
      <c r="C42" s="1" t="s">
        <v>11</v>
      </c>
      <c r="D42" s="1" t="s">
        <v>167</v>
      </c>
      <c r="E42" s="6">
        <v>14235</v>
      </c>
      <c r="F42" s="1" t="str">
        <f>VLOOKUP(D42,Table17[[Name]:[Native]],3,FALSE)</f>
        <v>武定县</v>
      </c>
      <c r="G42" s="14" t="str">
        <f ca="1">VLOOKUP(F42,Table17[[Native]:[Population4]],5,FALSE)</f>
        <v>楚雄彝族自治州</v>
      </c>
    </row>
    <row r="43" spans="1:7" ht="15.75" thickBot="1" x14ac:dyDescent="0.3">
      <c r="A43" t="s">
        <v>248</v>
      </c>
      <c r="B43" s="1" t="s">
        <v>249</v>
      </c>
      <c r="C43" s="1" t="s">
        <v>11</v>
      </c>
      <c r="D43" s="1" t="s">
        <v>173</v>
      </c>
      <c r="E43" s="6">
        <v>17103</v>
      </c>
      <c r="F43" s="1" t="str">
        <f>VLOOKUP(D43,Table17[[Name]:[Native]],3,FALSE)</f>
        <v>禄丰县</v>
      </c>
      <c r="G43" s="14" t="str">
        <f ca="1">VLOOKUP(F43,Table17[[Native]:[Population4]],5,FALSE)</f>
        <v>楚雄彝族自治州</v>
      </c>
    </row>
    <row r="44" spans="1:7" ht="15.75" thickBot="1" x14ac:dyDescent="0.3">
      <c r="A44" t="s">
        <v>250</v>
      </c>
      <c r="B44" s="1" t="s">
        <v>251</v>
      </c>
      <c r="C44" s="1" t="s">
        <v>7</v>
      </c>
      <c r="D44" s="1" t="s">
        <v>233</v>
      </c>
      <c r="E44" s="6">
        <v>27083</v>
      </c>
      <c r="F44" s="1" t="str">
        <f>VLOOKUP(D44,Table17[[Name]:[Native]],3,FALSE)</f>
        <v>元谋县</v>
      </c>
      <c r="G44" s="14" t="str">
        <f ca="1">VLOOKUP(F44,Table17[[Native]:[Population4]],5,FALSE)</f>
        <v>楚雄彝族自治州</v>
      </c>
    </row>
    <row r="45" spans="1:7" ht="15.75" thickBot="1" x14ac:dyDescent="0.3">
      <c r="A45" t="s">
        <v>252</v>
      </c>
      <c r="B45" s="1" t="s">
        <v>253</v>
      </c>
      <c r="C45" s="1" t="s">
        <v>7</v>
      </c>
      <c r="D45" s="1" t="s">
        <v>254</v>
      </c>
      <c r="E45" s="6">
        <v>13566</v>
      </c>
      <c r="F45" s="1" t="str">
        <f>VLOOKUP(D45,Table17[[Name]:[Native]],3,FALSE)</f>
        <v>永仁县</v>
      </c>
      <c r="G45" s="14" t="str">
        <f ca="1">VLOOKUP(F45,Table17[[Native]:[Population4]],5,FALSE)</f>
        <v>楚雄彝族自治州</v>
      </c>
    </row>
    <row r="46" spans="1:7" ht="15.75" thickBot="1" x14ac:dyDescent="0.3">
      <c r="A46" t="s">
        <v>255</v>
      </c>
      <c r="B46" s="1" t="s">
        <v>256</v>
      </c>
      <c r="C46" s="1" t="s">
        <v>7</v>
      </c>
      <c r="D46" s="1" t="s">
        <v>233</v>
      </c>
      <c r="E46" s="6">
        <v>3661</v>
      </c>
      <c r="F46" s="1" t="str">
        <f>VLOOKUP(D46,Table17[[Name]:[Native]],3,FALSE)</f>
        <v>元谋县</v>
      </c>
      <c r="G46" s="14" t="str">
        <f ca="1">VLOOKUP(F46,Table17[[Native]:[Population4]],5,FALSE)</f>
        <v>楚雄彝族自治州</v>
      </c>
    </row>
    <row r="47" spans="1:7" ht="15.75" thickBot="1" x14ac:dyDescent="0.3">
      <c r="A47" t="s">
        <v>257</v>
      </c>
      <c r="B47" s="1" t="s">
        <v>258</v>
      </c>
      <c r="C47" s="1" t="s">
        <v>11</v>
      </c>
      <c r="D47" s="1" t="s">
        <v>223</v>
      </c>
      <c r="E47" s="6">
        <v>16591</v>
      </c>
      <c r="F47" s="1" t="str">
        <f>VLOOKUP(D47,Table17[[Name]:[Native]],3,FALSE)</f>
        <v>大姚县</v>
      </c>
      <c r="G47" s="14" t="str">
        <f ca="1">VLOOKUP(F47,Table17[[Native]:[Population4]],5,FALSE)</f>
        <v>楚雄彝族自治州</v>
      </c>
    </row>
    <row r="48" spans="1:7" ht="15.75" thickBot="1" x14ac:dyDescent="0.3">
      <c r="A48" t="s">
        <v>259</v>
      </c>
      <c r="B48" s="1" t="s">
        <v>260</v>
      </c>
      <c r="C48" s="1" t="s">
        <v>11</v>
      </c>
      <c r="D48" s="1" t="s">
        <v>230</v>
      </c>
      <c r="E48" s="6">
        <v>86060</v>
      </c>
      <c r="F48" s="1" t="str">
        <f>VLOOKUP(D48,Table17[[Name]:[Native]],3,FALSE)</f>
        <v>南华县</v>
      </c>
      <c r="G48" s="14" t="str">
        <f ca="1">VLOOKUP(F48,Table17[[Native]:[Population4]],5,FALSE)</f>
        <v>楚雄彝族自治州</v>
      </c>
    </row>
    <row r="49" spans="1:7" ht="15.75" thickBot="1" x14ac:dyDescent="0.3">
      <c r="A49" t="s">
        <v>261</v>
      </c>
      <c r="B49" s="1" t="s">
        <v>262</v>
      </c>
      <c r="C49" s="1" t="s">
        <v>11</v>
      </c>
      <c r="D49" s="1" t="s">
        <v>223</v>
      </c>
      <c r="E49" s="6">
        <v>22653</v>
      </c>
      <c r="F49" s="1" t="str">
        <f>VLOOKUP(D49,Table17[[Name]:[Native]],3,FALSE)</f>
        <v>大姚县</v>
      </c>
      <c r="G49" s="14" t="str">
        <f ca="1">VLOOKUP(F49,Table17[[Native]:[Population4]],5,FALSE)</f>
        <v>楚雄彝族自治州</v>
      </c>
    </row>
    <row r="50" spans="1:7" ht="15.75" thickBot="1" x14ac:dyDescent="0.3">
      <c r="A50" t="s">
        <v>263</v>
      </c>
      <c r="B50" s="1" t="s">
        <v>264</v>
      </c>
      <c r="C50" s="1" t="s">
        <v>11</v>
      </c>
      <c r="D50" s="1" t="s">
        <v>170</v>
      </c>
      <c r="E50" s="6">
        <v>221252</v>
      </c>
      <c r="F50" s="1" t="str">
        <f>VLOOKUP(D50,Table17[[Name]:[Native]],3,FALSE)</f>
        <v>楚雄市</v>
      </c>
      <c r="G50" s="14" t="str">
        <f ca="1">VLOOKUP(F50,Table17[[Native]:[Population4]],5,FALSE)</f>
        <v>楚雄彝族自治州</v>
      </c>
    </row>
    <row r="51" spans="1:7" ht="15.75" thickBot="1" x14ac:dyDescent="0.3">
      <c r="A51" t="s">
        <v>265</v>
      </c>
      <c r="B51" s="1" t="s">
        <v>266</v>
      </c>
      <c r="C51" s="1" t="s">
        <v>11</v>
      </c>
      <c r="D51" s="1" t="s">
        <v>170</v>
      </c>
      <c r="E51" s="6">
        <v>26022</v>
      </c>
      <c r="F51" s="1" t="str">
        <f>VLOOKUP(D51,Table17[[Name]:[Native]],3,FALSE)</f>
        <v>楚雄市</v>
      </c>
      <c r="G51" s="14" t="str">
        <f ca="1">VLOOKUP(F51,Table17[[Native]:[Population4]],5,FALSE)</f>
        <v>楚雄彝族自治州</v>
      </c>
    </row>
    <row r="52" spans="1:7" ht="15.75" thickBot="1" x14ac:dyDescent="0.3">
      <c r="A52" t="s">
        <v>267</v>
      </c>
      <c r="B52" s="1" t="s">
        <v>268</v>
      </c>
      <c r="C52" s="1" t="s">
        <v>7</v>
      </c>
      <c r="D52" s="1" t="s">
        <v>230</v>
      </c>
      <c r="E52" s="6">
        <v>12160</v>
      </c>
      <c r="F52" s="1" t="str">
        <f>VLOOKUP(D52,Table17[[Name]:[Native]],3,FALSE)</f>
        <v>南华县</v>
      </c>
      <c r="G52" s="14" t="str">
        <f ca="1">VLOOKUP(F52,Table17[[Native]:[Population4]],5,FALSE)</f>
        <v>楚雄彝族自治州</v>
      </c>
    </row>
    <row r="53" spans="1:7" ht="15.75" thickBot="1" x14ac:dyDescent="0.3">
      <c r="A53" t="s">
        <v>269</v>
      </c>
      <c r="B53" s="1" t="s">
        <v>270</v>
      </c>
      <c r="C53" s="1" t="s">
        <v>11</v>
      </c>
      <c r="D53" s="1" t="s">
        <v>230</v>
      </c>
      <c r="E53" s="6">
        <v>18491</v>
      </c>
      <c r="F53" s="1" t="str">
        <f>VLOOKUP(D53,Table17[[Name]:[Native]],3,FALSE)</f>
        <v>南华县</v>
      </c>
      <c r="G53" s="14" t="str">
        <f ca="1">VLOOKUP(F53,Table17[[Native]:[Population4]],5,FALSE)</f>
        <v>楚雄彝族自治州</v>
      </c>
    </row>
    <row r="54" spans="1:7" ht="15.75" thickBot="1" x14ac:dyDescent="0.3">
      <c r="A54" t="s">
        <v>271</v>
      </c>
      <c r="B54" s="1" t="s">
        <v>272</v>
      </c>
      <c r="C54" s="1" t="s">
        <v>11</v>
      </c>
      <c r="D54" s="1" t="s">
        <v>167</v>
      </c>
      <c r="E54" s="6">
        <v>26047</v>
      </c>
      <c r="F54" s="1" t="str">
        <f>VLOOKUP(D54,Table17[[Name]:[Native]],3,FALSE)</f>
        <v>武定县</v>
      </c>
      <c r="G54" s="14" t="str">
        <f ca="1">VLOOKUP(F54,Table17[[Native]:[Population4]],5,FALSE)</f>
        <v>楚雄彝族自治州</v>
      </c>
    </row>
    <row r="55" spans="1:7" ht="15.75" thickBot="1" x14ac:dyDescent="0.3">
      <c r="A55" t="s">
        <v>273</v>
      </c>
      <c r="B55" s="1" t="s">
        <v>274</v>
      </c>
      <c r="C55" s="1" t="s">
        <v>7</v>
      </c>
      <c r="D55" s="1" t="s">
        <v>254</v>
      </c>
      <c r="E55" s="6">
        <v>9601</v>
      </c>
      <c r="F55" s="1" t="str">
        <f>VLOOKUP(D55,Table17[[Name]:[Native]],3,FALSE)</f>
        <v>永仁县</v>
      </c>
      <c r="G55" s="14" t="str">
        <f ca="1">VLOOKUP(F55,Table17[[Native]:[Population4]],5,FALSE)</f>
        <v>楚雄彝族自治州</v>
      </c>
    </row>
    <row r="56" spans="1:7" ht="15.75" thickBot="1" x14ac:dyDescent="0.3">
      <c r="A56" t="s">
        <v>275</v>
      </c>
      <c r="B56" s="1" t="s">
        <v>276</v>
      </c>
      <c r="C56" s="1" t="s">
        <v>11</v>
      </c>
      <c r="D56" s="1" t="s">
        <v>186</v>
      </c>
      <c r="E56" s="6">
        <v>20062</v>
      </c>
      <c r="F56" s="1" t="str">
        <f>VLOOKUP(D56,Table17[[Name]:[Native]],3,FALSE)</f>
        <v>姚安县</v>
      </c>
      <c r="G56" s="14" t="str">
        <f ca="1">VLOOKUP(F56,Table17[[Native]:[Population4]],5,FALSE)</f>
        <v>楚雄彝族自治州</v>
      </c>
    </row>
    <row r="57" spans="1:7" ht="15.75" thickBot="1" x14ac:dyDescent="0.3">
      <c r="A57" t="s">
        <v>277</v>
      </c>
      <c r="B57" s="1" t="s">
        <v>278</v>
      </c>
      <c r="C57" s="1" t="s">
        <v>7</v>
      </c>
      <c r="D57" s="1" t="s">
        <v>162</v>
      </c>
      <c r="E57" s="6">
        <v>11756</v>
      </c>
      <c r="F57" s="1" t="str">
        <f>VLOOKUP(D57,Table17[[Name]:[Native]],3,FALSE)</f>
        <v>牟定县</v>
      </c>
      <c r="G57" s="14" t="str">
        <f ca="1">VLOOKUP(F57,Table17[[Native]:[Population4]],5,FALSE)</f>
        <v>楚雄彝族自治州</v>
      </c>
    </row>
    <row r="58" spans="1:7" ht="15.75" thickBot="1" x14ac:dyDescent="0.3">
      <c r="A58" t="s">
        <v>279</v>
      </c>
      <c r="B58" s="1" t="s">
        <v>280</v>
      </c>
      <c r="C58" s="1" t="s">
        <v>7</v>
      </c>
      <c r="D58" s="1" t="s">
        <v>233</v>
      </c>
      <c r="E58" s="6">
        <v>14135</v>
      </c>
      <c r="F58" s="1" t="str">
        <f>VLOOKUP(D58,Table17[[Name]:[Native]],3,FALSE)</f>
        <v>元谋县</v>
      </c>
      <c r="G58" s="14" t="str">
        <f ca="1">VLOOKUP(F58,Table17[[Native]:[Population4]],5,FALSE)</f>
        <v>楚雄彝族自治州</v>
      </c>
    </row>
    <row r="59" spans="1:7" ht="15.75" thickBot="1" x14ac:dyDescent="0.3">
      <c r="A59" t="s">
        <v>281</v>
      </c>
      <c r="B59" s="1" t="s">
        <v>282</v>
      </c>
      <c r="C59" s="1" t="s">
        <v>11</v>
      </c>
      <c r="D59" s="1" t="s">
        <v>186</v>
      </c>
      <c r="E59" s="6">
        <v>17009</v>
      </c>
      <c r="F59" s="1" t="str">
        <f>VLOOKUP(D59,Table17[[Name]:[Native]],3,FALSE)</f>
        <v>姚安县</v>
      </c>
      <c r="G59" s="14" t="str">
        <f ca="1">VLOOKUP(F59,Table17[[Native]:[Population4]],5,FALSE)</f>
        <v>楚雄彝族自治州</v>
      </c>
    </row>
    <row r="60" spans="1:7" ht="15.75" thickBot="1" x14ac:dyDescent="0.3">
      <c r="A60" t="s">
        <v>283</v>
      </c>
      <c r="B60" s="1" t="s">
        <v>284</v>
      </c>
      <c r="C60" s="1" t="s">
        <v>11</v>
      </c>
      <c r="D60" s="1" t="s">
        <v>173</v>
      </c>
      <c r="E60" s="6">
        <v>26149</v>
      </c>
      <c r="F60" s="1" t="str">
        <f>VLOOKUP(D60,Table17[[Name]:[Native]],3,FALSE)</f>
        <v>禄丰县</v>
      </c>
      <c r="G60" s="14" t="str">
        <f ca="1">VLOOKUP(F60,Table17[[Native]:[Population4]],5,FALSE)</f>
        <v>楚雄彝族自治州</v>
      </c>
    </row>
    <row r="61" spans="1:7" ht="15.75" thickBot="1" x14ac:dyDescent="0.3">
      <c r="A61" t="s">
        <v>285</v>
      </c>
      <c r="B61" s="1" t="s">
        <v>286</v>
      </c>
      <c r="C61" s="1" t="s">
        <v>11</v>
      </c>
      <c r="D61" s="1" t="s">
        <v>173</v>
      </c>
      <c r="E61" s="6">
        <v>33749</v>
      </c>
      <c r="F61" s="1" t="str">
        <f>VLOOKUP(D61,Table17[[Name]:[Native]],3,FALSE)</f>
        <v>禄丰县</v>
      </c>
      <c r="G61" s="14" t="str">
        <f ca="1">VLOOKUP(F61,Table17[[Native]:[Population4]],5,FALSE)</f>
        <v>楚雄彝族自治州</v>
      </c>
    </row>
    <row r="62" spans="1:7" ht="15.75" thickBot="1" x14ac:dyDescent="0.3">
      <c r="A62" t="s">
        <v>287</v>
      </c>
      <c r="B62" s="1" t="s">
        <v>288</v>
      </c>
      <c r="C62" s="1" t="s">
        <v>11</v>
      </c>
      <c r="D62" s="1" t="s">
        <v>223</v>
      </c>
      <c r="E62" s="6">
        <v>13223</v>
      </c>
      <c r="F62" s="1" t="str">
        <f>VLOOKUP(D62,Table17[[Name]:[Native]],3,FALSE)</f>
        <v>大姚县</v>
      </c>
      <c r="G62" s="14" t="str">
        <f ca="1">VLOOKUP(F62,Table17[[Native]:[Population4]],5,FALSE)</f>
        <v>楚雄彝族自治州</v>
      </c>
    </row>
    <row r="63" spans="1:7" ht="15.75" thickBot="1" x14ac:dyDescent="0.3">
      <c r="A63" t="s">
        <v>289</v>
      </c>
      <c r="B63" s="1" t="s">
        <v>290</v>
      </c>
      <c r="C63" s="1" t="s">
        <v>11</v>
      </c>
      <c r="D63" s="1" t="s">
        <v>170</v>
      </c>
      <c r="E63" s="6">
        <v>22424</v>
      </c>
      <c r="F63" s="1" t="str">
        <f>VLOOKUP(D63,Table17[[Name]:[Native]],3,FALSE)</f>
        <v>楚雄市</v>
      </c>
      <c r="G63" s="14" t="str">
        <f ca="1">VLOOKUP(F63,Table17[[Native]:[Population4]],5,FALSE)</f>
        <v>楚雄彝族自治州</v>
      </c>
    </row>
    <row r="64" spans="1:7" ht="15.75" thickBot="1" x14ac:dyDescent="0.3">
      <c r="A64" t="s">
        <v>291</v>
      </c>
      <c r="B64" s="1" t="s">
        <v>292</v>
      </c>
      <c r="C64" s="1" t="s">
        <v>7</v>
      </c>
      <c r="D64" s="1" t="s">
        <v>223</v>
      </c>
      <c r="E64" s="6">
        <v>11790</v>
      </c>
      <c r="F64" s="1" t="str">
        <f>VLOOKUP(D64,Table17[[Name]:[Native]],3,FALSE)</f>
        <v>大姚县</v>
      </c>
      <c r="G64" s="14" t="str">
        <f ca="1">VLOOKUP(F64,Table17[[Native]:[Population4]],5,FALSE)</f>
        <v>楚雄彝族自治州</v>
      </c>
    </row>
    <row r="65" spans="1:7" ht="15.75" thickBot="1" x14ac:dyDescent="0.3">
      <c r="A65" t="s">
        <v>293</v>
      </c>
      <c r="B65" s="1" t="s">
        <v>294</v>
      </c>
      <c r="C65" s="1" t="s">
        <v>11</v>
      </c>
      <c r="D65" s="1" t="s">
        <v>230</v>
      </c>
      <c r="E65" s="6">
        <v>31810</v>
      </c>
      <c r="F65" s="1" t="str">
        <f>VLOOKUP(D65,Table17[[Name]:[Native]],3,FALSE)</f>
        <v>南华县</v>
      </c>
      <c r="G65" s="14" t="str">
        <f ca="1">VLOOKUP(F65,Table17[[Native]:[Population4]],5,FALSE)</f>
        <v>楚雄彝族自治州</v>
      </c>
    </row>
    <row r="66" spans="1:7" ht="15.75" thickBot="1" x14ac:dyDescent="0.3">
      <c r="A66" t="s">
        <v>295</v>
      </c>
      <c r="B66" s="1" t="s">
        <v>296</v>
      </c>
      <c r="C66" s="1" t="s">
        <v>11</v>
      </c>
      <c r="D66" s="1" t="s">
        <v>167</v>
      </c>
      <c r="E66" s="6">
        <v>92868</v>
      </c>
      <c r="F66" s="1" t="str">
        <f>VLOOKUP(D66,Table17[[Name]:[Native]],3,FALSE)</f>
        <v>武定县</v>
      </c>
      <c r="G66" s="14" t="str">
        <f ca="1">VLOOKUP(F66,Table17[[Native]:[Population4]],5,FALSE)</f>
        <v>楚雄彝族自治州</v>
      </c>
    </row>
    <row r="67" spans="1:7" ht="15.75" thickBot="1" x14ac:dyDescent="0.3">
      <c r="A67" t="s">
        <v>297</v>
      </c>
      <c r="B67" s="1" t="s">
        <v>298</v>
      </c>
      <c r="C67" s="1" t="s">
        <v>11</v>
      </c>
      <c r="D67" s="1" t="s">
        <v>223</v>
      </c>
      <c r="E67" s="6">
        <v>25718</v>
      </c>
      <c r="F67" s="1" t="str">
        <f>VLOOKUP(D67,Table17[[Name]:[Native]],3,FALSE)</f>
        <v>大姚县</v>
      </c>
      <c r="G67" s="14" t="str">
        <f ca="1">VLOOKUP(F67,Table17[[Native]:[Population4]],5,FALSE)</f>
        <v>楚雄彝族自治州</v>
      </c>
    </row>
    <row r="68" spans="1:7" ht="15.75" thickBot="1" x14ac:dyDescent="0.3">
      <c r="A68" t="s">
        <v>299</v>
      </c>
      <c r="B68" s="1" t="s">
        <v>300</v>
      </c>
      <c r="C68" s="1" t="s">
        <v>7</v>
      </c>
      <c r="D68" s="1" t="s">
        <v>186</v>
      </c>
      <c r="E68" s="6">
        <v>5315</v>
      </c>
      <c r="F68" s="1" t="str">
        <f>VLOOKUP(D68,Table17[[Name]:[Native]],3,FALSE)</f>
        <v>姚安县</v>
      </c>
      <c r="G68" s="14" t="str">
        <f ca="1">VLOOKUP(F68,Table17[[Native]:[Population4]],5,FALSE)</f>
        <v>楚雄彝族自治州</v>
      </c>
    </row>
    <row r="69" spans="1:7" ht="15.75" thickBot="1" x14ac:dyDescent="0.3">
      <c r="A69" t="s">
        <v>301</v>
      </c>
      <c r="B69" s="1" t="s">
        <v>302</v>
      </c>
      <c r="C69" s="1" t="s">
        <v>7</v>
      </c>
      <c r="D69" s="1" t="s">
        <v>170</v>
      </c>
      <c r="E69" s="6">
        <v>18038</v>
      </c>
      <c r="F69" s="1" t="str">
        <f>VLOOKUP(D69,Table17[[Name]:[Native]],3,FALSE)</f>
        <v>楚雄市</v>
      </c>
      <c r="G69" s="14" t="str">
        <f ca="1">VLOOKUP(F69,Table17[[Native]:[Population4]],5,FALSE)</f>
        <v>楚雄彝族自治州</v>
      </c>
    </row>
    <row r="70" spans="1:7" ht="15.75" thickBot="1" x14ac:dyDescent="0.3">
      <c r="A70" t="s">
        <v>109</v>
      </c>
      <c r="B70" s="1" t="s">
        <v>110</v>
      </c>
      <c r="C70" s="1" t="s">
        <v>11</v>
      </c>
      <c r="D70" s="1" t="s">
        <v>186</v>
      </c>
      <c r="E70" s="6">
        <v>9320</v>
      </c>
      <c r="F70" s="1" t="str">
        <f>VLOOKUP(D70,Table17[[Name]:[Native]],3,FALSE)</f>
        <v>姚安县</v>
      </c>
      <c r="G70" s="14" t="str">
        <f ca="1">VLOOKUP(F70,Table17[[Native]:[Population4]],5,FALSE)</f>
        <v>楚雄彝族自治州</v>
      </c>
    </row>
    <row r="71" spans="1:7" ht="15.75" thickBot="1" x14ac:dyDescent="0.3">
      <c r="A71" t="s">
        <v>303</v>
      </c>
      <c r="B71" s="1" t="s">
        <v>304</v>
      </c>
      <c r="C71" s="1" t="s">
        <v>7</v>
      </c>
      <c r="D71" s="1" t="s">
        <v>223</v>
      </c>
      <c r="E71" s="6">
        <v>7549</v>
      </c>
      <c r="F71" s="1" t="str">
        <f>VLOOKUP(D71,Table17[[Name]:[Native]],3,FALSE)</f>
        <v>大姚县</v>
      </c>
      <c r="G71" s="14" t="str">
        <f ca="1">VLOOKUP(F71,Table17[[Native]:[Population4]],5,FALSE)</f>
        <v>楚雄彝族自治州</v>
      </c>
    </row>
    <row r="72" spans="1:7" ht="15.75" thickBot="1" x14ac:dyDescent="0.3">
      <c r="A72" t="s">
        <v>305</v>
      </c>
      <c r="B72" s="1" t="s">
        <v>306</v>
      </c>
      <c r="C72" s="1" t="s">
        <v>7</v>
      </c>
      <c r="D72" s="1" t="s">
        <v>167</v>
      </c>
      <c r="E72" s="6">
        <v>17360</v>
      </c>
      <c r="F72" s="1" t="str">
        <f>VLOOKUP(D72,Table17[[Name]:[Native]],3,FALSE)</f>
        <v>武定县</v>
      </c>
      <c r="G72" s="14" t="str">
        <f ca="1">VLOOKUP(F72,Table17[[Native]:[Population4]],5,FALSE)</f>
        <v>楚雄彝族自治州</v>
      </c>
    </row>
    <row r="73" spans="1:7" ht="15.75" thickBot="1" x14ac:dyDescent="0.3">
      <c r="A73" t="s">
        <v>307</v>
      </c>
      <c r="B73" s="1" t="s">
        <v>308</v>
      </c>
      <c r="C73" s="1" t="s">
        <v>7</v>
      </c>
      <c r="D73" s="1" t="s">
        <v>223</v>
      </c>
      <c r="E73" s="6">
        <v>10313</v>
      </c>
      <c r="F73" s="1" t="str">
        <f>VLOOKUP(D73,Table17[[Name]:[Native]],3,FALSE)</f>
        <v>大姚县</v>
      </c>
      <c r="G73" s="14" t="str">
        <f ca="1">VLOOKUP(F73,Table17[[Native]:[Population4]],5,FALSE)</f>
        <v>楚雄彝族自治州</v>
      </c>
    </row>
    <row r="74" spans="1:7" ht="15.75" thickBot="1" x14ac:dyDescent="0.3">
      <c r="A74" t="s">
        <v>309</v>
      </c>
      <c r="B74" s="1" t="s">
        <v>310</v>
      </c>
      <c r="C74" s="1" t="s">
        <v>11</v>
      </c>
      <c r="D74" s="1" t="s">
        <v>173</v>
      </c>
      <c r="E74" s="6">
        <v>12610</v>
      </c>
      <c r="F74" s="1" t="str">
        <f>VLOOKUP(D74,Table17[[Name]:[Native]],3,FALSE)</f>
        <v>禄丰县</v>
      </c>
      <c r="G74" s="14" t="str">
        <f ca="1">VLOOKUP(F74,Table17[[Native]:[Population4]],5,FALSE)</f>
        <v>楚雄彝族自治州</v>
      </c>
    </row>
    <row r="75" spans="1:7" ht="15.75" thickBot="1" x14ac:dyDescent="0.3">
      <c r="A75" t="s">
        <v>311</v>
      </c>
      <c r="B75" s="1" t="s">
        <v>312</v>
      </c>
      <c r="C75" s="1" t="s">
        <v>11</v>
      </c>
      <c r="D75" s="1" t="s">
        <v>230</v>
      </c>
      <c r="E75" s="6">
        <v>13552</v>
      </c>
      <c r="F75" s="1" t="str">
        <f>VLOOKUP(D75,Table17[[Name]:[Native]],3,FALSE)</f>
        <v>南华县</v>
      </c>
      <c r="G75" s="14" t="str">
        <f ca="1">VLOOKUP(F75,Table17[[Native]:[Population4]],5,FALSE)</f>
        <v>楚雄彝族自治州</v>
      </c>
    </row>
    <row r="76" spans="1:7" ht="15.75" thickBot="1" x14ac:dyDescent="0.3">
      <c r="A76" t="s">
        <v>313</v>
      </c>
      <c r="B76" s="1" t="s">
        <v>314</v>
      </c>
      <c r="C76" s="1" t="s">
        <v>7</v>
      </c>
      <c r="D76" s="1" t="s">
        <v>173</v>
      </c>
      <c r="E76" s="6">
        <v>24324</v>
      </c>
      <c r="F76" s="1" t="str">
        <f>VLOOKUP(D76,Table17[[Name]:[Native]],3,FALSE)</f>
        <v>禄丰县</v>
      </c>
      <c r="G76" s="14" t="str">
        <f ca="1">VLOOKUP(F76,Table17[[Native]:[Population4]],5,FALSE)</f>
        <v>楚雄彝族自治州</v>
      </c>
    </row>
    <row r="77" spans="1:7" ht="15.75" thickBot="1" x14ac:dyDescent="0.3">
      <c r="A77" t="s">
        <v>315</v>
      </c>
      <c r="B77" s="1" t="s">
        <v>316</v>
      </c>
      <c r="C77" s="1" t="s">
        <v>11</v>
      </c>
      <c r="D77" s="1" t="s">
        <v>159</v>
      </c>
      <c r="E77" s="6">
        <v>44265</v>
      </c>
      <c r="F77" s="1" t="str">
        <f>VLOOKUP(D77,Table17[[Name]:[Native]],3,FALSE)</f>
        <v>双柏县</v>
      </c>
      <c r="G77" s="14" t="str">
        <f ca="1">VLOOKUP(F77,Table17[[Native]:[Population4]],5,FALSE)</f>
        <v>楚雄彝族自治州</v>
      </c>
    </row>
    <row r="78" spans="1:7" ht="15.75" thickBot="1" x14ac:dyDescent="0.3">
      <c r="A78" t="s">
        <v>317</v>
      </c>
      <c r="B78" s="1" t="s">
        <v>318</v>
      </c>
      <c r="C78" s="1" t="s">
        <v>7</v>
      </c>
      <c r="D78" s="1" t="s">
        <v>223</v>
      </c>
      <c r="E78" s="6">
        <v>17454</v>
      </c>
      <c r="F78" s="1" t="str">
        <f>VLOOKUP(D78,Table17[[Name]:[Native]],3,FALSE)</f>
        <v>大姚县</v>
      </c>
      <c r="G78" s="14" t="str">
        <f ca="1">VLOOKUP(F78,Table17[[Native]:[Population4]],5,FALSE)</f>
        <v>楚雄彝族自治州</v>
      </c>
    </row>
    <row r="79" spans="1:7" ht="15.75" thickBot="1" x14ac:dyDescent="0.3">
      <c r="A79" t="s">
        <v>319</v>
      </c>
      <c r="B79" s="1" t="s">
        <v>320</v>
      </c>
      <c r="C79" s="1" t="s">
        <v>11</v>
      </c>
      <c r="D79" s="1" t="s">
        <v>167</v>
      </c>
      <c r="E79" s="6">
        <v>14593</v>
      </c>
      <c r="F79" s="1" t="str">
        <f>VLOOKUP(D79,Table17[[Name]:[Native]],3,FALSE)</f>
        <v>武定县</v>
      </c>
      <c r="G79" s="14" t="str">
        <f ca="1">VLOOKUP(F79,Table17[[Native]:[Population4]],5,FALSE)</f>
        <v>楚雄彝族自治州</v>
      </c>
    </row>
    <row r="80" spans="1:7" ht="15.75" thickBot="1" x14ac:dyDescent="0.3">
      <c r="A80" t="s">
        <v>321</v>
      </c>
      <c r="B80" s="1" t="s">
        <v>322</v>
      </c>
      <c r="C80" s="1" t="s">
        <v>7</v>
      </c>
      <c r="D80" s="1" t="s">
        <v>254</v>
      </c>
      <c r="E80" s="6">
        <v>11664</v>
      </c>
      <c r="F80" s="1" t="str">
        <f>VLOOKUP(D80,Table17[[Name]:[Native]],3,FALSE)</f>
        <v>永仁县</v>
      </c>
      <c r="G80" s="14" t="str">
        <f ca="1">VLOOKUP(F80,Table17[[Native]:[Population4]],5,FALSE)</f>
        <v>楚雄彝族自治州</v>
      </c>
    </row>
    <row r="81" spans="1:7" ht="15.75" thickBot="1" x14ac:dyDescent="0.3">
      <c r="A81" t="s">
        <v>323</v>
      </c>
      <c r="B81" s="1" t="s">
        <v>324</v>
      </c>
      <c r="C81" s="1" t="s">
        <v>7</v>
      </c>
      <c r="D81" s="1" t="s">
        <v>230</v>
      </c>
      <c r="E81" s="6">
        <v>9964</v>
      </c>
      <c r="F81" s="1" t="str">
        <f>VLOOKUP(D81,Table17[[Name]:[Native]],3,FALSE)</f>
        <v>南华县</v>
      </c>
      <c r="G81" s="14" t="str">
        <f ca="1">VLOOKUP(F81,Table17[[Native]:[Population4]],5,FALSE)</f>
        <v>楚雄彝族自治州</v>
      </c>
    </row>
    <row r="82" spans="1:7" ht="15.75" thickBot="1" x14ac:dyDescent="0.3">
      <c r="A82" t="s">
        <v>325</v>
      </c>
      <c r="B82" s="1" t="s">
        <v>326</v>
      </c>
      <c r="C82" s="1" t="s">
        <v>11</v>
      </c>
      <c r="D82" s="1" t="s">
        <v>230</v>
      </c>
      <c r="E82" s="6">
        <v>18018</v>
      </c>
      <c r="F82" s="1" t="str">
        <f>VLOOKUP(D82,Table17[[Name]:[Native]],3,FALSE)</f>
        <v>南华县</v>
      </c>
      <c r="G82" s="14" t="str">
        <f ca="1">VLOOKUP(F82,Table17[[Native]:[Population4]],5,FALSE)</f>
        <v>楚雄彝族自治州</v>
      </c>
    </row>
    <row r="83" spans="1:7" ht="15.75" thickBot="1" x14ac:dyDescent="0.3">
      <c r="A83" t="s">
        <v>327</v>
      </c>
      <c r="B83" s="1" t="s">
        <v>328</v>
      </c>
      <c r="C83" s="1" t="s">
        <v>7</v>
      </c>
      <c r="D83" s="1" t="s">
        <v>233</v>
      </c>
      <c r="E83" s="6">
        <v>16002</v>
      </c>
      <c r="F83" s="1" t="str">
        <f>VLOOKUP(D83,Table17[[Name]:[Native]],3,FALSE)</f>
        <v>元谋县</v>
      </c>
      <c r="G83" s="14" t="str">
        <f ca="1">VLOOKUP(F83,Table17[[Native]:[Population4]],5,FALSE)</f>
        <v>楚雄彝族自治州</v>
      </c>
    </row>
    <row r="84" spans="1:7" ht="15.75" thickBot="1" x14ac:dyDescent="0.3">
      <c r="A84" t="s">
        <v>329</v>
      </c>
      <c r="B84" s="1" t="s">
        <v>330</v>
      </c>
      <c r="C84" s="1" t="s">
        <v>11</v>
      </c>
      <c r="D84" s="1" t="s">
        <v>170</v>
      </c>
      <c r="E84" s="6">
        <v>14270</v>
      </c>
      <c r="F84" s="1" t="str">
        <f>VLOOKUP(D84,Table17[[Name]:[Native]],3,FALSE)</f>
        <v>楚雄市</v>
      </c>
      <c r="G84" s="14" t="str">
        <f ca="1">VLOOKUP(F84,Table17[[Native]:[Population4]],5,FALSE)</f>
        <v>楚雄彝族自治州</v>
      </c>
    </row>
    <row r="85" spans="1:7" ht="15.75" thickBot="1" x14ac:dyDescent="0.3">
      <c r="A85" t="s">
        <v>137</v>
      </c>
      <c r="B85" s="1" t="s">
        <v>138</v>
      </c>
      <c r="C85" s="1" t="s">
        <v>7</v>
      </c>
      <c r="D85" s="1" t="s">
        <v>233</v>
      </c>
      <c r="E85" s="6">
        <v>8083</v>
      </c>
      <c r="F85" s="1" t="str">
        <f>VLOOKUP(D85,Table17[[Name]:[Native]],3,FALSE)</f>
        <v>元谋县</v>
      </c>
      <c r="G85" s="14" t="str">
        <f ca="1">VLOOKUP(F85,Table17[[Native]:[Population4]],5,FALSE)</f>
        <v>楚雄彝族自治州</v>
      </c>
    </row>
    <row r="86" spans="1:7" ht="15.75" thickBot="1" x14ac:dyDescent="0.3">
      <c r="A86" t="s">
        <v>331</v>
      </c>
      <c r="B86" s="1" t="s">
        <v>332</v>
      </c>
      <c r="C86" s="1" t="s">
        <v>11</v>
      </c>
      <c r="D86" s="1" t="s">
        <v>223</v>
      </c>
      <c r="E86" s="6">
        <v>25273</v>
      </c>
      <c r="F86" s="1" t="str">
        <f>VLOOKUP(D86,Table17[[Name]:[Native]],3,FALSE)</f>
        <v>大姚县</v>
      </c>
      <c r="G86" s="14" t="str">
        <f ca="1">VLOOKUP(F86,Table17[[Native]:[Population4]],5,FALSE)</f>
        <v>楚雄彝族自治州</v>
      </c>
    </row>
    <row r="87" spans="1:7" ht="15.75" thickBot="1" x14ac:dyDescent="0.3">
      <c r="A87" t="s">
        <v>333</v>
      </c>
      <c r="B87" s="1" t="s">
        <v>334</v>
      </c>
      <c r="C87" s="1" t="s">
        <v>11</v>
      </c>
      <c r="D87" s="1" t="s">
        <v>162</v>
      </c>
      <c r="E87" s="6">
        <v>29294</v>
      </c>
      <c r="F87" s="1" t="str">
        <f>VLOOKUP(D87,Table17[[Name]:[Native]],3,FALSE)</f>
        <v>牟定县</v>
      </c>
      <c r="G87" s="14" t="str">
        <f ca="1">VLOOKUP(F87,Table17[[Native]:[Population4]],5,FALSE)</f>
        <v>楚雄彝族自治州</v>
      </c>
    </row>
    <row r="88" spans="1:7" ht="15.75" thickBot="1" x14ac:dyDescent="0.3">
      <c r="A88" t="s">
        <v>335</v>
      </c>
      <c r="B88" s="1" t="s">
        <v>336</v>
      </c>
      <c r="C88" s="1" t="s">
        <v>11</v>
      </c>
      <c r="D88" s="1" t="s">
        <v>170</v>
      </c>
      <c r="E88" s="6">
        <v>18448</v>
      </c>
      <c r="F88" s="1" t="str">
        <f>VLOOKUP(D88,Table17[[Name]:[Native]],3,FALSE)</f>
        <v>楚雄市</v>
      </c>
      <c r="G88" s="14" t="str">
        <f ca="1">VLOOKUP(F88,Table17[[Native]:[Population4]],5,FALSE)</f>
        <v>楚雄彝族自治州</v>
      </c>
    </row>
    <row r="89" spans="1:7" ht="15.75" thickBot="1" x14ac:dyDescent="0.3">
      <c r="A89" t="s">
        <v>337</v>
      </c>
      <c r="B89" s="1" t="s">
        <v>338</v>
      </c>
      <c r="C89" s="1" t="s">
        <v>7</v>
      </c>
      <c r="D89" s="1" t="s">
        <v>162</v>
      </c>
      <c r="E89" s="6">
        <v>17824</v>
      </c>
      <c r="F89" s="1" t="str">
        <f>VLOOKUP(D89,Table17[[Name]:[Native]],3,FALSE)</f>
        <v>牟定县</v>
      </c>
      <c r="G89" s="14" t="str">
        <f ca="1">VLOOKUP(F89,Table17[[Native]:[Population4]],5,FALSE)</f>
        <v>楚雄彝族自治州</v>
      </c>
    </row>
    <row r="90" spans="1:7" ht="15.75" thickBot="1" x14ac:dyDescent="0.3">
      <c r="A90" t="s">
        <v>339</v>
      </c>
      <c r="B90" s="1" t="s">
        <v>340</v>
      </c>
      <c r="C90" s="1" t="s">
        <v>11</v>
      </c>
      <c r="D90" s="1" t="s">
        <v>233</v>
      </c>
      <c r="E90" s="6">
        <v>17303</v>
      </c>
      <c r="F90" s="1" t="str">
        <f>VLOOKUP(D90,Table17[[Name]:[Native]],3,FALSE)</f>
        <v>元谋县</v>
      </c>
      <c r="G90" s="14" t="str">
        <f ca="1">VLOOKUP(F90,Table17[[Native]:[Population4]],5,FALSE)</f>
        <v>楚雄彝族自治州</v>
      </c>
    </row>
    <row r="91" spans="1:7" ht="15.75" thickBot="1" x14ac:dyDescent="0.3">
      <c r="A91" t="s">
        <v>341</v>
      </c>
      <c r="B91" s="1" t="s">
        <v>342</v>
      </c>
      <c r="C91" s="1" t="s">
        <v>7</v>
      </c>
      <c r="D91" s="1" t="s">
        <v>230</v>
      </c>
      <c r="E91" s="6">
        <v>19445</v>
      </c>
      <c r="F91" s="1" t="str">
        <f>VLOOKUP(D91,Table17[[Name]:[Native]],3,FALSE)</f>
        <v>南华县</v>
      </c>
      <c r="G91" s="14" t="str">
        <f ca="1">VLOOKUP(F91,Table17[[Native]:[Population4]],5,FALSE)</f>
        <v>楚雄彝族自治州</v>
      </c>
    </row>
    <row r="92" spans="1:7" ht="15.75" thickBot="1" x14ac:dyDescent="0.3">
      <c r="A92" t="s">
        <v>343</v>
      </c>
      <c r="B92" s="1" t="s">
        <v>344</v>
      </c>
      <c r="C92" s="1" t="s">
        <v>11</v>
      </c>
      <c r="D92" s="1" t="s">
        <v>254</v>
      </c>
      <c r="E92" s="6">
        <v>16909</v>
      </c>
      <c r="F92" s="1" t="str">
        <f>VLOOKUP(D92,Table17[[Name]:[Native]],3,FALSE)</f>
        <v>永仁县</v>
      </c>
      <c r="G92" s="14" t="str">
        <f ca="1">VLOOKUP(F92,Table17[[Native]:[Population4]],5,FALSE)</f>
        <v>楚雄彝族自治州</v>
      </c>
    </row>
    <row r="93" spans="1:7" ht="15.75" thickBot="1" x14ac:dyDescent="0.3">
      <c r="A93" t="s">
        <v>345</v>
      </c>
      <c r="B93" s="1" t="s">
        <v>346</v>
      </c>
      <c r="C93" s="1" t="s">
        <v>11</v>
      </c>
      <c r="D93" s="1" t="s">
        <v>173</v>
      </c>
      <c r="E93" s="6">
        <v>45476</v>
      </c>
      <c r="F93" s="1" t="str">
        <f>VLOOKUP(D93,Table17[[Name]:[Native]],3,FALSE)</f>
        <v>禄丰县</v>
      </c>
      <c r="G93" s="14" t="str">
        <f ca="1">VLOOKUP(F93,Table17[[Native]:[Population4]],5,FALSE)</f>
        <v>楚雄彝族自治州</v>
      </c>
    </row>
    <row r="94" spans="1:7" ht="15.75" thickBot="1" x14ac:dyDescent="0.3">
      <c r="A94" t="s">
        <v>347</v>
      </c>
      <c r="B94" s="1" t="s">
        <v>348</v>
      </c>
      <c r="C94" s="1" t="s">
        <v>11</v>
      </c>
      <c r="D94" s="1" t="s">
        <v>254</v>
      </c>
      <c r="E94" s="6">
        <v>32832</v>
      </c>
      <c r="F94" s="1" t="str">
        <f>VLOOKUP(D94,Table17[[Name]:[Native]],3,FALSE)</f>
        <v>永仁县</v>
      </c>
      <c r="G94" s="14" t="str">
        <f ca="1">VLOOKUP(F94,Table17[[Native]:[Population4]],5,FALSE)</f>
        <v>楚雄彝族自治州</v>
      </c>
    </row>
    <row r="95" spans="1:7" ht="15.75" thickBot="1" x14ac:dyDescent="0.3">
      <c r="A95" t="s">
        <v>349</v>
      </c>
      <c r="B95" s="1" t="s">
        <v>350</v>
      </c>
      <c r="C95" s="1" t="s">
        <v>7</v>
      </c>
      <c r="D95" s="1" t="s">
        <v>254</v>
      </c>
      <c r="E95" s="6">
        <v>13285</v>
      </c>
      <c r="F95" s="1" t="str">
        <f>VLOOKUP(D95,Table17[[Name]:[Native]],3,FALSE)</f>
        <v>永仁县</v>
      </c>
      <c r="G95" s="14" t="str">
        <f ca="1">VLOOKUP(F95,Table17[[Native]:[Population4]],5,FALSE)</f>
        <v>楚雄彝族自治州</v>
      </c>
    </row>
    <row r="96" spans="1:7" ht="15.75" thickBot="1" x14ac:dyDescent="0.3">
      <c r="A96" t="s">
        <v>351</v>
      </c>
      <c r="B96" s="1" t="s">
        <v>352</v>
      </c>
      <c r="C96" s="1" t="s">
        <v>11</v>
      </c>
      <c r="D96" s="1" t="s">
        <v>233</v>
      </c>
      <c r="E96" s="6">
        <v>63936</v>
      </c>
      <c r="F96" s="1" t="str">
        <f>VLOOKUP(D96,Table17[[Name]:[Native]],3,FALSE)</f>
        <v>元谋县</v>
      </c>
      <c r="G96" s="14" t="str">
        <f ca="1">VLOOKUP(F96,Table17[[Native]:[Population4]],5,FALSE)</f>
        <v>楚雄彝族自治州</v>
      </c>
    </row>
    <row r="97" spans="1:7" ht="15.75" thickBot="1" x14ac:dyDescent="0.3">
      <c r="A97" t="s">
        <v>353</v>
      </c>
      <c r="B97" s="1" t="s">
        <v>354</v>
      </c>
      <c r="C97" s="1" t="s">
        <v>7</v>
      </c>
      <c r="D97" s="1" t="s">
        <v>230</v>
      </c>
      <c r="E97" s="6">
        <v>14176</v>
      </c>
      <c r="F97" s="1" t="str">
        <f>VLOOKUP(D97,Table17[[Name]:[Native]],3,FALSE)</f>
        <v>南华县</v>
      </c>
      <c r="G97" s="14" t="str">
        <f ca="1">VLOOKUP(F97,Table17[[Native]:[Population4]],5,FALSE)</f>
        <v>楚雄彝族自治州</v>
      </c>
    </row>
    <row r="98" spans="1:7" ht="15.75" thickBot="1" x14ac:dyDescent="0.3">
      <c r="A98" t="s">
        <v>355</v>
      </c>
      <c r="B98" s="1" t="s">
        <v>356</v>
      </c>
      <c r="C98" s="1" t="s">
        <v>11</v>
      </c>
      <c r="D98" s="1" t="s">
        <v>223</v>
      </c>
      <c r="E98" s="6">
        <v>15149</v>
      </c>
      <c r="F98" s="1" t="str">
        <f>VLOOKUP(D98,Table17[[Name]:[Native]],3,FALSE)</f>
        <v>大姚县</v>
      </c>
      <c r="G98" s="14" t="str">
        <f ca="1">VLOOKUP(F98,Table17[[Native]:[Population4]],5,FALSE)</f>
        <v>楚雄彝族自治州</v>
      </c>
    </row>
    <row r="99" spans="1:7" ht="15.75" thickBot="1" x14ac:dyDescent="0.3">
      <c r="A99" t="s">
        <v>357</v>
      </c>
      <c r="B99" s="1" t="s">
        <v>358</v>
      </c>
      <c r="C99" s="1" t="s">
        <v>7</v>
      </c>
      <c r="D99" s="1" t="s">
        <v>173</v>
      </c>
      <c r="E99" s="6">
        <v>16166</v>
      </c>
      <c r="F99" s="1" t="str">
        <f>VLOOKUP(D99,Table17[[Name]:[Native]],3,FALSE)</f>
        <v>禄丰县</v>
      </c>
      <c r="G99" s="14" t="str">
        <f ca="1">VLOOKUP(F99,Table17[[Native]:[Population4]],5,FALSE)</f>
        <v>楚雄彝族自治州</v>
      </c>
    </row>
    <row r="100" spans="1:7" ht="15.75" thickBot="1" x14ac:dyDescent="0.3">
      <c r="A100" t="s">
        <v>153</v>
      </c>
      <c r="B100" s="1" t="s">
        <v>154</v>
      </c>
      <c r="C100" s="1" t="s">
        <v>11</v>
      </c>
      <c r="D100" s="1" t="s">
        <v>254</v>
      </c>
      <c r="E100" s="6">
        <v>11447</v>
      </c>
      <c r="F100" s="1" t="str">
        <f>VLOOKUP(D100,Table17[[Name]:[Native]],3,FALSE)</f>
        <v>永仁县</v>
      </c>
      <c r="G100" s="14" t="str">
        <f ca="1">VLOOKUP(F100,Table17[[Native]:[Population4]],5,FALSE)</f>
        <v>楚雄彝族自治州</v>
      </c>
    </row>
    <row r="101" spans="1:7" ht="15.75" thickBot="1" x14ac:dyDescent="0.3">
      <c r="A101" t="s">
        <v>359</v>
      </c>
      <c r="B101" s="1" t="s">
        <v>360</v>
      </c>
      <c r="C101" s="1" t="s">
        <v>11</v>
      </c>
      <c r="D101" s="1" t="s">
        <v>170</v>
      </c>
      <c r="E101" s="6">
        <v>24098</v>
      </c>
      <c r="F101" s="1" t="str">
        <f>VLOOKUP(D101,Table17[[Name]:[Native]],3,FALSE)</f>
        <v>楚雄市</v>
      </c>
      <c r="G101" s="14" t="str">
        <f ca="1">VLOOKUP(F101,Table17[[Native]:[Population4]],5,FALSE)</f>
        <v>楚雄彝族自治州</v>
      </c>
    </row>
    <row r="102" spans="1:7" ht="15.75" thickBot="1" x14ac:dyDescent="0.3">
      <c r="A102" t="s">
        <v>361</v>
      </c>
      <c r="B102" s="1" t="s">
        <v>362</v>
      </c>
      <c r="C102" s="1" t="s">
        <v>11</v>
      </c>
      <c r="D102" s="1" t="s">
        <v>170</v>
      </c>
      <c r="E102" s="6">
        <v>31890</v>
      </c>
      <c r="F102" s="1" t="str">
        <f>VLOOKUP(D102,Table17[[Name]:[Native]],3,FALSE)</f>
        <v>楚雄市</v>
      </c>
      <c r="G102" s="14" t="str">
        <f ca="1">VLOOKUP(F102,Table17[[Native]:[Population4]],5,FALSE)</f>
        <v>楚雄彝族自治州</v>
      </c>
    </row>
    <row r="103" spans="1:7" ht="15.75" thickBot="1" x14ac:dyDescent="0.3">
      <c r="A103" t="s">
        <v>363</v>
      </c>
      <c r="B103" s="1" t="s">
        <v>364</v>
      </c>
      <c r="C103" s="1" t="s">
        <v>11</v>
      </c>
      <c r="D103" s="1" t="s">
        <v>170</v>
      </c>
      <c r="E103" s="6">
        <v>13341</v>
      </c>
      <c r="F103" s="1" t="str">
        <f>VLOOKUP(D103,Table17[[Name]:[Native]],3,FALSE)</f>
        <v>楚雄市</v>
      </c>
      <c r="G103" s="14" t="str">
        <f ca="1">VLOOKUP(F103,Table17[[Native]:[Population4]],5,FALSE)</f>
        <v>楚雄彝族自治州</v>
      </c>
    </row>
    <row r="104" spans="1:7" ht="15.75" thickBot="1" x14ac:dyDescent="0.3">
      <c r="A104" t="s">
        <v>365</v>
      </c>
      <c r="B104" s="3" t="s">
        <v>366</v>
      </c>
      <c r="C104" s="3" t="s">
        <v>7</v>
      </c>
      <c r="D104" s="3" t="s">
        <v>186</v>
      </c>
      <c r="E104" s="11">
        <v>4476</v>
      </c>
      <c r="F104" s="10" t="str">
        <f>VLOOKUP(D104,Table17[[Name]:[Native]],3,FALSE)</f>
        <v>姚安县</v>
      </c>
      <c r="G104" s="14" t="str">
        <f ca="1">VLOOKUP(F104,Table17[[Native]:[Population4]],5,FALSE)</f>
        <v>楚雄彝族自治州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53859-D27F-4C76-824F-E5B607E0632D}">
  <dimension ref="A1:G116"/>
  <sheetViews>
    <sheetView topLeftCell="A91" workbookViewId="0">
      <selection activeCell="G2" sqref="A2:G116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2917</v>
      </c>
      <c r="G1" t="s">
        <v>2919</v>
      </c>
    </row>
    <row r="2" spans="1:7" ht="15.75" thickBot="1" x14ac:dyDescent="0.3">
      <c r="A2" t="s">
        <v>367</v>
      </c>
      <c r="B2" s="1" t="s">
        <v>368</v>
      </c>
      <c r="C2" s="1" t="s">
        <v>11</v>
      </c>
      <c r="D2" s="1" t="s">
        <v>369</v>
      </c>
      <c r="E2" s="6">
        <v>12956</v>
      </c>
      <c r="F2" s="9" t="str">
        <f>VLOOKUP(D2,Table17[[Name]:[Native]],3,FALSE)</f>
        <v>云龙县</v>
      </c>
      <c r="G2" s="14" t="str">
        <f ca="1">VLOOKUP(F2,Table17[[Native]:[Population4]],5,FALSE)</f>
        <v>大理白族自治州</v>
      </c>
    </row>
    <row r="3" spans="1:7" ht="15.75" thickBot="1" x14ac:dyDescent="0.3">
      <c r="A3" t="s">
        <v>370</v>
      </c>
      <c r="B3" s="1" t="s">
        <v>371</v>
      </c>
      <c r="C3" s="1" t="s">
        <v>7</v>
      </c>
      <c r="D3" s="1" t="s">
        <v>369</v>
      </c>
      <c r="E3" s="6">
        <v>16730</v>
      </c>
      <c r="F3" s="1" t="str">
        <f>VLOOKUP(D3,Table17[[Name]:[Native]],3,FALSE)</f>
        <v>云龙县</v>
      </c>
      <c r="G3" s="14" t="str">
        <f ca="1">VLOOKUP(F3,Table17[[Native]:[Population4]],5,FALSE)</f>
        <v>大理白族自治州</v>
      </c>
    </row>
    <row r="4" spans="1:7" ht="15.75" thickBot="1" x14ac:dyDescent="0.3">
      <c r="A4" t="s">
        <v>372</v>
      </c>
      <c r="B4" s="1" t="s">
        <v>373</v>
      </c>
      <c r="C4" s="1" t="s">
        <v>11</v>
      </c>
      <c r="D4" s="1" t="s">
        <v>374</v>
      </c>
      <c r="E4" s="6">
        <v>29011</v>
      </c>
      <c r="F4" s="1" t="str">
        <f>VLOOKUP(D4,Table17[[Name]:[Native]],3,FALSE)</f>
        <v>南涧彝族自治县</v>
      </c>
      <c r="G4" s="14" t="str">
        <f ca="1">VLOOKUP(F4,Table17[[Native]:[Population4]],5,FALSE)</f>
        <v>大理白族自治州</v>
      </c>
    </row>
    <row r="5" spans="1:7" ht="15.75" thickBot="1" x14ac:dyDescent="0.3">
      <c r="A5" t="s">
        <v>375</v>
      </c>
      <c r="B5" s="1" t="s">
        <v>376</v>
      </c>
      <c r="C5" s="1" t="s">
        <v>7</v>
      </c>
      <c r="D5" s="1" t="s">
        <v>377</v>
      </c>
      <c r="E5" s="6">
        <v>13371</v>
      </c>
      <c r="F5" s="1" t="str">
        <f>VLOOKUP(D5,Table17[[Name]:[Native]],3,FALSE)</f>
        <v>永平县</v>
      </c>
      <c r="G5" s="14" t="str">
        <f ca="1">VLOOKUP(F5,Table17[[Native]:[Population4]],5,FALSE)</f>
        <v>大理白族自治州</v>
      </c>
    </row>
    <row r="6" spans="1:7" ht="15.75" thickBot="1" x14ac:dyDescent="0.3">
      <c r="A6" s="1" t="s">
        <v>378</v>
      </c>
      <c r="B6" s="1" t="s">
        <v>379</v>
      </c>
      <c r="C6" s="1" t="s">
        <v>380</v>
      </c>
      <c r="D6" s="1" t="s">
        <v>381</v>
      </c>
      <c r="E6" s="6">
        <v>2857</v>
      </c>
      <c r="F6" s="1" t="str">
        <f>VLOOKUP(D6,Table17[[Name]:[Native]],3,FALSE)</f>
        <v>宾川县</v>
      </c>
      <c r="G6" s="14" t="str">
        <f ca="1">VLOOKUP(F6,Table17[[Native]:[Population4]],5,FALSE)</f>
        <v>大理白族自治州</v>
      </c>
    </row>
    <row r="7" spans="1:7" ht="15.75" thickBot="1" x14ac:dyDescent="0.3">
      <c r="A7" t="s">
        <v>382</v>
      </c>
      <c r="B7" s="1" t="s">
        <v>383</v>
      </c>
      <c r="C7" s="1" t="s">
        <v>11</v>
      </c>
      <c r="D7" s="1" t="s">
        <v>381</v>
      </c>
      <c r="E7" s="6">
        <v>36275</v>
      </c>
      <c r="F7" s="1" t="str">
        <f>VLOOKUP(D7,Table17[[Name]:[Native]],3,FALSE)</f>
        <v>宾川县</v>
      </c>
      <c r="G7" s="14" t="str">
        <f ca="1">VLOOKUP(F7,Table17[[Native]:[Population4]],5,FALSE)</f>
        <v>大理白族自治州</v>
      </c>
    </row>
    <row r="8" spans="1:7" ht="15.75" thickBot="1" x14ac:dyDescent="0.3">
      <c r="A8" t="s">
        <v>384</v>
      </c>
      <c r="B8" s="1" t="s">
        <v>385</v>
      </c>
      <c r="C8" s="1" t="s">
        <v>7</v>
      </c>
      <c r="D8" s="1" t="s">
        <v>374</v>
      </c>
      <c r="E8" s="6">
        <v>16831</v>
      </c>
      <c r="F8" s="1" t="str">
        <f>VLOOKUP(D8,Table17[[Name]:[Native]],3,FALSE)</f>
        <v>南涧彝族自治县</v>
      </c>
      <c r="G8" s="14" t="str">
        <f ca="1">VLOOKUP(F8,Table17[[Native]:[Population4]],5,FALSE)</f>
        <v>大理白族自治州</v>
      </c>
    </row>
    <row r="9" spans="1:7" ht="15.75" thickBot="1" x14ac:dyDescent="0.3">
      <c r="A9" t="s">
        <v>386</v>
      </c>
      <c r="B9" s="1" t="s">
        <v>387</v>
      </c>
      <c r="C9" s="1" t="s">
        <v>11</v>
      </c>
      <c r="D9" s="1" t="s">
        <v>377</v>
      </c>
      <c r="E9" s="6">
        <v>55685</v>
      </c>
      <c r="F9" s="1" t="str">
        <f>VLOOKUP(D9,Table17[[Name]:[Native]],3,FALSE)</f>
        <v>永平县</v>
      </c>
      <c r="G9" s="14" t="str">
        <f ca="1">VLOOKUP(F9,Table17[[Native]:[Population4]],5,FALSE)</f>
        <v>大理白族自治州</v>
      </c>
    </row>
    <row r="10" spans="1:7" ht="15.75" thickBot="1" x14ac:dyDescent="0.3">
      <c r="A10" s="1" t="s">
        <v>388</v>
      </c>
      <c r="B10" s="1" t="s">
        <v>389</v>
      </c>
      <c r="C10" s="1" t="s">
        <v>380</v>
      </c>
      <c r="D10" s="1" t="s">
        <v>381</v>
      </c>
      <c r="E10" s="6">
        <v>2583</v>
      </c>
      <c r="F10" s="1" t="str">
        <f>VLOOKUP(D10,Table17[[Name]:[Native]],3,FALSE)</f>
        <v>宾川县</v>
      </c>
      <c r="G10" s="14" t="str">
        <f ca="1">VLOOKUP(F10,Table17[[Native]:[Population4]],5,FALSE)</f>
        <v>大理白族自治州</v>
      </c>
    </row>
    <row r="11" spans="1:7" ht="15.75" thickBot="1" x14ac:dyDescent="0.3">
      <c r="A11" t="s">
        <v>390</v>
      </c>
      <c r="B11" s="1" t="s">
        <v>391</v>
      </c>
      <c r="C11" s="1" t="s">
        <v>11</v>
      </c>
      <c r="D11" s="1" t="s">
        <v>392</v>
      </c>
      <c r="E11" s="6">
        <v>40456</v>
      </c>
      <c r="F11" s="1" t="str">
        <f>VLOOKUP(D11,Table17[[Name]:[Native]],3,FALSE)</f>
        <v>漾濞彝族自治县</v>
      </c>
      <c r="G11" s="14" t="str">
        <f ca="1">VLOOKUP(F11,Table17[[Native]:[Population4]],5,FALSE)</f>
        <v>大理白族自治州</v>
      </c>
    </row>
    <row r="12" spans="1:7" ht="15.75" thickBot="1" x14ac:dyDescent="0.3">
      <c r="A12" t="s">
        <v>393</v>
      </c>
      <c r="B12" s="1" t="s">
        <v>394</v>
      </c>
      <c r="C12" s="1" t="s">
        <v>11</v>
      </c>
      <c r="D12" s="1" t="s">
        <v>395</v>
      </c>
      <c r="E12" s="6">
        <v>41692</v>
      </c>
      <c r="F12" s="1" t="str">
        <f>VLOOKUP(D12,Table17[[Name]:[Native]],3,FALSE)</f>
        <v>鹤庆县</v>
      </c>
      <c r="G12" s="14" t="str">
        <f ca="1">VLOOKUP(F12,Table17[[Native]:[Population4]],5,FALSE)</f>
        <v>大理白族自治州</v>
      </c>
    </row>
    <row r="13" spans="1:7" ht="15.75" thickBot="1" x14ac:dyDescent="0.3">
      <c r="A13" t="s">
        <v>396</v>
      </c>
      <c r="B13" s="1" t="s">
        <v>397</v>
      </c>
      <c r="C13" s="1" t="s">
        <v>11</v>
      </c>
      <c r="D13" s="1" t="s">
        <v>369</v>
      </c>
      <c r="E13" s="6">
        <v>32779</v>
      </c>
      <c r="F13" s="1" t="str">
        <f>VLOOKUP(D13,Table17[[Name]:[Native]],3,FALSE)</f>
        <v>云龙县</v>
      </c>
      <c r="G13" s="14" t="str">
        <f ca="1">VLOOKUP(F13,Table17[[Native]:[Population4]],5,FALSE)</f>
        <v>大理白族自治州</v>
      </c>
    </row>
    <row r="14" spans="1:7" ht="15.75" thickBot="1" x14ac:dyDescent="0.3">
      <c r="A14" t="s">
        <v>398</v>
      </c>
      <c r="B14" s="1" t="s">
        <v>399</v>
      </c>
      <c r="C14" s="1" t="s">
        <v>7</v>
      </c>
      <c r="D14" s="1" t="s">
        <v>377</v>
      </c>
      <c r="E14" s="6">
        <v>18559</v>
      </c>
      <c r="F14" s="1" t="str">
        <f>VLOOKUP(D14,Table17[[Name]:[Native]],3,FALSE)</f>
        <v>永平县</v>
      </c>
      <c r="G14" s="14" t="str">
        <f ca="1">VLOOKUP(F14,Table17[[Native]:[Population4]],5,FALSE)</f>
        <v>大理白族自治州</v>
      </c>
    </row>
    <row r="15" spans="1:7" ht="15.75" thickBot="1" x14ac:dyDescent="0.3">
      <c r="A15" t="s">
        <v>400</v>
      </c>
      <c r="B15" s="1" t="s">
        <v>401</v>
      </c>
      <c r="C15" s="1" t="s">
        <v>7</v>
      </c>
      <c r="D15" s="1" t="s">
        <v>369</v>
      </c>
      <c r="E15" s="6">
        <v>20955</v>
      </c>
      <c r="F15" s="1" t="str">
        <f>VLOOKUP(D15,Table17[[Name]:[Native]],3,FALSE)</f>
        <v>云龙县</v>
      </c>
      <c r="G15" s="14" t="str">
        <f ca="1">VLOOKUP(F15,Table17[[Native]:[Population4]],5,FALSE)</f>
        <v>大理白族自治州</v>
      </c>
    </row>
    <row r="16" spans="1:7" ht="15.75" thickBot="1" x14ac:dyDescent="0.3">
      <c r="A16" t="s">
        <v>402</v>
      </c>
      <c r="B16" s="1" t="s">
        <v>403</v>
      </c>
      <c r="C16" s="1" t="s">
        <v>11</v>
      </c>
      <c r="D16" s="1" t="s">
        <v>404</v>
      </c>
      <c r="E16" s="6">
        <v>49667</v>
      </c>
      <c r="F16" s="1" t="str">
        <f>VLOOKUP(D16,Table17[[Name]:[Native]],3,FALSE)</f>
        <v>巍山彝族回族自治县</v>
      </c>
      <c r="G16" s="14" t="str">
        <f ca="1">VLOOKUP(F16,Table17[[Native]:[Population4]],5,FALSE)</f>
        <v>大理白族自治州</v>
      </c>
    </row>
    <row r="17" spans="1:7" ht="15.75" thickBot="1" x14ac:dyDescent="0.3">
      <c r="A17" t="s">
        <v>405</v>
      </c>
      <c r="B17" s="1" t="s">
        <v>406</v>
      </c>
      <c r="C17" s="1" t="s">
        <v>11</v>
      </c>
      <c r="D17" s="1" t="s">
        <v>407</v>
      </c>
      <c r="E17" s="6">
        <v>82566</v>
      </c>
      <c r="F17" s="1" t="str">
        <f>VLOOKUP(D17,Table17[[Name]:[Native]],3,FALSE)</f>
        <v>大理市</v>
      </c>
      <c r="G17" s="14" t="str">
        <f ca="1">VLOOKUP(F17,Table17[[Native]:[Population4]],5,FALSE)</f>
        <v>大理白族自治州</v>
      </c>
    </row>
    <row r="18" spans="1:7" ht="15.75" thickBot="1" x14ac:dyDescent="0.3">
      <c r="A18" t="s">
        <v>408</v>
      </c>
      <c r="B18" s="1" t="s">
        <v>409</v>
      </c>
      <c r="C18" s="1" t="s">
        <v>11</v>
      </c>
      <c r="D18" s="1" t="s">
        <v>381</v>
      </c>
      <c r="E18" s="6">
        <v>24148</v>
      </c>
      <c r="F18" s="1" t="str">
        <f>VLOOKUP(D18,Table17[[Name]:[Native]],3,FALSE)</f>
        <v>宾川县</v>
      </c>
      <c r="G18" s="14" t="str">
        <f ca="1">VLOOKUP(F18,Table17[[Native]:[Population4]],5,FALSE)</f>
        <v>大理白族自治州</v>
      </c>
    </row>
    <row r="19" spans="1:7" ht="15.75" thickBot="1" x14ac:dyDescent="0.3">
      <c r="A19" t="s">
        <v>410</v>
      </c>
      <c r="B19" s="1" t="s">
        <v>411</v>
      </c>
      <c r="C19" s="1" t="s">
        <v>7</v>
      </c>
      <c r="D19" s="1" t="s">
        <v>412</v>
      </c>
      <c r="E19" s="6">
        <v>23348</v>
      </c>
      <c r="F19" s="1" t="str">
        <f>VLOOKUP(D19,Table17[[Name]:[Native]],3,FALSE)</f>
        <v>弥渡县</v>
      </c>
      <c r="G19" s="14" t="str">
        <f ca="1">VLOOKUP(F19,Table17[[Native]:[Population4]],5,FALSE)</f>
        <v>大理白族自治州</v>
      </c>
    </row>
    <row r="20" spans="1:7" ht="15.75" thickBot="1" x14ac:dyDescent="0.3">
      <c r="A20" t="s">
        <v>413</v>
      </c>
      <c r="B20" s="1" t="s">
        <v>414</v>
      </c>
      <c r="C20" s="1" t="s">
        <v>11</v>
      </c>
      <c r="D20" s="1" t="s">
        <v>415</v>
      </c>
      <c r="E20" s="6">
        <v>17730</v>
      </c>
      <c r="F20" s="1" t="str">
        <f>VLOOKUP(D20,Table17[[Name]:[Native]],3,FALSE)</f>
        <v>洱源县</v>
      </c>
      <c r="G20" s="14" t="str">
        <f ca="1">VLOOKUP(F20,Table17[[Native]:[Population4]],5,FALSE)</f>
        <v>大理白族自治州</v>
      </c>
    </row>
    <row r="21" spans="1:7" ht="15.75" thickBot="1" x14ac:dyDescent="0.3">
      <c r="A21" t="s">
        <v>416</v>
      </c>
      <c r="B21" s="1" t="s">
        <v>417</v>
      </c>
      <c r="C21" s="1" t="s">
        <v>11</v>
      </c>
      <c r="D21" s="1" t="s">
        <v>418</v>
      </c>
      <c r="E21" s="6">
        <v>31739</v>
      </c>
      <c r="F21" s="1" t="str">
        <f>VLOOKUP(D21,Table17[[Name]:[Native]],3,FALSE)</f>
        <v>剑川县</v>
      </c>
      <c r="G21" s="14" t="str">
        <f ca="1">VLOOKUP(F21,Table17[[Native]:[Population4]],5,FALSE)</f>
        <v>大理白族自治州</v>
      </c>
    </row>
    <row r="22" spans="1:7" ht="15.75" thickBot="1" x14ac:dyDescent="0.3">
      <c r="A22" t="s">
        <v>419</v>
      </c>
      <c r="B22" s="1" t="s">
        <v>420</v>
      </c>
      <c r="C22" s="1" t="s">
        <v>7</v>
      </c>
      <c r="D22" s="1" t="s">
        <v>421</v>
      </c>
      <c r="E22" s="6">
        <v>9324</v>
      </c>
      <c r="F22" s="1" t="str">
        <f>VLOOKUP(D22,Table17[[Name]:[Native]],3,FALSE)</f>
        <v>祥云县</v>
      </c>
      <c r="G22" s="14" t="str">
        <f ca="1">VLOOKUP(F22,Table17[[Native]:[Population4]],5,FALSE)</f>
        <v>大理白族自治州</v>
      </c>
    </row>
    <row r="23" spans="1:7" ht="15.75" thickBot="1" x14ac:dyDescent="0.3">
      <c r="A23" t="s">
        <v>422</v>
      </c>
      <c r="B23" s="1" t="s">
        <v>423</v>
      </c>
      <c r="C23" s="1" t="s">
        <v>11</v>
      </c>
      <c r="D23" s="1" t="s">
        <v>407</v>
      </c>
      <c r="E23" s="6">
        <v>61890</v>
      </c>
      <c r="F23" s="1" t="str">
        <f>VLOOKUP(D23,Table17[[Name]:[Native]],3,FALSE)</f>
        <v>大理市</v>
      </c>
      <c r="G23" s="14" t="str">
        <f ca="1">VLOOKUP(F23,Table17[[Native]:[Population4]],5,FALSE)</f>
        <v>大理白族自治州</v>
      </c>
    </row>
    <row r="24" spans="1:7" ht="15.75" thickBot="1" x14ac:dyDescent="0.3">
      <c r="A24" t="s">
        <v>424</v>
      </c>
      <c r="B24" s="1" t="s">
        <v>425</v>
      </c>
      <c r="C24" s="1" t="s">
        <v>11</v>
      </c>
      <c r="D24" s="1" t="s">
        <v>415</v>
      </c>
      <c r="E24" s="6">
        <v>27630</v>
      </c>
      <c r="F24" s="1" t="str">
        <f>VLOOKUP(D24,Table17[[Name]:[Native]],3,FALSE)</f>
        <v>洱源县</v>
      </c>
      <c r="G24" s="14" t="str">
        <f ca="1">VLOOKUP(F24,Table17[[Native]:[Population4]],5,FALSE)</f>
        <v>大理白族自治州</v>
      </c>
    </row>
    <row r="25" spans="1:7" ht="15.75" thickBot="1" x14ac:dyDescent="0.3">
      <c r="A25" t="s">
        <v>426</v>
      </c>
      <c r="B25" s="1" t="s">
        <v>427</v>
      </c>
      <c r="C25" s="1" t="s">
        <v>7</v>
      </c>
      <c r="D25" s="1" t="s">
        <v>392</v>
      </c>
      <c r="E25" s="6">
        <v>8577</v>
      </c>
      <c r="F25" s="1" t="str">
        <f>VLOOKUP(D25,Table17[[Name]:[Native]],3,FALSE)</f>
        <v>漾濞彝族自治县</v>
      </c>
      <c r="G25" s="14" t="str">
        <f ca="1">VLOOKUP(F25,Table17[[Native]:[Population4]],5,FALSE)</f>
        <v>大理白族自治州</v>
      </c>
    </row>
    <row r="26" spans="1:7" ht="15.75" thickBot="1" x14ac:dyDescent="0.3">
      <c r="A26" t="s">
        <v>428</v>
      </c>
      <c r="B26" s="1" t="s">
        <v>429</v>
      </c>
      <c r="C26" s="1" t="s">
        <v>11</v>
      </c>
      <c r="D26" s="1" t="s">
        <v>369</v>
      </c>
      <c r="E26" s="6">
        <v>36139</v>
      </c>
      <c r="F26" s="1" t="str">
        <f>VLOOKUP(D26,Table17[[Name]:[Native]],3,FALSE)</f>
        <v>云龙县</v>
      </c>
      <c r="G26" s="14" t="str">
        <f ca="1">VLOOKUP(F26,Table17[[Native]:[Population4]],5,FALSE)</f>
        <v>大理白族自治州</v>
      </c>
    </row>
    <row r="27" spans="1:7" ht="15.75" thickBot="1" x14ac:dyDescent="0.3">
      <c r="A27" t="s">
        <v>430</v>
      </c>
      <c r="B27" s="1" t="s">
        <v>431</v>
      </c>
      <c r="C27" s="1" t="s">
        <v>11</v>
      </c>
      <c r="D27" s="1" t="s">
        <v>374</v>
      </c>
      <c r="E27" s="6">
        <v>29004</v>
      </c>
      <c r="F27" s="1" t="str">
        <f>VLOOKUP(D27,Table17[[Name]:[Native]],3,FALSE)</f>
        <v>南涧彝族自治县</v>
      </c>
      <c r="G27" s="14" t="str">
        <f ca="1">VLOOKUP(F27,Table17[[Native]:[Population4]],5,FALSE)</f>
        <v>大理白族自治州</v>
      </c>
    </row>
    <row r="28" spans="1:7" ht="15.75" thickBot="1" x14ac:dyDescent="0.3">
      <c r="A28" t="s">
        <v>432</v>
      </c>
      <c r="B28" s="1" t="s">
        <v>433</v>
      </c>
      <c r="C28" s="1" t="s">
        <v>7</v>
      </c>
      <c r="D28" s="1" t="s">
        <v>369</v>
      </c>
      <c r="E28" s="6">
        <v>11394</v>
      </c>
      <c r="F28" s="1" t="str">
        <f>VLOOKUP(D28,Table17[[Name]:[Native]],3,FALSE)</f>
        <v>云龙县</v>
      </c>
      <c r="G28" s="14" t="str">
        <f ca="1">VLOOKUP(F28,Table17[[Native]:[Population4]],5,FALSE)</f>
        <v>大理白族自治州</v>
      </c>
    </row>
    <row r="29" spans="1:7" ht="15.75" thickBot="1" x14ac:dyDescent="0.3">
      <c r="A29" t="s">
        <v>434</v>
      </c>
      <c r="B29" s="1" t="s">
        <v>435</v>
      </c>
      <c r="C29" s="1" t="s">
        <v>11</v>
      </c>
      <c r="D29" s="1" t="s">
        <v>407</v>
      </c>
      <c r="E29" s="6">
        <v>21274</v>
      </c>
      <c r="F29" s="1" t="str">
        <f>VLOOKUP(D29,Table17[[Name]:[Native]],3,FALSE)</f>
        <v>大理市</v>
      </c>
      <c r="G29" s="14" t="str">
        <f ca="1">VLOOKUP(F29,Table17[[Native]:[Population4]],5,FALSE)</f>
        <v>大理白族自治州</v>
      </c>
    </row>
    <row r="30" spans="1:7" ht="15.75" thickBot="1" x14ac:dyDescent="0.3">
      <c r="A30" t="s">
        <v>436</v>
      </c>
      <c r="B30" s="1" t="s">
        <v>437</v>
      </c>
      <c r="C30" s="1" t="s">
        <v>11</v>
      </c>
      <c r="D30" s="1" t="s">
        <v>421</v>
      </c>
      <c r="E30" s="6">
        <v>44661</v>
      </c>
      <c r="F30" s="1" t="str">
        <f>VLOOKUP(D30,Table17[[Name]:[Native]],3,FALSE)</f>
        <v>祥云县</v>
      </c>
      <c r="G30" s="14" t="str">
        <f ca="1">VLOOKUP(F30,Table17[[Native]:[Population4]],5,FALSE)</f>
        <v>大理白族自治州</v>
      </c>
    </row>
    <row r="31" spans="1:7" ht="15.75" thickBot="1" x14ac:dyDescent="0.3">
      <c r="A31" t="s">
        <v>438</v>
      </c>
      <c r="B31" s="1" t="s">
        <v>439</v>
      </c>
      <c r="C31" s="1" t="s">
        <v>11</v>
      </c>
      <c r="D31" s="1" t="s">
        <v>412</v>
      </c>
      <c r="E31" s="6">
        <v>46607</v>
      </c>
      <c r="F31" s="1" t="str">
        <f>VLOOKUP(D31,Table17[[Name]:[Native]],3,FALSE)</f>
        <v>弥渡县</v>
      </c>
      <c r="G31" s="14" t="str">
        <f ca="1">VLOOKUP(F31,Table17[[Native]:[Population4]],5,FALSE)</f>
        <v>大理白族自治州</v>
      </c>
    </row>
    <row r="32" spans="1:7" ht="15.75" thickBot="1" x14ac:dyDescent="0.3">
      <c r="A32" t="s">
        <v>440</v>
      </c>
      <c r="B32" s="1" t="s">
        <v>441</v>
      </c>
      <c r="C32" s="1" t="s">
        <v>11</v>
      </c>
      <c r="D32" s="1" t="s">
        <v>395</v>
      </c>
      <c r="E32" s="6">
        <v>32992</v>
      </c>
      <c r="F32" s="1" t="str">
        <f>VLOOKUP(D32,Table17[[Name]:[Native]],3,FALSE)</f>
        <v>鹤庆县</v>
      </c>
      <c r="G32" s="14" t="str">
        <f ca="1">VLOOKUP(F32,Table17[[Native]:[Population4]],5,FALSE)</f>
        <v>大理白族自治州</v>
      </c>
    </row>
    <row r="33" spans="1:7" ht="15.75" thickBot="1" x14ac:dyDescent="0.3">
      <c r="A33" t="s">
        <v>442</v>
      </c>
      <c r="B33" s="1" t="s">
        <v>443</v>
      </c>
      <c r="C33" s="1" t="s">
        <v>7</v>
      </c>
      <c r="D33" s="1" t="s">
        <v>369</v>
      </c>
      <c r="E33" s="6">
        <v>14485</v>
      </c>
      <c r="F33" s="1" t="str">
        <f>VLOOKUP(D33,Table17[[Name]:[Native]],3,FALSE)</f>
        <v>云龙县</v>
      </c>
      <c r="G33" s="14" t="str">
        <f ca="1">VLOOKUP(F33,Table17[[Native]:[Population4]],5,FALSE)</f>
        <v>大理白族自治州</v>
      </c>
    </row>
    <row r="34" spans="1:7" ht="15.75" thickBot="1" x14ac:dyDescent="0.3">
      <c r="A34" t="s">
        <v>444</v>
      </c>
      <c r="B34" s="1" t="s">
        <v>445</v>
      </c>
      <c r="C34" s="1" t="s">
        <v>7</v>
      </c>
      <c r="D34" s="1" t="s">
        <v>392</v>
      </c>
      <c r="E34" s="6">
        <v>4876</v>
      </c>
      <c r="F34" s="1" t="str">
        <f>VLOOKUP(D34,Table17[[Name]:[Native]],3,FALSE)</f>
        <v>漾濞彝族自治县</v>
      </c>
      <c r="G34" s="14" t="str">
        <f ca="1">VLOOKUP(F34,Table17[[Native]:[Population4]],5,FALSE)</f>
        <v>大理白族自治州</v>
      </c>
    </row>
    <row r="35" spans="1:7" ht="15.75" thickBot="1" x14ac:dyDescent="0.3">
      <c r="A35" t="s">
        <v>446</v>
      </c>
      <c r="B35" s="1" t="s">
        <v>447</v>
      </c>
      <c r="C35" s="1" t="s">
        <v>7</v>
      </c>
      <c r="D35" s="1" t="s">
        <v>395</v>
      </c>
      <c r="E35" s="6">
        <v>33123</v>
      </c>
      <c r="F35" s="1" t="str">
        <f>VLOOKUP(D35,Table17[[Name]:[Native]],3,FALSE)</f>
        <v>鹤庆县</v>
      </c>
      <c r="G35" s="14" t="str">
        <f ca="1">VLOOKUP(F35,Table17[[Native]:[Population4]],5,FALSE)</f>
        <v>大理白族自治州</v>
      </c>
    </row>
    <row r="36" spans="1:7" ht="15.75" thickBot="1" x14ac:dyDescent="0.3">
      <c r="A36" t="s">
        <v>448</v>
      </c>
      <c r="B36" s="1" t="s">
        <v>449</v>
      </c>
      <c r="C36" s="1" t="s">
        <v>11</v>
      </c>
      <c r="D36" s="1" t="s">
        <v>418</v>
      </c>
      <c r="E36" s="6">
        <v>53523</v>
      </c>
      <c r="F36" s="1" t="str">
        <f>VLOOKUP(D36,Table17[[Name]:[Native]],3,FALSE)</f>
        <v>剑川县</v>
      </c>
      <c r="G36" s="14" t="str">
        <f ca="1">VLOOKUP(F36,Table17[[Native]:[Population4]],5,FALSE)</f>
        <v>大理白族自治州</v>
      </c>
    </row>
    <row r="37" spans="1:7" ht="15.75" thickBot="1" x14ac:dyDescent="0.3">
      <c r="A37" t="s">
        <v>450</v>
      </c>
      <c r="B37" s="1" t="s">
        <v>451</v>
      </c>
      <c r="C37" s="1" t="s">
        <v>11</v>
      </c>
      <c r="D37" s="1" t="s">
        <v>381</v>
      </c>
      <c r="E37" s="6">
        <v>96883</v>
      </c>
      <c r="F37" s="1" t="str">
        <f>VLOOKUP(D37,Table17[[Name]:[Native]],3,FALSE)</f>
        <v>宾川县</v>
      </c>
      <c r="G37" s="14" t="str">
        <f ca="1">VLOOKUP(F37,Table17[[Native]:[Population4]],5,FALSE)</f>
        <v>大理白族自治州</v>
      </c>
    </row>
    <row r="38" spans="1:7" ht="15.75" thickBot="1" x14ac:dyDescent="0.3">
      <c r="A38" t="s">
        <v>452</v>
      </c>
      <c r="B38" s="1" t="s">
        <v>453</v>
      </c>
      <c r="C38" s="1" t="s">
        <v>11</v>
      </c>
      <c r="D38" s="1" t="s">
        <v>381</v>
      </c>
      <c r="E38" s="6">
        <v>28189</v>
      </c>
      <c r="F38" s="1" t="str">
        <f>VLOOKUP(D38,Table17[[Name]:[Native]],3,FALSE)</f>
        <v>宾川县</v>
      </c>
      <c r="G38" s="14" t="str">
        <f ca="1">VLOOKUP(F38,Table17[[Native]:[Population4]],5,FALSE)</f>
        <v>大理白族自治州</v>
      </c>
    </row>
    <row r="39" spans="1:7" ht="15.75" thickBot="1" x14ac:dyDescent="0.3">
      <c r="A39" t="s">
        <v>454</v>
      </c>
      <c r="B39" s="1" t="s">
        <v>455</v>
      </c>
      <c r="C39" s="1" t="s">
        <v>11</v>
      </c>
      <c r="D39" s="1" t="s">
        <v>412</v>
      </c>
      <c r="E39" s="6">
        <v>25241</v>
      </c>
      <c r="F39" s="1" t="str">
        <f>VLOOKUP(D39,Table17[[Name]:[Native]],3,FALSE)</f>
        <v>弥渡县</v>
      </c>
      <c r="G39" s="14" t="str">
        <f ca="1">VLOOKUP(F39,Table17[[Native]:[Population4]],5,FALSE)</f>
        <v>大理白族自治州</v>
      </c>
    </row>
    <row r="40" spans="1:7" ht="15.75" thickBot="1" x14ac:dyDescent="0.3">
      <c r="A40" t="s">
        <v>456</v>
      </c>
      <c r="B40" s="1" t="s">
        <v>457</v>
      </c>
      <c r="C40" s="1" t="s">
        <v>11</v>
      </c>
      <c r="D40" s="1" t="s">
        <v>418</v>
      </c>
      <c r="E40" s="6">
        <v>16798</v>
      </c>
      <c r="F40" s="1" t="str">
        <f>VLOOKUP(D40,Table17[[Name]:[Native]],3,FALSE)</f>
        <v>剑川县</v>
      </c>
      <c r="G40" s="14" t="str">
        <f ca="1">VLOOKUP(F40,Table17[[Native]:[Population4]],5,FALSE)</f>
        <v>大理白族自治州</v>
      </c>
    </row>
    <row r="41" spans="1:7" ht="15.75" thickBot="1" x14ac:dyDescent="0.3">
      <c r="A41" t="s">
        <v>458</v>
      </c>
      <c r="B41" s="1" t="s">
        <v>459</v>
      </c>
      <c r="C41" s="1" t="s">
        <v>7</v>
      </c>
      <c r="D41" s="1" t="s">
        <v>381</v>
      </c>
      <c r="E41" s="6">
        <v>10279</v>
      </c>
      <c r="F41" s="1" t="str">
        <f>VLOOKUP(D41,Table17[[Name]:[Native]],3,FALSE)</f>
        <v>宾川县</v>
      </c>
      <c r="G41" s="14" t="str">
        <f ca="1">VLOOKUP(F41,Table17[[Native]:[Population4]],5,FALSE)</f>
        <v>大理白族自治州</v>
      </c>
    </row>
    <row r="42" spans="1:7" ht="15.75" thickBot="1" x14ac:dyDescent="0.3">
      <c r="A42" t="s">
        <v>460</v>
      </c>
      <c r="B42" s="1" t="s">
        <v>461</v>
      </c>
      <c r="C42" s="1" t="s">
        <v>7</v>
      </c>
      <c r="D42" s="1" t="s">
        <v>374</v>
      </c>
      <c r="E42" s="6">
        <v>16198</v>
      </c>
      <c r="F42" s="1" t="str">
        <f>VLOOKUP(D42,Table17[[Name]:[Native]],3,FALSE)</f>
        <v>南涧彝族自治县</v>
      </c>
      <c r="G42" s="14" t="str">
        <f ca="1">VLOOKUP(F42,Table17[[Native]:[Population4]],5,FALSE)</f>
        <v>大理白族自治州</v>
      </c>
    </row>
    <row r="43" spans="1:7" ht="15.75" thickBot="1" x14ac:dyDescent="0.3">
      <c r="A43" t="s">
        <v>462</v>
      </c>
      <c r="B43" s="1" t="s">
        <v>463</v>
      </c>
      <c r="C43" s="1" t="s">
        <v>7</v>
      </c>
      <c r="D43" s="1" t="s">
        <v>415</v>
      </c>
      <c r="E43" s="6">
        <v>22806</v>
      </c>
      <c r="F43" s="1" t="str">
        <f>VLOOKUP(D43,Table17[[Name]:[Native]],3,FALSE)</f>
        <v>洱源县</v>
      </c>
      <c r="G43" s="14" t="str">
        <f ca="1">VLOOKUP(F43,Table17[[Native]:[Population4]],5,FALSE)</f>
        <v>大理白族自治州</v>
      </c>
    </row>
    <row r="44" spans="1:7" ht="15.75" thickBot="1" x14ac:dyDescent="0.3">
      <c r="A44" t="s">
        <v>464</v>
      </c>
      <c r="B44" s="1" t="s">
        <v>465</v>
      </c>
      <c r="C44" s="1" t="s">
        <v>11</v>
      </c>
      <c r="D44" s="1" t="s">
        <v>381</v>
      </c>
      <c r="E44" s="6">
        <v>31425</v>
      </c>
      <c r="F44" s="1" t="str">
        <f>VLOOKUP(D44,Table17[[Name]:[Native]],3,FALSE)</f>
        <v>宾川县</v>
      </c>
      <c r="G44" s="14" t="str">
        <f ca="1">VLOOKUP(F44,Table17[[Native]:[Population4]],5,FALSE)</f>
        <v>大理白族自治州</v>
      </c>
    </row>
    <row r="45" spans="1:7" ht="15.75" thickBot="1" x14ac:dyDescent="0.3">
      <c r="A45" t="s">
        <v>466</v>
      </c>
      <c r="B45" s="1" t="s">
        <v>467</v>
      </c>
      <c r="C45" s="1" t="s">
        <v>11</v>
      </c>
      <c r="D45" s="1" t="s">
        <v>421</v>
      </c>
      <c r="E45" s="6">
        <v>35013</v>
      </c>
      <c r="F45" s="1" t="str">
        <f>VLOOKUP(D45,Table17[[Name]:[Native]],3,FALSE)</f>
        <v>祥云县</v>
      </c>
      <c r="G45" s="14" t="str">
        <f ca="1">VLOOKUP(F45,Table17[[Native]:[Population4]],5,FALSE)</f>
        <v>大理白族自治州</v>
      </c>
    </row>
    <row r="46" spans="1:7" ht="15.75" thickBot="1" x14ac:dyDescent="0.3">
      <c r="A46" t="s">
        <v>468</v>
      </c>
      <c r="B46" s="1" t="s">
        <v>469</v>
      </c>
      <c r="C46" s="1" t="s">
        <v>7</v>
      </c>
      <c r="D46" s="1" t="s">
        <v>395</v>
      </c>
      <c r="E46" s="6">
        <v>15366</v>
      </c>
      <c r="F46" s="1" t="str">
        <f>VLOOKUP(D46,Table17[[Name]:[Native]],3,FALSE)</f>
        <v>鹤庆县</v>
      </c>
      <c r="G46" s="14" t="str">
        <f ca="1">VLOOKUP(F46,Table17[[Native]:[Population4]],5,FALSE)</f>
        <v>大理白族自治州</v>
      </c>
    </row>
    <row r="47" spans="1:7" ht="15.75" thickBot="1" x14ac:dyDescent="0.3">
      <c r="A47" t="s">
        <v>261</v>
      </c>
      <c r="B47" s="1" t="s">
        <v>262</v>
      </c>
      <c r="C47" s="1" t="s">
        <v>11</v>
      </c>
      <c r="D47" s="1" t="s">
        <v>377</v>
      </c>
      <c r="E47" s="6">
        <v>22650</v>
      </c>
      <c r="F47" s="1" t="str">
        <f>VLOOKUP(D47,Table17[[Name]:[Native]],3,FALSE)</f>
        <v>永平县</v>
      </c>
      <c r="G47" s="14" t="str">
        <f ca="1">VLOOKUP(F47,Table17[[Native]:[Population4]],5,FALSE)</f>
        <v>大理白族自治州</v>
      </c>
    </row>
    <row r="48" spans="1:7" ht="15.75" thickBot="1" x14ac:dyDescent="0.3">
      <c r="A48" t="s">
        <v>470</v>
      </c>
      <c r="B48" s="1" t="s">
        <v>471</v>
      </c>
      <c r="C48" s="1" t="s">
        <v>11</v>
      </c>
      <c r="D48" s="1" t="s">
        <v>395</v>
      </c>
      <c r="E48" s="6">
        <v>26457</v>
      </c>
      <c r="F48" s="1" t="str">
        <f>VLOOKUP(D48,Table17[[Name]:[Native]],3,FALSE)</f>
        <v>鹤庆县</v>
      </c>
      <c r="G48" s="14" t="str">
        <f ca="1">VLOOKUP(F48,Table17[[Native]:[Population4]],5,FALSE)</f>
        <v>大理白族自治州</v>
      </c>
    </row>
    <row r="49" spans="1:7" ht="15.75" thickBot="1" x14ac:dyDescent="0.3">
      <c r="A49" t="s">
        <v>472</v>
      </c>
      <c r="B49" s="1" t="s">
        <v>473</v>
      </c>
      <c r="C49" s="1" t="s">
        <v>7</v>
      </c>
      <c r="D49" s="1" t="s">
        <v>377</v>
      </c>
      <c r="E49" s="6">
        <v>11210</v>
      </c>
      <c r="F49" s="1" t="str">
        <f>VLOOKUP(D49,Table17[[Name]:[Native]],3,FALSE)</f>
        <v>永平县</v>
      </c>
      <c r="G49" s="14" t="str">
        <f ca="1">VLOOKUP(F49,Table17[[Native]:[Population4]],5,FALSE)</f>
        <v>大理白族自治州</v>
      </c>
    </row>
    <row r="50" spans="1:7" ht="15.75" thickBot="1" x14ac:dyDescent="0.3">
      <c r="A50" t="s">
        <v>474</v>
      </c>
      <c r="B50" s="1" t="s">
        <v>475</v>
      </c>
      <c r="C50" s="1" t="s">
        <v>7</v>
      </c>
      <c r="D50" s="1" t="s">
        <v>392</v>
      </c>
      <c r="E50" s="6">
        <v>6204</v>
      </c>
      <c r="F50" s="1" t="str">
        <f>VLOOKUP(D50,Table17[[Name]:[Native]],3,FALSE)</f>
        <v>漾濞彝族自治县</v>
      </c>
      <c r="G50" s="14" t="str">
        <f ca="1">VLOOKUP(F50,Table17[[Native]:[Population4]],5,FALSE)</f>
        <v>大理白族自治州</v>
      </c>
    </row>
    <row r="51" spans="1:7" ht="15.75" thickBot="1" x14ac:dyDescent="0.3">
      <c r="A51" t="s">
        <v>476</v>
      </c>
      <c r="B51" s="1" t="s">
        <v>477</v>
      </c>
      <c r="C51" s="1" t="s">
        <v>7</v>
      </c>
      <c r="D51" s="1" t="s">
        <v>421</v>
      </c>
      <c r="E51" s="6">
        <v>12689</v>
      </c>
      <c r="F51" s="1" t="str">
        <f>VLOOKUP(D51,Table17[[Name]:[Native]],3,FALSE)</f>
        <v>祥云县</v>
      </c>
      <c r="G51" s="14" t="str">
        <f ca="1">VLOOKUP(F51,Table17[[Native]:[Population4]],5,FALSE)</f>
        <v>大理白族自治州</v>
      </c>
    </row>
    <row r="52" spans="1:7" ht="15.75" thickBot="1" x14ac:dyDescent="0.3">
      <c r="A52" t="s">
        <v>478</v>
      </c>
      <c r="B52" s="1" t="s">
        <v>479</v>
      </c>
      <c r="C52" s="1" t="s">
        <v>7</v>
      </c>
      <c r="D52" s="1" t="s">
        <v>404</v>
      </c>
      <c r="E52" s="6">
        <v>15797</v>
      </c>
      <c r="F52" s="1" t="str">
        <f>VLOOKUP(D52,Table17[[Name]:[Native]],3,FALSE)</f>
        <v>巍山彝族回族自治县</v>
      </c>
      <c r="G52" s="14" t="str">
        <f ca="1">VLOOKUP(F52,Table17[[Native]:[Population4]],5,FALSE)</f>
        <v>大理白族自治州</v>
      </c>
    </row>
    <row r="53" spans="1:7" ht="15.75" thickBot="1" x14ac:dyDescent="0.3">
      <c r="A53" t="s">
        <v>480</v>
      </c>
      <c r="B53" s="1" t="s">
        <v>481</v>
      </c>
      <c r="C53" s="1" t="s">
        <v>11</v>
      </c>
      <c r="D53" s="1" t="s">
        <v>418</v>
      </c>
      <c r="E53" s="6">
        <v>19839</v>
      </c>
      <c r="F53" s="1" t="str">
        <f>VLOOKUP(D53,Table17[[Name]:[Native]],3,FALSE)</f>
        <v>剑川县</v>
      </c>
      <c r="G53" s="14" t="str">
        <f ca="1">VLOOKUP(F53,Table17[[Native]:[Population4]],5,FALSE)</f>
        <v>大理白族自治州</v>
      </c>
    </row>
    <row r="54" spans="1:7" ht="15.75" thickBot="1" x14ac:dyDescent="0.3">
      <c r="A54" t="s">
        <v>482</v>
      </c>
      <c r="B54" s="1" t="s">
        <v>483</v>
      </c>
      <c r="C54" s="1" t="s">
        <v>42</v>
      </c>
      <c r="D54" s="1" t="s">
        <v>407</v>
      </c>
      <c r="E54" s="6">
        <v>22005</v>
      </c>
      <c r="F54" s="1" t="str">
        <f>VLOOKUP(D54,Table17[[Name]:[Native]],3,FALSE)</f>
        <v>大理市</v>
      </c>
      <c r="G54" s="14" t="str">
        <f ca="1">VLOOKUP(F54,Table17[[Native]:[Population4]],5,FALSE)</f>
        <v>大理白族自治州</v>
      </c>
    </row>
    <row r="55" spans="1:7" ht="15.75" thickBot="1" x14ac:dyDescent="0.3">
      <c r="A55" t="s">
        <v>484</v>
      </c>
      <c r="B55" s="1" t="s">
        <v>485</v>
      </c>
      <c r="C55" s="1" t="s">
        <v>11</v>
      </c>
      <c r="D55" s="1" t="s">
        <v>404</v>
      </c>
      <c r="E55" s="6">
        <v>62540</v>
      </c>
      <c r="F55" s="1" t="str">
        <f>VLOOKUP(D55,Table17[[Name]:[Native]],3,FALSE)</f>
        <v>巍山彝族回族自治县</v>
      </c>
      <c r="G55" s="14" t="str">
        <f ca="1">VLOOKUP(F55,Table17[[Native]:[Population4]],5,FALSE)</f>
        <v>大理白族自治州</v>
      </c>
    </row>
    <row r="56" spans="1:7" ht="15.75" thickBot="1" x14ac:dyDescent="0.3">
      <c r="A56" t="s">
        <v>486</v>
      </c>
      <c r="B56" s="1" t="s">
        <v>487</v>
      </c>
      <c r="C56" s="1" t="s">
        <v>7</v>
      </c>
      <c r="D56" s="1" t="s">
        <v>369</v>
      </c>
      <c r="E56" s="6">
        <v>8470</v>
      </c>
      <c r="F56" s="1" t="str">
        <f>VLOOKUP(D56,Table17[[Name]:[Native]],3,FALSE)</f>
        <v>云龙县</v>
      </c>
      <c r="G56" s="14" t="str">
        <f ca="1">VLOOKUP(F56,Table17[[Native]:[Population4]],5,FALSE)</f>
        <v>大理白族自治州</v>
      </c>
    </row>
    <row r="57" spans="1:7" ht="15.75" thickBot="1" x14ac:dyDescent="0.3">
      <c r="A57" t="s">
        <v>488</v>
      </c>
      <c r="B57" s="1" t="s">
        <v>489</v>
      </c>
      <c r="C57" s="1" t="s">
        <v>11</v>
      </c>
      <c r="D57" s="1" t="s">
        <v>412</v>
      </c>
      <c r="E57" s="6">
        <v>89144</v>
      </c>
      <c r="F57" s="1" t="str">
        <f>VLOOKUP(D57,Table17[[Name]:[Native]],3,FALSE)</f>
        <v>弥渡县</v>
      </c>
      <c r="G57" s="14" t="str">
        <f ca="1">VLOOKUP(F57,Table17[[Native]:[Population4]],5,FALSE)</f>
        <v>大理白族自治州</v>
      </c>
    </row>
    <row r="58" spans="1:7" ht="15.75" thickBot="1" x14ac:dyDescent="0.3">
      <c r="A58" t="s">
        <v>490</v>
      </c>
      <c r="B58" s="1" t="s">
        <v>491</v>
      </c>
      <c r="C58" s="1" t="s">
        <v>11</v>
      </c>
      <c r="D58" s="1" t="s">
        <v>421</v>
      </c>
      <c r="E58" s="6">
        <v>28011</v>
      </c>
      <c r="F58" s="1" t="str">
        <f>VLOOKUP(D58,Table17[[Name]:[Native]],3,FALSE)</f>
        <v>祥云县</v>
      </c>
      <c r="G58" s="14" t="str">
        <f ca="1">VLOOKUP(F58,Table17[[Native]:[Population4]],5,FALSE)</f>
        <v>大理白族自治州</v>
      </c>
    </row>
    <row r="59" spans="1:7" ht="15.75" thickBot="1" x14ac:dyDescent="0.3">
      <c r="A59" t="s">
        <v>492</v>
      </c>
      <c r="B59" s="1" t="s">
        <v>493</v>
      </c>
      <c r="C59" s="1" t="s">
        <v>7</v>
      </c>
      <c r="D59" s="1" t="s">
        <v>369</v>
      </c>
      <c r="E59" s="6">
        <v>8731</v>
      </c>
      <c r="F59" s="1" t="str">
        <f>VLOOKUP(D59,Table17[[Name]:[Native]],3,FALSE)</f>
        <v>云龙县</v>
      </c>
      <c r="G59" s="14" t="str">
        <f ca="1">VLOOKUP(F59,Table17[[Native]:[Population4]],5,FALSE)</f>
        <v>大理白族自治州</v>
      </c>
    </row>
    <row r="60" spans="1:7" ht="15.75" thickBot="1" x14ac:dyDescent="0.3">
      <c r="A60" t="s">
        <v>494</v>
      </c>
      <c r="B60" s="1" t="s">
        <v>495</v>
      </c>
      <c r="C60" s="1" t="s">
        <v>7</v>
      </c>
      <c r="D60" s="1" t="s">
        <v>418</v>
      </c>
      <c r="E60" s="6">
        <v>8503</v>
      </c>
      <c r="F60" s="1" t="str">
        <f>VLOOKUP(D60,Table17[[Name]:[Native]],3,FALSE)</f>
        <v>剑川县</v>
      </c>
      <c r="G60" s="14" t="str">
        <f ca="1">VLOOKUP(F60,Table17[[Native]:[Population4]],5,FALSE)</f>
        <v>大理白族自治州</v>
      </c>
    </row>
    <row r="61" spans="1:7" ht="15.75" thickBot="1" x14ac:dyDescent="0.3">
      <c r="A61" t="s">
        <v>496</v>
      </c>
      <c r="B61" s="1" t="s">
        <v>497</v>
      </c>
      <c r="C61" s="1" t="s">
        <v>11</v>
      </c>
      <c r="D61" s="1" t="s">
        <v>412</v>
      </c>
      <c r="E61" s="6">
        <v>15489</v>
      </c>
      <c r="F61" s="1" t="str">
        <f>VLOOKUP(D61,Table17[[Name]:[Native]],3,FALSE)</f>
        <v>弥渡县</v>
      </c>
      <c r="G61" s="14" t="str">
        <f ca="1">VLOOKUP(F61,Table17[[Native]:[Population4]],5,FALSE)</f>
        <v>大理白族自治州</v>
      </c>
    </row>
    <row r="62" spans="1:7" ht="15.75" thickBot="1" x14ac:dyDescent="0.3">
      <c r="A62" t="s">
        <v>498</v>
      </c>
      <c r="B62" s="1" t="s">
        <v>499</v>
      </c>
      <c r="C62" s="1" t="s">
        <v>11</v>
      </c>
      <c r="D62" s="1" t="s">
        <v>374</v>
      </c>
      <c r="E62" s="6">
        <v>50083</v>
      </c>
      <c r="F62" s="1" t="str">
        <f>VLOOKUP(D62,Table17[[Name]:[Native]],3,FALSE)</f>
        <v>南涧彝族自治县</v>
      </c>
      <c r="G62" s="14" t="str">
        <f ca="1">VLOOKUP(F62,Table17[[Native]:[Population4]],5,FALSE)</f>
        <v>大理白族自治州</v>
      </c>
    </row>
    <row r="63" spans="1:7" ht="15.75" thickBot="1" x14ac:dyDescent="0.3">
      <c r="A63" t="s">
        <v>500</v>
      </c>
      <c r="B63" s="1" t="s">
        <v>501</v>
      </c>
      <c r="C63" s="1" t="s">
        <v>11</v>
      </c>
      <c r="D63" s="1" t="s">
        <v>404</v>
      </c>
      <c r="E63" s="6">
        <v>46468</v>
      </c>
      <c r="F63" s="1" t="str">
        <f>VLOOKUP(D63,Table17[[Name]:[Native]],3,FALSE)</f>
        <v>巍山彝族回族自治县</v>
      </c>
      <c r="G63" s="14" t="str">
        <f ca="1">VLOOKUP(F63,Table17[[Native]:[Population4]],5,FALSE)</f>
        <v>大理白族自治州</v>
      </c>
    </row>
    <row r="64" spans="1:7" ht="15.75" thickBot="1" x14ac:dyDescent="0.3">
      <c r="A64" t="s">
        <v>502</v>
      </c>
      <c r="B64" s="1" t="s">
        <v>503</v>
      </c>
      <c r="C64" s="1" t="s">
        <v>7</v>
      </c>
      <c r="D64" s="1" t="s">
        <v>404</v>
      </c>
      <c r="E64" s="6">
        <v>11639</v>
      </c>
      <c r="F64" s="1" t="str">
        <f>VLOOKUP(D64,Table17[[Name]:[Native]],3,FALSE)</f>
        <v>巍山彝族回族自治县</v>
      </c>
      <c r="G64" s="14" t="str">
        <f ca="1">VLOOKUP(F64,Table17[[Native]:[Population4]],5,FALSE)</f>
        <v>大理白族自治州</v>
      </c>
    </row>
    <row r="65" spans="1:7" ht="15.75" thickBot="1" x14ac:dyDescent="0.3">
      <c r="A65" t="s">
        <v>502</v>
      </c>
      <c r="B65" s="1" t="s">
        <v>503</v>
      </c>
      <c r="C65" s="1" t="s">
        <v>7</v>
      </c>
      <c r="D65" s="1" t="s">
        <v>415</v>
      </c>
      <c r="E65" s="6">
        <v>21507</v>
      </c>
      <c r="F65" s="1" t="str">
        <f>VLOOKUP(D65,Table17[[Name]:[Native]],3,FALSE)</f>
        <v>洱源县</v>
      </c>
      <c r="G65" s="14" t="str">
        <f ca="1">VLOOKUP(F65,Table17[[Native]:[Population4]],5,FALSE)</f>
        <v>大理白族自治州</v>
      </c>
    </row>
    <row r="66" spans="1:7" ht="15.75" thickBot="1" x14ac:dyDescent="0.3">
      <c r="A66" t="s">
        <v>504</v>
      </c>
      <c r="B66" s="1" t="s">
        <v>505</v>
      </c>
      <c r="C66" s="1" t="s">
        <v>7</v>
      </c>
      <c r="D66" s="1" t="s">
        <v>412</v>
      </c>
      <c r="E66" s="6">
        <v>19888</v>
      </c>
      <c r="F66" s="1" t="str">
        <f>VLOOKUP(D66,Table17[[Name]:[Native]],3,FALSE)</f>
        <v>弥渡县</v>
      </c>
      <c r="G66" s="14" t="str">
        <f ca="1">VLOOKUP(F66,Table17[[Native]:[Population4]],5,FALSE)</f>
        <v>大理白族自治州</v>
      </c>
    </row>
    <row r="67" spans="1:7" ht="15.75" thickBot="1" x14ac:dyDescent="0.3">
      <c r="A67" t="s">
        <v>506</v>
      </c>
      <c r="B67" s="1" t="s">
        <v>507</v>
      </c>
      <c r="C67" s="1" t="s">
        <v>11</v>
      </c>
      <c r="D67" s="1" t="s">
        <v>369</v>
      </c>
      <c r="E67" s="6">
        <v>26521</v>
      </c>
      <c r="F67" s="1" t="str">
        <f>VLOOKUP(D67,Table17[[Name]:[Native]],3,FALSE)</f>
        <v>云龙县</v>
      </c>
      <c r="G67" s="14" t="str">
        <f ca="1">VLOOKUP(F67,Table17[[Native]:[Population4]],5,FALSE)</f>
        <v>大理白族自治州</v>
      </c>
    </row>
    <row r="68" spans="1:7" ht="15.75" thickBot="1" x14ac:dyDescent="0.3">
      <c r="A68" t="s">
        <v>508</v>
      </c>
      <c r="B68" s="1" t="s">
        <v>509</v>
      </c>
      <c r="C68" s="1" t="s">
        <v>11</v>
      </c>
      <c r="D68" s="1" t="s">
        <v>381</v>
      </c>
      <c r="E68" s="6">
        <v>35135</v>
      </c>
      <c r="F68" s="1" t="str">
        <f>VLOOKUP(D68,Table17[[Name]:[Native]],3,FALSE)</f>
        <v>宾川县</v>
      </c>
      <c r="G68" s="14" t="str">
        <f ca="1">VLOOKUP(F68,Table17[[Native]:[Population4]],5,FALSE)</f>
        <v>大理白族自治州</v>
      </c>
    </row>
    <row r="69" spans="1:7" ht="15.75" thickBot="1" x14ac:dyDescent="0.3">
      <c r="A69" t="s">
        <v>510</v>
      </c>
      <c r="B69" s="1" t="s">
        <v>511</v>
      </c>
      <c r="C69" s="1" t="s">
        <v>11</v>
      </c>
      <c r="D69" s="1" t="s">
        <v>392</v>
      </c>
      <c r="E69" s="6">
        <v>8494</v>
      </c>
      <c r="F69" s="1" t="str">
        <f>VLOOKUP(D69,Table17[[Name]:[Native]],3,FALSE)</f>
        <v>漾濞彝族自治县</v>
      </c>
      <c r="G69" s="14" t="str">
        <f ca="1">VLOOKUP(F69,Table17[[Native]:[Population4]],5,FALSE)</f>
        <v>大理白族自治州</v>
      </c>
    </row>
    <row r="70" spans="1:7" ht="15.75" thickBot="1" x14ac:dyDescent="0.3">
      <c r="A70" t="s">
        <v>512</v>
      </c>
      <c r="B70" s="1" t="s">
        <v>513</v>
      </c>
      <c r="C70" s="1" t="s">
        <v>11</v>
      </c>
      <c r="D70" s="1" t="s">
        <v>421</v>
      </c>
      <c r="E70" s="6">
        <v>25480</v>
      </c>
      <c r="F70" s="1" t="str">
        <f>VLOOKUP(D70,Table17[[Name]:[Native]],3,FALSE)</f>
        <v>祥云县</v>
      </c>
      <c r="G70" s="14" t="str">
        <f ca="1">VLOOKUP(F70,Table17[[Native]:[Population4]],5,FALSE)</f>
        <v>大理白族自治州</v>
      </c>
    </row>
    <row r="71" spans="1:7" ht="15.75" thickBot="1" x14ac:dyDescent="0.3">
      <c r="A71" t="s">
        <v>514</v>
      </c>
      <c r="B71" s="1" t="s">
        <v>515</v>
      </c>
      <c r="C71" s="1" t="s">
        <v>11</v>
      </c>
      <c r="D71" s="1" t="s">
        <v>381</v>
      </c>
      <c r="E71" s="6">
        <v>21674</v>
      </c>
      <c r="F71" s="1" t="str">
        <f>VLOOKUP(D71,Table17[[Name]:[Native]],3,FALSE)</f>
        <v>宾川县</v>
      </c>
      <c r="G71" s="14" t="str">
        <f ca="1">VLOOKUP(F71,Table17[[Native]:[Population4]],5,FALSE)</f>
        <v>大理白族自治州</v>
      </c>
    </row>
    <row r="72" spans="1:7" ht="15.75" thickBot="1" x14ac:dyDescent="0.3">
      <c r="A72" t="s">
        <v>516</v>
      </c>
      <c r="B72" s="1" t="s">
        <v>517</v>
      </c>
      <c r="C72" s="1" t="s">
        <v>11</v>
      </c>
      <c r="D72" s="1" t="s">
        <v>415</v>
      </c>
      <c r="E72" s="6">
        <v>20406</v>
      </c>
      <c r="F72" s="1" t="str">
        <f>VLOOKUP(D72,Table17[[Name]:[Native]],3,FALSE)</f>
        <v>洱源县</v>
      </c>
      <c r="G72" s="14" t="str">
        <f ca="1">VLOOKUP(F72,Table17[[Native]:[Population4]],5,FALSE)</f>
        <v>大理白族自治州</v>
      </c>
    </row>
    <row r="73" spans="1:7" ht="15.75" thickBot="1" x14ac:dyDescent="0.3">
      <c r="A73" t="s">
        <v>518</v>
      </c>
      <c r="B73" s="1" t="s">
        <v>519</v>
      </c>
      <c r="C73" s="1" t="s">
        <v>7</v>
      </c>
      <c r="D73" s="1" t="s">
        <v>404</v>
      </c>
      <c r="E73" s="6">
        <v>14703</v>
      </c>
      <c r="F73" s="1" t="str">
        <f>VLOOKUP(D73,Table17[[Name]:[Native]],3,FALSE)</f>
        <v>巍山彝族回族自治县</v>
      </c>
      <c r="G73" s="14" t="str">
        <f ca="1">VLOOKUP(F73,Table17[[Native]:[Population4]],5,FALSE)</f>
        <v>大理白族自治州</v>
      </c>
    </row>
    <row r="74" spans="1:7" ht="15.75" thickBot="1" x14ac:dyDescent="0.3">
      <c r="A74" t="s">
        <v>520</v>
      </c>
      <c r="B74" s="1" t="s">
        <v>521</v>
      </c>
      <c r="C74" s="1" t="s">
        <v>11</v>
      </c>
      <c r="D74" s="1" t="s">
        <v>415</v>
      </c>
      <c r="E74" s="6">
        <v>36048</v>
      </c>
      <c r="F74" s="1" t="str">
        <f>VLOOKUP(D74,Table17[[Name]:[Native]],3,FALSE)</f>
        <v>洱源县</v>
      </c>
      <c r="G74" s="14" t="str">
        <f ca="1">VLOOKUP(F74,Table17[[Native]:[Population4]],5,FALSE)</f>
        <v>大理白族自治州</v>
      </c>
    </row>
    <row r="75" spans="1:7" ht="15.75" thickBot="1" x14ac:dyDescent="0.3">
      <c r="A75" t="s">
        <v>522</v>
      </c>
      <c r="B75" s="1" t="s">
        <v>523</v>
      </c>
      <c r="C75" s="1" t="s">
        <v>11</v>
      </c>
      <c r="D75" s="1" t="s">
        <v>421</v>
      </c>
      <c r="E75" s="6">
        <v>30843</v>
      </c>
      <c r="F75" s="1" t="str">
        <f>VLOOKUP(D75,Table17[[Name]:[Native]],3,FALSE)</f>
        <v>祥云县</v>
      </c>
      <c r="G75" s="14" t="str">
        <f ca="1">VLOOKUP(F75,Table17[[Native]:[Population4]],5,FALSE)</f>
        <v>大理白族自治州</v>
      </c>
    </row>
    <row r="76" spans="1:7" ht="15.75" thickBot="1" x14ac:dyDescent="0.3">
      <c r="A76" t="s">
        <v>524</v>
      </c>
      <c r="B76" s="1" t="s">
        <v>525</v>
      </c>
      <c r="C76" s="1" t="s">
        <v>11</v>
      </c>
      <c r="D76" s="1" t="s">
        <v>407</v>
      </c>
      <c r="E76" s="6">
        <v>38922</v>
      </c>
      <c r="F76" s="1" t="str">
        <f>VLOOKUP(D76,Table17[[Name]:[Native]],3,FALSE)</f>
        <v>大理市</v>
      </c>
      <c r="G76" s="14" t="str">
        <f ca="1">VLOOKUP(F76,Table17[[Native]:[Population4]],5,FALSE)</f>
        <v>大理白族自治州</v>
      </c>
    </row>
    <row r="77" spans="1:7" ht="15.75" thickBot="1" x14ac:dyDescent="0.3">
      <c r="A77" t="s">
        <v>526</v>
      </c>
      <c r="B77" s="1" t="s">
        <v>527</v>
      </c>
      <c r="C77" s="1" t="s">
        <v>11</v>
      </c>
      <c r="D77" s="1" t="s">
        <v>377</v>
      </c>
      <c r="E77" s="6">
        <v>37370</v>
      </c>
      <c r="F77" s="1" t="str">
        <f>VLOOKUP(D77,Table17[[Name]:[Native]],3,FALSE)</f>
        <v>永平县</v>
      </c>
      <c r="G77" s="14" t="str">
        <f ca="1">VLOOKUP(F77,Table17[[Native]:[Population4]],5,FALSE)</f>
        <v>大理白族自治州</v>
      </c>
    </row>
    <row r="78" spans="1:7" ht="15.75" thickBot="1" x14ac:dyDescent="0.3">
      <c r="A78" t="s">
        <v>528</v>
      </c>
      <c r="B78" s="1" t="s">
        <v>529</v>
      </c>
      <c r="C78" s="1" t="s">
        <v>11</v>
      </c>
      <c r="D78" s="1" t="s">
        <v>418</v>
      </c>
      <c r="E78" s="6">
        <v>21761</v>
      </c>
      <c r="F78" s="1" t="str">
        <f>VLOOKUP(D78,Table17[[Name]:[Native]],3,FALSE)</f>
        <v>剑川县</v>
      </c>
      <c r="G78" s="14" t="str">
        <f ca="1">VLOOKUP(F78,Table17[[Native]:[Population4]],5,FALSE)</f>
        <v>大理白族自治州</v>
      </c>
    </row>
    <row r="79" spans="1:7" ht="15.75" thickBot="1" x14ac:dyDescent="0.3">
      <c r="A79" t="s">
        <v>530</v>
      </c>
      <c r="B79" s="1" t="s">
        <v>531</v>
      </c>
      <c r="C79" s="1" t="s">
        <v>11</v>
      </c>
      <c r="D79" s="1" t="s">
        <v>407</v>
      </c>
      <c r="E79" s="6">
        <v>16472</v>
      </c>
      <c r="F79" s="1" t="str">
        <f>VLOOKUP(D79,Table17[[Name]:[Native]],3,FALSE)</f>
        <v>大理市</v>
      </c>
      <c r="G79" s="14" t="str">
        <f ca="1">VLOOKUP(F79,Table17[[Native]:[Population4]],5,FALSE)</f>
        <v>大理白族自治州</v>
      </c>
    </row>
    <row r="80" spans="1:7" ht="15.75" thickBot="1" x14ac:dyDescent="0.3">
      <c r="A80" t="s">
        <v>532</v>
      </c>
      <c r="B80" s="1" t="s">
        <v>533</v>
      </c>
      <c r="C80" s="1" t="s">
        <v>7</v>
      </c>
      <c r="D80" s="1" t="s">
        <v>377</v>
      </c>
      <c r="E80" s="6">
        <v>16318</v>
      </c>
      <c r="F80" s="1" t="str">
        <f>VLOOKUP(D80,Table17[[Name]:[Native]],3,FALSE)</f>
        <v>永平县</v>
      </c>
      <c r="G80" s="14" t="str">
        <f ca="1">VLOOKUP(F80,Table17[[Native]:[Population4]],5,FALSE)</f>
        <v>大理白族自治州</v>
      </c>
    </row>
    <row r="81" spans="1:7" ht="15.75" thickBot="1" x14ac:dyDescent="0.3">
      <c r="A81" t="s">
        <v>534</v>
      </c>
      <c r="B81" s="1" t="s">
        <v>535</v>
      </c>
      <c r="C81" s="1" t="s">
        <v>11</v>
      </c>
      <c r="D81" s="1" t="s">
        <v>392</v>
      </c>
      <c r="E81" s="6">
        <v>6522</v>
      </c>
      <c r="F81" s="1" t="str">
        <f>VLOOKUP(D81,Table17[[Name]:[Native]],3,FALSE)</f>
        <v>漾濞彝族自治县</v>
      </c>
      <c r="G81" s="14" t="str">
        <f ca="1">VLOOKUP(F81,Table17[[Native]:[Population4]],5,FALSE)</f>
        <v>大理白族自治州</v>
      </c>
    </row>
    <row r="82" spans="1:7" ht="15.75" thickBot="1" x14ac:dyDescent="0.3">
      <c r="A82" t="s">
        <v>536</v>
      </c>
      <c r="B82" s="1" t="s">
        <v>537</v>
      </c>
      <c r="C82" s="1" t="s">
        <v>11</v>
      </c>
      <c r="D82" s="1" t="s">
        <v>395</v>
      </c>
      <c r="E82" s="6">
        <v>28900</v>
      </c>
      <c r="F82" s="1" t="str">
        <f>VLOOKUP(D82,Table17[[Name]:[Native]],3,FALSE)</f>
        <v>鹤庆县</v>
      </c>
      <c r="G82" s="14" t="str">
        <f ca="1">VLOOKUP(F82,Table17[[Native]:[Population4]],5,FALSE)</f>
        <v>大理白族自治州</v>
      </c>
    </row>
    <row r="83" spans="1:7" ht="15.75" thickBot="1" x14ac:dyDescent="0.3">
      <c r="A83" s="1" t="s">
        <v>538</v>
      </c>
      <c r="B83" s="1" t="s">
        <v>539</v>
      </c>
      <c r="C83" s="1" t="s">
        <v>380</v>
      </c>
      <c r="D83" s="1" t="s">
        <v>381</v>
      </c>
      <c r="E83" s="6">
        <v>4201</v>
      </c>
      <c r="F83" s="1" t="str">
        <f>VLOOKUP(D83,Table17[[Name]:[Native]],3,FALSE)</f>
        <v>宾川县</v>
      </c>
      <c r="G83" s="14" t="str">
        <f ca="1">VLOOKUP(F83,Table17[[Native]:[Population4]],5,FALSE)</f>
        <v>大理白族自治州</v>
      </c>
    </row>
    <row r="84" spans="1:7" ht="15.75" thickBot="1" x14ac:dyDescent="0.3">
      <c r="A84" t="s">
        <v>540</v>
      </c>
      <c r="B84" s="1" t="s">
        <v>541</v>
      </c>
      <c r="C84" s="1" t="s">
        <v>42</v>
      </c>
      <c r="D84" s="1" t="s">
        <v>407</v>
      </c>
      <c r="E84" s="6">
        <v>45432</v>
      </c>
      <c r="F84" s="1" t="str">
        <f>VLOOKUP(D84,Table17[[Name]:[Native]],3,FALSE)</f>
        <v>大理市</v>
      </c>
      <c r="G84" s="14" t="str">
        <f ca="1">VLOOKUP(F84,Table17[[Native]:[Population4]],5,FALSE)</f>
        <v>大理白族自治州</v>
      </c>
    </row>
    <row r="85" spans="1:7" ht="15.75" thickBot="1" x14ac:dyDescent="0.3">
      <c r="A85" t="s">
        <v>542</v>
      </c>
      <c r="B85" s="1" t="s">
        <v>543</v>
      </c>
      <c r="C85" s="1" t="s">
        <v>7</v>
      </c>
      <c r="D85" s="1" t="s">
        <v>392</v>
      </c>
      <c r="E85" s="6">
        <v>6717</v>
      </c>
      <c r="F85" s="1" t="str">
        <f>VLOOKUP(D85,Table17[[Name]:[Native]],3,FALSE)</f>
        <v>漾濞彝族自治县</v>
      </c>
      <c r="G85" s="14" t="str">
        <f ca="1">VLOOKUP(F85,Table17[[Native]:[Population4]],5,FALSE)</f>
        <v>大理白族自治州</v>
      </c>
    </row>
    <row r="86" spans="1:7" ht="15.75" thickBot="1" x14ac:dyDescent="0.3">
      <c r="A86" t="s">
        <v>544</v>
      </c>
      <c r="B86" s="1" t="s">
        <v>545</v>
      </c>
      <c r="C86" s="1" t="s">
        <v>7</v>
      </c>
      <c r="D86" s="1" t="s">
        <v>407</v>
      </c>
      <c r="E86" s="6">
        <v>7581</v>
      </c>
      <c r="F86" s="1" t="str">
        <f>VLOOKUP(D86,Table17[[Name]:[Native]],3,FALSE)</f>
        <v>大理市</v>
      </c>
      <c r="G86" s="14" t="str">
        <f ca="1">VLOOKUP(F86,Table17[[Native]:[Population4]],5,FALSE)</f>
        <v>大理白族自治州</v>
      </c>
    </row>
    <row r="87" spans="1:7" ht="15.75" thickBot="1" x14ac:dyDescent="0.3">
      <c r="A87" t="s">
        <v>546</v>
      </c>
      <c r="B87" s="1" t="s">
        <v>547</v>
      </c>
      <c r="C87" s="1" t="s">
        <v>7</v>
      </c>
      <c r="D87" s="1" t="s">
        <v>369</v>
      </c>
      <c r="E87" s="6">
        <v>10720</v>
      </c>
      <c r="F87" s="1" t="str">
        <f>VLOOKUP(D87,Table17[[Name]:[Native]],3,FALSE)</f>
        <v>云龙县</v>
      </c>
      <c r="G87" s="14" t="str">
        <f ca="1">VLOOKUP(F87,Table17[[Native]:[Population4]],5,FALSE)</f>
        <v>大理白族自治州</v>
      </c>
    </row>
    <row r="88" spans="1:7" ht="15.75" thickBot="1" x14ac:dyDescent="0.3">
      <c r="A88" t="s">
        <v>548</v>
      </c>
      <c r="B88" s="1" t="s">
        <v>549</v>
      </c>
      <c r="C88" s="1" t="s">
        <v>7</v>
      </c>
      <c r="D88" s="1" t="s">
        <v>392</v>
      </c>
      <c r="E88" s="6">
        <v>5187</v>
      </c>
      <c r="F88" s="1" t="str">
        <f>VLOOKUP(D88,Table17[[Name]:[Native]],3,FALSE)</f>
        <v>漾濞彝族自治县</v>
      </c>
      <c r="G88" s="14" t="str">
        <f ca="1">VLOOKUP(F88,Table17[[Native]:[Population4]],5,FALSE)</f>
        <v>大理白族自治州</v>
      </c>
    </row>
    <row r="89" spans="1:7" ht="15.75" thickBot="1" x14ac:dyDescent="0.3">
      <c r="A89" t="s">
        <v>550</v>
      </c>
      <c r="B89" s="1" t="s">
        <v>551</v>
      </c>
      <c r="C89" s="1" t="s">
        <v>11</v>
      </c>
      <c r="D89" s="1" t="s">
        <v>407</v>
      </c>
      <c r="E89" s="6">
        <v>20784</v>
      </c>
      <c r="F89" s="1" t="str">
        <f>VLOOKUP(D89,Table17[[Name]:[Native]],3,FALSE)</f>
        <v>大理市</v>
      </c>
      <c r="G89" s="14" t="str">
        <f ca="1">VLOOKUP(F89,Table17[[Native]:[Population4]],5,FALSE)</f>
        <v>大理白族自治州</v>
      </c>
    </row>
    <row r="90" spans="1:7" ht="15.75" thickBot="1" x14ac:dyDescent="0.3">
      <c r="A90" t="s">
        <v>552</v>
      </c>
      <c r="B90" s="1" t="s">
        <v>553</v>
      </c>
      <c r="C90" s="1" t="s">
        <v>11</v>
      </c>
      <c r="D90" s="1" t="s">
        <v>407</v>
      </c>
      <c r="E90" s="6">
        <v>16873</v>
      </c>
      <c r="F90" s="1" t="str">
        <f>VLOOKUP(D90,Table17[[Name]:[Native]],3,FALSE)</f>
        <v>大理市</v>
      </c>
      <c r="G90" s="14" t="str">
        <f ca="1">VLOOKUP(F90,Table17[[Native]:[Population4]],5,FALSE)</f>
        <v>大理白族自治州</v>
      </c>
    </row>
    <row r="91" spans="1:7" ht="15.75" thickBot="1" x14ac:dyDescent="0.3">
      <c r="A91" t="s">
        <v>554</v>
      </c>
      <c r="B91" s="1" t="s">
        <v>555</v>
      </c>
      <c r="C91" s="1" t="s">
        <v>7</v>
      </c>
      <c r="D91" s="1" t="s">
        <v>404</v>
      </c>
      <c r="E91" s="6">
        <v>11981</v>
      </c>
      <c r="F91" s="1" t="str">
        <f>VLOOKUP(D91,Table17[[Name]:[Native]],3,FALSE)</f>
        <v>巍山彝族回族自治县</v>
      </c>
      <c r="G91" s="14" t="str">
        <f ca="1">VLOOKUP(F91,Table17[[Native]:[Population4]],5,FALSE)</f>
        <v>大理白族自治州</v>
      </c>
    </row>
    <row r="92" spans="1:7" ht="15.75" thickBot="1" x14ac:dyDescent="0.3">
      <c r="A92" t="s">
        <v>556</v>
      </c>
      <c r="B92" s="1" t="s">
        <v>557</v>
      </c>
      <c r="C92" s="1" t="s">
        <v>11</v>
      </c>
      <c r="D92" s="1" t="s">
        <v>374</v>
      </c>
      <c r="E92" s="6">
        <v>34202</v>
      </c>
      <c r="F92" s="1" t="str">
        <f>VLOOKUP(D92,Table17[[Name]:[Native]],3,FALSE)</f>
        <v>南涧彝族自治县</v>
      </c>
      <c r="G92" s="14" t="str">
        <f ca="1">VLOOKUP(F92,Table17[[Native]:[Population4]],5,FALSE)</f>
        <v>大理白族自治州</v>
      </c>
    </row>
    <row r="93" spans="1:7" ht="15.75" thickBot="1" x14ac:dyDescent="0.3">
      <c r="A93" t="s">
        <v>558</v>
      </c>
      <c r="B93" s="1" t="s">
        <v>559</v>
      </c>
      <c r="C93" s="1" t="s">
        <v>7</v>
      </c>
      <c r="D93" s="1" t="s">
        <v>404</v>
      </c>
      <c r="E93" s="6">
        <v>24401</v>
      </c>
      <c r="F93" s="1" t="str">
        <f>VLOOKUP(D93,Table17[[Name]:[Native]],3,FALSE)</f>
        <v>巍山彝族回族自治县</v>
      </c>
      <c r="G93" s="14" t="str">
        <f ca="1">VLOOKUP(F93,Table17[[Native]:[Population4]],5,FALSE)</f>
        <v>大理白族自治州</v>
      </c>
    </row>
    <row r="94" spans="1:7" ht="15.75" thickBot="1" x14ac:dyDescent="0.3">
      <c r="A94" t="s">
        <v>560</v>
      </c>
      <c r="B94" s="1" t="s">
        <v>561</v>
      </c>
      <c r="C94" s="1" t="s">
        <v>42</v>
      </c>
      <c r="D94" s="1" t="s">
        <v>407</v>
      </c>
      <c r="E94" s="6">
        <v>235305</v>
      </c>
      <c r="F94" s="1" t="str">
        <f>VLOOKUP(D94,Table17[[Name]:[Native]],3,FALSE)</f>
        <v>大理市</v>
      </c>
      <c r="G94" s="14" t="str">
        <f ca="1">VLOOKUP(F94,Table17[[Native]:[Population4]],5,FALSE)</f>
        <v>大理白族自治州</v>
      </c>
    </row>
    <row r="95" spans="1:7" ht="15.75" thickBot="1" x14ac:dyDescent="0.3">
      <c r="A95" t="s">
        <v>562</v>
      </c>
      <c r="B95" s="1" t="s">
        <v>563</v>
      </c>
      <c r="C95" s="1" t="s">
        <v>11</v>
      </c>
      <c r="D95" s="1" t="s">
        <v>421</v>
      </c>
      <c r="E95" s="6">
        <v>121959</v>
      </c>
      <c r="F95" s="1" t="str">
        <f>VLOOKUP(D95,Table17[[Name]:[Native]],3,FALSE)</f>
        <v>祥云县</v>
      </c>
      <c r="G95" s="14" t="str">
        <f ca="1">VLOOKUP(F95,Table17[[Native]:[Population4]],5,FALSE)</f>
        <v>大理白族自治州</v>
      </c>
    </row>
    <row r="96" spans="1:7" ht="15.75" thickBot="1" x14ac:dyDescent="0.3">
      <c r="A96" t="s">
        <v>564</v>
      </c>
      <c r="B96" s="1" t="s">
        <v>565</v>
      </c>
      <c r="C96" s="1" t="s">
        <v>7</v>
      </c>
      <c r="D96" s="1" t="s">
        <v>418</v>
      </c>
      <c r="E96" s="6">
        <v>5140</v>
      </c>
      <c r="F96" s="1" t="str">
        <f>VLOOKUP(D96,Table17[[Name]:[Native]],3,FALSE)</f>
        <v>剑川县</v>
      </c>
      <c r="G96" s="14" t="str">
        <f ca="1">VLOOKUP(F96,Table17[[Native]:[Population4]],5,FALSE)</f>
        <v>大理白族自治州</v>
      </c>
    </row>
    <row r="97" spans="1:7" ht="15.75" thickBot="1" x14ac:dyDescent="0.3">
      <c r="A97" t="s">
        <v>566</v>
      </c>
      <c r="B97" s="1" t="s">
        <v>567</v>
      </c>
      <c r="C97" s="1" t="s">
        <v>11</v>
      </c>
      <c r="D97" s="1" t="s">
        <v>374</v>
      </c>
      <c r="E97" s="6">
        <v>18104</v>
      </c>
      <c r="F97" s="1" t="str">
        <f>VLOOKUP(D97,Table17[[Name]:[Native]],3,FALSE)</f>
        <v>南涧彝族自治县</v>
      </c>
      <c r="G97" s="14" t="str">
        <f ca="1">VLOOKUP(F97,Table17[[Native]:[Population4]],5,FALSE)</f>
        <v>大理白族自治州</v>
      </c>
    </row>
    <row r="98" spans="1:7" ht="15.75" thickBot="1" x14ac:dyDescent="0.3">
      <c r="A98" t="s">
        <v>568</v>
      </c>
      <c r="B98" s="1" t="s">
        <v>569</v>
      </c>
      <c r="C98" s="1" t="s">
        <v>11</v>
      </c>
      <c r="D98" s="1" t="s">
        <v>421</v>
      </c>
      <c r="E98" s="6">
        <v>53954</v>
      </c>
      <c r="F98" s="1" t="str">
        <f>VLOOKUP(D98,Table17[[Name]:[Native]],3,FALSE)</f>
        <v>祥云县</v>
      </c>
      <c r="G98" s="14" t="str">
        <f ca="1">VLOOKUP(F98,Table17[[Native]:[Population4]],5,FALSE)</f>
        <v>大理白族自治州</v>
      </c>
    </row>
    <row r="99" spans="1:7" ht="15.75" thickBot="1" x14ac:dyDescent="0.3">
      <c r="A99" t="s">
        <v>331</v>
      </c>
      <c r="B99" s="1" t="s">
        <v>332</v>
      </c>
      <c r="C99" s="1" t="s">
        <v>11</v>
      </c>
      <c r="D99" s="1" t="s">
        <v>412</v>
      </c>
      <c r="E99" s="6">
        <v>49446</v>
      </c>
      <c r="F99" s="1" t="str">
        <f>VLOOKUP(D99,Table17[[Name]:[Native]],3,FALSE)</f>
        <v>弥渡县</v>
      </c>
      <c r="G99" s="14" t="str">
        <f ca="1">VLOOKUP(F99,Table17[[Native]:[Population4]],5,FALSE)</f>
        <v>大理白族自治州</v>
      </c>
    </row>
    <row r="100" spans="1:7" ht="15.75" thickBot="1" x14ac:dyDescent="0.3">
      <c r="A100" t="s">
        <v>570</v>
      </c>
      <c r="B100" s="1" t="s">
        <v>571</v>
      </c>
      <c r="C100" s="1" t="s">
        <v>11</v>
      </c>
      <c r="D100" s="1" t="s">
        <v>395</v>
      </c>
      <c r="E100" s="6">
        <v>34649</v>
      </c>
      <c r="F100" s="1" t="str">
        <f>VLOOKUP(D100,Table17[[Name]:[Native]],3,FALSE)</f>
        <v>鹤庆县</v>
      </c>
      <c r="G100" s="14" t="str">
        <f ca="1">VLOOKUP(F100,Table17[[Native]:[Population4]],5,FALSE)</f>
        <v>大理白族自治州</v>
      </c>
    </row>
    <row r="101" spans="1:7" ht="15.75" thickBot="1" x14ac:dyDescent="0.3">
      <c r="A101" t="s">
        <v>572</v>
      </c>
      <c r="B101" s="1" t="s">
        <v>573</v>
      </c>
      <c r="C101" s="1" t="s">
        <v>7</v>
      </c>
      <c r="D101" s="1" t="s">
        <v>415</v>
      </c>
      <c r="E101" s="6">
        <v>12707</v>
      </c>
      <c r="F101" s="1" t="str">
        <f>VLOOKUP(D101,Table17[[Name]:[Native]],3,FALSE)</f>
        <v>洱源县</v>
      </c>
      <c r="G101" s="14" t="str">
        <f ca="1">VLOOKUP(F101,Table17[[Native]:[Population4]],5,FALSE)</f>
        <v>大理白族自治州</v>
      </c>
    </row>
    <row r="102" spans="1:7" ht="15.75" thickBot="1" x14ac:dyDescent="0.3">
      <c r="A102" t="s">
        <v>574</v>
      </c>
      <c r="B102" s="1" t="s">
        <v>575</v>
      </c>
      <c r="C102" s="1" t="s">
        <v>11</v>
      </c>
      <c r="D102" s="1" t="s">
        <v>395</v>
      </c>
      <c r="E102" s="6">
        <v>14372</v>
      </c>
      <c r="F102" s="1" t="str">
        <f>VLOOKUP(D102,Table17[[Name]:[Native]],3,FALSE)</f>
        <v>鹤庆县</v>
      </c>
      <c r="G102" s="14" t="str">
        <f ca="1">VLOOKUP(F102,Table17[[Native]:[Population4]],5,FALSE)</f>
        <v>大理白族自治州</v>
      </c>
    </row>
    <row r="103" spans="1:7" ht="15.75" thickBot="1" x14ac:dyDescent="0.3">
      <c r="A103" t="s">
        <v>576</v>
      </c>
      <c r="B103" s="1" t="s">
        <v>577</v>
      </c>
      <c r="C103" s="1" t="s">
        <v>11</v>
      </c>
      <c r="D103" s="1" t="s">
        <v>407</v>
      </c>
      <c r="E103" s="6">
        <v>54939</v>
      </c>
      <c r="F103" s="1" t="str">
        <f>VLOOKUP(D103,Table17[[Name]:[Native]],3,FALSE)</f>
        <v>大理市</v>
      </c>
      <c r="G103" s="14" t="str">
        <f ca="1">VLOOKUP(F103,Table17[[Native]:[Population4]],5,FALSE)</f>
        <v>大理白族自治州</v>
      </c>
    </row>
    <row r="104" spans="1:7" ht="15.75" thickBot="1" x14ac:dyDescent="0.3">
      <c r="A104" t="s">
        <v>578</v>
      </c>
      <c r="B104" s="1" t="s">
        <v>579</v>
      </c>
      <c r="C104" s="1" t="s">
        <v>7</v>
      </c>
      <c r="D104" s="1" t="s">
        <v>418</v>
      </c>
      <c r="E104" s="6">
        <v>12670</v>
      </c>
      <c r="F104" s="1" t="str">
        <f>VLOOKUP(D104,Table17[[Name]:[Native]],3,FALSE)</f>
        <v>剑川县</v>
      </c>
      <c r="G104" s="14" t="str">
        <f ca="1">VLOOKUP(F104,Table17[[Native]:[Population4]],5,FALSE)</f>
        <v>大理白族自治州</v>
      </c>
    </row>
    <row r="105" spans="1:7" ht="15.75" thickBot="1" x14ac:dyDescent="0.3">
      <c r="A105" t="s">
        <v>580</v>
      </c>
      <c r="B105" s="1" t="s">
        <v>581</v>
      </c>
      <c r="C105" s="1" t="s">
        <v>11</v>
      </c>
      <c r="D105" s="1" t="s">
        <v>392</v>
      </c>
      <c r="E105" s="6">
        <v>15272</v>
      </c>
      <c r="F105" s="1" t="str">
        <f>VLOOKUP(D105,Table17[[Name]:[Native]],3,FALSE)</f>
        <v>漾濞彝族自治县</v>
      </c>
      <c r="G105" s="14" t="str">
        <f ca="1">VLOOKUP(F105,Table17[[Native]:[Population4]],5,FALSE)</f>
        <v>大理白族自治州</v>
      </c>
    </row>
    <row r="106" spans="1:7" ht="15.75" thickBot="1" x14ac:dyDescent="0.3">
      <c r="A106" t="s">
        <v>582</v>
      </c>
      <c r="B106" s="1" t="s">
        <v>583</v>
      </c>
      <c r="C106" s="1" t="s">
        <v>11</v>
      </c>
      <c r="D106" s="1" t="s">
        <v>412</v>
      </c>
      <c r="E106" s="6">
        <v>43993</v>
      </c>
      <c r="F106" s="1" t="str">
        <f>VLOOKUP(D106,Table17[[Name]:[Native]],3,FALSE)</f>
        <v>弥渡县</v>
      </c>
      <c r="G106" s="14" t="str">
        <f ca="1">VLOOKUP(F106,Table17[[Native]:[Population4]],5,FALSE)</f>
        <v>大理白族自治州</v>
      </c>
    </row>
    <row r="107" spans="1:7" ht="15.75" thickBot="1" x14ac:dyDescent="0.3">
      <c r="A107" t="s">
        <v>584</v>
      </c>
      <c r="B107" s="1" t="s">
        <v>585</v>
      </c>
      <c r="C107" s="1" t="s">
        <v>11</v>
      </c>
      <c r="D107" s="1" t="s">
        <v>407</v>
      </c>
      <c r="E107" s="6">
        <v>28002</v>
      </c>
      <c r="F107" s="1" t="str">
        <f>VLOOKUP(D107,Table17[[Name]:[Native]],3,FALSE)</f>
        <v>大理市</v>
      </c>
      <c r="G107" s="14" t="str">
        <f ca="1">VLOOKUP(F107,Table17[[Native]:[Population4]],5,FALSE)</f>
        <v>大理白族自治州</v>
      </c>
    </row>
    <row r="108" spans="1:7" ht="15.75" thickBot="1" x14ac:dyDescent="0.3">
      <c r="A108" t="s">
        <v>586</v>
      </c>
      <c r="B108" s="1" t="s">
        <v>587</v>
      </c>
      <c r="C108" s="1" t="s">
        <v>7</v>
      </c>
      <c r="D108" s="1" t="s">
        <v>374</v>
      </c>
      <c r="E108" s="6">
        <v>18000</v>
      </c>
      <c r="F108" s="1" t="str">
        <f>VLOOKUP(D108,Table17[[Name]:[Native]],3,FALSE)</f>
        <v>南涧彝族自治县</v>
      </c>
      <c r="G108" s="14" t="str">
        <f ca="1">VLOOKUP(F108,Table17[[Native]:[Population4]],5,FALSE)</f>
        <v>大理白族自治州</v>
      </c>
    </row>
    <row r="109" spans="1:7" ht="15.75" thickBot="1" x14ac:dyDescent="0.3">
      <c r="A109" t="s">
        <v>588</v>
      </c>
      <c r="B109" s="1" t="s">
        <v>589</v>
      </c>
      <c r="C109" s="1" t="s">
        <v>11</v>
      </c>
      <c r="D109" s="1" t="s">
        <v>404</v>
      </c>
      <c r="E109" s="6">
        <v>53970</v>
      </c>
      <c r="F109" s="1" t="str">
        <f>VLOOKUP(D109,Table17[[Name]:[Native]],3,FALSE)</f>
        <v>巍山彝族回族自治县</v>
      </c>
      <c r="G109" s="14" t="str">
        <f ca="1">VLOOKUP(F109,Table17[[Native]:[Population4]],5,FALSE)</f>
        <v>大理白族自治州</v>
      </c>
    </row>
    <row r="110" spans="1:7" ht="15.75" thickBot="1" x14ac:dyDescent="0.3">
      <c r="A110" t="s">
        <v>590</v>
      </c>
      <c r="B110" s="1" t="s">
        <v>591</v>
      </c>
      <c r="C110" s="1" t="s">
        <v>11</v>
      </c>
      <c r="D110" s="1" t="s">
        <v>415</v>
      </c>
      <c r="E110" s="6">
        <v>53233</v>
      </c>
      <c r="F110" s="1" t="str">
        <f>VLOOKUP(D110,Table17[[Name]:[Native]],3,FALSE)</f>
        <v>洱源县</v>
      </c>
      <c r="G110" s="14" t="str">
        <f ca="1">VLOOKUP(F110,Table17[[Native]:[Population4]],5,FALSE)</f>
        <v>大理白族自治州</v>
      </c>
    </row>
    <row r="111" spans="1:7" ht="15.75" thickBot="1" x14ac:dyDescent="0.3">
      <c r="A111" t="s">
        <v>592</v>
      </c>
      <c r="B111" s="1" t="s">
        <v>593</v>
      </c>
      <c r="C111" s="1" t="s">
        <v>11</v>
      </c>
      <c r="D111" s="1" t="s">
        <v>395</v>
      </c>
      <c r="E111" s="6">
        <v>27777</v>
      </c>
      <c r="F111" s="1" t="str">
        <f>VLOOKUP(D111,Table17[[Name]:[Native]],3,FALSE)</f>
        <v>鹤庆县</v>
      </c>
      <c r="G111" s="14" t="str">
        <f ca="1">VLOOKUP(F111,Table17[[Native]:[Population4]],5,FALSE)</f>
        <v>大理白族自治州</v>
      </c>
    </row>
    <row r="112" spans="1:7" ht="15.75" thickBot="1" x14ac:dyDescent="0.3">
      <c r="A112" t="s">
        <v>594</v>
      </c>
      <c r="B112" s="1" t="s">
        <v>595</v>
      </c>
      <c r="C112" s="1" t="s">
        <v>11</v>
      </c>
      <c r="D112" s="1" t="s">
        <v>421</v>
      </c>
      <c r="E112" s="6">
        <v>93671</v>
      </c>
      <c r="F112" s="1" t="str">
        <f>VLOOKUP(D112,Table17[[Name]:[Native]],3,FALSE)</f>
        <v>祥云县</v>
      </c>
      <c r="G112" s="14" t="str">
        <f ca="1">VLOOKUP(F112,Table17[[Native]:[Population4]],5,FALSE)</f>
        <v>大理白族自治州</v>
      </c>
    </row>
    <row r="113" spans="1:7" ht="15.75" thickBot="1" x14ac:dyDescent="0.3">
      <c r="A113" t="s">
        <v>596</v>
      </c>
      <c r="B113" s="1" t="s">
        <v>597</v>
      </c>
      <c r="C113" s="1" t="s">
        <v>7</v>
      </c>
      <c r="D113" s="1" t="s">
        <v>381</v>
      </c>
      <c r="E113" s="6">
        <v>10115</v>
      </c>
      <c r="F113" s="1" t="str">
        <f>VLOOKUP(D113,Table17[[Name]:[Native]],3,FALSE)</f>
        <v>宾川县</v>
      </c>
      <c r="G113" s="14" t="str">
        <f ca="1">VLOOKUP(F113,Table17[[Native]:[Population4]],5,FALSE)</f>
        <v>大理白族自治州</v>
      </c>
    </row>
    <row r="114" spans="1:7" ht="15.75" thickBot="1" x14ac:dyDescent="0.3">
      <c r="A114" t="s">
        <v>598</v>
      </c>
      <c r="B114" s="1" t="s">
        <v>599</v>
      </c>
      <c r="C114" s="1" t="s">
        <v>11</v>
      </c>
      <c r="D114" s="1" t="s">
        <v>381</v>
      </c>
      <c r="E114" s="6">
        <v>44990</v>
      </c>
      <c r="F114" s="1" t="str">
        <f>VLOOKUP(D114,Table17[[Name]:[Native]],3,FALSE)</f>
        <v>宾川县</v>
      </c>
      <c r="G114" s="14" t="str">
        <f ca="1">VLOOKUP(F114,Table17[[Native]:[Population4]],5,FALSE)</f>
        <v>大理白族自治州</v>
      </c>
    </row>
    <row r="115" spans="1:7" ht="15.75" thickBot="1" x14ac:dyDescent="0.3">
      <c r="A115" t="s">
        <v>600</v>
      </c>
      <c r="B115" s="1" t="s">
        <v>601</v>
      </c>
      <c r="C115" s="1" t="s">
        <v>11</v>
      </c>
      <c r="D115" s="1" t="s">
        <v>415</v>
      </c>
      <c r="E115" s="6">
        <v>56246</v>
      </c>
      <c r="F115" s="1" t="str">
        <f>VLOOKUP(D115,Table17[[Name]:[Native]],3,FALSE)</f>
        <v>洱源县</v>
      </c>
      <c r="G115" s="14" t="str">
        <f ca="1">VLOOKUP(F115,Table17[[Native]:[Population4]],5,FALSE)</f>
        <v>大理白族自治州</v>
      </c>
    </row>
    <row r="116" spans="1:7" ht="15.75" thickBot="1" x14ac:dyDescent="0.3">
      <c r="A116" t="s">
        <v>602</v>
      </c>
      <c r="B116" s="1" t="s">
        <v>603</v>
      </c>
      <c r="C116" s="1" t="s">
        <v>7</v>
      </c>
      <c r="D116" s="1" t="s">
        <v>404</v>
      </c>
      <c r="E116" s="6">
        <v>13202</v>
      </c>
      <c r="F116" s="10" t="str">
        <f>VLOOKUP(D116,Table17[[Name]:[Native]],3,FALSE)</f>
        <v>巍山彝族回族自治县</v>
      </c>
      <c r="G116" s="14" t="str">
        <f ca="1">VLOOKUP(F116,Table17[[Native]:[Population4]],5,FALSE)</f>
        <v>大理白族自治州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0C3B1-DEA1-4CAD-8B1F-494160E639B0}">
  <dimension ref="A1:G52"/>
  <sheetViews>
    <sheetView topLeftCell="A27" workbookViewId="0">
      <selection activeCell="G2" sqref="A2:G52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2917</v>
      </c>
      <c r="G1" t="s">
        <v>2919</v>
      </c>
    </row>
    <row r="2" spans="1:7" ht="15.75" thickBot="1" x14ac:dyDescent="0.3">
      <c r="A2" t="s">
        <v>604</v>
      </c>
      <c r="B2" s="1" t="s">
        <v>605</v>
      </c>
      <c r="C2" s="1" t="s">
        <v>11</v>
      </c>
      <c r="D2" s="1" t="s">
        <v>606</v>
      </c>
      <c r="E2" s="6">
        <v>24768</v>
      </c>
      <c r="F2" s="9" t="str">
        <f>VLOOKUP(D2,Table17[[Name]:[Native]],3,FALSE)</f>
        <v>陇川县</v>
      </c>
      <c r="G2" s="14" t="str">
        <f ca="1">VLOOKUP(F2,Table17[[Native]:[Population4]],5,FALSE)</f>
        <v>德宏傣族景颇族自治州</v>
      </c>
    </row>
    <row r="3" spans="1:7" ht="15.75" thickBot="1" x14ac:dyDescent="0.3">
      <c r="A3" t="s">
        <v>607</v>
      </c>
      <c r="B3" s="1" t="s">
        <v>608</v>
      </c>
      <c r="C3" s="1" t="s">
        <v>7</v>
      </c>
      <c r="D3" s="1" t="s">
        <v>609</v>
      </c>
      <c r="E3" s="6">
        <v>8184</v>
      </c>
      <c r="F3" s="1" t="str">
        <f>VLOOKUP(D3,Table17[[Name]:[Native]],3,FALSE)</f>
        <v>梁河县</v>
      </c>
      <c r="G3" s="14" t="str">
        <f ca="1">VLOOKUP(F3,Table17[[Native]:[Population4]],5,FALSE)</f>
        <v>德宏傣族景颇族自治州</v>
      </c>
    </row>
    <row r="4" spans="1:7" ht="15.75" thickBot="1" x14ac:dyDescent="0.3">
      <c r="A4" t="s">
        <v>610</v>
      </c>
      <c r="B4" s="1" t="s">
        <v>611</v>
      </c>
      <c r="C4" s="1" t="s">
        <v>11</v>
      </c>
      <c r="D4" s="1" t="s">
        <v>612</v>
      </c>
      <c r="E4" s="6">
        <v>69586</v>
      </c>
      <c r="F4" s="1" t="str">
        <f>VLOOKUP(D4,Table17[[Name]:[Native]],3,FALSE)</f>
        <v>芒市</v>
      </c>
      <c r="G4" s="14" t="str">
        <f ca="1">VLOOKUP(F4,Table17[[Native]:[Population4]],5,FALSE)</f>
        <v>德宏傣族景颇族自治州</v>
      </c>
    </row>
    <row r="5" spans="1:7" ht="15.75" thickBot="1" x14ac:dyDescent="0.3">
      <c r="A5" t="s">
        <v>613</v>
      </c>
      <c r="B5" s="1" t="s">
        <v>614</v>
      </c>
      <c r="C5" s="1" t="s">
        <v>7</v>
      </c>
      <c r="D5" s="1" t="s">
        <v>609</v>
      </c>
      <c r="E5" s="6">
        <v>17331</v>
      </c>
      <c r="F5" s="1" t="str">
        <f>VLOOKUP(D5,Table17[[Name]:[Native]],3,FALSE)</f>
        <v>梁河县</v>
      </c>
      <c r="G5" s="14" t="str">
        <f ca="1">VLOOKUP(F5,Table17[[Native]:[Population4]],5,FALSE)</f>
        <v>德宏傣族景颇族自治州</v>
      </c>
    </row>
    <row r="6" spans="1:7" ht="15.75" thickBot="1" x14ac:dyDescent="0.3">
      <c r="A6" t="s">
        <v>615</v>
      </c>
      <c r="B6" s="1" t="s">
        <v>616</v>
      </c>
      <c r="C6" s="1" t="s">
        <v>7</v>
      </c>
      <c r="D6" s="1" t="s">
        <v>606</v>
      </c>
      <c r="E6" s="6">
        <v>6181</v>
      </c>
      <c r="F6" s="1" t="str">
        <f>VLOOKUP(D6,Table17[[Name]:[Native]],3,FALSE)</f>
        <v>陇川县</v>
      </c>
      <c r="G6" s="14" t="str">
        <f ca="1">VLOOKUP(F6,Table17[[Native]:[Population4]],5,FALSE)</f>
        <v>德宏傣族景颇族自治州</v>
      </c>
    </row>
    <row r="7" spans="1:7" ht="15.75" thickBot="1" x14ac:dyDescent="0.3">
      <c r="A7" t="s">
        <v>617</v>
      </c>
      <c r="B7" s="1" t="s">
        <v>618</v>
      </c>
      <c r="C7" s="1" t="s">
        <v>7</v>
      </c>
      <c r="D7" s="1" t="s">
        <v>606</v>
      </c>
      <c r="E7" s="6">
        <v>22773</v>
      </c>
      <c r="F7" s="1" t="str">
        <f>VLOOKUP(D7,Table17[[Name]:[Native]],3,FALSE)</f>
        <v>陇川县</v>
      </c>
      <c r="G7" s="14" t="str">
        <f ca="1">VLOOKUP(F7,Table17[[Native]:[Population4]],5,FALSE)</f>
        <v>德宏傣族景颇族自治州</v>
      </c>
    </row>
    <row r="8" spans="1:7" ht="15.75" thickBot="1" x14ac:dyDescent="0.3">
      <c r="A8" t="s">
        <v>619</v>
      </c>
      <c r="B8" s="1" t="s">
        <v>620</v>
      </c>
      <c r="C8" s="1" t="s">
        <v>7</v>
      </c>
      <c r="D8" s="1" t="s">
        <v>621</v>
      </c>
      <c r="E8" s="6">
        <v>9141</v>
      </c>
      <c r="F8" s="1" t="str">
        <f>VLOOKUP(D8,Table17[[Name]:[Native]],3,FALSE)</f>
        <v>瑞丽市</v>
      </c>
      <c r="G8" s="14" t="str">
        <f ca="1">VLOOKUP(F8,Table17[[Native]:[Population4]],5,FALSE)</f>
        <v>德宏傣族景颇族自治州</v>
      </c>
    </row>
    <row r="9" spans="1:7" ht="15.75" thickBot="1" x14ac:dyDescent="0.3">
      <c r="A9" t="s">
        <v>622</v>
      </c>
      <c r="B9" s="1" t="s">
        <v>623</v>
      </c>
      <c r="C9" s="1" t="s">
        <v>7</v>
      </c>
      <c r="D9" s="1" t="s">
        <v>612</v>
      </c>
      <c r="E9" s="6">
        <v>25240</v>
      </c>
      <c r="F9" s="1" t="str">
        <f>VLOOKUP(D9,Table17[[Name]:[Native]],3,FALSE)</f>
        <v>芒市</v>
      </c>
      <c r="G9" s="14" t="str">
        <f ca="1">VLOOKUP(F9,Table17[[Native]:[Population4]],5,FALSE)</f>
        <v>德宏傣族景颇族自治州</v>
      </c>
    </row>
    <row r="10" spans="1:7" ht="15.75" thickBot="1" x14ac:dyDescent="0.3">
      <c r="A10" t="s">
        <v>624</v>
      </c>
      <c r="B10" s="1" t="s">
        <v>625</v>
      </c>
      <c r="C10" s="1" t="s">
        <v>7</v>
      </c>
      <c r="D10" s="1" t="s">
        <v>621</v>
      </c>
      <c r="E10" s="6">
        <v>17984</v>
      </c>
      <c r="F10" s="1" t="str">
        <f>VLOOKUP(D10,Table17[[Name]:[Native]],3,FALSE)</f>
        <v>瑞丽市</v>
      </c>
      <c r="G10" s="14" t="str">
        <f ca="1">VLOOKUP(F10,Table17[[Native]:[Population4]],5,FALSE)</f>
        <v>德宏傣族景颇族自治州</v>
      </c>
    </row>
    <row r="11" spans="1:7" ht="15.75" thickBot="1" x14ac:dyDescent="0.3">
      <c r="A11" t="s">
        <v>626</v>
      </c>
      <c r="B11" s="1" t="s">
        <v>627</v>
      </c>
      <c r="C11" s="1" t="s">
        <v>11</v>
      </c>
      <c r="D11" s="1" t="s">
        <v>606</v>
      </c>
      <c r="E11" s="6">
        <v>23536</v>
      </c>
      <c r="F11" s="1" t="str">
        <f>VLOOKUP(D11,Table17[[Name]:[Native]],3,FALSE)</f>
        <v>陇川县</v>
      </c>
      <c r="G11" s="14" t="str">
        <f ca="1">VLOOKUP(F11,Table17[[Native]:[Population4]],5,FALSE)</f>
        <v>德宏傣族景颇族自治州</v>
      </c>
    </row>
    <row r="12" spans="1:7" ht="15.75" thickBot="1" x14ac:dyDescent="0.3">
      <c r="A12" t="s">
        <v>628</v>
      </c>
      <c r="B12" s="1" t="s">
        <v>629</v>
      </c>
      <c r="C12" s="1" t="s">
        <v>7</v>
      </c>
      <c r="D12" s="1" t="s">
        <v>609</v>
      </c>
      <c r="E12" s="6">
        <v>13673</v>
      </c>
      <c r="F12" s="1" t="str">
        <f>VLOOKUP(D12,Table17[[Name]:[Native]],3,FALSE)</f>
        <v>梁河县</v>
      </c>
      <c r="G12" s="14" t="str">
        <f ca="1">VLOOKUP(F12,Table17[[Native]:[Population4]],5,FALSE)</f>
        <v>德宏傣族景颇族自治州</v>
      </c>
    </row>
    <row r="13" spans="1:7" ht="15.75" thickBot="1" x14ac:dyDescent="0.3">
      <c r="A13" t="s">
        <v>630</v>
      </c>
      <c r="B13" s="1" t="s">
        <v>631</v>
      </c>
      <c r="C13" s="1" t="s">
        <v>11</v>
      </c>
      <c r="D13" s="1" t="s">
        <v>632</v>
      </c>
      <c r="E13" s="6">
        <v>22383</v>
      </c>
      <c r="F13" s="1" t="str">
        <f>VLOOKUP(D13,Table17[[Name]:[Native]],3,FALSE)</f>
        <v>盈江县</v>
      </c>
      <c r="G13" s="14" t="str">
        <f ca="1">VLOOKUP(F13,Table17[[Native]:[Population4]],5,FALSE)</f>
        <v>德宏傣族景颇族自治州</v>
      </c>
    </row>
    <row r="14" spans="1:7" ht="15.75" thickBot="1" x14ac:dyDescent="0.3">
      <c r="A14" t="s">
        <v>633</v>
      </c>
      <c r="B14" s="1" t="s">
        <v>634</v>
      </c>
      <c r="C14" s="1" t="s">
        <v>11</v>
      </c>
      <c r="D14" s="1" t="s">
        <v>632</v>
      </c>
      <c r="E14" s="6">
        <v>10111</v>
      </c>
      <c r="F14" s="1" t="str">
        <f>VLOOKUP(D14,Table17[[Name]:[Native]],3,FALSE)</f>
        <v>盈江县</v>
      </c>
      <c r="G14" s="14" t="str">
        <f ca="1">VLOOKUP(F14,Table17[[Native]:[Population4]],5,FALSE)</f>
        <v>德宏傣族景颇族自治州</v>
      </c>
    </row>
    <row r="15" spans="1:7" ht="15.75" thickBot="1" x14ac:dyDescent="0.3">
      <c r="A15" t="s">
        <v>635</v>
      </c>
      <c r="B15" s="1" t="s">
        <v>636</v>
      </c>
      <c r="C15" s="1" t="s">
        <v>11</v>
      </c>
      <c r="D15" s="1" t="s">
        <v>606</v>
      </c>
      <c r="E15" s="6">
        <v>18474</v>
      </c>
      <c r="F15" s="1" t="str">
        <f>VLOOKUP(D15,Table17[[Name]:[Native]],3,FALSE)</f>
        <v>陇川县</v>
      </c>
      <c r="G15" s="14" t="str">
        <f ca="1">VLOOKUP(F15,Table17[[Native]:[Population4]],5,FALSE)</f>
        <v>德宏傣族景颇族自治州</v>
      </c>
    </row>
    <row r="16" spans="1:7" ht="15.75" thickBot="1" x14ac:dyDescent="0.3">
      <c r="A16" t="s">
        <v>637</v>
      </c>
      <c r="B16" s="1" t="s">
        <v>638</v>
      </c>
      <c r="C16" s="1" t="s">
        <v>11</v>
      </c>
      <c r="D16" s="1" t="s">
        <v>609</v>
      </c>
      <c r="E16" s="6">
        <v>29587</v>
      </c>
      <c r="F16" s="1" t="str">
        <f>VLOOKUP(D16,Table17[[Name]:[Native]],3,FALSE)</f>
        <v>梁河县</v>
      </c>
      <c r="G16" s="14" t="str">
        <f ca="1">VLOOKUP(F16,Table17[[Native]:[Population4]],5,FALSE)</f>
        <v>德宏傣族景颇族自治州</v>
      </c>
    </row>
    <row r="17" spans="1:7" ht="15.75" thickBot="1" x14ac:dyDescent="0.3">
      <c r="A17" t="s">
        <v>639</v>
      </c>
      <c r="B17" s="1" t="s">
        <v>640</v>
      </c>
      <c r="C17" s="1" t="s">
        <v>11</v>
      </c>
      <c r="D17" s="1" t="s">
        <v>612</v>
      </c>
      <c r="E17" s="6">
        <v>5641</v>
      </c>
      <c r="F17" s="1" t="str">
        <f>VLOOKUP(D17,Table17[[Name]:[Native]],3,FALSE)</f>
        <v>芒市</v>
      </c>
      <c r="G17" s="14" t="str">
        <f ca="1">VLOOKUP(F17,Table17[[Native]:[Population4]],5,FALSE)</f>
        <v>德宏傣族景颇族自治州</v>
      </c>
    </row>
    <row r="18" spans="1:7" ht="15.75" thickBot="1" x14ac:dyDescent="0.3">
      <c r="A18" t="s">
        <v>641</v>
      </c>
      <c r="B18" s="1" t="s">
        <v>642</v>
      </c>
      <c r="C18" s="1" t="s">
        <v>11</v>
      </c>
      <c r="D18" s="1" t="s">
        <v>612</v>
      </c>
      <c r="E18" s="6">
        <v>46353</v>
      </c>
      <c r="F18" s="1" t="str">
        <f>VLOOKUP(D18,Table17[[Name]:[Native]],3,FALSE)</f>
        <v>芒市</v>
      </c>
      <c r="G18" s="14" t="str">
        <f ca="1">VLOOKUP(F18,Table17[[Native]:[Population4]],5,FALSE)</f>
        <v>德宏傣族景颇族自治州</v>
      </c>
    </row>
    <row r="19" spans="1:7" ht="15.75" thickBot="1" x14ac:dyDescent="0.3">
      <c r="A19" t="s">
        <v>643</v>
      </c>
      <c r="B19" s="1" t="s">
        <v>644</v>
      </c>
      <c r="C19" s="1" t="s">
        <v>7</v>
      </c>
      <c r="D19" s="1" t="s">
        <v>632</v>
      </c>
      <c r="E19" s="6">
        <v>11583</v>
      </c>
      <c r="F19" s="1" t="str">
        <f>VLOOKUP(D19,Table17[[Name]:[Native]],3,FALSE)</f>
        <v>盈江县</v>
      </c>
      <c r="G19" s="14" t="str">
        <f ca="1">VLOOKUP(F19,Table17[[Native]:[Population4]],5,FALSE)</f>
        <v>德宏傣族景颇族自治州</v>
      </c>
    </row>
    <row r="20" spans="1:7" ht="15.75" thickBot="1" x14ac:dyDescent="0.3">
      <c r="A20" t="s">
        <v>645</v>
      </c>
      <c r="B20" s="1" t="s">
        <v>646</v>
      </c>
      <c r="C20" s="1" t="s">
        <v>42</v>
      </c>
      <c r="D20" s="1" t="s">
        <v>612</v>
      </c>
      <c r="E20" s="6">
        <v>99970</v>
      </c>
      <c r="F20" s="1" t="str">
        <f>VLOOKUP(D20,Table17[[Name]:[Native]],3,FALSE)</f>
        <v>芒市</v>
      </c>
      <c r="G20" s="14" t="str">
        <f ca="1">VLOOKUP(F20,Table17[[Native]:[Population4]],5,FALSE)</f>
        <v>德宏傣族景颇族自治州</v>
      </c>
    </row>
    <row r="21" spans="1:7" ht="15.75" thickBot="1" x14ac:dyDescent="0.3">
      <c r="A21" t="s">
        <v>647</v>
      </c>
      <c r="B21" s="1" t="s">
        <v>648</v>
      </c>
      <c r="C21" s="1" t="s">
        <v>11</v>
      </c>
      <c r="D21" s="1" t="s">
        <v>612</v>
      </c>
      <c r="E21" s="6">
        <v>24344</v>
      </c>
      <c r="F21" s="1" t="str">
        <f>VLOOKUP(D21,Table17[[Name]:[Native]],3,FALSE)</f>
        <v>芒市</v>
      </c>
      <c r="G21" s="14" t="str">
        <f ca="1">VLOOKUP(F21,Table17[[Native]:[Population4]],5,FALSE)</f>
        <v>德宏傣族景颇族自治州</v>
      </c>
    </row>
    <row r="22" spans="1:7" ht="15.75" thickBot="1" x14ac:dyDescent="0.3">
      <c r="A22" t="s">
        <v>649</v>
      </c>
      <c r="B22" s="1" t="s">
        <v>650</v>
      </c>
      <c r="C22" s="1" t="s">
        <v>11</v>
      </c>
      <c r="D22" s="1" t="s">
        <v>621</v>
      </c>
      <c r="E22" s="6">
        <v>112578</v>
      </c>
      <c r="F22" s="1" t="str">
        <f>VLOOKUP(D22,Table17[[Name]:[Native]],3,FALSE)</f>
        <v>瑞丽市</v>
      </c>
      <c r="G22" s="14" t="str">
        <f ca="1">VLOOKUP(F22,Table17[[Native]:[Population4]],5,FALSE)</f>
        <v>德宏傣族景颇族自治州</v>
      </c>
    </row>
    <row r="23" spans="1:7" ht="15.75" thickBot="1" x14ac:dyDescent="0.3">
      <c r="A23" t="s">
        <v>651</v>
      </c>
      <c r="B23" s="1" t="s">
        <v>652</v>
      </c>
      <c r="C23" s="1" t="s">
        <v>7</v>
      </c>
      <c r="D23" s="1" t="s">
        <v>632</v>
      </c>
      <c r="E23" s="6">
        <v>9832</v>
      </c>
      <c r="F23" s="1" t="str">
        <f>VLOOKUP(D23,Table17[[Name]:[Native]],3,FALSE)</f>
        <v>盈江县</v>
      </c>
      <c r="G23" s="14" t="str">
        <f ca="1">VLOOKUP(F23,Table17[[Native]:[Population4]],5,FALSE)</f>
        <v>德宏傣族景颇族自治州</v>
      </c>
    </row>
    <row r="24" spans="1:7" ht="15.75" thickBot="1" x14ac:dyDescent="0.3">
      <c r="A24" t="s">
        <v>653</v>
      </c>
      <c r="B24" s="1" t="s">
        <v>654</v>
      </c>
      <c r="C24" s="1" t="s">
        <v>7</v>
      </c>
      <c r="D24" s="1" t="s">
        <v>621</v>
      </c>
      <c r="E24" s="6">
        <v>11595</v>
      </c>
      <c r="F24" s="1" t="str">
        <f>VLOOKUP(D24,Table17[[Name]:[Native]],3,FALSE)</f>
        <v>瑞丽市</v>
      </c>
      <c r="G24" s="14" t="str">
        <f ca="1">VLOOKUP(F24,Table17[[Native]:[Population4]],5,FALSE)</f>
        <v>德宏傣族景颇族自治州</v>
      </c>
    </row>
    <row r="25" spans="1:7" ht="15.75" thickBot="1" x14ac:dyDescent="0.3">
      <c r="A25" t="s">
        <v>655</v>
      </c>
      <c r="B25" s="1" t="s">
        <v>656</v>
      </c>
      <c r="C25" s="1" t="s">
        <v>11</v>
      </c>
      <c r="D25" s="1" t="s">
        <v>609</v>
      </c>
      <c r="E25" s="6">
        <v>17371</v>
      </c>
      <c r="F25" s="1" t="str">
        <f>VLOOKUP(D25,Table17[[Name]:[Native]],3,FALSE)</f>
        <v>梁河县</v>
      </c>
      <c r="G25" s="14" t="str">
        <f ca="1">VLOOKUP(F25,Table17[[Native]:[Population4]],5,FALSE)</f>
        <v>德宏傣族景颇族自治州</v>
      </c>
    </row>
    <row r="26" spans="1:7" ht="15.75" thickBot="1" x14ac:dyDescent="0.3">
      <c r="A26" t="s">
        <v>657</v>
      </c>
      <c r="B26" s="1" t="s">
        <v>658</v>
      </c>
      <c r="C26" s="1" t="s">
        <v>7</v>
      </c>
      <c r="D26" s="1" t="s">
        <v>606</v>
      </c>
      <c r="E26" s="6">
        <v>7482</v>
      </c>
      <c r="F26" s="1" t="str">
        <f>VLOOKUP(D26,Table17[[Name]:[Native]],3,FALSE)</f>
        <v>陇川县</v>
      </c>
      <c r="G26" s="14" t="str">
        <f ca="1">VLOOKUP(F26,Table17[[Native]:[Population4]],5,FALSE)</f>
        <v>德宏傣族景颇族自治州</v>
      </c>
    </row>
    <row r="27" spans="1:7" ht="15.75" thickBot="1" x14ac:dyDescent="0.3">
      <c r="A27" t="s">
        <v>659</v>
      </c>
      <c r="B27" s="1" t="s">
        <v>660</v>
      </c>
      <c r="C27" s="1" t="s">
        <v>11</v>
      </c>
      <c r="D27" s="1" t="s">
        <v>632</v>
      </c>
      <c r="E27" s="6">
        <v>3495</v>
      </c>
      <c r="F27" s="1" t="str">
        <f>VLOOKUP(D27,Table17[[Name]:[Native]],3,FALSE)</f>
        <v>盈江县</v>
      </c>
      <c r="G27" s="14" t="str">
        <f ca="1">VLOOKUP(F27,Table17[[Native]:[Population4]],5,FALSE)</f>
        <v>德宏傣族景颇族自治州</v>
      </c>
    </row>
    <row r="28" spans="1:7" ht="15.75" thickBot="1" x14ac:dyDescent="0.3">
      <c r="A28" t="s">
        <v>661</v>
      </c>
      <c r="B28" s="1" t="s">
        <v>662</v>
      </c>
      <c r="C28" s="1" t="s">
        <v>7</v>
      </c>
      <c r="D28" s="1" t="s">
        <v>609</v>
      </c>
      <c r="E28" s="6">
        <v>20115</v>
      </c>
      <c r="F28" s="1" t="str">
        <f>VLOOKUP(D28,Table17[[Name]:[Native]],3,FALSE)</f>
        <v>梁河县</v>
      </c>
      <c r="G28" s="14" t="str">
        <f ca="1">VLOOKUP(F28,Table17[[Native]:[Population4]],5,FALSE)</f>
        <v>德宏傣族景颇族自治州</v>
      </c>
    </row>
    <row r="29" spans="1:7" ht="15.75" thickBot="1" x14ac:dyDescent="0.3">
      <c r="A29" t="s">
        <v>663</v>
      </c>
      <c r="B29" s="1" t="s">
        <v>664</v>
      </c>
      <c r="C29" s="1" t="s">
        <v>11</v>
      </c>
      <c r="D29" s="1" t="s">
        <v>621</v>
      </c>
      <c r="E29" s="6">
        <v>15423</v>
      </c>
      <c r="F29" s="1" t="str">
        <f>VLOOKUP(D29,Table17[[Name]:[Native]],3,FALSE)</f>
        <v>瑞丽市</v>
      </c>
      <c r="G29" s="14" t="str">
        <f ca="1">VLOOKUP(F29,Table17[[Native]:[Population4]],5,FALSE)</f>
        <v>德宏傣族景颇族自治州</v>
      </c>
    </row>
    <row r="30" spans="1:7" ht="15.75" thickBot="1" x14ac:dyDescent="0.3">
      <c r="A30" t="s">
        <v>665</v>
      </c>
      <c r="B30" s="1" t="s">
        <v>666</v>
      </c>
      <c r="C30" s="1" t="s">
        <v>11</v>
      </c>
      <c r="D30" s="1" t="s">
        <v>632</v>
      </c>
      <c r="E30" s="6">
        <v>45270</v>
      </c>
      <c r="F30" s="1" t="str">
        <f>VLOOKUP(D30,Table17[[Name]:[Native]],3,FALSE)</f>
        <v>盈江县</v>
      </c>
      <c r="G30" s="14" t="str">
        <f ca="1">VLOOKUP(F30,Table17[[Native]:[Population4]],5,FALSE)</f>
        <v>德宏傣族景颇族自治州</v>
      </c>
    </row>
    <row r="31" spans="1:7" ht="15.75" thickBot="1" x14ac:dyDescent="0.3">
      <c r="A31" t="s">
        <v>667</v>
      </c>
      <c r="B31" s="1" t="s">
        <v>668</v>
      </c>
      <c r="C31" s="1" t="s">
        <v>7</v>
      </c>
      <c r="D31" s="1" t="s">
        <v>609</v>
      </c>
      <c r="E31" s="6">
        <v>16209</v>
      </c>
      <c r="F31" s="1" t="str">
        <f>VLOOKUP(D31,Table17[[Name]:[Native]],3,FALSE)</f>
        <v>梁河县</v>
      </c>
      <c r="G31" s="14" t="str">
        <f ca="1">VLOOKUP(F31,Table17[[Native]:[Population4]],5,FALSE)</f>
        <v>德宏傣族景颇族自治州</v>
      </c>
    </row>
    <row r="32" spans="1:7" ht="15.75" thickBot="1" x14ac:dyDescent="0.3">
      <c r="A32" t="s">
        <v>669</v>
      </c>
      <c r="B32" s="1" t="s">
        <v>670</v>
      </c>
      <c r="C32" s="1" t="s">
        <v>11</v>
      </c>
      <c r="D32" s="1" t="s">
        <v>632</v>
      </c>
      <c r="E32" s="6">
        <v>80481</v>
      </c>
      <c r="F32" s="1" t="str">
        <f>VLOOKUP(D32,Table17[[Name]:[Native]],3,FALSE)</f>
        <v>盈江县</v>
      </c>
      <c r="G32" s="14" t="str">
        <f ca="1">VLOOKUP(F32,Table17[[Native]:[Population4]],5,FALSE)</f>
        <v>德宏傣族景颇族自治州</v>
      </c>
    </row>
    <row r="33" spans="1:7" ht="15.75" thickBot="1" x14ac:dyDescent="0.3">
      <c r="A33" t="s">
        <v>671</v>
      </c>
      <c r="B33" s="1" t="s">
        <v>672</v>
      </c>
      <c r="C33" s="1" t="s">
        <v>7</v>
      </c>
      <c r="D33" s="1" t="s">
        <v>606</v>
      </c>
      <c r="E33" s="6">
        <v>11020</v>
      </c>
      <c r="F33" s="1" t="str">
        <f>VLOOKUP(D33,Table17[[Name]:[Native]],3,FALSE)</f>
        <v>陇川县</v>
      </c>
      <c r="G33" s="14" t="str">
        <f ca="1">VLOOKUP(F33,Table17[[Native]:[Population4]],5,FALSE)</f>
        <v>德宏傣族景颇族自治州</v>
      </c>
    </row>
    <row r="34" spans="1:7" ht="15.75" thickBot="1" x14ac:dyDescent="0.3">
      <c r="A34" t="s">
        <v>673</v>
      </c>
      <c r="B34" s="1" t="s">
        <v>674</v>
      </c>
      <c r="C34" s="1" t="s">
        <v>7</v>
      </c>
      <c r="D34" s="1" t="s">
        <v>612</v>
      </c>
      <c r="E34" s="6">
        <v>7068</v>
      </c>
      <c r="F34" s="1" t="str">
        <f>VLOOKUP(D34,Table17[[Name]:[Native]],3,FALSE)</f>
        <v>芒市</v>
      </c>
      <c r="G34" s="14" t="str">
        <f ca="1">VLOOKUP(F34,Table17[[Native]:[Population4]],5,FALSE)</f>
        <v>德宏傣族景颇族自治州</v>
      </c>
    </row>
    <row r="35" spans="1:7" ht="15.75" thickBot="1" x14ac:dyDescent="0.3">
      <c r="A35" t="s">
        <v>675</v>
      </c>
      <c r="B35" s="1" t="s">
        <v>676</v>
      </c>
      <c r="C35" s="1" t="s">
        <v>7</v>
      </c>
      <c r="D35" s="1" t="s">
        <v>632</v>
      </c>
      <c r="E35" s="6">
        <v>8217</v>
      </c>
      <c r="F35" s="1" t="str">
        <f>VLOOKUP(D35,Table17[[Name]:[Native]],3,FALSE)</f>
        <v>盈江县</v>
      </c>
      <c r="G35" s="14" t="str">
        <f ca="1">VLOOKUP(F35,Table17[[Native]:[Population4]],5,FALSE)</f>
        <v>德宏傣族景颇族自治州</v>
      </c>
    </row>
    <row r="36" spans="1:7" ht="15.75" thickBot="1" x14ac:dyDescent="0.3">
      <c r="A36" t="s">
        <v>109</v>
      </c>
      <c r="B36" s="1" t="s">
        <v>110</v>
      </c>
      <c r="C36" s="1" t="s">
        <v>11</v>
      </c>
      <c r="D36" s="1" t="s">
        <v>632</v>
      </c>
      <c r="E36" s="6">
        <v>30032</v>
      </c>
      <c r="F36" s="1" t="str">
        <f>VLOOKUP(D36,Table17[[Name]:[Native]],3,FALSE)</f>
        <v>盈江县</v>
      </c>
      <c r="G36" s="14" t="str">
        <f ca="1">VLOOKUP(F36,Table17[[Native]:[Population4]],5,FALSE)</f>
        <v>德宏傣族景颇族自治州</v>
      </c>
    </row>
    <row r="37" spans="1:7" ht="15.75" thickBot="1" x14ac:dyDescent="0.3">
      <c r="A37" t="s">
        <v>677</v>
      </c>
      <c r="B37" s="1" t="s">
        <v>678</v>
      </c>
      <c r="C37" s="1" t="s">
        <v>7</v>
      </c>
      <c r="D37" s="1" t="s">
        <v>632</v>
      </c>
      <c r="E37" s="6">
        <v>6459</v>
      </c>
      <c r="F37" s="1" t="str">
        <f>VLOOKUP(D37,Table17[[Name]:[Native]],3,FALSE)</f>
        <v>盈江县</v>
      </c>
      <c r="G37" s="14" t="str">
        <f ca="1">VLOOKUP(F37,Table17[[Native]:[Population4]],5,FALSE)</f>
        <v>德宏傣族景颇族自治州</v>
      </c>
    </row>
    <row r="38" spans="1:7" ht="15.75" thickBot="1" x14ac:dyDescent="0.3">
      <c r="A38" t="s">
        <v>679</v>
      </c>
      <c r="B38" s="1" t="s">
        <v>680</v>
      </c>
      <c r="C38" s="1" t="s">
        <v>11</v>
      </c>
      <c r="D38" s="1" t="s">
        <v>621</v>
      </c>
      <c r="E38" s="6">
        <v>13906</v>
      </c>
      <c r="F38" s="1" t="str">
        <f>VLOOKUP(D38,Table17[[Name]:[Native]],3,FALSE)</f>
        <v>瑞丽市</v>
      </c>
      <c r="G38" s="14" t="str">
        <f ca="1">VLOOKUP(F38,Table17[[Native]:[Population4]],5,FALSE)</f>
        <v>德宏傣族景颇族自治州</v>
      </c>
    </row>
    <row r="39" spans="1:7" ht="15.75" thickBot="1" x14ac:dyDescent="0.3">
      <c r="A39" t="s">
        <v>681</v>
      </c>
      <c r="B39" s="1" t="s">
        <v>682</v>
      </c>
      <c r="C39" s="1" t="s">
        <v>7</v>
      </c>
      <c r="D39" s="1" t="s">
        <v>606</v>
      </c>
      <c r="E39" s="6">
        <v>13976</v>
      </c>
      <c r="F39" s="1" t="str">
        <f>VLOOKUP(D39,Table17[[Name]:[Native]],3,FALSE)</f>
        <v>陇川县</v>
      </c>
      <c r="G39" s="14" t="str">
        <f ca="1">VLOOKUP(F39,Table17[[Native]:[Population4]],5,FALSE)</f>
        <v>德宏傣族景颇族自治州</v>
      </c>
    </row>
    <row r="40" spans="1:7" ht="15.75" thickBot="1" x14ac:dyDescent="0.3">
      <c r="A40" t="s">
        <v>683</v>
      </c>
      <c r="B40" s="1" t="s">
        <v>684</v>
      </c>
      <c r="C40" s="1" t="s">
        <v>7</v>
      </c>
      <c r="D40" s="1" t="s">
        <v>612</v>
      </c>
      <c r="E40" s="6">
        <v>16245</v>
      </c>
      <c r="F40" s="1" t="str">
        <f>VLOOKUP(D40,Table17[[Name]:[Native]],3,FALSE)</f>
        <v>芒市</v>
      </c>
      <c r="G40" s="14" t="str">
        <f ca="1">VLOOKUP(F40,Table17[[Native]:[Population4]],5,FALSE)</f>
        <v>德宏傣族景颇族自治州</v>
      </c>
    </row>
    <row r="41" spans="1:7" ht="15.75" thickBot="1" x14ac:dyDescent="0.3">
      <c r="A41" t="s">
        <v>685</v>
      </c>
      <c r="B41" s="1" t="s">
        <v>686</v>
      </c>
      <c r="C41" s="1" t="s">
        <v>7</v>
      </c>
      <c r="D41" s="1" t="s">
        <v>609</v>
      </c>
      <c r="E41" s="6">
        <v>9415</v>
      </c>
      <c r="F41" s="1" t="str">
        <f>VLOOKUP(D41,Table17[[Name]:[Native]],3,FALSE)</f>
        <v>梁河县</v>
      </c>
      <c r="G41" s="14" t="str">
        <f ca="1">VLOOKUP(F41,Table17[[Native]:[Population4]],5,FALSE)</f>
        <v>德宏傣族景颇族自治州</v>
      </c>
    </row>
    <row r="42" spans="1:7" ht="15.75" thickBot="1" x14ac:dyDescent="0.3">
      <c r="A42" t="s">
        <v>687</v>
      </c>
      <c r="B42" s="1" t="s">
        <v>688</v>
      </c>
      <c r="C42" s="1" t="s">
        <v>11</v>
      </c>
      <c r="D42" s="1" t="s">
        <v>632</v>
      </c>
      <c r="E42" s="6">
        <v>11740</v>
      </c>
      <c r="F42" s="1" t="str">
        <f>VLOOKUP(D42,Table17[[Name]:[Native]],3,FALSE)</f>
        <v>盈江县</v>
      </c>
      <c r="G42" s="14" t="str">
        <f ca="1">VLOOKUP(F42,Table17[[Native]:[Population4]],5,FALSE)</f>
        <v>德宏傣族景颇族自治州</v>
      </c>
    </row>
    <row r="43" spans="1:7" ht="15.75" thickBot="1" x14ac:dyDescent="0.3">
      <c r="A43" t="s">
        <v>689</v>
      </c>
      <c r="B43" s="1" t="s">
        <v>690</v>
      </c>
      <c r="C43" s="1" t="s">
        <v>7</v>
      </c>
      <c r="D43" s="1" t="s">
        <v>632</v>
      </c>
      <c r="E43" s="6">
        <v>18142</v>
      </c>
      <c r="F43" s="1" t="str">
        <f>VLOOKUP(D43,Table17[[Name]:[Native]],3,FALSE)</f>
        <v>盈江县</v>
      </c>
      <c r="G43" s="14" t="str">
        <f ca="1">VLOOKUP(F43,Table17[[Native]:[Population4]],5,FALSE)</f>
        <v>德宏傣族景颇族自治州</v>
      </c>
    </row>
    <row r="44" spans="1:7" ht="15.75" thickBot="1" x14ac:dyDescent="0.3">
      <c r="A44" t="s">
        <v>572</v>
      </c>
      <c r="B44" s="1" t="s">
        <v>573</v>
      </c>
      <c r="C44" s="1" t="s">
        <v>7</v>
      </c>
      <c r="D44" s="1" t="s">
        <v>612</v>
      </c>
      <c r="E44" s="6">
        <v>12296</v>
      </c>
      <c r="F44" s="1" t="str">
        <f>VLOOKUP(D44,Table17[[Name]:[Native]],3,FALSE)</f>
        <v>芒市</v>
      </c>
      <c r="G44" s="14" t="str">
        <f ca="1">VLOOKUP(F44,Table17[[Native]:[Population4]],5,FALSE)</f>
        <v>德宏傣族景颇族自治州</v>
      </c>
    </row>
    <row r="45" spans="1:7" ht="15.75" thickBot="1" x14ac:dyDescent="0.3">
      <c r="A45" t="s">
        <v>691</v>
      </c>
      <c r="B45" s="1" t="s">
        <v>692</v>
      </c>
      <c r="C45" s="1" t="s">
        <v>7</v>
      </c>
      <c r="D45" s="1" t="s">
        <v>612</v>
      </c>
      <c r="E45" s="6">
        <v>21501</v>
      </c>
      <c r="F45" s="1" t="str">
        <f>VLOOKUP(D45,Table17[[Name]:[Native]],3,FALSE)</f>
        <v>芒市</v>
      </c>
      <c r="G45" s="14" t="str">
        <f ca="1">VLOOKUP(F45,Table17[[Native]:[Population4]],5,FALSE)</f>
        <v>德宏傣族景颇族自治州</v>
      </c>
    </row>
    <row r="46" spans="1:7" ht="15.75" thickBot="1" x14ac:dyDescent="0.3">
      <c r="A46" t="s">
        <v>693</v>
      </c>
      <c r="B46" s="1" t="s">
        <v>694</v>
      </c>
      <c r="C46" s="1" t="s">
        <v>7</v>
      </c>
      <c r="D46" s="1" t="s">
        <v>632</v>
      </c>
      <c r="E46" s="6">
        <v>12142</v>
      </c>
      <c r="F46" s="1" t="str">
        <f>VLOOKUP(D46,Table17[[Name]:[Native]],3,FALSE)</f>
        <v>盈江县</v>
      </c>
      <c r="G46" s="14" t="str">
        <f ca="1">VLOOKUP(F46,Table17[[Native]:[Population4]],5,FALSE)</f>
        <v>德宏傣族景颇族自治州</v>
      </c>
    </row>
    <row r="47" spans="1:7" ht="15.75" thickBot="1" x14ac:dyDescent="0.3">
      <c r="A47" t="s">
        <v>695</v>
      </c>
      <c r="B47" s="1" t="s">
        <v>696</v>
      </c>
      <c r="C47" s="1" t="s">
        <v>11</v>
      </c>
      <c r="D47" s="1" t="s">
        <v>606</v>
      </c>
      <c r="E47" s="6">
        <v>53370</v>
      </c>
      <c r="F47" s="1" t="str">
        <f>VLOOKUP(D47,Table17[[Name]:[Native]],3,FALSE)</f>
        <v>陇川县</v>
      </c>
      <c r="G47" s="14" t="str">
        <f ca="1">VLOOKUP(F47,Table17[[Native]:[Population4]],5,FALSE)</f>
        <v>德宏傣族景颇族自治州</v>
      </c>
    </row>
    <row r="48" spans="1:7" ht="15.75" thickBot="1" x14ac:dyDescent="0.3">
      <c r="A48" t="s">
        <v>697</v>
      </c>
      <c r="B48" s="1" t="s">
        <v>698</v>
      </c>
      <c r="C48" s="1" t="s">
        <v>11</v>
      </c>
      <c r="D48" s="1" t="s">
        <v>632</v>
      </c>
      <c r="E48" s="6">
        <v>21515</v>
      </c>
      <c r="F48" s="1" t="str">
        <f>VLOOKUP(D48,Table17[[Name]:[Native]],3,FALSE)</f>
        <v>盈江县</v>
      </c>
      <c r="G48" s="14" t="str">
        <f ca="1">VLOOKUP(F48,Table17[[Native]:[Population4]],5,FALSE)</f>
        <v>德宏傣族景颇族自治州</v>
      </c>
    </row>
    <row r="49" spans="1:7" ht="15.75" thickBot="1" x14ac:dyDescent="0.3">
      <c r="A49" t="s">
        <v>699</v>
      </c>
      <c r="B49" s="1" t="s">
        <v>700</v>
      </c>
      <c r="C49" s="1" t="s">
        <v>11</v>
      </c>
      <c r="D49" s="1" t="s">
        <v>609</v>
      </c>
      <c r="E49" s="6">
        <v>22290</v>
      </c>
      <c r="F49" s="1" t="str">
        <f>VLOOKUP(D49,Table17[[Name]:[Native]],3,FALSE)</f>
        <v>梁河县</v>
      </c>
      <c r="G49" s="14" t="str">
        <f ca="1">VLOOKUP(F49,Table17[[Native]:[Population4]],5,FALSE)</f>
        <v>德宏傣族景颇族自治州</v>
      </c>
    </row>
    <row r="50" spans="1:7" ht="15.75" thickBot="1" x14ac:dyDescent="0.3">
      <c r="A50" t="s">
        <v>701</v>
      </c>
      <c r="B50" s="1" t="s">
        <v>702</v>
      </c>
      <c r="C50" s="1" t="s">
        <v>11</v>
      </c>
      <c r="D50" s="1" t="s">
        <v>612</v>
      </c>
      <c r="E50" s="6">
        <v>51477</v>
      </c>
      <c r="F50" s="1" t="str">
        <f>VLOOKUP(D50,Table17[[Name]:[Native]],3,FALSE)</f>
        <v>芒市</v>
      </c>
      <c r="G50" s="14" t="str">
        <f ca="1">VLOOKUP(F50,Table17[[Native]:[Population4]],5,FALSE)</f>
        <v>德宏傣族景颇族自治州</v>
      </c>
    </row>
    <row r="51" spans="1:7" ht="15.75" thickBot="1" x14ac:dyDescent="0.3">
      <c r="A51" t="s">
        <v>703</v>
      </c>
      <c r="B51" s="1" t="s">
        <v>704</v>
      </c>
      <c r="C51" s="1" t="s">
        <v>7</v>
      </c>
      <c r="D51" s="1" t="s">
        <v>632</v>
      </c>
      <c r="E51" s="6">
        <v>13765</v>
      </c>
      <c r="F51" s="1" t="str">
        <f>VLOOKUP(D51,Table17[[Name]:[Native]],3,FALSE)</f>
        <v>盈江县</v>
      </c>
      <c r="G51" s="14" t="str">
        <f ca="1">VLOOKUP(F51,Table17[[Native]:[Population4]],5,FALSE)</f>
        <v>德宏傣族景颇族自治州</v>
      </c>
    </row>
    <row r="52" spans="1:7" ht="15.75" thickBot="1" x14ac:dyDescent="0.3">
      <c r="A52" t="s">
        <v>705</v>
      </c>
      <c r="B52" s="1" t="s">
        <v>706</v>
      </c>
      <c r="C52" s="1" t="s">
        <v>7</v>
      </c>
      <c r="D52" s="1" t="s">
        <v>612</v>
      </c>
      <c r="E52" s="6">
        <v>10170</v>
      </c>
      <c r="F52" s="10" t="str">
        <f>VLOOKUP(D52,Table17[[Name]:[Native]],3,FALSE)</f>
        <v>芒市</v>
      </c>
      <c r="G52" s="14" t="str">
        <f ca="1">VLOOKUP(F52,Table17[[Native]:[Population4]],5,FALSE)</f>
        <v>德宏傣族景颇族自治州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C0F41-4C51-4522-8B50-6C3E75341D28}">
  <dimension ref="A1:G30"/>
  <sheetViews>
    <sheetView topLeftCell="A5" workbookViewId="0">
      <selection activeCell="G2" sqref="A2:G30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2917</v>
      </c>
      <c r="G1" t="s">
        <v>2919</v>
      </c>
    </row>
    <row r="2" spans="1:7" ht="15.75" thickBot="1" x14ac:dyDescent="0.3">
      <c r="A2" t="s">
        <v>707</v>
      </c>
      <c r="B2" s="1" t="s">
        <v>708</v>
      </c>
      <c r="C2" s="1" t="s">
        <v>7</v>
      </c>
      <c r="D2" s="1" t="s">
        <v>709</v>
      </c>
      <c r="E2" s="6">
        <v>9984</v>
      </c>
      <c r="F2" s="9" t="str">
        <f>VLOOKUP(D2,Table17[[Name]:[Native]],3,FALSE)</f>
        <v>维西傈僳族自治县</v>
      </c>
      <c r="G2" s="14" t="str">
        <f ca="1">VLOOKUP(F2,Table17[[Native]:[Population4]],5,FALSE)</f>
        <v>迪庆藏族自治州</v>
      </c>
    </row>
    <row r="3" spans="1:7" ht="15.75" thickBot="1" x14ac:dyDescent="0.3">
      <c r="A3" t="s">
        <v>710</v>
      </c>
      <c r="B3" s="1" t="s">
        <v>711</v>
      </c>
      <c r="C3" s="1" t="s">
        <v>7</v>
      </c>
      <c r="D3" s="1" t="s">
        <v>709</v>
      </c>
      <c r="E3" s="6">
        <v>25415</v>
      </c>
      <c r="F3" s="1" t="str">
        <f>VLOOKUP(D3,Table17[[Name]:[Native]],3,FALSE)</f>
        <v>维西傈僳族自治县</v>
      </c>
      <c r="G3" s="14" t="str">
        <f ca="1">VLOOKUP(F3,Table17[[Native]:[Population4]],5,FALSE)</f>
        <v>迪庆藏族自治州</v>
      </c>
    </row>
    <row r="4" spans="1:7" ht="15.75" thickBot="1" x14ac:dyDescent="0.3">
      <c r="A4" t="s">
        <v>712</v>
      </c>
      <c r="B4" s="1" t="s">
        <v>713</v>
      </c>
      <c r="C4" s="1" t="s">
        <v>11</v>
      </c>
      <c r="D4" s="1" t="s">
        <v>709</v>
      </c>
      <c r="E4" s="6">
        <v>13446</v>
      </c>
      <c r="F4" s="1" t="str">
        <f>VLOOKUP(D4,Table17[[Name]:[Native]],3,FALSE)</f>
        <v>维西傈僳族自治县</v>
      </c>
      <c r="G4" s="14" t="str">
        <f ca="1">VLOOKUP(F4,Table17[[Native]:[Population4]],5,FALSE)</f>
        <v>迪庆藏族自治州</v>
      </c>
    </row>
    <row r="5" spans="1:7" ht="15.75" thickBot="1" x14ac:dyDescent="0.3">
      <c r="A5" t="s">
        <v>714</v>
      </c>
      <c r="B5" s="1" t="s">
        <v>715</v>
      </c>
      <c r="C5" s="1" t="s">
        <v>11</v>
      </c>
      <c r="D5" s="1" t="s">
        <v>716</v>
      </c>
      <c r="E5" s="6">
        <v>10837</v>
      </c>
      <c r="F5" s="1" t="str">
        <f>VLOOKUP(D5,Table17[[Name]:[Native]],3,FALSE)</f>
        <v>德钦县</v>
      </c>
      <c r="G5" s="14" t="str">
        <f ca="1">VLOOKUP(F5,Table17[[Native]:[Population4]],5,FALSE)</f>
        <v>迪庆藏族自治州</v>
      </c>
    </row>
    <row r="6" spans="1:7" ht="15.75" thickBot="1" x14ac:dyDescent="0.3">
      <c r="A6" t="s">
        <v>717</v>
      </c>
      <c r="B6" s="1" t="s">
        <v>718</v>
      </c>
      <c r="C6" s="1" t="s">
        <v>7</v>
      </c>
      <c r="D6" s="1" t="s">
        <v>719</v>
      </c>
      <c r="E6" s="6">
        <v>6505</v>
      </c>
      <c r="F6" s="1" t="str">
        <f>VLOOKUP(D6,Table17[[Name]:[Native]],3,FALSE)</f>
        <v>香格里拉市</v>
      </c>
      <c r="G6" s="14" t="str">
        <f ca="1">VLOOKUP(F6,Table17[[Native]:[Population4]],5,FALSE)</f>
        <v>迪庆藏族自治州</v>
      </c>
    </row>
    <row r="7" spans="1:7" ht="15.75" thickBot="1" x14ac:dyDescent="0.3">
      <c r="A7" t="s">
        <v>720</v>
      </c>
      <c r="B7" s="1" t="s">
        <v>721</v>
      </c>
      <c r="C7" s="1" t="s">
        <v>7</v>
      </c>
      <c r="D7" s="1" t="s">
        <v>716</v>
      </c>
      <c r="E7" s="6">
        <v>3898</v>
      </c>
      <c r="F7" s="1" t="str">
        <f>VLOOKUP(D7,Table17[[Name]:[Native]],3,FALSE)</f>
        <v>德钦县</v>
      </c>
      <c r="G7" s="14" t="str">
        <f ca="1">VLOOKUP(F7,Table17[[Native]:[Population4]],5,FALSE)</f>
        <v>迪庆藏族自治州</v>
      </c>
    </row>
    <row r="8" spans="1:7" ht="15.75" thickBot="1" x14ac:dyDescent="0.3">
      <c r="A8" t="s">
        <v>722</v>
      </c>
      <c r="B8" s="1" t="s">
        <v>723</v>
      </c>
      <c r="C8" s="1" t="s">
        <v>7</v>
      </c>
      <c r="D8" s="1" t="s">
        <v>719</v>
      </c>
      <c r="E8" s="6">
        <v>8384</v>
      </c>
      <c r="F8" s="1" t="str">
        <f>VLOOKUP(D8,Table17[[Name]:[Native]],3,FALSE)</f>
        <v>香格里拉市</v>
      </c>
      <c r="G8" s="14" t="str">
        <f ca="1">VLOOKUP(F8,Table17[[Native]:[Population4]],5,FALSE)</f>
        <v>迪庆藏族自治州</v>
      </c>
    </row>
    <row r="9" spans="1:7" ht="15.75" thickBot="1" x14ac:dyDescent="0.3">
      <c r="A9" t="s">
        <v>724</v>
      </c>
      <c r="B9" s="1" t="s">
        <v>725</v>
      </c>
      <c r="C9" s="1" t="s">
        <v>11</v>
      </c>
      <c r="D9" s="1" t="s">
        <v>719</v>
      </c>
      <c r="E9" s="6">
        <v>19922</v>
      </c>
      <c r="F9" s="1" t="str">
        <f>VLOOKUP(D9,Table17[[Name]:[Native]],3,FALSE)</f>
        <v>香格里拉市</v>
      </c>
      <c r="G9" s="14" t="str">
        <f ca="1">VLOOKUP(F9,Table17[[Native]:[Population4]],5,FALSE)</f>
        <v>迪庆藏族自治州</v>
      </c>
    </row>
    <row r="10" spans="1:7" ht="15.75" thickBot="1" x14ac:dyDescent="0.3">
      <c r="A10" t="s">
        <v>726</v>
      </c>
      <c r="B10" s="1" t="s">
        <v>727</v>
      </c>
      <c r="C10" s="1" t="s">
        <v>11</v>
      </c>
      <c r="D10" s="1" t="s">
        <v>719</v>
      </c>
      <c r="E10" s="6">
        <v>65189</v>
      </c>
      <c r="F10" s="1" t="str">
        <f>VLOOKUP(D10,Table17[[Name]:[Native]],3,FALSE)</f>
        <v>香格里拉市</v>
      </c>
      <c r="G10" s="14" t="str">
        <f ca="1">VLOOKUP(F10,Table17[[Native]:[Population4]],5,FALSE)</f>
        <v>迪庆藏族自治州</v>
      </c>
    </row>
    <row r="11" spans="1:7" ht="15.75" thickBot="1" x14ac:dyDescent="0.3">
      <c r="A11" t="s">
        <v>728</v>
      </c>
      <c r="B11" s="1" t="s">
        <v>729</v>
      </c>
      <c r="C11" s="1" t="s">
        <v>11</v>
      </c>
      <c r="D11" s="1" t="s">
        <v>719</v>
      </c>
      <c r="E11" s="6">
        <v>16738</v>
      </c>
      <c r="F11" s="1" t="str">
        <f>VLOOKUP(D11,Table17[[Name]:[Native]],3,FALSE)</f>
        <v>香格里拉市</v>
      </c>
      <c r="G11" s="14" t="str">
        <f ca="1">VLOOKUP(F11,Table17[[Native]:[Population4]],5,FALSE)</f>
        <v>迪庆藏族自治州</v>
      </c>
    </row>
    <row r="12" spans="1:7" ht="15.75" thickBot="1" x14ac:dyDescent="0.3">
      <c r="A12" t="s">
        <v>730</v>
      </c>
      <c r="B12" s="1" t="s">
        <v>731</v>
      </c>
      <c r="C12" s="1" t="s">
        <v>7</v>
      </c>
      <c r="D12" s="1" t="s">
        <v>709</v>
      </c>
      <c r="E12" s="6">
        <v>10957</v>
      </c>
      <c r="F12" s="1" t="str">
        <f>VLOOKUP(D12,Table17[[Name]:[Native]],3,FALSE)</f>
        <v>维西傈僳族自治县</v>
      </c>
      <c r="G12" s="14" t="str">
        <f ca="1">VLOOKUP(F12,Table17[[Native]:[Population4]],5,FALSE)</f>
        <v>迪庆藏族自治州</v>
      </c>
    </row>
    <row r="13" spans="1:7" ht="15.75" thickBot="1" x14ac:dyDescent="0.3">
      <c r="A13" t="s">
        <v>732</v>
      </c>
      <c r="B13" s="1" t="s">
        <v>733</v>
      </c>
      <c r="C13" s="1" t="s">
        <v>7</v>
      </c>
      <c r="D13" s="1" t="s">
        <v>719</v>
      </c>
      <c r="E13" s="6">
        <v>4724</v>
      </c>
      <c r="F13" s="1" t="str">
        <f>VLOOKUP(D13,Table17[[Name]:[Native]],3,FALSE)</f>
        <v>香格里拉市</v>
      </c>
      <c r="G13" s="14" t="str">
        <f ca="1">VLOOKUP(F13,Table17[[Native]:[Population4]],5,FALSE)</f>
        <v>迪庆藏族自治州</v>
      </c>
    </row>
    <row r="14" spans="1:7" ht="15.75" thickBot="1" x14ac:dyDescent="0.3">
      <c r="A14" t="s">
        <v>734</v>
      </c>
      <c r="B14" s="1" t="s">
        <v>735</v>
      </c>
      <c r="C14" s="1" t="s">
        <v>7</v>
      </c>
      <c r="D14" s="1" t="s">
        <v>719</v>
      </c>
      <c r="E14" s="6">
        <v>8111</v>
      </c>
      <c r="F14" s="1" t="str">
        <f>VLOOKUP(D14,Table17[[Name]:[Native]],3,FALSE)</f>
        <v>香格里拉市</v>
      </c>
      <c r="G14" s="14" t="str">
        <f ca="1">VLOOKUP(F14,Table17[[Native]:[Population4]],5,FALSE)</f>
        <v>迪庆藏族自治州</v>
      </c>
    </row>
    <row r="15" spans="1:7" ht="15.75" thickBot="1" x14ac:dyDescent="0.3">
      <c r="A15" t="s">
        <v>736</v>
      </c>
      <c r="B15" s="1" t="s">
        <v>737</v>
      </c>
      <c r="C15" s="1" t="s">
        <v>7</v>
      </c>
      <c r="D15" s="1" t="s">
        <v>709</v>
      </c>
      <c r="E15" s="6">
        <v>15765</v>
      </c>
      <c r="F15" s="1" t="str">
        <f>VLOOKUP(D15,Table17[[Name]:[Native]],3,FALSE)</f>
        <v>维西傈僳族自治县</v>
      </c>
      <c r="G15" s="14" t="str">
        <f ca="1">VLOOKUP(F15,Table17[[Native]:[Population4]],5,FALSE)</f>
        <v>迪庆藏族自治州</v>
      </c>
    </row>
    <row r="16" spans="1:7" ht="15.75" thickBot="1" x14ac:dyDescent="0.3">
      <c r="A16" t="s">
        <v>738</v>
      </c>
      <c r="B16" s="1" t="s">
        <v>739</v>
      </c>
      <c r="C16" s="1" t="s">
        <v>7</v>
      </c>
      <c r="D16" s="1" t="s">
        <v>719</v>
      </c>
      <c r="E16" s="6">
        <v>18597</v>
      </c>
      <c r="F16" s="1" t="str">
        <f>VLOOKUP(D16,Table17[[Name]:[Native]],3,FALSE)</f>
        <v>香格里拉市</v>
      </c>
      <c r="G16" s="14" t="str">
        <f ca="1">VLOOKUP(F16,Table17[[Native]:[Population4]],5,FALSE)</f>
        <v>迪庆藏族自治州</v>
      </c>
    </row>
    <row r="17" spans="1:7" ht="15.75" thickBot="1" x14ac:dyDescent="0.3">
      <c r="A17" t="s">
        <v>740</v>
      </c>
      <c r="B17" s="1" t="s">
        <v>741</v>
      </c>
      <c r="C17" s="1" t="s">
        <v>7</v>
      </c>
      <c r="D17" s="1" t="s">
        <v>719</v>
      </c>
      <c r="E17" s="6">
        <v>10462</v>
      </c>
      <c r="F17" s="1" t="str">
        <f>VLOOKUP(D17,Table17[[Name]:[Native]],3,FALSE)</f>
        <v>香格里拉市</v>
      </c>
      <c r="G17" s="14" t="str">
        <f ca="1">VLOOKUP(F17,Table17[[Native]:[Population4]],5,FALSE)</f>
        <v>迪庆藏族自治州</v>
      </c>
    </row>
    <row r="18" spans="1:7" ht="15.75" thickBot="1" x14ac:dyDescent="0.3">
      <c r="A18" t="s">
        <v>742</v>
      </c>
      <c r="B18" s="1" t="s">
        <v>743</v>
      </c>
      <c r="C18" s="1" t="s">
        <v>11</v>
      </c>
      <c r="D18" s="1" t="s">
        <v>716</v>
      </c>
      <c r="E18" s="6">
        <v>11595</v>
      </c>
      <c r="F18" s="1" t="str">
        <f>VLOOKUP(D18,Table17[[Name]:[Native]],3,FALSE)</f>
        <v>德钦县</v>
      </c>
      <c r="G18" s="14" t="str">
        <f ca="1">VLOOKUP(F18,Table17[[Native]:[Population4]],5,FALSE)</f>
        <v>迪庆藏族自治州</v>
      </c>
    </row>
    <row r="19" spans="1:7" ht="15.75" thickBot="1" x14ac:dyDescent="0.3">
      <c r="A19" t="s">
        <v>744</v>
      </c>
      <c r="B19" s="1" t="s">
        <v>745</v>
      </c>
      <c r="C19" s="1" t="s">
        <v>11</v>
      </c>
      <c r="D19" s="1" t="s">
        <v>709</v>
      </c>
      <c r="E19" s="6">
        <v>16234</v>
      </c>
      <c r="F19" s="1" t="str">
        <f>VLOOKUP(D19,Table17[[Name]:[Native]],3,FALSE)</f>
        <v>维西傈僳族自治县</v>
      </c>
      <c r="G19" s="14" t="str">
        <f ca="1">VLOOKUP(F19,Table17[[Native]:[Population4]],5,FALSE)</f>
        <v>迪庆藏族自治州</v>
      </c>
    </row>
    <row r="20" spans="1:7" ht="15.75" thickBot="1" x14ac:dyDescent="0.3">
      <c r="A20" t="s">
        <v>746</v>
      </c>
      <c r="B20" s="1" t="s">
        <v>747</v>
      </c>
      <c r="C20" s="1" t="s">
        <v>7</v>
      </c>
      <c r="D20" s="1" t="s">
        <v>716</v>
      </c>
      <c r="E20" s="6">
        <v>9696</v>
      </c>
      <c r="F20" s="1" t="str">
        <f>VLOOKUP(D20,Table17[[Name]:[Native]],3,FALSE)</f>
        <v>德钦县</v>
      </c>
      <c r="G20" s="14" t="str">
        <f ca="1">VLOOKUP(F20,Table17[[Native]:[Population4]],5,FALSE)</f>
        <v>迪庆藏族自治州</v>
      </c>
    </row>
    <row r="21" spans="1:7" ht="15.75" thickBot="1" x14ac:dyDescent="0.3">
      <c r="A21" t="s">
        <v>748</v>
      </c>
      <c r="B21" s="1" t="s">
        <v>749</v>
      </c>
      <c r="C21" s="1" t="s">
        <v>7</v>
      </c>
      <c r="D21" s="1" t="s">
        <v>709</v>
      </c>
      <c r="E21" s="6">
        <v>13530</v>
      </c>
      <c r="F21" s="1" t="str">
        <f>VLOOKUP(D21,Table17[[Name]:[Native]],3,FALSE)</f>
        <v>维西傈僳族自治县</v>
      </c>
      <c r="G21" s="14" t="str">
        <f ca="1">VLOOKUP(F21,Table17[[Native]:[Population4]],5,FALSE)</f>
        <v>迪庆藏族自治州</v>
      </c>
    </row>
    <row r="22" spans="1:7" ht="15.75" thickBot="1" x14ac:dyDescent="0.3">
      <c r="A22" t="s">
        <v>750</v>
      </c>
      <c r="B22" s="1" t="s">
        <v>751</v>
      </c>
      <c r="C22" s="1" t="s">
        <v>7</v>
      </c>
      <c r="D22" s="1" t="s">
        <v>719</v>
      </c>
      <c r="E22" s="6">
        <v>4187</v>
      </c>
      <c r="F22" s="1" t="str">
        <f>VLOOKUP(D22,Table17[[Name]:[Native]],3,FALSE)</f>
        <v>香格里拉市</v>
      </c>
      <c r="G22" s="14" t="str">
        <f ca="1">VLOOKUP(F22,Table17[[Native]:[Population4]],5,FALSE)</f>
        <v>迪庆藏族自治州</v>
      </c>
    </row>
    <row r="23" spans="1:7" ht="15.75" thickBot="1" x14ac:dyDescent="0.3">
      <c r="A23" t="s">
        <v>752</v>
      </c>
      <c r="B23" s="1" t="s">
        <v>753</v>
      </c>
      <c r="C23" s="1" t="s">
        <v>11</v>
      </c>
      <c r="D23" s="1" t="s">
        <v>719</v>
      </c>
      <c r="E23" s="6">
        <v>10169</v>
      </c>
      <c r="F23" s="1" t="str">
        <f>VLOOKUP(D23,Table17[[Name]:[Native]],3,FALSE)</f>
        <v>香格里拉市</v>
      </c>
      <c r="G23" s="14" t="str">
        <f ca="1">VLOOKUP(F23,Table17[[Native]:[Population4]],5,FALSE)</f>
        <v>迪庆藏族自治州</v>
      </c>
    </row>
    <row r="24" spans="1:7" ht="15.75" thickBot="1" x14ac:dyDescent="0.3">
      <c r="A24" t="s">
        <v>754</v>
      </c>
      <c r="B24" s="1" t="s">
        <v>755</v>
      </c>
      <c r="C24" s="1" t="s">
        <v>7</v>
      </c>
      <c r="D24" s="1" t="s">
        <v>716</v>
      </c>
      <c r="E24" s="6">
        <v>8258</v>
      </c>
      <c r="F24" s="1" t="str">
        <f>VLOOKUP(D24,Table17[[Name]:[Native]],3,FALSE)</f>
        <v>德钦县</v>
      </c>
      <c r="G24" s="14" t="str">
        <f ca="1">VLOOKUP(F24,Table17[[Native]:[Population4]],5,FALSE)</f>
        <v>迪庆藏族自治州</v>
      </c>
    </row>
    <row r="25" spans="1:7" ht="15.75" thickBot="1" x14ac:dyDescent="0.3">
      <c r="A25" t="s">
        <v>756</v>
      </c>
      <c r="B25" s="1" t="s">
        <v>757</v>
      </c>
      <c r="C25" s="1" t="s">
        <v>7</v>
      </c>
      <c r="D25" s="1" t="s">
        <v>716</v>
      </c>
      <c r="E25" s="6">
        <v>8063</v>
      </c>
      <c r="F25" s="1" t="str">
        <f>VLOOKUP(D25,Table17[[Name]:[Native]],3,FALSE)</f>
        <v>德钦县</v>
      </c>
      <c r="G25" s="14" t="str">
        <f ca="1">VLOOKUP(F25,Table17[[Native]:[Population4]],5,FALSE)</f>
        <v>迪庆藏族自治州</v>
      </c>
    </row>
    <row r="26" spans="1:7" ht="15.75" thickBot="1" x14ac:dyDescent="0.3">
      <c r="A26" t="s">
        <v>758</v>
      </c>
      <c r="B26" s="1" t="s">
        <v>759</v>
      </c>
      <c r="C26" s="1" t="s">
        <v>7</v>
      </c>
      <c r="D26" s="1" t="s">
        <v>716</v>
      </c>
      <c r="E26" s="6">
        <v>7391</v>
      </c>
      <c r="F26" s="1" t="str">
        <f>VLOOKUP(D26,Table17[[Name]:[Native]],3,FALSE)</f>
        <v>德钦县</v>
      </c>
      <c r="G26" s="14" t="str">
        <f ca="1">VLOOKUP(F26,Table17[[Native]:[Population4]],5,FALSE)</f>
        <v>迪庆藏族自治州</v>
      </c>
    </row>
    <row r="27" spans="1:7" ht="15.75" thickBot="1" x14ac:dyDescent="0.3">
      <c r="A27" t="s">
        <v>760</v>
      </c>
      <c r="B27" s="1" t="s">
        <v>761</v>
      </c>
      <c r="C27" s="1" t="s">
        <v>11</v>
      </c>
      <c r="D27" s="1" t="s">
        <v>709</v>
      </c>
      <c r="E27" s="6">
        <v>11154</v>
      </c>
      <c r="F27" s="1" t="str">
        <f>VLOOKUP(D27,Table17[[Name]:[Native]],3,FALSE)</f>
        <v>维西傈僳族自治县</v>
      </c>
      <c r="G27" s="14" t="str">
        <f ca="1">VLOOKUP(F27,Table17[[Native]:[Population4]],5,FALSE)</f>
        <v>迪庆藏族自治州</v>
      </c>
    </row>
    <row r="28" spans="1:7" ht="15.75" thickBot="1" x14ac:dyDescent="0.3">
      <c r="A28" t="s">
        <v>762</v>
      </c>
      <c r="B28" s="1" t="s">
        <v>763</v>
      </c>
      <c r="C28" s="1" t="s">
        <v>7</v>
      </c>
      <c r="D28" s="1" t="s">
        <v>709</v>
      </c>
      <c r="E28" s="6">
        <v>33804</v>
      </c>
      <c r="F28" s="1" t="str">
        <f>VLOOKUP(D28,Table17[[Name]:[Native]],3,FALSE)</f>
        <v>维西傈僳族自治县</v>
      </c>
      <c r="G28" s="14" t="str">
        <f ca="1">VLOOKUP(F28,Table17[[Native]:[Population4]],5,FALSE)</f>
        <v>迪庆藏族自治州</v>
      </c>
    </row>
    <row r="29" spans="1:7" ht="15.75" thickBot="1" x14ac:dyDescent="0.3">
      <c r="A29" t="s">
        <v>764</v>
      </c>
      <c r="B29" s="1" t="s">
        <v>765</v>
      </c>
      <c r="C29" s="1" t="s">
        <v>7</v>
      </c>
      <c r="D29" s="1" t="s">
        <v>716</v>
      </c>
      <c r="E29" s="6">
        <v>6851</v>
      </c>
      <c r="F29" s="1" t="str">
        <f>VLOOKUP(D29,Table17[[Name]:[Native]],3,FALSE)</f>
        <v>德钦县</v>
      </c>
      <c r="G29" s="14" t="str">
        <f ca="1">VLOOKUP(F29,Table17[[Native]:[Population4]],5,FALSE)</f>
        <v>迪庆藏族自治州</v>
      </c>
    </row>
    <row r="30" spans="1:7" ht="15.75" thickBot="1" x14ac:dyDescent="0.3">
      <c r="A30" t="s">
        <v>766</v>
      </c>
      <c r="B30" s="3" t="s">
        <v>767</v>
      </c>
      <c r="C30" s="3" t="s">
        <v>7</v>
      </c>
      <c r="D30" s="3" t="s">
        <v>709</v>
      </c>
      <c r="E30" s="11">
        <v>10316</v>
      </c>
      <c r="F30" s="10" t="str">
        <f>VLOOKUP(D30,Table17[[Name]:[Native]],3,FALSE)</f>
        <v>维西傈僳族自治县</v>
      </c>
      <c r="G30" s="14" t="str">
        <f ca="1">VLOOKUP(F30,Table17[[Native]:[Population4]],5,FALSE)</f>
        <v>迪庆藏族自治州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0F151-706C-498B-99D5-0E1BBE6BA369}">
  <dimension ref="A1:G134"/>
  <sheetViews>
    <sheetView topLeftCell="A109" workbookViewId="0">
      <selection activeCell="G2" sqref="G2:G134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2917</v>
      </c>
      <c r="G1" t="s">
        <v>2919</v>
      </c>
    </row>
    <row r="2" spans="1:7" ht="15.75" thickBot="1" x14ac:dyDescent="0.3">
      <c r="A2" t="s">
        <v>768</v>
      </c>
      <c r="B2" s="1" t="s">
        <v>769</v>
      </c>
      <c r="C2" s="1" t="s">
        <v>7</v>
      </c>
      <c r="D2" s="1" t="s">
        <v>770</v>
      </c>
      <c r="E2" s="6">
        <v>15174</v>
      </c>
      <c r="F2" s="9" t="str">
        <f>VLOOKUP(D2,Table17[[Name]:[Native]],3,FALSE)</f>
        <v>金平苗族瑶族傣族自治县</v>
      </c>
      <c r="G2" s="14" t="str">
        <f ca="1">VLOOKUP(F2,Table17[[Native]:[Population4]],5,FALSE)</f>
        <v>红河哈尼族彝族自治州</v>
      </c>
    </row>
    <row r="3" spans="1:7" ht="15.75" thickBot="1" x14ac:dyDescent="0.3">
      <c r="A3" t="s">
        <v>771</v>
      </c>
      <c r="B3" s="1" t="s">
        <v>772</v>
      </c>
      <c r="C3" s="1" t="s">
        <v>7</v>
      </c>
      <c r="D3" s="1" t="s">
        <v>773</v>
      </c>
      <c r="E3" s="6">
        <v>39828</v>
      </c>
      <c r="F3" s="1" t="str">
        <f>VLOOKUP(D3,Table17[[Name]:[Native]],3,FALSE)</f>
        <v>红河县</v>
      </c>
      <c r="G3" s="14" t="str">
        <f ca="1">VLOOKUP(F3,Table17[[Native]:[Population4]],5,FALSE)</f>
        <v>红河哈尼族彝族自治州</v>
      </c>
    </row>
    <row r="4" spans="1:7" ht="15.75" thickBot="1" x14ac:dyDescent="0.3">
      <c r="A4" t="s">
        <v>774</v>
      </c>
      <c r="B4" s="1" t="s">
        <v>775</v>
      </c>
      <c r="C4" s="1" t="s">
        <v>11</v>
      </c>
      <c r="D4" s="1" t="s">
        <v>776</v>
      </c>
      <c r="E4" s="6">
        <v>24113</v>
      </c>
      <c r="F4" s="1" t="str">
        <f>VLOOKUP(D4,Table17[[Name]:[Native]],3,FALSE)</f>
        <v>屏边苗族自治县</v>
      </c>
      <c r="G4" s="14" t="str">
        <f ca="1">VLOOKUP(F4,Table17[[Native]:[Population4]],5,FALSE)</f>
        <v>红河哈尼族彝族自治州</v>
      </c>
    </row>
    <row r="5" spans="1:7" ht="15.75" thickBot="1" x14ac:dyDescent="0.3">
      <c r="A5" t="s">
        <v>777</v>
      </c>
      <c r="B5" s="1" t="s">
        <v>778</v>
      </c>
      <c r="C5" s="1" t="s">
        <v>11</v>
      </c>
      <c r="D5" s="1" t="s">
        <v>779</v>
      </c>
      <c r="E5" s="6">
        <v>47401</v>
      </c>
      <c r="F5" s="1" t="str">
        <f>VLOOKUP(D5,Table17[[Name]:[Native]],3,FALSE)</f>
        <v>泸西县</v>
      </c>
      <c r="G5" s="14" t="str">
        <f ca="1">VLOOKUP(F5,Table17[[Native]:[Population4]],5,FALSE)</f>
        <v>红河哈尼族彝族自治州</v>
      </c>
    </row>
    <row r="6" spans="1:7" ht="15.75" thickBot="1" x14ac:dyDescent="0.3">
      <c r="A6" t="s">
        <v>780</v>
      </c>
      <c r="B6" s="1" t="s">
        <v>781</v>
      </c>
      <c r="C6" s="1" t="s">
        <v>7</v>
      </c>
      <c r="D6" s="1" t="s">
        <v>776</v>
      </c>
      <c r="E6" s="6">
        <v>16172</v>
      </c>
      <c r="F6" s="1" t="str">
        <f>VLOOKUP(D6,Table17[[Name]:[Native]],3,FALSE)</f>
        <v>屏边苗族自治县</v>
      </c>
      <c r="G6" s="14" t="str">
        <f ca="1">VLOOKUP(F6,Table17[[Native]:[Population4]],5,FALSE)</f>
        <v>红河哈尼族彝族自治州</v>
      </c>
    </row>
    <row r="7" spans="1:7" ht="15.75" thickBot="1" x14ac:dyDescent="0.3">
      <c r="A7" t="s">
        <v>782</v>
      </c>
      <c r="B7" s="1" t="s">
        <v>783</v>
      </c>
      <c r="C7" s="1" t="s">
        <v>7</v>
      </c>
      <c r="D7" s="1" t="s">
        <v>784</v>
      </c>
      <c r="E7" s="6">
        <v>10959</v>
      </c>
      <c r="F7" s="1" t="str">
        <f>VLOOKUP(D7,Table17[[Name]:[Native]],3,FALSE)</f>
        <v>绿春县</v>
      </c>
      <c r="G7" s="14" t="str">
        <f ca="1">VLOOKUP(F7,Table17[[Native]:[Population4]],5,FALSE)</f>
        <v>红河哈尼族彝族自治州</v>
      </c>
    </row>
    <row r="8" spans="1:7" ht="15.75" thickBot="1" x14ac:dyDescent="0.3">
      <c r="A8" t="s">
        <v>785</v>
      </c>
      <c r="B8" s="1" t="s">
        <v>786</v>
      </c>
      <c r="C8" s="1" t="s">
        <v>7</v>
      </c>
      <c r="D8" s="1" t="s">
        <v>787</v>
      </c>
      <c r="E8" s="6">
        <v>10168</v>
      </c>
      <c r="F8" s="1" t="str">
        <f>VLOOKUP(D8,Table17[[Name]:[Native]],3,FALSE)</f>
        <v>个旧市</v>
      </c>
      <c r="G8" s="14" t="str">
        <f ca="1">VLOOKUP(F8,Table17[[Native]:[Population4]],5,FALSE)</f>
        <v>红河哈尼族彝族自治州</v>
      </c>
    </row>
    <row r="9" spans="1:7" ht="15.75" thickBot="1" x14ac:dyDescent="0.3">
      <c r="A9" t="s">
        <v>372</v>
      </c>
      <c r="B9" s="1" t="s">
        <v>373</v>
      </c>
      <c r="C9" s="1" t="s">
        <v>11</v>
      </c>
      <c r="D9" s="1" t="s">
        <v>773</v>
      </c>
      <c r="E9" s="6">
        <v>21891</v>
      </c>
      <c r="F9" s="1" t="str">
        <f>VLOOKUP(D9,Table17[[Name]:[Native]],3,FALSE)</f>
        <v>红河县</v>
      </c>
      <c r="G9" s="14" t="str">
        <f ca="1">VLOOKUP(F9,Table17[[Native]:[Population4]],5,FALSE)</f>
        <v>红河哈尼族彝族自治州</v>
      </c>
    </row>
    <row r="10" spans="1:7" ht="15.75" thickBot="1" x14ac:dyDescent="0.3">
      <c r="A10" t="s">
        <v>788</v>
      </c>
      <c r="B10" s="1" t="s">
        <v>789</v>
      </c>
      <c r="C10" s="1" t="s">
        <v>11</v>
      </c>
      <c r="D10" s="1" t="s">
        <v>790</v>
      </c>
      <c r="E10" s="6">
        <v>49575</v>
      </c>
      <c r="F10" s="1" t="str">
        <f>VLOOKUP(D10,Table17[[Name]:[Native]],3,FALSE)</f>
        <v>石屏县</v>
      </c>
      <c r="G10" s="14" t="str">
        <f ca="1">VLOOKUP(F10,Table17[[Native]:[Population4]],5,FALSE)</f>
        <v>红河哈尼族彝族自治州</v>
      </c>
    </row>
    <row r="11" spans="1:7" ht="15.75" thickBot="1" x14ac:dyDescent="0.3">
      <c r="A11" t="s">
        <v>791</v>
      </c>
      <c r="B11" s="1" t="s">
        <v>792</v>
      </c>
      <c r="C11" s="1" t="s">
        <v>11</v>
      </c>
      <c r="D11" s="1" t="s">
        <v>790</v>
      </c>
      <c r="E11" s="6">
        <v>27303</v>
      </c>
      <c r="F11" s="1" t="str">
        <f>VLOOKUP(D11,Table17[[Name]:[Native]],3,FALSE)</f>
        <v>石屏县</v>
      </c>
      <c r="G11" s="14" t="str">
        <f ca="1">VLOOKUP(F11,Table17[[Native]:[Population4]],5,FALSE)</f>
        <v>红河哈尼族彝族自治州</v>
      </c>
    </row>
    <row r="12" spans="1:7" ht="15.75" thickBot="1" x14ac:dyDescent="0.3">
      <c r="A12" t="s">
        <v>793</v>
      </c>
      <c r="B12" s="1" t="s">
        <v>794</v>
      </c>
      <c r="C12" s="1" t="s">
        <v>7</v>
      </c>
      <c r="D12" s="1" t="s">
        <v>795</v>
      </c>
      <c r="E12" s="6">
        <v>15789</v>
      </c>
      <c r="F12" s="1" t="str">
        <f>VLOOKUP(D12,Table17[[Name]:[Native]],3,FALSE)</f>
        <v>开远市</v>
      </c>
      <c r="G12" s="14" t="str">
        <f ca="1">VLOOKUP(F12,Table17[[Native]:[Population4]],5,FALSE)</f>
        <v>红河哈尼族彝族自治州</v>
      </c>
    </row>
    <row r="13" spans="1:7" ht="15.75" thickBot="1" x14ac:dyDescent="0.3">
      <c r="A13" t="s">
        <v>796</v>
      </c>
      <c r="B13" s="1" t="s">
        <v>797</v>
      </c>
      <c r="C13" s="1" t="s">
        <v>11</v>
      </c>
      <c r="D13" s="1" t="s">
        <v>798</v>
      </c>
      <c r="E13" s="6">
        <v>37696</v>
      </c>
      <c r="F13" s="1" t="str">
        <f>VLOOKUP(D13,Table17[[Name]:[Native]],3,FALSE)</f>
        <v>蒙自市</v>
      </c>
      <c r="G13" s="14" t="str">
        <f ca="1">VLOOKUP(F13,Table17[[Native]:[Population4]],5,FALSE)</f>
        <v>红河哈尼族彝族自治州</v>
      </c>
    </row>
    <row r="14" spans="1:7" ht="15.75" thickBot="1" x14ac:dyDescent="0.3">
      <c r="A14" t="s">
        <v>799</v>
      </c>
      <c r="B14" s="1" t="s">
        <v>800</v>
      </c>
      <c r="C14" s="1" t="s">
        <v>11</v>
      </c>
      <c r="D14" s="1" t="s">
        <v>801</v>
      </c>
      <c r="E14" s="6">
        <v>24105</v>
      </c>
      <c r="F14" s="1" t="str">
        <f>VLOOKUP(D14,Table17[[Name]:[Native]],3,FALSE)</f>
        <v>建水县</v>
      </c>
      <c r="G14" s="14" t="str">
        <f ca="1">VLOOKUP(F14,Table17[[Native]:[Population4]],5,FALSE)</f>
        <v>红河哈尼族彝族自治州</v>
      </c>
    </row>
    <row r="15" spans="1:7" ht="15.75" thickBot="1" x14ac:dyDescent="0.3">
      <c r="A15" t="s">
        <v>802</v>
      </c>
      <c r="B15" s="1" t="s">
        <v>803</v>
      </c>
      <c r="C15" s="1" t="s">
        <v>7</v>
      </c>
      <c r="D15" s="1" t="s">
        <v>773</v>
      </c>
      <c r="E15" s="6">
        <v>12769</v>
      </c>
      <c r="F15" s="1" t="str">
        <f>VLOOKUP(D15,Table17[[Name]:[Native]],3,FALSE)</f>
        <v>红河县</v>
      </c>
      <c r="G15" s="14" t="str">
        <f ca="1">VLOOKUP(F15,Table17[[Native]:[Population4]],5,FALSE)</f>
        <v>红河哈尼族彝族自治州</v>
      </c>
    </row>
    <row r="16" spans="1:7" ht="15.75" thickBot="1" x14ac:dyDescent="0.3">
      <c r="A16" t="s">
        <v>804</v>
      </c>
      <c r="B16" s="1" t="s">
        <v>805</v>
      </c>
      <c r="C16" s="1" t="s">
        <v>42</v>
      </c>
      <c r="D16" s="1" t="s">
        <v>787</v>
      </c>
      <c r="E16" s="6">
        <v>174329</v>
      </c>
      <c r="F16" s="1" t="str">
        <f>VLOOKUP(D16,Table17[[Name]:[Native]],3,FALSE)</f>
        <v>个旧市</v>
      </c>
      <c r="G16" s="14" t="str">
        <f ca="1">VLOOKUP(F16,Table17[[Native]:[Population4]],5,FALSE)</f>
        <v>红河哈尼族彝族自治州</v>
      </c>
    </row>
    <row r="17" spans="1:7" ht="15.75" thickBot="1" x14ac:dyDescent="0.3">
      <c r="A17" t="s">
        <v>806</v>
      </c>
      <c r="B17" s="1" t="s">
        <v>807</v>
      </c>
      <c r="C17" s="1" t="s">
        <v>11</v>
      </c>
      <c r="D17" s="1" t="s">
        <v>784</v>
      </c>
      <c r="E17" s="6">
        <v>19881</v>
      </c>
      <c r="F17" s="1" t="str">
        <f>VLOOKUP(D17,Table17[[Name]:[Native]],3,FALSE)</f>
        <v>绿春县</v>
      </c>
      <c r="G17" s="14" t="str">
        <f ca="1">VLOOKUP(F17,Table17[[Native]:[Population4]],5,FALSE)</f>
        <v>红河哈尼族彝族自治州</v>
      </c>
    </row>
    <row r="18" spans="1:7" ht="15.75" thickBot="1" x14ac:dyDescent="0.3">
      <c r="A18" t="s">
        <v>808</v>
      </c>
      <c r="B18" s="1" t="s">
        <v>809</v>
      </c>
      <c r="C18" s="1" t="s">
        <v>7</v>
      </c>
      <c r="D18" s="1" t="s">
        <v>810</v>
      </c>
      <c r="E18" s="6">
        <v>26813</v>
      </c>
      <c r="F18" s="1" t="str">
        <f>VLOOKUP(D18,Table17[[Name]:[Native]],3,FALSE)</f>
        <v>元阳县</v>
      </c>
      <c r="G18" s="14" t="str">
        <f ca="1">VLOOKUP(F18,Table17[[Native]:[Population4]],5,FALSE)</f>
        <v>红河哈尼族彝族自治州</v>
      </c>
    </row>
    <row r="19" spans="1:7" ht="15.75" thickBot="1" x14ac:dyDescent="0.3">
      <c r="A19" t="s">
        <v>811</v>
      </c>
      <c r="B19" s="1" t="s">
        <v>812</v>
      </c>
      <c r="C19" s="1" t="s">
        <v>7</v>
      </c>
      <c r="D19" s="1" t="s">
        <v>790</v>
      </c>
      <c r="E19" s="6">
        <v>16025</v>
      </c>
      <c r="F19" s="1" t="str">
        <f>VLOOKUP(D19,Table17[[Name]:[Native]],3,FALSE)</f>
        <v>石屏县</v>
      </c>
      <c r="G19" s="14" t="str">
        <f ca="1">VLOOKUP(F19,Table17[[Native]:[Population4]],5,FALSE)</f>
        <v>红河哈尼族彝族自治州</v>
      </c>
    </row>
    <row r="20" spans="1:7" ht="15.75" thickBot="1" x14ac:dyDescent="0.3">
      <c r="A20" t="s">
        <v>813</v>
      </c>
      <c r="B20" s="1" t="s">
        <v>814</v>
      </c>
      <c r="C20" s="1" t="s">
        <v>7</v>
      </c>
      <c r="D20" s="1" t="s">
        <v>784</v>
      </c>
      <c r="E20" s="6">
        <v>18150</v>
      </c>
      <c r="F20" s="1" t="str">
        <f>VLOOKUP(D20,Table17[[Name]:[Native]],3,FALSE)</f>
        <v>绿春县</v>
      </c>
      <c r="G20" s="14" t="str">
        <f ca="1">VLOOKUP(F20,Table17[[Native]:[Population4]],5,FALSE)</f>
        <v>红河哈尼族彝族自治州</v>
      </c>
    </row>
    <row r="21" spans="1:7" ht="15.75" thickBot="1" x14ac:dyDescent="0.3">
      <c r="A21" t="s">
        <v>815</v>
      </c>
      <c r="B21" s="1" t="s">
        <v>816</v>
      </c>
      <c r="C21" s="1" t="s">
        <v>42</v>
      </c>
      <c r="D21" s="1" t="s">
        <v>787</v>
      </c>
      <c r="E21" s="6">
        <v>77901</v>
      </c>
      <c r="F21" s="1" t="str">
        <f>VLOOKUP(D21,Table17[[Name]:[Native]],3,FALSE)</f>
        <v>个旧市</v>
      </c>
      <c r="G21" s="14" t="str">
        <f ca="1">VLOOKUP(F21,Table17[[Native]:[Population4]],5,FALSE)</f>
        <v>红河哈尼族彝族自治州</v>
      </c>
    </row>
    <row r="22" spans="1:7" ht="15.75" thickBot="1" x14ac:dyDescent="0.3">
      <c r="A22" t="s">
        <v>817</v>
      </c>
      <c r="B22" s="1" t="s">
        <v>818</v>
      </c>
      <c r="C22" s="1" t="s">
        <v>11</v>
      </c>
      <c r="D22" s="1" t="s">
        <v>784</v>
      </c>
      <c r="E22" s="6">
        <v>51812</v>
      </c>
      <c r="F22" s="1" t="str">
        <f>VLOOKUP(D22,Table17[[Name]:[Native]],3,FALSE)</f>
        <v>绿春县</v>
      </c>
      <c r="G22" s="14" t="str">
        <f ca="1">VLOOKUP(F22,Table17[[Native]:[Population4]],5,FALSE)</f>
        <v>红河哈尼族彝族自治州</v>
      </c>
    </row>
    <row r="23" spans="1:7" ht="15.75" thickBot="1" x14ac:dyDescent="0.3">
      <c r="A23" t="s">
        <v>819</v>
      </c>
      <c r="B23" s="1" t="s">
        <v>820</v>
      </c>
      <c r="C23" s="1" t="s">
        <v>7</v>
      </c>
      <c r="D23" s="1" t="s">
        <v>773</v>
      </c>
      <c r="E23" s="6">
        <v>19175</v>
      </c>
      <c r="F23" s="1" t="str">
        <f>VLOOKUP(D23,Table17[[Name]:[Native]],3,FALSE)</f>
        <v>红河县</v>
      </c>
      <c r="G23" s="14" t="str">
        <f ca="1">VLOOKUP(F23,Table17[[Native]:[Population4]],5,FALSE)</f>
        <v>红河哈尼族彝族自治州</v>
      </c>
    </row>
    <row r="24" spans="1:7" ht="15.75" thickBot="1" x14ac:dyDescent="0.3">
      <c r="A24" t="s">
        <v>821</v>
      </c>
      <c r="B24" s="1" t="s">
        <v>822</v>
      </c>
      <c r="C24" s="1" t="s">
        <v>7</v>
      </c>
      <c r="D24" s="1" t="s">
        <v>770</v>
      </c>
      <c r="E24" s="6">
        <v>16562</v>
      </c>
      <c r="F24" s="1" t="str">
        <f>VLOOKUP(D24,Table17[[Name]:[Native]],3,FALSE)</f>
        <v>金平苗族瑶族傣族自治县</v>
      </c>
      <c r="G24" s="14" t="str">
        <f ca="1">VLOOKUP(F24,Table17[[Native]:[Population4]],5,FALSE)</f>
        <v>红河哈尼族彝族自治州</v>
      </c>
    </row>
    <row r="25" spans="1:7" ht="15.75" thickBot="1" x14ac:dyDescent="0.3">
      <c r="A25" t="s">
        <v>823</v>
      </c>
      <c r="B25" s="1" t="s">
        <v>824</v>
      </c>
      <c r="C25" s="1" t="s">
        <v>7</v>
      </c>
      <c r="D25" s="1" t="s">
        <v>795</v>
      </c>
      <c r="E25" s="6">
        <v>19453</v>
      </c>
      <c r="F25" s="1" t="str">
        <f>VLOOKUP(D25,Table17[[Name]:[Native]],3,FALSE)</f>
        <v>开远市</v>
      </c>
      <c r="G25" s="14" t="str">
        <f ca="1">VLOOKUP(F25,Table17[[Native]:[Population4]],5,FALSE)</f>
        <v>红河哈尼族彝族自治州</v>
      </c>
    </row>
    <row r="26" spans="1:7" ht="15.75" thickBot="1" x14ac:dyDescent="0.3">
      <c r="A26" t="s">
        <v>825</v>
      </c>
      <c r="B26" s="1" t="s">
        <v>826</v>
      </c>
      <c r="C26" s="1" t="s">
        <v>7</v>
      </c>
      <c r="D26" s="1" t="s">
        <v>801</v>
      </c>
      <c r="E26" s="6">
        <v>12649</v>
      </c>
      <c r="F26" s="1" t="str">
        <f>VLOOKUP(D26,Table17[[Name]:[Native]],3,FALSE)</f>
        <v>建水县</v>
      </c>
      <c r="G26" s="14" t="str">
        <f ca="1">VLOOKUP(F26,Table17[[Native]:[Population4]],5,FALSE)</f>
        <v>红河哈尼族彝族自治州</v>
      </c>
    </row>
    <row r="27" spans="1:7" ht="15.75" thickBot="1" x14ac:dyDescent="0.3">
      <c r="A27" t="s">
        <v>827</v>
      </c>
      <c r="B27" s="1" t="s">
        <v>828</v>
      </c>
      <c r="C27" s="1" t="s">
        <v>7</v>
      </c>
      <c r="D27" s="1" t="s">
        <v>773</v>
      </c>
      <c r="E27" s="6">
        <v>14937</v>
      </c>
      <c r="F27" s="1" t="str">
        <f>VLOOKUP(D27,Table17[[Name]:[Native]],3,FALSE)</f>
        <v>红河县</v>
      </c>
      <c r="G27" s="14" t="str">
        <f ca="1">VLOOKUP(F27,Table17[[Native]:[Population4]],5,FALSE)</f>
        <v>红河哈尼族彝族自治州</v>
      </c>
    </row>
    <row r="28" spans="1:7" ht="15.75" thickBot="1" x14ac:dyDescent="0.3">
      <c r="A28" t="s">
        <v>829</v>
      </c>
      <c r="B28" s="1" t="s">
        <v>830</v>
      </c>
      <c r="C28" s="1" t="s">
        <v>11</v>
      </c>
      <c r="D28" s="1" t="s">
        <v>831</v>
      </c>
      <c r="E28" s="6">
        <v>19783</v>
      </c>
      <c r="F28" s="1" t="str">
        <f>VLOOKUP(D28,Table17[[Name]:[Native]],3,FALSE)</f>
        <v>弥勒市</v>
      </c>
      <c r="G28" s="14" t="str">
        <f ca="1">VLOOKUP(F28,Table17[[Native]:[Population4]],5,FALSE)</f>
        <v>红河哈尼族彝族自治州</v>
      </c>
    </row>
    <row r="29" spans="1:7" ht="15.75" thickBot="1" x14ac:dyDescent="0.3">
      <c r="A29" t="s">
        <v>832</v>
      </c>
      <c r="B29" s="1" t="s">
        <v>833</v>
      </c>
      <c r="C29" s="1" t="s">
        <v>7</v>
      </c>
      <c r="D29" s="1" t="s">
        <v>810</v>
      </c>
      <c r="E29" s="6">
        <v>20314</v>
      </c>
      <c r="F29" s="1" t="str">
        <f>VLOOKUP(D29,Table17[[Name]:[Native]],3,FALSE)</f>
        <v>元阳县</v>
      </c>
      <c r="G29" s="14" t="str">
        <f ca="1">VLOOKUP(F29,Table17[[Native]:[Population4]],5,FALSE)</f>
        <v>红河哈尼族彝族自治州</v>
      </c>
    </row>
    <row r="30" spans="1:7" ht="15.75" thickBot="1" x14ac:dyDescent="0.3">
      <c r="A30" t="s">
        <v>834</v>
      </c>
      <c r="B30" s="1" t="s">
        <v>835</v>
      </c>
      <c r="C30" s="1" t="s">
        <v>7</v>
      </c>
      <c r="D30" s="1" t="s">
        <v>810</v>
      </c>
      <c r="E30" s="6">
        <v>34592</v>
      </c>
      <c r="F30" s="1" t="str">
        <f>VLOOKUP(D30,Table17[[Name]:[Native]],3,FALSE)</f>
        <v>元阳县</v>
      </c>
      <c r="G30" s="14" t="str">
        <f ca="1">VLOOKUP(F30,Table17[[Native]:[Population4]],5,FALSE)</f>
        <v>红河哈尼族彝族自治州</v>
      </c>
    </row>
    <row r="31" spans="1:7" ht="15.75" thickBot="1" x14ac:dyDescent="0.3">
      <c r="A31" t="s">
        <v>836</v>
      </c>
      <c r="B31" s="1" t="s">
        <v>837</v>
      </c>
      <c r="C31" s="1" t="s">
        <v>7</v>
      </c>
      <c r="D31" s="1" t="s">
        <v>810</v>
      </c>
      <c r="E31" s="6">
        <v>20522</v>
      </c>
      <c r="F31" s="1" t="str">
        <f>VLOOKUP(D31,Table17[[Name]:[Native]],3,FALSE)</f>
        <v>元阳县</v>
      </c>
      <c r="G31" s="14" t="str">
        <f ca="1">VLOOKUP(F31,Table17[[Native]:[Population4]],5,FALSE)</f>
        <v>红河哈尼族彝族自治州</v>
      </c>
    </row>
    <row r="32" spans="1:7" ht="15.75" thickBot="1" x14ac:dyDescent="0.3">
      <c r="A32" t="s">
        <v>838</v>
      </c>
      <c r="B32" s="1" t="s">
        <v>839</v>
      </c>
      <c r="C32" s="1" t="s">
        <v>7</v>
      </c>
      <c r="D32" s="1" t="s">
        <v>784</v>
      </c>
      <c r="E32" s="6">
        <v>20173</v>
      </c>
      <c r="F32" s="1" t="str">
        <f>VLOOKUP(D32,Table17[[Name]:[Native]],3,FALSE)</f>
        <v>绿春县</v>
      </c>
      <c r="G32" s="14" t="str">
        <f ca="1">VLOOKUP(F32,Table17[[Native]:[Population4]],5,FALSE)</f>
        <v>红河哈尼族彝族自治州</v>
      </c>
    </row>
    <row r="33" spans="1:7" ht="15.75" thickBot="1" x14ac:dyDescent="0.3">
      <c r="A33" t="s">
        <v>840</v>
      </c>
      <c r="B33" s="1" t="s">
        <v>841</v>
      </c>
      <c r="C33" s="1" t="s">
        <v>11</v>
      </c>
      <c r="D33" s="1" t="s">
        <v>801</v>
      </c>
      <c r="E33" s="6">
        <v>36884</v>
      </c>
      <c r="F33" s="1" t="str">
        <f>VLOOKUP(D33,Table17[[Name]:[Native]],3,FALSE)</f>
        <v>建水县</v>
      </c>
      <c r="G33" s="14" t="str">
        <f ca="1">VLOOKUP(F33,Table17[[Native]:[Population4]],5,FALSE)</f>
        <v>红河哈尼族彝族自治州</v>
      </c>
    </row>
    <row r="34" spans="1:7" ht="15.75" thickBot="1" x14ac:dyDescent="0.3">
      <c r="A34" t="s">
        <v>842</v>
      </c>
      <c r="B34" s="1" t="s">
        <v>843</v>
      </c>
      <c r="C34" s="1" t="s">
        <v>11</v>
      </c>
      <c r="D34" s="1" t="s">
        <v>844</v>
      </c>
      <c r="E34" s="6">
        <v>37074</v>
      </c>
      <c r="F34" s="1" t="str">
        <f>VLOOKUP(D34,Table17[[Name]:[Native]],3,FALSE)</f>
        <v>河口瑶族自治县</v>
      </c>
      <c r="G34" s="14" t="str">
        <f ca="1">VLOOKUP(F34,Table17[[Native]:[Population4]],5,FALSE)</f>
        <v>红河哈尼族彝族自治州</v>
      </c>
    </row>
    <row r="35" spans="1:7" ht="15.75" thickBot="1" x14ac:dyDescent="0.3">
      <c r="A35" t="s">
        <v>226</v>
      </c>
      <c r="B35" s="1" t="s">
        <v>227</v>
      </c>
      <c r="C35" s="1" t="s">
        <v>11</v>
      </c>
      <c r="D35" s="1" t="s">
        <v>776</v>
      </c>
      <c r="E35" s="6">
        <v>27347</v>
      </c>
      <c r="F35" s="1" t="str">
        <f>VLOOKUP(D35,Table17[[Name]:[Native]],3,FALSE)</f>
        <v>屏边苗族自治县</v>
      </c>
      <c r="G35" s="14" t="str">
        <f ca="1">VLOOKUP(F35,Table17[[Native]:[Population4]],5,FALSE)</f>
        <v>红河哈尼族彝族自治州</v>
      </c>
    </row>
    <row r="36" spans="1:7" ht="15.75" thickBot="1" x14ac:dyDescent="0.3">
      <c r="A36" t="s">
        <v>845</v>
      </c>
      <c r="B36" s="1" t="s">
        <v>846</v>
      </c>
      <c r="C36" s="1" t="s">
        <v>11</v>
      </c>
      <c r="D36" s="1" t="s">
        <v>831</v>
      </c>
      <c r="E36" s="6">
        <v>42414</v>
      </c>
      <c r="F36" s="1" t="str">
        <f>VLOOKUP(D36,Table17[[Name]:[Native]],3,FALSE)</f>
        <v>弥勒市</v>
      </c>
      <c r="G36" s="14" t="str">
        <f ca="1">VLOOKUP(F36,Table17[[Native]:[Population4]],5,FALSE)</f>
        <v>红河哈尼族彝族自治州</v>
      </c>
    </row>
    <row r="37" spans="1:7" ht="15.75" thickBot="1" x14ac:dyDescent="0.3">
      <c r="A37" t="s">
        <v>847</v>
      </c>
      <c r="B37" s="1" t="s">
        <v>848</v>
      </c>
      <c r="C37" s="1" t="s">
        <v>7</v>
      </c>
      <c r="D37" s="1" t="s">
        <v>810</v>
      </c>
      <c r="E37" s="6">
        <v>33218</v>
      </c>
      <c r="F37" s="1" t="str">
        <f>VLOOKUP(D37,Table17[[Name]:[Native]],3,FALSE)</f>
        <v>元阳县</v>
      </c>
      <c r="G37" s="14" t="str">
        <f ca="1">VLOOKUP(F37,Table17[[Native]:[Population4]],5,FALSE)</f>
        <v>红河哈尼族彝族自治州</v>
      </c>
    </row>
    <row r="38" spans="1:7" ht="15.75" thickBot="1" x14ac:dyDescent="0.3">
      <c r="A38" t="s">
        <v>849</v>
      </c>
      <c r="B38" s="1" t="s">
        <v>850</v>
      </c>
      <c r="C38" s="1" t="s">
        <v>7</v>
      </c>
      <c r="D38" s="1" t="s">
        <v>810</v>
      </c>
      <c r="E38" s="6">
        <v>18732</v>
      </c>
      <c r="F38" s="1" t="str">
        <f>VLOOKUP(D38,Table17[[Name]:[Native]],3,FALSE)</f>
        <v>元阳县</v>
      </c>
      <c r="G38" s="14" t="str">
        <f ca="1">VLOOKUP(F38,Table17[[Native]:[Population4]],5,FALSE)</f>
        <v>红河哈尼族彝族自治州</v>
      </c>
    </row>
    <row r="39" spans="1:7" ht="15.75" thickBot="1" x14ac:dyDescent="0.3">
      <c r="A39" t="s">
        <v>851</v>
      </c>
      <c r="B39" s="1" t="s">
        <v>852</v>
      </c>
      <c r="C39" s="1" t="s">
        <v>7</v>
      </c>
      <c r="D39" s="1" t="s">
        <v>773</v>
      </c>
      <c r="E39" s="6">
        <v>20941</v>
      </c>
      <c r="F39" s="1" t="str">
        <f>VLOOKUP(D39,Table17[[Name]:[Native]],3,FALSE)</f>
        <v>红河县</v>
      </c>
      <c r="G39" s="14" t="str">
        <f ca="1">VLOOKUP(F39,Table17[[Native]:[Population4]],5,FALSE)</f>
        <v>红河哈尼族彝族自治州</v>
      </c>
    </row>
    <row r="40" spans="1:7" ht="15.75" thickBot="1" x14ac:dyDescent="0.3">
      <c r="A40" t="s">
        <v>236</v>
      </c>
      <c r="B40" s="1" t="s">
        <v>237</v>
      </c>
      <c r="C40" s="1" t="s">
        <v>7</v>
      </c>
      <c r="D40" s="1" t="s">
        <v>831</v>
      </c>
      <c r="E40" s="6">
        <v>14661</v>
      </c>
      <c r="F40" s="1" t="str">
        <f>VLOOKUP(D40,Table17[[Name]:[Native]],3,FALSE)</f>
        <v>弥勒市</v>
      </c>
      <c r="G40" s="14" t="str">
        <f ca="1">VLOOKUP(F40,Table17[[Native]:[Population4]],5,FALSE)</f>
        <v>红河哈尼族彝族自治州</v>
      </c>
    </row>
    <row r="41" spans="1:7" ht="15.75" thickBot="1" x14ac:dyDescent="0.3">
      <c r="A41" t="s">
        <v>853</v>
      </c>
      <c r="B41" s="1" t="s">
        <v>854</v>
      </c>
      <c r="C41" s="1" t="s">
        <v>7</v>
      </c>
      <c r="D41" s="1" t="s">
        <v>787</v>
      </c>
      <c r="E41" s="6">
        <v>17661</v>
      </c>
      <c r="F41" s="1" t="str">
        <f>VLOOKUP(D41,Table17[[Name]:[Native]],3,FALSE)</f>
        <v>个旧市</v>
      </c>
      <c r="G41" s="14" t="str">
        <f ca="1">VLOOKUP(F41,Table17[[Native]:[Population4]],5,FALSE)</f>
        <v>红河哈尼族彝族自治州</v>
      </c>
    </row>
    <row r="42" spans="1:7" ht="15.75" thickBot="1" x14ac:dyDescent="0.3">
      <c r="A42" t="s">
        <v>855</v>
      </c>
      <c r="B42" s="1" t="s">
        <v>856</v>
      </c>
      <c r="C42" s="1" t="s">
        <v>11</v>
      </c>
      <c r="D42" s="1" t="s">
        <v>773</v>
      </c>
      <c r="E42" s="6">
        <v>26194</v>
      </c>
      <c r="F42" s="1" t="str">
        <f>VLOOKUP(D42,Table17[[Name]:[Native]],3,FALSE)</f>
        <v>红河县</v>
      </c>
      <c r="G42" s="14" t="str">
        <f ca="1">VLOOKUP(F42,Table17[[Native]:[Population4]],5,FALSE)</f>
        <v>红河哈尼族彝族自治州</v>
      </c>
    </row>
    <row r="43" spans="1:7" ht="15.75" thickBot="1" x14ac:dyDescent="0.3">
      <c r="A43" t="s">
        <v>857</v>
      </c>
      <c r="B43" s="1" t="s">
        <v>858</v>
      </c>
      <c r="C43" s="1" t="s">
        <v>11</v>
      </c>
      <c r="D43" s="1" t="s">
        <v>787</v>
      </c>
      <c r="E43" s="6">
        <v>56789</v>
      </c>
      <c r="F43" s="1" t="str">
        <f>VLOOKUP(D43,Table17[[Name]:[Native]],3,FALSE)</f>
        <v>个旧市</v>
      </c>
      <c r="G43" s="14" t="str">
        <f ca="1">VLOOKUP(F43,Table17[[Native]:[Population4]],5,FALSE)</f>
        <v>红河哈尼族彝族自治州</v>
      </c>
    </row>
    <row r="44" spans="1:7" ht="15.75" thickBot="1" x14ac:dyDescent="0.3">
      <c r="A44" t="s">
        <v>859</v>
      </c>
      <c r="B44" s="1" t="s">
        <v>860</v>
      </c>
      <c r="C44" s="1" t="s">
        <v>11</v>
      </c>
      <c r="D44" s="1" t="s">
        <v>770</v>
      </c>
      <c r="E44" s="6">
        <v>79658</v>
      </c>
      <c r="F44" s="1" t="str">
        <f>VLOOKUP(D44,Table17[[Name]:[Native]],3,FALSE)</f>
        <v>金平苗族瑶族傣族自治县</v>
      </c>
      <c r="G44" s="14" t="str">
        <f ca="1">VLOOKUP(F44,Table17[[Native]:[Population4]],5,FALSE)</f>
        <v>红河哈尼族彝族自治州</v>
      </c>
    </row>
    <row r="45" spans="1:7" ht="15.75" thickBot="1" x14ac:dyDescent="0.3">
      <c r="A45" t="s">
        <v>861</v>
      </c>
      <c r="B45" s="1" t="s">
        <v>862</v>
      </c>
      <c r="C45" s="1" t="s">
        <v>11</v>
      </c>
      <c r="D45" s="1" t="s">
        <v>779</v>
      </c>
      <c r="E45" s="6">
        <v>52227</v>
      </c>
      <c r="F45" s="1" t="str">
        <f>VLOOKUP(D45,Table17[[Name]:[Native]],3,FALSE)</f>
        <v>泸西县</v>
      </c>
      <c r="G45" s="14" t="str">
        <f ca="1">VLOOKUP(F45,Table17[[Native]:[Population4]],5,FALSE)</f>
        <v>红河哈尼族彝族自治州</v>
      </c>
    </row>
    <row r="46" spans="1:7" ht="15.75" thickBot="1" x14ac:dyDescent="0.3">
      <c r="A46" t="s">
        <v>863</v>
      </c>
      <c r="B46" s="1" t="s">
        <v>864</v>
      </c>
      <c r="C46" s="1" t="s">
        <v>11</v>
      </c>
      <c r="D46" s="1" t="s">
        <v>770</v>
      </c>
      <c r="E46" s="6">
        <v>22295</v>
      </c>
      <c r="F46" s="1" t="str">
        <f>VLOOKUP(D46,Table17[[Name]:[Native]],3,FALSE)</f>
        <v>金平苗族瑶族傣族自治县</v>
      </c>
      <c r="G46" s="14" t="str">
        <f ca="1">VLOOKUP(F46,Table17[[Native]:[Population4]],5,FALSE)</f>
        <v>红河哈尼族彝族自治州</v>
      </c>
    </row>
    <row r="47" spans="1:7" ht="15.75" thickBot="1" x14ac:dyDescent="0.3">
      <c r="A47" t="s">
        <v>630</v>
      </c>
      <c r="B47" s="1" t="s">
        <v>631</v>
      </c>
      <c r="C47" s="1" t="s">
        <v>11</v>
      </c>
      <c r="D47" s="1" t="s">
        <v>779</v>
      </c>
      <c r="E47" s="6">
        <v>58341</v>
      </c>
      <c r="F47" s="1" t="str">
        <f>VLOOKUP(D47,Table17[[Name]:[Native]],3,FALSE)</f>
        <v>泸西县</v>
      </c>
      <c r="G47" s="14" t="str">
        <f ca="1">VLOOKUP(F47,Table17[[Native]:[Population4]],5,FALSE)</f>
        <v>红河哈尼族彝族自治州</v>
      </c>
    </row>
    <row r="48" spans="1:7" ht="15.75" thickBot="1" x14ac:dyDescent="0.3">
      <c r="A48" t="s">
        <v>865</v>
      </c>
      <c r="B48" s="1" t="s">
        <v>866</v>
      </c>
      <c r="C48" s="1" t="s">
        <v>11</v>
      </c>
      <c r="D48" s="1" t="s">
        <v>787</v>
      </c>
      <c r="E48" s="6">
        <v>44202</v>
      </c>
      <c r="F48" s="1" t="str">
        <f>VLOOKUP(D48,Table17[[Name]:[Native]],3,FALSE)</f>
        <v>个旧市</v>
      </c>
      <c r="G48" s="14" t="str">
        <f ca="1">VLOOKUP(F48,Table17[[Native]:[Population4]],5,FALSE)</f>
        <v>红河哈尼族彝族自治州</v>
      </c>
    </row>
    <row r="49" spans="1:7" ht="15.75" thickBot="1" x14ac:dyDescent="0.3">
      <c r="A49" t="s">
        <v>867</v>
      </c>
      <c r="B49" s="1" t="s">
        <v>868</v>
      </c>
      <c r="C49" s="1" t="s">
        <v>11</v>
      </c>
      <c r="D49" s="1" t="s">
        <v>773</v>
      </c>
      <c r="E49" s="6">
        <v>27859</v>
      </c>
      <c r="F49" s="1" t="str">
        <f>VLOOKUP(D49,Table17[[Name]:[Native]],3,FALSE)</f>
        <v>红河县</v>
      </c>
      <c r="G49" s="14" t="str">
        <f ca="1">VLOOKUP(F49,Table17[[Native]:[Population4]],5,FALSE)</f>
        <v>红河哈尼族彝族自治州</v>
      </c>
    </row>
    <row r="50" spans="1:7" ht="15.75" thickBot="1" x14ac:dyDescent="0.3">
      <c r="A50" t="s">
        <v>869</v>
      </c>
      <c r="B50" s="1" t="s">
        <v>870</v>
      </c>
      <c r="C50" s="1" t="s">
        <v>11</v>
      </c>
      <c r="D50" s="1" t="s">
        <v>787</v>
      </c>
      <c r="E50" s="6">
        <v>21508</v>
      </c>
      <c r="F50" s="1" t="str">
        <f>VLOOKUP(D50,Table17[[Name]:[Native]],3,FALSE)</f>
        <v>个旧市</v>
      </c>
      <c r="G50" s="14" t="str">
        <f ca="1">VLOOKUP(F50,Table17[[Native]:[Population4]],5,FALSE)</f>
        <v>红河哈尼族彝族自治州</v>
      </c>
    </row>
    <row r="51" spans="1:7" ht="15.75" thickBot="1" x14ac:dyDescent="0.3">
      <c r="A51" t="s">
        <v>871</v>
      </c>
      <c r="B51" s="1" t="s">
        <v>872</v>
      </c>
      <c r="C51" s="1" t="s">
        <v>7</v>
      </c>
      <c r="D51" s="1" t="s">
        <v>844</v>
      </c>
      <c r="E51" s="6">
        <v>4806</v>
      </c>
      <c r="F51" s="1" t="str">
        <f>VLOOKUP(D51,Table17[[Name]:[Native]],3,FALSE)</f>
        <v>河口瑶族自治县</v>
      </c>
      <c r="G51" s="14" t="str">
        <f ca="1">VLOOKUP(F51,Table17[[Native]:[Population4]],5,FALSE)</f>
        <v>红河哈尼族彝族自治州</v>
      </c>
    </row>
    <row r="52" spans="1:7" ht="15.75" thickBot="1" x14ac:dyDescent="0.3">
      <c r="A52" t="s">
        <v>873</v>
      </c>
      <c r="B52" s="1" t="s">
        <v>874</v>
      </c>
      <c r="C52" s="1" t="s">
        <v>7</v>
      </c>
      <c r="D52" s="1" t="s">
        <v>770</v>
      </c>
      <c r="E52" s="6">
        <v>25510</v>
      </c>
      <c r="F52" s="1" t="str">
        <f>VLOOKUP(D52,Table17[[Name]:[Native]],3,FALSE)</f>
        <v>金平苗族瑶族傣族自治县</v>
      </c>
      <c r="G52" s="14" t="str">
        <f ca="1">VLOOKUP(F52,Table17[[Native]:[Population4]],5,FALSE)</f>
        <v>红河哈尼族彝族自治州</v>
      </c>
    </row>
    <row r="53" spans="1:7" ht="15.75" thickBot="1" x14ac:dyDescent="0.3">
      <c r="A53" t="s">
        <v>875</v>
      </c>
      <c r="B53" s="1" t="s">
        <v>876</v>
      </c>
      <c r="C53" s="1" t="s">
        <v>11</v>
      </c>
      <c r="D53" s="1" t="s">
        <v>770</v>
      </c>
      <c r="E53" s="6">
        <v>16362</v>
      </c>
      <c r="F53" s="1" t="str">
        <f>VLOOKUP(D53,Table17[[Name]:[Native]],3,FALSE)</f>
        <v>金平苗族瑶族傣族自治县</v>
      </c>
      <c r="G53" s="14" t="str">
        <f ca="1">VLOOKUP(F53,Table17[[Native]:[Population4]],5,FALSE)</f>
        <v>红河哈尼族彝族自治州</v>
      </c>
    </row>
    <row r="54" spans="1:7" ht="15.75" thickBot="1" x14ac:dyDescent="0.3">
      <c r="A54" t="s">
        <v>877</v>
      </c>
      <c r="B54" s="1" t="s">
        <v>878</v>
      </c>
      <c r="C54" s="1" t="s">
        <v>7</v>
      </c>
      <c r="D54" s="1" t="s">
        <v>798</v>
      </c>
      <c r="E54" s="6">
        <v>15479</v>
      </c>
      <c r="F54" s="1" t="str">
        <f>VLOOKUP(D54,Table17[[Name]:[Native]],3,FALSE)</f>
        <v>蒙自市</v>
      </c>
      <c r="G54" s="14" t="str">
        <f ca="1">VLOOKUP(F54,Table17[[Native]:[Population4]],5,FALSE)</f>
        <v>红河哈尼族彝族自治州</v>
      </c>
    </row>
    <row r="55" spans="1:7" ht="15.75" thickBot="1" x14ac:dyDescent="0.3">
      <c r="A55" t="s">
        <v>879</v>
      </c>
      <c r="B55" s="1" t="s">
        <v>880</v>
      </c>
      <c r="C55" s="1" t="s">
        <v>42</v>
      </c>
      <c r="D55" s="1" t="s">
        <v>795</v>
      </c>
      <c r="E55" s="6">
        <v>96691</v>
      </c>
      <c r="F55" s="1" t="str">
        <f>VLOOKUP(D55,Table17[[Name]:[Native]],3,FALSE)</f>
        <v>开远市</v>
      </c>
      <c r="G55" s="14" t="str">
        <f ca="1">VLOOKUP(F55,Table17[[Native]:[Population4]],5,FALSE)</f>
        <v>红河哈尼族彝族自治州</v>
      </c>
    </row>
    <row r="56" spans="1:7" ht="15.75" thickBot="1" x14ac:dyDescent="0.3">
      <c r="A56" t="s">
        <v>881</v>
      </c>
      <c r="B56" s="1" t="s">
        <v>882</v>
      </c>
      <c r="C56" s="1" t="s">
        <v>11</v>
      </c>
      <c r="D56" s="1" t="s">
        <v>798</v>
      </c>
      <c r="E56" s="6">
        <v>20556</v>
      </c>
      <c r="F56" s="1" t="str">
        <f>VLOOKUP(D56,Table17[[Name]:[Native]],3,FALSE)</f>
        <v>蒙自市</v>
      </c>
      <c r="G56" s="14" t="str">
        <f ca="1">VLOOKUP(F56,Table17[[Native]:[Population4]],5,FALSE)</f>
        <v>红河哈尼族彝族自治州</v>
      </c>
    </row>
    <row r="57" spans="1:7" ht="15.75" thickBot="1" x14ac:dyDescent="0.3">
      <c r="A57" t="s">
        <v>883</v>
      </c>
      <c r="B57" s="1" t="s">
        <v>884</v>
      </c>
      <c r="C57" s="1" t="s">
        <v>11</v>
      </c>
      <c r="D57" s="1" t="s">
        <v>773</v>
      </c>
      <c r="E57" s="6">
        <v>23655</v>
      </c>
      <c r="F57" s="1" t="str">
        <f>VLOOKUP(D57,Table17[[Name]:[Native]],3,FALSE)</f>
        <v>红河县</v>
      </c>
      <c r="G57" s="14" t="str">
        <f ca="1">VLOOKUP(F57,Table17[[Native]:[Population4]],5,FALSE)</f>
        <v>红河哈尼族彝族自治州</v>
      </c>
    </row>
    <row r="58" spans="1:7" ht="15.75" thickBot="1" x14ac:dyDescent="0.3">
      <c r="A58" t="s">
        <v>885</v>
      </c>
      <c r="B58" s="1" t="s">
        <v>886</v>
      </c>
      <c r="C58" s="1" t="s">
        <v>7</v>
      </c>
      <c r="D58" s="1" t="s">
        <v>844</v>
      </c>
      <c r="E58" s="6">
        <v>11665</v>
      </c>
      <c r="F58" s="1" t="str">
        <f>VLOOKUP(D58,Table17[[Name]:[Native]],3,FALSE)</f>
        <v>河口瑶族自治县</v>
      </c>
      <c r="G58" s="14" t="str">
        <f ca="1">VLOOKUP(F58,Table17[[Native]:[Population4]],5,FALSE)</f>
        <v>红河哈尼族彝族自治州</v>
      </c>
    </row>
    <row r="59" spans="1:7" ht="15.75" thickBot="1" x14ac:dyDescent="0.3">
      <c r="A59" t="s">
        <v>887</v>
      </c>
      <c r="B59" s="1" t="s">
        <v>888</v>
      </c>
      <c r="C59" s="1" t="s">
        <v>7</v>
      </c>
      <c r="D59" s="1" t="s">
        <v>801</v>
      </c>
      <c r="E59" s="6">
        <v>15105</v>
      </c>
      <c r="F59" s="1" t="str">
        <f>VLOOKUP(D59,Table17[[Name]:[Native]],3,FALSE)</f>
        <v>建水县</v>
      </c>
      <c r="G59" s="14" t="str">
        <f ca="1">VLOOKUP(F59,Table17[[Native]:[Population4]],5,FALSE)</f>
        <v>红河哈尼族彝族自治州</v>
      </c>
    </row>
    <row r="60" spans="1:7" ht="15.75" thickBot="1" x14ac:dyDescent="0.3">
      <c r="A60" t="s">
        <v>889</v>
      </c>
      <c r="B60" s="1" t="s">
        <v>890</v>
      </c>
      <c r="C60" s="1" t="s">
        <v>7</v>
      </c>
      <c r="D60" s="1" t="s">
        <v>801</v>
      </c>
      <c r="E60" s="6">
        <v>14227</v>
      </c>
      <c r="F60" s="1" t="str">
        <f>VLOOKUP(D60,Table17[[Name]:[Native]],3,FALSE)</f>
        <v>建水县</v>
      </c>
      <c r="G60" s="14" t="str">
        <f ca="1">VLOOKUP(F60,Table17[[Native]:[Population4]],5,FALSE)</f>
        <v>红河哈尼族彝族自治州</v>
      </c>
    </row>
    <row r="61" spans="1:7" ht="15.75" thickBot="1" x14ac:dyDescent="0.3">
      <c r="A61" t="s">
        <v>891</v>
      </c>
      <c r="B61" s="1" t="s">
        <v>892</v>
      </c>
      <c r="C61" s="1" t="s">
        <v>11</v>
      </c>
      <c r="D61" s="1" t="s">
        <v>801</v>
      </c>
      <c r="E61" s="6">
        <v>177303</v>
      </c>
      <c r="F61" s="1" t="str">
        <f>VLOOKUP(D61,Table17[[Name]:[Native]],3,FALSE)</f>
        <v>建水县</v>
      </c>
      <c r="G61" s="14" t="str">
        <f ca="1">VLOOKUP(F61,Table17[[Native]:[Population4]],5,FALSE)</f>
        <v>红河哈尼族彝族自治州</v>
      </c>
    </row>
    <row r="62" spans="1:7" ht="15.75" thickBot="1" x14ac:dyDescent="0.3">
      <c r="A62" t="s">
        <v>893</v>
      </c>
      <c r="B62" s="1" t="s">
        <v>894</v>
      </c>
      <c r="C62" s="1" t="s">
        <v>42</v>
      </c>
      <c r="D62" s="1" t="s">
        <v>795</v>
      </c>
      <c r="E62" s="6">
        <v>91413</v>
      </c>
      <c r="F62" s="1" t="str">
        <f>VLOOKUP(D62,Table17[[Name]:[Native]],3,FALSE)</f>
        <v>开远市</v>
      </c>
      <c r="G62" s="14" t="str">
        <f ca="1">VLOOKUP(F62,Table17[[Native]:[Population4]],5,FALSE)</f>
        <v>红河哈尼族彝族自治州</v>
      </c>
    </row>
    <row r="63" spans="1:7" ht="15.75" thickBot="1" x14ac:dyDescent="0.3">
      <c r="A63" t="s">
        <v>895</v>
      </c>
      <c r="B63" s="1" t="s">
        <v>896</v>
      </c>
      <c r="C63" s="1" t="s">
        <v>11</v>
      </c>
      <c r="D63" s="1" t="s">
        <v>790</v>
      </c>
      <c r="E63" s="6">
        <v>26417</v>
      </c>
      <c r="F63" s="1" t="str">
        <f>VLOOKUP(D63,Table17[[Name]:[Native]],3,FALSE)</f>
        <v>石屏县</v>
      </c>
      <c r="G63" s="14" t="str">
        <f ca="1">VLOOKUP(F63,Table17[[Native]:[Population4]],5,FALSE)</f>
        <v>红河哈尼族彝族自治州</v>
      </c>
    </row>
    <row r="64" spans="1:7" ht="15.75" thickBot="1" x14ac:dyDescent="0.3">
      <c r="A64" t="s">
        <v>897</v>
      </c>
      <c r="B64" s="1" t="s">
        <v>898</v>
      </c>
      <c r="C64" s="1" t="s">
        <v>11</v>
      </c>
      <c r="D64" s="1" t="s">
        <v>790</v>
      </c>
      <c r="E64" s="6">
        <v>21080</v>
      </c>
      <c r="F64" s="1" t="str">
        <f>VLOOKUP(D64,Table17[[Name]:[Native]],3,FALSE)</f>
        <v>石屏县</v>
      </c>
      <c r="G64" s="14" t="str">
        <f ca="1">VLOOKUP(F64,Table17[[Native]:[Population4]],5,FALSE)</f>
        <v>红河哈尼族彝族自治州</v>
      </c>
    </row>
    <row r="65" spans="1:7" ht="15.75" thickBot="1" x14ac:dyDescent="0.3">
      <c r="A65" t="s">
        <v>899</v>
      </c>
      <c r="B65" s="1" t="s">
        <v>900</v>
      </c>
      <c r="C65" s="1" t="s">
        <v>7</v>
      </c>
      <c r="D65" s="1" t="s">
        <v>773</v>
      </c>
      <c r="E65" s="6">
        <v>23511</v>
      </c>
      <c r="F65" s="1" t="str">
        <f>VLOOKUP(D65,Table17[[Name]:[Native]],3,FALSE)</f>
        <v>红河县</v>
      </c>
      <c r="G65" s="14" t="str">
        <f ca="1">VLOOKUP(F65,Table17[[Native]:[Population4]],5,FALSE)</f>
        <v>红河哈尼族彝族自治州</v>
      </c>
    </row>
    <row r="66" spans="1:7" ht="15.75" thickBot="1" x14ac:dyDescent="0.3">
      <c r="A66" t="s">
        <v>901</v>
      </c>
      <c r="B66" s="1" t="s">
        <v>902</v>
      </c>
      <c r="C66" s="1" t="s">
        <v>7</v>
      </c>
      <c r="D66" s="1" t="s">
        <v>770</v>
      </c>
      <c r="E66" s="6">
        <v>18446</v>
      </c>
      <c r="F66" s="1" t="str">
        <f>VLOOKUP(D66,Table17[[Name]:[Native]],3,FALSE)</f>
        <v>金平苗族瑶族傣族自治县</v>
      </c>
      <c r="G66" s="14" t="str">
        <f ca="1">VLOOKUP(F66,Table17[[Native]:[Population4]],5,FALSE)</f>
        <v>红河哈尼族彝族自治州</v>
      </c>
    </row>
    <row r="67" spans="1:7" ht="15.75" thickBot="1" x14ac:dyDescent="0.3">
      <c r="A67" t="s">
        <v>903</v>
      </c>
      <c r="B67" s="1" t="s">
        <v>904</v>
      </c>
      <c r="C67" s="1" t="s">
        <v>7</v>
      </c>
      <c r="D67" s="1" t="s">
        <v>810</v>
      </c>
      <c r="E67" s="6">
        <v>25959</v>
      </c>
      <c r="F67" s="1" t="str">
        <f>VLOOKUP(D67,Table17[[Name]:[Native]],3,FALSE)</f>
        <v>元阳县</v>
      </c>
      <c r="G67" s="14" t="str">
        <f ca="1">VLOOKUP(F67,Table17[[Native]:[Population4]],5,FALSE)</f>
        <v>红河哈尼族彝族自治州</v>
      </c>
    </row>
    <row r="68" spans="1:7" ht="15.75" thickBot="1" x14ac:dyDescent="0.3">
      <c r="A68" t="s">
        <v>905</v>
      </c>
      <c r="B68" s="1" t="s">
        <v>906</v>
      </c>
      <c r="C68" s="1" t="s">
        <v>11</v>
      </c>
      <c r="D68" s="1" t="s">
        <v>787</v>
      </c>
      <c r="E68" s="6">
        <v>8527</v>
      </c>
      <c r="F68" s="1" t="str">
        <f>VLOOKUP(D68,Table17[[Name]:[Native]],3,FALSE)</f>
        <v>个旧市</v>
      </c>
      <c r="G68" s="14" t="str">
        <f ca="1">VLOOKUP(F68,Table17[[Native]:[Population4]],5,FALSE)</f>
        <v>红河哈尼族彝族自治州</v>
      </c>
    </row>
    <row r="69" spans="1:7" ht="15.75" thickBot="1" x14ac:dyDescent="0.3">
      <c r="A69" t="s">
        <v>907</v>
      </c>
      <c r="B69" s="1" t="s">
        <v>908</v>
      </c>
      <c r="C69" s="1" t="s">
        <v>11</v>
      </c>
      <c r="D69" s="1" t="s">
        <v>770</v>
      </c>
      <c r="E69" s="6">
        <v>33953</v>
      </c>
      <c r="F69" s="1" t="str">
        <f>VLOOKUP(D69,Table17[[Name]:[Native]],3,FALSE)</f>
        <v>金平苗族瑶族傣族自治县</v>
      </c>
      <c r="G69" s="14" t="str">
        <f ca="1">VLOOKUP(F69,Table17[[Native]:[Population4]],5,FALSE)</f>
        <v>红河哈尼族彝族自治州</v>
      </c>
    </row>
    <row r="70" spans="1:7" ht="15.75" thickBot="1" x14ac:dyDescent="0.3">
      <c r="A70" t="s">
        <v>909</v>
      </c>
      <c r="B70" s="1" t="s">
        <v>910</v>
      </c>
      <c r="C70" s="1" t="s">
        <v>7</v>
      </c>
      <c r="D70" s="1" t="s">
        <v>770</v>
      </c>
      <c r="E70" s="6">
        <v>24750</v>
      </c>
      <c r="F70" s="1" t="str">
        <f>VLOOKUP(D70,Table17[[Name]:[Native]],3,FALSE)</f>
        <v>金平苗族瑶族傣族自治县</v>
      </c>
      <c r="G70" s="14" t="str">
        <f ca="1">VLOOKUP(F70,Table17[[Native]:[Population4]],5,FALSE)</f>
        <v>红河哈尼族彝族自治州</v>
      </c>
    </row>
    <row r="71" spans="1:7" ht="15.75" thickBot="1" x14ac:dyDescent="0.3">
      <c r="A71" t="s">
        <v>911</v>
      </c>
      <c r="B71" s="1" t="s">
        <v>912</v>
      </c>
      <c r="C71" s="1" t="s">
        <v>11</v>
      </c>
      <c r="D71" s="1" t="s">
        <v>801</v>
      </c>
      <c r="E71" s="6">
        <v>39033</v>
      </c>
      <c r="F71" s="1" t="str">
        <f>VLOOKUP(D71,Table17[[Name]:[Native]],3,FALSE)</f>
        <v>建水县</v>
      </c>
      <c r="G71" s="14" t="str">
        <f ca="1">VLOOKUP(F71,Table17[[Native]:[Population4]],5,FALSE)</f>
        <v>红河哈尼族彝族自治州</v>
      </c>
    </row>
    <row r="72" spans="1:7" ht="15.75" thickBot="1" x14ac:dyDescent="0.3">
      <c r="A72" t="s">
        <v>913</v>
      </c>
      <c r="B72" s="1" t="s">
        <v>914</v>
      </c>
      <c r="C72" s="1" t="s">
        <v>11</v>
      </c>
      <c r="D72" s="1" t="s">
        <v>798</v>
      </c>
      <c r="E72" s="6">
        <v>19330</v>
      </c>
      <c r="F72" s="1" t="str">
        <f>VLOOKUP(D72,Table17[[Name]:[Native]],3,FALSE)</f>
        <v>蒙自市</v>
      </c>
      <c r="G72" s="14" t="str">
        <f ca="1">VLOOKUP(F72,Table17[[Native]:[Population4]],5,FALSE)</f>
        <v>红河哈尼族彝族自治州</v>
      </c>
    </row>
    <row r="73" spans="1:7" ht="15.75" thickBot="1" x14ac:dyDescent="0.3">
      <c r="A73" t="s">
        <v>915</v>
      </c>
      <c r="B73" s="1" t="s">
        <v>916</v>
      </c>
      <c r="C73" s="1" t="s">
        <v>11</v>
      </c>
      <c r="D73" s="1" t="s">
        <v>831</v>
      </c>
      <c r="E73" s="6">
        <v>162335</v>
      </c>
      <c r="F73" s="1" t="str">
        <f>VLOOKUP(D73,Table17[[Name]:[Native]],3,FALSE)</f>
        <v>弥勒市</v>
      </c>
      <c r="G73" s="14" t="str">
        <f ca="1">VLOOKUP(F73,Table17[[Native]:[Population4]],5,FALSE)</f>
        <v>红河哈尼族彝族自治州</v>
      </c>
    </row>
    <row r="74" spans="1:7" ht="15.75" thickBot="1" x14ac:dyDescent="0.3">
      <c r="A74" t="s">
        <v>917</v>
      </c>
      <c r="B74" s="1" t="s">
        <v>918</v>
      </c>
      <c r="C74" s="1" t="s">
        <v>11</v>
      </c>
      <c r="D74" s="1" t="s">
        <v>810</v>
      </c>
      <c r="E74" s="6">
        <v>26476</v>
      </c>
      <c r="F74" s="1" t="str">
        <f>VLOOKUP(D74,Table17[[Name]:[Native]],3,FALSE)</f>
        <v>元阳县</v>
      </c>
      <c r="G74" s="14" t="str">
        <f ca="1">VLOOKUP(F74,Table17[[Native]:[Population4]],5,FALSE)</f>
        <v>红河哈尼族彝族自治州</v>
      </c>
    </row>
    <row r="75" spans="1:7" ht="15.75" thickBot="1" x14ac:dyDescent="0.3">
      <c r="A75" t="s">
        <v>919</v>
      </c>
      <c r="B75" s="1" t="s">
        <v>920</v>
      </c>
      <c r="C75" s="1" t="s">
        <v>11</v>
      </c>
      <c r="D75" s="1" t="s">
        <v>844</v>
      </c>
      <c r="E75" s="6">
        <v>21217</v>
      </c>
      <c r="F75" s="1" t="str">
        <f>VLOOKUP(D75,Table17[[Name]:[Native]],3,FALSE)</f>
        <v>河口瑶族自治县</v>
      </c>
      <c r="G75" s="14" t="str">
        <f ca="1">VLOOKUP(F75,Table17[[Native]:[Population4]],5,FALSE)</f>
        <v>红河哈尼族彝族自治州</v>
      </c>
    </row>
    <row r="76" spans="1:7" ht="15.75" thickBot="1" x14ac:dyDescent="0.3">
      <c r="A76" t="s">
        <v>921</v>
      </c>
      <c r="B76" s="1" t="s">
        <v>922</v>
      </c>
      <c r="C76" s="1" t="s">
        <v>11</v>
      </c>
      <c r="D76" s="1" t="s">
        <v>801</v>
      </c>
      <c r="E76" s="6">
        <v>46696</v>
      </c>
      <c r="F76" s="1" t="str">
        <f>VLOOKUP(D76,Table17[[Name]:[Native]],3,FALSE)</f>
        <v>建水县</v>
      </c>
      <c r="G76" s="14" t="str">
        <f ca="1">VLOOKUP(F76,Table17[[Native]:[Population4]],5,FALSE)</f>
        <v>红河哈尼族彝族自治州</v>
      </c>
    </row>
    <row r="77" spans="1:7" ht="15.75" thickBot="1" x14ac:dyDescent="0.3">
      <c r="A77" t="s">
        <v>923</v>
      </c>
      <c r="B77" s="1" t="s">
        <v>924</v>
      </c>
      <c r="C77" s="1" t="s">
        <v>11</v>
      </c>
      <c r="D77" s="1" t="s">
        <v>810</v>
      </c>
      <c r="E77" s="6">
        <v>28830</v>
      </c>
      <c r="F77" s="1" t="str">
        <f>VLOOKUP(D77,Table17[[Name]:[Native]],3,FALSE)</f>
        <v>元阳县</v>
      </c>
      <c r="G77" s="14" t="str">
        <f ca="1">VLOOKUP(F77,Table17[[Native]:[Population4]],5,FALSE)</f>
        <v>红河哈尼族彝族自治州</v>
      </c>
    </row>
    <row r="78" spans="1:7" ht="15.75" thickBot="1" x14ac:dyDescent="0.3">
      <c r="A78" t="s">
        <v>925</v>
      </c>
      <c r="B78" s="1" t="s">
        <v>926</v>
      </c>
      <c r="C78" s="1" t="s">
        <v>11</v>
      </c>
      <c r="D78" s="1" t="s">
        <v>790</v>
      </c>
      <c r="E78" s="6">
        <v>28343</v>
      </c>
      <c r="F78" s="1" t="str">
        <f>VLOOKUP(D78,Table17[[Name]:[Native]],3,FALSE)</f>
        <v>石屏县</v>
      </c>
      <c r="G78" s="14" t="str">
        <f ca="1">VLOOKUP(F78,Table17[[Native]:[Population4]],5,FALSE)</f>
        <v>红河哈尼族彝族自治州</v>
      </c>
    </row>
    <row r="79" spans="1:7" ht="15.75" thickBot="1" x14ac:dyDescent="0.3">
      <c r="A79" t="s">
        <v>927</v>
      </c>
      <c r="B79" s="1" t="s">
        <v>928</v>
      </c>
      <c r="C79" s="1" t="s">
        <v>11</v>
      </c>
      <c r="D79" s="1" t="s">
        <v>784</v>
      </c>
      <c r="E79" s="6">
        <v>33557</v>
      </c>
      <c r="F79" s="1" t="str">
        <f>VLOOKUP(D79,Table17[[Name]:[Native]],3,FALSE)</f>
        <v>绿春县</v>
      </c>
      <c r="G79" s="14" t="str">
        <f ca="1">VLOOKUP(F79,Table17[[Native]:[Population4]],5,FALSE)</f>
        <v>红河哈尼族彝族自治州</v>
      </c>
    </row>
    <row r="80" spans="1:7" ht="15.75" thickBot="1" x14ac:dyDescent="0.3">
      <c r="A80" t="s">
        <v>929</v>
      </c>
      <c r="B80" s="1" t="s">
        <v>930</v>
      </c>
      <c r="C80" s="1" t="s">
        <v>7</v>
      </c>
      <c r="D80" s="1" t="s">
        <v>801</v>
      </c>
      <c r="E80" s="6">
        <v>10457</v>
      </c>
      <c r="F80" s="1" t="str">
        <f>VLOOKUP(D80,Table17[[Name]:[Native]],3,FALSE)</f>
        <v>建水县</v>
      </c>
      <c r="G80" s="14" t="str">
        <f ca="1">VLOOKUP(F80,Table17[[Native]:[Population4]],5,FALSE)</f>
        <v>红河哈尼族彝族自治州</v>
      </c>
    </row>
    <row r="81" spans="1:7" ht="15.75" thickBot="1" x14ac:dyDescent="0.3">
      <c r="A81" t="s">
        <v>931</v>
      </c>
      <c r="B81" s="1" t="s">
        <v>932</v>
      </c>
      <c r="C81" s="1" t="s">
        <v>7</v>
      </c>
      <c r="D81" s="1" t="s">
        <v>810</v>
      </c>
      <c r="E81" s="6">
        <v>17089</v>
      </c>
      <c r="F81" s="1" t="str">
        <f>VLOOKUP(D81,Table17[[Name]:[Native]],3,FALSE)</f>
        <v>元阳县</v>
      </c>
      <c r="G81" s="14" t="str">
        <f ca="1">VLOOKUP(F81,Table17[[Native]:[Population4]],5,FALSE)</f>
        <v>红河哈尼族彝族自治州</v>
      </c>
    </row>
    <row r="82" spans="1:7" ht="15.75" thickBot="1" x14ac:dyDescent="0.3">
      <c r="A82" t="s">
        <v>933</v>
      </c>
      <c r="B82" s="1" t="s">
        <v>934</v>
      </c>
      <c r="C82" s="1" t="s">
        <v>11</v>
      </c>
      <c r="D82" s="1" t="s">
        <v>831</v>
      </c>
      <c r="E82" s="6">
        <v>47964</v>
      </c>
      <c r="F82" s="1" t="str">
        <f>VLOOKUP(D82,Table17[[Name]:[Native]],3,FALSE)</f>
        <v>弥勒市</v>
      </c>
      <c r="G82" s="14" t="str">
        <f ca="1">VLOOKUP(F82,Table17[[Native]:[Population4]],5,FALSE)</f>
        <v>红河哈尼族彝族自治州</v>
      </c>
    </row>
    <row r="83" spans="1:7" ht="15.75" thickBot="1" x14ac:dyDescent="0.3">
      <c r="A83" t="s">
        <v>935</v>
      </c>
      <c r="B83" s="1" t="s">
        <v>936</v>
      </c>
      <c r="C83" s="1" t="s">
        <v>11</v>
      </c>
      <c r="D83" s="1" t="s">
        <v>784</v>
      </c>
      <c r="E83" s="6">
        <v>29748</v>
      </c>
      <c r="F83" s="1" t="str">
        <f>VLOOKUP(D83,Table17[[Name]:[Native]],3,FALSE)</f>
        <v>绿春县</v>
      </c>
      <c r="G83" s="14" t="str">
        <f ca="1">VLOOKUP(F83,Table17[[Native]:[Population4]],5,FALSE)</f>
        <v>红河哈尼族彝族自治州</v>
      </c>
    </row>
    <row r="84" spans="1:7" ht="15.75" thickBot="1" x14ac:dyDescent="0.3">
      <c r="A84" t="s">
        <v>937</v>
      </c>
      <c r="B84" s="1" t="s">
        <v>938</v>
      </c>
      <c r="C84" s="1" t="s">
        <v>7</v>
      </c>
      <c r="D84" s="1" t="s">
        <v>801</v>
      </c>
      <c r="E84" s="6">
        <v>22822</v>
      </c>
      <c r="F84" s="1" t="str">
        <f>VLOOKUP(D84,Table17[[Name]:[Native]],3,FALSE)</f>
        <v>建水县</v>
      </c>
      <c r="G84" s="14" t="str">
        <f ca="1">VLOOKUP(F84,Table17[[Native]:[Population4]],5,FALSE)</f>
        <v>红河哈尼族彝族自治州</v>
      </c>
    </row>
    <row r="85" spans="1:7" ht="15.75" thickBot="1" x14ac:dyDescent="0.3">
      <c r="A85" t="s">
        <v>939</v>
      </c>
      <c r="B85" s="1" t="s">
        <v>940</v>
      </c>
      <c r="C85" s="1" t="s">
        <v>7</v>
      </c>
      <c r="D85" s="1" t="s">
        <v>801</v>
      </c>
      <c r="E85" s="6">
        <v>12963</v>
      </c>
      <c r="F85" s="1" t="str">
        <f>VLOOKUP(D85,Table17[[Name]:[Native]],3,FALSE)</f>
        <v>建水县</v>
      </c>
      <c r="G85" s="14" t="str">
        <f ca="1">VLOOKUP(F85,Table17[[Native]:[Population4]],5,FALSE)</f>
        <v>红河哈尼族彝族自治州</v>
      </c>
    </row>
    <row r="86" spans="1:7" ht="15.75" thickBot="1" x14ac:dyDescent="0.3">
      <c r="A86" t="s">
        <v>941</v>
      </c>
      <c r="B86" s="1" t="s">
        <v>942</v>
      </c>
      <c r="C86" s="1" t="s">
        <v>7</v>
      </c>
      <c r="D86" s="1" t="s">
        <v>844</v>
      </c>
      <c r="E86" s="6">
        <v>16616</v>
      </c>
      <c r="F86" s="1" t="str">
        <f>VLOOKUP(D86,Table17[[Name]:[Native]],3,FALSE)</f>
        <v>河口瑶族自治县</v>
      </c>
      <c r="G86" s="14" t="str">
        <f ca="1">VLOOKUP(F86,Table17[[Native]:[Population4]],5,FALSE)</f>
        <v>红河哈尼族彝族自治州</v>
      </c>
    </row>
    <row r="87" spans="1:7" ht="15.75" thickBot="1" x14ac:dyDescent="0.3">
      <c r="A87" t="s">
        <v>943</v>
      </c>
      <c r="B87" s="1" t="s">
        <v>944</v>
      </c>
      <c r="C87" s="1" t="s">
        <v>7</v>
      </c>
      <c r="D87" s="1" t="s">
        <v>798</v>
      </c>
      <c r="E87" s="6">
        <v>15319</v>
      </c>
      <c r="F87" s="1" t="str">
        <f>VLOOKUP(D87,Table17[[Name]:[Native]],3,FALSE)</f>
        <v>蒙自市</v>
      </c>
      <c r="G87" s="14" t="str">
        <f ca="1">VLOOKUP(F87,Table17[[Native]:[Population4]],5,FALSE)</f>
        <v>红河哈尼族彝族自治州</v>
      </c>
    </row>
    <row r="88" spans="1:7" ht="15.75" thickBot="1" x14ac:dyDescent="0.3">
      <c r="A88" t="s">
        <v>945</v>
      </c>
      <c r="B88" s="1" t="s">
        <v>946</v>
      </c>
      <c r="C88" s="1" t="s">
        <v>7</v>
      </c>
      <c r="D88" s="1" t="s">
        <v>784</v>
      </c>
      <c r="E88" s="6">
        <v>12758</v>
      </c>
      <c r="F88" s="1" t="str">
        <f>VLOOKUP(D88,Table17[[Name]:[Native]],3,FALSE)</f>
        <v>绿春县</v>
      </c>
      <c r="G88" s="14" t="str">
        <f ca="1">VLOOKUP(F88,Table17[[Native]:[Population4]],5,FALSE)</f>
        <v>红河哈尼族彝族自治州</v>
      </c>
    </row>
    <row r="89" spans="1:7" ht="15.75" thickBot="1" x14ac:dyDescent="0.3">
      <c r="A89" t="s">
        <v>947</v>
      </c>
      <c r="B89" s="1" t="s">
        <v>948</v>
      </c>
      <c r="C89" s="1" t="s">
        <v>11</v>
      </c>
      <c r="D89" s="1" t="s">
        <v>801</v>
      </c>
      <c r="E89" s="6">
        <v>14716</v>
      </c>
      <c r="F89" s="1" t="str">
        <f>VLOOKUP(D89,Table17[[Name]:[Native]],3,FALSE)</f>
        <v>建水县</v>
      </c>
      <c r="G89" s="14" t="str">
        <f ca="1">VLOOKUP(F89,Table17[[Native]:[Population4]],5,FALSE)</f>
        <v>红河哈尼族彝族自治州</v>
      </c>
    </row>
    <row r="90" spans="1:7" ht="15.75" thickBot="1" x14ac:dyDescent="0.3">
      <c r="A90" t="s">
        <v>949</v>
      </c>
      <c r="B90" s="1" t="s">
        <v>950</v>
      </c>
      <c r="C90" s="1" t="s">
        <v>11</v>
      </c>
      <c r="D90" s="1" t="s">
        <v>801</v>
      </c>
      <c r="E90" s="6">
        <v>71402</v>
      </c>
      <c r="F90" s="1" t="str">
        <f>VLOOKUP(D90,Table17[[Name]:[Native]],3,FALSE)</f>
        <v>建水县</v>
      </c>
      <c r="G90" s="14" t="str">
        <f ca="1">VLOOKUP(F90,Table17[[Native]:[Population4]],5,FALSE)</f>
        <v>红河哈尼族彝族自治州</v>
      </c>
    </row>
    <row r="91" spans="1:7" ht="15.75" thickBot="1" x14ac:dyDescent="0.3">
      <c r="A91" t="s">
        <v>951</v>
      </c>
      <c r="B91" s="1" t="s">
        <v>952</v>
      </c>
      <c r="C91" s="1" t="s">
        <v>7</v>
      </c>
      <c r="D91" s="1" t="s">
        <v>773</v>
      </c>
      <c r="E91" s="6">
        <v>13184</v>
      </c>
      <c r="F91" s="1" t="str">
        <f>VLOOKUP(D91,Table17[[Name]:[Native]],3,FALSE)</f>
        <v>红河县</v>
      </c>
      <c r="G91" s="14" t="str">
        <f ca="1">VLOOKUP(F91,Table17[[Native]:[Population4]],5,FALSE)</f>
        <v>红河哈尼族彝族自治州</v>
      </c>
    </row>
    <row r="92" spans="1:7" ht="15.75" thickBot="1" x14ac:dyDescent="0.3">
      <c r="A92" t="s">
        <v>953</v>
      </c>
      <c r="B92" s="1" t="s">
        <v>954</v>
      </c>
      <c r="C92" s="1" t="s">
        <v>7</v>
      </c>
      <c r="D92" s="1" t="s">
        <v>784</v>
      </c>
      <c r="E92" s="6">
        <v>25142</v>
      </c>
      <c r="F92" s="1" t="str">
        <f>VLOOKUP(D92,Table17[[Name]:[Native]],3,FALSE)</f>
        <v>绿春县</v>
      </c>
      <c r="G92" s="14" t="str">
        <f ca="1">VLOOKUP(F92,Table17[[Native]:[Population4]],5,FALSE)</f>
        <v>红河哈尼族彝族自治州</v>
      </c>
    </row>
    <row r="93" spans="1:7" ht="15.75" thickBot="1" x14ac:dyDescent="0.3">
      <c r="A93" t="s">
        <v>955</v>
      </c>
      <c r="B93" s="1" t="s">
        <v>956</v>
      </c>
      <c r="C93" s="1" t="s">
        <v>7</v>
      </c>
      <c r="D93" s="1" t="s">
        <v>779</v>
      </c>
      <c r="E93" s="6">
        <v>17950</v>
      </c>
      <c r="F93" s="1" t="str">
        <f>VLOOKUP(D93,Table17[[Name]:[Native]],3,FALSE)</f>
        <v>泸西县</v>
      </c>
      <c r="G93" s="14" t="str">
        <f ca="1">VLOOKUP(F93,Table17[[Native]:[Population4]],5,FALSE)</f>
        <v>红河哈尼族彝族自治州</v>
      </c>
    </row>
    <row r="94" spans="1:7" ht="15.75" thickBot="1" x14ac:dyDescent="0.3">
      <c r="A94" t="s">
        <v>957</v>
      </c>
      <c r="B94" s="1" t="s">
        <v>958</v>
      </c>
      <c r="C94" s="1" t="s">
        <v>42</v>
      </c>
      <c r="D94" s="1" t="s">
        <v>787</v>
      </c>
      <c r="E94" s="6">
        <v>18952</v>
      </c>
      <c r="F94" s="1" t="str">
        <f>VLOOKUP(D94,Table17[[Name]:[Native]],3,FALSE)</f>
        <v>个旧市</v>
      </c>
      <c r="G94" s="14" t="str">
        <f ca="1">VLOOKUP(F94,Table17[[Native]:[Population4]],5,FALSE)</f>
        <v>红河哈尼族彝族自治州</v>
      </c>
    </row>
    <row r="95" spans="1:7" ht="15.75" thickBot="1" x14ac:dyDescent="0.3">
      <c r="A95" t="s">
        <v>959</v>
      </c>
      <c r="B95" s="1" t="s">
        <v>960</v>
      </c>
      <c r="C95" s="1" t="s">
        <v>7</v>
      </c>
      <c r="D95" s="1" t="s">
        <v>810</v>
      </c>
      <c r="E95" s="6">
        <v>20005</v>
      </c>
      <c r="F95" s="1" t="str">
        <f>VLOOKUP(D95,Table17[[Name]:[Native]],3,FALSE)</f>
        <v>元阳县</v>
      </c>
      <c r="G95" s="14" t="str">
        <f ca="1">VLOOKUP(F95,Table17[[Native]:[Population4]],5,FALSE)</f>
        <v>红河哈尼族彝族自治州</v>
      </c>
    </row>
    <row r="96" spans="1:7" ht="15.75" thickBot="1" x14ac:dyDescent="0.3">
      <c r="A96" t="s">
        <v>961</v>
      </c>
      <c r="B96" s="1" t="s">
        <v>962</v>
      </c>
      <c r="C96" s="1" t="s">
        <v>7</v>
      </c>
      <c r="D96" s="1" t="s">
        <v>810</v>
      </c>
      <c r="E96" s="6">
        <v>23249</v>
      </c>
      <c r="F96" s="1" t="str">
        <f>VLOOKUP(D96,Table17[[Name]:[Native]],3,FALSE)</f>
        <v>元阳县</v>
      </c>
      <c r="G96" s="14" t="str">
        <f ca="1">VLOOKUP(F96,Table17[[Native]:[Population4]],5,FALSE)</f>
        <v>红河哈尼族彝族自治州</v>
      </c>
    </row>
    <row r="97" spans="1:7" ht="15.75" thickBot="1" x14ac:dyDescent="0.3">
      <c r="A97" t="s">
        <v>963</v>
      </c>
      <c r="B97" s="1" t="s">
        <v>964</v>
      </c>
      <c r="C97" s="1" t="s">
        <v>11</v>
      </c>
      <c r="D97" s="1" t="s">
        <v>790</v>
      </c>
      <c r="E97" s="6">
        <v>17223</v>
      </c>
      <c r="F97" s="1" t="str">
        <f>VLOOKUP(D97,Table17[[Name]:[Native]],3,FALSE)</f>
        <v>石屏县</v>
      </c>
      <c r="G97" s="14" t="str">
        <f ca="1">VLOOKUP(F97,Table17[[Native]:[Population4]],5,FALSE)</f>
        <v>红河哈尼族彝族自治州</v>
      </c>
    </row>
    <row r="98" spans="1:7" ht="15.75" thickBot="1" x14ac:dyDescent="0.3">
      <c r="A98" t="s">
        <v>965</v>
      </c>
      <c r="B98" s="1" t="s">
        <v>966</v>
      </c>
      <c r="C98" s="1" t="s">
        <v>7</v>
      </c>
      <c r="D98" s="1" t="s">
        <v>770</v>
      </c>
      <c r="E98" s="6">
        <v>20082</v>
      </c>
      <c r="F98" s="1" t="str">
        <f>VLOOKUP(D98,Table17[[Name]:[Native]],3,FALSE)</f>
        <v>金平苗族瑶族傣族自治县</v>
      </c>
      <c r="G98" s="14" t="str">
        <f ca="1">VLOOKUP(F98,Table17[[Native]:[Population4]],5,FALSE)</f>
        <v>红河哈尼族彝族自治州</v>
      </c>
    </row>
    <row r="99" spans="1:7" ht="15.75" thickBot="1" x14ac:dyDescent="0.3">
      <c r="A99" t="s">
        <v>967</v>
      </c>
      <c r="B99" s="1" t="s">
        <v>968</v>
      </c>
      <c r="C99" s="1" t="s">
        <v>7</v>
      </c>
      <c r="D99" s="1" t="s">
        <v>773</v>
      </c>
      <c r="E99" s="6">
        <v>16769</v>
      </c>
      <c r="F99" s="1" t="str">
        <f>VLOOKUP(D99,Table17[[Name]:[Native]],3,FALSE)</f>
        <v>红河县</v>
      </c>
      <c r="G99" s="14" t="str">
        <f ca="1">VLOOKUP(F99,Table17[[Native]:[Population4]],5,FALSE)</f>
        <v>红河哈尼族彝族自治州</v>
      </c>
    </row>
    <row r="100" spans="1:7" ht="15.75" thickBot="1" x14ac:dyDescent="0.3">
      <c r="A100" t="s">
        <v>969</v>
      </c>
      <c r="B100" s="1" t="s">
        <v>970</v>
      </c>
      <c r="C100" s="1" t="s">
        <v>7</v>
      </c>
      <c r="D100" s="1" t="s">
        <v>798</v>
      </c>
      <c r="E100" s="6">
        <v>5486</v>
      </c>
      <c r="F100" s="1" t="str">
        <f>VLOOKUP(D100,Table17[[Name]:[Native]],3,FALSE)</f>
        <v>蒙自市</v>
      </c>
      <c r="G100" s="14" t="str">
        <f ca="1">VLOOKUP(F100,Table17[[Native]:[Population4]],5,FALSE)</f>
        <v>红河哈尼族彝族自治州</v>
      </c>
    </row>
    <row r="101" spans="1:7" ht="15.75" thickBot="1" x14ac:dyDescent="0.3">
      <c r="A101" t="s">
        <v>971</v>
      </c>
      <c r="B101" s="1" t="s">
        <v>972</v>
      </c>
      <c r="C101" s="1" t="s">
        <v>7</v>
      </c>
      <c r="D101" s="1" t="s">
        <v>770</v>
      </c>
      <c r="E101" s="6">
        <v>30920</v>
      </c>
      <c r="F101" s="1" t="str">
        <f>VLOOKUP(D101,Table17[[Name]:[Native]],3,FALSE)</f>
        <v>金平苗族瑶族傣族自治县</v>
      </c>
      <c r="G101" s="14" t="str">
        <f ca="1">VLOOKUP(F101,Table17[[Native]:[Population4]],5,FALSE)</f>
        <v>红河哈尼族彝族自治州</v>
      </c>
    </row>
    <row r="102" spans="1:7" ht="15.75" thickBot="1" x14ac:dyDescent="0.3">
      <c r="A102" t="s">
        <v>973</v>
      </c>
      <c r="B102" s="1" t="s">
        <v>974</v>
      </c>
      <c r="C102" s="1" t="s">
        <v>7</v>
      </c>
      <c r="D102" s="1" t="s">
        <v>776</v>
      </c>
      <c r="E102" s="6">
        <v>13494</v>
      </c>
      <c r="F102" s="1" t="str">
        <f>VLOOKUP(D102,Table17[[Name]:[Native]],3,FALSE)</f>
        <v>屏边苗族自治县</v>
      </c>
      <c r="G102" s="14" t="str">
        <f ca="1">VLOOKUP(F102,Table17[[Native]:[Population4]],5,FALSE)</f>
        <v>红河哈尼族彝族自治州</v>
      </c>
    </row>
    <row r="103" spans="1:7" ht="15.75" thickBot="1" x14ac:dyDescent="0.3">
      <c r="A103" t="s">
        <v>975</v>
      </c>
      <c r="B103" s="1" t="s">
        <v>976</v>
      </c>
      <c r="C103" s="1" t="s">
        <v>42</v>
      </c>
      <c r="D103" s="1" t="s">
        <v>798</v>
      </c>
      <c r="E103" s="6">
        <v>185130</v>
      </c>
      <c r="F103" s="1" t="str">
        <f>VLOOKUP(D103,Table17[[Name]:[Native]],3,FALSE)</f>
        <v>蒙自市</v>
      </c>
      <c r="G103" s="14" t="str">
        <f ca="1">VLOOKUP(F103,Table17[[Native]:[Population4]],5,FALSE)</f>
        <v>红河哈尼族彝族自治州</v>
      </c>
    </row>
    <row r="104" spans="1:7" ht="15.75" thickBot="1" x14ac:dyDescent="0.3">
      <c r="A104" t="s">
        <v>977</v>
      </c>
      <c r="B104" s="1" t="s">
        <v>978</v>
      </c>
      <c r="C104" s="1" t="s">
        <v>11</v>
      </c>
      <c r="D104" s="1" t="s">
        <v>779</v>
      </c>
      <c r="E104" s="6">
        <v>45669</v>
      </c>
      <c r="F104" s="1" t="str">
        <f>VLOOKUP(D104,Table17[[Name]:[Native]],3,FALSE)</f>
        <v>泸西县</v>
      </c>
      <c r="G104" s="14" t="str">
        <f ca="1">VLOOKUP(F104,Table17[[Native]:[Population4]],5,FALSE)</f>
        <v>红河哈尼族彝族自治州</v>
      </c>
    </row>
    <row r="105" spans="1:7" ht="15.75" thickBot="1" x14ac:dyDescent="0.3">
      <c r="A105" t="s">
        <v>979</v>
      </c>
      <c r="B105" s="1" t="s">
        <v>980</v>
      </c>
      <c r="C105" s="1" t="s">
        <v>7</v>
      </c>
      <c r="D105" s="1" t="s">
        <v>831</v>
      </c>
      <c r="E105" s="6">
        <v>18552</v>
      </c>
      <c r="F105" s="1" t="str">
        <f>VLOOKUP(D105,Table17[[Name]:[Native]],3,FALSE)</f>
        <v>弥勒市</v>
      </c>
      <c r="G105" s="14" t="str">
        <f ca="1">VLOOKUP(F105,Table17[[Native]:[Population4]],5,FALSE)</f>
        <v>红河哈尼族彝族自治州</v>
      </c>
    </row>
    <row r="106" spans="1:7" ht="15.75" thickBot="1" x14ac:dyDescent="0.3">
      <c r="A106" t="s">
        <v>981</v>
      </c>
      <c r="B106" s="1" t="s">
        <v>982</v>
      </c>
      <c r="C106" s="1" t="s">
        <v>7</v>
      </c>
      <c r="D106" s="1" t="s">
        <v>779</v>
      </c>
      <c r="E106" s="6">
        <v>26711</v>
      </c>
      <c r="F106" s="1" t="str">
        <f>VLOOKUP(D106,Table17[[Name]:[Native]],3,FALSE)</f>
        <v>泸西县</v>
      </c>
      <c r="G106" s="14" t="str">
        <f ca="1">VLOOKUP(F106,Table17[[Native]:[Population4]],5,FALSE)</f>
        <v>红河哈尼族彝族自治州</v>
      </c>
    </row>
    <row r="107" spans="1:7" ht="15.75" thickBot="1" x14ac:dyDescent="0.3">
      <c r="A107" t="s">
        <v>983</v>
      </c>
      <c r="B107" s="1" t="s">
        <v>984</v>
      </c>
      <c r="C107" s="1" t="s">
        <v>11</v>
      </c>
      <c r="D107" s="1" t="s">
        <v>795</v>
      </c>
      <c r="E107" s="6">
        <v>24986</v>
      </c>
      <c r="F107" s="1" t="str">
        <f>VLOOKUP(D107,Table17[[Name]:[Native]],3,FALSE)</f>
        <v>开远市</v>
      </c>
      <c r="G107" s="14" t="str">
        <f ca="1">VLOOKUP(F107,Table17[[Native]:[Population4]],5,FALSE)</f>
        <v>红河哈尼族彝族自治州</v>
      </c>
    </row>
    <row r="108" spans="1:7" ht="15.75" thickBot="1" x14ac:dyDescent="0.3">
      <c r="A108" t="s">
        <v>985</v>
      </c>
      <c r="B108" s="1" t="s">
        <v>986</v>
      </c>
      <c r="C108" s="1" t="s">
        <v>7</v>
      </c>
      <c r="D108" s="1" t="s">
        <v>810</v>
      </c>
      <c r="E108" s="6">
        <v>26406</v>
      </c>
      <c r="F108" s="1" t="str">
        <f>VLOOKUP(D108,Table17[[Name]:[Native]],3,FALSE)</f>
        <v>元阳县</v>
      </c>
      <c r="G108" s="14" t="str">
        <f ca="1">VLOOKUP(F108,Table17[[Native]:[Population4]],5,FALSE)</f>
        <v>红河哈尼族彝族自治州</v>
      </c>
    </row>
    <row r="109" spans="1:7" ht="15.75" thickBot="1" x14ac:dyDescent="0.3">
      <c r="A109" t="s">
        <v>987</v>
      </c>
      <c r="B109" s="1" t="s">
        <v>988</v>
      </c>
      <c r="C109" s="1" t="s">
        <v>7</v>
      </c>
      <c r="D109" s="1" t="s">
        <v>798</v>
      </c>
      <c r="E109" s="6">
        <v>10129</v>
      </c>
      <c r="F109" s="1" t="str">
        <f>VLOOKUP(D109,Table17[[Name]:[Native]],3,FALSE)</f>
        <v>蒙自市</v>
      </c>
      <c r="G109" s="14" t="str">
        <f ca="1">VLOOKUP(F109,Table17[[Native]:[Population4]],5,FALSE)</f>
        <v>红河哈尼族彝族自治州</v>
      </c>
    </row>
    <row r="110" spans="1:7" ht="15.75" thickBot="1" x14ac:dyDescent="0.3">
      <c r="A110" t="s">
        <v>989</v>
      </c>
      <c r="B110" s="1" t="s">
        <v>990</v>
      </c>
      <c r="C110" s="1" t="s">
        <v>11</v>
      </c>
      <c r="D110" s="1" t="s">
        <v>787</v>
      </c>
      <c r="E110" s="6">
        <v>29744</v>
      </c>
      <c r="F110" s="1" t="str">
        <f>VLOOKUP(D110,Table17[[Name]:[Native]],3,FALSE)</f>
        <v>个旧市</v>
      </c>
      <c r="G110" s="14" t="str">
        <f ca="1">VLOOKUP(F110,Table17[[Native]:[Population4]],5,FALSE)</f>
        <v>红河哈尼族彝族自治州</v>
      </c>
    </row>
    <row r="111" spans="1:7" ht="15.75" thickBot="1" x14ac:dyDescent="0.3">
      <c r="A111" t="s">
        <v>991</v>
      </c>
      <c r="B111" s="1" t="s">
        <v>992</v>
      </c>
      <c r="C111" s="1" t="s">
        <v>11</v>
      </c>
      <c r="D111" s="1" t="s">
        <v>831</v>
      </c>
      <c r="E111" s="6">
        <v>40539</v>
      </c>
      <c r="F111" s="1" t="str">
        <f>VLOOKUP(D111,Table17[[Name]:[Native]],3,FALSE)</f>
        <v>弥勒市</v>
      </c>
      <c r="G111" s="14" t="str">
        <f ca="1">VLOOKUP(F111,Table17[[Native]:[Population4]],5,FALSE)</f>
        <v>红河哈尼族彝族自治州</v>
      </c>
    </row>
    <row r="112" spans="1:7" ht="15.75" thickBot="1" x14ac:dyDescent="0.3">
      <c r="A112" t="s">
        <v>993</v>
      </c>
      <c r="B112" s="1" t="s">
        <v>994</v>
      </c>
      <c r="C112" s="1" t="s">
        <v>11</v>
      </c>
      <c r="D112" s="1" t="s">
        <v>798</v>
      </c>
      <c r="E112" s="6">
        <v>43808</v>
      </c>
      <c r="F112" s="1" t="str">
        <f>VLOOKUP(D112,Table17[[Name]:[Native]],3,FALSE)</f>
        <v>蒙自市</v>
      </c>
      <c r="G112" s="14" t="str">
        <f ca="1">VLOOKUP(F112,Table17[[Native]:[Population4]],5,FALSE)</f>
        <v>红河哈尼族彝族自治州</v>
      </c>
    </row>
    <row r="113" spans="1:7" ht="15.75" thickBot="1" x14ac:dyDescent="0.3">
      <c r="A113" t="s">
        <v>689</v>
      </c>
      <c r="B113" s="1" t="s">
        <v>690</v>
      </c>
      <c r="C113" s="1" t="s">
        <v>7</v>
      </c>
      <c r="D113" s="1" t="s">
        <v>790</v>
      </c>
      <c r="E113" s="6">
        <v>10225</v>
      </c>
      <c r="F113" s="1" t="str">
        <f>VLOOKUP(D113,Table17[[Name]:[Native]],3,FALSE)</f>
        <v>石屏县</v>
      </c>
      <c r="G113" s="14" t="str">
        <f ca="1">VLOOKUP(F113,Table17[[Native]:[Population4]],5,FALSE)</f>
        <v>红河哈尼族彝族自治州</v>
      </c>
    </row>
    <row r="114" spans="1:7" ht="15.75" thickBot="1" x14ac:dyDescent="0.3">
      <c r="A114" t="s">
        <v>137</v>
      </c>
      <c r="B114" s="1" t="s">
        <v>138</v>
      </c>
      <c r="C114" s="1" t="s">
        <v>7</v>
      </c>
      <c r="D114" s="1" t="s">
        <v>776</v>
      </c>
      <c r="E114" s="6">
        <v>18857</v>
      </c>
      <c r="F114" s="1" t="str">
        <f>VLOOKUP(D114,Table17[[Name]:[Native]],3,FALSE)</f>
        <v>屏边苗族自治县</v>
      </c>
      <c r="G114" s="14" t="str">
        <f ca="1">VLOOKUP(F114,Table17[[Native]:[Population4]],5,FALSE)</f>
        <v>红河哈尼族彝族自治州</v>
      </c>
    </row>
    <row r="115" spans="1:7" ht="15.75" thickBot="1" x14ac:dyDescent="0.3">
      <c r="A115" t="s">
        <v>331</v>
      </c>
      <c r="B115" s="1" t="s">
        <v>332</v>
      </c>
      <c r="C115" s="1" t="s">
        <v>11</v>
      </c>
      <c r="D115" s="1" t="s">
        <v>810</v>
      </c>
      <c r="E115" s="6">
        <v>74572</v>
      </c>
      <c r="F115" s="1" t="str">
        <f>VLOOKUP(D115,Table17[[Name]:[Native]],3,FALSE)</f>
        <v>元阳县</v>
      </c>
      <c r="G115" s="14" t="str">
        <f ca="1">VLOOKUP(F115,Table17[[Native]:[Population4]],5,FALSE)</f>
        <v>红河哈尼族彝族自治州</v>
      </c>
    </row>
    <row r="116" spans="1:7" ht="15.75" thickBot="1" x14ac:dyDescent="0.3">
      <c r="A116" t="s">
        <v>995</v>
      </c>
      <c r="B116" s="1" t="s">
        <v>996</v>
      </c>
      <c r="C116" s="1" t="s">
        <v>11</v>
      </c>
      <c r="D116" s="1" t="s">
        <v>831</v>
      </c>
      <c r="E116" s="6">
        <v>58791</v>
      </c>
      <c r="F116" s="1" t="str">
        <f>VLOOKUP(D116,Table17[[Name]:[Native]],3,FALSE)</f>
        <v>弥勒市</v>
      </c>
      <c r="G116" s="14" t="str">
        <f ca="1">VLOOKUP(F116,Table17[[Native]:[Population4]],5,FALSE)</f>
        <v>红河哈尼族彝族自治州</v>
      </c>
    </row>
    <row r="117" spans="1:7" ht="15.75" thickBot="1" x14ac:dyDescent="0.3">
      <c r="A117" t="s">
        <v>997</v>
      </c>
      <c r="B117" s="1" t="s">
        <v>998</v>
      </c>
      <c r="C117" s="1" t="s">
        <v>11</v>
      </c>
      <c r="D117" s="1" t="s">
        <v>776</v>
      </c>
      <c r="E117" s="6">
        <v>21159</v>
      </c>
      <c r="F117" s="1" t="str">
        <f>VLOOKUP(D117,Table17[[Name]:[Native]],3,FALSE)</f>
        <v>屏边苗族自治县</v>
      </c>
      <c r="G117" s="14" t="str">
        <f ca="1">VLOOKUP(F117,Table17[[Native]:[Population4]],5,FALSE)</f>
        <v>红河哈尼族彝族自治州</v>
      </c>
    </row>
    <row r="118" spans="1:7" ht="15.75" thickBot="1" x14ac:dyDescent="0.3">
      <c r="A118" t="s">
        <v>999</v>
      </c>
      <c r="B118" s="1" t="s">
        <v>1000</v>
      </c>
      <c r="C118" s="1" t="s">
        <v>11</v>
      </c>
      <c r="D118" s="1" t="s">
        <v>831</v>
      </c>
      <c r="E118" s="6">
        <v>23980</v>
      </c>
      <c r="F118" s="1" t="str">
        <f>VLOOKUP(D118,Table17[[Name]:[Native]],3,FALSE)</f>
        <v>弥勒市</v>
      </c>
      <c r="G118" s="14" t="str">
        <f ca="1">VLOOKUP(F118,Table17[[Native]:[Population4]],5,FALSE)</f>
        <v>红河哈尼族彝族自治州</v>
      </c>
    </row>
    <row r="119" spans="1:7" ht="15.75" thickBot="1" x14ac:dyDescent="0.3">
      <c r="A119" t="s">
        <v>1001</v>
      </c>
      <c r="B119" s="1" t="s">
        <v>1002</v>
      </c>
      <c r="C119" s="1" t="s">
        <v>11</v>
      </c>
      <c r="D119" s="1" t="s">
        <v>831</v>
      </c>
      <c r="E119" s="6">
        <v>27425</v>
      </c>
      <c r="F119" s="1" t="str">
        <f>VLOOKUP(D119,Table17[[Name]:[Native]],3,FALSE)</f>
        <v>弥勒市</v>
      </c>
      <c r="G119" s="14" t="str">
        <f ca="1">VLOOKUP(F119,Table17[[Native]:[Population4]],5,FALSE)</f>
        <v>红河哈尼族彝族自治州</v>
      </c>
    </row>
    <row r="120" spans="1:7" ht="15.75" thickBot="1" x14ac:dyDescent="0.3">
      <c r="A120" t="s">
        <v>1003</v>
      </c>
      <c r="B120" s="1" t="s">
        <v>1004</v>
      </c>
      <c r="C120" s="1" t="s">
        <v>11</v>
      </c>
      <c r="D120" s="1" t="s">
        <v>801</v>
      </c>
      <c r="E120" s="6">
        <v>33094</v>
      </c>
      <c r="F120" s="1" t="str">
        <f>VLOOKUP(D120,Table17[[Name]:[Native]],3,FALSE)</f>
        <v>建水县</v>
      </c>
      <c r="G120" s="14" t="str">
        <f ca="1">VLOOKUP(F120,Table17[[Native]:[Population4]],5,FALSE)</f>
        <v>红河哈尼族彝族自治州</v>
      </c>
    </row>
    <row r="121" spans="1:7" ht="15.75" thickBot="1" x14ac:dyDescent="0.3">
      <c r="A121" t="s">
        <v>1005</v>
      </c>
      <c r="B121" s="1" t="s">
        <v>1006</v>
      </c>
      <c r="C121" s="1" t="s">
        <v>11</v>
      </c>
      <c r="D121" s="1" t="s">
        <v>831</v>
      </c>
      <c r="E121" s="6">
        <v>30159</v>
      </c>
      <c r="F121" s="1" t="str">
        <f>VLOOKUP(D121,Table17[[Name]:[Native]],3,FALSE)</f>
        <v>弥勒市</v>
      </c>
      <c r="G121" s="14" t="str">
        <f ca="1">VLOOKUP(F121,Table17[[Native]:[Population4]],5,FALSE)</f>
        <v>红河哈尼族彝族自治州</v>
      </c>
    </row>
    <row r="122" spans="1:7" ht="15.75" thickBot="1" x14ac:dyDescent="0.3">
      <c r="A122" t="s">
        <v>1007</v>
      </c>
      <c r="B122" s="1" t="s">
        <v>1008</v>
      </c>
      <c r="C122" s="1" t="s">
        <v>7</v>
      </c>
      <c r="D122" s="1" t="s">
        <v>795</v>
      </c>
      <c r="E122" s="6">
        <v>36653</v>
      </c>
      <c r="F122" s="1" t="str">
        <f>VLOOKUP(D122,Table17[[Name]:[Native]],3,FALSE)</f>
        <v>开远市</v>
      </c>
      <c r="G122" s="14" t="str">
        <f ca="1">VLOOKUP(F122,Table17[[Native]:[Population4]],5,FALSE)</f>
        <v>红河哈尼族彝族自治州</v>
      </c>
    </row>
    <row r="123" spans="1:7" ht="15.75" thickBot="1" x14ac:dyDescent="0.3">
      <c r="A123" t="s">
        <v>1009</v>
      </c>
      <c r="B123" s="1" t="s">
        <v>1010</v>
      </c>
      <c r="C123" s="1" t="s">
        <v>7</v>
      </c>
      <c r="D123" s="1" t="s">
        <v>844</v>
      </c>
      <c r="E123" s="6">
        <v>13231</v>
      </c>
      <c r="F123" s="1" t="str">
        <f>VLOOKUP(D123,Table17[[Name]:[Native]],3,FALSE)</f>
        <v>河口瑶族自治县</v>
      </c>
      <c r="G123" s="14" t="str">
        <f ca="1">VLOOKUP(F123,Table17[[Native]:[Population4]],5,FALSE)</f>
        <v>红河哈尼族彝族自治州</v>
      </c>
    </row>
    <row r="124" spans="1:7" ht="15.75" thickBot="1" x14ac:dyDescent="0.3">
      <c r="A124" t="s">
        <v>1011</v>
      </c>
      <c r="B124" s="1" t="s">
        <v>1012</v>
      </c>
      <c r="C124" s="1" t="s">
        <v>11</v>
      </c>
      <c r="D124" s="1" t="s">
        <v>790</v>
      </c>
      <c r="E124" s="6">
        <v>102923</v>
      </c>
      <c r="F124" s="1" t="str">
        <f>VLOOKUP(D124,Table17[[Name]:[Native]],3,FALSE)</f>
        <v>石屏县</v>
      </c>
      <c r="G124" s="14" t="str">
        <f ca="1">VLOOKUP(F124,Table17[[Native]:[Population4]],5,FALSE)</f>
        <v>红河哈尼族彝族自治州</v>
      </c>
    </row>
    <row r="125" spans="1:7" ht="15.75" thickBot="1" x14ac:dyDescent="0.3">
      <c r="A125" t="s">
        <v>1013</v>
      </c>
      <c r="B125" s="1" t="s">
        <v>1014</v>
      </c>
      <c r="C125" s="1" t="s">
        <v>7</v>
      </c>
      <c r="D125" s="1" t="s">
        <v>770</v>
      </c>
      <c r="E125" s="6">
        <v>30034</v>
      </c>
      <c r="F125" s="1" t="str">
        <f>VLOOKUP(D125,Table17[[Name]:[Native]],3,FALSE)</f>
        <v>金平苗族瑶族傣族自治县</v>
      </c>
      <c r="G125" s="14" t="str">
        <f ca="1">VLOOKUP(F125,Table17[[Native]:[Population4]],5,FALSE)</f>
        <v>红河哈尼族彝族自治州</v>
      </c>
    </row>
    <row r="126" spans="1:7" ht="15.75" thickBot="1" x14ac:dyDescent="0.3">
      <c r="A126" t="s">
        <v>1015</v>
      </c>
      <c r="B126" s="1" t="s">
        <v>1016</v>
      </c>
      <c r="C126" s="1" t="s">
        <v>11</v>
      </c>
      <c r="D126" s="1" t="s">
        <v>773</v>
      </c>
      <c r="E126" s="6">
        <v>35767</v>
      </c>
      <c r="F126" s="1" t="str">
        <f>VLOOKUP(D126,Table17[[Name]:[Native]],3,FALSE)</f>
        <v>红河县</v>
      </c>
      <c r="G126" s="14" t="str">
        <f ca="1">VLOOKUP(F126,Table17[[Native]:[Population4]],5,FALSE)</f>
        <v>红河哈尼族彝族自治州</v>
      </c>
    </row>
    <row r="127" spans="1:7" ht="15.75" thickBot="1" x14ac:dyDescent="0.3">
      <c r="A127" t="s">
        <v>1017</v>
      </c>
      <c r="B127" s="1" t="s">
        <v>1018</v>
      </c>
      <c r="C127" s="1" t="s">
        <v>7</v>
      </c>
      <c r="D127" s="1" t="s">
        <v>779</v>
      </c>
      <c r="E127" s="6">
        <v>21763</v>
      </c>
      <c r="F127" s="1" t="str">
        <f>VLOOKUP(D127,Table17[[Name]:[Native]],3,FALSE)</f>
        <v>泸西县</v>
      </c>
      <c r="G127" s="14" t="str">
        <f ca="1">VLOOKUP(F127,Table17[[Native]:[Population4]],5,FALSE)</f>
        <v>红河哈尼族彝族自治州</v>
      </c>
    </row>
    <row r="128" spans="1:7" ht="15.75" thickBot="1" x14ac:dyDescent="0.3">
      <c r="A128" t="s">
        <v>1019</v>
      </c>
      <c r="B128" s="1" t="s">
        <v>1020</v>
      </c>
      <c r="C128" s="1" t="s">
        <v>42</v>
      </c>
      <c r="D128" s="1" t="s">
        <v>798</v>
      </c>
      <c r="E128" s="6">
        <v>24803</v>
      </c>
      <c r="F128" s="1" t="str">
        <f>VLOOKUP(D128,Table17[[Name]:[Native]],3,FALSE)</f>
        <v>蒙自市</v>
      </c>
      <c r="G128" s="14" t="str">
        <f ca="1">VLOOKUP(F128,Table17[[Native]:[Population4]],5,FALSE)</f>
        <v>红河哈尼族彝族自治州</v>
      </c>
    </row>
    <row r="129" spans="1:7" ht="15.75" thickBot="1" x14ac:dyDescent="0.3">
      <c r="A129" t="s">
        <v>1021</v>
      </c>
      <c r="B129" s="1" t="s">
        <v>1022</v>
      </c>
      <c r="C129" s="1" t="s">
        <v>11</v>
      </c>
      <c r="D129" s="1" t="s">
        <v>776</v>
      </c>
      <c r="E129" s="6">
        <v>32822</v>
      </c>
      <c r="F129" s="1" t="str">
        <f>VLOOKUP(D129,Table17[[Name]:[Native]],3,FALSE)</f>
        <v>屏边苗族自治县</v>
      </c>
      <c r="G129" s="14" t="str">
        <f ca="1">VLOOKUP(F129,Table17[[Native]:[Population4]],5,FALSE)</f>
        <v>红河哈尼族彝族自治州</v>
      </c>
    </row>
    <row r="130" spans="1:7" ht="15.75" thickBot="1" x14ac:dyDescent="0.3">
      <c r="A130" t="s">
        <v>1023</v>
      </c>
      <c r="B130" s="1" t="s">
        <v>1024</v>
      </c>
      <c r="C130" s="1" t="s">
        <v>7</v>
      </c>
      <c r="D130" s="1" t="s">
        <v>770</v>
      </c>
      <c r="E130" s="6">
        <v>22481</v>
      </c>
      <c r="F130" s="1" t="str">
        <f>VLOOKUP(D130,Table17[[Name]:[Native]],3,FALSE)</f>
        <v>金平苗族瑶族傣族自治县</v>
      </c>
      <c r="G130" s="14" t="str">
        <f ca="1">VLOOKUP(F130,Table17[[Native]:[Population4]],5,FALSE)</f>
        <v>红河哈尼族彝族自治州</v>
      </c>
    </row>
    <row r="131" spans="1:7" ht="15.75" thickBot="1" x14ac:dyDescent="0.3">
      <c r="A131" t="s">
        <v>1025</v>
      </c>
      <c r="B131" s="1" t="s">
        <v>1026</v>
      </c>
      <c r="C131" s="1" t="s">
        <v>11</v>
      </c>
      <c r="D131" s="1" t="s">
        <v>798</v>
      </c>
      <c r="E131" s="6">
        <v>39420</v>
      </c>
      <c r="F131" s="1" t="str">
        <f>VLOOKUP(D131,Table17[[Name]:[Native]],3,FALSE)</f>
        <v>蒙自市</v>
      </c>
      <c r="G131" s="14" t="str">
        <f ca="1">VLOOKUP(F131,Table17[[Native]:[Population4]],5,FALSE)</f>
        <v>红河哈尼族彝族自治州</v>
      </c>
    </row>
    <row r="132" spans="1:7" ht="15.75" thickBot="1" x14ac:dyDescent="0.3">
      <c r="A132" t="s">
        <v>1027</v>
      </c>
      <c r="B132" s="1" t="s">
        <v>1028</v>
      </c>
      <c r="C132" s="1" t="s">
        <v>11</v>
      </c>
      <c r="D132" s="1" t="s">
        <v>795</v>
      </c>
      <c r="E132" s="6">
        <v>37708</v>
      </c>
      <c r="F132" s="1" t="str">
        <f>VLOOKUP(D132,Table17[[Name]:[Native]],3,FALSE)</f>
        <v>开远市</v>
      </c>
      <c r="G132" s="14" t="str">
        <f ca="1">VLOOKUP(F132,Table17[[Native]:[Population4]],5,FALSE)</f>
        <v>红河哈尼族彝族自治州</v>
      </c>
    </row>
    <row r="133" spans="1:7" ht="15.75" thickBot="1" x14ac:dyDescent="0.3">
      <c r="A133" t="s">
        <v>1029</v>
      </c>
      <c r="B133" s="1" t="s">
        <v>1030</v>
      </c>
      <c r="C133" s="1" t="s">
        <v>11</v>
      </c>
      <c r="D133" s="1" t="s">
        <v>779</v>
      </c>
      <c r="E133" s="6">
        <v>130672</v>
      </c>
      <c r="F133" s="1" t="str">
        <f>VLOOKUP(D133,Table17[[Name]:[Native]],3,FALSE)</f>
        <v>泸西县</v>
      </c>
      <c r="G133" s="14" t="str">
        <f ca="1">VLOOKUP(F133,Table17[[Native]:[Population4]],5,FALSE)</f>
        <v>红河哈尼族彝族自治州</v>
      </c>
    </row>
    <row r="134" spans="1:7" ht="15.75" thickBot="1" x14ac:dyDescent="0.3">
      <c r="A134" t="s">
        <v>1031</v>
      </c>
      <c r="B134" s="1" t="s">
        <v>1032</v>
      </c>
      <c r="C134" s="1" t="s">
        <v>11</v>
      </c>
      <c r="D134" s="1" t="s">
        <v>831</v>
      </c>
      <c r="E134" s="6">
        <v>53122</v>
      </c>
      <c r="F134" s="10" t="str">
        <f>VLOOKUP(D134,Table17[[Name]:[Native]],3,FALSE)</f>
        <v>弥勒市</v>
      </c>
      <c r="G134" s="14" t="str">
        <f ca="1">VLOOKUP(F134,Table17[[Native]:[Population4]],5,FALSE)</f>
        <v>红河哈尼族彝族自治州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A8036-9A63-4F27-9EF8-343EA255055F}">
  <dimension ref="A1:G135"/>
  <sheetViews>
    <sheetView topLeftCell="A110" workbookViewId="0">
      <selection activeCell="G2" sqref="A2:G135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2917</v>
      </c>
      <c r="G1" t="s">
        <v>2919</v>
      </c>
    </row>
    <row r="2" spans="1:7" ht="15.75" thickBot="1" x14ac:dyDescent="0.3">
      <c r="A2" t="s">
        <v>1033</v>
      </c>
      <c r="B2" s="1" t="s">
        <v>1034</v>
      </c>
      <c r="C2" s="1" t="s">
        <v>42</v>
      </c>
      <c r="D2" s="1" t="s">
        <v>1035</v>
      </c>
      <c r="E2" s="6">
        <v>58517</v>
      </c>
      <c r="F2" s="9" t="str">
        <f>VLOOKUP(D2,Table17[[Name]:[Native]],3,FALSE)</f>
        <v>官渡区</v>
      </c>
      <c r="G2" s="14" t="str">
        <f ca="1">VLOOKUP(F2,Table17[[Native]:[Population4]],5,FALSE)</f>
        <v>昆明市</v>
      </c>
    </row>
    <row r="3" spans="1:7" ht="15.75" thickBot="1" x14ac:dyDescent="0.3">
      <c r="A3" t="s">
        <v>1036</v>
      </c>
      <c r="B3" s="1" t="s">
        <v>1037</v>
      </c>
      <c r="C3" s="1" t="s">
        <v>11</v>
      </c>
      <c r="D3" s="1" t="s">
        <v>1038</v>
      </c>
      <c r="E3" s="6">
        <v>30423</v>
      </c>
      <c r="F3" s="1" t="str">
        <f>VLOOKUP(D3,Table17[[Name]:[Native]],3,FALSE)</f>
        <v>东川区</v>
      </c>
      <c r="G3" s="14" t="str">
        <f ca="1">VLOOKUP(F3,Table17[[Native]:[Population4]],5,FALSE)</f>
        <v>昆明市</v>
      </c>
    </row>
    <row r="4" spans="1:7" ht="15.75" thickBot="1" x14ac:dyDescent="0.3">
      <c r="A4" t="s">
        <v>1039</v>
      </c>
      <c r="B4" s="1" t="s">
        <v>1040</v>
      </c>
      <c r="C4" s="1" t="s">
        <v>42</v>
      </c>
      <c r="D4" s="1" t="s">
        <v>1041</v>
      </c>
      <c r="E4" s="6">
        <v>27218</v>
      </c>
      <c r="F4" s="1" t="str">
        <f>VLOOKUP(D4,Table17[[Name]:[Native]],3,FALSE)</f>
        <v>盘龙区</v>
      </c>
      <c r="G4" s="14" t="str">
        <f ca="1">VLOOKUP(F4,Table17[[Native]:[Population4]],5,FALSE)</f>
        <v>昆明市</v>
      </c>
    </row>
    <row r="5" spans="1:7" ht="15.75" thickBot="1" x14ac:dyDescent="0.3">
      <c r="A5" t="s">
        <v>1042</v>
      </c>
      <c r="B5" s="1" t="s">
        <v>1043</v>
      </c>
      <c r="C5" s="1" t="s">
        <v>42</v>
      </c>
      <c r="D5" s="1" t="s">
        <v>1044</v>
      </c>
      <c r="E5" s="6">
        <v>31026</v>
      </c>
      <c r="F5" s="1" t="str">
        <f>VLOOKUP(D5,Table17[[Name]:[Native]],3,FALSE)</f>
        <v>安宁市</v>
      </c>
      <c r="G5" s="14" t="str">
        <f ca="1">VLOOKUP(F5,Table17[[Native]:[Population4]],5,FALSE)</f>
        <v>昆明市</v>
      </c>
    </row>
    <row r="6" spans="1:7" ht="15.75" thickBot="1" x14ac:dyDescent="0.3">
      <c r="A6" t="s">
        <v>1045</v>
      </c>
      <c r="B6" s="1" t="s">
        <v>1046</v>
      </c>
      <c r="C6" s="1" t="s">
        <v>42</v>
      </c>
      <c r="D6" s="1" t="s">
        <v>1047</v>
      </c>
      <c r="E6" s="6">
        <v>27621</v>
      </c>
      <c r="F6" s="1" t="str">
        <f>VLOOKUP(D6,Table17[[Name]:[Native]],3,FALSE)</f>
        <v>石林彝族自治县</v>
      </c>
      <c r="G6" s="14" t="str">
        <f ca="1">VLOOKUP(F6,Table17[[Native]:[Population4]],5,FALSE)</f>
        <v>昆明市</v>
      </c>
    </row>
    <row r="7" spans="1:7" ht="15.75" thickBot="1" x14ac:dyDescent="0.3">
      <c r="A7" t="s">
        <v>1048</v>
      </c>
      <c r="B7" s="1" t="s">
        <v>1049</v>
      </c>
      <c r="C7" s="1" t="s">
        <v>11</v>
      </c>
      <c r="D7" s="1" t="s">
        <v>1050</v>
      </c>
      <c r="E7" s="6">
        <v>53604</v>
      </c>
      <c r="F7" s="1" t="str">
        <f>VLOOKUP(D7,Table17[[Name]:[Native]],3,FALSE)</f>
        <v>宜良县</v>
      </c>
      <c r="G7" s="14" t="str">
        <f ca="1">VLOOKUP(F7,Table17[[Native]:[Population4]],5,FALSE)</f>
        <v>昆明市</v>
      </c>
    </row>
    <row r="8" spans="1:7" ht="15.75" thickBot="1" x14ac:dyDescent="0.3">
      <c r="A8" t="s">
        <v>1051</v>
      </c>
      <c r="B8" s="1" t="s">
        <v>1052</v>
      </c>
      <c r="C8" s="1" t="s">
        <v>42</v>
      </c>
      <c r="D8" s="1" t="s">
        <v>1053</v>
      </c>
      <c r="E8" s="6">
        <v>35705</v>
      </c>
      <c r="F8" s="1" t="str">
        <f>VLOOKUP(D8,Table17[[Name]:[Native]],3,FALSE)</f>
        <v>西山区</v>
      </c>
      <c r="G8" s="14" t="str">
        <f ca="1">VLOOKUP(F8,Table17[[Native]:[Population4]],5,FALSE)</f>
        <v>昆明市</v>
      </c>
    </row>
    <row r="9" spans="1:7" ht="15.75" thickBot="1" x14ac:dyDescent="0.3">
      <c r="A9" t="s">
        <v>1054</v>
      </c>
      <c r="B9" s="1" t="s">
        <v>1055</v>
      </c>
      <c r="C9" s="1" t="s">
        <v>42</v>
      </c>
      <c r="D9" s="1" t="s">
        <v>1044</v>
      </c>
      <c r="E9" s="6">
        <v>23895</v>
      </c>
      <c r="F9" s="1" t="str">
        <f>VLOOKUP(D9,Table17[[Name]:[Native]],3,FALSE)</f>
        <v>安宁市</v>
      </c>
      <c r="G9" s="14" t="str">
        <f ca="1">VLOOKUP(F9,Table17[[Native]:[Population4]],5,FALSE)</f>
        <v>昆明市</v>
      </c>
    </row>
    <row r="10" spans="1:7" ht="15.75" thickBot="1" x14ac:dyDescent="0.3">
      <c r="A10" t="s">
        <v>1056</v>
      </c>
      <c r="B10" s="1" t="s">
        <v>1057</v>
      </c>
      <c r="C10" s="1" t="s">
        <v>11</v>
      </c>
      <c r="D10" s="1" t="s">
        <v>1047</v>
      </c>
      <c r="E10" s="6">
        <v>15753</v>
      </c>
      <c r="F10" s="1" t="str">
        <f>VLOOKUP(D10,Table17[[Name]:[Native]],3,FALSE)</f>
        <v>石林彝族自治县</v>
      </c>
      <c r="G10" s="14" t="str">
        <f ca="1">VLOOKUP(F10,Table17[[Native]:[Population4]],5,FALSE)</f>
        <v>昆明市</v>
      </c>
    </row>
    <row r="11" spans="1:7" ht="15.75" thickBot="1" x14ac:dyDescent="0.3">
      <c r="A11" t="s">
        <v>1058</v>
      </c>
      <c r="B11" s="1" t="s">
        <v>1059</v>
      </c>
      <c r="C11" s="1" t="s">
        <v>11</v>
      </c>
      <c r="D11" s="1" t="s">
        <v>1060</v>
      </c>
      <c r="E11" s="6">
        <v>8984</v>
      </c>
      <c r="F11" s="1" t="str">
        <f>VLOOKUP(D11,Table17[[Name]:[Native]],3,FALSE)</f>
        <v>富民县</v>
      </c>
      <c r="G11" s="14" t="str">
        <f ca="1">VLOOKUP(F11,Table17[[Native]:[Population4]],5,FALSE)</f>
        <v>昆明市</v>
      </c>
    </row>
    <row r="12" spans="1:7" ht="15.75" thickBot="1" x14ac:dyDescent="0.3">
      <c r="A12" t="s">
        <v>1061</v>
      </c>
      <c r="B12" s="1" t="s">
        <v>1062</v>
      </c>
      <c r="C12" s="1" t="s">
        <v>42</v>
      </c>
      <c r="D12" s="1" t="s">
        <v>1041</v>
      </c>
      <c r="E12" s="6">
        <v>62887</v>
      </c>
      <c r="F12" s="1" t="str">
        <f>VLOOKUP(D12,Table17[[Name]:[Native]],3,FALSE)</f>
        <v>盘龙区</v>
      </c>
      <c r="G12" s="14" t="str">
        <f ca="1">VLOOKUP(F12,Table17[[Native]:[Population4]],5,FALSE)</f>
        <v>昆明市</v>
      </c>
    </row>
    <row r="13" spans="1:7" ht="15.75" thickBot="1" x14ac:dyDescent="0.3">
      <c r="A13" t="s">
        <v>1063</v>
      </c>
      <c r="B13" s="1" t="s">
        <v>1064</v>
      </c>
      <c r="C13" s="1" t="s">
        <v>11</v>
      </c>
      <c r="D13" s="1" t="s">
        <v>1065</v>
      </c>
      <c r="E13" s="6">
        <v>32597</v>
      </c>
      <c r="F13" s="1" t="str">
        <f>VLOOKUP(D13,Table17[[Name]:[Native]],3,FALSE)</f>
        <v>禄劝彝族苗族自治县</v>
      </c>
      <c r="G13" s="14" t="str">
        <f ca="1">VLOOKUP(F13,Table17[[Native]:[Population4]],5,FALSE)</f>
        <v>昆明市</v>
      </c>
    </row>
    <row r="14" spans="1:7" ht="15.75" thickBot="1" x14ac:dyDescent="0.3">
      <c r="A14" t="s">
        <v>1066</v>
      </c>
      <c r="B14" s="1" t="s">
        <v>1067</v>
      </c>
      <c r="C14" s="1" t="s">
        <v>42</v>
      </c>
      <c r="D14" s="1" t="s">
        <v>1035</v>
      </c>
      <c r="E14" s="6">
        <v>70349</v>
      </c>
      <c r="F14" s="1" t="str">
        <f>VLOOKUP(D14,Table17[[Name]:[Native]],3,FALSE)</f>
        <v>官渡区</v>
      </c>
      <c r="G14" s="14" t="str">
        <f ca="1">VLOOKUP(F14,Table17[[Native]:[Population4]],5,FALSE)</f>
        <v>昆明市</v>
      </c>
    </row>
    <row r="15" spans="1:7" ht="15.75" thickBot="1" x14ac:dyDescent="0.3">
      <c r="A15" t="s">
        <v>1068</v>
      </c>
      <c r="B15" s="1" t="s">
        <v>1069</v>
      </c>
      <c r="C15" s="1" t="s">
        <v>42</v>
      </c>
      <c r="D15" s="1" t="s">
        <v>1070</v>
      </c>
      <c r="E15" s="6">
        <v>55418</v>
      </c>
      <c r="F15" s="1" t="str">
        <f>VLOOKUP(D15,Table17[[Name]:[Native]],3,FALSE)</f>
        <v>五华区</v>
      </c>
      <c r="G15" s="14" t="str">
        <f ca="1">VLOOKUP(F15,Table17[[Native]:[Population4]],5,FALSE)</f>
        <v>昆明市</v>
      </c>
    </row>
    <row r="16" spans="1:7" ht="15.75" thickBot="1" x14ac:dyDescent="0.3">
      <c r="A16" t="s">
        <v>1071</v>
      </c>
      <c r="B16" s="1" t="s">
        <v>1072</v>
      </c>
      <c r="C16" s="1" t="s">
        <v>7</v>
      </c>
      <c r="D16" s="1" t="s">
        <v>1047</v>
      </c>
      <c r="E16" s="6">
        <v>13480</v>
      </c>
      <c r="F16" s="1" t="str">
        <f>VLOOKUP(D16,Table17[[Name]:[Native]],3,FALSE)</f>
        <v>石林彝族自治县</v>
      </c>
      <c r="G16" s="14" t="str">
        <f ca="1">VLOOKUP(F16,Table17[[Native]:[Population4]],5,FALSE)</f>
        <v>昆明市</v>
      </c>
    </row>
    <row r="17" spans="1:7" ht="15.75" thickBot="1" x14ac:dyDescent="0.3">
      <c r="A17" t="s">
        <v>1073</v>
      </c>
      <c r="B17" s="1" t="s">
        <v>1074</v>
      </c>
      <c r="C17" s="1" t="s">
        <v>42</v>
      </c>
      <c r="D17" s="1" t="s">
        <v>1075</v>
      </c>
      <c r="E17" s="6">
        <v>21248</v>
      </c>
      <c r="F17" s="1" t="str">
        <f>VLOOKUP(D17,Table17[[Name]:[Native]],3,FALSE)</f>
        <v>呈贡区</v>
      </c>
      <c r="G17" s="14" t="str">
        <f ca="1">VLOOKUP(F17,Table17[[Native]:[Population4]],5,FALSE)</f>
        <v>昆明市</v>
      </c>
    </row>
    <row r="18" spans="1:7" ht="15.75" thickBot="1" x14ac:dyDescent="0.3">
      <c r="A18" t="s">
        <v>1076</v>
      </c>
      <c r="B18" s="1" t="s">
        <v>1077</v>
      </c>
      <c r="C18" s="1" t="s">
        <v>7</v>
      </c>
      <c r="D18" s="1" t="s">
        <v>1078</v>
      </c>
      <c r="E18" s="6">
        <v>17073</v>
      </c>
      <c r="F18" s="1" t="str">
        <f>VLOOKUP(D18,Table17[[Name]:[Native]],3,FALSE)</f>
        <v>寻甸回族彝族自治县</v>
      </c>
      <c r="G18" s="14" t="str">
        <f ca="1">VLOOKUP(F18,Table17[[Native]:[Population4]],5,FALSE)</f>
        <v>昆明市</v>
      </c>
    </row>
    <row r="19" spans="1:7" ht="15.75" thickBot="1" x14ac:dyDescent="0.3">
      <c r="A19" t="s">
        <v>1079</v>
      </c>
      <c r="B19" s="1" t="s">
        <v>1080</v>
      </c>
      <c r="C19" s="1" t="s">
        <v>42</v>
      </c>
      <c r="D19" s="1" t="s">
        <v>1041</v>
      </c>
      <c r="E19" s="6">
        <v>33455</v>
      </c>
      <c r="F19" s="1" t="str">
        <f>VLOOKUP(D19,Table17[[Name]:[Native]],3,FALSE)</f>
        <v>盘龙区</v>
      </c>
      <c r="G19" s="14" t="str">
        <f ca="1">VLOOKUP(F19,Table17[[Native]:[Population4]],5,FALSE)</f>
        <v>昆明市</v>
      </c>
    </row>
    <row r="20" spans="1:7" ht="15.75" thickBot="1" x14ac:dyDescent="0.3">
      <c r="A20" t="s">
        <v>1081</v>
      </c>
      <c r="B20" s="1" t="s">
        <v>1082</v>
      </c>
      <c r="C20" s="1" t="s">
        <v>11</v>
      </c>
      <c r="D20" s="1" t="s">
        <v>1060</v>
      </c>
      <c r="E20" s="6">
        <v>12538</v>
      </c>
      <c r="F20" s="1" t="str">
        <f>VLOOKUP(D20,Table17[[Name]:[Native]],3,FALSE)</f>
        <v>富民县</v>
      </c>
      <c r="G20" s="14" t="str">
        <f ca="1">VLOOKUP(F20,Table17[[Native]:[Population4]],5,FALSE)</f>
        <v>昆明市</v>
      </c>
    </row>
    <row r="21" spans="1:7" ht="15.75" thickBot="1" x14ac:dyDescent="0.3">
      <c r="A21" t="s">
        <v>1083</v>
      </c>
      <c r="B21" s="1" t="s">
        <v>1084</v>
      </c>
      <c r="C21" s="1" t="s">
        <v>42</v>
      </c>
      <c r="D21" s="1" t="s">
        <v>1041</v>
      </c>
      <c r="E21" s="6">
        <v>106522</v>
      </c>
      <c r="F21" s="1" t="str">
        <f>VLOOKUP(D21,Table17[[Name]:[Native]],3,FALSE)</f>
        <v>盘龙区</v>
      </c>
      <c r="G21" s="14" t="str">
        <f ca="1">VLOOKUP(F21,Table17[[Native]:[Population4]],5,FALSE)</f>
        <v>昆明市</v>
      </c>
    </row>
    <row r="22" spans="1:7" ht="15.75" thickBot="1" x14ac:dyDescent="0.3">
      <c r="A22" t="s">
        <v>1085</v>
      </c>
      <c r="B22" s="1" t="s">
        <v>1086</v>
      </c>
      <c r="C22" s="1" t="s">
        <v>42</v>
      </c>
      <c r="D22" s="1" t="s">
        <v>1075</v>
      </c>
      <c r="E22" s="6">
        <v>31573</v>
      </c>
      <c r="F22" s="1" t="str">
        <f>VLOOKUP(D22,Table17[[Name]:[Native]],3,FALSE)</f>
        <v>呈贡区</v>
      </c>
      <c r="G22" s="14" t="str">
        <f ca="1">VLOOKUP(F22,Table17[[Native]:[Population4]],5,FALSE)</f>
        <v>昆明市</v>
      </c>
    </row>
    <row r="23" spans="1:7" ht="15.75" thickBot="1" x14ac:dyDescent="0.3">
      <c r="A23" t="s">
        <v>1087</v>
      </c>
      <c r="B23" s="1" t="s">
        <v>1088</v>
      </c>
      <c r="C23" s="1" t="s">
        <v>11</v>
      </c>
      <c r="D23" s="1" t="s">
        <v>1089</v>
      </c>
      <c r="E23" s="6">
        <v>15350</v>
      </c>
      <c r="F23" s="1" t="str">
        <f>VLOOKUP(D23,Table17[[Name]:[Native]],3,FALSE)</f>
        <v>晋宁区</v>
      </c>
      <c r="G23" s="14" t="str">
        <f ca="1">VLOOKUP(F23,Table17[[Native]:[Population4]],5,FALSE)</f>
        <v>昆明市</v>
      </c>
    </row>
    <row r="24" spans="1:7" ht="15.75" thickBot="1" x14ac:dyDescent="0.3">
      <c r="A24" t="s">
        <v>1090</v>
      </c>
      <c r="B24" s="1" t="s">
        <v>1091</v>
      </c>
      <c r="C24" s="1" t="s">
        <v>11</v>
      </c>
      <c r="D24" s="1" t="s">
        <v>1078</v>
      </c>
      <c r="E24" s="6">
        <v>31696</v>
      </c>
      <c r="F24" s="1" t="str">
        <f>VLOOKUP(D24,Table17[[Name]:[Native]],3,FALSE)</f>
        <v>寻甸回族彝族自治县</v>
      </c>
      <c r="G24" s="14" t="str">
        <f ca="1">VLOOKUP(F24,Table17[[Native]:[Population4]],5,FALSE)</f>
        <v>昆明市</v>
      </c>
    </row>
    <row r="25" spans="1:7" ht="15.75" thickBot="1" x14ac:dyDescent="0.3">
      <c r="A25" t="s">
        <v>1092</v>
      </c>
      <c r="B25" s="1" t="s">
        <v>1093</v>
      </c>
      <c r="C25" s="1" t="s">
        <v>42</v>
      </c>
      <c r="D25" s="1" t="s">
        <v>1070</v>
      </c>
      <c r="E25" s="6">
        <v>92349</v>
      </c>
      <c r="F25" s="1" t="str">
        <f>VLOOKUP(D25,Table17[[Name]:[Native]],3,FALSE)</f>
        <v>五华区</v>
      </c>
      <c r="G25" s="14" t="str">
        <f ca="1">VLOOKUP(F25,Table17[[Native]:[Population4]],5,FALSE)</f>
        <v>昆明市</v>
      </c>
    </row>
    <row r="26" spans="1:7" ht="15.75" thickBot="1" x14ac:dyDescent="0.3">
      <c r="A26" t="s">
        <v>1094</v>
      </c>
      <c r="B26" s="1" t="s">
        <v>1095</v>
      </c>
      <c r="C26" s="1" t="s">
        <v>42</v>
      </c>
      <c r="D26" s="1" t="s">
        <v>1053</v>
      </c>
      <c r="E26" s="6">
        <v>122060</v>
      </c>
      <c r="F26" s="1" t="str">
        <f>VLOOKUP(D26,Table17[[Name]:[Native]],3,FALSE)</f>
        <v>西山区</v>
      </c>
      <c r="G26" s="14" t="str">
        <f ca="1">VLOOKUP(F26,Table17[[Native]:[Population4]],5,FALSE)</f>
        <v>昆明市</v>
      </c>
    </row>
    <row r="27" spans="1:7" ht="15.75" thickBot="1" x14ac:dyDescent="0.3">
      <c r="A27" t="s">
        <v>1096</v>
      </c>
      <c r="B27" s="1" t="s">
        <v>1097</v>
      </c>
      <c r="C27" s="1" t="s">
        <v>7</v>
      </c>
      <c r="D27" s="1" t="s">
        <v>1050</v>
      </c>
      <c r="E27" s="6">
        <v>16630</v>
      </c>
      <c r="F27" s="1" t="str">
        <f>VLOOKUP(D27,Table17[[Name]:[Native]],3,FALSE)</f>
        <v>宜良县</v>
      </c>
      <c r="G27" s="14" t="str">
        <f ca="1">VLOOKUP(F27,Table17[[Native]:[Population4]],5,FALSE)</f>
        <v>昆明市</v>
      </c>
    </row>
    <row r="28" spans="1:7" ht="15.75" thickBot="1" x14ac:dyDescent="0.3">
      <c r="A28" t="s">
        <v>1098</v>
      </c>
      <c r="B28" s="1" t="s">
        <v>1099</v>
      </c>
      <c r="C28" s="1" t="s">
        <v>11</v>
      </c>
      <c r="D28" s="1" t="s">
        <v>1078</v>
      </c>
      <c r="E28" s="6">
        <v>33461</v>
      </c>
      <c r="F28" s="1" t="str">
        <f>VLOOKUP(D28,Table17[[Name]:[Native]],3,FALSE)</f>
        <v>寻甸回族彝族自治县</v>
      </c>
      <c r="G28" s="14" t="str">
        <f ca="1">VLOOKUP(F28,Table17[[Native]:[Population4]],5,FALSE)</f>
        <v>昆明市</v>
      </c>
    </row>
    <row r="29" spans="1:7" ht="15.75" thickBot="1" x14ac:dyDescent="0.3">
      <c r="A29" t="s">
        <v>1100</v>
      </c>
      <c r="B29" s="1" t="s">
        <v>1101</v>
      </c>
      <c r="C29" s="1" t="s">
        <v>11</v>
      </c>
      <c r="D29" s="1" t="s">
        <v>1050</v>
      </c>
      <c r="E29" s="6">
        <v>59589</v>
      </c>
      <c r="F29" s="1" t="str">
        <f>VLOOKUP(D29,Table17[[Name]:[Native]],3,FALSE)</f>
        <v>宜良县</v>
      </c>
      <c r="G29" s="14" t="str">
        <f ca="1">VLOOKUP(F29,Table17[[Native]:[Population4]],5,FALSE)</f>
        <v>昆明市</v>
      </c>
    </row>
    <row r="30" spans="1:7" ht="15.75" thickBot="1" x14ac:dyDescent="0.3">
      <c r="A30" t="s">
        <v>1102</v>
      </c>
      <c r="B30" s="1" t="s">
        <v>1103</v>
      </c>
      <c r="C30" s="1" t="s">
        <v>42</v>
      </c>
      <c r="D30" s="1" t="s">
        <v>1035</v>
      </c>
      <c r="E30" s="6">
        <v>72775</v>
      </c>
      <c r="F30" s="1" t="str">
        <f>VLOOKUP(D30,Table17[[Name]:[Native]],3,FALSE)</f>
        <v>官渡区</v>
      </c>
      <c r="G30" s="14" t="str">
        <f ca="1">VLOOKUP(F30,Table17[[Native]:[Population4]],5,FALSE)</f>
        <v>昆明市</v>
      </c>
    </row>
    <row r="31" spans="1:7" ht="15.75" thickBot="1" x14ac:dyDescent="0.3">
      <c r="A31" t="s">
        <v>1104</v>
      </c>
      <c r="B31" s="1" t="s">
        <v>1105</v>
      </c>
      <c r="C31" s="1" t="s">
        <v>42</v>
      </c>
      <c r="D31" s="1" t="s">
        <v>1035</v>
      </c>
      <c r="E31" s="6">
        <v>149039</v>
      </c>
      <c r="F31" s="1" t="str">
        <f>VLOOKUP(D31,Table17[[Name]:[Native]],3,FALSE)</f>
        <v>官渡区</v>
      </c>
      <c r="G31" s="14" t="str">
        <f ca="1">VLOOKUP(F31,Table17[[Native]:[Population4]],5,FALSE)</f>
        <v>昆明市</v>
      </c>
    </row>
    <row r="32" spans="1:7" ht="15.75" thickBot="1" x14ac:dyDescent="0.3">
      <c r="A32" t="s">
        <v>1106</v>
      </c>
      <c r="B32" s="1" t="s">
        <v>1107</v>
      </c>
      <c r="C32" s="1" t="s">
        <v>11</v>
      </c>
      <c r="D32" s="1" t="s">
        <v>1047</v>
      </c>
      <c r="E32" s="6">
        <v>26000</v>
      </c>
      <c r="F32" s="1" t="str">
        <f>VLOOKUP(D32,Table17[[Name]:[Native]],3,FALSE)</f>
        <v>石林彝族自治县</v>
      </c>
      <c r="G32" s="14" t="str">
        <f ca="1">VLOOKUP(F32,Table17[[Native]:[Population4]],5,FALSE)</f>
        <v>昆明市</v>
      </c>
    </row>
    <row r="33" spans="1:7" ht="15.75" thickBot="1" x14ac:dyDescent="0.3">
      <c r="A33" t="s">
        <v>1108</v>
      </c>
      <c r="B33" s="1" t="s">
        <v>1109</v>
      </c>
      <c r="C33" s="1" t="s">
        <v>42</v>
      </c>
      <c r="D33" s="1" t="s">
        <v>1041</v>
      </c>
      <c r="E33" s="6">
        <v>44820</v>
      </c>
      <c r="F33" s="1" t="str">
        <f>VLOOKUP(D33,Table17[[Name]:[Native]],3,FALSE)</f>
        <v>盘龙区</v>
      </c>
      <c r="G33" s="14" t="str">
        <f ca="1">VLOOKUP(F33,Table17[[Native]:[Population4]],5,FALSE)</f>
        <v>昆明市</v>
      </c>
    </row>
    <row r="34" spans="1:7" ht="15.75" thickBot="1" x14ac:dyDescent="0.3">
      <c r="A34" t="s">
        <v>1110</v>
      </c>
      <c r="B34" s="1" t="s">
        <v>1111</v>
      </c>
      <c r="C34" s="1" t="s">
        <v>42</v>
      </c>
      <c r="D34" s="1" t="s">
        <v>1053</v>
      </c>
      <c r="E34" s="6">
        <v>78163</v>
      </c>
      <c r="F34" s="1" t="str">
        <f>VLOOKUP(D34,Table17[[Name]:[Native]],3,FALSE)</f>
        <v>西山区</v>
      </c>
      <c r="G34" s="14" t="str">
        <f ca="1">VLOOKUP(F34,Table17[[Native]:[Population4]],5,FALSE)</f>
        <v>昆明市</v>
      </c>
    </row>
    <row r="35" spans="1:7" ht="15.75" thickBot="1" x14ac:dyDescent="0.3">
      <c r="A35" t="s">
        <v>1112</v>
      </c>
      <c r="B35" s="1" t="s">
        <v>1113</v>
      </c>
      <c r="C35" s="1" t="s">
        <v>42</v>
      </c>
      <c r="D35" s="1" t="s">
        <v>1070</v>
      </c>
      <c r="E35" s="6">
        <v>86526</v>
      </c>
      <c r="F35" s="1" t="str">
        <f>VLOOKUP(D35,Table17[[Name]:[Native]],3,FALSE)</f>
        <v>五华区</v>
      </c>
      <c r="G35" s="14" t="str">
        <f ca="1">VLOOKUP(F35,Table17[[Native]:[Population4]],5,FALSE)</f>
        <v>昆明市</v>
      </c>
    </row>
    <row r="36" spans="1:7" ht="15.75" thickBot="1" x14ac:dyDescent="0.3">
      <c r="A36" t="s">
        <v>842</v>
      </c>
      <c r="B36" s="1" t="s">
        <v>843</v>
      </c>
      <c r="C36" s="1" t="s">
        <v>11</v>
      </c>
      <c r="D36" s="1" t="s">
        <v>1078</v>
      </c>
      <c r="E36" s="6">
        <v>30961</v>
      </c>
      <c r="F36" s="1" t="str">
        <f>VLOOKUP(D36,Table17[[Name]:[Native]],3,FALSE)</f>
        <v>寻甸回族彝族自治县</v>
      </c>
      <c r="G36" s="14" t="str">
        <f ca="1">VLOOKUP(F36,Table17[[Native]:[Population4]],5,FALSE)</f>
        <v>昆明市</v>
      </c>
    </row>
    <row r="37" spans="1:7" ht="15.75" thickBot="1" x14ac:dyDescent="0.3">
      <c r="A37" t="s">
        <v>1114</v>
      </c>
      <c r="B37" s="1" t="s">
        <v>1115</v>
      </c>
      <c r="C37" s="1" t="s">
        <v>11</v>
      </c>
      <c r="D37" s="1" t="s">
        <v>1038</v>
      </c>
      <c r="E37" s="6">
        <v>15134</v>
      </c>
      <c r="F37" s="1" t="str">
        <f>VLOOKUP(D37,Table17[[Name]:[Native]],3,FALSE)</f>
        <v>东川区</v>
      </c>
      <c r="G37" s="14" t="str">
        <f ca="1">VLOOKUP(F37,Table17[[Native]:[Population4]],5,FALSE)</f>
        <v>昆明市</v>
      </c>
    </row>
    <row r="38" spans="1:7" ht="15.75" thickBot="1" x14ac:dyDescent="0.3">
      <c r="A38" t="s">
        <v>1116</v>
      </c>
      <c r="B38" s="1" t="s">
        <v>1117</v>
      </c>
      <c r="C38" s="1" t="s">
        <v>42</v>
      </c>
      <c r="D38" s="1" t="s">
        <v>1070</v>
      </c>
      <c r="E38" s="6">
        <v>127434</v>
      </c>
      <c r="F38" s="1" t="str">
        <f>VLOOKUP(D38,Table17[[Name]:[Native]],3,FALSE)</f>
        <v>五华区</v>
      </c>
      <c r="G38" s="14" t="str">
        <f ca="1">VLOOKUP(F38,Table17[[Native]:[Population4]],5,FALSE)</f>
        <v>昆明市</v>
      </c>
    </row>
    <row r="39" spans="1:7" ht="15.75" thickBot="1" x14ac:dyDescent="0.3">
      <c r="A39" t="s">
        <v>1118</v>
      </c>
      <c r="B39" s="1" t="s">
        <v>1119</v>
      </c>
      <c r="C39" s="1" t="s">
        <v>42</v>
      </c>
      <c r="D39" s="1" t="s">
        <v>1070</v>
      </c>
      <c r="E39" s="6">
        <v>81628</v>
      </c>
      <c r="F39" s="1" t="str">
        <f>VLOOKUP(D39,Table17[[Name]:[Native]],3,FALSE)</f>
        <v>五华区</v>
      </c>
      <c r="G39" s="14" t="str">
        <f ca="1">VLOOKUP(F39,Table17[[Native]:[Population4]],5,FALSE)</f>
        <v>昆明市</v>
      </c>
    </row>
    <row r="40" spans="1:7" ht="15.75" thickBot="1" x14ac:dyDescent="0.3">
      <c r="A40" t="s">
        <v>1120</v>
      </c>
      <c r="B40" s="1" t="s">
        <v>1121</v>
      </c>
      <c r="C40" s="1" t="s">
        <v>42</v>
      </c>
      <c r="D40" s="1" t="s">
        <v>1070</v>
      </c>
      <c r="E40" s="6">
        <v>32185</v>
      </c>
      <c r="F40" s="1" t="str">
        <f>VLOOKUP(D40,Table17[[Name]:[Native]],3,FALSE)</f>
        <v>五华区</v>
      </c>
      <c r="G40" s="14" t="str">
        <f ca="1">VLOOKUP(F40,Table17[[Native]:[Population4]],5,FALSE)</f>
        <v>昆明市</v>
      </c>
    </row>
    <row r="41" spans="1:7" ht="15.75" thickBot="1" x14ac:dyDescent="0.3">
      <c r="A41" t="s">
        <v>1122</v>
      </c>
      <c r="B41" s="1" t="s">
        <v>1123</v>
      </c>
      <c r="C41" s="1" t="s">
        <v>11</v>
      </c>
      <c r="D41" s="1" t="s">
        <v>1065</v>
      </c>
      <c r="E41" s="6">
        <v>18894</v>
      </c>
      <c r="F41" s="1" t="str">
        <f>VLOOKUP(D41,Table17[[Name]:[Native]],3,FALSE)</f>
        <v>禄劝彝族苗族自治县</v>
      </c>
      <c r="G41" s="14" t="str">
        <f ca="1">VLOOKUP(F41,Table17[[Native]:[Population4]],5,FALSE)</f>
        <v>昆明市</v>
      </c>
    </row>
    <row r="42" spans="1:7" ht="15.75" thickBot="1" x14ac:dyDescent="0.3">
      <c r="A42" t="s">
        <v>857</v>
      </c>
      <c r="B42" s="1" t="s">
        <v>858</v>
      </c>
      <c r="C42" s="1" t="s">
        <v>11</v>
      </c>
      <c r="D42" s="1" t="s">
        <v>1078</v>
      </c>
      <c r="E42" s="6">
        <v>26708</v>
      </c>
      <c r="F42" s="1" t="str">
        <f>VLOOKUP(D42,Table17[[Name]:[Native]],3,FALSE)</f>
        <v>寻甸回族彝族自治县</v>
      </c>
      <c r="G42" s="14" t="str">
        <f ca="1">VLOOKUP(F42,Table17[[Native]:[Population4]],5,FALSE)</f>
        <v>昆明市</v>
      </c>
    </row>
    <row r="43" spans="1:7" ht="15.75" thickBot="1" x14ac:dyDescent="0.3">
      <c r="A43" t="s">
        <v>1124</v>
      </c>
      <c r="B43" s="1" t="s">
        <v>1125</v>
      </c>
      <c r="C43" s="1" t="s">
        <v>42</v>
      </c>
      <c r="D43" s="1" t="s">
        <v>1053</v>
      </c>
      <c r="E43" s="6">
        <v>130470</v>
      </c>
      <c r="F43" s="1" t="str">
        <f>VLOOKUP(D43,Table17[[Name]:[Native]],3,FALSE)</f>
        <v>西山区</v>
      </c>
      <c r="G43" s="14" t="str">
        <f ca="1">VLOOKUP(F43,Table17[[Native]:[Population4]],5,FALSE)</f>
        <v>昆明市</v>
      </c>
    </row>
    <row r="44" spans="1:7" ht="15.75" thickBot="1" x14ac:dyDescent="0.3">
      <c r="A44" t="s">
        <v>1126</v>
      </c>
      <c r="B44" s="1" t="s">
        <v>1127</v>
      </c>
      <c r="C44" s="1" t="s">
        <v>11</v>
      </c>
      <c r="D44" s="1" t="s">
        <v>1089</v>
      </c>
      <c r="E44" s="6">
        <v>96567</v>
      </c>
      <c r="F44" s="1" t="str">
        <f>VLOOKUP(D44,Table17[[Name]:[Native]],3,FALSE)</f>
        <v>晋宁区</v>
      </c>
      <c r="G44" s="14" t="str">
        <f ca="1">VLOOKUP(F44,Table17[[Native]:[Population4]],5,FALSE)</f>
        <v>昆明市</v>
      </c>
    </row>
    <row r="45" spans="1:7" ht="15.75" thickBot="1" x14ac:dyDescent="0.3">
      <c r="A45" t="s">
        <v>1128</v>
      </c>
      <c r="B45" s="1" t="s">
        <v>1129</v>
      </c>
      <c r="C45" s="1" t="s">
        <v>42</v>
      </c>
      <c r="D45" s="1" t="s">
        <v>1041</v>
      </c>
      <c r="E45" s="6">
        <v>155659</v>
      </c>
      <c r="F45" s="1" t="str">
        <f>VLOOKUP(D45,Table17[[Name]:[Native]],3,FALSE)</f>
        <v>盘龙区</v>
      </c>
      <c r="G45" s="14" t="str">
        <f ca="1">VLOOKUP(F45,Table17[[Native]:[Population4]],5,FALSE)</f>
        <v>昆明市</v>
      </c>
    </row>
    <row r="46" spans="1:7" ht="15.75" thickBot="1" x14ac:dyDescent="0.3">
      <c r="A46" t="s">
        <v>1130</v>
      </c>
      <c r="B46" s="1" t="s">
        <v>1131</v>
      </c>
      <c r="C46" s="1" t="s">
        <v>42</v>
      </c>
      <c r="D46" s="1" t="s">
        <v>1044</v>
      </c>
      <c r="E46" s="6">
        <v>85602</v>
      </c>
      <c r="F46" s="1" t="str">
        <f>VLOOKUP(D46,Table17[[Name]:[Native]],3,FALSE)</f>
        <v>安宁市</v>
      </c>
      <c r="G46" s="14" t="str">
        <f ca="1">VLOOKUP(F46,Table17[[Native]:[Population4]],5,FALSE)</f>
        <v>昆明市</v>
      </c>
    </row>
    <row r="47" spans="1:7" ht="15.75" thickBot="1" x14ac:dyDescent="0.3">
      <c r="A47" t="s">
        <v>1132</v>
      </c>
      <c r="B47" s="1" t="s">
        <v>1133</v>
      </c>
      <c r="C47" s="1" t="s">
        <v>42</v>
      </c>
      <c r="D47" s="1" t="s">
        <v>1035</v>
      </c>
      <c r="E47" s="6">
        <v>125032</v>
      </c>
      <c r="F47" s="1" t="str">
        <f>VLOOKUP(D47,Table17[[Name]:[Native]],3,FALSE)</f>
        <v>官渡区</v>
      </c>
      <c r="G47" s="14" t="str">
        <f ca="1">VLOOKUP(F47,Table17[[Native]:[Population4]],5,FALSE)</f>
        <v>昆明市</v>
      </c>
    </row>
    <row r="48" spans="1:7" ht="15.75" thickBot="1" x14ac:dyDescent="0.3">
      <c r="A48" t="s">
        <v>1134</v>
      </c>
      <c r="B48" s="1" t="s">
        <v>1135</v>
      </c>
      <c r="C48" s="1" t="s">
        <v>7</v>
      </c>
      <c r="D48" s="1" t="s">
        <v>1078</v>
      </c>
      <c r="E48" s="6">
        <v>21736</v>
      </c>
      <c r="F48" s="1" t="str">
        <f>VLOOKUP(D48,Table17[[Name]:[Native]],3,FALSE)</f>
        <v>寻甸回族彝族自治县</v>
      </c>
      <c r="G48" s="14" t="str">
        <f ca="1">VLOOKUP(F48,Table17[[Native]:[Population4]],5,FALSE)</f>
        <v>昆明市</v>
      </c>
    </row>
    <row r="49" spans="1:7" ht="15.75" thickBot="1" x14ac:dyDescent="0.3">
      <c r="A49" t="s">
        <v>1136</v>
      </c>
      <c r="B49" s="1" t="s">
        <v>1137</v>
      </c>
      <c r="C49" s="1" t="s">
        <v>11</v>
      </c>
      <c r="D49" s="1" t="s">
        <v>1065</v>
      </c>
      <c r="E49" s="6">
        <v>35444</v>
      </c>
      <c r="F49" s="1" t="str">
        <f>VLOOKUP(D49,Table17[[Name]:[Native]],3,FALSE)</f>
        <v>禄劝彝族苗族自治县</v>
      </c>
      <c r="G49" s="14" t="str">
        <f ca="1">VLOOKUP(F49,Table17[[Native]:[Population4]],5,FALSE)</f>
        <v>昆明市</v>
      </c>
    </row>
    <row r="50" spans="1:7" ht="15.75" thickBot="1" x14ac:dyDescent="0.3">
      <c r="A50" t="s">
        <v>1138</v>
      </c>
      <c r="B50" s="1" t="s">
        <v>1139</v>
      </c>
      <c r="C50" s="1" t="s">
        <v>7</v>
      </c>
      <c r="D50" s="1" t="s">
        <v>1050</v>
      </c>
      <c r="E50" s="6">
        <v>16814</v>
      </c>
      <c r="F50" s="1" t="str">
        <f>VLOOKUP(D50,Table17[[Name]:[Native]],3,FALSE)</f>
        <v>宜良县</v>
      </c>
      <c r="G50" s="14" t="str">
        <f ca="1">VLOOKUP(F50,Table17[[Native]:[Population4]],5,FALSE)</f>
        <v>昆明市</v>
      </c>
    </row>
    <row r="51" spans="1:7" ht="15.75" thickBot="1" x14ac:dyDescent="0.3">
      <c r="A51" t="s">
        <v>1140</v>
      </c>
      <c r="B51" s="1" t="s">
        <v>1141</v>
      </c>
      <c r="C51" s="1" t="s">
        <v>11</v>
      </c>
      <c r="D51" s="1" t="s">
        <v>1078</v>
      </c>
      <c r="E51" s="6">
        <v>24054</v>
      </c>
      <c r="F51" s="1" t="str">
        <f>VLOOKUP(D51,Table17[[Name]:[Native]],3,FALSE)</f>
        <v>寻甸回族彝族自治县</v>
      </c>
      <c r="G51" s="14" t="str">
        <f ca="1">VLOOKUP(F51,Table17[[Native]:[Population4]],5,FALSE)</f>
        <v>昆明市</v>
      </c>
    </row>
    <row r="52" spans="1:7" ht="15.75" thickBot="1" x14ac:dyDescent="0.3">
      <c r="A52" t="s">
        <v>1142</v>
      </c>
      <c r="B52" s="1" t="s">
        <v>1143</v>
      </c>
      <c r="C52" s="1" t="s">
        <v>42</v>
      </c>
      <c r="D52" s="1" t="s">
        <v>1050</v>
      </c>
      <c r="E52" s="6">
        <v>164929</v>
      </c>
      <c r="F52" s="1" t="str">
        <f>VLOOKUP(D52,Table17[[Name]:[Native]],3,FALSE)</f>
        <v>宜良县</v>
      </c>
      <c r="G52" s="14" t="str">
        <f ca="1">VLOOKUP(F52,Table17[[Native]:[Population4]],5,FALSE)</f>
        <v>昆明市</v>
      </c>
    </row>
    <row r="53" spans="1:7" ht="15.75" thickBot="1" x14ac:dyDescent="0.3">
      <c r="A53" t="s">
        <v>1144</v>
      </c>
      <c r="B53" s="1" t="s">
        <v>1145</v>
      </c>
      <c r="C53" s="1" t="s">
        <v>11</v>
      </c>
      <c r="D53" s="1" t="s">
        <v>1060</v>
      </c>
      <c r="E53" s="6">
        <v>21102</v>
      </c>
      <c r="F53" s="1" t="str">
        <f>VLOOKUP(D53,Table17[[Name]:[Native]],3,FALSE)</f>
        <v>富民县</v>
      </c>
      <c r="G53" s="14" t="str">
        <f ca="1">VLOOKUP(F53,Table17[[Native]:[Population4]],5,FALSE)</f>
        <v>昆明市</v>
      </c>
    </row>
    <row r="54" spans="1:7" ht="15.75" thickBot="1" x14ac:dyDescent="0.3">
      <c r="A54" t="s">
        <v>1146</v>
      </c>
      <c r="B54" s="1" t="s">
        <v>1147</v>
      </c>
      <c r="C54" s="1" t="s">
        <v>380</v>
      </c>
      <c r="D54" s="1" t="s">
        <v>1070</v>
      </c>
      <c r="E54" s="6">
        <v>85759</v>
      </c>
      <c r="F54" s="1" t="str">
        <f>VLOOKUP(D54,Table17[[Name]:[Native]],3,FALSE)</f>
        <v>五华区</v>
      </c>
      <c r="G54" s="14" t="str">
        <f ca="1">VLOOKUP(F54,Table17[[Native]:[Population4]],5,FALSE)</f>
        <v>昆明市</v>
      </c>
    </row>
    <row r="55" spans="1:7" ht="15.75" thickBot="1" x14ac:dyDescent="0.3">
      <c r="A55" t="s">
        <v>1148</v>
      </c>
      <c r="B55" s="1" t="s">
        <v>1149</v>
      </c>
      <c r="C55" s="1" t="s">
        <v>380</v>
      </c>
      <c r="D55" s="1" t="s">
        <v>1035</v>
      </c>
      <c r="E55" s="6">
        <v>38723</v>
      </c>
      <c r="F55" s="1" t="str">
        <f>VLOOKUP(D55,Table17[[Name]:[Native]],3,FALSE)</f>
        <v>官渡区</v>
      </c>
      <c r="G55" s="14" t="str">
        <f ca="1">VLOOKUP(F55,Table17[[Native]:[Population4]],5,FALSE)</f>
        <v>昆明市</v>
      </c>
    </row>
    <row r="56" spans="1:7" ht="15.75" thickBot="1" x14ac:dyDescent="0.3">
      <c r="A56" t="s">
        <v>1150</v>
      </c>
      <c r="B56" s="1" t="s">
        <v>1151</v>
      </c>
      <c r="C56" s="1" t="s">
        <v>380</v>
      </c>
      <c r="D56" s="1" t="s">
        <v>1053</v>
      </c>
      <c r="E56" s="6">
        <v>57419</v>
      </c>
      <c r="F56" s="1" t="str">
        <f>VLOOKUP(D56,Table17[[Name]:[Native]],3,FALSE)</f>
        <v>西山区</v>
      </c>
      <c r="G56" s="14" t="str">
        <f ca="1">VLOOKUP(F56,Table17[[Native]:[Population4]],5,FALSE)</f>
        <v>昆明市</v>
      </c>
    </row>
    <row r="57" spans="1:7" ht="15.75" thickBot="1" x14ac:dyDescent="0.3">
      <c r="A57" t="s">
        <v>1152</v>
      </c>
      <c r="B57" s="1" t="s">
        <v>1153</v>
      </c>
      <c r="C57" s="1" t="s">
        <v>42</v>
      </c>
      <c r="D57" s="1" t="s">
        <v>1089</v>
      </c>
      <c r="E57" s="6">
        <v>111142</v>
      </c>
      <c r="F57" s="1" t="str">
        <f>VLOOKUP(D57,Table17[[Name]:[Native]],3,FALSE)</f>
        <v>晋宁区</v>
      </c>
      <c r="G57" s="14" t="str">
        <f ca="1">VLOOKUP(F57,Table17[[Native]:[Population4]],5,FALSE)</f>
        <v>昆明市</v>
      </c>
    </row>
    <row r="58" spans="1:7" ht="15.75" thickBot="1" x14ac:dyDescent="0.3">
      <c r="A58" t="s">
        <v>1154</v>
      </c>
      <c r="B58" s="1" t="s">
        <v>1155</v>
      </c>
      <c r="C58" s="1" t="s">
        <v>7</v>
      </c>
      <c r="D58" s="1" t="s">
        <v>1078</v>
      </c>
      <c r="E58" s="6">
        <v>11117</v>
      </c>
      <c r="F58" s="1" t="str">
        <f>VLOOKUP(D58,Table17[[Name]:[Native]],3,FALSE)</f>
        <v>寻甸回族彝族自治县</v>
      </c>
      <c r="G58" s="14" t="str">
        <f ca="1">VLOOKUP(F58,Table17[[Native]:[Population4]],5,FALSE)</f>
        <v>昆明市</v>
      </c>
    </row>
    <row r="59" spans="1:7" ht="15.75" thickBot="1" x14ac:dyDescent="0.3">
      <c r="A59" t="s">
        <v>1156</v>
      </c>
      <c r="B59" s="1" t="s">
        <v>1157</v>
      </c>
      <c r="C59" s="1" t="s">
        <v>42</v>
      </c>
      <c r="D59" s="1" t="s">
        <v>1070</v>
      </c>
      <c r="E59" s="6">
        <v>136461</v>
      </c>
      <c r="F59" s="1" t="str">
        <f>VLOOKUP(D59,Table17[[Name]:[Native]],3,FALSE)</f>
        <v>五华区</v>
      </c>
      <c r="G59" s="14" t="str">
        <f ca="1">VLOOKUP(F59,Table17[[Native]:[Population4]],5,FALSE)</f>
        <v>昆明市</v>
      </c>
    </row>
    <row r="60" spans="1:7" ht="15.75" thickBot="1" x14ac:dyDescent="0.3">
      <c r="A60" t="s">
        <v>1158</v>
      </c>
      <c r="B60" s="1" t="s">
        <v>1159</v>
      </c>
      <c r="C60" s="1" t="s">
        <v>42</v>
      </c>
      <c r="D60" s="1" t="s">
        <v>1041</v>
      </c>
      <c r="E60" s="6">
        <v>118962</v>
      </c>
      <c r="F60" s="1" t="str">
        <f>VLOOKUP(D60,Table17[[Name]:[Native]],3,FALSE)</f>
        <v>盘龙区</v>
      </c>
      <c r="G60" s="14" t="str">
        <f ca="1">VLOOKUP(F60,Table17[[Native]:[Population4]],5,FALSE)</f>
        <v>昆明市</v>
      </c>
    </row>
    <row r="61" spans="1:7" ht="15.75" thickBot="1" x14ac:dyDescent="0.3">
      <c r="A61" t="s">
        <v>1160</v>
      </c>
      <c r="B61" s="1" t="s">
        <v>1161</v>
      </c>
      <c r="C61" s="1" t="s">
        <v>42</v>
      </c>
      <c r="D61" s="1" t="s">
        <v>1044</v>
      </c>
      <c r="E61" s="6">
        <v>114810</v>
      </c>
      <c r="F61" s="1" t="str">
        <f>VLOOKUP(D61,Table17[[Name]:[Native]],3,FALSE)</f>
        <v>安宁市</v>
      </c>
      <c r="G61" s="14" t="str">
        <f ca="1">VLOOKUP(F61,Table17[[Native]:[Population4]],5,FALSE)</f>
        <v>昆明市</v>
      </c>
    </row>
    <row r="62" spans="1:7" ht="15.75" thickBot="1" x14ac:dyDescent="0.3">
      <c r="A62" t="s">
        <v>1162</v>
      </c>
      <c r="B62" s="1" t="s">
        <v>1163</v>
      </c>
      <c r="C62" s="1" t="s">
        <v>42</v>
      </c>
      <c r="D62" s="1" t="s">
        <v>1035</v>
      </c>
      <c r="E62" s="6">
        <v>55030</v>
      </c>
      <c r="F62" s="1" t="str">
        <f>VLOOKUP(D62,Table17[[Name]:[Native]],3,FALSE)</f>
        <v>官渡区</v>
      </c>
      <c r="G62" s="14" t="str">
        <f ca="1">VLOOKUP(F62,Table17[[Native]:[Population4]],5,FALSE)</f>
        <v>昆明市</v>
      </c>
    </row>
    <row r="63" spans="1:7" ht="15.75" thickBot="1" x14ac:dyDescent="0.3">
      <c r="A63" t="s">
        <v>1164</v>
      </c>
      <c r="B63" s="1" t="s">
        <v>1165</v>
      </c>
      <c r="C63" s="1" t="s">
        <v>11</v>
      </c>
      <c r="D63" s="1" t="s">
        <v>1089</v>
      </c>
      <c r="E63" s="6">
        <v>11374</v>
      </c>
      <c r="F63" s="1" t="str">
        <f>VLOOKUP(D63,Table17[[Name]:[Native]],3,FALSE)</f>
        <v>晋宁区</v>
      </c>
      <c r="G63" s="14" t="str">
        <f ca="1">VLOOKUP(F63,Table17[[Native]:[Population4]],5,FALSE)</f>
        <v>昆明市</v>
      </c>
    </row>
    <row r="64" spans="1:7" ht="15.75" thickBot="1" x14ac:dyDescent="0.3">
      <c r="A64" t="s">
        <v>1166</v>
      </c>
      <c r="B64" s="1" t="s">
        <v>1167</v>
      </c>
      <c r="C64" s="1" t="s">
        <v>7</v>
      </c>
      <c r="D64" s="1" t="s">
        <v>1078</v>
      </c>
      <c r="E64" s="6">
        <v>17408</v>
      </c>
      <c r="F64" s="1" t="str">
        <f>VLOOKUP(D64,Table17[[Name]:[Native]],3,FALSE)</f>
        <v>寻甸回族彝族自治县</v>
      </c>
      <c r="G64" s="14" t="str">
        <f ca="1">VLOOKUP(F64,Table17[[Native]:[Population4]],5,FALSE)</f>
        <v>昆明市</v>
      </c>
    </row>
    <row r="65" spans="1:7" ht="15.75" thickBot="1" x14ac:dyDescent="0.3">
      <c r="A65" t="s">
        <v>1168</v>
      </c>
      <c r="B65" s="1" t="s">
        <v>1169</v>
      </c>
      <c r="C65" s="1" t="s">
        <v>42</v>
      </c>
      <c r="D65" s="1" t="s">
        <v>1075</v>
      </c>
      <c r="E65" s="6">
        <v>47816</v>
      </c>
      <c r="F65" s="1" t="str">
        <f>VLOOKUP(D65,Table17[[Name]:[Native]],3,FALSE)</f>
        <v>呈贡区</v>
      </c>
      <c r="G65" s="14" t="str">
        <f ca="1">VLOOKUP(F65,Table17[[Native]:[Population4]],5,FALSE)</f>
        <v>昆明市</v>
      </c>
    </row>
    <row r="66" spans="1:7" ht="15.75" thickBot="1" x14ac:dyDescent="0.3">
      <c r="A66" t="s">
        <v>1170</v>
      </c>
      <c r="B66" s="1" t="s">
        <v>1171</v>
      </c>
      <c r="C66" s="1" t="s">
        <v>42</v>
      </c>
      <c r="D66" s="1" t="s">
        <v>1041</v>
      </c>
      <c r="E66" s="6">
        <v>65673</v>
      </c>
      <c r="F66" s="1" t="str">
        <f>VLOOKUP(D66,Table17[[Name]:[Native]],3,FALSE)</f>
        <v>盘龙区</v>
      </c>
      <c r="G66" s="14" t="str">
        <f ca="1">VLOOKUP(F66,Table17[[Native]:[Population4]],5,FALSE)</f>
        <v>昆明市</v>
      </c>
    </row>
    <row r="67" spans="1:7" ht="15.75" thickBot="1" x14ac:dyDescent="0.3">
      <c r="A67" t="s">
        <v>1172</v>
      </c>
      <c r="B67" s="1" t="s">
        <v>1173</v>
      </c>
      <c r="C67" s="1" t="s">
        <v>42</v>
      </c>
      <c r="D67" s="1" t="s">
        <v>1070</v>
      </c>
      <c r="E67" s="6">
        <v>48828</v>
      </c>
      <c r="F67" s="1" t="str">
        <f>VLOOKUP(D67,Table17[[Name]:[Native]],3,FALSE)</f>
        <v>五华区</v>
      </c>
      <c r="G67" s="14" t="str">
        <f ca="1">VLOOKUP(F67,Table17[[Native]:[Population4]],5,FALSE)</f>
        <v>昆明市</v>
      </c>
    </row>
    <row r="68" spans="1:7" ht="15.75" thickBot="1" x14ac:dyDescent="0.3">
      <c r="A68" t="s">
        <v>1174</v>
      </c>
      <c r="B68" s="1" t="s">
        <v>1175</v>
      </c>
      <c r="C68" s="1" t="s">
        <v>42</v>
      </c>
      <c r="D68" s="1" t="s">
        <v>1044</v>
      </c>
      <c r="E68" s="6">
        <v>13046</v>
      </c>
      <c r="F68" s="1" t="str">
        <f>VLOOKUP(D68,Table17[[Name]:[Native]],3,FALSE)</f>
        <v>安宁市</v>
      </c>
      <c r="G68" s="14" t="str">
        <f ca="1">VLOOKUP(F68,Table17[[Native]:[Population4]],5,FALSE)</f>
        <v>昆明市</v>
      </c>
    </row>
    <row r="69" spans="1:7" ht="15.75" thickBot="1" x14ac:dyDescent="0.3">
      <c r="A69" t="s">
        <v>1176</v>
      </c>
      <c r="B69" s="1" t="s">
        <v>1177</v>
      </c>
      <c r="C69" s="1" t="s">
        <v>42</v>
      </c>
      <c r="D69" s="1" t="s">
        <v>1047</v>
      </c>
      <c r="E69" s="6">
        <v>104140</v>
      </c>
      <c r="F69" s="1" t="str">
        <f>VLOOKUP(D69,Table17[[Name]:[Native]],3,FALSE)</f>
        <v>石林彝族自治县</v>
      </c>
      <c r="G69" s="14" t="str">
        <f ca="1">VLOOKUP(F69,Table17[[Native]:[Population4]],5,FALSE)</f>
        <v>昆明市</v>
      </c>
    </row>
    <row r="70" spans="1:7" ht="15.75" thickBot="1" x14ac:dyDescent="0.3">
      <c r="A70" t="s">
        <v>1178</v>
      </c>
      <c r="B70" s="1" t="s">
        <v>1179</v>
      </c>
      <c r="C70" s="1" t="s">
        <v>42</v>
      </c>
      <c r="D70" s="1" t="s">
        <v>1075</v>
      </c>
      <c r="E70" s="6">
        <v>12955</v>
      </c>
      <c r="F70" s="1" t="str">
        <f>VLOOKUP(D70,Table17[[Name]:[Native]],3,FALSE)</f>
        <v>呈贡区</v>
      </c>
      <c r="G70" s="14" t="str">
        <f ca="1">VLOOKUP(F70,Table17[[Native]:[Population4]],5,FALSE)</f>
        <v>昆明市</v>
      </c>
    </row>
    <row r="71" spans="1:7" ht="15.75" thickBot="1" x14ac:dyDescent="0.3">
      <c r="A71" t="s">
        <v>1180</v>
      </c>
      <c r="B71" s="1" t="s">
        <v>1181</v>
      </c>
      <c r="C71" s="1" t="s">
        <v>11</v>
      </c>
      <c r="D71" s="1" t="s">
        <v>1060</v>
      </c>
      <c r="E71" s="6">
        <v>13583</v>
      </c>
      <c r="F71" s="1" t="str">
        <f>VLOOKUP(D71,Table17[[Name]:[Native]],3,FALSE)</f>
        <v>富民县</v>
      </c>
      <c r="G71" s="14" t="str">
        <f ca="1">VLOOKUP(F71,Table17[[Native]:[Population4]],5,FALSE)</f>
        <v>昆明市</v>
      </c>
    </row>
    <row r="72" spans="1:7" ht="15.75" thickBot="1" x14ac:dyDescent="0.3">
      <c r="A72" t="s">
        <v>1182</v>
      </c>
      <c r="B72" s="1" t="s">
        <v>1183</v>
      </c>
      <c r="C72" s="1" t="s">
        <v>42</v>
      </c>
      <c r="D72" s="1" t="s">
        <v>1075</v>
      </c>
      <c r="E72" s="6">
        <v>37574</v>
      </c>
      <c r="F72" s="1" t="str">
        <f>VLOOKUP(D72,Table17[[Name]:[Native]],3,FALSE)</f>
        <v>呈贡区</v>
      </c>
      <c r="G72" s="14" t="str">
        <f ca="1">VLOOKUP(F72,Table17[[Native]:[Population4]],5,FALSE)</f>
        <v>昆明市</v>
      </c>
    </row>
    <row r="73" spans="1:7" ht="15.75" thickBot="1" x14ac:dyDescent="0.3">
      <c r="A73" t="s">
        <v>1184</v>
      </c>
      <c r="B73" s="1" t="s">
        <v>1185</v>
      </c>
      <c r="C73" s="1" t="s">
        <v>42</v>
      </c>
      <c r="D73" s="1" t="s">
        <v>1053</v>
      </c>
      <c r="E73" s="6">
        <v>82100</v>
      </c>
      <c r="F73" s="1" t="str">
        <f>VLOOKUP(D73,Table17[[Name]:[Native]],3,FALSE)</f>
        <v>西山区</v>
      </c>
      <c r="G73" s="14" t="str">
        <f ca="1">VLOOKUP(F73,Table17[[Native]:[Population4]],5,FALSE)</f>
        <v>昆明市</v>
      </c>
    </row>
    <row r="74" spans="1:7" ht="15.75" thickBot="1" x14ac:dyDescent="0.3">
      <c r="A74" t="s">
        <v>269</v>
      </c>
      <c r="B74" s="1" t="s">
        <v>270</v>
      </c>
      <c r="C74" s="1" t="s">
        <v>11</v>
      </c>
      <c r="D74" s="1" t="s">
        <v>1050</v>
      </c>
      <c r="E74" s="6">
        <v>18497</v>
      </c>
      <c r="F74" s="1" t="str">
        <f>VLOOKUP(D74,Table17[[Name]:[Native]],3,FALSE)</f>
        <v>宜良县</v>
      </c>
      <c r="G74" s="14" t="str">
        <f ca="1">VLOOKUP(F74,Table17[[Native]:[Population4]],5,FALSE)</f>
        <v>昆明市</v>
      </c>
    </row>
    <row r="75" spans="1:7" ht="15.75" thickBot="1" x14ac:dyDescent="0.3">
      <c r="A75" t="s">
        <v>1186</v>
      </c>
      <c r="B75" s="1" t="s">
        <v>1187</v>
      </c>
      <c r="C75" s="1" t="s">
        <v>42</v>
      </c>
      <c r="D75" s="1" t="s">
        <v>1075</v>
      </c>
      <c r="E75" s="6">
        <v>33907</v>
      </c>
      <c r="F75" s="1" t="str">
        <f>VLOOKUP(D75,Table17[[Name]:[Native]],3,FALSE)</f>
        <v>呈贡区</v>
      </c>
      <c r="G75" s="14" t="str">
        <f ca="1">VLOOKUP(F75,Table17[[Native]:[Population4]],5,FALSE)</f>
        <v>昆明市</v>
      </c>
    </row>
    <row r="76" spans="1:7" ht="15.75" thickBot="1" x14ac:dyDescent="0.3">
      <c r="A76" t="s">
        <v>1188</v>
      </c>
      <c r="B76" s="1" t="s">
        <v>1189</v>
      </c>
      <c r="C76" s="1" t="s">
        <v>7</v>
      </c>
      <c r="D76" s="1" t="s">
        <v>1065</v>
      </c>
      <c r="E76" s="6">
        <v>14329</v>
      </c>
      <c r="F76" s="1" t="str">
        <f>VLOOKUP(D76,Table17[[Name]:[Native]],3,FALSE)</f>
        <v>禄劝彝族苗族自治县</v>
      </c>
      <c r="G76" s="14" t="str">
        <f ca="1">VLOOKUP(F76,Table17[[Native]:[Population4]],5,FALSE)</f>
        <v>昆明市</v>
      </c>
    </row>
    <row r="77" spans="1:7" ht="15.75" thickBot="1" x14ac:dyDescent="0.3">
      <c r="A77" t="s">
        <v>1190</v>
      </c>
      <c r="B77" s="1" t="s">
        <v>1191</v>
      </c>
      <c r="C77" s="1" t="s">
        <v>11</v>
      </c>
      <c r="D77" s="1" t="s">
        <v>1065</v>
      </c>
      <c r="E77" s="6">
        <v>30514</v>
      </c>
      <c r="F77" s="1" t="str">
        <f>VLOOKUP(D77,Table17[[Name]:[Native]],3,FALSE)</f>
        <v>禄劝彝族苗族自治县</v>
      </c>
      <c r="G77" s="14" t="str">
        <f ca="1">VLOOKUP(F77,Table17[[Native]:[Population4]],5,FALSE)</f>
        <v>昆明市</v>
      </c>
    </row>
    <row r="78" spans="1:7" ht="15.75" thickBot="1" x14ac:dyDescent="0.3">
      <c r="A78" t="s">
        <v>1192</v>
      </c>
      <c r="B78" s="1" t="s">
        <v>1193</v>
      </c>
      <c r="C78" s="1" t="s">
        <v>11</v>
      </c>
      <c r="D78" s="1" t="s">
        <v>1194</v>
      </c>
      <c r="E78" s="6">
        <v>47724</v>
      </c>
      <c r="F78" s="1" t="str">
        <f>VLOOKUP(D78,Table17[[Name]:[Native]],3,FALSE)</f>
        <v>嵩明县</v>
      </c>
      <c r="G78" s="14" t="str">
        <f ca="1">VLOOKUP(F78,Table17[[Native]:[Population4]],5,FALSE)</f>
        <v>昆明市</v>
      </c>
    </row>
    <row r="79" spans="1:7" ht="15.75" thickBot="1" x14ac:dyDescent="0.3">
      <c r="A79" t="s">
        <v>1195</v>
      </c>
      <c r="B79" s="1" t="s">
        <v>1196</v>
      </c>
      <c r="C79" s="1" t="s">
        <v>42</v>
      </c>
      <c r="D79" s="1" t="s">
        <v>1065</v>
      </c>
      <c r="E79" s="6">
        <v>76405</v>
      </c>
      <c r="F79" s="1" t="str">
        <f>VLOOKUP(D79,Table17[[Name]:[Native]],3,FALSE)</f>
        <v>禄劝彝族苗族自治县</v>
      </c>
      <c r="G79" s="14" t="str">
        <f ca="1">VLOOKUP(F79,Table17[[Native]:[Population4]],5,FALSE)</f>
        <v>昆明市</v>
      </c>
    </row>
    <row r="80" spans="1:7" ht="15.75" thickBot="1" x14ac:dyDescent="0.3">
      <c r="A80" t="s">
        <v>1197</v>
      </c>
      <c r="B80" s="1" t="s">
        <v>1198</v>
      </c>
      <c r="C80" s="1" t="s">
        <v>42</v>
      </c>
      <c r="D80" s="1" t="s">
        <v>1070</v>
      </c>
      <c r="E80" s="6">
        <v>74604</v>
      </c>
      <c r="F80" s="1" t="str">
        <f>VLOOKUP(D80,Table17[[Name]:[Native]],3,FALSE)</f>
        <v>五华区</v>
      </c>
      <c r="G80" s="14" t="str">
        <f ca="1">VLOOKUP(F80,Table17[[Native]:[Population4]],5,FALSE)</f>
        <v>昆明市</v>
      </c>
    </row>
    <row r="81" spans="1:7" ht="15.75" thickBot="1" x14ac:dyDescent="0.3">
      <c r="A81" t="s">
        <v>1199</v>
      </c>
      <c r="B81" s="1" t="s">
        <v>1200</v>
      </c>
      <c r="C81" s="1" t="s">
        <v>42</v>
      </c>
      <c r="D81" s="1" t="s">
        <v>1053</v>
      </c>
      <c r="E81" s="6">
        <v>58687</v>
      </c>
      <c r="F81" s="1" t="str">
        <f>VLOOKUP(D81,Table17[[Name]:[Native]],3,FALSE)</f>
        <v>西山区</v>
      </c>
      <c r="G81" s="14" t="str">
        <f ca="1">VLOOKUP(F81,Table17[[Native]:[Population4]],5,FALSE)</f>
        <v>昆明市</v>
      </c>
    </row>
    <row r="82" spans="1:7" ht="15.75" thickBot="1" x14ac:dyDescent="0.3">
      <c r="A82" t="s">
        <v>1201</v>
      </c>
      <c r="B82" s="1" t="s">
        <v>1202</v>
      </c>
      <c r="C82" s="1" t="s">
        <v>42</v>
      </c>
      <c r="D82" s="1" t="s">
        <v>1075</v>
      </c>
      <c r="E82" s="6">
        <v>22244</v>
      </c>
      <c r="F82" s="1" t="str">
        <f>VLOOKUP(D82,Table17[[Name]:[Native]],3,FALSE)</f>
        <v>呈贡区</v>
      </c>
      <c r="G82" s="14" t="str">
        <f ca="1">VLOOKUP(F82,Table17[[Native]:[Population4]],5,FALSE)</f>
        <v>昆明市</v>
      </c>
    </row>
    <row r="83" spans="1:7" ht="15.75" thickBot="1" x14ac:dyDescent="0.3">
      <c r="A83" t="s">
        <v>1203</v>
      </c>
      <c r="B83" s="1" t="s">
        <v>1204</v>
      </c>
      <c r="C83" s="1" t="s">
        <v>42</v>
      </c>
      <c r="D83" s="1" t="s">
        <v>1044</v>
      </c>
      <c r="E83" s="6">
        <v>11169</v>
      </c>
      <c r="F83" s="1" t="str">
        <f>VLOOKUP(D83,Table17[[Name]:[Native]],3,FALSE)</f>
        <v>安宁市</v>
      </c>
      <c r="G83" s="14" t="str">
        <f ca="1">VLOOKUP(F83,Table17[[Native]:[Population4]],5,FALSE)</f>
        <v>昆明市</v>
      </c>
    </row>
    <row r="84" spans="1:7" ht="15.75" thickBot="1" x14ac:dyDescent="0.3">
      <c r="A84" t="s">
        <v>1205</v>
      </c>
      <c r="B84" s="1" t="s">
        <v>1206</v>
      </c>
      <c r="C84" s="1" t="s">
        <v>42</v>
      </c>
      <c r="D84" s="1" t="s">
        <v>1041</v>
      </c>
      <c r="E84" s="6">
        <v>133099</v>
      </c>
      <c r="F84" s="1" t="str">
        <f>VLOOKUP(D84,Table17[[Name]:[Native]],3,FALSE)</f>
        <v>盘龙区</v>
      </c>
      <c r="G84" s="14" t="str">
        <f ca="1">VLOOKUP(F84,Table17[[Native]:[Population4]],5,FALSE)</f>
        <v>昆明市</v>
      </c>
    </row>
    <row r="85" spans="1:7" ht="15.75" thickBot="1" x14ac:dyDescent="0.3">
      <c r="A85" t="s">
        <v>1207</v>
      </c>
      <c r="B85" s="1" t="s">
        <v>1208</v>
      </c>
      <c r="C85" s="1" t="s">
        <v>11</v>
      </c>
      <c r="D85" s="1" t="s">
        <v>1078</v>
      </c>
      <c r="E85" s="6">
        <v>16462</v>
      </c>
      <c r="F85" s="1" t="str">
        <f>VLOOKUP(D85,Table17[[Name]:[Native]],3,FALSE)</f>
        <v>寻甸回族彝族自治县</v>
      </c>
      <c r="G85" s="14" t="str">
        <f ca="1">VLOOKUP(F85,Table17[[Native]:[Population4]],5,FALSE)</f>
        <v>昆明市</v>
      </c>
    </row>
    <row r="86" spans="1:7" ht="15.75" thickBot="1" x14ac:dyDescent="0.3">
      <c r="A86" t="s">
        <v>1209</v>
      </c>
      <c r="B86" s="1" t="s">
        <v>1210</v>
      </c>
      <c r="C86" s="1" t="s">
        <v>42</v>
      </c>
      <c r="D86" s="1" t="s">
        <v>1078</v>
      </c>
      <c r="E86" s="6">
        <v>131396</v>
      </c>
      <c r="F86" s="1" t="str">
        <f>VLOOKUP(D86,Table17[[Name]:[Native]],3,FALSE)</f>
        <v>寻甸回族彝族自治县</v>
      </c>
      <c r="G86" s="14" t="str">
        <f ca="1">VLOOKUP(F86,Table17[[Native]:[Population4]],5,FALSE)</f>
        <v>昆明市</v>
      </c>
    </row>
    <row r="87" spans="1:7" ht="15.75" thickBot="1" x14ac:dyDescent="0.3">
      <c r="A87" t="s">
        <v>1211</v>
      </c>
      <c r="B87" s="1" t="s">
        <v>1212</v>
      </c>
      <c r="C87" s="1" t="s">
        <v>11</v>
      </c>
      <c r="D87" s="1" t="s">
        <v>1060</v>
      </c>
      <c r="E87" s="6">
        <v>10269</v>
      </c>
      <c r="F87" s="1" t="str">
        <f>VLOOKUP(D87,Table17[[Name]:[Native]],3,FALSE)</f>
        <v>富民县</v>
      </c>
      <c r="G87" s="14" t="str">
        <f ca="1">VLOOKUP(F87,Table17[[Native]:[Population4]],5,FALSE)</f>
        <v>昆明市</v>
      </c>
    </row>
    <row r="88" spans="1:7" ht="15.75" thickBot="1" x14ac:dyDescent="0.3">
      <c r="A88" t="s">
        <v>1213</v>
      </c>
      <c r="B88" s="1" t="s">
        <v>1214</v>
      </c>
      <c r="C88" s="1" t="s">
        <v>11</v>
      </c>
      <c r="D88" s="1" t="s">
        <v>1065</v>
      </c>
      <c r="E88" s="6">
        <v>38043</v>
      </c>
      <c r="F88" s="1" t="str">
        <f>VLOOKUP(D88,Table17[[Name]:[Native]],3,FALSE)</f>
        <v>禄劝彝族苗族自治县</v>
      </c>
      <c r="G88" s="14" t="str">
        <f ca="1">VLOOKUP(F88,Table17[[Native]:[Population4]],5,FALSE)</f>
        <v>昆明市</v>
      </c>
    </row>
    <row r="89" spans="1:7" ht="15.75" thickBot="1" x14ac:dyDescent="0.3">
      <c r="A89" t="s">
        <v>1215</v>
      </c>
      <c r="B89" s="1" t="s">
        <v>1216</v>
      </c>
      <c r="C89" s="1" t="s">
        <v>11</v>
      </c>
      <c r="D89" s="1" t="s">
        <v>1089</v>
      </c>
      <c r="E89" s="6">
        <v>33287</v>
      </c>
      <c r="F89" s="1" t="str">
        <f>VLOOKUP(D89,Table17[[Name]:[Native]],3,FALSE)</f>
        <v>晋宁区</v>
      </c>
      <c r="G89" s="14" t="str">
        <f ca="1">VLOOKUP(F89,Table17[[Native]:[Population4]],5,FALSE)</f>
        <v>昆明市</v>
      </c>
    </row>
    <row r="90" spans="1:7" ht="15.75" thickBot="1" x14ac:dyDescent="0.3">
      <c r="A90" t="s">
        <v>1217</v>
      </c>
      <c r="B90" s="1" t="s">
        <v>1218</v>
      </c>
      <c r="C90" s="1" t="s">
        <v>7</v>
      </c>
      <c r="D90" s="1" t="s">
        <v>1038</v>
      </c>
      <c r="E90" s="6">
        <v>5752</v>
      </c>
      <c r="F90" s="1" t="str">
        <f>VLOOKUP(D90,Table17[[Name]:[Native]],3,FALSE)</f>
        <v>东川区</v>
      </c>
      <c r="G90" s="14" t="str">
        <f ca="1">VLOOKUP(F90,Table17[[Native]:[Population4]],5,FALSE)</f>
        <v>昆明市</v>
      </c>
    </row>
    <row r="91" spans="1:7" ht="15.75" thickBot="1" x14ac:dyDescent="0.3">
      <c r="A91" t="s">
        <v>1219</v>
      </c>
      <c r="B91" s="1" t="s">
        <v>1220</v>
      </c>
      <c r="C91" s="1" t="s">
        <v>42</v>
      </c>
      <c r="D91" s="1" t="s">
        <v>1047</v>
      </c>
      <c r="E91" s="6">
        <v>40420</v>
      </c>
      <c r="F91" s="1" t="str">
        <f>VLOOKUP(D91,Table17[[Name]:[Native]],3,FALSE)</f>
        <v>石林彝族自治县</v>
      </c>
      <c r="G91" s="14" t="str">
        <f ca="1">VLOOKUP(F91,Table17[[Native]:[Population4]],5,FALSE)</f>
        <v>昆明市</v>
      </c>
    </row>
    <row r="92" spans="1:7" ht="15.75" thickBot="1" x14ac:dyDescent="0.3">
      <c r="A92" t="s">
        <v>1221</v>
      </c>
      <c r="B92" s="1" t="s">
        <v>1222</v>
      </c>
      <c r="C92" s="1" t="s">
        <v>7</v>
      </c>
      <c r="D92" s="1" t="s">
        <v>1089</v>
      </c>
      <c r="E92" s="6">
        <v>8538</v>
      </c>
      <c r="F92" s="1" t="str">
        <f>VLOOKUP(D92,Table17[[Name]:[Native]],3,FALSE)</f>
        <v>晋宁区</v>
      </c>
      <c r="G92" s="14" t="str">
        <f ca="1">VLOOKUP(F92,Table17[[Native]:[Population4]],5,FALSE)</f>
        <v>昆明市</v>
      </c>
    </row>
    <row r="93" spans="1:7" ht="15.75" thickBot="1" x14ac:dyDescent="0.3">
      <c r="A93" t="s">
        <v>1223</v>
      </c>
      <c r="B93" s="1" t="s">
        <v>1224</v>
      </c>
      <c r="C93" s="1" t="s">
        <v>42</v>
      </c>
      <c r="D93" s="1" t="s">
        <v>1041</v>
      </c>
      <c r="E93" s="6">
        <v>11348</v>
      </c>
      <c r="F93" s="1" t="str">
        <f>VLOOKUP(D93,Table17[[Name]:[Native]],3,FALSE)</f>
        <v>盘龙区</v>
      </c>
      <c r="G93" s="14" t="str">
        <f ca="1">VLOOKUP(F93,Table17[[Native]:[Population4]],5,FALSE)</f>
        <v>昆明市</v>
      </c>
    </row>
    <row r="94" spans="1:7" ht="15.75" thickBot="1" x14ac:dyDescent="0.3">
      <c r="A94" t="s">
        <v>1225</v>
      </c>
      <c r="B94" s="1" t="s">
        <v>1226</v>
      </c>
      <c r="C94" s="1" t="s">
        <v>42</v>
      </c>
      <c r="D94" s="1" t="s">
        <v>1041</v>
      </c>
      <c r="E94" s="6">
        <v>11203</v>
      </c>
      <c r="F94" s="1" t="str">
        <f>VLOOKUP(D94,Table17[[Name]:[Native]],3,FALSE)</f>
        <v>盘龙区</v>
      </c>
      <c r="G94" s="14" t="str">
        <f ca="1">VLOOKUP(F94,Table17[[Native]:[Population4]],5,FALSE)</f>
        <v>昆明市</v>
      </c>
    </row>
    <row r="95" spans="1:7" ht="15.75" thickBot="1" x14ac:dyDescent="0.3">
      <c r="A95" t="s">
        <v>1227</v>
      </c>
      <c r="B95" s="1" t="s">
        <v>1228</v>
      </c>
      <c r="C95" s="1" t="s">
        <v>42</v>
      </c>
      <c r="D95" s="1" t="s">
        <v>1194</v>
      </c>
      <c r="E95" s="6">
        <v>114966</v>
      </c>
      <c r="F95" s="1" t="str">
        <f>VLOOKUP(D95,Table17[[Name]:[Native]],3,FALSE)</f>
        <v>嵩明县</v>
      </c>
      <c r="G95" s="14" t="str">
        <f ca="1">VLOOKUP(F95,Table17[[Native]:[Population4]],5,FALSE)</f>
        <v>昆明市</v>
      </c>
    </row>
    <row r="96" spans="1:7" ht="15.75" thickBot="1" x14ac:dyDescent="0.3">
      <c r="A96" t="s">
        <v>1229</v>
      </c>
      <c r="B96" s="1" t="s">
        <v>541</v>
      </c>
      <c r="C96" s="1" t="s">
        <v>42</v>
      </c>
      <c r="D96" s="1" t="s">
        <v>1035</v>
      </c>
      <c r="E96" s="6">
        <v>65309</v>
      </c>
      <c r="F96" s="1" t="str">
        <f>VLOOKUP(D96,Table17[[Name]:[Native]],3,FALSE)</f>
        <v>官渡区</v>
      </c>
      <c r="G96" s="14" t="str">
        <f ca="1">VLOOKUP(F96,Table17[[Native]:[Population4]],5,FALSE)</f>
        <v>昆明市</v>
      </c>
    </row>
    <row r="97" spans="1:7" ht="15.75" thickBot="1" x14ac:dyDescent="0.3">
      <c r="A97" t="s">
        <v>1230</v>
      </c>
      <c r="B97" s="1" t="s">
        <v>1231</v>
      </c>
      <c r="C97" s="1" t="s">
        <v>42</v>
      </c>
      <c r="D97" s="1" t="s">
        <v>1044</v>
      </c>
      <c r="E97" s="6">
        <v>24823</v>
      </c>
      <c r="F97" s="1" t="str">
        <f>VLOOKUP(D97,Table17[[Name]:[Native]],3,FALSE)</f>
        <v>安宁市</v>
      </c>
      <c r="G97" s="14" t="str">
        <f ca="1">VLOOKUP(F97,Table17[[Native]:[Population4]],5,FALSE)</f>
        <v>昆明市</v>
      </c>
    </row>
    <row r="98" spans="1:7" ht="15.75" thickBot="1" x14ac:dyDescent="0.3">
      <c r="A98" t="s">
        <v>1232</v>
      </c>
      <c r="B98" s="1" t="s">
        <v>1233</v>
      </c>
      <c r="C98" s="1" t="s">
        <v>42</v>
      </c>
      <c r="D98" s="1" t="s">
        <v>1050</v>
      </c>
      <c r="E98" s="6">
        <v>61605</v>
      </c>
      <c r="F98" s="1" t="str">
        <f>VLOOKUP(D98,Table17[[Name]:[Native]],3,FALSE)</f>
        <v>宜良县</v>
      </c>
      <c r="G98" s="14" t="str">
        <f ca="1">VLOOKUP(F98,Table17[[Native]:[Population4]],5,FALSE)</f>
        <v>昆明市</v>
      </c>
    </row>
    <row r="99" spans="1:7" ht="15.75" thickBot="1" x14ac:dyDescent="0.3">
      <c r="A99" t="s">
        <v>1234</v>
      </c>
      <c r="B99" s="1" t="s">
        <v>1235</v>
      </c>
      <c r="C99" s="1" t="s">
        <v>11</v>
      </c>
      <c r="D99" s="1" t="s">
        <v>1038</v>
      </c>
      <c r="E99" s="6">
        <v>37934</v>
      </c>
      <c r="F99" s="1" t="str">
        <f>VLOOKUP(D99,Table17[[Name]:[Native]],3,FALSE)</f>
        <v>东川区</v>
      </c>
      <c r="G99" s="14" t="str">
        <f ca="1">VLOOKUP(F99,Table17[[Native]:[Population4]],5,FALSE)</f>
        <v>昆明市</v>
      </c>
    </row>
    <row r="100" spans="1:7" ht="15.75" thickBot="1" x14ac:dyDescent="0.3">
      <c r="A100" t="s">
        <v>1236</v>
      </c>
      <c r="B100" s="1" t="s">
        <v>1237</v>
      </c>
      <c r="C100" s="1" t="s">
        <v>11</v>
      </c>
      <c r="D100" s="1" t="s">
        <v>1078</v>
      </c>
      <c r="E100" s="6">
        <v>36906</v>
      </c>
      <c r="F100" s="1" t="str">
        <f>VLOOKUP(D100,Table17[[Name]:[Native]],3,FALSE)</f>
        <v>寻甸回族彝族自治县</v>
      </c>
      <c r="G100" s="14" t="str">
        <f ca="1">VLOOKUP(F100,Table17[[Native]:[Population4]],5,FALSE)</f>
        <v>昆明市</v>
      </c>
    </row>
    <row r="101" spans="1:7" ht="15.75" thickBot="1" x14ac:dyDescent="0.3">
      <c r="A101" t="s">
        <v>1238</v>
      </c>
      <c r="B101" s="1" t="s">
        <v>1239</v>
      </c>
      <c r="C101" s="1" t="s">
        <v>7</v>
      </c>
      <c r="D101" s="1" t="s">
        <v>1065</v>
      </c>
      <c r="E101" s="6">
        <v>13642</v>
      </c>
      <c r="F101" s="1" t="str">
        <f>VLOOKUP(D101,Table17[[Name]:[Native]],3,FALSE)</f>
        <v>禄劝彝族苗族自治县</v>
      </c>
      <c r="G101" s="14" t="str">
        <f ca="1">VLOOKUP(F101,Table17[[Native]:[Population4]],5,FALSE)</f>
        <v>昆明市</v>
      </c>
    </row>
    <row r="102" spans="1:7" ht="15.75" thickBot="1" x14ac:dyDescent="0.3">
      <c r="A102" t="s">
        <v>1240</v>
      </c>
      <c r="B102" s="1" t="s">
        <v>1241</v>
      </c>
      <c r="C102" s="1" t="s">
        <v>42</v>
      </c>
      <c r="D102" s="1" t="s">
        <v>1038</v>
      </c>
      <c r="E102" s="6">
        <v>127887</v>
      </c>
      <c r="F102" s="1" t="str">
        <f>VLOOKUP(D102,Table17[[Name]:[Native]],3,FALSE)</f>
        <v>东川区</v>
      </c>
      <c r="G102" s="14" t="str">
        <f ca="1">VLOOKUP(F102,Table17[[Native]:[Population4]],5,FALSE)</f>
        <v>昆明市</v>
      </c>
    </row>
    <row r="103" spans="1:7" ht="15.75" thickBot="1" x14ac:dyDescent="0.3">
      <c r="A103" t="s">
        <v>1242</v>
      </c>
      <c r="B103" s="1" t="s">
        <v>1243</v>
      </c>
      <c r="C103" s="1" t="s">
        <v>42</v>
      </c>
      <c r="D103" s="1" t="s">
        <v>1053</v>
      </c>
      <c r="E103" s="6">
        <v>31737</v>
      </c>
      <c r="F103" s="1" t="str">
        <f>VLOOKUP(D103,Table17[[Name]:[Native]],3,FALSE)</f>
        <v>西山区</v>
      </c>
      <c r="G103" s="14" t="str">
        <f ca="1">VLOOKUP(F103,Table17[[Native]:[Population4]],5,FALSE)</f>
        <v>昆明市</v>
      </c>
    </row>
    <row r="104" spans="1:7" ht="15.75" thickBot="1" x14ac:dyDescent="0.3">
      <c r="A104" t="s">
        <v>1244</v>
      </c>
      <c r="B104" s="1" t="s">
        <v>1245</v>
      </c>
      <c r="C104" s="1" t="s">
        <v>11</v>
      </c>
      <c r="D104" s="1" t="s">
        <v>1065</v>
      </c>
      <c r="E104" s="6">
        <v>22056</v>
      </c>
      <c r="F104" s="1" t="str">
        <f>VLOOKUP(D104,Table17[[Name]:[Native]],3,FALSE)</f>
        <v>禄劝彝族苗族自治县</v>
      </c>
      <c r="G104" s="14" t="str">
        <f ca="1">VLOOKUP(F104,Table17[[Native]:[Population4]],5,FALSE)</f>
        <v>昆明市</v>
      </c>
    </row>
    <row r="105" spans="1:7" ht="15.75" thickBot="1" x14ac:dyDescent="0.3">
      <c r="A105" t="s">
        <v>1246</v>
      </c>
      <c r="B105" s="1" t="s">
        <v>1247</v>
      </c>
      <c r="C105" s="1" t="s">
        <v>11</v>
      </c>
      <c r="D105" s="1" t="s">
        <v>1038</v>
      </c>
      <c r="E105" s="6">
        <v>25793</v>
      </c>
      <c r="F105" s="1" t="str">
        <f>VLOOKUP(D105,Table17[[Name]:[Native]],3,FALSE)</f>
        <v>东川区</v>
      </c>
      <c r="G105" s="14" t="str">
        <f ca="1">VLOOKUP(F105,Table17[[Native]:[Population4]],5,FALSE)</f>
        <v>昆明市</v>
      </c>
    </row>
    <row r="106" spans="1:7" ht="15.75" thickBot="1" x14ac:dyDescent="0.3">
      <c r="A106" t="s">
        <v>1248</v>
      </c>
      <c r="B106" s="1" t="s">
        <v>1249</v>
      </c>
      <c r="C106" s="1" t="s">
        <v>42</v>
      </c>
      <c r="D106" s="1" t="s">
        <v>1041</v>
      </c>
      <c r="E106" s="6">
        <v>39035</v>
      </c>
      <c r="F106" s="1" t="str">
        <f>VLOOKUP(D106,Table17[[Name]:[Native]],3,FALSE)</f>
        <v>盘龙区</v>
      </c>
      <c r="G106" s="14" t="str">
        <f ca="1">VLOOKUP(F106,Table17[[Native]:[Population4]],5,FALSE)</f>
        <v>昆明市</v>
      </c>
    </row>
    <row r="107" spans="1:7" ht="15.75" thickBot="1" x14ac:dyDescent="0.3">
      <c r="A107" t="s">
        <v>1250</v>
      </c>
      <c r="B107" s="1" t="s">
        <v>1251</v>
      </c>
      <c r="C107" s="1" t="s">
        <v>42</v>
      </c>
      <c r="D107" s="1" t="s">
        <v>1044</v>
      </c>
      <c r="E107" s="6">
        <v>10991</v>
      </c>
      <c r="F107" s="1" t="str">
        <f>VLOOKUP(D107,Table17[[Name]:[Native]],3,FALSE)</f>
        <v>安宁市</v>
      </c>
      <c r="G107" s="14" t="str">
        <f ca="1">VLOOKUP(F107,Table17[[Native]:[Population4]],5,FALSE)</f>
        <v>昆明市</v>
      </c>
    </row>
    <row r="108" spans="1:7" ht="15.75" thickBot="1" x14ac:dyDescent="0.3">
      <c r="A108" t="s">
        <v>1252</v>
      </c>
      <c r="B108" s="1" t="s">
        <v>1253</v>
      </c>
      <c r="C108" s="1" t="s">
        <v>11</v>
      </c>
      <c r="D108" s="1" t="s">
        <v>1065</v>
      </c>
      <c r="E108" s="6">
        <v>13005</v>
      </c>
      <c r="F108" s="1" t="str">
        <f>VLOOKUP(D108,Table17[[Name]:[Native]],3,FALSE)</f>
        <v>禄劝彝族苗族自治县</v>
      </c>
      <c r="G108" s="14" t="str">
        <f ca="1">VLOOKUP(F108,Table17[[Native]:[Population4]],5,FALSE)</f>
        <v>昆明市</v>
      </c>
    </row>
    <row r="109" spans="1:7" ht="15.75" thickBot="1" x14ac:dyDescent="0.3">
      <c r="A109" t="s">
        <v>1254</v>
      </c>
      <c r="B109" s="1" t="s">
        <v>1255</v>
      </c>
      <c r="C109" s="1" t="s">
        <v>42</v>
      </c>
      <c r="D109" s="1" t="s">
        <v>1075</v>
      </c>
      <c r="E109" s="6">
        <v>57703</v>
      </c>
      <c r="F109" s="1" t="str">
        <f>VLOOKUP(D109,Table17[[Name]:[Native]],3,FALSE)</f>
        <v>呈贡区</v>
      </c>
      <c r="G109" s="14" t="str">
        <f ca="1">VLOOKUP(F109,Table17[[Native]:[Population4]],5,FALSE)</f>
        <v>昆明市</v>
      </c>
    </row>
    <row r="110" spans="1:7" ht="15.75" thickBot="1" x14ac:dyDescent="0.3">
      <c r="A110" t="s">
        <v>1256</v>
      </c>
      <c r="B110" s="1" t="s">
        <v>1257</v>
      </c>
      <c r="C110" s="1" t="s">
        <v>42</v>
      </c>
      <c r="D110" s="1" t="s">
        <v>1035</v>
      </c>
      <c r="E110" s="6">
        <v>73416</v>
      </c>
      <c r="F110" s="1" t="str">
        <f>VLOOKUP(D110,Table17[[Name]:[Native]],3,FALSE)</f>
        <v>官渡区</v>
      </c>
      <c r="G110" s="14" t="str">
        <f ca="1">VLOOKUP(F110,Table17[[Native]:[Population4]],5,FALSE)</f>
        <v>昆明市</v>
      </c>
    </row>
    <row r="111" spans="1:7" ht="15.75" thickBot="1" x14ac:dyDescent="0.3">
      <c r="A111" t="s">
        <v>1258</v>
      </c>
      <c r="B111" s="1" t="s">
        <v>1259</v>
      </c>
      <c r="C111" s="1" t="s">
        <v>42</v>
      </c>
      <c r="D111" s="1" t="s">
        <v>1075</v>
      </c>
      <c r="E111" s="6">
        <v>23544</v>
      </c>
      <c r="F111" s="1" t="str">
        <f>VLOOKUP(D111,Table17[[Name]:[Native]],3,FALSE)</f>
        <v>呈贡区</v>
      </c>
      <c r="G111" s="14" t="str">
        <f ca="1">VLOOKUP(F111,Table17[[Native]:[Population4]],5,FALSE)</f>
        <v>昆明市</v>
      </c>
    </row>
    <row r="112" spans="1:7" ht="15.75" thickBot="1" x14ac:dyDescent="0.3">
      <c r="A112" t="s">
        <v>1260</v>
      </c>
      <c r="B112" s="1" t="s">
        <v>1261</v>
      </c>
      <c r="C112" s="1" t="s">
        <v>11</v>
      </c>
      <c r="D112" s="1" t="s">
        <v>1038</v>
      </c>
      <c r="E112" s="6">
        <v>16371</v>
      </c>
      <c r="F112" s="1" t="str">
        <f>VLOOKUP(D112,Table17[[Name]:[Native]],3,FALSE)</f>
        <v>东川区</v>
      </c>
      <c r="G112" s="14" t="str">
        <f ca="1">VLOOKUP(F112,Table17[[Native]:[Population4]],5,FALSE)</f>
        <v>昆明市</v>
      </c>
    </row>
    <row r="113" spans="1:7" ht="15.75" thickBot="1" x14ac:dyDescent="0.3">
      <c r="A113" t="s">
        <v>1262</v>
      </c>
      <c r="B113" s="1" t="s">
        <v>1263</v>
      </c>
      <c r="C113" s="1" t="s">
        <v>7</v>
      </c>
      <c r="D113" s="1" t="s">
        <v>1065</v>
      </c>
      <c r="E113" s="6">
        <v>12991</v>
      </c>
      <c r="F113" s="1" t="str">
        <f>VLOOKUP(D113,Table17[[Name]:[Native]],3,FALSE)</f>
        <v>禄劝彝族苗族自治县</v>
      </c>
      <c r="G113" s="14" t="str">
        <f ca="1">VLOOKUP(F113,Table17[[Native]:[Population4]],5,FALSE)</f>
        <v>昆明市</v>
      </c>
    </row>
    <row r="114" spans="1:7" ht="15.75" thickBot="1" x14ac:dyDescent="0.3">
      <c r="A114" t="s">
        <v>1264</v>
      </c>
      <c r="B114" s="1" t="s">
        <v>1265</v>
      </c>
      <c r="C114" s="1" t="s">
        <v>11</v>
      </c>
      <c r="D114" s="1" t="s">
        <v>1078</v>
      </c>
      <c r="E114" s="6">
        <v>20304</v>
      </c>
      <c r="F114" s="1" t="str">
        <f>VLOOKUP(D114,Table17[[Name]:[Native]],3,FALSE)</f>
        <v>寻甸回族彝族自治县</v>
      </c>
      <c r="G114" s="14" t="str">
        <f ca="1">VLOOKUP(F114,Table17[[Native]:[Population4]],5,FALSE)</f>
        <v>昆明市</v>
      </c>
    </row>
    <row r="115" spans="1:7" ht="15.75" thickBot="1" x14ac:dyDescent="0.3">
      <c r="A115" t="s">
        <v>1266</v>
      </c>
      <c r="B115" s="1" t="s">
        <v>1267</v>
      </c>
      <c r="C115" s="1" t="s">
        <v>42</v>
      </c>
      <c r="D115" s="1" t="s">
        <v>1044</v>
      </c>
      <c r="E115" s="6">
        <v>25979</v>
      </c>
      <c r="F115" s="1" t="str">
        <f>VLOOKUP(D115,Table17[[Name]:[Native]],3,FALSE)</f>
        <v>安宁市</v>
      </c>
      <c r="G115" s="14" t="str">
        <f ca="1">VLOOKUP(F115,Table17[[Native]:[Population4]],5,FALSE)</f>
        <v>昆明市</v>
      </c>
    </row>
    <row r="116" spans="1:7" ht="15.75" thickBot="1" x14ac:dyDescent="0.3">
      <c r="A116" t="s">
        <v>1268</v>
      </c>
      <c r="B116" s="1" t="s">
        <v>1269</v>
      </c>
      <c r="C116" s="1" t="s">
        <v>42</v>
      </c>
      <c r="D116" s="1" t="s">
        <v>1035</v>
      </c>
      <c r="E116" s="6">
        <v>96588</v>
      </c>
      <c r="F116" s="1" t="str">
        <f>VLOOKUP(D116,Table17[[Name]:[Native]],3,FALSE)</f>
        <v>官渡区</v>
      </c>
      <c r="G116" s="14" t="str">
        <f ca="1">VLOOKUP(F116,Table17[[Native]:[Population4]],5,FALSE)</f>
        <v>昆明市</v>
      </c>
    </row>
    <row r="117" spans="1:7" ht="15.75" thickBot="1" x14ac:dyDescent="0.3">
      <c r="A117" t="s">
        <v>1270</v>
      </c>
      <c r="B117" s="1" t="s">
        <v>1271</v>
      </c>
      <c r="C117" s="1" t="s">
        <v>11</v>
      </c>
      <c r="D117" s="1" t="s">
        <v>1194</v>
      </c>
      <c r="E117" s="6">
        <v>62033</v>
      </c>
      <c r="F117" s="1" t="str">
        <f>VLOOKUP(D117,Table17[[Name]:[Native]],3,FALSE)</f>
        <v>嵩明县</v>
      </c>
      <c r="G117" s="14" t="str">
        <f ca="1">VLOOKUP(F117,Table17[[Native]:[Population4]],5,FALSE)</f>
        <v>昆明市</v>
      </c>
    </row>
    <row r="118" spans="1:7" ht="15.75" thickBot="1" x14ac:dyDescent="0.3">
      <c r="A118" t="s">
        <v>1272</v>
      </c>
      <c r="B118" s="1" t="s">
        <v>1273</v>
      </c>
      <c r="C118" s="1" t="s">
        <v>11</v>
      </c>
      <c r="D118" s="1" t="s">
        <v>1047</v>
      </c>
      <c r="E118" s="6">
        <v>18804</v>
      </c>
      <c r="F118" s="1" t="str">
        <f>VLOOKUP(D118,Table17[[Name]:[Native]],3,FALSE)</f>
        <v>石林彝族自治县</v>
      </c>
      <c r="G118" s="14" t="str">
        <f ca="1">VLOOKUP(F118,Table17[[Native]:[Population4]],5,FALSE)</f>
        <v>昆明市</v>
      </c>
    </row>
    <row r="119" spans="1:7" ht="15.75" thickBot="1" x14ac:dyDescent="0.3">
      <c r="A119" t="s">
        <v>1274</v>
      </c>
      <c r="B119" s="1" t="s">
        <v>1275</v>
      </c>
      <c r="C119" s="1" t="s">
        <v>7</v>
      </c>
      <c r="D119" s="1" t="s">
        <v>1089</v>
      </c>
      <c r="E119" s="6">
        <v>7526</v>
      </c>
      <c r="F119" s="1" t="str">
        <f>VLOOKUP(D119,Table17[[Name]:[Native]],3,FALSE)</f>
        <v>晋宁区</v>
      </c>
      <c r="G119" s="14" t="str">
        <f ca="1">VLOOKUP(F119,Table17[[Native]:[Population4]],5,FALSE)</f>
        <v>昆明市</v>
      </c>
    </row>
    <row r="120" spans="1:7" ht="15.75" thickBot="1" x14ac:dyDescent="0.3">
      <c r="A120" t="s">
        <v>1276</v>
      </c>
      <c r="B120" s="1" t="s">
        <v>1277</v>
      </c>
      <c r="C120" s="1" t="s">
        <v>42</v>
      </c>
      <c r="D120" s="1" t="s">
        <v>1053</v>
      </c>
      <c r="E120" s="6">
        <v>51558</v>
      </c>
      <c r="F120" s="1" t="str">
        <f>VLOOKUP(D120,Table17[[Name]:[Native]],3,FALSE)</f>
        <v>西山区</v>
      </c>
      <c r="G120" s="14" t="str">
        <f ca="1">VLOOKUP(F120,Table17[[Native]:[Population4]],5,FALSE)</f>
        <v>昆明市</v>
      </c>
    </row>
    <row r="121" spans="1:7" ht="15.75" thickBot="1" x14ac:dyDescent="0.3">
      <c r="A121" t="s">
        <v>1278</v>
      </c>
      <c r="B121" s="1" t="s">
        <v>1279</v>
      </c>
      <c r="C121" s="1" t="s">
        <v>42</v>
      </c>
      <c r="D121" s="1" t="s">
        <v>1070</v>
      </c>
      <c r="E121" s="6">
        <v>34329</v>
      </c>
      <c r="F121" s="1" t="str">
        <f>VLOOKUP(D121,Table17[[Name]:[Native]],3,FALSE)</f>
        <v>五华区</v>
      </c>
      <c r="G121" s="14" t="str">
        <f ca="1">VLOOKUP(F121,Table17[[Native]:[Population4]],5,FALSE)</f>
        <v>昆明市</v>
      </c>
    </row>
    <row r="122" spans="1:7" ht="15.75" thickBot="1" x14ac:dyDescent="0.3">
      <c r="A122" t="s">
        <v>1280</v>
      </c>
      <c r="B122" s="1" t="s">
        <v>1281</v>
      </c>
      <c r="C122" s="1" t="s">
        <v>7</v>
      </c>
      <c r="D122" s="1" t="s">
        <v>1065</v>
      </c>
      <c r="E122" s="6">
        <v>8650</v>
      </c>
      <c r="F122" s="1" t="str">
        <f>VLOOKUP(D122,Table17[[Name]:[Native]],3,FALSE)</f>
        <v>禄劝彝族苗族自治县</v>
      </c>
      <c r="G122" s="14" t="str">
        <f ca="1">VLOOKUP(F122,Table17[[Native]:[Population4]],5,FALSE)</f>
        <v>昆明市</v>
      </c>
    </row>
    <row r="123" spans="1:7" ht="15.75" thickBot="1" x14ac:dyDescent="0.3">
      <c r="A123" t="s">
        <v>339</v>
      </c>
      <c r="B123" s="1" t="s">
        <v>340</v>
      </c>
      <c r="C123" s="1" t="s">
        <v>11</v>
      </c>
      <c r="D123" s="1" t="s">
        <v>1078</v>
      </c>
      <c r="E123" s="6">
        <v>37786</v>
      </c>
      <c r="F123" s="1" t="str">
        <f>VLOOKUP(D123,Table17[[Name]:[Native]],3,FALSE)</f>
        <v>寻甸回族彝族自治县</v>
      </c>
      <c r="G123" s="14" t="str">
        <f ca="1">VLOOKUP(F123,Table17[[Native]:[Population4]],5,FALSE)</f>
        <v>昆明市</v>
      </c>
    </row>
    <row r="124" spans="1:7" ht="15.75" thickBot="1" x14ac:dyDescent="0.3">
      <c r="A124" t="s">
        <v>1282</v>
      </c>
      <c r="B124" s="1" t="s">
        <v>1283</v>
      </c>
      <c r="C124" s="1" t="s">
        <v>11</v>
      </c>
      <c r="D124" s="1" t="s">
        <v>1194</v>
      </c>
      <c r="E124" s="6">
        <v>62372</v>
      </c>
      <c r="F124" s="1" t="str">
        <f>VLOOKUP(D124,Table17[[Name]:[Native]],3,FALSE)</f>
        <v>嵩明县</v>
      </c>
      <c r="G124" s="14" t="str">
        <f ca="1">VLOOKUP(F124,Table17[[Native]:[Population4]],5,FALSE)</f>
        <v>昆明市</v>
      </c>
    </row>
    <row r="125" spans="1:7" ht="15.75" thickBot="1" x14ac:dyDescent="0.3">
      <c r="A125" t="s">
        <v>1284</v>
      </c>
      <c r="B125" s="1" t="s">
        <v>1285</v>
      </c>
      <c r="C125" s="1" t="s">
        <v>42</v>
      </c>
      <c r="D125" s="1" t="s">
        <v>1035</v>
      </c>
      <c r="E125" s="6">
        <v>48593</v>
      </c>
      <c r="F125" s="1" t="str">
        <f>VLOOKUP(D125,Table17[[Name]:[Native]],3,FALSE)</f>
        <v>官渡区</v>
      </c>
      <c r="G125" s="14" t="str">
        <f ca="1">VLOOKUP(F125,Table17[[Native]:[Population4]],5,FALSE)</f>
        <v>昆明市</v>
      </c>
    </row>
    <row r="126" spans="1:7" ht="15.75" thickBot="1" x14ac:dyDescent="0.3">
      <c r="A126" t="s">
        <v>1286</v>
      </c>
      <c r="B126" s="1" t="s">
        <v>1287</v>
      </c>
      <c r="C126" s="1" t="s">
        <v>11</v>
      </c>
      <c r="D126" s="1" t="s">
        <v>1038</v>
      </c>
      <c r="E126" s="6">
        <v>12623</v>
      </c>
      <c r="F126" s="1" t="str">
        <f>VLOOKUP(D126,Table17[[Name]:[Native]],3,FALSE)</f>
        <v>东川区</v>
      </c>
      <c r="G126" s="14" t="str">
        <f ca="1">VLOOKUP(F126,Table17[[Native]:[Population4]],5,FALSE)</f>
        <v>昆明市</v>
      </c>
    </row>
    <row r="127" spans="1:7" ht="15.75" thickBot="1" x14ac:dyDescent="0.3">
      <c r="A127" t="s">
        <v>147</v>
      </c>
      <c r="B127" s="1" t="s">
        <v>148</v>
      </c>
      <c r="C127" s="1" t="s">
        <v>42</v>
      </c>
      <c r="D127" s="1" t="s">
        <v>1053</v>
      </c>
      <c r="E127" s="6">
        <v>53600</v>
      </c>
      <c r="F127" s="1" t="str">
        <f>VLOOKUP(D127,Table17[[Name]:[Native]],3,FALSE)</f>
        <v>西山区</v>
      </c>
      <c r="G127" s="14" t="str">
        <f ca="1">VLOOKUP(F127,Table17[[Native]:[Population4]],5,FALSE)</f>
        <v>昆明市</v>
      </c>
    </row>
    <row r="128" spans="1:7" ht="15.75" thickBot="1" x14ac:dyDescent="0.3">
      <c r="A128" t="s">
        <v>1288</v>
      </c>
      <c r="B128" s="1" t="s">
        <v>1289</v>
      </c>
      <c r="C128" s="1" t="s">
        <v>42</v>
      </c>
      <c r="D128" s="1" t="s">
        <v>1060</v>
      </c>
      <c r="E128" s="6">
        <v>79078</v>
      </c>
      <c r="F128" s="1" t="str">
        <f>VLOOKUP(D128,Table17[[Name]:[Native]],3,FALSE)</f>
        <v>富民县</v>
      </c>
      <c r="G128" s="14" t="str">
        <f ca="1">VLOOKUP(F128,Table17[[Native]:[Population4]],5,FALSE)</f>
        <v>昆明市</v>
      </c>
    </row>
    <row r="129" spans="1:7" ht="15.75" thickBot="1" x14ac:dyDescent="0.3">
      <c r="A129" t="s">
        <v>1290</v>
      </c>
      <c r="B129" s="1" t="s">
        <v>1291</v>
      </c>
      <c r="C129" s="1" t="s">
        <v>42</v>
      </c>
      <c r="D129" s="1" t="s">
        <v>1075</v>
      </c>
      <c r="E129" s="6">
        <v>22279</v>
      </c>
      <c r="F129" s="1" t="str">
        <f>VLOOKUP(D129,Table17[[Name]:[Native]],3,FALSE)</f>
        <v>呈贡区</v>
      </c>
      <c r="G129" s="14" t="str">
        <f ca="1">VLOOKUP(F129,Table17[[Native]:[Population4]],5,FALSE)</f>
        <v>昆明市</v>
      </c>
    </row>
    <row r="130" spans="1:7" ht="15.75" thickBot="1" x14ac:dyDescent="0.3">
      <c r="A130" t="s">
        <v>1292</v>
      </c>
      <c r="B130" s="1" t="s">
        <v>1293</v>
      </c>
      <c r="C130" s="1" t="s">
        <v>7</v>
      </c>
      <c r="D130" s="1" t="s">
        <v>1065</v>
      </c>
      <c r="E130" s="6">
        <v>12162</v>
      </c>
      <c r="F130" s="1" t="str">
        <f>VLOOKUP(D130,Table17[[Name]:[Native]],3,FALSE)</f>
        <v>禄劝彝族苗族自治县</v>
      </c>
      <c r="G130" s="14" t="str">
        <f ca="1">VLOOKUP(F130,Table17[[Native]:[Population4]],5,FALSE)</f>
        <v>昆明市</v>
      </c>
    </row>
    <row r="131" spans="1:7" ht="15.75" thickBot="1" x14ac:dyDescent="0.3">
      <c r="A131" t="s">
        <v>1294</v>
      </c>
      <c r="B131" s="1" t="s">
        <v>1295</v>
      </c>
      <c r="C131" s="1" t="s">
        <v>7</v>
      </c>
      <c r="D131" s="1" t="s">
        <v>1065</v>
      </c>
      <c r="E131" s="6">
        <v>22431</v>
      </c>
      <c r="F131" s="1" t="str">
        <f>VLOOKUP(D131,Table17[[Name]:[Native]],3,FALSE)</f>
        <v>禄劝彝族苗族自治县</v>
      </c>
      <c r="G131" s="14" t="str">
        <f ca="1">VLOOKUP(F131,Table17[[Native]:[Population4]],5,FALSE)</f>
        <v>昆明市</v>
      </c>
    </row>
    <row r="132" spans="1:7" ht="15.75" thickBot="1" x14ac:dyDescent="0.3">
      <c r="A132" t="s">
        <v>1296</v>
      </c>
      <c r="B132" s="1" t="s">
        <v>1297</v>
      </c>
      <c r="C132" s="1" t="s">
        <v>11</v>
      </c>
      <c r="D132" s="1" t="s">
        <v>1065</v>
      </c>
      <c r="E132" s="6">
        <v>16769</v>
      </c>
      <c r="F132" s="1" t="str">
        <f>VLOOKUP(D132,Table17[[Name]:[Native]],3,FALSE)</f>
        <v>禄劝彝族苗族自治县</v>
      </c>
      <c r="G132" s="14" t="str">
        <f ca="1">VLOOKUP(F132,Table17[[Native]:[Population4]],5,FALSE)</f>
        <v>昆明市</v>
      </c>
    </row>
    <row r="133" spans="1:7" ht="15.75" thickBot="1" x14ac:dyDescent="0.3">
      <c r="A133" t="s">
        <v>1298</v>
      </c>
      <c r="B133" s="1" t="s">
        <v>1299</v>
      </c>
      <c r="C133" s="1" t="s">
        <v>11</v>
      </c>
      <c r="D133" s="1" t="s">
        <v>1065</v>
      </c>
      <c r="E133" s="6">
        <v>28472</v>
      </c>
      <c r="F133" s="1" t="str">
        <f>VLOOKUP(D133,Table17[[Name]:[Native]],3,FALSE)</f>
        <v>禄劝彝族苗族自治县</v>
      </c>
      <c r="G133" s="14" t="str">
        <f ca="1">VLOOKUP(F133,Table17[[Native]:[Population4]],5,FALSE)</f>
        <v>昆明市</v>
      </c>
    </row>
    <row r="134" spans="1:7" ht="15.75" thickBot="1" x14ac:dyDescent="0.3">
      <c r="A134" t="s">
        <v>1300</v>
      </c>
      <c r="B134" s="1" t="s">
        <v>1301</v>
      </c>
      <c r="C134" s="1" t="s">
        <v>11</v>
      </c>
      <c r="D134" s="1" t="s">
        <v>1050</v>
      </c>
      <c r="E134" s="6">
        <v>27731</v>
      </c>
      <c r="F134" s="1" t="str">
        <f>VLOOKUP(D134,Table17[[Name]:[Native]],3,FALSE)</f>
        <v>宜良县</v>
      </c>
      <c r="G134" s="14" t="str">
        <f ca="1">VLOOKUP(F134,Table17[[Native]:[Population4]],5,FALSE)</f>
        <v>昆明市</v>
      </c>
    </row>
    <row r="135" spans="1:7" ht="15.75" thickBot="1" x14ac:dyDescent="0.3">
      <c r="A135" t="s">
        <v>1302</v>
      </c>
      <c r="B135" s="1" t="s">
        <v>1303</v>
      </c>
      <c r="C135" s="1" t="s">
        <v>42</v>
      </c>
      <c r="D135" s="1" t="s">
        <v>1053</v>
      </c>
      <c r="E135" s="6">
        <v>52314</v>
      </c>
      <c r="F135" s="10" t="str">
        <f>VLOOKUP(D135,Table17[[Name]:[Native]],3,FALSE)</f>
        <v>西山区</v>
      </c>
      <c r="G135" s="14" t="str">
        <f ca="1">VLOOKUP(F135,Table17[[Native]:[Population4]],5,FALSE)</f>
        <v>昆明市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79E22-0E97-4A66-9D84-73385B548F93}">
  <dimension ref="A1:G64"/>
  <sheetViews>
    <sheetView topLeftCell="A39" workbookViewId="0">
      <selection activeCell="G2" sqref="A2:G64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2917</v>
      </c>
      <c r="G1" t="s">
        <v>2919</v>
      </c>
    </row>
    <row r="2" spans="1:7" ht="15.75" thickBot="1" x14ac:dyDescent="0.3">
      <c r="A2" t="s">
        <v>1304</v>
      </c>
      <c r="B2" s="1" t="s">
        <v>1305</v>
      </c>
      <c r="C2" s="1" t="s">
        <v>11</v>
      </c>
      <c r="D2" s="1" t="s">
        <v>1306</v>
      </c>
      <c r="E2" s="6">
        <v>8157</v>
      </c>
      <c r="F2" s="9" t="str">
        <f>VLOOKUP(D2,Table17[[Name]:[Native]],3,FALSE)</f>
        <v>玉龙纳西族自治县</v>
      </c>
      <c r="G2" s="14" t="str">
        <f ca="1">VLOOKUP(F2,Table17[[Native]:[Population4]],5,FALSE)</f>
        <v>丽江市</v>
      </c>
    </row>
    <row r="3" spans="1:7" ht="15.75" thickBot="1" x14ac:dyDescent="0.3">
      <c r="A3" t="s">
        <v>1307</v>
      </c>
      <c r="B3" s="1" t="s">
        <v>1308</v>
      </c>
      <c r="C3" s="1" t="s">
        <v>7</v>
      </c>
      <c r="D3" s="1" t="s">
        <v>1306</v>
      </c>
      <c r="E3" s="6">
        <v>7528</v>
      </c>
      <c r="F3" s="1" t="str">
        <f>VLOOKUP(D3,Table17[[Name]:[Native]],3,FALSE)</f>
        <v>玉龙纳西族自治县</v>
      </c>
      <c r="G3" s="14" t="str">
        <f ca="1">VLOOKUP(F3,Table17[[Native]:[Population4]],5,FALSE)</f>
        <v>丽江市</v>
      </c>
    </row>
    <row r="4" spans="1:7" ht="15.75" thickBot="1" x14ac:dyDescent="0.3">
      <c r="A4" t="s">
        <v>1309</v>
      </c>
      <c r="B4" s="1" t="s">
        <v>1310</v>
      </c>
      <c r="C4" s="1" t="s">
        <v>7</v>
      </c>
      <c r="D4" s="1" t="s">
        <v>1311</v>
      </c>
      <c r="E4" s="6">
        <v>6421</v>
      </c>
      <c r="F4" s="1" t="str">
        <f>VLOOKUP(D4,Table17[[Name]:[Native]],3,FALSE)</f>
        <v>宁蒗彝族自治县</v>
      </c>
      <c r="G4" s="14" t="str">
        <f ca="1">VLOOKUP(F4,Table17[[Native]:[Population4]],5,FALSE)</f>
        <v>丽江市</v>
      </c>
    </row>
    <row r="5" spans="1:7" ht="15.75" thickBot="1" x14ac:dyDescent="0.3">
      <c r="A5" t="s">
        <v>1312</v>
      </c>
      <c r="B5" s="1" t="s">
        <v>1313</v>
      </c>
      <c r="C5" s="1" t="s">
        <v>11</v>
      </c>
      <c r="D5" s="1" t="s">
        <v>1314</v>
      </c>
      <c r="E5" s="6">
        <v>39766</v>
      </c>
      <c r="F5" s="1" t="str">
        <f>VLOOKUP(D5,Table17[[Name]:[Native]],3,FALSE)</f>
        <v>永胜县</v>
      </c>
      <c r="G5" s="14" t="str">
        <f ca="1">VLOOKUP(F5,Table17[[Native]:[Population4]],5,FALSE)</f>
        <v>丽江市</v>
      </c>
    </row>
    <row r="6" spans="1:7" ht="15.75" thickBot="1" x14ac:dyDescent="0.3">
      <c r="A6" t="s">
        <v>1315</v>
      </c>
      <c r="B6" s="1" t="s">
        <v>1316</v>
      </c>
      <c r="C6" s="1" t="s">
        <v>7</v>
      </c>
      <c r="D6" s="1" t="s">
        <v>1317</v>
      </c>
      <c r="E6" s="6">
        <v>8314</v>
      </c>
      <c r="F6" s="1" t="str">
        <f>VLOOKUP(D6,Table17[[Name]:[Native]],3,FALSE)</f>
        <v>华坪县</v>
      </c>
      <c r="G6" s="14" t="str">
        <f ca="1">VLOOKUP(F6,Table17[[Native]:[Population4]],5,FALSE)</f>
        <v>丽江市</v>
      </c>
    </row>
    <row r="7" spans="1:7" ht="15.75" thickBot="1" x14ac:dyDescent="0.3">
      <c r="A7" t="s">
        <v>1318</v>
      </c>
      <c r="B7" s="1" t="s">
        <v>1319</v>
      </c>
      <c r="C7" s="1" t="s">
        <v>7</v>
      </c>
      <c r="D7" s="1" t="s">
        <v>1311</v>
      </c>
      <c r="E7" s="6">
        <v>16914</v>
      </c>
      <c r="F7" s="1" t="str">
        <f>VLOOKUP(D7,Table17[[Name]:[Native]],3,FALSE)</f>
        <v>宁蒗彝族自治县</v>
      </c>
      <c r="G7" s="14" t="str">
        <f ca="1">VLOOKUP(F7,Table17[[Native]:[Population4]],5,FALSE)</f>
        <v>丽江市</v>
      </c>
    </row>
    <row r="8" spans="1:7" ht="15.75" thickBot="1" x14ac:dyDescent="0.3">
      <c r="A8" t="s">
        <v>1320</v>
      </c>
      <c r="B8" s="1" t="s">
        <v>1321</v>
      </c>
      <c r="C8" s="1" t="s">
        <v>7</v>
      </c>
      <c r="D8" s="1" t="s">
        <v>1314</v>
      </c>
      <c r="E8" s="6">
        <v>15942</v>
      </c>
      <c r="F8" s="1" t="str">
        <f>VLOOKUP(D8,Table17[[Name]:[Native]],3,FALSE)</f>
        <v>永胜县</v>
      </c>
      <c r="G8" s="14" t="str">
        <f ca="1">VLOOKUP(F8,Table17[[Native]:[Population4]],5,FALSE)</f>
        <v>丽江市</v>
      </c>
    </row>
    <row r="9" spans="1:7" ht="15.75" thickBot="1" x14ac:dyDescent="0.3">
      <c r="A9" t="s">
        <v>1322</v>
      </c>
      <c r="B9" s="1" t="s">
        <v>1323</v>
      </c>
      <c r="C9" s="1" t="s">
        <v>7</v>
      </c>
      <c r="D9" s="1" t="s">
        <v>1324</v>
      </c>
      <c r="E9" s="6">
        <v>6261</v>
      </c>
      <c r="F9" s="1" t="str">
        <f>VLOOKUP(D9,Table17[[Name]:[Native]],3,FALSE)</f>
        <v>古城区</v>
      </c>
      <c r="G9" s="14" t="str">
        <f ca="1">VLOOKUP(F9,Table17[[Native]:[Population4]],5,FALSE)</f>
        <v>丽江市</v>
      </c>
    </row>
    <row r="10" spans="1:7" ht="15.75" thickBot="1" x14ac:dyDescent="0.3">
      <c r="A10" t="s">
        <v>1325</v>
      </c>
      <c r="B10" s="1" t="s">
        <v>1326</v>
      </c>
      <c r="C10" s="1" t="s">
        <v>7</v>
      </c>
      <c r="D10" s="1" t="s">
        <v>1306</v>
      </c>
      <c r="E10" s="6">
        <v>9481</v>
      </c>
      <c r="F10" s="1" t="str">
        <f>VLOOKUP(D10,Table17[[Name]:[Native]],3,FALSE)</f>
        <v>玉龙纳西族自治县</v>
      </c>
      <c r="G10" s="14" t="str">
        <f ca="1">VLOOKUP(F10,Table17[[Native]:[Population4]],5,FALSE)</f>
        <v>丽江市</v>
      </c>
    </row>
    <row r="11" spans="1:7" ht="15.75" thickBot="1" x14ac:dyDescent="0.3">
      <c r="A11" t="s">
        <v>817</v>
      </c>
      <c r="B11" s="1" t="s">
        <v>818</v>
      </c>
      <c r="C11" s="1" t="s">
        <v>11</v>
      </c>
      <c r="D11" s="1" t="s">
        <v>1311</v>
      </c>
      <c r="E11" s="6">
        <v>52568</v>
      </c>
      <c r="F11" s="1" t="str">
        <f>VLOOKUP(D11,Table17[[Name]:[Native]],3,FALSE)</f>
        <v>宁蒗彝族自治县</v>
      </c>
      <c r="G11" s="14" t="str">
        <f ca="1">VLOOKUP(F11,Table17[[Native]:[Population4]],5,FALSE)</f>
        <v>丽江市</v>
      </c>
    </row>
    <row r="12" spans="1:7" ht="15.75" thickBot="1" x14ac:dyDescent="0.3">
      <c r="A12" t="s">
        <v>1327</v>
      </c>
      <c r="B12" s="1" t="s">
        <v>1328</v>
      </c>
      <c r="C12" s="1" t="s">
        <v>42</v>
      </c>
      <c r="D12" s="1" t="s">
        <v>1324</v>
      </c>
      <c r="E12" s="6">
        <v>31005</v>
      </c>
      <c r="F12" s="1" t="str">
        <f>VLOOKUP(D12,Table17[[Name]:[Native]],3,FALSE)</f>
        <v>古城区</v>
      </c>
      <c r="G12" s="14" t="str">
        <f ca="1">VLOOKUP(F12,Table17[[Native]:[Population4]],5,FALSE)</f>
        <v>丽江市</v>
      </c>
    </row>
    <row r="13" spans="1:7" ht="15.75" thickBot="1" x14ac:dyDescent="0.3">
      <c r="A13" t="s">
        <v>1329</v>
      </c>
      <c r="B13" s="1" t="s">
        <v>1330</v>
      </c>
      <c r="C13" s="1" t="s">
        <v>7</v>
      </c>
      <c r="D13" s="1" t="s">
        <v>1314</v>
      </c>
      <c r="E13" s="6">
        <v>8310</v>
      </c>
      <c r="F13" s="1" t="str">
        <f>VLOOKUP(D13,Table17[[Name]:[Native]],3,FALSE)</f>
        <v>永胜县</v>
      </c>
      <c r="G13" s="14" t="str">
        <f ca="1">VLOOKUP(F13,Table17[[Native]:[Population4]],5,FALSE)</f>
        <v>丽江市</v>
      </c>
    </row>
    <row r="14" spans="1:7" ht="15.75" thickBot="1" x14ac:dyDescent="0.3">
      <c r="A14" t="s">
        <v>1331</v>
      </c>
      <c r="B14" s="1" t="s">
        <v>1332</v>
      </c>
      <c r="C14" s="1" t="s">
        <v>11</v>
      </c>
      <c r="D14" s="1" t="s">
        <v>1306</v>
      </c>
      <c r="E14" s="6">
        <v>7747</v>
      </c>
      <c r="F14" s="1" t="str">
        <f>VLOOKUP(D14,Table17[[Name]:[Native]],3,FALSE)</f>
        <v>玉龙纳西族自治县</v>
      </c>
      <c r="G14" s="14" t="str">
        <f ca="1">VLOOKUP(F14,Table17[[Native]:[Population4]],5,FALSE)</f>
        <v>丽江市</v>
      </c>
    </row>
    <row r="15" spans="1:7" ht="15.75" thickBot="1" x14ac:dyDescent="0.3">
      <c r="A15" t="s">
        <v>1333</v>
      </c>
      <c r="B15" s="1" t="s">
        <v>1334</v>
      </c>
      <c r="C15" s="1" t="s">
        <v>7</v>
      </c>
      <c r="D15" s="1" t="s">
        <v>1314</v>
      </c>
      <c r="E15" s="6">
        <v>15221</v>
      </c>
      <c r="F15" s="1" t="str">
        <f>VLOOKUP(D15,Table17[[Name]:[Native]],3,FALSE)</f>
        <v>永胜县</v>
      </c>
      <c r="G15" s="14" t="str">
        <f ca="1">VLOOKUP(F15,Table17[[Native]:[Population4]],5,FALSE)</f>
        <v>丽江市</v>
      </c>
    </row>
    <row r="16" spans="1:7" ht="15.75" thickBot="1" x14ac:dyDescent="0.3">
      <c r="A16" t="s">
        <v>1335</v>
      </c>
      <c r="B16" s="1" t="s">
        <v>1336</v>
      </c>
      <c r="C16" s="1" t="s">
        <v>11</v>
      </c>
      <c r="D16" s="1" t="s">
        <v>1311</v>
      </c>
      <c r="E16" s="6">
        <v>20060</v>
      </c>
      <c r="F16" s="1" t="str">
        <f>VLOOKUP(D16,Table17[[Name]:[Native]],3,FALSE)</f>
        <v>宁蒗彝族自治县</v>
      </c>
      <c r="G16" s="14" t="str">
        <f ca="1">VLOOKUP(F16,Table17[[Native]:[Population4]],5,FALSE)</f>
        <v>丽江市</v>
      </c>
    </row>
    <row r="17" spans="1:7" ht="15.75" thickBot="1" x14ac:dyDescent="0.3">
      <c r="A17" t="s">
        <v>1337</v>
      </c>
      <c r="B17" s="1" t="s">
        <v>1338</v>
      </c>
      <c r="C17" s="1" t="s">
        <v>11</v>
      </c>
      <c r="D17" s="1" t="s">
        <v>1306</v>
      </c>
      <c r="E17" s="6">
        <v>20136</v>
      </c>
      <c r="F17" s="1" t="str">
        <f>VLOOKUP(D17,Table17[[Name]:[Native]],3,FALSE)</f>
        <v>玉龙纳西族自治县</v>
      </c>
      <c r="G17" s="14" t="str">
        <f ca="1">VLOOKUP(F17,Table17[[Native]:[Population4]],5,FALSE)</f>
        <v>丽江市</v>
      </c>
    </row>
    <row r="18" spans="1:7" ht="15.75" thickBot="1" x14ac:dyDescent="0.3">
      <c r="A18" t="s">
        <v>1339</v>
      </c>
      <c r="B18" s="1" t="s">
        <v>1340</v>
      </c>
      <c r="C18" s="1" t="s">
        <v>11</v>
      </c>
      <c r="D18" s="1" t="s">
        <v>1324</v>
      </c>
      <c r="E18" s="6">
        <v>6332</v>
      </c>
      <c r="F18" s="1" t="str">
        <f>VLOOKUP(D18,Table17[[Name]:[Native]],3,FALSE)</f>
        <v>古城区</v>
      </c>
      <c r="G18" s="14" t="str">
        <f ca="1">VLOOKUP(F18,Table17[[Native]:[Population4]],5,FALSE)</f>
        <v>丽江市</v>
      </c>
    </row>
    <row r="19" spans="1:7" ht="15.75" thickBot="1" x14ac:dyDescent="0.3">
      <c r="A19" t="s">
        <v>1341</v>
      </c>
      <c r="B19" s="1" t="s">
        <v>1342</v>
      </c>
      <c r="C19" s="1" t="s">
        <v>7</v>
      </c>
      <c r="D19" s="1" t="s">
        <v>1324</v>
      </c>
      <c r="E19" s="6">
        <v>3537</v>
      </c>
      <c r="F19" s="1" t="str">
        <f>VLOOKUP(D19,Table17[[Name]:[Native]],3,FALSE)</f>
        <v>古城区</v>
      </c>
      <c r="G19" s="14" t="str">
        <f ca="1">VLOOKUP(F19,Table17[[Native]:[Population4]],5,FALSE)</f>
        <v>丽江市</v>
      </c>
    </row>
    <row r="20" spans="1:7" ht="15.75" thickBot="1" x14ac:dyDescent="0.3">
      <c r="A20" t="s">
        <v>1343</v>
      </c>
      <c r="B20" s="1" t="s">
        <v>1344</v>
      </c>
      <c r="C20" s="1" t="s">
        <v>7</v>
      </c>
      <c r="D20" s="1" t="s">
        <v>1311</v>
      </c>
      <c r="E20" s="6">
        <v>7868</v>
      </c>
      <c r="F20" s="1" t="str">
        <f>VLOOKUP(D20,Table17[[Name]:[Native]],3,FALSE)</f>
        <v>宁蒗彝族自治县</v>
      </c>
      <c r="G20" s="14" t="str">
        <f ca="1">VLOOKUP(F20,Table17[[Native]:[Population4]],5,FALSE)</f>
        <v>丽江市</v>
      </c>
    </row>
    <row r="21" spans="1:7" ht="15.75" thickBot="1" x14ac:dyDescent="0.3">
      <c r="A21" t="s">
        <v>1345</v>
      </c>
      <c r="B21" s="1" t="s">
        <v>1346</v>
      </c>
      <c r="C21" s="1" t="s">
        <v>42</v>
      </c>
      <c r="D21" s="1" t="s">
        <v>1324</v>
      </c>
      <c r="E21" s="6">
        <v>24961</v>
      </c>
      <c r="F21" s="1" t="str">
        <f>VLOOKUP(D21,Table17[[Name]:[Native]],3,FALSE)</f>
        <v>古城区</v>
      </c>
      <c r="G21" s="14" t="str">
        <f ca="1">VLOOKUP(F21,Table17[[Native]:[Population4]],5,FALSE)</f>
        <v>丽江市</v>
      </c>
    </row>
    <row r="22" spans="1:7" ht="15.75" thickBot="1" x14ac:dyDescent="0.3">
      <c r="A22" t="s">
        <v>1347</v>
      </c>
      <c r="B22" s="1" t="s">
        <v>1348</v>
      </c>
      <c r="C22" s="1" t="s">
        <v>7</v>
      </c>
      <c r="D22" s="1" t="s">
        <v>1306</v>
      </c>
      <c r="E22" s="6">
        <v>23680</v>
      </c>
      <c r="F22" s="1" t="str">
        <f>VLOOKUP(D22,Table17[[Name]:[Native]],3,FALSE)</f>
        <v>玉龙纳西族自治县</v>
      </c>
      <c r="G22" s="14" t="str">
        <f ca="1">VLOOKUP(F22,Table17[[Native]:[Population4]],5,FALSE)</f>
        <v>丽江市</v>
      </c>
    </row>
    <row r="23" spans="1:7" ht="15.75" thickBot="1" x14ac:dyDescent="0.3">
      <c r="A23" t="s">
        <v>1349</v>
      </c>
      <c r="B23" s="1" t="s">
        <v>1350</v>
      </c>
      <c r="C23" s="1" t="s">
        <v>11</v>
      </c>
      <c r="D23" s="1" t="s">
        <v>1306</v>
      </c>
      <c r="E23" s="6">
        <v>21368</v>
      </c>
      <c r="F23" s="1" t="str">
        <f>VLOOKUP(D23,Table17[[Name]:[Native]],3,FALSE)</f>
        <v>玉龙纳西族自治县</v>
      </c>
      <c r="G23" s="14" t="str">
        <f ca="1">VLOOKUP(F23,Table17[[Native]:[Population4]],5,FALSE)</f>
        <v>丽江市</v>
      </c>
    </row>
    <row r="24" spans="1:7" ht="15.75" thickBot="1" x14ac:dyDescent="0.3">
      <c r="A24" t="s">
        <v>1351</v>
      </c>
      <c r="B24" s="1" t="s">
        <v>1352</v>
      </c>
      <c r="C24" s="1" t="s">
        <v>7</v>
      </c>
      <c r="D24" s="1" t="s">
        <v>1311</v>
      </c>
      <c r="E24" s="6">
        <v>10124</v>
      </c>
      <c r="F24" s="1" t="str">
        <f>VLOOKUP(D24,Table17[[Name]:[Native]],3,FALSE)</f>
        <v>宁蒗彝族自治县</v>
      </c>
      <c r="G24" s="14" t="str">
        <f ca="1">VLOOKUP(F24,Table17[[Native]:[Population4]],5,FALSE)</f>
        <v>丽江市</v>
      </c>
    </row>
    <row r="25" spans="1:7" ht="15.75" thickBot="1" x14ac:dyDescent="0.3">
      <c r="A25" t="s">
        <v>1353</v>
      </c>
      <c r="B25" s="1" t="s">
        <v>1354</v>
      </c>
      <c r="C25" s="1" t="s">
        <v>7</v>
      </c>
      <c r="D25" s="1" t="s">
        <v>1311</v>
      </c>
      <c r="E25" s="6">
        <v>12184</v>
      </c>
      <c r="F25" s="1" t="str">
        <f>VLOOKUP(D25,Table17[[Name]:[Native]],3,FALSE)</f>
        <v>宁蒗彝族自治县</v>
      </c>
      <c r="G25" s="14" t="str">
        <f ca="1">VLOOKUP(F25,Table17[[Native]:[Population4]],5,FALSE)</f>
        <v>丽江市</v>
      </c>
    </row>
    <row r="26" spans="1:7" ht="15.75" thickBot="1" x14ac:dyDescent="0.3">
      <c r="A26" t="s">
        <v>1355</v>
      </c>
      <c r="B26" s="1" t="s">
        <v>1356</v>
      </c>
      <c r="C26" s="1" t="s">
        <v>11</v>
      </c>
      <c r="D26" s="1" t="s">
        <v>1306</v>
      </c>
      <c r="E26" s="6">
        <v>16446</v>
      </c>
      <c r="F26" s="1" t="str">
        <f>VLOOKUP(D26,Table17[[Name]:[Native]],3,FALSE)</f>
        <v>玉龙纳西族自治县</v>
      </c>
      <c r="G26" s="14" t="str">
        <f ca="1">VLOOKUP(F26,Table17[[Native]:[Population4]],5,FALSE)</f>
        <v>丽江市</v>
      </c>
    </row>
    <row r="27" spans="1:7" ht="15.75" thickBot="1" x14ac:dyDescent="0.3">
      <c r="A27" t="s">
        <v>1357</v>
      </c>
      <c r="B27" s="1" t="s">
        <v>1358</v>
      </c>
      <c r="C27" s="1" t="s">
        <v>7</v>
      </c>
      <c r="D27" s="1" t="s">
        <v>1306</v>
      </c>
      <c r="E27" s="6">
        <v>15344</v>
      </c>
      <c r="F27" s="1" t="str">
        <f>VLOOKUP(D27,Table17[[Name]:[Native]],3,FALSE)</f>
        <v>玉龙纳西族自治县</v>
      </c>
      <c r="G27" s="14" t="str">
        <f ca="1">VLOOKUP(F27,Table17[[Native]:[Population4]],5,FALSE)</f>
        <v>丽江市</v>
      </c>
    </row>
    <row r="28" spans="1:7" ht="15.75" thickBot="1" x14ac:dyDescent="0.3">
      <c r="A28" t="s">
        <v>1359</v>
      </c>
      <c r="B28" s="1" t="s">
        <v>1360</v>
      </c>
      <c r="C28" s="1" t="s">
        <v>7</v>
      </c>
      <c r="D28" s="1" t="s">
        <v>1314</v>
      </c>
      <c r="E28" s="6">
        <v>14446</v>
      </c>
      <c r="F28" s="1" t="str">
        <f>VLOOKUP(D28,Table17[[Name]:[Native]],3,FALSE)</f>
        <v>永胜县</v>
      </c>
      <c r="G28" s="14" t="str">
        <f ca="1">VLOOKUP(F28,Table17[[Native]:[Population4]],5,FALSE)</f>
        <v>丽江市</v>
      </c>
    </row>
    <row r="29" spans="1:7" ht="15.75" thickBot="1" x14ac:dyDescent="0.3">
      <c r="A29" t="s">
        <v>1361</v>
      </c>
      <c r="B29" s="1" t="s">
        <v>1362</v>
      </c>
      <c r="C29" s="1" t="s">
        <v>7</v>
      </c>
      <c r="D29" s="1" t="s">
        <v>1306</v>
      </c>
      <c r="E29" s="6">
        <v>10700</v>
      </c>
      <c r="F29" s="1" t="str">
        <f>VLOOKUP(D29,Table17[[Name]:[Native]],3,FALSE)</f>
        <v>玉龙纳西族自治县</v>
      </c>
      <c r="G29" s="14" t="str">
        <f ca="1">VLOOKUP(F29,Table17[[Native]:[Population4]],5,FALSE)</f>
        <v>丽江市</v>
      </c>
    </row>
    <row r="30" spans="1:7" ht="15.75" thickBot="1" x14ac:dyDescent="0.3">
      <c r="A30" t="s">
        <v>1363</v>
      </c>
      <c r="B30" s="1" t="s">
        <v>1364</v>
      </c>
      <c r="C30" s="1" t="s">
        <v>7</v>
      </c>
      <c r="D30" s="1" t="s">
        <v>1306</v>
      </c>
      <c r="E30" s="6">
        <v>16987</v>
      </c>
      <c r="F30" s="1" t="str">
        <f>VLOOKUP(D30,Table17[[Name]:[Native]],3,FALSE)</f>
        <v>玉龙纳西族自治县</v>
      </c>
      <c r="G30" s="14" t="str">
        <f ca="1">VLOOKUP(F30,Table17[[Native]:[Population4]],5,FALSE)</f>
        <v>丽江市</v>
      </c>
    </row>
    <row r="31" spans="1:7" ht="15.75" thickBot="1" x14ac:dyDescent="0.3">
      <c r="A31" t="s">
        <v>1365</v>
      </c>
      <c r="B31" s="1" t="s">
        <v>1366</v>
      </c>
      <c r="C31" s="1" t="s">
        <v>11</v>
      </c>
      <c r="D31" s="1" t="s">
        <v>1314</v>
      </c>
      <c r="E31" s="6">
        <v>13008</v>
      </c>
      <c r="F31" s="1" t="str">
        <f>VLOOKUP(D31,Table17[[Name]:[Native]],3,FALSE)</f>
        <v>永胜县</v>
      </c>
      <c r="G31" s="14" t="str">
        <f ca="1">VLOOKUP(F31,Table17[[Native]:[Population4]],5,FALSE)</f>
        <v>丽江市</v>
      </c>
    </row>
    <row r="32" spans="1:7" ht="15.75" thickBot="1" x14ac:dyDescent="0.3">
      <c r="A32" t="s">
        <v>1367</v>
      </c>
      <c r="B32" s="1" t="s">
        <v>1368</v>
      </c>
      <c r="C32" s="1" t="s">
        <v>11</v>
      </c>
      <c r="D32" s="1" t="s">
        <v>1306</v>
      </c>
      <c r="E32" s="6">
        <v>8605</v>
      </c>
      <c r="F32" s="1" t="str">
        <f>VLOOKUP(D32,Table17[[Name]:[Native]],3,FALSE)</f>
        <v>玉龙纳西族自治县</v>
      </c>
      <c r="G32" s="14" t="str">
        <f ca="1">VLOOKUP(F32,Table17[[Native]:[Population4]],5,FALSE)</f>
        <v>丽江市</v>
      </c>
    </row>
    <row r="33" spans="1:7" ht="15.75" thickBot="1" x14ac:dyDescent="0.3">
      <c r="A33" t="s">
        <v>1369</v>
      </c>
      <c r="B33" s="1" t="s">
        <v>1370</v>
      </c>
      <c r="C33" s="1" t="s">
        <v>7</v>
      </c>
      <c r="D33" s="1" t="s">
        <v>1311</v>
      </c>
      <c r="E33" s="6">
        <v>14263</v>
      </c>
      <c r="F33" s="1" t="str">
        <f>VLOOKUP(D33,Table17[[Name]:[Native]],3,FALSE)</f>
        <v>宁蒗彝族自治县</v>
      </c>
      <c r="G33" s="14" t="str">
        <f ca="1">VLOOKUP(F33,Table17[[Native]:[Population4]],5,FALSE)</f>
        <v>丽江市</v>
      </c>
    </row>
    <row r="34" spans="1:7" ht="15.75" thickBot="1" x14ac:dyDescent="0.3">
      <c r="A34" t="s">
        <v>1371</v>
      </c>
      <c r="B34" s="1" t="s">
        <v>1372</v>
      </c>
      <c r="C34" s="1" t="s">
        <v>7</v>
      </c>
      <c r="D34" s="1" t="s">
        <v>1311</v>
      </c>
      <c r="E34" s="6">
        <v>10992</v>
      </c>
      <c r="F34" s="1" t="str">
        <f>VLOOKUP(D34,Table17[[Name]:[Native]],3,FALSE)</f>
        <v>宁蒗彝族自治县</v>
      </c>
      <c r="G34" s="14" t="str">
        <f ca="1">VLOOKUP(F34,Table17[[Native]:[Population4]],5,FALSE)</f>
        <v>丽江市</v>
      </c>
    </row>
    <row r="35" spans="1:7" ht="15.75" thickBot="1" x14ac:dyDescent="0.3">
      <c r="A35" t="s">
        <v>1373</v>
      </c>
      <c r="B35" s="1" t="s">
        <v>1374</v>
      </c>
      <c r="C35" s="1" t="s">
        <v>11</v>
      </c>
      <c r="D35" s="1" t="s">
        <v>1314</v>
      </c>
      <c r="E35" s="6">
        <v>24575</v>
      </c>
      <c r="F35" s="1" t="str">
        <f>VLOOKUP(D35,Table17[[Name]:[Native]],3,FALSE)</f>
        <v>永胜县</v>
      </c>
      <c r="G35" s="14" t="str">
        <f ca="1">VLOOKUP(F35,Table17[[Native]:[Population4]],5,FALSE)</f>
        <v>丽江市</v>
      </c>
    </row>
    <row r="36" spans="1:7" ht="15.75" thickBot="1" x14ac:dyDescent="0.3">
      <c r="A36" t="s">
        <v>1375</v>
      </c>
      <c r="B36" s="1" t="s">
        <v>1376</v>
      </c>
      <c r="C36" s="1" t="s">
        <v>11</v>
      </c>
      <c r="D36" s="1" t="s">
        <v>1324</v>
      </c>
      <c r="E36" s="6">
        <v>18316</v>
      </c>
      <c r="F36" s="1" t="str">
        <f>VLOOKUP(D36,Table17[[Name]:[Native]],3,FALSE)</f>
        <v>古城区</v>
      </c>
      <c r="G36" s="14" t="str">
        <f ca="1">VLOOKUP(F36,Table17[[Native]:[Population4]],5,FALSE)</f>
        <v>丽江市</v>
      </c>
    </row>
    <row r="37" spans="1:7" ht="15.75" thickBot="1" x14ac:dyDescent="0.3">
      <c r="A37" t="s">
        <v>1377</v>
      </c>
      <c r="B37" s="1" t="s">
        <v>1378</v>
      </c>
      <c r="C37" s="1" t="s">
        <v>11</v>
      </c>
      <c r="D37" s="1" t="s">
        <v>1314</v>
      </c>
      <c r="E37" s="6">
        <v>36823</v>
      </c>
      <c r="F37" s="1" t="str">
        <f>VLOOKUP(D37,Table17[[Name]:[Native]],3,FALSE)</f>
        <v>永胜县</v>
      </c>
      <c r="G37" s="14" t="str">
        <f ca="1">VLOOKUP(F37,Table17[[Native]:[Population4]],5,FALSE)</f>
        <v>丽江市</v>
      </c>
    </row>
    <row r="38" spans="1:7" ht="15.75" thickBot="1" x14ac:dyDescent="0.3">
      <c r="A38" t="s">
        <v>103</v>
      </c>
      <c r="B38" s="1" t="s">
        <v>104</v>
      </c>
      <c r="C38" s="1" t="s">
        <v>11</v>
      </c>
      <c r="D38" s="1" t="s">
        <v>1314</v>
      </c>
      <c r="E38" s="6">
        <v>24903</v>
      </c>
      <c r="F38" s="1" t="str">
        <f>VLOOKUP(D38,Table17[[Name]:[Native]],3,FALSE)</f>
        <v>永胜县</v>
      </c>
      <c r="G38" s="14" t="str">
        <f ca="1">VLOOKUP(F38,Table17[[Native]:[Population4]],5,FALSE)</f>
        <v>丽江市</v>
      </c>
    </row>
    <row r="39" spans="1:7" ht="15.75" thickBot="1" x14ac:dyDescent="0.3">
      <c r="A39" t="s">
        <v>1379</v>
      </c>
      <c r="B39" s="1" t="s">
        <v>1380</v>
      </c>
      <c r="C39" s="1" t="s">
        <v>11</v>
      </c>
      <c r="D39" s="1" t="s">
        <v>1317</v>
      </c>
      <c r="E39" s="6">
        <v>32291</v>
      </c>
      <c r="F39" s="1" t="str">
        <f>VLOOKUP(D39,Table17[[Name]:[Native]],3,FALSE)</f>
        <v>华坪县</v>
      </c>
      <c r="G39" s="14" t="str">
        <f ca="1">VLOOKUP(F39,Table17[[Native]:[Population4]],5,FALSE)</f>
        <v>丽江市</v>
      </c>
    </row>
    <row r="40" spans="1:7" ht="15.75" thickBot="1" x14ac:dyDescent="0.3">
      <c r="A40" t="s">
        <v>1381</v>
      </c>
      <c r="B40" s="1" t="s">
        <v>1382</v>
      </c>
      <c r="C40" s="1" t="s">
        <v>11</v>
      </c>
      <c r="D40" s="1" t="s">
        <v>1314</v>
      </c>
      <c r="E40" s="6">
        <v>56345</v>
      </c>
      <c r="F40" s="1" t="str">
        <f>VLOOKUP(D40,Table17[[Name]:[Native]],3,FALSE)</f>
        <v>永胜县</v>
      </c>
      <c r="G40" s="14" t="str">
        <f ca="1">VLOOKUP(F40,Table17[[Native]:[Population4]],5,FALSE)</f>
        <v>丽江市</v>
      </c>
    </row>
    <row r="41" spans="1:7" ht="15.75" thickBot="1" x14ac:dyDescent="0.3">
      <c r="A41" t="s">
        <v>1383</v>
      </c>
      <c r="B41" s="1" t="s">
        <v>1384</v>
      </c>
      <c r="C41" s="1" t="s">
        <v>11</v>
      </c>
      <c r="D41" s="1" t="s">
        <v>1306</v>
      </c>
      <c r="E41" s="6">
        <v>21006</v>
      </c>
      <c r="F41" s="1" t="str">
        <f>VLOOKUP(D41,Table17[[Name]:[Native]],3,FALSE)</f>
        <v>玉龙纳西族自治县</v>
      </c>
      <c r="G41" s="14" t="str">
        <f ca="1">VLOOKUP(F41,Table17[[Native]:[Population4]],5,FALSE)</f>
        <v>丽江市</v>
      </c>
    </row>
    <row r="42" spans="1:7" ht="15.75" thickBot="1" x14ac:dyDescent="0.3">
      <c r="A42" t="s">
        <v>1385</v>
      </c>
      <c r="B42" s="1" t="s">
        <v>1386</v>
      </c>
      <c r="C42" s="1" t="s">
        <v>11</v>
      </c>
      <c r="D42" s="1" t="s">
        <v>1317</v>
      </c>
      <c r="E42" s="6">
        <v>20074</v>
      </c>
      <c r="F42" s="1" t="str">
        <f>VLOOKUP(D42,Table17[[Name]:[Native]],3,FALSE)</f>
        <v>华坪县</v>
      </c>
      <c r="G42" s="14" t="str">
        <f ca="1">VLOOKUP(F42,Table17[[Native]:[Population4]],5,FALSE)</f>
        <v>丽江市</v>
      </c>
    </row>
    <row r="43" spans="1:7" ht="15.75" thickBot="1" x14ac:dyDescent="0.3">
      <c r="A43" t="s">
        <v>1387</v>
      </c>
      <c r="B43" s="1" t="s">
        <v>1388</v>
      </c>
      <c r="C43" s="1" t="s">
        <v>7</v>
      </c>
      <c r="D43" s="1" t="s">
        <v>1306</v>
      </c>
      <c r="E43" s="6">
        <v>9107</v>
      </c>
      <c r="F43" s="1" t="str">
        <f>VLOOKUP(D43,Table17[[Name]:[Native]],3,FALSE)</f>
        <v>玉龙纳西族自治县</v>
      </c>
      <c r="G43" s="14" t="str">
        <f ca="1">VLOOKUP(F43,Table17[[Native]:[Population4]],5,FALSE)</f>
        <v>丽江市</v>
      </c>
    </row>
    <row r="44" spans="1:7" ht="15.75" thickBot="1" x14ac:dyDescent="0.3">
      <c r="A44" t="s">
        <v>1389</v>
      </c>
      <c r="B44" s="1" t="s">
        <v>1390</v>
      </c>
      <c r="C44" s="1" t="s">
        <v>42</v>
      </c>
      <c r="D44" s="1" t="s">
        <v>1324</v>
      </c>
      <c r="E44" s="6">
        <v>34947</v>
      </c>
      <c r="F44" s="1" t="str">
        <f>VLOOKUP(D44,Table17[[Name]:[Native]],3,FALSE)</f>
        <v>古城区</v>
      </c>
      <c r="G44" s="14" t="str">
        <f ca="1">VLOOKUP(F44,Table17[[Native]:[Population4]],5,FALSE)</f>
        <v>丽江市</v>
      </c>
    </row>
    <row r="45" spans="1:7" ht="15.75" thickBot="1" x14ac:dyDescent="0.3">
      <c r="A45" t="s">
        <v>1391</v>
      </c>
      <c r="B45" s="1" t="s">
        <v>1392</v>
      </c>
      <c r="C45" s="1" t="s">
        <v>11</v>
      </c>
      <c r="D45" s="1" t="s">
        <v>1314</v>
      </c>
      <c r="E45" s="6">
        <v>32074</v>
      </c>
      <c r="F45" s="1" t="str">
        <f>VLOOKUP(D45,Table17[[Name]:[Native]],3,FALSE)</f>
        <v>永胜县</v>
      </c>
      <c r="G45" s="14" t="str">
        <f ca="1">VLOOKUP(F45,Table17[[Native]:[Population4]],5,FALSE)</f>
        <v>丽江市</v>
      </c>
    </row>
    <row r="46" spans="1:7" ht="15.75" thickBot="1" x14ac:dyDescent="0.3">
      <c r="A46" t="s">
        <v>1393</v>
      </c>
      <c r="B46" s="1" t="s">
        <v>1394</v>
      </c>
      <c r="C46" s="1" t="s">
        <v>7</v>
      </c>
      <c r="D46" s="1" t="s">
        <v>1314</v>
      </c>
      <c r="E46" s="6">
        <v>8545</v>
      </c>
      <c r="F46" s="1" t="str">
        <f>VLOOKUP(D46,Table17[[Name]:[Native]],3,FALSE)</f>
        <v>永胜县</v>
      </c>
      <c r="G46" s="14" t="str">
        <f ca="1">VLOOKUP(F46,Table17[[Native]:[Population4]],5,FALSE)</f>
        <v>丽江市</v>
      </c>
    </row>
    <row r="47" spans="1:7" ht="15.75" thickBot="1" x14ac:dyDescent="0.3">
      <c r="A47" t="s">
        <v>1395</v>
      </c>
      <c r="B47" s="1" t="s">
        <v>1396</v>
      </c>
      <c r="C47" s="1" t="s">
        <v>7</v>
      </c>
      <c r="D47" s="1" t="s">
        <v>1306</v>
      </c>
      <c r="E47" s="6">
        <v>9117</v>
      </c>
      <c r="F47" s="1" t="str">
        <f>VLOOKUP(D47,Table17[[Name]:[Native]],3,FALSE)</f>
        <v>玉龙纳西族自治县</v>
      </c>
      <c r="G47" s="14" t="str">
        <f ca="1">VLOOKUP(F47,Table17[[Native]:[Population4]],5,FALSE)</f>
        <v>丽江市</v>
      </c>
    </row>
    <row r="48" spans="1:7" ht="15.75" thickBot="1" x14ac:dyDescent="0.3">
      <c r="A48" t="s">
        <v>1397</v>
      </c>
      <c r="B48" s="1" t="s">
        <v>1398</v>
      </c>
      <c r="C48" s="1" t="s">
        <v>7</v>
      </c>
      <c r="D48" s="1" t="s">
        <v>1306</v>
      </c>
      <c r="E48" s="6">
        <v>9288</v>
      </c>
      <c r="F48" s="1" t="str">
        <f>VLOOKUP(D48,Table17[[Name]:[Native]],3,FALSE)</f>
        <v>玉龙纳西族自治县</v>
      </c>
      <c r="G48" s="14" t="str">
        <f ca="1">VLOOKUP(F48,Table17[[Native]:[Population4]],5,FALSE)</f>
        <v>丽江市</v>
      </c>
    </row>
    <row r="49" spans="1:7" ht="15.75" thickBot="1" x14ac:dyDescent="0.3">
      <c r="A49" t="s">
        <v>1399</v>
      </c>
      <c r="B49" s="1" t="s">
        <v>1400</v>
      </c>
      <c r="C49" s="1" t="s">
        <v>11</v>
      </c>
      <c r="D49" s="1" t="s">
        <v>1314</v>
      </c>
      <c r="E49" s="6">
        <v>34655</v>
      </c>
      <c r="F49" s="1" t="str">
        <f>VLOOKUP(D49,Table17[[Name]:[Native]],3,FALSE)</f>
        <v>永胜县</v>
      </c>
      <c r="G49" s="14" t="str">
        <f ca="1">VLOOKUP(F49,Table17[[Native]:[Population4]],5,FALSE)</f>
        <v>丽江市</v>
      </c>
    </row>
    <row r="50" spans="1:7" ht="15.75" thickBot="1" x14ac:dyDescent="0.3">
      <c r="A50" t="s">
        <v>1401</v>
      </c>
      <c r="B50" s="1" t="s">
        <v>1402</v>
      </c>
      <c r="C50" s="1" t="s">
        <v>7</v>
      </c>
      <c r="D50" s="1" t="s">
        <v>1317</v>
      </c>
      <c r="E50" s="6">
        <v>7975</v>
      </c>
      <c r="F50" s="1" t="str">
        <f>VLOOKUP(D50,Table17[[Name]:[Native]],3,FALSE)</f>
        <v>华坪县</v>
      </c>
      <c r="G50" s="14" t="str">
        <f ca="1">VLOOKUP(F50,Table17[[Native]:[Population4]],5,FALSE)</f>
        <v>丽江市</v>
      </c>
    </row>
    <row r="51" spans="1:7" ht="15.75" thickBot="1" x14ac:dyDescent="0.3">
      <c r="A51" t="s">
        <v>1403</v>
      </c>
      <c r="B51" s="1" t="s">
        <v>1404</v>
      </c>
      <c r="C51" s="1" t="s">
        <v>42</v>
      </c>
      <c r="D51" s="1" t="s">
        <v>1324</v>
      </c>
      <c r="E51" s="6">
        <v>30084</v>
      </c>
      <c r="F51" s="1" t="str">
        <f>VLOOKUP(D51,Table17[[Name]:[Native]],3,FALSE)</f>
        <v>古城区</v>
      </c>
      <c r="G51" s="14" t="str">
        <f ca="1">VLOOKUP(F51,Table17[[Native]:[Population4]],5,FALSE)</f>
        <v>丽江市</v>
      </c>
    </row>
    <row r="52" spans="1:7" ht="15.75" thickBot="1" x14ac:dyDescent="0.3">
      <c r="A52" t="s">
        <v>1405</v>
      </c>
      <c r="B52" s="1" t="s">
        <v>1406</v>
      </c>
      <c r="C52" s="1" t="s">
        <v>42</v>
      </c>
      <c r="D52" s="1" t="s">
        <v>1324</v>
      </c>
      <c r="E52" s="6">
        <v>55708</v>
      </c>
      <c r="F52" s="1" t="str">
        <f>VLOOKUP(D52,Table17[[Name]:[Native]],3,FALSE)</f>
        <v>古城区</v>
      </c>
      <c r="G52" s="14" t="str">
        <f ca="1">VLOOKUP(F52,Table17[[Native]:[Population4]],5,FALSE)</f>
        <v>丽江市</v>
      </c>
    </row>
    <row r="53" spans="1:7" ht="15.75" thickBot="1" x14ac:dyDescent="0.3">
      <c r="A53" t="s">
        <v>1407</v>
      </c>
      <c r="B53" s="1" t="s">
        <v>1408</v>
      </c>
      <c r="C53" s="1" t="s">
        <v>7</v>
      </c>
      <c r="D53" s="1" t="s">
        <v>1311</v>
      </c>
      <c r="E53" s="6">
        <v>19250</v>
      </c>
      <c r="F53" s="1" t="str">
        <f>VLOOKUP(D53,Table17[[Name]:[Native]],3,FALSE)</f>
        <v>宁蒗彝族自治县</v>
      </c>
      <c r="G53" s="14" t="str">
        <f ca="1">VLOOKUP(F53,Table17[[Native]:[Population4]],5,FALSE)</f>
        <v>丽江市</v>
      </c>
    </row>
    <row r="54" spans="1:7" ht="15.75" thickBot="1" x14ac:dyDescent="0.3">
      <c r="A54" t="s">
        <v>1409</v>
      </c>
      <c r="B54" s="1" t="s">
        <v>1410</v>
      </c>
      <c r="C54" s="1" t="s">
        <v>7</v>
      </c>
      <c r="D54" s="1" t="s">
        <v>1311</v>
      </c>
      <c r="E54" s="6">
        <v>14928</v>
      </c>
      <c r="F54" s="1" t="str">
        <f>VLOOKUP(D54,Table17[[Name]:[Native]],3,FALSE)</f>
        <v>宁蒗彝族自治县</v>
      </c>
      <c r="G54" s="14" t="str">
        <f ca="1">VLOOKUP(F54,Table17[[Native]:[Population4]],5,FALSE)</f>
        <v>丽江市</v>
      </c>
    </row>
    <row r="55" spans="1:7" ht="15.75" thickBot="1" x14ac:dyDescent="0.3">
      <c r="A55" t="s">
        <v>1411</v>
      </c>
      <c r="B55" s="1" t="s">
        <v>1412</v>
      </c>
      <c r="C55" s="1" t="s">
        <v>11</v>
      </c>
      <c r="D55" s="1" t="s">
        <v>1317</v>
      </c>
      <c r="E55" s="6">
        <v>17926</v>
      </c>
      <c r="F55" s="1" t="str">
        <f>VLOOKUP(D55,Table17[[Name]:[Native]],3,FALSE)</f>
        <v>华坪县</v>
      </c>
      <c r="G55" s="14" t="str">
        <f ca="1">VLOOKUP(F55,Table17[[Native]:[Population4]],5,FALSE)</f>
        <v>丽江市</v>
      </c>
    </row>
    <row r="56" spans="1:7" ht="15.75" thickBot="1" x14ac:dyDescent="0.3">
      <c r="A56" t="s">
        <v>1413</v>
      </c>
      <c r="B56" s="1" t="s">
        <v>1414</v>
      </c>
      <c r="C56" s="1" t="s">
        <v>7</v>
      </c>
      <c r="D56" s="1" t="s">
        <v>1311</v>
      </c>
      <c r="E56" s="6">
        <v>21008</v>
      </c>
      <c r="F56" s="1" t="str">
        <f>VLOOKUP(D56,Table17[[Name]:[Native]],3,FALSE)</f>
        <v>宁蒗彝族自治县</v>
      </c>
      <c r="G56" s="14" t="str">
        <f ca="1">VLOOKUP(F56,Table17[[Native]:[Population4]],5,FALSE)</f>
        <v>丽江市</v>
      </c>
    </row>
    <row r="57" spans="1:7" ht="15.75" thickBot="1" x14ac:dyDescent="0.3">
      <c r="A57" t="s">
        <v>1415</v>
      </c>
      <c r="B57" s="1" t="s">
        <v>1416</v>
      </c>
      <c r="C57" s="1" t="s">
        <v>7</v>
      </c>
      <c r="D57" s="1" t="s">
        <v>1317</v>
      </c>
      <c r="E57" s="6">
        <v>16064</v>
      </c>
      <c r="F57" s="1" t="str">
        <f>VLOOKUP(D57,Table17[[Name]:[Native]],3,FALSE)</f>
        <v>华坪县</v>
      </c>
      <c r="G57" s="14" t="str">
        <f ca="1">VLOOKUP(F57,Table17[[Native]:[Population4]],5,FALSE)</f>
        <v>丽江市</v>
      </c>
    </row>
    <row r="58" spans="1:7" ht="15.75" thickBot="1" x14ac:dyDescent="0.3">
      <c r="A58" t="s">
        <v>1417</v>
      </c>
      <c r="B58" s="1" t="s">
        <v>1418</v>
      </c>
      <c r="C58" s="1" t="s">
        <v>7</v>
      </c>
      <c r="D58" s="1" t="s">
        <v>1314</v>
      </c>
      <c r="E58" s="6">
        <v>7312</v>
      </c>
      <c r="F58" s="1" t="str">
        <f>VLOOKUP(D58,Table17[[Name]:[Native]],3,FALSE)</f>
        <v>永胜县</v>
      </c>
      <c r="G58" s="14" t="str">
        <f ca="1">VLOOKUP(F58,Table17[[Native]:[Population4]],5,FALSE)</f>
        <v>丽江市</v>
      </c>
    </row>
    <row r="59" spans="1:7" ht="15.75" thickBot="1" x14ac:dyDescent="0.3">
      <c r="A59" t="s">
        <v>1419</v>
      </c>
      <c r="B59" s="1" t="s">
        <v>1420</v>
      </c>
      <c r="C59" s="1" t="s">
        <v>11</v>
      </c>
      <c r="D59" s="1" t="s">
        <v>1314</v>
      </c>
      <c r="E59" s="6">
        <v>60099</v>
      </c>
      <c r="F59" s="1" t="str">
        <f>VLOOKUP(D59,Table17[[Name]:[Native]],3,FALSE)</f>
        <v>永胜县</v>
      </c>
      <c r="G59" s="14" t="str">
        <f ca="1">VLOOKUP(F59,Table17[[Native]:[Population4]],5,FALSE)</f>
        <v>丽江市</v>
      </c>
    </row>
    <row r="60" spans="1:7" ht="15.75" thickBot="1" x14ac:dyDescent="0.3">
      <c r="A60" t="s">
        <v>1421</v>
      </c>
      <c r="B60" s="1" t="s">
        <v>1422</v>
      </c>
      <c r="C60" s="1" t="s">
        <v>7</v>
      </c>
      <c r="D60" s="1" t="s">
        <v>1311</v>
      </c>
      <c r="E60" s="6">
        <v>7583</v>
      </c>
      <c r="F60" s="1" t="str">
        <f>VLOOKUP(D60,Table17[[Name]:[Native]],3,FALSE)</f>
        <v>宁蒗彝族自治县</v>
      </c>
      <c r="G60" s="14" t="str">
        <f ca="1">VLOOKUP(F60,Table17[[Native]:[Population4]],5,FALSE)</f>
        <v>丽江市</v>
      </c>
    </row>
    <row r="61" spans="1:7" ht="15.75" thickBot="1" x14ac:dyDescent="0.3">
      <c r="A61" t="s">
        <v>1423</v>
      </c>
      <c r="B61" s="1" t="s">
        <v>1424</v>
      </c>
      <c r="C61" s="1" t="s">
        <v>11</v>
      </c>
      <c r="D61" s="1" t="s">
        <v>1311</v>
      </c>
      <c r="E61" s="6">
        <v>20852</v>
      </c>
      <c r="F61" s="1" t="str">
        <f>VLOOKUP(D61,Table17[[Name]:[Native]],3,FALSE)</f>
        <v>宁蒗彝族自治县</v>
      </c>
      <c r="G61" s="14" t="str">
        <f ca="1">VLOOKUP(F61,Table17[[Native]:[Population4]],5,FALSE)</f>
        <v>丽江市</v>
      </c>
    </row>
    <row r="62" spans="1:7" ht="15.75" thickBot="1" x14ac:dyDescent="0.3">
      <c r="A62" t="s">
        <v>1425</v>
      </c>
      <c r="B62" s="1" t="s">
        <v>1426</v>
      </c>
      <c r="C62" s="1" t="s">
        <v>7</v>
      </c>
      <c r="D62" s="1" t="s">
        <v>1317</v>
      </c>
      <c r="E62" s="6">
        <v>13518</v>
      </c>
      <c r="F62" s="1" t="str">
        <f>VLOOKUP(D62,Table17[[Name]:[Native]],3,FALSE)</f>
        <v>华坪县</v>
      </c>
      <c r="G62" s="14" t="str">
        <f ca="1">VLOOKUP(F62,Table17[[Native]:[Population4]],5,FALSE)</f>
        <v>丽江市</v>
      </c>
    </row>
    <row r="63" spans="1:7" ht="15.75" thickBot="1" x14ac:dyDescent="0.3">
      <c r="A63" t="s">
        <v>1427</v>
      </c>
      <c r="B63" s="1" t="s">
        <v>1428</v>
      </c>
      <c r="C63" s="1" t="s">
        <v>11</v>
      </c>
      <c r="D63" s="1" t="s">
        <v>1311</v>
      </c>
      <c r="E63" s="6">
        <v>23854</v>
      </c>
      <c r="F63" s="1" t="str">
        <f>VLOOKUP(D63,Table17[[Name]:[Native]],3,FALSE)</f>
        <v>宁蒗彝族自治县</v>
      </c>
      <c r="G63" s="14" t="str">
        <f ca="1">VLOOKUP(F63,Table17[[Native]:[Population4]],5,FALSE)</f>
        <v>丽江市</v>
      </c>
    </row>
    <row r="64" spans="1:7" ht="15.75" thickBot="1" x14ac:dyDescent="0.3">
      <c r="A64" t="s">
        <v>1429</v>
      </c>
      <c r="B64" s="1" t="s">
        <v>1430</v>
      </c>
      <c r="C64" s="1" t="s">
        <v>11</v>
      </c>
      <c r="D64" s="1" t="s">
        <v>1317</v>
      </c>
      <c r="E64" s="6">
        <v>51866</v>
      </c>
      <c r="F64" s="10" t="str">
        <f>VLOOKUP(D64,Table17[[Name]:[Native]],3,FALSE)</f>
        <v>华坪县</v>
      </c>
      <c r="G64" s="14" t="str">
        <f ca="1">VLOOKUP(F64,Table17[[Native]:[Population4]],5,FALSE)</f>
        <v>丽江市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00B15-D98B-4570-B61E-DE45A7B5BD0E}">
  <dimension ref="A1:G78"/>
  <sheetViews>
    <sheetView topLeftCell="A53" workbookViewId="0">
      <selection activeCell="G2" sqref="A2:G78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2917</v>
      </c>
      <c r="G1" t="s">
        <v>2919</v>
      </c>
    </row>
    <row r="2" spans="1:7" ht="15.75" thickBot="1" x14ac:dyDescent="0.3">
      <c r="A2" t="s">
        <v>1431</v>
      </c>
      <c r="B2" s="1" t="s">
        <v>1432</v>
      </c>
      <c r="C2" s="1" t="s">
        <v>11</v>
      </c>
      <c r="D2" s="1" t="s">
        <v>1433</v>
      </c>
      <c r="E2" s="6">
        <v>106054</v>
      </c>
      <c r="F2" s="9" t="str">
        <f>VLOOKUP(D2,Table17[[Name]:[Native]],3,FALSE)</f>
        <v>云县</v>
      </c>
      <c r="G2" s="14" t="str">
        <f ca="1">VLOOKUP(F2,Table17[[Native]:[Population4]],5,FALSE)</f>
        <v>临沧市</v>
      </c>
    </row>
    <row r="3" spans="1:7" ht="15.75" thickBot="1" x14ac:dyDescent="0.3">
      <c r="A3" t="s">
        <v>1434</v>
      </c>
      <c r="B3" s="1" t="s">
        <v>1435</v>
      </c>
      <c r="C3" s="1" t="s">
        <v>7</v>
      </c>
      <c r="D3" s="1" t="s">
        <v>1436</v>
      </c>
      <c r="E3" s="6">
        <v>18767</v>
      </c>
      <c r="F3" s="1" t="str">
        <f>VLOOKUP(D3,Table17[[Name]:[Native]],3,FALSE)</f>
        <v>双江拉祜族佤族布朗族傣族自治县</v>
      </c>
      <c r="G3" s="14" t="str">
        <f ca="1">VLOOKUP(F3,Table17[[Native]:[Population4]],5,FALSE)</f>
        <v>临沧市</v>
      </c>
    </row>
    <row r="4" spans="1:7" ht="15.75" thickBot="1" x14ac:dyDescent="0.3">
      <c r="A4" t="s">
        <v>1437</v>
      </c>
      <c r="B4" s="1" t="s">
        <v>1438</v>
      </c>
      <c r="C4" s="1" t="s">
        <v>7</v>
      </c>
      <c r="D4" s="1" t="s">
        <v>1439</v>
      </c>
      <c r="E4" s="6">
        <v>13411</v>
      </c>
      <c r="F4" s="1" t="str">
        <f>VLOOKUP(D4,Table17[[Name]:[Native]],3,FALSE)</f>
        <v>临翔区</v>
      </c>
      <c r="G4" s="14" t="str">
        <f ca="1">VLOOKUP(F4,Table17[[Native]:[Population4]],5,FALSE)</f>
        <v>临沧市</v>
      </c>
    </row>
    <row r="5" spans="1:7" ht="15.75" thickBot="1" x14ac:dyDescent="0.3">
      <c r="A5" t="s">
        <v>1440</v>
      </c>
      <c r="B5" s="1" t="s">
        <v>1441</v>
      </c>
      <c r="C5" s="1" t="s">
        <v>7</v>
      </c>
      <c r="D5" s="1" t="s">
        <v>1442</v>
      </c>
      <c r="E5" s="6">
        <v>10587</v>
      </c>
      <c r="F5" s="1" t="str">
        <f>VLOOKUP(D5,Table17[[Name]:[Native]],3,FALSE)</f>
        <v>沧源佤族自治县</v>
      </c>
      <c r="G5" s="14" t="str">
        <f ca="1">VLOOKUP(F5,Table17[[Native]:[Population4]],5,FALSE)</f>
        <v>临沧市</v>
      </c>
    </row>
    <row r="6" spans="1:7" ht="15.75" thickBot="1" x14ac:dyDescent="0.3">
      <c r="A6" t="s">
        <v>1443</v>
      </c>
      <c r="B6" s="1" t="s">
        <v>1444</v>
      </c>
      <c r="C6" s="1" t="s">
        <v>7</v>
      </c>
      <c r="D6" s="1" t="s">
        <v>1445</v>
      </c>
      <c r="E6" s="6">
        <v>21910</v>
      </c>
      <c r="F6" s="1" t="str">
        <f>VLOOKUP(D6,Table17[[Name]:[Native]],3,FALSE)</f>
        <v>永德县</v>
      </c>
      <c r="G6" s="14" t="str">
        <f ca="1">VLOOKUP(F6,Table17[[Native]:[Population4]],5,FALSE)</f>
        <v>临沧市</v>
      </c>
    </row>
    <row r="7" spans="1:7" ht="15.75" thickBot="1" x14ac:dyDescent="0.3">
      <c r="A7" t="s">
        <v>1446</v>
      </c>
      <c r="B7" s="1" t="s">
        <v>1447</v>
      </c>
      <c r="C7" s="1" t="s">
        <v>7</v>
      </c>
      <c r="D7" s="1" t="s">
        <v>1442</v>
      </c>
      <c r="E7" s="6">
        <v>8887</v>
      </c>
      <c r="F7" s="1" t="str">
        <f>VLOOKUP(D7,Table17[[Name]:[Native]],3,FALSE)</f>
        <v>沧源佤族自治县</v>
      </c>
      <c r="G7" s="14" t="str">
        <f ca="1">VLOOKUP(F7,Table17[[Native]:[Population4]],5,FALSE)</f>
        <v>临沧市</v>
      </c>
    </row>
    <row r="8" spans="1:7" ht="15.75" thickBot="1" x14ac:dyDescent="0.3">
      <c r="A8" t="s">
        <v>1448</v>
      </c>
      <c r="B8" s="1" t="s">
        <v>1449</v>
      </c>
      <c r="C8" s="1" t="s">
        <v>11</v>
      </c>
      <c r="D8" s="1" t="s">
        <v>1439</v>
      </c>
      <c r="E8" s="6">
        <v>36764</v>
      </c>
      <c r="F8" s="1" t="str">
        <f>VLOOKUP(D8,Table17[[Name]:[Native]],3,FALSE)</f>
        <v>临翔区</v>
      </c>
      <c r="G8" s="14" t="str">
        <f ca="1">VLOOKUP(F8,Table17[[Native]:[Population4]],5,FALSE)</f>
        <v>临沧市</v>
      </c>
    </row>
    <row r="9" spans="1:7" ht="15.75" thickBot="1" x14ac:dyDescent="0.3">
      <c r="A9" t="s">
        <v>1450</v>
      </c>
      <c r="B9" s="1" t="s">
        <v>1451</v>
      </c>
      <c r="C9" s="1" t="s">
        <v>7</v>
      </c>
      <c r="D9" s="1" t="s">
        <v>1433</v>
      </c>
      <c r="E9" s="6">
        <v>34844</v>
      </c>
      <c r="F9" s="1" t="str">
        <f>VLOOKUP(D9,Table17[[Name]:[Native]],3,FALSE)</f>
        <v>云县</v>
      </c>
      <c r="G9" s="14" t="str">
        <f ca="1">VLOOKUP(F9,Table17[[Native]:[Population4]],5,FALSE)</f>
        <v>临沧市</v>
      </c>
    </row>
    <row r="10" spans="1:7" ht="15.75" thickBot="1" x14ac:dyDescent="0.3">
      <c r="A10" t="s">
        <v>1452</v>
      </c>
      <c r="B10" s="1" t="s">
        <v>1453</v>
      </c>
      <c r="C10" s="1" t="s">
        <v>7</v>
      </c>
      <c r="D10" s="1" t="s">
        <v>1445</v>
      </c>
      <c r="E10" s="6">
        <v>34723</v>
      </c>
      <c r="F10" s="1" t="str">
        <f>VLOOKUP(D10,Table17[[Name]:[Native]],3,FALSE)</f>
        <v>永德县</v>
      </c>
      <c r="G10" s="14" t="str">
        <f ca="1">VLOOKUP(F10,Table17[[Native]:[Population4]],5,FALSE)</f>
        <v>临沧市</v>
      </c>
    </row>
    <row r="11" spans="1:7" ht="15.75" thickBot="1" x14ac:dyDescent="0.3">
      <c r="A11" t="s">
        <v>1454</v>
      </c>
      <c r="B11" s="1" t="s">
        <v>1455</v>
      </c>
      <c r="C11" s="1" t="s">
        <v>11</v>
      </c>
      <c r="D11" s="1" t="s">
        <v>1433</v>
      </c>
      <c r="E11" s="6">
        <v>17533</v>
      </c>
      <c r="F11" s="1" t="str">
        <f>VLOOKUP(D11,Table17[[Name]:[Native]],3,FALSE)</f>
        <v>云县</v>
      </c>
      <c r="G11" s="14" t="str">
        <f ca="1">VLOOKUP(F11,Table17[[Native]:[Population4]],5,FALSE)</f>
        <v>临沧市</v>
      </c>
    </row>
    <row r="12" spans="1:7" ht="15.75" thickBot="1" x14ac:dyDescent="0.3">
      <c r="A12" t="s">
        <v>1456</v>
      </c>
      <c r="B12" s="1" t="s">
        <v>1457</v>
      </c>
      <c r="C12" s="1" t="s">
        <v>7</v>
      </c>
      <c r="D12" s="1" t="s">
        <v>1442</v>
      </c>
      <c r="E12" s="6">
        <v>11080</v>
      </c>
      <c r="F12" s="1" t="str">
        <f>VLOOKUP(D12,Table17[[Name]:[Native]],3,FALSE)</f>
        <v>沧源佤族自治县</v>
      </c>
      <c r="G12" s="14" t="str">
        <f ca="1">VLOOKUP(F12,Table17[[Native]:[Population4]],5,FALSE)</f>
        <v>临沧市</v>
      </c>
    </row>
    <row r="13" spans="1:7" ht="15.75" thickBot="1" x14ac:dyDescent="0.3">
      <c r="A13" t="s">
        <v>1458</v>
      </c>
      <c r="B13" s="1" t="s">
        <v>1459</v>
      </c>
      <c r="C13" s="1" t="s">
        <v>7</v>
      </c>
      <c r="D13" s="1" t="s">
        <v>1445</v>
      </c>
      <c r="E13" s="6">
        <v>23056</v>
      </c>
      <c r="F13" s="1" t="str">
        <f>VLOOKUP(D13,Table17[[Name]:[Native]],3,FALSE)</f>
        <v>永德县</v>
      </c>
      <c r="G13" s="14" t="str">
        <f ca="1">VLOOKUP(F13,Table17[[Native]:[Population4]],5,FALSE)</f>
        <v>临沧市</v>
      </c>
    </row>
    <row r="14" spans="1:7" ht="15.75" thickBot="1" x14ac:dyDescent="0.3">
      <c r="A14" t="s">
        <v>1460</v>
      </c>
      <c r="B14" s="1" t="s">
        <v>1461</v>
      </c>
      <c r="C14" s="1" t="s">
        <v>7</v>
      </c>
      <c r="D14" s="1" t="s">
        <v>1462</v>
      </c>
      <c r="E14" s="6">
        <v>38098</v>
      </c>
      <c r="F14" s="1" t="str">
        <f>VLOOKUP(D14,Table17[[Name]:[Native]],3,FALSE)</f>
        <v>凤庆县</v>
      </c>
      <c r="G14" s="14" t="str">
        <f ca="1">VLOOKUP(F14,Table17[[Native]:[Population4]],5,FALSE)</f>
        <v>临沧市</v>
      </c>
    </row>
    <row r="15" spans="1:7" ht="15.75" thickBot="1" x14ac:dyDescent="0.3">
      <c r="A15" t="s">
        <v>1463</v>
      </c>
      <c r="B15" s="1" t="s">
        <v>1464</v>
      </c>
      <c r="C15" s="1" t="s">
        <v>7</v>
      </c>
      <c r="D15" s="1" t="s">
        <v>1436</v>
      </c>
      <c r="E15" s="6">
        <v>20908</v>
      </c>
      <c r="F15" s="1" t="str">
        <f>VLOOKUP(D15,Table17[[Name]:[Native]],3,FALSE)</f>
        <v>双江拉祜族佤族布朗族傣族自治县</v>
      </c>
      <c r="G15" s="14" t="str">
        <f ca="1">VLOOKUP(F15,Table17[[Native]:[Population4]],5,FALSE)</f>
        <v>临沧市</v>
      </c>
    </row>
    <row r="16" spans="1:7" ht="15.75" thickBot="1" x14ac:dyDescent="0.3">
      <c r="A16" t="s">
        <v>1465</v>
      </c>
      <c r="B16" s="1" t="s">
        <v>1466</v>
      </c>
      <c r="C16" s="1" t="s">
        <v>7</v>
      </c>
      <c r="D16" s="1" t="s">
        <v>1467</v>
      </c>
      <c r="E16" s="6">
        <v>9249</v>
      </c>
      <c r="F16" s="1" t="str">
        <f>VLOOKUP(D16,Table17[[Name]:[Native]],3,FALSE)</f>
        <v>耿马傣族佤族自治县</v>
      </c>
      <c r="G16" s="14" t="str">
        <f ca="1">VLOOKUP(F16,Table17[[Native]:[Population4]],5,FALSE)</f>
        <v>临沧市</v>
      </c>
    </row>
    <row r="17" spans="1:7" ht="15.75" thickBot="1" x14ac:dyDescent="0.3">
      <c r="A17" t="s">
        <v>1468</v>
      </c>
      <c r="B17" s="1" t="s">
        <v>1469</v>
      </c>
      <c r="C17" s="1" t="s">
        <v>7</v>
      </c>
      <c r="D17" s="1" t="s">
        <v>1445</v>
      </c>
      <c r="E17" s="6">
        <v>20644</v>
      </c>
      <c r="F17" s="1" t="str">
        <f>VLOOKUP(D17,Table17[[Name]:[Native]],3,FALSE)</f>
        <v>永德县</v>
      </c>
      <c r="G17" s="14" t="str">
        <f ca="1">VLOOKUP(F17,Table17[[Native]:[Population4]],5,FALSE)</f>
        <v>临沧市</v>
      </c>
    </row>
    <row r="18" spans="1:7" ht="15.75" thickBot="1" x14ac:dyDescent="0.3">
      <c r="A18" t="s">
        <v>1470</v>
      </c>
      <c r="B18" s="1" t="s">
        <v>1471</v>
      </c>
      <c r="C18" s="1" t="s">
        <v>11</v>
      </c>
      <c r="D18" s="1" t="s">
        <v>1433</v>
      </c>
      <c r="E18" s="6">
        <v>35767</v>
      </c>
      <c r="F18" s="1" t="str">
        <f>VLOOKUP(D18,Table17[[Name]:[Native]],3,FALSE)</f>
        <v>云县</v>
      </c>
      <c r="G18" s="14" t="str">
        <f ca="1">VLOOKUP(F18,Table17[[Native]:[Population4]],5,FALSE)</f>
        <v>临沧市</v>
      </c>
    </row>
    <row r="19" spans="1:7" ht="15.75" thickBot="1" x14ac:dyDescent="0.3">
      <c r="A19" t="s">
        <v>1472</v>
      </c>
      <c r="B19" s="1" t="s">
        <v>1473</v>
      </c>
      <c r="C19" s="1" t="s">
        <v>11</v>
      </c>
      <c r="D19" s="1" t="s">
        <v>1445</v>
      </c>
      <c r="E19" s="6">
        <v>65842</v>
      </c>
      <c r="F19" s="1" t="str">
        <f>VLOOKUP(D19,Table17[[Name]:[Native]],3,FALSE)</f>
        <v>永德县</v>
      </c>
      <c r="G19" s="14" t="str">
        <f ca="1">VLOOKUP(F19,Table17[[Native]:[Population4]],5,FALSE)</f>
        <v>临沧市</v>
      </c>
    </row>
    <row r="20" spans="1:7" ht="15.75" thickBot="1" x14ac:dyDescent="0.3">
      <c r="A20" t="s">
        <v>1474</v>
      </c>
      <c r="B20" s="1" t="s">
        <v>1475</v>
      </c>
      <c r="C20" s="1" t="s">
        <v>11</v>
      </c>
      <c r="D20" s="1" t="s">
        <v>1462</v>
      </c>
      <c r="E20" s="6">
        <v>79857</v>
      </c>
      <c r="F20" s="1" t="str">
        <f>VLOOKUP(D20,Table17[[Name]:[Native]],3,FALSE)</f>
        <v>凤庆县</v>
      </c>
      <c r="G20" s="14" t="str">
        <f ca="1">VLOOKUP(F20,Table17[[Native]:[Population4]],5,FALSE)</f>
        <v>临沧市</v>
      </c>
    </row>
    <row r="21" spans="1:7" ht="15.75" thickBot="1" x14ac:dyDescent="0.3">
      <c r="A21" t="s">
        <v>1476</v>
      </c>
      <c r="B21" s="1" t="s">
        <v>1477</v>
      </c>
      <c r="C21" s="1" t="s">
        <v>11</v>
      </c>
      <c r="D21" s="1" t="s">
        <v>1478</v>
      </c>
      <c r="E21" s="6">
        <v>18166</v>
      </c>
      <c r="F21" s="1" t="str">
        <f>VLOOKUP(D21,Table17[[Name]:[Native]],3,FALSE)</f>
        <v>镇康县</v>
      </c>
      <c r="G21" s="14" t="str">
        <f ca="1">VLOOKUP(F21,Table17[[Native]:[Population4]],5,FALSE)</f>
        <v>临沧市</v>
      </c>
    </row>
    <row r="22" spans="1:7" ht="15.75" thickBot="1" x14ac:dyDescent="0.3">
      <c r="A22" t="s">
        <v>1479</v>
      </c>
      <c r="B22" s="1" t="s">
        <v>1480</v>
      </c>
      <c r="C22" s="1" t="s">
        <v>42</v>
      </c>
      <c r="D22" s="1" t="s">
        <v>1439</v>
      </c>
      <c r="E22" s="6">
        <v>111810</v>
      </c>
      <c r="F22" s="1" t="str">
        <f>VLOOKUP(D22,Table17[[Name]:[Native]],3,FALSE)</f>
        <v>临翔区</v>
      </c>
      <c r="G22" s="14" t="str">
        <f ca="1">VLOOKUP(F22,Table17[[Native]:[Population4]],5,FALSE)</f>
        <v>临沧市</v>
      </c>
    </row>
    <row r="23" spans="1:7" ht="15.75" thickBot="1" x14ac:dyDescent="0.3">
      <c r="A23" t="s">
        <v>1481</v>
      </c>
      <c r="B23" s="1" t="s">
        <v>1482</v>
      </c>
      <c r="C23" s="1" t="s">
        <v>11</v>
      </c>
      <c r="D23" s="1" t="s">
        <v>1467</v>
      </c>
      <c r="E23" s="6">
        <v>59324</v>
      </c>
      <c r="F23" s="1" t="str">
        <f>VLOOKUP(D23,Table17[[Name]:[Native]],3,FALSE)</f>
        <v>耿马傣族佤族自治县</v>
      </c>
      <c r="G23" s="14" t="str">
        <f ca="1">VLOOKUP(F23,Table17[[Native]:[Population4]],5,FALSE)</f>
        <v>临沧市</v>
      </c>
    </row>
    <row r="24" spans="1:7" ht="15.75" thickBot="1" x14ac:dyDescent="0.3">
      <c r="A24" t="s">
        <v>1483</v>
      </c>
      <c r="B24" s="1" t="s">
        <v>1484</v>
      </c>
      <c r="C24" s="1" t="s">
        <v>7</v>
      </c>
      <c r="D24" s="1" t="s">
        <v>1462</v>
      </c>
      <c r="E24" s="6">
        <v>22902</v>
      </c>
      <c r="F24" s="1" t="str">
        <f>VLOOKUP(D24,Table17[[Name]:[Native]],3,FALSE)</f>
        <v>凤庆县</v>
      </c>
      <c r="G24" s="14" t="str">
        <f ca="1">VLOOKUP(F24,Table17[[Native]:[Population4]],5,FALSE)</f>
        <v>临沧市</v>
      </c>
    </row>
    <row r="25" spans="1:7" ht="15.75" thickBot="1" x14ac:dyDescent="0.3">
      <c r="A25" t="s">
        <v>1485</v>
      </c>
      <c r="B25" s="1" t="s">
        <v>1486</v>
      </c>
      <c r="C25" s="1" t="s">
        <v>7</v>
      </c>
      <c r="D25" s="1" t="s">
        <v>1467</v>
      </c>
      <c r="E25" s="6">
        <v>18309</v>
      </c>
      <c r="F25" s="1" t="str">
        <f>VLOOKUP(D25,Table17[[Name]:[Native]],3,FALSE)</f>
        <v>耿马傣族佤族自治县</v>
      </c>
      <c r="G25" s="14" t="str">
        <f ca="1">VLOOKUP(F25,Table17[[Native]:[Population4]],5,FALSE)</f>
        <v>临沧市</v>
      </c>
    </row>
    <row r="26" spans="1:7" ht="15.75" thickBot="1" x14ac:dyDescent="0.3">
      <c r="A26" t="s">
        <v>1487</v>
      </c>
      <c r="B26" s="1" t="s">
        <v>1488</v>
      </c>
      <c r="C26" s="1" t="s">
        <v>7</v>
      </c>
      <c r="D26" s="1" t="s">
        <v>1433</v>
      </c>
      <c r="E26" s="6">
        <v>19052</v>
      </c>
      <c r="F26" s="1" t="str">
        <f>VLOOKUP(D26,Table17[[Name]:[Native]],3,FALSE)</f>
        <v>云县</v>
      </c>
      <c r="G26" s="14" t="str">
        <f ca="1">VLOOKUP(F26,Table17[[Native]:[Population4]],5,FALSE)</f>
        <v>临沧市</v>
      </c>
    </row>
    <row r="27" spans="1:7" ht="15.75" thickBot="1" x14ac:dyDescent="0.3">
      <c r="A27" t="s">
        <v>1489</v>
      </c>
      <c r="B27" s="1" t="s">
        <v>1490</v>
      </c>
      <c r="C27" s="1" t="s">
        <v>7</v>
      </c>
      <c r="D27" s="1" t="s">
        <v>1478</v>
      </c>
      <c r="E27" s="6">
        <v>13196</v>
      </c>
      <c r="F27" s="1" t="str">
        <f>VLOOKUP(D27,Table17[[Name]:[Native]],3,FALSE)</f>
        <v>镇康县</v>
      </c>
      <c r="G27" s="14" t="str">
        <f ca="1">VLOOKUP(F27,Table17[[Native]:[Population4]],5,FALSE)</f>
        <v>临沧市</v>
      </c>
    </row>
    <row r="28" spans="1:7" ht="15.75" thickBot="1" x14ac:dyDescent="0.3">
      <c r="A28" t="s">
        <v>1491</v>
      </c>
      <c r="B28" s="1" t="s">
        <v>1492</v>
      </c>
      <c r="C28" s="1" t="s">
        <v>7</v>
      </c>
      <c r="D28" s="1" t="s">
        <v>1433</v>
      </c>
      <c r="E28" s="6">
        <v>21583</v>
      </c>
      <c r="F28" s="1" t="str">
        <f>VLOOKUP(D28,Table17[[Name]:[Native]],3,FALSE)</f>
        <v>云县</v>
      </c>
      <c r="G28" s="14" t="str">
        <f ca="1">VLOOKUP(F28,Table17[[Native]:[Population4]],5,FALSE)</f>
        <v>临沧市</v>
      </c>
    </row>
    <row r="29" spans="1:7" ht="15.75" thickBot="1" x14ac:dyDescent="0.3">
      <c r="A29" t="s">
        <v>1493</v>
      </c>
      <c r="B29" s="1" t="s">
        <v>1494</v>
      </c>
      <c r="C29" s="1" t="s">
        <v>11</v>
      </c>
      <c r="D29" s="1" t="s">
        <v>1462</v>
      </c>
      <c r="E29" s="6">
        <v>40072</v>
      </c>
      <c r="F29" s="1" t="str">
        <f>VLOOKUP(D29,Table17[[Name]:[Native]],3,FALSE)</f>
        <v>凤庆县</v>
      </c>
      <c r="G29" s="14" t="str">
        <f ca="1">VLOOKUP(F29,Table17[[Native]:[Population4]],5,FALSE)</f>
        <v>临沧市</v>
      </c>
    </row>
    <row r="30" spans="1:7" ht="15.75" thickBot="1" x14ac:dyDescent="0.3">
      <c r="A30" t="s">
        <v>1495</v>
      </c>
      <c r="B30" s="1" t="s">
        <v>1496</v>
      </c>
      <c r="C30" s="1" t="s">
        <v>11</v>
      </c>
      <c r="D30" s="1" t="s">
        <v>1462</v>
      </c>
      <c r="E30" s="6">
        <v>29994</v>
      </c>
      <c r="F30" s="1" t="str">
        <f>VLOOKUP(D30,Table17[[Name]:[Native]],3,FALSE)</f>
        <v>凤庆县</v>
      </c>
      <c r="G30" s="14" t="str">
        <f ca="1">VLOOKUP(F30,Table17[[Native]:[Population4]],5,FALSE)</f>
        <v>临沧市</v>
      </c>
    </row>
    <row r="31" spans="1:7" ht="15.75" thickBot="1" x14ac:dyDescent="0.3">
      <c r="A31" t="s">
        <v>1497</v>
      </c>
      <c r="B31" s="1" t="s">
        <v>1498</v>
      </c>
      <c r="C31" s="1" t="s">
        <v>7</v>
      </c>
      <c r="D31" s="1" t="s">
        <v>1478</v>
      </c>
      <c r="E31" s="6">
        <v>22178</v>
      </c>
      <c r="F31" s="1" t="str">
        <f>VLOOKUP(D31,Table17[[Name]:[Native]],3,FALSE)</f>
        <v>镇康县</v>
      </c>
      <c r="G31" s="14" t="str">
        <f ca="1">VLOOKUP(F31,Table17[[Native]:[Population4]],5,FALSE)</f>
        <v>临沧市</v>
      </c>
    </row>
    <row r="32" spans="1:7" ht="15.75" thickBot="1" x14ac:dyDescent="0.3">
      <c r="A32" t="s">
        <v>1499</v>
      </c>
      <c r="B32" s="1" t="s">
        <v>1500</v>
      </c>
      <c r="C32" s="1" t="s">
        <v>7</v>
      </c>
      <c r="D32" s="1" t="s">
        <v>1467</v>
      </c>
      <c r="E32" s="6">
        <v>8522</v>
      </c>
      <c r="F32" s="1" t="str">
        <f>VLOOKUP(D32,Table17[[Name]:[Native]],3,FALSE)</f>
        <v>耿马傣族佤族自治县</v>
      </c>
      <c r="G32" s="14" t="str">
        <f ca="1">VLOOKUP(F32,Table17[[Native]:[Population4]],5,FALSE)</f>
        <v>临沧市</v>
      </c>
    </row>
    <row r="33" spans="1:7" ht="15.75" thickBot="1" x14ac:dyDescent="0.3">
      <c r="A33" t="s">
        <v>1501</v>
      </c>
      <c r="B33" s="1" t="s">
        <v>1502</v>
      </c>
      <c r="C33" s="1" t="s">
        <v>7</v>
      </c>
      <c r="D33" s="1" t="s">
        <v>1433</v>
      </c>
      <c r="E33" s="6">
        <v>17665</v>
      </c>
      <c r="F33" s="1" t="str">
        <f>VLOOKUP(D33,Table17[[Name]:[Native]],3,FALSE)</f>
        <v>云县</v>
      </c>
      <c r="G33" s="14" t="str">
        <f ca="1">VLOOKUP(F33,Table17[[Native]:[Population4]],5,FALSE)</f>
        <v>临沧市</v>
      </c>
    </row>
    <row r="34" spans="1:7" ht="15.75" thickBot="1" x14ac:dyDescent="0.3">
      <c r="A34" t="s">
        <v>1503</v>
      </c>
      <c r="B34" s="1" t="s">
        <v>1504</v>
      </c>
      <c r="C34" s="1" t="s">
        <v>11</v>
      </c>
      <c r="D34" s="1" t="s">
        <v>1442</v>
      </c>
      <c r="E34" s="6">
        <v>13689</v>
      </c>
      <c r="F34" s="1" t="str">
        <f>VLOOKUP(D34,Table17[[Name]:[Native]],3,FALSE)</f>
        <v>沧源佤族自治县</v>
      </c>
      <c r="G34" s="14" t="str">
        <f ca="1">VLOOKUP(F34,Table17[[Native]:[Population4]],5,FALSE)</f>
        <v>临沧市</v>
      </c>
    </row>
    <row r="35" spans="1:7" ht="15.75" thickBot="1" x14ac:dyDescent="0.3">
      <c r="A35" t="s">
        <v>1505</v>
      </c>
      <c r="B35" s="1" t="s">
        <v>1506</v>
      </c>
      <c r="C35" s="1" t="s">
        <v>7</v>
      </c>
      <c r="D35" s="1" t="s">
        <v>1436</v>
      </c>
      <c r="E35" s="6">
        <v>22545</v>
      </c>
      <c r="F35" s="1" t="str">
        <f>VLOOKUP(D35,Table17[[Name]:[Native]],3,FALSE)</f>
        <v>双江拉祜族佤族布朗族傣族自治县</v>
      </c>
      <c r="G35" s="14" t="str">
        <f ca="1">VLOOKUP(F35,Table17[[Native]:[Population4]],5,FALSE)</f>
        <v>临沧市</v>
      </c>
    </row>
    <row r="36" spans="1:7" ht="15.75" thickBot="1" x14ac:dyDescent="0.3">
      <c r="A36" t="s">
        <v>1507</v>
      </c>
      <c r="B36" s="1" t="s">
        <v>1508</v>
      </c>
      <c r="C36" s="1" t="s">
        <v>42</v>
      </c>
      <c r="D36" s="1" t="s">
        <v>1439</v>
      </c>
      <c r="E36" s="6">
        <v>42775</v>
      </c>
      <c r="F36" s="1" t="str">
        <f>VLOOKUP(D36,Table17[[Name]:[Native]],3,FALSE)</f>
        <v>临翔区</v>
      </c>
      <c r="G36" s="14" t="str">
        <f ca="1">VLOOKUP(F36,Table17[[Native]:[Population4]],5,FALSE)</f>
        <v>临沧市</v>
      </c>
    </row>
    <row r="37" spans="1:7" ht="15.75" thickBot="1" x14ac:dyDescent="0.3">
      <c r="A37" t="s">
        <v>1509</v>
      </c>
      <c r="B37" s="1" t="s">
        <v>1510</v>
      </c>
      <c r="C37" s="1" t="s">
        <v>11</v>
      </c>
      <c r="D37" s="1" t="s">
        <v>1433</v>
      </c>
      <c r="E37" s="6">
        <v>23617</v>
      </c>
      <c r="F37" s="1" t="str">
        <f>VLOOKUP(D37,Table17[[Name]:[Native]],3,FALSE)</f>
        <v>云县</v>
      </c>
      <c r="G37" s="14" t="str">
        <f ca="1">VLOOKUP(F37,Table17[[Native]:[Population4]],5,FALSE)</f>
        <v>临沧市</v>
      </c>
    </row>
    <row r="38" spans="1:7" ht="15.75" thickBot="1" x14ac:dyDescent="0.3">
      <c r="A38" t="s">
        <v>1511</v>
      </c>
      <c r="B38" s="1" t="s">
        <v>1512</v>
      </c>
      <c r="C38" s="1" t="s">
        <v>11</v>
      </c>
      <c r="D38" s="1" t="s">
        <v>1433</v>
      </c>
      <c r="E38" s="6">
        <v>43925</v>
      </c>
      <c r="F38" s="1" t="str">
        <f>VLOOKUP(D38,Table17[[Name]:[Native]],3,FALSE)</f>
        <v>云县</v>
      </c>
      <c r="G38" s="14" t="str">
        <f ca="1">VLOOKUP(F38,Table17[[Native]:[Population4]],5,FALSE)</f>
        <v>临沧市</v>
      </c>
    </row>
    <row r="39" spans="1:7" ht="15.75" thickBot="1" x14ac:dyDescent="0.3">
      <c r="A39" t="s">
        <v>1513</v>
      </c>
      <c r="B39" s="1" t="s">
        <v>1514</v>
      </c>
      <c r="C39" s="1" t="s">
        <v>7</v>
      </c>
      <c r="D39" s="1" t="s">
        <v>1439</v>
      </c>
      <c r="E39" s="6">
        <v>24515</v>
      </c>
      <c r="F39" s="1" t="str">
        <f>VLOOKUP(D39,Table17[[Name]:[Native]],3,FALSE)</f>
        <v>临翔区</v>
      </c>
      <c r="G39" s="14" t="str">
        <f ca="1">VLOOKUP(F39,Table17[[Native]:[Population4]],5,FALSE)</f>
        <v>临沧市</v>
      </c>
    </row>
    <row r="40" spans="1:7" ht="15.75" thickBot="1" x14ac:dyDescent="0.3">
      <c r="A40" t="s">
        <v>1515</v>
      </c>
      <c r="B40" s="1" t="s">
        <v>1516</v>
      </c>
      <c r="C40" s="1" t="s">
        <v>7</v>
      </c>
      <c r="D40" s="1" t="s">
        <v>1439</v>
      </c>
      <c r="E40" s="6">
        <v>29586</v>
      </c>
      <c r="F40" s="1" t="str">
        <f>VLOOKUP(D40,Table17[[Name]:[Native]],3,FALSE)</f>
        <v>临翔区</v>
      </c>
      <c r="G40" s="14" t="str">
        <f ca="1">VLOOKUP(F40,Table17[[Native]:[Population4]],5,FALSE)</f>
        <v>临沧市</v>
      </c>
    </row>
    <row r="41" spans="1:7" ht="15.75" thickBot="1" x14ac:dyDescent="0.3">
      <c r="A41" t="s">
        <v>1517</v>
      </c>
      <c r="B41" s="1" t="s">
        <v>1518</v>
      </c>
      <c r="C41" s="1" t="s">
        <v>7</v>
      </c>
      <c r="D41" s="1" t="s">
        <v>1445</v>
      </c>
      <c r="E41" s="6">
        <v>26987</v>
      </c>
      <c r="F41" s="1" t="str">
        <f>VLOOKUP(D41,Table17[[Name]:[Native]],3,FALSE)</f>
        <v>永德县</v>
      </c>
      <c r="G41" s="14" t="str">
        <f ca="1">VLOOKUP(F41,Table17[[Native]:[Population4]],5,FALSE)</f>
        <v>临沧市</v>
      </c>
    </row>
    <row r="42" spans="1:7" ht="15.75" thickBot="1" x14ac:dyDescent="0.3">
      <c r="A42" t="s">
        <v>1519</v>
      </c>
      <c r="B42" s="1" t="s">
        <v>1520</v>
      </c>
      <c r="C42" s="1" t="s">
        <v>11</v>
      </c>
      <c r="D42" s="1" t="s">
        <v>1467</v>
      </c>
      <c r="E42" s="6">
        <v>102992</v>
      </c>
      <c r="F42" s="1" t="str">
        <f>VLOOKUP(D42,Table17[[Name]:[Native]],3,FALSE)</f>
        <v>耿马傣族佤族自治县</v>
      </c>
      <c r="G42" s="14" t="str">
        <f ca="1">VLOOKUP(F42,Table17[[Native]:[Population4]],5,FALSE)</f>
        <v>临沧市</v>
      </c>
    </row>
    <row r="43" spans="1:7" ht="15.75" thickBot="1" x14ac:dyDescent="0.3">
      <c r="A43" t="s">
        <v>1521</v>
      </c>
      <c r="B43" s="1" t="s">
        <v>1522</v>
      </c>
      <c r="C43" s="1" t="s">
        <v>11</v>
      </c>
      <c r="D43" s="1" t="s">
        <v>1442</v>
      </c>
      <c r="E43" s="6">
        <v>35741</v>
      </c>
      <c r="F43" s="1" t="str">
        <f>VLOOKUP(D43,Table17[[Name]:[Native]],3,FALSE)</f>
        <v>沧源佤族自治县</v>
      </c>
      <c r="G43" s="14" t="str">
        <f ca="1">VLOOKUP(F43,Table17[[Native]:[Population4]],5,FALSE)</f>
        <v>临沧市</v>
      </c>
    </row>
    <row r="44" spans="1:7" ht="15.75" thickBot="1" x14ac:dyDescent="0.3">
      <c r="A44" t="s">
        <v>1523</v>
      </c>
      <c r="B44" s="1" t="s">
        <v>1524</v>
      </c>
      <c r="C44" s="1" t="s">
        <v>7</v>
      </c>
      <c r="D44" s="1" t="s">
        <v>1478</v>
      </c>
      <c r="E44" s="6">
        <v>20636</v>
      </c>
      <c r="F44" s="1" t="str">
        <f>VLOOKUP(D44,Table17[[Name]:[Native]],3,FALSE)</f>
        <v>镇康县</v>
      </c>
      <c r="G44" s="14" t="str">
        <f ca="1">VLOOKUP(F44,Table17[[Native]:[Population4]],5,FALSE)</f>
        <v>临沧市</v>
      </c>
    </row>
    <row r="45" spans="1:7" ht="15.75" thickBot="1" x14ac:dyDescent="0.3">
      <c r="A45" t="s">
        <v>1525</v>
      </c>
      <c r="B45" s="1" t="s">
        <v>1526</v>
      </c>
      <c r="C45" s="1" t="s">
        <v>7</v>
      </c>
      <c r="D45" s="1" t="s">
        <v>1467</v>
      </c>
      <c r="E45" s="6">
        <v>14397</v>
      </c>
      <c r="F45" s="1" t="str">
        <f>VLOOKUP(D45,Table17[[Name]:[Native]],3,FALSE)</f>
        <v>耿马傣族佤族自治县</v>
      </c>
      <c r="G45" s="14" t="str">
        <f ca="1">VLOOKUP(F45,Table17[[Native]:[Population4]],5,FALSE)</f>
        <v>临沧市</v>
      </c>
    </row>
    <row r="46" spans="1:7" ht="15.75" thickBot="1" x14ac:dyDescent="0.3">
      <c r="A46" t="s">
        <v>1527</v>
      </c>
      <c r="B46" s="1" t="s">
        <v>1528</v>
      </c>
      <c r="C46" s="1" t="s">
        <v>7</v>
      </c>
      <c r="D46" s="1" t="s">
        <v>1442</v>
      </c>
      <c r="E46" s="6">
        <v>13990</v>
      </c>
      <c r="F46" s="1" t="str">
        <f>VLOOKUP(D46,Table17[[Name]:[Native]],3,FALSE)</f>
        <v>沧源佤族自治县</v>
      </c>
      <c r="G46" s="14" t="str">
        <f ca="1">VLOOKUP(F46,Table17[[Native]:[Population4]],5,FALSE)</f>
        <v>临沧市</v>
      </c>
    </row>
    <row r="47" spans="1:7" ht="15.75" thickBot="1" x14ac:dyDescent="0.3">
      <c r="A47" t="s">
        <v>1529</v>
      </c>
      <c r="B47" s="1" t="s">
        <v>1530</v>
      </c>
      <c r="C47" s="1" t="s">
        <v>11</v>
      </c>
      <c r="D47" s="1" t="s">
        <v>1436</v>
      </c>
      <c r="E47" s="6">
        <v>35146</v>
      </c>
      <c r="F47" s="1" t="str">
        <f>VLOOKUP(D47,Table17[[Name]:[Native]],3,FALSE)</f>
        <v>双江拉祜族佤族布朗族傣族自治县</v>
      </c>
      <c r="G47" s="14" t="str">
        <f ca="1">VLOOKUP(F47,Table17[[Native]:[Population4]],5,FALSE)</f>
        <v>临沧市</v>
      </c>
    </row>
    <row r="48" spans="1:7" ht="15.75" thickBot="1" x14ac:dyDescent="0.3">
      <c r="A48" t="s">
        <v>1531</v>
      </c>
      <c r="B48" s="1" t="s">
        <v>1532</v>
      </c>
      <c r="C48" s="1" t="s">
        <v>7</v>
      </c>
      <c r="D48" s="1" t="s">
        <v>1442</v>
      </c>
      <c r="E48" s="6">
        <v>14443</v>
      </c>
      <c r="F48" s="1" t="str">
        <f>VLOOKUP(D48,Table17[[Name]:[Native]],3,FALSE)</f>
        <v>沧源佤族自治县</v>
      </c>
      <c r="G48" s="14" t="str">
        <f ca="1">VLOOKUP(F48,Table17[[Native]:[Population4]],5,FALSE)</f>
        <v>临沧市</v>
      </c>
    </row>
    <row r="49" spans="1:7" ht="15.75" thickBot="1" x14ac:dyDescent="0.3">
      <c r="A49" t="s">
        <v>1533</v>
      </c>
      <c r="B49" s="1" t="s">
        <v>1534</v>
      </c>
      <c r="C49" s="1" t="s">
        <v>11</v>
      </c>
      <c r="D49" s="1" t="s">
        <v>1436</v>
      </c>
      <c r="E49" s="6">
        <v>47966</v>
      </c>
      <c r="F49" s="1" t="str">
        <f>VLOOKUP(D49,Table17[[Name]:[Native]],3,FALSE)</f>
        <v>双江拉祜族佤族布朗族傣族自治县</v>
      </c>
      <c r="G49" s="14" t="str">
        <f ca="1">VLOOKUP(F49,Table17[[Native]:[Population4]],5,FALSE)</f>
        <v>临沧市</v>
      </c>
    </row>
    <row r="50" spans="1:7" ht="15.75" thickBot="1" x14ac:dyDescent="0.3">
      <c r="A50" t="s">
        <v>1535</v>
      </c>
      <c r="B50" s="1" t="s">
        <v>1536</v>
      </c>
      <c r="C50" s="1" t="s">
        <v>11</v>
      </c>
      <c r="D50" s="1" t="s">
        <v>1478</v>
      </c>
      <c r="E50" s="6">
        <v>40417</v>
      </c>
      <c r="F50" s="1" t="str">
        <f>VLOOKUP(D50,Table17[[Name]:[Native]],3,FALSE)</f>
        <v>镇康县</v>
      </c>
      <c r="G50" s="14" t="str">
        <f ca="1">VLOOKUP(F50,Table17[[Native]:[Population4]],5,FALSE)</f>
        <v>临沧市</v>
      </c>
    </row>
    <row r="51" spans="1:7" ht="15.75" thickBot="1" x14ac:dyDescent="0.3">
      <c r="A51" t="s">
        <v>1537</v>
      </c>
      <c r="B51" s="1" t="s">
        <v>1538</v>
      </c>
      <c r="C51" s="1" t="s">
        <v>11</v>
      </c>
      <c r="D51" s="1" t="s">
        <v>1467</v>
      </c>
      <c r="E51" s="6">
        <v>37299</v>
      </c>
      <c r="F51" s="1" t="str">
        <f>VLOOKUP(D51,Table17[[Name]:[Native]],3,FALSE)</f>
        <v>耿马傣族佤族自治县</v>
      </c>
      <c r="G51" s="14" t="str">
        <f ca="1">VLOOKUP(F51,Table17[[Native]:[Population4]],5,FALSE)</f>
        <v>临沧市</v>
      </c>
    </row>
    <row r="52" spans="1:7" ht="15.75" thickBot="1" x14ac:dyDescent="0.3">
      <c r="A52" t="s">
        <v>1539</v>
      </c>
      <c r="B52" s="1" t="s">
        <v>1540</v>
      </c>
      <c r="C52" s="1" t="s">
        <v>11</v>
      </c>
      <c r="D52" s="1" t="s">
        <v>1442</v>
      </c>
      <c r="E52" s="6">
        <v>23530</v>
      </c>
      <c r="F52" s="1" t="str">
        <f>VLOOKUP(D52,Table17[[Name]:[Native]],3,FALSE)</f>
        <v>沧源佤族自治县</v>
      </c>
      <c r="G52" s="14" t="str">
        <f ca="1">VLOOKUP(F52,Table17[[Native]:[Population4]],5,FALSE)</f>
        <v>临沧市</v>
      </c>
    </row>
    <row r="53" spans="1:7" ht="15.75" thickBot="1" x14ac:dyDescent="0.3">
      <c r="A53" t="s">
        <v>1541</v>
      </c>
      <c r="B53" s="1" t="s">
        <v>1542</v>
      </c>
      <c r="C53" s="1" t="s">
        <v>11</v>
      </c>
      <c r="D53" s="1" t="s">
        <v>1467</v>
      </c>
      <c r="E53" s="6">
        <v>31141</v>
      </c>
      <c r="F53" s="1" t="str">
        <f>VLOOKUP(D53,Table17[[Name]:[Native]],3,FALSE)</f>
        <v>耿马傣族佤族自治县</v>
      </c>
      <c r="G53" s="14" t="str">
        <f ca="1">VLOOKUP(F53,Table17[[Native]:[Population4]],5,FALSE)</f>
        <v>临沧市</v>
      </c>
    </row>
    <row r="54" spans="1:7" ht="15.75" thickBot="1" x14ac:dyDescent="0.3">
      <c r="A54" t="s">
        <v>1543</v>
      </c>
      <c r="B54" s="1" t="s">
        <v>1544</v>
      </c>
      <c r="C54" s="1" t="s">
        <v>11</v>
      </c>
      <c r="D54" s="1" t="s">
        <v>1462</v>
      </c>
      <c r="E54" s="6">
        <v>51213</v>
      </c>
      <c r="F54" s="1" t="str">
        <f>VLOOKUP(D54,Table17[[Name]:[Native]],3,FALSE)</f>
        <v>凤庆县</v>
      </c>
      <c r="G54" s="14" t="str">
        <f ca="1">VLOOKUP(F54,Table17[[Native]:[Population4]],5,FALSE)</f>
        <v>临沧市</v>
      </c>
    </row>
    <row r="55" spans="1:7" ht="15.75" thickBot="1" x14ac:dyDescent="0.3">
      <c r="A55" t="s">
        <v>1545</v>
      </c>
      <c r="B55" s="1" t="s">
        <v>1546</v>
      </c>
      <c r="C55" s="1" t="s">
        <v>7</v>
      </c>
      <c r="D55" s="1" t="s">
        <v>1478</v>
      </c>
      <c r="E55" s="6">
        <v>18666</v>
      </c>
      <c r="F55" s="1" t="str">
        <f>VLOOKUP(D55,Table17[[Name]:[Native]],3,FALSE)</f>
        <v>镇康县</v>
      </c>
      <c r="G55" s="14" t="str">
        <f ca="1">VLOOKUP(F55,Table17[[Native]:[Population4]],5,FALSE)</f>
        <v>临沧市</v>
      </c>
    </row>
    <row r="56" spans="1:7" ht="15.75" thickBot="1" x14ac:dyDescent="0.3">
      <c r="A56" t="s">
        <v>1547</v>
      </c>
      <c r="B56" s="1" t="s">
        <v>1548</v>
      </c>
      <c r="C56" s="1" t="s">
        <v>7</v>
      </c>
      <c r="D56" s="1" t="s">
        <v>1439</v>
      </c>
      <c r="E56" s="6">
        <v>4578</v>
      </c>
      <c r="F56" s="1" t="str">
        <f>VLOOKUP(D56,Table17[[Name]:[Native]],3,FALSE)</f>
        <v>临翔区</v>
      </c>
      <c r="G56" s="14" t="str">
        <f ca="1">VLOOKUP(F56,Table17[[Native]:[Population4]],5,FALSE)</f>
        <v>临沧市</v>
      </c>
    </row>
    <row r="57" spans="1:7" ht="15.75" thickBot="1" x14ac:dyDescent="0.3">
      <c r="A57" t="s">
        <v>1549</v>
      </c>
      <c r="B57" s="1" t="s">
        <v>1550</v>
      </c>
      <c r="C57" s="1" t="s">
        <v>11</v>
      </c>
      <c r="D57" s="1" t="s">
        <v>1478</v>
      </c>
      <c r="E57" s="6">
        <v>43097</v>
      </c>
      <c r="F57" s="1" t="str">
        <f>VLOOKUP(D57,Table17[[Name]:[Native]],3,FALSE)</f>
        <v>镇康县</v>
      </c>
      <c r="G57" s="14" t="str">
        <f ca="1">VLOOKUP(F57,Table17[[Native]:[Population4]],5,FALSE)</f>
        <v>临沧市</v>
      </c>
    </row>
    <row r="58" spans="1:7" ht="15.75" thickBot="1" x14ac:dyDescent="0.3">
      <c r="A58" t="s">
        <v>1551</v>
      </c>
      <c r="B58" s="1" t="s">
        <v>1552</v>
      </c>
      <c r="C58" s="1" t="s">
        <v>7</v>
      </c>
      <c r="D58" s="1" t="s">
        <v>1442</v>
      </c>
      <c r="E58" s="6">
        <v>14665</v>
      </c>
      <c r="F58" s="1" t="str">
        <f>VLOOKUP(D58,Table17[[Name]:[Native]],3,FALSE)</f>
        <v>沧源佤族自治县</v>
      </c>
      <c r="G58" s="14" t="str">
        <f ca="1">VLOOKUP(F58,Table17[[Native]:[Population4]],5,FALSE)</f>
        <v>临沧市</v>
      </c>
    </row>
    <row r="59" spans="1:7" ht="15.75" thickBot="1" x14ac:dyDescent="0.3">
      <c r="A59" t="s">
        <v>1553</v>
      </c>
      <c r="B59" s="1" t="s">
        <v>1554</v>
      </c>
      <c r="C59" s="1" t="s">
        <v>7</v>
      </c>
      <c r="D59" s="1" t="s">
        <v>1439</v>
      </c>
      <c r="E59" s="6">
        <v>8701</v>
      </c>
      <c r="F59" s="1" t="str">
        <f>VLOOKUP(D59,Table17[[Name]:[Native]],3,FALSE)</f>
        <v>临翔区</v>
      </c>
      <c r="G59" s="14" t="str">
        <f ca="1">VLOOKUP(F59,Table17[[Native]:[Population4]],5,FALSE)</f>
        <v>临沧市</v>
      </c>
    </row>
    <row r="60" spans="1:7" ht="15.75" thickBot="1" x14ac:dyDescent="0.3">
      <c r="A60" t="s">
        <v>1555</v>
      </c>
      <c r="B60" s="1" t="s">
        <v>1556</v>
      </c>
      <c r="C60" s="1" t="s">
        <v>7</v>
      </c>
      <c r="D60" s="1" t="s">
        <v>1439</v>
      </c>
      <c r="E60" s="6">
        <v>31286</v>
      </c>
      <c r="F60" s="1" t="str">
        <f>VLOOKUP(D60,Table17[[Name]:[Native]],3,FALSE)</f>
        <v>临翔区</v>
      </c>
      <c r="G60" s="14" t="str">
        <f ca="1">VLOOKUP(F60,Table17[[Native]:[Population4]],5,FALSE)</f>
        <v>临沧市</v>
      </c>
    </row>
    <row r="61" spans="1:7" ht="15.75" thickBot="1" x14ac:dyDescent="0.3">
      <c r="A61" t="s">
        <v>287</v>
      </c>
      <c r="B61" s="1" t="s">
        <v>288</v>
      </c>
      <c r="C61" s="1" t="s">
        <v>11</v>
      </c>
      <c r="D61" s="1" t="s">
        <v>1462</v>
      </c>
      <c r="E61" s="6">
        <v>28708</v>
      </c>
      <c r="F61" s="1" t="str">
        <f>VLOOKUP(D61,Table17[[Name]:[Native]],3,FALSE)</f>
        <v>凤庆县</v>
      </c>
      <c r="G61" s="14" t="str">
        <f ca="1">VLOOKUP(F61,Table17[[Native]:[Population4]],5,FALSE)</f>
        <v>临沧市</v>
      </c>
    </row>
    <row r="62" spans="1:7" ht="15.75" thickBot="1" x14ac:dyDescent="0.3">
      <c r="A62" t="s">
        <v>1557</v>
      </c>
      <c r="B62" s="1" t="s">
        <v>1558</v>
      </c>
      <c r="C62" s="1" t="s">
        <v>7</v>
      </c>
      <c r="D62" s="1" t="s">
        <v>1436</v>
      </c>
      <c r="E62" s="6">
        <v>31217</v>
      </c>
      <c r="F62" s="1" t="str">
        <f>VLOOKUP(D62,Table17[[Name]:[Native]],3,FALSE)</f>
        <v>双江拉祜族佤族布朗族傣族自治县</v>
      </c>
      <c r="G62" s="14" t="str">
        <f ca="1">VLOOKUP(F62,Table17[[Native]:[Population4]],5,FALSE)</f>
        <v>临沧市</v>
      </c>
    </row>
    <row r="63" spans="1:7" ht="15.75" thickBot="1" x14ac:dyDescent="0.3">
      <c r="A63" t="s">
        <v>1559</v>
      </c>
      <c r="B63" s="1" t="s">
        <v>1560</v>
      </c>
      <c r="C63" s="1" t="s">
        <v>7</v>
      </c>
      <c r="D63" s="1" t="s">
        <v>1462</v>
      </c>
      <c r="E63" s="6">
        <v>26124</v>
      </c>
      <c r="F63" s="1" t="str">
        <f>VLOOKUP(D63,Table17[[Name]:[Native]],3,FALSE)</f>
        <v>凤庆县</v>
      </c>
      <c r="G63" s="14" t="str">
        <f ca="1">VLOOKUP(F63,Table17[[Native]:[Population4]],5,FALSE)</f>
        <v>临沧市</v>
      </c>
    </row>
    <row r="64" spans="1:7" ht="15.75" thickBot="1" x14ac:dyDescent="0.3">
      <c r="A64" t="s">
        <v>1561</v>
      </c>
      <c r="B64" s="1" t="s">
        <v>1562</v>
      </c>
      <c r="C64" s="1" t="s">
        <v>7</v>
      </c>
      <c r="D64" s="1" t="s">
        <v>1467</v>
      </c>
      <c r="E64" s="6">
        <v>15069</v>
      </c>
      <c r="F64" s="1" t="str">
        <f>VLOOKUP(D64,Table17[[Name]:[Native]],3,FALSE)</f>
        <v>耿马傣族佤族自治县</v>
      </c>
      <c r="G64" s="14" t="str">
        <f ca="1">VLOOKUP(F64,Table17[[Native]:[Population4]],5,FALSE)</f>
        <v>临沧市</v>
      </c>
    </row>
    <row r="65" spans="1:7" ht="15.75" thickBot="1" x14ac:dyDescent="0.3">
      <c r="A65" t="s">
        <v>1563</v>
      </c>
      <c r="B65" s="1" t="s">
        <v>1564</v>
      </c>
      <c r="C65" s="1" t="s">
        <v>7</v>
      </c>
      <c r="D65" s="1" t="s">
        <v>1445</v>
      </c>
      <c r="E65" s="6">
        <v>28962</v>
      </c>
      <c r="F65" s="1" t="str">
        <f>VLOOKUP(D65,Table17[[Name]:[Native]],3,FALSE)</f>
        <v>永德县</v>
      </c>
      <c r="G65" s="14" t="str">
        <f ca="1">VLOOKUP(F65,Table17[[Native]:[Population4]],5,FALSE)</f>
        <v>临沧市</v>
      </c>
    </row>
    <row r="66" spans="1:7" ht="15.75" thickBot="1" x14ac:dyDescent="0.3">
      <c r="A66" t="s">
        <v>1565</v>
      </c>
      <c r="B66" s="1" t="s">
        <v>1566</v>
      </c>
      <c r="C66" s="1" t="s">
        <v>7</v>
      </c>
      <c r="D66" s="1" t="s">
        <v>1433</v>
      </c>
      <c r="E66" s="6">
        <v>39505</v>
      </c>
      <c r="F66" s="1" t="str">
        <f>VLOOKUP(D66,Table17[[Name]:[Native]],3,FALSE)</f>
        <v>云县</v>
      </c>
      <c r="G66" s="14" t="str">
        <f ca="1">VLOOKUP(F66,Table17[[Native]:[Population4]],5,FALSE)</f>
        <v>临沧市</v>
      </c>
    </row>
    <row r="67" spans="1:7" ht="15.75" thickBot="1" x14ac:dyDescent="0.3">
      <c r="A67" t="s">
        <v>1567</v>
      </c>
      <c r="B67" s="1" t="s">
        <v>1568</v>
      </c>
      <c r="C67" s="1" t="s">
        <v>11</v>
      </c>
      <c r="D67" s="1" t="s">
        <v>1445</v>
      </c>
      <c r="E67" s="6">
        <v>56127</v>
      </c>
      <c r="F67" s="1" t="str">
        <f>VLOOKUP(D67,Table17[[Name]:[Native]],3,FALSE)</f>
        <v>永德县</v>
      </c>
      <c r="G67" s="14" t="str">
        <f ca="1">VLOOKUP(F67,Table17[[Native]:[Population4]],5,FALSE)</f>
        <v>临沧市</v>
      </c>
    </row>
    <row r="68" spans="1:7" ht="15.75" thickBot="1" x14ac:dyDescent="0.3">
      <c r="A68" t="s">
        <v>1569</v>
      </c>
      <c r="B68" s="1" t="s">
        <v>1570</v>
      </c>
      <c r="C68" s="1" t="s">
        <v>11</v>
      </c>
      <c r="D68" s="1" t="s">
        <v>1462</v>
      </c>
      <c r="E68" s="6">
        <v>27547</v>
      </c>
      <c r="F68" s="1" t="str">
        <f>VLOOKUP(D68,Table17[[Name]:[Native]],3,FALSE)</f>
        <v>凤庆县</v>
      </c>
      <c r="G68" s="14" t="str">
        <f ca="1">VLOOKUP(F68,Table17[[Native]:[Population4]],5,FALSE)</f>
        <v>临沧市</v>
      </c>
    </row>
    <row r="69" spans="1:7" ht="15.75" thickBot="1" x14ac:dyDescent="0.3">
      <c r="A69" t="s">
        <v>1571</v>
      </c>
      <c r="B69" s="1" t="s">
        <v>1572</v>
      </c>
      <c r="C69" s="1" t="s">
        <v>11</v>
      </c>
      <c r="D69" s="1" t="s">
        <v>1433</v>
      </c>
      <c r="E69" s="6">
        <v>47479</v>
      </c>
      <c r="F69" s="1" t="str">
        <f>VLOOKUP(D69,Table17[[Name]:[Native]],3,FALSE)</f>
        <v>云县</v>
      </c>
      <c r="G69" s="14" t="str">
        <f ca="1">VLOOKUP(F69,Table17[[Native]:[Population4]],5,FALSE)</f>
        <v>临沧市</v>
      </c>
    </row>
    <row r="70" spans="1:7" ht="15.75" thickBot="1" x14ac:dyDescent="0.3">
      <c r="A70" t="s">
        <v>1573</v>
      </c>
      <c r="B70" s="1" t="s">
        <v>1574</v>
      </c>
      <c r="C70" s="1" t="s">
        <v>7</v>
      </c>
      <c r="D70" s="1" t="s">
        <v>1462</v>
      </c>
      <c r="E70" s="6">
        <v>27912</v>
      </c>
      <c r="F70" s="1" t="str">
        <f>VLOOKUP(D70,Table17[[Name]:[Native]],3,FALSE)</f>
        <v>凤庆县</v>
      </c>
      <c r="G70" s="14" t="str">
        <f ca="1">VLOOKUP(F70,Table17[[Native]:[Population4]],5,FALSE)</f>
        <v>临沧市</v>
      </c>
    </row>
    <row r="71" spans="1:7" ht="15.75" thickBot="1" x14ac:dyDescent="0.3">
      <c r="A71" t="s">
        <v>1575</v>
      </c>
      <c r="B71" s="1" t="s">
        <v>1576</v>
      </c>
      <c r="C71" s="1" t="s">
        <v>11</v>
      </c>
      <c r="D71" s="1" t="s">
        <v>1462</v>
      </c>
      <c r="E71" s="6">
        <v>30953</v>
      </c>
      <c r="F71" s="1" t="str">
        <f>VLOOKUP(D71,Table17[[Name]:[Native]],3,FALSE)</f>
        <v>凤庆县</v>
      </c>
      <c r="G71" s="14" t="str">
        <f ca="1">VLOOKUP(F71,Table17[[Native]:[Population4]],5,FALSE)</f>
        <v>临沧市</v>
      </c>
    </row>
    <row r="72" spans="1:7" ht="15.75" thickBot="1" x14ac:dyDescent="0.3">
      <c r="A72" t="s">
        <v>1577</v>
      </c>
      <c r="B72" s="1" t="s">
        <v>1578</v>
      </c>
      <c r="C72" s="1" t="s">
        <v>7</v>
      </c>
      <c r="D72" s="1" t="s">
        <v>1445</v>
      </c>
      <c r="E72" s="6">
        <v>28601</v>
      </c>
      <c r="F72" s="1" t="str">
        <f>VLOOKUP(D72,Table17[[Name]:[Native]],3,FALSE)</f>
        <v>永德县</v>
      </c>
      <c r="G72" s="14" t="str">
        <f ca="1">VLOOKUP(F72,Table17[[Native]:[Population4]],5,FALSE)</f>
        <v>临沧市</v>
      </c>
    </row>
    <row r="73" spans="1:7" ht="15.75" thickBot="1" x14ac:dyDescent="0.3">
      <c r="A73" t="s">
        <v>1579</v>
      </c>
      <c r="B73" s="1" t="s">
        <v>1580</v>
      </c>
      <c r="C73" s="1" t="s">
        <v>11</v>
      </c>
      <c r="D73" s="1" t="s">
        <v>1442</v>
      </c>
      <c r="E73" s="6">
        <v>32486</v>
      </c>
      <c r="F73" s="1" t="str">
        <f>VLOOKUP(D73,Table17[[Name]:[Native]],3,FALSE)</f>
        <v>沧源佤族自治县</v>
      </c>
      <c r="G73" s="14" t="str">
        <f ca="1">VLOOKUP(F73,Table17[[Native]:[Population4]],5,FALSE)</f>
        <v>临沧市</v>
      </c>
    </row>
    <row r="74" spans="1:7" ht="15.75" thickBot="1" x14ac:dyDescent="0.3">
      <c r="A74" t="s">
        <v>1581</v>
      </c>
      <c r="B74" s="1" t="s">
        <v>1582</v>
      </c>
      <c r="C74" s="1" t="s">
        <v>7</v>
      </c>
      <c r="D74" s="1" t="s">
        <v>1462</v>
      </c>
      <c r="E74" s="6">
        <v>9233</v>
      </c>
      <c r="F74" s="1" t="str">
        <f>VLOOKUP(D74,Table17[[Name]:[Native]],3,FALSE)</f>
        <v>凤庆县</v>
      </c>
      <c r="G74" s="14" t="str">
        <f ca="1">VLOOKUP(F74,Table17[[Native]:[Population4]],5,FALSE)</f>
        <v>临沧市</v>
      </c>
    </row>
    <row r="75" spans="1:7" ht="15.75" thickBot="1" x14ac:dyDescent="0.3">
      <c r="A75" t="s">
        <v>1583</v>
      </c>
      <c r="B75" s="1" t="s">
        <v>1584</v>
      </c>
      <c r="C75" s="1" t="s">
        <v>11</v>
      </c>
      <c r="D75" s="1" t="s">
        <v>1462</v>
      </c>
      <c r="E75" s="6">
        <v>45709</v>
      </c>
      <c r="F75" s="1" t="str">
        <f>VLOOKUP(D75,Table17[[Name]:[Native]],3,FALSE)</f>
        <v>凤庆县</v>
      </c>
      <c r="G75" s="14" t="str">
        <f ca="1">VLOOKUP(F75,Table17[[Native]:[Population4]],5,FALSE)</f>
        <v>临沧市</v>
      </c>
    </row>
    <row r="76" spans="1:7" ht="15.75" thickBot="1" x14ac:dyDescent="0.3">
      <c r="A76" t="s">
        <v>1585</v>
      </c>
      <c r="B76" s="1" t="s">
        <v>1586</v>
      </c>
      <c r="C76" s="1" t="s">
        <v>11</v>
      </c>
      <c r="D76" s="1" t="s">
        <v>1433</v>
      </c>
      <c r="E76" s="6">
        <v>42436</v>
      </c>
      <c r="F76" s="1" t="str">
        <f>VLOOKUP(D76,Table17[[Name]:[Native]],3,FALSE)</f>
        <v>云县</v>
      </c>
      <c r="G76" s="14" t="str">
        <f ca="1">VLOOKUP(F76,Table17[[Native]:[Population4]],5,FALSE)</f>
        <v>临沧市</v>
      </c>
    </row>
    <row r="77" spans="1:7" ht="15.75" thickBot="1" x14ac:dyDescent="0.3">
      <c r="A77" t="s">
        <v>1587</v>
      </c>
      <c r="B77" s="3" t="s">
        <v>1588</v>
      </c>
      <c r="C77" s="3" t="s">
        <v>11</v>
      </c>
      <c r="D77" s="3" t="s">
        <v>1445</v>
      </c>
      <c r="E77" s="11">
        <v>62850</v>
      </c>
      <c r="F77" s="1" t="str">
        <f>VLOOKUP(D77,Table17[[Name]:[Native]],3,FALSE)</f>
        <v>永德县</v>
      </c>
      <c r="G77" s="14" t="str">
        <f ca="1">VLOOKUP(F77,Table17[[Native]:[Population4]],5,FALSE)</f>
        <v>临沧市</v>
      </c>
    </row>
    <row r="78" spans="1:7" ht="15.75" thickBot="1" x14ac:dyDescent="0.3">
      <c r="A78" t="s">
        <v>1589</v>
      </c>
      <c r="B78" s="1" t="s">
        <v>1590</v>
      </c>
      <c r="C78" s="1" t="s">
        <v>7</v>
      </c>
      <c r="D78" s="1" t="s">
        <v>1439</v>
      </c>
      <c r="E78" s="6">
        <v>20282</v>
      </c>
      <c r="F78" s="10" t="str">
        <f>VLOOKUP(D78,Table17[[Name]:[Native]],3,FALSE)</f>
        <v>临翔区</v>
      </c>
      <c r="G78" s="14" t="str">
        <f ca="1">VLOOKUP(F78,Table17[[Native]:[Population4]],5,FALSE)</f>
        <v>临沧市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0E6A-F831-43D9-B76D-360926D4F2F2}">
  <dimension ref="A1:G30"/>
  <sheetViews>
    <sheetView topLeftCell="A5" workbookViewId="0">
      <selection activeCell="G2" sqref="A2:G30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2917</v>
      </c>
      <c r="G1" t="s">
        <v>2919</v>
      </c>
    </row>
    <row r="2" spans="1:7" ht="15.75" thickBot="1" x14ac:dyDescent="0.3">
      <c r="A2" t="s">
        <v>1591</v>
      </c>
      <c r="B2" s="1" t="s">
        <v>1592</v>
      </c>
      <c r="C2" s="1" t="s">
        <v>11</v>
      </c>
      <c r="D2" s="1" t="s">
        <v>1593</v>
      </c>
      <c r="E2" s="6">
        <v>6465</v>
      </c>
      <c r="F2" s="9" t="str">
        <f>VLOOKUP(D2,Table17[[Name]:[Native]],3,FALSE)</f>
        <v>贡山独龙族怒族自治县</v>
      </c>
      <c r="G2" s="14" t="str">
        <f ca="1">VLOOKUP(F2,Table17[[Native]:[Population4]],5,FALSE)</f>
        <v>怒江傈僳族自治州</v>
      </c>
    </row>
    <row r="3" spans="1:7" ht="15.75" thickBot="1" x14ac:dyDescent="0.3">
      <c r="A3" t="s">
        <v>1594</v>
      </c>
      <c r="B3" s="1" t="s">
        <v>1595</v>
      </c>
      <c r="C3" s="1" t="s">
        <v>7</v>
      </c>
      <c r="D3" s="1" t="s">
        <v>1596</v>
      </c>
      <c r="E3" s="6">
        <v>19012</v>
      </c>
      <c r="F3" s="1" t="str">
        <f>VLOOKUP(D3,Table17[[Name]:[Native]],3,FALSE)</f>
        <v>泸水市</v>
      </c>
      <c r="G3" s="14" t="str">
        <f ca="1">VLOOKUP(F3,Table17[[Native]:[Population4]],5,FALSE)</f>
        <v>怒江傈僳族自治州</v>
      </c>
    </row>
    <row r="4" spans="1:7" ht="15.75" thickBot="1" x14ac:dyDescent="0.3">
      <c r="A4" t="s">
        <v>1597</v>
      </c>
      <c r="B4" s="1" t="s">
        <v>1598</v>
      </c>
      <c r="C4" s="1" t="s">
        <v>11</v>
      </c>
      <c r="D4" s="1" t="s">
        <v>1593</v>
      </c>
      <c r="E4" s="6">
        <v>14478</v>
      </c>
      <c r="F4" s="1" t="str">
        <f>VLOOKUP(D4,Table17[[Name]:[Native]],3,FALSE)</f>
        <v>贡山独龙族怒族自治县</v>
      </c>
      <c r="G4" s="14" t="str">
        <f ca="1">VLOOKUP(F4,Table17[[Native]:[Population4]],5,FALSE)</f>
        <v>怒江傈僳族自治州</v>
      </c>
    </row>
    <row r="5" spans="1:7" ht="15.75" thickBot="1" x14ac:dyDescent="0.3">
      <c r="A5" t="s">
        <v>1599</v>
      </c>
      <c r="B5" s="1" t="s">
        <v>1600</v>
      </c>
      <c r="C5" s="1" t="s">
        <v>11</v>
      </c>
      <c r="D5" s="1" t="s">
        <v>1596</v>
      </c>
      <c r="E5" s="6">
        <v>16245</v>
      </c>
      <c r="F5" s="1" t="str">
        <f>VLOOKUP(D5,Table17[[Name]:[Native]],3,FALSE)</f>
        <v>泸水市</v>
      </c>
      <c r="G5" s="14" t="str">
        <f ca="1">VLOOKUP(F5,Table17[[Native]:[Population4]],5,FALSE)</f>
        <v>怒江傈僳族自治州</v>
      </c>
    </row>
    <row r="6" spans="1:7" ht="15.75" thickBot="1" x14ac:dyDescent="0.3">
      <c r="A6" t="s">
        <v>1601</v>
      </c>
      <c r="B6" s="1" t="s">
        <v>1602</v>
      </c>
      <c r="C6" s="1" t="s">
        <v>7</v>
      </c>
      <c r="D6" s="1" t="s">
        <v>1593</v>
      </c>
      <c r="E6" s="6">
        <v>4239</v>
      </c>
      <c r="F6" s="1" t="str">
        <f>VLOOKUP(D6,Table17[[Name]:[Native]],3,FALSE)</f>
        <v>贡山独龙族怒族自治县</v>
      </c>
      <c r="G6" s="14" t="str">
        <f ca="1">VLOOKUP(F6,Table17[[Native]:[Population4]],5,FALSE)</f>
        <v>怒江傈僳族自治州</v>
      </c>
    </row>
    <row r="7" spans="1:7" ht="15.75" thickBot="1" x14ac:dyDescent="0.3">
      <c r="A7" t="s">
        <v>1603</v>
      </c>
      <c r="B7" s="1" t="s">
        <v>1604</v>
      </c>
      <c r="C7" s="1" t="s">
        <v>7</v>
      </c>
      <c r="D7" s="1" t="s">
        <v>1596</v>
      </c>
      <c r="E7" s="6">
        <v>15783</v>
      </c>
      <c r="F7" s="1" t="str">
        <f>VLOOKUP(D7,Table17[[Name]:[Native]],3,FALSE)</f>
        <v>泸水市</v>
      </c>
      <c r="G7" s="14" t="str">
        <f ca="1">VLOOKUP(F7,Table17[[Native]:[Population4]],5,FALSE)</f>
        <v>怒江傈僳族自治州</v>
      </c>
    </row>
    <row r="8" spans="1:7" ht="15.75" thickBot="1" x14ac:dyDescent="0.3">
      <c r="A8" t="s">
        <v>613</v>
      </c>
      <c r="B8" s="1" t="s">
        <v>614</v>
      </c>
      <c r="C8" s="1" t="s">
        <v>7</v>
      </c>
      <c r="D8" s="1" t="s">
        <v>1605</v>
      </c>
      <c r="E8" s="6">
        <v>16991</v>
      </c>
      <c r="F8" s="1" t="str">
        <f>VLOOKUP(D8,Table17[[Name]:[Native]],3,FALSE)</f>
        <v>兰坪白族普米族自治县</v>
      </c>
      <c r="G8" s="14" t="str">
        <f ca="1">VLOOKUP(F8,Table17[[Native]:[Population4]],5,FALSE)</f>
        <v>怒江傈僳族自治州</v>
      </c>
    </row>
    <row r="9" spans="1:7" ht="15.75" thickBot="1" x14ac:dyDescent="0.3">
      <c r="A9" t="s">
        <v>1606</v>
      </c>
      <c r="B9" s="1" t="s">
        <v>1607</v>
      </c>
      <c r="C9" s="1" t="s">
        <v>7</v>
      </c>
      <c r="D9" s="1" t="s">
        <v>1608</v>
      </c>
      <c r="E9" s="6">
        <v>13414</v>
      </c>
      <c r="F9" s="1" t="str">
        <f>VLOOKUP(D9,Table17[[Name]:[Native]],3,FALSE)</f>
        <v>福贡县</v>
      </c>
      <c r="G9" s="14" t="str">
        <f ca="1">VLOOKUP(F9,Table17[[Native]:[Population4]],5,FALSE)</f>
        <v>怒江傈僳族自治州</v>
      </c>
    </row>
    <row r="10" spans="1:7" ht="15.75" thickBot="1" x14ac:dyDescent="0.3">
      <c r="A10" t="s">
        <v>1609</v>
      </c>
      <c r="B10" s="1" t="s">
        <v>1610</v>
      </c>
      <c r="C10" s="1" t="s">
        <v>11</v>
      </c>
      <c r="D10" s="1" t="s">
        <v>1605</v>
      </c>
      <c r="E10" s="6">
        <v>53667</v>
      </c>
      <c r="F10" s="1" t="str">
        <f>VLOOKUP(D10,Table17[[Name]:[Native]],3,FALSE)</f>
        <v>兰坪白族普米族自治县</v>
      </c>
      <c r="G10" s="14" t="str">
        <f ca="1">VLOOKUP(F10,Table17[[Native]:[Population4]],5,FALSE)</f>
        <v>怒江傈僳族自治州</v>
      </c>
    </row>
    <row r="11" spans="1:7" ht="15.75" thickBot="1" x14ac:dyDescent="0.3">
      <c r="A11" t="s">
        <v>1611</v>
      </c>
      <c r="B11" s="1" t="s">
        <v>1612</v>
      </c>
      <c r="C11" s="1" t="s">
        <v>11</v>
      </c>
      <c r="D11" s="1" t="s">
        <v>1605</v>
      </c>
      <c r="E11" s="6">
        <v>13899</v>
      </c>
      <c r="F11" s="1" t="str">
        <f>VLOOKUP(D11,Table17[[Name]:[Native]],3,FALSE)</f>
        <v>兰坪白族普米族自治县</v>
      </c>
      <c r="G11" s="14" t="str">
        <f ca="1">VLOOKUP(F11,Table17[[Native]:[Population4]],5,FALSE)</f>
        <v>怒江傈僳族自治州</v>
      </c>
    </row>
    <row r="12" spans="1:7" ht="15.75" thickBot="1" x14ac:dyDescent="0.3">
      <c r="A12" t="s">
        <v>1613</v>
      </c>
      <c r="B12" s="1" t="s">
        <v>1614</v>
      </c>
      <c r="C12" s="1" t="s">
        <v>11</v>
      </c>
      <c r="D12" s="1" t="s">
        <v>1596</v>
      </c>
      <c r="E12" s="6">
        <v>14007</v>
      </c>
      <c r="F12" s="1" t="str">
        <f>VLOOKUP(D12,Table17[[Name]:[Native]],3,FALSE)</f>
        <v>泸水市</v>
      </c>
      <c r="G12" s="14" t="str">
        <f ca="1">VLOOKUP(F12,Table17[[Native]:[Population4]],5,FALSE)</f>
        <v>怒江傈僳族自治州</v>
      </c>
    </row>
    <row r="13" spans="1:7" ht="15.75" thickBot="1" x14ac:dyDescent="0.3">
      <c r="A13" t="s">
        <v>1615</v>
      </c>
      <c r="B13" s="1" t="s">
        <v>1616</v>
      </c>
      <c r="C13" s="1" t="s">
        <v>11</v>
      </c>
      <c r="D13" s="1" t="s">
        <v>1596</v>
      </c>
      <c r="E13" s="6">
        <v>63013</v>
      </c>
      <c r="F13" s="1" t="str">
        <f>VLOOKUP(D13,Table17[[Name]:[Native]],3,FALSE)</f>
        <v>泸水市</v>
      </c>
      <c r="G13" s="14" t="str">
        <f ca="1">VLOOKUP(F13,Table17[[Native]:[Population4]],5,FALSE)</f>
        <v>怒江傈僳族自治州</v>
      </c>
    </row>
    <row r="14" spans="1:7" ht="15.75" thickBot="1" x14ac:dyDescent="0.3">
      <c r="A14" t="s">
        <v>1617</v>
      </c>
      <c r="B14" s="1" t="s">
        <v>1618</v>
      </c>
      <c r="C14" s="1" t="s">
        <v>7</v>
      </c>
      <c r="D14" s="1" t="s">
        <v>1608</v>
      </c>
      <c r="E14" s="6">
        <v>13895</v>
      </c>
      <c r="F14" s="1" t="str">
        <f>VLOOKUP(D14,Table17[[Name]:[Native]],3,FALSE)</f>
        <v>福贡县</v>
      </c>
      <c r="G14" s="14" t="str">
        <f ca="1">VLOOKUP(F14,Table17[[Native]:[Population4]],5,FALSE)</f>
        <v>怒江傈僳族自治州</v>
      </c>
    </row>
    <row r="15" spans="1:7" ht="15.75" thickBot="1" x14ac:dyDescent="0.3">
      <c r="A15" t="s">
        <v>1619</v>
      </c>
      <c r="B15" s="1" t="s">
        <v>1620</v>
      </c>
      <c r="C15" s="1" t="s">
        <v>7</v>
      </c>
      <c r="D15" s="1" t="s">
        <v>1596</v>
      </c>
      <c r="E15" s="6">
        <v>13629</v>
      </c>
      <c r="F15" s="1" t="str">
        <f>VLOOKUP(D15,Table17[[Name]:[Native]],3,FALSE)</f>
        <v>泸水市</v>
      </c>
      <c r="G15" s="14" t="str">
        <f ca="1">VLOOKUP(F15,Table17[[Native]:[Population4]],5,FALSE)</f>
        <v>怒江傈僳族自治州</v>
      </c>
    </row>
    <row r="16" spans="1:7" ht="15.75" thickBot="1" x14ac:dyDescent="0.3">
      <c r="A16" t="s">
        <v>1621</v>
      </c>
      <c r="B16" s="1" t="s">
        <v>1622</v>
      </c>
      <c r="C16" s="1" t="s">
        <v>11</v>
      </c>
      <c r="D16" s="1" t="s">
        <v>1596</v>
      </c>
      <c r="E16" s="6">
        <v>12375</v>
      </c>
      <c r="F16" s="1" t="str">
        <f>VLOOKUP(D16,Table17[[Name]:[Native]],3,FALSE)</f>
        <v>泸水市</v>
      </c>
      <c r="G16" s="14" t="str">
        <f ca="1">VLOOKUP(F16,Table17[[Native]:[Population4]],5,FALSE)</f>
        <v>怒江傈僳族自治州</v>
      </c>
    </row>
    <row r="17" spans="1:7" ht="15.75" thickBot="1" x14ac:dyDescent="0.3">
      <c r="A17" t="s">
        <v>1623</v>
      </c>
      <c r="B17" s="1" t="s">
        <v>1624</v>
      </c>
      <c r="C17" s="1" t="s">
        <v>7</v>
      </c>
      <c r="D17" s="1" t="s">
        <v>1608</v>
      </c>
      <c r="E17" s="6">
        <v>8698</v>
      </c>
      <c r="F17" s="1" t="str">
        <f>VLOOKUP(D17,Table17[[Name]:[Native]],3,FALSE)</f>
        <v>福贡县</v>
      </c>
      <c r="G17" s="14" t="str">
        <f ca="1">VLOOKUP(F17,Table17[[Native]:[Population4]],5,FALSE)</f>
        <v>怒江傈僳族自治州</v>
      </c>
    </row>
    <row r="18" spans="1:7" ht="15.75" thickBot="1" x14ac:dyDescent="0.3">
      <c r="A18" t="s">
        <v>1625</v>
      </c>
      <c r="B18" s="1" t="s">
        <v>1626</v>
      </c>
      <c r="C18" s="1" t="s">
        <v>7</v>
      </c>
      <c r="D18" s="1" t="s">
        <v>1593</v>
      </c>
      <c r="E18" s="6">
        <v>6085</v>
      </c>
      <c r="F18" s="1" t="str">
        <f>VLOOKUP(D18,Table17[[Name]:[Native]],3,FALSE)</f>
        <v>贡山独龙族怒族自治县</v>
      </c>
      <c r="G18" s="14" t="str">
        <f ca="1">VLOOKUP(F18,Table17[[Native]:[Population4]],5,FALSE)</f>
        <v>怒江傈僳族自治州</v>
      </c>
    </row>
    <row r="19" spans="1:7" ht="15.75" thickBot="1" x14ac:dyDescent="0.3">
      <c r="A19" t="s">
        <v>1627</v>
      </c>
      <c r="B19" s="1" t="s">
        <v>1628</v>
      </c>
      <c r="C19" s="1" t="s">
        <v>11</v>
      </c>
      <c r="D19" s="1" t="s">
        <v>1596</v>
      </c>
      <c r="E19" s="6">
        <v>3246</v>
      </c>
      <c r="F19" s="1" t="str">
        <f>VLOOKUP(D19,Table17[[Name]:[Native]],3,FALSE)</f>
        <v>泸水市</v>
      </c>
      <c r="G19" s="14" t="str">
        <f ca="1">VLOOKUP(F19,Table17[[Native]:[Population4]],5,FALSE)</f>
        <v>怒江傈僳族自治州</v>
      </c>
    </row>
    <row r="20" spans="1:7" ht="15.75" thickBot="1" x14ac:dyDescent="0.3">
      <c r="A20" t="s">
        <v>1629</v>
      </c>
      <c r="B20" s="1" t="s">
        <v>1630</v>
      </c>
      <c r="C20" s="1" t="s">
        <v>7</v>
      </c>
      <c r="D20" s="1" t="s">
        <v>1608</v>
      </c>
      <c r="E20" s="6">
        <v>10434</v>
      </c>
      <c r="F20" s="1" t="str">
        <f>VLOOKUP(D20,Table17[[Name]:[Native]],3,FALSE)</f>
        <v>福贡县</v>
      </c>
      <c r="G20" s="14" t="str">
        <f ca="1">VLOOKUP(F20,Table17[[Native]:[Population4]],5,FALSE)</f>
        <v>怒江傈僳族自治州</v>
      </c>
    </row>
    <row r="21" spans="1:7" ht="15.75" thickBot="1" x14ac:dyDescent="0.3">
      <c r="A21" t="s">
        <v>1631</v>
      </c>
      <c r="B21" s="1" t="s">
        <v>1632</v>
      </c>
      <c r="C21" s="1" t="s">
        <v>7</v>
      </c>
      <c r="D21" s="1" t="s">
        <v>1593</v>
      </c>
      <c r="E21" s="6">
        <v>6627</v>
      </c>
      <c r="F21" s="1" t="str">
        <f>VLOOKUP(D21,Table17[[Name]:[Native]],3,FALSE)</f>
        <v>贡山独龙族怒族自治县</v>
      </c>
      <c r="G21" s="14" t="str">
        <f ca="1">VLOOKUP(F21,Table17[[Native]:[Population4]],5,FALSE)</f>
        <v>怒江傈僳族自治州</v>
      </c>
    </row>
    <row r="22" spans="1:7" ht="15.75" thickBot="1" x14ac:dyDescent="0.3">
      <c r="A22" t="s">
        <v>1633</v>
      </c>
      <c r="B22" s="1" t="s">
        <v>1634</v>
      </c>
      <c r="C22" s="1" t="s">
        <v>11</v>
      </c>
      <c r="D22" s="1" t="s">
        <v>1596</v>
      </c>
      <c r="E22" s="6">
        <v>27525</v>
      </c>
      <c r="F22" s="1" t="str">
        <f>VLOOKUP(D22,Table17[[Name]:[Native]],3,FALSE)</f>
        <v>泸水市</v>
      </c>
      <c r="G22" s="14" t="str">
        <f ca="1">VLOOKUP(F22,Table17[[Native]:[Population4]],5,FALSE)</f>
        <v>怒江傈僳族自治州</v>
      </c>
    </row>
    <row r="23" spans="1:7" ht="15.75" thickBot="1" x14ac:dyDescent="0.3">
      <c r="A23" t="s">
        <v>1635</v>
      </c>
      <c r="B23" s="1" t="s">
        <v>1636</v>
      </c>
      <c r="C23" s="1" t="s">
        <v>11</v>
      </c>
      <c r="D23" s="1" t="s">
        <v>1608</v>
      </c>
      <c r="E23" s="6">
        <v>30129</v>
      </c>
      <c r="F23" s="1" t="str">
        <f>VLOOKUP(D23,Table17[[Name]:[Native]],3,FALSE)</f>
        <v>福贡县</v>
      </c>
      <c r="G23" s="14" t="str">
        <f ca="1">VLOOKUP(F23,Table17[[Native]:[Population4]],5,FALSE)</f>
        <v>怒江傈僳族自治州</v>
      </c>
    </row>
    <row r="24" spans="1:7" ht="15.75" thickBot="1" x14ac:dyDescent="0.3">
      <c r="A24" t="s">
        <v>1637</v>
      </c>
      <c r="B24" s="1" t="s">
        <v>1638</v>
      </c>
      <c r="C24" s="1" t="s">
        <v>7</v>
      </c>
      <c r="D24" s="1" t="s">
        <v>1605</v>
      </c>
      <c r="E24" s="6">
        <v>26148</v>
      </c>
      <c r="F24" s="1" t="str">
        <f>VLOOKUP(D24,Table17[[Name]:[Native]],3,FALSE)</f>
        <v>兰坪白族普米族自治县</v>
      </c>
      <c r="G24" s="14" t="str">
        <f ca="1">VLOOKUP(F24,Table17[[Native]:[Population4]],5,FALSE)</f>
        <v>怒江傈僳族自治州</v>
      </c>
    </row>
    <row r="25" spans="1:7" ht="15.75" thickBot="1" x14ac:dyDescent="0.3">
      <c r="A25" t="s">
        <v>1639</v>
      </c>
      <c r="B25" s="1" t="s">
        <v>1640</v>
      </c>
      <c r="C25" s="1" t="s">
        <v>7</v>
      </c>
      <c r="D25" s="1" t="s">
        <v>1608</v>
      </c>
      <c r="E25" s="6">
        <v>11533</v>
      </c>
      <c r="F25" s="1" t="str">
        <f>VLOOKUP(D25,Table17[[Name]:[Native]],3,FALSE)</f>
        <v>福贡县</v>
      </c>
      <c r="G25" s="14" t="str">
        <f ca="1">VLOOKUP(F25,Table17[[Native]:[Population4]],5,FALSE)</f>
        <v>怒江傈僳族自治州</v>
      </c>
    </row>
    <row r="26" spans="1:7" ht="15.75" thickBot="1" x14ac:dyDescent="0.3">
      <c r="A26" t="s">
        <v>1641</v>
      </c>
      <c r="B26" s="1" t="s">
        <v>1642</v>
      </c>
      <c r="C26" s="1" t="s">
        <v>11</v>
      </c>
      <c r="D26" s="1" t="s">
        <v>1605</v>
      </c>
      <c r="E26" s="6">
        <v>23916</v>
      </c>
      <c r="F26" s="1" t="str">
        <f>VLOOKUP(D26,Table17[[Name]:[Native]],3,FALSE)</f>
        <v>兰坪白族普米族自治县</v>
      </c>
      <c r="G26" s="14" t="str">
        <f ca="1">VLOOKUP(F26,Table17[[Native]:[Population4]],5,FALSE)</f>
        <v>怒江傈僳族自治州</v>
      </c>
    </row>
    <row r="27" spans="1:7" ht="15.75" thickBot="1" x14ac:dyDescent="0.3">
      <c r="A27" t="s">
        <v>1643</v>
      </c>
      <c r="B27" s="1" t="s">
        <v>1644</v>
      </c>
      <c r="C27" s="1" t="s">
        <v>7</v>
      </c>
      <c r="D27" s="1" t="s">
        <v>1605</v>
      </c>
      <c r="E27" s="6">
        <v>17977</v>
      </c>
      <c r="F27" s="1" t="str">
        <f>VLOOKUP(D27,Table17[[Name]:[Native]],3,FALSE)</f>
        <v>兰坪白族普米族自治县</v>
      </c>
      <c r="G27" s="14" t="str">
        <f ca="1">VLOOKUP(F27,Table17[[Native]:[Population4]],5,FALSE)</f>
        <v>怒江傈僳族自治州</v>
      </c>
    </row>
    <row r="28" spans="1:7" ht="15.75" thickBot="1" x14ac:dyDescent="0.3">
      <c r="A28" t="s">
        <v>1583</v>
      </c>
      <c r="B28" s="1" t="s">
        <v>1584</v>
      </c>
      <c r="C28" s="1" t="s">
        <v>11</v>
      </c>
      <c r="D28" s="1" t="s">
        <v>1605</v>
      </c>
      <c r="E28" s="6">
        <v>37406</v>
      </c>
      <c r="F28" s="1" t="str">
        <f>VLOOKUP(D28,Table17[[Name]:[Native]],3,FALSE)</f>
        <v>兰坪白族普米族自治县</v>
      </c>
      <c r="G28" s="14" t="str">
        <f ca="1">VLOOKUP(F28,Table17[[Native]:[Population4]],5,FALSE)</f>
        <v>怒江傈僳族自治州</v>
      </c>
    </row>
    <row r="29" spans="1:7" ht="15.75" thickBot="1" x14ac:dyDescent="0.3">
      <c r="A29" t="s">
        <v>1645</v>
      </c>
      <c r="B29" s="1" t="s">
        <v>1646</v>
      </c>
      <c r="C29" s="1" t="s">
        <v>7</v>
      </c>
      <c r="D29" s="1" t="s">
        <v>1605</v>
      </c>
      <c r="E29" s="6">
        <v>22988</v>
      </c>
      <c r="F29" s="1" t="str">
        <f>VLOOKUP(D29,Table17[[Name]:[Native]],3,FALSE)</f>
        <v>兰坪白族普米族自治县</v>
      </c>
      <c r="G29" s="14" t="str">
        <f ca="1">VLOOKUP(F29,Table17[[Native]:[Population4]],5,FALSE)</f>
        <v>怒江傈僳族自治州</v>
      </c>
    </row>
    <row r="30" spans="1:7" ht="15.75" thickBot="1" x14ac:dyDescent="0.3">
      <c r="A30" t="s">
        <v>1647</v>
      </c>
      <c r="B30" s="1" t="s">
        <v>1648</v>
      </c>
      <c r="C30" s="1" t="s">
        <v>7</v>
      </c>
      <c r="D30" s="1" t="s">
        <v>1608</v>
      </c>
      <c r="E30" s="6">
        <v>10513</v>
      </c>
      <c r="F30" s="10" t="str">
        <f>VLOOKUP(D30,Table17[[Name]:[Native]],3,FALSE)</f>
        <v>福贡县</v>
      </c>
      <c r="G30" s="14" t="str">
        <f ca="1">VLOOKUP(F30,Table17[[Native]:[Population4]],5,FALSE)</f>
        <v>怒江傈僳族自治州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2B201-1C27-4219-B83E-9B6C22EC0791}">
  <dimension ref="A1:G117"/>
  <sheetViews>
    <sheetView topLeftCell="A92" workbookViewId="0">
      <selection activeCell="G2" sqref="A2:G117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2917</v>
      </c>
      <c r="G1" t="s">
        <v>2919</v>
      </c>
    </row>
    <row r="2" spans="1:7" ht="15.75" thickBot="1" x14ac:dyDescent="0.3">
      <c r="A2" t="s">
        <v>1853</v>
      </c>
      <c r="B2" s="1" t="s">
        <v>1854</v>
      </c>
      <c r="C2" s="1" t="s">
        <v>7</v>
      </c>
      <c r="D2" s="1" t="s">
        <v>1855</v>
      </c>
      <c r="E2" s="6">
        <v>29730</v>
      </c>
      <c r="F2" s="9" t="str">
        <f>VLOOKUP(D2,Table17[[Name]:[Native]],3,FALSE)</f>
        <v>宣威市</v>
      </c>
      <c r="G2" s="14" t="str">
        <f ca="1">VLOOKUP(F2,Table17[[Native]:[Population4]],5,FALSE)</f>
        <v>曲靖市</v>
      </c>
    </row>
    <row r="3" spans="1:7" ht="15.75" thickBot="1" x14ac:dyDescent="0.3">
      <c r="A3" t="s">
        <v>1856</v>
      </c>
      <c r="B3" s="1" t="s">
        <v>1857</v>
      </c>
      <c r="C3" s="1" t="s">
        <v>11</v>
      </c>
      <c r="D3" s="1" t="s">
        <v>1858</v>
      </c>
      <c r="E3" s="6">
        <v>70288</v>
      </c>
      <c r="F3" s="1" t="str">
        <f>VLOOKUP(D3,Table17[[Name]:[Native]],3,FALSE)</f>
        <v>罗平县</v>
      </c>
      <c r="G3" s="14" t="str">
        <f ca="1">VLOOKUP(F3,Table17[[Native]:[Population4]],5,FALSE)</f>
        <v>曲靖市</v>
      </c>
    </row>
    <row r="4" spans="1:7" ht="15.75" thickBot="1" x14ac:dyDescent="0.3">
      <c r="A4" t="s">
        <v>1859</v>
      </c>
      <c r="B4" s="1" t="s">
        <v>1860</v>
      </c>
      <c r="C4" s="1" t="s">
        <v>42</v>
      </c>
      <c r="D4" s="1" t="s">
        <v>1861</v>
      </c>
      <c r="E4" s="6">
        <v>91952</v>
      </c>
      <c r="F4" s="1" t="str">
        <f>VLOOKUP(D4,Table17[[Name]:[Native]],3,FALSE)</f>
        <v>麒麟区</v>
      </c>
      <c r="G4" s="14" t="str">
        <f ca="1">VLOOKUP(F4,Table17[[Native]:[Population4]],5,FALSE)</f>
        <v>曲靖市</v>
      </c>
    </row>
    <row r="5" spans="1:7" ht="15.75" thickBot="1" x14ac:dyDescent="0.3">
      <c r="A5" t="s">
        <v>777</v>
      </c>
      <c r="B5" s="1" t="s">
        <v>778</v>
      </c>
      <c r="C5" s="1" t="s">
        <v>11</v>
      </c>
      <c r="D5" s="1" t="s">
        <v>1862</v>
      </c>
      <c r="E5" s="6">
        <v>38740</v>
      </c>
      <c r="F5" s="1" t="str">
        <f>VLOOKUP(D5,Table17[[Name]:[Native]],3,FALSE)</f>
        <v>沾益区</v>
      </c>
      <c r="G5" s="14" t="str">
        <f ca="1">VLOOKUP(F5,Table17[[Native]:[Population4]],5,FALSE)</f>
        <v>曲靖市</v>
      </c>
    </row>
    <row r="6" spans="1:7" ht="15.75" thickBot="1" x14ac:dyDescent="0.3">
      <c r="A6" t="s">
        <v>1045</v>
      </c>
      <c r="B6" s="1" t="s">
        <v>1046</v>
      </c>
      <c r="C6" s="1" t="s">
        <v>42</v>
      </c>
      <c r="D6" s="1" t="s">
        <v>1855</v>
      </c>
      <c r="E6" s="6">
        <v>63947</v>
      </c>
      <c r="F6" s="1" t="str">
        <f>VLOOKUP(D6,Table17[[Name]:[Native]],3,FALSE)</f>
        <v>宣威市</v>
      </c>
      <c r="G6" s="14" t="str">
        <f ca="1">VLOOKUP(F6,Table17[[Native]:[Population4]],5,FALSE)</f>
        <v>曲靖市</v>
      </c>
    </row>
    <row r="7" spans="1:7" ht="15.75" thickBot="1" x14ac:dyDescent="0.3">
      <c r="A7" t="s">
        <v>9</v>
      </c>
      <c r="B7" s="1" t="s">
        <v>10</v>
      </c>
      <c r="C7" s="1" t="s">
        <v>11</v>
      </c>
      <c r="D7" s="1" t="s">
        <v>1863</v>
      </c>
      <c r="E7" s="6">
        <v>86975</v>
      </c>
      <c r="F7" s="1" t="str">
        <f>VLOOKUP(D7,Table17[[Name]:[Native]],3,FALSE)</f>
        <v>陆良县</v>
      </c>
      <c r="G7" s="14" t="str">
        <f ca="1">VLOOKUP(F7,Table17[[Native]:[Population4]],5,FALSE)</f>
        <v>曲靖市</v>
      </c>
    </row>
    <row r="8" spans="1:7" ht="15.75" thickBot="1" x14ac:dyDescent="0.3">
      <c r="A8" t="s">
        <v>9</v>
      </c>
      <c r="B8" s="1" t="s">
        <v>10</v>
      </c>
      <c r="C8" s="1" t="s">
        <v>11</v>
      </c>
      <c r="D8" s="1" t="s">
        <v>1858</v>
      </c>
      <c r="E8" s="6">
        <v>43825</v>
      </c>
      <c r="F8" s="1" t="str">
        <f>VLOOKUP(D8,Table17[[Name]:[Native]],3,FALSE)</f>
        <v>罗平县</v>
      </c>
      <c r="G8" s="14" t="str">
        <f ca="1">VLOOKUP(F8,Table17[[Native]:[Population4]],5,FALSE)</f>
        <v>曲靖市</v>
      </c>
    </row>
    <row r="9" spans="1:7" ht="15.75" thickBot="1" x14ac:dyDescent="0.3">
      <c r="A9" t="s">
        <v>1864</v>
      </c>
      <c r="B9" s="1" t="s">
        <v>1865</v>
      </c>
      <c r="C9" s="1" t="s">
        <v>11</v>
      </c>
      <c r="D9" s="1" t="s">
        <v>1855</v>
      </c>
      <c r="E9" s="6">
        <v>55388</v>
      </c>
      <c r="F9" s="1" t="str">
        <f>VLOOKUP(D9,Table17[[Name]:[Native]],3,FALSE)</f>
        <v>宣威市</v>
      </c>
      <c r="G9" s="14" t="str">
        <f ca="1">VLOOKUP(F9,Table17[[Native]:[Population4]],5,FALSE)</f>
        <v>曲靖市</v>
      </c>
    </row>
    <row r="10" spans="1:7" ht="15.75" thickBot="1" x14ac:dyDescent="0.3">
      <c r="A10" t="s">
        <v>1866</v>
      </c>
      <c r="B10" s="1" t="s">
        <v>1867</v>
      </c>
      <c r="C10" s="1" t="s">
        <v>7</v>
      </c>
      <c r="D10" s="1" t="s">
        <v>1862</v>
      </c>
      <c r="E10" s="6">
        <v>36268</v>
      </c>
      <c r="F10" s="1" t="str">
        <f>VLOOKUP(D10,Table17[[Name]:[Native]],3,FALSE)</f>
        <v>沾益区</v>
      </c>
      <c r="G10" s="14" t="str">
        <f ca="1">VLOOKUP(F10,Table17[[Native]:[Population4]],5,FALSE)</f>
        <v>曲靖市</v>
      </c>
    </row>
    <row r="11" spans="1:7" ht="15.75" thickBot="1" x14ac:dyDescent="0.3">
      <c r="A11" t="s">
        <v>174</v>
      </c>
      <c r="B11" s="1" t="s">
        <v>175</v>
      </c>
      <c r="C11" s="1" t="s">
        <v>11</v>
      </c>
      <c r="D11" s="1" t="s">
        <v>1868</v>
      </c>
      <c r="E11" s="6">
        <v>39191</v>
      </c>
      <c r="F11" s="1" t="str">
        <f>VLOOKUP(D11,Table17[[Name]:[Native]],3,FALSE)</f>
        <v>师宗县</v>
      </c>
      <c r="G11" s="14" t="str">
        <f ca="1">VLOOKUP(F11,Table17[[Native]:[Population4]],5,FALSE)</f>
        <v>曲靖市</v>
      </c>
    </row>
    <row r="12" spans="1:7" ht="15.75" thickBot="1" x14ac:dyDescent="0.3">
      <c r="A12" t="s">
        <v>1869</v>
      </c>
      <c r="B12" s="1" t="s">
        <v>1870</v>
      </c>
      <c r="C12" s="1" t="s">
        <v>7</v>
      </c>
      <c r="D12" s="1" t="s">
        <v>1858</v>
      </c>
      <c r="E12" s="6">
        <v>13164</v>
      </c>
      <c r="F12" s="1" t="str">
        <f>VLOOKUP(D12,Table17[[Name]:[Native]],3,FALSE)</f>
        <v>罗平县</v>
      </c>
      <c r="G12" s="14" t="str">
        <f ca="1">VLOOKUP(F12,Table17[[Native]:[Population4]],5,FALSE)</f>
        <v>曲靖市</v>
      </c>
    </row>
    <row r="13" spans="1:7" ht="15.75" thickBot="1" x14ac:dyDescent="0.3">
      <c r="A13" t="s">
        <v>1871</v>
      </c>
      <c r="B13" s="1" t="s">
        <v>1872</v>
      </c>
      <c r="C13" s="1" t="s">
        <v>11</v>
      </c>
      <c r="D13" s="1" t="s">
        <v>1861</v>
      </c>
      <c r="E13" s="6">
        <v>29060</v>
      </c>
      <c r="F13" s="1" t="str">
        <f>VLOOKUP(D13,Table17[[Name]:[Native]],3,FALSE)</f>
        <v>麒麟区</v>
      </c>
      <c r="G13" s="14" t="str">
        <f ca="1">VLOOKUP(F13,Table17[[Native]:[Population4]],5,FALSE)</f>
        <v>曲靖市</v>
      </c>
    </row>
    <row r="14" spans="1:7" ht="15.75" thickBot="1" x14ac:dyDescent="0.3">
      <c r="A14" t="s">
        <v>1873</v>
      </c>
      <c r="B14" s="1" t="s">
        <v>1874</v>
      </c>
      <c r="C14" s="1" t="s">
        <v>7</v>
      </c>
      <c r="D14" s="1" t="s">
        <v>1875</v>
      </c>
      <c r="E14" s="6">
        <v>24106</v>
      </c>
      <c r="F14" s="1" t="str">
        <f>VLOOKUP(D14,Table17[[Name]:[Native]],3,FALSE)</f>
        <v>会泽县</v>
      </c>
      <c r="G14" s="14" t="str">
        <f ca="1">VLOOKUP(F14,Table17[[Native]:[Population4]],5,FALSE)</f>
        <v>曲靖市</v>
      </c>
    </row>
    <row r="15" spans="1:7" ht="15.75" thickBot="1" x14ac:dyDescent="0.3">
      <c r="A15" t="s">
        <v>1876</v>
      </c>
      <c r="B15" s="1" t="s">
        <v>1877</v>
      </c>
      <c r="C15" s="1" t="s">
        <v>11</v>
      </c>
      <c r="D15" s="1" t="s">
        <v>1878</v>
      </c>
      <c r="E15" s="6">
        <v>77198</v>
      </c>
      <c r="F15" s="1" t="str">
        <f>VLOOKUP(D15,Table17[[Name]:[Native]],3,FALSE)</f>
        <v>富源县</v>
      </c>
      <c r="G15" s="14" t="str">
        <f ca="1">VLOOKUP(F15,Table17[[Native]:[Population4]],5,FALSE)</f>
        <v>曲靖市</v>
      </c>
    </row>
    <row r="16" spans="1:7" ht="15.75" thickBot="1" x14ac:dyDescent="0.3">
      <c r="A16" t="s">
        <v>1879</v>
      </c>
      <c r="B16" s="1" t="s">
        <v>1880</v>
      </c>
      <c r="C16" s="1" t="s">
        <v>11</v>
      </c>
      <c r="D16" s="1" t="s">
        <v>1875</v>
      </c>
      <c r="E16" s="6">
        <v>40779</v>
      </c>
      <c r="F16" s="1" t="str">
        <f>VLOOKUP(D16,Table17[[Name]:[Native]],3,FALSE)</f>
        <v>会泽县</v>
      </c>
      <c r="G16" s="14" t="str">
        <f ca="1">VLOOKUP(F16,Table17[[Native]:[Population4]],5,FALSE)</f>
        <v>曲靖市</v>
      </c>
    </row>
    <row r="17" spans="1:7" ht="15.75" thickBot="1" x14ac:dyDescent="0.3">
      <c r="A17" t="s">
        <v>1881</v>
      </c>
      <c r="B17" s="1" t="s">
        <v>1882</v>
      </c>
      <c r="C17" s="1" t="s">
        <v>11</v>
      </c>
      <c r="D17" s="1" t="s">
        <v>1875</v>
      </c>
      <c r="E17" s="6">
        <v>38243</v>
      </c>
      <c r="F17" s="1" t="str">
        <f>VLOOKUP(D17,Table17[[Name]:[Native]],3,FALSE)</f>
        <v>会泽县</v>
      </c>
      <c r="G17" s="14" t="str">
        <f ca="1">VLOOKUP(F17,Table17[[Native]:[Population4]],5,FALSE)</f>
        <v>曲靖市</v>
      </c>
    </row>
    <row r="18" spans="1:7" ht="15.75" thickBot="1" x14ac:dyDescent="0.3">
      <c r="A18" t="s">
        <v>1883</v>
      </c>
      <c r="B18" s="1" t="s">
        <v>1884</v>
      </c>
      <c r="C18" s="1" t="s">
        <v>11</v>
      </c>
      <c r="D18" s="1" t="s">
        <v>1863</v>
      </c>
      <c r="E18" s="6">
        <v>45807</v>
      </c>
      <c r="F18" s="1" t="str">
        <f>VLOOKUP(D18,Table17[[Name]:[Native]],3,FALSE)</f>
        <v>陆良县</v>
      </c>
      <c r="G18" s="14" t="str">
        <f ca="1">VLOOKUP(F18,Table17[[Native]:[Population4]],5,FALSE)</f>
        <v>曲靖市</v>
      </c>
    </row>
    <row r="19" spans="1:7" ht="15.75" thickBot="1" x14ac:dyDescent="0.3">
      <c r="A19" t="s">
        <v>1885</v>
      </c>
      <c r="B19" s="1" t="s">
        <v>1886</v>
      </c>
      <c r="C19" s="1" t="s">
        <v>11</v>
      </c>
      <c r="D19" s="1" t="s">
        <v>1868</v>
      </c>
      <c r="E19" s="6">
        <v>118696</v>
      </c>
      <c r="F19" s="1" t="str">
        <f>VLOOKUP(D19,Table17[[Name]:[Native]],3,FALSE)</f>
        <v>师宗县</v>
      </c>
      <c r="G19" s="14" t="str">
        <f ca="1">VLOOKUP(F19,Table17[[Native]:[Population4]],5,FALSE)</f>
        <v>曲靖市</v>
      </c>
    </row>
    <row r="20" spans="1:7" ht="15.75" thickBot="1" x14ac:dyDescent="0.3">
      <c r="A20" t="s">
        <v>1887</v>
      </c>
      <c r="B20" s="1" t="s">
        <v>1888</v>
      </c>
      <c r="C20" s="1" t="s">
        <v>7</v>
      </c>
      <c r="D20" s="1" t="s">
        <v>1862</v>
      </c>
      <c r="E20" s="6">
        <v>46737</v>
      </c>
      <c r="F20" s="1" t="str">
        <f>VLOOKUP(D20,Table17[[Name]:[Native]],3,FALSE)</f>
        <v>沾益区</v>
      </c>
      <c r="G20" s="14" t="str">
        <f ca="1">VLOOKUP(F20,Table17[[Native]:[Population4]],5,FALSE)</f>
        <v>曲靖市</v>
      </c>
    </row>
    <row r="21" spans="1:7" ht="15.75" thickBot="1" x14ac:dyDescent="0.3">
      <c r="A21" t="s">
        <v>811</v>
      </c>
      <c r="B21" s="1" t="s">
        <v>812</v>
      </c>
      <c r="C21" s="1" t="s">
        <v>7</v>
      </c>
      <c r="D21" s="1" t="s">
        <v>1875</v>
      </c>
      <c r="E21" s="6">
        <v>30816</v>
      </c>
      <c r="F21" s="1" t="str">
        <f>VLOOKUP(D21,Table17[[Name]:[Native]],3,FALSE)</f>
        <v>会泽县</v>
      </c>
      <c r="G21" s="14" t="str">
        <f ca="1">VLOOKUP(F21,Table17[[Native]:[Population4]],5,FALSE)</f>
        <v>曲靖市</v>
      </c>
    </row>
    <row r="22" spans="1:7" ht="15.75" thickBot="1" x14ac:dyDescent="0.3">
      <c r="A22" t="s">
        <v>1889</v>
      </c>
      <c r="B22" s="1" t="s">
        <v>1890</v>
      </c>
      <c r="C22" s="1" t="s">
        <v>7</v>
      </c>
      <c r="D22" s="1" t="s">
        <v>1858</v>
      </c>
      <c r="E22" s="6">
        <v>21606</v>
      </c>
      <c r="F22" s="1" t="str">
        <f>VLOOKUP(D22,Table17[[Name]:[Native]],3,FALSE)</f>
        <v>罗平县</v>
      </c>
      <c r="G22" s="14" t="str">
        <f ca="1">VLOOKUP(F22,Table17[[Native]:[Population4]],5,FALSE)</f>
        <v>曲靖市</v>
      </c>
    </row>
    <row r="23" spans="1:7" ht="15.75" thickBot="1" x14ac:dyDescent="0.3">
      <c r="A23" t="s">
        <v>1891</v>
      </c>
      <c r="B23" s="1" t="s">
        <v>1892</v>
      </c>
      <c r="C23" s="1" t="s">
        <v>7</v>
      </c>
      <c r="D23" s="1" t="s">
        <v>1893</v>
      </c>
      <c r="E23" s="6">
        <v>12043</v>
      </c>
      <c r="F23" s="1" t="str">
        <f>VLOOKUP(D23,Table17[[Name]:[Native]],3,FALSE)</f>
        <v>马龙区</v>
      </c>
      <c r="G23" s="14" t="str">
        <f ca="1">VLOOKUP(F23,Table17[[Native]:[Population4]],5,FALSE)</f>
        <v>曲靖市</v>
      </c>
    </row>
    <row r="24" spans="1:7" ht="15.75" thickBot="1" x14ac:dyDescent="0.3">
      <c r="A24" t="s">
        <v>1894</v>
      </c>
      <c r="B24" s="1" t="s">
        <v>1895</v>
      </c>
      <c r="C24" s="1" t="s">
        <v>7</v>
      </c>
      <c r="D24" s="1" t="s">
        <v>1855</v>
      </c>
      <c r="E24" s="6">
        <v>32828</v>
      </c>
      <c r="F24" s="1" t="str">
        <f>VLOOKUP(D24,Table17[[Name]:[Native]],3,FALSE)</f>
        <v>宣威市</v>
      </c>
      <c r="G24" s="14" t="str">
        <f ca="1">VLOOKUP(F24,Table17[[Native]:[Population4]],5,FALSE)</f>
        <v>曲靖市</v>
      </c>
    </row>
    <row r="25" spans="1:7" ht="15.75" thickBot="1" x14ac:dyDescent="0.3">
      <c r="A25" t="s">
        <v>1896</v>
      </c>
      <c r="B25" s="1" t="s">
        <v>1897</v>
      </c>
      <c r="C25" s="1" t="s">
        <v>7</v>
      </c>
      <c r="D25" s="1" t="s">
        <v>1862</v>
      </c>
      <c r="E25" s="6">
        <v>17529</v>
      </c>
      <c r="F25" s="1" t="str">
        <f>VLOOKUP(D25,Table17[[Name]:[Native]],3,FALSE)</f>
        <v>沾益区</v>
      </c>
      <c r="G25" s="14" t="str">
        <f ca="1">VLOOKUP(F25,Table17[[Native]:[Population4]],5,FALSE)</f>
        <v>曲靖市</v>
      </c>
    </row>
    <row r="26" spans="1:7" ht="15.75" thickBot="1" x14ac:dyDescent="0.3">
      <c r="A26" t="s">
        <v>829</v>
      </c>
      <c r="B26" s="1" t="s">
        <v>830</v>
      </c>
      <c r="C26" s="1" t="s">
        <v>11</v>
      </c>
      <c r="D26" s="1" t="s">
        <v>1861</v>
      </c>
      <c r="E26" s="6">
        <v>81489</v>
      </c>
      <c r="F26" s="1" t="str">
        <f>VLOOKUP(D26,Table17[[Name]:[Native]],3,FALSE)</f>
        <v>麒麟区</v>
      </c>
      <c r="G26" s="14" t="str">
        <f ca="1">VLOOKUP(F26,Table17[[Native]:[Population4]],5,FALSE)</f>
        <v>曲靖市</v>
      </c>
    </row>
    <row r="27" spans="1:7" ht="15.75" thickBot="1" x14ac:dyDescent="0.3">
      <c r="A27" t="s">
        <v>829</v>
      </c>
      <c r="B27" s="1" t="s">
        <v>830</v>
      </c>
      <c r="C27" s="1" t="s">
        <v>11</v>
      </c>
      <c r="D27" s="1" t="s">
        <v>1855</v>
      </c>
      <c r="E27" s="6">
        <v>47987</v>
      </c>
      <c r="F27" s="1" t="str">
        <f>VLOOKUP(D27,Table17[[Name]:[Native]],3,FALSE)</f>
        <v>宣威市</v>
      </c>
      <c r="G27" s="14" t="str">
        <f ca="1">VLOOKUP(F27,Table17[[Native]:[Population4]],5,FALSE)</f>
        <v>曲靖市</v>
      </c>
    </row>
    <row r="28" spans="1:7" ht="15.75" thickBot="1" x14ac:dyDescent="0.3">
      <c r="A28" t="s">
        <v>1898</v>
      </c>
      <c r="B28" s="1" t="s">
        <v>1899</v>
      </c>
      <c r="C28" s="1" t="s">
        <v>11</v>
      </c>
      <c r="D28" s="1" t="s">
        <v>1863</v>
      </c>
      <c r="E28" s="6">
        <v>35483</v>
      </c>
      <c r="F28" s="1" t="str">
        <f>VLOOKUP(D28,Table17[[Name]:[Native]],3,FALSE)</f>
        <v>陆良县</v>
      </c>
      <c r="G28" s="14" t="str">
        <f ca="1">VLOOKUP(F28,Table17[[Native]:[Population4]],5,FALSE)</f>
        <v>曲靖市</v>
      </c>
    </row>
    <row r="29" spans="1:7" ht="15.75" thickBot="1" x14ac:dyDescent="0.3">
      <c r="A29" t="s">
        <v>1900</v>
      </c>
      <c r="B29" s="1" t="s">
        <v>1901</v>
      </c>
      <c r="C29" s="1" t="s">
        <v>11</v>
      </c>
      <c r="D29" s="1" t="s">
        <v>1878</v>
      </c>
      <c r="E29" s="6">
        <v>88230</v>
      </c>
      <c r="F29" s="1" t="str">
        <f>VLOOKUP(D29,Table17[[Name]:[Native]],3,FALSE)</f>
        <v>富源县</v>
      </c>
      <c r="G29" s="14" t="str">
        <f ca="1">VLOOKUP(F29,Table17[[Native]:[Population4]],5,FALSE)</f>
        <v>曲靖市</v>
      </c>
    </row>
    <row r="30" spans="1:7" ht="15.75" thickBot="1" x14ac:dyDescent="0.3">
      <c r="A30" t="s">
        <v>1902</v>
      </c>
      <c r="B30" s="1" t="s">
        <v>1903</v>
      </c>
      <c r="C30" s="1" t="s">
        <v>11</v>
      </c>
      <c r="D30" s="1" t="s">
        <v>1858</v>
      </c>
      <c r="E30" s="6">
        <v>42001</v>
      </c>
      <c r="F30" s="1" t="str">
        <f>VLOOKUP(D30,Table17[[Name]:[Native]],3,FALSE)</f>
        <v>罗平县</v>
      </c>
      <c r="G30" s="14" t="str">
        <f ca="1">VLOOKUP(F30,Table17[[Native]:[Population4]],5,FALSE)</f>
        <v>曲靖市</v>
      </c>
    </row>
    <row r="31" spans="1:7" ht="15.75" thickBot="1" x14ac:dyDescent="0.3">
      <c r="A31" t="s">
        <v>1904</v>
      </c>
      <c r="B31" s="1" t="s">
        <v>1905</v>
      </c>
      <c r="C31" s="1" t="s">
        <v>7</v>
      </c>
      <c r="D31" s="1" t="s">
        <v>1868</v>
      </c>
      <c r="E31" s="6">
        <v>27119</v>
      </c>
      <c r="F31" s="1" t="str">
        <f>VLOOKUP(D31,Table17[[Name]:[Native]],3,FALSE)</f>
        <v>师宗县</v>
      </c>
      <c r="G31" s="14" t="str">
        <f ca="1">VLOOKUP(F31,Table17[[Native]:[Population4]],5,FALSE)</f>
        <v>曲靖市</v>
      </c>
    </row>
    <row r="32" spans="1:7" ht="15.75" thickBot="1" x14ac:dyDescent="0.3">
      <c r="A32" t="s">
        <v>1906</v>
      </c>
      <c r="B32" s="1" t="s">
        <v>1907</v>
      </c>
      <c r="C32" s="1" t="s">
        <v>11</v>
      </c>
      <c r="D32" s="1" t="s">
        <v>1855</v>
      </c>
      <c r="E32" s="6">
        <v>48124</v>
      </c>
      <c r="F32" s="1" t="str">
        <f>VLOOKUP(D32,Table17[[Name]:[Native]],3,FALSE)</f>
        <v>宣威市</v>
      </c>
      <c r="G32" s="14" t="str">
        <f ca="1">VLOOKUP(F32,Table17[[Native]:[Population4]],5,FALSE)</f>
        <v>曲靖市</v>
      </c>
    </row>
    <row r="33" spans="1:7" ht="15.75" thickBot="1" x14ac:dyDescent="0.3">
      <c r="A33" t="s">
        <v>1908</v>
      </c>
      <c r="B33" s="1" t="s">
        <v>1909</v>
      </c>
      <c r="C33" s="1" t="s">
        <v>7</v>
      </c>
      <c r="D33" s="1" t="s">
        <v>1878</v>
      </c>
      <c r="E33" s="6">
        <v>11619</v>
      </c>
      <c r="F33" s="1" t="str">
        <f>VLOOKUP(D33,Table17[[Name]:[Native]],3,FALSE)</f>
        <v>富源县</v>
      </c>
      <c r="G33" s="14" t="str">
        <f ca="1">VLOOKUP(F33,Table17[[Native]:[Population4]],5,FALSE)</f>
        <v>曲靖市</v>
      </c>
    </row>
    <row r="34" spans="1:7" ht="15.75" thickBot="1" x14ac:dyDescent="0.3">
      <c r="A34" t="s">
        <v>1910</v>
      </c>
      <c r="B34" s="1" t="s">
        <v>1911</v>
      </c>
      <c r="C34" s="1" t="s">
        <v>11</v>
      </c>
      <c r="D34" s="1" t="s">
        <v>1855</v>
      </c>
      <c r="E34" s="6">
        <v>53861</v>
      </c>
      <c r="F34" s="1" t="str">
        <f>VLOOKUP(D34,Table17[[Name]:[Native]],3,FALSE)</f>
        <v>宣威市</v>
      </c>
      <c r="G34" s="14" t="str">
        <f ca="1">VLOOKUP(F34,Table17[[Native]:[Population4]],5,FALSE)</f>
        <v>曲靖市</v>
      </c>
    </row>
    <row r="35" spans="1:7" ht="15.75" thickBot="1" x14ac:dyDescent="0.3">
      <c r="A35" t="s">
        <v>1912</v>
      </c>
      <c r="B35" s="1" t="s">
        <v>1913</v>
      </c>
      <c r="C35" s="1" t="s">
        <v>42</v>
      </c>
      <c r="D35" s="1" t="s">
        <v>1855</v>
      </c>
      <c r="E35" s="6">
        <v>15999</v>
      </c>
      <c r="F35" s="1" t="str">
        <f>VLOOKUP(D35,Table17[[Name]:[Native]],3,FALSE)</f>
        <v>宣威市</v>
      </c>
      <c r="G35" s="14" t="str">
        <f ca="1">VLOOKUP(F35,Table17[[Native]:[Population4]],5,FALSE)</f>
        <v>曲靖市</v>
      </c>
    </row>
    <row r="36" spans="1:7" ht="15.75" thickBot="1" x14ac:dyDescent="0.3">
      <c r="A36" t="s">
        <v>1914</v>
      </c>
      <c r="B36" s="1" t="s">
        <v>1915</v>
      </c>
      <c r="C36" s="1" t="s">
        <v>11</v>
      </c>
      <c r="D36" s="1" t="s">
        <v>1878</v>
      </c>
      <c r="E36" s="6">
        <v>68322</v>
      </c>
      <c r="F36" s="1" t="str">
        <f>VLOOKUP(D36,Table17[[Name]:[Native]],3,FALSE)</f>
        <v>富源县</v>
      </c>
      <c r="G36" s="14" t="str">
        <f ca="1">VLOOKUP(F36,Table17[[Native]:[Population4]],5,FALSE)</f>
        <v>曲靖市</v>
      </c>
    </row>
    <row r="37" spans="1:7" ht="15.75" thickBot="1" x14ac:dyDescent="0.3">
      <c r="A37" t="s">
        <v>1916</v>
      </c>
      <c r="B37" s="1" t="s">
        <v>1917</v>
      </c>
      <c r="C37" s="1" t="s">
        <v>11</v>
      </c>
      <c r="D37" s="1" t="s">
        <v>1878</v>
      </c>
      <c r="E37" s="6">
        <v>56551</v>
      </c>
      <c r="F37" s="1" t="str">
        <f>VLOOKUP(D37,Table17[[Name]:[Native]],3,FALSE)</f>
        <v>富源县</v>
      </c>
      <c r="G37" s="14" t="str">
        <f ca="1">VLOOKUP(F37,Table17[[Native]:[Population4]],5,FALSE)</f>
        <v>曲靖市</v>
      </c>
    </row>
    <row r="38" spans="1:7" ht="15.75" thickBot="1" x14ac:dyDescent="0.3">
      <c r="A38" t="s">
        <v>1918</v>
      </c>
      <c r="B38" s="1" t="s">
        <v>1919</v>
      </c>
      <c r="C38" s="1" t="s">
        <v>7</v>
      </c>
      <c r="D38" s="1" t="s">
        <v>1875</v>
      </c>
      <c r="E38" s="6">
        <v>32223</v>
      </c>
      <c r="F38" s="1" t="str">
        <f>VLOOKUP(D38,Table17[[Name]:[Native]],3,FALSE)</f>
        <v>会泽县</v>
      </c>
      <c r="G38" s="14" t="str">
        <f ca="1">VLOOKUP(F38,Table17[[Native]:[Population4]],5,FALSE)</f>
        <v>曲靖市</v>
      </c>
    </row>
    <row r="39" spans="1:7" ht="15.75" thickBot="1" x14ac:dyDescent="0.3">
      <c r="A39" t="s">
        <v>1920</v>
      </c>
      <c r="B39" s="1" t="s">
        <v>1921</v>
      </c>
      <c r="C39" s="1" t="s">
        <v>7</v>
      </c>
      <c r="D39" s="1" t="s">
        <v>1863</v>
      </c>
      <c r="E39" s="6">
        <v>21867</v>
      </c>
      <c r="F39" s="1" t="str">
        <f>VLOOKUP(D39,Table17[[Name]:[Native]],3,FALSE)</f>
        <v>陆良县</v>
      </c>
      <c r="G39" s="14" t="str">
        <f ca="1">VLOOKUP(F39,Table17[[Native]:[Population4]],5,FALSE)</f>
        <v>曲靖市</v>
      </c>
    </row>
    <row r="40" spans="1:7" ht="15.75" thickBot="1" x14ac:dyDescent="0.3">
      <c r="A40" t="s">
        <v>851</v>
      </c>
      <c r="B40" s="1" t="s">
        <v>1922</v>
      </c>
      <c r="C40" s="1" t="s">
        <v>7</v>
      </c>
      <c r="D40" s="1" t="s">
        <v>1875</v>
      </c>
      <c r="E40" s="6">
        <v>22373</v>
      </c>
      <c r="F40" s="1" t="str">
        <f>VLOOKUP(D40,Table17[[Name]:[Native]],3,FALSE)</f>
        <v>会泽县</v>
      </c>
      <c r="G40" s="14" t="str">
        <f ca="1">VLOOKUP(F40,Table17[[Native]:[Population4]],5,FALSE)</f>
        <v>曲靖市</v>
      </c>
    </row>
    <row r="41" spans="1:7" ht="15.75" thickBot="1" x14ac:dyDescent="0.3">
      <c r="A41" t="s">
        <v>1923</v>
      </c>
      <c r="B41" s="1" t="s">
        <v>1924</v>
      </c>
      <c r="C41" s="1" t="s">
        <v>42</v>
      </c>
      <c r="D41" s="1" t="s">
        <v>1861</v>
      </c>
      <c r="E41" s="6">
        <v>80925</v>
      </c>
      <c r="F41" s="1" t="str">
        <f>VLOOKUP(D41,Table17[[Name]:[Native]],3,FALSE)</f>
        <v>麒麟区</v>
      </c>
      <c r="G41" s="14" t="str">
        <f ca="1">VLOOKUP(F41,Table17[[Native]:[Population4]],5,FALSE)</f>
        <v>曲靖市</v>
      </c>
    </row>
    <row r="42" spans="1:7" ht="15.75" thickBot="1" x14ac:dyDescent="0.3">
      <c r="A42" t="s">
        <v>1925</v>
      </c>
      <c r="B42" s="1" t="s">
        <v>1926</v>
      </c>
      <c r="C42" s="1" t="s">
        <v>11</v>
      </c>
      <c r="D42" s="1" t="s">
        <v>1875</v>
      </c>
      <c r="E42" s="6">
        <v>154328</v>
      </c>
      <c r="F42" s="1" t="str">
        <f>VLOOKUP(D42,Table17[[Name]:[Native]],3,FALSE)</f>
        <v>会泽县</v>
      </c>
      <c r="G42" s="14" t="str">
        <f ca="1">VLOOKUP(F42,Table17[[Native]:[Population4]],5,FALSE)</f>
        <v>曲靖市</v>
      </c>
    </row>
    <row r="43" spans="1:7" ht="15.75" thickBot="1" x14ac:dyDescent="0.3">
      <c r="A43" t="s">
        <v>1927</v>
      </c>
      <c r="B43" s="1" t="s">
        <v>1928</v>
      </c>
      <c r="C43" s="1" t="s">
        <v>42</v>
      </c>
      <c r="D43" s="1" t="s">
        <v>1858</v>
      </c>
      <c r="E43" s="6">
        <v>75615</v>
      </c>
      <c r="F43" s="1" t="str">
        <f>VLOOKUP(D43,Table17[[Name]:[Native]],3,FALSE)</f>
        <v>罗平县</v>
      </c>
      <c r="G43" s="14" t="str">
        <f ca="1">VLOOKUP(F43,Table17[[Native]:[Population4]],5,FALSE)</f>
        <v>曲靖市</v>
      </c>
    </row>
    <row r="44" spans="1:7" ht="15.75" thickBot="1" x14ac:dyDescent="0.3">
      <c r="A44" t="s">
        <v>1929</v>
      </c>
      <c r="B44" s="1" t="s">
        <v>1930</v>
      </c>
      <c r="C44" s="1" t="s">
        <v>7</v>
      </c>
      <c r="D44" s="1" t="s">
        <v>1858</v>
      </c>
      <c r="E44" s="6">
        <v>10530</v>
      </c>
      <c r="F44" s="1" t="str">
        <f>VLOOKUP(D44,Table17[[Name]:[Native]],3,FALSE)</f>
        <v>罗平县</v>
      </c>
      <c r="G44" s="14" t="str">
        <f ca="1">VLOOKUP(F44,Table17[[Native]:[Population4]],5,FALSE)</f>
        <v>曲靖市</v>
      </c>
    </row>
    <row r="45" spans="1:7" ht="15.75" thickBot="1" x14ac:dyDescent="0.3">
      <c r="A45" t="s">
        <v>1931</v>
      </c>
      <c r="B45" s="1" t="s">
        <v>1932</v>
      </c>
      <c r="C45" s="1" t="s">
        <v>42</v>
      </c>
      <c r="D45" s="1" t="s">
        <v>1893</v>
      </c>
      <c r="E45" s="6">
        <v>26219</v>
      </c>
      <c r="F45" s="1" t="str">
        <f>VLOOKUP(D45,Table17[[Name]:[Native]],3,FALSE)</f>
        <v>马龙区</v>
      </c>
      <c r="G45" s="14" t="str">
        <f ca="1">VLOOKUP(F45,Table17[[Native]:[Population4]],5,FALSE)</f>
        <v>曲靖市</v>
      </c>
    </row>
    <row r="46" spans="1:7" ht="15.75" thickBot="1" x14ac:dyDescent="0.3">
      <c r="A46" t="s">
        <v>1933</v>
      </c>
      <c r="B46" s="1" t="s">
        <v>1934</v>
      </c>
      <c r="C46" s="1" t="s">
        <v>11</v>
      </c>
      <c r="D46" s="1" t="s">
        <v>1875</v>
      </c>
      <c r="E46" s="6">
        <v>23559</v>
      </c>
      <c r="F46" s="1" t="str">
        <f>VLOOKUP(D46,Table17[[Name]:[Native]],3,FALSE)</f>
        <v>会泽县</v>
      </c>
      <c r="G46" s="14" t="str">
        <f ca="1">VLOOKUP(F46,Table17[[Native]:[Population4]],5,FALSE)</f>
        <v>曲靖市</v>
      </c>
    </row>
    <row r="47" spans="1:7" ht="15.75" thickBot="1" x14ac:dyDescent="0.3">
      <c r="A47" t="s">
        <v>1935</v>
      </c>
      <c r="B47" s="1" t="s">
        <v>1936</v>
      </c>
      <c r="C47" s="1" t="s">
        <v>11</v>
      </c>
      <c r="D47" s="1" t="s">
        <v>1868</v>
      </c>
      <c r="E47" s="6">
        <v>36632</v>
      </c>
      <c r="F47" s="1" t="str">
        <f>VLOOKUP(D47,Table17[[Name]:[Native]],3,FALSE)</f>
        <v>师宗县</v>
      </c>
      <c r="G47" s="14" t="str">
        <f ca="1">VLOOKUP(F47,Table17[[Native]:[Population4]],5,FALSE)</f>
        <v>曲靖市</v>
      </c>
    </row>
    <row r="48" spans="1:7" ht="15.75" thickBot="1" x14ac:dyDescent="0.3">
      <c r="A48" t="s">
        <v>1937</v>
      </c>
      <c r="B48" s="1" t="s">
        <v>1938</v>
      </c>
      <c r="C48" s="1" t="s">
        <v>42</v>
      </c>
      <c r="D48" s="1" t="s">
        <v>1855</v>
      </c>
      <c r="E48" s="6">
        <v>69055</v>
      </c>
      <c r="F48" s="1" t="str">
        <f>VLOOKUP(D48,Table17[[Name]:[Native]],3,FALSE)</f>
        <v>宣威市</v>
      </c>
      <c r="G48" s="14" t="str">
        <f ca="1">VLOOKUP(F48,Table17[[Native]:[Population4]],5,FALSE)</f>
        <v>曲靖市</v>
      </c>
    </row>
    <row r="49" spans="1:7" ht="15.75" thickBot="1" x14ac:dyDescent="0.3">
      <c r="A49" t="s">
        <v>1939</v>
      </c>
      <c r="B49" s="1" t="s">
        <v>1940</v>
      </c>
      <c r="C49" s="1" t="s">
        <v>7</v>
      </c>
      <c r="D49" s="1" t="s">
        <v>1858</v>
      </c>
      <c r="E49" s="6">
        <v>33885</v>
      </c>
      <c r="F49" s="1" t="str">
        <f>VLOOKUP(D49,Table17[[Name]:[Native]],3,FALSE)</f>
        <v>罗平县</v>
      </c>
      <c r="G49" s="14" t="str">
        <f ca="1">VLOOKUP(F49,Table17[[Native]:[Population4]],5,FALSE)</f>
        <v>曲靖市</v>
      </c>
    </row>
    <row r="50" spans="1:7" ht="15.75" thickBot="1" x14ac:dyDescent="0.3">
      <c r="A50" t="s">
        <v>1939</v>
      </c>
      <c r="B50" s="1" t="s">
        <v>1940</v>
      </c>
      <c r="C50" s="1" t="s">
        <v>7</v>
      </c>
      <c r="D50" s="1" t="s">
        <v>1875</v>
      </c>
      <c r="E50" s="6">
        <v>19925</v>
      </c>
      <c r="F50" s="1" t="str">
        <f>VLOOKUP(D50,Table17[[Name]:[Native]],3,FALSE)</f>
        <v>会泽县</v>
      </c>
      <c r="G50" s="14" t="str">
        <f ca="1">VLOOKUP(F50,Table17[[Native]:[Population4]],5,FALSE)</f>
        <v>曲靖市</v>
      </c>
    </row>
    <row r="51" spans="1:7" ht="15.75" thickBot="1" x14ac:dyDescent="0.3">
      <c r="A51" t="s">
        <v>869</v>
      </c>
      <c r="B51" s="1" t="s">
        <v>870</v>
      </c>
      <c r="C51" s="1" t="s">
        <v>11</v>
      </c>
      <c r="D51" s="1" t="s">
        <v>1878</v>
      </c>
      <c r="E51" s="6">
        <v>48533</v>
      </c>
      <c r="F51" s="1" t="str">
        <f>VLOOKUP(D51,Table17[[Name]:[Native]],3,FALSE)</f>
        <v>富源县</v>
      </c>
      <c r="G51" s="14" t="str">
        <f ca="1">VLOOKUP(F51,Table17[[Native]:[Population4]],5,FALSE)</f>
        <v>曲靖市</v>
      </c>
    </row>
    <row r="52" spans="1:7" ht="15.75" thickBot="1" x14ac:dyDescent="0.3">
      <c r="A52" t="s">
        <v>1941</v>
      </c>
      <c r="B52" s="1" t="s">
        <v>1942</v>
      </c>
      <c r="C52" s="1" t="s">
        <v>7</v>
      </c>
      <c r="D52" s="1" t="s">
        <v>1855</v>
      </c>
      <c r="E52" s="6">
        <v>47421</v>
      </c>
      <c r="F52" s="1" t="str">
        <f>VLOOKUP(D52,Table17[[Name]:[Native]],3,FALSE)</f>
        <v>宣威市</v>
      </c>
      <c r="G52" s="14" t="str">
        <f ca="1">VLOOKUP(F52,Table17[[Native]:[Population4]],5,FALSE)</f>
        <v>曲靖市</v>
      </c>
    </row>
    <row r="53" spans="1:7" ht="15.75" thickBot="1" x14ac:dyDescent="0.3">
      <c r="A53" t="s">
        <v>1943</v>
      </c>
      <c r="B53" s="1" t="s">
        <v>1944</v>
      </c>
      <c r="C53" s="1" t="s">
        <v>11</v>
      </c>
      <c r="D53" s="1" t="s">
        <v>1875</v>
      </c>
      <c r="E53" s="6">
        <v>70209</v>
      </c>
      <c r="F53" s="1" t="str">
        <f>VLOOKUP(D53,Table17[[Name]:[Native]],3,FALSE)</f>
        <v>会泽县</v>
      </c>
      <c r="G53" s="14" t="str">
        <f ca="1">VLOOKUP(F53,Table17[[Native]:[Population4]],5,FALSE)</f>
        <v>曲靖市</v>
      </c>
    </row>
    <row r="54" spans="1:7" ht="15.75" thickBot="1" x14ac:dyDescent="0.3">
      <c r="A54" t="s">
        <v>1945</v>
      </c>
      <c r="B54" s="1" t="s">
        <v>1946</v>
      </c>
      <c r="C54" s="1" t="s">
        <v>42</v>
      </c>
      <c r="D54" s="1" t="s">
        <v>1861</v>
      </c>
      <c r="E54" s="6">
        <v>102639</v>
      </c>
      <c r="F54" s="1" t="str">
        <f>VLOOKUP(D54,Table17[[Name]:[Native]],3,FALSE)</f>
        <v>麒麟区</v>
      </c>
      <c r="G54" s="14" t="str">
        <f ca="1">VLOOKUP(F54,Table17[[Native]:[Population4]],5,FALSE)</f>
        <v>曲靖市</v>
      </c>
    </row>
    <row r="55" spans="1:7" ht="15.75" thickBot="1" x14ac:dyDescent="0.3">
      <c r="A55" t="s">
        <v>1947</v>
      </c>
      <c r="B55" s="1" t="s">
        <v>1948</v>
      </c>
      <c r="C55" s="1" t="s">
        <v>7</v>
      </c>
      <c r="D55" s="1" t="s">
        <v>1862</v>
      </c>
      <c r="E55" s="6">
        <v>48694</v>
      </c>
      <c r="F55" s="1" t="str">
        <f>VLOOKUP(D55,Table17[[Name]:[Native]],3,FALSE)</f>
        <v>沾益区</v>
      </c>
      <c r="G55" s="14" t="str">
        <f ca="1">VLOOKUP(F55,Table17[[Native]:[Population4]],5,FALSE)</f>
        <v>曲靖市</v>
      </c>
    </row>
    <row r="56" spans="1:7" ht="15.75" thickBot="1" x14ac:dyDescent="0.3">
      <c r="A56" t="s">
        <v>1949</v>
      </c>
      <c r="B56" s="1" t="s">
        <v>1950</v>
      </c>
      <c r="C56" s="1" t="s">
        <v>11</v>
      </c>
      <c r="D56" s="1" t="s">
        <v>1855</v>
      </c>
      <c r="E56" s="6">
        <v>50996</v>
      </c>
      <c r="F56" s="1" t="str">
        <f>VLOOKUP(D56,Table17[[Name]:[Native]],3,FALSE)</f>
        <v>宣威市</v>
      </c>
      <c r="G56" s="14" t="str">
        <f ca="1">VLOOKUP(F56,Table17[[Native]:[Population4]],5,FALSE)</f>
        <v>曲靖市</v>
      </c>
    </row>
    <row r="57" spans="1:7" ht="15.75" thickBot="1" x14ac:dyDescent="0.3">
      <c r="A57" t="s">
        <v>1951</v>
      </c>
      <c r="B57" s="1" t="s">
        <v>1952</v>
      </c>
      <c r="C57" s="1" t="s">
        <v>7</v>
      </c>
      <c r="D57" s="1" t="s">
        <v>1863</v>
      </c>
      <c r="E57" s="6">
        <v>25014</v>
      </c>
      <c r="F57" s="1" t="str">
        <f>VLOOKUP(D57,Table17[[Name]:[Native]],3,FALSE)</f>
        <v>陆良县</v>
      </c>
      <c r="G57" s="14" t="str">
        <f ca="1">VLOOKUP(F57,Table17[[Native]:[Population4]],5,FALSE)</f>
        <v>曲靖市</v>
      </c>
    </row>
    <row r="58" spans="1:7" ht="15.75" thickBot="1" x14ac:dyDescent="0.3">
      <c r="A58" t="s">
        <v>1953</v>
      </c>
      <c r="B58" s="1" t="s">
        <v>1954</v>
      </c>
      <c r="C58" s="1" t="s">
        <v>7</v>
      </c>
      <c r="D58" s="1" t="s">
        <v>1868</v>
      </c>
      <c r="E58" s="6">
        <v>37165</v>
      </c>
      <c r="F58" s="1" t="str">
        <f>VLOOKUP(D58,Table17[[Name]:[Native]],3,FALSE)</f>
        <v>师宗县</v>
      </c>
      <c r="G58" s="14" t="str">
        <f ca="1">VLOOKUP(F58,Table17[[Native]:[Population4]],5,FALSE)</f>
        <v>曲靖市</v>
      </c>
    </row>
    <row r="59" spans="1:7" ht="15.75" thickBot="1" x14ac:dyDescent="0.3">
      <c r="A59" t="s">
        <v>1955</v>
      </c>
      <c r="B59" s="1" t="s">
        <v>1956</v>
      </c>
      <c r="C59" s="1" t="s">
        <v>11</v>
      </c>
      <c r="D59" s="1" t="s">
        <v>1855</v>
      </c>
      <c r="E59" s="6">
        <v>51721</v>
      </c>
      <c r="F59" s="1" t="str">
        <f>VLOOKUP(D59,Table17[[Name]:[Native]],3,FALSE)</f>
        <v>宣威市</v>
      </c>
      <c r="G59" s="14" t="str">
        <f ca="1">VLOOKUP(F59,Table17[[Native]:[Population4]],5,FALSE)</f>
        <v>曲靖市</v>
      </c>
    </row>
    <row r="60" spans="1:7" ht="15.75" thickBot="1" x14ac:dyDescent="0.3">
      <c r="A60" t="s">
        <v>1957</v>
      </c>
      <c r="B60" s="1" t="s">
        <v>1958</v>
      </c>
      <c r="C60" s="1" t="s">
        <v>7</v>
      </c>
      <c r="D60" s="1" t="s">
        <v>1858</v>
      </c>
      <c r="E60" s="6">
        <v>17609</v>
      </c>
      <c r="F60" s="1" t="str">
        <f>VLOOKUP(D60,Table17[[Name]:[Native]],3,FALSE)</f>
        <v>罗平县</v>
      </c>
      <c r="G60" s="14" t="str">
        <f ca="1">VLOOKUP(F60,Table17[[Native]:[Population4]],5,FALSE)</f>
        <v>曲靖市</v>
      </c>
    </row>
    <row r="61" spans="1:7" ht="15.75" thickBot="1" x14ac:dyDescent="0.3">
      <c r="A61" t="s">
        <v>1959</v>
      </c>
      <c r="B61" s="1" t="s">
        <v>1960</v>
      </c>
      <c r="C61" s="1" t="s">
        <v>380</v>
      </c>
      <c r="D61" s="1" t="s">
        <v>1863</v>
      </c>
      <c r="E61" s="6">
        <v>3193</v>
      </c>
      <c r="F61" s="1" t="str">
        <f>VLOOKUP(D61,Table17[[Name]:[Native]],3,FALSE)</f>
        <v>陆良县</v>
      </c>
      <c r="G61" s="14" t="str">
        <f ca="1">VLOOKUP(F61,Table17[[Native]:[Population4]],5,FALSE)</f>
        <v>曲靖市</v>
      </c>
    </row>
    <row r="62" spans="1:7" ht="15.75" thickBot="1" x14ac:dyDescent="0.3">
      <c r="A62" t="s">
        <v>1961</v>
      </c>
      <c r="B62" s="1" t="s">
        <v>1962</v>
      </c>
      <c r="C62" s="1" t="s">
        <v>7</v>
      </c>
      <c r="D62" s="1" t="s">
        <v>1875</v>
      </c>
      <c r="E62" s="6">
        <v>18065</v>
      </c>
      <c r="F62" s="1" t="str">
        <f>VLOOKUP(D62,Table17[[Name]:[Native]],3,FALSE)</f>
        <v>会泽县</v>
      </c>
      <c r="G62" s="14" t="str">
        <f ca="1">VLOOKUP(F62,Table17[[Native]:[Population4]],5,FALSE)</f>
        <v>曲靖市</v>
      </c>
    </row>
    <row r="63" spans="1:7" ht="15.75" thickBot="1" x14ac:dyDescent="0.3">
      <c r="A63" t="s">
        <v>1963</v>
      </c>
      <c r="B63" s="1" t="s">
        <v>1964</v>
      </c>
      <c r="C63" s="1" t="s">
        <v>11</v>
      </c>
      <c r="D63" s="1" t="s">
        <v>1855</v>
      </c>
      <c r="E63" s="6">
        <v>36910</v>
      </c>
      <c r="F63" s="1" t="str">
        <f>VLOOKUP(D63,Table17[[Name]:[Native]],3,FALSE)</f>
        <v>宣威市</v>
      </c>
      <c r="G63" s="14" t="str">
        <f ca="1">VLOOKUP(F63,Table17[[Native]:[Population4]],5,FALSE)</f>
        <v>曲靖市</v>
      </c>
    </row>
    <row r="64" spans="1:7" ht="15.75" thickBot="1" x14ac:dyDescent="0.3">
      <c r="A64" t="s">
        <v>1965</v>
      </c>
      <c r="B64" s="1" t="s">
        <v>1966</v>
      </c>
      <c r="C64" s="1" t="s">
        <v>11</v>
      </c>
      <c r="D64" s="1" t="s">
        <v>1858</v>
      </c>
      <c r="E64" s="6">
        <v>136431</v>
      </c>
      <c r="F64" s="1" t="str">
        <f>VLOOKUP(D64,Table17[[Name]:[Native]],3,FALSE)</f>
        <v>罗平县</v>
      </c>
      <c r="G64" s="14" t="str">
        <f ca="1">VLOOKUP(F64,Table17[[Native]:[Population4]],5,FALSE)</f>
        <v>曲靖市</v>
      </c>
    </row>
    <row r="65" spans="1:7" ht="15.75" thickBot="1" x14ac:dyDescent="0.3">
      <c r="A65" t="s">
        <v>1967</v>
      </c>
      <c r="B65" s="1" t="s">
        <v>1968</v>
      </c>
      <c r="C65" s="1" t="s">
        <v>11</v>
      </c>
      <c r="D65" s="1" t="s">
        <v>1893</v>
      </c>
      <c r="E65" s="6">
        <v>12967</v>
      </c>
      <c r="F65" s="1" t="str">
        <f>VLOOKUP(D65,Table17[[Name]:[Native]],3,FALSE)</f>
        <v>马龙区</v>
      </c>
      <c r="G65" s="14" t="str">
        <f ca="1">VLOOKUP(F65,Table17[[Native]:[Population4]],5,FALSE)</f>
        <v>曲靖市</v>
      </c>
    </row>
    <row r="66" spans="1:7" ht="15.75" thickBot="1" x14ac:dyDescent="0.3">
      <c r="A66" t="s">
        <v>269</v>
      </c>
      <c r="B66" s="1" t="s">
        <v>270</v>
      </c>
      <c r="C66" s="1" t="s">
        <v>11</v>
      </c>
      <c r="D66" s="1" t="s">
        <v>1863</v>
      </c>
      <c r="E66" s="6">
        <v>100428</v>
      </c>
      <c r="F66" s="1" t="str">
        <f>VLOOKUP(D66,Table17[[Name]:[Native]],3,FALSE)</f>
        <v>陆良县</v>
      </c>
      <c r="G66" s="14" t="str">
        <f ca="1">VLOOKUP(F66,Table17[[Native]:[Population4]],5,FALSE)</f>
        <v>曲靖市</v>
      </c>
    </row>
    <row r="67" spans="1:7" ht="15.75" thickBot="1" x14ac:dyDescent="0.3">
      <c r="A67" t="s">
        <v>269</v>
      </c>
      <c r="B67" s="1" t="s">
        <v>270</v>
      </c>
      <c r="C67" s="1" t="s">
        <v>11</v>
      </c>
      <c r="D67" s="1" t="s">
        <v>1858</v>
      </c>
      <c r="E67" s="6">
        <v>56894</v>
      </c>
      <c r="F67" s="1" t="str">
        <f>VLOOKUP(D67,Table17[[Name]:[Native]],3,FALSE)</f>
        <v>罗平县</v>
      </c>
      <c r="G67" s="14" t="str">
        <f ca="1">VLOOKUP(F67,Table17[[Native]:[Population4]],5,FALSE)</f>
        <v>曲靖市</v>
      </c>
    </row>
    <row r="68" spans="1:7" ht="15.75" thickBot="1" x14ac:dyDescent="0.3">
      <c r="A68" t="s">
        <v>1969</v>
      </c>
      <c r="B68" s="1" t="s">
        <v>1970</v>
      </c>
      <c r="C68" s="1" t="s">
        <v>7</v>
      </c>
      <c r="D68" s="1" t="s">
        <v>1875</v>
      </c>
      <c r="E68" s="6">
        <v>26128</v>
      </c>
      <c r="F68" s="1" t="str">
        <f>VLOOKUP(D68,Table17[[Name]:[Native]],3,FALSE)</f>
        <v>会泽县</v>
      </c>
      <c r="G68" s="14" t="str">
        <f ca="1">VLOOKUP(F68,Table17[[Native]:[Population4]],5,FALSE)</f>
        <v>曲靖市</v>
      </c>
    </row>
    <row r="69" spans="1:7" ht="15.75" thickBot="1" x14ac:dyDescent="0.3">
      <c r="A69" t="s">
        <v>1971</v>
      </c>
      <c r="B69" s="1" t="s">
        <v>1972</v>
      </c>
      <c r="C69" s="1" t="s">
        <v>7</v>
      </c>
      <c r="D69" s="1" t="s">
        <v>1893</v>
      </c>
      <c r="E69" s="6">
        <v>12169</v>
      </c>
      <c r="F69" s="1" t="str">
        <f>VLOOKUP(D69,Table17[[Name]:[Native]],3,FALSE)</f>
        <v>马龙区</v>
      </c>
      <c r="G69" s="14" t="str">
        <f ca="1">VLOOKUP(F69,Table17[[Native]:[Population4]],5,FALSE)</f>
        <v>曲靖市</v>
      </c>
    </row>
    <row r="70" spans="1:7" ht="15.75" thickBot="1" x14ac:dyDescent="0.3">
      <c r="A70" t="s">
        <v>1973</v>
      </c>
      <c r="B70" s="1" t="s">
        <v>1974</v>
      </c>
      <c r="C70" s="1" t="s">
        <v>11</v>
      </c>
      <c r="D70" s="1" t="s">
        <v>1878</v>
      </c>
      <c r="E70" s="6">
        <v>58840</v>
      </c>
      <c r="F70" s="1" t="str">
        <f>VLOOKUP(D70,Table17[[Name]:[Native]],3,FALSE)</f>
        <v>富源县</v>
      </c>
      <c r="G70" s="14" t="str">
        <f ca="1">VLOOKUP(F70,Table17[[Native]:[Population4]],5,FALSE)</f>
        <v>曲靖市</v>
      </c>
    </row>
    <row r="71" spans="1:7" ht="15.75" thickBot="1" x14ac:dyDescent="0.3">
      <c r="A71" t="s">
        <v>1975</v>
      </c>
      <c r="B71" s="1" t="s">
        <v>1976</v>
      </c>
      <c r="C71" s="1" t="s">
        <v>11</v>
      </c>
      <c r="D71" s="1" t="s">
        <v>1875</v>
      </c>
      <c r="E71" s="6">
        <v>61124</v>
      </c>
      <c r="F71" s="1" t="str">
        <f>VLOOKUP(D71,Table17[[Name]:[Native]],3,FALSE)</f>
        <v>会泽县</v>
      </c>
      <c r="G71" s="14" t="str">
        <f ca="1">VLOOKUP(F71,Table17[[Native]:[Population4]],5,FALSE)</f>
        <v>曲靖市</v>
      </c>
    </row>
    <row r="72" spans="1:7" ht="15.75" thickBot="1" x14ac:dyDescent="0.3">
      <c r="A72" t="s">
        <v>1977</v>
      </c>
      <c r="B72" s="1" t="s">
        <v>1978</v>
      </c>
      <c r="C72" s="1" t="s">
        <v>42</v>
      </c>
      <c r="D72" s="1" t="s">
        <v>1861</v>
      </c>
      <c r="E72" s="6">
        <v>90975</v>
      </c>
      <c r="F72" s="1" t="str">
        <f>VLOOKUP(D72,Table17[[Name]:[Native]],3,FALSE)</f>
        <v>麒麟区</v>
      </c>
      <c r="G72" s="14" t="str">
        <f ca="1">VLOOKUP(F72,Table17[[Native]:[Population4]],5,FALSE)</f>
        <v>曲靖市</v>
      </c>
    </row>
    <row r="73" spans="1:7" ht="15.75" thickBot="1" x14ac:dyDescent="0.3">
      <c r="A73" t="s">
        <v>1979</v>
      </c>
      <c r="B73" s="1" t="s">
        <v>1980</v>
      </c>
      <c r="C73" s="1" t="s">
        <v>11</v>
      </c>
      <c r="D73" s="1" t="s">
        <v>1893</v>
      </c>
      <c r="E73" s="6">
        <v>12868</v>
      </c>
      <c r="F73" s="1" t="str">
        <f>VLOOKUP(D73,Table17[[Name]:[Native]],3,FALSE)</f>
        <v>马龙区</v>
      </c>
      <c r="G73" s="14" t="str">
        <f ca="1">VLOOKUP(F73,Table17[[Native]:[Population4]],5,FALSE)</f>
        <v>曲靖市</v>
      </c>
    </row>
    <row r="74" spans="1:7" ht="15.75" thickBot="1" x14ac:dyDescent="0.3">
      <c r="A74" t="s">
        <v>1981</v>
      </c>
      <c r="B74" s="1" t="s">
        <v>1982</v>
      </c>
      <c r="C74" s="1" t="s">
        <v>11</v>
      </c>
      <c r="D74" s="1" t="s">
        <v>1862</v>
      </c>
      <c r="E74" s="6">
        <v>76483</v>
      </c>
      <c r="F74" s="1" t="str">
        <f>VLOOKUP(D74,Table17[[Name]:[Native]],3,FALSE)</f>
        <v>沾益区</v>
      </c>
      <c r="G74" s="14" t="str">
        <f ca="1">VLOOKUP(F74,Table17[[Native]:[Population4]],5,FALSE)</f>
        <v>曲靖市</v>
      </c>
    </row>
    <row r="75" spans="1:7" ht="15.75" thickBot="1" x14ac:dyDescent="0.3">
      <c r="A75" t="s">
        <v>1983</v>
      </c>
      <c r="B75" s="1" t="s">
        <v>1984</v>
      </c>
      <c r="C75" s="1" t="s">
        <v>7</v>
      </c>
      <c r="D75" s="1" t="s">
        <v>1855</v>
      </c>
      <c r="E75" s="6">
        <v>29092</v>
      </c>
      <c r="F75" s="1" t="str">
        <f>VLOOKUP(D75,Table17[[Name]:[Native]],3,FALSE)</f>
        <v>宣威市</v>
      </c>
      <c r="G75" s="14" t="str">
        <f ca="1">VLOOKUP(F75,Table17[[Native]:[Population4]],5,FALSE)</f>
        <v>曲靖市</v>
      </c>
    </row>
    <row r="76" spans="1:7" ht="15.75" thickBot="1" x14ac:dyDescent="0.3">
      <c r="A76" t="s">
        <v>1985</v>
      </c>
      <c r="B76" s="1" t="s">
        <v>1986</v>
      </c>
      <c r="C76" s="1" t="s">
        <v>11</v>
      </c>
      <c r="D76" s="1" t="s">
        <v>1855</v>
      </c>
      <c r="E76" s="6">
        <v>76135</v>
      </c>
      <c r="F76" s="1" t="str">
        <f>VLOOKUP(D76,Table17[[Name]:[Native]],3,FALSE)</f>
        <v>宣威市</v>
      </c>
      <c r="G76" s="14" t="str">
        <f ca="1">VLOOKUP(F76,Table17[[Native]:[Population4]],5,FALSE)</f>
        <v>曲靖市</v>
      </c>
    </row>
    <row r="77" spans="1:7" ht="15.75" thickBot="1" x14ac:dyDescent="0.3">
      <c r="A77" t="s">
        <v>1987</v>
      </c>
      <c r="B77" s="1" t="s">
        <v>1988</v>
      </c>
      <c r="C77" s="1" t="s">
        <v>42</v>
      </c>
      <c r="D77" s="1" t="s">
        <v>1861</v>
      </c>
      <c r="E77" s="6">
        <v>59301</v>
      </c>
      <c r="F77" s="1" t="str">
        <f>VLOOKUP(D77,Table17[[Name]:[Native]],3,FALSE)</f>
        <v>麒麟区</v>
      </c>
      <c r="G77" s="14" t="str">
        <f ca="1">VLOOKUP(F77,Table17[[Native]:[Population4]],5,FALSE)</f>
        <v>曲靖市</v>
      </c>
    </row>
    <row r="78" spans="1:7" ht="15.75" thickBot="1" x14ac:dyDescent="0.3">
      <c r="A78" t="s">
        <v>287</v>
      </c>
      <c r="B78" s="1" t="s">
        <v>288</v>
      </c>
      <c r="C78" s="1" t="s">
        <v>11</v>
      </c>
      <c r="D78" s="1" t="s">
        <v>1863</v>
      </c>
      <c r="E78" s="6">
        <v>107623</v>
      </c>
      <c r="F78" s="1" t="str">
        <f>VLOOKUP(D78,Table17[[Name]:[Native]],3,FALSE)</f>
        <v>陆良县</v>
      </c>
      <c r="G78" s="14" t="str">
        <f ca="1">VLOOKUP(F78,Table17[[Native]:[Population4]],5,FALSE)</f>
        <v>曲靖市</v>
      </c>
    </row>
    <row r="79" spans="1:7" ht="15.75" thickBot="1" x14ac:dyDescent="0.3">
      <c r="A79" t="s">
        <v>1989</v>
      </c>
      <c r="B79" s="1" t="s">
        <v>1990</v>
      </c>
      <c r="C79" s="1" t="s">
        <v>7</v>
      </c>
      <c r="D79" s="1" t="s">
        <v>1875</v>
      </c>
      <c r="E79" s="6">
        <v>33721</v>
      </c>
      <c r="F79" s="1" t="str">
        <f>VLOOKUP(D79,Table17[[Name]:[Native]],3,FALSE)</f>
        <v>会泽县</v>
      </c>
      <c r="G79" s="14" t="str">
        <f ca="1">VLOOKUP(F79,Table17[[Native]:[Population4]],5,FALSE)</f>
        <v>曲靖市</v>
      </c>
    </row>
    <row r="80" spans="1:7" ht="15.75" thickBot="1" x14ac:dyDescent="0.3">
      <c r="A80" t="s">
        <v>1991</v>
      </c>
      <c r="B80" s="1" t="s">
        <v>1992</v>
      </c>
      <c r="C80" s="1" t="s">
        <v>11</v>
      </c>
      <c r="D80" s="1" t="s">
        <v>1878</v>
      </c>
      <c r="E80" s="6">
        <v>68522</v>
      </c>
      <c r="F80" s="1" t="str">
        <f>VLOOKUP(D80,Table17[[Name]:[Native]],3,FALSE)</f>
        <v>富源县</v>
      </c>
      <c r="G80" s="14" t="str">
        <f ca="1">VLOOKUP(F80,Table17[[Native]:[Population4]],5,FALSE)</f>
        <v>曲靖市</v>
      </c>
    </row>
    <row r="81" spans="1:7" ht="15.75" thickBot="1" x14ac:dyDescent="0.3">
      <c r="A81" t="s">
        <v>1993</v>
      </c>
      <c r="B81" s="1" t="s">
        <v>1994</v>
      </c>
      <c r="C81" s="1" t="s">
        <v>7</v>
      </c>
      <c r="D81" s="1" t="s">
        <v>1855</v>
      </c>
      <c r="E81" s="6">
        <v>27042</v>
      </c>
      <c r="F81" s="1" t="str">
        <f>VLOOKUP(D81,Table17[[Name]:[Native]],3,FALSE)</f>
        <v>宣威市</v>
      </c>
      <c r="G81" s="14" t="str">
        <f ca="1">VLOOKUP(F81,Table17[[Native]:[Population4]],5,FALSE)</f>
        <v>曲靖市</v>
      </c>
    </row>
    <row r="82" spans="1:7" ht="15.75" thickBot="1" x14ac:dyDescent="0.3">
      <c r="A82" t="s">
        <v>1223</v>
      </c>
      <c r="B82" s="1" t="s">
        <v>1224</v>
      </c>
      <c r="C82" s="1" t="s">
        <v>42</v>
      </c>
      <c r="D82" s="1" t="s">
        <v>1855</v>
      </c>
      <c r="E82" s="6">
        <v>69853</v>
      </c>
      <c r="F82" s="1" t="str">
        <f>VLOOKUP(D82,Table17[[Name]:[Native]],3,FALSE)</f>
        <v>宣威市</v>
      </c>
      <c r="G82" s="14" t="str">
        <f ca="1">VLOOKUP(F82,Table17[[Native]:[Population4]],5,FALSE)</f>
        <v>曲靖市</v>
      </c>
    </row>
    <row r="83" spans="1:7" ht="15.75" thickBot="1" x14ac:dyDescent="0.3">
      <c r="A83" t="s">
        <v>1995</v>
      </c>
      <c r="B83" s="1" t="s">
        <v>1996</v>
      </c>
      <c r="C83" s="1" t="s">
        <v>11</v>
      </c>
      <c r="D83" s="1" t="s">
        <v>1855</v>
      </c>
      <c r="E83" s="6">
        <v>79641</v>
      </c>
      <c r="F83" s="1" t="str">
        <f>VLOOKUP(D83,Table17[[Name]:[Native]],3,FALSE)</f>
        <v>宣威市</v>
      </c>
      <c r="G83" s="14" t="str">
        <f ca="1">VLOOKUP(F83,Table17[[Native]:[Population4]],5,FALSE)</f>
        <v>曲靖市</v>
      </c>
    </row>
    <row r="84" spans="1:7" ht="15.75" thickBot="1" x14ac:dyDescent="0.3">
      <c r="A84" t="s">
        <v>1799</v>
      </c>
      <c r="B84" s="1" t="s">
        <v>1800</v>
      </c>
      <c r="C84" s="1" t="s">
        <v>7</v>
      </c>
      <c r="D84" s="1" t="s">
        <v>1875</v>
      </c>
      <c r="E84" s="6">
        <v>31148</v>
      </c>
      <c r="F84" s="1" t="str">
        <f>VLOOKUP(D84,Table17[[Name]:[Native]],3,FALSE)</f>
        <v>会泽县</v>
      </c>
      <c r="G84" s="14" t="str">
        <f ca="1">VLOOKUP(F84,Table17[[Native]:[Population4]],5,FALSE)</f>
        <v>曲靖市</v>
      </c>
    </row>
    <row r="85" spans="1:7" ht="15.75" thickBot="1" x14ac:dyDescent="0.3">
      <c r="A85" t="s">
        <v>1997</v>
      </c>
      <c r="B85" s="1" t="s">
        <v>1998</v>
      </c>
      <c r="C85" s="1" t="s">
        <v>11</v>
      </c>
      <c r="D85" s="1" t="s">
        <v>1855</v>
      </c>
      <c r="E85" s="6">
        <v>63139</v>
      </c>
      <c r="F85" s="1" t="str">
        <f>VLOOKUP(D85,Table17[[Name]:[Native]],3,FALSE)</f>
        <v>宣威市</v>
      </c>
      <c r="G85" s="14" t="str">
        <f ca="1">VLOOKUP(F85,Table17[[Native]:[Population4]],5,FALSE)</f>
        <v>曲靖市</v>
      </c>
    </row>
    <row r="86" spans="1:7" ht="15.75" thickBot="1" x14ac:dyDescent="0.3">
      <c r="A86" t="s">
        <v>1999</v>
      </c>
      <c r="B86" s="1" t="s">
        <v>2000</v>
      </c>
      <c r="C86" s="1" t="s">
        <v>11</v>
      </c>
      <c r="D86" s="1" t="s">
        <v>1893</v>
      </c>
      <c r="E86" s="6">
        <v>55268</v>
      </c>
      <c r="F86" s="1" t="str">
        <f>VLOOKUP(D86,Table17[[Name]:[Native]],3,FALSE)</f>
        <v>马龙区</v>
      </c>
      <c r="G86" s="14" t="str">
        <f ca="1">VLOOKUP(F86,Table17[[Native]:[Population4]],5,FALSE)</f>
        <v>曲靖市</v>
      </c>
    </row>
    <row r="87" spans="1:7" ht="15.75" thickBot="1" x14ac:dyDescent="0.3">
      <c r="A87" t="s">
        <v>2001</v>
      </c>
      <c r="B87" s="1" t="s">
        <v>2002</v>
      </c>
      <c r="C87" s="1" t="s">
        <v>11</v>
      </c>
      <c r="D87" s="1" t="s">
        <v>1893</v>
      </c>
      <c r="E87" s="6">
        <v>28662</v>
      </c>
      <c r="F87" s="1" t="str">
        <f>VLOOKUP(D87,Table17[[Name]:[Native]],3,FALSE)</f>
        <v>马龙区</v>
      </c>
      <c r="G87" s="14" t="str">
        <f ca="1">VLOOKUP(F87,Table17[[Native]:[Population4]],5,FALSE)</f>
        <v>曲靖市</v>
      </c>
    </row>
    <row r="88" spans="1:7" ht="15.75" thickBot="1" x14ac:dyDescent="0.3">
      <c r="A88" t="s">
        <v>2003</v>
      </c>
      <c r="B88" s="1" t="s">
        <v>2004</v>
      </c>
      <c r="C88" s="1" t="s">
        <v>42</v>
      </c>
      <c r="D88" s="1" t="s">
        <v>1855</v>
      </c>
      <c r="E88" s="6">
        <v>80106</v>
      </c>
      <c r="F88" s="1" t="str">
        <f>VLOOKUP(D88,Table17[[Name]:[Native]],3,FALSE)</f>
        <v>宣威市</v>
      </c>
      <c r="G88" s="14" t="str">
        <f ca="1">VLOOKUP(F88,Table17[[Native]:[Population4]],5,FALSE)</f>
        <v>曲靖市</v>
      </c>
    </row>
    <row r="89" spans="1:7" ht="15.75" thickBot="1" x14ac:dyDescent="0.3">
      <c r="A89" t="s">
        <v>2005</v>
      </c>
      <c r="B89" s="1" t="s">
        <v>2006</v>
      </c>
      <c r="C89" s="1" t="s">
        <v>7</v>
      </c>
      <c r="D89" s="1" t="s">
        <v>1855</v>
      </c>
      <c r="E89" s="6">
        <v>48949</v>
      </c>
      <c r="F89" s="1" t="str">
        <f>VLOOKUP(D89,Table17[[Name]:[Native]],3,FALSE)</f>
        <v>宣威市</v>
      </c>
      <c r="G89" s="14" t="str">
        <f ca="1">VLOOKUP(F89,Table17[[Native]:[Population4]],5,FALSE)</f>
        <v>曲靖市</v>
      </c>
    </row>
    <row r="90" spans="1:7" ht="15.75" thickBot="1" x14ac:dyDescent="0.3">
      <c r="A90" t="s">
        <v>2007</v>
      </c>
      <c r="B90" s="1" t="s">
        <v>2008</v>
      </c>
      <c r="C90" s="1" t="s">
        <v>11</v>
      </c>
      <c r="D90" s="1" t="s">
        <v>1855</v>
      </c>
      <c r="E90" s="6">
        <v>40155</v>
      </c>
      <c r="F90" s="1" t="str">
        <f>VLOOKUP(D90,Table17[[Name]:[Native]],3,FALSE)</f>
        <v>宣威市</v>
      </c>
      <c r="G90" s="14" t="str">
        <f ca="1">VLOOKUP(F90,Table17[[Native]:[Population4]],5,FALSE)</f>
        <v>曲靖市</v>
      </c>
    </row>
    <row r="91" spans="1:7" ht="15.75" thickBot="1" x14ac:dyDescent="0.3">
      <c r="A91" t="s">
        <v>2009</v>
      </c>
      <c r="B91" s="1" t="s">
        <v>2010</v>
      </c>
      <c r="C91" s="1" t="s">
        <v>7</v>
      </c>
      <c r="D91" s="1" t="s">
        <v>1868</v>
      </c>
      <c r="E91" s="6">
        <v>30249</v>
      </c>
      <c r="F91" s="1" t="str">
        <f>VLOOKUP(D91,Table17[[Name]:[Native]],3,FALSE)</f>
        <v>师宗县</v>
      </c>
      <c r="G91" s="14" t="str">
        <f ca="1">VLOOKUP(F91,Table17[[Native]:[Population4]],5,FALSE)</f>
        <v>曲靖市</v>
      </c>
    </row>
    <row r="92" spans="1:7" ht="15.75" thickBot="1" x14ac:dyDescent="0.3">
      <c r="A92" t="s">
        <v>2011</v>
      </c>
      <c r="B92" s="1" t="s">
        <v>2012</v>
      </c>
      <c r="C92" s="1" t="s">
        <v>7</v>
      </c>
      <c r="D92" s="1" t="s">
        <v>1875</v>
      </c>
      <c r="E92" s="6">
        <v>29498</v>
      </c>
      <c r="F92" s="1" t="str">
        <f>VLOOKUP(D92,Table17[[Name]:[Native]],3,FALSE)</f>
        <v>会泽县</v>
      </c>
      <c r="G92" s="14" t="str">
        <f ca="1">VLOOKUP(F92,Table17[[Native]:[Population4]],5,FALSE)</f>
        <v>曲靖市</v>
      </c>
    </row>
    <row r="93" spans="1:7" ht="15.75" thickBot="1" x14ac:dyDescent="0.3">
      <c r="A93" t="s">
        <v>2013</v>
      </c>
      <c r="B93" s="1" t="s">
        <v>2014</v>
      </c>
      <c r="C93" s="1" t="s">
        <v>11</v>
      </c>
      <c r="D93" s="1" t="s">
        <v>1863</v>
      </c>
      <c r="E93" s="6">
        <v>39139</v>
      </c>
      <c r="F93" s="1" t="str">
        <f>VLOOKUP(D93,Table17[[Name]:[Native]],3,FALSE)</f>
        <v>陆良县</v>
      </c>
      <c r="G93" s="14" t="str">
        <f ca="1">VLOOKUP(F93,Table17[[Native]:[Population4]],5,FALSE)</f>
        <v>曲靖市</v>
      </c>
    </row>
    <row r="94" spans="1:7" ht="15.75" thickBot="1" x14ac:dyDescent="0.3">
      <c r="A94" t="s">
        <v>2015</v>
      </c>
      <c r="B94" s="1" t="s">
        <v>2016</v>
      </c>
      <c r="C94" s="1" t="s">
        <v>42</v>
      </c>
      <c r="D94" s="1" t="s">
        <v>1861</v>
      </c>
      <c r="E94" s="6">
        <v>47177</v>
      </c>
      <c r="F94" s="1" t="str">
        <f>VLOOKUP(D94,Table17[[Name]:[Native]],3,FALSE)</f>
        <v>麒麟区</v>
      </c>
      <c r="G94" s="14" t="str">
        <f ca="1">VLOOKUP(F94,Table17[[Native]:[Population4]],5,FALSE)</f>
        <v>曲靖市</v>
      </c>
    </row>
    <row r="95" spans="1:7" ht="15.75" thickBot="1" x14ac:dyDescent="0.3">
      <c r="A95" t="s">
        <v>2017</v>
      </c>
      <c r="B95" s="1" t="s">
        <v>2018</v>
      </c>
      <c r="C95" s="1" t="s">
        <v>42</v>
      </c>
      <c r="D95" s="1" t="s">
        <v>1855</v>
      </c>
      <c r="E95" s="6">
        <v>57452</v>
      </c>
      <c r="F95" s="1" t="str">
        <f>VLOOKUP(D95,Table17[[Name]:[Native]],3,FALSE)</f>
        <v>宣威市</v>
      </c>
      <c r="G95" s="14" t="str">
        <f ca="1">VLOOKUP(F95,Table17[[Native]:[Population4]],5,FALSE)</f>
        <v>曲靖市</v>
      </c>
    </row>
    <row r="96" spans="1:7" ht="15.75" thickBot="1" x14ac:dyDescent="0.3">
      <c r="A96" t="s">
        <v>2019</v>
      </c>
      <c r="B96" s="1" t="s">
        <v>2020</v>
      </c>
      <c r="C96" s="1" t="s">
        <v>7</v>
      </c>
      <c r="D96" s="1" t="s">
        <v>1875</v>
      </c>
      <c r="E96" s="6">
        <v>26948</v>
      </c>
      <c r="F96" s="1" t="str">
        <f>VLOOKUP(D96,Table17[[Name]:[Native]],3,FALSE)</f>
        <v>会泽县</v>
      </c>
      <c r="G96" s="14" t="str">
        <f ca="1">VLOOKUP(F96,Table17[[Native]:[Population4]],5,FALSE)</f>
        <v>曲靖市</v>
      </c>
    </row>
    <row r="97" spans="1:7" ht="15.75" thickBot="1" x14ac:dyDescent="0.3">
      <c r="A97" t="s">
        <v>2021</v>
      </c>
      <c r="B97" s="1" t="s">
        <v>2022</v>
      </c>
      <c r="C97" s="1" t="s">
        <v>11</v>
      </c>
      <c r="D97" s="1" t="s">
        <v>1868</v>
      </c>
      <c r="E97" s="6">
        <v>54312</v>
      </c>
      <c r="F97" s="1" t="str">
        <f>VLOOKUP(D97,Table17[[Name]:[Native]],3,FALSE)</f>
        <v>师宗县</v>
      </c>
      <c r="G97" s="14" t="str">
        <f ca="1">VLOOKUP(F97,Table17[[Native]:[Population4]],5,FALSE)</f>
        <v>曲靖市</v>
      </c>
    </row>
    <row r="98" spans="1:7" ht="15.75" thickBot="1" x14ac:dyDescent="0.3">
      <c r="A98" t="s">
        <v>2023</v>
      </c>
      <c r="B98" s="1" t="s">
        <v>2024</v>
      </c>
      <c r="C98" s="1" t="s">
        <v>11</v>
      </c>
      <c r="D98" s="1" t="s">
        <v>1862</v>
      </c>
      <c r="E98" s="6">
        <v>124670</v>
      </c>
      <c r="F98" s="1" t="str">
        <f>VLOOKUP(D98,Table17[[Name]:[Native]],3,FALSE)</f>
        <v>沾益区</v>
      </c>
      <c r="G98" s="14" t="str">
        <f ca="1">VLOOKUP(F98,Table17[[Native]:[Population4]],5,FALSE)</f>
        <v>曲靖市</v>
      </c>
    </row>
    <row r="99" spans="1:7" ht="15.75" thickBot="1" x14ac:dyDescent="0.3">
      <c r="A99" t="s">
        <v>2025</v>
      </c>
      <c r="B99" s="1" t="s">
        <v>2026</v>
      </c>
      <c r="C99" s="1" t="s">
        <v>7</v>
      </c>
      <c r="D99" s="1" t="s">
        <v>1855</v>
      </c>
      <c r="E99" s="6">
        <v>35524</v>
      </c>
      <c r="F99" s="1" t="str">
        <f>VLOOKUP(D99,Table17[[Name]:[Native]],3,FALSE)</f>
        <v>宣威市</v>
      </c>
      <c r="G99" s="14" t="str">
        <f ca="1">VLOOKUP(F99,Table17[[Native]:[Population4]],5,FALSE)</f>
        <v>曲靖市</v>
      </c>
    </row>
    <row r="100" spans="1:7" ht="15.75" thickBot="1" x14ac:dyDescent="0.3">
      <c r="A100" t="s">
        <v>2027</v>
      </c>
      <c r="B100" s="1" t="s">
        <v>2028</v>
      </c>
      <c r="C100" s="1" t="s">
        <v>7</v>
      </c>
      <c r="D100" s="1" t="s">
        <v>1862</v>
      </c>
      <c r="E100" s="6">
        <v>41937</v>
      </c>
      <c r="F100" s="1" t="str">
        <f>VLOOKUP(D100,Table17[[Name]:[Native]],3,FALSE)</f>
        <v>沾益区</v>
      </c>
      <c r="G100" s="14" t="str">
        <f ca="1">VLOOKUP(F100,Table17[[Native]:[Population4]],5,FALSE)</f>
        <v>曲靖市</v>
      </c>
    </row>
    <row r="101" spans="1:7" ht="15.75" thickBot="1" x14ac:dyDescent="0.3">
      <c r="A101" t="s">
        <v>2029</v>
      </c>
      <c r="B101" s="1" t="s">
        <v>2030</v>
      </c>
      <c r="C101" s="1" t="s">
        <v>11</v>
      </c>
      <c r="D101" s="1" t="s">
        <v>1855</v>
      </c>
      <c r="E101" s="6">
        <v>53588</v>
      </c>
      <c r="F101" s="1" t="str">
        <f>VLOOKUP(D101,Table17[[Name]:[Native]],3,FALSE)</f>
        <v>宣威市</v>
      </c>
      <c r="G101" s="14" t="str">
        <f ca="1">VLOOKUP(F101,Table17[[Native]:[Population4]],5,FALSE)</f>
        <v>曲靖市</v>
      </c>
    </row>
    <row r="102" spans="1:7" ht="15.75" thickBot="1" x14ac:dyDescent="0.3">
      <c r="A102" t="s">
        <v>2031</v>
      </c>
      <c r="B102" s="1" t="s">
        <v>2032</v>
      </c>
      <c r="C102" s="1" t="s">
        <v>11</v>
      </c>
      <c r="D102" s="1" t="s">
        <v>1855</v>
      </c>
      <c r="E102" s="6">
        <v>38248</v>
      </c>
      <c r="F102" s="1" t="str">
        <f>VLOOKUP(D102,Table17[[Name]:[Native]],3,FALSE)</f>
        <v>宣威市</v>
      </c>
      <c r="G102" s="14" t="str">
        <f ca="1">VLOOKUP(F102,Table17[[Native]:[Population4]],5,FALSE)</f>
        <v>曲靖市</v>
      </c>
    </row>
    <row r="103" spans="1:7" ht="15.75" thickBot="1" x14ac:dyDescent="0.3">
      <c r="A103" t="s">
        <v>2033</v>
      </c>
      <c r="B103" s="1" t="s">
        <v>2034</v>
      </c>
      <c r="C103" s="1" t="s">
        <v>42</v>
      </c>
      <c r="D103" s="1" t="s">
        <v>1861</v>
      </c>
      <c r="E103" s="6">
        <v>40209</v>
      </c>
      <c r="F103" s="1" t="str">
        <f>VLOOKUP(D103,Table17[[Name]:[Native]],3,FALSE)</f>
        <v>麒麟区</v>
      </c>
      <c r="G103" s="14" t="str">
        <f ca="1">VLOOKUP(F103,Table17[[Native]:[Population4]],5,FALSE)</f>
        <v>曲靖市</v>
      </c>
    </row>
    <row r="104" spans="1:7" ht="15.75" thickBot="1" x14ac:dyDescent="0.3">
      <c r="A104" t="s">
        <v>2035</v>
      </c>
      <c r="B104" s="1" t="s">
        <v>2036</v>
      </c>
      <c r="C104" s="1" t="s">
        <v>11</v>
      </c>
      <c r="D104" s="1" t="s">
        <v>1875</v>
      </c>
      <c r="E104" s="6">
        <v>81784</v>
      </c>
      <c r="F104" s="1" t="str">
        <f>VLOOKUP(D104,Table17[[Name]:[Native]],3,FALSE)</f>
        <v>会泽县</v>
      </c>
      <c r="G104" s="14" t="str">
        <f ca="1">VLOOKUP(F104,Table17[[Native]:[Population4]],5,FALSE)</f>
        <v>曲靖市</v>
      </c>
    </row>
    <row r="105" spans="1:7" ht="15.75" thickBot="1" x14ac:dyDescent="0.3">
      <c r="A105" t="s">
        <v>2037</v>
      </c>
      <c r="B105" s="1" t="s">
        <v>2038</v>
      </c>
      <c r="C105" s="1" t="s">
        <v>11</v>
      </c>
      <c r="D105" s="1" t="s">
        <v>1878</v>
      </c>
      <c r="E105" s="6">
        <v>73541</v>
      </c>
      <c r="F105" s="1" t="str">
        <f>VLOOKUP(D105,Table17[[Name]:[Native]],3,FALSE)</f>
        <v>富源县</v>
      </c>
      <c r="G105" s="14" t="str">
        <f ca="1">VLOOKUP(F105,Table17[[Native]:[Population4]],5,FALSE)</f>
        <v>曲靖市</v>
      </c>
    </row>
    <row r="106" spans="1:7" ht="15.75" thickBot="1" x14ac:dyDescent="0.3">
      <c r="A106" t="s">
        <v>2039</v>
      </c>
      <c r="B106" s="1" t="s">
        <v>2040</v>
      </c>
      <c r="C106" s="1" t="s">
        <v>7</v>
      </c>
      <c r="D106" s="1" t="s">
        <v>1893</v>
      </c>
      <c r="E106" s="6">
        <v>24793</v>
      </c>
      <c r="F106" s="1" t="str">
        <f>VLOOKUP(D106,Table17[[Name]:[Native]],3,FALSE)</f>
        <v>马龙区</v>
      </c>
      <c r="G106" s="14" t="str">
        <f ca="1">VLOOKUP(F106,Table17[[Native]:[Population4]],5,FALSE)</f>
        <v>曲靖市</v>
      </c>
    </row>
    <row r="107" spans="1:7" ht="15.75" thickBot="1" x14ac:dyDescent="0.3">
      <c r="A107" t="s">
        <v>2041</v>
      </c>
      <c r="B107" s="1" t="s">
        <v>2042</v>
      </c>
      <c r="C107" s="1" t="s">
        <v>11</v>
      </c>
      <c r="D107" s="1" t="s">
        <v>1861</v>
      </c>
      <c r="E107" s="6">
        <v>71451</v>
      </c>
      <c r="F107" s="1" t="str">
        <f>VLOOKUP(D107,Table17[[Name]:[Native]],3,FALSE)</f>
        <v>麒麟区</v>
      </c>
      <c r="G107" s="14" t="str">
        <f ca="1">VLOOKUP(F107,Table17[[Native]:[Population4]],5,FALSE)</f>
        <v>曲靖市</v>
      </c>
    </row>
    <row r="108" spans="1:7" ht="15.75" thickBot="1" x14ac:dyDescent="0.3">
      <c r="A108" t="s">
        <v>2043</v>
      </c>
      <c r="B108" s="1" t="s">
        <v>2044</v>
      </c>
      <c r="C108" s="1" t="s">
        <v>7</v>
      </c>
      <c r="D108" s="1" t="s">
        <v>1875</v>
      </c>
      <c r="E108" s="6">
        <v>34478</v>
      </c>
      <c r="F108" s="1" t="str">
        <f>VLOOKUP(D108,Table17[[Name]:[Native]],3,FALSE)</f>
        <v>会泽县</v>
      </c>
      <c r="G108" s="14" t="str">
        <f ca="1">VLOOKUP(F108,Table17[[Native]:[Population4]],5,FALSE)</f>
        <v>曲靖市</v>
      </c>
    </row>
    <row r="109" spans="1:7" ht="15.75" thickBot="1" x14ac:dyDescent="0.3">
      <c r="A109" t="s">
        <v>2045</v>
      </c>
      <c r="B109" s="1" t="s">
        <v>2046</v>
      </c>
      <c r="C109" s="1" t="s">
        <v>11</v>
      </c>
      <c r="D109" s="1" t="s">
        <v>1863</v>
      </c>
      <c r="E109" s="6">
        <v>31347</v>
      </c>
      <c r="F109" s="1" t="str">
        <f>VLOOKUP(D109,Table17[[Name]:[Native]],3,FALSE)</f>
        <v>陆良县</v>
      </c>
      <c r="G109" s="14" t="str">
        <f ca="1">VLOOKUP(F109,Table17[[Native]:[Population4]],5,FALSE)</f>
        <v>曲靖市</v>
      </c>
    </row>
    <row r="110" spans="1:7" ht="15.75" thickBot="1" x14ac:dyDescent="0.3">
      <c r="A110" t="s">
        <v>2047</v>
      </c>
      <c r="B110" s="1" t="s">
        <v>2048</v>
      </c>
      <c r="C110" s="1" t="s">
        <v>11</v>
      </c>
      <c r="D110" s="1" t="s">
        <v>1875</v>
      </c>
      <c r="E110" s="6">
        <v>92108</v>
      </c>
      <c r="F110" s="1" t="str">
        <f>VLOOKUP(D110,Table17[[Name]:[Native]],3,FALSE)</f>
        <v>会泽县</v>
      </c>
      <c r="G110" s="14" t="str">
        <f ca="1">VLOOKUP(F110,Table17[[Native]:[Population4]],5,FALSE)</f>
        <v>曲靖市</v>
      </c>
    </row>
    <row r="111" spans="1:7" ht="15.75" thickBot="1" x14ac:dyDescent="0.3">
      <c r="A111" t="s">
        <v>2049</v>
      </c>
      <c r="B111" s="1" t="s">
        <v>2050</v>
      </c>
      <c r="C111" s="1" t="s">
        <v>7</v>
      </c>
      <c r="D111" s="1" t="s">
        <v>1875</v>
      </c>
      <c r="E111" s="6">
        <v>16729</v>
      </c>
      <c r="F111" s="1" t="str">
        <f>VLOOKUP(D111,Table17[[Name]:[Native]],3,FALSE)</f>
        <v>会泽县</v>
      </c>
      <c r="G111" s="14" t="str">
        <f ca="1">VLOOKUP(F111,Table17[[Native]:[Population4]],5,FALSE)</f>
        <v>曲靖市</v>
      </c>
    </row>
    <row r="112" spans="1:7" ht="15.75" thickBot="1" x14ac:dyDescent="0.3">
      <c r="A112" t="s">
        <v>2051</v>
      </c>
      <c r="B112" s="1" t="s">
        <v>2052</v>
      </c>
      <c r="C112" s="1" t="s">
        <v>11</v>
      </c>
      <c r="D112" s="1" t="s">
        <v>1878</v>
      </c>
      <c r="E112" s="6">
        <v>125701</v>
      </c>
      <c r="F112" s="1" t="str">
        <f>VLOOKUP(D112,Table17[[Name]:[Native]],3,FALSE)</f>
        <v>富源县</v>
      </c>
      <c r="G112" s="14" t="str">
        <f ca="1">VLOOKUP(F112,Table17[[Native]:[Population4]],5,FALSE)</f>
        <v>曲靖市</v>
      </c>
    </row>
    <row r="113" spans="1:7" ht="15.75" thickBot="1" x14ac:dyDescent="0.3">
      <c r="A113" t="s">
        <v>705</v>
      </c>
      <c r="B113" s="1" t="s">
        <v>2053</v>
      </c>
      <c r="C113" s="1" t="s">
        <v>7</v>
      </c>
      <c r="D113" s="1" t="s">
        <v>1858</v>
      </c>
      <c r="E113" s="6">
        <v>27832</v>
      </c>
      <c r="F113" s="1" t="str">
        <f>VLOOKUP(D113,Table17[[Name]:[Native]],3,FALSE)</f>
        <v>罗平县</v>
      </c>
      <c r="G113" s="14" t="str">
        <f ca="1">VLOOKUP(F113,Table17[[Native]:[Population4]],5,FALSE)</f>
        <v>曲靖市</v>
      </c>
    </row>
    <row r="114" spans="1:7" ht="15.75" thickBot="1" x14ac:dyDescent="0.3">
      <c r="A114" t="s">
        <v>2054</v>
      </c>
      <c r="B114" s="1" t="s">
        <v>1030</v>
      </c>
      <c r="C114" s="1" t="s">
        <v>11</v>
      </c>
      <c r="D114" s="1" t="s">
        <v>1863</v>
      </c>
      <c r="E114" s="6">
        <v>125521</v>
      </c>
      <c r="F114" s="1" t="str">
        <f>VLOOKUP(D114,Table17[[Name]:[Native]],3,FALSE)</f>
        <v>陆良县</v>
      </c>
      <c r="G114" s="14" t="str">
        <f ca="1">VLOOKUP(F114,Table17[[Native]:[Population4]],5,FALSE)</f>
        <v>曲靖市</v>
      </c>
    </row>
    <row r="115" spans="1:7" ht="15.75" thickBot="1" x14ac:dyDescent="0.3">
      <c r="A115" t="s">
        <v>2055</v>
      </c>
      <c r="B115" s="1" t="s">
        <v>2056</v>
      </c>
      <c r="C115" s="1" t="s">
        <v>42</v>
      </c>
      <c r="D115" s="1" t="s">
        <v>1861</v>
      </c>
      <c r="E115" s="6">
        <v>45569</v>
      </c>
      <c r="F115" s="1" t="str">
        <f>VLOOKUP(D115,Table17[[Name]:[Native]],3,FALSE)</f>
        <v>麒麟区</v>
      </c>
      <c r="G115" s="14" t="str">
        <f ca="1">VLOOKUP(F115,Table17[[Native]:[Population4]],5,FALSE)</f>
        <v>曲靖市</v>
      </c>
    </row>
    <row r="116" spans="1:7" ht="15.75" thickBot="1" x14ac:dyDescent="0.3">
      <c r="A116" t="s">
        <v>2057</v>
      </c>
      <c r="B116" s="1" t="s">
        <v>2058</v>
      </c>
      <c r="C116" s="1" t="s">
        <v>11</v>
      </c>
      <c r="D116" s="1" t="s">
        <v>1868</v>
      </c>
      <c r="E116" s="6">
        <v>48997</v>
      </c>
      <c r="F116" s="1" t="str">
        <f>VLOOKUP(D116,Table17[[Name]:[Native]],3,FALSE)</f>
        <v>师宗县</v>
      </c>
      <c r="G116" s="14" t="str">
        <f ca="1">VLOOKUP(F116,Table17[[Native]:[Population4]],5,FALSE)</f>
        <v>曲靖市</v>
      </c>
    </row>
    <row r="117" spans="1:7" ht="15.75" thickBot="1" x14ac:dyDescent="0.3">
      <c r="A117" t="s">
        <v>1031</v>
      </c>
      <c r="B117" s="1" t="s">
        <v>1032</v>
      </c>
      <c r="C117" s="1" t="s">
        <v>11</v>
      </c>
      <c r="D117" s="1" t="s">
        <v>1878</v>
      </c>
      <c r="E117" s="6">
        <v>45583</v>
      </c>
      <c r="F117" s="10" t="str">
        <f>VLOOKUP(D117,Table17[[Name]:[Native]],3,FALSE)</f>
        <v>富源县</v>
      </c>
      <c r="G117" s="14" t="str">
        <f ca="1">VLOOKUP(F117,Table17[[Native]:[Population4]],5,FALSE)</f>
        <v>曲靖市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2AEA7-B4EB-4F40-8D70-03D927E9F4F9}">
  <dimension ref="A1:G104"/>
  <sheetViews>
    <sheetView topLeftCell="A79" workbookViewId="0">
      <selection activeCell="G2" sqref="A2:G104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2917</v>
      </c>
      <c r="G1" t="s">
        <v>2919</v>
      </c>
    </row>
    <row r="2" spans="1:7" ht="15.75" thickBot="1" x14ac:dyDescent="0.3">
      <c r="A2" t="s">
        <v>1649</v>
      </c>
      <c r="B2" s="1" t="s">
        <v>1650</v>
      </c>
      <c r="C2" s="1" t="s">
        <v>11</v>
      </c>
      <c r="D2" s="1" t="s">
        <v>1651</v>
      </c>
      <c r="E2" s="6">
        <v>20810</v>
      </c>
      <c r="F2" s="9" t="str">
        <f>VLOOKUP(D2,Table17[[Name]:[Native]],3,FALSE)</f>
        <v>镇沅彝族哈尼族拉祜族自治县</v>
      </c>
      <c r="G2" s="14" t="str">
        <f ca="1">VLOOKUP(F2,Table17[[Native]:[Population4]],5,FALSE)</f>
        <v>普洱市</v>
      </c>
    </row>
    <row r="3" spans="1:7" ht="15.75" thickBot="1" x14ac:dyDescent="0.3">
      <c r="A3" t="s">
        <v>1652</v>
      </c>
      <c r="B3" s="1" t="s">
        <v>1653</v>
      </c>
      <c r="C3" s="1" t="s">
        <v>11</v>
      </c>
      <c r="D3" s="1" t="s">
        <v>1654</v>
      </c>
      <c r="E3" s="6">
        <v>19011</v>
      </c>
      <c r="F3" s="1" t="str">
        <f>VLOOKUP(D3,Table17[[Name]:[Native]],3,FALSE)</f>
        <v>景东彝族自治县</v>
      </c>
      <c r="G3" s="14" t="str">
        <f ca="1">VLOOKUP(F3,Table17[[Native]:[Population4]],5,FALSE)</f>
        <v>普洱市</v>
      </c>
    </row>
    <row r="4" spans="1:7" ht="15.75" thickBot="1" x14ac:dyDescent="0.3">
      <c r="A4" t="s">
        <v>1655</v>
      </c>
      <c r="B4" s="1" t="s">
        <v>1656</v>
      </c>
      <c r="C4" s="1" t="s">
        <v>7</v>
      </c>
      <c r="D4" s="1" t="s">
        <v>1657</v>
      </c>
      <c r="E4" s="6">
        <v>13236</v>
      </c>
      <c r="F4" s="1" t="str">
        <f>VLOOKUP(D4,Table17[[Name]:[Native]],3,FALSE)</f>
        <v>澜沧拉祜族自治县</v>
      </c>
      <c r="G4" s="14" t="str">
        <f ca="1">VLOOKUP(F4,Table17[[Native]:[Population4]],5,FALSE)</f>
        <v>普洱市</v>
      </c>
    </row>
    <row r="5" spans="1:7" ht="15.75" thickBot="1" x14ac:dyDescent="0.3">
      <c r="A5" t="s">
        <v>1658</v>
      </c>
      <c r="B5" s="1" t="s">
        <v>1659</v>
      </c>
      <c r="C5" s="1" t="s">
        <v>11</v>
      </c>
      <c r="D5" s="1" t="s">
        <v>1660</v>
      </c>
      <c r="E5" s="6">
        <v>20474</v>
      </c>
      <c r="F5" s="1" t="str">
        <f>VLOOKUP(D5,Table17[[Name]:[Native]],3,FALSE)</f>
        <v>墨江哈尼族自治县</v>
      </c>
      <c r="G5" s="14" t="str">
        <f ca="1">VLOOKUP(F5,Table17[[Native]:[Population4]],5,FALSE)</f>
        <v>普洱市</v>
      </c>
    </row>
    <row r="6" spans="1:7" ht="15.75" thickBot="1" x14ac:dyDescent="0.3">
      <c r="A6" t="s">
        <v>782</v>
      </c>
      <c r="B6" s="1" t="s">
        <v>783</v>
      </c>
      <c r="C6" s="1" t="s">
        <v>7</v>
      </c>
      <c r="D6" s="1" t="s">
        <v>1661</v>
      </c>
      <c r="E6" s="6">
        <v>11939</v>
      </c>
      <c r="F6" s="1" t="str">
        <f>VLOOKUP(D6,Table17[[Name]:[Native]],3,FALSE)</f>
        <v>景谷傣族彝族自治县</v>
      </c>
      <c r="G6" s="14" t="str">
        <f ca="1">VLOOKUP(F6,Table17[[Native]:[Population4]],5,FALSE)</f>
        <v>普洱市</v>
      </c>
    </row>
    <row r="7" spans="1:7" ht="15.75" thickBot="1" x14ac:dyDescent="0.3">
      <c r="A7" t="s">
        <v>1662</v>
      </c>
      <c r="B7" s="1" t="s">
        <v>1663</v>
      </c>
      <c r="C7" s="1" t="s">
        <v>11</v>
      </c>
      <c r="D7" s="1" t="s">
        <v>1664</v>
      </c>
      <c r="E7" s="6">
        <v>9102</v>
      </c>
      <c r="F7" s="1" t="str">
        <f>VLOOKUP(D7,Table17[[Name]:[Native]],3,FALSE)</f>
        <v>江城哈尼族彝族自治县</v>
      </c>
      <c r="G7" s="14" t="str">
        <f ca="1">VLOOKUP(F7,Table17[[Native]:[Population4]],5,FALSE)</f>
        <v>普洱市</v>
      </c>
    </row>
    <row r="8" spans="1:7" ht="15.75" thickBot="1" x14ac:dyDescent="0.3">
      <c r="A8" t="s">
        <v>1665</v>
      </c>
      <c r="B8" s="1" t="s">
        <v>1666</v>
      </c>
      <c r="C8" s="1" t="s">
        <v>7</v>
      </c>
      <c r="D8" s="1" t="s">
        <v>1661</v>
      </c>
      <c r="E8" s="6">
        <v>20384</v>
      </c>
      <c r="F8" s="1" t="str">
        <f>VLOOKUP(D8,Table17[[Name]:[Native]],3,FALSE)</f>
        <v>景谷傣族彝族自治县</v>
      </c>
      <c r="G8" s="14" t="str">
        <f ca="1">VLOOKUP(F8,Table17[[Native]:[Population4]],5,FALSE)</f>
        <v>普洱市</v>
      </c>
    </row>
    <row r="9" spans="1:7" ht="15.75" thickBot="1" x14ac:dyDescent="0.3">
      <c r="A9" t="s">
        <v>1667</v>
      </c>
      <c r="B9" s="1" t="s">
        <v>1668</v>
      </c>
      <c r="C9" s="1" t="s">
        <v>11</v>
      </c>
      <c r="D9" s="1" t="s">
        <v>1654</v>
      </c>
      <c r="E9" s="6">
        <v>27806</v>
      </c>
      <c r="F9" s="1" t="str">
        <f>VLOOKUP(D9,Table17[[Name]:[Native]],3,FALSE)</f>
        <v>景东彝族自治县</v>
      </c>
      <c r="G9" s="14" t="str">
        <f ca="1">VLOOKUP(F9,Table17[[Native]:[Population4]],5,FALSE)</f>
        <v>普洱市</v>
      </c>
    </row>
    <row r="10" spans="1:7" ht="15.75" thickBot="1" x14ac:dyDescent="0.3">
      <c r="A10" t="s">
        <v>1669</v>
      </c>
      <c r="B10" s="1" t="s">
        <v>1670</v>
      </c>
      <c r="C10" s="1" t="s">
        <v>11</v>
      </c>
      <c r="D10" s="1" t="s">
        <v>1654</v>
      </c>
      <c r="E10" s="6">
        <v>22562</v>
      </c>
      <c r="F10" s="1" t="str">
        <f>VLOOKUP(D10,Table17[[Name]:[Native]],3,FALSE)</f>
        <v>景东彝族自治县</v>
      </c>
      <c r="G10" s="14" t="str">
        <f ca="1">VLOOKUP(F10,Table17[[Native]:[Population4]],5,FALSE)</f>
        <v>普洱市</v>
      </c>
    </row>
    <row r="11" spans="1:7" ht="15.75" thickBot="1" x14ac:dyDescent="0.3">
      <c r="A11" t="s">
        <v>1458</v>
      </c>
      <c r="B11" s="1" t="s">
        <v>1459</v>
      </c>
      <c r="C11" s="1" t="s">
        <v>7</v>
      </c>
      <c r="D11" s="1" t="s">
        <v>1657</v>
      </c>
      <c r="E11" s="6">
        <v>15980</v>
      </c>
      <c r="F11" s="1" t="str">
        <f>VLOOKUP(D11,Table17[[Name]:[Native]],3,FALSE)</f>
        <v>澜沧拉祜族自治县</v>
      </c>
      <c r="G11" s="14" t="str">
        <f ca="1">VLOOKUP(F11,Table17[[Native]:[Population4]],5,FALSE)</f>
        <v>普洱市</v>
      </c>
    </row>
    <row r="12" spans="1:7" ht="15.75" thickBot="1" x14ac:dyDescent="0.3">
      <c r="A12" t="s">
        <v>1671</v>
      </c>
      <c r="B12" s="1" t="s">
        <v>1672</v>
      </c>
      <c r="C12" s="1" t="s">
        <v>7</v>
      </c>
      <c r="D12" s="1" t="s">
        <v>1673</v>
      </c>
      <c r="E12" s="6">
        <v>9840</v>
      </c>
      <c r="F12" s="1" t="str">
        <f>VLOOKUP(D12,Table17[[Name]:[Native]],3,FALSE)</f>
        <v>宁洱哈尼族彝族自治县</v>
      </c>
      <c r="G12" s="14" t="str">
        <f ca="1">VLOOKUP(F12,Table17[[Native]:[Population4]],5,FALSE)</f>
        <v>普洱市</v>
      </c>
    </row>
    <row r="13" spans="1:7" ht="15.75" thickBot="1" x14ac:dyDescent="0.3">
      <c r="A13" t="s">
        <v>1674</v>
      </c>
      <c r="B13" s="1" t="s">
        <v>1675</v>
      </c>
      <c r="C13" s="1" t="s">
        <v>11</v>
      </c>
      <c r="D13" s="1" t="s">
        <v>1673</v>
      </c>
      <c r="E13" s="6">
        <v>10455</v>
      </c>
      <c r="F13" s="1" t="str">
        <f>VLOOKUP(D13,Table17[[Name]:[Native]],3,FALSE)</f>
        <v>宁洱哈尼族彝族自治县</v>
      </c>
      <c r="G13" s="14" t="str">
        <f ca="1">VLOOKUP(F13,Table17[[Native]:[Population4]],5,FALSE)</f>
        <v>普洱市</v>
      </c>
    </row>
    <row r="14" spans="1:7" ht="15.75" thickBot="1" x14ac:dyDescent="0.3">
      <c r="A14" t="s">
        <v>1676</v>
      </c>
      <c r="B14" s="1" t="s">
        <v>1677</v>
      </c>
      <c r="C14" s="1" t="s">
        <v>7</v>
      </c>
      <c r="D14" s="1" t="s">
        <v>1657</v>
      </c>
      <c r="E14" s="6">
        <v>14771</v>
      </c>
      <c r="F14" s="1" t="str">
        <f>VLOOKUP(D14,Table17[[Name]:[Native]],3,FALSE)</f>
        <v>澜沧拉祜族自治县</v>
      </c>
      <c r="G14" s="14" t="str">
        <f ca="1">VLOOKUP(F14,Table17[[Native]:[Population4]],5,FALSE)</f>
        <v>普洱市</v>
      </c>
    </row>
    <row r="15" spans="1:7" ht="15.75" thickBot="1" x14ac:dyDescent="0.3">
      <c r="A15" t="s">
        <v>1678</v>
      </c>
      <c r="B15" s="1" t="s">
        <v>1679</v>
      </c>
      <c r="C15" s="1" t="s">
        <v>11</v>
      </c>
      <c r="D15" s="1" t="s">
        <v>1657</v>
      </c>
      <c r="E15" s="6">
        <v>15380</v>
      </c>
      <c r="F15" s="1" t="str">
        <f>VLOOKUP(D15,Table17[[Name]:[Native]],3,FALSE)</f>
        <v>澜沧拉祜族自治县</v>
      </c>
      <c r="G15" s="14" t="str">
        <f ca="1">VLOOKUP(F15,Table17[[Native]:[Population4]],5,FALSE)</f>
        <v>普洱市</v>
      </c>
    </row>
    <row r="16" spans="1:7" ht="15.75" thickBot="1" x14ac:dyDescent="0.3">
      <c r="A16" t="s">
        <v>1680</v>
      </c>
      <c r="B16" s="1" t="s">
        <v>1681</v>
      </c>
      <c r="C16" s="1" t="s">
        <v>11</v>
      </c>
      <c r="D16" s="1" t="s">
        <v>1651</v>
      </c>
      <c r="E16" s="6">
        <v>33448</v>
      </c>
      <c r="F16" s="1" t="str">
        <f>VLOOKUP(D16,Table17[[Name]:[Native]],3,FALSE)</f>
        <v>镇沅彝族哈尼族拉祜族自治县</v>
      </c>
      <c r="G16" s="14" t="str">
        <f ca="1">VLOOKUP(F16,Table17[[Native]:[Population4]],5,FALSE)</f>
        <v>普洱市</v>
      </c>
    </row>
    <row r="17" spans="1:7" ht="15.75" thickBot="1" x14ac:dyDescent="0.3">
      <c r="A17" t="s">
        <v>1682</v>
      </c>
      <c r="B17" s="1" t="s">
        <v>1683</v>
      </c>
      <c r="C17" s="1" t="s">
        <v>7</v>
      </c>
      <c r="D17" s="1" t="s">
        <v>1657</v>
      </c>
      <c r="E17" s="6">
        <v>15483</v>
      </c>
      <c r="F17" s="1" t="str">
        <f>VLOOKUP(D17,Table17[[Name]:[Native]],3,FALSE)</f>
        <v>澜沧拉祜族自治县</v>
      </c>
      <c r="G17" s="14" t="str">
        <f ca="1">VLOOKUP(F17,Table17[[Native]:[Population4]],5,FALSE)</f>
        <v>普洱市</v>
      </c>
    </row>
    <row r="18" spans="1:7" ht="15.75" thickBot="1" x14ac:dyDescent="0.3">
      <c r="A18" t="s">
        <v>1474</v>
      </c>
      <c r="B18" s="1" t="s">
        <v>1475</v>
      </c>
      <c r="C18" s="1" t="s">
        <v>11</v>
      </c>
      <c r="D18" s="1" t="s">
        <v>1661</v>
      </c>
      <c r="E18" s="6">
        <v>17761</v>
      </c>
      <c r="F18" s="1" t="str">
        <f>VLOOKUP(D18,Table17[[Name]:[Native]],3,FALSE)</f>
        <v>景谷傣族彝族自治县</v>
      </c>
      <c r="G18" s="14" t="str">
        <f ca="1">VLOOKUP(F18,Table17[[Native]:[Population4]],5,FALSE)</f>
        <v>普洱市</v>
      </c>
    </row>
    <row r="19" spans="1:7" ht="15.75" thickBot="1" x14ac:dyDescent="0.3">
      <c r="A19" t="s">
        <v>1684</v>
      </c>
      <c r="B19" s="1" t="s">
        <v>1685</v>
      </c>
      <c r="C19" s="1" t="s">
        <v>7</v>
      </c>
      <c r="D19" s="1" t="s">
        <v>1657</v>
      </c>
      <c r="E19" s="6">
        <v>21828</v>
      </c>
      <c r="F19" s="1" t="str">
        <f>VLOOKUP(D19,Table17[[Name]:[Native]],3,FALSE)</f>
        <v>澜沧拉祜族自治县</v>
      </c>
      <c r="G19" s="14" t="str">
        <f ca="1">VLOOKUP(F19,Table17[[Native]:[Population4]],5,FALSE)</f>
        <v>普洱市</v>
      </c>
    </row>
    <row r="20" spans="1:7" ht="15.75" thickBot="1" x14ac:dyDescent="0.3">
      <c r="A20" t="s">
        <v>1686</v>
      </c>
      <c r="B20" s="1" t="s">
        <v>1687</v>
      </c>
      <c r="C20" s="1" t="s">
        <v>7</v>
      </c>
      <c r="D20" s="1" t="s">
        <v>1657</v>
      </c>
      <c r="E20" s="6">
        <v>16754</v>
      </c>
      <c r="F20" s="1" t="str">
        <f>VLOOKUP(D20,Table17[[Name]:[Native]],3,FALSE)</f>
        <v>澜沧拉祜族自治县</v>
      </c>
      <c r="G20" s="14" t="str">
        <f ca="1">VLOOKUP(F20,Table17[[Native]:[Population4]],5,FALSE)</f>
        <v>普洱市</v>
      </c>
    </row>
    <row r="21" spans="1:7" ht="15.75" thickBot="1" x14ac:dyDescent="0.3">
      <c r="A21" t="s">
        <v>1688</v>
      </c>
      <c r="B21" s="1" t="s">
        <v>1689</v>
      </c>
      <c r="C21" s="1" t="s">
        <v>11</v>
      </c>
      <c r="D21" s="1" t="s">
        <v>1690</v>
      </c>
      <c r="E21" s="6">
        <v>12510</v>
      </c>
      <c r="F21" s="1" t="str">
        <f>VLOOKUP(D21,Table17[[Name]:[Native]],3,FALSE)</f>
        <v>孟连傣族拉祜族佤族自治县</v>
      </c>
      <c r="G21" s="14" t="str">
        <f ca="1">VLOOKUP(F21,Table17[[Native]:[Population4]],5,FALSE)</f>
        <v>普洱市</v>
      </c>
    </row>
    <row r="22" spans="1:7" ht="15.75" thickBot="1" x14ac:dyDescent="0.3">
      <c r="A22" t="s">
        <v>1691</v>
      </c>
      <c r="B22" s="1" t="s">
        <v>1692</v>
      </c>
      <c r="C22" s="1" t="s">
        <v>7</v>
      </c>
      <c r="D22" s="1" t="s">
        <v>1690</v>
      </c>
      <c r="E22" s="6">
        <v>15030</v>
      </c>
      <c r="F22" s="1" t="str">
        <f>VLOOKUP(D22,Table17[[Name]:[Native]],3,FALSE)</f>
        <v>孟连傣族拉祜族佤族自治县</v>
      </c>
      <c r="G22" s="14" t="str">
        <f ca="1">VLOOKUP(F22,Table17[[Native]:[Population4]],5,FALSE)</f>
        <v>普洱市</v>
      </c>
    </row>
    <row r="23" spans="1:7" ht="15.75" thickBot="1" x14ac:dyDescent="0.3">
      <c r="A23" t="s">
        <v>1693</v>
      </c>
      <c r="B23" s="1" t="s">
        <v>1694</v>
      </c>
      <c r="C23" s="1" t="s">
        <v>11</v>
      </c>
      <c r="D23" s="1" t="s">
        <v>1651</v>
      </c>
      <c r="E23" s="6">
        <v>14720</v>
      </c>
      <c r="F23" s="1" t="str">
        <f>VLOOKUP(D23,Table17[[Name]:[Native]],3,FALSE)</f>
        <v>镇沅彝族哈尼族拉祜族自治县</v>
      </c>
      <c r="G23" s="14" t="str">
        <f ca="1">VLOOKUP(F23,Table17[[Native]:[Population4]],5,FALSE)</f>
        <v>普洱市</v>
      </c>
    </row>
    <row r="24" spans="1:7" ht="15.75" thickBot="1" x14ac:dyDescent="0.3">
      <c r="A24" t="s">
        <v>1695</v>
      </c>
      <c r="B24" s="1" t="s">
        <v>1696</v>
      </c>
      <c r="C24" s="1" t="s">
        <v>7</v>
      </c>
      <c r="D24" s="1" t="s">
        <v>1664</v>
      </c>
      <c r="E24" s="6">
        <v>13898</v>
      </c>
      <c r="F24" s="1" t="str">
        <f>VLOOKUP(D24,Table17[[Name]:[Native]],3,FALSE)</f>
        <v>江城哈尼族彝族自治县</v>
      </c>
      <c r="G24" s="14" t="str">
        <f ca="1">VLOOKUP(F24,Table17[[Native]:[Population4]],5,FALSE)</f>
        <v>普洱市</v>
      </c>
    </row>
    <row r="25" spans="1:7" ht="15.75" thickBot="1" x14ac:dyDescent="0.3">
      <c r="A25" t="s">
        <v>226</v>
      </c>
      <c r="B25" s="1" t="s">
        <v>227</v>
      </c>
      <c r="C25" s="1" t="s">
        <v>11</v>
      </c>
      <c r="D25" s="1" t="s">
        <v>1651</v>
      </c>
      <c r="E25" s="6">
        <v>11979</v>
      </c>
      <c r="F25" s="1" t="str">
        <f>VLOOKUP(D25,Table17[[Name]:[Native]],3,FALSE)</f>
        <v>镇沅彝族哈尼族拉祜族自治县</v>
      </c>
      <c r="G25" s="14" t="str">
        <f ca="1">VLOOKUP(F25,Table17[[Native]:[Population4]],5,FALSE)</f>
        <v>普洱市</v>
      </c>
    </row>
    <row r="26" spans="1:7" ht="15.75" thickBot="1" x14ac:dyDescent="0.3">
      <c r="A26" t="s">
        <v>1697</v>
      </c>
      <c r="B26" s="1" t="s">
        <v>1698</v>
      </c>
      <c r="C26" s="1" t="s">
        <v>11</v>
      </c>
      <c r="D26" s="1" t="s">
        <v>1654</v>
      </c>
      <c r="E26" s="6">
        <v>28042</v>
      </c>
      <c r="F26" s="1" t="str">
        <f>VLOOKUP(D26,Table17[[Name]:[Native]],3,FALSE)</f>
        <v>景东彝族自治县</v>
      </c>
      <c r="G26" s="14" t="str">
        <f ca="1">VLOOKUP(F26,Table17[[Native]:[Population4]],5,FALSE)</f>
        <v>普洱市</v>
      </c>
    </row>
    <row r="27" spans="1:7" ht="15.75" thickBot="1" x14ac:dyDescent="0.3">
      <c r="A27" t="s">
        <v>1699</v>
      </c>
      <c r="B27" s="1" t="s">
        <v>1700</v>
      </c>
      <c r="C27" s="1" t="s">
        <v>11</v>
      </c>
      <c r="D27" s="1" t="s">
        <v>1657</v>
      </c>
      <c r="E27" s="6">
        <v>17303</v>
      </c>
      <c r="F27" s="1" t="str">
        <f>VLOOKUP(D27,Table17[[Name]:[Native]],3,FALSE)</f>
        <v>澜沧拉祜族自治县</v>
      </c>
      <c r="G27" s="14" t="str">
        <f ca="1">VLOOKUP(F27,Table17[[Native]:[Population4]],5,FALSE)</f>
        <v>普洱市</v>
      </c>
    </row>
    <row r="28" spans="1:7" ht="15.75" thickBot="1" x14ac:dyDescent="0.3">
      <c r="A28" t="s">
        <v>1701</v>
      </c>
      <c r="B28" s="1" t="s">
        <v>1702</v>
      </c>
      <c r="C28" s="1" t="s">
        <v>7</v>
      </c>
      <c r="D28" s="1" t="s">
        <v>1664</v>
      </c>
      <c r="E28" s="6">
        <v>14727</v>
      </c>
      <c r="F28" s="1" t="str">
        <f>VLOOKUP(D28,Table17[[Name]:[Native]],3,FALSE)</f>
        <v>江城哈尼族彝族自治县</v>
      </c>
      <c r="G28" s="14" t="str">
        <f ca="1">VLOOKUP(F28,Table17[[Native]:[Population4]],5,FALSE)</f>
        <v>普洱市</v>
      </c>
    </row>
    <row r="29" spans="1:7" ht="15.75" thickBot="1" x14ac:dyDescent="0.3">
      <c r="A29" t="s">
        <v>1703</v>
      </c>
      <c r="B29" s="1" t="s">
        <v>1704</v>
      </c>
      <c r="C29" s="1" t="s">
        <v>11</v>
      </c>
      <c r="D29" s="1" t="s">
        <v>1654</v>
      </c>
      <c r="E29" s="6">
        <v>21067</v>
      </c>
      <c r="F29" s="1" t="str">
        <f>VLOOKUP(D29,Table17[[Name]:[Native]],3,FALSE)</f>
        <v>景东彝族自治县</v>
      </c>
      <c r="G29" s="14" t="str">
        <f ca="1">VLOOKUP(F29,Table17[[Native]:[Population4]],5,FALSE)</f>
        <v>普洱市</v>
      </c>
    </row>
    <row r="30" spans="1:7" ht="15.75" thickBot="1" x14ac:dyDescent="0.3">
      <c r="A30" t="s">
        <v>1705</v>
      </c>
      <c r="B30" s="1" t="s">
        <v>1706</v>
      </c>
      <c r="C30" s="1" t="s">
        <v>11</v>
      </c>
      <c r="D30" s="1" t="s">
        <v>1661</v>
      </c>
      <c r="E30" s="6">
        <v>15331</v>
      </c>
      <c r="F30" s="1" t="str">
        <f>VLOOKUP(D30,Table17[[Name]:[Native]],3,FALSE)</f>
        <v>景谷傣族彝族自治县</v>
      </c>
      <c r="G30" s="14" t="str">
        <f ca="1">VLOOKUP(F30,Table17[[Native]:[Population4]],5,FALSE)</f>
        <v>普洱市</v>
      </c>
    </row>
    <row r="31" spans="1:7" ht="15.75" thickBot="1" x14ac:dyDescent="0.3">
      <c r="A31" t="s">
        <v>1707</v>
      </c>
      <c r="B31" s="1" t="s">
        <v>1708</v>
      </c>
      <c r="C31" s="1" t="s">
        <v>11</v>
      </c>
      <c r="D31" s="1" t="s">
        <v>1660</v>
      </c>
      <c r="E31" s="6">
        <v>22201</v>
      </c>
      <c r="F31" s="1" t="str">
        <f>VLOOKUP(D31,Table17[[Name]:[Native]],3,FALSE)</f>
        <v>墨江哈尼族自治县</v>
      </c>
      <c r="G31" s="14" t="str">
        <f ca="1">VLOOKUP(F31,Table17[[Native]:[Population4]],5,FALSE)</f>
        <v>普洱市</v>
      </c>
    </row>
    <row r="32" spans="1:7" ht="15.75" thickBot="1" x14ac:dyDescent="0.3">
      <c r="A32" t="s">
        <v>1709</v>
      </c>
      <c r="B32" s="1" t="s">
        <v>1710</v>
      </c>
      <c r="C32" s="1" t="s">
        <v>7</v>
      </c>
      <c r="D32" s="1" t="s">
        <v>1690</v>
      </c>
      <c r="E32" s="6">
        <v>12545</v>
      </c>
      <c r="F32" s="1" t="str">
        <f>VLOOKUP(D32,Table17[[Name]:[Native]],3,FALSE)</f>
        <v>孟连傣族拉祜族佤族自治县</v>
      </c>
      <c r="G32" s="14" t="str">
        <f ca="1">VLOOKUP(F32,Table17[[Native]:[Population4]],5,FALSE)</f>
        <v>普洱市</v>
      </c>
    </row>
    <row r="33" spans="1:7" ht="15.75" thickBot="1" x14ac:dyDescent="0.3">
      <c r="A33" t="s">
        <v>1711</v>
      </c>
      <c r="B33" s="1" t="s">
        <v>1712</v>
      </c>
      <c r="C33" s="1" t="s">
        <v>11</v>
      </c>
      <c r="D33" s="1" t="s">
        <v>1654</v>
      </c>
      <c r="E33" s="6">
        <v>64321</v>
      </c>
      <c r="F33" s="1" t="str">
        <f>VLOOKUP(D33,Table17[[Name]:[Native]],3,FALSE)</f>
        <v>景东彝族自治县</v>
      </c>
      <c r="G33" s="14" t="str">
        <f ca="1">VLOOKUP(F33,Table17[[Native]:[Population4]],5,FALSE)</f>
        <v>普洱市</v>
      </c>
    </row>
    <row r="34" spans="1:7" ht="15.75" thickBot="1" x14ac:dyDescent="0.3">
      <c r="A34" t="s">
        <v>1713</v>
      </c>
      <c r="B34" s="1" t="s">
        <v>1714</v>
      </c>
      <c r="C34" s="1" t="s">
        <v>11</v>
      </c>
      <c r="D34" s="1" t="s">
        <v>1651</v>
      </c>
      <c r="E34" s="6">
        <v>15579</v>
      </c>
      <c r="F34" s="1" t="str">
        <f>VLOOKUP(D34,Table17[[Name]:[Native]],3,FALSE)</f>
        <v>镇沅彝族哈尼族拉祜族自治县</v>
      </c>
      <c r="G34" s="14" t="str">
        <f ca="1">VLOOKUP(F34,Table17[[Native]:[Population4]],5,FALSE)</f>
        <v>普洱市</v>
      </c>
    </row>
    <row r="35" spans="1:7" ht="15.75" thickBot="1" x14ac:dyDescent="0.3">
      <c r="A35" t="s">
        <v>1715</v>
      </c>
      <c r="B35" s="1" t="s">
        <v>1716</v>
      </c>
      <c r="C35" s="1" t="s">
        <v>7</v>
      </c>
      <c r="D35" s="1" t="s">
        <v>1657</v>
      </c>
      <c r="E35" s="6">
        <v>13716</v>
      </c>
      <c r="F35" s="1" t="str">
        <f>VLOOKUP(D35,Table17[[Name]:[Native]],3,FALSE)</f>
        <v>澜沧拉祜族自治县</v>
      </c>
      <c r="G35" s="14" t="str">
        <f ca="1">VLOOKUP(F35,Table17[[Native]:[Population4]],5,FALSE)</f>
        <v>普洱市</v>
      </c>
    </row>
    <row r="36" spans="1:7" ht="15.75" thickBot="1" x14ac:dyDescent="0.3">
      <c r="A36" t="s">
        <v>1717</v>
      </c>
      <c r="B36" s="1" t="s">
        <v>1718</v>
      </c>
      <c r="C36" s="1" t="s">
        <v>11</v>
      </c>
      <c r="D36" s="1" t="s">
        <v>1664</v>
      </c>
      <c r="E36" s="6">
        <v>22516</v>
      </c>
      <c r="F36" s="1" t="str">
        <f>VLOOKUP(D36,Table17[[Name]:[Native]],3,FALSE)</f>
        <v>江城哈尼族彝族自治县</v>
      </c>
      <c r="G36" s="14" t="str">
        <f ca="1">VLOOKUP(F36,Table17[[Native]:[Population4]],5,FALSE)</f>
        <v>普洱市</v>
      </c>
    </row>
    <row r="37" spans="1:7" ht="15.75" thickBot="1" x14ac:dyDescent="0.3">
      <c r="A37" t="s">
        <v>1719</v>
      </c>
      <c r="B37" s="1" t="s">
        <v>1720</v>
      </c>
      <c r="C37" s="1" t="s">
        <v>7</v>
      </c>
      <c r="D37" s="1" t="s">
        <v>1657</v>
      </c>
      <c r="E37" s="6">
        <v>14636</v>
      </c>
      <c r="F37" s="1" t="str">
        <f>VLOOKUP(D37,Table17[[Name]:[Native]],3,FALSE)</f>
        <v>澜沧拉祜族自治县</v>
      </c>
      <c r="G37" s="14" t="str">
        <f ca="1">VLOOKUP(F37,Table17[[Native]:[Population4]],5,FALSE)</f>
        <v>普洱市</v>
      </c>
    </row>
    <row r="38" spans="1:7" ht="15.75" thickBot="1" x14ac:dyDescent="0.3">
      <c r="A38" t="s">
        <v>1721</v>
      </c>
      <c r="B38" s="1" t="s">
        <v>1722</v>
      </c>
      <c r="C38" s="1" t="s">
        <v>11</v>
      </c>
      <c r="D38" s="1" t="s">
        <v>1660</v>
      </c>
      <c r="E38" s="6">
        <v>91879</v>
      </c>
      <c r="F38" s="1" t="str">
        <f>VLOOKUP(D38,Table17[[Name]:[Native]],3,FALSE)</f>
        <v>墨江哈尼族自治县</v>
      </c>
      <c r="G38" s="14" t="str">
        <f ca="1">VLOOKUP(F38,Table17[[Native]:[Population4]],5,FALSE)</f>
        <v>普洱市</v>
      </c>
    </row>
    <row r="39" spans="1:7" ht="15.75" thickBot="1" x14ac:dyDescent="0.3">
      <c r="A39" t="s">
        <v>1723</v>
      </c>
      <c r="B39" s="1" t="s">
        <v>1724</v>
      </c>
      <c r="C39" s="1" t="s">
        <v>7</v>
      </c>
      <c r="D39" s="1" t="s">
        <v>1673</v>
      </c>
      <c r="E39" s="6">
        <v>10145</v>
      </c>
      <c r="F39" s="1" t="str">
        <f>VLOOKUP(D39,Table17[[Name]:[Native]],3,FALSE)</f>
        <v>宁洱哈尼族彝族自治县</v>
      </c>
      <c r="G39" s="14" t="str">
        <f ca="1">VLOOKUP(F39,Table17[[Native]:[Population4]],5,FALSE)</f>
        <v>普洱市</v>
      </c>
    </row>
    <row r="40" spans="1:7" ht="15.75" thickBot="1" x14ac:dyDescent="0.3">
      <c r="A40" t="s">
        <v>1725</v>
      </c>
      <c r="B40" s="1" t="s">
        <v>1726</v>
      </c>
      <c r="C40" s="1" t="s">
        <v>7</v>
      </c>
      <c r="D40" s="1" t="s">
        <v>1654</v>
      </c>
      <c r="E40" s="6">
        <v>13583</v>
      </c>
      <c r="F40" s="1" t="str">
        <f>VLOOKUP(D40,Table17[[Name]:[Native]],3,FALSE)</f>
        <v>景东彝族自治县</v>
      </c>
      <c r="G40" s="14" t="str">
        <f ca="1">VLOOKUP(F40,Table17[[Native]:[Population4]],5,FALSE)</f>
        <v>普洱市</v>
      </c>
    </row>
    <row r="41" spans="1:7" ht="15.75" thickBot="1" x14ac:dyDescent="0.3">
      <c r="A41" t="s">
        <v>1727</v>
      </c>
      <c r="B41" s="1" t="s">
        <v>1728</v>
      </c>
      <c r="C41" s="1" t="s">
        <v>7</v>
      </c>
      <c r="D41" s="1" t="s">
        <v>1729</v>
      </c>
      <c r="E41" s="6">
        <v>11899</v>
      </c>
      <c r="F41" s="1" t="str">
        <f>VLOOKUP(D41,Table17[[Name]:[Native]],3,FALSE)</f>
        <v>西盟佤族自治县</v>
      </c>
      <c r="G41" s="14" t="str">
        <f ca="1">VLOOKUP(F41,Table17[[Native]:[Population4]],5,FALSE)</f>
        <v>普洱市</v>
      </c>
    </row>
    <row r="42" spans="1:7" ht="15.75" thickBot="1" x14ac:dyDescent="0.3">
      <c r="A42" t="s">
        <v>1730</v>
      </c>
      <c r="B42" s="1" t="s">
        <v>1731</v>
      </c>
      <c r="C42" s="1" t="s">
        <v>11</v>
      </c>
      <c r="D42" s="1" t="s">
        <v>1732</v>
      </c>
      <c r="E42" s="6">
        <v>12712</v>
      </c>
      <c r="F42" s="1" t="str">
        <f>VLOOKUP(D42,Table17[[Name]:[Native]],3,FALSE)</f>
        <v>思茅区</v>
      </c>
      <c r="G42" s="14" t="str">
        <f ca="1">VLOOKUP(F42,Table17[[Native]:[Population4]],5,FALSE)</f>
        <v>普洱市</v>
      </c>
    </row>
    <row r="43" spans="1:7" ht="15.75" thickBot="1" x14ac:dyDescent="0.3">
      <c r="A43" t="s">
        <v>1733</v>
      </c>
      <c r="B43" s="1" t="s">
        <v>1734</v>
      </c>
      <c r="C43" s="1" t="s">
        <v>11</v>
      </c>
      <c r="D43" s="1" t="s">
        <v>1660</v>
      </c>
      <c r="E43" s="6">
        <v>22286</v>
      </c>
      <c r="F43" s="1" t="str">
        <f>VLOOKUP(D43,Table17[[Name]:[Native]],3,FALSE)</f>
        <v>墨江哈尼族自治县</v>
      </c>
      <c r="G43" s="14" t="str">
        <f ca="1">VLOOKUP(F43,Table17[[Native]:[Population4]],5,FALSE)</f>
        <v>普洱市</v>
      </c>
    </row>
    <row r="44" spans="1:7" ht="15.75" thickBot="1" x14ac:dyDescent="0.3">
      <c r="A44" t="s">
        <v>1735</v>
      </c>
      <c r="B44" s="1" t="s">
        <v>1736</v>
      </c>
      <c r="C44" s="1" t="s">
        <v>7</v>
      </c>
      <c r="D44" s="1" t="s">
        <v>1654</v>
      </c>
      <c r="E44" s="6">
        <v>20103</v>
      </c>
      <c r="F44" s="1" t="str">
        <f>VLOOKUP(D44,Table17[[Name]:[Native]],3,FALSE)</f>
        <v>景东彝族自治县</v>
      </c>
      <c r="G44" s="14" t="str">
        <f ca="1">VLOOKUP(F44,Table17[[Native]:[Population4]],5,FALSE)</f>
        <v>普洱市</v>
      </c>
    </row>
    <row r="45" spans="1:7" ht="15.75" thickBot="1" x14ac:dyDescent="0.3">
      <c r="A45" t="s">
        <v>474</v>
      </c>
      <c r="B45" s="1" t="s">
        <v>475</v>
      </c>
      <c r="C45" s="1" t="s">
        <v>7</v>
      </c>
      <c r="D45" s="1" t="s">
        <v>1660</v>
      </c>
      <c r="E45" s="6">
        <v>13019</v>
      </c>
      <c r="F45" s="1" t="str">
        <f>VLOOKUP(D45,Table17[[Name]:[Native]],3,FALSE)</f>
        <v>墨江哈尼族自治县</v>
      </c>
      <c r="G45" s="14" t="str">
        <f ca="1">VLOOKUP(F45,Table17[[Native]:[Population4]],5,FALSE)</f>
        <v>普洱市</v>
      </c>
    </row>
    <row r="46" spans="1:7" ht="15.75" thickBot="1" x14ac:dyDescent="0.3">
      <c r="A46" t="s">
        <v>1737</v>
      </c>
      <c r="B46" s="1" t="s">
        <v>1738</v>
      </c>
      <c r="C46" s="1" t="s">
        <v>7</v>
      </c>
      <c r="D46" s="1" t="s">
        <v>1732</v>
      </c>
      <c r="E46" s="6">
        <v>9585</v>
      </c>
      <c r="F46" s="1" t="str">
        <f>VLOOKUP(D46,Table17[[Name]:[Native]],3,FALSE)</f>
        <v>思茅区</v>
      </c>
      <c r="G46" s="14" t="str">
        <f ca="1">VLOOKUP(F46,Table17[[Native]:[Population4]],5,FALSE)</f>
        <v>普洱市</v>
      </c>
    </row>
    <row r="47" spans="1:7" ht="15.75" thickBot="1" x14ac:dyDescent="0.3">
      <c r="A47" t="s">
        <v>1739</v>
      </c>
      <c r="B47" s="1" t="s">
        <v>1740</v>
      </c>
      <c r="C47" s="1" t="s">
        <v>7</v>
      </c>
      <c r="D47" s="1" t="s">
        <v>1654</v>
      </c>
      <c r="E47" s="6">
        <v>15974</v>
      </c>
      <c r="F47" s="1" t="str">
        <f>VLOOKUP(D47,Table17[[Name]:[Native]],3,FALSE)</f>
        <v>景东彝族自治县</v>
      </c>
      <c r="G47" s="14" t="str">
        <f ca="1">VLOOKUP(F47,Table17[[Native]:[Population4]],5,FALSE)</f>
        <v>普洱市</v>
      </c>
    </row>
    <row r="48" spans="1:7" ht="15.75" thickBot="1" x14ac:dyDescent="0.3">
      <c r="A48" t="s">
        <v>1741</v>
      </c>
      <c r="B48" s="1" t="s">
        <v>1742</v>
      </c>
      <c r="C48" s="1" t="s">
        <v>11</v>
      </c>
      <c r="D48" s="1" t="s">
        <v>1690</v>
      </c>
      <c r="E48" s="6">
        <v>16939</v>
      </c>
      <c r="F48" s="1" t="str">
        <f>VLOOKUP(D48,Table17[[Name]:[Native]],3,FALSE)</f>
        <v>孟连傣族拉祜族佤族自治县</v>
      </c>
      <c r="G48" s="14" t="str">
        <f ca="1">VLOOKUP(F48,Table17[[Native]:[Population4]],5,FALSE)</f>
        <v>普洱市</v>
      </c>
    </row>
    <row r="49" spans="1:7" ht="15.75" thickBot="1" x14ac:dyDescent="0.3">
      <c r="A49" t="s">
        <v>1509</v>
      </c>
      <c r="B49" s="1" t="s">
        <v>1510</v>
      </c>
      <c r="C49" s="1" t="s">
        <v>11</v>
      </c>
      <c r="D49" s="1" t="s">
        <v>1654</v>
      </c>
      <c r="E49" s="6">
        <v>19842</v>
      </c>
      <c r="F49" s="1" t="str">
        <f>VLOOKUP(D49,Table17[[Name]:[Native]],3,FALSE)</f>
        <v>景东彝族自治县</v>
      </c>
      <c r="G49" s="14" t="str">
        <f ca="1">VLOOKUP(F49,Table17[[Native]:[Population4]],5,FALSE)</f>
        <v>普洱市</v>
      </c>
    </row>
    <row r="50" spans="1:7" ht="15.75" thickBot="1" x14ac:dyDescent="0.3">
      <c r="A50" t="s">
        <v>1743</v>
      </c>
      <c r="B50" s="1" t="s">
        <v>1744</v>
      </c>
      <c r="C50" s="1" t="s">
        <v>11</v>
      </c>
      <c r="D50" s="1" t="s">
        <v>1673</v>
      </c>
      <c r="E50" s="6">
        <v>10051</v>
      </c>
      <c r="F50" s="1" t="str">
        <f>VLOOKUP(D50,Table17[[Name]:[Native]],3,FALSE)</f>
        <v>宁洱哈尼族彝族自治县</v>
      </c>
      <c r="G50" s="14" t="str">
        <f ca="1">VLOOKUP(F50,Table17[[Native]:[Population4]],5,FALSE)</f>
        <v>普洱市</v>
      </c>
    </row>
    <row r="51" spans="1:7" ht="15.75" thickBot="1" x14ac:dyDescent="0.3">
      <c r="A51" t="s">
        <v>1745</v>
      </c>
      <c r="B51" s="1" t="s">
        <v>1746</v>
      </c>
      <c r="C51" s="1" t="s">
        <v>7</v>
      </c>
      <c r="D51" s="1" t="s">
        <v>1661</v>
      </c>
      <c r="E51" s="6">
        <v>18635</v>
      </c>
      <c r="F51" s="1" t="str">
        <f>VLOOKUP(D51,Table17[[Name]:[Native]],3,FALSE)</f>
        <v>景谷傣族彝族自治县</v>
      </c>
      <c r="G51" s="14" t="str">
        <f ca="1">VLOOKUP(F51,Table17[[Native]:[Population4]],5,FALSE)</f>
        <v>普洱市</v>
      </c>
    </row>
    <row r="52" spans="1:7" ht="15.75" thickBot="1" x14ac:dyDescent="0.3">
      <c r="A52" t="s">
        <v>1747</v>
      </c>
      <c r="B52" s="1" t="s">
        <v>1748</v>
      </c>
      <c r="C52" s="1" t="s">
        <v>11</v>
      </c>
      <c r="D52" s="1" t="s">
        <v>1651</v>
      </c>
      <c r="E52" s="6">
        <v>41343</v>
      </c>
      <c r="F52" s="1" t="str">
        <f>VLOOKUP(D52,Table17[[Name]:[Native]],3,FALSE)</f>
        <v>镇沅彝族哈尼族拉祜族自治县</v>
      </c>
      <c r="G52" s="14" t="str">
        <f ca="1">VLOOKUP(F52,Table17[[Native]:[Population4]],5,FALSE)</f>
        <v>普洱市</v>
      </c>
    </row>
    <row r="53" spans="1:7" ht="15.75" thickBot="1" x14ac:dyDescent="0.3">
      <c r="A53" t="s">
        <v>1749</v>
      </c>
      <c r="B53" s="1" t="s">
        <v>1750</v>
      </c>
      <c r="C53" s="1" t="s">
        <v>11</v>
      </c>
      <c r="D53" s="1" t="s">
        <v>1729</v>
      </c>
      <c r="E53" s="6">
        <v>17054</v>
      </c>
      <c r="F53" s="1" t="str">
        <f>VLOOKUP(D53,Table17[[Name]:[Native]],3,FALSE)</f>
        <v>西盟佤族自治县</v>
      </c>
      <c r="G53" s="14" t="str">
        <f ca="1">VLOOKUP(F53,Table17[[Native]:[Population4]],5,FALSE)</f>
        <v>普洱市</v>
      </c>
    </row>
    <row r="54" spans="1:7" ht="15.75" thickBot="1" x14ac:dyDescent="0.3">
      <c r="A54" t="s">
        <v>1751</v>
      </c>
      <c r="B54" s="1" t="s">
        <v>1752</v>
      </c>
      <c r="C54" s="1" t="s">
        <v>11</v>
      </c>
      <c r="D54" s="1" t="s">
        <v>1657</v>
      </c>
      <c r="E54" s="6">
        <v>86877</v>
      </c>
      <c r="F54" s="1" t="str">
        <f>VLOOKUP(D54,Table17[[Name]:[Native]],3,FALSE)</f>
        <v>澜沧拉祜族自治县</v>
      </c>
      <c r="G54" s="14" t="str">
        <f ca="1">VLOOKUP(F54,Table17[[Native]:[Population4]],5,FALSE)</f>
        <v>普洱市</v>
      </c>
    </row>
    <row r="55" spans="1:7" ht="15.75" thickBot="1" x14ac:dyDescent="0.3">
      <c r="A55" t="s">
        <v>1753</v>
      </c>
      <c r="B55" s="1" t="s">
        <v>1754</v>
      </c>
      <c r="C55" s="1" t="s">
        <v>11</v>
      </c>
      <c r="D55" s="1" t="s">
        <v>1664</v>
      </c>
      <c r="E55" s="6">
        <v>32306</v>
      </c>
      <c r="F55" s="1" t="str">
        <f>VLOOKUP(D55,Table17[[Name]:[Native]],3,FALSE)</f>
        <v>江城哈尼族彝族自治县</v>
      </c>
      <c r="G55" s="14" t="str">
        <f ca="1">VLOOKUP(F55,Table17[[Native]:[Population4]],5,FALSE)</f>
        <v>普洱市</v>
      </c>
    </row>
    <row r="56" spans="1:7" ht="15.75" thickBot="1" x14ac:dyDescent="0.3">
      <c r="A56" t="s">
        <v>1755</v>
      </c>
      <c r="B56" s="1" t="s">
        <v>1756</v>
      </c>
      <c r="C56" s="1" t="s">
        <v>11</v>
      </c>
      <c r="D56" s="1" t="s">
        <v>1690</v>
      </c>
      <c r="E56" s="6">
        <v>30486</v>
      </c>
      <c r="F56" s="1" t="str">
        <f>VLOOKUP(D56,Table17[[Name]:[Native]],3,FALSE)</f>
        <v>孟连傣族拉祜族佤族自治县</v>
      </c>
      <c r="G56" s="14" t="str">
        <f ca="1">VLOOKUP(F56,Table17[[Native]:[Population4]],5,FALSE)</f>
        <v>普洱市</v>
      </c>
    </row>
    <row r="57" spans="1:7" ht="15.75" thickBot="1" x14ac:dyDescent="0.3">
      <c r="A57" t="s">
        <v>1757</v>
      </c>
      <c r="B57" s="1" t="s">
        <v>1758</v>
      </c>
      <c r="C57" s="1" t="s">
        <v>7</v>
      </c>
      <c r="D57" s="1" t="s">
        <v>1660</v>
      </c>
      <c r="E57" s="6">
        <v>12171</v>
      </c>
      <c r="F57" s="1" t="str">
        <f>VLOOKUP(D57,Table17[[Name]:[Native]],3,FALSE)</f>
        <v>墨江哈尼族自治县</v>
      </c>
      <c r="G57" s="14" t="str">
        <f ca="1">VLOOKUP(F57,Table17[[Native]:[Population4]],5,FALSE)</f>
        <v>普洱市</v>
      </c>
    </row>
    <row r="58" spans="1:7" ht="15.75" thickBot="1" x14ac:dyDescent="0.3">
      <c r="A58" t="s">
        <v>1759</v>
      </c>
      <c r="B58" s="1" t="s">
        <v>1760</v>
      </c>
      <c r="C58" s="1" t="s">
        <v>11</v>
      </c>
      <c r="D58" s="1" t="s">
        <v>1729</v>
      </c>
      <c r="E58" s="6">
        <v>21307</v>
      </c>
      <c r="F58" s="1" t="str">
        <f>VLOOKUP(D58,Table17[[Name]:[Native]],3,FALSE)</f>
        <v>西盟佤族自治县</v>
      </c>
      <c r="G58" s="14" t="str">
        <f ca="1">VLOOKUP(F58,Table17[[Native]:[Population4]],5,FALSE)</f>
        <v>普洱市</v>
      </c>
    </row>
    <row r="59" spans="1:7" ht="15.75" thickBot="1" x14ac:dyDescent="0.3">
      <c r="A59" t="s">
        <v>1761</v>
      </c>
      <c r="B59" s="1" t="s">
        <v>1762</v>
      </c>
      <c r="C59" s="1" t="s">
        <v>11</v>
      </c>
      <c r="D59" s="1" t="s">
        <v>1673</v>
      </c>
      <c r="E59" s="6">
        <v>19666</v>
      </c>
      <c r="F59" s="1" t="str">
        <f>VLOOKUP(D59,Table17[[Name]:[Native]],3,FALSE)</f>
        <v>宁洱哈尼族彝族自治县</v>
      </c>
      <c r="G59" s="14" t="str">
        <f ca="1">VLOOKUP(F59,Table17[[Native]:[Population4]],5,FALSE)</f>
        <v>普洱市</v>
      </c>
    </row>
    <row r="60" spans="1:7" ht="15.75" thickBot="1" x14ac:dyDescent="0.3">
      <c r="A60" t="s">
        <v>1763</v>
      </c>
      <c r="B60" s="1" t="s">
        <v>1764</v>
      </c>
      <c r="C60" s="1" t="s">
        <v>11</v>
      </c>
      <c r="D60" s="1" t="s">
        <v>1661</v>
      </c>
      <c r="E60" s="6">
        <v>22964</v>
      </c>
      <c r="F60" s="1" t="str">
        <f>VLOOKUP(D60,Table17[[Name]:[Native]],3,FALSE)</f>
        <v>景谷傣族彝族自治县</v>
      </c>
      <c r="G60" s="14" t="str">
        <f ca="1">VLOOKUP(F60,Table17[[Native]:[Population4]],5,FALSE)</f>
        <v>普洱市</v>
      </c>
    </row>
    <row r="61" spans="1:7" ht="15.75" thickBot="1" x14ac:dyDescent="0.3">
      <c r="A61" t="s">
        <v>1765</v>
      </c>
      <c r="B61" s="1" t="s">
        <v>1766</v>
      </c>
      <c r="C61" s="1" t="s">
        <v>11</v>
      </c>
      <c r="D61" s="1" t="s">
        <v>1673</v>
      </c>
      <c r="E61" s="6">
        <v>20962</v>
      </c>
      <c r="F61" s="1" t="str">
        <f>VLOOKUP(D61,Table17[[Name]:[Native]],3,FALSE)</f>
        <v>宁洱哈尼族彝族自治县</v>
      </c>
      <c r="G61" s="14" t="str">
        <f ca="1">VLOOKUP(F61,Table17[[Native]:[Population4]],5,FALSE)</f>
        <v>普洱市</v>
      </c>
    </row>
    <row r="62" spans="1:7" ht="15.75" thickBot="1" x14ac:dyDescent="0.3">
      <c r="A62" t="s">
        <v>1767</v>
      </c>
      <c r="B62" s="1" t="s">
        <v>1768</v>
      </c>
      <c r="C62" s="1" t="s">
        <v>7</v>
      </c>
      <c r="D62" s="1" t="s">
        <v>1657</v>
      </c>
      <c r="E62" s="6">
        <v>16180</v>
      </c>
      <c r="F62" s="1" t="str">
        <f>VLOOKUP(D62,Table17[[Name]:[Native]],3,FALSE)</f>
        <v>澜沧拉祜族自治县</v>
      </c>
      <c r="G62" s="14" t="str">
        <f ca="1">VLOOKUP(F62,Table17[[Native]:[Population4]],5,FALSE)</f>
        <v>普洱市</v>
      </c>
    </row>
    <row r="63" spans="1:7" ht="15.75" thickBot="1" x14ac:dyDescent="0.3">
      <c r="A63" t="s">
        <v>1769</v>
      </c>
      <c r="B63" s="1" t="s">
        <v>1770</v>
      </c>
      <c r="C63" s="1" t="s">
        <v>7</v>
      </c>
      <c r="D63" s="1" t="s">
        <v>1660</v>
      </c>
      <c r="E63" s="6">
        <v>15345</v>
      </c>
      <c r="F63" s="1" t="str">
        <f>VLOOKUP(D63,Table17[[Name]:[Native]],3,FALSE)</f>
        <v>墨江哈尼族自治县</v>
      </c>
      <c r="G63" s="14" t="str">
        <f ca="1">VLOOKUP(F63,Table17[[Native]:[Population4]],5,FALSE)</f>
        <v>普洱市</v>
      </c>
    </row>
    <row r="64" spans="1:7" ht="15.75" thickBot="1" x14ac:dyDescent="0.3">
      <c r="A64" t="s">
        <v>1771</v>
      </c>
      <c r="B64" s="1" t="s">
        <v>1772</v>
      </c>
      <c r="C64" s="1" t="s">
        <v>7</v>
      </c>
      <c r="D64" s="1" t="s">
        <v>1657</v>
      </c>
      <c r="E64" s="6">
        <v>24059</v>
      </c>
      <c r="F64" s="1" t="str">
        <f>VLOOKUP(D64,Table17[[Name]:[Native]],3,FALSE)</f>
        <v>澜沧拉祜族自治县</v>
      </c>
      <c r="G64" s="14" t="str">
        <f ca="1">VLOOKUP(F64,Table17[[Native]:[Population4]],5,FALSE)</f>
        <v>普洱市</v>
      </c>
    </row>
    <row r="65" spans="1:7" ht="15.75" thickBot="1" x14ac:dyDescent="0.3">
      <c r="A65" t="s">
        <v>1773</v>
      </c>
      <c r="B65" s="1" t="s">
        <v>1774</v>
      </c>
      <c r="C65" s="1" t="s">
        <v>11</v>
      </c>
      <c r="D65" s="1" t="s">
        <v>1732</v>
      </c>
      <c r="E65" s="6">
        <v>97583</v>
      </c>
      <c r="F65" s="1" t="str">
        <f>VLOOKUP(D65,Table17[[Name]:[Native]],3,FALSE)</f>
        <v>思茅区</v>
      </c>
      <c r="G65" s="14" t="str">
        <f ca="1">VLOOKUP(F65,Table17[[Native]:[Population4]],5,FALSE)</f>
        <v>普洱市</v>
      </c>
    </row>
    <row r="66" spans="1:7" ht="15.75" thickBot="1" x14ac:dyDescent="0.3">
      <c r="A66" t="s">
        <v>1775</v>
      </c>
      <c r="B66" s="1" t="s">
        <v>1776</v>
      </c>
      <c r="C66" s="1" t="s">
        <v>11</v>
      </c>
      <c r="D66" s="1" t="s">
        <v>1690</v>
      </c>
      <c r="E66" s="6">
        <v>48028</v>
      </c>
      <c r="F66" s="1" t="str">
        <f>VLOOKUP(D66,Table17[[Name]:[Native]],3,FALSE)</f>
        <v>孟连傣族拉祜族佤族自治县</v>
      </c>
      <c r="G66" s="14" t="str">
        <f ca="1">VLOOKUP(F66,Table17[[Native]:[Population4]],5,FALSE)</f>
        <v>普洱市</v>
      </c>
    </row>
    <row r="67" spans="1:7" ht="15.75" thickBot="1" x14ac:dyDescent="0.3">
      <c r="A67" t="s">
        <v>1777</v>
      </c>
      <c r="B67" s="1" t="s">
        <v>1778</v>
      </c>
      <c r="C67" s="1" t="s">
        <v>11</v>
      </c>
      <c r="D67" s="1" t="s">
        <v>1673</v>
      </c>
      <c r="E67" s="6">
        <v>76574</v>
      </c>
      <c r="F67" s="1" t="str">
        <f>VLOOKUP(D67,Table17[[Name]:[Native]],3,FALSE)</f>
        <v>宁洱哈尼族彝族自治县</v>
      </c>
      <c r="G67" s="14" t="str">
        <f ca="1">VLOOKUP(F67,Table17[[Native]:[Population4]],5,FALSE)</f>
        <v>普洱市</v>
      </c>
    </row>
    <row r="68" spans="1:7" ht="15.75" thickBot="1" x14ac:dyDescent="0.3">
      <c r="A68" t="s">
        <v>1779</v>
      </c>
      <c r="B68" s="1" t="s">
        <v>1780</v>
      </c>
      <c r="C68" s="1" t="s">
        <v>7</v>
      </c>
      <c r="D68" s="1" t="s">
        <v>1657</v>
      </c>
      <c r="E68" s="6">
        <v>18529</v>
      </c>
      <c r="F68" s="1" t="str">
        <f>VLOOKUP(D68,Table17[[Name]:[Native]],3,FALSE)</f>
        <v>澜沧拉祜族自治县</v>
      </c>
      <c r="G68" s="14" t="str">
        <f ca="1">VLOOKUP(F68,Table17[[Native]:[Population4]],5,FALSE)</f>
        <v>普洱市</v>
      </c>
    </row>
    <row r="69" spans="1:7" ht="15.75" thickBot="1" x14ac:dyDescent="0.3">
      <c r="A69" t="s">
        <v>1781</v>
      </c>
      <c r="B69" s="1" t="s">
        <v>1782</v>
      </c>
      <c r="C69" s="1" t="s">
        <v>11</v>
      </c>
      <c r="D69" s="1" t="s">
        <v>1657</v>
      </c>
      <c r="E69" s="6">
        <v>29703</v>
      </c>
      <c r="F69" s="1" t="str">
        <f>VLOOKUP(D69,Table17[[Name]:[Native]],3,FALSE)</f>
        <v>澜沧拉祜族自治县</v>
      </c>
      <c r="G69" s="14" t="str">
        <f ca="1">VLOOKUP(F69,Table17[[Native]:[Population4]],5,FALSE)</f>
        <v>普洱市</v>
      </c>
    </row>
    <row r="70" spans="1:7" ht="15.75" thickBot="1" x14ac:dyDescent="0.3">
      <c r="A70" t="s">
        <v>1783</v>
      </c>
      <c r="B70" s="1" t="s">
        <v>1784</v>
      </c>
      <c r="C70" s="1" t="s">
        <v>7</v>
      </c>
      <c r="D70" s="1" t="s">
        <v>1673</v>
      </c>
      <c r="E70" s="6">
        <v>11934</v>
      </c>
      <c r="F70" s="1" t="str">
        <f>VLOOKUP(D70,Table17[[Name]:[Native]],3,FALSE)</f>
        <v>宁洱哈尼族彝族自治县</v>
      </c>
      <c r="G70" s="14" t="str">
        <f ca="1">VLOOKUP(F70,Table17[[Native]:[Population4]],5,FALSE)</f>
        <v>普洱市</v>
      </c>
    </row>
    <row r="71" spans="1:7" ht="15.75" thickBot="1" x14ac:dyDescent="0.3">
      <c r="A71" t="s">
        <v>1785</v>
      </c>
      <c r="B71" s="1" t="s">
        <v>1786</v>
      </c>
      <c r="C71" s="1" t="s">
        <v>7</v>
      </c>
      <c r="D71" s="1" t="s">
        <v>1657</v>
      </c>
      <c r="E71" s="6">
        <v>48090</v>
      </c>
      <c r="F71" s="1" t="str">
        <f>VLOOKUP(D71,Table17[[Name]:[Native]],3,FALSE)</f>
        <v>澜沧拉祜族自治县</v>
      </c>
      <c r="G71" s="14" t="str">
        <f ca="1">VLOOKUP(F71,Table17[[Native]:[Population4]],5,FALSE)</f>
        <v>普洱市</v>
      </c>
    </row>
    <row r="72" spans="1:7" ht="15.75" thickBot="1" x14ac:dyDescent="0.3">
      <c r="A72" t="s">
        <v>1787</v>
      </c>
      <c r="B72" s="1" t="s">
        <v>1788</v>
      </c>
      <c r="C72" s="1" t="s">
        <v>11</v>
      </c>
      <c r="D72" s="1" t="s">
        <v>1664</v>
      </c>
      <c r="E72" s="6">
        <v>16811</v>
      </c>
      <c r="F72" s="1" t="str">
        <f>VLOOKUP(D72,Table17[[Name]:[Native]],3,FALSE)</f>
        <v>江城哈尼族彝族自治县</v>
      </c>
      <c r="G72" s="14" t="str">
        <f ca="1">VLOOKUP(F72,Table17[[Native]:[Population4]],5,FALSE)</f>
        <v>普洱市</v>
      </c>
    </row>
    <row r="73" spans="1:7" ht="15.75" thickBot="1" x14ac:dyDescent="0.3">
      <c r="A73" t="s">
        <v>1789</v>
      </c>
      <c r="B73" s="1" t="s">
        <v>1790</v>
      </c>
      <c r="C73" s="1" t="s">
        <v>11</v>
      </c>
      <c r="D73" s="1" t="s">
        <v>1657</v>
      </c>
      <c r="E73" s="6">
        <v>44918</v>
      </c>
      <c r="F73" s="1" t="str">
        <f>VLOOKUP(D73,Table17[[Name]:[Native]],3,FALSE)</f>
        <v>澜沧拉祜族自治县</v>
      </c>
      <c r="G73" s="14" t="str">
        <f ca="1">VLOOKUP(F73,Table17[[Native]:[Population4]],5,FALSE)</f>
        <v>普洱市</v>
      </c>
    </row>
    <row r="74" spans="1:7" ht="15.75" thickBot="1" x14ac:dyDescent="0.3">
      <c r="A74" t="s">
        <v>1791</v>
      </c>
      <c r="B74" s="1" t="s">
        <v>1792</v>
      </c>
      <c r="C74" s="1" t="s">
        <v>11</v>
      </c>
      <c r="D74" s="1" t="s">
        <v>1732</v>
      </c>
      <c r="E74" s="6">
        <v>23584</v>
      </c>
      <c r="F74" s="1" t="str">
        <f>VLOOKUP(D74,Table17[[Name]:[Native]],3,FALSE)</f>
        <v>思茅区</v>
      </c>
      <c r="G74" s="14" t="str">
        <f ca="1">VLOOKUP(F74,Table17[[Native]:[Population4]],5,FALSE)</f>
        <v>普洱市</v>
      </c>
    </row>
    <row r="75" spans="1:7" ht="15.75" thickBot="1" x14ac:dyDescent="0.3">
      <c r="A75" t="s">
        <v>1793</v>
      </c>
      <c r="B75" s="1" t="s">
        <v>1794</v>
      </c>
      <c r="C75" s="1" t="s">
        <v>42</v>
      </c>
      <c r="D75" s="1" t="s">
        <v>1732</v>
      </c>
      <c r="E75" s="6">
        <v>100172</v>
      </c>
      <c r="F75" s="1" t="str">
        <f>VLOOKUP(D75,Table17[[Name]:[Native]],3,FALSE)</f>
        <v>思茅区</v>
      </c>
      <c r="G75" s="14" t="str">
        <f ca="1">VLOOKUP(F75,Table17[[Native]:[Population4]],5,FALSE)</f>
        <v>普洱市</v>
      </c>
    </row>
    <row r="76" spans="1:7" ht="15.75" thickBot="1" x14ac:dyDescent="0.3">
      <c r="A76" t="s">
        <v>1795</v>
      </c>
      <c r="B76" s="1" t="s">
        <v>1796</v>
      </c>
      <c r="C76" s="1" t="s">
        <v>11</v>
      </c>
      <c r="D76" s="1" t="s">
        <v>1660</v>
      </c>
      <c r="E76" s="6">
        <v>21870</v>
      </c>
      <c r="F76" s="1" t="str">
        <f>VLOOKUP(D76,Table17[[Name]:[Native]],3,FALSE)</f>
        <v>墨江哈尼族自治县</v>
      </c>
      <c r="G76" s="14" t="str">
        <f ca="1">VLOOKUP(F76,Table17[[Native]:[Population4]],5,FALSE)</f>
        <v>普洱市</v>
      </c>
    </row>
    <row r="77" spans="1:7" ht="15.75" thickBot="1" x14ac:dyDescent="0.3">
      <c r="A77" t="s">
        <v>1797</v>
      </c>
      <c r="B77" s="1" t="s">
        <v>1798</v>
      </c>
      <c r="C77" s="1" t="s">
        <v>11</v>
      </c>
      <c r="D77" s="1" t="s">
        <v>1654</v>
      </c>
      <c r="E77" s="6">
        <v>22925</v>
      </c>
      <c r="F77" s="1" t="str">
        <f>VLOOKUP(D77,Table17[[Name]:[Native]],3,FALSE)</f>
        <v>景东彝族自治县</v>
      </c>
      <c r="G77" s="14" t="str">
        <f ca="1">VLOOKUP(F77,Table17[[Native]:[Population4]],5,FALSE)</f>
        <v>普洱市</v>
      </c>
    </row>
    <row r="78" spans="1:7" ht="15.75" thickBot="1" x14ac:dyDescent="0.3">
      <c r="A78" t="s">
        <v>1799</v>
      </c>
      <c r="B78" s="1" t="s">
        <v>1800</v>
      </c>
      <c r="C78" s="1" t="s">
        <v>7</v>
      </c>
      <c r="D78" s="1" t="s">
        <v>1651</v>
      </c>
      <c r="E78" s="6">
        <v>8601</v>
      </c>
      <c r="F78" s="1" t="str">
        <f>VLOOKUP(D78,Table17[[Name]:[Native]],3,FALSE)</f>
        <v>镇沅彝族哈尼族拉祜族自治县</v>
      </c>
      <c r="G78" s="14" t="str">
        <f ca="1">VLOOKUP(F78,Table17[[Native]:[Population4]],5,FALSE)</f>
        <v>普洱市</v>
      </c>
    </row>
    <row r="79" spans="1:7" ht="15.75" thickBot="1" x14ac:dyDescent="0.3">
      <c r="A79" t="s">
        <v>1801</v>
      </c>
      <c r="B79" s="1" t="s">
        <v>1802</v>
      </c>
      <c r="C79" s="1" t="s">
        <v>11</v>
      </c>
      <c r="D79" s="1" t="s">
        <v>1660</v>
      </c>
      <c r="E79" s="6">
        <v>29561</v>
      </c>
      <c r="F79" s="1" t="str">
        <f>VLOOKUP(D79,Table17[[Name]:[Native]],3,FALSE)</f>
        <v>墨江哈尼族自治县</v>
      </c>
      <c r="G79" s="14" t="str">
        <f ca="1">VLOOKUP(F79,Table17[[Native]:[Population4]],5,FALSE)</f>
        <v>普洱市</v>
      </c>
    </row>
    <row r="80" spans="1:7" ht="15.75" thickBot="1" x14ac:dyDescent="0.3">
      <c r="A80" t="s">
        <v>1803</v>
      </c>
      <c r="B80" s="1" t="s">
        <v>1804</v>
      </c>
      <c r="C80" s="1" t="s">
        <v>11</v>
      </c>
      <c r="D80" s="1" t="s">
        <v>1673</v>
      </c>
      <c r="E80" s="6">
        <v>16092</v>
      </c>
      <c r="F80" s="1" t="str">
        <f>VLOOKUP(D80,Table17[[Name]:[Native]],3,FALSE)</f>
        <v>宁洱哈尼族彝族自治县</v>
      </c>
      <c r="G80" s="14" t="str">
        <f ca="1">VLOOKUP(F80,Table17[[Native]:[Population4]],5,FALSE)</f>
        <v>普洱市</v>
      </c>
    </row>
    <row r="81" spans="1:7" ht="15.75" thickBot="1" x14ac:dyDescent="0.3">
      <c r="A81" t="s">
        <v>1805</v>
      </c>
      <c r="B81" s="1" t="s">
        <v>1806</v>
      </c>
      <c r="C81" s="1" t="s">
        <v>11</v>
      </c>
      <c r="D81" s="1" t="s">
        <v>1660</v>
      </c>
      <c r="E81" s="6">
        <v>15712</v>
      </c>
      <c r="F81" s="1" t="str">
        <f>VLOOKUP(D81,Table17[[Name]:[Native]],3,FALSE)</f>
        <v>墨江哈尼族自治县</v>
      </c>
      <c r="G81" s="14" t="str">
        <f ca="1">VLOOKUP(F81,Table17[[Native]:[Population4]],5,FALSE)</f>
        <v>普洱市</v>
      </c>
    </row>
    <row r="82" spans="1:7" ht="15.75" thickBot="1" x14ac:dyDescent="0.3">
      <c r="A82" t="s">
        <v>1807</v>
      </c>
      <c r="B82" s="1" t="s">
        <v>1808</v>
      </c>
      <c r="C82" s="1" t="s">
        <v>11</v>
      </c>
      <c r="D82" s="1" t="s">
        <v>1661</v>
      </c>
      <c r="E82" s="6">
        <v>91536</v>
      </c>
      <c r="F82" s="1" t="str">
        <f>VLOOKUP(D82,Table17[[Name]:[Native]],3,FALSE)</f>
        <v>景谷傣族彝族自治县</v>
      </c>
      <c r="G82" s="14" t="str">
        <f ca="1">VLOOKUP(F82,Table17[[Native]:[Population4]],5,FALSE)</f>
        <v>普洱市</v>
      </c>
    </row>
    <row r="83" spans="1:7" ht="15.75" thickBot="1" x14ac:dyDescent="0.3">
      <c r="A83" t="s">
        <v>1809</v>
      </c>
      <c r="B83" s="1" t="s">
        <v>1810</v>
      </c>
      <c r="C83" s="1" t="s">
        <v>7</v>
      </c>
      <c r="D83" s="1" t="s">
        <v>1657</v>
      </c>
      <c r="E83" s="6">
        <v>14517</v>
      </c>
      <c r="F83" s="1" t="str">
        <f>VLOOKUP(D83,Table17[[Name]:[Native]],3,FALSE)</f>
        <v>澜沧拉祜族自治县</v>
      </c>
      <c r="G83" s="14" t="str">
        <f ca="1">VLOOKUP(F83,Table17[[Native]:[Population4]],5,FALSE)</f>
        <v>普洱市</v>
      </c>
    </row>
    <row r="84" spans="1:7" ht="15.75" thickBot="1" x14ac:dyDescent="0.3">
      <c r="A84" t="s">
        <v>1811</v>
      </c>
      <c r="B84" s="1" t="s">
        <v>1812</v>
      </c>
      <c r="C84" s="1" t="s">
        <v>11</v>
      </c>
      <c r="D84" s="1" t="s">
        <v>1729</v>
      </c>
      <c r="E84" s="6">
        <v>10994</v>
      </c>
      <c r="F84" s="1" t="str">
        <f>VLOOKUP(D84,Table17[[Name]:[Native]],3,FALSE)</f>
        <v>西盟佤族自治县</v>
      </c>
      <c r="G84" s="14" t="str">
        <f ca="1">VLOOKUP(F84,Table17[[Native]:[Population4]],5,FALSE)</f>
        <v>普洱市</v>
      </c>
    </row>
    <row r="85" spans="1:7" ht="15.75" thickBot="1" x14ac:dyDescent="0.3">
      <c r="A85" t="s">
        <v>1813</v>
      </c>
      <c r="B85" s="1" t="s">
        <v>1814</v>
      </c>
      <c r="C85" s="1" t="s">
        <v>11</v>
      </c>
      <c r="D85" s="1" t="s">
        <v>1654</v>
      </c>
      <c r="E85" s="6">
        <v>66141</v>
      </c>
      <c r="F85" s="1" t="str">
        <f>VLOOKUP(D85,Table17[[Name]:[Native]],3,FALSE)</f>
        <v>景东彝族自治县</v>
      </c>
      <c r="G85" s="14" t="str">
        <f ca="1">VLOOKUP(F85,Table17[[Native]:[Population4]],5,FALSE)</f>
        <v>普洱市</v>
      </c>
    </row>
    <row r="86" spans="1:7" ht="15.75" thickBot="1" x14ac:dyDescent="0.3">
      <c r="A86" t="s">
        <v>1815</v>
      </c>
      <c r="B86" s="1" t="s">
        <v>1816</v>
      </c>
      <c r="C86" s="1" t="s">
        <v>11</v>
      </c>
      <c r="D86" s="1" t="s">
        <v>1654</v>
      </c>
      <c r="E86" s="6">
        <v>18150</v>
      </c>
      <c r="F86" s="1" t="str">
        <f>VLOOKUP(D86,Table17[[Name]:[Native]],3,FALSE)</f>
        <v>景东彝族自治县</v>
      </c>
      <c r="G86" s="14" t="str">
        <f ca="1">VLOOKUP(F86,Table17[[Native]:[Population4]],5,FALSE)</f>
        <v>普洱市</v>
      </c>
    </row>
    <row r="87" spans="1:7" ht="15.75" thickBot="1" x14ac:dyDescent="0.3">
      <c r="A87" t="s">
        <v>1817</v>
      </c>
      <c r="B87" s="1" t="s">
        <v>1818</v>
      </c>
      <c r="C87" s="1" t="s">
        <v>11</v>
      </c>
      <c r="D87" s="1" t="s">
        <v>1660</v>
      </c>
      <c r="E87" s="6">
        <v>21354</v>
      </c>
      <c r="F87" s="1" t="str">
        <f>VLOOKUP(D87,Table17[[Name]:[Native]],3,FALSE)</f>
        <v>墨江哈尼族自治县</v>
      </c>
      <c r="G87" s="14" t="str">
        <f ca="1">VLOOKUP(F87,Table17[[Native]:[Population4]],5,FALSE)</f>
        <v>普洱市</v>
      </c>
    </row>
    <row r="88" spans="1:7" ht="15.75" thickBot="1" x14ac:dyDescent="0.3">
      <c r="A88" t="s">
        <v>1819</v>
      </c>
      <c r="B88" s="1" t="s">
        <v>1820</v>
      </c>
      <c r="C88" s="1" t="s">
        <v>11</v>
      </c>
      <c r="D88" s="1" t="s">
        <v>1660</v>
      </c>
      <c r="E88" s="6">
        <v>18026</v>
      </c>
      <c r="F88" s="1" t="str">
        <f>VLOOKUP(D88,Table17[[Name]:[Native]],3,FALSE)</f>
        <v>墨江哈尼族自治县</v>
      </c>
      <c r="G88" s="14" t="str">
        <f ca="1">VLOOKUP(F88,Table17[[Native]:[Population4]],5,FALSE)</f>
        <v>普洱市</v>
      </c>
    </row>
    <row r="89" spans="1:7" ht="15.75" thickBot="1" x14ac:dyDescent="0.3">
      <c r="A89" t="s">
        <v>1821</v>
      </c>
      <c r="B89" s="1" t="s">
        <v>1822</v>
      </c>
      <c r="C89" s="1" t="s">
        <v>11</v>
      </c>
      <c r="D89" s="1" t="s">
        <v>1729</v>
      </c>
      <c r="E89" s="6">
        <v>11789</v>
      </c>
      <c r="F89" s="1" t="str">
        <f>VLOOKUP(D89,Table17[[Name]:[Native]],3,FALSE)</f>
        <v>西盟佤族自治县</v>
      </c>
      <c r="G89" s="14" t="str">
        <f ca="1">VLOOKUP(F89,Table17[[Native]:[Population4]],5,FALSE)</f>
        <v>普洱市</v>
      </c>
    </row>
    <row r="90" spans="1:7" ht="15.75" thickBot="1" x14ac:dyDescent="0.3">
      <c r="A90" t="s">
        <v>1823</v>
      </c>
      <c r="B90" s="1" t="s">
        <v>1824</v>
      </c>
      <c r="C90" s="1" t="s">
        <v>11</v>
      </c>
      <c r="D90" s="1" t="s">
        <v>1660</v>
      </c>
      <c r="E90" s="6">
        <v>19379</v>
      </c>
      <c r="F90" s="1" t="str">
        <f>VLOOKUP(D90,Table17[[Name]:[Native]],3,FALSE)</f>
        <v>墨江哈尼族自治县</v>
      </c>
      <c r="G90" s="14" t="str">
        <f ca="1">VLOOKUP(F90,Table17[[Native]:[Population4]],5,FALSE)</f>
        <v>普洱市</v>
      </c>
    </row>
    <row r="91" spans="1:7" ht="15.75" thickBot="1" x14ac:dyDescent="0.3">
      <c r="A91" t="s">
        <v>1825</v>
      </c>
      <c r="B91" s="1" t="s">
        <v>1826</v>
      </c>
      <c r="C91" s="1" t="s">
        <v>7</v>
      </c>
      <c r="D91" s="1" t="s">
        <v>1657</v>
      </c>
      <c r="E91" s="6">
        <v>14158</v>
      </c>
      <c r="F91" s="1" t="str">
        <f>VLOOKUP(D91,Table17[[Name]:[Native]],3,FALSE)</f>
        <v>澜沧拉祜族自治县</v>
      </c>
      <c r="G91" s="14" t="str">
        <f ca="1">VLOOKUP(F91,Table17[[Native]:[Population4]],5,FALSE)</f>
        <v>普洱市</v>
      </c>
    </row>
    <row r="92" spans="1:7" ht="15.75" thickBot="1" x14ac:dyDescent="0.3">
      <c r="A92" t="s">
        <v>1827</v>
      </c>
      <c r="B92" s="1" t="s">
        <v>1828</v>
      </c>
      <c r="C92" s="1" t="s">
        <v>11</v>
      </c>
      <c r="D92" s="1" t="s">
        <v>1660</v>
      </c>
      <c r="E92" s="6">
        <v>21280</v>
      </c>
      <c r="F92" s="1" t="str">
        <f>VLOOKUP(D92,Table17[[Name]:[Native]],3,FALSE)</f>
        <v>墨江哈尼族自治县</v>
      </c>
      <c r="G92" s="14" t="str">
        <f ca="1">VLOOKUP(F92,Table17[[Native]:[Population4]],5,FALSE)</f>
        <v>普洱市</v>
      </c>
    </row>
    <row r="93" spans="1:7" ht="15.75" thickBot="1" x14ac:dyDescent="0.3">
      <c r="A93" t="s">
        <v>1829</v>
      </c>
      <c r="B93" s="1" t="s">
        <v>1830</v>
      </c>
      <c r="C93" s="1" t="s">
        <v>11</v>
      </c>
      <c r="D93" s="1" t="s">
        <v>1732</v>
      </c>
      <c r="E93" s="6">
        <v>40316</v>
      </c>
      <c r="F93" s="1" t="str">
        <f>VLOOKUP(D93,Table17[[Name]:[Native]],3,FALSE)</f>
        <v>思茅区</v>
      </c>
      <c r="G93" s="14" t="str">
        <f ca="1">VLOOKUP(F93,Table17[[Native]:[Population4]],5,FALSE)</f>
        <v>普洱市</v>
      </c>
    </row>
    <row r="94" spans="1:7" ht="15.75" thickBot="1" x14ac:dyDescent="0.3">
      <c r="A94" t="s">
        <v>1831</v>
      </c>
      <c r="B94" s="1" t="s">
        <v>1832</v>
      </c>
      <c r="C94" s="1" t="s">
        <v>7</v>
      </c>
      <c r="D94" s="1" t="s">
        <v>1661</v>
      </c>
      <c r="E94" s="6">
        <v>12538</v>
      </c>
      <c r="F94" s="1" t="str">
        <f>VLOOKUP(D94,Table17[[Name]:[Native]],3,FALSE)</f>
        <v>景谷傣族彝族自治县</v>
      </c>
      <c r="G94" s="14" t="str">
        <f ca="1">VLOOKUP(F94,Table17[[Native]:[Population4]],5,FALSE)</f>
        <v>普洱市</v>
      </c>
    </row>
    <row r="95" spans="1:7" ht="15.75" thickBot="1" x14ac:dyDescent="0.3">
      <c r="A95" t="s">
        <v>1833</v>
      </c>
      <c r="B95" s="1" t="s">
        <v>1834</v>
      </c>
      <c r="C95" s="1" t="s">
        <v>11</v>
      </c>
      <c r="D95" s="1" t="s">
        <v>1661</v>
      </c>
      <c r="E95" s="6">
        <v>63042</v>
      </c>
      <c r="F95" s="1" t="str">
        <f>VLOOKUP(D95,Table17[[Name]:[Native]],3,FALSE)</f>
        <v>景谷傣族彝族自治县</v>
      </c>
      <c r="G95" s="14" t="str">
        <f ca="1">VLOOKUP(F95,Table17[[Native]:[Population4]],5,FALSE)</f>
        <v>普洱市</v>
      </c>
    </row>
    <row r="96" spans="1:7" ht="15.75" thickBot="1" x14ac:dyDescent="0.3">
      <c r="A96" t="s">
        <v>1835</v>
      </c>
      <c r="B96" s="1" t="s">
        <v>1836</v>
      </c>
      <c r="C96" s="1" t="s">
        <v>7</v>
      </c>
      <c r="D96" s="1" t="s">
        <v>1729</v>
      </c>
      <c r="E96" s="6">
        <v>7351</v>
      </c>
      <c r="F96" s="1" t="str">
        <f>VLOOKUP(D96,Table17[[Name]:[Native]],3,FALSE)</f>
        <v>西盟佤族自治县</v>
      </c>
      <c r="G96" s="14" t="str">
        <f ca="1">VLOOKUP(F96,Table17[[Native]:[Population4]],5,FALSE)</f>
        <v>普洱市</v>
      </c>
    </row>
    <row r="97" spans="1:7" ht="15.75" thickBot="1" x14ac:dyDescent="0.3">
      <c r="A97" t="s">
        <v>1837</v>
      </c>
      <c r="B97" s="1" t="s">
        <v>1838</v>
      </c>
      <c r="C97" s="1" t="s">
        <v>7</v>
      </c>
      <c r="D97" s="1" t="s">
        <v>1732</v>
      </c>
      <c r="E97" s="6">
        <v>12613</v>
      </c>
      <c r="F97" s="1" t="str">
        <f>VLOOKUP(D97,Table17[[Name]:[Native]],3,FALSE)</f>
        <v>思茅区</v>
      </c>
      <c r="G97" s="14" t="str">
        <f ca="1">VLOOKUP(F97,Table17[[Native]:[Population4]],5,FALSE)</f>
        <v>普洱市</v>
      </c>
    </row>
    <row r="98" spans="1:7" ht="15.75" thickBot="1" x14ac:dyDescent="0.3">
      <c r="A98" t="s">
        <v>1839</v>
      </c>
      <c r="B98" s="1" t="s">
        <v>1840</v>
      </c>
      <c r="C98" s="1" t="s">
        <v>11</v>
      </c>
      <c r="D98" s="1" t="s">
        <v>1660</v>
      </c>
      <c r="E98" s="6">
        <v>15950</v>
      </c>
      <c r="F98" s="1" t="str">
        <f>VLOOKUP(D98,Table17[[Name]:[Native]],3,FALSE)</f>
        <v>墨江哈尼族自治县</v>
      </c>
      <c r="G98" s="14" t="str">
        <f ca="1">VLOOKUP(F98,Table17[[Native]:[Population4]],5,FALSE)</f>
        <v>普洱市</v>
      </c>
    </row>
    <row r="99" spans="1:7" ht="15.75" thickBot="1" x14ac:dyDescent="0.3">
      <c r="A99" t="s">
        <v>1841</v>
      </c>
      <c r="B99" s="1" t="s">
        <v>1842</v>
      </c>
      <c r="C99" s="1" t="s">
        <v>11</v>
      </c>
      <c r="D99" s="1" t="s">
        <v>1651</v>
      </c>
      <c r="E99" s="6">
        <v>29041</v>
      </c>
      <c r="F99" s="1" t="str">
        <f>VLOOKUP(D99,Table17[[Name]:[Native]],3,FALSE)</f>
        <v>镇沅彝族哈尼族拉祜族自治县</v>
      </c>
      <c r="G99" s="14" t="str">
        <f ca="1">VLOOKUP(F99,Table17[[Native]:[Population4]],5,FALSE)</f>
        <v>普洱市</v>
      </c>
    </row>
    <row r="100" spans="1:7" ht="15.75" thickBot="1" x14ac:dyDescent="0.3">
      <c r="A100" t="s">
        <v>1843</v>
      </c>
      <c r="B100" s="1" t="s">
        <v>1844</v>
      </c>
      <c r="C100" s="1" t="s">
        <v>11</v>
      </c>
      <c r="D100" s="1" t="s">
        <v>1664</v>
      </c>
      <c r="E100" s="6">
        <v>12185</v>
      </c>
      <c r="F100" s="1" t="str">
        <f>VLOOKUP(D100,Table17[[Name]:[Native]],3,FALSE)</f>
        <v>江城哈尼族彝族自治县</v>
      </c>
      <c r="G100" s="14" t="str">
        <f ca="1">VLOOKUP(F100,Table17[[Native]:[Population4]],5,FALSE)</f>
        <v>普洱市</v>
      </c>
    </row>
    <row r="101" spans="1:7" ht="15.75" thickBot="1" x14ac:dyDescent="0.3">
      <c r="A101" t="s">
        <v>1845</v>
      </c>
      <c r="B101" s="1" t="s">
        <v>1846</v>
      </c>
      <c r="C101" s="1" t="s">
        <v>11</v>
      </c>
      <c r="D101" s="1" t="s">
        <v>1661</v>
      </c>
      <c r="E101" s="6">
        <v>17542</v>
      </c>
      <c r="F101" s="1" t="str">
        <f>VLOOKUP(D101,Table17[[Name]:[Native]],3,FALSE)</f>
        <v>景谷傣族彝族自治县</v>
      </c>
      <c r="G101" s="14" t="str">
        <f ca="1">VLOOKUP(F101,Table17[[Native]:[Population4]],5,FALSE)</f>
        <v>普洱市</v>
      </c>
    </row>
    <row r="102" spans="1:7" ht="15.75" thickBot="1" x14ac:dyDescent="0.3">
      <c r="A102" t="s">
        <v>1847</v>
      </c>
      <c r="B102" s="1" t="s">
        <v>1848</v>
      </c>
      <c r="C102" s="1" t="s">
        <v>11</v>
      </c>
      <c r="D102" s="1" t="s">
        <v>1651</v>
      </c>
      <c r="E102" s="6">
        <v>33085</v>
      </c>
      <c r="F102" s="1" t="str">
        <f>VLOOKUP(D102,Table17[[Name]:[Native]],3,FALSE)</f>
        <v>镇沅彝族哈尼族拉祜族自治县</v>
      </c>
      <c r="G102" s="14" t="str">
        <f ca="1">VLOOKUP(F102,Table17[[Native]:[Population4]],5,FALSE)</f>
        <v>普洱市</v>
      </c>
    </row>
    <row r="103" spans="1:7" ht="15.75" thickBot="1" x14ac:dyDescent="0.3">
      <c r="A103" t="s">
        <v>1849</v>
      </c>
      <c r="B103" s="1" t="s">
        <v>1850</v>
      </c>
      <c r="C103" s="1" t="s">
        <v>11</v>
      </c>
      <c r="D103" s="1" t="s">
        <v>1729</v>
      </c>
      <c r="E103" s="6">
        <v>10941</v>
      </c>
      <c r="F103" s="1" t="str">
        <f>VLOOKUP(D103,Table17[[Name]:[Native]],3,FALSE)</f>
        <v>西盟佤族自治县</v>
      </c>
      <c r="G103" s="14" t="str">
        <f ca="1">VLOOKUP(F103,Table17[[Native]:[Population4]],5,FALSE)</f>
        <v>普洱市</v>
      </c>
    </row>
    <row r="104" spans="1:7" ht="15.75" thickBot="1" x14ac:dyDescent="0.3">
      <c r="A104" t="s">
        <v>1851</v>
      </c>
      <c r="B104" s="1" t="s">
        <v>1852</v>
      </c>
      <c r="C104" s="1" t="s">
        <v>7</v>
      </c>
      <c r="D104" s="1" t="s">
        <v>1657</v>
      </c>
      <c r="E104" s="6">
        <v>35766</v>
      </c>
      <c r="F104" s="10" t="str">
        <f>VLOOKUP(D104,Table17[[Name]:[Native]],3,FALSE)</f>
        <v>澜沧拉祜族自治县</v>
      </c>
      <c r="G104" s="14" t="str">
        <f ca="1">VLOOKUP(F104,Table17[[Native]:[Population4]],5,FALSE)</f>
        <v>普洱市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C8B9D-2EF4-44BE-B575-C7722061172B}">
  <dimension ref="A1:G103"/>
  <sheetViews>
    <sheetView topLeftCell="A78" workbookViewId="0">
      <selection activeCell="G2" sqref="A2:G10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2917</v>
      </c>
      <c r="G1" t="s">
        <v>2919</v>
      </c>
    </row>
    <row r="2" spans="1:7" ht="15.75" thickBot="1" x14ac:dyDescent="0.3">
      <c r="A2" t="s">
        <v>2059</v>
      </c>
      <c r="B2" s="1" t="s">
        <v>2060</v>
      </c>
      <c r="C2" s="1" t="s">
        <v>11</v>
      </c>
      <c r="D2" s="1" t="s">
        <v>2061</v>
      </c>
      <c r="E2" s="6">
        <v>53291</v>
      </c>
      <c r="F2" s="9" t="str">
        <f>VLOOKUP(D2,Table17[[Name]:[Native]],3,FALSE)</f>
        <v>砚山县</v>
      </c>
      <c r="G2" s="14" t="str">
        <f ca="1">VLOOKUP(F2,Table17[[Native]:[Population4]],5,FALSE)</f>
        <v>文山壮族苗族自治州</v>
      </c>
    </row>
    <row r="3" spans="1:7" ht="15.75" thickBot="1" x14ac:dyDescent="0.3">
      <c r="A3" t="s">
        <v>2062</v>
      </c>
      <c r="B3" s="1" t="s">
        <v>2063</v>
      </c>
      <c r="C3" s="1" t="s">
        <v>7</v>
      </c>
      <c r="D3" s="1" t="s">
        <v>2061</v>
      </c>
      <c r="E3" s="6">
        <v>24356</v>
      </c>
      <c r="F3" s="1" t="str">
        <f>VLOOKUP(D3,Table17[[Name]:[Native]],3,FALSE)</f>
        <v>砚山县</v>
      </c>
      <c r="G3" s="14" t="str">
        <f ca="1">VLOOKUP(F3,Table17[[Native]:[Population4]],5,FALSE)</f>
        <v>文山壮族苗族自治州</v>
      </c>
    </row>
    <row r="4" spans="1:7" ht="15.75" thickBot="1" x14ac:dyDescent="0.3">
      <c r="A4" t="s">
        <v>2064</v>
      </c>
      <c r="B4" s="1" t="s">
        <v>2065</v>
      </c>
      <c r="C4" s="1" t="s">
        <v>7</v>
      </c>
      <c r="D4" s="1" t="s">
        <v>2066</v>
      </c>
      <c r="E4" s="6">
        <v>17906</v>
      </c>
      <c r="F4" s="1" t="str">
        <f>VLOOKUP(D4,Table17[[Name]:[Native]],3,FALSE)</f>
        <v>富宁县</v>
      </c>
      <c r="G4" s="14" t="str">
        <f ca="1">VLOOKUP(F4,Table17[[Native]:[Population4]],5,FALSE)</f>
        <v>文山壮族苗族自治州</v>
      </c>
    </row>
    <row r="5" spans="1:7" ht="15.75" thickBot="1" x14ac:dyDescent="0.3">
      <c r="A5" t="s">
        <v>2067</v>
      </c>
      <c r="B5" s="1" t="s">
        <v>2068</v>
      </c>
      <c r="C5" s="1" t="s">
        <v>11</v>
      </c>
      <c r="D5" s="1" t="s">
        <v>2069</v>
      </c>
      <c r="E5" s="6">
        <v>70665</v>
      </c>
      <c r="F5" s="1" t="str">
        <f>VLOOKUP(D5,Table17[[Name]:[Native]],3,FALSE)</f>
        <v>广南县</v>
      </c>
      <c r="G5" s="14" t="str">
        <f ca="1">VLOOKUP(F5,Table17[[Native]:[Population4]],5,FALSE)</f>
        <v>文山壮族苗族自治州</v>
      </c>
    </row>
    <row r="6" spans="1:7" ht="15.75" thickBot="1" x14ac:dyDescent="0.3">
      <c r="A6" t="s">
        <v>2070</v>
      </c>
      <c r="B6" s="1" t="s">
        <v>2071</v>
      </c>
      <c r="C6" s="1" t="s">
        <v>7</v>
      </c>
      <c r="D6" s="1" t="s">
        <v>2072</v>
      </c>
      <c r="E6" s="6">
        <v>20387</v>
      </c>
      <c r="F6" s="1" t="str">
        <f>VLOOKUP(D6,Table17[[Name]:[Native]],3,FALSE)</f>
        <v>麻栗坡县</v>
      </c>
      <c r="G6" s="14" t="str">
        <f ca="1">VLOOKUP(F6,Table17[[Native]:[Population4]],5,FALSE)</f>
        <v>文山壮族苗族自治州</v>
      </c>
    </row>
    <row r="7" spans="1:7" ht="15.75" thickBot="1" x14ac:dyDescent="0.3">
      <c r="A7" t="s">
        <v>2073</v>
      </c>
      <c r="B7" s="1" t="s">
        <v>2074</v>
      </c>
      <c r="C7" s="1" t="s">
        <v>7</v>
      </c>
      <c r="D7" s="1" t="s">
        <v>2075</v>
      </c>
      <c r="E7" s="6">
        <v>31345</v>
      </c>
      <c r="F7" s="1" t="str">
        <f>VLOOKUP(D7,Table17[[Name]:[Native]],3,FALSE)</f>
        <v>丘北县</v>
      </c>
      <c r="G7" s="14" t="str">
        <f ca="1">VLOOKUP(F7,Table17[[Native]:[Population4]],5,FALSE)</f>
        <v>文山壮族苗族自治州</v>
      </c>
    </row>
    <row r="8" spans="1:7" ht="15.75" thickBot="1" x14ac:dyDescent="0.3">
      <c r="A8" t="s">
        <v>2076</v>
      </c>
      <c r="B8" s="1" t="s">
        <v>2077</v>
      </c>
      <c r="C8" s="1" t="s">
        <v>7</v>
      </c>
      <c r="D8" s="1" t="s">
        <v>2061</v>
      </c>
      <c r="E8" s="6">
        <v>31697</v>
      </c>
      <c r="F8" s="1" t="str">
        <f>VLOOKUP(D8,Table17[[Name]:[Native]],3,FALSE)</f>
        <v>砚山县</v>
      </c>
      <c r="G8" s="14" t="str">
        <f ca="1">VLOOKUP(F8,Table17[[Native]:[Population4]],5,FALSE)</f>
        <v>文山壮族苗族自治州</v>
      </c>
    </row>
    <row r="9" spans="1:7" ht="15.75" thickBot="1" x14ac:dyDescent="0.3">
      <c r="A9" t="s">
        <v>2078</v>
      </c>
      <c r="B9" s="1" t="s">
        <v>2079</v>
      </c>
      <c r="C9" s="1" t="s">
        <v>7</v>
      </c>
      <c r="D9" s="1" t="s">
        <v>2080</v>
      </c>
      <c r="E9" s="6">
        <v>11711</v>
      </c>
      <c r="F9" s="1" t="str">
        <f>VLOOKUP(D9,Table17[[Name]:[Native]],3,FALSE)</f>
        <v>西畴县</v>
      </c>
      <c r="G9" s="14" t="str">
        <f ca="1">VLOOKUP(F9,Table17[[Native]:[Population4]],5,FALSE)</f>
        <v>文山壮族苗族自治州</v>
      </c>
    </row>
    <row r="10" spans="1:7" ht="15.75" thickBot="1" x14ac:dyDescent="0.3">
      <c r="A10" t="s">
        <v>2081</v>
      </c>
      <c r="B10" s="1" t="s">
        <v>2082</v>
      </c>
      <c r="C10" s="1" t="s">
        <v>11</v>
      </c>
      <c r="D10" s="1" t="s">
        <v>2069</v>
      </c>
      <c r="E10" s="6">
        <v>64188</v>
      </c>
      <c r="F10" s="1" t="str">
        <f>VLOOKUP(D10,Table17[[Name]:[Native]],3,FALSE)</f>
        <v>广南县</v>
      </c>
      <c r="G10" s="14" t="str">
        <f ca="1">VLOOKUP(F10,Table17[[Native]:[Population4]],5,FALSE)</f>
        <v>文山壮族苗族自治州</v>
      </c>
    </row>
    <row r="11" spans="1:7" ht="15.75" thickBot="1" x14ac:dyDescent="0.3">
      <c r="A11" t="s">
        <v>2083</v>
      </c>
      <c r="B11" s="1" t="s">
        <v>2084</v>
      </c>
      <c r="C11" s="1" t="s">
        <v>7</v>
      </c>
      <c r="D11" s="1" t="s">
        <v>2069</v>
      </c>
      <c r="E11" s="6">
        <v>14812</v>
      </c>
      <c r="F11" s="1" t="str">
        <f>VLOOKUP(D11,Table17[[Name]:[Native]],3,FALSE)</f>
        <v>广南县</v>
      </c>
      <c r="G11" s="14" t="str">
        <f ca="1">VLOOKUP(F11,Table17[[Native]:[Population4]],5,FALSE)</f>
        <v>文山壮族苗族自治州</v>
      </c>
    </row>
    <row r="12" spans="1:7" ht="15.75" thickBot="1" x14ac:dyDescent="0.3">
      <c r="A12" t="s">
        <v>2085</v>
      </c>
      <c r="B12" s="1" t="s">
        <v>2086</v>
      </c>
      <c r="C12" s="1" t="s">
        <v>7</v>
      </c>
      <c r="D12" s="1" t="s">
        <v>2066</v>
      </c>
      <c r="E12" s="6">
        <v>24599</v>
      </c>
      <c r="F12" s="1" t="str">
        <f>VLOOKUP(D12,Table17[[Name]:[Native]],3,FALSE)</f>
        <v>富宁县</v>
      </c>
      <c r="G12" s="14" t="str">
        <f ca="1">VLOOKUP(F12,Table17[[Native]:[Population4]],5,FALSE)</f>
        <v>文山壮族苗族自治州</v>
      </c>
    </row>
    <row r="13" spans="1:7" ht="15.75" thickBot="1" x14ac:dyDescent="0.3">
      <c r="A13" t="s">
        <v>2087</v>
      </c>
      <c r="B13" s="1" t="s">
        <v>2088</v>
      </c>
      <c r="C13" s="1" t="s">
        <v>7</v>
      </c>
      <c r="D13" s="1" t="s">
        <v>2089</v>
      </c>
      <c r="E13" s="6">
        <v>5288</v>
      </c>
      <c r="F13" s="1" t="str">
        <f>VLOOKUP(D13,Table17[[Name]:[Native]],3,FALSE)</f>
        <v>文山市</v>
      </c>
      <c r="G13" s="14" t="str">
        <f ca="1">VLOOKUP(F13,Table17[[Native]:[Population4]],5,FALSE)</f>
        <v>文山壮族苗族自治州</v>
      </c>
    </row>
    <row r="14" spans="1:7" ht="15.75" thickBot="1" x14ac:dyDescent="0.3">
      <c r="A14" t="s">
        <v>2090</v>
      </c>
      <c r="B14" s="1" t="s">
        <v>2091</v>
      </c>
      <c r="C14" s="1" t="s">
        <v>11</v>
      </c>
      <c r="D14" s="1" t="s">
        <v>2092</v>
      </c>
      <c r="E14" s="6">
        <v>43755</v>
      </c>
      <c r="F14" s="1" t="str">
        <f>VLOOKUP(D14,Table17[[Name]:[Native]],3,FALSE)</f>
        <v>马关县</v>
      </c>
      <c r="G14" s="14" t="str">
        <f ca="1">VLOOKUP(F14,Table17[[Native]:[Population4]],5,FALSE)</f>
        <v>文山壮族苗族自治州</v>
      </c>
    </row>
    <row r="15" spans="1:7" ht="15.75" thickBot="1" x14ac:dyDescent="0.3">
      <c r="A15" t="s">
        <v>2093</v>
      </c>
      <c r="B15" s="1" t="s">
        <v>2094</v>
      </c>
      <c r="C15" s="1" t="s">
        <v>7</v>
      </c>
      <c r="D15" s="1" t="s">
        <v>2061</v>
      </c>
      <c r="E15" s="6">
        <v>12797</v>
      </c>
      <c r="F15" s="1" t="str">
        <f>VLOOKUP(D15,Table17[[Name]:[Native]],3,FALSE)</f>
        <v>砚山县</v>
      </c>
      <c r="G15" s="14" t="str">
        <f ca="1">VLOOKUP(F15,Table17[[Native]:[Population4]],5,FALSE)</f>
        <v>文山壮族苗族自治州</v>
      </c>
    </row>
    <row r="16" spans="1:7" ht="15.75" thickBot="1" x14ac:dyDescent="0.3">
      <c r="A16" t="s">
        <v>2095</v>
      </c>
      <c r="B16" s="1" t="s">
        <v>2096</v>
      </c>
      <c r="C16" s="1" t="s">
        <v>7</v>
      </c>
      <c r="D16" s="1" t="s">
        <v>2080</v>
      </c>
      <c r="E16" s="6">
        <v>20946</v>
      </c>
      <c r="F16" s="1" t="str">
        <f>VLOOKUP(D16,Table17[[Name]:[Native]],3,FALSE)</f>
        <v>西畴县</v>
      </c>
      <c r="G16" s="14" t="str">
        <f ca="1">VLOOKUP(F16,Table17[[Native]:[Population4]],5,FALSE)</f>
        <v>文山壮族苗族自治州</v>
      </c>
    </row>
    <row r="17" spans="1:7" ht="15.75" thickBot="1" x14ac:dyDescent="0.3">
      <c r="A17" t="s">
        <v>2097</v>
      </c>
      <c r="B17" s="1" t="s">
        <v>2098</v>
      </c>
      <c r="C17" s="1" t="s">
        <v>7</v>
      </c>
      <c r="D17" s="1" t="s">
        <v>2089</v>
      </c>
      <c r="E17" s="6">
        <v>19871</v>
      </c>
      <c r="F17" s="1" t="str">
        <f>VLOOKUP(D17,Table17[[Name]:[Native]],3,FALSE)</f>
        <v>文山市</v>
      </c>
      <c r="G17" s="14" t="str">
        <f ca="1">VLOOKUP(F17,Table17[[Native]:[Population4]],5,FALSE)</f>
        <v>文山壮族苗族自治州</v>
      </c>
    </row>
    <row r="18" spans="1:7" ht="15.75" thickBot="1" x14ac:dyDescent="0.3">
      <c r="A18" t="s">
        <v>2099</v>
      </c>
      <c r="B18" s="1" t="s">
        <v>2100</v>
      </c>
      <c r="C18" s="1" t="s">
        <v>11</v>
      </c>
      <c r="D18" s="1" t="s">
        <v>2066</v>
      </c>
      <c r="E18" s="6">
        <v>21171</v>
      </c>
      <c r="F18" s="1" t="str">
        <f>VLOOKUP(D18,Table17[[Name]:[Native]],3,FALSE)</f>
        <v>富宁县</v>
      </c>
      <c r="G18" s="14" t="str">
        <f ca="1">VLOOKUP(F18,Table17[[Native]:[Population4]],5,FALSE)</f>
        <v>文山壮族苗族自治州</v>
      </c>
    </row>
    <row r="19" spans="1:7" ht="15.75" thickBot="1" x14ac:dyDescent="0.3">
      <c r="A19" t="s">
        <v>2101</v>
      </c>
      <c r="B19" s="1" t="s">
        <v>2102</v>
      </c>
      <c r="C19" s="1" t="s">
        <v>11</v>
      </c>
      <c r="D19" s="1" t="s">
        <v>2089</v>
      </c>
      <c r="E19" s="6">
        <v>27309</v>
      </c>
      <c r="F19" s="1" t="str">
        <f>VLOOKUP(D19,Table17[[Name]:[Native]],3,FALSE)</f>
        <v>文山市</v>
      </c>
      <c r="G19" s="14" t="str">
        <f ca="1">VLOOKUP(F19,Table17[[Native]:[Population4]],5,FALSE)</f>
        <v>文山壮族苗族自治州</v>
      </c>
    </row>
    <row r="20" spans="1:7" ht="15.75" thickBot="1" x14ac:dyDescent="0.3">
      <c r="A20" t="s">
        <v>2103</v>
      </c>
      <c r="B20" s="1" t="s">
        <v>2104</v>
      </c>
      <c r="C20" s="1" t="s">
        <v>7</v>
      </c>
      <c r="D20" s="1" t="s">
        <v>2092</v>
      </c>
      <c r="E20" s="6">
        <v>30273</v>
      </c>
      <c r="F20" s="1" t="str">
        <f>VLOOKUP(D20,Table17[[Name]:[Native]],3,FALSE)</f>
        <v>马关县</v>
      </c>
      <c r="G20" s="14" t="str">
        <f ca="1">VLOOKUP(F20,Table17[[Native]:[Population4]],5,FALSE)</f>
        <v>文山壮族苗族自治州</v>
      </c>
    </row>
    <row r="21" spans="1:7" ht="15.75" thickBot="1" x14ac:dyDescent="0.3">
      <c r="A21" t="s">
        <v>2105</v>
      </c>
      <c r="B21" s="1" t="s">
        <v>2106</v>
      </c>
      <c r="C21" s="1" t="s">
        <v>11</v>
      </c>
      <c r="D21" s="1" t="s">
        <v>2072</v>
      </c>
      <c r="E21" s="6">
        <v>24568</v>
      </c>
      <c r="F21" s="1" t="str">
        <f>VLOOKUP(D21,Table17[[Name]:[Native]],3,FALSE)</f>
        <v>麻栗坡县</v>
      </c>
      <c r="G21" s="14" t="str">
        <f ca="1">VLOOKUP(F21,Table17[[Native]:[Population4]],5,FALSE)</f>
        <v>文山壮族苗族自治州</v>
      </c>
    </row>
    <row r="22" spans="1:7" ht="15.75" thickBot="1" x14ac:dyDescent="0.3">
      <c r="A22" t="s">
        <v>2107</v>
      </c>
      <c r="B22" s="1" t="s">
        <v>2108</v>
      </c>
      <c r="C22" s="1" t="s">
        <v>11</v>
      </c>
      <c r="D22" s="1" t="s">
        <v>2089</v>
      </c>
      <c r="E22" s="6">
        <v>33125</v>
      </c>
      <c r="F22" s="1" t="str">
        <f>VLOOKUP(D22,Table17[[Name]:[Native]],3,FALSE)</f>
        <v>文山市</v>
      </c>
      <c r="G22" s="14" t="str">
        <f ca="1">VLOOKUP(F22,Table17[[Native]:[Population4]],5,FALSE)</f>
        <v>文山壮族苗族自治州</v>
      </c>
    </row>
    <row r="23" spans="1:7" ht="15.75" thickBot="1" x14ac:dyDescent="0.3">
      <c r="A23" t="s">
        <v>2109</v>
      </c>
      <c r="B23" s="1" t="s">
        <v>2110</v>
      </c>
      <c r="C23" s="1" t="s">
        <v>7</v>
      </c>
      <c r="D23" s="1" t="s">
        <v>2069</v>
      </c>
      <c r="E23" s="6">
        <v>35233</v>
      </c>
      <c r="F23" s="1" t="str">
        <f>VLOOKUP(D23,Table17[[Name]:[Native]],3,FALSE)</f>
        <v>广南县</v>
      </c>
      <c r="G23" s="14" t="str">
        <f ca="1">VLOOKUP(F23,Table17[[Native]:[Population4]],5,FALSE)</f>
        <v>文山壮族苗族自治州</v>
      </c>
    </row>
    <row r="24" spans="1:7" ht="15.75" thickBot="1" x14ac:dyDescent="0.3">
      <c r="A24" t="s">
        <v>2111</v>
      </c>
      <c r="B24" s="1" t="s">
        <v>2112</v>
      </c>
      <c r="C24" s="1" t="s">
        <v>7</v>
      </c>
      <c r="D24" s="1" t="s">
        <v>2069</v>
      </c>
      <c r="E24" s="6">
        <v>20903</v>
      </c>
      <c r="F24" s="1" t="str">
        <f>VLOOKUP(D24,Table17[[Name]:[Native]],3,FALSE)</f>
        <v>广南县</v>
      </c>
      <c r="G24" s="14" t="str">
        <f ca="1">VLOOKUP(F24,Table17[[Native]:[Population4]],5,FALSE)</f>
        <v>文山壮族苗族自治州</v>
      </c>
    </row>
    <row r="25" spans="1:7" ht="15.75" thickBot="1" x14ac:dyDescent="0.3">
      <c r="A25" t="s">
        <v>2113</v>
      </c>
      <c r="B25" s="1" t="s">
        <v>2114</v>
      </c>
      <c r="C25" s="1" t="s">
        <v>7</v>
      </c>
      <c r="D25" s="1" t="s">
        <v>2066</v>
      </c>
      <c r="E25" s="6">
        <v>35702</v>
      </c>
      <c r="F25" s="1" t="str">
        <f>VLOOKUP(D25,Table17[[Name]:[Native]],3,FALSE)</f>
        <v>富宁县</v>
      </c>
      <c r="G25" s="14" t="str">
        <f ca="1">VLOOKUP(F25,Table17[[Native]:[Population4]],5,FALSE)</f>
        <v>文山壮族苗族自治州</v>
      </c>
    </row>
    <row r="26" spans="1:7" ht="15.75" thickBot="1" x14ac:dyDescent="0.3">
      <c r="A26" t="s">
        <v>2115</v>
      </c>
      <c r="B26" s="1" t="s">
        <v>2116</v>
      </c>
      <c r="C26" s="1" t="s">
        <v>11</v>
      </c>
      <c r="D26" s="1" t="s">
        <v>2072</v>
      </c>
      <c r="E26" s="6">
        <v>46544</v>
      </c>
      <c r="F26" s="1" t="str">
        <f>VLOOKUP(D26,Table17[[Name]:[Native]],3,FALSE)</f>
        <v>麻栗坡县</v>
      </c>
      <c r="G26" s="14" t="str">
        <f ca="1">VLOOKUP(F26,Table17[[Native]:[Population4]],5,FALSE)</f>
        <v>文山壮族苗族自治州</v>
      </c>
    </row>
    <row r="27" spans="1:7" ht="15.75" thickBot="1" x14ac:dyDescent="0.3">
      <c r="A27" t="s">
        <v>2117</v>
      </c>
      <c r="B27" s="1" t="s">
        <v>2118</v>
      </c>
      <c r="C27" s="1" t="s">
        <v>7</v>
      </c>
      <c r="D27" s="1" t="s">
        <v>2080</v>
      </c>
      <c r="E27" s="6">
        <v>20001</v>
      </c>
      <c r="F27" s="1" t="str">
        <f>VLOOKUP(D27,Table17[[Name]:[Native]],3,FALSE)</f>
        <v>西畴县</v>
      </c>
      <c r="G27" s="14" t="str">
        <f ca="1">VLOOKUP(F27,Table17[[Native]:[Population4]],5,FALSE)</f>
        <v>文山壮族苗族自治州</v>
      </c>
    </row>
    <row r="28" spans="1:7" ht="15.75" thickBot="1" x14ac:dyDescent="0.3">
      <c r="A28" t="s">
        <v>419</v>
      </c>
      <c r="B28" s="1" t="s">
        <v>420</v>
      </c>
      <c r="C28" s="1" t="s">
        <v>7</v>
      </c>
      <c r="D28" s="1" t="s">
        <v>2089</v>
      </c>
      <c r="E28" s="6">
        <v>9458</v>
      </c>
      <c r="F28" s="1" t="str">
        <f>VLOOKUP(D28,Table17[[Name]:[Native]],3,FALSE)</f>
        <v>文山市</v>
      </c>
      <c r="G28" s="14" t="str">
        <f ca="1">VLOOKUP(F28,Table17[[Native]:[Population4]],5,FALSE)</f>
        <v>文山壮族苗族自治州</v>
      </c>
    </row>
    <row r="29" spans="1:7" ht="15.75" thickBot="1" x14ac:dyDescent="0.3">
      <c r="A29" t="s">
        <v>2119</v>
      </c>
      <c r="B29" s="1" t="s">
        <v>2120</v>
      </c>
      <c r="C29" s="1" t="s">
        <v>11</v>
      </c>
      <c r="D29" s="1" t="s">
        <v>2092</v>
      </c>
      <c r="E29" s="6">
        <v>36961</v>
      </c>
      <c r="F29" s="1" t="str">
        <f>VLOOKUP(D29,Table17[[Name]:[Native]],3,FALSE)</f>
        <v>马关县</v>
      </c>
      <c r="G29" s="14" t="str">
        <f ca="1">VLOOKUP(F29,Table17[[Native]:[Population4]],5,FALSE)</f>
        <v>文山壮族苗族自治州</v>
      </c>
    </row>
    <row r="30" spans="1:7" ht="15.75" thickBot="1" x14ac:dyDescent="0.3">
      <c r="A30" t="s">
        <v>2121</v>
      </c>
      <c r="B30" s="1" t="s">
        <v>2122</v>
      </c>
      <c r="C30" s="1" t="s">
        <v>7</v>
      </c>
      <c r="D30" s="1" t="s">
        <v>2080</v>
      </c>
      <c r="E30" s="6">
        <v>29293</v>
      </c>
      <c r="F30" s="1" t="str">
        <f>VLOOKUP(D30,Table17[[Name]:[Native]],3,FALSE)</f>
        <v>西畴县</v>
      </c>
      <c r="G30" s="14" t="str">
        <f ca="1">VLOOKUP(F30,Table17[[Native]:[Population4]],5,FALSE)</f>
        <v>文山壮族苗族自治州</v>
      </c>
    </row>
    <row r="31" spans="1:7" ht="15.75" thickBot="1" x14ac:dyDescent="0.3">
      <c r="A31" t="s">
        <v>2123</v>
      </c>
      <c r="B31" s="1" t="s">
        <v>2124</v>
      </c>
      <c r="C31" s="1" t="s">
        <v>7</v>
      </c>
      <c r="D31" s="1" t="s">
        <v>2061</v>
      </c>
      <c r="E31" s="6">
        <v>21601</v>
      </c>
      <c r="F31" s="1" t="str">
        <f>VLOOKUP(D31,Table17[[Name]:[Native]],3,FALSE)</f>
        <v>砚山县</v>
      </c>
      <c r="G31" s="14" t="str">
        <f ca="1">VLOOKUP(F31,Table17[[Native]:[Population4]],5,FALSE)</f>
        <v>文山壮族苗族自治州</v>
      </c>
    </row>
    <row r="32" spans="1:7" ht="15.75" thickBot="1" x14ac:dyDescent="0.3">
      <c r="A32" t="s">
        <v>2125</v>
      </c>
      <c r="B32" s="1" t="s">
        <v>2126</v>
      </c>
      <c r="C32" s="1" t="s">
        <v>7</v>
      </c>
      <c r="D32" s="1" t="s">
        <v>2075</v>
      </c>
      <c r="E32" s="6">
        <v>47689</v>
      </c>
      <c r="F32" s="1" t="str">
        <f>VLOOKUP(D32,Table17[[Name]:[Native]],3,FALSE)</f>
        <v>丘北县</v>
      </c>
      <c r="G32" s="14" t="str">
        <f ca="1">VLOOKUP(F32,Table17[[Native]:[Population4]],5,FALSE)</f>
        <v>文山壮族苗族自治州</v>
      </c>
    </row>
    <row r="33" spans="1:7" ht="15.75" thickBot="1" x14ac:dyDescent="0.3">
      <c r="A33" t="s">
        <v>2127</v>
      </c>
      <c r="B33" s="1" t="s">
        <v>2128</v>
      </c>
      <c r="C33" s="1" t="s">
        <v>11</v>
      </c>
      <c r="D33" s="1" t="s">
        <v>2066</v>
      </c>
      <c r="E33" s="6">
        <v>38960</v>
      </c>
      <c r="F33" s="1" t="str">
        <f>VLOOKUP(D33,Table17[[Name]:[Native]],3,FALSE)</f>
        <v>富宁县</v>
      </c>
      <c r="G33" s="14" t="str">
        <f ca="1">VLOOKUP(F33,Table17[[Native]:[Population4]],5,FALSE)</f>
        <v>文山壮族苗族自治州</v>
      </c>
    </row>
    <row r="34" spans="1:7" ht="15.75" thickBot="1" x14ac:dyDescent="0.3">
      <c r="A34" t="s">
        <v>2129</v>
      </c>
      <c r="B34" s="1" t="s">
        <v>2130</v>
      </c>
      <c r="C34" s="1" t="s">
        <v>7</v>
      </c>
      <c r="D34" s="1" t="s">
        <v>2066</v>
      </c>
      <c r="E34" s="6">
        <v>22499</v>
      </c>
      <c r="F34" s="1" t="str">
        <f>VLOOKUP(D34,Table17[[Name]:[Native]],3,FALSE)</f>
        <v>富宁县</v>
      </c>
      <c r="G34" s="14" t="str">
        <f ca="1">VLOOKUP(F34,Table17[[Native]:[Population4]],5,FALSE)</f>
        <v>文山壮族苗族自治州</v>
      </c>
    </row>
    <row r="35" spans="1:7" ht="15.75" thickBot="1" x14ac:dyDescent="0.3">
      <c r="A35" t="s">
        <v>2131</v>
      </c>
      <c r="B35" s="1" t="s">
        <v>2132</v>
      </c>
      <c r="C35" s="1" t="s">
        <v>7</v>
      </c>
      <c r="D35" s="1" t="s">
        <v>2092</v>
      </c>
      <c r="E35" s="6">
        <v>11926</v>
      </c>
      <c r="F35" s="1" t="str">
        <f>VLOOKUP(D35,Table17[[Name]:[Native]],3,FALSE)</f>
        <v>马关县</v>
      </c>
      <c r="G35" s="14" t="str">
        <f ca="1">VLOOKUP(F35,Table17[[Native]:[Population4]],5,FALSE)</f>
        <v>文山壮族苗族自治州</v>
      </c>
    </row>
    <row r="36" spans="1:7" ht="15.75" thickBot="1" x14ac:dyDescent="0.3">
      <c r="A36" t="s">
        <v>2133</v>
      </c>
      <c r="B36" s="1" t="s">
        <v>2134</v>
      </c>
      <c r="C36" s="1" t="s">
        <v>11</v>
      </c>
      <c r="D36" s="1" t="s">
        <v>2089</v>
      </c>
      <c r="E36" s="6">
        <v>22263</v>
      </c>
      <c r="F36" s="1" t="str">
        <f>VLOOKUP(D36,Table17[[Name]:[Native]],3,FALSE)</f>
        <v>文山市</v>
      </c>
      <c r="G36" s="14" t="str">
        <f ca="1">VLOOKUP(F36,Table17[[Native]:[Population4]],5,FALSE)</f>
        <v>文山壮族苗族自治州</v>
      </c>
    </row>
    <row r="37" spans="1:7" ht="15.75" thickBot="1" x14ac:dyDescent="0.3">
      <c r="A37" t="s">
        <v>2135</v>
      </c>
      <c r="B37" s="1" t="s">
        <v>2136</v>
      </c>
      <c r="C37" s="1" t="s">
        <v>7</v>
      </c>
      <c r="D37" s="1" t="s">
        <v>2069</v>
      </c>
      <c r="E37" s="6">
        <v>51404</v>
      </c>
      <c r="F37" s="1" t="str">
        <f>VLOOKUP(D37,Table17[[Name]:[Native]],3,FALSE)</f>
        <v>广南县</v>
      </c>
      <c r="G37" s="14" t="str">
        <f ca="1">VLOOKUP(F37,Table17[[Native]:[Population4]],5,FALSE)</f>
        <v>文山壮族苗族自治州</v>
      </c>
    </row>
    <row r="38" spans="1:7" ht="15.75" thickBot="1" x14ac:dyDescent="0.3">
      <c r="A38" t="s">
        <v>2137</v>
      </c>
      <c r="B38" s="1" t="s">
        <v>2138</v>
      </c>
      <c r="C38" s="1" t="s">
        <v>7</v>
      </c>
      <c r="D38" s="1" t="s">
        <v>2089</v>
      </c>
      <c r="E38" s="6">
        <v>12332</v>
      </c>
      <c r="F38" s="1" t="str">
        <f>VLOOKUP(D38,Table17[[Name]:[Native]],3,FALSE)</f>
        <v>文山市</v>
      </c>
      <c r="G38" s="14" t="str">
        <f ca="1">VLOOKUP(F38,Table17[[Native]:[Population4]],5,FALSE)</f>
        <v>文山壮族苗族自治州</v>
      </c>
    </row>
    <row r="39" spans="1:7" ht="15.75" thickBot="1" x14ac:dyDescent="0.3">
      <c r="A39" t="s">
        <v>2139</v>
      </c>
      <c r="B39" s="1" t="s">
        <v>2140</v>
      </c>
      <c r="C39" s="1" t="s">
        <v>7</v>
      </c>
      <c r="D39" s="1" t="s">
        <v>2066</v>
      </c>
      <c r="E39" s="6">
        <v>22122</v>
      </c>
      <c r="F39" s="1" t="str">
        <f>VLOOKUP(D39,Table17[[Name]:[Native]],3,FALSE)</f>
        <v>富宁县</v>
      </c>
      <c r="G39" s="14" t="str">
        <f ca="1">VLOOKUP(F39,Table17[[Native]:[Population4]],5,FALSE)</f>
        <v>文山壮族苗族自治州</v>
      </c>
    </row>
    <row r="40" spans="1:7" ht="15.75" thickBot="1" x14ac:dyDescent="0.3">
      <c r="A40" t="s">
        <v>2141</v>
      </c>
      <c r="B40" s="1" t="s">
        <v>2142</v>
      </c>
      <c r="C40" s="1" t="s">
        <v>11</v>
      </c>
      <c r="D40" s="1" t="s">
        <v>2092</v>
      </c>
      <c r="E40" s="6">
        <v>36947</v>
      </c>
      <c r="F40" s="1" t="str">
        <f>VLOOKUP(D40,Table17[[Name]:[Native]],3,FALSE)</f>
        <v>马关县</v>
      </c>
      <c r="G40" s="14" t="str">
        <f ca="1">VLOOKUP(F40,Table17[[Native]:[Population4]],5,FALSE)</f>
        <v>文山壮族苗族自治州</v>
      </c>
    </row>
    <row r="41" spans="1:7" ht="15.75" thickBot="1" x14ac:dyDescent="0.3">
      <c r="A41" t="s">
        <v>2143</v>
      </c>
      <c r="B41" s="1" t="s">
        <v>2144</v>
      </c>
      <c r="C41" s="1" t="s">
        <v>11</v>
      </c>
      <c r="D41" s="1" t="s">
        <v>2061</v>
      </c>
      <c r="E41" s="6">
        <v>79448</v>
      </c>
      <c r="F41" s="1" t="str">
        <f>VLOOKUP(D41,Table17[[Name]:[Native]],3,FALSE)</f>
        <v>砚山县</v>
      </c>
      <c r="G41" s="14" t="str">
        <f ca="1">VLOOKUP(F41,Table17[[Native]:[Population4]],5,FALSE)</f>
        <v>文山壮族苗族自治州</v>
      </c>
    </row>
    <row r="42" spans="1:7" ht="15.75" thickBot="1" x14ac:dyDescent="0.3">
      <c r="A42" t="s">
        <v>2145</v>
      </c>
      <c r="B42" s="1" t="s">
        <v>2146</v>
      </c>
      <c r="C42" s="1" t="s">
        <v>11</v>
      </c>
      <c r="D42" s="1" t="s">
        <v>2061</v>
      </c>
      <c r="E42" s="6">
        <v>41917</v>
      </c>
      <c r="F42" s="1" t="str">
        <f>VLOOKUP(D42,Table17[[Name]:[Native]],3,FALSE)</f>
        <v>砚山县</v>
      </c>
      <c r="G42" s="14" t="str">
        <f ca="1">VLOOKUP(F42,Table17[[Native]:[Population4]],5,FALSE)</f>
        <v>文山壮族苗族自治州</v>
      </c>
    </row>
    <row r="43" spans="1:7" ht="15.75" thickBot="1" x14ac:dyDescent="0.3">
      <c r="A43" t="s">
        <v>444</v>
      </c>
      <c r="B43" s="1" t="s">
        <v>445</v>
      </c>
      <c r="C43" s="1" t="s">
        <v>7</v>
      </c>
      <c r="D43" s="1" t="s">
        <v>2080</v>
      </c>
      <c r="E43" s="6">
        <v>36918</v>
      </c>
      <c r="F43" s="1" t="str">
        <f>VLOOKUP(D43,Table17[[Name]:[Native]],3,FALSE)</f>
        <v>西畴县</v>
      </c>
      <c r="G43" s="14" t="str">
        <f ca="1">VLOOKUP(F43,Table17[[Native]:[Population4]],5,FALSE)</f>
        <v>文山壮族苗族自治州</v>
      </c>
    </row>
    <row r="44" spans="1:7" ht="15.75" thickBot="1" x14ac:dyDescent="0.3">
      <c r="A44" t="s">
        <v>2147</v>
      </c>
      <c r="B44" s="1" t="s">
        <v>2148</v>
      </c>
      <c r="C44" s="1" t="s">
        <v>11</v>
      </c>
      <c r="D44" s="1" t="s">
        <v>2092</v>
      </c>
      <c r="E44" s="6">
        <v>8589</v>
      </c>
      <c r="F44" s="1" t="str">
        <f>VLOOKUP(D44,Table17[[Name]:[Native]],3,FALSE)</f>
        <v>马关县</v>
      </c>
      <c r="G44" s="14" t="str">
        <f ca="1">VLOOKUP(F44,Table17[[Native]:[Population4]],5,FALSE)</f>
        <v>文山壮族苗族自治州</v>
      </c>
    </row>
    <row r="45" spans="1:7" ht="15.75" thickBot="1" x14ac:dyDescent="0.3">
      <c r="A45" t="s">
        <v>1711</v>
      </c>
      <c r="B45" s="1" t="s">
        <v>1712</v>
      </c>
      <c r="C45" s="1" t="s">
        <v>11</v>
      </c>
      <c r="D45" s="1" t="s">
        <v>2075</v>
      </c>
      <c r="E45" s="6">
        <v>71746</v>
      </c>
      <c r="F45" s="1" t="str">
        <f>VLOOKUP(D45,Table17[[Name]:[Native]],3,FALSE)</f>
        <v>丘北县</v>
      </c>
      <c r="G45" s="14" t="str">
        <f ca="1">VLOOKUP(F45,Table17[[Native]:[Population4]],5,FALSE)</f>
        <v>文山壮族苗族自治州</v>
      </c>
    </row>
    <row r="46" spans="1:7" ht="15.75" thickBot="1" x14ac:dyDescent="0.3">
      <c r="A46" t="s">
        <v>2149</v>
      </c>
      <c r="B46" s="1" t="s">
        <v>2150</v>
      </c>
      <c r="C46" s="1" t="s">
        <v>7</v>
      </c>
      <c r="D46" s="1" t="s">
        <v>2069</v>
      </c>
      <c r="E46" s="6">
        <v>59191</v>
      </c>
      <c r="F46" s="1" t="str">
        <f>VLOOKUP(D46,Table17[[Name]:[Native]],3,FALSE)</f>
        <v>广南县</v>
      </c>
      <c r="G46" s="14" t="str">
        <f ca="1">VLOOKUP(F46,Table17[[Native]:[Population4]],5,FALSE)</f>
        <v>文山壮族苗族自治州</v>
      </c>
    </row>
    <row r="47" spans="1:7" ht="15.75" thickBot="1" x14ac:dyDescent="0.3">
      <c r="A47" t="s">
        <v>2151</v>
      </c>
      <c r="B47" s="1" t="s">
        <v>2152</v>
      </c>
      <c r="C47" s="1" t="s">
        <v>11</v>
      </c>
      <c r="D47" s="1" t="s">
        <v>2089</v>
      </c>
      <c r="E47" s="6">
        <v>221301</v>
      </c>
      <c r="F47" s="1" t="str">
        <f>VLOOKUP(D47,Table17[[Name]:[Native]],3,FALSE)</f>
        <v>文山市</v>
      </c>
      <c r="G47" s="14" t="str">
        <f ca="1">VLOOKUP(F47,Table17[[Native]:[Population4]],5,FALSE)</f>
        <v>文山壮族苗族自治州</v>
      </c>
    </row>
    <row r="48" spans="1:7" ht="15.75" thickBot="1" x14ac:dyDescent="0.3">
      <c r="A48" t="s">
        <v>2153</v>
      </c>
      <c r="B48" s="1" t="s">
        <v>2154</v>
      </c>
      <c r="C48" s="1" t="s">
        <v>11</v>
      </c>
      <c r="D48" s="1" t="s">
        <v>2069</v>
      </c>
      <c r="E48" s="6">
        <v>101221</v>
      </c>
      <c r="F48" s="1" t="str">
        <f>VLOOKUP(D48,Table17[[Name]:[Native]],3,FALSE)</f>
        <v>广南县</v>
      </c>
      <c r="G48" s="14" t="str">
        <f ca="1">VLOOKUP(F48,Table17[[Native]:[Population4]],5,FALSE)</f>
        <v>文山壮族苗族自治州</v>
      </c>
    </row>
    <row r="49" spans="1:7" ht="15.75" thickBot="1" x14ac:dyDescent="0.3">
      <c r="A49" t="s">
        <v>2155</v>
      </c>
      <c r="B49" s="1" t="s">
        <v>2156</v>
      </c>
      <c r="C49" s="1" t="s">
        <v>7</v>
      </c>
      <c r="D49" s="1" t="s">
        <v>2080</v>
      </c>
      <c r="E49" s="6">
        <v>23050</v>
      </c>
      <c r="F49" s="1" t="str">
        <f>VLOOKUP(D49,Table17[[Name]:[Native]],3,FALSE)</f>
        <v>西畴县</v>
      </c>
      <c r="G49" s="14" t="str">
        <f ca="1">VLOOKUP(F49,Table17[[Native]:[Population4]],5,FALSE)</f>
        <v>文山壮族苗族自治州</v>
      </c>
    </row>
    <row r="50" spans="1:7" ht="15.75" thickBot="1" x14ac:dyDescent="0.3">
      <c r="A50" t="s">
        <v>2157</v>
      </c>
      <c r="B50" s="1" t="s">
        <v>2158</v>
      </c>
      <c r="C50" s="1" t="s">
        <v>11</v>
      </c>
      <c r="D50" s="1" t="s">
        <v>2066</v>
      </c>
      <c r="E50" s="6">
        <v>21858</v>
      </c>
      <c r="F50" s="1" t="str">
        <f>VLOOKUP(D50,Table17[[Name]:[Native]],3,FALSE)</f>
        <v>富宁县</v>
      </c>
      <c r="G50" s="14" t="str">
        <f ca="1">VLOOKUP(F50,Table17[[Native]:[Population4]],5,FALSE)</f>
        <v>文山壮族苗族自治州</v>
      </c>
    </row>
    <row r="51" spans="1:7" ht="15.75" thickBot="1" x14ac:dyDescent="0.3">
      <c r="A51" t="s">
        <v>2159</v>
      </c>
      <c r="B51" s="1" t="s">
        <v>2160</v>
      </c>
      <c r="C51" s="1" t="s">
        <v>7</v>
      </c>
      <c r="D51" s="1" t="s">
        <v>2072</v>
      </c>
      <c r="E51" s="6">
        <v>16121</v>
      </c>
      <c r="F51" s="1" t="str">
        <f>VLOOKUP(D51,Table17[[Name]:[Native]],3,FALSE)</f>
        <v>麻栗坡县</v>
      </c>
      <c r="G51" s="14" t="str">
        <f ca="1">VLOOKUP(F51,Table17[[Native]:[Population4]],5,FALSE)</f>
        <v>文山壮族苗族自治州</v>
      </c>
    </row>
    <row r="52" spans="1:7" ht="15.75" thickBot="1" x14ac:dyDescent="0.3">
      <c r="A52" t="s">
        <v>2161</v>
      </c>
      <c r="B52" s="1" t="s">
        <v>2162</v>
      </c>
      <c r="C52" s="1" t="s">
        <v>7</v>
      </c>
      <c r="D52" s="1" t="s">
        <v>2089</v>
      </c>
      <c r="E52" s="6">
        <v>12392</v>
      </c>
      <c r="F52" s="1" t="str">
        <f>VLOOKUP(D52,Table17[[Name]:[Native]],3,FALSE)</f>
        <v>文山市</v>
      </c>
      <c r="G52" s="14" t="str">
        <f ca="1">VLOOKUP(F52,Table17[[Native]:[Population4]],5,FALSE)</f>
        <v>文山壮族苗族自治州</v>
      </c>
    </row>
    <row r="53" spans="1:7" ht="15.75" thickBot="1" x14ac:dyDescent="0.3">
      <c r="A53" t="s">
        <v>2163</v>
      </c>
      <c r="B53" s="1" t="s">
        <v>2164</v>
      </c>
      <c r="C53" s="1" t="s">
        <v>11</v>
      </c>
      <c r="D53" s="1" t="s">
        <v>2092</v>
      </c>
      <c r="E53" s="6">
        <v>79534</v>
      </c>
      <c r="F53" s="1" t="str">
        <f>VLOOKUP(D53,Table17[[Name]:[Native]],3,FALSE)</f>
        <v>马关县</v>
      </c>
      <c r="G53" s="14" t="str">
        <f ca="1">VLOOKUP(F53,Table17[[Native]:[Population4]],5,FALSE)</f>
        <v>文山壮族苗族自治州</v>
      </c>
    </row>
    <row r="54" spans="1:7" ht="15.75" thickBot="1" x14ac:dyDescent="0.3">
      <c r="A54" t="s">
        <v>903</v>
      </c>
      <c r="B54" s="1" t="s">
        <v>904</v>
      </c>
      <c r="C54" s="1" t="s">
        <v>7</v>
      </c>
      <c r="D54" s="1" t="s">
        <v>2072</v>
      </c>
      <c r="E54" s="6">
        <v>25349</v>
      </c>
      <c r="F54" s="1" t="str">
        <f>VLOOKUP(D54,Table17[[Name]:[Native]],3,FALSE)</f>
        <v>麻栗坡县</v>
      </c>
      <c r="G54" s="14" t="str">
        <f ca="1">VLOOKUP(F54,Table17[[Native]:[Population4]],5,FALSE)</f>
        <v>文山壮族苗族自治州</v>
      </c>
    </row>
    <row r="55" spans="1:7" ht="15.75" thickBot="1" x14ac:dyDescent="0.3">
      <c r="A55" t="s">
        <v>2165</v>
      </c>
      <c r="B55" s="1" t="s">
        <v>2166</v>
      </c>
      <c r="C55" s="1" t="s">
        <v>11</v>
      </c>
      <c r="D55" s="1" t="s">
        <v>2072</v>
      </c>
      <c r="E55" s="6">
        <v>54511</v>
      </c>
      <c r="F55" s="1" t="str">
        <f>VLOOKUP(D55,Table17[[Name]:[Native]],3,FALSE)</f>
        <v>麻栗坡县</v>
      </c>
      <c r="G55" s="14" t="str">
        <f ca="1">VLOOKUP(F55,Table17[[Native]:[Population4]],5,FALSE)</f>
        <v>文山壮族苗族自治州</v>
      </c>
    </row>
    <row r="56" spans="1:7" ht="15.75" thickBot="1" x14ac:dyDescent="0.3">
      <c r="A56" t="s">
        <v>2167</v>
      </c>
      <c r="B56" s="1" t="s">
        <v>2168</v>
      </c>
      <c r="C56" s="1" t="s">
        <v>11</v>
      </c>
      <c r="D56" s="1" t="s">
        <v>2089</v>
      </c>
      <c r="E56" s="6">
        <v>34522</v>
      </c>
      <c r="F56" s="1" t="str">
        <f>VLOOKUP(D56,Table17[[Name]:[Native]],3,FALSE)</f>
        <v>文山市</v>
      </c>
      <c r="G56" s="14" t="str">
        <f ca="1">VLOOKUP(F56,Table17[[Native]:[Population4]],5,FALSE)</f>
        <v>文山壮族苗族自治州</v>
      </c>
    </row>
    <row r="57" spans="1:7" ht="15.75" thickBot="1" x14ac:dyDescent="0.3">
      <c r="A57" t="s">
        <v>2169</v>
      </c>
      <c r="B57" s="1" t="s">
        <v>2170</v>
      </c>
      <c r="C57" s="1" t="s">
        <v>7</v>
      </c>
      <c r="D57" s="1" t="s">
        <v>2072</v>
      </c>
      <c r="E57" s="6">
        <v>15303</v>
      </c>
      <c r="F57" s="1" t="str">
        <f>VLOOKUP(D57,Table17[[Name]:[Native]],3,FALSE)</f>
        <v>麻栗坡县</v>
      </c>
      <c r="G57" s="14" t="str">
        <f ca="1">VLOOKUP(F57,Table17[[Native]:[Population4]],5,FALSE)</f>
        <v>文山壮族苗族自治州</v>
      </c>
    </row>
    <row r="58" spans="1:7" ht="15.75" thickBot="1" x14ac:dyDescent="0.3">
      <c r="A58" t="s">
        <v>2171</v>
      </c>
      <c r="B58" s="1" t="s">
        <v>2172</v>
      </c>
      <c r="C58" s="1" t="s">
        <v>7</v>
      </c>
      <c r="D58" s="1" t="s">
        <v>2092</v>
      </c>
      <c r="E58" s="6">
        <v>16729</v>
      </c>
      <c r="F58" s="1" t="str">
        <f>VLOOKUP(D58,Table17[[Name]:[Native]],3,FALSE)</f>
        <v>马关县</v>
      </c>
      <c r="G58" s="14" t="str">
        <f ca="1">VLOOKUP(F58,Table17[[Native]:[Population4]],5,FALSE)</f>
        <v>文山壮族苗族自治州</v>
      </c>
    </row>
    <row r="59" spans="1:7" ht="15.75" thickBot="1" x14ac:dyDescent="0.3">
      <c r="A59" t="s">
        <v>2173</v>
      </c>
      <c r="B59" s="1" t="s">
        <v>2174</v>
      </c>
      <c r="C59" s="1" t="s">
        <v>11</v>
      </c>
      <c r="D59" s="1" t="s">
        <v>2092</v>
      </c>
      <c r="E59" s="6">
        <v>24158</v>
      </c>
      <c r="F59" s="1" t="str">
        <f>VLOOKUP(D59,Table17[[Name]:[Native]],3,FALSE)</f>
        <v>马关县</v>
      </c>
      <c r="G59" s="14" t="str">
        <f ca="1">VLOOKUP(F59,Table17[[Native]:[Population4]],5,FALSE)</f>
        <v>文山壮族苗族自治州</v>
      </c>
    </row>
    <row r="60" spans="1:7" ht="15.75" thickBot="1" x14ac:dyDescent="0.3">
      <c r="A60" t="s">
        <v>2175</v>
      </c>
      <c r="B60" s="1" t="s">
        <v>2176</v>
      </c>
      <c r="C60" s="1" t="s">
        <v>11</v>
      </c>
      <c r="D60" s="1" t="s">
        <v>2066</v>
      </c>
      <c r="E60" s="6">
        <v>50276</v>
      </c>
      <c r="F60" s="1" t="str">
        <f>VLOOKUP(D60,Table17[[Name]:[Native]],3,FALSE)</f>
        <v>富宁县</v>
      </c>
      <c r="G60" s="14" t="str">
        <f ca="1">VLOOKUP(F60,Table17[[Native]:[Population4]],5,FALSE)</f>
        <v>文山壮族苗族自治州</v>
      </c>
    </row>
    <row r="61" spans="1:7" ht="15.75" thickBot="1" x14ac:dyDescent="0.3">
      <c r="A61" t="s">
        <v>2177</v>
      </c>
      <c r="B61" s="1" t="s">
        <v>2178</v>
      </c>
      <c r="C61" s="1" t="s">
        <v>7</v>
      </c>
      <c r="D61" s="1" t="s">
        <v>2066</v>
      </c>
      <c r="E61" s="6">
        <v>18138</v>
      </c>
      <c r="F61" s="1" t="str">
        <f>VLOOKUP(D61,Table17[[Name]:[Native]],3,FALSE)</f>
        <v>富宁县</v>
      </c>
      <c r="G61" s="14" t="str">
        <f ca="1">VLOOKUP(F61,Table17[[Native]:[Population4]],5,FALSE)</f>
        <v>文山壮族苗族自治州</v>
      </c>
    </row>
    <row r="62" spans="1:7" ht="15.75" thickBot="1" x14ac:dyDescent="0.3">
      <c r="A62" t="s">
        <v>2179</v>
      </c>
      <c r="B62" s="1" t="s">
        <v>2180</v>
      </c>
      <c r="C62" s="1" t="s">
        <v>7</v>
      </c>
      <c r="D62" s="1" t="s">
        <v>2092</v>
      </c>
      <c r="E62" s="6">
        <v>12939</v>
      </c>
      <c r="F62" s="1" t="str">
        <f>VLOOKUP(D62,Table17[[Name]:[Native]],3,FALSE)</f>
        <v>马关县</v>
      </c>
      <c r="G62" s="14" t="str">
        <f ca="1">VLOOKUP(F62,Table17[[Native]:[Population4]],5,FALSE)</f>
        <v>文山壮族苗族自治州</v>
      </c>
    </row>
    <row r="63" spans="1:7" ht="15.75" thickBot="1" x14ac:dyDescent="0.3">
      <c r="A63" t="s">
        <v>1773</v>
      </c>
      <c r="B63" s="1" t="s">
        <v>1774</v>
      </c>
      <c r="C63" s="1" t="s">
        <v>11</v>
      </c>
      <c r="D63" s="1" t="s">
        <v>2069</v>
      </c>
      <c r="E63" s="6">
        <v>41971</v>
      </c>
      <c r="F63" s="1" t="str">
        <f>VLOOKUP(D63,Table17[[Name]:[Native]],3,FALSE)</f>
        <v>广南县</v>
      </c>
      <c r="G63" s="14" t="str">
        <f ca="1">VLOOKUP(F63,Table17[[Native]:[Population4]],5,FALSE)</f>
        <v>文山壮族苗族自治州</v>
      </c>
    </row>
    <row r="64" spans="1:7" ht="15.75" thickBot="1" x14ac:dyDescent="0.3">
      <c r="A64" t="s">
        <v>2181</v>
      </c>
      <c r="B64" s="1" t="s">
        <v>2182</v>
      </c>
      <c r="C64" s="1" t="s">
        <v>11</v>
      </c>
      <c r="D64" s="1" t="s">
        <v>2069</v>
      </c>
      <c r="E64" s="6">
        <v>50899</v>
      </c>
      <c r="F64" s="1" t="str">
        <f>VLOOKUP(D64,Table17[[Name]:[Native]],3,FALSE)</f>
        <v>广南县</v>
      </c>
      <c r="G64" s="14" t="str">
        <f ca="1">VLOOKUP(F64,Table17[[Native]:[Population4]],5,FALSE)</f>
        <v>文山壮族苗族自治州</v>
      </c>
    </row>
    <row r="65" spans="1:7" ht="15.75" thickBot="1" x14ac:dyDescent="0.3">
      <c r="A65" t="s">
        <v>2183</v>
      </c>
      <c r="B65" s="1" t="s">
        <v>2184</v>
      </c>
      <c r="C65" s="1" t="s">
        <v>7</v>
      </c>
      <c r="D65" s="1" t="s">
        <v>2075</v>
      </c>
      <c r="E65" s="6">
        <v>26576</v>
      </c>
      <c r="F65" s="1" t="str">
        <f>VLOOKUP(D65,Table17[[Name]:[Native]],3,FALSE)</f>
        <v>丘北县</v>
      </c>
      <c r="G65" s="14" t="str">
        <f ca="1">VLOOKUP(F65,Table17[[Native]:[Population4]],5,FALSE)</f>
        <v>文山壮族苗族自治州</v>
      </c>
    </row>
    <row r="66" spans="1:7" ht="15.75" thickBot="1" x14ac:dyDescent="0.3">
      <c r="A66" t="s">
        <v>2185</v>
      </c>
      <c r="B66" s="1" t="s">
        <v>2186</v>
      </c>
      <c r="C66" s="1" t="s">
        <v>7</v>
      </c>
      <c r="D66" s="1" t="s">
        <v>2061</v>
      </c>
      <c r="E66" s="6">
        <v>30076</v>
      </c>
      <c r="F66" s="1" t="str">
        <f>VLOOKUP(D66,Table17[[Name]:[Native]],3,FALSE)</f>
        <v>砚山县</v>
      </c>
      <c r="G66" s="14" t="str">
        <f ca="1">VLOOKUP(F66,Table17[[Native]:[Population4]],5,FALSE)</f>
        <v>文山壮族苗族自治州</v>
      </c>
    </row>
    <row r="67" spans="1:7" ht="15.75" thickBot="1" x14ac:dyDescent="0.3">
      <c r="A67" t="s">
        <v>2187</v>
      </c>
      <c r="B67" s="1" t="s">
        <v>2188</v>
      </c>
      <c r="C67" s="1" t="s">
        <v>11</v>
      </c>
      <c r="D67" s="1" t="s">
        <v>2089</v>
      </c>
      <c r="E67" s="6">
        <v>31128</v>
      </c>
      <c r="F67" s="1" t="str">
        <f>VLOOKUP(D67,Table17[[Name]:[Native]],3,FALSE)</f>
        <v>文山市</v>
      </c>
      <c r="G67" s="14" t="str">
        <f ca="1">VLOOKUP(F67,Table17[[Native]:[Population4]],5,FALSE)</f>
        <v>文山壮族苗族自治州</v>
      </c>
    </row>
    <row r="68" spans="1:7" ht="15.75" thickBot="1" x14ac:dyDescent="0.3">
      <c r="A68" t="s">
        <v>2189</v>
      </c>
      <c r="B68" s="1" t="s">
        <v>2190</v>
      </c>
      <c r="C68" s="1" t="s">
        <v>11</v>
      </c>
      <c r="D68" s="1" t="s">
        <v>2061</v>
      </c>
      <c r="E68" s="6">
        <v>88103</v>
      </c>
      <c r="F68" s="1" t="str">
        <f>VLOOKUP(D68,Table17[[Name]:[Native]],3,FALSE)</f>
        <v>砚山县</v>
      </c>
      <c r="G68" s="14" t="str">
        <f ca="1">VLOOKUP(F68,Table17[[Native]:[Population4]],5,FALSE)</f>
        <v>文山壮族苗族自治州</v>
      </c>
    </row>
    <row r="69" spans="1:7" ht="15.75" thickBot="1" x14ac:dyDescent="0.3">
      <c r="A69" t="s">
        <v>2191</v>
      </c>
      <c r="B69" s="1" t="s">
        <v>2192</v>
      </c>
      <c r="C69" s="1" t="s">
        <v>7</v>
      </c>
      <c r="D69" s="1" t="s">
        <v>2075</v>
      </c>
      <c r="E69" s="6">
        <v>33603</v>
      </c>
      <c r="F69" s="1" t="str">
        <f>VLOOKUP(D69,Table17[[Name]:[Native]],3,FALSE)</f>
        <v>丘北县</v>
      </c>
      <c r="G69" s="14" t="str">
        <f ca="1">VLOOKUP(F69,Table17[[Native]:[Population4]],5,FALSE)</f>
        <v>文山壮族苗族自治州</v>
      </c>
    </row>
    <row r="70" spans="1:7" ht="15.75" thickBot="1" x14ac:dyDescent="0.3">
      <c r="A70" t="s">
        <v>2193</v>
      </c>
      <c r="B70" s="1" t="s">
        <v>2194</v>
      </c>
      <c r="C70" s="1" t="s">
        <v>11</v>
      </c>
      <c r="D70" s="1" t="s">
        <v>2092</v>
      </c>
      <c r="E70" s="6">
        <v>21953</v>
      </c>
      <c r="F70" s="1" t="str">
        <f>VLOOKUP(D70,Table17[[Name]:[Native]],3,FALSE)</f>
        <v>马关县</v>
      </c>
      <c r="G70" s="14" t="str">
        <f ca="1">VLOOKUP(F70,Table17[[Native]:[Population4]],5,FALSE)</f>
        <v>文山壮族苗族自治州</v>
      </c>
    </row>
    <row r="71" spans="1:7" ht="15.75" thickBot="1" x14ac:dyDescent="0.3">
      <c r="A71" t="s">
        <v>103</v>
      </c>
      <c r="B71" s="1" t="s">
        <v>104</v>
      </c>
      <c r="C71" s="1" t="s">
        <v>11</v>
      </c>
      <c r="D71" s="1" t="s">
        <v>2092</v>
      </c>
      <c r="E71" s="6">
        <v>30290</v>
      </c>
      <c r="F71" s="1" t="str">
        <f>VLOOKUP(D71,Table17[[Name]:[Native]],3,FALSE)</f>
        <v>马关县</v>
      </c>
      <c r="G71" s="14" t="str">
        <f ca="1">VLOOKUP(F71,Table17[[Native]:[Population4]],5,FALSE)</f>
        <v>文山壮族苗族自治州</v>
      </c>
    </row>
    <row r="72" spans="1:7" ht="15.75" thickBot="1" x14ac:dyDescent="0.3">
      <c r="A72" t="s">
        <v>2195</v>
      </c>
      <c r="B72" s="1" t="s">
        <v>2196</v>
      </c>
      <c r="C72" s="1" t="s">
        <v>7</v>
      </c>
      <c r="D72" s="1" t="s">
        <v>2075</v>
      </c>
      <c r="E72" s="6">
        <v>17414</v>
      </c>
      <c r="F72" s="1" t="str">
        <f>VLOOKUP(D72,Table17[[Name]:[Native]],3,FALSE)</f>
        <v>丘北县</v>
      </c>
      <c r="G72" s="14" t="str">
        <f ca="1">VLOOKUP(F72,Table17[[Native]:[Population4]],5,FALSE)</f>
        <v>文山壮族苗族自治州</v>
      </c>
    </row>
    <row r="73" spans="1:7" ht="15.75" thickBot="1" x14ac:dyDescent="0.3">
      <c r="A73" t="s">
        <v>2197</v>
      </c>
      <c r="B73" s="1" t="s">
        <v>2198</v>
      </c>
      <c r="C73" s="1" t="s">
        <v>11</v>
      </c>
      <c r="D73" s="1" t="s">
        <v>2075</v>
      </c>
      <c r="E73" s="6">
        <v>75190</v>
      </c>
      <c r="F73" s="1" t="str">
        <f>VLOOKUP(D73,Table17[[Name]:[Native]],3,FALSE)</f>
        <v>丘北县</v>
      </c>
      <c r="G73" s="14" t="str">
        <f ca="1">VLOOKUP(F73,Table17[[Native]:[Population4]],5,FALSE)</f>
        <v>文山壮族苗族自治州</v>
      </c>
    </row>
    <row r="74" spans="1:7" ht="15.75" thickBot="1" x14ac:dyDescent="0.3">
      <c r="A74" t="s">
        <v>2199</v>
      </c>
      <c r="B74" s="1" t="s">
        <v>2200</v>
      </c>
      <c r="C74" s="1" t="s">
        <v>7</v>
      </c>
      <c r="D74" s="1" t="s">
        <v>2069</v>
      </c>
      <c r="E74" s="6">
        <v>32601</v>
      </c>
      <c r="F74" s="1" t="str">
        <f>VLOOKUP(D74,Table17[[Name]:[Native]],3,FALSE)</f>
        <v>广南县</v>
      </c>
      <c r="G74" s="14" t="str">
        <f ca="1">VLOOKUP(F74,Table17[[Native]:[Population4]],5,FALSE)</f>
        <v>文山壮族苗族自治州</v>
      </c>
    </row>
    <row r="75" spans="1:7" ht="15.75" thickBot="1" x14ac:dyDescent="0.3">
      <c r="A75" t="s">
        <v>2201</v>
      </c>
      <c r="B75" s="1" t="s">
        <v>2202</v>
      </c>
      <c r="C75" s="1" t="s">
        <v>7</v>
      </c>
      <c r="D75" s="1" t="s">
        <v>2075</v>
      </c>
      <c r="E75" s="6">
        <v>42157</v>
      </c>
      <c r="F75" s="1" t="str">
        <f>VLOOKUP(D75,Table17[[Name]:[Native]],3,FALSE)</f>
        <v>丘北县</v>
      </c>
      <c r="G75" s="14" t="str">
        <f ca="1">VLOOKUP(F75,Table17[[Native]:[Population4]],5,FALSE)</f>
        <v>文山壮族苗族自治州</v>
      </c>
    </row>
    <row r="76" spans="1:7" ht="15.75" thickBot="1" x14ac:dyDescent="0.3">
      <c r="A76" t="s">
        <v>2203</v>
      </c>
      <c r="B76" s="1" t="s">
        <v>2204</v>
      </c>
      <c r="C76" s="1" t="s">
        <v>11</v>
      </c>
      <c r="D76" s="1" t="s">
        <v>2072</v>
      </c>
      <c r="E76" s="6">
        <v>20109</v>
      </c>
      <c r="F76" s="1" t="str">
        <f>VLOOKUP(D76,Table17[[Name]:[Native]],3,FALSE)</f>
        <v>麻栗坡县</v>
      </c>
      <c r="G76" s="14" t="str">
        <f ca="1">VLOOKUP(F76,Table17[[Native]:[Population4]],5,FALSE)</f>
        <v>文山壮族苗族自治州</v>
      </c>
    </row>
    <row r="77" spans="1:7" ht="15.75" thickBot="1" x14ac:dyDescent="0.3">
      <c r="A77" t="s">
        <v>2205</v>
      </c>
      <c r="B77" s="1" t="s">
        <v>2206</v>
      </c>
      <c r="C77" s="1" t="s">
        <v>11</v>
      </c>
      <c r="D77" s="1" t="s">
        <v>2066</v>
      </c>
      <c r="E77" s="6">
        <v>51985</v>
      </c>
      <c r="F77" s="1" t="str">
        <f>VLOOKUP(D77,Table17[[Name]:[Native]],3,FALSE)</f>
        <v>富宁县</v>
      </c>
      <c r="G77" s="14" t="str">
        <f ca="1">VLOOKUP(F77,Table17[[Native]:[Population4]],5,FALSE)</f>
        <v>文山壮族苗族自治州</v>
      </c>
    </row>
    <row r="78" spans="1:7" ht="15.75" thickBot="1" x14ac:dyDescent="0.3">
      <c r="A78" t="s">
        <v>2207</v>
      </c>
      <c r="B78" s="1" t="s">
        <v>2208</v>
      </c>
      <c r="C78" s="1" t="s">
        <v>7</v>
      </c>
      <c r="D78" s="1" t="s">
        <v>2075</v>
      </c>
      <c r="E78" s="6">
        <v>43004</v>
      </c>
      <c r="F78" s="1" t="str">
        <f>VLOOKUP(D78,Table17[[Name]:[Native]],3,FALSE)</f>
        <v>丘北县</v>
      </c>
      <c r="G78" s="14" t="str">
        <f ca="1">VLOOKUP(F78,Table17[[Native]:[Population4]],5,FALSE)</f>
        <v>文山壮族苗族自治州</v>
      </c>
    </row>
    <row r="79" spans="1:7" ht="15.75" thickBot="1" x14ac:dyDescent="0.3">
      <c r="A79" t="s">
        <v>2209</v>
      </c>
      <c r="B79" s="1" t="s">
        <v>2210</v>
      </c>
      <c r="C79" s="1" t="s">
        <v>7</v>
      </c>
      <c r="D79" s="1" t="s">
        <v>2072</v>
      </c>
      <c r="E79" s="6">
        <v>27914</v>
      </c>
      <c r="F79" s="1" t="str">
        <f>VLOOKUP(D79,Table17[[Name]:[Native]],3,FALSE)</f>
        <v>麻栗坡县</v>
      </c>
      <c r="G79" s="14" t="str">
        <f ca="1">VLOOKUP(F79,Table17[[Native]:[Population4]],5,FALSE)</f>
        <v>文山壮族苗族自治州</v>
      </c>
    </row>
    <row r="80" spans="1:7" ht="15.75" thickBot="1" x14ac:dyDescent="0.3">
      <c r="A80" t="s">
        <v>2211</v>
      </c>
      <c r="B80" s="1" t="s">
        <v>2212</v>
      </c>
      <c r="C80" s="1" t="s">
        <v>7</v>
      </c>
      <c r="D80" s="1" t="s">
        <v>2061</v>
      </c>
      <c r="E80" s="6">
        <v>51101</v>
      </c>
      <c r="F80" s="1" t="str">
        <f>VLOOKUP(D80,Table17[[Name]:[Native]],3,FALSE)</f>
        <v>砚山县</v>
      </c>
      <c r="G80" s="14" t="str">
        <f ca="1">VLOOKUP(F80,Table17[[Native]:[Population4]],5,FALSE)</f>
        <v>文山壮族苗族自治州</v>
      </c>
    </row>
    <row r="81" spans="1:7" ht="15.75" thickBot="1" x14ac:dyDescent="0.3">
      <c r="A81" t="s">
        <v>2213</v>
      </c>
      <c r="B81" s="1" t="s">
        <v>2214</v>
      </c>
      <c r="C81" s="1" t="s">
        <v>7</v>
      </c>
      <c r="D81" s="1" t="s">
        <v>2075</v>
      </c>
      <c r="E81" s="6">
        <v>36286</v>
      </c>
      <c r="F81" s="1" t="str">
        <f>VLOOKUP(D81,Table17[[Name]:[Native]],3,FALSE)</f>
        <v>丘北县</v>
      </c>
      <c r="G81" s="14" t="str">
        <f ca="1">VLOOKUP(F81,Table17[[Native]:[Population4]],5,FALSE)</f>
        <v>文山壮族苗族自治州</v>
      </c>
    </row>
    <row r="82" spans="1:7" ht="15.75" thickBot="1" x14ac:dyDescent="0.3">
      <c r="A82" t="s">
        <v>2215</v>
      </c>
      <c r="B82" s="1" t="s">
        <v>2216</v>
      </c>
      <c r="C82" s="1" t="s">
        <v>7</v>
      </c>
      <c r="D82" s="1" t="s">
        <v>2069</v>
      </c>
      <c r="E82" s="6">
        <v>26387</v>
      </c>
      <c r="F82" s="1" t="str">
        <f>VLOOKUP(D82,Table17[[Name]:[Native]],3,FALSE)</f>
        <v>广南县</v>
      </c>
      <c r="G82" s="14" t="str">
        <f ca="1">VLOOKUP(F82,Table17[[Native]:[Population4]],5,FALSE)</f>
        <v>文山壮族苗族自治州</v>
      </c>
    </row>
    <row r="83" spans="1:7" ht="15.75" thickBot="1" x14ac:dyDescent="0.3">
      <c r="A83" t="s">
        <v>2217</v>
      </c>
      <c r="B83" s="1" t="s">
        <v>2218</v>
      </c>
      <c r="C83" s="1" t="s">
        <v>7</v>
      </c>
      <c r="D83" s="1" t="s">
        <v>2072</v>
      </c>
      <c r="E83" s="6">
        <v>10748</v>
      </c>
      <c r="F83" s="1" t="str">
        <f>VLOOKUP(D83,Table17[[Name]:[Native]],3,FALSE)</f>
        <v>麻栗坡县</v>
      </c>
      <c r="G83" s="14" t="str">
        <f ca="1">VLOOKUP(F83,Table17[[Native]:[Population4]],5,FALSE)</f>
        <v>文山壮族苗族自治州</v>
      </c>
    </row>
    <row r="84" spans="1:7" ht="15.75" thickBot="1" x14ac:dyDescent="0.3">
      <c r="A84" t="s">
        <v>2219</v>
      </c>
      <c r="B84" s="1" t="s">
        <v>2220</v>
      </c>
      <c r="C84" s="1" t="s">
        <v>11</v>
      </c>
      <c r="D84" s="1" t="s">
        <v>2092</v>
      </c>
      <c r="E84" s="6">
        <v>13453</v>
      </c>
      <c r="F84" s="1" t="str">
        <f>VLOOKUP(D84,Table17[[Name]:[Native]],3,FALSE)</f>
        <v>马关县</v>
      </c>
      <c r="G84" s="14" t="str">
        <f ca="1">VLOOKUP(F84,Table17[[Native]:[Population4]],5,FALSE)</f>
        <v>文山壮族苗族自治州</v>
      </c>
    </row>
    <row r="85" spans="1:7" ht="15.75" thickBot="1" x14ac:dyDescent="0.3">
      <c r="A85" t="s">
        <v>1270</v>
      </c>
      <c r="B85" s="1" t="s">
        <v>1271</v>
      </c>
      <c r="C85" s="1" t="s">
        <v>11</v>
      </c>
      <c r="D85" s="1" t="s">
        <v>2089</v>
      </c>
      <c r="E85" s="6">
        <v>22180</v>
      </c>
      <c r="F85" s="1" t="str">
        <f>VLOOKUP(D85,Table17[[Name]:[Native]],3,FALSE)</f>
        <v>文山市</v>
      </c>
      <c r="G85" s="14" t="str">
        <f ca="1">VLOOKUP(F85,Table17[[Native]:[Population4]],5,FALSE)</f>
        <v>文山壮族苗族自治州</v>
      </c>
    </row>
    <row r="86" spans="1:7" ht="15.75" thickBot="1" x14ac:dyDescent="0.3">
      <c r="A86" t="s">
        <v>2221</v>
      </c>
      <c r="B86" s="1" t="s">
        <v>2222</v>
      </c>
      <c r="C86" s="1" t="s">
        <v>7</v>
      </c>
      <c r="D86" s="1" t="s">
        <v>2089</v>
      </c>
      <c r="E86" s="6">
        <v>9365</v>
      </c>
      <c r="F86" s="1" t="str">
        <f>VLOOKUP(D86,Table17[[Name]:[Native]],3,FALSE)</f>
        <v>文山市</v>
      </c>
      <c r="G86" s="14" t="str">
        <f ca="1">VLOOKUP(F86,Table17[[Native]:[Population4]],5,FALSE)</f>
        <v>文山壮族苗族自治州</v>
      </c>
    </row>
    <row r="87" spans="1:7" ht="15.75" thickBot="1" x14ac:dyDescent="0.3">
      <c r="A87" t="s">
        <v>2223</v>
      </c>
      <c r="B87" s="1" t="s">
        <v>2224</v>
      </c>
      <c r="C87" s="1" t="s">
        <v>7</v>
      </c>
      <c r="D87" s="1" t="s">
        <v>2075</v>
      </c>
      <c r="E87" s="6">
        <v>19208</v>
      </c>
      <c r="F87" s="1" t="str">
        <f>VLOOKUP(D87,Table17[[Name]:[Native]],3,FALSE)</f>
        <v>丘北县</v>
      </c>
      <c r="G87" s="14" t="str">
        <f ca="1">VLOOKUP(F87,Table17[[Native]:[Population4]],5,FALSE)</f>
        <v>文山壮族苗族自治州</v>
      </c>
    </row>
    <row r="88" spans="1:7" ht="15.75" thickBot="1" x14ac:dyDescent="0.3">
      <c r="A88" t="s">
        <v>2225</v>
      </c>
      <c r="B88" s="1" t="s">
        <v>2226</v>
      </c>
      <c r="C88" s="1" t="s">
        <v>11</v>
      </c>
      <c r="D88" s="1" t="s">
        <v>2080</v>
      </c>
      <c r="E88" s="6">
        <v>51005</v>
      </c>
      <c r="F88" s="1" t="str">
        <f>VLOOKUP(D88,Table17[[Name]:[Native]],3,FALSE)</f>
        <v>西畴县</v>
      </c>
      <c r="G88" s="14" t="str">
        <f ca="1">VLOOKUP(F88,Table17[[Native]:[Population4]],5,FALSE)</f>
        <v>文山壮族苗族自治州</v>
      </c>
    </row>
    <row r="89" spans="1:7" ht="15.75" thickBot="1" x14ac:dyDescent="0.3">
      <c r="A89" t="s">
        <v>2227</v>
      </c>
      <c r="B89" s="1" t="s">
        <v>2228</v>
      </c>
      <c r="C89" s="1" t="s">
        <v>11</v>
      </c>
      <c r="D89" s="1" t="s">
        <v>2066</v>
      </c>
      <c r="E89" s="6">
        <v>67976</v>
      </c>
      <c r="F89" s="1" t="str">
        <f>VLOOKUP(D89,Table17[[Name]:[Native]],3,FALSE)</f>
        <v>富宁县</v>
      </c>
      <c r="G89" s="14" t="str">
        <f ca="1">VLOOKUP(F89,Table17[[Native]:[Population4]],5,FALSE)</f>
        <v>文山壮族苗族自治州</v>
      </c>
    </row>
    <row r="90" spans="1:7" ht="15.75" thickBot="1" x14ac:dyDescent="0.3">
      <c r="A90" t="s">
        <v>139</v>
      </c>
      <c r="B90" s="1" t="s">
        <v>2229</v>
      </c>
      <c r="C90" s="1" t="s">
        <v>7</v>
      </c>
      <c r="D90" s="1" t="s">
        <v>2089</v>
      </c>
      <c r="E90" s="6">
        <v>11131</v>
      </c>
      <c r="F90" s="1" t="str">
        <f>VLOOKUP(D90,Table17[[Name]:[Native]],3,FALSE)</f>
        <v>文山市</v>
      </c>
      <c r="G90" s="14" t="str">
        <f ca="1">VLOOKUP(F90,Table17[[Native]:[Population4]],5,FALSE)</f>
        <v>文山壮族苗族自治州</v>
      </c>
    </row>
    <row r="91" spans="1:7" ht="15.75" thickBot="1" x14ac:dyDescent="0.3">
      <c r="A91" t="s">
        <v>2230</v>
      </c>
      <c r="B91" s="1" t="s">
        <v>2231</v>
      </c>
      <c r="C91" s="1" t="s">
        <v>7</v>
      </c>
      <c r="D91" s="1" t="s">
        <v>2080</v>
      </c>
      <c r="E91" s="6">
        <v>16844</v>
      </c>
      <c r="F91" s="1" t="str">
        <f>VLOOKUP(D91,Table17[[Name]:[Native]],3,FALSE)</f>
        <v>西畴县</v>
      </c>
      <c r="G91" s="14" t="str">
        <f ca="1">VLOOKUP(F91,Table17[[Native]:[Population4]],5,FALSE)</f>
        <v>文山壮族苗族自治州</v>
      </c>
    </row>
    <row r="92" spans="1:7" ht="15.75" thickBot="1" x14ac:dyDescent="0.3">
      <c r="A92" t="s">
        <v>2232</v>
      </c>
      <c r="B92" s="1" t="s">
        <v>2233</v>
      </c>
      <c r="C92" s="1" t="s">
        <v>11</v>
      </c>
      <c r="D92" s="1" t="s">
        <v>2080</v>
      </c>
      <c r="E92" s="6">
        <v>45518</v>
      </c>
      <c r="F92" s="1" t="str">
        <f>VLOOKUP(D92,Table17[[Name]:[Native]],3,FALSE)</f>
        <v>西畴县</v>
      </c>
      <c r="G92" s="14" t="str">
        <f ca="1">VLOOKUP(F92,Table17[[Native]:[Population4]],5,FALSE)</f>
        <v>文山壮族苗族自治州</v>
      </c>
    </row>
    <row r="93" spans="1:7" ht="15.75" thickBot="1" x14ac:dyDescent="0.3">
      <c r="A93" t="s">
        <v>2234</v>
      </c>
      <c r="B93" s="1" t="s">
        <v>2235</v>
      </c>
      <c r="C93" s="1" t="s">
        <v>7</v>
      </c>
      <c r="D93" s="1" t="s">
        <v>2069</v>
      </c>
      <c r="E93" s="6">
        <v>36533</v>
      </c>
      <c r="F93" s="1" t="str">
        <f>VLOOKUP(D93,Table17[[Name]:[Native]],3,FALSE)</f>
        <v>广南县</v>
      </c>
      <c r="G93" s="14" t="str">
        <f ca="1">VLOOKUP(F93,Table17[[Native]:[Population4]],5,FALSE)</f>
        <v>文山壮族苗族自治州</v>
      </c>
    </row>
    <row r="94" spans="1:7" ht="15.75" thickBot="1" x14ac:dyDescent="0.3">
      <c r="A94" t="s">
        <v>2236</v>
      </c>
      <c r="B94" s="1" t="s">
        <v>2237</v>
      </c>
      <c r="C94" s="1" t="s">
        <v>7</v>
      </c>
      <c r="D94" s="1" t="s">
        <v>2072</v>
      </c>
      <c r="E94" s="6">
        <v>16406</v>
      </c>
      <c r="F94" s="1" t="str">
        <f>VLOOKUP(D94,Table17[[Name]:[Native]],3,FALSE)</f>
        <v>麻栗坡县</v>
      </c>
      <c r="G94" s="14" t="str">
        <f ca="1">VLOOKUP(F94,Table17[[Native]:[Population4]],5,FALSE)</f>
        <v>文山壮族苗族自治州</v>
      </c>
    </row>
    <row r="95" spans="1:7" ht="15.75" thickBot="1" x14ac:dyDescent="0.3">
      <c r="A95" t="s">
        <v>2238</v>
      </c>
      <c r="B95" s="1" t="s">
        <v>2239</v>
      </c>
      <c r="C95" s="1" t="s">
        <v>11</v>
      </c>
      <c r="D95" s="1" t="s">
        <v>2075</v>
      </c>
      <c r="E95" s="6">
        <v>33223</v>
      </c>
      <c r="F95" s="1" t="str">
        <f>VLOOKUP(D95,Table17[[Name]:[Native]],3,FALSE)</f>
        <v>丘北县</v>
      </c>
      <c r="G95" s="14" t="str">
        <f ca="1">VLOOKUP(F95,Table17[[Native]:[Population4]],5,FALSE)</f>
        <v>文山壮族苗族自治州</v>
      </c>
    </row>
    <row r="96" spans="1:7" ht="15.75" thickBot="1" x14ac:dyDescent="0.3">
      <c r="A96" t="s">
        <v>2240</v>
      </c>
      <c r="B96" s="1" t="s">
        <v>2241</v>
      </c>
      <c r="C96" s="1" t="s">
        <v>7</v>
      </c>
      <c r="D96" s="1" t="s">
        <v>2061</v>
      </c>
      <c r="E96" s="6">
        <v>28874</v>
      </c>
      <c r="F96" s="1" t="str">
        <f>VLOOKUP(D96,Table17[[Name]:[Native]],3,FALSE)</f>
        <v>砚山县</v>
      </c>
      <c r="G96" s="14" t="str">
        <f ca="1">VLOOKUP(F96,Table17[[Native]:[Population4]],5,FALSE)</f>
        <v>文山壮族苗族自治州</v>
      </c>
    </row>
    <row r="97" spans="1:7" ht="15.75" thickBot="1" x14ac:dyDescent="0.3">
      <c r="A97" t="s">
        <v>2242</v>
      </c>
      <c r="B97" s="1" t="s">
        <v>2243</v>
      </c>
      <c r="C97" s="1" t="s">
        <v>7</v>
      </c>
      <c r="D97" s="1" t="s">
        <v>2066</v>
      </c>
      <c r="E97" s="6">
        <v>14345</v>
      </c>
      <c r="F97" s="1" t="str">
        <f>VLOOKUP(D97,Table17[[Name]:[Native]],3,FALSE)</f>
        <v>富宁县</v>
      </c>
      <c r="G97" s="14" t="str">
        <f ca="1">VLOOKUP(F97,Table17[[Native]:[Population4]],5,FALSE)</f>
        <v>文山壮族苗族自治州</v>
      </c>
    </row>
    <row r="98" spans="1:7" ht="15.75" thickBot="1" x14ac:dyDescent="0.3">
      <c r="A98" t="s">
        <v>2244</v>
      </c>
      <c r="B98" s="1" t="s">
        <v>2245</v>
      </c>
      <c r="C98" s="1" t="s">
        <v>7</v>
      </c>
      <c r="D98" s="1" t="s">
        <v>2069</v>
      </c>
      <c r="E98" s="6">
        <v>17781</v>
      </c>
      <c r="F98" s="1" t="str">
        <f>VLOOKUP(D98,Table17[[Name]:[Native]],3,FALSE)</f>
        <v>广南县</v>
      </c>
      <c r="G98" s="14" t="str">
        <f ca="1">VLOOKUP(F98,Table17[[Native]:[Population4]],5,FALSE)</f>
        <v>文山壮族苗族自治州</v>
      </c>
    </row>
    <row r="99" spans="1:7" ht="15.75" thickBot="1" x14ac:dyDescent="0.3">
      <c r="A99" t="s">
        <v>2246</v>
      </c>
      <c r="B99" s="1" t="s">
        <v>2247</v>
      </c>
      <c r="C99" s="1" t="s">
        <v>7</v>
      </c>
      <c r="D99" s="1" t="s">
        <v>2069</v>
      </c>
      <c r="E99" s="6">
        <v>37526</v>
      </c>
      <c r="F99" s="1" t="str">
        <f>VLOOKUP(D99,Table17[[Name]:[Native]],3,FALSE)</f>
        <v>广南县</v>
      </c>
      <c r="G99" s="14" t="str">
        <f ca="1">VLOOKUP(F99,Table17[[Native]:[Population4]],5,FALSE)</f>
        <v>文山壮族苗族自治州</v>
      </c>
    </row>
    <row r="100" spans="1:7" ht="15.75" thickBot="1" x14ac:dyDescent="0.3">
      <c r="A100" t="s">
        <v>2248</v>
      </c>
      <c r="B100" s="1" t="s">
        <v>2249</v>
      </c>
      <c r="C100" s="1" t="s">
        <v>7</v>
      </c>
      <c r="D100" s="1" t="s">
        <v>2069</v>
      </c>
      <c r="E100" s="6">
        <v>22197</v>
      </c>
      <c r="F100" s="1" t="str">
        <f>VLOOKUP(D100,Table17[[Name]:[Native]],3,FALSE)</f>
        <v>广南县</v>
      </c>
      <c r="G100" s="14" t="str">
        <f ca="1">VLOOKUP(F100,Table17[[Native]:[Population4]],5,FALSE)</f>
        <v>文山壮族苗族自治州</v>
      </c>
    </row>
    <row r="101" spans="1:7" ht="15.75" thickBot="1" x14ac:dyDescent="0.3">
      <c r="A101" t="s">
        <v>2250</v>
      </c>
      <c r="B101" s="1" t="s">
        <v>2251</v>
      </c>
      <c r="C101" s="1" t="s">
        <v>11</v>
      </c>
      <c r="D101" s="1" t="s">
        <v>2089</v>
      </c>
      <c r="E101" s="6">
        <v>9840</v>
      </c>
      <c r="F101" s="1" t="str">
        <f>VLOOKUP(D101,Table17[[Name]:[Native]],3,FALSE)</f>
        <v>文山市</v>
      </c>
      <c r="G101" s="14" t="str">
        <f ca="1">VLOOKUP(F101,Table17[[Native]:[Population4]],5,FALSE)</f>
        <v>文山壮族苗族自治州</v>
      </c>
    </row>
    <row r="102" spans="1:7" ht="15.75" thickBot="1" x14ac:dyDescent="0.3">
      <c r="A102" t="s">
        <v>2252</v>
      </c>
      <c r="B102" s="1" t="s">
        <v>2253</v>
      </c>
      <c r="C102" s="1" t="s">
        <v>11</v>
      </c>
      <c r="D102" s="1" t="s">
        <v>2069</v>
      </c>
      <c r="E102" s="6">
        <v>40623</v>
      </c>
      <c r="F102" s="1" t="str">
        <f>VLOOKUP(D102,Table17[[Name]:[Native]],3,FALSE)</f>
        <v>广南县</v>
      </c>
      <c r="G102" s="14" t="str">
        <f ca="1">VLOOKUP(F102,Table17[[Native]:[Population4]],5,FALSE)</f>
        <v>文山壮族苗族自治州</v>
      </c>
    </row>
    <row r="103" spans="1:7" ht="15.75" thickBot="1" x14ac:dyDescent="0.3">
      <c r="A103" t="s">
        <v>2254</v>
      </c>
      <c r="B103" s="3" t="s">
        <v>2255</v>
      </c>
      <c r="C103" s="3" t="s">
        <v>11</v>
      </c>
      <c r="D103" s="3" t="s">
        <v>2069</v>
      </c>
      <c r="E103" s="11">
        <v>63314</v>
      </c>
      <c r="F103" s="10" t="str">
        <f>VLOOKUP(D103,Table17[[Name]:[Native]],3,FALSE)</f>
        <v>广南县</v>
      </c>
      <c r="G103" s="14" t="str">
        <f ca="1">VLOOKUP(F103,Table17[[Native]:[Population4]],5,FALSE)</f>
        <v>文山壮族苗族自治州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DD57C-8F9A-488F-8EEA-0753871DFF37}">
  <dimension ref="A1:G36"/>
  <sheetViews>
    <sheetView topLeftCell="A11" workbookViewId="0">
      <selection activeCell="G2" sqref="A2:G36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2917</v>
      </c>
      <c r="G1" t="s">
        <v>2919</v>
      </c>
    </row>
    <row r="2" spans="1:7" ht="15.75" thickBot="1" x14ac:dyDescent="0.3">
      <c r="A2" t="s">
        <v>2256</v>
      </c>
      <c r="B2" s="1" t="s">
        <v>2257</v>
      </c>
      <c r="C2" s="1" t="s">
        <v>7</v>
      </c>
      <c r="D2" s="1" t="s">
        <v>2258</v>
      </c>
      <c r="E2" s="6">
        <v>20274</v>
      </c>
      <c r="F2" s="9" t="str">
        <f>VLOOKUP(D2,Table17[[Name]:[Native]],3,FALSE)</f>
        <v>勐海县</v>
      </c>
      <c r="G2" s="14" t="str">
        <f ca="1">VLOOKUP(F2,Table17[[Native]:[Population4]],5,FALSE)</f>
        <v>西双版纳傣族自治州</v>
      </c>
    </row>
    <row r="3" spans="1:7" ht="15.75" thickBot="1" x14ac:dyDescent="0.3">
      <c r="A3" t="s">
        <v>2259</v>
      </c>
      <c r="B3" s="1" t="s">
        <v>2260</v>
      </c>
      <c r="C3" s="1" t="s">
        <v>7</v>
      </c>
      <c r="D3" s="1" t="s">
        <v>2261</v>
      </c>
      <c r="E3" s="6">
        <v>19599</v>
      </c>
      <c r="F3" s="1" t="str">
        <f>VLOOKUP(D3,Table17[[Name]:[Native]],3,FALSE)</f>
        <v>景洪市</v>
      </c>
      <c r="G3" s="14" t="str">
        <f ca="1">VLOOKUP(F3,Table17[[Native]:[Population4]],5,FALSE)</f>
        <v>西双版纳傣族自治州</v>
      </c>
    </row>
    <row r="4" spans="1:7" ht="15.75" thickBot="1" x14ac:dyDescent="0.3">
      <c r="A4" t="s">
        <v>2262</v>
      </c>
      <c r="B4" s="1" t="s">
        <v>2263</v>
      </c>
      <c r="C4" s="1" t="s">
        <v>11</v>
      </c>
      <c r="D4" s="1" t="s">
        <v>2258</v>
      </c>
      <c r="E4" s="6">
        <v>26770</v>
      </c>
      <c r="F4" s="1" t="str">
        <f>VLOOKUP(D4,Table17[[Name]:[Native]],3,FALSE)</f>
        <v>勐海县</v>
      </c>
      <c r="G4" s="14" t="str">
        <f ca="1">VLOOKUP(F4,Table17[[Native]:[Population4]],5,FALSE)</f>
        <v>西双版纳傣族自治州</v>
      </c>
    </row>
    <row r="5" spans="1:7" ht="15.75" thickBot="1" x14ac:dyDescent="0.3">
      <c r="A5" t="s">
        <v>2264</v>
      </c>
      <c r="B5" s="1" t="s">
        <v>2265</v>
      </c>
      <c r="C5" s="1" t="s">
        <v>11</v>
      </c>
      <c r="D5" s="1" t="s">
        <v>2261</v>
      </c>
      <c r="E5" s="6">
        <v>73303</v>
      </c>
      <c r="F5" s="1" t="str">
        <f>VLOOKUP(D5,Table17[[Name]:[Native]],3,FALSE)</f>
        <v>景洪市</v>
      </c>
      <c r="G5" s="14" t="str">
        <f ca="1">VLOOKUP(F5,Table17[[Native]:[Population4]],5,FALSE)</f>
        <v>西双版纳傣族自治州</v>
      </c>
    </row>
    <row r="6" spans="1:7" ht="15.75" thickBot="1" x14ac:dyDescent="0.3">
      <c r="A6" t="s">
        <v>2266</v>
      </c>
      <c r="B6" s="1" t="s">
        <v>2267</v>
      </c>
      <c r="C6" s="1" t="s">
        <v>7</v>
      </c>
      <c r="D6" s="1" t="s">
        <v>2258</v>
      </c>
      <c r="E6" s="6">
        <v>15173</v>
      </c>
      <c r="F6" s="1" t="str">
        <f>VLOOKUP(D6,Table17[[Name]:[Native]],3,FALSE)</f>
        <v>勐海县</v>
      </c>
      <c r="G6" s="14" t="str">
        <f ca="1">VLOOKUP(F6,Table17[[Native]:[Population4]],5,FALSE)</f>
        <v>西双版纳傣族自治州</v>
      </c>
    </row>
    <row r="7" spans="1:7" ht="15.75" thickBot="1" x14ac:dyDescent="0.3">
      <c r="A7" t="s">
        <v>2268</v>
      </c>
      <c r="B7" s="1" t="s">
        <v>2269</v>
      </c>
      <c r="C7" s="1" t="s">
        <v>11</v>
      </c>
      <c r="D7" s="1" t="s">
        <v>2270</v>
      </c>
      <c r="E7" s="6">
        <v>30438</v>
      </c>
      <c r="F7" s="1" t="str">
        <f>VLOOKUP(D7,Table17[[Name]:[Native]],3,FALSE)</f>
        <v>勐腊县</v>
      </c>
      <c r="G7" s="14" t="str">
        <f ca="1">VLOOKUP(F7,Table17[[Native]:[Population4]],5,FALSE)</f>
        <v>西双版纳傣族自治州</v>
      </c>
    </row>
    <row r="8" spans="1:7" ht="15.75" thickBot="1" x14ac:dyDescent="0.3">
      <c r="A8" t="s">
        <v>2271</v>
      </c>
      <c r="B8" s="1" t="s">
        <v>2272</v>
      </c>
      <c r="C8" s="1" t="s">
        <v>7</v>
      </c>
      <c r="D8" s="1" t="s">
        <v>2261</v>
      </c>
      <c r="E8" s="6">
        <v>23959</v>
      </c>
      <c r="F8" s="1" t="str">
        <f>VLOOKUP(D8,Table17[[Name]:[Native]],3,FALSE)</f>
        <v>景洪市</v>
      </c>
      <c r="G8" s="14" t="str">
        <f ca="1">VLOOKUP(F8,Table17[[Native]:[Population4]],5,FALSE)</f>
        <v>西双版纳傣族自治州</v>
      </c>
    </row>
    <row r="9" spans="1:7" ht="15.75" thickBot="1" x14ac:dyDescent="0.3">
      <c r="A9" t="s">
        <v>2273</v>
      </c>
      <c r="B9" s="1" t="s">
        <v>2274</v>
      </c>
      <c r="C9" s="1" t="s">
        <v>380</v>
      </c>
      <c r="D9" s="1" t="s">
        <v>2261</v>
      </c>
      <c r="E9" s="6">
        <v>4544</v>
      </c>
      <c r="F9" s="1" t="str">
        <f>VLOOKUP(D9,Table17[[Name]:[Native]],3,FALSE)</f>
        <v>景洪市</v>
      </c>
      <c r="G9" s="14" t="str">
        <f ca="1">VLOOKUP(F9,Table17[[Native]:[Population4]],5,FALSE)</f>
        <v>西双版纳傣族自治州</v>
      </c>
    </row>
    <row r="10" spans="1:7" ht="15.75" thickBot="1" x14ac:dyDescent="0.3">
      <c r="A10" t="s">
        <v>2275</v>
      </c>
      <c r="B10" s="1" t="s">
        <v>2276</v>
      </c>
      <c r="C10" s="1" t="s">
        <v>7</v>
      </c>
      <c r="D10" s="1" t="s">
        <v>2261</v>
      </c>
      <c r="E10" s="6">
        <v>14045</v>
      </c>
      <c r="F10" s="1" t="str">
        <f>VLOOKUP(D10,Table17[[Name]:[Native]],3,FALSE)</f>
        <v>景洪市</v>
      </c>
      <c r="G10" s="14" t="str">
        <f ca="1">VLOOKUP(F10,Table17[[Native]:[Population4]],5,FALSE)</f>
        <v>西双版纳傣族自治州</v>
      </c>
    </row>
    <row r="11" spans="1:7" ht="15.75" thickBot="1" x14ac:dyDescent="0.3">
      <c r="A11" t="s">
        <v>2277</v>
      </c>
      <c r="B11" s="1" t="s">
        <v>2278</v>
      </c>
      <c r="C11" s="1" t="s">
        <v>7</v>
      </c>
      <c r="D11" s="1" t="s">
        <v>2261</v>
      </c>
      <c r="E11" s="6">
        <v>14056</v>
      </c>
      <c r="F11" s="1" t="str">
        <f>VLOOKUP(D11,Table17[[Name]:[Native]],3,FALSE)</f>
        <v>景洪市</v>
      </c>
      <c r="G11" s="14" t="str">
        <f ca="1">VLOOKUP(F11,Table17[[Native]:[Population4]],5,FALSE)</f>
        <v>西双版纳傣族自治州</v>
      </c>
    </row>
    <row r="12" spans="1:7" ht="15.75" thickBot="1" x14ac:dyDescent="0.3">
      <c r="A12" t="s">
        <v>2279</v>
      </c>
      <c r="B12" s="1" t="s">
        <v>2280</v>
      </c>
      <c r="C12" s="1" t="s">
        <v>11</v>
      </c>
      <c r="D12" s="1" t="s">
        <v>2258</v>
      </c>
      <c r="E12" s="6">
        <v>23531</v>
      </c>
      <c r="F12" s="1" t="str">
        <f>VLOOKUP(D12,Table17[[Name]:[Native]],3,FALSE)</f>
        <v>勐海县</v>
      </c>
      <c r="G12" s="14" t="str">
        <f ca="1">VLOOKUP(F12,Table17[[Native]:[Population4]],5,FALSE)</f>
        <v>西双版纳傣族自治州</v>
      </c>
    </row>
    <row r="13" spans="1:7" ht="15.75" thickBot="1" x14ac:dyDescent="0.3">
      <c r="A13" t="s">
        <v>2281</v>
      </c>
      <c r="B13" s="1" t="s">
        <v>2282</v>
      </c>
      <c r="C13" s="1" t="s">
        <v>11</v>
      </c>
      <c r="D13" s="1" t="s">
        <v>2270</v>
      </c>
      <c r="E13" s="6">
        <v>13735</v>
      </c>
      <c r="F13" s="1" t="str">
        <f>VLOOKUP(D13,Table17[[Name]:[Native]],3,FALSE)</f>
        <v>勐腊县</v>
      </c>
      <c r="G13" s="14" t="str">
        <f ca="1">VLOOKUP(F13,Table17[[Native]:[Population4]],5,FALSE)</f>
        <v>西双版纳傣族自治州</v>
      </c>
    </row>
    <row r="14" spans="1:7" ht="15.75" thickBot="1" x14ac:dyDescent="0.3">
      <c r="A14" t="s">
        <v>2283</v>
      </c>
      <c r="B14" s="1" t="s">
        <v>2284</v>
      </c>
      <c r="C14" s="1" t="s">
        <v>11</v>
      </c>
      <c r="D14" s="1" t="s">
        <v>2258</v>
      </c>
      <c r="E14" s="6">
        <v>70828</v>
      </c>
      <c r="F14" s="1" t="str">
        <f>VLOOKUP(D14,Table17[[Name]:[Native]],3,FALSE)</f>
        <v>勐海县</v>
      </c>
      <c r="G14" s="14" t="str">
        <f ca="1">VLOOKUP(F14,Table17[[Native]:[Population4]],5,FALSE)</f>
        <v>西双版纳傣族自治州</v>
      </c>
    </row>
    <row r="15" spans="1:7" ht="15.75" thickBot="1" x14ac:dyDescent="0.3">
      <c r="A15" t="s">
        <v>2285</v>
      </c>
      <c r="B15" s="1" t="s">
        <v>2286</v>
      </c>
      <c r="C15" s="1" t="s">
        <v>11</v>
      </c>
      <c r="D15" s="1" t="s">
        <v>2261</v>
      </c>
      <c r="E15" s="6">
        <v>43965</v>
      </c>
      <c r="F15" s="1" t="str">
        <f>VLOOKUP(D15,Table17[[Name]:[Native]],3,FALSE)</f>
        <v>景洪市</v>
      </c>
      <c r="G15" s="14" t="str">
        <f ca="1">VLOOKUP(F15,Table17[[Native]:[Population4]],5,FALSE)</f>
        <v>西双版纳傣族自治州</v>
      </c>
    </row>
    <row r="16" spans="1:7" ht="15.75" thickBot="1" x14ac:dyDescent="0.3">
      <c r="A16" t="s">
        <v>2287</v>
      </c>
      <c r="B16" s="1" t="s">
        <v>2288</v>
      </c>
      <c r="C16" s="1" t="s">
        <v>11</v>
      </c>
      <c r="D16" s="1" t="s">
        <v>2258</v>
      </c>
      <c r="E16" s="6">
        <v>30944</v>
      </c>
      <c r="F16" s="1" t="str">
        <f>VLOOKUP(D16,Table17[[Name]:[Native]],3,FALSE)</f>
        <v>勐海县</v>
      </c>
      <c r="G16" s="14" t="str">
        <f ca="1">VLOOKUP(F16,Table17[[Native]:[Population4]],5,FALSE)</f>
        <v>西双版纳傣族自治州</v>
      </c>
    </row>
    <row r="17" spans="1:7" ht="15.75" thickBot="1" x14ac:dyDescent="0.3">
      <c r="A17" t="s">
        <v>2289</v>
      </c>
      <c r="B17" s="1" t="s">
        <v>2290</v>
      </c>
      <c r="C17" s="1" t="s">
        <v>11</v>
      </c>
      <c r="D17" s="1" t="s">
        <v>2270</v>
      </c>
      <c r="E17" s="6">
        <v>56612</v>
      </c>
      <c r="F17" s="1" t="str">
        <f>VLOOKUP(D17,Table17[[Name]:[Native]],3,FALSE)</f>
        <v>勐腊县</v>
      </c>
      <c r="G17" s="14" t="str">
        <f ca="1">VLOOKUP(F17,Table17[[Native]:[Population4]],5,FALSE)</f>
        <v>西双版纳傣族自治州</v>
      </c>
    </row>
    <row r="18" spans="1:7" ht="15.75" thickBot="1" x14ac:dyDescent="0.3">
      <c r="A18" t="s">
        <v>2291</v>
      </c>
      <c r="B18" s="1" t="s">
        <v>2292</v>
      </c>
      <c r="C18" s="1" t="s">
        <v>11</v>
      </c>
      <c r="D18" s="1" t="s">
        <v>2261</v>
      </c>
      <c r="E18" s="6">
        <v>103420</v>
      </c>
      <c r="F18" s="1" t="str">
        <f>VLOOKUP(D18,Table17[[Name]:[Native]],3,FALSE)</f>
        <v>景洪市</v>
      </c>
      <c r="G18" s="14" t="str">
        <f ca="1">VLOOKUP(F18,Table17[[Native]:[Population4]],5,FALSE)</f>
        <v>西双版纳傣族自治州</v>
      </c>
    </row>
    <row r="19" spans="1:7" ht="15.75" thickBot="1" x14ac:dyDescent="0.3">
      <c r="A19" t="s">
        <v>2293</v>
      </c>
      <c r="B19" s="1" t="s">
        <v>2294</v>
      </c>
      <c r="C19" s="1" t="s">
        <v>11</v>
      </c>
      <c r="D19" s="1" t="s">
        <v>2270</v>
      </c>
      <c r="E19" s="6">
        <v>26607</v>
      </c>
      <c r="F19" s="1" t="str">
        <f>VLOOKUP(D19,Table17[[Name]:[Native]],3,FALSE)</f>
        <v>勐腊县</v>
      </c>
      <c r="G19" s="14" t="str">
        <f ca="1">VLOOKUP(F19,Table17[[Native]:[Population4]],5,FALSE)</f>
        <v>西双版纳傣族自治州</v>
      </c>
    </row>
    <row r="20" spans="1:7" ht="15.75" thickBot="1" x14ac:dyDescent="0.3">
      <c r="A20" t="s">
        <v>2295</v>
      </c>
      <c r="B20" s="1" t="s">
        <v>2296</v>
      </c>
      <c r="C20" s="1" t="s">
        <v>11</v>
      </c>
      <c r="D20" s="1" t="s">
        <v>2258</v>
      </c>
      <c r="E20" s="6">
        <v>19450</v>
      </c>
      <c r="F20" s="1" t="str">
        <f>VLOOKUP(D20,Table17[[Name]:[Native]],3,FALSE)</f>
        <v>勐海县</v>
      </c>
      <c r="G20" s="14" t="str">
        <f ca="1">VLOOKUP(F20,Table17[[Native]:[Population4]],5,FALSE)</f>
        <v>西双版纳傣族自治州</v>
      </c>
    </row>
    <row r="21" spans="1:7" ht="15.75" thickBot="1" x14ac:dyDescent="0.3">
      <c r="A21" t="s">
        <v>2295</v>
      </c>
      <c r="B21" s="1" t="s">
        <v>2296</v>
      </c>
      <c r="C21" s="1" t="s">
        <v>11</v>
      </c>
      <c r="D21" s="1" t="s">
        <v>2270</v>
      </c>
      <c r="E21" s="6">
        <v>25782</v>
      </c>
      <c r="F21" s="1" t="str">
        <f>VLOOKUP(D21,Table17[[Name]:[Native]],3,FALSE)</f>
        <v>勐腊县</v>
      </c>
      <c r="G21" s="14" t="str">
        <f ca="1">VLOOKUP(F21,Table17[[Native]:[Population4]],5,FALSE)</f>
        <v>西双版纳傣族自治州</v>
      </c>
    </row>
    <row r="22" spans="1:7" ht="15.75" thickBot="1" x14ac:dyDescent="0.3">
      <c r="A22" t="s">
        <v>1535</v>
      </c>
      <c r="B22" s="1" t="s">
        <v>1536</v>
      </c>
      <c r="C22" s="1" t="s">
        <v>11</v>
      </c>
      <c r="D22" s="1" t="s">
        <v>2270</v>
      </c>
      <c r="E22" s="6">
        <v>63205</v>
      </c>
      <c r="F22" s="1" t="str">
        <f>VLOOKUP(D22,Table17[[Name]:[Native]],3,FALSE)</f>
        <v>勐腊县</v>
      </c>
      <c r="G22" s="14" t="str">
        <f ca="1">VLOOKUP(F22,Table17[[Native]:[Population4]],5,FALSE)</f>
        <v>西双版纳傣族自治州</v>
      </c>
    </row>
    <row r="23" spans="1:7" ht="15.75" thickBot="1" x14ac:dyDescent="0.3">
      <c r="A23" t="s">
        <v>2297</v>
      </c>
      <c r="B23" s="1" t="s">
        <v>2298</v>
      </c>
      <c r="C23" s="1" t="s">
        <v>7</v>
      </c>
      <c r="D23" s="1" t="s">
        <v>2258</v>
      </c>
      <c r="E23" s="6">
        <v>23015</v>
      </c>
      <c r="F23" s="1" t="str">
        <f>VLOOKUP(D23,Table17[[Name]:[Native]],3,FALSE)</f>
        <v>勐海县</v>
      </c>
      <c r="G23" s="14" t="str">
        <f ca="1">VLOOKUP(F23,Table17[[Native]:[Population4]],5,FALSE)</f>
        <v>西双版纳傣族自治州</v>
      </c>
    </row>
    <row r="24" spans="1:7" ht="15.75" thickBot="1" x14ac:dyDescent="0.3">
      <c r="A24" t="s">
        <v>2299</v>
      </c>
      <c r="B24" s="1" t="s">
        <v>2300</v>
      </c>
      <c r="C24" s="1" t="s">
        <v>7</v>
      </c>
      <c r="D24" s="1" t="s">
        <v>2261</v>
      </c>
      <c r="E24" s="6">
        <v>13137</v>
      </c>
      <c r="F24" s="1" t="str">
        <f>VLOOKUP(D24,Table17[[Name]:[Native]],3,FALSE)</f>
        <v>景洪市</v>
      </c>
      <c r="G24" s="14" t="str">
        <f ca="1">VLOOKUP(F24,Table17[[Native]:[Population4]],5,FALSE)</f>
        <v>西双版纳傣族自治州</v>
      </c>
    </row>
    <row r="25" spans="1:7" ht="15.75" thickBot="1" x14ac:dyDescent="0.3">
      <c r="A25" t="s">
        <v>2301</v>
      </c>
      <c r="B25" s="1" t="s">
        <v>2302</v>
      </c>
      <c r="C25" s="1" t="s">
        <v>7</v>
      </c>
      <c r="D25" s="1" t="s">
        <v>2258</v>
      </c>
      <c r="E25" s="6">
        <v>14631</v>
      </c>
      <c r="F25" s="1" t="str">
        <f>VLOOKUP(D25,Table17[[Name]:[Native]],3,FALSE)</f>
        <v>勐海县</v>
      </c>
      <c r="G25" s="14" t="str">
        <f ca="1">VLOOKUP(F25,Table17[[Native]:[Population4]],5,FALSE)</f>
        <v>西双版纳傣族自治州</v>
      </c>
    </row>
    <row r="26" spans="1:7" ht="15.75" thickBot="1" x14ac:dyDescent="0.3">
      <c r="A26" t="s">
        <v>655</v>
      </c>
      <c r="B26" s="1" t="s">
        <v>656</v>
      </c>
      <c r="C26" s="1" t="s">
        <v>11</v>
      </c>
      <c r="D26" s="1" t="s">
        <v>2261</v>
      </c>
      <c r="E26" s="6">
        <v>27448</v>
      </c>
      <c r="F26" s="1" t="str">
        <f>VLOOKUP(D26,Table17[[Name]:[Native]],3,FALSE)</f>
        <v>景洪市</v>
      </c>
      <c r="G26" s="14" t="str">
        <f ca="1">VLOOKUP(F26,Table17[[Native]:[Population4]],5,FALSE)</f>
        <v>西双版纳傣族自治州</v>
      </c>
    </row>
    <row r="27" spans="1:7" ht="15.75" thickBot="1" x14ac:dyDescent="0.3">
      <c r="A27" t="s">
        <v>2303</v>
      </c>
      <c r="B27" s="1" t="s">
        <v>2304</v>
      </c>
      <c r="C27" s="1" t="s">
        <v>11</v>
      </c>
      <c r="D27" s="1" t="s">
        <v>2258</v>
      </c>
      <c r="E27" s="6">
        <v>63519</v>
      </c>
      <c r="F27" s="1" t="str">
        <f>VLOOKUP(D27,Table17[[Name]:[Native]],3,FALSE)</f>
        <v>勐海县</v>
      </c>
      <c r="G27" s="14" t="str">
        <f ca="1">VLOOKUP(F27,Table17[[Native]:[Population4]],5,FALSE)</f>
        <v>西双版纳傣族自治州</v>
      </c>
    </row>
    <row r="28" spans="1:7" ht="15.75" thickBot="1" x14ac:dyDescent="0.3">
      <c r="A28" t="s">
        <v>2305</v>
      </c>
      <c r="B28" s="1" t="s">
        <v>2306</v>
      </c>
      <c r="C28" s="1" t="s">
        <v>11</v>
      </c>
      <c r="D28" s="1" t="s">
        <v>2270</v>
      </c>
      <c r="E28" s="6">
        <v>18547</v>
      </c>
      <c r="F28" s="1" t="str">
        <f>VLOOKUP(D28,Table17[[Name]:[Native]],3,FALSE)</f>
        <v>勐腊县</v>
      </c>
      <c r="G28" s="14" t="str">
        <f ca="1">VLOOKUP(F28,Table17[[Native]:[Population4]],5,FALSE)</f>
        <v>西双版纳傣族自治州</v>
      </c>
    </row>
    <row r="29" spans="1:7" ht="15.75" thickBot="1" x14ac:dyDescent="0.3">
      <c r="A29" t="s">
        <v>2307</v>
      </c>
      <c r="B29" s="1" t="s">
        <v>2308</v>
      </c>
      <c r="C29" s="1" t="s">
        <v>11</v>
      </c>
      <c r="D29" s="1" t="s">
        <v>2261</v>
      </c>
      <c r="E29" s="6">
        <v>28244</v>
      </c>
      <c r="F29" s="1" t="str">
        <f>VLOOKUP(D29,Table17[[Name]:[Native]],3,FALSE)</f>
        <v>景洪市</v>
      </c>
      <c r="G29" s="14" t="str">
        <f ca="1">VLOOKUP(F29,Table17[[Native]:[Population4]],5,FALSE)</f>
        <v>西双版纳傣族自治州</v>
      </c>
    </row>
    <row r="30" spans="1:7" ht="15.75" thickBot="1" x14ac:dyDescent="0.3">
      <c r="A30" t="s">
        <v>2309</v>
      </c>
      <c r="B30" s="1" t="s">
        <v>2310</v>
      </c>
      <c r="C30" s="1" t="s">
        <v>7</v>
      </c>
      <c r="D30" s="1" t="s">
        <v>2270</v>
      </c>
      <c r="E30" s="6">
        <v>13564</v>
      </c>
      <c r="F30" s="1" t="str">
        <f>VLOOKUP(D30,Table17[[Name]:[Native]],3,FALSE)</f>
        <v>勐腊县</v>
      </c>
      <c r="G30" s="14" t="str">
        <f ca="1">VLOOKUP(F30,Table17[[Native]:[Population4]],5,FALSE)</f>
        <v>西双版纳傣族自治州</v>
      </c>
    </row>
    <row r="31" spans="1:7" ht="15.75" thickBot="1" x14ac:dyDescent="0.3">
      <c r="A31" t="s">
        <v>2311</v>
      </c>
      <c r="B31" s="1" t="s">
        <v>2312</v>
      </c>
      <c r="C31" s="1" t="s">
        <v>7</v>
      </c>
      <c r="D31" s="1" t="s">
        <v>2258</v>
      </c>
      <c r="E31" s="6">
        <v>23715</v>
      </c>
      <c r="F31" s="1" t="str">
        <f>VLOOKUP(D31,Table17[[Name]:[Native]],3,FALSE)</f>
        <v>勐海县</v>
      </c>
      <c r="G31" s="14" t="str">
        <f ca="1">VLOOKUP(F31,Table17[[Native]:[Population4]],5,FALSE)</f>
        <v>西双版纳傣族自治州</v>
      </c>
    </row>
    <row r="32" spans="1:7" ht="15.75" thickBot="1" x14ac:dyDescent="0.3">
      <c r="A32" t="s">
        <v>2313</v>
      </c>
      <c r="B32" s="1" t="s">
        <v>2314</v>
      </c>
      <c r="C32" s="1" t="s">
        <v>380</v>
      </c>
      <c r="D32" s="1" t="s">
        <v>2270</v>
      </c>
      <c r="E32" s="6">
        <v>5553</v>
      </c>
      <c r="F32" s="1" t="str">
        <f>VLOOKUP(D32,Table17[[Name]:[Native]],3,FALSE)</f>
        <v>勐腊县</v>
      </c>
      <c r="G32" s="14" t="str">
        <f ca="1">VLOOKUP(F32,Table17[[Native]:[Population4]],5,FALSE)</f>
        <v>西双版纳傣族自治州</v>
      </c>
    </row>
    <row r="33" spans="1:7" ht="15.75" thickBot="1" x14ac:dyDescent="0.3">
      <c r="A33" t="s">
        <v>2315</v>
      </c>
      <c r="B33" s="1" t="s">
        <v>2316</v>
      </c>
      <c r="C33" s="1" t="s">
        <v>380</v>
      </c>
      <c r="D33" s="1" t="s">
        <v>2261</v>
      </c>
      <c r="E33" s="6">
        <v>7461</v>
      </c>
      <c r="F33" s="1" t="str">
        <f>VLOOKUP(D33,Table17[[Name]:[Native]],3,FALSE)</f>
        <v>景洪市</v>
      </c>
      <c r="G33" s="14" t="str">
        <f ca="1">VLOOKUP(F33,Table17[[Native]:[Population4]],5,FALSE)</f>
        <v>西双版纳傣族自治州</v>
      </c>
    </row>
    <row r="34" spans="1:7" ht="15.75" thickBot="1" x14ac:dyDescent="0.3">
      <c r="A34" t="s">
        <v>2317</v>
      </c>
      <c r="B34" s="1" t="s">
        <v>2318</v>
      </c>
      <c r="C34" s="1" t="s">
        <v>7</v>
      </c>
      <c r="D34" s="1" t="s">
        <v>2270</v>
      </c>
      <c r="E34" s="6">
        <v>10572</v>
      </c>
      <c r="F34" s="1" t="str">
        <f>VLOOKUP(D34,Table17[[Name]:[Native]],3,FALSE)</f>
        <v>勐腊县</v>
      </c>
      <c r="G34" s="14" t="str">
        <f ca="1">VLOOKUP(F34,Table17[[Native]:[Population4]],5,FALSE)</f>
        <v>西双版纳傣族自治州</v>
      </c>
    </row>
    <row r="35" spans="1:7" ht="15.75" thickBot="1" x14ac:dyDescent="0.3">
      <c r="A35" t="s">
        <v>2319</v>
      </c>
      <c r="B35" s="1" t="s">
        <v>2320</v>
      </c>
      <c r="C35" s="1" t="s">
        <v>11</v>
      </c>
      <c r="D35" s="1" t="s">
        <v>2270</v>
      </c>
      <c r="E35" s="6">
        <v>17115</v>
      </c>
      <c r="F35" s="1" t="str">
        <f>VLOOKUP(D35,Table17[[Name]:[Native]],3,FALSE)</f>
        <v>勐腊县</v>
      </c>
      <c r="G35" s="14" t="str">
        <f ca="1">VLOOKUP(F35,Table17[[Native]:[Population4]],5,FALSE)</f>
        <v>西双版纳傣族自治州</v>
      </c>
    </row>
    <row r="36" spans="1:7" ht="15.75" thickBot="1" x14ac:dyDescent="0.3">
      <c r="A36" t="s">
        <v>2321</v>
      </c>
      <c r="B36" s="1" t="s">
        <v>2322</v>
      </c>
      <c r="C36" s="1" t="s">
        <v>42</v>
      </c>
      <c r="D36" s="1" t="s">
        <v>2261</v>
      </c>
      <c r="E36" s="6">
        <v>146754</v>
      </c>
      <c r="F36" s="10" t="str">
        <f>VLOOKUP(D36,Table17[[Name]:[Native]],3,FALSE)</f>
        <v>景洪市</v>
      </c>
      <c r="G36" s="14" t="str">
        <f ca="1">VLOOKUP(F36,Table17[[Native]:[Population4]],5,FALSE)</f>
        <v>西双版纳傣族自治州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B397E-E887-4953-83F2-3E1CE741D859}">
  <dimension ref="A1:G75"/>
  <sheetViews>
    <sheetView topLeftCell="A50" workbookViewId="0">
      <selection activeCell="G2" sqref="G2:G75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2917</v>
      </c>
      <c r="G1" t="s">
        <v>2919</v>
      </c>
    </row>
    <row r="2" spans="1:7" ht="15.75" thickBot="1" x14ac:dyDescent="0.3">
      <c r="A2" t="s">
        <v>2323</v>
      </c>
      <c r="B2" s="1" t="s">
        <v>2324</v>
      </c>
      <c r="C2" s="1" t="s">
        <v>7</v>
      </c>
      <c r="D2" s="1" t="s">
        <v>2325</v>
      </c>
      <c r="E2" s="6">
        <v>9160</v>
      </c>
      <c r="F2" s="9" t="str">
        <f>VLOOKUP(D2,Table17[[Name]:[Native]],3,FALSE)</f>
        <v>江川区</v>
      </c>
      <c r="G2" s="14" t="str">
        <f ca="1">VLOOKUP(F2,Table17[[Native]:[Population4]],5,FALSE)</f>
        <v>玉溪市</v>
      </c>
    </row>
    <row r="3" spans="1:7" ht="15.75" thickBot="1" x14ac:dyDescent="0.3">
      <c r="A3" t="s">
        <v>2326</v>
      </c>
      <c r="B3" s="1" t="s">
        <v>2327</v>
      </c>
      <c r="C3" s="1" t="s">
        <v>42</v>
      </c>
      <c r="D3" s="1" t="s">
        <v>2328</v>
      </c>
      <c r="E3" s="6">
        <v>59440</v>
      </c>
      <c r="F3" s="1" t="str">
        <f>VLOOKUP(D3,Table17[[Name]:[Native]],3,FALSE)</f>
        <v>红塔区</v>
      </c>
      <c r="G3" s="14" t="str">
        <f ca="1">VLOOKUP(F3,Table17[[Native]:[Population4]],5,FALSE)</f>
        <v>玉溪市</v>
      </c>
    </row>
    <row r="4" spans="1:7" ht="15.75" thickBot="1" x14ac:dyDescent="0.3">
      <c r="A4" t="s">
        <v>2329</v>
      </c>
      <c r="B4" s="1" t="s">
        <v>2330</v>
      </c>
      <c r="C4" s="1" t="s">
        <v>7</v>
      </c>
      <c r="D4" s="1" t="s">
        <v>2331</v>
      </c>
      <c r="E4" s="6">
        <v>10606</v>
      </c>
      <c r="F4" s="1" t="str">
        <f>VLOOKUP(D4,Table17[[Name]:[Native]],3,FALSE)</f>
        <v>峨山彝族自治县</v>
      </c>
      <c r="G4" s="14" t="str">
        <f ca="1">VLOOKUP(F4,Table17[[Native]:[Population4]],5,FALSE)</f>
        <v>玉溪市</v>
      </c>
    </row>
    <row r="5" spans="1:7" ht="15.75" thickBot="1" x14ac:dyDescent="0.3">
      <c r="A5" t="s">
        <v>2332</v>
      </c>
      <c r="B5" s="1" t="s">
        <v>2333</v>
      </c>
      <c r="C5" s="1" t="s">
        <v>42</v>
      </c>
      <c r="D5" s="1" t="s">
        <v>2328</v>
      </c>
      <c r="E5" s="6">
        <v>59653</v>
      </c>
      <c r="F5" s="1" t="str">
        <f>VLOOKUP(D5,Table17[[Name]:[Native]],3,FALSE)</f>
        <v>红塔区</v>
      </c>
      <c r="G5" s="14" t="str">
        <f ca="1">VLOOKUP(F5,Table17[[Native]:[Population4]],5,FALSE)</f>
        <v>玉溪市</v>
      </c>
    </row>
    <row r="6" spans="1:7" ht="15.75" thickBot="1" x14ac:dyDescent="0.3">
      <c r="A6" t="s">
        <v>2334</v>
      </c>
      <c r="B6" s="1" t="s">
        <v>2335</v>
      </c>
      <c r="C6" s="1" t="s">
        <v>42</v>
      </c>
      <c r="D6" s="1" t="s">
        <v>2325</v>
      </c>
      <c r="E6" s="6">
        <v>86283</v>
      </c>
      <c r="F6" s="1" t="str">
        <f>VLOOKUP(D6,Table17[[Name]:[Native]],3,FALSE)</f>
        <v>江川区</v>
      </c>
      <c r="G6" s="14" t="str">
        <f ca="1">VLOOKUP(F6,Table17[[Native]:[Population4]],5,FALSE)</f>
        <v>玉溪市</v>
      </c>
    </row>
    <row r="7" spans="1:7" ht="15.75" thickBot="1" x14ac:dyDescent="0.3">
      <c r="A7" t="s">
        <v>2336</v>
      </c>
      <c r="B7" s="1" t="s">
        <v>2337</v>
      </c>
      <c r="C7" s="1" t="s">
        <v>7</v>
      </c>
      <c r="D7" s="1" t="s">
        <v>2331</v>
      </c>
      <c r="E7" s="6">
        <v>13148</v>
      </c>
      <c r="F7" s="1" t="str">
        <f>VLOOKUP(D7,Table17[[Name]:[Native]],3,FALSE)</f>
        <v>峨山彝族自治县</v>
      </c>
      <c r="G7" s="14" t="str">
        <f ca="1">VLOOKUP(F7,Table17[[Native]:[Population4]],5,FALSE)</f>
        <v>玉溪市</v>
      </c>
    </row>
    <row r="8" spans="1:7" ht="15.75" thickBot="1" x14ac:dyDescent="0.3">
      <c r="A8" t="s">
        <v>2338</v>
      </c>
      <c r="B8" s="1" t="s">
        <v>2339</v>
      </c>
      <c r="C8" s="1" t="s">
        <v>42</v>
      </c>
      <c r="D8" s="1" t="s">
        <v>2328</v>
      </c>
      <c r="E8" s="6">
        <v>49339</v>
      </c>
      <c r="F8" s="1" t="str">
        <f>VLOOKUP(D8,Table17[[Name]:[Native]],3,FALSE)</f>
        <v>红塔区</v>
      </c>
      <c r="G8" s="14" t="str">
        <f ca="1">VLOOKUP(F8,Table17[[Native]:[Population4]],5,FALSE)</f>
        <v>玉溪市</v>
      </c>
    </row>
    <row r="9" spans="1:7" ht="15.75" thickBot="1" x14ac:dyDescent="0.3">
      <c r="A9" t="s">
        <v>2340</v>
      </c>
      <c r="B9" s="1" t="s">
        <v>2341</v>
      </c>
      <c r="C9" s="1" t="s">
        <v>11</v>
      </c>
      <c r="D9" s="1" t="s">
        <v>2331</v>
      </c>
      <c r="E9" s="6">
        <v>18358</v>
      </c>
      <c r="F9" s="1" t="str">
        <f>VLOOKUP(D9,Table17[[Name]:[Native]],3,FALSE)</f>
        <v>峨山彝族自治县</v>
      </c>
      <c r="G9" s="14" t="str">
        <f ca="1">VLOOKUP(F9,Table17[[Native]:[Population4]],5,FALSE)</f>
        <v>玉溪市</v>
      </c>
    </row>
    <row r="10" spans="1:7" ht="15.75" thickBot="1" x14ac:dyDescent="0.3">
      <c r="A10" t="s">
        <v>2342</v>
      </c>
      <c r="B10" s="1" t="s">
        <v>2343</v>
      </c>
      <c r="C10" s="1" t="s">
        <v>42</v>
      </c>
      <c r="D10" s="1" t="s">
        <v>2328</v>
      </c>
      <c r="E10" s="6">
        <v>76155</v>
      </c>
      <c r="F10" s="1" t="str">
        <f>VLOOKUP(D10,Table17[[Name]:[Native]],3,FALSE)</f>
        <v>红塔区</v>
      </c>
      <c r="G10" s="14" t="str">
        <f ca="1">VLOOKUP(F10,Table17[[Native]:[Population4]],5,FALSE)</f>
        <v>玉溪市</v>
      </c>
    </row>
    <row r="11" spans="1:7" ht="15.75" thickBot="1" x14ac:dyDescent="0.3">
      <c r="A11" t="s">
        <v>2344</v>
      </c>
      <c r="B11" s="1" t="s">
        <v>2345</v>
      </c>
      <c r="C11" s="1" t="s">
        <v>42</v>
      </c>
      <c r="D11" s="1" t="s">
        <v>2346</v>
      </c>
      <c r="E11" s="6">
        <v>25407</v>
      </c>
      <c r="F11" s="1" t="str">
        <f>VLOOKUP(D11,Table17[[Name]:[Native]],3,FALSE)</f>
        <v>澄江市</v>
      </c>
      <c r="G11" s="14" t="str">
        <f ca="1">VLOOKUP(F11,Table17[[Native]:[Population4]],5,FALSE)</f>
        <v>玉溪市</v>
      </c>
    </row>
    <row r="12" spans="1:7" ht="15.75" thickBot="1" x14ac:dyDescent="0.3">
      <c r="A12" t="s">
        <v>2347</v>
      </c>
      <c r="B12" s="1" t="s">
        <v>2348</v>
      </c>
      <c r="C12" s="1" t="s">
        <v>7</v>
      </c>
      <c r="D12" s="1" t="s">
        <v>2331</v>
      </c>
      <c r="E12" s="6">
        <v>10712</v>
      </c>
      <c r="F12" s="1" t="str">
        <f>VLOOKUP(D12,Table17[[Name]:[Native]],3,FALSE)</f>
        <v>峨山彝族自治县</v>
      </c>
      <c r="G12" s="14" t="str">
        <f ca="1">VLOOKUP(F12,Table17[[Native]:[Population4]],5,FALSE)</f>
        <v>玉溪市</v>
      </c>
    </row>
    <row r="13" spans="1:7" ht="15.75" thickBot="1" x14ac:dyDescent="0.3">
      <c r="A13" t="s">
        <v>2349</v>
      </c>
      <c r="B13" s="1" t="s">
        <v>2350</v>
      </c>
      <c r="C13" s="1" t="s">
        <v>42</v>
      </c>
      <c r="D13" s="1" t="s">
        <v>2351</v>
      </c>
      <c r="E13" s="6">
        <v>24966</v>
      </c>
      <c r="F13" s="1" t="str">
        <f>VLOOKUP(D13,Table17[[Name]:[Native]],3,FALSE)</f>
        <v>元江哈尼族彝族傣族自治县</v>
      </c>
      <c r="G13" s="14" t="str">
        <f ca="1">VLOOKUP(F13,Table17[[Native]:[Population4]],5,FALSE)</f>
        <v>玉溪市</v>
      </c>
    </row>
    <row r="14" spans="1:7" ht="15.75" thickBot="1" x14ac:dyDescent="0.3">
      <c r="A14" t="s">
        <v>2352</v>
      </c>
      <c r="B14" s="1" t="s">
        <v>2353</v>
      </c>
      <c r="C14" s="1" t="s">
        <v>42</v>
      </c>
      <c r="D14" s="1" t="s">
        <v>2328</v>
      </c>
      <c r="E14" s="6">
        <v>21970</v>
      </c>
      <c r="F14" s="1" t="str">
        <f>VLOOKUP(D14,Table17[[Name]:[Native]],3,FALSE)</f>
        <v>红塔区</v>
      </c>
      <c r="G14" s="14" t="str">
        <f ca="1">VLOOKUP(F14,Table17[[Native]:[Population4]],5,FALSE)</f>
        <v>玉溪市</v>
      </c>
    </row>
    <row r="15" spans="1:7" ht="15.75" thickBot="1" x14ac:dyDescent="0.3">
      <c r="A15" t="s">
        <v>2354</v>
      </c>
      <c r="B15" s="1" t="s">
        <v>2355</v>
      </c>
      <c r="C15" s="1" t="s">
        <v>7</v>
      </c>
      <c r="D15" s="1" t="s">
        <v>2356</v>
      </c>
      <c r="E15" s="6">
        <v>10547</v>
      </c>
      <c r="F15" s="1" t="str">
        <f>VLOOKUP(D15,Table17[[Name]:[Native]],3,FALSE)</f>
        <v>通海县</v>
      </c>
      <c r="G15" s="14" t="str">
        <f ca="1">VLOOKUP(F15,Table17[[Native]:[Population4]],5,FALSE)</f>
        <v>玉溪市</v>
      </c>
    </row>
    <row r="16" spans="1:7" ht="15.75" thickBot="1" x14ac:dyDescent="0.3">
      <c r="A16" t="s">
        <v>2357</v>
      </c>
      <c r="B16" s="1" t="s">
        <v>2358</v>
      </c>
      <c r="C16" s="1" t="s">
        <v>42</v>
      </c>
      <c r="D16" s="1" t="s">
        <v>2359</v>
      </c>
      <c r="E16" s="6">
        <v>52194</v>
      </c>
      <c r="F16" s="1" t="str">
        <f>VLOOKUP(D16,Table17[[Name]:[Native]],3,FALSE)</f>
        <v>新平彝族傣族自治县</v>
      </c>
      <c r="G16" s="14" t="str">
        <f ca="1">VLOOKUP(F16,Table17[[Native]:[Population4]],5,FALSE)</f>
        <v>玉溪市</v>
      </c>
    </row>
    <row r="17" spans="1:7" ht="15.75" thickBot="1" x14ac:dyDescent="0.3">
      <c r="A17" t="s">
        <v>2360</v>
      </c>
      <c r="B17" s="1" t="s">
        <v>2361</v>
      </c>
      <c r="C17" s="1" t="s">
        <v>11</v>
      </c>
      <c r="D17" s="1" t="s">
        <v>2346</v>
      </c>
      <c r="E17" s="6">
        <v>11192</v>
      </c>
      <c r="F17" s="1" t="str">
        <f>VLOOKUP(D17,Table17[[Name]:[Native]],3,FALSE)</f>
        <v>澄江市</v>
      </c>
      <c r="G17" s="14" t="str">
        <f ca="1">VLOOKUP(F17,Table17[[Native]:[Population4]],5,FALSE)</f>
        <v>玉溪市</v>
      </c>
    </row>
    <row r="18" spans="1:7" ht="15.75" thickBot="1" x14ac:dyDescent="0.3">
      <c r="A18" t="s">
        <v>2362</v>
      </c>
      <c r="B18" s="1" t="s">
        <v>2363</v>
      </c>
      <c r="C18" s="1" t="s">
        <v>11</v>
      </c>
      <c r="D18" s="1" t="s">
        <v>2356</v>
      </c>
      <c r="E18" s="6">
        <v>50423</v>
      </c>
      <c r="F18" s="1" t="str">
        <f>VLOOKUP(D18,Table17[[Name]:[Native]],3,FALSE)</f>
        <v>通海县</v>
      </c>
      <c r="G18" s="14" t="str">
        <f ca="1">VLOOKUP(F18,Table17[[Native]:[Population4]],5,FALSE)</f>
        <v>玉溪市</v>
      </c>
    </row>
    <row r="19" spans="1:7" ht="15.75" thickBot="1" x14ac:dyDescent="0.3">
      <c r="A19" t="s">
        <v>2364</v>
      </c>
      <c r="B19" s="1" t="s">
        <v>2365</v>
      </c>
      <c r="C19" s="1" t="s">
        <v>11</v>
      </c>
      <c r="D19" s="1" t="s">
        <v>2331</v>
      </c>
      <c r="E19" s="6">
        <v>11538</v>
      </c>
      <c r="F19" s="1" t="str">
        <f>VLOOKUP(D19,Table17[[Name]:[Native]],3,FALSE)</f>
        <v>峨山彝族自治县</v>
      </c>
      <c r="G19" s="14" t="str">
        <f ca="1">VLOOKUP(F19,Table17[[Native]:[Population4]],5,FALSE)</f>
        <v>玉溪市</v>
      </c>
    </row>
    <row r="20" spans="1:7" ht="15.75" thickBot="1" x14ac:dyDescent="0.3">
      <c r="A20" t="s">
        <v>2366</v>
      </c>
      <c r="B20" s="1" t="s">
        <v>2367</v>
      </c>
      <c r="C20" s="1" t="s">
        <v>11</v>
      </c>
      <c r="D20" s="1" t="s">
        <v>2368</v>
      </c>
      <c r="E20" s="6">
        <v>13785</v>
      </c>
      <c r="F20" s="1" t="str">
        <f>VLOOKUP(D20,Table17[[Name]:[Native]],3,FALSE)</f>
        <v>华宁县</v>
      </c>
      <c r="G20" s="14" t="str">
        <f ca="1">VLOOKUP(F20,Table17[[Native]:[Population4]],5,FALSE)</f>
        <v>玉溪市</v>
      </c>
    </row>
    <row r="21" spans="1:7" ht="15.75" thickBot="1" x14ac:dyDescent="0.3">
      <c r="A21" t="s">
        <v>2369</v>
      </c>
      <c r="B21" s="1" t="s">
        <v>2370</v>
      </c>
      <c r="C21" s="1" t="s">
        <v>11</v>
      </c>
      <c r="D21" s="1" t="s">
        <v>2325</v>
      </c>
      <c r="E21" s="6">
        <v>70812</v>
      </c>
      <c r="F21" s="1" t="str">
        <f>VLOOKUP(D21,Table17[[Name]:[Native]],3,FALSE)</f>
        <v>江川区</v>
      </c>
      <c r="G21" s="14" t="str">
        <f ca="1">VLOOKUP(F21,Table17[[Native]:[Population4]],5,FALSE)</f>
        <v>玉溪市</v>
      </c>
    </row>
    <row r="22" spans="1:7" ht="15.75" thickBot="1" x14ac:dyDescent="0.3">
      <c r="A22" t="s">
        <v>2371</v>
      </c>
      <c r="B22" s="1" t="s">
        <v>2372</v>
      </c>
      <c r="C22" s="1" t="s">
        <v>7</v>
      </c>
      <c r="D22" s="1" t="s">
        <v>2359</v>
      </c>
      <c r="E22" s="6">
        <v>13234</v>
      </c>
      <c r="F22" s="1" t="str">
        <f>VLOOKUP(D22,Table17[[Name]:[Native]],3,FALSE)</f>
        <v>新平彝族傣族自治县</v>
      </c>
      <c r="G22" s="14" t="str">
        <f ca="1">VLOOKUP(F22,Table17[[Native]:[Population4]],5,FALSE)</f>
        <v>玉溪市</v>
      </c>
    </row>
    <row r="23" spans="1:7" ht="15.75" thickBot="1" x14ac:dyDescent="0.3">
      <c r="A23" t="s">
        <v>2373</v>
      </c>
      <c r="B23" s="1" t="s">
        <v>2374</v>
      </c>
      <c r="C23" s="1" t="s">
        <v>11</v>
      </c>
      <c r="D23" s="1" t="s">
        <v>2359</v>
      </c>
      <c r="E23" s="6">
        <v>44694</v>
      </c>
      <c r="F23" s="1" t="str">
        <f>VLOOKUP(D23,Table17[[Name]:[Native]],3,FALSE)</f>
        <v>新平彝族傣族自治县</v>
      </c>
      <c r="G23" s="14" t="str">
        <f ca="1">VLOOKUP(F23,Table17[[Native]:[Population4]],5,FALSE)</f>
        <v>玉溪市</v>
      </c>
    </row>
    <row r="24" spans="1:7" ht="15.75" thickBot="1" x14ac:dyDescent="0.3">
      <c r="A24" t="s">
        <v>2375</v>
      </c>
      <c r="B24" s="1" t="s">
        <v>2376</v>
      </c>
      <c r="C24" s="1" t="s">
        <v>11</v>
      </c>
      <c r="D24" s="1" t="s">
        <v>2346</v>
      </c>
      <c r="E24" s="6">
        <v>11668</v>
      </c>
      <c r="F24" s="1" t="str">
        <f>VLOOKUP(D24,Table17[[Name]:[Native]],3,FALSE)</f>
        <v>澄江市</v>
      </c>
      <c r="G24" s="14" t="str">
        <f ca="1">VLOOKUP(F24,Table17[[Native]:[Population4]],5,FALSE)</f>
        <v>玉溪市</v>
      </c>
    </row>
    <row r="25" spans="1:7" ht="15.75" thickBot="1" x14ac:dyDescent="0.3">
      <c r="A25" t="s">
        <v>1927</v>
      </c>
      <c r="B25" s="1" t="s">
        <v>1928</v>
      </c>
      <c r="C25" s="1" t="s">
        <v>42</v>
      </c>
      <c r="D25" s="1" t="s">
        <v>2356</v>
      </c>
      <c r="E25" s="6">
        <v>35822</v>
      </c>
      <c r="F25" s="1" t="str">
        <f>VLOOKUP(D25,Table17[[Name]:[Native]],3,FALSE)</f>
        <v>通海县</v>
      </c>
      <c r="G25" s="14" t="str">
        <f ca="1">VLOOKUP(F25,Table17[[Native]:[Population4]],5,FALSE)</f>
        <v>玉溪市</v>
      </c>
    </row>
    <row r="26" spans="1:7" ht="15.75" thickBot="1" x14ac:dyDescent="0.3">
      <c r="A26" t="s">
        <v>2377</v>
      </c>
      <c r="B26" s="1" t="s">
        <v>2378</v>
      </c>
      <c r="C26" s="1" t="s">
        <v>11</v>
      </c>
      <c r="D26" s="1" t="s">
        <v>2325</v>
      </c>
      <c r="E26" s="6">
        <v>26760</v>
      </c>
      <c r="F26" s="1" t="str">
        <f>VLOOKUP(D26,Table17[[Name]:[Native]],3,FALSE)</f>
        <v>江川区</v>
      </c>
      <c r="G26" s="14" t="str">
        <f ca="1">VLOOKUP(F26,Table17[[Native]:[Population4]],5,FALSE)</f>
        <v>玉溪市</v>
      </c>
    </row>
    <row r="27" spans="1:7" ht="15.75" thickBot="1" x14ac:dyDescent="0.3">
      <c r="A27" t="s">
        <v>1939</v>
      </c>
      <c r="B27" s="1" t="s">
        <v>1940</v>
      </c>
      <c r="C27" s="1" t="s">
        <v>7</v>
      </c>
      <c r="D27" s="1" t="s">
        <v>2359</v>
      </c>
      <c r="E27" s="6">
        <v>15488</v>
      </c>
      <c r="F27" s="1" t="str">
        <f>VLOOKUP(D27,Table17[[Name]:[Native]],3,FALSE)</f>
        <v>新平彝族傣族自治县</v>
      </c>
      <c r="G27" s="14" t="str">
        <f ca="1">VLOOKUP(F27,Table17[[Native]:[Population4]],5,FALSE)</f>
        <v>玉溪市</v>
      </c>
    </row>
    <row r="28" spans="1:7" ht="15.75" thickBot="1" x14ac:dyDescent="0.3">
      <c r="A28" t="s">
        <v>2379</v>
      </c>
      <c r="B28" s="1" t="s">
        <v>2380</v>
      </c>
      <c r="C28" s="1" t="s">
        <v>11</v>
      </c>
      <c r="D28" s="1" t="s">
        <v>2351</v>
      </c>
      <c r="E28" s="6">
        <v>72853</v>
      </c>
      <c r="F28" s="1" t="str">
        <f>VLOOKUP(D28,Table17[[Name]:[Native]],3,FALSE)</f>
        <v>元江哈尼族彝族傣族自治县</v>
      </c>
      <c r="G28" s="14" t="str">
        <f ca="1">VLOOKUP(F28,Table17[[Native]:[Population4]],5,FALSE)</f>
        <v>玉溪市</v>
      </c>
    </row>
    <row r="29" spans="1:7" ht="15.75" thickBot="1" x14ac:dyDescent="0.3">
      <c r="A29" t="s">
        <v>2381</v>
      </c>
      <c r="B29" s="1" t="s">
        <v>2382</v>
      </c>
      <c r="C29" s="1" t="s">
        <v>42</v>
      </c>
      <c r="D29" s="1" t="s">
        <v>2328</v>
      </c>
      <c r="E29" s="6">
        <v>36783</v>
      </c>
      <c r="F29" s="1" t="str">
        <f>VLOOKUP(D29,Table17[[Name]:[Native]],3,FALSE)</f>
        <v>红塔区</v>
      </c>
      <c r="G29" s="14" t="str">
        <f ca="1">VLOOKUP(F29,Table17[[Native]:[Population4]],5,FALSE)</f>
        <v>玉溪市</v>
      </c>
    </row>
    <row r="30" spans="1:7" ht="15.75" thickBot="1" x14ac:dyDescent="0.3">
      <c r="A30" t="s">
        <v>2383</v>
      </c>
      <c r="B30" s="1" t="s">
        <v>2384</v>
      </c>
      <c r="C30" s="1" t="s">
        <v>7</v>
      </c>
      <c r="D30" s="1" t="s">
        <v>2356</v>
      </c>
      <c r="E30" s="6">
        <v>8734</v>
      </c>
      <c r="F30" s="1" t="str">
        <f>VLOOKUP(D30,Table17[[Name]:[Native]],3,FALSE)</f>
        <v>通海县</v>
      </c>
      <c r="G30" s="14" t="str">
        <f ca="1">VLOOKUP(F30,Table17[[Native]:[Population4]],5,FALSE)</f>
        <v>玉溪市</v>
      </c>
    </row>
    <row r="31" spans="1:7" ht="15.75" thickBot="1" x14ac:dyDescent="0.3">
      <c r="A31" t="s">
        <v>2385</v>
      </c>
      <c r="B31" s="1" t="s">
        <v>2386</v>
      </c>
      <c r="C31" s="1" t="s">
        <v>42</v>
      </c>
      <c r="D31" s="1" t="s">
        <v>2387</v>
      </c>
      <c r="E31" s="6">
        <v>25452</v>
      </c>
      <c r="F31" s="1" t="str">
        <f>VLOOKUP(D31,Table17[[Name]:[Native]],3,FALSE)</f>
        <v>易门县</v>
      </c>
      <c r="G31" s="14" t="str">
        <f ca="1">VLOOKUP(F31,Table17[[Native]:[Population4]],5,FALSE)</f>
        <v>玉溪市</v>
      </c>
    </row>
    <row r="32" spans="1:7" ht="15.75" thickBot="1" x14ac:dyDescent="0.3">
      <c r="A32" t="s">
        <v>2388</v>
      </c>
      <c r="B32" s="1" t="s">
        <v>2389</v>
      </c>
      <c r="C32" s="1" t="s">
        <v>42</v>
      </c>
      <c r="D32" s="1" t="s">
        <v>2346</v>
      </c>
      <c r="E32" s="6">
        <v>56983</v>
      </c>
      <c r="F32" s="1" t="str">
        <f>VLOOKUP(D32,Table17[[Name]:[Native]],3,FALSE)</f>
        <v>澄江市</v>
      </c>
      <c r="G32" s="14" t="str">
        <f ca="1">VLOOKUP(F32,Table17[[Native]:[Population4]],5,FALSE)</f>
        <v>玉溪市</v>
      </c>
    </row>
    <row r="33" spans="1:7" ht="15.75" thickBot="1" x14ac:dyDescent="0.3">
      <c r="A33" t="s">
        <v>1170</v>
      </c>
      <c r="B33" s="1" t="s">
        <v>1171</v>
      </c>
      <c r="C33" s="1" t="s">
        <v>42</v>
      </c>
      <c r="D33" s="1" t="s">
        <v>2387</v>
      </c>
      <c r="E33" s="6">
        <v>72752</v>
      </c>
      <c r="F33" s="1" t="str">
        <f>VLOOKUP(D33,Table17[[Name]:[Native]],3,FALSE)</f>
        <v>易门县</v>
      </c>
      <c r="G33" s="14" t="str">
        <f ca="1">VLOOKUP(F33,Table17[[Native]:[Population4]],5,FALSE)</f>
        <v>玉溪市</v>
      </c>
    </row>
    <row r="34" spans="1:7" ht="15.75" thickBot="1" x14ac:dyDescent="0.3">
      <c r="A34" t="s">
        <v>474</v>
      </c>
      <c r="B34" s="1" t="s">
        <v>475</v>
      </c>
      <c r="C34" s="1" t="s">
        <v>7</v>
      </c>
      <c r="D34" s="1" t="s">
        <v>2351</v>
      </c>
      <c r="E34" s="6">
        <v>7013</v>
      </c>
      <c r="F34" s="1" t="str">
        <f>VLOOKUP(D34,Table17[[Name]:[Native]],3,FALSE)</f>
        <v>元江哈尼族彝族傣族自治县</v>
      </c>
      <c r="G34" s="14" t="str">
        <f ca="1">VLOOKUP(F34,Table17[[Native]:[Population4]],5,FALSE)</f>
        <v>玉溪市</v>
      </c>
    </row>
    <row r="35" spans="1:7" ht="15.75" thickBot="1" x14ac:dyDescent="0.3">
      <c r="A35" t="s">
        <v>2390</v>
      </c>
      <c r="B35" s="1" t="s">
        <v>2391</v>
      </c>
      <c r="C35" s="1" t="s">
        <v>11</v>
      </c>
      <c r="D35" s="1" t="s">
        <v>2325</v>
      </c>
      <c r="E35" s="6">
        <v>28856</v>
      </c>
      <c r="F35" s="1" t="str">
        <f>VLOOKUP(D35,Table17[[Name]:[Native]],3,FALSE)</f>
        <v>江川区</v>
      </c>
      <c r="G35" s="14" t="str">
        <f ca="1">VLOOKUP(F35,Table17[[Native]:[Population4]],5,FALSE)</f>
        <v>玉溪市</v>
      </c>
    </row>
    <row r="36" spans="1:7" ht="15.75" thickBot="1" x14ac:dyDescent="0.3">
      <c r="A36" t="s">
        <v>2392</v>
      </c>
      <c r="B36" s="1" t="s">
        <v>2393</v>
      </c>
      <c r="C36" s="1" t="s">
        <v>7</v>
      </c>
      <c r="D36" s="1" t="s">
        <v>2328</v>
      </c>
      <c r="E36" s="6">
        <v>9898</v>
      </c>
      <c r="F36" s="1" t="str">
        <f>VLOOKUP(D36,Table17[[Name]:[Native]],3,FALSE)</f>
        <v>红塔区</v>
      </c>
      <c r="G36" s="14" t="str">
        <f ca="1">VLOOKUP(F36,Table17[[Native]:[Population4]],5,FALSE)</f>
        <v>玉溪市</v>
      </c>
    </row>
    <row r="37" spans="1:7" ht="15.75" thickBot="1" x14ac:dyDescent="0.3">
      <c r="A37" t="s">
        <v>2394</v>
      </c>
      <c r="B37" s="1" t="s">
        <v>2395</v>
      </c>
      <c r="C37" s="1" t="s">
        <v>11</v>
      </c>
      <c r="D37" s="1" t="s">
        <v>2387</v>
      </c>
      <c r="E37" s="6">
        <v>16410</v>
      </c>
      <c r="F37" s="1" t="str">
        <f>VLOOKUP(D37,Table17[[Name]:[Native]],3,FALSE)</f>
        <v>易门县</v>
      </c>
      <c r="G37" s="14" t="str">
        <f ca="1">VLOOKUP(F37,Table17[[Native]:[Population4]],5,FALSE)</f>
        <v>玉溪市</v>
      </c>
    </row>
    <row r="38" spans="1:7" ht="15.75" thickBot="1" x14ac:dyDescent="0.3">
      <c r="A38" t="s">
        <v>2396</v>
      </c>
      <c r="B38" s="1" t="s">
        <v>2397</v>
      </c>
      <c r="C38" s="1" t="s">
        <v>11</v>
      </c>
      <c r="D38" s="1" t="s">
        <v>2351</v>
      </c>
      <c r="E38" s="6">
        <v>28639</v>
      </c>
      <c r="F38" s="1" t="str">
        <f>VLOOKUP(D38,Table17[[Name]:[Native]],3,FALSE)</f>
        <v>元江哈尼族彝族傣族自治县</v>
      </c>
      <c r="G38" s="14" t="str">
        <f ca="1">VLOOKUP(F38,Table17[[Native]:[Population4]],5,FALSE)</f>
        <v>玉溪市</v>
      </c>
    </row>
    <row r="39" spans="1:7" ht="15.75" thickBot="1" x14ac:dyDescent="0.3">
      <c r="A39" t="s">
        <v>2398</v>
      </c>
      <c r="B39" s="1" t="s">
        <v>2399</v>
      </c>
      <c r="C39" s="1" t="s">
        <v>7</v>
      </c>
      <c r="D39" s="1" t="s">
        <v>2351</v>
      </c>
      <c r="E39" s="6">
        <v>14047</v>
      </c>
      <c r="F39" s="1" t="str">
        <f>VLOOKUP(D39,Table17[[Name]:[Native]],3,FALSE)</f>
        <v>元江哈尼族彝族傣族自治县</v>
      </c>
      <c r="G39" s="14" t="str">
        <f ca="1">VLOOKUP(F39,Table17[[Native]:[Population4]],5,FALSE)</f>
        <v>玉溪市</v>
      </c>
    </row>
    <row r="40" spans="1:7" ht="15.75" thickBot="1" x14ac:dyDescent="0.3">
      <c r="A40" t="s">
        <v>2400</v>
      </c>
      <c r="B40" s="1" t="s">
        <v>2401</v>
      </c>
      <c r="C40" s="1" t="s">
        <v>11</v>
      </c>
      <c r="D40" s="1" t="s">
        <v>2359</v>
      </c>
      <c r="E40" s="6">
        <v>35806</v>
      </c>
      <c r="F40" s="1" t="str">
        <f>VLOOKUP(D40,Table17[[Name]:[Native]],3,FALSE)</f>
        <v>新平彝族傣族自治县</v>
      </c>
      <c r="G40" s="14" t="str">
        <f ca="1">VLOOKUP(F40,Table17[[Native]:[Population4]],5,FALSE)</f>
        <v>玉溪市</v>
      </c>
    </row>
    <row r="41" spans="1:7" ht="15.75" thickBot="1" x14ac:dyDescent="0.3">
      <c r="A41" t="s">
        <v>2402</v>
      </c>
      <c r="B41" s="1" t="s">
        <v>2403</v>
      </c>
      <c r="C41" s="1" t="s">
        <v>11</v>
      </c>
      <c r="D41" s="1" t="s">
        <v>2356</v>
      </c>
      <c r="E41" s="6">
        <v>16148</v>
      </c>
      <c r="F41" s="1" t="str">
        <f>VLOOKUP(D41,Table17[[Name]:[Native]],3,FALSE)</f>
        <v>通海县</v>
      </c>
      <c r="G41" s="14" t="str">
        <f ca="1">VLOOKUP(F41,Table17[[Native]:[Population4]],5,FALSE)</f>
        <v>玉溪市</v>
      </c>
    </row>
    <row r="42" spans="1:7" ht="15.75" thickBot="1" x14ac:dyDescent="0.3">
      <c r="A42" t="s">
        <v>2404</v>
      </c>
      <c r="B42" s="1" t="s">
        <v>2405</v>
      </c>
      <c r="C42" s="1" t="s">
        <v>7</v>
      </c>
      <c r="D42" s="1" t="s">
        <v>2351</v>
      </c>
      <c r="E42" s="6">
        <v>15095</v>
      </c>
      <c r="F42" s="1" t="str">
        <f>VLOOKUP(D42,Table17[[Name]:[Native]],3,FALSE)</f>
        <v>元江哈尼族彝族傣族自治县</v>
      </c>
      <c r="G42" s="14" t="str">
        <f ca="1">VLOOKUP(F42,Table17[[Native]:[Population4]],5,FALSE)</f>
        <v>玉溪市</v>
      </c>
    </row>
    <row r="43" spans="1:7" ht="15.75" thickBot="1" x14ac:dyDescent="0.3">
      <c r="A43" t="s">
        <v>2406</v>
      </c>
      <c r="B43" s="1" t="s">
        <v>2407</v>
      </c>
      <c r="C43" s="1" t="s">
        <v>42</v>
      </c>
      <c r="D43" s="1" t="s">
        <v>2368</v>
      </c>
      <c r="E43" s="6">
        <v>83213</v>
      </c>
      <c r="F43" s="1" t="str">
        <f>VLOOKUP(D43,Table17[[Name]:[Native]],3,FALSE)</f>
        <v>华宁县</v>
      </c>
      <c r="G43" s="14" t="str">
        <f ca="1">VLOOKUP(F43,Table17[[Native]:[Population4]],5,FALSE)</f>
        <v>玉溪市</v>
      </c>
    </row>
    <row r="44" spans="1:7" ht="15.75" thickBot="1" x14ac:dyDescent="0.3">
      <c r="A44" t="s">
        <v>2408</v>
      </c>
      <c r="B44" s="1" t="s">
        <v>2409</v>
      </c>
      <c r="C44" s="1" t="s">
        <v>11</v>
      </c>
      <c r="D44" s="1" t="s">
        <v>2368</v>
      </c>
      <c r="E44" s="6">
        <v>53677</v>
      </c>
      <c r="F44" s="1" t="str">
        <f>VLOOKUP(D44,Table17[[Name]:[Native]],3,FALSE)</f>
        <v>华宁县</v>
      </c>
      <c r="G44" s="14" t="str">
        <f ca="1">VLOOKUP(F44,Table17[[Native]:[Population4]],5,FALSE)</f>
        <v>玉溪市</v>
      </c>
    </row>
    <row r="45" spans="1:7" ht="15.75" thickBot="1" x14ac:dyDescent="0.3">
      <c r="A45" t="s">
        <v>2410</v>
      </c>
      <c r="B45" s="1" t="s">
        <v>2411</v>
      </c>
      <c r="C45" s="1" t="s">
        <v>7</v>
      </c>
      <c r="D45" s="1" t="s">
        <v>2359</v>
      </c>
      <c r="E45" s="6">
        <v>17421</v>
      </c>
      <c r="F45" s="1" t="str">
        <f>VLOOKUP(D45,Table17[[Name]:[Native]],3,FALSE)</f>
        <v>新平彝族傣族自治县</v>
      </c>
      <c r="G45" s="14" t="str">
        <f ca="1">VLOOKUP(F45,Table17[[Native]:[Population4]],5,FALSE)</f>
        <v>玉溪市</v>
      </c>
    </row>
    <row r="46" spans="1:7" ht="15.75" thickBot="1" x14ac:dyDescent="0.3">
      <c r="A46" t="s">
        <v>2412</v>
      </c>
      <c r="B46" s="1" t="s">
        <v>2413</v>
      </c>
      <c r="C46" s="1" t="s">
        <v>7</v>
      </c>
      <c r="D46" s="1" t="s">
        <v>2359</v>
      </c>
      <c r="E46" s="6">
        <v>10836</v>
      </c>
      <c r="F46" s="1" t="str">
        <f>VLOOKUP(D46,Table17[[Name]:[Native]],3,FALSE)</f>
        <v>新平彝族傣族自治县</v>
      </c>
      <c r="G46" s="14" t="str">
        <f ca="1">VLOOKUP(F46,Table17[[Native]:[Population4]],5,FALSE)</f>
        <v>玉溪市</v>
      </c>
    </row>
    <row r="47" spans="1:7" ht="15.75" thickBot="1" x14ac:dyDescent="0.3">
      <c r="A47" t="s">
        <v>2414</v>
      </c>
      <c r="B47" s="1" t="s">
        <v>2415</v>
      </c>
      <c r="C47" s="1" t="s">
        <v>7</v>
      </c>
      <c r="D47" s="1" t="s">
        <v>2387</v>
      </c>
      <c r="E47" s="6">
        <v>16568</v>
      </c>
      <c r="F47" s="1" t="str">
        <f>VLOOKUP(D47,Table17[[Name]:[Native]],3,FALSE)</f>
        <v>易门县</v>
      </c>
      <c r="G47" s="14" t="str">
        <f ca="1">VLOOKUP(F47,Table17[[Native]:[Population4]],5,FALSE)</f>
        <v>玉溪市</v>
      </c>
    </row>
    <row r="48" spans="1:7" ht="15.75" thickBot="1" x14ac:dyDescent="0.3">
      <c r="A48" t="s">
        <v>2416</v>
      </c>
      <c r="B48" s="1" t="s">
        <v>2417</v>
      </c>
      <c r="C48" s="1" t="s">
        <v>11</v>
      </c>
      <c r="D48" s="1" t="s">
        <v>2325</v>
      </c>
      <c r="E48" s="6">
        <v>48166</v>
      </c>
      <c r="F48" s="1" t="str">
        <f>VLOOKUP(D48,Table17[[Name]:[Native]],3,FALSE)</f>
        <v>江川区</v>
      </c>
      <c r="G48" s="14" t="str">
        <f ca="1">VLOOKUP(F48,Table17[[Native]:[Population4]],5,FALSE)</f>
        <v>玉溪市</v>
      </c>
    </row>
    <row r="49" spans="1:7" ht="15.75" thickBot="1" x14ac:dyDescent="0.3">
      <c r="A49" t="s">
        <v>947</v>
      </c>
      <c r="B49" s="1" t="s">
        <v>948</v>
      </c>
      <c r="C49" s="1" t="s">
        <v>11</v>
      </c>
      <c r="D49" s="1" t="s">
        <v>2368</v>
      </c>
      <c r="E49" s="6">
        <v>55059</v>
      </c>
      <c r="F49" s="1" t="str">
        <f>VLOOKUP(D49,Table17[[Name]:[Native]],3,FALSE)</f>
        <v>华宁县</v>
      </c>
      <c r="G49" s="14" t="str">
        <f ca="1">VLOOKUP(F49,Table17[[Native]:[Population4]],5,FALSE)</f>
        <v>玉溪市</v>
      </c>
    </row>
    <row r="50" spans="1:7" ht="15.75" thickBot="1" x14ac:dyDescent="0.3">
      <c r="A50" t="s">
        <v>2418</v>
      </c>
      <c r="B50" s="1" t="s">
        <v>2419</v>
      </c>
      <c r="C50" s="1" t="s">
        <v>7</v>
      </c>
      <c r="D50" s="1" t="s">
        <v>2387</v>
      </c>
      <c r="E50" s="6">
        <v>11651</v>
      </c>
      <c r="F50" s="1" t="str">
        <f>VLOOKUP(D50,Table17[[Name]:[Native]],3,FALSE)</f>
        <v>易门县</v>
      </c>
      <c r="G50" s="14" t="str">
        <f ca="1">VLOOKUP(F50,Table17[[Native]:[Population4]],5,FALSE)</f>
        <v>玉溪市</v>
      </c>
    </row>
    <row r="51" spans="1:7" ht="15.75" thickBot="1" x14ac:dyDescent="0.3">
      <c r="A51" t="s">
        <v>2420</v>
      </c>
      <c r="B51" s="1" t="s">
        <v>2421</v>
      </c>
      <c r="C51" s="1" t="s">
        <v>42</v>
      </c>
      <c r="D51" s="1" t="s">
        <v>2331</v>
      </c>
      <c r="E51" s="6">
        <v>56532</v>
      </c>
      <c r="F51" s="1" t="str">
        <f>VLOOKUP(D51,Table17[[Name]:[Native]],3,FALSE)</f>
        <v>峨山彝族自治县</v>
      </c>
      <c r="G51" s="14" t="str">
        <f ca="1">VLOOKUP(F51,Table17[[Native]:[Population4]],5,FALSE)</f>
        <v>玉溪市</v>
      </c>
    </row>
    <row r="52" spans="1:7" ht="15.75" thickBot="1" x14ac:dyDescent="0.3">
      <c r="A52" t="s">
        <v>2422</v>
      </c>
      <c r="B52" s="1" t="s">
        <v>2423</v>
      </c>
      <c r="C52" s="1" t="s">
        <v>11</v>
      </c>
      <c r="D52" s="1" t="s">
        <v>2359</v>
      </c>
      <c r="E52" s="6">
        <v>21528</v>
      </c>
      <c r="F52" s="1" t="str">
        <f>VLOOKUP(D52,Table17[[Name]:[Native]],3,FALSE)</f>
        <v>新平彝族傣族自治县</v>
      </c>
      <c r="G52" s="14" t="str">
        <f ca="1">VLOOKUP(F52,Table17[[Native]:[Population4]],5,FALSE)</f>
        <v>玉溪市</v>
      </c>
    </row>
    <row r="53" spans="1:7" ht="15.75" thickBot="1" x14ac:dyDescent="0.3">
      <c r="A53" t="s">
        <v>2424</v>
      </c>
      <c r="B53" s="1" t="s">
        <v>2425</v>
      </c>
      <c r="C53" s="1" t="s">
        <v>11</v>
      </c>
      <c r="D53" s="1" t="s">
        <v>2356</v>
      </c>
      <c r="E53" s="6">
        <v>44797</v>
      </c>
      <c r="F53" s="1" t="str">
        <f>VLOOKUP(D53,Table17[[Name]:[Native]],3,FALSE)</f>
        <v>通海县</v>
      </c>
      <c r="G53" s="14" t="str">
        <f ca="1">VLOOKUP(F53,Table17[[Native]:[Population4]],5,FALSE)</f>
        <v>玉溪市</v>
      </c>
    </row>
    <row r="54" spans="1:7" ht="15.75" thickBot="1" x14ac:dyDescent="0.3">
      <c r="A54" t="s">
        <v>2426</v>
      </c>
      <c r="B54" s="1" t="s">
        <v>2427</v>
      </c>
      <c r="C54" s="1" t="s">
        <v>11</v>
      </c>
      <c r="D54" s="1" t="s">
        <v>2331</v>
      </c>
      <c r="E54" s="6">
        <v>14992</v>
      </c>
      <c r="F54" s="1" t="str">
        <f>VLOOKUP(D54,Table17[[Name]:[Native]],3,FALSE)</f>
        <v>峨山彝族自治县</v>
      </c>
      <c r="G54" s="14" t="str">
        <f ca="1">VLOOKUP(F54,Table17[[Native]:[Population4]],5,FALSE)</f>
        <v>玉溪市</v>
      </c>
    </row>
    <row r="55" spans="1:7" ht="15.75" thickBot="1" x14ac:dyDescent="0.3">
      <c r="A55" t="s">
        <v>2428</v>
      </c>
      <c r="B55" s="1" t="s">
        <v>2429</v>
      </c>
      <c r="C55" s="1" t="s">
        <v>7</v>
      </c>
      <c r="D55" s="1" t="s">
        <v>2387</v>
      </c>
      <c r="E55" s="6">
        <v>21609</v>
      </c>
      <c r="F55" s="1" t="str">
        <f>VLOOKUP(D55,Table17[[Name]:[Native]],3,FALSE)</f>
        <v>易门县</v>
      </c>
      <c r="G55" s="14" t="str">
        <f ca="1">VLOOKUP(F55,Table17[[Native]:[Population4]],5,FALSE)</f>
        <v>玉溪市</v>
      </c>
    </row>
    <row r="56" spans="1:7" ht="15.75" thickBot="1" x14ac:dyDescent="0.3">
      <c r="A56" t="s">
        <v>2430</v>
      </c>
      <c r="B56" s="1" t="s">
        <v>2431</v>
      </c>
      <c r="C56" s="1" t="s">
        <v>7</v>
      </c>
      <c r="D56" s="1" t="s">
        <v>2368</v>
      </c>
      <c r="E56" s="6">
        <v>8916</v>
      </c>
      <c r="F56" s="1" t="str">
        <f>VLOOKUP(D56,Table17[[Name]:[Native]],3,FALSE)</f>
        <v>华宁县</v>
      </c>
      <c r="G56" s="14" t="str">
        <f ca="1">VLOOKUP(F56,Table17[[Native]:[Population4]],5,FALSE)</f>
        <v>玉溪市</v>
      </c>
    </row>
    <row r="57" spans="1:7" ht="15.75" thickBot="1" x14ac:dyDescent="0.3">
      <c r="A57" t="s">
        <v>2432</v>
      </c>
      <c r="B57" s="1" t="s">
        <v>2433</v>
      </c>
      <c r="C57" s="1" t="s">
        <v>7</v>
      </c>
      <c r="D57" s="1" t="s">
        <v>2351</v>
      </c>
      <c r="E57" s="6">
        <v>10045</v>
      </c>
      <c r="F57" s="1" t="str">
        <f>VLOOKUP(D57,Table17[[Name]:[Native]],3,FALSE)</f>
        <v>元江哈尼族彝族傣族自治县</v>
      </c>
      <c r="G57" s="14" t="str">
        <f ca="1">VLOOKUP(F57,Table17[[Native]:[Population4]],5,FALSE)</f>
        <v>玉溪市</v>
      </c>
    </row>
    <row r="58" spans="1:7" ht="15.75" thickBot="1" x14ac:dyDescent="0.3">
      <c r="A58" t="s">
        <v>2434</v>
      </c>
      <c r="B58" s="1" t="s">
        <v>2435</v>
      </c>
      <c r="C58" s="1" t="s">
        <v>42</v>
      </c>
      <c r="D58" s="1" t="s">
        <v>2331</v>
      </c>
      <c r="E58" s="6">
        <v>26945</v>
      </c>
      <c r="F58" s="1" t="str">
        <f>VLOOKUP(D58,Table17[[Name]:[Native]],3,FALSE)</f>
        <v>峨山彝族自治县</v>
      </c>
      <c r="G58" s="14" t="str">
        <f ca="1">VLOOKUP(F58,Table17[[Native]:[Population4]],5,FALSE)</f>
        <v>玉溪市</v>
      </c>
    </row>
    <row r="59" spans="1:7" ht="15.75" thickBot="1" x14ac:dyDescent="0.3">
      <c r="A59" t="s">
        <v>1565</v>
      </c>
      <c r="B59" s="1" t="s">
        <v>2436</v>
      </c>
      <c r="C59" s="1" t="s">
        <v>7</v>
      </c>
      <c r="D59" s="1" t="s">
        <v>2387</v>
      </c>
      <c r="E59" s="6">
        <v>12668</v>
      </c>
      <c r="F59" s="1" t="str">
        <f>VLOOKUP(D59,Table17[[Name]:[Native]],3,FALSE)</f>
        <v>易门县</v>
      </c>
      <c r="G59" s="14" t="str">
        <f ca="1">VLOOKUP(F59,Table17[[Native]:[Population4]],5,FALSE)</f>
        <v>玉溪市</v>
      </c>
    </row>
    <row r="60" spans="1:7" ht="15.75" thickBot="1" x14ac:dyDescent="0.3">
      <c r="A60" t="s">
        <v>2437</v>
      </c>
      <c r="B60" s="1" t="s">
        <v>2438</v>
      </c>
      <c r="C60" s="1" t="s">
        <v>7</v>
      </c>
      <c r="D60" s="1" t="s">
        <v>2328</v>
      </c>
      <c r="E60" s="6">
        <v>5577</v>
      </c>
      <c r="F60" s="1" t="str">
        <f>VLOOKUP(D60,Table17[[Name]:[Native]],3,FALSE)</f>
        <v>红塔区</v>
      </c>
      <c r="G60" s="14" t="str">
        <f ca="1">VLOOKUP(F60,Table17[[Native]:[Population4]],5,FALSE)</f>
        <v>玉溪市</v>
      </c>
    </row>
    <row r="61" spans="1:7" ht="15.75" thickBot="1" x14ac:dyDescent="0.3">
      <c r="A61" t="s">
        <v>2439</v>
      </c>
      <c r="B61" s="1" t="s">
        <v>2440</v>
      </c>
      <c r="C61" s="1" t="s">
        <v>7</v>
      </c>
      <c r="D61" s="1" t="s">
        <v>2356</v>
      </c>
      <c r="E61" s="6">
        <v>5518</v>
      </c>
      <c r="F61" s="1" t="str">
        <f>VLOOKUP(D61,Table17[[Name]:[Native]],3,FALSE)</f>
        <v>通海县</v>
      </c>
      <c r="G61" s="14" t="str">
        <f ca="1">VLOOKUP(F61,Table17[[Native]:[Population4]],5,FALSE)</f>
        <v>玉溪市</v>
      </c>
    </row>
    <row r="62" spans="1:7" ht="15.75" thickBot="1" x14ac:dyDescent="0.3">
      <c r="A62" t="s">
        <v>2441</v>
      </c>
      <c r="B62" s="1" t="s">
        <v>2442</v>
      </c>
      <c r="C62" s="1" t="s">
        <v>7</v>
      </c>
      <c r="D62" s="1" t="s">
        <v>2359</v>
      </c>
      <c r="E62" s="6">
        <v>21808</v>
      </c>
      <c r="F62" s="1" t="str">
        <f>VLOOKUP(D62,Table17[[Name]:[Native]],3,FALSE)</f>
        <v>新平彝族傣族自治县</v>
      </c>
      <c r="G62" s="14" t="str">
        <f ca="1">VLOOKUP(F62,Table17[[Native]:[Population4]],5,FALSE)</f>
        <v>玉溪市</v>
      </c>
    </row>
    <row r="63" spans="1:7" ht="15.75" thickBot="1" x14ac:dyDescent="0.3">
      <c r="A63" t="s">
        <v>2443</v>
      </c>
      <c r="B63" s="1" t="s">
        <v>2444</v>
      </c>
      <c r="C63" s="1" t="s">
        <v>7</v>
      </c>
      <c r="D63" s="1" t="s">
        <v>2325</v>
      </c>
      <c r="E63" s="6">
        <v>10852</v>
      </c>
      <c r="F63" s="1" t="str">
        <f>VLOOKUP(D63,Table17[[Name]:[Native]],3,FALSE)</f>
        <v>江川区</v>
      </c>
      <c r="G63" s="14" t="str">
        <f ca="1">VLOOKUP(F63,Table17[[Native]:[Population4]],5,FALSE)</f>
        <v>玉溪市</v>
      </c>
    </row>
    <row r="64" spans="1:7" ht="15.75" thickBot="1" x14ac:dyDescent="0.3">
      <c r="A64" t="s">
        <v>2445</v>
      </c>
      <c r="B64" s="1" t="s">
        <v>2446</v>
      </c>
      <c r="C64" s="1" t="s">
        <v>42</v>
      </c>
      <c r="D64" s="1" t="s">
        <v>2356</v>
      </c>
      <c r="E64" s="6">
        <v>80299</v>
      </c>
      <c r="F64" s="1" t="str">
        <f>VLOOKUP(D64,Table17[[Name]:[Native]],3,FALSE)</f>
        <v>通海县</v>
      </c>
      <c r="G64" s="14" t="str">
        <f ca="1">VLOOKUP(F64,Table17[[Native]:[Population4]],5,FALSE)</f>
        <v>玉溪市</v>
      </c>
    </row>
    <row r="65" spans="1:7" ht="15.75" thickBot="1" x14ac:dyDescent="0.3">
      <c r="A65" t="s">
        <v>2447</v>
      </c>
      <c r="B65" s="1" t="s">
        <v>2448</v>
      </c>
      <c r="C65" s="1" t="s">
        <v>11</v>
      </c>
      <c r="D65" s="1" t="s">
        <v>2356</v>
      </c>
      <c r="E65" s="6">
        <v>48512</v>
      </c>
      <c r="F65" s="1" t="str">
        <f>VLOOKUP(D65,Table17[[Name]:[Native]],3,FALSE)</f>
        <v>通海县</v>
      </c>
      <c r="G65" s="14" t="str">
        <f ca="1">VLOOKUP(F65,Table17[[Native]:[Population4]],5,FALSE)</f>
        <v>玉溪市</v>
      </c>
    </row>
    <row r="66" spans="1:7" ht="15.75" thickBot="1" x14ac:dyDescent="0.3">
      <c r="A66" t="s">
        <v>1007</v>
      </c>
      <c r="B66" s="1" t="s">
        <v>1008</v>
      </c>
      <c r="C66" s="1" t="s">
        <v>7</v>
      </c>
      <c r="D66" s="1" t="s">
        <v>2351</v>
      </c>
      <c r="E66" s="6">
        <v>16888</v>
      </c>
      <c r="F66" s="1" t="str">
        <f>VLOOKUP(D66,Table17[[Name]:[Native]],3,FALSE)</f>
        <v>元江哈尼族彝族傣族自治县</v>
      </c>
      <c r="G66" s="14" t="str">
        <f ca="1">VLOOKUP(F66,Table17[[Native]:[Population4]],5,FALSE)</f>
        <v>玉溪市</v>
      </c>
    </row>
    <row r="67" spans="1:7" ht="15.75" thickBot="1" x14ac:dyDescent="0.3">
      <c r="A67" t="s">
        <v>2449</v>
      </c>
      <c r="B67" s="1" t="s">
        <v>2450</v>
      </c>
      <c r="C67" s="1" t="s">
        <v>11</v>
      </c>
      <c r="D67" s="1" t="s">
        <v>2359</v>
      </c>
      <c r="E67" s="6">
        <v>24761</v>
      </c>
      <c r="F67" s="1" t="str">
        <f>VLOOKUP(D67,Table17[[Name]:[Native]],3,FALSE)</f>
        <v>新平彝族傣族自治县</v>
      </c>
      <c r="G67" s="14" t="str">
        <f ca="1">VLOOKUP(F67,Table17[[Native]:[Population4]],5,FALSE)</f>
        <v>玉溪市</v>
      </c>
    </row>
    <row r="68" spans="1:7" ht="15.75" thickBot="1" x14ac:dyDescent="0.3">
      <c r="A68" t="s">
        <v>2451</v>
      </c>
      <c r="B68" s="1" t="s">
        <v>2452</v>
      </c>
      <c r="C68" s="1" t="s">
        <v>11</v>
      </c>
      <c r="D68" s="1" t="s">
        <v>2346</v>
      </c>
      <c r="E68" s="6">
        <v>24429</v>
      </c>
      <c r="F68" s="1" t="str">
        <f>VLOOKUP(D68,Table17[[Name]:[Native]],3,FALSE)</f>
        <v>澄江市</v>
      </c>
      <c r="G68" s="14" t="str">
        <f ca="1">VLOOKUP(F68,Table17[[Native]:[Population4]],5,FALSE)</f>
        <v>玉溪市</v>
      </c>
    </row>
    <row r="69" spans="1:7" ht="15.75" thickBot="1" x14ac:dyDescent="0.3">
      <c r="A69" t="s">
        <v>2453</v>
      </c>
      <c r="B69" s="1" t="s">
        <v>2454</v>
      </c>
      <c r="C69" s="1" t="s">
        <v>42</v>
      </c>
      <c r="D69" s="1" t="s">
        <v>2328</v>
      </c>
      <c r="E69" s="6">
        <v>47959</v>
      </c>
      <c r="F69" s="1" t="str">
        <f>VLOOKUP(D69,Table17[[Name]:[Native]],3,FALSE)</f>
        <v>红塔区</v>
      </c>
      <c r="G69" s="14" t="str">
        <f ca="1">VLOOKUP(F69,Table17[[Native]:[Population4]],5,FALSE)</f>
        <v>玉溪市</v>
      </c>
    </row>
    <row r="70" spans="1:7" ht="15.75" thickBot="1" x14ac:dyDescent="0.3">
      <c r="A70" t="s">
        <v>2455</v>
      </c>
      <c r="B70" s="1" t="s">
        <v>2456</v>
      </c>
      <c r="C70" s="1" t="s">
        <v>11</v>
      </c>
      <c r="D70" s="1" t="s">
        <v>2359</v>
      </c>
      <c r="E70" s="6">
        <v>15667</v>
      </c>
      <c r="F70" s="1" t="str">
        <f>VLOOKUP(D70,Table17[[Name]:[Native]],3,FALSE)</f>
        <v>新平彝族傣族自治县</v>
      </c>
      <c r="G70" s="14" t="str">
        <f ca="1">VLOOKUP(F70,Table17[[Native]:[Population4]],5,FALSE)</f>
        <v>玉溪市</v>
      </c>
    </row>
    <row r="71" spans="1:7" ht="15.75" thickBot="1" x14ac:dyDescent="0.3">
      <c r="A71" t="s">
        <v>2457</v>
      </c>
      <c r="B71" s="1" t="s">
        <v>2458</v>
      </c>
      <c r="C71" s="1" t="s">
        <v>11</v>
      </c>
      <c r="D71" s="1" t="s">
        <v>2351</v>
      </c>
      <c r="E71" s="6">
        <v>27853</v>
      </c>
      <c r="F71" s="1" t="str">
        <f>VLOOKUP(D71,Table17[[Name]:[Native]],3,FALSE)</f>
        <v>元江哈尼族彝族傣族自治县</v>
      </c>
      <c r="G71" s="14" t="str">
        <f ca="1">VLOOKUP(F71,Table17[[Native]:[Population4]],5,FALSE)</f>
        <v>玉溪市</v>
      </c>
    </row>
    <row r="72" spans="1:7" ht="15.75" thickBot="1" x14ac:dyDescent="0.3">
      <c r="A72" t="s">
        <v>590</v>
      </c>
      <c r="B72" s="1" t="s">
        <v>591</v>
      </c>
      <c r="C72" s="1" t="s">
        <v>11</v>
      </c>
      <c r="D72" s="1" t="s">
        <v>2346</v>
      </c>
      <c r="E72" s="6">
        <v>39687</v>
      </c>
      <c r="F72" s="1" t="str">
        <f>VLOOKUP(D72,Table17[[Name]:[Native]],3,FALSE)</f>
        <v>澄江市</v>
      </c>
      <c r="G72" s="14" t="str">
        <f ca="1">VLOOKUP(F72,Table17[[Native]:[Population4]],5,FALSE)</f>
        <v>玉溪市</v>
      </c>
    </row>
    <row r="73" spans="1:7" ht="15.75" thickBot="1" x14ac:dyDescent="0.3">
      <c r="A73" t="s">
        <v>2459</v>
      </c>
      <c r="B73" s="1" t="s">
        <v>2460</v>
      </c>
      <c r="C73" s="1" t="s">
        <v>42</v>
      </c>
      <c r="D73" s="1" t="s">
        <v>2328</v>
      </c>
      <c r="E73" s="6">
        <v>52736</v>
      </c>
      <c r="F73" s="1" t="str">
        <f>VLOOKUP(D73,Table17[[Name]:[Native]],3,FALSE)</f>
        <v>红塔区</v>
      </c>
      <c r="G73" s="14" t="str">
        <f ca="1">VLOOKUP(F73,Table17[[Native]:[Population4]],5,FALSE)</f>
        <v>玉溪市</v>
      </c>
    </row>
    <row r="74" spans="1:7" ht="15.75" thickBot="1" x14ac:dyDescent="0.3">
      <c r="A74" t="s">
        <v>2461</v>
      </c>
      <c r="B74" s="1" t="s">
        <v>2462</v>
      </c>
      <c r="C74" s="1" t="s">
        <v>42</v>
      </c>
      <c r="D74" s="1" t="s">
        <v>2328</v>
      </c>
      <c r="E74" s="6">
        <v>75619</v>
      </c>
      <c r="F74" s="1" t="str">
        <f>VLOOKUP(D74,Table17[[Name]:[Native]],3,FALSE)</f>
        <v>红塔区</v>
      </c>
      <c r="G74" s="14" t="str">
        <f ca="1">VLOOKUP(F74,Table17[[Native]:[Population4]],5,FALSE)</f>
        <v>玉溪市</v>
      </c>
    </row>
    <row r="75" spans="1:7" ht="15.75" thickBot="1" x14ac:dyDescent="0.3">
      <c r="A75" t="s">
        <v>2463</v>
      </c>
      <c r="B75" s="1" t="s">
        <v>2464</v>
      </c>
      <c r="C75" s="1" t="s">
        <v>7</v>
      </c>
      <c r="D75" s="1" t="s">
        <v>2359</v>
      </c>
      <c r="E75" s="6">
        <v>11907</v>
      </c>
      <c r="F75" s="10" t="str">
        <f>VLOOKUP(D75,Table17[[Name]:[Native]],3,FALSE)</f>
        <v>新平彝族傣族自治县</v>
      </c>
      <c r="G75" s="14" t="str">
        <f ca="1">VLOOKUP(F75,Table17[[Native]:[Population4]],5,FALSE)</f>
        <v>玉溪市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A56D1-CD48-47E7-A943-FF78620507F9}">
  <dimension ref="A1:G144"/>
  <sheetViews>
    <sheetView topLeftCell="A12" workbookViewId="0">
      <selection activeCell="F25" sqref="F25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2917</v>
      </c>
      <c r="G1" t="s">
        <v>2919</v>
      </c>
    </row>
    <row r="2" spans="1:7" ht="15.75" thickBot="1" x14ac:dyDescent="0.3">
      <c r="A2" t="s">
        <v>2465</v>
      </c>
      <c r="B2" s="1" t="s">
        <v>2466</v>
      </c>
      <c r="C2" s="1" t="s">
        <v>11</v>
      </c>
      <c r="D2" s="1" t="s">
        <v>2467</v>
      </c>
      <c r="E2" s="6">
        <v>101175</v>
      </c>
      <c r="F2" s="9" t="str">
        <f>VLOOKUP(D2,Table17[[Name]:[Native]],3,FALSE)</f>
        <v>巧家县</v>
      </c>
      <c r="G2" s="14" t="str">
        <f ca="1">VLOOKUP(F2,Table17[[Native]:[Population4]],5,FALSE)</f>
        <v>昭通市</v>
      </c>
    </row>
    <row r="3" spans="1:7" ht="15.75" thickBot="1" x14ac:dyDescent="0.3">
      <c r="A3" t="s">
        <v>2468</v>
      </c>
      <c r="B3" s="1" t="s">
        <v>2469</v>
      </c>
      <c r="C3" s="1" t="s">
        <v>11</v>
      </c>
      <c r="D3" s="1" t="s">
        <v>2470</v>
      </c>
      <c r="E3" s="6">
        <v>19029</v>
      </c>
      <c r="F3" s="1" t="str">
        <f>VLOOKUP(D3,Table17[[Name]:[Native]],3,FALSE)</f>
        <v>绥江县</v>
      </c>
      <c r="G3" s="14" t="str">
        <f ca="1">VLOOKUP(F3,Table17[[Native]:[Population4]],5,FALSE)</f>
        <v>昭通市</v>
      </c>
    </row>
    <row r="4" spans="1:7" ht="15.75" thickBot="1" x14ac:dyDescent="0.3">
      <c r="A4" t="s">
        <v>2471</v>
      </c>
      <c r="B4" s="1" t="s">
        <v>2472</v>
      </c>
      <c r="C4" s="1" t="s">
        <v>7</v>
      </c>
      <c r="D4" s="1" t="s">
        <v>2467</v>
      </c>
      <c r="E4" s="6">
        <v>22512</v>
      </c>
      <c r="F4" s="1" t="str">
        <f>VLOOKUP(D4,Table17[[Name]:[Native]],3,FALSE)</f>
        <v>巧家县</v>
      </c>
      <c r="G4" s="14" t="str">
        <f ca="1">VLOOKUP(F4,Table17[[Native]:[Population4]],5,FALSE)</f>
        <v>昭通市</v>
      </c>
    </row>
    <row r="5" spans="1:7" ht="15.75" thickBot="1" x14ac:dyDescent="0.3">
      <c r="A5" t="s">
        <v>2473</v>
      </c>
      <c r="B5" s="1" t="s">
        <v>2474</v>
      </c>
      <c r="C5" s="1" t="s">
        <v>11</v>
      </c>
      <c r="D5" s="1" t="s">
        <v>2475</v>
      </c>
      <c r="E5" s="6">
        <v>49984</v>
      </c>
      <c r="F5" s="1" t="str">
        <f>VLOOKUP(D5,Table17[[Name]:[Native]],3,FALSE)</f>
        <v>昭阳区</v>
      </c>
      <c r="G5" s="14" t="str">
        <f ca="1">VLOOKUP(F5,Table17[[Native]:[Population4]],5,FALSE)</f>
        <v>昭通市</v>
      </c>
    </row>
    <row r="6" spans="1:7" ht="15.75" thickBot="1" x14ac:dyDescent="0.3">
      <c r="A6" t="s">
        <v>2476</v>
      </c>
      <c r="B6" s="1" t="s">
        <v>2477</v>
      </c>
      <c r="C6" s="1" t="s">
        <v>7</v>
      </c>
      <c r="D6" s="1" t="s">
        <v>2475</v>
      </c>
      <c r="E6" s="6">
        <v>27296</v>
      </c>
      <c r="F6" s="1" t="str">
        <f>VLOOKUP(D6,Table17[[Name]:[Native]],3,FALSE)</f>
        <v>昭阳区</v>
      </c>
      <c r="G6" s="14" t="str">
        <f ca="1">VLOOKUP(F6,Table17[[Native]:[Population4]],5,FALSE)</f>
        <v>昭通市</v>
      </c>
    </row>
    <row r="7" spans="1:7" ht="15.75" thickBot="1" x14ac:dyDescent="0.3">
      <c r="A7" t="s">
        <v>2478</v>
      </c>
      <c r="B7" s="1" t="s">
        <v>2479</v>
      </c>
      <c r="C7" s="1" t="s">
        <v>11</v>
      </c>
      <c r="D7" s="1" t="s">
        <v>2480</v>
      </c>
      <c r="E7" s="6">
        <v>27406</v>
      </c>
      <c r="F7" s="1" t="str">
        <f>VLOOKUP(D7,Table17[[Name]:[Native]],3,FALSE)</f>
        <v>威信县</v>
      </c>
      <c r="G7" s="14" t="str">
        <f ca="1">VLOOKUP(F7,Table17[[Native]:[Population4]],5,FALSE)</f>
        <v>昭通市</v>
      </c>
    </row>
    <row r="8" spans="1:7" ht="15.75" thickBot="1" x14ac:dyDescent="0.3">
      <c r="A8" t="s">
        <v>2481</v>
      </c>
      <c r="B8" s="1" t="s">
        <v>2482</v>
      </c>
      <c r="C8" s="1" t="s">
        <v>11</v>
      </c>
      <c r="D8" s="1" t="s">
        <v>2483</v>
      </c>
      <c r="E8" s="6">
        <v>51934</v>
      </c>
      <c r="F8" s="1" t="str">
        <f>VLOOKUP(D8,Table17[[Name]:[Native]],3,FALSE)</f>
        <v>镇雄县</v>
      </c>
      <c r="G8" s="14" t="str">
        <f ca="1">VLOOKUP(F8,Table17[[Native]:[Population4]],5,FALSE)</f>
        <v>昭通市</v>
      </c>
    </row>
    <row r="9" spans="1:7" ht="15.75" thickBot="1" x14ac:dyDescent="0.3">
      <c r="A9" t="s">
        <v>2484</v>
      </c>
      <c r="B9" s="1" t="s">
        <v>2485</v>
      </c>
      <c r="C9" s="1" t="s">
        <v>11</v>
      </c>
      <c r="D9" s="1" t="s">
        <v>2483</v>
      </c>
      <c r="E9" s="6">
        <v>58002</v>
      </c>
      <c r="F9" s="1" t="str">
        <f>VLOOKUP(D9,Table17[[Name]:[Native]],3,FALSE)</f>
        <v>镇雄县</v>
      </c>
      <c r="G9" s="14" t="str">
        <f ca="1">VLOOKUP(F9,Table17[[Native]:[Population4]],5,FALSE)</f>
        <v>昭通市</v>
      </c>
    </row>
    <row r="10" spans="1:7" ht="15.75" thickBot="1" x14ac:dyDescent="0.3">
      <c r="A10" t="s">
        <v>2486</v>
      </c>
      <c r="B10" s="1" t="s">
        <v>2487</v>
      </c>
      <c r="C10" s="1" t="s">
        <v>11</v>
      </c>
      <c r="D10" s="1" t="s">
        <v>2467</v>
      </c>
      <c r="E10" s="6">
        <v>32998</v>
      </c>
      <c r="F10" s="1" t="str">
        <f>VLOOKUP(D10,Table17[[Name]:[Native]],3,FALSE)</f>
        <v>巧家县</v>
      </c>
      <c r="G10" s="14" t="str">
        <f ca="1">VLOOKUP(F10,Table17[[Native]:[Population4]],5,FALSE)</f>
        <v>昭通市</v>
      </c>
    </row>
    <row r="11" spans="1:7" ht="15.75" thickBot="1" x14ac:dyDescent="0.3">
      <c r="A11" t="s">
        <v>2488</v>
      </c>
      <c r="B11" s="1" t="s">
        <v>2489</v>
      </c>
      <c r="C11" s="1" t="s">
        <v>7</v>
      </c>
      <c r="D11" s="1" t="s">
        <v>2490</v>
      </c>
      <c r="E11" s="6">
        <v>26296</v>
      </c>
      <c r="F11" s="1" t="str">
        <f>VLOOKUP(D11,Table17[[Name]:[Native]],3,FALSE)</f>
        <v>鲁甸县</v>
      </c>
      <c r="G11" s="14" t="str">
        <f ca="1">VLOOKUP(F11,Table17[[Native]:[Population4]],5,FALSE)</f>
        <v>昭通市</v>
      </c>
    </row>
    <row r="12" spans="1:7" ht="15.75" thickBot="1" x14ac:dyDescent="0.3">
      <c r="A12" t="s">
        <v>1063</v>
      </c>
      <c r="B12" s="1" t="s">
        <v>1064</v>
      </c>
      <c r="C12" s="1" t="s">
        <v>11</v>
      </c>
      <c r="D12" s="1" t="s">
        <v>2491</v>
      </c>
      <c r="E12" s="6">
        <v>42262</v>
      </c>
      <c r="F12" s="1" t="str">
        <f>VLOOKUP(D12,Table17[[Name]:[Native]],3,FALSE)</f>
        <v>大关县</v>
      </c>
      <c r="G12" s="14" t="str">
        <f ca="1">VLOOKUP(F12,Table17[[Native]:[Population4]],5,FALSE)</f>
        <v>昭通市</v>
      </c>
    </row>
    <row r="13" spans="1:7" ht="15.75" thickBot="1" x14ac:dyDescent="0.3">
      <c r="A13" t="s">
        <v>2492</v>
      </c>
      <c r="B13" s="1" t="s">
        <v>2493</v>
      </c>
      <c r="C13" s="1" t="s">
        <v>11</v>
      </c>
      <c r="D13" s="1" t="s">
        <v>2475</v>
      </c>
      <c r="E13" s="6">
        <v>12070</v>
      </c>
      <c r="F13" s="1" t="str">
        <f>VLOOKUP(D13,Table17[[Name]:[Native]],3,FALSE)</f>
        <v>昭阳区</v>
      </c>
      <c r="G13" s="14" t="str">
        <f ca="1">VLOOKUP(F13,Table17[[Native]:[Population4]],5,FALSE)</f>
        <v>昭通市</v>
      </c>
    </row>
    <row r="14" spans="1:7" ht="15.75" thickBot="1" x14ac:dyDescent="0.3">
      <c r="A14" t="s">
        <v>2494</v>
      </c>
      <c r="B14" s="1" t="s">
        <v>2495</v>
      </c>
      <c r="C14" s="1" t="s">
        <v>11</v>
      </c>
      <c r="D14" s="1" t="s">
        <v>2483</v>
      </c>
      <c r="E14" s="6">
        <v>49133</v>
      </c>
      <c r="F14" s="1" t="str">
        <f>VLOOKUP(D14,Table17[[Name]:[Native]],3,FALSE)</f>
        <v>镇雄县</v>
      </c>
      <c r="G14" s="14" t="str">
        <f ca="1">VLOOKUP(F14,Table17[[Native]:[Population4]],5,FALSE)</f>
        <v>昭通市</v>
      </c>
    </row>
    <row r="15" spans="1:7" ht="15.75" thickBot="1" x14ac:dyDescent="0.3">
      <c r="A15" t="s">
        <v>817</v>
      </c>
      <c r="B15" s="1" t="s">
        <v>818</v>
      </c>
      <c r="C15" s="1" t="s">
        <v>11</v>
      </c>
      <c r="D15" s="1" t="s">
        <v>2496</v>
      </c>
      <c r="E15" s="6">
        <v>33786</v>
      </c>
      <c r="F15" s="1" t="str">
        <f>VLOOKUP(D15,Table17[[Name]:[Native]],3,FALSE)</f>
        <v>永善县</v>
      </c>
      <c r="G15" s="14" t="str">
        <f ca="1">VLOOKUP(F15,Table17[[Native]:[Population4]],5,FALSE)</f>
        <v>昭通市</v>
      </c>
    </row>
    <row r="16" spans="1:7" ht="15.75" thickBot="1" x14ac:dyDescent="0.3">
      <c r="A16" t="s">
        <v>1470</v>
      </c>
      <c r="B16" s="1" t="s">
        <v>1471</v>
      </c>
      <c r="C16" s="1" t="s">
        <v>11</v>
      </c>
      <c r="D16" s="1" t="s">
        <v>2467</v>
      </c>
      <c r="E16" s="6">
        <v>33866</v>
      </c>
      <c r="F16" s="1" t="str">
        <f>VLOOKUP(D16,Table17[[Name]:[Native]],3,FALSE)</f>
        <v>巧家县</v>
      </c>
      <c r="G16" s="14" t="str">
        <f ca="1">VLOOKUP(F16,Table17[[Native]:[Population4]],5,FALSE)</f>
        <v>昭通市</v>
      </c>
    </row>
    <row r="17" spans="1:7" ht="15.75" thickBot="1" x14ac:dyDescent="0.3">
      <c r="A17" t="s">
        <v>2497</v>
      </c>
      <c r="B17" s="1" t="s">
        <v>2498</v>
      </c>
      <c r="C17" s="1" t="s">
        <v>7</v>
      </c>
      <c r="D17" s="1" t="s">
        <v>2475</v>
      </c>
      <c r="E17" s="6">
        <v>10064</v>
      </c>
      <c r="F17" s="1" t="str">
        <f>VLOOKUP(D17,Table17[[Name]:[Native]],3,FALSE)</f>
        <v>昭阳区</v>
      </c>
      <c r="G17" s="14" t="str">
        <f ca="1">VLOOKUP(F17,Table17[[Native]:[Population4]],5,FALSE)</f>
        <v>昭通市</v>
      </c>
    </row>
    <row r="18" spans="1:7" ht="15.75" thickBot="1" x14ac:dyDescent="0.3">
      <c r="A18" t="s">
        <v>2499</v>
      </c>
      <c r="B18" s="1" t="s">
        <v>2500</v>
      </c>
      <c r="C18" s="1" t="s">
        <v>11</v>
      </c>
      <c r="D18" s="1" t="s">
        <v>2467</v>
      </c>
      <c r="E18" s="6">
        <v>28149</v>
      </c>
      <c r="F18" s="1" t="str">
        <f>VLOOKUP(D18,Table17[[Name]:[Native]],3,FALSE)</f>
        <v>巧家县</v>
      </c>
      <c r="G18" s="14" t="str">
        <f ca="1">VLOOKUP(F18,Table17[[Native]:[Population4]],5,FALSE)</f>
        <v>昭通市</v>
      </c>
    </row>
    <row r="19" spans="1:7" ht="15.75" thickBot="1" x14ac:dyDescent="0.3">
      <c r="A19" t="s">
        <v>2501</v>
      </c>
      <c r="B19" s="1" t="s">
        <v>2502</v>
      </c>
      <c r="C19" s="1" t="s">
        <v>11</v>
      </c>
      <c r="D19" s="1" t="s">
        <v>2503</v>
      </c>
      <c r="E19" s="6">
        <v>22572</v>
      </c>
      <c r="F19" s="1" t="str">
        <f>VLOOKUP(D19,Table17[[Name]:[Native]],3,FALSE)</f>
        <v>盐津县</v>
      </c>
      <c r="G19" s="14" t="str">
        <f ca="1">VLOOKUP(F19,Table17[[Native]:[Population4]],5,FALSE)</f>
        <v>昭通市</v>
      </c>
    </row>
    <row r="20" spans="1:7" ht="15.75" thickBot="1" x14ac:dyDescent="0.3">
      <c r="A20" t="s">
        <v>2342</v>
      </c>
      <c r="B20" s="1" t="s">
        <v>2343</v>
      </c>
      <c r="C20" s="1" t="s">
        <v>42</v>
      </c>
      <c r="D20" s="1" t="s">
        <v>2475</v>
      </c>
      <c r="E20" s="6">
        <v>127995</v>
      </c>
      <c r="F20" s="1" t="str">
        <f>VLOOKUP(D20,Table17[[Name]:[Native]],3,FALSE)</f>
        <v>昭阳区</v>
      </c>
      <c r="G20" s="14" t="str">
        <f ca="1">VLOOKUP(F20,Table17[[Native]:[Population4]],5,FALSE)</f>
        <v>昭通市</v>
      </c>
    </row>
    <row r="21" spans="1:7" ht="15.75" thickBot="1" x14ac:dyDescent="0.3">
      <c r="A21" t="s">
        <v>211</v>
      </c>
      <c r="B21" s="1" t="s">
        <v>212</v>
      </c>
      <c r="C21" s="1" t="s">
        <v>11</v>
      </c>
      <c r="D21" s="1" t="s">
        <v>2491</v>
      </c>
      <c r="E21" s="6">
        <v>24606</v>
      </c>
      <c r="F21" s="1" t="str">
        <f>VLOOKUP(D21,Table17[[Name]:[Native]],3,FALSE)</f>
        <v>大关县</v>
      </c>
      <c r="G21" s="14" t="str">
        <f ca="1">VLOOKUP(F21,Table17[[Native]:[Population4]],5,FALSE)</f>
        <v>昭通市</v>
      </c>
    </row>
    <row r="22" spans="1:7" ht="15.75" thickBot="1" x14ac:dyDescent="0.3">
      <c r="A22" t="s">
        <v>2504</v>
      </c>
      <c r="B22" s="1" t="s">
        <v>2505</v>
      </c>
      <c r="C22" s="1" t="s">
        <v>7</v>
      </c>
      <c r="D22" s="1" t="s">
        <v>2480</v>
      </c>
      <c r="E22" s="6">
        <v>27419</v>
      </c>
      <c r="F22" s="1" t="str">
        <f>VLOOKUP(D22,Table17[[Name]:[Native]],3,FALSE)</f>
        <v>威信县</v>
      </c>
      <c r="G22" s="14" t="str">
        <f ca="1">VLOOKUP(F22,Table17[[Native]:[Population4]],5,FALSE)</f>
        <v>昭通市</v>
      </c>
    </row>
    <row r="23" spans="1:7" ht="15.75" thickBot="1" x14ac:dyDescent="0.3">
      <c r="A23" t="s">
        <v>2506</v>
      </c>
      <c r="B23" s="1" t="s">
        <v>2507</v>
      </c>
      <c r="C23" s="1" t="s">
        <v>11</v>
      </c>
      <c r="D23" s="1" t="s">
        <v>2496</v>
      </c>
      <c r="E23" s="6">
        <v>15610</v>
      </c>
      <c r="F23" s="1" t="str">
        <f>VLOOKUP(D23,Table17[[Name]:[Native]],3,FALSE)</f>
        <v>永善县</v>
      </c>
      <c r="G23" s="14" t="str">
        <f ca="1">VLOOKUP(F23,Table17[[Native]:[Population4]],5,FALSE)</f>
        <v>昭通市</v>
      </c>
    </row>
    <row r="24" spans="1:7" ht="15.75" thickBot="1" x14ac:dyDescent="0.3">
      <c r="A24" t="s">
        <v>2508</v>
      </c>
      <c r="B24" s="1" t="s">
        <v>2509</v>
      </c>
      <c r="C24" s="1" t="s">
        <v>7</v>
      </c>
      <c r="D24" s="1" t="s">
        <v>2483</v>
      </c>
      <c r="E24" s="6">
        <v>35327</v>
      </c>
      <c r="F24" s="1" t="str">
        <f>VLOOKUP(D24,Table17[[Name]:[Native]],3,FALSE)</f>
        <v>镇雄县</v>
      </c>
      <c r="G24" s="14" t="str">
        <f ca="1">VLOOKUP(F24,Table17[[Native]:[Population4]],5,FALSE)</f>
        <v>昭通市</v>
      </c>
    </row>
    <row r="25" spans="1:7" ht="15.75" thickBot="1" x14ac:dyDescent="0.3">
      <c r="A25" t="s">
        <v>2510</v>
      </c>
      <c r="B25" s="1" t="s">
        <v>2511</v>
      </c>
      <c r="C25" s="1" t="s">
        <v>11</v>
      </c>
      <c r="D25" s="1" t="s">
        <v>1050</v>
      </c>
      <c r="E25" s="6">
        <v>25327</v>
      </c>
      <c r="F25" s="1" t="str">
        <f>VLOOKUP(D25,Table17[[Name]:[Native]],3,FALSE)</f>
        <v>宜良县</v>
      </c>
      <c r="G25" s="14" t="str">
        <f ca="1">VLOOKUP(F25,Table17[[Native]:[Population4]],5,FALSE)</f>
        <v>昆明市</v>
      </c>
    </row>
    <row r="26" spans="1:7" ht="15.75" thickBot="1" x14ac:dyDescent="0.3">
      <c r="A26" t="s">
        <v>2512</v>
      </c>
      <c r="B26" s="1" t="s">
        <v>2513</v>
      </c>
      <c r="C26" s="1" t="s">
        <v>11</v>
      </c>
      <c r="D26" s="1" t="s">
        <v>2483</v>
      </c>
      <c r="E26" s="6">
        <v>26139</v>
      </c>
      <c r="F26" s="1" t="str">
        <f>VLOOKUP(D26,Table17[[Name]:[Native]],3,FALSE)</f>
        <v>镇雄县</v>
      </c>
      <c r="G26" s="14" t="str">
        <f ca="1">VLOOKUP(F26,Table17[[Native]:[Population4]],5,FALSE)</f>
        <v>昭通市</v>
      </c>
    </row>
    <row r="27" spans="1:7" ht="15.75" thickBot="1" x14ac:dyDescent="0.3">
      <c r="A27" t="s">
        <v>2514</v>
      </c>
      <c r="B27" s="1" t="s">
        <v>2515</v>
      </c>
      <c r="C27" s="1" t="s">
        <v>7</v>
      </c>
      <c r="D27" s="1" t="s">
        <v>2467</v>
      </c>
      <c r="E27" s="6">
        <v>18568</v>
      </c>
      <c r="F27" s="1" t="str">
        <f>VLOOKUP(D27,Table17[[Name]:[Native]],3,FALSE)</f>
        <v>巧家县</v>
      </c>
      <c r="G27" s="14" t="str">
        <f ca="1">VLOOKUP(F27,Table17[[Native]:[Population4]],5,FALSE)</f>
        <v>昭通市</v>
      </c>
    </row>
    <row r="28" spans="1:7" ht="15.75" thickBot="1" x14ac:dyDescent="0.3">
      <c r="A28" t="s">
        <v>2516</v>
      </c>
      <c r="B28" s="1" t="s">
        <v>2517</v>
      </c>
      <c r="C28" s="1" t="s">
        <v>7</v>
      </c>
      <c r="D28" s="1" t="s">
        <v>2483</v>
      </c>
      <c r="E28" s="6">
        <v>21565</v>
      </c>
      <c r="F28" s="1" t="str">
        <f>VLOOKUP(D28,Table17[[Name]:[Native]],3,FALSE)</f>
        <v>镇雄县</v>
      </c>
      <c r="G28" s="14" t="str">
        <f ca="1">VLOOKUP(F28,Table17[[Native]:[Population4]],5,FALSE)</f>
        <v>昭通市</v>
      </c>
    </row>
    <row r="29" spans="1:7" ht="15.75" thickBot="1" x14ac:dyDescent="0.3">
      <c r="A29" t="s">
        <v>2518</v>
      </c>
      <c r="B29" s="1" t="s">
        <v>2519</v>
      </c>
      <c r="C29" s="1" t="s">
        <v>11</v>
      </c>
      <c r="D29" s="1" t="s">
        <v>2496</v>
      </c>
      <c r="E29" s="6">
        <v>50032</v>
      </c>
      <c r="F29" s="1" t="str">
        <f>VLOOKUP(D29,Table17[[Name]:[Native]],3,FALSE)</f>
        <v>永善县</v>
      </c>
      <c r="G29" s="14" t="str">
        <f ca="1">VLOOKUP(F29,Table17[[Native]:[Population4]],5,FALSE)</f>
        <v>昭通市</v>
      </c>
    </row>
    <row r="30" spans="1:7" ht="15.75" thickBot="1" x14ac:dyDescent="0.3">
      <c r="A30" t="s">
        <v>2520</v>
      </c>
      <c r="B30" s="1" t="s">
        <v>2521</v>
      </c>
      <c r="C30" s="1" t="s">
        <v>7</v>
      </c>
      <c r="D30" s="1" t="s">
        <v>2483</v>
      </c>
      <c r="E30" s="6">
        <v>26285</v>
      </c>
      <c r="F30" s="1" t="str">
        <f>VLOOKUP(D30,Table17[[Name]:[Native]],3,FALSE)</f>
        <v>镇雄县</v>
      </c>
      <c r="G30" s="14" t="str">
        <f ca="1">VLOOKUP(F30,Table17[[Native]:[Population4]],5,FALSE)</f>
        <v>昭通市</v>
      </c>
    </row>
    <row r="31" spans="1:7" ht="15.75" thickBot="1" x14ac:dyDescent="0.3">
      <c r="A31" t="s">
        <v>2522</v>
      </c>
      <c r="B31" s="1" t="s">
        <v>2523</v>
      </c>
      <c r="C31" s="1" t="s">
        <v>11</v>
      </c>
      <c r="D31" s="1" t="s">
        <v>2470</v>
      </c>
      <c r="E31" s="6">
        <v>22033</v>
      </c>
      <c r="F31" s="1" t="str">
        <f>VLOOKUP(D31,Table17[[Name]:[Native]],3,FALSE)</f>
        <v>绥江县</v>
      </c>
      <c r="G31" s="14" t="str">
        <f ca="1">VLOOKUP(F31,Table17[[Native]:[Population4]],5,FALSE)</f>
        <v>昭通市</v>
      </c>
    </row>
    <row r="32" spans="1:7" ht="15.75" thickBot="1" x14ac:dyDescent="0.3">
      <c r="A32" t="s">
        <v>2524</v>
      </c>
      <c r="B32" s="1" t="s">
        <v>2525</v>
      </c>
      <c r="C32" s="1" t="s">
        <v>11</v>
      </c>
      <c r="D32" s="1" t="s">
        <v>2490</v>
      </c>
      <c r="E32" s="6">
        <v>19702</v>
      </c>
      <c r="F32" s="1" t="str">
        <f>VLOOKUP(D32,Table17[[Name]:[Native]],3,FALSE)</f>
        <v>鲁甸县</v>
      </c>
      <c r="G32" s="14" t="str">
        <f ca="1">VLOOKUP(F32,Table17[[Native]:[Population4]],5,FALSE)</f>
        <v>昭通市</v>
      </c>
    </row>
    <row r="33" spans="1:7" ht="15.75" thickBot="1" x14ac:dyDescent="0.3">
      <c r="A33" t="s">
        <v>2526</v>
      </c>
      <c r="B33" s="1" t="s">
        <v>2527</v>
      </c>
      <c r="C33" s="1" t="s">
        <v>11</v>
      </c>
      <c r="D33" s="1" t="s">
        <v>2490</v>
      </c>
      <c r="E33" s="6">
        <v>26863</v>
      </c>
      <c r="F33" s="1" t="str">
        <f>VLOOKUP(D33,Table17[[Name]:[Native]],3,FALSE)</f>
        <v>鲁甸县</v>
      </c>
      <c r="G33" s="14" t="str">
        <f ca="1">VLOOKUP(F33,Table17[[Native]:[Population4]],5,FALSE)</f>
        <v>昭通市</v>
      </c>
    </row>
    <row r="34" spans="1:7" ht="15.75" thickBot="1" x14ac:dyDescent="0.3">
      <c r="A34" t="s">
        <v>2528</v>
      </c>
      <c r="B34" s="1" t="s">
        <v>2529</v>
      </c>
      <c r="C34" s="1" t="s">
        <v>7</v>
      </c>
      <c r="D34" s="1" t="s">
        <v>2483</v>
      </c>
      <c r="E34" s="6">
        <v>28451</v>
      </c>
      <c r="F34" s="1" t="str">
        <f>VLOOKUP(D34,Table17[[Name]:[Native]],3,FALSE)</f>
        <v>镇雄县</v>
      </c>
      <c r="G34" s="14" t="str">
        <f ca="1">VLOOKUP(F34,Table17[[Native]:[Population4]],5,FALSE)</f>
        <v>昭通市</v>
      </c>
    </row>
    <row r="35" spans="1:7" ht="15.75" thickBot="1" x14ac:dyDescent="0.3">
      <c r="A35" t="s">
        <v>2530</v>
      </c>
      <c r="B35" s="1" t="s">
        <v>2531</v>
      </c>
      <c r="C35" s="1" t="s">
        <v>11</v>
      </c>
      <c r="D35" s="1" t="s">
        <v>1050</v>
      </c>
      <c r="E35" s="6">
        <v>101357</v>
      </c>
      <c r="F35" s="1" t="str">
        <f>VLOOKUP(D35,Table17[[Name]:[Native]],3,FALSE)</f>
        <v>宜良县</v>
      </c>
      <c r="G35" s="14" t="str">
        <f ca="1">VLOOKUP(F35,Table17[[Native]:[Population4]],5,FALSE)</f>
        <v>昆明市</v>
      </c>
    </row>
    <row r="36" spans="1:7" ht="15.75" thickBot="1" x14ac:dyDescent="0.3">
      <c r="A36" t="s">
        <v>2532</v>
      </c>
      <c r="B36" s="1" t="s">
        <v>2533</v>
      </c>
      <c r="C36" s="1" t="s">
        <v>11</v>
      </c>
      <c r="D36" s="1" t="s">
        <v>2491</v>
      </c>
      <c r="E36" s="6">
        <v>17797</v>
      </c>
      <c r="F36" s="1" t="str">
        <f>VLOOKUP(D36,Table17[[Name]:[Native]],3,FALSE)</f>
        <v>大关县</v>
      </c>
      <c r="G36" s="14" t="str">
        <f ca="1">VLOOKUP(F36,Table17[[Native]:[Population4]],5,FALSE)</f>
        <v>昭通市</v>
      </c>
    </row>
    <row r="37" spans="1:7" ht="15.75" thickBot="1" x14ac:dyDescent="0.3">
      <c r="A37" t="s">
        <v>2534</v>
      </c>
      <c r="B37" s="1" t="s">
        <v>2535</v>
      </c>
      <c r="C37" s="1" t="s">
        <v>11</v>
      </c>
      <c r="D37" s="1" t="s">
        <v>2475</v>
      </c>
      <c r="E37" s="6">
        <v>37533</v>
      </c>
      <c r="F37" s="1" t="str">
        <f>VLOOKUP(D37,Table17[[Name]:[Native]],3,FALSE)</f>
        <v>昭阳区</v>
      </c>
      <c r="G37" s="14" t="str">
        <f ca="1">VLOOKUP(F37,Table17[[Native]:[Population4]],5,FALSE)</f>
        <v>昭通市</v>
      </c>
    </row>
    <row r="38" spans="1:7" ht="15.75" thickBot="1" x14ac:dyDescent="0.3">
      <c r="A38" t="s">
        <v>2536</v>
      </c>
      <c r="B38" s="1" t="s">
        <v>2537</v>
      </c>
      <c r="C38" s="1" t="s">
        <v>11</v>
      </c>
      <c r="D38" s="1" t="s">
        <v>2467</v>
      </c>
      <c r="E38" s="6">
        <v>15065</v>
      </c>
      <c r="F38" s="1" t="str">
        <f>VLOOKUP(D38,Table17[[Name]:[Native]],3,FALSE)</f>
        <v>巧家县</v>
      </c>
      <c r="G38" s="14" t="str">
        <f ca="1">VLOOKUP(F38,Table17[[Native]:[Population4]],5,FALSE)</f>
        <v>昭通市</v>
      </c>
    </row>
    <row r="39" spans="1:7" ht="15.75" thickBot="1" x14ac:dyDescent="0.3">
      <c r="A39" t="s">
        <v>630</v>
      </c>
      <c r="B39" s="1" t="s">
        <v>631</v>
      </c>
      <c r="C39" s="1" t="s">
        <v>11</v>
      </c>
      <c r="D39" s="1" t="s">
        <v>2480</v>
      </c>
      <c r="E39" s="6">
        <v>27314</v>
      </c>
      <c r="F39" s="1" t="str">
        <f>VLOOKUP(D39,Table17[[Name]:[Native]],3,FALSE)</f>
        <v>威信县</v>
      </c>
      <c r="G39" s="14" t="str">
        <f ca="1">VLOOKUP(F39,Table17[[Native]:[Population4]],5,FALSE)</f>
        <v>昭通市</v>
      </c>
    </row>
    <row r="40" spans="1:7" ht="15.75" thickBot="1" x14ac:dyDescent="0.3">
      <c r="A40" t="s">
        <v>2538</v>
      </c>
      <c r="B40" s="1" t="s">
        <v>2539</v>
      </c>
      <c r="C40" s="1" t="s">
        <v>11</v>
      </c>
      <c r="D40" s="1" t="s">
        <v>2475</v>
      </c>
      <c r="E40" s="6">
        <v>57764</v>
      </c>
      <c r="F40" s="1" t="str">
        <f>VLOOKUP(D40,Table17[[Name]:[Native]],3,FALSE)</f>
        <v>昭阳区</v>
      </c>
      <c r="G40" s="14" t="str">
        <f ca="1">VLOOKUP(F40,Table17[[Native]:[Population4]],5,FALSE)</f>
        <v>昭通市</v>
      </c>
    </row>
    <row r="41" spans="1:7" ht="15.75" thickBot="1" x14ac:dyDescent="0.3">
      <c r="A41" t="s">
        <v>2540</v>
      </c>
      <c r="B41" s="1" t="s">
        <v>2541</v>
      </c>
      <c r="C41" s="1" t="s">
        <v>7</v>
      </c>
      <c r="D41" s="1" t="s">
        <v>1050</v>
      </c>
      <c r="E41" s="6">
        <v>45399</v>
      </c>
      <c r="F41" s="1" t="str">
        <f>VLOOKUP(D41,Table17[[Name]:[Native]],3,FALSE)</f>
        <v>宜良县</v>
      </c>
      <c r="G41" s="14" t="str">
        <f ca="1">VLOOKUP(F41,Table17[[Native]:[Population4]],5,FALSE)</f>
        <v>昆明市</v>
      </c>
    </row>
    <row r="42" spans="1:7" ht="15.75" thickBot="1" x14ac:dyDescent="0.3">
      <c r="A42" t="s">
        <v>2542</v>
      </c>
      <c r="B42" s="1" t="s">
        <v>2543</v>
      </c>
      <c r="C42" s="1" t="s">
        <v>11</v>
      </c>
      <c r="D42" s="1" t="s">
        <v>2467</v>
      </c>
      <c r="E42" s="6">
        <v>53576</v>
      </c>
      <c r="F42" s="1" t="str">
        <f>VLOOKUP(D42,Table17[[Name]:[Native]],3,FALSE)</f>
        <v>巧家县</v>
      </c>
      <c r="G42" s="14" t="str">
        <f ca="1">VLOOKUP(F42,Table17[[Native]:[Population4]],5,FALSE)</f>
        <v>昭通市</v>
      </c>
    </row>
    <row r="43" spans="1:7" ht="15.75" thickBot="1" x14ac:dyDescent="0.3">
      <c r="A43" t="s">
        <v>2544</v>
      </c>
      <c r="B43" s="1" t="s">
        <v>2545</v>
      </c>
      <c r="C43" s="1" t="s">
        <v>11</v>
      </c>
      <c r="D43" s="1" t="s">
        <v>2490</v>
      </c>
      <c r="E43" s="6">
        <v>32115</v>
      </c>
      <c r="F43" s="1" t="str">
        <f>VLOOKUP(D43,Table17[[Name]:[Native]],3,FALSE)</f>
        <v>鲁甸县</v>
      </c>
      <c r="G43" s="14" t="str">
        <f ca="1">VLOOKUP(F43,Table17[[Native]:[Population4]],5,FALSE)</f>
        <v>昭通市</v>
      </c>
    </row>
    <row r="44" spans="1:7" ht="15.75" thickBot="1" x14ac:dyDescent="0.3">
      <c r="A44" t="s">
        <v>2546</v>
      </c>
      <c r="B44" s="1" t="s">
        <v>2547</v>
      </c>
      <c r="C44" s="1" t="s">
        <v>11</v>
      </c>
      <c r="D44" s="1" t="s">
        <v>2475</v>
      </c>
      <c r="E44" s="6">
        <v>25232</v>
      </c>
      <c r="F44" s="1" t="str">
        <f>VLOOKUP(D44,Table17[[Name]:[Native]],3,FALSE)</f>
        <v>昭阳区</v>
      </c>
      <c r="G44" s="14" t="str">
        <f ca="1">VLOOKUP(F44,Table17[[Native]:[Population4]],5,FALSE)</f>
        <v>昭通市</v>
      </c>
    </row>
    <row r="45" spans="1:7" ht="15.75" thickBot="1" x14ac:dyDescent="0.3">
      <c r="A45" t="s">
        <v>2548</v>
      </c>
      <c r="B45" s="1" t="s">
        <v>2549</v>
      </c>
      <c r="C45" s="1" t="s">
        <v>11</v>
      </c>
      <c r="D45" s="1" t="s">
        <v>2496</v>
      </c>
      <c r="E45" s="6">
        <v>30833</v>
      </c>
      <c r="F45" s="1" t="str">
        <f>VLOOKUP(D45,Table17[[Name]:[Native]],3,FALSE)</f>
        <v>永善县</v>
      </c>
      <c r="G45" s="14" t="str">
        <f ca="1">VLOOKUP(F45,Table17[[Native]:[Population4]],5,FALSE)</f>
        <v>昭通市</v>
      </c>
    </row>
    <row r="46" spans="1:7" ht="15.75" thickBot="1" x14ac:dyDescent="0.3">
      <c r="A46" t="s">
        <v>2550</v>
      </c>
      <c r="B46" s="1" t="s">
        <v>2551</v>
      </c>
      <c r="C46" s="1" t="s">
        <v>11</v>
      </c>
      <c r="D46" s="1" t="s">
        <v>1050</v>
      </c>
      <c r="E46" s="6">
        <v>21334</v>
      </c>
      <c r="F46" s="1" t="str">
        <f>VLOOKUP(D46,Table17[[Name]:[Native]],3,FALSE)</f>
        <v>宜良县</v>
      </c>
      <c r="G46" s="14" t="str">
        <f ca="1">VLOOKUP(F46,Table17[[Native]:[Population4]],5,FALSE)</f>
        <v>昆明市</v>
      </c>
    </row>
    <row r="47" spans="1:7" ht="15.75" thickBot="1" x14ac:dyDescent="0.3">
      <c r="A47" t="s">
        <v>2552</v>
      </c>
      <c r="B47" s="1" t="s">
        <v>2553</v>
      </c>
      <c r="C47" s="1" t="s">
        <v>11</v>
      </c>
      <c r="D47" s="1" t="s">
        <v>2554</v>
      </c>
      <c r="E47" s="6">
        <v>15239</v>
      </c>
      <c r="F47" s="1" t="str">
        <f>VLOOKUP(D47,Table17[[Name]:[Native]],3,FALSE)</f>
        <v>水富市</v>
      </c>
      <c r="G47" s="14" t="str">
        <f ca="1">VLOOKUP(F47,Table17[[Native]:[Population4]],5,FALSE)</f>
        <v>昭通市</v>
      </c>
    </row>
    <row r="48" spans="1:7" ht="15.75" thickBot="1" x14ac:dyDescent="0.3">
      <c r="A48" t="s">
        <v>2555</v>
      </c>
      <c r="B48" s="1" t="s">
        <v>2556</v>
      </c>
      <c r="C48" s="1" t="s">
        <v>11</v>
      </c>
      <c r="D48" s="1" t="s">
        <v>2480</v>
      </c>
      <c r="E48" s="6">
        <v>39763</v>
      </c>
      <c r="F48" s="1" t="str">
        <f>VLOOKUP(D48,Table17[[Name]:[Native]],3,FALSE)</f>
        <v>威信县</v>
      </c>
      <c r="G48" s="14" t="str">
        <f ca="1">VLOOKUP(F48,Table17[[Native]:[Population4]],5,FALSE)</f>
        <v>昭通市</v>
      </c>
    </row>
    <row r="49" spans="1:7" ht="15.75" thickBot="1" x14ac:dyDescent="0.3">
      <c r="A49" t="s">
        <v>2557</v>
      </c>
      <c r="B49" s="1" t="s">
        <v>2558</v>
      </c>
      <c r="C49" s="1" t="s">
        <v>7</v>
      </c>
      <c r="D49" s="1" t="s">
        <v>2483</v>
      </c>
      <c r="E49" s="6">
        <v>39051</v>
      </c>
      <c r="F49" s="1" t="str">
        <f>VLOOKUP(D49,Table17[[Name]:[Native]],3,FALSE)</f>
        <v>镇雄县</v>
      </c>
      <c r="G49" s="14" t="str">
        <f ca="1">VLOOKUP(F49,Table17[[Native]:[Population4]],5,FALSE)</f>
        <v>昭通市</v>
      </c>
    </row>
    <row r="50" spans="1:7" ht="15.75" thickBot="1" x14ac:dyDescent="0.3">
      <c r="A50" t="s">
        <v>2559</v>
      </c>
      <c r="B50" s="1" t="s">
        <v>2560</v>
      </c>
      <c r="C50" s="1" t="s">
        <v>7</v>
      </c>
      <c r="D50" s="1" t="s">
        <v>1050</v>
      </c>
      <c r="E50" s="6">
        <v>19957</v>
      </c>
      <c r="F50" s="1" t="str">
        <f>VLOOKUP(D50,Table17[[Name]:[Native]],3,FALSE)</f>
        <v>宜良县</v>
      </c>
      <c r="G50" s="14" t="str">
        <f ca="1">VLOOKUP(F50,Table17[[Native]:[Population4]],5,FALSE)</f>
        <v>昆明市</v>
      </c>
    </row>
    <row r="51" spans="1:7" ht="15.75" thickBot="1" x14ac:dyDescent="0.3">
      <c r="A51" t="s">
        <v>2561</v>
      </c>
      <c r="B51" s="1" t="s">
        <v>2562</v>
      </c>
      <c r="C51" s="1" t="s">
        <v>11</v>
      </c>
      <c r="D51" s="1" t="s">
        <v>1050</v>
      </c>
      <c r="E51" s="6">
        <v>21206</v>
      </c>
      <c r="F51" s="1" t="str">
        <f>VLOOKUP(D51,Table17[[Name]:[Native]],3,FALSE)</f>
        <v>宜良县</v>
      </c>
      <c r="G51" s="14" t="str">
        <f ca="1">VLOOKUP(F51,Table17[[Native]:[Population4]],5,FALSE)</f>
        <v>昆明市</v>
      </c>
    </row>
    <row r="52" spans="1:7" ht="15.75" thickBot="1" x14ac:dyDescent="0.3">
      <c r="A52" t="s">
        <v>2563</v>
      </c>
      <c r="B52" s="1" t="s">
        <v>2564</v>
      </c>
      <c r="C52" s="1" t="s">
        <v>11</v>
      </c>
      <c r="D52" s="1" t="s">
        <v>1050</v>
      </c>
      <c r="E52" s="6">
        <v>20891</v>
      </c>
      <c r="F52" s="1" t="str">
        <f>VLOOKUP(D52,Table17[[Name]:[Native]],3,FALSE)</f>
        <v>宜良县</v>
      </c>
      <c r="G52" s="14" t="str">
        <f ca="1">VLOOKUP(F52,Table17[[Native]:[Population4]],5,FALSE)</f>
        <v>昆明市</v>
      </c>
    </row>
    <row r="53" spans="1:7" ht="15.75" thickBot="1" x14ac:dyDescent="0.3">
      <c r="A53" t="s">
        <v>2565</v>
      </c>
      <c r="B53" s="1" t="s">
        <v>2566</v>
      </c>
      <c r="C53" s="1" t="s">
        <v>7</v>
      </c>
      <c r="D53" s="1" t="s">
        <v>1050</v>
      </c>
      <c r="E53" s="6">
        <v>42799</v>
      </c>
      <c r="F53" s="1" t="str">
        <f>VLOOKUP(D53,Table17[[Name]:[Native]],3,FALSE)</f>
        <v>宜良县</v>
      </c>
      <c r="G53" s="14" t="str">
        <f ca="1">VLOOKUP(F53,Table17[[Native]:[Population4]],5,FALSE)</f>
        <v>昆明市</v>
      </c>
    </row>
    <row r="54" spans="1:7" ht="15.75" thickBot="1" x14ac:dyDescent="0.3">
      <c r="A54" t="s">
        <v>1170</v>
      </c>
      <c r="B54" s="1" t="s">
        <v>1171</v>
      </c>
      <c r="C54" s="1" t="s">
        <v>42</v>
      </c>
      <c r="D54" s="1" t="s">
        <v>2475</v>
      </c>
      <c r="E54" s="6">
        <v>84286</v>
      </c>
      <c r="F54" s="1" t="str">
        <f>VLOOKUP(D54,Table17[[Name]:[Native]],3,FALSE)</f>
        <v>昭阳区</v>
      </c>
      <c r="G54" s="14" t="str">
        <f ca="1">VLOOKUP(F54,Table17[[Native]:[Population4]],5,FALSE)</f>
        <v>昭通市</v>
      </c>
    </row>
    <row r="55" spans="1:7" ht="15.75" thickBot="1" x14ac:dyDescent="0.3">
      <c r="A55" t="s">
        <v>2567</v>
      </c>
      <c r="B55" s="1" t="s">
        <v>2568</v>
      </c>
      <c r="C55" s="1" t="s">
        <v>11</v>
      </c>
      <c r="D55" s="1" t="s">
        <v>2490</v>
      </c>
      <c r="E55" s="6">
        <v>31320</v>
      </c>
      <c r="F55" s="1" t="str">
        <f>VLOOKUP(D55,Table17[[Name]:[Native]],3,FALSE)</f>
        <v>鲁甸县</v>
      </c>
      <c r="G55" s="14" t="str">
        <f ca="1">VLOOKUP(F55,Table17[[Native]:[Population4]],5,FALSE)</f>
        <v>昭通市</v>
      </c>
    </row>
    <row r="56" spans="1:7" ht="15.75" thickBot="1" x14ac:dyDescent="0.3">
      <c r="A56" t="s">
        <v>2569</v>
      </c>
      <c r="B56" s="1" t="s">
        <v>2570</v>
      </c>
      <c r="C56" s="1" t="s">
        <v>11</v>
      </c>
      <c r="D56" s="1" t="s">
        <v>2490</v>
      </c>
      <c r="E56" s="6">
        <v>48150</v>
      </c>
      <c r="F56" s="1" t="str">
        <f>VLOOKUP(D56,Table17[[Name]:[Native]],3,FALSE)</f>
        <v>鲁甸县</v>
      </c>
      <c r="G56" s="14" t="str">
        <f ca="1">VLOOKUP(F56,Table17[[Native]:[Population4]],5,FALSE)</f>
        <v>昭通市</v>
      </c>
    </row>
    <row r="57" spans="1:7" ht="15.75" thickBot="1" x14ac:dyDescent="0.3">
      <c r="A57" t="s">
        <v>2571</v>
      </c>
      <c r="B57" s="1" t="s">
        <v>2572</v>
      </c>
      <c r="C57" s="1" t="s">
        <v>7</v>
      </c>
      <c r="D57" s="1" t="s">
        <v>2467</v>
      </c>
      <c r="E57" s="6">
        <v>19353</v>
      </c>
      <c r="F57" s="1" t="str">
        <f>VLOOKUP(D57,Table17[[Name]:[Native]],3,FALSE)</f>
        <v>巧家县</v>
      </c>
      <c r="G57" s="14" t="str">
        <f ca="1">VLOOKUP(F57,Table17[[Native]:[Population4]],5,FALSE)</f>
        <v>昭通市</v>
      </c>
    </row>
    <row r="58" spans="1:7" ht="15.75" thickBot="1" x14ac:dyDescent="0.3">
      <c r="A58" t="s">
        <v>2573</v>
      </c>
      <c r="B58" s="1" t="s">
        <v>2574</v>
      </c>
      <c r="C58" s="1" t="s">
        <v>11</v>
      </c>
      <c r="D58" s="1" t="s">
        <v>2480</v>
      </c>
      <c r="E58" s="6">
        <v>48666</v>
      </c>
      <c r="F58" s="1" t="str">
        <f>VLOOKUP(D58,Table17[[Name]:[Native]],3,FALSE)</f>
        <v>威信县</v>
      </c>
      <c r="G58" s="14" t="str">
        <f ca="1">VLOOKUP(F58,Table17[[Native]:[Population4]],5,FALSE)</f>
        <v>昭通市</v>
      </c>
    </row>
    <row r="59" spans="1:7" ht="15.75" thickBot="1" x14ac:dyDescent="0.3">
      <c r="A59" t="s">
        <v>2575</v>
      </c>
      <c r="B59" s="1" t="s">
        <v>2576</v>
      </c>
      <c r="C59" s="1" t="s">
        <v>11</v>
      </c>
      <c r="D59" s="1" t="s">
        <v>2483</v>
      </c>
      <c r="E59" s="6">
        <v>70418</v>
      </c>
      <c r="F59" s="1" t="str">
        <f>VLOOKUP(D59,Table17[[Name]:[Native]],3,FALSE)</f>
        <v>镇雄县</v>
      </c>
      <c r="G59" s="14" t="str">
        <f ca="1">VLOOKUP(F59,Table17[[Native]:[Population4]],5,FALSE)</f>
        <v>昭通市</v>
      </c>
    </row>
    <row r="60" spans="1:7" ht="15.75" thickBot="1" x14ac:dyDescent="0.3">
      <c r="A60" t="s">
        <v>2577</v>
      </c>
      <c r="B60" s="1" t="s">
        <v>2578</v>
      </c>
      <c r="C60" s="1" t="s">
        <v>7</v>
      </c>
      <c r="D60" s="1" t="s">
        <v>1050</v>
      </c>
      <c r="E60" s="6">
        <v>26362</v>
      </c>
      <c r="F60" s="1" t="str">
        <f>VLOOKUP(D60,Table17[[Name]:[Native]],3,FALSE)</f>
        <v>宜良县</v>
      </c>
      <c r="G60" s="14" t="str">
        <f ca="1">VLOOKUP(F60,Table17[[Native]:[Population4]],5,FALSE)</f>
        <v>昆明市</v>
      </c>
    </row>
    <row r="61" spans="1:7" ht="15.75" thickBot="1" x14ac:dyDescent="0.3">
      <c r="A61" t="s">
        <v>2579</v>
      </c>
      <c r="B61" s="1" t="s">
        <v>2580</v>
      </c>
      <c r="C61" s="1" t="s">
        <v>7</v>
      </c>
      <c r="D61" s="1" t="s">
        <v>2503</v>
      </c>
      <c r="E61" s="6">
        <v>24830</v>
      </c>
      <c r="F61" s="1" t="str">
        <f>VLOOKUP(D61,Table17[[Name]:[Native]],3,FALSE)</f>
        <v>盐津县</v>
      </c>
      <c r="G61" s="14" t="str">
        <f ca="1">VLOOKUP(F61,Table17[[Native]:[Population4]],5,FALSE)</f>
        <v>昭通市</v>
      </c>
    </row>
    <row r="62" spans="1:7" ht="15.75" thickBot="1" x14ac:dyDescent="0.3">
      <c r="A62" t="s">
        <v>2581</v>
      </c>
      <c r="B62" s="1" t="s">
        <v>2582</v>
      </c>
      <c r="C62" s="1" t="s">
        <v>11</v>
      </c>
      <c r="D62" s="1" t="s">
        <v>1050</v>
      </c>
      <c r="E62" s="6">
        <v>60200</v>
      </c>
      <c r="F62" s="1" t="str">
        <f>VLOOKUP(D62,Table17[[Name]:[Native]],3,FALSE)</f>
        <v>宜良县</v>
      </c>
      <c r="G62" s="14" t="str">
        <f ca="1">VLOOKUP(F62,Table17[[Native]:[Population4]],5,FALSE)</f>
        <v>昆明市</v>
      </c>
    </row>
    <row r="63" spans="1:7" ht="15.75" thickBot="1" x14ac:dyDescent="0.3">
      <c r="A63" t="s">
        <v>2583</v>
      </c>
      <c r="B63" s="1" t="s">
        <v>2584</v>
      </c>
      <c r="C63" s="1" t="s">
        <v>11</v>
      </c>
      <c r="D63" s="1" t="s">
        <v>2496</v>
      </c>
      <c r="E63" s="6">
        <v>24124</v>
      </c>
      <c r="F63" s="1" t="str">
        <f>VLOOKUP(D63,Table17[[Name]:[Native]],3,FALSE)</f>
        <v>永善县</v>
      </c>
      <c r="G63" s="14" t="str">
        <f ca="1">VLOOKUP(F63,Table17[[Native]:[Population4]],5,FALSE)</f>
        <v>昭通市</v>
      </c>
    </row>
    <row r="64" spans="1:7" ht="15.75" thickBot="1" x14ac:dyDescent="0.3">
      <c r="A64" t="s">
        <v>2585</v>
      </c>
      <c r="B64" s="1" t="s">
        <v>2586</v>
      </c>
      <c r="C64" s="1" t="s">
        <v>7</v>
      </c>
      <c r="D64" s="1" t="s">
        <v>2496</v>
      </c>
      <c r="E64" s="6">
        <v>11973</v>
      </c>
      <c r="F64" s="1" t="str">
        <f>VLOOKUP(D64,Table17[[Name]:[Native]],3,FALSE)</f>
        <v>永善县</v>
      </c>
      <c r="G64" s="14" t="str">
        <f ca="1">VLOOKUP(F64,Table17[[Native]:[Population4]],5,FALSE)</f>
        <v>昭通市</v>
      </c>
    </row>
    <row r="65" spans="1:7" ht="15.75" thickBot="1" x14ac:dyDescent="0.3">
      <c r="A65" t="s">
        <v>2587</v>
      </c>
      <c r="B65" s="1" t="s">
        <v>2588</v>
      </c>
      <c r="C65" s="1" t="s">
        <v>11</v>
      </c>
      <c r="D65" s="1" t="s">
        <v>2483</v>
      </c>
      <c r="E65" s="6">
        <v>43102</v>
      </c>
      <c r="F65" s="1" t="str">
        <f>VLOOKUP(D65,Table17[[Name]:[Native]],3,FALSE)</f>
        <v>镇雄县</v>
      </c>
      <c r="G65" s="14" t="str">
        <f ca="1">VLOOKUP(F65,Table17[[Native]:[Population4]],5,FALSE)</f>
        <v>昭通市</v>
      </c>
    </row>
    <row r="66" spans="1:7" ht="15.75" thickBot="1" x14ac:dyDescent="0.3">
      <c r="A66" t="s">
        <v>2589</v>
      </c>
      <c r="B66" s="1" t="s">
        <v>2590</v>
      </c>
      <c r="C66" s="1" t="s">
        <v>11</v>
      </c>
      <c r="D66" s="1" t="s">
        <v>2496</v>
      </c>
      <c r="E66" s="6">
        <v>21018</v>
      </c>
      <c r="F66" s="1" t="str">
        <f>VLOOKUP(D66,Table17[[Name]:[Native]],3,FALSE)</f>
        <v>永善县</v>
      </c>
      <c r="G66" s="14" t="str">
        <f ca="1">VLOOKUP(F66,Table17[[Native]:[Population4]],5,FALSE)</f>
        <v>昭通市</v>
      </c>
    </row>
    <row r="67" spans="1:7" ht="15.75" thickBot="1" x14ac:dyDescent="0.3">
      <c r="A67" t="s">
        <v>2591</v>
      </c>
      <c r="B67" s="1" t="s">
        <v>2592</v>
      </c>
      <c r="C67" s="1" t="s">
        <v>11</v>
      </c>
      <c r="D67" s="1" t="s">
        <v>2467</v>
      </c>
      <c r="E67" s="6">
        <v>18029</v>
      </c>
      <c r="F67" s="1" t="str">
        <f>VLOOKUP(D67,Table17[[Name]:[Native]],3,FALSE)</f>
        <v>巧家县</v>
      </c>
      <c r="G67" s="14" t="str">
        <f ca="1">VLOOKUP(F67,Table17[[Native]:[Population4]],5,FALSE)</f>
        <v>昭通市</v>
      </c>
    </row>
    <row r="68" spans="1:7" ht="15.75" thickBot="1" x14ac:dyDescent="0.3">
      <c r="A68" t="s">
        <v>2593</v>
      </c>
      <c r="B68" s="1" t="s">
        <v>2594</v>
      </c>
      <c r="C68" s="1" t="s">
        <v>11</v>
      </c>
      <c r="D68" s="1" t="s">
        <v>2467</v>
      </c>
      <c r="E68" s="6">
        <v>32220</v>
      </c>
      <c r="F68" s="1" t="str">
        <f>VLOOKUP(D68,Table17[[Name]:[Native]],3,FALSE)</f>
        <v>巧家县</v>
      </c>
      <c r="G68" s="14" t="str">
        <f ca="1">VLOOKUP(F68,Table17[[Native]:[Population4]],5,FALSE)</f>
        <v>昭通市</v>
      </c>
    </row>
    <row r="69" spans="1:7" ht="15.75" thickBot="1" x14ac:dyDescent="0.3">
      <c r="A69" t="s">
        <v>2595</v>
      </c>
      <c r="B69" s="1" t="s">
        <v>2596</v>
      </c>
      <c r="C69" s="1" t="s">
        <v>11</v>
      </c>
      <c r="D69" s="1" t="s">
        <v>2467</v>
      </c>
      <c r="E69" s="6">
        <v>17412</v>
      </c>
      <c r="F69" s="1" t="str">
        <f>VLOOKUP(D69,Table17[[Name]:[Native]],3,FALSE)</f>
        <v>巧家县</v>
      </c>
      <c r="G69" s="14" t="str">
        <f ca="1">VLOOKUP(F69,Table17[[Native]:[Population4]],5,FALSE)</f>
        <v>昭通市</v>
      </c>
    </row>
    <row r="70" spans="1:7" ht="15.75" thickBot="1" x14ac:dyDescent="0.3">
      <c r="A70" t="s">
        <v>2597</v>
      </c>
      <c r="B70" s="1" t="s">
        <v>2598</v>
      </c>
      <c r="C70" s="1" t="s">
        <v>11</v>
      </c>
      <c r="D70" s="1" t="s">
        <v>2503</v>
      </c>
      <c r="E70" s="6">
        <v>46391</v>
      </c>
      <c r="F70" s="1" t="str">
        <f>VLOOKUP(D70,Table17[[Name]:[Native]],3,FALSE)</f>
        <v>盐津县</v>
      </c>
      <c r="G70" s="14" t="str">
        <f ca="1">VLOOKUP(F70,Table17[[Native]:[Population4]],5,FALSE)</f>
        <v>昭通市</v>
      </c>
    </row>
    <row r="71" spans="1:7" ht="15.75" thickBot="1" x14ac:dyDescent="0.3">
      <c r="A71" t="s">
        <v>2599</v>
      </c>
      <c r="B71" s="1" t="s">
        <v>2600</v>
      </c>
      <c r="C71" s="1" t="s">
        <v>11</v>
      </c>
      <c r="D71" s="1" t="s">
        <v>2480</v>
      </c>
      <c r="E71" s="6">
        <v>18293</v>
      </c>
      <c r="F71" s="1" t="str">
        <f>VLOOKUP(D71,Table17[[Name]:[Native]],3,FALSE)</f>
        <v>威信县</v>
      </c>
      <c r="G71" s="14" t="str">
        <f ca="1">VLOOKUP(F71,Table17[[Native]:[Population4]],5,FALSE)</f>
        <v>昭通市</v>
      </c>
    </row>
    <row r="72" spans="1:7" ht="15.75" thickBot="1" x14ac:dyDescent="0.3">
      <c r="A72" t="s">
        <v>2601</v>
      </c>
      <c r="B72" s="1" t="s">
        <v>2602</v>
      </c>
      <c r="C72" s="1" t="s">
        <v>7</v>
      </c>
      <c r="D72" s="1" t="s">
        <v>2496</v>
      </c>
      <c r="E72" s="6">
        <v>20935</v>
      </c>
      <c r="F72" s="1" t="str">
        <f>VLOOKUP(D72,Table17[[Name]:[Native]],3,FALSE)</f>
        <v>永善县</v>
      </c>
      <c r="G72" s="14" t="str">
        <f ca="1">VLOOKUP(F72,Table17[[Native]:[Population4]],5,FALSE)</f>
        <v>昭通市</v>
      </c>
    </row>
    <row r="73" spans="1:7" ht="15.75" thickBot="1" x14ac:dyDescent="0.3">
      <c r="A73" t="s">
        <v>2603</v>
      </c>
      <c r="B73" s="1" t="s">
        <v>2604</v>
      </c>
      <c r="C73" s="1" t="s">
        <v>11</v>
      </c>
      <c r="D73" s="1" t="s">
        <v>2491</v>
      </c>
      <c r="E73" s="6">
        <v>26877</v>
      </c>
      <c r="F73" s="1" t="str">
        <f>VLOOKUP(D73,Table17[[Name]:[Native]],3,FALSE)</f>
        <v>大关县</v>
      </c>
      <c r="G73" s="14" t="str">
        <f ca="1">VLOOKUP(F73,Table17[[Native]:[Population4]],5,FALSE)</f>
        <v>昭通市</v>
      </c>
    </row>
    <row r="74" spans="1:7" ht="15.75" thickBot="1" x14ac:dyDescent="0.3">
      <c r="A74" t="s">
        <v>2605</v>
      </c>
      <c r="B74" s="1" t="s">
        <v>2606</v>
      </c>
      <c r="C74" s="1" t="s">
        <v>11</v>
      </c>
      <c r="D74" s="1" t="s">
        <v>2483</v>
      </c>
      <c r="E74" s="6">
        <v>56276</v>
      </c>
      <c r="F74" s="1" t="str">
        <f>VLOOKUP(D74,Table17[[Name]:[Native]],3,FALSE)</f>
        <v>镇雄县</v>
      </c>
      <c r="G74" s="14" t="str">
        <f ca="1">VLOOKUP(F74,Table17[[Native]:[Population4]],5,FALSE)</f>
        <v>昭通市</v>
      </c>
    </row>
    <row r="75" spans="1:7" ht="15.75" thickBot="1" x14ac:dyDescent="0.3">
      <c r="A75" t="s">
        <v>2607</v>
      </c>
      <c r="B75" s="1" t="s">
        <v>2608</v>
      </c>
      <c r="C75" s="1" t="s">
        <v>11</v>
      </c>
      <c r="D75" s="1" t="s">
        <v>2483</v>
      </c>
      <c r="E75" s="6">
        <v>27775</v>
      </c>
      <c r="F75" s="1" t="str">
        <f>VLOOKUP(D75,Table17[[Name]:[Native]],3,FALSE)</f>
        <v>镇雄县</v>
      </c>
      <c r="G75" s="14" t="str">
        <f ca="1">VLOOKUP(F75,Table17[[Native]:[Population4]],5,FALSE)</f>
        <v>昭通市</v>
      </c>
    </row>
    <row r="76" spans="1:7" ht="15.75" thickBot="1" x14ac:dyDescent="0.3">
      <c r="A76" t="s">
        <v>2609</v>
      </c>
      <c r="B76" s="1" t="s">
        <v>2610</v>
      </c>
      <c r="C76" s="1" t="s">
        <v>11</v>
      </c>
      <c r="D76" s="1" t="s">
        <v>2470</v>
      </c>
      <c r="E76" s="6">
        <v>13980</v>
      </c>
      <c r="F76" s="1" t="str">
        <f>VLOOKUP(D76,Table17[[Name]:[Native]],3,FALSE)</f>
        <v>绥江县</v>
      </c>
      <c r="G76" s="14" t="str">
        <f ca="1">VLOOKUP(F76,Table17[[Native]:[Population4]],5,FALSE)</f>
        <v>昭通市</v>
      </c>
    </row>
    <row r="77" spans="1:7" ht="15.75" thickBot="1" x14ac:dyDescent="0.3">
      <c r="A77" t="s">
        <v>2611</v>
      </c>
      <c r="B77" s="1" t="s">
        <v>2612</v>
      </c>
      <c r="C77" s="1" t="s">
        <v>11</v>
      </c>
      <c r="D77" s="1" t="s">
        <v>2483</v>
      </c>
      <c r="E77" s="6">
        <v>39112</v>
      </c>
      <c r="F77" s="1" t="str">
        <f>VLOOKUP(D77,Table17[[Name]:[Native]],3,FALSE)</f>
        <v>镇雄县</v>
      </c>
      <c r="G77" s="14" t="str">
        <f ca="1">VLOOKUP(F77,Table17[[Native]:[Population4]],5,FALSE)</f>
        <v>昭通市</v>
      </c>
    </row>
    <row r="78" spans="1:7" ht="15.75" thickBot="1" x14ac:dyDescent="0.3">
      <c r="A78" t="s">
        <v>925</v>
      </c>
      <c r="B78" s="1" t="s">
        <v>926</v>
      </c>
      <c r="C78" s="1" t="s">
        <v>11</v>
      </c>
      <c r="D78" s="1" t="s">
        <v>1050</v>
      </c>
      <c r="E78" s="6">
        <v>34711</v>
      </c>
      <c r="F78" s="1" t="str">
        <f>VLOOKUP(D78,Table17[[Name]:[Native]],3,FALSE)</f>
        <v>宜良县</v>
      </c>
      <c r="G78" s="14" t="str">
        <f ca="1">VLOOKUP(F78,Table17[[Native]:[Population4]],5,FALSE)</f>
        <v>昆明市</v>
      </c>
    </row>
    <row r="79" spans="1:7" ht="15.75" thickBot="1" x14ac:dyDescent="0.3">
      <c r="A79" t="s">
        <v>2613</v>
      </c>
      <c r="B79" s="1" t="s">
        <v>2614</v>
      </c>
      <c r="C79" s="1" t="s">
        <v>7</v>
      </c>
      <c r="D79" s="1" t="s">
        <v>2503</v>
      </c>
      <c r="E79" s="6">
        <v>31678</v>
      </c>
      <c r="F79" s="1" t="str">
        <f>VLOOKUP(D79,Table17[[Name]:[Native]],3,FALSE)</f>
        <v>盐津县</v>
      </c>
      <c r="G79" s="14" t="str">
        <f ca="1">VLOOKUP(F79,Table17[[Native]:[Population4]],5,FALSE)</f>
        <v>昭通市</v>
      </c>
    </row>
    <row r="80" spans="1:7" ht="15.75" thickBot="1" x14ac:dyDescent="0.3">
      <c r="A80" t="s">
        <v>2615</v>
      </c>
      <c r="B80" s="1" t="s">
        <v>2616</v>
      </c>
      <c r="C80" s="1" t="s">
        <v>11</v>
      </c>
      <c r="D80" s="1" t="s">
        <v>2475</v>
      </c>
      <c r="E80" s="6">
        <v>19773</v>
      </c>
      <c r="F80" s="1" t="str">
        <f>VLOOKUP(D80,Table17[[Name]:[Native]],3,FALSE)</f>
        <v>昭阳区</v>
      </c>
      <c r="G80" s="14" t="str">
        <f ca="1">VLOOKUP(F80,Table17[[Native]:[Population4]],5,FALSE)</f>
        <v>昭通市</v>
      </c>
    </row>
    <row r="81" spans="1:7" ht="15.75" thickBot="1" x14ac:dyDescent="0.3">
      <c r="A81" t="s">
        <v>2617</v>
      </c>
      <c r="B81" s="1" t="s">
        <v>2618</v>
      </c>
      <c r="C81" s="1" t="s">
        <v>11</v>
      </c>
      <c r="D81" s="1" t="s">
        <v>2483</v>
      </c>
      <c r="E81" s="6">
        <v>39280</v>
      </c>
      <c r="F81" s="1" t="str">
        <f>VLOOKUP(D81,Table17[[Name]:[Native]],3,FALSE)</f>
        <v>镇雄县</v>
      </c>
      <c r="G81" s="14" t="str">
        <f ca="1">VLOOKUP(F81,Table17[[Native]:[Population4]],5,FALSE)</f>
        <v>昭通市</v>
      </c>
    </row>
    <row r="82" spans="1:7" ht="15.75" thickBot="1" x14ac:dyDescent="0.3">
      <c r="A82" t="s">
        <v>2619</v>
      </c>
      <c r="B82" s="1" t="s">
        <v>2620</v>
      </c>
      <c r="C82" s="1" t="s">
        <v>11</v>
      </c>
      <c r="D82" s="1" t="s">
        <v>2483</v>
      </c>
      <c r="E82" s="6">
        <v>114216</v>
      </c>
      <c r="F82" s="1" t="str">
        <f>VLOOKUP(D82,Table17[[Name]:[Native]],3,FALSE)</f>
        <v>镇雄县</v>
      </c>
      <c r="G82" s="14" t="str">
        <f ca="1">VLOOKUP(F82,Table17[[Native]:[Population4]],5,FALSE)</f>
        <v>昭通市</v>
      </c>
    </row>
    <row r="83" spans="1:7" ht="15.75" thickBot="1" x14ac:dyDescent="0.3">
      <c r="A83" t="s">
        <v>2621</v>
      </c>
      <c r="B83" s="1" t="s">
        <v>2622</v>
      </c>
      <c r="C83" s="1" t="s">
        <v>11</v>
      </c>
      <c r="D83" s="1" t="s">
        <v>2483</v>
      </c>
      <c r="E83" s="6">
        <v>62216</v>
      </c>
      <c r="F83" s="1" t="str">
        <f>VLOOKUP(D83,Table17[[Name]:[Native]],3,FALSE)</f>
        <v>镇雄县</v>
      </c>
      <c r="G83" s="14" t="str">
        <f ca="1">VLOOKUP(F83,Table17[[Native]:[Population4]],5,FALSE)</f>
        <v>昭通市</v>
      </c>
    </row>
    <row r="84" spans="1:7" ht="15.75" thickBot="1" x14ac:dyDescent="0.3">
      <c r="A84" t="s">
        <v>2623</v>
      </c>
      <c r="B84" s="1" t="s">
        <v>2624</v>
      </c>
      <c r="C84" s="1" t="s">
        <v>11</v>
      </c>
      <c r="D84" s="1" t="s">
        <v>2503</v>
      </c>
      <c r="E84" s="6">
        <v>61303</v>
      </c>
      <c r="F84" s="1" t="str">
        <f>VLOOKUP(D84,Table17[[Name]:[Native]],3,FALSE)</f>
        <v>盐津县</v>
      </c>
      <c r="G84" s="14" t="str">
        <f ca="1">VLOOKUP(F84,Table17[[Native]:[Population4]],5,FALSE)</f>
        <v>昭通市</v>
      </c>
    </row>
    <row r="85" spans="1:7" ht="15.75" thickBot="1" x14ac:dyDescent="0.3">
      <c r="A85" t="s">
        <v>2625</v>
      </c>
      <c r="B85" s="1" t="s">
        <v>2626</v>
      </c>
      <c r="C85" s="1" t="s">
        <v>11</v>
      </c>
      <c r="D85" s="1" t="s">
        <v>1050</v>
      </c>
      <c r="E85" s="6">
        <v>40666</v>
      </c>
      <c r="F85" s="1" t="str">
        <f>VLOOKUP(D85,Table17[[Name]:[Native]],3,FALSE)</f>
        <v>宜良县</v>
      </c>
      <c r="G85" s="14" t="str">
        <f ca="1">VLOOKUP(F85,Table17[[Native]:[Population4]],5,FALSE)</f>
        <v>昆明市</v>
      </c>
    </row>
    <row r="86" spans="1:7" ht="15.75" thickBot="1" x14ac:dyDescent="0.3">
      <c r="A86" t="s">
        <v>2627</v>
      </c>
      <c r="B86" s="1" t="s">
        <v>2628</v>
      </c>
      <c r="C86" s="1" t="s">
        <v>7</v>
      </c>
      <c r="D86" s="1" t="s">
        <v>2475</v>
      </c>
      <c r="E86" s="6">
        <v>21717</v>
      </c>
      <c r="F86" s="1" t="str">
        <f>VLOOKUP(D86,Table17[[Name]:[Native]],3,FALSE)</f>
        <v>昭阳区</v>
      </c>
      <c r="G86" s="14" t="str">
        <f ca="1">VLOOKUP(F86,Table17[[Native]:[Population4]],5,FALSE)</f>
        <v>昭通市</v>
      </c>
    </row>
    <row r="87" spans="1:7" ht="15.75" thickBot="1" x14ac:dyDescent="0.3">
      <c r="A87" t="s">
        <v>2629</v>
      </c>
      <c r="B87" s="1" t="s">
        <v>2630</v>
      </c>
      <c r="C87" s="1" t="s">
        <v>7</v>
      </c>
      <c r="D87" s="1" t="s">
        <v>2496</v>
      </c>
      <c r="E87" s="6">
        <v>10384</v>
      </c>
      <c r="F87" s="1" t="str">
        <f>VLOOKUP(D87,Table17[[Name]:[Native]],3,FALSE)</f>
        <v>永善县</v>
      </c>
      <c r="G87" s="14" t="str">
        <f ca="1">VLOOKUP(F87,Table17[[Native]:[Population4]],5,FALSE)</f>
        <v>昭通市</v>
      </c>
    </row>
    <row r="88" spans="1:7" ht="15.75" thickBot="1" x14ac:dyDescent="0.3">
      <c r="A88" t="s">
        <v>2631</v>
      </c>
      <c r="B88" s="1" t="s">
        <v>2632</v>
      </c>
      <c r="C88" s="1" t="s">
        <v>7</v>
      </c>
      <c r="D88" s="1" t="s">
        <v>2480</v>
      </c>
      <c r="E88" s="6">
        <v>28888</v>
      </c>
      <c r="F88" s="1" t="str">
        <f>VLOOKUP(D88,Table17[[Name]:[Native]],3,FALSE)</f>
        <v>威信县</v>
      </c>
      <c r="G88" s="14" t="str">
        <f ca="1">VLOOKUP(F88,Table17[[Native]:[Population4]],5,FALSE)</f>
        <v>昭通市</v>
      </c>
    </row>
    <row r="89" spans="1:7" ht="15.75" thickBot="1" x14ac:dyDescent="0.3">
      <c r="A89" t="s">
        <v>2633</v>
      </c>
      <c r="B89" s="1" t="s">
        <v>2634</v>
      </c>
      <c r="C89" s="1" t="s">
        <v>11</v>
      </c>
      <c r="D89" s="1" t="s">
        <v>2475</v>
      </c>
      <c r="E89" s="6">
        <v>50986</v>
      </c>
      <c r="F89" s="1" t="str">
        <f>VLOOKUP(D89,Table17[[Name]:[Native]],3,FALSE)</f>
        <v>昭阳区</v>
      </c>
      <c r="G89" s="14" t="str">
        <f ca="1">VLOOKUP(F89,Table17[[Native]:[Population4]],5,FALSE)</f>
        <v>昭通市</v>
      </c>
    </row>
    <row r="90" spans="1:7" ht="15.75" thickBot="1" x14ac:dyDescent="0.3">
      <c r="A90" t="s">
        <v>2635</v>
      </c>
      <c r="B90" s="1" t="s">
        <v>2636</v>
      </c>
      <c r="C90" s="1" t="s">
        <v>7</v>
      </c>
      <c r="D90" s="1" t="s">
        <v>2491</v>
      </c>
      <c r="E90" s="6">
        <v>19401</v>
      </c>
      <c r="F90" s="1" t="str">
        <f>VLOOKUP(D90,Table17[[Name]:[Native]],3,FALSE)</f>
        <v>大关县</v>
      </c>
      <c r="G90" s="14" t="str">
        <f ca="1">VLOOKUP(F90,Table17[[Native]:[Population4]],5,FALSE)</f>
        <v>昭通市</v>
      </c>
    </row>
    <row r="91" spans="1:7" ht="15.75" thickBot="1" x14ac:dyDescent="0.3">
      <c r="A91" t="s">
        <v>2637</v>
      </c>
      <c r="B91" s="1" t="s">
        <v>2638</v>
      </c>
      <c r="C91" s="1" t="s">
        <v>7</v>
      </c>
      <c r="D91" s="1" t="s">
        <v>2483</v>
      </c>
      <c r="E91" s="6">
        <v>21635</v>
      </c>
      <c r="F91" s="1" t="str">
        <f>VLOOKUP(D91,Table17[[Name]:[Native]],3,FALSE)</f>
        <v>镇雄县</v>
      </c>
      <c r="G91" s="14" t="str">
        <f ca="1">VLOOKUP(F91,Table17[[Native]:[Population4]],5,FALSE)</f>
        <v>昭通市</v>
      </c>
    </row>
    <row r="92" spans="1:7" ht="15.75" thickBot="1" x14ac:dyDescent="0.3">
      <c r="A92" t="s">
        <v>2639</v>
      </c>
      <c r="B92" s="1" t="s">
        <v>2640</v>
      </c>
      <c r="C92" s="1" t="s">
        <v>11</v>
      </c>
      <c r="D92" s="1" t="s">
        <v>2503</v>
      </c>
      <c r="E92" s="6">
        <v>24743</v>
      </c>
      <c r="F92" s="1" t="str">
        <f>VLOOKUP(D92,Table17[[Name]:[Native]],3,FALSE)</f>
        <v>盐津县</v>
      </c>
      <c r="G92" s="14" t="str">
        <f ca="1">VLOOKUP(F92,Table17[[Native]:[Population4]],5,FALSE)</f>
        <v>昭通市</v>
      </c>
    </row>
    <row r="93" spans="1:7" ht="15.75" thickBot="1" x14ac:dyDescent="0.3">
      <c r="A93" t="s">
        <v>2641</v>
      </c>
      <c r="B93" s="1" t="s">
        <v>2642</v>
      </c>
      <c r="C93" s="1" t="s">
        <v>11</v>
      </c>
      <c r="D93" s="1" t="s">
        <v>2491</v>
      </c>
      <c r="E93" s="6">
        <v>27284</v>
      </c>
      <c r="F93" s="1" t="str">
        <f>VLOOKUP(D93,Table17[[Name]:[Native]],3,FALSE)</f>
        <v>大关县</v>
      </c>
      <c r="G93" s="14" t="str">
        <f ca="1">VLOOKUP(F93,Table17[[Native]:[Population4]],5,FALSE)</f>
        <v>昭通市</v>
      </c>
    </row>
    <row r="94" spans="1:7" ht="15.75" thickBot="1" x14ac:dyDescent="0.3">
      <c r="A94" t="s">
        <v>2643</v>
      </c>
      <c r="B94" s="1" t="s">
        <v>2644</v>
      </c>
      <c r="C94" s="1" t="s">
        <v>7</v>
      </c>
      <c r="D94" s="1" t="s">
        <v>2475</v>
      </c>
      <c r="E94" s="6">
        <v>39436</v>
      </c>
      <c r="F94" s="1" t="str">
        <f>VLOOKUP(D94,Table17[[Name]:[Native]],3,FALSE)</f>
        <v>昭阳区</v>
      </c>
      <c r="G94" s="14" t="str">
        <f ca="1">VLOOKUP(F94,Table17[[Native]:[Population4]],5,FALSE)</f>
        <v>昭通市</v>
      </c>
    </row>
    <row r="95" spans="1:7" ht="15.75" thickBot="1" x14ac:dyDescent="0.3">
      <c r="A95" t="s">
        <v>2645</v>
      </c>
      <c r="B95" s="1" t="s">
        <v>2646</v>
      </c>
      <c r="C95" s="1" t="s">
        <v>7</v>
      </c>
      <c r="D95" s="1" t="s">
        <v>2480</v>
      </c>
      <c r="E95" s="6">
        <v>28364</v>
      </c>
      <c r="F95" s="1" t="str">
        <f>VLOOKUP(D95,Table17[[Name]:[Native]],3,FALSE)</f>
        <v>威信县</v>
      </c>
      <c r="G95" s="14" t="str">
        <f ca="1">VLOOKUP(F95,Table17[[Native]:[Population4]],5,FALSE)</f>
        <v>昭通市</v>
      </c>
    </row>
    <row r="96" spans="1:7" ht="15.75" thickBot="1" x14ac:dyDescent="0.3">
      <c r="A96" t="s">
        <v>2647</v>
      </c>
      <c r="B96" s="1" t="s">
        <v>2648</v>
      </c>
      <c r="C96" s="1" t="s">
        <v>11</v>
      </c>
      <c r="D96" s="1" t="s">
        <v>2490</v>
      </c>
      <c r="E96" s="6">
        <v>33810</v>
      </c>
      <c r="F96" s="1" t="str">
        <f>VLOOKUP(D96,Table17[[Name]:[Native]],3,FALSE)</f>
        <v>鲁甸县</v>
      </c>
      <c r="G96" s="14" t="str">
        <f ca="1">VLOOKUP(F96,Table17[[Native]:[Population4]],5,FALSE)</f>
        <v>昭通市</v>
      </c>
    </row>
    <row r="97" spans="1:7" ht="15.75" thickBot="1" x14ac:dyDescent="0.3">
      <c r="A97" t="s">
        <v>2649</v>
      </c>
      <c r="B97" s="1" t="s">
        <v>2650</v>
      </c>
      <c r="C97" s="1" t="s">
        <v>11</v>
      </c>
      <c r="D97" s="1" t="s">
        <v>2480</v>
      </c>
      <c r="E97" s="6">
        <v>15294</v>
      </c>
      <c r="F97" s="1" t="str">
        <f>VLOOKUP(D97,Table17[[Name]:[Native]],3,FALSE)</f>
        <v>威信县</v>
      </c>
      <c r="G97" s="14" t="str">
        <f ca="1">VLOOKUP(F97,Table17[[Native]:[Population4]],5,FALSE)</f>
        <v>昭通市</v>
      </c>
    </row>
    <row r="98" spans="1:7" ht="15.75" thickBot="1" x14ac:dyDescent="0.3">
      <c r="A98" t="s">
        <v>2651</v>
      </c>
      <c r="B98" s="1" t="s">
        <v>2652</v>
      </c>
      <c r="C98" s="1" t="s">
        <v>7</v>
      </c>
      <c r="D98" s="1" t="s">
        <v>2496</v>
      </c>
      <c r="E98" s="6">
        <v>7216</v>
      </c>
      <c r="F98" s="1" t="str">
        <f>VLOOKUP(D98,Table17[[Name]:[Native]],3,FALSE)</f>
        <v>永善县</v>
      </c>
      <c r="G98" s="14" t="str">
        <f ca="1">VLOOKUP(F98,Table17[[Native]:[Population4]],5,FALSE)</f>
        <v>昭通市</v>
      </c>
    </row>
    <row r="99" spans="1:7" ht="15.75" thickBot="1" x14ac:dyDescent="0.3">
      <c r="A99" t="s">
        <v>2653</v>
      </c>
      <c r="B99" s="1" t="s">
        <v>2654</v>
      </c>
      <c r="C99" s="1" t="s">
        <v>7</v>
      </c>
      <c r="D99" s="1" t="s">
        <v>1050</v>
      </c>
      <c r="E99" s="6">
        <v>20787</v>
      </c>
      <c r="F99" s="1" t="str">
        <f>VLOOKUP(D99,Table17[[Name]:[Native]],3,FALSE)</f>
        <v>宜良县</v>
      </c>
      <c r="G99" s="14" t="str">
        <f ca="1">VLOOKUP(F99,Table17[[Native]:[Population4]],5,FALSE)</f>
        <v>昆明市</v>
      </c>
    </row>
    <row r="100" spans="1:7" ht="15.75" thickBot="1" x14ac:dyDescent="0.3">
      <c r="A100" t="s">
        <v>2655</v>
      </c>
      <c r="B100" s="1" t="s">
        <v>2656</v>
      </c>
      <c r="C100" s="1" t="s">
        <v>7</v>
      </c>
      <c r="D100" s="1" t="s">
        <v>2475</v>
      </c>
      <c r="E100" s="6">
        <v>20489</v>
      </c>
      <c r="F100" s="1" t="str">
        <f>VLOOKUP(D100,Table17[[Name]:[Native]],3,FALSE)</f>
        <v>昭阳区</v>
      </c>
      <c r="G100" s="14" t="str">
        <f ca="1">VLOOKUP(F100,Table17[[Native]:[Population4]],5,FALSE)</f>
        <v>昭通市</v>
      </c>
    </row>
    <row r="101" spans="1:7" ht="15.75" thickBot="1" x14ac:dyDescent="0.3">
      <c r="A101" t="s">
        <v>2657</v>
      </c>
      <c r="B101" s="1" t="s">
        <v>2658</v>
      </c>
      <c r="C101" s="1" t="s">
        <v>11</v>
      </c>
      <c r="D101" s="1" t="s">
        <v>2475</v>
      </c>
      <c r="E101" s="6">
        <v>31994</v>
      </c>
      <c r="F101" s="1" t="str">
        <f>VLOOKUP(D101,Table17[[Name]:[Native]],3,FALSE)</f>
        <v>昭阳区</v>
      </c>
      <c r="G101" s="14" t="str">
        <f ca="1">VLOOKUP(F101,Table17[[Native]:[Population4]],5,FALSE)</f>
        <v>昭通市</v>
      </c>
    </row>
    <row r="102" spans="1:7" ht="15.75" thickBot="1" x14ac:dyDescent="0.3">
      <c r="A102" t="s">
        <v>2659</v>
      </c>
      <c r="B102" s="1" t="s">
        <v>2660</v>
      </c>
      <c r="C102" s="1" t="s">
        <v>11</v>
      </c>
      <c r="D102" s="1" t="s">
        <v>2490</v>
      </c>
      <c r="E102" s="6">
        <v>29184</v>
      </c>
      <c r="F102" s="1" t="str">
        <f>VLOOKUP(D102,Table17[[Name]:[Native]],3,FALSE)</f>
        <v>鲁甸县</v>
      </c>
      <c r="G102" s="14" t="str">
        <f ca="1">VLOOKUP(F102,Table17[[Native]:[Population4]],5,FALSE)</f>
        <v>昭通市</v>
      </c>
    </row>
    <row r="103" spans="1:7" ht="15.75" thickBot="1" x14ac:dyDescent="0.3">
      <c r="A103" t="s">
        <v>2661</v>
      </c>
      <c r="B103" s="1" t="s">
        <v>2662</v>
      </c>
      <c r="C103" s="1" t="s">
        <v>42</v>
      </c>
      <c r="D103" s="1" t="s">
        <v>2475</v>
      </c>
      <c r="E103" s="6">
        <v>77949</v>
      </c>
      <c r="F103" s="1" t="str">
        <f>VLOOKUP(D103,Table17[[Name]:[Native]],3,FALSE)</f>
        <v>昭阳区</v>
      </c>
      <c r="G103" s="14" t="str">
        <f ca="1">VLOOKUP(F103,Table17[[Native]:[Population4]],5,FALSE)</f>
        <v>昭通市</v>
      </c>
    </row>
    <row r="104" spans="1:7" ht="15.75" thickBot="1" x14ac:dyDescent="0.3">
      <c r="A104" t="s">
        <v>109</v>
      </c>
      <c r="B104" s="1" t="s">
        <v>110</v>
      </c>
      <c r="C104" s="1" t="s">
        <v>11</v>
      </c>
      <c r="D104" s="1" t="s">
        <v>2554</v>
      </c>
      <c r="E104" s="6">
        <v>14621</v>
      </c>
      <c r="F104" s="1" t="str">
        <f>VLOOKUP(D104,Table17[[Name]:[Native]],3,FALSE)</f>
        <v>水富市</v>
      </c>
      <c r="G104" s="14" t="str">
        <f ca="1">VLOOKUP(F104,Table17[[Native]:[Population4]],5,FALSE)</f>
        <v>昭通市</v>
      </c>
    </row>
    <row r="105" spans="1:7" ht="15.75" thickBot="1" x14ac:dyDescent="0.3">
      <c r="A105" t="s">
        <v>2663</v>
      </c>
      <c r="B105" s="1" t="s">
        <v>2664</v>
      </c>
      <c r="C105" s="1" t="s">
        <v>11</v>
      </c>
      <c r="D105" s="1" t="s">
        <v>2483</v>
      </c>
      <c r="E105" s="6">
        <v>55135</v>
      </c>
      <c r="F105" s="1" t="str">
        <f>VLOOKUP(D105,Table17[[Name]:[Native]],3,FALSE)</f>
        <v>镇雄县</v>
      </c>
      <c r="G105" s="14" t="str">
        <f ca="1">VLOOKUP(F105,Table17[[Native]:[Population4]],5,FALSE)</f>
        <v>昭通市</v>
      </c>
    </row>
    <row r="106" spans="1:7" ht="15.75" thickBot="1" x14ac:dyDescent="0.3">
      <c r="A106" t="s">
        <v>2665</v>
      </c>
      <c r="B106" s="1" t="s">
        <v>2666</v>
      </c>
      <c r="C106" s="1" t="s">
        <v>7</v>
      </c>
      <c r="D106" s="1" t="s">
        <v>2503</v>
      </c>
      <c r="E106" s="6">
        <v>28350</v>
      </c>
      <c r="F106" s="1" t="str">
        <f>VLOOKUP(D106,Table17[[Name]:[Native]],3,FALSE)</f>
        <v>盐津县</v>
      </c>
      <c r="G106" s="14" t="str">
        <f ca="1">VLOOKUP(F106,Table17[[Native]:[Population4]],5,FALSE)</f>
        <v>昭通市</v>
      </c>
    </row>
    <row r="107" spans="1:7" ht="15.75" thickBot="1" x14ac:dyDescent="0.3">
      <c r="A107" t="s">
        <v>2667</v>
      </c>
      <c r="B107" s="1" t="s">
        <v>2668</v>
      </c>
      <c r="C107" s="1" t="s">
        <v>7</v>
      </c>
      <c r="D107" s="1" t="s">
        <v>2490</v>
      </c>
      <c r="E107" s="6">
        <v>33503</v>
      </c>
      <c r="F107" s="1" t="str">
        <f>VLOOKUP(D107,Table17[[Name]:[Native]],3,FALSE)</f>
        <v>鲁甸县</v>
      </c>
      <c r="G107" s="14" t="str">
        <f ca="1">VLOOKUP(F107,Table17[[Native]:[Population4]],5,FALSE)</f>
        <v>昭通市</v>
      </c>
    </row>
    <row r="108" spans="1:7" ht="15.75" thickBot="1" x14ac:dyDescent="0.3">
      <c r="A108" t="s">
        <v>1799</v>
      </c>
      <c r="B108" s="1" t="s">
        <v>1800</v>
      </c>
      <c r="C108" s="1" t="s">
        <v>7</v>
      </c>
      <c r="D108" s="1" t="s">
        <v>2475</v>
      </c>
      <c r="E108" s="6">
        <v>10356</v>
      </c>
      <c r="F108" s="1" t="str">
        <f>VLOOKUP(D108,Table17[[Name]:[Native]],3,FALSE)</f>
        <v>昭阳区</v>
      </c>
      <c r="G108" s="14" t="str">
        <f ca="1">VLOOKUP(F108,Table17[[Native]:[Population4]],5,FALSE)</f>
        <v>昭通市</v>
      </c>
    </row>
    <row r="109" spans="1:7" ht="15.75" thickBot="1" x14ac:dyDescent="0.3">
      <c r="A109" t="s">
        <v>2669</v>
      </c>
      <c r="B109" s="1" t="s">
        <v>2670</v>
      </c>
      <c r="C109" s="1" t="s">
        <v>11</v>
      </c>
      <c r="D109" s="1" t="s">
        <v>2491</v>
      </c>
      <c r="E109" s="6">
        <v>58221</v>
      </c>
      <c r="F109" s="1" t="str">
        <f>VLOOKUP(D109,Table17[[Name]:[Native]],3,FALSE)</f>
        <v>大关县</v>
      </c>
      <c r="G109" s="14" t="str">
        <f ca="1">VLOOKUP(F109,Table17[[Native]:[Population4]],5,FALSE)</f>
        <v>昭通市</v>
      </c>
    </row>
    <row r="110" spans="1:7" ht="15.75" thickBot="1" x14ac:dyDescent="0.3">
      <c r="A110" t="s">
        <v>2671</v>
      </c>
      <c r="B110" s="1" t="s">
        <v>2672</v>
      </c>
      <c r="C110" s="1" t="s">
        <v>7</v>
      </c>
      <c r="D110" s="1" t="s">
        <v>2496</v>
      </c>
      <c r="E110" s="6">
        <v>18839</v>
      </c>
      <c r="F110" s="1" t="str">
        <f>VLOOKUP(D110,Table17[[Name]:[Native]],3,FALSE)</f>
        <v>永善县</v>
      </c>
      <c r="G110" s="14" t="str">
        <f ca="1">VLOOKUP(F110,Table17[[Native]:[Population4]],5,FALSE)</f>
        <v>昭通市</v>
      </c>
    </row>
    <row r="111" spans="1:7" ht="15.75" thickBot="1" x14ac:dyDescent="0.3">
      <c r="A111" t="s">
        <v>2673</v>
      </c>
      <c r="B111" s="1" t="s">
        <v>2674</v>
      </c>
      <c r="C111" s="1" t="s">
        <v>11</v>
      </c>
      <c r="D111" s="1" t="s">
        <v>2483</v>
      </c>
      <c r="E111" s="6">
        <v>21015</v>
      </c>
      <c r="F111" s="1" t="str">
        <f>VLOOKUP(D111,Table17[[Name]:[Native]],3,FALSE)</f>
        <v>镇雄县</v>
      </c>
      <c r="G111" s="14" t="str">
        <f ca="1">VLOOKUP(F111,Table17[[Native]:[Population4]],5,FALSE)</f>
        <v>昭通市</v>
      </c>
    </row>
    <row r="112" spans="1:7" ht="15.75" thickBot="1" x14ac:dyDescent="0.3">
      <c r="A112" t="s">
        <v>2675</v>
      </c>
      <c r="B112" s="1" t="s">
        <v>2676</v>
      </c>
      <c r="C112" s="1" t="s">
        <v>11</v>
      </c>
      <c r="D112" s="1" t="s">
        <v>2490</v>
      </c>
      <c r="E112" s="6">
        <v>71943</v>
      </c>
      <c r="F112" s="1" t="str">
        <f>VLOOKUP(D112,Table17[[Name]:[Native]],3,FALSE)</f>
        <v>鲁甸县</v>
      </c>
      <c r="G112" s="14" t="str">
        <f ca="1">VLOOKUP(F112,Table17[[Native]:[Population4]],5,FALSE)</f>
        <v>昭通市</v>
      </c>
    </row>
    <row r="113" spans="1:7" ht="15.75" thickBot="1" x14ac:dyDescent="0.3">
      <c r="A113" t="s">
        <v>2677</v>
      </c>
      <c r="B113" s="1" t="s">
        <v>2678</v>
      </c>
      <c r="C113" s="1" t="s">
        <v>11</v>
      </c>
      <c r="D113" s="1" t="s">
        <v>2483</v>
      </c>
      <c r="E113" s="6">
        <v>60651</v>
      </c>
      <c r="F113" s="1" t="str">
        <f>VLOOKUP(D113,Table17[[Name]:[Native]],3,FALSE)</f>
        <v>镇雄县</v>
      </c>
      <c r="G113" s="14" t="str">
        <f ca="1">VLOOKUP(F113,Table17[[Native]:[Population4]],5,FALSE)</f>
        <v>昭通市</v>
      </c>
    </row>
    <row r="114" spans="1:7" ht="15.75" thickBot="1" x14ac:dyDescent="0.3">
      <c r="A114" t="s">
        <v>2679</v>
      </c>
      <c r="B114" s="1" t="s">
        <v>2680</v>
      </c>
      <c r="C114" s="1" t="s">
        <v>11</v>
      </c>
      <c r="D114" s="1" t="s">
        <v>2483</v>
      </c>
      <c r="E114" s="6">
        <v>132606</v>
      </c>
      <c r="F114" s="1" t="str">
        <f>VLOOKUP(D114,Table17[[Name]:[Native]],3,FALSE)</f>
        <v>镇雄县</v>
      </c>
      <c r="G114" s="14" t="str">
        <f ca="1">VLOOKUP(F114,Table17[[Native]:[Population4]],5,FALSE)</f>
        <v>昭通市</v>
      </c>
    </row>
    <row r="115" spans="1:7" ht="15.75" thickBot="1" x14ac:dyDescent="0.3">
      <c r="A115" t="s">
        <v>2681</v>
      </c>
      <c r="B115" s="1" t="s">
        <v>2682</v>
      </c>
      <c r="C115" s="1" t="s">
        <v>11</v>
      </c>
      <c r="D115" s="1" t="s">
        <v>2496</v>
      </c>
      <c r="E115" s="6">
        <v>25852</v>
      </c>
      <c r="F115" s="1" t="str">
        <f>VLOOKUP(D115,Table17[[Name]:[Native]],3,FALSE)</f>
        <v>永善县</v>
      </c>
      <c r="G115" s="14" t="str">
        <f ca="1">VLOOKUP(F115,Table17[[Native]:[Population4]],5,FALSE)</f>
        <v>昭通市</v>
      </c>
    </row>
    <row r="116" spans="1:7" ht="15.75" thickBot="1" x14ac:dyDescent="0.3">
      <c r="A116" t="s">
        <v>2683</v>
      </c>
      <c r="B116" s="1" t="s">
        <v>2684</v>
      </c>
      <c r="C116" s="1" t="s">
        <v>7</v>
      </c>
      <c r="D116" s="1" t="s">
        <v>2496</v>
      </c>
      <c r="E116" s="6">
        <v>10484</v>
      </c>
      <c r="F116" s="1" t="str">
        <f>VLOOKUP(D116,Table17[[Name]:[Native]],3,FALSE)</f>
        <v>永善县</v>
      </c>
      <c r="G116" s="14" t="str">
        <f ca="1">VLOOKUP(F116,Table17[[Native]:[Population4]],5,FALSE)</f>
        <v>昭通市</v>
      </c>
    </row>
    <row r="117" spans="1:7" ht="15.75" thickBot="1" x14ac:dyDescent="0.3">
      <c r="A117" t="s">
        <v>2685</v>
      </c>
      <c r="B117" s="1" t="s">
        <v>2686</v>
      </c>
      <c r="C117" s="1" t="s">
        <v>11</v>
      </c>
      <c r="D117" s="1" t="s">
        <v>2554</v>
      </c>
      <c r="E117" s="6">
        <v>72283</v>
      </c>
      <c r="F117" s="1" t="str">
        <f>VLOOKUP(D117,Table17[[Name]:[Native]],3,FALSE)</f>
        <v>水富市</v>
      </c>
      <c r="G117" s="14" t="str">
        <f ca="1">VLOOKUP(F117,Table17[[Native]:[Population4]],5,FALSE)</f>
        <v>昭通市</v>
      </c>
    </row>
    <row r="118" spans="1:7" ht="15.75" thickBot="1" x14ac:dyDescent="0.3">
      <c r="A118" t="s">
        <v>2687</v>
      </c>
      <c r="B118" s="1" t="s">
        <v>2688</v>
      </c>
      <c r="C118" s="1" t="s">
        <v>11</v>
      </c>
      <c r="D118" s="1" t="s">
        <v>1050</v>
      </c>
      <c r="E118" s="6">
        <v>23583</v>
      </c>
      <c r="F118" s="1" t="str">
        <f>VLOOKUP(D118,Table17[[Name]:[Native]],3,FALSE)</f>
        <v>宜良县</v>
      </c>
      <c r="G118" s="14" t="str">
        <f ca="1">VLOOKUP(F118,Table17[[Native]:[Population4]],5,FALSE)</f>
        <v>昆明市</v>
      </c>
    </row>
    <row r="119" spans="1:7" ht="15.75" thickBot="1" x14ac:dyDescent="0.3">
      <c r="A119" t="s">
        <v>2689</v>
      </c>
      <c r="B119" s="1" t="s">
        <v>2690</v>
      </c>
      <c r="C119" s="1" t="s">
        <v>11</v>
      </c>
      <c r="D119" s="1" t="s">
        <v>2467</v>
      </c>
      <c r="E119" s="6">
        <v>40240</v>
      </c>
      <c r="F119" s="1" t="str">
        <f>VLOOKUP(D119,Table17[[Name]:[Native]],3,FALSE)</f>
        <v>巧家县</v>
      </c>
      <c r="G119" s="14" t="str">
        <f ca="1">VLOOKUP(F119,Table17[[Native]:[Population4]],5,FALSE)</f>
        <v>昭通市</v>
      </c>
    </row>
    <row r="120" spans="1:7" ht="15.75" thickBot="1" x14ac:dyDescent="0.3">
      <c r="A120" t="s">
        <v>2691</v>
      </c>
      <c r="B120" s="1" t="s">
        <v>2692</v>
      </c>
      <c r="C120" s="1" t="s">
        <v>7</v>
      </c>
      <c r="D120" s="1" t="s">
        <v>2475</v>
      </c>
      <c r="E120" s="6">
        <v>29392</v>
      </c>
      <c r="F120" s="1" t="str">
        <f>VLOOKUP(D120,Table17[[Name]:[Native]],3,FALSE)</f>
        <v>昭阳区</v>
      </c>
      <c r="G120" s="14" t="str">
        <f ca="1">VLOOKUP(F120,Table17[[Native]:[Population4]],5,FALSE)</f>
        <v>昭通市</v>
      </c>
    </row>
    <row r="121" spans="1:7" ht="15.75" thickBot="1" x14ac:dyDescent="0.3">
      <c r="A121" t="s">
        <v>2693</v>
      </c>
      <c r="B121" s="1" t="s">
        <v>2694</v>
      </c>
      <c r="C121" s="1" t="s">
        <v>11</v>
      </c>
      <c r="D121" s="1" t="s">
        <v>2490</v>
      </c>
      <c r="E121" s="6">
        <v>18896</v>
      </c>
      <c r="F121" s="1" t="str">
        <f>VLOOKUP(D121,Table17[[Name]:[Native]],3,FALSE)</f>
        <v>鲁甸县</v>
      </c>
      <c r="G121" s="14" t="str">
        <f ca="1">VLOOKUP(F121,Table17[[Native]:[Population4]],5,FALSE)</f>
        <v>昭通市</v>
      </c>
    </row>
    <row r="122" spans="1:7" ht="15.75" thickBot="1" x14ac:dyDescent="0.3">
      <c r="A122" t="s">
        <v>2695</v>
      </c>
      <c r="B122" s="1" t="s">
        <v>2696</v>
      </c>
      <c r="C122" s="1" t="s">
        <v>11</v>
      </c>
      <c r="D122" s="1" t="s">
        <v>2496</v>
      </c>
      <c r="E122" s="6">
        <v>95439</v>
      </c>
      <c r="F122" s="1" t="str">
        <f>VLOOKUP(D122,Table17[[Name]:[Native]],3,FALSE)</f>
        <v>永善县</v>
      </c>
      <c r="G122" s="14" t="str">
        <f ca="1">VLOOKUP(F122,Table17[[Native]:[Population4]],5,FALSE)</f>
        <v>昭通市</v>
      </c>
    </row>
    <row r="123" spans="1:7" ht="15.75" thickBot="1" x14ac:dyDescent="0.3">
      <c r="A123" t="s">
        <v>2697</v>
      </c>
      <c r="B123" s="1" t="s">
        <v>2698</v>
      </c>
      <c r="C123" s="1" t="s">
        <v>11</v>
      </c>
      <c r="D123" s="1" t="s">
        <v>2467</v>
      </c>
      <c r="E123" s="6">
        <v>29297</v>
      </c>
      <c r="F123" s="1" t="str">
        <f>VLOOKUP(D123,Table17[[Name]:[Native]],3,FALSE)</f>
        <v>巧家县</v>
      </c>
      <c r="G123" s="14" t="str">
        <f ca="1">VLOOKUP(F123,Table17[[Native]:[Population4]],5,FALSE)</f>
        <v>昭通市</v>
      </c>
    </row>
    <row r="124" spans="1:7" ht="15.75" thickBot="1" x14ac:dyDescent="0.3">
      <c r="A124" t="s">
        <v>2699</v>
      </c>
      <c r="B124" s="1" t="s">
        <v>2700</v>
      </c>
      <c r="C124" s="1" t="s">
        <v>7</v>
      </c>
      <c r="D124" s="1" t="s">
        <v>2503</v>
      </c>
      <c r="E124" s="6">
        <v>34443</v>
      </c>
      <c r="F124" s="1" t="str">
        <f>VLOOKUP(D124,Table17[[Name]:[Native]],3,FALSE)</f>
        <v>盐津县</v>
      </c>
      <c r="G124" s="14" t="str">
        <f ca="1">VLOOKUP(F124,Table17[[Native]:[Population4]],5,FALSE)</f>
        <v>昭通市</v>
      </c>
    </row>
    <row r="125" spans="1:7" ht="15.75" thickBot="1" x14ac:dyDescent="0.3">
      <c r="A125" t="s">
        <v>331</v>
      </c>
      <c r="B125" s="1" t="s">
        <v>332</v>
      </c>
      <c r="C125" s="1" t="s">
        <v>11</v>
      </c>
      <c r="D125" s="1" t="s">
        <v>2490</v>
      </c>
      <c r="E125" s="6">
        <v>18872</v>
      </c>
      <c r="F125" s="1" t="str">
        <f>VLOOKUP(D125,Table17[[Name]:[Native]],3,FALSE)</f>
        <v>鲁甸县</v>
      </c>
      <c r="G125" s="14" t="str">
        <f ca="1">VLOOKUP(F125,Table17[[Native]:[Population4]],5,FALSE)</f>
        <v>昭通市</v>
      </c>
    </row>
    <row r="126" spans="1:7" ht="15.75" thickBot="1" x14ac:dyDescent="0.3">
      <c r="A126" t="s">
        <v>2701</v>
      </c>
      <c r="B126" s="1" t="s">
        <v>2702</v>
      </c>
      <c r="C126" s="1" t="s">
        <v>11</v>
      </c>
      <c r="D126" s="1" t="s">
        <v>2470</v>
      </c>
      <c r="E126" s="6">
        <v>22624</v>
      </c>
      <c r="F126" s="1" t="str">
        <f>VLOOKUP(D126,Table17[[Name]:[Native]],3,FALSE)</f>
        <v>绥江县</v>
      </c>
      <c r="G126" s="14" t="str">
        <f ca="1">VLOOKUP(F126,Table17[[Native]:[Population4]],5,FALSE)</f>
        <v>昭通市</v>
      </c>
    </row>
    <row r="127" spans="1:7" ht="15.75" thickBot="1" x14ac:dyDescent="0.3">
      <c r="A127" t="s">
        <v>2703</v>
      </c>
      <c r="B127" s="1" t="s">
        <v>2704</v>
      </c>
      <c r="C127" s="1" t="s">
        <v>7</v>
      </c>
      <c r="D127" s="1" t="s">
        <v>2496</v>
      </c>
      <c r="E127" s="6">
        <v>17742</v>
      </c>
      <c r="F127" s="1" t="str">
        <f>VLOOKUP(D127,Table17[[Name]:[Native]],3,FALSE)</f>
        <v>永善县</v>
      </c>
      <c r="G127" s="14" t="str">
        <f ca="1">VLOOKUP(F127,Table17[[Native]:[Population4]],5,FALSE)</f>
        <v>昭通市</v>
      </c>
    </row>
    <row r="128" spans="1:7" ht="15.75" thickBot="1" x14ac:dyDescent="0.3">
      <c r="A128" t="s">
        <v>2705</v>
      </c>
      <c r="B128" s="1" t="s">
        <v>2706</v>
      </c>
      <c r="C128" s="1" t="s">
        <v>11</v>
      </c>
      <c r="D128" s="1" t="s">
        <v>2503</v>
      </c>
      <c r="E128" s="6">
        <v>63050</v>
      </c>
      <c r="F128" s="1" t="str">
        <f>VLOOKUP(D128,Table17[[Name]:[Native]],3,FALSE)</f>
        <v>盐津县</v>
      </c>
      <c r="G128" s="14" t="str">
        <f ca="1">VLOOKUP(F128,Table17[[Native]:[Population4]],5,FALSE)</f>
        <v>昭通市</v>
      </c>
    </row>
    <row r="129" spans="1:7" ht="15.75" thickBot="1" x14ac:dyDescent="0.3">
      <c r="A129" t="s">
        <v>2707</v>
      </c>
      <c r="B129" s="1" t="s">
        <v>2708</v>
      </c>
      <c r="C129" s="1" t="s">
        <v>11</v>
      </c>
      <c r="D129" s="1" t="s">
        <v>2475</v>
      </c>
      <c r="E129" s="6">
        <v>15420</v>
      </c>
      <c r="F129" s="1" t="str">
        <f>VLOOKUP(D129,Table17[[Name]:[Native]],3,FALSE)</f>
        <v>昭阳区</v>
      </c>
      <c r="G129" s="14" t="str">
        <f ca="1">VLOOKUP(F129,Table17[[Native]:[Population4]],5,FALSE)</f>
        <v>昭通市</v>
      </c>
    </row>
    <row r="130" spans="1:7" ht="15.75" thickBot="1" x14ac:dyDescent="0.3">
      <c r="A130" t="s">
        <v>2709</v>
      </c>
      <c r="B130" s="1" t="s">
        <v>2710</v>
      </c>
      <c r="C130" s="1" t="s">
        <v>11</v>
      </c>
      <c r="D130" s="1" t="s">
        <v>2483</v>
      </c>
      <c r="E130" s="6">
        <v>36633</v>
      </c>
      <c r="F130" s="1" t="str">
        <f>VLOOKUP(D130,Table17[[Name]:[Native]],3,FALSE)</f>
        <v>镇雄县</v>
      </c>
      <c r="G130" s="14" t="str">
        <f ca="1">VLOOKUP(F130,Table17[[Native]:[Population4]],5,FALSE)</f>
        <v>昭通市</v>
      </c>
    </row>
    <row r="131" spans="1:7" ht="15.75" thickBot="1" x14ac:dyDescent="0.3">
      <c r="A131" t="s">
        <v>2711</v>
      </c>
      <c r="B131" s="1" t="s">
        <v>2712</v>
      </c>
      <c r="C131" s="1" t="s">
        <v>11</v>
      </c>
      <c r="D131" s="1" t="s">
        <v>2467</v>
      </c>
      <c r="E131" s="6">
        <v>43231</v>
      </c>
      <c r="F131" s="1" t="str">
        <f>VLOOKUP(D131,Table17[[Name]:[Native]],3,FALSE)</f>
        <v>巧家县</v>
      </c>
      <c r="G131" s="14" t="str">
        <f ca="1">VLOOKUP(F131,Table17[[Native]:[Population4]],5,FALSE)</f>
        <v>昭通市</v>
      </c>
    </row>
    <row r="132" spans="1:7" ht="15.75" thickBot="1" x14ac:dyDescent="0.3">
      <c r="A132" t="s">
        <v>2713</v>
      </c>
      <c r="B132" s="1" t="s">
        <v>2714</v>
      </c>
      <c r="C132" s="1" t="s">
        <v>11</v>
      </c>
      <c r="D132" s="1" t="s">
        <v>2483</v>
      </c>
      <c r="E132" s="6">
        <v>30255</v>
      </c>
      <c r="F132" s="1" t="str">
        <f>VLOOKUP(D132,Table17[[Name]:[Native]],3,FALSE)</f>
        <v>镇雄县</v>
      </c>
      <c r="G132" s="14" t="str">
        <f ca="1">VLOOKUP(F132,Table17[[Native]:[Population4]],5,FALSE)</f>
        <v>昭通市</v>
      </c>
    </row>
    <row r="133" spans="1:7" ht="15.75" thickBot="1" x14ac:dyDescent="0.3">
      <c r="A133" t="s">
        <v>2715</v>
      </c>
      <c r="B133" s="1" t="s">
        <v>2716</v>
      </c>
      <c r="C133" s="1" t="s">
        <v>11</v>
      </c>
      <c r="D133" s="1" t="s">
        <v>2483</v>
      </c>
      <c r="E133" s="6">
        <v>64207</v>
      </c>
      <c r="F133" s="1" t="str">
        <f>VLOOKUP(D133,Table17[[Name]:[Native]],3,FALSE)</f>
        <v>镇雄县</v>
      </c>
      <c r="G133" s="14" t="str">
        <f ca="1">VLOOKUP(F133,Table17[[Native]:[Population4]],5,FALSE)</f>
        <v>昭通市</v>
      </c>
    </row>
    <row r="134" spans="1:7" ht="15.75" thickBot="1" x14ac:dyDescent="0.3">
      <c r="A134" t="s">
        <v>2717</v>
      </c>
      <c r="B134" s="1" t="s">
        <v>2718</v>
      </c>
      <c r="C134" s="1" t="s">
        <v>11</v>
      </c>
      <c r="D134" s="1" t="s">
        <v>2475</v>
      </c>
      <c r="E134" s="6">
        <v>38101</v>
      </c>
      <c r="F134" s="1" t="str">
        <f>VLOOKUP(D134,Table17[[Name]:[Native]],3,FALSE)</f>
        <v>昭阳区</v>
      </c>
      <c r="G134" s="14" t="str">
        <f ca="1">VLOOKUP(F134,Table17[[Native]:[Population4]],5,FALSE)</f>
        <v>昭通市</v>
      </c>
    </row>
    <row r="135" spans="1:7" ht="15.75" thickBot="1" x14ac:dyDescent="0.3">
      <c r="A135" t="s">
        <v>2719</v>
      </c>
      <c r="B135" s="1" t="s">
        <v>2720</v>
      </c>
      <c r="C135" s="1" t="s">
        <v>7</v>
      </c>
      <c r="D135" s="1" t="s">
        <v>2483</v>
      </c>
      <c r="E135" s="6">
        <v>19725</v>
      </c>
      <c r="F135" s="1" t="str">
        <f>VLOOKUP(D135,Table17[[Name]:[Native]],3,FALSE)</f>
        <v>镇雄县</v>
      </c>
      <c r="G135" s="14" t="str">
        <f ca="1">VLOOKUP(F135,Table17[[Native]:[Population4]],5,FALSE)</f>
        <v>昭通市</v>
      </c>
    </row>
    <row r="136" spans="1:7" ht="15.75" thickBot="1" x14ac:dyDescent="0.3">
      <c r="A136" t="s">
        <v>2721</v>
      </c>
      <c r="B136" s="1" t="s">
        <v>2722</v>
      </c>
      <c r="C136" s="1" t="s">
        <v>11</v>
      </c>
      <c r="D136" s="1" t="s">
        <v>2491</v>
      </c>
      <c r="E136" s="6">
        <v>32163</v>
      </c>
      <c r="F136" s="1" t="str">
        <f>VLOOKUP(D136,Table17[[Name]:[Native]],3,FALSE)</f>
        <v>大关县</v>
      </c>
      <c r="G136" s="14" t="str">
        <f ca="1">VLOOKUP(F136,Table17[[Native]:[Population4]],5,FALSE)</f>
        <v>昭通市</v>
      </c>
    </row>
    <row r="137" spans="1:7" ht="15.75" thickBot="1" x14ac:dyDescent="0.3">
      <c r="A137" t="s">
        <v>2723</v>
      </c>
      <c r="B137" s="1" t="s">
        <v>2724</v>
      </c>
      <c r="C137" s="1" t="s">
        <v>11</v>
      </c>
      <c r="D137" s="1" t="s">
        <v>2483</v>
      </c>
      <c r="E137" s="6">
        <v>40501</v>
      </c>
      <c r="F137" s="1" t="str">
        <f>VLOOKUP(D137,Table17[[Name]:[Native]],3,FALSE)</f>
        <v>镇雄县</v>
      </c>
      <c r="G137" s="14" t="str">
        <f ca="1">VLOOKUP(F137,Table17[[Native]:[Population4]],5,FALSE)</f>
        <v>昭通市</v>
      </c>
    </row>
    <row r="138" spans="1:7" ht="15.75" thickBot="1" x14ac:dyDescent="0.3">
      <c r="A138" t="s">
        <v>2725</v>
      </c>
      <c r="B138" s="1" t="s">
        <v>2726</v>
      </c>
      <c r="C138" s="1" t="s">
        <v>11</v>
      </c>
      <c r="D138" s="1" t="s">
        <v>2491</v>
      </c>
      <c r="E138" s="6">
        <v>14614</v>
      </c>
      <c r="F138" s="1" t="str">
        <f>VLOOKUP(D138,Table17[[Name]:[Native]],3,FALSE)</f>
        <v>大关县</v>
      </c>
      <c r="G138" s="14" t="str">
        <f ca="1">VLOOKUP(F138,Table17[[Native]:[Population4]],5,FALSE)</f>
        <v>昭通市</v>
      </c>
    </row>
    <row r="139" spans="1:7" ht="15.75" thickBot="1" x14ac:dyDescent="0.3">
      <c r="A139" t="s">
        <v>2727</v>
      </c>
      <c r="B139" s="1" t="s">
        <v>2728</v>
      </c>
      <c r="C139" s="1" t="s">
        <v>11</v>
      </c>
      <c r="D139" s="1" t="s">
        <v>2480</v>
      </c>
      <c r="E139" s="6">
        <v>124458</v>
      </c>
      <c r="F139" s="1" t="str">
        <f>VLOOKUP(D139,Table17[[Name]:[Native]],3,FALSE)</f>
        <v>威信县</v>
      </c>
      <c r="G139" s="14" t="str">
        <f ca="1">VLOOKUP(F139,Table17[[Native]:[Population4]],5,FALSE)</f>
        <v>昭通市</v>
      </c>
    </row>
    <row r="140" spans="1:7" ht="15.75" thickBot="1" x14ac:dyDescent="0.3">
      <c r="A140" t="s">
        <v>2729</v>
      </c>
      <c r="B140" s="1" t="s">
        <v>2730</v>
      </c>
      <c r="C140" s="1" t="s">
        <v>11</v>
      </c>
      <c r="D140" s="1" t="s">
        <v>2470</v>
      </c>
      <c r="E140" s="6">
        <v>75425</v>
      </c>
      <c r="F140" s="1" t="str">
        <f>VLOOKUP(D140,Table17[[Name]:[Native]],3,FALSE)</f>
        <v>绥江县</v>
      </c>
      <c r="G140" s="14" t="str">
        <f ca="1">VLOOKUP(F140,Table17[[Native]:[Population4]],5,FALSE)</f>
        <v>昭通市</v>
      </c>
    </row>
    <row r="141" spans="1:7" ht="15.75" thickBot="1" x14ac:dyDescent="0.3">
      <c r="A141" t="s">
        <v>153</v>
      </c>
      <c r="B141" s="1" t="s">
        <v>154</v>
      </c>
      <c r="C141" s="1" t="s">
        <v>11</v>
      </c>
      <c r="D141" s="1" t="s">
        <v>2503</v>
      </c>
      <c r="E141" s="6">
        <v>32521</v>
      </c>
      <c r="F141" s="1" t="str">
        <f>VLOOKUP(D141,Table17[[Name]:[Native]],3,FALSE)</f>
        <v>盐津县</v>
      </c>
      <c r="G141" s="14" t="str">
        <f ca="1">VLOOKUP(F141,Table17[[Native]:[Population4]],5,FALSE)</f>
        <v>昭通市</v>
      </c>
    </row>
    <row r="142" spans="1:7" ht="15.75" thickBot="1" x14ac:dyDescent="0.3">
      <c r="A142" t="s">
        <v>2731</v>
      </c>
      <c r="B142" s="1" t="s">
        <v>2732</v>
      </c>
      <c r="C142" s="1" t="s">
        <v>11</v>
      </c>
      <c r="D142" s="1" t="s">
        <v>1050</v>
      </c>
      <c r="E142" s="6">
        <v>17259</v>
      </c>
      <c r="F142" s="1" t="str">
        <f>VLOOKUP(D142,Table17[[Name]:[Native]],3,FALSE)</f>
        <v>宜良县</v>
      </c>
      <c r="G142" s="14" t="str">
        <f ca="1">VLOOKUP(F142,Table17[[Native]:[Population4]],5,FALSE)</f>
        <v>昆明市</v>
      </c>
    </row>
    <row r="143" spans="1:7" ht="15.75" thickBot="1" x14ac:dyDescent="0.3">
      <c r="A143" t="s">
        <v>2733</v>
      </c>
      <c r="B143" s="1" t="s">
        <v>2734</v>
      </c>
      <c r="C143" s="1" t="s">
        <v>11</v>
      </c>
      <c r="D143" s="1" t="s">
        <v>2483</v>
      </c>
      <c r="E143" s="6">
        <v>57726</v>
      </c>
      <c r="F143" s="1" t="str">
        <f>VLOOKUP(D143,Table17[[Name]:[Native]],3,FALSE)</f>
        <v>镇雄县</v>
      </c>
      <c r="G143" s="14" t="str">
        <f ca="1">VLOOKUP(F143,Table17[[Native]:[Population4]],5,FALSE)</f>
        <v>昭通市</v>
      </c>
    </row>
    <row r="144" spans="1:7" ht="15.75" thickBot="1" x14ac:dyDescent="0.3">
      <c r="A144" t="s">
        <v>2735</v>
      </c>
      <c r="B144" s="1" t="s">
        <v>2736</v>
      </c>
      <c r="C144" s="1" t="s">
        <v>7</v>
      </c>
      <c r="D144" s="1" t="s">
        <v>2467</v>
      </c>
      <c r="E144" s="6">
        <v>10658</v>
      </c>
      <c r="F144" s="10" t="str">
        <f>VLOOKUP(D144,Table17[[Name]:[Native]],3,FALSE)</f>
        <v>巧家县</v>
      </c>
      <c r="G144" s="14" t="str">
        <f ca="1">VLOOKUP(F144,Table17[[Native]:[Population4]],5,FALSE)</f>
        <v>昭通市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1A36D-BEC9-4823-B39B-369E41B0F051}">
  <dimension ref="A1:P1380"/>
  <sheetViews>
    <sheetView tabSelected="1" workbookViewId="0">
      <selection activeCell="P2" sqref="P2:P1380"/>
    </sheetView>
  </sheetViews>
  <sheetFormatPr defaultRowHeight="15" x14ac:dyDescent="0.25"/>
  <cols>
    <col min="1" max="9" width="11.28515625" customWidth="1"/>
  </cols>
  <sheetData>
    <row r="1" spans="1:16" x14ac:dyDescent="0.25">
      <c r="A1" t="s">
        <v>2917</v>
      </c>
      <c r="B1" t="s">
        <v>2927</v>
      </c>
      <c r="C1" t="s">
        <v>3557</v>
      </c>
      <c r="D1" t="s">
        <v>2919</v>
      </c>
      <c r="E1" t="s">
        <v>2920</v>
      </c>
      <c r="F1" t="s">
        <v>2921</v>
      </c>
      <c r="G1" t="s">
        <v>2922</v>
      </c>
      <c r="H1" t="s">
        <v>2923</v>
      </c>
      <c r="I1" t="s">
        <v>2924</v>
      </c>
      <c r="J1" t="s">
        <v>2925</v>
      </c>
      <c r="K1" t="s">
        <v>2926</v>
      </c>
      <c r="L1" t="s">
        <v>3558</v>
      </c>
      <c r="M1" t="s">
        <v>3559</v>
      </c>
      <c r="N1" t="s">
        <v>3560</v>
      </c>
      <c r="O1" t="s">
        <v>4932</v>
      </c>
      <c r="P1" t="s">
        <v>4933</v>
      </c>
    </row>
    <row r="2" spans="1:16" hidden="1" x14ac:dyDescent="0.25">
      <c r="A2" t="s">
        <v>768</v>
      </c>
      <c r="B2" t="str">
        <f>IF(COUNTIF(A:A,A2)&gt;1,_xlfn.CONCAT(A2," (",N2,")"),A2)</f>
        <v>Ādébó Xiāng</v>
      </c>
      <c r="C2" t="str">
        <f>IF(COUNTIF(B:B,B2)&gt;1,_xlfn.CONCAT(A2," (",M2,")"),B2)</f>
        <v>Ādébó Xiāng</v>
      </c>
      <c r="D2" t="s">
        <v>769</v>
      </c>
      <c r="E2" t="s">
        <v>7</v>
      </c>
      <c r="F2" t="str">
        <f>_xlfn.CONCAT(D2,", ",H2,", ",I2,", ","云南省")</f>
        <v>阿得博乡, 金平苗族瑶族傣族自治县, 红河哈尼族彝族自治州, 云南省</v>
      </c>
      <c r="G2">
        <v>15174</v>
      </c>
      <c r="H2" t="s">
        <v>2797</v>
      </c>
      <c r="I2" t="s">
        <v>2792</v>
      </c>
      <c r="J2" t="e">
        <f>VLOOKUP(F2,[1]!china_towns_second__2[[Column1]:[Y]],3,FALSE)</f>
        <v>#N/A</v>
      </c>
      <c r="K2" t="e">
        <f>VLOOKUP(F2,[1]!china_towns_second__2[[Column1]:[Y]],2,FALSE)</f>
        <v>#N/A</v>
      </c>
      <c r="L2" t="s">
        <v>3561</v>
      </c>
      <c r="M2" t="str">
        <f>VLOOKUP(H2,CHOOSE({1,2},Table17[Native],Table17[Name]),2,0)</f>
        <v>Jīnpíng Miáozú Yáozú Dăizú Zìzhìxiàn</v>
      </c>
      <c r="N2" s="15" t="str">
        <f>VLOOKUP(I2,CHOOSE({1,2},Table17[Native],Table17[Name]),2,0)</f>
        <v>Hónghé Hānízú Yízú Zìzhìzhōu</v>
      </c>
      <c r="O2" s="15" t="str">
        <f t="shared" ref="O2:O65" si="0">_xlfn.CONCAT(L2," (",N2,")")</f>
        <v>Adebo Xiang (Hónghé Hānízú Yízú Zìzhìzhōu)</v>
      </c>
      <c r="P2" s="15" t="str">
        <f t="shared" ref="P2:P65" si="1">IF(COUNTIF(O:O,O2)&gt;1,_xlfn.CONCAT(L2," (",M2,")"),O2)</f>
        <v>Adebo Xiang (Hónghé Hānízú Yízú Zìzhìzhōu)</v>
      </c>
    </row>
    <row r="3" spans="1:16" hidden="1" x14ac:dyDescent="0.25">
      <c r="A3" t="s">
        <v>1853</v>
      </c>
      <c r="B3" t="str">
        <f>IF(COUNTIF(A:A,A3)&gt;1,_xlfn.CONCAT(A3," (",N3,")"),A3)</f>
        <v>Ādū Xiāng</v>
      </c>
      <c r="C3" t="str">
        <f>IF(COUNTIF(B:B,B3)&gt;1,_xlfn.CONCAT(A3," (",M3,")"),B3)</f>
        <v>Ādū Xiāng</v>
      </c>
      <c r="D3" t="s">
        <v>1854</v>
      </c>
      <c r="E3" t="s">
        <v>7</v>
      </c>
      <c r="F3" t="str">
        <f>_xlfn.CONCAT(D3,", ",H3,", ",I3,", ","云南省")</f>
        <v>阿都乡, 宣威市, 曲靖市, 云南省</v>
      </c>
      <c r="G3">
        <v>29730</v>
      </c>
      <c r="H3" t="s">
        <v>2868</v>
      </c>
      <c r="I3" t="s">
        <v>2860</v>
      </c>
      <c r="J3" t="e">
        <f>VLOOKUP(F3,[1]!china_towns_second__2[[Column1]:[Y]],3,FALSE)</f>
        <v>#N/A</v>
      </c>
      <c r="K3" t="e">
        <f>VLOOKUP(F3,[1]!china_towns_second__2[[Column1]:[Y]],2,FALSE)</f>
        <v>#N/A</v>
      </c>
      <c r="L3" t="s">
        <v>3562</v>
      </c>
      <c r="M3" t="str">
        <f>VLOOKUP(H3,CHOOSE({1,2},Table17[Native],Table17[Name]),2,0)</f>
        <v>Xuānwēi Shì</v>
      </c>
      <c r="N3" s="15" t="str">
        <f>VLOOKUP(I3,CHOOSE({1,2},Table17[Native],Table17[Name]),2,0)</f>
        <v>Qŭjìng Shì</v>
      </c>
      <c r="O3" s="15" t="str">
        <f t="shared" si="0"/>
        <v>Adu Xiang (Qŭjìng Shì)</v>
      </c>
      <c r="P3" s="15" t="str">
        <f t="shared" si="1"/>
        <v>Adu Xiang (Qŭjìng Shì)</v>
      </c>
    </row>
    <row r="4" spans="1:16" hidden="1" x14ac:dyDescent="0.25">
      <c r="A4" t="s">
        <v>1856</v>
      </c>
      <c r="B4" t="str">
        <f>IF(COUNTIF(A:A,A4)&gt;1,_xlfn.CONCAT(A4," (",N4,")"),A4)</f>
        <v>Āgăng Zhèn</v>
      </c>
      <c r="C4" t="str">
        <f>IF(COUNTIF(B:B,B4)&gt;1,_xlfn.CONCAT(A4," (",M4,")"),B4)</f>
        <v>Āgăng Zhèn</v>
      </c>
      <c r="D4" t="s">
        <v>1857</v>
      </c>
      <c r="E4" t="s">
        <v>11</v>
      </c>
      <c r="F4" t="str">
        <f>_xlfn.CONCAT(D4,", ",H4,", ",I4,", ","云南省")</f>
        <v>阿岗镇, 罗平县, 曲靖市, 云南省</v>
      </c>
      <c r="G4">
        <v>70288</v>
      </c>
      <c r="H4" t="s">
        <v>2864</v>
      </c>
      <c r="I4" t="s">
        <v>2860</v>
      </c>
      <c r="J4">
        <f>VLOOKUP(F4,[1]!china_towns_second__2[[Column1]:[Y]],3,FALSE)</f>
        <v>25.067895805148598</v>
      </c>
      <c r="K4">
        <f>VLOOKUP(F4,[1]!china_towns_second__2[[Column1]:[Y]],2,FALSE)</f>
        <v>104.09668139999999</v>
      </c>
      <c r="L4" t="s">
        <v>3563</v>
      </c>
      <c r="M4" t="str">
        <f>VLOOKUP(H4,CHOOSE({1,2},Table17[Native],Table17[Name]),2,0)</f>
        <v>Luópíng Xiàn</v>
      </c>
      <c r="N4" s="15" t="str">
        <f>VLOOKUP(I4,CHOOSE({1,2},Table17[Native],Table17[Name]),2,0)</f>
        <v>Qŭjìng Shì</v>
      </c>
      <c r="O4" s="15" t="str">
        <f t="shared" si="0"/>
        <v>Agang Zhen (Qŭjìng Shì)</v>
      </c>
      <c r="P4" s="15" t="str">
        <f t="shared" si="1"/>
        <v>Agang Zhen (Qŭjìng Shì)</v>
      </c>
    </row>
    <row r="5" spans="1:16" hidden="1" x14ac:dyDescent="0.25">
      <c r="A5" t="s">
        <v>1431</v>
      </c>
      <c r="B5" t="str">
        <f>IF(COUNTIF(A:A,A5)&gt;1,_xlfn.CONCAT(A5," (",N5,")"),A5)</f>
        <v>Àihuá Zhèn</v>
      </c>
      <c r="C5" t="str">
        <f>IF(COUNTIF(B:B,B5)&gt;1,_xlfn.CONCAT(A5," (",M5,")"),B5)</f>
        <v>Àihuá Zhèn</v>
      </c>
      <c r="D5" t="s">
        <v>1432</v>
      </c>
      <c r="E5" t="s">
        <v>11</v>
      </c>
      <c r="F5" t="str">
        <f>_xlfn.CONCAT(D5,", ",H5,", ",I5,", ","云南省")</f>
        <v>爱华镇, 云县, 临沧市, 云南省</v>
      </c>
      <c r="G5">
        <v>106054</v>
      </c>
      <c r="H5" t="s">
        <v>2838</v>
      </c>
      <c r="I5" t="s">
        <v>2831</v>
      </c>
      <c r="J5">
        <f>VLOOKUP(F5,[1]!china_towns_second__2[[Column1]:[Y]],3,FALSE)</f>
        <v>24.385050584880901</v>
      </c>
      <c r="K5">
        <f>VLOOKUP(F5,[1]!china_towns_second__2[[Column1]:[Y]],2,FALSE)</f>
        <v>100.1026974</v>
      </c>
      <c r="L5" t="s">
        <v>3564</v>
      </c>
      <c r="M5" t="str">
        <f>VLOOKUP(H5,CHOOSE({1,2},Table17[Native],Table17[Name]),2,0)</f>
        <v>Yún Xiàn</v>
      </c>
      <c r="N5" s="15" t="str">
        <f>VLOOKUP(I5,CHOOSE({1,2},Table17[Native],Table17[Name]),2,0)</f>
        <v>Líncāng Shì</v>
      </c>
      <c r="O5" s="15" t="str">
        <f t="shared" si="0"/>
        <v>Aihua Zhen (Líncāng Shì)</v>
      </c>
      <c r="P5" s="15" t="str">
        <f t="shared" si="1"/>
        <v>Aihua Zhen (Líncāng Shì)</v>
      </c>
    </row>
    <row r="6" spans="1:16" hidden="1" x14ac:dyDescent="0.25">
      <c r="A6" t="s">
        <v>157</v>
      </c>
      <c r="B6" t="str">
        <f>IF(COUNTIF(A:A,A6)&gt;1,_xlfn.CONCAT(A6," (",N6,")"),A6)</f>
        <v>Àiníshān Xiāng</v>
      </c>
      <c r="C6" t="str">
        <f>IF(COUNTIF(B:B,B6)&gt;1,_xlfn.CONCAT(A6," (",M6,")"),B6)</f>
        <v>Àiníshān Xiāng</v>
      </c>
      <c r="D6" t="s">
        <v>158</v>
      </c>
      <c r="E6" t="s">
        <v>7</v>
      </c>
      <c r="F6" t="str">
        <f>_xlfn.CONCAT(D6,", ",H6,", ",I6,", ","云南省")</f>
        <v>爱尼山乡, 双柏县, 楚雄彝族自治州, 云南省</v>
      </c>
      <c r="G6">
        <v>13195</v>
      </c>
      <c r="H6" t="s">
        <v>2756</v>
      </c>
      <c r="I6" t="s">
        <v>2750</v>
      </c>
      <c r="J6" t="e">
        <f>VLOOKUP(F6,[1]!china_towns_second__2[[Column1]:[Y]],3,FALSE)</f>
        <v>#N/A</v>
      </c>
      <c r="K6" t="e">
        <f>VLOOKUP(F6,[1]!china_towns_second__2[[Column1]:[Y]],2,FALSE)</f>
        <v>#N/A</v>
      </c>
      <c r="L6" t="s">
        <v>3565</v>
      </c>
      <c r="M6" t="str">
        <f>VLOOKUP(H6,CHOOSE({1,2},Table17[Native],Table17[Name]),2,0)</f>
        <v>Shuāngbǎi Xiàn</v>
      </c>
      <c r="N6" s="15" t="str">
        <f>VLOOKUP(I6,CHOOSE({1,2},Table17[Native],Table17[Name]),2,0)</f>
        <v>Chŭxióng Yízú Zìzhìzhōu</v>
      </c>
      <c r="O6" s="15" t="str">
        <f t="shared" si="0"/>
        <v>Ainishan Xiang (Chŭxióng Yízú Zìzhìzhōu)</v>
      </c>
      <c r="P6" s="15" t="str">
        <f t="shared" si="1"/>
        <v>Ainishan Xiang (Chŭxióng Yízú Zìzhìzhōu)</v>
      </c>
    </row>
    <row r="7" spans="1:16" hidden="1" x14ac:dyDescent="0.25">
      <c r="A7" t="s">
        <v>1033</v>
      </c>
      <c r="B7" t="str">
        <f>IF(COUNTIF(A:A,A7)&gt;1,_xlfn.CONCAT(A7," (",N7,")"),A7)</f>
        <v>Ālā Jiēdào</v>
      </c>
      <c r="C7" t="str">
        <f>IF(COUNTIF(B:B,B7)&gt;1,_xlfn.CONCAT(A7," (",M7,")"),B7)</f>
        <v>Ālā Jiēdào</v>
      </c>
      <c r="D7" t="s">
        <v>1034</v>
      </c>
      <c r="E7" t="s">
        <v>42</v>
      </c>
      <c r="F7" t="str">
        <f>_xlfn.CONCAT(D7,", ",H7,", ",I7,", ","云南省")</f>
        <v>阿拉街道, 官渡区, 昆明市, 云南省</v>
      </c>
      <c r="G7">
        <v>58517</v>
      </c>
      <c r="H7" t="s">
        <v>2812</v>
      </c>
      <c r="I7" t="s">
        <v>2807</v>
      </c>
      <c r="J7">
        <f>VLOOKUP(F7,[1]!china_towns_second__2[[Column1]:[Y]],3,FALSE)</f>
        <v>25.007239263546101</v>
      </c>
      <c r="K7">
        <f>VLOOKUP(F7,[1]!china_towns_second__2[[Column1]:[Y]],2,FALSE)</f>
        <v>102.8393066</v>
      </c>
      <c r="L7" t="s">
        <v>3566</v>
      </c>
      <c r="M7" t="str">
        <f>VLOOKUP(H7,CHOOSE({1,2},Table17[Native],Table17[Name]),2,0)</f>
        <v>Guāndù Qū</v>
      </c>
      <c r="N7" s="15" t="str">
        <f>VLOOKUP(I7,CHOOSE({1,2},Table17[Native],Table17[Name]),2,0)</f>
        <v>Kūnmíng Shì</v>
      </c>
      <c r="O7" s="15" t="str">
        <f t="shared" si="0"/>
        <v>Ala Jiedao (Kūnmíng Shì)</v>
      </c>
      <c r="P7" s="15" t="str">
        <f t="shared" si="1"/>
        <v>Ala Jiedao (Kūnmíng Shì)</v>
      </c>
    </row>
    <row r="8" spans="1:16" hidden="1" x14ac:dyDescent="0.25">
      <c r="A8" t="s">
        <v>2059</v>
      </c>
      <c r="B8" t="str">
        <f>IF(COUNTIF(A:A,A8)&gt;1,_xlfn.CONCAT(A8," (",N8,")"),A8)</f>
        <v>Āmĕng Zhèn</v>
      </c>
      <c r="C8" t="str">
        <f>IF(COUNTIF(B:B,B8)&gt;1,_xlfn.CONCAT(A8," (",M8,")"),B8)</f>
        <v>Āmĕng Zhèn</v>
      </c>
      <c r="D8" t="s">
        <v>2060</v>
      </c>
      <c r="E8" t="s">
        <v>11</v>
      </c>
      <c r="F8" t="str">
        <f>_xlfn.CONCAT(D8,", ",H8,", ",I8,", ","云南省")</f>
        <v>阿猛镇, 砚山县, 文山壮族苗族自治州, 云南省</v>
      </c>
      <c r="G8">
        <v>53291</v>
      </c>
      <c r="H8" t="s">
        <v>2880</v>
      </c>
      <c r="I8" t="s">
        <v>2872</v>
      </c>
      <c r="J8">
        <f>VLOOKUP(F8,[1]!china_towns_second__2[[Column1]:[Y]],3,FALSE)</f>
        <v>23.817063390454901</v>
      </c>
      <c r="K8">
        <f>VLOOKUP(F8,[1]!china_towns_second__2[[Column1]:[Y]],2,FALSE)</f>
        <v>104.53908199999999</v>
      </c>
      <c r="L8" t="s">
        <v>3567</v>
      </c>
      <c r="M8" t="str">
        <f>VLOOKUP(H8,CHOOSE({1,2},Table17[Native],Table17[Name]),2,0)</f>
        <v>Yànshān Xiàn</v>
      </c>
      <c r="N8" s="15" t="str">
        <f>VLOOKUP(I8,CHOOSE({1,2},Table17[Native],Table17[Name]),2,0)</f>
        <v>Wénshān Zhuàngzú Miáozú Zìzhìzhōu</v>
      </c>
      <c r="O8" s="15" t="str">
        <f t="shared" si="0"/>
        <v>Ameng Zhen (Wénshān Zhuàngzú Miáozú Zìzhìzhōu)</v>
      </c>
      <c r="P8" s="15" t="str">
        <f t="shared" si="1"/>
        <v>Ameng Zhen (Wénshān Zhuàngzú Miáozú Zìzhìzhōu)</v>
      </c>
    </row>
    <row r="9" spans="1:16" hidden="1" x14ac:dyDescent="0.25">
      <c r="A9" t="s">
        <v>1649</v>
      </c>
      <c r="B9" t="str">
        <f>IF(COUNTIF(A:A,A9)&gt;1,_xlfn.CONCAT(A9," (",N9,")"),A9)</f>
        <v>Ànbăn Zhèn</v>
      </c>
      <c r="C9" t="str">
        <f>IF(COUNTIF(B:B,B9)&gt;1,_xlfn.CONCAT(A9," (",M9,")"),B9)</f>
        <v>Ànbăn Zhèn</v>
      </c>
      <c r="D9" t="s">
        <v>1650</v>
      </c>
      <c r="E9" t="s">
        <v>11</v>
      </c>
      <c r="F9" t="str">
        <f>_xlfn.CONCAT(D9,", ",H9,", ",I9,", ","云南省")</f>
        <v>按板镇, 镇沅彝族哈尼族拉祜族自治县, 普洱市, 云南省</v>
      </c>
      <c r="G9">
        <v>20810</v>
      </c>
      <c r="H9" t="s">
        <v>2858</v>
      </c>
      <c r="I9" t="s">
        <v>2848</v>
      </c>
      <c r="J9">
        <f>VLOOKUP(F9,[1]!china_towns_second__2[[Column1]:[Y]],3,FALSE)</f>
        <v>23.8389166552852</v>
      </c>
      <c r="K9">
        <f>VLOOKUP(F9,[1]!china_towns_second__2[[Column1]:[Y]],2,FALSE)</f>
        <v>100.87102040000001</v>
      </c>
      <c r="L9" t="s">
        <v>3568</v>
      </c>
      <c r="M9" t="str">
        <f>VLOOKUP(H9,CHOOSE({1,2},Table17[Native],Table17[Name]),2,0)</f>
        <v>Zhènyuán Yízú Hānízú Lāhùzú Zìzhìxiàn</v>
      </c>
      <c r="N9" s="15" t="str">
        <f>VLOOKUP(I9,CHOOSE({1,2},Table17[Native],Table17[Name]),2,0)</f>
        <v>Pŭ'ĕr Shì</v>
      </c>
      <c r="O9" s="15" t="str">
        <f t="shared" si="0"/>
        <v>Anban Zhen (Pŭ'ĕr Shì)</v>
      </c>
      <c r="P9" s="15" t="str">
        <f t="shared" si="1"/>
        <v>Anban Zhen (Pŭ'ĕr Shì)</v>
      </c>
    </row>
    <row r="10" spans="1:16" hidden="1" x14ac:dyDescent="0.25">
      <c r="A10" t="s">
        <v>1652</v>
      </c>
      <c r="B10" t="str">
        <f>IF(COUNTIF(A:A,A10)&gt;1,_xlfn.CONCAT(A10," (",N10,")"),A10)</f>
        <v>Āndìng Zhèn</v>
      </c>
      <c r="C10" t="str">
        <f>IF(COUNTIF(B:B,B10)&gt;1,_xlfn.CONCAT(A10," (",M10,")"),B10)</f>
        <v>Āndìng Zhèn</v>
      </c>
      <c r="D10" t="s">
        <v>1653</v>
      </c>
      <c r="E10" t="s">
        <v>11</v>
      </c>
      <c r="F10" t="str">
        <f>_xlfn.CONCAT(D10,", ",H10,", ",I10,", ","云南省")</f>
        <v>安定镇, 景东彝族自治县, 普洱市, 云南省</v>
      </c>
      <c r="G10">
        <v>19011</v>
      </c>
      <c r="H10" t="s">
        <v>2850</v>
      </c>
      <c r="I10" t="s">
        <v>2848</v>
      </c>
      <c r="J10">
        <f>VLOOKUP(F10,[1]!china_towns_second__2[[Column1]:[Y]],3,FALSE)</f>
        <v>24.7276868612276</v>
      </c>
      <c r="K10">
        <f>VLOOKUP(F10,[1]!china_towns_second__2[[Column1]:[Y]],2,FALSE)</f>
        <v>100.6552966</v>
      </c>
      <c r="L10" t="s">
        <v>3569</v>
      </c>
      <c r="M10" t="str">
        <f>VLOOKUP(H10,CHOOSE({1,2},Table17[Native],Table17[Name]),2,0)</f>
        <v>Jĭngdōng Yízú Zìzhìxiàn</v>
      </c>
      <c r="N10" s="15" t="str">
        <f>VLOOKUP(I10,CHOOSE({1,2},Table17[Native],Table17[Name]),2,0)</f>
        <v>Pŭ'ĕr Shì</v>
      </c>
      <c r="O10" s="15" t="str">
        <f t="shared" si="0"/>
        <v>Anding Zhen (Pŭ'ĕr Shì)</v>
      </c>
      <c r="P10" s="15" t="str">
        <f t="shared" si="1"/>
        <v>Anding Zhen (Pŭ'ĕr Shì)</v>
      </c>
    </row>
    <row r="11" spans="1:16" hidden="1" x14ac:dyDescent="0.25">
      <c r="A11" t="s">
        <v>2323</v>
      </c>
      <c r="B11" t="str">
        <f>IF(COUNTIF(A:A,A11)&gt;1,_xlfn.CONCAT(A11," (",N11,")"),A11)</f>
        <v>Ānhuà Yízú Xiāng</v>
      </c>
      <c r="C11" t="str">
        <f>IF(COUNTIF(B:B,B11)&gt;1,_xlfn.CONCAT(A11," (",M11,")"),B11)</f>
        <v>Ānhuà Yízú Xiāng</v>
      </c>
      <c r="D11" t="s">
        <v>2324</v>
      </c>
      <c r="E11" t="s">
        <v>7</v>
      </c>
      <c r="F11" t="str">
        <f>_xlfn.CONCAT(D11,", ",H11,", ",I11,", ","云南省")</f>
        <v>安化彝族乡, 江川区, 玉溪市, 云南省</v>
      </c>
      <c r="G11">
        <v>9160</v>
      </c>
      <c r="H11" t="s">
        <v>2893</v>
      </c>
      <c r="I11" t="s">
        <v>2888</v>
      </c>
      <c r="J11" t="e">
        <f>VLOOKUP(F11,[1]!china_towns_second__2[[Column1]:[Y]],3,FALSE)</f>
        <v>#N/A</v>
      </c>
      <c r="K11" t="e">
        <f>VLOOKUP(F11,[1]!china_towns_second__2[[Column1]:[Y]],2,FALSE)</f>
        <v>#N/A</v>
      </c>
      <c r="L11" t="s">
        <v>3570</v>
      </c>
      <c r="M11" t="str">
        <f>VLOOKUP(H11,CHOOSE({1,2},Table17[Native],Table17[Name]),2,0)</f>
        <v>Jiāngchuān Qū</v>
      </c>
      <c r="N11" s="15" t="str">
        <f>VLOOKUP(I11,CHOOSE({1,2},Table17[Native],Table17[Name]),2,0)</f>
        <v>Yùxī Shì</v>
      </c>
      <c r="O11" s="15" t="str">
        <f t="shared" si="0"/>
        <v>Anhua Yizu Xiang (Yùxī Shì)</v>
      </c>
      <c r="P11" s="15" t="str">
        <f t="shared" si="1"/>
        <v>Anhua Yizu Xiang (Yùxī Shì)</v>
      </c>
    </row>
    <row r="12" spans="1:16" hidden="1" x14ac:dyDescent="0.25">
      <c r="A12" t="s">
        <v>1655</v>
      </c>
      <c r="B12" t="str">
        <f>IF(COUNTIF(A:A,A12)&gt;1,_xlfn.CONCAT(A12," (",N12,")"),A12)</f>
        <v>Ānkāng Wăzú Xiāng</v>
      </c>
      <c r="C12" t="str">
        <f>IF(COUNTIF(B:B,B12)&gt;1,_xlfn.CONCAT(A12," (",M12,")"),B12)</f>
        <v>Ānkāng Wăzú Xiāng</v>
      </c>
      <c r="D12" t="s">
        <v>1656</v>
      </c>
      <c r="E12" t="s">
        <v>7</v>
      </c>
      <c r="F12" t="str">
        <f>_xlfn.CONCAT(D12,", ",H12,", ",I12,", ","云南省")</f>
        <v>安康佤族乡, 澜沧拉祜族自治县, 普洱市, 云南省</v>
      </c>
      <c r="G12">
        <v>13236</v>
      </c>
      <c r="H12" t="s">
        <v>2852</v>
      </c>
      <c r="I12" t="s">
        <v>2848</v>
      </c>
      <c r="J12" t="e">
        <f>VLOOKUP(F12,[1]!china_towns_second__2[[Column1]:[Y]],3,FALSE)</f>
        <v>#N/A</v>
      </c>
      <c r="K12" t="e">
        <f>VLOOKUP(F12,[1]!china_towns_second__2[[Column1]:[Y]],2,FALSE)</f>
        <v>#N/A</v>
      </c>
      <c r="L12" t="s">
        <v>3571</v>
      </c>
      <c r="M12" t="str">
        <f>VLOOKUP(H12,CHOOSE({1,2},Table17[Native],Table17[Name]),2,0)</f>
        <v>Láncāng Lāhùzú Zìzhìxiàn</v>
      </c>
      <c r="N12" s="15" t="str">
        <f>VLOOKUP(I12,CHOOSE({1,2},Table17[Native],Table17[Name]),2,0)</f>
        <v>Pŭ'ĕr Shì</v>
      </c>
      <c r="O12" s="15" t="str">
        <f t="shared" si="0"/>
        <v>Ankang Wazu Xiang (Pŭ'ĕr Shì)</v>
      </c>
      <c r="P12" s="15" t="str">
        <f t="shared" si="1"/>
        <v>Ankang Wazu Xiang (Pŭ'ĕr Shì)</v>
      </c>
    </row>
    <row r="13" spans="1:16" hidden="1" x14ac:dyDescent="0.25">
      <c r="A13" t="s">
        <v>160</v>
      </c>
      <c r="B13" t="str">
        <f>IF(COUNTIF(A:A,A13)&gt;1,_xlfn.CONCAT(A13," (",N13,")"),A13)</f>
        <v>Ānlè Xiāng</v>
      </c>
      <c r="C13" t="str">
        <f>IF(COUNTIF(B:B,B13)&gt;1,_xlfn.CONCAT(A13," (",M13,")"),B13)</f>
        <v>Ānlè Xiāng</v>
      </c>
      <c r="D13" t="s">
        <v>161</v>
      </c>
      <c r="E13" t="s">
        <v>7</v>
      </c>
      <c r="F13" t="str">
        <f>_xlfn.CONCAT(D13,", ",H13,", ",I13,", ","云南省")</f>
        <v>安乐乡, 牟定县, 楚雄彝族自治州, 云南省</v>
      </c>
      <c r="G13">
        <v>24224</v>
      </c>
      <c r="H13" t="s">
        <v>2754</v>
      </c>
      <c r="I13" t="s">
        <v>2750</v>
      </c>
      <c r="J13" t="e">
        <f>VLOOKUP(F13,[1]!china_towns_second__2[[Column1]:[Y]],3,FALSE)</f>
        <v>#N/A</v>
      </c>
      <c r="K13" t="e">
        <f>VLOOKUP(F13,[1]!china_towns_second__2[[Column1]:[Y]],2,FALSE)</f>
        <v>#N/A</v>
      </c>
      <c r="L13" t="s">
        <v>3572</v>
      </c>
      <c r="M13" t="str">
        <f>VLOOKUP(H13,CHOOSE({1,2},Table17[Native],Table17[Name]),2,0)</f>
        <v>Móudìng Xiàn</v>
      </c>
      <c r="N13" s="15" t="str">
        <f>VLOOKUP(I13,CHOOSE({1,2},Table17[Native],Table17[Name]),2,0)</f>
        <v>Chŭxióng Yízú Zìzhìzhōu</v>
      </c>
      <c r="O13" s="15" t="str">
        <f t="shared" si="0"/>
        <v>Anle Xiang (Chŭxióng Yízú Zìzhìzhōu)</v>
      </c>
      <c r="P13" s="15" t="str">
        <f t="shared" si="1"/>
        <v>Anle Xiang (Chŭxióng Yízú Zìzhìzhōu)</v>
      </c>
    </row>
    <row r="14" spans="1:16" hidden="1" x14ac:dyDescent="0.25">
      <c r="A14" t="s">
        <v>163</v>
      </c>
      <c r="B14" t="str">
        <f>IF(COUNTIF(A:A,A14)&gt;1,_xlfn.CONCAT(A14," (",N14,")"),A14)</f>
        <v>Ānlóngbăo Xiāng</v>
      </c>
      <c r="C14" t="str">
        <f>IF(COUNTIF(B:B,B14)&gt;1,_xlfn.CONCAT(A14," (",M14,")"),B14)</f>
        <v>Ānlóngbăo Xiāng</v>
      </c>
      <c r="D14" t="s">
        <v>164</v>
      </c>
      <c r="E14" t="s">
        <v>7</v>
      </c>
      <c r="F14" t="str">
        <f>_xlfn.CONCAT(D14,", ",H14,", ",I14,", ","云南省")</f>
        <v>安龙堡乡, 双柏县, 楚雄彝族自治州, 云南省</v>
      </c>
      <c r="G14">
        <v>9450</v>
      </c>
      <c r="H14" t="s">
        <v>2756</v>
      </c>
      <c r="I14" t="s">
        <v>2750</v>
      </c>
      <c r="J14" t="e">
        <f>VLOOKUP(F14,[1]!china_towns_second__2[[Column1]:[Y]],3,FALSE)</f>
        <v>#N/A</v>
      </c>
      <c r="K14" t="e">
        <f>VLOOKUP(F14,[1]!china_towns_second__2[[Column1]:[Y]],2,FALSE)</f>
        <v>#N/A</v>
      </c>
      <c r="L14" t="s">
        <v>3573</v>
      </c>
      <c r="M14" t="str">
        <f>VLOOKUP(H14,CHOOSE({1,2},Table17[Native],Table17[Name]),2,0)</f>
        <v>Shuāngbǎi Xiàn</v>
      </c>
      <c r="N14" s="15" t="str">
        <f>VLOOKUP(I14,CHOOSE({1,2},Table17[Native],Table17[Name]),2,0)</f>
        <v>Chŭxióng Yízú Zìzhìzhōu</v>
      </c>
      <c r="O14" s="15" t="str">
        <f t="shared" si="0"/>
        <v>Anlongbao Xiang (Chŭxióng Yízú Zìzhìzhōu)</v>
      </c>
      <c r="P14" s="15" t="str">
        <f t="shared" si="1"/>
        <v>Anlongbao Xiang (Chŭxióng Yízú Zìzhìzhōu)</v>
      </c>
    </row>
    <row r="15" spans="1:16" hidden="1" x14ac:dyDescent="0.25">
      <c r="A15" t="s">
        <v>2062</v>
      </c>
      <c r="B15" t="str">
        <f>IF(COUNTIF(A:A,A15)&gt;1,_xlfn.CONCAT(A15," (",N15,")"),A15)</f>
        <v>Āshè Yízú Xiāng</v>
      </c>
      <c r="C15" t="str">
        <f>IF(COUNTIF(B:B,B15)&gt;1,_xlfn.CONCAT(A15," (",M15,")"),B15)</f>
        <v>Āshè Yízú Xiāng</v>
      </c>
      <c r="D15" t="s">
        <v>2063</v>
      </c>
      <c r="E15" t="s">
        <v>7</v>
      </c>
      <c r="F15" t="str">
        <f>_xlfn.CONCAT(D15,", ",H15,", ",I15,", ","云南省")</f>
        <v>阿舍彝族乡, 砚山县, 文山壮族苗族自治州, 云南省</v>
      </c>
      <c r="G15">
        <v>24356</v>
      </c>
      <c r="H15" t="s">
        <v>2880</v>
      </c>
      <c r="I15" t="s">
        <v>2872</v>
      </c>
      <c r="J15" t="e">
        <f>VLOOKUP(F15,[1]!china_towns_second__2[[Column1]:[Y]],3,FALSE)</f>
        <v>#N/A</v>
      </c>
      <c r="K15" t="e">
        <f>VLOOKUP(F15,[1]!china_towns_second__2[[Column1]:[Y]],2,FALSE)</f>
        <v>#N/A</v>
      </c>
      <c r="L15" t="s">
        <v>3574</v>
      </c>
      <c r="M15" t="str">
        <f>VLOOKUP(H15,CHOOSE({1,2},Table17[Native],Table17[Name]),2,0)</f>
        <v>Yànshān Xiàn</v>
      </c>
      <c r="N15" s="15" t="str">
        <f>VLOOKUP(I15,CHOOSE({1,2},Table17[Native],Table17[Name]),2,0)</f>
        <v>Wénshān Zhuàngzú Miáozú Zìzhìzhōu</v>
      </c>
      <c r="O15" s="15" t="str">
        <f t="shared" si="0"/>
        <v>Ashe Yizu Xiang (Wénshān Zhuàngzú Miáozú Zìzhìzhōu)</v>
      </c>
      <c r="P15" s="15" t="str">
        <f t="shared" si="1"/>
        <v>Ashe Yizu Xiang (Wénshān Zhuàngzú Miáozú Zìzhìzhōu)</v>
      </c>
    </row>
    <row r="16" spans="1:16" hidden="1" x14ac:dyDescent="0.25">
      <c r="A16" t="s">
        <v>1036</v>
      </c>
      <c r="B16" t="str">
        <f>IF(COUNTIF(A:A,A16)&gt;1,_xlfn.CONCAT(A16," (",N16,")"),A16)</f>
        <v>Āwàng Zhèn</v>
      </c>
      <c r="C16" t="str">
        <f>IF(COUNTIF(B:B,B16)&gt;1,_xlfn.CONCAT(A16," (",M16,")"),B16)</f>
        <v>Āwàng Zhèn</v>
      </c>
      <c r="D16" t="s">
        <v>1037</v>
      </c>
      <c r="E16" t="s">
        <v>11</v>
      </c>
      <c r="F16" t="str">
        <f>_xlfn.CONCAT(D16,", ",H16,", ",I16,", ","云南省")</f>
        <v>阿旺镇, 东川区, 昆明市, 云南省</v>
      </c>
      <c r="G16">
        <v>30423</v>
      </c>
      <c r="H16" t="s">
        <v>2810</v>
      </c>
      <c r="I16" t="s">
        <v>2807</v>
      </c>
      <c r="J16">
        <f>VLOOKUP(F16,[1]!china_towns_second__2[[Column1]:[Y]],3,FALSE)</f>
        <v>25.9116133620083</v>
      </c>
      <c r="K16">
        <f>VLOOKUP(F16,[1]!china_towns_second__2[[Column1]:[Y]],2,FALSE)</f>
        <v>103.224965</v>
      </c>
      <c r="L16" t="s">
        <v>3575</v>
      </c>
      <c r="M16" t="str">
        <f>VLOOKUP(H16,CHOOSE({1,2},Table17[Native],Table17[Name]),2,0)</f>
        <v>Dōngchuān Qū</v>
      </c>
      <c r="N16" s="15" t="str">
        <f>VLOOKUP(I16,CHOOSE({1,2},Table17[Native],Table17[Name]),2,0)</f>
        <v>Kūnmíng Shì</v>
      </c>
      <c r="O16" s="15" t="str">
        <f t="shared" si="0"/>
        <v>Awang Zhen (Kūnmíng Shì)</v>
      </c>
      <c r="P16" s="15" t="str">
        <f t="shared" si="1"/>
        <v>Awang Zhen (Kūnmíng Shì)</v>
      </c>
    </row>
    <row r="17" spans="1:16" hidden="1" x14ac:dyDescent="0.25">
      <c r="A17" t="s">
        <v>2064</v>
      </c>
      <c r="B17" t="str">
        <f>IF(COUNTIF(A:A,A17)&gt;1,_xlfn.CONCAT(A17," (",N17,")"),A17)</f>
        <v>Āyòng Xiāng</v>
      </c>
      <c r="C17" t="str">
        <f>IF(COUNTIF(B:B,B17)&gt;1,_xlfn.CONCAT(A17," (",M17,")"),B17)</f>
        <v>Āyòng Xiāng</v>
      </c>
      <c r="D17" t="s">
        <v>2065</v>
      </c>
      <c r="E17" t="s">
        <v>7</v>
      </c>
      <c r="F17" t="str">
        <f>_xlfn.CONCAT(D17,", ",H17,", ",I17,", ","云南省")</f>
        <v>阿用乡, 富宁县, 文山壮族苗族自治州, 云南省</v>
      </c>
      <c r="G17">
        <v>17906</v>
      </c>
      <c r="H17" t="s">
        <v>2873</v>
      </c>
      <c r="I17" t="s">
        <v>2872</v>
      </c>
      <c r="J17" t="e">
        <f>VLOOKUP(F17,[1]!china_towns_second__2[[Column1]:[Y]],3,FALSE)</f>
        <v>#N/A</v>
      </c>
      <c r="K17" t="e">
        <f>VLOOKUP(F17,[1]!china_towns_second__2[[Column1]:[Y]],2,FALSE)</f>
        <v>#N/A</v>
      </c>
      <c r="L17" t="s">
        <v>3576</v>
      </c>
      <c r="M17" t="str">
        <f>VLOOKUP(H17,CHOOSE({1,2},Table17[Native],Table17[Name]),2,0)</f>
        <v>Fùníng Xiàn</v>
      </c>
      <c r="N17" s="15" t="str">
        <f>VLOOKUP(I17,CHOOSE({1,2},Table17[Native],Table17[Name]),2,0)</f>
        <v>Wénshān Zhuàngzú Miáozú Zìzhìzhōu</v>
      </c>
      <c r="O17" s="15" t="str">
        <f t="shared" si="0"/>
        <v>Ayong Xiang (Wénshān Zhuàngzú Miáozú Zìzhìzhōu)</v>
      </c>
      <c r="P17" s="15" t="str">
        <f t="shared" si="1"/>
        <v>Ayong Xiang (Wénshān Zhuàngzú Miáozú Zìzhìzhōu)</v>
      </c>
    </row>
    <row r="18" spans="1:16" hidden="1" x14ac:dyDescent="0.25">
      <c r="A18" t="s">
        <v>771</v>
      </c>
      <c r="B18" t="str">
        <f>IF(COUNTIF(A:A,A18)&gt;1,_xlfn.CONCAT(A18," (",N18,")"),A18)</f>
        <v>Āzhāhé Xiāng</v>
      </c>
      <c r="C18" t="str">
        <f>IF(COUNTIF(B:B,B18)&gt;1,_xlfn.CONCAT(A18," (",M18,")"),B18)</f>
        <v>Āzhāhé Xiāng</v>
      </c>
      <c r="D18" t="s">
        <v>772</v>
      </c>
      <c r="E18" t="s">
        <v>7</v>
      </c>
      <c r="F18" t="str">
        <f>_xlfn.CONCAT(D18,", ",H18,", ",I18,", ","云南省")</f>
        <v>阿扎河乡, 红河县, 红河哈尼族彝族自治州, 云南省</v>
      </c>
      <c r="G18">
        <v>39828</v>
      </c>
      <c r="H18" t="s">
        <v>2795</v>
      </c>
      <c r="I18" t="s">
        <v>2792</v>
      </c>
      <c r="J18" t="e">
        <f>VLOOKUP(F18,[1]!china_towns_second__2[[Column1]:[Y]],3,FALSE)</f>
        <v>#N/A</v>
      </c>
      <c r="K18" t="e">
        <f>VLOOKUP(F18,[1]!china_towns_second__2[[Column1]:[Y]],2,FALSE)</f>
        <v>#N/A</v>
      </c>
      <c r="L18" t="s">
        <v>3577</v>
      </c>
      <c r="M18" t="str">
        <f>VLOOKUP(H18,CHOOSE({1,2},Table17[Native],Table17[Name]),2,0)</f>
        <v>Hónghé Xiàn</v>
      </c>
      <c r="N18" s="15" t="str">
        <f>VLOOKUP(I18,CHOOSE({1,2},Table17[Native],Table17[Name]),2,0)</f>
        <v>Hónghé Hānízú Yízú Zìzhìzhōu</v>
      </c>
      <c r="O18" s="15" t="str">
        <f t="shared" si="0"/>
        <v>Azhahe Xiang (Hónghé Hānízú Yízú Zìzhìzhōu)</v>
      </c>
      <c r="P18" s="15" t="str">
        <f t="shared" si="1"/>
        <v>Azhahe Xiang (Hónghé Hānízú Yízú Zìzhìzhōu)</v>
      </c>
    </row>
    <row r="19" spans="1:16" hidden="1" x14ac:dyDescent="0.25">
      <c r="A19" t="s">
        <v>1039</v>
      </c>
      <c r="B19" t="str">
        <f>IF(COUNTIF(A:A,A19)&gt;1,_xlfn.CONCAT(A19," (",N19,")"),A19)</f>
        <v>Āziyíng Jiēdào</v>
      </c>
      <c r="C19" t="str">
        <f>IF(COUNTIF(B:B,B19)&gt;1,_xlfn.CONCAT(A19," (",M19,")"),B19)</f>
        <v>Āziyíng Jiēdào</v>
      </c>
      <c r="D19" t="s">
        <v>1040</v>
      </c>
      <c r="E19" t="s">
        <v>42</v>
      </c>
      <c r="F19" t="str">
        <f>_xlfn.CONCAT(D19,", ",H19,", ",I19,", ","云南省")</f>
        <v>阿子营街道, 盘龙区, 昆明市, 云南省</v>
      </c>
      <c r="G19">
        <v>27218</v>
      </c>
      <c r="H19" t="s">
        <v>2815</v>
      </c>
      <c r="I19" t="s">
        <v>2807</v>
      </c>
      <c r="J19" t="e">
        <f>VLOOKUP(F19,[1]!china_towns_second__2[[Column1]:[Y]],3,FALSE)</f>
        <v>#N/A</v>
      </c>
      <c r="K19" t="e">
        <f>VLOOKUP(F19,[1]!china_towns_second__2[[Column1]:[Y]],2,FALSE)</f>
        <v>#N/A</v>
      </c>
      <c r="L19" t="s">
        <v>3578</v>
      </c>
      <c r="M19" t="str">
        <f>VLOOKUP(H19,CHOOSE({1,2},Table17[Native],Table17[Name]),2,0)</f>
        <v>Pánlóng Qū</v>
      </c>
      <c r="N19" s="15" t="str">
        <f>VLOOKUP(I19,CHOOSE({1,2},Table17[Native],Table17[Name]),2,0)</f>
        <v>Kūnmíng Shì</v>
      </c>
      <c r="O19" s="15" t="str">
        <f t="shared" si="0"/>
        <v>Aziying Jiedao (Kūnmíng Shì)</v>
      </c>
      <c r="P19" s="15" t="str">
        <f t="shared" si="1"/>
        <v>Aziying Jiedao (Kūnmíng Shì)</v>
      </c>
    </row>
    <row r="20" spans="1:16" hidden="1" x14ac:dyDescent="0.25">
      <c r="A20" t="s">
        <v>2067</v>
      </c>
      <c r="B20" t="str">
        <f>IF(COUNTIF(A:A,A20)&gt;1,_xlfn.CONCAT(A20," (",N20,")"),A20)</f>
        <v>Bābăo Zhèn</v>
      </c>
      <c r="C20" t="str">
        <f>IF(COUNTIF(B:B,B20)&gt;1,_xlfn.CONCAT(A20," (",M20,")"),B20)</f>
        <v>Bābăo Zhèn</v>
      </c>
      <c r="D20" t="s">
        <v>2068</v>
      </c>
      <c r="E20" t="s">
        <v>11</v>
      </c>
      <c r="F20" t="str">
        <f>_xlfn.CONCAT(D20,", ",H20,", ",I20,", ","云南省")</f>
        <v>八宝镇, 广南县, 文山壮族苗族自治州, 云南省</v>
      </c>
      <c r="G20">
        <v>70665</v>
      </c>
      <c r="H20" t="s">
        <v>2874</v>
      </c>
      <c r="I20" t="s">
        <v>2872</v>
      </c>
      <c r="J20">
        <f>VLOOKUP(F20,[1]!china_towns_second__2[[Column1]:[Y]],3,FALSE)</f>
        <v>23.737524919273799</v>
      </c>
      <c r="K20">
        <f>VLOOKUP(F20,[1]!china_towns_second__2[[Column1]:[Y]],2,FALSE)</f>
        <v>105.43491109999999</v>
      </c>
      <c r="L20" t="s">
        <v>3579</v>
      </c>
      <c r="M20" t="str">
        <f>VLOOKUP(H20,CHOOSE({1,2},Table17[Native],Table17[Name]),2,0)</f>
        <v>Guăngnán Xiàn</v>
      </c>
      <c r="N20" s="15" t="str">
        <f>VLOOKUP(I20,CHOOSE({1,2},Table17[Native],Table17[Name]),2,0)</f>
        <v>Wénshān Zhuàngzú Miáozú Zìzhìzhōu</v>
      </c>
      <c r="O20" s="15" t="str">
        <f t="shared" si="0"/>
        <v>Babao Zhen (Wénshān Zhuàngzú Miáozú Zìzhìzhōu)</v>
      </c>
      <c r="P20" s="15" t="str">
        <f t="shared" si="1"/>
        <v>Babao Zhen (Wénshān Zhuàngzú Miáozú Zìzhìzhōu)</v>
      </c>
    </row>
    <row r="21" spans="1:16" hidden="1" x14ac:dyDescent="0.25">
      <c r="A21" t="s">
        <v>2070</v>
      </c>
      <c r="B21" t="str">
        <f>IF(COUNTIF(A:A,A21)&gt;1,_xlfn.CONCAT(A21," (",N21,")"),A21)</f>
        <v>Bābù Xiāng</v>
      </c>
      <c r="C21" t="str">
        <f>IF(COUNTIF(B:B,B21)&gt;1,_xlfn.CONCAT(A21," (",M21,")"),B21)</f>
        <v>Bābù Xiāng</v>
      </c>
      <c r="D21" t="s">
        <v>2071</v>
      </c>
      <c r="E21" t="s">
        <v>7</v>
      </c>
      <c r="F21" t="str">
        <f>_xlfn.CONCAT(D21,", ",H21,", ",I21,", ","云南省")</f>
        <v>八布乡, 麻栗坡县, 文山壮族苗族自治州, 云南省</v>
      </c>
      <c r="G21">
        <v>20387</v>
      </c>
      <c r="H21" t="s">
        <v>2876</v>
      </c>
      <c r="I21" t="s">
        <v>2872</v>
      </c>
      <c r="J21" t="e">
        <f>VLOOKUP(F21,[1]!china_towns_second__2[[Column1]:[Y]],3,FALSE)</f>
        <v>#N/A</v>
      </c>
      <c r="K21" t="e">
        <f>VLOOKUP(F21,[1]!china_towns_second__2[[Column1]:[Y]],2,FALSE)</f>
        <v>#N/A</v>
      </c>
      <c r="L21" t="s">
        <v>3580</v>
      </c>
      <c r="M21" t="str">
        <f>VLOOKUP(H21,CHOOSE({1,2},Table17[Native],Table17[Name]),2,0)</f>
        <v>Málìpō Xiàn</v>
      </c>
      <c r="N21" s="15" t="str">
        <f>VLOOKUP(I21,CHOOSE({1,2},Table17[Native],Table17[Name]),2,0)</f>
        <v>Wénshān Zhuàngzú Miáozú Zìzhìzhōu</v>
      </c>
      <c r="O21" s="15" t="str">
        <f t="shared" si="0"/>
        <v>Babu Xiang (Wénshān Zhuàngzú Miáozú Zìzhìzhōu)</v>
      </c>
      <c r="P21" s="15" t="str">
        <f t="shared" si="1"/>
        <v>Babu Xiang (Wénshān Zhuàngzú Miáozú Zìzhìzhōu)</v>
      </c>
    </row>
    <row r="22" spans="1:16" hidden="1" x14ac:dyDescent="0.25">
      <c r="A22" t="s">
        <v>2073</v>
      </c>
      <c r="B22" t="str">
        <f>IF(COUNTIF(A:A,A22)&gt;1,_xlfn.CONCAT(A22," (",N22,")"),A22)</f>
        <v>Bādàoshào Yízú Xiāng</v>
      </c>
      <c r="C22" t="str">
        <f>IF(COUNTIF(B:B,B22)&gt;1,_xlfn.CONCAT(A22," (",M22,")"),B22)</f>
        <v>Bādàoshào Yízú Xiāng</v>
      </c>
      <c r="D22" t="s">
        <v>2074</v>
      </c>
      <c r="E22" t="s">
        <v>7</v>
      </c>
      <c r="F22" t="str">
        <f>_xlfn.CONCAT(D22,", ",H22,", ",I22,", ","云南省")</f>
        <v>八道哨彝族乡, 丘北县, 文山壮族苗族自治州, 云南省</v>
      </c>
      <c r="G22">
        <v>31345</v>
      </c>
      <c r="H22" t="s">
        <v>2877</v>
      </c>
      <c r="I22" t="s">
        <v>2872</v>
      </c>
      <c r="J22" t="e">
        <f>VLOOKUP(F22,[1]!china_towns_second__2[[Column1]:[Y]],3,FALSE)</f>
        <v>#N/A</v>
      </c>
      <c r="K22" t="e">
        <f>VLOOKUP(F22,[1]!china_towns_second__2[[Column1]:[Y]],2,FALSE)</f>
        <v>#N/A</v>
      </c>
      <c r="L22" t="s">
        <v>3581</v>
      </c>
      <c r="M22" t="str">
        <f>VLOOKUP(H22,CHOOSE({1,2},Table17[Native],Table17[Name]),2,0)</f>
        <v>Qiūbĕi Xiàn</v>
      </c>
      <c r="N22" s="15" t="str">
        <f>VLOOKUP(I22,CHOOSE({1,2},Table17[Native],Table17[Name]),2,0)</f>
        <v>Wénshān Zhuàngzú Miáozú Zìzhìzhōu</v>
      </c>
      <c r="O22" s="15" t="str">
        <f t="shared" si="0"/>
        <v>Badaoshao Yizu Xiang (Wénshān Zhuàngzú Miáozú Zìzhìzhōu)</v>
      </c>
      <c r="P22" s="15" t="str">
        <f t="shared" si="1"/>
        <v>Badaoshao Yizu Xiang (Wénshān Zhuàngzú Miáozú Zìzhìzhōu)</v>
      </c>
    </row>
    <row r="23" spans="1:16" hidden="1" x14ac:dyDescent="0.25">
      <c r="A23" t="s">
        <v>707</v>
      </c>
      <c r="B23" t="str">
        <f>IF(COUNTIF(A:A,A23)&gt;1,_xlfn.CONCAT(A23," (",N23,")"),A23)</f>
        <v>Bādí Xiāng</v>
      </c>
      <c r="C23" t="str">
        <f>IF(COUNTIF(B:B,B23)&gt;1,_xlfn.CONCAT(A23," (",M23,")"),B23)</f>
        <v>Bādí Xiāng</v>
      </c>
      <c r="D23" t="s">
        <v>708</v>
      </c>
      <c r="E23" t="s">
        <v>7</v>
      </c>
      <c r="F23" t="str">
        <f>_xlfn.CONCAT(D23,", ",H23,", ",I23,", ","云南省")</f>
        <v>巴迪乡, 维西傈僳族自治县, 迪庆藏族自治州, 云南省</v>
      </c>
      <c r="G23">
        <v>9984</v>
      </c>
      <c r="H23" t="s">
        <v>2788</v>
      </c>
      <c r="I23" t="s">
        <v>2786</v>
      </c>
      <c r="J23" t="e">
        <f>VLOOKUP(F23,[1]!china_towns_second__2[[Column1]:[Y]],3,FALSE)</f>
        <v>#N/A</v>
      </c>
      <c r="K23" t="e">
        <f>VLOOKUP(F23,[1]!china_towns_second__2[[Column1]:[Y]],2,FALSE)</f>
        <v>#N/A</v>
      </c>
      <c r="L23" t="s">
        <v>3582</v>
      </c>
      <c r="M23" t="str">
        <f>VLOOKUP(H23,CHOOSE({1,2},Table17[Native],Table17[Name]),2,0)</f>
        <v>Wéixī Lìsùzú Zìzhìxiàn</v>
      </c>
      <c r="N23" s="15" t="str">
        <f>VLOOKUP(I23,CHOOSE({1,2},Table17[Native],Table17[Name]),2,0)</f>
        <v>Díqìng Zàngzú Zìzhìzhōu</v>
      </c>
      <c r="O23" s="15" t="str">
        <f t="shared" si="0"/>
        <v>Badi Xiang (Díqìng Zàngzú Zìzhìzhōu)</v>
      </c>
      <c r="P23" s="15" t="str">
        <f t="shared" si="1"/>
        <v>Badi Xiang (Díqìng Zàngzú Zìzhìzhōu)</v>
      </c>
    </row>
    <row r="24" spans="1:16" hidden="1" x14ac:dyDescent="0.25">
      <c r="A24" t="s">
        <v>2076</v>
      </c>
      <c r="B24" t="str">
        <f>IF(COUNTIF(A:A,A24)&gt;1,_xlfn.CONCAT(A24," (",N24,")"),A24)</f>
        <v>Bāgā Xiāng</v>
      </c>
      <c r="C24" t="str">
        <f>IF(COUNTIF(B:B,B24)&gt;1,_xlfn.CONCAT(A24," (",M24,")"),B24)</f>
        <v>Bāgā Xiāng</v>
      </c>
      <c r="D24" t="s">
        <v>2077</v>
      </c>
      <c r="E24" t="s">
        <v>7</v>
      </c>
      <c r="F24" t="str">
        <f>_xlfn.CONCAT(D24,", ",H24,", ",I24,", ","云南省")</f>
        <v>八嘎乡, 砚山县, 文山壮族苗族自治州, 云南省</v>
      </c>
      <c r="G24">
        <v>31697</v>
      </c>
      <c r="H24" t="s">
        <v>2880</v>
      </c>
      <c r="I24" t="s">
        <v>2872</v>
      </c>
      <c r="J24" t="e">
        <f>VLOOKUP(F24,[1]!china_towns_second__2[[Column1]:[Y]],3,FALSE)</f>
        <v>#N/A</v>
      </c>
      <c r="K24" t="e">
        <f>VLOOKUP(F24,[1]!china_towns_second__2[[Column1]:[Y]],2,FALSE)</f>
        <v>#N/A</v>
      </c>
      <c r="L24" t="s">
        <v>3583</v>
      </c>
      <c r="M24" t="str">
        <f>VLOOKUP(H24,CHOOSE({1,2},Table17[Native],Table17[Name]),2,0)</f>
        <v>Yànshān Xiàn</v>
      </c>
      <c r="N24" s="15" t="str">
        <f>VLOOKUP(I24,CHOOSE({1,2},Table17[Native],Table17[Name]),2,0)</f>
        <v>Wénshān Zhuàngzú Miáozú Zìzhìzhōu</v>
      </c>
      <c r="O24" s="15" t="str">
        <f t="shared" si="0"/>
        <v>Baga Xiang (Wénshān Zhuàngzú Miáozú Zìzhìzhōu)</v>
      </c>
      <c r="P24" s="15" t="str">
        <f t="shared" si="1"/>
        <v>Baga Xiang (Wénshān Zhuàngzú Miáozú Zìzhìzhōu)</v>
      </c>
    </row>
    <row r="25" spans="1:16" hidden="1" x14ac:dyDescent="0.25">
      <c r="A25" t="s">
        <v>774</v>
      </c>
      <c r="B25" t="str">
        <f>IF(COUNTIF(A:A,A25)&gt;1,_xlfn.CONCAT(A25," (",N25,")"),A25)</f>
        <v>Báihé Zhèn</v>
      </c>
      <c r="C25" t="str">
        <f>IF(COUNTIF(B:B,B25)&gt;1,_xlfn.CONCAT(A25," (",M25,")"),B25)</f>
        <v>Báihé Zhèn</v>
      </c>
      <c r="D25" t="s">
        <v>775</v>
      </c>
      <c r="E25" t="s">
        <v>11</v>
      </c>
      <c r="F25" t="str">
        <f>_xlfn.CONCAT(D25,", ",H25,", ",I25,", ","云南省")</f>
        <v>白河镇, 屏边苗族自治县, 红河哈尼族彝族自治州, 云南省</v>
      </c>
      <c r="G25">
        <v>24113</v>
      </c>
      <c r="H25" t="s">
        <v>2803</v>
      </c>
      <c r="I25" t="s">
        <v>2792</v>
      </c>
      <c r="J25">
        <f>VLOOKUP(F25,[1]!china_towns_second__2[[Column1]:[Y]],3,FALSE)</f>
        <v>22.969670915217201</v>
      </c>
      <c r="K25">
        <f>VLOOKUP(F25,[1]!china_towns_second__2[[Column1]:[Y]],2,FALSE)</f>
        <v>103.8538767</v>
      </c>
      <c r="L25" t="s">
        <v>3584</v>
      </c>
      <c r="M25" t="str">
        <f>VLOOKUP(H25,CHOOSE({1,2},Table17[Native],Table17[Name]),2,0)</f>
        <v>Píngbiān Miáozú Zìzhìxiàn</v>
      </c>
      <c r="N25" s="15" t="str">
        <f>VLOOKUP(I25,CHOOSE({1,2},Table17[Native],Table17[Name]),2,0)</f>
        <v>Hónghé Hānízú Yízú Zìzhìzhōu</v>
      </c>
      <c r="O25" s="15" t="str">
        <f t="shared" si="0"/>
        <v>Baihe Zhen (Hónghé Hānízú Yízú Zìzhìzhōu)</v>
      </c>
      <c r="P25" s="15" t="str">
        <f t="shared" si="1"/>
        <v>Baihe Zhen (Hónghé Hānízú Yízú Zìzhìzhōu)</v>
      </c>
    </row>
    <row r="26" spans="1:16" hidden="1" x14ac:dyDescent="0.25">
      <c r="A26" t="s">
        <v>2465</v>
      </c>
      <c r="B26" t="str">
        <f>IF(COUNTIF(A:A,A26)&gt;1,_xlfn.CONCAT(A26," (",N26,")"),A26)</f>
        <v>Báihètān Zhèn</v>
      </c>
      <c r="C26" t="str">
        <f>IF(COUNTIF(B:B,B26)&gt;1,_xlfn.CONCAT(A26," (",M26,")"),B26)</f>
        <v>Báihètān Zhèn</v>
      </c>
      <c r="D26" t="s">
        <v>2466</v>
      </c>
      <c r="E26" t="s">
        <v>11</v>
      </c>
      <c r="F26" t="str">
        <f>_xlfn.CONCAT(D26,", ",H26,", ",I26,", ","云南省")</f>
        <v>白鹤滩镇, 巧家县, 昭通市, 云南省</v>
      </c>
      <c r="G26">
        <v>101175</v>
      </c>
      <c r="H26" t="s">
        <v>2902</v>
      </c>
      <c r="I26" t="s">
        <v>2899</v>
      </c>
      <c r="J26">
        <f>VLOOKUP(F26,[1]!china_towns_second__2[[Column1]:[Y]],3,FALSE)</f>
        <v>26.994086614482701</v>
      </c>
      <c r="K26">
        <f>VLOOKUP(F26,[1]!china_towns_second__2[[Column1]:[Y]],2,FALSE)</f>
        <v>102.9487324</v>
      </c>
      <c r="L26" t="s">
        <v>3585</v>
      </c>
      <c r="M26" t="str">
        <f>VLOOKUP(H26,CHOOSE({1,2},Table17[Native],Table17[Name]),2,0)</f>
        <v>Qiăojiā Xiàn</v>
      </c>
      <c r="N26" s="15" t="str">
        <f>VLOOKUP(I26,CHOOSE({1,2},Table17[Native],Table17[Name]),2,0)</f>
        <v>Zhāotōng Shì</v>
      </c>
      <c r="O26" s="15" t="str">
        <f t="shared" si="0"/>
        <v>Baihetan Zhen (Zhāotōng Shì)</v>
      </c>
      <c r="P26" s="15" t="str">
        <f t="shared" si="1"/>
        <v>Baihetan Zhen (Zhāotōng Shì)</v>
      </c>
    </row>
    <row r="27" spans="1:16" hidden="1" x14ac:dyDescent="0.25">
      <c r="A27" t="s">
        <v>710</v>
      </c>
      <c r="B27" t="str">
        <f>IF(COUNTIF(A:A,A27)&gt;1,_xlfn.CONCAT(A27," (",N27,")"),A27)</f>
        <v>Báijìxùn Xiāng</v>
      </c>
      <c r="C27" t="str">
        <f>IF(COUNTIF(B:B,B27)&gt;1,_xlfn.CONCAT(A27," (",M27,")"),B27)</f>
        <v>Báijìxùn Xiāng</v>
      </c>
      <c r="D27" t="s">
        <v>711</v>
      </c>
      <c r="E27" t="s">
        <v>7</v>
      </c>
      <c r="F27" t="str">
        <f>_xlfn.CONCAT(D27,", ",H27,", ",I27,", ","云南省")</f>
        <v>白济汛乡, 维西傈僳族自治县, 迪庆藏族自治州, 云南省</v>
      </c>
      <c r="G27">
        <v>25415</v>
      </c>
      <c r="H27" t="s">
        <v>2788</v>
      </c>
      <c r="I27" t="s">
        <v>2786</v>
      </c>
      <c r="J27" t="e">
        <f>VLOOKUP(F27,[1]!china_towns_second__2[[Column1]:[Y]],3,FALSE)</f>
        <v>#N/A</v>
      </c>
      <c r="K27" t="e">
        <f>VLOOKUP(F27,[1]!china_towns_second__2[[Column1]:[Y]],2,FALSE)</f>
        <v>#N/A</v>
      </c>
      <c r="L27" t="s">
        <v>3586</v>
      </c>
      <c r="M27" t="str">
        <f>VLOOKUP(H27,CHOOSE({1,2},Table17[Native],Table17[Name]),2,0)</f>
        <v>Wéixī Lìsùzú Zìzhìxiàn</v>
      </c>
      <c r="N27" s="15" t="str">
        <f>VLOOKUP(I27,CHOOSE({1,2},Table17[Native],Table17[Name]),2,0)</f>
        <v>Díqìng Zàngzú Zìzhìzhōu</v>
      </c>
      <c r="O27" s="15" t="str">
        <f t="shared" si="0"/>
        <v>Baijixun Xiang (Díqìng Zàngzú Zìzhìzhōu)</v>
      </c>
      <c r="P27" s="15" t="str">
        <f t="shared" si="1"/>
        <v>Baijixun Xiang (Díqìng Zàngzú Zìzhìzhōu)</v>
      </c>
    </row>
    <row r="28" spans="1:16" hidden="1" x14ac:dyDescent="0.25">
      <c r="A28" t="s">
        <v>5</v>
      </c>
      <c r="B28" t="str">
        <f>IF(COUNTIF(A:A,A28)&gt;1,_xlfn.CONCAT(A28," (",N28,")"),A28)</f>
        <v>Băiláng Yízú Bùlăngzú Xiāng</v>
      </c>
      <c r="C28" t="str">
        <f>IF(COUNTIF(B:B,B28)&gt;1,_xlfn.CONCAT(A28," (",M28,")"),B28)</f>
        <v>Băiláng Yízú Bùlăngzú Xiāng</v>
      </c>
      <c r="D28" t="s">
        <v>6</v>
      </c>
      <c r="E28" t="s">
        <v>7</v>
      </c>
      <c r="F28" t="str">
        <f>_xlfn.CONCAT(D28,", ",H28,", ",I28,", ","云南省")</f>
        <v>摆榔彝族布朗族乡, 施甸县, 保山市, 云南省</v>
      </c>
      <c r="G28">
        <v>6578</v>
      </c>
      <c r="H28" t="s">
        <v>2745</v>
      </c>
      <c r="I28" t="s">
        <v>2739</v>
      </c>
      <c r="J28" t="e">
        <f>VLOOKUP(F28,[1]!china_towns_second__2[[Column1]:[Y]],3,FALSE)</f>
        <v>#N/A</v>
      </c>
      <c r="K28" t="e">
        <f>VLOOKUP(F28,[1]!china_towns_second__2[[Column1]:[Y]],2,FALSE)</f>
        <v>#N/A</v>
      </c>
      <c r="L28" t="s">
        <v>3587</v>
      </c>
      <c r="M28" t="str">
        <f>VLOOKUP(H28,CHOOSE({1,2},Table17[Native],Table17[Name]),2,0)</f>
        <v>Shīdiàn Xiàn</v>
      </c>
      <c r="N28" s="15" t="str">
        <f>VLOOKUP(I28,CHOOSE({1,2},Table17[Native],Table17[Name]),2,0)</f>
        <v>Băoshān Shì</v>
      </c>
      <c r="O28" s="15" t="str">
        <f t="shared" si="0"/>
        <v>Bailang Yizu Bulangzu Xiang (Băoshān Shì)</v>
      </c>
      <c r="P28" s="15" t="str">
        <f t="shared" si="1"/>
        <v>Bailang Yizu Bulangzu Xiang (Băoshān Shì)</v>
      </c>
    </row>
    <row r="29" spans="1:16" hidden="1" x14ac:dyDescent="0.25">
      <c r="A29" t="s">
        <v>2078</v>
      </c>
      <c r="B29" t="str">
        <f>IF(COUNTIF(A:A,A29)&gt;1,_xlfn.CONCAT(A29," (",N29,")"),A29)</f>
        <v>Bǎilín Xiāng</v>
      </c>
      <c r="C29" t="str">
        <f>IF(COUNTIF(B:B,B29)&gt;1,_xlfn.CONCAT(A29," (",M29,")"),B29)</f>
        <v>Bǎilín Xiāng</v>
      </c>
      <c r="D29" t="s">
        <v>2079</v>
      </c>
      <c r="E29" t="s">
        <v>7</v>
      </c>
      <c r="F29" t="str">
        <f>_xlfn.CONCAT(D29,", ",H29,", ",I29,", ","云南省")</f>
        <v>柏林乡, 西畴县, 文山壮族苗族自治州, 云南省</v>
      </c>
      <c r="G29">
        <v>11711</v>
      </c>
      <c r="H29" t="s">
        <v>2879</v>
      </c>
      <c r="I29" t="s">
        <v>2872</v>
      </c>
      <c r="J29" t="e">
        <f>VLOOKUP(F29,[1]!china_towns_second__2[[Column1]:[Y]],3,FALSE)</f>
        <v>#N/A</v>
      </c>
      <c r="K29" t="e">
        <f>VLOOKUP(F29,[1]!china_towns_second__2[[Column1]:[Y]],2,FALSE)</f>
        <v>#N/A</v>
      </c>
      <c r="L29" t="s">
        <v>3588</v>
      </c>
      <c r="M29" t="str">
        <f>VLOOKUP(H29,CHOOSE({1,2},Table17[Native],Table17[Name]),2,0)</f>
        <v>Xīchóu Xiàn</v>
      </c>
      <c r="N29" s="15" t="str">
        <f>VLOOKUP(I29,CHOOSE({1,2},Table17[Native],Table17[Name]),2,0)</f>
        <v>Wénshān Zhuàngzú Miáozú Zìzhìzhōu</v>
      </c>
      <c r="O29" s="15" t="str">
        <f t="shared" si="0"/>
        <v>Bailin Xiang (Wénshān Zhuàngzú Miáozú Zìzhìzhōu)</v>
      </c>
      <c r="P29" s="15" t="str">
        <f t="shared" si="1"/>
        <v>Bailin Xiang (Wénshān Zhuàngzú Miáozú Zìzhìzhōu)</v>
      </c>
    </row>
    <row r="30" spans="1:16" hidden="1" x14ac:dyDescent="0.25">
      <c r="A30" t="s">
        <v>165</v>
      </c>
      <c r="B30" t="str">
        <f>IF(COUNTIF(A:A,A30)&gt;1,_xlfn.CONCAT(A30," (",N30,")"),A30)</f>
        <v>Báilù Zhèn</v>
      </c>
      <c r="C30" t="str">
        <f>IF(COUNTIF(B:B,B30)&gt;1,_xlfn.CONCAT(A30," (",M30,")"),B30)</f>
        <v>Báilù Zhèn</v>
      </c>
      <c r="D30" t="s">
        <v>166</v>
      </c>
      <c r="E30" t="s">
        <v>11</v>
      </c>
      <c r="F30" t="str">
        <f>_xlfn.CONCAT(D30,", ",H30,", ",I30,", ","云南省")</f>
        <v>白路镇, 武定县, 楚雄彝族自治州, 云南省</v>
      </c>
      <c r="G30">
        <v>14156</v>
      </c>
      <c r="H30" t="s">
        <v>2757</v>
      </c>
      <c r="I30" t="s">
        <v>2750</v>
      </c>
      <c r="J30">
        <f>VLOOKUP(F30,[1]!china_towns_second__2[[Column1]:[Y]],3,FALSE)</f>
        <v>25.660498768721801</v>
      </c>
      <c r="K30">
        <f>VLOOKUP(F30,[1]!china_towns_second__2[[Column1]:[Y]],2,FALSE)</f>
        <v>102.0283287</v>
      </c>
      <c r="L30" t="s">
        <v>3589</v>
      </c>
      <c r="M30" t="str">
        <f>VLOOKUP(H30,CHOOSE({1,2},Table17[Native],Table17[Name]),2,0)</f>
        <v>Wŭdìng Xiàn</v>
      </c>
      <c r="N30" s="15" t="str">
        <f>VLOOKUP(I30,CHOOSE({1,2},Table17[Native],Table17[Name]),2,0)</f>
        <v>Chŭxióng Yízú Zìzhìzhōu</v>
      </c>
      <c r="O30" s="15" t="str">
        <f t="shared" si="0"/>
        <v>Bailu Zhen (Chŭxióng Yízú Zìzhìzhōu)</v>
      </c>
      <c r="P30" s="15" t="str">
        <f t="shared" si="1"/>
        <v>Bailu Zhen (Chŭxióng Yízú Zìzhìzhōu)</v>
      </c>
    </row>
    <row r="31" spans="1:16" hidden="1" x14ac:dyDescent="0.25">
      <c r="A31" t="s">
        <v>1304</v>
      </c>
      <c r="B31" t="str">
        <f>IF(COUNTIF(A:A,A31)&gt;1,_xlfn.CONCAT(A31," (",N31,")"),A31)</f>
        <v>Báishā Zhèn</v>
      </c>
      <c r="C31" t="str">
        <f>IF(COUNTIF(B:B,B31)&gt;1,_xlfn.CONCAT(A31," (",M31,")"),B31)</f>
        <v>Báishā Zhèn</v>
      </c>
      <c r="D31" t="s">
        <v>1305</v>
      </c>
      <c r="E31" t="s">
        <v>11</v>
      </c>
      <c r="F31" t="str">
        <f>_xlfn.CONCAT(D31,", ",H31,", ",I31,", ","云南省")</f>
        <v>白沙镇, 玉龙纳西族自治县, 丽江市, 云南省</v>
      </c>
      <c r="G31">
        <v>8157</v>
      </c>
      <c r="H31" t="s">
        <v>2829</v>
      </c>
      <c r="I31" t="s">
        <v>2823</v>
      </c>
      <c r="J31">
        <f>VLOOKUP(F31,[1]!china_towns_second__2[[Column1]:[Y]],3,FALSE)</f>
        <v>27.0123274042842</v>
      </c>
      <c r="K31">
        <f>VLOOKUP(F31,[1]!china_towns_second__2[[Column1]:[Y]],2,FALSE)</f>
        <v>100.2145592</v>
      </c>
      <c r="L31" t="s">
        <v>3590</v>
      </c>
      <c r="M31" t="str">
        <f>VLOOKUP(H31,CHOOSE({1,2},Table17[Native],Table17[Name]),2,0)</f>
        <v>Yùlóng Nàxīzú Zìzhìxiàn</v>
      </c>
      <c r="N31" s="15" t="str">
        <f>VLOOKUP(I31,CHOOSE({1,2},Table17[Native],Table17[Name]),2,0)</f>
        <v>Lìjiāng Shì</v>
      </c>
      <c r="O31" s="15" t="str">
        <f t="shared" si="0"/>
        <v>Baisha Zhen (Lìjiāng Shì)</v>
      </c>
      <c r="P31" s="15" t="str">
        <f t="shared" si="1"/>
        <v>Baisha Zhen (Lìjiāng Shì)</v>
      </c>
    </row>
    <row r="32" spans="1:16" hidden="1" x14ac:dyDescent="0.25">
      <c r="A32" t="s">
        <v>367</v>
      </c>
      <c r="B32" t="str">
        <f>IF(COUNTIF(A:A,A32)&gt;1,_xlfn.CONCAT(A32," (",N32,")"),A32)</f>
        <v>Báishí Zhèn</v>
      </c>
      <c r="C32" t="str">
        <f>IF(COUNTIF(B:B,B32)&gt;1,_xlfn.CONCAT(A32," (",M32,")"),B32)</f>
        <v>Báishí Zhèn</v>
      </c>
      <c r="D32" t="s">
        <v>368</v>
      </c>
      <c r="E32" t="s">
        <v>11</v>
      </c>
      <c r="F32" t="str">
        <f>_xlfn.CONCAT(D32,", ",H32,", ",I32,", ","云南省")</f>
        <v>白石镇, 云龙县, 大理白族自治州, 云南省</v>
      </c>
      <c r="G32">
        <v>12956</v>
      </c>
      <c r="H32" t="s">
        <v>2776</v>
      </c>
      <c r="I32" t="s">
        <v>2763</v>
      </c>
      <c r="J32">
        <f>VLOOKUP(F32,[1]!china_towns_second__2[[Column1]:[Y]],3,FALSE)</f>
        <v>26.256015791389199</v>
      </c>
      <c r="K32">
        <f>VLOOKUP(F32,[1]!china_towns_second__2[[Column1]:[Y]],2,FALSE)</f>
        <v>99.407461600000005</v>
      </c>
      <c r="L32" t="s">
        <v>3591</v>
      </c>
      <c r="M32" t="str">
        <f>VLOOKUP(H32,CHOOSE({1,2},Table17[Native],Table17[Name]),2,0)</f>
        <v>Yúnlóng Xiàn</v>
      </c>
      <c r="N32" s="15" t="str">
        <f>VLOOKUP(I32,CHOOSE({1,2},Table17[Native],Table17[Name]),2,0)</f>
        <v>Dàlĭ Báizú Zìzhìzhōu</v>
      </c>
      <c r="O32" s="15" t="str">
        <f t="shared" si="0"/>
        <v>Baishi Zhen (Dàlĭ Báizú Zìzhìzhōu)</v>
      </c>
      <c r="P32" s="15" t="str">
        <f t="shared" si="1"/>
        <v>Baishi Zhen (Dàlĭ Báizú Zìzhìzhōu)</v>
      </c>
    </row>
    <row r="33" spans="1:16" hidden="1" x14ac:dyDescent="0.25">
      <c r="A33" t="s">
        <v>1859</v>
      </c>
      <c r="B33" t="str">
        <f>IF(COUNTIF(A:A,A33)&gt;1,_xlfn.CONCAT(A33," (",N33,")"),A33)</f>
        <v>Báishíjiāng Jiēdào</v>
      </c>
      <c r="C33" t="str">
        <f>IF(COUNTIF(B:B,B33)&gt;1,_xlfn.CONCAT(A33," (",M33,")"),B33)</f>
        <v>Báishíjiāng Jiēdào</v>
      </c>
      <c r="D33" t="s">
        <v>1860</v>
      </c>
      <c r="E33" t="s">
        <v>42</v>
      </c>
      <c r="F33" t="str">
        <f>_xlfn.CONCAT(D33,", ",H33,", ",I33,", ","云南省")</f>
        <v>白石江街道, 麒麟区, 曲靖市, 云南省</v>
      </c>
      <c r="G33">
        <v>91952</v>
      </c>
      <c r="H33" t="s">
        <v>2866</v>
      </c>
      <c r="I33" t="s">
        <v>2860</v>
      </c>
      <c r="J33">
        <f>VLOOKUP(F33,[1]!china_towns_second__2[[Column1]:[Y]],3,FALSE)</f>
        <v>25.5161775318671</v>
      </c>
      <c r="K33">
        <f>VLOOKUP(F33,[1]!china_towns_second__2[[Column1]:[Y]],2,FALSE)</f>
        <v>103.82261010000001</v>
      </c>
      <c r="L33" t="s">
        <v>3592</v>
      </c>
      <c r="M33" t="str">
        <f>VLOOKUP(H33,CHOOSE({1,2},Table17[Native],Table17[Name]),2,0)</f>
        <v>Qílín Qū</v>
      </c>
      <c r="N33" s="15" t="str">
        <f>VLOOKUP(I33,CHOOSE({1,2},Table17[Native],Table17[Name]),2,0)</f>
        <v>Qŭjìng Shì</v>
      </c>
      <c r="O33" s="15" t="str">
        <f t="shared" si="0"/>
        <v>Baishijiang Jiedao (Qŭjìng Shì)</v>
      </c>
      <c r="P33" s="15" t="str">
        <f t="shared" si="1"/>
        <v>Baishijiang Jiedao (Qŭjìng Shì)</v>
      </c>
    </row>
    <row r="34" spans="1:16" hidden="1" x14ac:dyDescent="0.25">
      <c r="A34" t="s">
        <v>777</v>
      </c>
      <c r="B34" t="str">
        <f>IF(COUNTIF(A:A,A34)&gt;1,_xlfn.CONCAT(A34," (",N34,")"),A34)</f>
        <v>Báishuĭ Zhèn (Hónghé Hānízú Yízú Zìzhìzhōu)</v>
      </c>
      <c r="C34" t="str">
        <f>IF(COUNTIF(B:B,B34)&gt;1,_xlfn.CONCAT(A34," (",M34,")"),B34)</f>
        <v>Báishuĭ Zhèn (Hónghé Hānízú Yízú Zìzhìzhōu)</v>
      </c>
      <c r="D34" t="s">
        <v>778</v>
      </c>
      <c r="E34" t="s">
        <v>11</v>
      </c>
      <c r="F34" t="str">
        <f>_xlfn.CONCAT(D34,", ",H34,", ",I34,", ","云南省")</f>
        <v>白水镇, 泸西县, 红河哈尼族彝族自治州, 云南省</v>
      </c>
      <c r="G34">
        <v>47401</v>
      </c>
      <c r="H34" t="s">
        <v>2800</v>
      </c>
      <c r="I34" t="s">
        <v>2792</v>
      </c>
      <c r="J34">
        <f>VLOOKUP(F34,[1]!china_towns_second__2[[Column1]:[Y]],3,FALSE)</f>
        <v>24.617342459020701</v>
      </c>
      <c r="K34">
        <f>VLOOKUP(F34,[1]!china_towns_second__2[[Column1]:[Y]],2,FALSE)</f>
        <v>103.8678738</v>
      </c>
      <c r="L34" t="s">
        <v>3593</v>
      </c>
      <c r="M34" t="str">
        <f>VLOOKUP(H34,CHOOSE({1,2},Table17[Native],Table17[Name]),2,0)</f>
        <v>Lúxī Xiàn</v>
      </c>
      <c r="N34" s="15" t="str">
        <f>VLOOKUP(I34,CHOOSE({1,2},Table17[Native],Table17[Name]),2,0)</f>
        <v>Hónghé Hānízú Yízú Zìzhìzhōu</v>
      </c>
      <c r="O34" s="15" t="str">
        <f t="shared" si="0"/>
        <v>Baishui Zhen (Honghe Hanizu Yizu Zizhizhou) (Hónghé Hānízú Yízú Zìzhìzhōu)</v>
      </c>
      <c r="P34" s="15" t="str">
        <f t="shared" si="1"/>
        <v>Baishui Zhen (Honghe Hanizu Yizu Zizhizhou) (Hónghé Hānízú Yízú Zìzhìzhōu)</v>
      </c>
    </row>
    <row r="35" spans="1:16" hidden="1" x14ac:dyDescent="0.25">
      <c r="A35" t="s">
        <v>777</v>
      </c>
      <c r="B35" t="str">
        <f>IF(COUNTIF(A:A,A35)&gt;1,_xlfn.CONCAT(A35," (",N35,")"),A35)</f>
        <v>Báishuĭ Zhèn (Qŭjìng Shì)</v>
      </c>
      <c r="C35" t="str">
        <f>IF(COUNTIF(B:B,B35)&gt;1,_xlfn.CONCAT(A35," (",M35,")"),B35)</f>
        <v>Báishuĭ Zhèn (Qŭjìng Shì)</v>
      </c>
      <c r="D35" t="s">
        <v>778</v>
      </c>
      <c r="E35" t="s">
        <v>11</v>
      </c>
      <c r="F35" t="str">
        <f>_xlfn.CONCAT(D35,", ",H35,", ",I35,", ","云南省")</f>
        <v>白水镇, 沾益区, 曲靖市, 云南省</v>
      </c>
      <c r="G35">
        <v>38740</v>
      </c>
      <c r="H35" t="s">
        <v>2869</v>
      </c>
      <c r="I35" t="s">
        <v>2860</v>
      </c>
      <c r="J35">
        <f>VLOOKUP(F35,[1]!china_towns_second__2[[Column1]:[Y]],3,FALSE)</f>
        <v>25.655046768120801</v>
      </c>
      <c r="K35">
        <f>VLOOKUP(F35,[1]!china_towns_second__2[[Column1]:[Y]],2,FALSE)</f>
        <v>104.0063047</v>
      </c>
      <c r="L35" t="s">
        <v>3594</v>
      </c>
      <c r="M35" t="str">
        <f>VLOOKUP(H35,CHOOSE({1,2},Table17[Native],Table17[Name]),2,0)</f>
        <v>Zhānyì Qū</v>
      </c>
      <c r="N35" s="15" t="str">
        <f>VLOOKUP(I35,CHOOSE({1,2},Table17[Native],Table17[Name]),2,0)</f>
        <v>Qŭjìng Shì</v>
      </c>
      <c r="O35" s="15" t="str">
        <f t="shared" si="0"/>
        <v>Baishui Zhen (Qujing Shi) (Qŭjìng Shì)</v>
      </c>
      <c r="P35" s="15" t="str">
        <f t="shared" si="1"/>
        <v>Baishui Zhen (Qujing Shi) (Qŭjìng Shì)</v>
      </c>
    </row>
    <row r="36" spans="1:16" hidden="1" x14ac:dyDescent="0.25">
      <c r="A36" t="s">
        <v>780</v>
      </c>
      <c r="B36" t="str">
        <f>IF(COUNTIF(A:A,A36)&gt;1,_xlfn.CONCAT(A36," (",N36,")"),A36)</f>
        <v>Báiyún Xiāng</v>
      </c>
      <c r="C36" t="str">
        <f>IF(COUNTIF(B:B,B36)&gt;1,_xlfn.CONCAT(A36," (",M36,")"),B36)</f>
        <v>Báiyún Xiāng</v>
      </c>
      <c r="D36" t="s">
        <v>781</v>
      </c>
      <c r="E36" t="s">
        <v>7</v>
      </c>
      <c r="F36" t="str">
        <f>_xlfn.CONCAT(D36,", ",H36,", ",I36,", ","云南省")</f>
        <v>白云乡, 屏边苗族自治县, 红河哈尼族彝族自治州, 云南省</v>
      </c>
      <c r="G36">
        <v>16172</v>
      </c>
      <c r="H36" t="s">
        <v>2803</v>
      </c>
      <c r="I36" t="s">
        <v>2792</v>
      </c>
      <c r="J36" t="e">
        <f>VLOOKUP(F36,[1]!china_towns_second__2[[Column1]:[Y]],3,FALSE)</f>
        <v>#N/A</v>
      </c>
      <c r="K36" t="e">
        <f>VLOOKUP(F36,[1]!china_towns_second__2[[Column1]:[Y]],2,FALSE)</f>
        <v>#N/A</v>
      </c>
      <c r="L36" t="s">
        <v>3595</v>
      </c>
      <c r="M36" t="str">
        <f>VLOOKUP(H36,CHOOSE({1,2},Table17[Native],Table17[Name]),2,0)</f>
        <v>Píngbiān Miáozú Zìzhìxiàn</v>
      </c>
      <c r="N36" s="15" t="str">
        <f>VLOOKUP(I36,CHOOSE({1,2},Table17[Native],Table17[Name]),2,0)</f>
        <v>Hónghé Hānízú Yízú Zìzhìzhōu</v>
      </c>
      <c r="O36" s="15" t="str">
        <f t="shared" si="0"/>
        <v>Baiyun Xiang (Hónghé Hānízú Yízú Zìzhìzhōu)</v>
      </c>
      <c r="P36" s="15" t="str">
        <f t="shared" si="1"/>
        <v>Baiyun Xiang (Hónghé Hānízú Yízú Zìzhìzhōu)</v>
      </c>
    </row>
    <row r="37" spans="1:16" hidden="1" x14ac:dyDescent="0.25">
      <c r="A37" t="s">
        <v>168</v>
      </c>
      <c r="B37" t="str">
        <f>IF(COUNTIF(A:A,A37)&gt;1,_xlfn.CONCAT(A37," (",N37,")"),A37)</f>
        <v>Bājiăo Zhèn</v>
      </c>
      <c r="C37" t="str">
        <f>IF(COUNTIF(B:B,B37)&gt;1,_xlfn.CONCAT(A37," (",M37,")"),B37)</f>
        <v>Bājiăo Zhèn</v>
      </c>
      <c r="D37" t="s">
        <v>169</v>
      </c>
      <c r="E37" t="s">
        <v>11</v>
      </c>
      <c r="F37" t="str">
        <f>_xlfn.CONCAT(D37,", ",H37,", ",I37,", ","云南省")</f>
        <v>八角镇, 楚雄市, 楚雄彝族自治州, 云南省</v>
      </c>
      <c r="G37">
        <v>16317</v>
      </c>
      <c r="H37" t="s">
        <v>2751</v>
      </c>
      <c r="I37" t="s">
        <v>2750</v>
      </c>
      <c r="J37">
        <f>VLOOKUP(F37,[1]!china_towns_second__2[[Column1]:[Y]],3,FALSE)</f>
        <v>24.900947875076099</v>
      </c>
      <c r="K37">
        <f>VLOOKUP(F37,[1]!china_towns_second__2[[Column1]:[Y]],2,FALSE)</f>
        <v>100.96769430000001</v>
      </c>
      <c r="L37" t="s">
        <v>3596</v>
      </c>
      <c r="M37" t="str">
        <f>VLOOKUP(H37,CHOOSE({1,2},Table17[Native],Table17[Name]),2,0)</f>
        <v>Chŭxióng Shì</v>
      </c>
      <c r="N37" s="15" t="str">
        <f>VLOOKUP(I37,CHOOSE({1,2},Table17[Native],Table17[Name]),2,0)</f>
        <v>Chŭxióng Yízú Zìzhìzhōu</v>
      </c>
      <c r="O37" s="15" t="str">
        <f t="shared" si="0"/>
        <v>Bajiao Zhen (Chŭxióng Yízú Zìzhìzhōu)</v>
      </c>
      <c r="P37" s="15" t="str">
        <f t="shared" si="1"/>
        <v>Bajiao Zhen (Chŭxióng Yízú Zìzhìzhōu)</v>
      </c>
    </row>
    <row r="38" spans="1:16" hidden="1" x14ac:dyDescent="0.25">
      <c r="A38" t="s">
        <v>1042</v>
      </c>
      <c r="B38" t="str">
        <f>IF(COUNTIF(A:A,A38)&gt;1,_xlfn.CONCAT(A38," (",N38,")"),A38)</f>
        <v>Bājiē Jiēdào</v>
      </c>
      <c r="C38" t="str">
        <f>IF(COUNTIF(B:B,B38)&gt;1,_xlfn.CONCAT(A38," (",M38,")"),B38)</f>
        <v>Bājiē Jiēdào</v>
      </c>
      <c r="D38" t="s">
        <v>1043</v>
      </c>
      <c r="E38" t="s">
        <v>42</v>
      </c>
      <c r="F38" t="str">
        <f>_xlfn.CONCAT(D38,", ",H38,", ",I38,", ","云南省")</f>
        <v>八街街道, 安宁市, 昆明市, 云南省</v>
      </c>
      <c r="G38">
        <v>31026</v>
      </c>
      <c r="H38" t="s">
        <v>2808</v>
      </c>
      <c r="I38" t="s">
        <v>2807</v>
      </c>
      <c r="J38">
        <f>VLOOKUP(F38,[1]!china_towns_second__2[[Column1]:[Y]],3,FALSE)</f>
        <v>24.644303941130001</v>
      </c>
      <c r="K38">
        <f>VLOOKUP(F38,[1]!china_towns_second__2[[Column1]:[Y]],2,FALSE)</f>
        <v>102.35692179999999</v>
      </c>
      <c r="L38" t="s">
        <v>3597</v>
      </c>
      <c r="M38" t="str">
        <f>VLOOKUP(H38,CHOOSE({1,2},Table17[Native],Table17[Name]),2,0)</f>
        <v>Ānníng Shì</v>
      </c>
      <c r="N38" s="15" t="str">
        <f>VLOOKUP(I38,CHOOSE({1,2},Table17[Native],Table17[Name]),2,0)</f>
        <v>Kūnmíng Shì</v>
      </c>
      <c r="O38" s="15" t="str">
        <f t="shared" si="0"/>
        <v>Bajie Jiedao (Kūnmíng Shì)</v>
      </c>
      <c r="P38" s="15" t="str">
        <f t="shared" si="1"/>
        <v>Bajie Jiedao (Kūnmíng Shì)</v>
      </c>
    </row>
    <row r="39" spans="1:16" hidden="1" x14ac:dyDescent="0.25">
      <c r="A39" t="s">
        <v>1658</v>
      </c>
      <c r="B39" t="str">
        <f>IF(COUNTIF(A:A,A39)&gt;1,_xlfn.CONCAT(A39," (",N39,")"),A39)</f>
        <v>Bàliū Zhèn</v>
      </c>
      <c r="C39" t="str">
        <f>IF(COUNTIF(B:B,B39)&gt;1,_xlfn.CONCAT(A39," (",M39,")"),B39)</f>
        <v>Bàliū Zhèn</v>
      </c>
      <c r="D39" t="s">
        <v>1659</v>
      </c>
      <c r="E39" t="s">
        <v>11</v>
      </c>
      <c r="F39" t="str">
        <f>_xlfn.CONCAT(D39,", ",H39,", ",I39,", ","云南省")</f>
        <v>坝溜镇, 墨江哈尼族自治县, 普洱市, 云南省</v>
      </c>
      <c r="G39">
        <v>20474</v>
      </c>
      <c r="H39" t="s">
        <v>2854</v>
      </c>
      <c r="I39" t="s">
        <v>2848</v>
      </c>
      <c r="J39">
        <f>VLOOKUP(F39,[1]!china_towns_second__2[[Column1]:[Y]],3,FALSE)</f>
        <v>23.055019025728299</v>
      </c>
      <c r="K39">
        <f>VLOOKUP(F39,[1]!china_towns_second__2[[Column1]:[Y]],2,FALSE)</f>
        <v>101.9223633</v>
      </c>
      <c r="L39" t="s">
        <v>3598</v>
      </c>
      <c r="M39" t="str">
        <f>VLOOKUP(H39,CHOOSE({1,2},Table17[Native],Table17[Name]),2,0)</f>
        <v>Mòjiāng Hānízú Zìzhìxiàn</v>
      </c>
      <c r="N39" s="15" t="str">
        <f>VLOOKUP(I39,CHOOSE({1,2},Table17[Native],Table17[Name]),2,0)</f>
        <v>Pŭ'ĕr Shì</v>
      </c>
      <c r="O39" s="15" t="str">
        <f t="shared" si="0"/>
        <v>Baliu Zhen (Pŭ'ĕr Shì)</v>
      </c>
      <c r="P39" s="15" t="str">
        <f t="shared" si="1"/>
        <v>Baliu Zhen (Pŭ'ĕr Shì)</v>
      </c>
    </row>
    <row r="40" spans="1:16" hidden="1" x14ac:dyDescent="0.25">
      <c r="A40" t="s">
        <v>2081</v>
      </c>
      <c r="B40" t="str">
        <f>IF(COUNTIF(A:A,A40)&gt;1,_xlfn.CONCAT(A40," (",N40,")"),A40)</f>
        <v>Bàmĕi Zhèn</v>
      </c>
      <c r="C40" t="str">
        <f>IF(COUNTIF(B:B,B40)&gt;1,_xlfn.CONCAT(A40," (",M40,")"),B40)</f>
        <v>Bàmĕi Zhèn</v>
      </c>
      <c r="D40" t="s">
        <v>2082</v>
      </c>
      <c r="E40" t="s">
        <v>11</v>
      </c>
      <c r="F40" t="str">
        <f>_xlfn.CONCAT(D40,", ",H40,", ",I40,", ","云南省")</f>
        <v>坝美镇, 广南县, 文山壮族苗族自治州, 云南省</v>
      </c>
      <c r="G40">
        <v>64188</v>
      </c>
      <c r="H40" t="s">
        <v>2874</v>
      </c>
      <c r="I40" t="s">
        <v>2872</v>
      </c>
      <c r="J40">
        <f>VLOOKUP(F40,[1]!china_towns_second__2[[Column1]:[Y]],3,FALSE)</f>
        <v>24.315372280917199</v>
      </c>
      <c r="K40">
        <f>VLOOKUP(F40,[1]!china_towns_second__2[[Column1]:[Y]],2,FALSE)</f>
        <v>105.00769529999999</v>
      </c>
      <c r="L40" t="s">
        <v>3599</v>
      </c>
      <c r="M40" t="str">
        <f>VLOOKUP(H40,CHOOSE({1,2},Table17[Native],Table17[Name]),2,0)</f>
        <v>Guăngnán Xiàn</v>
      </c>
      <c r="N40" s="15" t="str">
        <f>VLOOKUP(I40,CHOOSE({1,2},Table17[Native],Table17[Name]),2,0)</f>
        <v>Wénshān Zhuàngzú Miáozú Zìzhìzhōu</v>
      </c>
      <c r="O40" s="15" t="str">
        <f t="shared" si="0"/>
        <v>Bamei Zhen (Wénshān Zhuàngzú Miáozú Zìzhìzhōu)</v>
      </c>
      <c r="P40" s="15" t="str">
        <f t="shared" si="1"/>
        <v>Bamei Zhen (Wénshān Zhuàngzú Miáozú Zìzhìzhōu)</v>
      </c>
    </row>
    <row r="41" spans="1:16" hidden="1" x14ac:dyDescent="0.25">
      <c r="A41" t="s">
        <v>2083</v>
      </c>
      <c r="B41" t="str">
        <f>IF(COUNTIF(A:A,A41)&gt;1,_xlfn.CONCAT(A41," (",N41,")"),A41)</f>
        <v>Bănbèng Xiāng</v>
      </c>
      <c r="C41" t="str">
        <f>IF(COUNTIF(B:B,B41)&gt;1,_xlfn.CONCAT(A41," (",M41,")"),B41)</f>
        <v>Bănbèng Xiāng</v>
      </c>
      <c r="D41" t="s">
        <v>2084</v>
      </c>
      <c r="E41" t="s">
        <v>7</v>
      </c>
      <c r="F41" t="str">
        <f>_xlfn.CONCAT(D41,", ",H41,", ",I41,", ","云南省")</f>
        <v>板蚌乡, 广南县, 文山壮族苗族自治州, 云南省</v>
      </c>
      <c r="G41">
        <v>14812</v>
      </c>
      <c r="H41" t="s">
        <v>2874</v>
      </c>
      <c r="I41" t="s">
        <v>2872</v>
      </c>
      <c r="J41" t="e">
        <f>VLOOKUP(F41,[1]!china_towns_second__2[[Column1]:[Y]],3,FALSE)</f>
        <v>#N/A</v>
      </c>
      <c r="K41" t="e">
        <f>VLOOKUP(F41,[1]!china_towns_second__2[[Column1]:[Y]],2,FALSE)</f>
        <v>#N/A</v>
      </c>
      <c r="L41" t="s">
        <v>3600</v>
      </c>
      <c r="M41" t="str">
        <f>VLOOKUP(H41,CHOOSE({1,2},Table17[Native],Table17[Name]),2,0)</f>
        <v>Guăngnán Xiàn</v>
      </c>
      <c r="N41" s="15" t="str">
        <f>VLOOKUP(I41,CHOOSE({1,2},Table17[Native],Table17[Name]),2,0)</f>
        <v>Wénshān Zhuàngzú Miáozú Zìzhìzhōu</v>
      </c>
      <c r="O41" s="15" t="str">
        <f t="shared" si="0"/>
        <v>Banbeng Xiang (Wénshān Zhuàngzú Miáozú Zìzhìzhōu)</v>
      </c>
      <c r="P41" s="15" t="str">
        <f t="shared" si="1"/>
        <v>Banbeng Xiang (Wénshān Zhuàngzú Miáozú Zìzhìzhōu)</v>
      </c>
    </row>
    <row r="42" spans="1:16" hidden="1" x14ac:dyDescent="0.25">
      <c r="A42" t="s">
        <v>1434</v>
      </c>
      <c r="B42" t="str">
        <f>IF(COUNTIF(A:A,A42)&gt;1,_xlfn.CONCAT(A42," (",N42,")"),A42)</f>
        <v>Bāngbĭng Xiāng</v>
      </c>
      <c r="C42" t="str">
        <f>IF(COUNTIF(B:B,B42)&gt;1,_xlfn.CONCAT(A42," (",M42,")"),B42)</f>
        <v>Bāngbĭng Xiāng</v>
      </c>
      <c r="D42" t="s">
        <v>1435</v>
      </c>
      <c r="E42" t="s">
        <v>7</v>
      </c>
      <c r="F42" t="str">
        <f>_xlfn.CONCAT(D42,", ",H42,", ",I42,", ","云南省")</f>
        <v>邦丙乡, 双江拉祜族佤族布朗族傣族自治县, 临沧市, 云南省</v>
      </c>
      <c r="G42">
        <v>18767</v>
      </c>
      <c r="H42" t="s">
        <v>2836</v>
      </c>
      <c r="I42" t="s">
        <v>2831</v>
      </c>
      <c r="J42" t="e">
        <f>VLOOKUP(F42,[1]!china_towns_second__2[[Column1]:[Y]],3,FALSE)</f>
        <v>#N/A</v>
      </c>
      <c r="K42" t="e">
        <f>VLOOKUP(F42,[1]!china_towns_second__2[[Column1]:[Y]],2,FALSE)</f>
        <v>#N/A</v>
      </c>
      <c r="L42" t="s">
        <v>3601</v>
      </c>
      <c r="M42" t="str">
        <f>VLOOKUP(H42,CHOOSE({1,2},Table17[Native],Table17[Name]),2,0)</f>
        <v>Shuāngjiāng Lāhùzú Wăzú Bùlăngzú Dăizú Zìzhìxiàn</v>
      </c>
      <c r="N42" s="15" t="str">
        <f>VLOOKUP(I42,CHOOSE({1,2},Table17[Native],Table17[Name]),2,0)</f>
        <v>Líncāng Shì</v>
      </c>
      <c r="O42" s="15" t="str">
        <f t="shared" si="0"/>
        <v>Bangbing Xiang (Líncāng Shì)</v>
      </c>
      <c r="P42" s="15" t="str">
        <f t="shared" si="1"/>
        <v>Bangbing Xiang (Líncāng Shì)</v>
      </c>
    </row>
    <row r="43" spans="1:16" hidden="1" x14ac:dyDescent="0.25">
      <c r="A43" t="s">
        <v>1437</v>
      </c>
      <c r="B43" t="str">
        <f>IF(COUNTIF(A:A,A43)&gt;1,_xlfn.CONCAT(A43," (",N43,")"),A43)</f>
        <v>Bāngdōng Xiāng</v>
      </c>
      <c r="C43" t="str">
        <f>IF(COUNTIF(B:B,B43)&gt;1,_xlfn.CONCAT(A43," (",M43,")"),B43)</f>
        <v>Bāngdōng Xiāng</v>
      </c>
      <c r="D43" t="s">
        <v>1438</v>
      </c>
      <c r="E43" t="s">
        <v>7</v>
      </c>
      <c r="F43" t="str">
        <f>_xlfn.CONCAT(D43,", ",H43,", ",I43,", ","云南省")</f>
        <v>邦东乡, 临翔区, 临沧市, 云南省</v>
      </c>
      <c r="G43">
        <v>13411</v>
      </c>
      <c r="H43" t="s">
        <v>2835</v>
      </c>
      <c r="I43" t="s">
        <v>2831</v>
      </c>
      <c r="J43" t="e">
        <f>VLOOKUP(F43,[1]!china_towns_second__2[[Column1]:[Y]],3,FALSE)</f>
        <v>#N/A</v>
      </c>
      <c r="K43" t="e">
        <f>VLOOKUP(F43,[1]!china_towns_second__2[[Column1]:[Y]],2,FALSE)</f>
        <v>#N/A</v>
      </c>
      <c r="L43" t="s">
        <v>3602</v>
      </c>
      <c r="M43" t="str">
        <f>VLOOKUP(H43,CHOOSE({1,2},Table17[Native],Table17[Name]),2,0)</f>
        <v>Línxiáng Qū</v>
      </c>
      <c r="N43" s="15" t="str">
        <f>VLOOKUP(I43,CHOOSE({1,2},Table17[Native],Table17[Name]),2,0)</f>
        <v>Líncāng Shì</v>
      </c>
      <c r="O43" s="15" t="str">
        <f t="shared" si="0"/>
        <v>Bangdong Xiang (Líncāng Shì)</v>
      </c>
      <c r="P43" s="15" t="str">
        <f t="shared" si="1"/>
        <v>Bangdong Xiang (Líncāng Shì)</v>
      </c>
    </row>
    <row r="44" spans="1:16" hidden="1" x14ac:dyDescent="0.25">
      <c r="A44" t="s">
        <v>1440</v>
      </c>
      <c r="B44" t="str">
        <f>IF(COUNTIF(A:A,A44)&gt;1,_xlfn.CONCAT(A44," (",N44,")"),A44)</f>
        <v>Bānhóng Xiāng</v>
      </c>
      <c r="C44" t="str">
        <f>IF(COUNTIF(B:B,B44)&gt;1,_xlfn.CONCAT(A44," (",M44,")"),B44)</f>
        <v>Bānhóng Xiāng</v>
      </c>
      <c r="D44" t="s">
        <v>1441</v>
      </c>
      <c r="E44" t="s">
        <v>7</v>
      </c>
      <c r="F44" t="str">
        <f>_xlfn.CONCAT(D44,", ",H44,", ",I44,", ","云南省")</f>
        <v>班洪乡, 沧源佤族自治县, 临沧市, 云南省</v>
      </c>
      <c r="G44">
        <v>10587</v>
      </c>
      <c r="H44" t="s">
        <v>2832</v>
      </c>
      <c r="I44" t="s">
        <v>2831</v>
      </c>
      <c r="J44" t="e">
        <f>VLOOKUP(F44,[1]!china_towns_second__2[[Column1]:[Y]],3,FALSE)</f>
        <v>#N/A</v>
      </c>
      <c r="K44" t="e">
        <f>VLOOKUP(F44,[1]!china_towns_second__2[[Column1]:[Y]],2,FALSE)</f>
        <v>#N/A</v>
      </c>
      <c r="L44" t="s">
        <v>3603</v>
      </c>
      <c r="M44" t="str">
        <f>VLOOKUP(H44,CHOOSE({1,2},Table17[Native],Table17[Name]),2,0)</f>
        <v>Cāngyuán Wăzú Zìzhìxiàn</v>
      </c>
      <c r="N44" s="15" t="str">
        <f>VLOOKUP(I44,CHOOSE({1,2},Table17[Native],Table17[Name]),2,0)</f>
        <v>Líncāng Shì</v>
      </c>
      <c r="O44" s="15" t="str">
        <f t="shared" si="0"/>
        <v>Banhong Xiang (Líncāng Shì)</v>
      </c>
      <c r="P44" s="15" t="str">
        <f t="shared" si="1"/>
        <v>Banhong Xiang (Líncāng Shì)</v>
      </c>
    </row>
    <row r="45" spans="1:16" hidden="1" x14ac:dyDescent="0.25">
      <c r="A45" t="s">
        <v>1443</v>
      </c>
      <c r="B45" t="str">
        <f>IF(COUNTIF(A:A,A45)&gt;1,_xlfn.CONCAT(A45," (",N45,")"),A45)</f>
        <v>Bānkă Xiāng</v>
      </c>
      <c r="C45" t="str">
        <f>IF(COUNTIF(B:B,B45)&gt;1,_xlfn.CONCAT(A45," (",M45,")"),B45)</f>
        <v>Bānkă Xiāng</v>
      </c>
      <c r="D45" t="s">
        <v>1444</v>
      </c>
      <c r="E45" t="s">
        <v>7</v>
      </c>
      <c r="F45" t="str">
        <f>_xlfn.CONCAT(D45,", ",H45,", ",I45,", ","云南省")</f>
        <v>班卡乡, 永德县, 临沧市, 云南省</v>
      </c>
      <c r="G45">
        <v>21910</v>
      </c>
      <c r="H45" t="s">
        <v>2837</v>
      </c>
      <c r="I45" t="s">
        <v>2831</v>
      </c>
      <c r="J45" t="e">
        <f>VLOOKUP(F45,[1]!china_towns_second__2[[Column1]:[Y]],3,FALSE)</f>
        <v>#N/A</v>
      </c>
      <c r="K45" t="e">
        <f>VLOOKUP(F45,[1]!china_towns_second__2[[Column1]:[Y]],2,FALSE)</f>
        <v>#N/A</v>
      </c>
      <c r="L45" t="s">
        <v>3604</v>
      </c>
      <c r="M45" t="str">
        <f>VLOOKUP(H45,CHOOSE({1,2},Table17[Native],Table17[Name]),2,0)</f>
        <v>Yŏngdé Xiàn</v>
      </c>
      <c r="N45" s="15" t="str">
        <f>VLOOKUP(I45,CHOOSE({1,2},Table17[Native],Table17[Name]),2,0)</f>
        <v>Líncāng Shì</v>
      </c>
      <c r="O45" s="15" t="str">
        <f t="shared" si="0"/>
        <v>Banka Xiang (Líncāng Shì)</v>
      </c>
      <c r="P45" s="15" t="str">
        <f t="shared" si="1"/>
        <v>Banka Xiang (Líncāng Shì)</v>
      </c>
    </row>
    <row r="46" spans="1:16" hidden="1" x14ac:dyDescent="0.25">
      <c r="A46" t="s">
        <v>1446</v>
      </c>
      <c r="B46" t="str">
        <f>IF(COUNTIF(A:A,A46)&gt;1,_xlfn.CONCAT(A46," (",N46,")"),A46)</f>
        <v>Bānlăo Xiāng</v>
      </c>
      <c r="C46" t="str">
        <f>IF(COUNTIF(B:B,B46)&gt;1,_xlfn.CONCAT(A46," (",M46,")"),B46)</f>
        <v>Bānlăo Xiāng</v>
      </c>
      <c r="D46" t="s">
        <v>1447</v>
      </c>
      <c r="E46" t="s">
        <v>7</v>
      </c>
      <c r="F46" t="str">
        <f>_xlfn.CONCAT(D46,", ",H46,", ",I46,", ","云南省")</f>
        <v>班老乡, 沧源佤族自治县, 临沧市, 云南省</v>
      </c>
      <c r="G46">
        <v>8887</v>
      </c>
      <c r="H46" t="s">
        <v>2832</v>
      </c>
      <c r="I46" t="s">
        <v>2831</v>
      </c>
      <c r="J46" t="e">
        <f>VLOOKUP(F46,[1]!china_towns_second__2[[Column1]:[Y]],3,FALSE)</f>
        <v>#N/A</v>
      </c>
      <c r="K46" t="e">
        <f>VLOOKUP(F46,[1]!china_towns_second__2[[Column1]:[Y]],2,FALSE)</f>
        <v>#N/A</v>
      </c>
      <c r="L46" t="s">
        <v>3605</v>
      </c>
      <c r="M46" t="str">
        <f>VLOOKUP(H46,CHOOSE({1,2},Table17[Native],Table17[Name]),2,0)</f>
        <v>Cāngyuán Wăzú Zìzhìxiàn</v>
      </c>
      <c r="N46" s="15" t="str">
        <f>VLOOKUP(I46,CHOOSE({1,2},Table17[Native],Table17[Name]),2,0)</f>
        <v>Líncāng Shì</v>
      </c>
      <c r="O46" s="15" t="str">
        <f t="shared" si="0"/>
        <v>Banlao Xiang (Líncāng Shì)</v>
      </c>
      <c r="P46" s="15" t="str">
        <f t="shared" si="1"/>
        <v>Banlao Xiang (Líncāng Shì)</v>
      </c>
    </row>
    <row r="47" spans="1:16" hidden="1" x14ac:dyDescent="0.25">
      <c r="A47" t="s">
        <v>2468</v>
      </c>
      <c r="B47" t="str">
        <f>IF(COUNTIF(A:A,A47)&gt;1,_xlfn.CONCAT(A47," (",N47,")"),A47)</f>
        <v>Bănlì Zhèn</v>
      </c>
      <c r="C47" t="str">
        <f>IF(COUNTIF(B:B,B47)&gt;1,_xlfn.CONCAT(A47," (",M47,")"),B47)</f>
        <v>Bănlì Zhèn</v>
      </c>
      <c r="D47" t="s">
        <v>2469</v>
      </c>
      <c r="E47" t="s">
        <v>11</v>
      </c>
      <c r="F47" t="str">
        <f>_xlfn.CONCAT(D47,", ",H47,", ",I47,", ","云南省")</f>
        <v>板栗镇, 绥江县, 昭通市, 云南省</v>
      </c>
      <c r="G47">
        <v>19029</v>
      </c>
      <c r="H47" t="s">
        <v>2904</v>
      </c>
      <c r="I47" t="s">
        <v>2899</v>
      </c>
      <c r="J47">
        <f>VLOOKUP(F47,[1]!china_towns_second__2[[Column1]:[Y]],3,FALSE)</f>
        <v>28.4671902851345</v>
      </c>
      <c r="K47">
        <f>VLOOKUP(F47,[1]!china_towns_second__2[[Column1]:[Y]],2,FALSE)</f>
        <v>104.0221622</v>
      </c>
      <c r="L47" t="s">
        <v>3606</v>
      </c>
      <c r="M47" t="str">
        <f>VLOOKUP(H47,CHOOSE({1,2},Table17[Native],Table17[Name]),2,0)</f>
        <v>Suíjiāng Xiàn</v>
      </c>
      <c r="N47" s="15" t="str">
        <f>VLOOKUP(I47,CHOOSE({1,2},Table17[Native],Table17[Name]),2,0)</f>
        <v>Zhāotōng Shì</v>
      </c>
      <c r="O47" s="15" t="str">
        <f t="shared" si="0"/>
        <v>Banli Zhen (Zhāotōng Shì)</v>
      </c>
      <c r="P47" s="15" t="str">
        <f t="shared" si="1"/>
        <v>Banli Zhen (Zhāotōng Shì)</v>
      </c>
    </row>
    <row r="48" spans="1:16" hidden="1" x14ac:dyDescent="0.25">
      <c r="A48" t="s">
        <v>2085</v>
      </c>
      <c r="B48" t="str">
        <f>IF(COUNTIF(A:A,A48)&gt;1,_xlfn.CONCAT(A48," (",N48,")"),A48)</f>
        <v>Bănlún Xiāng</v>
      </c>
      <c r="C48" t="str">
        <f>IF(COUNTIF(B:B,B48)&gt;1,_xlfn.CONCAT(A48," (",M48,")"),B48)</f>
        <v>Bănlún Xiāng</v>
      </c>
      <c r="D48" t="s">
        <v>2086</v>
      </c>
      <c r="E48" t="s">
        <v>7</v>
      </c>
      <c r="F48" t="str">
        <f>_xlfn.CONCAT(D48,", ",H48,", ",I48,", ","云南省")</f>
        <v>板仑乡, 富宁县, 文山壮族苗族自治州, 云南省</v>
      </c>
      <c r="G48">
        <v>24599</v>
      </c>
      <c r="H48" t="s">
        <v>2873</v>
      </c>
      <c r="I48" t="s">
        <v>2872</v>
      </c>
      <c r="J48" t="e">
        <f>VLOOKUP(F48,[1]!china_towns_second__2[[Column1]:[Y]],3,FALSE)</f>
        <v>#N/A</v>
      </c>
      <c r="K48" t="e">
        <f>VLOOKUP(F48,[1]!china_towns_second__2[[Column1]:[Y]],2,FALSE)</f>
        <v>#N/A</v>
      </c>
      <c r="L48" t="s">
        <v>3607</v>
      </c>
      <c r="M48" t="str">
        <f>VLOOKUP(H48,CHOOSE({1,2},Table17[Native],Table17[Name]),2,0)</f>
        <v>Fùníng Xiàn</v>
      </c>
      <c r="N48" s="15" t="str">
        <f>VLOOKUP(I48,CHOOSE({1,2},Table17[Native],Table17[Name]),2,0)</f>
        <v>Wénshān Zhuàngzú Miáozú Zìzhìzhōu</v>
      </c>
      <c r="O48" s="15" t="str">
        <f t="shared" si="0"/>
        <v>Banlun Xiang (Wénshān Zhuàngzú Miáozú Zìzhìzhōu)</v>
      </c>
      <c r="P48" s="15" t="str">
        <f t="shared" si="1"/>
        <v>Banlun Xiang (Wénshān Zhuàngzú Miáozú Zìzhìzhōu)</v>
      </c>
    </row>
    <row r="49" spans="1:16" hidden="1" x14ac:dyDescent="0.25">
      <c r="A49" t="s">
        <v>782</v>
      </c>
      <c r="B49" t="str">
        <f>IF(COUNTIF(A:A,A49)&gt;1,_xlfn.CONCAT(A49," (",N49,")"),A49)</f>
        <v>Bànpō Xiāng (Hónghé Hānízú Yízú Zìzhìzhōu)</v>
      </c>
      <c r="C49" t="str">
        <f>IF(COUNTIF(B:B,B49)&gt;1,_xlfn.CONCAT(A49," (",M49,")"),B49)</f>
        <v>Bànpō Xiāng (Hónghé Hānízú Yízú Zìzhìzhōu)</v>
      </c>
      <c r="D49" t="s">
        <v>783</v>
      </c>
      <c r="E49" t="s">
        <v>7</v>
      </c>
      <c r="F49" t="str">
        <f>_xlfn.CONCAT(D49,", ",H49,", ",I49,", ","云南省")</f>
        <v>半坡乡, 绿春县, 红河哈尼族彝族自治州, 云南省</v>
      </c>
      <c r="G49">
        <v>10959</v>
      </c>
      <c r="H49" t="s">
        <v>2799</v>
      </c>
      <c r="I49" t="s">
        <v>2792</v>
      </c>
      <c r="J49" t="e">
        <f>VLOOKUP(F49,[1]!china_towns_second__2[[Column1]:[Y]],3,FALSE)</f>
        <v>#N/A</v>
      </c>
      <c r="K49" t="e">
        <f>VLOOKUP(F49,[1]!china_towns_second__2[[Column1]:[Y]],2,FALSE)</f>
        <v>#N/A</v>
      </c>
      <c r="L49" t="s">
        <v>3608</v>
      </c>
      <c r="M49" t="str">
        <f>VLOOKUP(H49,CHOOSE({1,2},Table17[Native],Table17[Name]),2,0)</f>
        <v>Lǜchūn Xiàn</v>
      </c>
      <c r="N49" s="15" t="str">
        <f>VLOOKUP(I49,CHOOSE({1,2},Table17[Native],Table17[Name]),2,0)</f>
        <v>Hónghé Hānízú Yízú Zìzhìzhōu</v>
      </c>
      <c r="O49" s="15" t="str">
        <f t="shared" si="0"/>
        <v>Banpo Xiang (Honghe Hanizu Yizu Zizhizhou) (Hónghé Hānízú Yízú Zìzhìzhōu)</v>
      </c>
      <c r="P49" s="15" t="str">
        <f t="shared" si="1"/>
        <v>Banpo Xiang (Honghe Hanizu Yizu Zizhizhou) (Hónghé Hānízú Yízú Zìzhìzhōu)</v>
      </c>
    </row>
    <row r="50" spans="1:16" hidden="1" x14ac:dyDescent="0.25">
      <c r="A50" t="s">
        <v>782</v>
      </c>
      <c r="B50" t="str">
        <f>IF(COUNTIF(A:A,A50)&gt;1,_xlfn.CONCAT(A50," (",N50,")"),A50)</f>
        <v>Bànpō Xiāng (Pŭ'ĕr Shì)</v>
      </c>
      <c r="C50" t="str">
        <f>IF(COUNTIF(B:B,B50)&gt;1,_xlfn.CONCAT(A50," (",M50,")"),B50)</f>
        <v>Bànpō Xiāng (Pŭ'ĕr Shì)</v>
      </c>
      <c r="D50" t="s">
        <v>783</v>
      </c>
      <c r="E50" t="s">
        <v>7</v>
      </c>
      <c r="F50" t="str">
        <f>_xlfn.CONCAT(D50,", ",H50,", ",I50,", ","云南省")</f>
        <v>半坡乡, 景谷傣族彝族自治县, 普洱市, 云南省</v>
      </c>
      <c r="G50">
        <v>11939</v>
      </c>
      <c r="H50" t="s">
        <v>2851</v>
      </c>
      <c r="I50" t="s">
        <v>2848</v>
      </c>
      <c r="J50" t="e">
        <f>VLOOKUP(F50,[1]!china_towns_second__2[[Column1]:[Y]],3,FALSE)</f>
        <v>#N/A</v>
      </c>
      <c r="K50" t="e">
        <f>VLOOKUP(F50,[1]!china_towns_second__2[[Column1]:[Y]],2,FALSE)</f>
        <v>#N/A</v>
      </c>
      <c r="L50" t="s">
        <v>3609</v>
      </c>
      <c r="M50" t="str">
        <f>VLOOKUP(H50,CHOOSE({1,2},Table17[Native],Table17[Name]),2,0)</f>
        <v>Jĭnggŭ Dăizú Yízú Zìzhìxiàn</v>
      </c>
      <c r="N50" s="15" t="str">
        <f>VLOOKUP(I50,CHOOSE({1,2},Table17[Native],Table17[Name]),2,0)</f>
        <v>Pŭ'ĕr Shì</v>
      </c>
      <c r="O50" s="15" t="str">
        <f t="shared" si="0"/>
        <v>Banpo Xiang (Pu'er Shi) (Pŭ'ĕr Shì)</v>
      </c>
      <c r="P50" s="15" t="str">
        <f t="shared" si="1"/>
        <v>Banpo Xiang (Pu'er Shi) (Pŭ'ĕr Shì)</v>
      </c>
    </row>
    <row r="51" spans="1:16" hidden="1" x14ac:dyDescent="0.25">
      <c r="A51" t="s">
        <v>1045</v>
      </c>
      <c r="B51" t="str">
        <f>IF(COUNTIF(A:A,A51)&gt;1,_xlfn.CONCAT(A51," (",N51,")"),A51)</f>
        <v>Bănqiáo Jiēdào (Kūnmíng Shì)</v>
      </c>
      <c r="C51" t="str">
        <f>IF(COUNTIF(B:B,B51)&gt;1,_xlfn.CONCAT(A51," (",M51,")"),B51)</f>
        <v>Bănqiáo Jiēdào (Kūnmíng Shì)</v>
      </c>
      <c r="D51" t="s">
        <v>1046</v>
      </c>
      <c r="E51" t="s">
        <v>42</v>
      </c>
      <c r="F51" t="str">
        <f>_xlfn.CONCAT(D51,", ",H51,", ",I51,", ","云南省")</f>
        <v>板桥街道, 石林彝族自治县, 昆明市, 云南省</v>
      </c>
      <c r="G51">
        <v>27621</v>
      </c>
      <c r="H51" t="s">
        <v>2816</v>
      </c>
      <c r="I51" t="s">
        <v>2807</v>
      </c>
      <c r="J51" t="e">
        <f>VLOOKUP(F51,[1]!china_towns_second__2[[Column1]:[Y]],3,FALSE)</f>
        <v>#N/A</v>
      </c>
      <c r="K51" t="e">
        <f>VLOOKUP(F51,[1]!china_towns_second__2[[Column1]:[Y]],2,FALSE)</f>
        <v>#N/A</v>
      </c>
      <c r="L51" t="s">
        <v>3610</v>
      </c>
      <c r="M51" t="str">
        <f>VLOOKUP(H51,CHOOSE({1,2},Table17[Native],Table17[Name]),2,0)</f>
        <v>Shílín Yízú Zìzhìxiàn</v>
      </c>
      <c r="N51" s="15" t="str">
        <f>VLOOKUP(I51,CHOOSE({1,2},Table17[Native],Table17[Name]),2,0)</f>
        <v>Kūnmíng Shì</v>
      </c>
      <c r="O51" s="15" t="str">
        <f t="shared" si="0"/>
        <v>Banqiao Jiedao (Kunming Shi) (Kūnmíng Shì)</v>
      </c>
      <c r="P51" s="15" t="str">
        <f t="shared" si="1"/>
        <v>Banqiao Jiedao (Kunming Shi) (Kūnmíng Shì)</v>
      </c>
    </row>
    <row r="52" spans="1:16" hidden="1" x14ac:dyDescent="0.25">
      <c r="A52" t="s">
        <v>1045</v>
      </c>
      <c r="B52" t="str">
        <f>IF(COUNTIF(A:A,A52)&gt;1,_xlfn.CONCAT(A52," (",N52,")"),A52)</f>
        <v>Bănqiáo Jiēdào (Qŭjìng Shì)</v>
      </c>
      <c r="C52" t="str">
        <f>IF(COUNTIF(B:B,B52)&gt;1,_xlfn.CONCAT(A52," (",M52,")"),B52)</f>
        <v>Bănqiáo Jiēdào (Qŭjìng Shì)</v>
      </c>
      <c r="D52" t="s">
        <v>1046</v>
      </c>
      <c r="E52" t="s">
        <v>42</v>
      </c>
      <c r="F52" t="str">
        <f>_xlfn.CONCAT(D52,", ",H52,", ",I52,", ","云南省")</f>
        <v>板桥街道, 宣威市, 曲靖市, 云南省</v>
      </c>
      <c r="G52">
        <v>63947</v>
      </c>
      <c r="H52" t="s">
        <v>2868</v>
      </c>
      <c r="I52" t="s">
        <v>2860</v>
      </c>
      <c r="J52" t="e">
        <f>VLOOKUP(F52,[1]!china_towns_second__2[[Column1]:[Y]],3,FALSE)</f>
        <v>#N/A</v>
      </c>
      <c r="K52" t="e">
        <f>VLOOKUP(F52,[1]!china_towns_second__2[[Column1]:[Y]],2,FALSE)</f>
        <v>#N/A</v>
      </c>
      <c r="L52" t="s">
        <v>3611</v>
      </c>
      <c r="M52" t="str">
        <f>VLOOKUP(H52,CHOOSE({1,2},Table17[Native],Table17[Name]),2,0)</f>
        <v>Xuānwēi Shì</v>
      </c>
      <c r="N52" s="15" t="str">
        <f>VLOOKUP(I52,CHOOSE({1,2},Table17[Native],Table17[Name]),2,0)</f>
        <v>Qŭjìng Shì</v>
      </c>
      <c r="O52" s="15" t="str">
        <f t="shared" si="0"/>
        <v>Banqiao Jiedao (Qujing Shi) (Qŭjìng Shì)</v>
      </c>
      <c r="P52" s="15" t="str">
        <f t="shared" si="1"/>
        <v>Banqiao Jiedao (Qujing Shi) (Qŭjìng Shì)</v>
      </c>
    </row>
    <row r="53" spans="1:16" hidden="1" x14ac:dyDescent="0.25">
      <c r="A53" t="s">
        <v>9</v>
      </c>
      <c r="B53" t="str">
        <f>IF(COUNTIF(A:A,A53)&gt;1,_xlfn.CONCAT(A53," (",N53,")"),A53)</f>
        <v>Bănqiáo Zhèn (Băoshān Shì)</v>
      </c>
      <c r="C53" t="str">
        <f>IF(COUNTIF(B:B,B53)&gt;1,_xlfn.CONCAT(A53," (",M53,")"),B53)</f>
        <v>Bănqiáo Zhèn (Băoshān Shì)</v>
      </c>
      <c r="D53" t="s">
        <v>10</v>
      </c>
      <c r="E53" t="s">
        <v>11</v>
      </c>
      <c r="F53" t="str">
        <f>_xlfn.CONCAT(D53,", ",H53,", ",I53,", ","云南省")</f>
        <v>板桥镇, 隆阳区, 保山市, 云南省</v>
      </c>
      <c r="G53">
        <v>97512</v>
      </c>
      <c r="H53" t="s">
        <v>2744</v>
      </c>
      <c r="I53" t="s">
        <v>2739</v>
      </c>
      <c r="J53">
        <f>VLOOKUP(F53,[1]!china_towns_second__2[[Column1]:[Y]],3,FALSE)</f>
        <v>25.241982115797001</v>
      </c>
      <c r="K53">
        <f>VLOOKUP(F53,[1]!china_towns_second__2[[Column1]:[Y]],2,FALSE)</f>
        <v>99.183090390000004</v>
      </c>
      <c r="L53" t="s">
        <v>3612</v>
      </c>
      <c r="M53" t="str">
        <f>VLOOKUP(H53,CHOOSE({1,2},Table17[Native],Table17[Name]),2,0)</f>
        <v>Lóngyáng Qū</v>
      </c>
      <c r="N53" s="15" t="str">
        <f>VLOOKUP(I53,CHOOSE({1,2},Table17[Native],Table17[Name]),2,0)</f>
        <v>Băoshān Shì</v>
      </c>
      <c r="O53" s="15" t="str">
        <f t="shared" si="0"/>
        <v>Banqiao Zhen (Baoshan Shi) (Băoshān Shì)</v>
      </c>
      <c r="P53" s="15" t="str">
        <f t="shared" si="1"/>
        <v>Banqiao Zhen (Baoshan Shi) (Băoshān Shì)</v>
      </c>
    </row>
    <row r="54" spans="1:16" hidden="1" x14ac:dyDescent="0.25">
      <c r="A54" t="s">
        <v>9</v>
      </c>
      <c r="B54" t="str">
        <f>IF(COUNTIF(A:A,A54)&gt;1,_xlfn.CONCAT(A54," (",N54,")"),A54)</f>
        <v>Bănqiáo Zhèn (Qŭjìng Shì)</v>
      </c>
      <c r="C54" t="str">
        <f>IF(COUNTIF(B:B,B54)&gt;1,_xlfn.CONCAT(A54," (",M54,")"),B54)</f>
        <v>Bănqiáo Zhèn (Lùliáng Xiàn)</v>
      </c>
      <c r="D54" t="s">
        <v>10</v>
      </c>
      <c r="E54" t="s">
        <v>11</v>
      </c>
      <c r="F54" t="str">
        <f>_xlfn.CONCAT(D54,", ",H54,", ",I54,", ","云南省")</f>
        <v>板桥镇, 陆良县, 曲靖市, 云南省</v>
      </c>
      <c r="G54">
        <v>86975</v>
      </c>
      <c r="H54" t="s">
        <v>2863</v>
      </c>
      <c r="I54" t="s">
        <v>2860</v>
      </c>
      <c r="J54">
        <f>VLOOKUP(F54,[1]!china_towns_second__2[[Column1]:[Y]],3,FALSE)</f>
        <v>25.139282266435099</v>
      </c>
      <c r="K54">
        <f>VLOOKUP(F54,[1]!china_towns_second__2[[Column1]:[Y]],2,FALSE)</f>
        <v>103.7846904</v>
      </c>
      <c r="L54" t="s">
        <v>3613</v>
      </c>
      <c r="M54" t="str">
        <f>VLOOKUP(H54,CHOOSE({1,2},Table17[Native],Table17[Name]),2,0)</f>
        <v>Lùliáng Xiàn</v>
      </c>
      <c r="N54" s="15" t="str">
        <f>VLOOKUP(I54,CHOOSE({1,2},Table17[Native],Table17[Name]),2,0)</f>
        <v>Qŭjìng Shì</v>
      </c>
      <c r="O54" s="15" t="str">
        <f t="shared" si="0"/>
        <v>Banqiao Zhen (Luliang Xian) (Qŭjìng Shì)</v>
      </c>
      <c r="P54" s="15" t="str">
        <f t="shared" si="1"/>
        <v>Banqiao Zhen (Luliang Xian) (Qŭjìng Shì)</v>
      </c>
    </row>
    <row r="55" spans="1:16" hidden="1" x14ac:dyDescent="0.25">
      <c r="A55" t="s">
        <v>9</v>
      </c>
      <c r="B55" t="str">
        <f>IF(COUNTIF(A:A,A55)&gt;1,_xlfn.CONCAT(A55," (",N55,")"),A55)</f>
        <v>Bănqiáo Zhèn (Qŭjìng Shì)</v>
      </c>
      <c r="C55" t="str">
        <f>IF(COUNTIF(B:B,B55)&gt;1,_xlfn.CONCAT(A55," (",M55,")"),B55)</f>
        <v>Bănqiáo Zhèn (Luópíng Xiàn)</v>
      </c>
      <c r="D55" t="s">
        <v>10</v>
      </c>
      <c r="E55" t="s">
        <v>11</v>
      </c>
      <c r="F55" t="str">
        <f>_xlfn.CONCAT(D55,", ",H55,", ",I55,", ","云南省")</f>
        <v>板桥镇, 罗平县, 曲靖市, 云南省</v>
      </c>
      <c r="G55">
        <v>43825</v>
      </c>
      <c r="H55" t="s">
        <v>2864</v>
      </c>
      <c r="I55" t="s">
        <v>2860</v>
      </c>
      <c r="J55">
        <f>VLOOKUP(F55,[1]!china_towns_second__2[[Column1]:[Y]],3,FALSE)</f>
        <v>24.952392101543001</v>
      </c>
      <c r="K55">
        <f>VLOOKUP(F55,[1]!china_towns_second__2[[Column1]:[Y]],2,FALSE)</f>
        <v>104.46740610000001</v>
      </c>
      <c r="L55" t="s">
        <v>3614</v>
      </c>
      <c r="M55" t="str">
        <f>VLOOKUP(H55,CHOOSE({1,2},Table17[Native],Table17[Name]),2,0)</f>
        <v>Luópíng Xiàn</v>
      </c>
      <c r="N55" s="15" t="str">
        <f>VLOOKUP(I55,CHOOSE({1,2},Table17[Native],Table17[Name]),2,0)</f>
        <v>Qŭjìng Shì</v>
      </c>
      <c r="O55" s="15" t="str">
        <f t="shared" si="0"/>
        <v>Banqiao Zhen (Luoping Xian) (Qŭjìng Shì)</v>
      </c>
      <c r="P55" s="15" t="str">
        <f t="shared" si="1"/>
        <v>Banqiao Zhen (Luoping Xian) (Qŭjìng Shì)</v>
      </c>
    </row>
    <row r="56" spans="1:16" hidden="1" x14ac:dyDescent="0.25">
      <c r="A56" t="s">
        <v>370</v>
      </c>
      <c r="B56" t="str">
        <f>IF(COUNTIF(A:A,A56)&gt;1,_xlfn.CONCAT(A56," (",N56,")"),A56)</f>
        <v>Băofēng Xiāng</v>
      </c>
      <c r="C56" t="str">
        <f>IF(COUNTIF(B:B,B56)&gt;1,_xlfn.CONCAT(A56," (",M56,")"),B56)</f>
        <v>Băofēng Xiāng</v>
      </c>
      <c r="D56" t="s">
        <v>371</v>
      </c>
      <c r="E56" t="s">
        <v>7</v>
      </c>
      <c r="F56" t="str">
        <f>_xlfn.CONCAT(D56,", ",H56,", ",I56,", ","云南省")</f>
        <v>宝丰乡, 云龙县, 大理白族自治州, 云南省</v>
      </c>
      <c r="G56">
        <v>16730</v>
      </c>
      <c r="H56" t="s">
        <v>2776</v>
      </c>
      <c r="I56" t="s">
        <v>2763</v>
      </c>
      <c r="J56" t="e">
        <f>VLOOKUP(F56,[1]!china_towns_second__2[[Column1]:[Y]],3,FALSE)</f>
        <v>#N/A</v>
      </c>
      <c r="K56" t="e">
        <f>VLOOKUP(F56,[1]!china_towns_second__2[[Column1]:[Y]],2,FALSE)</f>
        <v>#N/A</v>
      </c>
      <c r="L56" t="s">
        <v>3615</v>
      </c>
      <c r="M56" t="str">
        <f>VLOOKUP(H56,CHOOSE({1,2},Table17[Native],Table17[Name]),2,0)</f>
        <v>Yúnlóng Xiàn</v>
      </c>
      <c r="N56" s="15" t="str">
        <f>VLOOKUP(I56,CHOOSE({1,2},Table17[Native],Table17[Name]),2,0)</f>
        <v>Dàlĭ Báizú Zìzhìzhōu</v>
      </c>
      <c r="O56" s="15" t="str">
        <f t="shared" si="0"/>
        <v>Baofeng Xiang (Dàlĭ Báizú Zìzhìzhōu)</v>
      </c>
      <c r="P56" s="15" t="str">
        <f t="shared" si="1"/>
        <v>Baofeng Xiang (Dàlĭ Báizú Zìzhìzhōu)</v>
      </c>
    </row>
    <row r="57" spans="1:16" hidden="1" x14ac:dyDescent="0.25">
      <c r="A57" t="s">
        <v>2471</v>
      </c>
      <c r="B57" t="str">
        <f>IF(COUNTIF(A:A,A57)&gt;1,_xlfn.CONCAT(A57," (",N57,")"),A57)</f>
        <v>Bāogŭnăo Xiāng</v>
      </c>
      <c r="C57" t="str">
        <f>IF(COUNTIF(B:B,B57)&gt;1,_xlfn.CONCAT(A57," (",M57,")"),B57)</f>
        <v>Bāogŭnăo Xiāng</v>
      </c>
      <c r="D57" t="s">
        <v>2472</v>
      </c>
      <c r="E57" t="s">
        <v>7</v>
      </c>
      <c r="F57" t="str">
        <f>_xlfn.CONCAT(D57,", ",H57,", ",I57,", ","云南省")</f>
        <v>包谷垴乡, 巧家县, 昭通市, 云南省</v>
      </c>
      <c r="G57">
        <v>22512</v>
      </c>
      <c r="H57" t="s">
        <v>2902</v>
      </c>
      <c r="I57" t="s">
        <v>2899</v>
      </c>
      <c r="J57" t="e">
        <f>VLOOKUP(F57,[1]!china_towns_second__2[[Column1]:[Y]],3,FALSE)</f>
        <v>#N/A</v>
      </c>
      <c r="K57" t="e">
        <f>VLOOKUP(F57,[1]!china_towns_second__2[[Column1]:[Y]],2,FALSE)</f>
        <v>#N/A</v>
      </c>
      <c r="L57" t="s">
        <v>3616</v>
      </c>
      <c r="M57" t="str">
        <f>VLOOKUP(H57,CHOOSE({1,2},Table17[Native],Table17[Name]),2,0)</f>
        <v>Qiăojiā Xiàn</v>
      </c>
      <c r="N57" s="15" t="str">
        <f>VLOOKUP(I57,CHOOSE({1,2},Table17[Native],Table17[Name]),2,0)</f>
        <v>Zhāotōng Shì</v>
      </c>
      <c r="O57" s="15" t="str">
        <f t="shared" si="0"/>
        <v>Baogunao Xiang (Zhāotōng Shì)</v>
      </c>
      <c r="P57" s="15" t="str">
        <f t="shared" si="1"/>
        <v>Baogunao Xiang (Zhāotōng Shì)</v>
      </c>
    </row>
    <row r="58" spans="1:16" hidden="1" x14ac:dyDescent="0.25">
      <c r="A58" t="s">
        <v>785</v>
      </c>
      <c r="B58" t="str">
        <f>IF(COUNTIF(A:A,A58)&gt;1,_xlfn.CONCAT(A58," (",N58,")"),A58)</f>
        <v>Băohé Xiāng</v>
      </c>
      <c r="C58" t="str">
        <f>IF(COUNTIF(B:B,B58)&gt;1,_xlfn.CONCAT(A58," (",M58,")"),B58)</f>
        <v>Băohé Xiāng</v>
      </c>
      <c r="D58" t="s">
        <v>786</v>
      </c>
      <c r="E58" t="s">
        <v>7</v>
      </c>
      <c r="F58" t="str">
        <f>_xlfn.CONCAT(D58,", ",H58,", ",I58,", ","云南省")</f>
        <v>保和乡, 个旧市, 红河哈尼族彝族自治州, 云南省</v>
      </c>
      <c r="G58">
        <v>10168</v>
      </c>
      <c r="H58" t="s">
        <v>2793</v>
      </c>
      <c r="I58" t="s">
        <v>2792</v>
      </c>
      <c r="J58" t="e">
        <f>VLOOKUP(F58,[1]!china_towns_second__2[[Column1]:[Y]],3,FALSE)</f>
        <v>#N/A</v>
      </c>
      <c r="K58" t="e">
        <f>VLOOKUP(F58,[1]!china_towns_second__2[[Column1]:[Y]],2,FALSE)</f>
        <v>#N/A</v>
      </c>
      <c r="L58" t="s">
        <v>3617</v>
      </c>
      <c r="M58" t="str">
        <f>VLOOKUP(H58,CHOOSE({1,2},Table17[Native],Table17[Name]),2,0)</f>
        <v>Gèjiù Shì</v>
      </c>
      <c r="N58" s="15" t="str">
        <f>VLOOKUP(I58,CHOOSE({1,2},Table17[Native],Table17[Name]),2,0)</f>
        <v>Hónghé Hānízú Yízú Zìzhìzhōu</v>
      </c>
      <c r="O58" s="15" t="str">
        <f t="shared" si="0"/>
        <v>Baohe Xiang (Hónghé Hānízú Yízú Zìzhìzhōu)</v>
      </c>
      <c r="P58" s="15" t="str">
        <f t="shared" si="1"/>
        <v>Baohe Xiang (Hónghé Hānízú Yízú Zìzhìzhōu)</v>
      </c>
    </row>
    <row r="59" spans="1:16" hidden="1" x14ac:dyDescent="0.25">
      <c r="A59" t="s">
        <v>712</v>
      </c>
      <c r="B59" t="str">
        <f>IF(COUNTIF(A:A,A59)&gt;1,_xlfn.CONCAT(A59," (",N59,")"),A59)</f>
        <v>Băohé Zhèn</v>
      </c>
      <c r="C59" t="str">
        <f>IF(COUNTIF(B:B,B59)&gt;1,_xlfn.CONCAT(A59," (",M59,")"),B59)</f>
        <v>Băohé Zhèn</v>
      </c>
      <c r="D59" t="s">
        <v>713</v>
      </c>
      <c r="E59" t="s">
        <v>11</v>
      </c>
      <c r="F59" t="str">
        <f>_xlfn.CONCAT(D59,", ",H59,", ",I59,", ","云南省")</f>
        <v>保和镇, 维西傈僳族自治县, 迪庆藏族自治州, 云南省</v>
      </c>
      <c r="G59">
        <v>13446</v>
      </c>
      <c r="H59" t="s">
        <v>2788</v>
      </c>
      <c r="I59" t="s">
        <v>2786</v>
      </c>
      <c r="J59">
        <f>VLOOKUP(F59,[1]!china_towns_second__2[[Column1]:[Y]],3,FALSE)</f>
        <v>27.228721638065299</v>
      </c>
      <c r="K59">
        <f>VLOOKUP(F59,[1]!china_towns_second__2[[Column1]:[Y]],2,FALSE)</f>
        <v>99.300811609999997</v>
      </c>
      <c r="L59" t="s">
        <v>3618</v>
      </c>
      <c r="M59" t="str">
        <f>VLOOKUP(H59,CHOOSE({1,2},Table17[Native],Table17[Name]),2,0)</f>
        <v>Wéixī Lìsùzú Zìzhìxiàn</v>
      </c>
      <c r="N59" s="15" t="str">
        <f>VLOOKUP(I59,CHOOSE({1,2},Table17[Native],Table17[Name]),2,0)</f>
        <v>Díqìng Zàngzú Zìzhìzhōu</v>
      </c>
      <c r="O59" s="15" t="str">
        <f t="shared" si="0"/>
        <v>Baohe Zhen (Díqìng Zàngzú Zìzhìzhōu)</v>
      </c>
      <c r="P59" s="15" t="str">
        <f t="shared" si="1"/>
        <v>Baohe Zhen (Díqìng Zàngzú Zìzhìzhōu)</v>
      </c>
    </row>
    <row r="60" spans="1:16" hidden="1" x14ac:dyDescent="0.25">
      <c r="A60" t="s">
        <v>372</v>
      </c>
      <c r="B60" t="str">
        <f>IF(COUNTIF(A:A,A60)&gt;1,_xlfn.CONCAT(A60," (",N60,")"),A60)</f>
        <v>Băohuá Zhèn (Dàlĭ Báizú Zìzhìzhōu)</v>
      </c>
      <c r="C60" t="str">
        <f>IF(COUNTIF(B:B,B60)&gt;1,_xlfn.CONCAT(A60," (",M60,")"),B60)</f>
        <v>Băohuá Zhèn (Dàlĭ Báizú Zìzhìzhōu)</v>
      </c>
      <c r="D60" t="s">
        <v>373</v>
      </c>
      <c r="E60" t="s">
        <v>11</v>
      </c>
      <c r="F60" t="str">
        <f>_xlfn.CONCAT(D60,", ",H60,", ",I60,", ","云南省")</f>
        <v>宝华镇, 南涧彝族自治县, 大理白族自治州, 云南省</v>
      </c>
      <c r="G60">
        <v>29011</v>
      </c>
      <c r="H60" t="s">
        <v>2771</v>
      </c>
      <c r="I60" t="s">
        <v>2763</v>
      </c>
      <c r="J60">
        <f>VLOOKUP(F60,[1]!china_towns_second__2[[Column1]:[Y]],3,FALSE)</f>
        <v>24.896834138391601</v>
      </c>
      <c r="K60">
        <f>VLOOKUP(F60,[1]!china_towns_second__2[[Column1]:[Y]],2,FALSE)</f>
        <v>100.49606679999999</v>
      </c>
      <c r="L60" t="s">
        <v>3619</v>
      </c>
      <c r="M60" t="str">
        <f>VLOOKUP(H60,CHOOSE({1,2},Table17[Native],Table17[Name]),2,0)</f>
        <v>Nánjiàn Yízú Zìzhìxiàn</v>
      </c>
      <c r="N60" s="15" t="str">
        <f>VLOOKUP(I60,CHOOSE({1,2},Table17[Native],Table17[Name]),2,0)</f>
        <v>Dàlĭ Báizú Zìzhìzhōu</v>
      </c>
      <c r="O60" s="15" t="str">
        <f t="shared" si="0"/>
        <v>Baohua Zhen (Dali Baizu Zizhizhou) (Dàlĭ Báizú Zìzhìzhōu)</v>
      </c>
      <c r="P60" s="15" t="str">
        <f t="shared" si="1"/>
        <v>Baohua Zhen (Dali Baizu Zizhizhou) (Dàlĭ Báizú Zìzhìzhōu)</v>
      </c>
    </row>
    <row r="61" spans="1:16" hidden="1" x14ac:dyDescent="0.25">
      <c r="A61" t="s">
        <v>372</v>
      </c>
      <c r="B61" t="str">
        <f>IF(COUNTIF(A:A,A61)&gt;1,_xlfn.CONCAT(A61," (",N61,")"),A61)</f>
        <v>Băohuá Zhèn (Hónghé Hānízú Yízú Zìzhìzhōu)</v>
      </c>
      <c r="C61" t="str">
        <f>IF(COUNTIF(B:B,B61)&gt;1,_xlfn.CONCAT(A61," (",M61,")"),B61)</f>
        <v>Băohuá Zhèn (Hónghé Hānízú Yízú Zìzhìzhōu)</v>
      </c>
      <c r="D61" t="s">
        <v>373</v>
      </c>
      <c r="E61" t="s">
        <v>11</v>
      </c>
      <c r="F61" t="str">
        <f>_xlfn.CONCAT(D61,", ",H61,", ",I61,", ","云南省")</f>
        <v>宝华镇, 红河县, 红河哈尼族彝族自治州, 云南省</v>
      </c>
      <c r="G61">
        <v>21891</v>
      </c>
      <c r="H61" t="s">
        <v>2795</v>
      </c>
      <c r="I61" t="s">
        <v>2792</v>
      </c>
      <c r="J61">
        <f>VLOOKUP(F61,[1]!china_towns_second__2[[Column1]:[Y]],3,FALSE)</f>
        <v>23.2459906770417</v>
      </c>
      <c r="K61">
        <f>VLOOKUP(F61,[1]!china_towns_second__2[[Column1]:[Y]],2,FALSE)</f>
        <v>102.3348901</v>
      </c>
      <c r="L61" t="s">
        <v>3620</v>
      </c>
      <c r="M61" t="str">
        <f>VLOOKUP(H61,CHOOSE({1,2},Table17[Native],Table17[Name]),2,0)</f>
        <v>Hónghé Xiàn</v>
      </c>
      <c r="N61" s="15" t="str">
        <f>VLOOKUP(I61,CHOOSE({1,2},Table17[Native],Table17[Name]),2,0)</f>
        <v>Hónghé Hānízú Yízú Zìzhìzhōu</v>
      </c>
      <c r="O61" s="15" t="str">
        <f t="shared" si="0"/>
        <v>Baohua Zhen (Honghe Hanizu Yizu Zizhizhou) (Hónghé Hānízú Yízú Zìzhìzhōu)</v>
      </c>
      <c r="P61" s="15" t="str">
        <f t="shared" si="1"/>
        <v>Baohua Zhen (Honghe Hanizu Yizu Zizhizhou) (Hónghé Hānízú Yízú Zìzhìzhōu)</v>
      </c>
    </row>
    <row r="62" spans="1:16" hidden="1" x14ac:dyDescent="0.25">
      <c r="A62" t="s">
        <v>1307</v>
      </c>
      <c r="B62" t="str">
        <f>IF(COUNTIF(A:A,A62)&gt;1,_xlfn.CONCAT(A62," (",N62,")"),A62)</f>
        <v>Băoshān Xiāng</v>
      </c>
      <c r="C62" t="str">
        <f>IF(COUNTIF(B:B,B62)&gt;1,_xlfn.CONCAT(A62," (",M62,")"),B62)</f>
        <v>Băoshān Xiāng</v>
      </c>
      <c r="D62" t="s">
        <v>1308</v>
      </c>
      <c r="E62" t="s">
        <v>7</v>
      </c>
      <c r="F62" t="str">
        <f>_xlfn.CONCAT(D62,", ",H62,", ",I62,", ","云南省")</f>
        <v>宝山乡, 玉龙纳西族自治县, 丽江市, 云南省</v>
      </c>
      <c r="G62">
        <v>7528</v>
      </c>
      <c r="H62" t="s">
        <v>2829</v>
      </c>
      <c r="I62" t="s">
        <v>2823</v>
      </c>
      <c r="J62" t="e">
        <f>VLOOKUP(F62,[1]!china_towns_second__2[[Column1]:[Y]],3,FALSE)</f>
        <v>#N/A</v>
      </c>
      <c r="K62" t="e">
        <f>VLOOKUP(F62,[1]!china_towns_second__2[[Column1]:[Y]],2,FALSE)</f>
        <v>#N/A</v>
      </c>
      <c r="L62" t="s">
        <v>3621</v>
      </c>
      <c r="M62" t="str">
        <f>VLOOKUP(H62,CHOOSE({1,2},Table17[Native],Table17[Name]),2,0)</f>
        <v>Yùlóng Nàxīzú Zìzhìxiàn</v>
      </c>
      <c r="N62" s="15" t="str">
        <f>VLOOKUP(I62,CHOOSE({1,2},Table17[Native],Table17[Name]),2,0)</f>
        <v>Lìjiāng Shì</v>
      </c>
      <c r="O62" s="15" t="str">
        <f t="shared" si="0"/>
        <v>Baoshan Xiang (Lìjiāng Shì)</v>
      </c>
      <c r="P62" s="15" t="str">
        <f t="shared" si="1"/>
        <v>Baoshan Xiang (Lìjiāng Shì)</v>
      </c>
    </row>
    <row r="63" spans="1:16" hidden="1" x14ac:dyDescent="0.25">
      <c r="A63" t="s">
        <v>1864</v>
      </c>
      <c r="B63" t="str">
        <f>IF(COUNTIF(A:A,A63)&gt;1,_xlfn.CONCAT(A63," (",N63,")"),A63)</f>
        <v>Băoshān Zhèn</v>
      </c>
      <c r="C63" t="str">
        <f>IF(COUNTIF(B:B,B63)&gt;1,_xlfn.CONCAT(A63," (",M63,")"),B63)</f>
        <v>Băoshān Zhèn</v>
      </c>
      <c r="D63" t="s">
        <v>1865</v>
      </c>
      <c r="E63" t="s">
        <v>11</v>
      </c>
      <c r="F63" t="str">
        <f>_xlfn.CONCAT(D63,", ",H63,", ",I63,", ","云南省")</f>
        <v>宝山镇, 宣威市, 曲靖市, 云南省</v>
      </c>
      <c r="G63">
        <v>55388</v>
      </c>
      <c r="H63" t="s">
        <v>2868</v>
      </c>
      <c r="I63" t="s">
        <v>2860</v>
      </c>
      <c r="J63">
        <f>VLOOKUP(F63,[1]!china_towns_second__2[[Column1]:[Y]],3,FALSE)</f>
        <v>26.317498826365899</v>
      </c>
      <c r="K63">
        <f>VLOOKUP(F63,[1]!china_towns_second__2[[Column1]:[Y]],2,FALSE)</f>
        <v>104.4884845</v>
      </c>
      <c r="L63" t="s">
        <v>3622</v>
      </c>
      <c r="M63" t="str">
        <f>VLOOKUP(H63,CHOOSE({1,2},Table17[Native],Table17[Name]),2,0)</f>
        <v>Xuānwēi Shì</v>
      </c>
      <c r="N63" s="15" t="str">
        <f>VLOOKUP(I63,CHOOSE({1,2},Table17[Native],Table17[Name]),2,0)</f>
        <v>Qŭjìng Shì</v>
      </c>
      <c r="O63" s="15" t="str">
        <f t="shared" si="0"/>
        <v>Baoshan Zhen (Qŭjìng Shì)</v>
      </c>
      <c r="P63" s="15" t="str">
        <f t="shared" si="1"/>
        <v>Baoshan Zhen (Qŭjìng Shì)</v>
      </c>
    </row>
    <row r="64" spans="1:16" hidden="1" x14ac:dyDescent="0.25">
      <c r="A64" t="s">
        <v>788</v>
      </c>
      <c r="B64" t="str">
        <f>IF(COUNTIF(A:A,A64)&gt;1,_xlfn.CONCAT(A64," (",N64,")"),A64)</f>
        <v>Băoxiù Zhèn</v>
      </c>
      <c r="C64" t="str">
        <f>IF(COUNTIF(B:B,B64)&gt;1,_xlfn.CONCAT(A64," (",M64,")"),B64)</f>
        <v>Băoxiù Zhèn</v>
      </c>
      <c r="D64" t="s">
        <v>789</v>
      </c>
      <c r="E64" t="s">
        <v>11</v>
      </c>
      <c r="F64" t="str">
        <f>_xlfn.CONCAT(D64,", ",H64,", ",I64,", ","云南省")</f>
        <v>宝秀镇, 石屏县, 红河哈尼族彝族自治州, 云南省</v>
      </c>
      <c r="G64">
        <v>49575</v>
      </c>
      <c r="H64" t="s">
        <v>2804</v>
      </c>
      <c r="I64" t="s">
        <v>2792</v>
      </c>
      <c r="J64">
        <f>VLOOKUP(F64,[1]!china_towns_second__2[[Column1]:[Y]],3,FALSE)</f>
        <v>23.750040061336598</v>
      </c>
      <c r="K64">
        <f>VLOOKUP(F64,[1]!china_towns_second__2[[Column1]:[Y]],2,FALSE)</f>
        <v>102.2959062</v>
      </c>
      <c r="L64" t="s">
        <v>3623</v>
      </c>
      <c r="M64" t="str">
        <f>VLOOKUP(H64,CHOOSE({1,2},Table17[Native],Table17[Name]),2,0)</f>
        <v>Shípíng Xiàn</v>
      </c>
      <c r="N64" s="15" t="str">
        <f>VLOOKUP(I64,CHOOSE({1,2},Table17[Native],Table17[Name]),2,0)</f>
        <v>Hónghé Hānízú Yízú Zìzhìzhōu</v>
      </c>
      <c r="O64" s="15" t="str">
        <f t="shared" si="0"/>
        <v>Baoxiu Zhen (Hónghé Hānízú Yízú Zìzhìzhōu)</v>
      </c>
      <c r="P64" s="15" t="str">
        <f t="shared" si="1"/>
        <v>Baoxiu Zhen (Hónghé Hānízú Yízú Zìzhìzhōu)</v>
      </c>
    </row>
    <row r="65" spans="1:16" hidden="1" x14ac:dyDescent="0.25">
      <c r="A65" t="s">
        <v>1662</v>
      </c>
      <c r="B65" t="str">
        <f>IF(COUNTIF(A:A,A65)&gt;1,_xlfn.CONCAT(A65," (",N65,")"),A65)</f>
        <v>Băozàng Zhèn</v>
      </c>
      <c r="C65" t="str">
        <f>IF(COUNTIF(B:B,B65)&gt;1,_xlfn.CONCAT(A65," (",M65,")"),B65)</f>
        <v>Băozàng Zhèn</v>
      </c>
      <c r="D65" t="s">
        <v>1663</v>
      </c>
      <c r="E65" t="s">
        <v>11</v>
      </c>
      <c r="F65" t="str">
        <f>_xlfn.CONCAT(D65,", ",H65,", ",I65,", ","云南省")</f>
        <v>宝藏镇, 江城哈尼族彝族自治县, 普洱市, 云南省</v>
      </c>
      <c r="G65">
        <v>9102</v>
      </c>
      <c r="H65" t="s">
        <v>2849</v>
      </c>
      <c r="I65" t="s">
        <v>2848</v>
      </c>
      <c r="J65">
        <f>VLOOKUP(F65,[1]!china_towns_second__2[[Column1]:[Y]],3,FALSE)</f>
        <v>22.719666625698501</v>
      </c>
      <c r="K65">
        <f>VLOOKUP(F65,[1]!china_towns_second__2[[Column1]:[Y]],2,FALSE)</f>
        <v>101.6518212</v>
      </c>
      <c r="L65" t="s">
        <v>3624</v>
      </c>
      <c r="M65" t="str">
        <f>VLOOKUP(H65,CHOOSE({1,2},Table17[Native],Table17[Name]),2,0)</f>
        <v>Jiāngchéng Hānízú Yízú Zìzhìxiàn</v>
      </c>
      <c r="N65" s="15" t="str">
        <f>VLOOKUP(I65,CHOOSE({1,2},Table17[Native],Table17[Name]),2,0)</f>
        <v>Pŭ'ĕr Shì</v>
      </c>
      <c r="O65" s="15" t="str">
        <f t="shared" si="0"/>
        <v>Baozang Zhen (Pŭ'ĕr Shì)</v>
      </c>
      <c r="P65" s="15" t="str">
        <f t="shared" si="1"/>
        <v>Baozang Zhen (Pŭ'ĕr Shì)</v>
      </c>
    </row>
    <row r="66" spans="1:16" hidden="1" x14ac:dyDescent="0.25">
      <c r="A66" t="s">
        <v>2087</v>
      </c>
      <c r="B66" t="str">
        <f>IF(COUNTIF(A:A,A66)&gt;1,_xlfn.CONCAT(A66," (",N66,")"),A66)</f>
        <v>Bàxīn Yízú Xiāng</v>
      </c>
      <c r="C66" t="str">
        <f>IF(COUNTIF(B:B,B66)&gt;1,_xlfn.CONCAT(A66," (",M66,")"),B66)</f>
        <v>Bàxīn Yízú Xiāng</v>
      </c>
      <c r="D66" t="s">
        <v>2088</v>
      </c>
      <c r="E66" t="s">
        <v>7</v>
      </c>
      <c r="F66" t="str">
        <f>_xlfn.CONCAT(D66,", ",H66,", ",I66,", ","云南省")</f>
        <v>坝心彝族乡, 文山市, 文山壮族苗族自治州, 云南省</v>
      </c>
      <c r="G66">
        <v>5288</v>
      </c>
      <c r="H66" t="s">
        <v>2878</v>
      </c>
      <c r="I66" t="s">
        <v>2872</v>
      </c>
      <c r="J66" t="e">
        <f>VLOOKUP(F66,[1]!china_towns_second__2[[Column1]:[Y]],3,FALSE)</f>
        <v>#N/A</v>
      </c>
      <c r="K66" t="e">
        <f>VLOOKUP(F66,[1]!china_towns_second__2[[Column1]:[Y]],2,FALSE)</f>
        <v>#N/A</v>
      </c>
      <c r="L66" t="s">
        <v>3625</v>
      </c>
      <c r="M66" t="str">
        <f>VLOOKUP(H66,CHOOSE({1,2},Table17[Native],Table17[Name]),2,0)</f>
        <v>Wénshān Shì</v>
      </c>
      <c r="N66" s="15" t="str">
        <f>VLOOKUP(I66,CHOOSE({1,2},Table17[Native],Table17[Name]),2,0)</f>
        <v>Wénshān Zhuàngzú Miáozú Zìzhìzhōu</v>
      </c>
      <c r="O66" s="15" t="str">
        <f t="shared" ref="O66:O129" si="2">_xlfn.CONCAT(L66," (",N66,")")</f>
        <v>Baxin Yizu Xiang (Wénshān Zhuàngzú Miáozú Zìzhìzhōu)</v>
      </c>
      <c r="P66" s="15" t="str">
        <f t="shared" ref="P66:P129" si="3">IF(COUNTIF(O:O,O66)&gt;1,_xlfn.CONCAT(L66," (",M66,")"),O66)</f>
        <v>Baxin Yizu Xiang (Wénshān Zhuàngzú Miáozú Zìzhìzhōu)</v>
      </c>
    </row>
    <row r="67" spans="1:16" hidden="1" x14ac:dyDescent="0.25">
      <c r="A67" t="s">
        <v>791</v>
      </c>
      <c r="B67" t="str">
        <f>IF(COUNTIF(A:A,A67)&gt;1,_xlfn.CONCAT(A67," (",N67,")"),A67)</f>
        <v>Bàxīn Zhèn</v>
      </c>
      <c r="C67" t="str">
        <f>IF(COUNTIF(B:B,B67)&gt;1,_xlfn.CONCAT(A67," (",M67,")"),B67)</f>
        <v>Bàxīn Zhèn</v>
      </c>
      <c r="D67" t="s">
        <v>792</v>
      </c>
      <c r="E67" t="s">
        <v>11</v>
      </c>
      <c r="F67" t="str">
        <f>_xlfn.CONCAT(D67,", ",H67,", ",I67,", ","云南省")</f>
        <v>坝心镇, 石屏县, 红河哈尼族彝族自治州, 云南省</v>
      </c>
      <c r="G67">
        <v>27303</v>
      </c>
      <c r="H67" t="s">
        <v>2804</v>
      </c>
      <c r="I67" t="s">
        <v>2792</v>
      </c>
      <c r="J67">
        <f>VLOOKUP(F67,[1]!china_towns_second__2[[Column1]:[Y]],3,FALSE)</f>
        <v>23.644703249005499</v>
      </c>
      <c r="K67">
        <f>VLOOKUP(F67,[1]!china_towns_second__2[[Column1]:[Y]],2,FALSE)</f>
        <v>102.6038147</v>
      </c>
      <c r="L67" t="s">
        <v>3626</v>
      </c>
      <c r="M67" t="str">
        <f>VLOOKUP(H67,CHOOSE({1,2},Table17[Native],Table17[Name]),2,0)</f>
        <v>Shípíng Xiàn</v>
      </c>
      <c r="N67" s="15" t="str">
        <f>VLOOKUP(I67,CHOOSE({1,2},Table17[Native],Table17[Name]),2,0)</f>
        <v>Hónghé Hānízú Yízú Zìzhìzhōu</v>
      </c>
      <c r="O67" s="15" t="str">
        <f t="shared" si="2"/>
        <v>Baxin Zhen (Hónghé Hānízú Yízú Zìzhìzhōu)</v>
      </c>
      <c r="P67" s="15" t="str">
        <f t="shared" si="3"/>
        <v>Baxin Zhen (Hónghé Hānízú Yízú Zìzhìzhōu)</v>
      </c>
    </row>
    <row r="68" spans="1:16" hidden="1" x14ac:dyDescent="0.25">
      <c r="A68" t="s">
        <v>2090</v>
      </c>
      <c r="B68" t="str">
        <f>IF(COUNTIF(A:A,A68)&gt;1,_xlfn.CONCAT(A68," (",N68,")"),A68)</f>
        <v>Bāzhài Zhèn</v>
      </c>
      <c r="C68" t="str">
        <f>IF(COUNTIF(B:B,B68)&gt;1,_xlfn.CONCAT(A68," (",M68,")"),B68)</f>
        <v>Bāzhài Zhèn</v>
      </c>
      <c r="D68" t="s">
        <v>2091</v>
      </c>
      <c r="E68" t="s">
        <v>11</v>
      </c>
      <c r="F68" t="str">
        <f>_xlfn.CONCAT(D68,", ",H68,", ",I68,", ","云南省")</f>
        <v>八寨镇, 马关县, 文山壮族苗族自治州, 云南省</v>
      </c>
      <c r="G68">
        <v>43755</v>
      </c>
      <c r="H68" t="s">
        <v>2875</v>
      </c>
      <c r="I68" t="s">
        <v>2872</v>
      </c>
      <c r="J68">
        <f>VLOOKUP(F68,[1]!china_towns_second__2[[Column1]:[Y]],3,FALSE)</f>
        <v>23.0198280839716</v>
      </c>
      <c r="K68">
        <f>VLOOKUP(F68,[1]!china_towns_second__2[[Column1]:[Y]],2,FALSE)</f>
        <v>104.01908450000001</v>
      </c>
      <c r="L68" t="s">
        <v>3627</v>
      </c>
      <c r="M68" t="str">
        <f>VLOOKUP(H68,CHOOSE({1,2},Table17[Native],Table17[Name]),2,0)</f>
        <v>Măguān Xiàn</v>
      </c>
      <c r="N68" s="15" t="str">
        <f>VLOOKUP(I68,CHOOSE({1,2},Table17[Native],Table17[Name]),2,0)</f>
        <v>Wénshān Zhuàngzú Miáozú Zìzhìzhōu</v>
      </c>
      <c r="O68" s="15" t="str">
        <f t="shared" si="2"/>
        <v>Bazhai Zhen (Wénshān Zhuàngzú Miáozú Zìzhìzhōu)</v>
      </c>
      <c r="P68" s="15" t="str">
        <f t="shared" si="3"/>
        <v>Bazhai Zhen (Wénshān Zhuàngzú Miáozú Zìzhìzhōu)</v>
      </c>
    </row>
    <row r="69" spans="1:16" hidden="1" x14ac:dyDescent="0.25">
      <c r="A69" t="s">
        <v>2326</v>
      </c>
      <c r="B69" t="str">
        <f>IF(COUNTIF(A:A,A69)&gt;1,_xlfn.CONCAT(A69," (",N69,")"),A69)</f>
        <v>Bĕichéng Jiēdào</v>
      </c>
      <c r="C69" t="str">
        <f>IF(COUNTIF(B:B,B69)&gt;1,_xlfn.CONCAT(A69," (",M69,")"),B69)</f>
        <v>Bĕichéng Jiēdào</v>
      </c>
      <c r="D69" t="s">
        <v>2327</v>
      </c>
      <c r="E69" t="s">
        <v>42</v>
      </c>
      <c r="F69" t="str">
        <f>_xlfn.CONCAT(D69,", ",H69,", ",I69,", ","云南省")</f>
        <v>北城街道, 红塔区, 玉溪市, 云南省</v>
      </c>
      <c r="G69">
        <v>59440</v>
      </c>
      <c r="H69" t="s">
        <v>2891</v>
      </c>
      <c r="I69" t="s">
        <v>2888</v>
      </c>
      <c r="J69">
        <f>VLOOKUP(F69,[1]!china_towns_second__2[[Column1]:[Y]],3,FALSE)</f>
        <v>24.474610933666199</v>
      </c>
      <c r="K69">
        <f>VLOOKUP(F69,[1]!china_towns_second__2[[Column1]:[Y]],2,FALSE)</f>
        <v>102.5546125</v>
      </c>
      <c r="L69" t="s">
        <v>3628</v>
      </c>
      <c r="M69" t="str">
        <f>VLOOKUP(H69,CHOOSE({1,2},Table17[Native],Table17[Name]),2,0)</f>
        <v>Hóngtă Qū</v>
      </c>
      <c r="N69" s="15" t="str">
        <f>VLOOKUP(I69,CHOOSE({1,2},Table17[Native],Table17[Name]),2,0)</f>
        <v>Yùxī Shì</v>
      </c>
      <c r="O69" s="15" t="str">
        <f t="shared" si="2"/>
        <v>Beicheng Jiedao (Yùxī Shì)</v>
      </c>
      <c r="P69" s="15" t="str">
        <f t="shared" si="3"/>
        <v>Beicheng Jiedao (Yùxī Shì)</v>
      </c>
    </row>
    <row r="70" spans="1:16" hidden="1" x14ac:dyDescent="0.25">
      <c r="A70" t="s">
        <v>375</v>
      </c>
      <c r="B70" t="str">
        <f>IF(COUNTIF(A:A,A70)&gt;1,_xlfn.CONCAT(A70," (",N70,")"),A70)</f>
        <v>Bĕidòu Yízú Xiāng</v>
      </c>
      <c r="C70" t="str">
        <f>IF(COUNTIF(B:B,B70)&gt;1,_xlfn.CONCAT(A70," (",M70,")"),B70)</f>
        <v>Bĕidòu Yízú Xiāng</v>
      </c>
      <c r="D70" t="s">
        <v>376</v>
      </c>
      <c r="E70" t="s">
        <v>7</v>
      </c>
      <c r="F70" t="str">
        <f>_xlfn.CONCAT(D70,", ",H70,", ",I70,", ","云南省")</f>
        <v>北斗彝族乡, 永平县, 大理白族自治州, 云南省</v>
      </c>
      <c r="G70">
        <v>13371</v>
      </c>
      <c r="H70" t="s">
        <v>2775</v>
      </c>
      <c r="I70" t="s">
        <v>2763</v>
      </c>
      <c r="J70" t="e">
        <f>VLOOKUP(F70,[1]!china_towns_second__2[[Column1]:[Y]],3,FALSE)</f>
        <v>#N/A</v>
      </c>
      <c r="K70" t="e">
        <f>VLOOKUP(F70,[1]!china_towns_second__2[[Column1]:[Y]],2,FALSE)</f>
        <v>#N/A</v>
      </c>
      <c r="L70" t="s">
        <v>3629</v>
      </c>
      <c r="M70" t="str">
        <f>VLOOKUP(H70,CHOOSE({1,2},Table17[Native],Table17[Name]),2,0)</f>
        <v>Yŏngpíng Xiàn</v>
      </c>
      <c r="N70" s="15" t="str">
        <f>VLOOKUP(I70,CHOOSE({1,2},Table17[Native],Table17[Name]),2,0)</f>
        <v>Dàlĭ Báizú Zìzhìzhōu</v>
      </c>
      <c r="O70" s="15" t="str">
        <f t="shared" si="2"/>
        <v>Beidou Yizu Xiang (Dàlĭ Báizú Zìzhìzhōu)</v>
      </c>
      <c r="P70" s="15" t="str">
        <f t="shared" si="3"/>
        <v>Beidou Yizu Xiang (Dàlĭ Báizú Zìzhìzhōu)</v>
      </c>
    </row>
    <row r="71" spans="1:16" hidden="1" x14ac:dyDescent="0.25">
      <c r="A71" t="s">
        <v>793</v>
      </c>
      <c r="B71" t="str">
        <f>IF(COUNTIF(A:A,A71)&gt;1,_xlfn.CONCAT(A71," (",N71,")"),A71)</f>
        <v>Bēigé Xiāng</v>
      </c>
      <c r="C71" t="str">
        <f>IF(COUNTIF(B:B,B71)&gt;1,_xlfn.CONCAT(A71," (",M71,")"),B71)</f>
        <v>Bēigé Xiāng</v>
      </c>
      <c r="D71" t="s">
        <v>794</v>
      </c>
      <c r="E71" t="s">
        <v>7</v>
      </c>
      <c r="F71" t="str">
        <f>_xlfn.CONCAT(D71,", ",H71,", ",I71,", ","云南省")</f>
        <v>碑格乡, 开远市, 红河哈尼族彝族自治州, 云南省</v>
      </c>
      <c r="G71">
        <v>15789</v>
      </c>
      <c r="H71" t="s">
        <v>2798</v>
      </c>
      <c r="I71" t="s">
        <v>2792</v>
      </c>
      <c r="J71" t="e">
        <f>VLOOKUP(F71,[1]!china_towns_second__2[[Column1]:[Y]],3,FALSE)</f>
        <v>#N/A</v>
      </c>
      <c r="K71" t="e">
        <f>VLOOKUP(F71,[1]!china_towns_second__2[[Column1]:[Y]],2,FALSE)</f>
        <v>#N/A</v>
      </c>
      <c r="L71" t="s">
        <v>3630</v>
      </c>
      <c r="M71" t="str">
        <f>VLOOKUP(H71,CHOOSE({1,2},Table17[Native],Table17[Name]),2,0)</f>
        <v>Kāiyuăn Shì</v>
      </c>
      <c r="N71" s="15" t="str">
        <f>VLOOKUP(I71,CHOOSE({1,2},Table17[Native],Table17[Name]),2,0)</f>
        <v>Hónghé Hānízú Yízú Zìzhìzhōu</v>
      </c>
      <c r="O71" s="15" t="str">
        <f t="shared" si="2"/>
        <v>Beige Xiang (Hónghé Hānízú Yízú Zìzhìzhōu)</v>
      </c>
      <c r="P71" s="15" t="str">
        <f t="shared" si="3"/>
        <v>Beige Xiang (Hónghé Hānízú Yízú Zìzhìzhōu)</v>
      </c>
    </row>
    <row r="72" spans="1:16" hidden="1" x14ac:dyDescent="0.25">
      <c r="A72" t="s">
        <v>1048</v>
      </c>
      <c r="B72" t="str">
        <f>IF(COUNTIF(A:A,A72)&gt;1,_xlfn.CONCAT(A72," (",N72,")"),A72)</f>
        <v>Bĕigŭchéng Zhèn</v>
      </c>
      <c r="C72" t="str">
        <f>IF(COUNTIF(B:B,B72)&gt;1,_xlfn.CONCAT(A72," (",M72,")"),B72)</f>
        <v>Bĕigŭchéng Zhèn</v>
      </c>
      <c r="D72" t="s">
        <v>1049</v>
      </c>
      <c r="E72" t="s">
        <v>11</v>
      </c>
      <c r="F72" t="str">
        <f>_xlfn.CONCAT(D72,", ",H72,", ",I72,", ","云南省")</f>
        <v>北古城镇, 宜良县, 昆明市, 云南省</v>
      </c>
      <c r="G72">
        <v>53604</v>
      </c>
      <c r="H72" t="s">
        <v>2821</v>
      </c>
      <c r="I72" t="s">
        <v>2807</v>
      </c>
      <c r="J72">
        <f>VLOOKUP(F72,[1]!china_towns_second__2[[Column1]:[Y]],3,FALSE)</f>
        <v>25.0369751392825</v>
      </c>
      <c r="K72">
        <f>VLOOKUP(F72,[1]!china_towns_second__2[[Column1]:[Y]],2,FALSE)</f>
        <v>103.19934309999999</v>
      </c>
      <c r="L72" t="s">
        <v>3631</v>
      </c>
      <c r="M72" t="str">
        <f>VLOOKUP(H72,CHOOSE({1,2},Table17[Native],Table17[Name]),2,0)</f>
        <v>Yíliáng Xiàn</v>
      </c>
      <c r="N72" s="15" t="str">
        <f>VLOOKUP(I72,CHOOSE({1,2},Table17[Native],Table17[Name]),2,0)</f>
        <v>Kūnmíng Shì</v>
      </c>
      <c r="O72" s="15" t="str">
        <f t="shared" si="2"/>
        <v>Beigucheng Zhen (Kūnmíng Shì)</v>
      </c>
      <c r="P72" s="15" t="str">
        <f t="shared" si="3"/>
        <v>Beigucheng Zhen (Kūnmíng Shì)</v>
      </c>
    </row>
    <row r="73" spans="1:16" hidden="1" x14ac:dyDescent="0.25">
      <c r="A73" t="s">
        <v>13</v>
      </c>
      <c r="B73" t="str">
        <f>IF(COUNTIF(A:A,A73)&gt;1,_xlfn.CONCAT(A73," (",N73,")"),A73)</f>
        <v>Bĕihăi Xiāng</v>
      </c>
      <c r="C73" t="str">
        <f>IF(COUNTIF(B:B,B73)&gt;1,_xlfn.CONCAT(A73," (",M73,")"),B73)</f>
        <v>Bĕihăi Xiāng</v>
      </c>
      <c r="D73" t="s">
        <v>14</v>
      </c>
      <c r="E73" t="s">
        <v>7</v>
      </c>
      <c r="F73" t="str">
        <f>_xlfn.CONCAT(D73,", ",H73,", ",I73,", ","云南省")</f>
        <v>北海乡, 腾冲市, 保山市, 云南省</v>
      </c>
      <c r="G73">
        <v>22668</v>
      </c>
      <c r="H73" t="s">
        <v>2747</v>
      </c>
      <c r="I73" t="s">
        <v>2739</v>
      </c>
      <c r="J73" t="e">
        <f>VLOOKUP(F73,[1]!china_towns_second__2[[Column1]:[Y]],3,FALSE)</f>
        <v>#N/A</v>
      </c>
      <c r="K73" t="e">
        <f>VLOOKUP(F73,[1]!china_towns_second__2[[Column1]:[Y]],2,FALSE)</f>
        <v>#N/A</v>
      </c>
      <c r="L73" t="s">
        <v>3632</v>
      </c>
      <c r="M73" t="str">
        <f>VLOOKUP(H73,CHOOSE({1,2},Table17[Native],Table17[Name]),2,0)</f>
        <v>Téngchōng Shì</v>
      </c>
      <c r="N73" s="15" t="str">
        <f>VLOOKUP(I73,CHOOSE({1,2},Table17[Native],Table17[Name]),2,0)</f>
        <v>Băoshān Shì</v>
      </c>
      <c r="O73" s="15" t="str">
        <f t="shared" si="2"/>
        <v>Beihai Xiang (Băoshān Shì)</v>
      </c>
      <c r="P73" s="15" t="str">
        <f t="shared" si="3"/>
        <v>Beihai Xiang (Băoshān Shì)</v>
      </c>
    </row>
    <row r="74" spans="1:16" hidden="1" x14ac:dyDescent="0.25">
      <c r="A74" t="s">
        <v>2473</v>
      </c>
      <c r="B74" t="str">
        <f>IF(COUNTIF(A:A,A74)&gt;1,_xlfn.CONCAT(A74," (",N74,")"),A74)</f>
        <v>Bĕizhá Zhèn</v>
      </c>
      <c r="C74" t="str">
        <f>IF(COUNTIF(B:B,B74)&gt;1,_xlfn.CONCAT(A74," (",M74,")"),B74)</f>
        <v>Bĕizhá Zhèn</v>
      </c>
      <c r="D74" t="s">
        <v>2474</v>
      </c>
      <c r="E74" t="s">
        <v>11</v>
      </c>
      <c r="F74" t="str">
        <f>_xlfn.CONCAT(D74,", ",H74,", ",I74,", ","云南省")</f>
        <v>北闸镇, 昭阳区, 昭通市, 云南省</v>
      </c>
      <c r="G74">
        <v>49984</v>
      </c>
      <c r="H74" t="s">
        <v>2909</v>
      </c>
      <c r="I74" t="s">
        <v>2899</v>
      </c>
      <c r="J74">
        <f>VLOOKUP(F74,[1]!china_towns_second__2[[Column1]:[Y]],3,FALSE)</f>
        <v>27.433379727988701</v>
      </c>
      <c r="K74">
        <f>VLOOKUP(F74,[1]!china_towns_second__2[[Column1]:[Y]],2,FALSE)</f>
        <v>103.789412</v>
      </c>
      <c r="L74" t="s">
        <v>3633</v>
      </c>
      <c r="M74" t="str">
        <f>VLOOKUP(H74,CHOOSE({1,2},Table17[Native],Table17[Name]),2,0)</f>
        <v>Zhāoyáng Qū</v>
      </c>
      <c r="N74" s="15" t="str">
        <f>VLOOKUP(I74,CHOOSE({1,2},Table17[Native],Table17[Name]),2,0)</f>
        <v>Zhāotōng Shì</v>
      </c>
      <c r="O74" s="15" t="str">
        <f t="shared" si="2"/>
        <v>Beizha Zhen (Zhāotōng Shì)</v>
      </c>
      <c r="P74" s="15" t="str">
        <f t="shared" si="3"/>
        <v>Beizha Zhen (Zhāotōng Shì)</v>
      </c>
    </row>
    <row r="75" spans="1:16" hidden="1" x14ac:dyDescent="0.25">
      <c r="A75" t="s">
        <v>2093</v>
      </c>
      <c r="B75" t="str">
        <f>IF(COUNTIF(A:A,A75)&gt;1,_xlfn.CONCAT(A75," (",N75,")"),A75)</f>
        <v>Bèng'é Xiāng</v>
      </c>
      <c r="C75" t="str">
        <f>IF(COUNTIF(B:B,B75)&gt;1,_xlfn.CONCAT(A75," (",M75,")"),B75)</f>
        <v>Bèng'é Xiāng</v>
      </c>
      <c r="D75" t="s">
        <v>2094</v>
      </c>
      <c r="E75" t="s">
        <v>7</v>
      </c>
      <c r="F75" t="str">
        <f>_xlfn.CONCAT(D75,", ",H75,", ",I75,", ","云南省")</f>
        <v>蚌峨乡, 砚山县, 文山壮族苗族自治州, 云南省</v>
      </c>
      <c r="G75">
        <v>12797</v>
      </c>
      <c r="H75" t="s">
        <v>2880</v>
      </c>
      <c r="I75" t="s">
        <v>2872</v>
      </c>
      <c r="J75" t="e">
        <f>VLOOKUP(F75,[1]!china_towns_second__2[[Column1]:[Y]],3,FALSE)</f>
        <v>#N/A</v>
      </c>
      <c r="K75" t="e">
        <f>VLOOKUP(F75,[1]!china_towns_second__2[[Column1]:[Y]],2,FALSE)</f>
        <v>#N/A</v>
      </c>
      <c r="L75" t="s">
        <v>3634</v>
      </c>
      <c r="M75" t="str">
        <f>VLOOKUP(H75,CHOOSE({1,2},Table17[Native],Table17[Name]),2,0)</f>
        <v>Yànshān Xiàn</v>
      </c>
      <c r="N75" s="15" t="str">
        <f>VLOOKUP(I75,CHOOSE({1,2},Table17[Native],Table17[Name]),2,0)</f>
        <v>Wénshān Zhuàngzú Miáozú Zìzhìzhōu</v>
      </c>
      <c r="O75" s="15" t="str">
        <f t="shared" si="2"/>
        <v>Beng'e Xiang (Wénshān Zhuàngzú Miáozú Zìzhìzhōu)</v>
      </c>
      <c r="P75" s="15" t="str">
        <f t="shared" si="3"/>
        <v>Beng'e Xiang (Wénshān Zhuàngzú Miáozú Zìzhìzhōu)</v>
      </c>
    </row>
    <row r="76" spans="1:16" hidden="1" x14ac:dyDescent="0.25">
      <c r="A76" t="s">
        <v>2095</v>
      </c>
      <c r="B76" t="str">
        <f>IF(COUNTIF(A:A,A76)&gt;1,_xlfn.CONCAT(A76," (",N76,")"),A76)</f>
        <v>Bènggŭ Xiāng</v>
      </c>
      <c r="C76" t="str">
        <f>IF(COUNTIF(B:B,B76)&gt;1,_xlfn.CONCAT(A76," (",M76,")"),B76)</f>
        <v>Bènggŭ Xiāng</v>
      </c>
      <c r="D76" t="s">
        <v>2096</v>
      </c>
      <c r="E76" t="s">
        <v>7</v>
      </c>
      <c r="F76" t="str">
        <f>_xlfn.CONCAT(D76,", ",H76,", ",I76,", ","云南省")</f>
        <v>蚌谷乡, 西畴县, 文山壮族苗族自治州, 云南省</v>
      </c>
      <c r="G76">
        <v>20946</v>
      </c>
      <c r="H76" t="s">
        <v>2879</v>
      </c>
      <c r="I76" t="s">
        <v>2872</v>
      </c>
      <c r="J76" t="e">
        <f>VLOOKUP(F76,[1]!china_towns_second__2[[Column1]:[Y]],3,FALSE)</f>
        <v>#N/A</v>
      </c>
      <c r="K76" t="e">
        <f>VLOOKUP(F76,[1]!china_towns_second__2[[Column1]:[Y]],2,FALSE)</f>
        <v>#N/A</v>
      </c>
      <c r="L76" t="s">
        <v>3635</v>
      </c>
      <c r="M76" t="str">
        <f>VLOOKUP(H76,CHOOSE({1,2},Table17[Native],Table17[Name]),2,0)</f>
        <v>Xīchóu Xiàn</v>
      </c>
      <c r="N76" s="15" t="str">
        <f>VLOOKUP(I76,CHOOSE({1,2},Table17[Native],Table17[Name]),2,0)</f>
        <v>Wénshān Zhuàngzú Miáozú Zìzhìzhōu</v>
      </c>
      <c r="O76" s="15" t="str">
        <f t="shared" si="2"/>
        <v>Benggu Xiang (Wénshān Zhuàngzú Miáozú Zìzhìzhōu)</v>
      </c>
      <c r="P76" s="15" t="str">
        <f t="shared" si="3"/>
        <v>Benggu Xiang (Wénshān Zhuàngzú Miáozú Zìzhìzhōu)</v>
      </c>
    </row>
    <row r="77" spans="1:16" hidden="1" x14ac:dyDescent="0.25">
      <c r="A77" t="s">
        <v>714</v>
      </c>
      <c r="B77" t="str">
        <f>IF(COUNTIF(A:A,A77)&gt;1,_xlfn.CONCAT(A77," (",N77,")"),A77)</f>
        <v>Bēnzilán Zhèn</v>
      </c>
      <c r="C77" t="str">
        <f>IF(COUNTIF(B:B,B77)&gt;1,_xlfn.CONCAT(A77," (",M77,")"),B77)</f>
        <v>Bēnzilán Zhèn</v>
      </c>
      <c r="D77" t="s">
        <v>715</v>
      </c>
      <c r="E77" t="s">
        <v>11</v>
      </c>
      <c r="F77" t="str">
        <f>_xlfn.CONCAT(D77,", ",H77,", ",I77,", ","云南省")</f>
        <v>奔子栏镇, 德钦县, 迪庆藏族自治州, 云南省</v>
      </c>
      <c r="G77">
        <v>10837</v>
      </c>
      <c r="H77" t="s">
        <v>2787</v>
      </c>
      <c r="I77" t="s">
        <v>2786</v>
      </c>
      <c r="J77">
        <f>VLOOKUP(F77,[1]!china_towns_second__2[[Column1]:[Y]],3,FALSE)</f>
        <v>28.2781973699194</v>
      </c>
      <c r="K77">
        <f>VLOOKUP(F77,[1]!china_towns_second__2[[Column1]:[Y]],2,FALSE)</f>
        <v>99.191604229999996</v>
      </c>
      <c r="L77" t="s">
        <v>3636</v>
      </c>
      <c r="M77" t="str">
        <f>VLOOKUP(H77,CHOOSE({1,2},Table17[Native],Table17[Name]),2,0)</f>
        <v>Déqīn Xiàn</v>
      </c>
      <c r="N77" s="15" t="str">
        <f>VLOOKUP(I77,CHOOSE({1,2},Table17[Native],Table17[Name]),2,0)</f>
        <v>Díqìng Zàngzú Zìzhìzhōu</v>
      </c>
      <c r="O77" s="15" t="str">
        <f t="shared" si="2"/>
        <v>Benzilan Zhen (Díqìng Zàngzú Zìzhìzhōu)</v>
      </c>
      <c r="P77" s="15" t="str">
        <f t="shared" si="3"/>
        <v>Benzilan Zhen (Díqìng Zàngzú Zìzhìzhōu)</v>
      </c>
    </row>
    <row r="78" spans="1:16" hidden="1" x14ac:dyDescent="0.25">
      <c r="A78" t="s">
        <v>1665</v>
      </c>
      <c r="B78" t="str">
        <f>IF(COUNTIF(A:A,A78)&gt;1,_xlfn.CONCAT(A78," (",N78,")"),A78)</f>
        <v>Bì'ān Xiāng</v>
      </c>
      <c r="C78" t="str">
        <f>IF(COUNTIF(B:B,B78)&gt;1,_xlfn.CONCAT(A78," (",M78,")"),B78)</f>
        <v>Bì'ān Xiāng</v>
      </c>
      <c r="D78" t="s">
        <v>1666</v>
      </c>
      <c r="E78" t="s">
        <v>7</v>
      </c>
      <c r="F78" t="str">
        <f>_xlfn.CONCAT(D78,", ",H78,", ",I78,", ","云南省")</f>
        <v>碧安乡, 景谷傣族彝族自治县, 普洱市, 云南省</v>
      </c>
      <c r="G78">
        <v>20384</v>
      </c>
      <c r="H78" t="s">
        <v>2851</v>
      </c>
      <c r="I78" t="s">
        <v>2848</v>
      </c>
      <c r="J78" t="e">
        <f>VLOOKUP(F78,[1]!china_towns_second__2[[Column1]:[Y]],3,FALSE)</f>
        <v>#N/A</v>
      </c>
      <c r="K78" t="e">
        <f>VLOOKUP(F78,[1]!china_towns_second__2[[Column1]:[Y]],2,FALSE)</f>
        <v>#N/A</v>
      </c>
      <c r="L78" t="s">
        <v>3637</v>
      </c>
      <c r="M78" t="str">
        <f>VLOOKUP(H78,CHOOSE({1,2},Table17[Native],Table17[Name]),2,0)</f>
        <v>Jĭnggŭ Dăizú Yízú Zìzhìxiàn</v>
      </c>
      <c r="N78" s="15" t="str">
        <f>VLOOKUP(I78,CHOOSE({1,2},Table17[Native],Table17[Name]),2,0)</f>
        <v>Pŭ'ĕr Shì</v>
      </c>
      <c r="O78" s="15" t="str">
        <f t="shared" si="2"/>
        <v>Bi'an Xiang (Pŭ'ĕr Shì)</v>
      </c>
      <c r="P78" s="15" t="str">
        <f t="shared" si="3"/>
        <v>Bi'an Xiang (Pŭ'ĕr Shì)</v>
      </c>
    </row>
    <row r="79" spans="1:16" hidden="1" x14ac:dyDescent="0.25">
      <c r="A79" t="s">
        <v>171</v>
      </c>
      <c r="B79" t="str">
        <f>IF(COUNTIF(A:A,A79)&gt;1,_xlfn.CONCAT(A79," (",N79,")"),A79)</f>
        <v>Bìchéng Zhèn</v>
      </c>
      <c r="C79" t="str">
        <f>IF(COUNTIF(B:B,B79)&gt;1,_xlfn.CONCAT(A79," (",M79,")"),B79)</f>
        <v>Bìchéng Zhèn</v>
      </c>
      <c r="D79" t="s">
        <v>172</v>
      </c>
      <c r="E79" t="s">
        <v>11</v>
      </c>
      <c r="F79" t="str">
        <f>_xlfn.CONCAT(D79,", ",H79,", ",I79,", ","云南省")</f>
        <v>碧城镇, 禄丰县, 楚雄彝族自治州, 云南省</v>
      </c>
      <c r="G79">
        <v>46577</v>
      </c>
      <c r="H79" t="s">
        <v>2753</v>
      </c>
      <c r="I79" t="s">
        <v>2750</v>
      </c>
      <c r="J79">
        <f>VLOOKUP(F79,[1]!china_towns_second__2[[Column1]:[Y]],3,FALSE)</f>
        <v>25.276343427013899</v>
      </c>
      <c r="K79">
        <f>VLOOKUP(F79,[1]!china_towns_second__2[[Column1]:[Y]],2,FALSE)</f>
        <v>102.3151886</v>
      </c>
      <c r="L79" t="s">
        <v>3638</v>
      </c>
      <c r="M79" t="str">
        <f>VLOOKUP(H79,CHOOSE({1,2},Table17[Native],Table17[Name]),2,0)</f>
        <v>Lùfēng Xiàn</v>
      </c>
      <c r="N79" s="15" t="str">
        <f>VLOOKUP(I79,CHOOSE({1,2},Table17[Native],Table17[Name]),2,0)</f>
        <v>Chŭxióng Yízú Zìzhìzhōu</v>
      </c>
      <c r="O79" s="15" t="str">
        <f t="shared" si="2"/>
        <v>Bicheng Zhen (Chŭxióng Yízú Zìzhìzhōu)</v>
      </c>
      <c r="P79" s="15" t="str">
        <f t="shared" si="3"/>
        <v>Bicheng Zhen (Chŭxióng Yízú Zìzhìzhōu)</v>
      </c>
    </row>
    <row r="80" spans="1:16" hidden="1" x14ac:dyDescent="0.25">
      <c r="A80" t="s">
        <v>1051</v>
      </c>
      <c r="B80" t="str">
        <f>IF(COUNTIF(A:A,A80)&gt;1,_xlfn.CONCAT(A80," (",N80,")"),A80)</f>
        <v>Bìjī Jiēdào</v>
      </c>
      <c r="C80" t="str">
        <f>IF(COUNTIF(B:B,B80)&gt;1,_xlfn.CONCAT(A80," (",M80,")"),B80)</f>
        <v>Bìjī Jiēdào</v>
      </c>
      <c r="D80" t="s">
        <v>1052</v>
      </c>
      <c r="E80" t="s">
        <v>42</v>
      </c>
      <c r="F80" t="str">
        <f>_xlfn.CONCAT(D80,", ",H80,", ",I80,", ","云南省")</f>
        <v>碧鸡街道, 西山区, 昆明市, 云南省</v>
      </c>
      <c r="G80">
        <v>35705</v>
      </c>
      <c r="H80" t="s">
        <v>2819</v>
      </c>
      <c r="I80" t="s">
        <v>2807</v>
      </c>
      <c r="J80">
        <f>VLOOKUP(F80,[1]!china_towns_second__2[[Column1]:[Y]],3,FALSE)</f>
        <v>24.894998061174999</v>
      </c>
      <c r="K80">
        <f>VLOOKUP(F80,[1]!china_towns_second__2[[Column1]:[Y]],2,FALSE)</f>
        <v>102.65074660000001</v>
      </c>
      <c r="L80" t="s">
        <v>3639</v>
      </c>
      <c r="M80" t="str">
        <f>VLOOKUP(H80,CHOOSE({1,2},Table17[Native],Table17[Name]),2,0)</f>
        <v>Xīshān Qū</v>
      </c>
      <c r="N80" s="15" t="str">
        <f>VLOOKUP(I80,CHOOSE({1,2},Table17[Native],Table17[Name]),2,0)</f>
        <v>Kūnmíng Shì</v>
      </c>
      <c r="O80" s="15" t="str">
        <f t="shared" si="2"/>
        <v>Biji Jiedao (Kūnmíng Shì)</v>
      </c>
      <c r="P80" s="15" t="str">
        <f t="shared" si="3"/>
        <v>Biji Jiedao (Kūnmíng Shì)</v>
      </c>
    </row>
    <row r="81" spans="1:16" hidden="1" x14ac:dyDescent="0.25">
      <c r="A81" t="s">
        <v>2097</v>
      </c>
      <c r="B81" t="str">
        <f>IF(COUNTIF(A:A,A81)&gt;1,_xlfn.CONCAT(A81," (",N81,")"),A81)</f>
        <v>Bĭngliè Yízú Xiāng</v>
      </c>
      <c r="C81" t="str">
        <f>IF(COUNTIF(B:B,B81)&gt;1,_xlfn.CONCAT(A81," (",M81,")"),B81)</f>
        <v>Bĭngliè Yízú Xiāng</v>
      </c>
      <c r="D81" t="s">
        <v>2098</v>
      </c>
      <c r="E81" t="s">
        <v>7</v>
      </c>
      <c r="F81" t="str">
        <f>_xlfn.CONCAT(D81,", ",H81,", ",I81,", ","云南省")</f>
        <v>秉烈彝族乡, 文山市, 文山壮族苗族自治州, 云南省</v>
      </c>
      <c r="G81">
        <v>19871</v>
      </c>
      <c r="H81" t="s">
        <v>2878</v>
      </c>
      <c r="I81" t="s">
        <v>2872</v>
      </c>
      <c r="J81" t="e">
        <f>VLOOKUP(F81,[1]!china_towns_second__2[[Column1]:[Y]],3,FALSE)</f>
        <v>#N/A</v>
      </c>
      <c r="K81" t="e">
        <f>VLOOKUP(F81,[1]!china_towns_second__2[[Column1]:[Y]],2,FALSE)</f>
        <v>#N/A</v>
      </c>
      <c r="L81" t="s">
        <v>3640</v>
      </c>
      <c r="M81" t="str">
        <f>VLOOKUP(H81,CHOOSE({1,2},Table17[Native],Table17[Name]),2,0)</f>
        <v>Wénshān Shì</v>
      </c>
      <c r="N81" s="15" t="str">
        <f>VLOOKUP(I81,CHOOSE({1,2},Table17[Native],Table17[Name]),2,0)</f>
        <v>Wénshān Zhuàngzú Miáozú Zìzhìzhōu</v>
      </c>
      <c r="O81" s="15" t="str">
        <f t="shared" si="2"/>
        <v>Binglie Yizu Xiang (Wénshān Zhuàngzú Miáozú Zìzhìzhōu)</v>
      </c>
      <c r="P81" s="15" t="str">
        <f t="shared" si="3"/>
        <v>Binglie Yizu Xiang (Wénshān Zhuàngzú Miáozú Zìzhìzhōu)</v>
      </c>
    </row>
    <row r="82" spans="1:16" hidden="1" x14ac:dyDescent="0.25">
      <c r="A82" t="s">
        <v>16</v>
      </c>
      <c r="B82" t="str">
        <f>IF(COUNTIF(A:A,A82)&gt;1,_xlfn.CONCAT(A82," (",N82,")"),A82)</f>
        <v>Bĭngmá Xiāng</v>
      </c>
      <c r="C82" t="str">
        <f>IF(COUNTIF(B:B,B82)&gt;1,_xlfn.CONCAT(A82," (",M82,")"),B82)</f>
        <v>Bĭngmá Xiāng</v>
      </c>
      <c r="D82" t="s">
        <v>17</v>
      </c>
      <c r="E82" t="s">
        <v>7</v>
      </c>
      <c r="F82" t="str">
        <f>_xlfn.CONCAT(D82,", ",H82,", ",I82,", ","云南省")</f>
        <v>丙麻乡, 隆阳区, 保山市, 云南省</v>
      </c>
      <c r="G82">
        <v>28027</v>
      </c>
      <c r="H82" t="s">
        <v>2744</v>
      </c>
      <c r="I82" t="s">
        <v>2739</v>
      </c>
      <c r="J82" t="e">
        <f>VLOOKUP(F82,[1]!china_towns_second__2[[Column1]:[Y]],3,FALSE)</f>
        <v>#N/A</v>
      </c>
      <c r="K82" t="e">
        <f>VLOOKUP(F82,[1]!china_towns_second__2[[Column1]:[Y]],2,FALSE)</f>
        <v>#N/A</v>
      </c>
      <c r="L82" t="s">
        <v>3641</v>
      </c>
      <c r="M82" t="str">
        <f>VLOOKUP(H82,CHOOSE({1,2},Table17[Native],Table17[Name]),2,0)</f>
        <v>Lóngyáng Qū</v>
      </c>
      <c r="N82" s="15" t="str">
        <f>VLOOKUP(I82,CHOOSE({1,2},Table17[Native],Table17[Name]),2,0)</f>
        <v>Băoshān Shì</v>
      </c>
      <c r="O82" s="15" t="str">
        <f t="shared" si="2"/>
        <v>Bingma Xiang (Băoshān Shì)</v>
      </c>
      <c r="P82" s="15" t="str">
        <f t="shared" si="3"/>
        <v>Bingma Xiang (Băoshān Shì)</v>
      </c>
    </row>
    <row r="83" spans="1:16" hidden="1" x14ac:dyDescent="0.25">
      <c r="A83" t="s">
        <v>1591</v>
      </c>
      <c r="B83" t="str">
        <f>IF(COUNTIF(A:A,A83)&gt;1,_xlfn.CONCAT(A83," (",N83,")"),A83)</f>
        <v>Bĭngzhōngluò Zhèn</v>
      </c>
      <c r="C83" t="str">
        <f>IF(COUNTIF(B:B,B83)&gt;1,_xlfn.CONCAT(A83," (",M83,")"),B83)</f>
        <v>Bĭngzhōngluò Zhèn</v>
      </c>
      <c r="D83" t="s">
        <v>1592</v>
      </c>
      <c r="E83" t="s">
        <v>11</v>
      </c>
      <c r="F83" t="str">
        <f>_xlfn.CONCAT(D83,", ",H83,", ",I83,", ","云南省")</f>
        <v>丙中洛镇, 贡山独龙族怒族自治县, 怒江傈僳族自治州, 云南省</v>
      </c>
      <c r="G83">
        <v>6465</v>
      </c>
      <c r="H83" t="s">
        <v>2844</v>
      </c>
      <c r="I83" t="s">
        <v>2842</v>
      </c>
      <c r="J83">
        <f>VLOOKUP(F83,[1]!china_towns_second__2[[Column1]:[Y]],3,FALSE)</f>
        <v>28.0382927013457</v>
      </c>
      <c r="K83">
        <f>VLOOKUP(F83,[1]!china_towns_second__2[[Column1]:[Y]],2,FALSE)</f>
        <v>98.565056639999995</v>
      </c>
      <c r="L83" t="s">
        <v>3642</v>
      </c>
      <c r="M83" t="str">
        <f>VLOOKUP(H83,CHOOSE({1,2},Table17[Native],Table17[Name]),2,0)</f>
        <v>Gòngshān Dúlóngzú Nùzú Zìzhìxiàn</v>
      </c>
      <c r="N83" s="15" t="str">
        <f>VLOOKUP(I83,CHOOSE({1,2},Table17[Native],Table17[Name]),2,0)</f>
        <v>Nùjiāng Lìsùzú Zìzhìzhōu</v>
      </c>
      <c r="O83" s="15" t="str">
        <f t="shared" si="2"/>
        <v>Bingzhongluo Zhen (Nùjiāng Lìsùzú Zìzhìzhōu)</v>
      </c>
      <c r="P83" s="15" t="str">
        <f t="shared" si="3"/>
        <v>Bingzhongluo Zhen (Nùjiāng Lìsùzú Zìzhìzhōu)</v>
      </c>
    </row>
    <row r="84" spans="1:16" hidden="1" x14ac:dyDescent="0.25">
      <c r="A84" t="s">
        <v>378</v>
      </c>
      <c r="B84" t="str">
        <f>IF(COUNTIF(A:A,A84)&gt;1,_xlfn.CONCAT(A84," (",N84,")"),A84)</f>
        <v>Bīnjū Huáqiáo Guănlĭqū</v>
      </c>
      <c r="C84" t="str">
        <f>IF(COUNTIF(B:B,B84)&gt;1,_xlfn.CONCAT(A84," (",M84,")"),B84)</f>
        <v>Bīnjū Huáqiáo Guănlĭqū</v>
      </c>
      <c r="D84" t="s">
        <v>379</v>
      </c>
      <c r="E84" t="s">
        <v>380</v>
      </c>
      <c r="F84" t="str">
        <f>_xlfn.CONCAT(D84,", ",H84,", ",I84,", ","云南省")</f>
        <v>宾居华侨管理区, 宾川县, 大理白族自治州, 云南省</v>
      </c>
      <c r="G84">
        <v>2857</v>
      </c>
      <c r="H84" t="s">
        <v>2764</v>
      </c>
      <c r="I84" t="s">
        <v>2763</v>
      </c>
      <c r="J84" t="e">
        <f>VLOOKUP(F84,[1]!china_towns_second__2[[Column1]:[Y]],3,FALSE)</f>
        <v>#N/A</v>
      </c>
      <c r="K84" t="e">
        <f>VLOOKUP(F84,[1]!china_towns_second__2[[Column1]:[Y]],2,FALSE)</f>
        <v>#N/A</v>
      </c>
      <c r="L84" t="s">
        <v>3643</v>
      </c>
      <c r="M84" t="str">
        <f>VLOOKUP(H84,CHOOSE({1,2},Table17[Native],Table17[Name]),2,0)</f>
        <v>Bīnchuān Xiàn</v>
      </c>
      <c r="N84" s="15" t="str">
        <f>VLOOKUP(I84,CHOOSE({1,2},Table17[Native],Table17[Name]),2,0)</f>
        <v>Dàlĭ Báizú Zìzhìzhōu</v>
      </c>
      <c r="O84" s="15" t="str">
        <f t="shared" si="2"/>
        <v>Binju Huaqiao Guanliqu (Dàlĭ Báizú Zìzhìzhōu)</v>
      </c>
      <c r="P84" s="15" t="str">
        <f t="shared" si="3"/>
        <v>Binju Huaqiao Guanliqu (Dàlĭ Báizú Zìzhìzhōu)</v>
      </c>
    </row>
    <row r="85" spans="1:16" hidden="1" x14ac:dyDescent="0.25">
      <c r="A85" t="s">
        <v>382</v>
      </c>
      <c r="B85" t="str">
        <f>IF(COUNTIF(A:A,A85)&gt;1,_xlfn.CONCAT(A85," (",N85,")"),A85)</f>
        <v>Bīnjū Zhèn</v>
      </c>
      <c r="C85" t="str">
        <f>IF(COUNTIF(B:B,B85)&gt;1,_xlfn.CONCAT(A85," (",M85,")"),B85)</f>
        <v>Bīnjū Zhèn</v>
      </c>
      <c r="D85" t="s">
        <v>383</v>
      </c>
      <c r="E85" t="s">
        <v>11</v>
      </c>
      <c r="F85" t="str">
        <f>_xlfn.CONCAT(D85,", ",H85,", ",I85,", ","云南省")</f>
        <v>宾居镇, 宾川县, 大理白族自治州, 云南省</v>
      </c>
      <c r="G85">
        <v>36275</v>
      </c>
      <c r="H85" t="s">
        <v>2764</v>
      </c>
      <c r="I85" t="s">
        <v>2763</v>
      </c>
      <c r="J85">
        <f>VLOOKUP(F85,[1]!china_towns_second__2[[Column1]:[Y]],3,FALSE)</f>
        <v>25.671092536289802</v>
      </c>
      <c r="K85">
        <f>VLOOKUP(F85,[1]!china_towns_second__2[[Column1]:[Y]],2,FALSE)</f>
        <v>100.4738792</v>
      </c>
      <c r="L85" t="s">
        <v>3644</v>
      </c>
      <c r="M85" t="str">
        <f>VLOOKUP(H85,CHOOSE({1,2},Table17[Native],Table17[Name]),2,0)</f>
        <v>Bīnchuān Xiàn</v>
      </c>
      <c r="N85" s="15" t="str">
        <f>VLOOKUP(I85,CHOOSE({1,2},Table17[Native],Table17[Name]),2,0)</f>
        <v>Dàlĭ Báizú Zìzhìzhōu</v>
      </c>
      <c r="O85" s="15" t="str">
        <f t="shared" si="2"/>
        <v>Binju Zhen (Dàlĭ Báizú Zìzhìzhōu)</v>
      </c>
      <c r="P85" s="15" t="str">
        <f t="shared" si="3"/>
        <v>Binju Zhen (Dàlĭ Báizú Zìzhìzhōu)</v>
      </c>
    </row>
    <row r="86" spans="1:16" hidden="1" x14ac:dyDescent="0.25">
      <c r="A86" t="s">
        <v>384</v>
      </c>
      <c r="B86" t="str">
        <f>IF(COUNTIF(A:A,A86)&gt;1,_xlfn.CONCAT(A86," (",N86,")"),A86)</f>
        <v>Bìxī Xiāng</v>
      </c>
      <c r="C86" t="str">
        <f>IF(COUNTIF(B:B,B86)&gt;1,_xlfn.CONCAT(A86," (",M86,")"),B86)</f>
        <v>Bìxī Xiāng</v>
      </c>
      <c r="D86" t="s">
        <v>385</v>
      </c>
      <c r="E86" t="s">
        <v>7</v>
      </c>
      <c r="F86" t="str">
        <f>_xlfn.CONCAT(D86,", ",H86,", ",I86,", ","云南省")</f>
        <v>碧溪乡, 南涧彝族自治县, 大理白族自治州, 云南省</v>
      </c>
      <c r="G86">
        <v>16831</v>
      </c>
      <c r="H86" t="s">
        <v>2771</v>
      </c>
      <c r="I86" t="s">
        <v>2763</v>
      </c>
      <c r="J86" t="e">
        <f>VLOOKUP(F86,[1]!china_towns_second__2[[Column1]:[Y]],3,FALSE)</f>
        <v>#N/A</v>
      </c>
      <c r="K86" t="e">
        <f>VLOOKUP(F86,[1]!china_towns_second__2[[Column1]:[Y]],2,FALSE)</f>
        <v>#N/A</v>
      </c>
      <c r="L86" t="s">
        <v>3645</v>
      </c>
      <c r="M86" t="str">
        <f>VLOOKUP(H86,CHOOSE({1,2},Table17[Native],Table17[Name]),2,0)</f>
        <v>Nánjiàn Yízú Zìzhìxiàn</v>
      </c>
      <c r="N86" s="15" t="str">
        <f>VLOOKUP(I86,CHOOSE({1,2},Table17[Native],Table17[Name]),2,0)</f>
        <v>Dàlĭ Báizú Zìzhìzhōu</v>
      </c>
      <c r="O86" s="15" t="str">
        <f t="shared" si="2"/>
        <v>Bixi Xiang (Dàlĭ Báizú Zìzhìzhōu)</v>
      </c>
      <c r="P86" s="15" t="str">
        <f t="shared" si="3"/>
        <v>Bixi Xiang (Dàlĭ Báizú Zìzhìzhōu)</v>
      </c>
    </row>
    <row r="87" spans="1:16" hidden="1" x14ac:dyDescent="0.25">
      <c r="A87" t="s">
        <v>18</v>
      </c>
      <c r="B87" t="str">
        <f>IF(COUNTIF(A:A,A87)&gt;1,_xlfn.CONCAT(A87," (",N87,")"),A87)</f>
        <v>Bìzhài Xiāng</v>
      </c>
      <c r="C87" t="str">
        <f>IF(COUNTIF(B:B,B87)&gt;1,_xlfn.CONCAT(A87," (",M87,")"),B87)</f>
        <v>Bìzhài Xiāng</v>
      </c>
      <c r="D87" t="s">
        <v>19</v>
      </c>
      <c r="E87" t="s">
        <v>7</v>
      </c>
      <c r="F87" t="str">
        <f>_xlfn.CONCAT(D87,", ",H87,", ",I87,", ","云南省")</f>
        <v>碧寨乡, 龙陵县, 保山市, 云南省</v>
      </c>
      <c r="G87">
        <v>20289</v>
      </c>
      <c r="H87" t="s">
        <v>2742</v>
      </c>
      <c r="I87" t="s">
        <v>2739</v>
      </c>
      <c r="J87" t="e">
        <f>VLOOKUP(F87,[1]!china_towns_second__2[[Column1]:[Y]],3,FALSE)</f>
        <v>#N/A</v>
      </c>
      <c r="K87" t="e">
        <f>VLOOKUP(F87,[1]!china_towns_second__2[[Column1]:[Y]],2,FALSE)</f>
        <v>#N/A</v>
      </c>
      <c r="L87" t="s">
        <v>3646</v>
      </c>
      <c r="M87" t="str">
        <f>VLOOKUP(H87,CHOOSE({1,2},Table17[Native],Table17[Name]),2,0)</f>
        <v>Lónglíng Xiàn</v>
      </c>
      <c r="N87" s="15" t="str">
        <f>VLOOKUP(I87,CHOOSE({1,2},Table17[Native],Table17[Name]),2,0)</f>
        <v>Băoshān Shì</v>
      </c>
      <c r="O87" s="15" t="str">
        <f t="shared" si="2"/>
        <v>Bizhai Xiang (Băoshān Shì)</v>
      </c>
      <c r="P87" s="15" t="str">
        <f t="shared" si="3"/>
        <v>Bizhai Xiang (Băoshān Shì)</v>
      </c>
    </row>
    <row r="88" spans="1:16" hidden="1" x14ac:dyDescent="0.25">
      <c r="A88" t="s">
        <v>2099</v>
      </c>
      <c r="B88" t="str">
        <f>IF(COUNTIF(A:A,A88)&gt;1,_xlfn.CONCAT(A88," (",N88,")"),A88)</f>
        <v>Bō'ài Zhèn</v>
      </c>
      <c r="C88" t="str">
        <f>IF(COUNTIF(B:B,B88)&gt;1,_xlfn.CONCAT(A88," (",M88,")"),B88)</f>
        <v>Bō'ài Zhèn</v>
      </c>
      <c r="D88" t="s">
        <v>2100</v>
      </c>
      <c r="E88" t="s">
        <v>11</v>
      </c>
      <c r="F88" t="str">
        <f>_xlfn.CONCAT(D88,", ",H88,", ",I88,", ","云南省")</f>
        <v>剥隘镇, 富宁县, 文山壮族苗族自治州, 云南省</v>
      </c>
      <c r="G88">
        <v>21171</v>
      </c>
      <c r="H88" t="s">
        <v>2873</v>
      </c>
      <c r="I88" t="s">
        <v>2872</v>
      </c>
      <c r="J88">
        <f>VLOOKUP(F88,[1]!china_towns_second__2[[Column1]:[Y]],3,FALSE)</f>
        <v>23.9538920542429</v>
      </c>
      <c r="K88">
        <f>VLOOKUP(F88,[1]!china_towns_second__2[[Column1]:[Y]],2,FALSE)</f>
        <v>106.0386819</v>
      </c>
      <c r="L88" t="s">
        <v>3647</v>
      </c>
      <c r="M88" t="str">
        <f>VLOOKUP(H88,CHOOSE({1,2},Table17[Native],Table17[Name]),2,0)</f>
        <v>Fùníng Xiàn</v>
      </c>
      <c r="N88" s="15" t="str">
        <f>VLOOKUP(I88,CHOOSE({1,2},Table17[Native],Table17[Name]),2,0)</f>
        <v>Wénshān Zhuàngzú Miáozú Zìzhìzhōu</v>
      </c>
      <c r="O88" s="15" t="str">
        <f t="shared" si="2"/>
        <v>Bo'ai Zhen (Wénshān Zhuàngzú Miáozú Zìzhìzhōu)</v>
      </c>
      <c r="P88" s="15" t="str">
        <f t="shared" si="3"/>
        <v>Bo'ai Zhen (Wénshān Zhuàngzú Miáozú Zìzhìzhōu)</v>
      </c>
    </row>
    <row r="89" spans="1:16" hidden="1" x14ac:dyDescent="0.25">
      <c r="A89" t="s">
        <v>1866</v>
      </c>
      <c r="B89" t="str">
        <f>IF(COUNTIF(A:A,A89)&gt;1,_xlfn.CONCAT(A89," (",N89,")"),A89)</f>
        <v>Bōlè Xiāng</v>
      </c>
      <c r="C89" t="str">
        <f>IF(COUNTIF(B:B,B89)&gt;1,_xlfn.CONCAT(A89," (",M89,")"),B89)</f>
        <v>Bōlè Xiāng</v>
      </c>
      <c r="D89" t="s">
        <v>1867</v>
      </c>
      <c r="E89" t="s">
        <v>7</v>
      </c>
      <c r="F89" t="str">
        <f>_xlfn.CONCAT(D89,", ",H89,", ",I89,", ","云南省")</f>
        <v>播乐乡, 沾益区, 曲靖市, 云南省</v>
      </c>
      <c r="G89">
        <v>36268</v>
      </c>
      <c r="H89" t="s">
        <v>2869</v>
      </c>
      <c r="I89" t="s">
        <v>2860</v>
      </c>
      <c r="J89" t="e">
        <f>VLOOKUP(F89,[1]!china_towns_second__2[[Column1]:[Y]],3,FALSE)</f>
        <v>#N/A</v>
      </c>
      <c r="K89" t="e">
        <f>VLOOKUP(F89,[1]!china_towns_second__2[[Column1]:[Y]],2,FALSE)</f>
        <v>#N/A</v>
      </c>
      <c r="L89" t="s">
        <v>3648</v>
      </c>
      <c r="M89" t="str">
        <f>VLOOKUP(H89,CHOOSE({1,2},Table17[Native],Table17[Name]),2,0)</f>
        <v>Zhānyì Qū</v>
      </c>
      <c r="N89" s="15" t="str">
        <f>VLOOKUP(I89,CHOOSE({1,2},Table17[Native],Table17[Name]),2,0)</f>
        <v>Qŭjìng Shì</v>
      </c>
      <c r="O89" s="15" t="str">
        <f t="shared" si="2"/>
        <v>Bole Xiang (Qŭjìng Shì)</v>
      </c>
      <c r="P89" s="15" t="str">
        <f t="shared" si="3"/>
        <v>Bole Xiang (Qŭjìng Shì)</v>
      </c>
    </row>
    <row r="90" spans="1:16" hidden="1" x14ac:dyDescent="0.25">
      <c r="A90" t="s">
        <v>386</v>
      </c>
      <c r="B90" t="str">
        <f>IF(COUNTIF(A:A,A90)&gt;1,_xlfn.CONCAT(A90," (",N90,")"),A90)</f>
        <v>Bónán Zhèn</v>
      </c>
      <c r="C90" t="str">
        <f>IF(COUNTIF(B:B,B90)&gt;1,_xlfn.CONCAT(A90," (",M90,")"),B90)</f>
        <v>Bónán Zhèn</v>
      </c>
      <c r="D90" t="s">
        <v>387</v>
      </c>
      <c r="E90" t="s">
        <v>11</v>
      </c>
      <c r="F90" t="str">
        <f>_xlfn.CONCAT(D90,", ",H90,", ",I90,", ","云南省")</f>
        <v>博南镇, 永平县, 大理白族自治州, 云南省</v>
      </c>
      <c r="G90">
        <v>55685</v>
      </c>
      <c r="H90" t="s">
        <v>2775</v>
      </c>
      <c r="I90" t="s">
        <v>2763</v>
      </c>
      <c r="J90">
        <f>VLOOKUP(F90,[1]!china_towns_second__2[[Column1]:[Y]],3,FALSE)</f>
        <v>25.4324508839461</v>
      </c>
      <c r="K90">
        <f>VLOOKUP(F90,[1]!china_towns_second__2[[Column1]:[Y]],2,FALSE)</f>
        <v>99.493934120000006</v>
      </c>
      <c r="L90" t="s">
        <v>3649</v>
      </c>
      <c r="M90" t="str">
        <f>VLOOKUP(H90,CHOOSE({1,2},Table17[Native],Table17[Name]),2,0)</f>
        <v>Yŏngpíng Xiàn</v>
      </c>
      <c r="N90" s="15" t="str">
        <f>VLOOKUP(I90,CHOOSE({1,2},Table17[Native],Table17[Name]),2,0)</f>
        <v>Dàlĭ Báizú Zìzhìzhōu</v>
      </c>
      <c r="O90" s="15" t="str">
        <f t="shared" si="2"/>
        <v>Bonan Zhen (Dàlĭ Báizú Zìzhìzhōu)</v>
      </c>
      <c r="P90" s="15" t="str">
        <f t="shared" si="3"/>
        <v>Bonan Zhen (Dàlĭ Báizú Zìzhìzhōu)</v>
      </c>
    </row>
    <row r="91" spans="1:16" hidden="1" x14ac:dyDescent="0.25">
      <c r="A91" t="s">
        <v>1448</v>
      </c>
      <c r="B91" t="str">
        <f>IF(COUNTIF(A:A,A91)&gt;1,_xlfn.CONCAT(A91," (",N91,")"),A91)</f>
        <v>Bóshàng Zhèn</v>
      </c>
      <c r="C91" t="str">
        <f>IF(COUNTIF(B:B,B91)&gt;1,_xlfn.CONCAT(A91," (",M91,")"),B91)</f>
        <v>Bóshàng Zhèn</v>
      </c>
      <c r="D91" t="s">
        <v>1449</v>
      </c>
      <c r="E91" t="s">
        <v>11</v>
      </c>
      <c r="F91" t="str">
        <f>_xlfn.CONCAT(D91,", ",H91,", ",I91,", ","云南省")</f>
        <v>博尚镇, 临翔区, 临沧市, 云南省</v>
      </c>
      <c r="G91">
        <v>36764</v>
      </c>
      <c r="H91" t="s">
        <v>2835</v>
      </c>
      <c r="I91" t="s">
        <v>2831</v>
      </c>
      <c r="J91">
        <f>VLOOKUP(F91,[1]!china_towns_second__2[[Column1]:[Y]],3,FALSE)</f>
        <v>23.7420803999029</v>
      </c>
      <c r="K91">
        <f>VLOOKUP(F91,[1]!china_towns_second__2[[Column1]:[Y]],2,FALSE)</f>
        <v>100.0675632</v>
      </c>
      <c r="L91" t="s">
        <v>3650</v>
      </c>
      <c r="M91" t="str">
        <f>VLOOKUP(H91,CHOOSE({1,2},Table17[Native],Table17[Name]),2,0)</f>
        <v>Línxiáng Qū</v>
      </c>
      <c r="N91" s="15" t="str">
        <f>VLOOKUP(I91,CHOOSE({1,2},Table17[Native],Table17[Name]),2,0)</f>
        <v>Líncāng Shì</v>
      </c>
      <c r="O91" s="15" t="str">
        <f t="shared" si="2"/>
        <v>Boshang Zhen (Líncāng Shì)</v>
      </c>
      <c r="P91" s="15" t="str">
        <f t="shared" si="3"/>
        <v>Boshang Zhen (Líncāng Shì)</v>
      </c>
    </row>
    <row r="92" spans="1:16" hidden="1" x14ac:dyDescent="0.25">
      <c r="A92" t="s">
        <v>2101</v>
      </c>
      <c r="B92" t="str">
        <f>IF(COUNTIF(A:A,A92)&gt;1,_xlfn.CONCAT(A92," (",N92,")"),A92)</f>
        <v>Bózhú Zhèn</v>
      </c>
      <c r="C92" t="str">
        <f>IF(COUNTIF(B:B,B92)&gt;1,_xlfn.CONCAT(A92," (",M92,")"),B92)</f>
        <v>Bózhú Zhèn</v>
      </c>
      <c r="D92" t="s">
        <v>2102</v>
      </c>
      <c r="E92" t="s">
        <v>11</v>
      </c>
      <c r="F92" t="str">
        <f>_xlfn.CONCAT(D92,", ",H92,", ",I92,", ","云南省")</f>
        <v>薄竹镇, 文山市, 文山壮族苗族自治州, 云南省</v>
      </c>
      <c r="G92">
        <v>27309</v>
      </c>
      <c r="H92" t="s">
        <v>2878</v>
      </c>
      <c r="I92" t="s">
        <v>2872</v>
      </c>
      <c r="J92">
        <f>VLOOKUP(F92,[1]!china_towns_second__2[[Column1]:[Y]],3,FALSE)</f>
        <v>23.432716903538999</v>
      </c>
      <c r="K92">
        <f>VLOOKUP(F92,[1]!china_towns_second__2[[Column1]:[Y]],2,FALSE)</f>
        <v>103.9029379</v>
      </c>
      <c r="L92" t="s">
        <v>3651</v>
      </c>
      <c r="M92" t="str">
        <f>VLOOKUP(H92,CHOOSE({1,2},Table17[Native],Table17[Name]),2,0)</f>
        <v>Wénshān Shì</v>
      </c>
      <c r="N92" s="15" t="str">
        <f>VLOOKUP(I92,CHOOSE({1,2},Table17[Native],Table17[Name]),2,0)</f>
        <v>Wénshān Zhuàngzú Miáozú Zìzhìzhōu</v>
      </c>
      <c r="O92" s="15" t="str">
        <f t="shared" si="2"/>
        <v>Bozhu Zhen (Wénshān Zhuàngzú Miáozú Zìzhìzhōu)</v>
      </c>
      <c r="P92" s="15" t="str">
        <f t="shared" si="3"/>
        <v>Bozhu Zhen (Wénshān Zhuàngzú Miáozú Zìzhìzhōu)</v>
      </c>
    </row>
    <row r="93" spans="1:16" hidden="1" x14ac:dyDescent="0.25">
      <c r="A93" t="s">
        <v>2476</v>
      </c>
      <c r="B93" t="str">
        <f>IF(COUNTIF(A:A,A93)&gt;1,_xlfn.CONCAT(A93," (",N93,")"),A93)</f>
        <v>Bùgā Huízú Xiāng</v>
      </c>
      <c r="C93" t="str">
        <f>IF(COUNTIF(B:B,B93)&gt;1,_xlfn.CONCAT(A93," (",M93,")"),B93)</f>
        <v>Bùgā Huízú Xiāng</v>
      </c>
      <c r="D93" t="s">
        <v>2477</v>
      </c>
      <c r="E93" t="s">
        <v>7</v>
      </c>
      <c r="F93" t="str">
        <f>_xlfn.CONCAT(D93,", ",H93,", ",I93,", ","云南省")</f>
        <v>布嘎回族乡, 昭阳区, 昭通市, 云南省</v>
      </c>
      <c r="G93">
        <v>27296</v>
      </c>
      <c r="H93" t="s">
        <v>2909</v>
      </c>
      <c r="I93" t="s">
        <v>2899</v>
      </c>
      <c r="J93" t="e">
        <f>VLOOKUP(F93,[1]!china_towns_second__2[[Column1]:[Y]],3,FALSE)</f>
        <v>#N/A</v>
      </c>
      <c r="K93" t="e">
        <f>VLOOKUP(F93,[1]!china_towns_second__2[[Column1]:[Y]],2,FALSE)</f>
        <v>#N/A</v>
      </c>
      <c r="L93" t="s">
        <v>3652</v>
      </c>
      <c r="M93" t="str">
        <f>VLOOKUP(H93,CHOOSE({1,2},Table17[Native],Table17[Name]),2,0)</f>
        <v>Zhāoyáng Qū</v>
      </c>
      <c r="N93" s="15" t="str">
        <f>VLOOKUP(I93,CHOOSE({1,2},Table17[Native],Table17[Name]),2,0)</f>
        <v>Zhāotōng Shì</v>
      </c>
      <c r="O93" s="15" t="str">
        <f t="shared" si="2"/>
        <v>Buga Huizu Xiang (Zhāotōng Shì)</v>
      </c>
      <c r="P93" s="15" t="str">
        <f t="shared" si="3"/>
        <v>Buga Huizu Xiang (Zhāotōng Shì)</v>
      </c>
    </row>
    <row r="94" spans="1:16" hidden="1" x14ac:dyDescent="0.25">
      <c r="A94" t="s">
        <v>2256</v>
      </c>
      <c r="B94" t="str">
        <f>IF(COUNTIF(A:A,A94)&gt;1,_xlfn.CONCAT(A94," (",N94,")"),A94)</f>
        <v>Bùlăngshān Bùlǎngzú Xiāng</v>
      </c>
      <c r="C94" t="str">
        <f>IF(COUNTIF(B:B,B94)&gt;1,_xlfn.CONCAT(A94," (",M94,")"),B94)</f>
        <v>Bùlăngshān Bùlǎngzú Xiāng</v>
      </c>
      <c r="D94" t="s">
        <v>2257</v>
      </c>
      <c r="E94" t="s">
        <v>7</v>
      </c>
      <c r="F94" t="str">
        <f>_xlfn.CONCAT(D94,", ",H94,", ",I94,", ","云南省")</f>
        <v>布朗山布朗族乡, 勐海县, 西双版纳傣族自治州, 云南省</v>
      </c>
      <c r="G94">
        <v>20274</v>
      </c>
      <c r="H94" t="s">
        <v>2885</v>
      </c>
      <c r="I94" t="s">
        <v>2883</v>
      </c>
      <c r="J94" t="e">
        <f>VLOOKUP(F94,[1]!china_towns_second__2[[Column1]:[Y]],3,FALSE)</f>
        <v>#N/A</v>
      </c>
      <c r="K94" t="e">
        <f>VLOOKUP(F94,[1]!china_towns_second__2[[Column1]:[Y]],2,FALSE)</f>
        <v>#N/A</v>
      </c>
      <c r="L94" t="s">
        <v>3653</v>
      </c>
      <c r="M94" t="str">
        <f>VLOOKUP(H94,CHOOSE({1,2},Table17[Native],Table17[Name]),2,0)</f>
        <v>Mĕnghăi Xiàn</v>
      </c>
      <c r="N94" s="15" t="str">
        <f>VLOOKUP(I94,CHOOSE({1,2},Table17[Native],Table17[Name]),2,0)</f>
        <v>Xīshuāngbănnà Dăizú Zìzhìzhōu</v>
      </c>
      <c r="O94" s="15" t="str">
        <f t="shared" si="2"/>
        <v>Bulangshan Bulangzu Xiang (Xīshuāngbănnà Dăizú Zìzhìzhōu)</v>
      </c>
      <c r="P94" s="15" t="str">
        <f t="shared" si="3"/>
        <v>Bulangshan Bulangzu Xiang (Xīshuāngbănnà Dăizú Zìzhìzhōu)</v>
      </c>
    </row>
    <row r="95" spans="1:16" hidden="1" x14ac:dyDescent="0.25">
      <c r="A95" t="s">
        <v>388</v>
      </c>
      <c r="B95" t="str">
        <f>IF(COUNTIF(A:A,A95)&gt;1,_xlfn.CONCAT(A95," (",N95,")"),A95)</f>
        <v>Căifèng Huáqiáo Guănlĭqū</v>
      </c>
      <c r="C95" t="str">
        <f>IF(COUNTIF(B:B,B95)&gt;1,_xlfn.CONCAT(A95," (",M95,")"),B95)</f>
        <v>Căifèng Huáqiáo Guănlĭqū</v>
      </c>
      <c r="D95" t="s">
        <v>389</v>
      </c>
      <c r="E95" t="s">
        <v>380</v>
      </c>
      <c r="F95" t="str">
        <f>_xlfn.CONCAT(D95,", ",H95,", ",I95,", ","云南省")</f>
        <v>彩凤华侨管理区, 宾川县, 大理白族自治州, 云南省</v>
      </c>
      <c r="G95">
        <v>2583</v>
      </c>
      <c r="H95" t="s">
        <v>2764</v>
      </c>
      <c r="I95" t="s">
        <v>2763</v>
      </c>
      <c r="J95" t="e">
        <f>VLOOKUP(F95,[1]!china_towns_second__2[[Column1]:[Y]],3,FALSE)</f>
        <v>#N/A</v>
      </c>
      <c r="K95" t="e">
        <f>VLOOKUP(F95,[1]!china_towns_second__2[[Column1]:[Y]],2,FALSE)</f>
        <v>#N/A</v>
      </c>
      <c r="L95" t="s">
        <v>3654</v>
      </c>
      <c r="M95" t="str">
        <f>VLOOKUP(H95,CHOOSE({1,2},Table17[Native],Table17[Name]),2,0)</f>
        <v>Bīnchuān Xiàn</v>
      </c>
      <c r="N95" s="15" t="str">
        <f>VLOOKUP(I95,CHOOSE({1,2},Table17[Native],Table17[Name]),2,0)</f>
        <v>Dàlĭ Báizú Zìzhìzhōu</v>
      </c>
      <c r="O95" s="15" t="str">
        <f t="shared" si="2"/>
        <v>Caifeng Huaqiao Guanliqu (Dàlĭ Báizú Zìzhìzhōu)</v>
      </c>
      <c r="P95" s="15" t="str">
        <f t="shared" si="3"/>
        <v>Caifeng Huaqiao Guanliqu (Dàlĭ Báizú Zìzhìzhōu)</v>
      </c>
    </row>
    <row r="96" spans="1:16" hidden="1" x14ac:dyDescent="0.25">
      <c r="A96" t="s">
        <v>174</v>
      </c>
      <c r="B96" t="str">
        <f>IF(COUNTIF(A:A,A96)&gt;1,_xlfn.CONCAT(A96," (",N96,")"),A96)</f>
        <v>Căiyún Zhèn (Chŭxióng Yízú Zìzhìzhōu)</v>
      </c>
      <c r="C96" t="str">
        <f>IF(COUNTIF(B:B,B96)&gt;1,_xlfn.CONCAT(A96," (",M96,")"),B96)</f>
        <v>Căiyún Zhèn (Chŭxióng Yízú Zìzhìzhōu)</v>
      </c>
      <c r="D96" t="s">
        <v>175</v>
      </c>
      <c r="E96" t="s">
        <v>11</v>
      </c>
      <c r="F96" t="str">
        <f>_xlfn.CONCAT(D96,", ",H96,", ",I96,", ","云南省")</f>
        <v>彩云镇, 禄丰县, 楚雄彝族自治州, 云南省</v>
      </c>
      <c r="G96">
        <v>17349</v>
      </c>
      <c r="H96" t="s">
        <v>2753</v>
      </c>
      <c r="I96" t="s">
        <v>2750</v>
      </c>
      <c r="J96">
        <f>VLOOKUP(F96,[1]!china_towns_second__2[[Column1]:[Y]],3,FALSE)</f>
        <v>24.967235602499699</v>
      </c>
      <c r="K96">
        <f>VLOOKUP(F96,[1]!china_towns_second__2[[Column1]:[Y]],2,FALSE)</f>
        <v>101.86633449999999</v>
      </c>
      <c r="L96" t="s">
        <v>3655</v>
      </c>
      <c r="M96" t="str">
        <f>VLOOKUP(H96,CHOOSE({1,2},Table17[Native],Table17[Name]),2,0)</f>
        <v>Lùfēng Xiàn</v>
      </c>
      <c r="N96" s="15" t="str">
        <f>VLOOKUP(I96,CHOOSE({1,2},Table17[Native],Table17[Name]),2,0)</f>
        <v>Chŭxióng Yízú Zìzhìzhōu</v>
      </c>
      <c r="O96" s="15" t="str">
        <f t="shared" si="2"/>
        <v>Caiyun Zhen (Chuxiong Yizu Zizhizhou) (Chŭxióng Yízú Zìzhìzhōu)</v>
      </c>
      <c r="P96" s="15" t="str">
        <f t="shared" si="3"/>
        <v>Caiyun Zhen (Chuxiong Yizu Zizhizhou) (Chŭxióng Yízú Zìzhìzhōu)</v>
      </c>
    </row>
    <row r="97" spans="1:16" hidden="1" x14ac:dyDescent="0.25">
      <c r="A97" t="s">
        <v>174</v>
      </c>
      <c r="B97" t="str">
        <f>IF(COUNTIF(A:A,A97)&gt;1,_xlfn.CONCAT(A97," (",N97,")"),A97)</f>
        <v>Căiyún Zhèn (Qŭjìng Shì)</v>
      </c>
      <c r="C97" t="str">
        <f>IF(COUNTIF(B:B,B97)&gt;1,_xlfn.CONCAT(A97," (",M97,")"),B97)</f>
        <v>Căiyún Zhèn (Qŭjìng Shì)</v>
      </c>
      <c r="D97" t="s">
        <v>175</v>
      </c>
      <c r="E97" t="s">
        <v>11</v>
      </c>
      <c r="F97" t="str">
        <f>_xlfn.CONCAT(D97,", ",H97,", ",I97,", ","云南省")</f>
        <v>彩云镇, 师宗县, 曲靖市, 云南省</v>
      </c>
      <c r="G97">
        <v>39191</v>
      </c>
      <c r="H97" t="s">
        <v>2867</v>
      </c>
      <c r="I97" t="s">
        <v>2860</v>
      </c>
      <c r="J97">
        <f>VLOOKUP(F97,[1]!china_towns_second__2[[Column1]:[Y]],3,FALSE)</f>
        <v>24.7279088385751</v>
      </c>
      <c r="K97">
        <f>VLOOKUP(F97,[1]!china_towns_second__2[[Column1]:[Y]],2,FALSE)</f>
        <v>103.9305195</v>
      </c>
      <c r="L97" t="s">
        <v>3656</v>
      </c>
      <c r="M97" t="str">
        <f>VLOOKUP(H97,CHOOSE({1,2},Table17[Native],Table17[Name]),2,0)</f>
        <v>Shīzōng Xiàn</v>
      </c>
      <c r="N97" s="15" t="str">
        <f>VLOOKUP(I97,CHOOSE({1,2},Table17[Native],Table17[Name]),2,0)</f>
        <v>Qŭjìng Shì</v>
      </c>
      <c r="O97" s="15" t="str">
        <f t="shared" si="2"/>
        <v>Caiyun Zhen (Qujing Shi) (Qŭjìng Shì)</v>
      </c>
      <c r="P97" s="15" t="str">
        <f t="shared" si="3"/>
        <v>Caiyun Zhen (Qujing Shi) (Qŭjìng Shì)</v>
      </c>
    </row>
    <row r="98" spans="1:16" hidden="1" x14ac:dyDescent="0.25">
      <c r="A98" t="s">
        <v>176</v>
      </c>
      <c r="B98" t="str">
        <f>IF(COUNTIF(A:A,A98)&gt;1,_xlfn.CONCAT(A98," (",N98,")"),A98)</f>
        <v>Cānglĭng Zhèn</v>
      </c>
      <c r="C98" t="str">
        <f>IF(COUNTIF(B:B,B98)&gt;1,_xlfn.CONCAT(A98," (",M98,")"),B98)</f>
        <v>Cānglĭng Zhèn</v>
      </c>
      <c r="D98" t="s">
        <v>177</v>
      </c>
      <c r="E98" t="s">
        <v>11</v>
      </c>
      <c r="F98" t="str">
        <f>_xlfn.CONCAT(D98,", ",H98,", ",I98,", ","云南省")</f>
        <v>苍岭镇, 楚雄市, 楚雄彝族自治州, 云南省</v>
      </c>
      <c r="G98">
        <v>27750</v>
      </c>
      <c r="H98" t="s">
        <v>2751</v>
      </c>
      <c r="I98" t="s">
        <v>2750</v>
      </c>
      <c r="J98">
        <f>VLOOKUP(F98,[1]!china_towns_second__2[[Column1]:[Y]],3,FALSE)</f>
        <v>25.035306619564398</v>
      </c>
      <c r="K98">
        <f>VLOOKUP(F98,[1]!china_towns_second__2[[Column1]:[Y]],2,FALSE)</f>
        <v>101.6954013</v>
      </c>
      <c r="L98" t="s">
        <v>3657</v>
      </c>
      <c r="M98" t="str">
        <f>VLOOKUP(H98,CHOOSE({1,2},Table17[Native],Table17[Name]),2,0)</f>
        <v>Chŭxióng Shì</v>
      </c>
      <c r="N98" s="15" t="str">
        <f>VLOOKUP(I98,CHOOSE({1,2},Table17[Native],Table17[Name]),2,0)</f>
        <v>Chŭxióng Yízú Zìzhìzhōu</v>
      </c>
      <c r="O98" s="15" t="str">
        <f t="shared" si="2"/>
        <v>Cangling Zhen (Chŭxióng Yízú Zìzhìzhōu)</v>
      </c>
      <c r="P98" s="15" t="str">
        <f t="shared" si="3"/>
        <v>Cangling Zhen (Chŭxióng Yízú Zìzhìzhōu)</v>
      </c>
    </row>
    <row r="99" spans="1:16" hidden="1" x14ac:dyDescent="0.25">
      <c r="A99" t="s">
        <v>390</v>
      </c>
      <c r="B99" t="str">
        <f>IF(COUNTIF(A:A,A99)&gt;1,_xlfn.CONCAT(A99," (",N99,")"),A99)</f>
        <v>Cāngshānxī Zhèn</v>
      </c>
      <c r="C99" t="str">
        <f>IF(COUNTIF(B:B,B99)&gt;1,_xlfn.CONCAT(A99," (",M99,")"),B99)</f>
        <v>Cāngshānxī Zhèn</v>
      </c>
      <c r="D99" t="s">
        <v>391</v>
      </c>
      <c r="E99" t="s">
        <v>11</v>
      </c>
      <c r="F99" t="str">
        <f>_xlfn.CONCAT(D99,", ",H99,", ",I99,", ","云南省")</f>
        <v>苍山西镇, 漾濞彝族自治县, 大理白族自治州, 云南省</v>
      </c>
      <c r="G99">
        <v>40456</v>
      </c>
      <c r="H99" t="s">
        <v>2774</v>
      </c>
      <c r="I99" t="s">
        <v>2763</v>
      </c>
      <c r="J99">
        <f>VLOOKUP(F99,[1]!china_towns_second__2[[Column1]:[Y]],3,FALSE)</f>
        <v>25.681802079184699</v>
      </c>
      <c r="K99">
        <f>VLOOKUP(F99,[1]!china_towns_second__2[[Column1]:[Y]],2,FALSE)</f>
        <v>99.958552299999994</v>
      </c>
      <c r="L99" t="s">
        <v>3658</v>
      </c>
      <c r="M99" t="str">
        <f>VLOOKUP(H99,CHOOSE({1,2},Table17[Native],Table17[Name]),2,0)</f>
        <v>Yàngbì Yízú Zìzhìxiàn</v>
      </c>
      <c r="N99" s="15" t="str">
        <f>VLOOKUP(I99,CHOOSE({1,2},Table17[Native],Table17[Name]),2,0)</f>
        <v>Dàlĭ Báizú Zìzhìzhōu</v>
      </c>
      <c r="O99" s="15" t="str">
        <f t="shared" si="2"/>
        <v>Cangshanxi Zhen (Dàlĭ Báizú Zìzhìzhōu)</v>
      </c>
      <c r="P99" s="15" t="str">
        <f t="shared" si="3"/>
        <v>Cangshanxi Zhen (Dàlĭ Báizú Zìzhìzhōu)</v>
      </c>
    </row>
    <row r="100" spans="1:16" hidden="1" x14ac:dyDescent="0.25">
      <c r="A100" t="s">
        <v>796</v>
      </c>
      <c r="B100" t="str">
        <f>IF(COUNTIF(A:A,A100)&gt;1,_xlfn.CONCAT(A100," (",N100,")"),A100)</f>
        <v>Căobà Zhèn</v>
      </c>
      <c r="C100" t="str">
        <f>IF(COUNTIF(B:B,B100)&gt;1,_xlfn.CONCAT(A100," (",M100,")"),B100)</f>
        <v>Căobà Zhèn</v>
      </c>
      <c r="D100" t="s">
        <v>797</v>
      </c>
      <c r="E100" t="s">
        <v>11</v>
      </c>
      <c r="F100" t="str">
        <f>_xlfn.CONCAT(D100,", ",H100,", ",I100,", ","云南省")</f>
        <v>草坝镇, 蒙自市, 红河哈尼族彝族自治州, 云南省</v>
      </c>
      <c r="G100">
        <v>37696</v>
      </c>
      <c r="H100" t="s">
        <v>2801</v>
      </c>
      <c r="I100" t="s">
        <v>2792</v>
      </c>
      <c r="J100">
        <f>VLOOKUP(F100,[1]!china_towns_second__2[[Column1]:[Y]],3,FALSE)</f>
        <v>23.510606253485399</v>
      </c>
      <c r="K100">
        <f>VLOOKUP(F100,[1]!china_towns_second__2[[Column1]:[Y]],2,FALSE)</f>
        <v>103.3745199</v>
      </c>
      <c r="L100" t="s">
        <v>3659</v>
      </c>
      <c r="M100" t="str">
        <f>VLOOKUP(H100,CHOOSE({1,2},Table17[Native],Table17[Name]),2,0)</f>
        <v>Mĕngzì Shì</v>
      </c>
      <c r="N100" s="15" t="str">
        <f>VLOOKUP(I100,CHOOSE({1,2},Table17[Native],Table17[Name]),2,0)</f>
        <v>Hónghé Hānízú Yízú Zìzhìzhōu</v>
      </c>
      <c r="O100" s="15" t="str">
        <f t="shared" si="2"/>
        <v>Caoba Zhen (Hónghé Hānízú Yízú Zìzhìzhōu)</v>
      </c>
      <c r="P100" s="15" t="str">
        <f t="shared" si="3"/>
        <v>Caoba Zhen (Hónghé Hānízú Yízú Zìzhìzhōu)</v>
      </c>
    </row>
    <row r="101" spans="1:16" hidden="1" x14ac:dyDescent="0.25">
      <c r="A101" t="s">
        <v>393</v>
      </c>
      <c r="B101" t="str">
        <f>IF(COUNTIF(A:A,A101)&gt;1,_xlfn.CONCAT(A101," (",N101,")"),A101)</f>
        <v>Căohăi Zhèn</v>
      </c>
      <c r="C101" t="str">
        <f>IF(COUNTIF(B:B,B101)&gt;1,_xlfn.CONCAT(A101," (",M101,")"),B101)</f>
        <v>Căohăi Zhèn</v>
      </c>
      <c r="D101" t="s">
        <v>394</v>
      </c>
      <c r="E101" t="s">
        <v>11</v>
      </c>
      <c r="F101" t="str">
        <f>_xlfn.CONCAT(D101,", ",H101,", ",I101,", ","云南省")</f>
        <v>草海镇, 鹤庆县, 大理白族自治州, 云南省</v>
      </c>
      <c r="G101">
        <v>41692</v>
      </c>
      <c r="H101" t="s">
        <v>2767</v>
      </c>
      <c r="I101" t="s">
        <v>2763</v>
      </c>
      <c r="J101">
        <f>VLOOKUP(F101,[1]!china_towns_second__2[[Column1]:[Y]],3,FALSE)</f>
        <v>26.557287404376702</v>
      </c>
      <c r="K101">
        <f>VLOOKUP(F101,[1]!china_towns_second__2[[Column1]:[Y]],2,FALSE)</f>
        <v>100.17384869999999</v>
      </c>
      <c r="L101" t="s">
        <v>3660</v>
      </c>
      <c r="M101" t="str">
        <f>VLOOKUP(H101,CHOOSE({1,2},Table17[Native],Table17[Name]),2,0)</f>
        <v>Hèqìng Xiàn</v>
      </c>
      <c r="N101" s="15" t="str">
        <f>VLOOKUP(I101,CHOOSE({1,2},Table17[Native],Table17[Name]),2,0)</f>
        <v>Dàlĭ Báizú Zìzhìzhōu</v>
      </c>
      <c r="O101" s="15" t="str">
        <f t="shared" si="2"/>
        <v>Caohai Zhen (Dàlĭ Báizú Zìzhìzhōu)</v>
      </c>
      <c r="P101" s="15" t="str">
        <f t="shared" si="3"/>
        <v>Caohai Zhen (Dàlĭ Báizú Zìzhìzhōu)</v>
      </c>
    </row>
    <row r="102" spans="1:16" hidden="1" x14ac:dyDescent="0.25">
      <c r="A102" t="s">
        <v>396</v>
      </c>
      <c r="B102" t="str">
        <f>IF(COUNTIF(A:A,A102)&gt;1,_xlfn.CONCAT(A102," (",N102,")"),A102)</f>
        <v>Cáojiàn Zhèn</v>
      </c>
      <c r="C102" t="str">
        <f>IF(COUNTIF(B:B,B102)&gt;1,_xlfn.CONCAT(A102," (",M102,")"),B102)</f>
        <v>Cáojiàn Zhèn</v>
      </c>
      <c r="D102" t="s">
        <v>397</v>
      </c>
      <c r="E102" t="s">
        <v>11</v>
      </c>
      <c r="F102" t="str">
        <f>_xlfn.CONCAT(D102,", ",H102,", ",I102,", ","云南省")</f>
        <v>漕涧镇, 云龙县, 大理白族自治州, 云南省</v>
      </c>
      <c r="G102">
        <v>32779</v>
      </c>
      <c r="H102" t="s">
        <v>2776</v>
      </c>
      <c r="I102" t="s">
        <v>2763</v>
      </c>
      <c r="J102">
        <f>VLOOKUP(F102,[1]!china_towns_second__2[[Column1]:[Y]],3,FALSE)</f>
        <v>25.662134195089401</v>
      </c>
      <c r="K102">
        <f>VLOOKUP(F102,[1]!china_towns_second__2[[Column1]:[Y]],2,FALSE)</f>
        <v>99.102895020000005</v>
      </c>
      <c r="L102" t="s">
        <v>3661</v>
      </c>
      <c r="M102" t="str">
        <f>VLOOKUP(H102,CHOOSE({1,2},Table17[Native],Table17[Name]),2,0)</f>
        <v>Yúnlóng Xiàn</v>
      </c>
      <c r="N102" s="15" t="str">
        <f>VLOOKUP(I102,CHOOSE({1,2},Table17[Native],Table17[Name]),2,0)</f>
        <v>Dàlĭ Báizú Zìzhìzhōu</v>
      </c>
      <c r="O102" s="15" t="str">
        <f t="shared" si="2"/>
        <v>Caojian Zhen (Dàlĭ Báizú Zìzhìzhōu)</v>
      </c>
      <c r="P102" s="15" t="str">
        <f t="shared" si="3"/>
        <v>Caojian Zhen (Dàlĭ Báizú Zìzhìzhōu)</v>
      </c>
    </row>
    <row r="103" spans="1:16" hidden="1" x14ac:dyDescent="0.25">
      <c r="A103" t="s">
        <v>1054</v>
      </c>
      <c r="B103" t="str">
        <f>IF(COUNTIF(A:A,A103)&gt;1,_xlfn.CONCAT(A103," (",N103,")"),A103)</f>
        <v>Căopū Jiēdào</v>
      </c>
      <c r="C103" t="str">
        <f>IF(COUNTIF(B:B,B103)&gt;1,_xlfn.CONCAT(A103," (",M103,")"),B103)</f>
        <v>Căopū Jiēdào</v>
      </c>
      <c r="D103" t="s">
        <v>1055</v>
      </c>
      <c r="E103" t="s">
        <v>42</v>
      </c>
      <c r="F103" t="str">
        <f>_xlfn.CONCAT(D103,", ",H103,", ",I103,", ","云南省")</f>
        <v>草铺街道, 安宁市, 昆明市, 云南省</v>
      </c>
      <c r="G103">
        <v>23895</v>
      </c>
      <c r="H103" t="s">
        <v>2808</v>
      </c>
      <c r="I103" t="s">
        <v>2807</v>
      </c>
      <c r="J103">
        <f>VLOOKUP(F103,[1]!china_towns_second__2[[Column1]:[Y]],3,FALSE)</f>
        <v>24.916059830113301</v>
      </c>
      <c r="K103">
        <f>VLOOKUP(F103,[1]!china_towns_second__2[[Column1]:[Y]],2,FALSE)</f>
        <v>102.34710339999999</v>
      </c>
      <c r="L103" t="s">
        <v>3662</v>
      </c>
      <c r="M103" t="str">
        <f>VLOOKUP(H103,CHOOSE({1,2},Table17[Native],Table17[Name]),2,0)</f>
        <v>Ānníng Shì</v>
      </c>
      <c r="N103" s="15" t="str">
        <f>VLOOKUP(I103,CHOOSE({1,2},Table17[Native],Table17[Name]),2,0)</f>
        <v>Kūnmíng Shì</v>
      </c>
      <c r="O103" s="15" t="str">
        <f t="shared" si="2"/>
        <v>Caopu Jiedao (Kūnmíng Shì)</v>
      </c>
      <c r="P103" s="15" t="str">
        <f t="shared" si="3"/>
        <v>Caopu Jiedao (Kūnmíng Shì)</v>
      </c>
    </row>
    <row r="104" spans="1:16" hidden="1" x14ac:dyDescent="0.25">
      <c r="A104" t="s">
        <v>178</v>
      </c>
      <c r="B104" t="str">
        <f>IF(COUNTIF(A:A,A104)&gt;1,_xlfn.CONCAT(A104," (",N104,")"),A104)</f>
        <v>Chādiàn Zhèn</v>
      </c>
      <c r="C104" t="str">
        <f>IF(COUNTIF(B:B,B104)&gt;1,_xlfn.CONCAT(A104," (",M104,")"),B104)</f>
        <v>Chādiàn Zhèn</v>
      </c>
      <c r="D104" t="s">
        <v>179</v>
      </c>
      <c r="E104" t="s">
        <v>11</v>
      </c>
      <c r="F104" t="str">
        <f>_xlfn.CONCAT(D104,", ",H104,", ",I104,", ","云南省")</f>
        <v>插甸镇, 武定县, 楚雄彝族自治州, 云南省</v>
      </c>
      <c r="G104">
        <v>22703</v>
      </c>
      <c r="H104" t="s">
        <v>2757</v>
      </c>
      <c r="I104" t="s">
        <v>2750</v>
      </c>
      <c r="J104">
        <f>VLOOKUP(F104,[1]!china_towns_second__2[[Column1]:[Y]],3,FALSE)</f>
        <v>25.715827132096901</v>
      </c>
      <c r="K104">
        <f>VLOOKUP(F104,[1]!china_towns_second__2[[Column1]:[Y]],2,FALSE)</f>
        <v>102.2919297</v>
      </c>
      <c r="L104" t="s">
        <v>3663</v>
      </c>
      <c r="M104" t="str">
        <f>VLOOKUP(H104,CHOOSE({1,2},Table17[Native],Table17[Name]),2,0)</f>
        <v>Wŭdìng Xiàn</v>
      </c>
      <c r="N104" s="15" t="str">
        <f>VLOOKUP(I104,CHOOSE({1,2},Table17[Native],Table17[Name]),2,0)</f>
        <v>Chŭxióng Yízú Zìzhìzhōu</v>
      </c>
      <c r="O104" s="15" t="str">
        <f t="shared" si="2"/>
        <v>Chadian Zhen (Chŭxióng Yízú Zìzhìzhōu)</v>
      </c>
      <c r="P104" s="15" t="str">
        <f t="shared" si="3"/>
        <v>Chadian Zhen (Chŭxióng Yízú Zìzhìzhōu)</v>
      </c>
    </row>
    <row r="105" spans="1:16" hidden="1" x14ac:dyDescent="0.25">
      <c r="A105" t="s">
        <v>1450</v>
      </c>
      <c r="B105" t="str">
        <f>IF(COUNTIF(A:A,A105)&gt;1,_xlfn.CONCAT(A105," (",N105,")"),A105)</f>
        <v>Cháfáng Xiāng</v>
      </c>
      <c r="C105" t="str">
        <f>IF(COUNTIF(B:B,B105)&gt;1,_xlfn.CONCAT(A105," (",M105,")"),B105)</f>
        <v>Cháfáng Xiāng</v>
      </c>
      <c r="D105" t="s">
        <v>1451</v>
      </c>
      <c r="E105" t="s">
        <v>7</v>
      </c>
      <c r="F105" t="str">
        <f>_xlfn.CONCAT(D105,", ",H105,", ",I105,", ","云南省")</f>
        <v>茶房乡, 云县, 临沧市, 云南省</v>
      </c>
      <c r="G105">
        <v>34844</v>
      </c>
      <c r="H105" t="s">
        <v>2838</v>
      </c>
      <c r="I105" t="s">
        <v>2831</v>
      </c>
      <c r="J105" t="e">
        <f>VLOOKUP(F105,[1]!china_towns_second__2[[Column1]:[Y]],3,FALSE)</f>
        <v>#N/A</v>
      </c>
      <c r="K105" t="e">
        <f>VLOOKUP(F105,[1]!china_towns_second__2[[Column1]:[Y]],2,FALSE)</f>
        <v>#N/A</v>
      </c>
      <c r="L105" t="s">
        <v>3664</v>
      </c>
      <c r="M105" t="str">
        <f>VLOOKUP(H105,CHOOSE({1,2},Table17[Native],Table17[Name]),2,0)</f>
        <v>Yún Xiàn</v>
      </c>
      <c r="N105" s="15" t="str">
        <f>VLOOKUP(I105,CHOOSE({1,2},Table17[Native],Table17[Name]),2,0)</f>
        <v>Líncāng Shì</v>
      </c>
      <c r="O105" s="15" t="str">
        <f t="shared" si="2"/>
        <v>Chafang Xiang (Líncāng Shì)</v>
      </c>
      <c r="P105" s="15" t="str">
        <f t="shared" si="3"/>
        <v>Chafang Xiang (Líncāng Shì)</v>
      </c>
    </row>
    <row r="106" spans="1:16" hidden="1" x14ac:dyDescent="0.25">
      <c r="A106" t="s">
        <v>2329</v>
      </c>
      <c r="B106" t="str">
        <f>IF(COUNTIF(A:A,A106)&gt;1,_xlfn.CONCAT(A106," (",N106,")"),A106)</f>
        <v>Chàhé Xiāng</v>
      </c>
      <c r="C106" t="str">
        <f>IF(COUNTIF(B:B,B106)&gt;1,_xlfn.CONCAT(A106," (",M106,")"),B106)</f>
        <v>Chàhé Xiāng</v>
      </c>
      <c r="D106" t="s">
        <v>2330</v>
      </c>
      <c r="E106" t="s">
        <v>7</v>
      </c>
      <c r="F106" t="str">
        <f>_xlfn.CONCAT(D106,", ",H106,", ",I106,", ","云南省")</f>
        <v>岔河乡, 峨山彝族自治县, 玉溪市, 云南省</v>
      </c>
      <c r="G106">
        <v>10606</v>
      </c>
      <c r="H106" t="s">
        <v>2890</v>
      </c>
      <c r="I106" t="s">
        <v>2888</v>
      </c>
      <c r="J106" t="e">
        <f>VLOOKUP(F106,[1]!china_towns_second__2[[Column1]:[Y]],3,FALSE)</f>
        <v>#N/A</v>
      </c>
      <c r="K106" t="e">
        <f>VLOOKUP(F106,[1]!china_towns_second__2[[Column1]:[Y]],2,FALSE)</f>
        <v>#N/A</v>
      </c>
      <c r="L106" t="s">
        <v>3665</v>
      </c>
      <c r="M106" t="str">
        <f>VLOOKUP(H106,CHOOSE({1,2},Table17[Native],Table17[Name]),2,0)</f>
        <v>Éshān Yízú Zìzhìxiàn</v>
      </c>
      <c r="N106" s="15" t="str">
        <f>VLOOKUP(I106,CHOOSE({1,2},Table17[Native],Table17[Name]),2,0)</f>
        <v>Yùxī Shì</v>
      </c>
      <c r="O106" s="15" t="str">
        <f t="shared" si="2"/>
        <v>Chahe Xiang (Yùxī Shì)</v>
      </c>
      <c r="P106" s="15" t="str">
        <f t="shared" si="3"/>
        <v>Chahe Xiang (Yùxī Shì)</v>
      </c>
    </row>
    <row r="107" spans="1:16" hidden="1" x14ac:dyDescent="0.25">
      <c r="A107" t="s">
        <v>799</v>
      </c>
      <c r="B107" t="str">
        <f>IF(COUNTIF(A:A,A107)&gt;1,_xlfn.CONCAT(A107," (",N107,")"),A107)</f>
        <v>Chàkē Zhèn</v>
      </c>
      <c r="C107" t="str">
        <f>IF(COUNTIF(B:B,B107)&gt;1,_xlfn.CONCAT(A107," (",M107,")"),B107)</f>
        <v>Chàkē Zhèn</v>
      </c>
      <c r="D107" t="s">
        <v>800</v>
      </c>
      <c r="E107" t="s">
        <v>11</v>
      </c>
      <c r="F107" t="str">
        <f>_xlfn.CONCAT(D107,", ",H107,", ",I107,", ","云南省")</f>
        <v>岔科镇, 建水县, 红河哈尼族彝族自治州, 云南省</v>
      </c>
      <c r="G107">
        <v>24105</v>
      </c>
      <c r="H107" t="s">
        <v>2796</v>
      </c>
      <c r="I107" t="s">
        <v>2792</v>
      </c>
      <c r="J107">
        <f>VLOOKUP(F107,[1]!china_towns_second__2[[Column1]:[Y]],3,FALSE)</f>
        <v>23.847568949403801</v>
      </c>
      <c r="K107">
        <f>VLOOKUP(F107,[1]!china_towns_second__2[[Column1]:[Y]],2,FALSE)</f>
        <v>103.0255124</v>
      </c>
      <c r="L107" t="s">
        <v>3666</v>
      </c>
      <c r="M107" t="str">
        <f>VLOOKUP(H107,CHOOSE({1,2},Table17[Native],Table17[Name]),2,0)</f>
        <v>Jiànshuĭ Xiàn</v>
      </c>
      <c r="N107" s="15" t="str">
        <f>VLOOKUP(I107,CHOOSE({1,2},Table17[Native],Table17[Name]),2,0)</f>
        <v>Hónghé Hānízú Yízú Zìzhìzhōu</v>
      </c>
      <c r="O107" s="15" t="str">
        <f t="shared" si="2"/>
        <v>Chake Zhen (Hónghé Hānízú Yízú Zìzhìzhōu)</v>
      </c>
      <c r="P107" s="15" t="str">
        <f t="shared" si="3"/>
        <v>Chake Zhen (Hónghé Hānízú Yízú Zìzhìzhōu)</v>
      </c>
    </row>
    <row r="108" spans="1:16" hidden="1" x14ac:dyDescent="0.25">
      <c r="A108" t="s">
        <v>2478</v>
      </c>
      <c r="B108" t="str">
        <f>IF(COUNTIF(A:A,A108)&gt;1,_xlfn.CONCAT(A108," (",N108,")"),A108)</f>
        <v>Cháng'ān Zhèn</v>
      </c>
      <c r="C108" t="str">
        <f>IF(COUNTIF(B:B,B108)&gt;1,_xlfn.CONCAT(A108," (",M108,")"),B108)</f>
        <v>Cháng'ān Zhèn</v>
      </c>
      <c r="D108" t="s">
        <v>2479</v>
      </c>
      <c r="E108" t="s">
        <v>11</v>
      </c>
      <c r="F108" t="str">
        <f>_xlfn.CONCAT(D108,", ",H108,", ",I108,", ","云南省")</f>
        <v>长安镇, 威信县, 昭通市, 云南省</v>
      </c>
      <c r="G108">
        <v>27406</v>
      </c>
      <c r="H108" t="s">
        <v>2905</v>
      </c>
      <c r="I108" t="s">
        <v>2899</v>
      </c>
      <c r="J108">
        <f>VLOOKUP(F108,[1]!china_towns_second__2[[Column1]:[Y]],3,FALSE)</f>
        <v>27.8406233420997</v>
      </c>
      <c r="K108">
        <f>VLOOKUP(F108,[1]!china_towns_second__2[[Column1]:[Y]],2,FALSE)</f>
        <v>104.7669101</v>
      </c>
      <c r="L108" t="s">
        <v>3667</v>
      </c>
      <c r="M108" t="str">
        <f>VLOOKUP(H108,CHOOSE({1,2},Table17[Native],Table17[Name]),2,0)</f>
        <v>Wēixìn Xiàn</v>
      </c>
      <c r="N108" s="15" t="str">
        <f>VLOOKUP(I108,CHOOSE({1,2},Table17[Native],Table17[Name]),2,0)</f>
        <v>Zhāotōng Shì</v>
      </c>
      <c r="O108" s="15" t="str">
        <f t="shared" si="2"/>
        <v>Chang'an Zhen (Zhāotōng Shì)</v>
      </c>
      <c r="P108" s="15" t="str">
        <f t="shared" si="3"/>
        <v>Chang'an Zhen (Zhāotōng Shì)</v>
      </c>
    </row>
    <row r="109" spans="1:16" hidden="1" x14ac:dyDescent="0.25">
      <c r="A109" t="s">
        <v>2481</v>
      </c>
      <c r="B109" t="str">
        <f>IF(COUNTIF(A:A,A109)&gt;1,_xlfn.CONCAT(A109," (",N109,")"),A109)</f>
        <v>Chăngbà Zhèn</v>
      </c>
      <c r="C109" t="str">
        <f>IF(COUNTIF(B:B,B109)&gt;1,_xlfn.CONCAT(A109," (",M109,")"),B109)</f>
        <v>Chăngbà Zhèn</v>
      </c>
      <c r="D109" t="s">
        <v>2482</v>
      </c>
      <c r="E109" t="s">
        <v>11</v>
      </c>
      <c r="F109" t="str">
        <f>_xlfn.CONCAT(D109,", ",H109,", ",I109,", ","云南省")</f>
        <v>场坝镇, 镇雄县, 昭通市, 云南省</v>
      </c>
      <c r="G109">
        <v>51934</v>
      </c>
      <c r="H109" t="s">
        <v>2910</v>
      </c>
      <c r="I109" t="s">
        <v>2899</v>
      </c>
      <c r="J109">
        <f>VLOOKUP(F109,[1]!china_towns_second__2[[Column1]:[Y]],3,FALSE)</f>
        <v>27.400718525756801</v>
      </c>
      <c r="K109">
        <f>VLOOKUP(F109,[1]!china_towns_second__2[[Column1]:[Y]],2,FALSE)</f>
        <v>104.7489928</v>
      </c>
      <c r="L109" t="s">
        <v>3668</v>
      </c>
      <c r="M109" t="str">
        <f>VLOOKUP(H109,CHOOSE({1,2},Table17[Native],Table17[Name]),2,0)</f>
        <v>Zhènxióng Xiàn</v>
      </c>
      <c r="N109" s="15" t="str">
        <f>VLOOKUP(I109,CHOOSE({1,2},Table17[Native],Table17[Name]),2,0)</f>
        <v>Zhāotōng Shì</v>
      </c>
      <c r="O109" s="15" t="str">
        <f t="shared" si="2"/>
        <v>Changba Zhen (Zhāotōng Shì)</v>
      </c>
      <c r="P109" s="15" t="str">
        <f t="shared" si="3"/>
        <v>Changba Zhen (Zhāotōng Shì)</v>
      </c>
    </row>
    <row r="110" spans="1:16" hidden="1" x14ac:dyDescent="0.25">
      <c r="A110" t="s">
        <v>1869</v>
      </c>
      <c r="B110" t="str">
        <f>IF(COUNTIF(A:A,A110)&gt;1,_xlfn.CONCAT(A110," (",N110,")"),A110)</f>
        <v>Chángdĭ Bùyīzú Xiāng</v>
      </c>
      <c r="C110" t="str">
        <f>IF(COUNTIF(B:B,B110)&gt;1,_xlfn.CONCAT(A110," (",M110,")"),B110)</f>
        <v>Chángdĭ Bùyīzú Xiāng</v>
      </c>
      <c r="D110" t="s">
        <v>1870</v>
      </c>
      <c r="E110" t="s">
        <v>7</v>
      </c>
      <c r="F110" t="str">
        <f>_xlfn.CONCAT(D110,", ",H110,", ",I110,", ","云南省")</f>
        <v>长底布依族乡, 罗平县, 曲靖市, 云南省</v>
      </c>
      <c r="G110">
        <v>13164</v>
      </c>
      <c r="H110" t="s">
        <v>2864</v>
      </c>
      <c r="I110" t="s">
        <v>2860</v>
      </c>
      <c r="J110" t="e">
        <f>VLOOKUP(F110,[1]!china_towns_second__2[[Column1]:[Y]],3,FALSE)</f>
        <v>#N/A</v>
      </c>
      <c r="K110" t="e">
        <f>VLOOKUP(F110,[1]!china_towns_second__2[[Column1]:[Y]],2,FALSE)</f>
        <v>#N/A</v>
      </c>
      <c r="L110" t="s">
        <v>3669</v>
      </c>
      <c r="M110" t="str">
        <f>VLOOKUP(H110,CHOOSE({1,2},Table17[Native],Table17[Name]),2,0)</f>
        <v>Luópíng Xiàn</v>
      </c>
      <c r="N110" s="15" t="str">
        <f>VLOOKUP(I110,CHOOSE({1,2},Table17[Native],Table17[Name]),2,0)</f>
        <v>Qŭjìng Shì</v>
      </c>
      <c r="O110" s="15" t="str">
        <f t="shared" si="2"/>
        <v>Changdi Buyizu Xiang (Qŭjìng Shì)</v>
      </c>
      <c r="P110" s="15" t="str">
        <f t="shared" si="3"/>
        <v>Changdi Buyizu Xiang (Qŭjìng Shì)</v>
      </c>
    </row>
    <row r="111" spans="1:16" hidden="1" x14ac:dyDescent="0.25">
      <c r="A111" t="s">
        <v>1056</v>
      </c>
      <c r="B111" t="str">
        <f>IF(COUNTIF(A:A,A111)&gt;1,_xlfn.CONCAT(A111," (",N111,")"),A111)</f>
        <v>Chánghú Zhèn</v>
      </c>
      <c r="C111" t="str">
        <f>IF(COUNTIF(B:B,B111)&gt;1,_xlfn.CONCAT(A111," (",M111,")"),B111)</f>
        <v>Chánghú Zhèn</v>
      </c>
      <c r="D111" t="s">
        <v>1057</v>
      </c>
      <c r="E111" t="s">
        <v>11</v>
      </c>
      <c r="F111" t="str">
        <f>_xlfn.CONCAT(D111,", ",H111,", ",I111,", ","云南省")</f>
        <v>长湖镇, 石林彝族自治县, 昆明市, 云南省</v>
      </c>
      <c r="G111">
        <v>15753</v>
      </c>
      <c r="H111" t="s">
        <v>2816</v>
      </c>
      <c r="I111" t="s">
        <v>2807</v>
      </c>
      <c r="J111">
        <f>VLOOKUP(F111,[1]!china_towns_second__2[[Column1]:[Y]],3,FALSE)</f>
        <v>24.680116761572901</v>
      </c>
      <c r="K111">
        <f>VLOOKUP(F111,[1]!china_towns_second__2[[Column1]:[Y]],2,FALSE)</f>
        <v>103.42154189999999</v>
      </c>
      <c r="L111" t="s">
        <v>3670</v>
      </c>
      <c r="M111" t="str">
        <f>VLOOKUP(H111,CHOOSE({1,2},Table17[Native],Table17[Name]),2,0)</f>
        <v>Shílín Yízú Zìzhìxiàn</v>
      </c>
      <c r="N111" s="15" t="str">
        <f>VLOOKUP(I111,CHOOSE({1,2},Table17[Native],Table17[Name]),2,0)</f>
        <v>Kūnmíng Shì</v>
      </c>
      <c r="O111" s="15" t="str">
        <f t="shared" si="2"/>
        <v>Changhu Zhen (Kūnmíng Shì)</v>
      </c>
      <c r="P111" s="15" t="str">
        <f t="shared" si="3"/>
        <v>Changhu Zhen (Kūnmíng Shì)</v>
      </c>
    </row>
    <row r="112" spans="1:16" hidden="1" x14ac:dyDescent="0.25">
      <c r="A112" t="s">
        <v>398</v>
      </c>
      <c r="B112" t="str">
        <f>IF(COUNTIF(A:A,A112)&gt;1,_xlfn.CONCAT(A112," (",N112,")"),A112)</f>
        <v>Chăngjiē Yízú Xiāng</v>
      </c>
      <c r="C112" t="str">
        <f>IF(COUNTIF(B:B,B112)&gt;1,_xlfn.CONCAT(A112," (",M112,")"),B112)</f>
        <v>Chăngjiē Yízú Xiāng</v>
      </c>
      <c r="D112" t="s">
        <v>399</v>
      </c>
      <c r="E112" t="s">
        <v>7</v>
      </c>
      <c r="F112" t="str">
        <f>_xlfn.CONCAT(D112,", ",H112,", ",I112,", ","云南省")</f>
        <v>厂街彝族乡, 永平县, 大理白族自治州, 云南省</v>
      </c>
      <c r="G112">
        <v>18559</v>
      </c>
      <c r="H112" t="s">
        <v>2775</v>
      </c>
      <c r="I112" t="s">
        <v>2763</v>
      </c>
      <c r="J112" t="e">
        <f>VLOOKUP(F112,[1]!china_towns_second__2[[Column1]:[Y]],3,FALSE)</f>
        <v>#N/A</v>
      </c>
      <c r="K112" t="e">
        <f>VLOOKUP(F112,[1]!china_towns_second__2[[Column1]:[Y]],2,FALSE)</f>
        <v>#N/A</v>
      </c>
      <c r="L112" t="s">
        <v>3671</v>
      </c>
      <c r="M112" t="str">
        <f>VLOOKUP(H112,CHOOSE({1,2},Table17[Native],Table17[Name]),2,0)</f>
        <v>Yŏngpíng Xiàn</v>
      </c>
      <c r="N112" s="15" t="str">
        <f>VLOOKUP(I112,CHOOSE({1,2},Table17[Native],Table17[Name]),2,0)</f>
        <v>Dàlĭ Báizú Zìzhìzhōu</v>
      </c>
      <c r="O112" s="15" t="str">
        <f t="shared" si="2"/>
        <v>Changjie Yizu Xiang (Dàlĭ Báizú Zìzhìzhōu)</v>
      </c>
      <c r="P112" s="15" t="str">
        <f t="shared" si="3"/>
        <v>Changjie Yizu Xiang (Dàlĭ Báizú Zìzhìzhōu)</v>
      </c>
    </row>
    <row r="113" spans="1:16" hidden="1" x14ac:dyDescent="0.25">
      <c r="A113" t="s">
        <v>400</v>
      </c>
      <c r="B113" t="str">
        <f>IF(COUNTIF(A:A,A113)&gt;1,_xlfn.CONCAT(A113," (",N113,")"),A113)</f>
        <v>Chángxīn Xiāng</v>
      </c>
      <c r="C113" t="str">
        <f>IF(COUNTIF(B:B,B113)&gt;1,_xlfn.CONCAT(A113," (",M113,")"),B113)</f>
        <v>Chángxīn Xiāng</v>
      </c>
      <c r="D113" t="s">
        <v>401</v>
      </c>
      <c r="E113" t="s">
        <v>7</v>
      </c>
      <c r="F113" t="str">
        <f>_xlfn.CONCAT(D113,", ",H113,", ",I113,", ","云南省")</f>
        <v>长新乡, 云龙县, 大理白族自治州, 云南省</v>
      </c>
      <c r="G113">
        <v>20955</v>
      </c>
      <c r="H113" t="s">
        <v>2776</v>
      </c>
      <c r="I113" t="s">
        <v>2763</v>
      </c>
      <c r="J113" t="e">
        <f>VLOOKUP(F113,[1]!china_towns_second__2[[Column1]:[Y]],3,FALSE)</f>
        <v>#N/A</v>
      </c>
      <c r="K113" t="e">
        <f>VLOOKUP(F113,[1]!china_towns_second__2[[Column1]:[Y]],2,FALSE)</f>
        <v>#N/A</v>
      </c>
      <c r="L113" t="s">
        <v>3672</v>
      </c>
      <c r="M113" t="str">
        <f>VLOOKUP(H113,CHOOSE({1,2},Table17[Native],Table17[Name]),2,0)</f>
        <v>Yúnlóng Xiàn</v>
      </c>
      <c r="N113" s="15" t="str">
        <f>VLOOKUP(I113,CHOOSE({1,2},Table17[Native],Table17[Name]),2,0)</f>
        <v>Dàlĭ Báizú Zìzhìzhōu</v>
      </c>
      <c r="O113" s="15" t="str">
        <f t="shared" si="2"/>
        <v>Changxin Xiang (Dàlĭ Báizú Zìzhìzhōu)</v>
      </c>
      <c r="P113" s="15" t="str">
        <f t="shared" si="3"/>
        <v>Changxin Xiang (Dàlĭ Báizú Zìzhìzhōu)</v>
      </c>
    </row>
    <row r="114" spans="1:16" hidden="1" x14ac:dyDescent="0.25">
      <c r="A114" t="s">
        <v>1309</v>
      </c>
      <c r="B114" t="str">
        <f>IF(COUNTIF(A:A,A114)&gt;1,_xlfn.CONCAT(A114," (",N114,")"),A114)</f>
        <v>Chánzhànhé Xiāng</v>
      </c>
      <c r="C114" t="str">
        <f>IF(COUNTIF(B:B,B114)&gt;1,_xlfn.CONCAT(A114," (",M114,")"),B114)</f>
        <v>Chánzhànhé Xiāng</v>
      </c>
      <c r="D114" t="s">
        <v>1310</v>
      </c>
      <c r="E114" t="s">
        <v>7</v>
      </c>
      <c r="F114" t="str">
        <f>_xlfn.CONCAT(D114,", ",H114,", ",I114,", ","云南省")</f>
        <v>蝉战河乡, 宁蒗彝族自治县, 丽江市, 云南省</v>
      </c>
      <c r="G114">
        <v>6421</v>
      </c>
      <c r="H114" t="s">
        <v>2827</v>
      </c>
      <c r="I114" t="s">
        <v>2823</v>
      </c>
      <c r="J114" t="e">
        <f>VLOOKUP(F114,[1]!china_towns_second__2[[Column1]:[Y]],3,FALSE)</f>
        <v>#N/A</v>
      </c>
      <c r="K114" t="e">
        <f>VLOOKUP(F114,[1]!china_towns_second__2[[Column1]:[Y]],2,FALSE)</f>
        <v>#N/A</v>
      </c>
      <c r="L114" t="s">
        <v>3673</v>
      </c>
      <c r="M114" t="str">
        <f>VLOOKUP(H114,CHOOSE({1,2},Table17[Native],Table17[Name]),2,0)</f>
        <v>Nínglàng Yízú Zìzhìxiàn</v>
      </c>
      <c r="N114" s="15" t="str">
        <f>VLOOKUP(I114,CHOOSE({1,2},Table17[Native],Table17[Name]),2,0)</f>
        <v>Lìjiāng Shì</v>
      </c>
      <c r="O114" s="15" t="str">
        <f t="shared" si="2"/>
        <v>Chanzhanhe Xiang (Lìjiāng Shì)</v>
      </c>
      <c r="P114" s="15" t="str">
        <f t="shared" si="3"/>
        <v>Chanzhanhe Xiang (Lìjiāng Shì)</v>
      </c>
    </row>
    <row r="115" spans="1:16" hidden="1" x14ac:dyDescent="0.25">
      <c r="A115" t="s">
        <v>802</v>
      </c>
      <c r="B115" t="str">
        <f>IF(COUNTIF(A:A,A115)&gt;1,_xlfn.CONCAT(A115," (",N115,")"),A115)</f>
        <v>Chēgŭ Xiāng</v>
      </c>
      <c r="C115" t="str">
        <f>IF(COUNTIF(B:B,B115)&gt;1,_xlfn.CONCAT(A115," (",M115,")"),B115)</f>
        <v>Chēgŭ Xiāng</v>
      </c>
      <c r="D115" t="s">
        <v>803</v>
      </c>
      <c r="E115" t="s">
        <v>7</v>
      </c>
      <c r="F115" t="str">
        <f>_xlfn.CONCAT(D115,", ",H115,", ",I115,", ","云南省")</f>
        <v>车古乡, 红河县, 红河哈尼族彝族自治州, 云南省</v>
      </c>
      <c r="G115">
        <v>12769</v>
      </c>
      <c r="H115" t="s">
        <v>2795</v>
      </c>
      <c r="I115" t="s">
        <v>2792</v>
      </c>
      <c r="J115" t="e">
        <f>VLOOKUP(F115,[1]!china_towns_second__2[[Column1]:[Y]],3,FALSE)</f>
        <v>#N/A</v>
      </c>
      <c r="K115" t="e">
        <f>VLOOKUP(F115,[1]!china_towns_second__2[[Column1]:[Y]],2,FALSE)</f>
        <v>#N/A</v>
      </c>
      <c r="L115" t="s">
        <v>3674</v>
      </c>
      <c r="M115" t="str">
        <f>VLOOKUP(H115,CHOOSE({1,2},Table17[Native],Table17[Name]),2,0)</f>
        <v>Hónghé Xiàn</v>
      </c>
      <c r="N115" s="15" t="str">
        <f>VLOOKUP(I115,CHOOSE({1,2},Table17[Native],Table17[Name]),2,0)</f>
        <v>Hónghé Hānízú Yízú Zìzhìzhōu</v>
      </c>
      <c r="O115" s="15" t="str">
        <f t="shared" si="2"/>
        <v>Chegu Xiang (Hónghé Hānízú Yízú Zìzhìzhōu)</v>
      </c>
      <c r="P115" s="15" t="str">
        <f t="shared" si="3"/>
        <v>Chegu Xiang (Hónghé Hānízú Yízú Zìzhìzhōu)</v>
      </c>
    </row>
    <row r="116" spans="1:16" hidden="1" x14ac:dyDescent="0.25">
      <c r="A116" t="s">
        <v>1594</v>
      </c>
      <c r="B116" t="str">
        <f>IF(COUNTIF(A:A,A116)&gt;1,_xlfn.CONCAT(A116," (",N116,")"),A116)</f>
        <v>Chēnggān Xiāng</v>
      </c>
      <c r="C116" t="str">
        <f>IF(COUNTIF(B:B,B116)&gt;1,_xlfn.CONCAT(A116," (",M116,")"),B116)</f>
        <v>Chēnggān Xiāng</v>
      </c>
      <c r="D116" t="s">
        <v>1595</v>
      </c>
      <c r="E116" t="s">
        <v>7</v>
      </c>
      <c r="F116" t="str">
        <f>_xlfn.CONCAT(D116,", ",H116,", ",I116,", ","云南省")</f>
        <v>称杆乡, 泸水市, 怒江傈僳族自治州, 云南省</v>
      </c>
      <c r="G116">
        <v>19012</v>
      </c>
      <c r="H116" t="s">
        <v>2846</v>
      </c>
      <c r="I116" t="s">
        <v>2842</v>
      </c>
      <c r="J116" t="e">
        <f>VLOOKUP(F116,[1]!china_towns_second__2[[Column1]:[Y]],3,FALSE)</f>
        <v>#N/A</v>
      </c>
      <c r="K116" t="e">
        <f>VLOOKUP(F116,[1]!china_towns_second__2[[Column1]:[Y]],2,FALSE)</f>
        <v>#N/A</v>
      </c>
      <c r="L116" t="s">
        <v>3675</v>
      </c>
      <c r="M116" t="str">
        <f>VLOOKUP(H116,CHOOSE({1,2},Table17[Native],Table17[Name]),2,0)</f>
        <v>Lúshuĭ Shì</v>
      </c>
      <c r="N116" s="15" t="str">
        <f>VLOOKUP(I116,CHOOSE({1,2},Table17[Native],Table17[Name]),2,0)</f>
        <v>Nùjiāng Lìsùzú Zìzhìzhōu</v>
      </c>
      <c r="O116" s="15" t="str">
        <f t="shared" si="2"/>
        <v>Chenggan Xiang (Nùjiāng Lìsùzú Zìzhìzhōu)</v>
      </c>
      <c r="P116" s="15" t="str">
        <f t="shared" si="3"/>
        <v>Chenggan Xiang (Nùjiāng Lìsùzú Zìzhìzhōu)</v>
      </c>
    </row>
    <row r="117" spans="1:16" hidden="1" x14ac:dyDescent="0.25">
      <c r="A117" t="s">
        <v>1312</v>
      </c>
      <c r="B117" t="str">
        <f>IF(COUNTIF(A:A,A117)&gt;1,_xlfn.CONCAT(A117," (",N117,")"),A117)</f>
        <v>Chénghăi Zhèn</v>
      </c>
      <c r="C117" t="str">
        <f>IF(COUNTIF(B:B,B117)&gt;1,_xlfn.CONCAT(A117," (",M117,")"),B117)</f>
        <v>Chénghăi Zhèn</v>
      </c>
      <c r="D117" t="s">
        <v>1313</v>
      </c>
      <c r="E117" t="s">
        <v>11</v>
      </c>
      <c r="F117" t="str">
        <f>_xlfn.CONCAT(D117,", ",H117,", ",I117,", ","云南省")</f>
        <v>程海镇, 永胜县, 丽江市, 云南省</v>
      </c>
      <c r="G117">
        <v>39766</v>
      </c>
      <c r="H117" t="s">
        <v>2828</v>
      </c>
      <c r="I117" t="s">
        <v>2823</v>
      </c>
      <c r="J117">
        <f>VLOOKUP(F117,[1]!china_towns_second__2[[Column1]:[Y]],3,FALSE)</f>
        <v>26.509657226298501</v>
      </c>
      <c r="K117">
        <f>VLOOKUP(F117,[1]!china_towns_second__2[[Column1]:[Y]],2,FALSE)</f>
        <v>100.67326250000001</v>
      </c>
      <c r="L117" t="s">
        <v>3676</v>
      </c>
      <c r="M117" t="str">
        <f>VLOOKUP(H117,CHOOSE({1,2},Table17[Native],Table17[Name]),2,0)</f>
        <v>Yŏngshèng Xiàn</v>
      </c>
      <c r="N117" s="15" t="str">
        <f>VLOOKUP(I117,CHOOSE({1,2},Table17[Native],Table17[Name]),2,0)</f>
        <v>Lìjiāng Shì</v>
      </c>
      <c r="O117" s="15" t="str">
        <f t="shared" si="2"/>
        <v>Chenghai Zhen (Lìjiāng Shì)</v>
      </c>
      <c r="P117" s="15" t="str">
        <f t="shared" si="3"/>
        <v>Chenghai Zhen (Lìjiāng Shì)</v>
      </c>
    </row>
    <row r="118" spans="1:16" hidden="1" x14ac:dyDescent="0.25">
      <c r="A118" t="s">
        <v>804</v>
      </c>
      <c r="B118" t="str">
        <f>IF(COUNTIF(A:A,A118)&gt;1,_xlfn.CONCAT(A118," (",N118,")"),A118)</f>
        <v>Chéngqū Jiēdào</v>
      </c>
      <c r="C118" t="str">
        <f>IF(COUNTIF(B:B,B118)&gt;1,_xlfn.CONCAT(A118," (",M118,")"),B118)</f>
        <v>Chéngqū Jiēdào</v>
      </c>
      <c r="D118" t="s">
        <v>805</v>
      </c>
      <c r="E118" t="s">
        <v>42</v>
      </c>
      <c r="F118" t="str">
        <f>_xlfn.CONCAT(D118,", ",H118,", ",I118,", ","云南省")</f>
        <v>城区街道, 个旧市, 红河哈尼族彝族自治州, 云南省</v>
      </c>
      <c r="G118">
        <v>174329</v>
      </c>
      <c r="H118" t="s">
        <v>2793</v>
      </c>
      <c r="I118" t="s">
        <v>2792</v>
      </c>
      <c r="J118">
        <f>VLOOKUP(F118,[1]!china_towns_second__2[[Column1]:[Y]],3,FALSE)</f>
        <v>23.372869093318599</v>
      </c>
      <c r="K118">
        <f>VLOOKUP(F118,[1]!china_towns_second__2[[Column1]:[Y]],2,FALSE)</f>
        <v>103.15415950000001</v>
      </c>
      <c r="L118" t="s">
        <v>3677</v>
      </c>
      <c r="M118" t="str">
        <f>VLOOKUP(H118,CHOOSE({1,2},Table17[Native],Table17[Name]),2,0)</f>
        <v>Gèjiù Shì</v>
      </c>
      <c r="N118" s="15" t="str">
        <f>VLOOKUP(I118,CHOOSE({1,2},Table17[Native],Table17[Name]),2,0)</f>
        <v>Hónghé Hānízú Yízú Zìzhìzhōu</v>
      </c>
      <c r="O118" s="15" t="str">
        <f t="shared" si="2"/>
        <v>Chengqu Jiedao (Hónghé Hānízú Yízú Zìzhìzhōu)</v>
      </c>
      <c r="P118" s="15" t="str">
        <f t="shared" si="3"/>
        <v>Chengqu Jiedao (Hónghé Hānízú Yízú Zìzhìzhōu)</v>
      </c>
    </row>
    <row r="119" spans="1:16" hidden="1" x14ac:dyDescent="0.25">
      <c r="A119" t="s">
        <v>604</v>
      </c>
      <c r="B119" t="str">
        <f>IF(COUNTIF(A:A,A119)&gt;1,_xlfn.CONCAT(A119," (",N119,")"),A119)</f>
        <v>Chéngzi Zhèn</v>
      </c>
      <c r="C119" t="str">
        <f>IF(COUNTIF(B:B,B119)&gt;1,_xlfn.CONCAT(A119," (",M119,")"),B119)</f>
        <v>Chéngzi Zhèn</v>
      </c>
      <c r="D119" t="s">
        <v>605</v>
      </c>
      <c r="E119" t="s">
        <v>11</v>
      </c>
      <c r="F119" t="str">
        <f>_xlfn.CONCAT(D119,", ",H119,", ",I119,", ","云南省")</f>
        <v>城子镇, 陇川县, 德宏傣族景颇族自治州, 云南省</v>
      </c>
      <c r="G119">
        <v>24768</v>
      </c>
      <c r="H119" t="s">
        <v>2781</v>
      </c>
      <c r="I119" t="s">
        <v>2779</v>
      </c>
      <c r="J119">
        <f>VLOOKUP(F119,[1]!china_towns_second__2[[Column1]:[Y]],3,FALSE)</f>
        <v>24.3660725690753</v>
      </c>
      <c r="K119">
        <f>VLOOKUP(F119,[1]!china_towns_second__2[[Column1]:[Y]],2,FALSE)</f>
        <v>97.944424350000006</v>
      </c>
      <c r="L119" t="s">
        <v>3678</v>
      </c>
      <c r="M119" t="str">
        <f>VLOOKUP(H119,CHOOSE({1,2},Table17[Native],Table17[Name]),2,0)</f>
        <v>Lŏngchuān Xiàn</v>
      </c>
      <c r="N119" s="15" t="str">
        <f>VLOOKUP(I119,CHOOSE({1,2},Table17[Native],Table17[Name]),2,0)</f>
        <v>Déhóng Dăizú Jĭngpōzú Zìzhìzhōu</v>
      </c>
      <c r="O119" s="15" t="str">
        <f t="shared" si="2"/>
        <v>Chengzi Zhen (Déhóng Dăizú Jĭngpōzú Zìzhìzhōu)</v>
      </c>
      <c r="P119" s="15" t="str">
        <f t="shared" si="3"/>
        <v>Chengzi Zhen (Déhóng Dăizú Jĭngpōzú Zìzhìzhōu)</v>
      </c>
    </row>
    <row r="120" spans="1:16" hidden="1" x14ac:dyDescent="0.25">
      <c r="A120" t="s">
        <v>1058</v>
      </c>
      <c r="B120" t="str">
        <f>IF(COUNTIF(A:A,A120)&gt;1,_xlfn.CONCAT(A120," (",N120,")"),A120)</f>
        <v>Chìjiù Zhèn</v>
      </c>
      <c r="C120" t="str">
        <f>IF(COUNTIF(B:B,B120)&gt;1,_xlfn.CONCAT(A120," (",M120,")"),B120)</f>
        <v>Chìjiù Zhèn</v>
      </c>
      <c r="D120" t="s">
        <v>1059</v>
      </c>
      <c r="E120" t="s">
        <v>11</v>
      </c>
      <c r="F120" t="str">
        <f>_xlfn.CONCAT(D120,", ",H120,", ",I120,", ","云南省")</f>
        <v>赤鹫镇, 富民县, 昆明市, 云南省</v>
      </c>
      <c r="G120">
        <v>8984</v>
      </c>
      <c r="H120" t="s">
        <v>2811</v>
      </c>
      <c r="I120" t="s">
        <v>2807</v>
      </c>
      <c r="J120">
        <f>VLOOKUP(F120,[1]!china_towns_second__2[[Column1]:[Y]],3,FALSE)</f>
        <v>25.376071242638702</v>
      </c>
      <c r="K120">
        <f>VLOOKUP(F120,[1]!china_towns_second__2[[Column1]:[Y]],2,FALSE)</f>
        <v>102.5440847</v>
      </c>
      <c r="L120" t="s">
        <v>3679</v>
      </c>
      <c r="M120" t="str">
        <f>VLOOKUP(H120,CHOOSE({1,2},Table17[Native],Table17[Name]),2,0)</f>
        <v>Fùmín Xiàn</v>
      </c>
      <c r="N120" s="15" t="str">
        <f>VLOOKUP(I120,CHOOSE({1,2},Table17[Native],Table17[Name]),2,0)</f>
        <v>Kūnmíng Shì</v>
      </c>
      <c r="O120" s="15" t="str">
        <f t="shared" si="2"/>
        <v>Chijiu Zhen (Kūnmíng Shì)</v>
      </c>
      <c r="P120" s="15" t="str">
        <f t="shared" si="3"/>
        <v>Chijiu Zhen (Kūnmíng Shì)</v>
      </c>
    </row>
    <row r="121" spans="1:16" hidden="1" x14ac:dyDescent="0.25">
      <c r="A121" t="s">
        <v>2484</v>
      </c>
      <c r="B121" t="str">
        <f>IF(COUNTIF(A:A,A121)&gt;1,_xlfn.CONCAT(A121," (",N121,")"),A121)</f>
        <v>Chìshuĭyuán Zhèn</v>
      </c>
      <c r="C121" t="str">
        <f>IF(COUNTIF(B:B,B121)&gt;1,_xlfn.CONCAT(A121," (",M121,")"),B121)</f>
        <v>Chìshuĭyuán Zhèn</v>
      </c>
      <c r="D121" t="s">
        <v>2485</v>
      </c>
      <c r="E121" t="s">
        <v>11</v>
      </c>
      <c r="F121" t="str">
        <f>_xlfn.CONCAT(D121,", ",H121,", ",I121,", ","云南省")</f>
        <v>赤水源镇, 镇雄县, 昭通市, 云南省</v>
      </c>
      <c r="G121">
        <v>58002</v>
      </c>
      <c r="H121" t="s">
        <v>2910</v>
      </c>
      <c r="I121" t="s">
        <v>2899</v>
      </c>
      <c r="J121">
        <f>VLOOKUP(F121,[1]!china_towns_second__2[[Column1]:[Y]],3,FALSE)</f>
        <v>27.518114390941999</v>
      </c>
      <c r="K121">
        <f>VLOOKUP(F121,[1]!china_towns_second__2[[Column1]:[Y]],2,FALSE)</f>
        <v>104.8339835</v>
      </c>
      <c r="L121" t="s">
        <v>3680</v>
      </c>
      <c r="M121" t="str">
        <f>VLOOKUP(H121,CHOOSE({1,2},Table17[Native],Table17[Name]),2,0)</f>
        <v>Zhènxióng Xiàn</v>
      </c>
      <c r="N121" s="15" t="str">
        <f>VLOOKUP(I121,CHOOSE({1,2},Table17[Native],Table17[Name]),2,0)</f>
        <v>Zhāotōng Shì</v>
      </c>
      <c r="O121" s="15" t="str">
        <f t="shared" si="2"/>
        <v>Chishuiyuan Zhen (Zhāotōng Shì)</v>
      </c>
      <c r="P121" s="15" t="str">
        <f t="shared" si="3"/>
        <v>Chishuiyuan Zhen (Zhāotōng Shì)</v>
      </c>
    </row>
    <row r="122" spans="1:16" hidden="1" x14ac:dyDescent="0.25">
      <c r="A122" t="s">
        <v>1452</v>
      </c>
      <c r="B122" t="str">
        <f>IF(COUNTIF(A:A,A122)&gt;1,_xlfn.CONCAT(A122," (",N122,")"),A122)</f>
        <v>Chónggăng Xiāng</v>
      </c>
      <c r="C122" t="str">
        <f>IF(COUNTIF(B:B,B122)&gt;1,_xlfn.CONCAT(A122," (",M122,")"),B122)</f>
        <v>Chónggăng Xiāng</v>
      </c>
      <c r="D122" t="s">
        <v>1453</v>
      </c>
      <c r="E122" t="s">
        <v>7</v>
      </c>
      <c r="F122" t="str">
        <f>_xlfn.CONCAT(D122,", ",H122,", ",I122,", ","云南省")</f>
        <v>崇岗乡, 永德县, 临沧市, 云南省</v>
      </c>
      <c r="G122">
        <v>34723</v>
      </c>
      <c r="H122" t="s">
        <v>2837</v>
      </c>
      <c r="I122" t="s">
        <v>2831</v>
      </c>
      <c r="J122" t="e">
        <f>VLOOKUP(F122,[1]!china_towns_second__2[[Column1]:[Y]],3,FALSE)</f>
        <v>#N/A</v>
      </c>
      <c r="K122" t="e">
        <f>VLOOKUP(F122,[1]!china_towns_second__2[[Column1]:[Y]],2,FALSE)</f>
        <v>#N/A</v>
      </c>
      <c r="L122" t="s">
        <v>3681</v>
      </c>
      <c r="M122" t="str">
        <f>VLOOKUP(H122,CHOOSE({1,2},Table17[Native],Table17[Name]),2,0)</f>
        <v>Yŏngdé Xiàn</v>
      </c>
      <c r="N122" s="15" t="str">
        <f>VLOOKUP(I122,CHOOSE({1,2},Table17[Native],Table17[Name]),2,0)</f>
        <v>Líncāng Shì</v>
      </c>
      <c r="O122" s="15" t="str">
        <f t="shared" si="2"/>
        <v>Chonggang Xiang (Líncāng Shì)</v>
      </c>
      <c r="P122" s="15" t="str">
        <f t="shared" si="3"/>
        <v>Chonggang Xiang (Líncāng Shì)</v>
      </c>
    </row>
    <row r="123" spans="1:16" hidden="1" x14ac:dyDescent="0.25">
      <c r="A123" t="s">
        <v>2486</v>
      </c>
      <c r="B123" t="str">
        <f>IF(COUNTIF(A:A,A123)&gt;1,_xlfn.CONCAT(A123," (",N123,")"),A123)</f>
        <v>Chóngxī Zhèn</v>
      </c>
      <c r="C123" t="str">
        <f>IF(COUNTIF(B:B,B123)&gt;1,_xlfn.CONCAT(A123," (",M123,")"),B123)</f>
        <v>Chóngxī Zhèn</v>
      </c>
      <c r="D123" t="s">
        <v>2487</v>
      </c>
      <c r="E123" t="s">
        <v>11</v>
      </c>
      <c r="F123" t="str">
        <f>_xlfn.CONCAT(D123,", ",H123,", ",I123,", ","云南省")</f>
        <v>崇溪镇, 巧家县, 昭通市, 云南省</v>
      </c>
      <c r="G123">
        <v>32998</v>
      </c>
      <c r="H123" t="s">
        <v>2902</v>
      </c>
      <c r="I123" t="s">
        <v>2899</v>
      </c>
      <c r="J123">
        <f>VLOOKUP(F123,[1]!china_towns_second__2[[Column1]:[Y]],3,FALSE)</f>
        <v>26.861718184341498</v>
      </c>
      <c r="K123">
        <f>VLOOKUP(F123,[1]!china_towns_second__2[[Column1]:[Y]],2,FALSE)</f>
        <v>103.11096379999999</v>
      </c>
      <c r="L123" t="s">
        <v>3682</v>
      </c>
      <c r="M123" t="str">
        <f>VLOOKUP(H123,CHOOSE({1,2},Table17[Native],Table17[Name]),2,0)</f>
        <v>Qiăojiā Xiàn</v>
      </c>
      <c r="N123" s="15" t="str">
        <f>VLOOKUP(I123,CHOOSE({1,2},Table17[Native],Table17[Name]),2,0)</f>
        <v>Zhāotōng Shì</v>
      </c>
      <c r="O123" s="15" t="str">
        <f t="shared" si="2"/>
        <v>Chongxi Zhen (Zhāotōng Shì)</v>
      </c>
      <c r="P123" s="15" t="str">
        <f t="shared" si="3"/>
        <v>Chongxi Zhen (Zhāotōng Shì)</v>
      </c>
    </row>
    <row r="124" spans="1:16" hidden="1" x14ac:dyDescent="0.25">
      <c r="A124" t="s">
        <v>1315</v>
      </c>
      <c r="B124" t="str">
        <f>IF(COUNTIF(A:A,A124)&gt;1,_xlfn.CONCAT(A124," (",N124,")"),A124)</f>
        <v>Chuánfáng Lìsùzú Dăizú Xiāng</v>
      </c>
      <c r="C124" t="str">
        <f>IF(COUNTIF(B:B,B124)&gt;1,_xlfn.CONCAT(A124," (",M124,")"),B124)</f>
        <v>Chuánfáng Lìsùzú Dăizú Xiāng</v>
      </c>
      <c r="D124" t="s">
        <v>1316</v>
      </c>
      <c r="E124" t="s">
        <v>7</v>
      </c>
      <c r="F124" t="str">
        <f>_xlfn.CONCAT(D124,", ",H124,", ",I124,", ","云南省")</f>
        <v>船房傈僳族傣族乡, 华坪县, 丽江市, 云南省</v>
      </c>
      <c r="G124">
        <v>8314</v>
      </c>
      <c r="H124" t="s">
        <v>2826</v>
      </c>
      <c r="I124" t="s">
        <v>2823</v>
      </c>
      <c r="J124" t="e">
        <f>VLOOKUP(F124,[1]!china_towns_second__2[[Column1]:[Y]],3,FALSE)</f>
        <v>#N/A</v>
      </c>
      <c r="K124" t="e">
        <f>VLOOKUP(F124,[1]!china_towns_second__2[[Column1]:[Y]],2,FALSE)</f>
        <v>#N/A</v>
      </c>
      <c r="L124" t="s">
        <v>3683</v>
      </c>
      <c r="M124" t="str">
        <f>VLOOKUP(H124,CHOOSE({1,2},Table17[Native],Table17[Name]),2,0)</f>
        <v>Huápíng Xiàn</v>
      </c>
      <c r="N124" s="15" t="str">
        <f>VLOOKUP(I124,CHOOSE({1,2},Table17[Native],Table17[Name]),2,0)</f>
        <v>Lìjiāng Shì</v>
      </c>
      <c r="O124" s="15" t="str">
        <f t="shared" si="2"/>
        <v>Chuanfang Lisuzu Daizu Xiang (Lìjiāng Shì)</v>
      </c>
      <c r="P124" s="15" t="str">
        <f t="shared" si="3"/>
        <v>Chuanfang Lisuzu Daizu Xiang (Lìjiāng Shì)</v>
      </c>
    </row>
    <row r="125" spans="1:16" hidden="1" x14ac:dyDescent="0.25">
      <c r="A125" t="s">
        <v>2332</v>
      </c>
      <c r="B125" t="str">
        <f>IF(COUNTIF(A:A,A125)&gt;1,_xlfn.CONCAT(A125," (",N125,")"),A125)</f>
        <v>Chūnhé Jiēdào</v>
      </c>
      <c r="C125" t="str">
        <f>IF(COUNTIF(B:B,B125)&gt;1,_xlfn.CONCAT(A125," (",M125,")"),B125)</f>
        <v>Chūnhé Jiēdào</v>
      </c>
      <c r="D125" t="s">
        <v>2333</v>
      </c>
      <c r="E125" t="s">
        <v>42</v>
      </c>
      <c r="F125" t="str">
        <f>_xlfn.CONCAT(D125,", ",H125,", ",I125,", ","云南省")</f>
        <v>春和街道, 红塔区, 玉溪市, 云南省</v>
      </c>
      <c r="G125">
        <v>59653</v>
      </c>
      <c r="H125" t="s">
        <v>2891</v>
      </c>
      <c r="I125" t="s">
        <v>2888</v>
      </c>
      <c r="J125">
        <f>VLOOKUP(F125,[1]!china_towns_second__2[[Column1]:[Y]],3,FALSE)</f>
        <v>24.438239292386399</v>
      </c>
      <c r="K125">
        <f>VLOOKUP(F125,[1]!china_towns_second__2[[Column1]:[Y]],2,FALSE)</f>
        <v>102.4531999</v>
      </c>
      <c r="L125" t="s">
        <v>3684</v>
      </c>
      <c r="M125" t="str">
        <f>VLOOKUP(H125,CHOOSE({1,2},Table17[Native],Table17[Name]),2,0)</f>
        <v>Hóngtă Qū</v>
      </c>
      <c r="N125" s="15" t="str">
        <f>VLOOKUP(I125,CHOOSE({1,2},Table17[Native],Table17[Name]),2,0)</f>
        <v>Yùxī Shì</v>
      </c>
      <c r="O125" s="15" t="str">
        <f t="shared" si="2"/>
        <v>Chunhe Jiedao (Yùxī Shì)</v>
      </c>
      <c r="P125" s="15" t="str">
        <f t="shared" si="3"/>
        <v>Chunhe Jiedao (Yùxī Shì)</v>
      </c>
    </row>
    <row r="126" spans="1:16" hidden="1" x14ac:dyDescent="0.25">
      <c r="A126" t="s">
        <v>1061</v>
      </c>
      <c r="B126" t="str">
        <f>IF(COUNTIF(A:A,A126)&gt;1,_xlfn.CONCAT(A126," (",N126,")"),A126)</f>
        <v>Cíbà Jiēdào</v>
      </c>
      <c r="C126" t="str">
        <f>IF(COUNTIF(B:B,B126)&gt;1,_xlfn.CONCAT(A126," (",M126,")"),B126)</f>
        <v>Cíbà Jiēdào</v>
      </c>
      <c r="D126" t="s">
        <v>1062</v>
      </c>
      <c r="E126" t="s">
        <v>42</v>
      </c>
      <c r="F126" t="str">
        <f>_xlfn.CONCAT(D126,", ",H126,", ",I126,", ","云南省")</f>
        <v>茨坝街道, 盘龙区, 昆明市, 云南省</v>
      </c>
      <c r="G126">
        <v>62887</v>
      </c>
      <c r="H126" t="s">
        <v>2815</v>
      </c>
      <c r="I126" t="s">
        <v>2807</v>
      </c>
      <c r="J126">
        <f>VLOOKUP(F126,[1]!china_towns_second__2[[Column1]:[Y]],3,FALSE)</f>
        <v>25.162262026238299</v>
      </c>
      <c r="K126">
        <f>VLOOKUP(F126,[1]!china_towns_second__2[[Column1]:[Y]],2,FALSE)</f>
        <v>102.7409116</v>
      </c>
      <c r="L126" t="s">
        <v>3685</v>
      </c>
      <c r="M126" t="str">
        <f>VLOOKUP(H126,CHOOSE({1,2},Table17[Native],Table17[Name]),2,0)</f>
        <v>Pánlóng Qū</v>
      </c>
      <c r="N126" s="15" t="str">
        <f>VLOOKUP(I126,CHOOSE({1,2},Table17[Native],Table17[Name]),2,0)</f>
        <v>Kūnmíng Shì</v>
      </c>
      <c r="O126" s="15" t="str">
        <f t="shared" si="2"/>
        <v>Ciba Jiedao (Kūnmíng Shì)</v>
      </c>
      <c r="P126" s="15" t="str">
        <f t="shared" si="3"/>
        <v>Ciba Jiedao (Kūnmíng Shì)</v>
      </c>
    </row>
    <row r="127" spans="1:16" hidden="1" x14ac:dyDescent="0.25">
      <c r="A127" t="s">
        <v>1597</v>
      </c>
      <c r="B127" t="str">
        <f>IF(COUNTIF(A:A,A127)&gt;1,_xlfn.CONCAT(A127," (",N127,")"),A127)</f>
        <v>Cíkāi Zhèn</v>
      </c>
      <c r="C127" t="str">
        <f>IF(COUNTIF(B:B,B127)&gt;1,_xlfn.CONCAT(A127," (",M127,")"),B127)</f>
        <v>Cíkāi Zhèn</v>
      </c>
      <c r="D127" t="s">
        <v>1598</v>
      </c>
      <c r="E127" t="s">
        <v>11</v>
      </c>
      <c r="F127" t="str">
        <f>_xlfn.CONCAT(D127,", ",H127,", ",I127,", ","云南省")</f>
        <v>茨开镇, 贡山独龙族怒族自治县, 怒江傈僳族自治州, 云南省</v>
      </c>
      <c r="G127">
        <v>14478</v>
      </c>
      <c r="H127" t="s">
        <v>2844</v>
      </c>
      <c r="I127" t="s">
        <v>2842</v>
      </c>
      <c r="J127">
        <f>VLOOKUP(F127,[1]!china_towns_second__2[[Column1]:[Y]],3,FALSE)</f>
        <v>27.726902480174701</v>
      </c>
      <c r="K127">
        <f>VLOOKUP(F127,[1]!china_towns_second__2[[Column1]:[Y]],2,FALSE)</f>
        <v>98.627813700000004</v>
      </c>
      <c r="L127" t="s">
        <v>3686</v>
      </c>
      <c r="M127" t="str">
        <f>VLOOKUP(H127,CHOOSE({1,2},Table17[Native],Table17[Name]),2,0)</f>
        <v>Gòngshān Dúlóngzú Nùzú Zìzhìxiàn</v>
      </c>
      <c r="N127" s="15" t="str">
        <f>VLOOKUP(I127,CHOOSE({1,2},Table17[Native],Table17[Name]),2,0)</f>
        <v>Nùjiāng Lìsùzú Zìzhìzhōu</v>
      </c>
      <c r="O127" s="15" t="str">
        <f t="shared" si="2"/>
        <v>Cikai Zhen (Nùjiāng Lìsùzú Zìzhìzhōu)</v>
      </c>
      <c r="P127" s="15" t="str">
        <f t="shared" si="3"/>
        <v>Cikai Zhen (Nùjiāng Lìsùzú Zìzhìzhōu)</v>
      </c>
    </row>
    <row r="128" spans="1:16" hidden="1" x14ac:dyDescent="0.25">
      <c r="A128" t="s">
        <v>1871</v>
      </c>
      <c r="B128" t="str">
        <f>IF(COUNTIF(A:A,A128)&gt;1,_xlfn.CONCAT(A128," (",N128,")"),A128)</f>
        <v>Cíyíng Zhèn</v>
      </c>
      <c r="C128" t="str">
        <f>IF(COUNTIF(B:B,B128)&gt;1,_xlfn.CONCAT(A128," (",M128,")"),B128)</f>
        <v>Cíyíng Zhèn</v>
      </c>
      <c r="D128" t="s">
        <v>1872</v>
      </c>
      <c r="E128" t="s">
        <v>11</v>
      </c>
      <c r="F128" t="str">
        <f>_xlfn.CONCAT(D128,", ",H128,", ",I128,", ","云南省")</f>
        <v>茨营镇, 麒麟区, 曲靖市, 云南省</v>
      </c>
      <c r="G128">
        <v>29060</v>
      </c>
      <c r="H128" t="s">
        <v>2866</v>
      </c>
      <c r="I128" t="s">
        <v>2860</v>
      </c>
      <c r="J128">
        <f>VLOOKUP(F128,[1]!china_towns_second__2[[Column1]:[Y]],3,FALSE)</f>
        <v>25.367370622048401</v>
      </c>
      <c r="K128">
        <f>VLOOKUP(F128,[1]!china_towns_second__2[[Column1]:[Y]],2,FALSE)</f>
        <v>103.9639698</v>
      </c>
      <c r="L128" t="s">
        <v>3687</v>
      </c>
      <c r="M128" t="str">
        <f>VLOOKUP(H128,CHOOSE({1,2},Table17[Native],Table17[Name]),2,0)</f>
        <v>Qílín Qū</v>
      </c>
      <c r="N128" s="15" t="str">
        <f>VLOOKUP(I128,CHOOSE({1,2},Table17[Native],Table17[Name]),2,0)</f>
        <v>Qŭjìng Shì</v>
      </c>
      <c r="O128" s="15" t="str">
        <f t="shared" si="2"/>
        <v>Ciying Zhen (Qŭjìng Shì)</v>
      </c>
      <c r="P128" s="15" t="str">
        <f t="shared" si="3"/>
        <v>Ciying Zhen (Qŭjìng Shì)</v>
      </c>
    </row>
    <row r="129" spans="1:16" hidden="1" x14ac:dyDescent="0.25">
      <c r="A129" t="s">
        <v>2488</v>
      </c>
      <c r="B129" t="str">
        <f>IF(COUNTIF(A:A,A129)&gt;1,_xlfn.CONCAT(A129," (",N129,")"),A129)</f>
        <v>Cíyuàn Huízú Xiāng</v>
      </c>
      <c r="C129" t="str">
        <f>IF(COUNTIF(B:B,B129)&gt;1,_xlfn.CONCAT(A129," (",M129,")"),B129)</f>
        <v>Cíyuàn Huízú Xiāng</v>
      </c>
      <c r="D129" t="s">
        <v>2489</v>
      </c>
      <c r="E129" t="s">
        <v>7</v>
      </c>
      <c r="F129" t="str">
        <f>_xlfn.CONCAT(D129,", ",H129,", ",I129,", ","云南省")</f>
        <v>茨院回族乡, 鲁甸县, 昭通市, 云南省</v>
      </c>
      <c r="G129">
        <v>26296</v>
      </c>
      <c r="H129" t="s">
        <v>2901</v>
      </c>
      <c r="I129" t="s">
        <v>2899</v>
      </c>
      <c r="J129" t="e">
        <f>VLOOKUP(F129,[1]!china_towns_second__2[[Column1]:[Y]],3,FALSE)</f>
        <v>#N/A</v>
      </c>
      <c r="K129" t="e">
        <f>VLOOKUP(F129,[1]!china_towns_second__2[[Column1]:[Y]],2,FALSE)</f>
        <v>#N/A</v>
      </c>
      <c r="L129" t="s">
        <v>3688</v>
      </c>
      <c r="M129" t="str">
        <f>VLOOKUP(H129,CHOOSE({1,2},Table17[Native],Table17[Name]),2,0)</f>
        <v>Lŭdiàn Xiàn</v>
      </c>
      <c r="N129" s="15" t="str">
        <f>VLOOKUP(I129,CHOOSE({1,2},Table17[Native],Table17[Name]),2,0)</f>
        <v>Zhāotōng Shì</v>
      </c>
      <c r="O129" s="15" t="str">
        <f t="shared" si="2"/>
        <v>Ciyuan Huizu Xiang (Zhāotōng Shì)</v>
      </c>
      <c r="P129" s="15" t="str">
        <f t="shared" si="3"/>
        <v>Ciyuan Huizu Xiang (Zhāotōng Shì)</v>
      </c>
    </row>
    <row r="130" spans="1:16" hidden="1" x14ac:dyDescent="0.25">
      <c r="A130" t="s">
        <v>1063</v>
      </c>
      <c r="B130" t="str">
        <f>IF(COUNTIF(A:A,A130)&gt;1,_xlfn.CONCAT(A130," (",N130,")"),A130)</f>
        <v>Cuìhuá Zhèn (Kūnmíng Shì)</v>
      </c>
      <c r="C130" t="str">
        <f>IF(COUNTIF(B:B,B130)&gt;1,_xlfn.CONCAT(A130," (",M130,")"),B130)</f>
        <v>Cuìhuá Zhèn (Kūnmíng Shì)</v>
      </c>
      <c r="D130" t="s">
        <v>1064</v>
      </c>
      <c r="E130" t="s">
        <v>11</v>
      </c>
      <c r="F130" t="str">
        <f>_xlfn.CONCAT(D130,", ",H130,", ",I130,", ","云南省")</f>
        <v>翠华镇, 禄劝彝族苗族自治县, 昆明市, 云南省</v>
      </c>
      <c r="G130">
        <v>32597</v>
      </c>
      <c r="H130" t="s">
        <v>2814</v>
      </c>
      <c r="I130" t="s">
        <v>2807</v>
      </c>
      <c r="J130">
        <f>VLOOKUP(F130,[1]!china_towns_second__2[[Column1]:[Y]],3,FALSE)</f>
        <v>25.6562668954152</v>
      </c>
      <c r="K130">
        <f>VLOOKUP(F130,[1]!china_towns_second__2[[Column1]:[Y]],2,FALSE)</f>
        <v>102.6176495</v>
      </c>
      <c r="L130" t="s">
        <v>3689</v>
      </c>
      <c r="M130" t="str">
        <f>VLOOKUP(H130,CHOOSE({1,2},Table17[Native],Table17[Name]),2,0)</f>
        <v>Lùquàn Yízú Miáozú Zìzhìxiàn</v>
      </c>
      <c r="N130" s="15" t="str">
        <f>VLOOKUP(I130,CHOOSE({1,2},Table17[Native],Table17[Name]),2,0)</f>
        <v>Kūnmíng Shì</v>
      </c>
      <c r="O130" s="15" t="str">
        <f t="shared" ref="O130:O193" si="4">_xlfn.CONCAT(L130," (",N130,")")</f>
        <v>Cuihua Zhen (Kunming Shi) (Kūnmíng Shì)</v>
      </c>
      <c r="P130" s="15" t="str">
        <f t="shared" ref="P130:P193" si="5">IF(COUNTIF(O:O,O130)&gt;1,_xlfn.CONCAT(L130," (",M130,")"),O130)</f>
        <v>Cuihua Zhen (Kunming Shi) (Kūnmíng Shì)</v>
      </c>
    </row>
    <row r="131" spans="1:16" hidden="1" x14ac:dyDescent="0.25">
      <c r="A131" t="s">
        <v>1063</v>
      </c>
      <c r="B131" t="str">
        <f>IF(COUNTIF(A:A,A131)&gt;1,_xlfn.CONCAT(A131," (",N131,")"),A131)</f>
        <v>Cuìhuá Zhèn (Zhāotōng Shì)</v>
      </c>
      <c r="C131" t="str">
        <f>IF(COUNTIF(B:B,B131)&gt;1,_xlfn.CONCAT(A131," (",M131,")"),B131)</f>
        <v>Cuìhuá Zhèn (Zhāotōng Shì)</v>
      </c>
      <c r="D131" t="s">
        <v>1064</v>
      </c>
      <c r="E131" t="s">
        <v>11</v>
      </c>
      <c r="F131" t="str">
        <f>_xlfn.CONCAT(D131,", ",H131,", ",I131,", ","云南省")</f>
        <v>翠华镇, 大关县, 昭通市, 云南省</v>
      </c>
      <c r="G131">
        <v>42262</v>
      </c>
      <c r="H131" t="s">
        <v>2900</v>
      </c>
      <c r="I131" t="s">
        <v>2899</v>
      </c>
      <c r="J131">
        <f>VLOOKUP(F131,[1]!china_towns_second__2[[Column1]:[Y]],3,FALSE)</f>
        <v>27.780018770907699</v>
      </c>
      <c r="K131">
        <f>VLOOKUP(F131,[1]!china_towns_second__2[[Column1]:[Y]],2,FALSE)</f>
        <v>103.89160560000001</v>
      </c>
      <c r="L131" t="s">
        <v>3690</v>
      </c>
      <c r="M131" t="str">
        <f>VLOOKUP(H131,CHOOSE({1,2},Table17[Native],Table17[Name]),2,0)</f>
        <v>Dàguān Xiàn</v>
      </c>
      <c r="N131" s="15" t="str">
        <f>VLOOKUP(I131,CHOOSE({1,2},Table17[Native],Table17[Name]),2,0)</f>
        <v>Zhāotōng Shì</v>
      </c>
      <c r="O131" s="15" t="str">
        <f t="shared" si="4"/>
        <v>Cuihua Zhen (Zhaotong Shi) (Zhāotōng Shì)</v>
      </c>
      <c r="P131" s="15" t="str">
        <f t="shared" si="5"/>
        <v>Cuihua Zhen (Zhaotong Shi) (Zhāotōng Shì)</v>
      </c>
    </row>
    <row r="132" spans="1:16" hidden="1" x14ac:dyDescent="0.25">
      <c r="A132" t="s">
        <v>1318</v>
      </c>
      <c r="B132" t="str">
        <f>IF(COUNTIF(A:A,A132)&gt;1,_xlfn.CONCAT(A132," (",N132,")"),A132)</f>
        <v>Cuìyù Lìsùzú Pŭmĭzú Xiāng</v>
      </c>
      <c r="C132" t="str">
        <f>IF(COUNTIF(B:B,B132)&gt;1,_xlfn.CONCAT(A132," (",M132,")"),B132)</f>
        <v>Cuìyù Lìsùzú Pŭmĭzú Xiāng</v>
      </c>
      <c r="D132" t="s">
        <v>1319</v>
      </c>
      <c r="E132" t="s">
        <v>7</v>
      </c>
      <c r="F132" t="str">
        <f>_xlfn.CONCAT(D132,", ",H132,", ",I132,", ","云南省")</f>
        <v>翠玉傈僳族普米族乡, 宁蒗彝族自治县, 丽江市, 云南省</v>
      </c>
      <c r="G132">
        <v>16914</v>
      </c>
      <c r="H132" t="s">
        <v>2827</v>
      </c>
      <c r="I132" t="s">
        <v>2823</v>
      </c>
      <c r="J132" t="e">
        <f>VLOOKUP(F132,[1]!china_towns_second__2[[Column1]:[Y]],3,FALSE)</f>
        <v>#N/A</v>
      </c>
      <c r="K132" t="e">
        <f>VLOOKUP(F132,[1]!china_towns_second__2[[Column1]:[Y]],2,FALSE)</f>
        <v>#N/A</v>
      </c>
      <c r="L132" t="s">
        <v>3691</v>
      </c>
      <c r="M132" t="str">
        <f>VLOOKUP(H132,CHOOSE({1,2},Table17[Native],Table17[Name]),2,0)</f>
        <v>Nínglàng Yízú Zìzhìxiàn</v>
      </c>
      <c r="N132" s="15" t="str">
        <f>VLOOKUP(I132,CHOOSE({1,2},Table17[Native],Table17[Name]),2,0)</f>
        <v>Lìjiāng Shì</v>
      </c>
      <c r="O132" s="15" t="str">
        <f t="shared" si="4"/>
        <v>Cuiyu Lisuzu Pumizu Xiang (Lìjiāng Shì)</v>
      </c>
      <c r="P132" s="15" t="str">
        <f t="shared" si="5"/>
        <v>Cuiyu Lisuzu Pumizu Xiang (Lìjiāng Shì)</v>
      </c>
    </row>
    <row r="133" spans="1:16" hidden="1" x14ac:dyDescent="0.25">
      <c r="A133" t="s">
        <v>1320</v>
      </c>
      <c r="B133" t="str">
        <f>IF(COUNTIF(A:A,A133)&gt;1,_xlfn.CONCAT(A133," (",N133,")"),A133)</f>
        <v>Dà'ān Yízú Nàxīzú Xiāng</v>
      </c>
      <c r="C133" t="str">
        <f>IF(COUNTIF(B:B,B133)&gt;1,_xlfn.CONCAT(A133," (",M133,")"),B133)</f>
        <v>Dà'ān Yízú Nàxīzú Xiāng</v>
      </c>
      <c r="D133" t="s">
        <v>1321</v>
      </c>
      <c r="E133" t="s">
        <v>7</v>
      </c>
      <c r="F133" t="str">
        <f>_xlfn.CONCAT(D133,", ",H133,", ",I133,", ","云南省")</f>
        <v>大安彝族纳西族乡, 永胜县, 丽江市, 云南省</v>
      </c>
      <c r="G133">
        <v>15942</v>
      </c>
      <c r="H133" t="s">
        <v>2828</v>
      </c>
      <c r="I133" t="s">
        <v>2823</v>
      </c>
      <c r="J133" t="e">
        <f>VLOOKUP(F133,[1]!china_towns_second__2[[Column1]:[Y]],3,FALSE)</f>
        <v>#N/A</v>
      </c>
      <c r="K133" t="e">
        <f>VLOOKUP(F133,[1]!china_towns_second__2[[Column1]:[Y]],2,FALSE)</f>
        <v>#N/A</v>
      </c>
      <c r="L133" t="s">
        <v>3692</v>
      </c>
      <c r="M133" t="str">
        <f>VLOOKUP(H133,CHOOSE({1,2},Table17[Native],Table17[Name]),2,0)</f>
        <v>Yŏngshèng Xiàn</v>
      </c>
      <c r="N133" s="15" t="str">
        <f>VLOOKUP(I133,CHOOSE({1,2},Table17[Native],Table17[Name]),2,0)</f>
        <v>Lìjiāng Shì</v>
      </c>
      <c r="O133" s="15" t="str">
        <f t="shared" si="4"/>
        <v>Da'an Yizu Naxizu Xiang (Lìjiāng Shì)</v>
      </c>
      <c r="P133" s="15" t="str">
        <f t="shared" si="5"/>
        <v>Da'an Yizu Naxizu Xiang (Lìjiāng Shì)</v>
      </c>
    </row>
    <row r="134" spans="1:16" hidden="1" x14ac:dyDescent="0.25">
      <c r="A134" t="s">
        <v>1066</v>
      </c>
      <c r="B134" t="str">
        <f>IF(COUNTIF(A:A,A134)&gt;1,_xlfn.CONCAT(A134," (",N134,")"),A134)</f>
        <v>Dàbănqiáo Jiēdào</v>
      </c>
      <c r="C134" t="str">
        <f>IF(COUNTIF(B:B,B134)&gt;1,_xlfn.CONCAT(A134," (",M134,")"),B134)</f>
        <v>Dàbănqiáo Jiēdào</v>
      </c>
      <c r="D134" t="s">
        <v>1067</v>
      </c>
      <c r="E134" t="s">
        <v>42</v>
      </c>
      <c r="F134" t="str">
        <f>_xlfn.CONCAT(D134,", ",H134,", ",I134,", ","云南省")</f>
        <v>大板桥街道, 官渡区, 昆明市, 云南省</v>
      </c>
      <c r="G134">
        <v>70349</v>
      </c>
      <c r="H134" t="s">
        <v>2812</v>
      </c>
      <c r="I134" t="s">
        <v>2807</v>
      </c>
      <c r="J134">
        <f>VLOOKUP(F134,[1]!china_towns_second__2[[Column1]:[Y]],3,FALSE)</f>
        <v>25.110127642520201</v>
      </c>
      <c r="K134">
        <f>VLOOKUP(F134,[1]!china_towns_second__2[[Column1]:[Y]],2,FALSE)</f>
        <v>102.9484904</v>
      </c>
      <c r="L134" t="s">
        <v>3693</v>
      </c>
      <c r="M134" t="str">
        <f>VLOOKUP(H134,CHOOSE({1,2},Table17[Native],Table17[Name]),2,0)</f>
        <v>Guāndù Qū</v>
      </c>
      <c r="N134" s="15" t="str">
        <f>VLOOKUP(I134,CHOOSE({1,2},Table17[Native],Table17[Name]),2,0)</f>
        <v>Kūnmíng Shì</v>
      </c>
      <c r="O134" s="15" t="str">
        <f t="shared" si="4"/>
        <v>Dabanqiao Jiedao (Kūnmíng Shì)</v>
      </c>
      <c r="P134" s="15" t="str">
        <f t="shared" si="5"/>
        <v>Dabanqiao Jiedao (Kūnmíng Shì)</v>
      </c>
    </row>
    <row r="135" spans="1:16" hidden="1" x14ac:dyDescent="0.25">
      <c r="A135" t="s">
        <v>402</v>
      </c>
      <c r="B135" t="str">
        <f>IF(COUNTIF(A:A,A135)&gt;1,_xlfn.CONCAT(A135," (",N135,")"),A135)</f>
        <v>Dàcāng Zhèn</v>
      </c>
      <c r="C135" t="str">
        <f>IF(COUNTIF(B:B,B135)&gt;1,_xlfn.CONCAT(A135," (",M135,")"),B135)</f>
        <v>Dàcāng Zhèn</v>
      </c>
      <c r="D135" t="s">
        <v>403</v>
      </c>
      <c r="E135" t="s">
        <v>11</v>
      </c>
      <c r="F135" t="str">
        <f>_xlfn.CONCAT(D135,", ",H135,", ",I135,", ","云南省")</f>
        <v>大仓镇, 巍山彝族回族自治县, 大理白族自治州, 云南省</v>
      </c>
      <c r="G135">
        <v>49667</v>
      </c>
      <c r="H135" t="s">
        <v>2772</v>
      </c>
      <c r="I135" t="s">
        <v>2763</v>
      </c>
      <c r="J135">
        <f>VLOOKUP(F135,[1]!china_towns_second__2[[Column1]:[Y]],3,FALSE)</f>
        <v>25.389437042880399</v>
      </c>
      <c r="K135">
        <f>VLOOKUP(F135,[1]!china_towns_second__2[[Column1]:[Y]],2,FALSE)</f>
        <v>100.237448</v>
      </c>
      <c r="L135" t="s">
        <v>3694</v>
      </c>
      <c r="M135" t="str">
        <f>VLOOKUP(H135,CHOOSE({1,2},Table17[Native],Table17[Name]),2,0)</f>
        <v>Wēishān Yízú Huízú Zìzhìxiàn</v>
      </c>
      <c r="N135" s="15" t="str">
        <f>VLOOKUP(I135,CHOOSE({1,2},Table17[Native],Table17[Name]),2,0)</f>
        <v>Dàlĭ Báizú Zìzhìzhōu</v>
      </c>
      <c r="O135" s="15" t="str">
        <f t="shared" si="4"/>
        <v>Dacang Zhen (Dàlĭ Báizú Zìzhìzhōu)</v>
      </c>
      <c r="P135" s="15" t="str">
        <f t="shared" si="5"/>
        <v>Dacang Zhen (Dàlĭ Báizú Zìzhìzhōu)</v>
      </c>
    </row>
    <row r="136" spans="1:16" hidden="1" x14ac:dyDescent="0.25">
      <c r="A136" t="s">
        <v>607</v>
      </c>
      <c r="B136" t="str">
        <f>IF(COUNTIF(A:A,A136)&gt;1,_xlfn.CONCAT(A136," (",N136,")"),A136)</f>
        <v>Dàchăng Xiāng</v>
      </c>
      <c r="C136" t="str">
        <f>IF(COUNTIF(B:B,B136)&gt;1,_xlfn.CONCAT(A136," (",M136,")"),B136)</f>
        <v>Dàchăng Xiāng</v>
      </c>
      <c r="D136" t="s">
        <v>608</v>
      </c>
      <c r="E136" t="s">
        <v>7</v>
      </c>
      <c r="F136" t="str">
        <f>_xlfn.CONCAT(D136,", ",H136,", ",I136,", ","云南省")</f>
        <v>大厂乡, 梁河县, 德宏傣族景颇族自治州, 云南省</v>
      </c>
      <c r="G136">
        <v>8184</v>
      </c>
      <c r="H136" t="s">
        <v>2780</v>
      </c>
      <c r="I136" t="s">
        <v>2779</v>
      </c>
      <c r="J136" t="e">
        <f>VLOOKUP(F136,[1]!china_towns_second__2[[Column1]:[Y]],3,FALSE)</f>
        <v>#N/A</v>
      </c>
      <c r="K136" t="e">
        <f>VLOOKUP(F136,[1]!china_towns_second__2[[Column1]:[Y]],2,FALSE)</f>
        <v>#N/A</v>
      </c>
      <c r="L136" t="s">
        <v>3695</v>
      </c>
      <c r="M136" t="str">
        <f>VLOOKUP(H136,CHOOSE({1,2},Table17[Native],Table17[Name]),2,0)</f>
        <v>Liánghé Xiàn</v>
      </c>
      <c r="N136" s="15" t="str">
        <f>VLOOKUP(I136,CHOOSE({1,2},Table17[Native],Table17[Name]),2,0)</f>
        <v>Déhóng Dăizú Jĭngpōzú Zìzhìzhōu</v>
      </c>
      <c r="O136" s="15" t="str">
        <f t="shared" si="4"/>
        <v>Dachang Xiang (Déhóng Dăizú Jĭngpōzú Zìzhìzhōu)</v>
      </c>
      <c r="P136" s="15" t="str">
        <f t="shared" si="5"/>
        <v>Dachang Xiang (Déhóng Dăizú Jĭngpōzú Zìzhìzhōu)</v>
      </c>
    </row>
    <row r="137" spans="1:16" hidden="1" x14ac:dyDescent="0.25">
      <c r="A137" t="s">
        <v>1667</v>
      </c>
      <c r="B137" t="str">
        <f>IF(COUNTIF(A:A,A137)&gt;1,_xlfn.CONCAT(A137," (",N137,")"),A137)</f>
        <v>Dàcháo Shāndōng Zhèn</v>
      </c>
      <c r="C137" t="str">
        <f>IF(COUNTIF(B:B,B137)&gt;1,_xlfn.CONCAT(A137," (",M137,")"),B137)</f>
        <v>Dàcháo Shāndōng Zhèn</v>
      </c>
      <c r="D137" t="s">
        <v>1668</v>
      </c>
      <c r="E137" t="s">
        <v>11</v>
      </c>
      <c r="F137" t="str">
        <f>_xlfn.CONCAT(D137,", ",H137,", ",I137,", ","云南省")</f>
        <v>大朝山东镇, 景东彝族自治县, 普洱市, 云南省</v>
      </c>
      <c r="G137">
        <v>27806</v>
      </c>
      <c r="H137" t="s">
        <v>2850</v>
      </c>
      <c r="I137" t="s">
        <v>2848</v>
      </c>
      <c r="J137">
        <f>VLOOKUP(F137,[1]!china_towns_second__2[[Column1]:[Y]],3,FALSE)</f>
        <v>24.1030957076566</v>
      </c>
      <c r="K137">
        <f>VLOOKUP(F137,[1]!china_towns_second__2[[Column1]:[Y]],2,FALSE)</f>
        <v>100.5621934</v>
      </c>
      <c r="L137" t="s">
        <v>3696</v>
      </c>
      <c r="M137" t="str">
        <f>VLOOKUP(H137,CHOOSE({1,2},Table17[Native],Table17[Name]),2,0)</f>
        <v>Jĭngdōng Yízú Zìzhìxiàn</v>
      </c>
      <c r="N137" s="15" t="str">
        <f>VLOOKUP(I137,CHOOSE({1,2},Table17[Native],Table17[Name]),2,0)</f>
        <v>Pŭ'ĕr Shì</v>
      </c>
      <c r="O137" s="15" t="str">
        <f t="shared" si="4"/>
        <v>Dachao Shandong Zhen (Pŭ'ĕr Shì)</v>
      </c>
      <c r="P137" s="15" t="str">
        <f t="shared" si="5"/>
        <v>Dachao Shandong Zhen (Pŭ'ĕr Shì)</v>
      </c>
    </row>
    <row r="138" spans="1:16" hidden="1" x14ac:dyDescent="0.25">
      <c r="A138" t="s">
        <v>1454</v>
      </c>
      <c r="B138" t="str">
        <f>IF(COUNTIF(A:A,A138)&gt;1,_xlfn.CONCAT(A138," (",N138,")"),A138)</f>
        <v>Dàcháo Shānxī Zhèn</v>
      </c>
      <c r="C138" t="str">
        <f>IF(COUNTIF(B:B,B138)&gt;1,_xlfn.CONCAT(A138," (",M138,")"),B138)</f>
        <v>Dàcháo Shānxī Zhèn</v>
      </c>
      <c r="D138" t="s">
        <v>1455</v>
      </c>
      <c r="E138" t="s">
        <v>11</v>
      </c>
      <c r="F138" t="str">
        <f>_xlfn.CONCAT(D138,", ",H138,", ",I138,", ","云南省")</f>
        <v>大朝山西镇, 云县, 临沧市, 云南省</v>
      </c>
      <c r="G138">
        <v>17533</v>
      </c>
      <c r="H138" t="s">
        <v>2838</v>
      </c>
      <c r="I138" t="s">
        <v>2831</v>
      </c>
      <c r="J138">
        <f>VLOOKUP(F138,[1]!china_towns_second__2[[Column1]:[Y]],3,FALSE)</f>
        <v>24.034888644007101</v>
      </c>
      <c r="K138">
        <f>VLOOKUP(F138,[1]!china_towns_second__2[[Column1]:[Y]],2,FALSE)</f>
        <v>100.31548309999999</v>
      </c>
      <c r="L138" t="s">
        <v>3697</v>
      </c>
      <c r="M138" t="str">
        <f>VLOOKUP(H138,CHOOSE({1,2},Table17[Native],Table17[Name]),2,0)</f>
        <v>Yún Xiàn</v>
      </c>
      <c r="N138" s="15" t="str">
        <f>VLOOKUP(I138,CHOOSE({1,2},Table17[Native],Table17[Name]),2,0)</f>
        <v>Líncāng Shì</v>
      </c>
      <c r="O138" s="15" t="str">
        <f t="shared" si="4"/>
        <v>Dachao Shanxi Zhen (Líncāng Shì)</v>
      </c>
      <c r="P138" s="15" t="str">
        <f t="shared" si="5"/>
        <v>Dachao Shanxi Zhen (Líncāng Shì)</v>
      </c>
    </row>
    <row r="139" spans="1:16" hidden="1" x14ac:dyDescent="0.25">
      <c r="A139" t="s">
        <v>180</v>
      </c>
      <c r="B139" t="str">
        <f>IF(COUNTIF(A:A,A139)&gt;1,_xlfn.CONCAT(A139," (",N139,")"),A139)</f>
        <v>Dàdìjī Xiāng</v>
      </c>
      <c r="C139" t="str">
        <f>IF(COUNTIF(B:B,B139)&gt;1,_xlfn.CONCAT(A139," (",M139,")"),B139)</f>
        <v>Dàdìjī Xiāng</v>
      </c>
      <c r="D139" t="s">
        <v>181</v>
      </c>
      <c r="E139" t="s">
        <v>7</v>
      </c>
      <c r="F139" t="str">
        <f>_xlfn.CONCAT(D139,", ",H139,", ",I139,", ","云南省")</f>
        <v>大地基乡, 楚雄市, 楚雄彝族自治州, 云南省</v>
      </c>
      <c r="G139">
        <v>10832</v>
      </c>
      <c r="H139" t="s">
        <v>2751</v>
      </c>
      <c r="I139" t="s">
        <v>2750</v>
      </c>
      <c r="J139" t="e">
        <f>VLOOKUP(F139,[1]!china_towns_second__2[[Column1]:[Y]],3,FALSE)</f>
        <v>#N/A</v>
      </c>
      <c r="K139" t="e">
        <f>VLOOKUP(F139,[1]!china_towns_second__2[[Column1]:[Y]],2,FALSE)</f>
        <v>#N/A</v>
      </c>
      <c r="L139" t="s">
        <v>3698</v>
      </c>
      <c r="M139" t="str">
        <f>VLOOKUP(H139,CHOOSE({1,2},Table17[Native],Table17[Name]),2,0)</f>
        <v>Chŭxióng Shì</v>
      </c>
      <c r="N139" s="15" t="str">
        <f>VLOOKUP(I139,CHOOSE({1,2},Table17[Native],Table17[Name]),2,0)</f>
        <v>Chŭxióng Yízú Zìzhìzhōu</v>
      </c>
      <c r="O139" s="15" t="str">
        <f t="shared" si="4"/>
        <v>Dadiji Xiang (Chŭxióng Yízú Zìzhìzhōu)</v>
      </c>
      <c r="P139" s="15" t="str">
        <f t="shared" si="5"/>
        <v>Dadiji Xiang (Chŭxióng Yízú Zìzhìzhōu)</v>
      </c>
    </row>
    <row r="140" spans="1:16" hidden="1" x14ac:dyDescent="0.25">
      <c r="A140" t="s">
        <v>1322</v>
      </c>
      <c r="B140" t="str">
        <f>IF(COUNTIF(A:A,A140)&gt;1,_xlfn.CONCAT(A140," (",N140,")"),A140)</f>
        <v>Dàdōng Xiāng</v>
      </c>
      <c r="C140" t="str">
        <f>IF(COUNTIF(B:B,B140)&gt;1,_xlfn.CONCAT(A140," (",M140,")"),B140)</f>
        <v>Dàdōng Xiāng</v>
      </c>
      <c r="D140" t="s">
        <v>1323</v>
      </c>
      <c r="E140" t="s">
        <v>7</v>
      </c>
      <c r="F140" t="str">
        <f>_xlfn.CONCAT(D140,", ",H140,", ",I140,", ","云南省")</f>
        <v>大东乡, 古城区, 丽江市, 云南省</v>
      </c>
      <c r="G140">
        <v>6261</v>
      </c>
      <c r="H140" t="s">
        <v>2824</v>
      </c>
      <c r="I140" t="s">
        <v>2823</v>
      </c>
      <c r="J140" t="e">
        <f>VLOOKUP(F140,[1]!china_towns_second__2[[Column1]:[Y]],3,FALSE)</f>
        <v>#N/A</v>
      </c>
      <c r="K140" t="e">
        <f>VLOOKUP(F140,[1]!china_towns_second__2[[Column1]:[Y]],2,FALSE)</f>
        <v>#N/A</v>
      </c>
      <c r="L140" t="s">
        <v>3699</v>
      </c>
      <c r="M140" t="str">
        <f>VLOOKUP(H140,CHOOSE({1,2},Table17[Native],Table17[Name]),2,0)</f>
        <v>Gŭchéng Qū</v>
      </c>
      <c r="N140" s="15" t="str">
        <f>VLOOKUP(I140,CHOOSE({1,2},Table17[Native],Table17[Name]),2,0)</f>
        <v>Lìjiāng Shì</v>
      </c>
      <c r="O140" s="15" t="str">
        <f t="shared" si="4"/>
        <v>Dadong Xiang (Lìjiāng Shì)</v>
      </c>
      <c r="P140" s="15" t="str">
        <f t="shared" si="5"/>
        <v>Dadong Xiang (Lìjiāng Shì)</v>
      </c>
    </row>
    <row r="141" spans="1:16" hidden="1" x14ac:dyDescent="0.25">
      <c r="A141" t="s">
        <v>2259</v>
      </c>
      <c r="B141" t="str">
        <f>IF(COUNTIF(A:A,A141)&gt;1,_xlfn.CONCAT(A141," (",N141,")"),A141)</f>
        <v>Dàdùgăng Xiāng</v>
      </c>
      <c r="C141" t="str">
        <f>IF(COUNTIF(B:B,B141)&gt;1,_xlfn.CONCAT(A141," (",M141,")"),B141)</f>
        <v>Dàdùgăng Xiāng</v>
      </c>
      <c r="D141" t="s">
        <v>2260</v>
      </c>
      <c r="E141" t="s">
        <v>7</v>
      </c>
      <c r="F141" t="str">
        <f>_xlfn.CONCAT(D141,", ",H141,", ",I141,", ","云南省")</f>
        <v>大渡岗乡, 景洪市, 西双版纳傣族自治州, 云南省</v>
      </c>
      <c r="G141">
        <v>19599</v>
      </c>
      <c r="H141" t="s">
        <v>2884</v>
      </c>
      <c r="I141" t="s">
        <v>2883</v>
      </c>
      <c r="J141" t="e">
        <f>VLOOKUP(F141,[1]!china_towns_second__2[[Column1]:[Y]],3,FALSE)</f>
        <v>#N/A</v>
      </c>
      <c r="K141" t="e">
        <f>VLOOKUP(F141,[1]!china_towns_second__2[[Column1]:[Y]],2,FALSE)</f>
        <v>#N/A</v>
      </c>
      <c r="L141" t="s">
        <v>3700</v>
      </c>
      <c r="M141" t="str">
        <f>VLOOKUP(H141,CHOOSE({1,2},Table17[Native],Table17[Name]),2,0)</f>
        <v>Jĭnghóng Shì</v>
      </c>
      <c r="N141" s="15" t="str">
        <f>VLOOKUP(I141,CHOOSE({1,2},Table17[Native],Table17[Name]),2,0)</f>
        <v>Xīshuāngbănnà Dăizú Zìzhìzhōu</v>
      </c>
      <c r="O141" s="15" t="str">
        <f t="shared" si="4"/>
        <v>Dadugang Xiang (Xīshuāngbănnà Dăizú Zìzhìzhōu)</v>
      </c>
      <c r="P141" s="15" t="str">
        <f t="shared" si="5"/>
        <v>Dadugang Xiang (Xīshuāngbănnà Dăizú Zìzhìzhōu)</v>
      </c>
    </row>
    <row r="142" spans="1:16" hidden="1" x14ac:dyDescent="0.25">
      <c r="A142" t="s">
        <v>1068</v>
      </c>
      <c r="B142" t="str">
        <f>IF(COUNTIF(A:A,A142)&gt;1,_xlfn.CONCAT(A142," (",N142,")"),A142)</f>
        <v>Dàguān Jiēdào</v>
      </c>
      <c r="C142" t="str">
        <f>IF(COUNTIF(B:B,B142)&gt;1,_xlfn.CONCAT(A142," (",M142,")"),B142)</f>
        <v>Dàguān Jiēdào</v>
      </c>
      <c r="D142" t="s">
        <v>1069</v>
      </c>
      <c r="E142" t="s">
        <v>42</v>
      </c>
      <c r="F142" t="str">
        <f>_xlfn.CONCAT(D142,", ",H142,", ",I142,", ","云南省")</f>
        <v>大观街道, 五华区, 昆明市, 云南省</v>
      </c>
      <c r="G142">
        <v>55418</v>
      </c>
      <c r="H142" t="s">
        <v>2818</v>
      </c>
      <c r="I142" t="s">
        <v>2807</v>
      </c>
      <c r="J142">
        <f>VLOOKUP(F142,[1]!china_towns_second__2[[Column1]:[Y]],3,FALSE)</f>
        <v>25.041074125668398</v>
      </c>
      <c r="K142">
        <f>VLOOKUP(F142,[1]!china_towns_second__2[[Column1]:[Y]],2,FALSE)</f>
        <v>102.6967044</v>
      </c>
      <c r="L142" t="s">
        <v>3701</v>
      </c>
      <c r="M142" t="str">
        <f>VLOOKUP(H142,CHOOSE({1,2},Table17[Native],Table17[Name]),2,0)</f>
        <v>Wŭhuá Qū</v>
      </c>
      <c r="N142" s="15" t="str">
        <f>VLOOKUP(I142,CHOOSE({1,2},Table17[Native],Table17[Name]),2,0)</f>
        <v>Kūnmíng Shì</v>
      </c>
      <c r="O142" s="15" t="str">
        <f t="shared" si="4"/>
        <v>Daguan Jiedao (Kūnmíng Shì)</v>
      </c>
      <c r="P142" s="15" t="str">
        <f t="shared" si="5"/>
        <v>Daguan Jiedao (Kūnmíng Shì)</v>
      </c>
    </row>
    <row r="143" spans="1:16" hidden="1" x14ac:dyDescent="0.25">
      <c r="A143" t="s">
        <v>182</v>
      </c>
      <c r="B143" t="str">
        <f>IF(COUNTIF(A:A,A143)&gt;1,_xlfn.CONCAT(A143," (",N143,")"),A143)</f>
        <v>Dàguòkŏu Xiāng</v>
      </c>
      <c r="C143" t="str">
        <f>IF(COUNTIF(B:B,B143)&gt;1,_xlfn.CONCAT(A143," (",M143,")"),B143)</f>
        <v>Dàguòkŏu Xiāng</v>
      </c>
      <c r="D143" t="s">
        <v>183</v>
      </c>
      <c r="E143" t="s">
        <v>7</v>
      </c>
      <c r="F143" t="str">
        <f>_xlfn.CONCAT(D143,", ",H143,", ",I143,", ","云南省")</f>
        <v>大过口乡, 楚雄市, 楚雄彝族自治州, 云南省</v>
      </c>
      <c r="G143">
        <v>15327</v>
      </c>
      <c r="H143" t="s">
        <v>2751</v>
      </c>
      <c r="I143" t="s">
        <v>2750</v>
      </c>
      <c r="J143" t="e">
        <f>VLOOKUP(F143,[1]!china_towns_second__2[[Column1]:[Y]],3,FALSE)</f>
        <v>#N/A</v>
      </c>
      <c r="K143" t="e">
        <f>VLOOKUP(F143,[1]!china_towns_second__2[[Column1]:[Y]],2,FALSE)</f>
        <v>#N/A</v>
      </c>
      <c r="L143" t="s">
        <v>3702</v>
      </c>
      <c r="M143" t="str">
        <f>VLOOKUP(H143,CHOOSE({1,2},Table17[Native],Table17[Name]),2,0)</f>
        <v>Chŭxióng Shì</v>
      </c>
      <c r="N143" s="15" t="str">
        <f>VLOOKUP(I143,CHOOSE({1,2},Table17[Native],Table17[Name]),2,0)</f>
        <v>Chŭxióng Yízú Zìzhìzhōu</v>
      </c>
      <c r="O143" s="15" t="str">
        <f t="shared" si="4"/>
        <v>Daguokou Xiang (Chŭxióng Yízú Zìzhìzhōu)</v>
      </c>
      <c r="P143" s="15" t="str">
        <f t="shared" si="5"/>
        <v>Daguokou Xiang (Chŭxióng Yízú Zìzhìzhōu)</v>
      </c>
    </row>
    <row r="144" spans="1:16" hidden="1" x14ac:dyDescent="0.25">
      <c r="A144" t="s">
        <v>1873</v>
      </c>
      <c r="B144" t="str">
        <f>IF(COUNTIF(A:A,A144)&gt;1,_xlfn.CONCAT(A144," (",N144,")"),A144)</f>
        <v>Dàhăi Xiāng</v>
      </c>
      <c r="C144" t="str">
        <f>IF(COUNTIF(B:B,B144)&gt;1,_xlfn.CONCAT(A144," (",M144,")"),B144)</f>
        <v>Dàhăi Xiāng</v>
      </c>
      <c r="D144" t="s">
        <v>1874</v>
      </c>
      <c r="E144" t="s">
        <v>7</v>
      </c>
      <c r="F144" t="str">
        <f>_xlfn.CONCAT(D144,", ",H144,", ",I144,", ","云南省")</f>
        <v>大海乡, 会泽县, 曲靖市, 云南省</v>
      </c>
      <c r="G144">
        <v>24106</v>
      </c>
      <c r="H144" t="s">
        <v>2862</v>
      </c>
      <c r="I144" t="s">
        <v>2860</v>
      </c>
      <c r="J144" t="e">
        <f>VLOOKUP(F144,[1]!china_towns_second__2[[Column1]:[Y]],3,FALSE)</f>
        <v>#N/A</v>
      </c>
      <c r="K144" t="e">
        <f>VLOOKUP(F144,[1]!china_towns_second__2[[Column1]:[Y]],2,FALSE)</f>
        <v>#N/A</v>
      </c>
      <c r="L144" t="s">
        <v>3703</v>
      </c>
      <c r="M144" t="str">
        <f>VLOOKUP(H144,CHOOSE({1,2},Table17[Native],Table17[Name]),2,0)</f>
        <v>Huìzé Xiàn</v>
      </c>
      <c r="N144" s="15" t="str">
        <f>VLOOKUP(I144,CHOOSE({1,2},Table17[Native],Table17[Name]),2,0)</f>
        <v>Qŭjìng Shì</v>
      </c>
      <c r="O144" s="15" t="str">
        <f t="shared" si="4"/>
        <v>Dahai Xiang (Qŭjìng Shì)</v>
      </c>
      <c r="P144" s="15" t="str">
        <f t="shared" si="5"/>
        <v>Dahai Xiang (Qŭjìng Shì)</v>
      </c>
    </row>
    <row r="145" spans="1:16" hidden="1" x14ac:dyDescent="0.25">
      <c r="A145" t="s">
        <v>1876</v>
      </c>
      <c r="B145" t="str">
        <f>IF(COUNTIF(A:A,A145)&gt;1,_xlfn.CONCAT(A145," (",N145,")"),A145)</f>
        <v>Dàhé Zhèn</v>
      </c>
      <c r="C145" t="str">
        <f>IF(COUNTIF(B:B,B145)&gt;1,_xlfn.CONCAT(A145," (",M145,")"),B145)</f>
        <v>Dàhé Zhèn</v>
      </c>
      <c r="D145" t="s">
        <v>1877</v>
      </c>
      <c r="E145" t="s">
        <v>11</v>
      </c>
      <c r="F145" t="str">
        <f>_xlfn.CONCAT(D145,", ",H145,", ",I145,", ","云南省")</f>
        <v>大河镇, 富源县, 曲靖市, 云南省</v>
      </c>
      <c r="G145">
        <v>77198</v>
      </c>
      <c r="H145" t="s">
        <v>2861</v>
      </c>
      <c r="I145" t="s">
        <v>2860</v>
      </c>
      <c r="J145">
        <f>VLOOKUP(F145,[1]!china_towns_second__2[[Column1]:[Y]],3,FALSE)</f>
        <v>25.5576070485</v>
      </c>
      <c r="K145">
        <f>VLOOKUP(F145,[1]!china_towns_second__2[[Column1]:[Y]],2,FALSE)</f>
        <v>104.3096544</v>
      </c>
      <c r="L145" t="s">
        <v>3704</v>
      </c>
      <c r="M145" t="str">
        <f>VLOOKUP(H145,CHOOSE({1,2},Table17[Native],Table17[Name]),2,0)</f>
        <v>Fùyuán Xiàn</v>
      </c>
      <c r="N145" s="15" t="str">
        <f>VLOOKUP(I145,CHOOSE({1,2},Table17[Native],Table17[Name]),2,0)</f>
        <v>Qŭjìng Shì</v>
      </c>
      <c r="O145" s="15" t="str">
        <f t="shared" si="4"/>
        <v>Dahe Zhen (Qŭjìng Shì)</v>
      </c>
      <c r="P145" s="15" t="str">
        <f t="shared" si="5"/>
        <v>Dahe Zhen (Qŭjìng Shì)</v>
      </c>
    </row>
    <row r="146" spans="1:16" hidden="1" x14ac:dyDescent="0.25">
      <c r="A146" t="s">
        <v>806</v>
      </c>
      <c r="B146" t="str">
        <f>IF(COUNTIF(A:A,A146)&gt;1,_xlfn.CONCAT(A146," (",N146,")"),A146)</f>
        <v>Dàhēishān Zhèn</v>
      </c>
      <c r="C146" t="str">
        <f>IF(COUNTIF(B:B,B146)&gt;1,_xlfn.CONCAT(A146," (",M146,")"),B146)</f>
        <v>Dàhēishān Zhèn</v>
      </c>
      <c r="D146" t="s">
        <v>807</v>
      </c>
      <c r="E146" t="s">
        <v>11</v>
      </c>
      <c r="F146" t="str">
        <f>_xlfn.CONCAT(D146,", ",H146,", ",I146,", ","云南省")</f>
        <v>大黑山镇, 绿春县, 红河哈尼族彝族自治州, 云南省</v>
      </c>
      <c r="G146">
        <v>19881</v>
      </c>
      <c r="H146" t="s">
        <v>2799</v>
      </c>
      <c r="I146" t="s">
        <v>2792</v>
      </c>
      <c r="J146">
        <f>VLOOKUP(F146,[1]!china_towns_second__2[[Column1]:[Y]],3,FALSE)</f>
        <v>22.8372403395283</v>
      </c>
      <c r="K146">
        <f>VLOOKUP(F146,[1]!china_towns_second__2[[Column1]:[Y]],2,FALSE)</f>
        <v>102.00070270000001</v>
      </c>
      <c r="L146" t="s">
        <v>3705</v>
      </c>
      <c r="M146" t="str">
        <f>VLOOKUP(H146,CHOOSE({1,2},Table17[Native],Table17[Name]),2,0)</f>
        <v>Lǜchūn Xiàn</v>
      </c>
      <c r="N146" s="15" t="str">
        <f>VLOOKUP(I146,CHOOSE({1,2},Table17[Native],Table17[Name]),2,0)</f>
        <v>Hónghé Hānízú Yízú Zìzhìzhōu</v>
      </c>
      <c r="O146" s="15" t="str">
        <f t="shared" si="4"/>
        <v>Daheishan Zhen (Hónghé Hānízú Yízú Zìzhìzhōu)</v>
      </c>
      <c r="P146" s="15" t="str">
        <f t="shared" si="5"/>
        <v>Daheishan Zhen (Hónghé Hānízú Yízú Zìzhìzhōu)</v>
      </c>
    </row>
    <row r="147" spans="1:16" hidden="1" x14ac:dyDescent="0.25">
      <c r="A147" t="s">
        <v>184</v>
      </c>
      <c r="B147" t="str">
        <f>IF(COUNTIF(A:A,A147)&gt;1,_xlfn.CONCAT(A147," (",N147,")"),A147)</f>
        <v>Dàhékŏu Xiāng</v>
      </c>
      <c r="C147" t="str">
        <f>IF(COUNTIF(B:B,B147)&gt;1,_xlfn.CONCAT(A147," (",M147,")"),B147)</f>
        <v>Dàhékŏu Xiāng</v>
      </c>
      <c r="D147" t="s">
        <v>185</v>
      </c>
      <c r="E147" t="s">
        <v>7</v>
      </c>
      <c r="F147" t="str">
        <f>_xlfn.CONCAT(D147,", ",H147,", ",I147,", ","云南省")</f>
        <v>大河口乡, 姚安县, 楚雄彝族自治州, 云南省</v>
      </c>
      <c r="G147">
        <v>7448</v>
      </c>
      <c r="H147" t="s">
        <v>2758</v>
      </c>
      <c r="I147" t="s">
        <v>2750</v>
      </c>
      <c r="J147" t="e">
        <f>VLOOKUP(F147,[1]!china_towns_second__2[[Column1]:[Y]],3,FALSE)</f>
        <v>#N/A</v>
      </c>
      <c r="K147" t="e">
        <f>VLOOKUP(F147,[1]!china_towns_second__2[[Column1]:[Y]],2,FALSE)</f>
        <v>#N/A</v>
      </c>
      <c r="L147" t="s">
        <v>3706</v>
      </c>
      <c r="M147" t="str">
        <f>VLOOKUP(H147,CHOOSE({1,2},Table17[Native],Table17[Name]),2,0)</f>
        <v>Yáo'ān Xiàn</v>
      </c>
      <c r="N147" s="15" t="str">
        <f>VLOOKUP(I147,CHOOSE({1,2},Table17[Native],Table17[Name]),2,0)</f>
        <v>Chŭxióng Yízú Zìzhìzhōu</v>
      </c>
      <c r="O147" s="15" t="str">
        <f t="shared" si="4"/>
        <v>Dahekou Xiang (Chŭxióng Yízú Zìzhìzhōu)</v>
      </c>
      <c r="P147" s="15" t="str">
        <f t="shared" si="5"/>
        <v>Dahekou Xiang (Chŭxióng Yízú Zìzhìzhōu)</v>
      </c>
    </row>
    <row r="148" spans="1:16" hidden="1" x14ac:dyDescent="0.25">
      <c r="A148" t="s">
        <v>1879</v>
      </c>
      <c r="B148" t="str">
        <f>IF(COUNTIF(A:A,A148)&gt;1,_xlfn.CONCAT(A148," (",N148,")"),A148)</f>
        <v>Dàibŭ Zhèn</v>
      </c>
      <c r="C148" t="str">
        <f>IF(COUNTIF(B:B,B148)&gt;1,_xlfn.CONCAT(A148," (",M148,")"),B148)</f>
        <v>Dàibŭ Zhèn</v>
      </c>
      <c r="D148" t="s">
        <v>1880</v>
      </c>
      <c r="E148" t="s">
        <v>11</v>
      </c>
      <c r="F148" t="str">
        <f>_xlfn.CONCAT(D148,", ",H148,", ",I148,", ","云南省")</f>
        <v>待补镇, 会泽县, 曲靖市, 云南省</v>
      </c>
      <c r="G148">
        <v>40779</v>
      </c>
      <c r="H148" t="s">
        <v>2862</v>
      </c>
      <c r="I148" t="s">
        <v>2860</v>
      </c>
      <c r="J148">
        <f>VLOOKUP(F148,[1]!china_towns_second__2[[Column1]:[Y]],3,FALSE)</f>
        <v>26.1779097878184</v>
      </c>
      <c r="K148">
        <f>VLOOKUP(F148,[1]!china_towns_second__2[[Column1]:[Y]],2,FALSE)</f>
        <v>103.3786082</v>
      </c>
      <c r="L148" t="s">
        <v>3707</v>
      </c>
      <c r="M148" t="str">
        <f>VLOOKUP(H148,CHOOSE({1,2},Table17[Native],Table17[Name]),2,0)</f>
        <v>Huìzé Xiàn</v>
      </c>
      <c r="N148" s="15" t="str">
        <f>VLOOKUP(I148,CHOOSE({1,2},Table17[Native],Table17[Name]),2,0)</f>
        <v>Qŭjìng Shì</v>
      </c>
      <c r="O148" s="15" t="str">
        <f t="shared" si="4"/>
        <v>Daibu Zhen (Qŭjìng Shì)</v>
      </c>
      <c r="P148" s="15" t="str">
        <f t="shared" si="5"/>
        <v>Daibu Zhen (Qŭjìng Shì)</v>
      </c>
    </row>
    <row r="149" spans="1:16" hidden="1" x14ac:dyDescent="0.25">
      <c r="A149" t="s">
        <v>2334</v>
      </c>
      <c r="B149" t="str">
        <f>IF(COUNTIF(A:A,A149)&gt;1,_xlfn.CONCAT(A149," (",N149,")"),A149)</f>
        <v>Dàjiē Jiēdào</v>
      </c>
      <c r="C149" t="str">
        <f>IF(COUNTIF(B:B,B149)&gt;1,_xlfn.CONCAT(A149," (",M149,")"),B149)</f>
        <v>Dàjiē Jiēdào</v>
      </c>
      <c r="D149" t="s">
        <v>2335</v>
      </c>
      <c r="E149" t="s">
        <v>42</v>
      </c>
      <c r="F149" t="str">
        <f>_xlfn.CONCAT(D149,", ",H149,", ",I149,", ","云南省")</f>
        <v>大街街道, 江川区, 玉溪市, 云南省</v>
      </c>
      <c r="G149">
        <v>86283</v>
      </c>
      <c r="H149" t="s">
        <v>2893</v>
      </c>
      <c r="I149" t="s">
        <v>2888</v>
      </c>
      <c r="J149">
        <f>VLOOKUP(F149,[1]!china_towns_second__2[[Column1]:[Y]],3,FALSE)</f>
        <v>24.270632070679898</v>
      </c>
      <c r="K149">
        <f>VLOOKUP(F149,[1]!china_towns_second__2[[Column1]:[Y]],2,FALSE)</f>
        <v>102.7491177</v>
      </c>
      <c r="L149" t="s">
        <v>3708</v>
      </c>
      <c r="M149" t="str">
        <f>VLOOKUP(H149,CHOOSE({1,2},Table17[Native],Table17[Name]),2,0)</f>
        <v>Jiāngchuān Qū</v>
      </c>
      <c r="N149" s="15" t="str">
        <f>VLOOKUP(I149,CHOOSE({1,2},Table17[Native],Table17[Name]),2,0)</f>
        <v>Yùxī Shì</v>
      </c>
      <c r="O149" s="15" t="str">
        <f t="shared" si="4"/>
        <v>Dajie Jiedao (Yùxī Shì)</v>
      </c>
      <c r="P149" s="15" t="str">
        <f t="shared" si="5"/>
        <v>Dajie Jiedao (Yùxī Shì)</v>
      </c>
    </row>
    <row r="150" spans="1:16" hidden="1" x14ac:dyDescent="0.25">
      <c r="A150" t="s">
        <v>1669</v>
      </c>
      <c r="B150" t="str">
        <f>IF(COUNTIF(A:A,A150)&gt;1,_xlfn.CONCAT(A150," (",N150,")"),A150)</f>
        <v>Dàjiē Zhèn</v>
      </c>
      <c r="C150" t="str">
        <f>IF(COUNTIF(B:B,B150)&gt;1,_xlfn.CONCAT(A150," (",M150,")"),B150)</f>
        <v>Dàjiē Zhèn</v>
      </c>
      <c r="D150" t="s">
        <v>1670</v>
      </c>
      <c r="E150" t="s">
        <v>11</v>
      </c>
      <c r="F150" t="str">
        <f>_xlfn.CONCAT(D150,", ",H150,", ",I150,", ","云南省")</f>
        <v>大街镇, 景东彝族自治县, 普洱市, 云南省</v>
      </c>
      <c r="G150">
        <v>22562</v>
      </c>
      <c r="H150" t="s">
        <v>2850</v>
      </c>
      <c r="I150" t="s">
        <v>2848</v>
      </c>
      <c r="J150">
        <f>VLOOKUP(F150,[1]!china_towns_second__2[[Column1]:[Y]],3,FALSE)</f>
        <v>24.372564658507098</v>
      </c>
      <c r="K150">
        <f>VLOOKUP(F150,[1]!china_towns_second__2[[Column1]:[Y]],2,FALSE)</f>
        <v>101.0632231</v>
      </c>
      <c r="L150" t="s">
        <v>3709</v>
      </c>
      <c r="M150" t="str">
        <f>VLOOKUP(H150,CHOOSE({1,2},Table17[Native],Table17[Name]),2,0)</f>
        <v>Jĭngdōng Yízú Zìzhìxiàn</v>
      </c>
      <c r="N150" s="15" t="str">
        <f>VLOOKUP(I150,CHOOSE({1,2},Table17[Native],Table17[Name]),2,0)</f>
        <v>Pŭ'ĕr Shì</v>
      </c>
      <c r="O150" s="15" t="str">
        <f t="shared" si="4"/>
        <v>Dajie Zhen (Pŭ'ĕr Shì)</v>
      </c>
      <c r="P150" s="15" t="str">
        <f t="shared" si="5"/>
        <v>Dajie Zhen (Pŭ'ĕr Shì)</v>
      </c>
    </row>
    <row r="151" spans="1:16" hidden="1" x14ac:dyDescent="0.25">
      <c r="A151" t="s">
        <v>1881</v>
      </c>
      <c r="B151" t="str">
        <f>IF(COUNTIF(A:A,A151)&gt;1,_xlfn.CONCAT(A151," (",N151,")"),A151)</f>
        <v>Dàjĭng Zhèn</v>
      </c>
      <c r="C151" t="str">
        <f>IF(COUNTIF(B:B,B151)&gt;1,_xlfn.CONCAT(A151," (",M151,")"),B151)</f>
        <v>Dàjĭng Zhèn</v>
      </c>
      <c r="D151" t="s">
        <v>1882</v>
      </c>
      <c r="E151" t="s">
        <v>11</v>
      </c>
      <c r="F151" t="str">
        <f>_xlfn.CONCAT(D151,", ",H151,", ",I151,", ","云南省")</f>
        <v>大井镇, 会泽县, 曲靖市, 云南省</v>
      </c>
      <c r="G151">
        <v>38243</v>
      </c>
      <c r="H151" t="s">
        <v>2862</v>
      </c>
      <c r="I151" t="s">
        <v>2860</v>
      </c>
      <c r="J151">
        <f>VLOOKUP(F151,[1]!china_towns_second__2[[Column1]:[Y]],3,FALSE)</f>
        <v>26.4979825121234</v>
      </c>
      <c r="K151">
        <f>VLOOKUP(F151,[1]!china_towns_second__2[[Column1]:[Y]],2,FALSE)</f>
        <v>103.7835717</v>
      </c>
      <c r="L151" t="s">
        <v>3710</v>
      </c>
      <c r="M151" t="str">
        <f>VLOOKUP(H151,CHOOSE({1,2},Table17[Native],Table17[Name]),2,0)</f>
        <v>Huìzé Xiàn</v>
      </c>
      <c r="N151" s="15" t="str">
        <f>VLOOKUP(I151,CHOOSE({1,2},Table17[Native],Table17[Name]),2,0)</f>
        <v>Qŭjìng Shì</v>
      </c>
      <c r="O151" s="15" t="str">
        <f t="shared" si="4"/>
        <v>Dajing Zhen (Qŭjìng Shì)</v>
      </c>
      <c r="P151" s="15" t="str">
        <f t="shared" si="5"/>
        <v>Dajing Zhen (Qŭjìng Shì)</v>
      </c>
    </row>
    <row r="152" spans="1:16" hidden="1" x14ac:dyDescent="0.25">
      <c r="A152" t="s">
        <v>1325</v>
      </c>
      <c r="B152" t="str">
        <f>IF(COUNTIF(A:A,A152)&gt;1,_xlfn.CONCAT(A152," (",N152,")"),A152)</f>
        <v>Dàjù Xiāng</v>
      </c>
      <c r="C152" t="str">
        <f>IF(COUNTIF(B:B,B152)&gt;1,_xlfn.CONCAT(A152," (",M152,")"),B152)</f>
        <v>Dàjù Xiāng</v>
      </c>
      <c r="D152" t="s">
        <v>1326</v>
      </c>
      <c r="E152" t="s">
        <v>7</v>
      </c>
      <c r="F152" t="str">
        <f>_xlfn.CONCAT(D152,", ",H152,", ",I152,", ","云南省")</f>
        <v>大具乡, 玉龙纳西族自治县, 丽江市, 云南省</v>
      </c>
      <c r="G152">
        <v>9481</v>
      </c>
      <c r="H152" t="s">
        <v>2829</v>
      </c>
      <c r="I152" t="s">
        <v>2823</v>
      </c>
      <c r="J152" t="e">
        <f>VLOOKUP(F152,[1]!china_towns_second__2[[Column1]:[Y]],3,FALSE)</f>
        <v>#N/A</v>
      </c>
      <c r="K152" t="e">
        <f>VLOOKUP(F152,[1]!china_towns_second__2[[Column1]:[Y]],2,FALSE)</f>
        <v>#N/A</v>
      </c>
      <c r="L152" t="s">
        <v>3711</v>
      </c>
      <c r="M152" t="str">
        <f>VLOOKUP(H152,CHOOSE({1,2},Table17[Native],Table17[Name]),2,0)</f>
        <v>Yùlóng Nàxīzú Zìzhìxiàn</v>
      </c>
      <c r="N152" s="15" t="str">
        <f>VLOOKUP(I152,CHOOSE({1,2},Table17[Native],Table17[Name]),2,0)</f>
        <v>Lìjiāng Shì</v>
      </c>
      <c r="O152" s="15" t="str">
        <f t="shared" si="4"/>
        <v>Daju Xiang (Lìjiāng Shì)</v>
      </c>
      <c r="P152" s="15" t="str">
        <f t="shared" si="5"/>
        <v>Daju Xiang (Lìjiāng Shì)</v>
      </c>
    </row>
    <row r="153" spans="1:16" hidden="1" x14ac:dyDescent="0.25">
      <c r="A153" t="s">
        <v>1071</v>
      </c>
      <c r="B153" t="str">
        <f>IF(COUNTIF(A:A,A153)&gt;1,_xlfn.CONCAT(A153," (",N153,")"),A153)</f>
        <v>Dàkĕ Xiāng</v>
      </c>
      <c r="C153" t="str">
        <f>IF(COUNTIF(B:B,B153)&gt;1,_xlfn.CONCAT(A153," (",M153,")"),B153)</f>
        <v>Dàkĕ Xiāng</v>
      </c>
      <c r="D153" t="s">
        <v>1072</v>
      </c>
      <c r="E153" t="s">
        <v>7</v>
      </c>
      <c r="F153" t="str">
        <f>_xlfn.CONCAT(D153,", ",H153,", ",I153,", ","云南省")</f>
        <v>大可乡, 石林彝族自治县, 昆明市, 云南省</v>
      </c>
      <c r="G153">
        <v>13480</v>
      </c>
      <c r="H153" t="s">
        <v>2816</v>
      </c>
      <c r="I153" t="s">
        <v>2807</v>
      </c>
      <c r="J153" t="e">
        <f>VLOOKUP(F153,[1]!china_towns_second__2[[Column1]:[Y]],3,FALSE)</f>
        <v>#N/A</v>
      </c>
      <c r="K153" t="e">
        <f>VLOOKUP(F153,[1]!china_towns_second__2[[Column1]:[Y]],2,FALSE)</f>
        <v>#N/A</v>
      </c>
      <c r="L153" t="s">
        <v>3712</v>
      </c>
      <c r="M153" t="str">
        <f>VLOOKUP(H153,CHOOSE({1,2},Table17[Native],Table17[Name]),2,0)</f>
        <v>Shílín Yízú Zìzhìxiàn</v>
      </c>
      <c r="N153" s="15" t="str">
        <f>VLOOKUP(I153,CHOOSE({1,2},Table17[Native],Table17[Name]),2,0)</f>
        <v>Kūnmíng Shì</v>
      </c>
      <c r="O153" s="15" t="str">
        <f t="shared" si="4"/>
        <v>Dake Xiang (Kūnmíng Shì)</v>
      </c>
      <c r="P153" s="15" t="str">
        <f t="shared" si="5"/>
        <v>Dake Xiang (Kūnmíng Shì)</v>
      </c>
    </row>
    <row r="154" spans="1:16" hidden="1" x14ac:dyDescent="0.25">
      <c r="A154" t="s">
        <v>405</v>
      </c>
      <c r="B154" t="str">
        <f>IF(COUNTIF(A:A,A154)&gt;1,_xlfn.CONCAT(A154," (",N154,")"),A154)</f>
        <v>Dàlĭ Zhèn</v>
      </c>
      <c r="C154" t="str">
        <f>IF(COUNTIF(B:B,B154)&gt;1,_xlfn.CONCAT(A154," (",M154,")"),B154)</f>
        <v>Dàlĭ Zhèn</v>
      </c>
      <c r="D154" t="s">
        <v>406</v>
      </c>
      <c r="E154" t="s">
        <v>11</v>
      </c>
      <c r="F154" t="str">
        <f>_xlfn.CONCAT(D154,", ",H154,", ",I154,", ","云南省")</f>
        <v>大理镇, 大理市, 大理白族自治州, 云南省</v>
      </c>
      <c r="G154">
        <v>82566</v>
      </c>
      <c r="H154" t="s">
        <v>2765</v>
      </c>
      <c r="I154" t="s">
        <v>2763</v>
      </c>
      <c r="J154">
        <f>VLOOKUP(F154,[1]!china_towns_second__2[[Column1]:[Y]],3,FALSE)</f>
        <v>25.6813016029929</v>
      </c>
      <c r="K154">
        <f>VLOOKUP(F154,[1]!china_towns_second__2[[Column1]:[Y]],2,FALSE)</f>
        <v>100.1491807</v>
      </c>
      <c r="L154" t="s">
        <v>3713</v>
      </c>
      <c r="M154" t="str">
        <f>VLOOKUP(H154,CHOOSE({1,2},Table17[Native],Table17[Name]),2,0)</f>
        <v>Dàlĭ Shì</v>
      </c>
      <c r="N154" s="15" t="str">
        <f>VLOOKUP(I154,CHOOSE({1,2},Table17[Native],Table17[Name]),2,0)</f>
        <v>Dàlĭ Báizú Zìzhìzhōu</v>
      </c>
      <c r="O154" s="15" t="str">
        <f t="shared" si="4"/>
        <v>Dali Zhen (Dàlĭ Báizú Zìzhìzhōu)</v>
      </c>
      <c r="P154" s="15" t="str">
        <f t="shared" si="5"/>
        <v>Dali Zhen (Dàlĭ Báizú Zìzhìzhōu)</v>
      </c>
    </row>
    <row r="155" spans="1:16" hidden="1" x14ac:dyDescent="0.25">
      <c r="A155" t="s">
        <v>2103</v>
      </c>
      <c r="B155" t="str">
        <f>IF(COUNTIF(A:A,A155)&gt;1,_xlfn.CONCAT(A155," (",N155,")"),A155)</f>
        <v>Dàlìshù Xiāng</v>
      </c>
      <c r="C155" t="str">
        <f>IF(COUNTIF(B:B,B155)&gt;1,_xlfn.CONCAT(A155," (",M155,")"),B155)</f>
        <v>Dàlìshù Xiāng</v>
      </c>
      <c r="D155" t="s">
        <v>2104</v>
      </c>
      <c r="E155" t="s">
        <v>7</v>
      </c>
      <c r="F155" t="str">
        <f>_xlfn.CONCAT(D155,", ",H155,", ",I155,", ","云南省")</f>
        <v>大栗树乡, 马关县, 文山壮族苗族自治州, 云南省</v>
      </c>
      <c r="G155">
        <v>30273</v>
      </c>
      <c r="H155" t="s">
        <v>2875</v>
      </c>
      <c r="I155" t="s">
        <v>2872</v>
      </c>
      <c r="J155" t="e">
        <f>VLOOKUP(F155,[1]!china_towns_second__2[[Column1]:[Y]],3,FALSE)</f>
        <v>#N/A</v>
      </c>
      <c r="K155" t="e">
        <f>VLOOKUP(F155,[1]!china_towns_second__2[[Column1]:[Y]],2,FALSE)</f>
        <v>#N/A</v>
      </c>
      <c r="L155" t="s">
        <v>3714</v>
      </c>
      <c r="M155" t="str">
        <f>VLOOKUP(H155,CHOOSE({1,2},Table17[Native],Table17[Name]),2,0)</f>
        <v>Măguān Xiàn</v>
      </c>
      <c r="N155" s="15" t="str">
        <f>VLOOKUP(I155,CHOOSE({1,2},Table17[Native],Table17[Name]),2,0)</f>
        <v>Wénshān Zhuàngzú Miáozú Zìzhìzhōu</v>
      </c>
      <c r="O155" s="15" t="str">
        <f t="shared" si="4"/>
        <v>Dalishu Xiang (Wénshān Zhuàngzú Miáozú Zìzhìzhōu)</v>
      </c>
      <c r="P155" s="15" t="str">
        <f t="shared" si="5"/>
        <v>Dalishu Xiang (Wénshān Zhuàngzú Miáozú Zìzhìzhōu)</v>
      </c>
    </row>
    <row r="156" spans="1:16" hidden="1" x14ac:dyDescent="0.25">
      <c r="A156" t="s">
        <v>2336</v>
      </c>
      <c r="B156" t="str">
        <f>IF(COUNTIF(A:A,A156)&gt;1,_xlfn.CONCAT(A156," (",N156,")"),A156)</f>
        <v>Dàlóngtán Xiāng</v>
      </c>
      <c r="C156" t="str">
        <f>IF(COUNTIF(B:B,B156)&gt;1,_xlfn.CONCAT(A156," (",M156,")"),B156)</f>
        <v>Dàlóngtán Xiāng</v>
      </c>
      <c r="D156" t="s">
        <v>2337</v>
      </c>
      <c r="E156" t="s">
        <v>7</v>
      </c>
      <c r="F156" t="str">
        <f>_xlfn.CONCAT(D156,", ",H156,", ",I156,", ","云南省")</f>
        <v>大龙潭乡, 峨山彝族自治县, 玉溪市, 云南省</v>
      </c>
      <c r="G156">
        <v>13148</v>
      </c>
      <c r="H156" t="s">
        <v>2890</v>
      </c>
      <c r="I156" t="s">
        <v>2888</v>
      </c>
      <c r="J156" t="e">
        <f>VLOOKUP(F156,[1]!china_towns_second__2[[Column1]:[Y]],3,FALSE)</f>
        <v>#N/A</v>
      </c>
      <c r="K156" t="e">
        <f>VLOOKUP(F156,[1]!china_towns_second__2[[Column1]:[Y]],2,FALSE)</f>
        <v>#N/A</v>
      </c>
      <c r="L156" t="s">
        <v>3715</v>
      </c>
      <c r="M156" t="str">
        <f>VLOOKUP(H156,CHOOSE({1,2},Table17[Native],Table17[Name]),2,0)</f>
        <v>Éshān Yízú Zìzhìxiàn</v>
      </c>
      <c r="N156" s="15" t="str">
        <f>VLOOKUP(I156,CHOOSE({1,2},Table17[Native],Table17[Name]),2,0)</f>
        <v>Yùxī Shì</v>
      </c>
      <c r="O156" s="15" t="str">
        <f t="shared" si="4"/>
        <v>Dalongtan Xiang (Yùxī Shì)</v>
      </c>
      <c r="P156" s="15" t="str">
        <f t="shared" si="5"/>
        <v>Dalongtan Xiang (Yùxī Shì)</v>
      </c>
    </row>
    <row r="157" spans="1:16" hidden="1" x14ac:dyDescent="0.25">
      <c r="A157" t="s">
        <v>2262</v>
      </c>
      <c r="B157" t="str">
        <f>IF(COUNTIF(A:A,A157)&gt;1,_xlfn.CONCAT(A157," (",N157,")"),A157)</f>
        <v>Dăluò Zhèn</v>
      </c>
      <c r="C157" t="str">
        <f>IF(COUNTIF(B:B,B157)&gt;1,_xlfn.CONCAT(A157," (",M157,")"),B157)</f>
        <v>Dăluò Zhèn</v>
      </c>
      <c r="D157" t="s">
        <v>2263</v>
      </c>
      <c r="E157" t="s">
        <v>11</v>
      </c>
      <c r="F157" t="str">
        <f>_xlfn.CONCAT(D157,", ",H157,", ",I157,", ","云南省")</f>
        <v>打洛镇, 勐海县, 西双版纳傣族自治州, 云南省</v>
      </c>
      <c r="G157">
        <v>26770</v>
      </c>
      <c r="H157" t="s">
        <v>2885</v>
      </c>
      <c r="I157" t="s">
        <v>2883</v>
      </c>
      <c r="J157">
        <f>VLOOKUP(F157,[1]!china_towns_second__2[[Column1]:[Y]],3,FALSE)</f>
        <v>21.753576251895101</v>
      </c>
      <c r="K157">
        <f>VLOOKUP(F157,[1]!china_towns_second__2[[Column1]:[Y]],2,FALSE)</f>
        <v>100.1301745</v>
      </c>
      <c r="L157" t="s">
        <v>3716</v>
      </c>
      <c r="M157" t="str">
        <f>VLOOKUP(H157,CHOOSE({1,2},Table17[Native],Table17[Name]),2,0)</f>
        <v>Mĕnghăi Xiàn</v>
      </c>
      <c r="N157" s="15" t="str">
        <f>VLOOKUP(I157,CHOOSE({1,2},Table17[Native],Table17[Name]),2,0)</f>
        <v>Xīshuāngbănnà Dăizú Zìzhìzhōu</v>
      </c>
      <c r="O157" s="15" t="str">
        <f t="shared" si="4"/>
        <v>Daluo Zhen (Xīshuāngbănnà Dăizú Zìzhìzhōu)</v>
      </c>
      <c r="P157" s="15" t="str">
        <f t="shared" si="5"/>
        <v>Daluo Zhen (Xīshuāngbănnà Dăizú Zìzhìzhōu)</v>
      </c>
    </row>
    <row r="158" spans="1:16" hidden="1" x14ac:dyDescent="0.25">
      <c r="A158" t="s">
        <v>187</v>
      </c>
      <c r="B158" t="str">
        <f>IF(COUNTIF(A:A,A158)&gt;1,_xlfn.CONCAT(A158," (",N158,")"),A158)</f>
        <v>Dàmàidì Zhèn</v>
      </c>
      <c r="C158" t="str">
        <f>IF(COUNTIF(B:B,B158)&gt;1,_xlfn.CONCAT(A158," (",M158,")"),B158)</f>
        <v>Dàmàidì Zhèn</v>
      </c>
      <c r="D158" t="s">
        <v>188</v>
      </c>
      <c r="E158" t="s">
        <v>11</v>
      </c>
      <c r="F158" t="str">
        <f>_xlfn.CONCAT(D158,", ",H158,", ",I158,", ","云南省")</f>
        <v>大麦地镇, 双柏县, 楚雄彝族自治州, 云南省</v>
      </c>
      <c r="G158">
        <v>10041</v>
      </c>
      <c r="H158" t="s">
        <v>2756</v>
      </c>
      <c r="I158" t="s">
        <v>2750</v>
      </c>
      <c r="J158">
        <f>VLOOKUP(F158,[1]!china_towns_second__2[[Column1]:[Y]],3,FALSE)</f>
        <v>24.384790168571499</v>
      </c>
      <c r="K158">
        <f>VLOOKUP(F158,[1]!china_towns_second__2[[Column1]:[Y]],2,FALSE)</f>
        <v>101.7825508</v>
      </c>
      <c r="L158" t="s">
        <v>3717</v>
      </c>
      <c r="M158" t="str">
        <f>VLOOKUP(H158,CHOOSE({1,2},Table17[Native],Table17[Name]),2,0)</f>
        <v>Shuāngbǎi Xiàn</v>
      </c>
      <c r="N158" s="15" t="str">
        <f>VLOOKUP(I158,CHOOSE({1,2},Table17[Native],Table17[Name]),2,0)</f>
        <v>Chŭxióng Yízú Zìzhìzhōu</v>
      </c>
      <c r="O158" s="15" t="str">
        <f t="shared" si="4"/>
        <v>Damaidi Zhen (Chŭxióng Yízú Zìzhìzhōu)</v>
      </c>
      <c r="P158" s="15" t="str">
        <f t="shared" si="5"/>
        <v>Damaidi Zhen (Chŭxióng Yízú Zìzhìzhōu)</v>
      </c>
    </row>
    <row r="159" spans="1:16" hidden="1" x14ac:dyDescent="0.25">
      <c r="A159" t="s">
        <v>1883</v>
      </c>
      <c r="B159" t="str">
        <f>IF(COUNTIF(A:A,A159)&gt;1,_xlfn.CONCAT(A159," (",N159,")"),A159)</f>
        <v>Dàmògŭ Zhèn</v>
      </c>
      <c r="C159" t="str">
        <f>IF(COUNTIF(B:B,B159)&gt;1,_xlfn.CONCAT(A159," (",M159,")"),B159)</f>
        <v>Dàmògŭ Zhèn</v>
      </c>
      <c r="D159" t="s">
        <v>1884</v>
      </c>
      <c r="E159" t="s">
        <v>11</v>
      </c>
      <c r="F159" t="str">
        <f>_xlfn.CONCAT(D159,", ",H159,", ",I159,", ","云南省")</f>
        <v>大莫古镇, 陆良县, 曲靖市, 云南省</v>
      </c>
      <c r="G159">
        <v>45807</v>
      </c>
      <c r="H159" t="s">
        <v>2863</v>
      </c>
      <c r="I159" t="s">
        <v>2860</v>
      </c>
      <c r="J159">
        <f>VLOOKUP(F159,[1]!china_towns_second__2[[Column1]:[Y]],3,FALSE)</f>
        <v>24.913912059523099</v>
      </c>
      <c r="K159">
        <f>VLOOKUP(F159,[1]!china_towns_second__2[[Column1]:[Y]],2,FALSE)</f>
        <v>103.55177639999999</v>
      </c>
      <c r="L159" t="s">
        <v>3718</v>
      </c>
      <c r="M159" t="str">
        <f>VLOOKUP(H159,CHOOSE({1,2},Table17[Native],Table17[Name]),2,0)</f>
        <v>Lùliáng Xiàn</v>
      </c>
      <c r="N159" s="15" t="str">
        <f>VLOOKUP(I159,CHOOSE({1,2},Table17[Native],Table17[Name]),2,0)</f>
        <v>Qŭjìng Shì</v>
      </c>
      <c r="O159" s="15" t="str">
        <f t="shared" si="4"/>
        <v>Damogu Zhen (Qŭjìng Shì)</v>
      </c>
      <c r="P159" s="15" t="str">
        <f t="shared" si="5"/>
        <v>Damogu Zhen (Qŭjìng Shì)</v>
      </c>
    </row>
    <row r="160" spans="1:16" hidden="1" x14ac:dyDescent="0.25">
      <c r="A160" t="s">
        <v>1885</v>
      </c>
      <c r="B160" t="str">
        <f>IF(COUNTIF(A:A,A160)&gt;1,_xlfn.CONCAT(A160," (",N160,")"),A160)</f>
        <v>Dānfèng Zhèn [incl. Dānfèng Jiēdào, Yàngyuè Jiēdào, Dàtóng Jiēdào]</v>
      </c>
      <c r="C160" t="str">
        <f>IF(COUNTIF(B:B,B160)&gt;1,_xlfn.CONCAT(A160," (",M160,")"),B160)</f>
        <v>Dānfèng Zhèn [incl. Dānfèng Jiēdào, Yàngyuè Jiēdào, Dàtóng Jiēdào]</v>
      </c>
      <c r="D160" t="s">
        <v>1886</v>
      </c>
      <c r="E160" t="s">
        <v>11</v>
      </c>
      <c r="F160" t="str">
        <f>_xlfn.CONCAT(D160,", ",H160,", ",I160,", ","云南省")</f>
        <v>丹凤镇, 师宗县, 曲靖市, 云南省</v>
      </c>
      <c r="G160">
        <v>118696</v>
      </c>
      <c r="H160" t="s">
        <v>2867</v>
      </c>
      <c r="I160" t="s">
        <v>2860</v>
      </c>
      <c r="J160">
        <f>VLOOKUP(F160,[1]!china_towns_second__2[[Column1]:[Y]],3,FALSE)</f>
        <v>24.791224875843401</v>
      </c>
      <c r="K160">
        <f>VLOOKUP(F160,[1]!china_towns_second__2[[Column1]:[Y]],2,FALSE)</f>
        <v>104.0371537</v>
      </c>
      <c r="L160" t="s">
        <v>3719</v>
      </c>
      <c r="M160" t="str">
        <f>VLOOKUP(H160,CHOOSE({1,2},Table17[Native],Table17[Name]),2,0)</f>
        <v>Shīzōng Xiàn</v>
      </c>
      <c r="N160" s="15" t="str">
        <f>VLOOKUP(I160,CHOOSE({1,2},Table17[Native],Table17[Name]),2,0)</f>
        <v>Qŭjìng Shì</v>
      </c>
      <c r="O160" s="15" t="str">
        <f t="shared" si="4"/>
        <v>Danfeng Zhen [incl. Danfeng Jiedao, Yangyue Jiedao, Datong Jiedao] (Qŭjìng Shì)</v>
      </c>
      <c r="P160" s="15" t="str">
        <f t="shared" si="5"/>
        <v>Danfeng Zhen [incl. Danfeng Jiedao, Yangyue Jiedao, Datong Jiedao] (Qŭjìng Shì)</v>
      </c>
    </row>
    <row r="161" spans="1:16" hidden="1" x14ac:dyDescent="0.25">
      <c r="A161" t="s">
        <v>1456</v>
      </c>
      <c r="B161" t="str">
        <f>IF(COUNTIF(A:A,A161)&gt;1,_xlfn.CONCAT(A161," (",N161,")"),A161)</f>
        <v>Dānjiă Xiāng</v>
      </c>
      <c r="C161" t="str">
        <f>IF(COUNTIF(B:B,B161)&gt;1,_xlfn.CONCAT(A161," (",M161,")"),B161)</f>
        <v>Dānjiă Xiāng</v>
      </c>
      <c r="D161" t="s">
        <v>1457</v>
      </c>
      <c r="E161" t="s">
        <v>7</v>
      </c>
      <c r="F161" t="str">
        <f>_xlfn.CONCAT(D161,", ",H161,", ",I161,", ","云南省")</f>
        <v>单甲乡, 沧源佤族自治县, 临沧市, 云南省</v>
      </c>
      <c r="G161">
        <v>11080</v>
      </c>
      <c r="H161" t="s">
        <v>2832</v>
      </c>
      <c r="I161" t="s">
        <v>2831</v>
      </c>
      <c r="J161" t="e">
        <f>VLOOKUP(F161,[1]!china_towns_second__2[[Column1]:[Y]],3,FALSE)</f>
        <v>#N/A</v>
      </c>
      <c r="K161" t="e">
        <f>VLOOKUP(F161,[1]!china_towns_second__2[[Column1]:[Y]],2,FALSE)</f>
        <v>#N/A</v>
      </c>
      <c r="L161" t="s">
        <v>3720</v>
      </c>
      <c r="M161" t="str">
        <f>VLOOKUP(H161,CHOOSE({1,2},Table17[Native],Table17[Name]),2,0)</f>
        <v>Cāngyuán Wăzú Zìzhìxiàn</v>
      </c>
      <c r="N161" s="15" t="str">
        <f>VLOOKUP(I161,CHOOSE({1,2},Table17[Native],Table17[Name]),2,0)</f>
        <v>Líncāng Shì</v>
      </c>
      <c r="O161" s="15" t="str">
        <f t="shared" si="4"/>
        <v>Danjia Xiang (Líncāng Shì)</v>
      </c>
      <c r="P161" s="15" t="str">
        <f t="shared" si="5"/>
        <v>Danjia Xiang (Líncāng Shì)</v>
      </c>
    </row>
    <row r="162" spans="1:16" hidden="1" x14ac:dyDescent="0.25">
      <c r="A162" t="s">
        <v>808</v>
      </c>
      <c r="B162" t="str">
        <f>IF(COUNTIF(A:A,A162)&gt;1,_xlfn.CONCAT(A162," (",N162,")"),A162)</f>
        <v>Dàpíng Xiāng</v>
      </c>
      <c r="C162" t="str">
        <f>IF(COUNTIF(B:B,B162)&gt;1,_xlfn.CONCAT(A162," (",M162,")"),B162)</f>
        <v>Dàpíng Xiāng</v>
      </c>
      <c r="D162" t="s">
        <v>809</v>
      </c>
      <c r="E162" t="s">
        <v>7</v>
      </c>
      <c r="F162" t="str">
        <f>_xlfn.CONCAT(D162,", ",H162,", ",I162,", ","云南省")</f>
        <v>大坪乡, 元阳县, 红河哈尼族彝族自治州, 云南省</v>
      </c>
      <c r="G162">
        <v>26813</v>
      </c>
      <c r="H162" t="s">
        <v>2805</v>
      </c>
      <c r="I162" t="s">
        <v>2792</v>
      </c>
      <c r="J162" t="e">
        <f>VLOOKUP(F162,[1]!china_towns_second__2[[Column1]:[Y]],3,FALSE)</f>
        <v>#N/A</v>
      </c>
      <c r="K162" t="e">
        <f>VLOOKUP(F162,[1]!china_towns_second__2[[Column1]:[Y]],2,FALSE)</f>
        <v>#N/A</v>
      </c>
      <c r="L162" t="s">
        <v>3721</v>
      </c>
      <c r="M162" t="str">
        <f>VLOOKUP(H162,CHOOSE({1,2},Table17[Native],Table17[Name]),2,0)</f>
        <v>Yuányáng Xiàn</v>
      </c>
      <c r="N162" s="15" t="str">
        <f>VLOOKUP(I162,CHOOSE({1,2},Table17[Native],Table17[Name]),2,0)</f>
        <v>Hónghé Hānízú Yízú Zìzhìzhōu</v>
      </c>
      <c r="O162" s="15" t="str">
        <f t="shared" si="4"/>
        <v>Daping Xiang (Hónghé Hānízú Yízú Zìzhìzhōu)</v>
      </c>
      <c r="P162" s="15" t="str">
        <f t="shared" si="5"/>
        <v>Daping Xiang (Hónghé Hānízú Yízú Zìzhìzhōu)</v>
      </c>
    </row>
    <row r="163" spans="1:16" hidden="1" x14ac:dyDescent="0.25">
      <c r="A163" t="s">
        <v>2105</v>
      </c>
      <c r="B163" t="str">
        <f>IF(COUNTIF(A:A,A163)&gt;1,_xlfn.CONCAT(A163," (",N163,")"),A163)</f>
        <v>Dàpíng Zhèn</v>
      </c>
      <c r="C163" t="str">
        <f>IF(COUNTIF(B:B,B163)&gt;1,_xlfn.CONCAT(A163," (",M163,")"),B163)</f>
        <v>Dàpíng Zhèn</v>
      </c>
      <c r="D163" t="s">
        <v>2106</v>
      </c>
      <c r="E163" t="s">
        <v>11</v>
      </c>
      <c r="F163" t="str">
        <f>_xlfn.CONCAT(D163,", ",H163,", ",I163,", ","云南省")</f>
        <v>大坪镇, 麻栗坡县, 文山壮族苗族自治州, 云南省</v>
      </c>
      <c r="G163">
        <v>24568</v>
      </c>
      <c r="H163" t="s">
        <v>2876</v>
      </c>
      <c r="I163" t="s">
        <v>2872</v>
      </c>
      <c r="J163">
        <f>VLOOKUP(F163,[1]!china_towns_second__2[[Column1]:[Y]],3,FALSE)</f>
        <v>23.074033827381399</v>
      </c>
      <c r="K163">
        <f>VLOOKUP(F163,[1]!china_towns_second__2[[Column1]:[Y]],2,FALSE)</f>
        <v>104.59891519999999</v>
      </c>
      <c r="L163" t="s">
        <v>3722</v>
      </c>
      <c r="M163" t="str">
        <f>VLOOKUP(H163,CHOOSE({1,2},Table17[Native],Table17[Name]),2,0)</f>
        <v>Málìpō Xiàn</v>
      </c>
      <c r="N163" s="15" t="str">
        <f>VLOOKUP(I163,CHOOSE({1,2},Table17[Native],Table17[Name]),2,0)</f>
        <v>Wénshān Zhuàngzú Miáozú Zìzhìzhōu</v>
      </c>
      <c r="O163" s="15" t="str">
        <f t="shared" si="4"/>
        <v>Daping Zhen (Wénshān Zhuàngzú Miáozú Zìzhìzhōu)</v>
      </c>
      <c r="P163" s="15" t="str">
        <f t="shared" si="5"/>
        <v>Daping Zhen (Wénshān Zhuàngzú Miáozú Zìzhìzhōu)</v>
      </c>
    </row>
    <row r="164" spans="1:16" hidden="1" x14ac:dyDescent="0.25">
      <c r="A164" t="s">
        <v>1887</v>
      </c>
      <c r="B164" t="str">
        <f>IF(COUNTIF(A:A,A164)&gt;1,_xlfn.CONCAT(A164," (",N164,")"),A164)</f>
        <v>Dàpō Xiāng</v>
      </c>
      <c r="C164" t="str">
        <f>IF(COUNTIF(B:B,B164)&gt;1,_xlfn.CONCAT(A164," (",M164,")"),B164)</f>
        <v>Dàpō Xiāng</v>
      </c>
      <c r="D164" t="s">
        <v>1888</v>
      </c>
      <c r="E164" t="s">
        <v>7</v>
      </c>
      <c r="F164" t="str">
        <f>_xlfn.CONCAT(D164,", ",H164,", ",I164,", ","云南省")</f>
        <v>大坡乡, 沾益区, 曲靖市, 云南省</v>
      </c>
      <c r="G164">
        <v>46737</v>
      </c>
      <c r="H164" t="s">
        <v>2869</v>
      </c>
      <c r="I164" t="s">
        <v>2860</v>
      </c>
      <c r="J164" t="e">
        <f>VLOOKUP(F164,[1]!china_towns_second__2[[Column1]:[Y]],3,FALSE)</f>
        <v>#N/A</v>
      </c>
      <c r="K164" t="e">
        <f>VLOOKUP(F164,[1]!china_towns_second__2[[Column1]:[Y]],2,FALSE)</f>
        <v>#N/A</v>
      </c>
      <c r="L164" t="s">
        <v>3723</v>
      </c>
      <c r="M164" t="str">
        <f>VLOOKUP(H164,CHOOSE({1,2},Table17[Native],Table17[Name]),2,0)</f>
        <v>Zhānyì Qū</v>
      </c>
      <c r="N164" s="15" t="str">
        <f>VLOOKUP(I164,CHOOSE({1,2},Table17[Native],Table17[Name]),2,0)</f>
        <v>Qŭjìng Shì</v>
      </c>
      <c r="O164" s="15" t="str">
        <f t="shared" si="4"/>
        <v>Dapo Xiang (Qŭjìng Shì)</v>
      </c>
      <c r="P164" s="15" t="str">
        <f t="shared" si="5"/>
        <v>Dapo Xiang (Qŭjìng Shì)</v>
      </c>
    </row>
    <row r="165" spans="1:16" hidden="1" x14ac:dyDescent="0.25">
      <c r="A165" t="s">
        <v>811</v>
      </c>
      <c r="B165" t="str">
        <f>IF(COUNTIF(A:A,A165)&gt;1,_xlfn.CONCAT(A165," (",N165,")"),A165)</f>
        <v>Dàqiáo Xiāng (Hónghé Hānízú Yízú Zìzhìzhōu)</v>
      </c>
      <c r="C165" t="str">
        <f>IF(COUNTIF(B:B,B165)&gt;1,_xlfn.CONCAT(A165," (",M165,")"),B165)</f>
        <v>Dàqiáo Xiāng (Hónghé Hānízú Yízú Zìzhìzhōu)</v>
      </c>
      <c r="D165" t="s">
        <v>812</v>
      </c>
      <c r="E165" t="s">
        <v>7</v>
      </c>
      <c r="F165" t="str">
        <f>_xlfn.CONCAT(D165,", ",H165,", ",I165,", ","云南省")</f>
        <v>大桥乡, 石屏县, 红河哈尼族彝族自治州, 云南省</v>
      </c>
      <c r="G165">
        <v>16025</v>
      </c>
      <c r="H165" t="s">
        <v>2804</v>
      </c>
      <c r="I165" t="s">
        <v>2792</v>
      </c>
      <c r="J165" t="e">
        <f>VLOOKUP(F165,[1]!china_towns_second__2[[Column1]:[Y]],3,FALSE)</f>
        <v>#N/A</v>
      </c>
      <c r="K165" t="e">
        <f>VLOOKUP(F165,[1]!china_towns_second__2[[Column1]:[Y]],2,FALSE)</f>
        <v>#N/A</v>
      </c>
      <c r="L165" t="s">
        <v>3724</v>
      </c>
      <c r="M165" t="str">
        <f>VLOOKUP(H165,CHOOSE({1,2},Table17[Native],Table17[Name]),2,0)</f>
        <v>Shípíng Xiàn</v>
      </c>
      <c r="N165" s="15" t="str">
        <f>VLOOKUP(I165,CHOOSE({1,2},Table17[Native],Table17[Name]),2,0)</f>
        <v>Hónghé Hānízú Yízú Zìzhìzhōu</v>
      </c>
      <c r="O165" s="15" t="str">
        <f t="shared" si="4"/>
        <v>Daqiao Xiang (Honghe Hanizu Yizu Zizhizhou) (Hónghé Hānízú Yízú Zìzhìzhōu)</v>
      </c>
      <c r="P165" s="15" t="str">
        <f t="shared" si="5"/>
        <v>Daqiao Xiang (Honghe Hanizu Yizu Zizhizhou) (Hónghé Hānízú Yízú Zìzhìzhōu)</v>
      </c>
    </row>
    <row r="166" spans="1:16" hidden="1" x14ac:dyDescent="0.25">
      <c r="A166" t="s">
        <v>811</v>
      </c>
      <c r="B166" t="str">
        <f>IF(COUNTIF(A:A,A166)&gt;1,_xlfn.CONCAT(A166," (",N166,")"),A166)</f>
        <v>Dàqiáo Xiāng (Qŭjìng Shì)</v>
      </c>
      <c r="C166" t="str">
        <f>IF(COUNTIF(B:B,B166)&gt;1,_xlfn.CONCAT(A166," (",M166,")"),B166)</f>
        <v>Dàqiáo Xiāng (Qŭjìng Shì)</v>
      </c>
      <c r="D166" t="s">
        <v>812</v>
      </c>
      <c r="E166" t="s">
        <v>7</v>
      </c>
      <c r="F166" t="str">
        <f>_xlfn.CONCAT(D166,", ",H166,", ",I166,", ","云南省")</f>
        <v>大桥乡, 会泽县, 曲靖市, 云南省</v>
      </c>
      <c r="G166">
        <v>30816</v>
      </c>
      <c r="H166" t="s">
        <v>2862</v>
      </c>
      <c r="I166" t="s">
        <v>2860</v>
      </c>
      <c r="J166" t="e">
        <f>VLOOKUP(F166,[1]!china_towns_second__2[[Column1]:[Y]],3,FALSE)</f>
        <v>#N/A</v>
      </c>
      <c r="K166" t="e">
        <f>VLOOKUP(F166,[1]!china_towns_second__2[[Column1]:[Y]],2,FALSE)</f>
        <v>#N/A</v>
      </c>
      <c r="L166" t="s">
        <v>3725</v>
      </c>
      <c r="M166" t="str">
        <f>VLOOKUP(H166,CHOOSE({1,2},Table17[Native],Table17[Name]),2,0)</f>
        <v>Huìzé Xiàn</v>
      </c>
      <c r="N166" s="15" t="str">
        <f>VLOOKUP(I166,CHOOSE({1,2},Table17[Native],Table17[Name]),2,0)</f>
        <v>Qŭjìng Shì</v>
      </c>
      <c r="O166" s="15" t="str">
        <f t="shared" si="4"/>
        <v>Daqiao Xiang (Qujing Shi) (Qŭjìng Shì)</v>
      </c>
      <c r="P166" s="15" t="str">
        <f t="shared" si="5"/>
        <v>Daqiao Xiang (Qujing Shi) (Qŭjìng Shì)</v>
      </c>
    </row>
    <row r="167" spans="1:16" hidden="1" x14ac:dyDescent="0.25">
      <c r="A167" t="s">
        <v>1458</v>
      </c>
      <c r="B167" t="str">
        <f>IF(COUNTIF(A:A,A167)&gt;1,_xlfn.CONCAT(A167," (",N167,")"),A167)</f>
        <v>Dàshān Xiāng (Líncāng Shì)</v>
      </c>
      <c r="C167" t="str">
        <f>IF(COUNTIF(B:B,B167)&gt;1,_xlfn.CONCAT(A167," (",M167,")"),B167)</f>
        <v>Dàshān Xiāng (Líncāng Shì)</v>
      </c>
      <c r="D167" t="s">
        <v>1459</v>
      </c>
      <c r="E167" t="s">
        <v>7</v>
      </c>
      <c r="F167" t="str">
        <f>_xlfn.CONCAT(D167,", ",H167,", ",I167,", ","云南省")</f>
        <v>大山乡, 永德县, 临沧市, 云南省</v>
      </c>
      <c r="G167">
        <v>23056</v>
      </c>
      <c r="H167" t="s">
        <v>2837</v>
      </c>
      <c r="I167" t="s">
        <v>2831</v>
      </c>
      <c r="J167" t="e">
        <f>VLOOKUP(F167,[1]!china_towns_second__2[[Column1]:[Y]],3,FALSE)</f>
        <v>#N/A</v>
      </c>
      <c r="K167" t="e">
        <f>VLOOKUP(F167,[1]!china_towns_second__2[[Column1]:[Y]],2,FALSE)</f>
        <v>#N/A</v>
      </c>
      <c r="L167" t="s">
        <v>3726</v>
      </c>
      <c r="M167" t="str">
        <f>VLOOKUP(H167,CHOOSE({1,2},Table17[Native],Table17[Name]),2,0)</f>
        <v>Yŏngdé Xiàn</v>
      </c>
      <c r="N167" s="15" t="str">
        <f>VLOOKUP(I167,CHOOSE({1,2},Table17[Native],Table17[Name]),2,0)</f>
        <v>Líncāng Shì</v>
      </c>
      <c r="O167" s="15" t="str">
        <f t="shared" si="4"/>
        <v>Dashan Xiang (Lincang Shi) (Líncāng Shì)</v>
      </c>
      <c r="P167" s="15" t="str">
        <f t="shared" si="5"/>
        <v>Dashan Xiang (Lincang Shi) (Líncāng Shì)</v>
      </c>
    </row>
    <row r="168" spans="1:16" hidden="1" x14ac:dyDescent="0.25">
      <c r="A168" t="s">
        <v>1458</v>
      </c>
      <c r="B168" t="str">
        <f>IF(COUNTIF(A:A,A168)&gt;1,_xlfn.CONCAT(A168," (",N168,")"),A168)</f>
        <v>Dàshān Xiāng (Pŭ'ĕr Shì)</v>
      </c>
      <c r="C168" t="str">
        <f>IF(COUNTIF(B:B,B168)&gt;1,_xlfn.CONCAT(A168," (",M168,")"),B168)</f>
        <v>Dàshān Xiāng (Pŭ'ĕr Shì)</v>
      </c>
      <c r="D168" t="s">
        <v>1459</v>
      </c>
      <c r="E168" t="s">
        <v>7</v>
      </c>
      <c r="F168" t="str">
        <f>_xlfn.CONCAT(D168,", ",H168,", ",I168,", ","云南省")</f>
        <v>大山乡, 澜沧拉祜族自治县, 普洱市, 云南省</v>
      </c>
      <c r="G168">
        <v>15980</v>
      </c>
      <c r="H168" t="s">
        <v>2852</v>
      </c>
      <c r="I168" t="s">
        <v>2848</v>
      </c>
      <c r="J168" t="e">
        <f>VLOOKUP(F168,[1]!china_towns_second__2[[Column1]:[Y]],3,FALSE)</f>
        <v>#N/A</v>
      </c>
      <c r="K168" t="e">
        <f>VLOOKUP(F168,[1]!china_towns_second__2[[Column1]:[Y]],2,FALSE)</f>
        <v>#N/A</v>
      </c>
      <c r="L168" t="s">
        <v>3727</v>
      </c>
      <c r="M168" t="str">
        <f>VLOOKUP(H168,CHOOSE({1,2},Table17[Native],Table17[Name]),2,0)</f>
        <v>Láncāng Lāhùzú Zìzhìxiàn</v>
      </c>
      <c r="N168" s="15" t="str">
        <f>VLOOKUP(I168,CHOOSE({1,2},Table17[Native],Table17[Name]),2,0)</f>
        <v>Pŭ'ĕr Shì</v>
      </c>
      <c r="O168" s="15" t="str">
        <f t="shared" si="4"/>
        <v>Dashan Xiang (Pu'er Shi) (Pŭ'ĕr Shì)</v>
      </c>
      <c r="P168" s="15" t="str">
        <f t="shared" si="5"/>
        <v>Dashan Xiang (Pu'er Shi) (Pŭ'ĕr Shì)</v>
      </c>
    </row>
    <row r="169" spans="1:16" hidden="1" x14ac:dyDescent="0.25">
      <c r="A169" t="s">
        <v>2492</v>
      </c>
      <c r="B169" t="str">
        <f>IF(COUNTIF(A:A,A169)&gt;1,_xlfn.CONCAT(A169," (",N169,")"),A169)</f>
        <v>Dàshānbāo Zhèn</v>
      </c>
      <c r="C169" t="str">
        <f>IF(COUNTIF(B:B,B169)&gt;1,_xlfn.CONCAT(A169," (",M169,")"),B169)</f>
        <v>Dàshānbāo Zhèn</v>
      </c>
      <c r="D169" t="s">
        <v>2493</v>
      </c>
      <c r="E169" t="s">
        <v>11</v>
      </c>
      <c r="F169" t="str">
        <f>_xlfn.CONCAT(D169,", ",H169,", ",I169,", ","云南省")</f>
        <v>大山包镇, 昭阳区, 昭通市, 云南省</v>
      </c>
      <c r="G169">
        <v>12070</v>
      </c>
      <c r="H169" t="s">
        <v>2909</v>
      </c>
      <c r="I169" t="s">
        <v>2899</v>
      </c>
      <c r="J169">
        <f>VLOOKUP(F169,[1]!china_towns_second__2[[Column1]:[Y]],3,FALSE)</f>
        <v>27.409578018788999</v>
      </c>
      <c r="K169">
        <f>VLOOKUP(F169,[1]!china_towns_second__2[[Column1]:[Y]],2,FALSE)</f>
        <v>103.3211264</v>
      </c>
      <c r="L169" t="s">
        <v>3728</v>
      </c>
      <c r="M169" t="str">
        <f>VLOOKUP(H169,CHOOSE({1,2},Table17[Native],Table17[Name]),2,0)</f>
        <v>Zhāoyáng Qū</v>
      </c>
      <c r="N169" s="15" t="str">
        <f>VLOOKUP(I169,CHOOSE({1,2},Table17[Native],Table17[Name]),2,0)</f>
        <v>Zhāotōng Shì</v>
      </c>
      <c r="O169" s="15" t="str">
        <f t="shared" si="4"/>
        <v>Dashanbao Zhen (Zhāotōng Shì)</v>
      </c>
      <c r="P169" s="15" t="str">
        <f t="shared" si="5"/>
        <v>Dashanbao Zhen (Zhāotōng Shì)</v>
      </c>
    </row>
    <row r="170" spans="1:16" hidden="1" x14ac:dyDescent="0.25">
      <c r="A170" t="s">
        <v>813</v>
      </c>
      <c r="B170" t="str">
        <f>IF(COUNTIF(A:A,A170)&gt;1,_xlfn.CONCAT(A170," (",N170,")"),A170)</f>
        <v>Dàshuĭgōu Xiāng</v>
      </c>
      <c r="C170" t="str">
        <f>IF(COUNTIF(B:B,B170)&gt;1,_xlfn.CONCAT(A170," (",M170,")"),B170)</f>
        <v>Dàshuĭgōu Xiāng</v>
      </c>
      <c r="D170" t="s">
        <v>814</v>
      </c>
      <c r="E170" t="s">
        <v>7</v>
      </c>
      <c r="F170" t="str">
        <f>_xlfn.CONCAT(D170,", ",H170,", ",I170,", ","云南省")</f>
        <v>大水沟乡, 绿春县, 红河哈尼族彝族自治州, 云南省</v>
      </c>
      <c r="G170">
        <v>18150</v>
      </c>
      <c r="H170" t="s">
        <v>2799</v>
      </c>
      <c r="I170" t="s">
        <v>2792</v>
      </c>
      <c r="J170" t="e">
        <f>VLOOKUP(F170,[1]!china_towns_second__2[[Column1]:[Y]],3,FALSE)</f>
        <v>#N/A</v>
      </c>
      <c r="K170" t="e">
        <f>VLOOKUP(F170,[1]!china_towns_second__2[[Column1]:[Y]],2,FALSE)</f>
        <v>#N/A</v>
      </c>
      <c r="L170" t="s">
        <v>3729</v>
      </c>
      <c r="M170" t="str">
        <f>VLOOKUP(H170,CHOOSE({1,2},Table17[Native],Table17[Name]),2,0)</f>
        <v>Lǜchūn Xiàn</v>
      </c>
      <c r="N170" s="15" t="str">
        <f>VLOOKUP(I170,CHOOSE({1,2},Table17[Native],Table17[Name]),2,0)</f>
        <v>Hónghé Hānízú Yízú Zìzhìzhōu</v>
      </c>
      <c r="O170" s="15" t="str">
        <f t="shared" si="4"/>
        <v>Dashuigou Xiang (Hónghé Hānízú Yízú Zìzhìzhōu)</v>
      </c>
      <c r="P170" s="15" t="str">
        <f t="shared" si="5"/>
        <v>Dashuigou Xiang (Hónghé Hānízú Yízú Zìzhìzhōu)</v>
      </c>
    </row>
    <row r="171" spans="1:16" hidden="1" x14ac:dyDescent="0.25">
      <c r="A171" t="s">
        <v>1889</v>
      </c>
      <c r="B171" t="str">
        <f>IF(COUNTIF(A:A,A171)&gt;1,_xlfn.CONCAT(A171," (",N171,")"),A171)</f>
        <v>Dàshuĭjĭng Xiāng</v>
      </c>
      <c r="C171" t="str">
        <f>IF(COUNTIF(B:B,B171)&gt;1,_xlfn.CONCAT(A171," (",M171,")"),B171)</f>
        <v>Dàshuĭjĭng Xiāng</v>
      </c>
      <c r="D171" t="s">
        <v>1890</v>
      </c>
      <c r="E171" t="s">
        <v>7</v>
      </c>
      <c r="F171" t="str">
        <f>_xlfn.CONCAT(D171,", ",H171,", ",I171,", ","云南省")</f>
        <v>大水井乡, 罗平县, 曲靖市, 云南省</v>
      </c>
      <c r="G171">
        <v>21606</v>
      </c>
      <c r="H171" t="s">
        <v>2864</v>
      </c>
      <c r="I171" t="s">
        <v>2860</v>
      </c>
      <c r="J171" t="e">
        <f>VLOOKUP(F171,[1]!china_towns_second__2[[Column1]:[Y]],3,FALSE)</f>
        <v>#N/A</v>
      </c>
      <c r="K171" t="e">
        <f>VLOOKUP(F171,[1]!china_towns_second__2[[Column1]:[Y]],2,FALSE)</f>
        <v>#N/A</v>
      </c>
      <c r="L171" t="s">
        <v>3730</v>
      </c>
      <c r="M171" t="str">
        <f>VLOOKUP(H171,CHOOSE({1,2},Table17[Native],Table17[Name]),2,0)</f>
        <v>Luópíng Xiàn</v>
      </c>
      <c r="N171" s="15" t="str">
        <f>VLOOKUP(I171,CHOOSE({1,2},Table17[Native],Table17[Name]),2,0)</f>
        <v>Qŭjìng Shì</v>
      </c>
      <c r="O171" s="15" t="str">
        <f t="shared" si="4"/>
        <v>Dashuijing Xiang (Qŭjìng Shì)</v>
      </c>
      <c r="P171" s="15" t="str">
        <f t="shared" si="5"/>
        <v>Dashuijing Xiang (Qŭjìng Shì)</v>
      </c>
    </row>
    <row r="172" spans="1:16" hidden="1" x14ac:dyDescent="0.25">
      <c r="A172" t="s">
        <v>1460</v>
      </c>
      <c r="B172" t="str">
        <f>IF(COUNTIF(A:A,A172)&gt;1,_xlfn.CONCAT(A172," (",N172,")"),A172)</f>
        <v>Dàsì Xiāng</v>
      </c>
      <c r="C172" t="str">
        <f>IF(COUNTIF(B:B,B172)&gt;1,_xlfn.CONCAT(A172," (",M172,")"),B172)</f>
        <v>Dàsì Xiāng</v>
      </c>
      <c r="D172" t="s">
        <v>1461</v>
      </c>
      <c r="E172" t="s">
        <v>7</v>
      </c>
      <c r="F172" t="str">
        <f>_xlfn.CONCAT(D172,", ",H172,", ",I172,", ","云南省")</f>
        <v>大寺乡, 凤庆县, 临沧市, 云南省</v>
      </c>
      <c r="G172">
        <v>38098</v>
      </c>
      <c r="H172" t="s">
        <v>2833</v>
      </c>
      <c r="I172" t="s">
        <v>2831</v>
      </c>
      <c r="J172" t="e">
        <f>VLOOKUP(F172,[1]!china_towns_second__2[[Column1]:[Y]],3,FALSE)</f>
        <v>#N/A</v>
      </c>
      <c r="K172" t="e">
        <f>VLOOKUP(F172,[1]!china_towns_second__2[[Column1]:[Y]],2,FALSE)</f>
        <v>#N/A</v>
      </c>
      <c r="L172" t="s">
        <v>3731</v>
      </c>
      <c r="M172" t="str">
        <f>VLOOKUP(H172,CHOOSE({1,2},Table17[Native],Table17[Name]),2,0)</f>
        <v>Fèngqìng Xiàn</v>
      </c>
      <c r="N172" s="15" t="str">
        <f>VLOOKUP(I172,CHOOSE({1,2},Table17[Native],Table17[Name]),2,0)</f>
        <v>Líncāng Shì</v>
      </c>
      <c r="O172" s="15" t="str">
        <f t="shared" si="4"/>
        <v>Dasi Xiang (Líncāng Shì)</v>
      </c>
      <c r="P172" s="15" t="str">
        <f t="shared" si="5"/>
        <v>Dasi Xiang (Líncāng Shì)</v>
      </c>
    </row>
    <row r="173" spans="1:16" hidden="1" x14ac:dyDescent="0.25">
      <c r="A173" t="s">
        <v>21</v>
      </c>
      <c r="B173" t="str">
        <f>IF(COUNTIF(A:A,A173)&gt;1,_xlfn.CONCAT(A173," (",N173,")"),A173)</f>
        <v>Dàtiánbà Zhèn</v>
      </c>
      <c r="C173" t="str">
        <f>IF(COUNTIF(B:B,B173)&gt;1,_xlfn.CONCAT(A173," (",M173,")"),B173)</f>
        <v>Dàtiánbà Zhèn</v>
      </c>
      <c r="D173" t="s">
        <v>22</v>
      </c>
      <c r="E173" t="s">
        <v>11</v>
      </c>
      <c r="F173" t="str">
        <f>_xlfn.CONCAT(D173,", ",H173,", ",I173,", ","云南省")</f>
        <v>大田坝镇, 昌宁县, 保山市, 云南省</v>
      </c>
      <c r="G173">
        <v>20726</v>
      </c>
      <c r="H173" t="s">
        <v>2741</v>
      </c>
      <c r="I173" t="s">
        <v>2739</v>
      </c>
      <c r="J173">
        <f>VLOOKUP(F173,[1]!china_towns_second__2[[Column1]:[Y]],3,FALSE)</f>
        <v>25.016055697331598</v>
      </c>
      <c r="K173">
        <f>VLOOKUP(F173,[1]!china_towns_second__2[[Column1]:[Y]],2,FALSE)</f>
        <v>99.548063069999998</v>
      </c>
      <c r="L173" t="s">
        <v>3732</v>
      </c>
      <c r="M173" t="str">
        <f>VLOOKUP(H173,CHOOSE({1,2},Table17[Native],Table17[Name]),2,0)</f>
        <v>Chāngníng Xiàn</v>
      </c>
      <c r="N173" s="15" t="str">
        <f>VLOOKUP(I173,CHOOSE({1,2},Table17[Native],Table17[Name]),2,0)</f>
        <v>Băoshān Shì</v>
      </c>
      <c r="O173" s="15" t="str">
        <f t="shared" si="4"/>
        <v>Datianba Zhen (Băoshān Shì)</v>
      </c>
      <c r="P173" s="15" t="str">
        <f t="shared" si="5"/>
        <v>Datianba Zhen (Băoshān Shì)</v>
      </c>
    </row>
    <row r="174" spans="1:16" hidden="1" x14ac:dyDescent="0.25">
      <c r="A174" t="s">
        <v>815</v>
      </c>
      <c r="B174" t="str">
        <f>IF(COUNTIF(A:A,A174)&gt;1,_xlfn.CONCAT(A174," (",N174,")"),A174)</f>
        <v>Dàtún Jiēdào</v>
      </c>
      <c r="C174" t="str">
        <f>IF(COUNTIF(B:B,B174)&gt;1,_xlfn.CONCAT(A174," (",M174,")"),B174)</f>
        <v>Dàtún Jiēdào</v>
      </c>
      <c r="D174" t="s">
        <v>816</v>
      </c>
      <c r="E174" t="s">
        <v>42</v>
      </c>
      <c r="F174" t="str">
        <f>_xlfn.CONCAT(D174,", ",H174,", ",I174,", ","云南省")</f>
        <v>大屯街道, 个旧市, 红河哈尼族彝族自治州, 云南省</v>
      </c>
      <c r="G174">
        <v>77901</v>
      </c>
      <c r="H174" t="s">
        <v>2793</v>
      </c>
      <c r="I174" t="s">
        <v>2792</v>
      </c>
      <c r="J174" t="e">
        <f>VLOOKUP(F174,[1]!china_towns_second__2[[Column1]:[Y]],3,FALSE)</f>
        <v>#N/A</v>
      </c>
      <c r="K174" t="e">
        <f>VLOOKUP(F174,[1]!china_towns_second__2[[Column1]:[Y]],2,FALSE)</f>
        <v>#N/A</v>
      </c>
      <c r="L174" t="s">
        <v>3733</v>
      </c>
      <c r="M174" t="str">
        <f>VLOOKUP(H174,CHOOSE({1,2},Table17[Native],Table17[Name]),2,0)</f>
        <v>Gèjiù Shì</v>
      </c>
      <c r="N174" s="15" t="str">
        <f>VLOOKUP(I174,CHOOSE({1,2},Table17[Native],Table17[Name]),2,0)</f>
        <v>Hónghé Hānízú Yízú Zìzhìzhōu</v>
      </c>
      <c r="O174" s="15" t="str">
        <f t="shared" si="4"/>
        <v>Datun Jiedao (Hónghé Hānízú Yízú Zìzhìzhōu)</v>
      </c>
      <c r="P174" s="15" t="str">
        <f t="shared" si="5"/>
        <v>Datun Jiedao (Hónghé Hānízú Yízú Zìzhìzhōu)</v>
      </c>
    </row>
    <row r="175" spans="1:16" hidden="1" x14ac:dyDescent="0.25">
      <c r="A175" t="s">
        <v>2494</v>
      </c>
      <c r="B175" t="str">
        <f>IF(COUNTIF(A:A,A175)&gt;1,_xlfn.CONCAT(A175," (",N175,")"),A175)</f>
        <v>Dàwān Zhèn</v>
      </c>
      <c r="C175" t="str">
        <f>IF(COUNTIF(B:B,B175)&gt;1,_xlfn.CONCAT(A175," (",M175,")"),B175)</f>
        <v>Dàwān Zhèn</v>
      </c>
      <c r="D175" t="s">
        <v>2495</v>
      </c>
      <c r="E175" t="s">
        <v>11</v>
      </c>
      <c r="F175" t="str">
        <f>_xlfn.CONCAT(D175,", ",H175,", ",I175,", ","云南省")</f>
        <v>大湾镇, 镇雄县, 昭通市, 云南省</v>
      </c>
      <c r="G175">
        <v>49133</v>
      </c>
      <c r="H175" t="s">
        <v>2910</v>
      </c>
      <c r="I175" t="s">
        <v>2899</v>
      </c>
      <c r="J175">
        <f>VLOOKUP(F175,[1]!china_towns_second__2[[Column1]:[Y]],3,FALSE)</f>
        <v>27.680332306512899</v>
      </c>
      <c r="K175">
        <f>VLOOKUP(F175,[1]!china_towns_second__2[[Column1]:[Y]],2,FALSE)</f>
        <v>105.032517</v>
      </c>
      <c r="L175" t="s">
        <v>3734</v>
      </c>
      <c r="M175" t="str">
        <f>VLOOKUP(H175,CHOOSE({1,2},Table17[Native],Table17[Name]),2,0)</f>
        <v>Zhènxióng Xiàn</v>
      </c>
      <c r="N175" s="15" t="str">
        <f>VLOOKUP(I175,CHOOSE({1,2},Table17[Native],Table17[Name]),2,0)</f>
        <v>Zhāotōng Shì</v>
      </c>
      <c r="O175" s="15" t="str">
        <f t="shared" si="4"/>
        <v>Dawan Zhen (Zhāotōng Shì)</v>
      </c>
      <c r="P175" s="15" t="str">
        <f t="shared" si="5"/>
        <v>Dawan Zhen (Zhāotōng Shì)</v>
      </c>
    </row>
    <row r="176" spans="1:16" hidden="1" x14ac:dyDescent="0.25">
      <c r="A176" t="s">
        <v>1463</v>
      </c>
      <c r="B176" t="str">
        <f>IF(COUNTIF(A:A,A176)&gt;1,_xlfn.CONCAT(A176," (",N176,")"),A176)</f>
        <v>Dàwén Xiāng</v>
      </c>
      <c r="C176" t="str">
        <f>IF(COUNTIF(B:B,B176)&gt;1,_xlfn.CONCAT(A176," (",M176,")"),B176)</f>
        <v>Dàwén Xiāng</v>
      </c>
      <c r="D176" t="s">
        <v>1464</v>
      </c>
      <c r="E176" t="s">
        <v>7</v>
      </c>
      <c r="F176" t="str">
        <f>_xlfn.CONCAT(D176,", ",H176,", ",I176,", ","云南省")</f>
        <v>大文乡, 双江拉祜族佤族布朗族傣族自治县, 临沧市, 云南省</v>
      </c>
      <c r="G176">
        <v>20908</v>
      </c>
      <c r="H176" t="s">
        <v>2836</v>
      </c>
      <c r="I176" t="s">
        <v>2831</v>
      </c>
      <c r="J176" t="e">
        <f>VLOOKUP(F176,[1]!china_towns_second__2[[Column1]:[Y]],3,FALSE)</f>
        <v>#N/A</v>
      </c>
      <c r="K176" t="e">
        <f>VLOOKUP(F176,[1]!china_towns_second__2[[Column1]:[Y]],2,FALSE)</f>
        <v>#N/A</v>
      </c>
      <c r="L176" t="s">
        <v>3735</v>
      </c>
      <c r="M176" t="str">
        <f>VLOOKUP(H176,CHOOSE({1,2},Table17[Native],Table17[Name]),2,0)</f>
        <v>Shuāngjiāng Lāhùzú Wăzú Bùlăngzú Dăizú Zìzhìxiàn</v>
      </c>
      <c r="N176" s="15" t="str">
        <f>VLOOKUP(I176,CHOOSE({1,2},Table17[Native],Table17[Name]),2,0)</f>
        <v>Líncāng Shì</v>
      </c>
      <c r="O176" s="15" t="str">
        <f t="shared" si="4"/>
        <v>Dawen Xiang (Líncāng Shì)</v>
      </c>
      <c r="P176" s="15" t="str">
        <f t="shared" si="5"/>
        <v>Dawen Xiang (Líncāng Shì)</v>
      </c>
    </row>
    <row r="177" spans="1:16" hidden="1" x14ac:dyDescent="0.25">
      <c r="A177" t="s">
        <v>1465</v>
      </c>
      <c r="B177" t="str">
        <f>IF(COUNTIF(A:A,A177)&gt;1,_xlfn.CONCAT(A177," (",N177,")"),A177)</f>
        <v>Dàxīng Xiāng</v>
      </c>
      <c r="C177" t="str">
        <f>IF(COUNTIF(B:B,B177)&gt;1,_xlfn.CONCAT(A177," (",M177,")"),B177)</f>
        <v>Dàxīng Xiāng</v>
      </c>
      <c r="D177" t="s">
        <v>1466</v>
      </c>
      <c r="E177" t="s">
        <v>7</v>
      </c>
      <c r="F177" t="str">
        <f>_xlfn.CONCAT(D177,", ",H177,", ",I177,", ","云南省")</f>
        <v>大兴乡, 耿马傣族佤族自治县, 临沧市, 云南省</v>
      </c>
      <c r="G177">
        <v>9249</v>
      </c>
      <c r="H177" t="s">
        <v>2834</v>
      </c>
      <c r="I177" t="s">
        <v>2831</v>
      </c>
      <c r="J177" t="e">
        <f>VLOOKUP(F177,[1]!china_towns_second__2[[Column1]:[Y]],3,FALSE)</f>
        <v>#N/A</v>
      </c>
      <c r="K177" t="e">
        <f>VLOOKUP(F177,[1]!china_towns_second__2[[Column1]:[Y]],2,FALSE)</f>
        <v>#N/A</v>
      </c>
      <c r="L177" t="s">
        <v>3736</v>
      </c>
      <c r="M177" t="str">
        <f>VLOOKUP(H177,CHOOSE({1,2},Table17[Native],Table17[Name]),2,0)</f>
        <v>Gĕngmă Dăizú Wăzú Zìzhìxiàn</v>
      </c>
      <c r="N177" s="15" t="str">
        <f>VLOOKUP(I177,CHOOSE({1,2},Table17[Native],Table17[Name]),2,0)</f>
        <v>Líncāng Shì</v>
      </c>
      <c r="O177" s="15" t="str">
        <f t="shared" si="4"/>
        <v>Daxing Xiang (Líncāng Shì)</v>
      </c>
      <c r="P177" s="15" t="str">
        <f t="shared" si="5"/>
        <v>Daxing Xiang (Líncāng Shì)</v>
      </c>
    </row>
    <row r="178" spans="1:16" hidden="1" x14ac:dyDescent="0.25">
      <c r="A178" t="s">
        <v>817</v>
      </c>
      <c r="B178" t="str">
        <f>IF(COUNTIF(A:A,A178)&gt;1,_xlfn.CONCAT(A178," (",N178,")"),A178)</f>
        <v>Dàxīng Zhèn (Hónghé Hānízú Yízú Zìzhìzhōu)</v>
      </c>
      <c r="C178" t="str">
        <f>IF(COUNTIF(B:B,B178)&gt;1,_xlfn.CONCAT(A178," (",M178,")"),B178)</f>
        <v>Dàxīng Zhèn (Hónghé Hānízú Yízú Zìzhìzhōu)</v>
      </c>
      <c r="D178" t="s">
        <v>818</v>
      </c>
      <c r="E178" t="s">
        <v>11</v>
      </c>
      <c r="F178" t="str">
        <f>_xlfn.CONCAT(D178,", ",H178,", ",I178,", ","云南省")</f>
        <v>大兴镇, 绿春县, 红河哈尼族彝族自治州, 云南省</v>
      </c>
      <c r="G178">
        <v>51812</v>
      </c>
      <c r="H178" t="s">
        <v>2799</v>
      </c>
      <c r="I178" t="s">
        <v>2792</v>
      </c>
      <c r="J178">
        <f>VLOOKUP(F178,[1]!china_towns_second__2[[Column1]:[Y]],3,FALSE)</f>
        <v>23.005159916756199</v>
      </c>
      <c r="K178">
        <f>VLOOKUP(F178,[1]!china_towns_second__2[[Column1]:[Y]],2,FALSE)</f>
        <v>102.34128509999999</v>
      </c>
      <c r="L178" t="s">
        <v>3737</v>
      </c>
      <c r="M178" t="str">
        <f>VLOOKUP(H178,CHOOSE({1,2},Table17[Native],Table17[Name]),2,0)</f>
        <v>Lǜchūn Xiàn</v>
      </c>
      <c r="N178" s="15" t="str">
        <f>VLOOKUP(I178,CHOOSE({1,2},Table17[Native],Table17[Name]),2,0)</f>
        <v>Hónghé Hānízú Yízú Zìzhìzhōu</v>
      </c>
      <c r="O178" s="15" t="str">
        <f t="shared" si="4"/>
        <v>Daxing Zhen (Honghe Hanizu Yizu Zizhizhou) (Hónghé Hānízú Yízú Zìzhìzhōu)</v>
      </c>
      <c r="P178" s="15" t="str">
        <f t="shared" si="5"/>
        <v>Daxing Zhen (Honghe Hanizu Yizu Zizhizhou) (Hónghé Hānízú Yízú Zìzhìzhōu)</v>
      </c>
    </row>
    <row r="179" spans="1:16" hidden="1" x14ac:dyDescent="0.25">
      <c r="A179" t="s">
        <v>817</v>
      </c>
      <c r="B179" t="str">
        <f>IF(COUNTIF(A:A,A179)&gt;1,_xlfn.CONCAT(A179," (",N179,")"),A179)</f>
        <v>Dàxīng Zhèn (Lìjiāng Shì)</v>
      </c>
      <c r="C179" t="str">
        <f>IF(COUNTIF(B:B,B179)&gt;1,_xlfn.CONCAT(A179," (",M179,")"),B179)</f>
        <v>Dàxīng Zhèn (Lìjiāng Shì)</v>
      </c>
      <c r="D179" t="s">
        <v>818</v>
      </c>
      <c r="E179" t="s">
        <v>11</v>
      </c>
      <c r="F179" t="str">
        <f>_xlfn.CONCAT(D179,", ",H179,", ",I179,", ","云南省")</f>
        <v>大兴镇, 宁蒗彝族自治县, 丽江市, 云南省</v>
      </c>
      <c r="G179">
        <v>52568</v>
      </c>
      <c r="H179" t="s">
        <v>2827</v>
      </c>
      <c r="I179" t="s">
        <v>2823</v>
      </c>
      <c r="J179">
        <f>VLOOKUP(F179,[1]!china_towns_second__2[[Column1]:[Y]],3,FALSE)</f>
        <v>27.313858016817701</v>
      </c>
      <c r="K179">
        <f>VLOOKUP(F179,[1]!china_towns_second__2[[Column1]:[Y]],2,FALSE)</f>
        <v>100.8643776</v>
      </c>
      <c r="L179" t="s">
        <v>3738</v>
      </c>
      <c r="M179" t="str">
        <f>VLOOKUP(H179,CHOOSE({1,2},Table17[Native],Table17[Name]),2,0)</f>
        <v>Nínglàng Yízú Zìzhìxiàn</v>
      </c>
      <c r="N179" s="15" t="str">
        <f>VLOOKUP(I179,CHOOSE({1,2},Table17[Native],Table17[Name]),2,0)</f>
        <v>Lìjiāng Shì</v>
      </c>
      <c r="O179" s="15" t="str">
        <f t="shared" si="4"/>
        <v>Daxing Zhen (Lijiang Shi) (Lìjiāng Shì)</v>
      </c>
      <c r="P179" s="15" t="str">
        <f t="shared" si="5"/>
        <v>Daxing Zhen (Lijiang Shi) (Lìjiāng Shì)</v>
      </c>
    </row>
    <row r="180" spans="1:16" hidden="1" x14ac:dyDescent="0.25">
      <c r="A180" t="s">
        <v>817</v>
      </c>
      <c r="B180" t="str">
        <f>IF(COUNTIF(A:A,A180)&gt;1,_xlfn.CONCAT(A180," (",N180,")"),A180)</f>
        <v>Dàxīng Zhèn (Zhāotōng Shì)</v>
      </c>
      <c r="C180" t="str">
        <f>IF(COUNTIF(B:B,B180)&gt;1,_xlfn.CONCAT(A180," (",M180,")"),B180)</f>
        <v>Dàxīng Zhèn (Zhāotōng Shì)</v>
      </c>
      <c r="D180" t="s">
        <v>818</v>
      </c>
      <c r="E180" t="s">
        <v>11</v>
      </c>
      <c r="F180" t="str">
        <f>_xlfn.CONCAT(D180,", ",H180,", ",I180,", ","云南省")</f>
        <v>大兴镇, 永善县, 昭通市, 云南省</v>
      </c>
      <c r="G180">
        <v>33786</v>
      </c>
      <c r="H180" t="s">
        <v>2908</v>
      </c>
      <c r="I180" t="s">
        <v>2899</v>
      </c>
      <c r="J180">
        <f>VLOOKUP(F180,[1]!china_towns_second__2[[Column1]:[Y]],3,FALSE)</f>
        <v>27.695681158256399</v>
      </c>
      <c r="K180">
        <f>VLOOKUP(F180,[1]!china_towns_second__2[[Column1]:[Y]],2,FALSE)</f>
        <v>103.421576</v>
      </c>
      <c r="L180" t="s">
        <v>3739</v>
      </c>
      <c r="M180" t="str">
        <f>VLOOKUP(H180,CHOOSE({1,2},Table17[Native],Table17[Name]),2,0)</f>
        <v>Yŏngshàn Xiàn</v>
      </c>
      <c r="N180" s="15" t="str">
        <f>VLOOKUP(I180,CHOOSE({1,2},Table17[Native],Table17[Name]),2,0)</f>
        <v>Zhāotōng Shì</v>
      </c>
      <c r="O180" s="15" t="str">
        <f t="shared" si="4"/>
        <v>Daxing Zhen (Zhaotong Shi) (Zhāotōng Shì)</v>
      </c>
      <c r="P180" s="15" t="str">
        <f t="shared" si="5"/>
        <v>Daxing Zhen (Zhaotong Shi) (Zhāotōng Shì)</v>
      </c>
    </row>
    <row r="181" spans="1:16" hidden="1" x14ac:dyDescent="0.25">
      <c r="A181" t="s">
        <v>1599</v>
      </c>
      <c r="B181" t="str">
        <f>IF(COUNTIF(A:A,A181)&gt;1,_xlfn.CONCAT(A181," (",N181,")"),A181)</f>
        <v>Dàxīngdì Zhèn</v>
      </c>
      <c r="C181" t="str">
        <f>IF(COUNTIF(B:B,B181)&gt;1,_xlfn.CONCAT(A181," (",M181,")"),B181)</f>
        <v>Dàxīngdì Zhèn</v>
      </c>
      <c r="D181" t="s">
        <v>1600</v>
      </c>
      <c r="E181" t="s">
        <v>11</v>
      </c>
      <c r="F181" t="str">
        <f>_xlfn.CONCAT(D181,", ",H181,", ",I181,", ","云南省")</f>
        <v>大兴地镇, 泸水市, 怒江傈僳族自治州, 云南省</v>
      </c>
      <c r="G181">
        <v>16245</v>
      </c>
      <c r="H181" t="s">
        <v>2846</v>
      </c>
      <c r="I181" t="s">
        <v>2842</v>
      </c>
      <c r="J181">
        <f>VLOOKUP(F181,[1]!china_towns_second__2[[Column1]:[Y]],3,FALSE)</f>
        <v>26.07609595508</v>
      </c>
      <c r="K181">
        <f>VLOOKUP(F181,[1]!china_towns_second__2[[Column1]:[Y]],2,FALSE)</f>
        <v>98.890667250000007</v>
      </c>
      <c r="L181" t="s">
        <v>3740</v>
      </c>
      <c r="M181" t="str">
        <f>VLOOKUP(H181,CHOOSE({1,2},Table17[Native],Table17[Name]),2,0)</f>
        <v>Lúshuĭ Shì</v>
      </c>
      <c r="N181" s="15" t="str">
        <f>VLOOKUP(I181,CHOOSE({1,2},Table17[Native],Table17[Name]),2,0)</f>
        <v>Nùjiāng Lìsùzú Zìzhìzhōu</v>
      </c>
      <c r="O181" s="15" t="str">
        <f t="shared" si="4"/>
        <v>Daxingdi Zhen (Nùjiāng Lìsùzú Zìzhìzhōu)</v>
      </c>
      <c r="P181" s="15" t="str">
        <f t="shared" si="5"/>
        <v>Daxingdi Zhen (Nùjiāng Lìsùzú Zìzhìzhōu)</v>
      </c>
    </row>
    <row r="182" spans="1:16" hidden="1" x14ac:dyDescent="0.25">
      <c r="A182" t="s">
        <v>1468</v>
      </c>
      <c r="B182" t="str">
        <f>IF(COUNTIF(A:A,A182)&gt;1,_xlfn.CONCAT(A182," (",N182,")"),A182)</f>
        <v>Dàxuĕshān Yízú Lāhùzú Dǎizú Xiāng</v>
      </c>
      <c r="C182" t="str">
        <f>IF(COUNTIF(B:B,B182)&gt;1,_xlfn.CONCAT(A182," (",M182,")"),B182)</f>
        <v>Dàxuĕshān Yízú Lāhùzú Dǎizú Xiāng</v>
      </c>
      <c r="D182" t="s">
        <v>1469</v>
      </c>
      <c r="E182" t="s">
        <v>7</v>
      </c>
      <c r="F182" t="str">
        <f>_xlfn.CONCAT(D182,", ",H182,", ",I182,", ","云南省")</f>
        <v>大雪山彝族拉祜族傣族乡, 永德县, 临沧市, 云南省</v>
      </c>
      <c r="G182">
        <v>20644</v>
      </c>
      <c r="H182" t="s">
        <v>2837</v>
      </c>
      <c r="I182" t="s">
        <v>2831</v>
      </c>
      <c r="J182" t="e">
        <f>VLOOKUP(F182,[1]!china_towns_second__2[[Column1]:[Y]],3,FALSE)</f>
        <v>#N/A</v>
      </c>
      <c r="K182" t="e">
        <f>VLOOKUP(F182,[1]!china_towns_second__2[[Column1]:[Y]],2,FALSE)</f>
        <v>#N/A</v>
      </c>
      <c r="L182" t="s">
        <v>3741</v>
      </c>
      <c r="M182" t="str">
        <f>VLOOKUP(H182,CHOOSE({1,2},Table17[Native],Table17[Name]),2,0)</f>
        <v>Yŏngdé Xiàn</v>
      </c>
      <c r="N182" s="15" t="str">
        <f>VLOOKUP(I182,CHOOSE({1,2},Table17[Native],Table17[Name]),2,0)</f>
        <v>Líncāng Shì</v>
      </c>
      <c r="O182" s="15" t="str">
        <f t="shared" si="4"/>
        <v>Daxueshan Yizu Lahuzu Daizu Xiang (Líncāng Shì)</v>
      </c>
      <c r="P182" s="15" t="str">
        <f t="shared" si="5"/>
        <v>Daxueshan Yizu Lahuzu Daizu Xiang (Líncāng Shì)</v>
      </c>
    </row>
    <row r="183" spans="1:16" hidden="1" x14ac:dyDescent="0.25">
      <c r="A183" t="s">
        <v>1327</v>
      </c>
      <c r="B183" t="str">
        <f>IF(COUNTIF(A:A,A183)&gt;1,_xlfn.CONCAT(A183," (",N183,")"),A183)</f>
        <v>Dàyán Jiēdào</v>
      </c>
      <c r="C183" t="str">
        <f>IF(COUNTIF(B:B,B183)&gt;1,_xlfn.CONCAT(A183," (",M183,")"),B183)</f>
        <v>Dàyán Jiēdào</v>
      </c>
      <c r="D183" t="s">
        <v>1328</v>
      </c>
      <c r="E183" t="s">
        <v>42</v>
      </c>
      <c r="F183" t="str">
        <f>_xlfn.CONCAT(D183,", ",H183,", ",I183,", ","云南省")</f>
        <v>大研街道, 古城区, 丽江市, 云南省</v>
      </c>
      <c r="G183">
        <v>31005</v>
      </c>
      <c r="H183" t="s">
        <v>2824</v>
      </c>
      <c r="I183" t="s">
        <v>2823</v>
      </c>
      <c r="J183">
        <f>VLOOKUP(F183,[1]!china_towns_second__2[[Column1]:[Y]],3,FALSE)</f>
        <v>26.888020589424599</v>
      </c>
      <c r="K183">
        <f>VLOOKUP(F183,[1]!china_towns_second__2[[Column1]:[Y]],2,FALSE)</f>
        <v>100.25614849999999</v>
      </c>
      <c r="L183" t="s">
        <v>3742</v>
      </c>
      <c r="M183" t="str">
        <f>VLOOKUP(H183,CHOOSE({1,2},Table17[Native],Table17[Name]),2,0)</f>
        <v>Gŭchéng Qū</v>
      </c>
      <c r="N183" s="15" t="str">
        <f>VLOOKUP(I183,CHOOSE({1,2},Table17[Native],Table17[Name]),2,0)</f>
        <v>Lìjiāng Shì</v>
      </c>
      <c r="O183" s="15" t="str">
        <f t="shared" si="4"/>
        <v>Dayan Jiedao (Lìjiāng Shì)</v>
      </c>
      <c r="P183" s="15" t="str">
        <f t="shared" si="5"/>
        <v>Dayan Jiedao (Lìjiāng Shì)</v>
      </c>
    </row>
    <row r="184" spans="1:16" hidden="1" x14ac:dyDescent="0.25">
      <c r="A184" t="s">
        <v>819</v>
      </c>
      <c r="B184" t="str">
        <f>IF(COUNTIF(A:A,A184)&gt;1,_xlfn.CONCAT(A184," (",N184,")"),A184)</f>
        <v>Dàyángjiē Xiāng</v>
      </c>
      <c r="C184" t="str">
        <f>IF(COUNTIF(B:B,B184)&gt;1,_xlfn.CONCAT(A184," (",M184,")"),B184)</f>
        <v>Dàyángjiē Xiāng</v>
      </c>
      <c r="D184" t="s">
        <v>820</v>
      </c>
      <c r="E184" t="s">
        <v>7</v>
      </c>
      <c r="F184" t="str">
        <f>_xlfn.CONCAT(D184,", ",H184,", ",I184,", ","云南省")</f>
        <v>大羊街乡, 红河县, 红河哈尼族彝族自治州, 云南省</v>
      </c>
      <c r="G184">
        <v>19175</v>
      </c>
      <c r="H184" t="s">
        <v>2795</v>
      </c>
      <c r="I184" t="s">
        <v>2792</v>
      </c>
      <c r="J184" t="e">
        <f>VLOOKUP(F184,[1]!china_towns_second__2[[Column1]:[Y]],3,FALSE)</f>
        <v>#N/A</v>
      </c>
      <c r="K184" t="e">
        <f>VLOOKUP(F184,[1]!china_towns_second__2[[Column1]:[Y]],2,FALSE)</f>
        <v>#N/A</v>
      </c>
      <c r="L184" t="s">
        <v>3743</v>
      </c>
      <c r="M184" t="str">
        <f>VLOOKUP(H184,CHOOSE({1,2},Table17[Native],Table17[Name]),2,0)</f>
        <v>Hónghé Xiàn</v>
      </c>
      <c r="N184" s="15" t="str">
        <f>VLOOKUP(I184,CHOOSE({1,2},Table17[Native],Table17[Name]),2,0)</f>
        <v>Hónghé Hānízú Yízú Zìzhìzhōu</v>
      </c>
      <c r="O184" s="15" t="str">
        <f t="shared" si="4"/>
        <v>Dayangjie Xiang (Hónghé Hānízú Yízú Zìzhìzhōu)</v>
      </c>
      <c r="P184" s="15" t="str">
        <f t="shared" si="5"/>
        <v>Dayangjie Xiang (Hónghé Hānízú Yízú Zìzhìzhōu)</v>
      </c>
    </row>
    <row r="185" spans="1:16" hidden="1" x14ac:dyDescent="0.25">
      <c r="A185" t="s">
        <v>408</v>
      </c>
      <c r="B185" t="str">
        <f>IF(COUNTIF(A:A,A185)&gt;1,_xlfn.CONCAT(A185," (",N185,")"),A185)</f>
        <v>Dàyíng Zhèn</v>
      </c>
      <c r="C185" t="str">
        <f>IF(COUNTIF(B:B,B185)&gt;1,_xlfn.CONCAT(A185," (",M185,")"),B185)</f>
        <v>Dàyíng Zhèn</v>
      </c>
      <c r="D185" t="s">
        <v>409</v>
      </c>
      <c r="E185" t="s">
        <v>11</v>
      </c>
      <c r="F185" t="str">
        <f>_xlfn.CONCAT(D185,", ",H185,", ",I185,", ","云南省")</f>
        <v>大营镇, 宾川县, 大理白族自治州, 云南省</v>
      </c>
      <c r="G185">
        <v>24148</v>
      </c>
      <c r="H185" t="s">
        <v>2764</v>
      </c>
      <c r="I185" t="s">
        <v>2763</v>
      </c>
      <c r="J185">
        <f>VLOOKUP(F185,[1]!china_towns_second__2[[Column1]:[Y]],3,FALSE)</f>
        <v>25.762492062910901</v>
      </c>
      <c r="K185">
        <f>VLOOKUP(F185,[1]!china_towns_second__2[[Column1]:[Y]],2,FALSE)</f>
        <v>100.39249839999999</v>
      </c>
      <c r="L185" t="s">
        <v>3744</v>
      </c>
      <c r="M185" t="str">
        <f>VLOOKUP(H185,CHOOSE({1,2},Table17[Native],Table17[Name]),2,0)</f>
        <v>Bīnchuān Xiàn</v>
      </c>
      <c r="N185" s="15" t="str">
        <f>VLOOKUP(I185,CHOOSE({1,2},Table17[Native],Table17[Name]),2,0)</f>
        <v>Dàlĭ Báizú Zìzhìzhōu</v>
      </c>
      <c r="O185" s="15" t="str">
        <f t="shared" si="4"/>
        <v>Daying Zhen (Dàlĭ Báizú Zìzhìzhōu)</v>
      </c>
      <c r="P185" s="15" t="str">
        <f t="shared" si="5"/>
        <v>Daying Zhen (Dàlĭ Báizú Zìzhìzhōu)</v>
      </c>
    </row>
    <row r="186" spans="1:16" hidden="1" x14ac:dyDescent="0.25">
      <c r="A186" t="s">
        <v>2338</v>
      </c>
      <c r="B186" t="str">
        <f>IF(COUNTIF(A:A,A186)&gt;1,_xlfn.CONCAT(A186," (",N186,")"),A186)</f>
        <v>Dàyíngjiē Jiēdào</v>
      </c>
      <c r="C186" t="str">
        <f>IF(COUNTIF(B:B,B186)&gt;1,_xlfn.CONCAT(A186," (",M186,")"),B186)</f>
        <v>Dàyíngjiē Jiēdào</v>
      </c>
      <c r="D186" t="s">
        <v>2339</v>
      </c>
      <c r="E186" t="s">
        <v>42</v>
      </c>
      <c r="F186" t="str">
        <f>_xlfn.CONCAT(D186,", ",H186,", ",I186,", ","云南省")</f>
        <v>大营街街道, 红塔区, 玉溪市, 云南省</v>
      </c>
      <c r="G186">
        <v>49339</v>
      </c>
      <c r="H186" t="s">
        <v>2891</v>
      </c>
      <c r="I186" t="s">
        <v>2888</v>
      </c>
      <c r="J186">
        <f>VLOOKUP(F186,[1]!china_towns_second__2[[Column1]:[Y]],3,FALSE)</f>
        <v>24.329347857460299</v>
      </c>
      <c r="K186">
        <f>VLOOKUP(F186,[1]!china_towns_second__2[[Column1]:[Y]],2,FALSE)</f>
        <v>102.453565</v>
      </c>
      <c r="L186" t="s">
        <v>3745</v>
      </c>
      <c r="M186" t="str">
        <f>VLOOKUP(H186,CHOOSE({1,2},Table17[Native],Table17[Name]),2,0)</f>
        <v>Hóngtă Qū</v>
      </c>
      <c r="N186" s="15" t="str">
        <f>VLOOKUP(I186,CHOOSE({1,2},Table17[Native],Table17[Name]),2,0)</f>
        <v>Yùxī Shì</v>
      </c>
      <c r="O186" s="15" t="str">
        <f t="shared" si="4"/>
        <v>Dayingjie Jiedao (Yùxī Shì)</v>
      </c>
      <c r="P186" s="15" t="str">
        <f t="shared" si="5"/>
        <v>Dayingjie Jiedao (Yùxī Shì)</v>
      </c>
    </row>
    <row r="187" spans="1:16" hidden="1" x14ac:dyDescent="0.25">
      <c r="A187" t="s">
        <v>1073</v>
      </c>
      <c r="B187" t="str">
        <f>IF(COUNTIF(A:A,A187)&gt;1,_xlfn.CONCAT(A187," (",N187,")"),A187)</f>
        <v>Dàyú Jiēdào</v>
      </c>
      <c r="C187" t="str">
        <f>IF(COUNTIF(B:B,B187)&gt;1,_xlfn.CONCAT(A187," (",M187,")"),B187)</f>
        <v>Dàyú Jiēdào</v>
      </c>
      <c r="D187" t="s">
        <v>1074</v>
      </c>
      <c r="E187" t="s">
        <v>42</v>
      </c>
      <c r="F187" t="str">
        <f>_xlfn.CONCAT(D187,", ",H187,", ",I187,", ","云南省")</f>
        <v>大渔街道, 呈贡区, 昆明市, 云南省</v>
      </c>
      <c r="G187">
        <v>21248</v>
      </c>
      <c r="H187" t="s">
        <v>2809</v>
      </c>
      <c r="I187" t="s">
        <v>2807</v>
      </c>
      <c r="J187">
        <f>VLOOKUP(F187,[1]!china_towns_second__2[[Column1]:[Y]],3,FALSE)</f>
        <v>24.814915500310601</v>
      </c>
      <c r="K187">
        <f>VLOOKUP(F187,[1]!china_towns_second__2[[Column1]:[Y]],2,FALSE)</f>
        <v>102.7827539</v>
      </c>
      <c r="L187" t="s">
        <v>3746</v>
      </c>
      <c r="M187" t="str">
        <f>VLOOKUP(H187,CHOOSE({1,2},Table17[Native],Table17[Name]),2,0)</f>
        <v>Chénggòng Qū</v>
      </c>
      <c r="N187" s="15" t="str">
        <f>VLOOKUP(I187,CHOOSE({1,2},Table17[Native],Table17[Name]),2,0)</f>
        <v>Kūnmíng Shì</v>
      </c>
      <c r="O187" s="15" t="str">
        <f t="shared" si="4"/>
        <v>Dayu Jiedao (Kūnmíng Shì)</v>
      </c>
      <c r="P187" s="15" t="str">
        <f t="shared" si="5"/>
        <v>Dayu Jiedao (Kūnmíng Shì)</v>
      </c>
    </row>
    <row r="188" spans="1:16" hidden="1" x14ac:dyDescent="0.25">
      <c r="A188" t="s">
        <v>821</v>
      </c>
      <c r="B188" t="str">
        <f>IF(COUNTIF(A:A,A188)&gt;1,_xlfn.CONCAT(A188," (",N188,")"),A188)</f>
        <v>Dàzhài Xiāng</v>
      </c>
      <c r="C188" t="str">
        <f>IF(COUNTIF(B:B,B188)&gt;1,_xlfn.CONCAT(A188," (",M188,")"),B188)</f>
        <v>Dàzhài Xiāng</v>
      </c>
      <c r="D188" t="s">
        <v>822</v>
      </c>
      <c r="E188" t="s">
        <v>7</v>
      </c>
      <c r="F188" t="str">
        <f>_xlfn.CONCAT(D188,", ",H188,", ",I188,", ","云南省")</f>
        <v>大寨乡, 金平苗族瑶族傣族自治县, 红河哈尼族彝族自治州, 云南省</v>
      </c>
      <c r="G188">
        <v>16562</v>
      </c>
      <c r="H188" t="s">
        <v>2797</v>
      </c>
      <c r="I188" t="s">
        <v>2792</v>
      </c>
      <c r="J188" t="e">
        <f>VLOOKUP(F188,[1]!china_towns_second__2[[Column1]:[Y]],3,FALSE)</f>
        <v>#N/A</v>
      </c>
      <c r="K188" t="e">
        <f>VLOOKUP(F188,[1]!china_towns_second__2[[Column1]:[Y]],2,FALSE)</f>
        <v>#N/A</v>
      </c>
      <c r="L188" t="s">
        <v>3747</v>
      </c>
      <c r="M188" t="str">
        <f>VLOOKUP(H188,CHOOSE({1,2},Table17[Native],Table17[Name]),2,0)</f>
        <v>Jīnpíng Miáozú Yáozú Dăizú Zìzhìxiàn</v>
      </c>
      <c r="N188" s="15" t="str">
        <f>VLOOKUP(I188,CHOOSE({1,2},Table17[Native],Table17[Name]),2,0)</f>
        <v>Hónghé Hānízú Yízú Zìzhìzhōu</v>
      </c>
      <c r="O188" s="15" t="str">
        <f t="shared" si="4"/>
        <v>Dazhai Xiang (Hónghé Hānízú Yízú Zìzhìzhōu)</v>
      </c>
      <c r="P188" s="15" t="str">
        <f t="shared" si="5"/>
        <v>Dazhai Xiang (Hónghé Hānízú Yízú Zìzhìzhōu)</v>
      </c>
    </row>
    <row r="189" spans="1:16" hidden="1" x14ac:dyDescent="0.25">
      <c r="A189" t="s">
        <v>1470</v>
      </c>
      <c r="B189" t="str">
        <f>IF(COUNTIF(A:A,A189)&gt;1,_xlfn.CONCAT(A189," (",N189,")"),A189)</f>
        <v>Dàzhài Zhèn (Líncāng Shì)</v>
      </c>
      <c r="C189" t="str">
        <f>IF(COUNTIF(B:B,B189)&gt;1,_xlfn.CONCAT(A189," (",M189,")"),B189)</f>
        <v>Dàzhài Zhèn (Líncāng Shì)</v>
      </c>
      <c r="D189" t="s">
        <v>1471</v>
      </c>
      <c r="E189" t="s">
        <v>11</v>
      </c>
      <c r="F189" t="str">
        <f>_xlfn.CONCAT(D189,", ",H189,", ",I189,", ","云南省")</f>
        <v>大寨镇, 云县, 临沧市, 云南省</v>
      </c>
      <c r="G189">
        <v>35767</v>
      </c>
      <c r="H189" t="s">
        <v>2838</v>
      </c>
      <c r="I189" t="s">
        <v>2831</v>
      </c>
      <c r="J189">
        <f>VLOOKUP(F189,[1]!china_towns_second__2[[Column1]:[Y]],3,FALSE)</f>
        <v>24.1412722914726</v>
      </c>
      <c r="K189">
        <f>VLOOKUP(F189,[1]!china_towns_second__2[[Column1]:[Y]],2,FALSE)</f>
        <v>100.2407451</v>
      </c>
      <c r="L189" t="s">
        <v>3748</v>
      </c>
      <c r="M189" t="str">
        <f>VLOOKUP(H189,CHOOSE({1,2},Table17[Native],Table17[Name]),2,0)</f>
        <v>Yún Xiàn</v>
      </c>
      <c r="N189" s="15" t="str">
        <f>VLOOKUP(I189,CHOOSE({1,2},Table17[Native],Table17[Name]),2,0)</f>
        <v>Líncāng Shì</v>
      </c>
      <c r="O189" s="15" t="str">
        <f t="shared" si="4"/>
        <v>Dazhai Zhen (Lincang Shi) (Líncāng Shì)</v>
      </c>
      <c r="P189" s="15" t="str">
        <f t="shared" si="5"/>
        <v>Dazhai Zhen (Lincang Shi) (Líncāng Shì)</v>
      </c>
    </row>
    <row r="190" spans="1:16" hidden="1" x14ac:dyDescent="0.25">
      <c r="A190" t="s">
        <v>1470</v>
      </c>
      <c r="B190" t="str">
        <f>IF(COUNTIF(A:A,A190)&gt;1,_xlfn.CONCAT(A190," (",N190,")"),A190)</f>
        <v>Dàzhài Zhèn (Zhāotōng Shì)</v>
      </c>
      <c r="C190" t="str">
        <f>IF(COUNTIF(B:B,B190)&gt;1,_xlfn.CONCAT(A190," (",M190,")"),B190)</f>
        <v>Dàzhài Zhèn (Zhāotōng Shì)</v>
      </c>
      <c r="D190" t="s">
        <v>1471</v>
      </c>
      <c r="E190" t="s">
        <v>11</v>
      </c>
      <c r="F190" t="str">
        <f>_xlfn.CONCAT(D190,", ",H190,", ",I190,", ","云南省")</f>
        <v>大寨镇, 巧家县, 昭通市, 云南省</v>
      </c>
      <c r="G190">
        <v>33866</v>
      </c>
      <c r="H190" t="s">
        <v>2902</v>
      </c>
      <c r="I190" t="s">
        <v>2899</v>
      </c>
      <c r="J190">
        <f>VLOOKUP(F190,[1]!china_towns_second__2[[Column1]:[Y]],3,FALSE)</f>
        <v>27.217395671605001</v>
      </c>
      <c r="K190">
        <f>VLOOKUP(F190,[1]!china_towns_second__2[[Column1]:[Y]],2,FALSE)</f>
        <v>102.9593241</v>
      </c>
      <c r="L190" t="s">
        <v>3749</v>
      </c>
      <c r="M190" t="str">
        <f>VLOOKUP(H190,CHOOSE({1,2},Table17[Native],Table17[Name]),2,0)</f>
        <v>Qiăojiā Xiàn</v>
      </c>
      <c r="N190" s="15" t="str">
        <f>VLOOKUP(I190,CHOOSE({1,2},Table17[Native],Table17[Name]),2,0)</f>
        <v>Zhāotōng Shì</v>
      </c>
      <c r="O190" s="15" t="str">
        <f t="shared" si="4"/>
        <v>Dazhai Zhen (Zhaotong Shi) (Zhāotōng Shì)</v>
      </c>
      <c r="P190" s="15" t="str">
        <f t="shared" si="5"/>
        <v>Dazhai Zhen (Zhaotong Shi) (Zhāotōng Shì)</v>
      </c>
    </row>
    <row r="191" spans="1:16" hidden="1" x14ac:dyDescent="0.25">
      <c r="A191" t="s">
        <v>2497</v>
      </c>
      <c r="B191" t="str">
        <f>IF(COUNTIF(A:A,A191)&gt;1,_xlfn.CONCAT(A191," (",N191,")"),A191)</f>
        <v>Dàzhàizi Xiāng</v>
      </c>
      <c r="C191" t="str">
        <f>IF(COUNTIF(B:B,B191)&gt;1,_xlfn.CONCAT(A191," (",M191,")"),B191)</f>
        <v>Dàzhàizi Xiāng</v>
      </c>
      <c r="D191" t="s">
        <v>2498</v>
      </c>
      <c r="E191" t="s">
        <v>7</v>
      </c>
      <c r="F191" t="str">
        <f>_xlfn.CONCAT(D191,", ",H191,", ",I191,", ","云南省")</f>
        <v>大寨子乡, 昭阳区, 昭通市, 云南省</v>
      </c>
      <c r="G191">
        <v>10064</v>
      </c>
      <c r="H191" t="s">
        <v>2909</v>
      </c>
      <c r="I191" t="s">
        <v>2899</v>
      </c>
      <c r="J191" t="e">
        <f>VLOOKUP(F191,[1]!china_towns_second__2[[Column1]:[Y]],3,FALSE)</f>
        <v>#N/A</v>
      </c>
      <c r="K191" t="e">
        <f>VLOOKUP(F191,[1]!china_towns_second__2[[Column1]:[Y]],2,FALSE)</f>
        <v>#N/A</v>
      </c>
      <c r="L191" t="s">
        <v>3750</v>
      </c>
      <c r="M191" t="str">
        <f>VLOOKUP(H191,CHOOSE({1,2},Table17[Native],Table17[Name]),2,0)</f>
        <v>Zhāoyáng Qū</v>
      </c>
      <c r="N191" s="15" t="str">
        <f>VLOOKUP(I191,CHOOSE({1,2},Table17[Native],Table17[Name]),2,0)</f>
        <v>Zhāotōng Shì</v>
      </c>
      <c r="O191" s="15" t="str">
        <f t="shared" si="4"/>
        <v>Dazhaizi Xiang (Zhāotōng Shì)</v>
      </c>
      <c r="P191" s="15" t="str">
        <f t="shared" si="5"/>
        <v>Dazhaizi Xiang (Zhāotōng Shì)</v>
      </c>
    </row>
    <row r="192" spans="1:16" hidden="1" x14ac:dyDescent="0.25">
      <c r="A192" t="s">
        <v>823</v>
      </c>
      <c r="B192" t="str">
        <f>IF(COUNTIF(A:A,A192)&gt;1,_xlfn.CONCAT(A192," (",N192,")"),A192)</f>
        <v>Dàzhuāng Huízú Xiāng</v>
      </c>
      <c r="C192" t="str">
        <f>IF(COUNTIF(B:B,B192)&gt;1,_xlfn.CONCAT(A192," (",M192,")"),B192)</f>
        <v>Dàzhuāng Huízú Xiāng</v>
      </c>
      <c r="D192" t="s">
        <v>824</v>
      </c>
      <c r="E192" t="s">
        <v>7</v>
      </c>
      <c r="F192" t="str">
        <f>_xlfn.CONCAT(D192,", ",H192,", ",I192,", ","云南省")</f>
        <v>大庄回族乡, 开远市, 红河哈尼族彝族自治州, 云南省</v>
      </c>
      <c r="G192">
        <v>19453</v>
      </c>
      <c r="H192" t="s">
        <v>2798</v>
      </c>
      <c r="I192" t="s">
        <v>2792</v>
      </c>
      <c r="J192" t="e">
        <f>VLOOKUP(F192,[1]!china_towns_second__2[[Column1]:[Y]],3,FALSE)</f>
        <v>#N/A</v>
      </c>
      <c r="K192" t="e">
        <f>VLOOKUP(F192,[1]!china_towns_second__2[[Column1]:[Y]],2,FALSE)</f>
        <v>#N/A</v>
      </c>
      <c r="L192" t="s">
        <v>3751</v>
      </c>
      <c r="M192" t="str">
        <f>VLOOKUP(H192,CHOOSE({1,2},Table17[Native],Table17[Name]),2,0)</f>
        <v>Kāiyuăn Shì</v>
      </c>
      <c r="N192" s="15" t="str">
        <f>VLOOKUP(I192,CHOOSE({1,2},Table17[Native],Table17[Name]),2,0)</f>
        <v>Hónghé Hānízú Yízú Zìzhìzhōu</v>
      </c>
      <c r="O192" s="15" t="str">
        <f t="shared" si="4"/>
        <v>Dazhuang Huizu Xiang (Hónghé Hānízú Yízú Zìzhìzhōu)</v>
      </c>
      <c r="P192" s="15" t="str">
        <f t="shared" si="5"/>
        <v>Dazhuang Huizu Xiang (Hónghé Hānízú Yízú Zìzhìzhōu)</v>
      </c>
    </row>
    <row r="193" spans="1:16" hidden="1" x14ac:dyDescent="0.25">
      <c r="A193" t="s">
        <v>1891</v>
      </c>
      <c r="B193" t="str">
        <f>IF(COUNTIF(A:A,A193)&gt;1,_xlfn.CONCAT(A193," (",N193,")"),A193)</f>
        <v>Dàzhuāng Xiāng</v>
      </c>
      <c r="C193" t="str">
        <f>IF(COUNTIF(B:B,B193)&gt;1,_xlfn.CONCAT(A193," (",M193,")"),B193)</f>
        <v>Dàzhuāng Xiāng</v>
      </c>
      <c r="D193" t="s">
        <v>1892</v>
      </c>
      <c r="E193" t="s">
        <v>7</v>
      </c>
      <c r="F193" t="str">
        <f>_xlfn.CONCAT(D193,", ",H193,", ",I193,", ","云南省")</f>
        <v>大庄乡, 马龙区, 曲靖市, 云南省</v>
      </c>
      <c r="G193">
        <v>12043</v>
      </c>
      <c r="H193" t="s">
        <v>2865</v>
      </c>
      <c r="I193" t="s">
        <v>2860</v>
      </c>
      <c r="J193" t="e">
        <f>VLOOKUP(F193,[1]!china_towns_second__2[[Column1]:[Y]],3,FALSE)</f>
        <v>#N/A</v>
      </c>
      <c r="K193" t="e">
        <f>VLOOKUP(F193,[1]!china_towns_second__2[[Column1]:[Y]],2,FALSE)</f>
        <v>#N/A</v>
      </c>
      <c r="L193" t="s">
        <v>3752</v>
      </c>
      <c r="M193" t="str">
        <f>VLOOKUP(H193,CHOOSE({1,2},Table17[Native],Table17[Name]),2,0)</f>
        <v>Mălóng Qū</v>
      </c>
      <c r="N193" s="15" t="str">
        <f>VLOOKUP(I193,CHOOSE({1,2},Table17[Native],Table17[Name]),2,0)</f>
        <v>Qŭjìng Shì</v>
      </c>
      <c r="O193" s="15" t="str">
        <f t="shared" si="4"/>
        <v>Dazhuang Xiang (Qŭjìng Shì)</v>
      </c>
      <c r="P193" s="15" t="str">
        <f t="shared" si="5"/>
        <v>Dazhuang Xiang (Qŭjìng Shì)</v>
      </c>
    </row>
    <row r="194" spans="1:16" hidden="1" x14ac:dyDescent="0.25">
      <c r="A194" t="s">
        <v>189</v>
      </c>
      <c r="B194" t="str">
        <f>IF(COUNTIF(A:A,A194)&gt;1,_xlfn.CONCAT(A194," (",N194,")"),A194)</f>
        <v>Dàzhuāng Zhèn</v>
      </c>
      <c r="C194" t="str">
        <f>IF(COUNTIF(B:B,B194)&gt;1,_xlfn.CONCAT(A194," (",M194,")"),B194)</f>
        <v>Dàzhuāng Zhèn</v>
      </c>
      <c r="D194" t="s">
        <v>190</v>
      </c>
      <c r="E194" t="s">
        <v>11</v>
      </c>
      <c r="F194" t="str">
        <f>_xlfn.CONCAT(D194,", ",H194,", ",I194,", ","云南省")</f>
        <v>大庄镇, 双柏县, 楚雄彝族自治州, 云南省</v>
      </c>
      <c r="G194">
        <v>26880</v>
      </c>
      <c r="H194" t="s">
        <v>2756</v>
      </c>
      <c r="I194" t="s">
        <v>2750</v>
      </c>
      <c r="J194">
        <f>VLOOKUP(F194,[1]!china_towns_second__2[[Column1]:[Y]],3,FALSE)</f>
        <v>24.764283727071099</v>
      </c>
      <c r="K194">
        <f>VLOOKUP(F194,[1]!china_towns_second__2[[Column1]:[Y]],2,FALSE)</f>
        <v>101.8619194</v>
      </c>
      <c r="L194" t="s">
        <v>3753</v>
      </c>
      <c r="M194" t="str">
        <f>VLOOKUP(H194,CHOOSE({1,2},Table17[Native],Table17[Name]),2,0)</f>
        <v>Shuāngbǎi Xiàn</v>
      </c>
      <c r="N194" s="15" t="str">
        <f>VLOOKUP(I194,CHOOSE({1,2},Table17[Native],Table17[Name]),2,0)</f>
        <v>Chŭxióng Yízú Zìzhìzhōu</v>
      </c>
      <c r="O194" s="15" t="str">
        <f t="shared" ref="O194:O257" si="6">_xlfn.CONCAT(L194," (",N194,")")</f>
        <v>Dazhuang Zhen (Chŭxióng Yízú Zìzhìzhōu)</v>
      </c>
      <c r="P194" s="15" t="str">
        <f t="shared" ref="P194:P257" si="7">IF(COUNTIF(O:O,O194)&gt;1,_xlfn.CONCAT(L194," (",M194,")"),O194)</f>
        <v>Dazhuang Zhen (Chŭxióng Yízú Zìzhìzhōu)</v>
      </c>
    </row>
    <row r="195" spans="1:16" hidden="1" x14ac:dyDescent="0.25">
      <c r="A195" t="s">
        <v>1671</v>
      </c>
      <c r="B195" t="str">
        <f>IF(COUNTIF(A:A,A195)&gt;1,_xlfn.CONCAT(A195," (",N195,")"),A195)</f>
        <v>Dé'ān Xiāng</v>
      </c>
      <c r="C195" t="str">
        <f>IF(COUNTIF(B:B,B195)&gt;1,_xlfn.CONCAT(A195," (",M195,")"),B195)</f>
        <v>Dé'ān Xiāng</v>
      </c>
      <c r="D195" t="s">
        <v>1672</v>
      </c>
      <c r="E195" t="s">
        <v>7</v>
      </c>
      <c r="F195" t="str">
        <f>_xlfn.CONCAT(D195,", ",H195,", ",I195,", ","云南省")</f>
        <v>德安乡, 宁洱哈尼族彝族自治县, 普洱市, 云南省</v>
      </c>
      <c r="G195">
        <v>9840</v>
      </c>
      <c r="H195" t="s">
        <v>2855</v>
      </c>
      <c r="I195" t="s">
        <v>2848</v>
      </c>
      <c r="J195" t="e">
        <f>VLOOKUP(F195,[1]!china_towns_second__2[[Column1]:[Y]],3,FALSE)</f>
        <v>#N/A</v>
      </c>
      <c r="K195" t="e">
        <f>VLOOKUP(F195,[1]!china_towns_second__2[[Column1]:[Y]],2,FALSE)</f>
        <v>#N/A</v>
      </c>
      <c r="L195" t="s">
        <v>3754</v>
      </c>
      <c r="M195" t="str">
        <f>VLOOKUP(H195,CHOOSE({1,2},Table17[Native],Table17[Name]),2,0)</f>
        <v>Níng'ĕr Hānízú Yízú Zìzhìxiàn</v>
      </c>
      <c r="N195" s="15" t="str">
        <f>VLOOKUP(I195,CHOOSE({1,2},Table17[Native],Table17[Name]),2,0)</f>
        <v>Pŭ'ĕr Shì</v>
      </c>
      <c r="O195" s="15" t="str">
        <f t="shared" si="6"/>
        <v>De'an Xiang (Pŭ'ĕr Shì)</v>
      </c>
      <c r="P195" s="15" t="str">
        <f t="shared" si="7"/>
        <v>De'an Xiang (Pŭ'ĕr Shì)</v>
      </c>
    </row>
    <row r="196" spans="1:16" hidden="1" x14ac:dyDescent="0.25">
      <c r="A196" t="s">
        <v>1472</v>
      </c>
      <c r="B196" t="str">
        <f>IF(COUNTIF(A:A,A196)&gt;1,_xlfn.CONCAT(A196," (",N196,")"),A196)</f>
        <v>Dédăng Zhèn</v>
      </c>
      <c r="C196" t="str">
        <f>IF(COUNTIF(B:B,B196)&gt;1,_xlfn.CONCAT(A196," (",M196,")"),B196)</f>
        <v>Dédăng Zhèn</v>
      </c>
      <c r="D196" t="s">
        <v>1473</v>
      </c>
      <c r="E196" t="s">
        <v>11</v>
      </c>
      <c r="F196" t="str">
        <f>_xlfn.CONCAT(D196,", ",H196,", ",I196,", ","云南省")</f>
        <v>德党镇, 永德县, 临沧市, 云南省</v>
      </c>
      <c r="G196">
        <v>65842</v>
      </c>
      <c r="H196" t="s">
        <v>2837</v>
      </c>
      <c r="I196" t="s">
        <v>2831</v>
      </c>
      <c r="J196">
        <f>VLOOKUP(F196,[1]!china_towns_second__2[[Column1]:[Y]],3,FALSE)</f>
        <v>23.933632363361301</v>
      </c>
      <c r="K196">
        <f>VLOOKUP(F196,[1]!china_towns_second__2[[Column1]:[Y]],2,FALSE)</f>
        <v>99.246107570000007</v>
      </c>
      <c r="L196" t="s">
        <v>3755</v>
      </c>
      <c r="M196" t="str">
        <f>VLOOKUP(H196,CHOOSE({1,2},Table17[Native],Table17[Name]),2,0)</f>
        <v>Yŏngdé Xiàn</v>
      </c>
      <c r="N196" s="15" t="str">
        <f>VLOOKUP(I196,CHOOSE({1,2},Table17[Native],Table17[Name]),2,0)</f>
        <v>Líncāng Shì</v>
      </c>
      <c r="O196" s="15" t="str">
        <f t="shared" si="6"/>
        <v>Dedang Zhen (Líncāng Shì)</v>
      </c>
      <c r="P196" s="15" t="str">
        <f t="shared" si="7"/>
        <v>Dedang Zhen (Líncāng Shì)</v>
      </c>
    </row>
    <row r="197" spans="1:16" hidden="1" x14ac:dyDescent="0.25">
      <c r="A197" t="s">
        <v>2107</v>
      </c>
      <c r="B197" t="str">
        <f>IF(COUNTIF(A:A,A197)&gt;1,_xlfn.CONCAT(A197," (",N197,")"),A197)</f>
        <v>Déhòu Zhèn</v>
      </c>
      <c r="C197" t="str">
        <f>IF(COUNTIF(B:B,B197)&gt;1,_xlfn.CONCAT(A197," (",M197,")"),B197)</f>
        <v>Déhòu Zhèn</v>
      </c>
      <c r="D197" t="s">
        <v>2108</v>
      </c>
      <c r="E197" t="s">
        <v>11</v>
      </c>
      <c r="F197" t="str">
        <f>_xlfn.CONCAT(D197,", ",H197,", ",I197,", ","云南省")</f>
        <v>德厚镇, 文山市, 文山壮族苗族自治州, 云南省</v>
      </c>
      <c r="G197">
        <v>33125</v>
      </c>
      <c r="H197" t="s">
        <v>2878</v>
      </c>
      <c r="I197" t="s">
        <v>2872</v>
      </c>
      <c r="J197">
        <f>VLOOKUP(F197,[1]!china_towns_second__2[[Column1]:[Y]],3,FALSE)</f>
        <v>23.5679997269573</v>
      </c>
      <c r="K197">
        <f>VLOOKUP(F197,[1]!china_towns_second__2[[Column1]:[Y]],2,FALSE)</f>
        <v>103.8547617</v>
      </c>
      <c r="L197" t="s">
        <v>3756</v>
      </c>
      <c r="M197" t="str">
        <f>VLOOKUP(H197,CHOOSE({1,2},Table17[Native],Table17[Name]),2,0)</f>
        <v>Wénshān Shì</v>
      </c>
      <c r="N197" s="15" t="str">
        <f>VLOOKUP(I197,CHOOSE({1,2},Table17[Native],Table17[Name]),2,0)</f>
        <v>Wénshān Zhuàngzú Miáozú Zìzhìzhōu</v>
      </c>
      <c r="O197" s="15" t="str">
        <f t="shared" si="6"/>
        <v>Dehou Zhen (Wénshān Zhuàngzú Miáozú Zìzhìzhōu)</v>
      </c>
      <c r="P197" s="15" t="str">
        <f t="shared" si="7"/>
        <v>Dehou Zhen (Wénshān Zhuàngzú Miáozú Zìzhìzhōu)</v>
      </c>
    </row>
    <row r="198" spans="1:16" hidden="1" x14ac:dyDescent="0.25">
      <c r="A198" t="s">
        <v>1674</v>
      </c>
      <c r="B198" t="str">
        <f>IF(COUNTIF(A:A,A198)&gt;1,_xlfn.CONCAT(A198," (",N198,")"),A198)</f>
        <v>Déhuà Zhèn</v>
      </c>
      <c r="C198" t="str">
        <f>IF(COUNTIF(B:B,B198)&gt;1,_xlfn.CONCAT(A198," (",M198,")"),B198)</f>
        <v>Déhuà Zhèn</v>
      </c>
      <c r="D198" t="s">
        <v>1675</v>
      </c>
      <c r="E198" t="s">
        <v>11</v>
      </c>
      <c r="F198" t="str">
        <f>_xlfn.CONCAT(D198,", ",H198,", ",I198,", ","云南省")</f>
        <v>德化镇, 宁洱哈尼族彝族自治县, 普洱市, 云南省</v>
      </c>
      <c r="G198">
        <v>10455</v>
      </c>
      <c r="H198" t="s">
        <v>2855</v>
      </c>
      <c r="I198" t="s">
        <v>2848</v>
      </c>
      <c r="J198">
        <f>VLOOKUP(F198,[1]!china_towns_second__2[[Column1]:[Y]],3,FALSE)</f>
        <v>23.062344262714198</v>
      </c>
      <c r="K198">
        <f>VLOOKUP(F198,[1]!china_towns_second__2[[Column1]:[Y]],2,FALSE)</f>
        <v>100.8656084</v>
      </c>
      <c r="L198" t="s">
        <v>3757</v>
      </c>
      <c r="M198" t="str">
        <f>VLOOKUP(H198,CHOOSE({1,2},Table17[Native],Table17[Name]),2,0)</f>
        <v>Níng'ĕr Hānízú Yízú Zìzhìxiàn</v>
      </c>
      <c r="N198" s="15" t="str">
        <f>VLOOKUP(I198,CHOOSE({1,2},Table17[Native],Table17[Name]),2,0)</f>
        <v>Pŭ'ĕr Shì</v>
      </c>
      <c r="O198" s="15" t="str">
        <f t="shared" si="6"/>
        <v>Dehua Zhen (Pŭ'ĕr Shì)</v>
      </c>
      <c r="P198" s="15" t="str">
        <f t="shared" si="7"/>
        <v>Dehua Zhen (Pŭ'ĕr Shì)</v>
      </c>
    </row>
    <row r="199" spans="1:16" hidden="1" x14ac:dyDescent="0.25">
      <c r="A199" t="s">
        <v>410</v>
      </c>
      <c r="B199" t="str">
        <f>IF(COUNTIF(A:A,A199)&gt;1,_xlfn.CONCAT(A199," (",N199,")"),A199)</f>
        <v>Déjū Xiāng</v>
      </c>
      <c r="C199" t="str">
        <f>IF(COUNTIF(B:B,B199)&gt;1,_xlfn.CONCAT(A199," (",M199,")"),B199)</f>
        <v>Déjū Xiāng</v>
      </c>
      <c r="D199" t="s">
        <v>411</v>
      </c>
      <c r="E199" t="s">
        <v>7</v>
      </c>
      <c r="F199" t="str">
        <f>_xlfn.CONCAT(D199,", ",H199,", ",I199,", ","云南省")</f>
        <v>德苴乡, 弥渡县, 大理白族自治州, 云南省</v>
      </c>
      <c r="G199">
        <v>23348</v>
      </c>
      <c r="H199" t="s">
        <v>2769</v>
      </c>
      <c r="I199" t="s">
        <v>2763</v>
      </c>
      <c r="J199" t="e">
        <f>VLOOKUP(F199,[1]!china_towns_second__2[[Column1]:[Y]],3,FALSE)</f>
        <v>#N/A</v>
      </c>
      <c r="K199" t="e">
        <f>VLOOKUP(F199,[1]!china_towns_second__2[[Column1]:[Y]],2,FALSE)</f>
        <v>#N/A</v>
      </c>
      <c r="L199" t="s">
        <v>3758</v>
      </c>
      <c r="M199" t="str">
        <f>VLOOKUP(H199,CHOOSE({1,2},Table17[Native],Table17[Name]),2,0)</f>
        <v>Mídù Xiàn</v>
      </c>
      <c r="N199" s="15" t="str">
        <f>VLOOKUP(I199,CHOOSE({1,2},Table17[Native],Table17[Name]),2,0)</f>
        <v>Dàlĭ Báizú Zìzhìzhōu</v>
      </c>
      <c r="O199" s="15" t="str">
        <f t="shared" si="6"/>
        <v>Deju Xiang (Dàlĭ Báizú Zìzhìzhōu)</v>
      </c>
      <c r="P199" s="15" t="str">
        <f t="shared" si="7"/>
        <v>Deju Xiang (Dàlĭ Báizú Zìzhìzhōu)</v>
      </c>
    </row>
    <row r="200" spans="1:16" hidden="1" x14ac:dyDescent="0.25">
      <c r="A200" t="s">
        <v>1894</v>
      </c>
      <c r="B200" t="str">
        <f>IF(COUNTIF(A:A,A200)&gt;1,_xlfn.CONCAT(A200," (",N200,")"),A200)</f>
        <v>Délù Xiāng</v>
      </c>
      <c r="C200" t="str">
        <f>IF(COUNTIF(B:B,B200)&gt;1,_xlfn.CONCAT(A200," (",M200,")"),B200)</f>
        <v>Délù Xiāng</v>
      </c>
      <c r="D200" t="s">
        <v>1895</v>
      </c>
      <c r="E200" t="s">
        <v>7</v>
      </c>
      <c r="F200" t="str">
        <f>_xlfn.CONCAT(D200,", ",H200,", ",I200,", ","云南省")</f>
        <v>得禄乡, 宣威市, 曲靖市, 云南省</v>
      </c>
      <c r="G200">
        <v>32828</v>
      </c>
      <c r="H200" t="s">
        <v>2868</v>
      </c>
      <c r="I200" t="s">
        <v>2860</v>
      </c>
      <c r="J200" t="e">
        <f>VLOOKUP(F200,[1]!china_towns_second__2[[Column1]:[Y]],3,FALSE)</f>
        <v>#N/A</v>
      </c>
      <c r="K200" t="e">
        <f>VLOOKUP(F200,[1]!china_towns_second__2[[Column1]:[Y]],2,FALSE)</f>
        <v>#N/A</v>
      </c>
      <c r="L200" t="s">
        <v>3759</v>
      </c>
      <c r="M200" t="str">
        <f>VLOOKUP(H200,CHOOSE({1,2},Table17[Native],Table17[Name]),2,0)</f>
        <v>Xuānwēi Shì</v>
      </c>
      <c r="N200" s="15" t="str">
        <f>VLOOKUP(I200,CHOOSE({1,2},Table17[Native],Table17[Name]),2,0)</f>
        <v>Qŭjìng Shì</v>
      </c>
      <c r="O200" s="15" t="str">
        <f t="shared" si="6"/>
        <v>Delu Xiang (Qŭjìng Shì)</v>
      </c>
      <c r="P200" s="15" t="str">
        <f t="shared" si="7"/>
        <v>Delu Xiang (Qŭjìng Shì)</v>
      </c>
    </row>
    <row r="201" spans="1:16" hidden="1" x14ac:dyDescent="0.25">
      <c r="A201" t="s">
        <v>413</v>
      </c>
      <c r="B201" t="str">
        <f>IF(COUNTIF(A:A,A201)&gt;1,_xlfn.CONCAT(A201," (",N201,")"),A201)</f>
        <v>Dèngchuān Zhèn</v>
      </c>
      <c r="C201" t="str">
        <f>IF(COUNTIF(B:B,B201)&gt;1,_xlfn.CONCAT(A201," (",M201,")"),B201)</f>
        <v>Dèngchuān Zhèn</v>
      </c>
      <c r="D201" t="s">
        <v>414</v>
      </c>
      <c r="E201" t="s">
        <v>11</v>
      </c>
      <c r="F201" t="str">
        <f>_xlfn.CONCAT(D201,", ",H201,", ",I201,", ","云南省")</f>
        <v>邓川镇, 洱源县, 大理白族自治州, 云南省</v>
      </c>
      <c r="G201">
        <v>17730</v>
      </c>
      <c r="H201" t="s">
        <v>2766</v>
      </c>
      <c r="I201" t="s">
        <v>2763</v>
      </c>
      <c r="J201">
        <f>VLOOKUP(F201,[1]!china_towns_second__2[[Column1]:[Y]],3,FALSE)</f>
        <v>25.986889894071702</v>
      </c>
      <c r="K201">
        <f>VLOOKUP(F201,[1]!china_towns_second__2[[Column1]:[Y]],2,FALSE)</f>
        <v>100.0779153</v>
      </c>
      <c r="L201" t="s">
        <v>3760</v>
      </c>
      <c r="M201" t="str">
        <f>VLOOKUP(H201,CHOOSE({1,2},Table17[Native],Table17[Name]),2,0)</f>
        <v>Ĕryuán Xiàn</v>
      </c>
      <c r="N201" s="15" t="str">
        <f>VLOOKUP(I201,CHOOSE({1,2},Table17[Native],Table17[Name]),2,0)</f>
        <v>Dàlĭ Báizú Zìzhìzhōu</v>
      </c>
      <c r="O201" s="15" t="str">
        <f t="shared" si="6"/>
        <v>Dengchuan Zhen (Dàlĭ Báizú Zìzhìzhōu)</v>
      </c>
      <c r="P201" s="15" t="str">
        <f t="shared" si="7"/>
        <v>Dengchuan Zhen (Dàlĭ Báizú Zìzhìzhōu)</v>
      </c>
    </row>
    <row r="202" spans="1:16" hidden="1" x14ac:dyDescent="0.25">
      <c r="A202" t="s">
        <v>1896</v>
      </c>
      <c r="B202" t="str">
        <f>IF(COUNTIF(A:A,A202)&gt;1,_xlfn.CONCAT(A202," (",N202,")"),A202)</f>
        <v>Dézé Xiāng</v>
      </c>
      <c r="C202" t="str">
        <f>IF(COUNTIF(B:B,B202)&gt;1,_xlfn.CONCAT(A202," (",M202,")"),B202)</f>
        <v>Dézé Xiāng</v>
      </c>
      <c r="D202" t="s">
        <v>1897</v>
      </c>
      <c r="E202" t="s">
        <v>7</v>
      </c>
      <c r="F202" t="str">
        <f>_xlfn.CONCAT(D202,", ",H202,", ",I202,", ","云南省")</f>
        <v>德泽乡, 沾益区, 曲靖市, 云南省</v>
      </c>
      <c r="G202">
        <v>17529</v>
      </c>
      <c r="H202" t="s">
        <v>2869</v>
      </c>
      <c r="I202" t="s">
        <v>2860</v>
      </c>
      <c r="J202" t="e">
        <f>VLOOKUP(F202,[1]!china_towns_second__2[[Column1]:[Y]],3,FALSE)</f>
        <v>#N/A</v>
      </c>
      <c r="K202" t="e">
        <f>VLOOKUP(F202,[1]!china_towns_second__2[[Column1]:[Y]],2,FALSE)</f>
        <v>#N/A</v>
      </c>
      <c r="L202" t="s">
        <v>3761</v>
      </c>
      <c r="M202" t="str">
        <f>VLOOKUP(H202,CHOOSE({1,2},Table17[Native],Table17[Name]),2,0)</f>
        <v>Zhānyì Qū</v>
      </c>
      <c r="N202" s="15" t="str">
        <f>VLOOKUP(I202,CHOOSE({1,2},Table17[Native],Table17[Name]),2,0)</f>
        <v>Qŭjìng Shì</v>
      </c>
      <c r="O202" s="15" t="str">
        <f t="shared" si="6"/>
        <v>Deze Xiang (Qŭjìng Shì)</v>
      </c>
      <c r="P202" s="15" t="str">
        <f t="shared" si="7"/>
        <v>Deze Xiang (Qŭjìng Shì)</v>
      </c>
    </row>
    <row r="203" spans="1:16" hidden="1" x14ac:dyDescent="0.25">
      <c r="A203" t="s">
        <v>416</v>
      </c>
      <c r="B203" t="str">
        <f>IF(COUNTIF(A:A,A203)&gt;1,_xlfn.CONCAT(A203," (",N203,")"),A203)</f>
        <v>Diànnán Zhèn</v>
      </c>
      <c r="C203" t="str">
        <f>IF(COUNTIF(B:B,B203)&gt;1,_xlfn.CONCAT(A203," (",M203,")"),B203)</f>
        <v>Diànnán Zhèn</v>
      </c>
      <c r="D203" t="s">
        <v>417</v>
      </c>
      <c r="E203" t="s">
        <v>11</v>
      </c>
      <c r="F203" t="str">
        <f>_xlfn.CONCAT(D203,", ",H203,", ",I203,", ","云南省")</f>
        <v>甸南镇, 剑川县, 大理白族自治州, 云南省</v>
      </c>
      <c r="G203">
        <v>31739</v>
      </c>
      <c r="H203" t="s">
        <v>2768</v>
      </c>
      <c r="I203" t="s">
        <v>2763</v>
      </c>
      <c r="J203">
        <f>VLOOKUP(F203,[1]!china_towns_second__2[[Column1]:[Y]],3,FALSE)</f>
        <v>26.436167496098001</v>
      </c>
      <c r="K203">
        <f>VLOOKUP(F203,[1]!china_towns_second__2[[Column1]:[Y]],2,FALSE)</f>
        <v>99.926683190000006</v>
      </c>
      <c r="L203" t="s">
        <v>3762</v>
      </c>
      <c r="M203" t="str">
        <f>VLOOKUP(H203,CHOOSE({1,2},Table17[Native],Table17[Name]),2,0)</f>
        <v>Jiànchuān Xiàn</v>
      </c>
      <c r="N203" s="15" t="str">
        <f>VLOOKUP(I203,CHOOSE({1,2},Table17[Native],Table17[Name]),2,0)</f>
        <v>Dàlĭ Báizú Zìzhìzhōu</v>
      </c>
      <c r="O203" s="15" t="str">
        <f t="shared" si="6"/>
        <v>Diannan Zhen (Dàlĭ Báizú Zìzhìzhōu)</v>
      </c>
      <c r="P203" s="15" t="str">
        <f t="shared" si="7"/>
        <v>Diannan Zhen (Dàlĭ Báizú Zìzhìzhōu)</v>
      </c>
    </row>
    <row r="204" spans="1:16" hidden="1" x14ac:dyDescent="0.25">
      <c r="A204" t="s">
        <v>1076</v>
      </c>
      <c r="B204" t="str">
        <f>IF(COUNTIF(A:A,A204)&gt;1,_xlfn.CONCAT(A204," (",N204,")"),A204)</f>
        <v>Diànshā Xiāng</v>
      </c>
      <c r="C204" t="str">
        <f>IF(COUNTIF(B:B,B204)&gt;1,_xlfn.CONCAT(A204," (",M204,")"),B204)</f>
        <v>Diànshā Xiāng</v>
      </c>
      <c r="D204" t="s">
        <v>1077</v>
      </c>
      <c r="E204" t="s">
        <v>7</v>
      </c>
      <c r="F204" t="str">
        <f>_xlfn.CONCAT(D204,", ",H204,", ",I204,", ","云南省")</f>
        <v>甸沙乡, 寻甸回族彝族自治县, 昆明市, 云南省</v>
      </c>
      <c r="G204">
        <v>17073</v>
      </c>
      <c r="H204" t="s">
        <v>2820</v>
      </c>
      <c r="I204" t="s">
        <v>2807</v>
      </c>
      <c r="J204" t="e">
        <f>VLOOKUP(F204,[1]!china_towns_second__2[[Column1]:[Y]],3,FALSE)</f>
        <v>#N/A</v>
      </c>
      <c r="K204" t="e">
        <f>VLOOKUP(F204,[1]!china_towns_second__2[[Column1]:[Y]],2,FALSE)</f>
        <v>#N/A</v>
      </c>
      <c r="L204" t="s">
        <v>3763</v>
      </c>
      <c r="M204" t="str">
        <f>VLOOKUP(H204,CHOOSE({1,2},Table17[Native],Table17[Name]),2,0)</f>
        <v>Xúndiàn Huízú Yízú Zìzhìxiàn</v>
      </c>
      <c r="N204" s="15" t="str">
        <f>VLOOKUP(I204,CHOOSE({1,2},Table17[Native],Table17[Name]),2,0)</f>
        <v>Kūnmíng Shì</v>
      </c>
      <c r="O204" s="15" t="str">
        <f t="shared" si="6"/>
        <v>Diansha Xiang (Kūnmíng Shì)</v>
      </c>
      <c r="P204" s="15" t="str">
        <f t="shared" si="7"/>
        <v>Diansha Xiang (Kūnmíng Shì)</v>
      </c>
    </row>
    <row r="205" spans="1:16" hidden="1" x14ac:dyDescent="0.25">
      <c r="A205" t="s">
        <v>24</v>
      </c>
      <c r="B205" t="str">
        <f>IF(COUNTIF(A:A,A205)&gt;1,_xlfn.CONCAT(A205," (",N205,")"),A205)</f>
        <v>Diāntān Zhèn</v>
      </c>
      <c r="C205" t="str">
        <f>IF(COUNTIF(B:B,B205)&gt;1,_xlfn.CONCAT(A205," (",M205,")"),B205)</f>
        <v>Diāntān Zhèn</v>
      </c>
      <c r="D205" t="s">
        <v>25</v>
      </c>
      <c r="E205" t="s">
        <v>11</v>
      </c>
      <c r="F205" t="str">
        <f>_xlfn.CONCAT(D205,", ",H205,", ",I205,", ","云南省")</f>
        <v>滇滩镇, 腾冲市, 保山市, 云南省</v>
      </c>
      <c r="G205">
        <v>28612</v>
      </c>
      <c r="H205" t="s">
        <v>2747</v>
      </c>
      <c r="I205" t="s">
        <v>2739</v>
      </c>
      <c r="J205">
        <f>VLOOKUP(F205,[1]!china_towns_second__2[[Column1]:[Y]],3,FALSE)</f>
        <v>25.501013085158899</v>
      </c>
      <c r="K205">
        <f>VLOOKUP(F205,[1]!china_towns_second__2[[Column1]:[Y]],2,FALSE)</f>
        <v>98.416581550000004</v>
      </c>
      <c r="L205" t="s">
        <v>3764</v>
      </c>
      <c r="M205" t="str">
        <f>VLOOKUP(H205,CHOOSE({1,2},Table17[Native],Table17[Name]),2,0)</f>
        <v>Téngchōng Shì</v>
      </c>
      <c r="N205" s="15" t="str">
        <f>VLOOKUP(I205,CHOOSE({1,2},Table17[Native],Table17[Name]),2,0)</f>
        <v>Băoshān Shì</v>
      </c>
      <c r="O205" s="15" t="str">
        <f t="shared" si="6"/>
        <v>Diantan Zhen (Băoshān Shì)</v>
      </c>
      <c r="P205" s="15" t="str">
        <f t="shared" si="7"/>
        <v>Diantan Zhen (Băoshān Shì)</v>
      </c>
    </row>
    <row r="206" spans="1:16" hidden="1" x14ac:dyDescent="0.25">
      <c r="A206" t="s">
        <v>825</v>
      </c>
      <c r="B206" t="str">
        <f>IF(COUNTIF(A:A,A206)&gt;1,_xlfn.CONCAT(A206," (",N206,")"),A206)</f>
        <v>Diànwĕi Xiāng</v>
      </c>
      <c r="C206" t="str">
        <f>IF(COUNTIF(B:B,B206)&gt;1,_xlfn.CONCAT(A206," (",M206,")"),B206)</f>
        <v>Diànwĕi Xiāng</v>
      </c>
      <c r="D206" t="s">
        <v>826</v>
      </c>
      <c r="E206" t="s">
        <v>7</v>
      </c>
      <c r="F206" t="str">
        <f>_xlfn.CONCAT(D206,", ",H206,", ",I206,", ","云南省")</f>
        <v>甸尾乡, 建水县, 红河哈尼族彝族自治州, 云南省</v>
      </c>
      <c r="G206">
        <v>12649</v>
      </c>
      <c r="H206" t="s">
        <v>2796</v>
      </c>
      <c r="I206" t="s">
        <v>2792</v>
      </c>
      <c r="J206" t="e">
        <f>VLOOKUP(F206,[1]!china_towns_second__2[[Column1]:[Y]],3,FALSE)</f>
        <v>#N/A</v>
      </c>
      <c r="K206" t="e">
        <f>VLOOKUP(F206,[1]!china_towns_second__2[[Column1]:[Y]],2,FALSE)</f>
        <v>#N/A</v>
      </c>
      <c r="L206" t="s">
        <v>3765</v>
      </c>
      <c r="M206" t="str">
        <f>VLOOKUP(H206,CHOOSE({1,2},Table17[Native],Table17[Name]),2,0)</f>
        <v>Jiànshuĭ Xiàn</v>
      </c>
      <c r="N206" s="15" t="str">
        <f>VLOOKUP(I206,CHOOSE({1,2},Table17[Native],Table17[Name]),2,0)</f>
        <v>Hónghé Hānízú Yízú Zìzhìzhōu</v>
      </c>
      <c r="O206" s="15" t="str">
        <f t="shared" si="6"/>
        <v>Dianwei Xiang (Hónghé Hānízú Yízú Zìzhìzhōu)</v>
      </c>
      <c r="P206" s="15" t="str">
        <f t="shared" si="7"/>
        <v>Dianwei Xiang (Hónghé Hānízú Yízú Zìzhìzhōu)</v>
      </c>
    </row>
    <row r="207" spans="1:16" hidden="1" x14ac:dyDescent="0.25">
      <c r="A207" t="s">
        <v>26</v>
      </c>
      <c r="B207" t="str">
        <f>IF(COUNTIF(A:A,A207)&gt;1,_xlfn.CONCAT(A207," (",N207,")"),A207)</f>
        <v>Diànyáng Zhèn</v>
      </c>
      <c r="C207" t="str">
        <f>IF(COUNTIF(B:B,B207)&gt;1,_xlfn.CONCAT(A207," (",M207,")"),B207)</f>
        <v>Diànyáng Zhèn</v>
      </c>
      <c r="D207" t="s">
        <v>27</v>
      </c>
      <c r="E207" t="s">
        <v>11</v>
      </c>
      <c r="F207" t="str">
        <f>_xlfn.CONCAT(D207,", ",H207,", ",I207,", ","云南省")</f>
        <v>甸阳镇, 施甸县, 保山市, 云南省</v>
      </c>
      <c r="G207">
        <v>45418</v>
      </c>
      <c r="H207" t="s">
        <v>2745</v>
      </c>
      <c r="I207" t="s">
        <v>2739</v>
      </c>
      <c r="J207">
        <f>VLOOKUP(F207,[1]!china_towns_second__2[[Column1]:[Y]],3,FALSE)</f>
        <v>24.693041749293901</v>
      </c>
      <c r="K207">
        <f>VLOOKUP(F207,[1]!china_towns_second__2[[Column1]:[Y]],2,FALSE)</f>
        <v>99.192128319999995</v>
      </c>
      <c r="L207" t="s">
        <v>3766</v>
      </c>
      <c r="M207" t="str">
        <f>VLOOKUP(H207,CHOOSE({1,2},Table17[Native],Table17[Name]),2,0)</f>
        <v>Shīdiàn Xiàn</v>
      </c>
      <c r="N207" s="15" t="str">
        <f>VLOOKUP(I207,CHOOSE({1,2},Table17[Native],Table17[Name]),2,0)</f>
        <v>Băoshān Shì</v>
      </c>
      <c r="O207" s="15" t="str">
        <f t="shared" si="6"/>
        <v>Dianyang Zhen (Băoshān Shì)</v>
      </c>
      <c r="P207" s="15" t="str">
        <f t="shared" si="7"/>
        <v>Dianyang Zhen (Băoshān Shì)</v>
      </c>
    </row>
    <row r="208" spans="1:16" hidden="1" x14ac:dyDescent="0.25">
      <c r="A208" t="s">
        <v>1079</v>
      </c>
      <c r="B208" t="str">
        <f>IF(COUNTIF(A:A,A208)&gt;1,_xlfn.CONCAT(A208," (",N208,")"),A208)</f>
        <v>Diānyuán Jiēdào</v>
      </c>
      <c r="C208" t="str">
        <f>IF(COUNTIF(B:B,B208)&gt;1,_xlfn.CONCAT(A208," (",M208,")"),B208)</f>
        <v>Diānyuán Jiēdào</v>
      </c>
      <c r="D208" t="s">
        <v>1080</v>
      </c>
      <c r="E208" t="s">
        <v>42</v>
      </c>
      <c r="F208" t="str">
        <f>_xlfn.CONCAT(D208,", ",H208,", ",I208,", ","云南省")</f>
        <v>滇源街道, 盘龙区, 昆明市, 云南省</v>
      </c>
      <c r="G208">
        <v>33455</v>
      </c>
      <c r="H208" t="s">
        <v>2815</v>
      </c>
      <c r="I208" t="s">
        <v>2807</v>
      </c>
      <c r="J208" t="e">
        <f>VLOOKUP(F208,[1]!china_towns_second__2[[Column1]:[Y]],3,FALSE)</f>
        <v>#N/A</v>
      </c>
      <c r="K208" t="e">
        <f>VLOOKUP(F208,[1]!china_towns_second__2[[Column1]:[Y]],2,FALSE)</f>
        <v>#N/A</v>
      </c>
      <c r="L208" t="s">
        <v>3767</v>
      </c>
      <c r="M208" t="str">
        <f>VLOOKUP(H208,CHOOSE({1,2},Table17[Native],Table17[Name]),2,0)</f>
        <v>Pánlóng Qū</v>
      </c>
      <c r="N208" s="15" t="str">
        <f>VLOOKUP(I208,CHOOSE({1,2},Table17[Native],Table17[Name]),2,0)</f>
        <v>Kūnmíng Shì</v>
      </c>
      <c r="O208" s="15" t="str">
        <f t="shared" si="6"/>
        <v>Dianyuan Jiedao (Kūnmíng Shì)</v>
      </c>
      <c r="P208" s="15" t="str">
        <f t="shared" si="7"/>
        <v>Dianyuan Jiedao (Kūnmíng Shì)</v>
      </c>
    </row>
    <row r="209" spans="1:16" hidden="1" x14ac:dyDescent="0.25">
      <c r="A209" t="s">
        <v>2340</v>
      </c>
      <c r="B209" t="str">
        <f>IF(COUNTIF(A:A,A209)&gt;1,_xlfn.CONCAT(A209," (",N209,")"),A209)</f>
        <v>Diànzhōng Zhèn</v>
      </c>
      <c r="C209" t="str">
        <f>IF(COUNTIF(B:B,B209)&gt;1,_xlfn.CONCAT(A209," (",M209,")"),B209)</f>
        <v>Diànzhōng Zhèn</v>
      </c>
      <c r="D209" t="s">
        <v>2341</v>
      </c>
      <c r="E209" t="s">
        <v>11</v>
      </c>
      <c r="F209" t="str">
        <f>_xlfn.CONCAT(D209,", ",H209,", ",I209,", ","云南省")</f>
        <v>甸中镇, 峨山彝族自治县, 玉溪市, 云南省</v>
      </c>
      <c r="G209">
        <v>18358</v>
      </c>
      <c r="H209" t="s">
        <v>2890</v>
      </c>
      <c r="I209" t="s">
        <v>2888</v>
      </c>
      <c r="J209">
        <f>VLOOKUP(F209,[1]!china_towns_second__2[[Column1]:[Y]],3,FALSE)</f>
        <v>24.3981961037458</v>
      </c>
      <c r="K209">
        <f>VLOOKUP(F209,[1]!china_towns_second__2[[Column1]:[Y]],2,FALSE)</f>
        <v>102.22566209999999</v>
      </c>
      <c r="L209" t="s">
        <v>3768</v>
      </c>
      <c r="M209" t="str">
        <f>VLOOKUP(H209,CHOOSE({1,2},Table17[Native],Table17[Name]),2,0)</f>
        <v>Éshān Yízú Zìzhìxiàn</v>
      </c>
      <c r="N209" s="15" t="str">
        <f>VLOOKUP(I209,CHOOSE({1,2},Table17[Native],Table17[Name]),2,0)</f>
        <v>Yùxī Shì</v>
      </c>
      <c r="O209" s="15" t="str">
        <f t="shared" si="6"/>
        <v>Dianzhong Zhen (Yùxī Shì)</v>
      </c>
      <c r="P209" s="15" t="str">
        <f t="shared" si="7"/>
        <v>Dianzhong Zhen (Yùxī Shì)</v>
      </c>
    </row>
    <row r="210" spans="1:16" hidden="1" x14ac:dyDescent="0.25">
      <c r="A210" t="s">
        <v>827</v>
      </c>
      <c r="B210" t="str">
        <f>IF(COUNTIF(A:A,A210)&gt;1,_xlfn.CONCAT(A210," (",N210,")"),A210)</f>
        <v>Diémă Xiāng</v>
      </c>
      <c r="C210" t="str">
        <f>IF(COUNTIF(B:B,B210)&gt;1,_xlfn.CONCAT(A210," (",M210,")"),B210)</f>
        <v>Diémă Xiāng</v>
      </c>
      <c r="D210" t="s">
        <v>828</v>
      </c>
      <c r="E210" t="s">
        <v>7</v>
      </c>
      <c r="F210" t="str">
        <f>_xlfn.CONCAT(D210,", ",H210,", ",I210,", ","云南省")</f>
        <v>垤玛乡, 红河县, 红河哈尼族彝族自治州, 云南省</v>
      </c>
      <c r="G210">
        <v>14937</v>
      </c>
      <c r="H210" t="s">
        <v>2795</v>
      </c>
      <c r="I210" t="s">
        <v>2792</v>
      </c>
      <c r="J210" t="e">
        <f>VLOOKUP(F210,[1]!china_towns_second__2[[Column1]:[Y]],3,FALSE)</f>
        <v>#N/A</v>
      </c>
      <c r="K210" t="e">
        <f>VLOOKUP(F210,[1]!china_towns_second__2[[Column1]:[Y]],2,FALSE)</f>
        <v>#N/A</v>
      </c>
      <c r="L210" t="s">
        <v>3769</v>
      </c>
      <c r="M210" t="str">
        <f>VLOOKUP(H210,CHOOSE({1,2},Table17[Native],Table17[Name]),2,0)</f>
        <v>Hónghé Xiàn</v>
      </c>
      <c r="N210" s="15" t="str">
        <f>VLOOKUP(I210,CHOOSE({1,2},Table17[Native],Table17[Name]),2,0)</f>
        <v>Hónghé Hānízú Yízú Zìzhìzhōu</v>
      </c>
      <c r="O210" s="15" t="str">
        <f t="shared" si="6"/>
        <v>Diema Xiang (Hónghé Hānízú Yízú Zìzhìzhōu)</v>
      </c>
      <c r="P210" s="15" t="str">
        <f t="shared" si="7"/>
        <v>Diema Xiang (Hónghé Hānízú Yízú Zìzhìzhōu)</v>
      </c>
    </row>
    <row r="211" spans="1:16" hidden="1" x14ac:dyDescent="0.25">
      <c r="A211" t="s">
        <v>2109</v>
      </c>
      <c r="B211" t="str">
        <f>IF(COUNTIF(A:A,A211)&gt;1,_xlfn.CONCAT(A211," (",N211,")"),A211)</f>
        <v>Dĭwéi Xiāng</v>
      </c>
      <c r="C211" t="str">
        <f>IF(COUNTIF(B:B,B211)&gt;1,_xlfn.CONCAT(A211," (",M211,")"),B211)</f>
        <v>Dĭwéi Xiāng</v>
      </c>
      <c r="D211" t="s">
        <v>2110</v>
      </c>
      <c r="E211" t="s">
        <v>7</v>
      </c>
      <c r="F211" t="str">
        <f>_xlfn.CONCAT(D211,", ",H211,", ",I211,", ","云南省")</f>
        <v>底圩乡, 广南县, 文山壮族苗族自治州, 云南省</v>
      </c>
      <c r="G211">
        <v>35233</v>
      </c>
      <c r="H211" t="s">
        <v>2874</v>
      </c>
      <c r="I211" t="s">
        <v>2872</v>
      </c>
      <c r="J211" t="e">
        <f>VLOOKUP(F211,[1]!china_towns_second__2[[Column1]:[Y]],3,FALSE)</f>
        <v>#N/A</v>
      </c>
      <c r="K211" t="e">
        <f>VLOOKUP(F211,[1]!china_towns_second__2[[Column1]:[Y]],2,FALSE)</f>
        <v>#N/A</v>
      </c>
      <c r="L211" t="s">
        <v>3770</v>
      </c>
      <c r="M211" t="str">
        <f>VLOOKUP(H211,CHOOSE({1,2},Table17[Native],Table17[Name]),2,0)</f>
        <v>Guăngnán Xiàn</v>
      </c>
      <c r="N211" s="15" t="str">
        <f>VLOOKUP(I211,CHOOSE({1,2},Table17[Native],Table17[Name]),2,0)</f>
        <v>Wénshān Zhuàngzú Miáozú Zìzhìzhōu</v>
      </c>
      <c r="O211" s="15" t="str">
        <f t="shared" si="6"/>
        <v>Diwei Xiang (Wénshān Zhuàngzú Miáozú Zìzhìzhōu)</v>
      </c>
      <c r="P211" s="15" t="str">
        <f t="shared" si="7"/>
        <v>Diwei Xiang (Wénshān Zhuàngzú Miáozú Zìzhìzhōu)</v>
      </c>
    </row>
    <row r="212" spans="1:16" hidden="1" x14ac:dyDescent="0.25">
      <c r="A212" t="s">
        <v>2111</v>
      </c>
      <c r="B212" t="str">
        <f>IF(COUNTIF(A:A,A212)&gt;1,_xlfn.CONCAT(A212," (",N212,")"),A212)</f>
        <v>Dŏngbăo Xiāng</v>
      </c>
      <c r="C212" t="str">
        <f>IF(COUNTIF(B:B,B212)&gt;1,_xlfn.CONCAT(A212," (",M212,")"),B212)</f>
        <v>Dŏngbăo Xiāng</v>
      </c>
      <c r="D212" t="s">
        <v>2112</v>
      </c>
      <c r="E212" t="s">
        <v>7</v>
      </c>
      <c r="F212" t="str">
        <f>_xlfn.CONCAT(D212,", ",H212,", ",I212,", ","云南省")</f>
        <v>董堡乡, 广南县, 文山壮族苗族自治州, 云南省</v>
      </c>
      <c r="G212">
        <v>20903</v>
      </c>
      <c r="H212" t="s">
        <v>2874</v>
      </c>
      <c r="I212" t="s">
        <v>2872</v>
      </c>
      <c r="J212" t="e">
        <f>VLOOKUP(F212,[1]!china_towns_second__2[[Column1]:[Y]],3,FALSE)</f>
        <v>#N/A</v>
      </c>
      <c r="K212" t="e">
        <f>VLOOKUP(F212,[1]!china_towns_second__2[[Column1]:[Y]],2,FALSE)</f>
        <v>#N/A</v>
      </c>
      <c r="L212" t="s">
        <v>3771</v>
      </c>
      <c r="M212" t="str">
        <f>VLOOKUP(H212,CHOOSE({1,2},Table17[Native],Table17[Name]),2,0)</f>
        <v>Guăngnán Xiàn</v>
      </c>
      <c r="N212" s="15" t="str">
        <f>VLOOKUP(I212,CHOOSE({1,2},Table17[Native],Table17[Name]),2,0)</f>
        <v>Wénshān Zhuàngzú Miáozú Zìzhìzhōu</v>
      </c>
      <c r="O212" s="15" t="str">
        <f t="shared" si="6"/>
        <v>Dongbao Xiang (Wénshān Zhuàngzú Miáozú Zìzhìzhōu)</v>
      </c>
      <c r="P212" s="15" t="str">
        <f t="shared" si="7"/>
        <v>Dongbao Xiang (Wénshān Zhuàngzú Miáozú Zìzhìzhōu)</v>
      </c>
    </row>
    <row r="213" spans="1:16" hidden="1" x14ac:dyDescent="0.25">
      <c r="A213" t="s">
        <v>2113</v>
      </c>
      <c r="B213" t="str">
        <f>IF(COUNTIF(A:A,A213)&gt;1,_xlfn.CONCAT(A213," (",N213,")"),A213)</f>
        <v>Dòngbō Yáozú Xiāng</v>
      </c>
      <c r="C213" t="str">
        <f>IF(COUNTIF(B:B,B213)&gt;1,_xlfn.CONCAT(A213," (",M213,")"),B213)</f>
        <v>Dòngbō Yáozú Xiāng</v>
      </c>
      <c r="D213" t="s">
        <v>2114</v>
      </c>
      <c r="E213" t="s">
        <v>7</v>
      </c>
      <c r="F213" t="str">
        <f>_xlfn.CONCAT(D213,", ",H213,", ",I213,", ","云南省")</f>
        <v>洞波瑶族乡, 富宁县, 文山壮族苗族自治州, 云南省</v>
      </c>
      <c r="G213">
        <v>35702</v>
      </c>
      <c r="H213" t="s">
        <v>2873</v>
      </c>
      <c r="I213" t="s">
        <v>2872</v>
      </c>
      <c r="J213" t="e">
        <f>VLOOKUP(F213,[1]!china_towns_second__2[[Column1]:[Y]],3,FALSE)</f>
        <v>#N/A</v>
      </c>
      <c r="K213" t="e">
        <f>VLOOKUP(F213,[1]!china_towns_second__2[[Column1]:[Y]],2,FALSE)</f>
        <v>#N/A</v>
      </c>
      <c r="L213" t="s">
        <v>3772</v>
      </c>
      <c r="M213" t="str">
        <f>VLOOKUP(H213,CHOOSE({1,2},Table17[Native],Table17[Name]),2,0)</f>
        <v>Fùníng Xiàn</v>
      </c>
      <c r="N213" s="15" t="str">
        <f>VLOOKUP(I213,CHOOSE({1,2},Table17[Native],Table17[Name]),2,0)</f>
        <v>Wénshān Zhuàngzú Miáozú Zìzhìzhōu</v>
      </c>
      <c r="O213" s="15" t="str">
        <f t="shared" si="6"/>
        <v>Dongbo Yaozu Xiang (Wénshān Zhuàngzú Miáozú Zìzhìzhōu)</v>
      </c>
      <c r="P213" s="15" t="str">
        <f t="shared" si="7"/>
        <v>Dongbo Yaozu Xiang (Wénshān Zhuàngzú Miáozú Zìzhìzhōu)</v>
      </c>
    </row>
    <row r="214" spans="1:16" hidden="1" x14ac:dyDescent="0.25">
      <c r="A214" t="s">
        <v>191</v>
      </c>
      <c r="B214" t="str">
        <f>IF(COUNTIF(A:A,A214)&gt;1,_xlfn.CONCAT(A214," (",N214,")"),A214)</f>
        <v>Dòngchuān Zhèn</v>
      </c>
      <c r="C214" t="str">
        <f>IF(COUNTIF(B:B,B214)&gt;1,_xlfn.CONCAT(A214," (",M214,")"),B214)</f>
        <v>Dòngchuān Zhèn</v>
      </c>
      <c r="D214" t="s">
        <v>192</v>
      </c>
      <c r="E214" t="s">
        <v>11</v>
      </c>
      <c r="F214" t="str">
        <f>_xlfn.CONCAT(D214,", ",H214,", ",I214,", ","云南省")</f>
        <v>栋川镇, 姚安县, 楚雄彝族自治州, 云南省</v>
      </c>
      <c r="G214">
        <v>88481</v>
      </c>
      <c r="H214" t="s">
        <v>2758</v>
      </c>
      <c r="I214" t="s">
        <v>2750</v>
      </c>
      <c r="J214">
        <f>VLOOKUP(F214,[1]!china_towns_second__2[[Column1]:[Y]],3,FALSE)</f>
        <v>25.5224946812342</v>
      </c>
      <c r="K214">
        <f>VLOOKUP(F214,[1]!china_towns_second__2[[Column1]:[Y]],2,FALSE)</f>
        <v>101.2504541</v>
      </c>
      <c r="L214" t="s">
        <v>3773</v>
      </c>
      <c r="M214" t="str">
        <f>VLOOKUP(H214,CHOOSE({1,2},Table17[Native],Table17[Name]),2,0)</f>
        <v>Yáo'ān Xiàn</v>
      </c>
      <c r="N214" s="15" t="str">
        <f>VLOOKUP(I214,CHOOSE({1,2},Table17[Native],Table17[Name]),2,0)</f>
        <v>Chŭxióng Yízú Zìzhìzhōu</v>
      </c>
      <c r="O214" s="15" t="str">
        <f t="shared" si="6"/>
        <v>Dongchuan Zhen (Chŭxióng Yízú Zìzhìzhōu)</v>
      </c>
      <c r="P214" s="15" t="str">
        <f t="shared" si="7"/>
        <v>Dongchuan Zhen (Chŭxióng Yízú Zìzhìzhōu)</v>
      </c>
    </row>
    <row r="215" spans="1:16" hidden="1" x14ac:dyDescent="0.25">
      <c r="A215" t="s">
        <v>1081</v>
      </c>
      <c r="B215" t="str">
        <f>IF(COUNTIF(A:A,A215)&gt;1,_xlfn.CONCAT(A215," (",N215,")"),A215)</f>
        <v>Dōngcūn Zhèn</v>
      </c>
      <c r="C215" t="str">
        <f>IF(COUNTIF(B:B,B215)&gt;1,_xlfn.CONCAT(A215," (",M215,")"),B215)</f>
        <v>Dōngcūn Zhèn</v>
      </c>
      <c r="D215" t="s">
        <v>1082</v>
      </c>
      <c r="E215" t="s">
        <v>11</v>
      </c>
      <c r="F215" t="str">
        <f>_xlfn.CONCAT(D215,", ",H215,", ",I215,", ","云南省")</f>
        <v>东村镇, 富民县, 昆明市, 云南省</v>
      </c>
      <c r="G215">
        <v>12538</v>
      </c>
      <c r="H215" t="s">
        <v>2811</v>
      </c>
      <c r="I215" t="s">
        <v>2807</v>
      </c>
      <c r="J215">
        <f>VLOOKUP(F215,[1]!china_towns_second__2[[Column1]:[Y]],3,FALSE)</f>
        <v>25.537960302145699</v>
      </c>
      <c r="K215">
        <f>VLOOKUP(F215,[1]!china_towns_second__2[[Column1]:[Y]],2,FALSE)</f>
        <v>102.68747279999999</v>
      </c>
      <c r="L215" t="s">
        <v>3774</v>
      </c>
      <c r="M215" t="str">
        <f>VLOOKUP(H215,CHOOSE({1,2},Table17[Native],Table17[Name]),2,0)</f>
        <v>Fùmín Xiàn</v>
      </c>
      <c r="N215" s="15" t="str">
        <f>VLOOKUP(I215,CHOOSE({1,2},Table17[Native],Table17[Name]),2,0)</f>
        <v>Kūnmíng Shì</v>
      </c>
      <c r="O215" s="15" t="str">
        <f t="shared" si="6"/>
        <v>Dongcun Zhen (Kūnmíng Shì)</v>
      </c>
      <c r="P215" s="15" t="str">
        <f t="shared" si="7"/>
        <v>Dongcun Zhen (Kūnmíng Shì)</v>
      </c>
    </row>
    <row r="216" spans="1:16" hidden="1" x14ac:dyDescent="0.25">
      <c r="A216" t="s">
        <v>2115</v>
      </c>
      <c r="B216" t="str">
        <f>IF(COUNTIF(A:A,A216)&gt;1,_xlfn.CONCAT(A216," (",N216,")"),A216)</f>
        <v>Dŏnggān Zhèn</v>
      </c>
      <c r="C216" t="str">
        <f>IF(COUNTIF(B:B,B216)&gt;1,_xlfn.CONCAT(A216," (",M216,")"),B216)</f>
        <v>Dŏnggān Zhèn</v>
      </c>
      <c r="D216" t="s">
        <v>2116</v>
      </c>
      <c r="E216" t="s">
        <v>11</v>
      </c>
      <c r="F216" t="str">
        <f>_xlfn.CONCAT(D216,", ",H216,", ",I216,", ","云南省")</f>
        <v>董干镇, 麻栗坡县, 文山壮族苗族自治州, 云南省</v>
      </c>
      <c r="G216">
        <v>46544</v>
      </c>
      <c r="H216" t="s">
        <v>2876</v>
      </c>
      <c r="I216" t="s">
        <v>2872</v>
      </c>
      <c r="J216">
        <f>VLOOKUP(F216,[1]!china_towns_second__2[[Column1]:[Y]],3,FALSE)</f>
        <v>23.396455232981701</v>
      </c>
      <c r="K216">
        <f>VLOOKUP(F216,[1]!china_towns_second__2[[Column1]:[Y]],2,FALSE)</f>
        <v>105.1751739</v>
      </c>
      <c r="L216" t="s">
        <v>3775</v>
      </c>
      <c r="M216" t="str">
        <f>VLOOKUP(H216,CHOOSE({1,2},Table17[Native],Table17[Name]),2,0)</f>
        <v>Málìpō Xiàn</v>
      </c>
      <c r="N216" s="15" t="str">
        <f>VLOOKUP(I216,CHOOSE({1,2},Table17[Native],Table17[Name]),2,0)</f>
        <v>Wénshān Zhuàngzú Miáozú Zìzhìzhōu</v>
      </c>
      <c r="O216" s="15" t="str">
        <f t="shared" si="6"/>
        <v>Donggan Zhen (Wénshān Zhuàngzú Miáozú Zìzhìzhōu)</v>
      </c>
      <c r="P216" s="15" t="str">
        <f t="shared" si="7"/>
        <v>Donggan Zhen (Wénshān Zhuàngzú Miáozú Zìzhìzhōu)</v>
      </c>
    </row>
    <row r="217" spans="1:16" hidden="1" x14ac:dyDescent="0.25">
      <c r="A217" t="s">
        <v>193</v>
      </c>
      <c r="B217" t="str">
        <f>IF(COUNTIF(A:A,A217)&gt;1,_xlfn.CONCAT(A217," (",N217,")"),A217)</f>
        <v>Dōngguā Zhèn</v>
      </c>
      <c r="C217" t="str">
        <f>IF(COUNTIF(B:B,B217)&gt;1,_xlfn.CONCAT(A217," (",M217,")"),B217)</f>
        <v>Dōngguā Zhèn</v>
      </c>
      <c r="D217" t="s">
        <v>194</v>
      </c>
      <c r="E217" t="s">
        <v>11</v>
      </c>
      <c r="F217" t="str">
        <f>_xlfn.CONCAT(D217,", ",H217,", ",I217,", ","云南省")</f>
        <v>东瓜镇, 楚雄市, 楚雄彝族自治州, 云南省</v>
      </c>
      <c r="G217">
        <v>103115</v>
      </c>
      <c r="H217" t="s">
        <v>2751</v>
      </c>
      <c r="I217" t="s">
        <v>2750</v>
      </c>
      <c r="J217">
        <f>VLOOKUP(F217,[1]!china_towns_second__2[[Column1]:[Y]],3,FALSE)</f>
        <v>25.1210948547605</v>
      </c>
      <c r="K217">
        <f>VLOOKUP(F217,[1]!china_towns_second__2[[Column1]:[Y]],2,FALSE)</f>
        <v>101.534195</v>
      </c>
      <c r="L217" t="s">
        <v>3776</v>
      </c>
      <c r="M217" t="str">
        <f>VLOOKUP(H217,CHOOSE({1,2},Table17[Native],Table17[Name]),2,0)</f>
        <v>Chŭxióng Shì</v>
      </c>
      <c r="N217" s="15" t="str">
        <f>VLOOKUP(I217,CHOOSE({1,2},Table17[Native],Table17[Name]),2,0)</f>
        <v>Chŭxióng Yízú Zìzhìzhōu</v>
      </c>
      <c r="O217" s="15" t="str">
        <f t="shared" si="6"/>
        <v>Donggua Zhen (Chŭxióng Yízú Zìzhìzhōu)</v>
      </c>
      <c r="P217" s="15" t="str">
        <f t="shared" si="7"/>
        <v>Donggua Zhen (Chŭxióng Yízú Zìzhìzhōu)</v>
      </c>
    </row>
    <row r="218" spans="1:16" hidden="1" x14ac:dyDescent="0.25">
      <c r="A218" t="s">
        <v>1676</v>
      </c>
      <c r="B218" t="str">
        <f>IF(COUNTIF(A:A,A218)&gt;1,_xlfn.CONCAT(A218," (",N218,")"),A218)</f>
        <v>Dōnghé Xiāng</v>
      </c>
      <c r="C218" t="str">
        <f>IF(COUNTIF(B:B,B218)&gt;1,_xlfn.CONCAT(A218," (",M218,")"),B218)</f>
        <v>Dōnghé Xiāng</v>
      </c>
      <c r="D218" t="s">
        <v>1677</v>
      </c>
      <c r="E218" t="s">
        <v>7</v>
      </c>
      <c r="F218" t="str">
        <f>_xlfn.CONCAT(D218,", ",H218,", ",I218,", ","云南省")</f>
        <v>东河乡, 澜沧拉祜族自治县, 普洱市, 云南省</v>
      </c>
      <c r="G218">
        <v>14771</v>
      </c>
      <c r="H218" t="s">
        <v>2852</v>
      </c>
      <c r="I218" t="s">
        <v>2848</v>
      </c>
      <c r="J218" t="e">
        <f>VLOOKUP(F218,[1]!china_towns_second__2[[Column1]:[Y]],3,FALSE)</f>
        <v>#N/A</v>
      </c>
      <c r="K218" t="e">
        <f>VLOOKUP(F218,[1]!china_towns_second__2[[Column1]:[Y]],2,FALSE)</f>
        <v>#N/A</v>
      </c>
      <c r="L218" t="s">
        <v>3777</v>
      </c>
      <c r="M218" t="str">
        <f>VLOOKUP(H218,CHOOSE({1,2},Table17[Native],Table17[Name]),2,0)</f>
        <v>Láncāng Lāhùzú Zìzhìxiàn</v>
      </c>
      <c r="N218" s="15" t="str">
        <f>VLOOKUP(I218,CHOOSE({1,2},Table17[Native],Table17[Name]),2,0)</f>
        <v>Pŭ'ĕr Shì</v>
      </c>
      <c r="O218" s="15" t="str">
        <f t="shared" si="6"/>
        <v>Donghe Xiang (Pŭ'ĕr Shì)</v>
      </c>
      <c r="P218" s="15" t="str">
        <f t="shared" si="7"/>
        <v>Donghe Xiang (Pŭ'ĕr Shì)</v>
      </c>
    </row>
    <row r="219" spans="1:16" hidden="1" x14ac:dyDescent="0.25">
      <c r="A219" t="s">
        <v>1083</v>
      </c>
      <c r="B219" t="str">
        <f>IF(COUNTIF(A:A,A219)&gt;1,_xlfn.CONCAT(A219," (",N219,")"),A219)</f>
        <v>Dōnghuá Jiēdào</v>
      </c>
      <c r="C219" t="str">
        <f>IF(COUNTIF(B:B,B219)&gt;1,_xlfn.CONCAT(A219," (",M219,")"),B219)</f>
        <v>Dōnghuá Jiēdào</v>
      </c>
      <c r="D219" t="s">
        <v>1084</v>
      </c>
      <c r="E219" t="s">
        <v>42</v>
      </c>
      <c r="F219" t="str">
        <f>_xlfn.CONCAT(D219,", ",H219,", ",I219,", ","云南省")</f>
        <v>东华街道, 盘龙区, 昆明市, 云南省</v>
      </c>
      <c r="G219">
        <v>106522</v>
      </c>
      <c r="H219" t="s">
        <v>2815</v>
      </c>
      <c r="I219" t="s">
        <v>2807</v>
      </c>
      <c r="J219">
        <f>VLOOKUP(F219,[1]!china_towns_second__2[[Column1]:[Y]],3,FALSE)</f>
        <v>25.0555785663405</v>
      </c>
      <c r="K219">
        <f>VLOOKUP(F219,[1]!china_towns_second__2[[Column1]:[Y]],2,FALSE)</f>
        <v>102.7360025</v>
      </c>
      <c r="L219" t="s">
        <v>3778</v>
      </c>
      <c r="M219" t="str">
        <f>VLOOKUP(H219,CHOOSE({1,2},Table17[Native],Table17[Name]),2,0)</f>
        <v>Pánlóng Qū</v>
      </c>
      <c r="N219" s="15" t="str">
        <f>VLOOKUP(I219,CHOOSE({1,2},Table17[Native],Table17[Name]),2,0)</f>
        <v>Kūnmíng Shì</v>
      </c>
      <c r="O219" s="15" t="str">
        <f t="shared" si="6"/>
        <v>Donghua Jiedao (Kūnmíng Shì)</v>
      </c>
      <c r="P219" s="15" t="str">
        <f t="shared" si="7"/>
        <v>Donghua Jiedao (Kūnmíng Shì)</v>
      </c>
    </row>
    <row r="220" spans="1:16" hidden="1" x14ac:dyDescent="0.25">
      <c r="A220" t="s">
        <v>195</v>
      </c>
      <c r="B220" t="str">
        <f>IF(COUNTIF(A:A,A220)&gt;1,_xlfn.CONCAT(A220," (",N220,")"),A220)</f>
        <v>Dōnghuá Zhèn</v>
      </c>
      <c r="C220" t="str">
        <f>IF(COUNTIF(B:B,B220)&gt;1,_xlfn.CONCAT(A220," (",M220,")"),B220)</f>
        <v>Dōnghuá Zhèn</v>
      </c>
      <c r="D220" t="s">
        <v>196</v>
      </c>
      <c r="E220" t="s">
        <v>11</v>
      </c>
      <c r="F220" t="str">
        <f>_xlfn.CONCAT(D220,", ",H220,", ",I220,", ","云南省")</f>
        <v>东华镇, 楚雄市, 楚雄彝族自治州, 云南省</v>
      </c>
      <c r="G220">
        <v>25496</v>
      </c>
      <c r="H220" t="s">
        <v>2751</v>
      </c>
      <c r="I220" t="s">
        <v>2750</v>
      </c>
      <c r="J220">
        <f>VLOOKUP(F220,[1]!china_towns_second__2[[Column1]:[Y]],3,FALSE)</f>
        <v>24.891928964304199</v>
      </c>
      <c r="K220">
        <f>VLOOKUP(F220,[1]!china_towns_second__2[[Column1]:[Y]],2,FALSE)</f>
        <v>101.3834604</v>
      </c>
      <c r="L220" t="s">
        <v>3779</v>
      </c>
      <c r="M220" t="str">
        <f>VLOOKUP(H220,CHOOSE({1,2},Table17[Native],Table17[Name]),2,0)</f>
        <v>Chŭxióng Shì</v>
      </c>
      <c r="N220" s="15" t="str">
        <f>VLOOKUP(I220,CHOOSE({1,2},Table17[Native],Table17[Name]),2,0)</f>
        <v>Chŭxióng Yízú Zìzhìzhōu</v>
      </c>
      <c r="O220" s="15" t="str">
        <f t="shared" si="6"/>
        <v>Donghua Zhen (Chŭxióng Yízú Zìzhìzhōu)</v>
      </c>
      <c r="P220" s="15" t="str">
        <f t="shared" si="7"/>
        <v>Donghua Zhen (Chŭxióng Yízú Zìzhìzhōu)</v>
      </c>
    </row>
    <row r="221" spans="1:16" hidden="1" x14ac:dyDescent="0.25">
      <c r="A221" t="s">
        <v>1678</v>
      </c>
      <c r="B221" t="str">
        <f>IF(COUNTIF(A:A,A221)&gt;1,_xlfn.CONCAT(A221," (",N221,")"),A221)</f>
        <v>Dōnghuí Zhèn</v>
      </c>
      <c r="C221" t="str">
        <f>IF(COUNTIF(B:B,B221)&gt;1,_xlfn.CONCAT(A221," (",M221,")"),B221)</f>
        <v>Dōnghuí Zhèn</v>
      </c>
      <c r="D221" t="s">
        <v>1679</v>
      </c>
      <c r="E221" t="s">
        <v>11</v>
      </c>
      <c r="F221" t="str">
        <f>_xlfn.CONCAT(D221,", ",H221,", ",I221,", ","云南省")</f>
        <v>东回镇, 澜沧拉祜族自治县, 普洱市, 云南省</v>
      </c>
      <c r="G221">
        <v>15380</v>
      </c>
      <c r="H221" t="s">
        <v>2852</v>
      </c>
      <c r="I221" t="s">
        <v>2848</v>
      </c>
      <c r="J221">
        <f>VLOOKUP(F221,[1]!china_towns_second__2[[Column1]:[Y]],3,FALSE)</f>
        <v>22.4051693946647</v>
      </c>
      <c r="K221">
        <f>VLOOKUP(F221,[1]!china_towns_second__2[[Column1]:[Y]],2,FALSE)</f>
        <v>99.795219639999999</v>
      </c>
      <c r="L221" t="s">
        <v>3780</v>
      </c>
      <c r="M221" t="str">
        <f>VLOOKUP(H221,CHOOSE({1,2},Table17[Native],Table17[Name]),2,0)</f>
        <v>Láncāng Lāhùzú Zìzhìxiàn</v>
      </c>
      <c r="N221" s="15" t="str">
        <f>VLOOKUP(I221,CHOOSE({1,2},Table17[Native],Table17[Name]),2,0)</f>
        <v>Pŭ'ĕr Shì</v>
      </c>
      <c r="O221" s="15" t="str">
        <f t="shared" si="6"/>
        <v>Donghui Zhen (Pŭ'ĕr Shì)</v>
      </c>
      <c r="P221" s="15" t="str">
        <f t="shared" si="7"/>
        <v>Donghui Zhen (Pŭ'ĕr Shì)</v>
      </c>
    </row>
    <row r="222" spans="1:16" hidden="1" x14ac:dyDescent="0.25">
      <c r="A222" t="s">
        <v>2117</v>
      </c>
      <c r="B222" t="str">
        <f>IF(COUNTIF(A:A,A222)&gt;1,_xlfn.CONCAT(A222," (",N222,")"),A222)</f>
        <v>Dŏngmă Xiāng</v>
      </c>
      <c r="C222" t="str">
        <f>IF(COUNTIF(B:B,B222)&gt;1,_xlfn.CONCAT(A222," (",M222,")"),B222)</f>
        <v>Dŏngmă Xiāng</v>
      </c>
      <c r="D222" t="s">
        <v>2118</v>
      </c>
      <c r="E222" t="s">
        <v>7</v>
      </c>
      <c r="F222" t="str">
        <f>_xlfn.CONCAT(D222,", ",H222,", ",I222,", ","云南省")</f>
        <v>董马乡, 西畴县, 文山壮族苗族自治州, 云南省</v>
      </c>
      <c r="G222">
        <v>20001</v>
      </c>
      <c r="H222" t="s">
        <v>2879</v>
      </c>
      <c r="I222" t="s">
        <v>2872</v>
      </c>
      <c r="J222" t="e">
        <f>VLOOKUP(F222,[1]!china_towns_second__2[[Column1]:[Y]],3,FALSE)</f>
        <v>#N/A</v>
      </c>
      <c r="K222" t="e">
        <f>VLOOKUP(F222,[1]!china_towns_second__2[[Column1]:[Y]],2,FALSE)</f>
        <v>#N/A</v>
      </c>
      <c r="L222" t="s">
        <v>3781</v>
      </c>
      <c r="M222" t="str">
        <f>VLOOKUP(H222,CHOOSE({1,2},Table17[Native],Table17[Name]),2,0)</f>
        <v>Xīchóu Xiàn</v>
      </c>
      <c r="N222" s="15" t="str">
        <f>VLOOKUP(I222,CHOOSE({1,2},Table17[Native],Table17[Name]),2,0)</f>
        <v>Wénshān Zhuàngzú Miáozú Zìzhìzhōu</v>
      </c>
      <c r="O222" s="15" t="str">
        <f t="shared" si="6"/>
        <v>Dongma Xiang (Wénshān Zhuàngzú Miáozú Zìzhìzhōu)</v>
      </c>
      <c r="P222" s="15" t="str">
        <f t="shared" si="7"/>
        <v>Dongma Xiang (Wénshān Zhuàngzú Miáozú Zìzhìzhōu)</v>
      </c>
    </row>
    <row r="223" spans="1:16" hidden="1" x14ac:dyDescent="0.25">
      <c r="A223" t="s">
        <v>2499</v>
      </c>
      <c r="B223" t="str">
        <f>IF(COUNTIF(A:A,A223)&gt;1,_xlfn.CONCAT(A223," (",N223,")"),A223)</f>
        <v>Dōngpíng Zhèn</v>
      </c>
      <c r="C223" t="str">
        <f>IF(COUNTIF(B:B,B223)&gt;1,_xlfn.CONCAT(A223," (",M223,")"),B223)</f>
        <v>Dōngpíng Zhèn</v>
      </c>
      <c r="D223" t="s">
        <v>2500</v>
      </c>
      <c r="E223" t="s">
        <v>11</v>
      </c>
      <c r="F223" t="str">
        <f>_xlfn.CONCAT(D223,", ",H223,", ",I223,", ","云南省")</f>
        <v>东坪镇, 巧家县, 昭通市, 云南省</v>
      </c>
      <c r="G223">
        <v>28149</v>
      </c>
      <c r="H223" t="s">
        <v>2902</v>
      </c>
      <c r="I223" t="s">
        <v>2899</v>
      </c>
      <c r="J223">
        <f>VLOOKUP(F223,[1]!china_towns_second__2[[Column1]:[Y]],3,FALSE)</f>
        <v>27.319422073510498</v>
      </c>
      <c r="K223">
        <f>VLOOKUP(F223,[1]!china_towns_second__2[[Column1]:[Y]],2,FALSE)</f>
        <v>103.0622393</v>
      </c>
      <c r="L223" t="s">
        <v>3782</v>
      </c>
      <c r="M223" t="str">
        <f>VLOOKUP(H223,CHOOSE({1,2},Table17[Native],Table17[Name]),2,0)</f>
        <v>Qiăojiā Xiàn</v>
      </c>
      <c r="N223" s="15" t="str">
        <f>VLOOKUP(I223,CHOOSE({1,2},Table17[Native],Table17[Name]),2,0)</f>
        <v>Zhāotōng Shì</v>
      </c>
      <c r="O223" s="15" t="str">
        <f t="shared" si="6"/>
        <v>Dongping Zhen (Zhāotōng Shì)</v>
      </c>
      <c r="P223" s="15" t="str">
        <f t="shared" si="7"/>
        <v>Dongping Zhen (Zhāotōng Shì)</v>
      </c>
    </row>
    <row r="224" spans="1:16" hidden="1" x14ac:dyDescent="0.25">
      <c r="A224" t="s">
        <v>197</v>
      </c>
      <c r="B224" t="str">
        <f>IF(COUNTIF(A:A,A224)&gt;1,_xlfn.CONCAT(A224," (",N224,")"),A224)</f>
        <v>Dōngpō Dǎizú Xiāng</v>
      </c>
      <c r="C224" t="str">
        <f>IF(COUNTIF(B:B,B224)&gt;1,_xlfn.CONCAT(A224," (",M224,")"),B224)</f>
        <v>Dōngpō Dǎizú Xiāng</v>
      </c>
      <c r="D224" t="s">
        <v>198</v>
      </c>
      <c r="E224" t="s">
        <v>7</v>
      </c>
      <c r="F224" t="str">
        <f>_xlfn.CONCAT(D224,", ",H224,", ",I224,", ","云南省")</f>
        <v>东坡傣族乡, 武定县, 楚雄彝族自治州, 云南省</v>
      </c>
      <c r="G224">
        <v>12944</v>
      </c>
      <c r="H224" t="s">
        <v>2757</v>
      </c>
      <c r="I224" t="s">
        <v>2750</v>
      </c>
      <c r="J224" t="e">
        <f>VLOOKUP(F224,[1]!china_towns_second__2[[Column1]:[Y]],3,FALSE)</f>
        <v>#N/A</v>
      </c>
      <c r="K224" t="e">
        <f>VLOOKUP(F224,[1]!china_towns_second__2[[Column1]:[Y]],2,FALSE)</f>
        <v>#N/A</v>
      </c>
      <c r="L224" t="s">
        <v>3783</v>
      </c>
      <c r="M224" t="str">
        <f>VLOOKUP(H224,CHOOSE({1,2},Table17[Native],Table17[Name]),2,0)</f>
        <v>Wŭdìng Xiàn</v>
      </c>
      <c r="N224" s="15" t="str">
        <f>VLOOKUP(I224,CHOOSE({1,2},Table17[Native],Table17[Name]),2,0)</f>
        <v>Chŭxióng Yízú Zìzhìzhōu</v>
      </c>
      <c r="O224" s="15" t="str">
        <f t="shared" si="6"/>
        <v>Dongpo Daizu Xiang (Chŭxióng Yízú Zìzhìzhōu)</v>
      </c>
      <c r="P224" s="15" t="str">
        <f t="shared" si="7"/>
        <v>Dongpo Daizu Xiang (Chŭxióng Yízú Zìzhìzhōu)</v>
      </c>
    </row>
    <row r="225" spans="1:16" hidden="1" x14ac:dyDescent="0.25">
      <c r="A225" t="s">
        <v>1329</v>
      </c>
      <c r="B225" t="str">
        <f>IF(COUNTIF(A:A,A225)&gt;1,_xlfn.CONCAT(A225," (",N225,")"),A225)</f>
        <v>Dōngshān Lìsùzú Yízú Xiāng</v>
      </c>
      <c r="C225" t="str">
        <f>IF(COUNTIF(B:B,B225)&gt;1,_xlfn.CONCAT(A225," (",M225,")"),B225)</f>
        <v>Dōngshān Lìsùzú Yízú Xiāng</v>
      </c>
      <c r="D225" t="s">
        <v>1330</v>
      </c>
      <c r="E225" t="s">
        <v>7</v>
      </c>
      <c r="F225" t="str">
        <f>_xlfn.CONCAT(D225,", ",H225,", ",I225,", ","云南省")</f>
        <v>东山傈僳族彝族乡, 永胜县, 丽江市, 云南省</v>
      </c>
      <c r="G225">
        <v>8310</v>
      </c>
      <c r="H225" t="s">
        <v>2828</v>
      </c>
      <c r="I225" t="s">
        <v>2823</v>
      </c>
      <c r="J225" t="e">
        <f>VLOOKUP(F225,[1]!china_towns_second__2[[Column1]:[Y]],3,FALSE)</f>
        <v>#N/A</v>
      </c>
      <c r="K225" t="e">
        <f>VLOOKUP(F225,[1]!china_towns_second__2[[Column1]:[Y]],2,FALSE)</f>
        <v>#N/A</v>
      </c>
      <c r="L225" t="s">
        <v>3784</v>
      </c>
      <c r="M225" t="str">
        <f>VLOOKUP(H225,CHOOSE({1,2},Table17[Native],Table17[Name]),2,0)</f>
        <v>Yŏngshèng Xiàn</v>
      </c>
      <c r="N225" s="15" t="str">
        <f>VLOOKUP(I225,CHOOSE({1,2},Table17[Native],Table17[Name]),2,0)</f>
        <v>Lìjiāng Shì</v>
      </c>
      <c r="O225" s="15" t="str">
        <f t="shared" si="6"/>
        <v>Dongshan Lisuzu Yizu Xiang (Lìjiāng Shì)</v>
      </c>
      <c r="P225" s="15" t="str">
        <f t="shared" si="7"/>
        <v>Dongshan Lisuzu Yizu Xiang (Lìjiāng Shì)</v>
      </c>
    </row>
    <row r="226" spans="1:16" hidden="1" x14ac:dyDescent="0.25">
      <c r="A226" t="s">
        <v>419</v>
      </c>
      <c r="B226" t="str">
        <f>IF(COUNTIF(A:A,A226)&gt;1,_xlfn.CONCAT(A226," (",N226,")"),A226)</f>
        <v>Dōngshān Yízú Xiāng (Dàlĭ Báizú Zìzhìzhōu)</v>
      </c>
      <c r="C226" t="str">
        <f>IF(COUNTIF(B:B,B226)&gt;1,_xlfn.CONCAT(A226," (",M226,")"),B226)</f>
        <v>Dōngshān Yízú Xiāng (Dàlĭ Báizú Zìzhìzhōu)</v>
      </c>
      <c r="D226" t="s">
        <v>420</v>
      </c>
      <c r="E226" t="s">
        <v>7</v>
      </c>
      <c r="F226" t="str">
        <f>_xlfn.CONCAT(D226,", ",H226,", ",I226,", ","云南省")</f>
        <v>东山彝族乡, 祥云县, 大理白族自治州, 云南省</v>
      </c>
      <c r="G226">
        <v>9324</v>
      </c>
      <c r="H226" t="s">
        <v>2773</v>
      </c>
      <c r="I226" t="s">
        <v>2763</v>
      </c>
      <c r="J226" t="e">
        <f>VLOOKUP(F226,[1]!china_towns_second__2[[Column1]:[Y]],3,FALSE)</f>
        <v>#N/A</v>
      </c>
      <c r="K226" t="e">
        <f>VLOOKUP(F226,[1]!china_towns_second__2[[Column1]:[Y]],2,FALSE)</f>
        <v>#N/A</v>
      </c>
      <c r="L226" t="s">
        <v>3785</v>
      </c>
      <c r="M226" t="str">
        <f>VLOOKUP(H226,CHOOSE({1,2},Table17[Native],Table17[Name]),2,0)</f>
        <v>Xiángyún Xiàn</v>
      </c>
      <c r="N226" s="15" t="str">
        <f>VLOOKUP(I226,CHOOSE({1,2},Table17[Native],Table17[Name]),2,0)</f>
        <v>Dàlĭ Báizú Zìzhìzhōu</v>
      </c>
      <c r="O226" s="15" t="str">
        <f t="shared" si="6"/>
        <v>Dongshan Yizu Xiang (Dali Baizu Zizhizhou) (Dàlĭ Báizú Zìzhìzhōu)</v>
      </c>
      <c r="P226" s="15" t="str">
        <f t="shared" si="7"/>
        <v>Dongshan Yizu Xiang (Dali Baizu Zizhizhou) (Dàlĭ Báizú Zìzhìzhōu)</v>
      </c>
    </row>
    <row r="227" spans="1:16" hidden="1" x14ac:dyDescent="0.25">
      <c r="A227" t="s">
        <v>419</v>
      </c>
      <c r="B227" t="str">
        <f>IF(COUNTIF(A:A,A227)&gt;1,_xlfn.CONCAT(A227," (",N227,")"),A227)</f>
        <v>Dōngshān Yízú Xiāng (Wénshān Zhuàngzú Miáozú Zìzhìzhōu)</v>
      </c>
      <c r="C227" t="str">
        <f>IF(COUNTIF(B:B,B227)&gt;1,_xlfn.CONCAT(A227," (",M227,")"),B227)</f>
        <v>Dōngshān Yízú Xiāng (Wénshān Zhuàngzú Miáozú Zìzhìzhōu)</v>
      </c>
      <c r="D227" t="s">
        <v>420</v>
      </c>
      <c r="E227" t="s">
        <v>7</v>
      </c>
      <c r="F227" t="str">
        <f>_xlfn.CONCAT(D227,", ",H227,", ",I227,", ","云南省")</f>
        <v>东山彝族乡, 文山市, 文山壮族苗族自治州, 云南省</v>
      </c>
      <c r="G227">
        <v>9458</v>
      </c>
      <c r="H227" t="s">
        <v>2878</v>
      </c>
      <c r="I227" t="s">
        <v>2872</v>
      </c>
      <c r="J227" t="e">
        <f>VLOOKUP(F227,[1]!china_towns_second__2[[Column1]:[Y]],3,FALSE)</f>
        <v>#N/A</v>
      </c>
      <c r="K227" t="e">
        <f>VLOOKUP(F227,[1]!china_towns_second__2[[Column1]:[Y]],2,FALSE)</f>
        <v>#N/A</v>
      </c>
      <c r="L227" t="s">
        <v>3786</v>
      </c>
      <c r="M227" t="str">
        <f>VLOOKUP(H227,CHOOSE({1,2},Table17[Native],Table17[Name]),2,0)</f>
        <v>Wénshān Shì</v>
      </c>
      <c r="N227" s="15" t="str">
        <f>VLOOKUP(I227,CHOOSE({1,2},Table17[Native],Table17[Name]),2,0)</f>
        <v>Wénshān Zhuàngzú Miáozú Zìzhìzhōu</v>
      </c>
      <c r="O227" s="15" t="str">
        <f t="shared" si="6"/>
        <v>Dongshan Yizu Xiang (Wenshan Zhuangzu Miaozu Zizhizhou) (Wénshān Zhuàngzú Miáozú Zìzhìzhōu)</v>
      </c>
      <c r="P227" s="15" t="str">
        <f t="shared" si="7"/>
        <v>Dongshan Yizu Xiang (Wenshan Zhuangzu Miaozu Zizhizhou) (Wénshān Zhuàngzú Miáozú Zìzhìzhōu)</v>
      </c>
    </row>
    <row r="228" spans="1:16" hidden="1" x14ac:dyDescent="0.25">
      <c r="A228" t="s">
        <v>829</v>
      </c>
      <c r="B228" t="str">
        <f>IF(COUNTIF(A:A,A228)&gt;1,_xlfn.CONCAT(A228," (",N228,")"),A228)</f>
        <v>Dōngshān Zhèn (Hónghé Hānízú Yízú Zìzhìzhōu)</v>
      </c>
      <c r="C228" t="str">
        <f>IF(COUNTIF(B:B,B228)&gt;1,_xlfn.CONCAT(A228," (",M228,")"),B228)</f>
        <v>Dōngshān Zhèn (Hónghé Hānízú Yízú Zìzhìzhōu)</v>
      </c>
      <c r="D228" t="s">
        <v>830</v>
      </c>
      <c r="E228" t="s">
        <v>11</v>
      </c>
      <c r="F228" t="str">
        <f>_xlfn.CONCAT(D228,", ",H228,", ",I228,", ","云南省")</f>
        <v>东山镇, 弥勒市, 红河哈尼族彝族自治州, 云南省</v>
      </c>
      <c r="G228">
        <v>19783</v>
      </c>
      <c r="H228" t="s">
        <v>2802</v>
      </c>
      <c r="I228" t="s">
        <v>2792</v>
      </c>
      <c r="J228">
        <f>VLOOKUP(F228,[1]!china_towns_second__2[[Column1]:[Y]],3,FALSE)</f>
        <v>24.226947971791201</v>
      </c>
      <c r="K228">
        <f>VLOOKUP(F228,[1]!china_towns_second__2[[Column1]:[Y]],2,FALSE)</f>
        <v>103.63907740000001</v>
      </c>
      <c r="L228" t="s">
        <v>3787</v>
      </c>
      <c r="M228" t="str">
        <f>VLOOKUP(H228,CHOOSE({1,2},Table17[Native],Table17[Name]),2,0)</f>
        <v>Mílè Shì</v>
      </c>
      <c r="N228" s="15" t="str">
        <f>VLOOKUP(I228,CHOOSE({1,2},Table17[Native],Table17[Name]),2,0)</f>
        <v>Hónghé Hānízú Yízú Zìzhìzhōu</v>
      </c>
      <c r="O228" s="15" t="str">
        <f t="shared" si="6"/>
        <v>Dongshan Zhen (Honghe Hanizu Yizu Zizhizhou) (Hónghé Hānízú Yízú Zìzhìzhōu)</v>
      </c>
      <c r="P228" s="15" t="str">
        <f t="shared" si="7"/>
        <v>Dongshan Zhen (Honghe Hanizu Yizu Zizhizhou) (Hónghé Hānízú Yízú Zìzhìzhōu)</v>
      </c>
    </row>
    <row r="229" spans="1:16" hidden="1" x14ac:dyDescent="0.25">
      <c r="A229" t="s">
        <v>829</v>
      </c>
      <c r="B229" t="str">
        <f>IF(COUNTIF(A:A,A229)&gt;1,_xlfn.CONCAT(A229," (",N229,")"),A229)</f>
        <v>Dōngshān Zhèn (Qŭjìng Shì)</v>
      </c>
      <c r="C229" t="str">
        <f>IF(COUNTIF(B:B,B229)&gt;1,_xlfn.CONCAT(A229," (",M229,")"),B229)</f>
        <v>Dōngshān Zhèn (Qílín Qū)</v>
      </c>
      <c r="D229" t="s">
        <v>830</v>
      </c>
      <c r="E229" t="s">
        <v>11</v>
      </c>
      <c r="F229" t="str">
        <f>_xlfn.CONCAT(D229,", ",H229,", ",I229,", ","云南省")</f>
        <v>东山镇, 麒麟区, 曲靖市, 云南省</v>
      </c>
      <c r="G229">
        <v>81489</v>
      </c>
      <c r="H229" t="s">
        <v>2866</v>
      </c>
      <c r="I229" t="s">
        <v>2860</v>
      </c>
      <c r="J229">
        <f>VLOOKUP(F229,[1]!china_towns_second__2[[Column1]:[Y]],3,FALSE)</f>
        <v>25.241255341752499</v>
      </c>
      <c r="K229">
        <f>VLOOKUP(F229,[1]!china_towns_second__2[[Column1]:[Y]],2,FALSE)</f>
        <v>104.0595654</v>
      </c>
      <c r="L229" t="s">
        <v>3788</v>
      </c>
      <c r="M229" t="str">
        <f>VLOOKUP(H229,CHOOSE({1,2},Table17[Native],Table17[Name]),2,0)</f>
        <v>Qílín Qū</v>
      </c>
      <c r="N229" s="15" t="str">
        <f>VLOOKUP(I229,CHOOSE({1,2},Table17[Native],Table17[Name]),2,0)</f>
        <v>Qŭjìng Shì</v>
      </c>
      <c r="O229" s="15" t="str">
        <f t="shared" si="6"/>
        <v>Dongshan Zhen (Qilin Qu) (Qŭjìng Shì)</v>
      </c>
      <c r="P229" s="15" t="str">
        <f t="shared" si="7"/>
        <v>Dongshan Zhen (Qilin Qu) (Qŭjìng Shì)</v>
      </c>
    </row>
    <row r="230" spans="1:16" hidden="1" x14ac:dyDescent="0.25">
      <c r="A230" t="s">
        <v>829</v>
      </c>
      <c r="B230" t="str">
        <f>IF(COUNTIF(A:A,A230)&gt;1,_xlfn.CONCAT(A230," (",N230,")"),A230)</f>
        <v>Dōngshān Zhèn (Qŭjìng Shì)</v>
      </c>
      <c r="C230" t="str">
        <f>IF(COUNTIF(B:B,B230)&gt;1,_xlfn.CONCAT(A230," (",M230,")"),B230)</f>
        <v>Dōngshān Zhèn (Xuānwēi Shì)</v>
      </c>
      <c r="D230" t="s">
        <v>830</v>
      </c>
      <c r="E230" t="s">
        <v>11</v>
      </c>
      <c r="F230" t="str">
        <f>_xlfn.CONCAT(D230,", ",H230,", ",I230,", ","云南省")</f>
        <v>东山镇, 宣威市, 曲靖市, 云南省</v>
      </c>
      <c r="G230">
        <v>47987</v>
      </c>
      <c r="H230" t="s">
        <v>2868</v>
      </c>
      <c r="I230" t="s">
        <v>2860</v>
      </c>
      <c r="J230">
        <f>VLOOKUP(F230,[1]!china_towns_second__2[[Column1]:[Y]],3,FALSE)</f>
        <v>26.127711763913702</v>
      </c>
      <c r="K230">
        <f>VLOOKUP(F230,[1]!china_towns_second__2[[Column1]:[Y]],2,FALSE)</f>
        <v>104.2306482</v>
      </c>
      <c r="L230" t="s">
        <v>3789</v>
      </c>
      <c r="M230" t="str">
        <f>VLOOKUP(H230,CHOOSE({1,2},Table17[Native],Table17[Name]),2,0)</f>
        <v>Xuānwēi Shì</v>
      </c>
      <c r="N230" s="15" t="str">
        <f>VLOOKUP(I230,CHOOSE({1,2},Table17[Native],Table17[Name]),2,0)</f>
        <v>Qŭjìng Shì</v>
      </c>
      <c r="O230" s="15" t="str">
        <f t="shared" si="6"/>
        <v>Dongshan Zhen (Xuanwei Shi) (Qŭjìng Shì)</v>
      </c>
      <c r="P230" s="15" t="str">
        <f t="shared" si="7"/>
        <v>Dongshan Zhen (Xuanwei Shi) (Qŭjìng Shì)</v>
      </c>
    </row>
    <row r="231" spans="1:16" hidden="1" x14ac:dyDescent="0.25">
      <c r="A231" t="s">
        <v>717</v>
      </c>
      <c r="B231" t="str">
        <f>IF(COUNTIF(A:A,A231)&gt;1,_xlfn.CONCAT(A231," (",N231,")"),A231)</f>
        <v>Dōngwàng Xiāng</v>
      </c>
      <c r="C231" t="str">
        <f>IF(COUNTIF(B:B,B231)&gt;1,_xlfn.CONCAT(A231," (",M231,")"),B231)</f>
        <v>Dōngwàng Xiāng</v>
      </c>
      <c r="D231" t="s">
        <v>718</v>
      </c>
      <c r="E231" t="s">
        <v>7</v>
      </c>
      <c r="F231" t="str">
        <f>_xlfn.CONCAT(D231,", ",H231,", ",I231,", ","云南省")</f>
        <v>东旺乡, 香格里拉市, 迪庆藏族自治州, 云南省</v>
      </c>
      <c r="G231">
        <v>6505</v>
      </c>
      <c r="H231" t="s">
        <v>2789</v>
      </c>
      <c r="I231" t="s">
        <v>2786</v>
      </c>
      <c r="J231" t="e">
        <f>VLOOKUP(F231,[1]!china_towns_second__2[[Column1]:[Y]],3,FALSE)</f>
        <v>#N/A</v>
      </c>
      <c r="K231" t="e">
        <f>VLOOKUP(F231,[1]!china_towns_second__2[[Column1]:[Y]],2,FALSE)</f>
        <v>#N/A</v>
      </c>
      <c r="L231" t="s">
        <v>3790</v>
      </c>
      <c r="M231" t="str">
        <f>VLOOKUP(H231,CHOOSE({1,2},Table17[Native],Table17[Name]),2,0)</f>
        <v>Xiānggélĭlā Shì</v>
      </c>
      <c r="N231" s="15" t="str">
        <f>VLOOKUP(I231,CHOOSE({1,2},Table17[Native],Table17[Name]),2,0)</f>
        <v>Díqìng Zàngzú Zìzhìzhōu</v>
      </c>
      <c r="O231" s="15" t="str">
        <f t="shared" si="6"/>
        <v>Dongwang Xiang (Díqìng Zàngzú Zìzhìzhōu)</v>
      </c>
      <c r="P231" s="15" t="str">
        <f t="shared" si="7"/>
        <v>Dongwang Xiang (Díqìng Zàngzú Zìzhìzhōu)</v>
      </c>
    </row>
    <row r="232" spans="1:16" hidden="1" x14ac:dyDescent="0.25">
      <c r="A232" t="s">
        <v>1085</v>
      </c>
      <c r="B232" t="str">
        <f>IF(COUNTIF(A:A,A232)&gt;1,_xlfn.CONCAT(A232," (",N232,")"),A232)</f>
        <v>Dòunán Jiēdào</v>
      </c>
      <c r="C232" t="str">
        <f>IF(COUNTIF(B:B,B232)&gt;1,_xlfn.CONCAT(A232," (",M232,")"),B232)</f>
        <v>Dòunán Jiēdào</v>
      </c>
      <c r="D232" t="s">
        <v>1086</v>
      </c>
      <c r="E232" t="s">
        <v>42</v>
      </c>
      <c r="F232" t="str">
        <f>_xlfn.CONCAT(D232,", ",H232,", ",I232,", ","云南省")</f>
        <v>斗南街道, 呈贡区, 昆明市, 云南省</v>
      </c>
      <c r="G232">
        <v>31573</v>
      </c>
      <c r="H232" t="s">
        <v>2809</v>
      </c>
      <c r="I232" t="s">
        <v>2807</v>
      </c>
      <c r="J232">
        <f>VLOOKUP(F232,[1]!china_towns_second__2[[Column1]:[Y]],3,FALSE)</f>
        <v>24.864325054129399</v>
      </c>
      <c r="K232">
        <f>VLOOKUP(F232,[1]!china_towns_second__2[[Column1]:[Y]],2,FALSE)</f>
        <v>102.7560692</v>
      </c>
      <c r="L232" t="s">
        <v>3791</v>
      </c>
      <c r="M232" t="str">
        <f>VLOOKUP(H232,CHOOSE({1,2},Table17[Native],Table17[Name]),2,0)</f>
        <v>Chénggòng Qū</v>
      </c>
      <c r="N232" s="15" t="str">
        <f>VLOOKUP(I232,CHOOSE({1,2},Table17[Native],Table17[Name]),2,0)</f>
        <v>Kūnmíng Shì</v>
      </c>
      <c r="O232" s="15" t="str">
        <f t="shared" si="6"/>
        <v>Dounan Jiedao (Kūnmíng Shì)</v>
      </c>
      <c r="P232" s="15" t="str">
        <f t="shared" si="7"/>
        <v>Dounan Jiedao (Kūnmíng Shì)</v>
      </c>
    </row>
    <row r="233" spans="1:16" hidden="1" x14ac:dyDescent="0.25">
      <c r="A233" t="s">
        <v>2501</v>
      </c>
      <c r="B233" t="str">
        <f>IF(COUNTIF(A:A,A233)&gt;1,_xlfn.CONCAT(A233," (",N233,")"),A233)</f>
        <v>Dòushā Zhèn</v>
      </c>
      <c r="C233" t="str">
        <f>IF(COUNTIF(B:B,B233)&gt;1,_xlfn.CONCAT(A233," (",M233,")"),B233)</f>
        <v>Dòushā Zhèn</v>
      </c>
      <c r="D233" t="s">
        <v>2502</v>
      </c>
      <c r="E233" t="s">
        <v>11</v>
      </c>
      <c r="F233" t="str">
        <f>_xlfn.CONCAT(D233,", ",H233,", ",I233,", ","云南省")</f>
        <v>豆沙镇, 盐津县, 昭通市, 云南省</v>
      </c>
      <c r="G233">
        <v>22572</v>
      </c>
      <c r="H233" t="s">
        <v>2906</v>
      </c>
      <c r="I233" t="s">
        <v>2899</v>
      </c>
      <c r="J233">
        <f>VLOOKUP(F233,[1]!china_towns_second__2[[Column1]:[Y]],3,FALSE)</f>
        <v>28.038631346310201</v>
      </c>
      <c r="K233">
        <f>VLOOKUP(F233,[1]!china_towns_second__2[[Column1]:[Y]],2,FALSE)</f>
        <v>104.11521279999999</v>
      </c>
      <c r="L233" t="s">
        <v>3792</v>
      </c>
      <c r="M233" t="str">
        <f>VLOOKUP(H233,CHOOSE({1,2},Table17[Native],Table17[Name]),2,0)</f>
        <v>Yánjīn Xiàn</v>
      </c>
      <c r="N233" s="15" t="str">
        <f>VLOOKUP(I233,CHOOSE({1,2},Table17[Native],Table17[Name]),2,0)</f>
        <v>Zhāotōng Shì</v>
      </c>
      <c r="O233" s="15" t="str">
        <f t="shared" si="6"/>
        <v>Dousha Zhen (Zhāotōng Shì)</v>
      </c>
      <c r="P233" s="15" t="str">
        <f t="shared" si="7"/>
        <v>Dousha Zhen (Zhāotōng Shì)</v>
      </c>
    </row>
    <row r="234" spans="1:16" hidden="1" x14ac:dyDescent="0.25">
      <c r="A234" t="s">
        <v>2119</v>
      </c>
      <c r="B234" t="str">
        <f>IF(COUNTIF(A:A,A234)&gt;1,_xlfn.CONCAT(A234," (",N234,")"),A234)</f>
        <v>Dūlóng Zhèn</v>
      </c>
      <c r="C234" t="str">
        <f>IF(COUNTIF(B:B,B234)&gt;1,_xlfn.CONCAT(A234," (",M234,")"),B234)</f>
        <v>Dūlóng Zhèn</v>
      </c>
      <c r="D234" t="s">
        <v>2120</v>
      </c>
      <c r="E234" t="s">
        <v>11</v>
      </c>
      <c r="F234" t="str">
        <f>_xlfn.CONCAT(D234,", ",H234,", ",I234,", ","云南省")</f>
        <v>都龙镇, 马关县, 文山壮族苗族自治州, 云南省</v>
      </c>
      <c r="G234">
        <v>36961</v>
      </c>
      <c r="H234" t="s">
        <v>2875</v>
      </c>
      <c r="I234" t="s">
        <v>2872</v>
      </c>
      <c r="J234">
        <f>VLOOKUP(F234,[1]!china_towns_second__2[[Column1]:[Y]],3,FALSE)</f>
        <v>22.883934155964699</v>
      </c>
      <c r="K234">
        <f>VLOOKUP(F234,[1]!china_towns_second__2[[Column1]:[Y]],2,FALSE)</f>
        <v>104.5427766</v>
      </c>
      <c r="L234" t="s">
        <v>3793</v>
      </c>
      <c r="M234" t="str">
        <f>VLOOKUP(H234,CHOOSE({1,2},Table17[Native],Table17[Name]),2,0)</f>
        <v>Măguān Xiàn</v>
      </c>
      <c r="N234" s="15" t="str">
        <f>VLOOKUP(I234,CHOOSE({1,2},Table17[Native],Table17[Name]),2,0)</f>
        <v>Wénshān Zhuàngzú Miáozú Zìzhìzhōu</v>
      </c>
      <c r="O234" s="15" t="str">
        <f t="shared" si="6"/>
        <v>Dulong Zhen (Wénshān Zhuàngzú Miáozú Zìzhìzhōu)</v>
      </c>
      <c r="P234" s="15" t="str">
        <f t="shared" si="7"/>
        <v>Dulong Zhen (Wénshān Zhuàngzú Miáozú Zìzhìzhōu)</v>
      </c>
    </row>
    <row r="235" spans="1:16" hidden="1" x14ac:dyDescent="0.25">
      <c r="A235" t="s">
        <v>1601</v>
      </c>
      <c r="B235" t="str">
        <f>IF(COUNTIF(A:A,A235)&gt;1,_xlfn.CONCAT(A235," (",N235,")"),A235)</f>
        <v>Dúlóngjiāng Xiāng</v>
      </c>
      <c r="C235" t="str">
        <f>IF(COUNTIF(B:B,B235)&gt;1,_xlfn.CONCAT(A235," (",M235,")"),B235)</f>
        <v>Dúlóngjiāng Xiāng</v>
      </c>
      <c r="D235" t="s">
        <v>1602</v>
      </c>
      <c r="E235" t="s">
        <v>7</v>
      </c>
      <c r="F235" t="str">
        <f>_xlfn.CONCAT(D235,", ",H235,", ",I235,", ","云南省")</f>
        <v>独龙江乡, 贡山独龙族怒族自治县, 怒江傈僳族自治州, 云南省</v>
      </c>
      <c r="G235">
        <v>4239</v>
      </c>
      <c r="H235" t="s">
        <v>2844</v>
      </c>
      <c r="I235" t="s">
        <v>2842</v>
      </c>
      <c r="J235" t="e">
        <f>VLOOKUP(F235,[1]!china_towns_second__2[[Column1]:[Y]],3,FALSE)</f>
        <v>#N/A</v>
      </c>
      <c r="K235" t="e">
        <f>VLOOKUP(F235,[1]!china_towns_second__2[[Column1]:[Y]],2,FALSE)</f>
        <v>#N/A</v>
      </c>
      <c r="L235" t="s">
        <v>3794</v>
      </c>
      <c r="M235" t="str">
        <f>VLOOKUP(H235,CHOOSE({1,2},Table17[Native],Table17[Name]),2,0)</f>
        <v>Gòngshān Dúlóngzú Nùzú Zìzhìxiàn</v>
      </c>
      <c r="N235" s="15" t="str">
        <f>VLOOKUP(I235,CHOOSE({1,2},Table17[Native],Table17[Name]),2,0)</f>
        <v>Nùjiāng Lìsùzú Zìzhìzhōu</v>
      </c>
      <c r="O235" s="15" t="str">
        <f t="shared" si="6"/>
        <v>Dulongjiang Xiang (Nùjiāng Lìsùzú Zìzhìzhōu)</v>
      </c>
      <c r="P235" s="15" t="str">
        <f t="shared" si="7"/>
        <v>Dulongjiang Xiang (Nùjiāng Lìsùzú Zìzhìzhōu)</v>
      </c>
    </row>
    <row r="236" spans="1:16" hidden="1" x14ac:dyDescent="0.25">
      <c r="A236" t="s">
        <v>199</v>
      </c>
      <c r="B236" t="str">
        <f>IF(COUNTIF(A:A,A236)&gt;1,_xlfn.CONCAT(A236," (",N236,")"),A236)</f>
        <v>Dútián Xiāng</v>
      </c>
      <c r="C236" t="str">
        <f>IF(COUNTIF(B:B,B236)&gt;1,_xlfn.CONCAT(A236," (",M236,")"),B236)</f>
        <v>Dútián Xiāng</v>
      </c>
      <c r="D236" t="s">
        <v>200</v>
      </c>
      <c r="E236" t="s">
        <v>7</v>
      </c>
      <c r="F236" t="str">
        <f>_xlfn.CONCAT(D236,", ",H236,", ",I236,", ","云南省")</f>
        <v>独田乡, 双柏县, 楚雄彝族自治州, 云南省</v>
      </c>
      <c r="G236">
        <v>4145</v>
      </c>
      <c r="H236" t="s">
        <v>2756</v>
      </c>
      <c r="I236" t="s">
        <v>2750</v>
      </c>
      <c r="J236" t="e">
        <f>VLOOKUP(F236,[1]!china_towns_second__2[[Column1]:[Y]],3,FALSE)</f>
        <v>#N/A</v>
      </c>
      <c r="K236" t="e">
        <f>VLOOKUP(F236,[1]!china_towns_second__2[[Column1]:[Y]],2,FALSE)</f>
        <v>#N/A</v>
      </c>
      <c r="L236" t="s">
        <v>3795</v>
      </c>
      <c r="M236" t="str">
        <f>VLOOKUP(H236,CHOOSE({1,2},Table17[Native],Table17[Name]),2,0)</f>
        <v>Shuāngbǎi Xiàn</v>
      </c>
      <c r="N236" s="15" t="str">
        <f>VLOOKUP(I236,CHOOSE({1,2},Table17[Native],Table17[Name]),2,0)</f>
        <v>Chŭxióng Yízú Zìzhìzhōu</v>
      </c>
      <c r="O236" s="15" t="str">
        <f t="shared" si="6"/>
        <v>Dutian Xiang (Chŭxióng Yízú Zìzhìzhōu)</v>
      </c>
      <c r="P236" s="15" t="str">
        <f t="shared" si="7"/>
        <v>Dutian Xiang (Chŭxióng Yízú Zìzhìzhōu)</v>
      </c>
    </row>
    <row r="237" spans="1:16" hidden="1" x14ac:dyDescent="0.25">
      <c r="A237" t="s">
        <v>201</v>
      </c>
      <c r="B237" t="str">
        <f>IF(COUNTIF(A:A,A237)&gt;1,_xlfn.CONCAT(A237," (",N237,")"),A237)</f>
        <v>Èjiā Zhèn</v>
      </c>
      <c r="C237" t="str">
        <f>IF(COUNTIF(B:B,B237)&gt;1,_xlfn.CONCAT(A237," (",M237,")"),B237)</f>
        <v>Èjiā Zhèn</v>
      </c>
      <c r="D237" t="s">
        <v>202</v>
      </c>
      <c r="E237" t="s">
        <v>11</v>
      </c>
      <c r="F237" t="str">
        <f>_xlfn.CONCAT(D237,", ",H237,", ",I237,", ","云南省")</f>
        <v>鄂嘉镇, 双柏县, 楚雄彝族自治州, 云南省</v>
      </c>
      <c r="G237">
        <v>27235</v>
      </c>
      <c r="H237" t="s">
        <v>2756</v>
      </c>
      <c r="I237" t="s">
        <v>2750</v>
      </c>
      <c r="J237">
        <f>VLOOKUP(F237,[1]!china_towns_second__2[[Column1]:[Y]],3,FALSE)</f>
        <v>24.4387170174716</v>
      </c>
      <c r="K237">
        <f>VLOOKUP(F237,[1]!china_towns_second__2[[Column1]:[Y]],2,FALSE)</f>
        <v>101.2406134</v>
      </c>
      <c r="L237" t="s">
        <v>3796</v>
      </c>
      <c r="M237" t="str">
        <f>VLOOKUP(H237,CHOOSE({1,2},Table17[Native],Table17[Name]),2,0)</f>
        <v>Shuāngbǎi Xiàn</v>
      </c>
      <c r="N237" s="15" t="str">
        <f>VLOOKUP(I237,CHOOSE({1,2},Table17[Native],Table17[Name]),2,0)</f>
        <v>Chŭxióng Yízú Zìzhìzhōu</v>
      </c>
      <c r="O237" s="15" t="str">
        <f t="shared" si="6"/>
        <v>Ejia Zhen (Chŭxióng Yízú Zìzhìzhōu)</v>
      </c>
      <c r="P237" s="15" t="str">
        <f t="shared" si="7"/>
        <v>Ejia Zhen (Chŭxióng Yízú Zìzhìzhōu)</v>
      </c>
    </row>
    <row r="238" spans="1:16" hidden="1" x14ac:dyDescent="0.25">
      <c r="A238" t="s">
        <v>1680</v>
      </c>
      <c r="B238" t="str">
        <f>IF(COUNTIF(A:A,A238)&gt;1,_xlfn.CONCAT(A238," (",N238,")"),A238)</f>
        <v>Ēnlè Zhèn</v>
      </c>
      <c r="C238" t="str">
        <f>IF(COUNTIF(B:B,B238)&gt;1,_xlfn.CONCAT(A238," (",M238,")"),B238)</f>
        <v>Ēnlè Zhèn</v>
      </c>
      <c r="D238" t="s">
        <v>1681</v>
      </c>
      <c r="E238" t="s">
        <v>11</v>
      </c>
      <c r="F238" t="str">
        <f>_xlfn.CONCAT(D238,", ",H238,", ",I238,", ","云南省")</f>
        <v>恩乐镇, 镇沅彝族哈尼族拉祜族自治县, 普洱市, 云南省</v>
      </c>
      <c r="G238">
        <v>33448</v>
      </c>
      <c r="H238" t="s">
        <v>2858</v>
      </c>
      <c r="I238" t="s">
        <v>2848</v>
      </c>
      <c r="J238">
        <f>VLOOKUP(F238,[1]!china_towns_second__2[[Column1]:[Y]],3,FALSE)</f>
        <v>23.970745723492499</v>
      </c>
      <c r="K238">
        <f>VLOOKUP(F238,[1]!china_towns_second__2[[Column1]:[Y]],2,FALSE)</f>
        <v>101.07455179999999</v>
      </c>
      <c r="L238" t="s">
        <v>3797</v>
      </c>
      <c r="M238" t="str">
        <f>VLOOKUP(H238,CHOOSE({1,2},Table17[Native],Table17[Name]),2,0)</f>
        <v>Zhènyuán Yízú Hānízú Lāhùzú Zìzhìxiàn</v>
      </c>
      <c r="N238" s="15" t="str">
        <f>VLOOKUP(I238,CHOOSE({1,2},Table17[Native],Table17[Name]),2,0)</f>
        <v>Pŭ'ĕr Shì</v>
      </c>
      <c r="O238" s="15" t="str">
        <f t="shared" si="6"/>
        <v>Enle Zhen (Pŭ'ĕr Shì)</v>
      </c>
      <c r="P238" s="15" t="str">
        <f t="shared" si="7"/>
        <v>Enle Zhen (Pŭ'ĕr Shì)</v>
      </c>
    </row>
    <row r="239" spans="1:16" hidden="1" x14ac:dyDescent="0.25">
      <c r="A239" t="s">
        <v>1087</v>
      </c>
      <c r="B239" t="str">
        <f>IF(COUNTIF(A:A,A239)&gt;1,_xlfn.CONCAT(A239," (",N239,")"),A239)</f>
        <v>Èrjiē Zhèn</v>
      </c>
      <c r="C239" t="str">
        <f>IF(COUNTIF(B:B,B239)&gt;1,_xlfn.CONCAT(A239," (",M239,")"),B239)</f>
        <v>Èrjiē Zhèn</v>
      </c>
      <c r="D239" t="s">
        <v>1088</v>
      </c>
      <c r="E239" t="s">
        <v>11</v>
      </c>
      <c r="F239" t="str">
        <f>_xlfn.CONCAT(D239,", ",H239,", ",I239,", ","云南省")</f>
        <v>二街镇, 晋宁区, 昆明市, 云南省</v>
      </c>
      <c r="G239">
        <v>15350</v>
      </c>
      <c r="H239" t="s">
        <v>2813</v>
      </c>
      <c r="I239" t="s">
        <v>2807</v>
      </c>
      <c r="J239">
        <f>VLOOKUP(F239,[1]!china_towns_second__2[[Column1]:[Y]],3,FALSE)</f>
        <v>24.689845467828199</v>
      </c>
      <c r="K239">
        <f>VLOOKUP(F239,[1]!china_towns_second__2[[Column1]:[Y]],2,FALSE)</f>
        <v>102.4866182</v>
      </c>
      <c r="L239" t="s">
        <v>3798</v>
      </c>
      <c r="M239" t="str">
        <f>VLOOKUP(H239,CHOOSE({1,2},Table17[Native],Table17[Name]),2,0)</f>
        <v>Jìnníng Qū</v>
      </c>
      <c r="N239" s="15" t="str">
        <f>VLOOKUP(I239,CHOOSE({1,2},Table17[Native],Table17[Name]),2,0)</f>
        <v>Kūnmíng Shì</v>
      </c>
      <c r="O239" s="15" t="str">
        <f t="shared" si="6"/>
        <v>Erjie Zhen (Kūnmíng Shì)</v>
      </c>
      <c r="P239" s="15" t="str">
        <f t="shared" si="7"/>
        <v>Erjie Zhen (Kūnmíng Shì)</v>
      </c>
    </row>
    <row r="240" spans="1:16" hidden="1" x14ac:dyDescent="0.25">
      <c r="A240" t="s">
        <v>832</v>
      </c>
      <c r="B240" t="str">
        <f>IF(COUNTIF(A:A,A240)&gt;1,_xlfn.CONCAT(A240," (",N240,")"),A240)</f>
        <v>Ézhā Xiāng</v>
      </c>
      <c r="C240" t="str">
        <f>IF(COUNTIF(B:B,B240)&gt;1,_xlfn.CONCAT(A240," (",M240,")"),B240)</f>
        <v>Ézhā Xiāng</v>
      </c>
      <c r="D240" t="s">
        <v>833</v>
      </c>
      <c r="E240" t="s">
        <v>7</v>
      </c>
      <c r="F240" t="str">
        <f>_xlfn.CONCAT(D240,", ",H240,", ",I240,", ","云南省")</f>
        <v>俄扎乡, 元阳县, 红河哈尼族彝族自治州, 云南省</v>
      </c>
      <c r="G240">
        <v>20314</v>
      </c>
      <c r="H240" t="s">
        <v>2805</v>
      </c>
      <c r="I240" t="s">
        <v>2792</v>
      </c>
      <c r="J240" t="e">
        <f>VLOOKUP(F240,[1]!china_towns_second__2[[Column1]:[Y]],3,FALSE)</f>
        <v>#N/A</v>
      </c>
      <c r="K240" t="e">
        <f>VLOOKUP(F240,[1]!china_towns_second__2[[Column1]:[Y]],2,FALSE)</f>
        <v>#N/A</v>
      </c>
      <c r="L240" t="s">
        <v>3799</v>
      </c>
      <c r="M240" t="str">
        <f>VLOOKUP(H240,CHOOSE({1,2},Table17[Native],Table17[Name]),2,0)</f>
        <v>Yuányáng Xiàn</v>
      </c>
      <c r="N240" s="15" t="str">
        <f>VLOOKUP(I240,CHOOSE({1,2},Table17[Native],Table17[Name]),2,0)</f>
        <v>Hónghé Hānízú Yízú Zìzhìzhōu</v>
      </c>
      <c r="O240" s="15" t="str">
        <f t="shared" si="6"/>
        <v>Ezha Xiang (Hónghé Hānízú Yízú Zìzhìzhōu)</v>
      </c>
      <c r="P240" s="15" t="str">
        <f t="shared" si="7"/>
        <v>Ezha Xiang (Hónghé Hānízú Yízú Zìzhìzhōu)</v>
      </c>
    </row>
    <row r="241" spans="1:16" hidden="1" x14ac:dyDescent="0.25">
      <c r="A241" t="s">
        <v>203</v>
      </c>
      <c r="B241" t="str">
        <f>IF(COUNTIF(A:A,A241)&gt;1,_xlfn.CONCAT(A241," (",N241,")"),A241)</f>
        <v>Făbiāo Zhèn</v>
      </c>
      <c r="C241" t="str">
        <f>IF(COUNTIF(B:B,B241)&gt;1,_xlfn.CONCAT(A241," (",M241,")"),B241)</f>
        <v>Făbiāo Zhèn</v>
      </c>
      <c r="D241" t="s">
        <v>204</v>
      </c>
      <c r="E241" t="s">
        <v>11</v>
      </c>
      <c r="F241" t="str">
        <f>_xlfn.CONCAT(D241,", ",H241,", ",I241,", ","云南省")</f>
        <v>法脿镇, 双柏县, 楚雄彝族自治州, 云南省</v>
      </c>
      <c r="G241">
        <v>24656</v>
      </c>
      <c r="H241" t="s">
        <v>2756</v>
      </c>
      <c r="I241" t="s">
        <v>2750</v>
      </c>
      <c r="J241">
        <f>VLOOKUP(F241,[1]!china_towns_second__2[[Column1]:[Y]],3,FALSE)</f>
        <v>24.564261562238599</v>
      </c>
      <c r="K241">
        <f>VLOOKUP(F241,[1]!china_towns_second__2[[Column1]:[Y]],2,FALSE)</f>
        <v>101.8183057</v>
      </c>
      <c r="L241" t="s">
        <v>3800</v>
      </c>
      <c r="M241" t="str">
        <f>VLOOKUP(H241,CHOOSE({1,2},Table17[Native],Table17[Name]),2,0)</f>
        <v>Shuāngbǎi Xiàn</v>
      </c>
      <c r="N241" s="15" t="str">
        <f>VLOOKUP(I241,CHOOSE({1,2},Table17[Native],Table17[Name]),2,0)</f>
        <v>Chŭxióng Yízú Zìzhìzhōu</v>
      </c>
      <c r="O241" s="15" t="str">
        <f t="shared" si="6"/>
        <v>Fabiao Zhen (Chŭxióng Yízú Zìzhìzhōu)</v>
      </c>
      <c r="P241" s="15" t="str">
        <f t="shared" si="7"/>
        <v>Fabiao Zhen (Chŭxióng Yízú Zìzhìzhōu)</v>
      </c>
    </row>
    <row r="242" spans="1:16" hidden="1" x14ac:dyDescent="0.25">
      <c r="A242" t="s">
        <v>2121</v>
      </c>
      <c r="B242" t="str">
        <f>IF(COUNTIF(A:A,A242)&gt;1,_xlfn.CONCAT(A242," (",N242,")"),A242)</f>
        <v>Fădòu Xiāng</v>
      </c>
      <c r="C242" t="str">
        <f>IF(COUNTIF(B:B,B242)&gt;1,_xlfn.CONCAT(A242," (",M242,")"),B242)</f>
        <v>Fădòu Xiāng</v>
      </c>
      <c r="D242" t="s">
        <v>2122</v>
      </c>
      <c r="E242" t="s">
        <v>7</v>
      </c>
      <c r="F242" t="str">
        <f>_xlfn.CONCAT(D242,", ",H242,", ",I242,", ","云南省")</f>
        <v>法斗乡, 西畴县, 文山壮族苗族自治州, 云南省</v>
      </c>
      <c r="G242">
        <v>29293</v>
      </c>
      <c r="H242" t="s">
        <v>2879</v>
      </c>
      <c r="I242" t="s">
        <v>2872</v>
      </c>
      <c r="J242" t="e">
        <f>VLOOKUP(F242,[1]!china_towns_second__2[[Column1]:[Y]],3,FALSE)</f>
        <v>#N/A</v>
      </c>
      <c r="K242" t="e">
        <f>VLOOKUP(F242,[1]!china_towns_second__2[[Column1]:[Y]],2,FALSE)</f>
        <v>#N/A</v>
      </c>
      <c r="L242" t="s">
        <v>3801</v>
      </c>
      <c r="M242" t="str">
        <f>VLOOKUP(H242,CHOOSE({1,2},Table17[Native],Table17[Name]),2,0)</f>
        <v>Xīchóu Xiàn</v>
      </c>
      <c r="N242" s="15" t="str">
        <f>VLOOKUP(I242,CHOOSE({1,2},Table17[Native],Table17[Name]),2,0)</f>
        <v>Wénshān Zhuàngzú Miáozú Zìzhìzhōu</v>
      </c>
      <c r="O242" s="15" t="str">
        <f t="shared" si="6"/>
        <v>Fadou Xiang (Wénshān Zhuàngzú Miáozú Zìzhìzhōu)</v>
      </c>
      <c r="P242" s="15" t="str">
        <f t="shared" si="7"/>
        <v>Fadou Xiang (Wénshān Zhuàngzú Miáozú Zìzhìzhōu)</v>
      </c>
    </row>
    <row r="243" spans="1:16" hidden="1" x14ac:dyDescent="0.25">
      <c r="A243" t="s">
        <v>1898</v>
      </c>
      <c r="B243" t="str">
        <f>IF(COUNTIF(A:A,A243)&gt;1,_xlfn.CONCAT(A243," (",N243,")"),A243)</f>
        <v>Fānghuá Zhèn</v>
      </c>
      <c r="C243" t="str">
        <f>IF(COUNTIF(B:B,B243)&gt;1,_xlfn.CONCAT(A243," (",M243,")"),B243)</f>
        <v>Fānghuá Zhèn</v>
      </c>
      <c r="D243" t="s">
        <v>1899</v>
      </c>
      <c r="E243" t="s">
        <v>11</v>
      </c>
      <c r="F243" t="str">
        <f>_xlfn.CONCAT(D243,", ",H243,", ",I243,", ","云南省")</f>
        <v>芳华镇, 陆良县, 曲靖市, 云南省</v>
      </c>
      <c r="G243">
        <v>35483</v>
      </c>
      <c r="H243" t="s">
        <v>2863</v>
      </c>
      <c r="I243" t="s">
        <v>2860</v>
      </c>
      <c r="J243">
        <f>VLOOKUP(F243,[1]!china_towns_second__2[[Column1]:[Y]],3,FALSE)</f>
        <v>25.197599216223701</v>
      </c>
      <c r="K243">
        <f>VLOOKUP(F243,[1]!china_towns_second__2[[Column1]:[Y]],2,FALSE)</f>
        <v>103.7008301</v>
      </c>
      <c r="L243" t="s">
        <v>3802</v>
      </c>
      <c r="M243" t="str">
        <f>VLOOKUP(H243,CHOOSE({1,2},Table17[Native],Table17[Name]),2,0)</f>
        <v>Lùliáng Xiàn</v>
      </c>
      <c r="N243" s="15" t="str">
        <f>VLOOKUP(I243,CHOOSE({1,2},Table17[Native],Table17[Name]),2,0)</f>
        <v>Qŭjìng Shì</v>
      </c>
      <c r="O243" s="15" t="str">
        <f t="shared" si="6"/>
        <v>Fanghua Zhen (Qŭjìng Shì)</v>
      </c>
      <c r="P243" s="15" t="str">
        <f t="shared" si="7"/>
        <v>Fanghua Zhen (Qŭjìng Shì)</v>
      </c>
    </row>
    <row r="244" spans="1:16" hidden="1" x14ac:dyDescent="0.25">
      <c r="A244" t="s">
        <v>205</v>
      </c>
      <c r="B244" t="str">
        <f>IF(COUNTIF(A:A,A244)&gt;1,_xlfn.CONCAT(A244," (",N244,")"),A244)</f>
        <v>Fāwō Xiāng</v>
      </c>
      <c r="C244" t="str">
        <f>IF(COUNTIF(B:B,B244)&gt;1,_xlfn.CONCAT(A244," (",M244,")"),B244)</f>
        <v>Fāwō Xiāng</v>
      </c>
      <c r="D244" t="s">
        <v>206</v>
      </c>
      <c r="E244" t="s">
        <v>7</v>
      </c>
      <c r="F244" t="str">
        <f>_xlfn.CONCAT(D244,", ",H244,", ",I244,", ","云南省")</f>
        <v>发窝乡, 武定县, 楚雄彝族自治州, 云南省</v>
      </c>
      <c r="G244">
        <v>13110</v>
      </c>
      <c r="H244" t="s">
        <v>2757</v>
      </c>
      <c r="I244" t="s">
        <v>2750</v>
      </c>
      <c r="J244" t="e">
        <f>VLOOKUP(F244,[1]!china_towns_second__2[[Column1]:[Y]],3,FALSE)</f>
        <v>#N/A</v>
      </c>
      <c r="K244" t="e">
        <f>VLOOKUP(F244,[1]!china_towns_second__2[[Column1]:[Y]],2,FALSE)</f>
        <v>#N/A</v>
      </c>
      <c r="L244" t="s">
        <v>3803</v>
      </c>
      <c r="M244" t="str">
        <f>VLOOKUP(H244,CHOOSE({1,2},Table17[Native],Table17[Name]),2,0)</f>
        <v>Wŭdìng Xiàn</v>
      </c>
      <c r="N244" s="15" t="str">
        <f>VLOOKUP(I244,CHOOSE({1,2},Table17[Native],Table17[Name]),2,0)</f>
        <v>Chŭxióng Yízú Zìzhìzhōu</v>
      </c>
      <c r="O244" s="15" t="str">
        <f t="shared" si="6"/>
        <v>Fawo Xiang (Chŭxióng Yízú Zìzhìzhōu)</v>
      </c>
      <c r="P244" s="15" t="str">
        <f t="shared" si="7"/>
        <v>Fawo Xiang (Chŭxióng Yízú Zìzhìzhōu)</v>
      </c>
    </row>
    <row r="245" spans="1:16" hidden="1" x14ac:dyDescent="0.25">
      <c r="A245" t="s">
        <v>1682</v>
      </c>
      <c r="B245" t="str">
        <f>IF(COUNTIF(A:A,A245)&gt;1,_xlfn.CONCAT(A245," (",N245,")"),A245)</f>
        <v>Fāzhănhé Hānízú Xiāng</v>
      </c>
      <c r="C245" t="str">
        <f>IF(COUNTIF(B:B,B245)&gt;1,_xlfn.CONCAT(A245," (",M245,")"),B245)</f>
        <v>Fāzhănhé Hānízú Xiāng</v>
      </c>
      <c r="D245" t="s">
        <v>1683</v>
      </c>
      <c r="E245" t="s">
        <v>7</v>
      </c>
      <c r="F245" t="str">
        <f>_xlfn.CONCAT(D245,", ",H245,", ",I245,", ","云南省")</f>
        <v>发展河哈尼族乡, 澜沧拉祜族自治县, 普洱市, 云南省</v>
      </c>
      <c r="G245">
        <v>15483</v>
      </c>
      <c r="H245" t="s">
        <v>2852</v>
      </c>
      <c r="I245" t="s">
        <v>2848</v>
      </c>
      <c r="J245" t="e">
        <f>VLOOKUP(F245,[1]!china_towns_second__2[[Column1]:[Y]],3,FALSE)</f>
        <v>#N/A</v>
      </c>
      <c r="K245" t="e">
        <f>VLOOKUP(F245,[1]!china_towns_second__2[[Column1]:[Y]],2,FALSE)</f>
        <v>#N/A</v>
      </c>
      <c r="L245" t="s">
        <v>3804</v>
      </c>
      <c r="M245" t="str">
        <f>VLOOKUP(H245,CHOOSE({1,2},Table17[Native],Table17[Name]),2,0)</f>
        <v>Láncāng Lāhùzú Zìzhìxiàn</v>
      </c>
      <c r="N245" s="15" t="str">
        <f>VLOOKUP(I245,CHOOSE({1,2},Table17[Native],Table17[Name]),2,0)</f>
        <v>Pŭ'ĕr Shì</v>
      </c>
      <c r="O245" s="15" t="str">
        <f t="shared" si="6"/>
        <v>Fazhanhe Hanizu Xiang (Pŭ'ĕr Shì)</v>
      </c>
      <c r="P245" s="15" t="str">
        <f t="shared" si="7"/>
        <v>Fazhanhe Hanizu Xiang (Pŭ'ĕr Shì)</v>
      </c>
    </row>
    <row r="246" spans="1:16" hidden="1" x14ac:dyDescent="0.25">
      <c r="A246" t="s">
        <v>834</v>
      </c>
      <c r="B246" t="str">
        <f>IF(COUNTIF(A:A,A246)&gt;1,_xlfn.CONCAT(A246," (",N246,")"),A246)</f>
        <v>Féngchūnlĭng Xiāng</v>
      </c>
      <c r="C246" t="str">
        <f>IF(COUNTIF(B:B,B246)&gt;1,_xlfn.CONCAT(A246," (",M246,")"),B246)</f>
        <v>Féngchūnlĭng Xiāng</v>
      </c>
      <c r="D246" t="s">
        <v>835</v>
      </c>
      <c r="E246" t="s">
        <v>7</v>
      </c>
      <c r="F246" t="str">
        <f>_xlfn.CONCAT(D246,", ",H246,", ",I246,", ","云南省")</f>
        <v>逢春岭乡, 元阳县, 红河哈尼族彝族自治州, 云南省</v>
      </c>
      <c r="G246">
        <v>34592</v>
      </c>
      <c r="H246" t="s">
        <v>2805</v>
      </c>
      <c r="I246" t="s">
        <v>2792</v>
      </c>
      <c r="J246" t="e">
        <f>VLOOKUP(F246,[1]!china_towns_second__2[[Column1]:[Y]],3,FALSE)</f>
        <v>#N/A</v>
      </c>
      <c r="K246" t="e">
        <f>VLOOKUP(F246,[1]!china_towns_second__2[[Column1]:[Y]],2,FALSE)</f>
        <v>#N/A</v>
      </c>
      <c r="L246" t="s">
        <v>3805</v>
      </c>
      <c r="M246" t="str">
        <f>VLOOKUP(H246,CHOOSE({1,2},Table17[Native],Table17[Name]),2,0)</f>
        <v>Yuányáng Xiàn</v>
      </c>
      <c r="N246" s="15" t="str">
        <f>VLOOKUP(I246,CHOOSE({1,2},Table17[Native],Table17[Name]),2,0)</f>
        <v>Hónghé Hānízú Yízú Zìzhìzhōu</v>
      </c>
      <c r="O246" s="15" t="str">
        <f t="shared" si="6"/>
        <v>Fengchunling Xiang (Hónghé Hānízú Yízú Zìzhìzhōu)</v>
      </c>
      <c r="P246" s="15" t="str">
        <f t="shared" si="7"/>
        <v>Fengchunling Xiang (Hónghé Hānízú Yízú Zìzhìzhōu)</v>
      </c>
    </row>
    <row r="247" spans="1:16" hidden="1" x14ac:dyDescent="0.25">
      <c r="A247" t="s">
        <v>1090</v>
      </c>
      <c r="B247" t="str">
        <f>IF(COUNTIF(A:A,A247)&gt;1,_xlfn.CONCAT(A247," (",N247,")"),A247)</f>
        <v>Fènghé Zhèn</v>
      </c>
      <c r="C247" t="str">
        <f>IF(COUNTIF(B:B,B247)&gt;1,_xlfn.CONCAT(A247," (",M247,")"),B247)</f>
        <v>Fènghé Zhèn</v>
      </c>
      <c r="D247" t="s">
        <v>1091</v>
      </c>
      <c r="E247" t="s">
        <v>11</v>
      </c>
      <c r="F247" t="str">
        <f>_xlfn.CONCAT(D247,", ",H247,", ",I247,", ","云南省")</f>
        <v>凤合镇, 寻甸回族彝族自治县, 昆明市, 云南省</v>
      </c>
      <c r="G247">
        <v>31696</v>
      </c>
      <c r="H247" t="s">
        <v>2820</v>
      </c>
      <c r="I247" t="s">
        <v>2807</v>
      </c>
      <c r="J247">
        <f>VLOOKUP(F247,[1]!china_towns_second__2[[Column1]:[Y]],3,FALSE)</f>
        <v>25.8195782083171</v>
      </c>
      <c r="K247">
        <f>VLOOKUP(F247,[1]!china_towns_second__2[[Column1]:[Y]],2,FALSE)</f>
        <v>103.0197697</v>
      </c>
      <c r="L247" t="s">
        <v>3806</v>
      </c>
      <c r="M247" t="str">
        <f>VLOOKUP(H247,CHOOSE({1,2},Table17[Native],Table17[Name]),2,0)</f>
        <v>Xúndiàn Huízú Yízú Zìzhìxiàn</v>
      </c>
      <c r="N247" s="15" t="str">
        <f>VLOOKUP(I247,CHOOSE({1,2},Table17[Native],Table17[Name]),2,0)</f>
        <v>Kūnmíng Shì</v>
      </c>
      <c r="O247" s="15" t="str">
        <f t="shared" si="6"/>
        <v>Fenghe Zhen (Kūnmíng Shì)</v>
      </c>
      <c r="P247" s="15" t="str">
        <f t="shared" si="7"/>
        <v>Fenghe Zhen (Kūnmíng Shì)</v>
      </c>
    </row>
    <row r="248" spans="1:16" hidden="1" x14ac:dyDescent="0.25">
      <c r="A248" t="s">
        <v>2342</v>
      </c>
      <c r="B248" t="str">
        <f>IF(COUNTIF(A:A,A248)&gt;1,_xlfn.CONCAT(A248," (",N248,")"),A248)</f>
        <v>Fènghuáng Jiēdào (Yùxī Shì)</v>
      </c>
      <c r="C248" t="str">
        <f>IF(COUNTIF(B:B,B248)&gt;1,_xlfn.CONCAT(A248," (",M248,")"),B248)</f>
        <v>Fènghuáng Jiēdào (Yùxī Shì)</v>
      </c>
      <c r="D248" t="s">
        <v>2343</v>
      </c>
      <c r="E248" t="s">
        <v>42</v>
      </c>
      <c r="F248" t="str">
        <f>_xlfn.CONCAT(D248,", ",H248,", ",I248,", ","云南省")</f>
        <v>凤凰街道, 红塔区, 玉溪市, 云南省</v>
      </c>
      <c r="G248">
        <v>76155</v>
      </c>
      <c r="H248" t="s">
        <v>2891</v>
      </c>
      <c r="I248" t="s">
        <v>2888</v>
      </c>
      <c r="J248" t="e">
        <f>VLOOKUP(F248,[1]!china_towns_second__2[[Column1]:[Y]],3,FALSE)</f>
        <v>#N/A</v>
      </c>
      <c r="K248" t="e">
        <f>VLOOKUP(F248,[1]!china_towns_second__2[[Column1]:[Y]],2,FALSE)</f>
        <v>#N/A</v>
      </c>
      <c r="L248" t="s">
        <v>3807</v>
      </c>
      <c r="M248" t="str">
        <f>VLOOKUP(H248,CHOOSE({1,2},Table17[Native],Table17[Name]),2,0)</f>
        <v>Hóngtă Qū</v>
      </c>
      <c r="N248" s="15" t="str">
        <f>VLOOKUP(I248,CHOOSE({1,2},Table17[Native],Table17[Name]),2,0)</f>
        <v>Yùxī Shì</v>
      </c>
      <c r="O248" s="15" t="str">
        <f t="shared" si="6"/>
        <v>Fenghuang Jiedao (Yuxi Shi) (Yùxī Shì)</v>
      </c>
      <c r="P248" s="15" t="str">
        <f t="shared" si="7"/>
        <v>Fenghuang Jiedao (Yuxi Shi) (Yùxī Shì)</v>
      </c>
    </row>
    <row r="249" spans="1:16" hidden="1" x14ac:dyDescent="0.25">
      <c r="A249" t="s">
        <v>2342</v>
      </c>
      <c r="B249" t="str">
        <f>IF(COUNTIF(A:A,A249)&gt;1,_xlfn.CONCAT(A249," (",N249,")"),A249)</f>
        <v>Fènghuáng Jiēdào (Zhāotōng Shì)</v>
      </c>
      <c r="C249" t="str">
        <f>IF(COUNTIF(B:B,B249)&gt;1,_xlfn.CONCAT(A249," (",M249,")"),B249)</f>
        <v>Fènghuáng Jiēdào (Zhāotōng Shì)</v>
      </c>
      <c r="D249" t="s">
        <v>2343</v>
      </c>
      <c r="E249" t="s">
        <v>42</v>
      </c>
      <c r="F249" t="str">
        <f>_xlfn.CONCAT(D249,", ",H249,", ",I249,", ","云南省")</f>
        <v>凤凰街道, 昭阳区, 昭通市, 云南省</v>
      </c>
      <c r="G249">
        <v>127995</v>
      </c>
      <c r="H249" t="s">
        <v>2909</v>
      </c>
      <c r="I249" t="s">
        <v>2899</v>
      </c>
      <c r="J249">
        <f>VLOOKUP(F249,[1]!china_towns_second__2[[Column1]:[Y]],3,FALSE)</f>
        <v>27.3166896931533</v>
      </c>
      <c r="K249">
        <f>VLOOKUP(F249,[1]!china_towns_second__2[[Column1]:[Y]],2,FALSE)</f>
        <v>103.69698750000001</v>
      </c>
      <c r="L249" t="s">
        <v>3808</v>
      </c>
      <c r="M249" t="str">
        <f>VLOOKUP(H249,CHOOSE({1,2},Table17[Native],Table17[Name]),2,0)</f>
        <v>Zhāoyáng Qū</v>
      </c>
      <c r="N249" s="15" t="str">
        <f>VLOOKUP(I249,CHOOSE({1,2},Table17[Native],Table17[Name]),2,0)</f>
        <v>Zhāotōng Shì</v>
      </c>
      <c r="O249" s="15" t="str">
        <f t="shared" si="6"/>
        <v>Fenghuang Jiedao (Zhaotong Shi) (Zhāotōng Shì)</v>
      </c>
      <c r="P249" s="15" t="str">
        <f t="shared" si="7"/>
        <v>Fenghuang Jiedao (Zhaotong Shi) (Zhāotōng Shì)</v>
      </c>
    </row>
    <row r="250" spans="1:16" hidden="1" x14ac:dyDescent="0.25">
      <c r="A250" t="s">
        <v>1331</v>
      </c>
      <c r="B250" t="str">
        <f>IF(COUNTIF(A:A,A250)&gt;1,_xlfn.CONCAT(A250," (",N250,")"),A250)</f>
        <v>Fèngkē Zhèn</v>
      </c>
      <c r="C250" t="str">
        <f>IF(COUNTIF(B:B,B250)&gt;1,_xlfn.CONCAT(A250," (",M250,")"),B250)</f>
        <v>Fèngkē Zhèn</v>
      </c>
      <c r="D250" t="s">
        <v>1332</v>
      </c>
      <c r="E250" t="s">
        <v>11</v>
      </c>
      <c r="F250" t="str">
        <f>_xlfn.CONCAT(D250,", ",H250,", ",I250,", ","云南省")</f>
        <v>奉科镇, 玉龙纳西族自治县, 丽江市, 云南省</v>
      </c>
      <c r="G250">
        <v>7747</v>
      </c>
      <c r="H250" t="s">
        <v>2829</v>
      </c>
      <c r="I250" t="s">
        <v>2823</v>
      </c>
      <c r="J250">
        <f>VLOOKUP(F250,[1]!china_towns_second__2[[Column1]:[Y]],3,FALSE)</f>
        <v>27.623267087310602</v>
      </c>
      <c r="K250">
        <f>VLOOKUP(F250,[1]!china_towns_second__2[[Column1]:[Y]],2,FALSE)</f>
        <v>100.36294940000001</v>
      </c>
      <c r="L250" t="s">
        <v>3809</v>
      </c>
      <c r="M250" t="str">
        <f>VLOOKUP(H250,CHOOSE({1,2},Table17[Native],Table17[Name]),2,0)</f>
        <v>Yùlóng Nàxīzú Zìzhìxiàn</v>
      </c>
      <c r="N250" s="15" t="str">
        <f>VLOOKUP(I250,CHOOSE({1,2},Table17[Native],Table17[Name]),2,0)</f>
        <v>Lìjiāng Shì</v>
      </c>
      <c r="O250" s="15" t="str">
        <f t="shared" si="6"/>
        <v>Fengke Zhen (Lìjiāng Shì)</v>
      </c>
      <c r="P250" s="15" t="str">
        <f t="shared" si="7"/>
        <v>Fengke Zhen (Lìjiāng Shì)</v>
      </c>
    </row>
    <row r="251" spans="1:16" hidden="1" x14ac:dyDescent="0.25">
      <c r="A251" t="s">
        <v>2344</v>
      </c>
      <c r="B251" t="str">
        <f>IF(COUNTIF(A:A,A251)&gt;1,_xlfn.CONCAT(A251," (",N251,")"),A251)</f>
        <v>Fènglù Jiēdào</v>
      </c>
      <c r="C251" t="str">
        <f>IF(COUNTIF(B:B,B251)&gt;1,_xlfn.CONCAT(A251," (",M251,")"),B251)</f>
        <v>Fènglù Jiēdào</v>
      </c>
      <c r="D251" t="s">
        <v>2345</v>
      </c>
      <c r="E251" t="s">
        <v>42</v>
      </c>
      <c r="F251" t="str">
        <f>_xlfn.CONCAT(D251,", ",H251,", ",I251,", ","云南省")</f>
        <v>凤麓街道, 澄江市, 玉溪市, 云南省</v>
      </c>
      <c r="G251">
        <v>25407</v>
      </c>
      <c r="H251" t="s">
        <v>2889</v>
      </c>
      <c r="I251" t="s">
        <v>2888</v>
      </c>
      <c r="J251">
        <f>VLOOKUP(F251,[1]!china_towns_second__2[[Column1]:[Y]],3,FALSE)</f>
        <v>24.6834806998225</v>
      </c>
      <c r="K251">
        <f>VLOOKUP(F251,[1]!china_towns_second__2[[Column1]:[Y]],2,FALSE)</f>
        <v>102.9211438</v>
      </c>
      <c r="L251" t="s">
        <v>3810</v>
      </c>
      <c r="M251" t="str">
        <f>VLOOKUP(H251,CHOOSE({1,2},Table17[Native],Table17[Name]),2,0)</f>
        <v>Chéngjiāng Shì</v>
      </c>
      <c r="N251" s="15" t="str">
        <f>VLOOKUP(I251,CHOOSE({1,2},Table17[Native],Table17[Name]),2,0)</f>
        <v>Yùxī Shì</v>
      </c>
      <c r="O251" s="15" t="str">
        <f t="shared" si="6"/>
        <v>Fenglu Jiedao (Yùxī Shì)</v>
      </c>
      <c r="P251" s="15" t="str">
        <f t="shared" si="7"/>
        <v>Fenglu Jiedao (Yùxī Shì)</v>
      </c>
    </row>
    <row r="252" spans="1:16" hidden="1" x14ac:dyDescent="0.25">
      <c r="A252" t="s">
        <v>1092</v>
      </c>
      <c r="B252" t="str">
        <f>IF(COUNTIF(A:A,A252)&gt;1,_xlfn.CONCAT(A252," (",N252,")"),A252)</f>
        <v>Fēngníng Jiēdào</v>
      </c>
      <c r="C252" t="str">
        <f>IF(COUNTIF(B:B,B252)&gt;1,_xlfn.CONCAT(A252," (",M252,")"),B252)</f>
        <v>Fēngníng Jiēdào</v>
      </c>
      <c r="D252" t="s">
        <v>1093</v>
      </c>
      <c r="E252" t="s">
        <v>42</v>
      </c>
      <c r="F252" t="str">
        <f>_xlfn.CONCAT(D252,", ",H252,", ",I252,", ","云南省")</f>
        <v>丰宁街道, 五华区, 昆明市, 云南省</v>
      </c>
      <c r="G252">
        <v>92349</v>
      </c>
      <c r="H252" t="s">
        <v>2818</v>
      </c>
      <c r="I252" t="s">
        <v>2807</v>
      </c>
      <c r="J252">
        <f>VLOOKUP(F252,[1]!china_towns_second__2[[Column1]:[Y]],3,FALSE)</f>
        <v>25.061680911739799</v>
      </c>
      <c r="K252">
        <f>VLOOKUP(F252,[1]!china_towns_second__2[[Column1]:[Y]],2,FALSE)</f>
        <v>102.6765339</v>
      </c>
      <c r="L252" t="s">
        <v>3811</v>
      </c>
      <c r="M252" t="str">
        <f>VLOOKUP(H252,CHOOSE({1,2},Table17[Native],Table17[Name]),2,0)</f>
        <v>Wŭhuá Qū</v>
      </c>
      <c r="N252" s="15" t="str">
        <f>VLOOKUP(I252,CHOOSE({1,2},Table17[Native],Table17[Name]),2,0)</f>
        <v>Kūnmíng Shì</v>
      </c>
      <c r="O252" s="15" t="str">
        <f t="shared" si="6"/>
        <v>Fengning Jiedao (Kūnmíng Shì)</v>
      </c>
      <c r="P252" s="15" t="str">
        <f t="shared" si="7"/>
        <v>Fengning Jiedao (Kūnmíng Shì)</v>
      </c>
    </row>
    <row r="253" spans="1:16" hidden="1" x14ac:dyDescent="0.25">
      <c r="A253" t="s">
        <v>610</v>
      </c>
      <c r="B253" t="str">
        <f>IF(COUNTIF(A:A,A253)&gt;1,_xlfn.CONCAT(A253," (",N253,")"),A253)</f>
        <v>Fēngpíng Zhèn</v>
      </c>
      <c r="C253" t="str">
        <f>IF(COUNTIF(B:B,B253)&gt;1,_xlfn.CONCAT(A253," (",M253,")"),B253)</f>
        <v>Fēngpíng Zhèn</v>
      </c>
      <c r="D253" t="s">
        <v>611</v>
      </c>
      <c r="E253" t="s">
        <v>11</v>
      </c>
      <c r="F253" t="str">
        <f>_xlfn.CONCAT(D253,", ",H253,", ",I253,", ","云南省")</f>
        <v>风平镇, 芒市, 德宏傣族景颇族自治州, 云南省</v>
      </c>
      <c r="G253">
        <v>69586</v>
      </c>
      <c r="H253" t="s">
        <v>2782</v>
      </c>
      <c r="I253" t="s">
        <v>2779</v>
      </c>
      <c r="J253">
        <f>VLOOKUP(F253,[1]!china_towns_second__2[[Column1]:[Y]],3,FALSE)</f>
        <v>24.353516426642901</v>
      </c>
      <c r="K253">
        <f>VLOOKUP(F253,[1]!china_towns_second__2[[Column1]:[Y]],2,FALSE)</f>
        <v>98.57598539</v>
      </c>
      <c r="L253" t="s">
        <v>3812</v>
      </c>
      <c r="M253" t="str">
        <f>VLOOKUP(H253,CHOOSE({1,2},Table17[Native],Table17[Name]),2,0)</f>
        <v>Máng Shì</v>
      </c>
      <c r="N253" s="15" t="str">
        <f>VLOOKUP(I253,CHOOSE({1,2},Table17[Native],Table17[Name]),2,0)</f>
        <v>Déhóng Dăizú Jĭngpōzú Zìzhìzhōu</v>
      </c>
      <c r="O253" s="15" t="str">
        <f t="shared" si="6"/>
        <v>Fengping Zhen (Déhóng Dăizú Jĭngpōzú Zìzhìzhōu)</v>
      </c>
      <c r="P253" s="15" t="str">
        <f t="shared" si="7"/>
        <v>Fengping Zhen (Déhóng Dăizú Jĭngpōzú Zìzhìzhōu)</v>
      </c>
    </row>
    <row r="254" spans="1:16" hidden="1" x14ac:dyDescent="0.25">
      <c r="A254" t="s">
        <v>1474</v>
      </c>
      <c r="B254" t="str">
        <f>IF(COUNTIF(A:A,A254)&gt;1,_xlfn.CONCAT(A254," (",N254,")"),A254)</f>
        <v>Fèngshān Zhèn (Líncāng Shì)</v>
      </c>
      <c r="C254" t="str">
        <f>IF(COUNTIF(B:B,B254)&gt;1,_xlfn.CONCAT(A254," (",M254,")"),B254)</f>
        <v>Fèngshān Zhèn (Líncāng Shì)</v>
      </c>
      <c r="D254" t="s">
        <v>1475</v>
      </c>
      <c r="E254" t="s">
        <v>11</v>
      </c>
      <c r="F254" t="str">
        <f>_xlfn.CONCAT(D254,", ",H254,", ",I254,", ","云南省")</f>
        <v>凤山镇, 凤庆县, 临沧市, 云南省</v>
      </c>
      <c r="G254">
        <v>79857</v>
      </c>
      <c r="H254" t="s">
        <v>2833</v>
      </c>
      <c r="I254" t="s">
        <v>2831</v>
      </c>
      <c r="J254">
        <f>VLOOKUP(F254,[1]!china_towns_second__2[[Column1]:[Y]],3,FALSE)</f>
        <v>24.6041981566968</v>
      </c>
      <c r="K254">
        <f>VLOOKUP(F254,[1]!china_towns_second__2[[Column1]:[Y]],2,FALSE)</f>
        <v>99.91745718</v>
      </c>
      <c r="L254" t="s">
        <v>3813</v>
      </c>
      <c r="M254" t="str">
        <f>VLOOKUP(H254,CHOOSE({1,2},Table17[Native],Table17[Name]),2,0)</f>
        <v>Fèngqìng Xiàn</v>
      </c>
      <c r="N254" s="15" t="str">
        <f>VLOOKUP(I254,CHOOSE({1,2},Table17[Native],Table17[Name]),2,0)</f>
        <v>Líncāng Shì</v>
      </c>
      <c r="O254" s="15" t="str">
        <f t="shared" si="6"/>
        <v>Fengshan Zhen (Lincang Shi) (Líncāng Shì)</v>
      </c>
      <c r="P254" s="15" t="str">
        <f t="shared" si="7"/>
        <v>Fengshan Zhen (Lincang Shi) (Líncāng Shì)</v>
      </c>
    </row>
    <row r="255" spans="1:16" hidden="1" x14ac:dyDescent="0.25">
      <c r="A255" t="s">
        <v>1474</v>
      </c>
      <c r="B255" t="str">
        <f>IF(COUNTIF(A:A,A255)&gt;1,_xlfn.CONCAT(A255," (",N255,")"),A255)</f>
        <v>Fèngshān Zhèn (Pŭ'ĕr Shì)</v>
      </c>
      <c r="C255" t="str">
        <f>IF(COUNTIF(B:B,B255)&gt;1,_xlfn.CONCAT(A255," (",M255,")"),B255)</f>
        <v>Fèngshān Zhèn (Pŭ'ĕr Shì)</v>
      </c>
      <c r="D255" t="s">
        <v>1475</v>
      </c>
      <c r="E255" t="s">
        <v>11</v>
      </c>
      <c r="F255" t="str">
        <f>_xlfn.CONCAT(D255,", ",H255,", ",I255,", ","云南省")</f>
        <v>凤山镇, 景谷傣族彝族自治县, 普洱市, 云南省</v>
      </c>
      <c r="G255">
        <v>17761</v>
      </c>
      <c r="H255" t="s">
        <v>2851</v>
      </c>
      <c r="I255" t="s">
        <v>2848</v>
      </c>
      <c r="J255">
        <f>VLOOKUP(F255,[1]!china_towns_second__2[[Column1]:[Y]],3,FALSE)</f>
        <v>23.661667419748898</v>
      </c>
      <c r="K255">
        <f>VLOOKUP(F255,[1]!china_towns_second__2[[Column1]:[Y]],2,FALSE)</f>
        <v>100.84072639999999</v>
      </c>
      <c r="L255" t="s">
        <v>3814</v>
      </c>
      <c r="M255" t="str">
        <f>VLOOKUP(H255,CHOOSE({1,2},Table17[Native],Table17[Name]),2,0)</f>
        <v>Jĭnggŭ Dăizú Yízú Zìzhìxiàn</v>
      </c>
      <c r="N255" s="15" t="str">
        <f>VLOOKUP(I255,CHOOSE({1,2},Table17[Native],Table17[Name]),2,0)</f>
        <v>Pŭ'ĕr Shì</v>
      </c>
      <c r="O255" s="15" t="str">
        <f t="shared" si="6"/>
        <v>Fengshan Zhen (Pu'er Shi) (Pŭ'ĕr Shì)</v>
      </c>
      <c r="P255" s="15" t="str">
        <f t="shared" si="7"/>
        <v>Fengshan Zhen (Pu'er Shi) (Pŭ'ĕr Shì)</v>
      </c>
    </row>
    <row r="256" spans="1:16" hidden="1" x14ac:dyDescent="0.25">
      <c r="A256" t="s">
        <v>207</v>
      </c>
      <c r="B256" t="str">
        <f>IF(COUNTIF(A:A,A256)&gt;1,_xlfn.CONCAT(A256," (",N256,")"),A256)</f>
        <v>Fèngtún Zhèn</v>
      </c>
      <c r="C256" t="str">
        <f>IF(COUNTIF(B:B,B256)&gt;1,_xlfn.CONCAT(A256," (",M256,")"),B256)</f>
        <v>Fèngtún Zhèn</v>
      </c>
      <c r="D256" t="s">
        <v>208</v>
      </c>
      <c r="E256" t="s">
        <v>11</v>
      </c>
      <c r="F256" t="str">
        <f>_xlfn.CONCAT(D256,", ",H256,", ",I256,", ","云南省")</f>
        <v>凤屯镇, 牟定县, 楚雄彝族自治州, 云南省</v>
      </c>
      <c r="G256">
        <v>17514</v>
      </c>
      <c r="H256" t="s">
        <v>2754</v>
      </c>
      <c r="I256" t="s">
        <v>2750</v>
      </c>
      <c r="J256">
        <f>VLOOKUP(F256,[1]!china_towns_second__2[[Column1]:[Y]],3,FALSE)</f>
        <v>25.3082444553893</v>
      </c>
      <c r="K256">
        <f>VLOOKUP(F256,[1]!china_towns_second__2[[Column1]:[Y]],2,FALSE)</f>
        <v>101.40371519999999</v>
      </c>
      <c r="L256" t="s">
        <v>3815</v>
      </c>
      <c r="M256" t="str">
        <f>VLOOKUP(H256,CHOOSE({1,2},Table17[Native],Table17[Name]),2,0)</f>
        <v>Móudìng Xiàn</v>
      </c>
      <c r="N256" s="15" t="str">
        <f>VLOOKUP(I256,CHOOSE({1,2},Table17[Native],Table17[Name]),2,0)</f>
        <v>Chŭxióng Yízú Zìzhìzhōu</v>
      </c>
      <c r="O256" s="15" t="str">
        <f t="shared" si="6"/>
        <v>Fengtun Zhen (Chŭxióng Yízú Zìzhìzhōu)</v>
      </c>
      <c r="P256" s="15" t="str">
        <f t="shared" si="7"/>
        <v>Fengtun Zhen (Chŭxióng Yízú Zìzhìzhōu)</v>
      </c>
    </row>
    <row r="257" spans="1:16" hidden="1" x14ac:dyDescent="0.25">
      <c r="A257" t="s">
        <v>1476</v>
      </c>
      <c r="B257" t="str">
        <f>IF(COUNTIF(A:A,A257)&gt;1,_xlfn.CONCAT(A257," (",N257,")"),A257)</f>
        <v>Fèngwĕi Zhèn</v>
      </c>
      <c r="C257" t="str">
        <f>IF(COUNTIF(B:B,B257)&gt;1,_xlfn.CONCAT(A257," (",M257,")"),B257)</f>
        <v>Fèngwĕi Zhèn</v>
      </c>
      <c r="D257" t="s">
        <v>1477</v>
      </c>
      <c r="E257" t="s">
        <v>11</v>
      </c>
      <c r="F257" t="str">
        <f>_xlfn.CONCAT(D257,", ",H257,", ",I257,", ","云南省")</f>
        <v>凤尾镇, 镇康县, 临沧市, 云南省</v>
      </c>
      <c r="G257">
        <v>18166</v>
      </c>
      <c r="H257" t="s">
        <v>2839</v>
      </c>
      <c r="I257" t="s">
        <v>2831</v>
      </c>
      <c r="J257">
        <f>VLOOKUP(F257,[1]!china_towns_second__2[[Column1]:[Y]],3,FALSE)</f>
        <v>23.9086414931664</v>
      </c>
      <c r="K257">
        <f>VLOOKUP(F257,[1]!china_towns_second__2[[Column1]:[Y]],2,FALSE)</f>
        <v>99.041784019999994</v>
      </c>
      <c r="L257" t="s">
        <v>3816</v>
      </c>
      <c r="M257" t="str">
        <f>VLOOKUP(H257,CHOOSE({1,2},Table17[Native],Table17[Name]),2,0)</f>
        <v>Zhènkāng Xiàn</v>
      </c>
      <c r="N257" s="15" t="str">
        <f>VLOOKUP(I257,CHOOSE({1,2},Table17[Native],Table17[Name]),2,0)</f>
        <v>Líncāng Shì</v>
      </c>
      <c r="O257" s="15" t="str">
        <f t="shared" si="6"/>
        <v>Fengwei Zhen (Líncāng Shì)</v>
      </c>
      <c r="P257" s="15" t="str">
        <f t="shared" si="7"/>
        <v>Fengwei Zhen (Líncāng Shì)</v>
      </c>
    </row>
    <row r="258" spans="1:16" hidden="1" x14ac:dyDescent="0.25">
      <c r="A258" t="s">
        <v>1479</v>
      </c>
      <c r="B258" t="str">
        <f>IF(COUNTIF(A:A,A258)&gt;1,_xlfn.CONCAT(A258," (",N258,")"),A258)</f>
        <v>Fèngxiáng Jiēdào</v>
      </c>
      <c r="C258" t="str">
        <f>IF(COUNTIF(B:B,B258)&gt;1,_xlfn.CONCAT(A258," (",M258,")"),B258)</f>
        <v>Fèngxiáng Jiēdào</v>
      </c>
      <c r="D258" t="s">
        <v>1480</v>
      </c>
      <c r="E258" t="s">
        <v>42</v>
      </c>
      <c r="F258" t="str">
        <f>_xlfn.CONCAT(D258,", ",H258,", ",I258,", ","云南省")</f>
        <v>凤翔街道, 临翔区, 临沧市, 云南省</v>
      </c>
      <c r="G258">
        <v>111810</v>
      </c>
      <c r="H258" t="s">
        <v>2835</v>
      </c>
      <c r="I258" t="s">
        <v>2831</v>
      </c>
      <c r="J258">
        <f>VLOOKUP(F258,[1]!china_towns_second__2[[Column1]:[Y]],3,FALSE)</f>
        <v>23.824252203539899</v>
      </c>
      <c r="K258">
        <f>VLOOKUP(F258,[1]!china_towns_second__2[[Column1]:[Y]],2,FALSE)</f>
        <v>100.0938032</v>
      </c>
      <c r="L258" t="s">
        <v>3817</v>
      </c>
      <c r="M258" t="str">
        <f>VLOOKUP(H258,CHOOSE({1,2},Table17[Native],Table17[Name]),2,0)</f>
        <v>Línxiáng Qū</v>
      </c>
      <c r="N258" s="15" t="str">
        <f>VLOOKUP(I258,CHOOSE({1,2},Table17[Native],Table17[Name]),2,0)</f>
        <v>Líncāng Shì</v>
      </c>
      <c r="O258" s="15" t="str">
        <f t="shared" ref="O258:O321" si="8">_xlfn.CONCAT(L258," (",N258,")")</f>
        <v>Fengxiang Jiedao (Líncāng Shì)</v>
      </c>
      <c r="P258" s="15" t="str">
        <f t="shared" ref="P258:P321" si="9">IF(COUNTIF(O:O,O258)&gt;1,_xlfn.CONCAT(L258," (",M258,")"),O258)</f>
        <v>Fengxiang Jiedao (Líncāng Shì)</v>
      </c>
    </row>
    <row r="259" spans="1:16" hidden="1" x14ac:dyDescent="0.25">
      <c r="A259" t="s">
        <v>422</v>
      </c>
      <c r="B259" t="str">
        <f>IF(COUNTIF(A:A,A259)&gt;1,_xlfn.CONCAT(A259," (",N259,")"),A259)</f>
        <v>Fèngyí Zhèn</v>
      </c>
      <c r="C259" t="str">
        <f>IF(COUNTIF(B:B,B259)&gt;1,_xlfn.CONCAT(A259," (",M259,")"),B259)</f>
        <v>Fèngyí Zhèn</v>
      </c>
      <c r="D259" t="s">
        <v>423</v>
      </c>
      <c r="E259" t="s">
        <v>11</v>
      </c>
      <c r="F259" t="str">
        <f>_xlfn.CONCAT(D259,", ",H259,", ",I259,", ","云南省")</f>
        <v>凤仪镇, 大理市, 大理白族自治州, 云南省</v>
      </c>
      <c r="G259">
        <v>61890</v>
      </c>
      <c r="H259" t="s">
        <v>2765</v>
      </c>
      <c r="I259" t="s">
        <v>2763</v>
      </c>
      <c r="J259">
        <f>VLOOKUP(F259,[1]!china_towns_second__2[[Column1]:[Y]],3,FALSE)</f>
        <v>25.553163031521901</v>
      </c>
      <c r="K259">
        <f>VLOOKUP(F259,[1]!china_towns_second__2[[Column1]:[Y]],2,FALSE)</f>
        <v>100.3563455</v>
      </c>
      <c r="L259" t="s">
        <v>3818</v>
      </c>
      <c r="M259" t="str">
        <f>VLOOKUP(H259,CHOOSE({1,2},Table17[Native],Table17[Name]),2,0)</f>
        <v>Dàlĭ Shì</v>
      </c>
      <c r="N259" s="15" t="str">
        <f>VLOOKUP(I259,CHOOSE({1,2},Table17[Native],Table17[Name]),2,0)</f>
        <v>Dàlĭ Báizú Zìzhìzhōu</v>
      </c>
      <c r="O259" s="15" t="str">
        <f t="shared" si="8"/>
        <v>Fengyi Zhen (Dàlĭ Báizú Zìzhìzhōu)</v>
      </c>
      <c r="P259" s="15" t="str">
        <f t="shared" si="9"/>
        <v>Fengyi Zhen (Dàlĭ Báizú Zìzhìzhōu)</v>
      </c>
    </row>
    <row r="260" spans="1:16" hidden="1" x14ac:dyDescent="0.25">
      <c r="A260" t="s">
        <v>424</v>
      </c>
      <c r="B260" t="str">
        <f>IF(COUNTIF(A:A,A260)&gt;1,_xlfn.CONCAT(A260," (",N260,")"),A260)</f>
        <v>Fèngyŭ Zhèn</v>
      </c>
      <c r="C260" t="str">
        <f>IF(COUNTIF(B:B,B260)&gt;1,_xlfn.CONCAT(A260," (",M260,")"),B260)</f>
        <v>Fèngyŭ Zhèn</v>
      </c>
      <c r="D260" t="s">
        <v>425</v>
      </c>
      <c r="E260" t="s">
        <v>11</v>
      </c>
      <c r="F260" t="str">
        <f>_xlfn.CONCAT(D260,", ",H260,", ",I260,", ","云南省")</f>
        <v>凤羽镇, 洱源县, 大理白族自治州, 云南省</v>
      </c>
      <c r="G260">
        <v>27630</v>
      </c>
      <c r="H260" t="s">
        <v>2766</v>
      </c>
      <c r="I260" t="s">
        <v>2763</v>
      </c>
      <c r="J260">
        <f>VLOOKUP(F260,[1]!china_towns_second__2[[Column1]:[Y]],3,FALSE)</f>
        <v>25.981848212052999</v>
      </c>
      <c r="K260">
        <f>VLOOKUP(F260,[1]!china_towns_second__2[[Column1]:[Y]],2,FALSE)</f>
        <v>99.928314439999994</v>
      </c>
      <c r="L260" t="s">
        <v>3819</v>
      </c>
      <c r="M260" t="str">
        <f>VLOOKUP(H260,CHOOSE({1,2},Table17[Native],Table17[Name]),2,0)</f>
        <v>Ĕryuán Xiàn</v>
      </c>
      <c r="N260" s="15" t="str">
        <f>VLOOKUP(I260,CHOOSE({1,2},Table17[Native],Table17[Name]),2,0)</f>
        <v>Dàlĭ Báizú Zìzhìzhōu</v>
      </c>
      <c r="O260" s="15" t="str">
        <f t="shared" si="8"/>
        <v>Fengyu Zhen (Dàlĭ Báizú Zìzhìzhōu)</v>
      </c>
      <c r="P260" s="15" t="str">
        <f t="shared" si="9"/>
        <v>Fengyu Zhen (Dàlĭ Báizú Zìzhìzhōu)</v>
      </c>
    </row>
    <row r="261" spans="1:16" hidden="1" x14ac:dyDescent="0.25">
      <c r="A261" t="s">
        <v>720</v>
      </c>
      <c r="B261" t="str">
        <f>IF(COUNTIF(A:A,A261)&gt;1,_xlfn.CONCAT(A261," (",N261,")"),A261)</f>
        <v>Fóshān Xiāng</v>
      </c>
      <c r="C261" t="str">
        <f>IF(COUNTIF(B:B,B261)&gt;1,_xlfn.CONCAT(A261," (",M261,")"),B261)</f>
        <v>Fóshān Xiāng</v>
      </c>
      <c r="D261" t="s">
        <v>721</v>
      </c>
      <c r="E261" t="s">
        <v>7</v>
      </c>
      <c r="F261" t="str">
        <f>_xlfn.CONCAT(D261,", ",H261,", ",I261,", ","云南省")</f>
        <v>佛山乡, 德钦县, 迪庆藏族自治州, 云南省</v>
      </c>
      <c r="G261">
        <v>3898</v>
      </c>
      <c r="H261" t="s">
        <v>2787</v>
      </c>
      <c r="I261" t="s">
        <v>2786</v>
      </c>
      <c r="J261" t="e">
        <f>VLOOKUP(F261,[1]!china_towns_second__2[[Column1]:[Y]],3,FALSE)</f>
        <v>#N/A</v>
      </c>
      <c r="K261" t="e">
        <f>VLOOKUP(F261,[1]!china_towns_second__2[[Column1]:[Y]],2,FALSE)</f>
        <v>#N/A</v>
      </c>
      <c r="L261" t="s">
        <v>3820</v>
      </c>
      <c r="M261" t="str">
        <f>VLOOKUP(H261,CHOOSE({1,2},Table17[Native],Table17[Name]),2,0)</f>
        <v>Déqīn Xiàn</v>
      </c>
      <c r="N261" s="15" t="str">
        <f>VLOOKUP(I261,CHOOSE({1,2},Table17[Native],Table17[Name]),2,0)</f>
        <v>Díqìng Zàngzú Zìzhìzhōu</v>
      </c>
      <c r="O261" s="15" t="str">
        <f t="shared" si="8"/>
        <v>Foshan Xiang (Díqìng Zàngzú Zìzhìzhōu)</v>
      </c>
      <c r="P261" s="15" t="str">
        <f t="shared" si="9"/>
        <v>Foshan Xiang (Díqìng Zàngzú Zìzhìzhōu)</v>
      </c>
    </row>
    <row r="262" spans="1:16" hidden="1" x14ac:dyDescent="0.25">
      <c r="A262" t="s">
        <v>1684</v>
      </c>
      <c r="B262" t="str">
        <f>IF(COUNTIF(A:A,A262)&gt;1,_xlfn.CONCAT(A262," (",N262,")"),A262)</f>
        <v>Fùbāng Xiāng</v>
      </c>
      <c r="C262" t="str">
        <f>IF(COUNTIF(B:B,B262)&gt;1,_xlfn.CONCAT(A262," (",M262,")"),B262)</f>
        <v>Fùbāng Xiāng</v>
      </c>
      <c r="D262" t="s">
        <v>1685</v>
      </c>
      <c r="E262" t="s">
        <v>7</v>
      </c>
      <c r="F262" t="str">
        <f>_xlfn.CONCAT(D262,", ",H262,", ",I262,", ","云南省")</f>
        <v>富邦乡, 澜沧拉祜族自治县, 普洱市, 云南省</v>
      </c>
      <c r="G262">
        <v>21828</v>
      </c>
      <c r="H262" t="s">
        <v>2852</v>
      </c>
      <c r="I262" t="s">
        <v>2848</v>
      </c>
      <c r="J262" t="e">
        <f>VLOOKUP(F262,[1]!china_towns_second__2[[Column1]:[Y]],3,FALSE)</f>
        <v>#N/A</v>
      </c>
      <c r="K262" t="e">
        <f>VLOOKUP(F262,[1]!china_towns_second__2[[Column1]:[Y]],2,FALSE)</f>
        <v>#N/A</v>
      </c>
      <c r="L262" t="s">
        <v>3821</v>
      </c>
      <c r="M262" t="str">
        <f>VLOOKUP(H262,CHOOSE({1,2},Table17[Native],Table17[Name]),2,0)</f>
        <v>Láncāng Lāhùzú Zìzhìxiàn</v>
      </c>
      <c r="N262" s="15" t="str">
        <f>VLOOKUP(I262,CHOOSE({1,2},Table17[Native],Table17[Name]),2,0)</f>
        <v>Pŭ'ĕr Shì</v>
      </c>
      <c r="O262" s="15" t="str">
        <f t="shared" si="8"/>
        <v>Fubang Xiang (Pŭ'ĕr Shì)</v>
      </c>
      <c r="P262" s="15" t="str">
        <f t="shared" si="9"/>
        <v>Fubang Xiang (Pŭ'ĕr Shì)</v>
      </c>
    </row>
    <row r="263" spans="1:16" hidden="1" x14ac:dyDescent="0.25">
      <c r="A263" t="s">
        <v>1900</v>
      </c>
      <c r="B263" t="str">
        <f>IF(COUNTIF(A:A,A263)&gt;1,_xlfn.CONCAT(A263," (",N263,")"),A263)</f>
        <v>Fùcūn Zhèn</v>
      </c>
      <c r="C263" t="str">
        <f>IF(COUNTIF(B:B,B263)&gt;1,_xlfn.CONCAT(A263," (",M263,")"),B263)</f>
        <v>Fùcūn Zhèn</v>
      </c>
      <c r="D263" t="s">
        <v>1901</v>
      </c>
      <c r="E263" t="s">
        <v>11</v>
      </c>
      <c r="F263" t="str">
        <f>_xlfn.CONCAT(D263,", ",H263,", ",I263,", ","云南省")</f>
        <v>富村镇, 富源县, 曲靖市, 云南省</v>
      </c>
      <c r="G263">
        <v>88230</v>
      </c>
      <c r="H263" t="s">
        <v>2861</v>
      </c>
      <c r="I263" t="s">
        <v>2860</v>
      </c>
      <c r="J263">
        <f>VLOOKUP(F263,[1]!china_towns_second__2[[Column1]:[Y]],3,FALSE)</f>
        <v>25.393387112629</v>
      </c>
      <c r="K263">
        <f>VLOOKUP(F263,[1]!china_towns_second__2[[Column1]:[Y]],2,FALSE)</f>
        <v>104.4800061</v>
      </c>
      <c r="L263" t="s">
        <v>3822</v>
      </c>
      <c r="M263" t="str">
        <f>VLOOKUP(H263,CHOOSE({1,2},Table17[Native],Table17[Name]),2,0)</f>
        <v>Fùyuán Xiàn</v>
      </c>
      <c r="N263" s="15" t="str">
        <f>VLOOKUP(I263,CHOOSE({1,2},Table17[Native],Table17[Name]),2,0)</f>
        <v>Qŭjìng Shì</v>
      </c>
      <c r="O263" s="15" t="str">
        <f t="shared" si="8"/>
        <v>Fucun Zhen (Qŭjìng Shì)</v>
      </c>
      <c r="P263" s="15" t="str">
        <f t="shared" si="9"/>
        <v>Fucun Zhen (Qŭjìng Shì)</v>
      </c>
    </row>
    <row r="264" spans="1:16" hidden="1" x14ac:dyDescent="0.25">
      <c r="A264" t="s">
        <v>1686</v>
      </c>
      <c r="B264" t="str">
        <f>IF(COUNTIF(A:A,A264)&gt;1,_xlfn.CONCAT(A264," (",N264,")"),A264)</f>
        <v>Fùdōng Xiāng</v>
      </c>
      <c r="C264" t="str">
        <f>IF(COUNTIF(B:B,B264)&gt;1,_xlfn.CONCAT(A264," (",M264,")"),B264)</f>
        <v>Fùdōng Xiāng</v>
      </c>
      <c r="D264" t="s">
        <v>1687</v>
      </c>
      <c r="E264" t="s">
        <v>7</v>
      </c>
      <c r="F264" t="str">
        <f>_xlfn.CONCAT(D264,", ",H264,", ",I264,", ","云南省")</f>
        <v>富东乡, 澜沧拉祜族自治县, 普洱市, 云南省</v>
      </c>
      <c r="G264">
        <v>16754</v>
      </c>
      <c r="H264" t="s">
        <v>2852</v>
      </c>
      <c r="I264" t="s">
        <v>2848</v>
      </c>
      <c r="J264" t="e">
        <f>VLOOKUP(F264,[1]!china_towns_second__2[[Column1]:[Y]],3,FALSE)</f>
        <v>#N/A</v>
      </c>
      <c r="K264" t="e">
        <f>VLOOKUP(F264,[1]!china_towns_second__2[[Column1]:[Y]],2,FALSE)</f>
        <v>#N/A</v>
      </c>
      <c r="L264" t="s">
        <v>3823</v>
      </c>
      <c r="M264" t="str">
        <f>VLOOKUP(H264,CHOOSE({1,2},Table17[Native],Table17[Name]),2,0)</f>
        <v>Láncāng Lāhùzú Zìzhìxiàn</v>
      </c>
      <c r="N264" s="15" t="str">
        <f>VLOOKUP(I264,CHOOSE({1,2},Table17[Native],Table17[Name]),2,0)</f>
        <v>Pŭ'ĕr Shì</v>
      </c>
      <c r="O264" s="15" t="str">
        <f t="shared" si="8"/>
        <v>Fudong Xiang (Pŭ'ĕr Shì)</v>
      </c>
      <c r="P264" s="15" t="str">
        <f t="shared" si="9"/>
        <v>Fudong Xiang (Pŭ'ĕr Shì)</v>
      </c>
    </row>
    <row r="265" spans="1:16" hidden="1" x14ac:dyDescent="0.25">
      <c r="A265" t="s">
        <v>1094</v>
      </c>
      <c r="B265" t="str">
        <f>IF(COUNTIF(A:A,A265)&gt;1,_xlfn.CONCAT(A265," (",N265,")"),A265)</f>
        <v>Fúhăi Jiēdào</v>
      </c>
      <c r="C265" t="str">
        <f>IF(COUNTIF(B:B,B265)&gt;1,_xlfn.CONCAT(A265," (",M265,")"),B265)</f>
        <v>Fúhăi Jiēdào</v>
      </c>
      <c r="D265" t="s">
        <v>1095</v>
      </c>
      <c r="E265" t="s">
        <v>42</v>
      </c>
      <c r="F265" t="str">
        <f>_xlfn.CONCAT(D265,", ",H265,", ",I265,", ","云南省")</f>
        <v>福海街道, 西山区, 昆明市, 云南省</v>
      </c>
      <c r="G265">
        <v>122060</v>
      </c>
      <c r="H265" t="s">
        <v>2819</v>
      </c>
      <c r="I265" t="s">
        <v>2807</v>
      </c>
      <c r="J265">
        <f>VLOOKUP(F265,[1]!china_towns_second__2[[Column1]:[Y]],3,FALSE)</f>
        <v>25.0100775679553</v>
      </c>
      <c r="K265">
        <f>VLOOKUP(F265,[1]!china_towns_second__2[[Column1]:[Y]],2,FALSE)</f>
        <v>102.6722524</v>
      </c>
      <c r="L265" t="s">
        <v>3824</v>
      </c>
      <c r="M265" t="str">
        <f>VLOOKUP(H265,CHOOSE({1,2},Table17[Native],Table17[Name]),2,0)</f>
        <v>Xīshān Qū</v>
      </c>
      <c r="N265" s="15" t="str">
        <f>VLOOKUP(I265,CHOOSE({1,2},Table17[Native],Table17[Name]),2,0)</f>
        <v>Kūnmíng Shì</v>
      </c>
      <c r="O265" s="15" t="str">
        <f t="shared" si="8"/>
        <v>Fuhai Jiedao (Kūnmíng Shì)</v>
      </c>
      <c r="P265" s="15" t="str">
        <f t="shared" si="9"/>
        <v>Fuhai Jiedao (Kūnmíng Shì)</v>
      </c>
    </row>
    <row r="266" spans="1:16" hidden="1" x14ac:dyDescent="0.25">
      <c r="A266" t="s">
        <v>426</v>
      </c>
      <c r="B266" t="str">
        <f>IF(COUNTIF(A:A,A266)&gt;1,_xlfn.CONCAT(A266," (",N266,")"),A266)</f>
        <v>Fùhéng Xiāng</v>
      </c>
      <c r="C266" t="str">
        <f>IF(COUNTIF(B:B,B266)&gt;1,_xlfn.CONCAT(A266," (",M266,")"),B266)</f>
        <v>Fùhéng Xiāng</v>
      </c>
      <c r="D266" t="s">
        <v>427</v>
      </c>
      <c r="E266" t="s">
        <v>7</v>
      </c>
      <c r="F266" t="str">
        <f>_xlfn.CONCAT(D266,", ",H266,", ",I266,", ","云南省")</f>
        <v>富恒乡, 漾濞彝族自治县, 大理白族自治州, 云南省</v>
      </c>
      <c r="G266">
        <v>8577</v>
      </c>
      <c r="H266" t="s">
        <v>2774</v>
      </c>
      <c r="I266" t="s">
        <v>2763</v>
      </c>
      <c r="J266" t="e">
        <f>VLOOKUP(F266,[1]!china_towns_second__2[[Column1]:[Y]],3,FALSE)</f>
        <v>#N/A</v>
      </c>
      <c r="K266" t="e">
        <f>VLOOKUP(F266,[1]!china_towns_second__2[[Column1]:[Y]],2,FALSE)</f>
        <v>#N/A</v>
      </c>
      <c r="L266" t="s">
        <v>3825</v>
      </c>
      <c r="M266" t="str">
        <f>VLOOKUP(H266,CHOOSE({1,2},Table17[Native],Table17[Name]),2,0)</f>
        <v>Yàngbì Yízú Zìzhìxiàn</v>
      </c>
      <c r="N266" s="15" t="str">
        <f>VLOOKUP(I266,CHOOSE({1,2},Table17[Native],Table17[Name]),2,0)</f>
        <v>Dàlĭ Báizú Zìzhìzhōu</v>
      </c>
      <c r="O266" s="15" t="str">
        <f t="shared" si="8"/>
        <v>Fuheng Xiang (Dàlĭ Báizú Zìzhìzhōu)</v>
      </c>
      <c r="P266" s="15" t="str">
        <f t="shared" si="9"/>
        <v>Fuheng Xiang (Dàlĭ Báizú Zìzhìzhōu)</v>
      </c>
    </row>
    <row r="267" spans="1:16" hidden="1" x14ac:dyDescent="0.25">
      <c r="A267" t="s">
        <v>1902</v>
      </c>
      <c r="B267" t="str">
        <f>IF(COUNTIF(A:A,A267)&gt;1,_xlfn.CONCAT(A267," (",N267,")"),A267)</f>
        <v>Fùlè Zhèn</v>
      </c>
      <c r="C267" t="str">
        <f>IF(COUNTIF(B:B,B267)&gt;1,_xlfn.CONCAT(A267," (",M267,")"),B267)</f>
        <v>Fùlè Zhèn</v>
      </c>
      <c r="D267" t="s">
        <v>1903</v>
      </c>
      <c r="E267" t="s">
        <v>11</v>
      </c>
      <c r="F267" t="str">
        <f>_xlfn.CONCAT(D267,", ",H267,", ",I267,", ","云南省")</f>
        <v>富乐镇, 罗平县, 曲靖市, 云南省</v>
      </c>
      <c r="G267">
        <v>42001</v>
      </c>
      <c r="H267" t="s">
        <v>2864</v>
      </c>
      <c r="I267" t="s">
        <v>2860</v>
      </c>
      <c r="J267">
        <f>VLOOKUP(F267,[1]!china_towns_second__2[[Column1]:[Y]],3,FALSE)</f>
        <v>25.302812814888298</v>
      </c>
      <c r="K267">
        <f>VLOOKUP(F267,[1]!china_towns_second__2[[Column1]:[Y]],2,FALSE)</f>
        <v>104.3347883</v>
      </c>
      <c r="L267" t="s">
        <v>3826</v>
      </c>
      <c r="M267" t="str">
        <f>VLOOKUP(H267,CHOOSE({1,2},Table17[Native],Table17[Name]),2,0)</f>
        <v>Luópíng Xiàn</v>
      </c>
      <c r="N267" s="15" t="str">
        <f>VLOOKUP(I267,CHOOSE({1,2},Table17[Native],Table17[Name]),2,0)</f>
        <v>Qŭjìng Shì</v>
      </c>
      <c r="O267" s="15" t="str">
        <f t="shared" si="8"/>
        <v>Fule Zhen (Qŭjìng Shì)</v>
      </c>
      <c r="P267" s="15" t="str">
        <f t="shared" si="9"/>
        <v>Fule Zhen (Qŭjìng Shì)</v>
      </c>
    </row>
    <row r="268" spans="1:16" hidden="1" x14ac:dyDescent="0.25">
      <c r="A268" t="s">
        <v>2347</v>
      </c>
      <c r="B268" t="str">
        <f>IF(COUNTIF(A:A,A268)&gt;1,_xlfn.CONCAT(A268," (",N268,")"),A268)</f>
        <v>Fùliángpéng Xiāng</v>
      </c>
      <c r="C268" t="str">
        <f>IF(COUNTIF(B:B,B268)&gt;1,_xlfn.CONCAT(A268," (",M268,")"),B268)</f>
        <v>Fùliángpéng Xiāng</v>
      </c>
      <c r="D268" t="s">
        <v>2348</v>
      </c>
      <c r="E268" t="s">
        <v>7</v>
      </c>
      <c r="F268" t="str">
        <f>_xlfn.CONCAT(D268,", ",H268,", ",I268,", ","云南省")</f>
        <v>富良棚乡, 峨山彝族自治县, 玉溪市, 云南省</v>
      </c>
      <c r="G268">
        <v>10712</v>
      </c>
      <c r="H268" t="s">
        <v>2890</v>
      </c>
      <c r="I268" t="s">
        <v>2888</v>
      </c>
      <c r="J268" t="e">
        <f>VLOOKUP(F268,[1]!china_towns_second__2[[Column1]:[Y]],3,FALSE)</f>
        <v>#N/A</v>
      </c>
      <c r="K268" t="e">
        <f>VLOOKUP(F268,[1]!china_towns_second__2[[Column1]:[Y]],2,FALSE)</f>
        <v>#N/A</v>
      </c>
      <c r="L268" t="s">
        <v>3827</v>
      </c>
      <c r="M268" t="str">
        <f>VLOOKUP(H268,CHOOSE({1,2},Table17[Native],Table17[Name]),2,0)</f>
        <v>Éshān Yízú Zìzhìxiàn</v>
      </c>
      <c r="N268" s="15" t="str">
        <f>VLOOKUP(I268,CHOOSE({1,2},Table17[Native],Table17[Name]),2,0)</f>
        <v>Yùxī Shì</v>
      </c>
      <c r="O268" s="15" t="str">
        <f t="shared" si="8"/>
        <v>Fuliangpeng Xiang (Yùxī Shì)</v>
      </c>
      <c r="P268" s="15" t="str">
        <f t="shared" si="9"/>
        <v>Fuliangpeng Xiang (Yùxī Shì)</v>
      </c>
    </row>
    <row r="269" spans="1:16" hidden="1" x14ac:dyDescent="0.25">
      <c r="A269" t="s">
        <v>1688</v>
      </c>
      <c r="B269" t="str">
        <f>IF(COUNTIF(A:A,A269)&gt;1,_xlfn.CONCAT(A269," (",N269,")"),A269)</f>
        <v>Fùyán Zhèn</v>
      </c>
      <c r="C269" t="str">
        <f>IF(COUNTIF(B:B,B269)&gt;1,_xlfn.CONCAT(A269," (",M269,")"),B269)</f>
        <v>Fùyán Zhèn</v>
      </c>
      <c r="D269" t="s">
        <v>1689</v>
      </c>
      <c r="E269" t="s">
        <v>11</v>
      </c>
      <c r="F269" t="str">
        <f>_xlfn.CONCAT(D269,", ",H269,", ",I269,", ","云南省")</f>
        <v>富岩镇, 孟连傣族拉祜族佤族自治县, 普洱市, 云南省</v>
      </c>
      <c r="G269">
        <v>12510</v>
      </c>
      <c r="H269" t="s">
        <v>2853</v>
      </c>
      <c r="I269" t="s">
        <v>2848</v>
      </c>
      <c r="J269">
        <f>VLOOKUP(F269,[1]!china_towns_second__2[[Column1]:[Y]],3,FALSE)</f>
        <v>22.408633584521802</v>
      </c>
      <c r="K269">
        <f>VLOOKUP(F269,[1]!china_towns_second__2[[Column1]:[Y]],2,FALSE)</f>
        <v>99.404308330000006</v>
      </c>
      <c r="L269" t="s">
        <v>3828</v>
      </c>
      <c r="M269" t="str">
        <f>VLOOKUP(H269,CHOOSE({1,2},Table17[Native],Table17[Name]),2,0)</f>
        <v>Mènglián Dăizú Lāhùzú Wăzú Zìzhìxiàn</v>
      </c>
      <c r="N269" s="15" t="str">
        <f>VLOOKUP(I269,CHOOSE({1,2},Table17[Native],Table17[Name]),2,0)</f>
        <v>Pŭ'ĕr Shì</v>
      </c>
      <c r="O269" s="15" t="str">
        <f t="shared" si="8"/>
        <v>Fuyan Zhen (Pŭ'ĕr Shì)</v>
      </c>
      <c r="P269" s="15" t="str">
        <f t="shared" si="9"/>
        <v>Fuyan Zhen (Pŭ'ĕr Shì)</v>
      </c>
    </row>
    <row r="270" spans="1:16" hidden="1" x14ac:dyDescent="0.25">
      <c r="A270" t="s">
        <v>2123</v>
      </c>
      <c r="B270" t="str">
        <f>IF(COUNTIF(A:A,A270)&gt;1,_xlfn.CONCAT(A270," (",N270,")"),A270)</f>
        <v>Gānhé Yízú Xiāng</v>
      </c>
      <c r="C270" t="str">
        <f>IF(COUNTIF(B:B,B270)&gt;1,_xlfn.CONCAT(A270," (",M270,")"),B270)</f>
        <v>Gānhé Yízú Xiāng</v>
      </c>
      <c r="D270" t="s">
        <v>2124</v>
      </c>
      <c r="E270" t="s">
        <v>7</v>
      </c>
      <c r="F270" t="str">
        <f>_xlfn.CONCAT(D270,", ",H270,", ",I270,", ","云南省")</f>
        <v>干河彝族乡, 砚山县, 文山壮族苗族自治州, 云南省</v>
      </c>
      <c r="G270">
        <v>21601</v>
      </c>
      <c r="H270" t="s">
        <v>2880</v>
      </c>
      <c r="I270" t="s">
        <v>2872</v>
      </c>
      <c r="J270" t="e">
        <f>VLOOKUP(F270,[1]!china_towns_second__2[[Column1]:[Y]],3,FALSE)</f>
        <v>#N/A</v>
      </c>
      <c r="K270" t="e">
        <f>VLOOKUP(F270,[1]!china_towns_second__2[[Column1]:[Y]],2,FALSE)</f>
        <v>#N/A</v>
      </c>
      <c r="L270" t="s">
        <v>3829</v>
      </c>
      <c r="M270" t="str">
        <f>VLOOKUP(H270,CHOOSE({1,2},Table17[Native],Table17[Name]),2,0)</f>
        <v>Yànshān Xiàn</v>
      </c>
      <c r="N270" s="15" t="str">
        <f>VLOOKUP(I270,CHOOSE({1,2},Table17[Native],Table17[Name]),2,0)</f>
        <v>Wénshān Zhuàngzú Miáozú Zìzhìzhōu</v>
      </c>
      <c r="O270" s="15" t="str">
        <f t="shared" si="8"/>
        <v>Ganhe Yizu Xiang (Wénshān Zhuàngzú Miáozú Zìzhìzhōu)</v>
      </c>
      <c r="P270" s="15" t="str">
        <f t="shared" si="9"/>
        <v>Ganhe Yizu Xiang (Wénshān Zhuàngzú Miáozú Zìzhìzhōu)</v>
      </c>
    </row>
    <row r="271" spans="1:16" hidden="1" x14ac:dyDescent="0.25">
      <c r="A271" t="s">
        <v>836</v>
      </c>
      <c r="B271" t="str">
        <f>IF(COUNTIF(A:A,A271)&gt;1,_xlfn.CONCAT(A271," (",N271,")"),A271)</f>
        <v>Gāniáng Xiāng</v>
      </c>
      <c r="C271" t="str">
        <f>IF(COUNTIF(B:B,B271)&gt;1,_xlfn.CONCAT(A271," (",M271,")"),B271)</f>
        <v>Gāniáng Xiāng</v>
      </c>
      <c r="D271" t="s">
        <v>837</v>
      </c>
      <c r="E271" t="s">
        <v>7</v>
      </c>
      <c r="F271" t="str">
        <f>_xlfn.CONCAT(D271,", ",H271,", ",I271,", ","云南省")</f>
        <v>嘎娘乡, 元阳县, 红河哈尼族彝族自治州, 云南省</v>
      </c>
      <c r="G271">
        <v>20522</v>
      </c>
      <c r="H271" t="s">
        <v>2805</v>
      </c>
      <c r="I271" t="s">
        <v>2792</v>
      </c>
      <c r="J271" t="e">
        <f>VLOOKUP(F271,[1]!china_towns_second__2[[Column1]:[Y]],3,FALSE)</f>
        <v>#N/A</v>
      </c>
      <c r="K271" t="e">
        <f>VLOOKUP(F271,[1]!china_towns_second__2[[Column1]:[Y]],2,FALSE)</f>
        <v>#N/A</v>
      </c>
      <c r="L271" t="s">
        <v>3830</v>
      </c>
      <c r="M271" t="str">
        <f>VLOOKUP(H271,CHOOSE({1,2},Table17[Native],Table17[Name]),2,0)</f>
        <v>Yuányáng Xiàn</v>
      </c>
      <c r="N271" s="15" t="str">
        <f>VLOOKUP(I271,CHOOSE({1,2},Table17[Native],Table17[Name]),2,0)</f>
        <v>Hónghé Hānízú Yízú Zìzhìzhōu</v>
      </c>
      <c r="O271" s="15" t="str">
        <f t="shared" si="8"/>
        <v>Ganiang Xiang (Hónghé Hānízú Yízú Zìzhìzhōu)</v>
      </c>
      <c r="P271" s="15" t="str">
        <f t="shared" si="9"/>
        <v>Ganiang Xiang (Hónghé Hānízú Yízú Zìzhìzhōu)</v>
      </c>
    </row>
    <row r="272" spans="1:16" hidden="1" x14ac:dyDescent="0.25">
      <c r="A272" t="s">
        <v>2349</v>
      </c>
      <c r="B272" t="str">
        <f>IF(COUNTIF(A:A,A272)&gt;1,_xlfn.CONCAT(A272," (",N272,")"),A272)</f>
        <v>Gānzhuāng Jiēdào [Qīnglóngchăng Zhèn]</v>
      </c>
      <c r="C272" t="str">
        <f>IF(COUNTIF(B:B,B272)&gt;1,_xlfn.CONCAT(A272," (",M272,")"),B272)</f>
        <v>Gānzhuāng Jiēdào [Qīnglóngchăng Zhèn]</v>
      </c>
      <c r="D272" t="s">
        <v>2350</v>
      </c>
      <c r="E272" t="s">
        <v>42</v>
      </c>
      <c r="F272" t="str">
        <f>_xlfn.CONCAT(D272,", ",H272,", ",I272,", ","云南省")</f>
        <v>甘庄街道, 元江哈尼族彝族傣族自治县, 玉溪市, 云南省</v>
      </c>
      <c r="G272">
        <v>24966</v>
      </c>
      <c r="H272" t="s">
        <v>2897</v>
      </c>
      <c r="I272" t="s">
        <v>2888</v>
      </c>
      <c r="J272">
        <f>VLOOKUP(F272,[1]!china_towns_second__2[[Column1]:[Y]],3,FALSE)</f>
        <v>23.760187889039202</v>
      </c>
      <c r="K272">
        <f>VLOOKUP(F272,[1]!china_towns_second__2[[Column1]:[Y]],2,FALSE)</f>
        <v>102.0223924</v>
      </c>
      <c r="L272" t="s">
        <v>3831</v>
      </c>
      <c r="M272" t="str">
        <f>VLOOKUP(H272,CHOOSE({1,2},Table17[Native],Table17[Name]),2,0)</f>
        <v>Yuánjiāng Hānízú Yízú Dăizú Zìzhìxiàn</v>
      </c>
      <c r="N272" s="15" t="str">
        <f>VLOOKUP(I272,CHOOSE({1,2},Table17[Native],Table17[Name]),2,0)</f>
        <v>Yùxī Shì</v>
      </c>
      <c r="O272" s="15" t="str">
        <f t="shared" si="8"/>
        <v>Ganzhuang Jiedao [Qinglongchang Zhen] (Yùxī Shì)</v>
      </c>
      <c r="P272" s="15" t="str">
        <f t="shared" si="9"/>
        <v>Ganzhuang Jiedao [Qinglongchang Zhen] (Yùxī Shì)</v>
      </c>
    </row>
    <row r="273" spans="1:16" hidden="1" x14ac:dyDescent="0.25">
      <c r="A273" t="s">
        <v>2352</v>
      </c>
      <c r="B273" t="str">
        <f>IF(COUNTIF(A:A,A273)&gt;1,_xlfn.CONCAT(A273," (",N273,")"),A273)</f>
        <v>Gāocāng Jiēdào</v>
      </c>
      <c r="C273" t="str">
        <f>IF(COUNTIF(B:B,B273)&gt;1,_xlfn.CONCAT(A273," (",M273,")"),B273)</f>
        <v>Gāocāng Jiēdào</v>
      </c>
      <c r="D273" t="s">
        <v>2353</v>
      </c>
      <c r="E273" t="s">
        <v>42</v>
      </c>
      <c r="F273" t="str">
        <f>_xlfn.CONCAT(D273,", ",H273,", ",I273,", ","云南省")</f>
        <v>高仓街道, 红塔区, 玉溪市, 云南省</v>
      </c>
      <c r="G273">
        <v>21970</v>
      </c>
      <c r="H273" t="s">
        <v>2891</v>
      </c>
      <c r="I273" t="s">
        <v>2888</v>
      </c>
      <c r="J273">
        <f>VLOOKUP(F273,[1]!china_towns_second__2[[Column1]:[Y]],3,FALSE)</f>
        <v>24.284015018726802</v>
      </c>
      <c r="K273">
        <f>VLOOKUP(F273,[1]!china_towns_second__2[[Column1]:[Y]],2,FALSE)</f>
        <v>102.5479124</v>
      </c>
      <c r="L273" t="s">
        <v>3832</v>
      </c>
      <c r="M273" t="str">
        <f>VLOOKUP(H273,CHOOSE({1,2},Table17[Native],Table17[Name]),2,0)</f>
        <v>Hóngtă Qū</v>
      </c>
      <c r="N273" s="15" t="str">
        <f>VLOOKUP(I273,CHOOSE({1,2},Table17[Native],Table17[Name]),2,0)</f>
        <v>Yùxī Shì</v>
      </c>
      <c r="O273" s="15" t="str">
        <f t="shared" si="8"/>
        <v>Gaocang Jiedao (Yùxī Shì)</v>
      </c>
      <c r="P273" s="15" t="str">
        <f t="shared" si="9"/>
        <v>Gaocang Jiedao (Yùxī Shì)</v>
      </c>
    </row>
    <row r="274" spans="1:16" hidden="1" x14ac:dyDescent="0.25">
      <c r="A274" t="s">
        <v>2354</v>
      </c>
      <c r="B274" t="str">
        <f>IF(COUNTIF(A:A,A274)&gt;1,_xlfn.CONCAT(A274," (",N274,")"),A274)</f>
        <v>Gāodà Yízú Xiāng</v>
      </c>
      <c r="C274" t="str">
        <f>IF(COUNTIF(B:B,B274)&gt;1,_xlfn.CONCAT(A274," (",M274,")"),B274)</f>
        <v>Gāodà Yízú Xiāng</v>
      </c>
      <c r="D274" t="s">
        <v>2355</v>
      </c>
      <c r="E274" t="s">
        <v>7</v>
      </c>
      <c r="F274" t="str">
        <f>_xlfn.CONCAT(D274,", ",H274,", ",I274,", ","云南省")</f>
        <v>高大傣族彝族乡, 通海县, 玉溪市, 云南省</v>
      </c>
      <c r="G274">
        <v>10547</v>
      </c>
      <c r="H274" t="s">
        <v>2894</v>
      </c>
      <c r="I274" t="s">
        <v>2888</v>
      </c>
      <c r="J274" t="e">
        <f>VLOOKUP(F274,[1]!china_towns_second__2[[Column1]:[Y]],3,FALSE)</f>
        <v>#N/A</v>
      </c>
      <c r="K274" t="e">
        <f>VLOOKUP(F274,[1]!china_towns_second__2[[Column1]:[Y]],2,FALSE)</f>
        <v>#N/A</v>
      </c>
      <c r="L274" t="s">
        <v>3833</v>
      </c>
      <c r="M274" t="str">
        <f>VLOOKUP(H274,CHOOSE({1,2},Table17[Native],Table17[Name]),2,0)</f>
        <v>Tōnghăi Xiàn</v>
      </c>
      <c r="N274" s="15" t="str">
        <f>VLOOKUP(I274,CHOOSE({1,2},Table17[Native],Table17[Name]),2,0)</f>
        <v>Yùxī Shì</v>
      </c>
      <c r="O274" s="15" t="str">
        <f t="shared" si="8"/>
        <v>Gaoda Yizu Xiang (Yùxī Shì)</v>
      </c>
      <c r="P274" s="15" t="str">
        <f t="shared" si="9"/>
        <v>Gaoda Yizu Xiang (Yùxī Shì)</v>
      </c>
    </row>
    <row r="275" spans="1:16" hidden="1" x14ac:dyDescent="0.25">
      <c r="A275" t="s">
        <v>209</v>
      </c>
      <c r="B275" t="str">
        <f>IF(COUNTIF(A:A,A275)&gt;1,_xlfn.CONCAT(A275," (",N275,")"),A275)</f>
        <v>Gāofēng Xiāng</v>
      </c>
      <c r="C275" t="str">
        <f>IF(COUNTIF(B:B,B275)&gt;1,_xlfn.CONCAT(A275," (",M275,")"),B275)</f>
        <v>Gāofēng Xiāng</v>
      </c>
      <c r="D275" t="s">
        <v>210</v>
      </c>
      <c r="E275" t="s">
        <v>7</v>
      </c>
      <c r="F275" t="str">
        <f>_xlfn.CONCAT(D275,", ",H275,", ",I275,", ","云南省")</f>
        <v>高峰乡, 禄丰县, 楚雄彝族自治州, 云南省</v>
      </c>
      <c r="G275">
        <v>9191</v>
      </c>
      <c r="H275" t="s">
        <v>2753</v>
      </c>
      <c r="I275" t="s">
        <v>2750</v>
      </c>
      <c r="J275" t="e">
        <f>VLOOKUP(F275,[1]!china_towns_second__2[[Column1]:[Y]],3,FALSE)</f>
        <v>#N/A</v>
      </c>
      <c r="K275" t="e">
        <f>VLOOKUP(F275,[1]!china_towns_second__2[[Column1]:[Y]],2,FALSE)</f>
        <v>#N/A</v>
      </c>
      <c r="L275" t="s">
        <v>3834</v>
      </c>
      <c r="M275" t="str">
        <f>VLOOKUP(H275,CHOOSE({1,2},Table17[Native],Table17[Name]),2,0)</f>
        <v>Lùfēng Xiàn</v>
      </c>
      <c r="N275" s="15" t="str">
        <f>VLOOKUP(I275,CHOOSE({1,2},Table17[Native],Table17[Name]),2,0)</f>
        <v>Chŭxióng Yízú Zìzhìzhōu</v>
      </c>
      <c r="O275" s="15" t="str">
        <f t="shared" si="8"/>
        <v>Gaofeng Xiang (Chŭxióng Yízú Zìzhìzhōu)</v>
      </c>
      <c r="P275" s="15" t="str">
        <f t="shared" si="9"/>
        <v>Gaofeng Xiang (Chŭxióng Yízú Zìzhìzhōu)</v>
      </c>
    </row>
    <row r="276" spans="1:16" hidden="1" x14ac:dyDescent="0.25">
      <c r="A276" t="s">
        <v>1904</v>
      </c>
      <c r="B276" t="str">
        <f>IF(COUNTIF(A:A,A276)&gt;1,_xlfn.CONCAT(A276," (",N276,")"),A276)</f>
        <v>Gāoliáng Zhuàngzú Miáozú Yáozú Xiāng</v>
      </c>
      <c r="C276" t="str">
        <f>IF(COUNTIF(B:B,B276)&gt;1,_xlfn.CONCAT(A276," (",M276,")"),B276)</f>
        <v>Gāoliáng Zhuàngzú Miáozú Yáozú Xiāng</v>
      </c>
      <c r="D276" t="s">
        <v>1905</v>
      </c>
      <c r="E276" t="s">
        <v>7</v>
      </c>
      <c r="F276" t="str">
        <f>_xlfn.CONCAT(D276,", ",H276,", ",I276,", ","云南省")</f>
        <v>高良壮族苗族瑶族乡, 师宗县, 曲靖市, 云南省</v>
      </c>
      <c r="G276">
        <v>27119</v>
      </c>
      <c r="H276" t="s">
        <v>2867</v>
      </c>
      <c r="I276" t="s">
        <v>2860</v>
      </c>
      <c r="J276" t="e">
        <f>VLOOKUP(F276,[1]!china_towns_second__2[[Column1]:[Y]],3,FALSE)</f>
        <v>#N/A</v>
      </c>
      <c r="K276" t="e">
        <f>VLOOKUP(F276,[1]!china_towns_second__2[[Column1]:[Y]],2,FALSE)</f>
        <v>#N/A</v>
      </c>
      <c r="L276" t="s">
        <v>3835</v>
      </c>
      <c r="M276" t="str">
        <f>VLOOKUP(H276,CHOOSE({1,2},Table17[Native],Table17[Name]),2,0)</f>
        <v>Shīzōng Xiàn</v>
      </c>
      <c r="N276" s="15" t="str">
        <f>VLOOKUP(I276,CHOOSE({1,2},Table17[Native],Table17[Name]),2,0)</f>
        <v>Qŭjìng Shì</v>
      </c>
      <c r="O276" s="15" t="str">
        <f t="shared" si="8"/>
        <v>Gaoliang Zhuangzu Miaozu Yaozu Xiang (Qŭjìng Shì)</v>
      </c>
      <c r="P276" s="15" t="str">
        <f t="shared" si="9"/>
        <v>Gaoliang Zhuangzu Miaozu Yaozu Xiang (Qŭjìng Shì)</v>
      </c>
    </row>
    <row r="277" spans="1:16" hidden="1" x14ac:dyDescent="0.25">
      <c r="A277" t="s">
        <v>211</v>
      </c>
      <c r="B277" t="str">
        <f>IF(COUNTIF(A:A,A277)&gt;1,_xlfn.CONCAT(A277," (",N277,")"),A277)</f>
        <v>Gāoqiáo Zhèn (Chŭxióng Yízú Zìzhìzhōu)</v>
      </c>
      <c r="C277" t="str">
        <f>IF(COUNTIF(B:B,B277)&gt;1,_xlfn.CONCAT(A277," (",M277,")"),B277)</f>
        <v>Gāoqiáo Zhèn (Chŭxióng Yízú Zìzhìzhōu)</v>
      </c>
      <c r="D277" t="s">
        <v>212</v>
      </c>
      <c r="E277" t="s">
        <v>11</v>
      </c>
      <c r="F277" t="str">
        <f>_xlfn.CONCAT(D277,", ",H277,", ",I277,", ","云南省")</f>
        <v>高桥镇, 武定县, 楚雄彝族自治州, 云南省</v>
      </c>
      <c r="G277">
        <v>33758</v>
      </c>
      <c r="H277" t="s">
        <v>2757</v>
      </c>
      <c r="I277" t="s">
        <v>2750</v>
      </c>
      <c r="J277">
        <f>VLOOKUP(F277,[1]!china_towns_second__2[[Column1]:[Y]],3,FALSE)</f>
        <v>25.648947142016301</v>
      </c>
      <c r="K277">
        <f>VLOOKUP(F277,[1]!china_towns_second__2[[Column1]:[Y]],2,FALSE)</f>
        <v>102.16752649999999</v>
      </c>
      <c r="L277" t="s">
        <v>3836</v>
      </c>
      <c r="M277" t="str">
        <f>VLOOKUP(H277,CHOOSE({1,2},Table17[Native],Table17[Name]),2,0)</f>
        <v>Wŭdìng Xiàn</v>
      </c>
      <c r="N277" s="15" t="str">
        <f>VLOOKUP(I277,CHOOSE({1,2},Table17[Native],Table17[Name]),2,0)</f>
        <v>Chŭxióng Yízú Zìzhìzhōu</v>
      </c>
      <c r="O277" s="15" t="str">
        <f t="shared" si="8"/>
        <v>Gaoqiao Zhen (Chuxiong Yizu Zizhizhou) (Chŭxióng Yízú Zìzhìzhōu)</v>
      </c>
      <c r="P277" s="15" t="str">
        <f t="shared" si="9"/>
        <v>Gaoqiao Zhen (Chuxiong Yizu Zizhizhou) (Chŭxióng Yízú Zìzhìzhōu)</v>
      </c>
    </row>
    <row r="278" spans="1:16" hidden="1" x14ac:dyDescent="0.25">
      <c r="A278" t="s">
        <v>211</v>
      </c>
      <c r="B278" t="str">
        <f>IF(COUNTIF(A:A,A278)&gt;1,_xlfn.CONCAT(A278," (",N278,")"),A278)</f>
        <v>Gāoqiáo Zhèn (Zhāotōng Shì)</v>
      </c>
      <c r="C278" t="str">
        <f>IF(COUNTIF(B:B,B278)&gt;1,_xlfn.CONCAT(A278," (",M278,")"),B278)</f>
        <v>Gāoqiáo Zhèn (Zhāotōng Shì)</v>
      </c>
      <c r="D278" t="s">
        <v>212</v>
      </c>
      <c r="E278" t="s">
        <v>11</v>
      </c>
      <c r="F278" t="str">
        <f>_xlfn.CONCAT(D278,", ",H278,", ",I278,", ","云南省")</f>
        <v>高桥镇, 大关县, 昭通市, 云南省</v>
      </c>
      <c r="G278">
        <v>24606</v>
      </c>
      <c r="H278" t="s">
        <v>2900</v>
      </c>
      <c r="I278" t="s">
        <v>2899</v>
      </c>
      <c r="J278">
        <f>VLOOKUP(F278,[1]!china_towns_second__2[[Column1]:[Y]],3,FALSE)</f>
        <v>28.030006874512001</v>
      </c>
      <c r="K278">
        <f>VLOOKUP(F278,[1]!china_towns_second__2[[Column1]:[Y]],2,FALSE)</f>
        <v>103.7981612</v>
      </c>
      <c r="L278" t="s">
        <v>3837</v>
      </c>
      <c r="M278" t="str">
        <f>VLOOKUP(H278,CHOOSE({1,2},Table17[Native],Table17[Name]),2,0)</f>
        <v>Dàguān Xiàn</v>
      </c>
      <c r="N278" s="15" t="str">
        <f>VLOOKUP(I278,CHOOSE({1,2},Table17[Native],Table17[Name]),2,0)</f>
        <v>Zhāotōng Shì</v>
      </c>
      <c r="O278" s="15" t="str">
        <f t="shared" si="8"/>
        <v>Gaoqiao Zhen (Zhaotong Shi) (Zhāotōng Shì)</v>
      </c>
      <c r="P278" s="15" t="str">
        <f t="shared" si="9"/>
        <v>Gaoqiao Zhen (Zhaotong Shi) (Zhāotōng Shì)</v>
      </c>
    </row>
    <row r="279" spans="1:16" hidden="1" x14ac:dyDescent="0.25">
      <c r="A279" t="s">
        <v>2504</v>
      </c>
      <c r="B279" t="str">
        <f>IF(COUNTIF(A:A,A279)&gt;1,_xlfn.CONCAT(A279," (",N279,")"),A279)</f>
        <v>Gāotián Xiāng</v>
      </c>
      <c r="C279" t="str">
        <f>IF(COUNTIF(B:B,B279)&gt;1,_xlfn.CONCAT(A279," (",M279,")"),B279)</f>
        <v>Gāotián Xiāng</v>
      </c>
      <c r="D279" t="s">
        <v>2505</v>
      </c>
      <c r="E279" t="s">
        <v>7</v>
      </c>
      <c r="F279" t="str">
        <f>_xlfn.CONCAT(D279,", ",H279,", ",I279,", ","云南省")</f>
        <v>高田乡, 威信县, 昭通市, 云南省</v>
      </c>
      <c r="G279">
        <v>27419</v>
      </c>
      <c r="H279" t="s">
        <v>2905</v>
      </c>
      <c r="I279" t="s">
        <v>2899</v>
      </c>
      <c r="J279" t="e">
        <f>VLOOKUP(F279,[1]!china_towns_second__2[[Column1]:[Y]],3,FALSE)</f>
        <v>#N/A</v>
      </c>
      <c r="K279" t="e">
        <f>VLOOKUP(F279,[1]!china_towns_second__2[[Column1]:[Y]],2,FALSE)</f>
        <v>#N/A</v>
      </c>
      <c r="L279" t="s">
        <v>3838</v>
      </c>
      <c r="M279" t="str">
        <f>VLOOKUP(H279,CHOOSE({1,2},Table17[Native],Table17[Name]),2,0)</f>
        <v>Wēixìn Xiàn</v>
      </c>
      <c r="N279" s="15" t="str">
        <f>VLOOKUP(I279,CHOOSE({1,2},Table17[Native],Table17[Name]),2,0)</f>
        <v>Zhāotōng Shì</v>
      </c>
      <c r="O279" s="15" t="str">
        <f t="shared" si="8"/>
        <v>Gaotian Xiang (Zhāotōng Shì)</v>
      </c>
      <c r="P279" s="15" t="str">
        <f t="shared" si="9"/>
        <v>Gaotian Xiang (Zhāotōng Shì)</v>
      </c>
    </row>
    <row r="280" spans="1:16" hidden="1" x14ac:dyDescent="0.25">
      <c r="A280" t="s">
        <v>2264</v>
      </c>
      <c r="B280" t="str">
        <f>IF(COUNTIF(A:A,A280)&gt;1,_xlfn.CONCAT(A280," (",N280,")"),A280)</f>
        <v>Gāsă Zhèn</v>
      </c>
      <c r="C280" t="str">
        <f>IF(COUNTIF(B:B,B280)&gt;1,_xlfn.CONCAT(A280," (",M280,")"),B280)</f>
        <v>Gāsă Zhèn</v>
      </c>
      <c r="D280" t="s">
        <v>2265</v>
      </c>
      <c r="E280" t="s">
        <v>11</v>
      </c>
      <c r="F280" t="str">
        <f>_xlfn.CONCAT(D280,", ",H280,", ",I280,", ","云南省")</f>
        <v>嘎洒镇, 景洪市, 西双版纳傣族自治州, 云南省</v>
      </c>
      <c r="G280">
        <v>73303</v>
      </c>
      <c r="H280" t="s">
        <v>2884</v>
      </c>
      <c r="I280" t="s">
        <v>2883</v>
      </c>
      <c r="J280">
        <f>VLOOKUP(F280,[1]!china_towns_second__2[[Column1]:[Y]],3,FALSE)</f>
        <v>21.974287755835999</v>
      </c>
      <c r="K280">
        <f>VLOOKUP(F280,[1]!china_towns_second__2[[Column1]:[Y]],2,FALSE)</f>
        <v>100.7321429</v>
      </c>
      <c r="L280" t="s">
        <v>3839</v>
      </c>
      <c r="M280" t="str">
        <f>VLOOKUP(H280,CHOOSE({1,2},Table17[Native],Table17[Name]),2,0)</f>
        <v>Jĭnghóng Shì</v>
      </c>
      <c r="N280" s="15" t="str">
        <f>VLOOKUP(I280,CHOOSE({1,2},Table17[Native],Table17[Name]),2,0)</f>
        <v>Xīshuāngbănnà Dăizú Zìzhìzhōu</v>
      </c>
      <c r="O280" s="15" t="str">
        <f t="shared" si="8"/>
        <v>Gasa Zhen (Xīshuāngbănnà Dăizú Zìzhìzhōu)</v>
      </c>
      <c r="P280" s="15" t="str">
        <f t="shared" si="9"/>
        <v>Gasa Zhen (Xīshuāngbănnà Dăizú Zìzhìzhōu)</v>
      </c>
    </row>
    <row r="281" spans="1:16" hidden="1" x14ac:dyDescent="0.25">
      <c r="A281" t="s">
        <v>838</v>
      </c>
      <c r="B281" t="str">
        <f>IF(COUNTIF(A:A,A281)&gt;1,_xlfn.CONCAT(A281," (",N281,")"),A281)</f>
        <v>Gēkuí Xiāng</v>
      </c>
      <c r="C281" t="str">
        <f>IF(COUNTIF(B:B,B281)&gt;1,_xlfn.CONCAT(A281," (",M281,")"),B281)</f>
        <v>Gēkuí Xiāng</v>
      </c>
      <c r="D281" t="s">
        <v>839</v>
      </c>
      <c r="E281" t="s">
        <v>7</v>
      </c>
      <c r="F281" t="str">
        <f>_xlfn.CONCAT(D281,", ",H281,", ",I281,", ","云南省")</f>
        <v>戈奎乡, 绿春县, 红河哈尼族彝族自治州, 云南省</v>
      </c>
      <c r="G281">
        <v>20173</v>
      </c>
      <c r="H281" t="s">
        <v>2799</v>
      </c>
      <c r="I281" t="s">
        <v>2792</v>
      </c>
      <c r="J281" t="e">
        <f>VLOOKUP(F281,[1]!china_towns_second__2[[Column1]:[Y]],3,FALSE)</f>
        <v>#N/A</v>
      </c>
      <c r="K281" t="e">
        <f>VLOOKUP(F281,[1]!china_towns_second__2[[Column1]:[Y]],2,FALSE)</f>
        <v>#N/A</v>
      </c>
      <c r="L281" t="s">
        <v>3840</v>
      </c>
      <c r="M281" t="str">
        <f>VLOOKUP(H281,CHOOSE({1,2},Table17[Native],Table17[Name]),2,0)</f>
        <v>Lǜchūn Xiàn</v>
      </c>
      <c r="N281" s="15" t="str">
        <f>VLOOKUP(I281,CHOOSE({1,2},Table17[Native],Table17[Name]),2,0)</f>
        <v>Hónghé Hānízú Yízú Zìzhìzhōu</v>
      </c>
      <c r="O281" s="15" t="str">
        <f t="shared" si="8"/>
        <v>Gekui Xiang (Hónghé Hānízú Yízú Zìzhìzhōu)</v>
      </c>
      <c r="P281" s="15" t="str">
        <f t="shared" si="9"/>
        <v>Gekui Xiang (Hónghé Hānízú Yízú Zìzhìzhōu)</v>
      </c>
    </row>
    <row r="282" spans="1:16" hidden="1" x14ac:dyDescent="0.25">
      <c r="A282" t="s">
        <v>2266</v>
      </c>
      <c r="B282" t="str">
        <f>IF(COUNTIF(A:A,A282)&gt;1,_xlfn.CONCAT(A282," (",N282,")"),A282)</f>
        <v>Gélănghé Hānízú Xiāng</v>
      </c>
      <c r="C282" t="str">
        <f>IF(COUNTIF(B:B,B282)&gt;1,_xlfn.CONCAT(A282," (",M282,")"),B282)</f>
        <v>Gélănghé Hānízú Xiāng</v>
      </c>
      <c r="D282" t="s">
        <v>2267</v>
      </c>
      <c r="E282" t="s">
        <v>7</v>
      </c>
      <c r="F282" t="str">
        <f>_xlfn.CONCAT(D282,", ",H282,", ",I282,", ","云南省")</f>
        <v>格朗和哈尼族乡, 勐海县, 西双版纳傣族自治州, 云南省</v>
      </c>
      <c r="G282">
        <v>15173</v>
      </c>
      <c r="H282" t="s">
        <v>2885</v>
      </c>
      <c r="I282" t="s">
        <v>2883</v>
      </c>
      <c r="J282" t="e">
        <f>VLOOKUP(F282,[1]!china_towns_second__2[[Column1]:[Y]],3,FALSE)</f>
        <v>#N/A</v>
      </c>
      <c r="K282" t="e">
        <f>VLOOKUP(F282,[1]!china_towns_second__2[[Column1]:[Y]],2,FALSE)</f>
        <v>#N/A</v>
      </c>
      <c r="L282" t="s">
        <v>3841</v>
      </c>
      <c r="M282" t="str">
        <f>VLOOKUP(H282,CHOOSE({1,2},Table17[Native],Table17[Name]),2,0)</f>
        <v>Mĕnghăi Xiàn</v>
      </c>
      <c r="N282" s="15" t="str">
        <f>VLOOKUP(I282,CHOOSE({1,2},Table17[Native],Table17[Name]),2,0)</f>
        <v>Xīshuāngbănnà Dăizú Zìzhìzhōu</v>
      </c>
      <c r="O282" s="15" t="str">
        <f t="shared" si="8"/>
        <v>Gelanghe Hanizu Xiang (Xīshuāngbănnà Dăizú Zìzhìzhōu)</v>
      </c>
      <c r="P282" s="15" t="str">
        <f t="shared" si="9"/>
        <v>Gelanghe Hanizu Xiang (Xīshuāngbănnà Dăizú Zìzhìzhōu)</v>
      </c>
    </row>
    <row r="283" spans="1:16" hidden="1" x14ac:dyDescent="0.25">
      <c r="A283" t="s">
        <v>28</v>
      </c>
      <c r="B283" t="str">
        <f>IF(COUNTIF(A:A,A283)&gt;1,_xlfn.CONCAT(A283," (",N283,")"),A283)</f>
        <v>Gèngjiá Xiāng</v>
      </c>
      <c r="C283" t="str">
        <f>IF(COUNTIF(B:B,B283)&gt;1,_xlfn.CONCAT(A283," (",M283,")"),B283)</f>
        <v>Gèngjiá Xiāng</v>
      </c>
      <c r="D283" t="s">
        <v>29</v>
      </c>
      <c r="E283" t="s">
        <v>7</v>
      </c>
      <c r="F283" t="str">
        <f>_xlfn.CONCAT(D283,", ",H283,", ",I283,", ","云南省")</f>
        <v>更戛乡, 昌宁县, 保山市, 云南省</v>
      </c>
      <c r="G283">
        <v>25030</v>
      </c>
      <c r="H283" t="s">
        <v>2741</v>
      </c>
      <c r="I283" t="s">
        <v>2739</v>
      </c>
      <c r="J283" t="e">
        <f>VLOOKUP(F283,[1]!china_towns_second__2[[Column1]:[Y]],3,FALSE)</f>
        <v>#N/A</v>
      </c>
      <c r="K283" t="e">
        <f>VLOOKUP(F283,[1]!china_towns_second__2[[Column1]:[Y]],2,FALSE)</f>
        <v>#N/A</v>
      </c>
      <c r="L283" t="s">
        <v>3842</v>
      </c>
      <c r="M283" t="str">
        <f>VLOOKUP(H283,CHOOSE({1,2},Table17[Native],Table17[Name]),2,0)</f>
        <v>Chāngníng Xiàn</v>
      </c>
      <c r="N283" s="15" t="str">
        <f>VLOOKUP(I283,CHOOSE({1,2},Table17[Native],Table17[Name]),2,0)</f>
        <v>Băoshān Shì</v>
      </c>
      <c r="O283" s="15" t="str">
        <f t="shared" si="8"/>
        <v>Gengjia Xiang (Băoshān Shì)</v>
      </c>
      <c r="P283" s="15" t="str">
        <f t="shared" si="9"/>
        <v>Gengjia Xiang (Băoshān Shì)</v>
      </c>
    </row>
    <row r="284" spans="1:16" hidden="1" x14ac:dyDescent="0.25">
      <c r="A284" t="s">
        <v>1096</v>
      </c>
      <c r="B284" t="str">
        <f>IF(COUNTIF(A:A,A284)&gt;1,_xlfn.CONCAT(A284," (",N284,")"),A284)</f>
        <v>Gĕngjiāyíng Yízú Miáozú Xiāng</v>
      </c>
      <c r="C284" t="str">
        <f>IF(COUNTIF(B:B,B284)&gt;1,_xlfn.CONCAT(A284," (",M284,")"),B284)</f>
        <v>Gĕngjiāyíng Yízú Miáozú Xiāng</v>
      </c>
      <c r="D284" t="s">
        <v>1097</v>
      </c>
      <c r="E284" t="s">
        <v>7</v>
      </c>
      <c r="F284" t="str">
        <f>_xlfn.CONCAT(D284,", ",H284,", ",I284,", ","云南省")</f>
        <v>耿家营彝族苗族乡, 宜良县, 昆明市, 云南省</v>
      </c>
      <c r="G284">
        <v>16630</v>
      </c>
      <c r="H284" t="s">
        <v>2821</v>
      </c>
      <c r="I284" t="s">
        <v>2807</v>
      </c>
      <c r="J284" t="e">
        <f>VLOOKUP(F284,[1]!china_towns_second__2[[Column1]:[Y]],3,FALSE)</f>
        <v>#N/A</v>
      </c>
      <c r="K284" t="e">
        <f>VLOOKUP(F284,[1]!china_towns_second__2[[Column1]:[Y]],2,FALSE)</f>
        <v>#N/A</v>
      </c>
      <c r="L284" t="s">
        <v>3843</v>
      </c>
      <c r="M284" t="str">
        <f>VLOOKUP(H284,CHOOSE({1,2},Table17[Native],Table17[Name]),2,0)</f>
        <v>Yíliáng Xiàn</v>
      </c>
      <c r="N284" s="15" t="str">
        <f>VLOOKUP(I284,CHOOSE({1,2},Table17[Native],Table17[Name]),2,0)</f>
        <v>Kūnmíng Shì</v>
      </c>
      <c r="O284" s="15" t="str">
        <f t="shared" si="8"/>
        <v>Gengjiaying Yizu Miaozu Xiang (Kūnmíng Shì)</v>
      </c>
      <c r="P284" s="15" t="str">
        <f t="shared" si="9"/>
        <v>Gengjiaying Yizu Miaozu Xiang (Kūnmíng Shì)</v>
      </c>
    </row>
    <row r="285" spans="1:16" hidden="1" x14ac:dyDescent="0.25">
      <c r="A285" t="s">
        <v>1481</v>
      </c>
      <c r="B285" t="str">
        <f>IF(COUNTIF(A:A,A285)&gt;1,_xlfn.CONCAT(A285," (",N285,")"),A285)</f>
        <v>Gĕngmă Zhèn</v>
      </c>
      <c r="C285" t="str">
        <f>IF(COUNTIF(B:B,B285)&gt;1,_xlfn.CONCAT(A285," (",M285,")"),B285)</f>
        <v>Gĕngmă Zhèn</v>
      </c>
      <c r="D285" t="s">
        <v>1482</v>
      </c>
      <c r="E285" t="s">
        <v>11</v>
      </c>
      <c r="F285" t="str">
        <f>_xlfn.CONCAT(D285,", ",H285,", ",I285,", ","云南省")</f>
        <v>耿马镇, 耿马傣族佤族自治县, 临沧市, 云南省</v>
      </c>
      <c r="G285">
        <v>59324</v>
      </c>
      <c r="H285" t="s">
        <v>2834</v>
      </c>
      <c r="I285" t="s">
        <v>2831</v>
      </c>
      <c r="J285">
        <f>VLOOKUP(F285,[1]!china_towns_second__2[[Column1]:[Y]],3,FALSE)</f>
        <v>23.591395243233698</v>
      </c>
      <c r="K285">
        <f>VLOOKUP(F285,[1]!china_towns_second__2[[Column1]:[Y]],2,FALSE)</f>
        <v>99.447327950000002</v>
      </c>
      <c r="L285" t="s">
        <v>3844</v>
      </c>
      <c r="M285" t="str">
        <f>VLOOKUP(H285,CHOOSE({1,2},Table17[Native],Table17[Name]),2,0)</f>
        <v>Gĕngmă Dăizú Wăzú Zìzhìxiàn</v>
      </c>
      <c r="N285" s="15" t="str">
        <f>VLOOKUP(I285,CHOOSE({1,2},Table17[Native],Table17[Name]),2,0)</f>
        <v>Líncāng Shì</v>
      </c>
      <c r="O285" s="15" t="str">
        <f t="shared" si="8"/>
        <v>Gengma Zhen (Líncāng Shì)</v>
      </c>
      <c r="P285" s="15" t="str">
        <f t="shared" si="9"/>
        <v>Gengma Zhen (Líncāng Shì)</v>
      </c>
    </row>
    <row r="286" spans="1:16" hidden="1" x14ac:dyDescent="0.25">
      <c r="A286" t="s">
        <v>1906</v>
      </c>
      <c r="B286" t="str">
        <f>IF(COUNTIF(A:A,A286)&gt;1,_xlfn.CONCAT(A286," (",N286,")"),A286)</f>
        <v>Géyí Zhèn</v>
      </c>
      <c r="C286" t="str">
        <f>IF(COUNTIF(B:B,B286)&gt;1,_xlfn.CONCAT(A286," (",M286,")"),B286)</f>
        <v>Géyí Zhèn</v>
      </c>
      <c r="D286" t="s">
        <v>1907</v>
      </c>
      <c r="E286" t="s">
        <v>11</v>
      </c>
      <c r="F286" t="str">
        <f>_xlfn.CONCAT(D286,", ",H286,", ",I286,", ","云南省")</f>
        <v>格宜镇, 宣威市, 曲靖市, 云南省</v>
      </c>
      <c r="G286">
        <v>48124</v>
      </c>
      <c r="H286" t="s">
        <v>2868</v>
      </c>
      <c r="I286" t="s">
        <v>2860</v>
      </c>
      <c r="J286">
        <f>VLOOKUP(F286,[1]!china_towns_second__2[[Column1]:[Y]],3,FALSE)</f>
        <v>26.310109077817501</v>
      </c>
      <c r="K286">
        <f>VLOOKUP(F286,[1]!china_towns_second__2[[Column1]:[Y]],2,FALSE)</f>
        <v>104.3764316</v>
      </c>
      <c r="L286" t="s">
        <v>3845</v>
      </c>
      <c r="M286" t="str">
        <f>VLOOKUP(H286,CHOOSE({1,2},Table17[Native],Table17[Name]),2,0)</f>
        <v>Xuānwēi Shì</v>
      </c>
      <c r="N286" s="15" t="str">
        <f>VLOOKUP(I286,CHOOSE({1,2},Table17[Native],Table17[Name]),2,0)</f>
        <v>Qŭjìng Shì</v>
      </c>
      <c r="O286" s="15" t="str">
        <f t="shared" si="8"/>
        <v>Geyi Zhen (Qŭjìng Shì)</v>
      </c>
      <c r="P286" s="15" t="str">
        <f t="shared" si="9"/>
        <v>Geyi Zhen (Qŭjìng Shì)</v>
      </c>
    </row>
    <row r="287" spans="1:16" hidden="1" x14ac:dyDescent="0.25">
      <c r="A287" t="s">
        <v>722</v>
      </c>
      <c r="B287" t="str">
        <f>IF(COUNTIF(A:A,A287)&gt;1,_xlfn.CONCAT(A287," (",N287,")"),A287)</f>
        <v>Gézán Xiāng</v>
      </c>
      <c r="C287" t="str">
        <f>IF(COUNTIF(B:B,B287)&gt;1,_xlfn.CONCAT(A287," (",M287,")"),B287)</f>
        <v>Gézán Xiāng</v>
      </c>
      <c r="D287" t="s">
        <v>723</v>
      </c>
      <c r="E287" t="s">
        <v>7</v>
      </c>
      <c r="F287" t="str">
        <f>_xlfn.CONCAT(D287,", ",H287,", ",I287,", ","云南省")</f>
        <v>格咱乡, 香格里拉市, 迪庆藏族自治州, 云南省</v>
      </c>
      <c r="G287">
        <v>8384</v>
      </c>
      <c r="H287" t="s">
        <v>2789</v>
      </c>
      <c r="I287" t="s">
        <v>2786</v>
      </c>
      <c r="J287" t="e">
        <f>VLOOKUP(F287,[1]!china_towns_second__2[[Column1]:[Y]],3,FALSE)</f>
        <v>#N/A</v>
      </c>
      <c r="K287" t="e">
        <f>VLOOKUP(F287,[1]!china_towns_second__2[[Column1]:[Y]],2,FALSE)</f>
        <v>#N/A</v>
      </c>
      <c r="L287" t="s">
        <v>3846</v>
      </c>
      <c r="M287" t="str">
        <f>VLOOKUP(H287,CHOOSE({1,2},Table17[Native],Table17[Name]),2,0)</f>
        <v>Xiānggélĭlā Shì</v>
      </c>
      <c r="N287" s="15" t="str">
        <f>VLOOKUP(I287,CHOOSE({1,2},Table17[Native],Table17[Name]),2,0)</f>
        <v>Díqìng Zàngzú Zìzhìzhōu</v>
      </c>
      <c r="O287" s="15" t="str">
        <f t="shared" si="8"/>
        <v>Gezan Xiang (Díqìng Zàngzú Zìzhìzhōu)</v>
      </c>
      <c r="P287" s="15" t="str">
        <f t="shared" si="9"/>
        <v>Gezan Xiang (Díqìng Zàngzú Zìzhìzhōu)</v>
      </c>
    </row>
    <row r="288" spans="1:16" hidden="1" x14ac:dyDescent="0.25">
      <c r="A288" t="s">
        <v>428</v>
      </c>
      <c r="B288" t="str">
        <f>IF(COUNTIF(A:A,A288)&gt;1,_xlfn.CONCAT(A288," (",N288,")"),A288)</f>
        <v>Gōngguǒqiáo Zhèn [Jiùzhōu Zhèn]</v>
      </c>
      <c r="C288" t="str">
        <f>IF(COUNTIF(B:B,B288)&gt;1,_xlfn.CONCAT(A288," (",M288,")"),B288)</f>
        <v>Gōngguǒqiáo Zhèn [Jiùzhōu Zhèn]</v>
      </c>
      <c r="D288" t="s">
        <v>429</v>
      </c>
      <c r="E288" t="s">
        <v>11</v>
      </c>
      <c r="F288" t="str">
        <f>_xlfn.CONCAT(D288,", ",H288,", ",I288,", ","云南省")</f>
        <v>功果桥镇, 云龙县, 大理白族自治州, 云南省</v>
      </c>
      <c r="G288">
        <v>36139</v>
      </c>
      <c r="H288" t="s">
        <v>2776</v>
      </c>
      <c r="I288" t="s">
        <v>2763</v>
      </c>
      <c r="J288">
        <f>VLOOKUP(F288,[1]!china_towns_second__2[[Column1]:[Y]],3,FALSE)</f>
        <v>25.692027439489401</v>
      </c>
      <c r="K288">
        <f>VLOOKUP(F288,[1]!china_towns_second__2[[Column1]:[Y]],2,FALSE)</f>
        <v>99.248862099999997</v>
      </c>
      <c r="L288" t="s">
        <v>3847</v>
      </c>
      <c r="M288" t="str">
        <f>VLOOKUP(H288,CHOOSE({1,2},Table17[Native],Table17[Name]),2,0)</f>
        <v>Yúnlóng Xiàn</v>
      </c>
      <c r="N288" s="15" t="str">
        <f>VLOOKUP(I288,CHOOSE({1,2},Table17[Native],Table17[Name]),2,0)</f>
        <v>Dàlĭ Báizú Zìzhìzhōu</v>
      </c>
      <c r="O288" s="15" t="str">
        <f t="shared" si="8"/>
        <v>Gongguoqiao Zhen [Jiuzhou Zhen] (Dàlĭ Báizú Zìzhìzhōu)</v>
      </c>
      <c r="P288" s="15" t="str">
        <f t="shared" si="9"/>
        <v>Gongguoqiao Zhen [Jiuzhou Zhen] (Dàlĭ Báizú Zìzhìzhōu)</v>
      </c>
    </row>
    <row r="289" spans="1:16" hidden="1" x14ac:dyDescent="0.25">
      <c r="A289" t="s">
        <v>213</v>
      </c>
      <c r="B289" t="str">
        <f>IF(COUNTIF(A:A,A289)&gt;1,_xlfn.CONCAT(A289," (",N289,")"),A289)</f>
        <v>Gònghé Zhèn</v>
      </c>
      <c r="C289" t="str">
        <f>IF(COUNTIF(B:B,B289)&gt;1,_xlfn.CONCAT(A289," (",M289,")"),B289)</f>
        <v>Gònghé Zhèn</v>
      </c>
      <c r="D289" t="s">
        <v>214</v>
      </c>
      <c r="E289" t="s">
        <v>11</v>
      </c>
      <c r="F289" t="str">
        <f>_xlfn.CONCAT(D289,", ",H289,", ",I289,", ","云南省")</f>
        <v>共和镇, 牟定县, 楚雄彝族自治州, 云南省</v>
      </c>
      <c r="G289">
        <v>81667</v>
      </c>
      <c r="H289" t="s">
        <v>2754</v>
      </c>
      <c r="I289" t="s">
        <v>2750</v>
      </c>
      <c r="J289">
        <f>VLOOKUP(F289,[1]!china_towns_second__2[[Column1]:[Y]],3,FALSE)</f>
        <v>25.3567882435066</v>
      </c>
      <c r="K289">
        <f>VLOOKUP(F289,[1]!china_towns_second__2[[Column1]:[Y]],2,FALSE)</f>
        <v>101.4824291</v>
      </c>
      <c r="L289" t="s">
        <v>3848</v>
      </c>
      <c r="M289" t="str">
        <f>VLOOKUP(H289,CHOOSE({1,2},Table17[Native],Table17[Name]),2,0)</f>
        <v>Móudìng Xiàn</v>
      </c>
      <c r="N289" s="15" t="str">
        <f>VLOOKUP(I289,CHOOSE({1,2},Table17[Native],Table17[Name]),2,0)</f>
        <v>Chŭxióng Yízú Zìzhìzhōu</v>
      </c>
      <c r="O289" s="15" t="str">
        <f t="shared" si="8"/>
        <v>Gonghe Zhen (Chŭxióng Yízú Zìzhìzhōu)</v>
      </c>
      <c r="P289" s="15" t="str">
        <f t="shared" si="9"/>
        <v>Gonghe Zhen (Chŭxióng Yízú Zìzhìzhōu)</v>
      </c>
    </row>
    <row r="290" spans="1:16" hidden="1" x14ac:dyDescent="0.25">
      <c r="A290" t="s">
        <v>430</v>
      </c>
      <c r="B290" t="str">
        <f>IF(COUNTIF(A:A,A290)&gt;1,_xlfn.CONCAT(A290," (",N290,")"),A290)</f>
        <v>Gōngláng Zhèn</v>
      </c>
      <c r="C290" t="str">
        <f>IF(COUNTIF(B:B,B290)&gt;1,_xlfn.CONCAT(A290," (",M290,")"),B290)</f>
        <v>Gōngláng Zhèn</v>
      </c>
      <c r="D290" t="s">
        <v>431</v>
      </c>
      <c r="E290" t="s">
        <v>11</v>
      </c>
      <c r="F290" t="str">
        <f>_xlfn.CONCAT(D290,", ",H290,", ",I290,", ","云南省")</f>
        <v>公郎镇, 南涧彝族自治县, 大理白族自治州, 云南省</v>
      </c>
      <c r="G290">
        <v>29004</v>
      </c>
      <c r="H290" t="s">
        <v>2771</v>
      </c>
      <c r="I290" t="s">
        <v>2763</v>
      </c>
      <c r="J290">
        <f>VLOOKUP(F290,[1]!china_towns_second__2[[Column1]:[Y]],3,FALSE)</f>
        <v>24.807980822325302</v>
      </c>
      <c r="K290">
        <f>VLOOKUP(F290,[1]!china_towns_second__2[[Column1]:[Y]],2,FALSE)</f>
        <v>100.368718</v>
      </c>
      <c r="L290" t="s">
        <v>3849</v>
      </c>
      <c r="M290" t="str">
        <f>VLOOKUP(H290,CHOOSE({1,2},Table17[Native],Table17[Name]),2,0)</f>
        <v>Nánjiàn Yízú Zìzhìxiàn</v>
      </c>
      <c r="N290" s="15" t="str">
        <f>VLOOKUP(I290,CHOOSE({1,2},Table17[Native],Table17[Name]),2,0)</f>
        <v>Dàlĭ Báizú Zìzhìzhōu</v>
      </c>
      <c r="O290" s="15" t="str">
        <f t="shared" si="8"/>
        <v>Gonglang Zhen (Dàlĭ Báizú Zìzhìzhōu)</v>
      </c>
      <c r="P290" s="15" t="str">
        <f t="shared" si="9"/>
        <v>Gonglang Zhen (Dàlĭ Báizú Zìzhìzhōu)</v>
      </c>
    </row>
    <row r="291" spans="1:16" hidden="1" x14ac:dyDescent="0.25">
      <c r="A291" t="s">
        <v>1098</v>
      </c>
      <c r="B291" t="str">
        <f>IF(COUNTIF(A:A,A291)&gt;1,_xlfn.CONCAT(A291," (",N291,")"),A291)</f>
        <v>Gōngshān Zhèn</v>
      </c>
      <c r="C291" t="str">
        <f>IF(COUNTIF(B:B,B291)&gt;1,_xlfn.CONCAT(A291," (",M291,")"),B291)</f>
        <v>Gōngshān Zhèn</v>
      </c>
      <c r="D291" t="s">
        <v>1099</v>
      </c>
      <c r="E291" t="s">
        <v>11</v>
      </c>
      <c r="F291" t="str">
        <f>_xlfn.CONCAT(D291,", ",H291,", ",I291,", ","云南省")</f>
        <v>功山镇, 寻甸回族彝族自治县, 昆明市, 云南省</v>
      </c>
      <c r="G291">
        <v>33461</v>
      </c>
      <c r="H291" t="s">
        <v>2820</v>
      </c>
      <c r="I291" t="s">
        <v>2807</v>
      </c>
      <c r="J291">
        <f>VLOOKUP(F291,[1]!china_towns_second__2[[Column1]:[Y]],3,FALSE)</f>
        <v>25.7574481376951</v>
      </c>
      <c r="K291">
        <f>VLOOKUP(F291,[1]!china_towns_second__2[[Column1]:[Y]],2,FALSE)</f>
        <v>103.3061179</v>
      </c>
      <c r="L291" t="s">
        <v>3850</v>
      </c>
      <c r="M291" t="str">
        <f>VLOOKUP(H291,CHOOSE({1,2},Table17[Native],Table17[Name]),2,0)</f>
        <v>Xúndiàn Huízú Yízú Zìzhìxiàn</v>
      </c>
      <c r="N291" s="15" t="str">
        <f>VLOOKUP(I291,CHOOSE({1,2},Table17[Native],Table17[Name]),2,0)</f>
        <v>Kūnmíng Shì</v>
      </c>
      <c r="O291" s="15" t="str">
        <f t="shared" si="8"/>
        <v>Gongshan Zhen (Kūnmíng Shì)</v>
      </c>
      <c r="P291" s="15" t="str">
        <f t="shared" si="9"/>
        <v>Gongshan Zhen (Kūnmíng Shì)</v>
      </c>
    </row>
    <row r="292" spans="1:16" hidden="1" x14ac:dyDescent="0.25">
      <c r="A292" t="s">
        <v>1691</v>
      </c>
      <c r="B292" t="str">
        <f>IF(COUNTIF(A:A,A292)&gt;1,_xlfn.CONCAT(A292," (",N292,")"),A292)</f>
        <v>Gōngxìn Xiāng</v>
      </c>
      <c r="C292" t="str">
        <f>IF(COUNTIF(B:B,B292)&gt;1,_xlfn.CONCAT(A292," (",M292,")"),B292)</f>
        <v>Gōngxìn Xiāng</v>
      </c>
      <c r="D292" t="s">
        <v>1692</v>
      </c>
      <c r="E292" t="s">
        <v>7</v>
      </c>
      <c r="F292" t="str">
        <f>_xlfn.CONCAT(D292,", ",H292,", ",I292,", ","云南省")</f>
        <v>公信乡, 孟连傣族拉祜族佤族自治县, 普洱市, 云南省</v>
      </c>
      <c r="G292">
        <v>15030</v>
      </c>
      <c r="H292" t="s">
        <v>2853</v>
      </c>
      <c r="I292" t="s">
        <v>2848</v>
      </c>
      <c r="J292" t="e">
        <f>VLOOKUP(F292,[1]!china_towns_second__2[[Column1]:[Y]],3,FALSE)</f>
        <v>#N/A</v>
      </c>
      <c r="K292" t="e">
        <f>VLOOKUP(F292,[1]!china_towns_second__2[[Column1]:[Y]],2,FALSE)</f>
        <v>#N/A</v>
      </c>
      <c r="L292" t="s">
        <v>3851</v>
      </c>
      <c r="M292" t="str">
        <f>VLOOKUP(H292,CHOOSE({1,2},Table17[Native],Table17[Name]),2,0)</f>
        <v>Mènglián Dăizú Lāhùzú Wăzú Zìzhìxiàn</v>
      </c>
      <c r="N292" s="15" t="str">
        <f>VLOOKUP(I292,CHOOSE({1,2},Table17[Native],Table17[Name]),2,0)</f>
        <v>Pŭ'ĕr Shì</v>
      </c>
      <c r="O292" s="15" t="str">
        <f t="shared" si="8"/>
        <v>Gongxin Xiang (Pŭ'ĕr Shì)</v>
      </c>
      <c r="P292" s="15" t="str">
        <f t="shared" si="9"/>
        <v>Gongxin Xiang (Pŭ'ĕr Shì)</v>
      </c>
    </row>
    <row r="293" spans="1:16" hidden="1" x14ac:dyDescent="0.25">
      <c r="A293" t="s">
        <v>30</v>
      </c>
      <c r="B293" t="str">
        <f>IF(COUNTIF(A:A,A293)&gt;1,_xlfn.CONCAT(A293," (",N293,")"),A293)</f>
        <v>Góujiē Yízú Miáozú Xiāng</v>
      </c>
      <c r="C293" t="str">
        <f>IF(COUNTIF(B:B,B293)&gt;1,_xlfn.CONCAT(A293," (",M293,")"),B293)</f>
        <v>Góujiē Yízú Miáozú Xiāng</v>
      </c>
      <c r="D293" t="s">
        <v>31</v>
      </c>
      <c r="E293" t="s">
        <v>7</v>
      </c>
      <c r="F293" t="str">
        <f>_xlfn.CONCAT(D293,", ",H293,", ",I293,", ","云南省")</f>
        <v>耈街彝族苗族乡, 昌宁县, 保山市, 云南省</v>
      </c>
      <c r="G293">
        <v>23219</v>
      </c>
      <c r="H293" t="s">
        <v>2741</v>
      </c>
      <c r="I293" t="s">
        <v>2739</v>
      </c>
      <c r="J293" t="e">
        <f>VLOOKUP(F293,[1]!china_towns_second__2[[Column1]:[Y]],3,FALSE)</f>
        <v>#N/A</v>
      </c>
      <c r="K293" t="e">
        <f>VLOOKUP(F293,[1]!china_towns_second__2[[Column1]:[Y]],2,FALSE)</f>
        <v>#N/A</v>
      </c>
      <c r="L293" t="s">
        <v>3852</v>
      </c>
      <c r="M293" t="str">
        <f>VLOOKUP(H293,CHOOSE({1,2},Table17[Native],Table17[Name]),2,0)</f>
        <v>Chāngníng Xiàn</v>
      </c>
      <c r="N293" s="15" t="str">
        <f>VLOOKUP(I293,CHOOSE({1,2},Table17[Native],Table17[Name]),2,0)</f>
        <v>Băoshān Shì</v>
      </c>
      <c r="O293" s="15" t="str">
        <f t="shared" si="8"/>
        <v>Goujie Yizu Miaozu Xiang (Băoshān Shì)</v>
      </c>
      <c r="P293" s="15" t="str">
        <f t="shared" si="9"/>
        <v>Goujie Yizu Miaozu Xiang (Băoshān Shì)</v>
      </c>
    </row>
    <row r="294" spans="1:16" hidden="1" x14ac:dyDescent="0.25">
      <c r="A294" t="s">
        <v>1100</v>
      </c>
      <c r="B294" t="str">
        <f>IF(COUNTIF(A:A,A294)&gt;1,_xlfn.CONCAT(A294," (",N294,")"),A294)</f>
        <v>Gŏujiē Zhèn</v>
      </c>
      <c r="C294" t="str">
        <f>IF(COUNTIF(B:B,B294)&gt;1,_xlfn.CONCAT(A294," (",M294,")"),B294)</f>
        <v>Gŏujiē Zhèn</v>
      </c>
      <c r="D294" t="s">
        <v>1101</v>
      </c>
      <c r="E294" t="s">
        <v>11</v>
      </c>
      <c r="F294" t="str">
        <f>_xlfn.CONCAT(D294,", ",H294,", ",I294,", ","云南省")</f>
        <v>狗街镇, 宜良县, 昆明市, 云南省</v>
      </c>
      <c r="G294">
        <v>59589</v>
      </c>
      <c r="H294" t="s">
        <v>2821</v>
      </c>
      <c r="I294" t="s">
        <v>2807</v>
      </c>
      <c r="J294">
        <f>VLOOKUP(F294,[1]!china_towns_second__2[[Column1]:[Y]],3,FALSE)</f>
        <v>24.7717885148584</v>
      </c>
      <c r="K294">
        <f>VLOOKUP(F294,[1]!china_towns_second__2[[Column1]:[Y]],2,FALSE)</f>
        <v>103.1528371</v>
      </c>
      <c r="L294" t="s">
        <v>3853</v>
      </c>
      <c r="M294" t="str">
        <f>VLOOKUP(H294,CHOOSE({1,2},Table17[Native],Table17[Name]),2,0)</f>
        <v>Yíliáng Xiàn</v>
      </c>
      <c r="N294" s="15" t="str">
        <f>VLOOKUP(I294,CHOOSE({1,2},Table17[Native],Table17[Name]),2,0)</f>
        <v>Kūnmíng Shì</v>
      </c>
      <c r="O294" s="15" t="str">
        <f t="shared" si="8"/>
        <v>Goujie Zhen (Kūnmíng Shì)</v>
      </c>
      <c r="P294" s="15" t="str">
        <f t="shared" si="9"/>
        <v>Goujie Zhen (Kūnmíng Shì)</v>
      </c>
    </row>
    <row r="295" spans="1:16" hidden="1" x14ac:dyDescent="0.25">
      <c r="A295" t="s">
        <v>1102</v>
      </c>
      <c r="B295" t="str">
        <f>IF(COUNTIF(A:A,A295)&gt;1,_xlfn.CONCAT(A295," (",N295,")"),A295)</f>
        <v>Guāndù Jiēdào</v>
      </c>
      <c r="C295" t="str">
        <f>IF(COUNTIF(B:B,B295)&gt;1,_xlfn.CONCAT(A295," (",M295,")"),B295)</f>
        <v>Guāndù Jiēdào</v>
      </c>
      <c r="D295" t="s">
        <v>1103</v>
      </c>
      <c r="E295" t="s">
        <v>42</v>
      </c>
      <c r="F295" t="str">
        <f>_xlfn.CONCAT(D295,", ",H295,", ",I295,", ","云南省")</f>
        <v>官渡街道, 官渡区, 昆明市, 云南省</v>
      </c>
      <c r="G295">
        <v>72775</v>
      </c>
      <c r="H295" t="s">
        <v>2812</v>
      </c>
      <c r="I295" t="s">
        <v>2807</v>
      </c>
      <c r="J295">
        <f>VLOOKUP(F295,[1]!china_towns_second__2[[Column1]:[Y]],3,FALSE)</f>
        <v>24.9345467036662</v>
      </c>
      <c r="K295">
        <f>VLOOKUP(F295,[1]!china_towns_second__2[[Column1]:[Y]],2,FALSE)</f>
        <v>102.7270035</v>
      </c>
      <c r="L295" t="s">
        <v>3854</v>
      </c>
      <c r="M295" t="str">
        <f>VLOOKUP(H295,CHOOSE({1,2},Table17[Native],Table17[Name]),2,0)</f>
        <v>Guāndù Qū</v>
      </c>
      <c r="N295" s="15" t="str">
        <f>VLOOKUP(I295,CHOOSE({1,2},Table17[Native],Table17[Name]),2,0)</f>
        <v>Kūnmíng Shì</v>
      </c>
      <c r="O295" s="15" t="str">
        <f t="shared" si="8"/>
        <v>Guandu Jiedao (Kūnmíng Shì)</v>
      </c>
      <c r="P295" s="15" t="str">
        <f t="shared" si="9"/>
        <v>Guandu Jiedao (Kūnmíng Shì)</v>
      </c>
    </row>
    <row r="296" spans="1:16" hidden="1" x14ac:dyDescent="0.25">
      <c r="A296" t="s">
        <v>1333</v>
      </c>
      <c r="B296" t="str">
        <f>IF(COUNTIF(A:A,A296)&gt;1,_xlfn.CONCAT(A296," (",N296,")"),A296)</f>
        <v>Guānghuá Lìsùzú Yízú Xiāng</v>
      </c>
      <c r="C296" t="str">
        <f>IF(COUNTIF(B:B,B296)&gt;1,_xlfn.CONCAT(A296," (",M296,")"),B296)</f>
        <v>Guānghuá Lìsùzú Yízú Xiāng</v>
      </c>
      <c r="D296" t="s">
        <v>1334</v>
      </c>
      <c r="E296" t="s">
        <v>7</v>
      </c>
      <c r="F296" t="str">
        <f>_xlfn.CONCAT(D296,", ",H296,", ",I296,", ","云南省")</f>
        <v>光华傈僳族彝族乡, 永胜县, 丽江市, 云南省</v>
      </c>
      <c r="G296">
        <v>15221</v>
      </c>
      <c r="H296" t="s">
        <v>2828</v>
      </c>
      <c r="I296" t="s">
        <v>2823</v>
      </c>
      <c r="J296" t="e">
        <f>VLOOKUP(F296,[1]!china_towns_second__2[[Column1]:[Y]],3,FALSE)</f>
        <v>#N/A</v>
      </c>
      <c r="K296" t="e">
        <f>VLOOKUP(F296,[1]!china_towns_second__2[[Column1]:[Y]],2,FALSE)</f>
        <v>#N/A</v>
      </c>
      <c r="L296" t="s">
        <v>3855</v>
      </c>
      <c r="M296" t="str">
        <f>VLOOKUP(H296,CHOOSE({1,2},Table17[Native],Table17[Name]),2,0)</f>
        <v>Yŏngshèng Xiàn</v>
      </c>
      <c r="N296" s="15" t="str">
        <f>VLOOKUP(I296,CHOOSE({1,2},Table17[Native],Table17[Name]),2,0)</f>
        <v>Lìjiāng Shì</v>
      </c>
      <c r="O296" s="15" t="str">
        <f t="shared" si="8"/>
        <v>Guanghua Lisuzu Yizu Xiang (Lìjiāng Shì)</v>
      </c>
      <c r="P296" s="15" t="str">
        <f t="shared" si="9"/>
        <v>Guanghua Lisuzu Yizu Xiang (Lìjiāng Shì)</v>
      </c>
    </row>
    <row r="297" spans="1:16" hidden="1" x14ac:dyDescent="0.25">
      <c r="A297" t="s">
        <v>215</v>
      </c>
      <c r="B297" t="str">
        <f>IF(COUNTIF(A:A,A297)&gt;1,_xlfn.CONCAT(A297," (",N297,")"),A297)</f>
        <v>Guānglù Zhèn</v>
      </c>
      <c r="C297" t="str">
        <f>IF(COUNTIF(B:B,B297)&gt;1,_xlfn.CONCAT(A297," (",M297,")"),B297)</f>
        <v>Guānglù Zhèn</v>
      </c>
      <c r="D297" t="s">
        <v>216</v>
      </c>
      <c r="E297" t="s">
        <v>11</v>
      </c>
      <c r="F297" t="str">
        <f>_xlfn.CONCAT(D297,", ",H297,", ",I297,", ","云南省")</f>
        <v>光禄镇, 姚安县, 楚雄彝族自治州, 云南省</v>
      </c>
      <c r="G297">
        <v>30133</v>
      </c>
      <c r="H297" t="s">
        <v>2758</v>
      </c>
      <c r="I297" t="s">
        <v>2750</v>
      </c>
      <c r="J297">
        <f>VLOOKUP(F297,[1]!china_towns_second__2[[Column1]:[Y]],3,FALSE)</f>
        <v>25.619127780800099</v>
      </c>
      <c r="K297">
        <f>VLOOKUP(F297,[1]!china_towns_second__2[[Column1]:[Y]],2,FALSE)</f>
        <v>101.1934411</v>
      </c>
      <c r="L297" t="s">
        <v>3856</v>
      </c>
      <c r="M297" t="str">
        <f>VLOOKUP(H297,CHOOSE({1,2},Table17[Native],Table17[Name]),2,0)</f>
        <v>Yáo'ān Xiàn</v>
      </c>
      <c r="N297" s="15" t="str">
        <f>VLOOKUP(I297,CHOOSE({1,2},Table17[Native],Table17[Name]),2,0)</f>
        <v>Chŭxióng Yízú Zìzhìzhōu</v>
      </c>
      <c r="O297" s="15" t="str">
        <f t="shared" si="8"/>
        <v>Guanglu Zhen (Chŭxióng Yízú Zìzhìzhōu)</v>
      </c>
      <c r="P297" s="15" t="str">
        <f t="shared" si="9"/>
        <v>Guanglu Zhen (Chŭxióng Yízú Zìzhìzhōu)</v>
      </c>
    </row>
    <row r="298" spans="1:16" hidden="1" x14ac:dyDescent="0.25">
      <c r="A298" t="s">
        <v>217</v>
      </c>
      <c r="B298" t="str">
        <f>IF(COUNTIF(A:A,A298)&gt;1,_xlfn.CONCAT(A298," (",N298,")"),A298)</f>
        <v>Guăngtōng Zhèn</v>
      </c>
      <c r="C298" t="str">
        <f>IF(COUNTIF(B:B,B298)&gt;1,_xlfn.CONCAT(A298," (",M298,")"),B298)</f>
        <v>Guăngtōng Zhèn</v>
      </c>
      <c r="D298" t="s">
        <v>218</v>
      </c>
      <c r="E298" t="s">
        <v>11</v>
      </c>
      <c r="F298" t="str">
        <f>_xlfn.CONCAT(D298,", ",H298,", ",I298,", ","云南省")</f>
        <v>广通镇, 禄丰县, 楚雄彝族自治州, 云南省</v>
      </c>
      <c r="G298">
        <v>42306</v>
      </c>
      <c r="H298" t="s">
        <v>2753</v>
      </c>
      <c r="I298" t="s">
        <v>2750</v>
      </c>
      <c r="J298">
        <f>VLOOKUP(F298,[1]!china_towns_second__2[[Column1]:[Y]],3,FALSE)</f>
        <v>25.143659941928099</v>
      </c>
      <c r="K298">
        <f>VLOOKUP(F298,[1]!china_towns_second__2[[Column1]:[Y]],2,FALSE)</f>
        <v>101.7662392</v>
      </c>
      <c r="L298" t="s">
        <v>3857</v>
      </c>
      <c r="M298" t="str">
        <f>VLOOKUP(H298,CHOOSE({1,2},Table17[Native],Table17[Name]),2,0)</f>
        <v>Lùfēng Xiàn</v>
      </c>
      <c r="N298" s="15" t="str">
        <f>VLOOKUP(I298,CHOOSE({1,2},Table17[Native],Table17[Name]),2,0)</f>
        <v>Chŭxióng Yízú Zìzhìzhōu</v>
      </c>
      <c r="O298" s="15" t="str">
        <f t="shared" si="8"/>
        <v>Guangtong Zhen (Chŭxióng Yízú Zìzhìzhōu)</v>
      </c>
      <c r="P298" s="15" t="str">
        <f t="shared" si="9"/>
        <v>Guangtong Zhen (Chŭxióng Yízú Zìzhìzhōu)</v>
      </c>
    </row>
    <row r="299" spans="1:16" hidden="1" x14ac:dyDescent="0.25">
      <c r="A299" t="s">
        <v>2268</v>
      </c>
      <c r="B299" t="str">
        <f>IF(COUNTIF(A:A,A299)&gt;1,_xlfn.CONCAT(A299," (",N299,")"),A299)</f>
        <v>Guānlĕi Zhèn</v>
      </c>
      <c r="C299" t="str">
        <f>IF(COUNTIF(B:B,B299)&gt;1,_xlfn.CONCAT(A299," (",M299,")"),B299)</f>
        <v>Guānlĕi Zhèn</v>
      </c>
      <c r="D299" t="s">
        <v>2269</v>
      </c>
      <c r="E299" t="s">
        <v>11</v>
      </c>
      <c r="F299" t="str">
        <f>_xlfn.CONCAT(D299,", ",H299,", ",I299,", ","云南省")</f>
        <v>关累镇, 勐腊县, 西双版纳傣族自治州, 云南省</v>
      </c>
      <c r="G299">
        <v>30438</v>
      </c>
      <c r="H299" t="s">
        <v>2886</v>
      </c>
      <c r="I299" t="s">
        <v>2883</v>
      </c>
      <c r="J299">
        <f>VLOOKUP(F299,[1]!china_towns_second__2[[Column1]:[Y]],3,FALSE)</f>
        <v>21.7075680708591</v>
      </c>
      <c r="K299">
        <f>VLOOKUP(F299,[1]!china_towns_second__2[[Column1]:[Y]],2,FALSE)</f>
        <v>101.2903316</v>
      </c>
      <c r="L299" t="s">
        <v>3858</v>
      </c>
      <c r="M299" t="str">
        <f>VLOOKUP(H299,CHOOSE({1,2},Table17[Native],Table17[Name]),2,0)</f>
        <v>Mĕnglà Xiàn</v>
      </c>
      <c r="N299" s="15" t="str">
        <f>VLOOKUP(I299,CHOOSE({1,2},Table17[Native],Table17[Name]),2,0)</f>
        <v>Xīshuāngbănnà Dăizú Zìzhìzhōu</v>
      </c>
      <c r="O299" s="15" t="str">
        <f t="shared" si="8"/>
        <v>Guanlei Zhen (Xīshuāngbănnà Dăizú Zìzhìzhōu)</v>
      </c>
      <c r="P299" s="15" t="str">
        <f t="shared" si="9"/>
        <v>Guanlei Zhen (Xīshuāngbănnà Dăizú Zìzhìzhōu)</v>
      </c>
    </row>
    <row r="300" spans="1:16" hidden="1" x14ac:dyDescent="0.25">
      <c r="A300" t="s">
        <v>432</v>
      </c>
      <c r="B300" t="str">
        <f>IF(COUNTIF(A:A,A300)&gt;1,_xlfn.CONCAT(A300," (",N300,")"),A300)</f>
        <v>Guānpíng Xiāng</v>
      </c>
      <c r="C300" t="str">
        <f>IF(COUNTIF(B:B,B300)&gt;1,_xlfn.CONCAT(A300," (",M300,")"),B300)</f>
        <v>Guānpíng Xiāng</v>
      </c>
      <c r="D300" t="s">
        <v>433</v>
      </c>
      <c r="E300" t="s">
        <v>7</v>
      </c>
      <c r="F300" t="str">
        <f>_xlfn.CONCAT(D300,", ",H300,", ",I300,", ","云南省")</f>
        <v>关坪乡, 云龙县, 大理白族自治州, 云南省</v>
      </c>
      <c r="G300">
        <v>11394</v>
      </c>
      <c r="H300" t="s">
        <v>2776</v>
      </c>
      <c r="I300" t="s">
        <v>2763</v>
      </c>
      <c r="J300" t="e">
        <f>VLOOKUP(F300,[1]!china_towns_second__2[[Column1]:[Y]],3,FALSE)</f>
        <v>#N/A</v>
      </c>
      <c r="K300" t="e">
        <f>VLOOKUP(F300,[1]!china_towns_second__2[[Column1]:[Y]],2,FALSE)</f>
        <v>#N/A</v>
      </c>
      <c r="L300" t="s">
        <v>3859</v>
      </c>
      <c r="M300" t="str">
        <f>VLOOKUP(H300,CHOOSE({1,2},Table17[Native],Table17[Name]),2,0)</f>
        <v>Yúnlóng Xiàn</v>
      </c>
      <c r="N300" s="15" t="str">
        <f>VLOOKUP(I300,CHOOSE({1,2},Table17[Native],Table17[Name]),2,0)</f>
        <v>Dàlĭ Báizú Zìzhìzhōu</v>
      </c>
      <c r="O300" s="15" t="str">
        <f t="shared" si="8"/>
        <v>Guanping Xiang (Dàlĭ Báizú Zìzhìzhōu)</v>
      </c>
      <c r="P300" s="15" t="str">
        <f t="shared" si="9"/>
        <v>Guanping Xiang (Dàlĭ Báizú Zìzhìzhōu)</v>
      </c>
    </row>
    <row r="301" spans="1:16" hidden="1" x14ac:dyDescent="0.25">
      <c r="A301" t="s">
        <v>1104</v>
      </c>
      <c r="B301" t="str">
        <f>IF(COUNTIF(A:A,A301)&gt;1,_xlfn.CONCAT(A301," (",N301,")"),A301)</f>
        <v>Guānshàng Jiēdào</v>
      </c>
      <c r="C301" t="str">
        <f>IF(COUNTIF(B:B,B301)&gt;1,_xlfn.CONCAT(A301," (",M301,")"),B301)</f>
        <v>Guānshàng Jiēdào</v>
      </c>
      <c r="D301" t="s">
        <v>1105</v>
      </c>
      <c r="E301" t="s">
        <v>42</v>
      </c>
      <c r="F301" t="str">
        <f>_xlfn.CONCAT(D301,", ",H301,", ",I301,", ","云南省")</f>
        <v>关上街道, 官渡区, 昆明市, 云南省</v>
      </c>
      <c r="G301">
        <v>149039</v>
      </c>
      <c r="H301" t="s">
        <v>2812</v>
      </c>
      <c r="I301" t="s">
        <v>2807</v>
      </c>
      <c r="J301">
        <f>VLOOKUP(F301,[1]!china_towns_second__2[[Column1]:[Y]],3,FALSE)</f>
        <v>25.004606260973901</v>
      </c>
      <c r="K301">
        <f>VLOOKUP(F301,[1]!china_towns_second__2[[Column1]:[Y]],2,FALSE)</f>
        <v>102.73707589999999</v>
      </c>
      <c r="L301" t="s">
        <v>3860</v>
      </c>
      <c r="M301" t="str">
        <f>VLOOKUP(H301,CHOOSE({1,2},Table17[Native],Table17[Name]),2,0)</f>
        <v>Guāndù Qū</v>
      </c>
      <c r="N301" s="15" t="str">
        <f>VLOOKUP(I301,CHOOSE({1,2},Table17[Native],Table17[Name]),2,0)</f>
        <v>Kūnmíng Shì</v>
      </c>
      <c r="O301" s="15" t="str">
        <f t="shared" si="8"/>
        <v>Guanshang Jiedao (Kūnmíng Shì)</v>
      </c>
      <c r="P301" s="15" t="str">
        <f t="shared" si="9"/>
        <v>Guanshang Jiedao (Kūnmíng Shì)</v>
      </c>
    </row>
    <row r="302" spans="1:16" hidden="1" x14ac:dyDescent="0.25">
      <c r="A302" t="s">
        <v>840</v>
      </c>
      <c r="B302" t="str">
        <f>IF(COUNTIF(A:A,A302)&gt;1,_xlfn.CONCAT(A302," (",N302,")"),A302)</f>
        <v>Guāntīng Zhèn</v>
      </c>
      <c r="C302" t="str">
        <f>IF(COUNTIF(B:B,B302)&gt;1,_xlfn.CONCAT(A302," (",M302,")"),B302)</f>
        <v>Guāntīng Zhèn</v>
      </c>
      <c r="D302" t="s">
        <v>841</v>
      </c>
      <c r="E302" t="s">
        <v>11</v>
      </c>
      <c r="F302" t="str">
        <f>_xlfn.CONCAT(D302,", ",H302,", ",I302,", ","云南省")</f>
        <v>官厅镇, 建水县, 红河哈尼族彝族自治州, 云南省</v>
      </c>
      <c r="G302">
        <v>36884</v>
      </c>
      <c r="H302" t="s">
        <v>2796</v>
      </c>
      <c r="I302" t="s">
        <v>2792</v>
      </c>
      <c r="J302">
        <f>VLOOKUP(F302,[1]!china_towns_second__2[[Column1]:[Y]],3,FALSE)</f>
        <v>23.3881575462594</v>
      </c>
      <c r="K302">
        <f>VLOOKUP(F302,[1]!china_towns_second__2[[Column1]:[Y]],2,FALSE)</f>
        <v>102.7320795</v>
      </c>
      <c r="L302" t="s">
        <v>3861</v>
      </c>
      <c r="M302" t="str">
        <f>VLOOKUP(H302,CHOOSE({1,2},Table17[Native],Table17[Name]),2,0)</f>
        <v>Jiànshuĭ Xiàn</v>
      </c>
      <c r="N302" s="15" t="str">
        <f>VLOOKUP(I302,CHOOSE({1,2},Table17[Native],Table17[Name]),2,0)</f>
        <v>Hónghé Hānízú Yízú Zìzhìzhōu</v>
      </c>
      <c r="O302" s="15" t="str">
        <f t="shared" si="8"/>
        <v>Guanting Zhen (Hónghé Hānízú Yízú Zìzhìzhōu)</v>
      </c>
      <c r="P302" s="15" t="str">
        <f t="shared" si="9"/>
        <v>Guanting Zhen (Hónghé Hānízú Yízú Zìzhìzhōu)</v>
      </c>
    </row>
    <row r="303" spans="1:16" hidden="1" x14ac:dyDescent="0.25">
      <c r="A303" t="s">
        <v>219</v>
      </c>
      <c r="B303" t="str">
        <f>IF(COUNTIF(A:A,A303)&gt;1,_xlfn.CONCAT(A303," (",N303,")"),A303)</f>
        <v>Guāntún Zhèn</v>
      </c>
      <c r="C303" t="str">
        <f>IF(COUNTIF(B:B,B303)&gt;1,_xlfn.CONCAT(A303," (",M303,")"),B303)</f>
        <v>Guāntún Zhèn</v>
      </c>
      <c r="D303" t="s">
        <v>220</v>
      </c>
      <c r="E303" t="s">
        <v>11</v>
      </c>
      <c r="F303" t="str">
        <f>_xlfn.CONCAT(D303,", ",H303,", ",I303,", ","云南省")</f>
        <v>官屯镇, 姚安县, 楚雄彝族自治州, 云南省</v>
      </c>
      <c r="G303">
        <v>15432</v>
      </c>
      <c r="H303" t="s">
        <v>2758</v>
      </c>
      <c r="I303" t="s">
        <v>2750</v>
      </c>
      <c r="J303">
        <f>VLOOKUP(F303,[1]!china_towns_second__2[[Column1]:[Y]],3,FALSE)</f>
        <v>25.536471765950999</v>
      </c>
      <c r="K303">
        <f>VLOOKUP(F303,[1]!china_towns_second__2[[Column1]:[Y]],2,FALSE)</f>
        <v>101.0842165</v>
      </c>
      <c r="L303" t="s">
        <v>3862</v>
      </c>
      <c r="M303" t="str">
        <f>VLOOKUP(H303,CHOOSE({1,2},Table17[Native],Table17[Name]),2,0)</f>
        <v>Yáo'ān Xiàn</v>
      </c>
      <c r="N303" s="15" t="str">
        <f>VLOOKUP(I303,CHOOSE({1,2},Table17[Native],Table17[Name]),2,0)</f>
        <v>Chŭxióng Yízú Zìzhìzhōu</v>
      </c>
      <c r="O303" s="15" t="str">
        <f t="shared" si="8"/>
        <v>Guantun Zhen (Chŭxióng Yízú Zìzhìzhōu)</v>
      </c>
      <c r="P303" s="15" t="str">
        <f t="shared" si="9"/>
        <v>Guantun Zhen (Chŭxióng Yízú Zìzhìzhōu)</v>
      </c>
    </row>
    <row r="304" spans="1:16" hidden="1" x14ac:dyDescent="0.25">
      <c r="A304" t="s">
        <v>2125</v>
      </c>
      <c r="B304" t="str">
        <f>IF(COUNTIF(A:A,A304)&gt;1,_xlfn.CONCAT(A304," (",N304,")"),A304)</f>
        <v>Guānzhài Xiāng</v>
      </c>
      <c r="C304" t="str">
        <f>IF(COUNTIF(B:B,B304)&gt;1,_xlfn.CONCAT(A304," (",M304,")"),B304)</f>
        <v>Guānzhài Xiāng</v>
      </c>
      <c r="D304" t="s">
        <v>2126</v>
      </c>
      <c r="E304" t="s">
        <v>7</v>
      </c>
      <c r="F304" t="str">
        <f>_xlfn.CONCAT(D304,", ",H304,", ",I304,", ","云南省")</f>
        <v>官寨乡, 丘北县, 文山壮族苗族自治州, 云南省</v>
      </c>
      <c r="G304">
        <v>47689</v>
      </c>
      <c r="H304" t="s">
        <v>2877</v>
      </c>
      <c r="I304" t="s">
        <v>2872</v>
      </c>
      <c r="J304" t="e">
        <f>VLOOKUP(F304,[1]!china_towns_second__2[[Column1]:[Y]],3,FALSE)</f>
        <v>#N/A</v>
      </c>
      <c r="K304" t="e">
        <f>VLOOKUP(F304,[1]!china_towns_second__2[[Column1]:[Y]],2,FALSE)</f>
        <v>#N/A</v>
      </c>
      <c r="L304" t="s">
        <v>3863</v>
      </c>
      <c r="M304" t="str">
        <f>VLOOKUP(H304,CHOOSE({1,2},Table17[Native],Table17[Name]),2,0)</f>
        <v>Qiūbĕi Xiàn</v>
      </c>
      <c r="N304" s="15" t="str">
        <f>VLOOKUP(I304,CHOOSE({1,2},Table17[Native],Table17[Name]),2,0)</f>
        <v>Wénshān Zhuàngzú Miáozú Zìzhìzhōu</v>
      </c>
      <c r="O304" s="15" t="str">
        <f t="shared" si="8"/>
        <v>Guanzhai Xiang (Wénshān Zhuàngzú Miáozú Zìzhìzhōu)</v>
      </c>
      <c r="P304" s="15" t="str">
        <f t="shared" si="9"/>
        <v>Guanzhai Xiang (Wénshān Zhuàngzú Miáozú Zìzhìzhōu)</v>
      </c>
    </row>
    <row r="305" spans="1:16" hidden="1" x14ac:dyDescent="0.25">
      <c r="A305" t="s">
        <v>1693</v>
      </c>
      <c r="B305" t="str">
        <f>IF(COUNTIF(A:A,A305)&gt;1,_xlfn.CONCAT(A305," (",N305,")"),A305)</f>
        <v>Gŭchéng Zhèn</v>
      </c>
      <c r="C305" t="str">
        <f>IF(COUNTIF(B:B,B305)&gt;1,_xlfn.CONCAT(A305," (",M305,")"),B305)</f>
        <v>Gŭchéng Zhèn</v>
      </c>
      <c r="D305" t="s">
        <v>1694</v>
      </c>
      <c r="E305" t="s">
        <v>11</v>
      </c>
      <c r="F305" t="str">
        <f>_xlfn.CONCAT(D305,", ",H305,", ",I305,", ","云南省")</f>
        <v>古城镇, 镇沅彝族哈尼族拉祜族自治县, 普洱市, 云南省</v>
      </c>
      <c r="G305">
        <v>14720</v>
      </c>
      <c r="H305" t="s">
        <v>2858</v>
      </c>
      <c r="I305" t="s">
        <v>2848</v>
      </c>
      <c r="J305">
        <f>VLOOKUP(F305,[1]!china_towns_second__2[[Column1]:[Y]],3,FALSE)</f>
        <v>23.7172729913061</v>
      </c>
      <c r="K305">
        <f>VLOOKUP(F305,[1]!china_towns_second__2[[Column1]:[Y]],2,FALSE)</f>
        <v>101.11613699999999</v>
      </c>
      <c r="L305" t="s">
        <v>3864</v>
      </c>
      <c r="M305" t="str">
        <f>VLOOKUP(H305,CHOOSE({1,2},Table17[Native],Table17[Name]),2,0)</f>
        <v>Zhènyuán Yízú Hānízú Lāhùzú Zìzhìxiàn</v>
      </c>
      <c r="N305" s="15" t="str">
        <f>VLOOKUP(I305,CHOOSE({1,2},Table17[Native],Table17[Name]),2,0)</f>
        <v>Pŭ'ĕr Shì</v>
      </c>
      <c r="O305" s="15" t="str">
        <f t="shared" si="8"/>
        <v>Gucheng Zhen (Pŭ'ĕr Shì)</v>
      </c>
      <c r="P305" s="15" t="str">
        <f t="shared" si="9"/>
        <v>Gucheng Zhen (Pŭ'ĕr Shì)</v>
      </c>
    </row>
    <row r="306" spans="1:16" hidden="1" x14ac:dyDescent="0.25">
      <c r="A306" t="s">
        <v>1603</v>
      </c>
      <c r="B306" t="str">
        <f>IF(COUNTIF(A:A,A306)&gt;1,_xlfn.CONCAT(A306," (",N306,")"),A306)</f>
        <v>Gŭdēng Xiāng</v>
      </c>
      <c r="C306" t="str">
        <f>IF(COUNTIF(B:B,B306)&gt;1,_xlfn.CONCAT(A306," (",M306,")"),B306)</f>
        <v>Gŭdēng Xiāng</v>
      </c>
      <c r="D306" t="s">
        <v>1604</v>
      </c>
      <c r="E306" t="s">
        <v>7</v>
      </c>
      <c r="F306" t="str">
        <f>_xlfn.CONCAT(D306,", ",H306,", ",I306,", ","云南省")</f>
        <v>古登乡, 泸水市, 怒江傈僳族自治州, 云南省</v>
      </c>
      <c r="G306">
        <v>15783</v>
      </c>
      <c r="H306" t="s">
        <v>2846</v>
      </c>
      <c r="I306" t="s">
        <v>2842</v>
      </c>
      <c r="J306" t="e">
        <f>VLOOKUP(F306,[1]!china_towns_second__2[[Column1]:[Y]],3,FALSE)</f>
        <v>#N/A</v>
      </c>
      <c r="K306" t="e">
        <f>VLOOKUP(F306,[1]!china_towns_second__2[[Column1]:[Y]],2,FALSE)</f>
        <v>#N/A</v>
      </c>
      <c r="L306" t="s">
        <v>3865</v>
      </c>
      <c r="M306" t="str">
        <f>VLOOKUP(H306,CHOOSE({1,2},Table17[Native],Table17[Name]),2,0)</f>
        <v>Lúshuĭ Shì</v>
      </c>
      <c r="N306" s="15" t="str">
        <f>VLOOKUP(I306,CHOOSE({1,2},Table17[Native],Table17[Name]),2,0)</f>
        <v>Nùjiāng Lìsùzú Zìzhìzhōu</v>
      </c>
      <c r="O306" s="15" t="str">
        <f t="shared" si="8"/>
        <v>Gudeng Xiang (Nùjiāng Lìsùzú Zìzhìzhōu)</v>
      </c>
      <c r="P306" s="15" t="str">
        <f t="shared" si="9"/>
        <v>Gudeng Xiang (Nùjiāng Lìsùzú Zìzhìzhōu)</v>
      </c>
    </row>
    <row r="307" spans="1:16" hidden="1" x14ac:dyDescent="0.25">
      <c r="A307" t="s">
        <v>32</v>
      </c>
      <c r="B307" t="str">
        <f>IF(COUNTIF(A:A,A307)&gt;1,_xlfn.CONCAT(A307," (",N307,")"),A307)</f>
        <v>Gùdōng Zhèn</v>
      </c>
      <c r="C307" t="str">
        <f>IF(COUNTIF(B:B,B307)&gt;1,_xlfn.CONCAT(A307," (",M307,")"),B307)</f>
        <v>Gùdōng Zhèn</v>
      </c>
      <c r="D307" t="s">
        <v>33</v>
      </c>
      <c r="E307" t="s">
        <v>11</v>
      </c>
      <c r="F307" t="str">
        <f>_xlfn.CONCAT(D307,", ",H307,", ",I307,", ","云南省")</f>
        <v>固东镇, 腾冲市, 保山市, 云南省</v>
      </c>
      <c r="G307">
        <v>45528</v>
      </c>
      <c r="H307" t="s">
        <v>2747</v>
      </c>
      <c r="I307" t="s">
        <v>2739</v>
      </c>
      <c r="J307">
        <f>VLOOKUP(F307,[1]!china_towns_second__2[[Column1]:[Y]],3,FALSE)</f>
        <v>25.334898668453299</v>
      </c>
      <c r="K307">
        <f>VLOOKUP(F307,[1]!china_towns_second__2[[Column1]:[Y]],2,FALSE)</f>
        <v>98.483570490000005</v>
      </c>
      <c r="L307" t="s">
        <v>3866</v>
      </c>
      <c r="M307" t="str">
        <f>VLOOKUP(H307,CHOOSE({1,2},Table17[Native],Table17[Name]),2,0)</f>
        <v>Téngchōng Shì</v>
      </c>
      <c r="N307" s="15" t="str">
        <f>VLOOKUP(I307,CHOOSE({1,2},Table17[Native],Table17[Name]),2,0)</f>
        <v>Băoshān Shì</v>
      </c>
      <c r="O307" s="15" t="str">
        <f t="shared" si="8"/>
        <v>Gudong Zhen (Băoshān Shì)</v>
      </c>
      <c r="P307" s="15" t="str">
        <f t="shared" si="9"/>
        <v>Gudong Zhen (Băoshān Shì)</v>
      </c>
    </row>
    <row r="308" spans="1:16" hidden="1" x14ac:dyDescent="0.25">
      <c r="A308" t="s">
        <v>1908</v>
      </c>
      <c r="B308" t="str">
        <f>IF(COUNTIF(A:A,A308)&gt;1,_xlfn.CONCAT(A308," (",N308,")"),A308)</f>
        <v>Gŭgăn Shuǐzú Xiāng</v>
      </c>
      <c r="C308" t="str">
        <f>IF(COUNTIF(B:B,B308)&gt;1,_xlfn.CONCAT(A308," (",M308,")"),B308)</f>
        <v>Gŭgăn Shuǐzú Xiāng</v>
      </c>
      <c r="D308" t="s">
        <v>1909</v>
      </c>
      <c r="E308" t="s">
        <v>7</v>
      </c>
      <c r="F308" t="str">
        <f>_xlfn.CONCAT(D308,", ",H308,", ",I308,", ","云南省")</f>
        <v>古敢水族乡, 富源县, 曲靖市, 云南省</v>
      </c>
      <c r="G308">
        <v>11619</v>
      </c>
      <c r="H308" t="s">
        <v>2861</v>
      </c>
      <c r="I308" t="s">
        <v>2860</v>
      </c>
      <c r="J308" t="e">
        <f>VLOOKUP(F308,[1]!china_towns_second__2[[Column1]:[Y]],3,FALSE)</f>
        <v>#N/A</v>
      </c>
      <c r="K308" t="e">
        <f>VLOOKUP(F308,[1]!china_towns_second__2[[Column1]:[Y]],2,FALSE)</f>
        <v>#N/A</v>
      </c>
      <c r="L308" t="s">
        <v>3867</v>
      </c>
      <c r="M308" t="str">
        <f>VLOOKUP(H308,CHOOSE({1,2},Table17[Native],Table17[Name]),2,0)</f>
        <v>Fùyuán Xiàn</v>
      </c>
      <c r="N308" s="15" t="str">
        <f>VLOOKUP(I308,CHOOSE({1,2},Table17[Native],Table17[Name]),2,0)</f>
        <v>Qŭjìng Shì</v>
      </c>
      <c r="O308" s="15" t="str">
        <f t="shared" si="8"/>
        <v>Gugan Shuizu Xiang (Qŭjìng Shì)</v>
      </c>
      <c r="P308" s="15" t="str">
        <f t="shared" si="9"/>
        <v>Gugan Shuizu Xiang (Qŭjìng Shì)</v>
      </c>
    </row>
    <row r="309" spans="1:16" hidden="1" x14ac:dyDescent="0.25">
      <c r="A309" t="s">
        <v>2127</v>
      </c>
      <c r="B309" t="str">
        <f>IF(COUNTIF(A:A,A309)&gt;1,_xlfn.CONCAT(A309," (",N309,")"),A309)</f>
        <v>Guīcháo Zhèn</v>
      </c>
      <c r="C309" t="str">
        <f>IF(COUNTIF(B:B,B309)&gt;1,_xlfn.CONCAT(A309," (",M309,")"),B309)</f>
        <v>Guīcháo Zhèn</v>
      </c>
      <c r="D309" t="s">
        <v>2128</v>
      </c>
      <c r="E309" t="s">
        <v>11</v>
      </c>
      <c r="F309" t="str">
        <f>_xlfn.CONCAT(D309,", ",H309,", ",I309,", ","云南省")</f>
        <v>归朝镇, 富宁县, 文山壮族苗族自治州, 云南省</v>
      </c>
      <c r="G309">
        <v>38960</v>
      </c>
      <c r="H309" t="s">
        <v>2873</v>
      </c>
      <c r="I309" t="s">
        <v>2872</v>
      </c>
      <c r="J309">
        <f>VLOOKUP(F309,[1]!china_towns_second__2[[Column1]:[Y]],3,FALSE)</f>
        <v>23.603472974198599</v>
      </c>
      <c r="K309">
        <f>VLOOKUP(F309,[1]!china_towns_second__2[[Column1]:[Y]],2,FALSE)</f>
        <v>105.8612715</v>
      </c>
      <c r="L309" t="s">
        <v>3868</v>
      </c>
      <c r="M309" t="str">
        <f>VLOOKUP(H309,CHOOSE({1,2},Table17[Native],Table17[Name]),2,0)</f>
        <v>Fùníng Xiàn</v>
      </c>
      <c r="N309" s="15" t="str">
        <f>VLOOKUP(I309,CHOOSE({1,2},Table17[Native],Table17[Name]),2,0)</f>
        <v>Wénshān Zhuàngzú Miáozú Zìzhìzhōu</v>
      </c>
      <c r="O309" s="15" t="str">
        <f t="shared" si="8"/>
        <v>Guichao Zhen (Wénshān Zhuàngzú Miáozú Zìzhìzhōu)</v>
      </c>
      <c r="P309" s="15" t="str">
        <f t="shared" si="9"/>
        <v>Guichao Zhen (Wénshān Zhuàngzú Miáozú Zìzhìzhōu)</v>
      </c>
    </row>
    <row r="310" spans="1:16" hidden="1" x14ac:dyDescent="0.25">
      <c r="A310" t="s">
        <v>221</v>
      </c>
      <c r="B310" t="str">
        <f>IF(COUNTIF(A:A,A310)&gt;1,_xlfn.CONCAT(A310," (",N310,")"),A310)</f>
        <v>Guìhuā Zhèn</v>
      </c>
      <c r="C310" t="str">
        <f>IF(COUNTIF(B:B,B310)&gt;1,_xlfn.CONCAT(A310," (",M310,")"),B310)</f>
        <v>Guìhuā Zhèn</v>
      </c>
      <c r="D310" t="s">
        <v>222</v>
      </c>
      <c r="E310" t="s">
        <v>11</v>
      </c>
      <c r="F310" t="str">
        <f>_xlfn.CONCAT(D310,", ",H310,", ",I310,", ","云南省")</f>
        <v>桂花镇, 大姚县, 楚雄彝族自治州, 云南省</v>
      </c>
      <c r="G310">
        <v>11963</v>
      </c>
      <c r="H310" t="s">
        <v>2752</v>
      </c>
      <c r="I310" t="s">
        <v>2750</v>
      </c>
      <c r="J310">
        <f>VLOOKUP(F310,[1]!china_towns_second__2[[Column1]:[Y]],3,FALSE)</f>
        <v>26.113220016553701</v>
      </c>
      <c r="K310">
        <f>VLOOKUP(F310,[1]!china_towns_second__2[[Column1]:[Y]],2,FALSE)</f>
        <v>101.2852633</v>
      </c>
      <c r="L310" t="s">
        <v>3869</v>
      </c>
      <c r="M310" t="str">
        <f>VLOOKUP(H310,CHOOSE({1,2},Table17[Native],Table17[Name]),2,0)</f>
        <v>Dàyáo Xiàn</v>
      </c>
      <c r="N310" s="15" t="str">
        <f>VLOOKUP(I310,CHOOSE({1,2},Table17[Native],Table17[Name]),2,0)</f>
        <v>Chŭxióng Yízú Zìzhìzhōu</v>
      </c>
      <c r="O310" s="15" t="str">
        <f t="shared" si="8"/>
        <v>Guihua Zhen (Chŭxióng Yízú Zìzhìzhōu)</v>
      </c>
      <c r="P310" s="15" t="str">
        <f t="shared" si="9"/>
        <v>Guihua Zhen (Chŭxióng Yízú Zìzhìzhōu)</v>
      </c>
    </row>
    <row r="311" spans="1:16" hidden="1" x14ac:dyDescent="0.25">
      <c r="A311" t="s">
        <v>2357</v>
      </c>
      <c r="B311" t="str">
        <f>IF(COUNTIF(A:A,A311)&gt;1,_xlfn.CONCAT(A311," (",N311,")"),A311)</f>
        <v>Guìshān Jiēdào [incl. Gǔchéng Jiēdào]</v>
      </c>
      <c r="C311" t="str">
        <f>IF(COUNTIF(B:B,B311)&gt;1,_xlfn.CONCAT(A311," (",M311,")"),B311)</f>
        <v>Guìshān Jiēdào [incl. Gǔchéng Jiēdào]</v>
      </c>
      <c r="D311" t="s">
        <v>2358</v>
      </c>
      <c r="E311" t="s">
        <v>42</v>
      </c>
      <c r="F311" t="str">
        <f>_xlfn.CONCAT(D311,", ",H311,", ",I311,", ","云南省")</f>
        <v>桂山街道, 新平彝族傣族自治县, 玉溪市, 云南省</v>
      </c>
      <c r="G311">
        <v>52194</v>
      </c>
      <c r="H311" t="s">
        <v>2895</v>
      </c>
      <c r="I311" t="s">
        <v>2888</v>
      </c>
      <c r="J311">
        <f>VLOOKUP(F311,[1]!china_towns_second__2[[Column1]:[Y]],3,FALSE)</f>
        <v>24.0613492791387</v>
      </c>
      <c r="K311">
        <f>VLOOKUP(F311,[1]!china_towns_second__2[[Column1]:[Y]],2,FALSE)</f>
        <v>102.05699610000001</v>
      </c>
      <c r="L311" t="s">
        <v>3870</v>
      </c>
      <c r="M311" t="str">
        <f>VLOOKUP(H311,CHOOSE({1,2},Table17[Native],Table17[Name]),2,0)</f>
        <v>Xīnpíng Yízú Dăizú Zìzhìxiàn</v>
      </c>
      <c r="N311" s="15" t="str">
        <f>VLOOKUP(I311,CHOOSE({1,2},Table17[Native],Table17[Name]),2,0)</f>
        <v>Yùxī Shì</v>
      </c>
      <c r="O311" s="15" t="str">
        <f t="shared" si="8"/>
        <v>Guishan Jiedao [incl. Gucheng Jiedao] (Yùxī Shì)</v>
      </c>
      <c r="P311" s="15" t="str">
        <f t="shared" si="9"/>
        <v>Guishan Jiedao [incl. Gucheng Jiedao] (Yùxī Shì)</v>
      </c>
    </row>
    <row r="312" spans="1:16" hidden="1" x14ac:dyDescent="0.25">
      <c r="A312" t="s">
        <v>1106</v>
      </c>
      <c r="B312" t="str">
        <f>IF(COUNTIF(A:A,A312)&gt;1,_xlfn.CONCAT(A312," (",N312,")"),A312)</f>
        <v>Guīshān Zhèn</v>
      </c>
      <c r="C312" t="str">
        <f>IF(COUNTIF(B:B,B312)&gt;1,_xlfn.CONCAT(A312," (",M312,")"),B312)</f>
        <v>Guīshān Zhèn</v>
      </c>
      <c r="D312" t="s">
        <v>1107</v>
      </c>
      <c r="E312" t="s">
        <v>11</v>
      </c>
      <c r="F312" t="str">
        <f>_xlfn.CONCAT(D312,", ",H312,", ",I312,", ","云南省")</f>
        <v>圭山镇, 石林彝族自治县, 昆明市, 云南省</v>
      </c>
      <c r="G312">
        <v>26000</v>
      </c>
      <c r="H312" t="s">
        <v>2816</v>
      </c>
      <c r="I312" t="s">
        <v>2807</v>
      </c>
      <c r="J312">
        <f>VLOOKUP(F312,[1]!china_towns_second__2[[Column1]:[Y]],3,FALSE)</f>
        <v>24.645783098657901</v>
      </c>
      <c r="K312">
        <f>VLOOKUP(F312,[1]!china_towns_second__2[[Column1]:[Y]],2,FALSE)</f>
        <v>103.5595915</v>
      </c>
      <c r="L312" t="s">
        <v>3871</v>
      </c>
      <c r="M312" t="str">
        <f>VLOOKUP(H312,CHOOSE({1,2},Table17[Native],Table17[Name]),2,0)</f>
        <v>Shílín Yízú Zìzhìxiàn</v>
      </c>
      <c r="N312" s="15" t="str">
        <f>VLOOKUP(I312,CHOOSE({1,2},Table17[Native],Table17[Name]),2,0)</f>
        <v>Kūnmíng Shì</v>
      </c>
      <c r="O312" s="15" t="str">
        <f t="shared" si="8"/>
        <v>Guishan Zhen (Kūnmíng Shì)</v>
      </c>
      <c r="P312" s="15" t="str">
        <f t="shared" si="9"/>
        <v>Guishan Zhen (Kūnmíng Shì)</v>
      </c>
    </row>
    <row r="313" spans="1:16" hidden="1" x14ac:dyDescent="0.25">
      <c r="A313" t="s">
        <v>2506</v>
      </c>
      <c r="B313" t="str">
        <f>IF(COUNTIF(A:A,A313)&gt;1,_xlfn.CONCAT(A313," (",N313,")"),A313)</f>
        <v>Guìxī Zhèn</v>
      </c>
      <c r="C313" t="str">
        <f>IF(COUNTIF(B:B,B313)&gt;1,_xlfn.CONCAT(A313," (",M313,")"),B313)</f>
        <v>Guìxī Zhèn</v>
      </c>
      <c r="D313" t="s">
        <v>2507</v>
      </c>
      <c r="E313" t="s">
        <v>11</v>
      </c>
      <c r="F313" t="str">
        <f>_xlfn.CONCAT(D313,", ",H313,", ",I313,", ","云南省")</f>
        <v>桧溪镇, 永善县, 昭通市, 云南省</v>
      </c>
      <c r="G313">
        <v>15610</v>
      </c>
      <c r="H313" t="s">
        <v>2908</v>
      </c>
      <c r="I313" t="s">
        <v>2899</v>
      </c>
      <c r="J313">
        <f>VLOOKUP(F313,[1]!china_towns_second__2[[Column1]:[Y]],3,FALSE)</f>
        <v>28.328205874363299</v>
      </c>
      <c r="K313">
        <f>VLOOKUP(F313,[1]!china_towns_second__2[[Column1]:[Y]],2,FALSE)</f>
        <v>103.8980256</v>
      </c>
      <c r="L313" t="s">
        <v>3872</v>
      </c>
      <c r="M313" t="str">
        <f>VLOOKUP(H313,CHOOSE({1,2},Table17[Native],Table17[Name]),2,0)</f>
        <v>Yŏngshàn Xiàn</v>
      </c>
      <c r="N313" s="15" t="str">
        <f>VLOOKUP(I313,CHOOSE({1,2},Table17[Native],Table17[Name]),2,0)</f>
        <v>Zhāotōng Shì</v>
      </c>
      <c r="O313" s="15" t="str">
        <f t="shared" si="8"/>
        <v>Guixi Zhen (Zhāotōng Shì)</v>
      </c>
      <c r="P313" s="15" t="str">
        <f t="shared" si="9"/>
        <v>Guixi Zhen (Zhāotōng Shì)</v>
      </c>
    </row>
    <row r="314" spans="1:16" hidden="1" x14ac:dyDescent="0.25">
      <c r="A314" t="s">
        <v>2129</v>
      </c>
      <c r="B314" t="str">
        <f>IF(COUNTIF(A:A,A314)&gt;1,_xlfn.CONCAT(A314," (",N314,")"),A314)</f>
        <v>Gŭlā Xiāng</v>
      </c>
      <c r="C314" t="str">
        <f>IF(COUNTIF(B:B,B314)&gt;1,_xlfn.CONCAT(A314," (",M314,")"),B314)</f>
        <v>Gŭlā Xiāng</v>
      </c>
      <c r="D314" t="s">
        <v>2130</v>
      </c>
      <c r="E314" t="s">
        <v>7</v>
      </c>
      <c r="F314" t="str">
        <f>_xlfn.CONCAT(D314,", ",H314,", ",I314,", ","云南省")</f>
        <v>谷拉乡, 富宁县, 文山壮族苗族自治州, 云南省</v>
      </c>
      <c r="G314">
        <v>22499</v>
      </c>
      <c r="H314" t="s">
        <v>2873</v>
      </c>
      <c r="I314" t="s">
        <v>2872</v>
      </c>
      <c r="J314" t="e">
        <f>VLOOKUP(F314,[1]!china_towns_second__2[[Column1]:[Y]],3,FALSE)</f>
        <v>#N/A</v>
      </c>
      <c r="K314" t="e">
        <f>VLOOKUP(F314,[1]!china_towns_second__2[[Column1]:[Y]],2,FALSE)</f>
        <v>#N/A</v>
      </c>
      <c r="L314" t="s">
        <v>3873</v>
      </c>
      <c r="M314" t="str">
        <f>VLOOKUP(H314,CHOOSE({1,2},Table17[Native],Table17[Name]),2,0)</f>
        <v>Fùníng Xiàn</v>
      </c>
      <c r="N314" s="15" t="str">
        <f>VLOOKUP(I314,CHOOSE({1,2},Table17[Native],Table17[Name]),2,0)</f>
        <v>Wénshān Zhuàngzú Miáozú Zìzhìzhōu</v>
      </c>
      <c r="O314" s="15" t="str">
        <f t="shared" si="8"/>
        <v>Gula Xiang (Wénshān Zhuàngzú Miáozú Zìzhìzhōu)</v>
      </c>
      <c r="P314" s="15" t="str">
        <f t="shared" si="9"/>
        <v>Gula Xiang (Wénshān Zhuàngzú Miáozú Zìzhìzhōu)</v>
      </c>
    </row>
    <row r="315" spans="1:16" hidden="1" x14ac:dyDescent="0.25">
      <c r="A315" t="s">
        <v>2131</v>
      </c>
      <c r="B315" t="str">
        <f>IF(COUNTIF(A:A,A315)&gt;1,_xlfn.CONCAT(A315," (",N315,")"),A315)</f>
        <v>Gŭlínqìng Xiāng</v>
      </c>
      <c r="C315" t="str">
        <f>IF(COUNTIF(B:B,B315)&gt;1,_xlfn.CONCAT(A315," (",M315,")"),B315)</f>
        <v>Gŭlínqìng Xiāng</v>
      </c>
      <c r="D315" t="s">
        <v>2132</v>
      </c>
      <c r="E315" t="s">
        <v>7</v>
      </c>
      <c r="F315" t="str">
        <f>_xlfn.CONCAT(D315,", ",H315,", ",I315,", ","云南省")</f>
        <v>古林箐乡, 马关县, 文山壮族苗族自治州, 云南省</v>
      </c>
      <c r="G315">
        <v>11926</v>
      </c>
      <c r="H315" t="s">
        <v>2875</v>
      </c>
      <c r="I315" t="s">
        <v>2872</v>
      </c>
      <c r="J315" t="e">
        <f>VLOOKUP(F315,[1]!china_towns_second__2[[Column1]:[Y]],3,FALSE)</f>
        <v>#N/A</v>
      </c>
      <c r="K315" t="e">
        <f>VLOOKUP(F315,[1]!china_towns_second__2[[Column1]:[Y]],2,FALSE)</f>
        <v>#N/A</v>
      </c>
      <c r="L315" t="s">
        <v>3874</v>
      </c>
      <c r="M315" t="str">
        <f>VLOOKUP(H315,CHOOSE({1,2},Table17[Native],Table17[Name]),2,0)</f>
        <v>Măguān Xiàn</v>
      </c>
      <c r="N315" s="15" t="str">
        <f>VLOOKUP(I315,CHOOSE({1,2},Table17[Native],Table17[Name]),2,0)</f>
        <v>Wénshān Zhuàngzú Miáozú Zìzhìzhōu</v>
      </c>
      <c r="O315" s="15" t="str">
        <f t="shared" si="8"/>
        <v>Gulinqing Xiang (Wénshān Zhuàngzú Miáozú Zìzhìzhōu)</v>
      </c>
      <c r="P315" s="15" t="str">
        <f t="shared" si="9"/>
        <v>Gulinqing Xiang (Wénshān Zhuàngzú Miáozú Zìzhìzhōu)</v>
      </c>
    </row>
    <row r="316" spans="1:16" hidden="1" x14ac:dyDescent="0.25">
      <c r="A316" t="s">
        <v>1108</v>
      </c>
      <c r="B316" t="str">
        <f>IF(COUNTIF(A:A,A316)&gt;1,_xlfn.CONCAT(A316," (",N316,")"),A316)</f>
        <v>Gŭlóu Jiēdào</v>
      </c>
      <c r="C316" t="str">
        <f>IF(COUNTIF(B:B,B316)&gt;1,_xlfn.CONCAT(A316," (",M316,")"),B316)</f>
        <v>Gŭlóu Jiēdào</v>
      </c>
      <c r="D316" t="s">
        <v>1109</v>
      </c>
      <c r="E316" t="s">
        <v>42</v>
      </c>
      <c r="F316" t="str">
        <f>_xlfn.CONCAT(D316,", ",H316,", ",I316,", ","云南省")</f>
        <v>鼓楼街道, 盘龙区, 昆明市, 云南省</v>
      </c>
      <c r="G316">
        <v>44820</v>
      </c>
      <c r="H316" t="s">
        <v>2815</v>
      </c>
      <c r="I316" t="s">
        <v>2807</v>
      </c>
      <c r="J316">
        <f>VLOOKUP(F316,[1]!china_towns_second__2[[Column1]:[Y]],3,FALSE)</f>
        <v>25.051178694690599</v>
      </c>
      <c r="K316">
        <f>VLOOKUP(F316,[1]!china_towns_second__2[[Column1]:[Y]],2,FALSE)</f>
        <v>102.7206788</v>
      </c>
      <c r="L316" t="s">
        <v>3875</v>
      </c>
      <c r="M316" t="str">
        <f>VLOOKUP(H316,CHOOSE({1,2},Table17[Native],Table17[Name]),2,0)</f>
        <v>Pánlóng Qū</v>
      </c>
      <c r="N316" s="15" t="str">
        <f>VLOOKUP(I316,CHOOSE({1,2},Table17[Native],Table17[Name]),2,0)</f>
        <v>Kūnmíng Shì</v>
      </c>
      <c r="O316" s="15" t="str">
        <f t="shared" si="8"/>
        <v>Gulou Jiedao (Kūnmíng Shì)</v>
      </c>
      <c r="P316" s="15" t="str">
        <f t="shared" si="9"/>
        <v>Gulou Jiedao (Kūnmíng Shì)</v>
      </c>
    </row>
    <row r="317" spans="1:16" hidden="1" x14ac:dyDescent="0.25">
      <c r="A317" t="s">
        <v>2133</v>
      </c>
      <c r="B317" t="str">
        <f>IF(COUNTIF(A:A,A317)&gt;1,_xlfn.CONCAT(A317," (",N317,")"),A317)</f>
        <v>Gŭmù Zhèn</v>
      </c>
      <c r="C317" t="str">
        <f>IF(COUNTIF(B:B,B317)&gt;1,_xlfn.CONCAT(A317," (",M317,")"),B317)</f>
        <v>Gŭmù Zhèn</v>
      </c>
      <c r="D317" t="s">
        <v>2134</v>
      </c>
      <c r="E317" t="s">
        <v>11</v>
      </c>
      <c r="F317" t="str">
        <f>_xlfn.CONCAT(D317,", ",H317,", ",I317,", ","云南省")</f>
        <v>古木镇, 文山市, 文山壮族苗族自治州, 云南省</v>
      </c>
      <c r="G317">
        <v>22263</v>
      </c>
      <c r="H317" t="s">
        <v>2878</v>
      </c>
      <c r="I317" t="s">
        <v>2872</v>
      </c>
      <c r="J317">
        <f>VLOOKUP(F317,[1]!china_towns_second__2[[Column1]:[Y]],3,FALSE)</f>
        <v>23.244016601124301</v>
      </c>
      <c r="K317">
        <f>VLOOKUP(F317,[1]!china_towns_second__2[[Column1]:[Y]],2,FALSE)</f>
        <v>104.2320605</v>
      </c>
      <c r="L317" t="s">
        <v>3876</v>
      </c>
      <c r="M317" t="str">
        <f>VLOOKUP(H317,CHOOSE({1,2},Table17[Native],Table17[Name]),2,0)</f>
        <v>Wénshān Shì</v>
      </c>
      <c r="N317" s="15" t="str">
        <f>VLOOKUP(I317,CHOOSE({1,2},Table17[Native],Table17[Name]),2,0)</f>
        <v>Wénshān Zhuàngzú Miáozú Zìzhìzhōu</v>
      </c>
      <c r="O317" s="15" t="str">
        <f t="shared" si="8"/>
        <v>Gumu Zhen (Wénshān Zhuàngzú Miáozú Zìzhìzhōu)</v>
      </c>
      <c r="P317" s="15" t="str">
        <f t="shared" si="9"/>
        <v>Gumu Zhen (Wénshān Zhuàngzú Miáozú Zìzhìzhōu)</v>
      </c>
    </row>
    <row r="318" spans="1:16" hidden="1" x14ac:dyDescent="0.25">
      <c r="A318" t="s">
        <v>1483</v>
      </c>
      <c r="B318" t="str">
        <f>IF(COUNTIF(A:A,A318)&gt;1,_xlfn.CONCAT(A318," (",N318,")"),A318)</f>
        <v>Guōdàzhài Yízú Báizú Xiāng</v>
      </c>
      <c r="C318" t="str">
        <f>IF(COUNTIF(B:B,B318)&gt;1,_xlfn.CONCAT(A318," (",M318,")"),B318)</f>
        <v>Guōdàzhài Yízú Báizú Xiāng</v>
      </c>
      <c r="D318" t="s">
        <v>1484</v>
      </c>
      <c r="E318" t="s">
        <v>7</v>
      </c>
      <c r="F318" t="str">
        <f>_xlfn.CONCAT(D318,", ",H318,", ",I318,", ","云南省")</f>
        <v>郭大寨彝族白族乡, 凤庆县, 临沧市, 云南省</v>
      </c>
      <c r="G318">
        <v>22902</v>
      </c>
      <c r="H318" t="s">
        <v>2833</v>
      </c>
      <c r="I318" t="s">
        <v>2831</v>
      </c>
      <c r="J318" t="e">
        <f>VLOOKUP(F318,[1]!china_towns_second__2[[Column1]:[Y]],3,FALSE)</f>
        <v>#N/A</v>
      </c>
      <c r="K318" t="e">
        <f>VLOOKUP(F318,[1]!china_towns_second__2[[Column1]:[Y]],2,FALSE)</f>
        <v>#N/A</v>
      </c>
      <c r="L318" t="s">
        <v>3877</v>
      </c>
      <c r="M318" t="str">
        <f>VLOOKUP(H318,CHOOSE({1,2},Table17[Native],Table17[Name]),2,0)</f>
        <v>Fèngqìng Xiàn</v>
      </c>
      <c r="N318" s="15" t="str">
        <f>VLOOKUP(I318,CHOOSE({1,2},Table17[Native],Table17[Name]),2,0)</f>
        <v>Líncāng Shì</v>
      </c>
      <c r="O318" s="15" t="str">
        <f t="shared" si="8"/>
        <v>Guodazhai Yizu Baizu Xiang (Líncāng Shì)</v>
      </c>
      <c r="P318" s="15" t="str">
        <f t="shared" si="9"/>
        <v>Guodazhai Yizu Baizu Xiang (Líncāng Shì)</v>
      </c>
    </row>
    <row r="319" spans="1:16" hidden="1" x14ac:dyDescent="0.25">
      <c r="A319" t="s">
        <v>1695</v>
      </c>
      <c r="B319" t="str">
        <f>IF(COUNTIF(A:A,A319)&gt;1,_xlfn.CONCAT(A319," (",N319,")"),A319)</f>
        <v>Guóqìng Xiāng</v>
      </c>
      <c r="C319" t="str">
        <f>IF(COUNTIF(B:B,B319)&gt;1,_xlfn.CONCAT(A319," (",M319,")"),B319)</f>
        <v>Guóqìng Xiāng</v>
      </c>
      <c r="D319" t="s">
        <v>1696</v>
      </c>
      <c r="E319" t="s">
        <v>7</v>
      </c>
      <c r="F319" t="str">
        <f>_xlfn.CONCAT(D319,", ",H319,", ",I319,", ","云南省")</f>
        <v>国庆乡, 江城哈尼族彝族自治县, 普洱市, 云南省</v>
      </c>
      <c r="G319">
        <v>13898</v>
      </c>
      <c r="H319" t="s">
        <v>2849</v>
      </c>
      <c r="I319" t="s">
        <v>2848</v>
      </c>
      <c r="J319" t="e">
        <f>VLOOKUP(F319,[1]!china_towns_second__2[[Column1]:[Y]],3,FALSE)</f>
        <v>#N/A</v>
      </c>
      <c r="K319" t="e">
        <f>VLOOKUP(F319,[1]!china_towns_second__2[[Column1]:[Y]],2,FALSE)</f>
        <v>#N/A</v>
      </c>
      <c r="L319" t="s">
        <v>3878</v>
      </c>
      <c r="M319" t="str">
        <f>VLOOKUP(H319,CHOOSE({1,2},Table17[Native],Table17[Name]),2,0)</f>
        <v>Jiāngchéng Hānízú Yízú Zìzhìxiàn</v>
      </c>
      <c r="N319" s="15" t="str">
        <f>VLOOKUP(I319,CHOOSE({1,2},Table17[Native],Table17[Name]),2,0)</f>
        <v>Pŭ'ĕr Shì</v>
      </c>
      <c r="O319" s="15" t="str">
        <f t="shared" si="8"/>
        <v>Guoqing Xiang (Pŭ'ĕr Shì)</v>
      </c>
      <c r="P319" s="15" t="str">
        <f t="shared" si="9"/>
        <v>Guoqing Xiang (Pŭ'ĕr Shì)</v>
      </c>
    </row>
    <row r="320" spans="1:16" hidden="1" x14ac:dyDescent="0.25">
      <c r="A320" t="s">
        <v>2508</v>
      </c>
      <c r="B320" t="str">
        <f>IF(COUNTIF(A:A,A320)&gt;1,_xlfn.CONCAT(A320," (",N320,")"),A320)</f>
        <v>Guŏzhū Yízú Xiāng</v>
      </c>
      <c r="C320" t="str">
        <f>IF(COUNTIF(B:B,B320)&gt;1,_xlfn.CONCAT(A320," (",M320,")"),B320)</f>
        <v>Guŏzhū Yízú Xiāng</v>
      </c>
      <c r="D320" t="s">
        <v>2509</v>
      </c>
      <c r="E320" t="s">
        <v>7</v>
      </c>
      <c r="F320" t="str">
        <f>_xlfn.CONCAT(D320,", ",H320,", ",I320,", ","云南省")</f>
        <v>果珠彝族乡, 镇雄县, 昭通市, 云南省</v>
      </c>
      <c r="G320">
        <v>35327</v>
      </c>
      <c r="H320" t="s">
        <v>2910</v>
      </c>
      <c r="I320" t="s">
        <v>2899</v>
      </c>
      <c r="J320" t="e">
        <f>VLOOKUP(F320,[1]!china_towns_second__2[[Column1]:[Y]],3,FALSE)</f>
        <v>#N/A</v>
      </c>
      <c r="K320" t="e">
        <f>VLOOKUP(F320,[1]!china_towns_second__2[[Column1]:[Y]],2,FALSE)</f>
        <v>#N/A</v>
      </c>
      <c r="L320" t="s">
        <v>3879</v>
      </c>
      <c r="M320" t="str">
        <f>VLOOKUP(H320,CHOOSE({1,2},Table17[Native],Table17[Name]),2,0)</f>
        <v>Zhènxióng Xiàn</v>
      </c>
      <c r="N320" s="15" t="str">
        <f>VLOOKUP(I320,CHOOSE({1,2},Table17[Native],Table17[Name]),2,0)</f>
        <v>Zhāotōng Shì</v>
      </c>
      <c r="O320" s="15" t="str">
        <f t="shared" si="8"/>
        <v>Guozhu Yizu Xiang (Zhāotōng Shì)</v>
      </c>
      <c r="P320" s="15" t="str">
        <f t="shared" si="9"/>
        <v>Guozhu Yizu Xiang (Zhāotōng Shì)</v>
      </c>
    </row>
    <row r="321" spans="1:16" hidden="1" x14ac:dyDescent="0.25">
      <c r="A321" t="s">
        <v>1910</v>
      </c>
      <c r="B321" t="str">
        <f>IF(COUNTIF(A:A,A321)&gt;1,_xlfn.CONCAT(A321," (",N321,")"),A321)</f>
        <v>Hăidài Zhèn</v>
      </c>
      <c r="C321" t="str">
        <f>IF(COUNTIF(B:B,B321)&gt;1,_xlfn.CONCAT(A321," (",M321,")"),B321)</f>
        <v>Hăidài Zhèn</v>
      </c>
      <c r="D321" t="s">
        <v>1911</v>
      </c>
      <c r="E321" t="s">
        <v>11</v>
      </c>
      <c r="F321" t="str">
        <f>_xlfn.CONCAT(D321,", ",H321,", ",I321,", ","云南省")</f>
        <v>海岱镇, 宣威市, 曲靖市, 云南省</v>
      </c>
      <c r="G321">
        <v>53861</v>
      </c>
      <c r="H321" t="s">
        <v>2868</v>
      </c>
      <c r="I321" t="s">
        <v>2860</v>
      </c>
      <c r="J321">
        <f>VLOOKUP(F321,[1]!china_towns_second__2[[Column1]:[Y]],3,FALSE)</f>
        <v>26.0541005688879</v>
      </c>
      <c r="K321">
        <f>VLOOKUP(F321,[1]!china_towns_second__2[[Column1]:[Y]],2,FALSE)</f>
        <v>104.3878912</v>
      </c>
      <c r="L321" t="s">
        <v>3880</v>
      </c>
      <c r="M321" t="str">
        <f>VLOOKUP(H321,CHOOSE({1,2},Table17[Native],Table17[Name]),2,0)</f>
        <v>Xuānwēi Shì</v>
      </c>
      <c r="N321" s="15" t="str">
        <f>VLOOKUP(I321,CHOOSE({1,2},Table17[Native],Table17[Name]),2,0)</f>
        <v>Qŭjìng Shì</v>
      </c>
      <c r="O321" s="15" t="str">
        <f t="shared" si="8"/>
        <v>Haidai Zhen (Qŭjìng Shì)</v>
      </c>
      <c r="P321" s="15" t="str">
        <f t="shared" si="9"/>
        <v>Haidai Zhen (Qŭjìng Shì)</v>
      </c>
    </row>
    <row r="322" spans="1:16" hidden="1" x14ac:dyDescent="0.25">
      <c r="A322" t="s">
        <v>434</v>
      </c>
      <c r="B322" t="str">
        <f>IF(COUNTIF(A:A,A322)&gt;1,_xlfn.CONCAT(A322," (",N322,")"),A322)</f>
        <v>Hăidōng Zhèn</v>
      </c>
      <c r="C322" t="str">
        <f>IF(COUNTIF(B:B,B322)&gt;1,_xlfn.CONCAT(A322," (",M322,")"),B322)</f>
        <v>Hăidōng Zhèn</v>
      </c>
      <c r="D322" t="s">
        <v>435</v>
      </c>
      <c r="E322" t="s">
        <v>11</v>
      </c>
      <c r="F322" t="str">
        <f>_xlfn.CONCAT(D322,", ",H322,", ",I322,", ","云南省")</f>
        <v>海东镇, 大理市, 大理白族自治州, 云南省</v>
      </c>
      <c r="G322">
        <v>21274</v>
      </c>
      <c r="H322" t="s">
        <v>2765</v>
      </c>
      <c r="I322" t="s">
        <v>2763</v>
      </c>
      <c r="J322">
        <f>VLOOKUP(F322,[1]!china_towns_second__2[[Column1]:[Y]],3,FALSE)</f>
        <v>25.764127226560799</v>
      </c>
      <c r="K322">
        <f>VLOOKUP(F322,[1]!china_towns_second__2[[Column1]:[Y]],2,FALSE)</f>
        <v>100.2269605</v>
      </c>
      <c r="L322" t="s">
        <v>3881</v>
      </c>
      <c r="M322" t="str">
        <f>VLOOKUP(H322,CHOOSE({1,2},Table17[Native],Table17[Name]),2,0)</f>
        <v>Dàlĭ Shì</v>
      </c>
      <c r="N322" s="15" t="str">
        <f>VLOOKUP(I322,CHOOSE({1,2},Table17[Native],Table17[Name]),2,0)</f>
        <v>Dàlĭ Báizú Zìzhìzhōu</v>
      </c>
      <c r="O322" s="15" t="str">
        <f t="shared" ref="O322:O385" si="10">_xlfn.CONCAT(L322," (",N322,")")</f>
        <v>Haidong Zhen (Dàlĭ Báizú Zìzhìzhōu)</v>
      </c>
      <c r="P322" s="15" t="str">
        <f t="shared" ref="P322:P385" si="11">IF(COUNTIF(O:O,O322)&gt;1,_xlfn.CONCAT(L322," (",M322,")"),O322)</f>
        <v>Haidong Zhen (Dàlĭ Báizú Zìzhìzhōu)</v>
      </c>
    </row>
    <row r="323" spans="1:16" hidden="1" x14ac:dyDescent="0.25">
      <c r="A323" t="s">
        <v>1110</v>
      </c>
      <c r="B323" t="str">
        <f>IF(COUNTIF(A:A,A323)&gt;1,_xlfn.CONCAT(A323," (",N323,")"),A323)</f>
        <v>Hăikŏu Jiēdào</v>
      </c>
      <c r="C323" t="str">
        <f>IF(COUNTIF(B:B,B323)&gt;1,_xlfn.CONCAT(A323," (",M323,")"),B323)</f>
        <v>Hăikŏu Jiēdào</v>
      </c>
      <c r="D323" t="s">
        <v>1111</v>
      </c>
      <c r="E323" t="s">
        <v>42</v>
      </c>
      <c r="F323" t="str">
        <f>_xlfn.CONCAT(D323,", ",H323,", ",I323,", ","云南省")</f>
        <v>海口街道, 西山区, 昆明市, 云南省</v>
      </c>
      <c r="G323">
        <v>78163</v>
      </c>
      <c r="H323" t="s">
        <v>2819</v>
      </c>
      <c r="I323" t="s">
        <v>2807</v>
      </c>
      <c r="J323">
        <f>VLOOKUP(F323,[1]!china_towns_second__2[[Column1]:[Y]],3,FALSE)</f>
        <v>24.799916801503599</v>
      </c>
      <c r="K323">
        <f>VLOOKUP(F323,[1]!china_towns_second__2[[Column1]:[Y]],2,FALSE)</f>
        <v>102.5741515</v>
      </c>
      <c r="L323" t="s">
        <v>3882</v>
      </c>
      <c r="M323" t="str">
        <f>VLOOKUP(H323,CHOOSE({1,2},Table17[Native],Table17[Name]),2,0)</f>
        <v>Xīshān Qū</v>
      </c>
      <c r="N323" s="15" t="str">
        <f>VLOOKUP(I323,CHOOSE({1,2},Table17[Native],Table17[Name]),2,0)</f>
        <v>Kūnmíng Shì</v>
      </c>
      <c r="O323" s="15" t="str">
        <f t="shared" si="10"/>
        <v>Haikou Jiedao (Kūnmíng Shì)</v>
      </c>
      <c r="P323" s="15" t="str">
        <f t="shared" si="11"/>
        <v>Haikou Jiedao (Kūnmíng Shì)</v>
      </c>
    </row>
    <row r="324" spans="1:16" hidden="1" x14ac:dyDescent="0.25">
      <c r="A324" t="s">
        <v>2360</v>
      </c>
      <c r="B324" t="str">
        <f>IF(COUNTIF(A:A,A324)&gt;1,_xlfn.CONCAT(A324," (",N324,")"),A324)</f>
        <v>Hăikŏu Zhèn</v>
      </c>
      <c r="C324" t="str">
        <f>IF(COUNTIF(B:B,B324)&gt;1,_xlfn.CONCAT(A324," (",M324,")"),B324)</f>
        <v>Hăikŏu Zhèn</v>
      </c>
      <c r="D324" t="s">
        <v>2361</v>
      </c>
      <c r="E324" t="s">
        <v>11</v>
      </c>
      <c r="F324" t="str">
        <f>_xlfn.CONCAT(D324,", ",H324,", ",I324,", ","云南省")</f>
        <v>海口镇, 澄江市, 玉溪市, 云南省</v>
      </c>
      <c r="G324">
        <v>11192</v>
      </c>
      <c r="H324" t="s">
        <v>2889</v>
      </c>
      <c r="I324" t="s">
        <v>2888</v>
      </c>
      <c r="J324">
        <f>VLOOKUP(F324,[1]!china_towns_second__2[[Column1]:[Y]],3,FALSE)</f>
        <v>24.578842757124502</v>
      </c>
      <c r="K324">
        <f>VLOOKUP(F324,[1]!china_towns_second__2[[Column1]:[Y]],2,FALSE)</f>
        <v>102.985435</v>
      </c>
      <c r="L324" t="s">
        <v>3883</v>
      </c>
      <c r="M324" t="str">
        <f>VLOOKUP(H324,CHOOSE({1,2},Table17[Native],Table17[Name]),2,0)</f>
        <v>Chéngjiāng Shì</v>
      </c>
      <c r="N324" s="15" t="str">
        <f>VLOOKUP(I324,CHOOSE({1,2},Table17[Native],Table17[Name]),2,0)</f>
        <v>Yùxī Shì</v>
      </c>
      <c r="O324" s="15" t="str">
        <f t="shared" si="10"/>
        <v>Haikou Zhen (Yùxī Shì)</v>
      </c>
      <c r="P324" s="15" t="str">
        <f t="shared" si="11"/>
        <v>Haikou Zhen (Yùxī Shì)</v>
      </c>
    </row>
    <row r="325" spans="1:16" hidden="1" x14ac:dyDescent="0.25">
      <c r="A325" t="s">
        <v>2510</v>
      </c>
      <c r="B325" t="str">
        <f>IF(COUNTIF(A:A,A325)&gt;1,_xlfn.CONCAT(A325," (",N325,")"),A325)</f>
        <v>Hăizi Zhèn</v>
      </c>
      <c r="C325" t="str">
        <f>IF(COUNTIF(B:B,B325)&gt;1,_xlfn.CONCAT(A325," (",M325,")"),B325)</f>
        <v>Hăizi Zhèn</v>
      </c>
      <c r="D325" t="s">
        <v>2511</v>
      </c>
      <c r="E325" t="s">
        <v>11</v>
      </c>
      <c r="F325" t="str">
        <f>_xlfn.CONCAT(D325,", ",H325,", ",I325,", ","云南省")</f>
        <v>海子镇, 彝良县, 昭通市, 云南省</v>
      </c>
      <c r="G325">
        <v>25327</v>
      </c>
      <c r="H325" t="s">
        <v>2907</v>
      </c>
      <c r="I325" t="s">
        <v>2899</v>
      </c>
      <c r="J325">
        <f>VLOOKUP(F325,[1]!china_towns_second__2[[Column1]:[Y]],3,FALSE)</f>
        <v>27.553598276368898</v>
      </c>
      <c r="K325">
        <f>VLOOKUP(F325,[1]!china_towns_second__2[[Column1]:[Y]],2,FALSE)</f>
        <v>104.2988852</v>
      </c>
      <c r="L325" t="s">
        <v>3884</v>
      </c>
      <c r="M325" t="str">
        <f>VLOOKUP(H325,CHOOSE({1,2},Table17[Native],Table17[Name]),2,0)</f>
        <v>Yíliáng Xiàn</v>
      </c>
      <c r="N325" s="15" t="str">
        <f>VLOOKUP(I325,CHOOSE({1,2},Table17[Native],Table17[Name]),2,0)</f>
        <v>Zhāotōng Shì</v>
      </c>
      <c r="O325" s="15" t="str">
        <f t="shared" si="10"/>
        <v>Haizi Zhen (Zhāotōng Shì)</v>
      </c>
      <c r="P325" s="15" t="str">
        <f t="shared" si="11"/>
        <v>Haizi Zhen (Zhāotōng Shì)</v>
      </c>
    </row>
    <row r="326" spans="1:16" hidden="1" x14ac:dyDescent="0.25">
      <c r="A326" t="s">
        <v>34</v>
      </c>
      <c r="B326" t="str">
        <f>IF(COUNTIF(A:A,A326)&gt;1,_xlfn.CONCAT(A326," (",N326,")"),A326)</f>
        <v>Hànzhuāng Zhèn</v>
      </c>
      <c r="C326" t="str">
        <f>IF(COUNTIF(B:B,B326)&gt;1,_xlfn.CONCAT(A326," (",M326,")"),B326)</f>
        <v>Hànzhuāng Zhèn</v>
      </c>
      <c r="D326" t="s">
        <v>35</v>
      </c>
      <c r="E326" t="s">
        <v>11</v>
      </c>
      <c r="F326" t="str">
        <f>_xlfn.CONCAT(D326,", ",H326,", ",I326,", ","云南省")</f>
        <v>汉庄镇, 隆阳区, 保山市, 云南省</v>
      </c>
      <c r="G326">
        <v>72675</v>
      </c>
      <c r="H326" t="s">
        <v>2744</v>
      </c>
      <c r="I326" t="s">
        <v>2739</v>
      </c>
      <c r="J326">
        <f>VLOOKUP(F326,[1]!china_towns_second__2[[Column1]:[Y]],3,FALSE)</f>
        <v>25.093410291885601</v>
      </c>
      <c r="K326">
        <f>VLOOKUP(F326,[1]!china_towns_second__2[[Column1]:[Y]],2,FALSE)</f>
        <v>99.152347320000004</v>
      </c>
      <c r="L326" t="s">
        <v>3885</v>
      </c>
      <c r="M326" t="str">
        <f>VLOOKUP(H326,CHOOSE({1,2},Table17[Native],Table17[Name]),2,0)</f>
        <v>Lóngyáng Qū</v>
      </c>
      <c r="N326" s="15" t="str">
        <f>VLOOKUP(I326,CHOOSE({1,2},Table17[Native],Table17[Name]),2,0)</f>
        <v>Băoshān Shì</v>
      </c>
      <c r="O326" s="15" t="str">
        <f t="shared" si="10"/>
        <v>Hanzhuang Zhen (Băoshān Shì)</v>
      </c>
      <c r="P326" s="15" t="str">
        <f t="shared" si="11"/>
        <v>Hanzhuang Zhen (Băoshān Shì)</v>
      </c>
    </row>
    <row r="327" spans="1:16" hidden="1" x14ac:dyDescent="0.25">
      <c r="A327" t="s">
        <v>436</v>
      </c>
      <c r="B327" t="str">
        <f>IF(COUNTIF(A:A,A327)&gt;1,_xlfn.CONCAT(A327," (",N327,")"),A327)</f>
        <v>Hédiàn Zhèn</v>
      </c>
      <c r="C327" t="str">
        <f>IF(COUNTIF(B:B,B327)&gt;1,_xlfn.CONCAT(A327," (",M327,")"),B327)</f>
        <v>Hédiàn Zhèn</v>
      </c>
      <c r="D327" t="s">
        <v>437</v>
      </c>
      <c r="E327" t="s">
        <v>11</v>
      </c>
      <c r="F327" t="str">
        <f>_xlfn.CONCAT(D327,", ",H327,", ",I327,", ","云南省")</f>
        <v>禾甸镇, 祥云县, 大理白族自治州, 云南省</v>
      </c>
      <c r="G327">
        <v>44661</v>
      </c>
      <c r="H327" t="s">
        <v>2773</v>
      </c>
      <c r="I327" t="s">
        <v>2763</v>
      </c>
      <c r="J327">
        <f>VLOOKUP(F327,[1]!china_towns_second__2[[Column1]:[Y]],3,FALSE)</f>
        <v>25.5917972187681</v>
      </c>
      <c r="K327">
        <f>VLOOKUP(F327,[1]!china_towns_second__2[[Column1]:[Y]],2,FALSE)</f>
        <v>100.74531380000001</v>
      </c>
      <c r="L327" t="s">
        <v>3886</v>
      </c>
      <c r="M327" t="str">
        <f>VLOOKUP(H327,CHOOSE({1,2},Table17[Native],Table17[Name]),2,0)</f>
        <v>Xiángyún Xiàn</v>
      </c>
      <c r="N327" s="15" t="str">
        <f>VLOOKUP(I327,CHOOSE({1,2},Table17[Native],Table17[Name]),2,0)</f>
        <v>Dàlĭ Báizú Zìzhìzhōu</v>
      </c>
      <c r="O327" s="15" t="str">
        <f t="shared" si="10"/>
        <v>Hedian Zhen (Dàlĭ Báizú Zìzhìzhōu)</v>
      </c>
      <c r="P327" s="15" t="str">
        <f t="shared" si="11"/>
        <v>Hedian Zhen (Dàlĭ Báizú Zìzhìzhōu)</v>
      </c>
    </row>
    <row r="328" spans="1:16" hidden="1" x14ac:dyDescent="0.25">
      <c r="A328" t="s">
        <v>36</v>
      </c>
      <c r="B328" t="str">
        <f>IF(COUNTIF(A:A,A328)&gt;1,_xlfn.CONCAT(A328," (",N328,")"),A328)</f>
        <v>Héhuā Zhèn</v>
      </c>
      <c r="C328" t="str">
        <f>IF(COUNTIF(B:B,B328)&gt;1,_xlfn.CONCAT(A328," (",M328,")"),B328)</f>
        <v>Héhuā Zhèn</v>
      </c>
      <c r="D328" t="s">
        <v>37</v>
      </c>
      <c r="E328" t="s">
        <v>11</v>
      </c>
      <c r="F328" t="str">
        <f>_xlfn.CONCAT(D328,", ",H328,", ",I328,", ","云南省")</f>
        <v>荷花镇, 腾冲市, 保山市, 云南省</v>
      </c>
      <c r="G328">
        <v>24814</v>
      </c>
      <c r="H328" t="s">
        <v>2747</v>
      </c>
      <c r="I328" t="s">
        <v>2739</v>
      </c>
      <c r="J328">
        <f>VLOOKUP(F328,[1]!china_towns_second__2[[Column1]:[Y]],3,FALSE)</f>
        <v>24.9621367499984</v>
      </c>
      <c r="K328">
        <f>VLOOKUP(F328,[1]!china_towns_second__2[[Column1]:[Y]],2,FALSE)</f>
        <v>98.376154869999993</v>
      </c>
      <c r="L328" t="s">
        <v>3887</v>
      </c>
      <c r="M328" t="str">
        <f>VLOOKUP(H328,CHOOSE({1,2},Table17[Native],Table17[Name]),2,0)</f>
        <v>Téngchōng Shì</v>
      </c>
      <c r="N328" s="15" t="str">
        <f>VLOOKUP(I328,CHOOSE({1,2},Table17[Native],Table17[Name]),2,0)</f>
        <v>Băoshān Shì</v>
      </c>
      <c r="O328" s="15" t="str">
        <f t="shared" si="10"/>
        <v>Hehua Zhen (Băoshān Shì)</v>
      </c>
      <c r="P328" s="15" t="str">
        <f t="shared" si="11"/>
        <v>Hehua Zhen (Băoshān Shì)</v>
      </c>
    </row>
    <row r="329" spans="1:16" hidden="1" x14ac:dyDescent="0.25">
      <c r="A329" t="s">
        <v>224</v>
      </c>
      <c r="B329" t="str">
        <f>IF(COUNTIF(A:A,A329)&gt;1,_xlfn.CONCAT(A329," (",N329,")"),A329)</f>
        <v>Hēijĭng Zhèn</v>
      </c>
      <c r="C329" t="str">
        <f>IF(COUNTIF(B:B,B329)&gt;1,_xlfn.CONCAT(A329," (",M329,")"),B329)</f>
        <v>Hēijĭng Zhèn</v>
      </c>
      <c r="D329" t="s">
        <v>225</v>
      </c>
      <c r="E329" t="s">
        <v>11</v>
      </c>
      <c r="F329" t="str">
        <f>_xlfn.CONCAT(D329,", ",H329,", ",I329,", ","云南省")</f>
        <v>黑井镇, 禄丰县, 楚雄彝族自治州, 云南省</v>
      </c>
      <c r="G329">
        <v>14900</v>
      </c>
      <c r="H329" t="s">
        <v>2753</v>
      </c>
      <c r="I329" t="s">
        <v>2750</v>
      </c>
      <c r="J329">
        <f>VLOOKUP(F329,[1]!china_towns_second__2[[Column1]:[Y]],3,FALSE)</f>
        <v>25.399304990533999</v>
      </c>
      <c r="K329">
        <f>VLOOKUP(F329,[1]!china_towns_second__2[[Column1]:[Y]],2,FALSE)</f>
        <v>101.7803376</v>
      </c>
      <c r="L329" t="s">
        <v>3888</v>
      </c>
      <c r="M329" t="str">
        <f>VLOOKUP(H329,CHOOSE({1,2},Table17[Native],Table17[Name]),2,0)</f>
        <v>Lùfēng Xiàn</v>
      </c>
      <c r="N329" s="15" t="str">
        <f>VLOOKUP(I329,CHOOSE({1,2},Table17[Native],Table17[Name]),2,0)</f>
        <v>Chŭxióng Yízú Zìzhìzhōu</v>
      </c>
      <c r="O329" s="15" t="str">
        <f t="shared" si="10"/>
        <v>Heijing Zhen (Chŭxióng Yízú Zìzhìzhōu)</v>
      </c>
      <c r="P329" s="15" t="str">
        <f t="shared" si="11"/>
        <v>Heijing Zhen (Chŭxióng Yízú Zìzhìzhōu)</v>
      </c>
    </row>
    <row r="330" spans="1:16" hidden="1" x14ac:dyDescent="0.25">
      <c r="A330" t="s">
        <v>1112</v>
      </c>
      <c r="B330" t="str">
        <f>IF(COUNTIF(A:A,A330)&gt;1,_xlfn.CONCAT(A330," (",N330,")"),A330)</f>
        <v>Hēilínpū Jiēdào</v>
      </c>
      <c r="C330" t="str">
        <f>IF(COUNTIF(B:B,B330)&gt;1,_xlfn.CONCAT(A330," (",M330,")"),B330)</f>
        <v>Hēilínpū Jiēdào</v>
      </c>
      <c r="D330" t="s">
        <v>1113</v>
      </c>
      <c r="E330" t="s">
        <v>42</v>
      </c>
      <c r="F330" t="str">
        <f>_xlfn.CONCAT(D330,", ",H330,", ",I330,", ","云南省")</f>
        <v>黑林铺街道, 五华区, 昆明市, 云南省</v>
      </c>
      <c r="G330">
        <v>86526</v>
      </c>
      <c r="H330" t="s">
        <v>2818</v>
      </c>
      <c r="I330" t="s">
        <v>2807</v>
      </c>
      <c r="J330">
        <f>VLOOKUP(F330,[1]!china_towns_second__2[[Column1]:[Y]],3,FALSE)</f>
        <v>25.0772352278135</v>
      </c>
      <c r="K330">
        <f>VLOOKUP(F330,[1]!china_towns_second__2[[Column1]:[Y]],2,FALSE)</f>
        <v>102.63253349999999</v>
      </c>
      <c r="L330" t="s">
        <v>3889</v>
      </c>
      <c r="M330" t="str">
        <f>VLOOKUP(H330,CHOOSE({1,2},Table17[Native],Table17[Name]),2,0)</f>
        <v>Wŭhuá Qū</v>
      </c>
      <c r="N330" s="15" t="str">
        <f>VLOOKUP(I330,CHOOSE({1,2},Table17[Native],Table17[Name]),2,0)</f>
        <v>Kūnmíng Shì</v>
      </c>
      <c r="O330" s="15" t="str">
        <f t="shared" si="10"/>
        <v>Heilinpu Jiedao (Kūnmíng Shì)</v>
      </c>
      <c r="P330" s="15" t="str">
        <f t="shared" si="11"/>
        <v>Heilinpu Jiedao (Kūnmíng Shì)</v>
      </c>
    </row>
    <row r="331" spans="1:16" hidden="1" x14ac:dyDescent="0.25">
      <c r="A331" t="s">
        <v>2512</v>
      </c>
      <c r="B331" t="str">
        <f>IF(COUNTIF(A:A,A331)&gt;1,_xlfn.CONCAT(A331," (",N331,")"),A331)</f>
        <v>Hēishù Zhèn</v>
      </c>
      <c r="C331" t="str">
        <f>IF(COUNTIF(B:B,B331)&gt;1,_xlfn.CONCAT(A331," (",M331,")"),B331)</f>
        <v>Hēishù Zhèn</v>
      </c>
      <c r="D331" t="s">
        <v>2513</v>
      </c>
      <c r="E331" t="s">
        <v>11</v>
      </c>
      <c r="F331" t="str">
        <f>_xlfn.CONCAT(D331,", ",H331,", ",I331,", ","云南省")</f>
        <v>黑树镇, 镇雄县, 昭通市, 云南省</v>
      </c>
      <c r="G331">
        <v>26139</v>
      </c>
      <c r="H331" t="s">
        <v>2910</v>
      </c>
      <c r="I331" t="s">
        <v>2899</v>
      </c>
      <c r="J331">
        <f>VLOOKUP(F331,[1]!china_towns_second__2[[Column1]:[Y]],3,FALSE)</f>
        <v>27.463572141607301</v>
      </c>
      <c r="K331">
        <f>VLOOKUP(F331,[1]!china_towns_second__2[[Column1]:[Y]],2,FALSE)</f>
        <v>105.2037964</v>
      </c>
      <c r="L331" t="s">
        <v>3890</v>
      </c>
      <c r="M331" t="str">
        <f>VLOOKUP(H331,CHOOSE({1,2},Table17[Native],Table17[Name]),2,0)</f>
        <v>Zhènxióng Xiàn</v>
      </c>
      <c r="N331" s="15" t="str">
        <f>VLOOKUP(I331,CHOOSE({1,2},Table17[Native],Table17[Name]),2,0)</f>
        <v>Zhāotōng Shì</v>
      </c>
      <c r="O331" s="15" t="str">
        <f t="shared" si="10"/>
        <v>Heishu Zhen (Zhāotōng Shì)</v>
      </c>
      <c r="P331" s="15" t="str">
        <f t="shared" si="11"/>
        <v>Heishu Zhen (Zhāotōng Shì)</v>
      </c>
    </row>
    <row r="332" spans="1:16" hidden="1" x14ac:dyDescent="0.25">
      <c r="A332" t="s">
        <v>2135</v>
      </c>
      <c r="B332" t="str">
        <f>IF(COUNTIF(A:A,A332)&gt;1,_xlfn.CONCAT(A332," (",N332,")"),A332)</f>
        <v>Hēizhīguŏ Xiāng</v>
      </c>
      <c r="C332" t="str">
        <f>IF(COUNTIF(B:B,B332)&gt;1,_xlfn.CONCAT(A332," (",M332,")"),B332)</f>
        <v>Hēizhīguŏ Xiāng</v>
      </c>
      <c r="D332" t="s">
        <v>2136</v>
      </c>
      <c r="E332" t="s">
        <v>7</v>
      </c>
      <c r="F332" t="str">
        <f>_xlfn.CONCAT(D332,", ",H332,", ",I332,", ","云南省")</f>
        <v>黑支果乡, 广南县, 文山壮族苗族自治州, 云南省</v>
      </c>
      <c r="G332">
        <v>51404</v>
      </c>
      <c r="H332" t="s">
        <v>2874</v>
      </c>
      <c r="I332" t="s">
        <v>2872</v>
      </c>
      <c r="J332" t="e">
        <f>VLOOKUP(F332,[1]!china_towns_second__2[[Column1]:[Y]],3,FALSE)</f>
        <v>#N/A</v>
      </c>
      <c r="K332" t="e">
        <f>VLOOKUP(F332,[1]!china_towns_second__2[[Column1]:[Y]],2,FALSE)</f>
        <v>#N/A</v>
      </c>
      <c r="L332" t="s">
        <v>3891</v>
      </c>
      <c r="M332" t="str">
        <f>VLOOKUP(H332,CHOOSE({1,2},Table17[Native],Table17[Name]),2,0)</f>
        <v>Guăngnán Xiàn</v>
      </c>
      <c r="N332" s="15" t="str">
        <f>VLOOKUP(I332,CHOOSE({1,2},Table17[Native],Table17[Name]),2,0)</f>
        <v>Wénshān Zhuàngzú Miáozú Zìzhìzhōu</v>
      </c>
      <c r="O332" s="15" t="str">
        <f t="shared" si="10"/>
        <v>Heizhiguo Xiang (Wénshān Zhuàngzú Miáozú Zìzhìzhōu)</v>
      </c>
      <c r="P332" s="15" t="str">
        <f t="shared" si="11"/>
        <v>Heizhiguo Xiang (Wénshān Zhuàngzú Miáozú Zìzhìzhōu)</v>
      </c>
    </row>
    <row r="333" spans="1:16" hidden="1" x14ac:dyDescent="0.25">
      <c r="A333" t="s">
        <v>842</v>
      </c>
      <c r="B333" t="str">
        <f>IF(COUNTIF(A:A,A333)&gt;1,_xlfn.CONCAT(A333," (",N333,")"),A333)</f>
        <v>Hékŏu Zhèn (Hónghé Hānízú Yízú Zìzhìzhōu)</v>
      </c>
      <c r="C333" t="str">
        <f>IF(COUNTIF(B:B,B333)&gt;1,_xlfn.CONCAT(A333," (",M333,")"),B333)</f>
        <v>Hékŏu Zhèn (Hónghé Hānízú Yízú Zìzhìzhōu)</v>
      </c>
      <c r="D333" t="s">
        <v>843</v>
      </c>
      <c r="E333" t="s">
        <v>11</v>
      </c>
      <c r="F333" t="str">
        <f>_xlfn.CONCAT(D333,", ",H333,", ",I333,", ","云南省")</f>
        <v>河口镇, 河口瑶族自治县, 红河哈尼族彝族自治州, 云南省</v>
      </c>
      <c r="G333">
        <v>37074</v>
      </c>
      <c r="H333" t="s">
        <v>2794</v>
      </c>
      <c r="I333" t="s">
        <v>2792</v>
      </c>
      <c r="J333">
        <f>VLOOKUP(F333,[1]!china_towns_second__2[[Column1]:[Y]],3,FALSE)</f>
        <v>22.6339096315569</v>
      </c>
      <c r="K333">
        <f>VLOOKUP(F333,[1]!china_towns_second__2[[Column1]:[Y]],2,FALSE)</f>
        <v>103.8499249</v>
      </c>
      <c r="L333" t="s">
        <v>3892</v>
      </c>
      <c r="M333" t="str">
        <f>VLOOKUP(H333,CHOOSE({1,2},Table17[Native],Table17[Name]),2,0)</f>
        <v>Hékŏu Yáozú Zìzhìxiàn</v>
      </c>
      <c r="N333" s="15" t="str">
        <f>VLOOKUP(I333,CHOOSE({1,2},Table17[Native],Table17[Name]),2,0)</f>
        <v>Hónghé Hānízú Yízú Zìzhìzhōu</v>
      </c>
      <c r="O333" s="15" t="str">
        <f t="shared" si="10"/>
        <v>Hekou Zhen (Honghe Hanizu Yizu Zizhizhou) (Hónghé Hānízú Yízú Zìzhìzhōu)</v>
      </c>
      <c r="P333" s="15" t="str">
        <f t="shared" si="11"/>
        <v>Hekou Zhen (Honghe Hanizu Yizu Zizhizhou) (Hónghé Hānízú Yízú Zìzhìzhōu)</v>
      </c>
    </row>
    <row r="334" spans="1:16" hidden="1" x14ac:dyDescent="0.25">
      <c r="A334" t="s">
        <v>842</v>
      </c>
      <c r="B334" t="str">
        <f>IF(COUNTIF(A:A,A334)&gt;1,_xlfn.CONCAT(A334," (",N334,")"),A334)</f>
        <v>Hékŏu Zhèn (Kūnmíng Shì)</v>
      </c>
      <c r="C334" t="str">
        <f>IF(COUNTIF(B:B,B334)&gt;1,_xlfn.CONCAT(A334," (",M334,")"),B334)</f>
        <v>Hékŏu Zhèn (Kūnmíng Shì)</v>
      </c>
      <c r="D334" t="s">
        <v>843</v>
      </c>
      <c r="E334" t="s">
        <v>11</v>
      </c>
      <c r="F334" t="str">
        <f>_xlfn.CONCAT(D334,", ",H334,", ",I334,", ","云南省")</f>
        <v>河口镇, 寻甸回族彝族自治县, 昆明市, 云南省</v>
      </c>
      <c r="G334">
        <v>30961</v>
      </c>
      <c r="H334" t="s">
        <v>2820</v>
      </c>
      <c r="I334" t="s">
        <v>2807</v>
      </c>
      <c r="J334">
        <f>VLOOKUP(F334,[1]!china_towns_second__2[[Column1]:[Y]],3,FALSE)</f>
        <v>25.680372854306999</v>
      </c>
      <c r="K334">
        <f>VLOOKUP(F334,[1]!china_towns_second__2[[Column1]:[Y]],2,FALSE)</f>
        <v>103.4353967</v>
      </c>
      <c r="L334" t="s">
        <v>3893</v>
      </c>
      <c r="M334" t="str">
        <f>VLOOKUP(H334,CHOOSE({1,2},Table17[Native],Table17[Name]),2,0)</f>
        <v>Xúndiàn Huízú Yízú Zìzhìxiàn</v>
      </c>
      <c r="N334" s="15" t="str">
        <f>VLOOKUP(I334,CHOOSE({1,2},Table17[Native],Table17[Name]),2,0)</f>
        <v>Kūnmíng Shì</v>
      </c>
      <c r="O334" s="15" t="str">
        <f t="shared" si="10"/>
        <v>Hekou Zhen (Kunming Shi) (Kūnmíng Shì)</v>
      </c>
      <c r="P334" s="15" t="str">
        <f t="shared" si="11"/>
        <v>Hekou Zhen (Kunming Shi) (Kūnmíng Shì)</v>
      </c>
    </row>
    <row r="335" spans="1:16" hidden="1" x14ac:dyDescent="0.25">
      <c r="A335" t="s">
        <v>1485</v>
      </c>
      <c r="B335" t="str">
        <f>IF(COUNTIF(A:A,A335)&gt;1,_xlfn.CONCAT(A335," (",N335,")"),A335)</f>
        <v>Hèpài Xiāng</v>
      </c>
      <c r="C335" t="str">
        <f>IF(COUNTIF(B:B,B335)&gt;1,_xlfn.CONCAT(A335," (",M335,")"),B335)</f>
        <v>Hèpài Xiāng</v>
      </c>
      <c r="D335" t="s">
        <v>1486</v>
      </c>
      <c r="E335" t="s">
        <v>7</v>
      </c>
      <c r="F335" t="str">
        <f>_xlfn.CONCAT(D335,", ",H335,", ",I335,", ","云南省")</f>
        <v>贺派乡, 耿马傣族佤族自治县, 临沧市, 云南省</v>
      </c>
      <c r="G335">
        <v>18309</v>
      </c>
      <c r="H335" t="s">
        <v>2834</v>
      </c>
      <c r="I335" t="s">
        <v>2831</v>
      </c>
      <c r="J335" t="e">
        <f>VLOOKUP(F335,[1]!china_towns_second__2[[Column1]:[Y]],3,FALSE)</f>
        <v>#N/A</v>
      </c>
      <c r="K335" t="e">
        <f>VLOOKUP(F335,[1]!china_towns_second__2[[Column1]:[Y]],2,FALSE)</f>
        <v>#N/A</v>
      </c>
      <c r="L335" t="s">
        <v>3894</v>
      </c>
      <c r="M335" t="str">
        <f>VLOOKUP(H335,CHOOSE({1,2},Table17[Native],Table17[Name]),2,0)</f>
        <v>Gĕngmă Dăizú Wăzú Zìzhìxiàn</v>
      </c>
      <c r="N335" s="15" t="str">
        <f>VLOOKUP(I335,CHOOSE({1,2},Table17[Native],Table17[Name]),2,0)</f>
        <v>Líncāng Shì</v>
      </c>
      <c r="O335" s="15" t="str">
        <f t="shared" si="10"/>
        <v>Hepai Xiang (Líncāng Shì)</v>
      </c>
      <c r="P335" s="15" t="str">
        <f t="shared" si="11"/>
        <v>Hepai Xiang (Líncāng Shì)</v>
      </c>
    </row>
    <row r="336" spans="1:16" hidden="1" x14ac:dyDescent="0.25">
      <c r="A336" t="s">
        <v>226</v>
      </c>
      <c r="B336" t="str">
        <f>IF(COUNTIF(A:A,A336)&gt;1,_xlfn.CONCAT(A336," (",N336,")"),A336)</f>
        <v>Hépíng Zhèn (Chŭxióng Yízú Zìzhìzhōu)</v>
      </c>
      <c r="C336" t="str">
        <f>IF(COUNTIF(B:B,B336)&gt;1,_xlfn.CONCAT(A336," (",M336,")"),B336)</f>
        <v>Hépíng Zhèn (Chŭxióng Yízú Zìzhìzhōu)</v>
      </c>
      <c r="D336" t="s">
        <v>227</v>
      </c>
      <c r="E336" t="s">
        <v>11</v>
      </c>
      <c r="F336" t="str">
        <f>_xlfn.CONCAT(D336,", ",H336,", ",I336,", ","云南省")</f>
        <v>和平镇, 禄丰县, 楚雄彝族自治州, 云南省</v>
      </c>
      <c r="G336">
        <v>21826</v>
      </c>
      <c r="H336" t="s">
        <v>2753</v>
      </c>
      <c r="I336" t="s">
        <v>2750</v>
      </c>
      <c r="J336">
        <f>VLOOKUP(F336,[1]!china_towns_second__2[[Column1]:[Y]],3,FALSE)</f>
        <v>25.2272276843286</v>
      </c>
      <c r="K336">
        <f>VLOOKUP(F336,[1]!china_towns_second__2[[Column1]:[Y]],2,FALSE)</f>
        <v>102.18050650000001</v>
      </c>
      <c r="L336" t="s">
        <v>3895</v>
      </c>
      <c r="M336" t="str">
        <f>VLOOKUP(H336,CHOOSE({1,2},Table17[Native],Table17[Name]),2,0)</f>
        <v>Lùfēng Xiàn</v>
      </c>
      <c r="N336" s="15" t="str">
        <f>VLOOKUP(I336,CHOOSE({1,2},Table17[Native],Table17[Name]),2,0)</f>
        <v>Chŭxióng Yízú Zìzhìzhōu</v>
      </c>
      <c r="O336" s="15" t="str">
        <f t="shared" si="10"/>
        <v>Heping Zhen (Chuxiong Yizu Zizhizhou) (Chŭxióng Yízú Zìzhìzhōu)</v>
      </c>
      <c r="P336" s="15" t="str">
        <f t="shared" si="11"/>
        <v>Heping Zhen (Chuxiong Yizu Zizhizhou) (Chŭxióng Yízú Zìzhìzhōu)</v>
      </c>
    </row>
    <row r="337" spans="1:16" hidden="1" x14ac:dyDescent="0.25">
      <c r="A337" t="s">
        <v>226</v>
      </c>
      <c r="B337" t="str">
        <f>IF(COUNTIF(A:A,A337)&gt;1,_xlfn.CONCAT(A337," (",N337,")"),A337)</f>
        <v>Hépíng Zhèn (Hónghé Hānízú Yízú Zìzhìzhōu)</v>
      </c>
      <c r="C337" t="str">
        <f>IF(COUNTIF(B:B,B337)&gt;1,_xlfn.CONCAT(A337," (",M337,")"),B337)</f>
        <v>Hépíng Zhèn (Hónghé Hānízú Yízú Zìzhìzhōu)</v>
      </c>
      <c r="D337" t="s">
        <v>227</v>
      </c>
      <c r="E337" t="s">
        <v>11</v>
      </c>
      <c r="F337" t="str">
        <f>_xlfn.CONCAT(D337,", ",H337,", ",I337,", ","云南省")</f>
        <v>和平镇, 屏边苗族自治县, 红河哈尼族彝族自治州, 云南省</v>
      </c>
      <c r="G337">
        <v>27347</v>
      </c>
      <c r="H337" t="s">
        <v>2803</v>
      </c>
      <c r="I337" t="s">
        <v>2792</v>
      </c>
      <c r="J337">
        <f>VLOOKUP(F337,[1]!china_towns_second__2[[Column1]:[Y]],3,FALSE)</f>
        <v>23.2648624767629</v>
      </c>
      <c r="K337">
        <f>VLOOKUP(F337,[1]!china_towns_second__2[[Column1]:[Y]],2,FALSE)</f>
        <v>103.8316444</v>
      </c>
      <c r="L337" t="s">
        <v>3896</v>
      </c>
      <c r="M337" t="str">
        <f>VLOOKUP(H337,CHOOSE({1,2},Table17[Native],Table17[Name]),2,0)</f>
        <v>Píngbiān Miáozú Zìzhìxiàn</v>
      </c>
      <c r="N337" s="15" t="str">
        <f>VLOOKUP(I337,CHOOSE({1,2},Table17[Native],Table17[Name]),2,0)</f>
        <v>Hónghé Hānízú Yízú Zìzhìzhōu</v>
      </c>
      <c r="O337" s="15" t="str">
        <f t="shared" si="10"/>
        <v>Heping Zhen (Honghe Hanizu Yizu Zizhizhou) (Hónghé Hānízú Yízú Zìzhìzhōu)</v>
      </c>
      <c r="P337" s="15" t="str">
        <f t="shared" si="11"/>
        <v>Heping Zhen (Honghe Hanizu Yizu Zizhizhou) (Hónghé Hānízú Yízú Zìzhìzhōu)</v>
      </c>
    </row>
    <row r="338" spans="1:16" hidden="1" x14ac:dyDescent="0.25">
      <c r="A338" t="s">
        <v>226</v>
      </c>
      <c r="B338" t="str">
        <f>IF(COUNTIF(A:A,A338)&gt;1,_xlfn.CONCAT(A338," (",N338,")"),A338)</f>
        <v>Hépíng Zhèn (Pŭ'ĕr Shì)</v>
      </c>
      <c r="C338" t="str">
        <f>IF(COUNTIF(B:B,B338)&gt;1,_xlfn.CONCAT(A338," (",M338,")"),B338)</f>
        <v>Hépíng Zhèn (Pŭ'ĕr Shì)</v>
      </c>
      <c r="D338" t="s">
        <v>227</v>
      </c>
      <c r="E338" t="s">
        <v>11</v>
      </c>
      <c r="F338" t="str">
        <f>_xlfn.CONCAT(D338,", ",H338,", ",I338,", ","云南省")</f>
        <v>和平镇, 镇沅彝族哈尼族拉祜族自治县, 普洱市, 云南省</v>
      </c>
      <c r="G338">
        <v>11979</v>
      </c>
      <c r="H338" t="s">
        <v>2858</v>
      </c>
      <c r="I338" t="s">
        <v>2848</v>
      </c>
      <c r="J338">
        <f>VLOOKUP(F338,[1]!china_towns_second__2[[Column1]:[Y]],3,FALSE)</f>
        <v>23.9076227740129</v>
      </c>
      <c r="K338">
        <f>VLOOKUP(F338,[1]!china_towns_second__2[[Column1]:[Y]],2,FALSE)</f>
        <v>101.4213488</v>
      </c>
      <c r="L338" t="s">
        <v>3897</v>
      </c>
      <c r="M338" t="str">
        <f>VLOOKUP(H338,CHOOSE({1,2},Table17[Native],Table17[Name]),2,0)</f>
        <v>Zhènyuán Yízú Hānízú Lāhùzú Zìzhìxiàn</v>
      </c>
      <c r="N338" s="15" t="str">
        <f>VLOOKUP(I338,CHOOSE({1,2},Table17[Native],Table17[Name]),2,0)</f>
        <v>Pŭ'ĕr Shì</v>
      </c>
      <c r="O338" s="15" t="str">
        <f t="shared" si="10"/>
        <v>Heping Zhen (Pu'er Shi) (Pŭ'ĕr Shì)</v>
      </c>
      <c r="P338" s="15" t="str">
        <f t="shared" si="11"/>
        <v>Heping Zhen (Pu'er Shi) (Pŭ'ĕr Shì)</v>
      </c>
    </row>
    <row r="339" spans="1:16" hidden="1" x14ac:dyDescent="0.25">
      <c r="A339" t="s">
        <v>38</v>
      </c>
      <c r="B339" t="str">
        <f>IF(COUNTIF(A:A,A339)&gt;1,_xlfn.CONCAT(A339," (",N339,")"),A339)</f>
        <v>Héshùn Zhèn</v>
      </c>
      <c r="C339" t="str">
        <f>IF(COUNTIF(B:B,B339)&gt;1,_xlfn.CONCAT(A339," (",M339,")"),B339)</f>
        <v>Héshùn Zhèn</v>
      </c>
      <c r="D339" t="s">
        <v>39</v>
      </c>
      <c r="E339" t="s">
        <v>11</v>
      </c>
      <c r="F339" t="str">
        <f>_xlfn.CONCAT(D339,", ",H339,", ",I339,", ","云南省")</f>
        <v>和顺镇, 腾冲市, 保山市, 云南省</v>
      </c>
      <c r="G339">
        <v>6560</v>
      </c>
      <c r="H339" t="s">
        <v>2747</v>
      </c>
      <c r="I339" t="s">
        <v>2739</v>
      </c>
      <c r="J339">
        <f>VLOOKUP(F339,[1]!china_towns_second__2[[Column1]:[Y]],3,FALSE)</f>
        <v>25.0175876233432</v>
      </c>
      <c r="K339">
        <f>VLOOKUP(F339,[1]!china_towns_second__2[[Column1]:[Y]],2,FALSE)</f>
        <v>98.451739369999999</v>
      </c>
      <c r="L339" t="s">
        <v>3898</v>
      </c>
      <c r="M339" t="str">
        <f>VLOOKUP(H339,CHOOSE({1,2},Table17[Native],Table17[Name]),2,0)</f>
        <v>Téngchōng Shì</v>
      </c>
      <c r="N339" s="15" t="str">
        <f>VLOOKUP(I339,CHOOSE({1,2},Table17[Native],Table17[Name]),2,0)</f>
        <v>Băoshān Shì</v>
      </c>
      <c r="O339" s="15" t="str">
        <f t="shared" si="10"/>
        <v>Heshun Zhen (Băoshān Shì)</v>
      </c>
      <c r="P339" s="15" t="str">
        <f t="shared" si="11"/>
        <v>Heshun Zhen (Băoshān Shì)</v>
      </c>
    </row>
    <row r="340" spans="1:16" hidden="1" x14ac:dyDescent="0.25">
      <c r="A340" t="s">
        <v>40</v>
      </c>
      <c r="B340" t="str">
        <f>IF(COUNTIF(A:A,A340)&gt;1,_xlfn.CONCAT(A340," (",N340,")"),A340)</f>
        <v>Hétú Jiēdào</v>
      </c>
      <c r="C340" t="str">
        <f>IF(COUNTIF(B:B,B340)&gt;1,_xlfn.CONCAT(A340," (",M340,")"),B340)</f>
        <v>Hétú Jiēdào</v>
      </c>
      <c r="D340" t="s">
        <v>41</v>
      </c>
      <c r="E340" t="s">
        <v>42</v>
      </c>
      <c r="F340" t="str">
        <f>_xlfn.CONCAT(D340,", ",H340,", ",I340,", ","云南省")</f>
        <v>河图街道, 隆阳区, 保山市, 云南省</v>
      </c>
      <c r="G340">
        <v>47481</v>
      </c>
      <c r="H340" t="s">
        <v>2744</v>
      </c>
      <c r="I340" t="s">
        <v>2739</v>
      </c>
      <c r="J340" t="e">
        <f>VLOOKUP(F340,[1]!china_towns_second__2[[Column1]:[Y]],3,FALSE)</f>
        <v>#N/A</v>
      </c>
      <c r="K340" t="e">
        <f>VLOOKUP(F340,[1]!china_towns_second__2[[Column1]:[Y]],2,FALSE)</f>
        <v>#N/A</v>
      </c>
      <c r="L340" t="s">
        <v>3899</v>
      </c>
      <c r="M340" t="str">
        <f>VLOOKUP(H340,CHOOSE({1,2},Table17[Native],Table17[Name]),2,0)</f>
        <v>Lóngyáng Qū</v>
      </c>
      <c r="N340" s="15" t="str">
        <f>VLOOKUP(I340,CHOOSE({1,2},Table17[Native],Table17[Name]),2,0)</f>
        <v>Băoshān Shì</v>
      </c>
      <c r="O340" s="15" t="str">
        <f t="shared" si="10"/>
        <v>Hetu Jiedao (Băoshān Shì)</v>
      </c>
      <c r="P340" s="15" t="str">
        <f t="shared" si="11"/>
        <v>Hetu Jiedao (Băoshān Shì)</v>
      </c>
    </row>
    <row r="341" spans="1:16" hidden="1" x14ac:dyDescent="0.25">
      <c r="A341" t="s">
        <v>613</v>
      </c>
      <c r="B341" t="str">
        <f>IF(COUNTIF(A:A,A341)&gt;1,_xlfn.CONCAT(A341," (",N341,")"),A341)</f>
        <v>Héxī Xiāng (Déhóng Dăizú Jĭngpōzú Zìzhìzhōu)</v>
      </c>
      <c r="C341" t="str">
        <f>IF(COUNTIF(B:B,B341)&gt;1,_xlfn.CONCAT(A341," (",M341,")"),B341)</f>
        <v>Héxī Xiāng (Déhóng Dăizú Jĭngpōzú Zìzhìzhōu)</v>
      </c>
      <c r="D341" t="s">
        <v>614</v>
      </c>
      <c r="E341" t="s">
        <v>7</v>
      </c>
      <c r="F341" t="str">
        <f>_xlfn.CONCAT(D341,", ",H341,", ",I341,", ","云南省")</f>
        <v>河西乡, 梁河县, 德宏傣族景颇族自治州, 云南省</v>
      </c>
      <c r="G341">
        <v>17331</v>
      </c>
      <c r="H341" t="s">
        <v>2780</v>
      </c>
      <c r="I341" t="s">
        <v>2779</v>
      </c>
      <c r="J341" t="e">
        <f>VLOOKUP(F341,[1]!china_towns_second__2[[Column1]:[Y]],3,FALSE)</f>
        <v>#N/A</v>
      </c>
      <c r="K341" t="e">
        <f>VLOOKUP(F341,[1]!china_towns_second__2[[Column1]:[Y]],2,FALSE)</f>
        <v>#N/A</v>
      </c>
      <c r="L341" t="s">
        <v>3900</v>
      </c>
      <c r="M341" t="str">
        <f>VLOOKUP(H341,CHOOSE({1,2},Table17[Native],Table17[Name]),2,0)</f>
        <v>Liánghé Xiàn</v>
      </c>
      <c r="N341" s="15" t="str">
        <f>VLOOKUP(I341,CHOOSE({1,2},Table17[Native],Table17[Name]),2,0)</f>
        <v>Déhóng Dăizú Jĭngpōzú Zìzhìzhōu</v>
      </c>
      <c r="O341" s="15" t="str">
        <f t="shared" si="10"/>
        <v>Hexi Xiang (Dehong Daizu Jingpozu Zizhizhou) (Déhóng Dăizú Jĭngpōzú Zìzhìzhōu)</v>
      </c>
      <c r="P341" s="15" t="str">
        <f t="shared" si="11"/>
        <v>Hexi Xiang (Dehong Daizu Jingpozu Zizhizhou) (Déhóng Dăizú Jĭngpōzú Zìzhìzhōu)</v>
      </c>
    </row>
    <row r="342" spans="1:16" hidden="1" x14ac:dyDescent="0.25">
      <c r="A342" t="s">
        <v>613</v>
      </c>
      <c r="B342" t="str">
        <f>IF(COUNTIF(A:A,A342)&gt;1,_xlfn.CONCAT(A342," (",N342,")"),A342)</f>
        <v>Héxī Xiāng (Nùjiāng Lìsùzú Zìzhìzhōu)</v>
      </c>
      <c r="C342" t="str">
        <f>IF(COUNTIF(B:B,B342)&gt;1,_xlfn.CONCAT(A342," (",M342,")"),B342)</f>
        <v>Héxī Xiāng (Nùjiāng Lìsùzú Zìzhìzhōu)</v>
      </c>
      <c r="D342" t="s">
        <v>614</v>
      </c>
      <c r="E342" t="s">
        <v>7</v>
      </c>
      <c r="F342" t="str">
        <f>_xlfn.CONCAT(D342,", ",H342,", ",I342,", ","云南省")</f>
        <v>河西乡, 兰坪白族普米族自治县, 怒江傈僳族自治州, 云南省</v>
      </c>
      <c r="G342">
        <v>16991</v>
      </c>
      <c r="H342" t="s">
        <v>2845</v>
      </c>
      <c r="I342" t="s">
        <v>2842</v>
      </c>
      <c r="J342" t="e">
        <f>VLOOKUP(F342,[1]!china_towns_second__2[[Column1]:[Y]],3,FALSE)</f>
        <v>#N/A</v>
      </c>
      <c r="K342" t="e">
        <f>VLOOKUP(F342,[1]!china_towns_second__2[[Column1]:[Y]],2,FALSE)</f>
        <v>#N/A</v>
      </c>
      <c r="L342" t="s">
        <v>3901</v>
      </c>
      <c r="M342" t="str">
        <f>VLOOKUP(H342,CHOOSE({1,2},Table17[Native],Table17[Name]),2,0)</f>
        <v>Lánpíng Báizú Pŭmĭzú Zìzhìxiàn</v>
      </c>
      <c r="N342" s="15" t="str">
        <f>VLOOKUP(I342,CHOOSE({1,2},Table17[Native],Table17[Name]),2,0)</f>
        <v>Nùjiāng Lìsùzú Zìzhìzhōu</v>
      </c>
      <c r="O342" s="15" t="str">
        <f t="shared" si="10"/>
        <v>Hexi Xiang (Nujiang Lisuzu Zizhizhou) (Nùjiāng Lìsùzú Zìzhìzhōu)</v>
      </c>
      <c r="P342" s="15" t="str">
        <f t="shared" si="11"/>
        <v>Hexi Xiang (Nujiang Lisuzu Zizhizhou) (Nùjiāng Lìsùzú Zìzhìzhōu)</v>
      </c>
    </row>
    <row r="343" spans="1:16" hidden="1" x14ac:dyDescent="0.25">
      <c r="A343" t="s">
        <v>2362</v>
      </c>
      <c r="B343" t="str">
        <f>IF(COUNTIF(A:A,A343)&gt;1,_xlfn.CONCAT(A343," (",N343,")"),A343)</f>
        <v>Héxī Zhèn</v>
      </c>
      <c r="C343" t="str">
        <f>IF(COUNTIF(B:B,B343)&gt;1,_xlfn.CONCAT(A343," (",M343,")"),B343)</f>
        <v>Héxī Zhèn</v>
      </c>
      <c r="D343" t="s">
        <v>2363</v>
      </c>
      <c r="E343" t="s">
        <v>11</v>
      </c>
      <c r="F343" t="str">
        <f>_xlfn.CONCAT(D343,", ",H343,", ",I343,", ","云南省")</f>
        <v>河西镇, 通海县, 玉溪市, 云南省</v>
      </c>
      <c r="G343">
        <v>50423</v>
      </c>
      <c r="H343" t="s">
        <v>2894</v>
      </c>
      <c r="I343" t="s">
        <v>2888</v>
      </c>
      <c r="J343">
        <f>VLOOKUP(F343,[1]!china_towns_second__2[[Column1]:[Y]],3,FALSE)</f>
        <v>24.162661272036999</v>
      </c>
      <c r="K343">
        <f>VLOOKUP(F343,[1]!china_towns_second__2[[Column1]:[Y]],2,FALSE)</f>
        <v>102.5999329</v>
      </c>
      <c r="L343" t="s">
        <v>3902</v>
      </c>
      <c r="M343" t="str">
        <f>VLOOKUP(H343,CHOOSE({1,2},Table17[Native],Table17[Name]),2,0)</f>
        <v>Tōnghăi Xiàn</v>
      </c>
      <c r="N343" s="15" t="str">
        <f>VLOOKUP(I343,CHOOSE({1,2},Table17[Native],Table17[Name]),2,0)</f>
        <v>Yùxī Shì</v>
      </c>
      <c r="O343" s="15" t="str">
        <f t="shared" si="10"/>
        <v>Hexi Zhen (Yùxī Shì)</v>
      </c>
      <c r="P343" s="15" t="str">
        <f t="shared" si="11"/>
        <v>Hexi Zhen (Yùxī Shì)</v>
      </c>
    </row>
    <row r="344" spans="1:16" hidden="1" x14ac:dyDescent="0.25">
      <c r="A344" t="s">
        <v>43</v>
      </c>
      <c r="B344" t="str">
        <f>IF(COUNTIF(A:A,A344)&gt;1,_xlfn.CONCAT(A344," (",N344,")"),A344)</f>
        <v>Héyuán Xiāng</v>
      </c>
      <c r="C344" t="str">
        <f>IF(COUNTIF(B:B,B344)&gt;1,_xlfn.CONCAT(A344," (",M344,")"),B344)</f>
        <v>Héyuán Xiāng</v>
      </c>
      <c r="D344" t="s">
        <v>44</v>
      </c>
      <c r="E344" t="s">
        <v>7</v>
      </c>
      <c r="F344" t="str">
        <f>_xlfn.CONCAT(D344,", ",H344,", ",I344,", ","云南省")</f>
        <v>何元乡, 施甸县, 保山市, 云南省</v>
      </c>
      <c r="G344">
        <v>14462</v>
      </c>
      <c r="H344" t="s">
        <v>2745</v>
      </c>
      <c r="I344" t="s">
        <v>2739</v>
      </c>
      <c r="J344" t="e">
        <f>VLOOKUP(F344,[1]!china_towns_second__2[[Column1]:[Y]],3,FALSE)</f>
        <v>#N/A</v>
      </c>
      <c r="K344" t="e">
        <f>VLOOKUP(F344,[1]!china_towns_second__2[[Column1]:[Y]],2,FALSE)</f>
        <v>#N/A</v>
      </c>
      <c r="L344" t="s">
        <v>3903</v>
      </c>
      <c r="M344" t="str">
        <f>VLOOKUP(H344,CHOOSE({1,2},Table17[Native],Table17[Name]),2,0)</f>
        <v>Shīdiàn Xiàn</v>
      </c>
      <c r="N344" s="15" t="str">
        <f>VLOOKUP(I344,CHOOSE({1,2},Table17[Native],Table17[Name]),2,0)</f>
        <v>Băoshān Shì</v>
      </c>
      <c r="O344" s="15" t="str">
        <f t="shared" si="10"/>
        <v>Heyuan Xiang (Băoshān Shì)</v>
      </c>
      <c r="P344" s="15" t="str">
        <f t="shared" si="11"/>
        <v>Heyuan Xiang (Băoshān Shì)</v>
      </c>
    </row>
    <row r="345" spans="1:16" hidden="1" x14ac:dyDescent="0.25">
      <c r="A345" t="s">
        <v>2137</v>
      </c>
      <c r="B345" t="str">
        <f>IF(COUNTIF(A:A,A345)&gt;1,_xlfn.CONCAT(A345," (",N345,")"),A345)</f>
        <v>Hóngdiàn Huízú Xiāng</v>
      </c>
      <c r="C345" t="str">
        <f>IF(COUNTIF(B:B,B345)&gt;1,_xlfn.CONCAT(A345," (",M345,")"),B345)</f>
        <v>Hóngdiàn Huízú Xiāng</v>
      </c>
      <c r="D345" t="s">
        <v>2138</v>
      </c>
      <c r="E345" t="s">
        <v>7</v>
      </c>
      <c r="F345" t="str">
        <f>_xlfn.CONCAT(D345,", ",H345,", ",I345,", ","云南省")</f>
        <v>红甸回族乡, 文山市, 文山壮族苗族自治州, 云南省</v>
      </c>
      <c r="G345">
        <v>12332</v>
      </c>
      <c r="H345" t="s">
        <v>2878</v>
      </c>
      <c r="I345" t="s">
        <v>2872</v>
      </c>
      <c r="J345" t="e">
        <f>VLOOKUP(F345,[1]!china_towns_second__2[[Column1]:[Y]],3,FALSE)</f>
        <v>#N/A</v>
      </c>
      <c r="K345" t="e">
        <f>VLOOKUP(F345,[1]!china_towns_second__2[[Column1]:[Y]],2,FALSE)</f>
        <v>#N/A</v>
      </c>
      <c r="L345" t="s">
        <v>3904</v>
      </c>
      <c r="M345" t="str">
        <f>VLOOKUP(H345,CHOOSE({1,2},Table17[Native],Table17[Name]),2,0)</f>
        <v>Wénshān Shì</v>
      </c>
      <c r="N345" s="15" t="str">
        <f>VLOOKUP(I345,CHOOSE({1,2},Table17[Native],Table17[Name]),2,0)</f>
        <v>Wénshān Zhuàngzú Miáozú Zìzhìzhōu</v>
      </c>
      <c r="O345" s="15" t="str">
        <f t="shared" si="10"/>
        <v>Hongdian Huizu Xiang (Wénshān Zhuàngzú Miáozú Zìzhìzhōu)</v>
      </c>
      <c r="P345" s="15" t="str">
        <f t="shared" si="11"/>
        <v>Hongdian Huizu Xiang (Wénshān Zhuàngzú Miáozú Zìzhìzhōu)</v>
      </c>
    </row>
    <row r="346" spans="1:16" hidden="1" x14ac:dyDescent="0.25">
      <c r="A346" t="s">
        <v>1912</v>
      </c>
      <c r="B346" t="str">
        <f>IF(COUNTIF(A:A,A346)&gt;1,_xlfn.CONCAT(A346," (",N346,")"),A346)</f>
        <v>Hóngqiáo Jiēdào</v>
      </c>
      <c r="C346" t="str">
        <f>IF(COUNTIF(B:B,B346)&gt;1,_xlfn.CONCAT(A346," (",M346,")"),B346)</f>
        <v>Hóngqiáo Jiēdào</v>
      </c>
      <c r="D346" t="s">
        <v>1913</v>
      </c>
      <c r="E346" t="s">
        <v>42</v>
      </c>
      <c r="F346" t="str">
        <f>_xlfn.CONCAT(D346,", ",H346,", ",I346,", ","云南省")</f>
        <v>虹桥街道, 宣威市, 曲靖市, 云南省</v>
      </c>
      <c r="G346">
        <v>15999</v>
      </c>
      <c r="H346" t="s">
        <v>2868</v>
      </c>
      <c r="I346" t="s">
        <v>2860</v>
      </c>
      <c r="J346">
        <f>VLOOKUP(F346,[1]!china_towns_second__2[[Column1]:[Y]],3,FALSE)</f>
        <v>26.152390863895299</v>
      </c>
      <c r="K346">
        <f>VLOOKUP(F346,[1]!china_towns_second__2[[Column1]:[Y]],2,FALSE)</f>
        <v>104.08580550000001</v>
      </c>
      <c r="L346" t="s">
        <v>3905</v>
      </c>
      <c r="M346" t="str">
        <f>VLOOKUP(H346,CHOOSE({1,2},Table17[Native],Table17[Name]),2,0)</f>
        <v>Xuānwēi Shì</v>
      </c>
      <c r="N346" s="15" t="str">
        <f>VLOOKUP(I346,CHOOSE({1,2},Table17[Native],Table17[Name]),2,0)</f>
        <v>Qŭjìng Shì</v>
      </c>
      <c r="O346" s="15" t="str">
        <f t="shared" si="10"/>
        <v>Hongqiao Jiedao (Qŭjìng Shì)</v>
      </c>
      <c r="P346" s="15" t="str">
        <f t="shared" si="11"/>
        <v>Hongqiao Jiedao (Qŭjìng Shì)</v>
      </c>
    </row>
    <row r="347" spans="1:16" hidden="1" x14ac:dyDescent="0.25">
      <c r="A347" t="s">
        <v>1335</v>
      </c>
      <c r="B347" t="str">
        <f>IF(COUNTIF(A:A,A347)&gt;1,_xlfn.CONCAT(A347," (",N347,")"),A347)</f>
        <v>Hóngqiáo Zhèn</v>
      </c>
      <c r="C347" t="str">
        <f>IF(COUNTIF(B:B,B347)&gt;1,_xlfn.CONCAT(A347," (",M347,")"),B347)</f>
        <v>Hóngqiáo Zhèn</v>
      </c>
      <c r="D347" t="s">
        <v>1336</v>
      </c>
      <c r="E347" t="s">
        <v>11</v>
      </c>
      <c r="F347" t="str">
        <f>_xlfn.CONCAT(D347,", ",H347,", ",I347,", ","云南省")</f>
        <v>红桥镇, 宁蒗彝族自治县, 丽江市, 云南省</v>
      </c>
      <c r="G347">
        <v>20060</v>
      </c>
      <c r="H347" t="s">
        <v>2827</v>
      </c>
      <c r="I347" t="s">
        <v>2823</v>
      </c>
      <c r="J347">
        <f>VLOOKUP(F347,[1]!china_towns_second__2[[Column1]:[Y]],3,FALSE)</f>
        <v>27.492424011819999</v>
      </c>
      <c r="K347">
        <f>VLOOKUP(F347,[1]!china_towns_second__2[[Column1]:[Y]],2,FALSE)</f>
        <v>100.783018</v>
      </c>
      <c r="L347" t="s">
        <v>3906</v>
      </c>
      <c r="M347" t="str">
        <f>VLOOKUP(H347,CHOOSE({1,2},Table17[Native],Table17[Name]),2,0)</f>
        <v>Nínglàng Yízú Zìzhìxiàn</v>
      </c>
      <c r="N347" s="15" t="str">
        <f>VLOOKUP(I347,CHOOSE({1,2},Table17[Native],Table17[Name]),2,0)</f>
        <v>Lìjiāng Shì</v>
      </c>
      <c r="O347" s="15" t="str">
        <f t="shared" si="10"/>
        <v>Hongqiao Zhen (Lìjiāng Shì)</v>
      </c>
      <c r="P347" s="15" t="str">
        <f t="shared" si="11"/>
        <v>Hongqiao Zhen (Lìjiāng Shì)</v>
      </c>
    </row>
    <row r="348" spans="1:16" hidden="1" x14ac:dyDescent="0.25">
      <c r="A348" t="s">
        <v>2514</v>
      </c>
      <c r="B348" t="str">
        <f>IF(COUNTIF(A:A,A348)&gt;1,_xlfn.CONCAT(A348," (",N348,")"),A348)</f>
        <v>Hóngshān Xiāng</v>
      </c>
      <c r="C348" t="str">
        <f>IF(COUNTIF(B:B,B348)&gt;1,_xlfn.CONCAT(A348," (",M348,")"),B348)</f>
        <v>Hóngshān Xiāng</v>
      </c>
      <c r="D348" t="s">
        <v>2515</v>
      </c>
      <c r="E348" t="s">
        <v>7</v>
      </c>
      <c r="F348" t="str">
        <f>_xlfn.CONCAT(D348,", ",H348,", ",I348,", ","云南省")</f>
        <v>红山乡, 巧家县, 昭通市, 云南省</v>
      </c>
      <c r="G348">
        <v>18568</v>
      </c>
      <c r="H348" t="s">
        <v>2902</v>
      </c>
      <c r="I348" t="s">
        <v>2899</v>
      </c>
      <c r="J348" t="e">
        <f>VLOOKUP(F348,[1]!china_towns_second__2[[Column1]:[Y]],3,FALSE)</f>
        <v>#N/A</v>
      </c>
      <c r="K348" t="e">
        <f>VLOOKUP(F348,[1]!china_towns_second__2[[Column1]:[Y]],2,FALSE)</f>
        <v>#N/A</v>
      </c>
      <c r="L348" t="s">
        <v>3907</v>
      </c>
      <c r="M348" t="str">
        <f>VLOOKUP(H348,CHOOSE({1,2},Table17[Native],Table17[Name]),2,0)</f>
        <v>Qiăojiā Xiàn</v>
      </c>
      <c r="N348" s="15" t="str">
        <f>VLOOKUP(I348,CHOOSE({1,2},Table17[Native],Table17[Name]),2,0)</f>
        <v>Zhāotōng Shì</v>
      </c>
      <c r="O348" s="15" t="str">
        <f t="shared" si="10"/>
        <v>Hongshan Xiang (Zhāotōng Shì)</v>
      </c>
      <c r="P348" s="15" t="str">
        <f t="shared" si="11"/>
        <v>Hongshan Xiang (Zhāotōng Shì)</v>
      </c>
    </row>
    <row r="349" spans="1:16" hidden="1" x14ac:dyDescent="0.25">
      <c r="A349" t="s">
        <v>1114</v>
      </c>
      <c r="B349" t="str">
        <f>IF(COUNTIF(A:A,A349)&gt;1,_xlfn.CONCAT(A349," (",N349,")"),A349)</f>
        <v>Hóngtŭdì Zhèn</v>
      </c>
      <c r="C349" t="str">
        <f>IF(COUNTIF(B:B,B349)&gt;1,_xlfn.CONCAT(A349," (",M349,")"),B349)</f>
        <v>Hóngtŭdì Zhèn</v>
      </c>
      <c r="D349" t="s">
        <v>1115</v>
      </c>
      <c r="E349" t="s">
        <v>11</v>
      </c>
      <c r="F349" t="str">
        <f>_xlfn.CONCAT(D349,", ",H349,", ",I349,", ","云南省")</f>
        <v>红土地镇, 东川区, 昆明市, 云南省</v>
      </c>
      <c r="G349">
        <v>15134</v>
      </c>
      <c r="H349" t="s">
        <v>2810</v>
      </c>
      <c r="I349" t="s">
        <v>2807</v>
      </c>
      <c r="J349">
        <f>VLOOKUP(F349,[1]!china_towns_second__2[[Column1]:[Y]],3,FALSE)</f>
        <v>26.045305191371199</v>
      </c>
      <c r="K349">
        <f>VLOOKUP(F349,[1]!china_towns_second__2[[Column1]:[Y]],2,FALSE)</f>
        <v>102.9936089</v>
      </c>
      <c r="L349" t="s">
        <v>3908</v>
      </c>
      <c r="M349" t="str">
        <f>VLOOKUP(H349,CHOOSE({1,2},Table17[Native],Table17[Name]),2,0)</f>
        <v>Dōngchuān Qū</v>
      </c>
      <c r="N349" s="15" t="str">
        <f>VLOOKUP(I349,CHOOSE({1,2},Table17[Native],Table17[Name]),2,0)</f>
        <v>Kūnmíng Shì</v>
      </c>
      <c r="O349" s="15" t="str">
        <f t="shared" si="10"/>
        <v>Hongtudi Zhen (Kūnmíng Shì)</v>
      </c>
      <c r="P349" s="15" t="str">
        <f t="shared" si="11"/>
        <v>Hongtudi Zhen (Kūnmíng Shì)</v>
      </c>
    </row>
    <row r="350" spans="1:16" hidden="1" x14ac:dyDescent="0.25">
      <c r="A350" t="s">
        <v>228</v>
      </c>
      <c r="B350" t="str">
        <f>IF(COUNTIF(A:A,A350)&gt;1,_xlfn.CONCAT(A350," (",N350,")"),A350)</f>
        <v>Hóngtŭpō Zhèn</v>
      </c>
      <c r="C350" t="str">
        <f>IF(COUNTIF(B:B,B350)&gt;1,_xlfn.CONCAT(A350," (",M350,")"),B350)</f>
        <v>Hóngtŭpō Zhèn</v>
      </c>
      <c r="D350" t="s">
        <v>229</v>
      </c>
      <c r="E350" t="s">
        <v>11</v>
      </c>
      <c r="F350" t="str">
        <f>_xlfn.CONCAT(D350,", ",H350,", ",I350,", ","云南省")</f>
        <v>红土坡镇, 南华县, 楚雄彝族自治州, 云南省</v>
      </c>
      <c r="G350">
        <v>12457</v>
      </c>
      <c r="H350" t="s">
        <v>2755</v>
      </c>
      <c r="I350" t="s">
        <v>2750</v>
      </c>
      <c r="J350">
        <f>VLOOKUP(F350,[1]!china_towns_second__2[[Column1]:[Y]],3,FALSE)</f>
        <v>25.027821358140802</v>
      </c>
      <c r="K350">
        <f>VLOOKUP(F350,[1]!china_towns_second__2[[Column1]:[Y]],2,FALSE)</f>
        <v>100.8525796</v>
      </c>
      <c r="L350" t="s">
        <v>3909</v>
      </c>
      <c r="M350" t="str">
        <f>VLOOKUP(H350,CHOOSE({1,2},Table17[Native],Table17[Name]),2,0)</f>
        <v>Nánhuá Xiàn</v>
      </c>
      <c r="N350" s="15" t="str">
        <f>VLOOKUP(I350,CHOOSE({1,2},Table17[Native],Table17[Name]),2,0)</f>
        <v>Chŭxióng Yízú Zìzhìzhōu</v>
      </c>
      <c r="O350" s="15" t="str">
        <f t="shared" si="10"/>
        <v>Hongtupo Zhen (Chŭxióng Yízú Zìzhìzhōu)</v>
      </c>
      <c r="P350" s="15" t="str">
        <f t="shared" si="11"/>
        <v>Hongtupo Zhen (Chŭxióng Yízú Zìzhìzhōu)</v>
      </c>
    </row>
    <row r="351" spans="1:16" hidden="1" x14ac:dyDescent="0.25">
      <c r="A351" t="s">
        <v>845</v>
      </c>
      <c r="B351" t="str">
        <f>IF(COUNTIF(A:A,A351)&gt;1,_xlfn.CONCAT(A351," (",N351,")"),A351)</f>
        <v>Hóngxī Zhèn</v>
      </c>
      <c r="C351" t="str">
        <f>IF(COUNTIF(B:B,B351)&gt;1,_xlfn.CONCAT(A351," (",M351,")"),B351)</f>
        <v>Hóngxī Zhèn</v>
      </c>
      <c r="D351" t="s">
        <v>846</v>
      </c>
      <c r="E351" t="s">
        <v>11</v>
      </c>
      <c r="F351" t="str">
        <f>_xlfn.CONCAT(D351,", ",H351,", ",I351,", ","云南省")</f>
        <v>虹溪镇, 弥勒市, 红河哈尼族彝族自治州, 云南省</v>
      </c>
      <c r="G351">
        <v>42414</v>
      </c>
      <c r="H351" t="s">
        <v>2802</v>
      </c>
      <c r="I351" t="s">
        <v>2792</v>
      </c>
      <c r="J351">
        <f>VLOOKUP(F351,[1]!china_towns_second__2[[Column1]:[Y]],3,FALSE)</f>
        <v>24.135569705071699</v>
      </c>
      <c r="K351">
        <f>VLOOKUP(F351,[1]!china_towns_second__2[[Column1]:[Y]],2,FALSE)</f>
        <v>103.33383499999999</v>
      </c>
      <c r="L351" t="s">
        <v>3910</v>
      </c>
      <c r="M351" t="str">
        <f>VLOOKUP(H351,CHOOSE({1,2},Table17[Native],Table17[Name]),2,0)</f>
        <v>Mílè Shì</v>
      </c>
      <c r="N351" s="15" t="str">
        <f>VLOOKUP(I351,CHOOSE({1,2},Table17[Native],Table17[Name]),2,0)</f>
        <v>Hónghé Hānízú Yízú Zìzhìzhōu</v>
      </c>
      <c r="O351" s="15" t="str">
        <f t="shared" si="10"/>
        <v>Hongxi Zhen (Hónghé Hānízú Yízú Zìzhìzhōu)</v>
      </c>
      <c r="P351" s="15" t="str">
        <f t="shared" si="11"/>
        <v>Hongxi Zhen (Hónghé Hānízú Yízú Zìzhìzhōu)</v>
      </c>
    </row>
    <row r="352" spans="1:16" hidden="1" x14ac:dyDescent="0.25">
      <c r="A352" t="s">
        <v>438</v>
      </c>
      <c r="B352" t="str">
        <f>IF(COUNTIF(A:A,A352)&gt;1,_xlfn.CONCAT(A352," (",N352,")"),A352)</f>
        <v>Hóngyán Zhèn</v>
      </c>
      <c r="C352" t="str">
        <f>IF(COUNTIF(B:B,B352)&gt;1,_xlfn.CONCAT(A352," (",M352,")"),B352)</f>
        <v>Hóngyán Zhèn</v>
      </c>
      <c r="D352" t="s">
        <v>439</v>
      </c>
      <c r="E352" t="s">
        <v>11</v>
      </c>
      <c r="F352" t="str">
        <f>_xlfn.CONCAT(D352,", ",H352,", ",I352,", ","云南省")</f>
        <v>红岩镇, 弥渡县, 大理白族自治州, 云南省</v>
      </c>
      <c r="G352">
        <v>46607</v>
      </c>
      <c r="H352" t="s">
        <v>2769</v>
      </c>
      <c r="I352" t="s">
        <v>2763</v>
      </c>
      <c r="J352">
        <f>VLOOKUP(F352,[1]!china_towns_second__2[[Column1]:[Y]],3,FALSE)</f>
        <v>25.443102467496502</v>
      </c>
      <c r="K352">
        <f>VLOOKUP(F352,[1]!china_towns_second__2[[Column1]:[Y]],2,FALSE)</f>
        <v>100.4162252</v>
      </c>
      <c r="L352" t="s">
        <v>3911</v>
      </c>
      <c r="M352" t="str">
        <f>VLOOKUP(H352,CHOOSE({1,2},Table17[Native],Table17[Name]),2,0)</f>
        <v>Mídù Xiàn</v>
      </c>
      <c r="N352" s="15" t="str">
        <f>VLOOKUP(I352,CHOOSE({1,2},Table17[Native],Table17[Name]),2,0)</f>
        <v>Dàlĭ Báizú Zìzhìzhōu</v>
      </c>
      <c r="O352" s="15" t="str">
        <f t="shared" si="10"/>
        <v>Hongyan Zhen (Dàlĭ Báizú Zìzhìzhōu)</v>
      </c>
      <c r="P352" s="15" t="str">
        <f t="shared" si="11"/>
        <v>Hongyan Zhen (Dàlĭ Báizú Zìzhìzhōu)</v>
      </c>
    </row>
    <row r="353" spans="1:16" hidden="1" x14ac:dyDescent="0.25">
      <c r="A353" t="s">
        <v>1116</v>
      </c>
      <c r="B353" t="str">
        <f>IF(COUNTIF(A:A,A353)&gt;1,_xlfn.CONCAT(A353," (",N353,")"),A353)</f>
        <v>Hóngyún Jiēdào</v>
      </c>
      <c r="C353" t="str">
        <f>IF(COUNTIF(B:B,B353)&gt;1,_xlfn.CONCAT(A353," (",M353,")"),B353)</f>
        <v>Hóngyún Jiēdào</v>
      </c>
      <c r="D353" t="s">
        <v>1117</v>
      </c>
      <c r="E353" t="s">
        <v>42</v>
      </c>
      <c r="F353" t="str">
        <f>_xlfn.CONCAT(D353,", ",H353,", ",I353,", ","云南省")</f>
        <v>红云街道, 五华区, 昆明市, 云南省</v>
      </c>
      <c r="G353">
        <v>127434</v>
      </c>
      <c r="H353" t="s">
        <v>2818</v>
      </c>
      <c r="I353" t="s">
        <v>2807</v>
      </c>
      <c r="J353">
        <f>VLOOKUP(F353,[1]!china_towns_second__2[[Column1]:[Y]],3,FALSE)</f>
        <v>25.112331402800798</v>
      </c>
      <c r="K353">
        <f>VLOOKUP(F353,[1]!china_towns_second__2[[Column1]:[Y]],2,FALSE)</f>
        <v>102.7181997</v>
      </c>
      <c r="L353" t="s">
        <v>3912</v>
      </c>
      <c r="M353" t="str">
        <f>VLOOKUP(H353,CHOOSE({1,2},Table17[Native],Table17[Name]),2,0)</f>
        <v>Wŭhuá Qū</v>
      </c>
      <c r="N353" s="15" t="str">
        <f>VLOOKUP(I353,CHOOSE({1,2},Table17[Native],Table17[Name]),2,0)</f>
        <v>Kūnmíng Shì</v>
      </c>
      <c r="O353" s="15" t="str">
        <f t="shared" si="10"/>
        <v>Hongyun Jiedao (Kūnmíng Shì)</v>
      </c>
      <c r="P353" s="15" t="str">
        <f t="shared" si="11"/>
        <v>Hongyun Jiedao (Kūnmíng Shì)</v>
      </c>
    </row>
    <row r="354" spans="1:16" hidden="1" x14ac:dyDescent="0.25">
      <c r="A354" t="s">
        <v>45</v>
      </c>
      <c r="B354" t="str">
        <f>IF(COUNTIF(A:A,A354)&gt;1,_xlfn.CONCAT(A354," (",N354,")"),A354)</f>
        <v>Hóuqiáo Zhèn</v>
      </c>
      <c r="C354" t="str">
        <f>IF(COUNTIF(B:B,B354)&gt;1,_xlfn.CONCAT(A354," (",M354,")"),B354)</f>
        <v>Hóuqiáo Zhèn</v>
      </c>
      <c r="D354" t="s">
        <v>46</v>
      </c>
      <c r="E354" t="s">
        <v>11</v>
      </c>
      <c r="F354" t="str">
        <f>_xlfn.CONCAT(D354,", ",H354,", ",I354,", ","云南省")</f>
        <v>猴桥镇, 腾冲市, 保山市, 云南省</v>
      </c>
      <c r="G354">
        <v>27965</v>
      </c>
      <c r="H354" t="s">
        <v>2747</v>
      </c>
      <c r="I354" t="s">
        <v>2739</v>
      </c>
      <c r="J354">
        <f>VLOOKUP(F354,[1]!china_towns_second__2[[Column1]:[Y]],3,FALSE)</f>
        <v>25.354299664886</v>
      </c>
      <c r="K354">
        <f>VLOOKUP(F354,[1]!china_towns_second__2[[Column1]:[Y]],2,FALSE)</f>
        <v>98.252116169999994</v>
      </c>
      <c r="L354" t="s">
        <v>3913</v>
      </c>
      <c r="M354" t="str">
        <f>VLOOKUP(H354,CHOOSE({1,2},Table17[Native],Table17[Name]),2,0)</f>
        <v>Téngchōng Shì</v>
      </c>
      <c r="N354" s="15" t="str">
        <f>VLOOKUP(I354,CHOOSE({1,2},Table17[Native],Table17[Name]),2,0)</f>
        <v>Băoshān Shì</v>
      </c>
      <c r="O354" s="15" t="str">
        <f t="shared" si="10"/>
        <v>Houqiao Zhen (Băoshān Shì)</v>
      </c>
      <c r="P354" s="15" t="str">
        <f t="shared" si="11"/>
        <v>Houqiao Zhen (Băoshān Shì)</v>
      </c>
    </row>
    <row r="355" spans="1:16" hidden="1" x14ac:dyDescent="0.25">
      <c r="A355" t="s">
        <v>1487</v>
      </c>
      <c r="B355" t="str">
        <f>IF(COUNTIF(A:A,A355)&gt;1,_xlfn.CONCAT(A355," (",N355,")"),A355)</f>
        <v>Hòuqìng Yízú Xiāng</v>
      </c>
      <c r="C355" t="str">
        <f>IF(COUNTIF(B:B,B355)&gt;1,_xlfn.CONCAT(A355," (",M355,")"),B355)</f>
        <v>Hòuqìng Yízú Xiāng</v>
      </c>
      <c r="D355" t="s">
        <v>1488</v>
      </c>
      <c r="E355" t="s">
        <v>7</v>
      </c>
      <c r="F355" t="str">
        <f>_xlfn.CONCAT(D355,", ",H355,", ",I355,", ","云南省")</f>
        <v>后箐彝族乡, 云县, 临沧市, 云南省</v>
      </c>
      <c r="G355">
        <v>19052</v>
      </c>
      <c r="H355" t="s">
        <v>2838</v>
      </c>
      <c r="I355" t="s">
        <v>2831</v>
      </c>
      <c r="J355" t="e">
        <f>VLOOKUP(F355,[1]!china_towns_second__2[[Column1]:[Y]],3,FALSE)</f>
        <v>#N/A</v>
      </c>
      <c r="K355" t="e">
        <f>VLOOKUP(F355,[1]!china_towns_second__2[[Column1]:[Y]],2,FALSE)</f>
        <v>#N/A</v>
      </c>
      <c r="L355" t="s">
        <v>3914</v>
      </c>
      <c r="M355" t="str">
        <f>VLOOKUP(H355,CHOOSE({1,2},Table17[Native],Table17[Name]),2,0)</f>
        <v>Yún Xiàn</v>
      </c>
      <c r="N355" s="15" t="str">
        <f>VLOOKUP(I355,CHOOSE({1,2},Table17[Native],Table17[Name]),2,0)</f>
        <v>Líncāng Shì</v>
      </c>
      <c r="O355" s="15" t="str">
        <f t="shared" si="10"/>
        <v>Houqing Yizu Xiang (Líncāng Shì)</v>
      </c>
      <c r="P355" s="15" t="str">
        <f t="shared" si="11"/>
        <v>Houqing Yizu Xiang (Líncāng Shì)</v>
      </c>
    </row>
    <row r="356" spans="1:16" hidden="1" x14ac:dyDescent="0.25">
      <c r="A356" t="s">
        <v>1914</v>
      </c>
      <c r="B356" t="str">
        <f>IF(COUNTIF(A:A,A356)&gt;1,_xlfn.CONCAT(A356," (",N356,")"),A356)</f>
        <v>Hòusuŏ Zhèn</v>
      </c>
      <c r="C356" t="str">
        <f>IF(COUNTIF(B:B,B356)&gt;1,_xlfn.CONCAT(A356," (",M356,")"),B356)</f>
        <v>Hòusuŏ Zhèn</v>
      </c>
      <c r="D356" t="s">
        <v>1915</v>
      </c>
      <c r="E356" t="s">
        <v>11</v>
      </c>
      <c r="F356" t="str">
        <f>_xlfn.CONCAT(D356,", ",H356,", ",I356,", ","云南省")</f>
        <v>后所镇, 富源县, 曲靖市, 云南省</v>
      </c>
      <c r="G356">
        <v>68322</v>
      </c>
      <c r="H356" t="s">
        <v>2861</v>
      </c>
      <c r="I356" t="s">
        <v>2860</v>
      </c>
      <c r="J356">
        <f>VLOOKUP(F356,[1]!china_towns_second__2[[Column1]:[Y]],3,FALSE)</f>
        <v>25.848390907552599</v>
      </c>
      <c r="K356">
        <f>VLOOKUP(F356,[1]!china_towns_second__2[[Column1]:[Y]],2,FALSE)</f>
        <v>104.3190175</v>
      </c>
      <c r="L356" t="s">
        <v>3915</v>
      </c>
      <c r="M356" t="str">
        <f>VLOOKUP(H356,CHOOSE({1,2},Table17[Native],Table17[Name]),2,0)</f>
        <v>Fùyuán Xiàn</v>
      </c>
      <c r="N356" s="15" t="str">
        <f>VLOOKUP(I356,CHOOSE({1,2},Table17[Native],Table17[Name]),2,0)</f>
        <v>Qŭjìng Shì</v>
      </c>
      <c r="O356" s="15" t="str">
        <f t="shared" si="10"/>
        <v>Housuo Zhen (Qŭjìng Shì)</v>
      </c>
      <c r="P356" s="15" t="str">
        <f t="shared" si="11"/>
        <v>Housuo Zhen (Qŭjìng Shì)</v>
      </c>
    </row>
    <row r="357" spans="1:16" hidden="1" x14ac:dyDescent="0.25">
      <c r="A357" t="s">
        <v>2139</v>
      </c>
      <c r="B357" t="str">
        <f>IF(COUNTIF(A:A,A357)&gt;1,_xlfn.CONCAT(A357," (",N357,")"),A357)</f>
        <v>Huājiă Xiāng</v>
      </c>
      <c r="C357" t="str">
        <f>IF(COUNTIF(B:B,B357)&gt;1,_xlfn.CONCAT(A357," (",M357,")"),B357)</f>
        <v>Huājiă Xiāng</v>
      </c>
      <c r="D357" t="s">
        <v>2140</v>
      </c>
      <c r="E357" t="s">
        <v>7</v>
      </c>
      <c r="F357" t="str">
        <f>_xlfn.CONCAT(D357,", ",H357,", ",I357,", ","云南省")</f>
        <v>花甲乡, 富宁县, 文山壮族苗族自治州, 云南省</v>
      </c>
      <c r="G357">
        <v>22122</v>
      </c>
      <c r="H357" t="s">
        <v>2873</v>
      </c>
      <c r="I357" t="s">
        <v>2872</v>
      </c>
      <c r="J357" t="e">
        <f>VLOOKUP(F357,[1]!china_towns_second__2[[Column1]:[Y]],3,FALSE)</f>
        <v>#N/A</v>
      </c>
      <c r="K357" t="e">
        <f>VLOOKUP(F357,[1]!china_towns_second__2[[Column1]:[Y]],2,FALSE)</f>
        <v>#N/A</v>
      </c>
      <c r="L357" t="s">
        <v>3916</v>
      </c>
      <c r="M357" t="str">
        <f>VLOOKUP(H357,CHOOSE({1,2},Table17[Native],Table17[Name]),2,0)</f>
        <v>Fùníng Xiàn</v>
      </c>
      <c r="N357" s="15" t="str">
        <f>VLOOKUP(I357,CHOOSE({1,2},Table17[Native],Table17[Name]),2,0)</f>
        <v>Wénshān Zhuàngzú Miáozú Zìzhìzhōu</v>
      </c>
      <c r="O357" s="15" t="str">
        <f t="shared" si="10"/>
        <v>Huajia Xiang (Wénshān Zhuàngzú Miáozú Zìzhìzhōu)</v>
      </c>
      <c r="P357" s="15" t="str">
        <f t="shared" si="11"/>
        <v>Huajia Xiang (Wénshān Zhuàngzú Miáozú Zìzhìzhōu)</v>
      </c>
    </row>
    <row r="358" spans="1:16" hidden="1" x14ac:dyDescent="0.25">
      <c r="A358" t="s">
        <v>2516</v>
      </c>
      <c r="B358" t="str">
        <f>IF(COUNTIF(A:A,A358)&gt;1,_xlfn.CONCAT(A358," (",N358,")"),A358)</f>
        <v>Huālăng Xiāng</v>
      </c>
      <c r="C358" t="str">
        <f>IF(COUNTIF(B:B,B358)&gt;1,_xlfn.CONCAT(A358," (",M358,")"),B358)</f>
        <v>Huālăng Xiāng</v>
      </c>
      <c r="D358" t="s">
        <v>2517</v>
      </c>
      <c r="E358" t="s">
        <v>7</v>
      </c>
      <c r="F358" t="str">
        <f>_xlfn.CONCAT(D358,", ",H358,", ",I358,", ","云南省")</f>
        <v>花朗乡, 镇雄县, 昭通市, 云南省</v>
      </c>
      <c r="G358">
        <v>21565</v>
      </c>
      <c r="H358" t="s">
        <v>2910</v>
      </c>
      <c r="I358" t="s">
        <v>2899</v>
      </c>
      <c r="J358" t="e">
        <f>VLOOKUP(F358,[1]!china_towns_second__2[[Column1]:[Y]],3,FALSE)</f>
        <v>#N/A</v>
      </c>
      <c r="K358" t="e">
        <f>VLOOKUP(F358,[1]!china_towns_second__2[[Column1]:[Y]],2,FALSE)</f>
        <v>#N/A</v>
      </c>
      <c r="L358" t="s">
        <v>3917</v>
      </c>
      <c r="M358" t="str">
        <f>VLOOKUP(H358,CHOOSE({1,2},Table17[Native],Table17[Name]),2,0)</f>
        <v>Zhènxióng Xiàn</v>
      </c>
      <c r="N358" s="15" t="str">
        <f>VLOOKUP(I358,CHOOSE({1,2},Table17[Native],Table17[Name]),2,0)</f>
        <v>Zhāotōng Shì</v>
      </c>
      <c r="O358" s="15" t="str">
        <f t="shared" si="10"/>
        <v>Hualang Xiang (Zhāotōng Shì)</v>
      </c>
      <c r="P358" s="15" t="str">
        <f t="shared" si="11"/>
        <v>Hualang Xiang (Zhāotōng Shì)</v>
      </c>
    </row>
    <row r="359" spans="1:16" hidden="1" x14ac:dyDescent="0.25">
      <c r="A359" t="s">
        <v>847</v>
      </c>
      <c r="B359" t="str">
        <f>IF(COUNTIF(A:A,A359)&gt;1,_xlfn.CONCAT(A359," (",N359,")"),A359)</f>
        <v>Huángcăolĭng Xiāng</v>
      </c>
      <c r="C359" t="str">
        <f>IF(COUNTIF(B:B,B359)&gt;1,_xlfn.CONCAT(A359," (",M359,")"),B359)</f>
        <v>Huángcăolĭng Xiāng</v>
      </c>
      <c r="D359" t="s">
        <v>848</v>
      </c>
      <c r="E359" t="s">
        <v>7</v>
      </c>
      <c r="F359" t="str">
        <f>_xlfn.CONCAT(D359,", ",H359,", ",I359,", ","云南省")</f>
        <v>黄草岭乡, 元阳县, 红河哈尼族彝族自治州, 云南省</v>
      </c>
      <c r="G359">
        <v>33218</v>
      </c>
      <c r="H359" t="s">
        <v>2805</v>
      </c>
      <c r="I359" t="s">
        <v>2792</v>
      </c>
      <c r="J359" t="e">
        <f>VLOOKUP(F359,[1]!china_towns_second__2[[Column1]:[Y]],3,FALSE)</f>
        <v>#N/A</v>
      </c>
      <c r="K359" t="e">
        <f>VLOOKUP(F359,[1]!china_towns_second__2[[Column1]:[Y]],2,FALSE)</f>
        <v>#N/A</v>
      </c>
      <c r="L359" t="s">
        <v>3918</v>
      </c>
      <c r="M359" t="str">
        <f>VLOOKUP(H359,CHOOSE({1,2},Table17[Native],Table17[Name]),2,0)</f>
        <v>Yuányáng Xiàn</v>
      </c>
      <c r="N359" s="15" t="str">
        <f>VLOOKUP(I359,CHOOSE({1,2},Table17[Native],Table17[Name]),2,0)</f>
        <v>Hónghé Hānízú Yízú Zìzhìzhōu</v>
      </c>
      <c r="O359" s="15" t="str">
        <f t="shared" si="10"/>
        <v>Huangcaoling Xiang (Hónghé Hānízú Yízú Zìzhìzhōu)</v>
      </c>
      <c r="P359" s="15" t="str">
        <f t="shared" si="11"/>
        <v>Huangcaoling Xiang (Hónghé Hānízú Yízú Zìzhìzhōu)</v>
      </c>
    </row>
    <row r="360" spans="1:16" hidden="1" x14ac:dyDescent="0.25">
      <c r="A360" t="s">
        <v>231</v>
      </c>
      <c r="B360" t="str">
        <f>IF(COUNTIF(A:A,A360)&gt;1,_xlfn.CONCAT(A360," (",N360,")"),A360)</f>
        <v>Huángguāyuán Zhèn</v>
      </c>
      <c r="C360" t="str">
        <f>IF(COUNTIF(B:B,B360)&gt;1,_xlfn.CONCAT(A360," (",M360,")"),B360)</f>
        <v>Huángguāyuán Zhèn</v>
      </c>
      <c r="D360" t="s">
        <v>232</v>
      </c>
      <c r="E360" t="s">
        <v>11</v>
      </c>
      <c r="F360" t="str">
        <f>_xlfn.CONCAT(D360,", ",H360,", ",I360,", ","云南省")</f>
        <v>黄瓜园镇, 元谋县, 楚雄彝族自治州, 云南省</v>
      </c>
      <c r="G360">
        <v>37528</v>
      </c>
      <c r="H360" t="s">
        <v>2760</v>
      </c>
      <c r="I360" t="s">
        <v>2750</v>
      </c>
      <c r="J360">
        <f>VLOOKUP(F360,[1]!china_towns_second__2[[Column1]:[Y]],3,FALSE)</f>
        <v>25.820312010362802</v>
      </c>
      <c r="K360">
        <f>VLOOKUP(F360,[1]!china_towns_second__2[[Column1]:[Y]],2,FALSE)</f>
        <v>101.8683868</v>
      </c>
      <c r="L360" t="s">
        <v>3919</v>
      </c>
      <c r="M360" t="str">
        <f>VLOOKUP(H360,CHOOSE({1,2},Table17[Native],Table17[Name]),2,0)</f>
        <v>Yuánmóu Xiàn</v>
      </c>
      <c r="N360" s="15" t="str">
        <f>VLOOKUP(I360,CHOOSE({1,2},Table17[Native],Table17[Name]),2,0)</f>
        <v>Chŭxióng Yízú Zìzhìzhōu</v>
      </c>
      <c r="O360" s="15" t="str">
        <f t="shared" si="10"/>
        <v>Huangguayuan Zhen (Chŭxióng Yízú Zìzhìzhōu)</v>
      </c>
      <c r="P360" s="15" t="str">
        <f t="shared" si="11"/>
        <v>Huangguayuan Zhen (Chŭxióng Yízú Zìzhìzhōu)</v>
      </c>
    </row>
    <row r="361" spans="1:16" hidden="1" x14ac:dyDescent="0.25">
      <c r="A361" t="s">
        <v>2518</v>
      </c>
      <c r="B361" t="str">
        <f>IF(COUNTIF(A:A,A361)&gt;1,_xlfn.CONCAT(A361," (",N361,")"),A361)</f>
        <v>Huánghuá Zhèn</v>
      </c>
      <c r="C361" t="str">
        <f>IF(COUNTIF(B:B,B361)&gt;1,_xlfn.CONCAT(A361," (",M361,")"),B361)</f>
        <v>Huánghuá Zhèn</v>
      </c>
      <c r="D361" t="s">
        <v>2519</v>
      </c>
      <c r="E361" t="s">
        <v>11</v>
      </c>
      <c r="F361" t="str">
        <f>_xlfn.CONCAT(D361,", ",H361,", ",I361,", ","云南省")</f>
        <v>黄华镇, 永善县, 昭通市, 云南省</v>
      </c>
      <c r="G361">
        <v>50032</v>
      </c>
      <c r="H361" t="s">
        <v>2908</v>
      </c>
      <c r="I361" t="s">
        <v>2899</v>
      </c>
      <c r="J361">
        <f>VLOOKUP(F361,[1]!china_towns_second__2[[Column1]:[Y]],3,FALSE)</f>
        <v>27.9619911276775</v>
      </c>
      <c r="K361">
        <f>VLOOKUP(F361,[1]!china_towns_second__2[[Column1]:[Y]],2,FALSE)</f>
        <v>103.546425</v>
      </c>
      <c r="L361" t="s">
        <v>3920</v>
      </c>
      <c r="M361" t="str">
        <f>VLOOKUP(H361,CHOOSE({1,2},Table17[Native],Table17[Name]),2,0)</f>
        <v>Yŏngshàn Xiàn</v>
      </c>
      <c r="N361" s="15" t="str">
        <f>VLOOKUP(I361,CHOOSE({1,2},Table17[Native],Table17[Name]),2,0)</f>
        <v>Zhāotōng Shì</v>
      </c>
      <c r="O361" s="15" t="str">
        <f t="shared" si="10"/>
        <v>Huanghua Zhen (Zhāotōng Shì)</v>
      </c>
      <c r="P361" s="15" t="str">
        <f t="shared" si="11"/>
        <v>Huanghua Zhen (Zhāotōng Shì)</v>
      </c>
    </row>
    <row r="362" spans="1:16" hidden="1" x14ac:dyDescent="0.25">
      <c r="A362" t="s">
        <v>849</v>
      </c>
      <c r="B362" t="str">
        <f>IF(COUNTIF(A:A,A362)&gt;1,_xlfn.CONCAT(A362," (",N362,")"),A362)</f>
        <v>Huángmáolĭng Xiāng</v>
      </c>
      <c r="C362" t="str">
        <f>IF(COUNTIF(B:B,B362)&gt;1,_xlfn.CONCAT(A362," (",M362,")"),B362)</f>
        <v>Huángmáolĭng Xiāng</v>
      </c>
      <c r="D362" t="s">
        <v>850</v>
      </c>
      <c r="E362" t="s">
        <v>7</v>
      </c>
      <c r="F362" t="str">
        <f>_xlfn.CONCAT(D362,", ",H362,", ",I362,", ","云南省")</f>
        <v>黄茅岭乡, 元阳县, 红河哈尼族彝族自治州, 云南省</v>
      </c>
      <c r="G362">
        <v>18732</v>
      </c>
      <c r="H362" t="s">
        <v>2805</v>
      </c>
      <c r="I362" t="s">
        <v>2792</v>
      </c>
      <c r="J362" t="e">
        <f>VLOOKUP(F362,[1]!china_towns_second__2[[Column1]:[Y]],3,FALSE)</f>
        <v>#N/A</v>
      </c>
      <c r="K362" t="e">
        <f>VLOOKUP(F362,[1]!china_towns_second__2[[Column1]:[Y]],2,FALSE)</f>
        <v>#N/A</v>
      </c>
      <c r="L362" t="s">
        <v>3921</v>
      </c>
      <c r="M362" t="str">
        <f>VLOOKUP(H362,CHOOSE({1,2},Table17[Native],Table17[Name]),2,0)</f>
        <v>Yuányáng Xiàn</v>
      </c>
      <c r="N362" s="15" t="str">
        <f>VLOOKUP(I362,CHOOSE({1,2},Table17[Native],Table17[Name]),2,0)</f>
        <v>Hónghé Hānízú Yízú Zìzhìzhōu</v>
      </c>
      <c r="O362" s="15" t="str">
        <f t="shared" si="10"/>
        <v>Huangmaoling Xiang (Hónghé Hānízú Yízú Zìzhìzhōu)</v>
      </c>
      <c r="P362" s="15" t="str">
        <f t="shared" si="11"/>
        <v>Huangmaoling Xiang (Hónghé Hānízú Yízú Zìzhìzhōu)</v>
      </c>
    </row>
    <row r="363" spans="1:16" hidden="1" x14ac:dyDescent="0.25">
      <c r="A363" t="s">
        <v>1916</v>
      </c>
      <c r="B363" t="str">
        <f>IF(COUNTIF(A:A,A363)&gt;1,_xlfn.CONCAT(A363," (",N363,")"),A363)</f>
        <v>Huángníhé Zhèn</v>
      </c>
      <c r="C363" t="str">
        <f>IF(COUNTIF(B:B,B363)&gt;1,_xlfn.CONCAT(A363," (",M363,")"),B363)</f>
        <v>Huángníhé Zhèn</v>
      </c>
      <c r="D363" t="s">
        <v>1917</v>
      </c>
      <c r="E363" t="s">
        <v>11</v>
      </c>
      <c r="F363" t="str">
        <f>_xlfn.CONCAT(D363,", ",H363,", ",I363,", ","云南省")</f>
        <v>黄泥河镇, 富源县, 曲靖市, 云南省</v>
      </c>
      <c r="G363">
        <v>56551</v>
      </c>
      <c r="H363" t="s">
        <v>2861</v>
      </c>
      <c r="I363" t="s">
        <v>2860</v>
      </c>
      <c r="J363">
        <f>VLOOKUP(F363,[1]!china_towns_second__2[[Column1]:[Y]],3,FALSE)</f>
        <v>25.265104912357899</v>
      </c>
      <c r="K363">
        <f>VLOOKUP(F363,[1]!china_towns_second__2[[Column1]:[Y]],2,FALSE)</f>
        <v>104.63814739999999</v>
      </c>
      <c r="L363" t="s">
        <v>3922</v>
      </c>
      <c r="M363" t="str">
        <f>VLOOKUP(H363,CHOOSE({1,2},Table17[Native],Table17[Name]),2,0)</f>
        <v>Fùyuán Xiàn</v>
      </c>
      <c r="N363" s="15" t="str">
        <f>VLOOKUP(I363,CHOOSE({1,2},Table17[Native],Table17[Name]),2,0)</f>
        <v>Qŭjìng Shì</v>
      </c>
      <c r="O363" s="15" t="str">
        <f t="shared" si="10"/>
        <v>Huangnihe Zhen (Qŭjìng Shì)</v>
      </c>
      <c r="P363" s="15" t="str">
        <f t="shared" si="11"/>
        <v>Huangnihe Zhen (Qŭjìng Shì)</v>
      </c>
    </row>
    <row r="364" spans="1:16" hidden="1" x14ac:dyDescent="0.25">
      <c r="A364" t="s">
        <v>440</v>
      </c>
      <c r="B364" t="str">
        <f>IF(COUNTIF(A:A,A364)&gt;1,_xlfn.CONCAT(A364," (",N364,")"),A364)</f>
        <v>Huángpíng Zhèn</v>
      </c>
      <c r="C364" t="str">
        <f>IF(COUNTIF(B:B,B364)&gt;1,_xlfn.CONCAT(A364," (",M364,")"),B364)</f>
        <v>Huángpíng Zhèn</v>
      </c>
      <c r="D364" t="s">
        <v>441</v>
      </c>
      <c r="E364" t="s">
        <v>11</v>
      </c>
      <c r="F364" t="str">
        <f>_xlfn.CONCAT(D364,", ",H364,", ",I364,", ","云南省")</f>
        <v>黄坪镇, 鹤庆县, 大理白族自治州, 云南省</v>
      </c>
      <c r="G364">
        <v>32992</v>
      </c>
      <c r="H364" t="s">
        <v>2767</v>
      </c>
      <c r="I364" t="s">
        <v>2763</v>
      </c>
      <c r="J364">
        <f>VLOOKUP(F364,[1]!china_towns_second__2[[Column1]:[Y]],3,FALSE)</f>
        <v>26.081723119203701</v>
      </c>
      <c r="K364">
        <f>VLOOKUP(F364,[1]!china_towns_second__2[[Column1]:[Y]],2,FALSE)</f>
        <v>100.3469096</v>
      </c>
      <c r="L364" t="s">
        <v>3923</v>
      </c>
      <c r="M364" t="str">
        <f>VLOOKUP(H364,CHOOSE({1,2},Table17[Native],Table17[Name]),2,0)</f>
        <v>Hèqìng Xiàn</v>
      </c>
      <c r="N364" s="15" t="str">
        <f>VLOOKUP(I364,CHOOSE({1,2},Table17[Native],Table17[Name]),2,0)</f>
        <v>Dàlĭ Báizú Zìzhìzhōu</v>
      </c>
      <c r="O364" s="15" t="str">
        <f t="shared" si="10"/>
        <v>Huangping Zhen (Dàlĭ Báizú Zìzhìzhōu)</v>
      </c>
      <c r="P364" s="15" t="str">
        <f t="shared" si="11"/>
        <v>Huangping Zhen (Dàlĭ Báizú Zìzhìzhōu)</v>
      </c>
    </row>
    <row r="365" spans="1:16" hidden="1" x14ac:dyDescent="0.25">
      <c r="A365" t="s">
        <v>1337</v>
      </c>
      <c r="B365" t="str">
        <f>IF(COUNTIF(A:A,A365)&gt;1,_xlfn.CONCAT(A365," (",N365,")"),A365)</f>
        <v>Huángshān Zhèn</v>
      </c>
      <c r="C365" t="str">
        <f>IF(COUNTIF(B:B,B365)&gt;1,_xlfn.CONCAT(A365," (",M365,")"),B365)</f>
        <v>Huángshān Zhèn</v>
      </c>
      <c r="D365" t="s">
        <v>1338</v>
      </c>
      <c r="E365" t="s">
        <v>11</v>
      </c>
      <c r="F365" t="str">
        <f>_xlfn.CONCAT(D365,", ",H365,", ",I365,", ","云南省")</f>
        <v>黄山镇, 玉龙纳西族自治县, 丽江市, 云南省</v>
      </c>
      <c r="G365">
        <v>20136</v>
      </c>
      <c r="H365" t="s">
        <v>2829</v>
      </c>
      <c r="I365" t="s">
        <v>2823</v>
      </c>
      <c r="J365">
        <f>VLOOKUP(F365,[1]!china_towns_second__2[[Column1]:[Y]],3,FALSE)</f>
        <v>26.798899751789801</v>
      </c>
      <c r="K365">
        <f>VLOOKUP(F365,[1]!china_towns_second__2[[Column1]:[Y]],2,FALSE)</f>
        <v>100.1883831</v>
      </c>
      <c r="L365" t="s">
        <v>3924</v>
      </c>
      <c r="M365" t="str">
        <f>VLOOKUP(H365,CHOOSE({1,2},Table17[Native],Table17[Name]),2,0)</f>
        <v>Yùlóng Nàxīzú Zìzhìxiàn</v>
      </c>
      <c r="N365" s="15" t="str">
        <f>VLOOKUP(I365,CHOOSE({1,2},Table17[Native],Table17[Name]),2,0)</f>
        <v>Lìjiāng Shì</v>
      </c>
      <c r="O365" s="15" t="str">
        <f t="shared" si="10"/>
        <v>Huangshan Zhen (Lìjiāng Shì)</v>
      </c>
      <c r="P365" s="15" t="str">
        <f t="shared" si="11"/>
        <v>Huangshan Zhen (Lìjiāng Shì)</v>
      </c>
    </row>
    <row r="366" spans="1:16" hidden="1" x14ac:dyDescent="0.25">
      <c r="A366" t="s">
        <v>2364</v>
      </c>
      <c r="B366" t="str">
        <f>IF(COUNTIF(A:A,A366)&gt;1,_xlfn.CONCAT(A366," (",N366,")"),A366)</f>
        <v>Huàniàn Zhèn</v>
      </c>
      <c r="C366" t="str">
        <f>IF(COUNTIF(B:B,B366)&gt;1,_xlfn.CONCAT(A366," (",M366,")"),B366)</f>
        <v>Huàniàn Zhèn</v>
      </c>
      <c r="D366" t="s">
        <v>2365</v>
      </c>
      <c r="E366" t="s">
        <v>11</v>
      </c>
      <c r="F366" t="str">
        <f>_xlfn.CONCAT(D366,", ",H366,", ",I366,", ","云南省")</f>
        <v>化念镇, 峨山彝族自治县, 玉溪市, 云南省</v>
      </c>
      <c r="G366">
        <v>11538</v>
      </c>
      <c r="H366" t="s">
        <v>2890</v>
      </c>
      <c r="I366" t="s">
        <v>2888</v>
      </c>
      <c r="J366">
        <f>VLOOKUP(F366,[1]!china_towns_second__2[[Column1]:[Y]],3,FALSE)</f>
        <v>24.108699377884001</v>
      </c>
      <c r="K366">
        <f>VLOOKUP(F366,[1]!china_towns_second__2[[Column1]:[Y]],2,FALSE)</f>
        <v>102.20109789999999</v>
      </c>
      <c r="L366" t="s">
        <v>3925</v>
      </c>
      <c r="M366" t="str">
        <f>VLOOKUP(H366,CHOOSE({1,2},Table17[Native],Table17[Name]),2,0)</f>
        <v>Éshān Yízú Zìzhìxiàn</v>
      </c>
      <c r="N366" s="15" t="str">
        <f>VLOOKUP(I366,CHOOSE({1,2},Table17[Native],Table17[Name]),2,0)</f>
        <v>Yùxī Shì</v>
      </c>
      <c r="O366" s="15" t="str">
        <f t="shared" si="10"/>
        <v>Huanian Zhen (Yùxī Shì)</v>
      </c>
      <c r="P366" s="15" t="str">
        <f t="shared" si="11"/>
        <v>Huanian Zhen (Yùxī Shì)</v>
      </c>
    </row>
    <row r="367" spans="1:16" hidden="1" x14ac:dyDescent="0.25">
      <c r="A367" t="s">
        <v>234</v>
      </c>
      <c r="B367" t="str">
        <f>IF(COUNTIF(A:A,A367)&gt;1,_xlfn.CONCAT(A367," (",N367,")"),A367)</f>
        <v>Huánzhōu Xiāng</v>
      </c>
      <c r="C367" t="str">
        <f>IF(COUNTIF(B:B,B367)&gt;1,_xlfn.CONCAT(A367," (",M367,")"),B367)</f>
        <v>Huánzhōu Xiāng</v>
      </c>
      <c r="D367" t="s">
        <v>235</v>
      </c>
      <c r="E367" t="s">
        <v>7</v>
      </c>
      <c r="F367" t="str">
        <f>_xlfn.CONCAT(D367,", ",H367,", ",I367,", ","云南省")</f>
        <v>环州乡, 武定县, 楚雄彝族自治州, 云南省</v>
      </c>
      <c r="G367">
        <v>10189</v>
      </c>
      <c r="H367" t="s">
        <v>2757</v>
      </c>
      <c r="I367" t="s">
        <v>2750</v>
      </c>
      <c r="J367" t="e">
        <f>VLOOKUP(F367,[1]!china_towns_second__2[[Column1]:[Y]],3,FALSE)</f>
        <v>#N/A</v>
      </c>
      <c r="K367" t="e">
        <f>VLOOKUP(F367,[1]!china_towns_second__2[[Column1]:[Y]],2,FALSE)</f>
        <v>#N/A</v>
      </c>
      <c r="L367" t="s">
        <v>3926</v>
      </c>
      <c r="M367" t="str">
        <f>VLOOKUP(H367,CHOOSE({1,2},Table17[Native],Table17[Name]),2,0)</f>
        <v>Wŭdìng Xiàn</v>
      </c>
      <c r="N367" s="15" t="str">
        <f>VLOOKUP(I367,CHOOSE({1,2},Table17[Native],Table17[Name]),2,0)</f>
        <v>Chŭxióng Yízú Zìzhìzhōu</v>
      </c>
      <c r="O367" s="15" t="str">
        <f t="shared" si="10"/>
        <v>Huanzhou Xiang (Chŭxióng Yízú Zìzhìzhōu)</v>
      </c>
      <c r="P367" s="15" t="str">
        <f t="shared" si="11"/>
        <v>Huanzhou Xiang (Chŭxióng Yízú Zìzhìzhōu)</v>
      </c>
    </row>
    <row r="368" spans="1:16" hidden="1" x14ac:dyDescent="0.25">
      <c r="A368" t="s">
        <v>1118</v>
      </c>
      <c r="B368" t="str">
        <f>IF(COUNTIF(A:A,A368)&gt;1,_xlfn.CONCAT(A368," (",N368,")"),A368)</f>
        <v>Huáshān Jiēdào</v>
      </c>
      <c r="C368" t="str">
        <f>IF(COUNTIF(B:B,B368)&gt;1,_xlfn.CONCAT(A368," (",M368,")"),B368)</f>
        <v>Huáshān Jiēdào</v>
      </c>
      <c r="D368" t="s">
        <v>1119</v>
      </c>
      <c r="E368" t="s">
        <v>42</v>
      </c>
      <c r="F368" t="str">
        <f>_xlfn.CONCAT(D368,", ",H368,", ",I368,", ","云南省")</f>
        <v>华山街道, 五华区, 昆明市, 云南省</v>
      </c>
      <c r="G368">
        <v>81628</v>
      </c>
      <c r="H368" t="s">
        <v>2818</v>
      </c>
      <c r="I368" t="s">
        <v>2807</v>
      </c>
      <c r="J368">
        <f>VLOOKUP(F368,[1]!china_towns_second__2[[Column1]:[Y]],3,FALSE)</f>
        <v>25.055187682191999</v>
      </c>
      <c r="K368">
        <f>VLOOKUP(F368,[1]!china_towns_second__2[[Column1]:[Y]],2,FALSE)</f>
        <v>102.7037272</v>
      </c>
      <c r="L368" t="s">
        <v>3927</v>
      </c>
      <c r="M368" t="str">
        <f>VLOOKUP(H368,CHOOSE({1,2},Table17[Native],Table17[Name]),2,0)</f>
        <v>Wŭhuá Qū</v>
      </c>
      <c r="N368" s="15" t="str">
        <f>VLOOKUP(I368,CHOOSE({1,2},Table17[Native],Table17[Name]),2,0)</f>
        <v>Kūnmíng Shì</v>
      </c>
      <c r="O368" s="15" t="str">
        <f t="shared" si="10"/>
        <v>Huashan Jiedao (Kūnmíng Shì)</v>
      </c>
      <c r="P368" s="15" t="str">
        <f t="shared" si="11"/>
        <v>Huashan Jiedao (Kūnmíng Shì)</v>
      </c>
    </row>
    <row r="369" spans="1:16" hidden="1" x14ac:dyDescent="0.25">
      <c r="A369" t="s">
        <v>2520</v>
      </c>
      <c r="B369" t="str">
        <f>IF(COUNTIF(A:A,A369)&gt;1,_xlfn.CONCAT(A369," (",N369,")"),A369)</f>
        <v>Huāshān Xiāng</v>
      </c>
      <c r="C369" t="str">
        <f>IF(COUNTIF(B:B,B369)&gt;1,_xlfn.CONCAT(A369," (",M369,")"),B369)</f>
        <v>Huāshān Xiāng</v>
      </c>
      <c r="D369" t="s">
        <v>2521</v>
      </c>
      <c r="E369" t="s">
        <v>7</v>
      </c>
      <c r="F369" t="str">
        <f>_xlfn.CONCAT(D369,", ",H369,", ",I369,", ","云南省")</f>
        <v>花山乡, 镇雄县, 昭通市, 云南省</v>
      </c>
      <c r="G369">
        <v>26285</v>
      </c>
      <c r="H369" t="s">
        <v>2910</v>
      </c>
      <c r="I369" t="s">
        <v>2899</v>
      </c>
      <c r="J369" t="e">
        <f>VLOOKUP(F369,[1]!china_towns_second__2[[Column1]:[Y]],3,FALSE)</f>
        <v>#N/A</v>
      </c>
      <c r="K369" t="e">
        <f>VLOOKUP(F369,[1]!china_towns_second__2[[Column1]:[Y]],2,FALSE)</f>
        <v>#N/A</v>
      </c>
      <c r="L369" t="s">
        <v>3928</v>
      </c>
      <c r="M369" t="str">
        <f>VLOOKUP(H369,CHOOSE({1,2},Table17[Native],Table17[Name]),2,0)</f>
        <v>Zhènxióng Xiàn</v>
      </c>
      <c r="N369" s="15" t="str">
        <f>VLOOKUP(I369,CHOOSE({1,2},Table17[Native],Table17[Name]),2,0)</f>
        <v>Zhāotōng Shì</v>
      </c>
      <c r="O369" s="15" t="str">
        <f t="shared" si="10"/>
        <v>Huashan Xiang (Zhāotōng Shì)</v>
      </c>
      <c r="P369" s="15" t="str">
        <f t="shared" si="11"/>
        <v>Huashan Xiang (Zhāotōng Shì)</v>
      </c>
    </row>
    <row r="370" spans="1:16" hidden="1" x14ac:dyDescent="0.25">
      <c r="A370" t="s">
        <v>1697</v>
      </c>
      <c r="B370" t="str">
        <f>IF(COUNTIF(A:A,A370)&gt;1,_xlfn.CONCAT(A370," (",N370,")"),A370)</f>
        <v>Huāshān Zhèn</v>
      </c>
      <c r="C370" t="str">
        <f>IF(COUNTIF(B:B,B370)&gt;1,_xlfn.CONCAT(A370," (",M370,")"),B370)</f>
        <v>Huāshān Zhèn</v>
      </c>
      <c r="D370" t="s">
        <v>1698</v>
      </c>
      <c r="E370" t="s">
        <v>11</v>
      </c>
      <c r="F370" t="str">
        <f>_xlfn.CONCAT(D370,", ",H370,", ",I370,", ","云南省")</f>
        <v>花山镇, 景东彝族自治县, 普洱市, 云南省</v>
      </c>
      <c r="G370">
        <v>28042</v>
      </c>
      <c r="H370" t="s">
        <v>2850</v>
      </c>
      <c r="I370" t="s">
        <v>2848</v>
      </c>
      <c r="J370">
        <f>VLOOKUP(F370,[1]!china_towns_second__2[[Column1]:[Y]],3,FALSE)</f>
        <v>24.261958799012699</v>
      </c>
      <c r="K370">
        <f>VLOOKUP(F370,[1]!china_towns_second__2[[Column1]:[Y]],2,FALSE)</f>
        <v>101.1464797</v>
      </c>
      <c r="L370" t="s">
        <v>3929</v>
      </c>
      <c r="M370" t="str">
        <f>VLOOKUP(H370,CHOOSE({1,2},Table17[Native],Table17[Name]),2,0)</f>
        <v>Jĭngdōng Yízú Zìzhìxiàn</v>
      </c>
      <c r="N370" s="15" t="str">
        <f>VLOOKUP(I370,CHOOSE({1,2},Table17[Native],Table17[Name]),2,0)</f>
        <v>Pŭ'ĕr Shì</v>
      </c>
      <c r="O370" s="15" t="str">
        <f t="shared" si="10"/>
        <v>Huashan Zhen (Pŭ'ĕr Shì)</v>
      </c>
      <c r="P370" s="15" t="str">
        <f t="shared" si="11"/>
        <v>Huashan Zhen (Pŭ'ĕr Shì)</v>
      </c>
    </row>
    <row r="371" spans="1:16" hidden="1" x14ac:dyDescent="0.25">
      <c r="A371" t="s">
        <v>2366</v>
      </c>
      <c r="B371" t="str">
        <f>IF(COUNTIF(A:A,A371)&gt;1,_xlfn.CONCAT(A371," (",N371,")"),A371)</f>
        <v>Huáxī Zhèn</v>
      </c>
      <c r="C371" t="str">
        <f>IF(COUNTIF(B:B,B371)&gt;1,_xlfn.CONCAT(A371," (",M371,")"),B371)</f>
        <v>Huáxī Zhèn</v>
      </c>
      <c r="D371" t="s">
        <v>2367</v>
      </c>
      <c r="E371" t="s">
        <v>11</v>
      </c>
      <c r="F371" t="str">
        <f>_xlfn.CONCAT(D371,", ",H371,", ",I371,", ","云南省")</f>
        <v>华溪镇, 华宁县, 玉溪市, 云南省</v>
      </c>
      <c r="G371">
        <v>13785</v>
      </c>
      <c r="H371" t="s">
        <v>2892</v>
      </c>
      <c r="I371" t="s">
        <v>2888</v>
      </c>
      <c r="J371">
        <f>VLOOKUP(F371,[1]!china_towns_second__2[[Column1]:[Y]],3,FALSE)</f>
        <v>24.067232877508001</v>
      </c>
      <c r="K371">
        <f>VLOOKUP(F371,[1]!china_towns_second__2[[Column1]:[Y]],2,FALSE)</f>
        <v>102.96028920000001</v>
      </c>
      <c r="L371" t="s">
        <v>3930</v>
      </c>
      <c r="M371" t="str">
        <f>VLOOKUP(H371,CHOOSE({1,2},Table17[Native],Table17[Name]),2,0)</f>
        <v>Huáníng Xiàn</v>
      </c>
      <c r="N371" s="15" t="str">
        <f>VLOOKUP(I371,CHOOSE({1,2},Table17[Native],Table17[Name]),2,0)</f>
        <v>Yùxī Shì</v>
      </c>
      <c r="O371" s="15" t="str">
        <f t="shared" si="10"/>
        <v>Huaxi Zhen (Yùxī Shì)</v>
      </c>
      <c r="P371" s="15" t="str">
        <f t="shared" si="11"/>
        <v>Huaxi Zhen (Yùxī Shì)</v>
      </c>
    </row>
    <row r="372" spans="1:16" hidden="1" x14ac:dyDescent="0.25">
      <c r="A372" t="s">
        <v>1120</v>
      </c>
      <c r="B372" t="str">
        <f>IF(COUNTIF(A:A,A372)&gt;1,_xlfn.CONCAT(A372," (",N372,")"),A372)</f>
        <v>Hùguó Jiēdào</v>
      </c>
      <c r="C372" t="str">
        <f>IF(COUNTIF(B:B,B372)&gt;1,_xlfn.CONCAT(A372," (",M372,")"),B372)</f>
        <v>Hùguó Jiēdào</v>
      </c>
      <c r="D372" t="s">
        <v>1121</v>
      </c>
      <c r="E372" t="s">
        <v>42</v>
      </c>
      <c r="F372" t="str">
        <f>_xlfn.CONCAT(D372,", ",H372,", ",I372,", ","云南省")</f>
        <v>护国街道, 五华区, 昆明市, 云南省</v>
      </c>
      <c r="G372">
        <v>32185</v>
      </c>
      <c r="H372" t="s">
        <v>2818</v>
      </c>
      <c r="I372" t="s">
        <v>2807</v>
      </c>
      <c r="J372">
        <f>VLOOKUP(F372,[1]!china_towns_second__2[[Column1]:[Y]],3,FALSE)</f>
        <v>25.0433976937083</v>
      </c>
      <c r="K372">
        <f>VLOOKUP(F372,[1]!china_towns_second__2[[Column1]:[Y]],2,FALSE)</f>
        <v>102.7108005</v>
      </c>
      <c r="L372" t="s">
        <v>3931</v>
      </c>
      <c r="M372" t="str">
        <f>VLOOKUP(H372,CHOOSE({1,2},Table17[Native],Table17[Name]),2,0)</f>
        <v>Wŭhuá Qū</v>
      </c>
      <c r="N372" s="15" t="str">
        <f>VLOOKUP(I372,CHOOSE({1,2},Table17[Native],Table17[Name]),2,0)</f>
        <v>Kūnmíng Shì</v>
      </c>
      <c r="O372" s="15" t="str">
        <f t="shared" si="10"/>
        <v>Huguo Jiedao (Kūnmíng Shì)</v>
      </c>
      <c r="P372" s="15" t="str">
        <f t="shared" si="11"/>
        <v>Huguo Jiedao (Kūnmíng Shì)</v>
      </c>
    </row>
    <row r="373" spans="1:16" hidden="1" x14ac:dyDescent="0.25">
      <c r="A373" t="s">
        <v>615</v>
      </c>
      <c r="B373" t="str">
        <f>IF(COUNTIF(A:A,A373)&gt;1,_xlfn.CONCAT(A373," (",N373,")"),A373)</f>
        <v>Hùguó Xiāng</v>
      </c>
      <c r="C373" t="str">
        <f>IF(COUNTIF(B:B,B373)&gt;1,_xlfn.CONCAT(A373," (",M373,")"),B373)</f>
        <v>Hùguó Xiāng</v>
      </c>
      <c r="D373" t="s">
        <v>616</v>
      </c>
      <c r="E373" t="s">
        <v>7</v>
      </c>
      <c r="F373" t="str">
        <f>_xlfn.CONCAT(D373,", ",H373,", ",I373,", ","云南省")</f>
        <v>护国乡, 陇川县, 德宏傣族景颇族自治州, 云南省</v>
      </c>
      <c r="G373">
        <v>6181</v>
      </c>
      <c r="H373" t="s">
        <v>2781</v>
      </c>
      <c r="I373" t="s">
        <v>2779</v>
      </c>
      <c r="J373" t="e">
        <f>VLOOKUP(F373,[1]!china_towns_second__2[[Column1]:[Y]],3,FALSE)</f>
        <v>#N/A</v>
      </c>
      <c r="K373" t="e">
        <f>VLOOKUP(F373,[1]!china_towns_second__2[[Column1]:[Y]],2,FALSE)</f>
        <v>#N/A</v>
      </c>
      <c r="L373" t="s">
        <v>3932</v>
      </c>
      <c r="M373" t="str">
        <f>VLOOKUP(H373,CHOOSE({1,2},Table17[Native],Table17[Name]),2,0)</f>
        <v>Lŏngchuān Xiàn</v>
      </c>
      <c r="N373" s="15" t="str">
        <f>VLOOKUP(I373,CHOOSE({1,2},Table17[Native],Table17[Name]),2,0)</f>
        <v>Déhóng Dăizú Jĭngpōzú Zìzhìzhōu</v>
      </c>
      <c r="O373" s="15" t="str">
        <f t="shared" si="10"/>
        <v>Huguo Xiang (Déhóng Dăizú Jĭngpōzú Zìzhìzhōu)</v>
      </c>
      <c r="P373" s="15" t="str">
        <f t="shared" si="11"/>
        <v>Huguo Xiang (Déhóng Dăizú Jĭngpōzú Zìzhìzhōu)</v>
      </c>
    </row>
    <row r="374" spans="1:16" hidden="1" x14ac:dyDescent="0.25">
      <c r="A374" t="s">
        <v>1699</v>
      </c>
      <c r="B374" t="str">
        <f>IF(COUNTIF(A:A,A374)&gt;1,_xlfn.CONCAT(A374," (",N374,")"),A374)</f>
        <v>Huìmín Zhèn</v>
      </c>
      <c r="C374" t="str">
        <f>IF(COUNTIF(B:B,B374)&gt;1,_xlfn.CONCAT(A374," (",M374,")"),B374)</f>
        <v>Huìmín Zhèn</v>
      </c>
      <c r="D374" t="s">
        <v>1700</v>
      </c>
      <c r="E374" t="s">
        <v>11</v>
      </c>
      <c r="F374" t="str">
        <f>_xlfn.CONCAT(D374,", ",H374,", ",I374,", ","云南省")</f>
        <v>惠民镇, 澜沧拉祜族自治县, 普洱市, 云南省</v>
      </c>
      <c r="G374">
        <v>17303</v>
      </c>
      <c r="H374" t="s">
        <v>2852</v>
      </c>
      <c r="I374" t="s">
        <v>2848</v>
      </c>
      <c r="J374">
        <f>VLOOKUP(F374,[1]!china_towns_second__2[[Column1]:[Y]],3,FALSE)</f>
        <v>22.239238224825801</v>
      </c>
      <c r="K374">
        <f>VLOOKUP(F374,[1]!china_towns_second__2[[Column1]:[Y]],2,FALSE)</f>
        <v>100.043998</v>
      </c>
      <c r="L374" t="s">
        <v>3933</v>
      </c>
      <c r="M374" t="str">
        <f>VLOOKUP(H374,CHOOSE({1,2},Table17[Native],Table17[Name]),2,0)</f>
        <v>Láncāng Lāhùzú Zìzhìxiàn</v>
      </c>
      <c r="N374" s="15" t="str">
        <f>VLOOKUP(I374,CHOOSE({1,2},Table17[Native],Table17[Name]),2,0)</f>
        <v>Pŭ'ĕr Shì</v>
      </c>
      <c r="O374" s="15" t="str">
        <f t="shared" si="10"/>
        <v>Huimin Zhen (Pŭ'ĕr Shì)</v>
      </c>
      <c r="P374" s="15" t="str">
        <f t="shared" si="11"/>
        <v>Huimin Zhen (Pŭ'ĕr Shì)</v>
      </c>
    </row>
    <row r="375" spans="1:16" hidden="1" x14ac:dyDescent="0.25">
      <c r="A375" t="s">
        <v>2522</v>
      </c>
      <c r="B375" t="str">
        <f>IF(COUNTIF(A:A,A375)&gt;1,_xlfn.CONCAT(A375," (",N375,")"),A375)</f>
        <v>Huìyí Zhèn</v>
      </c>
      <c r="C375" t="str">
        <f>IF(COUNTIF(B:B,B375)&gt;1,_xlfn.CONCAT(A375," (",M375,")"),B375)</f>
        <v>Huìyí Zhèn</v>
      </c>
      <c r="D375" t="s">
        <v>2523</v>
      </c>
      <c r="E375" t="s">
        <v>11</v>
      </c>
      <c r="F375" t="str">
        <f>_xlfn.CONCAT(D375,", ",H375,", ",I375,", ","云南省")</f>
        <v>会仪镇, 绥江县, 昭通市, 云南省</v>
      </c>
      <c r="G375">
        <v>22033</v>
      </c>
      <c r="H375" t="s">
        <v>2904</v>
      </c>
      <c r="I375" t="s">
        <v>2899</v>
      </c>
      <c r="J375">
        <f>VLOOKUP(F375,[1]!china_towns_second__2[[Column1]:[Y]],3,FALSE)</f>
        <v>28.599880871378801</v>
      </c>
      <c r="K375">
        <f>VLOOKUP(F375,[1]!china_towns_second__2[[Column1]:[Y]],2,FALSE)</f>
        <v>104.1922373</v>
      </c>
      <c r="L375" t="s">
        <v>3934</v>
      </c>
      <c r="M375" t="str">
        <f>VLOOKUP(H375,CHOOSE({1,2},Table17[Native],Table17[Name]),2,0)</f>
        <v>Suíjiāng Xiàn</v>
      </c>
      <c r="N375" s="15" t="str">
        <f>VLOOKUP(I375,CHOOSE({1,2},Table17[Native],Table17[Name]),2,0)</f>
        <v>Zhāotōng Shì</v>
      </c>
      <c r="O375" s="15" t="str">
        <f t="shared" si="10"/>
        <v>Huiyi Zhen (Zhāotōng Shì)</v>
      </c>
      <c r="P375" s="15" t="str">
        <f t="shared" si="11"/>
        <v>Huiyi Zhen (Zhāotōng Shì)</v>
      </c>
    </row>
    <row r="376" spans="1:16" hidden="1" x14ac:dyDescent="0.25">
      <c r="A376" t="s">
        <v>2524</v>
      </c>
      <c r="B376" t="str">
        <f>IF(COUNTIF(A:A,A376)&gt;1,_xlfn.CONCAT(A376," (",N376,")"),A376)</f>
        <v>Huŏdéhóng Zhèn</v>
      </c>
      <c r="C376" t="str">
        <f>IF(COUNTIF(B:B,B376)&gt;1,_xlfn.CONCAT(A376," (",M376,")"),B376)</f>
        <v>Huŏdéhóng Zhèn</v>
      </c>
      <c r="D376" t="s">
        <v>2525</v>
      </c>
      <c r="E376" t="s">
        <v>11</v>
      </c>
      <c r="F376" t="str">
        <f>_xlfn.CONCAT(D376,", ",H376,", ",I376,", ","云南省")</f>
        <v>火德红镇, 鲁甸县, 昭通市, 云南省</v>
      </c>
      <c r="G376">
        <v>19702</v>
      </c>
      <c r="H376" t="s">
        <v>2901</v>
      </c>
      <c r="I376" t="s">
        <v>2899</v>
      </c>
      <c r="J376">
        <f>VLOOKUP(F376,[1]!china_towns_second__2[[Column1]:[Y]],3,FALSE)</f>
        <v>27.041590060238399</v>
      </c>
      <c r="K376">
        <f>VLOOKUP(F376,[1]!china_towns_second__2[[Column1]:[Y]],2,FALSE)</f>
        <v>103.4675962</v>
      </c>
      <c r="L376" t="s">
        <v>3935</v>
      </c>
      <c r="M376" t="str">
        <f>VLOOKUP(H376,CHOOSE({1,2},Table17[Native],Table17[Name]),2,0)</f>
        <v>Lŭdiàn Xiàn</v>
      </c>
      <c r="N376" s="15" t="str">
        <f>VLOOKUP(I376,CHOOSE({1,2},Table17[Native],Table17[Name]),2,0)</f>
        <v>Zhāotōng Shì</v>
      </c>
      <c r="O376" s="15" t="str">
        <f t="shared" si="10"/>
        <v>Huodehong Zhen (Zhāotōng Shì)</v>
      </c>
      <c r="P376" s="15" t="str">
        <f t="shared" si="11"/>
        <v>Huodehong Zhen (Zhāotōng Shì)</v>
      </c>
    </row>
    <row r="377" spans="1:16" hidden="1" x14ac:dyDescent="0.25">
      <c r="A377" t="s">
        <v>1918</v>
      </c>
      <c r="B377" t="str">
        <f>IF(COUNTIF(A:A,A377)&gt;1,_xlfn.CONCAT(A377," (",N377,")"),A377)</f>
        <v>Huŏhóng Xiāng</v>
      </c>
      <c r="C377" t="str">
        <f>IF(COUNTIF(B:B,B377)&gt;1,_xlfn.CONCAT(A377," (",M377,")"),B377)</f>
        <v>Huŏhóng Xiāng</v>
      </c>
      <c r="D377" t="s">
        <v>1919</v>
      </c>
      <c r="E377" t="s">
        <v>7</v>
      </c>
      <c r="F377" t="str">
        <f>_xlfn.CONCAT(D377,", ",H377,", ",I377,", ","云南省")</f>
        <v>火红乡, 会泽县, 曲靖市, 云南省</v>
      </c>
      <c r="G377">
        <v>32223</v>
      </c>
      <c r="H377" t="s">
        <v>2862</v>
      </c>
      <c r="I377" t="s">
        <v>2860</v>
      </c>
      <c r="J377" t="e">
        <f>VLOOKUP(F377,[1]!china_towns_second__2[[Column1]:[Y]],3,FALSE)</f>
        <v>#N/A</v>
      </c>
      <c r="K377" t="e">
        <f>VLOOKUP(F377,[1]!china_towns_second__2[[Column1]:[Y]],2,FALSE)</f>
        <v>#N/A</v>
      </c>
      <c r="L377" t="s">
        <v>3936</v>
      </c>
      <c r="M377" t="str">
        <f>VLOOKUP(H377,CHOOSE({1,2},Table17[Native],Table17[Name]),2,0)</f>
        <v>Huìzé Xiàn</v>
      </c>
      <c r="N377" s="15" t="str">
        <f>VLOOKUP(I377,CHOOSE({1,2},Table17[Native],Table17[Name]),2,0)</f>
        <v>Qŭjìng Shì</v>
      </c>
      <c r="O377" s="15" t="str">
        <f t="shared" si="10"/>
        <v>Huohong Xiang (Qŭjìng Shì)</v>
      </c>
      <c r="P377" s="15" t="str">
        <f t="shared" si="11"/>
        <v>Huohong Xiang (Qŭjìng Shì)</v>
      </c>
    </row>
    <row r="378" spans="1:16" hidden="1" x14ac:dyDescent="0.25">
      <c r="A378" t="s">
        <v>1920</v>
      </c>
      <c r="B378" t="str">
        <f>IF(COUNTIF(A:A,A378)&gt;1,_xlfn.CONCAT(A378," (",N378,")"),A378)</f>
        <v>Huóshuĭ Xiāng</v>
      </c>
      <c r="C378" t="str">
        <f>IF(COUNTIF(B:B,B378)&gt;1,_xlfn.CONCAT(A378," (",M378,")"),B378)</f>
        <v>Huóshuĭ Xiāng</v>
      </c>
      <c r="D378" t="s">
        <v>1921</v>
      </c>
      <c r="E378" t="s">
        <v>7</v>
      </c>
      <c r="F378" t="str">
        <f>_xlfn.CONCAT(D378,", ",H378,", ",I378,", ","云南省")</f>
        <v>活水乡, 陆良县, 曲靖市, 云南省</v>
      </c>
      <c r="G378">
        <v>21867</v>
      </c>
      <c r="H378" t="s">
        <v>2863</v>
      </c>
      <c r="I378" t="s">
        <v>2860</v>
      </c>
      <c r="J378" t="e">
        <f>VLOOKUP(F378,[1]!china_towns_second__2[[Column1]:[Y]],3,FALSE)</f>
        <v>#N/A</v>
      </c>
      <c r="K378" t="e">
        <f>VLOOKUP(F378,[1]!china_towns_second__2[[Column1]:[Y]],2,FALSE)</f>
        <v>#N/A</v>
      </c>
      <c r="L378" t="s">
        <v>3937</v>
      </c>
      <c r="M378" t="str">
        <f>VLOOKUP(H378,CHOOSE({1,2},Table17[Native],Table17[Name]),2,0)</f>
        <v>Lùliáng Xiàn</v>
      </c>
      <c r="N378" s="15" t="str">
        <f>VLOOKUP(I378,CHOOSE({1,2},Table17[Native],Table17[Name]),2,0)</f>
        <v>Qŭjìng Shì</v>
      </c>
      <c r="O378" s="15" t="str">
        <f t="shared" si="10"/>
        <v>Huoshui Xiang (Qŭjìng Shì)</v>
      </c>
      <c r="P378" s="15" t="str">
        <f t="shared" si="11"/>
        <v>Huoshui Xiang (Qŭjìng Shì)</v>
      </c>
    </row>
    <row r="379" spans="1:16" hidden="1" x14ac:dyDescent="0.25">
      <c r="A379" t="s">
        <v>617</v>
      </c>
      <c r="B379" t="str">
        <f>IF(COUNTIF(A:A,A379)&gt;1,_xlfn.CONCAT(A379," (",N379,")"),A379)</f>
        <v>Hùsā'ā Chāngzú Xiāng</v>
      </c>
      <c r="C379" t="str">
        <f>IF(COUNTIF(B:B,B379)&gt;1,_xlfn.CONCAT(A379," (",M379,")"),B379)</f>
        <v>Hùsā'ā Chāngzú Xiāng</v>
      </c>
      <c r="D379" t="s">
        <v>618</v>
      </c>
      <c r="E379" t="s">
        <v>7</v>
      </c>
      <c r="F379" t="str">
        <f>_xlfn.CONCAT(D379,", ",H379,", ",I379,", ","云南省")</f>
        <v>户撒阿昌族乡, 陇川县, 德宏傣族景颇族自治州, 云南省</v>
      </c>
      <c r="G379">
        <v>22773</v>
      </c>
      <c r="H379" t="s">
        <v>2781</v>
      </c>
      <c r="I379" t="s">
        <v>2779</v>
      </c>
      <c r="J379" t="e">
        <f>VLOOKUP(F379,[1]!china_towns_second__2[[Column1]:[Y]],3,FALSE)</f>
        <v>#N/A</v>
      </c>
      <c r="K379" t="e">
        <f>VLOOKUP(F379,[1]!china_towns_second__2[[Column1]:[Y]],2,FALSE)</f>
        <v>#N/A</v>
      </c>
      <c r="L379" t="s">
        <v>3938</v>
      </c>
      <c r="M379" t="str">
        <f>VLOOKUP(H379,CHOOSE({1,2},Table17[Native],Table17[Name]),2,0)</f>
        <v>Lŏngchuān Xiàn</v>
      </c>
      <c r="N379" s="15" t="str">
        <f>VLOOKUP(I379,CHOOSE({1,2},Table17[Native],Table17[Name]),2,0)</f>
        <v>Déhóng Dăizú Jĭngpōzú Zìzhìzhōu</v>
      </c>
      <c r="O379" s="15" t="str">
        <f t="shared" si="10"/>
        <v>Husa'a Changzu Xiang (Déhóng Dăizú Jĭngpōzú Zìzhìzhōu)</v>
      </c>
      <c r="P379" s="15" t="str">
        <f t="shared" si="11"/>
        <v>Husa'a Changzu Xiang (Déhóng Dăizú Jĭngpōzú Zìzhìzhōu)</v>
      </c>
    </row>
    <row r="380" spans="1:16" hidden="1" x14ac:dyDescent="0.25">
      <c r="A380" t="s">
        <v>724</v>
      </c>
      <c r="B380" t="str">
        <f>IF(COUNTIF(A:A,A380)&gt;1,_xlfn.CONCAT(A380," (",N380,")"),A380)</f>
        <v>Hŭtiàoxiá Zhèn</v>
      </c>
      <c r="C380" t="str">
        <f>IF(COUNTIF(B:B,B380)&gt;1,_xlfn.CONCAT(A380," (",M380,")"),B380)</f>
        <v>Hŭtiàoxiá Zhèn</v>
      </c>
      <c r="D380" t="s">
        <v>725</v>
      </c>
      <c r="E380" t="s">
        <v>11</v>
      </c>
      <c r="F380" t="str">
        <f>_xlfn.CONCAT(D380,", ",H380,", ",I380,", ","云南省")</f>
        <v>虎跳峡镇, 香格里拉市, 迪庆藏族自治州, 云南省</v>
      </c>
      <c r="G380">
        <v>19922</v>
      </c>
      <c r="H380" t="s">
        <v>2789</v>
      </c>
      <c r="I380" t="s">
        <v>2786</v>
      </c>
      <c r="J380">
        <f>VLOOKUP(F380,[1]!china_towns_second__2[[Column1]:[Y]],3,FALSE)</f>
        <v>27.248070440497099</v>
      </c>
      <c r="K380">
        <f>VLOOKUP(F380,[1]!china_towns_second__2[[Column1]:[Y]],2,FALSE)</f>
        <v>100.00164049999999</v>
      </c>
      <c r="L380" t="s">
        <v>3939</v>
      </c>
      <c r="M380" t="str">
        <f>VLOOKUP(H380,CHOOSE({1,2},Table17[Native],Table17[Name]),2,0)</f>
        <v>Xiānggélĭlā Shì</v>
      </c>
      <c r="N380" s="15" t="str">
        <f>VLOOKUP(I380,CHOOSE({1,2},Table17[Native],Table17[Name]),2,0)</f>
        <v>Díqìng Zàngzú Zìzhìzhōu</v>
      </c>
      <c r="O380" s="15" t="str">
        <f t="shared" si="10"/>
        <v>Hutiaoxia Zhen (Díqìng Zàngzú Zìzhìzhōu)</v>
      </c>
      <c r="P380" s="15" t="str">
        <f t="shared" si="11"/>
        <v>Hutiaoxia Zhen (Díqìng Zàngzú Zìzhìzhōu)</v>
      </c>
    </row>
    <row r="381" spans="1:16" hidden="1" x14ac:dyDescent="0.25">
      <c r="A381" t="s">
        <v>619</v>
      </c>
      <c r="B381" t="str">
        <f>IF(COUNTIF(A:A,A381)&gt;1,_xlfn.CONCAT(A381," (",N381,")"),A381)</f>
        <v>Hùyù Xiāng</v>
      </c>
      <c r="C381" t="str">
        <f>IF(COUNTIF(B:B,B381)&gt;1,_xlfn.CONCAT(A381," (",M381,")"),B381)</f>
        <v>Hùyù Xiāng</v>
      </c>
      <c r="D381" t="s">
        <v>620</v>
      </c>
      <c r="E381" t="s">
        <v>7</v>
      </c>
      <c r="F381" t="str">
        <f>_xlfn.CONCAT(D381,", ",H381,", ",I381,", ","云南省")</f>
        <v>户育乡, 瑞丽市, 德宏傣族景颇族自治州, 云南省</v>
      </c>
      <c r="G381">
        <v>9141</v>
      </c>
      <c r="H381" t="s">
        <v>2783</v>
      </c>
      <c r="I381" t="s">
        <v>2779</v>
      </c>
      <c r="J381" t="e">
        <f>VLOOKUP(F381,[1]!china_towns_second__2[[Column1]:[Y]],3,FALSE)</f>
        <v>#N/A</v>
      </c>
      <c r="K381" t="e">
        <f>VLOOKUP(F381,[1]!china_towns_second__2[[Column1]:[Y]],2,FALSE)</f>
        <v>#N/A</v>
      </c>
      <c r="L381" t="s">
        <v>3940</v>
      </c>
      <c r="M381" t="str">
        <f>VLOOKUP(H381,CHOOSE({1,2},Table17[Native],Table17[Name]),2,0)</f>
        <v>Ruìlì Shì</v>
      </c>
      <c r="N381" s="15" t="str">
        <f>VLOOKUP(I381,CHOOSE({1,2},Table17[Native],Table17[Name]),2,0)</f>
        <v>Déhóng Dăizú Jĭngpōzú Zìzhìzhōu</v>
      </c>
      <c r="O381" s="15" t="str">
        <f t="shared" si="10"/>
        <v>Huyu Xiang (Déhóng Dăizú Jĭngpōzú Zìzhìzhōu)</v>
      </c>
      <c r="P381" s="15" t="str">
        <f t="shared" si="11"/>
        <v>Huyu Xiang (Déhóng Dăizú Jĭngpōzú Zìzhìzhōu)</v>
      </c>
    </row>
    <row r="382" spans="1:16" hidden="1" x14ac:dyDescent="0.25">
      <c r="A382" t="s">
        <v>851</v>
      </c>
      <c r="B382" t="str">
        <f>IF(COUNTIF(A:A,A382)&gt;1,_xlfn.CONCAT(A382," (",N382,")"),A382)</f>
        <v>Jiàchē Xiāng (Hónghé Hānízú Yízú Zìzhìzhōu)</v>
      </c>
      <c r="C382" t="str">
        <f>IF(COUNTIF(B:B,B382)&gt;1,_xlfn.CONCAT(A382," (",M382,")"),B382)</f>
        <v>Jiàchē Xiāng (Hónghé Hānízú Yízú Zìzhìzhōu)</v>
      </c>
      <c r="D382" t="s">
        <v>852</v>
      </c>
      <c r="E382" t="s">
        <v>7</v>
      </c>
      <c r="F382" t="str">
        <f>_xlfn.CONCAT(D382,", ",H382,", ",I382,", ","云南省")</f>
        <v>架车乡, 红河县, 红河哈尼族彝族自治州, 云南省</v>
      </c>
      <c r="G382">
        <v>20941</v>
      </c>
      <c r="H382" t="s">
        <v>2795</v>
      </c>
      <c r="I382" t="s">
        <v>2792</v>
      </c>
      <c r="J382" t="e">
        <f>VLOOKUP(F382,[1]!china_towns_second__2[[Column1]:[Y]],3,FALSE)</f>
        <v>#N/A</v>
      </c>
      <c r="K382" t="e">
        <f>VLOOKUP(F382,[1]!china_towns_second__2[[Column1]:[Y]],2,FALSE)</f>
        <v>#N/A</v>
      </c>
      <c r="L382" t="s">
        <v>3941</v>
      </c>
      <c r="M382" t="str">
        <f>VLOOKUP(H382,CHOOSE({1,2},Table17[Native],Table17[Name]),2,0)</f>
        <v>Hónghé Xiàn</v>
      </c>
      <c r="N382" s="15" t="str">
        <f>VLOOKUP(I382,CHOOSE({1,2},Table17[Native],Table17[Name]),2,0)</f>
        <v>Hónghé Hānízú Yízú Zìzhìzhōu</v>
      </c>
      <c r="O382" s="15" t="str">
        <f t="shared" si="10"/>
        <v>Jiache Xiang (Honghe Hanizu Yizu Zizhizhou) (Hónghé Hānízú Yízú Zìzhìzhōu)</v>
      </c>
      <c r="P382" s="15" t="str">
        <f t="shared" si="11"/>
        <v>Jiache Xiang (Honghe Hanizu Yizu Zizhizhou) (Hónghé Hānízú Yízú Zìzhìzhōu)</v>
      </c>
    </row>
    <row r="383" spans="1:16" hidden="1" x14ac:dyDescent="0.25">
      <c r="A383" t="s">
        <v>851</v>
      </c>
      <c r="B383" t="str">
        <f>IF(COUNTIF(A:A,A383)&gt;1,_xlfn.CONCAT(A383," (",N383,")"),A383)</f>
        <v>Jiàchē Xiāng (Qŭjìng Shì)</v>
      </c>
      <c r="C383" t="str">
        <f>IF(COUNTIF(B:B,B383)&gt;1,_xlfn.CONCAT(A383," (",M383,")"),B383)</f>
        <v>Jiàchē Xiāng (Qŭjìng Shì)</v>
      </c>
      <c r="D383" t="s">
        <v>1922</v>
      </c>
      <c r="E383" t="s">
        <v>7</v>
      </c>
      <c r="F383" t="str">
        <f>_xlfn.CONCAT(D383,", ",H383,", ",I383,", ","云南省")</f>
        <v>驾车乡, 会泽县, 曲靖市, 云南省</v>
      </c>
      <c r="G383">
        <v>22373</v>
      </c>
      <c r="H383" t="s">
        <v>2862</v>
      </c>
      <c r="I383" t="s">
        <v>2860</v>
      </c>
      <c r="J383" t="e">
        <f>VLOOKUP(F383,[1]!china_towns_second__2[[Column1]:[Y]],3,FALSE)</f>
        <v>#N/A</v>
      </c>
      <c r="K383" t="e">
        <f>VLOOKUP(F383,[1]!china_towns_second__2[[Column1]:[Y]],2,FALSE)</f>
        <v>#N/A</v>
      </c>
      <c r="L383" t="s">
        <v>3942</v>
      </c>
      <c r="M383" t="str">
        <f>VLOOKUP(H383,CHOOSE({1,2},Table17[Native],Table17[Name]),2,0)</f>
        <v>Huìzé Xiàn</v>
      </c>
      <c r="N383" s="15" t="str">
        <f>VLOOKUP(I383,CHOOSE({1,2},Table17[Native],Table17[Name]),2,0)</f>
        <v>Qŭjìng Shì</v>
      </c>
      <c r="O383" s="15" t="str">
        <f t="shared" si="10"/>
        <v>Jiache Xiang (Qujing Shi) (Qŭjìng Shì)</v>
      </c>
      <c r="P383" s="15" t="str">
        <f t="shared" si="11"/>
        <v>Jiache Xiang (Qujing Shi) (Qŭjìng Shì)</v>
      </c>
    </row>
    <row r="384" spans="1:16" hidden="1" x14ac:dyDescent="0.25">
      <c r="A384" t="s">
        <v>2141</v>
      </c>
      <c r="B384" t="str">
        <f>IF(COUNTIF(A:A,A384)&gt;1,_xlfn.CONCAT(A384," (",N384,")"),A384)</f>
        <v>Jiāhánqìng Zhèn</v>
      </c>
      <c r="C384" t="str">
        <f>IF(COUNTIF(B:B,B384)&gt;1,_xlfn.CONCAT(A384," (",M384,")"),B384)</f>
        <v>Jiāhánqìng Zhèn</v>
      </c>
      <c r="D384" t="s">
        <v>2142</v>
      </c>
      <c r="E384" t="s">
        <v>11</v>
      </c>
      <c r="F384" t="str">
        <f>_xlfn.CONCAT(D384,", ",H384,", ",I384,", ","云南省")</f>
        <v>夹寒箐镇, 马关县, 文山壮族苗族自治州, 云南省</v>
      </c>
      <c r="G384">
        <v>36947</v>
      </c>
      <c r="H384" t="s">
        <v>2875</v>
      </c>
      <c r="I384" t="s">
        <v>2872</v>
      </c>
      <c r="J384">
        <f>VLOOKUP(F384,[1]!china_towns_second__2[[Column1]:[Y]],3,FALSE)</f>
        <v>22.8688372752646</v>
      </c>
      <c r="K384">
        <f>VLOOKUP(F384,[1]!china_towns_second__2[[Column1]:[Y]],2,FALSE)</f>
        <v>104.4030635</v>
      </c>
      <c r="L384" t="s">
        <v>3943</v>
      </c>
      <c r="M384" t="str">
        <f>VLOOKUP(H384,CHOOSE({1,2},Table17[Native],Table17[Name]),2,0)</f>
        <v>Măguān Xiàn</v>
      </c>
      <c r="N384" s="15" t="str">
        <f>VLOOKUP(I384,CHOOSE({1,2},Table17[Native],Table17[Name]),2,0)</f>
        <v>Wénshān Zhuàngzú Miáozú Zìzhìzhōu</v>
      </c>
      <c r="O384" s="15" t="str">
        <f t="shared" si="10"/>
        <v>Jiahanqing Zhen (Wénshān Zhuàngzú Miáozú Zìzhìzhōu)</v>
      </c>
      <c r="P384" s="15" t="str">
        <f t="shared" si="11"/>
        <v>Jiahanqing Zhen (Wénshān Zhuàngzú Miáozú Zìzhìzhōu)</v>
      </c>
    </row>
    <row r="385" spans="1:16" hidden="1" x14ac:dyDescent="0.25">
      <c r="A385" t="s">
        <v>1701</v>
      </c>
      <c r="B385" t="str">
        <f>IF(COUNTIF(A:A,A385)&gt;1,_xlfn.CONCAT(A385," (",N385,")"),A385)</f>
        <v>Jiāhé Xiāng</v>
      </c>
      <c r="C385" t="str">
        <f>IF(COUNTIF(B:B,B385)&gt;1,_xlfn.CONCAT(A385," (",M385,")"),B385)</f>
        <v>Jiāhé Xiāng</v>
      </c>
      <c r="D385" t="s">
        <v>1702</v>
      </c>
      <c r="E385" t="s">
        <v>7</v>
      </c>
      <c r="F385" t="str">
        <f>_xlfn.CONCAT(D385,", ",H385,", ",I385,", ","云南省")</f>
        <v>嘉禾乡, 江城哈尼族彝族自治县, 普洱市, 云南省</v>
      </c>
      <c r="G385">
        <v>14727</v>
      </c>
      <c r="H385" t="s">
        <v>2849</v>
      </c>
      <c r="I385" t="s">
        <v>2848</v>
      </c>
      <c r="J385" t="e">
        <f>VLOOKUP(F385,[1]!china_towns_second__2[[Column1]:[Y]],3,FALSE)</f>
        <v>#N/A</v>
      </c>
      <c r="K385" t="e">
        <f>VLOOKUP(F385,[1]!china_towns_second__2[[Column1]:[Y]],2,FALSE)</f>
        <v>#N/A</v>
      </c>
      <c r="L385" t="s">
        <v>3944</v>
      </c>
      <c r="M385" t="str">
        <f>VLOOKUP(H385,CHOOSE({1,2},Table17[Native],Table17[Name]),2,0)</f>
        <v>Jiāngchéng Hānízú Yízú Zìzhìxiàn</v>
      </c>
      <c r="N385" s="15" t="str">
        <f>VLOOKUP(I385,CHOOSE({1,2},Table17[Native],Table17[Name]),2,0)</f>
        <v>Pŭ'ĕr Shì</v>
      </c>
      <c r="O385" s="15" t="str">
        <f t="shared" si="10"/>
        <v>Jiahe Xiang (Pŭ'ĕr Shì)</v>
      </c>
      <c r="P385" s="15" t="str">
        <f t="shared" si="11"/>
        <v>Jiahe Xiang (Pŭ'ĕr Shì)</v>
      </c>
    </row>
    <row r="386" spans="1:16" hidden="1" x14ac:dyDescent="0.25">
      <c r="A386" t="s">
        <v>1606</v>
      </c>
      <c r="B386" t="str">
        <f>IF(COUNTIF(A:A,A386)&gt;1,_xlfn.CONCAT(A386," (",N386,")"),A386)</f>
        <v>Jiàkēdĭ Xiāng</v>
      </c>
      <c r="C386" t="str">
        <f>IF(COUNTIF(B:B,B386)&gt;1,_xlfn.CONCAT(A386," (",M386,")"),B386)</f>
        <v>Jiàkēdĭ Xiāng</v>
      </c>
      <c r="D386" t="s">
        <v>1607</v>
      </c>
      <c r="E386" t="s">
        <v>7</v>
      </c>
      <c r="F386" t="str">
        <f>_xlfn.CONCAT(D386,", ",H386,", ",I386,", ","云南省")</f>
        <v>架科底乡, 福贡县, 怒江傈僳族自治州, 云南省</v>
      </c>
      <c r="G386">
        <v>13414</v>
      </c>
      <c r="H386" t="s">
        <v>2843</v>
      </c>
      <c r="I386" t="s">
        <v>2842</v>
      </c>
      <c r="J386" t="e">
        <f>VLOOKUP(F386,[1]!china_towns_second__2[[Column1]:[Y]],3,FALSE)</f>
        <v>#N/A</v>
      </c>
      <c r="K386" t="e">
        <f>VLOOKUP(F386,[1]!china_towns_second__2[[Column1]:[Y]],2,FALSE)</f>
        <v>#N/A</v>
      </c>
      <c r="L386" t="s">
        <v>3945</v>
      </c>
      <c r="M386" t="str">
        <f>VLOOKUP(H386,CHOOSE({1,2},Table17[Native],Table17[Name]),2,0)</f>
        <v>Fúgòng Xiàn</v>
      </c>
      <c r="N386" s="15" t="str">
        <f>VLOOKUP(I386,CHOOSE({1,2},Table17[Native],Table17[Name]),2,0)</f>
        <v>Nùjiāng Lìsùzú Zìzhìzhōu</v>
      </c>
      <c r="O386" s="15" t="str">
        <f t="shared" ref="O386:O449" si="12">_xlfn.CONCAT(L386," (",N386,")")</f>
        <v>Jiakedi Xiang (Nùjiāng Lìsùzú Zìzhìzhōu)</v>
      </c>
      <c r="P386" s="15" t="str">
        <f t="shared" ref="P386:P449" si="13">IF(COUNTIF(O:O,O386)&gt;1,_xlfn.CONCAT(L386," (",M386,")"),O386)</f>
        <v>Jiakedi Xiang (Nùjiāng Lìsùzú Zìzhìzhōu)</v>
      </c>
    </row>
    <row r="387" spans="1:16" hidden="1" x14ac:dyDescent="0.25">
      <c r="A387" t="s">
        <v>442</v>
      </c>
      <c r="B387" t="str">
        <f>IF(COUNTIF(A:A,A387)&gt;1,_xlfn.CONCAT(A387," (",N387,")"),A387)</f>
        <v>Jiăncáo Xiāng</v>
      </c>
      <c r="C387" t="str">
        <f>IF(COUNTIF(B:B,B387)&gt;1,_xlfn.CONCAT(A387," (",M387,")"),B387)</f>
        <v>Jiăncáo Xiāng</v>
      </c>
      <c r="D387" t="s">
        <v>443</v>
      </c>
      <c r="E387" t="s">
        <v>7</v>
      </c>
      <c r="F387" t="str">
        <f>_xlfn.CONCAT(D387,", ",H387,", ",I387,", ","云南省")</f>
        <v>检槽乡, 云龙县, 大理白族自治州, 云南省</v>
      </c>
      <c r="G387">
        <v>14485</v>
      </c>
      <c r="H387" t="s">
        <v>2776</v>
      </c>
      <c r="I387" t="s">
        <v>2763</v>
      </c>
      <c r="J387" t="e">
        <f>VLOOKUP(F387,[1]!china_towns_second__2[[Column1]:[Y]],3,FALSE)</f>
        <v>#N/A</v>
      </c>
      <c r="K387" t="e">
        <f>VLOOKUP(F387,[1]!china_towns_second__2[[Column1]:[Y]],2,FALSE)</f>
        <v>#N/A</v>
      </c>
      <c r="L387" t="s">
        <v>3946</v>
      </c>
      <c r="M387" t="str">
        <f>VLOOKUP(H387,CHOOSE({1,2},Table17[Native],Table17[Name]),2,0)</f>
        <v>Yúnlóng Xiàn</v>
      </c>
      <c r="N387" s="15" t="str">
        <f>VLOOKUP(I387,CHOOSE({1,2},Table17[Native],Table17[Name]),2,0)</f>
        <v>Dàlĭ Báizú Zìzhìzhōu</v>
      </c>
      <c r="O387" s="15" t="str">
        <f t="shared" si="12"/>
        <v>Jiancao Xiang (Dàlĭ Báizú Zìzhìzhōu)</v>
      </c>
      <c r="P387" s="15" t="str">
        <f t="shared" si="13"/>
        <v>Jiancao Xiang (Dàlĭ Báizú Zìzhìzhōu)</v>
      </c>
    </row>
    <row r="388" spans="1:16" hidden="1" x14ac:dyDescent="0.25">
      <c r="A388" t="s">
        <v>236</v>
      </c>
      <c r="B388" t="str">
        <f>IF(COUNTIF(A:A,A388)&gt;1,_xlfn.CONCAT(A388," (",N388,")"),A388)</f>
        <v>Jiāngbiān Xiāng (Chŭxióng Yízú Zìzhìzhōu)</v>
      </c>
      <c r="C388" t="str">
        <f>IF(COUNTIF(B:B,B388)&gt;1,_xlfn.CONCAT(A388," (",M388,")"),B388)</f>
        <v>Jiāngbiān Xiāng (Chŭxióng Yízú Zìzhìzhōu)</v>
      </c>
      <c r="D388" t="s">
        <v>237</v>
      </c>
      <c r="E388" t="s">
        <v>7</v>
      </c>
      <c r="F388" t="str">
        <f>_xlfn.CONCAT(D388,", ",H388,", ",I388,", ","云南省")</f>
        <v>江边乡, 元谋县, 楚雄彝族自治州, 云南省</v>
      </c>
      <c r="G388">
        <v>14760</v>
      </c>
      <c r="H388" t="s">
        <v>2760</v>
      </c>
      <c r="I388" t="s">
        <v>2750</v>
      </c>
      <c r="J388" t="e">
        <f>VLOOKUP(F388,[1]!china_towns_second__2[[Column1]:[Y]],3,FALSE)</f>
        <v>#N/A</v>
      </c>
      <c r="K388" t="e">
        <f>VLOOKUP(F388,[1]!china_towns_second__2[[Column1]:[Y]],2,FALSE)</f>
        <v>#N/A</v>
      </c>
      <c r="L388" t="s">
        <v>3947</v>
      </c>
      <c r="M388" t="str">
        <f>VLOOKUP(H388,CHOOSE({1,2},Table17[Native],Table17[Name]),2,0)</f>
        <v>Yuánmóu Xiàn</v>
      </c>
      <c r="N388" s="15" t="str">
        <f>VLOOKUP(I388,CHOOSE({1,2},Table17[Native],Table17[Name]),2,0)</f>
        <v>Chŭxióng Yízú Zìzhìzhōu</v>
      </c>
      <c r="O388" s="15" t="str">
        <f t="shared" si="12"/>
        <v>Jiangbian Xiang (Chuxiong Yizu Zizhizhou) (Chŭxióng Yízú Zìzhìzhōu)</v>
      </c>
      <c r="P388" s="15" t="str">
        <f t="shared" si="13"/>
        <v>Jiangbian Xiang (Chuxiong Yizu Zizhizhou) (Chŭxióng Yízú Zìzhìzhōu)</v>
      </c>
    </row>
    <row r="389" spans="1:16" hidden="1" x14ac:dyDescent="0.25">
      <c r="A389" t="s">
        <v>236</v>
      </c>
      <c r="B389" t="str">
        <f>IF(COUNTIF(A:A,A389)&gt;1,_xlfn.CONCAT(A389," (",N389,")"),A389)</f>
        <v>Jiāngbiān Xiāng (Hónghé Hānízú Yízú Zìzhìzhōu)</v>
      </c>
      <c r="C389" t="str">
        <f>IF(COUNTIF(B:B,B389)&gt;1,_xlfn.CONCAT(A389," (",M389,")"),B389)</f>
        <v>Jiāngbiān Xiāng (Hónghé Hānízú Yízú Zìzhìzhōu)</v>
      </c>
      <c r="D389" t="s">
        <v>237</v>
      </c>
      <c r="E389" t="s">
        <v>7</v>
      </c>
      <c r="F389" t="str">
        <f>_xlfn.CONCAT(D389,", ",H389,", ",I389,", ","云南省")</f>
        <v>江边乡, 弥勒市, 红河哈尼族彝族自治州, 云南省</v>
      </c>
      <c r="G389">
        <v>14661</v>
      </c>
      <c r="H389" t="s">
        <v>2802</v>
      </c>
      <c r="I389" t="s">
        <v>2792</v>
      </c>
      <c r="J389" t="e">
        <f>VLOOKUP(F389,[1]!china_towns_second__2[[Column1]:[Y]],3,FALSE)</f>
        <v>#N/A</v>
      </c>
      <c r="K389" t="e">
        <f>VLOOKUP(F389,[1]!china_towns_second__2[[Column1]:[Y]],2,FALSE)</f>
        <v>#N/A</v>
      </c>
      <c r="L389" t="s">
        <v>3948</v>
      </c>
      <c r="M389" t="str">
        <f>VLOOKUP(H389,CHOOSE({1,2},Table17[Native],Table17[Name]),2,0)</f>
        <v>Mílè Shì</v>
      </c>
      <c r="N389" s="15" t="str">
        <f>VLOOKUP(I389,CHOOSE({1,2},Table17[Native],Table17[Name]),2,0)</f>
        <v>Hónghé Hānízú Yízú Zìzhìzhōu</v>
      </c>
      <c r="O389" s="15" t="str">
        <f t="shared" si="12"/>
        <v>Jiangbian Xiang (Honghe Hanizu Yizu Zizhizhou) (Hónghé Hānízú Yízú Zìzhìzhōu)</v>
      </c>
      <c r="P389" s="15" t="str">
        <f t="shared" si="13"/>
        <v>Jiangbian Xiang (Honghe Hanizu Yizu Zizhizhou) (Hónghé Hānízú Yízú Zìzhìzhōu)</v>
      </c>
    </row>
    <row r="390" spans="1:16" hidden="1" x14ac:dyDescent="0.25">
      <c r="A390" t="s">
        <v>2369</v>
      </c>
      <c r="B390" t="str">
        <f>IF(COUNTIF(A:A,A390)&gt;1,_xlfn.CONCAT(A390," (",N390,")"),A390)</f>
        <v>Jiāngchéng Zhèn</v>
      </c>
      <c r="C390" t="str">
        <f>IF(COUNTIF(B:B,B390)&gt;1,_xlfn.CONCAT(A390," (",M390,")"),B390)</f>
        <v>Jiāngchéng Zhèn</v>
      </c>
      <c r="D390" t="s">
        <v>2370</v>
      </c>
      <c r="E390" t="s">
        <v>11</v>
      </c>
      <c r="F390" t="str">
        <f>_xlfn.CONCAT(D390,", ",H390,", ",I390,", ","云南省")</f>
        <v>江城镇, 江川区, 玉溪市, 云南省</v>
      </c>
      <c r="G390">
        <v>70812</v>
      </c>
      <c r="H390" t="s">
        <v>2893</v>
      </c>
      <c r="I390" t="s">
        <v>2888</v>
      </c>
      <c r="J390">
        <f>VLOOKUP(F390,[1]!china_towns_second__2[[Column1]:[Y]],3,FALSE)</f>
        <v>24.4393376388898</v>
      </c>
      <c r="K390">
        <f>VLOOKUP(F390,[1]!china_towns_second__2[[Column1]:[Y]],2,FALSE)</f>
        <v>102.8097721</v>
      </c>
      <c r="L390" t="s">
        <v>3949</v>
      </c>
      <c r="M390" t="str">
        <f>VLOOKUP(H390,CHOOSE({1,2},Table17[Native],Table17[Name]),2,0)</f>
        <v>Jiāngchuān Qū</v>
      </c>
      <c r="N390" s="15" t="str">
        <f>VLOOKUP(I390,CHOOSE({1,2},Table17[Native],Table17[Name]),2,0)</f>
        <v>Yùxī Shì</v>
      </c>
      <c r="O390" s="15" t="str">
        <f t="shared" si="12"/>
        <v>Jiangcheng Zhen (Yùxī Shì)</v>
      </c>
      <c r="P390" s="15" t="str">
        <f t="shared" si="13"/>
        <v>Jiangcheng Zhen (Yùxī Shì)</v>
      </c>
    </row>
    <row r="391" spans="1:16" hidden="1" x14ac:dyDescent="0.25">
      <c r="A391" t="s">
        <v>2526</v>
      </c>
      <c r="B391" t="str">
        <f>IF(COUNTIF(A:A,A391)&gt;1,_xlfn.CONCAT(A391," (",N391,")"),A391)</f>
        <v>Jiāngdĭ Zhèn</v>
      </c>
      <c r="C391" t="str">
        <f>IF(COUNTIF(B:B,B391)&gt;1,_xlfn.CONCAT(A391," (",M391,")"),B391)</f>
        <v>Jiāngdĭ Zhèn</v>
      </c>
      <c r="D391" t="s">
        <v>2527</v>
      </c>
      <c r="E391" t="s">
        <v>11</v>
      </c>
      <c r="F391" t="str">
        <f>_xlfn.CONCAT(D391,", ",H391,", ",I391,", ","云南省")</f>
        <v>江底镇, 鲁甸县, 昭通市, 云南省</v>
      </c>
      <c r="G391">
        <v>26863</v>
      </c>
      <c r="H391" t="s">
        <v>2901</v>
      </c>
      <c r="I391" t="s">
        <v>2899</v>
      </c>
      <c r="J391">
        <f>VLOOKUP(F391,[1]!china_towns_second__2[[Column1]:[Y]],3,FALSE)</f>
        <v>27.0615335186552</v>
      </c>
      <c r="K391">
        <f>VLOOKUP(F391,[1]!china_towns_second__2[[Column1]:[Y]],2,FALSE)</f>
        <v>103.5686956</v>
      </c>
      <c r="L391" t="s">
        <v>3950</v>
      </c>
      <c r="M391" t="str">
        <f>VLOOKUP(H391,CHOOSE({1,2},Table17[Native],Table17[Name]),2,0)</f>
        <v>Lŭdiàn Xiàn</v>
      </c>
      <c r="N391" s="15" t="str">
        <f>VLOOKUP(I391,CHOOSE({1,2},Table17[Native],Table17[Name]),2,0)</f>
        <v>Zhāotōng Shì</v>
      </c>
      <c r="O391" s="15" t="str">
        <f t="shared" si="12"/>
        <v>Jiangdi Zhen (Zhāotōng Shì)</v>
      </c>
      <c r="P391" s="15" t="str">
        <f t="shared" si="13"/>
        <v>Jiangdi Zhen (Zhāotōng Shì)</v>
      </c>
    </row>
    <row r="392" spans="1:16" hidden="1" x14ac:dyDescent="0.25">
      <c r="A392" t="s">
        <v>622</v>
      </c>
      <c r="B392" t="str">
        <f>IF(COUNTIF(A:A,A392)&gt;1,_xlfn.CONCAT(A392," (",N392,")"),A392)</f>
        <v>Jiāngdōng Xiāng</v>
      </c>
      <c r="C392" t="str">
        <f>IF(COUNTIF(B:B,B392)&gt;1,_xlfn.CONCAT(A392," (",M392,")"),B392)</f>
        <v>Jiāngdōng Xiāng</v>
      </c>
      <c r="D392" t="s">
        <v>623</v>
      </c>
      <c r="E392" t="s">
        <v>7</v>
      </c>
      <c r="F392" t="str">
        <f>_xlfn.CONCAT(D392,", ",H392,", ",I392,", ","云南省")</f>
        <v>江东乡, 芒市, 德宏傣族景颇族自治州, 云南省</v>
      </c>
      <c r="G392">
        <v>25240</v>
      </c>
      <c r="H392" t="s">
        <v>2782</v>
      </c>
      <c r="I392" t="s">
        <v>2779</v>
      </c>
      <c r="J392" t="e">
        <f>VLOOKUP(F392,[1]!china_towns_second__2[[Column1]:[Y]],3,FALSE)</f>
        <v>#N/A</v>
      </c>
      <c r="K392" t="e">
        <f>VLOOKUP(F392,[1]!china_towns_second__2[[Column1]:[Y]],2,FALSE)</f>
        <v>#N/A</v>
      </c>
      <c r="L392" t="s">
        <v>3951</v>
      </c>
      <c r="M392" t="str">
        <f>VLOOKUP(H392,CHOOSE({1,2},Table17[Native],Table17[Name]),2,0)</f>
        <v>Máng Shì</v>
      </c>
      <c r="N392" s="15" t="str">
        <f>VLOOKUP(I392,CHOOSE({1,2},Table17[Native],Table17[Name]),2,0)</f>
        <v>Déhóng Dăizú Jĭngpōzú Zìzhìzhōu</v>
      </c>
      <c r="O392" s="15" t="str">
        <f t="shared" si="12"/>
        <v>Jiangdong Xiang (Déhóng Dăizú Jĭngpōzú Zìzhìzhōu)</v>
      </c>
      <c r="P392" s="15" t="str">
        <f t="shared" si="13"/>
        <v>Jiangdong Xiang (Déhóng Dăizú Jĭngpōzú Zìzhìzhōu)</v>
      </c>
    </row>
    <row r="393" spans="1:16" hidden="1" x14ac:dyDescent="0.25">
      <c r="A393" t="s">
        <v>2143</v>
      </c>
      <c r="B393" t="str">
        <f>IF(COUNTIF(A:A,A393)&gt;1,_xlfn.CONCAT(A393," (",N393,")"),A393)</f>
        <v>Jiāngnèi Zhèn</v>
      </c>
      <c r="C393" t="str">
        <f>IF(COUNTIF(B:B,B393)&gt;1,_xlfn.CONCAT(A393," (",M393,")"),B393)</f>
        <v>Jiāngnèi Zhèn</v>
      </c>
      <c r="D393" t="s">
        <v>2144</v>
      </c>
      <c r="E393" t="s">
        <v>11</v>
      </c>
      <c r="F393" t="str">
        <f>_xlfn.CONCAT(D393,", ",H393,", ",I393,", ","云南省")</f>
        <v>江那镇, 砚山县, 文山壮族苗族自治州, 云南省</v>
      </c>
      <c r="G393">
        <v>79448</v>
      </c>
      <c r="H393" t="s">
        <v>2880</v>
      </c>
      <c r="I393" t="s">
        <v>2872</v>
      </c>
      <c r="J393">
        <f>VLOOKUP(F393,[1]!china_towns_second__2[[Column1]:[Y]],3,FALSE)</f>
        <v>23.6089452364583</v>
      </c>
      <c r="K393">
        <f>VLOOKUP(F393,[1]!china_towns_second__2[[Column1]:[Y]],2,FALSE)</f>
        <v>104.2971775</v>
      </c>
      <c r="L393" t="s">
        <v>3952</v>
      </c>
      <c r="M393" t="str">
        <f>VLOOKUP(H393,CHOOSE({1,2},Table17[Native],Table17[Name]),2,0)</f>
        <v>Yànshān Xiàn</v>
      </c>
      <c r="N393" s="15" t="str">
        <f>VLOOKUP(I393,CHOOSE({1,2},Table17[Native],Table17[Name]),2,0)</f>
        <v>Wénshān Zhuàngzú Miáozú Zìzhìzhōu</v>
      </c>
      <c r="O393" s="15" t="str">
        <f t="shared" si="12"/>
        <v>Jiangnei Zhen (Wénshān Zhuàngzú Miáozú Zìzhìzhōu)</v>
      </c>
      <c r="P393" s="15" t="str">
        <f t="shared" si="13"/>
        <v>Jiangnei Zhen (Wénshān Zhuàngzú Miáozú Zìzhìzhōu)</v>
      </c>
    </row>
    <row r="394" spans="1:16" hidden="1" x14ac:dyDescent="0.25">
      <c r="A394" t="s">
        <v>238</v>
      </c>
      <c r="B394" t="str">
        <f>IF(COUNTIF(A:A,A394)&gt;1,_xlfn.CONCAT(A394," (",N394,")"),A394)</f>
        <v>Jiāngpō Zhèn</v>
      </c>
      <c r="C394" t="str">
        <f>IF(COUNTIF(B:B,B394)&gt;1,_xlfn.CONCAT(A394," (",M394,")"),B394)</f>
        <v>Jiāngpō Zhèn</v>
      </c>
      <c r="D394" t="s">
        <v>239</v>
      </c>
      <c r="E394" t="s">
        <v>11</v>
      </c>
      <c r="F394" t="str">
        <f>_xlfn.CONCAT(D394,", ",H394,", ",I394,", ","云南省")</f>
        <v>江坡镇, 牟定县, 楚雄彝族自治州, 云南省</v>
      </c>
      <c r="G394">
        <v>26447</v>
      </c>
      <c r="H394" t="s">
        <v>2754</v>
      </c>
      <c r="I394" t="s">
        <v>2750</v>
      </c>
      <c r="J394">
        <f>VLOOKUP(F394,[1]!china_towns_second__2[[Column1]:[Y]],3,FALSE)</f>
        <v>25.236756311708799</v>
      </c>
      <c r="K394">
        <f>VLOOKUP(F394,[1]!china_towns_second__2[[Column1]:[Y]],2,FALSE)</f>
        <v>101.60455210000001</v>
      </c>
      <c r="L394" t="s">
        <v>3953</v>
      </c>
      <c r="M394" t="str">
        <f>VLOOKUP(H394,CHOOSE({1,2},Table17[Native],Table17[Name]),2,0)</f>
        <v>Móudìng Xiàn</v>
      </c>
      <c r="N394" s="15" t="str">
        <f>VLOOKUP(I394,CHOOSE({1,2},Table17[Native],Table17[Name]),2,0)</f>
        <v>Chŭxióng Yízú Zìzhìzhōu</v>
      </c>
      <c r="O394" s="15" t="str">
        <f t="shared" si="12"/>
        <v>Jiangpo Zhen (Chŭxióng Yízú Zìzhìzhōu)</v>
      </c>
      <c r="P394" s="15" t="str">
        <f t="shared" si="13"/>
        <v>Jiangpo Zhen (Chŭxióng Yízú Zìzhìzhōu)</v>
      </c>
    </row>
    <row r="395" spans="1:16" hidden="1" x14ac:dyDescent="0.25">
      <c r="A395" t="s">
        <v>240</v>
      </c>
      <c r="B395" t="str">
        <f>IF(COUNTIF(A:A,A395)&gt;1,_xlfn.CONCAT(A395," (",N395,")"),A395)</f>
        <v>Jiāngyì Xiāng</v>
      </c>
      <c r="C395" t="str">
        <f>IF(COUNTIF(B:B,B395)&gt;1,_xlfn.CONCAT(A395," (",M395,")"),B395)</f>
        <v>Jiāngyì Xiāng</v>
      </c>
      <c r="D395" t="s">
        <v>241</v>
      </c>
      <c r="E395" t="s">
        <v>7</v>
      </c>
      <c r="F395" t="str">
        <f>_xlfn.CONCAT(D395,", ",H395,", ",I395,", ","云南省")</f>
        <v>姜驿乡, 元谋县, 楚雄彝族自治州, 云南省</v>
      </c>
      <c r="G395">
        <v>13304</v>
      </c>
      <c r="H395" t="s">
        <v>2760</v>
      </c>
      <c r="I395" t="s">
        <v>2750</v>
      </c>
      <c r="J395" t="e">
        <f>VLOOKUP(F395,[1]!china_towns_second__2[[Column1]:[Y]],3,FALSE)</f>
        <v>#N/A</v>
      </c>
      <c r="K395" t="e">
        <f>VLOOKUP(F395,[1]!china_towns_second__2[[Column1]:[Y]],2,FALSE)</f>
        <v>#N/A</v>
      </c>
      <c r="L395" t="s">
        <v>3954</v>
      </c>
      <c r="M395" t="str">
        <f>VLOOKUP(H395,CHOOSE({1,2},Table17[Native],Table17[Name]),2,0)</f>
        <v>Yuánmóu Xiàn</v>
      </c>
      <c r="N395" s="15" t="str">
        <f>VLOOKUP(I395,CHOOSE({1,2},Table17[Native],Table17[Name]),2,0)</f>
        <v>Chŭxióng Yízú Zìzhìzhōu</v>
      </c>
      <c r="O395" s="15" t="str">
        <f t="shared" si="12"/>
        <v>Jiangyi Xiang (Chŭxióng Yízú Zìzhìzhōu)</v>
      </c>
      <c r="P395" s="15" t="str">
        <f t="shared" si="13"/>
        <v>Jiangyi Xiang (Chŭxióng Yízú Zìzhìzhōu)</v>
      </c>
    </row>
    <row r="396" spans="1:16" hidden="1" x14ac:dyDescent="0.25">
      <c r="A396" t="s">
        <v>1923</v>
      </c>
      <c r="B396" t="str">
        <f>IF(COUNTIF(A:A,A396)&gt;1,_xlfn.CONCAT(A396," (",N396,")"),A396)</f>
        <v>Jiànníng Jiēdào</v>
      </c>
      <c r="C396" t="str">
        <f>IF(COUNTIF(B:B,B396)&gt;1,_xlfn.CONCAT(A396," (",M396,")"),B396)</f>
        <v>Jiànníng Jiēdào</v>
      </c>
      <c r="D396" t="s">
        <v>1924</v>
      </c>
      <c r="E396" t="s">
        <v>42</v>
      </c>
      <c r="F396" t="str">
        <f>_xlfn.CONCAT(D396,", ",H396,", ",I396,", ","云南省")</f>
        <v>建宁街道, 麒麟区, 曲靖市, 云南省</v>
      </c>
      <c r="G396">
        <v>80925</v>
      </c>
      <c r="H396" t="s">
        <v>2866</v>
      </c>
      <c r="I396" t="s">
        <v>2860</v>
      </c>
      <c r="J396">
        <f>VLOOKUP(F396,[1]!china_towns_second__2[[Column1]:[Y]],3,FALSE)</f>
        <v>25.5373604121177</v>
      </c>
      <c r="K396">
        <f>VLOOKUP(F396,[1]!china_towns_second__2[[Column1]:[Y]],2,FALSE)</f>
        <v>103.7928091</v>
      </c>
      <c r="L396" t="s">
        <v>3955</v>
      </c>
      <c r="M396" t="str">
        <f>VLOOKUP(H396,CHOOSE({1,2},Table17[Native],Table17[Name]),2,0)</f>
        <v>Qílín Qū</v>
      </c>
      <c r="N396" s="15" t="str">
        <f>VLOOKUP(I396,CHOOSE({1,2},Table17[Native],Table17[Name]),2,0)</f>
        <v>Qŭjìng Shì</v>
      </c>
      <c r="O396" s="15" t="str">
        <f t="shared" si="12"/>
        <v>Jianning Jiedao (Qŭjìng Shì)</v>
      </c>
      <c r="P396" s="15" t="str">
        <f t="shared" si="13"/>
        <v>Jianning Jiedao (Qŭjìng Shì)</v>
      </c>
    </row>
    <row r="397" spans="1:16" hidden="1" x14ac:dyDescent="0.25">
      <c r="A397" t="s">
        <v>2528</v>
      </c>
      <c r="B397" t="str">
        <f>IF(COUNTIF(A:A,A397)&gt;1,_xlfn.CONCAT(A397," (",N397,")"),A397)</f>
        <v>Jiānshān Xiāng</v>
      </c>
      <c r="C397" t="str">
        <f>IF(COUNTIF(B:B,B397)&gt;1,_xlfn.CONCAT(A397," (",M397,")"),B397)</f>
        <v>Jiānshān Xiāng</v>
      </c>
      <c r="D397" t="s">
        <v>2529</v>
      </c>
      <c r="E397" t="s">
        <v>7</v>
      </c>
      <c r="F397" t="str">
        <f>_xlfn.CONCAT(D397,", ",H397,", ",I397,", ","云南省")</f>
        <v>尖山乡, 镇雄县, 昭通市, 云南省</v>
      </c>
      <c r="G397">
        <v>28451</v>
      </c>
      <c r="H397" t="s">
        <v>2910</v>
      </c>
      <c r="I397" t="s">
        <v>2899</v>
      </c>
      <c r="J397" t="e">
        <f>VLOOKUP(F397,[1]!china_towns_second__2[[Column1]:[Y]],3,FALSE)</f>
        <v>#N/A</v>
      </c>
      <c r="K397" t="e">
        <f>VLOOKUP(F397,[1]!china_towns_second__2[[Column1]:[Y]],2,FALSE)</f>
        <v>#N/A</v>
      </c>
      <c r="L397" t="s">
        <v>3956</v>
      </c>
      <c r="M397" t="str">
        <f>VLOOKUP(H397,CHOOSE({1,2},Table17[Native],Table17[Name]),2,0)</f>
        <v>Zhènxióng Xiàn</v>
      </c>
      <c r="N397" s="15" t="str">
        <f>VLOOKUP(I397,CHOOSE({1,2},Table17[Native],Table17[Name]),2,0)</f>
        <v>Zhāotōng Shì</v>
      </c>
      <c r="O397" s="15" t="str">
        <f t="shared" si="12"/>
        <v>Jianshan Xiang (Zhāotōng Shì)</v>
      </c>
      <c r="P397" s="15" t="str">
        <f t="shared" si="13"/>
        <v>Jianshan Xiang (Zhāotōng Shì)</v>
      </c>
    </row>
    <row r="398" spans="1:16" hidden="1" x14ac:dyDescent="0.25">
      <c r="A398" t="s">
        <v>726</v>
      </c>
      <c r="B398" t="str">
        <f>IF(COUNTIF(A:A,A398)&gt;1,_xlfn.CONCAT(A398," (",N398,")"),A398)</f>
        <v>Jiàntáng Zhèn</v>
      </c>
      <c r="C398" t="str">
        <f>IF(COUNTIF(B:B,B398)&gt;1,_xlfn.CONCAT(A398," (",M398,")"),B398)</f>
        <v>Jiàntáng Zhèn</v>
      </c>
      <c r="D398" t="s">
        <v>727</v>
      </c>
      <c r="E398" t="s">
        <v>11</v>
      </c>
      <c r="F398" t="str">
        <f>_xlfn.CONCAT(D398,", ",H398,", ",I398,", ","云南省")</f>
        <v>建塘镇, 香格里拉市, 迪庆藏族自治州, 云南省</v>
      </c>
      <c r="G398">
        <v>65189</v>
      </c>
      <c r="H398" t="s">
        <v>2789</v>
      </c>
      <c r="I398" t="s">
        <v>2786</v>
      </c>
      <c r="J398">
        <f>VLOOKUP(F398,[1]!china_towns_second__2[[Column1]:[Y]],3,FALSE)</f>
        <v>27.8677810571481</v>
      </c>
      <c r="K398">
        <f>VLOOKUP(F398,[1]!china_towns_second__2[[Column1]:[Y]],2,FALSE)</f>
        <v>99.747248200000001</v>
      </c>
      <c r="L398" t="s">
        <v>3957</v>
      </c>
      <c r="M398" t="str">
        <f>VLOOKUP(H398,CHOOSE({1,2},Table17[Native],Table17[Name]),2,0)</f>
        <v>Xiānggélĭlā Shì</v>
      </c>
      <c r="N398" s="15" t="str">
        <f>VLOOKUP(I398,CHOOSE({1,2},Table17[Native],Table17[Name]),2,0)</f>
        <v>Díqìng Zàngzú Zìzhìzhōu</v>
      </c>
      <c r="O398" s="15" t="str">
        <f t="shared" si="12"/>
        <v>Jiantang Zhen (Díqìng Zàngzú Zìzhìzhōu)</v>
      </c>
      <c r="P398" s="15" t="str">
        <f t="shared" si="13"/>
        <v>Jiantang Zhen (Díqìng Zàngzú Zìzhìzhōu)</v>
      </c>
    </row>
    <row r="399" spans="1:16" hidden="1" x14ac:dyDescent="0.25">
      <c r="A399" t="s">
        <v>2371</v>
      </c>
      <c r="B399" t="str">
        <f>IF(COUNTIF(A:A,A399)&gt;1,_xlfn.CONCAT(A399," (",N399,")"),A399)</f>
        <v>Jiànxīng Xiāng</v>
      </c>
      <c r="C399" t="str">
        <f>IF(COUNTIF(B:B,B399)&gt;1,_xlfn.CONCAT(A399," (",M399,")"),B399)</f>
        <v>Jiànxīng Xiāng</v>
      </c>
      <c r="D399" t="s">
        <v>2372</v>
      </c>
      <c r="E399" t="s">
        <v>7</v>
      </c>
      <c r="F399" t="str">
        <f>_xlfn.CONCAT(D399,", ",H399,", ",I399,", ","云南省")</f>
        <v>建兴乡, 新平彝族傣族自治县, 玉溪市, 云南省</v>
      </c>
      <c r="G399">
        <v>13234</v>
      </c>
      <c r="H399" t="s">
        <v>2895</v>
      </c>
      <c r="I399" t="s">
        <v>2888</v>
      </c>
      <c r="J399" t="e">
        <f>VLOOKUP(F399,[1]!china_towns_second__2[[Column1]:[Y]],3,FALSE)</f>
        <v>#N/A</v>
      </c>
      <c r="K399" t="e">
        <f>VLOOKUP(F399,[1]!china_towns_second__2[[Column1]:[Y]],2,FALSE)</f>
        <v>#N/A</v>
      </c>
      <c r="L399" t="s">
        <v>3958</v>
      </c>
      <c r="M399" t="str">
        <f>VLOOKUP(H399,CHOOSE({1,2},Table17[Native],Table17[Name]),2,0)</f>
        <v>Xīnpíng Yízú Dăizú Zìzhìxiàn</v>
      </c>
      <c r="N399" s="15" t="str">
        <f>VLOOKUP(I399,CHOOSE({1,2},Table17[Native],Table17[Name]),2,0)</f>
        <v>Yùxī Shì</v>
      </c>
      <c r="O399" s="15" t="str">
        <f t="shared" si="12"/>
        <v>Jianxing Xiang (Yùxī Shì)</v>
      </c>
      <c r="P399" s="15" t="str">
        <f t="shared" si="13"/>
        <v>Jianxing Xiang (Yùxī Shì)</v>
      </c>
    </row>
    <row r="400" spans="1:16" hidden="1" x14ac:dyDescent="0.25">
      <c r="A400" t="s">
        <v>2530</v>
      </c>
      <c r="B400" t="str">
        <f>IF(COUNTIF(A:A,A400)&gt;1,_xlfn.CONCAT(A400," (",N400,")"),A400)</f>
        <v>Jiăokuí Zhèn</v>
      </c>
      <c r="C400" t="str">
        <f>IF(COUNTIF(B:B,B400)&gt;1,_xlfn.CONCAT(A400," (",M400,")"),B400)</f>
        <v>Jiăokuí Zhèn</v>
      </c>
      <c r="D400" t="s">
        <v>2531</v>
      </c>
      <c r="E400" t="s">
        <v>11</v>
      </c>
      <c r="F400" t="str">
        <f>_xlfn.CONCAT(D400,", ",H400,", ",I400,", ","云南省")</f>
        <v>角奎镇, 彝良县, 昭通市, 云南省</v>
      </c>
      <c r="G400">
        <v>101357</v>
      </c>
      <c r="H400" t="s">
        <v>2907</v>
      </c>
      <c r="I400" t="s">
        <v>2899</v>
      </c>
      <c r="J400">
        <f>VLOOKUP(F400,[1]!china_towns_second__2[[Column1]:[Y]],3,FALSE)</f>
        <v>27.585342120375302</v>
      </c>
      <c r="K400">
        <f>VLOOKUP(F400,[1]!china_towns_second__2[[Column1]:[Y]],2,FALSE)</f>
        <v>104.0873192</v>
      </c>
      <c r="L400" t="s">
        <v>3959</v>
      </c>
      <c r="M400" t="str">
        <f>VLOOKUP(H400,CHOOSE({1,2},Table17[Native],Table17[Name]),2,0)</f>
        <v>Yíliáng Xiàn</v>
      </c>
      <c r="N400" s="15" t="str">
        <f>VLOOKUP(I400,CHOOSE({1,2},Table17[Native],Table17[Name]),2,0)</f>
        <v>Zhāotōng Shì</v>
      </c>
      <c r="O400" s="15" t="str">
        <f t="shared" si="12"/>
        <v>Jiaokui Zhen (Zhāotōng Shì)</v>
      </c>
      <c r="P400" s="15" t="str">
        <f t="shared" si="13"/>
        <v>Jiaokui Zhen (Zhāotōng Shì)</v>
      </c>
    </row>
    <row r="401" spans="1:16" hidden="1" x14ac:dyDescent="0.25">
      <c r="A401" t="s">
        <v>1122</v>
      </c>
      <c r="B401" t="str">
        <f>IF(COUNTIF(A:A,A401)&gt;1,_xlfn.CONCAT(A401," (",N401,")"),A401)</f>
        <v>Jiăopíngdù Zhèn</v>
      </c>
      <c r="C401" t="str">
        <f>IF(COUNTIF(B:B,B401)&gt;1,_xlfn.CONCAT(A401," (",M401,")"),B401)</f>
        <v>Jiăopíngdù Zhèn</v>
      </c>
      <c r="D401" t="s">
        <v>1123</v>
      </c>
      <c r="E401" t="s">
        <v>11</v>
      </c>
      <c r="F401" t="str">
        <f>_xlfn.CONCAT(D401,", ",H401,", ",I401,", ","云南省")</f>
        <v>皎平渡镇, 禄劝彝族苗族自治县, 昆明市, 云南省</v>
      </c>
      <c r="G401">
        <v>18894</v>
      </c>
      <c r="H401" t="s">
        <v>2814</v>
      </c>
      <c r="I401" t="s">
        <v>2807</v>
      </c>
      <c r="J401">
        <f>VLOOKUP(F401,[1]!china_towns_second__2[[Column1]:[Y]],3,FALSE)</f>
        <v>26.1959565593992</v>
      </c>
      <c r="K401">
        <f>VLOOKUP(F401,[1]!china_towns_second__2[[Column1]:[Y]],2,FALSE)</f>
        <v>102.43545899999999</v>
      </c>
      <c r="L401" t="s">
        <v>3960</v>
      </c>
      <c r="M401" t="str">
        <f>VLOOKUP(H401,CHOOSE({1,2},Table17[Native],Table17[Name]),2,0)</f>
        <v>Lùquàn Yízú Miáozú Zìzhìxiàn</v>
      </c>
      <c r="N401" s="15" t="str">
        <f>VLOOKUP(I401,CHOOSE({1,2},Table17[Native],Table17[Name]),2,0)</f>
        <v>Kūnmíng Shì</v>
      </c>
      <c r="O401" s="15" t="str">
        <f t="shared" si="12"/>
        <v>Jiaopingdu Zhen (Kūnmíng Shì)</v>
      </c>
      <c r="P401" s="15" t="str">
        <f t="shared" si="13"/>
        <v>Jiaopingdu Zhen (Kūnmíng Shì)</v>
      </c>
    </row>
    <row r="402" spans="1:16" hidden="1" x14ac:dyDescent="0.25">
      <c r="A402" t="s">
        <v>2373</v>
      </c>
      <c r="B402" t="str">
        <f>IF(COUNTIF(A:A,A402)&gt;1,_xlfn.CONCAT(A402," (",N402,")"),A402)</f>
        <v>Jiásă Zhèn</v>
      </c>
      <c r="C402" t="str">
        <f>IF(COUNTIF(B:B,B402)&gt;1,_xlfn.CONCAT(A402," (",M402,")"),B402)</f>
        <v>Jiásă Zhèn</v>
      </c>
      <c r="D402" t="s">
        <v>2374</v>
      </c>
      <c r="E402" t="s">
        <v>11</v>
      </c>
      <c r="F402" t="str">
        <f>_xlfn.CONCAT(D402,", ",H402,", ",I402,", ","云南省")</f>
        <v>戛洒镇, 新平彝族傣族自治县, 玉溪市, 云南省</v>
      </c>
      <c r="G402">
        <v>44694</v>
      </c>
      <c r="H402" t="s">
        <v>2895</v>
      </c>
      <c r="I402" t="s">
        <v>2888</v>
      </c>
      <c r="J402">
        <f>VLOOKUP(F402,[1]!china_towns_second__2[[Column1]:[Y]],3,FALSE)</f>
        <v>24.050392617255302</v>
      </c>
      <c r="K402">
        <f>VLOOKUP(F402,[1]!china_towns_second__2[[Column1]:[Y]],2,FALSE)</f>
        <v>101.5891826</v>
      </c>
      <c r="L402" t="s">
        <v>3961</v>
      </c>
      <c r="M402" t="str">
        <f>VLOOKUP(H402,CHOOSE({1,2},Table17[Native],Table17[Name]),2,0)</f>
        <v>Xīnpíng Yízú Dăizú Zìzhìxiàn</v>
      </c>
      <c r="N402" s="15" t="str">
        <f>VLOOKUP(I402,CHOOSE({1,2},Table17[Native],Table17[Name]),2,0)</f>
        <v>Yùxī Shì</v>
      </c>
      <c r="O402" s="15" t="str">
        <f t="shared" si="12"/>
        <v>Jiasa Zhen (Yùxī Shì)</v>
      </c>
      <c r="P402" s="15" t="str">
        <f t="shared" si="13"/>
        <v>Jiasa Zhen (Yùxī Shì)</v>
      </c>
    </row>
    <row r="403" spans="1:16" hidden="1" x14ac:dyDescent="0.25">
      <c r="A403" t="s">
        <v>853</v>
      </c>
      <c r="B403" t="str">
        <f>IF(COUNTIF(A:A,A403)&gt;1,_xlfn.CONCAT(A403," (",N403,")"),A403)</f>
        <v>Jiăshā Xiāng</v>
      </c>
      <c r="C403" t="str">
        <f>IF(COUNTIF(B:B,B403)&gt;1,_xlfn.CONCAT(A403," (",M403,")"),B403)</f>
        <v>Jiăshā Xiāng</v>
      </c>
      <c r="D403" t="s">
        <v>854</v>
      </c>
      <c r="E403" t="s">
        <v>7</v>
      </c>
      <c r="F403" t="str">
        <f>_xlfn.CONCAT(D403,", ",H403,", ",I403,", ","云南省")</f>
        <v>贾沙乡, 个旧市, 红河哈尼族彝族自治州, 云南省</v>
      </c>
      <c r="G403">
        <v>17661</v>
      </c>
      <c r="H403" t="s">
        <v>2793</v>
      </c>
      <c r="I403" t="s">
        <v>2792</v>
      </c>
      <c r="J403" t="e">
        <f>VLOOKUP(F403,[1]!china_towns_second__2[[Column1]:[Y]],3,FALSE)</f>
        <v>#N/A</v>
      </c>
      <c r="K403" t="e">
        <f>VLOOKUP(F403,[1]!china_towns_second__2[[Column1]:[Y]],2,FALSE)</f>
        <v>#N/A</v>
      </c>
      <c r="L403" t="s">
        <v>3962</v>
      </c>
      <c r="M403" t="str">
        <f>VLOOKUP(H403,CHOOSE({1,2},Table17[Native],Table17[Name]),2,0)</f>
        <v>Gèjiù Shì</v>
      </c>
      <c r="N403" s="15" t="str">
        <f>VLOOKUP(I403,CHOOSE({1,2},Table17[Native],Table17[Name]),2,0)</f>
        <v>Hónghé Hānízú Yízú Zìzhìzhōu</v>
      </c>
      <c r="O403" s="15" t="str">
        <f t="shared" si="12"/>
        <v>Jiasha Xiang (Hónghé Hānízú Yízú Zìzhìzhōu)</v>
      </c>
      <c r="P403" s="15" t="str">
        <f t="shared" si="13"/>
        <v>Jiasha Xiang (Hónghé Hānízú Yízú Zìzhìzhōu)</v>
      </c>
    </row>
    <row r="404" spans="1:16" hidden="1" x14ac:dyDescent="0.25">
      <c r="A404" t="s">
        <v>2145</v>
      </c>
      <c r="B404" t="str">
        <f>IF(COUNTIF(A:A,A404)&gt;1,_xlfn.CONCAT(A404," (",N404,")"),A404)</f>
        <v>Jiàyī Zhèn</v>
      </c>
      <c r="C404" t="str">
        <f>IF(COUNTIF(B:B,B404)&gt;1,_xlfn.CONCAT(A404," (",M404,")"),B404)</f>
        <v>Jiàyī Zhèn</v>
      </c>
      <c r="D404" t="s">
        <v>2146</v>
      </c>
      <c r="E404" t="s">
        <v>11</v>
      </c>
      <c r="F404" t="str">
        <f>_xlfn.CONCAT(D404,", ",H404,", ",I404,", ","云南省")</f>
        <v>稼依镇, 砚山县, 文山壮族苗族自治州, 云南省</v>
      </c>
      <c r="G404">
        <v>41917</v>
      </c>
      <c r="H404" t="s">
        <v>2880</v>
      </c>
      <c r="I404" t="s">
        <v>2872</v>
      </c>
      <c r="J404">
        <f>VLOOKUP(F404,[1]!china_towns_second__2[[Column1]:[Y]],3,FALSE)</f>
        <v>23.751038325346101</v>
      </c>
      <c r="K404">
        <f>VLOOKUP(F404,[1]!china_towns_second__2[[Column1]:[Y]],2,FALSE)</f>
        <v>103.9520115</v>
      </c>
      <c r="L404" t="s">
        <v>3963</v>
      </c>
      <c r="M404" t="str">
        <f>VLOOKUP(H404,CHOOSE({1,2},Table17[Native],Table17[Name]),2,0)</f>
        <v>Yànshān Xiàn</v>
      </c>
      <c r="N404" s="15" t="str">
        <f>VLOOKUP(I404,CHOOSE({1,2},Table17[Native],Table17[Name]),2,0)</f>
        <v>Wénshān Zhuàngzú Miáozú Zìzhìzhōu</v>
      </c>
      <c r="O404" s="15" t="str">
        <f t="shared" si="12"/>
        <v>Jiayi Zhen (Wénshān Zhuàngzú Miáozú Zìzhìzhōu)</v>
      </c>
      <c r="P404" s="15" t="str">
        <f t="shared" si="13"/>
        <v>Jiayi Zhen (Wénshān Zhuàngzú Miáozú Zìzhìzhōu)</v>
      </c>
    </row>
    <row r="405" spans="1:16" hidden="1" x14ac:dyDescent="0.25">
      <c r="A405" t="s">
        <v>855</v>
      </c>
      <c r="B405" t="str">
        <f>IF(COUNTIF(A:A,A405)&gt;1,_xlfn.CONCAT(A405," (",N405,")"),A405)</f>
        <v>Jiăyín Zhèn</v>
      </c>
      <c r="C405" t="str">
        <f>IF(COUNTIF(B:B,B405)&gt;1,_xlfn.CONCAT(A405," (",M405,")"),B405)</f>
        <v>Jiăyín Zhèn</v>
      </c>
      <c r="D405" t="s">
        <v>856</v>
      </c>
      <c r="E405" t="s">
        <v>11</v>
      </c>
      <c r="F405" t="str">
        <f>_xlfn.CONCAT(D405,", ",H405,", ",I405,", ","云南省")</f>
        <v>甲寅镇, 红河县, 红河哈尼族彝族自治州, 云南省</v>
      </c>
      <c r="G405">
        <v>26194</v>
      </c>
      <c r="H405" t="s">
        <v>2795</v>
      </c>
      <c r="I405" t="s">
        <v>2792</v>
      </c>
      <c r="J405">
        <f>VLOOKUP(F405,[1]!china_towns_second__2[[Column1]:[Y]],3,FALSE)</f>
        <v>23.248054230293601</v>
      </c>
      <c r="K405">
        <f>VLOOKUP(F405,[1]!china_towns_second__2[[Column1]:[Y]],2,FALSE)</f>
        <v>102.4204281</v>
      </c>
      <c r="L405" t="s">
        <v>3964</v>
      </c>
      <c r="M405" t="str">
        <f>VLOOKUP(H405,CHOOSE({1,2},Table17[Native],Table17[Name]),2,0)</f>
        <v>Hónghé Xiàn</v>
      </c>
      <c r="N405" s="15" t="str">
        <f>VLOOKUP(I405,CHOOSE({1,2},Table17[Native],Table17[Name]),2,0)</f>
        <v>Hónghé Hānízú Yízú Zìzhìzhōu</v>
      </c>
      <c r="O405" s="15" t="str">
        <f t="shared" si="12"/>
        <v>Jiayin Zhen (Hónghé Hānízú Yízú Zìzhìzhōu)</v>
      </c>
      <c r="P405" s="15" t="str">
        <f t="shared" si="13"/>
        <v>Jiayin Zhen (Hónghé Hānízú Yízú Zìzhìzhōu)</v>
      </c>
    </row>
    <row r="406" spans="1:16" hidden="1" x14ac:dyDescent="0.25">
      <c r="A406" t="s">
        <v>47</v>
      </c>
      <c r="B406" t="str">
        <f>IF(COUNTIF(A:A,A406)&gt;1,_xlfn.CONCAT(A406," (",N406,")"),A406)</f>
        <v>Jiètóu Zhèn</v>
      </c>
      <c r="C406" t="str">
        <f>IF(COUNTIF(B:B,B406)&gt;1,_xlfn.CONCAT(A406," (",M406,")"),B406)</f>
        <v>Jiètóu Zhèn</v>
      </c>
      <c r="D406" t="s">
        <v>48</v>
      </c>
      <c r="E406" t="s">
        <v>11</v>
      </c>
      <c r="F406" t="str">
        <f>_xlfn.CONCAT(D406,", ",H406,", ",I406,", ","云南省")</f>
        <v>界头镇, 腾冲市, 保山市, 云南省</v>
      </c>
      <c r="G406">
        <v>65843</v>
      </c>
      <c r="H406" t="s">
        <v>2747</v>
      </c>
      <c r="I406" t="s">
        <v>2739</v>
      </c>
      <c r="J406">
        <f>VLOOKUP(F406,[1]!china_towns_second__2[[Column1]:[Y]],3,FALSE)</f>
        <v>25.511588081968402</v>
      </c>
      <c r="K406">
        <f>VLOOKUP(F406,[1]!china_towns_second__2[[Column1]:[Y]],2,FALSE)</f>
        <v>98.675946679999996</v>
      </c>
      <c r="L406" t="s">
        <v>3965</v>
      </c>
      <c r="M406" t="str">
        <f>VLOOKUP(H406,CHOOSE({1,2},Table17[Native],Table17[Name]),2,0)</f>
        <v>Téngchōng Shì</v>
      </c>
      <c r="N406" s="15" t="str">
        <f>VLOOKUP(I406,CHOOSE({1,2},Table17[Native],Table17[Name]),2,0)</f>
        <v>Băoshān Shì</v>
      </c>
      <c r="O406" s="15" t="str">
        <f t="shared" si="12"/>
        <v>Jietou Zhen (Băoshān Shì)</v>
      </c>
      <c r="P406" s="15" t="str">
        <f t="shared" si="13"/>
        <v>Jietou Zhen (Băoshān Shì)</v>
      </c>
    </row>
    <row r="407" spans="1:16" hidden="1" x14ac:dyDescent="0.25">
      <c r="A407" t="s">
        <v>624</v>
      </c>
      <c r="B407" t="str">
        <f>IF(COUNTIF(A:A,A407)&gt;1,_xlfn.CONCAT(A407," (",N407,")"),A407)</f>
        <v>Jiĕxiāng Xiāng</v>
      </c>
      <c r="C407" t="str">
        <f>IF(COUNTIF(B:B,B407)&gt;1,_xlfn.CONCAT(A407," (",M407,")"),B407)</f>
        <v>Jiĕxiāng Xiāng</v>
      </c>
      <c r="D407" t="s">
        <v>625</v>
      </c>
      <c r="E407" t="s">
        <v>7</v>
      </c>
      <c r="F407" t="str">
        <f>_xlfn.CONCAT(D407,", ",H407,", ",I407,", ","云南省")</f>
        <v>姐相乡, 瑞丽市, 德宏傣族景颇族自治州, 云南省</v>
      </c>
      <c r="G407">
        <v>17984</v>
      </c>
      <c r="H407" t="s">
        <v>2783</v>
      </c>
      <c r="I407" t="s">
        <v>2779</v>
      </c>
      <c r="J407" t="e">
        <f>VLOOKUP(F407,[1]!china_towns_second__2[[Column1]:[Y]],3,FALSE)</f>
        <v>#N/A</v>
      </c>
      <c r="K407" t="e">
        <f>VLOOKUP(F407,[1]!china_towns_second__2[[Column1]:[Y]],2,FALSE)</f>
        <v>#N/A</v>
      </c>
      <c r="L407" t="s">
        <v>3966</v>
      </c>
      <c r="M407" t="str">
        <f>VLOOKUP(H407,CHOOSE({1,2},Table17[Native],Table17[Name]),2,0)</f>
        <v>Ruìlì Shì</v>
      </c>
      <c r="N407" s="15" t="str">
        <f>VLOOKUP(I407,CHOOSE({1,2},Table17[Native],Table17[Name]),2,0)</f>
        <v>Déhóng Dăizú Jĭngpōzú Zìzhìzhōu</v>
      </c>
      <c r="O407" s="15" t="str">
        <f t="shared" si="12"/>
        <v>Jiexiang Xiang (Déhóng Dăizú Jĭngpōzú Zìzhìzhōu)</v>
      </c>
      <c r="P407" s="15" t="str">
        <f t="shared" si="13"/>
        <v>Jiexiang Xiang (Déhóng Dăizú Jĭngpōzú Zìzhìzhōu)</v>
      </c>
    </row>
    <row r="408" spans="1:16" hidden="1" x14ac:dyDescent="0.25">
      <c r="A408" t="s">
        <v>49</v>
      </c>
      <c r="B408" t="str">
        <f>IF(COUNTIF(A:A,A408)&gt;1,_xlfn.CONCAT(A408," (",N408,")"),A408)</f>
        <v>Jīfēi Zhèn</v>
      </c>
      <c r="C408" t="str">
        <f>IF(COUNTIF(B:B,B408)&gt;1,_xlfn.CONCAT(A408," (",M408,")"),B408)</f>
        <v>Jīfēi Zhèn</v>
      </c>
      <c r="D408" t="s">
        <v>50</v>
      </c>
      <c r="E408" t="s">
        <v>11</v>
      </c>
      <c r="F408" t="str">
        <f>_xlfn.CONCAT(D408,", ",H408,", ",I408,", ","云南省")</f>
        <v>鸡飞镇, 昌宁县, 保山市, 云南省</v>
      </c>
      <c r="G408">
        <v>18456</v>
      </c>
      <c r="H408" t="s">
        <v>2741</v>
      </c>
      <c r="I408" t="s">
        <v>2739</v>
      </c>
      <c r="J408">
        <f>VLOOKUP(F408,[1]!china_towns_second__2[[Column1]:[Y]],3,FALSE)</f>
        <v>24.7085641107799</v>
      </c>
      <c r="K408">
        <f>VLOOKUP(F408,[1]!china_towns_second__2[[Column1]:[Y]],2,FALSE)</f>
        <v>99.451902020000006</v>
      </c>
      <c r="L408" t="s">
        <v>3967</v>
      </c>
      <c r="M408" t="str">
        <f>VLOOKUP(H408,CHOOSE({1,2},Table17[Native],Table17[Name]),2,0)</f>
        <v>Chāngníng Xiàn</v>
      </c>
      <c r="N408" s="15" t="str">
        <f>VLOOKUP(I408,CHOOSE({1,2},Table17[Native],Table17[Name]),2,0)</f>
        <v>Băoshān Shì</v>
      </c>
      <c r="O408" s="15" t="str">
        <f t="shared" si="12"/>
        <v>Jifei Zhen (Băoshān Shì)</v>
      </c>
      <c r="P408" s="15" t="str">
        <f t="shared" si="13"/>
        <v>Jifei Zhen (Băoshān Shì)</v>
      </c>
    </row>
    <row r="409" spans="1:16" hidden="1" x14ac:dyDescent="0.25">
      <c r="A409" t="s">
        <v>444</v>
      </c>
      <c r="B409" t="str">
        <f>IF(COUNTIF(A:A,A409)&gt;1,_xlfn.CONCAT(A409," (",N409,")"),A409)</f>
        <v>Jījiē Xiāng (Dàlĭ Báizú Zìzhìzhōu)</v>
      </c>
      <c r="C409" t="str">
        <f>IF(COUNTIF(B:B,B409)&gt;1,_xlfn.CONCAT(A409," (",M409,")"),B409)</f>
        <v>Jījiē Xiāng (Dàlĭ Báizú Zìzhìzhōu)</v>
      </c>
      <c r="D409" t="s">
        <v>445</v>
      </c>
      <c r="E409" t="s">
        <v>7</v>
      </c>
      <c r="F409" t="str">
        <f>_xlfn.CONCAT(D409,", ",H409,", ",I409,", ","云南省")</f>
        <v>鸡街乡, 漾濞彝族自治县, 大理白族自治州, 云南省</v>
      </c>
      <c r="G409">
        <v>4876</v>
      </c>
      <c r="H409" t="s">
        <v>2774</v>
      </c>
      <c r="I409" t="s">
        <v>2763</v>
      </c>
      <c r="J409" t="e">
        <f>VLOOKUP(F409,[1]!china_towns_second__2[[Column1]:[Y]],3,FALSE)</f>
        <v>#N/A</v>
      </c>
      <c r="K409" t="e">
        <f>VLOOKUP(F409,[1]!china_towns_second__2[[Column1]:[Y]],2,FALSE)</f>
        <v>#N/A</v>
      </c>
      <c r="L409" t="s">
        <v>3968</v>
      </c>
      <c r="M409" t="str">
        <f>VLOOKUP(H409,CHOOSE({1,2},Table17[Native],Table17[Name]),2,0)</f>
        <v>Yàngbì Yízú Zìzhìxiàn</v>
      </c>
      <c r="N409" s="15" t="str">
        <f>VLOOKUP(I409,CHOOSE({1,2},Table17[Native],Table17[Name]),2,0)</f>
        <v>Dàlĭ Báizú Zìzhìzhōu</v>
      </c>
      <c r="O409" s="15" t="str">
        <f t="shared" si="12"/>
        <v>Jijie Xiang (Dali Baizu Zizhizhou) (Dàlĭ Báizú Zìzhìzhōu)</v>
      </c>
      <c r="P409" s="15" t="str">
        <f t="shared" si="13"/>
        <v>Jijie Xiang (Dali Baizu Zizhizhou) (Dàlĭ Báizú Zìzhìzhōu)</v>
      </c>
    </row>
    <row r="410" spans="1:16" hidden="1" x14ac:dyDescent="0.25">
      <c r="A410" t="s">
        <v>444</v>
      </c>
      <c r="B410" t="str">
        <f>IF(COUNTIF(A:A,A410)&gt;1,_xlfn.CONCAT(A410," (",N410,")"),A410)</f>
        <v>Jījiē Xiāng (Wénshān Zhuàngzú Miáozú Zìzhìzhōu)</v>
      </c>
      <c r="C410" t="str">
        <f>IF(COUNTIF(B:B,B410)&gt;1,_xlfn.CONCAT(A410," (",M410,")"),B410)</f>
        <v>Jījiē Xiāng (Wénshān Zhuàngzú Miáozú Zìzhìzhōu)</v>
      </c>
      <c r="D410" t="s">
        <v>445</v>
      </c>
      <c r="E410" t="s">
        <v>7</v>
      </c>
      <c r="F410" t="str">
        <f>_xlfn.CONCAT(D410,", ",H410,", ",I410,", ","云南省")</f>
        <v>鸡街乡, 西畴县, 文山壮族苗族自治州, 云南省</v>
      </c>
      <c r="G410">
        <v>36918</v>
      </c>
      <c r="H410" t="s">
        <v>2879</v>
      </c>
      <c r="I410" t="s">
        <v>2872</v>
      </c>
      <c r="J410" t="e">
        <f>VLOOKUP(F410,[1]!china_towns_second__2[[Column1]:[Y]],3,FALSE)</f>
        <v>#N/A</v>
      </c>
      <c r="K410" t="e">
        <f>VLOOKUP(F410,[1]!china_towns_second__2[[Column1]:[Y]],2,FALSE)</f>
        <v>#N/A</v>
      </c>
      <c r="L410" t="s">
        <v>3969</v>
      </c>
      <c r="M410" t="str">
        <f>VLOOKUP(H410,CHOOSE({1,2},Table17[Native],Table17[Name]),2,0)</f>
        <v>Xīchóu Xiàn</v>
      </c>
      <c r="N410" s="15" t="str">
        <f>VLOOKUP(I410,CHOOSE({1,2},Table17[Native],Table17[Name]),2,0)</f>
        <v>Wénshān Zhuàngzú Miáozú Zìzhìzhōu</v>
      </c>
      <c r="O410" s="15" t="str">
        <f t="shared" si="12"/>
        <v>Jijie Xiang (Wenshan Zhuangzu Miaozu Zizhizhou) (Wénshān Zhuàngzú Miáozú Zìzhìzhōu)</v>
      </c>
      <c r="P410" s="15" t="str">
        <f t="shared" si="13"/>
        <v>Jijie Xiang (Wenshan Zhuangzu Miaozu Zizhizhou) (Wénshān Zhuàngzú Miáozú Zìzhìzhōu)</v>
      </c>
    </row>
    <row r="411" spans="1:16" hidden="1" x14ac:dyDescent="0.25">
      <c r="A411" t="s">
        <v>857</v>
      </c>
      <c r="B411" t="str">
        <f>IF(COUNTIF(A:A,A411)&gt;1,_xlfn.CONCAT(A411," (",N411,")"),A411)</f>
        <v>Jījiē Zhèn (Hónghé Hānízú Yízú Zìzhìzhōu)</v>
      </c>
      <c r="C411" t="str">
        <f>IF(COUNTIF(B:B,B411)&gt;1,_xlfn.CONCAT(A411," (",M411,")"),B411)</f>
        <v>Jījiē Zhèn (Hónghé Hānízú Yízú Zìzhìzhōu)</v>
      </c>
      <c r="D411" t="s">
        <v>858</v>
      </c>
      <c r="E411" t="s">
        <v>11</v>
      </c>
      <c r="F411" t="str">
        <f>_xlfn.CONCAT(D411,", ",H411,", ",I411,", ","云南省")</f>
        <v>鸡街镇, 个旧市, 红河哈尼族彝族自治州, 云南省</v>
      </c>
      <c r="G411">
        <v>56789</v>
      </c>
      <c r="H411" t="s">
        <v>2793</v>
      </c>
      <c r="I411" t="s">
        <v>2792</v>
      </c>
      <c r="J411">
        <f>VLOOKUP(F411,[1]!china_towns_second__2[[Column1]:[Y]],3,FALSE)</f>
        <v>23.496466379531501</v>
      </c>
      <c r="K411">
        <f>VLOOKUP(F411,[1]!china_towns_second__2[[Column1]:[Y]],2,FALSE)</f>
        <v>103.1569971</v>
      </c>
      <c r="L411" t="s">
        <v>3970</v>
      </c>
      <c r="M411" t="str">
        <f>VLOOKUP(H411,CHOOSE({1,2},Table17[Native],Table17[Name]),2,0)</f>
        <v>Gèjiù Shì</v>
      </c>
      <c r="N411" s="15" t="str">
        <f>VLOOKUP(I411,CHOOSE({1,2},Table17[Native],Table17[Name]),2,0)</f>
        <v>Hónghé Hānízú Yízú Zìzhìzhōu</v>
      </c>
      <c r="O411" s="15" t="str">
        <f t="shared" si="12"/>
        <v>Jijie Zhen (Honghe Hanizu Yizu Zizhizhou) (Hónghé Hānízú Yízú Zìzhìzhōu)</v>
      </c>
      <c r="P411" s="15" t="str">
        <f t="shared" si="13"/>
        <v>Jijie Zhen (Honghe Hanizu Yizu Zizhizhou) (Hónghé Hānízú Yízú Zìzhìzhōu)</v>
      </c>
    </row>
    <row r="412" spans="1:16" hidden="1" x14ac:dyDescent="0.25">
      <c r="A412" t="s">
        <v>857</v>
      </c>
      <c r="B412" t="str">
        <f>IF(COUNTIF(A:A,A412)&gt;1,_xlfn.CONCAT(A412," (",N412,")"),A412)</f>
        <v>Jījiē Zhèn (Kūnmíng Shì)</v>
      </c>
      <c r="C412" t="str">
        <f>IF(COUNTIF(B:B,B412)&gt;1,_xlfn.CONCAT(A412," (",M412,")"),B412)</f>
        <v>Jījiē Zhèn (Kūnmíng Shì)</v>
      </c>
      <c r="D412" t="s">
        <v>858</v>
      </c>
      <c r="E412" t="s">
        <v>11</v>
      </c>
      <c r="F412" t="str">
        <f>_xlfn.CONCAT(D412,", ",H412,", ",I412,", ","云南省")</f>
        <v>鸡街镇, 寻甸回族彝族自治县, 昆明市, 云南省</v>
      </c>
      <c r="G412">
        <v>26708</v>
      </c>
      <c r="H412" t="s">
        <v>2820</v>
      </c>
      <c r="I412" t="s">
        <v>2807</v>
      </c>
      <c r="J412">
        <f>VLOOKUP(F412,[1]!china_towns_second__2[[Column1]:[Y]],3,FALSE)</f>
        <v>25.639735803720701</v>
      </c>
      <c r="K412">
        <f>VLOOKUP(F412,[1]!china_towns_second__2[[Column1]:[Y]],2,FALSE)</f>
        <v>102.79183569999999</v>
      </c>
      <c r="L412" t="s">
        <v>3971</v>
      </c>
      <c r="M412" t="str">
        <f>VLOOKUP(H412,CHOOSE({1,2},Table17[Native],Table17[Name]),2,0)</f>
        <v>Xúndiàn Huízú Yízú Zìzhìxiàn</v>
      </c>
      <c r="N412" s="15" t="str">
        <f>VLOOKUP(I412,CHOOSE({1,2},Table17[Native],Table17[Name]),2,0)</f>
        <v>Kūnmíng Shì</v>
      </c>
      <c r="O412" s="15" t="str">
        <f t="shared" si="12"/>
        <v>Jijie Zhen (Kunming Shi) (Kūnmíng Shì)</v>
      </c>
      <c r="P412" s="15" t="str">
        <f t="shared" si="13"/>
        <v>Jijie Zhen (Kunming Shi) (Kūnmíng Shì)</v>
      </c>
    </row>
    <row r="413" spans="1:16" hidden="1" x14ac:dyDescent="0.25">
      <c r="A413" t="s">
        <v>2532</v>
      </c>
      <c r="B413" t="str">
        <f>IF(COUNTIF(A:A,A413)&gt;1,_xlfn.CONCAT(A413," (",N413,")"),A413)</f>
        <v>Jílì Zhèn</v>
      </c>
      <c r="C413" t="str">
        <f>IF(COUNTIF(B:B,B413)&gt;1,_xlfn.CONCAT(A413," (",M413,")"),B413)</f>
        <v>Jílì Zhèn</v>
      </c>
      <c r="D413" t="s">
        <v>2533</v>
      </c>
      <c r="E413" t="s">
        <v>11</v>
      </c>
      <c r="F413" t="str">
        <f>_xlfn.CONCAT(D413,", ",H413,", ",I413,", ","云南省")</f>
        <v>吉利镇, 大关县, 昭通市, 云南省</v>
      </c>
      <c r="G413">
        <v>17797</v>
      </c>
      <c r="H413" t="s">
        <v>2900</v>
      </c>
      <c r="I413" t="s">
        <v>2899</v>
      </c>
      <c r="J413">
        <f>VLOOKUP(F413,[1]!china_towns_second__2[[Column1]:[Y]],3,FALSE)</f>
        <v>28.0086540362276</v>
      </c>
      <c r="K413">
        <f>VLOOKUP(F413,[1]!china_towns_second__2[[Column1]:[Y]],2,FALSE)</f>
        <v>103.97470029999999</v>
      </c>
      <c r="L413" t="s">
        <v>3972</v>
      </c>
      <c r="M413" t="str">
        <f>VLOOKUP(H413,CHOOSE({1,2},Table17[Native],Table17[Name]),2,0)</f>
        <v>Dàguān Xiàn</v>
      </c>
      <c r="N413" s="15" t="str">
        <f>VLOOKUP(I413,CHOOSE({1,2},Table17[Native],Table17[Name]),2,0)</f>
        <v>Zhāotōng Shì</v>
      </c>
      <c r="O413" s="15" t="str">
        <f t="shared" si="12"/>
        <v>Jili Zhen (Zhāotōng Shì)</v>
      </c>
      <c r="P413" s="15" t="str">
        <f t="shared" si="13"/>
        <v>Jili Zhen (Zhāotōng Shì)</v>
      </c>
    </row>
    <row r="414" spans="1:16" hidden="1" x14ac:dyDescent="0.25">
      <c r="A414" t="s">
        <v>1339</v>
      </c>
      <c r="B414" t="str">
        <f>IF(COUNTIF(A:A,A414)&gt;1,_xlfn.CONCAT(A414," (",N414,")"),A414)</f>
        <v>Jīn'ān Zhèn</v>
      </c>
      <c r="C414" t="str">
        <f>IF(COUNTIF(B:B,B414)&gt;1,_xlfn.CONCAT(A414," (",M414,")"),B414)</f>
        <v>Jīn'ān Zhèn</v>
      </c>
      <c r="D414" t="s">
        <v>1340</v>
      </c>
      <c r="E414" t="s">
        <v>11</v>
      </c>
      <c r="F414" t="str">
        <f>_xlfn.CONCAT(D414,", ",H414,", ",I414,", ","云南省")</f>
        <v>金安镇, 古城区, 丽江市, 云南省</v>
      </c>
      <c r="G414">
        <v>6332</v>
      </c>
      <c r="H414" t="s">
        <v>2824</v>
      </c>
      <c r="I414" t="s">
        <v>2823</v>
      </c>
      <c r="J414">
        <f>VLOOKUP(F414,[1]!china_towns_second__2[[Column1]:[Y]],3,FALSE)</f>
        <v>26.857060205339199</v>
      </c>
      <c r="K414">
        <f>VLOOKUP(F414,[1]!china_towns_second__2[[Column1]:[Y]],2,FALSE)</f>
        <v>100.3906693</v>
      </c>
      <c r="L414" t="s">
        <v>3973</v>
      </c>
      <c r="M414" t="str">
        <f>VLOOKUP(H414,CHOOSE({1,2},Table17[Native],Table17[Name]),2,0)</f>
        <v>Gŭchéng Qū</v>
      </c>
      <c r="N414" s="15" t="str">
        <f>VLOOKUP(I414,CHOOSE({1,2},Table17[Native],Table17[Name]),2,0)</f>
        <v>Lìjiāng Shì</v>
      </c>
      <c r="O414" s="15" t="str">
        <f t="shared" si="12"/>
        <v>Jin'an Zhen (Lìjiāng Shì)</v>
      </c>
      <c r="P414" s="15" t="str">
        <f t="shared" si="13"/>
        <v>Jin'an Zhen (Lìjiāng Shì)</v>
      </c>
    </row>
    <row r="415" spans="1:16" hidden="1" x14ac:dyDescent="0.25">
      <c r="A415" t="s">
        <v>1124</v>
      </c>
      <c r="B415" t="str">
        <f>IF(COUNTIF(A:A,A415)&gt;1,_xlfn.CONCAT(A415," (",N415,")"),A415)</f>
        <v>Jīnbì Jiēdào</v>
      </c>
      <c r="C415" t="str">
        <f>IF(COUNTIF(B:B,B415)&gt;1,_xlfn.CONCAT(A415," (",M415,")"),B415)</f>
        <v>Jīnbì Jiēdào</v>
      </c>
      <c r="D415" t="s">
        <v>1125</v>
      </c>
      <c r="E415" t="s">
        <v>42</v>
      </c>
      <c r="F415" t="str">
        <f>_xlfn.CONCAT(D415,", ",H415,", ",I415,", ","云南省")</f>
        <v>金碧街道, 西山区, 昆明市, 云南省</v>
      </c>
      <c r="G415">
        <v>130470</v>
      </c>
      <c r="H415" t="s">
        <v>2819</v>
      </c>
      <c r="I415" t="s">
        <v>2807</v>
      </c>
      <c r="J415">
        <f>VLOOKUP(F415,[1]!china_towns_second__2[[Column1]:[Y]],3,FALSE)</f>
        <v>25.030928451066298</v>
      </c>
      <c r="K415">
        <f>VLOOKUP(F415,[1]!china_towns_second__2[[Column1]:[Y]],2,FALSE)</f>
        <v>102.6965766</v>
      </c>
      <c r="L415" t="s">
        <v>3974</v>
      </c>
      <c r="M415" t="str">
        <f>VLOOKUP(H415,CHOOSE({1,2},Table17[Native],Table17[Name]),2,0)</f>
        <v>Xīshān Qū</v>
      </c>
      <c r="N415" s="15" t="str">
        <f>VLOOKUP(I415,CHOOSE({1,2},Table17[Native],Table17[Name]),2,0)</f>
        <v>Kūnmíng Shì</v>
      </c>
      <c r="O415" s="15" t="str">
        <f t="shared" si="12"/>
        <v>Jinbi Jiedao (Kūnmíng Shì)</v>
      </c>
      <c r="P415" s="15" t="str">
        <f t="shared" si="13"/>
        <v>Jinbi Jiedao (Kūnmíng Shì)</v>
      </c>
    </row>
    <row r="416" spans="1:16" hidden="1" x14ac:dyDescent="0.25">
      <c r="A416" t="s">
        <v>242</v>
      </c>
      <c r="B416" t="str">
        <f>IF(COUNTIF(A:A,A416)&gt;1,_xlfn.CONCAT(A416," (",N416,")"),A416)</f>
        <v>Jīnbì Zhèn</v>
      </c>
      <c r="C416" t="str">
        <f>IF(COUNTIF(B:B,B416)&gt;1,_xlfn.CONCAT(A416," (",M416,")"),B416)</f>
        <v>Jīnbì Zhèn</v>
      </c>
      <c r="D416" t="s">
        <v>243</v>
      </c>
      <c r="E416" t="s">
        <v>11</v>
      </c>
      <c r="F416" t="str">
        <f>_xlfn.CONCAT(D416,", ",H416,", ",I416,", ","云南省")</f>
        <v>金碧镇, 大姚县, 楚雄彝族自治州, 云南省</v>
      </c>
      <c r="G416">
        <v>95639</v>
      </c>
      <c r="H416" t="s">
        <v>2752</v>
      </c>
      <c r="I416" t="s">
        <v>2750</v>
      </c>
      <c r="J416">
        <f>VLOOKUP(F416,[1]!china_towns_second__2[[Column1]:[Y]],3,FALSE)</f>
        <v>25.698226010796901</v>
      </c>
      <c r="K416">
        <f>VLOOKUP(F416,[1]!china_towns_second__2[[Column1]:[Y]],2,FALSE)</f>
        <v>101.2936717</v>
      </c>
      <c r="L416" t="s">
        <v>3975</v>
      </c>
      <c r="M416" t="str">
        <f>VLOOKUP(H416,CHOOSE({1,2},Table17[Native],Table17[Name]),2,0)</f>
        <v>Dàyáo Xiàn</v>
      </c>
      <c r="N416" s="15" t="str">
        <f>VLOOKUP(I416,CHOOSE({1,2},Table17[Native],Table17[Name]),2,0)</f>
        <v>Chŭxióng Yízú Zìzhìzhōu</v>
      </c>
      <c r="O416" s="15" t="str">
        <f t="shared" si="12"/>
        <v>Jinbi Zhen (Chŭxióng Yízú Zìzhìzhōu)</v>
      </c>
      <c r="P416" s="15" t="str">
        <f t="shared" si="13"/>
        <v>Jinbi Zhen (Chŭxióng Yízú Zìzhìzhōu)</v>
      </c>
    </row>
    <row r="417" spans="1:16" hidden="1" x14ac:dyDescent="0.25">
      <c r="A417" t="s">
        <v>2147</v>
      </c>
      <c r="B417" t="str">
        <f>IF(COUNTIF(A:A,A417)&gt;1,_xlfn.CONCAT(A417," (",N417,")"),A417)</f>
        <v>Jīnchăng Zhèn</v>
      </c>
      <c r="C417" t="str">
        <f>IF(COUNTIF(B:B,B417)&gt;1,_xlfn.CONCAT(A417," (",M417,")"),B417)</f>
        <v>Jīnchăng Zhèn</v>
      </c>
      <c r="D417" t="s">
        <v>2148</v>
      </c>
      <c r="E417" t="s">
        <v>11</v>
      </c>
      <c r="F417" t="str">
        <f>_xlfn.CONCAT(D417,", ",H417,", ",I417,", ","云南省")</f>
        <v>金厂镇, 马关县, 文山壮族苗族自治州, 云南省</v>
      </c>
      <c r="G417">
        <v>8589</v>
      </c>
      <c r="H417" t="s">
        <v>2875</v>
      </c>
      <c r="I417" t="s">
        <v>2872</v>
      </c>
      <c r="J417">
        <f>VLOOKUP(F417,[1]!china_towns_second__2[[Column1]:[Y]],3,FALSE)</f>
        <v>22.749802133348499</v>
      </c>
      <c r="K417">
        <f>VLOOKUP(F417,[1]!china_towns_second__2[[Column1]:[Y]],2,FALSE)</f>
        <v>104.4207474</v>
      </c>
      <c r="L417" t="s">
        <v>3976</v>
      </c>
      <c r="M417" t="str">
        <f>VLOOKUP(H417,CHOOSE({1,2},Table17[Native],Table17[Name]),2,0)</f>
        <v>Măguān Xiàn</v>
      </c>
      <c r="N417" s="15" t="str">
        <f>VLOOKUP(I417,CHOOSE({1,2},Table17[Native],Table17[Name]),2,0)</f>
        <v>Wénshān Zhuàngzú Miáozú Zìzhìzhōu</v>
      </c>
      <c r="O417" s="15" t="str">
        <f t="shared" si="12"/>
        <v>Jinchang Zhen (Wénshān Zhuàngzú Miáozú Zìzhìzhōu)</v>
      </c>
      <c r="P417" s="15" t="str">
        <f t="shared" si="13"/>
        <v>Jinchang Zhen (Wénshān Zhuàngzú Miáozú Zìzhìzhōu)</v>
      </c>
    </row>
    <row r="418" spans="1:16" hidden="1" x14ac:dyDescent="0.25">
      <c r="A418" t="s">
        <v>1128</v>
      </c>
      <c r="B418" t="str">
        <f>IF(COUNTIF(A:A,A418)&gt;1,_xlfn.CONCAT(A418," (",N418,")"),A418)</f>
        <v>Jīnchén Jiēdào</v>
      </c>
      <c r="C418" t="str">
        <f>IF(COUNTIF(B:B,B418)&gt;1,_xlfn.CONCAT(A418," (",M418,")"),B418)</f>
        <v>Jīnchén Jiēdào</v>
      </c>
      <c r="D418" t="s">
        <v>1129</v>
      </c>
      <c r="E418" t="s">
        <v>42</v>
      </c>
      <c r="F418" t="str">
        <f>_xlfn.CONCAT(D418,", ",H418,", ",I418,", ","云南省")</f>
        <v>金辰街道, 盘龙区, 昆明市, 云南省</v>
      </c>
      <c r="G418">
        <v>155659</v>
      </c>
      <c r="H418" t="s">
        <v>2815</v>
      </c>
      <c r="I418" t="s">
        <v>2807</v>
      </c>
      <c r="J418">
        <f>VLOOKUP(F418,[1]!china_towns_second__2[[Column1]:[Y]],3,FALSE)</f>
        <v>25.0872451196059</v>
      </c>
      <c r="K418">
        <f>VLOOKUP(F418,[1]!china_towns_second__2[[Column1]:[Y]],2,FALSE)</f>
        <v>102.74156240000001</v>
      </c>
      <c r="L418" t="s">
        <v>3977</v>
      </c>
      <c r="M418" t="str">
        <f>VLOOKUP(H418,CHOOSE({1,2},Table17[Native],Table17[Name]),2,0)</f>
        <v>Pánlóng Qū</v>
      </c>
      <c r="N418" s="15" t="str">
        <f>VLOOKUP(I418,CHOOSE({1,2},Table17[Native],Table17[Name]),2,0)</f>
        <v>Kūnmíng Shì</v>
      </c>
      <c r="O418" s="15" t="str">
        <f t="shared" si="12"/>
        <v>Jinchen Jiedao (Kūnmíng Shì)</v>
      </c>
      <c r="P418" s="15" t="str">
        <f t="shared" si="13"/>
        <v>Jinchen Jiedao (Kūnmíng Shì)</v>
      </c>
    </row>
    <row r="419" spans="1:16" hidden="1" x14ac:dyDescent="0.25">
      <c r="A419" t="s">
        <v>1126</v>
      </c>
      <c r="B419" t="str">
        <f>IF(COUNTIF(A:A,A419)&gt;1,_xlfn.CONCAT(A419," (",N419,")"),A419)</f>
        <v>Jìnchéng Zhèn [incl. Xīnjiē Zhèn]</v>
      </c>
      <c r="C419" t="str">
        <f>IF(COUNTIF(B:B,B419)&gt;1,_xlfn.CONCAT(A419," (",M419,")"),B419)</f>
        <v>Jìnchéng Zhèn [incl. Xīnjiē Zhèn]</v>
      </c>
      <c r="D419" t="s">
        <v>1127</v>
      </c>
      <c r="E419" t="s">
        <v>11</v>
      </c>
      <c r="F419" t="str">
        <f>_xlfn.CONCAT(D419,", ",H419,", ",I419,", ","云南省")</f>
        <v>晋城镇, 晋宁区, 昆明市, 云南省</v>
      </c>
      <c r="G419">
        <v>96567</v>
      </c>
      <c r="H419" t="s">
        <v>2813</v>
      </c>
      <c r="I419" t="s">
        <v>2807</v>
      </c>
      <c r="J419">
        <f>VLOOKUP(F419,[1]!china_towns_second__2[[Column1]:[Y]],3,FALSE)</f>
        <v>24.667642477427499</v>
      </c>
      <c r="K419">
        <f>VLOOKUP(F419,[1]!china_towns_second__2[[Column1]:[Y]],2,FALSE)</f>
        <v>102.7603836</v>
      </c>
      <c r="L419" t="s">
        <v>3978</v>
      </c>
      <c r="M419" t="str">
        <f>VLOOKUP(H419,CHOOSE({1,2},Table17[Native],Table17[Name]),2,0)</f>
        <v>Jìnníng Qū</v>
      </c>
      <c r="N419" s="15" t="str">
        <f>VLOOKUP(I419,CHOOSE({1,2},Table17[Native],Table17[Name]),2,0)</f>
        <v>Kūnmíng Shì</v>
      </c>
      <c r="O419" s="15" t="str">
        <f t="shared" si="12"/>
        <v>Jincheng Zhen [incl. Xinjie Zhen] (Kūnmíng Shì)</v>
      </c>
      <c r="P419" s="15" t="str">
        <f t="shared" si="13"/>
        <v>Jincheng Zhen [incl. Xinjie Zhen] (Kūnmíng Shì)</v>
      </c>
    </row>
    <row r="420" spans="1:16" hidden="1" x14ac:dyDescent="0.25">
      <c r="A420" t="s">
        <v>1609</v>
      </c>
      <c r="B420" t="str">
        <f>IF(COUNTIF(A:A,A420)&gt;1,_xlfn.CONCAT(A420," (",N420,")"),A420)</f>
        <v>Jīndĭng Zhèn</v>
      </c>
      <c r="C420" t="str">
        <f>IF(COUNTIF(B:B,B420)&gt;1,_xlfn.CONCAT(A420," (",M420,")"),B420)</f>
        <v>Jīndĭng Zhèn</v>
      </c>
      <c r="D420" t="s">
        <v>1610</v>
      </c>
      <c r="E420" t="s">
        <v>11</v>
      </c>
      <c r="F420" t="str">
        <f>_xlfn.CONCAT(D420,", ",H420,", ",I420,", ","云南省")</f>
        <v>金顶镇, 兰坪白族普米族自治县, 怒江傈僳族自治州, 云南省</v>
      </c>
      <c r="G420">
        <v>53667</v>
      </c>
      <c r="H420" t="s">
        <v>2845</v>
      </c>
      <c r="I420" t="s">
        <v>2842</v>
      </c>
      <c r="J420">
        <f>VLOOKUP(F420,[1]!china_towns_second__2[[Column1]:[Y]],3,FALSE)</f>
        <v>26.457779124159899</v>
      </c>
      <c r="K420">
        <f>VLOOKUP(F420,[1]!china_towns_second__2[[Column1]:[Y]],2,FALSE)</f>
        <v>99.413046249999994</v>
      </c>
      <c r="L420" t="s">
        <v>3979</v>
      </c>
      <c r="M420" t="str">
        <f>VLOOKUP(H420,CHOOSE({1,2},Table17[Native],Table17[Name]),2,0)</f>
        <v>Lánpíng Báizú Pŭmĭzú Zìzhìxiàn</v>
      </c>
      <c r="N420" s="15" t="str">
        <f>VLOOKUP(I420,CHOOSE({1,2},Table17[Native],Table17[Name]),2,0)</f>
        <v>Nùjiāng Lìsùzú Zìzhìzhōu</v>
      </c>
      <c r="O420" s="15" t="str">
        <f t="shared" si="12"/>
        <v>Jinding Zhen (Nùjiāng Lìsùzú Zìzhìzhōu)</v>
      </c>
      <c r="P420" s="15" t="str">
        <f t="shared" si="13"/>
        <v>Jinding Zhen (Nùjiāng Lìsùzú Zìzhìzhōu)</v>
      </c>
    </row>
    <row r="421" spans="1:16" hidden="1" x14ac:dyDescent="0.25">
      <c r="A421" t="s">
        <v>446</v>
      </c>
      <c r="B421" t="str">
        <f>IF(COUNTIF(A:A,A421)&gt;1,_xlfn.CONCAT(A421," (",N421,")"),A421)</f>
        <v>Jīndūn Xiāng</v>
      </c>
      <c r="C421" t="str">
        <f>IF(COUNTIF(B:B,B421)&gt;1,_xlfn.CONCAT(A421," (",M421,")"),B421)</f>
        <v>Jīndūn Xiāng</v>
      </c>
      <c r="D421" t="s">
        <v>447</v>
      </c>
      <c r="E421" t="s">
        <v>7</v>
      </c>
      <c r="F421" t="str">
        <f>_xlfn.CONCAT(D421,", ",H421,", ",I421,", ","云南省")</f>
        <v>金墩乡, 鹤庆县, 大理白族自治州, 云南省</v>
      </c>
      <c r="G421">
        <v>33123</v>
      </c>
      <c r="H421" t="s">
        <v>2767</v>
      </c>
      <c r="I421" t="s">
        <v>2763</v>
      </c>
      <c r="J421" t="e">
        <f>VLOOKUP(F421,[1]!china_towns_second__2[[Column1]:[Y]],3,FALSE)</f>
        <v>#N/A</v>
      </c>
      <c r="K421" t="e">
        <f>VLOOKUP(F421,[1]!china_towns_second__2[[Column1]:[Y]],2,FALSE)</f>
        <v>#N/A</v>
      </c>
      <c r="L421" t="s">
        <v>3980</v>
      </c>
      <c r="M421" t="str">
        <f>VLOOKUP(H421,CHOOSE({1,2},Table17[Native],Table17[Name]),2,0)</f>
        <v>Hèqìng Xiàn</v>
      </c>
      <c r="N421" s="15" t="str">
        <f>VLOOKUP(I421,CHOOSE({1,2},Table17[Native],Table17[Name]),2,0)</f>
        <v>Dàlĭ Báizú Zìzhìzhōu</v>
      </c>
      <c r="O421" s="15" t="str">
        <f t="shared" si="12"/>
        <v>Jindun Xiang (Dàlĭ Báizú Zìzhìzhōu)</v>
      </c>
      <c r="P421" s="15" t="str">
        <f t="shared" si="13"/>
        <v>Jindun Xiang (Dàlĭ Báizú Zìzhìzhōu)</v>
      </c>
    </row>
    <row r="422" spans="1:16" hidden="1" x14ac:dyDescent="0.25">
      <c r="A422" t="s">
        <v>1130</v>
      </c>
      <c r="B422" t="str">
        <f>IF(COUNTIF(A:A,A422)&gt;1,_xlfn.CONCAT(A422," (",N422,")"),A422)</f>
        <v>Jīnfāng Jiēdào</v>
      </c>
      <c r="C422" t="str">
        <f>IF(COUNTIF(B:B,B422)&gt;1,_xlfn.CONCAT(A422," (",M422,")"),B422)</f>
        <v>Jīnfāng Jiēdào</v>
      </c>
      <c r="D422" t="s">
        <v>1131</v>
      </c>
      <c r="E422" t="s">
        <v>42</v>
      </c>
      <c r="F422" t="str">
        <f>_xlfn.CONCAT(D422,", ",H422,", ",I422,", ","云南省")</f>
        <v>金方街道, 安宁市, 昆明市, 云南省</v>
      </c>
      <c r="G422">
        <v>85602</v>
      </c>
      <c r="H422" t="s">
        <v>2808</v>
      </c>
      <c r="I422" t="s">
        <v>2807</v>
      </c>
      <c r="J422">
        <f>VLOOKUP(F422,[1]!china_towns_second__2[[Column1]:[Y]],3,FALSE)</f>
        <v>24.882876470996901</v>
      </c>
      <c r="K422">
        <f>VLOOKUP(F422,[1]!china_towns_second__2[[Column1]:[Y]],2,FALSE)</f>
        <v>102.5146747</v>
      </c>
      <c r="L422" t="s">
        <v>3981</v>
      </c>
      <c r="M422" t="str">
        <f>VLOOKUP(H422,CHOOSE({1,2},Table17[Native],Table17[Name]),2,0)</f>
        <v>Ānníng Shì</v>
      </c>
      <c r="N422" s="15" t="str">
        <f>VLOOKUP(I422,CHOOSE({1,2},Table17[Native],Table17[Name]),2,0)</f>
        <v>Kūnmíng Shì</v>
      </c>
      <c r="O422" s="15" t="str">
        <f t="shared" si="12"/>
        <v>Jinfang Jiedao (Kūnmíng Shì)</v>
      </c>
      <c r="P422" s="15" t="str">
        <f t="shared" si="13"/>
        <v>Jinfang Jiedao (Kūnmíng Shì)</v>
      </c>
    </row>
    <row r="423" spans="1:16" hidden="1" x14ac:dyDescent="0.25">
      <c r="A423" t="s">
        <v>2534</v>
      </c>
      <c r="B423" t="str">
        <f>IF(COUNTIF(A:A,A423)&gt;1,_xlfn.CONCAT(A423," (",N423,")"),A423)</f>
        <v>Jìng'ān Zhèn</v>
      </c>
      <c r="C423" t="str">
        <f>IF(COUNTIF(B:B,B423)&gt;1,_xlfn.CONCAT(A423," (",M423,")"),B423)</f>
        <v>Jìng'ān Zhèn</v>
      </c>
      <c r="D423" t="s">
        <v>2535</v>
      </c>
      <c r="E423" t="s">
        <v>11</v>
      </c>
      <c r="F423" t="str">
        <f>_xlfn.CONCAT(D423,", ",H423,", ",I423,", ","云南省")</f>
        <v>靖安镇, 昭阳区, 昭通市, 云南省</v>
      </c>
      <c r="G423">
        <v>37533</v>
      </c>
      <c r="H423" t="s">
        <v>2909</v>
      </c>
      <c r="I423" t="s">
        <v>2899</v>
      </c>
      <c r="J423">
        <f>VLOOKUP(F423,[1]!china_towns_second__2[[Column1]:[Y]],3,FALSE)</f>
        <v>27.584460651142201</v>
      </c>
      <c r="K423">
        <f>VLOOKUP(F423,[1]!china_towns_second__2[[Column1]:[Y]],2,FALSE)</f>
        <v>103.7643267</v>
      </c>
      <c r="L423" t="s">
        <v>3982</v>
      </c>
      <c r="M423" t="str">
        <f>VLOOKUP(H423,CHOOSE({1,2},Table17[Native],Table17[Name]),2,0)</f>
        <v>Zhāoyáng Qū</v>
      </c>
      <c r="N423" s="15" t="str">
        <f>VLOOKUP(I423,CHOOSE({1,2},Table17[Native],Table17[Name]),2,0)</f>
        <v>Zhāotōng Shì</v>
      </c>
      <c r="O423" s="15" t="str">
        <f t="shared" si="12"/>
        <v>Jing'an Zhen (Zhāotōng Shì)</v>
      </c>
      <c r="P423" s="15" t="str">
        <f t="shared" si="13"/>
        <v>Jing'an Zhen (Zhāotōng Shì)</v>
      </c>
    </row>
    <row r="424" spans="1:16" hidden="1" x14ac:dyDescent="0.25">
      <c r="A424" t="s">
        <v>1703</v>
      </c>
      <c r="B424" t="str">
        <f>IF(COUNTIF(A:A,A424)&gt;1,_xlfn.CONCAT(A424," (",N424,")"),A424)</f>
        <v>Jĭngfú Zhèn</v>
      </c>
      <c r="C424" t="str">
        <f>IF(COUNTIF(B:B,B424)&gt;1,_xlfn.CONCAT(A424," (",M424,")"),B424)</f>
        <v>Jĭngfú Zhèn</v>
      </c>
      <c r="D424" t="s">
        <v>1704</v>
      </c>
      <c r="E424" t="s">
        <v>11</v>
      </c>
      <c r="F424" t="str">
        <f>_xlfn.CONCAT(D424,", ",H424,", ",I424,", ","云南省")</f>
        <v>景福镇, 景东彝族自治县, 普洱市, 云南省</v>
      </c>
      <c r="G424">
        <v>21067</v>
      </c>
      <c r="H424" t="s">
        <v>2850</v>
      </c>
      <c r="I424" t="s">
        <v>2848</v>
      </c>
      <c r="J424">
        <f>VLOOKUP(F424,[1]!china_towns_second__2[[Column1]:[Y]],3,FALSE)</f>
        <v>24.326212118071499</v>
      </c>
      <c r="K424">
        <f>VLOOKUP(F424,[1]!china_towns_second__2[[Column1]:[Y]],2,FALSE)</f>
        <v>100.6590073</v>
      </c>
      <c r="L424" t="s">
        <v>3983</v>
      </c>
      <c r="M424" t="str">
        <f>VLOOKUP(H424,CHOOSE({1,2},Table17[Native],Table17[Name]),2,0)</f>
        <v>Jĭngdōng Yízú Zìzhìxiàn</v>
      </c>
      <c r="N424" s="15" t="str">
        <f>VLOOKUP(I424,CHOOSE({1,2},Table17[Native],Table17[Name]),2,0)</f>
        <v>Pŭ'ĕr Shì</v>
      </c>
      <c r="O424" s="15" t="str">
        <f t="shared" si="12"/>
        <v>Jingfu Zhen (Pŭ'ĕr Shì)</v>
      </c>
      <c r="P424" s="15" t="str">
        <f t="shared" si="13"/>
        <v>Jingfu Zhen (Pŭ'ĕr Shì)</v>
      </c>
    </row>
    <row r="425" spans="1:16" hidden="1" x14ac:dyDescent="0.25">
      <c r="A425" t="s">
        <v>1705</v>
      </c>
      <c r="B425" t="str">
        <f>IF(COUNTIF(A:A,A425)&gt;1,_xlfn.CONCAT(A425," (",N425,")"),A425)</f>
        <v>Jĭnggŭ Zhèn</v>
      </c>
      <c r="C425" t="str">
        <f>IF(COUNTIF(B:B,B425)&gt;1,_xlfn.CONCAT(A425," (",M425,")"),B425)</f>
        <v>Jĭnggŭ Zhèn</v>
      </c>
      <c r="D425" t="s">
        <v>1706</v>
      </c>
      <c r="E425" t="s">
        <v>11</v>
      </c>
      <c r="F425" t="str">
        <f>_xlfn.CONCAT(D425,", ",H425,", ",I425,", ","云南省")</f>
        <v>景谷镇, 景谷傣族彝族自治县, 普洱市, 云南省</v>
      </c>
      <c r="G425">
        <v>15331</v>
      </c>
      <c r="H425" t="s">
        <v>2851</v>
      </c>
      <c r="I425" t="s">
        <v>2848</v>
      </c>
      <c r="J425">
        <f>VLOOKUP(F425,[1]!china_towns_second__2[[Column1]:[Y]],3,FALSE)</f>
        <v>23.733388656967399</v>
      </c>
      <c r="K425">
        <f>VLOOKUP(F425,[1]!china_towns_second__2[[Column1]:[Y]],2,FALSE)</f>
        <v>100.63979380000001</v>
      </c>
      <c r="L425" t="s">
        <v>3984</v>
      </c>
      <c r="M425" t="str">
        <f>VLOOKUP(H425,CHOOSE({1,2},Table17[Native],Table17[Name]),2,0)</f>
        <v>Jĭnggŭ Dăizú Yízú Zìzhìxiàn</v>
      </c>
      <c r="N425" s="15" t="str">
        <f>VLOOKUP(I425,CHOOSE({1,2},Table17[Native],Table17[Name]),2,0)</f>
        <v>Pŭ'ĕr Shì</v>
      </c>
      <c r="O425" s="15" t="str">
        <f t="shared" si="12"/>
        <v>Jinggu Zhen (Pŭ'ĕr Shì)</v>
      </c>
      <c r="P425" s="15" t="str">
        <f t="shared" si="13"/>
        <v>Jinggu Zhen (Pŭ'ĕr Shì)</v>
      </c>
    </row>
    <row r="426" spans="1:16" hidden="1" x14ac:dyDescent="0.25">
      <c r="A426" t="s">
        <v>2271</v>
      </c>
      <c r="B426" t="str">
        <f>IF(COUNTIF(A:A,A426)&gt;1,_xlfn.CONCAT(A426," (",N426,")"),A426)</f>
        <v>Jĭnghā Hānízú Xiāng</v>
      </c>
      <c r="C426" t="str">
        <f>IF(COUNTIF(B:B,B426)&gt;1,_xlfn.CONCAT(A426," (",M426,")"),B426)</f>
        <v>Jĭnghā Hānízú Xiāng</v>
      </c>
      <c r="D426" t="s">
        <v>2272</v>
      </c>
      <c r="E426" t="s">
        <v>7</v>
      </c>
      <c r="F426" t="str">
        <f>_xlfn.CONCAT(D426,", ",H426,", ",I426,", ","云南省")</f>
        <v>景哈哈尼族乡, 景洪市, 西双版纳傣族自治州, 云南省</v>
      </c>
      <c r="G426">
        <v>23959</v>
      </c>
      <c r="H426" t="s">
        <v>2884</v>
      </c>
      <c r="I426" t="s">
        <v>2883</v>
      </c>
      <c r="J426" t="e">
        <f>VLOOKUP(F426,[1]!china_towns_second__2[[Column1]:[Y]],3,FALSE)</f>
        <v>#N/A</v>
      </c>
      <c r="K426" t="e">
        <f>VLOOKUP(F426,[1]!china_towns_second__2[[Column1]:[Y]],2,FALSE)</f>
        <v>#N/A</v>
      </c>
      <c r="L426" t="s">
        <v>3985</v>
      </c>
      <c r="M426" t="str">
        <f>VLOOKUP(H426,CHOOSE({1,2},Table17[Native],Table17[Name]),2,0)</f>
        <v>Jĭnghóng Shì</v>
      </c>
      <c r="N426" s="15" t="str">
        <f>VLOOKUP(I426,CHOOSE({1,2},Table17[Native],Table17[Name]),2,0)</f>
        <v>Xīshuāngbănnà Dăizú Zìzhìzhōu</v>
      </c>
      <c r="O426" s="15" t="str">
        <f t="shared" si="12"/>
        <v>Jingha Hanizu Xiang (Xīshuāngbănnà Dăizú Zìzhìzhōu)</v>
      </c>
      <c r="P426" s="15" t="str">
        <f t="shared" si="13"/>
        <v>Jingha Hanizu Xiang (Xīshuāngbănnà Dăizú Zìzhìzhōu)</v>
      </c>
    </row>
    <row r="427" spans="1:16" hidden="1" x14ac:dyDescent="0.25">
      <c r="A427" t="s">
        <v>626</v>
      </c>
      <c r="B427" t="str">
        <f>IF(COUNTIF(A:A,A427)&gt;1,_xlfn.CONCAT(A427," (",N427,")"),A427)</f>
        <v>Jĭnghăn Zhèn</v>
      </c>
      <c r="C427" t="str">
        <f>IF(COUNTIF(B:B,B427)&gt;1,_xlfn.CONCAT(A427," (",M427,")"),B427)</f>
        <v>Jĭnghăn Zhèn</v>
      </c>
      <c r="D427" t="s">
        <v>627</v>
      </c>
      <c r="E427" t="s">
        <v>11</v>
      </c>
      <c r="F427" t="str">
        <f>_xlfn.CONCAT(D427,", ",H427,", ",I427,", ","云南省")</f>
        <v>景罕镇, 陇川县, 德宏傣族景颇族自治州, 云南省</v>
      </c>
      <c r="G427">
        <v>23536</v>
      </c>
      <c r="H427" t="s">
        <v>2781</v>
      </c>
      <c r="I427" t="s">
        <v>2779</v>
      </c>
      <c r="J427">
        <f>VLOOKUP(F427,[1]!china_towns_second__2[[Column1]:[Y]],3,FALSE)</f>
        <v>24.232213618322799</v>
      </c>
      <c r="K427">
        <f>VLOOKUP(F427,[1]!china_towns_second__2[[Column1]:[Y]],2,FALSE)</f>
        <v>97.923137249999996</v>
      </c>
      <c r="L427" t="s">
        <v>3986</v>
      </c>
      <c r="M427" t="str">
        <f>VLOOKUP(H427,CHOOSE({1,2},Table17[Native],Table17[Name]),2,0)</f>
        <v>Lŏngchuān Xiàn</v>
      </c>
      <c r="N427" s="15" t="str">
        <f>VLOOKUP(I427,CHOOSE({1,2},Table17[Native],Table17[Name]),2,0)</f>
        <v>Déhóng Dăizú Jĭngpōzú Zìzhìzhōu</v>
      </c>
      <c r="O427" s="15" t="str">
        <f t="shared" si="12"/>
        <v>Jinghan Zhen (Déhóng Dăizú Jĭngpōzú Zìzhìzhōu)</v>
      </c>
      <c r="P427" s="15" t="str">
        <f t="shared" si="13"/>
        <v>Jinghan Zhen (Déhóng Dăizú Jĭngpōzú Zìzhìzhōu)</v>
      </c>
    </row>
    <row r="428" spans="1:16" hidden="1" x14ac:dyDescent="0.25">
      <c r="A428" t="s">
        <v>2273</v>
      </c>
      <c r="B428" t="str">
        <f>IF(COUNTIF(A:A,A428)&gt;1,_xlfn.CONCAT(A428," (",N428,")"),A428)</f>
        <v>Jĭnghóng Gōngyè Yuánqū</v>
      </c>
      <c r="C428" t="str">
        <f>IF(COUNTIF(B:B,B428)&gt;1,_xlfn.CONCAT(A428," (",M428,")"),B428)</f>
        <v>Jĭnghóng Gōngyè Yuánqū</v>
      </c>
      <c r="D428" t="s">
        <v>2274</v>
      </c>
      <c r="E428" t="s">
        <v>380</v>
      </c>
      <c r="F428" t="str">
        <f>_xlfn.CONCAT(D428,", ",H428,", ",I428,", ","云南省")</f>
        <v>景洪工业园区, 景洪市, 西双版纳傣族自治州, 云南省</v>
      </c>
      <c r="G428">
        <v>4544</v>
      </c>
      <c r="H428" t="s">
        <v>2884</v>
      </c>
      <c r="I428" t="s">
        <v>2883</v>
      </c>
      <c r="J428">
        <f>VLOOKUP(F428,[1]!china_towns_second__2[[Column1]:[Y]],3,FALSE)</f>
        <v>22.0340381360033</v>
      </c>
      <c r="K428">
        <f>VLOOKUP(F428,[1]!china_towns_second__2[[Column1]:[Y]],2,FALSE)</f>
        <v>100.7457223</v>
      </c>
      <c r="L428" t="s">
        <v>3987</v>
      </c>
      <c r="M428" t="str">
        <f>VLOOKUP(H428,CHOOSE({1,2},Table17[Native],Table17[Name]),2,0)</f>
        <v>Jĭnghóng Shì</v>
      </c>
      <c r="N428" s="15" t="str">
        <f>VLOOKUP(I428,CHOOSE({1,2},Table17[Native],Table17[Name]),2,0)</f>
        <v>Xīshuāngbănnà Dăizú Zìzhìzhōu</v>
      </c>
      <c r="O428" s="15" t="str">
        <f t="shared" si="12"/>
        <v>Jinghong Gongye Yuanqu (Xīshuāngbănnà Dăizú Zìzhìzhōu)</v>
      </c>
      <c r="P428" s="15" t="str">
        <f t="shared" si="13"/>
        <v>Jinghong Gongye Yuanqu (Xīshuāngbănnà Dăizú Zìzhìzhōu)</v>
      </c>
    </row>
    <row r="429" spans="1:16" hidden="1" x14ac:dyDescent="0.25">
      <c r="A429" t="s">
        <v>2275</v>
      </c>
      <c r="B429" t="str">
        <f>IF(COUNTIF(A:A,A429)&gt;1,_xlfn.CONCAT(A429," (",N429,")"),A429)</f>
        <v>Jĭngnè Xiāng</v>
      </c>
      <c r="C429" t="str">
        <f>IF(COUNTIF(B:B,B429)&gt;1,_xlfn.CONCAT(A429," (",M429,")"),B429)</f>
        <v>Jĭngnè Xiāng</v>
      </c>
      <c r="D429" t="s">
        <v>2276</v>
      </c>
      <c r="E429" t="s">
        <v>7</v>
      </c>
      <c r="F429" t="str">
        <f>_xlfn.CONCAT(D429,", ",H429,", ",I429,", ","云南省")</f>
        <v>景讷乡, 景洪市, 西双版纳傣族自治州, 云南省</v>
      </c>
      <c r="G429">
        <v>14045</v>
      </c>
      <c r="H429" t="s">
        <v>2884</v>
      </c>
      <c r="I429" t="s">
        <v>2883</v>
      </c>
      <c r="J429" t="e">
        <f>VLOOKUP(F429,[1]!china_towns_second__2[[Column1]:[Y]],3,FALSE)</f>
        <v>#N/A</v>
      </c>
      <c r="K429" t="e">
        <f>VLOOKUP(F429,[1]!china_towns_second__2[[Column1]:[Y]],2,FALSE)</f>
        <v>#N/A</v>
      </c>
      <c r="L429" t="s">
        <v>3988</v>
      </c>
      <c r="M429" t="str">
        <f>VLOOKUP(H429,CHOOSE({1,2},Table17[Native],Table17[Name]),2,0)</f>
        <v>Jĭnghóng Shì</v>
      </c>
      <c r="N429" s="15" t="str">
        <f>VLOOKUP(I429,CHOOSE({1,2},Table17[Native],Table17[Name]),2,0)</f>
        <v>Xīshuāngbănnà Dăizú Zìzhìzhōu</v>
      </c>
      <c r="O429" s="15" t="str">
        <f t="shared" si="12"/>
        <v>Jingne Xiang (Xīshuāngbănnà Dăizú Zìzhìzhōu)</v>
      </c>
      <c r="P429" s="15" t="str">
        <f t="shared" si="13"/>
        <v>Jingne Xiang (Xīshuāngbănnà Dăizú Zìzhìzhōu)</v>
      </c>
    </row>
    <row r="430" spans="1:16" hidden="1" x14ac:dyDescent="0.25">
      <c r="A430" t="s">
        <v>1709</v>
      </c>
      <c r="B430" t="str">
        <f>IF(COUNTIF(A:A,A430)&gt;1,_xlfn.CONCAT(A430," (",N430,")"),A430)</f>
        <v>Jĭngxìn Xiāng</v>
      </c>
      <c r="C430" t="str">
        <f>IF(COUNTIF(B:B,B430)&gt;1,_xlfn.CONCAT(A430," (",M430,")"),B430)</f>
        <v>Jĭngxìn Xiāng</v>
      </c>
      <c r="D430" t="s">
        <v>1710</v>
      </c>
      <c r="E430" t="s">
        <v>7</v>
      </c>
      <c r="F430" t="str">
        <f>_xlfn.CONCAT(D430,", ",H430,", ",I430,", ","云南省")</f>
        <v>景信乡, 孟连傣族拉祜族佤族自治县, 普洱市, 云南省</v>
      </c>
      <c r="G430">
        <v>12545</v>
      </c>
      <c r="H430" t="s">
        <v>2853</v>
      </c>
      <c r="I430" t="s">
        <v>2848</v>
      </c>
      <c r="J430" t="e">
        <f>VLOOKUP(F430,[1]!china_towns_second__2[[Column1]:[Y]],3,FALSE)</f>
        <v>#N/A</v>
      </c>
      <c r="K430" t="e">
        <f>VLOOKUP(F430,[1]!china_towns_second__2[[Column1]:[Y]],2,FALSE)</f>
        <v>#N/A</v>
      </c>
      <c r="L430" t="s">
        <v>3989</v>
      </c>
      <c r="M430" t="str">
        <f>VLOOKUP(H430,CHOOSE({1,2},Table17[Native],Table17[Name]),2,0)</f>
        <v>Mènglián Dăizú Lāhùzú Wăzú Zìzhìxiàn</v>
      </c>
      <c r="N430" s="15" t="str">
        <f>VLOOKUP(I430,CHOOSE({1,2},Table17[Native],Table17[Name]),2,0)</f>
        <v>Pŭ'ĕr Shì</v>
      </c>
      <c r="O430" s="15" t="str">
        <f t="shared" si="12"/>
        <v>Jingxin Xiang (Pŭ'ĕr Shì)</v>
      </c>
      <c r="P430" s="15" t="str">
        <f t="shared" si="13"/>
        <v>Jingxin Xiang (Pŭ'ĕr Shì)</v>
      </c>
    </row>
    <row r="431" spans="1:16" hidden="1" x14ac:dyDescent="0.25">
      <c r="A431" t="s">
        <v>1707</v>
      </c>
      <c r="B431" t="str">
        <f>IF(COUNTIF(A:A,A431)&gt;1,_xlfn.CONCAT(A431," (",N431,")"),A431)</f>
        <v>Jĭngxīng Zhèn</v>
      </c>
      <c r="C431" t="str">
        <f>IF(COUNTIF(B:B,B431)&gt;1,_xlfn.CONCAT(A431," (",M431,")"),B431)</f>
        <v>Jĭngxīng Zhèn</v>
      </c>
      <c r="D431" t="s">
        <v>1708</v>
      </c>
      <c r="E431" t="s">
        <v>11</v>
      </c>
      <c r="F431" t="str">
        <f>_xlfn.CONCAT(D431,", ",H431,", ",I431,", ","云南省")</f>
        <v>景星镇, 墨江哈尼族自治县, 普洱市, 云南省</v>
      </c>
      <c r="G431">
        <v>22201</v>
      </c>
      <c r="H431" t="s">
        <v>2854</v>
      </c>
      <c r="I431" t="s">
        <v>2848</v>
      </c>
      <c r="J431">
        <f>VLOOKUP(F431,[1]!china_towns_second__2[[Column1]:[Y]],3,FALSE)</f>
        <v>23.471006379122599</v>
      </c>
      <c r="K431">
        <f>VLOOKUP(F431,[1]!china_towns_second__2[[Column1]:[Y]],2,FALSE)</f>
        <v>101.3715878</v>
      </c>
      <c r="L431" t="s">
        <v>3990</v>
      </c>
      <c r="M431" t="str">
        <f>VLOOKUP(H431,CHOOSE({1,2},Table17[Native],Table17[Name]),2,0)</f>
        <v>Mòjiāng Hānízú Zìzhìxiàn</v>
      </c>
      <c r="N431" s="15" t="str">
        <f>VLOOKUP(I431,CHOOSE({1,2},Table17[Native],Table17[Name]),2,0)</f>
        <v>Pŭ'ĕr Shì</v>
      </c>
      <c r="O431" s="15" t="str">
        <f t="shared" si="12"/>
        <v>Jingxing Zhen (Pŭ'ĕr Shì)</v>
      </c>
      <c r="P431" s="15" t="str">
        <f t="shared" si="13"/>
        <v>Jingxing Zhen (Pŭ'ĕr Shì)</v>
      </c>
    </row>
    <row r="432" spans="1:16" hidden="1" x14ac:dyDescent="0.25">
      <c r="A432" t="s">
        <v>859</v>
      </c>
      <c r="B432" t="str">
        <f>IF(COUNTIF(A:A,A432)&gt;1,_xlfn.CONCAT(A432," (",N432,")"),A432)</f>
        <v>Jīnhé Zhèn</v>
      </c>
      <c r="C432" t="str">
        <f>IF(COUNTIF(B:B,B432)&gt;1,_xlfn.CONCAT(A432," (",M432,")"),B432)</f>
        <v>Jīnhé Zhèn</v>
      </c>
      <c r="D432" t="s">
        <v>860</v>
      </c>
      <c r="E432" t="s">
        <v>11</v>
      </c>
      <c r="F432" t="str">
        <f>_xlfn.CONCAT(D432,", ",H432,", ",I432,", ","云南省")</f>
        <v>金河镇, 金平苗族瑶族傣族自治县, 红河哈尼族彝族自治州, 云南省</v>
      </c>
      <c r="G432">
        <v>79658</v>
      </c>
      <c r="H432" t="s">
        <v>2797</v>
      </c>
      <c r="I432" t="s">
        <v>2792</v>
      </c>
      <c r="J432">
        <f>VLOOKUP(F432,[1]!china_towns_second__2[[Column1]:[Y]],3,FALSE)</f>
        <v>22.772828438346298</v>
      </c>
      <c r="K432">
        <f>VLOOKUP(F432,[1]!china_towns_second__2[[Column1]:[Y]],2,FALSE)</f>
        <v>103.2200859</v>
      </c>
      <c r="L432" t="s">
        <v>3991</v>
      </c>
      <c r="M432" t="str">
        <f>VLOOKUP(H432,CHOOSE({1,2},Table17[Native],Table17[Name]),2,0)</f>
        <v>Jīnpíng Miáozú Yáozú Dăizú Zìzhìxiàn</v>
      </c>
      <c r="N432" s="15" t="str">
        <f>VLOOKUP(I432,CHOOSE({1,2},Table17[Native],Table17[Name]),2,0)</f>
        <v>Hónghé Hānízú Yízú Zìzhìzhōu</v>
      </c>
      <c r="O432" s="15" t="str">
        <f t="shared" si="12"/>
        <v>Jinhe Zhen (Hónghé Hānízú Yízú Zìzhìzhōu)</v>
      </c>
      <c r="P432" s="15" t="str">
        <f t="shared" si="13"/>
        <v>Jinhe Zhen (Hónghé Hānízú Yízú Zìzhìzhōu)</v>
      </c>
    </row>
    <row r="433" spans="1:16" hidden="1" x14ac:dyDescent="0.25">
      <c r="A433" t="s">
        <v>448</v>
      </c>
      <c r="B433" t="str">
        <f>IF(COUNTIF(A:A,A433)&gt;1,_xlfn.CONCAT(A433," (",N433,")"),A433)</f>
        <v>Jīnhuá Zhèn</v>
      </c>
      <c r="C433" t="str">
        <f>IF(COUNTIF(B:B,B433)&gt;1,_xlfn.CONCAT(A433," (",M433,")"),B433)</f>
        <v>Jīnhuá Zhèn</v>
      </c>
      <c r="D433" t="s">
        <v>449</v>
      </c>
      <c r="E433" t="s">
        <v>11</v>
      </c>
      <c r="F433" t="str">
        <f>_xlfn.CONCAT(D433,", ",H433,", ",I433,", ","云南省")</f>
        <v>金华镇, 剑川县, 大理白族自治州, 云南省</v>
      </c>
      <c r="G433">
        <v>53523</v>
      </c>
      <c r="H433" t="s">
        <v>2768</v>
      </c>
      <c r="I433" t="s">
        <v>2763</v>
      </c>
      <c r="J433">
        <f>VLOOKUP(F433,[1]!china_towns_second__2[[Column1]:[Y]],3,FALSE)</f>
        <v>26.563978026301399</v>
      </c>
      <c r="K433">
        <f>VLOOKUP(F433,[1]!china_towns_second__2[[Column1]:[Y]],2,FALSE)</f>
        <v>99.909381199999999</v>
      </c>
      <c r="L433" t="s">
        <v>3992</v>
      </c>
      <c r="M433" t="str">
        <f>VLOOKUP(H433,CHOOSE({1,2},Table17[Native],Table17[Name]),2,0)</f>
        <v>Jiànchuān Xiàn</v>
      </c>
      <c r="N433" s="15" t="str">
        <f>VLOOKUP(I433,CHOOSE({1,2},Table17[Native],Table17[Name]),2,0)</f>
        <v>Dàlĭ Báizú Zìzhìzhōu</v>
      </c>
      <c r="O433" s="15" t="str">
        <f t="shared" si="12"/>
        <v>Jinhua Zhen (Dàlĭ Báizú Zìzhìzhōu)</v>
      </c>
      <c r="P433" s="15" t="str">
        <f t="shared" si="13"/>
        <v>Jinhua Zhen (Dàlĭ Báizú Zìzhìzhōu)</v>
      </c>
    </row>
    <row r="434" spans="1:16" hidden="1" x14ac:dyDescent="0.25">
      <c r="A434" t="s">
        <v>51</v>
      </c>
      <c r="B434" t="str">
        <f>IF(COUNTIF(A:A,A434)&gt;1,_xlfn.CONCAT(A434," (",N434,")"),A434)</f>
        <v>Jīnjī Xiāng</v>
      </c>
      <c r="C434" t="str">
        <f>IF(COUNTIF(B:B,B434)&gt;1,_xlfn.CONCAT(A434," (",M434,")"),B434)</f>
        <v>Jīnjī Xiāng</v>
      </c>
      <c r="D434" t="s">
        <v>52</v>
      </c>
      <c r="E434" t="s">
        <v>7</v>
      </c>
      <c r="F434" t="str">
        <f>_xlfn.CONCAT(D434,", ",H434,", ",I434,", ","云南省")</f>
        <v>金鸡乡, 隆阳区, 保山市, 云南省</v>
      </c>
      <c r="G434">
        <v>24709</v>
      </c>
      <c r="H434" t="s">
        <v>2744</v>
      </c>
      <c r="I434" t="s">
        <v>2739</v>
      </c>
      <c r="J434" t="e">
        <f>VLOOKUP(F434,[1]!china_towns_second__2[[Column1]:[Y]],3,FALSE)</f>
        <v>#N/A</v>
      </c>
      <c r="K434" t="e">
        <f>VLOOKUP(F434,[1]!china_towns_second__2[[Column1]:[Y]],2,FALSE)</f>
        <v>#N/A</v>
      </c>
      <c r="L434" t="s">
        <v>3993</v>
      </c>
      <c r="M434" t="str">
        <f>VLOOKUP(H434,CHOOSE({1,2},Table17[Native],Table17[Name]),2,0)</f>
        <v>Lóngyáng Qū</v>
      </c>
      <c r="N434" s="15" t="str">
        <f>VLOOKUP(I434,CHOOSE({1,2},Table17[Native],Table17[Name]),2,0)</f>
        <v>Băoshān Shì</v>
      </c>
      <c r="O434" s="15" t="str">
        <f t="shared" si="12"/>
        <v>Jinji Xiang (Băoshān Shì)</v>
      </c>
      <c r="P434" s="15" t="str">
        <f t="shared" si="13"/>
        <v>Jinji Xiang (Băoshān Shì)</v>
      </c>
    </row>
    <row r="435" spans="1:16" hidden="1" x14ac:dyDescent="0.25">
      <c r="A435" t="s">
        <v>1341</v>
      </c>
      <c r="B435" t="str">
        <f>IF(COUNTIF(A:A,A435)&gt;1,_xlfn.CONCAT(A435," (",N435,")"),A435)</f>
        <v>Jīnjiāng Báizú Xiāng</v>
      </c>
      <c r="C435" t="str">
        <f>IF(COUNTIF(B:B,B435)&gt;1,_xlfn.CONCAT(A435," (",M435,")"),B435)</f>
        <v>Jīnjiāng Báizú Xiāng</v>
      </c>
      <c r="D435" t="s">
        <v>1342</v>
      </c>
      <c r="E435" t="s">
        <v>7</v>
      </c>
      <c r="F435" t="str">
        <f>_xlfn.CONCAT(D435,", ",H435,", ",I435,", ","云南省")</f>
        <v>金江白族乡, 古城区, 丽江市, 云南省</v>
      </c>
      <c r="G435">
        <v>3537</v>
      </c>
      <c r="H435" t="s">
        <v>2824</v>
      </c>
      <c r="I435" t="s">
        <v>2823</v>
      </c>
      <c r="J435" t="e">
        <f>VLOOKUP(F435,[1]!china_towns_second__2[[Column1]:[Y]],3,FALSE)</f>
        <v>#N/A</v>
      </c>
      <c r="K435" t="e">
        <f>VLOOKUP(F435,[1]!china_towns_second__2[[Column1]:[Y]],2,FALSE)</f>
        <v>#N/A</v>
      </c>
      <c r="L435" t="s">
        <v>3994</v>
      </c>
      <c r="M435" t="str">
        <f>VLOOKUP(H435,CHOOSE({1,2},Table17[Native],Table17[Name]),2,0)</f>
        <v>Gŭchéng Qū</v>
      </c>
      <c r="N435" s="15" t="str">
        <f>VLOOKUP(I435,CHOOSE({1,2},Table17[Native],Table17[Name]),2,0)</f>
        <v>Lìjiāng Shì</v>
      </c>
      <c r="O435" s="15" t="str">
        <f t="shared" si="12"/>
        <v>Jinjiang Baizu Xiang (Lìjiāng Shì)</v>
      </c>
      <c r="P435" s="15" t="str">
        <f t="shared" si="13"/>
        <v>Jinjiang Baizu Xiang (Lìjiāng Shì)</v>
      </c>
    </row>
    <row r="436" spans="1:16" hidden="1" x14ac:dyDescent="0.25">
      <c r="A436" t="s">
        <v>728</v>
      </c>
      <c r="B436" t="str">
        <f>IF(COUNTIF(A:A,A436)&gt;1,_xlfn.CONCAT(A436," (",N436,")"),A436)</f>
        <v>Jīnjiāng Zhèn</v>
      </c>
      <c r="C436" t="str">
        <f>IF(COUNTIF(B:B,B436)&gt;1,_xlfn.CONCAT(A436," (",M436,")"),B436)</f>
        <v>Jīnjiāng Zhèn</v>
      </c>
      <c r="D436" t="s">
        <v>729</v>
      </c>
      <c r="E436" t="s">
        <v>11</v>
      </c>
      <c r="F436" t="str">
        <f>_xlfn.CONCAT(D436,", ",H436,", ",I436,", ","云南省")</f>
        <v>金江镇, 香格里拉市, 迪庆藏族自治州, 云南省</v>
      </c>
      <c r="G436">
        <v>16738</v>
      </c>
      <c r="H436" t="s">
        <v>2789</v>
      </c>
      <c r="I436" t="s">
        <v>2786</v>
      </c>
      <c r="J436">
        <f>VLOOKUP(F436,[1]!china_towns_second__2[[Column1]:[Y]],3,FALSE)</f>
        <v>27.168732784159499</v>
      </c>
      <c r="K436">
        <f>VLOOKUP(F436,[1]!china_towns_second__2[[Column1]:[Y]],2,FALSE)</f>
        <v>99.872951209999997</v>
      </c>
      <c r="L436" t="s">
        <v>3995</v>
      </c>
      <c r="M436" t="str">
        <f>VLOOKUP(H436,CHOOSE({1,2},Table17[Native],Table17[Name]),2,0)</f>
        <v>Xiānggélĭlā Shì</v>
      </c>
      <c r="N436" s="15" t="str">
        <f>VLOOKUP(I436,CHOOSE({1,2},Table17[Native],Table17[Name]),2,0)</f>
        <v>Díqìng Zàngzú Zìzhìzhōu</v>
      </c>
      <c r="O436" s="15" t="str">
        <f t="shared" si="12"/>
        <v>Jinjiang Zhen (Díqìng Zàngzú Zìzhìzhōu)</v>
      </c>
      <c r="P436" s="15" t="str">
        <f t="shared" si="13"/>
        <v>Jinjiang Zhen (Díqìng Zàngzú Zìzhìzhōu)</v>
      </c>
    </row>
    <row r="437" spans="1:16" hidden="1" x14ac:dyDescent="0.25">
      <c r="A437" t="s">
        <v>1132</v>
      </c>
      <c r="B437" t="str">
        <f>IF(COUNTIF(A:A,A437)&gt;1,_xlfn.CONCAT(A437," (",N437,")"),A437)</f>
        <v>Jīnmă Jiēdào</v>
      </c>
      <c r="C437" t="str">
        <f>IF(COUNTIF(B:B,B437)&gt;1,_xlfn.CONCAT(A437," (",M437,")"),B437)</f>
        <v>Jīnmă Jiēdào</v>
      </c>
      <c r="D437" t="s">
        <v>1133</v>
      </c>
      <c r="E437" t="s">
        <v>42</v>
      </c>
      <c r="F437" t="str">
        <f>_xlfn.CONCAT(D437,", ",H437,", ",I437,", ","云南省")</f>
        <v>金马街道, 官渡区, 昆明市, 云南省</v>
      </c>
      <c r="G437">
        <v>125032</v>
      </c>
      <c r="H437" t="s">
        <v>2812</v>
      </c>
      <c r="I437" t="s">
        <v>2807</v>
      </c>
      <c r="J437">
        <f>VLOOKUP(F437,[1]!china_towns_second__2[[Column1]:[Y]],3,FALSE)</f>
        <v>25.026544511157802</v>
      </c>
      <c r="K437">
        <f>VLOOKUP(F437,[1]!china_towns_second__2[[Column1]:[Y]],2,FALSE)</f>
        <v>102.7707616</v>
      </c>
      <c r="L437" t="s">
        <v>3996</v>
      </c>
      <c r="M437" t="str">
        <f>VLOOKUP(H437,CHOOSE({1,2},Table17[Native],Table17[Name]),2,0)</f>
        <v>Guāndù Qū</v>
      </c>
      <c r="N437" s="15" t="str">
        <f>VLOOKUP(I437,CHOOSE({1,2},Table17[Native],Table17[Name]),2,0)</f>
        <v>Kūnmíng Shì</v>
      </c>
      <c r="O437" s="15" t="str">
        <f t="shared" si="12"/>
        <v>Jinma Jiedao (Kūnmíng Shì)</v>
      </c>
      <c r="P437" s="15" t="str">
        <f t="shared" si="13"/>
        <v>Jinma Jiedao (Kūnmíng Shì)</v>
      </c>
    </row>
    <row r="438" spans="1:16" hidden="1" x14ac:dyDescent="0.25">
      <c r="A438" t="s">
        <v>861</v>
      </c>
      <c r="B438" t="str">
        <f>IF(COUNTIF(A:A,A438)&gt;1,_xlfn.CONCAT(A438," (",N438,")"),A438)</f>
        <v>Jīnmă Zhèn</v>
      </c>
      <c r="C438" t="str">
        <f>IF(COUNTIF(B:B,B438)&gt;1,_xlfn.CONCAT(A438," (",M438,")"),B438)</f>
        <v>Jīnmă Zhèn</v>
      </c>
      <c r="D438" t="s">
        <v>862</v>
      </c>
      <c r="E438" t="s">
        <v>11</v>
      </c>
      <c r="F438" t="str">
        <f>_xlfn.CONCAT(D438,", ",H438,", ",I438,", ","云南省")</f>
        <v>金马镇, 泸西县, 红河哈尼族彝族自治州, 云南省</v>
      </c>
      <c r="G438">
        <v>52227</v>
      </c>
      <c r="H438" t="s">
        <v>2800</v>
      </c>
      <c r="I438" t="s">
        <v>2792</v>
      </c>
      <c r="J438">
        <f>VLOOKUP(F438,[1]!china_towns_second__2[[Column1]:[Y]],3,FALSE)</f>
        <v>24.644939754815798</v>
      </c>
      <c r="K438">
        <f>VLOOKUP(F438,[1]!china_towns_second__2[[Column1]:[Y]],2,FALSE)</f>
        <v>103.7539407</v>
      </c>
      <c r="L438" t="s">
        <v>3997</v>
      </c>
      <c r="M438" t="str">
        <f>VLOOKUP(H438,CHOOSE({1,2},Table17[Native],Table17[Name]),2,0)</f>
        <v>Lúxī Xiàn</v>
      </c>
      <c r="N438" s="15" t="str">
        <f>VLOOKUP(I438,CHOOSE({1,2},Table17[Native],Table17[Name]),2,0)</f>
        <v>Hónghé Hānízú Yízú Zìzhìzhōu</v>
      </c>
      <c r="O438" s="15" t="str">
        <f t="shared" si="12"/>
        <v>Jinma Zhen (Hónghé Hānízú Yízú Zìzhìzhōu)</v>
      </c>
      <c r="P438" s="15" t="str">
        <f t="shared" si="13"/>
        <v>Jinma Zhen (Hónghé Hānízú Yízú Zìzhìzhōu)</v>
      </c>
    </row>
    <row r="439" spans="1:16" hidden="1" x14ac:dyDescent="0.25">
      <c r="A439" t="s">
        <v>1343</v>
      </c>
      <c r="B439" t="str">
        <f>IF(COUNTIF(A:A,A439)&gt;1,_xlfn.CONCAT(A439," (",N439,")"),A439)</f>
        <v>Jīnmián Xiāng</v>
      </c>
      <c r="C439" t="str">
        <f>IF(COUNTIF(B:B,B439)&gt;1,_xlfn.CONCAT(A439," (",M439,")"),B439)</f>
        <v>Jīnmián Xiāng</v>
      </c>
      <c r="D439" t="s">
        <v>1344</v>
      </c>
      <c r="E439" t="s">
        <v>7</v>
      </c>
      <c r="F439" t="str">
        <f>_xlfn.CONCAT(D439,", ",H439,", ",I439,", ","云南省")</f>
        <v>金棉乡, 宁蒗彝族自治县, 丽江市, 云南省</v>
      </c>
      <c r="G439">
        <v>7868</v>
      </c>
      <c r="H439" t="s">
        <v>2827</v>
      </c>
      <c r="I439" t="s">
        <v>2823</v>
      </c>
      <c r="J439" t="e">
        <f>VLOOKUP(F439,[1]!china_towns_second__2[[Column1]:[Y]],3,FALSE)</f>
        <v>#N/A</v>
      </c>
      <c r="K439" t="e">
        <f>VLOOKUP(F439,[1]!china_towns_second__2[[Column1]:[Y]],2,FALSE)</f>
        <v>#N/A</v>
      </c>
      <c r="L439" t="s">
        <v>3998</v>
      </c>
      <c r="M439" t="str">
        <f>VLOOKUP(H439,CHOOSE({1,2},Table17[Native],Table17[Name]),2,0)</f>
        <v>Nínglàng Yízú Zìzhìxiàn</v>
      </c>
      <c r="N439" s="15" t="str">
        <f>VLOOKUP(I439,CHOOSE({1,2},Table17[Native],Table17[Name]),2,0)</f>
        <v>Lìjiāng Shì</v>
      </c>
      <c r="O439" s="15" t="str">
        <f t="shared" si="12"/>
        <v>Jinmian Xiang (Lìjiāng Shì)</v>
      </c>
      <c r="P439" s="15" t="str">
        <f t="shared" si="13"/>
        <v>Jinmian Xiang (Lìjiāng Shì)</v>
      </c>
    </row>
    <row r="440" spans="1:16" hidden="1" x14ac:dyDescent="0.25">
      <c r="A440" t="s">
        <v>450</v>
      </c>
      <c r="B440" t="str">
        <f>IF(COUNTIF(A:A,A440)&gt;1,_xlfn.CONCAT(A440," (",N440,")"),A440)</f>
        <v>Jīnniú Zhèn</v>
      </c>
      <c r="C440" t="str">
        <f>IF(COUNTIF(B:B,B440)&gt;1,_xlfn.CONCAT(A440," (",M440,")"),B440)</f>
        <v>Jīnniú Zhèn</v>
      </c>
      <c r="D440" t="s">
        <v>451</v>
      </c>
      <c r="E440" t="s">
        <v>11</v>
      </c>
      <c r="F440" t="str">
        <f>_xlfn.CONCAT(D440,", ",H440,", ",I440,", ","云南省")</f>
        <v>金牛镇, 宾川县, 大理白族自治州, 云南省</v>
      </c>
      <c r="G440">
        <v>96883</v>
      </c>
      <c r="H440" t="s">
        <v>2764</v>
      </c>
      <c r="I440" t="s">
        <v>2763</v>
      </c>
      <c r="J440">
        <f>VLOOKUP(F440,[1]!china_towns_second__2[[Column1]:[Y]],3,FALSE)</f>
        <v>25.825105558840502</v>
      </c>
      <c r="K440">
        <f>VLOOKUP(F440,[1]!china_towns_second__2[[Column1]:[Y]],2,FALSE)</f>
        <v>100.5807847</v>
      </c>
      <c r="L440" t="s">
        <v>3999</v>
      </c>
      <c r="M440" t="str">
        <f>VLOOKUP(H440,CHOOSE({1,2},Table17[Native],Table17[Name]),2,0)</f>
        <v>Bīnchuān Xiàn</v>
      </c>
      <c r="N440" s="15" t="str">
        <f>VLOOKUP(I440,CHOOSE({1,2},Table17[Native],Table17[Name]),2,0)</f>
        <v>Dàlĭ Báizú Zìzhìzhōu</v>
      </c>
      <c r="O440" s="15" t="str">
        <f t="shared" si="12"/>
        <v>Jinniu Zhen (Dàlĭ Báizú Zìzhìzhōu)</v>
      </c>
      <c r="P440" s="15" t="str">
        <f t="shared" si="13"/>
        <v>Jinniu Zhen (Dàlĭ Báizú Zìzhìzhōu)</v>
      </c>
    </row>
    <row r="441" spans="1:16" hidden="1" x14ac:dyDescent="0.25">
      <c r="A441" t="s">
        <v>1711</v>
      </c>
      <c r="B441" t="str">
        <f>IF(COUNTIF(A:A,A441)&gt;1,_xlfn.CONCAT(A441," (",N441,")"),A441)</f>
        <v>Jĭnpíng Zhèn (Pŭ'ĕr Shì)</v>
      </c>
      <c r="C441" t="str">
        <f>IF(COUNTIF(B:B,B441)&gt;1,_xlfn.CONCAT(A441," (",M441,")"),B441)</f>
        <v>Jĭnpíng Zhèn (Pŭ'ĕr Shì)</v>
      </c>
      <c r="D441" t="s">
        <v>1712</v>
      </c>
      <c r="E441" t="s">
        <v>11</v>
      </c>
      <c r="F441" t="str">
        <f>_xlfn.CONCAT(D441,", ",H441,", ",I441,", ","云南省")</f>
        <v>锦屏镇, 景东彝族自治县, 普洱市, 云南省</v>
      </c>
      <c r="G441">
        <v>64321</v>
      </c>
      <c r="H441" t="s">
        <v>2850</v>
      </c>
      <c r="I441" t="s">
        <v>2848</v>
      </c>
      <c r="J441">
        <f>VLOOKUP(F441,[1]!china_towns_second__2[[Column1]:[Y]],3,FALSE)</f>
        <v>24.482165501010201</v>
      </c>
      <c r="K441">
        <f>VLOOKUP(F441,[1]!china_towns_second__2[[Column1]:[Y]],2,FALSE)</f>
        <v>100.7745728</v>
      </c>
      <c r="L441" t="s">
        <v>4000</v>
      </c>
      <c r="M441" t="str">
        <f>VLOOKUP(H441,CHOOSE({1,2},Table17[Native],Table17[Name]),2,0)</f>
        <v>Jĭngdōng Yízú Zìzhìxiàn</v>
      </c>
      <c r="N441" s="15" t="str">
        <f>VLOOKUP(I441,CHOOSE({1,2},Table17[Native],Table17[Name]),2,0)</f>
        <v>Pŭ'ĕr Shì</v>
      </c>
      <c r="O441" s="15" t="str">
        <f t="shared" si="12"/>
        <v>Jinping Zhen (Pu'er Shi) (Pŭ'ĕr Shì)</v>
      </c>
      <c r="P441" s="15" t="str">
        <f t="shared" si="13"/>
        <v>Jinping Zhen (Pu'er Shi) (Pŭ'ĕr Shì)</v>
      </c>
    </row>
    <row r="442" spans="1:16" hidden="1" x14ac:dyDescent="0.25">
      <c r="A442" t="s">
        <v>1711</v>
      </c>
      <c r="B442" t="str">
        <f>IF(COUNTIF(A:A,A442)&gt;1,_xlfn.CONCAT(A442," (",N442,")"),A442)</f>
        <v>Jĭnpíng Zhèn (Wénshān Zhuàngzú Miáozú Zìzhìzhōu)</v>
      </c>
      <c r="C442" t="str">
        <f>IF(COUNTIF(B:B,B442)&gt;1,_xlfn.CONCAT(A442," (",M442,")"),B442)</f>
        <v>Jĭnpíng Zhèn (Wénshān Zhuàngzú Miáozú Zìzhìzhōu)</v>
      </c>
      <c r="D442" t="s">
        <v>1712</v>
      </c>
      <c r="E442" t="s">
        <v>11</v>
      </c>
      <c r="F442" t="str">
        <f>_xlfn.CONCAT(D442,", ",H442,", ",I442,", ","云南省")</f>
        <v>锦屏镇, 丘北县, 文山壮族苗族自治州, 云南省</v>
      </c>
      <c r="G442">
        <v>71746</v>
      </c>
      <c r="H442" t="s">
        <v>2877</v>
      </c>
      <c r="I442" t="s">
        <v>2872</v>
      </c>
      <c r="J442">
        <f>VLOOKUP(F442,[1]!china_towns_second__2[[Column1]:[Y]],3,FALSE)</f>
        <v>24.041920251379601</v>
      </c>
      <c r="K442">
        <f>VLOOKUP(F442,[1]!china_towns_second__2[[Column1]:[Y]],2,FALSE)</f>
        <v>104.2046605</v>
      </c>
      <c r="L442" t="s">
        <v>4001</v>
      </c>
      <c r="M442" t="str">
        <f>VLOOKUP(H442,CHOOSE({1,2},Table17[Native],Table17[Name]),2,0)</f>
        <v>Qiūbĕi Xiàn</v>
      </c>
      <c r="N442" s="15" t="str">
        <f>VLOOKUP(I442,CHOOSE({1,2},Table17[Native],Table17[Name]),2,0)</f>
        <v>Wénshān Zhuàngzú Miáozú Zìzhìzhōu</v>
      </c>
      <c r="O442" s="15" t="str">
        <f t="shared" si="12"/>
        <v>Jinping Zhen (Wenshan Zhuangzu Miaozu Zizhizhou) (Wénshān Zhuàngzú Miáozú Zìzhìzhōu)</v>
      </c>
      <c r="P442" s="15" t="str">
        <f t="shared" si="13"/>
        <v>Jinping Zhen (Wenshan Zhuangzu Miaozu Zizhizhou) (Wénshān Zhuàngzú Miáozú Zìzhìzhōu)</v>
      </c>
    </row>
    <row r="443" spans="1:16" hidden="1" x14ac:dyDescent="0.25">
      <c r="A443" t="s">
        <v>1345</v>
      </c>
      <c r="B443" t="str">
        <f>IF(COUNTIF(A:A,A443)&gt;1,_xlfn.CONCAT(A443," (",N443,")"),A443)</f>
        <v>Jīnshān Jiēdào</v>
      </c>
      <c r="C443" t="str">
        <f>IF(COUNTIF(B:B,B443)&gt;1,_xlfn.CONCAT(A443," (",M443,")"),B443)</f>
        <v>Jīnshān Jiēdào</v>
      </c>
      <c r="D443" t="s">
        <v>1346</v>
      </c>
      <c r="E443" t="s">
        <v>42</v>
      </c>
      <c r="F443" t="str">
        <f>_xlfn.CONCAT(D443,", ",H443,", ",I443,", ","云南省")</f>
        <v>金山街道, 古城区, 丽江市, 云南省</v>
      </c>
      <c r="G443">
        <v>24961</v>
      </c>
      <c r="H443" t="s">
        <v>2824</v>
      </c>
      <c r="I443" t="s">
        <v>2823</v>
      </c>
      <c r="J443" t="e">
        <f>VLOOKUP(F443,[1]!china_towns_second__2[[Column1]:[Y]],3,FALSE)</f>
        <v>#N/A</v>
      </c>
      <c r="K443" t="e">
        <f>VLOOKUP(F443,[1]!china_towns_second__2[[Column1]:[Y]],2,FALSE)</f>
        <v>#N/A</v>
      </c>
      <c r="L443" t="s">
        <v>4002</v>
      </c>
      <c r="M443" t="str">
        <f>VLOOKUP(H443,CHOOSE({1,2},Table17[Native],Table17[Name]),2,0)</f>
        <v>Gŭchéng Qū</v>
      </c>
      <c r="N443" s="15" t="str">
        <f>VLOOKUP(I443,CHOOSE({1,2},Table17[Native],Table17[Name]),2,0)</f>
        <v>Lìjiāng Shì</v>
      </c>
      <c r="O443" s="15" t="str">
        <f t="shared" si="12"/>
        <v>Jinshan Jiedao (Lìjiāng Shì)</v>
      </c>
      <c r="P443" s="15" t="str">
        <f t="shared" si="13"/>
        <v>Jinshan Jiedao (Lìjiāng Shì)</v>
      </c>
    </row>
    <row r="444" spans="1:16" hidden="1" x14ac:dyDescent="0.25">
      <c r="A444" t="s">
        <v>244</v>
      </c>
      <c r="B444" t="str">
        <f>IF(COUNTIF(A:A,A444)&gt;1,_xlfn.CONCAT(A444," (",N444,")"),A444)</f>
        <v>Jīnshān Zhèn</v>
      </c>
      <c r="C444" t="str">
        <f>IF(COUNTIF(B:B,B444)&gt;1,_xlfn.CONCAT(A444," (",M444,")"),B444)</f>
        <v>Jīnshān Zhèn</v>
      </c>
      <c r="D444" t="s">
        <v>245</v>
      </c>
      <c r="E444" t="s">
        <v>11</v>
      </c>
      <c r="F444" t="str">
        <f>_xlfn.CONCAT(D444,", ",H444,", ",I444,", ","云南省")</f>
        <v>金山镇, 禄丰县, 楚雄彝族自治州, 云南省</v>
      </c>
      <c r="G444">
        <v>95044</v>
      </c>
      <c r="H444" t="s">
        <v>2753</v>
      </c>
      <c r="I444" t="s">
        <v>2750</v>
      </c>
      <c r="J444">
        <f>VLOOKUP(F444,[1]!china_towns_second__2[[Column1]:[Y]],3,FALSE)</f>
        <v>25.099432900245201</v>
      </c>
      <c r="K444">
        <f>VLOOKUP(F444,[1]!china_towns_second__2[[Column1]:[Y]],2,FALSE)</f>
        <v>102.0683671</v>
      </c>
      <c r="L444" t="s">
        <v>4003</v>
      </c>
      <c r="M444" t="str">
        <f>VLOOKUP(H444,CHOOSE({1,2},Table17[Native],Table17[Name]),2,0)</f>
        <v>Lùfēng Xiàn</v>
      </c>
      <c r="N444" s="15" t="str">
        <f>VLOOKUP(I444,CHOOSE({1,2},Table17[Native],Table17[Name]),2,0)</f>
        <v>Chŭxióng Yízú Zìzhìzhōu</v>
      </c>
      <c r="O444" s="15" t="str">
        <f t="shared" si="12"/>
        <v>Jinshan Zhen (Chŭxióng Yízú Zìzhìzhōu)</v>
      </c>
      <c r="P444" s="15" t="str">
        <f t="shared" si="13"/>
        <v>Jinshan Zhen (Chŭxióng Yízú Zìzhìzhōu)</v>
      </c>
    </row>
    <row r="445" spans="1:16" hidden="1" x14ac:dyDescent="0.25">
      <c r="A445" t="s">
        <v>863</v>
      </c>
      <c r="B445" t="str">
        <f>IF(COUNTIF(A:A,A445)&gt;1,_xlfn.CONCAT(A445," (",N445,")"),A445)</f>
        <v>Jīnshuĭhé Zhèn</v>
      </c>
      <c r="C445" t="str">
        <f>IF(COUNTIF(B:B,B445)&gt;1,_xlfn.CONCAT(A445," (",M445,")"),B445)</f>
        <v>Jīnshuĭhé Zhèn</v>
      </c>
      <c r="D445" t="s">
        <v>864</v>
      </c>
      <c r="E445" t="s">
        <v>11</v>
      </c>
      <c r="F445" t="str">
        <f>_xlfn.CONCAT(D445,", ",H445,", ",I445,", ","云南省")</f>
        <v>金水河镇, 金平苗族瑶族傣族自治县, 红河哈尼族彝族自治州, 云南省</v>
      </c>
      <c r="G445">
        <v>22295</v>
      </c>
      <c r="H445" t="s">
        <v>2797</v>
      </c>
      <c r="I445" t="s">
        <v>2792</v>
      </c>
      <c r="J445">
        <f>VLOOKUP(F445,[1]!china_towns_second__2[[Column1]:[Y]],3,FALSE)</f>
        <v>22.565628528603298</v>
      </c>
      <c r="K445">
        <f>VLOOKUP(F445,[1]!china_towns_second__2[[Column1]:[Y]],2,FALSE)</f>
        <v>103.0553326</v>
      </c>
      <c r="L445" t="s">
        <v>4004</v>
      </c>
      <c r="M445" t="str">
        <f>VLOOKUP(H445,CHOOSE({1,2},Table17[Native],Table17[Name]),2,0)</f>
        <v>Jīnpíng Miáozú Yáozú Dăizú Zìzhìxiàn</v>
      </c>
      <c r="N445" s="15" t="str">
        <f>VLOOKUP(I445,CHOOSE({1,2},Table17[Native],Table17[Name]),2,0)</f>
        <v>Hónghé Hānízú Yízú Zìzhìzhōu</v>
      </c>
      <c r="O445" s="15" t="str">
        <f t="shared" si="12"/>
        <v>Jinshuihe Zhen (Hónghé Hānízú Yízú Zìzhìzhōu)</v>
      </c>
      <c r="P445" s="15" t="str">
        <f t="shared" si="13"/>
        <v>Jinshuihe Zhen (Hónghé Hānízú Yízú Zìzhìzhōu)</v>
      </c>
    </row>
    <row r="446" spans="1:16" hidden="1" x14ac:dyDescent="0.25">
      <c r="A446" t="s">
        <v>2536</v>
      </c>
      <c r="B446" t="str">
        <f>IF(COUNTIF(A:A,A446)&gt;1,_xlfn.CONCAT(A446," (",N446,")"),A446)</f>
        <v>Jīntáng Zhèn</v>
      </c>
      <c r="C446" t="str">
        <f>IF(COUNTIF(B:B,B446)&gt;1,_xlfn.CONCAT(A446," (",M446,")"),B446)</f>
        <v>Jīntáng Zhèn</v>
      </c>
      <c r="D446" t="s">
        <v>2537</v>
      </c>
      <c r="E446" t="s">
        <v>11</v>
      </c>
      <c r="F446" t="str">
        <f>_xlfn.CONCAT(D446,", ",H446,", ",I446,", ","云南省")</f>
        <v>金塘镇, 巧家县, 昭通市, 云南省</v>
      </c>
      <c r="G446">
        <v>15065</v>
      </c>
      <c r="H446" t="s">
        <v>2902</v>
      </c>
      <c r="I446" t="s">
        <v>2899</v>
      </c>
      <c r="J446">
        <f>VLOOKUP(F446,[1]!china_towns_second__2[[Column1]:[Y]],3,FALSE)</f>
        <v>26.780537159662899</v>
      </c>
      <c r="K446">
        <f>VLOOKUP(F446,[1]!china_towns_second__2[[Column1]:[Y]],2,FALSE)</f>
        <v>103.0226797</v>
      </c>
      <c r="L446" t="s">
        <v>4005</v>
      </c>
      <c r="M446" t="str">
        <f>VLOOKUP(H446,CHOOSE({1,2},Table17[Native],Table17[Name]),2,0)</f>
        <v>Qiăojiā Xiàn</v>
      </c>
      <c r="N446" s="15" t="str">
        <f>VLOOKUP(I446,CHOOSE({1,2},Table17[Native],Table17[Name]),2,0)</f>
        <v>Zhāotōng Shì</v>
      </c>
      <c r="O446" s="15" t="str">
        <f t="shared" si="12"/>
        <v>Jintang Zhen (Zhāotōng Shì)</v>
      </c>
      <c r="P446" s="15" t="str">
        <f t="shared" si="13"/>
        <v>Jintang Zhen (Zhāotōng Shì)</v>
      </c>
    </row>
    <row r="447" spans="1:16" hidden="1" x14ac:dyDescent="0.25">
      <c r="A447" t="s">
        <v>2277</v>
      </c>
      <c r="B447" t="str">
        <f>IF(COUNTIF(A:A,A447)&gt;1,_xlfn.CONCAT(A447," (",N447,")"),A447)</f>
        <v>Jīnuò Shānjīnuòzú Xiāng</v>
      </c>
      <c r="C447" t="str">
        <f>IF(COUNTIF(B:B,B447)&gt;1,_xlfn.CONCAT(A447," (",M447,")"),B447)</f>
        <v>Jīnuò Shānjīnuòzú Xiāng</v>
      </c>
      <c r="D447" t="s">
        <v>2278</v>
      </c>
      <c r="E447" t="s">
        <v>7</v>
      </c>
      <c r="F447" t="str">
        <f>_xlfn.CONCAT(D447,", ",H447,", ",I447,", ","云南省")</f>
        <v>基诺山基诺族乡, 景洪市, 西双版纳傣族自治州, 云南省</v>
      </c>
      <c r="G447">
        <v>14056</v>
      </c>
      <c r="H447" t="s">
        <v>2884</v>
      </c>
      <c r="I447" t="s">
        <v>2883</v>
      </c>
      <c r="J447" t="e">
        <f>VLOOKUP(F447,[1]!china_towns_second__2[[Column1]:[Y]],3,FALSE)</f>
        <v>#N/A</v>
      </c>
      <c r="K447" t="e">
        <f>VLOOKUP(F447,[1]!china_towns_second__2[[Column1]:[Y]],2,FALSE)</f>
        <v>#N/A</v>
      </c>
      <c r="L447" t="s">
        <v>4006</v>
      </c>
      <c r="M447" t="str">
        <f>VLOOKUP(H447,CHOOSE({1,2},Table17[Native],Table17[Name]),2,0)</f>
        <v>Jĭnghóng Shì</v>
      </c>
      <c r="N447" s="15" t="str">
        <f>VLOOKUP(I447,CHOOSE({1,2},Table17[Native],Table17[Name]),2,0)</f>
        <v>Xīshuāngbănnà Dăizú Zìzhìzhōu</v>
      </c>
      <c r="O447" s="15" t="str">
        <f t="shared" si="12"/>
        <v>Jinuo Shanjinuozu Xiang (Xīshuāngbănnà Dăizú Zìzhìzhōu)</v>
      </c>
      <c r="P447" s="15" t="str">
        <f t="shared" si="13"/>
        <v>Jinuo Shanjinuozu Xiang (Xīshuāngbănnà Dăizú Zìzhìzhōu)</v>
      </c>
    </row>
    <row r="448" spans="1:16" hidden="1" x14ac:dyDescent="0.25">
      <c r="A448" t="s">
        <v>1134</v>
      </c>
      <c r="B448" t="str">
        <f>IF(COUNTIF(A:A,A448)&gt;1,_xlfn.CONCAT(A448," (",N448,")"),A448)</f>
        <v>Jīnyuán Xiāng</v>
      </c>
      <c r="C448" t="str">
        <f>IF(COUNTIF(B:B,B448)&gt;1,_xlfn.CONCAT(A448," (",M448,")"),B448)</f>
        <v>Jīnyuán Xiāng</v>
      </c>
      <c r="D448" t="s">
        <v>1135</v>
      </c>
      <c r="E448" t="s">
        <v>7</v>
      </c>
      <c r="F448" t="str">
        <f>_xlfn.CONCAT(D448,", ",H448,", ",I448,", ","云南省")</f>
        <v>金源乡, 寻甸回族彝族自治县, 昆明市, 云南省</v>
      </c>
      <c r="G448">
        <v>21736</v>
      </c>
      <c r="H448" t="s">
        <v>2820</v>
      </c>
      <c r="I448" t="s">
        <v>2807</v>
      </c>
      <c r="J448" t="e">
        <f>VLOOKUP(F448,[1]!china_towns_second__2[[Column1]:[Y]],3,FALSE)</f>
        <v>#N/A</v>
      </c>
      <c r="K448" t="e">
        <f>VLOOKUP(F448,[1]!china_towns_second__2[[Column1]:[Y]],2,FALSE)</f>
        <v>#N/A</v>
      </c>
      <c r="L448" t="s">
        <v>4007</v>
      </c>
      <c r="M448" t="str">
        <f>VLOOKUP(H448,CHOOSE({1,2},Table17[Native],Table17[Name]),2,0)</f>
        <v>Xúndiàn Huízú Yízú Zìzhìxiàn</v>
      </c>
      <c r="N448" s="15" t="str">
        <f>VLOOKUP(I448,CHOOSE({1,2},Table17[Native],Table17[Name]),2,0)</f>
        <v>Kūnmíng Shì</v>
      </c>
      <c r="O448" s="15" t="str">
        <f t="shared" si="12"/>
        <v>Jinyuan Xiang (Kūnmíng Shì)</v>
      </c>
      <c r="P448" s="15" t="str">
        <f t="shared" si="13"/>
        <v>Jinyuan Xiang (Kūnmíng Shì)</v>
      </c>
    </row>
    <row r="449" spans="1:16" hidden="1" x14ac:dyDescent="0.25">
      <c r="A449" t="s">
        <v>1925</v>
      </c>
      <c r="B449" t="str">
        <f>IF(COUNTIF(A:A,A449)&gt;1,_xlfn.CONCAT(A449," (",N449,")"),A449)</f>
        <v>Jīnzhōng Zhèn [incl. Jīnzhōng Jiēdào, Gǔchéng Jiēdào, Bǎoyún Jiēdào]</v>
      </c>
      <c r="C449" t="str">
        <f>IF(COUNTIF(B:B,B449)&gt;1,_xlfn.CONCAT(A449," (",M449,")"),B449)</f>
        <v>Jīnzhōng Zhèn [incl. Jīnzhōng Jiēdào, Gǔchéng Jiēdào, Bǎoyún Jiēdào]</v>
      </c>
      <c r="D449" t="s">
        <v>1926</v>
      </c>
      <c r="E449" t="s">
        <v>11</v>
      </c>
      <c r="F449" t="str">
        <f>_xlfn.CONCAT(D449,", ",H449,", ",I449,", ","云南省")</f>
        <v>金钟镇, 会泽县, 曲靖市, 云南省</v>
      </c>
      <c r="G449">
        <v>154328</v>
      </c>
      <c r="H449" t="s">
        <v>2862</v>
      </c>
      <c r="I449" t="s">
        <v>2860</v>
      </c>
      <c r="J449">
        <f>VLOOKUP(F449,[1]!china_towns_second__2[[Column1]:[Y]],3,FALSE)</f>
        <v>26.406741942410701</v>
      </c>
      <c r="K449">
        <f>VLOOKUP(F449,[1]!china_towns_second__2[[Column1]:[Y]],2,FALSE)</f>
        <v>103.32867160000001</v>
      </c>
      <c r="L449" t="s">
        <v>4008</v>
      </c>
      <c r="M449" t="str">
        <f>VLOOKUP(H449,CHOOSE({1,2},Table17[Native],Table17[Name]),2,0)</f>
        <v>Huìzé Xiàn</v>
      </c>
      <c r="N449" s="15" t="str">
        <f>VLOOKUP(I449,CHOOSE({1,2},Table17[Native],Table17[Name]),2,0)</f>
        <v>Qŭjìng Shì</v>
      </c>
      <c r="O449" s="15" t="str">
        <f t="shared" si="12"/>
        <v>Jinzhong Zhen [incl. Jinzhong Jiedao, Gucheng Jiedao, Baoyun Jiedao] (Qŭjìng Shì)</v>
      </c>
      <c r="P449" s="15" t="str">
        <f t="shared" si="13"/>
        <v>Jinzhong Zhen [incl. Jinzhong Jiedao, Gucheng Jiedao, Baoyun Jiedao] (Qŭjìng Shì)</v>
      </c>
    </row>
    <row r="450" spans="1:16" hidden="1" x14ac:dyDescent="0.25">
      <c r="A450" t="s">
        <v>628</v>
      </c>
      <c r="B450" t="str">
        <f>IF(COUNTIF(A:A,A450)&gt;1,_xlfn.CONCAT(A450," (",N450,")"),A450)</f>
        <v>Jiŭbăo'ā Chāngzú Xiāng</v>
      </c>
      <c r="C450" t="str">
        <f>IF(COUNTIF(B:B,B450)&gt;1,_xlfn.CONCAT(A450," (",M450,")"),B450)</f>
        <v>Jiŭbăo'ā Chāngzú Xiāng</v>
      </c>
      <c r="D450" t="s">
        <v>629</v>
      </c>
      <c r="E450" t="s">
        <v>7</v>
      </c>
      <c r="F450" t="str">
        <f>_xlfn.CONCAT(D450,", ",H450,", ",I450,", ","云南省")</f>
        <v>九保阿昌族乡, 梁河县, 德宏傣族景颇族自治州, 云南省</v>
      </c>
      <c r="G450">
        <v>13673</v>
      </c>
      <c r="H450" t="s">
        <v>2780</v>
      </c>
      <c r="I450" t="s">
        <v>2779</v>
      </c>
      <c r="J450" t="e">
        <f>VLOOKUP(F450,[1]!china_towns_second__2[[Column1]:[Y]],3,FALSE)</f>
        <v>#N/A</v>
      </c>
      <c r="K450" t="e">
        <f>VLOOKUP(F450,[1]!china_towns_second__2[[Column1]:[Y]],2,FALSE)</f>
        <v>#N/A</v>
      </c>
      <c r="L450" t="s">
        <v>4009</v>
      </c>
      <c r="M450" t="str">
        <f>VLOOKUP(H450,CHOOSE({1,2},Table17[Native],Table17[Name]),2,0)</f>
        <v>Liánghé Xiàn</v>
      </c>
      <c r="N450" s="15" t="str">
        <f>VLOOKUP(I450,CHOOSE({1,2},Table17[Native],Table17[Name]),2,0)</f>
        <v>Déhóng Dăizú Jĭngpōzú Zìzhìzhōu</v>
      </c>
      <c r="O450" s="15" t="str">
        <f t="shared" ref="O450:O513" si="14">_xlfn.CONCAT(L450," (",N450,")")</f>
        <v>Jiubao'a Changzu Xiang (Déhóng Dăizú Jĭngpōzú Zìzhìzhōu)</v>
      </c>
      <c r="P450" s="15" t="str">
        <f t="shared" ref="P450:P513" si="15">IF(COUNTIF(O:O,O450)&gt;1,_xlfn.CONCAT(L450," (",M450,")"),O450)</f>
        <v>Jiubao'a Changzu Xiang (Déhóng Dăizú Jĭngpōzú Zìzhìzhōu)</v>
      </c>
    </row>
    <row r="451" spans="1:16" hidden="1" x14ac:dyDescent="0.25">
      <c r="A451" t="s">
        <v>53</v>
      </c>
      <c r="B451" t="str">
        <f>IF(COUNTIF(A:A,A451)&gt;1,_xlfn.CONCAT(A451," (",N451,")"),A451)</f>
        <v>Jiùchéng Xiāng</v>
      </c>
      <c r="C451" t="str">
        <f>IF(COUNTIF(B:B,B451)&gt;1,_xlfn.CONCAT(A451," (",M451,")"),B451)</f>
        <v>Jiùchéng Xiāng</v>
      </c>
      <c r="D451" t="s">
        <v>54</v>
      </c>
      <c r="E451" t="s">
        <v>7</v>
      </c>
      <c r="F451" t="str">
        <f>_xlfn.CONCAT(D451,", ",H451,", ",I451,", ","云南省")</f>
        <v>旧城乡, 施甸县, 保山市, 云南省</v>
      </c>
      <c r="G451">
        <v>15031</v>
      </c>
      <c r="H451" t="s">
        <v>2745</v>
      </c>
      <c r="I451" t="s">
        <v>2739</v>
      </c>
      <c r="J451" t="e">
        <f>VLOOKUP(F451,[1]!china_towns_second__2[[Column1]:[Y]],3,FALSE)</f>
        <v>#N/A</v>
      </c>
      <c r="K451" t="e">
        <f>VLOOKUP(F451,[1]!china_towns_second__2[[Column1]:[Y]],2,FALSE)</f>
        <v>#N/A</v>
      </c>
      <c r="L451" t="s">
        <v>4010</v>
      </c>
      <c r="M451" t="str">
        <f>VLOOKUP(H451,CHOOSE({1,2},Table17[Native],Table17[Name]),2,0)</f>
        <v>Shīdiàn Xiàn</v>
      </c>
      <c r="N451" s="15" t="str">
        <f>VLOOKUP(I451,CHOOSE({1,2},Table17[Native],Table17[Name]),2,0)</f>
        <v>Băoshān Shì</v>
      </c>
      <c r="O451" s="15" t="str">
        <f t="shared" si="14"/>
        <v>Jiucheng Xiang (Băoshān Shì)</v>
      </c>
      <c r="P451" s="15" t="str">
        <f t="shared" si="15"/>
        <v>Jiucheng Xiang (Băoshān Shì)</v>
      </c>
    </row>
    <row r="452" spans="1:16" hidden="1" x14ac:dyDescent="0.25">
      <c r="A452" t="s">
        <v>630</v>
      </c>
      <c r="B452" t="str">
        <f>IF(COUNTIF(A:A,A452)&gt;1,_xlfn.CONCAT(A452," (",N452,")"),A452)</f>
        <v>Jiùchéng Zhèn (Déhóng Dăizú Jĭngpōzú Zìzhìzhōu)</v>
      </c>
      <c r="C452" t="str">
        <f>IF(COUNTIF(B:B,B452)&gt;1,_xlfn.CONCAT(A452," (",M452,")"),B452)</f>
        <v>Jiùchéng Zhèn (Déhóng Dăizú Jĭngpōzú Zìzhìzhōu)</v>
      </c>
      <c r="D452" t="s">
        <v>631</v>
      </c>
      <c r="E452" t="s">
        <v>11</v>
      </c>
      <c r="F452" t="str">
        <f>_xlfn.CONCAT(D452,", ",H452,", ",I452,", ","云南省")</f>
        <v>旧城镇, 盈江县, 德宏傣族景颇族自治州, 云南省</v>
      </c>
      <c r="G452">
        <v>22383</v>
      </c>
      <c r="H452" t="s">
        <v>2784</v>
      </c>
      <c r="I452" t="s">
        <v>2779</v>
      </c>
      <c r="J452">
        <f>VLOOKUP(F452,[1]!china_towns_second__2[[Column1]:[Y]],3,FALSE)</f>
        <v>24.723865891573499</v>
      </c>
      <c r="K452">
        <f>VLOOKUP(F452,[1]!china_towns_second__2[[Column1]:[Y]],2,FALSE)</f>
        <v>98.102333549999997</v>
      </c>
      <c r="L452" t="s">
        <v>4011</v>
      </c>
      <c r="M452" t="str">
        <f>VLOOKUP(H452,CHOOSE({1,2},Table17[Native],Table17[Name]),2,0)</f>
        <v>Yíngjiāng Xiàn</v>
      </c>
      <c r="N452" s="15" t="str">
        <f>VLOOKUP(I452,CHOOSE({1,2},Table17[Native],Table17[Name]),2,0)</f>
        <v>Déhóng Dăizú Jĭngpōzú Zìzhìzhōu</v>
      </c>
      <c r="O452" s="15" t="str">
        <f t="shared" si="14"/>
        <v>Jiucheng Zhen (Dehong Daizu Jingpozu Zizhizhou) (Déhóng Dăizú Jĭngpōzú Zìzhìzhōu)</v>
      </c>
      <c r="P452" s="15" t="str">
        <f t="shared" si="15"/>
        <v>Jiucheng Zhen (Dehong Daizu Jingpozu Zizhizhou) (Déhóng Dăizú Jĭngpōzú Zìzhìzhōu)</v>
      </c>
    </row>
    <row r="453" spans="1:16" hidden="1" x14ac:dyDescent="0.25">
      <c r="A453" t="s">
        <v>630</v>
      </c>
      <c r="B453" t="str">
        <f>IF(COUNTIF(A:A,A453)&gt;1,_xlfn.CONCAT(A453," (",N453,")"),A453)</f>
        <v>Jiùchéng Zhèn (Hónghé Hānízú Yízú Zìzhìzhōu)</v>
      </c>
      <c r="C453" t="str">
        <f>IF(COUNTIF(B:B,B453)&gt;1,_xlfn.CONCAT(A453," (",M453,")"),B453)</f>
        <v>Jiùchéng Zhèn (Hónghé Hānízú Yízú Zìzhìzhōu)</v>
      </c>
      <c r="D453" t="s">
        <v>631</v>
      </c>
      <c r="E453" t="s">
        <v>11</v>
      </c>
      <c r="F453" t="str">
        <f>_xlfn.CONCAT(D453,", ",H453,", ",I453,", ","云南省")</f>
        <v>旧城镇, 泸西县, 红河哈尼族彝族自治州, 云南省</v>
      </c>
      <c r="G453">
        <v>58341</v>
      </c>
      <c r="H453" t="s">
        <v>2800</v>
      </c>
      <c r="I453" t="s">
        <v>2792</v>
      </c>
      <c r="J453">
        <f>VLOOKUP(F453,[1]!china_towns_second__2[[Column1]:[Y]],3,FALSE)</f>
        <v>24.665769663864801</v>
      </c>
      <c r="K453">
        <f>VLOOKUP(F453,[1]!china_towns_second__2[[Column1]:[Y]],2,FALSE)</f>
        <v>103.6826607</v>
      </c>
      <c r="L453" t="s">
        <v>4012</v>
      </c>
      <c r="M453" t="str">
        <f>VLOOKUP(H453,CHOOSE({1,2},Table17[Native],Table17[Name]),2,0)</f>
        <v>Lúxī Xiàn</v>
      </c>
      <c r="N453" s="15" t="str">
        <f>VLOOKUP(I453,CHOOSE({1,2},Table17[Native],Table17[Name]),2,0)</f>
        <v>Hónghé Hānízú Yízú Zìzhìzhōu</v>
      </c>
      <c r="O453" s="15" t="str">
        <f t="shared" si="14"/>
        <v>Jiucheng Zhen (Honghe Hanizu Yizu Zizhizhou) (Hónghé Hānízú Yízú Zìzhìzhōu)</v>
      </c>
      <c r="P453" s="15" t="str">
        <f t="shared" si="15"/>
        <v>Jiucheng Zhen (Honghe Hanizu Yizu Zizhizhou) (Hónghé Hānízú Yízú Zìzhìzhōu)</v>
      </c>
    </row>
    <row r="454" spans="1:16" hidden="1" x14ac:dyDescent="0.25">
      <c r="A454" t="s">
        <v>630</v>
      </c>
      <c r="B454" t="str">
        <f>IF(COUNTIF(A:A,A454)&gt;1,_xlfn.CONCAT(A454," (",N454,")"),A454)</f>
        <v>Jiùchéng Zhèn (Zhāotōng Shì)</v>
      </c>
      <c r="C454" t="str">
        <f>IF(COUNTIF(B:B,B454)&gt;1,_xlfn.CONCAT(A454," (",M454,")"),B454)</f>
        <v>Jiùchéng Zhèn (Zhāotōng Shì)</v>
      </c>
      <c r="D454" t="s">
        <v>631</v>
      </c>
      <c r="E454" t="s">
        <v>11</v>
      </c>
      <c r="F454" t="str">
        <f>_xlfn.CONCAT(D454,", ",H454,", ",I454,", ","云南省")</f>
        <v>旧城镇, 威信县, 昭通市, 云南省</v>
      </c>
      <c r="G454">
        <v>27314</v>
      </c>
      <c r="H454" t="s">
        <v>2905</v>
      </c>
      <c r="I454" t="s">
        <v>2899</v>
      </c>
      <c r="J454">
        <f>VLOOKUP(F454,[1]!china_towns_second__2[[Column1]:[Y]],3,FALSE)</f>
        <v>28.0412621236067</v>
      </c>
      <c r="K454">
        <f>VLOOKUP(F454,[1]!china_towns_second__2[[Column1]:[Y]],2,FALSE)</f>
        <v>105.0783369</v>
      </c>
      <c r="L454" t="s">
        <v>4013</v>
      </c>
      <c r="M454" t="str">
        <f>VLOOKUP(H454,CHOOSE({1,2},Table17[Native],Table17[Name]),2,0)</f>
        <v>Wēixìn Xiàn</v>
      </c>
      <c r="N454" s="15" t="str">
        <f>VLOOKUP(I454,CHOOSE({1,2},Table17[Native],Table17[Name]),2,0)</f>
        <v>Zhāotōng Shì</v>
      </c>
      <c r="O454" s="15" t="str">
        <f t="shared" si="14"/>
        <v>Jiucheng Zhen (Zhaotong Shi) (Zhāotōng Shì)</v>
      </c>
      <c r="P454" s="15" t="str">
        <f t="shared" si="15"/>
        <v>Jiucheng Zhen (Zhaotong Shi) (Zhāotōng Shì)</v>
      </c>
    </row>
    <row r="455" spans="1:16" hidden="1" x14ac:dyDescent="0.25">
      <c r="A455" t="s">
        <v>2375</v>
      </c>
      <c r="B455" t="str">
        <f>IF(COUNTIF(A:A,A455)&gt;1,_xlfn.CONCAT(A455," (",N455,")"),A455)</f>
        <v>Jiŭcūn Zhèn</v>
      </c>
      <c r="C455" t="str">
        <f>IF(COUNTIF(B:B,B455)&gt;1,_xlfn.CONCAT(A455," (",M455,")"),B455)</f>
        <v>Jiŭcūn Zhèn</v>
      </c>
      <c r="D455" t="s">
        <v>2376</v>
      </c>
      <c r="E455" t="s">
        <v>11</v>
      </c>
      <c r="F455" t="str">
        <f>_xlfn.CONCAT(D455,", ",H455,", ",I455,", ","云南省")</f>
        <v>九村镇, 澄江市, 玉溪市, 云南省</v>
      </c>
      <c r="G455">
        <v>11668</v>
      </c>
      <c r="H455" t="s">
        <v>2889</v>
      </c>
      <c r="I455" t="s">
        <v>2888</v>
      </c>
      <c r="J455">
        <f>VLOOKUP(F455,[1]!china_towns_second__2[[Column1]:[Y]],3,FALSE)</f>
        <v>24.721982800331698</v>
      </c>
      <c r="K455">
        <f>VLOOKUP(F455,[1]!china_towns_second__2[[Column1]:[Y]],2,FALSE)</f>
        <v>103.00819610000001</v>
      </c>
      <c r="L455" t="s">
        <v>4014</v>
      </c>
      <c r="M455" t="str">
        <f>VLOOKUP(H455,CHOOSE({1,2},Table17[Native],Table17[Name]),2,0)</f>
        <v>Chéngjiāng Shì</v>
      </c>
      <c r="N455" s="15" t="str">
        <f>VLOOKUP(I455,CHOOSE({1,2},Table17[Native],Table17[Name]),2,0)</f>
        <v>Yùxī Shì</v>
      </c>
      <c r="O455" s="15" t="str">
        <f t="shared" si="14"/>
        <v>Jiucun Zhen (Yùxī Shì)</v>
      </c>
      <c r="P455" s="15" t="str">
        <f t="shared" si="15"/>
        <v>Jiucun Zhen (Yùxī Shì)</v>
      </c>
    </row>
    <row r="456" spans="1:16" hidden="1" x14ac:dyDescent="0.25">
      <c r="A456" t="s">
        <v>55</v>
      </c>
      <c r="B456" t="str">
        <f>IF(COUNTIF(A:A,A456)&gt;1,_xlfn.CONCAT(A456," (",N456,")"),A456)</f>
        <v>Jiŭfáng Xiāng</v>
      </c>
      <c r="C456" t="str">
        <f>IF(COUNTIF(B:B,B456)&gt;1,_xlfn.CONCAT(A456," (",M456,")"),B456)</f>
        <v>Jiŭfáng Xiāng</v>
      </c>
      <c r="D456" t="s">
        <v>56</v>
      </c>
      <c r="E456" t="s">
        <v>7</v>
      </c>
      <c r="F456" t="str">
        <f>_xlfn.CONCAT(D456,", ",H456,", ",I456,", ","云南省")</f>
        <v>酒房乡, 施甸县, 保山市, 云南省</v>
      </c>
      <c r="G456">
        <v>24246</v>
      </c>
      <c r="H456" t="s">
        <v>2745</v>
      </c>
      <c r="I456" t="s">
        <v>2739</v>
      </c>
      <c r="J456" t="e">
        <f>VLOOKUP(F456,[1]!china_towns_second__2[[Column1]:[Y]],3,FALSE)</f>
        <v>#N/A</v>
      </c>
      <c r="K456" t="e">
        <f>VLOOKUP(F456,[1]!china_towns_second__2[[Column1]:[Y]],2,FALSE)</f>
        <v>#N/A</v>
      </c>
      <c r="L456" t="s">
        <v>4015</v>
      </c>
      <c r="M456" t="str">
        <f>VLOOKUP(H456,CHOOSE({1,2},Table17[Native],Table17[Name]),2,0)</f>
        <v>Shīdiàn Xiàn</v>
      </c>
      <c r="N456" s="15" t="str">
        <f>VLOOKUP(I456,CHOOSE({1,2},Table17[Native],Table17[Name]),2,0)</f>
        <v>Băoshān Shì</v>
      </c>
      <c r="O456" s="15" t="str">
        <f t="shared" si="14"/>
        <v>Jiufang Xiang (Băoshān Shì)</v>
      </c>
      <c r="P456" s="15" t="str">
        <f t="shared" si="15"/>
        <v>Jiufang Xiang (Băoshān Shì)</v>
      </c>
    </row>
    <row r="457" spans="1:16" hidden="1" x14ac:dyDescent="0.25">
      <c r="A457" t="s">
        <v>1347</v>
      </c>
      <c r="B457" t="str">
        <f>IF(COUNTIF(A:A,A457)&gt;1,_xlfn.CONCAT(A457," (",N457,")"),A457)</f>
        <v>Jiŭhé Báizú Xiāng</v>
      </c>
      <c r="C457" t="str">
        <f>IF(COUNTIF(B:B,B457)&gt;1,_xlfn.CONCAT(A457," (",M457,")"),B457)</f>
        <v>Jiŭhé Báizú Xiāng</v>
      </c>
      <c r="D457" t="s">
        <v>1348</v>
      </c>
      <c r="E457" t="s">
        <v>7</v>
      </c>
      <c r="F457" t="str">
        <f>_xlfn.CONCAT(D457,", ",H457,", ",I457,", ","云南省")</f>
        <v>九河白族乡, 玉龙纳西族自治县, 丽江市, 云南省</v>
      </c>
      <c r="G457">
        <v>23680</v>
      </c>
      <c r="H457" t="s">
        <v>2829</v>
      </c>
      <c r="I457" t="s">
        <v>2823</v>
      </c>
      <c r="J457" t="e">
        <f>VLOOKUP(F457,[1]!china_towns_second__2[[Column1]:[Y]],3,FALSE)</f>
        <v>#N/A</v>
      </c>
      <c r="K457" t="e">
        <f>VLOOKUP(F457,[1]!china_towns_second__2[[Column1]:[Y]],2,FALSE)</f>
        <v>#N/A</v>
      </c>
      <c r="L457" t="s">
        <v>4016</v>
      </c>
      <c r="M457" t="str">
        <f>VLOOKUP(H457,CHOOSE({1,2},Table17[Native],Table17[Name]),2,0)</f>
        <v>Yùlóng Nàxīzú Zìzhìxiàn</v>
      </c>
      <c r="N457" s="15" t="str">
        <f>VLOOKUP(I457,CHOOSE({1,2},Table17[Native],Table17[Name]),2,0)</f>
        <v>Lìjiāng Shì</v>
      </c>
      <c r="O457" s="15" t="str">
        <f t="shared" si="14"/>
        <v>Jiuhe Baizu Xiang (Lìjiāng Shì)</v>
      </c>
      <c r="P457" s="15" t="str">
        <f t="shared" si="15"/>
        <v>Jiuhe Baizu Xiang (Lìjiāng Shì)</v>
      </c>
    </row>
    <row r="458" spans="1:16" hidden="1" x14ac:dyDescent="0.25">
      <c r="A458" t="s">
        <v>1713</v>
      </c>
      <c r="B458" t="str">
        <f>IF(COUNTIF(A:A,A458)&gt;1,_xlfn.CONCAT(A458," (",N458,")"),A458)</f>
        <v>Jiŭjiă Zhèn</v>
      </c>
      <c r="C458" t="str">
        <f>IF(COUNTIF(B:B,B458)&gt;1,_xlfn.CONCAT(A458," (",M458,")"),B458)</f>
        <v>Jiŭjiă Zhèn</v>
      </c>
      <c r="D458" t="s">
        <v>1714</v>
      </c>
      <c r="E458" t="s">
        <v>11</v>
      </c>
      <c r="F458" t="str">
        <f>_xlfn.CONCAT(D458,", ",H458,", ",I458,", ","云南省")</f>
        <v>九甲镇, 镇沅彝族哈尼族拉祜族自治县, 普洱市, 云南省</v>
      </c>
      <c r="G458">
        <v>15579</v>
      </c>
      <c r="H458" t="s">
        <v>2858</v>
      </c>
      <c r="I458" t="s">
        <v>2848</v>
      </c>
      <c r="J458">
        <f>VLOOKUP(F458,[1]!china_towns_second__2[[Column1]:[Y]],3,FALSE)</f>
        <v>24.2022096300649</v>
      </c>
      <c r="K458">
        <f>VLOOKUP(F458,[1]!china_towns_second__2[[Column1]:[Y]],2,FALSE)</f>
        <v>101.2591113</v>
      </c>
      <c r="L458" t="s">
        <v>4017</v>
      </c>
      <c r="M458" t="str">
        <f>VLOOKUP(H458,CHOOSE({1,2},Table17[Native],Table17[Name]),2,0)</f>
        <v>Zhènyuán Yízú Hānízú Lāhùzú Zìzhìxiàn</v>
      </c>
      <c r="N458" s="15" t="str">
        <f>VLOOKUP(I458,CHOOSE({1,2},Table17[Native],Table17[Name]),2,0)</f>
        <v>Pŭ'ĕr Shì</v>
      </c>
      <c r="O458" s="15" t="str">
        <f t="shared" si="14"/>
        <v>Jiujia Zhen (Pŭ'ĕr Shì)</v>
      </c>
      <c r="P458" s="15" t="str">
        <f t="shared" si="15"/>
        <v>Jiujia Zhen (Pŭ'ĕr Shì)</v>
      </c>
    </row>
    <row r="459" spans="1:16" hidden="1" x14ac:dyDescent="0.25">
      <c r="A459" t="s">
        <v>1715</v>
      </c>
      <c r="B459" t="str">
        <f>IF(COUNTIF(A:A,A459)&gt;1,_xlfn.CONCAT(A459," (",N459,")"),A459)</f>
        <v>Jiŭjĭng Hānízú Xiāng</v>
      </c>
      <c r="C459" t="str">
        <f>IF(COUNTIF(B:B,B459)&gt;1,_xlfn.CONCAT(A459," (",M459,")"),B459)</f>
        <v>Jiŭjĭng Hānízú Xiāng</v>
      </c>
      <c r="D459" t="s">
        <v>1716</v>
      </c>
      <c r="E459" t="s">
        <v>7</v>
      </c>
      <c r="F459" t="str">
        <f>_xlfn.CONCAT(D459,", ",H459,", ",I459,", ","云南省")</f>
        <v>酒井哈尼族乡, 澜沧拉祜族自治县, 普洱市, 云南省</v>
      </c>
      <c r="G459">
        <v>13716</v>
      </c>
      <c r="H459" t="s">
        <v>2852</v>
      </c>
      <c r="I459" t="s">
        <v>2848</v>
      </c>
      <c r="J459" t="e">
        <f>VLOOKUP(F459,[1]!china_towns_second__2[[Column1]:[Y]],3,FALSE)</f>
        <v>#N/A</v>
      </c>
      <c r="K459" t="e">
        <f>VLOOKUP(F459,[1]!china_towns_second__2[[Column1]:[Y]],2,FALSE)</f>
        <v>#N/A</v>
      </c>
      <c r="L459" t="s">
        <v>4018</v>
      </c>
      <c r="M459" t="str">
        <f>VLOOKUP(H459,CHOOSE({1,2},Table17[Native],Table17[Name]),2,0)</f>
        <v>Láncāng Lāhùzú Zìzhìxiàn</v>
      </c>
      <c r="N459" s="15" t="str">
        <f>VLOOKUP(I459,CHOOSE({1,2},Table17[Native],Table17[Name]),2,0)</f>
        <v>Pŭ'ĕr Shì</v>
      </c>
      <c r="O459" s="15" t="str">
        <f t="shared" si="14"/>
        <v>Jiujing Hanizu Xiang (Pŭ'ĕr Shì)</v>
      </c>
      <c r="P459" s="15" t="str">
        <f t="shared" si="15"/>
        <v>Jiujing Hanizu Xiang (Pŭ'ĕr Shì)</v>
      </c>
    </row>
    <row r="460" spans="1:16" hidden="1" x14ac:dyDescent="0.25">
      <c r="A460" t="s">
        <v>1927</v>
      </c>
      <c r="B460" t="str">
        <f>IF(COUNTIF(A:A,A460)&gt;1,_xlfn.CONCAT(A460," (",N460,")"),A460)</f>
        <v>Jiŭlóng Jiēdào (Qŭjìng Shì)</v>
      </c>
      <c r="C460" t="str">
        <f>IF(COUNTIF(B:B,B460)&gt;1,_xlfn.CONCAT(A460," (",M460,")"),B460)</f>
        <v>Jiŭlóng Jiēdào (Qŭjìng Shì)</v>
      </c>
      <c r="D460" t="s">
        <v>1928</v>
      </c>
      <c r="E460" t="s">
        <v>42</v>
      </c>
      <c r="F460" t="str">
        <f>_xlfn.CONCAT(D460,", ",H460,", ",I460,", ","云南省")</f>
        <v>九龙街道, 罗平县, 曲靖市, 云南省</v>
      </c>
      <c r="G460">
        <v>75615</v>
      </c>
      <c r="H460" t="s">
        <v>2864</v>
      </c>
      <c r="I460" t="s">
        <v>2860</v>
      </c>
      <c r="J460" t="e">
        <f>VLOOKUP(F460,[1]!china_towns_second__2[[Column1]:[Y]],3,FALSE)</f>
        <v>#N/A</v>
      </c>
      <c r="K460" t="e">
        <f>VLOOKUP(F460,[1]!china_towns_second__2[[Column1]:[Y]],2,FALSE)</f>
        <v>#N/A</v>
      </c>
      <c r="L460" t="s">
        <v>4019</v>
      </c>
      <c r="M460" t="str">
        <f>VLOOKUP(H460,CHOOSE({1,2},Table17[Native],Table17[Name]),2,0)</f>
        <v>Luópíng Xiàn</v>
      </c>
      <c r="N460" s="15" t="str">
        <f>VLOOKUP(I460,CHOOSE({1,2},Table17[Native],Table17[Name]),2,0)</f>
        <v>Qŭjìng Shì</v>
      </c>
      <c r="O460" s="15" t="str">
        <f t="shared" si="14"/>
        <v>Jiulong Jiedao (Qujing Shi) (Qŭjìng Shì)</v>
      </c>
      <c r="P460" s="15" t="str">
        <f t="shared" si="15"/>
        <v>Jiulong Jiedao (Qujing Shi) (Qŭjìng Shì)</v>
      </c>
    </row>
    <row r="461" spans="1:16" hidden="1" x14ac:dyDescent="0.25">
      <c r="A461" t="s">
        <v>1927</v>
      </c>
      <c r="B461" t="str">
        <f>IF(COUNTIF(A:A,A461)&gt;1,_xlfn.CONCAT(A461," (",N461,")"),A461)</f>
        <v>Jiŭlóng Jiēdào (Yùxī Shì)</v>
      </c>
      <c r="C461" t="str">
        <f>IF(COUNTIF(B:B,B461)&gt;1,_xlfn.CONCAT(A461," (",M461,")"),B461)</f>
        <v>Jiŭlóng Jiēdào (Yùxī Shì)</v>
      </c>
      <c r="D461" t="s">
        <v>1928</v>
      </c>
      <c r="E461" t="s">
        <v>42</v>
      </c>
      <c r="F461" t="str">
        <f>_xlfn.CONCAT(D461,", ",H461,", ",I461,", ","云南省")</f>
        <v>九龙街道, 通海县, 玉溪市, 云南省</v>
      </c>
      <c r="G461">
        <v>35822</v>
      </c>
      <c r="H461" t="s">
        <v>2894</v>
      </c>
      <c r="I461" t="s">
        <v>2888</v>
      </c>
      <c r="J461">
        <f>VLOOKUP(F461,[1]!china_towns_second__2[[Column1]:[Y]],3,FALSE)</f>
        <v>24.0861691625867</v>
      </c>
      <c r="K461">
        <f>VLOOKUP(F461,[1]!china_towns_second__2[[Column1]:[Y]],2,FALSE)</f>
        <v>102.66374140000001</v>
      </c>
      <c r="L461" t="s">
        <v>4020</v>
      </c>
      <c r="M461" t="str">
        <f>VLOOKUP(H461,CHOOSE({1,2},Table17[Native],Table17[Name]),2,0)</f>
        <v>Tōnghăi Xiàn</v>
      </c>
      <c r="N461" s="15" t="str">
        <f>VLOOKUP(I461,CHOOSE({1,2},Table17[Native],Table17[Name]),2,0)</f>
        <v>Yùxī Shì</v>
      </c>
      <c r="O461" s="15" t="str">
        <f t="shared" si="14"/>
        <v>Jiulong Jiedao (Yuxi Shi) (Yùxī Shì)</v>
      </c>
      <c r="P461" s="15" t="str">
        <f t="shared" si="15"/>
        <v>Jiulong Jiedao (Yuxi Shi) (Yùxī Shì)</v>
      </c>
    </row>
    <row r="462" spans="1:16" hidden="1" x14ac:dyDescent="0.25">
      <c r="A462" t="s">
        <v>1136</v>
      </c>
      <c r="B462" t="str">
        <f>IF(COUNTIF(A:A,A462)&gt;1,_xlfn.CONCAT(A462," (",N462,")"),A462)</f>
        <v>Jiŭlóng Zhèn</v>
      </c>
      <c r="C462" t="str">
        <f>IF(COUNTIF(B:B,B462)&gt;1,_xlfn.CONCAT(A462," (",M462,")"),B462)</f>
        <v>Jiŭlóng Zhèn</v>
      </c>
      <c r="D462" t="s">
        <v>1137</v>
      </c>
      <c r="E462" t="s">
        <v>11</v>
      </c>
      <c r="F462" t="str">
        <f>_xlfn.CONCAT(D462,", ",H462,", ",I462,", ","云南省")</f>
        <v>九龙镇, 禄劝彝族苗族自治县, 昆明市, 云南省</v>
      </c>
      <c r="G462">
        <v>35444</v>
      </c>
      <c r="H462" t="s">
        <v>2814</v>
      </c>
      <c r="I462" t="s">
        <v>2807</v>
      </c>
      <c r="J462">
        <f>VLOOKUP(F462,[1]!china_towns_second__2[[Column1]:[Y]],3,FALSE)</f>
        <v>25.785525574208599</v>
      </c>
      <c r="K462">
        <f>VLOOKUP(F462,[1]!china_towns_second__2[[Column1]:[Y]],2,FALSE)</f>
        <v>102.74688190000001</v>
      </c>
      <c r="L462" t="s">
        <v>4021</v>
      </c>
      <c r="M462" t="str">
        <f>VLOOKUP(H462,CHOOSE({1,2},Table17[Native],Table17[Name]),2,0)</f>
        <v>Lùquàn Yízú Miáozú Zìzhìxiàn</v>
      </c>
      <c r="N462" s="15" t="str">
        <f>VLOOKUP(I462,CHOOSE({1,2},Table17[Native],Table17[Name]),2,0)</f>
        <v>Kūnmíng Shì</v>
      </c>
      <c r="O462" s="15" t="str">
        <f t="shared" si="14"/>
        <v>Jiulong Zhen (Kūnmíng Shì)</v>
      </c>
      <c r="P462" s="15" t="str">
        <f t="shared" si="15"/>
        <v>Jiulong Zhen (Kūnmíng Shì)</v>
      </c>
    </row>
    <row r="463" spans="1:16" hidden="1" x14ac:dyDescent="0.25">
      <c r="A463" t="s">
        <v>2149</v>
      </c>
      <c r="B463" t="str">
        <f>IF(COUNTIF(A:A,A463)&gt;1,_xlfn.CONCAT(A463," (",N463,")"),A463)</f>
        <v>Jiùmò Xiāng</v>
      </c>
      <c r="C463" t="str">
        <f>IF(COUNTIF(B:B,B463)&gt;1,_xlfn.CONCAT(A463," (",M463,")"),B463)</f>
        <v>Jiùmò Xiāng</v>
      </c>
      <c r="D463" t="s">
        <v>2150</v>
      </c>
      <c r="E463" t="s">
        <v>7</v>
      </c>
      <c r="F463" t="str">
        <f>_xlfn.CONCAT(D463,", ",H463,", ",I463,", ","云南省")</f>
        <v>旧莫乡, 广南县, 文山壮族苗族自治州, 云南省</v>
      </c>
      <c r="G463">
        <v>59191</v>
      </c>
      <c r="H463" t="s">
        <v>2874</v>
      </c>
      <c r="I463" t="s">
        <v>2872</v>
      </c>
      <c r="J463" t="e">
        <f>VLOOKUP(F463,[1]!china_towns_second__2[[Column1]:[Y]],3,FALSE)</f>
        <v>#N/A</v>
      </c>
      <c r="K463" t="e">
        <f>VLOOKUP(F463,[1]!china_towns_second__2[[Column1]:[Y]],2,FALSE)</f>
        <v>#N/A</v>
      </c>
      <c r="L463" t="s">
        <v>4022</v>
      </c>
      <c r="M463" t="str">
        <f>VLOOKUP(H463,CHOOSE({1,2},Table17[Native],Table17[Name]),2,0)</f>
        <v>Guăngnán Xiàn</v>
      </c>
      <c r="N463" s="15" t="str">
        <f>VLOOKUP(I463,CHOOSE({1,2},Table17[Native],Table17[Name]),2,0)</f>
        <v>Wénshān Zhuàngzú Miáozú Zìzhìzhōu</v>
      </c>
      <c r="O463" s="15" t="str">
        <f t="shared" si="14"/>
        <v>Jiumo Xiang (Wénshān Zhuàngzú Miáozú Zìzhìzhōu)</v>
      </c>
      <c r="P463" s="15" t="str">
        <f t="shared" si="15"/>
        <v>Jiumo Xiang (Wénshān Zhuàngzú Miáozú Zìzhìzhōu)</v>
      </c>
    </row>
    <row r="464" spans="1:16" hidden="1" x14ac:dyDescent="0.25">
      <c r="A464" t="s">
        <v>2538</v>
      </c>
      <c r="B464" t="str">
        <f>IF(COUNTIF(A:A,A464)&gt;1,_xlfn.CONCAT(A464," (",N464,")"),A464)</f>
        <v>Jiùpŭ Zhèn</v>
      </c>
      <c r="C464" t="str">
        <f>IF(COUNTIF(B:B,B464)&gt;1,_xlfn.CONCAT(A464," (",M464,")"),B464)</f>
        <v>Jiùpŭ Zhèn</v>
      </c>
      <c r="D464" t="s">
        <v>2539</v>
      </c>
      <c r="E464" t="s">
        <v>11</v>
      </c>
      <c r="F464" t="str">
        <f>_xlfn.CONCAT(D464,", ",H464,", ",I464,", ","云南省")</f>
        <v>旧圃镇, 昭阳区, 昭通市, 云南省</v>
      </c>
      <c r="G464">
        <v>57764</v>
      </c>
      <c r="H464" t="s">
        <v>2909</v>
      </c>
      <c r="I464" t="s">
        <v>2899</v>
      </c>
      <c r="J464">
        <f>VLOOKUP(F464,[1]!china_towns_second__2[[Column1]:[Y]],3,FALSE)</f>
        <v>27.3697148921894</v>
      </c>
      <c r="K464">
        <f>VLOOKUP(F464,[1]!china_towns_second__2[[Column1]:[Y]],2,FALSE)</f>
        <v>103.65665319999999</v>
      </c>
      <c r="L464" t="s">
        <v>4023</v>
      </c>
      <c r="M464" t="str">
        <f>VLOOKUP(H464,CHOOSE({1,2},Table17[Native],Table17[Name]),2,0)</f>
        <v>Zhāoyáng Qū</v>
      </c>
      <c r="N464" s="15" t="str">
        <f>VLOOKUP(I464,CHOOSE({1,2},Table17[Native],Table17[Name]),2,0)</f>
        <v>Zhāotōng Shì</v>
      </c>
      <c r="O464" s="15" t="str">
        <f t="shared" si="14"/>
        <v>Jiupu Zhen (Zhāotōng Shì)</v>
      </c>
      <c r="P464" s="15" t="str">
        <f t="shared" si="15"/>
        <v>Jiupu Zhen (Zhāotōng Shì)</v>
      </c>
    </row>
    <row r="465" spans="1:16" hidden="1" x14ac:dyDescent="0.25">
      <c r="A465" t="s">
        <v>1929</v>
      </c>
      <c r="B465" t="str">
        <f>IF(COUNTIF(A:A,A465)&gt;1,_xlfn.CONCAT(A465," (",N465,")"),A465)</f>
        <v>Jiùwūjī Yízú Xiāng</v>
      </c>
      <c r="C465" t="str">
        <f>IF(COUNTIF(B:B,B465)&gt;1,_xlfn.CONCAT(A465," (",M465,")"),B465)</f>
        <v>Jiùwūjī Yízú Xiāng</v>
      </c>
      <c r="D465" t="s">
        <v>1930</v>
      </c>
      <c r="E465" t="s">
        <v>7</v>
      </c>
      <c r="F465" t="str">
        <f>_xlfn.CONCAT(D465,", ",H465,", ",I465,", ","云南省")</f>
        <v>旧屋基彝族乡, 罗平县, 曲靖市, 云南省</v>
      </c>
      <c r="G465">
        <v>10530</v>
      </c>
      <c r="H465" t="s">
        <v>2864</v>
      </c>
      <c r="I465" t="s">
        <v>2860</v>
      </c>
      <c r="J465" t="e">
        <f>VLOOKUP(F465,[1]!china_towns_second__2[[Column1]:[Y]],3,FALSE)</f>
        <v>#N/A</v>
      </c>
      <c r="K465" t="e">
        <f>VLOOKUP(F465,[1]!china_towns_second__2[[Column1]:[Y]],2,FALSE)</f>
        <v>#N/A</v>
      </c>
      <c r="L465" t="s">
        <v>4024</v>
      </c>
      <c r="M465" t="str">
        <f>VLOOKUP(H465,CHOOSE({1,2},Table17[Native],Table17[Name]),2,0)</f>
        <v>Luópíng Xiàn</v>
      </c>
      <c r="N465" s="15" t="str">
        <f>VLOOKUP(I465,CHOOSE({1,2},Table17[Native],Table17[Name]),2,0)</f>
        <v>Qŭjìng Shì</v>
      </c>
      <c r="O465" s="15" t="str">
        <f t="shared" si="14"/>
        <v>Jiuwuji Yizu Xiang (Qŭjìng Shì)</v>
      </c>
      <c r="P465" s="15" t="str">
        <f t="shared" si="15"/>
        <v>Jiuwuji Yizu Xiang (Qŭjìng Shì)</v>
      </c>
    </row>
    <row r="466" spans="1:16" hidden="1" x14ac:dyDescent="0.25">
      <c r="A466" t="s">
        <v>2377</v>
      </c>
      <c r="B466" t="str">
        <f>IF(COUNTIF(A:A,A466)&gt;1,_xlfn.CONCAT(A466," (",N466,")"),A466)</f>
        <v>Jiŭxī Zhèn</v>
      </c>
      <c r="C466" t="str">
        <f>IF(COUNTIF(B:B,B466)&gt;1,_xlfn.CONCAT(A466," (",M466,")"),B466)</f>
        <v>Jiŭxī Zhèn</v>
      </c>
      <c r="D466" t="s">
        <v>2378</v>
      </c>
      <c r="E466" t="s">
        <v>11</v>
      </c>
      <c r="F466" t="str">
        <f>_xlfn.CONCAT(D466,", ",H466,", ",I466,", ","云南省")</f>
        <v>九溪镇, 江川区, 玉溪市, 云南省</v>
      </c>
      <c r="G466">
        <v>26760</v>
      </c>
      <c r="H466" t="s">
        <v>2893</v>
      </c>
      <c r="I466" t="s">
        <v>2888</v>
      </c>
      <c r="J466">
        <f>VLOOKUP(F466,[1]!china_towns_second__2[[Column1]:[Y]],3,FALSE)</f>
        <v>24.2787419066177</v>
      </c>
      <c r="K466">
        <f>VLOOKUP(F466,[1]!china_towns_second__2[[Column1]:[Y]],2,FALSE)</f>
        <v>102.64216930000001</v>
      </c>
      <c r="L466" t="s">
        <v>4025</v>
      </c>
      <c r="M466" t="str">
        <f>VLOOKUP(H466,CHOOSE({1,2},Table17[Native],Table17[Name]),2,0)</f>
        <v>Jiāngchuān Qū</v>
      </c>
      <c r="N466" s="15" t="str">
        <f>VLOOKUP(I466,CHOOSE({1,2},Table17[Native],Table17[Name]),2,0)</f>
        <v>Yùxī Shì</v>
      </c>
      <c r="O466" s="15" t="str">
        <f t="shared" si="14"/>
        <v>Jiuxi Zhen (Yùxī Shì)</v>
      </c>
      <c r="P466" s="15" t="str">
        <f t="shared" si="15"/>
        <v>Jiuxi Zhen (Yùxī Shì)</v>
      </c>
    </row>
    <row r="467" spans="1:16" hidden="1" x14ac:dyDescent="0.25">
      <c r="A467" t="s">
        <v>1931</v>
      </c>
      <c r="B467" t="str">
        <f>IF(COUNTIF(A:A,A467)&gt;1,_xlfn.CONCAT(A467," (",N467,")"),A467)</f>
        <v>Jiùxiàn Jiēdào</v>
      </c>
      <c r="C467" t="str">
        <f>IF(COUNTIF(B:B,B467)&gt;1,_xlfn.CONCAT(A467," (",M467,")"),B467)</f>
        <v>Jiùxiàn Jiēdào</v>
      </c>
      <c r="D467" t="s">
        <v>1932</v>
      </c>
      <c r="E467" t="s">
        <v>42</v>
      </c>
      <c r="F467" t="str">
        <f>_xlfn.CONCAT(D467,", ",H467,", ",I467,", ","云南省")</f>
        <v>旧县街道, 马龙区, 曲靖市, 云南省</v>
      </c>
      <c r="G467">
        <v>26219</v>
      </c>
      <c r="H467" t="s">
        <v>2865</v>
      </c>
      <c r="I467" t="s">
        <v>2860</v>
      </c>
      <c r="J467" t="e">
        <f>VLOOKUP(F467,[1]!china_towns_second__2[[Column1]:[Y]],3,FALSE)</f>
        <v>#N/A</v>
      </c>
      <c r="K467" t="e">
        <f>VLOOKUP(F467,[1]!china_towns_second__2[[Column1]:[Y]],2,FALSE)</f>
        <v>#N/A</v>
      </c>
      <c r="L467" t="s">
        <v>4026</v>
      </c>
      <c r="M467" t="str">
        <f>VLOOKUP(H467,CHOOSE({1,2},Table17[Native],Table17[Name]),2,0)</f>
        <v>Mălóng Qū</v>
      </c>
      <c r="N467" s="15" t="str">
        <f>VLOOKUP(I467,CHOOSE({1,2},Table17[Native],Table17[Name]),2,0)</f>
        <v>Qŭjìng Shì</v>
      </c>
      <c r="O467" s="15" t="str">
        <f t="shared" si="14"/>
        <v>Jiuxian Jiedao (Qŭjìng Shì)</v>
      </c>
      <c r="P467" s="15" t="str">
        <f t="shared" si="15"/>
        <v>Jiuxian Jiedao (Qŭjìng Shì)</v>
      </c>
    </row>
    <row r="468" spans="1:16" hidden="1" x14ac:dyDescent="0.25">
      <c r="A468" t="s">
        <v>1138</v>
      </c>
      <c r="B468" t="str">
        <f>IF(COUNTIF(A:A,A468)&gt;1,_xlfn.CONCAT(A468," (",N468,")"),A468)</f>
        <v>Jiŭxiāng Yízú Huízú Xiāng</v>
      </c>
      <c r="C468" t="str">
        <f>IF(COUNTIF(B:B,B468)&gt;1,_xlfn.CONCAT(A468," (",M468,")"),B468)</f>
        <v>Jiŭxiāng Yízú Huízú Xiāng</v>
      </c>
      <c r="D468" t="s">
        <v>1139</v>
      </c>
      <c r="E468" t="s">
        <v>7</v>
      </c>
      <c r="F468" t="str">
        <f>_xlfn.CONCAT(D468,", ",H468,", ",I468,", ","云南省")</f>
        <v>九乡彝族回族乡, 宜良县, 昆明市, 云南省</v>
      </c>
      <c r="G468">
        <v>16814</v>
      </c>
      <c r="H468" t="s">
        <v>2821</v>
      </c>
      <c r="I468" t="s">
        <v>2807</v>
      </c>
      <c r="J468" t="e">
        <f>VLOOKUP(F468,[1]!china_towns_second__2[[Column1]:[Y]],3,FALSE)</f>
        <v>#N/A</v>
      </c>
      <c r="K468" t="e">
        <f>VLOOKUP(F468,[1]!china_towns_second__2[[Column1]:[Y]],2,FALSE)</f>
        <v>#N/A</v>
      </c>
      <c r="L468" t="s">
        <v>4027</v>
      </c>
      <c r="M468" t="str">
        <f>VLOOKUP(H468,CHOOSE({1,2},Table17[Native],Table17[Name]),2,0)</f>
        <v>Yíliáng Xiàn</v>
      </c>
      <c r="N468" s="15" t="str">
        <f>VLOOKUP(I468,CHOOSE({1,2},Table17[Native],Table17[Name]),2,0)</f>
        <v>Kūnmíng Shì</v>
      </c>
      <c r="O468" s="15" t="str">
        <f t="shared" si="14"/>
        <v>Jiuxiang Yizu Huizu Xiang (Kūnmíng Shì)</v>
      </c>
      <c r="P468" s="15" t="str">
        <f t="shared" si="15"/>
        <v>Jiuxiang Yizu Huizu Xiang (Kūnmíng Shì)</v>
      </c>
    </row>
    <row r="469" spans="1:16" hidden="1" x14ac:dyDescent="0.25">
      <c r="A469" t="s">
        <v>246</v>
      </c>
      <c r="B469" t="str">
        <f>IF(COUNTIF(A:A,A469)&gt;1,_xlfn.CONCAT(A469," (",N469,")"),A469)</f>
        <v>Jĭyī Zhèn</v>
      </c>
      <c r="C469" t="str">
        <f>IF(COUNTIF(B:B,B469)&gt;1,_xlfn.CONCAT(A469," (",M469,")"),B469)</f>
        <v>Jĭyī Zhèn</v>
      </c>
      <c r="D469" t="s">
        <v>247</v>
      </c>
      <c r="E469" t="s">
        <v>11</v>
      </c>
      <c r="F469" t="str">
        <f>_xlfn.CONCAT(D469,", ",H469,", ",I469,", ","云南省")</f>
        <v>己衣镇, 武定县, 楚雄彝族自治州, 云南省</v>
      </c>
      <c r="G469">
        <v>14235</v>
      </c>
      <c r="H469" t="s">
        <v>2757</v>
      </c>
      <c r="I469" t="s">
        <v>2750</v>
      </c>
      <c r="J469">
        <f>VLOOKUP(F469,[1]!china_towns_second__2[[Column1]:[Y]],3,FALSE)</f>
        <v>26.093767370714598</v>
      </c>
      <c r="K469">
        <f>VLOOKUP(F469,[1]!china_towns_second__2[[Column1]:[Y]],2,FALSE)</f>
        <v>102.2307869</v>
      </c>
      <c r="L469" t="s">
        <v>4028</v>
      </c>
      <c r="M469" t="str">
        <f>VLOOKUP(H469,CHOOSE({1,2},Table17[Native],Table17[Name]),2,0)</f>
        <v>Wŭdìng Xiàn</v>
      </c>
      <c r="N469" s="15" t="str">
        <f>VLOOKUP(I469,CHOOSE({1,2},Table17[Native],Table17[Name]),2,0)</f>
        <v>Chŭxióng Yízú Zìzhìzhōu</v>
      </c>
      <c r="O469" s="15" t="str">
        <f t="shared" si="14"/>
        <v>Jiyi Zhen (Chŭxióng Yízú Zìzhìzhōu)</v>
      </c>
      <c r="P469" s="15" t="str">
        <f t="shared" si="15"/>
        <v>Jiyi Zhen (Chŭxióng Yízú Zìzhìzhōu)</v>
      </c>
    </row>
    <row r="470" spans="1:16" hidden="1" x14ac:dyDescent="0.25">
      <c r="A470" t="s">
        <v>452</v>
      </c>
      <c r="B470" t="str">
        <f>IF(COUNTIF(A:A,A470)&gt;1,_xlfn.CONCAT(A470," (",N470,")"),A470)</f>
        <v>Jīzúshān Zhèn</v>
      </c>
      <c r="C470" t="str">
        <f>IF(COUNTIF(B:B,B470)&gt;1,_xlfn.CONCAT(A470," (",M470,")"),B470)</f>
        <v>Jīzúshān Zhèn</v>
      </c>
      <c r="D470" t="s">
        <v>453</v>
      </c>
      <c r="E470" t="s">
        <v>11</v>
      </c>
      <c r="F470" t="str">
        <f>_xlfn.CONCAT(D470,", ",H470,", ",I470,", ","云南省")</f>
        <v>鸡足山镇, 宾川县, 大理白族自治州, 云南省</v>
      </c>
      <c r="G470">
        <v>28189</v>
      </c>
      <c r="H470" t="s">
        <v>2764</v>
      </c>
      <c r="I470" t="s">
        <v>2763</v>
      </c>
      <c r="J470">
        <f>VLOOKUP(F470,[1]!china_towns_second__2[[Column1]:[Y]],3,FALSE)</f>
        <v>25.892487021745701</v>
      </c>
      <c r="K470">
        <f>VLOOKUP(F470,[1]!china_towns_second__2[[Column1]:[Y]],2,FALSE)</f>
        <v>100.40365</v>
      </c>
      <c r="L470" t="s">
        <v>4029</v>
      </c>
      <c r="M470" t="str">
        <f>VLOOKUP(H470,CHOOSE({1,2},Table17[Native],Table17[Name]),2,0)</f>
        <v>Bīnchuān Xiàn</v>
      </c>
      <c r="N470" s="15" t="str">
        <f>VLOOKUP(I470,CHOOSE({1,2},Table17[Native],Table17[Name]),2,0)</f>
        <v>Dàlĭ Báizú Zìzhìzhōu</v>
      </c>
      <c r="O470" s="15" t="str">
        <f t="shared" si="14"/>
        <v>Jizushan Zhen (Dàlĭ Báizú Zìzhìzhōu)</v>
      </c>
      <c r="P470" s="15" t="str">
        <f t="shared" si="15"/>
        <v>Jizushan Zhen (Dàlĭ Báizú Zìzhìzhōu)</v>
      </c>
    </row>
    <row r="471" spans="1:16" hidden="1" x14ac:dyDescent="0.25">
      <c r="A471" t="s">
        <v>1349</v>
      </c>
      <c r="B471" t="str">
        <f>IF(COUNTIF(A:A,A471)&gt;1,_xlfn.CONCAT(A471," (",N471,")"),A471)</f>
        <v>Jùdiàn Zhèn</v>
      </c>
      <c r="C471" t="str">
        <f>IF(COUNTIF(B:B,B471)&gt;1,_xlfn.CONCAT(A471," (",M471,")"),B471)</f>
        <v>Jùdiàn Zhèn</v>
      </c>
      <c r="D471" t="s">
        <v>1350</v>
      </c>
      <c r="E471" t="s">
        <v>11</v>
      </c>
      <c r="F471" t="str">
        <f>_xlfn.CONCAT(D471,", ",H471,", ",I471,", ","云南省")</f>
        <v>巨甸镇, 玉龙纳西族自治县, 丽江市, 云南省</v>
      </c>
      <c r="G471">
        <v>21368</v>
      </c>
      <c r="H471" t="s">
        <v>2829</v>
      </c>
      <c r="I471" t="s">
        <v>2823</v>
      </c>
      <c r="J471">
        <f>VLOOKUP(F471,[1]!china_towns_second__2[[Column1]:[Y]],3,FALSE)</f>
        <v>27.2858404230583</v>
      </c>
      <c r="K471">
        <f>VLOOKUP(F471,[1]!china_towns_second__2[[Column1]:[Y]],2,FALSE)</f>
        <v>99.602307069999995</v>
      </c>
      <c r="L471" t="s">
        <v>4030</v>
      </c>
      <c r="M471" t="str">
        <f>VLOOKUP(H471,CHOOSE({1,2},Table17[Native],Table17[Name]),2,0)</f>
        <v>Yùlóng Nàxīzú Zìzhìxiàn</v>
      </c>
      <c r="N471" s="15" t="str">
        <f>VLOOKUP(I471,CHOOSE({1,2},Table17[Native],Table17[Name]),2,0)</f>
        <v>Lìjiāng Shì</v>
      </c>
      <c r="O471" s="15" t="str">
        <f t="shared" si="14"/>
        <v>Judian Zhen (Lìjiāng Shì)</v>
      </c>
      <c r="P471" s="15" t="str">
        <f t="shared" si="15"/>
        <v>Judian Zhen (Lìjiāng Shì)</v>
      </c>
    </row>
    <row r="472" spans="1:16" hidden="1" x14ac:dyDescent="0.25">
      <c r="A472" t="s">
        <v>454</v>
      </c>
      <c r="B472" t="str">
        <f>IF(COUNTIF(A:A,A472)&gt;1,_xlfn.CONCAT(A472," (",N472,")"),A472)</f>
        <v>Jūlì Zhèn</v>
      </c>
      <c r="C472" t="str">
        <f>IF(COUNTIF(B:B,B472)&gt;1,_xlfn.CONCAT(A472," (",M472,")"),B472)</f>
        <v>Jūlì Zhèn</v>
      </c>
      <c r="D472" t="s">
        <v>455</v>
      </c>
      <c r="E472" t="s">
        <v>11</v>
      </c>
      <c r="F472" t="str">
        <f>_xlfn.CONCAT(D472,", ",H472,", ",I472,", ","云南省")</f>
        <v>苴力镇, 弥渡县, 大理白族自治州, 云南省</v>
      </c>
      <c r="G472">
        <v>25241</v>
      </c>
      <c r="H472" t="s">
        <v>2769</v>
      </c>
      <c r="I472" t="s">
        <v>2763</v>
      </c>
      <c r="J472">
        <f>VLOOKUP(F472,[1]!china_towns_second__2[[Column1]:[Y]],3,FALSE)</f>
        <v>25.203466171978601</v>
      </c>
      <c r="K472">
        <f>VLOOKUP(F472,[1]!china_towns_second__2[[Column1]:[Y]],2,FALSE)</f>
        <v>100.6125011</v>
      </c>
      <c r="L472" t="s">
        <v>4031</v>
      </c>
      <c r="M472" t="str">
        <f>VLOOKUP(H472,CHOOSE({1,2},Table17[Native],Table17[Name]),2,0)</f>
        <v>Mídù Xiàn</v>
      </c>
      <c r="N472" s="15" t="str">
        <f>VLOOKUP(I472,CHOOSE({1,2},Table17[Native],Table17[Name]),2,0)</f>
        <v>Dàlĭ Báizú Zìzhìzhōu</v>
      </c>
      <c r="O472" s="15" t="str">
        <f t="shared" si="14"/>
        <v>Juli Zhen (Dàlĭ Báizú Zìzhìzhōu)</v>
      </c>
      <c r="P472" s="15" t="str">
        <f t="shared" si="15"/>
        <v>Juli Zhen (Dàlĭ Báizú Zìzhìzhōu)</v>
      </c>
    </row>
    <row r="473" spans="1:16" hidden="1" x14ac:dyDescent="0.25">
      <c r="A473" t="s">
        <v>1489</v>
      </c>
      <c r="B473" t="str">
        <f>IF(COUNTIF(A:A,A473)&gt;1,_xlfn.CONCAT(A473," (",N473,")"),A473)</f>
        <v>Jūnsài Wǎzú Lāhùzú Lìsùzú Dé'ángzú Xiāng</v>
      </c>
      <c r="C473" t="str">
        <f>IF(COUNTIF(B:B,B473)&gt;1,_xlfn.CONCAT(A473," (",M473,")"),B473)</f>
        <v>Jūnsài Wǎzú Lāhùzú Lìsùzú Dé'ángzú Xiāng</v>
      </c>
      <c r="D473" t="s">
        <v>1490</v>
      </c>
      <c r="E473" t="s">
        <v>7</v>
      </c>
      <c r="F473" t="str">
        <f>_xlfn.CONCAT(D473,", ",H473,", ",I473,", ","云南省")</f>
        <v>军赛佤族拉祜族傈僳族德昂族乡, 镇康县, 临沧市, 云南省</v>
      </c>
      <c r="G473">
        <v>13196</v>
      </c>
      <c r="H473" t="s">
        <v>2839</v>
      </c>
      <c r="I473" t="s">
        <v>2831</v>
      </c>
      <c r="J473" t="e">
        <f>VLOOKUP(F473,[1]!china_towns_second__2[[Column1]:[Y]],3,FALSE)</f>
        <v>#N/A</v>
      </c>
      <c r="K473" t="e">
        <f>VLOOKUP(F473,[1]!china_towns_second__2[[Column1]:[Y]],2,FALSE)</f>
        <v>#N/A</v>
      </c>
      <c r="L473" t="s">
        <v>4032</v>
      </c>
      <c r="M473" t="str">
        <f>VLOOKUP(H473,CHOOSE({1,2},Table17[Native],Table17[Name]),2,0)</f>
        <v>Zhènkāng Xiàn</v>
      </c>
      <c r="N473" s="15" t="str">
        <f>VLOOKUP(I473,CHOOSE({1,2},Table17[Native],Table17[Name]),2,0)</f>
        <v>Líncāng Shì</v>
      </c>
      <c r="O473" s="15" t="str">
        <f t="shared" si="14"/>
        <v>Junsai Wazu Lahuzu Lisuzu De'angzu Xiang (Líncāng Shì)</v>
      </c>
      <c r="P473" s="15" t="str">
        <f t="shared" si="15"/>
        <v>Junsai Wazu Lahuzu Lisuzu De'angzu Xiang (Líncāng Shì)</v>
      </c>
    </row>
    <row r="474" spans="1:16" hidden="1" x14ac:dyDescent="0.25">
      <c r="A474" t="s">
        <v>633</v>
      </c>
      <c r="B474" t="str">
        <f>IF(COUNTIF(A:A,A474)&gt;1,_xlfn.CONCAT(A474," (",N474,")"),A474)</f>
        <v>Kăchăng Zhèn</v>
      </c>
      <c r="C474" t="str">
        <f>IF(COUNTIF(B:B,B474)&gt;1,_xlfn.CONCAT(A474," (",M474,")"),B474)</f>
        <v>Kăchăng Zhèn</v>
      </c>
      <c r="D474" t="s">
        <v>634</v>
      </c>
      <c r="E474" t="s">
        <v>11</v>
      </c>
      <c r="F474" t="str">
        <f>_xlfn.CONCAT(D474,", ",H474,", ",I474,", ","云南省")</f>
        <v>卡场镇, 盈江县, 德宏傣族景颇族自治州, 云南省</v>
      </c>
      <c r="G474">
        <v>10111</v>
      </c>
      <c r="H474" t="s">
        <v>2784</v>
      </c>
      <c r="I474" t="s">
        <v>2779</v>
      </c>
      <c r="J474">
        <f>VLOOKUP(F474,[1]!china_towns_second__2[[Column1]:[Y]],3,FALSE)</f>
        <v>24.9823764826927</v>
      </c>
      <c r="K474">
        <f>VLOOKUP(F474,[1]!china_towns_second__2[[Column1]:[Y]],2,FALSE)</f>
        <v>97.801751609999997</v>
      </c>
      <c r="L474" t="s">
        <v>4033</v>
      </c>
      <c r="M474" t="str">
        <f>VLOOKUP(H474,CHOOSE({1,2},Table17[Native],Table17[Name]),2,0)</f>
        <v>Yíngjiāng Xiàn</v>
      </c>
      <c r="N474" s="15" t="str">
        <f>VLOOKUP(I474,CHOOSE({1,2},Table17[Native],Table17[Name]),2,0)</f>
        <v>Déhóng Dăizú Jĭngpōzú Zìzhìzhōu</v>
      </c>
      <c r="O474" s="15" t="str">
        <f t="shared" si="14"/>
        <v>Kachang Zhen (Déhóng Dăizú Jĭngpōzú Zìzhìzhōu)</v>
      </c>
      <c r="P474" s="15" t="str">
        <f t="shared" si="15"/>
        <v>Kachang Zhen (Déhóng Dăizú Jĭngpōzú Zìzhìzhōu)</v>
      </c>
    </row>
    <row r="475" spans="1:16" hidden="1" x14ac:dyDescent="0.25">
      <c r="A475" t="s">
        <v>865</v>
      </c>
      <c r="B475" t="str">
        <f>IF(COUNTIF(A:A,A475)&gt;1,_xlfn.CONCAT(A475," (",N475,")"),A475)</f>
        <v>Kăfáng Zhèn</v>
      </c>
      <c r="C475" t="str">
        <f>IF(COUNTIF(B:B,B475)&gt;1,_xlfn.CONCAT(A475," (",M475,")"),B475)</f>
        <v>Kăfáng Zhèn</v>
      </c>
      <c r="D475" t="s">
        <v>866</v>
      </c>
      <c r="E475" t="s">
        <v>11</v>
      </c>
      <c r="F475" t="str">
        <f>_xlfn.CONCAT(D475,", ",H475,", ",I475,", ","云南省")</f>
        <v>卡房镇, 个旧市, 红河哈尼族彝族自治州, 云南省</v>
      </c>
      <c r="G475">
        <v>44202</v>
      </c>
      <c r="H475" t="s">
        <v>2793</v>
      </c>
      <c r="I475" t="s">
        <v>2792</v>
      </c>
      <c r="J475">
        <f>VLOOKUP(F475,[1]!china_towns_second__2[[Column1]:[Y]],3,FALSE)</f>
        <v>23.192012051267302</v>
      </c>
      <c r="K475">
        <f>VLOOKUP(F475,[1]!china_towns_second__2[[Column1]:[Y]],2,FALSE)</f>
        <v>103.15666280000001</v>
      </c>
      <c r="L475" t="s">
        <v>4034</v>
      </c>
      <c r="M475" t="str">
        <f>VLOOKUP(H475,CHOOSE({1,2},Table17[Native],Table17[Name]),2,0)</f>
        <v>Gèjiù Shì</v>
      </c>
      <c r="N475" s="15" t="str">
        <f>VLOOKUP(I475,CHOOSE({1,2},Table17[Native],Table17[Name]),2,0)</f>
        <v>Hónghé Hānízú Yízú Zìzhìzhōu</v>
      </c>
      <c r="O475" s="15" t="str">
        <f t="shared" si="14"/>
        <v>Kafang Zhen (Hónghé Hānízú Yízú Zìzhìzhōu)</v>
      </c>
      <c r="P475" s="15" t="str">
        <f t="shared" si="15"/>
        <v>Kafang Zhen (Hónghé Hānízú Yízú Zìzhìzhōu)</v>
      </c>
    </row>
    <row r="476" spans="1:16" hidden="1" x14ac:dyDescent="0.25">
      <c r="A476" t="s">
        <v>2151</v>
      </c>
      <c r="B476" t="str">
        <f>IF(COUNTIF(A:A,A476)&gt;1,_xlfn.CONCAT(A476," (",N476,")"),A476)</f>
        <v>Kāihuà Zhèn [incl. Kāihuà Jiēdào, Wòlóng jiēdào, Xīnpíng Jiēdào]</v>
      </c>
      <c r="C476" t="str">
        <f>IF(COUNTIF(B:B,B476)&gt;1,_xlfn.CONCAT(A476," (",M476,")"),B476)</f>
        <v>Kāihuà Zhèn [incl. Kāihuà Jiēdào, Wòlóng jiēdào, Xīnpíng Jiēdào]</v>
      </c>
      <c r="D476" t="s">
        <v>2152</v>
      </c>
      <c r="E476" t="s">
        <v>11</v>
      </c>
      <c r="F476" t="str">
        <f>_xlfn.CONCAT(D476,", ",H476,", ",I476,", ","云南省")</f>
        <v>开化镇, 文山市, 文山壮族苗族自治州, 云南省</v>
      </c>
      <c r="G476">
        <v>221301</v>
      </c>
      <c r="H476" t="s">
        <v>2878</v>
      </c>
      <c r="I476" t="s">
        <v>2872</v>
      </c>
      <c r="J476">
        <f>VLOOKUP(F476,[1]!china_towns_second__2[[Column1]:[Y]],3,FALSE)</f>
        <v>23.338341605979402</v>
      </c>
      <c r="K476">
        <f>VLOOKUP(F476,[1]!china_towns_second__2[[Column1]:[Y]],2,FALSE)</f>
        <v>104.194491</v>
      </c>
      <c r="L476" t="s">
        <v>4035</v>
      </c>
      <c r="M476" t="str">
        <f>VLOOKUP(H476,CHOOSE({1,2},Table17[Native],Table17[Name]),2,0)</f>
        <v>Wénshān Shì</v>
      </c>
      <c r="N476" s="15" t="str">
        <f>VLOOKUP(I476,CHOOSE({1,2},Table17[Native],Table17[Name]),2,0)</f>
        <v>Wénshān Zhuàngzú Miáozú Zìzhìzhōu</v>
      </c>
      <c r="O476" s="15" t="str">
        <f t="shared" si="14"/>
        <v>Kaihua Zhen [incl. Kaihua Jiedao, Wolong jiedao, Xinping Jiedao] (Wénshān Zhuàngzú Miáozú Zìzhìzhōu)</v>
      </c>
      <c r="P476" s="15" t="str">
        <f t="shared" si="15"/>
        <v>Kaihua Zhen [incl. Kaihua Jiedao, Wolong jiedao, Xinping Jiedao] (Wénshān Zhuàngzú Miáozú Zìzhìzhōu)</v>
      </c>
    </row>
    <row r="477" spans="1:16" hidden="1" x14ac:dyDescent="0.25">
      <c r="A477" t="s">
        <v>1717</v>
      </c>
      <c r="B477" t="str">
        <f>IF(COUNTIF(A:A,A477)&gt;1,_xlfn.CONCAT(A477," (",N477,")"),A477)</f>
        <v>Kāngpíng Zhèn</v>
      </c>
      <c r="C477" t="str">
        <f>IF(COUNTIF(B:B,B477)&gt;1,_xlfn.CONCAT(A477," (",M477,")"),B477)</f>
        <v>Kāngpíng Zhèn</v>
      </c>
      <c r="D477" t="s">
        <v>1718</v>
      </c>
      <c r="E477" t="s">
        <v>11</v>
      </c>
      <c r="F477" t="str">
        <f>_xlfn.CONCAT(D477,", ",H477,", ",I477,", ","云南省")</f>
        <v>康平镇, 江城哈尼族彝族自治县, 普洱市, 云南省</v>
      </c>
      <c r="G477">
        <v>22516</v>
      </c>
      <c r="H477" t="s">
        <v>2849</v>
      </c>
      <c r="I477" t="s">
        <v>2848</v>
      </c>
      <c r="J477">
        <f>VLOOKUP(F477,[1]!china_towns_second__2[[Column1]:[Y]],3,FALSE)</f>
        <v>22.632924290855101</v>
      </c>
      <c r="K477">
        <f>VLOOKUP(F477,[1]!china_towns_second__2[[Column1]:[Y]],2,FALSE)</f>
        <v>101.51780119999999</v>
      </c>
      <c r="L477" t="s">
        <v>4036</v>
      </c>
      <c r="M477" t="str">
        <f>VLOOKUP(H477,CHOOSE({1,2},Table17[Native],Table17[Name]),2,0)</f>
        <v>Jiāngchéng Hānízú Yízú Zìzhìxiàn</v>
      </c>
      <c r="N477" s="15" t="str">
        <f>VLOOKUP(I477,CHOOSE({1,2},Table17[Native],Table17[Name]),2,0)</f>
        <v>Pŭ'ĕr Shì</v>
      </c>
      <c r="O477" s="15" t="str">
        <f t="shared" si="14"/>
        <v>Kangping Zhen (Pŭ'ĕr Shì)</v>
      </c>
      <c r="P477" s="15" t="str">
        <f t="shared" si="15"/>
        <v>Kangping Zhen (Pŭ'ĕr Shì)</v>
      </c>
    </row>
    <row r="478" spans="1:16" hidden="1" x14ac:dyDescent="0.25">
      <c r="A478" t="s">
        <v>730</v>
      </c>
      <c r="B478" t="str">
        <f>IF(COUNTIF(A:A,A478)&gt;1,_xlfn.CONCAT(A478," (",N478,")"),A478)</f>
        <v>Kāngpŭ Xiāng</v>
      </c>
      <c r="C478" t="str">
        <f>IF(COUNTIF(B:B,B478)&gt;1,_xlfn.CONCAT(A478," (",M478,")"),B478)</f>
        <v>Kāngpŭ Xiāng</v>
      </c>
      <c r="D478" t="s">
        <v>731</v>
      </c>
      <c r="E478" t="s">
        <v>7</v>
      </c>
      <c r="F478" t="str">
        <f>_xlfn.CONCAT(D478,", ",H478,", ",I478,", ","云南省")</f>
        <v>康普乡, 维西傈僳族自治县, 迪庆藏族自治州, 云南省</v>
      </c>
      <c r="G478">
        <v>10957</v>
      </c>
      <c r="H478" t="s">
        <v>2788</v>
      </c>
      <c r="I478" t="s">
        <v>2786</v>
      </c>
      <c r="J478" t="e">
        <f>VLOOKUP(F478,[1]!china_towns_second__2[[Column1]:[Y]],3,FALSE)</f>
        <v>#N/A</v>
      </c>
      <c r="K478" t="e">
        <f>VLOOKUP(F478,[1]!china_towns_second__2[[Column1]:[Y]],2,FALSE)</f>
        <v>#N/A</v>
      </c>
      <c r="L478" t="s">
        <v>4037</v>
      </c>
      <c r="M478" t="str">
        <f>VLOOKUP(H478,CHOOSE({1,2},Table17[Native],Table17[Name]),2,0)</f>
        <v>Wéixī Lìsùzú Zìzhìxiàn</v>
      </c>
      <c r="N478" s="15" t="str">
        <f>VLOOKUP(I478,CHOOSE({1,2},Table17[Native],Table17[Name]),2,0)</f>
        <v>Díqìng Zàngzú Zìzhìzhōu</v>
      </c>
      <c r="O478" s="15" t="str">
        <f t="shared" si="14"/>
        <v>Kangpu Xiang (Díqìng Zàngzú Zìzhìzhōu)</v>
      </c>
      <c r="P478" s="15" t="str">
        <f t="shared" si="15"/>
        <v>Kangpu Xiang (Díqìng Zàngzú Zìzhìzhōu)</v>
      </c>
    </row>
    <row r="479" spans="1:16" hidden="1" x14ac:dyDescent="0.25">
      <c r="A479" t="s">
        <v>57</v>
      </c>
      <c r="B479" t="str">
        <f>IF(COUNTIF(A:A,A479)&gt;1,_xlfn.CONCAT(A479," (",N479,")"),A479)</f>
        <v>Kăsī Zhèn</v>
      </c>
      <c r="C479" t="str">
        <f>IF(COUNTIF(B:B,B479)&gt;1,_xlfn.CONCAT(A479," (",M479,")"),B479)</f>
        <v>Kăsī Zhèn</v>
      </c>
      <c r="D479" t="s">
        <v>58</v>
      </c>
      <c r="E479" t="s">
        <v>11</v>
      </c>
      <c r="F479" t="str">
        <f>_xlfn.CONCAT(D479,", ",H479,", ",I479,", ","云南省")</f>
        <v>卡斯镇, 昌宁县, 保山市, 云南省</v>
      </c>
      <c r="G479">
        <v>38416</v>
      </c>
      <c r="H479" t="s">
        <v>2741</v>
      </c>
      <c r="I479" t="s">
        <v>2739</v>
      </c>
      <c r="J479">
        <f>VLOOKUP(F479,[1]!china_towns_second__2[[Column1]:[Y]],3,FALSE)</f>
        <v>24.8012406174056</v>
      </c>
      <c r="K479">
        <f>VLOOKUP(F479,[1]!china_towns_second__2[[Column1]:[Y]],2,FALSE)</f>
        <v>99.379824659999997</v>
      </c>
      <c r="L479" t="s">
        <v>4038</v>
      </c>
      <c r="M479" t="str">
        <f>VLOOKUP(H479,CHOOSE({1,2},Table17[Native],Table17[Name]),2,0)</f>
        <v>Chāngníng Xiàn</v>
      </c>
      <c r="N479" s="15" t="str">
        <f>VLOOKUP(I479,CHOOSE({1,2},Table17[Native],Table17[Name]),2,0)</f>
        <v>Băoshān Shì</v>
      </c>
      <c r="O479" s="15" t="str">
        <f t="shared" si="14"/>
        <v>Kasi Zhen (Băoshān Shì)</v>
      </c>
      <c r="P479" s="15" t="str">
        <f t="shared" si="15"/>
        <v>Kasi Zhen (Băoshān Shì)</v>
      </c>
    </row>
    <row r="480" spans="1:16" hidden="1" x14ac:dyDescent="0.25">
      <c r="A480" t="s">
        <v>1140</v>
      </c>
      <c r="B480" t="str">
        <f>IF(COUNTIF(A:A,A480)&gt;1,_xlfn.CONCAT(A480," (",N480,")"),A480)</f>
        <v>Kēdù Zhèn</v>
      </c>
      <c r="C480" t="str">
        <f>IF(COUNTIF(B:B,B480)&gt;1,_xlfn.CONCAT(A480," (",M480,")"),B480)</f>
        <v>Kēdù Zhèn</v>
      </c>
      <c r="D480" t="s">
        <v>1141</v>
      </c>
      <c r="E480" t="s">
        <v>11</v>
      </c>
      <c r="F480" t="str">
        <f>_xlfn.CONCAT(D480,", ",H480,", ",I480,", ","云南省")</f>
        <v>柯渡镇, 寻甸回族彝族自治县, 昆明市, 云南省</v>
      </c>
      <c r="G480">
        <v>24054</v>
      </c>
      <c r="H480" t="s">
        <v>2820</v>
      </c>
      <c r="I480" t="s">
        <v>2807</v>
      </c>
      <c r="J480">
        <f>VLOOKUP(F480,[1]!china_towns_second__2[[Column1]:[Y]],3,FALSE)</f>
        <v>25.5243678879011</v>
      </c>
      <c r="K480">
        <f>VLOOKUP(F480,[1]!china_towns_second__2[[Column1]:[Y]],2,FALSE)</f>
        <v>102.85067359999999</v>
      </c>
      <c r="L480" t="s">
        <v>4039</v>
      </c>
      <c r="M480" t="str">
        <f>VLOOKUP(H480,CHOOSE({1,2},Table17[Native],Table17[Name]),2,0)</f>
        <v>Xúndiàn Huízú Yízú Zìzhìxiàn</v>
      </c>
      <c r="N480" s="15" t="str">
        <f>VLOOKUP(I480,CHOOSE({1,2},Table17[Native],Table17[Name]),2,0)</f>
        <v>Kūnmíng Shì</v>
      </c>
      <c r="O480" s="15" t="str">
        <f t="shared" si="14"/>
        <v>Kedu Zhen (Kūnmíng Shì)</v>
      </c>
      <c r="P480" s="15" t="str">
        <f t="shared" si="15"/>
        <v>Kedu Zhen (Kūnmíng Shì)</v>
      </c>
    </row>
    <row r="481" spans="1:16" hidden="1" x14ac:dyDescent="0.25">
      <c r="A481" t="s">
        <v>59</v>
      </c>
      <c r="B481" t="str">
        <f>IF(COUNTIF(A:A,A481)&gt;1,_xlfn.CONCAT(A481," (",N481,")"),A481)</f>
        <v>Kējiē Zhèn</v>
      </c>
      <c r="C481" t="str">
        <f>IF(COUNTIF(B:B,B481)&gt;1,_xlfn.CONCAT(A481," (",M481,")"),B481)</f>
        <v>Kējiē Zhèn</v>
      </c>
      <c r="D481" t="s">
        <v>60</v>
      </c>
      <c r="E481" t="s">
        <v>11</v>
      </c>
      <c r="F481" t="str">
        <f>_xlfn.CONCAT(D481,", ",H481,", ",I481,", ","云南省")</f>
        <v>柯街镇, 昌宁县, 保山市, 云南省</v>
      </c>
      <c r="G481">
        <v>30107</v>
      </c>
      <c r="H481" t="s">
        <v>2741</v>
      </c>
      <c r="I481" t="s">
        <v>2739</v>
      </c>
      <c r="J481">
        <f>VLOOKUP(F481,[1]!china_towns_second__2[[Column1]:[Y]],3,FALSE)</f>
        <v>24.8925007355285</v>
      </c>
      <c r="K481">
        <f>VLOOKUP(F481,[1]!china_towns_second__2[[Column1]:[Y]],2,FALSE)</f>
        <v>99.464183500000004</v>
      </c>
      <c r="L481" t="s">
        <v>4040</v>
      </c>
      <c r="M481" t="str">
        <f>VLOOKUP(H481,CHOOSE({1,2},Table17[Native],Table17[Name]),2,0)</f>
        <v>Chāngníng Xiàn</v>
      </c>
      <c r="N481" s="15" t="str">
        <f>VLOOKUP(I481,CHOOSE({1,2},Table17[Native],Table17[Name]),2,0)</f>
        <v>Băoshān Shì</v>
      </c>
      <c r="O481" s="15" t="str">
        <f t="shared" si="14"/>
        <v>Kejie Zhen (Băoshān Shì)</v>
      </c>
      <c r="P481" s="15" t="str">
        <f t="shared" si="15"/>
        <v>Kejie Zhen (Băoshān Shì)</v>
      </c>
    </row>
    <row r="482" spans="1:16" hidden="1" x14ac:dyDescent="0.25">
      <c r="A482" t="s">
        <v>248</v>
      </c>
      <c r="B482" t="str">
        <f>IF(COUNTIF(A:A,A482)&gt;1,_xlfn.CONCAT(A482," (",N482,")"),A482)</f>
        <v>Kŏnglóngshān Zhèn</v>
      </c>
      <c r="C482" t="str">
        <f>IF(COUNTIF(B:B,B482)&gt;1,_xlfn.CONCAT(A482," (",M482,")"),B482)</f>
        <v>Kŏnglóngshān Zhèn</v>
      </c>
      <c r="D482" t="s">
        <v>249</v>
      </c>
      <c r="E482" t="s">
        <v>11</v>
      </c>
      <c r="F482" t="str">
        <f>_xlfn.CONCAT(D482,", ",H482,", ",I482,", ","云南省")</f>
        <v>恐龙山镇, 禄丰县, 楚雄彝族自治州, 云南省</v>
      </c>
      <c r="G482">
        <v>17103</v>
      </c>
      <c r="H482" t="s">
        <v>2753</v>
      </c>
      <c r="I482" t="s">
        <v>2750</v>
      </c>
      <c r="J482">
        <f>VLOOKUP(F482,[1]!china_towns_second__2[[Column1]:[Y]],3,FALSE)</f>
        <v>24.9464293313764</v>
      </c>
      <c r="K482">
        <f>VLOOKUP(F482,[1]!china_towns_second__2[[Column1]:[Y]],2,FALSE)</f>
        <v>102.0258108</v>
      </c>
      <c r="L482" t="s">
        <v>4041</v>
      </c>
      <c r="M482" t="str">
        <f>VLOOKUP(H482,CHOOSE({1,2},Table17[Native],Table17[Name]),2,0)</f>
        <v>Lùfēng Xiàn</v>
      </c>
      <c r="N482" s="15" t="str">
        <f>VLOOKUP(I482,CHOOSE({1,2},Table17[Native],Table17[Name]),2,0)</f>
        <v>Chŭxióng Yízú Zìzhìzhōu</v>
      </c>
      <c r="O482" s="15" t="str">
        <f t="shared" si="14"/>
        <v>Konglongshan Zhen (Chŭxióng Yízú Zìzhìzhōu)</v>
      </c>
      <c r="P482" s="15" t="str">
        <f t="shared" si="15"/>
        <v>Konglongshan Zhen (Chŭxióng Yízú Zìzhìzhōu)</v>
      </c>
    </row>
    <row r="483" spans="1:16" hidden="1" x14ac:dyDescent="0.25">
      <c r="A483" t="s">
        <v>1933</v>
      </c>
      <c r="B483" t="str">
        <f>IF(COUNTIF(A:A,A483)&gt;1,_xlfn.CONCAT(A483," (",N483,")"),A483)</f>
        <v>Kuàngshān Zhèn</v>
      </c>
      <c r="C483" t="str">
        <f>IF(COUNTIF(B:B,B483)&gt;1,_xlfn.CONCAT(A483," (",M483,")"),B483)</f>
        <v>Kuàngshān Zhèn</v>
      </c>
      <c r="D483" t="s">
        <v>1934</v>
      </c>
      <c r="E483" t="s">
        <v>11</v>
      </c>
      <c r="F483" t="str">
        <f>_xlfn.CONCAT(D483,", ",H483,", ",I483,", ","云南省")</f>
        <v>矿山镇, 会泽县, 曲靖市, 云南省</v>
      </c>
      <c r="G483">
        <v>23559</v>
      </c>
      <c r="H483" t="s">
        <v>2862</v>
      </c>
      <c r="I483" t="s">
        <v>2860</v>
      </c>
      <c r="J483">
        <f>VLOOKUP(F483,[1]!china_towns_second__2[[Column1]:[Y]],3,FALSE)</f>
        <v>26.666595149837999</v>
      </c>
      <c r="K483">
        <f>VLOOKUP(F483,[1]!china_towns_second__2[[Column1]:[Y]],2,FALSE)</f>
        <v>103.6900789</v>
      </c>
      <c r="L483" t="s">
        <v>4042</v>
      </c>
      <c r="M483" t="str">
        <f>VLOOKUP(H483,CHOOSE({1,2},Table17[Native],Table17[Name]),2,0)</f>
        <v>Huìzé Xiàn</v>
      </c>
      <c r="N483" s="15" t="str">
        <f>VLOOKUP(I483,CHOOSE({1,2},Table17[Native],Table17[Name]),2,0)</f>
        <v>Qŭjìng Shì</v>
      </c>
      <c r="O483" s="15" t="str">
        <f t="shared" si="14"/>
        <v>Kuangshan Zhen (Qŭjìng Shì)</v>
      </c>
      <c r="P483" s="15" t="str">
        <f t="shared" si="15"/>
        <v>Kuangshan Zhen (Qŭjìng Shì)</v>
      </c>
    </row>
    <row r="484" spans="1:16" hidden="1" x14ac:dyDescent="0.25">
      <c r="A484" t="s">
        <v>1142</v>
      </c>
      <c r="B484" t="str">
        <f>IF(COUNTIF(A:A,A484)&gt;1,_xlfn.CONCAT(A484," (",N484,")"),A484)</f>
        <v>Kuāngyuăn Jiēdào [incl. Nányáng Jiēdào]</v>
      </c>
      <c r="C484" t="str">
        <f>IF(COUNTIF(B:B,B484)&gt;1,_xlfn.CONCAT(A484," (",M484,")"),B484)</f>
        <v>Kuāngyuăn Jiēdào [incl. Nányáng Jiēdào]</v>
      </c>
      <c r="D484" t="s">
        <v>1143</v>
      </c>
      <c r="E484" t="s">
        <v>42</v>
      </c>
      <c r="F484" t="str">
        <f>_xlfn.CONCAT(D484,", ",H484,", ",I484,", ","云南省")</f>
        <v>匡远街道, 宜良县, 昆明市, 云南省</v>
      </c>
      <c r="G484">
        <v>164929</v>
      </c>
      <c r="H484" t="s">
        <v>2821</v>
      </c>
      <c r="I484" t="s">
        <v>2807</v>
      </c>
      <c r="J484">
        <f>VLOOKUP(F484,[1]!china_towns_second__2[[Column1]:[Y]],3,FALSE)</f>
        <v>24.896277345064501</v>
      </c>
      <c r="K484">
        <f>VLOOKUP(F484,[1]!china_towns_second__2[[Column1]:[Y]],2,FALSE)</f>
        <v>103.1431845</v>
      </c>
      <c r="L484" t="s">
        <v>4043</v>
      </c>
      <c r="M484" t="str">
        <f>VLOOKUP(H484,CHOOSE({1,2},Table17[Native],Table17[Name]),2,0)</f>
        <v>Yíliáng Xiàn</v>
      </c>
      <c r="N484" s="15" t="str">
        <f>VLOOKUP(I484,CHOOSE({1,2},Table17[Native],Table17[Name]),2,0)</f>
        <v>Kūnmíng Shì</v>
      </c>
      <c r="O484" s="15" t="str">
        <f t="shared" si="14"/>
        <v>Kuangyuan Jiedao [incl. Nanyang Jiedao] (Kūnmíng Shì)</v>
      </c>
      <c r="P484" s="15" t="str">
        <f t="shared" si="15"/>
        <v>Kuangyuan Jiedao [incl. Nanyang Jiedao] (Kūnmíng Shì)</v>
      </c>
    </row>
    <row r="485" spans="1:16" hidden="1" x14ac:dyDescent="0.25">
      <c r="A485" t="s">
        <v>1144</v>
      </c>
      <c r="B485" t="str">
        <f>IF(COUNTIF(A:A,A485)&gt;1,_xlfn.CONCAT(A485," (",N485,")"),A485)</f>
        <v>Kuănzhuāng Zhèn</v>
      </c>
      <c r="C485" t="str">
        <f>IF(COUNTIF(B:B,B485)&gt;1,_xlfn.CONCAT(A485," (",M485,")"),B485)</f>
        <v>Kuănzhuāng Zhèn</v>
      </c>
      <c r="D485" t="s">
        <v>1145</v>
      </c>
      <c r="E485" t="s">
        <v>11</v>
      </c>
      <c r="F485" t="str">
        <f>_xlfn.CONCAT(D485,", ",H485,", ",I485,", ","云南省")</f>
        <v>款庄镇, 富民县, 昆明市, 云南省</v>
      </c>
      <c r="G485">
        <v>21102</v>
      </c>
      <c r="H485" t="s">
        <v>2811</v>
      </c>
      <c r="I485" t="s">
        <v>2807</v>
      </c>
      <c r="J485">
        <f>VLOOKUP(F485,[1]!china_towns_second__2[[Column1]:[Y]],3,FALSE)</f>
        <v>25.4530536753212</v>
      </c>
      <c r="K485">
        <f>VLOOKUP(F485,[1]!china_towns_second__2[[Column1]:[Y]],2,FALSE)</f>
        <v>102.6677287</v>
      </c>
      <c r="L485" t="s">
        <v>4044</v>
      </c>
      <c r="M485" t="str">
        <f>VLOOKUP(H485,CHOOSE({1,2},Table17[Native],Table17[Name]),2,0)</f>
        <v>Fùmín Xiàn</v>
      </c>
      <c r="N485" s="15" t="str">
        <f>VLOOKUP(I485,CHOOSE({1,2},Table17[Native],Table17[Name]),2,0)</f>
        <v>Kūnmíng Shì</v>
      </c>
      <c r="O485" s="15" t="str">
        <f t="shared" si="14"/>
        <v>Kuanzhuang Zhen (Kūnmíng Shì)</v>
      </c>
      <c r="P485" s="15" t="str">
        <f t="shared" si="15"/>
        <v>Kuanzhuang Zhen (Kūnmíng Shì)</v>
      </c>
    </row>
    <row r="486" spans="1:16" hidden="1" x14ac:dyDescent="0.25">
      <c r="A486" t="s">
        <v>1935</v>
      </c>
      <c r="B486" t="str">
        <f>IF(COUNTIF(A:A,A486)&gt;1,_xlfn.CONCAT(A486," (",N486,")"),A486)</f>
        <v>Kuíshān Zhèn</v>
      </c>
      <c r="C486" t="str">
        <f>IF(COUNTIF(B:B,B486)&gt;1,_xlfn.CONCAT(A486," (",M486,")"),B486)</f>
        <v>Kuíshān Zhèn</v>
      </c>
      <c r="D486" t="s">
        <v>1936</v>
      </c>
      <c r="E486" t="s">
        <v>11</v>
      </c>
      <c r="F486" t="str">
        <f>_xlfn.CONCAT(D486,", ",H486,", ",I486,", ","云南省")</f>
        <v>葵山镇, 师宗县, 曲靖市, 云南省</v>
      </c>
      <c r="G486">
        <v>36632</v>
      </c>
      <c r="H486" t="s">
        <v>2867</v>
      </c>
      <c r="I486" t="s">
        <v>2860</v>
      </c>
      <c r="J486">
        <f>VLOOKUP(F486,[1]!china_towns_second__2[[Column1]:[Y]],3,FALSE)</f>
        <v>24.768834086434499</v>
      </c>
      <c r="K486">
        <f>VLOOKUP(F486,[1]!china_towns_second__2[[Column1]:[Y]],2,FALSE)</f>
        <v>103.810581</v>
      </c>
      <c r="L486" t="s">
        <v>4045</v>
      </c>
      <c r="M486" t="str">
        <f>VLOOKUP(H486,CHOOSE({1,2},Table17[Native],Table17[Name]),2,0)</f>
        <v>Shīzōng Xiàn</v>
      </c>
      <c r="N486" s="15" t="str">
        <f>VLOOKUP(I486,CHOOSE({1,2},Table17[Native],Table17[Name]),2,0)</f>
        <v>Qŭjìng Shì</v>
      </c>
      <c r="O486" s="15" t="str">
        <f t="shared" si="14"/>
        <v>Kuishan Zhen (Qŭjìng Shì)</v>
      </c>
      <c r="P486" s="15" t="str">
        <f t="shared" si="15"/>
        <v>Kuishan Zhen (Qŭjìng Shì)</v>
      </c>
    </row>
    <row r="487" spans="1:16" hidden="1" x14ac:dyDescent="0.25">
      <c r="A487" t="s">
        <v>2540</v>
      </c>
      <c r="B487" t="str">
        <f>IF(COUNTIF(A:A,A487)&gt;1,_xlfn.CONCAT(A487," (",N487,")"),A487)</f>
        <v>Kuíxiāng Miáozú Yízú Xiāng</v>
      </c>
      <c r="C487" t="str">
        <f>IF(COUNTIF(B:B,B487)&gt;1,_xlfn.CONCAT(A487," (",M487,")"),B487)</f>
        <v>Kuíxiāng Miáozú Yízú Xiāng</v>
      </c>
      <c r="D487" t="s">
        <v>2541</v>
      </c>
      <c r="E487" t="s">
        <v>7</v>
      </c>
      <c r="F487" t="str">
        <f>_xlfn.CONCAT(D487,", ",H487,", ",I487,", ","云南省")</f>
        <v>奎香苗族彝族乡, 宜良县, 昆明市, 云南省</v>
      </c>
      <c r="G487">
        <v>45399</v>
      </c>
      <c r="H487" t="s">
        <v>2821</v>
      </c>
      <c r="I487" t="s">
        <v>2807</v>
      </c>
      <c r="J487" t="e">
        <f>VLOOKUP(F487,[1]!china_towns_second__2[[Column1]:[Y]],3,FALSE)</f>
        <v>#N/A</v>
      </c>
      <c r="K487" t="e">
        <f>VLOOKUP(F487,[1]!china_towns_second__2[[Column1]:[Y]],2,FALSE)</f>
        <v>#N/A</v>
      </c>
      <c r="L487" t="s">
        <v>4046</v>
      </c>
      <c r="M487" t="str">
        <f>VLOOKUP(H487,CHOOSE({1,2},Table17[Native],Table17[Name]),2,0)</f>
        <v>Yíliáng Xiàn</v>
      </c>
      <c r="N487" s="15" t="str">
        <f>VLOOKUP(I487,CHOOSE({1,2},Table17[Native],Table17[Name]),2,0)</f>
        <v>Kūnmíng Shì</v>
      </c>
      <c r="O487" s="15" t="str">
        <f t="shared" si="14"/>
        <v>Kuixiang Miaozu Yizu Xiang (Kūnmíng Shì)</v>
      </c>
      <c r="P487" s="15" t="str">
        <f t="shared" si="15"/>
        <v>Kuixiang Miaozu Yizu Xiang (Kūnmíng Shì)</v>
      </c>
    </row>
    <row r="488" spans="1:16" hidden="1" x14ac:dyDescent="0.25">
      <c r="A488" t="s">
        <v>1146</v>
      </c>
      <c r="B488" t="str">
        <f>IF(COUNTIF(A:A,A488)&gt;1,_xlfn.CONCAT(A488," (",N488,")"),A488)</f>
        <v>Kūnmíng Guójiā Gāoxīn Jìshù Chănyè Kāifāqū</v>
      </c>
      <c r="C488" t="str">
        <f>IF(COUNTIF(B:B,B488)&gt;1,_xlfn.CONCAT(A488," (",M488,")"),B488)</f>
        <v>Kūnmíng Guójiā Gāoxīn Jìshù Chănyè Kāifāqū</v>
      </c>
      <c r="D488" t="s">
        <v>1147</v>
      </c>
      <c r="E488" t="s">
        <v>380</v>
      </c>
      <c r="F488" t="str">
        <f>_xlfn.CONCAT(D488,", ",H488,", ",I488,", ","云南省")</f>
        <v>昆明国家高新技术产业开发区, 五华区, 昆明市, 云南省</v>
      </c>
      <c r="G488">
        <v>85759</v>
      </c>
      <c r="H488" t="s">
        <v>2818</v>
      </c>
      <c r="I488" t="s">
        <v>2807</v>
      </c>
      <c r="J488">
        <f>VLOOKUP(F488,[1]!china_towns_second__2[[Column1]:[Y]],3,FALSE)</f>
        <v>25.067468569366302</v>
      </c>
      <c r="K488">
        <f>VLOOKUP(F488,[1]!china_towns_second__2[[Column1]:[Y]],2,FALSE)</f>
        <v>102.65856340000001</v>
      </c>
      <c r="L488" t="s">
        <v>4047</v>
      </c>
      <c r="M488" t="str">
        <f>VLOOKUP(H488,CHOOSE({1,2},Table17[Native],Table17[Name]),2,0)</f>
        <v>Wŭhuá Qū</v>
      </c>
      <c r="N488" s="15" t="str">
        <f>VLOOKUP(I488,CHOOSE({1,2},Table17[Native],Table17[Name]),2,0)</f>
        <v>Kūnmíng Shì</v>
      </c>
      <c r="O488" s="15" t="str">
        <f t="shared" si="14"/>
        <v>Kunming Guojia Gaoxin Jishu Chanye Kaifaqu (Kūnmíng Shì)</v>
      </c>
      <c r="P488" s="15" t="str">
        <f t="shared" si="15"/>
        <v>Kunming Guojia Gaoxin Jishu Chanye Kaifaqu (Kūnmíng Shì)</v>
      </c>
    </row>
    <row r="489" spans="1:16" hidden="1" x14ac:dyDescent="0.25">
      <c r="A489" t="s">
        <v>1148</v>
      </c>
      <c r="B489" t="str">
        <f>IF(COUNTIF(A:A,A489)&gt;1,_xlfn.CONCAT(A489," (",N489,")"),A489)</f>
        <v>Kūnmíng Jīngjì Jìshù Kāifāqū</v>
      </c>
      <c r="C489" t="str">
        <f>IF(COUNTIF(B:B,B489)&gt;1,_xlfn.CONCAT(A489," (",M489,")"),B489)</f>
        <v>Kūnmíng Jīngjì Jìshù Kāifāqū</v>
      </c>
      <c r="D489" t="s">
        <v>1149</v>
      </c>
      <c r="E489" t="s">
        <v>380</v>
      </c>
      <c r="F489" t="str">
        <f>_xlfn.CONCAT(D489,", ",H489,", ",I489,", ","云南省")</f>
        <v>昆明经济技术开发区, 官渡区, 昆明市, 云南省</v>
      </c>
      <c r="G489">
        <v>38723</v>
      </c>
      <c r="H489" t="s">
        <v>2812</v>
      </c>
      <c r="I489" t="s">
        <v>2807</v>
      </c>
      <c r="J489">
        <f>VLOOKUP(F489,[1]!china_towns_second__2[[Column1]:[Y]],3,FALSE)</f>
        <v>24.976740413286301</v>
      </c>
      <c r="K489">
        <f>VLOOKUP(F489,[1]!china_towns_second__2[[Column1]:[Y]],2,FALSE)</f>
        <v>102.795798</v>
      </c>
      <c r="L489" t="s">
        <v>4048</v>
      </c>
      <c r="M489" t="str">
        <f>VLOOKUP(H489,CHOOSE({1,2},Table17[Native],Table17[Name]),2,0)</f>
        <v>Guāndù Qū</v>
      </c>
      <c r="N489" s="15" t="str">
        <f>VLOOKUP(I489,CHOOSE({1,2},Table17[Native],Table17[Name]),2,0)</f>
        <v>Kūnmíng Shì</v>
      </c>
      <c r="O489" s="15" t="str">
        <f t="shared" si="14"/>
        <v>Kunming Jingji Jishu Kaifaqu (Kūnmíng Shì)</v>
      </c>
      <c r="P489" s="15" t="str">
        <f t="shared" si="15"/>
        <v>Kunming Jingji Jishu Kaifaqu (Kūnmíng Shì)</v>
      </c>
    </row>
    <row r="490" spans="1:16" hidden="1" x14ac:dyDescent="0.25">
      <c r="A490" t="s">
        <v>1150</v>
      </c>
      <c r="B490" t="str">
        <f>IF(COUNTIF(A:A,A490)&gt;1,_xlfn.CONCAT(A490," (",N490,")"),A490)</f>
        <v>Kūnmíng Liānchíguójiā Lǚyóu Dùjiăqū</v>
      </c>
      <c r="C490" t="str">
        <f>IF(COUNTIF(B:B,B490)&gt;1,_xlfn.CONCAT(A490," (",M490,")"),B490)</f>
        <v>Kūnmíng Liānchíguójiā Lǚyóu Dùjiăqū</v>
      </c>
      <c r="D490" t="s">
        <v>1151</v>
      </c>
      <c r="E490" t="s">
        <v>380</v>
      </c>
      <c r="F490" t="str">
        <f>_xlfn.CONCAT(D490,", ",H490,", ",I490,", ","云南省")</f>
        <v>昆明滇池国家旅游度假区, 西山区, 昆明市, 云南省</v>
      </c>
      <c r="G490">
        <v>57419</v>
      </c>
      <c r="H490" t="s">
        <v>2819</v>
      </c>
      <c r="I490" t="s">
        <v>2807</v>
      </c>
      <c r="J490">
        <f>VLOOKUP(F490,[1]!china_towns_second__2[[Column1]:[Y]],3,FALSE)</f>
        <v>24.9722425273598</v>
      </c>
      <c r="K490">
        <f>VLOOKUP(F490,[1]!china_towns_second__2[[Column1]:[Y]],2,FALSE)</f>
        <v>102.6724791</v>
      </c>
      <c r="L490" t="s">
        <v>4049</v>
      </c>
      <c r="M490" t="str">
        <f>VLOOKUP(H490,CHOOSE({1,2},Table17[Native],Table17[Name]),2,0)</f>
        <v>Xīshān Qū</v>
      </c>
      <c r="N490" s="15" t="str">
        <f>VLOOKUP(I490,CHOOSE({1,2},Table17[Native],Table17[Name]),2,0)</f>
        <v>Kūnmíng Shì</v>
      </c>
      <c r="O490" s="15" t="str">
        <f t="shared" si="14"/>
        <v>Kunming Lianchiguojia Luyou Dujiaqu (Kūnmíng Shì)</v>
      </c>
      <c r="P490" s="15" t="str">
        <f t="shared" si="15"/>
        <v>Kunming Lianchiguojia Luyou Dujiaqu (Kūnmíng Shì)</v>
      </c>
    </row>
    <row r="491" spans="1:16" hidden="1" x14ac:dyDescent="0.25">
      <c r="A491" t="s">
        <v>1152</v>
      </c>
      <c r="B491" t="str">
        <f>IF(COUNTIF(A:A,A491)&gt;1,_xlfn.CONCAT(A491," (",N491,")"),A491)</f>
        <v>Kūnyáng Jiēdào [incl. Bǎofēng Jiēdào]</v>
      </c>
      <c r="C491" t="str">
        <f>IF(COUNTIF(B:B,B491)&gt;1,_xlfn.CONCAT(A491," (",M491,")"),B491)</f>
        <v>Kūnyáng Jiēdào [incl. Bǎofēng Jiēdào]</v>
      </c>
      <c r="D491" t="s">
        <v>1153</v>
      </c>
      <c r="E491" t="s">
        <v>42</v>
      </c>
      <c r="F491" t="str">
        <f>_xlfn.CONCAT(D491,", ",H491,", ",I491,", ","云南省")</f>
        <v>昆阳街道, 晋宁区, 昆明市, 云南省</v>
      </c>
      <c r="G491">
        <v>111142</v>
      </c>
      <c r="H491" t="s">
        <v>2813</v>
      </c>
      <c r="I491" t="s">
        <v>2807</v>
      </c>
      <c r="J491">
        <f>VLOOKUP(F491,[1]!china_towns_second__2[[Column1]:[Y]],3,FALSE)</f>
        <v>24.630940053154301</v>
      </c>
      <c r="K491">
        <f>VLOOKUP(F491,[1]!china_towns_second__2[[Column1]:[Y]],2,FALSE)</f>
        <v>102.5829967</v>
      </c>
      <c r="L491" t="s">
        <v>4050</v>
      </c>
      <c r="M491" t="str">
        <f>VLOOKUP(H491,CHOOSE({1,2},Table17[Native],Table17[Name]),2,0)</f>
        <v>Jìnníng Qū</v>
      </c>
      <c r="N491" s="15" t="str">
        <f>VLOOKUP(I491,CHOOSE({1,2},Table17[Native],Table17[Name]),2,0)</f>
        <v>Kūnmíng Shì</v>
      </c>
      <c r="O491" s="15" t="str">
        <f t="shared" si="14"/>
        <v>Kunyang Jiedao [incl. Baofeng Jiedao] (Kūnmíng Shì)</v>
      </c>
      <c r="P491" s="15" t="str">
        <f t="shared" si="15"/>
        <v>Kunyang Jiedao [incl. Baofeng Jiedao] (Kūnmíng Shì)</v>
      </c>
    </row>
    <row r="492" spans="1:16" hidden="1" x14ac:dyDescent="0.25">
      <c r="A492" t="s">
        <v>1719</v>
      </c>
      <c r="B492" t="str">
        <f>IF(COUNTIF(A:A,A492)&gt;1,_xlfn.CONCAT(A492," (",N492,")"),A492)</f>
        <v>Lābā Xiāng</v>
      </c>
      <c r="C492" t="str">
        <f>IF(COUNTIF(B:B,B492)&gt;1,_xlfn.CONCAT(A492," (",M492,")"),B492)</f>
        <v>Lābā Xiāng</v>
      </c>
      <c r="D492" t="s">
        <v>1720</v>
      </c>
      <c r="E492" t="s">
        <v>7</v>
      </c>
      <c r="F492" t="str">
        <f>_xlfn.CONCAT(D492,", ",H492,", ",I492,", ","云南省")</f>
        <v>拉巴乡, 澜沧拉祜族自治县, 普洱市, 云南省</v>
      </c>
      <c r="G492">
        <v>14636</v>
      </c>
      <c r="H492" t="s">
        <v>2852</v>
      </c>
      <c r="I492" t="s">
        <v>2848</v>
      </c>
      <c r="J492" t="e">
        <f>VLOOKUP(F492,[1]!china_towns_second__2[[Column1]:[Y]],3,FALSE)</f>
        <v>#N/A</v>
      </c>
      <c r="K492" t="e">
        <f>VLOOKUP(F492,[1]!china_towns_second__2[[Column1]:[Y]],2,FALSE)</f>
        <v>#N/A</v>
      </c>
      <c r="L492" t="s">
        <v>4051</v>
      </c>
      <c r="M492" t="str">
        <f>VLOOKUP(H492,CHOOSE({1,2},Table17[Native],Table17[Name]),2,0)</f>
        <v>Láncāng Lāhùzú Zìzhìxiàn</v>
      </c>
      <c r="N492" s="15" t="str">
        <f>VLOOKUP(I492,CHOOSE({1,2},Table17[Native],Table17[Name]),2,0)</f>
        <v>Pŭ'ĕr Shì</v>
      </c>
      <c r="O492" s="15" t="str">
        <f t="shared" si="14"/>
        <v>Laba Xiang (Pŭ'ĕr Shì)</v>
      </c>
      <c r="P492" s="15" t="str">
        <f t="shared" si="15"/>
        <v>Laba Xiang (Pŭ'ĕr Shì)</v>
      </c>
    </row>
    <row r="493" spans="1:16" hidden="1" x14ac:dyDescent="0.25">
      <c r="A493" t="s">
        <v>1351</v>
      </c>
      <c r="B493" t="str">
        <f>IF(COUNTIF(A:A,A493)&gt;1,_xlfn.CONCAT(A493," (",N493,")"),A493)</f>
        <v>Lābó Xiāng</v>
      </c>
      <c r="C493" t="str">
        <f>IF(COUNTIF(B:B,B493)&gt;1,_xlfn.CONCAT(A493," (",M493,")"),B493)</f>
        <v>Lābó Xiāng</v>
      </c>
      <c r="D493" t="s">
        <v>1352</v>
      </c>
      <c r="E493" t="s">
        <v>7</v>
      </c>
      <c r="F493" t="str">
        <f>_xlfn.CONCAT(D493,", ",H493,", ",I493,", ","云南省")</f>
        <v>拉伯乡, 宁蒗彝族自治县, 丽江市, 云南省</v>
      </c>
      <c r="G493">
        <v>10124</v>
      </c>
      <c r="H493" t="s">
        <v>2827</v>
      </c>
      <c r="I493" t="s">
        <v>2823</v>
      </c>
      <c r="J493" t="e">
        <f>VLOOKUP(F493,[1]!china_towns_second__2[[Column1]:[Y]],3,FALSE)</f>
        <v>#N/A</v>
      </c>
      <c r="K493" t="e">
        <f>VLOOKUP(F493,[1]!china_towns_second__2[[Column1]:[Y]],2,FALSE)</f>
        <v>#N/A</v>
      </c>
      <c r="L493" t="s">
        <v>4052</v>
      </c>
      <c r="M493" t="str">
        <f>VLOOKUP(H493,CHOOSE({1,2},Table17[Native],Table17[Name]),2,0)</f>
        <v>Nínglàng Yízú Zìzhìxiàn</v>
      </c>
      <c r="N493" s="15" t="str">
        <f>VLOOKUP(I493,CHOOSE({1,2},Table17[Native],Table17[Name]),2,0)</f>
        <v>Lìjiāng Shì</v>
      </c>
      <c r="O493" s="15" t="str">
        <f t="shared" si="14"/>
        <v>Labo Xiang (Lìjiāng Shì)</v>
      </c>
      <c r="P493" s="15" t="str">
        <f t="shared" si="15"/>
        <v>Labo Xiang (Lìjiāng Shì)</v>
      </c>
    </row>
    <row r="494" spans="1:16" hidden="1" x14ac:dyDescent="0.25">
      <c r="A494" t="s">
        <v>1937</v>
      </c>
      <c r="B494" t="str">
        <f>IF(COUNTIF(A:A,A494)&gt;1,_xlfn.CONCAT(A494," (",N494,")"),A494)</f>
        <v>Láibīn Jiēdào [incl. Fènghuáng Jiēdào]</v>
      </c>
      <c r="C494" t="str">
        <f>IF(COUNTIF(B:B,B494)&gt;1,_xlfn.CONCAT(A494," (",M494,")"),B494)</f>
        <v>Láibīn Jiēdào [incl. Fènghuáng Jiēdào]</v>
      </c>
      <c r="D494" t="s">
        <v>1938</v>
      </c>
      <c r="E494" t="s">
        <v>42</v>
      </c>
      <c r="F494" t="str">
        <f>_xlfn.CONCAT(D494,", ",H494,", ",I494,", ","云南省")</f>
        <v>来宾街道, 宣威市, 曲靖市, 云南省</v>
      </c>
      <c r="G494">
        <v>69055</v>
      </c>
      <c r="H494" t="s">
        <v>2868</v>
      </c>
      <c r="I494" t="s">
        <v>2860</v>
      </c>
      <c r="J494" t="e">
        <f>VLOOKUP(F494,[1]!china_towns_second__2[[Column1]:[Y]],3,FALSE)</f>
        <v>#N/A</v>
      </c>
      <c r="K494" t="e">
        <f>VLOOKUP(F494,[1]!china_towns_second__2[[Column1]:[Y]],2,FALSE)</f>
        <v>#N/A</v>
      </c>
      <c r="L494" t="s">
        <v>4053</v>
      </c>
      <c r="M494" t="str">
        <f>VLOOKUP(H494,CHOOSE({1,2},Table17[Native],Table17[Name]),2,0)</f>
        <v>Xuānwēi Shì</v>
      </c>
      <c r="N494" s="15" t="str">
        <f>VLOOKUP(I494,CHOOSE({1,2},Table17[Native],Table17[Name]),2,0)</f>
        <v>Qŭjìng Shì</v>
      </c>
      <c r="O494" s="15" t="str">
        <f t="shared" si="14"/>
        <v>Laibin Jiedao [incl. Fenghuang Jiedao] (Qŭjìng Shì)</v>
      </c>
      <c r="P494" s="15" t="str">
        <f t="shared" si="15"/>
        <v>Laibin Jiedao [incl. Fenghuang Jiedao] (Qŭjìng Shì)</v>
      </c>
    </row>
    <row r="495" spans="1:16" hidden="1" x14ac:dyDescent="0.25">
      <c r="A495" t="s">
        <v>1611</v>
      </c>
      <c r="B495" t="str">
        <f>IF(COUNTIF(A:A,A495)&gt;1,_xlfn.CONCAT(A495," (",N495,")"),A495)</f>
        <v>Lajĭng Zhèn</v>
      </c>
      <c r="C495" t="str">
        <f>IF(COUNTIF(B:B,B495)&gt;1,_xlfn.CONCAT(A495," (",M495,")"),B495)</f>
        <v>Lajĭng Zhèn</v>
      </c>
      <c r="D495" t="s">
        <v>1612</v>
      </c>
      <c r="E495" t="s">
        <v>11</v>
      </c>
      <c r="F495" t="str">
        <f>_xlfn.CONCAT(D495,", ",H495,", ",I495,", ","云南省")</f>
        <v>啦井镇, 兰坪白族普米族自治县, 怒江傈僳族自治州, 云南省</v>
      </c>
      <c r="G495">
        <v>13899</v>
      </c>
      <c r="H495" t="s">
        <v>2845</v>
      </c>
      <c r="I495" t="s">
        <v>2842</v>
      </c>
      <c r="J495">
        <f>VLOOKUP(F495,[1]!china_towns_second__2[[Column1]:[Y]],3,FALSE)</f>
        <v>26.5090713405157</v>
      </c>
      <c r="K495">
        <f>VLOOKUP(F495,[1]!china_towns_second__2[[Column1]:[Y]],2,FALSE)</f>
        <v>99.2926796</v>
      </c>
      <c r="L495" t="s">
        <v>4054</v>
      </c>
      <c r="M495" t="str">
        <f>VLOOKUP(H495,CHOOSE({1,2},Table17[Native],Table17[Name]),2,0)</f>
        <v>Lánpíng Báizú Pŭmĭzú Zìzhìxiàn</v>
      </c>
      <c r="N495" s="15" t="str">
        <f>VLOOKUP(I495,CHOOSE({1,2},Table17[Native],Table17[Name]),2,0)</f>
        <v>Nùjiāng Lìsùzú Zìzhìzhōu</v>
      </c>
      <c r="O495" s="15" t="str">
        <f t="shared" si="14"/>
        <v>Lajing Zhen (Nùjiāng Lìsùzú Zìzhìzhōu)</v>
      </c>
      <c r="P495" s="15" t="str">
        <f t="shared" si="15"/>
        <v>Lajing Zhen (Nùjiāng Lìsùzú Zìzhìzhōu)</v>
      </c>
    </row>
    <row r="496" spans="1:16" hidden="1" x14ac:dyDescent="0.25">
      <c r="A496" t="s">
        <v>61</v>
      </c>
      <c r="B496" t="str">
        <f>IF(COUNTIF(A:A,A496)&gt;1,_xlfn.CONCAT(A496," (",N496,")"),A496)</f>
        <v>Làmĕng Zhèn</v>
      </c>
      <c r="C496" t="str">
        <f>IF(COUNTIF(B:B,B496)&gt;1,_xlfn.CONCAT(A496," (",M496,")"),B496)</f>
        <v>Làmĕng Zhèn</v>
      </c>
      <c r="D496" t="s">
        <v>62</v>
      </c>
      <c r="E496" t="s">
        <v>11</v>
      </c>
      <c r="F496" t="str">
        <f>_xlfn.CONCAT(D496,", ",H496,", ",I496,", ","云南省")</f>
        <v>腊勐镇, 龙陵县, 保山市, 云南省</v>
      </c>
      <c r="G496">
        <v>20201</v>
      </c>
      <c r="H496" t="s">
        <v>2742</v>
      </c>
      <c r="I496" t="s">
        <v>2739</v>
      </c>
      <c r="J496">
        <f>VLOOKUP(F496,[1]!china_towns_second__2[[Column1]:[Y]],3,FALSE)</f>
        <v>24.702128205466401</v>
      </c>
      <c r="K496">
        <f>VLOOKUP(F496,[1]!china_towns_second__2[[Column1]:[Y]],2,FALSE)</f>
        <v>98.954242100000002</v>
      </c>
      <c r="L496" t="s">
        <v>4055</v>
      </c>
      <c r="M496" t="str">
        <f>VLOOKUP(H496,CHOOSE({1,2},Table17[Native],Table17[Name]),2,0)</f>
        <v>Lónglíng Xiàn</v>
      </c>
      <c r="N496" s="15" t="str">
        <f>VLOOKUP(I496,CHOOSE({1,2},Table17[Native],Table17[Name]),2,0)</f>
        <v>Băoshān Shì</v>
      </c>
      <c r="O496" s="15" t="str">
        <f t="shared" si="14"/>
        <v>Lameng Zhen (Băoshān Shì)</v>
      </c>
      <c r="P496" s="15" t="str">
        <f t="shared" si="15"/>
        <v>Lameng Zhen (Băoshān Shì)</v>
      </c>
    </row>
    <row r="497" spans="1:16" hidden="1" x14ac:dyDescent="0.25">
      <c r="A497" t="s">
        <v>63</v>
      </c>
      <c r="B497" t="str">
        <f>IF(COUNTIF(A:A,A497)&gt;1,_xlfn.CONCAT(A497," (",N497,")"),A497)</f>
        <v>Lánchéng Jiēdào</v>
      </c>
      <c r="C497" t="str">
        <f>IF(COUNTIF(B:B,B497)&gt;1,_xlfn.CONCAT(A497," (",M497,")"),B497)</f>
        <v>Lánchéng Jiēdào</v>
      </c>
      <c r="D497" t="s">
        <v>64</v>
      </c>
      <c r="E497" t="s">
        <v>42</v>
      </c>
      <c r="F497" t="str">
        <f>_xlfn.CONCAT(D497,", ",H497,", ",I497,", ","云南省")</f>
        <v>兰城街道, 隆阳区, 保山市, 云南省</v>
      </c>
      <c r="G497">
        <v>90841</v>
      </c>
      <c r="H497" t="s">
        <v>2744</v>
      </c>
      <c r="I497" t="s">
        <v>2739</v>
      </c>
      <c r="J497">
        <f>VLOOKUP(F497,[1]!china_towns_second__2[[Column1]:[Y]],3,FALSE)</f>
        <v>25.099531170553998</v>
      </c>
      <c r="K497">
        <f>VLOOKUP(F497,[1]!china_towns_second__2[[Column1]:[Y]],2,FALSE)</f>
        <v>99.139210000000006</v>
      </c>
      <c r="L497" t="s">
        <v>4056</v>
      </c>
      <c r="M497" t="str">
        <f>VLOOKUP(H497,CHOOSE({1,2},Table17[Native],Table17[Name]),2,0)</f>
        <v>Lóngyáng Qū</v>
      </c>
      <c r="N497" s="15" t="str">
        <f>VLOOKUP(I497,CHOOSE({1,2},Table17[Native],Table17[Name]),2,0)</f>
        <v>Băoshān Shì</v>
      </c>
      <c r="O497" s="15" t="str">
        <f t="shared" si="14"/>
        <v>Lancheng Jiedao (Băoshān Shì)</v>
      </c>
      <c r="P497" s="15" t="str">
        <f t="shared" si="15"/>
        <v>Lancheng Jiedao (Băoshān Shì)</v>
      </c>
    </row>
    <row r="498" spans="1:16" hidden="1" x14ac:dyDescent="0.25">
      <c r="A498" t="s">
        <v>867</v>
      </c>
      <c r="B498" t="str">
        <f>IF(COUNTIF(A:A,A498)&gt;1,_xlfn.CONCAT(A498," (",N498,")"),A498)</f>
        <v>Làngdī Zhèn</v>
      </c>
      <c r="C498" t="str">
        <f>IF(COUNTIF(B:B,B498)&gt;1,_xlfn.CONCAT(A498," (",M498,")"),B498)</f>
        <v>Làngdī Zhèn</v>
      </c>
      <c r="D498" t="s">
        <v>868</v>
      </c>
      <c r="E498" t="s">
        <v>11</v>
      </c>
      <c r="F498" t="str">
        <f>_xlfn.CONCAT(D498,", ",H498,", ",I498,", ","云南省")</f>
        <v>浪堤镇, 红河县, 红河哈尼族彝族自治州, 云南省</v>
      </c>
      <c r="G498">
        <v>27859</v>
      </c>
      <c r="H498" t="s">
        <v>2795</v>
      </c>
      <c r="I498" t="s">
        <v>2792</v>
      </c>
      <c r="J498">
        <f>VLOOKUP(F498,[1]!china_towns_second__2[[Column1]:[Y]],3,FALSE)</f>
        <v>23.3137761774219</v>
      </c>
      <c r="K498">
        <f>VLOOKUP(F498,[1]!china_towns_second__2[[Column1]:[Y]],2,FALSE)</f>
        <v>102.23524740000001</v>
      </c>
      <c r="L498" t="s">
        <v>4057</v>
      </c>
      <c r="M498" t="str">
        <f>VLOOKUP(H498,CHOOSE({1,2},Table17[Native],Table17[Name]),2,0)</f>
        <v>Hónghé Xiàn</v>
      </c>
      <c r="N498" s="15" t="str">
        <f>VLOOKUP(I498,CHOOSE({1,2},Table17[Native],Table17[Name]),2,0)</f>
        <v>Hónghé Hānízú Yízú Zìzhìzhōu</v>
      </c>
      <c r="O498" s="15" t="str">
        <f t="shared" si="14"/>
        <v>Langdi Zhen (Hónghé Hānízú Yízú Zìzhìzhōu)</v>
      </c>
      <c r="P498" s="15" t="str">
        <f t="shared" si="15"/>
        <v>Langdi Zhen (Hónghé Hānízú Yízú Zìzhìzhōu)</v>
      </c>
    </row>
    <row r="499" spans="1:16" hidden="1" x14ac:dyDescent="0.25">
      <c r="A499" t="s">
        <v>1353</v>
      </c>
      <c r="B499" t="str">
        <f>IF(COUNTIF(A:A,A499)&gt;1,_xlfn.CONCAT(A499," (",N499,")"),A499)</f>
        <v>Lànníqìng Xiāng</v>
      </c>
      <c r="C499" t="str">
        <f>IF(COUNTIF(B:B,B499)&gt;1,_xlfn.CONCAT(A499," (",M499,")"),B499)</f>
        <v>Lànníqìng Xiāng</v>
      </c>
      <c r="D499" t="s">
        <v>1354</v>
      </c>
      <c r="E499" t="s">
        <v>7</v>
      </c>
      <c r="F499" t="str">
        <f>_xlfn.CONCAT(D499,", ",H499,", ",I499,", ","云南省")</f>
        <v>烂泥箐乡, 宁蒗彝族自治县, 丽江市, 云南省</v>
      </c>
      <c r="G499">
        <v>12184</v>
      </c>
      <c r="H499" t="s">
        <v>2827</v>
      </c>
      <c r="I499" t="s">
        <v>2823</v>
      </c>
      <c r="J499" t="e">
        <f>VLOOKUP(F499,[1]!china_towns_second__2[[Column1]:[Y]],3,FALSE)</f>
        <v>#N/A</v>
      </c>
      <c r="K499" t="e">
        <f>VLOOKUP(F499,[1]!china_towns_second__2[[Column1]:[Y]],2,FALSE)</f>
        <v>#N/A</v>
      </c>
      <c r="L499" t="s">
        <v>4058</v>
      </c>
      <c r="M499" t="str">
        <f>VLOOKUP(H499,CHOOSE({1,2},Table17[Native],Table17[Name]),2,0)</f>
        <v>Nínglàng Yízú Zìzhìxiàn</v>
      </c>
      <c r="N499" s="15" t="str">
        <f>VLOOKUP(I499,CHOOSE({1,2},Table17[Native],Table17[Name]),2,0)</f>
        <v>Lìjiāng Shì</v>
      </c>
      <c r="O499" s="15" t="str">
        <f t="shared" si="14"/>
        <v>Lanniqing Xiang (Lìjiāng Shì)</v>
      </c>
      <c r="P499" s="15" t="str">
        <f t="shared" si="15"/>
        <v>Lanniqing Xiang (Lìjiāng Shì)</v>
      </c>
    </row>
    <row r="500" spans="1:16" hidden="1" x14ac:dyDescent="0.25">
      <c r="A500" t="s">
        <v>1939</v>
      </c>
      <c r="B500" t="str">
        <f>IF(COUNTIF(A:A,A500)&gt;1,_xlfn.CONCAT(A500," (",N500,")"),A500)</f>
        <v>Lăochăng Xiāng (Qŭjìng Shì)</v>
      </c>
      <c r="C500" t="str">
        <f>IF(COUNTIF(B:B,B500)&gt;1,_xlfn.CONCAT(A500," (",M500,")"),B500)</f>
        <v>Lăochăng Xiāng (Luópíng Xiàn)</v>
      </c>
      <c r="D500" t="s">
        <v>1940</v>
      </c>
      <c r="E500" t="s">
        <v>7</v>
      </c>
      <c r="F500" t="str">
        <f>_xlfn.CONCAT(D500,", ",H500,", ",I500,", ","云南省")</f>
        <v>老厂乡, 罗平县, 曲靖市, 云南省</v>
      </c>
      <c r="G500">
        <v>33885</v>
      </c>
      <c r="H500" t="s">
        <v>2864</v>
      </c>
      <c r="I500" t="s">
        <v>2860</v>
      </c>
      <c r="J500" t="e">
        <f>VLOOKUP(F500,[1]!china_towns_second__2[[Column1]:[Y]],3,FALSE)</f>
        <v>#N/A</v>
      </c>
      <c r="K500" t="e">
        <f>VLOOKUP(F500,[1]!china_towns_second__2[[Column1]:[Y]],2,FALSE)</f>
        <v>#N/A</v>
      </c>
      <c r="L500" t="s">
        <v>4059</v>
      </c>
      <c r="M500" t="str">
        <f>VLOOKUP(H500,CHOOSE({1,2},Table17[Native],Table17[Name]),2,0)</f>
        <v>Luópíng Xiàn</v>
      </c>
      <c r="N500" s="15" t="str">
        <f>VLOOKUP(I500,CHOOSE({1,2},Table17[Native],Table17[Name]),2,0)</f>
        <v>Qŭjìng Shì</v>
      </c>
      <c r="O500" s="15" t="str">
        <f t="shared" si="14"/>
        <v>Laochang Xiang (Luoping Xian) (Qŭjìng Shì)</v>
      </c>
      <c r="P500" s="15" t="str">
        <f t="shared" si="15"/>
        <v>Laochang Xiang (Luoping Xian) (Qŭjìng Shì)</v>
      </c>
    </row>
    <row r="501" spans="1:16" hidden="1" x14ac:dyDescent="0.25">
      <c r="A501" t="s">
        <v>1939</v>
      </c>
      <c r="B501" t="str">
        <f>IF(COUNTIF(A:A,A501)&gt;1,_xlfn.CONCAT(A501," (",N501,")"),A501)</f>
        <v>Lăochăng Xiāng (Qŭjìng Shì)</v>
      </c>
      <c r="C501" t="str">
        <f>IF(COUNTIF(B:B,B501)&gt;1,_xlfn.CONCAT(A501," (",M501,")"),B501)</f>
        <v>Lăochăng Xiāng (Huìzé Xiàn)</v>
      </c>
      <c r="D501" t="s">
        <v>1940</v>
      </c>
      <c r="E501" t="s">
        <v>7</v>
      </c>
      <c r="F501" t="str">
        <f>_xlfn.CONCAT(D501,", ",H501,", ",I501,", ","云南省")</f>
        <v>老厂乡, 会泽县, 曲靖市, 云南省</v>
      </c>
      <c r="G501">
        <v>19925</v>
      </c>
      <c r="H501" t="s">
        <v>2862</v>
      </c>
      <c r="I501" t="s">
        <v>2860</v>
      </c>
      <c r="J501" t="e">
        <f>VLOOKUP(F501,[1]!china_towns_second__2[[Column1]:[Y]],3,FALSE)</f>
        <v>#N/A</v>
      </c>
      <c r="K501" t="e">
        <f>VLOOKUP(F501,[1]!china_towns_second__2[[Column1]:[Y]],2,FALSE)</f>
        <v>#N/A</v>
      </c>
      <c r="L501" t="s">
        <v>4060</v>
      </c>
      <c r="M501" t="str">
        <f>VLOOKUP(H501,CHOOSE({1,2},Table17[Native],Table17[Name]),2,0)</f>
        <v>Huìzé Xiàn</v>
      </c>
      <c r="N501" s="15" t="str">
        <f>VLOOKUP(I501,CHOOSE({1,2},Table17[Native],Table17[Name]),2,0)</f>
        <v>Qŭjìng Shì</v>
      </c>
      <c r="O501" s="15" t="str">
        <f t="shared" si="14"/>
        <v>Laochang Xiang (Huize Xian) (Qŭjìng Shì)</v>
      </c>
      <c r="P501" s="15" t="str">
        <f t="shared" si="15"/>
        <v>Laochang Xiang (Huize Xian) (Qŭjìng Shì)</v>
      </c>
    </row>
    <row r="502" spans="1:16" hidden="1" x14ac:dyDescent="0.25">
      <c r="A502" t="s">
        <v>1939</v>
      </c>
      <c r="B502" t="str">
        <f>IF(COUNTIF(A:A,A502)&gt;1,_xlfn.CONCAT(A502," (",N502,")"),A502)</f>
        <v>Lăochăng Xiāng (Yùxī Shì)</v>
      </c>
      <c r="C502" t="str">
        <f>IF(COUNTIF(B:B,B502)&gt;1,_xlfn.CONCAT(A502," (",M502,")"),B502)</f>
        <v>Lăochăng Xiāng (Yùxī Shì)</v>
      </c>
      <c r="D502" t="s">
        <v>1940</v>
      </c>
      <c r="E502" t="s">
        <v>7</v>
      </c>
      <c r="F502" t="str">
        <f>_xlfn.CONCAT(D502,", ",H502,", ",I502,", ","云南省")</f>
        <v>老厂乡, 新平彝族傣族自治县, 玉溪市, 云南省</v>
      </c>
      <c r="G502">
        <v>15488</v>
      </c>
      <c r="H502" t="s">
        <v>2895</v>
      </c>
      <c r="I502" t="s">
        <v>2888</v>
      </c>
      <c r="J502" t="e">
        <f>VLOOKUP(F502,[1]!china_towns_second__2[[Column1]:[Y]],3,FALSE)</f>
        <v>#N/A</v>
      </c>
      <c r="K502" t="e">
        <f>VLOOKUP(F502,[1]!china_towns_second__2[[Column1]:[Y]],2,FALSE)</f>
        <v>#N/A</v>
      </c>
      <c r="L502" t="s">
        <v>4061</v>
      </c>
      <c r="M502" t="str">
        <f>VLOOKUP(H502,CHOOSE({1,2},Table17[Native],Table17[Name]),2,0)</f>
        <v>Xīnpíng Yízú Dăizú Zìzhìxiàn</v>
      </c>
      <c r="N502" s="15" t="str">
        <f>VLOOKUP(I502,CHOOSE({1,2},Table17[Native],Table17[Name]),2,0)</f>
        <v>Yùxī Shì</v>
      </c>
      <c r="O502" s="15" t="str">
        <f t="shared" si="14"/>
        <v>Laochang Xiang (Yuxi Shi) (Yùxī Shì)</v>
      </c>
      <c r="P502" s="15" t="str">
        <f t="shared" si="15"/>
        <v>Laochang Xiang (Yuxi Shi) (Yùxī Shì)</v>
      </c>
    </row>
    <row r="503" spans="1:16" hidden="1" x14ac:dyDescent="0.25">
      <c r="A503" t="s">
        <v>869</v>
      </c>
      <c r="B503" t="str">
        <f>IF(COUNTIF(A:A,A503)&gt;1,_xlfn.CONCAT(A503," (",N503,")"),A503)</f>
        <v>Lăochăng Zhèn (Hónghé Hānízú Yízú Zìzhìzhōu)</v>
      </c>
      <c r="C503" t="str">
        <f>IF(COUNTIF(B:B,B503)&gt;1,_xlfn.CONCAT(A503," (",M503,")"),B503)</f>
        <v>Lăochăng Zhèn (Hónghé Hānízú Yízú Zìzhìzhōu)</v>
      </c>
      <c r="D503" t="s">
        <v>870</v>
      </c>
      <c r="E503" t="s">
        <v>11</v>
      </c>
      <c r="F503" t="str">
        <f>_xlfn.CONCAT(D503,", ",H503,", ",I503,", ","云南省")</f>
        <v>老厂镇, 个旧市, 红河哈尼族彝族自治州, 云南省</v>
      </c>
      <c r="G503">
        <v>21508</v>
      </c>
      <c r="H503" t="s">
        <v>2793</v>
      </c>
      <c r="I503" t="s">
        <v>2792</v>
      </c>
      <c r="J503">
        <f>VLOOKUP(F503,[1]!china_towns_second__2[[Column1]:[Y]],3,FALSE)</f>
        <v>23.305722141196998</v>
      </c>
      <c r="K503">
        <f>VLOOKUP(F503,[1]!china_towns_second__2[[Column1]:[Y]],2,FALSE)</f>
        <v>103.23367810000001</v>
      </c>
      <c r="L503" t="s">
        <v>4062</v>
      </c>
      <c r="M503" t="str">
        <f>VLOOKUP(H503,CHOOSE({1,2},Table17[Native],Table17[Name]),2,0)</f>
        <v>Gèjiù Shì</v>
      </c>
      <c r="N503" s="15" t="str">
        <f>VLOOKUP(I503,CHOOSE({1,2},Table17[Native],Table17[Name]),2,0)</f>
        <v>Hónghé Hānízú Yízú Zìzhìzhōu</v>
      </c>
      <c r="O503" s="15" t="str">
        <f t="shared" si="14"/>
        <v>Laochang Zhen (Honghe Hanizu Yizu Zizhizhou) (Hónghé Hānízú Yízú Zìzhìzhōu)</v>
      </c>
      <c r="P503" s="15" t="str">
        <f t="shared" si="15"/>
        <v>Laochang Zhen (Honghe Hanizu Yizu Zizhizhou) (Hónghé Hānízú Yízú Zìzhìzhōu)</v>
      </c>
    </row>
    <row r="504" spans="1:16" hidden="1" x14ac:dyDescent="0.25">
      <c r="A504" t="s">
        <v>869</v>
      </c>
      <c r="B504" t="str">
        <f>IF(COUNTIF(A:A,A504)&gt;1,_xlfn.CONCAT(A504," (",N504,")"),A504)</f>
        <v>Lăochăng Zhèn (Qŭjìng Shì)</v>
      </c>
      <c r="C504" t="str">
        <f>IF(COUNTIF(B:B,B504)&gt;1,_xlfn.CONCAT(A504," (",M504,")"),B504)</f>
        <v>Lăochăng Zhèn (Qŭjìng Shì)</v>
      </c>
      <c r="D504" t="s">
        <v>870</v>
      </c>
      <c r="E504" t="s">
        <v>11</v>
      </c>
      <c r="F504" t="str">
        <f>_xlfn.CONCAT(D504,", ",H504,", ",I504,", ","云南省")</f>
        <v>老厂镇, 富源县, 曲靖市, 云南省</v>
      </c>
      <c r="G504">
        <v>48533</v>
      </c>
      <c r="H504" t="s">
        <v>2861</v>
      </c>
      <c r="I504" t="s">
        <v>2860</v>
      </c>
      <c r="J504">
        <f>VLOOKUP(F504,[1]!china_towns_second__2[[Column1]:[Y]],3,FALSE)</f>
        <v>25.225459231681601</v>
      </c>
      <c r="K504">
        <f>VLOOKUP(F504,[1]!china_towns_second__2[[Column1]:[Y]],2,FALSE)</f>
        <v>104.4890171</v>
      </c>
      <c r="L504" t="s">
        <v>4063</v>
      </c>
      <c r="M504" t="str">
        <f>VLOOKUP(H504,CHOOSE({1,2},Table17[Native],Table17[Name]),2,0)</f>
        <v>Fùyuán Xiàn</v>
      </c>
      <c r="N504" s="15" t="str">
        <f>VLOOKUP(I504,CHOOSE({1,2},Table17[Native],Table17[Name]),2,0)</f>
        <v>Qŭjìng Shì</v>
      </c>
      <c r="O504" s="15" t="str">
        <f t="shared" si="14"/>
        <v>Laochang Zhen (Qujing Shi) (Qŭjìng Shì)</v>
      </c>
      <c r="P504" s="15" t="str">
        <f t="shared" si="15"/>
        <v>Laochang Zhen (Qujing Shi) (Qŭjìng Shì)</v>
      </c>
    </row>
    <row r="505" spans="1:16" hidden="1" x14ac:dyDescent="0.25">
      <c r="A505" t="s">
        <v>250</v>
      </c>
      <c r="B505" t="str">
        <f>IF(COUNTIF(A:A,A505)&gt;1,_xlfn.CONCAT(A505," (",N505,")"),A505)</f>
        <v>Lăochéng Xiāng</v>
      </c>
      <c r="C505" t="str">
        <f>IF(COUNTIF(B:B,B505)&gt;1,_xlfn.CONCAT(A505," (",M505,")"),B505)</f>
        <v>Lăochéng Xiāng</v>
      </c>
      <c r="D505" t="s">
        <v>251</v>
      </c>
      <c r="E505" t="s">
        <v>7</v>
      </c>
      <c r="F505" t="str">
        <f>_xlfn.CONCAT(D505,", ",H505,", ",I505,", ","云南省")</f>
        <v>老城乡, 元谋县, 楚雄彝族自治州, 云南省</v>
      </c>
      <c r="G505">
        <v>27083</v>
      </c>
      <c r="H505" t="s">
        <v>2760</v>
      </c>
      <c r="I505" t="s">
        <v>2750</v>
      </c>
      <c r="J505" t="e">
        <f>VLOOKUP(F505,[1]!china_towns_second__2[[Column1]:[Y]],3,FALSE)</f>
        <v>#N/A</v>
      </c>
      <c r="K505" t="e">
        <f>VLOOKUP(F505,[1]!china_towns_second__2[[Column1]:[Y]],2,FALSE)</f>
        <v>#N/A</v>
      </c>
      <c r="L505" t="s">
        <v>4064</v>
      </c>
      <c r="M505" t="str">
        <f>VLOOKUP(H505,CHOOSE({1,2},Table17[Native],Table17[Name]),2,0)</f>
        <v>Yuánmóu Xiàn</v>
      </c>
      <c r="N505" s="15" t="str">
        <f>VLOOKUP(I505,CHOOSE({1,2},Table17[Native],Table17[Name]),2,0)</f>
        <v>Chŭxióng Yízú Zìzhìzhōu</v>
      </c>
      <c r="O505" s="15" t="str">
        <f t="shared" si="14"/>
        <v>Laocheng Xiang (Chŭxióng Yízú Zìzhìzhōu)</v>
      </c>
      <c r="P505" s="15" t="str">
        <f t="shared" si="15"/>
        <v>Laocheng Xiang (Chŭxióng Yízú Zìzhìzhōu)</v>
      </c>
    </row>
    <row r="506" spans="1:16" hidden="1" x14ac:dyDescent="0.25">
      <c r="A506" t="s">
        <v>2542</v>
      </c>
      <c r="B506" t="str">
        <f>IF(COUNTIF(A:A,A506)&gt;1,_xlfn.CONCAT(A506," (",N506,")"),A506)</f>
        <v>Lăodiàn Zhèn</v>
      </c>
      <c r="C506" t="str">
        <f>IF(COUNTIF(B:B,B506)&gt;1,_xlfn.CONCAT(A506," (",M506,")"),B506)</f>
        <v>Lăodiàn Zhèn</v>
      </c>
      <c r="D506" t="s">
        <v>2543</v>
      </c>
      <c r="E506" t="s">
        <v>11</v>
      </c>
      <c r="F506" t="str">
        <f>_xlfn.CONCAT(D506,", ",H506,", ",I506,", ","云南省")</f>
        <v>老店镇, 巧家县, 昭通市, 云南省</v>
      </c>
      <c r="G506">
        <v>53576</v>
      </c>
      <c r="H506" t="s">
        <v>2902</v>
      </c>
      <c r="I506" t="s">
        <v>2899</v>
      </c>
      <c r="J506">
        <f>VLOOKUP(F506,[1]!china_towns_second__2[[Column1]:[Y]],3,FALSE)</f>
        <v>26.923579987883102</v>
      </c>
      <c r="K506">
        <f>VLOOKUP(F506,[1]!china_towns_second__2[[Column1]:[Y]],2,FALSE)</f>
        <v>103.2712246</v>
      </c>
      <c r="L506" t="s">
        <v>4065</v>
      </c>
      <c r="M506" t="str">
        <f>VLOOKUP(H506,CHOOSE({1,2},Table17[Native],Table17[Name]),2,0)</f>
        <v>Qiăojiā Xiàn</v>
      </c>
      <c r="N506" s="15" t="str">
        <f>VLOOKUP(I506,CHOOSE({1,2},Table17[Native],Table17[Name]),2,0)</f>
        <v>Zhāotōng Shì</v>
      </c>
      <c r="O506" s="15" t="str">
        <f t="shared" si="14"/>
        <v>Laodian Zhen (Zhāotōng Shì)</v>
      </c>
      <c r="P506" s="15" t="str">
        <f t="shared" si="15"/>
        <v>Laodian Zhen (Zhāotōng Shì)</v>
      </c>
    </row>
    <row r="507" spans="1:16" hidden="1" x14ac:dyDescent="0.25">
      <c r="A507" t="s">
        <v>871</v>
      </c>
      <c r="B507" t="str">
        <f>IF(COUNTIF(A:A,A507)&gt;1,_xlfn.CONCAT(A507," (",N507,")"),A507)</f>
        <v>Lăofànzhài Xiāng</v>
      </c>
      <c r="C507" t="str">
        <f>IF(COUNTIF(B:B,B507)&gt;1,_xlfn.CONCAT(A507," (",M507,")"),B507)</f>
        <v>Lăofànzhài Xiāng</v>
      </c>
      <c r="D507" t="s">
        <v>872</v>
      </c>
      <c r="E507" t="s">
        <v>7</v>
      </c>
      <c r="F507" t="str">
        <f>_xlfn.CONCAT(D507,", ",H507,", ",I507,", ","云南省")</f>
        <v>老范寨乡, 河口瑶族自治县, 红河哈尼族彝族自治州, 云南省</v>
      </c>
      <c r="G507">
        <v>4806</v>
      </c>
      <c r="H507" t="s">
        <v>2794</v>
      </c>
      <c r="I507" t="s">
        <v>2792</v>
      </c>
      <c r="J507" t="e">
        <f>VLOOKUP(F507,[1]!china_towns_second__2[[Column1]:[Y]],3,FALSE)</f>
        <v>#N/A</v>
      </c>
      <c r="K507" t="e">
        <f>VLOOKUP(F507,[1]!china_towns_second__2[[Column1]:[Y]],2,FALSE)</f>
        <v>#N/A</v>
      </c>
      <c r="L507" t="s">
        <v>4066</v>
      </c>
      <c r="M507" t="str">
        <f>VLOOKUP(H507,CHOOSE({1,2},Table17[Native],Table17[Name]),2,0)</f>
        <v>Hékŏu Yáozú Zìzhìxiàn</v>
      </c>
      <c r="N507" s="15" t="str">
        <f>VLOOKUP(I507,CHOOSE({1,2},Table17[Native],Table17[Name]),2,0)</f>
        <v>Hónghé Hānízú Yízú Zìzhìzhōu</v>
      </c>
      <c r="O507" s="15" t="str">
        <f t="shared" si="14"/>
        <v>Laofanzhai Xiang (Hónghé Hānízú Yízú Zìzhìzhōu)</v>
      </c>
      <c r="P507" s="15" t="str">
        <f t="shared" si="15"/>
        <v>Laofanzhai Xiang (Hónghé Hānízú Yízú Zìzhìzhōu)</v>
      </c>
    </row>
    <row r="508" spans="1:16" hidden="1" x14ac:dyDescent="0.25">
      <c r="A508" t="s">
        <v>873</v>
      </c>
      <c r="B508" t="str">
        <f>IF(COUNTIF(A:A,A508)&gt;1,_xlfn.CONCAT(A508," (",N508,")"),A508)</f>
        <v>Lăojízhài Xiāng</v>
      </c>
      <c r="C508" t="str">
        <f>IF(COUNTIF(B:B,B508)&gt;1,_xlfn.CONCAT(A508," (",M508,")"),B508)</f>
        <v>Lăojízhài Xiāng</v>
      </c>
      <c r="D508" t="s">
        <v>874</v>
      </c>
      <c r="E508" t="s">
        <v>7</v>
      </c>
      <c r="F508" t="str">
        <f>_xlfn.CONCAT(D508,", ",H508,", ",I508,", ","云南省")</f>
        <v>老集寨乡, 金平苗族瑶族傣族自治县, 红河哈尼族彝族自治州, 云南省</v>
      </c>
      <c r="G508">
        <v>25510</v>
      </c>
      <c r="H508" t="s">
        <v>2797</v>
      </c>
      <c r="I508" t="s">
        <v>2792</v>
      </c>
      <c r="J508" t="e">
        <f>VLOOKUP(F508,[1]!china_towns_second__2[[Column1]:[Y]],3,FALSE)</f>
        <v>#N/A</v>
      </c>
      <c r="K508" t="e">
        <f>VLOOKUP(F508,[1]!china_towns_second__2[[Column1]:[Y]],2,FALSE)</f>
        <v>#N/A</v>
      </c>
      <c r="L508" t="s">
        <v>4067</v>
      </c>
      <c r="M508" t="str">
        <f>VLOOKUP(H508,CHOOSE({1,2},Table17[Native],Table17[Name]),2,0)</f>
        <v>Jīnpíng Miáozú Yáozú Dăizú Zìzhìxiàn</v>
      </c>
      <c r="N508" s="15" t="str">
        <f>VLOOKUP(I508,CHOOSE({1,2},Table17[Native],Table17[Name]),2,0)</f>
        <v>Hónghé Hānízú Yízú Zìzhìzhōu</v>
      </c>
      <c r="O508" s="15" t="str">
        <f t="shared" si="14"/>
        <v>Laojizhai Xiang (Hónghé Hānízú Yízú Zìzhìzhōu)</v>
      </c>
      <c r="P508" s="15" t="str">
        <f t="shared" si="15"/>
        <v>Laojizhai Xiang (Hónghé Hānízú Yízú Zìzhìzhōu)</v>
      </c>
    </row>
    <row r="509" spans="1:16" hidden="1" x14ac:dyDescent="0.25">
      <c r="A509" t="s">
        <v>456</v>
      </c>
      <c r="B509" t="str">
        <f>IF(COUNTIF(A:A,A509)&gt;1,_xlfn.CONCAT(A509," (",N509,")"),A509)</f>
        <v>Lăojūnshān Zhèn</v>
      </c>
      <c r="C509" t="str">
        <f>IF(COUNTIF(B:B,B509)&gt;1,_xlfn.CONCAT(A509," (",M509,")"),B509)</f>
        <v>Lăojūnshān Zhèn</v>
      </c>
      <c r="D509" t="s">
        <v>457</v>
      </c>
      <c r="E509" t="s">
        <v>11</v>
      </c>
      <c r="F509" t="str">
        <f>_xlfn.CONCAT(D509,", ",H509,", ",I509,", ","云南省")</f>
        <v>老君山镇, 剑川县, 大理白族自治州, 云南省</v>
      </c>
      <c r="G509">
        <v>16798</v>
      </c>
      <c r="H509" t="s">
        <v>2768</v>
      </c>
      <c r="I509" t="s">
        <v>2763</v>
      </c>
      <c r="J509">
        <f>VLOOKUP(F509,[1]!china_towns_second__2[[Column1]:[Y]],3,FALSE)</f>
        <v>26.574348713520301</v>
      </c>
      <c r="K509">
        <f>VLOOKUP(F509,[1]!china_towns_second__2[[Column1]:[Y]],2,FALSE)</f>
        <v>99.590462470000006</v>
      </c>
      <c r="L509" t="s">
        <v>4068</v>
      </c>
      <c r="M509" t="str">
        <f>VLOOKUP(H509,CHOOSE({1,2},Table17[Native],Table17[Name]),2,0)</f>
        <v>Jiànchuān Xiàn</v>
      </c>
      <c r="N509" s="15" t="str">
        <f>VLOOKUP(I509,CHOOSE({1,2},Table17[Native],Table17[Name]),2,0)</f>
        <v>Dàlĭ Báizú Zìzhìzhōu</v>
      </c>
      <c r="O509" s="15" t="str">
        <f t="shared" si="14"/>
        <v>Laojunshan Zhen (Dàlĭ Báizú Zìzhìzhōu)</v>
      </c>
      <c r="P509" s="15" t="str">
        <f t="shared" si="15"/>
        <v>Laojunshan Zhen (Dàlĭ Báizú Zìzhìzhōu)</v>
      </c>
    </row>
    <row r="510" spans="1:16" hidden="1" x14ac:dyDescent="0.25">
      <c r="A510" t="s">
        <v>65</v>
      </c>
      <c r="B510" t="str">
        <f>IF(COUNTIF(A:A,A510)&gt;1,_xlfn.CONCAT(A510," (",N510,")"),A510)</f>
        <v>Lăomài Xiāng</v>
      </c>
      <c r="C510" t="str">
        <f>IF(COUNTIF(B:B,B510)&gt;1,_xlfn.CONCAT(A510," (",M510,")"),B510)</f>
        <v>Lăomài Xiāng</v>
      </c>
      <c r="D510" t="s">
        <v>66</v>
      </c>
      <c r="E510" t="s">
        <v>7</v>
      </c>
      <c r="F510" t="str">
        <f>_xlfn.CONCAT(D510,", ",H510,", ",I510,", ","云南省")</f>
        <v>老麦乡, 施甸县, 保山市, 云南省</v>
      </c>
      <c r="G510">
        <v>20140</v>
      </c>
      <c r="H510" t="s">
        <v>2745</v>
      </c>
      <c r="I510" t="s">
        <v>2739</v>
      </c>
      <c r="J510" t="e">
        <f>VLOOKUP(F510,[1]!china_towns_second__2[[Column1]:[Y]],3,FALSE)</f>
        <v>#N/A</v>
      </c>
      <c r="K510" t="e">
        <f>VLOOKUP(F510,[1]!china_towns_second__2[[Column1]:[Y]],2,FALSE)</f>
        <v>#N/A</v>
      </c>
      <c r="L510" t="s">
        <v>4069</v>
      </c>
      <c r="M510" t="str">
        <f>VLOOKUP(H510,CHOOSE({1,2},Table17[Native],Table17[Name]),2,0)</f>
        <v>Shīdiàn Xiàn</v>
      </c>
      <c r="N510" s="15" t="str">
        <f>VLOOKUP(I510,CHOOSE({1,2},Table17[Native],Table17[Name]),2,0)</f>
        <v>Băoshān Shì</v>
      </c>
      <c r="O510" s="15" t="str">
        <f t="shared" si="14"/>
        <v>Laomai Xiang (Băoshān Shì)</v>
      </c>
      <c r="P510" s="15" t="str">
        <f t="shared" si="15"/>
        <v>Laomai Xiang (Băoshān Shì)</v>
      </c>
    </row>
    <row r="511" spans="1:16" hidden="1" x14ac:dyDescent="0.25">
      <c r="A511" t="s">
        <v>875</v>
      </c>
      <c r="B511" t="str">
        <f>IF(COUNTIF(A:A,A511)&gt;1,_xlfn.CONCAT(A511," (",N511,")"),A511)</f>
        <v>Lăomĕng Zhèn</v>
      </c>
      <c r="C511" t="str">
        <f>IF(COUNTIF(B:B,B511)&gt;1,_xlfn.CONCAT(A511," (",M511,")"),B511)</f>
        <v>Lăomĕng Zhèn</v>
      </c>
      <c r="D511" t="s">
        <v>876</v>
      </c>
      <c r="E511" t="s">
        <v>11</v>
      </c>
      <c r="F511" t="str">
        <f>_xlfn.CONCAT(D511,", ",H511,", ",I511,", ","云南省")</f>
        <v>老勐镇, 金平苗族瑶族傣族自治县, 红河哈尼族彝族自治州, 云南省</v>
      </c>
      <c r="G511">
        <v>16362</v>
      </c>
      <c r="H511" t="s">
        <v>2797</v>
      </c>
      <c r="I511" t="s">
        <v>2792</v>
      </c>
      <c r="J511">
        <f>VLOOKUP(F511,[1]!china_towns_second__2[[Column1]:[Y]],3,FALSE)</f>
        <v>22.9481768704057</v>
      </c>
      <c r="K511">
        <f>VLOOKUP(F511,[1]!china_towns_second__2[[Column1]:[Y]],2,FALSE)</f>
        <v>102.8638567</v>
      </c>
      <c r="L511" t="s">
        <v>4070</v>
      </c>
      <c r="M511" t="str">
        <f>VLOOKUP(H511,CHOOSE({1,2},Table17[Native],Table17[Name]),2,0)</f>
        <v>Jīnpíng Miáozú Yáozú Dăizú Zìzhìxiàn</v>
      </c>
      <c r="N511" s="15" t="str">
        <f>VLOOKUP(I511,CHOOSE({1,2},Table17[Native],Table17[Name]),2,0)</f>
        <v>Hónghé Hānízú Yízú Zìzhìzhōu</v>
      </c>
      <c r="O511" s="15" t="str">
        <f t="shared" si="14"/>
        <v>Laomeng Zhen (Hónghé Hānízú Yízú Zìzhìzhōu)</v>
      </c>
      <c r="P511" s="15" t="str">
        <f t="shared" si="15"/>
        <v>Laomeng Zhen (Hónghé Hānízú Yízú Zìzhìzhōu)</v>
      </c>
    </row>
    <row r="512" spans="1:16" hidden="1" x14ac:dyDescent="0.25">
      <c r="A512" t="s">
        <v>1613</v>
      </c>
      <c r="B512" t="str">
        <f>IF(COUNTIF(A:A,A512)&gt;1,_xlfn.CONCAT(A512," (",N512,")"),A512)</f>
        <v>Lăowō Zhèn</v>
      </c>
      <c r="C512" t="str">
        <f>IF(COUNTIF(B:B,B512)&gt;1,_xlfn.CONCAT(A512," (",M512,")"),B512)</f>
        <v>Lăowō Zhèn</v>
      </c>
      <c r="D512" t="s">
        <v>1614</v>
      </c>
      <c r="E512" t="s">
        <v>11</v>
      </c>
      <c r="F512" t="str">
        <f>_xlfn.CONCAT(D512,", ",H512,", ",I512,", ","云南省")</f>
        <v>老窝镇, 泸水市, 怒江傈僳族自治州, 云南省</v>
      </c>
      <c r="G512">
        <v>14007</v>
      </c>
      <c r="H512" t="s">
        <v>2846</v>
      </c>
      <c r="I512" t="s">
        <v>2842</v>
      </c>
      <c r="J512">
        <f>VLOOKUP(F512,[1]!china_towns_second__2[[Column1]:[Y]],3,FALSE)</f>
        <v>25.866428531127799</v>
      </c>
      <c r="K512">
        <f>VLOOKUP(F512,[1]!china_towns_second__2[[Column1]:[Y]],2,FALSE)</f>
        <v>99.037613449999995</v>
      </c>
      <c r="L512" t="s">
        <v>4071</v>
      </c>
      <c r="M512" t="str">
        <f>VLOOKUP(H512,CHOOSE({1,2},Table17[Native],Table17[Name]),2,0)</f>
        <v>Lúshuĭ Shì</v>
      </c>
      <c r="N512" s="15" t="str">
        <f>VLOOKUP(I512,CHOOSE({1,2},Table17[Native],Table17[Name]),2,0)</f>
        <v>Nùjiāng Lìsùzú Zìzhìzhōu</v>
      </c>
      <c r="O512" s="15" t="str">
        <f t="shared" si="14"/>
        <v>Laowo Zhen (Nùjiāng Lìsùzú Zìzhìzhōu)</v>
      </c>
      <c r="P512" s="15" t="str">
        <f t="shared" si="15"/>
        <v>Laowo Zhen (Nùjiāng Lìsùzú Zìzhìzhōu)</v>
      </c>
    </row>
    <row r="513" spans="1:16" hidden="1" x14ac:dyDescent="0.25">
      <c r="A513" t="s">
        <v>877</v>
      </c>
      <c r="B513" t="str">
        <f>IF(COUNTIF(A:A,A513)&gt;1,_xlfn.CONCAT(A513," (",N513,")"),A513)</f>
        <v>Lăozhài Miáozú Xiāng</v>
      </c>
      <c r="C513" t="str">
        <f>IF(COUNTIF(B:B,B513)&gt;1,_xlfn.CONCAT(A513," (",M513,")"),B513)</f>
        <v>Lăozhài Miáozú Xiāng</v>
      </c>
      <c r="D513" t="s">
        <v>878</v>
      </c>
      <c r="E513" t="s">
        <v>7</v>
      </c>
      <c r="F513" t="str">
        <f>_xlfn.CONCAT(D513,", ",H513,", ",I513,", ","云南省")</f>
        <v>老寨苗族乡, 蒙自市, 红河哈尼族彝族自治州, 云南省</v>
      </c>
      <c r="G513">
        <v>15479</v>
      </c>
      <c r="H513" t="s">
        <v>2801</v>
      </c>
      <c r="I513" t="s">
        <v>2792</v>
      </c>
      <c r="J513" t="e">
        <f>VLOOKUP(F513,[1]!china_towns_second__2[[Column1]:[Y]],3,FALSE)</f>
        <v>#N/A</v>
      </c>
      <c r="K513" t="e">
        <f>VLOOKUP(F513,[1]!china_towns_second__2[[Column1]:[Y]],2,FALSE)</f>
        <v>#N/A</v>
      </c>
      <c r="L513" t="s">
        <v>4072</v>
      </c>
      <c r="M513" t="str">
        <f>VLOOKUP(H513,CHOOSE({1,2},Table17[Native],Table17[Name]),2,0)</f>
        <v>Mĕngzì Shì</v>
      </c>
      <c r="N513" s="15" t="str">
        <f>VLOOKUP(I513,CHOOSE({1,2},Table17[Native],Table17[Name]),2,0)</f>
        <v>Hónghé Hānízú Yízú Zìzhìzhōu</v>
      </c>
      <c r="O513" s="15" t="str">
        <f t="shared" si="14"/>
        <v>Laozhai Miaozu Xiang (Hónghé Hānízú Yízú Zìzhìzhōu)</v>
      </c>
      <c r="P513" s="15" t="str">
        <f t="shared" si="15"/>
        <v>Laozhai Miaozu Xiang (Hónghé Hānízú Yízú Zìzhìzhōu)</v>
      </c>
    </row>
    <row r="514" spans="1:16" hidden="1" x14ac:dyDescent="0.25">
      <c r="A514" t="s">
        <v>1355</v>
      </c>
      <c r="B514" t="str">
        <f>IF(COUNTIF(A:A,A514)&gt;1,_xlfn.CONCAT(A514," (",N514,")"),A514)</f>
        <v>Lāshì Zhèn</v>
      </c>
      <c r="C514" t="str">
        <f>IF(COUNTIF(B:B,B514)&gt;1,_xlfn.CONCAT(A514," (",M514,")"),B514)</f>
        <v>Lāshì Zhèn</v>
      </c>
      <c r="D514" t="s">
        <v>1356</v>
      </c>
      <c r="E514" t="s">
        <v>11</v>
      </c>
      <c r="F514" t="str">
        <f>_xlfn.CONCAT(D514,", ",H514,", ",I514,", ","云南省")</f>
        <v>拉市镇, 玉龙纳西族自治县, 丽江市, 云南省</v>
      </c>
      <c r="G514">
        <v>16446</v>
      </c>
      <c r="H514" t="s">
        <v>2829</v>
      </c>
      <c r="I514" t="s">
        <v>2823</v>
      </c>
      <c r="J514">
        <f>VLOOKUP(F514,[1]!china_towns_second__2[[Column1]:[Y]],3,FALSE)</f>
        <v>26.887617297164901</v>
      </c>
      <c r="K514">
        <f>VLOOKUP(F514,[1]!china_towns_second__2[[Column1]:[Y]],2,FALSE)</f>
        <v>100.12237500000001</v>
      </c>
      <c r="L514" t="s">
        <v>4073</v>
      </c>
      <c r="M514" t="str">
        <f>VLOOKUP(H514,CHOOSE({1,2},Table17[Native],Table17[Name]),2,0)</f>
        <v>Yùlóng Nàxīzú Zìzhìxiàn</v>
      </c>
      <c r="N514" s="15" t="str">
        <f>VLOOKUP(I514,CHOOSE({1,2},Table17[Native],Table17[Name]),2,0)</f>
        <v>Lìjiāng Shì</v>
      </c>
      <c r="O514" s="15" t="str">
        <f t="shared" ref="O514:O577" si="16">_xlfn.CONCAT(L514," (",N514,")")</f>
        <v>Lashi Zhen (Lìjiāng Shì)</v>
      </c>
      <c r="P514" s="15" t="str">
        <f t="shared" ref="P514:P577" si="17">IF(COUNTIF(O:O,O514)&gt;1,_xlfn.CONCAT(L514," (",M514,")"),O514)</f>
        <v>Lashi Zhen (Lìjiāng Shì)</v>
      </c>
    </row>
    <row r="515" spans="1:16" hidden="1" x14ac:dyDescent="0.25">
      <c r="A515" t="s">
        <v>458</v>
      </c>
      <c r="B515" t="str">
        <f>IF(COUNTIF(A:A,A515)&gt;1,_xlfn.CONCAT(A515," (",N515,")"),A515)</f>
        <v>Lāwū Yízú Xiāng</v>
      </c>
      <c r="C515" t="str">
        <f>IF(COUNTIF(B:B,B515)&gt;1,_xlfn.CONCAT(A515," (",M515,")"),B515)</f>
        <v>Lāwū Yízú Xiāng</v>
      </c>
      <c r="D515" t="s">
        <v>459</v>
      </c>
      <c r="E515" t="s">
        <v>7</v>
      </c>
      <c r="F515" t="str">
        <f>_xlfn.CONCAT(D515,", ",H515,", ",I515,", ","云南省")</f>
        <v>拉乌彝族乡, 宾川县, 大理白族自治州, 云南省</v>
      </c>
      <c r="G515">
        <v>10279</v>
      </c>
      <c r="H515" t="s">
        <v>2764</v>
      </c>
      <c r="I515" t="s">
        <v>2763</v>
      </c>
      <c r="J515" t="e">
        <f>VLOOKUP(F515,[1]!china_towns_second__2[[Column1]:[Y]],3,FALSE)</f>
        <v>#N/A</v>
      </c>
      <c r="K515" t="e">
        <f>VLOOKUP(F515,[1]!china_towns_second__2[[Column1]:[Y]],2,FALSE)</f>
        <v>#N/A</v>
      </c>
      <c r="L515" t="s">
        <v>4074</v>
      </c>
      <c r="M515" t="str">
        <f>VLOOKUP(H515,CHOOSE({1,2},Table17[Native],Table17[Name]),2,0)</f>
        <v>Bīnchuān Xiàn</v>
      </c>
      <c r="N515" s="15" t="str">
        <f>VLOOKUP(I515,CHOOSE({1,2},Table17[Native],Table17[Name]),2,0)</f>
        <v>Dàlĭ Báizú Zìzhìzhōu</v>
      </c>
      <c r="O515" s="15" t="str">
        <f t="shared" si="16"/>
        <v>Lawu Yizu Xiang (Dàlĭ Báizú Zìzhìzhōu)</v>
      </c>
      <c r="P515" s="15" t="str">
        <f t="shared" si="17"/>
        <v>Lawu Yizu Xiang (Dàlĭ Báizú Zìzhìzhōu)</v>
      </c>
    </row>
    <row r="516" spans="1:16" hidden="1" x14ac:dyDescent="0.25">
      <c r="A516" t="s">
        <v>879</v>
      </c>
      <c r="B516" t="str">
        <f>IF(COUNTIF(A:A,A516)&gt;1,_xlfn.CONCAT(A516," (",N516,")"),A516)</f>
        <v>Lèbáidào Jiēdào</v>
      </c>
      <c r="C516" t="str">
        <f>IF(COUNTIF(B:B,B516)&gt;1,_xlfn.CONCAT(A516," (",M516,")"),B516)</f>
        <v>Lèbáidào Jiēdào</v>
      </c>
      <c r="D516" t="s">
        <v>880</v>
      </c>
      <c r="E516" t="s">
        <v>42</v>
      </c>
      <c r="F516" t="str">
        <f>_xlfn.CONCAT(D516,", ",H516,", ",I516,", ","云南省")</f>
        <v>乐白道街道, 开远市, 红河哈尼族彝族自治州, 云南省</v>
      </c>
      <c r="G516">
        <v>96691</v>
      </c>
      <c r="H516" t="s">
        <v>2798</v>
      </c>
      <c r="I516" t="s">
        <v>2792</v>
      </c>
      <c r="J516">
        <f>VLOOKUP(F516,[1]!china_towns_second__2[[Column1]:[Y]],3,FALSE)</f>
        <v>23.735864307254701</v>
      </c>
      <c r="K516">
        <f>VLOOKUP(F516,[1]!china_towns_second__2[[Column1]:[Y]],2,FALSE)</f>
        <v>103.2936321</v>
      </c>
      <c r="L516" t="s">
        <v>4075</v>
      </c>
      <c r="M516" t="str">
        <f>VLOOKUP(H516,CHOOSE({1,2},Table17[Native],Table17[Name]),2,0)</f>
        <v>Kāiyuăn Shì</v>
      </c>
      <c r="N516" s="15" t="str">
        <f>VLOOKUP(I516,CHOOSE({1,2},Table17[Native],Table17[Name]),2,0)</f>
        <v>Hónghé Hānízú Yízú Zìzhìzhōu</v>
      </c>
      <c r="O516" s="15" t="str">
        <f t="shared" si="16"/>
        <v>Lebaidao Jiedao (Hónghé Hānízú Yízú Zìzhìzhōu)</v>
      </c>
      <c r="P516" s="15" t="str">
        <f t="shared" si="17"/>
        <v>Lebaidao Jiedao (Hónghé Hānízú Yízú Zìzhìzhōu)</v>
      </c>
    </row>
    <row r="517" spans="1:16" hidden="1" x14ac:dyDescent="0.25">
      <c r="A517" t="s">
        <v>1941</v>
      </c>
      <c r="B517" t="str">
        <f>IF(COUNTIF(A:A,A517)&gt;1,_xlfn.CONCAT(A517," (",N517,")"),A517)</f>
        <v>Lèfēng Xiāng</v>
      </c>
      <c r="C517" t="str">
        <f>IF(COUNTIF(B:B,B517)&gt;1,_xlfn.CONCAT(A517," (",M517,")"),B517)</f>
        <v>Lèfēng Xiāng</v>
      </c>
      <c r="D517" t="s">
        <v>1942</v>
      </c>
      <c r="E517" t="s">
        <v>7</v>
      </c>
      <c r="F517" t="str">
        <f>_xlfn.CONCAT(D517,", ",H517,", ",I517,", ","云南省")</f>
        <v>乐丰乡, 宣威市, 曲靖市, 云南省</v>
      </c>
      <c r="G517">
        <v>47421</v>
      </c>
      <c r="H517" t="s">
        <v>2868</v>
      </c>
      <c r="I517" t="s">
        <v>2860</v>
      </c>
      <c r="J517" t="e">
        <f>VLOOKUP(F517,[1]!china_towns_second__2[[Column1]:[Y]],3,FALSE)</f>
        <v>#N/A</v>
      </c>
      <c r="K517" t="e">
        <f>VLOOKUP(F517,[1]!china_towns_second__2[[Column1]:[Y]],2,FALSE)</f>
        <v>#N/A</v>
      </c>
      <c r="L517" t="s">
        <v>4076</v>
      </c>
      <c r="M517" t="str">
        <f>VLOOKUP(H517,CHOOSE({1,2},Table17[Native],Table17[Name]),2,0)</f>
        <v>Xuānwēi Shì</v>
      </c>
      <c r="N517" s="15" t="str">
        <f>VLOOKUP(I517,CHOOSE({1,2},Table17[Native],Table17[Name]),2,0)</f>
        <v>Qŭjìng Shì</v>
      </c>
      <c r="O517" s="15" t="str">
        <f t="shared" si="16"/>
        <v>Lefeng Xiang (Qŭjìng Shì)</v>
      </c>
      <c r="P517" s="15" t="str">
        <f t="shared" si="17"/>
        <v>Lefeng Xiang (Qŭjìng Shì)</v>
      </c>
    </row>
    <row r="518" spans="1:16" hidden="1" x14ac:dyDescent="0.25">
      <c r="A518" t="s">
        <v>2544</v>
      </c>
      <c r="B518" t="str">
        <f>IF(COUNTIF(A:A,A518)&gt;1,_xlfn.CONCAT(A518," (",N518,")"),A518)</f>
        <v>Lèhóng Zhèn</v>
      </c>
      <c r="C518" t="str">
        <f>IF(COUNTIF(B:B,B518)&gt;1,_xlfn.CONCAT(A518," (",M518,")"),B518)</f>
        <v>Lèhóng Zhèn</v>
      </c>
      <c r="D518" t="s">
        <v>2545</v>
      </c>
      <c r="E518" t="s">
        <v>11</v>
      </c>
      <c r="F518" t="str">
        <f>_xlfn.CONCAT(D518,", ",H518,", ",I518,", ","云南省")</f>
        <v>乐红镇, 鲁甸县, 昭通市, 云南省</v>
      </c>
      <c r="G518">
        <v>32115</v>
      </c>
      <c r="H518" t="s">
        <v>2901</v>
      </c>
      <c r="I518" t="s">
        <v>2899</v>
      </c>
      <c r="J518">
        <f>VLOOKUP(F518,[1]!china_towns_second__2[[Column1]:[Y]],3,FALSE)</f>
        <v>27.199873091191701</v>
      </c>
      <c r="K518">
        <f>VLOOKUP(F518,[1]!china_towns_second__2[[Column1]:[Y]],2,FALSE)</f>
        <v>103.2629501</v>
      </c>
      <c r="L518" t="s">
        <v>4077</v>
      </c>
      <c r="M518" t="str">
        <f>VLOOKUP(H518,CHOOSE({1,2},Table17[Native],Table17[Name]),2,0)</f>
        <v>Lŭdiàn Xiàn</v>
      </c>
      <c r="N518" s="15" t="str">
        <f>VLOOKUP(I518,CHOOSE({1,2},Table17[Native],Table17[Name]),2,0)</f>
        <v>Zhāotōng Shì</v>
      </c>
      <c r="O518" s="15" t="str">
        <f t="shared" si="16"/>
        <v>Lehong Zhen (Zhāotōng Shì)</v>
      </c>
      <c r="P518" s="15" t="str">
        <f t="shared" si="17"/>
        <v>Lehong Zhen (Zhāotōng Shì)</v>
      </c>
    </row>
    <row r="519" spans="1:16" hidden="1" x14ac:dyDescent="0.25">
      <c r="A519" t="s">
        <v>2546</v>
      </c>
      <c r="B519" t="str">
        <f>IF(COUNTIF(A:A,A519)&gt;1,_xlfn.CONCAT(A519," (",N519,")"),A519)</f>
        <v>Lèjū Zhèn</v>
      </c>
      <c r="C519" t="str">
        <f>IF(COUNTIF(B:B,B519)&gt;1,_xlfn.CONCAT(A519," (",M519,")"),B519)</f>
        <v>Lèjū Zhèn</v>
      </c>
      <c r="D519" t="s">
        <v>2547</v>
      </c>
      <c r="E519" t="s">
        <v>11</v>
      </c>
      <c r="F519" t="str">
        <f>_xlfn.CONCAT(D519,", ",H519,", ",I519,", ","云南省")</f>
        <v>乐居镇, 昭阳区, 昭通市, 云南省</v>
      </c>
      <c r="G519">
        <v>25232</v>
      </c>
      <c r="H519" t="s">
        <v>2909</v>
      </c>
      <c r="I519" t="s">
        <v>2899</v>
      </c>
      <c r="J519">
        <f>VLOOKUP(F519,[1]!china_towns_second__2[[Column1]:[Y]],3,FALSE)</f>
        <v>27.3671389914789</v>
      </c>
      <c r="K519">
        <f>VLOOKUP(F519,[1]!china_towns_second__2[[Column1]:[Y]],2,FALSE)</f>
        <v>103.55778189999999</v>
      </c>
      <c r="L519" t="s">
        <v>4078</v>
      </c>
      <c r="M519" t="str">
        <f>VLOOKUP(H519,CHOOSE({1,2},Table17[Native],Table17[Name]),2,0)</f>
        <v>Zhāoyáng Qū</v>
      </c>
      <c r="N519" s="15" t="str">
        <f>VLOOKUP(I519,CHOOSE({1,2},Table17[Native],Table17[Name]),2,0)</f>
        <v>Zhāotōng Shì</v>
      </c>
      <c r="O519" s="15" t="str">
        <f t="shared" si="16"/>
        <v>Leju Zhen (Zhāotōng Shì)</v>
      </c>
      <c r="P519" s="15" t="str">
        <f t="shared" si="17"/>
        <v>Leju Zhen (Zhāotōng Shì)</v>
      </c>
    </row>
    <row r="520" spans="1:16" hidden="1" x14ac:dyDescent="0.25">
      <c r="A520" t="s">
        <v>881</v>
      </c>
      <c r="B520" t="str">
        <f>IF(COUNTIF(A:A,A520)&gt;1,_xlfn.CONCAT(A520," (",N520,")"),A520)</f>
        <v>Lĕngquán Zhèn</v>
      </c>
      <c r="C520" t="str">
        <f>IF(COUNTIF(B:B,B520)&gt;1,_xlfn.CONCAT(A520," (",M520,")"),B520)</f>
        <v>Lĕngquán Zhèn</v>
      </c>
      <c r="D520" t="s">
        <v>882</v>
      </c>
      <c r="E520" t="s">
        <v>11</v>
      </c>
      <c r="F520" t="str">
        <f>_xlfn.CONCAT(D520,", ",H520,", ",I520,", ","云南省")</f>
        <v>冷泉镇, 蒙自市, 红河哈尼族彝族自治州, 云南省</v>
      </c>
      <c r="G520">
        <v>20556</v>
      </c>
      <c r="H520" t="s">
        <v>2801</v>
      </c>
      <c r="I520" t="s">
        <v>2792</v>
      </c>
      <c r="J520">
        <f>VLOOKUP(F520,[1]!china_towns_second__2[[Column1]:[Y]],3,FALSE)</f>
        <v>23.196969429326799</v>
      </c>
      <c r="K520">
        <f>VLOOKUP(F520,[1]!china_towns_second__2[[Column1]:[Y]],2,FALSE)</f>
        <v>103.3499928</v>
      </c>
      <c r="L520" t="s">
        <v>4079</v>
      </c>
      <c r="M520" t="str">
        <f>VLOOKUP(H520,CHOOSE({1,2},Table17[Native],Table17[Name]),2,0)</f>
        <v>Mĕngzì Shì</v>
      </c>
      <c r="N520" s="15" t="str">
        <f>VLOOKUP(I520,CHOOSE({1,2},Table17[Native],Table17[Name]),2,0)</f>
        <v>Hónghé Hānízú Yízú Zìzhìzhōu</v>
      </c>
      <c r="O520" s="15" t="str">
        <f t="shared" si="16"/>
        <v>Lengquan Zhen (Hónghé Hānízú Yízú Zìzhìzhōu)</v>
      </c>
      <c r="P520" s="15" t="str">
        <f t="shared" si="17"/>
        <v>Lengquan Zhen (Hónghé Hānízú Yízú Zìzhìzhōu)</v>
      </c>
    </row>
    <row r="521" spans="1:16" hidden="1" x14ac:dyDescent="0.25">
      <c r="A521" t="s">
        <v>460</v>
      </c>
      <c r="B521" t="str">
        <f>IF(COUNTIF(A:A,A521)&gt;1,_xlfn.CONCAT(A521," (",N521,")"),A521)</f>
        <v>Lèqiū Xiāng</v>
      </c>
      <c r="C521" t="str">
        <f>IF(COUNTIF(B:B,B521)&gt;1,_xlfn.CONCAT(A521," (",M521,")"),B521)</f>
        <v>Lèqiū Xiāng</v>
      </c>
      <c r="D521" t="s">
        <v>461</v>
      </c>
      <c r="E521" t="s">
        <v>7</v>
      </c>
      <c r="F521" t="str">
        <f>_xlfn.CONCAT(D521,", ",H521,", ",I521,", ","云南省")</f>
        <v>乐秋乡, 南涧彝族自治县, 大理白族自治州, 云南省</v>
      </c>
      <c r="G521">
        <v>16198</v>
      </c>
      <c r="H521" t="s">
        <v>2771</v>
      </c>
      <c r="I521" t="s">
        <v>2763</v>
      </c>
      <c r="J521" t="e">
        <f>VLOOKUP(F521,[1]!china_towns_second__2[[Column1]:[Y]],3,FALSE)</f>
        <v>#N/A</v>
      </c>
      <c r="K521" t="e">
        <f>VLOOKUP(F521,[1]!china_towns_second__2[[Column1]:[Y]],2,FALSE)</f>
        <v>#N/A</v>
      </c>
      <c r="L521" t="s">
        <v>4080</v>
      </c>
      <c r="M521" t="str">
        <f>VLOOKUP(H521,CHOOSE({1,2},Table17[Native],Table17[Name]),2,0)</f>
        <v>Nánjiàn Yízú Zìzhìxiàn</v>
      </c>
      <c r="N521" s="15" t="str">
        <f>VLOOKUP(I521,CHOOSE({1,2},Table17[Native],Table17[Name]),2,0)</f>
        <v>Dàlĭ Báizú Zìzhìzhōu</v>
      </c>
      <c r="O521" s="15" t="str">
        <f t="shared" si="16"/>
        <v>Leqiu Xiang (Dàlĭ Báizú Zìzhìzhōu)</v>
      </c>
      <c r="P521" s="15" t="str">
        <f t="shared" si="17"/>
        <v>Leqiu Xiang (Dàlĭ Báizú Zìzhìzhōu)</v>
      </c>
    </row>
    <row r="522" spans="1:16" hidden="1" x14ac:dyDescent="0.25">
      <c r="A522" t="s">
        <v>1943</v>
      </c>
      <c r="B522" t="str">
        <f>IF(COUNTIF(A:A,A522)&gt;1,_xlfn.CONCAT(A522," (",N522,")"),A522)</f>
        <v>Lèyè Zhèn</v>
      </c>
      <c r="C522" t="str">
        <f>IF(COUNTIF(B:B,B522)&gt;1,_xlfn.CONCAT(A522," (",M522,")"),B522)</f>
        <v>Lèyè Zhèn</v>
      </c>
      <c r="D522" t="s">
        <v>1944</v>
      </c>
      <c r="E522" t="s">
        <v>11</v>
      </c>
      <c r="F522" t="str">
        <f>_xlfn.CONCAT(D522,", ",H522,", ",I522,", ","云南省")</f>
        <v>乐业镇, 会泽县, 曲靖市, 云南省</v>
      </c>
      <c r="G522">
        <v>70209</v>
      </c>
      <c r="H522" t="s">
        <v>2862</v>
      </c>
      <c r="I522" t="s">
        <v>2860</v>
      </c>
      <c r="J522">
        <f>VLOOKUP(F522,[1]!china_towns_second__2[[Column1]:[Y]],3,FALSE)</f>
        <v>26.636657586602698</v>
      </c>
      <c r="K522">
        <f>VLOOKUP(F522,[1]!china_towns_second__2[[Column1]:[Y]],2,FALSE)</f>
        <v>103.4931696</v>
      </c>
      <c r="L522" t="s">
        <v>4081</v>
      </c>
      <c r="M522" t="str">
        <f>VLOOKUP(H522,CHOOSE({1,2},Table17[Native],Table17[Name]),2,0)</f>
        <v>Huìzé Xiàn</v>
      </c>
      <c r="N522" s="15" t="str">
        <f>VLOOKUP(I522,CHOOSE({1,2},Table17[Native],Table17[Name]),2,0)</f>
        <v>Qŭjìng Shì</v>
      </c>
      <c r="O522" s="15" t="str">
        <f t="shared" si="16"/>
        <v>Leye Zhen (Qŭjìng Shì)</v>
      </c>
      <c r="P522" s="15" t="str">
        <f t="shared" si="17"/>
        <v>Leye Zhen (Qŭjìng Shì)</v>
      </c>
    </row>
    <row r="523" spans="1:16" hidden="1" x14ac:dyDescent="0.25">
      <c r="A523" t="s">
        <v>883</v>
      </c>
      <c r="B523" t="str">
        <f>IF(COUNTIF(A:A,A523)&gt;1,_xlfn.CONCAT(A523," (",N523,")"),A523)</f>
        <v>Lèyù Zhèn</v>
      </c>
      <c r="C523" t="str">
        <f>IF(COUNTIF(B:B,B523)&gt;1,_xlfn.CONCAT(A523," (",M523,")"),B523)</f>
        <v>Lèyù Zhèn</v>
      </c>
      <c r="D523" t="s">
        <v>884</v>
      </c>
      <c r="E523" t="s">
        <v>11</v>
      </c>
      <c r="F523" t="str">
        <f>_xlfn.CONCAT(D523,", ",H523,", ",I523,", ","云南省")</f>
        <v>乐育镇, 红河县, 红河哈尼族彝族自治州, 云南省</v>
      </c>
      <c r="G523">
        <v>23655</v>
      </c>
      <c r="H523" t="s">
        <v>2795</v>
      </c>
      <c r="I523" t="s">
        <v>2792</v>
      </c>
      <c r="J523">
        <f>VLOOKUP(F523,[1]!china_towns_second__2[[Column1]:[Y]],3,FALSE)</f>
        <v>23.307780130287501</v>
      </c>
      <c r="K523">
        <f>VLOOKUP(F523,[1]!china_towns_second__2[[Column1]:[Y]],2,FALSE)</f>
        <v>102.3030155</v>
      </c>
      <c r="L523" t="s">
        <v>4082</v>
      </c>
      <c r="M523" t="str">
        <f>VLOOKUP(H523,CHOOSE({1,2},Table17[Native],Table17[Name]),2,0)</f>
        <v>Hónghé Xiàn</v>
      </c>
      <c r="N523" s="15" t="str">
        <f>VLOOKUP(I523,CHOOSE({1,2},Table17[Native],Table17[Name]),2,0)</f>
        <v>Hónghé Hānízú Yízú Zìzhìzhōu</v>
      </c>
      <c r="O523" s="15" t="str">
        <f t="shared" si="16"/>
        <v>Leyu Zhen (Hónghé Hānízú Yízú Zìzhìzhōu)</v>
      </c>
      <c r="P523" s="15" t="str">
        <f t="shared" si="17"/>
        <v>Leyu Zhen (Hónghé Hānízú Yízú Zìzhìzhōu)</v>
      </c>
    </row>
    <row r="524" spans="1:16" hidden="1" x14ac:dyDescent="0.25">
      <c r="A524" t="s">
        <v>2153</v>
      </c>
      <c r="B524" t="str">
        <f>IF(COUNTIF(A:A,A524)&gt;1,_xlfn.CONCAT(A524," (",N524,")"),A524)</f>
        <v>Liánchéng Zhèn</v>
      </c>
      <c r="C524" t="str">
        <f>IF(COUNTIF(B:B,B524)&gt;1,_xlfn.CONCAT(A524," (",M524,")"),B524)</f>
        <v>Liánchéng Zhèn</v>
      </c>
      <c r="D524" t="s">
        <v>2154</v>
      </c>
      <c r="E524" t="s">
        <v>11</v>
      </c>
      <c r="F524" t="str">
        <f>_xlfn.CONCAT(D524,", ",H524,", ",I524,", ","云南省")</f>
        <v>莲城镇, 广南县, 文山壮族苗族自治州, 云南省</v>
      </c>
      <c r="G524">
        <v>101221</v>
      </c>
      <c r="H524" t="s">
        <v>2874</v>
      </c>
      <c r="I524" t="s">
        <v>2872</v>
      </c>
      <c r="J524">
        <f>VLOOKUP(F524,[1]!china_towns_second__2[[Column1]:[Y]],3,FALSE)</f>
        <v>24.084136870999899</v>
      </c>
      <c r="K524">
        <f>VLOOKUP(F524,[1]!china_towns_second__2[[Column1]:[Y]],2,FALSE)</f>
        <v>105.0364569</v>
      </c>
      <c r="L524" t="s">
        <v>4083</v>
      </c>
      <c r="M524" t="str">
        <f>VLOOKUP(H524,CHOOSE({1,2},Table17[Native],Table17[Name]),2,0)</f>
        <v>Guăngnán Xiàn</v>
      </c>
      <c r="N524" s="15" t="str">
        <f>VLOOKUP(I524,CHOOSE({1,2},Table17[Native],Table17[Name]),2,0)</f>
        <v>Wénshān Zhuàngzú Miáozú Zìzhìzhōu</v>
      </c>
      <c r="O524" s="15" t="str">
        <f t="shared" si="16"/>
        <v>Liancheng Zhen (Wénshān Zhuàngzú Miáozú Zìzhìzhōu)</v>
      </c>
      <c r="P524" s="15" t="str">
        <f t="shared" si="17"/>
        <v>Liancheng Zhen (Wénshān Zhuàngzú Miáozú Zìzhìzhōu)</v>
      </c>
    </row>
    <row r="525" spans="1:16" hidden="1" x14ac:dyDescent="0.25">
      <c r="A525" t="s">
        <v>252</v>
      </c>
      <c r="B525" t="str">
        <f>IF(COUNTIF(A:A,A525)&gt;1,_xlfn.CONCAT(A525," (",N525,")"),A525)</f>
        <v>Liánchí Xiāng</v>
      </c>
      <c r="C525" t="str">
        <f>IF(COUNTIF(B:B,B525)&gt;1,_xlfn.CONCAT(A525," (",M525,")"),B525)</f>
        <v>Liánchí Xiāng</v>
      </c>
      <c r="D525" t="s">
        <v>253</v>
      </c>
      <c r="E525" t="s">
        <v>7</v>
      </c>
      <c r="F525" t="str">
        <f>_xlfn.CONCAT(D525,", ",H525,", ",I525,", ","云南省")</f>
        <v>莲池乡, 永仁县, 楚雄彝族自治州, 云南省</v>
      </c>
      <c r="G525">
        <v>13566</v>
      </c>
      <c r="H525" t="s">
        <v>2759</v>
      </c>
      <c r="I525" t="s">
        <v>2750</v>
      </c>
      <c r="J525" t="e">
        <f>VLOOKUP(F525,[1]!china_towns_second__2[[Column1]:[Y]],3,FALSE)</f>
        <v>#N/A</v>
      </c>
      <c r="K525" t="e">
        <f>VLOOKUP(F525,[1]!china_towns_second__2[[Column1]:[Y]],2,FALSE)</f>
        <v>#N/A</v>
      </c>
      <c r="L525" t="s">
        <v>4084</v>
      </c>
      <c r="M525" t="str">
        <f>VLOOKUP(H525,CHOOSE({1,2},Table17[Native],Table17[Name]),2,0)</f>
        <v>Yŏngrén Xiàn</v>
      </c>
      <c r="N525" s="15" t="str">
        <f>VLOOKUP(I525,CHOOSE({1,2},Table17[Native],Table17[Name]),2,0)</f>
        <v>Chŭxióng Yízú Zìzhìzhōu</v>
      </c>
      <c r="O525" s="15" t="str">
        <f t="shared" si="16"/>
        <v>Lianchi Xiang (Chŭxióng Yízú Zìzhìzhōu)</v>
      </c>
      <c r="P525" s="15" t="str">
        <f t="shared" si="17"/>
        <v>Lianchi Xiang (Chŭxióng Yízú Zìzhìzhōu)</v>
      </c>
    </row>
    <row r="526" spans="1:16" hidden="1" x14ac:dyDescent="0.25">
      <c r="A526" t="s">
        <v>2548</v>
      </c>
      <c r="B526" t="str">
        <f>IF(COUNTIF(A:A,A526)&gt;1,_xlfn.CONCAT(A526," (",N526,")"),A526)</f>
        <v>Liánfēng Zhèn</v>
      </c>
      <c r="C526" t="str">
        <f>IF(COUNTIF(B:B,B526)&gt;1,_xlfn.CONCAT(A526," (",M526,")"),B526)</f>
        <v>Liánfēng Zhèn</v>
      </c>
      <c r="D526" t="s">
        <v>2549</v>
      </c>
      <c r="E526" t="s">
        <v>11</v>
      </c>
      <c r="F526" t="str">
        <f>_xlfn.CONCAT(D526,", ",H526,", ",I526,", ","云南省")</f>
        <v>莲峰镇, 永善县, 昭通市, 云南省</v>
      </c>
      <c r="G526">
        <v>30833</v>
      </c>
      <c r="H526" t="s">
        <v>2908</v>
      </c>
      <c r="I526" t="s">
        <v>2899</v>
      </c>
      <c r="J526">
        <f>VLOOKUP(F526,[1]!china_towns_second__2[[Column1]:[Y]],3,FALSE)</f>
        <v>27.796925258965</v>
      </c>
      <c r="K526">
        <f>VLOOKUP(F526,[1]!china_towns_second__2[[Column1]:[Y]],2,FALSE)</f>
        <v>103.5804998</v>
      </c>
      <c r="L526" t="s">
        <v>4085</v>
      </c>
      <c r="M526" t="str">
        <f>VLOOKUP(H526,CHOOSE({1,2},Table17[Native],Table17[Name]),2,0)</f>
        <v>Yŏngshàn Xiàn</v>
      </c>
      <c r="N526" s="15" t="str">
        <f>VLOOKUP(I526,CHOOSE({1,2},Table17[Native],Table17[Name]),2,0)</f>
        <v>Zhāotōng Shì</v>
      </c>
      <c r="O526" s="15" t="str">
        <f t="shared" si="16"/>
        <v>Lianfeng Zhen (Zhāotōng Shì)</v>
      </c>
      <c r="P526" s="15" t="str">
        <f t="shared" si="17"/>
        <v>Lianfeng Zhen (Zhāotōng Shì)</v>
      </c>
    </row>
    <row r="527" spans="1:16" hidden="1" x14ac:dyDescent="0.25">
      <c r="A527" t="s">
        <v>2550</v>
      </c>
      <c r="B527" t="str">
        <f>IF(COUNTIF(A:A,A527)&gt;1,_xlfn.CONCAT(A527," (",N527,")"),A527)</f>
        <v>Liănghé Zhèn</v>
      </c>
      <c r="C527" t="str">
        <f>IF(COUNTIF(B:B,B527)&gt;1,_xlfn.CONCAT(A527," (",M527,")"),B527)</f>
        <v>Liănghé Zhèn</v>
      </c>
      <c r="D527" t="s">
        <v>2551</v>
      </c>
      <c r="E527" t="s">
        <v>11</v>
      </c>
      <c r="F527" t="str">
        <f>_xlfn.CONCAT(D527,", ",H527,", ",I527,", ","云南省")</f>
        <v>两河镇, 彝良县, 昭通市, 云南省</v>
      </c>
      <c r="G527">
        <v>21334</v>
      </c>
      <c r="H527" t="s">
        <v>2907</v>
      </c>
      <c r="I527" t="s">
        <v>2899</v>
      </c>
      <c r="J527">
        <f>VLOOKUP(F527,[1]!china_towns_second__2[[Column1]:[Y]],3,FALSE)</f>
        <v>27.841146100557498</v>
      </c>
      <c r="K527">
        <f>VLOOKUP(F527,[1]!china_towns_second__2[[Column1]:[Y]],2,FALSE)</f>
        <v>104.1836977</v>
      </c>
      <c r="L527" t="s">
        <v>4086</v>
      </c>
      <c r="M527" t="str">
        <f>VLOOKUP(H527,CHOOSE({1,2},Table17[Native],Table17[Name]),2,0)</f>
        <v>Yíliáng Xiàn</v>
      </c>
      <c r="N527" s="15" t="str">
        <f>VLOOKUP(I527,CHOOSE({1,2},Table17[Native],Table17[Name]),2,0)</f>
        <v>Zhāotōng Shì</v>
      </c>
      <c r="O527" s="15" t="str">
        <f t="shared" si="16"/>
        <v>Lianghe Zhen (Zhāotōng Shì)</v>
      </c>
      <c r="P527" s="15" t="str">
        <f t="shared" si="17"/>
        <v>Lianghe Zhen (Zhāotōng Shì)</v>
      </c>
    </row>
    <row r="528" spans="1:16" hidden="1" x14ac:dyDescent="0.25">
      <c r="A528" t="s">
        <v>255</v>
      </c>
      <c r="B528" t="str">
        <f>IF(COUNTIF(A:A,A528)&gt;1,_xlfn.CONCAT(A528," (",N528,")"),A528)</f>
        <v>Liángshān Xiāng</v>
      </c>
      <c r="C528" t="str">
        <f>IF(COUNTIF(B:B,B528)&gt;1,_xlfn.CONCAT(A528," (",M528,")"),B528)</f>
        <v>Liángshān Xiāng</v>
      </c>
      <c r="D528" t="s">
        <v>256</v>
      </c>
      <c r="E528" t="s">
        <v>7</v>
      </c>
      <c r="F528" t="str">
        <f>_xlfn.CONCAT(D528,", ",H528,", ",I528,", ","云南省")</f>
        <v>凉山乡, 元谋县, 楚雄彝族自治州, 云南省</v>
      </c>
      <c r="G528">
        <v>3661</v>
      </c>
      <c r="H528" t="s">
        <v>2760</v>
      </c>
      <c r="I528" t="s">
        <v>2750</v>
      </c>
      <c r="J528" t="e">
        <f>VLOOKUP(F528,[1]!china_towns_second__2[[Column1]:[Y]],3,FALSE)</f>
        <v>#N/A</v>
      </c>
      <c r="K528" t="e">
        <f>VLOOKUP(F528,[1]!china_towns_second__2[[Column1]:[Y]],2,FALSE)</f>
        <v>#N/A</v>
      </c>
      <c r="L528" t="s">
        <v>4087</v>
      </c>
      <c r="M528" t="str">
        <f>VLOOKUP(H528,CHOOSE({1,2},Table17[Native],Table17[Name]),2,0)</f>
        <v>Yuánmóu Xiàn</v>
      </c>
      <c r="N528" s="15" t="str">
        <f>VLOOKUP(I528,CHOOSE({1,2},Table17[Native],Table17[Name]),2,0)</f>
        <v>Chŭxióng Yízú Zìzhìzhōu</v>
      </c>
      <c r="O528" s="15" t="str">
        <f t="shared" si="16"/>
        <v>Liangshan Xiang (Chŭxióng Yízú Zìzhìzhōu)</v>
      </c>
      <c r="P528" s="15" t="str">
        <f t="shared" si="17"/>
        <v>Liangshan Xiang (Chŭxióng Yízú Zìzhìzhōu)</v>
      </c>
    </row>
    <row r="529" spans="1:16" hidden="1" x14ac:dyDescent="0.25">
      <c r="A529" t="s">
        <v>2552</v>
      </c>
      <c r="B529" t="str">
        <f>IF(COUNTIF(A:A,A529)&gt;1,_xlfn.CONCAT(A529," (",N529,")"),A529)</f>
        <v>Liăngwăn Zhèn</v>
      </c>
      <c r="C529" t="str">
        <f>IF(COUNTIF(B:B,B529)&gt;1,_xlfn.CONCAT(A529," (",M529,")"),B529)</f>
        <v>Liăngwăn Zhèn</v>
      </c>
      <c r="D529" t="s">
        <v>2553</v>
      </c>
      <c r="E529" t="s">
        <v>11</v>
      </c>
      <c r="F529" t="str">
        <f>_xlfn.CONCAT(D529,", ",H529,", ",I529,", ","云南省")</f>
        <v>两碗镇, 水富市, 昭通市, 云南省</v>
      </c>
      <c r="G529">
        <v>15239</v>
      </c>
      <c r="H529" t="s">
        <v>2903</v>
      </c>
      <c r="I529" t="s">
        <v>2899</v>
      </c>
      <c r="J529">
        <f>VLOOKUP(F529,[1]!china_towns_second__2[[Column1]:[Y]],3,FALSE)</f>
        <v>28.466348707115099</v>
      </c>
      <c r="K529">
        <f>VLOOKUP(F529,[1]!china_towns_second__2[[Column1]:[Y]],2,FALSE)</f>
        <v>104.2238239</v>
      </c>
      <c r="L529" t="s">
        <v>4088</v>
      </c>
      <c r="M529" t="str">
        <f>VLOOKUP(H529,CHOOSE({1,2},Table17[Native],Table17[Name]),2,0)</f>
        <v>Shuĭfù Shì</v>
      </c>
      <c r="N529" s="15" t="str">
        <f>VLOOKUP(I529,CHOOSE({1,2},Table17[Native],Table17[Name]),2,0)</f>
        <v>Zhāotōng Shì</v>
      </c>
      <c r="O529" s="15" t="str">
        <f t="shared" si="16"/>
        <v>Liangwan Zhen (Zhāotōng Shì)</v>
      </c>
      <c r="P529" s="15" t="str">
        <f t="shared" si="17"/>
        <v>Liangwan Zhen (Zhāotōng Shì)</v>
      </c>
    </row>
    <row r="530" spans="1:16" hidden="1" x14ac:dyDescent="0.25">
      <c r="A530" t="s">
        <v>1154</v>
      </c>
      <c r="B530" t="str">
        <f>IF(COUNTIF(A:A,A530)&gt;1,_xlfn.CONCAT(A530," (",N530,")"),A530)</f>
        <v>Liánhé Xiāng</v>
      </c>
      <c r="C530" t="str">
        <f>IF(COUNTIF(B:B,B530)&gt;1,_xlfn.CONCAT(A530," (",M530,")"),B530)</f>
        <v>Liánhé Xiāng</v>
      </c>
      <c r="D530" t="s">
        <v>1155</v>
      </c>
      <c r="E530" t="s">
        <v>7</v>
      </c>
      <c r="F530" t="str">
        <f>_xlfn.CONCAT(D530,", ",H530,", ",I530,", ","云南省")</f>
        <v>联合乡, 寻甸回族彝族自治县, 昆明市, 云南省</v>
      </c>
      <c r="G530">
        <v>11117</v>
      </c>
      <c r="H530" t="s">
        <v>2820</v>
      </c>
      <c r="I530" t="s">
        <v>2807</v>
      </c>
      <c r="J530" t="e">
        <f>VLOOKUP(F530,[1]!china_towns_second__2[[Column1]:[Y]],3,FALSE)</f>
        <v>#N/A</v>
      </c>
      <c r="K530" t="e">
        <f>VLOOKUP(F530,[1]!china_towns_second__2[[Column1]:[Y]],2,FALSE)</f>
        <v>#N/A</v>
      </c>
      <c r="L530" t="s">
        <v>4089</v>
      </c>
      <c r="M530" t="str">
        <f>VLOOKUP(H530,CHOOSE({1,2},Table17[Native],Table17[Name]),2,0)</f>
        <v>Xúndiàn Huízú Yízú Zìzhìxiàn</v>
      </c>
      <c r="N530" s="15" t="str">
        <f>VLOOKUP(I530,CHOOSE({1,2},Table17[Native],Table17[Name]),2,0)</f>
        <v>Kūnmíng Shì</v>
      </c>
      <c r="O530" s="15" t="str">
        <f t="shared" si="16"/>
        <v>Lianhe Xiang (Kūnmíng Shì)</v>
      </c>
      <c r="P530" s="15" t="str">
        <f t="shared" si="17"/>
        <v>Lianhe Xiang (Kūnmíng Shì)</v>
      </c>
    </row>
    <row r="531" spans="1:16" hidden="1" x14ac:dyDescent="0.25">
      <c r="A531" t="s">
        <v>1156</v>
      </c>
      <c r="B531" t="str">
        <f>IF(COUNTIF(A:A,A531)&gt;1,_xlfn.CONCAT(A531," (",N531,")"),A531)</f>
        <v>Liánhuá Jiēdào</v>
      </c>
      <c r="C531" t="str">
        <f>IF(COUNTIF(B:B,B531)&gt;1,_xlfn.CONCAT(A531," (",M531,")"),B531)</f>
        <v>Liánhuá Jiēdào</v>
      </c>
      <c r="D531" t="s">
        <v>1157</v>
      </c>
      <c r="E531" t="s">
        <v>42</v>
      </c>
      <c r="F531" t="str">
        <f>_xlfn.CONCAT(D531,", ",H531,", ",I531,", ","云南省")</f>
        <v>莲华街道, 五华区, 昆明市, 云南省</v>
      </c>
      <c r="G531">
        <v>136461</v>
      </c>
      <c r="H531" t="s">
        <v>2818</v>
      </c>
      <c r="I531" t="s">
        <v>2807</v>
      </c>
      <c r="J531">
        <f>VLOOKUP(F531,[1]!china_towns_second__2[[Column1]:[Y]],3,FALSE)</f>
        <v>25.078937387473701</v>
      </c>
      <c r="K531">
        <f>VLOOKUP(F531,[1]!china_towns_second__2[[Column1]:[Y]],2,FALSE)</f>
        <v>102.6989049</v>
      </c>
      <c r="L531" t="s">
        <v>4090</v>
      </c>
      <c r="M531" t="str">
        <f>VLOOKUP(H531,CHOOSE({1,2},Table17[Native],Table17[Name]),2,0)</f>
        <v>Wŭhuá Qū</v>
      </c>
      <c r="N531" s="15" t="str">
        <f>VLOOKUP(I531,CHOOSE({1,2},Table17[Native],Table17[Name]),2,0)</f>
        <v>Kūnmíng Shì</v>
      </c>
      <c r="O531" s="15" t="str">
        <f t="shared" si="16"/>
        <v>Lianhua Jiedao (Kūnmíng Shì)</v>
      </c>
      <c r="P531" s="15" t="str">
        <f t="shared" si="17"/>
        <v>Lianhua Jiedao (Kūnmíng Shì)</v>
      </c>
    </row>
    <row r="532" spans="1:16" hidden="1" x14ac:dyDescent="0.25">
      <c r="A532" t="s">
        <v>885</v>
      </c>
      <c r="B532" t="str">
        <f>IF(COUNTIF(A:A,A532)&gt;1,_xlfn.CONCAT(A532," (",N532,")"),A532)</f>
        <v>Liánhuātān Xiāng</v>
      </c>
      <c r="C532" t="str">
        <f>IF(COUNTIF(B:B,B532)&gt;1,_xlfn.CONCAT(A532," (",M532,")"),B532)</f>
        <v>Liánhuātān Xiāng</v>
      </c>
      <c r="D532" t="s">
        <v>886</v>
      </c>
      <c r="E532" t="s">
        <v>7</v>
      </c>
      <c r="F532" t="str">
        <f>_xlfn.CONCAT(D532,", ",H532,", ",I532,", ","云南省")</f>
        <v>莲花滩乡, 河口瑶族自治县, 红河哈尼族彝族自治州, 云南省</v>
      </c>
      <c r="G532">
        <v>11665</v>
      </c>
      <c r="H532" t="s">
        <v>2794</v>
      </c>
      <c r="I532" t="s">
        <v>2792</v>
      </c>
      <c r="J532" t="e">
        <f>VLOOKUP(F532,[1]!china_towns_second__2[[Column1]:[Y]],3,FALSE)</f>
        <v>#N/A</v>
      </c>
      <c r="K532" t="e">
        <f>VLOOKUP(F532,[1]!china_towns_second__2[[Column1]:[Y]],2,FALSE)</f>
        <v>#N/A</v>
      </c>
      <c r="L532" t="s">
        <v>4091</v>
      </c>
      <c r="M532" t="str">
        <f>VLOOKUP(H532,CHOOSE({1,2},Table17[Native],Table17[Name]),2,0)</f>
        <v>Hékŏu Yáozú Zìzhìxiàn</v>
      </c>
      <c r="N532" s="15" t="str">
        <f>VLOOKUP(I532,CHOOSE({1,2},Table17[Native],Table17[Name]),2,0)</f>
        <v>Hónghé Hānízú Yízú Zìzhìzhōu</v>
      </c>
      <c r="O532" s="15" t="str">
        <f t="shared" si="16"/>
        <v>Lianhuatan Xiang (Hónghé Hānízú Yízú Zìzhìzhōu)</v>
      </c>
      <c r="P532" s="15" t="str">
        <f t="shared" si="17"/>
        <v>Lianhuatan Xiang (Hónghé Hānízú Yízú Zìzhìzhōu)</v>
      </c>
    </row>
    <row r="533" spans="1:16" hidden="1" x14ac:dyDescent="0.25">
      <c r="A533" t="s">
        <v>2155</v>
      </c>
      <c r="B533" t="str">
        <f>IF(COUNTIF(A:A,A533)&gt;1,_xlfn.CONCAT(A533," (",N533,")"),A533)</f>
        <v>Liánhuātáng Xiāng</v>
      </c>
      <c r="C533" t="str">
        <f>IF(COUNTIF(B:B,B533)&gt;1,_xlfn.CONCAT(A533," (",M533,")"),B533)</f>
        <v>Liánhuātáng Xiāng</v>
      </c>
      <c r="D533" t="s">
        <v>2156</v>
      </c>
      <c r="E533" t="s">
        <v>7</v>
      </c>
      <c r="F533" t="str">
        <f>_xlfn.CONCAT(D533,", ",H533,", ",I533,", ","云南省")</f>
        <v>莲花塘乡, 西畴县, 文山壮族苗族自治州, 云南省</v>
      </c>
      <c r="G533">
        <v>23050</v>
      </c>
      <c r="H533" t="s">
        <v>2879</v>
      </c>
      <c r="I533" t="s">
        <v>2872</v>
      </c>
      <c r="J533" t="e">
        <f>VLOOKUP(F533,[1]!china_towns_second__2[[Column1]:[Y]],3,FALSE)</f>
        <v>#N/A</v>
      </c>
      <c r="K533" t="e">
        <f>VLOOKUP(F533,[1]!china_towns_second__2[[Column1]:[Y]],2,FALSE)</f>
        <v>#N/A</v>
      </c>
      <c r="L533" t="s">
        <v>4092</v>
      </c>
      <c r="M533" t="str">
        <f>VLOOKUP(H533,CHOOSE({1,2},Table17[Native],Table17[Name]),2,0)</f>
        <v>Xīchóu Xiàn</v>
      </c>
      <c r="N533" s="15" t="str">
        <f>VLOOKUP(I533,CHOOSE({1,2},Table17[Native],Table17[Name]),2,0)</f>
        <v>Wénshān Zhuàngzú Miáozú Zìzhìzhōu</v>
      </c>
      <c r="O533" s="15" t="str">
        <f t="shared" si="16"/>
        <v>Lianhuatang Xiang (Wénshān Zhuàngzú Miáozú Zìzhìzhōu)</v>
      </c>
      <c r="P533" s="15" t="str">
        <f t="shared" si="17"/>
        <v>Lianhuatang Xiang (Wénshān Zhuàngzú Miáozú Zìzhìzhōu)</v>
      </c>
    </row>
    <row r="534" spans="1:16" hidden="1" x14ac:dyDescent="0.25">
      <c r="A534" t="s">
        <v>1158</v>
      </c>
      <c r="B534" t="str">
        <f>IF(COUNTIF(A:A,A534)&gt;1,_xlfn.CONCAT(A534," (",N534,")"),A534)</f>
        <v>Liánméng Jiēdào</v>
      </c>
      <c r="C534" t="str">
        <f>IF(COUNTIF(B:B,B534)&gt;1,_xlfn.CONCAT(A534," (",M534,")"),B534)</f>
        <v>Liánméng Jiēdào</v>
      </c>
      <c r="D534" t="s">
        <v>1159</v>
      </c>
      <c r="E534" t="s">
        <v>42</v>
      </c>
      <c r="F534" t="str">
        <f>_xlfn.CONCAT(D534,", ",H534,", ",I534,", ","云南省")</f>
        <v>联盟街道, 盘龙区, 昆明市, 云南省</v>
      </c>
      <c r="G534">
        <v>118962</v>
      </c>
      <c r="H534" t="s">
        <v>2815</v>
      </c>
      <c r="I534" t="s">
        <v>2807</v>
      </c>
      <c r="J534">
        <f>VLOOKUP(F534,[1]!china_towns_second__2[[Column1]:[Y]],3,FALSE)</f>
        <v>25.067987763515699</v>
      </c>
      <c r="K534">
        <f>VLOOKUP(F534,[1]!china_towns_second__2[[Column1]:[Y]],2,FALSE)</f>
        <v>102.7231611</v>
      </c>
      <c r="L534" t="s">
        <v>4093</v>
      </c>
      <c r="M534" t="str">
        <f>VLOOKUP(H534,CHOOSE({1,2},Table17[Native],Table17[Name]),2,0)</f>
        <v>Pánlóng Qū</v>
      </c>
      <c r="N534" s="15" t="str">
        <f>VLOOKUP(I534,CHOOSE({1,2},Table17[Native],Table17[Name]),2,0)</f>
        <v>Kūnmíng Shì</v>
      </c>
      <c r="O534" s="15" t="str">
        <f t="shared" si="16"/>
        <v>Lianmeng Jiedao (Kūnmíng Shì)</v>
      </c>
      <c r="P534" s="15" t="str">
        <f t="shared" si="17"/>
        <v>Lianmeng Jiedao (Kūnmíng Shì)</v>
      </c>
    </row>
    <row r="535" spans="1:16" hidden="1" x14ac:dyDescent="0.25">
      <c r="A535" t="s">
        <v>1160</v>
      </c>
      <c r="B535" t="str">
        <f>IF(COUNTIF(A:A,A535)&gt;1,_xlfn.CONCAT(A535," (",N535,")"),A535)</f>
        <v>Liánrán Jiēdào</v>
      </c>
      <c r="C535" t="str">
        <f>IF(COUNTIF(B:B,B535)&gt;1,_xlfn.CONCAT(A535," (",M535,")"),B535)</f>
        <v>Liánrán Jiēdào</v>
      </c>
      <c r="D535" t="s">
        <v>1161</v>
      </c>
      <c r="E535" t="s">
        <v>42</v>
      </c>
      <c r="F535" t="str">
        <f>_xlfn.CONCAT(D535,", ",H535,", ",I535,", ","云南省")</f>
        <v>连然街道, 安宁市, 昆明市, 云南省</v>
      </c>
      <c r="G535">
        <v>114810</v>
      </c>
      <c r="H535" t="s">
        <v>2808</v>
      </c>
      <c r="I535" t="s">
        <v>2807</v>
      </c>
      <c r="J535">
        <f>VLOOKUP(F535,[1]!china_towns_second__2[[Column1]:[Y]],3,FALSE)</f>
        <v>24.936234313799901</v>
      </c>
      <c r="K535">
        <f>VLOOKUP(F535,[1]!china_towns_second__2[[Column1]:[Y]],2,FALSE)</f>
        <v>102.4904592</v>
      </c>
      <c r="L535" t="s">
        <v>4094</v>
      </c>
      <c r="M535" t="str">
        <f>VLOOKUP(H535,CHOOSE({1,2},Table17[Native],Table17[Name]),2,0)</f>
        <v>Ānníng Shì</v>
      </c>
      <c r="N535" s="15" t="str">
        <f>VLOOKUP(I535,CHOOSE({1,2},Table17[Native],Table17[Name]),2,0)</f>
        <v>Kūnmíng Shì</v>
      </c>
      <c r="O535" s="15" t="str">
        <f t="shared" si="16"/>
        <v>Lianran Jiedao (Kūnmíng Shì)</v>
      </c>
      <c r="P535" s="15" t="str">
        <f t="shared" si="17"/>
        <v>Lianran Jiedao (Kūnmíng Shì)</v>
      </c>
    </row>
    <row r="536" spans="1:16" hidden="1" x14ac:dyDescent="0.25">
      <c r="A536" t="s">
        <v>462</v>
      </c>
      <c r="B536" t="str">
        <f>IF(COUNTIF(A:A,A536)&gt;1,_xlfn.CONCAT(A536," (",N536,")"),A536)</f>
        <v>Liàntiĕ Xiāng</v>
      </c>
      <c r="C536" t="str">
        <f>IF(COUNTIF(B:B,B536)&gt;1,_xlfn.CONCAT(A536," (",M536,")"),B536)</f>
        <v>Liàntiĕ Xiāng</v>
      </c>
      <c r="D536" t="s">
        <v>463</v>
      </c>
      <c r="E536" t="s">
        <v>7</v>
      </c>
      <c r="F536" t="str">
        <f>_xlfn.CONCAT(D536,", ",H536,", ",I536,", ","云南省")</f>
        <v>炼铁乡, 洱源县, 大理白族自治州, 云南省</v>
      </c>
      <c r="G536">
        <v>22806</v>
      </c>
      <c r="H536" t="s">
        <v>2766</v>
      </c>
      <c r="I536" t="s">
        <v>2763</v>
      </c>
      <c r="J536" t="e">
        <f>VLOOKUP(F536,[1]!china_towns_second__2[[Column1]:[Y]],3,FALSE)</f>
        <v>#N/A</v>
      </c>
      <c r="K536" t="e">
        <f>VLOOKUP(F536,[1]!china_towns_second__2[[Column1]:[Y]],2,FALSE)</f>
        <v>#N/A</v>
      </c>
      <c r="L536" t="s">
        <v>4095</v>
      </c>
      <c r="M536" t="str">
        <f>VLOOKUP(H536,CHOOSE({1,2},Table17[Native],Table17[Name]),2,0)</f>
        <v>Ĕryuán Xiàn</v>
      </c>
      <c r="N536" s="15" t="str">
        <f>VLOOKUP(I536,CHOOSE({1,2},Table17[Native],Table17[Name]),2,0)</f>
        <v>Dàlĭ Báizú Zìzhìzhōu</v>
      </c>
      <c r="O536" s="15" t="str">
        <f t="shared" si="16"/>
        <v>Liantie Xiang (Dàlĭ Báizú Zìzhìzhōu)</v>
      </c>
      <c r="P536" s="15" t="str">
        <f t="shared" si="17"/>
        <v>Liantie Xiang (Dàlĭ Báizú Zìzhìzhōu)</v>
      </c>
    </row>
    <row r="537" spans="1:16" hidden="1" x14ac:dyDescent="0.25">
      <c r="A537" t="s">
        <v>1721</v>
      </c>
      <c r="B537" t="str">
        <f>IF(COUNTIF(A:A,A537)&gt;1,_xlfn.CONCAT(A537," (",N537,")"),A537)</f>
        <v>Liánzhū Zhèn</v>
      </c>
      <c r="C537" t="str">
        <f>IF(COUNTIF(B:B,B537)&gt;1,_xlfn.CONCAT(A537," (",M537,")"),B537)</f>
        <v>Liánzhū Zhèn</v>
      </c>
      <c r="D537" t="s">
        <v>1722</v>
      </c>
      <c r="E537" t="s">
        <v>11</v>
      </c>
      <c r="F537" t="str">
        <f>_xlfn.CONCAT(D537,", ",H537,", ",I537,", ","云南省")</f>
        <v>联珠镇, 墨江哈尼族自治县, 普洱市, 云南省</v>
      </c>
      <c r="G537">
        <v>91879</v>
      </c>
      <c r="H537" t="s">
        <v>2854</v>
      </c>
      <c r="I537" t="s">
        <v>2848</v>
      </c>
      <c r="J537">
        <f>VLOOKUP(F537,[1]!china_towns_second__2[[Column1]:[Y]],3,FALSE)</f>
        <v>23.4392171714108</v>
      </c>
      <c r="K537">
        <f>VLOOKUP(F537,[1]!china_towns_second__2[[Column1]:[Y]],2,FALSE)</f>
        <v>101.6275486</v>
      </c>
      <c r="L537" t="s">
        <v>4096</v>
      </c>
      <c r="M537" t="str">
        <f>VLOOKUP(H537,CHOOSE({1,2},Table17[Native],Table17[Name]),2,0)</f>
        <v>Mòjiāng Hānízú Zìzhìxiàn</v>
      </c>
      <c r="N537" s="15" t="str">
        <f>VLOOKUP(I537,CHOOSE({1,2},Table17[Native],Table17[Name]),2,0)</f>
        <v>Pŭ'ĕr Shì</v>
      </c>
      <c r="O537" s="15" t="str">
        <f t="shared" si="16"/>
        <v>Lianzhu Zhen (Pŭ'ĕr Shì)</v>
      </c>
      <c r="P537" s="15" t="str">
        <f t="shared" si="17"/>
        <v>Lianzhu Zhen (Pŭ'ĕr Shì)</v>
      </c>
    </row>
    <row r="538" spans="1:16" hidden="1" x14ac:dyDescent="0.25">
      <c r="A538" t="s">
        <v>1945</v>
      </c>
      <c r="B538" t="str">
        <f>IF(COUNTIF(A:A,A538)&gt;1,_xlfn.CONCAT(A538," (",N538,")"),A538)</f>
        <v>Liáokuò Jiēdào</v>
      </c>
      <c r="C538" t="str">
        <f>IF(COUNTIF(B:B,B538)&gt;1,_xlfn.CONCAT(A538," (",M538,")"),B538)</f>
        <v>Liáokuò Jiēdào</v>
      </c>
      <c r="D538" t="s">
        <v>1946</v>
      </c>
      <c r="E538" t="s">
        <v>42</v>
      </c>
      <c r="F538" t="str">
        <f>_xlfn.CONCAT(D538,", ",H538,", ",I538,", ","云南省")</f>
        <v>寥廓街道, 麒麟区, 曲靖市, 云南省</v>
      </c>
      <c r="G538">
        <v>102639</v>
      </c>
      <c r="H538" t="s">
        <v>2866</v>
      </c>
      <c r="I538" t="s">
        <v>2860</v>
      </c>
      <c r="J538">
        <f>VLOOKUP(F538,[1]!china_towns_second__2[[Column1]:[Y]],3,FALSE)</f>
        <v>25.415994561483199</v>
      </c>
      <c r="K538">
        <f>VLOOKUP(F538,[1]!china_towns_second__2[[Column1]:[Y]],2,FALSE)</f>
        <v>103.7368511</v>
      </c>
      <c r="L538" t="s">
        <v>4097</v>
      </c>
      <c r="M538" t="str">
        <f>VLOOKUP(H538,CHOOSE({1,2},Table17[Native],Table17[Name]),2,0)</f>
        <v>Qílín Qū</v>
      </c>
      <c r="N538" s="15" t="str">
        <f>VLOOKUP(I538,CHOOSE({1,2},Table17[Native],Table17[Name]),2,0)</f>
        <v>Qŭjìng Shì</v>
      </c>
      <c r="O538" s="15" t="str">
        <f t="shared" si="16"/>
        <v>Liaokuo Jiedao (Qŭjìng Shì)</v>
      </c>
      <c r="P538" s="15" t="str">
        <f t="shared" si="17"/>
        <v>Liaokuo Jiedao (Qŭjìng Shì)</v>
      </c>
    </row>
    <row r="539" spans="1:16" hidden="1" x14ac:dyDescent="0.25">
      <c r="A539" t="s">
        <v>2157</v>
      </c>
      <c r="B539" t="str">
        <f>IF(COUNTIF(A:A,A539)&gt;1,_xlfn.CONCAT(A539," (",N539,")"),A539)</f>
        <v>Lĭdá Zhèn</v>
      </c>
      <c r="C539" t="str">
        <f>IF(COUNTIF(B:B,B539)&gt;1,_xlfn.CONCAT(A539," (",M539,")"),B539)</f>
        <v>Lĭdá Zhèn</v>
      </c>
      <c r="D539" t="s">
        <v>2158</v>
      </c>
      <c r="E539" t="s">
        <v>11</v>
      </c>
      <c r="F539" t="str">
        <f>_xlfn.CONCAT(D539,", ",H539,", ",I539,", ","云南省")</f>
        <v>里达镇, 富宁县, 文山壮族苗族自治州, 云南省</v>
      </c>
      <c r="G539">
        <v>21858</v>
      </c>
      <c r="H539" t="s">
        <v>2873</v>
      </c>
      <c r="I539" t="s">
        <v>2872</v>
      </c>
      <c r="J539">
        <f>VLOOKUP(F539,[1]!china_towns_second__2[[Column1]:[Y]],3,FALSE)</f>
        <v>23.4960262826595</v>
      </c>
      <c r="K539">
        <f>VLOOKUP(F539,[1]!china_towns_second__2[[Column1]:[Y]],2,FALSE)</f>
        <v>105.5638841</v>
      </c>
      <c r="L539" t="s">
        <v>4098</v>
      </c>
      <c r="M539" t="str">
        <f>VLOOKUP(H539,CHOOSE({1,2},Table17[Native],Table17[Name]),2,0)</f>
        <v>Fùníng Xiàn</v>
      </c>
      <c r="N539" s="15" t="str">
        <f>VLOOKUP(I539,CHOOSE({1,2},Table17[Native],Table17[Name]),2,0)</f>
        <v>Wénshān Zhuàngzú Miáozú Zìzhìzhōu</v>
      </c>
      <c r="O539" s="15" t="str">
        <f t="shared" si="16"/>
        <v>Lida Zhen (Wénshān Zhuàngzú Miáozú Zìzhìzhōu)</v>
      </c>
      <c r="P539" s="15" t="str">
        <f t="shared" si="17"/>
        <v>Lida Zhen (Wénshān Zhuàngzú Miáozú Zìzhìzhōu)</v>
      </c>
    </row>
    <row r="540" spans="1:16" hidden="1" x14ac:dyDescent="0.25">
      <c r="A540" t="s">
        <v>887</v>
      </c>
      <c r="B540" t="str">
        <f>IF(COUNTIF(A:A,A540)&gt;1,_xlfn.CONCAT(A540," (",N540,")"),A540)</f>
        <v>Lĭhàozhài Xiāng</v>
      </c>
      <c r="C540" t="str">
        <f>IF(COUNTIF(B:B,B540)&gt;1,_xlfn.CONCAT(A540," (",M540,")"),B540)</f>
        <v>Lĭhàozhài Xiāng</v>
      </c>
      <c r="D540" t="s">
        <v>888</v>
      </c>
      <c r="E540" t="s">
        <v>7</v>
      </c>
      <c r="F540" t="str">
        <f>_xlfn.CONCAT(D540,", ",H540,", ",I540,", ","云南省")</f>
        <v>李浩寨乡, 建水县, 红河哈尼族彝族自治州, 云南省</v>
      </c>
      <c r="G540">
        <v>15105</v>
      </c>
      <c r="H540" t="s">
        <v>2796</v>
      </c>
      <c r="I540" t="s">
        <v>2792</v>
      </c>
      <c r="J540" t="e">
        <f>VLOOKUP(F540,[1]!china_towns_second__2[[Column1]:[Y]],3,FALSE)</f>
        <v>#N/A</v>
      </c>
      <c r="K540" t="e">
        <f>VLOOKUP(F540,[1]!china_towns_second__2[[Column1]:[Y]],2,FALSE)</f>
        <v>#N/A</v>
      </c>
      <c r="L540" t="s">
        <v>4099</v>
      </c>
      <c r="M540" t="str">
        <f>VLOOKUP(H540,CHOOSE({1,2},Table17[Native],Table17[Name]),2,0)</f>
        <v>Jiànshuĭ Xiàn</v>
      </c>
      <c r="N540" s="15" t="str">
        <f>VLOOKUP(I540,CHOOSE({1,2},Table17[Native],Table17[Name]),2,0)</f>
        <v>Hónghé Hānízú Yízú Zìzhìzhōu</v>
      </c>
      <c r="O540" s="15" t="str">
        <f t="shared" si="16"/>
        <v>Lihaozhai Xiang (Hónghé Hānízú Yízú Zìzhìzhōu)</v>
      </c>
      <c r="P540" s="15" t="str">
        <f t="shared" si="17"/>
        <v>Lihaozhai Xiang (Hónghé Hānízú Yízú Zìzhìzhōu)</v>
      </c>
    </row>
    <row r="541" spans="1:16" hidden="1" x14ac:dyDescent="0.25">
      <c r="A541" t="s">
        <v>2379</v>
      </c>
      <c r="B541" t="str">
        <f>IF(COUNTIF(A:A,A541)&gt;1,_xlfn.CONCAT(A541," (",N541,")"),A541)</f>
        <v>Lĭjiāng Zhèn [incl. Lĭjiāng Jiēdào, Hónghé Jiēdào]</v>
      </c>
      <c r="C541" t="str">
        <f>IF(COUNTIF(B:B,B541)&gt;1,_xlfn.CONCAT(A541," (",M541,")"),B541)</f>
        <v>Lĭjiāng Zhèn [incl. Lĭjiāng Jiēdào, Hónghé Jiēdào]</v>
      </c>
      <c r="D541" t="s">
        <v>2380</v>
      </c>
      <c r="E541" t="s">
        <v>11</v>
      </c>
      <c r="F541" t="str">
        <f>_xlfn.CONCAT(D541,", ",H541,", ",I541,", ","云南省")</f>
        <v>澧江镇, 元江哈尼族彝族傣族自治县, 玉溪市, 云南省</v>
      </c>
      <c r="G541">
        <v>72853</v>
      </c>
      <c r="H541" t="s">
        <v>2897</v>
      </c>
      <c r="I541" t="s">
        <v>2888</v>
      </c>
      <c r="J541">
        <f>VLOOKUP(F541,[1]!china_towns_second__2[[Column1]:[Y]],3,FALSE)</f>
        <v>23.530069175292599</v>
      </c>
      <c r="K541">
        <f>VLOOKUP(F541,[1]!china_towns_second__2[[Column1]:[Y]],2,FALSE)</f>
        <v>102.0601056</v>
      </c>
      <c r="L541" t="s">
        <v>4100</v>
      </c>
      <c r="M541" t="str">
        <f>VLOOKUP(H541,CHOOSE({1,2},Table17[Native],Table17[Name]),2,0)</f>
        <v>Yuánjiāng Hānízú Yízú Dăizú Zìzhìxiàn</v>
      </c>
      <c r="N541" s="15" t="str">
        <f>VLOOKUP(I541,CHOOSE({1,2},Table17[Native],Table17[Name]),2,0)</f>
        <v>Yùxī Shì</v>
      </c>
      <c r="O541" s="15" t="str">
        <f t="shared" si="16"/>
        <v>Lijiang Zhen [incl. Lijiang Jiedao, Honghe Jiedao] (Yùxī Shì)</v>
      </c>
      <c r="P541" s="15" t="str">
        <f t="shared" si="17"/>
        <v>Lijiang Zhen [incl. Lijiang Jiedao, Honghe Jiedao] (Yùxī Shì)</v>
      </c>
    </row>
    <row r="542" spans="1:16" hidden="1" x14ac:dyDescent="0.25">
      <c r="A542" t="s">
        <v>464</v>
      </c>
      <c r="B542" t="str">
        <f>IF(COUNTIF(A:A,A542)&gt;1,_xlfn.CONCAT(A542," (",N542,")"),A542)</f>
        <v>Lìjiăo Zhèn</v>
      </c>
      <c r="C542" t="str">
        <f>IF(COUNTIF(B:B,B542)&gt;1,_xlfn.CONCAT(A542," (",M542,")"),B542)</f>
        <v>Lìjiăo Zhèn</v>
      </c>
      <c r="D542" t="s">
        <v>465</v>
      </c>
      <c r="E542" t="s">
        <v>11</v>
      </c>
      <c r="F542" t="str">
        <f>_xlfn.CONCAT(D542,", ",H542,", ",I542,", ","云南省")</f>
        <v>力角镇, 宾川县, 大理白族自治州, 云南省</v>
      </c>
      <c r="G542">
        <v>31425</v>
      </c>
      <c r="H542" t="s">
        <v>2764</v>
      </c>
      <c r="I542" t="s">
        <v>2763</v>
      </c>
      <c r="J542">
        <f>VLOOKUP(F542,[1]!china_towns_second__2[[Column1]:[Y]],3,FALSE)</f>
        <v>25.954418109304601</v>
      </c>
      <c r="K542">
        <f>VLOOKUP(F542,[1]!china_towns_second__2[[Column1]:[Y]],2,FALSE)</f>
        <v>100.5710933</v>
      </c>
      <c r="L542" t="s">
        <v>4101</v>
      </c>
      <c r="M542" t="str">
        <f>VLOOKUP(H542,CHOOSE({1,2},Table17[Native],Table17[Name]),2,0)</f>
        <v>Bīnchuān Xiàn</v>
      </c>
      <c r="N542" s="15" t="str">
        <f>VLOOKUP(I542,CHOOSE({1,2},Table17[Native],Table17[Name]),2,0)</f>
        <v>Dàlĭ Báizú Zìzhìzhōu</v>
      </c>
      <c r="O542" s="15" t="str">
        <f t="shared" si="16"/>
        <v>Lijiao Zhen (Dàlĭ Báizú Zìzhìzhōu)</v>
      </c>
      <c r="P542" s="15" t="str">
        <f t="shared" si="17"/>
        <v>Lijiao Zhen (Dàlĭ Báizú Zìzhìzhōu)</v>
      </c>
    </row>
    <row r="543" spans="1:16" hidden="1" x14ac:dyDescent="0.25">
      <c r="A543" t="s">
        <v>889</v>
      </c>
      <c r="B543" t="str">
        <f>IF(COUNTIF(A:A,A543)&gt;1,_xlfn.CONCAT(A543," (",N543,")"),A543)</f>
        <v>Lìmín Xiāng</v>
      </c>
      <c r="C543" t="str">
        <f>IF(COUNTIF(B:B,B543)&gt;1,_xlfn.CONCAT(A543," (",M543,")"),B543)</f>
        <v>Lìmín Xiāng</v>
      </c>
      <c r="D543" t="s">
        <v>890</v>
      </c>
      <c r="E543" t="s">
        <v>7</v>
      </c>
      <c r="F543" t="str">
        <f>_xlfn.CONCAT(D543,", ",H543,", ",I543,", ","云南省")</f>
        <v>利民乡, 建水县, 红河哈尼族彝族自治州, 云南省</v>
      </c>
      <c r="G543">
        <v>14227</v>
      </c>
      <c r="H543" t="s">
        <v>2796</v>
      </c>
      <c r="I543" t="s">
        <v>2792</v>
      </c>
      <c r="J543" t="e">
        <f>VLOOKUP(F543,[1]!china_towns_second__2[[Column1]:[Y]],3,FALSE)</f>
        <v>#N/A</v>
      </c>
      <c r="K543" t="e">
        <f>VLOOKUP(F543,[1]!china_towns_second__2[[Column1]:[Y]],2,FALSE)</f>
        <v>#N/A</v>
      </c>
      <c r="L543" t="s">
        <v>4102</v>
      </c>
      <c r="M543" t="str">
        <f>VLOOKUP(H543,CHOOSE({1,2},Table17[Native],Table17[Name]),2,0)</f>
        <v>Jiànshuĭ Xiàn</v>
      </c>
      <c r="N543" s="15" t="str">
        <f>VLOOKUP(I543,CHOOSE({1,2},Table17[Native],Table17[Name]),2,0)</f>
        <v>Hónghé Hānízú Yízú Zìzhìzhōu</v>
      </c>
      <c r="O543" s="15" t="str">
        <f t="shared" si="16"/>
        <v>Limin Xiang (Hónghé Hānízú Yízú Zìzhìzhōu)</v>
      </c>
      <c r="P543" s="15" t="str">
        <f t="shared" si="17"/>
        <v>Limin Xiang (Hónghé Hānízú Yízú Zìzhìzhōu)</v>
      </c>
    </row>
    <row r="544" spans="1:16" hidden="1" x14ac:dyDescent="0.25">
      <c r="A544" t="s">
        <v>1357</v>
      </c>
      <c r="B544" t="str">
        <f>IF(COUNTIF(A:A,A544)&gt;1,_xlfn.CONCAT(A544," (",N544,")"),A544)</f>
        <v>Límíng Lìsùzú Xiāng</v>
      </c>
      <c r="C544" t="str">
        <f>IF(COUNTIF(B:B,B544)&gt;1,_xlfn.CONCAT(A544," (",M544,")"),B544)</f>
        <v>Límíng Lìsùzú Xiāng</v>
      </c>
      <c r="D544" t="s">
        <v>1358</v>
      </c>
      <c r="E544" t="s">
        <v>7</v>
      </c>
      <c r="F544" t="str">
        <f>_xlfn.CONCAT(D544,", ",H544,", ",I544,", ","云南省")</f>
        <v>黎明傈僳族乡, 玉龙纳西族自治县, 丽江市, 云南省</v>
      </c>
      <c r="G544">
        <v>15344</v>
      </c>
      <c r="H544" t="s">
        <v>2829</v>
      </c>
      <c r="I544" t="s">
        <v>2823</v>
      </c>
      <c r="J544" t="e">
        <f>VLOOKUP(F544,[1]!china_towns_second__2[[Column1]:[Y]],3,FALSE)</f>
        <v>#N/A</v>
      </c>
      <c r="K544" t="e">
        <f>VLOOKUP(F544,[1]!china_towns_second__2[[Column1]:[Y]],2,FALSE)</f>
        <v>#N/A</v>
      </c>
      <c r="L544" t="s">
        <v>4103</v>
      </c>
      <c r="M544" t="str">
        <f>VLOOKUP(H544,CHOOSE({1,2},Table17[Native],Table17[Name]),2,0)</f>
        <v>Yùlóng Nàxīzú Zìzhìxiàn</v>
      </c>
      <c r="N544" s="15" t="str">
        <f>VLOOKUP(I544,CHOOSE({1,2},Table17[Native],Table17[Name]),2,0)</f>
        <v>Lìjiāng Shì</v>
      </c>
      <c r="O544" s="15" t="str">
        <f t="shared" si="16"/>
        <v>Liming Lisuzu Xiang (Lìjiāng Shì)</v>
      </c>
      <c r="P544" s="15" t="str">
        <f t="shared" si="17"/>
        <v>Liming Lisuzu Xiang (Lìjiāng Shì)</v>
      </c>
    </row>
    <row r="545" spans="1:16" hidden="1" x14ac:dyDescent="0.25">
      <c r="A545" t="s">
        <v>1723</v>
      </c>
      <c r="B545" t="str">
        <f>IF(COUNTIF(A:A,A545)&gt;1,_xlfn.CONCAT(A545," (",N545,")"),A545)</f>
        <v>Límíng Xiāng</v>
      </c>
      <c r="C545" t="str">
        <f>IF(COUNTIF(B:B,B545)&gt;1,_xlfn.CONCAT(A545," (",M545,")"),B545)</f>
        <v>Límíng Xiāng</v>
      </c>
      <c r="D545" t="s">
        <v>1724</v>
      </c>
      <c r="E545" t="s">
        <v>7</v>
      </c>
      <c r="F545" t="str">
        <f>_xlfn.CONCAT(D545,", ",H545,", ",I545,", ","云南省")</f>
        <v>黎明乡, 宁洱哈尼族彝族自治县, 普洱市, 云南省</v>
      </c>
      <c r="G545">
        <v>10145</v>
      </c>
      <c r="H545" t="s">
        <v>2855</v>
      </c>
      <c r="I545" t="s">
        <v>2848</v>
      </c>
      <c r="J545" t="e">
        <f>VLOOKUP(F545,[1]!china_towns_second__2[[Column1]:[Y]],3,FALSE)</f>
        <v>#N/A</v>
      </c>
      <c r="K545" t="e">
        <f>VLOOKUP(F545,[1]!china_towns_second__2[[Column1]:[Y]],2,FALSE)</f>
        <v>#N/A</v>
      </c>
      <c r="L545" t="s">
        <v>4104</v>
      </c>
      <c r="M545" t="str">
        <f>VLOOKUP(H545,CHOOSE({1,2},Table17[Native],Table17[Name]),2,0)</f>
        <v>Níng'ĕr Hānízú Yízú Zìzhìxiàn</v>
      </c>
      <c r="N545" s="15" t="str">
        <f>VLOOKUP(I545,CHOOSE({1,2},Table17[Native],Table17[Name]),2,0)</f>
        <v>Pŭ'ĕr Shì</v>
      </c>
      <c r="O545" s="15" t="str">
        <f t="shared" si="16"/>
        <v>Liming Xiang (Pŭ'ĕr Shì)</v>
      </c>
      <c r="P545" s="15" t="str">
        <f t="shared" si="17"/>
        <v>Liming Xiang (Pŭ'ĕr Shì)</v>
      </c>
    </row>
    <row r="546" spans="1:16" hidden="1" x14ac:dyDescent="0.25">
      <c r="A546" t="s">
        <v>891</v>
      </c>
      <c r="B546" t="str">
        <f>IF(COUNTIF(A:A,A546)&gt;1,_xlfn.CONCAT(A546," (",N546,")"),A546)</f>
        <v>Lín'ān Zhèn</v>
      </c>
      <c r="C546" t="str">
        <f>IF(COUNTIF(B:B,B546)&gt;1,_xlfn.CONCAT(A546," (",M546,")"),B546)</f>
        <v>Lín'ān Zhèn</v>
      </c>
      <c r="D546" t="s">
        <v>892</v>
      </c>
      <c r="E546" t="s">
        <v>11</v>
      </c>
      <c r="F546" t="str">
        <f>_xlfn.CONCAT(D546,", ",H546,", ",I546,", ","云南省")</f>
        <v>临安镇, 建水县, 红河哈尼族彝族自治州, 云南省</v>
      </c>
      <c r="G546">
        <v>177303</v>
      </c>
      <c r="H546" t="s">
        <v>2796</v>
      </c>
      <c r="I546" t="s">
        <v>2792</v>
      </c>
      <c r="J546">
        <f>VLOOKUP(F546,[1]!china_towns_second__2[[Column1]:[Y]],3,FALSE)</f>
        <v>23.5806134230377</v>
      </c>
      <c r="K546">
        <f>VLOOKUP(F546,[1]!china_towns_second__2[[Column1]:[Y]],2,FALSE)</f>
        <v>102.8782424</v>
      </c>
      <c r="L546" t="s">
        <v>4105</v>
      </c>
      <c r="M546" t="str">
        <f>VLOOKUP(H546,CHOOSE({1,2},Table17[Native],Table17[Name]),2,0)</f>
        <v>Jiànshuĭ Xiàn</v>
      </c>
      <c r="N546" s="15" t="str">
        <f>VLOOKUP(I546,CHOOSE({1,2},Table17[Native],Table17[Name]),2,0)</f>
        <v>Hónghé Hānízú Yízú Zìzhìzhōu</v>
      </c>
      <c r="O546" s="15" t="str">
        <f t="shared" si="16"/>
        <v>Lin'an Zhen (Hónghé Hānízú Yízú Zìzhìzhōu)</v>
      </c>
      <c r="P546" s="15" t="str">
        <f t="shared" si="17"/>
        <v>Lin'an Zhen (Hónghé Hānízú Yízú Zìzhìzhōu)</v>
      </c>
    </row>
    <row r="547" spans="1:16" hidden="1" x14ac:dyDescent="0.25">
      <c r="A547" t="s">
        <v>2555</v>
      </c>
      <c r="B547" t="str">
        <f>IF(COUNTIF(A:A,A547)&gt;1,_xlfn.CONCAT(A547," (",N547,")"),A547)</f>
        <v>Línfèng Zhèn</v>
      </c>
      <c r="C547" t="str">
        <f>IF(COUNTIF(B:B,B547)&gt;1,_xlfn.CONCAT(A547," (",M547,")"),B547)</f>
        <v>Línfèng Zhèn</v>
      </c>
      <c r="D547" t="s">
        <v>2556</v>
      </c>
      <c r="E547" t="s">
        <v>11</v>
      </c>
      <c r="F547" t="str">
        <f>_xlfn.CONCAT(D547,", ",H547,", ",I547,", ","云南省")</f>
        <v>麟凤镇, 威信县, 昭通市, 云南省</v>
      </c>
      <c r="G547">
        <v>39763</v>
      </c>
      <c r="H547" t="s">
        <v>2905</v>
      </c>
      <c r="I547" t="s">
        <v>2899</v>
      </c>
      <c r="J547">
        <f>VLOOKUP(F547,[1]!china_towns_second__2[[Column1]:[Y]],3,FALSE)</f>
        <v>27.8576747</v>
      </c>
      <c r="K547">
        <f>VLOOKUP(F547,[1]!china_towns_second__2[[Column1]:[Y]],2,FALSE)</f>
        <v>104.8661231</v>
      </c>
      <c r="L547" t="s">
        <v>4106</v>
      </c>
      <c r="M547" t="str">
        <f>VLOOKUP(H547,CHOOSE({1,2},Table17[Native],Table17[Name]),2,0)</f>
        <v>Wēixìn Xiàn</v>
      </c>
      <c r="N547" s="15" t="str">
        <f>VLOOKUP(I547,CHOOSE({1,2},Table17[Native],Table17[Name]),2,0)</f>
        <v>Zhāotōng Shì</v>
      </c>
      <c r="O547" s="15" t="str">
        <f t="shared" si="16"/>
        <v>Linfeng Zhen (Zhāotōng Shì)</v>
      </c>
      <c r="P547" s="15" t="str">
        <f t="shared" si="17"/>
        <v>Linfeng Zhen (Zhāotōng Shì)</v>
      </c>
    </row>
    <row r="548" spans="1:16" hidden="1" x14ac:dyDescent="0.25">
      <c r="A548" t="s">
        <v>1947</v>
      </c>
      <c r="B548" t="str">
        <f>IF(COUNTIF(A:A,A548)&gt;1,_xlfn.CONCAT(A548," (",N548,")"),A548)</f>
        <v>Língjiăo Xiāng</v>
      </c>
      <c r="C548" t="str">
        <f>IF(COUNTIF(B:B,B548)&gt;1,_xlfn.CONCAT(A548," (",M548,")"),B548)</f>
        <v>Língjiăo Xiāng</v>
      </c>
      <c r="D548" t="s">
        <v>1948</v>
      </c>
      <c r="E548" t="s">
        <v>7</v>
      </c>
      <c r="F548" t="str">
        <f>_xlfn.CONCAT(D548,", ",H548,", ",I548,", ","云南省")</f>
        <v>菱角乡, 沾益区, 曲靖市, 云南省</v>
      </c>
      <c r="G548">
        <v>48694</v>
      </c>
      <c r="H548" t="s">
        <v>2869</v>
      </c>
      <c r="I548" t="s">
        <v>2860</v>
      </c>
      <c r="J548" t="e">
        <f>VLOOKUP(F548,[1]!china_towns_second__2[[Column1]:[Y]],3,FALSE)</f>
        <v>#N/A</v>
      </c>
      <c r="K548" t="e">
        <f>VLOOKUP(F548,[1]!china_towns_second__2[[Column1]:[Y]],2,FALSE)</f>
        <v>#N/A</v>
      </c>
      <c r="L548" t="s">
        <v>4107</v>
      </c>
      <c r="M548" t="str">
        <f>VLOOKUP(H548,CHOOSE({1,2},Table17[Native],Table17[Name]),2,0)</f>
        <v>Zhānyì Qū</v>
      </c>
      <c r="N548" s="15" t="str">
        <f>VLOOKUP(I548,CHOOSE({1,2},Table17[Native],Table17[Name]),2,0)</f>
        <v>Qŭjìng Shì</v>
      </c>
      <c r="O548" s="15" t="str">
        <f t="shared" si="16"/>
        <v>Lingjiao Xiang (Qŭjìng Shì)</v>
      </c>
      <c r="P548" s="15" t="str">
        <f t="shared" si="17"/>
        <v>Lingjiao Xiang (Qŭjìng Shì)</v>
      </c>
    </row>
    <row r="549" spans="1:16" hidden="1" x14ac:dyDescent="0.25">
      <c r="A549" t="s">
        <v>893</v>
      </c>
      <c r="B549" t="str">
        <f>IF(COUNTIF(A:A,A549)&gt;1,_xlfn.CONCAT(A549," (",N549,")"),A549)</f>
        <v>Língquán Jiēdào</v>
      </c>
      <c r="C549" t="str">
        <f>IF(COUNTIF(B:B,B549)&gt;1,_xlfn.CONCAT(A549," (",M549,")"),B549)</f>
        <v>Língquán Jiēdào</v>
      </c>
      <c r="D549" t="s">
        <v>894</v>
      </c>
      <c r="E549" t="s">
        <v>42</v>
      </c>
      <c r="F549" t="str">
        <f>_xlfn.CONCAT(D549,", ",H549,", ",I549,", ","云南省")</f>
        <v>灵泉街道, 开远市, 红河哈尼族彝族自治州, 云南省</v>
      </c>
      <c r="G549">
        <v>91413</v>
      </c>
      <c r="H549" t="s">
        <v>2798</v>
      </c>
      <c r="I549" t="s">
        <v>2792</v>
      </c>
      <c r="J549">
        <f>VLOOKUP(F549,[1]!china_towns_second__2[[Column1]:[Y]],3,FALSE)</f>
        <v>23.694179842333899</v>
      </c>
      <c r="K549">
        <f>VLOOKUP(F549,[1]!china_towns_second__2[[Column1]:[Y]],2,FALSE)</f>
        <v>103.1651985</v>
      </c>
      <c r="L549" t="s">
        <v>4108</v>
      </c>
      <c r="M549" t="str">
        <f>VLOOKUP(H549,CHOOSE({1,2},Table17[Native],Table17[Name]),2,0)</f>
        <v>Kāiyuăn Shì</v>
      </c>
      <c r="N549" s="15" t="str">
        <f>VLOOKUP(I549,CHOOSE({1,2},Table17[Native],Table17[Name]),2,0)</f>
        <v>Hónghé Hānízú Yízú Zìzhìzhōu</v>
      </c>
      <c r="O549" s="15" t="str">
        <f t="shared" si="16"/>
        <v>Lingquan Jiedao (Hónghé Hānízú Yízú Zìzhìzhōu)</v>
      </c>
      <c r="P549" s="15" t="str">
        <f t="shared" si="17"/>
        <v>Lingquan Jiedao (Hónghé Hānízú Yízú Zìzhìzhōu)</v>
      </c>
    </row>
    <row r="550" spans="1:16" hidden="1" x14ac:dyDescent="0.25">
      <c r="A550" t="s">
        <v>1725</v>
      </c>
      <c r="B550" t="str">
        <f>IF(COUNTIF(A:A,A550)&gt;1,_xlfn.CONCAT(A550," (",N550,")"),A550)</f>
        <v>Línjiē Xiāng</v>
      </c>
      <c r="C550" t="str">
        <f>IF(COUNTIF(B:B,B550)&gt;1,_xlfn.CONCAT(A550," (",M550,")"),B550)</f>
        <v>Línjiē Xiāng</v>
      </c>
      <c r="D550" t="s">
        <v>1726</v>
      </c>
      <c r="E550" t="s">
        <v>7</v>
      </c>
      <c r="F550" t="str">
        <f>_xlfn.CONCAT(D550,", ",H550,", ",I550,", ","云南省")</f>
        <v>林街乡, 景东彝族自治县, 普洱市, 云南省</v>
      </c>
      <c r="G550">
        <v>13583</v>
      </c>
      <c r="H550" t="s">
        <v>2850</v>
      </c>
      <c r="I550" t="s">
        <v>2848</v>
      </c>
      <c r="J550" t="e">
        <f>VLOOKUP(F550,[1]!china_towns_second__2[[Column1]:[Y]],3,FALSE)</f>
        <v>#N/A</v>
      </c>
      <c r="K550" t="e">
        <f>VLOOKUP(F550,[1]!china_towns_second__2[[Column1]:[Y]],2,FALSE)</f>
        <v>#N/A</v>
      </c>
      <c r="L550" t="s">
        <v>4109</v>
      </c>
      <c r="M550" t="str">
        <f>VLOOKUP(H550,CHOOSE({1,2},Table17[Native],Table17[Name]),2,0)</f>
        <v>Jĭngdōng Yízú Zìzhìxiàn</v>
      </c>
      <c r="N550" s="15" t="str">
        <f>VLOOKUP(I550,CHOOSE({1,2},Table17[Native],Table17[Name]),2,0)</f>
        <v>Pŭ'ĕr Shì</v>
      </c>
      <c r="O550" s="15" t="str">
        <f t="shared" si="16"/>
        <v>Linjie Xiang (Pŭ'ĕr Shì)</v>
      </c>
      <c r="P550" s="15" t="str">
        <f t="shared" si="17"/>
        <v>Linjie Xiang (Pŭ'ĕr Shì)</v>
      </c>
    </row>
    <row r="551" spans="1:16" hidden="1" x14ac:dyDescent="0.25">
      <c r="A551" t="s">
        <v>2557</v>
      </c>
      <c r="B551" t="str">
        <f>IF(COUNTIF(A:A,A551)&gt;1,_xlfn.CONCAT(A551," (",N551,")"),A551)</f>
        <v>Línkŏu Yízú Miáozú Xiāng</v>
      </c>
      <c r="C551" t="str">
        <f>IF(COUNTIF(B:B,B551)&gt;1,_xlfn.CONCAT(A551," (",M551,")"),B551)</f>
        <v>Línkŏu Yízú Miáozú Xiāng</v>
      </c>
      <c r="D551" t="s">
        <v>2558</v>
      </c>
      <c r="E551" t="s">
        <v>7</v>
      </c>
      <c r="F551" t="str">
        <f>_xlfn.CONCAT(D551,", ",H551,", ",I551,", ","云南省")</f>
        <v>林口彝族苗族乡, 镇雄县, 昭通市, 云南省</v>
      </c>
      <c r="G551">
        <v>39051</v>
      </c>
      <c r="H551" t="s">
        <v>2910</v>
      </c>
      <c r="I551" t="s">
        <v>2899</v>
      </c>
      <c r="J551" t="e">
        <f>VLOOKUP(F551,[1]!china_towns_second__2[[Column1]:[Y]],3,FALSE)</f>
        <v>#N/A</v>
      </c>
      <c r="K551" t="e">
        <f>VLOOKUP(F551,[1]!china_towns_second__2[[Column1]:[Y]],2,FALSE)</f>
        <v>#N/A</v>
      </c>
      <c r="L551" t="s">
        <v>4110</v>
      </c>
      <c r="M551" t="str">
        <f>VLOOKUP(H551,CHOOSE({1,2},Table17[Native],Table17[Name]),2,0)</f>
        <v>Zhènxióng Xiàn</v>
      </c>
      <c r="N551" s="15" t="str">
        <f>VLOOKUP(I551,CHOOSE({1,2},Table17[Native],Table17[Name]),2,0)</f>
        <v>Zhāotōng Shì</v>
      </c>
      <c r="O551" s="15" t="str">
        <f t="shared" si="16"/>
        <v>Linkou Yizu Miaozu Xiang (Zhāotōng Shì)</v>
      </c>
      <c r="P551" s="15" t="str">
        <f t="shared" si="17"/>
        <v>Linkou Yizu Miaozu Xiang (Zhāotōng Shì)</v>
      </c>
    </row>
    <row r="552" spans="1:16" hidden="1" x14ac:dyDescent="0.25">
      <c r="A552" t="s">
        <v>2381</v>
      </c>
      <c r="B552" t="str">
        <f>IF(COUNTIF(A:A,A552)&gt;1,_xlfn.CONCAT(A552," (",N552,")"),A552)</f>
        <v>Lĭqí Jiēdào</v>
      </c>
      <c r="C552" t="str">
        <f>IF(COUNTIF(B:B,B552)&gt;1,_xlfn.CONCAT(A552," (",M552,")"),B552)</f>
        <v>Lĭqí Jiēdào</v>
      </c>
      <c r="D552" t="s">
        <v>2382</v>
      </c>
      <c r="E552" t="s">
        <v>42</v>
      </c>
      <c r="F552" t="str">
        <f>_xlfn.CONCAT(D552,", ",H552,", ",I552,", ","云南省")</f>
        <v>李棋街道, 红塔区, 玉溪市, 云南省</v>
      </c>
      <c r="G552">
        <v>36783</v>
      </c>
      <c r="H552" t="s">
        <v>2891</v>
      </c>
      <c r="I552" t="s">
        <v>2888</v>
      </c>
      <c r="J552">
        <f>VLOOKUP(F552,[1]!china_towns_second__2[[Column1]:[Y]],3,FALSE)</f>
        <v>24.376923620305501</v>
      </c>
      <c r="K552">
        <f>VLOOKUP(F552,[1]!china_towns_second__2[[Column1]:[Y]],2,FALSE)</f>
        <v>102.5910664</v>
      </c>
      <c r="L552" t="s">
        <v>4111</v>
      </c>
      <c r="M552" t="str">
        <f>VLOOKUP(H552,CHOOSE({1,2},Table17[Native],Table17[Name]),2,0)</f>
        <v>Hóngtă Qū</v>
      </c>
      <c r="N552" s="15" t="str">
        <f>VLOOKUP(I552,CHOOSE({1,2},Table17[Native],Table17[Name]),2,0)</f>
        <v>Yùxī Shì</v>
      </c>
      <c r="O552" s="15" t="str">
        <f t="shared" si="16"/>
        <v>Liqi Jiedao (Yùxī Shì)</v>
      </c>
      <c r="P552" s="15" t="str">
        <f t="shared" si="17"/>
        <v>Liqi Jiedao (Yùxī Shì)</v>
      </c>
    </row>
    <row r="553" spans="1:16" hidden="1" x14ac:dyDescent="0.25">
      <c r="A553" t="s">
        <v>2383</v>
      </c>
      <c r="B553" t="str">
        <f>IF(COUNTIF(A:A,A553)&gt;1,_xlfn.CONCAT(A553," (",N553,")"),A553)</f>
        <v>Lĭshān Yízú Xiāng</v>
      </c>
      <c r="C553" t="str">
        <f>IF(COUNTIF(B:B,B553)&gt;1,_xlfn.CONCAT(A553," (",M553,")"),B553)</f>
        <v>Lĭshān Yízú Xiāng</v>
      </c>
      <c r="D553" t="s">
        <v>2384</v>
      </c>
      <c r="E553" t="s">
        <v>7</v>
      </c>
      <c r="F553" t="str">
        <f>_xlfn.CONCAT(D553,", ",H553,", ",I553,", ","云南省")</f>
        <v>里山彝族乡, 通海县, 玉溪市, 云南省</v>
      </c>
      <c r="G553">
        <v>8734</v>
      </c>
      <c r="H553" t="s">
        <v>2894</v>
      </c>
      <c r="I553" t="s">
        <v>2888</v>
      </c>
      <c r="J553" t="e">
        <f>VLOOKUP(F553,[1]!china_towns_second__2[[Column1]:[Y]],3,FALSE)</f>
        <v>#N/A</v>
      </c>
      <c r="K553" t="e">
        <f>VLOOKUP(F553,[1]!china_towns_second__2[[Column1]:[Y]],2,FALSE)</f>
        <v>#N/A</v>
      </c>
      <c r="L553" t="s">
        <v>4112</v>
      </c>
      <c r="M553" t="str">
        <f>VLOOKUP(H553,CHOOSE({1,2},Table17[Native],Table17[Name]),2,0)</f>
        <v>Tōnghăi Xiàn</v>
      </c>
      <c r="N553" s="15" t="str">
        <f>VLOOKUP(I553,CHOOSE({1,2},Table17[Native],Table17[Name]),2,0)</f>
        <v>Yùxī Shì</v>
      </c>
      <c r="O553" s="15" t="str">
        <f t="shared" si="16"/>
        <v>Lishan Yizu Xiang (Yùxī Shì)</v>
      </c>
      <c r="P553" s="15" t="str">
        <f t="shared" si="17"/>
        <v>Lishan Yizu Xiang (Yùxī Shì)</v>
      </c>
    </row>
    <row r="554" spans="1:16" hidden="1" x14ac:dyDescent="0.25">
      <c r="A554" t="s">
        <v>1491</v>
      </c>
      <c r="B554" t="str">
        <f>IF(COUNTIF(A:A,A554)&gt;1,_xlfn.CONCAT(A554," (",N554,")"),A554)</f>
        <v>Lìshù Yízú Dǎizú Xiāng</v>
      </c>
      <c r="C554" t="str">
        <f>IF(COUNTIF(B:B,B554)&gt;1,_xlfn.CONCAT(A554," (",M554,")"),B554)</f>
        <v>Lìshù Yízú Dǎizú Xiāng</v>
      </c>
      <c r="D554" t="s">
        <v>1492</v>
      </c>
      <c r="E554" t="s">
        <v>7</v>
      </c>
      <c r="F554" t="str">
        <f>_xlfn.CONCAT(D554,", ",H554,", ",I554,", ","云南省")</f>
        <v>栗树彝族傣族乡, 云县, 临沧市, 云南省</v>
      </c>
      <c r="G554">
        <v>21583</v>
      </c>
      <c r="H554" t="s">
        <v>2838</v>
      </c>
      <c r="I554" t="s">
        <v>2831</v>
      </c>
      <c r="J554" t="e">
        <f>VLOOKUP(F554,[1]!china_towns_second__2[[Column1]:[Y]],3,FALSE)</f>
        <v>#N/A</v>
      </c>
      <c r="K554" t="e">
        <f>VLOOKUP(F554,[1]!china_towns_second__2[[Column1]:[Y]],2,FALSE)</f>
        <v>#N/A</v>
      </c>
      <c r="L554" t="s">
        <v>4113</v>
      </c>
      <c r="M554" t="str">
        <f>VLOOKUP(H554,CHOOSE({1,2},Table17[Native],Table17[Name]),2,0)</f>
        <v>Yún Xiàn</v>
      </c>
      <c r="N554" s="15" t="str">
        <f>VLOOKUP(I554,CHOOSE({1,2},Table17[Native],Table17[Name]),2,0)</f>
        <v>Líncāng Shì</v>
      </c>
      <c r="O554" s="15" t="str">
        <f t="shared" si="16"/>
        <v>Lishu Yizu Daizu Xiang (Líncāng Shì)</v>
      </c>
      <c r="P554" s="15" t="str">
        <f t="shared" si="17"/>
        <v>Lishu Yizu Daizu Xiang (Líncāng Shì)</v>
      </c>
    </row>
    <row r="555" spans="1:16" hidden="1" x14ac:dyDescent="0.25">
      <c r="A555" t="s">
        <v>1727</v>
      </c>
      <c r="B555" t="str">
        <f>IF(COUNTIF(A:A,A555)&gt;1,_xlfn.CONCAT(A555," (",N555,")"),A555)</f>
        <v>Lìsuŏ Lāhùzú Xiāng</v>
      </c>
      <c r="C555" t="str">
        <f>IF(COUNTIF(B:B,B555)&gt;1,_xlfn.CONCAT(A555," (",M555,")"),B555)</f>
        <v>Lìsuŏ Lāhùzú Xiāng</v>
      </c>
      <c r="D555" t="s">
        <v>1728</v>
      </c>
      <c r="E555" t="s">
        <v>7</v>
      </c>
      <c r="F555" t="str">
        <f>_xlfn.CONCAT(D555,", ",H555,", ",I555,", ","云南省")</f>
        <v>力所拉祜族乡, 西盟佤族自治县, 普洱市, 云南省</v>
      </c>
      <c r="G555">
        <v>11899</v>
      </c>
      <c r="H555" t="s">
        <v>2857</v>
      </c>
      <c r="I555" t="s">
        <v>2848</v>
      </c>
      <c r="J555" t="e">
        <f>VLOOKUP(F555,[1]!china_towns_second__2[[Column1]:[Y]],3,FALSE)</f>
        <v>#N/A</v>
      </c>
      <c r="K555" t="e">
        <f>VLOOKUP(F555,[1]!china_towns_second__2[[Column1]:[Y]],2,FALSE)</f>
        <v>#N/A</v>
      </c>
      <c r="L555" t="s">
        <v>4114</v>
      </c>
      <c r="M555" t="str">
        <f>VLOOKUP(H555,CHOOSE({1,2},Table17[Native],Table17[Name]),2,0)</f>
        <v>Xīméng Wăzú Zìzhìxiàn</v>
      </c>
      <c r="N555" s="15" t="str">
        <f>VLOOKUP(I555,CHOOSE({1,2},Table17[Native],Table17[Name]),2,0)</f>
        <v>Pŭ'ĕr Shì</v>
      </c>
      <c r="O555" s="15" t="str">
        <f t="shared" si="16"/>
        <v>Lisuo Lahuzu Xiang (Pŭ'ĕr Shì)</v>
      </c>
      <c r="P555" s="15" t="str">
        <f t="shared" si="17"/>
        <v>Lisuo Lahuzu Xiang (Pŭ'ĕr Shì)</v>
      </c>
    </row>
    <row r="556" spans="1:16" hidden="1" x14ac:dyDescent="0.25">
      <c r="A556" t="s">
        <v>466</v>
      </c>
      <c r="B556" t="str">
        <f>IF(COUNTIF(A:A,A556)&gt;1,_xlfn.CONCAT(A556," (",N556,")"),A556)</f>
        <v>Liúchăng Zhèn</v>
      </c>
      <c r="C556" t="str">
        <f>IF(COUNTIF(B:B,B556)&gt;1,_xlfn.CONCAT(A556," (",M556,")"),B556)</f>
        <v>Liúchăng Zhèn</v>
      </c>
      <c r="D556" t="s">
        <v>467</v>
      </c>
      <c r="E556" t="s">
        <v>11</v>
      </c>
      <c r="F556" t="str">
        <f>_xlfn.CONCAT(D556,", ",H556,", ",I556,", ","云南省")</f>
        <v>刘厂镇, 祥云县, 大理白族自治州, 云南省</v>
      </c>
      <c r="G556">
        <v>35013</v>
      </c>
      <c r="H556" t="s">
        <v>2773</v>
      </c>
      <c r="I556" t="s">
        <v>2763</v>
      </c>
      <c r="J556">
        <f>VLOOKUP(F556,[1]!china_towns_second__2[[Column1]:[Y]],3,FALSE)</f>
        <v>25.491700783244401</v>
      </c>
      <c r="K556">
        <f>VLOOKUP(F556,[1]!china_towns_second__2[[Column1]:[Y]],2,FALSE)</f>
        <v>100.7632009</v>
      </c>
      <c r="L556" t="s">
        <v>4115</v>
      </c>
      <c r="M556" t="str">
        <f>VLOOKUP(H556,CHOOSE({1,2},Table17[Native],Table17[Name]),2,0)</f>
        <v>Xiángyún Xiàn</v>
      </c>
      <c r="N556" s="15" t="str">
        <f>VLOOKUP(I556,CHOOSE({1,2},Table17[Native],Table17[Name]),2,0)</f>
        <v>Dàlĭ Báizú Zìzhìzhōu</v>
      </c>
      <c r="O556" s="15" t="str">
        <f t="shared" si="16"/>
        <v>Liuchang Zhen (Dàlĭ Báizú Zìzhìzhōu)</v>
      </c>
      <c r="P556" s="15" t="str">
        <f t="shared" si="17"/>
        <v>Liuchang Zhen (Dàlĭ Báizú Zìzhìzhōu)</v>
      </c>
    </row>
    <row r="557" spans="1:16" hidden="1" x14ac:dyDescent="0.25">
      <c r="A557" t="s">
        <v>1359</v>
      </c>
      <c r="B557" t="str">
        <f>IF(COUNTIF(A:A,A557)&gt;1,_xlfn.CONCAT(A557," (",N557,")"),A557)</f>
        <v>Liùdé Lìsùzú Yízú Xiāng</v>
      </c>
      <c r="C557" t="str">
        <f>IF(COUNTIF(B:B,B557)&gt;1,_xlfn.CONCAT(A557," (",M557,")"),B557)</f>
        <v>Liùdé Lìsùzú Yízú Xiāng</v>
      </c>
      <c r="D557" t="s">
        <v>1360</v>
      </c>
      <c r="E557" t="s">
        <v>7</v>
      </c>
      <c r="F557" t="str">
        <f>_xlfn.CONCAT(D557,", ",H557,", ",I557,", ","云南省")</f>
        <v>六德傈僳族彝族乡, 永胜县, 丽江市, 云南省</v>
      </c>
      <c r="G557">
        <v>14446</v>
      </c>
      <c r="H557" t="s">
        <v>2828</v>
      </c>
      <c r="I557" t="s">
        <v>2823</v>
      </c>
      <c r="J557" t="e">
        <f>VLOOKUP(F557,[1]!china_towns_second__2[[Column1]:[Y]],3,FALSE)</f>
        <v>#N/A</v>
      </c>
      <c r="K557" t="e">
        <f>VLOOKUP(F557,[1]!china_towns_second__2[[Column1]:[Y]],2,FALSE)</f>
        <v>#N/A</v>
      </c>
      <c r="L557" t="s">
        <v>4116</v>
      </c>
      <c r="M557" t="str">
        <f>VLOOKUP(H557,CHOOSE({1,2},Table17[Native],Table17[Name]),2,0)</f>
        <v>Yŏngshèng Xiàn</v>
      </c>
      <c r="N557" s="15" t="str">
        <f>VLOOKUP(I557,CHOOSE({1,2},Table17[Native],Table17[Name]),2,0)</f>
        <v>Lìjiāng Shì</v>
      </c>
      <c r="O557" s="15" t="str">
        <f t="shared" si="16"/>
        <v>Liude Lisuzu Yizu Xiang (Lìjiāng Shì)</v>
      </c>
      <c r="P557" s="15" t="str">
        <f t="shared" si="17"/>
        <v>Liude Lisuzu Yizu Xiang (Lìjiāng Shì)</v>
      </c>
    </row>
    <row r="558" spans="1:16" hidden="1" x14ac:dyDescent="0.25">
      <c r="A558" t="s">
        <v>2159</v>
      </c>
      <c r="B558" t="str">
        <f>IF(COUNTIF(A:A,A558)&gt;1,_xlfn.CONCAT(A558," (",N558,")"),A558)</f>
        <v>Liùhé Xiāng</v>
      </c>
      <c r="C558" t="str">
        <f>IF(COUNTIF(B:B,B558)&gt;1,_xlfn.CONCAT(A558," (",M558,")"),B558)</f>
        <v>Liùhé Xiāng</v>
      </c>
      <c r="D558" t="s">
        <v>2160</v>
      </c>
      <c r="E558" t="s">
        <v>7</v>
      </c>
      <c r="F558" t="str">
        <f>_xlfn.CONCAT(D558,", ",H558,", ",I558,", ","云南省")</f>
        <v>六河乡, 麻栗坡县, 文山壮族苗族自治州, 云南省</v>
      </c>
      <c r="G558">
        <v>16121</v>
      </c>
      <c r="H558" t="s">
        <v>2876</v>
      </c>
      <c r="I558" t="s">
        <v>2872</v>
      </c>
      <c r="J558" t="e">
        <f>VLOOKUP(F558,[1]!china_towns_second__2[[Column1]:[Y]],3,FALSE)</f>
        <v>#N/A</v>
      </c>
      <c r="K558" t="e">
        <f>VLOOKUP(F558,[1]!china_towns_second__2[[Column1]:[Y]],2,FALSE)</f>
        <v>#N/A</v>
      </c>
      <c r="L558" t="s">
        <v>4117</v>
      </c>
      <c r="M558" t="str">
        <f>VLOOKUP(H558,CHOOSE({1,2},Table17[Native],Table17[Name]),2,0)</f>
        <v>Málìpō Xiàn</v>
      </c>
      <c r="N558" s="15" t="str">
        <f>VLOOKUP(I558,CHOOSE({1,2},Table17[Native],Table17[Name]),2,0)</f>
        <v>Wénshān Zhuàngzú Miáozú Zìzhìzhōu</v>
      </c>
      <c r="O558" s="15" t="str">
        <f t="shared" si="16"/>
        <v>Liuhe Xiang (Wénshān Zhuàngzú Miáozú Zìzhìzhōu)</v>
      </c>
      <c r="P558" s="15" t="str">
        <f t="shared" si="17"/>
        <v>Liuhe Xiang (Wénshān Zhuàngzú Miáozú Zìzhìzhōu)</v>
      </c>
    </row>
    <row r="559" spans="1:16" hidden="1" x14ac:dyDescent="0.25">
      <c r="A559" t="s">
        <v>468</v>
      </c>
      <c r="B559" t="str">
        <f>IF(COUNTIF(A:A,A559)&gt;1,_xlfn.CONCAT(A559," (",N559,")"),A559)</f>
        <v>Liùhé Yízú Xiāng</v>
      </c>
      <c r="C559" t="str">
        <f>IF(COUNTIF(B:B,B559)&gt;1,_xlfn.CONCAT(A559," (",M559,")"),B559)</f>
        <v>Liùhé Yízú Xiāng</v>
      </c>
      <c r="D559" t="s">
        <v>469</v>
      </c>
      <c r="E559" t="s">
        <v>7</v>
      </c>
      <c r="F559" t="str">
        <f>_xlfn.CONCAT(D559,", ",H559,", ",I559,", ","云南省")</f>
        <v>六合彝族乡, 鹤庆县, 大理白族自治州, 云南省</v>
      </c>
      <c r="G559">
        <v>15366</v>
      </c>
      <c r="H559" t="s">
        <v>2767</v>
      </c>
      <c r="I559" t="s">
        <v>2763</v>
      </c>
      <c r="J559" t="e">
        <f>VLOOKUP(F559,[1]!china_towns_second__2[[Column1]:[Y]],3,FALSE)</f>
        <v>#N/A</v>
      </c>
      <c r="K559" t="e">
        <f>VLOOKUP(F559,[1]!china_towns_second__2[[Column1]:[Y]],2,FALSE)</f>
        <v>#N/A</v>
      </c>
      <c r="L559" t="s">
        <v>4118</v>
      </c>
      <c r="M559" t="str">
        <f>VLOOKUP(H559,CHOOSE({1,2},Table17[Native],Table17[Name]),2,0)</f>
        <v>Hèqìng Xiàn</v>
      </c>
      <c r="N559" s="15" t="str">
        <f>VLOOKUP(I559,CHOOSE({1,2},Table17[Native],Table17[Name]),2,0)</f>
        <v>Dàlĭ Báizú Zìzhìzhōu</v>
      </c>
      <c r="O559" s="15" t="str">
        <f t="shared" si="16"/>
        <v>Liuhe Yizu Xiang (Dàlĭ Báizú Zìzhìzhōu)</v>
      </c>
      <c r="P559" s="15" t="str">
        <f t="shared" si="17"/>
        <v>Liuhe Yizu Xiang (Dàlĭ Báizú Zìzhìzhōu)</v>
      </c>
    </row>
    <row r="560" spans="1:16" hidden="1" x14ac:dyDescent="0.25">
      <c r="A560" t="s">
        <v>1162</v>
      </c>
      <c r="B560" t="str">
        <f>IF(COUNTIF(A:A,A560)&gt;1,_xlfn.CONCAT(A560," (",N560,")"),A560)</f>
        <v>Liùjiă Jiēdào</v>
      </c>
      <c r="C560" t="str">
        <f>IF(COUNTIF(B:B,B560)&gt;1,_xlfn.CONCAT(A560," (",M560,")"),B560)</f>
        <v>Liùjiă Jiēdào</v>
      </c>
      <c r="D560" t="s">
        <v>1163</v>
      </c>
      <c r="E560" t="s">
        <v>42</v>
      </c>
      <c r="F560" t="str">
        <f>_xlfn.CONCAT(D560,", ",H560,", ",I560,", ","云南省")</f>
        <v>六甲街道, 官渡区, 昆明市, 云南省</v>
      </c>
      <c r="G560">
        <v>55030</v>
      </c>
      <c r="H560" t="s">
        <v>2812</v>
      </c>
      <c r="I560" t="s">
        <v>2807</v>
      </c>
      <c r="J560">
        <f>VLOOKUP(F560,[1]!china_towns_second__2[[Column1]:[Y]],3,FALSE)</f>
        <v>24.9377225811103</v>
      </c>
      <c r="K560">
        <f>VLOOKUP(F560,[1]!china_towns_second__2[[Column1]:[Y]],2,FALSE)</f>
        <v>102.691461</v>
      </c>
      <c r="L560" t="s">
        <v>4119</v>
      </c>
      <c r="M560" t="str">
        <f>VLOOKUP(H560,CHOOSE({1,2},Table17[Native],Table17[Name]),2,0)</f>
        <v>Guāndù Qū</v>
      </c>
      <c r="N560" s="15" t="str">
        <f>VLOOKUP(I560,CHOOSE({1,2},Table17[Native],Table17[Name]),2,0)</f>
        <v>Kūnmíng Shì</v>
      </c>
      <c r="O560" s="15" t="str">
        <f t="shared" si="16"/>
        <v>Liujia Jiedao (Kūnmíng Shì)</v>
      </c>
      <c r="P560" s="15" t="str">
        <f t="shared" si="17"/>
        <v>Liujia Jiedao (Kūnmíng Shì)</v>
      </c>
    </row>
    <row r="561" spans="1:16" hidden="1" x14ac:dyDescent="0.25">
      <c r="A561" t="s">
        <v>2385</v>
      </c>
      <c r="B561" t="str">
        <f>IF(COUNTIF(A:A,A561)&gt;1,_xlfn.CONCAT(A561," (",N561,")"),A561)</f>
        <v>Liùjiē Jiēdào</v>
      </c>
      <c r="C561" t="str">
        <f>IF(COUNTIF(B:B,B561)&gt;1,_xlfn.CONCAT(A561," (",M561,")"),B561)</f>
        <v>Liùjiē Jiēdào</v>
      </c>
      <c r="D561" t="s">
        <v>2386</v>
      </c>
      <c r="E561" t="s">
        <v>42</v>
      </c>
      <c r="F561" t="str">
        <f>_xlfn.CONCAT(D561,", ",H561,", ",I561,", ","云南省")</f>
        <v>六街街道, 易门县, 玉溪市, 云南省</v>
      </c>
      <c r="G561">
        <v>25452</v>
      </c>
      <c r="H561" t="s">
        <v>2896</v>
      </c>
      <c r="I561" t="s">
        <v>2888</v>
      </c>
      <c r="J561">
        <f>VLOOKUP(F561,[1]!china_towns_second__2[[Column1]:[Y]],3,FALSE)</f>
        <v>24.824943414274699</v>
      </c>
      <c r="K561">
        <f>VLOOKUP(F561,[1]!china_towns_second__2[[Column1]:[Y]],2,FALSE)</f>
        <v>102.1990885</v>
      </c>
      <c r="L561" t="s">
        <v>4120</v>
      </c>
      <c r="M561" t="str">
        <f>VLOOKUP(H561,CHOOSE({1,2},Table17[Native],Table17[Name]),2,0)</f>
        <v>Yìmén Xiàn</v>
      </c>
      <c r="N561" s="15" t="str">
        <f>VLOOKUP(I561,CHOOSE({1,2},Table17[Native],Table17[Name]),2,0)</f>
        <v>Yùxī Shì</v>
      </c>
      <c r="O561" s="15" t="str">
        <f t="shared" si="16"/>
        <v>Liujie Jiedao (Yùxī Shì)</v>
      </c>
      <c r="P561" s="15" t="str">
        <f t="shared" si="17"/>
        <v>Liujie Jiedao (Yùxī Shì)</v>
      </c>
    </row>
    <row r="562" spans="1:16" hidden="1" x14ac:dyDescent="0.25">
      <c r="A562" t="s">
        <v>1164</v>
      </c>
      <c r="B562" t="str">
        <f>IF(COUNTIF(A:A,A562)&gt;1,_xlfn.CONCAT(A562," (",N562,")"),A562)</f>
        <v>Liùjiē Zhèn</v>
      </c>
      <c r="C562" t="str">
        <f>IF(COUNTIF(B:B,B562)&gt;1,_xlfn.CONCAT(A562," (",M562,")"),B562)</f>
        <v>Liùjiē Zhèn</v>
      </c>
      <c r="D562" t="s">
        <v>1165</v>
      </c>
      <c r="E562" t="s">
        <v>11</v>
      </c>
      <c r="F562" t="str">
        <f>_xlfn.CONCAT(D562,", ",H562,", ",I562,", ","云南省")</f>
        <v>六街镇, 晋宁区, 昆明市, 云南省</v>
      </c>
      <c r="G562">
        <v>11374</v>
      </c>
      <c r="H562" t="s">
        <v>2813</v>
      </c>
      <c r="I562" t="s">
        <v>2807</v>
      </c>
      <c r="J562">
        <f>VLOOKUP(F562,[1]!china_towns_second__2[[Column1]:[Y]],3,FALSE)</f>
        <v>24.532408087588099</v>
      </c>
      <c r="K562">
        <f>VLOOKUP(F562,[1]!china_towns_second__2[[Column1]:[Y]],2,FALSE)</f>
        <v>102.69713830000001</v>
      </c>
      <c r="L562" t="s">
        <v>4121</v>
      </c>
      <c r="M562" t="str">
        <f>VLOOKUP(H562,CHOOSE({1,2},Table17[Native],Table17[Name]),2,0)</f>
        <v>Jìnníng Qū</v>
      </c>
      <c r="N562" s="15" t="str">
        <f>VLOOKUP(I562,CHOOSE({1,2},Table17[Native],Table17[Name]),2,0)</f>
        <v>Kūnmíng Shì</v>
      </c>
      <c r="O562" s="15" t="str">
        <f t="shared" si="16"/>
        <v>Liujie Zhen (Kūnmíng Shì)</v>
      </c>
      <c r="P562" s="15" t="str">
        <f t="shared" si="17"/>
        <v>Liujie Zhen (Kūnmíng Shì)</v>
      </c>
    </row>
    <row r="563" spans="1:16" hidden="1" x14ac:dyDescent="0.25">
      <c r="A563" t="s">
        <v>2161</v>
      </c>
      <c r="B563" t="str">
        <f>IF(COUNTIF(A:A,A563)&gt;1,_xlfn.CONCAT(A563," (",N563,")"),A563)</f>
        <v>Liŭjĭng Yízú Xiāng</v>
      </c>
      <c r="C563" t="str">
        <f>IF(COUNTIF(B:B,B563)&gt;1,_xlfn.CONCAT(A563," (",M563,")"),B563)</f>
        <v>Liŭjĭng Yízú Xiāng</v>
      </c>
      <c r="D563" t="s">
        <v>2162</v>
      </c>
      <c r="E563" t="s">
        <v>7</v>
      </c>
      <c r="F563" t="str">
        <f>_xlfn.CONCAT(D563,", ",H563,", ",I563,", ","云南省")</f>
        <v>柳井彝族乡, 文山市, 文山壮族苗族自治州, 云南省</v>
      </c>
      <c r="G563">
        <v>12392</v>
      </c>
      <c r="H563" t="s">
        <v>2878</v>
      </c>
      <c r="I563" t="s">
        <v>2872</v>
      </c>
      <c r="J563" t="e">
        <f>VLOOKUP(F563,[1]!china_towns_second__2[[Column1]:[Y]],3,FALSE)</f>
        <v>#N/A</v>
      </c>
      <c r="K563" t="e">
        <f>VLOOKUP(F563,[1]!china_towns_second__2[[Column1]:[Y]],2,FALSE)</f>
        <v>#N/A</v>
      </c>
      <c r="L563" t="s">
        <v>4122</v>
      </c>
      <c r="M563" t="str">
        <f>VLOOKUP(H563,CHOOSE({1,2},Table17[Native],Table17[Name]),2,0)</f>
        <v>Wénshān Shì</v>
      </c>
      <c r="N563" s="15" t="str">
        <f>VLOOKUP(I563,CHOOSE({1,2},Table17[Native],Table17[Name]),2,0)</f>
        <v>Wénshān Zhuàngzú Miáozú Zìzhìzhōu</v>
      </c>
      <c r="O563" s="15" t="str">
        <f t="shared" si="16"/>
        <v>Liujing Yizu Xiang (Wénshān Zhuàngzú Miáozú Zìzhìzhōu)</v>
      </c>
      <c r="P563" s="15" t="str">
        <f t="shared" si="17"/>
        <v>Liujing Yizu Xiang (Wénshān Zhuàngzú Miáozú Zìzhìzhōu)</v>
      </c>
    </row>
    <row r="564" spans="1:16" hidden="1" x14ac:dyDescent="0.25">
      <c r="A564" t="s">
        <v>257</v>
      </c>
      <c r="B564" t="str">
        <f>IF(COUNTIF(A:A,A564)&gt;1,_xlfn.CONCAT(A564," (",N564,")"),A564)</f>
        <v>Liùjū Zhèn</v>
      </c>
      <c r="C564" t="str">
        <f>IF(COUNTIF(B:B,B564)&gt;1,_xlfn.CONCAT(A564," (",M564,")"),B564)</f>
        <v>Liùjū Zhèn</v>
      </c>
      <c r="D564" t="s">
        <v>258</v>
      </c>
      <c r="E564" t="s">
        <v>11</v>
      </c>
      <c r="F564" t="str">
        <f>_xlfn.CONCAT(D564,", ",H564,", ",I564,", ","云南省")</f>
        <v>六苴镇, 大姚县, 楚雄彝族自治州, 云南省</v>
      </c>
      <c r="G564">
        <v>16591</v>
      </c>
      <c r="H564" t="s">
        <v>2752</v>
      </c>
      <c r="I564" t="s">
        <v>2750</v>
      </c>
      <c r="J564">
        <f>VLOOKUP(F564,[1]!china_towns_second__2[[Column1]:[Y]],3,FALSE)</f>
        <v>25.913826283376</v>
      </c>
      <c r="K564">
        <f>VLOOKUP(F564,[1]!china_towns_second__2[[Column1]:[Y]],2,FALSE)</f>
        <v>101.3564193</v>
      </c>
      <c r="L564" t="s">
        <v>4123</v>
      </c>
      <c r="M564" t="str">
        <f>VLOOKUP(H564,CHOOSE({1,2},Table17[Native],Table17[Name]),2,0)</f>
        <v>Dàyáo Xiàn</v>
      </c>
      <c r="N564" s="15" t="str">
        <f>VLOOKUP(I564,CHOOSE({1,2},Table17[Native],Table17[Name]),2,0)</f>
        <v>Chŭxióng Yízú Zìzhìzhōu</v>
      </c>
      <c r="O564" s="15" t="str">
        <f t="shared" si="16"/>
        <v>Liuju Zhen (Chŭxióng Yízú Zìzhìzhōu)</v>
      </c>
      <c r="P564" s="15" t="str">
        <f t="shared" si="17"/>
        <v>Liuju Zhen (Chŭxióng Yízú Zìzhìzhōu)</v>
      </c>
    </row>
    <row r="565" spans="1:16" hidden="1" x14ac:dyDescent="0.25">
      <c r="A565" t="s">
        <v>1615</v>
      </c>
      <c r="B565" t="str">
        <f>IF(COUNTIF(A:A,A565)&gt;1,_xlfn.CONCAT(A565," (",N565,")"),A565)</f>
        <v>Liùkù Zhèn</v>
      </c>
      <c r="C565" t="str">
        <f>IF(COUNTIF(B:B,B565)&gt;1,_xlfn.CONCAT(A565," (",M565,")"),B565)</f>
        <v>Liùkù Zhèn</v>
      </c>
      <c r="D565" t="s">
        <v>1616</v>
      </c>
      <c r="E565" t="s">
        <v>11</v>
      </c>
      <c r="F565" t="str">
        <f>_xlfn.CONCAT(D565,", ",H565,", ",I565,", ","云南省")</f>
        <v>六库镇, 泸水市, 怒江傈僳族自治州, 云南省</v>
      </c>
      <c r="G565">
        <v>63013</v>
      </c>
      <c r="H565" t="s">
        <v>2846</v>
      </c>
      <c r="I565" t="s">
        <v>2842</v>
      </c>
      <c r="J565">
        <f>VLOOKUP(F565,[1]!china_towns_second__2[[Column1]:[Y]],3,FALSE)</f>
        <v>25.868497229742399</v>
      </c>
      <c r="K565">
        <f>VLOOKUP(F565,[1]!china_towns_second__2[[Column1]:[Y]],2,FALSE)</f>
        <v>98.901680020000001</v>
      </c>
      <c r="L565" t="s">
        <v>4124</v>
      </c>
      <c r="M565" t="str">
        <f>VLOOKUP(H565,CHOOSE({1,2},Table17[Native],Table17[Name]),2,0)</f>
        <v>Lúshuĭ Shì</v>
      </c>
      <c r="N565" s="15" t="str">
        <f>VLOOKUP(I565,CHOOSE({1,2},Table17[Native],Table17[Name]),2,0)</f>
        <v>Nùjiāng Lìsùzú Zìzhìzhōu</v>
      </c>
      <c r="O565" s="15" t="str">
        <f t="shared" si="16"/>
        <v>Liuku Zhen (Nùjiāng Lìsùzú Zìzhìzhōu)</v>
      </c>
      <c r="P565" s="15" t="str">
        <f t="shared" si="17"/>
        <v>Liuku Zhen (Nùjiāng Lìsùzú Zìzhìzhōu)</v>
      </c>
    </row>
    <row r="566" spans="1:16" hidden="1" x14ac:dyDescent="0.25">
      <c r="A566" t="s">
        <v>1166</v>
      </c>
      <c r="B566" t="str">
        <f>IF(COUNTIF(A:A,A566)&gt;1,_xlfn.CONCAT(A566," (",N566,")"),A566)</f>
        <v>Liùshào Xiāng</v>
      </c>
      <c r="C566" t="str">
        <f>IF(COUNTIF(B:B,B566)&gt;1,_xlfn.CONCAT(A566," (",M566,")"),B566)</f>
        <v>Liùshào Xiāng</v>
      </c>
      <c r="D566" t="s">
        <v>1167</v>
      </c>
      <c r="E566" t="s">
        <v>7</v>
      </c>
      <c r="F566" t="str">
        <f>_xlfn.CONCAT(D566,", ",H566,", ",I566,", ","云南省")</f>
        <v>六哨乡, 寻甸回族彝族自治县, 昆明市, 云南省</v>
      </c>
      <c r="G566">
        <v>17408</v>
      </c>
      <c r="H566" t="s">
        <v>2820</v>
      </c>
      <c r="I566" t="s">
        <v>2807</v>
      </c>
      <c r="J566" t="e">
        <f>VLOOKUP(F566,[1]!china_towns_second__2[[Column1]:[Y]],3,FALSE)</f>
        <v>#N/A</v>
      </c>
      <c r="K566" t="e">
        <f>VLOOKUP(F566,[1]!china_towns_second__2[[Column1]:[Y]],2,FALSE)</f>
        <v>#N/A</v>
      </c>
      <c r="L566" t="s">
        <v>4125</v>
      </c>
      <c r="M566" t="str">
        <f>VLOOKUP(H566,CHOOSE({1,2},Table17[Native],Table17[Name]),2,0)</f>
        <v>Xúndiàn Huízú Yízú Zìzhìxiàn</v>
      </c>
      <c r="N566" s="15" t="str">
        <f>VLOOKUP(I566,CHOOSE({1,2},Table17[Native],Table17[Name]),2,0)</f>
        <v>Kūnmíng Shì</v>
      </c>
      <c r="O566" s="15" t="str">
        <f t="shared" si="16"/>
        <v>Liushao Xiang (Kūnmíng Shì)</v>
      </c>
      <c r="P566" s="15" t="str">
        <f t="shared" si="17"/>
        <v>Liushao Xiang (Kūnmíng Shì)</v>
      </c>
    </row>
    <row r="567" spans="1:16" hidden="1" x14ac:dyDescent="0.25">
      <c r="A567" t="s">
        <v>1730</v>
      </c>
      <c r="B567" t="str">
        <f>IF(COUNTIF(A:A,A567)&gt;1,_xlfn.CONCAT(A567," (",N567,")"),A567)</f>
        <v>Liùshùn Zhèn</v>
      </c>
      <c r="C567" t="str">
        <f>IF(COUNTIF(B:B,B567)&gt;1,_xlfn.CONCAT(A567," (",M567,")"),B567)</f>
        <v>Liùshùn Zhèn</v>
      </c>
      <c r="D567" t="s">
        <v>1731</v>
      </c>
      <c r="E567" t="s">
        <v>11</v>
      </c>
      <c r="F567" t="str">
        <f>_xlfn.CONCAT(D567,", ",H567,", ",I567,", ","云南省")</f>
        <v>六顺镇, 思茅区, 普洱市, 云南省</v>
      </c>
      <c r="G567">
        <v>12712</v>
      </c>
      <c r="H567" t="s">
        <v>2856</v>
      </c>
      <c r="I567" t="s">
        <v>2848</v>
      </c>
      <c r="J567">
        <f>VLOOKUP(F567,[1]!china_towns_second__2[[Column1]:[Y]],3,FALSE)</f>
        <v>22.641706495654901</v>
      </c>
      <c r="K567">
        <f>VLOOKUP(F567,[1]!china_towns_second__2[[Column1]:[Y]],2,FALSE)</f>
        <v>100.7815257</v>
      </c>
      <c r="L567" t="s">
        <v>4126</v>
      </c>
      <c r="M567" t="str">
        <f>VLOOKUP(H567,CHOOSE({1,2},Table17[Native],Table17[Name]),2,0)</f>
        <v>Sīmáo Qū</v>
      </c>
      <c r="N567" s="15" t="str">
        <f>VLOOKUP(I567,CHOOSE({1,2},Table17[Native],Table17[Name]),2,0)</f>
        <v>Pŭ'ĕr Shì</v>
      </c>
      <c r="O567" s="15" t="str">
        <f t="shared" si="16"/>
        <v>Liushun Zhen (Pŭ'ĕr Shì)</v>
      </c>
      <c r="P567" s="15" t="str">
        <f t="shared" si="17"/>
        <v>Liushun Zhen (Pŭ'ĕr Shì)</v>
      </c>
    </row>
    <row r="568" spans="1:16" hidden="1" x14ac:dyDescent="0.25">
      <c r="A568" t="s">
        <v>2559</v>
      </c>
      <c r="B568" t="str">
        <f>IF(COUNTIF(A:A,A568)&gt;1,_xlfn.CONCAT(A568," (",N568,")"),A568)</f>
        <v>Liŭxī Miáozú Xiāng</v>
      </c>
      <c r="C568" t="str">
        <f>IF(COUNTIF(B:B,B568)&gt;1,_xlfn.CONCAT(A568," (",M568,")"),B568)</f>
        <v>Liŭxī Miáozú Xiāng</v>
      </c>
      <c r="D568" t="s">
        <v>2560</v>
      </c>
      <c r="E568" t="s">
        <v>7</v>
      </c>
      <c r="F568" t="str">
        <f>_xlfn.CONCAT(D568,", ",H568,", ",I568,", ","云南省")</f>
        <v>柳溪苗族乡, 宜良县, 昆明市, 云南省</v>
      </c>
      <c r="G568">
        <v>19957</v>
      </c>
      <c r="H568" t="s">
        <v>2821</v>
      </c>
      <c r="I568" t="s">
        <v>2807</v>
      </c>
      <c r="J568" t="e">
        <f>VLOOKUP(F568,[1]!china_towns_second__2[[Column1]:[Y]],3,FALSE)</f>
        <v>#N/A</v>
      </c>
      <c r="K568" t="e">
        <f>VLOOKUP(F568,[1]!china_towns_second__2[[Column1]:[Y]],2,FALSE)</f>
        <v>#N/A</v>
      </c>
      <c r="L568" t="s">
        <v>4127</v>
      </c>
      <c r="M568" t="str">
        <f>VLOOKUP(H568,CHOOSE({1,2},Table17[Native],Table17[Name]),2,0)</f>
        <v>Yíliáng Xiàn</v>
      </c>
      <c r="N568" s="15" t="str">
        <f>VLOOKUP(I568,CHOOSE({1,2},Table17[Native],Table17[Name]),2,0)</f>
        <v>Kūnmíng Shì</v>
      </c>
      <c r="O568" s="15" t="str">
        <f t="shared" si="16"/>
        <v>Liuxi Miaozu Xiang (Kūnmíng Shì)</v>
      </c>
      <c r="P568" s="15" t="str">
        <f t="shared" si="17"/>
        <v>Liuxi Miaozu Xiang (Kūnmíng Shì)</v>
      </c>
    </row>
    <row r="569" spans="1:16" hidden="1" x14ac:dyDescent="0.25">
      <c r="A569" t="s">
        <v>2561</v>
      </c>
      <c r="B569" t="str">
        <f>IF(COUNTIF(A:A,A569)&gt;1,_xlfn.CONCAT(A569," (",N569,")"),A569)</f>
        <v>Lóng'ān Zhèn</v>
      </c>
      <c r="C569" t="str">
        <f>IF(COUNTIF(B:B,B569)&gt;1,_xlfn.CONCAT(A569," (",M569,")"),B569)</f>
        <v>Lóng'ān Zhèn</v>
      </c>
      <c r="D569" t="s">
        <v>2562</v>
      </c>
      <c r="E569" t="s">
        <v>11</v>
      </c>
      <c r="F569" t="str">
        <f>_xlfn.CONCAT(D569,", ",H569,", ",I569,", ","云南省")</f>
        <v>龙安镇, 彝良县, 昭通市, 云南省</v>
      </c>
      <c r="G569">
        <v>21206</v>
      </c>
      <c r="H569" t="s">
        <v>2907</v>
      </c>
      <c r="I569" t="s">
        <v>2899</v>
      </c>
      <c r="J569">
        <f>VLOOKUP(F569,[1]!china_towns_second__2[[Column1]:[Y]],3,FALSE)</f>
        <v>27.717306944090499</v>
      </c>
      <c r="K569">
        <f>VLOOKUP(F569,[1]!china_towns_second__2[[Column1]:[Y]],2,FALSE)</f>
        <v>104.1171102</v>
      </c>
      <c r="L569" t="s">
        <v>4128</v>
      </c>
      <c r="M569" t="str">
        <f>VLOOKUP(H569,CHOOSE({1,2},Table17[Native],Table17[Name]),2,0)</f>
        <v>Yíliáng Xiàn</v>
      </c>
      <c r="N569" s="15" t="str">
        <f>VLOOKUP(I569,CHOOSE({1,2},Table17[Native],Table17[Name]),2,0)</f>
        <v>Zhāotōng Shì</v>
      </c>
      <c r="O569" s="15" t="str">
        <f t="shared" si="16"/>
        <v>Long'an Zhen (Zhāotōng Shì)</v>
      </c>
      <c r="P569" s="15" t="str">
        <f t="shared" si="17"/>
        <v>Long'an Zhen (Zhāotōng Shì)</v>
      </c>
    </row>
    <row r="570" spans="1:16" x14ac:dyDescent="0.25">
      <c r="A570" t="s">
        <v>1733</v>
      </c>
      <c r="B570" t="str">
        <f>IF(COUNTIF(A:A,A570)&gt;1,_xlfn.CONCAT(A570," (",N570,")"),A570)</f>
        <v>Lóngbà Zhèn</v>
      </c>
      <c r="C570" t="str">
        <f>IF(COUNTIF(B:B,B570)&gt;1,_xlfn.CONCAT(A570," (",M570,")"),B570)</f>
        <v>Lóngbà Zhèn</v>
      </c>
      <c r="D570" t="s">
        <v>1734</v>
      </c>
      <c r="E570" t="s">
        <v>11</v>
      </c>
      <c r="F570" t="str">
        <f>_xlfn.CONCAT(D570,", ",H570,", ",I570,", ","云南省")</f>
        <v>龙坝镇, 墨江哈尼族自治县, 普洱市, 云南省</v>
      </c>
      <c r="G570">
        <v>22286</v>
      </c>
      <c r="H570" t="s">
        <v>2854</v>
      </c>
      <c r="I570" t="s">
        <v>2848</v>
      </c>
      <c r="J570">
        <f>VLOOKUP(F570,[1]!china_towns_second__2[[Column1]:[Y]],3,FALSE)</f>
        <v>23.326897430245499</v>
      </c>
      <c r="K570">
        <f>VLOOKUP(F570,[1]!china_towns_second__2[[Column1]:[Y]],2,FALSE)</f>
        <v>101.7843209</v>
      </c>
      <c r="L570" t="s">
        <v>4129</v>
      </c>
      <c r="M570" t="str">
        <f>VLOOKUP(H570,CHOOSE({1,2},Table17[Native],Table17[Name]),2,0)</f>
        <v>Mòjiāng Hānízú Zìzhìxiàn</v>
      </c>
      <c r="N570" s="15" t="str">
        <f>VLOOKUP(I570,CHOOSE({1,2},Table17[Native],Table17[Name]),2,0)</f>
        <v>Pŭ'ĕr Shì</v>
      </c>
      <c r="O570" s="15" t="str">
        <f t="shared" si="16"/>
        <v>Longba Zhen (Pŭ'ĕr Shì)</v>
      </c>
      <c r="P570" s="15" t="str">
        <f t="shared" si="17"/>
        <v>Longba Zhen (Pŭ'ĕr Shì)</v>
      </c>
    </row>
    <row r="571" spans="1:16" x14ac:dyDescent="0.25">
      <c r="A571" t="s">
        <v>635</v>
      </c>
      <c r="B571" t="str">
        <f>IF(COUNTIF(A:A,A571)&gt;1,_xlfn.CONCAT(A571," (",N571,")"),A571)</f>
        <v>Lŏngbă Zhèn</v>
      </c>
      <c r="C571" t="str">
        <f>IF(COUNTIF(B:B,B571)&gt;1,_xlfn.CONCAT(A571," (",M571,")"),B571)</f>
        <v>Lŏngbă Zhèn</v>
      </c>
      <c r="D571" t="s">
        <v>636</v>
      </c>
      <c r="E571" t="s">
        <v>11</v>
      </c>
      <c r="F571" t="str">
        <f>_xlfn.CONCAT(D571,", ",H571,", ",I571,", ","云南省")</f>
        <v>陇把镇, 陇川县, 德宏傣族景颇族自治州, 云南省</v>
      </c>
      <c r="G571">
        <v>18474</v>
      </c>
      <c r="H571" t="s">
        <v>2781</v>
      </c>
      <c r="I571" t="s">
        <v>2779</v>
      </c>
      <c r="J571">
        <f>VLOOKUP(F571,[1]!china_towns_second__2[[Column1]:[Y]],3,FALSE)</f>
        <v>24.326879841259501</v>
      </c>
      <c r="K571">
        <f>VLOOKUP(F571,[1]!china_towns_second__2[[Column1]:[Y]],2,FALSE)</f>
        <v>97.780576010000004</v>
      </c>
      <c r="L571" t="s">
        <v>4129</v>
      </c>
      <c r="M571" t="str">
        <f>VLOOKUP(H571,CHOOSE({1,2},Table17[Native],Table17[Name]),2,0)</f>
        <v>Lŏngchuān Xiàn</v>
      </c>
      <c r="N571" s="15" t="str">
        <f>VLOOKUP(I571,CHOOSE({1,2},Table17[Native],Table17[Name]),2,0)</f>
        <v>Déhóng Dăizú Jĭngpōzú Zìzhìzhōu</v>
      </c>
      <c r="O571" s="15" t="str">
        <f t="shared" si="16"/>
        <v>Longba Zhen (Déhóng Dăizú Jĭngpōzú Zìzhìzhōu)</v>
      </c>
      <c r="P571" s="15" t="str">
        <f t="shared" si="17"/>
        <v>Longba Zhen (Déhóng Dăizú Jĭngpōzú Zìzhìzhōu)</v>
      </c>
    </row>
    <row r="572" spans="1:16" hidden="1" x14ac:dyDescent="0.25">
      <c r="A572" t="s">
        <v>1949</v>
      </c>
      <c r="B572" t="str">
        <f>IF(COUNTIF(A:A,A572)&gt;1,_xlfn.CONCAT(A572," (",N572,")"),A572)</f>
        <v>Lóngchăng Zhèn</v>
      </c>
      <c r="C572" t="str">
        <f>IF(COUNTIF(B:B,B572)&gt;1,_xlfn.CONCAT(A572," (",M572,")"),B572)</f>
        <v>Lóngchăng Zhèn</v>
      </c>
      <c r="D572" t="s">
        <v>1950</v>
      </c>
      <c r="E572" t="s">
        <v>11</v>
      </c>
      <c r="F572" t="str">
        <f>_xlfn.CONCAT(D572,", ",H572,", ",I572,", ","云南省")</f>
        <v>龙场镇, 宣威市, 曲靖市, 云南省</v>
      </c>
      <c r="G572">
        <v>50996</v>
      </c>
      <c r="H572" t="s">
        <v>2868</v>
      </c>
      <c r="I572" t="s">
        <v>2860</v>
      </c>
      <c r="J572">
        <f>VLOOKUP(F572,[1]!china_towns_second__2[[Column1]:[Y]],3,FALSE)</f>
        <v>26.3179647881629</v>
      </c>
      <c r="K572">
        <f>VLOOKUP(F572,[1]!china_towns_second__2[[Column1]:[Y]],2,FALSE)</f>
        <v>104.29176390000001</v>
      </c>
      <c r="L572" t="s">
        <v>4130</v>
      </c>
      <c r="M572" t="str">
        <f>VLOOKUP(H572,CHOOSE({1,2},Table17[Native],Table17[Name]),2,0)</f>
        <v>Xuānwēi Shì</v>
      </c>
      <c r="N572" s="15" t="str">
        <f>VLOOKUP(I572,CHOOSE({1,2},Table17[Native],Table17[Name]),2,0)</f>
        <v>Qŭjìng Shì</v>
      </c>
      <c r="O572" s="15" t="str">
        <f t="shared" si="16"/>
        <v>Longchang Zhen (Qŭjìng Shì)</v>
      </c>
      <c r="P572" s="15" t="str">
        <f t="shared" si="17"/>
        <v>Longchang Zhen (Qŭjìng Shì)</v>
      </c>
    </row>
    <row r="573" spans="1:16" hidden="1" x14ac:dyDescent="0.25">
      <c r="A573" t="s">
        <v>1168</v>
      </c>
      <c r="B573" t="str">
        <f>IF(COUNTIF(A:A,A573)&gt;1,_xlfn.CONCAT(A573," (",N573,")"),A573)</f>
        <v>Lóngchéng Jiēdào</v>
      </c>
      <c r="C573" t="str">
        <f>IF(COUNTIF(B:B,B573)&gt;1,_xlfn.CONCAT(A573," (",M573,")"),B573)</f>
        <v>Lóngchéng Jiēdào</v>
      </c>
      <c r="D573" t="s">
        <v>1169</v>
      </c>
      <c r="E573" t="s">
        <v>42</v>
      </c>
      <c r="F573" t="str">
        <f>_xlfn.CONCAT(D573,", ",H573,", ",I573,", ","云南省")</f>
        <v>龙城街道, 呈贡区, 昆明市, 云南省</v>
      </c>
      <c r="G573">
        <v>47816</v>
      </c>
      <c r="H573" t="s">
        <v>2809</v>
      </c>
      <c r="I573" t="s">
        <v>2807</v>
      </c>
      <c r="J573">
        <f>VLOOKUP(F573,[1]!china_towns_second__2[[Column1]:[Y]],3,FALSE)</f>
        <v>24.8935220064375</v>
      </c>
      <c r="K573">
        <f>VLOOKUP(F573,[1]!china_towns_second__2[[Column1]:[Y]],2,FALSE)</f>
        <v>102.80544980000001</v>
      </c>
      <c r="L573" t="s">
        <v>4131</v>
      </c>
      <c r="M573" t="str">
        <f>VLOOKUP(H573,CHOOSE({1,2},Table17[Native],Table17[Name]),2,0)</f>
        <v>Chénggòng Qū</v>
      </c>
      <c r="N573" s="15" t="str">
        <f>VLOOKUP(I573,CHOOSE({1,2},Table17[Native],Table17[Name]),2,0)</f>
        <v>Kūnmíng Shì</v>
      </c>
      <c r="O573" s="15" t="str">
        <f t="shared" si="16"/>
        <v>Longcheng Jiedao (Kūnmíng Shì)</v>
      </c>
      <c r="P573" s="15" t="str">
        <f t="shared" si="17"/>
        <v>Longcheng Jiedao (Kūnmíng Shì)</v>
      </c>
    </row>
    <row r="574" spans="1:16" hidden="1" x14ac:dyDescent="0.25">
      <c r="A574" t="s">
        <v>259</v>
      </c>
      <c r="B574" t="str">
        <f>IF(COUNTIF(A:A,A574)&gt;1,_xlfn.CONCAT(A574," (",N574,")"),A574)</f>
        <v>Lóngchuān Zhèn</v>
      </c>
      <c r="C574" t="str">
        <f>IF(COUNTIF(B:B,B574)&gt;1,_xlfn.CONCAT(A574," (",M574,")"),B574)</f>
        <v>Lóngchuān Zhèn</v>
      </c>
      <c r="D574" t="s">
        <v>260</v>
      </c>
      <c r="E574" t="s">
        <v>11</v>
      </c>
      <c r="F574" t="str">
        <f>_xlfn.CONCAT(D574,", ",H574,", ",I574,", ","云南省")</f>
        <v>龙川镇, 南华县, 楚雄彝族自治州, 云南省</v>
      </c>
      <c r="G574">
        <v>86060</v>
      </c>
      <c r="H574" t="s">
        <v>2755</v>
      </c>
      <c r="I574" t="s">
        <v>2750</v>
      </c>
      <c r="J574">
        <f>VLOOKUP(F574,[1]!china_towns_second__2[[Column1]:[Y]],3,FALSE)</f>
        <v>25.1918071552731</v>
      </c>
      <c r="K574">
        <f>VLOOKUP(F574,[1]!china_towns_second__2[[Column1]:[Y]],2,FALSE)</f>
        <v>101.243742</v>
      </c>
      <c r="L574" t="s">
        <v>4132</v>
      </c>
      <c r="M574" t="str">
        <f>VLOOKUP(H574,CHOOSE({1,2},Table17[Native],Table17[Name]),2,0)</f>
        <v>Nánhuá Xiàn</v>
      </c>
      <c r="N574" s="15" t="str">
        <f>VLOOKUP(I574,CHOOSE({1,2},Table17[Native],Table17[Name]),2,0)</f>
        <v>Chŭxióng Yízú Zìzhìzhōu</v>
      </c>
      <c r="O574" s="15" t="str">
        <f t="shared" si="16"/>
        <v>Longchuan Zhen (Chŭxióng Yízú Zìzhìzhōu)</v>
      </c>
      <c r="P574" s="15" t="str">
        <f t="shared" si="17"/>
        <v>Longchuan Zhen (Chŭxióng Yízú Zìzhìzhōu)</v>
      </c>
    </row>
    <row r="575" spans="1:16" hidden="1" x14ac:dyDescent="0.25">
      <c r="A575" t="s">
        <v>1951</v>
      </c>
      <c r="B575" t="str">
        <f>IF(COUNTIF(A:A,A575)&gt;1,_xlfn.CONCAT(A575," (",N575,")"),A575)</f>
        <v>Lónghăi Xiāng</v>
      </c>
      <c r="C575" t="str">
        <f>IF(COUNTIF(B:B,B575)&gt;1,_xlfn.CONCAT(A575," (",M575,")"),B575)</f>
        <v>Lónghăi Xiāng</v>
      </c>
      <c r="D575" t="s">
        <v>1952</v>
      </c>
      <c r="E575" t="s">
        <v>7</v>
      </c>
      <c r="F575" t="str">
        <f>_xlfn.CONCAT(D575,", ",H575,", ",I575,", ","云南省")</f>
        <v>龙海乡, 陆良县, 曲靖市, 云南省</v>
      </c>
      <c r="G575">
        <v>25014</v>
      </c>
      <c r="H575" t="s">
        <v>2863</v>
      </c>
      <c r="I575" t="s">
        <v>2860</v>
      </c>
      <c r="J575" t="e">
        <f>VLOOKUP(F575,[1]!china_towns_second__2[[Column1]:[Y]],3,FALSE)</f>
        <v>#N/A</v>
      </c>
      <c r="K575" t="e">
        <f>VLOOKUP(F575,[1]!china_towns_second__2[[Column1]:[Y]],2,FALSE)</f>
        <v>#N/A</v>
      </c>
      <c r="L575" t="s">
        <v>4133</v>
      </c>
      <c r="M575" t="str">
        <f>VLOOKUP(H575,CHOOSE({1,2},Table17[Native],Table17[Name]),2,0)</f>
        <v>Lùliáng Xiàn</v>
      </c>
      <c r="N575" s="15" t="str">
        <f>VLOOKUP(I575,CHOOSE({1,2},Table17[Native],Table17[Name]),2,0)</f>
        <v>Qŭjìng Shì</v>
      </c>
      <c r="O575" s="15" t="str">
        <f t="shared" si="16"/>
        <v>Longhai Xiang (Qŭjìng Shì)</v>
      </c>
      <c r="P575" s="15" t="str">
        <f t="shared" si="17"/>
        <v>Longhai Xiang (Qŭjìng Shì)</v>
      </c>
    </row>
    <row r="576" spans="1:16" hidden="1" x14ac:dyDescent="0.25">
      <c r="A576" t="s">
        <v>2563</v>
      </c>
      <c r="B576" t="str">
        <f>IF(COUNTIF(A:A,A576)&gt;1,_xlfn.CONCAT(A576," (",N576,")"),A576)</f>
        <v>Lónghăi Zhèn</v>
      </c>
      <c r="C576" t="str">
        <f>IF(COUNTIF(B:B,B576)&gt;1,_xlfn.CONCAT(A576," (",M576,")"),B576)</f>
        <v>Lónghăi Zhèn</v>
      </c>
      <c r="D576" t="s">
        <v>2564</v>
      </c>
      <c r="E576" t="s">
        <v>11</v>
      </c>
      <c r="F576" t="str">
        <f>_xlfn.CONCAT(D576,", ",H576,", ",I576,", ","云南省")</f>
        <v>龙海镇, 彝良县, 昭通市, 云南省</v>
      </c>
      <c r="G576">
        <v>20891</v>
      </c>
      <c r="H576" t="s">
        <v>2907</v>
      </c>
      <c r="I576" t="s">
        <v>2899</v>
      </c>
      <c r="J576">
        <f>VLOOKUP(F576,[1]!china_towns_second__2[[Column1]:[Y]],3,FALSE)</f>
        <v>27.7477573545521</v>
      </c>
      <c r="K576">
        <f>VLOOKUP(F576,[1]!china_towns_second__2[[Column1]:[Y]],2,FALSE)</f>
        <v>104.3765557</v>
      </c>
      <c r="L576" t="s">
        <v>4134</v>
      </c>
      <c r="M576" t="str">
        <f>VLOOKUP(H576,CHOOSE({1,2},Table17[Native],Table17[Name]),2,0)</f>
        <v>Yíliáng Xiàn</v>
      </c>
      <c r="N576" s="15" t="str">
        <f>VLOOKUP(I576,CHOOSE({1,2},Table17[Native],Table17[Name]),2,0)</f>
        <v>Zhāotōng Shì</v>
      </c>
      <c r="O576" s="15" t="str">
        <f t="shared" si="16"/>
        <v>Longhai Zhen (Zhāotōng Shì)</v>
      </c>
      <c r="P576" s="15" t="str">
        <f t="shared" si="17"/>
        <v>Longhai Zhen (Zhāotōng Shì)</v>
      </c>
    </row>
    <row r="577" spans="1:16" hidden="1" x14ac:dyDescent="0.25">
      <c r="A577" t="s">
        <v>67</v>
      </c>
      <c r="B577" t="str">
        <f>IF(COUNTIF(A:A,A577)&gt;1,_xlfn.CONCAT(A577," (",N577,")"),A577)</f>
        <v>Lóngjiāng Xiāng</v>
      </c>
      <c r="C577" t="str">
        <f>IF(COUNTIF(B:B,B577)&gt;1,_xlfn.CONCAT(A577," (",M577,")"),B577)</f>
        <v>Lóngjiāng Xiāng</v>
      </c>
      <c r="D577" t="s">
        <v>68</v>
      </c>
      <c r="E577" t="s">
        <v>7</v>
      </c>
      <c r="F577" t="str">
        <f>_xlfn.CONCAT(D577,", ",H577,", ",I577,", ","云南省")</f>
        <v>龙江乡, 龙陵县, 保山市, 云南省</v>
      </c>
      <c r="G577">
        <v>28116</v>
      </c>
      <c r="H577" t="s">
        <v>2742</v>
      </c>
      <c r="I577" t="s">
        <v>2739</v>
      </c>
      <c r="J577" t="e">
        <f>VLOOKUP(F577,[1]!china_towns_second__2[[Column1]:[Y]],3,FALSE)</f>
        <v>#N/A</v>
      </c>
      <c r="K577" t="e">
        <f>VLOOKUP(F577,[1]!china_towns_second__2[[Column1]:[Y]],2,FALSE)</f>
        <v>#N/A</v>
      </c>
      <c r="L577" t="s">
        <v>4135</v>
      </c>
      <c r="M577" t="str">
        <f>VLOOKUP(H577,CHOOSE({1,2},Table17[Native],Table17[Name]),2,0)</f>
        <v>Lónglíng Xiàn</v>
      </c>
      <c r="N577" s="15" t="str">
        <f>VLOOKUP(I577,CHOOSE({1,2},Table17[Native],Table17[Name]),2,0)</f>
        <v>Băoshān Shì</v>
      </c>
      <c r="O577" s="15" t="str">
        <f t="shared" si="16"/>
        <v>Longjiang Xiang (Băoshān Shì)</v>
      </c>
      <c r="P577" s="15" t="str">
        <f t="shared" si="17"/>
        <v>Longjiang Xiang (Băoshān Shì)</v>
      </c>
    </row>
    <row r="578" spans="1:16" hidden="1" x14ac:dyDescent="0.25">
      <c r="A578" t="s">
        <v>2388</v>
      </c>
      <c r="B578" t="str">
        <f>IF(COUNTIF(A:A,A578)&gt;1,_xlfn.CONCAT(A578," (",N578,")"),A578)</f>
        <v>Lóngjiē Jiēdào</v>
      </c>
      <c r="C578" t="str">
        <f>IF(COUNTIF(B:B,B578)&gt;1,_xlfn.CONCAT(A578," (",M578,")"),B578)</f>
        <v>Lóngjiē Jiēdào</v>
      </c>
      <c r="D578" t="s">
        <v>2389</v>
      </c>
      <c r="E578" t="s">
        <v>42</v>
      </c>
      <c r="F578" t="str">
        <f>_xlfn.CONCAT(D578,", ",H578,", ",I578,", ","云南省")</f>
        <v>龙街街道, 澄江市, 玉溪市, 云南省</v>
      </c>
      <c r="G578">
        <v>56983</v>
      </c>
      <c r="H578" t="s">
        <v>2889</v>
      </c>
      <c r="I578" t="s">
        <v>2888</v>
      </c>
      <c r="J578">
        <f>VLOOKUP(F578,[1]!china_towns_second__2[[Column1]:[Y]],3,FALSE)</f>
        <v>24.631576105281301</v>
      </c>
      <c r="K578">
        <f>VLOOKUP(F578,[1]!china_towns_second__2[[Column1]:[Y]],2,FALSE)</f>
        <v>102.8641327</v>
      </c>
      <c r="L578" t="s">
        <v>4136</v>
      </c>
      <c r="M578" t="str">
        <f>VLOOKUP(H578,CHOOSE({1,2},Table17[Native],Table17[Name]),2,0)</f>
        <v>Chéngjiāng Shì</v>
      </c>
      <c r="N578" s="15" t="str">
        <f>VLOOKUP(I578,CHOOSE({1,2},Table17[Native],Table17[Name]),2,0)</f>
        <v>Yùxī Shì</v>
      </c>
      <c r="O578" s="15" t="str">
        <f t="shared" ref="O578:O641" si="18">_xlfn.CONCAT(L578," (",N578,")")</f>
        <v>Longjie Jiedao (Yùxī Shì)</v>
      </c>
      <c r="P578" s="15" t="str">
        <f t="shared" ref="P578:P641" si="19">IF(COUNTIF(O:O,O578)&gt;1,_xlfn.CONCAT(L578," (",M578,")"),O578)</f>
        <v>Longjie Jiedao (Yùxī Shì)</v>
      </c>
    </row>
    <row r="579" spans="1:16" hidden="1" x14ac:dyDescent="0.25">
      <c r="A579" t="s">
        <v>2565</v>
      </c>
      <c r="B579" t="str">
        <f>IF(COUNTIF(A:A,A579)&gt;1,_xlfn.CONCAT(A579," (",N579,")"),A579)</f>
        <v>Lóngjiē Miáozú Yízú Xiāng</v>
      </c>
      <c r="C579" t="str">
        <f>IF(COUNTIF(B:B,B579)&gt;1,_xlfn.CONCAT(A579," (",M579,")"),B579)</f>
        <v>Lóngjiē Miáozú Yízú Xiāng</v>
      </c>
      <c r="D579" t="s">
        <v>2566</v>
      </c>
      <c r="E579" t="s">
        <v>7</v>
      </c>
      <c r="F579" t="str">
        <f>_xlfn.CONCAT(D579,", ",H579,", ",I579,", ","云南省")</f>
        <v>龙街苗族彝族乡, 宜良县, 昆明市, 云南省</v>
      </c>
      <c r="G579">
        <v>42799</v>
      </c>
      <c r="H579" t="s">
        <v>2821</v>
      </c>
      <c r="I579" t="s">
        <v>2807</v>
      </c>
      <c r="J579" t="e">
        <f>VLOOKUP(F579,[1]!china_towns_second__2[[Column1]:[Y]],3,FALSE)</f>
        <v>#N/A</v>
      </c>
      <c r="K579" t="e">
        <f>VLOOKUP(F579,[1]!china_towns_second__2[[Column1]:[Y]],2,FALSE)</f>
        <v>#N/A</v>
      </c>
      <c r="L579" t="s">
        <v>4137</v>
      </c>
      <c r="M579" t="str">
        <f>VLOOKUP(H579,CHOOSE({1,2},Table17[Native],Table17[Name]),2,0)</f>
        <v>Yíliáng Xiàn</v>
      </c>
      <c r="N579" s="15" t="str">
        <f>VLOOKUP(I579,CHOOSE({1,2},Table17[Native],Table17[Name]),2,0)</f>
        <v>Kūnmíng Shì</v>
      </c>
      <c r="O579" s="15" t="str">
        <f t="shared" si="18"/>
        <v>Longjie Miaozu Yizu Xiang (Kūnmíng Shì)</v>
      </c>
      <c r="P579" s="15" t="str">
        <f t="shared" si="19"/>
        <v>Longjie Miaozu Yizu Xiang (Kūnmíng Shì)</v>
      </c>
    </row>
    <row r="580" spans="1:16" hidden="1" x14ac:dyDescent="0.25">
      <c r="A580" t="s">
        <v>1735</v>
      </c>
      <c r="B580" t="str">
        <f>IF(COUNTIF(A:A,A580)&gt;1,_xlfn.CONCAT(A580," (",N580,")"),A580)</f>
        <v>Lóngjiē Xiāng</v>
      </c>
      <c r="C580" t="str">
        <f>IF(COUNTIF(B:B,B580)&gt;1,_xlfn.CONCAT(A580," (",M580,")"),B580)</f>
        <v>Lóngjiē Xiāng</v>
      </c>
      <c r="D580" t="s">
        <v>1736</v>
      </c>
      <c r="E580" t="s">
        <v>7</v>
      </c>
      <c r="F580" t="str">
        <f>_xlfn.CONCAT(D580,", ",H580,", ",I580,", ","云南省")</f>
        <v>龙街乡, 景东彝族自治县, 普洱市, 云南省</v>
      </c>
      <c r="G580">
        <v>20103</v>
      </c>
      <c r="H580" t="s">
        <v>2850</v>
      </c>
      <c r="I580" t="s">
        <v>2848</v>
      </c>
      <c r="J580" t="e">
        <f>VLOOKUP(F580,[1]!china_towns_second__2[[Column1]:[Y]],3,FALSE)</f>
        <v>#N/A</v>
      </c>
      <c r="K580" t="e">
        <f>VLOOKUP(F580,[1]!china_towns_second__2[[Column1]:[Y]],2,FALSE)</f>
        <v>#N/A</v>
      </c>
      <c r="L580" t="s">
        <v>4138</v>
      </c>
      <c r="M580" t="str">
        <f>VLOOKUP(H580,CHOOSE({1,2},Table17[Native],Table17[Name]),2,0)</f>
        <v>Jĭngdōng Yízú Zìzhìxiàn</v>
      </c>
      <c r="N580" s="15" t="str">
        <f>VLOOKUP(I580,CHOOSE({1,2},Table17[Native],Table17[Name]),2,0)</f>
        <v>Pŭ'ĕr Shì</v>
      </c>
      <c r="O580" s="15" t="str">
        <f t="shared" si="18"/>
        <v>Longjie Xiang (Pŭ'ĕr Shì)</v>
      </c>
      <c r="P580" s="15" t="str">
        <f t="shared" si="19"/>
        <v>Longjie Xiang (Pŭ'ĕr Shì)</v>
      </c>
    </row>
    <row r="581" spans="1:16" hidden="1" x14ac:dyDescent="0.25">
      <c r="A581" t="s">
        <v>261</v>
      </c>
      <c r="B581" t="str">
        <f>IF(COUNTIF(A:A,A581)&gt;1,_xlfn.CONCAT(A581," (",N581,")"),A581)</f>
        <v>Lóngjiē Zhèn (Chŭxióng Yízú Zìzhìzhōu)</v>
      </c>
      <c r="C581" t="str">
        <f>IF(COUNTIF(B:B,B581)&gt;1,_xlfn.CONCAT(A581," (",M581,")"),B581)</f>
        <v>Lóngjiē Zhèn (Chŭxióng Yízú Zìzhìzhōu)</v>
      </c>
      <c r="D581" t="s">
        <v>262</v>
      </c>
      <c r="E581" t="s">
        <v>11</v>
      </c>
      <c r="F581" t="str">
        <f>_xlfn.CONCAT(D581,", ",H581,", ",I581,", ","云南省")</f>
        <v>龙街镇, 大姚县, 楚雄彝族自治州, 云南省</v>
      </c>
      <c r="G581">
        <v>22653</v>
      </c>
      <c r="H581" t="s">
        <v>2752</v>
      </c>
      <c r="I581" t="s">
        <v>2750</v>
      </c>
      <c r="J581">
        <f>VLOOKUP(F581,[1]!china_towns_second__2[[Column1]:[Y]],3,FALSE)</f>
        <v>25.651600341902</v>
      </c>
      <c r="K581">
        <f>VLOOKUP(F581,[1]!china_towns_second__2[[Column1]:[Y]],2,FALSE)</f>
        <v>101.51869430000001</v>
      </c>
      <c r="L581" t="s">
        <v>4139</v>
      </c>
      <c r="M581" t="str">
        <f>VLOOKUP(H581,CHOOSE({1,2},Table17[Native],Table17[Name]),2,0)</f>
        <v>Dàyáo Xiàn</v>
      </c>
      <c r="N581" s="15" t="str">
        <f>VLOOKUP(I581,CHOOSE({1,2},Table17[Native],Table17[Name]),2,0)</f>
        <v>Chŭxióng Yízú Zìzhìzhōu</v>
      </c>
      <c r="O581" s="15" t="str">
        <f t="shared" si="18"/>
        <v>Longjie Zhen (Chuxiong Yizu Zizhizhou) (Chŭxióng Yízú Zìzhìzhōu)</v>
      </c>
      <c r="P581" s="15" t="str">
        <f t="shared" si="19"/>
        <v>Longjie Zhen (Chuxiong Yizu Zizhizhou) (Chŭxióng Yízú Zìzhìzhōu)</v>
      </c>
    </row>
    <row r="582" spans="1:16" hidden="1" x14ac:dyDescent="0.25">
      <c r="A582" t="s">
        <v>261</v>
      </c>
      <c r="B582" t="str">
        <f>IF(COUNTIF(A:A,A582)&gt;1,_xlfn.CONCAT(A582," (",N582,")"),A582)</f>
        <v>Lóngjiē Zhèn (Dàlĭ Báizú Zìzhìzhōu)</v>
      </c>
      <c r="C582" t="str">
        <f>IF(COUNTIF(B:B,B582)&gt;1,_xlfn.CONCAT(A582," (",M582,")"),B582)</f>
        <v>Lóngjiē Zhèn (Dàlĭ Báizú Zìzhìzhōu)</v>
      </c>
      <c r="D582" t="s">
        <v>262</v>
      </c>
      <c r="E582" t="s">
        <v>11</v>
      </c>
      <c r="F582" t="str">
        <f>_xlfn.CONCAT(D582,", ",H582,", ",I582,", ","云南省")</f>
        <v>龙街镇, 永平县, 大理白族自治州, 云南省</v>
      </c>
      <c r="G582">
        <v>22650</v>
      </c>
      <c r="H582" t="s">
        <v>2775</v>
      </c>
      <c r="I582" t="s">
        <v>2763</v>
      </c>
      <c r="J582">
        <f>VLOOKUP(F582,[1]!china_towns_second__2[[Column1]:[Y]],3,FALSE)</f>
        <v>25.308920519000502</v>
      </c>
      <c r="K582">
        <f>VLOOKUP(F582,[1]!china_towns_second__2[[Column1]:[Y]],2,FALSE)</f>
        <v>99.788195360000003</v>
      </c>
      <c r="L582" t="s">
        <v>4140</v>
      </c>
      <c r="M582" t="str">
        <f>VLOOKUP(H582,CHOOSE({1,2},Table17[Native],Table17[Name]),2,0)</f>
        <v>Yŏngpíng Xiàn</v>
      </c>
      <c r="N582" s="15" t="str">
        <f>VLOOKUP(I582,CHOOSE({1,2},Table17[Native],Table17[Name]),2,0)</f>
        <v>Dàlĭ Báizú Zìzhìzhōu</v>
      </c>
      <c r="O582" s="15" t="str">
        <f t="shared" si="18"/>
        <v>Longjie Zhen (Dali Baizu Zizhizhou) (Dàlĭ Báizú Zìzhìzhōu)</v>
      </c>
      <c r="P582" s="15" t="str">
        <f t="shared" si="19"/>
        <v>Longjie Zhen (Dali Baizu Zizhizhou) (Dàlĭ Báizú Zìzhìzhōu)</v>
      </c>
    </row>
    <row r="583" spans="1:16" hidden="1" x14ac:dyDescent="0.25">
      <c r="A583" t="s">
        <v>470</v>
      </c>
      <c r="B583" t="str">
        <f>IF(COUNTIF(A:A,A583)&gt;1,_xlfn.CONCAT(A583," (",N583,")"),A583)</f>
        <v>Lóngkāikŏu Zhèn</v>
      </c>
      <c r="C583" t="str">
        <f>IF(COUNTIF(B:B,B583)&gt;1,_xlfn.CONCAT(A583," (",M583,")"),B583)</f>
        <v>Lóngkāikŏu Zhèn</v>
      </c>
      <c r="D583" t="s">
        <v>471</v>
      </c>
      <c r="E583" t="s">
        <v>11</v>
      </c>
      <c r="F583" t="str">
        <f>_xlfn.CONCAT(D583,", ",H583,", ",I583,", ","云南省")</f>
        <v>龙开口镇, 鹤庆县, 大理白族自治州, 云南省</v>
      </c>
      <c r="G583">
        <v>26457</v>
      </c>
      <c r="H583" t="s">
        <v>2767</v>
      </c>
      <c r="I583" t="s">
        <v>2763</v>
      </c>
      <c r="J583">
        <f>VLOOKUP(F583,[1]!china_towns_second__2[[Column1]:[Y]],3,FALSE)</f>
        <v>26.336987701374799</v>
      </c>
      <c r="K583">
        <f>VLOOKUP(F583,[1]!china_towns_second__2[[Column1]:[Y]],2,FALSE)</f>
        <v>100.3806525</v>
      </c>
      <c r="L583" t="s">
        <v>4141</v>
      </c>
      <c r="M583" t="str">
        <f>VLOOKUP(H583,CHOOSE({1,2},Table17[Native],Table17[Name]),2,0)</f>
        <v>Hèqìng Xiàn</v>
      </c>
      <c r="N583" s="15" t="str">
        <f>VLOOKUP(I583,CHOOSE({1,2},Table17[Native],Table17[Name]),2,0)</f>
        <v>Dàlĭ Báizú Zìzhìzhōu</v>
      </c>
      <c r="O583" s="15" t="str">
        <f t="shared" si="18"/>
        <v>Longkaikou Zhen (Dàlĭ Báizú Zìzhìzhōu)</v>
      </c>
      <c r="P583" s="15" t="str">
        <f t="shared" si="19"/>
        <v>Longkaikou Zhen (Dàlĭ Báizú Zìzhìzhōu)</v>
      </c>
    </row>
    <row r="584" spans="1:16" hidden="1" x14ac:dyDescent="0.25">
      <c r="A584" t="s">
        <v>472</v>
      </c>
      <c r="B584" t="str">
        <f>IF(COUNTIF(A:A,A584)&gt;1,_xlfn.CONCAT(A584," (",N584,")"),A584)</f>
        <v>Lóngmén Xiāng</v>
      </c>
      <c r="C584" t="str">
        <f>IF(COUNTIF(B:B,B584)&gt;1,_xlfn.CONCAT(A584," (",M584,")"),B584)</f>
        <v>Lóngmén Xiāng</v>
      </c>
      <c r="D584" t="s">
        <v>473</v>
      </c>
      <c r="E584" t="s">
        <v>7</v>
      </c>
      <c r="F584" t="str">
        <f>_xlfn.CONCAT(D584,", ",H584,", ",I584,", ","云南省")</f>
        <v>龙门乡, 永平县, 大理白族自治州, 云南省</v>
      </c>
      <c r="G584">
        <v>11210</v>
      </c>
      <c r="H584" t="s">
        <v>2775</v>
      </c>
      <c r="I584" t="s">
        <v>2763</v>
      </c>
      <c r="J584" t="e">
        <f>VLOOKUP(F584,[1]!china_towns_second__2[[Column1]:[Y]],3,FALSE)</f>
        <v>#N/A</v>
      </c>
      <c r="K584" t="e">
        <f>VLOOKUP(F584,[1]!china_towns_second__2[[Column1]:[Y]],2,FALSE)</f>
        <v>#N/A</v>
      </c>
      <c r="L584" t="s">
        <v>4142</v>
      </c>
      <c r="M584" t="str">
        <f>VLOOKUP(H584,CHOOSE({1,2},Table17[Native],Table17[Name]),2,0)</f>
        <v>Yŏngpíng Xiàn</v>
      </c>
      <c r="N584" s="15" t="str">
        <f>VLOOKUP(I584,CHOOSE({1,2},Table17[Native],Table17[Name]),2,0)</f>
        <v>Dàlĭ Báizú Zìzhìzhōu</v>
      </c>
      <c r="O584" s="15" t="str">
        <f t="shared" si="18"/>
        <v>Longmen Xiang (Dàlĭ Báizú Zìzhìzhōu)</v>
      </c>
      <c r="P584" s="15" t="str">
        <f t="shared" si="19"/>
        <v>Longmen Xiang (Dàlĭ Báizú Zìzhìzhōu)</v>
      </c>
    </row>
    <row r="585" spans="1:16" hidden="1" x14ac:dyDescent="0.25">
      <c r="A585" t="s">
        <v>1361</v>
      </c>
      <c r="B585" t="str">
        <f>IF(COUNTIF(A:A,A585)&gt;1,_xlfn.CONCAT(A585," (",N585,")"),A585)</f>
        <v>Lóngpán Xiāng</v>
      </c>
      <c r="C585" t="str">
        <f>IF(COUNTIF(B:B,B585)&gt;1,_xlfn.CONCAT(A585," (",M585,")"),B585)</f>
        <v>Lóngpán Xiāng</v>
      </c>
      <c r="D585" t="s">
        <v>1362</v>
      </c>
      <c r="E585" t="s">
        <v>7</v>
      </c>
      <c r="F585" t="str">
        <f>_xlfn.CONCAT(D585,", ",H585,", ",I585,", ","云南省")</f>
        <v>龙蟠乡, 玉龙纳西族自治县, 丽江市, 云南省</v>
      </c>
      <c r="G585">
        <v>10700</v>
      </c>
      <c r="H585" t="s">
        <v>2829</v>
      </c>
      <c r="I585" t="s">
        <v>2823</v>
      </c>
      <c r="J585" t="e">
        <f>VLOOKUP(F585,[1]!china_towns_second__2[[Column1]:[Y]],3,FALSE)</f>
        <v>#N/A</v>
      </c>
      <c r="K585" t="e">
        <f>VLOOKUP(F585,[1]!china_towns_second__2[[Column1]:[Y]],2,FALSE)</f>
        <v>#N/A</v>
      </c>
      <c r="L585" t="s">
        <v>4143</v>
      </c>
      <c r="M585" t="str">
        <f>VLOOKUP(H585,CHOOSE({1,2},Table17[Native],Table17[Name]),2,0)</f>
        <v>Yùlóng Nàxīzú Zìzhìxiàn</v>
      </c>
      <c r="N585" s="15" t="str">
        <f>VLOOKUP(I585,CHOOSE({1,2},Table17[Native],Table17[Name]),2,0)</f>
        <v>Lìjiāng Shì</v>
      </c>
      <c r="O585" s="15" t="str">
        <f t="shared" si="18"/>
        <v>Longpan Xiang (Lìjiāng Shì)</v>
      </c>
      <c r="P585" s="15" t="str">
        <f t="shared" si="19"/>
        <v>Longpan Xiang (Lìjiāng Shì)</v>
      </c>
    </row>
    <row r="586" spans="1:16" hidden="1" x14ac:dyDescent="0.25">
      <c r="A586" t="s">
        <v>895</v>
      </c>
      <c r="B586" t="str">
        <f>IF(COUNTIF(A:A,A586)&gt;1,_xlfn.CONCAT(A586," (",N586,")"),A586)</f>
        <v>Lóngpéng Zhèn</v>
      </c>
      <c r="C586" t="str">
        <f>IF(COUNTIF(B:B,B586)&gt;1,_xlfn.CONCAT(A586," (",M586,")"),B586)</f>
        <v>Lóngpéng Zhèn</v>
      </c>
      <c r="D586" t="s">
        <v>896</v>
      </c>
      <c r="E586" t="s">
        <v>11</v>
      </c>
      <c r="F586" t="str">
        <f>_xlfn.CONCAT(D586,", ",H586,", ",I586,", ","云南省")</f>
        <v>龙朋镇, 石屏县, 红河哈尼族彝族自治州, 云南省</v>
      </c>
      <c r="G586">
        <v>26417</v>
      </c>
      <c r="H586" t="s">
        <v>2804</v>
      </c>
      <c r="I586" t="s">
        <v>2792</v>
      </c>
      <c r="J586">
        <f>VLOOKUP(F586,[1]!china_towns_second__2[[Column1]:[Y]],3,FALSE)</f>
        <v>23.885430227453</v>
      </c>
      <c r="K586">
        <f>VLOOKUP(F586,[1]!china_towns_second__2[[Column1]:[Y]],2,FALSE)</f>
        <v>102.597038</v>
      </c>
      <c r="L586" t="s">
        <v>4144</v>
      </c>
      <c r="M586" t="str">
        <f>VLOOKUP(H586,CHOOSE({1,2},Table17[Native],Table17[Name]),2,0)</f>
        <v>Shípíng Xiàn</v>
      </c>
      <c r="N586" s="15" t="str">
        <f>VLOOKUP(I586,CHOOSE({1,2},Table17[Native],Table17[Name]),2,0)</f>
        <v>Hónghé Hānízú Yízú Zìzhìzhōu</v>
      </c>
      <c r="O586" s="15" t="str">
        <f t="shared" si="18"/>
        <v>Longpeng Zhen (Hónghé Hānízú Yízú Zìzhìzhōu)</v>
      </c>
      <c r="P586" s="15" t="str">
        <f t="shared" si="19"/>
        <v>Longpeng Zhen (Hónghé Hānízú Yízú Zìzhìzhōu)</v>
      </c>
    </row>
    <row r="587" spans="1:16" hidden="1" x14ac:dyDescent="0.25">
      <c r="A587" t="s">
        <v>1953</v>
      </c>
      <c r="B587" t="str">
        <f>IF(COUNTIF(A:A,A587)&gt;1,_xlfn.CONCAT(A587," (",N587,")"),A587)</f>
        <v>Lóngqìng Yízú Zhuàngzú Xiāng</v>
      </c>
      <c r="C587" t="str">
        <f>IF(COUNTIF(B:B,B587)&gt;1,_xlfn.CONCAT(A587," (",M587,")"),B587)</f>
        <v>Lóngqìng Yízú Zhuàngzú Xiāng</v>
      </c>
      <c r="D587" t="s">
        <v>1954</v>
      </c>
      <c r="E587" t="s">
        <v>7</v>
      </c>
      <c r="F587" t="str">
        <f>_xlfn.CONCAT(D587,", ",H587,", ",I587,", ","云南省")</f>
        <v>龙庆彝族壮族乡, 师宗县, 曲靖市, 云南省</v>
      </c>
      <c r="G587">
        <v>37165</v>
      </c>
      <c r="H587" t="s">
        <v>2867</v>
      </c>
      <c r="I587" t="s">
        <v>2860</v>
      </c>
      <c r="J587" t="e">
        <f>VLOOKUP(F587,[1]!china_towns_second__2[[Column1]:[Y]],3,FALSE)</f>
        <v>#N/A</v>
      </c>
      <c r="K587" t="e">
        <f>VLOOKUP(F587,[1]!china_towns_second__2[[Column1]:[Y]],2,FALSE)</f>
        <v>#N/A</v>
      </c>
      <c r="L587" t="s">
        <v>4145</v>
      </c>
      <c r="M587" t="str">
        <f>VLOOKUP(H587,CHOOSE({1,2},Table17[Native],Table17[Name]),2,0)</f>
        <v>Shīzōng Xiàn</v>
      </c>
      <c r="N587" s="15" t="str">
        <f>VLOOKUP(I587,CHOOSE({1,2},Table17[Native],Table17[Name]),2,0)</f>
        <v>Qŭjìng Shì</v>
      </c>
      <c r="O587" s="15" t="str">
        <f t="shared" si="18"/>
        <v>Longqing Yizu Zhuangzu Xiang (Qŭjìng Shì)</v>
      </c>
      <c r="P587" s="15" t="str">
        <f t="shared" si="19"/>
        <v>Longqing Yizu Zhuangzu Xiang (Qŭjìng Shì)</v>
      </c>
    </row>
    <row r="588" spans="1:16" hidden="1" x14ac:dyDescent="0.25">
      <c r="A588" t="s">
        <v>1170</v>
      </c>
      <c r="B588" t="str">
        <f>IF(COUNTIF(A:A,A588)&gt;1,_xlfn.CONCAT(A588," (",N588,")"),A588)</f>
        <v>Lóngquán Jiēdào (Kūnmíng Shì)</v>
      </c>
      <c r="C588" t="str">
        <f>IF(COUNTIF(B:B,B588)&gt;1,_xlfn.CONCAT(A588," (",M588,")"),B588)</f>
        <v>Lóngquán Jiēdào (Kūnmíng Shì)</v>
      </c>
      <c r="D588" t="s">
        <v>1171</v>
      </c>
      <c r="E588" t="s">
        <v>42</v>
      </c>
      <c r="F588" t="str">
        <f>_xlfn.CONCAT(D588,", ",H588,", ",I588,", ","云南省")</f>
        <v>龙泉街道, 盘龙区, 昆明市, 云南省</v>
      </c>
      <c r="G588">
        <v>65673</v>
      </c>
      <c r="H588" t="s">
        <v>2815</v>
      </c>
      <c r="I588" t="s">
        <v>2807</v>
      </c>
      <c r="J588">
        <f>VLOOKUP(F588,[1]!china_towns_second__2[[Column1]:[Y]],3,FALSE)</f>
        <v>25.143047589271799</v>
      </c>
      <c r="K588">
        <f>VLOOKUP(F588,[1]!china_towns_second__2[[Column1]:[Y]],2,FALSE)</f>
        <v>102.77582769999999</v>
      </c>
      <c r="L588" t="s">
        <v>4146</v>
      </c>
      <c r="M588" t="str">
        <f>VLOOKUP(H588,CHOOSE({1,2},Table17[Native],Table17[Name]),2,0)</f>
        <v>Pánlóng Qū</v>
      </c>
      <c r="N588" s="15" t="str">
        <f>VLOOKUP(I588,CHOOSE({1,2},Table17[Native],Table17[Name]),2,0)</f>
        <v>Kūnmíng Shì</v>
      </c>
      <c r="O588" s="15" t="str">
        <f t="shared" si="18"/>
        <v>Longquan Jiedao (Kunming Shi) (Kūnmíng Shì)</v>
      </c>
      <c r="P588" s="15" t="str">
        <f t="shared" si="19"/>
        <v>Longquan Jiedao (Kunming Shi) (Kūnmíng Shì)</v>
      </c>
    </row>
    <row r="589" spans="1:16" hidden="1" x14ac:dyDescent="0.25">
      <c r="A589" t="s">
        <v>1170</v>
      </c>
      <c r="B589" t="str">
        <f>IF(COUNTIF(A:A,A589)&gt;1,_xlfn.CONCAT(A589," (",N589,")"),A589)</f>
        <v>Lóngquán Jiēdào (Yùxī Shì)</v>
      </c>
      <c r="C589" t="str">
        <f>IF(COUNTIF(B:B,B589)&gt;1,_xlfn.CONCAT(A589," (",M589,")"),B589)</f>
        <v>Lóngquán Jiēdào (Yùxī Shì)</v>
      </c>
      <c r="D589" t="s">
        <v>1171</v>
      </c>
      <c r="E589" t="s">
        <v>42</v>
      </c>
      <c r="F589" t="str">
        <f>_xlfn.CONCAT(D589,", ",H589,", ",I589,", ","云南省")</f>
        <v>龙泉街道, 易门县, 玉溪市, 云南省</v>
      </c>
      <c r="G589">
        <v>72752</v>
      </c>
      <c r="H589" t="s">
        <v>2896</v>
      </c>
      <c r="I589" t="s">
        <v>2888</v>
      </c>
      <c r="J589">
        <f>VLOOKUP(F589,[1]!china_towns_second__2[[Column1]:[Y]],3,FALSE)</f>
        <v>24.6997077973794</v>
      </c>
      <c r="K589">
        <f>VLOOKUP(F589,[1]!china_towns_second__2[[Column1]:[Y]],2,FALSE)</f>
        <v>102.2053932</v>
      </c>
      <c r="L589" t="s">
        <v>4147</v>
      </c>
      <c r="M589" t="str">
        <f>VLOOKUP(H589,CHOOSE({1,2},Table17[Native],Table17[Name]),2,0)</f>
        <v>Yìmén Xiàn</v>
      </c>
      <c r="N589" s="15" t="str">
        <f>VLOOKUP(I589,CHOOSE({1,2},Table17[Native],Table17[Name]),2,0)</f>
        <v>Yùxī Shì</v>
      </c>
      <c r="O589" s="15" t="str">
        <f t="shared" si="18"/>
        <v>Longquan Jiedao (Yuxi Shi) (Yùxī Shì)</v>
      </c>
      <c r="P589" s="15" t="str">
        <f t="shared" si="19"/>
        <v>Longquan Jiedao (Yuxi Shi) (Yùxī Shì)</v>
      </c>
    </row>
    <row r="590" spans="1:16" hidden="1" x14ac:dyDescent="0.25">
      <c r="A590" t="s">
        <v>1170</v>
      </c>
      <c r="B590" t="str">
        <f>IF(COUNTIF(A:A,A590)&gt;1,_xlfn.CONCAT(A590," (",N590,")"),A590)</f>
        <v>Lóngquán Jiēdào (Zhāotōng Shì)</v>
      </c>
      <c r="C590" t="str">
        <f>IF(COUNTIF(B:B,B590)&gt;1,_xlfn.CONCAT(A590," (",M590,")"),B590)</f>
        <v>Lóngquán Jiēdào (Zhāotōng Shì)</v>
      </c>
      <c r="D590" t="s">
        <v>1171</v>
      </c>
      <c r="E590" t="s">
        <v>42</v>
      </c>
      <c r="F590" t="str">
        <f>_xlfn.CONCAT(D590,", ",H590,", ",I590,", ","云南省")</f>
        <v>龙泉街道, 昭阳区, 昭通市, 云南省</v>
      </c>
      <c r="G590">
        <v>84286</v>
      </c>
      <c r="H590" t="s">
        <v>2909</v>
      </c>
      <c r="I590" t="s">
        <v>2899</v>
      </c>
      <c r="J590">
        <f>VLOOKUP(F590,[1]!china_towns_second__2[[Column1]:[Y]],3,FALSE)</f>
        <v>27.376861287072199</v>
      </c>
      <c r="K590">
        <f>VLOOKUP(F590,[1]!china_towns_second__2[[Column1]:[Y]],2,FALSE)</f>
        <v>103.71210309999999</v>
      </c>
      <c r="L590" t="s">
        <v>4148</v>
      </c>
      <c r="M590" t="str">
        <f>VLOOKUP(H590,CHOOSE({1,2},Table17[Native],Table17[Name]),2,0)</f>
        <v>Zhāoyáng Qū</v>
      </c>
      <c r="N590" s="15" t="str">
        <f>VLOOKUP(I590,CHOOSE({1,2},Table17[Native],Table17[Name]),2,0)</f>
        <v>Zhāotōng Shì</v>
      </c>
      <c r="O590" s="15" t="str">
        <f t="shared" si="18"/>
        <v>Longquan Jiedao (Zhaotong Shi) (Zhāotōng Shì)</v>
      </c>
      <c r="P590" s="15" t="str">
        <f t="shared" si="19"/>
        <v>Longquan Jiedao (Zhaotong Shi) (Zhāotōng Shì)</v>
      </c>
    </row>
    <row r="591" spans="1:16" hidden="1" x14ac:dyDescent="0.25">
      <c r="A591" t="s">
        <v>69</v>
      </c>
      <c r="B591" t="str">
        <f>IF(COUNTIF(A:A,A591)&gt;1,_xlfn.CONCAT(A591," (",N591,")"),A591)</f>
        <v>Lóngshān Zhèn</v>
      </c>
      <c r="C591" t="str">
        <f>IF(COUNTIF(B:B,B591)&gt;1,_xlfn.CONCAT(A591," (",M591,")"),B591)</f>
        <v>Lóngshān Zhèn</v>
      </c>
      <c r="D591" t="s">
        <v>70</v>
      </c>
      <c r="E591" t="s">
        <v>11</v>
      </c>
      <c r="F591" t="str">
        <f>_xlfn.CONCAT(D591,", ",H591,", ",I591,", ","云南省")</f>
        <v>龙山镇, 龙陵县, 保山市, 云南省</v>
      </c>
      <c r="G591">
        <v>54140</v>
      </c>
      <c r="H591" t="s">
        <v>2742</v>
      </c>
      <c r="I591" t="s">
        <v>2739</v>
      </c>
      <c r="J591">
        <f>VLOOKUP(F591,[1]!china_towns_second__2[[Column1]:[Y]],3,FALSE)</f>
        <v>24.614910000634001</v>
      </c>
      <c r="K591">
        <f>VLOOKUP(F591,[1]!china_towns_second__2[[Column1]:[Y]],2,FALSE)</f>
        <v>98.604631650000002</v>
      </c>
      <c r="L591" t="s">
        <v>4149</v>
      </c>
      <c r="M591" t="str">
        <f>VLOOKUP(H591,CHOOSE({1,2},Table17[Native],Table17[Name]),2,0)</f>
        <v>Lónglíng Xiàn</v>
      </c>
      <c r="N591" s="15" t="str">
        <f>VLOOKUP(I591,CHOOSE({1,2},Table17[Native],Table17[Name]),2,0)</f>
        <v>Băoshān Shì</v>
      </c>
      <c r="O591" s="15" t="str">
        <f t="shared" si="18"/>
        <v>Longshan Zhen (Băoshān Shì)</v>
      </c>
      <c r="P591" s="15" t="str">
        <f t="shared" si="19"/>
        <v>Longshan Zhen (Băoshān Shì)</v>
      </c>
    </row>
    <row r="592" spans="1:16" hidden="1" x14ac:dyDescent="0.25">
      <c r="A592" t="s">
        <v>2567</v>
      </c>
      <c r="B592" t="str">
        <f>IF(COUNTIF(A:A,A592)&gt;1,_xlfn.CONCAT(A592," (",N592,")"),A592)</f>
        <v>Lóngshù Zhèn</v>
      </c>
      <c r="C592" t="str">
        <f>IF(COUNTIF(B:B,B592)&gt;1,_xlfn.CONCAT(A592," (",M592,")"),B592)</f>
        <v>Lóngshù Zhèn</v>
      </c>
      <c r="D592" t="s">
        <v>2568</v>
      </c>
      <c r="E592" t="s">
        <v>11</v>
      </c>
      <c r="F592" t="str">
        <f>_xlfn.CONCAT(D592,", ",H592,", ",I592,", ","云南省")</f>
        <v>龙树镇, 鲁甸县, 昭通市, 云南省</v>
      </c>
      <c r="G592">
        <v>31320</v>
      </c>
      <c r="H592" t="s">
        <v>2901</v>
      </c>
      <c r="I592" t="s">
        <v>2899</v>
      </c>
      <c r="J592">
        <f>VLOOKUP(F592,[1]!china_towns_second__2[[Column1]:[Y]],3,FALSE)</f>
        <v>27.3570662569634</v>
      </c>
      <c r="K592">
        <f>VLOOKUP(F592,[1]!china_towns_second__2[[Column1]:[Y]],2,FALSE)</f>
        <v>103.4472738</v>
      </c>
      <c r="L592" t="s">
        <v>4150</v>
      </c>
      <c r="M592" t="str">
        <f>VLOOKUP(H592,CHOOSE({1,2},Table17[Native],Table17[Name]),2,0)</f>
        <v>Lŭdiàn Xiàn</v>
      </c>
      <c r="N592" s="15" t="str">
        <f>VLOOKUP(I592,CHOOSE({1,2},Table17[Native],Table17[Name]),2,0)</f>
        <v>Zhāotōng Shì</v>
      </c>
      <c r="O592" s="15" t="str">
        <f t="shared" si="18"/>
        <v>Longshu Zhen (Zhāotōng Shì)</v>
      </c>
      <c r="P592" s="15" t="str">
        <f t="shared" si="19"/>
        <v>Longshu Zhen (Zhāotōng Shì)</v>
      </c>
    </row>
    <row r="593" spans="1:16" hidden="1" x14ac:dyDescent="0.25">
      <c r="A593" t="s">
        <v>474</v>
      </c>
      <c r="B593" t="str">
        <f>IF(COUNTIF(A:A,A593)&gt;1,_xlfn.CONCAT(A593," (",N593,")"),A593)</f>
        <v>Lóngtán Xiāng (Dàlĭ Báizú Zìzhìzhōu)</v>
      </c>
      <c r="C593" t="str">
        <f>IF(COUNTIF(B:B,B593)&gt;1,_xlfn.CONCAT(A593," (",M593,")"),B593)</f>
        <v>Lóngtán Xiāng (Dàlĭ Báizú Zìzhìzhōu)</v>
      </c>
      <c r="D593" t="s">
        <v>475</v>
      </c>
      <c r="E593" t="s">
        <v>7</v>
      </c>
      <c r="F593" t="str">
        <f>_xlfn.CONCAT(D593,", ",H593,", ",I593,", ","云南省")</f>
        <v>龙潭乡, 漾濞彝族自治县, 大理白族自治州, 云南省</v>
      </c>
      <c r="G593">
        <v>6204</v>
      </c>
      <c r="H593" t="s">
        <v>2774</v>
      </c>
      <c r="I593" t="s">
        <v>2763</v>
      </c>
      <c r="J593" t="e">
        <f>VLOOKUP(F593,[1]!china_towns_second__2[[Column1]:[Y]],3,FALSE)</f>
        <v>#N/A</v>
      </c>
      <c r="K593" t="e">
        <f>VLOOKUP(F593,[1]!china_towns_second__2[[Column1]:[Y]],2,FALSE)</f>
        <v>#N/A</v>
      </c>
      <c r="L593" t="s">
        <v>4151</v>
      </c>
      <c r="M593" t="str">
        <f>VLOOKUP(H593,CHOOSE({1,2},Table17[Native],Table17[Name]),2,0)</f>
        <v>Yàngbì Yízú Zìzhìxiàn</v>
      </c>
      <c r="N593" s="15" t="str">
        <f>VLOOKUP(I593,CHOOSE({1,2},Table17[Native],Table17[Name]),2,0)</f>
        <v>Dàlĭ Báizú Zìzhìzhōu</v>
      </c>
      <c r="O593" s="15" t="str">
        <f t="shared" si="18"/>
        <v>Longtan Xiang (Dali Baizu Zizhizhou) (Dàlĭ Báizú Zìzhìzhōu)</v>
      </c>
      <c r="P593" s="15" t="str">
        <f t="shared" si="19"/>
        <v>Longtan Xiang (Dali Baizu Zizhizhou) (Dàlĭ Báizú Zìzhìzhōu)</v>
      </c>
    </row>
    <row r="594" spans="1:16" hidden="1" x14ac:dyDescent="0.25">
      <c r="A594" t="s">
        <v>474</v>
      </c>
      <c r="B594" t="str">
        <f>IF(COUNTIF(A:A,A594)&gt;1,_xlfn.CONCAT(A594," (",N594,")"),A594)</f>
        <v>Lóngtán Xiāng (Pŭ'ĕr Shì)</v>
      </c>
      <c r="C594" t="str">
        <f>IF(COUNTIF(B:B,B594)&gt;1,_xlfn.CONCAT(A594," (",M594,")"),B594)</f>
        <v>Lóngtán Xiāng (Pŭ'ĕr Shì)</v>
      </c>
      <c r="D594" t="s">
        <v>475</v>
      </c>
      <c r="E594" t="s">
        <v>7</v>
      </c>
      <c r="F594" t="str">
        <f>_xlfn.CONCAT(D594,", ",H594,", ",I594,", ","云南省")</f>
        <v>龙潭乡, 墨江哈尼族自治县, 普洱市, 云南省</v>
      </c>
      <c r="G594">
        <v>13019</v>
      </c>
      <c r="H594" t="s">
        <v>2854</v>
      </c>
      <c r="I594" t="s">
        <v>2848</v>
      </c>
      <c r="J594" t="e">
        <f>VLOOKUP(F594,[1]!china_towns_second__2[[Column1]:[Y]],3,FALSE)</f>
        <v>#N/A</v>
      </c>
      <c r="K594" t="e">
        <f>VLOOKUP(F594,[1]!china_towns_second__2[[Column1]:[Y]],2,FALSE)</f>
        <v>#N/A</v>
      </c>
      <c r="L594" t="s">
        <v>4152</v>
      </c>
      <c r="M594" t="str">
        <f>VLOOKUP(H594,CHOOSE({1,2},Table17[Native],Table17[Name]),2,0)</f>
        <v>Mòjiāng Hānízú Zìzhìxiàn</v>
      </c>
      <c r="N594" s="15" t="str">
        <f>VLOOKUP(I594,CHOOSE({1,2},Table17[Native],Table17[Name]),2,0)</f>
        <v>Pŭ'ĕr Shì</v>
      </c>
      <c r="O594" s="15" t="str">
        <f t="shared" si="18"/>
        <v>Longtan Xiang (Pu'er Shi) (Pŭ'ĕr Shì)</v>
      </c>
      <c r="P594" s="15" t="str">
        <f t="shared" si="19"/>
        <v>Longtan Xiang (Pu'er Shi) (Pŭ'ĕr Shì)</v>
      </c>
    </row>
    <row r="595" spans="1:16" hidden="1" x14ac:dyDescent="0.25">
      <c r="A595" t="s">
        <v>474</v>
      </c>
      <c r="B595" t="str">
        <f>IF(COUNTIF(A:A,A595)&gt;1,_xlfn.CONCAT(A595," (",N595,")"),A595)</f>
        <v>Lóngtán Xiāng (Yùxī Shì)</v>
      </c>
      <c r="C595" t="str">
        <f>IF(COUNTIF(B:B,B595)&gt;1,_xlfn.CONCAT(A595," (",M595,")"),B595)</f>
        <v>Lóngtán Xiāng (Yùxī Shì)</v>
      </c>
      <c r="D595" t="s">
        <v>475</v>
      </c>
      <c r="E595" t="s">
        <v>7</v>
      </c>
      <c r="F595" t="str">
        <f>_xlfn.CONCAT(D595,", ",H595,", ",I595,", ","云南省")</f>
        <v>龙潭乡, 元江哈尼族彝族傣族自治县, 玉溪市, 云南省</v>
      </c>
      <c r="G595">
        <v>7013</v>
      </c>
      <c r="H595" t="s">
        <v>2897</v>
      </c>
      <c r="I595" t="s">
        <v>2888</v>
      </c>
      <c r="J595" t="e">
        <f>VLOOKUP(F595,[1]!china_towns_second__2[[Column1]:[Y]],3,FALSE)</f>
        <v>#N/A</v>
      </c>
      <c r="K595" t="e">
        <f>VLOOKUP(F595,[1]!china_towns_second__2[[Column1]:[Y]],2,FALSE)</f>
        <v>#N/A</v>
      </c>
      <c r="L595" t="s">
        <v>4153</v>
      </c>
      <c r="M595" t="str">
        <f>VLOOKUP(H595,CHOOSE({1,2},Table17[Native],Table17[Name]),2,0)</f>
        <v>Yuánjiāng Hānízú Yízú Dăizú Zìzhìxiàn</v>
      </c>
      <c r="N595" s="15" t="str">
        <f>VLOOKUP(I595,CHOOSE({1,2},Table17[Native],Table17[Name]),2,0)</f>
        <v>Yùxī Shì</v>
      </c>
      <c r="O595" s="15" t="str">
        <f t="shared" si="18"/>
        <v>Longtan Xiang (Yuxi Shi) (Yùxī Shì)</v>
      </c>
      <c r="P595" s="15" t="str">
        <f t="shared" si="19"/>
        <v>Longtan Xiang (Yuxi Shi) (Yùxī Shì)</v>
      </c>
    </row>
    <row r="596" spans="1:16" hidden="1" x14ac:dyDescent="0.25">
      <c r="A596" t="s">
        <v>1737</v>
      </c>
      <c r="B596" t="str">
        <f>IF(COUNTIF(A:A,A596)&gt;1,_xlfn.CONCAT(A596," (",N596,")"),A596)</f>
        <v>Lóngtán Yízú Dăizú Xiāng</v>
      </c>
      <c r="C596" t="str">
        <f>IF(COUNTIF(B:B,B596)&gt;1,_xlfn.CONCAT(A596," (",M596,")"),B596)</f>
        <v>Lóngtán Yízú Dăizú Xiāng</v>
      </c>
      <c r="D596" t="s">
        <v>1738</v>
      </c>
      <c r="E596" t="s">
        <v>7</v>
      </c>
      <c r="F596" t="str">
        <f>_xlfn.CONCAT(D596,", ",H596,", ",I596,", ","云南省")</f>
        <v>龙潭彝族傣族乡, 思茅区, 普洱市, 云南省</v>
      </c>
      <c r="G596">
        <v>9585</v>
      </c>
      <c r="H596" t="s">
        <v>2856</v>
      </c>
      <c r="I596" t="s">
        <v>2848</v>
      </c>
      <c r="J596" t="e">
        <f>VLOOKUP(F596,[1]!china_towns_second__2[[Column1]:[Y]],3,FALSE)</f>
        <v>#N/A</v>
      </c>
      <c r="K596" t="e">
        <f>VLOOKUP(F596,[1]!china_towns_second__2[[Column1]:[Y]],2,FALSE)</f>
        <v>#N/A</v>
      </c>
      <c r="L596" t="s">
        <v>4154</v>
      </c>
      <c r="M596" t="str">
        <f>VLOOKUP(H596,CHOOSE({1,2},Table17[Native],Table17[Name]),2,0)</f>
        <v>Sīmáo Qū</v>
      </c>
      <c r="N596" s="15" t="str">
        <f>VLOOKUP(I596,CHOOSE({1,2},Table17[Native],Table17[Name]),2,0)</f>
        <v>Pŭ'ĕr Shì</v>
      </c>
      <c r="O596" s="15" t="str">
        <f t="shared" si="18"/>
        <v>Longtan Yizu Daizu Xiang (Pŭ'ĕr Shì)</v>
      </c>
      <c r="P596" s="15" t="str">
        <f t="shared" si="19"/>
        <v>Longtan Yizu Daizu Xiang (Pŭ'ĕr Shì)</v>
      </c>
    </row>
    <row r="597" spans="1:16" hidden="1" x14ac:dyDescent="0.25">
      <c r="A597" t="s">
        <v>1955</v>
      </c>
      <c r="B597" t="str">
        <f>IF(COUNTIF(A:A,A597)&gt;1,_xlfn.CONCAT(A597," (",N597,")"),A597)</f>
        <v>Lóngtán Zhèn</v>
      </c>
      <c r="C597" t="str">
        <f>IF(COUNTIF(B:B,B597)&gt;1,_xlfn.CONCAT(A597," (",M597,")"),B597)</f>
        <v>Lóngtán Zhèn</v>
      </c>
      <c r="D597" t="s">
        <v>1956</v>
      </c>
      <c r="E597" t="s">
        <v>11</v>
      </c>
      <c r="F597" t="str">
        <f>_xlfn.CONCAT(D597,", ",H597,", ",I597,", ","云南省")</f>
        <v>龙潭镇, 宣威市, 曲靖市, 云南省</v>
      </c>
      <c r="G597">
        <v>51721</v>
      </c>
      <c r="H597" t="s">
        <v>2868</v>
      </c>
      <c r="I597" t="s">
        <v>2860</v>
      </c>
      <c r="J597">
        <f>VLOOKUP(F597,[1]!china_towns_second__2[[Column1]:[Y]],3,FALSE)</f>
        <v>26.3992718974316</v>
      </c>
      <c r="K597">
        <f>VLOOKUP(F597,[1]!china_towns_second__2[[Column1]:[Y]],2,FALSE)</f>
        <v>104.02318940000001</v>
      </c>
      <c r="L597" t="s">
        <v>4155</v>
      </c>
      <c r="M597" t="str">
        <f>VLOOKUP(H597,CHOOSE({1,2},Table17[Native],Table17[Name]),2,0)</f>
        <v>Xuānwēi Shì</v>
      </c>
      <c r="N597" s="15" t="str">
        <f>VLOOKUP(I597,CHOOSE({1,2},Table17[Native],Table17[Name]),2,0)</f>
        <v>Qŭjìng Shì</v>
      </c>
      <c r="O597" s="15" t="str">
        <f t="shared" si="18"/>
        <v>Longtan Zhen (Qŭjìng Shì)</v>
      </c>
      <c r="P597" s="15" t="str">
        <f t="shared" si="19"/>
        <v>Longtan Zhen (Qŭjìng Shì)</v>
      </c>
    </row>
    <row r="598" spans="1:16" hidden="1" x14ac:dyDescent="0.25">
      <c r="A598" t="s">
        <v>2569</v>
      </c>
      <c r="B598" t="str">
        <f>IF(COUNTIF(A:A,A598)&gt;1,_xlfn.CONCAT(A598," (",N598,")"),A598)</f>
        <v>Lóngtóushān Zhèn</v>
      </c>
      <c r="C598" t="str">
        <f>IF(COUNTIF(B:B,B598)&gt;1,_xlfn.CONCAT(A598," (",M598,")"),B598)</f>
        <v>Lóngtóushān Zhèn</v>
      </c>
      <c r="D598" t="s">
        <v>2570</v>
      </c>
      <c r="E598" t="s">
        <v>11</v>
      </c>
      <c r="F598" t="str">
        <f>_xlfn.CONCAT(D598,", ",H598,", ",I598,", ","云南省")</f>
        <v>龙头山镇, 鲁甸县, 昭通市, 云南省</v>
      </c>
      <c r="G598">
        <v>48150</v>
      </c>
      <c r="H598" t="s">
        <v>2901</v>
      </c>
      <c r="I598" t="s">
        <v>2899</v>
      </c>
      <c r="J598">
        <f>VLOOKUP(F598,[1]!china_towns_second__2[[Column1]:[Y]],3,FALSE)</f>
        <v>27.093710173011601</v>
      </c>
      <c r="K598">
        <f>VLOOKUP(F598,[1]!china_towns_second__2[[Column1]:[Y]],2,FALSE)</f>
        <v>103.3675535</v>
      </c>
      <c r="L598" t="s">
        <v>4156</v>
      </c>
      <c r="M598" t="str">
        <f>VLOOKUP(H598,CHOOSE({1,2},Table17[Native],Table17[Name]),2,0)</f>
        <v>Lŭdiàn Xiàn</v>
      </c>
      <c r="N598" s="15" t="str">
        <f>VLOOKUP(I598,CHOOSE({1,2},Table17[Native],Table17[Name]),2,0)</f>
        <v>Zhāotōng Shì</v>
      </c>
      <c r="O598" s="15" t="str">
        <f t="shared" si="18"/>
        <v>Longtoushan Zhen (Zhāotōng Shì)</v>
      </c>
      <c r="P598" s="15" t="str">
        <f t="shared" si="19"/>
        <v>Longtoushan Zhen (Zhāotōng Shì)</v>
      </c>
    </row>
    <row r="599" spans="1:16" hidden="1" x14ac:dyDescent="0.25">
      <c r="A599" t="s">
        <v>897</v>
      </c>
      <c r="B599" t="str">
        <f>IF(COUNTIF(A:A,A599)&gt;1,_xlfn.CONCAT(A599," (",N599,")"),A599)</f>
        <v>Lóngwŭ Zhèn</v>
      </c>
      <c r="C599" t="str">
        <f>IF(COUNTIF(B:B,B599)&gt;1,_xlfn.CONCAT(A599," (",M599,")"),B599)</f>
        <v>Lóngwŭ Zhèn</v>
      </c>
      <c r="D599" t="s">
        <v>898</v>
      </c>
      <c r="E599" t="s">
        <v>11</v>
      </c>
      <c r="F599" t="str">
        <f>_xlfn.CONCAT(D599,", ",H599,", ",I599,", ","云南省")</f>
        <v>龙武镇, 石屏县, 红河哈尼族彝族自治州, 云南省</v>
      </c>
      <c r="G599">
        <v>21080</v>
      </c>
      <c r="H599" t="s">
        <v>2804</v>
      </c>
      <c r="I599" t="s">
        <v>2792</v>
      </c>
      <c r="J599">
        <f>VLOOKUP(F599,[1]!china_towns_second__2[[Column1]:[Y]],3,FALSE)</f>
        <v>23.999888051812601</v>
      </c>
      <c r="K599">
        <f>VLOOKUP(F599,[1]!china_towns_second__2[[Column1]:[Y]],2,FALSE)</f>
        <v>102.35285880000001</v>
      </c>
      <c r="L599" t="s">
        <v>4157</v>
      </c>
      <c r="M599" t="str">
        <f>VLOOKUP(H599,CHOOSE({1,2},Table17[Native],Table17[Name]),2,0)</f>
        <v>Shípíng Xiàn</v>
      </c>
      <c r="N599" s="15" t="str">
        <f>VLOOKUP(I599,CHOOSE({1,2},Table17[Native],Table17[Name]),2,0)</f>
        <v>Hónghé Hānízú Yízú Zìzhìzhōu</v>
      </c>
      <c r="O599" s="15" t="str">
        <f t="shared" si="18"/>
        <v>Longwu Zhen (Hónghé Hānízú Yízú Zìzhìzhōu)</v>
      </c>
      <c r="P599" s="15" t="str">
        <f t="shared" si="19"/>
        <v>Longwu Zhen (Hónghé Hānízú Yízú Zìzhìzhōu)</v>
      </c>
    </row>
    <row r="600" spans="1:16" hidden="1" x14ac:dyDescent="0.25">
      <c r="A600" t="s">
        <v>1172</v>
      </c>
      <c r="B600" t="str">
        <f>IF(COUNTIF(A:A,A600)&gt;1,_xlfn.CONCAT(A600," (",N600,")"),A600)</f>
        <v>Lóngxiáng Jiēdào</v>
      </c>
      <c r="C600" t="str">
        <f>IF(COUNTIF(B:B,B600)&gt;1,_xlfn.CONCAT(A600," (",M600,")"),B600)</f>
        <v>Lóngxiáng Jiēdào</v>
      </c>
      <c r="D600" t="s">
        <v>1173</v>
      </c>
      <c r="E600" t="s">
        <v>42</v>
      </c>
      <c r="F600" t="str">
        <f>_xlfn.CONCAT(D600,", ",H600,", ",I600,", ","云南省")</f>
        <v>龙翔街道, 五华区, 昆明市, 云南省</v>
      </c>
      <c r="G600">
        <v>48828</v>
      </c>
      <c r="H600" t="s">
        <v>2818</v>
      </c>
      <c r="I600" t="s">
        <v>2807</v>
      </c>
      <c r="J600">
        <f>VLOOKUP(F600,[1]!china_towns_second__2[[Column1]:[Y]],3,FALSE)</f>
        <v>25.051813781661998</v>
      </c>
      <c r="K600">
        <f>VLOOKUP(F600,[1]!china_towns_second__2[[Column1]:[Y]],2,FALSE)</f>
        <v>102.6877744</v>
      </c>
      <c r="L600" t="s">
        <v>4158</v>
      </c>
      <c r="M600" t="str">
        <f>VLOOKUP(H600,CHOOSE({1,2},Table17[Native],Table17[Name]),2,0)</f>
        <v>Wŭhuá Qū</v>
      </c>
      <c r="N600" s="15" t="str">
        <f>VLOOKUP(I600,CHOOSE({1,2},Table17[Native],Table17[Name]),2,0)</f>
        <v>Kūnmíng Shì</v>
      </c>
      <c r="O600" s="15" t="str">
        <f t="shared" si="18"/>
        <v>Longxiang Jiedao (Kūnmíng Shì)</v>
      </c>
      <c r="P600" s="15" t="str">
        <f t="shared" si="19"/>
        <v>Longxiang Jiedao (Kūnmíng Shì)</v>
      </c>
    </row>
    <row r="601" spans="1:16" hidden="1" x14ac:dyDescent="0.25">
      <c r="A601" t="s">
        <v>71</v>
      </c>
      <c r="B601" t="str">
        <f>IF(COUNTIF(A:A,A601)&gt;1,_xlfn.CONCAT(A601," (",N601,")"),A601)</f>
        <v>Lóngxīn Xiāng</v>
      </c>
      <c r="C601" t="str">
        <f>IF(COUNTIF(B:B,B601)&gt;1,_xlfn.CONCAT(A601," (",M601,")"),B601)</f>
        <v>Lóngxīn Xiāng</v>
      </c>
      <c r="D601" t="s">
        <v>72</v>
      </c>
      <c r="E601" t="s">
        <v>7</v>
      </c>
      <c r="F601" t="str">
        <f>_xlfn.CONCAT(D601,", ",H601,", ",I601,", ","云南省")</f>
        <v>龙新乡, 龙陵县, 保山市, 云南省</v>
      </c>
      <c r="G601">
        <v>29764</v>
      </c>
      <c r="H601" t="s">
        <v>2742</v>
      </c>
      <c r="I601" t="s">
        <v>2739</v>
      </c>
      <c r="J601" t="e">
        <f>VLOOKUP(F601,[1]!china_towns_second__2[[Column1]:[Y]],3,FALSE)</f>
        <v>#N/A</v>
      </c>
      <c r="K601" t="e">
        <f>VLOOKUP(F601,[1]!china_towns_second__2[[Column1]:[Y]],2,FALSE)</f>
        <v>#N/A</v>
      </c>
      <c r="L601" t="s">
        <v>4159</v>
      </c>
      <c r="M601" t="str">
        <f>VLOOKUP(H601,CHOOSE({1,2},Table17[Native],Table17[Name]),2,0)</f>
        <v>Lónglíng Xiàn</v>
      </c>
      <c r="N601" s="15" t="str">
        <f>VLOOKUP(I601,CHOOSE({1,2},Table17[Native],Table17[Name]),2,0)</f>
        <v>Băoshān Shì</v>
      </c>
      <c r="O601" s="15" t="str">
        <f t="shared" si="18"/>
        <v>Longxin Xiang (Băoshān Shì)</v>
      </c>
      <c r="P601" s="15" t="str">
        <f t="shared" si="19"/>
        <v>Longxin Xiang (Băoshān Shì)</v>
      </c>
    </row>
    <row r="602" spans="1:16" hidden="1" x14ac:dyDescent="0.25">
      <c r="A602" t="s">
        <v>1174</v>
      </c>
      <c r="B602" t="str">
        <f>IF(COUNTIF(A:A,A602)&gt;1,_xlfn.CONCAT(A602," (",N602,")"),A602)</f>
        <v>Lùbiāo Jiēdào</v>
      </c>
      <c r="C602" t="str">
        <f>IF(COUNTIF(B:B,B602)&gt;1,_xlfn.CONCAT(A602," (",M602,")"),B602)</f>
        <v>Lùbiāo Jiēdào</v>
      </c>
      <c r="D602" t="s">
        <v>1175</v>
      </c>
      <c r="E602" t="s">
        <v>42</v>
      </c>
      <c r="F602" t="str">
        <f>_xlfn.CONCAT(D602,", ",H602,", ",I602,", ","云南省")</f>
        <v>禄脿街道, 安宁市, 昆明市, 云南省</v>
      </c>
      <c r="G602">
        <v>13046</v>
      </c>
      <c r="H602" t="s">
        <v>2808</v>
      </c>
      <c r="I602" t="s">
        <v>2807</v>
      </c>
      <c r="J602">
        <f>VLOOKUP(F602,[1]!china_towns_second__2[[Column1]:[Y]],3,FALSE)</f>
        <v>24.991190624860099</v>
      </c>
      <c r="K602">
        <f>VLOOKUP(F602,[1]!china_towns_second__2[[Column1]:[Y]],2,FALSE)</f>
        <v>102.2451652</v>
      </c>
      <c r="L602" t="s">
        <v>4160</v>
      </c>
      <c r="M602" t="str">
        <f>VLOOKUP(H602,CHOOSE({1,2},Table17[Native],Table17[Name]),2,0)</f>
        <v>Ānníng Shì</v>
      </c>
      <c r="N602" s="15" t="str">
        <f>VLOOKUP(I602,CHOOSE({1,2},Table17[Native],Table17[Name]),2,0)</f>
        <v>Kūnmíng Shì</v>
      </c>
      <c r="O602" s="15" t="str">
        <f t="shared" si="18"/>
        <v>Lubiao Jiedao (Kūnmíng Shì)</v>
      </c>
      <c r="P602" s="15" t="str">
        <f t="shared" si="19"/>
        <v>Lubiao Jiedao (Kūnmíng Shì)</v>
      </c>
    </row>
    <row r="603" spans="1:16" hidden="1" x14ac:dyDescent="0.25">
      <c r="A603" t="s">
        <v>1957</v>
      </c>
      <c r="B603" t="str">
        <f>IF(COUNTIF(A:A,A603)&gt;1,_xlfn.CONCAT(A603," (",N603,")"),A603)</f>
        <v>Lŭbùgé Bùyīzú Miáozú Xiāng</v>
      </c>
      <c r="C603" t="str">
        <f>IF(COUNTIF(B:B,B603)&gt;1,_xlfn.CONCAT(A603," (",M603,")"),B603)</f>
        <v>Lŭbùgé Bùyīzú Miáozú Xiāng</v>
      </c>
      <c r="D603" t="s">
        <v>1958</v>
      </c>
      <c r="E603" t="s">
        <v>7</v>
      </c>
      <c r="F603" t="str">
        <f>_xlfn.CONCAT(D603,", ",H603,", ",I603,", ","云南省")</f>
        <v>鲁布革布依族苗族乡, 罗平县, 曲靖市, 云南省</v>
      </c>
      <c r="G603">
        <v>17609</v>
      </c>
      <c r="H603" t="s">
        <v>2864</v>
      </c>
      <c r="I603" t="s">
        <v>2860</v>
      </c>
      <c r="J603" t="e">
        <f>VLOOKUP(F603,[1]!china_towns_second__2[[Column1]:[Y]],3,FALSE)</f>
        <v>#N/A</v>
      </c>
      <c r="K603" t="e">
        <f>VLOOKUP(F603,[1]!china_towns_second__2[[Column1]:[Y]],2,FALSE)</f>
        <v>#N/A</v>
      </c>
      <c r="L603" t="s">
        <v>4161</v>
      </c>
      <c r="M603" t="str">
        <f>VLOOKUP(H603,CHOOSE({1,2},Table17[Native],Table17[Name]),2,0)</f>
        <v>Luópíng Xiàn</v>
      </c>
      <c r="N603" s="15" t="str">
        <f>VLOOKUP(I603,CHOOSE({1,2},Table17[Native],Table17[Name]),2,0)</f>
        <v>Qŭjìng Shì</v>
      </c>
      <c r="O603" s="15" t="str">
        <f t="shared" si="18"/>
        <v>Lubuge Buyizu Miaozu Xiang (Qŭjìng Shì)</v>
      </c>
      <c r="P603" s="15" t="str">
        <f t="shared" si="19"/>
        <v>Lubuge Buyizu Miaozu Xiang (Qŭjìng Shì)</v>
      </c>
    </row>
    <row r="604" spans="1:16" hidden="1" x14ac:dyDescent="0.25">
      <c r="A604" t="s">
        <v>263</v>
      </c>
      <c r="B604" t="str">
        <f>IF(COUNTIF(A:A,A604)&gt;1,_xlfn.CONCAT(A604," (",N604,")"),A604)</f>
        <v>Lùchéng Zhèn</v>
      </c>
      <c r="C604" t="str">
        <f>IF(COUNTIF(B:B,B604)&gt;1,_xlfn.CONCAT(A604," (",M604,")"),B604)</f>
        <v>Lùchéng Zhèn</v>
      </c>
      <c r="D604" t="s">
        <v>264</v>
      </c>
      <c r="E604" t="s">
        <v>11</v>
      </c>
      <c r="F604" t="str">
        <f>_xlfn.CONCAT(D604,", ",H604,", ",I604,", ","云南省")</f>
        <v>鹿城镇, 楚雄市, 楚雄彝族自治州, 云南省</v>
      </c>
      <c r="G604">
        <v>221252</v>
      </c>
      <c r="H604" t="s">
        <v>2751</v>
      </c>
      <c r="I604" t="s">
        <v>2750</v>
      </c>
      <c r="J604">
        <f>VLOOKUP(F604,[1]!china_towns_second__2[[Column1]:[Y]],3,FALSE)</f>
        <v>24.932929030135998</v>
      </c>
      <c r="K604">
        <f>VLOOKUP(F604,[1]!china_towns_second__2[[Column1]:[Y]],2,FALSE)</f>
        <v>101.6396106</v>
      </c>
      <c r="L604" t="s">
        <v>4162</v>
      </c>
      <c r="M604" t="str">
        <f>VLOOKUP(H604,CHOOSE({1,2},Table17[Native],Table17[Name]),2,0)</f>
        <v>Chŭxióng Shì</v>
      </c>
      <c r="N604" s="15" t="str">
        <f>VLOOKUP(I604,CHOOSE({1,2},Table17[Native],Table17[Name]),2,0)</f>
        <v>Chŭxióng Yízú Zìzhìzhōu</v>
      </c>
      <c r="O604" s="15" t="str">
        <f t="shared" si="18"/>
        <v>Lucheng Zhen (Chŭxióng Yízú Zìzhìzhōu)</v>
      </c>
      <c r="P604" s="15" t="str">
        <f t="shared" si="19"/>
        <v>Lucheng Zhen (Chŭxióng Yízú Zìzhìzhōu)</v>
      </c>
    </row>
    <row r="605" spans="1:16" hidden="1" x14ac:dyDescent="0.25">
      <c r="A605" t="s">
        <v>1363</v>
      </c>
      <c r="B605" t="str">
        <f>IF(COUNTIF(A:A,A605)&gt;1,_xlfn.CONCAT(A605," (",N605,")"),A605)</f>
        <v>Lŭdiàn Xiāng</v>
      </c>
      <c r="C605" t="str">
        <f>IF(COUNTIF(B:B,B605)&gt;1,_xlfn.CONCAT(A605," (",M605,")"),B605)</f>
        <v>Lŭdiàn Xiāng</v>
      </c>
      <c r="D605" t="s">
        <v>1364</v>
      </c>
      <c r="E605" t="s">
        <v>7</v>
      </c>
      <c r="F605" t="str">
        <f>_xlfn.CONCAT(D605,", ",H605,", ",I605,", ","云南省")</f>
        <v>鲁甸乡, 玉龙纳西族自治县, 丽江市, 云南省</v>
      </c>
      <c r="G605">
        <v>16987</v>
      </c>
      <c r="H605" t="s">
        <v>2829</v>
      </c>
      <c r="I605" t="s">
        <v>2823</v>
      </c>
      <c r="J605" t="e">
        <f>VLOOKUP(F605,[1]!china_towns_second__2[[Column1]:[Y]],3,FALSE)</f>
        <v>#N/A</v>
      </c>
      <c r="K605" t="e">
        <f>VLOOKUP(F605,[1]!china_towns_second__2[[Column1]:[Y]],2,FALSE)</f>
        <v>#N/A</v>
      </c>
      <c r="L605" t="s">
        <v>4163</v>
      </c>
      <c r="M605" t="str">
        <f>VLOOKUP(H605,CHOOSE({1,2},Table17[Native],Table17[Name]),2,0)</f>
        <v>Yùlóng Nàxīzú Zìzhìxiàn</v>
      </c>
      <c r="N605" s="15" t="str">
        <f>VLOOKUP(I605,CHOOSE({1,2},Table17[Native],Table17[Name]),2,0)</f>
        <v>Lìjiāng Shì</v>
      </c>
      <c r="O605" s="15" t="str">
        <f t="shared" si="18"/>
        <v>Ludian Xiang (Lìjiāng Shì)</v>
      </c>
      <c r="P605" s="15" t="str">
        <f t="shared" si="19"/>
        <v>Ludian Xiang (Lìjiāng Shì)</v>
      </c>
    </row>
    <row r="606" spans="1:16" hidden="1" x14ac:dyDescent="0.25">
      <c r="A606" t="s">
        <v>1365</v>
      </c>
      <c r="B606" t="str">
        <f>IF(COUNTIF(A:A,A606)&gt;1,_xlfn.CONCAT(A606," (",N606,")"),A606)</f>
        <v>Lǔdìlā Zhèn [Dōngfēng Xiāng]</v>
      </c>
      <c r="C606" t="str">
        <f>IF(COUNTIF(B:B,B606)&gt;1,_xlfn.CONCAT(A606," (",M606,")"),B606)</f>
        <v>Lǔdìlā Zhèn [Dōngfēng Xiāng]</v>
      </c>
      <c r="D606" t="s">
        <v>2934</v>
      </c>
      <c r="E606" t="s">
        <v>11</v>
      </c>
      <c r="F606" t="str">
        <f>_xlfn.CONCAT(D606,", ",H606,", ",I606,", ","云南省")</f>
        <v>东风傈僳族镇, 永胜县, 丽江市, 云南省</v>
      </c>
      <c r="G606">
        <v>13008</v>
      </c>
      <c r="H606" t="s">
        <v>2828</v>
      </c>
      <c r="I606" t="s">
        <v>2823</v>
      </c>
      <c r="J606">
        <f>VLOOKUP(F606,[1]!china_towns_second__2[[Column1]:[Y]],3,FALSE)</f>
        <v>26.253561697291701</v>
      </c>
      <c r="K606">
        <f>VLOOKUP(F606,[1]!china_towns_second__2[[Column1]:[Y]],2,FALSE)</f>
        <v>100.7906507</v>
      </c>
      <c r="L606" t="s">
        <v>4164</v>
      </c>
      <c r="M606" t="str">
        <f>VLOOKUP(H606,CHOOSE({1,2},Table17[Native],Table17[Name]),2,0)</f>
        <v>Yŏngshèng Xiàn</v>
      </c>
      <c r="N606" s="15" t="str">
        <f>VLOOKUP(I606,CHOOSE({1,2},Table17[Native],Table17[Name]),2,0)</f>
        <v>Lìjiāng Shì</v>
      </c>
      <c r="O606" s="15" t="str">
        <f t="shared" si="18"/>
        <v>Ludila Zhen [Dongfeng Xiang] (Lìjiāng Shì)</v>
      </c>
      <c r="P606" s="15" t="str">
        <f t="shared" si="19"/>
        <v>Ludila Zhen [Dongfeng Xiang] (Lìjiāng Shì)</v>
      </c>
    </row>
    <row r="607" spans="1:16" hidden="1" x14ac:dyDescent="0.25">
      <c r="A607" t="s">
        <v>2571</v>
      </c>
      <c r="B607" t="str">
        <f>IF(COUNTIF(A:A,A607)&gt;1,_xlfn.CONCAT(A607," (",N607,")"),A607)</f>
        <v>Lúfáng Xiāng</v>
      </c>
      <c r="C607" t="str">
        <f>IF(COUNTIF(B:B,B607)&gt;1,_xlfn.CONCAT(A607," (",M607,")"),B607)</f>
        <v>Lúfáng Xiāng</v>
      </c>
      <c r="D607" t="s">
        <v>2572</v>
      </c>
      <c r="E607" t="s">
        <v>7</v>
      </c>
      <c r="F607" t="str">
        <f>_xlfn.CONCAT(D607,", ",H607,", ",I607,", ","云南省")</f>
        <v>炉房乡, 巧家县, 昭通市, 云南省</v>
      </c>
      <c r="G607">
        <v>19353</v>
      </c>
      <c r="H607" t="s">
        <v>2902</v>
      </c>
      <c r="I607" t="s">
        <v>2899</v>
      </c>
      <c r="J607" t="e">
        <f>VLOOKUP(F607,[1]!china_towns_second__2[[Column1]:[Y]],3,FALSE)</f>
        <v>#N/A</v>
      </c>
      <c r="K607" t="e">
        <f>VLOOKUP(F607,[1]!china_towns_second__2[[Column1]:[Y]],2,FALSE)</f>
        <v>#N/A</v>
      </c>
      <c r="L607" t="s">
        <v>4165</v>
      </c>
      <c r="M607" t="str">
        <f>VLOOKUP(H607,CHOOSE({1,2},Table17[Native],Table17[Name]),2,0)</f>
        <v>Qiăojiā Xiàn</v>
      </c>
      <c r="N607" s="15" t="str">
        <f>VLOOKUP(I607,CHOOSE({1,2},Table17[Native],Table17[Name]),2,0)</f>
        <v>Zhāotōng Shì</v>
      </c>
      <c r="O607" s="15" t="str">
        <f t="shared" si="18"/>
        <v>Lufang Xiang (Zhāotōng Shì)</v>
      </c>
      <c r="P607" s="15" t="str">
        <f t="shared" si="19"/>
        <v>Lufang Xiang (Zhāotōng Shì)</v>
      </c>
    </row>
    <row r="608" spans="1:16" hidden="1" x14ac:dyDescent="0.25">
      <c r="A608" t="s">
        <v>1176</v>
      </c>
      <c r="B608" t="str">
        <f>IF(COUNTIF(A:A,A608)&gt;1,_xlfn.CONCAT(A608," (",N608,")"),A608)</f>
        <v>Lùfù Jiēdào</v>
      </c>
      <c r="C608" t="str">
        <f>IF(COUNTIF(B:B,B608)&gt;1,_xlfn.CONCAT(A608," (",M608,")"),B608)</f>
        <v>Lùfù Jiēdào</v>
      </c>
      <c r="D608" t="s">
        <v>1177</v>
      </c>
      <c r="E608" t="s">
        <v>42</v>
      </c>
      <c r="F608" t="str">
        <f>_xlfn.CONCAT(D608,", ",H608,", ",I608,", ","云南省")</f>
        <v>鹿阜街道, 石林彝族自治县, 昆明市, 云南省</v>
      </c>
      <c r="G608">
        <v>104140</v>
      </c>
      <c r="H608" t="s">
        <v>2816</v>
      </c>
      <c r="I608" t="s">
        <v>2807</v>
      </c>
      <c r="J608">
        <f>VLOOKUP(F608,[1]!china_towns_second__2[[Column1]:[Y]],3,FALSE)</f>
        <v>24.817377182933999</v>
      </c>
      <c r="K608">
        <f>VLOOKUP(F608,[1]!china_towns_second__2[[Column1]:[Y]],2,FALSE)</f>
        <v>103.31866220000001</v>
      </c>
      <c r="L608" t="s">
        <v>4166</v>
      </c>
      <c r="M608" t="str">
        <f>VLOOKUP(H608,CHOOSE({1,2},Table17[Native],Table17[Name]),2,0)</f>
        <v>Shílín Yízú Zìzhìxiàn</v>
      </c>
      <c r="N608" s="15" t="str">
        <f>VLOOKUP(I608,CHOOSE({1,2},Table17[Native],Table17[Name]),2,0)</f>
        <v>Kūnmíng Shì</v>
      </c>
      <c r="O608" s="15" t="str">
        <f t="shared" si="18"/>
        <v>Lufu Jiedao (Kūnmíng Shì)</v>
      </c>
      <c r="P608" s="15" t="str">
        <f t="shared" si="19"/>
        <v>Lufu Jiedao (Kūnmíng Shì)</v>
      </c>
    </row>
    <row r="609" spans="1:16" hidden="1" x14ac:dyDescent="0.25">
      <c r="A609" t="s">
        <v>265</v>
      </c>
      <c r="B609" t="str">
        <f>IF(COUNTIF(A:A,A609)&gt;1,_xlfn.CONCAT(A609," (",N609,")"),A609)</f>
        <v>Lǚhé Zhèn</v>
      </c>
      <c r="C609" t="str">
        <f>IF(COUNTIF(B:B,B609)&gt;1,_xlfn.CONCAT(A609," (",M609,")"),B609)</f>
        <v>Lǚhé Zhèn</v>
      </c>
      <c r="D609" t="s">
        <v>266</v>
      </c>
      <c r="E609" t="s">
        <v>11</v>
      </c>
      <c r="F609" t="str">
        <f>_xlfn.CONCAT(D609,", ",H609,", ",I609,", ","云南省")</f>
        <v>吕合镇, 楚雄市, 楚雄彝族自治州, 云南省</v>
      </c>
      <c r="G609">
        <v>26022</v>
      </c>
      <c r="H609" t="s">
        <v>2751</v>
      </c>
      <c r="I609" t="s">
        <v>2750</v>
      </c>
      <c r="J609">
        <f>VLOOKUP(F609,[1]!china_towns_second__2[[Column1]:[Y]],3,FALSE)</f>
        <v>25.183388757501302</v>
      </c>
      <c r="K609">
        <f>VLOOKUP(F609,[1]!china_towns_second__2[[Column1]:[Y]],2,FALSE)</f>
        <v>101.4023061</v>
      </c>
      <c r="L609" t="s">
        <v>4167</v>
      </c>
      <c r="M609" t="str">
        <f>VLOOKUP(H609,CHOOSE({1,2},Table17[Native],Table17[Name]),2,0)</f>
        <v>Chŭxióng Shì</v>
      </c>
      <c r="N609" s="15" t="str">
        <f>VLOOKUP(I609,CHOOSE({1,2},Table17[Native],Table17[Name]),2,0)</f>
        <v>Chŭxióng Yízú Zìzhìzhōu</v>
      </c>
      <c r="O609" s="15" t="str">
        <f t="shared" si="18"/>
        <v>Luhe Zhen (Chŭxióng Yízú Zìzhìzhōu)</v>
      </c>
      <c r="P609" s="15" t="str">
        <f t="shared" si="19"/>
        <v>Luhe Zhen (Chŭxióng Yízú Zìzhìzhōu)</v>
      </c>
    </row>
    <row r="610" spans="1:16" hidden="1" x14ac:dyDescent="0.25">
      <c r="A610" t="s">
        <v>73</v>
      </c>
      <c r="B610" t="str">
        <f>IF(COUNTIF(A:A,A610)&gt;1,_xlfn.CONCAT(A610," (",N610,")"),A610)</f>
        <v>Lùjiāng Zhèn</v>
      </c>
      <c r="C610" t="str">
        <f>IF(COUNTIF(B:B,B610)&gt;1,_xlfn.CONCAT(A610," (",M610,")"),B610)</f>
        <v>Lùjiāng Zhèn</v>
      </c>
      <c r="D610" t="s">
        <v>74</v>
      </c>
      <c r="E610" t="s">
        <v>11</v>
      </c>
      <c r="F610" t="str">
        <f>_xlfn.CONCAT(D610,", ",H610,", ",I610,", ","云南省")</f>
        <v>潞江镇, 隆阳区, 保山市, 云南省</v>
      </c>
      <c r="G610">
        <v>73380</v>
      </c>
      <c r="H610" t="s">
        <v>2744</v>
      </c>
      <c r="I610" t="s">
        <v>2739</v>
      </c>
      <c r="J610">
        <f>VLOOKUP(F610,[1]!china_towns_second__2[[Column1]:[Y]],3,FALSE)</f>
        <v>25.001371610234202</v>
      </c>
      <c r="K610">
        <f>VLOOKUP(F610,[1]!china_towns_second__2[[Column1]:[Y]],2,FALSE)</f>
        <v>98.839076219999995</v>
      </c>
      <c r="L610" t="s">
        <v>4168</v>
      </c>
      <c r="M610" t="str">
        <f>VLOOKUP(H610,CHOOSE({1,2},Table17[Native],Table17[Name]),2,0)</f>
        <v>Lóngyáng Qū</v>
      </c>
      <c r="N610" s="15" t="str">
        <f>VLOOKUP(I610,CHOOSE({1,2},Table17[Native],Table17[Name]),2,0)</f>
        <v>Băoshān Shì</v>
      </c>
      <c r="O610" s="15" t="str">
        <f t="shared" si="18"/>
        <v>Lujiang Zhen (Băoshān Shì)</v>
      </c>
      <c r="P610" s="15" t="str">
        <f t="shared" si="19"/>
        <v>Lujiang Zhen (Băoshān Shì)</v>
      </c>
    </row>
    <row r="611" spans="1:16" hidden="1" x14ac:dyDescent="0.25">
      <c r="A611" t="s">
        <v>2390</v>
      </c>
      <c r="B611" t="str">
        <f>IF(COUNTIF(A:A,A611)&gt;1,_xlfn.CONCAT(A611," (",N611,")"),A611)</f>
        <v>Lùjū Zhèn</v>
      </c>
      <c r="C611" t="str">
        <f>IF(COUNTIF(B:B,B611)&gt;1,_xlfn.CONCAT(A611," (",M611,")"),B611)</f>
        <v>Lùjū Zhèn</v>
      </c>
      <c r="D611" t="s">
        <v>2391</v>
      </c>
      <c r="E611" t="s">
        <v>11</v>
      </c>
      <c r="F611" t="str">
        <f>_xlfn.CONCAT(D611,", ",H611,", ",I611,", ","云南省")</f>
        <v>路居镇, 江川区, 玉溪市, 云南省</v>
      </c>
      <c r="G611">
        <v>28856</v>
      </c>
      <c r="H611" t="s">
        <v>2893</v>
      </c>
      <c r="I611" t="s">
        <v>2888</v>
      </c>
      <c r="J611">
        <f>VLOOKUP(F611,[1]!china_towns_second__2[[Column1]:[Y]],3,FALSE)</f>
        <v>24.338235322001601</v>
      </c>
      <c r="K611">
        <f>VLOOKUP(F611,[1]!china_towns_second__2[[Column1]:[Y]],2,FALSE)</f>
        <v>102.8514177</v>
      </c>
      <c r="L611" t="s">
        <v>4169</v>
      </c>
      <c r="M611" t="str">
        <f>VLOOKUP(H611,CHOOSE({1,2},Table17[Native],Table17[Name]),2,0)</f>
        <v>Jiāngchuān Qū</v>
      </c>
      <c r="N611" s="15" t="str">
        <f>VLOOKUP(I611,CHOOSE({1,2},Table17[Native],Table17[Name]),2,0)</f>
        <v>Yùxī Shì</v>
      </c>
      <c r="O611" s="15" t="str">
        <f t="shared" si="18"/>
        <v>Luju Zhen (Yùxī Shì)</v>
      </c>
      <c r="P611" s="15" t="str">
        <f t="shared" si="19"/>
        <v>Luju Zhen (Yùxī Shì)</v>
      </c>
    </row>
    <row r="612" spans="1:16" hidden="1" x14ac:dyDescent="0.25">
      <c r="A612" t="s">
        <v>1959</v>
      </c>
      <c r="B612" t="str">
        <f>IF(COUNTIF(A:A,A612)&gt;1,_xlfn.CONCAT(A612," (",N612,")"),A612)</f>
        <v>Lùliáng Huáqiáo Guănlĭqū</v>
      </c>
      <c r="C612" t="str">
        <f>IF(COUNTIF(B:B,B612)&gt;1,_xlfn.CONCAT(A612," (",M612,")"),B612)</f>
        <v>Lùliáng Huáqiáo Guănlĭqū</v>
      </c>
      <c r="D612" t="s">
        <v>1960</v>
      </c>
      <c r="E612" t="s">
        <v>380</v>
      </c>
      <c r="F612" t="str">
        <f>_xlfn.CONCAT(D612,", ",H612,", ",I612,", ","云南省")</f>
        <v>陆良华侨管理区, 陆良县, 曲靖市, 云南省</v>
      </c>
      <c r="G612">
        <v>3193</v>
      </c>
      <c r="H612" t="s">
        <v>2863</v>
      </c>
      <c r="I612" t="s">
        <v>2860</v>
      </c>
      <c r="J612">
        <f>VLOOKUP(F612,[1]!china_towns_second__2[[Column1]:[Y]],3,FALSE)</f>
        <v>25.0128445946347</v>
      </c>
      <c r="K612">
        <f>VLOOKUP(F612,[1]!china_towns_second__2[[Column1]:[Y]],2,FALSE)</f>
        <v>103.7061968</v>
      </c>
      <c r="L612" t="s">
        <v>4170</v>
      </c>
      <c r="M612" t="str">
        <f>VLOOKUP(H612,CHOOSE({1,2},Table17[Native],Table17[Name]),2,0)</f>
        <v>Lùliáng Xiàn</v>
      </c>
      <c r="N612" s="15" t="str">
        <f>VLOOKUP(I612,CHOOSE({1,2},Table17[Native],Table17[Name]),2,0)</f>
        <v>Qŭjìng Shì</v>
      </c>
      <c r="O612" s="15" t="str">
        <f t="shared" si="18"/>
        <v>Luliang Huaqiao Guanliqu (Qŭjìng Shì)</v>
      </c>
      <c r="P612" s="15" t="str">
        <f t="shared" si="19"/>
        <v>Luliang Huaqiao Guanliqu (Qŭjìng Shì)</v>
      </c>
    </row>
    <row r="613" spans="1:16" hidden="1" x14ac:dyDescent="0.25">
      <c r="A613" t="s">
        <v>1617</v>
      </c>
      <c r="B613" t="str">
        <f>IF(COUNTIF(A:A,A613)&gt;1,_xlfn.CONCAT(A613," (",N613,")"),A613)</f>
        <v>Lùmădēng Xiāng</v>
      </c>
      <c r="C613" t="str">
        <f>IF(COUNTIF(B:B,B613)&gt;1,_xlfn.CONCAT(A613," (",M613,")"),B613)</f>
        <v>Lùmădēng Xiāng</v>
      </c>
      <c r="D613" t="s">
        <v>1618</v>
      </c>
      <c r="E613" t="s">
        <v>7</v>
      </c>
      <c r="F613" t="str">
        <f>_xlfn.CONCAT(D613,", ",H613,", ",I613,", ","云南省")</f>
        <v>鹿马登乡, 福贡县, 怒江傈僳族自治州, 云南省</v>
      </c>
      <c r="G613">
        <v>13895</v>
      </c>
      <c r="H613" t="s">
        <v>2843</v>
      </c>
      <c r="I613" t="s">
        <v>2842</v>
      </c>
      <c r="J613" t="e">
        <f>VLOOKUP(F613,[1]!china_towns_second__2[[Column1]:[Y]],3,FALSE)</f>
        <v>#N/A</v>
      </c>
      <c r="K613" t="e">
        <f>VLOOKUP(F613,[1]!china_towns_second__2[[Column1]:[Y]],2,FALSE)</f>
        <v>#N/A</v>
      </c>
      <c r="L613" t="s">
        <v>4171</v>
      </c>
      <c r="M613" t="str">
        <f>VLOOKUP(H613,CHOOSE({1,2},Table17[Native],Table17[Name]),2,0)</f>
        <v>Fúgòng Xiàn</v>
      </c>
      <c r="N613" s="15" t="str">
        <f>VLOOKUP(I613,CHOOSE({1,2},Table17[Native],Table17[Name]),2,0)</f>
        <v>Nùjiāng Lìsùzú Zìzhìzhōu</v>
      </c>
      <c r="O613" s="15" t="str">
        <f t="shared" si="18"/>
        <v>Lumadeng Xiang (Nùjiāng Lìsùzú Zìzhìzhōu)</v>
      </c>
      <c r="P613" s="15" t="str">
        <f t="shared" si="19"/>
        <v>Lumadeng Xiang (Nùjiāng Lìsùzú Zìzhìzhōu)</v>
      </c>
    </row>
    <row r="614" spans="1:16" hidden="1" x14ac:dyDescent="0.25">
      <c r="A614" t="s">
        <v>476</v>
      </c>
      <c r="B614" t="str">
        <f>IF(COUNTIF(A:A,A614)&gt;1,_xlfn.CONCAT(A614," (",N614,")"),A614)</f>
        <v>Lùmíng Xiāng</v>
      </c>
      <c r="C614" t="str">
        <f>IF(COUNTIF(B:B,B614)&gt;1,_xlfn.CONCAT(A614," (",M614,")"),B614)</f>
        <v>Lùmíng Xiāng</v>
      </c>
      <c r="D614" t="s">
        <v>477</v>
      </c>
      <c r="E614" t="s">
        <v>7</v>
      </c>
      <c r="F614" t="str">
        <f>_xlfn.CONCAT(D614,", ",H614,", ",I614,", ","云南省")</f>
        <v>鹿鸣乡, 祥云县, 大理白族自治州, 云南省</v>
      </c>
      <c r="G614">
        <v>12689</v>
      </c>
      <c r="H614" t="s">
        <v>2773</v>
      </c>
      <c r="I614" t="s">
        <v>2763</v>
      </c>
      <c r="J614" t="e">
        <f>VLOOKUP(F614,[1]!china_towns_second__2[[Column1]:[Y]],3,FALSE)</f>
        <v>#N/A</v>
      </c>
      <c r="K614" t="e">
        <f>VLOOKUP(F614,[1]!china_towns_second__2[[Column1]:[Y]],2,FALSE)</f>
        <v>#N/A</v>
      </c>
      <c r="L614" t="s">
        <v>4172</v>
      </c>
      <c r="M614" t="str">
        <f>VLOOKUP(H614,CHOOSE({1,2},Table17[Native],Table17[Name]),2,0)</f>
        <v>Xiángyún Xiàn</v>
      </c>
      <c r="N614" s="15" t="str">
        <f>VLOOKUP(I614,CHOOSE({1,2},Table17[Native],Table17[Name]),2,0)</f>
        <v>Dàlĭ Báizú Zìzhìzhōu</v>
      </c>
      <c r="O614" s="15" t="str">
        <f t="shared" si="18"/>
        <v>Luming Xiang (Dàlĭ Báizú Zìzhìzhōu)</v>
      </c>
      <c r="P614" s="15" t="str">
        <f t="shared" si="19"/>
        <v>Luming Xiang (Dàlĭ Báizú Zìzhìzhōu)</v>
      </c>
    </row>
    <row r="615" spans="1:16" hidden="1" x14ac:dyDescent="0.25">
      <c r="A615" t="s">
        <v>1961</v>
      </c>
      <c r="B615" t="str">
        <f>IF(COUNTIF(A:A,A615)&gt;1,_xlfn.CONCAT(A615," (",N615,")"),A615)</f>
        <v>Lŭnà Xiāng</v>
      </c>
      <c r="C615" t="str">
        <f>IF(COUNTIF(B:B,B615)&gt;1,_xlfn.CONCAT(A615," (",M615,")"),B615)</f>
        <v>Lŭnà Xiāng</v>
      </c>
      <c r="D615" t="s">
        <v>1962</v>
      </c>
      <c r="E615" t="s">
        <v>7</v>
      </c>
      <c r="F615" t="str">
        <f>_xlfn.CONCAT(D615,", ",H615,", ",I615,", ","云南省")</f>
        <v>鲁纳乡, 会泽县, 曲靖市, 云南省</v>
      </c>
      <c r="G615">
        <v>18065</v>
      </c>
      <c r="H615" t="s">
        <v>2862</v>
      </c>
      <c r="I615" t="s">
        <v>2860</v>
      </c>
      <c r="J615" t="e">
        <f>VLOOKUP(F615,[1]!china_towns_second__2[[Column1]:[Y]],3,FALSE)</f>
        <v>#N/A</v>
      </c>
      <c r="K615" t="e">
        <f>VLOOKUP(F615,[1]!china_towns_second__2[[Column1]:[Y]],2,FALSE)</f>
        <v>#N/A</v>
      </c>
      <c r="L615" t="s">
        <v>4173</v>
      </c>
      <c r="M615" t="str">
        <f>VLOOKUP(H615,CHOOSE({1,2},Table17[Native],Table17[Name]),2,0)</f>
        <v>Huìzé Xiàn</v>
      </c>
      <c r="N615" s="15" t="str">
        <f>VLOOKUP(I615,CHOOSE({1,2},Table17[Native],Table17[Name]),2,0)</f>
        <v>Qŭjìng Shì</v>
      </c>
      <c r="O615" s="15" t="str">
        <f t="shared" si="18"/>
        <v>Luna Xiang (Qŭjìng Shì)</v>
      </c>
      <c r="P615" s="15" t="str">
        <f t="shared" si="19"/>
        <v>Luna Xiang (Qŭjìng Shì)</v>
      </c>
    </row>
    <row r="616" spans="1:16" hidden="1" x14ac:dyDescent="0.25">
      <c r="A616" t="s">
        <v>1619</v>
      </c>
      <c r="B616" t="str">
        <f>IF(COUNTIF(A:A,A616)&gt;1,_xlfn.CONCAT(A616," (",N616,")"),A616)</f>
        <v>Luòbĕnzhuó Báizú Xiāng</v>
      </c>
      <c r="C616" t="str">
        <f>IF(COUNTIF(B:B,B616)&gt;1,_xlfn.CONCAT(A616," (",M616,")"),B616)</f>
        <v>Luòbĕnzhuó Báizú Xiāng</v>
      </c>
      <c r="D616" t="s">
        <v>1620</v>
      </c>
      <c r="E616" t="s">
        <v>7</v>
      </c>
      <c r="F616" t="str">
        <f>_xlfn.CONCAT(D616,", ",H616,", ",I616,", ","云南省")</f>
        <v>洛本卓白族乡, 泸水市, 怒江傈僳族自治州, 云南省</v>
      </c>
      <c r="G616">
        <v>13629</v>
      </c>
      <c r="H616" t="s">
        <v>2846</v>
      </c>
      <c r="I616" t="s">
        <v>2842</v>
      </c>
      <c r="J616" t="e">
        <f>VLOOKUP(F616,[1]!china_towns_second__2[[Column1]:[Y]],3,FALSE)</f>
        <v>#N/A</v>
      </c>
      <c r="K616" t="e">
        <f>VLOOKUP(F616,[1]!china_towns_second__2[[Column1]:[Y]],2,FALSE)</f>
        <v>#N/A</v>
      </c>
      <c r="L616" t="s">
        <v>4174</v>
      </c>
      <c r="M616" t="str">
        <f>VLOOKUP(H616,CHOOSE({1,2},Table17[Native],Table17[Name]),2,0)</f>
        <v>Lúshuĭ Shì</v>
      </c>
      <c r="N616" s="15" t="str">
        <f>VLOOKUP(I616,CHOOSE({1,2},Table17[Native],Table17[Name]),2,0)</f>
        <v>Nùjiāng Lìsùzú Zìzhìzhōu</v>
      </c>
      <c r="O616" s="15" t="str">
        <f t="shared" si="18"/>
        <v>Luobenzhuo Baizu Xiang (Nùjiāng Lìsùzú Zìzhìzhōu)</v>
      </c>
      <c r="P616" s="15" t="str">
        <f t="shared" si="19"/>
        <v>Luobenzhuo Baizu Xiang (Nùjiāng Lìsùzú Zìzhìzhōu)</v>
      </c>
    </row>
    <row r="617" spans="1:16" hidden="1" x14ac:dyDescent="0.25">
      <c r="A617" t="s">
        <v>2573</v>
      </c>
      <c r="B617" t="str">
        <f>IF(COUNTIF(A:A,A617)&gt;1,_xlfn.CONCAT(A617," (",N617,")"),A617)</f>
        <v>Luóbù Zhèn</v>
      </c>
      <c r="C617" t="str">
        <f>IF(COUNTIF(B:B,B617)&gt;1,_xlfn.CONCAT(A617," (",M617,")"),B617)</f>
        <v>Luóbù Zhèn</v>
      </c>
      <c r="D617" t="s">
        <v>2574</v>
      </c>
      <c r="E617" t="s">
        <v>11</v>
      </c>
      <c r="F617" t="str">
        <f>_xlfn.CONCAT(D617,", ",H617,", ",I617,", ","云南省")</f>
        <v>罗布镇, 威信县, 昭通市, 云南省</v>
      </c>
      <c r="G617">
        <v>48666</v>
      </c>
      <c r="H617" t="s">
        <v>2905</v>
      </c>
      <c r="I617" t="s">
        <v>2899</v>
      </c>
      <c r="J617">
        <f>VLOOKUP(F617,[1]!china_towns_second__2[[Column1]:[Y]],3,FALSE)</f>
        <v>27.952181453304899</v>
      </c>
      <c r="K617">
        <f>VLOOKUP(F617,[1]!china_towns_second__2[[Column1]:[Y]],2,FALSE)</f>
        <v>105.0293449</v>
      </c>
      <c r="L617" t="s">
        <v>4175</v>
      </c>
      <c r="M617" t="str">
        <f>VLOOKUP(H617,CHOOSE({1,2},Table17[Native],Table17[Name]),2,0)</f>
        <v>Wēixìn Xiàn</v>
      </c>
      <c r="N617" s="15" t="str">
        <f>VLOOKUP(I617,CHOOSE({1,2},Table17[Native],Table17[Name]),2,0)</f>
        <v>Zhāotōng Shì</v>
      </c>
      <c r="O617" s="15" t="str">
        <f t="shared" si="18"/>
        <v>Luobu Zhen (Zhāotōng Shì)</v>
      </c>
      <c r="P617" s="15" t="str">
        <f t="shared" si="19"/>
        <v>Luobu Zhen (Zhāotōng Shì)</v>
      </c>
    </row>
    <row r="618" spans="1:16" hidden="1" x14ac:dyDescent="0.25">
      <c r="A618" t="s">
        <v>1493</v>
      </c>
      <c r="B618" t="str">
        <f>IF(COUNTIF(A:A,A618)&gt;1,_xlfn.CONCAT(A618," (",N618,")"),A618)</f>
        <v>Luòdăng Zhèn</v>
      </c>
      <c r="C618" t="str">
        <f>IF(COUNTIF(B:B,B618)&gt;1,_xlfn.CONCAT(A618," (",M618,")"),B618)</f>
        <v>Luòdăng Zhèn</v>
      </c>
      <c r="D618" t="s">
        <v>1494</v>
      </c>
      <c r="E618" t="s">
        <v>11</v>
      </c>
      <c r="F618" t="str">
        <f>_xlfn.CONCAT(D618,", ",H618,", ",I618,", ","云南省")</f>
        <v>洛党镇, 凤庆县, 临沧市, 云南省</v>
      </c>
      <c r="G618">
        <v>40072</v>
      </c>
      <c r="H618" t="s">
        <v>2833</v>
      </c>
      <c r="I618" t="s">
        <v>2831</v>
      </c>
      <c r="J618">
        <f>VLOOKUP(F618,[1]!china_towns_second__2[[Column1]:[Y]],3,FALSE)</f>
        <v>24.526524330228</v>
      </c>
      <c r="K618">
        <f>VLOOKUP(F618,[1]!china_towns_second__2[[Column1]:[Y]],2,FALSE)</f>
        <v>100.04407310000001</v>
      </c>
      <c r="L618" t="s">
        <v>4176</v>
      </c>
      <c r="M618" t="str">
        <f>VLOOKUP(H618,CHOOSE({1,2},Table17[Native],Table17[Name]),2,0)</f>
        <v>Fèngqìng Xiàn</v>
      </c>
      <c r="N618" s="15" t="str">
        <f>VLOOKUP(I618,CHOOSE({1,2},Table17[Native],Table17[Name]),2,0)</f>
        <v>Líncāng Shì</v>
      </c>
      <c r="O618" s="15" t="str">
        <f t="shared" si="18"/>
        <v>Luodang Zhen (Líncāng Shì)</v>
      </c>
      <c r="P618" s="15" t="str">
        <f t="shared" si="19"/>
        <v>Luodang Zhen (Líncāng Shì)</v>
      </c>
    </row>
    <row r="619" spans="1:16" hidden="1" x14ac:dyDescent="0.25">
      <c r="A619" t="s">
        <v>899</v>
      </c>
      <c r="B619" t="str">
        <f>IF(COUNTIF(A:A,A619)&gt;1,_xlfn.CONCAT(A619," (",N619,")"),A619)</f>
        <v>Luò'ēn Xiāng</v>
      </c>
      <c r="C619" t="str">
        <f>IF(COUNTIF(B:B,B619)&gt;1,_xlfn.CONCAT(A619," (",M619,")"),B619)</f>
        <v>Luò'ēn Xiāng</v>
      </c>
      <c r="D619" t="s">
        <v>900</v>
      </c>
      <c r="E619" t="s">
        <v>7</v>
      </c>
      <c r="F619" t="str">
        <f>_xlfn.CONCAT(D619,", ",H619,", ",I619,", ","云南省")</f>
        <v>洛恩乡, 红河县, 红河哈尼族彝族自治州, 云南省</v>
      </c>
      <c r="G619">
        <v>23511</v>
      </c>
      <c r="H619" t="s">
        <v>2795</v>
      </c>
      <c r="I619" t="s">
        <v>2792</v>
      </c>
      <c r="J619" t="e">
        <f>VLOOKUP(F619,[1]!china_towns_second__2[[Column1]:[Y]],3,FALSE)</f>
        <v>#N/A</v>
      </c>
      <c r="K619" t="e">
        <f>VLOOKUP(F619,[1]!china_towns_second__2[[Column1]:[Y]],2,FALSE)</f>
        <v>#N/A</v>
      </c>
      <c r="L619" t="s">
        <v>4177</v>
      </c>
      <c r="M619" t="str">
        <f>VLOOKUP(H619,CHOOSE({1,2},Table17[Native],Table17[Name]),2,0)</f>
        <v>Hónghé Xiàn</v>
      </c>
      <c r="N619" s="15" t="str">
        <f>VLOOKUP(I619,CHOOSE({1,2},Table17[Native],Table17[Name]),2,0)</f>
        <v>Hónghé Hānízú Yízú Zìzhìzhōu</v>
      </c>
      <c r="O619" s="15" t="str">
        <f t="shared" si="18"/>
        <v>Luo'en Xiang (Hónghé Hānízú Yízú Zìzhìzhōu)</v>
      </c>
      <c r="P619" s="15" t="str">
        <f t="shared" si="19"/>
        <v>Luo'en Xiang (Hónghé Hānízú Yízú Zìzhìzhōu)</v>
      </c>
    </row>
    <row r="620" spans="1:16" hidden="1" x14ac:dyDescent="0.25">
      <c r="A620" t="s">
        <v>2392</v>
      </c>
      <c r="B620" t="str">
        <f>IF(COUNTIF(A:A,A620)&gt;1,_xlfn.CONCAT(A620," (",N620,")"),A620)</f>
        <v>Luòhé Yízú Xiāng</v>
      </c>
      <c r="C620" t="str">
        <f>IF(COUNTIF(B:B,B620)&gt;1,_xlfn.CONCAT(A620," (",M620,")"),B620)</f>
        <v>Luòhé Yízú Xiāng</v>
      </c>
      <c r="D620" t="s">
        <v>2393</v>
      </c>
      <c r="E620" t="s">
        <v>7</v>
      </c>
      <c r="F620" t="str">
        <f>_xlfn.CONCAT(D620,", ",H620,", ",I620,", ","云南省")</f>
        <v>洛河彝族乡, 红塔区, 玉溪市, 云南省</v>
      </c>
      <c r="G620">
        <v>9898</v>
      </c>
      <c r="H620" t="s">
        <v>2891</v>
      </c>
      <c r="I620" t="s">
        <v>2888</v>
      </c>
      <c r="J620" t="e">
        <f>VLOOKUP(F620,[1]!china_towns_second__2[[Column1]:[Y]],3,FALSE)</f>
        <v>#N/A</v>
      </c>
      <c r="K620" t="e">
        <f>VLOOKUP(F620,[1]!china_towns_second__2[[Column1]:[Y]],2,FALSE)</f>
        <v>#N/A</v>
      </c>
      <c r="L620" t="s">
        <v>4178</v>
      </c>
      <c r="M620" t="str">
        <f>VLOOKUP(H620,CHOOSE({1,2},Table17[Native],Table17[Name]),2,0)</f>
        <v>Hóngtă Qū</v>
      </c>
      <c r="N620" s="15" t="str">
        <f>VLOOKUP(I620,CHOOSE({1,2},Table17[Native],Table17[Name]),2,0)</f>
        <v>Yùxī Shì</v>
      </c>
      <c r="O620" s="15" t="str">
        <f t="shared" si="18"/>
        <v>Luohe Yizu Xiang (Yùxī Shì)</v>
      </c>
      <c r="P620" s="15" t="str">
        <f t="shared" si="19"/>
        <v>Luohe Yizu Xiang (Yùxī Shì)</v>
      </c>
    </row>
    <row r="621" spans="1:16" hidden="1" x14ac:dyDescent="0.25">
      <c r="A621" t="s">
        <v>732</v>
      </c>
      <c r="B621" t="str">
        <f>IF(COUNTIF(A:A,A621)&gt;1,_xlfn.CONCAT(A621," (",N621,")"),A621)</f>
        <v>Luòjí Xiāng</v>
      </c>
      <c r="C621" t="str">
        <f>IF(COUNTIF(B:B,B621)&gt;1,_xlfn.CONCAT(A621," (",M621,")"),B621)</f>
        <v>Luòjí Xiāng</v>
      </c>
      <c r="D621" t="s">
        <v>733</v>
      </c>
      <c r="E621" t="s">
        <v>7</v>
      </c>
      <c r="F621" t="str">
        <f>_xlfn.CONCAT(D621,", ",H621,", ",I621,", ","云南省")</f>
        <v>洛吉乡, 香格里拉市, 迪庆藏族自治州, 云南省</v>
      </c>
      <c r="G621">
        <v>4724</v>
      </c>
      <c r="H621" t="s">
        <v>2789</v>
      </c>
      <c r="I621" t="s">
        <v>2786</v>
      </c>
      <c r="J621" t="e">
        <f>VLOOKUP(F621,[1]!china_towns_second__2[[Column1]:[Y]],3,FALSE)</f>
        <v>#N/A</v>
      </c>
      <c r="K621" t="e">
        <f>VLOOKUP(F621,[1]!china_towns_second__2[[Column1]:[Y]],2,FALSE)</f>
        <v>#N/A</v>
      </c>
      <c r="L621" t="s">
        <v>4179</v>
      </c>
      <c r="M621" t="str">
        <f>VLOOKUP(H621,CHOOSE({1,2},Table17[Native],Table17[Name]),2,0)</f>
        <v>Xiānggélĭlā Shì</v>
      </c>
      <c r="N621" s="15" t="str">
        <f>VLOOKUP(I621,CHOOSE({1,2},Table17[Native],Table17[Name]),2,0)</f>
        <v>Díqìng Zàngzú Zìzhìzhōu</v>
      </c>
      <c r="O621" s="15" t="str">
        <f t="shared" si="18"/>
        <v>Luoji Xiang (Díqìng Zàngzú Zìzhìzhōu)</v>
      </c>
      <c r="P621" s="15" t="str">
        <f t="shared" si="19"/>
        <v>Luoji Xiang (Díqìng Zàngzú Zìzhìzhōu)</v>
      </c>
    </row>
    <row r="622" spans="1:16" hidden="1" x14ac:dyDescent="0.25">
      <c r="A622" t="s">
        <v>2575</v>
      </c>
      <c r="B622" t="str">
        <f>IF(COUNTIF(A:A,A622)&gt;1,_xlfn.CONCAT(A622," (",N622,")"),A622)</f>
        <v>Luókăn Zhèn</v>
      </c>
      <c r="C622" t="str">
        <f>IF(COUNTIF(B:B,B622)&gt;1,_xlfn.CONCAT(A622," (",M622,")"),B622)</f>
        <v>Luókăn Zhèn</v>
      </c>
      <c r="D622" t="s">
        <v>2576</v>
      </c>
      <c r="E622" t="s">
        <v>11</v>
      </c>
      <c r="F622" t="str">
        <f>_xlfn.CONCAT(D622,", ",H622,", ",I622,", ","云南省")</f>
        <v>罗坎镇, 镇雄县, 昭通市, 云南省</v>
      </c>
      <c r="G622">
        <v>70418</v>
      </c>
      <c r="H622" t="s">
        <v>2910</v>
      </c>
      <c r="I622" t="s">
        <v>2899</v>
      </c>
      <c r="J622">
        <f>VLOOKUP(F622,[1]!china_towns_second__2[[Column1]:[Y]],3,FALSE)</f>
        <v>27.731206848495901</v>
      </c>
      <c r="K622">
        <f>VLOOKUP(F622,[1]!china_towns_second__2[[Column1]:[Y]],2,FALSE)</f>
        <v>104.6896503</v>
      </c>
      <c r="L622" t="s">
        <v>4180</v>
      </c>
      <c r="M622" t="str">
        <f>VLOOKUP(H622,CHOOSE({1,2},Table17[Native],Table17[Name]),2,0)</f>
        <v>Zhènxióng Xiàn</v>
      </c>
      <c r="N622" s="15" t="str">
        <f>VLOOKUP(I622,CHOOSE({1,2},Table17[Native],Table17[Name]),2,0)</f>
        <v>Zhāotōng Shì</v>
      </c>
      <c r="O622" s="15" t="str">
        <f t="shared" si="18"/>
        <v>Luokan Zhen (Zhāotōng Shì)</v>
      </c>
      <c r="P622" s="15" t="str">
        <f t="shared" si="19"/>
        <v>Luokan Zhen (Zhāotōng Shì)</v>
      </c>
    </row>
    <row r="623" spans="1:16" hidden="1" x14ac:dyDescent="0.25">
      <c r="A623" t="s">
        <v>1178</v>
      </c>
      <c r="B623" t="str">
        <f>IF(COUNTIF(A:A,A623)&gt;1,_xlfn.CONCAT(A623," (",N623,")"),A623)</f>
        <v>Luòlóng Jiēdào</v>
      </c>
      <c r="C623" t="str">
        <f>IF(COUNTIF(B:B,B623)&gt;1,_xlfn.CONCAT(A623," (",M623,")"),B623)</f>
        <v>Luòlóng Jiēdào</v>
      </c>
      <c r="D623" t="s">
        <v>1179</v>
      </c>
      <c r="E623" t="s">
        <v>42</v>
      </c>
      <c r="F623" t="str">
        <f>_xlfn.CONCAT(D623,", ",H623,", ",I623,", ","云南省")</f>
        <v>洛龙街道, 呈贡区, 昆明市, 云南省</v>
      </c>
      <c r="G623">
        <v>12955</v>
      </c>
      <c r="H623" t="s">
        <v>2809</v>
      </c>
      <c r="I623" t="s">
        <v>2807</v>
      </c>
      <c r="J623">
        <f>VLOOKUP(F623,[1]!china_towns_second__2[[Column1]:[Y]],3,FALSE)</f>
        <v>24.884201353022299</v>
      </c>
      <c r="K623">
        <f>VLOOKUP(F623,[1]!china_towns_second__2[[Column1]:[Y]],2,FALSE)</f>
        <v>102.85144</v>
      </c>
      <c r="L623" t="s">
        <v>4181</v>
      </c>
      <c r="M623" t="str">
        <f>VLOOKUP(H623,CHOOSE({1,2},Table17[Native],Table17[Name]),2,0)</f>
        <v>Chénggòng Qū</v>
      </c>
      <c r="N623" s="15" t="str">
        <f>VLOOKUP(I623,CHOOSE({1,2},Table17[Native],Table17[Name]),2,0)</f>
        <v>Kūnmíng Shì</v>
      </c>
      <c r="O623" s="15" t="str">
        <f t="shared" si="18"/>
        <v>Luolong Jiedao (Kūnmíng Shì)</v>
      </c>
      <c r="P623" s="15" t="str">
        <f t="shared" si="19"/>
        <v>Luolong Jiedao (Kūnmíng Shì)</v>
      </c>
    </row>
    <row r="624" spans="1:16" hidden="1" x14ac:dyDescent="0.25">
      <c r="A624" t="s">
        <v>1180</v>
      </c>
      <c r="B624" t="str">
        <f>IF(COUNTIF(A:A,A624)&gt;1,_xlfn.CONCAT(A624," (",N624,")"),A624)</f>
        <v>Luómiăn Zhèn</v>
      </c>
      <c r="C624" t="str">
        <f>IF(COUNTIF(B:B,B624)&gt;1,_xlfn.CONCAT(A624," (",M624,")"),B624)</f>
        <v>Luómiăn Zhèn</v>
      </c>
      <c r="D624" t="s">
        <v>1181</v>
      </c>
      <c r="E624" t="s">
        <v>11</v>
      </c>
      <c r="F624" t="str">
        <f>_xlfn.CONCAT(D624,", ",H624,", ",I624,", ","云南省")</f>
        <v>罗免镇, 富民县, 昆明市, 云南省</v>
      </c>
      <c r="G624">
        <v>13583</v>
      </c>
      <c r="H624" t="s">
        <v>2811</v>
      </c>
      <c r="I624" t="s">
        <v>2807</v>
      </c>
      <c r="J624">
        <f>VLOOKUP(F624,[1]!china_towns_second__2[[Column1]:[Y]],3,FALSE)</f>
        <v>25.347185219235001</v>
      </c>
      <c r="K624">
        <f>VLOOKUP(F624,[1]!china_towns_second__2[[Column1]:[Y]],2,FALSE)</f>
        <v>102.4217177</v>
      </c>
      <c r="L624" t="s">
        <v>4182</v>
      </c>
      <c r="M624" t="str">
        <f>VLOOKUP(H624,CHOOSE({1,2},Table17[Native],Table17[Name]),2,0)</f>
        <v>Fùmín Xiàn</v>
      </c>
      <c r="N624" s="15" t="str">
        <f>VLOOKUP(I624,CHOOSE({1,2},Table17[Native],Table17[Name]),2,0)</f>
        <v>Kūnmíng Shì</v>
      </c>
      <c r="O624" s="15" t="str">
        <f t="shared" si="18"/>
        <v>Luomian Zhen (Kūnmíng Shì)</v>
      </c>
      <c r="P624" s="15" t="str">
        <f t="shared" si="19"/>
        <v>Luomian Zhen (Kūnmíng Shì)</v>
      </c>
    </row>
    <row r="625" spans="1:16" hidden="1" x14ac:dyDescent="0.25">
      <c r="A625" t="s">
        <v>1963</v>
      </c>
      <c r="B625" t="str">
        <f>IF(COUNTIF(A:A,A625)&gt;1,_xlfn.CONCAT(A625," (",N625,")"),A625)</f>
        <v>Luòshuĭ Zhèn</v>
      </c>
      <c r="C625" t="str">
        <f>IF(COUNTIF(B:B,B625)&gt;1,_xlfn.CONCAT(A625," (",M625,")"),B625)</f>
        <v>Luòshuĭ Zhèn</v>
      </c>
      <c r="D625" t="s">
        <v>1964</v>
      </c>
      <c r="E625" t="s">
        <v>11</v>
      </c>
      <c r="F625" t="str">
        <f>_xlfn.CONCAT(D625,", ",H625,", ",I625,", ","云南省")</f>
        <v>落水镇, 宣威市, 曲靖市, 云南省</v>
      </c>
      <c r="G625">
        <v>36910</v>
      </c>
      <c r="H625" t="s">
        <v>2868</v>
      </c>
      <c r="I625" t="s">
        <v>2860</v>
      </c>
      <c r="J625">
        <f>VLOOKUP(F625,[1]!china_towns_second__2[[Column1]:[Y]],3,FALSE)</f>
        <v>26.1444152640324</v>
      </c>
      <c r="K625">
        <f>VLOOKUP(F625,[1]!china_towns_second__2[[Column1]:[Y]],2,FALSE)</f>
        <v>103.97919450000001</v>
      </c>
      <c r="L625" t="s">
        <v>4183</v>
      </c>
      <c r="M625" t="str">
        <f>VLOOKUP(H625,CHOOSE({1,2},Table17[Native],Table17[Name]),2,0)</f>
        <v>Xuānwēi Shì</v>
      </c>
      <c r="N625" s="15" t="str">
        <f>VLOOKUP(I625,CHOOSE({1,2},Table17[Native],Table17[Name]),2,0)</f>
        <v>Qŭjìng Shì</v>
      </c>
      <c r="O625" s="15" t="str">
        <f t="shared" si="18"/>
        <v>Luoshui Zhen (Qŭjìng Shì)</v>
      </c>
      <c r="P625" s="15" t="str">
        <f t="shared" si="19"/>
        <v>Luoshui Zhen (Qŭjìng Shì)</v>
      </c>
    </row>
    <row r="626" spans="1:16" hidden="1" x14ac:dyDescent="0.25">
      <c r="A626" t="s">
        <v>2577</v>
      </c>
      <c r="B626" t="str">
        <f>IF(COUNTIF(A:A,A626)&gt;1,_xlfn.CONCAT(A626," (",N626,")"),A626)</f>
        <v>Luòwàng Miáozú Xiāng</v>
      </c>
      <c r="C626" t="str">
        <f>IF(COUNTIF(B:B,B626)&gt;1,_xlfn.CONCAT(A626," (",M626,")"),B626)</f>
        <v>Luòwàng Miáozú Xiāng</v>
      </c>
      <c r="D626" t="s">
        <v>2578</v>
      </c>
      <c r="E626" t="s">
        <v>7</v>
      </c>
      <c r="F626" t="str">
        <f>_xlfn.CONCAT(D626,", ",H626,", ",I626,", ","云南省")</f>
        <v>洛旺苗族乡, 宜良县, 昆明市, 云南省</v>
      </c>
      <c r="G626">
        <v>26362</v>
      </c>
      <c r="H626" t="s">
        <v>2821</v>
      </c>
      <c r="I626" t="s">
        <v>2807</v>
      </c>
      <c r="J626" t="e">
        <f>VLOOKUP(F626,[1]!china_towns_second__2[[Column1]:[Y]],3,FALSE)</f>
        <v>#N/A</v>
      </c>
      <c r="K626" t="e">
        <f>VLOOKUP(F626,[1]!china_towns_second__2[[Column1]:[Y]],2,FALSE)</f>
        <v>#N/A</v>
      </c>
      <c r="L626" t="s">
        <v>4184</v>
      </c>
      <c r="M626" t="str">
        <f>VLOOKUP(H626,CHOOSE({1,2},Table17[Native],Table17[Name]),2,0)</f>
        <v>Yíliáng Xiàn</v>
      </c>
      <c r="N626" s="15" t="str">
        <f>VLOOKUP(I626,CHOOSE({1,2},Table17[Native],Table17[Name]),2,0)</f>
        <v>Kūnmíng Shì</v>
      </c>
      <c r="O626" s="15" t="str">
        <f t="shared" si="18"/>
        <v>Luowang Miaozu Xiang (Kūnmíng Shì)</v>
      </c>
      <c r="P626" s="15" t="str">
        <f t="shared" si="19"/>
        <v>Luowang Miaozu Xiang (Kūnmíng Shì)</v>
      </c>
    </row>
    <row r="627" spans="1:16" hidden="1" x14ac:dyDescent="0.25">
      <c r="A627" t="s">
        <v>267</v>
      </c>
      <c r="B627" t="str">
        <f>IF(COUNTIF(A:A,A627)&gt;1,_xlfn.CONCAT(A627," (",N627,")"),A627)</f>
        <v>Luówŭzhuāng Xiāng</v>
      </c>
      <c r="C627" t="str">
        <f>IF(COUNTIF(B:B,B627)&gt;1,_xlfn.CONCAT(A627," (",M627,")"),B627)</f>
        <v>Luówŭzhuāng Xiāng</v>
      </c>
      <c r="D627" t="s">
        <v>268</v>
      </c>
      <c r="E627" t="s">
        <v>7</v>
      </c>
      <c r="F627" t="str">
        <f>_xlfn.CONCAT(D627,", ",H627,", ",I627,", ","云南省")</f>
        <v>罗武庄乡, 南华县, 楚雄彝族自治州, 云南省</v>
      </c>
      <c r="G627">
        <v>12160</v>
      </c>
      <c r="H627" t="s">
        <v>2755</v>
      </c>
      <c r="I627" t="s">
        <v>2750</v>
      </c>
      <c r="J627" t="e">
        <f>VLOOKUP(F627,[1]!china_towns_second__2[[Column1]:[Y]],3,FALSE)</f>
        <v>#N/A</v>
      </c>
      <c r="K627" t="e">
        <f>VLOOKUP(F627,[1]!china_towns_second__2[[Column1]:[Y]],2,FALSE)</f>
        <v>#N/A</v>
      </c>
      <c r="L627" t="s">
        <v>4185</v>
      </c>
      <c r="M627" t="str">
        <f>VLOOKUP(H627,CHOOSE({1,2},Table17[Native],Table17[Name]),2,0)</f>
        <v>Nánhuá Xiàn</v>
      </c>
      <c r="N627" s="15" t="str">
        <f>VLOOKUP(I627,CHOOSE({1,2},Table17[Native],Table17[Name]),2,0)</f>
        <v>Chŭxióng Yízú Zìzhìzhōu</v>
      </c>
      <c r="O627" s="15" t="str">
        <f t="shared" si="18"/>
        <v>Luowuzhuang Xiang (Chŭxióng Yízú Zìzhìzhōu)</v>
      </c>
      <c r="P627" s="15" t="str">
        <f t="shared" si="19"/>
        <v>Luowuzhuang Xiang (Chŭxióng Yízú Zìzhìzhōu)</v>
      </c>
    </row>
    <row r="628" spans="1:16" hidden="1" x14ac:dyDescent="0.25">
      <c r="A628" t="s">
        <v>1965</v>
      </c>
      <c r="B628" t="str">
        <f>IF(COUNTIF(A:A,A628)&gt;1,_xlfn.CONCAT(A628," (",N628,")"),A628)</f>
        <v>Luóxióng Zhèn [incl. Luóxióng Jiēdào, Làshān Jiēdào]</v>
      </c>
      <c r="C628" t="str">
        <f>IF(COUNTIF(B:B,B628)&gt;1,_xlfn.CONCAT(A628," (",M628,")"),B628)</f>
        <v>Luóxióng Zhèn [incl. Luóxióng Jiēdào, Làshān Jiēdào]</v>
      </c>
      <c r="D628" t="s">
        <v>1966</v>
      </c>
      <c r="E628" t="s">
        <v>11</v>
      </c>
      <c r="F628" t="str">
        <f>_xlfn.CONCAT(D628,", ",H628,", ",I628,", ","云南省")</f>
        <v>罗雄镇, 罗平县, 曲靖市, 云南省</v>
      </c>
      <c r="G628">
        <v>136431</v>
      </c>
      <c r="H628" t="s">
        <v>2864</v>
      </c>
      <c r="I628" t="s">
        <v>2860</v>
      </c>
      <c r="J628">
        <f>VLOOKUP(F628,[1]!china_towns_second__2[[Column1]:[Y]],3,FALSE)</f>
        <v>24.838578849349702</v>
      </c>
      <c r="K628">
        <f>VLOOKUP(F628,[1]!china_towns_second__2[[Column1]:[Y]],2,FALSE)</f>
        <v>104.29595860000001</v>
      </c>
      <c r="L628" t="s">
        <v>4186</v>
      </c>
      <c r="M628" t="str">
        <f>VLOOKUP(H628,CHOOSE({1,2},Table17[Native],Table17[Name]),2,0)</f>
        <v>Luópíng Xiàn</v>
      </c>
      <c r="N628" s="15" t="str">
        <f>VLOOKUP(I628,CHOOSE({1,2},Table17[Native],Table17[Name]),2,0)</f>
        <v>Qŭjìng Shì</v>
      </c>
      <c r="O628" s="15" t="str">
        <f t="shared" si="18"/>
        <v>Luoxiong Zhen [incl. Luoxiong Jiedao, Lashan Jiedao] (Qŭjìng Shì)</v>
      </c>
      <c r="P628" s="15" t="str">
        <f t="shared" si="19"/>
        <v>Luoxiong Zhen [incl. Luoxiong Jiedao, Lashan Jiedao] (Qŭjìng Shì)</v>
      </c>
    </row>
    <row r="629" spans="1:16" hidden="1" x14ac:dyDescent="0.25">
      <c r="A629" t="s">
        <v>2579</v>
      </c>
      <c r="B629" t="str">
        <f>IF(COUNTIF(A:A,A629)&gt;1,_xlfn.CONCAT(A629," (",N629,")"),A629)</f>
        <v>Luòyàn Xiāng</v>
      </c>
      <c r="C629" t="str">
        <f>IF(COUNTIF(B:B,B629)&gt;1,_xlfn.CONCAT(A629," (",M629,")"),B629)</f>
        <v>Luòyàn Xiāng</v>
      </c>
      <c r="D629" t="s">
        <v>2580</v>
      </c>
      <c r="E629" t="s">
        <v>7</v>
      </c>
      <c r="F629" t="str">
        <f>_xlfn.CONCAT(D629,", ",H629,", ",I629,", ","云南省")</f>
        <v>落雁乡, 盐津县, 昭通市, 云南省</v>
      </c>
      <c r="G629">
        <v>24830</v>
      </c>
      <c r="H629" t="s">
        <v>2906</v>
      </c>
      <c r="I629" t="s">
        <v>2899</v>
      </c>
      <c r="J629" t="e">
        <f>VLOOKUP(F629,[1]!china_towns_second__2[[Column1]:[Y]],3,FALSE)</f>
        <v>#N/A</v>
      </c>
      <c r="K629" t="e">
        <f>VLOOKUP(F629,[1]!china_towns_second__2[[Column1]:[Y]],2,FALSE)</f>
        <v>#N/A</v>
      </c>
      <c r="L629" t="s">
        <v>4187</v>
      </c>
      <c r="M629" t="str">
        <f>VLOOKUP(H629,CHOOSE({1,2},Table17[Native],Table17[Name]),2,0)</f>
        <v>Yánjīn Xiàn</v>
      </c>
      <c r="N629" s="15" t="str">
        <f>VLOOKUP(I629,CHOOSE({1,2},Table17[Native],Table17[Name]),2,0)</f>
        <v>Zhāotōng Shì</v>
      </c>
      <c r="O629" s="15" t="str">
        <f t="shared" si="18"/>
        <v>Luoyan Xiang (Zhāotōng Shì)</v>
      </c>
      <c r="P629" s="15" t="str">
        <f t="shared" si="19"/>
        <v>Luoyan Xiang (Zhāotōng Shì)</v>
      </c>
    </row>
    <row r="630" spans="1:16" hidden="1" x14ac:dyDescent="0.25">
      <c r="A630" t="s">
        <v>1182</v>
      </c>
      <c r="B630" t="str">
        <f>IF(COUNTIF(A:A,A630)&gt;1,_xlfn.CONCAT(A630," (",N630,")"),A630)</f>
        <v>Luòyáng Jiēdào</v>
      </c>
      <c r="C630" t="str">
        <f>IF(COUNTIF(B:B,B630)&gt;1,_xlfn.CONCAT(A630," (",M630,")"),B630)</f>
        <v>Luòyáng Jiēdào</v>
      </c>
      <c r="D630" t="s">
        <v>1183</v>
      </c>
      <c r="E630" t="s">
        <v>42</v>
      </c>
      <c r="F630" t="str">
        <f>_xlfn.CONCAT(D630,", ",H630,", ",I630,", ","云南省")</f>
        <v>洛羊街道, 呈贡区, 昆明市, 云南省</v>
      </c>
      <c r="G630">
        <v>37574</v>
      </c>
      <c r="H630" t="s">
        <v>2809</v>
      </c>
      <c r="I630" t="s">
        <v>2807</v>
      </c>
      <c r="J630">
        <f>VLOOKUP(F630,[1]!china_towns_second__2[[Column1]:[Y]],3,FALSE)</f>
        <v>24.940530917376599</v>
      </c>
      <c r="K630">
        <f>VLOOKUP(F630,[1]!china_towns_second__2[[Column1]:[Y]],2,FALSE)</f>
        <v>102.8484996</v>
      </c>
      <c r="L630" t="s">
        <v>4188</v>
      </c>
      <c r="M630" t="str">
        <f>VLOOKUP(H630,CHOOSE({1,2},Table17[Native],Table17[Name]),2,0)</f>
        <v>Chénggòng Qū</v>
      </c>
      <c r="N630" s="15" t="str">
        <f>VLOOKUP(I630,CHOOSE({1,2},Table17[Native],Table17[Name]),2,0)</f>
        <v>Kūnmíng Shì</v>
      </c>
      <c r="O630" s="15" t="str">
        <f t="shared" si="18"/>
        <v>Luoyang Jiedao (Kūnmíng Shì)</v>
      </c>
      <c r="P630" s="15" t="str">
        <f t="shared" si="19"/>
        <v>Luoyang Jiedao (Kūnmíng Shì)</v>
      </c>
    </row>
    <row r="631" spans="1:16" hidden="1" x14ac:dyDescent="0.25">
      <c r="A631" t="s">
        <v>2581</v>
      </c>
      <c r="B631" t="str">
        <f>IF(COUNTIF(A:A,A631)&gt;1,_xlfn.CONCAT(A631," (",N631,")"),A631)</f>
        <v>Luòzéhé Zhèn</v>
      </c>
      <c r="C631" t="str">
        <f>IF(COUNTIF(B:B,B631)&gt;1,_xlfn.CONCAT(A631," (",M631,")"),B631)</f>
        <v>Luòzéhé Zhèn</v>
      </c>
      <c r="D631" t="s">
        <v>2582</v>
      </c>
      <c r="E631" t="s">
        <v>11</v>
      </c>
      <c r="F631" t="str">
        <f>_xlfn.CONCAT(D631,", ",H631,", ",I631,", ","云南省")</f>
        <v>洛泽河镇, 彝良县, 昭通市, 云南省</v>
      </c>
      <c r="G631">
        <v>60200</v>
      </c>
      <c r="H631" t="s">
        <v>2907</v>
      </c>
      <c r="I631" t="s">
        <v>2899</v>
      </c>
      <c r="J631">
        <f>VLOOKUP(F631,[1]!china_towns_second__2[[Column1]:[Y]],3,FALSE)</f>
        <v>27.492596495326602</v>
      </c>
      <c r="K631">
        <f>VLOOKUP(F631,[1]!china_towns_second__2[[Column1]:[Y]],2,FALSE)</f>
        <v>103.96930260000001</v>
      </c>
      <c r="L631" t="s">
        <v>4189</v>
      </c>
      <c r="M631" t="str">
        <f>VLOOKUP(H631,CHOOSE({1,2},Table17[Native],Table17[Name]),2,0)</f>
        <v>Yíliáng Xiàn</v>
      </c>
      <c r="N631" s="15" t="str">
        <f>VLOOKUP(I631,CHOOSE({1,2},Table17[Native],Table17[Name]),2,0)</f>
        <v>Zhāotōng Shì</v>
      </c>
      <c r="O631" s="15" t="str">
        <f t="shared" si="18"/>
        <v>Luozehe Zhen (Zhāotōng Shì)</v>
      </c>
      <c r="P631" s="15" t="str">
        <f t="shared" si="19"/>
        <v>Luozehe Zhen (Zhāotōng Shì)</v>
      </c>
    </row>
    <row r="632" spans="1:16" hidden="1" x14ac:dyDescent="0.25">
      <c r="A632" t="s">
        <v>1495</v>
      </c>
      <c r="B632" t="str">
        <f>IF(COUNTIF(A:A,A632)&gt;1,_xlfn.CONCAT(A632," (",N632,")"),A632)</f>
        <v>Lŭshĭ Zhèn</v>
      </c>
      <c r="C632" t="str">
        <f>IF(COUNTIF(B:B,B632)&gt;1,_xlfn.CONCAT(A632," (",M632,")"),B632)</f>
        <v>Lŭshĭ Zhèn</v>
      </c>
      <c r="D632" t="s">
        <v>1496</v>
      </c>
      <c r="E632" t="s">
        <v>11</v>
      </c>
      <c r="F632" t="str">
        <f>_xlfn.CONCAT(D632,", ",H632,", ",I632,", ","云南省")</f>
        <v>鲁史镇, 凤庆县, 临沧市, 云南省</v>
      </c>
      <c r="G632">
        <v>29994</v>
      </c>
      <c r="H632" t="s">
        <v>2833</v>
      </c>
      <c r="I632" t="s">
        <v>2831</v>
      </c>
      <c r="J632">
        <f>VLOOKUP(F632,[1]!china_towns_second__2[[Column1]:[Y]],3,FALSE)</f>
        <v>24.835646583496501</v>
      </c>
      <c r="K632">
        <f>VLOOKUP(F632,[1]!china_towns_second__2[[Column1]:[Y]],2,FALSE)</f>
        <v>99.957255779999997</v>
      </c>
      <c r="L632" t="s">
        <v>4190</v>
      </c>
      <c r="M632" t="str">
        <f>VLOOKUP(H632,CHOOSE({1,2},Table17[Native],Table17[Name]),2,0)</f>
        <v>Fèngqìng Xiàn</v>
      </c>
      <c r="N632" s="15" t="str">
        <f>VLOOKUP(I632,CHOOSE({1,2},Table17[Native],Table17[Name]),2,0)</f>
        <v>Líncāng Shì</v>
      </c>
      <c r="O632" s="15" t="str">
        <f t="shared" si="18"/>
        <v>Lushi Zhen (Líncāng Shì)</v>
      </c>
      <c r="P632" s="15" t="str">
        <f t="shared" si="19"/>
        <v>Lushi Zhen (Líncāng Shì)</v>
      </c>
    </row>
    <row r="633" spans="1:16" hidden="1" x14ac:dyDescent="0.25">
      <c r="A633" t="s">
        <v>1621</v>
      </c>
      <c r="B633" t="str">
        <f>IF(COUNTIF(A:A,A633)&gt;1,_xlfn.CONCAT(A633," (",N633,")"),A633)</f>
        <v>Lŭzhăng Zhèn</v>
      </c>
      <c r="C633" t="str">
        <f>IF(COUNTIF(B:B,B633)&gt;1,_xlfn.CONCAT(A633," (",M633,")"),B633)</f>
        <v>Lŭzhăng Zhèn</v>
      </c>
      <c r="D633" t="s">
        <v>1622</v>
      </c>
      <c r="E633" t="s">
        <v>11</v>
      </c>
      <c r="F633" t="str">
        <f>_xlfn.CONCAT(D633,", ",H633,", ",I633,", ","云南省")</f>
        <v>鲁掌镇, 泸水市, 怒江傈僳族自治州, 云南省</v>
      </c>
      <c r="G633">
        <v>12375</v>
      </c>
      <c r="H633" t="s">
        <v>2846</v>
      </c>
      <c r="I633" t="s">
        <v>2842</v>
      </c>
      <c r="J633">
        <f>VLOOKUP(F633,[1]!china_towns_second__2[[Column1]:[Y]],3,FALSE)</f>
        <v>25.9666430257552</v>
      </c>
      <c r="K633">
        <f>VLOOKUP(F633,[1]!china_towns_second__2[[Column1]:[Y]],2,FALSE)</f>
        <v>98.756795240000002</v>
      </c>
      <c r="L633" t="s">
        <v>4191</v>
      </c>
      <c r="M633" t="str">
        <f>VLOOKUP(H633,CHOOSE({1,2},Table17[Native],Table17[Name]),2,0)</f>
        <v>Lúshuĭ Shì</v>
      </c>
      <c r="N633" s="15" t="str">
        <f>VLOOKUP(I633,CHOOSE({1,2},Table17[Native],Table17[Name]),2,0)</f>
        <v>Nùjiāng Lìsùzú Zìzhìzhōu</v>
      </c>
      <c r="O633" s="15" t="str">
        <f t="shared" si="18"/>
        <v>Luzhang Zhen (Nùjiāng Lìsùzú Zìzhìzhōu)</v>
      </c>
      <c r="P633" s="15" t="str">
        <f t="shared" si="19"/>
        <v>Luzhang Zhen (Nùjiāng Lìsùzú Zìzhìzhōu)</v>
      </c>
    </row>
    <row r="634" spans="1:16" hidden="1" x14ac:dyDescent="0.25">
      <c r="A634" t="s">
        <v>2394</v>
      </c>
      <c r="B634" t="str">
        <f>IF(COUNTIF(A:A,A634)&gt;1,_xlfn.CONCAT(A634," (",N634,")"),A634)</f>
        <v>Lǜzhī Zhèn</v>
      </c>
      <c r="C634" t="str">
        <f>IF(COUNTIF(B:B,B634)&gt;1,_xlfn.CONCAT(A634," (",M634,")"),B634)</f>
        <v>Lǜzhī Zhèn</v>
      </c>
      <c r="D634" t="s">
        <v>2395</v>
      </c>
      <c r="E634" t="s">
        <v>11</v>
      </c>
      <c r="F634" t="str">
        <f>_xlfn.CONCAT(D634,", ",H634,", ",I634,", ","云南省")</f>
        <v>绿汁镇, 易门县, 玉溪市, 云南省</v>
      </c>
      <c r="G634">
        <v>16410</v>
      </c>
      <c r="H634" t="s">
        <v>2896</v>
      </c>
      <c r="I634" t="s">
        <v>2888</v>
      </c>
      <c r="J634">
        <f>VLOOKUP(F634,[1]!china_towns_second__2[[Column1]:[Y]],3,FALSE)</f>
        <v>24.582731635853602</v>
      </c>
      <c r="K634">
        <f>VLOOKUP(F634,[1]!china_towns_second__2[[Column1]:[Y]],2,FALSE)</f>
        <v>101.9678852</v>
      </c>
      <c r="L634" t="s">
        <v>4192</v>
      </c>
      <c r="M634" t="str">
        <f>VLOOKUP(H634,CHOOSE({1,2},Table17[Native],Table17[Name]),2,0)</f>
        <v>Yìmén Xiàn</v>
      </c>
      <c r="N634" s="15" t="str">
        <f>VLOOKUP(I634,CHOOSE({1,2},Table17[Native],Table17[Name]),2,0)</f>
        <v>Yùxī Shì</v>
      </c>
      <c r="O634" s="15" t="str">
        <f t="shared" si="18"/>
        <v>Luzhi Zhen (Yùxī Shì)</v>
      </c>
      <c r="P634" s="15" t="str">
        <f t="shared" si="19"/>
        <v>Luzhi Zhen (Yùxī Shì)</v>
      </c>
    </row>
    <row r="635" spans="1:16" hidden="1" x14ac:dyDescent="0.25">
      <c r="A635" t="s">
        <v>901</v>
      </c>
      <c r="B635" t="str">
        <f>IF(COUNTIF(A:A,A635)&gt;1,_xlfn.CONCAT(A635," (",N635,")"),A635)</f>
        <v>Mă'āndĭ Xiāng</v>
      </c>
      <c r="C635" t="str">
        <f>IF(COUNTIF(B:B,B635)&gt;1,_xlfn.CONCAT(A635," (",M635,")"),B635)</f>
        <v>Mă'āndĭ Xiāng</v>
      </c>
      <c r="D635" t="s">
        <v>902</v>
      </c>
      <c r="E635" t="s">
        <v>7</v>
      </c>
      <c r="F635" t="str">
        <f>_xlfn.CONCAT(D635,", ",H635,", ",I635,", ","云南省")</f>
        <v>马鞍底乡, 金平苗族瑶族傣族自治县, 红河哈尼族彝族自治州, 云南省</v>
      </c>
      <c r="G635">
        <v>18446</v>
      </c>
      <c r="H635" t="s">
        <v>2797</v>
      </c>
      <c r="I635" t="s">
        <v>2792</v>
      </c>
      <c r="J635" t="e">
        <f>VLOOKUP(F635,[1]!china_towns_second__2[[Column1]:[Y]],3,FALSE)</f>
        <v>#N/A</v>
      </c>
      <c r="K635" t="e">
        <f>VLOOKUP(F635,[1]!china_towns_second__2[[Column1]:[Y]],2,FALSE)</f>
        <v>#N/A</v>
      </c>
      <c r="L635" t="s">
        <v>4193</v>
      </c>
      <c r="M635" t="str">
        <f>VLOOKUP(H635,CHOOSE({1,2},Table17[Native],Table17[Name]),2,0)</f>
        <v>Jīnpíng Miáozú Yáozú Dăizú Zìzhìxiàn</v>
      </c>
      <c r="N635" s="15" t="str">
        <f>VLOOKUP(I635,CHOOSE({1,2},Table17[Native],Table17[Name]),2,0)</f>
        <v>Hónghé Hānízú Yízú Zìzhìzhōu</v>
      </c>
      <c r="O635" s="15" t="str">
        <f t="shared" si="18"/>
        <v>Ma'andi Xiang (Hónghé Hānízú Yízú Zìzhìzhōu)</v>
      </c>
      <c r="P635" s="15" t="str">
        <f t="shared" si="19"/>
        <v>Ma'andi Xiang (Hónghé Hānízú Yízú Zìzhìzhōu)</v>
      </c>
    </row>
    <row r="636" spans="1:16" hidden="1" x14ac:dyDescent="0.25">
      <c r="A636" t="s">
        <v>478</v>
      </c>
      <c r="B636" t="str">
        <f>IF(COUNTIF(A:A,A636)&gt;1,_xlfn.CONCAT(A636," (",N636,")"),A636)</f>
        <v>Mă'ānshān Xiāng</v>
      </c>
      <c r="C636" t="str">
        <f>IF(COUNTIF(B:B,B636)&gt;1,_xlfn.CONCAT(A636," (",M636,")"),B636)</f>
        <v>Mă'ānshān Xiāng</v>
      </c>
      <c r="D636" t="s">
        <v>479</v>
      </c>
      <c r="E636" t="s">
        <v>7</v>
      </c>
      <c r="F636" t="str">
        <f>_xlfn.CONCAT(D636,", ",H636,", ",I636,", ","云南省")</f>
        <v>马鞍山乡, 巍山彝族回族自治县, 大理白族自治州, 云南省</v>
      </c>
      <c r="G636">
        <v>15797</v>
      </c>
      <c r="H636" t="s">
        <v>2772</v>
      </c>
      <c r="I636" t="s">
        <v>2763</v>
      </c>
      <c r="J636" t="e">
        <f>VLOOKUP(F636,[1]!china_towns_second__2[[Column1]:[Y]],3,FALSE)</f>
        <v>#N/A</v>
      </c>
      <c r="K636" t="e">
        <f>VLOOKUP(F636,[1]!china_towns_second__2[[Column1]:[Y]],2,FALSE)</f>
        <v>#N/A</v>
      </c>
      <c r="L636" t="s">
        <v>4194</v>
      </c>
      <c r="M636" t="str">
        <f>VLOOKUP(H636,CHOOSE({1,2},Table17[Native],Table17[Name]),2,0)</f>
        <v>Wēishān Yízú Huízú Zìzhìxiàn</v>
      </c>
      <c r="N636" s="15" t="str">
        <f>VLOOKUP(I636,CHOOSE({1,2},Table17[Native],Table17[Name]),2,0)</f>
        <v>Dàlĭ Báizú Zìzhìzhōu</v>
      </c>
      <c r="O636" s="15" t="str">
        <f t="shared" si="18"/>
        <v>Ma'anshan Xiang (Dàlĭ Báizú Zìzhìzhōu)</v>
      </c>
      <c r="P636" s="15" t="str">
        <f t="shared" si="19"/>
        <v>Ma'anshan Xiang (Dàlĭ Báizú Zìzhìzhōu)</v>
      </c>
    </row>
    <row r="637" spans="1:16" hidden="1" x14ac:dyDescent="0.25">
      <c r="A637" t="s">
        <v>2163</v>
      </c>
      <c r="B637" t="str">
        <f>IF(COUNTIF(A:A,A637)&gt;1,_xlfn.CONCAT(A637," (",N637,")"),A637)</f>
        <v>Măbái Zhèn</v>
      </c>
      <c r="C637" t="str">
        <f>IF(COUNTIF(B:B,B637)&gt;1,_xlfn.CONCAT(A637," (",M637,")"),B637)</f>
        <v>Măbái Zhèn</v>
      </c>
      <c r="D637" t="s">
        <v>2164</v>
      </c>
      <c r="E637" t="s">
        <v>11</v>
      </c>
      <c r="F637" t="str">
        <f>_xlfn.CONCAT(D637,", ",H637,", ",I637,", ","云南省")</f>
        <v>马白镇, 马关县, 文山壮族苗族自治州, 云南省</v>
      </c>
      <c r="G637">
        <v>79534</v>
      </c>
      <c r="H637" t="s">
        <v>2875</v>
      </c>
      <c r="I637" t="s">
        <v>2872</v>
      </c>
      <c r="J637">
        <f>VLOOKUP(F637,[1]!china_towns_second__2[[Column1]:[Y]],3,FALSE)</f>
        <v>23.0324236640921</v>
      </c>
      <c r="K637">
        <f>VLOOKUP(F637,[1]!china_towns_second__2[[Column1]:[Y]],2,FALSE)</f>
        <v>104.3844411</v>
      </c>
      <c r="L637" t="s">
        <v>4195</v>
      </c>
      <c r="M637" t="str">
        <f>VLOOKUP(H637,CHOOSE({1,2},Table17[Native],Table17[Name]),2,0)</f>
        <v>Măguān Xiàn</v>
      </c>
      <c r="N637" s="15" t="str">
        <f>VLOOKUP(I637,CHOOSE({1,2},Table17[Native],Table17[Name]),2,0)</f>
        <v>Wénshān Zhuàngzú Miáozú Zìzhìzhōu</v>
      </c>
      <c r="O637" s="15" t="str">
        <f t="shared" si="18"/>
        <v>Mabai Zhen (Wénshān Zhuàngzú Miáozú Zìzhìzhōu)</v>
      </c>
      <c r="P637" s="15" t="str">
        <f t="shared" si="19"/>
        <v>Mabai Zhen (Wénshān Zhuàngzú Miáozú Zìzhìzhōu)</v>
      </c>
    </row>
    <row r="638" spans="1:16" hidden="1" x14ac:dyDescent="0.25">
      <c r="A638" t="s">
        <v>480</v>
      </c>
      <c r="B638" t="str">
        <f>IF(COUNTIF(A:A,A638)&gt;1,_xlfn.CONCAT(A638," (",N638,")"),A638)</f>
        <v>Mădēng Zhèn</v>
      </c>
      <c r="C638" t="str">
        <f>IF(COUNTIF(B:B,B638)&gt;1,_xlfn.CONCAT(A638," (",M638,")"),B638)</f>
        <v>Mădēng Zhèn</v>
      </c>
      <c r="D638" t="s">
        <v>481</v>
      </c>
      <c r="E638" t="s">
        <v>11</v>
      </c>
      <c r="F638" t="str">
        <f>_xlfn.CONCAT(D638,", ",H638,", ",I638,", ","云南省")</f>
        <v>马登镇, 剑川县, 大理白族自治州, 云南省</v>
      </c>
      <c r="G638">
        <v>19839</v>
      </c>
      <c r="H638" t="s">
        <v>2768</v>
      </c>
      <c r="I638" t="s">
        <v>2763</v>
      </c>
      <c r="J638">
        <f>VLOOKUP(F638,[1]!china_towns_second__2[[Column1]:[Y]],3,FALSE)</f>
        <v>26.439887576412598</v>
      </c>
      <c r="K638">
        <f>VLOOKUP(F638,[1]!china_towns_second__2[[Column1]:[Y]],2,FALSE)</f>
        <v>99.598494169999995</v>
      </c>
      <c r="L638" t="s">
        <v>4196</v>
      </c>
      <c r="M638" t="str">
        <f>VLOOKUP(H638,CHOOSE({1,2},Table17[Native],Table17[Name]),2,0)</f>
        <v>Jiànchuān Xiàn</v>
      </c>
      <c r="N638" s="15" t="str">
        <f>VLOOKUP(I638,CHOOSE({1,2},Table17[Native],Table17[Name]),2,0)</f>
        <v>Dàlĭ Báizú Zìzhìzhōu</v>
      </c>
      <c r="O638" s="15" t="str">
        <f t="shared" si="18"/>
        <v>Madeng Zhen (Dàlĭ Báizú Zìzhìzhōu)</v>
      </c>
      <c r="P638" s="15" t="str">
        <f t="shared" si="19"/>
        <v>Madeng Zhen (Dàlĭ Báizú Zìzhìzhōu)</v>
      </c>
    </row>
    <row r="639" spans="1:16" hidden="1" x14ac:dyDescent="0.25">
      <c r="A639" t="s">
        <v>1967</v>
      </c>
      <c r="B639" t="str">
        <f>IF(COUNTIF(A:A,A639)&gt;1,_xlfn.CONCAT(A639," (",N639,")"),A639)</f>
        <v>Măguòhé Zhèn</v>
      </c>
      <c r="C639" t="str">
        <f>IF(COUNTIF(B:B,B639)&gt;1,_xlfn.CONCAT(A639," (",M639,")"),B639)</f>
        <v>Măguòhé Zhèn</v>
      </c>
      <c r="D639" t="s">
        <v>1968</v>
      </c>
      <c r="E639" t="s">
        <v>11</v>
      </c>
      <c r="F639" t="str">
        <f>_xlfn.CONCAT(D639,", ",H639,", ",I639,", ","云南省")</f>
        <v>马过河镇, 马龙区, 曲靖市, 云南省</v>
      </c>
      <c r="G639">
        <v>12967</v>
      </c>
      <c r="H639" t="s">
        <v>2865</v>
      </c>
      <c r="I639" t="s">
        <v>2860</v>
      </c>
      <c r="J639">
        <f>VLOOKUP(F639,[1]!china_towns_second__2[[Column1]:[Y]],3,FALSE)</f>
        <v>25.481741590284798</v>
      </c>
      <c r="K639">
        <f>VLOOKUP(F639,[1]!china_towns_second__2[[Column1]:[Y]],2,FALSE)</f>
        <v>103.4264931</v>
      </c>
      <c r="L639" t="s">
        <v>4197</v>
      </c>
      <c r="M639" t="str">
        <f>VLOOKUP(H639,CHOOSE({1,2},Table17[Native],Table17[Name]),2,0)</f>
        <v>Mălóng Qū</v>
      </c>
      <c r="N639" s="15" t="str">
        <f>VLOOKUP(I639,CHOOSE({1,2},Table17[Native],Table17[Name]),2,0)</f>
        <v>Qŭjìng Shì</v>
      </c>
      <c r="O639" s="15" t="str">
        <f t="shared" si="18"/>
        <v>Maguohe Zhen (Qŭjìng Shì)</v>
      </c>
      <c r="P639" s="15" t="str">
        <f t="shared" si="19"/>
        <v>Maguohe Zhen (Qŭjìng Shì)</v>
      </c>
    </row>
    <row r="640" spans="1:16" hidden="1" x14ac:dyDescent="0.25">
      <c r="A640" t="s">
        <v>1623</v>
      </c>
      <c r="B640" t="str">
        <f>IF(COUNTIF(A:A,A640)&gt;1,_xlfn.CONCAT(A640," (",N640,")"),A640)</f>
        <v>Măjí Xiāng</v>
      </c>
      <c r="C640" t="str">
        <f>IF(COUNTIF(B:B,B640)&gt;1,_xlfn.CONCAT(A640," (",M640,")"),B640)</f>
        <v>Măjí Xiāng</v>
      </c>
      <c r="D640" t="s">
        <v>1624</v>
      </c>
      <c r="E640" t="s">
        <v>7</v>
      </c>
      <c r="F640" t="str">
        <f>_xlfn.CONCAT(D640,", ",H640,", ",I640,", ","云南省")</f>
        <v>马吉乡, 福贡县, 怒江傈僳族自治州, 云南省</v>
      </c>
      <c r="G640">
        <v>8698</v>
      </c>
      <c r="H640" t="s">
        <v>2843</v>
      </c>
      <c r="I640" t="s">
        <v>2842</v>
      </c>
      <c r="J640" t="e">
        <f>VLOOKUP(F640,[1]!china_towns_second__2[[Column1]:[Y]],3,FALSE)</f>
        <v>#N/A</v>
      </c>
      <c r="K640" t="e">
        <f>VLOOKUP(F640,[1]!china_towns_second__2[[Column1]:[Y]],2,FALSE)</f>
        <v>#N/A</v>
      </c>
      <c r="L640" t="s">
        <v>4198</v>
      </c>
      <c r="M640" t="str">
        <f>VLOOKUP(H640,CHOOSE({1,2},Table17[Native],Table17[Name]),2,0)</f>
        <v>Fúgòng Xiàn</v>
      </c>
      <c r="N640" s="15" t="str">
        <f>VLOOKUP(I640,CHOOSE({1,2},Table17[Native],Table17[Name]),2,0)</f>
        <v>Nùjiāng Lìsùzú Zìzhìzhōu</v>
      </c>
      <c r="O640" s="15" t="str">
        <f t="shared" si="18"/>
        <v>Maji Xiang (Nùjiāng Lìsùzú Zìzhìzhōu)</v>
      </c>
      <c r="P640" s="15" t="str">
        <f t="shared" si="19"/>
        <v>Maji Xiang (Nùjiāng Lìsùzú Zìzhìzhōu)</v>
      </c>
    </row>
    <row r="641" spans="1:16" hidden="1" x14ac:dyDescent="0.25">
      <c r="A641" t="s">
        <v>1184</v>
      </c>
      <c r="B641" t="str">
        <f>IF(COUNTIF(A:A,A641)&gt;1,_xlfn.CONCAT(A641," (",N641,")"),A641)</f>
        <v>Măjiē Jiēdào</v>
      </c>
      <c r="C641" t="str">
        <f>IF(COUNTIF(B:B,B641)&gt;1,_xlfn.CONCAT(A641," (",M641,")"),B641)</f>
        <v>Măjiē Jiēdào</v>
      </c>
      <c r="D641" t="s">
        <v>1185</v>
      </c>
      <c r="E641" t="s">
        <v>42</v>
      </c>
      <c r="F641" t="str">
        <f>_xlfn.CONCAT(D641,", ",H641,", ",I641,", ","云南省")</f>
        <v>马街街道, 西山区, 昆明市, 云南省</v>
      </c>
      <c r="G641">
        <v>82100</v>
      </c>
      <c r="H641" t="s">
        <v>2819</v>
      </c>
      <c r="I641" t="s">
        <v>2807</v>
      </c>
      <c r="J641">
        <f>VLOOKUP(F641,[1]!china_towns_second__2[[Column1]:[Y]],3,FALSE)</f>
        <v>25.025229615390799</v>
      </c>
      <c r="K641">
        <f>VLOOKUP(F641,[1]!china_towns_second__2[[Column1]:[Y]],2,FALSE)</f>
        <v>102.63380960000001</v>
      </c>
      <c r="L641" t="s">
        <v>4199</v>
      </c>
      <c r="M641" t="str">
        <f>VLOOKUP(H641,CHOOSE({1,2},Table17[Native],Table17[Name]),2,0)</f>
        <v>Xīshān Qū</v>
      </c>
      <c r="N641" s="15" t="str">
        <f>VLOOKUP(I641,CHOOSE({1,2},Table17[Native],Table17[Name]),2,0)</f>
        <v>Kūnmíng Shì</v>
      </c>
      <c r="O641" s="15" t="str">
        <f t="shared" si="18"/>
        <v>Majie Jiedao (Kūnmíng Shì)</v>
      </c>
      <c r="P641" s="15" t="str">
        <f t="shared" si="19"/>
        <v>Majie Jiedao (Kūnmíng Shì)</v>
      </c>
    </row>
    <row r="642" spans="1:16" hidden="1" x14ac:dyDescent="0.25">
      <c r="A642" t="s">
        <v>903</v>
      </c>
      <c r="B642" t="str">
        <f>IF(COUNTIF(A:A,A642)&gt;1,_xlfn.CONCAT(A642," (",N642,")"),A642)</f>
        <v>Măjiē Xiāng (Hónghé Hānízú Yízú Zìzhìzhōu)</v>
      </c>
      <c r="C642" t="str">
        <f>IF(COUNTIF(B:B,B642)&gt;1,_xlfn.CONCAT(A642," (",M642,")"),B642)</f>
        <v>Măjiē Xiāng (Hónghé Hānízú Yízú Zìzhìzhōu)</v>
      </c>
      <c r="D642" t="s">
        <v>904</v>
      </c>
      <c r="E642" t="s">
        <v>7</v>
      </c>
      <c r="F642" t="str">
        <f>_xlfn.CONCAT(D642,", ",H642,", ",I642,", ","云南省")</f>
        <v>马街乡, 元阳县, 红河哈尼族彝族自治州, 云南省</v>
      </c>
      <c r="G642">
        <v>25959</v>
      </c>
      <c r="H642" t="s">
        <v>2805</v>
      </c>
      <c r="I642" t="s">
        <v>2792</v>
      </c>
      <c r="J642" t="e">
        <f>VLOOKUP(F642,[1]!china_towns_second__2[[Column1]:[Y]],3,FALSE)</f>
        <v>#N/A</v>
      </c>
      <c r="K642" t="e">
        <f>VLOOKUP(F642,[1]!china_towns_second__2[[Column1]:[Y]],2,FALSE)</f>
        <v>#N/A</v>
      </c>
      <c r="L642" t="s">
        <v>4200</v>
      </c>
      <c r="M642" t="str">
        <f>VLOOKUP(H642,CHOOSE({1,2},Table17[Native],Table17[Name]),2,0)</f>
        <v>Yuányáng Xiàn</v>
      </c>
      <c r="N642" s="15" t="str">
        <f>VLOOKUP(I642,CHOOSE({1,2},Table17[Native],Table17[Name]),2,0)</f>
        <v>Hónghé Hānízú Yízú Zìzhìzhōu</v>
      </c>
      <c r="O642" s="15" t="str">
        <f t="shared" ref="O642:O705" si="20">_xlfn.CONCAT(L642," (",N642,")")</f>
        <v>Majie Xiang (Honghe Hanizu Yizu Zizhizhou) (Hónghé Hānízú Yízú Zìzhìzhōu)</v>
      </c>
      <c r="P642" s="15" t="str">
        <f t="shared" ref="P642:P705" si="21">IF(COUNTIF(O:O,O642)&gt;1,_xlfn.CONCAT(L642," (",M642,")"),O642)</f>
        <v>Majie Xiang (Honghe Hanizu Yizu Zizhizhou) (Hónghé Hānízú Yízú Zìzhìzhōu)</v>
      </c>
    </row>
    <row r="643" spans="1:16" hidden="1" x14ac:dyDescent="0.25">
      <c r="A643" t="s">
        <v>903</v>
      </c>
      <c r="B643" t="str">
        <f>IF(COUNTIF(A:A,A643)&gt;1,_xlfn.CONCAT(A643," (",N643,")"),A643)</f>
        <v>Măjiē Xiāng (Wénshān Zhuàngzú Miáozú Zìzhìzhōu)</v>
      </c>
      <c r="C643" t="str">
        <f>IF(COUNTIF(B:B,B643)&gt;1,_xlfn.CONCAT(A643," (",M643,")"),B643)</f>
        <v>Măjiē Xiāng (Wénshān Zhuàngzú Miáozú Zìzhìzhōu)</v>
      </c>
      <c r="D643" t="s">
        <v>904</v>
      </c>
      <c r="E643" t="s">
        <v>7</v>
      </c>
      <c r="F643" t="str">
        <f>_xlfn.CONCAT(D643,", ",H643,", ",I643,", ","云南省")</f>
        <v>马街乡, 麻栗坡县, 文山壮族苗族自治州, 云南省</v>
      </c>
      <c r="G643">
        <v>25349</v>
      </c>
      <c r="H643" t="s">
        <v>2876</v>
      </c>
      <c r="I643" t="s">
        <v>2872</v>
      </c>
      <c r="J643" t="e">
        <f>VLOOKUP(F643,[1]!china_towns_second__2[[Column1]:[Y]],3,FALSE)</f>
        <v>#N/A</v>
      </c>
      <c r="K643" t="e">
        <f>VLOOKUP(F643,[1]!china_towns_second__2[[Column1]:[Y]],2,FALSE)</f>
        <v>#N/A</v>
      </c>
      <c r="L643" t="s">
        <v>4201</v>
      </c>
      <c r="M643" t="str">
        <f>VLOOKUP(H643,CHOOSE({1,2},Table17[Native],Table17[Name]),2,0)</f>
        <v>Málìpō Xiàn</v>
      </c>
      <c r="N643" s="15" t="str">
        <f>VLOOKUP(I643,CHOOSE({1,2},Table17[Native],Table17[Name]),2,0)</f>
        <v>Wénshān Zhuàngzú Miáozú Zìzhìzhōu</v>
      </c>
      <c r="O643" s="15" t="str">
        <f t="shared" si="20"/>
        <v>Majie Xiang (Wenshan Zhuangzu Miaozu Zizhizhou) (Wénshān Zhuàngzú Miáozú Zìzhìzhōu)</v>
      </c>
      <c r="P643" s="15" t="str">
        <f t="shared" si="21"/>
        <v>Majie Xiang (Wenshan Zhuangzu Miaozu Zizhizhou) (Wénshān Zhuàngzú Miáozú Zìzhìzhōu)</v>
      </c>
    </row>
    <row r="644" spans="1:16" hidden="1" x14ac:dyDescent="0.25">
      <c r="A644" t="s">
        <v>269</v>
      </c>
      <c r="B644" t="str">
        <f>IF(COUNTIF(A:A,A644)&gt;1,_xlfn.CONCAT(A644," (",N644,")"),A644)</f>
        <v>Măjiē Zhèn (Chŭxióng Yízú Zìzhìzhōu)</v>
      </c>
      <c r="C644" t="str">
        <f>IF(COUNTIF(B:B,B644)&gt;1,_xlfn.CONCAT(A644," (",M644,")"),B644)</f>
        <v>Măjiē Zhèn (Chŭxióng Yízú Zìzhìzhōu)</v>
      </c>
      <c r="D644" t="s">
        <v>270</v>
      </c>
      <c r="E644" t="s">
        <v>11</v>
      </c>
      <c r="F644" t="str">
        <f>_xlfn.CONCAT(D644,", ",H644,", ",I644,", ","云南省")</f>
        <v>马街镇, 南华县, 楚雄彝族自治州, 云南省</v>
      </c>
      <c r="G644">
        <v>18491</v>
      </c>
      <c r="H644" t="s">
        <v>2755</v>
      </c>
      <c r="I644" t="s">
        <v>2750</v>
      </c>
      <c r="J644">
        <f>VLOOKUP(F644,[1]!china_towns_second__2[[Column1]:[Y]],3,FALSE)</f>
        <v>24.8674601937151</v>
      </c>
      <c r="K644">
        <f>VLOOKUP(F644,[1]!china_towns_second__2[[Column1]:[Y]],2,FALSE)</f>
        <v>100.8646591</v>
      </c>
      <c r="L644" t="s">
        <v>4202</v>
      </c>
      <c r="M644" t="str">
        <f>VLOOKUP(H644,CHOOSE({1,2},Table17[Native],Table17[Name]),2,0)</f>
        <v>Nánhuá Xiàn</v>
      </c>
      <c r="N644" s="15" t="str">
        <f>VLOOKUP(I644,CHOOSE({1,2},Table17[Native],Table17[Name]),2,0)</f>
        <v>Chŭxióng Yízú Zìzhìzhōu</v>
      </c>
      <c r="O644" s="15" t="str">
        <f t="shared" si="20"/>
        <v>Majie Zhen (Chuxiong Yizu Zizhizhou) (Chŭxióng Yízú Zìzhìzhōu)</v>
      </c>
      <c r="P644" s="15" t="str">
        <f t="shared" si="21"/>
        <v>Majie Zhen (Chuxiong Yizu Zizhizhou) (Chŭxióng Yízú Zìzhìzhōu)</v>
      </c>
    </row>
    <row r="645" spans="1:16" hidden="1" x14ac:dyDescent="0.25">
      <c r="A645" t="s">
        <v>269</v>
      </c>
      <c r="B645" t="str">
        <f>IF(COUNTIF(A:A,A645)&gt;1,_xlfn.CONCAT(A645," (",N645,")"),A645)</f>
        <v>Măjiē Zhèn (Kūnmíng Shì)</v>
      </c>
      <c r="C645" t="str">
        <f>IF(COUNTIF(B:B,B645)&gt;1,_xlfn.CONCAT(A645," (",M645,")"),B645)</f>
        <v>Măjiē Zhèn (Kūnmíng Shì)</v>
      </c>
      <c r="D645" t="s">
        <v>270</v>
      </c>
      <c r="E645" t="s">
        <v>11</v>
      </c>
      <c r="F645" t="str">
        <f>_xlfn.CONCAT(D645,", ",H645,", ",I645,", ","云南省")</f>
        <v>马街镇, 宜良县, 昆明市, 云南省</v>
      </c>
      <c r="G645">
        <v>18497</v>
      </c>
      <c r="H645" t="s">
        <v>2821</v>
      </c>
      <c r="I645" t="s">
        <v>2807</v>
      </c>
      <c r="J645">
        <f>VLOOKUP(F645,[1]!china_towns_second__2[[Column1]:[Y]],3,FALSE)</f>
        <v>25.208977079367301</v>
      </c>
      <c r="K645">
        <f>VLOOKUP(F645,[1]!china_towns_second__2[[Column1]:[Y]],2,FALSE)</f>
        <v>103.2143502</v>
      </c>
      <c r="L645" t="s">
        <v>4203</v>
      </c>
      <c r="M645" t="str">
        <f>VLOOKUP(H645,CHOOSE({1,2},Table17[Native],Table17[Name]),2,0)</f>
        <v>Yíliáng Xiàn</v>
      </c>
      <c r="N645" s="15" t="str">
        <f>VLOOKUP(I645,CHOOSE({1,2},Table17[Native],Table17[Name]),2,0)</f>
        <v>Kūnmíng Shì</v>
      </c>
      <c r="O645" s="15" t="str">
        <f t="shared" si="20"/>
        <v>Majie Zhen (Kunming Shi) (Kūnmíng Shì)</v>
      </c>
      <c r="P645" s="15" t="str">
        <f t="shared" si="21"/>
        <v>Majie Zhen (Kunming Shi) (Kūnmíng Shì)</v>
      </c>
    </row>
    <row r="646" spans="1:16" hidden="1" x14ac:dyDescent="0.25">
      <c r="A646" t="s">
        <v>269</v>
      </c>
      <c r="B646" t="str">
        <f>IF(COUNTIF(A:A,A646)&gt;1,_xlfn.CONCAT(A646," (",N646,")"),A646)</f>
        <v>Măjiē Zhèn (Qŭjìng Shì)</v>
      </c>
      <c r="C646" t="str">
        <f>IF(COUNTIF(B:B,B646)&gt;1,_xlfn.CONCAT(A646," (",M646,")"),B646)</f>
        <v>Măjiē Zhèn (Lùliáng Xiàn)</v>
      </c>
      <c r="D646" t="s">
        <v>270</v>
      </c>
      <c r="E646" t="s">
        <v>11</v>
      </c>
      <c r="F646" t="str">
        <f>_xlfn.CONCAT(D646,", ",H646,", ",I646,", ","云南省")</f>
        <v>马街镇, 陆良县, 曲靖市, 云南省</v>
      </c>
      <c r="G646">
        <v>100428</v>
      </c>
      <c r="H646" t="s">
        <v>2863</v>
      </c>
      <c r="I646" t="s">
        <v>2860</v>
      </c>
      <c r="J646">
        <f>VLOOKUP(F646,[1]!china_towns_second__2[[Column1]:[Y]],3,FALSE)</f>
        <v>24.943294534132999</v>
      </c>
      <c r="K646">
        <f>VLOOKUP(F646,[1]!china_towns_second__2[[Column1]:[Y]],2,FALSE)</f>
        <v>103.7177133</v>
      </c>
      <c r="L646" t="s">
        <v>4204</v>
      </c>
      <c r="M646" t="str">
        <f>VLOOKUP(H646,CHOOSE({1,2},Table17[Native],Table17[Name]),2,0)</f>
        <v>Lùliáng Xiàn</v>
      </c>
      <c r="N646" s="15" t="str">
        <f>VLOOKUP(I646,CHOOSE({1,2},Table17[Native],Table17[Name]),2,0)</f>
        <v>Qŭjìng Shì</v>
      </c>
      <c r="O646" s="15" t="str">
        <f t="shared" si="20"/>
        <v>Majie Zhen (Luliang Xian) (Qŭjìng Shì)</v>
      </c>
      <c r="P646" s="15" t="str">
        <f t="shared" si="21"/>
        <v>Majie Zhen (Luliang Xian) (Qŭjìng Shì)</v>
      </c>
    </row>
    <row r="647" spans="1:16" hidden="1" x14ac:dyDescent="0.25">
      <c r="A647" t="s">
        <v>269</v>
      </c>
      <c r="B647" t="str">
        <f>IF(COUNTIF(A:A,A647)&gt;1,_xlfn.CONCAT(A647," (",N647,")"),A647)</f>
        <v>Măjiē Zhèn (Qŭjìng Shì)</v>
      </c>
      <c r="C647" t="str">
        <f>IF(COUNTIF(B:B,B647)&gt;1,_xlfn.CONCAT(A647," (",M647,")"),B647)</f>
        <v>Măjiē Zhèn (Luópíng Xiàn)</v>
      </c>
      <c r="D647" t="s">
        <v>270</v>
      </c>
      <c r="E647" t="s">
        <v>11</v>
      </c>
      <c r="F647" t="str">
        <f>_xlfn.CONCAT(D647,", ",H647,", ",I647,", ","云南省")</f>
        <v>马街镇, 罗平县, 曲靖市, 云南省</v>
      </c>
      <c r="G647">
        <v>56894</v>
      </c>
      <c r="H647" t="s">
        <v>2864</v>
      </c>
      <c r="I647" t="s">
        <v>2860</v>
      </c>
      <c r="J647">
        <f>VLOOKUP(F647,[1]!china_towns_second__2[[Column1]:[Y]],3,FALSE)</f>
        <v>25.180423227211801</v>
      </c>
      <c r="K647">
        <f>VLOOKUP(F647,[1]!china_towns_second__2[[Column1]:[Y]],2,FALSE)</f>
        <v>104.21344209999999</v>
      </c>
      <c r="L647" t="s">
        <v>4205</v>
      </c>
      <c r="M647" t="str">
        <f>VLOOKUP(H647,CHOOSE({1,2},Table17[Native],Table17[Name]),2,0)</f>
        <v>Luópíng Xiàn</v>
      </c>
      <c r="N647" s="15" t="str">
        <f>VLOOKUP(I647,CHOOSE({1,2},Table17[Native],Table17[Name]),2,0)</f>
        <v>Qŭjìng Shì</v>
      </c>
      <c r="O647" s="15" t="str">
        <f t="shared" si="20"/>
        <v>Majie Zhen (Luoping Xian) (Qŭjìng Shì)</v>
      </c>
      <c r="P647" s="15" t="str">
        <f t="shared" si="21"/>
        <v>Majie Zhen (Luoping Xian) (Qŭjìng Shì)</v>
      </c>
    </row>
    <row r="648" spans="1:16" hidden="1" x14ac:dyDescent="0.25">
      <c r="A648" t="s">
        <v>1186</v>
      </c>
      <c r="B648" t="str">
        <f>IF(COUNTIF(A:A,A648)&gt;1,_xlfn.CONCAT(A648," (",N648,")"),A648)</f>
        <v>Măjīnpū Jiēdào</v>
      </c>
      <c r="C648" t="str">
        <f>IF(COUNTIF(B:B,B648)&gt;1,_xlfn.CONCAT(A648," (",M648,")"),B648)</f>
        <v>Măjīnpū Jiēdào</v>
      </c>
      <c r="D648" t="s">
        <v>1187</v>
      </c>
      <c r="E648" t="s">
        <v>42</v>
      </c>
      <c r="F648" t="str">
        <f>_xlfn.CONCAT(D648,", ",H648,", ",I648,", ","云南省")</f>
        <v>马金铺街道, 呈贡区, 昆明市, 云南省</v>
      </c>
      <c r="G648">
        <v>33907</v>
      </c>
      <c r="H648" t="s">
        <v>2809</v>
      </c>
      <c r="I648" t="s">
        <v>2807</v>
      </c>
      <c r="J648">
        <f>VLOOKUP(F648,[1]!china_towns_second__2[[Column1]:[Y]],3,FALSE)</f>
        <v>24.7736482873654</v>
      </c>
      <c r="K648">
        <f>VLOOKUP(F648,[1]!china_towns_second__2[[Column1]:[Y]],2,FALSE)</f>
        <v>102.8346256</v>
      </c>
      <c r="L648" t="s">
        <v>4206</v>
      </c>
      <c r="M648" t="str">
        <f>VLOOKUP(H648,CHOOSE({1,2},Table17[Native],Table17[Name]),2,0)</f>
        <v>Chénggòng Qū</v>
      </c>
      <c r="N648" s="15" t="str">
        <f>VLOOKUP(I648,CHOOSE({1,2},Table17[Native],Table17[Name]),2,0)</f>
        <v>Kūnmíng Shì</v>
      </c>
      <c r="O648" s="15" t="str">
        <f t="shared" si="20"/>
        <v>Majinpu Jiedao (Kūnmíng Shì)</v>
      </c>
      <c r="P648" s="15" t="str">
        <f t="shared" si="21"/>
        <v>Majinpu Jiedao (Kūnmíng Shì)</v>
      </c>
    </row>
    <row r="649" spans="1:16" hidden="1" x14ac:dyDescent="0.25">
      <c r="A649" t="s">
        <v>2583</v>
      </c>
      <c r="B649" t="str">
        <f>IF(COUNTIF(A:A,A649)&gt;1,_xlfn.CONCAT(A649," (",N649,")"),A649)</f>
        <v>Măkŏu Zhèn</v>
      </c>
      <c r="C649" t="str">
        <f>IF(COUNTIF(B:B,B649)&gt;1,_xlfn.CONCAT(A649," (",M649,")"),B649)</f>
        <v>Măkŏu Zhèn</v>
      </c>
      <c r="D649" t="s">
        <v>2584</v>
      </c>
      <c r="E649" t="s">
        <v>11</v>
      </c>
      <c r="F649" t="str">
        <f>_xlfn.CONCAT(D649,", ",H649,", ",I649,", ","云南省")</f>
        <v>码口镇, 永善县, 昭通市, 云南省</v>
      </c>
      <c r="G649">
        <v>24124</v>
      </c>
      <c r="H649" t="s">
        <v>2908</v>
      </c>
      <c r="I649" t="s">
        <v>2899</v>
      </c>
      <c r="J649">
        <f>VLOOKUP(F649,[1]!china_towns_second__2[[Column1]:[Y]],3,FALSE)</f>
        <v>27.584222575104398</v>
      </c>
      <c r="K649">
        <f>VLOOKUP(F649,[1]!china_towns_second__2[[Column1]:[Y]],2,FALSE)</f>
        <v>103.3412874</v>
      </c>
      <c r="L649" t="s">
        <v>4207</v>
      </c>
      <c r="M649" t="str">
        <f>VLOOKUP(H649,CHOOSE({1,2},Table17[Native],Table17[Name]),2,0)</f>
        <v>Yŏngshàn Xiàn</v>
      </c>
      <c r="N649" s="15" t="str">
        <f>VLOOKUP(I649,CHOOSE({1,2},Table17[Native],Table17[Name]),2,0)</f>
        <v>Zhāotōng Shì</v>
      </c>
      <c r="O649" s="15" t="str">
        <f t="shared" si="20"/>
        <v>Makou Zhen (Zhāotōng Shì)</v>
      </c>
      <c r="P649" s="15" t="str">
        <f t="shared" si="21"/>
        <v>Makou Zhen (Zhāotōng Shì)</v>
      </c>
    </row>
    <row r="650" spans="1:16" hidden="1" x14ac:dyDescent="0.25">
      <c r="A650" t="s">
        <v>2165</v>
      </c>
      <c r="B650" t="str">
        <f>IF(COUNTIF(A:A,A650)&gt;1,_xlfn.CONCAT(A650," (",N650,")"),A650)</f>
        <v>Málì Zhèn</v>
      </c>
      <c r="C650" t="str">
        <f>IF(COUNTIF(B:B,B650)&gt;1,_xlfn.CONCAT(A650," (",M650,")"),B650)</f>
        <v>Málì Zhèn</v>
      </c>
      <c r="D650" t="s">
        <v>2166</v>
      </c>
      <c r="E650" t="s">
        <v>11</v>
      </c>
      <c r="F650" t="str">
        <f>_xlfn.CONCAT(D650,", ",H650,", ",I650,", ","云南省")</f>
        <v>麻栗镇, 麻栗坡县, 文山壮族苗族自治州, 云南省</v>
      </c>
      <c r="G650">
        <v>54511</v>
      </c>
      <c r="H650" t="s">
        <v>2876</v>
      </c>
      <c r="I650" t="s">
        <v>2872</v>
      </c>
      <c r="J650">
        <f>VLOOKUP(F650,[1]!china_towns_second__2[[Column1]:[Y]],3,FALSE)</f>
        <v>23.111379473919001</v>
      </c>
      <c r="K650">
        <f>VLOOKUP(F650,[1]!china_towns_second__2[[Column1]:[Y]],2,FALSE)</f>
        <v>104.7138192</v>
      </c>
      <c r="L650" t="s">
        <v>4208</v>
      </c>
      <c r="M650" t="str">
        <f>VLOOKUP(H650,CHOOSE({1,2},Table17[Native],Table17[Name]),2,0)</f>
        <v>Málìpō Xiàn</v>
      </c>
      <c r="N650" s="15" t="str">
        <f>VLOOKUP(I650,CHOOSE({1,2},Table17[Native],Table17[Name]),2,0)</f>
        <v>Wénshān Zhuàngzú Miáozú Zìzhìzhōu</v>
      </c>
      <c r="O650" s="15" t="str">
        <f t="shared" si="20"/>
        <v>Mali Zhen (Wénshān Zhuàngzú Miáozú Zìzhìzhōu)</v>
      </c>
      <c r="P650" s="15" t="str">
        <f t="shared" si="21"/>
        <v>Mali Zhen (Wénshān Zhuàngzú Miáozú Zìzhìzhōu)</v>
      </c>
    </row>
    <row r="651" spans="1:16" hidden="1" x14ac:dyDescent="0.25">
      <c r="A651" t="s">
        <v>1969</v>
      </c>
      <c r="B651" t="str">
        <f>IF(COUNTIF(A:A,A651)&gt;1,_xlfn.CONCAT(A651," (",N651,")"),A651)</f>
        <v>Mălù Xiāng</v>
      </c>
      <c r="C651" t="str">
        <f>IF(COUNTIF(B:B,B651)&gt;1,_xlfn.CONCAT(A651," (",M651,")"),B651)</f>
        <v>Mălù Xiāng</v>
      </c>
      <c r="D651" t="s">
        <v>1970</v>
      </c>
      <c r="E651" t="s">
        <v>7</v>
      </c>
      <c r="F651" t="str">
        <f>_xlfn.CONCAT(D651,", ",H651,", ",I651,", ","云南省")</f>
        <v>马路乡, 会泽县, 曲靖市, 云南省</v>
      </c>
      <c r="G651">
        <v>26128</v>
      </c>
      <c r="H651" t="s">
        <v>2862</v>
      </c>
      <c r="I651" t="s">
        <v>2860</v>
      </c>
      <c r="J651" t="e">
        <f>VLOOKUP(F651,[1]!china_towns_second__2[[Column1]:[Y]],3,FALSE)</f>
        <v>#N/A</v>
      </c>
      <c r="K651" t="e">
        <f>VLOOKUP(F651,[1]!china_towns_second__2[[Column1]:[Y]],2,FALSE)</f>
        <v>#N/A</v>
      </c>
      <c r="L651" t="s">
        <v>4209</v>
      </c>
      <c r="M651" t="str">
        <f>VLOOKUP(H651,CHOOSE({1,2},Table17[Native],Table17[Name]),2,0)</f>
        <v>Huìzé Xiàn</v>
      </c>
      <c r="N651" s="15" t="str">
        <f>VLOOKUP(I651,CHOOSE({1,2},Table17[Native],Table17[Name]),2,0)</f>
        <v>Qŭjìng Shì</v>
      </c>
      <c r="O651" s="15" t="str">
        <f t="shared" si="20"/>
        <v>Malu Xiang (Qŭjìng Shì)</v>
      </c>
      <c r="P651" s="15" t="str">
        <f t="shared" si="21"/>
        <v>Malu Xiang (Qŭjìng Shì)</v>
      </c>
    </row>
    <row r="652" spans="1:16" hidden="1" x14ac:dyDescent="0.25">
      <c r="A652" t="s">
        <v>1188</v>
      </c>
      <c r="B652" t="str">
        <f>IF(COUNTIF(A:A,A652)&gt;1,_xlfn.CONCAT(A652," (",N652,")"),A652)</f>
        <v>Mălùtáng Xiāng</v>
      </c>
      <c r="C652" t="str">
        <f>IF(COUNTIF(B:B,B652)&gt;1,_xlfn.CONCAT(A652," (",M652,")"),B652)</f>
        <v>Mălùtáng Xiāng</v>
      </c>
      <c r="D652" t="s">
        <v>1189</v>
      </c>
      <c r="E652" t="s">
        <v>7</v>
      </c>
      <c r="F652" t="str">
        <f>_xlfn.CONCAT(D652,", ",H652,", ",I652,", ","云南省")</f>
        <v>马鹿塘乡, 禄劝彝族苗族自治县, 昆明市, 云南省</v>
      </c>
      <c r="G652">
        <v>14329</v>
      </c>
      <c r="H652" t="s">
        <v>2814</v>
      </c>
      <c r="I652" t="s">
        <v>2807</v>
      </c>
      <c r="J652" t="e">
        <f>VLOOKUP(F652,[1]!china_towns_second__2[[Column1]:[Y]],3,FALSE)</f>
        <v>#N/A</v>
      </c>
      <c r="K652" t="e">
        <f>VLOOKUP(F652,[1]!china_towns_second__2[[Column1]:[Y]],2,FALSE)</f>
        <v>#N/A</v>
      </c>
      <c r="L652" t="s">
        <v>4210</v>
      </c>
      <c r="M652" t="str">
        <f>VLOOKUP(H652,CHOOSE({1,2},Table17[Native],Table17[Name]),2,0)</f>
        <v>Lùquàn Yízú Miáozú Zìzhìxiàn</v>
      </c>
      <c r="N652" s="15" t="str">
        <f>VLOOKUP(I652,CHOOSE({1,2},Table17[Native],Table17[Name]),2,0)</f>
        <v>Kūnmíng Shì</v>
      </c>
      <c r="O652" s="15" t="str">
        <f t="shared" si="20"/>
        <v>Malutang Xiang (Kūnmíng Shì)</v>
      </c>
      <c r="P652" s="15" t="str">
        <f t="shared" si="21"/>
        <v>Malutang Xiang (Kūnmíng Shì)</v>
      </c>
    </row>
    <row r="653" spans="1:16" hidden="1" x14ac:dyDescent="0.25">
      <c r="A653" t="s">
        <v>1971</v>
      </c>
      <c r="B653" t="str">
        <f>IF(COUNTIF(A:A,A653)&gt;1,_xlfn.CONCAT(A653," (",N653,")"),A653)</f>
        <v>Mămíng Xiāng</v>
      </c>
      <c r="C653" t="str">
        <f>IF(COUNTIF(B:B,B653)&gt;1,_xlfn.CONCAT(A653," (",M653,")"),B653)</f>
        <v>Mămíng Xiāng</v>
      </c>
      <c r="D653" t="s">
        <v>1972</v>
      </c>
      <c r="E653" t="s">
        <v>7</v>
      </c>
      <c r="F653" t="str">
        <f>_xlfn.CONCAT(D653,", ",H653,", ",I653,", ","云南省")</f>
        <v>马鸣乡, 马龙区, 曲靖市, 云南省</v>
      </c>
      <c r="G653">
        <v>12169</v>
      </c>
      <c r="H653" t="s">
        <v>2865</v>
      </c>
      <c r="I653" t="s">
        <v>2860</v>
      </c>
      <c r="J653" t="e">
        <f>VLOOKUP(F653,[1]!china_towns_second__2[[Column1]:[Y]],3,FALSE)</f>
        <v>#N/A</v>
      </c>
      <c r="K653" t="e">
        <f>VLOOKUP(F653,[1]!china_towns_second__2[[Column1]:[Y]],2,FALSE)</f>
        <v>#N/A</v>
      </c>
      <c r="L653" t="s">
        <v>4211</v>
      </c>
      <c r="M653" t="str">
        <f>VLOOKUP(H653,CHOOSE({1,2},Table17[Native],Table17[Name]),2,0)</f>
        <v>Mălóng Qū</v>
      </c>
      <c r="N653" s="15" t="str">
        <f>VLOOKUP(I653,CHOOSE({1,2},Table17[Native],Table17[Name]),2,0)</f>
        <v>Qŭjìng Shì</v>
      </c>
      <c r="O653" s="15" t="str">
        <f t="shared" si="20"/>
        <v>Maming Xiang (Qŭjìng Shì)</v>
      </c>
      <c r="P653" s="15" t="str">
        <f t="shared" si="21"/>
        <v>Maming Xiang (Qŭjìng Shì)</v>
      </c>
    </row>
    <row r="654" spans="1:16" hidden="1" x14ac:dyDescent="0.25">
      <c r="A654" t="s">
        <v>2585</v>
      </c>
      <c r="B654" t="str">
        <f>IF(COUNTIF(A:A,A654)&gt;1,_xlfn.CONCAT(A654," (",N654,")"),A654)</f>
        <v>Mănán Miáozú Yízú Xiāng</v>
      </c>
      <c r="C654" t="str">
        <f>IF(COUNTIF(B:B,B654)&gt;1,_xlfn.CONCAT(A654," (",M654,")"),B654)</f>
        <v>Mănán Miáozú Yízú Xiāng</v>
      </c>
      <c r="D654" t="s">
        <v>2586</v>
      </c>
      <c r="E654" t="s">
        <v>7</v>
      </c>
      <c r="F654" t="str">
        <f>_xlfn.CONCAT(D654,", ",H654,", ",I654,", ","云南省")</f>
        <v>马楠苗族彝族乡, 永善县, 昭通市, 云南省</v>
      </c>
      <c r="G654">
        <v>11973</v>
      </c>
      <c r="H654" t="s">
        <v>2908</v>
      </c>
      <c r="I654" t="s">
        <v>2899</v>
      </c>
      <c r="J654" t="e">
        <f>VLOOKUP(F654,[1]!china_towns_second__2[[Column1]:[Y]],3,FALSE)</f>
        <v>#N/A</v>
      </c>
      <c r="K654" t="e">
        <f>VLOOKUP(F654,[1]!china_towns_second__2[[Column1]:[Y]],2,FALSE)</f>
        <v>#N/A</v>
      </c>
      <c r="L654" t="s">
        <v>4212</v>
      </c>
      <c r="M654" t="str">
        <f>VLOOKUP(H654,CHOOSE({1,2},Table17[Native],Table17[Name]),2,0)</f>
        <v>Yŏngshàn Xiàn</v>
      </c>
      <c r="N654" s="15" t="str">
        <f>VLOOKUP(I654,CHOOSE({1,2},Table17[Native],Table17[Name]),2,0)</f>
        <v>Zhāotōng Shì</v>
      </c>
      <c r="O654" s="15" t="str">
        <f t="shared" si="20"/>
        <v>Manan Miaozu Yizu Xiang (Zhāotōng Shì)</v>
      </c>
      <c r="P654" s="15" t="str">
        <f t="shared" si="21"/>
        <v>Manan Miaozu Yizu Xiang (Zhāotōng Shì)</v>
      </c>
    </row>
    <row r="655" spans="1:16" hidden="1" x14ac:dyDescent="0.25">
      <c r="A655" t="s">
        <v>1739</v>
      </c>
      <c r="B655" t="str">
        <f>IF(COUNTIF(A:A,A655)&gt;1,_xlfn.CONCAT(A655," (",N655,")"),A655)</f>
        <v>Màndĕng Xiāng</v>
      </c>
      <c r="C655" t="str">
        <f>IF(COUNTIF(B:B,B655)&gt;1,_xlfn.CONCAT(A655," (",M655,")"),B655)</f>
        <v>Màndĕng Xiāng</v>
      </c>
      <c r="D655" t="s">
        <v>1740</v>
      </c>
      <c r="E655" t="s">
        <v>7</v>
      </c>
      <c r="F655" t="str">
        <f>_xlfn.CONCAT(D655,", ",H655,", ",I655,", ","云南省")</f>
        <v>曼等乡, 景东彝族自治县, 普洱市, 云南省</v>
      </c>
      <c r="G655">
        <v>15974</v>
      </c>
      <c r="H655" t="s">
        <v>2850</v>
      </c>
      <c r="I655" t="s">
        <v>2848</v>
      </c>
      <c r="J655" t="e">
        <f>VLOOKUP(F655,[1]!china_towns_second__2[[Column1]:[Y]],3,FALSE)</f>
        <v>#N/A</v>
      </c>
      <c r="K655" t="e">
        <f>VLOOKUP(F655,[1]!china_towns_second__2[[Column1]:[Y]],2,FALSE)</f>
        <v>#N/A</v>
      </c>
      <c r="L655" t="s">
        <v>4213</v>
      </c>
      <c r="M655" t="str">
        <f>VLOOKUP(H655,CHOOSE({1,2},Table17[Native],Table17[Name]),2,0)</f>
        <v>Jĭngdōng Yízú Zìzhìxiàn</v>
      </c>
      <c r="N655" s="15" t="str">
        <f>VLOOKUP(I655,CHOOSE({1,2},Table17[Native],Table17[Name]),2,0)</f>
        <v>Pŭ'ĕr Shì</v>
      </c>
      <c r="O655" s="15" t="str">
        <f t="shared" si="20"/>
        <v>Mandeng Xiang (Pŭ'ĕr Shì)</v>
      </c>
      <c r="P655" s="15" t="str">
        <f t="shared" si="21"/>
        <v>Mandeng Xiang (Pŭ'ĕr Shì)</v>
      </c>
    </row>
    <row r="656" spans="1:16" hidden="1" x14ac:dyDescent="0.25">
      <c r="A656" t="s">
        <v>75</v>
      </c>
      <c r="B656" t="str">
        <f>IF(COUNTIF(A:A,A656)&gt;1,_xlfn.CONCAT(A656," (",N656,")"),A656)</f>
        <v>Mángbàng Zhèn</v>
      </c>
      <c r="C656" t="str">
        <f>IF(COUNTIF(B:B,B656)&gt;1,_xlfn.CONCAT(A656," (",M656,")"),B656)</f>
        <v>Mángbàng Zhèn</v>
      </c>
      <c r="D656" t="s">
        <v>76</v>
      </c>
      <c r="E656" t="s">
        <v>11</v>
      </c>
      <c r="F656" t="str">
        <f>_xlfn.CONCAT(D656,", ",H656,", ",I656,", ","云南省")</f>
        <v>芒棒镇, 腾冲市, 保山市, 云南省</v>
      </c>
      <c r="G656">
        <v>39273</v>
      </c>
      <c r="H656" t="s">
        <v>2747</v>
      </c>
      <c r="I656" t="s">
        <v>2739</v>
      </c>
      <c r="J656">
        <f>VLOOKUP(F656,[1]!china_towns_second__2[[Column1]:[Y]],3,FALSE)</f>
        <v>25.005631708033999</v>
      </c>
      <c r="K656">
        <f>VLOOKUP(F656,[1]!china_towns_second__2[[Column1]:[Y]],2,FALSE)</f>
        <v>98.680035919999995</v>
      </c>
      <c r="L656" t="s">
        <v>4214</v>
      </c>
      <c r="M656" t="str">
        <f>VLOOKUP(H656,CHOOSE({1,2},Table17[Native],Table17[Name]),2,0)</f>
        <v>Téngchōng Shì</v>
      </c>
      <c r="N656" s="15" t="str">
        <f>VLOOKUP(I656,CHOOSE({1,2},Table17[Native],Table17[Name]),2,0)</f>
        <v>Băoshān Shì</v>
      </c>
      <c r="O656" s="15" t="str">
        <f t="shared" si="20"/>
        <v>Mangbang Zhen (Băoshān Shì)</v>
      </c>
      <c r="P656" s="15" t="str">
        <f t="shared" si="21"/>
        <v>Mangbang Zhen (Băoshān Shì)</v>
      </c>
    </row>
    <row r="657" spans="1:16" hidden="1" x14ac:dyDescent="0.25">
      <c r="A657" t="s">
        <v>1497</v>
      </c>
      <c r="B657" t="str">
        <f>IF(COUNTIF(A:A,A657)&gt;1,_xlfn.CONCAT(A657," (",N657,")"),A657)</f>
        <v>Mángbĭng Xiāng</v>
      </c>
      <c r="C657" t="str">
        <f>IF(COUNTIF(B:B,B657)&gt;1,_xlfn.CONCAT(A657," (",M657,")"),B657)</f>
        <v>Mángbĭng Xiāng</v>
      </c>
      <c r="D657" t="s">
        <v>1498</v>
      </c>
      <c r="E657" t="s">
        <v>7</v>
      </c>
      <c r="F657" t="str">
        <f>_xlfn.CONCAT(D657,", ",H657,", ",I657,", ","云南省")</f>
        <v>忙丙乡, 镇康县, 临沧市, 云南省</v>
      </c>
      <c r="G657">
        <v>22178</v>
      </c>
      <c r="H657" t="s">
        <v>2839</v>
      </c>
      <c r="I657" t="s">
        <v>2831</v>
      </c>
      <c r="J657" t="e">
        <f>VLOOKUP(F657,[1]!china_towns_second__2[[Column1]:[Y]],3,FALSE)</f>
        <v>#N/A</v>
      </c>
      <c r="K657" t="e">
        <f>VLOOKUP(F657,[1]!china_towns_second__2[[Column1]:[Y]],2,FALSE)</f>
        <v>#N/A</v>
      </c>
      <c r="L657" t="s">
        <v>4215</v>
      </c>
      <c r="M657" t="str">
        <f>VLOOKUP(H657,CHOOSE({1,2},Table17[Native],Table17[Name]),2,0)</f>
        <v>Zhènkāng Xiàn</v>
      </c>
      <c r="N657" s="15" t="str">
        <f>VLOOKUP(I657,CHOOSE({1,2},Table17[Native],Table17[Name]),2,0)</f>
        <v>Líncāng Shì</v>
      </c>
      <c r="O657" s="15" t="str">
        <f t="shared" si="20"/>
        <v>Mangbing Xiang (Líncāng Shì)</v>
      </c>
      <c r="P657" s="15" t="str">
        <f t="shared" si="21"/>
        <v>Mangbing Xiang (Líncāng Shì)</v>
      </c>
    </row>
    <row r="658" spans="1:16" hidden="1" x14ac:dyDescent="0.25">
      <c r="A658" t="s">
        <v>2587</v>
      </c>
      <c r="B658" t="str">
        <f>IF(COUNTIF(A:A,A658)&gt;1,_xlfn.CONCAT(A658," (",N658,")"),A658)</f>
        <v>Mángbù Zhèn</v>
      </c>
      <c r="C658" t="str">
        <f>IF(COUNTIF(B:B,B658)&gt;1,_xlfn.CONCAT(A658," (",M658,")"),B658)</f>
        <v>Mángbù Zhèn</v>
      </c>
      <c r="D658" t="s">
        <v>2588</v>
      </c>
      <c r="E658" t="s">
        <v>11</v>
      </c>
      <c r="F658" t="str">
        <f>_xlfn.CONCAT(D658,", ",H658,", ",I658,", ","云南省")</f>
        <v>芒部镇, 镇雄县, 昭通市, 云南省</v>
      </c>
      <c r="G658">
        <v>43102</v>
      </c>
      <c r="H658" t="s">
        <v>2910</v>
      </c>
      <c r="I658" t="s">
        <v>2899</v>
      </c>
      <c r="J658">
        <f>VLOOKUP(F658,[1]!china_towns_second__2[[Column1]:[Y]],3,FALSE)</f>
        <v>27.626370708537099</v>
      </c>
      <c r="K658">
        <f>VLOOKUP(F658,[1]!china_towns_second__2[[Column1]:[Y]],2,FALSE)</f>
        <v>104.84960649999999</v>
      </c>
      <c r="L658" t="s">
        <v>4216</v>
      </c>
      <c r="M658" t="str">
        <f>VLOOKUP(H658,CHOOSE({1,2},Table17[Native],Table17[Name]),2,0)</f>
        <v>Zhènxióng Xiàn</v>
      </c>
      <c r="N658" s="15" t="str">
        <f>VLOOKUP(I658,CHOOSE({1,2},Table17[Native],Table17[Name]),2,0)</f>
        <v>Zhāotōng Shì</v>
      </c>
      <c r="O658" s="15" t="str">
        <f t="shared" si="20"/>
        <v>Mangbu Zhen (Zhāotōng Shì)</v>
      </c>
      <c r="P658" s="15" t="str">
        <f t="shared" si="21"/>
        <v>Mangbu Zhen (Zhāotōng Shì)</v>
      </c>
    </row>
    <row r="659" spans="1:16" hidden="1" x14ac:dyDescent="0.25">
      <c r="A659" t="s">
        <v>637</v>
      </c>
      <c r="B659" t="str">
        <f>IF(COUNTIF(A:A,A659)&gt;1,_xlfn.CONCAT(A659," (",N659,")"),A659)</f>
        <v>Mángdōng Zhèn</v>
      </c>
      <c r="C659" t="str">
        <f>IF(COUNTIF(B:B,B659)&gt;1,_xlfn.CONCAT(A659," (",M659,")"),B659)</f>
        <v>Mángdōng Zhèn</v>
      </c>
      <c r="D659" t="s">
        <v>638</v>
      </c>
      <c r="E659" t="s">
        <v>11</v>
      </c>
      <c r="F659" t="str">
        <f>_xlfn.CONCAT(D659,", ",H659,", ",I659,", ","云南省")</f>
        <v>芒东镇, 梁河县, 德宏傣族景颇族自治州, 云南省</v>
      </c>
      <c r="G659">
        <v>29587</v>
      </c>
      <c r="H659" t="s">
        <v>2780</v>
      </c>
      <c r="I659" t="s">
        <v>2779</v>
      </c>
      <c r="J659">
        <f>VLOOKUP(F659,[1]!china_towns_second__2[[Column1]:[Y]],3,FALSE)</f>
        <v>24.669026515067198</v>
      </c>
      <c r="K659">
        <f>VLOOKUP(F659,[1]!china_towns_second__2[[Column1]:[Y]],2,FALSE)</f>
        <v>98.238410720000005</v>
      </c>
      <c r="L659" t="s">
        <v>4217</v>
      </c>
      <c r="M659" t="str">
        <f>VLOOKUP(H659,CHOOSE({1,2},Table17[Native],Table17[Name]),2,0)</f>
        <v>Liánghé Xiàn</v>
      </c>
      <c r="N659" s="15" t="str">
        <f>VLOOKUP(I659,CHOOSE({1,2},Table17[Native],Table17[Name]),2,0)</f>
        <v>Déhóng Dăizú Jĭngpōzú Zìzhìzhōu</v>
      </c>
      <c r="O659" s="15" t="str">
        <f t="shared" si="20"/>
        <v>Mangdong Zhen (Déhóng Dăizú Jĭngpōzú Zìzhìzhōu)</v>
      </c>
      <c r="P659" s="15" t="str">
        <f t="shared" si="21"/>
        <v>Mangdong Zhen (Déhóng Dăizú Jĭngpōzú Zìzhìzhōu)</v>
      </c>
    </row>
    <row r="660" spans="1:16" hidden="1" x14ac:dyDescent="0.25">
      <c r="A660" t="s">
        <v>639</v>
      </c>
      <c r="B660" t="str">
        <f>IF(COUNTIF(A:A,A660)&gt;1,_xlfn.CONCAT(A660," (",N660,")"),A660)</f>
        <v>Mánghăi Zhèn</v>
      </c>
      <c r="C660" t="str">
        <f>IF(COUNTIF(B:B,B660)&gt;1,_xlfn.CONCAT(A660," (",M660,")"),B660)</f>
        <v>Mánghăi Zhèn</v>
      </c>
      <c r="D660" t="s">
        <v>640</v>
      </c>
      <c r="E660" t="s">
        <v>11</v>
      </c>
      <c r="F660" t="str">
        <f>_xlfn.CONCAT(D660,", ",H660,", ",I660,", ","云南省")</f>
        <v>芒海镇, 芒市, 德宏傣族景颇族自治州, 云南省</v>
      </c>
      <c r="G660">
        <v>5641</v>
      </c>
      <c r="H660" t="s">
        <v>2782</v>
      </c>
      <c r="I660" t="s">
        <v>2779</v>
      </c>
      <c r="J660">
        <f>VLOOKUP(F660,[1]!china_towns_second__2[[Column1]:[Y]],3,FALSE)</f>
        <v>24.137164512403501</v>
      </c>
      <c r="K660">
        <f>VLOOKUP(F660,[1]!china_towns_second__2[[Column1]:[Y]],2,FALSE)</f>
        <v>98.336169519999999</v>
      </c>
      <c r="L660" t="s">
        <v>4218</v>
      </c>
      <c r="M660" t="str">
        <f>VLOOKUP(H660,CHOOSE({1,2},Table17[Native],Table17[Name]),2,0)</f>
        <v>Máng Shì</v>
      </c>
      <c r="N660" s="15" t="str">
        <f>VLOOKUP(I660,CHOOSE({1,2},Table17[Native],Table17[Name]),2,0)</f>
        <v>Déhóng Dăizú Jĭngpōzú Zìzhìzhōu</v>
      </c>
      <c r="O660" s="15" t="str">
        <f t="shared" si="20"/>
        <v>Manghai Zhen (Déhóng Dăizú Jĭngpōzú Zìzhìzhōu)</v>
      </c>
      <c r="P660" s="15" t="str">
        <f t="shared" si="21"/>
        <v>Manghai Zhen (Déhóng Dăizú Jĭngpōzú Zìzhìzhōu)</v>
      </c>
    </row>
    <row r="661" spans="1:16" hidden="1" x14ac:dyDescent="0.25">
      <c r="A661" t="s">
        <v>1499</v>
      </c>
      <c r="B661" t="str">
        <f>IF(COUNTIF(A:A,A661)&gt;1,_xlfn.CONCAT(A661," (",N661,")"),A661)</f>
        <v>Mánghóng Lāhùzú Bùlǎngzú Xiāng</v>
      </c>
      <c r="C661" t="str">
        <f>IF(COUNTIF(B:B,B661)&gt;1,_xlfn.CONCAT(A661," (",M661,")"),B661)</f>
        <v>Mánghóng Lāhùzú Bùlǎngzú Xiāng</v>
      </c>
      <c r="D661" t="s">
        <v>1500</v>
      </c>
      <c r="E661" t="s">
        <v>7</v>
      </c>
      <c r="F661" t="str">
        <f>_xlfn.CONCAT(D661,", ",H661,", ",I661,", ","云南省")</f>
        <v>芒洪拉祜族布朗族乡, 耿马傣族佤族自治县, 临沧市, 云南省</v>
      </c>
      <c r="G661">
        <v>8522</v>
      </c>
      <c r="H661" t="s">
        <v>2834</v>
      </c>
      <c r="I661" t="s">
        <v>2831</v>
      </c>
      <c r="J661" t="e">
        <f>VLOOKUP(F661,[1]!china_towns_second__2[[Column1]:[Y]],3,FALSE)</f>
        <v>#N/A</v>
      </c>
      <c r="K661" t="e">
        <f>VLOOKUP(F661,[1]!china_towns_second__2[[Column1]:[Y]],2,FALSE)</f>
        <v>#N/A</v>
      </c>
      <c r="L661" t="s">
        <v>4219</v>
      </c>
      <c r="M661" t="str">
        <f>VLOOKUP(H661,CHOOSE({1,2},Table17[Native],Table17[Name]),2,0)</f>
        <v>Gĕngmă Dăizú Wăzú Zìzhìxiàn</v>
      </c>
      <c r="N661" s="15" t="str">
        <f>VLOOKUP(I661,CHOOSE({1,2},Table17[Native],Table17[Name]),2,0)</f>
        <v>Líncāng Shì</v>
      </c>
      <c r="O661" s="15" t="str">
        <f t="shared" si="20"/>
        <v>Manghong Lahuzu Bulangzu Xiang (Líncāng Shì)</v>
      </c>
      <c r="P661" s="15" t="str">
        <f t="shared" si="21"/>
        <v>Manghong Lahuzu Bulangzu Xiang (Líncāng Shì)</v>
      </c>
    </row>
    <row r="662" spans="1:16" hidden="1" x14ac:dyDescent="0.25">
      <c r="A662" t="s">
        <v>1501</v>
      </c>
      <c r="B662" t="str">
        <f>IF(COUNTIF(A:A,A662)&gt;1,_xlfn.CONCAT(A662," (",N662,")"),A662)</f>
        <v>Mánghuái Yízú Bùlǎngzú Xiāng</v>
      </c>
      <c r="C662" t="str">
        <f>IF(COUNTIF(B:B,B662)&gt;1,_xlfn.CONCAT(A662," (",M662,")"),B662)</f>
        <v>Mánghuái Yízú Bùlǎngzú Xiāng</v>
      </c>
      <c r="D662" t="s">
        <v>1502</v>
      </c>
      <c r="E662" t="s">
        <v>7</v>
      </c>
      <c r="F662" t="str">
        <f>_xlfn.CONCAT(D662,", ",H662,", ",I662,", ","云南省")</f>
        <v>忙怀彝族布朗族, 云县, 临沧市, 云南省</v>
      </c>
      <c r="G662">
        <v>17665</v>
      </c>
      <c r="H662" t="s">
        <v>2838</v>
      </c>
      <c r="I662" t="s">
        <v>2831</v>
      </c>
      <c r="J662" t="e">
        <f>VLOOKUP(F662,[1]!china_towns_second__2[[Column1]:[Y]],3,FALSE)</f>
        <v>#N/A</v>
      </c>
      <c r="K662" t="e">
        <f>VLOOKUP(F662,[1]!china_towns_second__2[[Column1]:[Y]],2,FALSE)</f>
        <v>#N/A</v>
      </c>
      <c r="L662" t="s">
        <v>4220</v>
      </c>
      <c r="M662" t="str">
        <f>VLOOKUP(H662,CHOOSE({1,2},Table17[Native],Table17[Name]),2,0)</f>
        <v>Yún Xiàn</v>
      </c>
      <c r="N662" s="15" t="str">
        <f>VLOOKUP(I662,CHOOSE({1,2},Table17[Native],Table17[Name]),2,0)</f>
        <v>Líncāng Shì</v>
      </c>
      <c r="O662" s="15" t="str">
        <f t="shared" si="20"/>
        <v>Manghuai Yizu Bulangzu Xiang (Líncāng Shì)</v>
      </c>
      <c r="P662" s="15" t="str">
        <f t="shared" si="21"/>
        <v>Manghuai Yizu Bulangzu Xiang (Líncāng Shì)</v>
      </c>
    </row>
    <row r="663" spans="1:16" hidden="1" x14ac:dyDescent="0.25">
      <c r="A663" t="s">
        <v>1503</v>
      </c>
      <c r="B663" t="str">
        <f>IF(COUNTIF(A:A,A663)&gt;1,_xlfn.CONCAT(A663," (",N663,")"),A663)</f>
        <v>Mángkă Zhèn</v>
      </c>
      <c r="C663" t="str">
        <f>IF(COUNTIF(B:B,B663)&gt;1,_xlfn.CONCAT(A663," (",M663,")"),B663)</f>
        <v>Mángkă Zhèn</v>
      </c>
      <c r="D663" t="s">
        <v>1504</v>
      </c>
      <c r="E663" t="s">
        <v>11</v>
      </c>
      <c r="F663" t="str">
        <f>_xlfn.CONCAT(D663,", ",H663,", ",I663,", ","云南省")</f>
        <v>芒卡镇, 沧源佤族自治县, 临沧市, 云南省</v>
      </c>
      <c r="G663">
        <v>13689</v>
      </c>
      <c r="H663" t="s">
        <v>2832</v>
      </c>
      <c r="I663" t="s">
        <v>2831</v>
      </c>
      <c r="J663">
        <f>VLOOKUP(F663,[1]!china_towns_second__2[[Column1]:[Y]],3,FALSE)</f>
        <v>23.4166927799834</v>
      </c>
      <c r="K663">
        <f>VLOOKUP(F663,[1]!china_towns_second__2[[Column1]:[Y]],2,FALSE)</f>
        <v>98.975886200000005</v>
      </c>
      <c r="L663" t="s">
        <v>4221</v>
      </c>
      <c r="M663" t="str">
        <f>VLOOKUP(H663,CHOOSE({1,2},Table17[Native],Table17[Name]),2,0)</f>
        <v>Cāngyuán Wăzú Zìzhìxiàn</v>
      </c>
      <c r="N663" s="15" t="str">
        <f>VLOOKUP(I663,CHOOSE({1,2},Table17[Native],Table17[Name]),2,0)</f>
        <v>Líncāng Shì</v>
      </c>
      <c r="O663" s="15" t="str">
        <f t="shared" si="20"/>
        <v>Mangka Zhen (Líncāng Shì)</v>
      </c>
      <c r="P663" s="15" t="str">
        <f t="shared" si="21"/>
        <v>Mangka Zhen (Líncāng Shì)</v>
      </c>
    </row>
    <row r="664" spans="1:16" hidden="1" x14ac:dyDescent="0.25">
      <c r="A664" t="s">
        <v>77</v>
      </c>
      <c r="B664" t="str">
        <f>IF(COUNTIF(A:A,A664)&gt;1,_xlfn.CONCAT(A664," (",N664,")"),A664)</f>
        <v>Mángkuān Yízú Dăizú Xiāng</v>
      </c>
      <c r="C664" t="str">
        <f>IF(COUNTIF(B:B,B664)&gt;1,_xlfn.CONCAT(A664," (",M664,")"),B664)</f>
        <v>Mángkuān Yízú Dăizú Xiāng</v>
      </c>
      <c r="D664" t="s">
        <v>78</v>
      </c>
      <c r="E664" t="s">
        <v>7</v>
      </c>
      <c r="F664" t="str">
        <f>_xlfn.CONCAT(D664,", ",H664,", ",I664,", ","云南省")</f>
        <v>芒宽彝族傣族乡, 隆阳区, 保山市, 云南省</v>
      </c>
      <c r="G664">
        <v>44716</v>
      </c>
      <c r="H664" t="s">
        <v>2744</v>
      </c>
      <c r="I664" t="s">
        <v>2739</v>
      </c>
      <c r="J664" t="e">
        <f>VLOOKUP(F664,[1]!china_towns_second__2[[Column1]:[Y]],3,FALSE)</f>
        <v>#N/A</v>
      </c>
      <c r="K664" t="e">
        <f>VLOOKUP(F664,[1]!china_towns_second__2[[Column1]:[Y]],2,FALSE)</f>
        <v>#N/A</v>
      </c>
      <c r="L664" t="s">
        <v>4222</v>
      </c>
      <c r="M664" t="str">
        <f>VLOOKUP(H664,CHOOSE({1,2},Table17[Native],Table17[Name]),2,0)</f>
        <v>Lóngyáng Qū</v>
      </c>
      <c r="N664" s="15" t="str">
        <f>VLOOKUP(I664,CHOOSE({1,2},Table17[Native],Table17[Name]),2,0)</f>
        <v>Băoshān Shì</v>
      </c>
      <c r="O664" s="15" t="str">
        <f t="shared" si="20"/>
        <v>Mangkuan Yizu Daizu Xiang (Băoshān Shì)</v>
      </c>
      <c r="P664" s="15" t="str">
        <f t="shared" si="21"/>
        <v>Mangkuan Yizu Daizu Xiang (Băoshān Shì)</v>
      </c>
    </row>
    <row r="665" spans="1:16" hidden="1" x14ac:dyDescent="0.25">
      <c r="A665" t="s">
        <v>1505</v>
      </c>
      <c r="B665" t="str">
        <f>IF(COUNTIF(A:A,A665)&gt;1,_xlfn.CONCAT(A665," (",N665,")"),A665)</f>
        <v>Mángnuò Xiāng</v>
      </c>
      <c r="C665" t="str">
        <f>IF(COUNTIF(B:B,B665)&gt;1,_xlfn.CONCAT(A665," (",M665,")"),B665)</f>
        <v>Mángnuò Xiāng</v>
      </c>
      <c r="D665" t="s">
        <v>1506</v>
      </c>
      <c r="E665" t="s">
        <v>7</v>
      </c>
      <c r="F665" t="str">
        <f>_xlfn.CONCAT(D665,", ",H665,", ",I665,", ","云南省")</f>
        <v>忙糯乡, 双江拉祜族佤族布朗族傣族自治县, 临沧市, 云南省</v>
      </c>
      <c r="G665">
        <v>22545</v>
      </c>
      <c r="H665" t="s">
        <v>2836</v>
      </c>
      <c r="I665" t="s">
        <v>2831</v>
      </c>
      <c r="J665" t="e">
        <f>VLOOKUP(F665,[1]!china_towns_second__2[[Column1]:[Y]],3,FALSE)</f>
        <v>#N/A</v>
      </c>
      <c r="K665" t="e">
        <f>VLOOKUP(F665,[1]!china_towns_second__2[[Column1]:[Y]],2,FALSE)</f>
        <v>#N/A</v>
      </c>
      <c r="L665" t="s">
        <v>4223</v>
      </c>
      <c r="M665" t="str">
        <f>VLOOKUP(H665,CHOOSE({1,2},Table17[Native],Table17[Name]),2,0)</f>
        <v>Shuāngjiāng Lāhùzú Wăzú Bùlăngzú Dăizú Zìzhìxiàn</v>
      </c>
      <c r="N665" s="15" t="str">
        <f>VLOOKUP(I665,CHOOSE({1,2},Table17[Native],Table17[Name]),2,0)</f>
        <v>Líncāng Shì</v>
      </c>
      <c r="O665" s="15" t="str">
        <f t="shared" si="20"/>
        <v>Mangnuo Xiang (Líncāng Shì)</v>
      </c>
      <c r="P665" s="15" t="str">
        <f t="shared" si="21"/>
        <v>Mangnuo Xiang (Líncāng Shì)</v>
      </c>
    </row>
    <row r="666" spans="1:16" hidden="1" x14ac:dyDescent="0.25">
      <c r="A666" t="s">
        <v>1507</v>
      </c>
      <c r="B666" t="str">
        <f>IF(COUNTIF(A:A,A666)&gt;1,_xlfn.CONCAT(A666," (",N666,")"),A666)</f>
        <v>Mángpàn Jiēdào</v>
      </c>
      <c r="C666" t="str">
        <f>IF(COUNTIF(B:B,B666)&gt;1,_xlfn.CONCAT(A666," (",M666,")"),B666)</f>
        <v>Mángpàn Jiēdào</v>
      </c>
      <c r="D666" t="s">
        <v>1508</v>
      </c>
      <c r="E666" t="s">
        <v>42</v>
      </c>
      <c r="F666" t="str">
        <f>_xlfn.CONCAT(D666,", ",H666,", ",I666,", ","云南省")</f>
        <v>忙畔街道, 临翔区, 临沧市, 云南省</v>
      </c>
      <c r="G666">
        <v>42775</v>
      </c>
      <c r="H666" t="s">
        <v>2835</v>
      </c>
      <c r="I666" t="s">
        <v>2831</v>
      </c>
      <c r="J666">
        <f>VLOOKUP(F666,[1]!china_towns_second__2[[Column1]:[Y]],3,FALSE)</f>
        <v>23.971669353228801</v>
      </c>
      <c r="K666">
        <f>VLOOKUP(F666,[1]!china_towns_second__2[[Column1]:[Y]],2,FALSE)</f>
        <v>100.1393875</v>
      </c>
      <c r="L666" t="s">
        <v>4224</v>
      </c>
      <c r="M666" t="str">
        <f>VLOOKUP(H666,CHOOSE({1,2},Table17[Native],Table17[Name]),2,0)</f>
        <v>Línxiáng Qū</v>
      </c>
      <c r="N666" s="15" t="str">
        <f>VLOOKUP(I666,CHOOSE({1,2},Table17[Native],Table17[Name]),2,0)</f>
        <v>Líncāng Shì</v>
      </c>
      <c r="O666" s="15" t="str">
        <f t="shared" si="20"/>
        <v>Mangpan Jiedao (Líncāng Shì)</v>
      </c>
      <c r="P666" s="15" t="str">
        <f t="shared" si="21"/>
        <v>Mangpan Jiedao (Líncāng Shì)</v>
      </c>
    </row>
    <row r="667" spans="1:16" hidden="1" x14ac:dyDescent="0.25">
      <c r="A667" t="s">
        <v>641</v>
      </c>
      <c r="B667" t="str">
        <f>IF(COUNTIF(A:A,A667)&gt;1,_xlfn.CONCAT(A667," (",N667,")"),A667)</f>
        <v>Mángshì Zhèn</v>
      </c>
      <c r="C667" t="str">
        <f>IF(COUNTIF(B:B,B667)&gt;1,_xlfn.CONCAT(A667," (",M667,")"),B667)</f>
        <v>Mángshì Zhèn</v>
      </c>
      <c r="D667" t="s">
        <v>642</v>
      </c>
      <c r="E667" t="s">
        <v>11</v>
      </c>
      <c r="F667" t="str">
        <f>_xlfn.CONCAT(D667,", ",H667,", ",I667,", ","云南省")</f>
        <v>芒市镇, 芒市, 德宏傣族景颇族自治州, 云南省</v>
      </c>
      <c r="G667">
        <v>46353</v>
      </c>
      <c r="H667" t="s">
        <v>2782</v>
      </c>
      <c r="I667" t="s">
        <v>2779</v>
      </c>
      <c r="J667">
        <f>VLOOKUP(F667,[1]!china_towns_second__2[[Column1]:[Y]],3,FALSE)</f>
        <v>24.4818629954509</v>
      </c>
      <c r="K667">
        <f>VLOOKUP(F667,[1]!china_towns_second__2[[Column1]:[Y]],2,FALSE)</f>
        <v>98.62118778</v>
      </c>
      <c r="L667" t="s">
        <v>4225</v>
      </c>
      <c r="M667" t="str">
        <f>VLOOKUP(H667,CHOOSE({1,2},Table17[Native],Table17[Name]),2,0)</f>
        <v>Máng Shì</v>
      </c>
      <c r="N667" s="15" t="str">
        <f>VLOOKUP(I667,CHOOSE({1,2},Table17[Native],Table17[Name]),2,0)</f>
        <v>Déhóng Dăizú Jĭngpōzú Zìzhìzhōu</v>
      </c>
      <c r="O667" s="15" t="str">
        <f t="shared" si="20"/>
        <v>Mangshi Zhen (Déhóng Dăizú Jĭngpōzú Zìzhìzhōu)</v>
      </c>
      <c r="P667" s="15" t="str">
        <f t="shared" si="21"/>
        <v>Mangshi Zhen (Déhóng Dăizú Jĭngpōzú Zìzhìzhōu)</v>
      </c>
    </row>
    <row r="668" spans="1:16" hidden="1" x14ac:dyDescent="0.25">
      <c r="A668" t="s">
        <v>79</v>
      </c>
      <c r="B668" t="str">
        <f>IF(COUNTIF(A:A,A668)&gt;1,_xlfn.CONCAT(A668," (",N668,")"),A668)</f>
        <v>Măngshuĭ Zhèn</v>
      </c>
      <c r="C668" t="str">
        <f>IF(COUNTIF(B:B,B668)&gt;1,_xlfn.CONCAT(A668," (",M668,")"),B668)</f>
        <v>Măngshuĭ Zhèn</v>
      </c>
      <c r="D668" t="s">
        <v>80</v>
      </c>
      <c r="E668" t="s">
        <v>11</v>
      </c>
      <c r="F668" t="str">
        <f>_xlfn.CONCAT(D668,", ",H668,", ",I668,", ","云南省")</f>
        <v>漭水镇, 昌宁县, 保山市, 云南省</v>
      </c>
      <c r="G668">
        <v>28638</v>
      </c>
      <c r="H668" t="s">
        <v>2741</v>
      </c>
      <c r="I668" t="s">
        <v>2739</v>
      </c>
      <c r="J668">
        <f>VLOOKUP(F668,[1]!china_towns_second__2[[Column1]:[Y]],3,FALSE)</f>
        <v>24.927077665835</v>
      </c>
      <c r="K668">
        <f>VLOOKUP(F668,[1]!china_towns_second__2[[Column1]:[Y]],2,FALSE)</f>
        <v>99.694071570000006</v>
      </c>
      <c r="L668" t="s">
        <v>4226</v>
      </c>
      <c r="M668" t="str">
        <f>VLOOKUP(H668,CHOOSE({1,2},Table17[Native],Table17[Name]),2,0)</f>
        <v>Chāngníng Xiàn</v>
      </c>
      <c r="N668" s="15" t="str">
        <f>VLOOKUP(I668,CHOOSE({1,2},Table17[Native],Table17[Name]),2,0)</f>
        <v>Băoshān Shì</v>
      </c>
      <c r="O668" s="15" t="str">
        <f t="shared" si="20"/>
        <v>Mangshui Zhen (Băoshān Shì)</v>
      </c>
      <c r="P668" s="15" t="str">
        <f t="shared" si="21"/>
        <v>Mangshui Zhen (Băoshān Shì)</v>
      </c>
    </row>
    <row r="669" spans="1:16" hidden="1" x14ac:dyDescent="0.25">
      <c r="A669" t="s">
        <v>1741</v>
      </c>
      <c r="B669" t="str">
        <f>IF(COUNTIF(A:A,A669)&gt;1,_xlfn.CONCAT(A669," (",N669,")"),A669)</f>
        <v>Mángxìn Zhèn</v>
      </c>
      <c r="C669" t="str">
        <f>IF(COUNTIF(B:B,B669)&gt;1,_xlfn.CONCAT(A669," (",M669,")"),B669)</f>
        <v>Mángxìn Zhèn</v>
      </c>
      <c r="D669" t="s">
        <v>1742</v>
      </c>
      <c r="E669" t="s">
        <v>11</v>
      </c>
      <c r="F669" t="str">
        <f>_xlfn.CONCAT(D669,", ",H669,", ",I669,", ","云南省")</f>
        <v>芒信镇, 孟连傣族拉祜族佤族自治县, 普洱市, 云南省</v>
      </c>
      <c r="G669">
        <v>16939</v>
      </c>
      <c r="H669" t="s">
        <v>2853</v>
      </c>
      <c r="I669" t="s">
        <v>2848</v>
      </c>
      <c r="J669">
        <f>VLOOKUP(F669,[1]!china_towns_second__2[[Column1]:[Y]],3,FALSE)</f>
        <v>22.204636891478199</v>
      </c>
      <c r="K669">
        <f>VLOOKUP(F669,[1]!china_towns_second__2[[Column1]:[Y]],2,FALSE)</f>
        <v>99.592583340000004</v>
      </c>
      <c r="L669" t="s">
        <v>4227</v>
      </c>
      <c r="M669" t="str">
        <f>VLOOKUP(H669,CHOOSE({1,2},Table17[Native],Table17[Name]),2,0)</f>
        <v>Mènglián Dăizú Lāhùzú Wăzú Zìzhìxiàn</v>
      </c>
      <c r="N669" s="15" t="str">
        <f>VLOOKUP(I669,CHOOSE({1,2},Table17[Native],Table17[Name]),2,0)</f>
        <v>Pŭ'ĕr Shì</v>
      </c>
      <c r="O669" s="15" t="str">
        <f t="shared" si="20"/>
        <v>Mangxin Zhen (Pŭ'ĕr Shì)</v>
      </c>
      <c r="P669" s="15" t="str">
        <f t="shared" si="21"/>
        <v>Mangxin Zhen (Pŭ'ĕr Shì)</v>
      </c>
    </row>
    <row r="670" spans="1:16" hidden="1" x14ac:dyDescent="0.25">
      <c r="A670" t="s">
        <v>643</v>
      </c>
      <c r="B670" t="str">
        <f>IF(COUNTIF(A:A,A670)&gt;1,_xlfn.CONCAT(A670," (",N670,")"),A670)</f>
        <v>Mángzhāng Xiāng</v>
      </c>
      <c r="C670" t="str">
        <f>IF(COUNTIF(B:B,B670)&gt;1,_xlfn.CONCAT(A670," (",M670,")"),B670)</f>
        <v>Mángzhāng Xiāng</v>
      </c>
      <c r="D670" t="s">
        <v>644</v>
      </c>
      <c r="E670" t="s">
        <v>7</v>
      </c>
      <c r="F670" t="str">
        <f>_xlfn.CONCAT(D670,", ",H670,", ",I670,", ","云南省")</f>
        <v>芒章乡, 盈江县, 德宏傣族景颇族自治州, 云南省</v>
      </c>
      <c r="G670">
        <v>11583</v>
      </c>
      <c r="H670" t="s">
        <v>2784</v>
      </c>
      <c r="I670" t="s">
        <v>2779</v>
      </c>
      <c r="J670" t="e">
        <f>VLOOKUP(F670,[1]!china_towns_second__2[[Column1]:[Y]],3,FALSE)</f>
        <v>#N/A</v>
      </c>
      <c r="K670" t="e">
        <f>VLOOKUP(F670,[1]!china_towns_second__2[[Column1]:[Y]],2,FALSE)</f>
        <v>#N/A</v>
      </c>
      <c r="L670" t="s">
        <v>4228</v>
      </c>
      <c r="M670" t="str">
        <f>VLOOKUP(H670,CHOOSE({1,2},Table17[Native],Table17[Name]),2,0)</f>
        <v>Yíngjiāng Xiàn</v>
      </c>
      <c r="N670" s="15" t="str">
        <f>VLOOKUP(I670,CHOOSE({1,2},Table17[Native],Table17[Name]),2,0)</f>
        <v>Déhóng Dăizú Jĭngpōzú Zìzhìzhōu</v>
      </c>
      <c r="O670" s="15" t="str">
        <f t="shared" si="20"/>
        <v>Mangzhang Xiang (Déhóng Dăizú Jĭngpōzú Zìzhìzhōu)</v>
      </c>
      <c r="P670" s="15" t="str">
        <f t="shared" si="21"/>
        <v>Mangzhang Xiang (Déhóng Dăizú Jĭngpōzú Zìzhìzhōu)</v>
      </c>
    </row>
    <row r="671" spans="1:16" hidden="1" x14ac:dyDescent="0.25">
      <c r="A671" t="s">
        <v>905</v>
      </c>
      <c r="B671" t="str">
        <f>IF(COUNTIF(A:A,A671)&gt;1,_xlfn.CONCAT(A671," (",N671,")"),A671)</f>
        <v>Mànhào Zhèn</v>
      </c>
      <c r="C671" t="str">
        <f>IF(COUNTIF(B:B,B671)&gt;1,_xlfn.CONCAT(A671," (",M671,")"),B671)</f>
        <v>Mànhào Zhèn</v>
      </c>
      <c r="D671" t="s">
        <v>906</v>
      </c>
      <c r="E671" t="s">
        <v>11</v>
      </c>
      <c r="F671" t="str">
        <f>_xlfn.CONCAT(D671,", ",H671,", ",I671,", ","云南省")</f>
        <v>蔓耗镇, 个旧市, 红河哈尼族彝族自治州, 云南省</v>
      </c>
      <c r="G671">
        <v>8527</v>
      </c>
      <c r="H671" t="s">
        <v>2793</v>
      </c>
      <c r="I671" t="s">
        <v>2792</v>
      </c>
      <c r="J671">
        <f>VLOOKUP(F671,[1]!china_towns_second__2[[Column1]:[Y]],3,FALSE)</f>
        <v>23.070215104694402</v>
      </c>
      <c r="K671">
        <f>VLOOKUP(F671,[1]!china_towns_second__2[[Column1]:[Y]],2,FALSE)</f>
        <v>103.26325660000001</v>
      </c>
      <c r="L671" t="s">
        <v>4229</v>
      </c>
      <c r="M671" t="str">
        <f>VLOOKUP(H671,CHOOSE({1,2},Table17[Native],Table17[Name]),2,0)</f>
        <v>Gèjiù Shì</v>
      </c>
      <c r="N671" s="15" t="str">
        <f>VLOOKUP(I671,CHOOSE({1,2},Table17[Native],Table17[Name]),2,0)</f>
        <v>Hónghé Hānízú Yízú Zìzhìzhōu</v>
      </c>
      <c r="O671" s="15" t="str">
        <f t="shared" si="20"/>
        <v>Manhao Zhen (Hónghé Hānízú Yízú Zìzhìzhōu)</v>
      </c>
      <c r="P671" s="15" t="str">
        <f t="shared" si="21"/>
        <v>Manhao Zhen (Hónghé Hānízú Yízú Zìzhìzhōu)</v>
      </c>
    </row>
    <row r="672" spans="1:16" hidden="1" x14ac:dyDescent="0.25">
      <c r="A672" t="s">
        <v>482</v>
      </c>
      <c r="B672" t="str">
        <f>IF(COUNTIF(A:A,A672)&gt;1,_xlfn.CONCAT(A672," (",N672,")"),A672)</f>
        <v>Mănjiāng Jiēdào</v>
      </c>
      <c r="C672" t="str">
        <f>IF(COUNTIF(B:B,B672)&gt;1,_xlfn.CONCAT(A672," (",M672,")"),B672)</f>
        <v>Mănjiāng Jiēdào</v>
      </c>
      <c r="D672" t="s">
        <v>483</v>
      </c>
      <c r="E672" t="s">
        <v>42</v>
      </c>
      <c r="F672" t="str">
        <f>_xlfn.CONCAT(D672,", ",H672,", ",I672,", ","云南省")</f>
        <v>满江街道, 大理市, 大理白族自治州, 云南省</v>
      </c>
      <c r="G672">
        <v>22005</v>
      </c>
      <c r="H672" t="s">
        <v>2765</v>
      </c>
      <c r="I672" t="s">
        <v>2763</v>
      </c>
      <c r="J672">
        <f>VLOOKUP(F672,[1]!china_towns_second__2[[Column1]:[Y]],3,FALSE)</f>
        <v>25.6298234153987</v>
      </c>
      <c r="K672">
        <f>VLOOKUP(F672,[1]!china_towns_second__2[[Column1]:[Y]],2,FALSE)</f>
        <v>100.2982481</v>
      </c>
      <c r="L672" t="s">
        <v>4230</v>
      </c>
      <c r="M672" t="str">
        <f>VLOOKUP(H672,CHOOSE({1,2},Table17[Native],Table17[Name]),2,0)</f>
        <v>Dàlĭ Shì</v>
      </c>
      <c r="N672" s="15" t="str">
        <f>VLOOKUP(I672,CHOOSE({1,2},Table17[Native],Table17[Name]),2,0)</f>
        <v>Dàlĭ Báizú Zìzhìzhōu</v>
      </c>
      <c r="O672" s="15" t="str">
        <f t="shared" si="20"/>
        <v>Manjiang Jiedao (Dàlĭ Báizú Zìzhìzhōu)</v>
      </c>
      <c r="P672" s="15" t="str">
        <f t="shared" si="21"/>
        <v>Manjiang Jiedao (Dàlĭ Báizú Zìzhìzhōu)</v>
      </c>
    </row>
    <row r="673" spans="1:16" hidden="1" x14ac:dyDescent="0.25">
      <c r="A673" t="s">
        <v>2396</v>
      </c>
      <c r="B673" t="str">
        <f>IF(COUNTIF(A:A,A673)&gt;1,_xlfn.CONCAT(A673," (",N673,")"),A673)</f>
        <v>Mànlái Zhèn [incl. Dōng'é Zhèn, Yángchàjiē Xiāng]</v>
      </c>
      <c r="C673" t="str">
        <f>IF(COUNTIF(B:B,B673)&gt;1,_xlfn.CONCAT(A673," (",M673,")"),B673)</f>
        <v>Mànlái Zhèn [incl. Dōng'é Zhèn, Yángchàjiē Xiāng]</v>
      </c>
      <c r="D673" t="s">
        <v>2397</v>
      </c>
      <c r="E673" t="s">
        <v>11</v>
      </c>
      <c r="F673" t="str">
        <f>_xlfn.CONCAT(D673,", ",H673,", ",I673,", ","云南省")</f>
        <v>曼来镇, 元江哈尼族彝族傣族自治县, 玉溪市, 云南省</v>
      </c>
      <c r="G673">
        <v>28639</v>
      </c>
      <c r="H673" t="s">
        <v>2897</v>
      </c>
      <c r="I673" t="s">
        <v>2888</v>
      </c>
      <c r="J673">
        <f>VLOOKUP(F673,[1]!china_towns_second__2[[Column1]:[Y]],3,FALSE)</f>
        <v>23.641989654804799</v>
      </c>
      <c r="K673">
        <f>VLOOKUP(F673,[1]!china_towns_second__2[[Column1]:[Y]],2,FALSE)</f>
        <v>101.78890370000001</v>
      </c>
      <c r="L673" t="s">
        <v>4231</v>
      </c>
      <c r="M673" t="str">
        <f>VLOOKUP(H673,CHOOSE({1,2},Table17[Native],Table17[Name]),2,0)</f>
        <v>Yuánjiāng Hānízú Yízú Dăizú Zìzhìxiàn</v>
      </c>
      <c r="N673" s="15" t="str">
        <f>VLOOKUP(I673,CHOOSE({1,2},Table17[Native],Table17[Name]),2,0)</f>
        <v>Yùxī Shì</v>
      </c>
      <c r="O673" s="15" t="str">
        <f t="shared" si="20"/>
        <v>Manlai Zhen [incl. Dong'e Zhen, Yangchajie Xiang] (Yùxī Shì)</v>
      </c>
      <c r="P673" s="15" t="str">
        <f t="shared" si="21"/>
        <v>Manlai Zhen [incl. Dong'e Zhen, Yangchajie Xiang] (Yùxī Shì)</v>
      </c>
    </row>
    <row r="674" spans="1:16" hidden="1" x14ac:dyDescent="0.25">
      <c r="A674" t="s">
        <v>1509</v>
      </c>
      <c r="B674" t="str">
        <f>IF(COUNTIF(A:A,A674)&gt;1,_xlfn.CONCAT(A674," (",N674,")"),A674)</f>
        <v>Mànwān Zhèn (Líncāng Shì)</v>
      </c>
      <c r="C674" t="str">
        <f>IF(COUNTIF(B:B,B674)&gt;1,_xlfn.CONCAT(A674," (",M674,")"),B674)</f>
        <v>Mànwān Zhèn (Líncāng Shì)</v>
      </c>
      <c r="D674" t="s">
        <v>1510</v>
      </c>
      <c r="E674" t="s">
        <v>11</v>
      </c>
      <c r="F674" t="str">
        <f>_xlfn.CONCAT(D674,", ",H674,", ",I674,", ","云南省")</f>
        <v>漫湾镇, 云县, 临沧市, 云南省</v>
      </c>
      <c r="G674">
        <v>23617</v>
      </c>
      <c r="H674" t="s">
        <v>2838</v>
      </c>
      <c r="I674" t="s">
        <v>2831</v>
      </c>
      <c r="J674">
        <f>VLOOKUP(F674,[1]!china_towns_second__2[[Column1]:[Y]],3,FALSE)</f>
        <v>24.646896087498401</v>
      </c>
      <c r="K674">
        <f>VLOOKUP(F674,[1]!china_towns_second__2[[Column1]:[Y]],2,FALSE)</f>
        <v>100.3730625</v>
      </c>
      <c r="L674" t="s">
        <v>4232</v>
      </c>
      <c r="M674" t="str">
        <f>VLOOKUP(H674,CHOOSE({1,2},Table17[Native],Table17[Name]),2,0)</f>
        <v>Yún Xiàn</v>
      </c>
      <c r="N674" s="15" t="str">
        <f>VLOOKUP(I674,CHOOSE({1,2},Table17[Native],Table17[Name]),2,0)</f>
        <v>Líncāng Shì</v>
      </c>
      <c r="O674" s="15" t="str">
        <f t="shared" si="20"/>
        <v>Manwan Zhen (Lincang Shi) (Líncāng Shì)</v>
      </c>
      <c r="P674" s="15" t="str">
        <f t="shared" si="21"/>
        <v>Manwan Zhen (Lincang Shi) (Líncāng Shì)</v>
      </c>
    </row>
    <row r="675" spans="1:16" hidden="1" x14ac:dyDescent="0.25">
      <c r="A675" t="s">
        <v>1509</v>
      </c>
      <c r="B675" t="str">
        <f>IF(COUNTIF(A:A,A675)&gt;1,_xlfn.CONCAT(A675," (",N675,")"),A675)</f>
        <v>Mànwān Zhèn (Pŭ'ĕr Shì)</v>
      </c>
      <c r="C675" t="str">
        <f>IF(COUNTIF(B:B,B675)&gt;1,_xlfn.CONCAT(A675," (",M675,")"),B675)</f>
        <v>Mànwān Zhèn (Pŭ'ĕr Shì)</v>
      </c>
      <c r="D675" t="s">
        <v>1510</v>
      </c>
      <c r="E675" t="s">
        <v>11</v>
      </c>
      <c r="F675" t="str">
        <f>_xlfn.CONCAT(D675,", ",H675,", ",I675,", ","云南省")</f>
        <v>漫湾镇, 景东彝族自治县, 普洱市, 云南省</v>
      </c>
      <c r="G675">
        <v>19842</v>
      </c>
      <c r="H675" t="s">
        <v>2850</v>
      </c>
      <c r="I675" t="s">
        <v>2848</v>
      </c>
      <c r="J675">
        <f>VLOOKUP(F675,[1]!china_towns_second__2[[Column1]:[Y]],3,FALSE)</f>
        <v>24.6254175223552</v>
      </c>
      <c r="K675">
        <f>VLOOKUP(F675,[1]!china_towns_second__2[[Column1]:[Y]],2,FALSE)</f>
        <v>100.51585489999999</v>
      </c>
      <c r="L675" t="s">
        <v>4233</v>
      </c>
      <c r="M675" t="str">
        <f>VLOOKUP(H675,CHOOSE({1,2},Table17[Native],Table17[Name]),2,0)</f>
        <v>Jĭngdōng Yízú Zìzhìxiàn</v>
      </c>
      <c r="N675" s="15" t="str">
        <f>VLOOKUP(I675,CHOOSE({1,2},Table17[Native],Table17[Name]),2,0)</f>
        <v>Pŭ'ĕr Shì</v>
      </c>
      <c r="O675" s="15" t="str">
        <f t="shared" si="20"/>
        <v>Manwan Zhen (Pu'er Shi) (Pŭ'ĕr Shì)</v>
      </c>
      <c r="P675" s="15" t="str">
        <f t="shared" si="21"/>
        <v>Manwan Zhen (Pu'er Shi) (Pŭ'ĕr Shì)</v>
      </c>
    </row>
    <row r="676" spans="1:16" hidden="1" x14ac:dyDescent="0.25">
      <c r="A676" t="s">
        <v>271</v>
      </c>
      <c r="B676" t="str">
        <f>IF(COUNTIF(A:A,A676)&gt;1,_xlfn.CONCAT(A676," (",N676,")"),A676)</f>
        <v>Māojiē Zhèn</v>
      </c>
      <c r="C676" t="str">
        <f>IF(COUNTIF(B:B,B676)&gt;1,_xlfn.CONCAT(A676," (",M676,")"),B676)</f>
        <v>Māojiē Zhèn</v>
      </c>
      <c r="D676" t="s">
        <v>272</v>
      </c>
      <c r="E676" t="s">
        <v>11</v>
      </c>
      <c r="F676" t="str">
        <f>_xlfn.CONCAT(D676,", ",H676,", ",I676,", ","云南省")</f>
        <v>猫街镇, 武定县, 楚雄彝族自治州, 云南省</v>
      </c>
      <c r="G676">
        <v>26047</v>
      </c>
      <c r="H676" t="s">
        <v>2757</v>
      </c>
      <c r="I676" t="s">
        <v>2750</v>
      </c>
      <c r="J676">
        <f>VLOOKUP(F676,[1]!china_towns_second__2[[Column1]:[Y]],3,FALSE)</f>
        <v>25.473711990068601</v>
      </c>
      <c r="K676">
        <f>VLOOKUP(F676,[1]!china_towns_second__2[[Column1]:[Y]],2,FALSE)</f>
        <v>102.13074400000001</v>
      </c>
      <c r="L676" t="s">
        <v>4234</v>
      </c>
      <c r="M676" t="str">
        <f>VLOOKUP(H676,CHOOSE({1,2},Table17[Native],Table17[Name]),2,0)</f>
        <v>Wŭdìng Xiàn</v>
      </c>
      <c r="N676" s="15" t="str">
        <f>VLOOKUP(I676,CHOOSE({1,2},Table17[Native],Table17[Name]),2,0)</f>
        <v>Chŭxióng Yízú Zìzhìzhōu</v>
      </c>
      <c r="O676" s="15" t="str">
        <f t="shared" si="20"/>
        <v>Maojie Zhen (Chŭxióng Yízú Zìzhìzhōu)</v>
      </c>
      <c r="P676" s="15" t="str">
        <f t="shared" si="21"/>
        <v>Maojie Zhen (Chŭxióng Yízú Zìzhìzhōu)</v>
      </c>
    </row>
    <row r="677" spans="1:16" hidden="1" x14ac:dyDescent="0.25">
      <c r="A677" t="s">
        <v>1511</v>
      </c>
      <c r="B677" t="str">
        <f>IF(COUNTIF(A:A,A677)&gt;1,_xlfn.CONCAT(A677," (",N677,")"),A677)</f>
        <v>Màolán Zhèn</v>
      </c>
      <c r="C677" t="str">
        <f>IF(COUNTIF(B:B,B677)&gt;1,_xlfn.CONCAT(A677," (",M677,")"),B677)</f>
        <v>Màolán Zhèn</v>
      </c>
      <c r="D677" t="s">
        <v>1512</v>
      </c>
      <c r="E677" t="s">
        <v>11</v>
      </c>
      <c r="F677" t="str">
        <f>_xlfn.CONCAT(D677,", ",H677,", ",I677,", ","云南省")</f>
        <v>茂兰镇, 云县, 临沧市, 云南省</v>
      </c>
      <c r="G677">
        <v>43925</v>
      </c>
      <c r="H677" t="s">
        <v>2838</v>
      </c>
      <c r="I677" t="s">
        <v>2831</v>
      </c>
      <c r="J677">
        <f>VLOOKUP(F677,[1]!china_towns_second__2[[Column1]:[Y]],3,FALSE)</f>
        <v>24.601853302793302</v>
      </c>
      <c r="K677">
        <f>VLOOKUP(F677,[1]!china_towns_second__2[[Column1]:[Y]],2,FALSE)</f>
        <v>100.2709552</v>
      </c>
      <c r="L677" t="s">
        <v>4235</v>
      </c>
      <c r="M677" t="str">
        <f>VLOOKUP(H677,CHOOSE({1,2},Table17[Native],Table17[Name]),2,0)</f>
        <v>Yún Xiàn</v>
      </c>
      <c r="N677" s="15" t="str">
        <f>VLOOKUP(I677,CHOOSE({1,2},Table17[Native],Table17[Name]),2,0)</f>
        <v>Líncāng Shì</v>
      </c>
      <c r="O677" s="15" t="str">
        <f t="shared" si="20"/>
        <v>Maolan Zhen (Líncāng Shì)</v>
      </c>
      <c r="P677" s="15" t="str">
        <f t="shared" si="21"/>
        <v>Maolan Zhen (Líncāng Shì)</v>
      </c>
    </row>
    <row r="678" spans="1:16" hidden="1" x14ac:dyDescent="0.25">
      <c r="A678" t="s">
        <v>2589</v>
      </c>
      <c r="B678" t="str">
        <f>IF(COUNTIF(A:A,A678)&gt;1,_xlfn.CONCAT(A678," (",N678,")"),A678)</f>
        <v>Màolín Zhèn</v>
      </c>
      <c r="C678" t="str">
        <f>IF(COUNTIF(B:B,B678)&gt;1,_xlfn.CONCAT(A678," (",M678,")"),B678)</f>
        <v>Màolín Zhèn</v>
      </c>
      <c r="D678" t="s">
        <v>2590</v>
      </c>
      <c r="E678" t="s">
        <v>11</v>
      </c>
      <c r="F678" t="str">
        <f>_xlfn.CONCAT(D678,", ",H678,", ",I678,", ","云南省")</f>
        <v>茂林镇, 永善县, 昭通市, 云南省</v>
      </c>
      <c r="G678">
        <v>21018</v>
      </c>
      <c r="H678" t="s">
        <v>2908</v>
      </c>
      <c r="I678" t="s">
        <v>2899</v>
      </c>
      <c r="J678">
        <f>VLOOKUP(F678,[1]!china_towns_second__2[[Column1]:[Y]],3,FALSE)</f>
        <v>27.648533178620799</v>
      </c>
      <c r="K678">
        <f>VLOOKUP(F678,[1]!china_towns_second__2[[Column1]:[Y]],2,FALSE)</f>
        <v>103.6294426</v>
      </c>
      <c r="L678" t="s">
        <v>4236</v>
      </c>
      <c r="M678" t="str">
        <f>VLOOKUP(H678,CHOOSE({1,2},Table17[Native],Table17[Name]),2,0)</f>
        <v>Yŏngshàn Xiàn</v>
      </c>
      <c r="N678" s="15" t="str">
        <f>VLOOKUP(I678,CHOOSE({1,2},Table17[Native],Table17[Name]),2,0)</f>
        <v>Zhāotōng Shì</v>
      </c>
      <c r="O678" s="15" t="str">
        <f t="shared" si="20"/>
        <v>Maolin Zhen (Zhāotōng Shì)</v>
      </c>
      <c r="P678" s="15" t="str">
        <f t="shared" si="21"/>
        <v>Maolin Zhen (Zhāotōng Shì)</v>
      </c>
    </row>
    <row r="679" spans="1:16" hidden="1" x14ac:dyDescent="0.25">
      <c r="A679" t="s">
        <v>1190</v>
      </c>
      <c r="B679" t="str">
        <f>IF(COUNTIF(A:A,A679)&gt;1,_xlfn.CONCAT(A679," (",N679,")"),A679)</f>
        <v>Màoshān Zhèn</v>
      </c>
      <c r="C679" t="str">
        <f>IF(COUNTIF(B:B,B679)&gt;1,_xlfn.CONCAT(A679," (",M679,")"),B679)</f>
        <v>Màoshān Zhèn</v>
      </c>
      <c r="D679" t="s">
        <v>1191</v>
      </c>
      <c r="E679" t="s">
        <v>11</v>
      </c>
      <c r="F679" t="str">
        <f>_xlfn.CONCAT(D679,", ",H679,", ",I679,", ","云南省")</f>
        <v>茂山镇, 禄劝彝族苗族自治县, 昆明市, 云南省</v>
      </c>
      <c r="G679">
        <v>30514</v>
      </c>
      <c r="H679" t="s">
        <v>2814</v>
      </c>
      <c r="I679" t="s">
        <v>2807</v>
      </c>
      <c r="J679">
        <f>VLOOKUP(F679,[1]!china_towns_second__2[[Column1]:[Y]],3,FALSE)</f>
        <v>25.7078991300105</v>
      </c>
      <c r="K679">
        <f>VLOOKUP(F679,[1]!china_towns_second__2[[Column1]:[Y]],2,FALSE)</f>
        <v>102.4492821</v>
      </c>
      <c r="L679" t="s">
        <v>4237</v>
      </c>
      <c r="M679" t="str">
        <f>VLOOKUP(H679,CHOOSE({1,2},Table17[Native],Table17[Name]),2,0)</f>
        <v>Lùquàn Yízú Miáozú Zìzhìxiàn</v>
      </c>
      <c r="N679" s="15" t="str">
        <f>VLOOKUP(I679,CHOOSE({1,2},Table17[Native],Table17[Name]),2,0)</f>
        <v>Kūnmíng Shì</v>
      </c>
      <c r="O679" s="15" t="str">
        <f t="shared" si="20"/>
        <v>Maoshan Zhen (Kūnmíng Shì)</v>
      </c>
      <c r="P679" s="15" t="str">
        <f t="shared" si="21"/>
        <v>Maoshan Zhen (Kūnmíng Shì)</v>
      </c>
    </row>
    <row r="680" spans="1:16" hidden="1" x14ac:dyDescent="0.25">
      <c r="A680" t="s">
        <v>2591</v>
      </c>
      <c r="B680" t="str">
        <f>IF(COUNTIF(A:A,A680)&gt;1,_xlfn.CONCAT(A680," (",N680,")"),A680)</f>
        <v>Màozū Zhèn</v>
      </c>
      <c r="C680" t="str">
        <f>IF(COUNTIF(B:B,B680)&gt;1,_xlfn.CONCAT(A680," (",M680,")"),B680)</f>
        <v>Màozū Zhèn</v>
      </c>
      <c r="D680" t="s">
        <v>2592</v>
      </c>
      <c r="E680" t="s">
        <v>11</v>
      </c>
      <c r="F680" t="str">
        <f>_xlfn.CONCAT(D680,", ",H680,", ",I680,", ","云南省")</f>
        <v>茂租镇, 巧家县, 昭通市, 云南省</v>
      </c>
      <c r="G680">
        <v>18029</v>
      </c>
      <c r="H680" t="s">
        <v>2902</v>
      </c>
      <c r="I680" t="s">
        <v>2899</v>
      </c>
      <c r="J680">
        <f>VLOOKUP(F680,[1]!china_towns_second__2[[Column1]:[Y]],3,FALSE)</f>
        <v>27.334181465307299</v>
      </c>
      <c r="K680">
        <f>VLOOKUP(F680,[1]!china_towns_second__2[[Column1]:[Y]],2,FALSE)</f>
        <v>102.95793980000001</v>
      </c>
      <c r="L680" t="s">
        <v>4238</v>
      </c>
      <c r="M680" t="str">
        <f>VLOOKUP(H680,CHOOSE({1,2},Table17[Native],Table17[Name]),2,0)</f>
        <v>Qiăojiā Xiàn</v>
      </c>
      <c r="N680" s="15" t="str">
        <f>VLOOKUP(I680,CHOOSE({1,2},Table17[Native],Table17[Name]),2,0)</f>
        <v>Zhāotōng Shì</v>
      </c>
      <c r="O680" s="15" t="str">
        <f t="shared" si="20"/>
        <v>Maozu Zhen (Zhāotōng Shì)</v>
      </c>
      <c r="P680" s="15" t="str">
        <f t="shared" si="21"/>
        <v>Maozu Zhen (Zhāotōng Shì)</v>
      </c>
    </row>
    <row r="681" spans="1:16" hidden="1" x14ac:dyDescent="0.25">
      <c r="A681" t="s">
        <v>2593</v>
      </c>
      <c r="B681" t="str">
        <f>IF(COUNTIF(A:A,A681)&gt;1,_xlfn.CONCAT(A681," (",N681,")"),A681)</f>
        <v>Măshù Zhèn</v>
      </c>
      <c r="C681" t="str">
        <f>IF(COUNTIF(B:B,B681)&gt;1,_xlfn.CONCAT(A681," (",M681,")"),B681)</f>
        <v>Măshù Zhèn</v>
      </c>
      <c r="D681" t="s">
        <v>2594</v>
      </c>
      <c r="E681" t="s">
        <v>11</v>
      </c>
      <c r="F681" t="str">
        <f>_xlfn.CONCAT(D681,", ",H681,", ",I681,", ","云南省")</f>
        <v>马树镇, 巧家县, 昭通市, 云南省</v>
      </c>
      <c r="G681">
        <v>32220</v>
      </c>
      <c r="H681" t="s">
        <v>2902</v>
      </c>
      <c r="I681" t="s">
        <v>2899</v>
      </c>
      <c r="J681">
        <f>VLOOKUP(F681,[1]!china_towns_second__2[[Column1]:[Y]],3,FALSE)</f>
        <v>26.777088844197799</v>
      </c>
      <c r="K681">
        <f>VLOOKUP(F681,[1]!china_towns_second__2[[Column1]:[Y]],2,FALSE)</f>
        <v>103.24527449999999</v>
      </c>
      <c r="L681" t="s">
        <v>4239</v>
      </c>
      <c r="M681" t="str">
        <f>VLOOKUP(H681,CHOOSE({1,2},Table17[Native],Table17[Name]),2,0)</f>
        <v>Qiăojiā Xiàn</v>
      </c>
      <c r="N681" s="15" t="str">
        <f>VLOOKUP(I681,CHOOSE({1,2},Table17[Native],Table17[Name]),2,0)</f>
        <v>Zhāotōng Shì</v>
      </c>
      <c r="O681" s="15" t="str">
        <f t="shared" si="20"/>
        <v>Mashu Zhen (Zhāotōng Shì)</v>
      </c>
      <c r="P681" s="15" t="str">
        <f t="shared" si="21"/>
        <v>Mashu Zhen (Zhāotōng Shì)</v>
      </c>
    </row>
    <row r="682" spans="1:16" hidden="1" x14ac:dyDescent="0.25">
      <c r="A682" t="s">
        <v>1513</v>
      </c>
      <c r="B682" t="str">
        <f>IF(COUNTIF(A:A,A682)&gt;1,_xlfn.CONCAT(A682," (",N682,")"),A682)</f>
        <v>Mătái Xiāng</v>
      </c>
      <c r="C682" t="str">
        <f>IF(COUNTIF(B:B,B682)&gt;1,_xlfn.CONCAT(A682," (",M682,")"),B682)</f>
        <v>Mătái Xiāng</v>
      </c>
      <c r="D682" t="s">
        <v>1514</v>
      </c>
      <c r="E682" t="s">
        <v>7</v>
      </c>
      <c r="F682" t="str">
        <f>_xlfn.CONCAT(D682,", ",H682,", ",I682,", ","云南省")</f>
        <v>马台乡, 临翔区, 临沧市, 云南省</v>
      </c>
      <c r="G682">
        <v>24515</v>
      </c>
      <c r="H682" t="s">
        <v>2835</v>
      </c>
      <c r="I682" t="s">
        <v>2831</v>
      </c>
      <c r="J682" t="e">
        <f>VLOOKUP(F682,[1]!china_towns_second__2[[Column1]:[Y]],3,FALSE)</f>
        <v>#N/A</v>
      </c>
      <c r="K682" t="e">
        <f>VLOOKUP(F682,[1]!china_towns_second__2[[Column1]:[Y]],2,FALSE)</f>
        <v>#N/A</v>
      </c>
      <c r="L682" t="s">
        <v>4240</v>
      </c>
      <c r="M682" t="str">
        <f>VLOOKUP(H682,CHOOSE({1,2},Table17[Native],Table17[Name]),2,0)</f>
        <v>Línxiáng Qū</v>
      </c>
      <c r="N682" s="15" t="str">
        <f>VLOOKUP(I682,CHOOSE({1,2},Table17[Native],Table17[Name]),2,0)</f>
        <v>Líncāng Shì</v>
      </c>
      <c r="O682" s="15" t="str">
        <f t="shared" si="20"/>
        <v>Matai Xiang (Líncāng Shì)</v>
      </c>
      <c r="P682" s="15" t="str">
        <f t="shared" si="21"/>
        <v>Matai Xiang (Líncāng Shì)</v>
      </c>
    </row>
    <row r="683" spans="1:16" hidden="1" x14ac:dyDescent="0.25">
      <c r="A683" t="s">
        <v>2167</v>
      </c>
      <c r="B683" t="str">
        <f>IF(COUNTIF(A:A,A683)&gt;1,_xlfn.CONCAT(A683," (",N683,")"),A683)</f>
        <v>Mătáng Zhèn</v>
      </c>
      <c r="C683" t="str">
        <f>IF(COUNTIF(B:B,B683)&gt;1,_xlfn.CONCAT(A683," (",M683,")"),B683)</f>
        <v>Mătáng Zhèn</v>
      </c>
      <c r="D683" t="s">
        <v>2168</v>
      </c>
      <c r="E683" t="s">
        <v>11</v>
      </c>
      <c r="F683" t="str">
        <f>_xlfn.CONCAT(D683,", ",H683,", ",I683,", ","云南省")</f>
        <v>马塘镇, 文山市, 文山壮族苗族自治州, 云南省</v>
      </c>
      <c r="G683">
        <v>34522</v>
      </c>
      <c r="H683" t="s">
        <v>2878</v>
      </c>
      <c r="I683" t="s">
        <v>2872</v>
      </c>
      <c r="J683">
        <f>VLOOKUP(F683,[1]!china_towns_second__2[[Column1]:[Y]],3,FALSE)</f>
        <v>23.5033480169607</v>
      </c>
      <c r="K683">
        <f>VLOOKUP(F683,[1]!china_towns_second__2[[Column1]:[Y]],2,FALSE)</f>
        <v>104.0637504</v>
      </c>
      <c r="L683" t="s">
        <v>4241</v>
      </c>
      <c r="M683" t="str">
        <f>VLOOKUP(H683,CHOOSE({1,2},Table17[Native],Table17[Name]),2,0)</f>
        <v>Wénshān Shì</v>
      </c>
      <c r="N683" s="15" t="str">
        <f>VLOOKUP(I683,CHOOSE({1,2},Table17[Native],Table17[Name]),2,0)</f>
        <v>Wénshān Zhuàngzú Miáozú Zìzhìzhōu</v>
      </c>
      <c r="O683" s="15" t="str">
        <f t="shared" si="20"/>
        <v>Matang Zhen (Wénshān Zhuàngzú Miáozú Zìzhìzhōu)</v>
      </c>
      <c r="P683" s="15" t="str">
        <f t="shared" si="21"/>
        <v>Matang Zhen (Wénshān Zhuàngzú Miáozú Zìzhìzhōu)</v>
      </c>
    </row>
    <row r="684" spans="1:16" hidden="1" x14ac:dyDescent="0.25">
      <c r="A684" t="s">
        <v>1515</v>
      </c>
      <c r="B684" t="str">
        <f>IF(COUNTIF(A:A,A684)&gt;1,_xlfn.CONCAT(A684," (",N684,")"),A684)</f>
        <v>Măyĭduī Xiāng</v>
      </c>
      <c r="C684" t="str">
        <f>IF(COUNTIF(B:B,B684)&gt;1,_xlfn.CONCAT(A684," (",M684,")"),B684)</f>
        <v>Măyĭduī Xiāng</v>
      </c>
      <c r="D684" t="s">
        <v>1516</v>
      </c>
      <c r="E684" t="s">
        <v>7</v>
      </c>
      <c r="F684" t="str">
        <f>_xlfn.CONCAT(D684,", ",H684,", ",I684,", ","云南省")</f>
        <v>蚂蚁堆乡, 临翔区, 临沧市, 云南省</v>
      </c>
      <c r="G684">
        <v>29586</v>
      </c>
      <c r="H684" t="s">
        <v>2835</v>
      </c>
      <c r="I684" t="s">
        <v>2831</v>
      </c>
      <c r="J684" t="e">
        <f>VLOOKUP(F684,[1]!china_towns_second__2[[Column1]:[Y]],3,FALSE)</f>
        <v>#N/A</v>
      </c>
      <c r="K684" t="e">
        <f>VLOOKUP(F684,[1]!china_towns_second__2[[Column1]:[Y]],2,FALSE)</f>
        <v>#N/A</v>
      </c>
      <c r="L684" t="s">
        <v>4242</v>
      </c>
      <c r="M684" t="str">
        <f>VLOOKUP(H684,CHOOSE({1,2},Table17[Native],Table17[Name]),2,0)</f>
        <v>Línxiáng Qū</v>
      </c>
      <c r="N684" s="15" t="str">
        <f>VLOOKUP(I684,CHOOSE({1,2},Table17[Native],Table17[Name]),2,0)</f>
        <v>Líncāng Shì</v>
      </c>
      <c r="O684" s="15" t="str">
        <f t="shared" si="20"/>
        <v>Mayidui Xiang (Líncāng Shì)</v>
      </c>
      <c r="P684" s="15" t="str">
        <f t="shared" si="21"/>
        <v>Mayidui Xiang (Líncāng Shì)</v>
      </c>
    </row>
    <row r="685" spans="1:16" hidden="1" x14ac:dyDescent="0.25">
      <c r="A685" t="s">
        <v>81</v>
      </c>
      <c r="B685" t="str">
        <f>IF(COUNTIF(A:A,A685)&gt;1,_xlfn.CONCAT(A685," (",N685,")"),A685)</f>
        <v>Măzhàn Xiāng</v>
      </c>
      <c r="C685" t="str">
        <f>IF(COUNTIF(B:B,B685)&gt;1,_xlfn.CONCAT(A685," (",M685,")"),B685)</f>
        <v>Măzhàn Xiāng</v>
      </c>
      <c r="D685" t="s">
        <v>82</v>
      </c>
      <c r="E685" t="s">
        <v>7</v>
      </c>
      <c r="F685" t="str">
        <f>_xlfn.CONCAT(D685,", ",H685,", ",I685,", ","云南省")</f>
        <v>马站乡, 腾冲市, 保山市, 云南省</v>
      </c>
      <c r="G685">
        <v>27373</v>
      </c>
      <c r="H685" t="s">
        <v>2747</v>
      </c>
      <c r="I685" t="s">
        <v>2739</v>
      </c>
      <c r="J685" t="e">
        <f>VLOOKUP(F685,[1]!china_towns_second__2[[Column1]:[Y]],3,FALSE)</f>
        <v>#N/A</v>
      </c>
      <c r="K685" t="e">
        <f>VLOOKUP(F685,[1]!china_towns_second__2[[Column1]:[Y]],2,FALSE)</f>
        <v>#N/A</v>
      </c>
      <c r="L685" t="s">
        <v>4243</v>
      </c>
      <c r="M685" t="str">
        <f>VLOOKUP(H685,CHOOSE({1,2},Table17[Native],Table17[Name]),2,0)</f>
        <v>Téngchōng Shì</v>
      </c>
      <c r="N685" s="15" t="str">
        <f>VLOOKUP(I685,CHOOSE({1,2},Table17[Native],Table17[Name]),2,0)</f>
        <v>Băoshān Shì</v>
      </c>
      <c r="O685" s="15" t="str">
        <f t="shared" si="20"/>
        <v>Mazhan Xiang (Băoshān Shì)</v>
      </c>
      <c r="P685" s="15" t="str">
        <f t="shared" si="21"/>
        <v>Mazhan Xiang (Băoshān Shì)</v>
      </c>
    </row>
    <row r="686" spans="1:16" hidden="1" x14ac:dyDescent="0.25">
      <c r="A686" t="s">
        <v>1743</v>
      </c>
      <c r="B686" t="str">
        <f>IF(COUNTIF(A:A,A686)&gt;1,_xlfn.CONCAT(A686," (",N686,")"),A686)</f>
        <v>Méizi Zhèn</v>
      </c>
      <c r="C686" t="str">
        <f>IF(COUNTIF(B:B,B686)&gt;1,_xlfn.CONCAT(A686," (",M686,")"),B686)</f>
        <v>Méizi Zhèn</v>
      </c>
      <c r="D686" t="s">
        <v>1744</v>
      </c>
      <c r="E686" t="s">
        <v>11</v>
      </c>
      <c r="F686" t="str">
        <f>_xlfn.CONCAT(D686,", ",H686,", ",I686,", ","云南省")</f>
        <v>梅子镇, 宁洱哈尼族彝族自治县, 普洱市, 云南省</v>
      </c>
      <c r="G686">
        <v>10051</v>
      </c>
      <c r="H686" t="s">
        <v>2855</v>
      </c>
      <c r="I686" t="s">
        <v>2848</v>
      </c>
      <c r="J686">
        <f>VLOOKUP(F686,[1]!china_towns_second__2[[Column1]:[Y]],3,FALSE)</f>
        <v>23.524669422607701</v>
      </c>
      <c r="K686">
        <f>VLOOKUP(F686,[1]!china_towns_second__2[[Column1]:[Y]],2,FALSE)</f>
        <v>101.1423961</v>
      </c>
      <c r="L686" t="s">
        <v>4244</v>
      </c>
      <c r="M686" t="str">
        <f>VLOOKUP(H686,CHOOSE({1,2},Table17[Native],Table17[Name]),2,0)</f>
        <v>Níng'ĕr Hānízú Yízú Zìzhìxiàn</v>
      </c>
      <c r="N686" s="15" t="str">
        <f>VLOOKUP(I686,CHOOSE({1,2},Table17[Native],Table17[Name]),2,0)</f>
        <v>Pŭ'ĕr Shì</v>
      </c>
      <c r="O686" s="15" t="str">
        <f t="shared" si="20"/>
        <v>Meizi Zhen (Pŭ'ĕr Shì)</v>
      </c>
      <c r="P686" s="15" t="str">
        <f t="shared" si="21"/>
        <v>Meizi Zhen (Pŭ'ĕr Shì)</v>
      </c>
    </row>
    <row r="687" spans="1:16" hidden="1" x14ac:dyDescent="0.25">
      <c r="A687" t="s">
        <v>2279</v>
      </c>
      <c r="B687" t="str">
        <f>IF(COUNTIF(A:A,A687)&gt;1,_xlfn.CONCAT(A687," (",N687,")"),A687)</f>
        <v>Mĕng'ā Zhèn</v>
      </c>
      <c r="C687" t="str">
        <f>IF(COUNTIF(B:B,B687)&gt;1,_xlfn.CONCAT(A687," (",M687,")"),B687)</f>
        <v>Mĕng'ā Zhèn</v>
      </c>
      <c r="D687" t="s">
        <v>2280</v>
      </c>
      <c r="E687" t="s">
        <v>11</v>
      </c>
      <c r="F687" t="str">
        <f>_xlfn.CONCAT(D687,", ",H687,", ",I687,", ","云南省")</f>
        <v>勐阿镇, 勐海县, 西双版纳傣族自治州, 云南省</v>
      </c>
      <c r="G687">
        <v>23531</v>
      </c>
      <c r="H687" t="s">
        <v>2885</v>
      </c>
      <c r="I687" t="s">
        <v>2883</v>
      </c>
      <c r="J687">
        <f>VLOOKUP(F687,[1]!china_towns_second__2[[Column1]:[Y]],3,FALSE)</f>
        <v>22.212781900224901</v>
      </c>
      <c r="K687">
        <f>VLOOKUP(F687,[1]!china_towns_second__2[[Column1]:[Y]],2,FALSE)</f>
        <v>100.3653762</v>
      </c>
      <c r="L687" t="s">
        <v>4245</v>
      </c>
      <c r="M687" t="str">
        <f>VLOOKUP(H687,CHOOSE({1,2},Table17[Native],Table17[Name]),2,0)</f>
        <v>Mĕnghăi Xiàn</v>
      </c>
      <c r="N687" s="15" t="str">
        <f>VLOOKUP(I687,CHOOSE({1,2},Table17[Native],Table17[Name]),2,0)</f>
        <v>Xīshuāngbănnà Dăizú Zìzhìzhōu</v>
      </c>
      <c r="O687" s="15" t="str">
        <f t="shared" si="20"/>
        <v>Meng'a Zhen (Xīshuāngbănnà Dăizú Zìzhìzhōu)</v>
      </c>
      <c r="P687" s="15" t="str">
        <f t="shared" si="21"/>
        <v>Meng'a Zhen (Xīshuāngbănnà Dăizú Zìzhìzhōu)</v>
      </c>
    </row>
    <row r="688" spans="1:16" hidden="1" x14ac:dyDescent="0.25">
      <c r="A688" t="s">
        <v>1517</v>
      </c>
      <c r="B688" t="str">
        <f>IF(COUNTIF(A:A,A688)&gt;1,_xlfn.CONCAT(A688," (",N688,")"),A688)</f>
        <v>Mĕngbăn Xiāng</v>
      </c>
      <c r="C688" t="str">
        <f>IF(COUNTIF(B:B,B688)&gt;1,_xlfn.CONCAT(A688," (",M688,")"),B688)</f>
        <v>Mĕngbăn Xiāng</v>
      </c>
      <c r="D688" t="s">
        <v>1518</v>
      </c>
      <c r="E688" t="s">
        <v>7</v>
      </c>
      <c r="F688" t="str">
        <f>_xlfn.CONCAT(D688,", ",H688,", ",I688,", ","云南省")</f>
        <v>勐板乡, 永德县, 临沧市, 云南省</v>
      </c>
      <c r="G688">
        <v>26987</v>
      </c>
      <c r="H688" t="s">
        <v>2837</v>
      </c>
      <c r="I688" t="s">
        <v>2831</v>
      </c>
      <c r="J688" t="e">
        <f>VLOOKUP(F688,[1]!china_towns_second__2[[Column1]:[Y]],3,FALSE)</f>
        <v>#N/A</v>
      </c>
      <c r="K688" t="e">
        <f>VLOOKUP(F688,[1]!china_towns_second__2[[Column1]:[Y]],2,FALSE)</f>
        <v>#N/A</v>
      </c>
      <c r="L688" t="s">
        <v>4246</v>
      </c>
      <c r="M688" t="str">
        <f>VLOOKUP(H688,CHOOSE({1,2},Table17[Native],Table17[Name]),2,0)</f>
        <v>Yŏngdé Xiàn</v>
      </c>
      <c r="N688" s="15" t="str">
        <f>VLOOKUP(I688,CHOOSE({1,2},Table17[Native],Table17[Name]),2,0)</f>
        <v>Líncāng Shì</v>
      </c>
      <c r="O688" s="15" t="str">
        <f t="shared" si="20"/>
        <v>Mengban Xiang (Líncāng Shì)</v>
      </c>
      <c r="P688" s="15" t="str">
        <f t="shared" si="21"/>
        <v>Mengban Xiang (Líncāng Shì)</v>
      </c>
    </row>
    <row r="689" spans="1:16" hidden="1" x14ac:dyDescent="0.25">
      <c r="A689" t="s">
        <v>1745</v>
      </c>
      <c r="B689" t="str">
        <f>IF(COUNTIF(A:A,A689)&gt;1,_xlfn.CONCAT(A689," (",N689,")"),A689)</f>
        <v>Mĕngbān Xiāng</v>
      </c>
      <c r="C689" t="str">
        <f>IF(COUNTIF(B:B,B689)&gt;1,_xlfn.CONCAT(A689," (",M689,")"),B689)</f>
        <v>Mĕngbān Xiāng</v>
      </c>
      <c r="D689" t="s">
        <v>1746</v>
      </c>
      <c r="E689" t="s">
        <v>7</v>
      </c>
      <c r="F689" t="str">
        <f>_xlfn.CONCAT(D689,", ",H689,", ",I689,", ","云南省")</f>
        <v>勐班乡, 景谷傣族彝族自治县, 普洱市, 云南省</v>
      </c>
      <c r="G689">
        <v>18635</v>
      </c>
      <c r="H689" t="s">
        <v>2851</v>
      </c>
      <c r="I689" t="s">
        <v>2848</v>
      </c>
      <c r="J689" t="e">
        <f>VLOOKUP(F689,[1]!china_towns_second__2[[Column1]:[Y]],3,FALSE)</f>
        <v>#N/A</v>
      </c>
      <c r="K689" t="e">
        <f>VLOOKUP(F689,[1]!china_towns_second__2[[Column1]:[Y]],2,FALSE)</f>
        <v>#N/A</v>
      </c>
      <c r="L689" t="s">
        <v>4246</v>
      </c>
      <c r="M689" t="str">
        <f>VLOOKUP(H689,CHOOSE({1,2},Table17[Native],Table17[Name]),2,0)</f>
        <v>Jĭnggŭ Dăizú Yízú Zìzhìxiàn</v>
      </c>
      <c r="N689" s="15" t="str">
        <f>VLOOKUP(I689,CHOOSE({1,2},Table17[Native],Table17[Name]),2,0)</f>
        <v>Pŭ'ĕr Shì</v>
      </c>
      <c r="O689" s="15" t="str">
        <f t="shared" si="20"/>
        <v>Mengban Xiang (Pŭ'ĕr Shì)</v>
      </c>
      <c r="P689" s="15" t="str">
        <f t="shared" si="21"/>
        <v>Mengban Xiang (Pŭ'ĕr Shì)</v>
      </c>
    </row>
    <row r="690" spans="1:16" hidden="1" x14ac:dyDescent="0.25">
      <c r="A690" t="s">
        <v>2281</v>
      </c>
      <c r="B690" t="str">
        <f>IF(COUNTIF(A:A,A690)&gt;1,_xlfn.CONCAT(A690," (",N690,")"),A690)</f>
        <v>Mĕngbàn Zhèn</v>
      </c>
      <c r="C690" t="str">
        <f>IF(COUNTIF(B:B,B690)&gt;1,_xlfn.CONCAT(A690," (",M690,")"),B690)</f>
        <v>Mĕngbàn Zhèn</v>
      </c>
      <c r="D690" t="s">
        <v>2282</v>
      </c>
      <c r="E690" t="s">
        <v>11</v>
      </c>
      <c r="F690" t="str">
        <f>_xlfn.CONCAT(D690,", ",H690,", ",I690,", ","云南省")</f>
        <v>勐伴镇, 勐腊县, 西双版纳傣族自治州, 云南省</v>
      </c>
      <c r="G690">
        <v>13735</v>
      </c>
      <c r="H690" t="s">
        <v>2886</v>
      </c>
      <c r="I690" t="s">
        <v>2883</v>
      </c>
      <c r="J690">
        <f>VLOOKUP(F690,[1]!china_towns_second__2[[Column1]:[Y]],3,FALSE)</f>
        <v>21.780030376312698</v>
      </c>
      <c r="K690">
        <f>VLOOKUP(F690,[1]!china_towns_second__2[[Column1]:[Y]],2,FALSE)</f>
        <v>101.6711246</v>
      </c>
      <c r="L690" t="s">
        <v>4247</v>
      </c>
      <c r="M690" t="str">
        <f>VLOOKUP(H690,CHOOSE({1,2},Table17[Native],Table17[Name]),2,0)</f>
        <v>Mĕnglà Xiàn</v>
      </c>
      <c r="N690" s="15" t="str">
        <f>VLOOKUP(I690,CHOOSE({1,2},Table17[Native],Table17[Name]),2,0)</f>
        <v>Xīshuāngbănnà Dăizú Zìzhìzhōu</v>
      </c>
      <c r="O690" s="15" t="str">
        <f t="shared" si="20"/>
        <v>Mengban Zhen (Xīshuāngbănnà Dăizú Zìzhìzhōu)</v>
      </c>
      <c r="P690" s="15" t="str">
        <f t="shared" si="21"/>
        <v>Mengban Zhen (Xīshuāngbănnà Dăizú Zìzhìzhōu)</v>
      </c>
    </row>
    <row r="691" spans="1:16" hidden="1" x14ac:dyDescent="0.25">
      <c r="A691" t="s">
        <v>1747</v>
      </c>
      <c r="B691" t="str">
        <f>IF(COUNTIF(A:A,A691)&gt;1,_xlfn.CONCAT(A691," (",N691,")"),A691)</f>
        <v>Mĕngdà Zhèn</v>
      </c>
      <c r="C691" t="str">
        <f>IF(COUNTIF(B:B,B691)&gt;1,_xlfn.CONCAT(A691," (",M691,")"),B691)</f>
        <v>Mĕngdà Zhèn</v>
      </c>
      <c r="D691" t="s">
        <v>1748</v>
      </c>
      <c r="E691" t="s">
        <v>11</v>
      </c>
      <c r="F691" t="str">
        <f>_xlfn.CONCAT(D691,", ",H691,", ",I691,", ","云南省")</f>
        <v>勐大镇, 镇沅彝族哈尼族拉祜族自治县, 普洱市, 云南省</v>
      </c>
      <c r="G691">
        <v>41343</v>
      </c>
      <c r="H691" t="s">
        <v>2858</v>
      </c>
      <c r="I691" t="s">
        <v>2848</v>
      </c>
      <c r="J691">
        <f>VLOOKUP(F691,[1]!china_towns_second__2[[Column1]:[Y]],3,FALSE)</f>
        <v>24.078011475602501</v>
      </c>
      <c r="K691">
        <f>VLOOKUP(F691,[1]!china_towns_second__2[[Column1]:[Y]],2,FALSE)</f>
        <v>100.8036493</v>
      </c>
      <c r="L691" t="s">
        <v>4248</v>
      </c>
      <c r="M691" t="str">
        <f>VLOOKUP(H691,CHOOSE({1,2},Table17[Native],Table17[Name]),2,0)</f>
        <v>Zhènyuán Yízú Hānízú Lāhùzú Zìzhìxiàn</v>
      </c>
      <c r="N691" s="15" t="str">
        <f>VLOOKUP(I691,CHOOSE({1,2},Table17[Native],Table17[Name]),2,0)</f>
        <v>Pŭ'ĕr Shì</v>
      </c>
      <c r="O691" s="15" t="str">
        <f t="shared" si="20"/>
        <v>Mengda Zhen (Pŭ'ĕr Shì)</v>
      </c>
      <c r="P691" s="15" t="str">
        <f t="shared" si="21"/>
        <v>Mengda Zhen (Pŭ'ĕr Shì)</v>
      </c>
    </row>
    <row r="692" spans="1:16" hidden="1" x14ac:dyDescent="0.25">
      <c r="A692" t="s">
        <v>1519</v>
      </c>
      <c r="B692" t="str">
        <f>IF(COUNTIF(A:A,A692)&gt;1,_xlfn.CONCAT(A692," (",N692,")"),A692)</f>
        <v>Mèngdìng Zhèn</v>
      </c>
      <c r="C692" t="str">
        <f>IF(COUNTIF(B:B,B692)&gt;1,_xlfn.CONCAT(A692," (",M692,")"),B692)</f>
        <v>Mèngdìng Zhèn</v>
      </c>
      <c r="D692" t="s">
        <v>1520</v>
      </c>
      <c r="E692" t="s">
        <v>11</v>
      </c>
      <c r="F692" t="str">
        <f>_xlfn.CONCAT(D692,", ",H692,", ",I692,", ","云南省")</f>
        <v>孟定镇, 耿马傣族佤族自治县, 临沧市, 云南省</v>
      </c>
      <c r="G692">
        <v>102992</v>
      </c>
      <c r="H692" t="s">
        <v>2834</v>
      </c>
      <c r="I692" t="s">
        <v>2831</v>
      </c>
      <c r="J692">
        <f>VLOOKUP(F692,[1]!china_towns_second__2[[Column1]:[Y]],3,FALSE)</f>
        <v>23.560020038559902</v>
      </c>
      <c r="K692">
        <f>VLOOKUP(F692,[1]!china_towns_second__2[[Column1]:[Y]],2,FALSE)</f>
        <v>99.069382790000006</v>
      </c>
      <c r="L692" t="s">
        <v>4249</v>
      </c>
      <c r="M692" t="str">
        <f>VLOOKUP(H692,CHOOSE({1,2},Table17[Native],Table17[Name]),2,0)</f>
        <v>Gĕngmă Dăizú Wăzú Zìzhìxiàn</v>
      </c>
      <c r="N692" s="15" t="str">
        <f>VLOOKUP(I692,CHOOSE({1,2},Table17[Native],Table17[Name]),2,0)</f>
        <v>Líncāng Shì</v>
      </c>
      <c r="O692" s="15" t="str">
        <f t="shared" si="20"/>
        <v>Mengding Zhen (Líncāng Shì)</v>
      </c>
      <c r="P692" s="15" t="str">
        <f t="shared" si="21"/>
        <v>Mengding Zhen (Líncāng Shì)</v>
      </c>
    </row>
    <row r="693" spans="1:16" hidden="1" x14ac:dyDescent="0.25">
      <c r="A693" t="s">
        <v>2169</v>
      </c>
      <c r="B693" t="str">
        <f>IF(COUNTIF(A:A,A693)&gt;1,_xlfn.CONCAT(A693," (",N693,")"),A693)</f>
        <v>Mĕngdòng Yáozú Xiāng</v>
      </c>
      <c r="C693" t="str">
        <f>IF(COUNTIF(B:B,B693)&gt;1,_xlfn.CONCAT(A693," (",M693,")"),B693)</f>
        <v>Mĕngdòng Yáozú Xiāng</v>
      </c>
      <c r="D693" t="s">
        <v>2170</v>
      </c>
      <c r="E693" t="s">
        <v>7</v>
      </c>
      <c r="F693" t="str">
        <f>_xlfn.CONCAT(D693,", ",H693,", ",I693,", ","云南省")</f>
        <v>猛硐瑶族乡, 麻栗坡县, 文山壮族苗族自治州, 云南省</v>
      </c>
      <c r="G693">
        <v>15303</v>
      </c>
      <c r="H693" t="s">
        <v>2876</v>
      </c>
      <c r="I693" t="s">
        <v>2872</v>
      </c>
      <c r="J693" t="e">
        <f>VLOOKUP(F693,[1]!china_towns_second__2[[Column1]:[Y]],3,FALSE)</f>
        <v>#N/A</v>
      </c>
      <c r="K693" t="e">
        <f>VLOOKUP(F693,[1]!china_towns_second__2[[Column1]:[Y]],2,FALSE)</f>
        <v>#N/A</v>
      </c>
      <c r="L693" t="s">
        <v>4250</v>
      </c>
      <c r="M693" t="str">
        <f>VLOOKUP(H693,CHOOSE({1,2},Table17[Native],Table17[Name]),2,0)</f>
        <v>Málìpō Xiàn</v>
      </c>
      <c r="N693" s="15" t="str">
        <f>VLOOKUP(I693,CHOOSE({1,2},Table17[Native],Table17[Name]),2,0)</f>
        <v>Wénshān Zhuàngzú Miáozú Zìzhìzhōu</v>
      </c>
      <c r="O693" s="15" t="str">
        <f t="shared" si="20"/>
        <v>Mengdong Yaozu Xiang (Wénshān Zhuàngzú Miáozú Zìzhìzhōu)</v>
      </c>
      <c r="P693" s="15" t="str">
        <f t="shared" si="21"/>
        <v>Mengdong Yaozu Xiang (Wénshān Zhuàngzú Miáozú Zìzhìzhōu)</v>
      </c>
    </row>
    <row r="694" spans="1:16" hidden="1" x14ac:dyDescent="0.25">
      <c r="A694" t="s">
        <v>1521</v>
      </c>
      <c r="B694" t="str">
        <f>IF(COUNTIF(A:A,A694)&gt;1,_xlfn.CONCAT(A694," (",N694,")"),A694)</f>
        <v>Mĕngdŏng Zhèn</v>
      </c>
      <c r="C694" t="str">
        <f>IF(COUNTIF(B:B,B694)&gt;1,_xlfn.CONCAT(A694," (",M694,")"),B694)</f>
        <v>Mĕngdŏng Zhèn</v>
      </c>
      <c r="D694" t="s">
        <v>1522</v>
      </c>
      <c r="E694" t="s">
        <v>11</v>
      </c>
      <c r="F694" t="str">
        <f>_xlfn.CONCAT(D694,", ",H694,", ",I694,", ","云南省")</f>
        <v>勐董镇, 沧源佤族自治县, 临沧市, 云南省</v>
      </c>
      <c r="G694">
        <v>35741</v>
      </c>
      <c r="H694" t="s">
        <v>2832</v>
      </c>
      <c r="I694" t="s">
        <v>2831</v>
      </c>
      <c r="J694">
        <f>VLOOKUP(F694,[1]!china_towns_second__2[[Column1]:[Y]],3,FALSE)</f>
        <v>23.144207551725501</v>
      </c>
      <c r="K694">
        <f>VLOOKUP(F694,[1]!china_towns_second__2[[Column1]:[Y]],2,FALSE)</f>
        <v>99.200577260000003</v>
      </c>
      <c r="L694" t="s">
        <v>4251</v>
      </c>
      <c r="M694" t="str">
        <f>VLOOKUP(H694,CHOOSE({1,2},Table17[Native],Table17[Name]),2,0)</f>
        <v>Cāngyuán Wăzú Zìzhìxiàn</v>
      </c>
      <c r="N694" s="15" t="str">
        <f>VLOOKUP(I694,CHOOSE({1,2},Table17[Native],Table17[Name]),2,0)</f>
        <v>Líncāng Shì</v>
      </c>
      <c r="O694" s="15" t="str">
        <f t="shared" si="20"/>
        <v>Mengdong Zhen (Líncāng Shì)</v>
      </c>
      <c r="P694" s="15" t="str">
        <f t="shared" si="21"/>
        <v>Mengdong Zhen (Líncāng Shì)</v>
      </c>
    </row>
    <row r="695" spans="1:16" hidden="1" x14ac:dyDescent="0.25">
      <c r="A695" t="s">
        <v>1523</v>
      </c>
      <c r="B695" t="str">
        <f>IF(COUNTIF(A:A,A695)&gt;1,_xlfn.CONCAT(A695," (",N695,")"),A695)</f>
        <v>Mĕngduī Xiāng</v>
      </c>
      <c r="C695" t="str">
        <f>IF(COUNTIF(B:B,B695)&gt;1,_xlfn.CONCAT(A695," (",M695,")"),B695)</f>
        <v>Mĕngduī Xiāng</v>
      </c>
      <c r="D695" t="s">
        <v>1524</v>
      </c>
      <c r="E695" t="s">
        <v>7</v>
      </c>
      <c r="F695" t="str">
        <f>_xlfn.CONCAT(D695,", ",H695,", ",I695,", ","云南省")</f>
        <v>勐堆乡, 镇康县, 临沧市, 云南省</v>
      </c>
      <c r="G695">
        <v>20636</v>
      </c>
      <c r="H695" t="s">
        <v>2839</v>
      </c>
      <c r="I695" t="s">
        <v>2831</v>
      </c>
      <c r="J695" t="e">
        <f>VLOOKUP(F695,[1]!china_towns_second__2[[Column1]:[Y]],3,FALSE)</f>
        <v>#N/A</v>
      </c>
      <c r="K695" t="e">
        <f>VLOOKUP(F695,[1]!china_towns_second__2[[Column1]:[Y]],2,FALSE)</f>
        <v>#N/A</v>
      </c>
      <c r="L695" t="s">
        <v>4252</v>
      </c>
      <c r="M695" t="str">
        <f>VLOOKUP(H695,CHOOSE({1,2},Table17[Native],Table17[Name]),2,0)</f>
        <v>Zhènkāng Xiàn</v>
      </c>
      <c r="N695" s="15" t="str">
        <f>VLOOKUP(I695,CHOOSE({1,2},Table17[Native],Table17[Name]),2,0)</f>
        <v>Líncāng Shì</v>
      </c>
      <c r="O695" s="15" t="str">
        <f t="shared" si="20"/>
        <v>Mengdui Xiang (Líncāng Shì)</v>
      </c>
      <c r="P695" s="15" t="str">
        <f t="shared" si="21"/>
        <v>Mengdui Xiang (Líncāng Shì)</v>
      </c>
    </row>
    <row r="696" spans="1:16" hidden="1" x14ac:dyDescent="0.25">
      <c r="A696" t="s">
        <v>2595</v>
      </c>
      <c r="B696" t="str">
        <f>IF(COUNTIF(A:A,A696)&gt;1,_xlfn.CONCAT(A696," (",N696,")"),A696)</f>
        <v>Mĕnggū Zhèn</v>
      </c>
      <c r="C696" t="str">
        <f>IF(COUNTIF(B:B,B696)&gt;1,_xlfn.CONCAT(A696," (",M696,")"),B696)</f>
        <v>Mĕnggū Zhèn</v>
      </c>
      <c r="D696" t="s">
        <v>2596</v>
      </c>
      <c r="E696" t="s">
        <v>11</v>
      </c>
      <c r="F696" t="str">
        <f>_xlfn.CONCAT(D696,", ",H696,", ",I696,", ","云南省")</f>
        <v>蒙姑镇, 巧家县, 昭通市, 云南省</v>
      </c>
      <c r="G696">
        <v>17412</v>
      </c>
      <c r="H696" t="s">
        <v>2902</v>
      </c>
      <c r="I696" t="s">
        <v>2899</v>
      </c>
      <c r="J696">
        <f>VLOOKUP(F696,[1]!china_towns_second__2[[Column1]:[Y]],3,FALSE)</f>
        <v>26.6452374211947</v>
      </c>
      <c r="K696">
        <f>VLOOKUP(F696,[1]!china_towns_second__2[[Column1]:[Y]],2,FALSE)</f>
        <v>103.0606202</v>
      </c>
      <c r="L696" t="s">
        <v>4253</v>
      </c>
      <c r="M696" t="str">
        <f>VLOOKUP(H696,CHOOSE({1,2},Table17[Native],Table17[Name]),2,0)</f>
        <v>Qiăojiā Xiàn</v>
      </c>
      <c r="N696" s="15" t="str">
        <f>VLOOKUP(I696,CHOOSE({1,2},Table17[Native],Table17[Name]),2,0)</f>
        <v>Zhāotōng Shì</v>
      </c>
      <c r="O696" s="15" t="str">
        <f t="shared" si="20"/>
        <v>Menggu Zhen (Zhāotōng Shì)</v>
      </c>
      <c r="P696" s="15" t="str">
        <f t="shared" si="21"/>
        <v>Menggu Zhen (Zhāotōng Shì)</v>
      </c>
    </row>
    <row r="697" spans="1:16" hidden="1" x14ac:dyDescent="0.25">
      <c r="A697" t="s">
        <v>2283</v>
      </c>
      <c r="B697" t="str">
        <f>IF(COUNTIF(A:A,A697)&gt;1,_xlfn.CONCAT(A697," (",N697,")"),A697)</f>
        <v>Mĕnghăi Zhèn</v>
      </c>
      <c r="C697" t="str">
        <f>IF(COUNTIF(B:B,B697)&gt;1,_xlfn.CONCAT(A697," (",M697,")"),B697)</f>
        <v>Mĕnghăi Zhèn</v>
      </c>
      <c r="D697" t="s">
        <v>2284</v>
      </c>
      <c r="E697" t="s">
        <v>11</v>
      </c>
      <c r="F697" t="str">
        <f>_xlfn.CONCAT(D697,", ",H697,", ",I697,", ","云南省")</f>
        <v>勐海镇, 勐海县, 西双版纳傣族自治州, 云南省</v>
      </c>
      <c r="G697">
        <v>70828</v>
      </c>
      <c r="H697" t="s">
        <v>2885</v>
      </c>
      <c r="I697" t="s">
        <v>2883</v>
      </c>
      <c r="J697">
        <f>VLOOKUP(F697,[1]!china_towns_second__2[[Column1]:[Y]],3,FALSE)</f>
        <v>22.0175879226353</v>
      </c>
      <c r="K697">
        <f>VLOOKUP(F697,[1]!china_towns_second__2[[Column1]:[Y]],2,FALSE)</f>
        <v>100.4208098</v>
      </c>
      <c r="L697" t="s">
        <v>4254</v>
      </c>
      <c r="M697" t="str">
        <f>VLOOKUP(H697,CHOOSE({1,2},Table17[Native],Table17[Name]),2,0)</f>
        <v>Mĕnghăi Xiàn</v>
      </c>
      <c r="N697" s="15" t="str">
        <f>VLOOKUP(I697,CHOOSE({1,2},Table17[Native],Table17[Name]),2,0)</f>
        <v>Xīshuāngbănnà Dăizú Zìzhìzhōu</v>
      </c>
      <c r="O697" s="15" t="str">
        <f t="shared" si="20"/>
        <v>Menghai Zhen (Xīshuāngbănnà Dăizú Zìzhìzhōu)</v>
      </c>
      <c r="P697" s="15" t="str">
        <f t="shared" si="21"/>
        <v>Menghai Zhen (Xīshuāngbănnà Dăizú Zìzhìzhōu)</v>
      </c>
    </row>
    <row r="698" spans="1:16" hidden="1" x14ac:dyDescent="0.25">
      <c r="A698" t="s">
        <v>2285</v>
      </c>
      <c r="B698" t="str">
        <f>IF(COUNTIF(A:A,A698)&gt;1,_xlfn.CONCAT(A698," (",N698,")"),A698)</f>
        <v>Mĕnghăn Zhèn</v>
      </c>
      <c r="C698" t="str">
        <f>IF(COUNTIF(B:B,B698)&gt;1,_xlfn.CONCAT(A698," (",M698,")"),B698)</f>
        <v>Mĕnghăn Zhèn</v>
      </c>
      <c r="D698" t="s">
        <v>2286</v>
      </c>
      <c r="E698" t="s">
        <v>11</v>
      </c>
      <c r="F698" t="str">
        <f>_xlfn.CONCAT(D698,", ",H698,", ",I698,", ","云南省")</f>
        <v>勐罕镇, 景洪市, 西双版纳傣族自治州, 云南省</v>
      </c>
      <c r="G698">
        <v>43965</v>
      </c>
      <c r="H698" t="s">
        <v>2884</v>
      </c>
      <c r="I698" t="s">
        <v>2883</v>
      </c>
      <c r="J698">
        <f>VLOOKUP(F698,[1]!china_towns_second__2[[Column1]:[Y]],3,FALSE)</f>
        <v>21.8753415075535</v>
      </c>
      <c r="K698">
        <f>VLOOKUP(F698,[1]!china_towns_second__2[[Column1]:[Y]],2,FALSE)</f>
        <v>101.0359292</v>
      </c>
      <c r="L698" t="s">
        <v>4255</v>
      </c>
      <c r="M698" t="str">
        <f>VLOOKUP(H698,CHOOSE({1,2},Table17[Native],Table17[Name]),2,0)</f>
        <v>Jĭnghóng Shì</v>
      </c>
      <c r="N698" s="15" t="str">
        <f>VLOOKUP(I698,CHOOSE({1,2},Table17[Native],Table17[Name]),2,0)</f>
        <v>Xīshuāngbănnà Dăizú Zìzhìzhōu</v>
      </c>
      <c r="O698" s="15" t="str">
        <f t="shared" si="20"/>
        <v>Menghan Zhen (Xīshuāngbănnà Dăizú Zìzhìzhōu)</v>
      </c>
      <c r="P698" s="15" t="str">
        <f t="shared" si="21"/>
        <v>Menghan Zhen (Xīshuāngbănnà Dăizú Zìzhìzhōu)</v>
      </c>
    </row>
    <row r="699" spans="1:16" hidden="1" x14ac:dyDescent="0.25">
      <c r="A699" t="s">
        <v>273</v>
      </c>
      <c r="B699" t="str">
        <f>IF(COUNTIF(A:A,A699)&gt;1,_xlfn.CONCAT(A699," (",N699,")"),A699)</f>
        <v>Mĕnghŭ Xiāng</v>
      </c>
      <c r="C699" t="str">
        <f>IF(COUNTIF(B:B,B699)&gt;1,_xlfn.CONCAT(A699," (",M699,")"),B699)</f>
        <v>Mĕnghŭ Xiāng</v>
      </c>
      <c r="D699" t="s">
        <v>274</v>
      </c>
      <c r="E699" t="s">
        <v>7</v>
      </c>
      <c r="F699" t="str">
        <f>_xlfn.CONCAT(D699,", ",H699,", ",I699,", ","云南省")</f>
        <v>猛虎乡, 永仁县, 楚雄彝族自治州, 云南省</v>
      </c>
      <c r="G699">
        <v>9601</v>
      </c>
      <c r="H699" t="s">
        <v>2759</v>
      </c>
      <c r="I699" t="s">
        <v>2750</v>
      </c>
      <c r="J699" t="e">
        <f>VLOOKUP(F699,[1]!china_towns_second__2[[Column1]:[Y]],3,FALSE)</f>
        <v>#N/A</v>
      </c>
      <c r="K699" t="e">
        <f>VLOOKUP(F699,[1]!china_towns_second__2[[Column1]:[Y]],2,FALSE)</f>
        <v>#N/A</v>
      </c>
      <c r="L699" t="s">
        <v>4256</v>
      </c>
      <c r="M699" t="str">
        <f>VLOOKUP(H699,CHOOSE({1,2},Table17[Native],Table17[Name]),2,0)</f>
        <v>Yŏngrén Xiàn</v>
      </c>
      <c r="N699" s="15" t="str">
        <f>VLOOKUP(I699,CHOOSE({1,2},Table17[Native],Table17[Name]),2,0)</f>
        <v>Chŭxióng Yízú Zìzhìzhōu</v>
      </c>
      <c r="O699" s="15" t="str">
        <f t="shared" si="20"/>
        <v>Menghu Xiang (Chŭxióng Yízú Zìzhìzhōu)</v>
      </c>
      <c r="P699" s="15" t="str">
        <f t="shared" si="21"/>
        <v>Menghu Xiang (Chŭxióng Yízú Zìzhìzhōu)</v>
      </c>
    </row>
    <row r="700" spans="1:16" hidden="1" x14ac:dyDescent="0.25">
      <c r="A700" t="s">
        <v>645</v>
      </c>
      <c r="B700" t="str">
        <f>IF(COUNTIF(A:A,A700)&gt;1,_xlfn.CONCAT(A700," (",N700,")"),A700)</f>
        <v>Mĕnghuàn Jiēdào</v>
      </c>
      <c r="C700" t="str">
        <f>IF(COUNTIF(B:B,B700)&gt;1,_xlfn.CONCAT(A700," (",M700,")"),B700)</f>
        <v>Mĕnghuàn Jiēdào</v>
      </c>
      <c r="D700" t="s">
        <v>646</v>
      </c>
      <c r="E700" t="s">
        <v>42</v>
      </c>
      <c r="F700" t="str">
        <f>_xlfn.CONCAT(D700,", ",H700,", ",I700,", ","云南省")</f>
        <v>勐焕街道, 芒市, 德宏傣族景颇族自治州, 云南省</v>
      </c>
      <c r="G700">
        <v>99970</v>
      </c>
      <c r="H700" t="s">
        <v>2782</v>
      </c>
      <c r="I700" t="s">
        <v>2779</v>
      </c>
      <c r="J700">
        <f>VLOOKUP(F700,[1]!china_towns_second__2[[Column1]:[Y]],3,FALSE)</f>
        <v>24.4300889047563</v>
      </c>
      <c r="K700">
        <f>VLOOKUP(F700,[1]!china_towns_second__2[[Column1]:[Y]],2,FALSE)</f>
        <v>98.580179869999995</v>
      </c>
      <c r="L700" t="s">
        <v>4257</v>
      </c>
      <c r="M700" t="str">
        <f>VLOOKUP(H700,CHOOSE({1,2},Table17[Native],Table17[Name]),2,0)</f>
        <v>Máng Shì</v>
      </c>
      <c r="N700" s="15" t="str">
        <f>VLOOKUP(I700,CHOOSE({1,2},Table17[Native],Table17[Name]),2,0)</f>
        <v>Déhóng Dăizú Jĭngpōzú Zìzhìzhōu</v>
      </c>
      <c r="O700" s="15" t="str">
        <f t="shared" si="20"/>
        <v>Menghuan Jiedao (Déhóng Dăizú Jĭngpōzú Zìzhìzhōu)</v>
      </c>
      <c r="P700" s="15" t="str">
        <f t="shared" si="21"/>
        <v>Menghuan Jiedao (Déhóng Dăizú Jĭngpōzú Zìzhìzhōu)</v>
      </c>
    </row>
    <row r="701" spans="1:16" hidden="1" x14ac:dyDescent="0.25">
      <c r="A701" t="s">
        <v>2287</v>
      </c>
      <c r="B701" t="str">
        <f>IF(COUNTIF(A:A,A701)&gt;1,_xlfn.CONCAT(A701," (",N701,")"),A701)</f>
        <v>Mĕnghùn Zhèn</v>
      </c>
      <c r="C701" t="str">
        <f>IF(COUNTIF(B:B,B701)&gt;1,_xlfn.CONCAT(A701," (",M701,")"),B701)</f>
        <v>Mĕnghùn Zhèn</v>
      </c>
      <c r="D701" t="s">
        <v>2288</v>
      </c>
      <c r="E701" t="s">
        <v>11</v>
      </c>
      <c r="F701" t="str">
        <f>_xlfn.CONCAT(D701,", ",H701,", ",I701,", ","云南省")</f>
        <v>勐混镇, 勐海县, 西双版纳傣族自治州, 云南省</v>
      </c>
      <c r="G701">
        <v>30944</v>
      </c>
      <c r="H701" t="s">
        <v>2885</v>
      </c>
      <c r="I701" t="s">
        <v>2883</v>
      </c>
      <c r="J701">
        <f>VLOOKUP(F701,[1]!china_towns_second__2[[Column1]:[Y]],3,FALSE)</f>
        <v>21.820544013537699</v>
      </c>
      <c r="K701">
        <f>VLOOKUP(F701,[1]!china_towns_second__2[[Column1]:[Y]],2,FALSE)</f>
        <v>100.4165433</v>
      </c>
      <c r="L701" t="s">
        <v>4258</v>
      </c>
      <c r="M701" t="str">
        <f>VLOOKUP(H701,CHOOSE({1,2},Table17[Native],Table17[Name]),2,0)</f>
        <v>Mĕnghăi Xiàn</v>
      </c>
      <c r="N701" s="15" t="str">
        <f>VLOOKUP(I701,CHOOSE({1,2},Table17[Native],Table17[Name]),2,0)</f>
        <v>Xīshuāngbănnà Dăizú Zìzhìzhōu</v>
      </c>
      <c r="O701" s="15" t="str">
        <f t="shared" si="20"/>
        <v>Menghun Zhen (Xīshuāngbănnà Dăizú Zìzhìzhōu)</v>
      </c>
      <c r="P701" s="15" t="str">
        <f t="shared" si="21"/>
        <v>Menghun Zhen (Xīshuāngbănnà Dăizú Zìzhìzhōu)</v>
      </c>
    </row>
    <row r="702" spans="1:16" hidden="1" x14ac:dyDescent="0.25">
      <c r="A702" t="s">
        <v>647</v>
      </c>
      <c r="B702" t="str">
        <f>IF(COUNTIF(A:A,A702)&gt;1,_xlfn.CONCAT(A702," (",N702,")"),A702)</f>
        <v>Mĕngjiá Zhèn</v>
      </c>
      <c r="C702" t="str">
        <f>IF(COUNTIF(B:B,B702)&gt;1,_xlfn.CONCAT(A702," (",M702,")"),B702)</f>
        <v>Mĕngjiá Zhèn</v>
      </c>
      <c r="D702" t="s">
        <v>648</v>
      </c>
      <c r="E702" t="s">
        <v>11</v>
      </c>
      <c r="F702" t="str">
        <f>_xlfn.CONCAT(D702,", ",H702,", ",I702,", ","云南省")</f>
        <v>勐戛镇, 芒市, 德宏傣族景颇族自治州, 云南省</v>
      </c>
      <c r="G702">
        <v>24344</v>
      </c>
      <c r="H702" t="s">
        <v>2782</v>
      </c>
      <c r="I702" t="s">
        <v>2779</v>
      </c>
      <c r="J702">
        <f>VLOOKUP(F702,[1]!china_towns_second__2[[Column1]:[Y]],3,FALSE)</f>
        <v>24.254080186092899</v>
      </c>
      <c r="K702">
        <f>VLOOKUP(F702,[1]!china_towns_second__2[[Column1]:[Y]],2,FALSE)</f>
        <v>98.490484980000005</v>
      </c>
      <c r="L702" t="s">
        <v>4259</v>
      </c>
      <c r="M702" t="str">
        <f>VLOOKUP(H702,CHOOSE({1,2},Table17[Native],Table17[Name]),2,0)</f>
        <v>Máng Shì</v>
      </c>
      <c r="N702" s="15" t="str">
        <f>VLOOKUP(I702,CHOOSE({1,2},Table17[Native],Table17[Name]),2,0)</f>
        <v>Déhóng Dăizú Jĭngpōzú Zìzhìzhōu</v>
      </c>
      <c r="O702" s="15" t="str">
        <f t="shared" si="20"/>
        <v>Mengjia Zhen (Déhóng Dăizú Jĭngpōzú Zìzhìzhōu)</v>
      </c>
      <c r="P702" s="15" t="str">
        <f t="shared" si="21"/>
        <v>Mengjia Zhen (Déhóng Dăizú Jĭngpōzú Zìzhìzhōu)</v>
      </c>
    </row>
    <row r="703" spans="1:16" hidden="1" x14ac:dyDescent="0.25">
      <c r="A703" t="s">
        <v>1525</v>
      </c>
      <c r="B703" t="str">
        <f>IF(COUNTIF(A:A,A703)&gt;1,_xlfn.CONCAT(A703," (",N703,")"),A703)</f>
        <v>Mĕngjiăn Xiāng</v>
      </c>
      <c r="C703" t="str">
        <f>IF(COUNTIF(B:B,B703)&gt;1,_xlfn.CONCAT(A703," (",M703,")"),B703)</f>
        <v>Mĕngjiăn Xiāng</v>
      </c>
      <c r="D703" t="s">
        <v>1526</v>
      </c>
      <c r="E703" t="s">
        <v>7</v>
      </c>
      <c r="F703" t="str">
        <f>_xlfn.CONCAT(D703,", ",H703,", ",I703,", ","云南省")</f>
        <v>勐简乡, 耿马傣族佤族自治县, 临沧市, 云南省</v>
      </c>
      <c r="G703">
        <v>14397</v>
      </c>
      <c r="H703" t="s">
        <v>2834</v>
      </c>
      <c r="I703" t="s">
        <v>2831</v>
      </c>
      <c r="J703" t="e">
        <f>VLOOKUP(F703,[1]!china_towns_second__2[[Column1]:[Y]],3,FALSE)</f>
        <v>#N/A</v>
      </c>
      <c r="K703" t="e">
        <f>VLOOKUP(F703,[1]!china_towns_second__2[[Column1]:[Y]],2,FALSE)</f>
        <v>#N/A</v>
      </c>
      <c r="L703" t="s">
        <v>4260</v>
      </c>
      <c r="M703" t="str">
        <f>VLOOKUP(H703,CHOOSE({1,2},Table17[Native],Table17[Name]),2,0)</f>
        <v>Gĕngmă Dăizú Wăzú Zìzhìxiàn</v>
      </c>
      <c r="N703" s="15" t="str">
        <f>VLOOKUP(I703,CHOOSE({1,2},Table17[Native],Table17[Name]),2,0)</f>
        <v>Líncāng Shì</v>
      </c>
      <c r="O703" s="15" t="str">
        <f t="shared" si="20"/>
        <v>Mengjian Xiang (Líncāng Shì)</v>
      </c>
      <c r="P703" s="15" t="str">
        <f t="shared" si="21"/>
        <v>Mengjian Xiang (Líncāng Shì)</v>
      </c>
    </row>
    <row r="704" spans="1:16" hidden="1" x14ac:dyDescent="0.25">
      <c r="A704" t="s">
        <v>1527</v>
      </c>
      <c r="B704" t="str">
        <f>IF(COUNTIF(A:A,A704)&gt;1,_xlfn.CONCAT(A704," (",N704,")"),A704)</f>
        <v>Mĕngjiăo Dǎizú Yízú Lāhùzú Xiāng</v>
      </c>
      <c r="C704" t="str">
        <f>IF(COUNTIF(B:B,B704)&gt;1,_xlfn.CONCAT(A704," (",M704,")"),B704)</f>
        <v>Mĕngjiăo Dǎizú Yízú Lāhùzú Xiāng</v>
      </c>
      <c r="D704" t="s">
        <v>1528</v>
      </c>
      <c r="E704" t="s">
        <v>7</v>
      </c>
      <c r="F704" t="str">
        <f>_xlfn.CONCAT(D704,", ",H704,", ",I704,", ","云南省")</f>
        <v>勐角傣族彝族拉祜族乡, 沧源佤族自治县, 临沧市, 云南省</v>
      </c>
      <c r="G704">
        <v>13990</v>
      </c>
      <c r="H704" t="s">
        <v>2832</v>
      </c>
      <c r="I704" t="s">
        <v>2831</v>
      </c>
      <c r="J704" t="e">
        <f>VLOOKUP(F704,[1]!china_towns_second__2[[Column1]:[Y]],3,FALSE)</f>
        <v>#N/A</v>
      </c>
      <c r="K704" t="e">
        <f>VLOOKUP(F704,[1]!china_towns_second__2[[Column1]:[Y]],2,FALSE)</f>
        <v>#N/A</v>
      </c>
      <c r="L704" t="s">
        <v>4261</v>
      </c>
      <c r="M704" t="str">
        <f>VLOOKUP(H704,CHOOSE({1,2},Table17[Native],Table17[Name]),2,0)</f>
        <v>Cāngyuán Wăzú Zìzhìxiàn</v>
      </c>
      <c r="N704" s="15" t="str">
        <f>VLOOKUP(I704,CHOOSE({1,2},Table17[Native],Table17[Name]),2,0)</f>
        <v>Líncāng Shì</v>
      </c>
      <c r="O704" s="15" t="str">
        <f t="shared" si="20"/>
        <v>Mengjiao Daizu Yizu Lahuzu Xiang (Líncāng Shì)</v>
      </c>
      <c r="P704" s="15" t="str">
        <f t="shared" si="21"/>
        <v>Mengjiao Daizu Yizu Lahuzu Xiang (Líncāng Shì)</v>
      </c>
    </row>
    <row r="705" spans="1:16" hidden="1" x14ac:dyDescent="0.25">
      <c r="A705" t="s">
        <v>1749</v>
      </c>
      <c r="B705" t="str">
        <f>IF(COUNTIF(A:A,A705)&gt;1,_xlfn.CONCAT(A705," (",N705,")"),A705)</f>
        <v>Mĕngkă Zhèn</v>
      </c>
      <c r="C705" t="str">
        <f>IF(COUNTIF(B:B,B705)&gt;1,_xlfn.CONCAT(A705," (",M705,")"),B705)</f>
        <v>Mĕngkă Zhèn</v>
      </c>
      <c r="D705" t="s">
        <v>1750</v>
      </c>
      <c r="E705" t="s">
        <v>11</v>
      </c>
      <c r="F705" t="str">
        <f>_xlfn.CONCAT(D705,", ",H705,", ",I705,", ","云南省")</f>
        <v>勐卡镇, 西盟佤族自治县, 普洱市, 云南省</v>
      </c>
      <c r="G705">
        <v>17054</v>
      </c>
      <c r="H705" t="s">
        <v>2857</v>
      </c>
      <c r="I705" t="s">
        <v>2848</v>
      </c>
      <c r="J705">
        <f>VLOOKUP(F705,[1]!china_towns_second__2[[Column1]:[Y]],3,FALSE)</f>
        <v>22.770157628252999</v>
      </c>
      <c r="K705">
        <f>VLOOKUP(F705,[1]!china_towns_second__2[[Column1]:[Y]],2,FALSE)</f>
        <v>99.473371889999996</v>
      </c>
      <c r="L705" t="s">
        <v>4262</v>
      </c>
      <c r="M705" t="str">
        <f>VLOOKUP(H705,CHOOSE({1,2},Table17[Native],Table17[Name]),2,0)</f>
        <v>Xīméng Wăzú Zìzhìxiàn</v>
      </c>
      <c r="N705" s="15" t="str">
        <f>VLOOKUP(I705,CHOOSE({1,2},Table17[Native],Table17[Name]),2,0)</f>
        <v>Pŭ'ĕr Shì</v>
      </c>
      <c r="O705" s="15" t="str">
        <f t="shared" si="20"/>
        <v>Mengka Zhen (Pŭ'ĕr Shì)</v>
      </c>
      <c r="P705" s="15" t="str">
        <f t="shared" si="21"/>
        <v>Mengka Zhen (Pŭ'ĕr Shì)</v>
      </c>
    </row>
    <row r="706" spans="1:16" hidden="1" x14ac:dyDescent="0.25">
      <c r="A706" t="s">
        <v>1529</v>
      </c>
      <c r="B706" t="str">
        <f>IF(COUNTIF(A:A,A706)&gt;1,_xlfn.CONCAT(A706," (",N706,")"),A706)</f>
        <v>Mĕngkù Zhèn</v>
      </c>
      <c r="C706" t="str">
        <f>IF(COUNTIF(B:B,B706)&gt;1,_xlfn.CONCAT(A706," (",M706,")"),B706)</f>
        <v>Mĕngkù Zhèn</v>
      </c>
      <c r="D706" t="s">
        <v>1530</v>
      </c>
      <c r="E706" t="s">
        <v>11</v>
      </c>
      <c r="F706" t="str">
        <f>_xlfn.CONCAT(D706,", ",H706,", ",I706,", ","云南省")</f>
        <v>勐库镇, 双江拉祜族佤族布朗族傣族自治县, 临沧市, 云南省</v>
      </c>
      <c r="G706">
        <v>35146</v>
      </c>
      <c r="H706" t="s">
        <v>2836</v>
      </c>
      <c r="I706" t="s">
        <v>2831</v>
      </c>
      <c r="J706">
        <f>VLOOKUP(F706,[1]!china_towns_second__2[[Column1]:[Y]],3,FALSE)</f>
        <v>23.678979740445001</v>
      </c>
      <c r="K706">
        <f>VLOOKUP(F706,[1]!china_towns_second__2[[Column1]:[Y]],2,FALSE)</f>
        <v>99.890321650000004</v>
      </c>
      <c r="L706" t="s">
        <v>4263</v>
      </c>
      <c r="M706" t="str">
        <f>VLOOKUP(H706,CHOOSE({1,2},Table17[Native],Table17[Name]),2,0)</f>
        <v>Shuāngjiāng Lāhùzú Wăzú Bùlăngzú Dăizú Zìzhìxiàn</v>
      </c>
      <c r="N706" s="15" t="str">
        <f>VLOOKUP(I706,CHOOSE({1,2},Table17[Native],Table17[Name]),2,0)</f>
        <v>Líncāng Shì</v>
      </c>
      <c r="O706" s="15" t="str">
        <f t="shared" ref="O706:O769" si="22">_xlfn.CONCAT(L706," (",N706,")")</f>
        <v>Mengku Zhen (Líncāng Shì)</v>
      </c>
      <c r="P706" s="15" t="str">
        <f t="shared" ref="P706:P769" si="23">IF(COUNTIF(O:O,O706)&gt;1,_xlfn.CONCAT(L706," (",M706,")"),O706)</f>
        <v>Mengku Zhen (Líncāng Shì)</v>
      </c>
    </row>
    <row r="707" spans="1:16" x14ac:dyDescent="0.25">
      <c r="A707" t="s">
        <v>2289</v>
      </c>
      <c r="B707" t="str">
        <f>IF(COUNTIF(A:A,A707)&gt;1,_xlfn.CONCAT(A707," (",N707,")"),A707)</f>
        <v>Mĕnglà Zhèn</v>
      </c>
      <c r="C707" t="str">
        <f>IF(COUNTIF(B:B,B707)&gt;1,_xlfn.CONCAT(A707," (",M707,")"),B707)</f>
        <v>Mĕnglà Zhèn</v>
      </c>
      <c r="D707" t="s">
        <v>2290</v>
      </c>
      <c r="E707" t="s">
        <v>11</v>
      </c>
      <c r="F707" t="str">
        <f>_xlfn.CONCAT(D707,", ",H707,", ",I707,", ","云南省")</f>
        <v>勐腊镇, 勐腊县, 西双版纳傣族自治州, 云南省</v>
      </c>
      <c r="G707">
        <v>56612</v>
      </c>
      <c r="H707" t="s">
        <v>2886</v>
      </c>
      <c r="I707" t="s">
        <v>2883</v>
      </c>
      <c r="J707">
        <f>VLOOKUP(F707,[1]!china_towns_second__2[[Column1]:[Y]],3,FALSE)</f>
        <v>21.514559660665601</v>
      </c>
      <c r="K707">
        <f>VLOOKUP(F707,[1]!china_towns_second__2[[Column1]:[Y]],2,FALSE)</f>
        <v>101.58980680000001</v>
      </c>
      <c r="L707" t="s">
        <v>4264</v>
      </c>
      <c r="M707" t="str">
        <f>VLOOKUP(H707,CHOOSE({1,2},Table17[Native],Table17[Name]),2,0)</f>
        <v>Mĕnglà Xiàn</v>
      </c>
      <c r="N707" s="15" t="str">
        <f>VLOOKUP(I707,CHOOSE({1,2},Table17[Native],Table17[Name]),2,0)</f>
        <v>Xīshuāngbănnà Dăizú Zìzhìzhōu</v>
      </c>
      <c r="O707" s="15" t="str">
        <f t="shared" si="22"/>
        <v>Mengla Zhen (Xīshuāngbănnà Dăizú Zìzhìzhōu)</v>
      </c>
      <c r="P707" s="15" t="str">
        <f t="shared" si="23"/>
        <v>Mengla Zhen (Xīshuāngbănnà Dăizú Zìzhìzhōu)</v>
      </c>
    </row>
    <row r="708" spans="1:16" x14ac:dyDescent="0.25">
      <c r="A708" t="s">
        <v>907</v>
      </c>
      <c r="B708" t="str">
        <f>IF(COUNTIF(A:A,A708)&gt;1,_xlfn.CONCAT(A708," (",N708,")"),A708)</f>
        <v>Mĕnglā Zhèn</v>
      </c>
      <c r="C708" t="str">
        <f>IF(COUNTIF(B:B,B708)&gt;1,_xlfn.CONCAT(A708," (",M708,")"),B708)</f>
        <v>Mĕnglā Zhèn</v>
      </c>
      <c r="D708" t="s">
        <v>908</v>
      </c>
      <c r="E708" t="s">
        <v>11</v>
      </c>
      <c r="F708" t="str">
        <f>_xlfn.CONCAT(D708,", ",H708,", ",I708,", ","云南省")</f>
        <v>勐拉镇, 金平苗族瑶族傣族自治县, 红河哈尼族彝族自治州, 云南省</v>
      </c>
      <c r="G708">
        <v>33953</v>
      </c>
      <c r="H708" t="s">
        <v>2797</v>
      </c>
      <c r="I708" t="s">
        <v>2792</v>
      </c>
      <c r="J708">
        <f>VLOOKUP(F708,[1]!china_towns_second__2[[Column1]:[Y]],3,FALSE)</f>
        <v>22.659462537657699</v>
      </c>
      <c r="K708">
        <f>VLOOKUP(F708,[1]!china_towns_second__2[[Column1]:[Y]],2,FALSE)</f>
        <v>102.9811235</v>
      </c>
      <c r="L708" t="s">
        <v>4264</v>
      </c>
      <c r="M708" t="str">
        <f>VLOOKUP(H708,CHOOSE({1,2},Table17[Native],Table17[Name]),2,0)</f>
        <v>Jīnpíng Miáozú Yáozú Dăizú Zìzhìxiàn</v>
      </c>
      <c r="N708" s="15" t="str">
        <f>VLOOKUP(I708,CHOOSE({1,2},Table17[Native],Table17[Name]),2,0)</f>
        <v>Hónghé Hānízú Yízú Zìzhìzhōu</v>
      </c>
      <c r="O708" s="15" t="str">
        <f t="shared" si="22"/>
        <v>Mengla Zhen (Hónghé Hānízú Yízú Zìzhìzhōu)</v>
      </c>
      <c r="P708" s="15" t="str">
        <f t="shared" si="23"/>
        <v>Mengla Zhen (Hónghé Hānízú Yízú Zìzhìzhōu)</v>
      </c>
    </row>
    <row r="709" spans="1:16" hidden="1" x14ac:dyDescent="0.25">
      <c r="A709" t="s">
        <v>1531</v>
      </c>
      <c r="B709" t="str">
        <f>IF(COUNTIF(A:A,A709)&gt;1,_xlfn.CONCAT(A709," (",N709,")"),A709)</f>
        <v>Mĕnglái Xiāng</v>
      </c>
      <c r="C709" t="str">
        <f>IF(COUNTIF(B:B,B709)&gt;1,_xlfn.CONCAT(A709," (",M709,")"),B709)</f>
        <v>Mĕnglái Xiāng</v>
      </c>
      <c r="D709" t="s">
        <v>1532</v>
      </c>
      <c r="E709" t="s">
        <v>7</v>
      </c>
      <c r="F709" t="str">
        <f>_xlfn.CONCAT(D709,", ",H709,", ",I709,", ","云南省")</f>
        <v>勐来乡, 沧源佤族自治县, 临沧市, 云南省</v>
      </c>
      <c r="G709">
        <v>14443</v>
      </c>
      <c r="H709" t="s">
        <v>2832</v>
      </c>
      <c r="I709" t="s">
        <v>2831</v>
      </c>
      <c r="J709" t="e">
        <f>VLOOKUP(F709,[1]!china_towns_second__2[[Column1]:[Y]],3,FALSE)</f>
        <v>#N/A</v>
      </c>
      <c r="K709" t="e">
        <f>VLOOKUP(F709,[1]!china_towns_second__2[[Column1]:[Y]],2,FALSE)</f>
        <v>#N/A</v>
      </c>
      <c r="L709" t="s">
        <v>4265</v>
      </c>
      <c r="M709" t="str">
        <f>VLOOKUP(H709,CHOOSE({1,2},Table17[Native],Table17[Name]),2,0)</f>
        <v>Cāngyuán Wăzú Zìzhìxiàn</v>
      </c>
      <c r="N709" s="15" t="str">
        <f>VLOOKUP(I709,CHOOSE({1,2},Table17[Native],Table17[Name]),2,0)</f>
        <v>Líncāng Shì</v>
      </c>
      <c r="O709" s="15" t="str">
        <f t="shared" si="22"/>
        <v>Menglai Xiang (Líncāng Shì)</v>
      </c>
      <c r="P709" s="15" t="str">
        <f t="shared" si="23"/>
        <v>Menglai Xiang (Líncāng Shì)</v>
      </c>
    </row>
    <row r="710" spans="1:16" hidden="1" x14ac:dyDescent="0.25">
      <c r="A710" t="s">
        <v>1751</v>
      </c>
      <c r="B710" t="str">
        <f>IF(COUNTIF(A:A,A710)&gt;1,_xlfn.CONCAT(A710," (",N710,")"),A710)</f>
        <v>Mĕnglăng Zhèn</v>
      </c>
      <c r="C710" t="str">
        <f>IF(COUNTIF(B:B,B710)&gt;1,_xlfn.CONCAT(A710," (",M710,")"),B710)</f>
        <v>Mĕnglăng Zhèn</v>
      </c>
      <c r="D710" t="s">
        <v>1752</v>
      </c>
      <c r="E710" t="s">
        <v>11</v>
      </c>
      <c r="F710" t="str">
        <f>_xlfn.CONCAT(D710,", ",H710,", ",I710,", ","云南省")</f>
        <v>勐朗镇, 澜沧拉祜族自治县, 普洱市, 云南省</v>
      </c>
      <c r="G710">
        <v>86877</v>
      </c>
      <c r="H710" t="s">
        <v>2852</v>
      </c>
      <c r="I710" t="s">
        <v>2848</v>
      </c>
      <c r="J710">
        <f>VLOOKUP(F710,[1]!china_towns_second__2[[Column1]:[Y]],3,FALSE)</f>
        <v>22.552888498882702</v>
      </c>
      <c r="K710">
        <f>VLOOKUP(F710,[1]!china_towns_second__2[[Column1]:[Y]],2,FALSE)</f>
        <v>99.961913010000004</v>
      </c>
      <c r="L710" t="s">
        <v>4266</v>
      </c>
      <c r="M710" t="str">
        <f>VLOOKUP(H710,CHOOSE({1,2},Table17[Native],Table17[Name]),2,0)</f>
        <v>Láncāng Lāhùzú Zìzhìxiàn</v>
      </c>
      <c r="N710" s="15" t="str">
        <f>VLOOKUP(I710,CHOOSE({1,2},Table17[Native],Table17[Name]),2,0)</f>
        <v>Pŭ'ĕr Shì</v>
      </c>
      <c r="O710" s="15" t="str">
        <f t="shared" si="22"/>
        <v>Menglang Zhen (Pŭ'ĕr Shì)</v>
      </c>
      <c r="P710" s="15" t="str">
        <f t="shared" si="23"/>
        <v>Menglang Zhen (Pŭ'ĕr Shì)</v>
      </c>
    </row>
    <row r="711" spans="1:16" hidden="1" x14ac:dyDescent="0.25">
      <c r="A711" t="s">
        <v>1753</v>
      </c>
      <c r="B711" t="str">
        <f>IF(COUNTIF(A:A,A711)&gt;1,_xlfn.CONCAT(A711," (",N711,")"),A711)</f>
        <v>Mĕngliè Zhèn</v>
      </c>
      <c r="C711" t="str">
        <f>IF(COUNTIF(B:B,B711)&gt;1,_xlfn.CONCAT(A711," (",M711,")"),B711)</f>
        <v>Mĕngliè Zhèn</v>
      </c>
      <c r="D711" t="s">
        <v>1754</v>
      </c>
      <c r="E711" t="s">
        <v>11</v>
      </c>
      <c r="F711" t="str">
        <f>_xlfn.CONCAT(D711,", ",H711,", ",I711,", ","云南省")</f>
        <v>勐烈镇, 江城哈尼族彝族自治县, 普洱市, 云南省</v>
      </c>
      <c r="G711">
        <v>32306</v>
      </c>
      <c r="H711" t="s">
        <v>2849</v>
      </c>
      <c r="I711" t="s">
        <v>2848</v>
      </c>
      <c r="J711">
        <f>VLOOKUP(F711,[1]!china_towns_second__2[[Column1]:[Y]],3,FALSE)</f>
        <v>22.504883935535201</v>
      </c>
      <c r="K711">
        <f>VLOOKUP(F711,[1]!china_towns_second__2[[Column1]:[Y]],2,FALSE)</f>
        <v>101.89104570000001</v>
      </c>
      <c r="L711" t="s">
        <v>4267</v>
      </c>
      <c r="M711" t="str">
        <f>VLOOKUP(H711,CHOOSE({1,2},Table17[Native],Table17[Name]),2,0)</f>
        <v>Jiāngchéng Hānízú Yízú Zìzhìxiàn</v>
      </c>
      <c r="N711" s="15" t="str">
        <f>VLOOKUP(I711,CHOOSE({1,2},Table17[Native],Table17[Name]),2,0)</f>
        <v>Pŭ'ĕr Shì</v>
      </c>
      <c r="O711" s="15" t="str">
        <f t="shared" si="22"/>
        <v>Menglie Zhen (Pŭ'ĕr Shì)</v>
      </c>
      <c r="P711" s="15" t="str">
        <f t="shared" si="23"/>
        <v>Menglie Zhen (Pŭ'ĕr Shì)</v>
      </c>
    </row>
    <row r="712" spans="1:16" hidden="1" x14ac:dyDescent="0.25">
      <c r="A712" t="s">
        <v>2291</v>
      </c>
      <c r="B712" t="str">
        <f>IF(COUNTIF(A:A,A712)&gt;1,_xlfn.CONCAT(A712," (",N712,")"),A712)</f>
        <v>Mĕnglóng Zhèn</v>
      </c>
      <c r="C712" t="str">
        <f>IF(COUNTIF(B:B,B712)&gt;1,_xlfn.CONCAT(A712," (",M712,")"),B712)</f>
        <v>Mĕnglóng Zhèn</v>
      </c>
      <c r="D712" t="s">
        <v>2292</v>
      </c>
      <c r="E712" t="s">
        <v>11</v>
      </c>
      <c r="F712" t="str">
        <f>_xlfn.CONCAT(D712,", ",H712,", ",I712,", ","云南省")</f>
        <v>勐龙镇, 景洪市, 西双版纳傣族自治州, 云南省</v>
      </c>
      <c r="G712">
        <v>103420</v>
      </c>
      <c r="H712" t="s">
        <v>2884</v>
      </c>
      <c r="I712" t="s">
        <v>2883</v>
      </c>
      <c r="J712">
        <f>VLOOKUP(F712,[1]!china_towns_second__2[[Column1]:[Y]],3,FALSE)</f>
        <v>21.644184984783799</v>
      </c>
      <c r="K712">
        <f>VLOOKUP(F712,[1]!china_towns_second__2[[Column1]:[Y]],2,FALSE)</f>
        <v>100.6576147</v>
      </c>
      <c r="L712" t="s">
        <v>4268</v>
      </c>
      <c r="M712" t="str">
        <f>VLOOKUP(H712,CHOOSE({1,2},Table17[Native],Table17[Name]),2,0)</f>
        <v>Jĭnghóng Shì</v>
      </c>
      <c r="N712" s="15" t="str">
        <f>VLOOKUP(I712,CHOOSE({1,2},Table17[Native],Table17[Name]),2,0)</f>
        <v>Xīshuāngbănnà Dăizú Zìzhìzhōu</v>
      </c>
      <c r="O712" s="15" t="str">
        <f t="shared" si="22"/>
        <v>Menglong Zhen (Xīshuāngbănnà Dăizú Zìzhìzhōu)</v>
      </c>
      <c r="P712" s="15" t="str">
        <f t="shared" si="23"/>
        <v>Menglong Zhen (Xīshuāngbănnà Dăizú Zìzhìzhōu)</v>
      </c>
    </row>
    <row r="713" spans="1:16" hidden="1" x14ac:dyDescent="0.25">
      <c r="A713" t="s">
        <v>2293</v>
      </c>
      <c r="B713" t="str">
        <f>IF(COUNTIF(A:A,A713)&gt;1,_xlfn.CONCAT(A713," (",N713,")"),A713)</f>
        <v>Mĕnglún Zhèn</v>
      </c>
      <c r="C713" t="str">
        <f>IF(COUNTIF(B:B,B713)&gt;1,_xlfn.CONCAT(A713," (",M713,")"),B713)</f>
        <v>Mĕnglún Zhèn</v>
      </c>
      <c r="D713" t="s">
        <v>2294</v>
      </c>
      <c r="E713" t="s">
        <v>11</v>
      </c>
      <c r="F713" t="str">
        <f>_xlfn.CONCAT(D713,", ",H713,", ",I713,", ","云南省")</f>
        <v>勐仑镇, 勐腊县, 西双版纳傣族自治州, 云南省</v>
      </c>
      <c r="G713">
        <v>26607</v>
      </c>
      <c r="H713" t="s">
        <v>2886</v>
      </c>
      <c r="I713" t="s">
        <v>2883</v>
      </c>
      <c r="J713">
        <f>VLOOKUP(F713,[1]!china_towns_second__2[[Column1]:[Y]],3,FALSE)</f>
        <v>21.907288584508901</v>
      </c>
      <c r="K713">
        <f>VLOOKUP(F713,[1]!china_towns_second__2[[Column1]:[Y]],2,FALSE)</f>
        <v>101.2937898</v>
      </c>
      <c r="L713" t="s">
        <v>4269</v>
      </c>
      <c r="M713" t="str">
        <f>VLOOKUP(H713,CHOOSE({1,2},Table17[Native],Table17[Name]),2,0)</f>
        <v>Mĕnglà Xiàn</v>
      </c>
      <c r="N713" s="15" t="str">
        <f>VLOOKUP(I713,CHOOSE({1,2},Table17[Native],Table17[Name]),2,0)</f>
        <v>Xīshuāngbănnà Dăizú Zìzhìzhōu</v>
      </c>
      <c r="O713" s="15" t="str">
        <f t="shared" si="22"/>
        <v>Menglun Zhen (Xīshuāngbănnà Dăizú Zìzhìzhōu)</v>
      </c>
      <c r="P713" s="15" t="str">
        <f t="shared" si="23"/>
        <v>Menglun Zhen (Xīshuāngbănnà Dăizú Zìzhìzhōu)</v>
      </c>
    </row>
    <row r="714" spans="1:16" hidden="1" x14ac:dyDescent="0.25">
      <c r="A714" t="s">
        <v>1755</v>
      </c>
      <c r="B714" t="str">
        <f>IF(COUNTIF(A:A,A714)&gt;1,_xlfn.CONCAT(A714," (",N714,")"),A714)</f>
        <v>Mĕngmă Zhèn</v>
      </c>
      <c r="C714" t="str">
        <f>IF(COUNTIF(B:B,B714)&gt;1,_xlfn.CONCAT(A714," (",M714,")"),B714)</f>
        <v>Mĕngmă Zhèn</v>
      </c>
      <c r="D714" t="s">
        <v>1756</v>
      </c>
      <c r="E714" t="s">
        <v>11</v>
      </c>
      <c r="F714" t="str">
        <f>_xlfn.CONCAT(D714,", ",H714,", ",I714,", ","云南省")</f>
        <v>勐马镇, 孟连傣族拉祜族佤族自治县, 普洱市, 云南省</v>
      </c>
      <c r="G714">
        <v>30486</v>
      </c>
      <c r="H714" t="s">
        <v>2853</v>
      </c>
      <c r="I714" t="s">
        <v>2848</v>
      </c>
      <c r="J714">
        <f>VLOOKUP(F714,[1]!china_towns_second__2[[Column1]:[Y]],3,FALSE)</f>
        <v>22.189016407967902</v>
      </c>
      <c r="K714">
        <f>VLOOKUP(F714,[1]!china_towns_second__2[[Column1]:[Y]],2,FALSE)</f>
        <v>99.366525719999999</v>
      </c>
      <c r="L714" t="s">
        <v>4270</v>
      </c>
      <c r="M714" t="str">
        <f>VLOOKUP(H714,CHOOSE({1,2},Table17[Native],Table17[Name]),2,0)</f>
        <v>Mènglián Dăizú Lāhùzú Wăzú Zìzhìxiàn</v>
      </c>
      <c r="N714" s="15" t="str">
        <f>VLOOKUP(I714,CHOOSE({1,2},Table17[Native],Table17[Name]),2,0)</f>
        <v>Pŭ'ĕr Shì</v>
      </c>
      <c r="O714" s="15" t="str">
        <f t="shared" si="22"/>
        <v>Mengma Zhen (Pŭ'ĕr Shì)</v>
      </c>
      <c r="P714" s="15" t="str">
        <f t="shared" si="23"/>
        <v>Mengma Zhen (Pŭ'ĕr Shì)</v>
      </c>
    </row>
    <row r="715" spans="1:16" hidden="1" x14ac:dyDescent="0.25">
      <c r="A715" t="s">
        <v>2295</v>
      </c>
      <c r="B715" t="str">
        <f>IF(COUNTIF(A:A,A715)&gt;1,_xlfn.CONCAT(A715," (",N715,")"),A715)</f>
        <v>Mĕngmăn Zhèn (Xīshuāngbănnà Dăizú Zìzhìzhōu)</v>
      </c>
      <c r="C715" t="str">
        <f>IF(COUNTIF(B:B,B715)&gt;1,_xlfn.CONCAT(A715," (",M715,")"),B715)</f>
        <v>Mĕngmăn Zhèn (Mĕnghăi Xiàn)</v>
      </c>
      <c r="D715" t="s">
        <v>2296</v>
      </c>
      <c r="E715" t="s">
        <v>11</v>
      </c>
      <c r="F715" t="str">
        <f>_xlfn.CONCAT(D715,", ",H715,", ",I715,", ","云南省")</f>
        <v>勐满镇, 勐海县, 西双版纳傣族自治州, 云南省</v>
      </c>
      <c r="G715">
        <v>19450</v>
      </c>
      <c r="H715" t="s">
        <v>2885</v>
      </c>
      <c r="I715" t="s">
        <v>2883</v>
      </c>
      <c r="J715">
        <f>VLOOKUP(F715,[1]!china_towns_second__2[[Column1]:[Y]],3,FALSE)</f>
        <v>22.1366884809594</v>
      </c>
      <c r="K715">
        <f>VLOOKUP(F715,[1]!china_towns_second__2[[Column1]:[Y]],2,FALSE)</f>
        <v>100.14412539999999</v>
      </c>
      <c r="L715" t="s">
        <v>4271</v>
      </c>
      <c r="M715" t="str">
        <f>VLOOKUP(H715,CHOOSE({1,2},Table17[Native],Table17[Name]),2,0)</f>
        <v>Mĕnghăi Xiàn</v>
      </c>
      <c r="N715" s="15" t="str">
        <f>VLOOKUP(I715,CHOOSE({1,2},Table17[Native],Table17[Name]),2,0)</f>
        <v>Xīshuāngbănnà Dăizú Zìzhìzhōu</v>
      </c>
      <c r="O715" s="15" t="str">
        <f t="shared" si="22"/>
        <v>Mengman Zhen (Menghai Xian) (Xīshuāngbănnà Dăizú Zìzhìzhōu)</v>
      </c>
      <c r="P715" s="15" t="str">
        <f t="shared" si="23"/>
        <v>Mengman Zhen (Menghai Xian) (Xīshuāngbănnà Dăizú Zìzhìzhōu)</v>
      </c>
    </row>
    <row r="716" spans="1:16" hidden="1" x14ac:dyDescent="0.25">
      <c r="A716" t="s">
        <v>2295</v>
      </c>
      <c r="B716" t="str">
        <f>IF(COUNTIF(A:A,A716)&gt;1,_xlfn.CONCAT(A716," (",N716,")"),A716)</f>
        <v>Mĕngmăn Zhèn (Xīshuāngbănnà Dăizú Zìzhìzhōu)</v>
      </c>
      <c r="C716" t="str">
        <f>IF(COUNTIF(B:B,B716)&gt;1,_xlfn.CONCAT(A716," (",M716,")"),B716)</f>
        <v>Mĕngmăn Zhèn (Mĕnglà Xiàn)</v>
      </c>
      <c r="D716" t="s">
        <v>2296</v>
      </c>
      <c r="E716" t="s">
        <v>11</v>
      </c>
      <c r="F716" t="str">
        <f>_xlfn.CONCAT(D716,", ",H716,", ",I716,", ","云南省")</f>
        <v>勐满镇, 勐腊县, 西双版纳傣族自治州, 云南省</v>
      </c>
      <c r="G716">
        <v>25782</v>
      </c>
      <c r="H716" t="s">
        <v>2886</v>
      </c>
      <c r="I716" t="s">
        <v>2883</v>
      </c>
      <c r="J716">
        <f>VLOOKUP(F716,[1]!china_towns_second__2[[Column1]:[Y]],3,FALSE)</f>
        <v>21.288328163076201</v>
      </c>
      <c r="K716">
        <f>VLOOKUP(F716,[1]!china_towns_second__2[[Column1]:[Y]],2,FALSE)</f>
        <v>101.3271525</v>
      </c>
      <c r="L716" t="s">
        <v>4272</v>
      </c>
      <c r="M716" t="str">
        <f>VLOOKUP(H716,CHOOSE({1,2},Table17[Native],Table17[Name]),2,0)</f>
        <v>Mĕnglà Xiàn</v>
      </c>
      <c r="N716" s="15" t="str">
        <f>VLOOKUP(I716,CHOOSE({1,2},Table17[Native],Table17[Name]),2,0)</f>
        <v>Xīshuāngbănnà Dăizú Zìzhìzhōu</v>
      </c>
      <c r="O716" s="15" t="str">
        <f t="shared" si="22"/>
        <v>Mengman Zhen (Mengla Xian) (Xīshuāngbănnà Dăizú Zìzhìzhōu)</v>
      </c>
      <c r="P716" s="15" t="str">
        <f t="shared" si="23"/>
        <v>Mengman Zhen (Mengla Xian) (Xīshuāngbănnà Dăizú Zìzhìzhōu)</v>
      </c>
    </row>
    <row r="717" spans="1:16" hidden="1" x14ac:dyDescent="0.25">
      <c r="A717" t="s">
        <v>649</v>
      </c>
      <c r="B717" t="str">
        <f>IF(COUNTIF(A:A,A717)&gt;1,_xlfn.CONCAT(A717," (",N717,")"),A717)</f>
        <v>Mĕngmăo Zhèn</v>
      </c>
      <c r="C717" t="str">
        <f>IF(COUNTIF(B:B,B717)&gt;1,_xlfn.CONCAT(A717," (",M717,")"),B717)</f>
        <v>Mĕngmăo Zhèn</v>
      </c>
      <c r="D717" t="s">
        <v>650</v>
      </c>
      <c r="E717" t="s">
        <v>11</v>
      </c>
      <c r="F717" t="str">
        <f>_xlfn.CONCAT(D717,", ",H717,", ",I717,", ","云南省")</f>
        <v>勐卯镇, 瑞丽市, 德宏傣族景颇族自治州, 云南省</v>
      </c>
      <c r="G717">
        <v>112578</v>
      </c>
      <c r="H717" t="s">
        <v>2783</v>
      </c>
      <c r="I717" t="s">
        <v>2779</v>
      </c>
      <c r="J717">
        <f>VLOOKUP(F717,[1]!china_towns_second__2[[Column1]:[Y]],3,FALSE)</f>
        <v>24.063054724241098</v>
      </c>
      <c r="K717">
        <f>VLOOKUP(F717,[1]!china_towns_second__2[[Column1]:[Y]],2,FALSE)</f>
        <v>97.917875370000004</v>
      </c>
      <c r="L717" t="s">
        <v>4273</v>
      </c>
      <c r="M717" t="str">
        <f>VLOOKUP(H717,CHOOSE({1,2},Table17[Native],Table17[Name]),2,0)</f>
        <v>Ruìlì Shì</v>
      </c>
      <c r="N717" s="15" t="str">
        <f>VLOOKUP(I717,CHOOSE({1,2},Table17[Native],Table17[Name]),2,0)</f>
        <v>Déhóng Dăizú Jĭngpōzú Zìzhìzhōu</v>
      </c>
      <c r="O717" s="15" t="str">
        <f t="shared" si="22"/>
        <v>Mengmao Zhen (Déhóng Dăizú Jĭngpōzú Zìzhìzhōu)</v>
      </c>
      <c r="P717" s="15" t="str">
        <f t="shared" si="23"/>
        <v>Mengmao Zhen (Déhóng Dăizú Jĭngpōzú Zìzhìzhōu)</v>
      </c>
    </row>
    <row r="718" spans="1:16" hidden="1" x14ac:dyDescent="0.25">
      <c r="A718" t="s">
        <v>1533</v>
      </c>
      <c r="B718" t="str">
        <f>IF(COUNTIF(A:A,A718)&gt;1,_xlfn.CONCAT(A718," (",N718,")"),A718)</f>
        <v>Mĕngmĕng Zhèn</v>
      </c>
      <c r="C718" t="str">
        <f>IF(COUNTIF(B:B,B718)&gt;1,_xlfn.CONCAT(A718," (",M718,")"),B718)</f>
        <v>Mĕngmĕng Zhèn</v>
      </c>
      <c r="D718" t="s">
        <v>1534</v>
      </c>
      <c r="E718" t="s">
        <v>11</v>
      </c>
      <c r="F718" t="str">
        <f>_xlfn.CONCAT(D718,", ",H718,", ",I718,", ","云南省")</f>
        <v>勐勐镇, 双江拉祜族佤族布朗族傣族自治县, 临沧市, 云南省</v>
      </c>
      <c r="G718">
        <v>47966</v>
      </c>
      <c r="H718" t="s">
        <v>2836</v>
      </c>
      <c r="I718" t="s">
        <v>2831</v>
      </c>
      <c r="J718">
        <f>VLOOKUP(F718,[1]!china_towns_second__2[[Column1]:[Y]],3,FALSE)</f>
        <v>23.4681787228091</v>
      </c>
      <c r="K718">
        <f>VLOOKUP(F718,[1]!china_towns_second__2[[Column1]:[Y]],2,FALSE)</f>
        <v>99.885230629999995</v>
      </c>
      <c r="L718" t="s">
        <v>4274</v>
      </c>
      <c r="M718" t="str">
        <f>VLOOKUP(H718,CHOOSE({1,2},Table17[Native],Table17[Name]),2,0)</f>
        <v>Shuāngjiāng Lāhùzú Wăzú Bùlăngzú Dăizú Zìzhìxiàn</v>
      </c>
      <c r="N718" s="15" t="str">
        <f>VLOOKUP(I718,CHOOSE({1,2},Table17[Native],Table17[Name]),2,0)</f>
        <v>Líncāng Shì</v>
      </c>
      <c r="O718" s="15" t="str">
        <f t="shared" si="22"/>
        <v>Mengmeng Zhen (Líncāng Shì)</v>
      </c>
      <c r="P718" s="15" t="str">
        <f t="shared" si="23"/>
        <v>Mengmeng Zhen (Líncāng Shì)</v>
      </c>
    </row>
    <row r="719" spans="1:16" hidden="1" x14ac:dyDescent="0.25">
      <c r="A719" t="s">
        <v>651</v>
      </c>
      <c r="B719" t="str">
        <f>IF(COUNTIF(A:A,A719)&gt;1,_xlfn.CONCAT(A719," (",N719,")"),A719)</f>
        <v>Mĕngnòng Xiāng</v>
      </c>
      <c r="C719" t="str">
        <f>IF(COUNTIF(B:B,B719)&gt;1,_xlfn.CONCAT(A719," (",M719,")"),B719)</f>
        <v>Mĕngnòng Xiāng</v>
      </c>
      <c r="D719" t="s">
        <v>652</v>
      </c>
      <c r="E719" t="s">
        <v>7</v>
      </c>
      <c r="F719" t="str">
        <f>_xlfn.CONCAT(D719,", ",H719,", ",I719,", ","云南省")</f>
        <v>勐弄乡, 盈江县, 德宏傣族景颇族自治州, 云南省</v>
      </c>
      <c r="G719">
        <v>9832</v>
      </c>
      <c r="H719" t="s">
        <v>2784</v>
      </c>
      <c r="I719" t="s">
        <v>2779</v>
      </c>
      <c r="J719" t="e">
        <f>VLOOKUP(F719,[1]!china_towns_second__2[[Column1]:[Y]],3,FALSE)</f>
        <v>#N/A</v>
      </c>
      <c r="K719" t="e">
        <f>VLOOKUP(F719,[1]!china_towns_second__2[[Column1]:[Y]],2,FALSE)</f>
        <v>#N/A</v>
      </c>
      <c r="L719" t="s">
        <v>4275</v>
      </c>
      <c r="M719" t="str">
        <f>VLOOKUP(H719,CHOOSE({1,2},Table17[Native],Table17[Name]),2,0)</f>
        <v>Yíngjiāng Xiàn</v>
      </c>
      <c r="N719" s="15" t="str">
        <f>VLOOKUP(I719,CHOOSE({1,2},Table17[Native],Table17[Name]),2,0)</f>
        <v>Déhóng Dăizú Jĭngpōzú Zìzhìzhōu</v>
      </c>
      <c r="O719" s="15" t="str">
        <f t="shared" si="22"/>
        <v>Mengnong Xiang (Déhóng Dăizú Jĭngpōzú Zìzhìzhōu)</v>
      </c>
      <c r="P719" s="15" t="str">
        <f t="shared" si="23"/>
        <v>Mengnong Xiang (Déhóng Dăizú Jĭngpōzú Zìzhìzhōu)</v>
      </c>
    </row>
    <row r="720" spans="1:16" hidden="1" x14ac:dyDescent="0.25">
      <c r="A720" t="s">
        <v>1757</v>
      </c>
      <c r="B720" t="str">
        <f>IF(COUNTIF(A:A,A720)&gt;1,_xlfn.CONCAT(A720," (",N720,")"),A720)</f>
        <v>Mèngnòng Yízú Xiāng</v>
      </c>
      <c r="C720" t="str">
        <f>IF(COUNTIF(B:B,B720)&gt;1,_xlfn.CONCAT(A720," (",M720,")"),B720)</f>
        <v>Mèngnòng Yízú Xiāng</v>
      </c>
      <c r="D720" t="s">
        <v>1758</v>
      </c>
      <c r="E720" t="s">
        <v>7</v>
      </c>
      <c r="F720" t="str">
        <f>_xlfn.CONCAT(D720,", ",H720,", ",I720,", ","云南省")</f>
        <v>孟弄彝族乡, 墨江哈尼族自治县, 普洱市, 云南省</v>
      </c>
      <c r="G720">
        <v>12171</v>
      </c>
      <c r="H720" t="s">
        <v>2854</v>
      </c>
      <c r="I720" t="s">
        <v>2848</v>
      </c>
      <c r="J720" t="e">
        <f>VLOOKUP(F720,[1]!china_towns_second__2[[Column1]:[Y]],3,FALSE)</f>
        <v>#N/A</v>
      </c>
      <c r="K720" t="e">
        <f>VLOOKUP(F720,[1]!china_towns_second__2[[Column1]:[Y]],2,FALSE)</f>
        <v>#N/A</v>
      </c>
      <c r="L720" t="s">
        <v>4276</v>
      </c>
      <c r="M720" t="str">
        <f>VLOOKUP(H720,CHOOSE({1,2},Table17[Native],Table17[Name]),2,0)</f>
        <v>Mòjiāng Hānízú Zìzhìxiàn</v>
      </c>
      <c r="N720" s="15" t="str">
        <f>VLOOKUP(I720,CHOOSE({1,2},Table17[Native],Table17[Name]),2,0)</f>
        <v>Pŭ'ĕr Shì</v>
      </c>
      <c r="O720" s="15" t="str">
        <f t="shared" si="22"/>
        <v>Mengnong Yizu Xiang (Pŭ'ĕr Shì)</v>
      </c>
      <c r="P720" s="15" t="str">
        <f t="shared" si="23"/>
        <v>Mengnong Yizu Xiang (Pŭ'ĕr Shì)</v>
      </c>
    </row>
    <row r="721" spans="1:16" hidden="1" x14ac:dyDescent="0.25">
      <c r="A721" t="s">
        <v>83</v>
      </c>
      <c r="B721" t="str">
        <f>IF(COUNTIF(A:A,A721)&gt;1,_xlfn.CONCAT(A721," (",N721,")"),A721)</f>
        <v>Mĕngnuò Zhèn</v>
      </c>
      <c r="C721" t="str">
        <f>IF(COUNTIF(B:B,B721)&gt;1,_xlfn.CONCAT(A721," (",M721,")"),B721)</f>
        <v>Mĕngnuò Zhèn</v>
      </c>
      <c r="D721" t="s">
        <v>84</v>
      </c>
      <c r="E721" t="s">
        <v>11</v>
      </c>
      <c r="F721" t="str">
        <f>_xlfn.CONCAT(D721,", ",H721,", ",I721,", ","云南省")</f>
        <v>勐糯镇, 龙陵县, 保山市, 云南省</v>
      </c>
      <c r="G721">
        <v>18627</v>
      </c>
      <c r="H721" t="s">
        <v>2742</v>
      </c>
      <c r="I721" t="s">
        <v>2739</v>
      </c>
      <c r="J721">
        <f>VLOOKUP(F721,[1]!china_towns_second__2[[Column1]:[Y]],3,FALSE)</f>
        <v>24.316725096249499</v>
      </c>
      <c r="K721">
        <f>VLOOKUP(F721,[1]!china_towns_second__2[[Column1]:[Y]],2,FALSE)</f>
        <v>99.043574520000007</v>
      </c>
      <c r="L721" t="s">
        <v>4277</v>
      </c>
      <c r="M721" t="str">
        <f>VLOOKUP(H721,CHOOSE({1,2},Table17[Native],Table17[Name]),2,0)</f>
        <v>Lónglíng Xiàn</v>
      </c>
      <c r="N721" s="15" t="str">
        <f>VLOOKUP(I721,CHOOSE({1,2},Table17[Native],Table17[Name]),2,0)</f>
        <v>Băoshān Shì</v>
      </c>
      <c r="O721" s="15" t="str">
        <f t="shared" si="22"/>
        <v>Mengnuo Zhen (Băoshān Shì)</v>
      </c>
      <c r="P721" s="15" t="str">
        <f t="shared" si="23"/>
        <v>Mengnuo Zhen (Băoshān Shì)</v>
      </c>
    </row>
    <row r="722" spans="1:16" hidden="1" x14ac:dyDescent="0.25">
      <c r="A722" t="s">
        <v>1535</v>
      </c>
      <c r="B722" t="str">
        <f>IF(COUNTIF(A:A,A722)&gt;1,_xlfn.CONCAT(A722," (",N722,")"),A722)</f>
        <v>Mĕngpĕng Zhèn (Líncāng Shì)</v>
      </c>
      <c r="C722" t="str">
        <f>IF(COUNTIF(B:B,B722)&gt;1,_xlfn.CONCAT(A722," (",M722,")"),B722)</f>
        <v>Mĕngpĕng Zhèn (Líncāng Shì)</v>
      </c>
      <c r="D722" t="s">
        <v>1536</v>
      </c>
      <c r="E722" t="s">
        <v>11</v>
      </c>
      <c r="F722" t="str">
        <f>_xlfn.CONCAT(D722,", ",H722,", ",I722,", ","云南省")</f>
        <v>勐捧镇, 镇康县, 临沧市, 云南省</v>
      </c>
      <c r="G722">
        <v>40417</v>
      </c>
      <c r="H722" t="s">
        <v>2839</v>
      </c>
      <c r="I722" t="s">
        <v>2831</v>
      </c>
      <c r="J722">
        <f>VLOOKUP(F722,[1]!china_towns_second__2[[Column1]:[Y]],3,FALSE)</f>
        <v>24.116040404904901</v>
      </c>
      <c r="K722">
        <f>VLOOKUP(F722,[1]!china_towns_second__2[[Column1]:[Y]],2,FALSE)</f>
        <v>98.99541696</v>
      </c>
      <c r="L722" t="s">
        <v>4278</v>
      </c>
      <c r="M722" t="str">
        <f>VLOOKUP(H722,CHOOSE({1,2},Table17[Native],Table17[Name]),2,0)</f>
        <v>Zhènkāng Xiàn</v>
      </c>
      <c r="N722" s="15" t="str">
        <f>VLOOKUP(I722,CHOOSE({1,2},Table17[Native],Table17[Name]),2,0)</f>
        <v>Líncāng Shì</v>
      </c>
      <c r="O722" s="15" t="str">
        <f t="shared" si="22"/>
        <v>Mengpeng Zhen (Lincang Shi) (Líncāng Shì)</v>
      </c>
      <c r="P722" s="15" t="str">
        <f t="shared" si="23"/>
        <v>Mengpeng Zhen (Lincang Shi) (Líncāng Shì)</v>
      </c>
    </row>
    <row r="723" spans="1:16" hidden="1" x14ac:dyDescent="0.25">
      <c r="A723" t="s">
        <v>1535</v>
      </c>
      <c r="B723" t="str">
        <f>IF(COUNTIF(A:A,A723)&gt;1,_xlfn.CONCAT(A723," (",N723,")"),A723)</f>
        <v>Mĕngpĕng Zhèn (Xīshuāngbănnà Dăizú Zìzhìzhōu)</v>
      </c>
      <c r="C723" t="str">
        <f>IF(COUNTIF(B:B,B723)&gt;1,_xlfn.CONCAT(A723," (",M723,")"),B723)</f>
        <v>Mĕngpĕng Zhèn (Xīshuāngbănnà Dăizú Zìzhìzhōu)</v>
      </c>
      <c r="D723" t="s">
        <v>1536</v>
      </c>
      <c r="E723" t="s">
        <v>11</v>
      </c>
      <c r="F723" t="str">
        <f>_xlfn.CONCAT(D723,", ",H723,", ",I723,", ","云南省")</f>
        <v>勐捧镇, 勐腊县, 西双版纳傣族自治州, 云南省</v>
      </c>
      <c r="G723">
        <v>63205</v>
      </c>
      <c r="H723" t="s">
        <v>2886</v>
      </c>
      <c r="I723" t="s">
        <v>2883</v>
      </c>
      <c r="J723">
        <f>VLOOKUP(F723,[1]!china_towns_second__2[[Column1]:[Y]],3,FALSE)</f>
        <v>21.463317621064601</v>
      </c>
      <c r="K723">
        <f>VLOOKUP(F723,[1]!china_towns_second__2[[Column1]:[Y]],2,FALSE)</f>
        <v>101.3237531</v>
      </c>
      <c r="L723" t="s">
        <v>4279</v>
      </c>
      <c r="M723" t="str">
        <f>VLOOKUP(H723,CHOOSE({1,2},Table17[Native],Table17[Name]),2,0)</f>
        <v>Mĕnglà Xiàn</v>
      </c>
      <c r="N723" s="15" t="str">
        <f>VLOOKUP(I723,CHOOSE({1,2},Table17[Native],Table17[Name]),2,0)</f>
        <v>Xīshuāngbănnà Dăizú Zìzhìzhōu</v>
      </c>
      <c r="O723" s="15" t="str">
        <f t="shared" si="22"/>
        <v>Mengpeng Zhen (Xishuangbanna Daizu Zizhizhou) (Xīshuāngbănnà Dăizú Zìzhìzhōu)</v>
      </c>
      <c r="P723" s="15" t="str">
        <f t="shared" si="23"/>
        <v>Mengpeng Zhen (Xishuangbanna Daizu Zizhizhou) (Xīshuāngbănnà Dăizú Zìzhìzhōu)</v>
      </c>
    </row>
    <row r="724" spans="1:16" hidden="1" x14ac:dyDescent="0.25">
      <c r="A724" t="s">
        <v>909</v>
      </c>
      <c r="B724" t="str">
        <f>IF(COUNTIF(A:A,A724)&gt;1,_xlfn.CONCAT(A724," (",N724,")"),A724)</f>
        <v>Mĕngqiáo Xiāng</v>
      </c>
      <c r="C724" t="str">
        <f>IF(COUNTIF(B:B,B724)&gt;1,_xlfn.CONCAT(A724," (",M724,")"),B724)</f>
        <v>Mĕngqiáo Xiāng</v>
      </c>
      <c r="D724" t="s">
        <v>910</v>
      </c>
      <c r="E724" t="s">
        <v>7</v>
      </c>
      <c r="F724" t="str">
        <f>_xlfn.CONCAT(D724,", ",H724,", ",I724,", ","云南省")</f>
        <v>勐桥乡, 金平苗族瑶族傣族自治县, 红河哈尼族彝族自治州, 云南省</v>
      </c>
      <c r="G724">
        <v>24750</v>
      </c>
      <c r="H724" t="s">
        <v>2797</v>
      </c>
      <c r="I724" t="s">
        <v>2792</v>
      </c>
      <c r="J724" t="e">
        <f>VLOOKUP(F724,[1]!china_towns_second__2[[Column1]:[Y]],3,FALSE)</f>
        <v>#N/A</v>
      </c>
      <c r="K724" t="e">
        <f>VLOOKUP(F724,[1]!china_towns_second__2[[Column1]:[Y]],2,FALSE)</f>
        <v>#N/A</v>
      </c>
      <c r="L724" t="s">
        <v>4280</v>
      </c>
      <c r="M724" t="str">
        <f>VLOOKUP(H724,CHOOSE({1,2},Table17[Native],Table17[Name]),2,0)</f>
        <v>Jīnpíng Miáozú Yáozú Dăizú Zìzhìxiàn</v>
      </c>
      <c r="N724" s="15" t="str">
        <f>VLOOKUP(I724,CHOOSE({1,2},Table17[Native],Table17[Name]),2,0)</f>
        <v>Hónghé Hānízú Yízú Zìzhìzhōu</v>
      </c>
      <c r="O724" s="15" t="str">
        <f t="shared" si="22"/>
        <v>Mengqiao Xiang (Hónghé Hānízú Yízú Zìzhìzhōu)</v>
      </c>
      <c r="P724" s="15" t="str">
        <f t="shared" si="23"/>
        <v>Mengqiao Xiang (Hónghé Hānízú Yízú Zìzhìzhōu)</v>
      </c>
    </row>
    <row r="725" spans="1:16" hidden="1" x14ac:dyDescent="0.25">
      <c r="A725" t="s">
        <v>1537</v>
      </c>
      <c r="B725" t="str">
        <f>IF(COUNTIF(A:A,A725)&gt;1,_xlfn.CONCAT(A725," (",N725,")"),A725)</f>
        <v>Mĕngsā Zhèn</v>
      </c>
      <c r="C725" t="str">
        <f>IF(COUNTIF(B:B,B725)&gt;1,_xlfn.CONCAT(A725," (",M725,")"),B725)</f>
        <v>Mĕngsā Zhèn</v>
      </c>
      <c r="D725" t="s">
        <v>1538</v>
      </c>
      <c r="E725" t="s">
        <v>11</v>
      </c>
      <c r="F725" t="str">
        <f>_xlfn.CONCAT(D725,", ",H725,", ",I725,", ","云南省")</f>
        <v>勐撒镇, 耿马傣族佤族自治县, 临沧市, 云南省</v>
      </c>
      <c r="G725">
        <v>37299</v>
      </c>
      <c r="H725" t="s">
        <v>2834</v>
      </c>
      <c r="I725" t="s">
        <v>2831</v>
      </c>
      <c r="J725">
        <f>VLOOKUP(F725,[1]!china_towns_second__2[[Column1]:[Y]],3,FALSE)</f>
        <v>23.764347129431599</v>
      </c>
      <c r="K725">
        <f>VLOOKUP(F725,[1]!china_towns_second__2[[Column1]:[Y]],2,FALSE)</f>
        <v>99.642049639999996</v>
      </c>
      <c r="L725" t="s">
        <v>4281</v>
      </c>
      <c r="M725" t="str">
        <f>VLOOKUP(H725,CHOOSE({1,2},Table17[Native],Table17[Name]),2,0)</f>
        <v>Gĕngmă Dăizú Wăzú Zìzhìxiàn</v>
      </c>
      <c r="N725" s="15" t="str">
        <f>VLOOKUP(I725,CHOOSE({1,2},Table17[Native],Table17[Name]),2,0)</f>
        <v>Líncāng Shì</v>
      </c>
      <c r="O725" s="15" t="str">
        <f t="shared" si="22"/>
        <v>Mengsa Zhen (Líncāng Shì)</v>
      </c>
      <c r="P725" s="15" t="str">
        <f t="shared" si="23"/>
        <v>Mengsa Zhen (Líncāng Shì)</v>
      </c>
    </row>
    <row r="726" spans="1:16" hidden="1" x14ac:dyDescent="0.25">
      <c r="A726" t="s">
        <v>1539</v>
      </c>
      <c r="B726" t="str">
        <f>IF(COUNTIF(A:A,A726)&gt;1,_xlfn.CONCAT(A726," (",N726,")"),A726)</f>
        <v>Mĕngshĕng Zhèn</v>
      </c>
      <c r="C726" t="str">
        <f>IF(COUNTIF(B:B,B726)&gt;1,_xlfn.CONCAT(A726," (",M726,")"),B726)</f>
        <v>Mĕngshĕng Zhèn</v>
      </c>
      <c r="D726" t="s">
        <v>1540</v>
      </c>
      <c r="E726" t="s">
        <v>11</v>
      </c>
      <c r="F726" t="str">
        <f>_xlfn.CONCAT(D726,", ",H726,", ",I726,", ","云南省")</f>
        <v>勐省镇, 沧源佤族自治县, 临沧市, 云南省</v>
      </c>
      <c r="G726">
        <v>23530</v>
      </c>
      <c r="H726" t="s">
        <v>2832</v>
      </c>
      <c r="I726" t="s">
        <v>2831</v>
      </c>
      <c r="J726">
        <f>VLOOKUP(F726,[1]!china_towns_second__2[[Column1]:[Y]],3,FALSE)</f>
        <v>23.335941948028601</v>
      </c>
      <c r="K726">
        <f>VLOOKUP(F726,[1]!china_towns_second__2[[Column1]:[Y]],2,FALSE)</f>
        <v>99.418830009999994</v>
      </c>
      <c r="L726" t="s">
        <v>4282</v>
      </c>
      <c r="M726" t="str">
        <f>VLOOKUP(H726,CHOOSE({1,2},Table17[Native],Table17[Name]),2,0)</f>
        <v>Cāngyuán Wăzú Zìzhìxiàn</v>
      </c>
      <c r="N726" s="15" t="str">
        <f>VLOOKUP(I726,CHOOSE({1,2},Table17[Native],Table17[Name]),2,0)</f>
        <v>Líncāng Shì</v>
      </c>
      <c r="O726" s="15" t="str">
        <f t="shared" si="22"/>
        <v>Mengsheng Zhen (Líncāng Shì)</v>
      </c>
      <c r="P726" s="15" t="str">
        <f t="shared" si="23"/>
        <v>Mengsheng Zhen (Líncāng Shì)</v>
      </c>
    </row>
    <row r="727" spans="1:16" hidden="1" x14ac:dyDescent="0.25">
      <c r="A727" t="s">
        <v>2297</v>
      </c>
      <c r="B727" t="str">
        <f>IF(COUNTIF(A:A,A727)&gt;1,_xlfn.CONCAT(A727," (",N727,")"),A727)</f>
        <v>Mĕngsòng Xiāng</v>
      </c>
      <c r="C727" t="str">
        <f>IF(COUNTIF(B:B,B727)&gt;1,_xlfn.CONCAT(A727," (",M727,")"),B727)</f>
        <v>Mĕngsòng Xiāng</v>
      </c>
      <c r="D727" t="s">
        <v>2298</v>
      </c>
      <c r="E727" t="s">
        <v>7</v>
      </c>
      <c r="F727" t="str">
        <f>_xlfn.CONCAT(D727,", ",H727,", ",I727,", ","云南省")</f>
        <v>勐宋乡, 勐海县, 西双版纳傣族自治州, 云南省</v>
      </c>
      <c r="G727">
        <v>23015</v>
      </c>
      <c r="H727" t="s">
        <v>2885</v>
      </c>
      <c r="I727" t="s">
        <v>2883</v>
      </c>
      <c r="J727" t="e">
        <f>VLOOKUP(F727,[1]!china_towns_second__2[[Column1]:[Y]],3,FALSE)</f>
        <v>#N/A</v>
      </c>
      <c r="K727" t="e">
        <f>VLOOKUP(F727,[1]!china_towns_second__2[[Column1]:[Y]],2,FALSE)</f>
        <v>#N/A</v>
      </c>
      <c r="L727" t="s">
        <v>4283</v>
      </c>
      <c r="M727" t="str">
        <f>VLOOKUP(H727,CHOOSE({1,2},Table17[Native],Table17[Name]),2,0)</f>
        <v>Mĕnghăi Xiàn</v>
      </c>
      <c r="N727" s="15" t="str">
        <f>VLOOKUP(I727,CHOOSE({1,2},Table17[Native],Table17[Name]),2,0)</f>
        <v>Xīshuāngbănnà Dăizú Zìzhìzhōu</v>
      </c>
      <c r="O727" s="15" t="str">
        <f t="shared" si="22"/>
        <v>Mengsong Xiang (Xīshuāngbănnà Dăizú Zìzhìzhōu)</v>
      </c>
      <c r="P727" s="15" t="str">
        <f t="shared" si="23"/>
        <v>Mengsong Xiang (Xīshuāngbănnà Dăizú Zìzhìzhōu)</v>
      </c>
    </row>
    <row r="728" spans="1:16" hidden="1" x14ac:dyDescent="0.25">
      <c r="A728" t="s">
        <v>1759</v>
      </c>
      <c r="B728" t="str">
        <f>IF(COUNTIF(A:A,A728)&gt;1,_xlfn.CONCAT(A728," (",N728,")"),A728)</f>
        <v>Mĕngsuō Zhèn</v>
      </c>
      <c r="C728" t="str">
        <f>IF(COUNTIF(B:B,B728)&gt;1,_xlfn.CONCAT(A728," (",M728,")"),B728)</f>
        <v>Mĕngsuō Zhèn</v>
      </c>
      <c r="D728" t="s">
        <v>1760</v>
      </c>
      <c r="E728" t="s">
        <v>11</v>
      </c>
      <c r="F728" t="str">
        <f>_xlfn.CONCAT(D728,", ",H728,", ",I728,", ","云南省")</f>
        <v>勐梭镇, 西盟佤族自治县, 普洱市, 云南省</v>
      </c>
      <c r="G728">
        <v>21307</v>
      </c>
      <c r="H728" t="s">
        <v>2857</v>
      </c>
      <c r="I728" t="s">
        <v>2848</v>
      </c>
      <c r="J728">
        <f>VLOOKUP(F728,[1]!china_towns_second__2[[Column1]:[Y]],3,FALSE)</f>
        <v>22.6399229934812</v>
      </c>
      <c r="K728">
        <f>VLOOKUP(F728,[1]!china_towns_second__2[[Column1]:[Y]],2,FALSE)</f>
        <v>99.606539799999993</v>
      </c>
      <c r="L728" t="s">
        <v>4284</v>
      </c>
      <c r="M728" t="str">
        <f>VLOOKUP(H728,CHOOSE({1,2},Table17[Native],Table17[Name]),2,0)</f>
        <v>Xīméng Wăzú Zìzhìxiàn</v>
      </c>
      <c r="N728" s="15" t="str">
        <f>VLOOKUP(I728,CHOOSE({1,2},Table17[Native],Table17[Name]),2,0)</f>
        <v>Pŭ'ĕr Shì</v>
      </c>
      <c r="O728" s="15" t="str">
        <f t="shared" si="22"/>
        <v>Mengsuo Zhen (Pŭ'ĕr Shì)</v>
      </c>
      <c r="P728" s="15" t="str">
        <f t="shared" si="23"/>
        <v>Mengsuo Zhen (Pŭ'ĕr Shì)</v>
      </c>
    </row>
    <row r="729" spans="1:16" hidden="1" x14ac:dyDescent="0.25">
      <c r="A729" t="s">
        <v>85</v>
      </c>
      <c r="B729" t="str">
        <f>IF(COUNTIF(A:A,A729)&gt;1,_xlfn.CONCAT(A729," (",N729,")"),A729)</f>
        <v>Mĕngtŏng Zhèn</v>
      </c>
      <c r="C729" t="str">
        <f>IF(COUNTIF(B:B,B729)&gt;1,_xlfn.CONCAT(A729," (",M729,")"),B729)</f>
        <v>Mĕngtŏng Zhèn</v>
      </c>
      <c r="D729" t="s">
        <v>86</v>
      </c>
      <c r="E729" t="s">
        <v>11</v>
      </c>
      <c r="F729" t="str">
        <f>_xlfn.CONCAT(D729,", ",H729,", ",I729,", ","云南省")</f>
        <v>勐统镇, 昌宁县, 保山市, 云南省</v>
      </c>
      <c r="G729">
        <v>25519</v>
      </c>
      <c r="H729" t="s">
        <v>2741</v>
      </c>
      <c r="I729" t="s">
        <v>2739</v>
      </c>
      <c r="J729">
        <f>VLOOKUP(F729,[1]!china_towns_second__2[[Column1]:[Y]],3,FALSE)</f>
        <v>24.531546182954798</v>
      </c>
      <c r="K729">
        <f>VLOOKUP(F729,[1]!china_towns_second__2[[Column1]:[Y]],2,FALSE)</f>
        <v>99.603715500000007</v>
      </c>
      <c r="L729" t="s">
        <v>4285</v>
      </c>
      <c r="M729" t="str">
        <f>VLOOKUP(H729,CHOOSE({1,2},Table17[Native],Table17[Name]),2,0)</f>
        <v>Chāngníng Xiàn</v>
      </c>
      <c r="N729" s="15" t="str">
        <f>VLOOKUP(I729,CHOOSE({1,2},Table17[Native],Table17[Name]),2,0)</f>
        <v>Băoshān Shì</v>
      </c>
      <c r="O729" s="15" t="str">
        <f t="shared" si="22"/>
        <v>Mengtong Zhen (Băoshān Shì)</v>
      </c>
      <c r="P729" s="15" t="str">
        <f t="shared" si="23"/>
        <v>Mengtong Zhen (Băoshān Shì)</v>
      </c>
    </row>
    <row r="730" spans="1:16" hidden="1" x14ac:dyDescent="0.25">
      <c r="A730" t="s">
        <v>2299</v>
      </c>
      <c r="B730" t="str">
        <f>IF(COUNTIF(A:A,A730)&gt;1,_xlfn.CONCAT(A730," (",N730,")"),A730)</f>
        <v>Mĕngwàng Xiāng</v>
      </c>
      <c r="C730" t="str">
        <f>IF(COUNTIF(B:B,B730)&gt;1,_xlfn.CONCAT(A730," (",M730,")"),B730)</f>
        <v>Mĕngwàng Xiāng</v>
      </c>
      <c r="D730" t="s">
        <v>2300</v>
      </c>
      <c r="E730" t="s">
        <v>7</v>
      </c>
      <c r="F730" t="str">
        <f>_xlfn.CONCAT(D730,", ",H730,", ",I730,", ","云南省")</f>
        <v>勐旺乡, 景洪市, 西双版纳傣族自治州, 云南省</v>
      </c>
      <c r="G730">
        <v>13137</v>
      </c>
      <c r="H730" t="s">
        <v>2884</v>
      </c>
      <c r="I730" t="s">
        <v>2883</v>
      </c>
      <c r="J730" t="e">
        <f>VLOOKUP(F730,[1]!china_towns_second__2[[Column1]:[Y]],3,FALSE)</f>
        <v>#N/A</v>
      </c>
      <c r="K730" t="e">
        <f>VLOOKUP(F730,[1]!china_towns_second__2[[Column1]:[Y]],2,FALSE)</f>
        <v>#N/A</v>
      </c>
      <c r="L730" t="s">
        <v>4286</v>
      </c>
      <c r="M730" t="str">
        <f>VLOOKUP(H730,CHOOSE({1,2},Table17[Native],Table17[Name]),2,0)</f>
        <v>Jĭnghóng Shì</v>
      </c>
      <c r="N730" s="15" t="str">
        <f>VLOOKUP(I730,CHOOSE({1,2},Table17[Native],Table17[Name]),2,0)</f>
        <v>Xīshuāngbănnà Dăizú Zìzhìzhōu</v>
      </c>
      <c r="O730" s="15" t="str">
        <f t="shared" si="22"/>
        <v>Mengwang Xiang (Xīshuāngbănnà Dăizú Zìzhìzhōu)</v>
      </c>
      <c r="P730" s="15" t="str">
        <f t="shared" si="23"/>
        <v>Mengwang Xiang (Jĭnghóng Shì)</v>
      </c>
    </row>
    <row r="731" spans="1:16" hidden="1" x14ac:dyDescent="0.25">
      <c r="A731" t="s">
        <v>2301</v>
      </c>
      <c r="B731" t="str">
        <f>IF(COUNTIF(A:A,A731)&gt;1,_xlfn.CONCAT(A731," (",N731,")"),A731)</f>
        <v>Mĕngwăng Xiāng</v>
      </c>
      <c r="C731" t="str">
        <f>IF(COUNTIF(B:B,B731)&gt;1,_xlfn.CONCAT(A731," (",M731,")"),B731)</f>
        <v>Mĕngwăng Xiāng</v>
      </c>
      <c r="D731" t="s">
        <v>2302</v>
      </c>
      <c r="E731" t="s">
        <v>7</v>
      </c>
      <c r="F731" t="str">
        <f>_xlfn.CONCAT(D731,", ",H731,", ",I731,", ","云南省")</f>
        <v>勐往乡, 勐海县, 西双版纳傣族自治州, 云南省</v>
      </c>
      <c r="G731">
        <v>14631</v>
      </c>
      <c r="H731" t="s">
        <v>2885</v>
      </c>
      <c r="I731" t="s">
        <v>2883</v>
      </c>
      <c r="J731" t="e">
        <f>VLOOKUP(F731,[1]!china_towns_second__2[[Column1]:[Y]],3,FALSE)</f>
        <v>#N/A</v>
      </c>
      <c r="K731" t="e">
        <f>VLOOKUP(F731,[1]!china_towns_second__2[[Column1]:[Y]],2,FALSE)</f>
        <v>#N/A</v>
      </c>
      <c r="L731" t="s">
        <v>4286</v>
      </c>
      <c r="M731" t="str">
        <f>VLOOKUP(H731,CHOOSE({1,2},Table17[Native],Table17[Name]),2,0)</f>
        <v>Mĕnghăi Xiàn</v>
      </c>
      <c r="N731" s="15" t="str">
        <f>VLOOKUP(I731,CHOOSE({1,2},Table17[Native],Table17[Name]),2,0)</f>
        <v>Xīshuāngbănnà Dăizú Zìzhìzhōu</v>
      </c>
      <c r="O731" s="15" t="str">
        <f t="shared" si="22"/>
        <v>Mengwang Xiang (Xīshuāngbănnà Dăizú Zìzhìzhōu)</v>
      </c>
      <c r="P731" s="15" t="str">
        <f t="shared" si="23"/>
        <v>Mengwang Xiang (Mĕnghăi Xiàn)</v>
      </c>
    </row>
    <row r="732" spans="1:16" hidden="1" x14ac:dyDescent="0.25">
      <c r="A732" t="s">
        <v>1761</v>
      </c>
      <c r="B732" t="str">
        <f>IF(COUNTIF(A:A,A732)&gt;1,_xlfn.CONCAT(A732," (",N732,")"),A732)</f>
        <v>Mĕngxiān Zhèn</v>
      </c>
      <c r="C732" t="str">
        <f>IF(COUNTIF(B:B,B732)&gt;1,_xlfn.CONCAT(A732," (",M732,")"),B732)</f>
        <v>Mĕngxiān Zhèn</v>
      </c>
      <c r="D732" t="s">
        <v>1762</v>
      </c>
      <c r="E732" t="s">
        <v>11</v>
      </c>
      <c r="F732" t="str">
        <f>_xlfn.CONCAT(D732,", ",H732,", ",I732,", ","云南省")</f>
        <v>勐先镇, 宁洱哈尼族彝族自治县, 普洱市, 云南省</v>
      </c>
      <c r="G732">
        <v>19666</v>
      </c>
      <c r="H732" t="s">
        <v>2855</v>
      </c>
      <c r="I732" t="s">
        <v>2848</v>
      </c>
      <c r="J732">
        <f>VLOOKUP(F732,[1]!china_towns_second__2[[Column1]:[Y]],3,FALSE)</f>
        <v>22.9812162118487</v>
      </c>
      <c r="K732">
        <f>VLOOKUP(F732,[1]!china_towns_second__2[[Column1]:[Y]],2,FALSE)</f>
        <v>101.2441954</v>
      </c>
      <c r="L732" t="s">
        <v>4287</v>
      </c>
      <c r="M732" t="str">
        <f>VLOOKUP(H732,CHOOSE({1,2},Table17[Native],Table17[Name]),2,0)</f>
        <v>Níng'ĕr Hānízú Yízú Zìzhìxiàn</v>
      </c>
      <c r="N732" s="15" t="str">
        <f>VLOOKUP(I732,CHOOSE({1,2},Table17[Native],Table17[Name]),2,0)</f>
        <v>Pŭ'ĕr Shì</v>
      </c>
      <c r="O732" s="15" t="str">
        <f t="shared" si="22"/>
        <v>Mengxian Zhen (Pŭ'ĕr Shì)</v>
      </c>
      <c r="P732" s="15" t="str">
        <f t="shared" si="23"/>
        <v>Mengxian Zhen (Pŭ'ĕr Shì)</v>
      </c>
    </row>
    <row r="733" spans="1:16" hidden="1" x14ac:dyDescent="0.25">
      <c r="A733" t="s">
        <v>653</v>
      </c>
      <c r="B733" t="str">
        <f>IF(COUNTIF(A:A,A733)&gt;1,_xlfn.CONCAT(A733," (",N733,")"),A733)</f>
        <v>Mĕngxiù Xiāng</v>
      </c>
      <c r="C733" t="str">
        <f>IF(COUNTIF(B:B,B733)&gt;1,_xlfn.CONCAT(A733," (",M733,")"),B733)</f>
        <v>Mĕngxiù Xiāng</v>
      </c>
      <c r="D733" t="s">
        <v>654</v>
      </c>
      <c r="E733" t="s">
        <v>7</v>
      </c>
      <c r="F733" t="str">
        <f>_xlfn.CONCAT(D733,", ",H733,", ",I733,", ","云南省")</f>
        <v>勐秀乡, 瑞丽市, 德宏傣族景颇族自治州, 云南省</v>
      </c>
      <c r="G733">
        <v>11595</v>
      </c>
      <c r="H733" t="s">
        <v>2783</v>
      </c>
      <c r="I733" t="s">
        <v>2779</v>
      </c>
      <c r="J733" t="e">
        <f>VLOOKUP(F733,[1]!china_towns_second__2[[Column1]:[Y]],3,FALSE)</f>
        <v>#N/A</v>
      </c>
      <c r="K733" t="e">
        <f>VLOOKUP(F733,[1]!china_towns_second__2[[Column1]:[Y]],2,FALSE)</f>
        <v>#N/A</v>
      </c>
      <c r="L733" t="s">
        <v>4288</v>
      </c>
      <c r="M733" t="str">
        <f>VLOOKUP(H733,CHOOSE({1,2},Table17[Native],Table17[Name]),2,0)</f>
        <v>Ruìlì Shì</v>
      </c>
      <c r="N733" s="15" t="str">
        <f>VLOOKUP(I733,CHOOSE({1,2},Table17[Native],Table17[Name]),2,0)</f>
        <v>Déhóng Dăizú Jĭngpōzú Zìzhìzhōu</v>
      </c>
      <c r="O733" s="15" t="str">
        <f t="shared" si="22"/>
        <v>Mengxiu Xiang (Déhóng Dăizú Jĭngpōzú Zìzhìzhōu)</v>
      </c>
      <c r="P733" s="15" t="str">
        <f t="shared" si="23"/>
        <v>Mengxiu Xiang (Déhóng Dăizú Jĭngpōzú Zìzhìzhōu)</v>
      </c>
    </row>
    <row r="734" spans="1:16" hidden="1" x14ac:dyDescent="0.25">
      <c r="A734" t="s">
        <v>655</v>
      </c>
      <c r="B734" t="str">
        <f>IF(COUNTIF(A:A,A734)&gt;1,_xlfn.CONCAT(A734," (",N734,")"),A734)</f>
        <v>Mĕngyăng Zhèn (Déhóng Dăizú Jĭngpōzú Zìzhìzhōu)</v>
      </c>
      <c r="C734" t="str">
        <f>IF(COUNTIF(B:B,B734)&gt;1,_xlfn.CONCAT(A734," (",M734,")"),B734)</f>
        <v>Mĕngyăng Zhèn (Déhóng Dăizú Jĭngpōzú Zìzhìzhōu)</v>
      </c>
      <c r="D734" t="s">
        <v>656</v>
      </c>
      <c r="E734" t="s">
        <v>11</v>
      </c>
      <c r="F734" t="str">
        <f>_xlfn.CONCAT(D734,", ",H734,", ",I734,", ","云南省")</f>
        <v>勐养镇, 梁河县, 德宏傣族景颇族自治州, 云南省</v>
      </c>
      <c r="G734">
        <v>17371</v>
      </c>
      <c r="H734" t="s">
        <v>2780</v>
      </c>
      <c r="I734" t="s">
        <v>2779</v>
      </c>
      <c r="J734">
        <f>VLOOKUP(F734,[1]!china_towns_second__2[[Column1]:[Y]],3,FALSE)</f>
        <v>24.602600674312502</v>
      </c>
      <c r="K734">
        <f>VLOOKUP(F734,[1]!china_towns_second__2[[Column1]:[Y]],2,FALSE)</f>
        <v>98.287070220000004</v>
      </c>
      <c r="L734" t="s">
        <v>4289</v>
      </c>
      <c r="M734" t="str">
        <f>VLOOKUP(H734,CHOOSE({1,2},Table17[Native],Table17[Name]),2,0)</f>
        <v>Liánghé Xiàn</v>
      </c>
      <c r="N734" s="15" t="str">
        <f>VLOOKUP(I734,CHOOSE({1,2},Table17[Native],Table17[Name]),2,0)</f>
        <v>Déhóng Dăizú Jĭngpōzú Zìzhìzhōu</v>
      </c>
      <c r="O734" s="15" t="str">
        <f t="shared" si="22"/>
        <v>Mengyang Zhen (Dehong Daizu Jingpozu Zizhizhou) (Déhóng Dăizú Jĭngpōzú Zìzhìzhōu)</v>
      </c>
      <c r="P734" s="15" t="str">
        <f t="shared" si="23"/>
        <v>Mengyang Zhen (Dehong Daizu Jingpozu Zizhizhou) (Déhóng Dăizú Jĭngpōzú Zìzhìzhōu)</v>
      </c>
    </row>
    <row r="735" spans="1:16" hidden="1" x14ac:dyDescent="0.25">
      <c r="A735" t="s">
        <v>655</v>
      </c>
      <c r="B735" t="str">
        <f>IF(COUNTIF(A:A,A735)&gt;1,_xlfn.CONCAT(A735," (",N735,")"),A735)</f>
        <v>Mĕngyăng Zhèn (Xīshuāngbănnà Dăizú Zìzhìzhōu)</v>
      </c>
      <c r="C735" t="str">
        <f>IF(COUNTIF(B:B,B735)&gt;1,_xlfn.CONCAT(A735," (",M735,")"),B735)</f>
        <v>Mĕngyăng Zhèn (Xīshuāngbănnà Dăizú Zìzhìzhōu)</v>
      </c>
      <c r="D735" t="s">
        <v>656</v>
      </c>
      <c r="E735" t="s">
        <v>11</v>
      </c>
      <c r="F735" t="str">
        <f>_xlfn.CONCAT(D735,", ",H735,", ",I735,", ","云南省")</f>
        <v>勐养镇, 景洪市, 西双版纳傣族自治州, 云南省</v>
      </c>
      <c r="G735">
        <v>27448</v>
      </c>
      <c r="H735" t="s">
        <v>2884</v>
      </c>
      <c r="I735" t="s">
        <v>2883</v>
      </c>
      <c r="J735">
        <f>VLOOKUP(F735,[1]!china_towns_second__2[[Column1]:[Y]],3,FALSE)</f>
        <v>22.195240236816801</v>
      </c>
      <c r="K735">
        <f>VLOOKUP(F735,[1]!china_towns_second__2[[Column1]:[Y]],2,FALSE)</f>
        <v>100.9050984</v>
      </c>
      <c r="L735" t="s">
        <v>4290</v>
      </c>
      <c r="M735" t="str">
        <f>VLOOKUP(H735,CHOOSE({1,2},Table17[Native],Table17[Name]),2,0)</f>
        <v>Jĭnghóng Shì</v>
      </c>
      <c r="N735" s="15" t="str">
        <f>VLOOKUP(I735,CHOOSE({1,2},Table17[Native],Table17[Name]),2,0)</f>
        <v>Xīshuāngbănnà Dăizú Zìzhìzhōu</v>
      </c>
      <c r="O735" s="15" t="str">
        <f t="shared" si="22"/>
        <v>Mengyang Zhen (Xishuangbanna Daizu Zizhizhou) (Xīshuāngbănnà Dăizú Zìzhìzhōu)</v>
      </c>
      <c r="P735" s="15" t="str">
        <f t="shared" si="23"/>
        <v>Mengyang Zhen (Xishuangbanna Daizu Zizhizhou) (Xīshuāngbănnà Dăizú Zìzhìzhōu)</v>
      </c>
    </row>
    <row r="736" spans="1:16" hidden="1" x14ac:dyDescent="0.25">
      <c r="A736" t="s">
        <v>1541</v>
      </c>
      <c r="B736" t="str">
        <f>IF(COUNTIF(A:A,A736)&gt;1,_xlfn.CONCAT(A736," (",N736,")"),A736)</f>
        <v>Mĕngyŏng Zhèn</v>
      </c>
      <c r="C736" t="str">
        <f>IF(COUNTIF(B:B,B736)&gt;1,_xlfn.CONCAT(A736," (",M736,")"),B736)</f>
        <v>Mĕngyŏng Zhèn</v>
      </c>
      <c r="D736" t="s">
        <v>1542</v>
      </c>
      <c r="E736" t="s">
        <v>11</v>
      </c>
      <c r="F736" t="str">
        <f>_xlfn.CONCAT(D736,", ",H736,", ",I736,", ","云南省")</f>
        <v>勐永镇, 耿马傣族佤族自治县, 临沧市, 云南省</v>
      </c>
      <c r="G736">
        <v>31141</v>
      </c>
      <c r="H736" t="s">
        <v>2834</v>
      </c>
      <c r="I736" t="s">
        <v>2831</v>
      </c>
      <c r="J736">
        <f>VLOOKUP(F736,[1]!china_towns_second__2[[Column1]:[Y]],3,FALSE)</f>
        <v>23.9270488850219</v>
      </c>
      <c r="K736">
        <f>VLOOKUP(F736,[1]!china_towns_second__2[[Column1]:[Y]],2,FALSE)</f>
        <v>99.754250040000002</v>
      </c>
      <c r="L736" t="s">
        <v>4291</v>
      </c>
      <c r="M736" t="str">
        <f>VLOOKUP(H736,CHOOSE({1,2},Table17[Native],Table17[Name]),2,0)</f>
        <v>Gĕngmă Dăizú Wăzú Zìzhìxiàn</v>
      </c>
      <c r="N736" s="15" t="str">
        <f>VLOOKUP(I736,CHOOSE({1,2},Table17[Native],Table17[Name]),2,0)</f>
        <v>Líncāng Shì</v>
      </c>
      <c r="O736" s="15" t="str">
        <f t="shared" si="22"/>
        <v>Mengyong Zhen (Líncāng Shì)</v>
      </c>
      <c r="P736" s="15" t="str">
        <f t="shared" si="23"/>
        <v>Mengyong Zhen (Líncāng Shì)</v>
      </c>
    </row>
    <row r="737" spans="1:16" hidden="1" x14ac:dyDescent="0.25">
      <c r="A737" t="s">
        <v>1543</v>
      </c>
      <c r="B737" t="str">
        <f>IF(COUNTIF(A:A,A737)&gt;1,_xlfn.CONCAT(A737," (",N737,")"),A737)</f>
        <v>Mĕngyòu Zhèn</v>
      </c>
      <c r="C737" t="str">
        <f>IF(COUNTIF(B:B,B737)&gt;1,_xlfn.CONCAT(A737," (",M737,")"),B737)</f>
        <v>Mĕngyòu Zhèn</v>
      </c>
      <c r="D737" t="s">
        <v>1544</v>
      </c>
      <c r="E737" t="s">
        <v>11</v>
      </c>
      <c r="F737" t="str">
        <f>_xlfn.CONCAT(D737,", ",H737,", ",I737,", ","云南省")</f>
        <v>勐佑镇, 凤庆县, 临沧市, 云南省</v>
      </c>
      <c r="G737">
        <v>51213</v>
      </c>
      <c r="H737" t="s">
        <v>2833</v>
      </c>
      <c r="I737" t="s">
        <v>2831</v>
      </c>
      <c r="J737">
        <f>VLOOKUP(F737,[1]!china_towns_second__2[[Column1]:[Y]],3,FALSE)</f>
        <v>24.575862313777801</v>
      </c>
      <c r="K737">
        <f>VLOOKUP(F737,[1]!china_towns_second__2[[Column1]:[Y]],2,FALSE)</f>
        <v>99.769840310000006</v>
      </c>
      <c r="L737" t="s">
        <v>4292</v>
      </c>
      <c r="M737" t="str">
        <f>VLOOKUP(H737,CHOOSE({1,2},Table17[Native],Table17[Name]),2,0)</f>
        <v>Fèngqìng Xiàn</v>
      </c>
      <c r="N737" s="15" t="str">
        <f>VLOOKUP(I737,CHOOSE({1,2},Table17[Native],Table17[Name]),2,0)</f>
        <v>Líncāng Shì</v>
      </c>
      <c r="O737" s="15" t="str">
        <f t="shared" si="22"/>
        <v>Mengyou Zhen (Líncāng Shì)</v>
      </c>
      <c r="P737" s="15" t="str">
        <f t="shared" si="23"/>
        <v>Mengyou Zhen (Líncāng Shì)</v>
      </c>
    </row>
    <row r="738" spans="1:16" hidden="1" x14ac:dyDescent="0.25">
      <c r="A738" t="s">
        <v>657</v>
      </c>
      <c r="B738" t="str">
        <f>IF(COUNTIF(A:A,A738)&gt;1,_xlfn.CONCAT(A738," (",N738,")"),A738)</f>
        <v>Mĕngyuē Xiāng</v>
      </c>
      <c r="C738" t="str">
        <f>IF(COUNTIF(B:B,B738)&gt;1,_xlfn.CONCAT(A738," (",M738,")"),B738)</f>
        <v>Mĕngyuē Xiāng</v>
      </c>
      <c r="D738" t="s">
        <v>658</v>
      </c>
      <c r="E738" t="s">
        <v>7</v>
      </c>
      <c r="F738" t="str">
        <f>_xlfn.CONCAT(D738,", ",H738,", ",I738,", ","云南省")</f>
        <v>勐约乡, 陇川县, 德宏傣族景颇族自治州, 云南省</v>
      </c>
      <c r="G738">
        <v>7482</v>
      </c>
      <c r="H738" t="s">
        <v>2781</v>
      </c>
      <c r="I738" t="s">
        <v>2779</v>
      </c>
      <c r="J738" t="e">
        <f>VLOOKUP(F738,[1]!china_towns_second__2[[Column1]:[Y]],3,FALSE)</f>
        <v>#N/A</v>
      </c>
      <c r="K738" t="e">
        <f>VLOOKUP(F738,[1]!china_towns_second__2[[Column1]:[Y]],2,FALSE)</f>
        <v>#N/A</v>
      </c>
      <c r="L738" t="s">
        <v>4293</v>
      </c>
      <c r="M738" t="str">
        <f>VLOOKUP(H738,CHOOSE({1,2},Table17[Native],Table17[Name]),2,0)</f>
        <v>Lŏngchuān Xiàn</v>
      </c>
      <c r="N738" s="15" t="str">
        <f>VLOOKUP(I738,CHOOSE({1,2},Table17[Native],Table17[Name]),2,0)</f>
        <v>Déhóng Dăizú Jĭngpōzú Zìzhìzhōu</v>
      </c>
      <c r="O738" s="15" t="str">
        <f t="shared" si="22"/>
        <v>Mengyue Xiang (Déhóng Dăizú Jĭngpōzú Zìzhìzhōu)</v>
      </c>
      <c r="P738" s="15" t="str">
        <f t="shared" si="23"/>
        <v>Mengyue Xiang (Déhóng Dăizú Jĭngpōzú Zìzhìzhōu)</v>
      </c>
    </row>
    <row r="739" spans="1:16" hidden="1" x14ac:dyDescent="0.25">
      <c r="A739" t="s">
        <v>2303</v>
      </c>
      <c r="B739" t="str">
        <f>IF(COUNTIF(A:A,A739)&gt;1,_xlfn.CONCAT(A739," (",N739,")"),A739)</f>
        <v>Mĕngzhē Zhèn</v>
      </c>
      <c r="C739" t="str">
        <f>IF(COUNTIF(B:B,B739)&gt;1,_xlfn.CONCAT(A739," (",M739,")"),B739)</f>
        <v>Mĕngzhē Zhèn</v>
      </c>
      <c r="D739" t="s">
        <v>2304</v>
      </c>
      <c r="E739" t="s">
        <v>11</v>
      </c>
      <c r="F739" t="str">
        <f>_xlfn.CONCAT(D739,", ",H739,", ",I739,", ","云南省")</f>
        <v>勐遮镇, 勐海县, 西双版纳傣族自治州, 云南省</v>
      </c>
      <c r="G739">
        <v>63519</v>
      </c>
      <c r="H739" t="s">
        <v>2885</v>
      </c>
      <c r="I739" t="s">
        <v>2883</v>
      </c>
      <c r="J739">
        <f>VLOOKUP(F739,[1]!china_towns_second__2[[Column1]:[Y]],3,FALSE)</f>
        <v>21.957229119739399</v>
      </c>
      <c r="K739">
        <f>VLOOKUP(F739,[1]!china_towns_second__2[[Column1]:[Y]],2,FALSE)</f>
        <v>100.2561141</v>
      </c>
      <c r="L739" t="s">
        <v>4294</v>
      </c>
      <c r="M739" t="str">
        <f>VLOOKUP(H739,CHOOSE({1,2},Table17[Native],Table17[Name]),2,0)</f>
        <v>Mĕnghăi Xiàn</v>
      </c>
      <c r="N739" s="15" t="str">
        <f>VLOOKUP(I739,CHOOSE({1,2},Table17[Native],Table17[Name]),2,0)</f>
        <v>Xīshuāngbănnà Dăizú Zìzhìzhōu</v>
      </c>
      <c r="O739" s="15" t="str">
        <f t="shared" si="22"/>
        <v>Mengzhe Zhen (Xīshuāngbănnà Dăizú Zìzhìzhōu)</v>
      </c>
      <c r="P739" s="15" t="str">
        <f t="shared" si="23"/>
        <v>Mengzhe Zhen (Xīshuāngbănnà Dăizú Zìzhìzhōu)</v>
      </c>
    </row>
    <row r="740" spans="1:16" hidden="1" x14ac:dyDescent="0.25">
      <c r="A740" t="s">
        <v>911</v>
      </c>
      <c r="B740" t="str">
        <f>IF(COUNTIF(A:A,A740)&gt;1,_xlfn.CONCAT(A740," (",N740,")"),A740)</f>
        <v>Miàndiàn Zhèn</v>
      </c>
      <c r="C740" t="str">
        <f>IF(COUNTIF(B:B,B740)&gt;1,_xlfn.CONCAT(A740," (",M740,")"),B740)</f>
        <v>Miàndiàn Zhèn</v>
      </c>
      <c r="D740" t="s">
        <v>912</v>
      </c>
      <c r="E740" t="s">
        <v>11</v>
      </c>
      <c r="F740" t="str">
        <f>_xlfn.CONCAT(D740,", ",H740,", ",I740,", ","云南省")</f>
        <v>面甸镇, 建水县, 红河哈尼族彝族自治州, 云南省</v>
      </c>
      <c r="G740">
        <v>39033</v>
      </c>
      <c r="H740" t="s">
        <v>2796</v>
      </c>
      <c r="I740" t="s">
        <v>2792</v>
      </c>
      <c r="J740">
        <f>VLOOKUP(F740,[1]!china_towns_second__2[[Column1]:[Y]],3,FALSE)</f>
        <v>23.675706064533099</v>
      </c>
      <c r="K740">
        <f>VLOOKUP(F740,[1]!china_towns_second__2[[Column1]:[Y]],2,FALSE)</f>
        <v>103.0290857</v>
      </c>
      <c r="L740" t="s">
        <v>4295</v>
      </c>
      <c r="M740" t="str">
        <f>VLOOKUP(H740,CHOOSE({1,2},Table17[Native],Table17[Name]),2,0)</f>
        <v>Jiànshuĭ Xiàn</v>
      </c>
      <c r="N740" s="15" t="str">
        <f>VLOOKUP(I740,CHOOSE({1,2},Table17[Native],Table17[Name]),2,0)</f>
        <v>Hónghé Hānízú Yízú Zìzhìzhōu</v>
      </c>
      <c r="O740" s="15" t="str">
        <f t="shared" si="22"/>
        <v>Miandian Zhen (Hónghé Hānízú Yízú Zìzhìzhōu)</v>
      </c>
      <c r="P740" s="15" t="str">
        <f t="shared" si="23"/>
        <v>Miandian Zhen (Hónghé Hānízú Yízú Zìzhìzhōu)</v>
      </c>
    </row>
    <row r="741" spans="1:16" hidden="1" x14ac:dyDescent="0.25">
      <c r="A741" t="s">
        <v>2597</v>
      </c>
      <c r="B741" t="str">
        <f>IF(COUNTIF(A:A,A741)&gt;1,_xlfn.CONCAT(A741," (",N741,")"),A741)</f>
        <v>Miàobà Zhèn</v>
      </c>
      <c r="C741" t="str">
        <f>IF(COUNTIF(B:B,B741)&gt;1,_xlfn.CONCAT(A741," (",M741,")"),B741)</f>
        <v>Miàobà Zhèn</v>
      </c>
      <c r="D741" t="s">
        <v>2598</v>
      </c>
      <c r="E741" t="s">
        <v>11</v>
      </c>
      <c r="F741" t="str">
        <f>_xlfn.CONCAT(D741,", ",H741,", ",I741,", ","云南省")</f>
        <v>庙坝镇, 盐津县, 昭通市, 云南省</v>
      </c>
      <c r="G741">
        <v>46391</v>
      </c>
      <c r="H741" t="s">
        <v>2906</v>
      </c>
      <c r="I741" t="s">
        <v>2899</v>
      </c>
      <c r="J741">
        <f>VLOOKUP(F741,[1]!china_towns_second__2[[Column1]:[Y]],3,FALSE)</f>
        <v>27.9200368577999</v>
      </c>
      <c r="K741">
        <f>VLOOKUP(F741,[1]!china_towns_second__2[[Column1]:[Y]],2,FALSE)</f>
        <v>104.3258285</v>
      </c>
      <c r="L741" t="s">
        <v>4296</v>
      </c>
      <c r="M741" t="str">
        <f>VLOOKUP(H741,CHOOSE({1,2},Table17[Native],Table17[Name]),2,0)</f>
        <v>Yánjīn Xiàn</v>
      </c>
      <c r="N741" s="15" t="str">
        <f>VLOOKUP(I741,CHOOSE({1,2},Table17[Native],Table17[Name]),2,0)</f>
        <v>Zhāotōng Shì</v>
      </c>
      <c r="O741" s="15" t="str">
        <f t="shared" si="22"/>
        <v>Miaoba Zhen (Zhāotōng Shì)</v>
      </c>
      <c r="P741" s="15" t="str">
        <f t="shared" si="23"/>
        <v>Miaoba Zhen (Zhāotōng Shì)</v>
      </c>
    </row>
    <row r="742" spans="1:16" hidden="1" x14ac:dyDescent="0.25">
      <c r="A742" t="s">
        <v>2599</v>
      </c>
      <c r="B742" t="str">
        <f>IF(COUNTIF(A:A,A742)&gt;1,_xlfn.CONCAT(A742," (",N742,")"),A742)</f>
        <v>Miàogōu Zhèn</v>
      </c>
      <c r="C742" t="str">
        <f>IF(COUNTIF(B:B,B742)&gt;1,_xlfn.CONCAT(A742," (",M742,")"),B742)</f>
        <v>Miàogōu Zhèn</v>
      </c>
      <c r="D742" t="s">
        <v>2600</v>
      </c>
      <c r="E742" t="s">
        <v>11</v>
      </c>
      <c r="F742" t="str">
        <f>_xlfn.CONCAT(D742,", ",H742,", ",I742,", ","云南省")</f>
        <v>庙沟镇, 威信县, 昭通市, 云南省</v>
      </c>
      <c r="G742">
        <v>18293</v>
      </c>
      <c r="H742" t="s">
        <v>2905</v>
      </c>
      <c r="I742" t="s">
        <v>2899</v>
      </c>
      <c r="J742">
        <f>VLOOKUP(F742,[1]!china_towns_second__2[[Column1]:[Y]],3,FALSE)</f>
        <v>27.7995265915415</v>
      </c>
      <c r="K742">
        <f>VLOOKUP(F742,[1]!china_towns_second__2[[Column1]:[Y]],2,FALSE)</f>
        <v>104.8222536</v>
      </c>
      <c r="L742" t="s">
        <v>4297</v>
      </c>
      <c r="M742" t="str">
        <f>VLOOKUP(H742,CHOOSE({1,2},Table17[Native],Table17[Name]),2,0)</f>
        <v>Wēixìn Xiàn</v>
      </c>
      <c r="N742" s="15" t="str">
        <f>VLOOKUP(I742,CHOOSE({1,2},Table17[Native],Table17[Name]),2,0)</f>
        <v>Zhāotōng Shì</v>
      </c>
      <c r="O742" s="15" t="str">
        <f t="shared" si="22"/>
        <v>Miaogou Zhen (Zhāotōng Shì)</v>
      </c>
      <c r="P742" s="15" t="str">
        <f t="shared" si="23"/>
        <v>Miaogou Zhen (Zhāotōng Shì)</v>
      </c>
    </row>
    <row r="743" spans="1:16" hidden="1" x14ac:dyDescent="0.25">
      <c r="A743" t="s">
        <v>484</v>
      </c>
      <c r="B743" t="str">
        <f>IF(COUNTIF(A:A,A743)&gt;1,_xlfn.CONCAT(A743," (",N743,")"),A743)</f>
        <v>Miàojiē Zhèn</v>
      </c>
      <c r="C743" t="str">
        <f>IF(COUNTIF(B:B,B743)&gt;1,_xlfn.CONCAT(A743," (",M743,")"),B743)</f>
        <v>Miàojiē Zhèn</v>
      </c>
      <c r="D743" t="s">
        <v>485</v>
      </c>
      <c r="E743" t="s">
        <v>11</v>
      </c>
      <c r="F743" t="str">
        <f>_xlfn.CONCAT(D743,", ",H743,", ",I743,", ","云南省")</f>
        <v>庙街镇, 巍山彝族回族自治县, 大理白族自治州, 云南省</v>
      </c>
      <c r="G743">
        <v>62540</v>
      </c>
      <c r="H743" t="s">
        <v>2772</v>
      </c>
      <c r="I743" t="s">
        <v>2763</v>
      </c>
      <c r="J743">
        <f>VLOOKUP(F743,[1]!china_towns_second__2[[Column1]:[Y]],3,FALSE)</f>
        <v>25.2932136610243</v>
      </c>
      <c r="K743">
        <f>VLOOKUP(F743,[1]!china_towns_second__2[[Column1]:[Y]],2,FALSE)</f>
        <v>100.26895759999999</v>
      </c>
      <c r="L743" t="s">
        <v>4298</v>
      </c>
      <c r="M743" t="str">
        <f>VLOOKUP(H743,CHOOSE({1,2},Table17[Native],Table17[Name]),2,0)</f>
        <v>Wēishān Yízú Huízú Zìzhìxiàn</v>
      </c>
      <c r="N743" s="15" t="str">
        <f>VLOOKUP(I743,CHOOSE({1,2},Table17[Native],Table17[Name]),2,0)</f>
        <v>Dàlĭ Báizú Zìzhìzhōu</v>
      </c>
      <c r="O743" s="15" t="str">
        <f t="shared" si="22"/>
        <v>Miaojie Zhen (Dàlĭ Báizú Zìzhìzhōu)</v>
      </c>
      <c r="P743" s="15" t="str">
        <f t="shared" si="23"/>
        <v>Miaojie Zhen (Dàlĭ Báizú Zìzhìzhōu)</v>
      </c>
    </row>
    <row r="744" spans="1:16" hidden="1" x14ac:dyDescent="0.25">
      <c r="A744" t="s">
        <v>486</v>
      </c>
      <c r="B744" t="str">
        <f>IF(COUNTIF(A:A,A744)&gt;1,_xlfn.CONCAT(A744," (",N744,")"),A744)</f>
        <v>Miáowěi Lìsùzú Xiāng [Biăocūn Xiāng]</v>
      </c>
      <c r="C744" t="str">
        <f>IF(COUNTIF(B:B,B744)&gt;1,_xlfn.CONCAT(A744," (",M744,")"),B744)</f>
        <v>Miáowěi Lìsùzú Xiāng [Biăocūn Xiāng]</v>
      </c>
      <c r="D744" t="s">
        <v>487</v>
      </c>
      <c r="E744" t="s">
        <v>7</v>
      </c>
      <c r="F744" t="str">
        <f>_xlfn.CONCAT(D744,", ",H744,", ",I744,", ","云南省")</f>
        <v>苗尾傈僳族乡, 云龙县, 大理白族自治州, 云南省</v>
      </c>
      <c r="G744">
        <v>8470</v>
      </c>
      <c r="H744" t="s">
        <v>2776</v>
      </c>
      <c r="I744" t="s">
        <v>2763</v>
      </c>
      <c r="J744" t="e">
        <f>VLOOKUP(F744,[1]!china_towns_second__2[[Column1]:[Y]],3,FALSE)</f>
        <v>#N/A</v>
      </c>
      <c r="K744" t="e">
        <f>VLOOKUP(F744,[1]!china_towns_second__2[[Column1]:[Y]],2,FALSE)</f>
        <v>#N/A</v>
      </c>
      <c r="L744" t="s">
        <v>4299</v>
      </c>
      <c r="M744" t="str">
        <f>VLOOKUP(H744,CHOOSE({1,2},Table17[Native],Table17[Name]),2,0)</f>
        <v>Yúnlóng Xiàn</v>
      </c>
      <c r="N744" s="15" t="str">
        <f>VLOOKUP(I744,CHOOSE({1,2},Table17[Native],Table17[Name]),2,0)</f>
        <v>Dàlĭ Báizú Zìzhìzhōu</v>
      </c>
      <c r="O744" s="15" t="str">
        <f t="shared" si="22"/>
        <v>Miaowei Lisuzu Xiang [Biaocun Xiang] (Dàlĭ Báizú Zìzhìzhōu)</v>
      </c>
      <c r="P744" s="15" t="str">
        <f t="shared" si="23"/>
        <v>Miaowei Lisuzu Xiang [Biaocun Xiang] (Dàlĭ Báizú Zìzhìzhōu)</v>
      </c>
    </row>
    <row r="745" spans="1:16" hidden="1" x14ac:dyDescent="0.25">
      <c r="A745" t="s">
        <v>488</v>
      </c>
      <c r="B745" t="str">
        <f>IF(COUNTIF(A:A,A745)&gt;1,_xlfn.CONCAT(A745," (",N745,")"),A745)</f>
        <v>Míchéng Zhèn</v>
      </c>
      <c r="C745" t="str">
        <f>IF(COUNTIF(B:B,B745)&gt;1,_xlfn.CONCAT(A745," (",M745,")"),B745)</f>
        <v>Míchéng Zhèn</v>
      </c>
      <c r="D745" t="s">
        <v>489</v>
      </c>
      <c r="E745" t="s">
        <v>11</v>
      </c>
      <c r="F745" t="str">
        <f>_xlfn.CONCAT(D745,", ",H745,", ",I745,", ","云南省")</f>
        <v>弥城镇, 弥渡县, 大理白族自治州, 云南省</v>
      </c>
      <c r="G745">
        <v>89144</v>
      </c>
      <c r="H745" t="s">
        <v>2769</v>
      </c>
      <c r="I745" t="s">
        <v>2763</v>
      </c>
      <c r="J745">
        <f>VLOOKUP(F745,[1]!china_towns_second__2[[Column1]:[Y]],3,FALSE)</f>
        <v>25.333983413867099</v>
      </c>
      <c r="K745">
        <f>VLOOKUP(F745,[1]!china_towns_second__2[[Column1]:[Y]],2,FALSE)</f>
        <v>100.48695650000001</v>
      </c>
      <c r="L745" t="s">
        <v>4300</v>
      </c>
      <c r="M745" t="str">
        <f>VLOOKUP(H745,CHOOSE({1,2},Table17[Native],Table17[Name]),2,0)</f>
        <v>Mídù Xiàn</v>
      </c>
      <c r="N745" s="15" t="str">
        <f>VLOOKUP(I745,CHOOSE({1,2},Table17[Native],Table17[Name]),2,0)</f>
        <v>Dàlĭ Báizú Zìzhìzhōu</v>
      </c>
      <c r="O745" s="15" t="str">
        <f t="shared" si="22"/>
        <v>Micheng Zhen (Dàlĭ Báizú Zìzhìzhōu)</v>
      </c>
      <c r="P745" s="15" t="str">
        <f t="shared" si="23"/>
        <v>Micheng Zhen (Dàlĭ Báizú Zìzhìzhōu)</v>
      </c>
    </row>
    <row r="746" spans="1:16" hidden="1" x14ac:dyDescent="0.25">
      <c r="A746" t="s">
        <v>490</v>
      </c>
      <c r="B746" t="str">
        <f>IF(COUNTIF(A:A,A746)&gt;1,_xlfn.CONCAT(A746," (",N746,")"),A746)</f>
        <v>Mĭdiàn Zhèn</v>
      </c>
      <c r="C746" t="str">
        <f>IF(COUNTIF(B:B,B746)&gt;1,_xlfn.CONCAT(A746," (",M746,")"),B746)</f>
        <v>Mĭdiàn Zhèn</v>
      </c>
      <c r="D746" t="s">
        <v>491</v>
      </c>
      <c r="E746" t="s">
        <v>11</v>
      </c>
      <c r="F746" t="str">
        <f>_xlfn.CONCAT(D746,", ",H746,", ",I746,", ","云南省")</f>
        <v>米甸镇, 祥云县, 大理白族自治州, 云南省</v>
      </c>
      <c r="G746">
        <v>28011</v>
      </c>
      <c r="H746" t="s">
        <v>2773</v>
      </c>
      <c r="I746" t="s">
        <v>2763</v>
      </c>
      <c r="J746">
        <f>VLOOKUP(F746,[1]!china_towns_second__2[[Column1]:[Y]],3,FALSE)</f>
        <v>25.7562727450848</v>
      </c>
      <c r="K746">
        <f>VLOOKUP(F746,[1]!china_towns_second__2[[Column1]:[Y]],2,FALSE)</f>
        <v>100.7872831</v>
      </c>
      <c r="L746" t="s">
        <v>4301</v>
      </c>
      <c r="M746" t="str">
        <f>VLOOKUP(H746,CHOOSE({1,2},Table17[Native],Table17[Name]),2,0)</f>
        <v>Xiángyún Xiàn</v>
      </c>
      <c r="N746" s="15" t="str">
        <f>VLOOKUP(I746,CHOOSE({1,2},Table17[Native],Table17[Name]),2,0)</f>
        <v>Dàlĭ Báizú Zìzhìzhōu</v>
      </c>
      <c r="O746" s="15" t="str">
        <f t="shared" si="22"/>
        <v>Midian Zhen (Dàlĭ Báizú Zìzhìzhōu)</v>
      </c>
      <c r="P746" s="15" t="str">
        <f t="shared" si="23"/>
        <v>Midian Zhen (Dàlĭ Báizú Zìzhìzhōu)</v>
      </c>
    </row>
    <row r="747" spans="1:16" hidden="1" x14ac:dyDescent="0.25">
      <c r="A747" t="s">
        <v>2171</v>
      </c>
      <c r="B747" t="str">
        <f>IF(COUNTIF(A:A,A747)&gt;1,_xlfn.CONCAT(A747," (",N747,")"),A747)</f>
        <v>Mièchăng Xiāng</v>
      </c>
      <c r="C747" t="str">
        <f>IF(COUNTIF(B:B,B747)&gt;1,_xlfn.CONCAT(A747," (",M747,")"),B747)</f>
        <v>Mièchăng Xiāng</v>
      </c>
      <c r="D747" t="s">
        <v>2172</v>
      </c>
      <c r="E747" t="s">
        <v>7</v>
      </c>
      <c r="F747" t="str">
        <f>_xlfn.CONCAT(D747,", ",H747,", ",I747,", ","云南省")</f>
        <v>篾厂乡, 马关县, 文山壮族苗族自治州, 云南省</v>
      </c>
      <c r="G747">
        <v>16729</v>
      </c>
      <c r="H747" t="s">
        <v>2875</v>
      </c>
      <c r="I747" t="s">
        <v>2872</v>
      </c>
      <c r="J747" t="e">
        <f>VLOOKUP(F747,[1]!china_towns_second__2[[Column1]:[Y]],3,FALSE)</f>
        <v>#N/A</v>
      </c>
      <c r="K747" t="e">
        <f>VLOOKUP(F747,[1]!china_towns_second__2[[Column1]:[Y]],2,FALSE)</f>
        <v>#N/A</v>
      </c>
      <c r="L747" t="s">
        <v>4302</v>
      </c>
      <c r="M747" t="str">
        <f>VLOOKUP(H747,CHOOSE({1,2},Table17[Native],Table17[Name]),2,0)</f>
        <v>Măguān Xiàn</v>
      </c>
      <c r="N747" s="15" t="str">
        <f>VLOOKUP(I747,CHOOSE({1,2},Table17[Native],Table17[Name]),2,0)</f>
        <v>Wénshān Zhuàngzú Miáozú Zìzhìzhōu</v>
      </c>
      <c r="O747" s="15" t="str">
        <f t="shared" si="22"/>
        <v>Miechang Xiang (Wénshān Zhuàngzú Miáozú Zìzhìzhōu)</v>
      </c>
      <c r="P747" s="15" t="str">
        <f t="shared" si="23"/>
        <v>Miechang Xiang (Wénshān Zhuàngzú Miáozú Zìzhìzhōu)</v>
      </c>
    </row>
    <row r="748" spans="1:16" hidden="1" x14ac:dyDescent="0.25">
      <c r="A748" t="s">
        <v>2398</v>
      </c>
      <c r="B748" t="str">
        <f>IF(COUNTIF(A:A,A748)&gt;1,_xlfn.CONCAT(A748," (",N748,")"),A748)</f>
        <v>Mīlī Xiāng</v>
      </c>
      <c r="C748" t="str">
        <f>IF(COUNTIF(B:B,B748)&gt;1,_xlfn.CONCAT(A748," (",M748,")"),B748)</f>
        <v>Mīlī Xiāng</v>
      </c>
      <c r="D748" t="s">
        <v>2399</v>
      </c>
      <c r="E748" t="s">
        <v>7</v>
      </c>
      <c r="F748" t="str">
        <f>_xlfn.CONCAT(D748,", ",H748,", ",I748,", ","云南省")</f>
        <v>咪哩乡, 元江哈尼族彝族傣族自治县, 玉溪市, 云南省</v>
      </c>
      <c r="G748">
        <v>14047</v>
      </c>
      <c r="H748" t="s">
        <v>2897</v>
      </c>
      <c r="I748" t="s">
        <v>2888</v>
      </c>
      <c r="J748" t="e">
        <f>VLOOKUP(F748,[1]!china_towns_second__2[[Column1]:[Y]],3,FALSE)</f>
        <v>#N/A</v>
      </c>
      <c r="K748" t="e">
        <f>VLOOKUP(F748,[1]!china_towns_second__2[[Column1]:[Y]],2,FALSE)</f>
        <v>#N/A</v>
      </c>
      <c r="L748" t="s">
        <v>4303</v>
      </c>
      <c r="M748" t="str">
        <f>VLOOKUP(H748,CHOOSE({1,2},Table17[Native],Table17[Name]),2,0)</f>
        <v>Yuánjiāng Hānízú Yízú Dăizú Zìzhìxiàn</v>
      </c>
      <c r="N748" s="15" t="str">
        <f>VLOOKUP(I748,CHOOSE({1,2},Table17[Native],Table17[Name]),2,0)</f>
        <v>Yùxī Shì</v>
      </c>
      <c r="O748" s="15" t="str">
        <f t="shared" si="22"/>
        <v>Mili Xiang (Yùxī Shì)</v>
      </c>
      <c r="P748" s="15" t="str">
        <f t="shared" si="23"/>
        <v>Mili Xiang (Yùxī Shì)</v>
      </c>
    </row>
    <row r="749" spans="1:16" hidden="1" x14ac:dyDescent="0.25">
      <c r="A749" t="s">
        <v>87</v>
      </c>
      <c r="B749" t="str">
        <f>IF(COUNTIF(A:A,A749)&gt;1,_xlfn.CONCAT(A749," (",N749,")"),A749)</f>
        <v>Míngguāng Zhèn</v>
      </c>
      <c r="C749" t="str">
        <f>IF(COUNTIF(B:B,B749)&gt;1,_xlfn.CONCAT(A749," (",M749,")"),B749)</f>
        <v>Míngguāng Zhèn</v>
      </c>
      <c r="D749" t="s">
        <v>88</v>
      </c>
      <c r="E749" t="s">
        <v>11</v>
      </c>
      <c r="F749" t="str">
        <f>_xlfn.CONCAT(D749,", ",H749,", ",I749,", ","云南省")</f>
        <v>明光镇, 腾冲市, 保山市, 云南省</v>
      </c>
      <c r="G749">
        <v>40221</v>
      </c>
      <c r="H749" t="s">
        <v>2747</v>
      </c>
      <c r="I749" t="s">
        <v>2739</v>
      </c>
      <c r="J749">
        <f>VLOOKUP(F749,[1]!china_towns_second__2[[Column1]:[Y]],3,FALSE)</f>
        <v>25.655160510166599</v>
      </c>
      <c r="K749">
        <f>VLOOKUP(F749,[1]!china_towns_second__2[[Column1]:[Y]],2,FALSE)</f>
        <v>98.556981660000005</v>
      </c>
      <c r="L749" t="s">
        <v>4304</v>
      </c>
      <c r="M749" t="str">
        <f>VLOOKUP(H749,CHOOSE({1,2},Table17[Native],Table17[Name]),2,0)</f>
        <v>Téngchōng Shì</v>
      </c>
      <c r="N749" s="15" t="str">
        <f>VLOOKUP(I749,CHOOSE({1,2},Table17[Native],Table17[Name]),2,0)</f>
        <v>Băoshān Shì</v>
      </c>
      <c r="O749" s="15" t="str">
        <f t="shared" si="22"/>
        <v>Mingguang Zhen (Băoshān Shì)</v>
      </c>
      <c r="P749" s="15" t="str">
        <f t="shared" si="23"/>
        <v>Mingguang Zhen (Băoshān Shì)</v>
      </c>
    </row>
    <row r="750" spans="1:16" hidden="1" x14ac:dyDescent="0.25">
      <c r="A750" t="s">
        <v>913</v>
      </c>
      <c r="B750" t="str">
        <f>IF(COUNTIF(A:A,A750)&gt;1,_xlfn.CONCAT(A750," (",N750,")"),A750)</f>
        <v>Míngjiù Zhèn</v>
      </c>
      <c r="C750" t="str">
        <f>IF(COUNTIF(B:B,B750)&gt;1,_xlfn.CONCAT(A750," (",M750,")"),B750)</f>
        <v>Míngjiù Zhèn</v>
      </c>
      <c r="D750" t="s">
        <v>914</v>
      </c>
      <c r="E750" t="s">
        <v>11</v>
      </c>
      <c r="F750" t="str">
        <f>_xlfn.CONCAT(D750,", ",H750,", ",I750,", ","云南省")</f>
        <v>鸣鹫镇, 蒙自市, 红河哈尼族彝族自治州, 云南省</v>
      </c>
      <c r="G750">
        <v>19330</v>
      </c>
      <c r="H750" t="s">
        <v>2801</v>
      </c>
      <c r="I750" t="s">
        <v>2792</v>
      </c>
      <c r="J750">
        <f>VLOOKUP(F750,[1]!china_towns_second__2[[Column1]:[Y]],3,FALSE)</f>
        <v>23.4576522782226</v>
      </c>
      <c r="K750">
        <f>VLOOKUP(F750,[1]!china_towns_second__2[[Column1]:[Y]],2,FALSE)</f>
        <v>103.6564241</v>
      </c>
      <c r="L750" t="s">
        <v>4305</v>
      </c>
      <c r="M750" t="str">
        <f>VLOOKUP(H750,CHOOSE({1,2},Table17[Native],Table17[Name]),2,0)</f>
        <v>Mĕngzì Shì</v>
      </c>
      <c r="N750" s="15" t="str">
        <f>VLOOKUP(I750,CHOOSE({1,2},Table17[Native],Table17[Name]),2,0)</f>
        <v>Hónghé Hānízú Yízú Zìzhìzhōu</v>
      </c>
      <c r="O750" s="15" t="str">
        <f t="shared" si="22"/>
        <v>Mingjiu Zhen (Hónghé Hānízú Yízú Zìzhìzhōu)</v>
      </c>
      <c r="P750" s="15" t="str">
        <f t="shared" si="23"/>
        <v>Mingjiu Zhen (Hónghé Hānízú Yízú Zìzhìzhōu)</v>
      </c>
    </row>
    <row r="751" spans="1:16" hidden="1" x14ac:dyDescent="0.25">
      <c r="A751" t="s">
        <v>1367</v>
      </c>
      <c r="B751" t="str">
        <f>IF(COUNTIF(A:A,A751)&gt;1,_xlfn.CONCAT(A751," (",N751,")"),A751)</f>
        <v>Míngyīn Zhèn</v>
      </c>
      <c r="C751" t="str">
        <f>IF(COUNTIF(B:B,B751)&gt;1,_xlfn.CONCAT(A751," (",M751,")"),B751)</f>
        <v>Míngyīn Zhèn</v>
      </c>
      <c r="D751" t="s">
        <v>1368</v>
      </c>
      <c r="E751" t="s">
        <v>11</v>
      </c>
      <c r="F751" t="str">
        <f>_xlfn.CONCAT(D751,", ",H751,", ",I751,", ","云南省")</f>
        <v>鸣音镇, 玉龙纳西族自治县, 丽江市, 云南省</v>
      </c>
      <c r="G751">
        <v>8605</v>
      </c>
      <c r="H751" t="s">
        <v>2829</v>
      </c>
      <c r="I751" t="s">
        <v>2823</v>
      </c>
      <c r="J751">
        <f>VLOOKUP(F751,[1]!china_towns_second__2[[Column1]:[Y]],3,FALSE)</f>
        <v>27.2706342501858</v>
      </c>
      <c r="K751">
        <f>VLOOKUP(F751,[1]!china_towns_second__2[[Column1]:[Y]],2,FALSE)</f>
        <v>100.4347853</v>
      </c>
      <c r="L751" t="s">
        <v>4306</v>
      </c>
      <c r="M751" t="str">
        <f>VLOOKUP(H751,CHOOSE({1,2},Table17[Native],Table17[Name]),2,0)</f>
        <v>Yùlóng Nàxīzú Zìzhìxiàn</v>
      </c>
      <c r="N751" s="15" t="str">
        <f>VLOOKUP(I751,CHOOSE({1,2},Table17[Native],Table17[Name]),2,0)</f>
        <v>Lìjiāng Shì</v>
      </c>
      <c r="O751" s="15" t="str">
        <f t="shared" si="22"/>
        <v>Mingyin Zhen (Lìjiāng Shì)</v>
      </c>
      <c r="P751" s="15" t="str">
        <f t="shared" si="23"/>
        <v>Mingyin Zhen (Lìjiāng Shì)</v>
      </c>
    </row>
    <row r="752" spans="1:16" hidden="1" x14ac:dyDescent="0.25">
      <c r="A752" t="s">
        <v>492</v>
      </c>
      <c r="B752" t="str">
        <f>IF(COUNTIF(A:A,A752)&gt;1,_xlfn.CONCAT(A752," (",N752,")"),A752)</f>
        <v>Mínjiàn Xiāng</v>
      </c>
      <c r="C752" t="str">
        <f>IF(COUNTIF(B:B,B752)&gt;1,_xlfn.CONCAT(A752," (",M752,")"),B752)</f>
        <v>Mínjiàn Xiāng</v>
      </c>
      <c r="D752" t="s">
        <v>493</v>
      </c>
      <c r="E752" t="s">
        <v>7</v>
      </c>
      <c r="F752" t="str">
        <f>_xlfn.CONCAT(D752,", ",H752,", ",I752,", ","云南省")</f>
        <v>民建乡, 云龙县, 大理白族自治州, 云南省</v>
      </c>
      <c r="G752">
        <v>8731</v>
      </c>
      <c r="H752" t="s">
        <v>2776</v>
      </c>
      <c r="I752" t="s">
        <v>2763</v>
      </c>
      <c r="J752" t="e">
        <f>VLOOKUP(F752,[1]!china_towns_second__2[[Column1]:[Y]],3,FALSE)</f>
        <v>#N/A</v>
      </c>
      <c r="K752" t="e">
        <f>VLOOKUP(F752,[1]!china_towns_second__2[[Column1]:[Y]],2,FALSE)</f>
        <v>#N/A</v>
      </c>
      <c r="L752" t="s">
        <v>4307</v>
      </c>
      <c r="M752" t="str">
        <f>VLOOKUP(H752,CHOOSE({1,2},Table17[Native],Table17[Name]),2,0)</f>
        <v>Yúnlóng Xiàn</v>
      </c>
      <c r="N752" s="15" t="str">
        <f>VLOOKUP(I752,CHOOSE({1,2},Table17[Native],Table17[Name]),2,0)</f>
        <v>Dàlĭ Báizú Zìzhìzhōu</v>
      </c>
      <c r="O752" s="15" t="str">
        <f t="shared" si="22"/>
        <v>Minjian Xiang (Dàlĭ Báizú Zìzhìzhōu)</v>
      </c>
      <c r="P752" s="15" t="str">
        <f t="shared" si="23"/>
        <v>Minjian Xiang (Dàlĭ Báizú Zìzhìzhōu)</v>
      </c>
    </row>
    <row r="753" spans="1:16" hidden="1" x14ac:dyDescent="0.25">
      <c r="A753" t="s">
        <v>1763</v>
      </c>
      <c r="B753" t="str">
        <f>IF(COUNTIF(A:A,A753)&gt;1,_xlfn.CONCAT(A753," (",N753,")"),A753)</f>
        <v>Mínlè Zhèn</v>
      </c>
      <c r="C753" t="str">
        <f>IF(COUNTIF(B:B,B753)&gt;1,_xlfn.CONCAT(A753," (",M753,")"),B753)</f>
        <v>Mínlè Zhèn</v>
      </c>
      <c r="D753" t="s">
        <v>1764</v>
      </c>
      <c r="E753" t="s">
        <v>11</v>
      </c>
      <c r="F753" t="str">
        <f>_xlfn.CONCAT(D753,", ",H753,", ",I753,", ","云南省")</f>
        <v>民乐镇, 景谷傣族彝族自治县, 普洱市, 云南省</v>
      </c>
      <c r="G753">
        <v>22964</v>
      </c>
      <c r="H753" t="s">
        <v>2851</v>
      </c>
      <c r="I753" t="s">
        <v>2848</v>
      </c>
      <c r="J753">
        <f>VLOOKUP(F753,[1]!china_towns_second__2[[Column1]:[Y]],3,FALSE)</f>
        <v>23.686986611758499</v>
      </c>
      <c r="K753">
        <f>VLOOKUP(F753,[1]!china_towns_second__2[[Column1]:[Y]],2,FALSE)</f>
        <v>100.4767746</v>
      </c>
      <c r="L753" t="s">
        <v>4308</v>
      </c>
      <c r="M753" t="str">
        <f>VLOOKUP(H753,CHOOSE({1,2},Table17[Native],Table17[Name]),2,0)</f>
        <v>Jĭnggŭ Dăizú Yízú Zìzhìxiàn</v>
      </c>
      <c r="N753" s="15" t="str">
        <f>VLOOKUP(I753,CHOOSE({1,2},Table17[Native],Table17[Name]),2,0)</f>
        <v>Pŭ'ĕr Shì</v>
      </c>
      <c r="O753" s="15" t="str">
        <f t="shared" si="22"/>
        <v>Minle Zhen (Pŭ'ĕr Shì)</v>
      </c>
      <c r="P753" s="15" t="str">
        <f t="shared" si="23"/>
        <v>Minle Zhen (Pŭ'ĕr Shì)</v>
      </c>
    </row>
    <row r="754" spans="1:16" hidden="1" x14ac:dyDescent="0.25">
      <c r="A754" t="s">
        <v>494</v>
      </c>
      <c r="B754" t="str">
        <f>IF(COUNTIF(A:A,A754)&gt;1,_xlfn.CONCAT(A754," (",N754,")"),A754)</f>
        <v>Míshā Xiāng</v>
      </c>
      <c r="C754" t="str">
        <f>IF(COUNTIF(B:B,B754)&gt;1,_xlfn.CONCAT(A754," (",M754,")"),B754)</f>
        <v>Míshā Xiāng</v>
      </c>
      <c r="D754" t="s">
        <v>495</v>
      </c>
      <c r="E754" t="s">
        <v>7</v>
      </c>
      <c r="F754" t="str">
        <f>_xlfn.CONCAT(D754,", ",H754,", ",I754,", ","云南省")</f>
        <v>弥沙乡, 剑川县, 大理白族自治州, 云南省</v>
      </c>
      <c r="G754">
        <v>8503</v>
      </c>
      <c r="H754" t="s">
        <v>2768</v>
      </c>
      <c r="I754" t="s">
        <v>2763</v>
      </c>
      <c r="J754" t="e">
        <f>VLOOKUP(F754,[1]!china_towns_second__2[[Column1]:[Y]],3,FALSE)</f>
        <v>#N/A</v>
      </c>
      <c r="K754" t="e">
        <f>VLOOKUP(F754,[1]!china_towns_second__2[[Column1]:[Y]],2,FALSE)</f>
        <v>#N/A</v>
      </c>
      <c r="L754" t="s">
        <v>4309</v>
      </c>
      <c r="M754" t="str">
        <f>VLOOKUP(H754,CHOOSE({1,2},Table17[Native],Table17[Name]),2,0)</f>
        <v>Jiànchuān Xiàn</v>
      </c>
      <c r="N754" s="15" t="str">
        <f>VLOOKUP(I754,CHOOSE({1,2},Table17[Native],Table17[Name]),2,0)</f>
        <v>Dàlĭ Báizú Zìzhìzhōu</v>
      </c>
      <c r="O754" s="15" t="str">
        <f t="shared" si="22"/>
        <v>Misha Xiang (Dàlĭ Báizú Zìzhìzhōu)</v>
      </c>
      <c r="P754" s="15" t="str">
        <f t="shared" si="23"/>
        <v>Misha Xiang (Dàlĭ Báizú Zìzhìzhōu)</v>
      </c>
    </row>
    <row r="755" spans="1:16" hidden="1" x14ac:dyDescent="0.25">
      <c r="A755" t="s">
        <v>275</v>
      </c>
      <c r="B755" t="str">
        <f>IF(COUNTIF(A:A,A755)&gt;1,_xlfn.CONCAT(A755," (",N755,")"),A755)</f>
        <v>Míxīng Zhèn</v>
      </c>
      <c r="C755" t="str">
        <f>IF(COUNTIF(B:B,B755)&gt;1,_xlfn.CONCAT(A755," (",M755,")"),B755)</f>
        <v>Míxīng Zhèn</v>
      </c>
      <c r="D755" t="s">
        <v>276</v>
      </c>
      <c r="E755" t="s">
        <v>11</v>
      </c>
      <c r="F755" t="str">
        <f>_xlfn.CONCAT(D755,", ",H755,", ",I755,", ","云南省")</f>
        <v>弥兴镇, 姚安县, 楚雄彝族自治州, 云南省</v>
      </c>
      <c r="G755">
        <v>20062</v>
      </c>
      <c r="H755" t="s">
        <v>2758</v>
      </c>
      <c r="I755" t="s">
        <v>2750</v>
      </c>
      <c r="J755">
        <f>VLOOKUP(F755,[1]!china_towns_second__2[[Column1]:[Y]],3,FALSE)</f>
        <v>25.372132072423</v>
      </c>
      <c r="K755">
        <f>VLOOKUP(F755,[1]!china_towns_second__2[[Column1]:[Y]],2,FALSE)</f>
        <v>101.1242266</v>
      </c>
      <c r="L755" t="s">
        <v>4310</v>
      </c>
      <c r="M755" t="str">
        <f>VLOOKUP(H755,CHOOSE({1,2},Table17[Native],Table17[Name]),2,0)</f>
        <v>Yáo'ān Xiàn</v>
      </c>
      <c r="N755" s="15" t="str">
        <f>VLOOKUP(I755,CHOOSE({1,2},Table17[Native],Table17[Name]),2,0)</f>
        <v>Chŭxióng Yízú Zìzhìzhōu</v>
      </c>
      <c r="O755" s="15" t="str">
        <f t="shared" si="22"/>
        <v>Mixing Zhen (Chŭxióng Yízú Zìzhìzhōu)</v>
      </c>
      <c r="P755" s="15" t="str">
        <f t="shared" si="23"/>
        <v>Mixing Zhen (Chŭxióng Yízú Zìzhìzhōu)</v>
      </c>
    </row>
    <row r="756" spans="1:16" hidden="1" x14ac:dyDescent="0.25">
      <c r="A756" t="s">
        <v>915</v>
      </c>
      <c r="B756" t="str">
        <f>IF(COUNTIF(A:A,A756)&gt;1,_xlfn.CONCAT(A756," (",N756,")"),A756)</f>
        <v>Míyáng Zhèn</v>
      </c>
      <c r="C756" t="str">
        <f>IF(COUNTIF(B:B,B756)&gt;1,_xlfn.CONCAT(A756," (",M756,")"),B756)</f>
        <v>Míyáng Zhèn</v>
      </c>
      <c r="D756" t="s">
        <v>916</v>
      </c>
      <c r="E756" t="s">
        <v>11</v>
      </c>
      <c r="F756" t="str">
        <f>_xlfn.CONCAT(D756,", ",H756,", ",I756,", ","云南省")</f>
        <v>弥阳镇, 弥勒市, 红河哈尼族彝族自治州, 云南省</v>
      </c>
      <c r="G756">
        <v>162335</v>
      </c>
      <c r="H756" t="s">
        <v>2802</v>
      </c>
      <c r="I756" t="s">
        <v>2792</v>
      </c>
      <c r="J756">
        <f>VLOOKUP(F756,[1]!china_towns_second__2[[Column1]:[Y]],3,FALSE)</f>
        <v>24.397511671237901</v>
      </c>
      <c r="K756">
        <f>VLOOKUP(F756,[1]!china_towns_second__2[[Column1]:[Y]],2,FALSE)</f>
        <v>103.5021869</v>
      </c>
      <c r="L756" t="s">
        <v>4311</v>
      </c>
      <c r="M756" t="str">
        <f>VLOOKUP(H756,CHOOSE({1,2},Table17[Native],Table17[Name]),2,0)</f>
        <v>Mílè Shì</v>
      </c>
      <c r="N756" s="15" t="str">
        <f>VLOOKUP(I756,CHOOSE({1,2},Table17[Native],Table17[Name]),2,0)</f>
        <v>Hónghé Hānízú Yízú Zìzhìzhōu</v>
      </c>
      <c r="O756" s="15" t="str">
        <f t="shared" si="22"/>
        <v>Miyang Zhen (Hónghé Hānízú Yízú Zìzhìzhōu)</v>
      </c>
      <c r="P756" s="15" t="str">
        <f t="shared" si="23"/>
        <v>Miyang Zhen (Hónghé Hānízú Yízú Zìzhìzhōu)</v>
      </c>
    </row>
    <row r="757" spans="1:16" hidden="1" x14ac:dyDescent="0.25">
      <c r="A757" t="s">
        <v>496</v>
      </c>
      <c r="B757" t="str">
        <f>IF(COUNTIF(A:A,A757)&gt;1,_xlfn.CONCAT(A757," (",N757,")"),A757)</f>
        <v>Mìzhĭ Zhèn</v>
      </c>
      <c r="C757" t="str">
        <f>IF(COUNTIF(B:B,B757)&gt;1,_xlfn.CONCAT(A757," (",M757,")"),B757)</f>
        <v>Mìzhĭ Zhèn</v>
      </c>
      <c r="D757" t="s">
        <v>497</v>
      </c>
      <c r="E757" t="s">
        <v>11</v>
      </c>
      <c r="F757" t="str">
        <f>_xlfn.CONCAT(D757,", ",H757,", ",I757,", ","云南省")</f>
        <v>密祉镇, 弥渡县, 大理白族自治州, 云南省</v>
      </c>
      <c r="G757">
        <v>15489</v>
      </c>
      <c r="H757" t="s">
        <v>2769</v>
      </c>
      <c r="I757" t="s">
        <v>2763</v>
      </c>
      <c r="J757">
        <f>VLOOKUP(F757,[1]!china_towns_second__2[[Column1]:[Y]],3,FALSE)</f>
        <v>25.164664576984102</v>
      </c>
      <c r="K757">
        <f>VLOOKUP(F757,[1]!china_towns_second__2[[Column1]:[Y]],2,FALSE)</f>
        <v>100.5133147</v>
      </c>
      <c r="L757" t="s">
        <v>4312</v>
      </c>
      <c r="M757" t="str">
        <f>VLOOKUP(H757,CHOOSE({1,2},Table17[Native],Table17[Name]),2,0)</f>
        <v>Mídù Xiàn</v>
      </c>
      <c r="N757" s="15" t="str">
        <f>VLOOKUP(I757,CHOOSE({1,2},Table17[Native],Table17[Name]),2,0)</f>
        <v>Dàlĭ Báizú Zìzhìzhōu</v>
      </c>
      <c r="O757" s="15" t="str">
        <f t="shared" si="22"/>
        <v>Mizhi Zhen (Dàlĭ Báizú Zìzhìzhōu)</v>
      </c>
      <c r="P757" s="15" t="str">
        <f t="shared" si="23"/>
        <v>Mizhi Zhen (Dàlĭ Báizú Zìzhìzhōu)</v>
      </c>
    </row>
    <row r="758" spans="1:16" hidden="1" x14ac:dyDescent="0.25">
      <c r="A758" t="s">
        <v>2601</v>
      </c>
      <c r="B758" t="str">
        <f>IF(COUNTIF(A:A,A758)&gt;1,_xlfn.CONCAT(A758," (",N758,")"),A758)</f>
        <v>Mòhàn Xiāng</v>
      </c>
      <c r="C758" t="str">
        <f>IF(COUNTIF(B:B,B758)&gt;1,_xlfn.CONCAT(A758," (",M758,")"),B758)</f>
        <v>Mòhàn Xiāng</v>
      </c>
      <c r="D758" t="s">
        <v>2602</v>
      </c>
      <c r="E758" t="s">
        <v>7</v>
      </c>
      <c r="F758" t="str">
        <f>_xlfn.CONCAT(D758,", ",H758,", ",I758,", ","云南省")</f>
        <v>墨翰乡, 永善县, 昭通市, 云南省</v>
      </c>
      <c r="G758">
        <v>20935</v>
      </c>
      <c r="H758" t="s">
        <v>2908</v>
      </c>
      <c r="I758" t="s">
        <v>2899</v>
      </c>
      <c r="J758" t="e">
        <f>VLOOKUP(F758,[1]!china_towns_second__2[[Column1]:[Y]],3,FALSE)</f>
        <v>#N/A</v>
      </c>
      <c r="K758" t="e">
        <f>VLOOKUP(F758,[1]!china_towns_second__2[[Column1]:[Y]],2,FALSE)</f>
        <v>#N/A</v>
      </c>
      <c r="L758" t="s">
        <v>4313</v>
      </c>
      <c r="M758" t="str">
        <f>VLOOKUP(H758,CHOOSE({1,2},Table17[Native],Table17[Name]),2,0)</f>
        <v>Yŏngshàn Xiàn</v>
      </c>
      <c r="N758" s="15" t="str">
        <f>VLOOKUP(I758,CHOOSE({1,2},Table17[Native],Table17[Name]),2,0)</f>
        <v>Zhāotōng Shì</v>
      </c>
      <c r="O758" s="15" t="str">
        <f t="shared" si="22"/>
        <v>Mohan Xiang (Zhāotōng Shì)</v>
      </c>
      <c r="P758" s="15" t="str">
        <f t="shared" si="23"/>
        <v>Mohan Xiang (Zhāotōng Shì)</v>
      </c>
    </row>
    <row r="759" spans="1:16" hidden="1" x14ac:dyDescent="0.25">
      <c r="A759" t="s">
        <v>2305</v>
      </c>
      <c r="B759" t="str">
        <f>IF(COUNTIF(A:A,A759)&gt;1,_xlfn.CONCAT(A759," (",N759,")"),A759)</f>
        <v>Móhān Zhèn [Shàngyŏng Zhèn]</v>
      </c>
      <c r="C759" t="str">
        <f>IF(COUNTIF(B:B,B759)&gt;1,_xlfn.CONCAT(A759," (",M759,")"),B759)</f>
        <v>Móhān Zhèn [Shàngyŏng Zhèn]</v>
      </c>
      <c r="D759" t="s">
        <v>2306</v>
      </c>
      <c r="E759" t="s">
        <v>11</v>
      </c>
      <c r="F759" t="str">
        <f>_xlfn.CONCAT(D759,", ",H759,", ",I759,", ","云南省")</f>
        <v>磨憨镇, 勐腊县, 西双版纳傣族自治州, 云南省</v>
      </c>
      <c r="G759">
        <v>18547</v>
      </c>
      <c r="H759" t="s">
        <v>2886</v>
      </c>
      <c r="I759" t="s">
        <v>2883</v>
      </c>
      <c r="J759">
        <f>VLOOKUP(F759,[1]!china_towns_second__2[[Column1]:[Y]],3,FALSE)</f>
        <v>21.1907876</v>
      </c>
      <c r="K759">
        <f>VLOOKUP(F759,[1]!china_towns_second__2[[Column1]:[Y]],2,FALSE)</f>
        <v>101.68771959999999</v>
      </c>
      <c r="L759" t="s">
        <v>4314</v>
      </c>
      <c r="M759" t="str">
        <f>VLOOKUP(H759,CHOOSE({1,2},Table17[Native],Table17[Name]),2,0)</f>
        <v>Mĕnglà Xiàn</v>
      </c>
      <c r="N759" s="15" t="str">
        <f>VLOOKUP(I759,CHOOSE({1,2},Table17[Native],Table17[Name]),2,0)</f>
        <v>Xīshuāngbănnà Dăizú Zìzhìzhōu</v>
      </c>
      <c r="O759" s="15" t="str">
        <f t="shared" si="22"/>
        <v>Mohan Zhen [Shangyong Zhen] (Xīshuāngbănnà Dăizú Zìzhìzhōu)</v>
      </c>
      <c r="P759" s="15" t="str">
        <f t="shared" si="23"/>
        <v>Mohan Zhen [Shangyong Zhen] (Xīshuāngbănnà Dăizú Zìzhìzhōu)</v>
      </c>
    </row>
    <row r="760" spans="1:16" hidden="1" x14ac:dyDescent="0.25">
      <c r="A760" t="s">
        <v>1765</v>
      </c>
      <c r="B760" t="str">
        <f>IF(COUNTIF(A:A,A760)&gt;1,_xlfn.CONCAT(A760," (",N760,")"),A760)</f>
        <v>Móhēi Zhèn</v>
      </c>
      <c r="C760" t="str">
        <f>IF(COUNTIF(B:B,B760)&gt;1,_xlfn.CONCAT(A760," (",M760,")"),B760)</f>
        <v>Móhēi Zhèn</v>
      </c>
      <c r="D760" t="s">
        <v>1766</v>
      </c>
      <c r="E760" t="s">
        <v>11</v>
      </c>
      <c r="F760" t="str">
        <f>_xlfn.CONCAT(D760,", ",H760,", ",I760,", ","云南省")</f>
        <v>磨黑镇, 宁洱哈尼族彝族自治县, 普洱市, 云南省</v>
      </c>
      <c r="G760">
        <v>20962</v>
      </c>
      <c r="H760" t="s">
        <v>2855</v>
      </c>
      <c r="I760" t="s">
        <v>2848</v>
      </c>
      <c r="J760">
        <f>VLOOKUP(F760,[1]!china_towns_second__2[[Column1]:[Y]],3,FALSE)</f>
        <v>23.203181927939301</v>
      </c>
      <c r="K760">
        <f>VLOOKUP(F760,[1]!china_towns_second__2[[Column1]:[Y]],2,FALSE)</f>
        <v>101.2156964</v>
      </c>
      <c r="L760" t="s">
        <v>4315</v>
      </c>
      <c r="M760" t="str">
        <f>VLOOKUP(H760,CHOOSE({1,2},Table17[Native],Table17[Name]),2,0)</f>
        <v>Níng'ĕr Hānízú Yízú Zìzhìxiàn</v>
      </c>
      <c r="N760" s="15" t="str">
        <f>VLOOKUP(I760,CHOOSE({1,2},Table17[Native],Table17[Name]),2,0)</f>
        <v>Pŭ'ĕr Shì</v>
      </c>
      <c r="O760" s="15" t="str">
        <f t="shared" si="22"/>
        <v>Mohei Zhen (Pŭ'ĕr Shì)</v>
      </c>
      <c r="P760" s="15" t="str">
        <f t="shared" si="23"/>
        <v>Mohei Zhen (Pŭ'ĕr Shì)</v>
      </c>
    </row>
    <row r="761" spans="1:16" hidden="1" x14ac:dyDescent="0.25">
      <c r="A761" t="s">
        <v>1973</v>
      </c>
      <c r="B761" t="str">
        <f>IF(COUNTIF(A:A,A761)&gt;1,_xlfn.CONCAT(A761," (",N761,")"),A761)</f>
        <v>Mòhóng Zhèn</v>
      </c>
      <c r="C761" t="str">
        <f>IF(COUNTIF(B:B,B761)&gt;1,_xlfn.CONCAT(A761," (",M761,")"),B761)</f>
        <v>Mòhóng Zhèn</v>
      </c>
      <c r="D761" t="s">
        <v>1974</v>
      </c>
      <c r="E761" t="s">
        <v>11</v>
      </c>
      <c r="F761" t="str">
        <f>_xlfn.CONCAT(D761,", ",H761,", ",I761,", ","云南省")</f>
        <v>墨红镇, 富源县, 曲靖市, 云南省</v>
      </c>
      <c r="G761">
        <v>58840</v>
      </c>
      <c r="H761" t="s">
        <v>2861</v>
      </c>
      <c r="I761" t="s">
        <v>2860</v>
      </c>
      <c r="J761">
        <f>VLOOKUP(F761,[1]!china_towns_second__2[[Column1]:[Y]],3,FALSE)</f>
        <v>25.437612787173499</v>
      </c>
      <c r="K761">
        <f>VLOOKUP(F761,[1]!china_towns_second__2[[Column1]:[Y]],2,FALSE)</f>
        <v>104.1202402</v>
      </c>
      <c r="L761" t="s">
        <v>4316</v>
      </c>
      <c r="M761" t="str">
        <f>VLOOKUP(H761,CHOOSE({1,2},Table17[Native],Table17[Name]),2,0)</f>
        <v>Fùyuán Xiàn</v>
      </c>
      <c r="N761" s="15" t="str">
        <f>VLOOKUP(I761,CHOOSE({1,2},Table17[Native],Table17[Name]),2,0)</f>
        <v>Qŭjìng Shì</v>
      </c>
      <c r="O761" s="15" t="str">
        <f t="shared" si="22"/>
        <v>Mohong Zhen (Qŭjìng Shì)</v>
      </c>
      <c r="P761" s="15" t="str">
        <f t="shared" si="23"/>
        <v>Mohong Zhen (Qŭjìng Shì)</v>
      </c>
    </row>
    <row r="762" spans="1:16" hidden="1" x14ac:dyDescent="0.25">
      <c r="A762" t="s">
        <v>2400</v>
      </c>
      <c r="B762" t="str">
        <f>IF(COUNTIF(A:A,A762)&gt;1,_xlfn.CONCAT(A762," (",N762,")"),A762)</f>
        <v>Mòshā Zhèn</v>
      </c>
      <c r="C762" t="str">
        <f>IF(COUNTIF(B:B,B762)&gt;1,_xlfn.CONCAT(A762," (",M762,")"),B762)</f>
        <v>Mòshā Zhèn</v>
      </c>
      <c r="D762" t="s">
        <v>2401</v>
      </c>
      <c r="E762" t="s">
        <v>11</v>
      </c>
      <c r="F762" t="str">
        <f>_xlfn.CONCAT(D762,", ",H762,", ",I762,", ","云南省")</f>
        <v>漠沙镇, 新平彝族傣族自治县, 玉溪市, 云南省</v>
      </c>
      <c r="G762">
        <v>35806</v>
      </c>
      <c r="H762" t="s">
        <v>2895</v>
      </c>
      <c r="I762" t="s">
        <v>2888</v>
      </c>
      <c r="J762">
        <f>VLOOKUP(F762,[1]!china_towns_second__2[[Column1]:[Y]],3,FALSE)</f>
        <v>23.878477667793501</v>
      </c>
      <c r="K762">
        <f>VLOOKUP(F762,[1]!china_towns_second__2[[Column1]:[Y]],2,FALSE)</f>
        <v>101.7351761</v>
      </c>
      <c r="L762" t="s">
        <v>4317</v>
      </c>
      <c r="M762" t="str">
        <f>VLOOKUP(H762,CHOOSE({1,2},Table17[Native],Table17[Name]),2,0)</f>
        <v>Xīnpíng Yízú Dăizú Zìzhìxiàn</v>
      </c>
      <c r="N762" s="15" t="str">
        <f>VLOOKUP(I762,CHOOSE({1,2},Table17[Native],Table17[Name]),2,0)</f>
        <v>Yùxī Shì</v>
      </c>
      <c r="O762" s="15" t="str">
        <f t="shared" si="22"/>
        <v>Mosha Zhen (Yùxī Shì)</v>
      </c>
      <c r="P762" s="15" t="str">
        <f t="shared" si="23"/>
        <v>Mosha Zhen (Yùxī Shì)</v>
      </c>
    </row>
    <row r="763" spans="1:16" hidden="1" x14ac:dyDescent="0.25">
      <c r="A763" t="s">
        <v>1545</v>
      </c>
      <c r="B763" t="str">
        <f>IF(COUNTIF(A:A,A763)&gt;1,_xlfn.CONCAT(A763," (",N763,")"),A763)</f>
        <v>Mùchăng Xiāng</v>
      </c>
      <c r="C763" t="str">
        <f>IF(COUNTIF(B:B,B763)&gt;1,_xlfn.CONCAT(A763," (",M763,")"),B763)</f>
        <v>Mùchăng Xiāng</v>
      </c>
      <c r="D763" t="s">
        <v>1546</v>
      </c>
      <c r="E763" t="s">
        <v>7</v>
      </c>
      <c r="F763" t="str">
        <f>_xlfn.CONCAT(D763,", ",H763,", ",I763,", ","云南省")</f>
        <v>木场乡, 镇康县, 临沧市, 云南省</v>
      </c>
      <c r="G763">
        <v>18666</v>
      </c>
      <c r="H763" t="s">
        <v>2839</v>
      </c>
      <c r="I763" t="s">
        <v>2831</v>
      </c>
      <c r="J763" t="e">
        <f>VLOOKUP(F763,[1]!china_towns_second__2[[Column1]:[Y]],3,FALSE)</f>
        <v>#N/A</v>
      </c>
      <c r="K763" t="e">
        <f>VLOOKUP(F763,[1]!china_towns_second__2[[Column1]:[Y]],2,FALSE)</f>
        <v>#N/A</v>
      </c>
      <c r="L763" t="s">
        <v>4318</v>
      </c>
      <c r="M763" t="str">
        <f>VLOOKUP(H763,CHOOSE({1,2},Table17[Native],Table17[Name]),2,0)</f>
        <v>Zhènkāng Xiàn</v>
      </c>
      <c r="N763" s="15" t="str">
        <f>VLOOKUP(I763,CHOOSE({1,2},Table17[Native],Table17[Name]),2,0)</f>
        <v>Líncāng Shì</v>
      </c>
      <c r="O763" s="15" t="str">
        <f t="shared" si="22"/>
        <v>Muchang Xiang (Líncāng Shì)</v>
      </c>
      <c r="P763" s="15" t="str">
        <f t="shared" si="23"/>
        <v>Muchang Xiang (Líncāng Shì)</v>
      </c>
    </row>
    <row r="764" spans="1:16" hidden="1" x14ac:dyDescent="0.25">
      <c r="A764" t="s">
        <v>2173</v>
      </c>
      <c r="B764" t="str">
        <f>IF(COUNTIF(A:A,A764)&gt;1,_xlfn.CONCAT(A764," (",N764,")"),A764)</f>
        <v>Mùchăng Zhèn</v>
      </c>
      <c r="C764" t="str">
        <f>IF(COUNTIF(B:B,B764)&gt;1,_xlfn.CONCAT(A764," (",M764,")"),B764)</f>
        <v>Mùchăng Zhèn</v>
      </c>
      <c r="D764" t="s">
        <v>2174</v>
      </c>
      <c r="E764" t="s">
        <v>11</v>
      </c>
      <c r="F764" t="str">
        <f>_xlfn.CONCAT(D764,", ",H764,", ",I764,", ","云南省")</f>
        <v>木厂镇, 马关县, 文山壮族苗族自治州, 云南省</v>
      </c>
      <c r="G764">
        <v>24158</v>
      </c>
      <c r="H764" t="s">
        <v>2875</v>
      </c>
      <c r="I764" t="s">
        <v>2872</v>
      </c>
      <c r="J764">
        <f>VLOOKUP(F764,[1]!china_towns_second__2[[Column1]:[Y]],3,FALSE)</f>
        <v>22.9317779428434</v>
      </c>
      <c r="K764">
        <f>VLOOKUP(F764,[1]!china_towns_second__2[[Column1]:[Y]],2,FALSE)</f>
        <v>104.1761947</v>
      </c>
      <c r="L764" t="s">
        <v>4319</v>
      </c>
      <c r="M764" t="str">
        <f>VLOOKUP(H764,CHOOSE({1,2},Table17[Native],Table17[Name]),2,0)</f>
        <v>Măguān Xiàn</v>
      </c>
      <c r="N764" s="15" t="str">
        <f>VLOOKUP(I764,CHOOSE({1,2},Table17[Native],Table17[Name]),2,0)</f>
        <v>Wénshān Zhuàngzú Miáozú Zìzhìzhōu</v>
      </c>
      <c r="O764" s="15" t="str">
        <f t="shared" si="22"/>
        <v>Muchang Zhen (Wénshān Zhuàngzú Miáozú Zìzhìzhōu)</v>
      </c>
      <c r="P764" s="15" t="str">
        <f t="shared" si="23"/>
        <v>Muchang Zhen (Wénshān Zhuàngzú Miáozú Zìzhìzhōu)</v>
      </c>
    </row>
    <row r="765" spans="1:16" hidden="1" x14ac:dyDescent="0.25">
      <c r="A765" t="s">
        <v>89</v>
      </c>
      <c r="B765" t="str">
        <f>IF(COUNTIF(A:A,A765)&gt;1,_xlfn.CONCAT(A765," (",N765,")"),A765)</f>
        <v>Mùchéng Yízú Lìsùzú Xiāng</v>
      </c>
      <c r="C765" t="str">
        <f>IF(COUNTIF(B:B,B765)&gt;1,_xlfn.CONCAT(A765," (",M765,")"),B765)</f>
        <v>Mùchéng Yízú Lìsùzú Xiāng</v>
      </c>
      <c r="D765" t="s">
        <v>90</v>
      </c>
      <c r="E765" t="s">
        <v>7</v>
      </c>
      <c r="F765" t="str">
        <f>_xlfn.CONCAT(D765,", ",H765,", ",I765,", ","云南省")</f>
        <v>木城彝族傈僳族乡, 龙陵县, 保山市, 云南省</v>
      </c>
      <c r="G765">
        <v>8208</v>
      </c>
      <c r="H765" t="s">
        <v>2742</v>
      </c>
      <c r="I765" t="s">
        <v>2739</v>
      </c>
      <c r="J765" t="e">
        <f>VLOOKUP(F765,[1]!china_towns_second__2[[Column1]:[Y]],3,FALSE)</f>
        <v>#N/A</v>
      </c>
      <c r="K765" t="e">
        <f>VLOOKUP(F765,[1]!china_towns_second__2[[Column1]:[Y]],2,FALSE)</f>
        <v>#N/A</v>
      </c>
      <c r="L765" t="s">
        <v>4320</v>
      </c>
      <c r="M765" t="str">
        <f>VLOOKUP(H765,CHOOSE({1,2},Table17[Native],Table17[Name]),2,0)</f>
        <v>Lónglíng Xiàn</v>
      </c>
      <c r="N765" s="15" t="str">
        <f>VLOOKUP(I765,CHOOSE({1,2},Table17[Native],Table17[Name]),2,0)</f>
        <v>Băoshān Shì</v>
      </c>
      <c r="O765" s="15" t="str">
        <f t="shared" si="22"/>
        <v>Mucheng Yizu Lisuzu Xiang (Băoshān Shì)</v>
      </c>
      <c r="P765" s="15" t="str">
        <f t="shared" si="23"/>
        <v>Mucheng Yizu Lisuzu Xiang (Băoshān Shì)</v>
      </c>
    </row>
    <row r="766" spans="1:16" hidden="1" x14ac:dyDescent="0.25">
      <c r="A766" t="s">
        <v>2603</v>
      </c>
      <c r="B766" t="str">
        <f>IF(COUNTIF(A:A,A766)&gt;1,_xlfn.CONCAT(A766," (",N766,")"),A766)</f>
        <v>Mùgān Zhèn</v>
      </c>
      <c r="C766" t="str">
        <f>IF(COUNTIF(B:B,B766)&gt;1,_xlfn.CONCAT(A766," (",M766,")"),B766)</f>
        <v>Mùgān Zhèn</v>
      </c>
      <c r="D766" t="s">
        <v>2604</v>
      </c>
      <c r="E766" t="s">
        <v>11</v>
      </c>
      <c r="F766" t="str">
        <f>_xlfn.CONCAT(D766,", ",H766,", ",I766,", ","云南省")</f>
        <v>木杆镇, 大关县, 昭通市, 云南省</v>
      </c>
      <c r="G766">
        <v>26877</v>
      </c>
      <c r="H766" t="s">
        <v>2900</v>
      </c>
      <c r="I766" t="s">
        <v>2899</v>
      </c>
      <c r="J766">
        <f>VLOOKUP(F766,[1]!china_towns_second__2[[Column1]:[Y]],3,FALSE)</f>
        <v>28.1361885445483</v>
      </c>
      <c r="K766">
        <f>VLOOKUP(F766,[1]!china_towns_second__2[[Column1]:[Y]],2,FALSE)</f>
        <v>103.9608714</v>
      </c>
      <c r="L766" t="s">
        <v>4321</v>
      </c>
      <c r="M766" t="str">
        <f>VLOOKUP(H766,CHOOSE({1,2},Table17[Native],Table17[Name]),2,0)</f>
        <v>Dàguān Xiàn</v>
      </c>
      <c r="N766" s="15" t="str">
        <f>VLOOKUP(I766,CHOOSE({1,2},Table17[Native],Table17[Name]),2,0)</f>
        <v>Zhāotōng Shì</v>
      </c>
      <c r="O766" s="15" t="str">
        <f t="shared" si="22"/>
        <v>Mugan Zhen (Zhāotōng Shì)</v>
      </c>
      <c r="P766" s="15" t="str">
        <f t="shared" si="23"/>
        <v>Mugan Zhen (Zhāotōng Shì)</v>
      </c>
    </row>
    <row r="767" spans="1:16" hidden="1" x14ac:dyDescent="0.25">
      <c r="A767" t="s">
        <v>1767</v>
      </c>
      <c r="B767" t="str">
        <f>IF(COUNTIF(A:A,A767)&gt;1,_xlfn.CONCAT(A767," (",N767,")"),A767)</f>
        <v>Mùjiá Xiāng</v>
      </c>
      <c r="C767" t="str">
        <f>IF(COUNTIF(B:B,B767)&gt;1,_xlfn.CONCAT(A767," (",M767,")"),B767)</f>
        <v>Mùjiá Xiāng</v>
      </c>
      <c r="D767" t="s">
        <v>1768</v>
      </c>
      <c r="E767" t="s">
        <v>7</v>
      </c>
      <c r="F767" t="str">
        <f>_xlfn.CONCAT(D767,", ",H767,", ",I767,", ","云南省")</f>
        <v>木戛乡, 澜沧拉祜族自治县, 普洱市, 云南省</v>
      </c>
      <c r="G767">
        <v>16180</v>
      </c>
      <c r="H767" t="s">
        <v>2852</v>
      </c>
      <c r="I767" t="s">
        <v>2848</v>
      </c>
      <c r="J767" t="e">
        <f>VLOOKUP(F767,[1]!china_towns_second__2[[Column1]:[Y]],3,FALSE)</f>
        <v>#N/A</v>
      </c>
      <c r="K767" t="e">
        <f>VLOOKUP(F767,[1]!china_towns_second__2[[Column1]:[Y]],2,FALSE)</f>
        <v>#N/A</v>
      </c>
      <c r="L767" t="s">
        <v>4322</v>
      </c>
      <c r="M767" t="str">
        <f>VLOOKUP(H767,CHOOSE({1,2},Table17[Native],Table17[Name]),2,0)</f>
        <v>Láncāng Lāhùzú Zìzhìxiàn</v>
      </c>
      <c r="N767" s="15" t="str">
        <f>VLOOKUP(I767,CHOOSE({1,2},Table17[Native],Table17[Name]),2,0)</f>
        <v>Pŭ'ĕr Shì</v>
      </c>
      <c r="O767" s="15" t="str">
        <f t="shared" si="22"/>
        <v>Mujia Xiang (Pŭ'ĕr Shì)</v>
      </c>
      <c r="P767" s="15" t="str">
        <f t="shared" si="23"/>
        <v>Mujia Xiang (Pŭ'ĕr Shì)</v>
      </c>
    </row>
    <row r="768" spans="1:16" hidden="1" x14ac:dyDescent="0.25">
      <c r="A768" t="s">
        <v>91</v>
      </c>
      <c r="B768" t="str">
        <f>IF(COUNTIF(A:A,A768)&gt;1,_xlfn.CONCAT(A768," (",N768,")"),A768)</f>
        <v>Mùlăoyuán Bùlăngzú Yízú Xiāng</v>
      </c>
      <c r="C768" t="str">
        <f>IF(COUNTIF(B:B,B768)&gt;1,_xlfn.CONCAT(A768," (",M768,")"),B768)</f>
        <v>Mùlăoyuán Bùlăngzú Yízú Xiāng</v>
      </c>
      <c r="D768" t="s">
        <v>92</v>
      </c>
      <c r="E768" t="s">
        <v>7</v>
      </c>
      <c r="F768" t="str">
        <f>_xlfn.CONCAT(D768,", ",H768,", ",I768,", ","云南省")</f>
        <v>木老元布朗族彝族乡, 施甸县, 保山市, 云南省</v>
      </c>
      <c r="G768">
        <v>5383</v>
      </c>
      <c r="H768" t="s">
        <v>2745</v>
      </c>
      <c r="I768" t="s">
        <v>2739</v>
      </c>
      <c r="J768" t="e">
        <f>VLOOKUP(F768,[1]!china_towns_second__2[[Column1]:[Y]],3,FALSE)</f>
        <v>#N/A</v>
      </c>
      <c r="K768" t="e">
        <f>VLOOKUP(F768,[1]!china_towns_second__2[[Column1]:[Y]],2,FALSE)</f>
        <v>#N/A</v>
      </c>
      <c r="L768" t="s">
        <v>4323</v>
      </c>
      <c r="M768" t="str">
        <f>VLOOKUP(H768,CHOOSE({1,2},Table17[Native],Table17[Name]),2,0)</f>
        <v>Shīdiàn Xiàn</v>
      </c>
      <c r="N768" s="15" t="str">
        <f>VLOOKUP(I768,CHOOSE({1,2},Table17[Native],Table17[Name]),2,0)</f>
        <v>Băoshān Shì</v>
      </c>
      <c r="O768" s="15" t="str">
        <f t="shared" si="22"/>
        <v>Mulaoyuan Bulangzu Yizu Xiang (Băoshān Shì)</v>
      </c>
      <c r="P768" s="15" t="str">
        <f t="shared" si="23"/>
        <v>Mulaoyuan Bulangzu Yizu Xiang (Băoshān Shì)</v>
      </c>
    </row>
    <row r="769" spans="1:16" hidden="1" x14ac:dyDescent="0.25">
      <c r="A769" t="s">
        <v>2605</v>
      </c>
      <c r="B769" t="str">
        <f>IF(COUNTIF(A:A,A769)&gt;1,_xlfn.CONCAT(A769," (",N769,")"),A769)</f>
        <v>Mŭxiăng Zhèn</v>
      </c>
      <c r="C769" t="str">
        <f>IF(COUNTIF(B:B,B769)&gt;1,_xlfn.CONCAT(A769," (",M769,")"),B769)</f>
        <v>Mŭxiăng Zhèn</v>
      </c>
      <c r="D769" t="s">
        <v>2606</v>
      </c>
      <c r="E769" t="s">
        <v>11</v>
      </c>
      <c r="F769" t="str">
        <f>_xlfn.CONCAT(D769,", ",H769,", ",I769,", ","云南省")</f>
        <v>母享镇, 镇雄县, 昭通市, 云南省</v>
      </c>
      <c r="G769">
        <v>56276</v>
      </c>
      <c r="H769" t="s">
        <v>2910</v>
      </c>
      <c r="I769" t="s">
        <v>2899</v>
      </c>
      <c r="J769">
        <f>VLOOKUP(F769,[1]!china_towns_second__2[[Column1]:[Y]],3,FALSE)</f>
        <v>27.559152257660202</v>
      </c>
      <c r="K769">
        <f>VLOOKUP(F769,[1]!china_towns_second__2[[Column1]:[Y]],2,FALSE)</f>
        <v>105.17964139999999</v>
      </c>
      <c r="L769" t="s">
        <v>4324</v>
      </c>
      <c r="M769" t="str">
        <f>VLOOKUP(H769,CHOOSE({1,2},Table17[Native],Table17[Name]),2,0)</f>
        <v>Zhènxióng Xiàn</v>
      </c>
      <c r="N769" s="15" t="str">
        <f>VLOOKUP(I769,CHOOSE({1,2},Table17[Native],Table17[Name]),2,0)</f>
        <v>Zhāotōng Shì</v>
      </c>
      <c r="O769" s="15" t="str">
        <f t="shared" si="22"/>
        <v>Muxiang Zhen (Zhāotōng Shì)</v>
      </c>
      <c r="P769" s="15" t="str">
        <f t="shared" si="23"/>
        <v>Muxiang Zhen (Zhāotōng Shì)</v>
      </c>
    </row>
    <row r="770" spans="1:16" hidden="1" x14ac:dyDescent="0.25">
      <c r="A770" t="s">
        <v>2175</v>
      </c>
      <c r="B770" t="str">
        <f>IF(COUNTIF(A:A,A770)&gt;1,_xlfn.CONCAT(A770," (",N770,")"),A770)</f>
        <v>Mùyāng Zhèn</v>
      </c>
      <c r="C770" t="str">
        <f>IF(COUNTIF(B:B,B770)&gt;1,_xlfn.CONCAT(A770," (",M770,")"),B770)</f>
        <v>Mùyāng Zhèn</v>
      </c>
      <c r="D770" t="s">
        <v>2176</v>
      </c>
      <c r="E770" t="s">
        <v>11</v>
      </c>
      <c r="F770" t="str">
        <f>_xlfn.CONCAT(D770,", ",H770,", ",I770,", ","云南省")</f>
        <v>木央镇, 富宁县, 文山壮族苗族自治州, 云南省</v>
      </c>
      <c r="G770">
        <v>50276</v>
      </c>
      <c r="H770" t="s">
        <v>2873</v>
      </c>
      <c r="I770" t="s">
        <v>2872</v>
      </c>
      <c r="J770">
        <f>VLOOKUP(F770,[1]!china_towns_second__2[[Column1]:[Y]],3,FALSE)</f>
        <v>23.490820259387</v>
      </c>
      <c r="K770">
        <f>VLOOKUP(F770,[1]!china_towns_second__2[[Column1]:[Y]],2,FALSE)</f>
        <v>105.37456570000001</v>
      </c>
      <c r="L770" t="s">
        <v>4325</v>
      </c>
      <c r="M770" t="str">
        <f>VLOOKUP(H770,CHOOSE({1,2},Table17[Native],Table17[Name]),2,0)</f>
        <v>Fùníng Xiàn</v>
      </c>
      <c r="N770" s="15" t="str">
        <f>VLOOKUP(I770,CHOOSE({1,2},Table17[Native],Table17[Name]),2,0)</f>
        <v>Wénshān Zhuàngzú Miáozú Zìzhìzhōu</v>
      </c>
      <c r="O770" s="15" t="str">
        <f t="shared" ref="O770:O833" si="24">_xlfn.CONCAT(L770," (",N770,")")</f>
        <v>Muyang Zhen (Wénshān Zhuàngzú Miáozú Zìzhìzhōu)</v>
      </c>
      <c r="P770" s="15" t="str">
        <f t="shared" ref="P770:P833" si="25">IF(COUNTIF(O:O,O770)&gt;1,_xlfn.CONCAT(L770," (",M770,")"),O770)</f>
        <v>Muyang Zhen (Wénshān Zhuàngzú Miáozú Zìzhìzhōu)</v>
      </c>
    </row>
    <row r="771" spans="1:16" hidden="1" x14ac:dyDescent="0.25">
      <c r="A771" t="s">
        <v>2607</v>
      </c>
      <c r="B771" t="str">
        <f>IF(COUNTIF(A:A,A771)&gt;1,_xlfn.CONCAT(A771," (",N771,")"),A771)</f>
        <v>Mùzhuó Zhèn</v>
      </c>
      <c r="C771" t="str">
        <f>IF(COUNTIF(B:B,B771)&gt;1,_xlfn.CONCAT(A771," (",M771,")"),B771)</f>
        <v>Mùzhuó Zhèn</v>
      </c>
      <c r="D771" t="s">
        <v>2608</v>
      </c>
      <c r="E771" t="s">
        <v>11</v>
      </c>
      <c r="F771" t="str">
        <f>_xlfn.CONCAT(D771,", ",H771,", ",I771,", ","云南省")</f>
        <v>木卓镇, 镇雄县, 昭通市, 云南省</v>
      </c>
      <c r="G771">
        <v>27775</v>
      </c>
      <c r="H771" t="s">
        <v>2910</v>
      </c>
      <c r="I771" t="s">
        <v>2899</v>
      </c>
      <c r="J771">
        <f>VLOOKUP(F771,[1]!china_towns_second__2[[Column1]:[Y]],3,FALSE)</f>
        <v>27.7139414136903</v>
      </c>
      <c r="K771">
        <f>VLOOKUP(F771,[1]!china_towns_second__2[[Column1]:[Y]],2,FALSE)</f>
        <v>104.80392620000001</v>
      </c>
      <c r="L771" t="s">
        <v>4326</v>
      </c>
      <c r="M771" t="str">
        <f>VLOOKUP(H771,CHOOSE({1,2},Table17[Native],Table17[Name]),2,0)</f>
        <v>Zhènxióng Xiàn</v>
      </c>
      <c r="N771" s="15" t="str">
        <f>VLOOKUP(I771,CHOOSE({1,2},Table17[Native],Table17[Name]),2,0)</f>
        <v>Zhāotōng Shì</v>
      </c>
      <c r="O771" s="15" t="str">
        <f t="shared" si="24"/>
        <v>Muzhuo Zhen (Zhāotōng Shì)</v>
      </c>
      <c r="P771" s="15" t="str">
        <f t="shared" si="25"/>
        <v>Muzhuo Zhen (Zhāotōng Shì)</v>
      </c>
    </row>
    <row r="772" spans="1:16" hidden="1" x14ac:dyDescent="0.25">
      <c r="A772" t="s">
        <v>659</v>
      </c>
      <c r="B772" t="str">
        <f>IF(COUNTIF(A:A,A772)&gt;1,_xlfn.CONCAT(A772," (",N772,")"),A772)</f>
        <v>Nàbāng Zhèn</v>
      </c>
      <c r="C772" t="str">
        <f>IF(COUNTIF(B:B,B772)&gt;1,_xlfn.CONCAT(A772," (",M772,")"),B772)</f>
        <v>Nàbāng Zhèn</v>
      </c>
      <c r="D772" t="s">
        <v>660</v>
      </c>
      <c r="E772" t="s">
        <v>11</v>
      </c>
      <c r="F772" t="str">
        <f>_xlfn.CONCAT(D772,", ",H772,", ",I772,", ","云南省")</f>
        <v>那邦镇, 盈江县, 德宏傣族景颇族自治州, 云南省</v>
      </c>
      <c r="G772">
        <v>3495</v>
      </c>
      <c r="H772" t="s">
        <v>2784</v>
      </c>
      <c r="I772" t="s">
        <v>2779</v>
      </c>
      <c r="J772">
        <f>VLOOKUP(F772,[1]!china_towns_second__2[[Column1]:[Y]],3,FALSE)</f>
        <v>24.7145637932067</v>
      </c>
      <c r="K772">
        <f>VLOOKUP(F772,[1]!china_towns_second__2[[Column1]:[Y]],2,FALSE)</f>
        <v>97.599835100000007</v>
      </c>
      <c r="L772" t="s">
        <v>4327</v>
      </c>
      <c r="M772" t="str">
        <f>VLOOKUP(H772,CHOOSE({1,2},Table17[Native],Table17[Name]),2,0)</f>
        <v>Yíngjiāng Xiàn</v>
      </c>
      <c r="N772" s="15" t="str">
        <f>VLOOKUP(I772,CHOOSE({1,2},Table17[Native],Table17[Name]),2,0)</f>
        <v>Déhóng Dăizú Jĭngpōzú Zìzhìzhōu</v>
      </c>
      <c r="O772" s="15" t="str">
        <f t="shared" si="24"/>
        <v>Nabang Zhen (Déhóng Dăizú Jĭngpōzú Zìzhìzhōu)</v>
      </c>
      <c r="P772" s="15" t="str">
        <f t="shared" si="25"/>
        <v>Nabang Zhen (Déhóng Dăizú Jĭngpōzú Zìzhìzhōu)</v>
      </c>
    </row>
    <row r="773" spans="1:16" x14ac:dyDescent="0.25">
      <c r="A773" t="s">
        <v>2402</v>
      </c>
      <c r="B773" t="str">
        <f>IF(COUNTIF(A:A,A773)&gt;1,_xlfn.CONCAT(A773," (",N773,")"),A773)</f>
        <v>Nàgŭ Zhèn</v>
      </c>
      <c r="C773" t="str">
        <f>IF(COUNTIF(B:B,B773)&gt;1,_xlfn.CONCAT(A773," (",M773,")"),B773)</f>
        <v>Nàgŭ Zhèn</v>
      </c>
      <c r="D773" t="s">
        <v>2403</v>
      </c>
      <c r="E773" t="s">
        <v>11</v>
      </c>
      <c r="F773" t="str">
        <f>_xlfn.CONCAT(D773,", ",H773,", ",I773,", ","云南省")</f>
        <v>纳古镇, 通海县, 玉溪市, 云南省</v>
      </c>
      <c r="G773">
        <v>16148</v>
      </c>
      <c r="H773" t="s">
        <v>2894</v>
      </c>
      <c r="I773" t="s">
        <v>2888</v>
      </c>
      <c r="J773">
        <f>VLOOKUP(F773,[1]!china_towns_second__2[[Column1]:[Y]],3,FALSE)</f>
        <v>24.197507498411301</v>
      </c>
      <c r="K773">
        <f>VLOOKUP(F773,[1]!china_towns_second__2[[Column1]:[Y]],2,FALSE)</f>
        <v>102.73403159999999</v>
      </c>
      <c r="L773" t="s">
        <v>4328</v>
      </c>
      <c r="M773" t="str">
        <f>VLOOKUP(H773,CHOOSE({1,2},Table17[Native],Table17[Name]),2,0)</f>
        <v>Tōnghăi Xiàn</v>
      </c>
      <c r="N773" s="15" t="str">
        <f>VLOOKUP(I773,CHOOSE({1,2},Table17[Native],Table17[Name]),2,0)</f>
        <v>Yùxī Shì</v>
      </c>
      <c r="O773" s="15" t="str">
        <f t="shared" si="24"/>
        <v>Nagu Zhen (Yùxī Shì)</v>
      </c>
      <c r="P773" s="15" t="str">
        <f t="shared" si="25"/>
        <v>Nagu Zhen (Yùxī Shì)</v>
      </c>
    </row>
    <row r="774" spans="1:16" x14ac:dyDescent="0.25">
      <c r="A774" t="s">
        <v>1975</v>
      </c>
      <c r="B774" t="str">
        <f>IF(COUNTIF(A:A,A774)&gt;1,_xlfn.CONCAT(A774," (",N774,")"),A774)</f>
        <v>Nàgū Zhèn</v>
      </c>
      <c r="C774" t="str">
        <f>IF(COUNTIF(B:B,B774)&gt;1,_xlfn.CONCAT(A774," (",M774,")"),B774)</f>
        <v>Nàgū Zhèn</v>
      </c>
      <c r="D774" t="s">
        <v>1976</v>
      </c>
      <c r="E774" t="s">
        <v>11</v>
      </c>
      <c r="F774" t="str">
        <f>_xlfn.CONCAT(D774,", ",H774,", ",I774,", ","云南省")</f>
        <v>娜姑镇, 会泽县, 曲靖市, 云南省</v>
      </c>
      <c r="G774">
        <v>61124</v>
      </c>
      <c r="H774" t="s">
        <v>2862</v>
      </c>
      <c r="I774" t="s">
        <v>2860</v>
      </c>
      <c r="J774">
        <f>VLOOKUP(F774,[1]!china_towns_second__2[[Column1]:[Y]],3,FALSE)</f>
        <v>26.4649424511557</v>
      </c>
      <c r="K774">
        <f>VLOOKUP(F774,[1]!china_towns_second__2[[Column1]:[Y]],2,FALSE)</f>
        <v>103.13448030000001</v>
      </c>
      <c r="L774" t="s">
        <v>4328</v>
      </c>
      <c r="M774" t="str">
        <f>VLOOKUP(H774,CHOOSE({1,2},Table17[Native],Table17[Name]),2,0)</f>
        <v>Huìzé Xiàn</v>
      </c>
      <c r="N774" s="15" t="str">
        <f>VLOOKUP(I774,CHOOSE({1,2},Table17[Native],Table17[Name]),2,0)</f>
        <v>Qŭjìng Shì</v>
      </c>
      <c r="O774" s="15" t="str">
        <f t="shared" si="24"/>
        <v>Nagu Zhen (Qŭjìng Shì)</v>
      </c>
      <c r="P774" s="15" t="str">
        <f t="shared" si="25"/>
        <v>Nagu Zhen (Qŭjìng Shì)</v>
      </c>
    </row>
    <row r="775" spans="1:16" hidden="1" x14ac:dyDescent="0.25">
      <c r="A775" t="s">
        <v>1769</v>
      </c>
      <c r="B775" t="str">
        <f>IF(COUNTIF(A:A,A775)&gt;1,_xlfn.CONCAT(A775," (",N775,")"),A775)</f>
        <v>Nàhā Xiāng</v>
      </c>
      <c r="C775" t="str">
        <f>IF(COUNTIF(B:B,B775)&gt;1,_xlfn.CONCAT(A775," (",M775,")"),B775)</f>
        <v>Nàhā Xiāng</v>
      </c>
      <c r="D775" t="s">
        <v>1770</v>
      </c>
      <c r="E775" t="s">
        <v>7</v>
      </c>
      <c r="F775" t="str">
        <f>_xlfn.CONCAT(D775,", ",H775,", ",I775,", ","云南省")</f>
        <v>那哈乡, 墨江哈尼族自治县, 普洱市, 云南省</v>
      </c>
      <c r="G775">
        <v>15345</v>
      </c>
      <c r="H775" t="s">
        <v>2854</v>
      </c>
      <c r="I775" t="s">
        <v>2848</v>
      </c>
      <c r="J775" t="e">
        <f>VLOOKUP(F775,[1]!china_towns_second__2[[Column1]:[Y]],3,FALSE)</f>
        <v>#N/A</v>
      </c>
      <c r="K775" t="e">
        <f>VLOOKUP(F775,[1]!china_towns_second__2[[Column1]:[Y]],2,FALSE)</f>
        <v>#N/A</v>
      </c>
      <c r="L775" t="s">
        <v>4329</v>
      </c>
      <c r="M775" t="str">
        <f>VLOOKUP(H775,CHOOSE({1,2},Table17[Native],Table17[Name]),2,0)</f>
        <v>Mòjiāng Hānízú Zìzhìxiàn</v>
      </c>
      <c r="N775" s="15" t="str">
        <f>VLOOKUP(I775,CHOOSE({1,2},Table17[Native],Table17[Name]),2,0)</f>
        <v>Pŭ'ĕr Shì</v>
      </c>
      <c r="O775" s="15" t="str">
        <f t="shared" si="24"/>
        <v>Naha Xiang (Pŭ'ĕr Shì)</v>
      </c>
      <c r="P775" s="15" t="str">
        <f t="shared" si="25"/>
        <v>Naha Xiang (Pŭ'ĕr Shì)</v>
      </c>
    </row>
    <row r="776" spans="1:16" hidden="1" x14ac:dyDescent="0.25">
      <c r="A776" t="s">
        <v>2609</v>
      </c>
      <c r="B776" t="str">
        <f>IF(COUNTIF(A:A,A776)&gt;1,_xlfn.CONCAT(A776," (",N776,")"),A776)</f>
        <v>Nán'àn Zhèn</v>
      </c>
      <c r="C776" t="str">
        <f>IF(COUNTIF(B:B,B776)&gt;1,_xlfn.CONCAT(A776," (",M776,")"),B776)</f>
        <v>Nán'àn Zhèn</v>
      </c>
      <c r="D776" t="s">
        <v>2610</v>
      </c>
      <c r="E776" t="s">
        <v>11</v>
      </c>
      <c r="F776" t="str">
        <f>_xlfn.CONCAT(D776,", ",H776,", ",I776,", ","云南省")</f>
        <v>南岸镇, 绥江县, 昭通市, 云南省</v>
      </c>
      <c r="G776">
        <v>13980</v>
      </c>
      <c r="H776" t="s">
        <v>2904</v>
      </c>
      <c r="I776" t="s">
        <v>2899</v>
      </c>
      <c r="J776">
        <f>VLOOKUP(F776,[1]!china_towns_second__2[[Column1]:[Y]],3,FALSE)</f>
        <v>28.574434296156401</v>
      </c>
      <c r="K776">
        <f>VLOOKUP(F776,[1]!china_towns_second__2[[Column1]:[Y]],2,FALSE)</f>
        <v>103.83850409999999</v>
      </c>
      <c r="L776" t="s">
        <v>4330</v>
      </c>
      <c r="M776" t="str">
        <f>VLOOKUP(H776,CHOOSE({1,2},Table17[Native],Table17[Name]),2,0)</f>
        <v>Suíjiāng Xiàn</v>
      </c>
      <c r="N776" s="15" t="str">
        <f>VLOOKUP(I776,CHOOSE({1,2},Table17[Native],Table17[Name]),2,0)</f>
        <v>Zhāotōng Shì</v>
      </c>
      <c r="O776" s="15" t="str">
        <f t="shared" si="24"/>
        <v>Nan'an Zhen (Zhāotōng Shì)</v>
      </c>
      <c r="P776" s="15" t="str">
        <f t="shared" si="25"/>
        <v>Nan'an Zhen (Zhāotōng Shì)</v>
      </c>
    </row>
    <row r="777" spans="1:16" hidden="1" x14ac:dyDescent="0.25">
      <c r="A777" t="s">
        <v>2177</v>
      </c>
      <c r="B777" t="str">
        <f>IF(COUNTIF(A:A,A777)&gt;1,_xlfn.CONCAT(A777," (",N777,")"),A777)</f>
        <v>Nànéng Xiāng</v>
      </c>
      <c r="C777" t="str">
        <f>IF(COUNTIF(B:B,B777)&gt;1,_xlfn.CONCAT(A777," (",M777,")"),B777)</f>
        <v>Nànéng Xiāng</v>
      </c>
      <c r="D777" t="s">
        <v>2178</v>
      </c>
      <c r="E777" t="s">
        <v>7</v>
      </c>
      <c r="F777" t="str">
        <f>_xlfn.CONCAT(D777,", ",H777,", ",I777,", ","云南省")</f>
        <v>那能乡, 富宁县, 文山壮族苗族自治州, 云南省</v>
      </c>
      <c r="G777">
        <v>18138</v>
      </c>
      <c r="H777" t="s">
        <v>2873</v>
      </c>
      <c r="I777" t="s">
        <v>2872</v>
      </c>
      <c r="J777" t="e">
        <f>VLOOKUP(F777,[1]!china_towns_second__2[[Column1]:[Y]],3,FALSE)</f>
        <v>#N/A</v>
      </c>
      <c r="K777" t="e">
        <f>VLOOKUP(F777,[1]!china_towns_second__2[[Column1]:[Y]],2,FALSE)</f>
        <v>#N/A</v>
      </c>
      <c r="L777" t="s">
        <v>4331</v>
      </c>
      <c r="M777" t="str">
        <f>VLOOKUP(H777,CHOOSE({1,2},Table17[Native],Table17[Name]),2,0)</f>
        <v>Fùníng Xiàn</v>
      </c>
      <c r="N777" s="15" t="str">
        <f>VLOOKUP(I777,CHOOSE({1,2},Table17[Native],Table17[Name]),2,0)</f>
        <v>Wénshān Zhuàngzú Miáozú Zìzhìzhōu</v>
      </c>
      <c r="O777" s="15" t="str">
        <f t="shared" si="24"/>
        <v>Naneng Xiang (Wénshān Zhuàngzú Miáozú Zìzhìzhōu)</v>
      </c>
      <c r="P777" s="15" t="str">
        <f t="shared" si="25"/>
        <v>Naneng Xiang (Wénshān Zhuàngzú Miáozú Zìzhìzhōu)</v>
      </c>
    </row>
    <row r="778" spans="1:16" hidden="1" x14ac:dyDescent="0.25">
      <c r="A778" t="s">
        <v>661</v>
      </c>
      <c r="B778" t="str">
        <f>IF(COUNTIF(A:A,A778)&gt;1,_xlfn.CONCAT(A778," (",N778,")"),A778)</f>
        <v>Năngsòng'ā Chāngzú Xiāng</v>
      </c>
      <c r="C778" t="str">
        <f>IF(COUNTIF(B:B,B778)&gt;1,_xlfn.CONCAT(A778," (",M778,")"),B778)</f>
        <v>Năngsòng'ā Chāngzú Xiāng</v>
      </c>
      <c r="D778" t="s">
        <v>662</v>
      </c>
      <c r="E778" t="s">
        <v>7</v>
      </c>
      <c r="F778" t="str">
        <f>_xlfn.CONCAT(D778,", ",H778,", ",I778,", ","云南省")</f>
        <v>曩宋阿昌族乡, 梁河县, 德宏傣族景颇族自治州, 云南省</v>
      </c>
      <c r="G778">
        <v>20115</v>
      </c>
      <c r="H778" t="s">
        <v>2780</v>
      </c>
      <c r="I778" t="s">
        <v>2779</v>
      </c>
      <c r="J778" t="e">
        <f>VLOOKUP(F778,[1]!china_towns_second__2[[Column1]:[Y]],3,FALSE)</f>
        <v>#N/A</v>
      </c>
      <c r="K778" t="e">
        <f>VLOOKUP(F778,[1]!china_towns_second__2[[Column1]:[Y]],2,FALSE)</f>
        <v>#N/A</v>
      </c>
      <c r="L778" t="s">
        <v>4332</v>
      </c>
      <c r="M778" t="str">
        <f>VLOOKUP(H778,CHOOSE({1,2},Table17[Native],Table17[Name]),2,0)</f>
        <v>Liánghé Xiàn</v>
      </c>
      <c r="N778" s="15" t="str">
        <f>VLOOKUP(I778,CHOOSE({1,2},Table17[Native],Table17[Name]),2,0)</f>
        <v>Déhóng Dăizú Jĭngpōzú Zìzhìzhōu</v>
      </c>
      <c r="O778" s="15" t="str">
        <f t="shared" si="24"/>
        <v>Nangsong'a Changzu Xiang (Déhóng Dăizú Jĭngpōzú Zìzhìzhōu)</v>
      </c>
      <c r="P778" s="15" t="str">
        <f t="shared" si="25"/>
        <v>Nangsong'a Changzu Xiang (Déhóng Dăizú Jĭngpōzú Zìzhìzhōu)</v>
      </c>
    </row>
    <row r="779" spans="1:16" hidden="1" x14ac:dyDescent="0.25">
      <c r="A779" t="s">
        <v>498</v>
      </c>
      <c r="B779" t="str">
        <f>IF(COUNTIF(A:A,A779)&gt;1,_xlfn.CONCAT(A779," (",N779,")"),A779)</f>
        <v>Nánjiàn Zhèn</v>
      </c>
      <c r="C779" t="str">
        <f>IF(COUNTIF(B:B,B779)&gt;1,_xlfn.CONCAT(A779," (",M779,")"),B779)</f>
        <v>Nánjiàn Zhèn</v>
      </c>
      <c r="D779" t="s">
        <v>499</v>
      </c>
      <c r="E779" t="s">
        <v>11</v>
      </c>
      <c r="F779" t="str">
        <f>_xlfn.CONCAT(D779,", ",H779,", ",I779,", ","云南省")</f>
        <v>南涧镇, 南涧彝族自治县, 大理白族自治州, 云南省</v>
      </c>
      <c r="G779">
        <v>50083</v>
      </c>
      <c r="H779" t="s">
        <v>2771</v>
      </c>
      <c r="I779" t="s">
        <v>2763</v>
      </c>
      <c r="J779">
        <f>VLOOKUP(F779,[1]!china_towns_second__2[[Column1]:[Y]],3,FALSE)</f>
        <v>25.0400824924251</v>
      </c>
      <c r="K779">
        <f>VLOOKUP(F779,[1]!china_towns_second__2[[Column1]:[Y]],2,FALSE)</f>
        <v>100.51527919999999</v>
      </c>
      <c r="L779" t="s">
        <v>4333</v>
      </c>
      <c r="M779" t="str">
        <f>VLOOKUP(H779,CHOOSE({1,2},Table17[Native],Table17[Name]),2,0)</f>
        <v>Nánjiàn Yízú Zìzhìxiàn</v>
      </c>
      <c r="N779" s="15" t="str">
        <f>VLOOKUP(I779,CHOOSE({1,2},Table17[Native],Table17[Name]),2,0)</f>
        <v>Dàlĭ Báizú Zìzhìzhōu</v>
      </c>
      <c r="O779" s="15" t="str">
        <f t="shared" si="24"/>
        <v>Nanjian Zhen (Dàlĭ Báizú Zìzhìzhōu)</v>
      </c>
      <c r="P779" s="15" t="str">
        <f t="shared" si="25"/>
        <v>Nanjian Zhen (Dàlĭ Báizú Zìzhìzhōu)</v>
      </c>
    </row>
    <row r="780" spans="1:16" hidden="1" x14ac:dyDescent="0.25">
      <c r="A780" t="s">
        <v>2179</v>
      </c>
      <c r="B780" t="str">
        <f>IF(COUNTIF(A:A,A780)&gt;1,_xlfn.CONCAT(A780," (",N780,")"),A780)</f>
        <v>Nánlāo Xiāng</v>
      </c>
      <c r="C780" t="str">
        <f>IF(COUNTIF(B:B,B780)&gt;1,_xlfn.CONCAT(A780," (",M780,")"),B780)</f>
        <v>Nánlāo Xiāng</v>
      </c>
      <c r="D780" t="s">
        <v>2180</v>
      </c>
      <c r="E780" t="s">
        <v>7</v>
      </c>
      <c r="F780" t="str">
        <f>_xlfn.CONCAT(D780,", ",H780,", ",I780,", ","云南省")</f>
        <v>南捞乡, 马关县, 文山壮族苗族自治州, 云南省</v>
      </c>
      <c r="G780">
        <v>12939</v>
      </c>
      <c r="H780" t="s">
        <v>2875</v>
      </c>
      <c r="I780" t="s">
        <v>2872</v>
      </c>
      <c r="J780" t="e">
        <f>VLOOKUP(F780,[1]!china_towns_second__2[[Column1]:[Y]],3,FALSE)</f>
        <v>#N/A</v>
      </c>
      <c r="K780" t="e">
        <f>VLOOKUP(F780,[1]!china_towns_second__2[[Column1]:[Y]],2,FALSE)</f>
        <v>#N/A</v>
      </c>
      <c r="L780" t="s">
        <v>4334</v>
      </c>
      <c r="M780" t="str">
        <f>VLOOKUP(H780,CHOOSE({1,2},Table17[Native],Table17[Name]),2,0)</f>
        <v>Măguān Xiàn</v>
      </c>
      <c r="N780" s="15" t="str">
        <f>VLOOKUP(I780,CHOOSE({1,2},Table17[Native],Table17[Name]),2,0)</f>
        <v>Wénshān Zhuàngzú Miáozú Zìzhìzhōu</v>
      </c>
      <c r="O780" s="15" t="str">
        <f t="shared" si="24"/>
        <v>Nanlao Xiang (Wénshān Zhuàngzú Miáozú Zìzhìzhōu)</v>
      </c>
      <c r="P780" s="15" t="str">
        <f t="shared" si="25"/>
        <v>Nanlao Xiang (Wénshān Zhuàngzú Miáozú Zìzhìzhōu)</v>
      </c>
    </row>
    <row r="781" spans="1:16" hidden="1" x14ac:dyDescent="0.25">
      <c r="A781" t="s">
        <v>1771</v>
      </c>
      <c r="B781" t="str">
        <f>IF(COUNTIF(A:A,A781)&gt;1,_xlfn.CONCAT(A781," (",N781,")"),A781)</f>
        <v>Nánlĭng Xiāng</v>
      </c>
      <c r="C781" t="str">
        <f>IF(COUNTIF(B:B,B781)&gt;1,_xlfn.CONCAT(A781," (",M781,")"),B781)</f>
        <v>Nánlĭng Xiāng</v>
      </c>
      <c r="D781" t="s">
        <v>1772</v>
      </c>
      <c r="E781" t="s">
        <v>7</v>
      </c>
      <c r="F781" t="str">
        <f>_xlfn.CONCAT(D781,", ",H781,", ",I781,", ","云南省")</f>
        <v>南岭乡, 澜沧拉祜族自治县, 普洱市, 云南省</v>
      </c>
      <c r="G781">
        <v>24059</v>
      </c>
      <c r="H781" t="s">
        <v>2852</v>
      </c>
      <c r="I781" t="s">
        <v>2848</v>
      </c>
      <c r="J781" t="e">
        <f>VLOOKUP(F781,[1]!china_towns_second__2[[Column1]:[Y]],3,FALSE)</f>
        <v>#N/A</v>
      </c>
      <c r="K781" t="e">
        <f>VLOOKUP(F781,[1]!china_towns_second__2[[Column1]:[Y]],2,FALSE)</f>
        <v>#N/A</v>
      </c>
      <c r="L781" t="s">
        <v>4335</v>
      </c>
      <c r="M781" t="str">
        <f>VLOOKUP(H781,CHOOSE({1,2},Table17[Native],Table17[Name]),2,0)</f>
        <v>Láncāng Lāhùzú Zìzhìxiàn</v>
      </c>
      <c r="N781" s="15" t="str">
        <f>VLOOKUP(I781,CHOOSE({1,2},Table17[Native],Table17[Name]),2,0)</f>
        <v>Pŭ'ĕr Shì</v>
      </c>
      <c r="O781" s="15" t="str">
        <f t="shared" si="24"/>
        <v>Nanling Xiang (Pŭ'ĕr Shì)</v>
      </c>
      <c r="P781" s="15" t="str">
        <f t="shared" si="25"/>
        <v>Nanling Xiang (Pŭ'ĕr Shì)</v>
      </c>
    </row>
    <row r="782" spans="1:16" hidden="1" x14ac:dyDescent="0.25">
      <c r="A782" t="s">
        <v>1547</v>
      </c>
      <c r="B782" t="str">
        <f>IF(COUNTIF(A:A,A782)&gt;1,_xlfn.CONCAT(A782," (",N782,")"),A782)</f>
        <v>Nánmĕi Lāhùzú Xiāng</v>
      </c>
      <c r="C782" t="str">
        <f>IF(COUNTIF(B:B,B782)&gt;1,_xlfn.CONCAT(A782," (",M782,")"),B782)</f>
        <v>Nánmĕi Lāhùzú Xiāng</v>
      </c>
      <c r="D782" t="s">
        <v>1548</v>
      </c>
      <c r="E782" t="s">
        <v>7</v>
      </c>
      <c r="F782" t="str">
        <f>_xlfn.CONCAT(D782,", ",H782,", ",I782,", ","云南省")</f>
        <v>南美拉祜族乡, 临翔区, 临沧市, 云南省</v>
      </c>
      <c r="G782">
        <v>4578</v>
      </c>
      <c r="H782" t="s">
        <v>2835</v>
      </c>
      <c r="I782" t="s">
        <v>2831</v>
      </c>
      <c r="J782" t="e">
        <f>VLOOKUP(F782,[1]!china_towns_second__2[[Column1]:[Y]],3,FALSE)</f>
        <v>#N/A</v>
      </c>
      <c r="K782" t="e">
        <f>VLOOKUP(F782,[1]!china_towns_second__2[[Column1]:[Y]],2,FALSE)</f>
        <v>#N/A</v>
      </c>
      <c r="L782" t="s">
        <v>4336</v>
      </c>
      <c r="M782" t="str">
        <f>VLOOKUP(H782,CHOOSE({1,2},Table17[Native],Table17[Name]),2,0)</f>
        <v>Línxiáng Qū</v>
      </c>
      <c r="N782" s="15" t="str">
        <f>VLOOKUP(I782,CHOOSE({1,2},Table17[Native],Table17[Name]),2,0)</f>
        <v>Líncāng Shì</v>
      </c>
      <c r="O782" s="15" t="str">
        <f t="shared" si="24"/>
        <v>Nanmei Lahuzu Xiang (Líncāng Shì)</v>
      </c>
      <c r="P782" s="15" t="str">
        <f t="shared" si="25"/>
        <v>Nanmei Lahuzu Xiang (Líncāng Shì)</v>
      </c>
    </row>
    <row r="783" spans="1:16" hidden="1" x14ac:dyDescent="0.25">
      <c r="A783" t="s">
        <v>1977</v>
      </c>
      <c r="B783" t="str">
        <f>IF(COUNTIF(A:A,A783)&gt;1,_xlfn.CONCAT(A783," (",N783,")"),A783)</f>
        <v>Nánníng Jiēdào</v>
      </c>
      <c r="C783" t="str">
        <f>IF(COUNTIF(B:B,B783)&gt;1,_xlfn.CONCAT(A783," (",M783,")"),B783)</f>
        <v>Nánníng Jiēdào</v>
      </c>
      <c r="D783" t="s">
        <v>1978</v>
      </c>
      <c r="E783" t="s">
        <v>42</v>
      </c>
      <c r="F783" t="str">
        <f>_xlfn.CONCAT(D783,", ",H783,", ",I783,", ","云南省")</f>
        <v>南宁街道, 麒麟区, 曲靖市, 云南省</v>
      </c>
      <c r="G783">
        <v>90975</v>
      </c>
      <c r="H783" t="s">
        <v>2866</v>
      </c>
      <c r="I783" t="s">
        <v>2860</v>
      </c>
      <c r="J783">
        <f>VLOOKUP(F783,[1]!china_towns_second__2[[Column1]:[Y]],3,FALSE)</f>
        <v>25.472097593429201</v>
      </c>
      <c r="K783">
        <f>VLOOKUP(F783,[1]!china_towns_second__2[[Column1]:[Y]],2,FALSE)</f>
        <v>103.80244449999999</v>
      </c>
      <c r="L783" t="s">
        <v>4337</v>
      </c>
      <c r="M783" t="str">
        <f>VLOOKUP(H783,CHOOSE({1,2},Table17[Native],Table17[Name]),2,0)</f>
        <v>Qílín Qū</v>
      </c>
      <c r="N783" s="15" t="str">
        <f>VLOOKUP(I783,CHOOSE({1,2},Table17[Native],Table17[Name]),2,0)</f>
        <v>Qŭjìng Shì</v>
      </c>
      <c r="O783" s="15" t="str">
        <f t="shared" si="24"/>
        <v>Nanning Jiedao (Qŭjìng Shì)</v>
      </c>
      <c r="P783" s="15" t="str">
        <f t="shared" si="25"/>
        <v>Nanning Jiedao (Qŭjìng Shì)</v>
      </c>
    </row>
    <row r="784" spans="1:16" hidden="1" x14ac:dyDescent="0.25">
      <c r="A784" t="s">
        <v>1773</v>
      </c>
      <c r="B784" t="str">
        <f>IF(COUNTIF(A:A,A784)&gt;1,_xlfn.CONCAT(A784," (",N784,")"),A784)</f>
        <v>Nánpíng Zhèn (Pŭ'ĕr Shì)</v>
      </c>
      <c r="C784" t="str">
        <f>IF(COUNTIF(B:B,B784)&gt;1,_xlfn.CONCAT(A784," (",M784,")"),B784)</f>
        <v>Nánpíng Zhèn (Pŭ'ĕr Shì)</v>
      </c>
      <c r="D784" t="s">
        <v>1774</v>
      </c>
      <c r="E784" t="s">
        <v>11</v>
      </c>
      <c r="F784" t="str">
        <f>_xlfn.CONCAT(D784,", ",H784,", ",I784,", ","云南省")</f>
        <v>南屏镇, 思茅区, 普洱市, 云南省</v>
      </c>
      <c r="G784">
        <v>97583</v>
      </c>
      <c r="H784" t="s">
        <v>2856</v>
      </c>
      <c r="I784" t="s">
        <v>2848</v>
      </c>
      <c r="J784">
        <f>VLOOKUP(F784,[1]!china_towns_second__2[[Column1]:[Y]],3,FALSE)</f>
        <v>22.731371432904599</v>
      </c>
      <c r="K784">
        <f>VLOOKUP(F784,[1]!china_towns_second__2[[Column1]:[Y]],2,FALSE)</f>
        <v>100.9213834</v>
      </c>
      <c r="L784" t="s">
        <v>4338</v>
      </c>
      <c r="M784" t="str">
        <f>VLOOKUP(H784,CHOOSE({1,2},Table17[Native],Table17[Name]),2,0)</f>
        <v>Sīmáo Qū</v>
      </c>
      <c r="N784" s="15" t="str">
        <f>VLOOKUP(I784,CHOOSE({1,2},Table17[Native],Table17[Name]),2,0)</f>
        <v>Pŭ'ĕr Shì</v>
      </c>
      <c r="O784" s="15" t="str">
        <f t="shared" si="24"/>
        <v>Nanping Zhen (Pu'er Shi) (Pŭ'ĕr Shì)</v>
      </c>
      <c r="P784" s="15" t="str">
        <f t="shared" si="25"/>
        <v>Nanping Zhen (Pu'er Shi) (Pŭ'ĕr Shì)</v>
      </c>
    </row>
    <row r="785" spans="1:16" hidden="1" x14ac:dyDescent="0.25">
      <c r="A785" t="s">
        <v>1773</v>
      </c>
      <c r="B785" t="str">
        <f>IF(COUNTIF(A:A,A785)&gt;1,_xlfn.CONCAT(A785," (",N785,")"),A785)</f>
        <v>Nánpíng Zhèn (Wénshān Zhuàngzú Miáozú Zìzhìzhōu)</v>
      </c>
      <c r="C785" t="str">
        <f>IF(COUNTIF(B:B,B785)&gt;1,_xlfn.CONCAT(A785," (",M785,")"),B785)</f>
        <v>Nánpíng Zhèn (Wénshān Zhuàngzú Miáozú Zìzhìzhōu)</v>
      </c>
      <c r="D785" t="s">
        <v>1774</v>
      </c>
      <c r="E785" t="s">
        <v>11</v>
      </c>
      <c r="F785" t="str">
        <f>_xlfn.CONCAT(D785,", ",H785,", ",I785,", ","云南省")</f>
        <v>南屏镇, 广南县, 文山壮族苗族自治州, 云南省</v>
      </c>
      <c r="G785">
        <v>41971</v>
      </c>
      <c r="H785" t="s">
        <v>2874</v>
      </c>
      <c r="I785" t="s">
        <v>2872</v>
      </c>
      <c r="J785">
        <f>VLOOKUP(F785,[1]!china_towns_second__2[[Column1]:[Y]],3,FALSE)</f>
        <v>23.752305735474302</v>
      </c>
      <c r="K785">
        <f>VLOOKUP(F785,[1]!china_towns_second__2[[Column1]:[Y]],2,FALSE)</f>
        <v>105.2579976</v>
      </c>
      <c r="L785" t="s">
        <v>4339</v>
      </c>
      <c r="M785" t="str">
        <f>VLOOKUP(H785,CHOOSE({1,2},Table17[Native],Table17[Name]),2,0)</f>
        <v>Guăngnán Xiàn</v>
      </c>
      <c r="N785" s="15" t="str">
        <f>VLOOKUP(I785,CHOOSE({1,2},Table17[Native],Table17[Name]),2,0)</f>
        <v>Wénshān Zhuàngzú Miáozú Zìzhìzhōu</v>
      </c>
      <c r="O785" s="15" t="str">
        <f t="shared" si="24"/>
        <v>Nanping Zhen (Wenshan Zhuangzu Miaozu Zizhizhou) (Wénshān Zhuàngzú Miáozú Zìzhìzhōu)</v>
      </c>
      <c r="P785" s="15" t="str">
        <f t="shared" si="25"/>
        <v>Nanping Zhen (Wenshan Zhuangzu Miaozu Zizhizhou) (Wénshān Zhuàngzú Miáozú Zìzhìzhōu)</v>
      </c>
    </row>
    <row r="786" spans="1:16" hidden="1" x14ac:dyDescent="0.25">
      <c r="A786" t="s">
        <v>1549</v>
      </c>
      <c r="B786" t="str">
        <f>IF(COUNTIF(A:A,A786)&gt;1,_xlfn.CONCAT(A786," (",N786,")"),A786)</f>
        <v>Nánsăn Zhèn</v>
      </c>
      <c r="C786" t="str">
        <f>IF(COUNTIF(B:B,B786)&gt;1,_xlfn.CONCAT(A786," (",M786,")"),B786)</f>
        <v>Nánsăn Zhèn</v>
      </c>
      <c r="D786" t="s">
        <v>1550</v>
      </c>
      <c r="E786" t="s">
        <v>11</v>
      </c>
      <c r="F786" t="str">
        <f>_xlfn.CONCAT(D786,", ",H786,", ",I786,", ","云南省")</f>
        <v>南伞镇, 镇康县, 临沧市, 云南省</v>
      </c>
      <c r="G786">
        <v>43097</v>
      </c>
      <c r="H786" t="s">
        <v>2839</v>
      </c>
      <c r="I786" t="s">
        <v>2831</v>
      </c>
      <c r="J786">
        <f>VLOOKUP(F786,[1]!china_towns_second__2[[Column1]:[Y]],3,FALSE)</f>
        <v>23.761489808281301</v>
      </c>
      <c r="K786">
        <f>VLOOKUP(F786,[1]!china_towns_second__2[[Column1]:[Y]],2,FALSE)</f>
        <v>98.921979559999997</v>
      </c>
      <c r="L786" t="s">
        <v>4340</v>
      </c>
      <c r="M786" t="str">
        <f>VLOOKUP(H786,CHOOSE({1,2},Table17[Native],Table17[Name]),2,0)</f>
        <v>Zhènkāng Xiàn</v>
      </c>
      <c r="N786" s="15" t="str">
        <f>VLOOKUP(I786,CHOOSE({1,2},Table17[Native],Table17[Name]),2,0)</f>
        <v>Líncāng Shì</v>
      </c>
      <c r="O786" s="15" t="str">
        <f t="shared" si="24"/>
        <v>Nansan Zhen (Líncāng Shì)</v>
      </c>
      <c r="P786" s="15" t="str">
        <f t="shared" si="25"/>
        <v>Nansan Zhen (Líncāng Shì)</v>
      </c>
    </row>
    <row r="787" spans="1:16" hidden="1" x14ac:dyDescent="0.25">
      <c r="A787" t="s">
        <v>917</v>
      </c>
      <c r="B787" t="str">
        <f>IF(COUNTIF(A:A,A787)&gt;1,_xlfn.CONCAT(A787," (",N787,")"),A787)</f>
        <v>Nánshā Zhèn</v>
      </c>
      <c r="C787" t="str">
        <f>IF(COUNTIF(B:B,B787)&gt;1,_xlfn.CONCAT(A787," (",M787,")"),B787)</f>
        <v>Nánshā Zhèn</v>
      </c>
      <c r="D787" t="s">
        <v>918</v>
      </c>
      <c r="E787" t="s">
        <v>11</v>
      </c>
      <c r="F787" t="str">
        <f>_xlfn.CONCAT(D787,", ",H787,", ",I787,", ","云南省")</f>
        <v>南沙镇, 元阳县, 红河哈尼族彝族自治州, 云南省</v>
      </c>
      <c r="G787">
        <v>26476</v>
      </c>
      <c r="H787" t="s">
        <v>2805</v>
      </c>
      <c r="I787" t="s">
        <v>2792</v>
      </c>
      <c r="J787">
        <f>VLOOKUP(F787,[1]!china_towns_second__2[[Column1]:[Y]],3,FALSE)</f>
        <v>23.223741894567201</v>
      </c>
      <c r="K787">
        <f>VLOOKUP(F787,[1]!china_towns_second__2[[Column1]:[Y]],2,FALSE)</f>
        <v>102.8124183</v>
      </c>
      <c r="L787" t="s">
        <v>4341</v>
      </c>
      <c r="M787" t="str">
        <f>VLOOKUP(H787,CHOOSE({1,2},Table17[Native],Table17[Name]),2,0)</f>
        <v>Yuányáng Xiàn</v>
      </c>
      <c r="N787" s="15" t="str">
        <f>VLOOKUP(I787,CHOOSE({1,2},Table17[Native],Table17[Name]),2,0)</f>
        <v>Hónghé Hānízú Yízú Zìzhìzhōu</v>
      </c>
      <c r="O787" s="15" t="str">
        <f t="shared" si="24"/>
        <v>Nansha Zhen (Hónghé Hānízú Yízú Zìzhìzhōu)</v>
      </c>
      <c r="P787" s="15" t="str">
        <f t="shared" si="25"/>
        <v>Nansha Zhen (Hónghé Hānízú Yízú Zìzhìzhōu)</v>
      </c>
    </row>
    <row r="788" spans="1:16" hidden="1" x14ac:dyDescent="0.25">
      <c r="A788" t="s">
        <v>2404</v>
      </c>
      <c r="B788" t="str">
        <f>IF(COUNTIF(A:A,A788)&gt;1,_xlfn.CONCAT(A788," (",N788,")"),A788)</f>
        <v>Nànuò Xiāng</v>
      </c>
      <c r="C788" t="str">
        <f>IF(COUNTIF(B:B,B788)&gt;1,_xlfn.CONCAT(A788," (",M788,")"),B788)</f>
        <v>Nànuò Xiāng</v>
      </c>
      <c r="D788" t="s">
        <v>2405</v>
      </c>
      <c r="E788" t="s">
        <v>7</v>
      </c>
      <c r="F788" t="str">
        <f>_xlfn.CONCAT(D788,", ",H788,", ",I788,", ","云南省")</f>
        <v>那诺乡, 元江哈尼族彝族傣族自治县, 玉溪市, 云南省</v>
      </c>
      <c r="G788">
        <v>15095</v>
      </c>
      <c r="H788" t="s">
        <v>2897</v>
      </c>
      <c r="I788" t="s">
        <v>2888</v>
      </c>
      <c r="J788" t="e">
        <f>VLOOKUP(F788,[1]!china_towns_second__2[[Column1]:[Y]],3,FALSE)</f>
        <v>#N/A</v>
      </c>
      <c r="K788" t="e">
        <f>VLOOKUP(F788,[1]!china_towns_second__2[[Column1]:[Y]],2,FALSE)</f>
        <v>#N/A</v>
      </c>
      <c r="L788" t="s">
        <v>4342</v>
      </c>
      <c r="M788" t="str">
        <f>VLOOKUP(H788,CHOOSE({1,2},Table17[Native],Table17[Name]),2,0)</f>
        <v>Yuánjiāng Hānízú Yízú Dăizú Zìzhìxiàn</v>
      </c>
      <c r="N788" s="15" t="str">
        <f>VLOOKUP(I788,CHOOSE({1,2},Table17[Native],Table17[Name]),2,0)</f>
        <v>Yùxī Shì</v>
      </c>
      <c r="O788" s="15" t="str">
        <f t="shared" si="24"/>
        <v>Nanuo Xiang (Yùxī Shì)</v>
      </c>
      <c r="P788" s="15" t="str">
        <f t="shared" si="25"/>
        <v>Nanuo Xiang (Yùxī Shì)</v>
      </c>
    </row>
    <row r="789" spans="1:16" hidden="1" x14ac:dyDescent="0.25">
      <c r="A789" t="s">
        <v>919</v>
      </c>
      <c r="B789" t="str">
        <f>IF(COUNTIF(A:A,A789)&gt;1,_xlfn.CONCAT(A789," (",N789,")"),A789)</f>
        <v>Nánxī Zhèn</v>
      </c>
      <c r="C789" t="str">
        <f>IF(COUNTIF(B:B,B789)&gt;1,_xlfn.CONCAT(A789," (",M789,")"),B789)</f>
        <v>Nánxī Zhèn</v>
      </c>
      <c r="D789" t="s">
        <v>920</v>
      </c>
      <c r="E789" t="s">
        <v>11</v>
      </c>
      <c r="F789" t="str">
        <f>_xlfn.CONCAT(D789,", ",H789,", ",I789,", ","云南省")</f>
        <v>南溪镇, 河口瑶族自治县, 红河哈尼族彝族自治州, 云南省</v>
      </c>
      <c r="G789">
        <v>21217</v>
      </c>
      <c r="H789" t="s">
        <v>2794</v>
      </c>
      <c r="I789" t="s">
        <v>2792</v>
      </c>
      <c r="J789">
        <f>VLOOKUP(F789,[1]!china_towns_second__2[[Column1]:[Y]],3,FALSE)</f>
        <v>22.6536096913199</v>
      </c>
      <c r="K789">
        <f>VLOOKUP(F789,[1]!china_towns_second__2[[Column1]:[Y]],2,FALSE)</f>
        <v>103.96297389999999</v>
      </c>
      <c r="L789" t="s">
        <v>4343</v>
      </c>
      <c r="M789" t="str">
        <f>VLOOKUP(H789,CHOOSE({1,2},Table17[Native],Table17[Name]),2,0)</f>
        <v>Hékŏu Yáozú Zìzhìxiàn</v>
      </c>
      <c r="N789" s="15" t="str">
        <f>VLOOKUP(I789,CHOOSE({1,2},Table17[Native],Table17[Name]),2,0)</f>
        <v>Hónghé Hānízú Yízú Zìzhìzhōu</v>
      </c>
      <c r="O789" s="15" t="str">
        <f t="shared" si="24"/>
        <v>Nanxi Zhen (Hónghé Hānízú Yízú Zìzhìzhōu)</v>
      </c>
      <c r="P789" s="15" t="str">
        <f t="shared" si="25"/>
        <v>Nanxi Zhen (Hónghé Hānízú Yízú Zìzhìzhōu)</v>
      </c>
    </row>
    <row r="790" spans="1:16" hidden="1" x14ac:dyDescent="0.25">
      <c r="A790" t="s">
        <v>500</v>
      </c>
      <c r="B790" t="str">
        <f>IF(COUNTIF(A:A,A790)&gt;1,_xlfn.CONCAT(A790," (",N790,")"),A790)</f>
        <v>Nánzhào Zhèn</v>
      </c>
      <c r="C790" t="str">
        <f>IF(COUNTIF(B:B,B790)&gt;1,_xlfn.CONCAT(A790," (",M790,")"),B790)</f>
        <v>Nánzhào Zhèn</v>
      </c>
      <c r="D790" t="s">
        <v>501</v>
      </c>
      <c r="E790" t="s">
        <v>11</v>
      </c>
      <c r="F790" t="str">
        <f>_xlfn.CONCAT(D790,", ",H790,", ",I790,", ","云南省")</f>
        <v>南诏镇, 巍山彝族回族自治县, 大理白族自治州, 云南省</v>
      </c>
      <c r="G790">
        <v>46468</v>
      </c>
      <c r="H790" t="s">
        <v>2772</v>
      </c>
      <c r="I790" t="s">
        <v>2763</v>
      </c>
      <c r="J790">
        <f>VLOOKUP(F790,[1]!china_towns_second__2[[Column1]:[Y]],3,FALSE)</f>
        <v>25.2119865909841</v>
      </c>
      <c r="K790">
        <f>VLOOKUP(F790,[1]!china_towns_second__2[[Column1]:[Y]],2,FALSE)</f>
        <v>100.33302380000001</v>
      </c>
      <c r="L790" t="s">
        <v>4344</v>
      </c>
      <c r="M790" t="str">
        <f>VLOOKUP(H790,CHOOSE({1,2},Table17[Native],Table17[Name]),2,0)</f>
        <v>Wēishān Yízú Huízú Zìzhìxiàn</v>
      </c>
      <c r="N790" s="15" t="str">
        <f>VLOOKUP(I790,CHOOSE({1,2},Table17[Native],Table17[Name]),2,0)</f>
        <v>Dàlĭ Báizú Zìzhìzhōu</v>
      </c>
      <c r="O790" s="15" t="str">
        <f t="shared" si="24"/>
        <v>Nanzhao Zhen (Dàlĭ Báizú Zìzhìzhōu)</v>
      </c>
      <c r="P790" s="15" t="str">
        <f t="shared" si="25"/>
        <v>Nanzhao Zhen (Dàlĭ Báizú Zìzhìzhōu)</v>
      </c>
    </row>
    <row r="791" spans="1:16" hidden="1" x14ac:dyDescent="0.25">
      <c r="A791" t="s">
        <v>921</v>
      </c>
      <c r="B791" t="str">
        <f>IF(COUNTIF(A:A,A791)&gt;1,_xlfn.CONCAT(A791," (",N791,")"),A791)</f>
        <v>Nánzhuāng Zhèn</v>
      </c>
      <c r="C791" t="str">
        <f>IF(COUNTIF(B:B,B791)&gt;1,_xlfn.CONCAT(A791," (",M791,")"),B791)</f>
        <v>Nánzhuāng Zhèn</v>
      </c>
      <c r="D791" t="s">
        <v>922</v>
      </c>
      <c r="E791" t="s">
        <v>11</v>
      </c>
      <c r="F791" t="str">
        <f>_xlfn.CONCAT(D791,", ",H791,", ",I791,", ","云南省")</f>
        <v>南庄镇, 建水县, 红河哈尼族彝族自治州, 云南省</v>
      </c>
      <c r="G791">
        <v>46696</v>
      </c>
      <c r="H791" t="s">
        <v>2796</v>
      </c>
      <c r="I791" t="s">
        <v>2792</v>
      </c>
      <c r="J791">
        <f>VLOOKUP(F791,[1]!china_towns_second__2[[Column1]:[Y]],3,FALSE)</f>
        <v>23.7413015855204</v>
      </c>
      <c r="K791">
        <f>VLOOKUP(F791,[1]!china_towns_second__2[[Column1]:[Y]],2,FALSE)</f>
        <v>102.86378449999999</v>
      </c>
      <c r="L791" t="s">
        <v>4345</v>
      </c>
      <c r="M791" t="str">
        <f>VLOOKUP(H791,CHOOSE({1,2},Table17[Native],Table17[Name]),2,0)</f>
        <v>Jiànshuĭ Xiàn</v>
      </c>
      <c r="N791" s="15" t="str">
        <f>VLOOKUP(I791,CHOOSE({1,2},Table17[Native],Table17[Name]),2,0)</f>
        <v>Hónghé Hānízú Yízú Zìzhìzhōu</v>
      </c>
      <c r="O791" s="15" t="str">
        <f t="shared" si="24"/>
        <v>Nanzhuang Zhen (Hónghé Hānízú Yízú Zìzhìzhōu)</v>
      </c>
      <c r="P791" s="15" t="str">
        <f t="shared" si="25"/>
        <v>Nanzhuang Zhen (Hónghé Hānízú Yízú Zìzhìzhōu)</v>
      </c>
    </row>
    <row r="792" spans="1:16" hidden="1" x14ac:dyDescent="0.25">
      <c r="A792" t="s">
        <v>2181</v>
      </c>
      <c r="B792" t="str">
        <f>IF(COUNTIF(A:A,A792)&gt;1,_xlfn.CONCAT(A792," (",N792,")"),A792)</f>
        <v>Nàsă Zhèn</v>
      </c>
      <c r="C792" t="str">
        <f>IF(COUNTIF(B:B,B792)&gt;1,_xlfn.CONCAT(A792," (",M792,")"),B792)</f>
        <v>Nàsă Zhèn</v>
      </c>
      <c r="D792" t="s">
        <v>2182</v>
      </c>
      <c r="E792" t="s">
        <v>11</v>
      </c>
      <c r="F792" t="str">
        <f>_xlfn.CONCAT(D792,", ",H792,", ",I792,", ","云南省")</f>
        <v>那洒镇, 广南县, 文山壮族苗族自治州, 云南省</v>
      </c>
      <c r="G792">
        <v>50899</v>
      </c>
      <c r="H792" t="s">
        <v>2874</v>
      </c>
      <c r="I792" t="s">
        <v>2872</v>
      </c>
      <c r="J792">
        <f>VLOOKUP(F792,[1]!china_towns_second__2[[Column1]:[Y]],3,FALSE)</f>
        <v>23.696501536795498</v>
      </c>
      <c r="K792">
        <f>VLOOKUP(F792,[1]!china_towns_second__2[[Column1]:[Y]],2,FALSE)</f>
        <v>104.78180399999999</v>
      </c>
      <c r="L792" t="s">
        <v>4346</v>
      </c>
      <c r="M792" t="str">
        <f>VLOOKUP(H792,CHOOSE({1,2},Table17[Native],Table17[Name]),2,0)</f>
        <v>Guăngnán Xiàn</v>
      </c>
      <c r="N792" s="15" t="str">
        <f>VLOOKUP(I792,CHOOSE({1,2},Table17[Native],Table17[Name]),2,0)</f>
        <v>Wénshān Zhuàngzú Miáozú Zìzhìzhōu</v>
      </c>
      <c r="O792" s="15" t="str">
        <f t="shared" si="24"/>
        <v>Nasa Zhen (Wénshān Zhuàngzú Miáozú Zìzhìzhōu)</v>
      </c>
      <c r="P792" s="15" t="str">
        <f t="shared" si="25"/>
        <v>Nasa Zhen (Wénshān Zhuàngzú Miáozú Zìzhìzhōu)</v>
      </c>
    </row>
    <row r="793" spans="1:16" hidden="1" x14ac:dyDescent="0.25">
      <c r="A793" t="s">
        <v>1775</v>
      </c>
      <c r="B793" t="str">
        <f>IF(COUNTIF(A:A,A793)&gt;1,_xlfn.CONCAT(A793," (",N793,")"),A793)</f>
        <v>Nàyŭn Zhèn</v>
      </c>
      <c r="C793" t="str">
        <f>IF(COUNTIF(B:B,B793)&gt;1,_xlfn.CONCAT(A793," (",M793,")"),B793)</f>
        <v>Nàyŭn Zhèn</v>
      </c>
      <c r="D793" t="s">
        <v>1776</v>
      </c>
      <c r="E793" t="s">
        <v>11</v>
      </c>
      <c r="F793" t="str">
        <f>_xlfn.CONCAT(D793,", ",H793,", ",I793,", ","云南省")</f>
        <v>娜允镇, 孟连傣族拉祜族佤族自治县, 普洱市, 云南省</v>
      </c>
      <c r="G793">
        <v>48028</v>
      </c>
      <c r="H793" t="s">
        <v>2853</v>
      </c>
      <c r="I793" t="s">
        <v>2848</v>
      </c>
      <c r="J793">
        <f>VLOOKUP(F793,[1]!china_towns_second__2[[Column1]:[Y]],3,FALSE)</f>
        <v>22.365020401882798</v>
      </c>
      <c r="K793">
        <f>VLOOKUP(F793,[1]!china_towns_second__2[[Column1]:[Y]],2,FALSE)</f>
        <v>99.560059800000005</v>
      </c>
      <c r="L793" t="s">
        <v>4347</v>
      </c>
      <c r="M793" t="str">
        <f>VLOOKUP(H793,CHOOSE({1,2},Table17[Native],Table17[Name]),2,0)</f>
        <v>Mènglián Dăizú Lāhùzú Wăzú Zìzhìxiàn</v>
      </c>
      <c r="N793" s="15" t="str">
        <f>VLOOKUP(I793,CHOOSE({1,2},Table17[Native],Table17[Name]),2,0)</f>
        <v>Pŭ'ĕr Shì</v>
      </c>
      <c r="O793" s="15" t="str">
        <f t="shared" si="24"/>
        <v>Nayun Zhen (Pŭ'ĕr Shì)</v>
      </c>
      <c r="P793" s="15" t="str">
        <f t="shared" si="25"/>
        <v>Nayun Zhen (Pŭ'ĕr Shì)</v>
      </c>
    </row>
    <row r="794" spans="1:16" hidden="1" x14ac:dyDescent="0.25">
      <c r="A794" t="s">
        <v>1979</v>
      </c>
      <c r="B794" t="str">
        <f>IF(COUNTIF(A:A,A794)&gt;1,_xlfn.CONCAT(A794," (",N794,")"),A794)</f>
        <v>Nàzhāng Zhèn</v>
      </c>
      <c r="C794" t="str">
        <f>IF(COUNTIF(B:B,B794)&gt;1,_xlfn.CONCAT(A794," (",M794,")"),B794)</f>
        <v>Nàzhāng Zhèn</v>
      </c>
      <c r="D794" t="s">
        <v>1980</v>
      </c>
      <c r="E794" t="s">
        <v>11</v>
      </c>
      <c r="F794" t="str">
        <f>_xlfn.CONCAT(D794,", ",H794,", ",I794,", ","云南省")</f>
        <v>纳章镇, 马龙区, 曲靖市, 云南省</v>
      </c>
      <c r="G794">
        <v>12868</v>
      </c>
      <c r="H794" t="s">
        <v>2865</v>
      </c>
      <c r="I794" t="s">
        <v>2860</v>
      </c>
      <c r="J794">
        <f>VLOOKUP(F794,[1]!china_towns_second__2[[Column1]:[Y]],3,FALSE)</f>
        <v>25.2455310826324</v>
      </c>
      <c r="K794">
        <f>VLOOKUP(F794,[1]!china_towns_second__2[[Column1]:[Y]],2,FALSE)</f>
        <v>103.5730106</v>
      </c>
      <c r="L794" t="s">
        <v>4348</v>
      </c>
      <c r="M794" t="str">
        <f>VLOOKUP(H794,CHOOSE({1,2},Table17[Native],Table17[Name]),2,0)</f>
        <v>Mălóng Qū</v>
      </c>
      <c r="N794" s="15" t="str">
        <f>VLOOKUP(I794,CHOOSE({1,2},Table17[Native],Table17[Name]),2,0)</f>
        <v>Qŭjìng Shì</v>
      </c>
      <c r="O794" s="15" t="str">
        <f t="shared" si="24"/>
        <v>Nazhang Zhen (Qŭjìng Shì)</v>
      </c>
      <c r="P794" s="15" t="str">
        <f t="shared" si="25"/>
        <v>Nazhang Zhen (Qŭjìng Shì)</v>
      </c>
    </row>
    <row r="795" spans="1:16" hidden="1" x14ac:dyDescent="0.25">
      <c r="A795" t="s">
        <v>2183</v>
      </c>
      <c r="B795" t="str">
        <f>IF(COUNTIF(A:A,A795)&gt;1,_xlfn.CONCAT(A795," (",N795,")"),A795)</f>
        <v>Nìjiăo Yízú Xiāng</v>
      </c>
      <c r="C795" t="str">
        <f>IF(COUNTIF(B:B,B795)&gt;1,_xlfn.CONCAT(A795," (",M795,")"),B795)</f>
        <v>Nìjiăo Yízú Xiāng</v>
      </c>
      <c r="D795" t="s">
        <v>2184</v>
      </c>
      <c r="E795" t="s">
        <v>7</v>
      </c>
      <c r="F795" t="str">
        <f>_xlfn.CONCAT(D795,", ",H795,", ",I795,", ","云南省")</f>
        <v>腻脚彝族乡, 丘北县, 文山壮族苗族自治州, 云南省</v>
      </c>
      <c r="G795">
        <v>26576</v>
      </c>
      <c r="H795" t="s">
        <v>2877</v>
      </c>
      <c r="I795" t="s">
        <v>2872</v>
      </c>
      <c r="J795" t="e">
        <f>VLOOKUP(F795,[1]!china_towns_second__2[[Column1]:[Y]],3,FALSE)</f>
        <v>#N/A</v>
      </c>
      <c r="K795" t="e">
        <f>VLOOKUP(F795,[1]!china_towns_second__2[[Column1]:[Y]],2,FALSE)</f>
        <v>#N/A</v>
      </c>
      <c r="L795" t="s">
        <v>4349</v>
      </c>
      <c r="M795" t="str">
        <f>VLOOKUP(H795,CHOOSE({1,2},Table17[Native],Table17[Name]),2,0)</f>
        <v>Qiūbĕi Xiàn</v>
      </c>
      <c r="N795" s="15" t="str">
        <f>VLOOKUP(I795,CHOOSE({1,2},Table17[Native],Table17[Name]),2,0)</f>
        <v>Wénshān Zhuàngzú Miáozú Zìzhìzhōu</v>
      </c>
      <c r="O795" s="15" t="str">
        <f t="shared" si="24"/>
        <v>Nijiao Yizu Xiang (Wénshān Zhuàngzú Miáozú Zìzhìzhōu)</v>
      </c>
      <c r="P795" s="15" t="str">
        <f t="shared" si="25"/>
        <v>Nijiao Yizu Xiang (Wénshān Zhuàngzú Miáozú Zìzhìzhōu)</v>
      </c>
    </row>
    <row r="796" spans="1:16" hidden="1" x14ac:dyDescent="0.25">
      <c r="A796" t="s">
        <v>1777</v>
      </c>
      <c r="B796" t="str">
        <f>IF(COUNTIF(A:A,A796)&gt;1,_xlfn.CONCAT(A796," (",N796,")"),A796)</f>
        <v>Níng'ĕr Zhèn</v>
      </c>
      <c r="C796" t="str">
        <f>IF(COUNTIF(B:B,B796)&gt;1,_xlfn.CONCAT(A796," (",M796,")"),B796)</f>
        <v>Níng'ĕr Zhèn</v>
      </c>
      <c r="D796" t="s">
        <v>1778</v>
      </c>
      <c r="E796" t="s">
        <v>11</v>
      </c>
      <c r="F796" t="str">
        <f>_xlfn.CONCAT(D796,", ",H796,", ",I796,", ","云南省")</f>
        <v>宁洱镇, 宁洱哈尼族彝族自治县, 普洱市, 云南省</v>
      </c>
      <c r="G796">
        <v>76574</v>
      </c>
      <c r="H796" t="s">
        <v>2855</v>
      </c>
      <c r="I796" t="s">
        <v>2848</v>
      </c>
      <c r="J796">
        <f>VLOOKUP(F796,[1]!china_towns_second__2[[Column1]:[Y]],3,FALSE)</f>
        <v>23.118082428125799</v>
      </c>
      <c r="K796">
        <f>VLOOKUP(F796,[1]!china_towns_second__2[[Column1]:[Y]],2,FALSE)</f>
        <v>101.032051</v>
      </c>
      <c r="L796" t="s">
        <v>4350</v>
      </c>
      <c r="M796" t="str">
        <f>VLOOKUP(H796,CHOOSE({1,2},Table17[Native],Table17[Name]),2,0)</f>
        <v>Níng'ĕr Hānízú Yízú Zìzhìxiàn</v>
      </c>
      <c r="N796" s="15" t="str">
        <f>VLOOKUP(I796,CHOOSE({1,2},Table17[Native],Table17[Name]),2,0)</f>
        <v>Pŭ'ĕr Shì</v>
      </c>
      <c r="O796" s="15" t="str">
        <f t="shared" si="24"/>
        <v>Ning'er Zhen (Pŭ'ĕr Shì)</v>
      </c>
      <c r="P796" s="15" t="str">
        <f t="shared" si="25"/>
        <v>Ning'er Zhen (Pŭ'ĕr Shì)</v>
      </c>
    </row>
    <row r="797" spans="1:16" hidden="1" x14ac:dyDescent="0.25">
      <c r="A797" t="s">
        <v>1369</v>
      </c>
      <c r="B797" t="str">
        <f>IF(COUNTIF(A:A,A797)&gt;1,_xlfn.CONCAT(A797," (",N797,")"),A797)</f>
        <v>Nínglì Xiāng</v>
      </c>
      <c r="C797" t="str">
        <f>IF(COUNTIF(B:B,B797)&gt;1,_xlfn.CONCAT(A797," (",M797,")"),B797)</f>
        <v>Nínglì Xiāng</v>
      </c>
      <c r="D797" t="s">
        <v>1370</v>
      </c>
      <c r="E797" t="s">
        <v>7</v>
      </c>
      <c r="F797" t="str">
        <f>_xlfn.CONCAT(D797,", ",H797,", ",I797,", ","云南省")</f>
        <v>宁利乡, 宁蒗彝族自治县, 丽江市, 云南省</v>
      </c>
      <c r="G797">
        <v>14263</v>
      </c>
      <c r="H797" t="s">
        <v>2827</v>
      </c>
      <c r="I797" t="s">
        <v>2823</v>
      </c>
      <c r="J797" t="e">
        <f>VLOOKUP(F797,[1]!china_towns_second__2[[Column1]:[Y]],3,FALSE)</f>
        <v>#N/A</v>
      </c>
      <c r="K797" t="e">
        <f>VLOOKUP(F797,[1]!china_towns_second__2[[Column1]:[Y]],2,FALSE)</f>
        <v>#N/A</v>
      </c>
      <c r="L797" t="s">
        <v>4351</v>
      </c>
      <c r="M797" t="str">
        <f>VLOOKUP(H797,CHOOSE({1,2},Table17[Native],Table17[Name]),2,0)</f>
        <v>Nínglàng Yízú Zìzhìxiàn</v>
      </c>
      <c r="N797" s="15" t="str">
        <f>VLOOKUP(I797,CHOOSE({1,2},Table17[Native],Table17[Name]),2,0)</f>
        <v>Lìjiāng Shì</v>
      </c>
      <c r="O797" s="15" t="str">
        <f t="shared" si="24"/>
        <v>Ningli Xiang (Lìjiāng Shì)</v>
      </c>
      <c r="P797" s="15" t="str">
        <f t="shared" si="25"/>
        <v>Ningli Xiang (Lìjiāng Shì)</v>
      </c>
    </row>
    <row r="798" spans="1:16" hidden="1" x14ac:dyDescent="0.25">
      <c r="A798" t="s">
        <v>2406</v>
      </c>
      <c r="B798" t="str">
        <f>IF(COUNTIF(A:A,A798)&gt;1,_xlfn.CONCAT(A798," (",N798,")"),A798)</f>
        <v>Níngzhōu Jiēdào</v>
      </c>
      <c r="C798" t="str">
        <f>IF(COUNTIF(B:B,B798)&gt;1,_xlfn.CONCAT(A798," (",M798,")"),B798)</f>
        <v>Níngzhōu Jiēdào</v>
      </c>
      <c r="D798" t="s">
        <v>2407</v>
      </c>
      <c r="E798" t="s">
        <v>42</v>
      </c>
      <c r="F798" t="str">
        <f>_xlfn.CONCAT(D798,", ",H798,", ",I798,", ","云南省")</f>
        <v>宁州街道, 华宁县, 玉溪市, 云南省</v>
      </c>
      <c r="G798">
        <v>83213</v>
      </c>
      <c r="H798" t="s">
        <v>2892</v>
      </c>
      <c r="I798" t="s">
        <v>2888</v>
      </c>
      <c r="J798">
        <f>VLOOKUP(F798,[1]!china_towns_second__2[[Column1]:[Y]],3,FALSE)</f>
        <v>24.204682673144902</v>
      </c>
      <c r="K798">
        <f>VLOOKUP(F798,[1]!china_towns_second__2[[Column1]:[Y]],2,FALSE)</f>
        <v>102.9392636</v>
      </c>
      <c r="L798" t="s">
        <v>4352</v>
      </c>
      <c r="M798" t="str">
        <f>VLOOKUP(H798,CHOOSE({1,2},Table17[Native],Table17[Name]),2,0)</f>
        <v>Huáníng Xiàn</v>
      </c>
      <c r="N798" s="15" t="str">
        <f>VLOOKUP(I798,CHOOSE({1,2},Table17[Native],Table17[Name]),2,0)</f>
        <v>Yùxī Shì</v>
      </c>
      <c r="O798" s="15" t="str">
        <f t="shared" si="24"/>
        <v>Ningzhou Jiedao (Yùxī Shì)</v>
      </c>
      <c r="P798" s="15" t="str">
        <f t="shared" si="25"/>
        <v>Ningzhou Jiedao (Yùxī Shì)</v>
      </c>
    </row>
    <row r="799" spans="1:16" hidden="1" x14ac:dyDescent="0.25">
      <c r="A799" t="s">
        <v>2611</v>
      </c>
      <c r="B799" t="str">
        <f>IF(COUNTIF(A:A,A799)&gt;1,_xlfn.CONCAT(A799," (",N799,")"),A799)</f>
        <v>Niúchăng Zhèn</v>
      </c>
      <c r="C799" t="str">
        <f>IF(COUNTIF(B:B,B799)&gt;1,_xlfn.CONCAT(A799," (",M799,")"),B799)</f>
        <v>Niúchăng Zhèn</v>
      </c>
      <c r="D799" t="s">
        <v>2612</v>
      </c>
      <c r="E799" t="s">
        <v>11</v>
      </c>
      <c r="F799" t="str">
        <f>_xlfn.CONCAT(D799,", ",H799,", ",I799,", ","云南省")</f>
        <v>牛场镇, 镇雄县, 昭通市, 云南省</v>
      </c>
      <c r="G799">
        <v>39112</v>
      </c>
      <c r="H799" t="s">
        <v>2910</v>
      </c>
      <c r="I799" t="s">
        <v>2899</v>
      </c>
      <c r="J799">
        <f>VLOOKUP(F799,[1]!china_towns_second__2[[Column1]:[Y]],3,FALSE)</f>
        <v>27.508187556174398</v>
      </c>
      <c r="K799">
        <f>VLOOKUP(F799,[1]!china_towns_second__2[[Column1]:[Y]],2,FALSE)</f>
        <v>104.57051269999999</v>
      </c>
      <c r="L799" t="s">
        <v>4353</v>
      </c>
      <c r="M799" t="str">
        <f>VLOOKUP(H799,CHOOSE({1,2},Table17[Native],Table17[Name]),2,0)</f>
        <v>Zhènxióng Xiàn</v>
      </c>
      <c r="N799" s="15" t="str">
        <f>VLOOKUP(I799,CHOOSE({1,2},Table17[Native],Table17[Name]),2,0)</f>
        <v>Zhāotōng Shì</v>
      </c>
      <c r="O799" s="15" t="str">
        <f t="shared" si="24"/>
        <v>Niuchang Zhen (Zhāotōng Shì)</v>
      </c>
      <c r="P799" s="15" t="str">
        <f t="shared" si="25"/>
        <v>Niuchang Zhen (Zhāotōng Shì)</v>
      </c>
    </row>
    <row r="800" spans="1:16" hidden="1" x14ac:dyDescent="0.25">
      <c r="A800" t="s">
        <v>923</v>
      </c>
      <c r="B800" t="str">
        <f>IF(COUNTIF(A:A,A800)&gt;1,_xlfn.CONCAT(A800," (",N800,")"),A800)</f>
        <v>Niújiăozhài Zhèn</v>
      </c>
      <c r="C800" t="str">
        <f>IF(COUNTIF(B:B,B800)&gt;1,_xlfn.CONCAT(A800," (",M800,")"),B800)</f>
        <v>Niújiăozhài Zhèn</v>
      </c>
      <c r="D800" t="s">
        <v>924</v>
      </c>
      <c r="E800" t="s">
        <v>11</v>
      </c>
      <c r="F800" t="str">
        <f>_xlfn.CONCAT(D800,", ",H800,", ",I800,", ","云南省")</f>
        <v>牛角寨镇, 元阳县, 红河哈尼族彝族自治州, 云南省</v>
      </c>
      <c r="G800">
        <v>28830</v>
      </c>
      <c r="H800" t="s">
        <v>2805</v>
      </c>
      <c r="I800" t="s">
        <v>2792</v>
      </c>
      <c r="J800">
        <f>VLOOKUP(F800,[1]!china_towns_second__2[[Column1]:[Y]],3,FALSE)</f>
        <v>23.1198463656992</v>
      </c>
      <c r="K800">
        <f>VLOOKUP(F800,[1]!china_towns_second__2[[Column1]:[Y]],2,FALSE)</f>
        <v>102.65378490000001</v>
      </c>
      <c r="L800" t="s">
        <v>4354</v>
      </c>
      <c r="M800" t="str">
        <f>VLOOKUP(H800,CHOOSE({1,2},Table17[Native],Table17[Name]),2,0)</f>
        <v>Yuányáng Xiàn</v>
      </c>
      <c r="N800" s="15" t="str">
        <f>VLOOKUP(I800,CHOOSE({1,2},Table17[Native],Table17[Name]),2,0)</f>
        <v>Hónghé Hānízú Yízú Zìzhìzhōu</v>
      </c>
      <c r="O800" s="15" t="str">
        <f t="shared" si="24"/>
        <v>Niujiaozhai Zhen (Hónghé Hānízú Yízú Zìzhìzhōu)</v>
      </c>
      <c r="P800" s="15" t="str">
        <f t="shared" si="25"/>
        <v>Niujiaozhai Zhen (Hónghé Hānízú Yízú Zìzhìzhōu)</v>
      </c>
    </row>
    <row r="801" spans="1:16" hidden="1" x14ac:dyDescent="0.25">
      <c r="A801" t="s">
        <v>502</v>
      </c>
      <c r="B801" t="str">
        <f>IF(COUNTIF(A:A,A801)&gt;1,_xlfn.CONCAT(A801," (",N801,")"),A801)</f>
        <v>Niújiē Xiāng (Dàlĭ Báizú Zìzhìzhōu)</v>
      </c>
      <c r="C801" t="str">
        <f>IF(COUNTIF(B:B,B801)&gt;1,_xlfn.CONCAT(A801," (",M801,")"),B801)</f>
        <v>Niújiē Xiāng (Wēishān Yízú Huízú Zìzhìxiàn)</v>
      </c>
      <c r="D801" t="s">
        <v>503</v>
      </c>
      <c r="E801" t="s">
        <v>7</v>
      </c>
      <c r="F801" t="str">
        <f>_xlfn.CONCAT(D801,", ",H801,", ",I801,", ","云南省")</f>
        <v>牛街乡, 巍山彝族回族自治县, 大理白族自治州, 云南省</v>
      </c>
      <c r="G801">
        <v>11639</v>
      </c>
      <c r="H801" t="s">
        <v>2772</v>
      </c>
      <c r="I801" t="s">
        <v>2763</v>
      </c>
      <c r="J801" t="e">
        <f>VLOOKUP(F801,[1]!china_towns_second__2[[Column1]:[Y]],3,FALSE)</f>
        <v>#N/A</v>
      </c>
      <c r="K801" t="e">
        <f>VLOOKUP(F801,[1]!china_towns_second__2[[Column1]:[Y]],2,FALSE)</f>
        <v>#N/A</v>
      </c>
      <c r="L801" t="s">
        <v>4355</v>
      </c>
      <c r="M801" t="str">
        <f>VLOOKUP(H801,CHOOSE({1,2},Table17[Native],Table17[Name]),2,0)</f>
        <v>Wēishān Yízú Huízú Zìzhìxiàn</v>
      </c>
      <c r="N801" s="15" t="str">
        <f>VLOOKUP(I801,CHOOSE({1,2},Table17[Native],Table17[Name]),2,0)</f>
        <v>Dàlĭ Báizú Zìzhìzhōu</v>
      </c>
      <c r="O801" s="15" t="str">
        <f t="shared" si="24"/>
        <v>Niujie Xiang (Weishan Yizu Huizu Zizhixian) (Dàlĭ Báizú Zìzhìzhōu)</v>
      </c>
      <c r="P801" s="15" t="str">
        <f t="shared" si="25"/>
        <v>Niujie Xiang (Weishan Yizu Huizu Zizhixian) (Dàlĭ Báizú Zìzhìzhōu)</v>
      </c>
    </row>
    <row r="802" spans="1:16" hidden="1" x14ac:dyDescent="0.25">
      <c r="A802" t="s">
        <v>502</v>
      </c>
      <c r="B802" t="str">
        <f>IF(COUNTIF(A:A,A802)&gt;1,_xlfn.CONCAT(A802," (",N802,")"),A802)</f>
        <v>Niújiē Xiāng (Dàlĭ Báizú Zìzhìzhōu)</v>
      </c>
      <c r="C802" t="str">
        <f>IF(COUNTIF(B:B,B802)&gt;1,_xlfn.CONCAT(A802," (",M802,")"),B802)</f>
        <v>Niújiē Xiāng (Ĕryuán Xiàn)</v>
      </c>
      <c r="D802" t="s">
        <v>503</v>
      </c>
      <c r="E802" t="s">
        <v>7</v>
      </c>
      <c r="F802" t="str">
        <f>_xlfn.CONCAT(D802,", ",H802,", ",I802,", ","云南省")</f>
        <v>牛街乡, 洱源县, 大理白族自治州, 云南省</v>
      </c>
      <c r="G802">
        <v>21507</v>
      </c>
      <c r="H802" t="s">
        <v>2766</v>
      </c>
      <c r="I802" t="s">
        <v>2763</v>
      </c>
      <c r="J802" t="e">
        <f>VLOOKUP(F802,[1]!china_towns_second__2[[Column1]:[Y]],3,FALSE)</f>
        <v>#N/A</v>
      </c>
      <c r="K802" t="e">
        <f>VLOOKUP(F802,[1]!china_towns_second__2[[Column1]:[Y]],2,FALSE)</f>
        <v>#N/A</v>
      </c>
      <c r="L802" t="s">
        <v>4356</v>
      </c>
      <c r="M802" t="str">
        <f>VLOOKUP(H802,CHOOSE({1,2},Table17[Native],Table17[Name]),2,0)</f>
        <v>Ĕryuán Xiàn</v>
      </c>
      <c r="N802" s="15" t="str">
        <f>VLOOKUP(I802,CHOOSE({1,2},Table17[Native],Table17[Name]),2,0)</f>
        <v>Dàlĭ Báizú Zìzhìzhōu</v>
      </c>
      <c r="O802" s="15" t="str">
        <f t="shared" si="24"/>
        <v>Niujie Xiang (Ĕryuan Xian) (Dàlĭ Báizú Zìzhìzhōu)</v>
      </c>
      <c r="P802" s="15" t="str">
        <f t="shared" si="25"/>
        <v>Niujie Xiang (Ĕryuan Xian) (Dàlĭ Báizú Zìzhìzhōu)</v>
      </c>
    </row>
    <row r="803" spans="1:16" hidden="1" x14ac:dyDescent="0.25">
      <c r="A803" t="s">
        <v>504</v>
      </c>
      <c r="B803" t="str">
        <f>IF(COUNTIF(A:A,A803)&gt;1,_xlfn.CONCAT(A803," (",N803,")"),A803)</f>
        <v>Niújiē Yízú Xiāng</v>
      </c>
      <c r="C803" t="str">
        <f>IF(COUNTIF(B:B,B803)&gt;1,_xlfn.CONCAT(A803," (",M803,")"),B803)</f>
        <v>Niújiē Yízú Xiāng</v>
      </c>
      <c r="D803" t="s">
        <v>505</v>
      </c>
      <c r="E803" t="s">
        <v>7</v>
      </c>
      <c r="F803" t="str">
        <f>_xlfn.CONCAT(D803,", ",H803,", ",I803,", ","云南省")</f>
        <v>牛街彝族乡, 弥渡县, 大理白族自治州, 云南省</v>
      </c>
      <c r="G803">
        <v>19888</v>
      </c>
      <c r="H803" t="s">
        <v>2769</v>
      </c>
      <c r="I803" t="s">
        <v>2763</v>
      </c>
      <c r="J803" t="e">
        <f>VLOOKUP(F803,[1]!china_towns_second__2[[Column1]:[Y]],3,FALSE)</f>
        <v>#N/A</v>
      </c>
      <c r="K803" t="e">
        <f>VLOOKUP(F803,[1]!china_towns_second__2[[Column1]:[Y]],2,FALSE)</f>
        <v>#N/A</v>
      </c>
      <c r="L803" t="s">
        <v>4357</v>
      </c>
      <c r="M803" t="str">
        <f>VLOOKUP(H803,CHOOSE({1,2},Table17[Native],Table17[Name]),2,0)</f>
        <v>Mídù Xiàn</v>
      </c>
      <c r="N803" s="15" t="str">
        <f>VLOOKUP(I803,CHOOSE({1,2},Table17[Native],Table17[Name]),2,0)</f>
        <v>Dàlĭ Báizú Zìzhìzhōu</v>
      </c>
      <c r="O803" s="15" t="str">
        <f t="shared" si="24"/>
        <v>Niujie Yizu Xiang (Dàlĭ Báizú Zìzhìzhōu)</v>
      </c>
      <c r="P803" s="15" t="str">
        <f t="shared" si="25"/>
        <v>Niujie Yizu Xiang (Dàlĭ Báizú Zìzhìzhōu)</v>
      </c>
    </row>
    <row r="804" spans="1:16" hidden="1" x14ac:dyDescent="0.25">
      <c r="A804" t="s">
        <v>925</v>
      </c>
      <c r="B804" t="str">
        <f>IF(COUNTIF(A:A,A804)&gt;1,_xlfn.CONCAT(A804," (",N804,")"),A804)</f>
        <v>Niújiē Zhèn (Hónghé Hānízú Yízú Zìzhìzhōu)</v>
      </c>
      <c r="C804" t="str">
        <f>IF(COUNTIF(B:B,B804)&gt;1,_xlfn.CONCAT(A804," (",M804,")"),B804)</f>
        <v>Niújiē Zhèn (Hónghé Hānízú Yízú Zìzhìzhōu)</v>
      </c>
      <c r="D804" t="s">
        <v>926</v>
      </c>
      <c r="E804" t="s">
        <v>11</v>
      </c>
      <c r="F804" t="str">
        <f>_xlfn.CONCAT(D804,", ",H804,", ",I804,", ","云南省")</f>
        <v>牛街镇, 石屏县, 红河哈尼族彝族自治州, 云南省</v>
      </c>
      <c r="G804">
        <v>28343</v>
      </c>
      <c r="H804" t="s">
        <v>2804</v>
      </c>
      <c r="I804" t="s">
        <v>2792</v>
      </c>
      <c r="J804">
        <f>VLOOKUP(F804,[1]!china_towns_second__2[[Column1]:[Y]],3,FALSE)</f>
        <v>23.4577428967477</v>
      </c>
      <c r="K804">
        <f>VLOOKUP(F804,[1]!china_towns_second__2[[Column1]:[Y]],2,FALSE)</f>
        <v>102.47823</v>
      </c>
      <c r="L804" t="s">
        <v>4358</v>
      </c>
      <c r="M804" t="str">
        <f>VLOOKUP(H804,CHOOSE({1,2},Table17[Native],Table17[Name]),2,0)</f>
        <v>Shípíng Xiàn</v>
      </c>
      <c r="N804" s="15" t="str">
        <f>VLOOKUP(I804,CHOOSE({1,2},Table17[Native],Table17[Name]),2,0)</f>
        <v>Hónghé Hānízú Yízú Zìzhìzhōu</v>
      </c>
      <c r="O804" s="15" t="str">
        <f t="shared" si="24"/>
        <v>Niujie Zhen (Honghe Hanizu Yizu Zizhizhou) (Hónghé Hānízú Yízú Zìzhìzhōu)</v>
      </c>
      <c r="P804" s="15" t="str">
        <f t="shared" si="25"/>
        <v>Niujie Zhen (Honghe Hanizu Yizu Zizhizhou) (Hónghé Hānízú Yízú Zìzhìzhōu)</v>
      </c>
    </row>
    <row r="805" spans="1:16" hidden="1" x14ac:dyDescent="0.25">
      <c r="A805" t="s">
        <v>925</v>
      </c>
      <c r="B805" t="str">
        <f>IF(COUNTIF(A:A,A805)&gt;1,_xlfn.CONCAT(A805," (",N805,")"),A805)</f>
        <v>Niújiē Zhèn (Zhāotōng Shì)</v>
      </c>
      <c r="C805" t="str">
        <f>IF(COUNTIF(B:B,B805)&gt;1,_xlfn.CONCAT(A805," (",M805,")"),B805)</f>
        <v>Niújiē Zhèn (Zhāotōng Shì)</v>
      </c>
      <c r="D805" t="s">
        <v>926</v>
      </c>
      <c r="E805" t="s">
        <v>11</v>
      </c>
      <c r="F805" t="str">
        <f>_xlfn.CONCAT(D805,", ",H805,", ",I805,", ","云南省")</f>
        <v>牛街镇, 彝良县, 昭通市, 云南省</v>
      </c>
      <c r="G805">
        <v>34711</v>
      </c>
      <c r="H805" t="s">
        <v>2907</v>
      </c>
      <c r="I805" t="s">
        <v>2899</v>
      </c>
      <c r="J805">
        <f>VLOOKUP(F805,[1]!china_towns_second__2[[Column1]:[Y]],3,FALSE)</f>
        <v>27.838798854420499</v>
      </c>
      <c r="K805">
        <f>VLOOKUP(F805,[1]!china_towns_second__2[[Column1]:[Y]],2,FALSE)</f>
        <v>104.4600988</v>
      </c>
      <c r="L805" t="s">
        <v>4359</v>
      </c>
      <c r="M805" t="str">
        <f>VLOOKUP(H805,CHOOSE({1,2},Table17[Native],Table17[Name]),2,0)</f>
        <v>Yíliáng Xiàn</v>
      </c>
      <c r="N805" s="15" t="str">
        <f>VLOOKUP(I805,CHOOSE({1,2},Table17[Native],Table17[Name]),2,0)</f>
        <v>Zhāotōng Shì</v>
      </c>
      <c r="O805" s="15" t="str">
        <f t="shared" si="24"/>
        <v>Niujie Zhen (Zhaotong Shi) (Zhāotōng Shì)</v>
      </c>
      <c r="P805" s="15" t="str">
        <f t="shared" si="25"/>
        <v>Niujie Zhen (Zhaotong Shi) (Zhāotōng Shì)</v>
      </c>
    </row>
    <row r="806" spans="1:16" hidden="1" x14ac:dyDescent="0.25">
      <c r="A806" t="s">
        <v>927</v>
      </c>
      <c r="B806" t="str">
        <f>IF(COUNTIF(A:A,A806)&gt;1,_xlfn.CONCAT(A806," (",N806,")"),A806)</f>
        <v>Niúkŏng Zhèn</v>
      </c>
      <c r="C806" t="str">
        <f>IF(COUNTIF(B:B,B806)&gt;1,_xlfn.CONCAT(A806," (",M806,")"),B806)</f>
        <v>Niúkŏng Zhèn</v>
      </c>
      <c r="D806" t="s">
        <v>928</v>
      </c>
      <c r="E806" t="s">
        <v>11</v>
      </c>
      <c r="F806" t="str">
        <f>_xlfn.CONCAT(D806,", ",H806,", ",I806,", ","云南省")</f>
        <v>牛孔镇, 绿春县, 红河哈尼族彝族自治州, 云南省</v>
      </c>
      <c r="G806">
        <v>33557</v>
      </c>
      <c r="H806" t="s">
        <v>2799</v>
      </c>
      <c r="I806" t="s">
        <v>2792</v>
      </c>
      <c r="J806">
        <f>VLOOKUP(F806,[1]!china_towns_second__2[[Column1]:[Y]],3,FALSE)</f>
        <v>23.020962029927201</v>
      </c>
      <c r="K806">
        <f>VLOOKUP(F806,[1]!china_towns_second__2[[Column1]:[Y]],2,FALSE)</f>
        <v>102.1637266</v>
      </c>
      <c r="L806" t="s">
        <v>4360</v>
      </c>
      <c r="M806" t="str">
        <f>VLOOKUP(H806,CHOOSE({1,2},Table17[Native],Table17[Name]),2,0)</f>
        <v>Lǜchūn Xiàn</v>
      </c>
      <c r="N806" s="15" t="str">
        <f>VLOOKUP(I806,CHOOSE({1,2},Table17[Native],Table17[Name]),2,0)</f>
        <v>Hónghé Hānízú Yízú Zìzhìzhōu</v>
      </c>
      <c r="O806" s="15" t="str">
        <f t="shared" si="24"/>
        <v>Niukong Zhen (Hónghé Hānízú Yízú Zìzhìzhōu)</v>
      </c>
      <c r="P806" s="15" t="str">
        <f t="shared" si="25"/>
        <v>Niukong Zhen (Hónghé Hānízú Yízú Zìzhìzhōu)</v>
      </c>
    </row>
    <row r="807" spans="1:16" hidden="1" x14ac:dyDescent="0.25">
      <c r="A807" t="s">
        <v>1192</v>
      </c>
      <c r="B807" t="str">
        <f>IF(COUNTIF(A:A,A807)&gt;1,_xlfn.CONCAT(A807," (",N807,")"),A807)</f>
        <v>Niúlánjiāng Zhèn</v>
      </c>
      <c r="C807" t="str">
        <f>IF(COUNTIF(B:B,B807)&gt;1,_xlfn.CONCAT(A807," (",M807,")"),B807)</f>
        <v>Niúlánjiāng Zhèn</v>
      </c>
      <c r="D807" t="s">
        <v>1193</v>
      </c>
      <c r="E807" t="s">
        <v>11</v>
      </c>
      <c r="F807" t="str">
        <f>_xlfn.CONCAT(D807,", ",H807,", ",I807,", ","云南省")</f>
        <v>牛栏江镇, 嵩明县, 昆明市, 云南省</v>
      </c>
      <c r="G807">
        <v>47724</v>
      </c>
      <c r="H807" t="s">
        <v>2817</v>
      </c>
      <c r="I807" t="s">
        <v>2807</v>
      </c>
      <c r="J807">
        <f>VLOOKUP(F807,[1]!china_towns_second__2[[Column1]:[Y]],3,FALSE)</f>
        <v>25.276597541959902</v>
      </c>
      <c r="K807">
        <f>VLOOKUP(F807,[1]!china_towns_second__2[[Column1]:[Y]],2,FALSE)</f>
        <v>103.1939677</v>
      </c>
      <c r="L807" t="s">
        <v>4361</v>
      </c>
      <c r="M807" t="str">
        <f>VLOOKUP(H807,CHOOSE({1,2},Table17[Native],Table17[Name]),2,0)</f>
        <v>Sōngmíng Xiàn</v>
      </c>
      <c r="N807" s="15" t="str">
        <f>VLOOKUP(I807,CHOOSE({1,2},Table17[Native],Table17[Name]),2,0)</f>
        <v>Kūnmíng Shì</v>
      </c>
      <c r="O807" s="15" t="str">
        <f t="shared" si="24"/>
        <v>Niulanjiang Zhen (Kūnmíng Shì)</v>
      </c>
      <c r="P807" s="15" t="str">
        <f t="shared" si="25"/>
        <v>Niulanjiang Zhen (Kūnmíng Shì)</v>
      </c>
    </row>
    <row r="808" spans="1:16" hidden="1" x14ac:dyDescent="0.25">
      <c r="A808" t="s">
        <v>2613</v>
      </c>
      <c r="B808" t="str">
        <f>IF(COUNTIF(A:A,A808)&gt;1,_xlfn.CONCAT(A808," (",N808,")"),A808)</f>
        <v>Niúzhài Xiāng</v>
      </c>
      <c r="C808" t="str">
        <f>IF(COUNTIF(B:B,B808)&gt;1,_xlfn.CONCAT(A808," (",M808,")"),B808)</f>
        <v>Niúzhài Xiāng</v>
      </c>
      <c r="D808" t="s">
        <v>2614</v>
      </c>
      <c r="E808" t="s">
        <v>7</v>
      </c>
      <c r="F808" t="str">
        <f>_xlfn.CONCAT(D808,", ",H808,", ",I808,", ","云南省")</f>
        <v>牛寨乡, 盐津县, 昭通市, 云南省</v>
      </c>
      <c r="G808">
        <v>31678</v>
      </c>
      <c r="H808" t="s">
        <v>2906</v>
      </c>
      <c r="I808" t="s">
        <v>2899</v>
      </c>
      <c r="J808" t="e">
        <f>VLOOKUP(F808,[1]!china_towns_second__2[[Column1]:[Y]],3,FALSE)</f>
        <v>#N/A</v>
      </c>
      <c r="K808" t="e">
        <f>VLOOKUP(F808,[1]!china_towns_second__2[[Column1]:[Y]],2,FALSE)</f>
        <v>#N/A</v>
      </c>
      <c r="L808" t="s">
        <v>4362</v>
      </c>
      <c r="M808" t="str">
        <f>VLOOKUP(H808,CHOOSE({1,2},Table17[Native],Table17[Name]),2,0)</f>
        <v>Yánjīn Xiàn</v>
      </c>
      <c r="N808" s="15" t="str">
        <f>VLOOKUP(I808,CHOOSE({1,2},Table17[Native],Table17[Name]),2,0)</f>
        <v>Zhāotōng Shì</v>
      </c>
      <c r="O808" s="15" t="str">
        <f t="shared" si="24"/>
        <v>Niuzhai Xiang (Zhāotōng Shì)</v>
      </c>
      <c r="P808" s="15" t="str">
        <f t="shared" si="25"/>
        <v>Niuzhai Xiang (Zhāotōng Shì)</v>
      </c>
    </row>
    <row r="809" spans="1:16" hidden="1" x14ac:dyDescent="0.25">
      <c r="A809" t="s">
        <v>734</v>
      </c>
      <c r="B809" t="str">
        <f>IF(COUNTIF(A:A,A809)&gt;1,_xlfn.CONCAT(A809," (",N809,")"),A809)</f>
        <v>Níxī Xiāng</v>
      </c>
      <c r="C809" t="str">
        <f>IF(COUNTIF(B:B,B809)&gt;1,_xlfn.CONCAT(A809," (",M809,")"),B809)</f>
        <v>Níxī Xiāng</v>
      </c>
      <c r="D809" t="s">
        <v>735</v>
      </c>
      <c r="E809" t="s">
        <v>7</v>
      </c>
      <c r="F809" t="str">
        <f>_xlfn.CONCAT(D809,", ",H809,", ",I809,", ","云南省")</f>
        <v>尼西乡, 香格里拉市, 迪庆藏族自治州, 云南省</v>
      </c>
      <c r="G809">
        <v>8111</v>
      </c>
      <c r="H809" t="s">
        <v>2789</v>
      </c>
      <c r="I809" t="s">
        <v>2786</v>
      </c>
      <c r="J809" t="e">
        <f>VLOOKUP(F809,[1]!china_towns_second__2[[Column1]:[Y]],3,FALSE)</f>
        <v>#N/A</v>
      </c>
      <c r="K809" t="e">
        <f>VLOOKUP(F809,[1]!china_towns_second__2[[Column1]:[Y]],2,FALSE)</f>
        <v>#N/A</v>
      </c>
      <c r="L809" t="s">
        <v>4363</v>
      </c>
      <c r="M809" t="str">
        <f>VLOOKUP(H809,CHOOSE({1,2},Table17[Native],Table17[Name]),2,0)</f>
        <v>Xiānggélĭlā Shì</v>
      </c>
      <c r="N809" s="15" t="str">
        <f>VLOOKUP(I809,CHOOSE({1,2},Table17[Native],Table17[Name]),2,0)</f>
        <v>Díqìng Zàngzú Zìzhìzhōu</v>
      </c>
      <c r="O809" s="15" t="str">
        <f t="shared" si="24"/>
        <v>Nixi Xiang (Díqìng Zàngzú Zìzhìzhōu)</v>
      </c>
      <c r="P809" s="15" t="str">
        <f t="shared" si="25"/>
        <v>Nixi Xiang (Díqìng Zàngzú Zìzhìzhōu)</v>
      </c>
    </row>
    <row r="810" spans="1:16" hidden="1" x14ac:dyDescent="0.25">
      <c r="A810" t="s">
        <v>663</v>
      </c>
      <c r="B810" t="str">
        <f>IF(COUNTIF(A:A,A810)&gt;1,_xlfn.CONCAT(A810," (",N810,")"),A810)</f>
        <v>Nòngdăo Zhèn</v>
      </c>
      <c r="C810" t="str">
        <f>IF(COUNTIF(B:B,B810)&gt;1,_xlfn.CONCAT(A810," (",M810,")"),B810)</f>
        <v>Nòngdăo Zhèn</v>
      </c>
      <c r="D810" t="s">
        <v>664</v>
      </c>
      <c r="E810" t="s">
        <v>11</v>
      </c>
      <c r="F810" t="str">
        <f>_xlfn.CONCAT(D810,", ",H810,", ",I810,", ","云南省")</f>
        <v>弄岛镇, 瑞丽市, 德宏傣族景颇族自治州, 云南省</v>
      </c>
      <c r="G810">
        <v>15423</v>
      </c>
      <c r="H810" t="s">
        <v>2783</v>
      </c>
      <c r="I810" t="s">
        <v>2779</v>
      </c>
      <c r="J810">
        <f>VLOOKUP(F810,[1]!china_towns_second__2[[Column1]:[Y]],3,FALSE)</f>
        <v>23.916805936033001</v>
      </c>
      <c r="K810">
        <f>VLOOKUP(F810,[1]!china_towns_second__2[[Column1]:[Y]],2,FALSE)</f>
        <v>97.617728700000001</v>
      </c>
      <c r="L810" t="s">
        <v>4364</v>
      </c>
      <c r="M810" t="str">
        <f>VLOOKUP(H810,CHOOSE({1,2},Table17[Native],Table17[Name]),2,0)</f>
        <v>Ruìlì Shì</v>
      </c>
      <c r="N810" s="15" t="str">
        <f>VLOOKUP(I810,CHOOSE({1,2},Table17[Native],Table17[Name]),2,0)</f>
        <v>Déhóng Dăizú Jĭngpōzú Zìzhìzhōu</v>
      </c>
      <c r="O810" s="15" t="str">
        <f t="shared" si="24"/>
        <v>Nongdao Zhen (Déhóng Dăizú Jĭngpōzú Zìzhìzhōu)</v>
      </c>
      <c r="P810" s="15" t="str">
        <f t="shared" si="25"/>
        <v>Nongdao Zhen (Déhóng Dăizú Jĭngpōzú Zìzhìzhōu)</v>
      </c>
    </row>
    <row r="811" spans="1:16" hidden="1" x14ac:dyDescent="0.25">
      <c r="A811" t="s">
        <v>665</v>
      </c>
      <c r="B811" t="str">
        <f>IF(COUNTIF(A:A,A811)&gt;1,_xlfn.CONCAT(A811," (",N811,")"),A811)</f>
        <v>Nòngzhāng Zhèn</v>
      </c>
      <c r="C811" t="str">
        <f>IF(COUNTIF(B:B,B811)&gt;1,_xlfn.CONCAT(A811," (",M811,")"),B811)</f>
        <v>Nòngzhāng Zhèn</v>
      </c>
      <c r="D811" t="s">
        <v>666</v>
      </c>
      <c r="E811" t="s">
        <v>11</v>
      </c>
      <c r="F811" t="str">
        <f>_xlfn.CONCAT(D811,", ",H811,", ",I811,", ","云南省")</f>
        <v>弄璋镇, 盈江县, 德宏傣族景颇族自治州, 云南省</v>
      </c>
      <c r="G811">
        <v>45270</v>
      </c>
      <c r="H811" t="s">
        <v>2784</v>
      </c>
      <c r="I811" t="s">
        <v>2779</v>
      </c>
      <c r="J811">
        <f>VLOOKUP(F811,[1]!china_towns_second__2[[Column1]:[Y]],3,FALSE)</f>
        <v>24.548078231773001</v>
      </c>
      <c r="K811">
        <f>VLOOKUP(F811,[1]!china_towns_second__2[[Column1]:[Y]],2,FALSE)</f>
        <v>97.843607289999994</v>
      </c>
      <c r="L811" t="s">
        <v>4365</v>
      </c>
      <c r="M811" t="str">
        <f>VLOOKUP(H811,CHOOSE({1,2},Table17[Native],Table17[Name]),2,0)</f>
        <v>Yíngjiāng Xiàn</v>
      </c>
      <c r="N811" s="15" t="str">
        <f>VLOOKUP(I811,CHOOSE({1,2},Table17[Native],Table17[Name]),2,0)</f>
        <v>Déhóng Dăizú Jĭngpōzú Zìzhìzhōu</v>
      </c>
      <c r="O811" s="15" t="str">
        <f t="shared" si="24"/>
        <v>Nongzhang Zhen (Déhóng Dăizú Jĭngpōzú Zìzhìzhōu)</v>
      </c>
      <c r="P811" s="15" t="str">
        <f t="shared" si="25"/>
        <v>Nongzhang Zhen (Déhóng Dăizú Jĭngpōzú Zìzhìzhōu)</v>
      </c>
    </row>
    <row r="812" spans="1:16" hidden="1" x14ac:dyDescent="0.25">
      <c r="A812" t="s">
        <v>506</v>
      </c>
      <c r="B812" t="str">
        <f>IF(COUNTIF(A:A,A812)&gt;1,_xlfn.CONCAT(A812," (",N812,")"),A812)</f>
        <v>Nuòdèng Zhèn</v>
      </c>
      <c r="C812" t="str">
        <f>IF(COUNTIF(B:B,B812)&gt;1,_xlfn.CONCAT(A812," (",M812,")"),B812)</f>
        <v>Nuòdèng Zhèn</v>
      </c>
      <c r="D812" t="s">
        <v>507</v>
      </c>
      <c r="E812" t="s">
        <v>11</v>
      </c>
      <c r="F812" t="str">
        <f>_xlfn.CONCAT(D812,", ",H812,", ",I812,", ","云南省")</f>
        <v>诺邓镇, 云龙县, 大理白族自治州, 云南省</v>
      </c>
      <c r="G812">
        <v>26521</v>
      </c>
      <c r="H812" t="s">
        <v>2776</v>
      </c>
      <c r="I812" t="s">
        <v>2763</v>
      </c>
      <c r="J812">
        <f>VLOOKUP(F812,[1]!china_towns_second__2[[Column1]:[Y]],3,FALSE)</f>
        <v>25.921282743434499</v>
      </c>
      <c r="K812">
        <f>VLOOKUP(F812,[1]!china_towns_second__2[[Column1]:[Y]],2,FALSE)</f>
        <v>99.349449640000003</v>
      </c>
      <c r="L812" t="s">
        <v>4366</v>
      </c>
      <c r="M812" t="str">
        <f>VLOOKUP(H812,CHOOSE({1,2},Table17[Native],Table17[Name]),2,0)</f>
        <v>Yúnlóng Xiàn</v>
      </c>
      <c r="N812" s="15" t="str">
        <f>VLOOKUP(I812,CHOOSE({1,2},Table17[Native],Table17[Name]),2,0)</f>
        <v>Dàlĭ Báizú Zìzhìzhōu</v>
      </c>
      <c r="O812" s="15" t="str">
        <f t="shared" si="24"/>
        <v>Nuodeng Zhen (Dàlĭ Báizú Zìzhìzhōu)</v>
      </c>
      <c r="P812" s="15" t="str">
        <f t="shared" si="25"/>
        <v>Nuodeng Zhen (Dàlĭ Báizú Zìzhìzhōu)</v>
      </c>
    </row>
    <row r="813" spans="1:16" hidden="1" x14ac:dyDescent="0.25">
      <c r="A813" t="s">
        <v>1779</v>
      </c>
      <c r="B813" t="str">
        <f>IF(COUNTIF(A:A,A813)&gt;1,_xlfn.CONCAT(A813," (",N813,")"),A813)</f>
        <v>Nuòfú Xiāng</v>
      </c>
      <c r="C813" t="str">
        <f>IF(COUNTIF(B:B,B813)&gt;1,_xlfn.CONCAT(A813," (",M813,")"),B813)</f>
        <v>Nuòfú Xiāng</v>
      </c>
      <c r="D813" t="s">
        <v>1780</v>
      </c>
      <c r="E813" t="s">
        <v>7</v>
      </c>
      <c r="F813" t="str">
        <f>_xlfn.CONCAT(D813,", ",H813,", ",I813,", ","云南省")</f>
        <v>糯福乡, 澜沧拉祜族自治县, 普洱市, 云南省</v>
      </c>
      <c r="G813">
        <v>18529</v>
      </c>
      <c r="H813" t="s">
        <v>2852</v>
      </c>
      <c r="I813" t="s">
        <v>2848</v>
      </c>
      <c r="J813" t="e">
        <f>VLOOKUP(F813,[1]!china_towns_second__2[[Column1]:[Y]],3,FALSE)</f>
        <v>#N/A</v>
      </c>
      <c r="K813" t="e">
        <f>VLOOKUP(F813,[1]!china_towns_second__2[[Column1]:[Y]],2,FALSE)</f>
        <v>#N/A</v>
      </c>
      <c r="L813" t="s">
        <v>4367</v>
      </c>
      <c r="M813" t="str">
        <f>VLOOKUP(H813,CHOOSE({1,2},Table17[Native],Table17[Name]),2,0)</f>
        <v>Láncāng Lāhùzú Zìzhìxiàn</v>
      </c>
      <c r="N813" s="15" t="str">
        <f>VLOOKUP(I813,CHOOSE({1,2},Table17[Native],Table17[Name]),2,0)</f>
        <v>Pŭ'ĕr Shì</v>
      </c>
      <c r="O813" s="15" t="str">
        <f t="shared" si="24"/>
        <v>Nuofu Xiang (Pŭ'ĕr Shì)</v>
      </c>
      <c r="P813" s="15" t="str">
        <f t="shared" si="25"/>
        <v>Nuofu Xiang (Pŭ'ĕr Shì)</v>
      </c>
    </row>
    <row r="814" spans="1:16" hidden="1" x14ac:dyDescent="0.25">
      <c r="A814" t="s">
        <v>1551</v>
      </c>
      <c r="B814" t="str">
        <f>IF(COUNTIF(A:A,A814)&gt;1,_xlfn.CONCAT(A814," (",N814,")"),A814)</f>
        <v>Nuòliáng Xiāng</v>
      </c>
      <c r="C814" t="str">
        <f>IF(COUNTIF(B:B,B814)&gt;1,_xlfn.CONCAT(A814," (",M814,")"),B814)</f>
        <v>Nuòliáng Xiāng</v>
      </c>
      <c r="D814" t="s">
        <v>1552</v>
      </c>
      <c r="E814" t="s">
        <v>7</v>
      </c>
      <c r="F814" t="str">
        <f>_xlfn.CONCAT(D814,", ",H814,", ",I814,", ","云南省")</f>
        <v>糯良乡, 沧源佤族自治县, 临沧市, 云南省</v>
      </c>
      <c r="G814">
        <v>14665</v>
      </c>
      <c r="H814" t="s">
        <v>2832</v>
      </c>
      <c r="I814" t="s">
        <v>2831</v>
      </c>
      <c r="J814" t="e">
        <f>VLOOKUP(F814,[1]!china_towns_second__2[[Column1]:[Y]],3,FALSE)</f>
        <v>#N/A</v>
      </c>
      <c r="K814" t="e">
        <f>VLOOKUP(F814,[1]!china_towns_second__2[[Column1]:[Y]],2,FALSE)</f>
        <v>#N/A</v>
      </c>
      <c r="L814" t="s">
        <v>4368</v>
      </c>
      <c r="M814" t="str">
        <f>VLOOKUP(H814,CHOOSE({1,2},Table17[Native],Table17[Name]),2,0)</f>
        <v>Cāngyuán Wăzú Zìzhìxiàn</v>
      </c>
      <c r="N814" s="15" t="str">
        <f>VLOOKUP(I814,CHOOSE({1,2},Table17[Native],Table17[Name]),2,0)</f>
        <v>Líncāng Shì</v>
      </c>
      <c r="O814" s="15" t="str">
        <f t="shared" si="24"/>
        <v>Nuoliang Xiang (Líncāng Shì)</v>
      </c>
      <c r="P814" s="15" t="str">
        <f t="shared" si="25"/>
        <v>Nuoliang Xiang (Líncāng Shì)</v>
      </c>
    </row>
    <row r="815" spans="1:16" hidden="1" x14ac:dyDescent="0.25">
      <c r="A815" t="s">
        <v>1781</v>
      </c>
      <c r="B815" t="str">
        <f>IF(COUNTIF(A:A,A815)&gt;1,_xlfn.CONCAT(A815," (",N815,")"),A815)</f>
        <v>Nuòzhādù Zhèn</v>
      </c>
      <c r="C815" t="str">
        <f>IF(COUNTIF(B:B,B815)&gt;1,_xlfn.CONCAT(A815," (",M815,")"),B815)</f>
        <v>Nuòzhādù Zhèn</v>
      </c>
      <c r="D815" t="s">
        <v>1782</v>
      </c>
      <c r="E815" t="s">
        <v>11</v>
      </c>
      <c r="F815" t="str">
        <f>_xlfn.CONCAT(D815,", ",H815,", ",I815,", ","云南省")</f>
        <v>糯扎渡镇, 澜沧拉祜族自治县, 普洱市, 云南省</v>
      </c>
      <c r="G815">
        <v>29703</v>
      </c>
      <c r="H815" t="s">
        <v>2852</v>
      </c>
      <c r="I815" t="s">
        <v>2848</v>
      </c>
      <c r="J815">
        <f>VLOOKUP(F815,[1]!china_towns_second__2[[Column1]:[Y]],3,FALSE)</f>
        <v>22.545325832948599</v>
      </c>
      <c r="K815">
        <f>VLOOKUP(F815,[1]!china_towns_second__2[[Column1]:[Y]],2,FALSE)</f>
        <v>100.33073659999999</v>
      </c>
      <c r="L815" t="s">
        <v>4369</v>
      </c>
      <c r="M815" t="str">
        <f>VLOOKUP(H815,CHOOSE({1,2},Table17[Native],Table17[Name]),2,0)</f>
        <v>Láncāng Lāhùzú Zìzhìxiàn</v>
      </c>
      <c r="N815" s="15" t="str">
        <f>VLOOKUP(I815,CHOOSE({1,2},Table17[Native],Table17[Name]),2,0)</f>
        <v>Pŭ'ĕr Shì</v>
      </c>
      <c r="O815" s="15" t="str">
        <f t="shared" si="24"/>
        <v>Nuozhadu Zhen (Pŭ'ĕr Shì)</v>
      </c>
      <c r="P815" s="15" t="str">
        <f t="shared" si="25"/>
        <v>Nuozhadu Zhen (Pŭ'ĕr Shì)</v>
      </c>
    </row>
    <row r="816" spans="1:16" hidden="1" x14ac:dyDescent="0.25">
      <c r="A816" t="s">
        <v>2615</v>
      </c>
      <c r="B816" t="str">
        <f>IF(COUNTIF(A:A,A816)&gt;1,_xlfn.CONCAT(A816," (",N816,")"),A816)</f>
        <v>Pánhé Zhèn</v>
      </c>
      <c r="C816" t="str">
        <f>IF(COUNTIF(B:B,B816)&gt;1,_xlfn.CONCAT(A816," (",M816,")"),B816)</f>
        <v>Pánhé Zhèn</v>
      </c>
      <c r="D816" t="s">
        <v>2616</v>
      </c>
      <c r="E816" t="s">
        <v>11</v>
      </c>
      <c r="F816" t="str">
        <f>_xlfn.CONCAT(D816,", ",H816,", ",I816,", ","云南省")</f>
        <v>盘河镇, 昭阳区, 昭通市, 云南省</v>
      </c>
      <c r="G816">
        <v>19773</v>
      </c>
      <c r="H816" t="s">
        <v>2909</v>
      </c>
      <c r="I816" t="s">
        <v>2899</v>
      </c>
      <c r="J816">
        <f>VLOOKUP(F816,[1]!china_towns_second__2[[Column1]:[Y]],3,FALSE)</f>
        <v>27.548383258312299</v>
      </c>
      <c r="K816">
        <f>VLOOKUP(F816,[1]!china_towns_second__2[[Column1]:[Y]],2,FALSE)</f>
        <v>103.86458349999999</v>
      </c>
      <c r="L816" t="s">
        <v>4370</v>
      </c>
      <c r="M816" t="str">
        <f>VLOOKUP(H816,CHOOSE({1,2},Table17[Native],Table17[Name]),2,0)</f>
        <v>Zhāoyáng Qū</v>
      </c>
      <c r="N816" s="15" t="str">
        <f>VLOOKUP(I816,CHOOSE({1,2},Table17[Native],Table17[Name]),2,0)</f>
        <v>Zhāotōng Shì</v>
      </c>
      <c r="O816" s="15" t="str">
        <f t="shared" si="24"/>
        <v>Panhe Zhen (Zhāotōng Shì)</v>
      </c>
      <c r="P816" s="15" t="str">
        <f t="shared" si="25"/>
        <v>Panhe Zhen (Zhāotōng Shì)</v>
      </c>
    </row>
    <row r="817" spans="1:16" hidden="1" x14ac:dyDescent="0.25">
      <c r="A817" t="s">
        <v>929</v>
      </c>
      <c r="B817" t="str">
        <f>IF(COUNTIF(A:A,A817)&gt;1,_xlfn.CONCAT(A817," (",N817,")"),A817)</f>
        <v>Pánjiāng Xiāng</v>
      </c>
      <c r="C817" t="str">
        <f>IF(COUNTIF(B:B,B817)&gt;1,_xlfn.CONCAT(A817," (",M817,")"),B817)</f>
        <v>Pánjiāng Xiāng</v>
      </c>
      <c r="D817" t="s">
        <v>930</v>
      </c>
      <c r="E817" t="s">
        <v>7</v>
      </c>
      <c r="F817" t="str">
        <f>_xlfn.CONCAT(D817,", ",H817,", ",I817,", ","云南省")</f>
        <v>盘江乡, 建水县, 红河哈尼族彝族自治州, 云南省</v>
      </c>
      <c r="G817">
        <v>10457</v>
      </c>
      <c r="H817" t="s">
        <v>2796</v>
      </c>
      <c r="I817" t="s">
        <v>2792</v>
      </c>
      <c r="J817" t="e">
        <f>VLOOKUP(F817,[1]!china_towns_second__2[[Column1]:[Y]],3,FALSE)</f>
        <v>#N/A</v>
      </c>
      <c r="K817" t="e">
        <f>VLOOKUP(F817,[1]!china_towns_second__2[[Column1]:[Y]],2,FALSE)</f>
        <v>#N/A</v>
      </c>
      <c r="L817" t="s">
        <v>4371</v>
      </c>
      <c r="M817" t="str">
        <f>VLOOKUP(H817,CHOOSE({1,2},Table17[Native],Table17[Name]),2,0)</f>
        <v>Jiànshuĭ Xiàn</v>
      </c>
      <c r="N817" s="15" t="str">
        <f>VLOOKUP(I817,CHOOSE({1,2},Table17[Native],Table17[Name]),2,0)</f>
        <v>Hónghé Hānízú Yízú Zìzhìzhōu</v>
      </c>
      <c r="O817" s="15" t="str">
        <f t="shared" si="24"/>
        <v>Panjiang Xiang (Hónghé Hānízú Yízú Zìzhìzhōu)</v>
      </c>
      <c r="P817" s="15" t="str">
        <f t="shared" si="25"/>
        <v>Panjiang Xiang (Hónghé Hānízú Yízú Zìzhìzhōu)</v>
      </c>
    </row>
    <row r="818" spans="1:16" hidden="1" x14ac:dyDescent="0.25">
      <c r="A818" t="s">
        <v>1981</v>
      </c>
      <c r="B818" t="str">
        <f>IF(COUNTIF(A:A,A818)&gt;1,_xlfn.CONCAT(A818," (",N818,")"),A818)</f>
        <v>Pánjiāng Zhèn [incl. Huāshān Jiēdào]</v>
      </c>
      <c r="C818" t="str">
        <f>IF(COUNTIF(B:B,B818)&gt;1,_xlfn.CONCAT(A818," (",M818,")"),B818)</f>
        <v>Pánjiāng Zhèn [incl. Huāshān Jiēdào]</v>
      </c>
      <c r="D818" t="s">
        <v>1982</v>
      </c>
      <c r="E818" t="s">
        <v>11</v>
      </c>
      <c r="F818" t="str">
        <f>_xlfn.CONCAT(D818,", ",H818,", ",I818,", ","云南省")</f>
        <v>盘江镇, 沾益区, 曲靖市, 云南省</v>
      </c>
      <c r="G818">
        <v>76483</v>
      </c>
      <c r="H818" t="s">
        <v>2869</v>
      </c>
      <c r="I818" t="s">
        <v>2860</v>
      </c>
      <c r="J818">
        <f>VLOOKUP(F818,[1]!china_towns_second__2[[Column1]:[Y]],3,FALSE)</f>
        <v>25.762748208133299</v>
      </c>
      <c r="K818">
        <f>VLOOKUP(F818,[1]!china_towns_second__2[[Column1]:[Y]],2,FALSE)</f>
        <v>103.8603729</v>
      </c>
      <c r="L818" t="s">
        <v>4372</v>
      </c>
      <c r="M818" t="str">
        <f>VLOOKUP(H818,CHOOSE({1,2},Table17[Native],Table17[Name]),2,0)</f>
        <v>Zhānyì Qū</v>
      </c>
      <c r="N818" s="15" t="str">
        <f>VLOOKUP(I818,CHOOSE({1,2},Table17[Native],Table17[Name]),2,0)</f>
        <v>Qŭjìng Shì</v>
      </c>
      <c r="O818" s="15" t="str">
        <f t="shared" si="24"/>
        <v>Panjiang Zhen [incl. Huashan Jiedao] (Qŭjìng Shì)</v>
      </c>
      <c r="P818" s="15" t="str">
        <f t="shared" si="25"/>
        <v>Panjiang Zhen [incl. Huashan Jiedao] (Qŭjìng Shì)</v>
      </c>
    </row>
    <row r="819" spans="1:16" hidden="1" x14ac:dyDescent="0.25">
      <c r="A819" t="s">
        <v>2185</v>
      </c>
      <c r="B819" t="str">
        <f>IF(COUNTIF(A:A,A819)&gt;1,_xlfn.CONCAT(A819," (",N819,")"),A819)</f>
        <v>Pánlóng Yízú Xiāng</v>
      </c>
      <c r="C819" t="str">
        <f>IF(COUNTIF(B:B,B819)&gt;1,_xlfn.CONCAT(A819," (",M819,")"),B819)</f>
        <v>Pánlóng Yízú Xiāng</v>
      </c>
      <c r="D819" t="s">
        <v>2186</v>
      </c>
      <c r="E819" t="s">
        <v>7</v>
      </c>
      <c r="F819" t="str">
        <f>_xlfn.CONCAT(D819,", ",H819,", ",I819,", ","云南省")</f>
        <v>盘龙彝族乡, 砚山县, 文山壮族苗族自治州, 云南省</v>
      </c>
      <c r="G819">
        <v>30076</v>
      </c>
      <c r="H819" t="s">
        <v>2880</v>
      </c>
      <c r="I819" t="s">
        <v>2872</v>
      </c>
      <c r="J819" t="e">
        <f>VLOOKUP(F819,[1]!china_towns_second__2[[Column1]:[Y]],3,FALSE)</f>
        <v>#N/A</v>
      </c>
      <c r="K819" t="e">
        <f>VLOOKUP(F819,[1]!china_towns_second__2[[Column1]:[Y]],2,FALSE)</f>
        <v>#N/A</v>
      </c>
      <c r="L819" t="s">
        <v>4373</v>
      </c>
      <c r="M819" t="str">
        <f>VLOOKUP(H819,CHOOSE({1,2},Table17[Native],Table17[Name]),2,0)</f>
        <v>Yànshān Xiàn</v>
      </c>
      <c r="N819" s="15" t="str">
        <f>VLOOKUP(I819,CHOOSE({1,2},Table17[Native],Table17[Name]),2,0)</f>
        <v>Wénshān Zhuàngzú Miáozú Zìzhìzhōu</v>
      </c>
      <c r="O819" s="15" t="str">
        <f t="shared" si="24"/>
        <v>Panlong Yizu Xiang (Wénshān Zhuàngzú Miáozú Zìzhìzhōu)</v>
      </c>
      <c r="P819" s="15" t="str">
        <f t="shared" si="25"/>
        <v>Panlong Yizu Xiang (Wénshān Zhuàngzú Miáozú Zìzhìzhōu)</v>
      </c>
    </row>
    <row r="820" spans="1:16" hidden="1" x14ac:dyDescent="0.25">
      <c r="A820" t="s">
        <v>277</v>
      </c>
      <c r="B820" t="str">
        <f>IF(COUNTIF(A:A,A820)&gt;1,_xlfn.CONCAT(A820," (",N820,")"),A820)</f>
        <v>Pánmāo Xiāng</v>
      </c>
      <c r="C820" t="str">
        <f>IF(COUNTIF(B:B,B820)&gt;1,_xlfn.CONCAT(A820," (",M820,")"),B820)</f>
        <v>Pánmāo Xiāng</v>
      </c>
      <c r="D820" t="s">
        <v>278</v>
      </c>
      <c r="E820" t="s">
        <v>7</v>
      </c>
      <c r="F820" t="str">
        <f>_xlfn.CONCAT(D820,", ",H820,", ",I820,", ","云南省")</f>
        <v>蟠猫乡, 牟定县, 楚雄彝族自治州, 云南省</v>
      </c>
      <c r="G820">
        <v>11756</v>
      </c>
      <c r="H820" t="s">
        <v>2754</v>
      </c>
      <c r="I820" t="s">
        <v>2750</v>
      </c>
      <c r="J820" t="e">
        <f>VLOOKUP(F820,[1]!china_towns_second__2[[Column1]:[Y]],3,FALSE)</f>
        <v>#N/A</v>
      </c>
      <c r="K820" t="e">
        <f>VLOOKUP(F820,[1]!china_towns_second__2[[Column1]:[Y]],2,FALSE)</f>
        <v>#N/A</v>
      </c>
      <c r="L820" t="s">
        <v>4374</v>
      </c>
      <c r="M820" t="str">
        <f>VLOOKUP(H820,CHOOSE({1,2},Table17[Native],Table17[Name]),2,0)</f>
        <v>Móudìng Xiàn</v>
      </c>
      <c r="N820" s="15" t="str">
        <f>VLOOKUP(I820,CHOOSE({1,2},Table17[Native],Table17[Name]),2,0)</f>
        <v>Chŭxióng Yízú Zìzhìzhōu</v>
      </c>
      <c r="O820" s="15" t="str">
        <f t="shared" si="24"/>
        <v>Panmao Xiang (Chŭxióng Yízú Zìzhìzhōu)</v>
      </c>
      <c r="P820" s="15" t="str">
        <f t="shared" si="25"/>
        <v>Panmao Xiang (Chŭxióng Yízú Zìzhìzhōu)</v>
      </c>
    </row>
    <row r="821" spans="1:16" hidden="1" x14ac:dyDescent="0.25">
      <c r="A821" t="s">
        <v>736</v>
      </c>
      <c r="B821" t="str">
        <f>IF(COUNTIF(A:A,A821)&gt;1,_xlfn.CONCAT(A821," (",N821,")"),A821)</f>
        <v>Pāntiāngé Xiāng</v>
      </c>
      <c r="C821" t="str">
        <f>IF(COUNTIF(B:B,B821)&gt;1,_xlfn.CONCAT(A821," (",M821,")"),B821)</f>
        <v>Pāntiāngé Xiāng</v>
      </c>
      <c r="D821" t="s">
        <v>737</v>
      </c>
      <c r="E821" t="s">
        <v>7</v>
      </c>
      <c r="F821" t="str">
        <f>_xlfn.CONCAT(D821,", ",H821,", ",I821,", ","云南省")</f>
        <v>攀天阁乡, 维西傈僳族自治县, 迪庆藏族自治州, 云南省</v>
      </c>
      <c r="G821">
        <v>15765</v>
      </c>
      <c r="H821" t="s">
        <v>2788</v>
      </c>
      <c r="I821" t="s">
        <v>2786</v>
      </c>
      <c r="J821" t="e">
        <f>VLOOKUP(F821,[1]!china_towns_second__2[[Column1]:[Y]],3,FALSE)</f>
        <v>#N/A</v>
      </c>
      <c r="K821" t="e">
        <f>VLOOKUP(F821,[1]!china_towns_second__2[[Column1]:[Y]],2,FALSE)</f>
        <v>#N/A</v>
      </c>
      <c r="L821" t="s">
        <v>4375</v>
      </c>
      <c r="M821" t="str">
        <f>VLOOKUP(H821,CHOOSE({1,2},Table17[Native],Table17[Name]),2,0)</f>
        <v>Wéixī Lìsùzú Zìzhìxiàn</v>
      </c>
      <c r="N821" s="15" t="str">
        <f>VLOOKUP(I821,CHOOSE({1,2},Table17[Native],Table17[Name]),2,0)</f>
        <v>Díqìng Zàngzú Zìzhìzhōu</v>
      </c>
      <c r="O821" s="15" t="str">
        <f t="shared" si="24"/>
        <v>Pantiange Xiang (Díqìng Zàngzú Zìzhìzhōu)</v>
      </c>
      <c r="P821" s="15" t="str">
        <f t="shared" si="25"/>
        <v>Pantiange Xiang (Díqìng Zàngzú Zìzhìzhōu)</v>
      </c>
    </row>
    <row r="822" spans="1:16" hidden="1" x14ac:dyDescent="0.25">
      <c r="A822" t="s">
        <v>2408</v>
      </c>
      <c r="B822" t="str">
        <f>IF(COUNTIF(A:A,A822)&gt;1,_xlfn.CONCAT(A822," (",N822,")"),A822)</f>
        <v>Pánxī Zhèn</v>
      </c>
      <c r="C822" t="str">
        <f>IF(COUNTIF(B:B,B822)&gt;1,_xlfn.CONCAT(A822," (",M822,")"),B822)</f>
        <v>Pánxī Zhèn</v>
      </c>
      <c r="D822" t="s">
        <v>2409</v>
      </c>
      <c r="E822" t="s">
        <v>11</v>
      </c>
      <c r="F822" t="str">
        <f>_xlfn.CONCAT(D822,", ",H822,", ",I822,", ","云南省")</f>
        <v>盘溪镇, 华宁县, 玉溪市, 云南省</v>
      </c>
      <c r="G822">
        <v>53677</v>
      </c>
      <c r="H822" t="s">
        <v>2892</v>
      </c>
      <c r="I822" t="s">
        <v>2888</v>
      </c>
      <c r="J822">
        <f>VLOOKUP(F822,[1]!china_towns_second__2[[Column1]:[Y]],3,FALSE)</f>
        <v>24.209367611427599</v>
      </c>
      <c r="K822">
        <f>VLOOKUP(F822,[1]!china_towns_second__2[[Column1]:[Y]],2,FALSE)</f>
        <v>103.0822447</v>
      </c>
      <c r="L822" t="s">
        <v>4376</v>
      </c>
      <c r="M822" t="str">
        <f>VLOOKUP(H822,CHOOSE({1,2},Table17[Native],Table17[Name]),2,0)</f>
        <v>Huáníng Xiàn</v>
      </c>
      <c r="N822" s="15" t="str">
        <f>VLOOKUP(I822,CHOOSE({1,2},Table17[Native],Table17[Name]),2,0)</f>
        <v>Yùxī Shì</v>
      </c>
      <c r="O822" s="15" t="str">
        <f t="shared" si="24"/>
        <v>Panxi Zhen (Yùxī Shì)</v>
      </c>
      <c r="P822" s="15" t="str">
        <f t="shared" si="25"/>
        <v>Panxi Zhen (Yùxī Shì)</v>
      </c>
    </row>
    <row r="823" spans="1:16" hidden="1" x14ac:dyDescent="0.25">
      <c r="A823" t="s">
        <v>931</v>
      </c>
      <c r="B823" t="str">
        <f>IF(COUNTIF(A:A,A823)&gt;1,_xlfn.CONCAT(A823," (",N823,")"),A823)</f>
        <v>Pānzhīhuā Xiāng</v>
      </c>
      <c r="C823" t="str">
        <f>IF(COUNTIF(B:B,B823)&gt;1,_xlfn.CONCAT(A823," (",M823,")"),B823)</f>
        <v>Pānzhīhuā Xiāng</v>
      </c>
      <c r="D823" t="s">
        <v>932</v>
      </c>
      <c r="E823" t="s">
        <v>7</v>
      </c>
      <c r="F823" t="str">
        <f>_xlfn.CONCAT(D823,", ",H823,", ",I823,", ","云南省")</f>
        <v>攀枝花乡, 元阳县, 红河哈尼族彝族自治州, 云南省</v>
      </c>
      <c r="G823">
        <v>17089</v>
      </c>
      <c r="H823" t="s">
        <v>2805</v>
      </c>
      <c r="I823" t="s">
        <v>2792</v>
      </c>
      <c r="J823" t="e">
        <f>VLOOKUP(F823,[1]!china_towns_second__2[[Column1]:[Y]],3,FALSE)</f>
        <v>#N/A</v>
      </c>
      <c r="K823" t="e">
        <f>VLOOKUP(F823,[1]!china_towns_second__2[[Column1]:[Y]],2,FALSE)</f>
        <v>#N/A</v>
      </c>
      <c r="L823" t="s">
        <v>4377</v>
      </c>
      <c r="M823" t="str">
        <f>VLOOKUP(H823,CHOOSE({1,2},Table17[Native],Table17[Name]),2,0)</f>
        <v>Yuányáng Xiàn</v>
      </c>
      <c r="N823" s="15" t="str">
        <f>VLOOKUP(I823,CHOOSE({1,2},Table17[Native],Table17[Name]),2,0)</f>
        <v>Hónghé Hānízú Yízú Zìzhìzhōu</v>
      </c>
      <c r="O823" s="15" t="str">
        <f t="shared" si="24"/>
        <v>Panzhihua Xiang (Hónghé Hānízú Yízú Zìzhìzhōu)</v>
      </c>
      <c r="P823" s="15" t="str">
        <f t="shared" si="25"/>
        <v>Panzhihua Xiang (Hónghé Hānízú Yízú Zìzhìzhōu)</v>
      </c>
    </row>
    <row r="824" spans="1:16" hidden="1" x14ac:dyDescent="0.25">
      <c r="A824" t="s">
        <v>1371</v>
      </c>
      <c r="B824" t="str">
        <f>IF(COUNTIF(A:A,A824)&gt;1,_xlfn.CONCAT(A824," (",N824,")"),A824)</f>
        <v>Păomăpíng Xiāng</v>
      </c>
      <c r="C824" t="str">
        <f>IF(COUNTIF(B:B,B824)&gt;1,_xlfn.CONCAT(A824," (",M824,")"),B824)</f>
        <v>Păomăpíng Xiāng</v>
      </c>
      <c r="D824" t="s">
        <v>1372</v>
      </c>
      <c r="E824" t="s">
        <v>7</v>
      </c>
      <c r="F824" t="str">
        <f>_xlfn.CONCAT(D824,", ",H824,", ",I824,", ","云南省")</f>
        <v>跑马坪乡, 宁蒗彝族自治县, 丽江市, 云南省</v>
      </c>
      <c r="G824">
        <v>10992</v>
      </c>
      <c r="H824" t="s">
        <v>2827</v>
      </c>
      <c r="I824" t="s">
        <v>2823</v>
      </c>
      <c r="J824" t="e">
        <f>VLOOKUP(F824,[1]!china_towns_second__2[[Column1]:[Y]],3,FALSE)</f>
        <v>#N/A</v>
      </c>
      <c r="K824" t="e">
        <f>VLOOKUP(F824,[1]!china_towns_second__2[[Column1]:[Y]],2,FALSE)</f>
        <v>#N/A</v>
      </c>
      <c r="L824" t="s">
        <v>4378</v>
      </c>
      <c r="M824" t="str">
        <f>VLOOKUP(H824,CHOOSE({1,2},Table17[Native],Table17[Name]),2,0)</f>
        <v>Nínglàng Yízú Zìzhìxiàn</v>
      </c>
      <c r="N824" s="15" t="str">
        <f>VLOOKUP(I824,CHOOSE({1,2},Table17[Native],Table17[Name]),2,0)</f>
        <v>Lìjiāng Shì</v>
      </c>
      <c r="O824" s="15" t="str">
        <f t="shared" si="24"/>
        <v>Paomaping Xiang (Lìjiāng Shì)</v>
      </c>
      <c r="P824" s="15" t="str">
        <f t="shared" si="25"/>
        <v>Paomaping Xiang (Lìjiāng Shì)</v>
      </c>
    </row>
    <row r="825" spans="1:16" hidden="1" x14ac:dyDescent="0.25">
      <c r="A825" t="s">
        <v>1625</v>
      </c>
      <c r="B825" t="str">
        <f>IF(COUNTIF(A:A,A825)&gt;1,_xlfn.CONCAT(A825," (",N825,")"),A825)</f>
        <v>Pĕngdāng Xiāng</v>
      </c>
      <c r="C825" t="str">
        <f>IF(COUNTIF(B:B,B825)&gt;1,_xlfn.CONCAT(A825," (",M825,")"),B825)</f>
        <v>Pĕngdāng Xiāng</v>
      </c>
      <c r="D825" t="s">
        <v>1626</v>
      </c>
      <c r="E825" t="s">
        <v>7</v>
      </c>
      <c r="F825" t="str">
        <f>_xlfn.CONCAT(D825,", ",H825,", ",I825,", ","云南省")</f>
        <v>捧当乡, 贡山独龙族怒族自治县, 怒江傈僳族自治州, 云南省</v>
      </c>
      <c r="G825">
        <v>6085</v>
      </c>
      <c r="H825" t="s">
        <v>2844</v>
      </c>
      <c r="I825" t="s">
        <v>2842</v>
      </c>
      <c r="J825" t="e">
        <f>VLOOKUP(F825,[1]!china_towns_second__2[[Column1]:[Y]],3,FALSE)</f>
        <v>#N/A</v>
      </c>
      <c r="K825" t="e">
        <f>VLOOKUP(F825,[1]!china_towns_second__2[[Column1]:[Y]],2,FALSE)</f>
        <v>#N/A</v>
      </c>
      <c r="L825" t="s">
        <v>4379</v>
      </c>
      <c r="M825" t="str">
        <f>VLOOKUP(H825,CHOOSE({1,2},Table17[Native],Table17[Name]),2,0)</f>
        <v>Gòngshān Dúlóngzú Nùzú Zìzhìxiàn</v>
      </c>
      <c r="N825" s="15" t="str">
        <f>VLOOKUP(I825,CHOOSE({1,2},Table17[Native],Table17[Name]),2,0)</f>
        <v>Nùjiāng Lìsùzú Zìzhìzhōu</v>
      </c>
      <c r="O825" s="15" t="str">
        <f t="shared" si="24"/>
        <v>Pengdang Xiang (Nùjiāng Lìsùzú Zìzhìzhōu)</v>
      </c>
      <c r="P825" s="15" t="str">
        <f t="shared" si="25"/>
        <v>Pengdang Xiang (Nùjiāng Lìsùzú Zìzhìzhōu)</v>
      </c>
    </row>
    <row r="826" spans="1:16" hidden="1" x14ac:dyDescent="0.25">
      <c r="A826" t="s">
        <v>933</v>
      </c>
      <c r="B826" t="str">
        <f>IF(COUNTIF(A:A,A826)&gt;1,_xlfn.CONCAT(A826," (",N826,")"),A826)</f>
        <v>Péngpŭ Zhèn</v>
      </c>
      <c r="C826" t="str">
        <f>IF(COUNTIF(B:B,B826)&gt;1,_xlfn.CONCAT(A826," (",M826,")"),B826)</f>
        <v>Péngpŭ Zhèn</v>
      </c>
      <c r="D826" t="s">
        <v>934</v>
      </c>
      <c r="E826" t="s">
        <v>11</v>
      </c>
      <c r="F826" t="str">
        <f>_xlfn.CONCAT(D826,", ",H826,", ",I826,", ","云南省")</f>
        <v>朋普镇, 弥勒市, 红河哈尼族彝族自治州, 云南省</v>
      </c>
      <c r="G826">
        <v>47964</v>
      </c>
      <c r="H826" t="s">
        <v>2802</v>
      </c>
      <c r="I826" t="s">
        <v>2792</v>
      </c>
      <c r="J826">
        <f>VLOOKUP(F826,[1]!china_towns_second__2[[Column1]:[Y]],3,FALSE)</f>
        <v>23.934967899330001</v>
      </c>
      <c r="K826">
        <f>VLOOKUP(F826,[1]!china_towns_second__2[[Column1]:[Y]],2,FALSE)</f>
        <v>103.39871340000001</v>
      </c>
      <c r="L826" t="s">
        <v>4380</v>
      </c>
      <c r="M826" t="str">
        <f>VLOOKUP(H826,CHOOSE({1,2},Table17[Native],Table17[Name]),2,0)</f>
        <v>Mílè Shì</v>
      </c>
      <c r="N826" s="15" t="str">
        <f>VLOOKUP(I826,CHOOSE({1,2},Table17[Native],Table17[Name]),2,0)</f>
        <v>Hónghé Hānízú Yízú Zìzhìzhōu</v>
      </c>
      <c r="O826" s="15" t="str">
        <f t="shared" si="24"/>
        <v>Pengpu Zhen (Hónghé Hānízú Yízú Zìzhìzhōu)</v>
      </c>
      <c r="P826" s="15" t="str">
        <f t="shared" si="25"/>
        <v>Pengpu Zhen (Hónghé Hānízú Yízú Zìzhìzhōu)</v>
      </c>
    </row>
    <row r="827" spans="1:16" hidden="1" x14ac:dyDescent="0.25">
      <c r="A827" t="s">
        <v>1373</v>
      </c>
      <c r="B827" t="str">
        <f>IF(COUNTIF(A:A,A827)&gt;1,_xlfn.CONCAT(A827," (",N827,")"),A827)</f>
        <v>Piànjiăo Zhèn</v>
      </c>
      <c r="C827" t="str">
        <f>IF(COUNTIF(B:B,B827)&gt;1,_xlfn.CONCAT(A827," (",M827,")"),B827)</f>
        <v>Piànjiăo Zhèn</v>
      </c>
      <c r="D827" t="s">
        <v>1374</v>
      </c>
      <c r="E827" t="s">
        <v>11</v>
      </c>
      <c r="F827" t="str">
        <f>_xlfn.CONCAT(D827,", ",H827,", ",I827,", ","云南省")</f>
        <v>片角镇, 永胜县, 丽江市, 云南省</v>
      </c>
      <c r="G827">
        <v>24575</v>
      </c>
      <c r="H827" t="s">
        <v>2828</v>
      </c>
      <c r="I827" t="s">
        <v>2823</v>
      </c>
      <c r="J827">
        <f>VLOOKUP(F827,[1]!china_towns_second__2[[Column1]:[Y]],3,FALSE)</f>
        <v>26.103627186195499</v>
      </c>
      <c r="K827">
        <f>VLOOKUP(F827,[1]!china_towns_second__2[[Column1]:[Y]],2,FALSE)</f>
        <v>100.58498</v>
      </c>
      <c r="L827" t="s">
        <v>4381</v>
      </c>
      <c r="M827" t="str">
        <f>VLOOKUP(H827,CHOOSE({1,2},Table17[Native],Table17[Name]),2,0)</f>
        <v>Yŏngshèng Xiàn</v>
      </c>
      <c r="N827" s="15" t="str">
        <f>VLOOKUP(I827,CHOOSE({1,2},Table17[Native],Table17[Name]),2,0)</f>
        <v>Lìjiāng Shì</v>
      </c>
      <c r="O827" s="15" t="str">
        <f t="shared" si="24"/>
        <v>Pianjiao Zhen (Lìjiāng Shì)</v>
      </c>
      <c r="P827" s="15" t="str">
        <f t="shared" si="25"/>
        <v>Pianjiao Zhen (Lìjiāng Shì)</v>
      </c>
    </row>
    <row r="828" spans="1:16" hidden="1" x14ac:dyDescent="0.25">
      <c r="A828" t="s">
        <v>1627</v>
      </c>
      <c r="B828" t="str">
        <f>IF(COUNTIF(A:A,A828)&gt;1,_xlfn.CONCAT(A828," (",N828,")"),A828)</f>
        <v>Piànmă Zhèn</v>
      </c>
      <c r="C828" t="str">
        <f>IF(COUNTIF(B:B,B828)&gt;1,_xlfn.CONCAT(A828," (",M828,")"),B828)</f>
        <v>Piànmă Zhèn</v>
      </c>
      <c r="D828" t="s">
        <v>1628</v>
      </c>
      <c r="E828" t="s">
        <v>11</v>
      </c>
      <c r="F828" t="str">
        <f>_xlfn.CONCAT(D828,", ",H828,", ",I828,", ","云南省")</f>
        <v>片马镇, 泸水市, 怒江傈僳族自治州, 云南省</v>
      </c>
      <c r="G828">
        <v>3246</v>
      </c>
      <c r="H828" t="s">
        <v>2846</v>
      </c>
      <c r="I828" t="s">
        <v>2842</v>
      </c>
      <c r="J828">
        <f>VLOOKUP(F828,[1]!china_towns_second__2[[Column1]:[Y]],3,FALSE)</f>
        <v>26.051202153907902</v>
      </c>
      <c r="K828">
        <f>VLOOKUP(F828,[1]!china_towns_second__2[[Column1]:[Y]],2,FALSE)</f>
        <v>98.638652660000005</v>
      </c>
      <c r="L828" t="s">
        <v>4382</v>
      </c>
      <c r="M828" t="str">
        <f>VLOOKUP(H828,CHOOSE({1,2},Table17[Native],Table17[Name]),2,0)</f>
        <v>Lúshuĭ Shì</v>
      </c>
      <c r="N828" s="15" t="str">
        <f>VLOOKUP(I828,CHOOSE({1,2},Table17[Native],Table17[Name]),2,0)</f>
        <v>Nùjiāng Lìsùzú Zìzhìzhōu</v>
      </c>
      <c r="O828" s="15" t="str">
        <f t="shared" si="24"/>
        <v>Pianma Zhen (Nùjiāng Lìsùzú Zìzhìzhōu)</v>
      </c>
      <c r="P828" s="15" t="str">
        <f t="shared" si="25"/>
        <v>Pianma Zhen (Nùjiāng Lìsùzú Zìzhìzhōu)</v>
      </c>
    </row>
    <row r="829" spans="1:16" hidden="1" x14ac:dyDescent="0.25">
      <c r="A829" t="s">
        <v>1629</v>
      </c>
      <c r="B829" t="str">
        <f>IF(COUNTIF(A:A,A829)&gt;1,_xlfn.CONCAT(A829," (",N829,")"),A829)</f>
        <v>Pĭhé Nùzú Xiāng</v>
      </c>
      <c r="C829" t="str">
        <f>IF(COUNTIF(B:B,B829)&gt;1,_xlfn.CONCAT(A829," (",M829,")"),B829)</f>
        <v>Pĭhé Nùzú Xiāng</v>
      </c>
      <c r="D829" t="s">
        <v>1630</v>
      </c>
      <c r="E829" t="s">
        <v>7</v>
      </c>
      <c r="F829" t="str">
        <f>_xlfn.CONCAT(D829,", ",H829,", ",I829,", ","云南省")</f>
        <v>匹河怒族乡, 福贡县, 怒江傈僳族自治州, 云南省</v>
      </c>
      <c r="G829">
        <v>10434</v>
      </c>
      <c r="H829" t="s">
        <v>2843</v>
      </c>
      <c r="I829" t="s">
        <v>2842</v>
      </c>
      <c r="J829" t="e">
        <f>VLOOKUP(F829,[1]!china_towns_second__2[[Column1]:[Y]],3,FALSE)</f>
        <v>#N/A</v>
      </c>
      <c r="K829" t="e">
        <f>VLOOKUP(F829,[1]!china_towns_second__2[[Column1]:[Y]],2,FALSE)</f>
        <v>#N/A</v>
      </c>
      <c r="L829" t="s">
        <v>4383</v>
      </c>
      <c r="M829" t="str">
        <f>VLOOKUP(H829,CHOOSE({1,2},Table17[Native],Table17[Name]),2,0)</f>
        <v>Fúgòng Xiàn</v>
      </c>
      <c r="N829" s="15" t="str">
        <f>VLOOKUP(I829,CHOOSE({1,2},Table17[Native],Table17[Name]),2,0)</f>
        <v>Nùjiāng Lìsùzú Zìzhìzhōu</v>
      </c>
      <c r="O829" s="15" t="str">
        <f t="shared" si="24"/>
        <v>Pihe Nuzu Xiang (Nùjiāng Lìsùzú Zìzhìzhōu)</v>
      </c>
      <c r="P829" s="15" t="str">
        <f t="shared" si="25"/>
        <v>Pihe Nuzu Xiang (Nùjiāng Lìsùzú Zìzhìzhōu)</v>
      </c>
    </row>
    <row r="830" spans="1:16" hidden="1" x14ac:dyDescent="0.25">
      <c r="A830" t="s">
        <v>2187</v>
      </c>
      <c r="B830" t="str">
        <f>IF(COUNTIF(A:A,A830)&gt;1,_xlfn.CONCAT(A830," (",N830,")"),A830)</f>
        <v>Píngbà Zhèn</v>
      </c>
      <c r="C830" t="str">
        <f>IF(COUNTIF(B:B,B830)&gt;1,_xlfn.CONCAT(A830," (",M830,")"),B830)</f>
        <v>Píngbà Zhèn</v>
      </c>
      <c r="D830" t="s">
        <v>2188</v>
      </c>
      <c r="E830" t="s">
        <v>11</v>
      </c>
      <c r="F830" t="str">
        <f>_xlfn.CONCAT(D830,", ",H830,", ",I830,", ","云南省")</f>
        <v>平坝镇, 文山市, 文山壮族苗族自治州, 云南省</v>
      </c>
      <c r="G830">
        <v>31128</v>
      </c>
      <c r="H830" t="s">
        <v>2878</v>
      </c>
      <c r="I830" t="s">
        <v>2872</v>
      </c>
      <c r="J830">
        <f>VLOOKUP(F830,[1]!china_towns_second__2[[Column1]:[Y]],3,FALSE)</f>
        <v>23.2267290145438</v>
      </c>
      <c r="K830">
        <f>VLOOKUP(F830,[1]!china_towns_second__2[[Column1]:[Y]],2,FALSE)</f>
        <v>104.12021849999999</v>
      </c>
      <c r="L830" t="s">
        <v>4384</v>
      </c>
      <c r="M830" t="str">
        <f>VLOOKUP(H830,CHOOSE({1,2},Table17[Native],Table17[Name]),2,0)</f>
        <v>Wénshān Shì</v>
      </c>
      <c r="N830" s="15" t="str">
        <f>VLOOKUP(I830,CHOOSE({1,2},Table17[Native],Table17[Name]),2,0)</f>
        <v>Wénshān Zhuàngzú Miáozú Zìzhìzhōu</v>
      </c>
      <c r="O830" s="15" t="str">
        <f t="shared" si="24"/>
        <v>Pingba Zhen (Wénshān Zhuàngzú Miáozú Zìzhìzhōu)</v>
      </c>
      <c r="P830" s="15" t="str">
        <f t="shared" si="25"/>
        <v>Pingba Zhen (Wénshān Zhuàngzú Miáozú Zìzhìzhōu)</v>
      </c>
    </row>
    <row r="831" spans="1:16" hidden="1" x14ac:dyDescent="0.25">
      <c r="A831" t="s">
        <v>508</v>
      </c>
      <c r="B831" t="str">
        <f>IF(COUNTIF(A:A,A831)&gt;1,_xlfn.CONCAT(A831," (",N831,")"),A831)</f>
        <v>Píngchuān Zhèn</v>
      </c>
      <c r="C831" t="str">
        <f>IF(COUNTIF(B:B,B831)&gt;1,_xlfn.CONCAT(A831," (",M831,")"),B831)</f>
        <v>Píngchuān Zhèn</v>
      </c>
      <c r="D831" t="s">
        <v>509</v>
      </c>
      <c r="E831" t="s">
        <v>11</v>
      </c>
      <c r="F831" t="str">
        <f>_xlfn.CONCAT(D831,", ",H831,", ",I831,", ","云南省")</f>
        <v>平川镇, 宾川县, 大理白族自治州, 云南省</v>
      </c>
      <c r="G831">
        <v>35135</v>
      </c>
      <c r="H831" t="s">
        <v>2764</v>
      </c>
      <c r="I831" t="s">
        <v>2763</v>
      </c>
      <c r="J831">
        <f>VLOOKUP(F831,[1]!china_towns_second__2[[Column1]:[Y]],3,FALSE)</f>
        <v>25.9938780466838</v>
      </c>
      <c r="K831">
        <f>VLOOKUP(F831,[1]!china_towns_second__2[[Column1]:[Y]],2,FALSE)</f>
        <v>100.78626370000001</v>
      </c>
      <c r="L831" t="s">
        <v>4385</v>
      </c>
      <c r="M831" t="str">
        <f>VLOOKUP(H831,CHOOSE({1,2},Table17[Native],Table17[Name]),2,0)</f>
        <v>Bīnchuān Xiàn</v>
      </c>
      <c r="N831" s="15" t="str">
        <f>VLOOKUP(I831,CHOOSE({1,2},Table17[Native],Table17[Name]),2,0)</f>
        <v>Dàlĭ Báizú Zìzhìzhōu</v>
      </c>
      <c r="O831" s="15" t="str">
        <f t="shared" si="24"/>
        <v>Pingchuan Zhen (Dàlĭ Báizú Zìzhìzhōu)</v>
      </c>
      <c r="P831" s="15" t="str">
        <f t="shared" si="25"/>
        <v>Pingchuan Zhen (Dàlĭ Báizú Zìzhìzhōu)</v>
      </c>
    </row>
    <row r="832" spans="1:16" hidden="1" x14ac:dyDescent="0.25">
      <c r="A832" t="s">
        <v>1553</v>
      </c>
      <c r="B832" t="str">
        <f>IF(COUNTIF(A:A,A832)&gt;1,_xlfn.CONCAT(A832," (",N832,")"),A832)</f>
        <v>Píngcūn Yízú Dǎizú Xiāng</v>
      </c>
      <c r="C832" t="str">
        <f>IF(COUNTIF(B:B,B832)&gt;1,_xlfn.CONCAT(A832," (",M832,")"),B832)</f>
        <v>Píngcūn Yízú Dǎizú Xiāng</v>
      </c>
      <c r="D832" t="s">
        <v>1554</v>
      </c>
      <c r="E832" t="s">
        <v>7</v>
      </c>
      <c r="F832" t="str">
        <f>_xlfn.CONCAT(D832,", ",H832,", ",I832,", ","云南省")</f>
        <v>平村彝族傣族乡, 临翔区, 临沧市, 云南省</v>
      </c>
      <c r="G832">
        <v>8701</v>
      </c>
      <c r="H832" t="s">
        <v>2835</v>
      </c>
      <c r="I832" t="s">
        <v>2831</v>
      </c>
      <c r="J832" t="e">
        <f>VLOOKUP(F832,[1]!china_towns_second__2[[Column1]:[Y]],3,FALSE)</f>
        <v>#N/A</v>
      </c>
      <c r="K832" t="e">
        <f>VLOOKUP(F832,[1]!china_towns_second__2[[Column1]:[Y]],2,FALSE)</f>
        <v>#N/A</v>
      </c>
      <c r="L832" t="s">
        <v>4386</v>
      </c>
      <c r="M832" t="str">
        <f>VLOOKUP(H832,CHOOSE({1,2},Table17[Native],Table17[Name]),2,0)</f>
        <v>Línxiáng Qū</v>
      </c>
      <c r="N832" s="15" t="str">
        <f>VLOOKUP(I832,CHOOSE({1,2},Table17[Native],Table17[Name]),2,0)</f>
        <v>Líncāng Shì</v>
      </c>
      <c r="O832" s="15" t="str">
        <f t="shared" si="24"/>
        <v>Pingcun Yizu Daizu Xiang (Líncāng Shì)</v>
      </c>
      <c r="P832" s="15" t="str">
        <f t="shared" si="25"/>
        <v>Pingcun Yizu Daizu Xiang (Líncāng Shì)</v>
      </c>
    </row>
    <row r="833" spans="1:16" hidden="1" x14ac:dyDescent="0.25">
      <c r="A833" t="s">
        <v>93</v>
      </c>
      <c r="B833" t="str">
        <f>IF(COUNTIF(A:A,A833)&gt;1,_xlfn.CONCAT(A833," (",N833,")"),A833)</f>
        <v>Píngdá Xiāng</v>
      </c>
      <c r="C833" t="str">
        <f>IF(COUNTIF(B:B,B833)&gt;1,_xlfn.CONCAT(A833," (",M833,")"),B833)</f>
        <v>Píngdá Xiāng</v>
      </c>
      <c r="D833" t="s">
        <v>94</v>
      </c>
      <c r="E833" t="s">
        <v>7</v>
      </c>
      <c r="F833" t="str">
        <f>_xlfn.CONCAT(D833,", ",H833,", ",I833,", ","云南省")</f>
        <v>平达乡, 龙陵县, 保山市, 云南省</v>
      </c>
      <c r="G833">
        <v>23983</v>
      </c>
      <c r="H833" t="s">
        <v>2742</v>
      </c>
      <c r="I833" t="s">
        <v>2739</v>
      </c>
      <c r="J833" t="e">
        <f>VLOOKUP(F833,[1]!china_towns_second__2[[Column1]:[Y]],3,FALSE)</f>
        <v>#N/A</v>
      </c>
      <c r="K833" t="e">
        <f>VLOOKUP(F833,[1]!china_towns_second__2[[Column1]:[Y]],2,FALSE)</f>
        <v>#N/A</v>
      </c>
      <c r="L833" t="s">
        <v>4387</v>
      </c>
      <c r="M833" t="str">
        <f>VLOOKUP(H833,CHOOSE({1,2},Table17[Native],Table17[Name]),2,0)</f>
        <v>Lónglíng Xiàn</v>
      </c>
      <c r="N833" s="15" t="str">
        <f>VLOOKUP(I833,CHOOSE({1,2},Table17[Native],Table17[Name]),2,0)</f>
        <v>Băoshān Shì</v>
      </c>
      <c r="O833" s="15" t="str">
        <f t="shared" si="24"/>
        <v>Pingda Xiang (Băoshān Shì)</v>
      </c>
      <c r="P833" s="15" t="str">
        <f t="shared" si="25"/>
        <v>Pingda Xiang (Băoshān Shì)</v>
      </c>
    </row>
    <row r="834" spans="1:16" hidden="1" x14ac:dyDescent="0.25">
      <c r="A834" t="s">
        <v>2410</v>
      </c>
      <c r="B834" t="str">
        <f>IF(COUNTIF(A:A,A834)&gt;1,_xlfn.CONCAT(A834," (",N834,")"),A834)</f>
        <v>Píngdiàn Xiāng</v>
      </c>
      <c r="C834" t="str">
        <f>IF(COUNTIF(B:B,B834)&gt;1,_xlfn.CONCAT(A834," (",M834,")"),B834)</f>
        <v>Píngdiàn Xiāng</v>
      </c>
      <c r="D834" t="s">
        <v>2411</v>
      </c>
      <c r="E834" t="s">
        <v>7</v>
      </c>
      <c r="F834" t="str">
        <f>_xlfn.CONCAT(D834,", ",H834,", ",I834,", ","云南省")</f>
        <v>平甸乡, 新平彝族傣族自治县, 玉溪市, 云南省</v>
      </c>
      <c r="G834">
        <v>17421</v>
      </c>
      <c r="H834" t="s">
        <v>2895</v>
      </c>
      <c r="I834" t="s">
        <v>2888</v>
      </c>
      <c r="J834" t="e">
        <f>VLOOKUP(F834,[1]!china_towns_second__2[[Column1]:[Y]],3,FALSE)</f>
        <v>#N/A</v>
      </c>
      <c r="K834" t="e">
        <f>VLOOKUP(F834,[1]!china_towns_second__2[[Column1]:[Y]],2,FALSE)</f>
        <v>#N/A</v>
      </c>
      <c r="L834" t="s">
        <v>4388</v>
      </c>
      <c r="M834" t="str">
        <f>VLOOKUP(H834,CHOOSE({1,2},Table17[Native],Table17[Name]),2,0)</f>
        <v>Xīnpíng Yízú Dăizú Zìzhìxiàn</v>
      </c>
      <c r="N834" s="15" t="str">
        <f>VLOOKUP(I834,CHOOSE({1,2},Table17[Native],Table17[Name]),2,0)</f>
        <v>Yùxī Shì</v>
      </c>
      <c r="O834" s="15" t="str">
        <f t="shared" ref="O834:O897" si="26">_xlfn.CONCAT(L834," (",N834,")")</f>
        <v>Pingdian Xiang (Yùxī Shì)</v>
      </c>
      <c r="P834" s="15" t="str">
        <f t="shared" ref="P834:P897" si="27">IF(COUNTIF(O:O,O834)&gt;1,_xlfn.CONCAT(L834," (",M834,")"),O834)</f>
        <v>Pingdian Xiang (Yùxī Shì)</v>
      </c>
    </row>
    <row r="835" spans="1:16" hidden="1" x14ac:dyDescent="0.25">
      <c r="A835" t="s">
        <v>935</v>
      </c>
      <c r="B835" t="str">
        <f>IF(COUNTIF(A:A,A835)&gt;1,_xlfn.CONCAT(A835," (",N835,")"),A835)</f>
        <v>Pínghé Zhèn</v>
      </c>
      <c r="C835" t="str">
        <f>IF(COUNTIF(B:B,B835)&gt;1,_xlfn.CONCAT(A835," (",M835,")"),B835)</f>
        <v>Pínghé Zhèn</v>
      </c>
      <c r="D835" t="s">
        <v>936</v>
      </c>
      <c r="E835" t="s">
        <v>11</v>
      </c>
      <c r="F835" t="str">
        <f>_xlfn.CONCAT(D835,", ",H835,", ",I835,", ","云南省")</f>
        <v>平河镇, 绿春县, 红河哈尼族彝族自治州, 云南省</v>
      </c>
      <c r="G835">
        <v>29748</v>
      </c>
      <c r="H835" t="s">
        <v>2799</v>
      </c>
      <c r="I835" t="s">
        <v>2792</v>
      </c>
      <c r="J835">
        <f>VLOOKUP(F835,[1]!china_towns_second__2[[Column1]:[Y]],3,FALSE)</f>
        <v>22.803183820898798</v>
      </c>
      <c r="K835">
        <f>VLOOKUP(F835,[1]!china_towns_second__2[[Column1]:[Y]],2,FALSE)</f>
        <v>102.4739441</v>
      </c>
      <c r="L835" t="s">
        <v>4389</v>
      </c>
      <c r="M835" t="str">
        <f>VLOOKUP(H835,CHOOSE({1,2},Table17[Native],Table17[Name]),2,0)</f>
        <v>Lǜchūn Xiàn</v>
      </c>
      <c r="N835" s="15" t="str">
        <f>VLOOKUP(I835,CHOOSE({1,2},Table17[Native],Table17[Name]),2,0)</f>
        <v>Hónghé Hānízú Yízú Zìzhìzhōu</v>
      </c>
      <c r="O835" s="15" t="str">
        <f t="shared" si="26"/>
        <v>Pinghe Zhen (Hónghé Hānízú Yízú Zìzhìzhōu)</v>
      </c>
      <c r="P835" s="15" t="str">
        <f t="shared" si="27"/>
        <v>Pinghe Zhen (Hónghé Hānízú Yízú Zìzhìzhōu)</v>
      </c>
    </row>
    <row r="836" spans="1:16" hidden="1" x14ac:dyDescent="0.25">
      <c r="A836" t="s">
        <v>510</v>
      </c>
      <c r="B836" t="str">
        <f>IF(COUNTIF(A:A,A836)&gt;1,_xlfn.CONCAT(A836," (",N836,")"),A836)</f>
        <v>Píngpō Zhèn</v>
      </c>
      <c r="C836" t="str">
        <f>IF(COUNTIF(B:B,B836)&gt;1,_xlfn.CONCAT(A836," (",M836,")"),B836)</f>
        <v>Píngpō Zhèn</v>
      </c>
      <c r="D836" t="s">
        <v>511</v>
      </c>
      <c r="E836" t="s">
        <v>11</v>
      </c>
      <c r="F836" t="str">
        <f>_xlfn.CONCAT(D836,", ",H836,", ",I836,", ","云南省")</f>
        <v>平坡镇, 漾濞彝族自治县, 大理白族自治州, 云南省</v>
      </c>
      <c r="G836">
        <v>8494</v>
      </c>
      <c r="H836" t="s">
        <v>2774</v>
      </c>
      <c r="I836" t="s">
        <v>2763</v>
      </c>
      <c r="J836">
        <f>VLOOKUP(F836,[1]!china_towns_second__2[[Column1]:[Y]],3,FALSE)</f>
        <v>25.587383609977</v>
      </c>
      <c r="K836">
        <f>VLOOKUP(F836,[1]!china_towns_second__2[[Column1]:[Y]],2,FALSE)</f>
        <v>100.040352</v>
      </c>
      <c r="L836" t="s">
        <v>4390</v>
      </c>
      <c r="M836" t="str">
        <f>VLOOKUP(H836,CHOOSE({1,2},Table17[Native],Table17[Name]),2,0)</f>
        <v>Yàngbì Yízú Zìzhìxiàn</v>
      </c>
      <c r="N836" s="15" t="str">
        <f>VLOOKUP(I836,CHOOSE({1,2},Table17[Native],Table17[Name]),2,0)</f>
        <v>Dàlĭ Báizú Zìzhìzhōu</v>
      </c>
      <c r="O836" s="15" t="str">
        <f t="shared" si="26"/>
        <v>Pingpo Zhen (Dàlĭ Báizú Zìzhìzhōu)</v>
      </c>
      <c r="P836" s="15" t="str">
        <f t="shared" si="27"/>
        <v>Pingpo Zhen (Dàlĭ Báizú Zìzhìzhōu)</v>
      </c>
    </row>
    <row r="837" spans="1:16" hidden="1" x14ac:dyDescent="0.25">
      <c r="A837" t="s">
        <v>1195</v>
      </c>
      <c r="B837" t="str">
        <f>IF(COUNTIF(A:A,A837)&gt;1,_xlfn.CONCAT(A837," (",N837,")"),A837)</f>
        <v>Píngshān Jiēdào [incl. Chóngdé Jiēdào]</v>
      </c>
      <c r="C837" t="str">
        <f>IF(COUNTIF(B:B,B837)&gt;1,_xlfn.CONCAT(A837," (",M837,")"),B837)</f>
        <v>Píngshān Jiēdào [incl. Chóngdé Jiēdào]</v>
      </c>
      <c r="D837" t="s">
        <v>1196</v>
      </c>
      <c r="E837" t="s">
        <v>42</v>
      </c>
      <c r="F837" t="str">
        <f>_xlfn.CONCAT(D837,", ",H837,", ",I837,", ","云南省")</f>
        <v>屏山街道, 禄劝彝族苗族自治县, 昆明市, 云南省</v>
      </c>
      <c r="G837">
        <v>76405</v>
      </c>
      <c r="H837" t="s">
        <v>2814</v>
      </c>
      <c r="I837" t="s">
        <v>2807</v>
      </c>
      <c r="J837">
        <f>VLOOKUP(F837,[1]!china_towns_second__2[[Column1]:[Y]],3,FALSE)</f>
        <v>25.550129430610401</v>
      </c>
      <c r="K837">
        <f>VLOOKUP(F837,[1]!china_towns_second__2[[Column1]:[Y]],2,FALSE)</f>
        <v>102.4991555</v>
      </c>
      <c r="L837" t="s">
        <v>4391</v>
      </c>
      <c r="M837" t="str">
        <f>VLOOKUP(H837,CHOOSE({1,2},Table17[Native],Table17[Name]),2,0)</f>
        <v>Lùquàn Yízú Miáozú Zìzhìxiàn</v>
      </c>
      <c r="N837" s="15" t="str">
        <f>VLOOKUP(I837,CHOOSE({1,2},Table17[Native],Table17[Name]),2,0)</f>
        <v>Kūnmíng Shì</v>
      </c>
      <c r="O837" s="15" t="str">
        <f t="shared" si="26"/>
        <v>Pingshan Jiedao [incl. Chongde Jiedao] (Kūnmíng Shì)</v>
      </c>
      <c r="P837" s="15" t="str">
        <f t="shared" si="27"/>
        <v>Pingshan Jiedao [incl. Chongde Jiedao] (Kūnmíng Shì)</v>
      </c>
    </row>
    <row r="838" spans="1:16" hidden="1" x14ac:dyDescent="0.25">
      <c r="A838" t="s">
        <v>667</v>
      </c>
      <c r="B838" t="str">
        <f>IF(COUNTIF(A:A,A838)&gt;1,_xlfn.CONCAT(A838," (",N838,")"),A838)</f>
        <v>Píngshān Xiāng</v>
      </c>
      <c r="C838" t="str">
        <f>IF(COUNTIF(B:B,B838)&gt;1,_xlfn.CONCAT(A838," (",M838,")"),B838)</f>
        <v>Píngshān Xiāng</v>
      </c>
      <c r="D838" t="s">
        <v>668</v>
      </c>
      <c r="E838" t="s">
        <v>7</v>
      </c>
      <c r="F838" t="str">
        <f>_xlfn.CONCAT(D838,", ",H838,", ",I838,", ","云南省")</f>
        <v>平山乡, 梁河县, 德宏傣族景颇族自治州, 云南省</v>
      </c>
      <c r="G838">
        <v>16209</v>
      </c>
      <c r="H838" t="s">
        <v>2780</v>
      </c>
      <c r="I838" t="s">
        <v>2779</v>
      </c>
      <c r="J838" t="e">
        <f>VLOOKUP(F838,[1]!china_towns_second__2[[Column1]:[Y]],3,FALSE)</f>
        <v>#N/A</v>
      </c>
      <c r="K838" t="e">
        <f>VLOOKUP(F838,[1]!china_towns_second__2[[Column1]:[Y]],2,FALSE)</f>
        <v>#N/A</v>
      </c>
      <c r="L838" t="s">
        <v>4392</v>
      </c>
      <c r="M838" t="str">
        <f>VLOOKUP(H838,CHOOSE({1,2},Table17[Native],Table17[Name]),2,0)</f>
        <v>Liánghé Xiàn</v>
      </c>
      <c r="N838" s="15" t="str">
        <f>VLOOKUP(I838,CHOOSE({1,2},Table17[Native],Table17[Name]),2,0)</f>
        <v>Déhóng Dăizú Jĭngpōzú Zìzhìzhōu</v>
      </c>
      <c r="O838" s="15" t="str">
        <f t="shared" si="26"/>
        <v>Pingshan Xiang (Déhóng Dăizú Jĭngpōzú Zìzhìzhōu)</v>
      </c>
      <c r="P838" s="15" t="str">
        <f t="shared" si="27"/>
        <v>Pingshan Xiang (Déhóng Dăizú Jĭngpōzú Zìzhìzhōu)</v>
      </c>
    </row>
    <row r="839" spans="1:16" hidden="1" x14ac:dyDescent="0.25">
      <c r="A839" t="s">
        <v>2617</v>
      </c>
      <c r="B839" t="str">
        <f>IF(COUNTIF(A:A,A839)&gt;1,_xlfn.CONCAT(A839," (",N839,")"),A839)</f>
        <v>Píngshàng Zhèn</v>
      </c>
      <c r="C839" t="str">
        <f>IF(COUNTIF(B:B,B839)&gt;1,_xlfn.CONCAT(A839," (",M839,")"),B839)</f>
        <v>Píngshàng Zhèn</v>
      </c>
      <c r="D839" t="s">
        <v>2618</v>
      </c>
      <c r="E839" t="s">
        <v>11</v>
      </c>
      <c r="F839" t="str">
        <f>_xlfn.CONCAT(D839,", ",H839,", ",I839,", ","云南省")</f>
        <v>坪上镇, 镇雄县, 昭通市, 云南省</v>
      </c>
      <c r="G839">
        <v>39280</v>
      </c>
      <c r="H839" t="s">
        <v>2910</v>
      </c>
      <c r="I839" t="s">
        <v>2899</v>
      </c>
      <c r="J839">
        <f>VLOOKUP(F839,[1]!china_towns_second__2[[Column1]:[Y]],3,FALSE)</f>
        <v>27.461615365374399</v>
      </c>
      <c r="K839">
        <f>VLOOKUP(F839,[1]!china_towns_second__2[[Column1]:[Y]],2,FALSE)</f>
        <v>104.642247</v>
      </c>
      <c r="L839" t="s">
        <v>4393</v>
      </c>
      <c r="M839" t="str">
        <f>VLOOKUP(H839,CHOOSE({1,2},Table17[Native],Table17[Name]),2,0)</f>
        <v>Zhènxióng Xiàn</v>
      </c>
      <c r="N839" s="15" t="str">
        <f>VLOOKUP(I839,CHOOSE({1,2},Table17[Native],Table17[Name]),2,0)</f>
        <v>Zhāotōng Shì</v>
      </c>
      <c r="O839" s="15" t="str">
        <f t="shared" si="26"/>
        <v>Pingshang Zhen (Zhāotōng Shì)</v>
      </c>
      <c r="P839" s="15" t="str">
        <f t="shared" si="27"/>
        <v>Pingshang Zhen (Zhāotōng Shì)</v>
      </c>
    </row>
    <row r="840" spans="1:16" hidden="1" x14ac:dyDescent="0.25">
      <c r="A840" t="s">
        <v>279</v>
      </c>
      <c r="B840" t="str">
        <f>IF(COUNTIF(A:A,A840)&gt;1,_xlfn.CONCAT(A840," (",N840,")"),A840)</f>
        <v>Píngtián Xiāng</v>
      </c>
      <c r="C840" t="str">
        <f>IF(COUNTIF(B:B,B840)&gt;1,_xlfn.CONCAT(A840," (",M840,")"),B840)</f>
        <v>Píngtián Xiāng</v>
      </c>
      <c r="D840" t="s">
        <v>280</v>
      </c>
      <c r="E840" t="s">
        <v>7</v>
      </c>
      <c r="F840" t="str">
        <f>_xlfn.CONCAT(D840,", ",H840,", ",I840,", ","云南省")</f>
        <v>平田乡, 元谋县, 楚雄彝族自治州, 云南省</v>
      </c>
      <c r="G840">
        <v>14135</v>
      </c>
      <c r="H840" t="s">
        <v>2760</v>
      </c>
      <c r="I840" t="s">
        <v>2750</v>
      </c>
      <c r="J840" t="e">
        <f>VLOOKUP(F840,[1]!china_towns_second__2[[Column1]:[Y]],3,FALSE)</f>
        <v>#N/A</v>
      </c>
      <c r="K840" t="e">
        <f>VLOOKUP(F840,[1]!china_towns_second__2[[Column1]:[Y]],2,FALSE)</f>
        <v>#N/A</v>
      </c>
      <c r="L840" t="s">
        <v>4394</v>
      </c>
      <c r="M840" t="str">
        <f>VLOOKUP(H840,CHOOSE({1,2},Table17[Native],Table17[Name]),2,0)</f>
        <v>Yuánmóu Xiàn</v>
      </c>
      <c r="N840" s="15" t="str">
        <f>VLOOKUP(I840,CHOOSE({1,2},Table17[Native],Table17[Name]),2,0)</f>
        <v>Chŭxióng Yízú Zìzhìzhōu</v>
      </c>
      <c r="O840" s="15" t="str">
        <f t="shared" si="26"/>
        <v>Pingtian Xiang (Chŭxióng Yízú Zìzhìzhōu)</v>
      </c>
      <c r="P840" s="15" t="str">
        <f t="shared" si="27"/>
        <v>Pingtian Xiang (Chŭxióng Yízú Zìzhìzhōu)</v>
      </c>
    </row>
    <row r="841" spans="1:16" x14ac:dyDescent="0.25">
      <c r="A841" t="s">
        <v>669</v>
      </c>
      <c r="B841" t="str">
        <f>IF(COUNTIF(A:A,A841)&gt;1,_xlfn.CONCAT(A841," (",N841,")"),A841)</f>
        <v>Píngyuán Zhèn</v>
      </c>
      <c r="C841" t="str">
        <f>IF(COUNTIF(B:B,B841)&gt;1,_xlfn.CONCAT(A841," (",M841,")"),B841)</f>
        <v>Píngyuán Zhèn</v>
      </c>
      <c r="D841" t="s">
        <v>670</v>
      </c>
      <c r="E841" t="s">
        <v>11</v>
      </c>
      <c r="F841" t="str">
        <f>_xlfn.CONCAT(D841,", ",H841,", ",I841,", ","云南省")</f>
        <v>平原镇, 盈江县, 德宏傣族景颇族自治州, 云南省</v>
      </c>
      <c r="G841">
        <v>80481</v>
      </c>
      <c r="H841" t="s">
        <v>2784</v>
      </c>
      <c r="I841" t="s">
        <v>2779</v>
      </c>
      <c r="J841">
        <f>VLOOKUP(F841,[1]!china_towns_second__2[[Column1]:[Y]],3,FALSE)</f>
        <v>24.756372723796702</v>
      </c>
      <c r="K841">
        <f>VLOOKUP(F841,[1]!china_towns_second__2[[Column1]:[Y]],2,FALSE)</f>
        <v>97.9372051</v>
      </c>
      <c r="L841" t="s">
        <v>4395</v>
      </c>
      <c r="M841" t="str">
        <f>VLOOKUP(H841,CHOOSE({1,2},Table17[Native],Table17[Name]),2,0)</f>
        <v>Yíngjiāng Xiàn</v>
      </c>
      <c r="N841" s="15" t="str">
        <f>VLOOKUP(I841,CHOOSE({1,2},Table17[Native],Table17[Name]),2,0)</f>
        <v>Déhóng Dăizú Jĭngpōzú Zìzhìzhōu</v>
      </c>
      <c r="O841" s="15" t="str">
        <f t="shared" si="26"/>
        <v>Pingyuan Zhen (Déhóng Dăizú Jĭngpōzú Zìzhìzhōu)</v>
      </c>
      <c r="P841" s="15" t="str">
        <f t="shared" si="27"/>
        <v>Pingyuan Zhen (Déhóng Dăizú Jĭngpōzú Zìzhìzhōu)</v>
      </c>
    </row>
    <row r="842" spans="1:16" x14ac:dyDescent="0.25">
      <c r="A842" t="s">
        <v>2189</v>
      </c>
      <c r="B842" t="str">
        <f>IF(COUNTIF(A:A,A842)&gt;1,_xlfn.CONCAT(A842," (",N842,")"),A842)</f>
        <v>Píngyuăn Zhèn</v>
      </c>
      <c r="C842" t="str">
        <f>IF(COUNTIF(B:B,B842)&gt;1,_xlfn.CONCAT(A842," (",M842,")"),B842)</f>
        <v>Píngyuăn Zhèn</v>
      </c>
      <c r="D842" t="s">
        <v>2190</v>
      </c>
      <c r="E842" t="s">
        <v>11</v>
      </c>
      <c r="F842" t="str">
        <f>_xlfn.CONCAT(D842,", ",H842,", ",I842,", ","云南省")</f>
        <v>平远镇, 砚山县, 文山壮族苗族自治州, 云南省</v>
      </c>
      <c r="G842">
        <v>88103</v>
      </c>
      <c r="H842" t="s">
        <v>2880</v>
      </c>
      <c r="I842" t="s">
        <v>2872</v>
      </c>
      <c r="J842">
        <f>VLOOKUP(F842,[1]!china_towns_second__2[[Column1]:[Y]],3,FALSE)</f>
        <v>23.771985027245002</v>
      </c>
      <c r="K842">
        <f>VLOOKUP(F842,[1]!china_towns_second__2[[Column1]:[Y]],2,FALSE)</f>
        <v>103.7726732</v>
      </c>
      <c r="L842" t="s">
        <v>4395</v>
      </c>
      <c r="M842" t="str">
        <f>VLOOKUP(H842,CHOOSE({1,2},Table17[Native],Table17[Name]),2,0)</f>
        <v>Yànshān Xiàn</v>
      </c>
      <c r="N842" s="15" t="str">
        <f>VLOOKUP(I842,CHOOSE({1,2},Table17[Native],Table17[Name]),2,0)</f>
        <v>Wénshān Zhuàngzú Miáozú Zìzhìzhōu</v>
      </c>
      <c r="O842" s="15" t="str">
        <f t="shared" si="26"/>
        <v>Pingyuan Zhen (Wénshān Zhuàngzú Miáozú Zìzhìzhōu)</v>
      </c>
      <c r="P842" s="15" t="str">
        <f t="shared" si="27"/>
        <v>Pingyuan Zhen (Wénshān Zhuàngzú Miáozú Zìzhìzhōu)</v>
      </c>
    </row>
    <row r="843" spans="1:16" hidden="1" x14ac:dyDescent="0.25">
      <c r="A843" t="s">
        <v>2191</v>
      </c>
      <c r="B843" t="str">
        <f>IF(COUNTIF(A:A,A843)&gt;1,_xlfn.CONCAT(A843," (",N843,")"),A843)</f>
        <v>Píngzhài Xiāng</v>
      </c>
      <c r="C843" t="str">
        <f>IF(COUNTIF(B:B,B843)&gt;1,_xlfn.CONCAT(A843," (",M843,")"),B843)</f>
        <v>Píngzhài Xiāng</v>
      </c>
      <c r="D843" t="s">
        <v>2192</v>
      </c>
      <c r="E843" t="s">
        <v>7</v>
      </c>
      <c r="F843" t="str">
        <f>_xlfn.CONCAT(D843,", ",H843,", ",I843,", ","云南省")</f>
        <v>平寨乡, 丘北县, 文山壮族苗族自治州, 云南省</v>
      </c>
      <c r="G843">
        <v>33603</v>
      </c>
      <c r="H843" t="s">
        <v>2877</v>
      </c>
      <c r="I843" t="s">
        <v>2872</v>
      </c>
      <c r="J843" t="e">
        <f>VLOOKUP(F843,[1]!china_towns_second__2[[Column1]:[Y]],3,FALSE)</f>
        <v>#N/A</v>
      </c>
      <c r="K843" t="e">
        <f>VLOOKUP(F843,[1]!china_towns_second__2[[Column1]:[Y]],2,FALSE)</f>
        <v>#N/A</v>
      </c>
      <c r="L843" t="s">
        <v>4396</v>
      </c>
      <c r="M843" t="str">
        <f>VLOOKUP(H843,CHOOSE({1,2},Table17[Native],Table17[Name]),2,0)</f>
        <v>Qiūbĕi Xiàn</v>
      </c>
      <c r="N843" s="15" t="str">
        <f>VLOOKUP(I843,CHOOSE({1,2},Table17[Native],Table17[Name]),2,0)</f>
        <v>Wénshān Zhuàngzú Miáozú Zìzhìzhōu</v>
      </c>
      <c r="O843" s="15" t="str">
        <f t="shared" si="26"/>
        <v>Pingzhai Xiang (Wénshān Zhuàngzú Miáozú Zìzhìzhōu)</v>
      </c>
      <c r="P843" s="15" t="str">
        <f t="shared" si="27"/>
        <v>Pingzhai Xiang (Wénshān Zhuàngzú Miáozú Zìzhìzhōu)</v>
      </c>
    </row>
    <row r="844" spans="1:16" hidden="1" x14ac:dyDescent="0.25">
      <c r="A844" t="s">
        <v>2412</v>
      </c>
      <c r="B844" t="str">
        <f>IF(COUNTIF(A:A,A844)&gt;1,_xlfn.CONCAT(A844," (",N844,")"),A844)</f>
        <v>Píngzhăng Xiāng</v>
      </c>
      <c r="C844" t="str">
        <f>IF(COUNTIF(B:B,B844)&gt;1,_xlfn.CONCAT(A844," (",M844,")"),B844)</f>
        <v>Píngzhăng Xiāng</v>
      </c>
      <c r="D844" t="s">
        <v>2413</v>
      </c>
      <c r="E844" t="s">
        <v>7</v>
      </c>
      <c r="F844" t="str">
        <f>_xlfn.CONCAT(D844,", ",H844,", ",I844,", ","云南省")</f>
        <v>平掌乡, 新平彝族傣族自治县, 玉溪市, 云南省</v>
      </c>
      <c r="G844">
        <v>10836</v>
      </c>
      <c r="H844" t="s">
        <v>2895</v>
      </c>
      <c r="I844" t="s">
        <v>2888</v>
      </c>
      <c r="J844" t="e">
        <f>VLOOKUP(F844,[1]!china_towns_second__2[[Column1]:[Y]],3,FALSE)</f>
        <v>#N/A</v>
      </c>
      <c r="K844" t="e">
        <f>VLOOKUP(F844,[1]!china_towns_second__2[[Column1]:[Y]],2,FALSE)</f>
        <v>#N/A</v>
      </c>
      <c r="L844" t="s">
        <v>4397</v>
      </c>
      <c r="M844" t="str">
        <f>VLOOKUP(H844,CHOOSE({1,2},Table17[Native],Table17[Name]),2,0)</f>
        <v>Xīnpíng Yízú Dăizú Zìzhìxiàn</v>
      </c>
      <c r="N844" s="15" t="str">
        <f>VLOOKUP(I844,CHOOSE({1,2},Table17[Native],Table17[Name]),2,0)</f>
        <v>Yùxī Shì</v>
      </c>
      <c r="O844" s="15" t="str">
        <f t="shared" si="26"/>
        <v>Pingzhang Xiang (Yùxī Shì)</v>
      </c>
      <c r="P844" s="15" t="str">
        <f t="shared" si="27"/>
        <v>Pingzhang Xiang (Yùxī Shì)</v>
      </c>
    </row>
    <row r="845" spans="1:16" hidden="1" x14ac:dyDescent="0.25">
      <c r="A845" t="s">
        <v>2619</v>
      </c>
      <c r="B845" t="str">
        <f>IF(COUNTIF(A:A,A845)&gt;1,_xlfn.CONCAT(A845," (",N845,")"),A845)</f>
        <v>Pōjī Zhèn</v>
      </c>
      <c r="C845" t="str">
        <f>IF(COUNTIF(B:B,B845)&gt;1,_xlfn.CONCAT(A845," (",M845,")"),B845)</f>
        <v>Pōjī Zhèn</v>
      </c>
      <c r="D845" t="s">
        <v>2620</v>
      </c>
      <c r="E845" t="s">
        <v>11</v>
      </c>
      <c r="F845" t="str">
        <f>_xlfn.CONCAT(D845,", ",H845,", ",I845,", ","云南省")</f>
        <v>泼机镇, 镇雄县, 昭通市, 云南省</v>
      </c>
      <c r="G845">
        <v>114216</v>
      </c>
      <c r="H845" t="s">
        <v>2910</v>
      </c>
      <c r="I845" t="s">
        <v>2899</v>
      </c>
      <c r="J845">
        <f>VLOOKUP(F845,[1]!china_towns_second__2[[Column1]:[Y]],3,FALSE)</f>
        <v>27.422961025131301</v>
      </c>
      <c r="K845">
        <f>VLOOKUP(F845,[1]!china_towns_second__2[[Column1]:[Y]],2,FALSE)</f>
        <v>105.0046135</v>
      </c>
      <c r="L845" t="s">
        <v>4398</v>
      </c>
      <c r="M845" t="str">
        <f>VLOOKUP(H845,CHOOSE({1,2},Table17[Native],Table17[Name]),2,0)</f>
        <v>Zhènxióng Xiàn</v>
      </c>
      <c r="N845" s="15" t="str">
        <f>VLOOKUP(I845,CHOOSE({1,2},Table17[Native],Table17[Name]),2,0)</f>
        <v>Zhāotōng Shì</v>
      </c>
      <c r="O845" s="15" t="str">
        <f t="shared" si="26"/>
        <v>Poji Zhen (Zhāotōng Shì)</v>
      </c>
      <c r="P845" s="15" t="str">
        <f t="shared" si="27"/>
        <v>Poji Zhen (Zhāotōng Shì)</v>
      </c>
    </row>
    <row r="846" spans="1:16" hidden="1" x14ac:dyDescent="0.25">
      <c r="A846" t="s">
        <v>2193</v>
      </c>
      <c r="B846" t="str">
        <f>IF(COUNTIF(A:A,A846)&gt;1,_xlfn.CONCAT(A846," (",N846,")"),A846)</f>
        <v>Pōjiăo Zhèn</v>
      </c>
      <c r="C846" t="str">
        <f>IF(COUNTIF(B:B,B846)&gt;1,_xlfn.CONCAT(A846," (",M846,")"),B846)</f>
        <v>Pōjiăo Zhèn</v>
      </c>
      <c r="D846" t="s">
        <v>2194</v>
      </c>
      <c r="E846" t="s">
        <v>11</v>
      </c>
      <c r="F846" t="str">
        <f>_xlfn.CONCAT(D846,", ",H846,", ",I846,", ","云南省")</f>
        <v>坡脚镇, 马关县, 文山壮族苗族自治州, 云南省</v>
      </c>
      <c r="G846">
        <v>21953</v>
      </c>
      <c r="H846" t="s">
        <v>2875</v>
      </c>
      <c r="I846" t="s">
        <v>2872</v>
      </c>
      <c r="J846">
        <f>VLOOKUP(F846,[1]!china_towns_second__2[[Column1]:[Y]],3,FALSE)</f>
        <v>23.139910524657701</v>
      </c>
      <c r="K846">
        <f>VLOOKUP(F846,[1]!china_towns_second__2[[Column1]:[Y]],2,FALSE)</f>
        <v>104.3698404</v>
      </c>
      <c r="L846" t="s">
        <v>4399</v>
      </c>
      <c r="M846" t="str">
        <f>VLOOKUP(H846,CHOOSE({1,2},Table17[Native],Table17[Name]),2,0)</f>
        <v>Măguān Xiàn</v>
      </c>
      <c r="N846" s="15" t="str">
        <f>VLOOKUP(I846,CHOOSE({1,2},Table17[Native],Table17[Name]),2,0)</f>
        <v>Wénshān Zhuàngzú Miáozú Zìzhìzhōu</v>
      </c>
      <c r="O846" s="15" t="str">
        <f t="shared" si="26"/>
        <v>Pojiao Zhen (Wénshān Zhuàngzú Miáozú Zìzhìzhōu)</v>
      </c>
      <c r="P846" s="15" t="str">
        <f t="shared" si="27"/>
        <v>Pojiao Zhen (Wénshān Zhuàngzú Miáozú Zìzhìzhōu)</v>
      </c>
    </row>
    <row r="847" spans="1:16" hidden="1" x14ac:dyDescent="0.25">
      <c r="A847" t="s">
        <v>937</v>
      </c>
      <c r="B847" t="str">
        <f>IF(COUNTIF(A:A,A847)&gt;1,_xlfn.CONCAT(A847," (",N847,")"),A847)</f>
        <v>Pōtóu Xiāng</v>
      </c>
      <c r="C847" t="str">
        <f>IF(COUNTIF(B:B,B847)&gt;1,_xlfn.CONCAT(A847," (",M847,")"),B847)</f>
        <v>Pōtóu Xiāng</v>
      </c>
      <c r="D847" t="s">
        <v>938</v>
      </c>
      <c r="E847" t="s">
        <v>7</v>
      </c>
      <c r="F847" t="str">
        <f>_xlfn.CONCAT(D847,", ",H847,", ",I847,", ","云南省")</f>
        <v>坡头乡, 建水县, 红河哈尼族彝族自治州, 云南省</v>
      </c>
      <c r="G847">
        <v>22822</v>
      </c>
      <c r="H847" t="s">
        <v>2796</v>
      </c>
      <c r="I847" t="s">
        <v>2792</v>
      </c>
      <c r="J847" t="e">
        <f>VLOOKUP(F847,[1]!china_towns_second__2[[Column1]:[Y]],3,FALSE)</f>
        <v>#N/A</v>
      </c>
      <c r="K847" t="e">
        <f>VLOOKUP(F847,[1]!china_towns_second__2[[Column1]:[Y]],2,FALSE)</f>
        <v>#N/A</v>
      </c>
      <c r="L847" t="s">
        <v>4400</v>
      </c>
      <c r="M847" t="str">
        <f>VLOOKUP(H847,CHOOSE({1,2},Table17[Native],Table17[Name]),2,0)</f>
        <v>Jiànshuĭ Xiàn</v>
      </c>
      <c r="N847" s="15" t="str">
        <f>VLOOKUP(I847,CHOOSE({1,2},Table17[Native],Table17[Name]),2,0)</f>
        <v>Hónghé Hānízú Yízú Zìzhìzhōu</v>
      </c>
      <c r="O847" s="15" t="str">
        <f t="shared" si="26"/>
        <v>Potou Xiang (Hónghé Hānízú Yízú Zìzhìzhōu)</v>
      </c>
      <c r="P847" s="15" t="str">
        <f t="shared" si="27"/>
        <v>Potou Xiang (Hónghé Hānízú Yízú Zìzhìzhōu)</v>
      </c>
    </row>
    <row r="848" spans="1:16" hidden="1" x14ac:dyDescent="0.25">
      <c r="A848" t="s">
        <v>2621</v>
      </c>
      <c r="B848" t="str">
        <f>IF(COUNTIF(A:A,A848)&gt;1,_xlfn.CONCAT(A848," (",N848,")"),A848)</f>
        <v>Pōtóu Zhèn</v>
      </c>
      <c r="C848" t="str">
        <f>IF(COUNTIF(B:B,B848)&gt;1,_xlfn.CONCAT(A848," (",M848,")"),B848)</f>
        <v>Pōtóu Zhèn</v>
      </c>
      <c r="D848" t="s">
        <v>2622</v>
      </c>
      <c r="E848" t="s">
        <v>11</v>
      </c>
      <c r="F848" t="str">
        <f>_xlfn.CONCAT(D848,", ",H848,", ",I848,", ","云南省")</f>
        <v>坡头镇, 镇雄县, 昭通市, 云南省</v>
      </c>
      <c r="G848">
        <v>62216</v>
      </c>
      <c r="H848" t="s">
        <v>2910</v>
      </c>
      <c r="I848" t="s">
        <v>2899</v>
      </c>
      <c r="J848">
        <f>VLOOKUP(F848,[1]!china_towns_second__2[[Column1]:[Y]],3,FALSE)</f>
        <v>27.6670821427678</v>
      </c>
      <c r="K848">
        <f>VLOOKUP(F848,[1]!china_towns_second__2[[Column1]:[Y]],2,FALSE)</f>
        <v>105.2476376</v>
      </c>
      <c r="L848" t="s">
        <v>4401</v>
      </c>
      <c r="M848" t="str">
        <f>VLOOKUP(H848,CHOOSE({1,2},Table17[Native],Table17[Name]),2,0)</f>
        <v>Zhènxióng Xiàn</v>
      </c>
      <c r="N848" s="15" t="str">
        <f>VLOOKUP(I848,CHOOSE({1,2},Table17[Native],Table17[Name]),2,0)</f>
        <v>Zhāotōng Shì</v>
      </c>
      <c r="O848" s="15" t="str">
        <f t="shared" si="26"/>
        <v>Potou Zhen (Zhāotōng Shì)</v>
      </c>
      <c r="P848" s="15" t="str">
        <f t="shared" si="27"/>
        <v>Potou Zhen (Zhāotōng Shì)</v>
      </c>
    </row>
    <row r="849" spans="1:16" hidden="1" x14ac:dyDescent="0.25">
      <c r="A849" t="s">
        <v>2414</v>
      </c>
      <c r="B849" t="str">
        <f>IF(COUNTIF(A:A,A849)&gt;1,_xlfn.CONCAT(A849," (",N849,")"),A849)</f>
        <v>Pŭbèi Yízú Xiāng</v>
      </c>
      <c r="C849" t="str">
        <f>IF(COUNTIF(B:B,B849)&gt;1,_xlfn.CONCAT(A849," (",M849,")"),B849)</f>
        <v>Pŭbèi Yízú Xiāng</v>
      </c>
      <c r="D849" t="s">
        <v>2415</v>
      </c>
      <c r="E849" t="s">
        <v>7</v>
      </c>
      <c r="F849" t="str">
        <f>_xlfn.CONCAT(D849,", ",H849,", ",I849,", ","云南省")</f>
        <v>浦贝彝族乡, 易门县, 玉溪市, 云南省</v>
      </c>
      <c r="G849">
        <v>16568</v>
      </c>
      <c r="H849" t="s">
        <v>2896</v>
      </c>
      <c r="I849" t="s">
        <v>2888</v>
      </c>
      <c r="J849" t="e">
        <f>VLOOKUP(F849,[1]!china_towns_second__2[[Column1]:[Y]],3,FALSE)</f>
        <v>#N/A</v>
      </c>
      <c r="K849" t="e">
        <f>VLOOKUP(F849,[1]!china_towns_second__2[[Column1]:[Y]],2,FALSE)</f>
        <v>#N/A</v>
      </c>
      <c r="L849" t="s">
        <v>4402</v>
      </c>
      <c r="M849" t="str">
        <f>VLOOKUP(H849,CHOOSE({1,2},Table17[Native],Table17[Name]),2,0)</f>
        <v>Yìmén Xiàn</v>
      </c>
      <c r="N849" s="15" t="str">
        <f>VLOOKUP(I849,CHOOSE({1,2},Table17[Native],Table17[Name]),2,0)</f>
        <v>Yùxī Shì</v>
      </c>
      <c r="O849" s="15" t="str">
        <f t="shared" si="26"/>
        <v>Pubei Yizu Xiang (Yùxī Shì)</v>
      </c>
      <c r="P849" s="15" t="str">
        <f t="shared" si="27"/>
        <v>Pubei Yizu Xiang (Yùxī Shì)</v>
      </c>
    </row>
    <row r="850" spans="1:16" hidden="1" x14ac:dyDescent="0.25">
      <c r="A850" t="s">
        <v>95</v>
      </c>
      <c r="B850" t="str">
        <f>IF(COUNTIF(A:A,A850)&gt;1,_xlfn.CONCAT(A850," (",N850,")"),A850)</f>
        <v>Púchuān Xiāng</v>
      </c>
      <c r="C850" t="str">
        <f>IF(COUNTIF(B:B,B850)&gt;1,_xlfn.CONCAT(A850," (",M850,")"),B850)</f>
        <v>Púchuān Xiāng</v>
      </c>
      <c r="D850" t="s">
        <v>96</v>
      </c>
      <c r="E850" t="s">
        <v>7</v>
      </c>
      <c r="F850" t="str">
        <f>_xlfn.CONCAT(D850,", ",H850,", ",I850,", ","云南省")</f>
        <v>蒲川乡, 腾冲市, 保山市, 云南省</v>
      </c>
      <c r="G850">
        <v>27049</v>
      </c>
      <c r="H850" t="s">
        <v>2747</v>
      </c>
      <c r="I850" t="s">
        <v>2739</v>
      </c>
      <c r="J850" t="e">
        <f>VLOOKUP(F850,[1]!china_towns_second__2[[Column1]:[Y]],3,FALSE)</f>
        <v>#N/A</v>
      </c>
      <c r="K850" t="e">
        <f>VLOOKUP(F850,[1]!china_towns_second__2[[Column1]:[Y]],2,FALSE)</f>
        <v>#N/A</v>
      </c>
      <c r="L850" t="s">
        <v>4403</v>
      </c>
      <c r="M850" t="str">
        <f>VLOOKUP(H850,CHOOSE({1,2},Table17[Native],Table17[Name]),2,0)</f>
        <v>Téngchōng Shì</v>
      </c>
      <c r="N850" s="15" t="str">
        <f>VLOOKUP(I850,CHOOSE({1,2},Table17[Native],Table17[Name]),2,0)</f>
        <v>Băoshān Shì</v>
      </c>
      <c r="O850" s="15" t="str">
        <f t="shared" si="26"/>
        <v>Puchuan Xiang (Băoshān Shì)</v>
      </c>
      <c r="P850" s="15" t="str">
        <f t="shared" si="27"/>
        <v>Puchuan Xiang (Băoshān Shì)</v>
      </c>
    </row>
    <row r="851" spans="1:16" hidden="1" x14ac:dyDescent="0.25">
      <c r="A851" t="s">
        <v>2623</v>
      </c>
      <c r="B851" t="str">
        <f>IF(COUNTIF(A:A,A851)&gt;1,_xlfn.CONCAT(A851," (",N851,")"),A851)</f>
        <v>Pŭ'ĕr Zhèn</v>
      </c>
      <c r="C851" t="str">
        <f>IF(COUNTIF(B:B,B851)&gt;1,_xlfn.CONCAT(A851," (",M851,")"),B851)</f>
        <v>Pŭ'ĕr Zhèn</v>
      </c>
      <c r="D851" t="s">
        <v>2624</v>
      </c>
      <c r="E851" t="s">
        <v>11</v>
      </c>
      <c r="F851" t="str">
        <f>_xlfn.CONCAT(D851,", ",H851,", ",I851,", ","云南省")</f>
        <v>普洱镇, 盐津县, 昭通市, 云南省</v>
      </c>
      <c r="G851">
        <v>61303</v>
      </c>
      <c r="H851" t="s">
        <v>2906</v>
      </c>
      <c r="I851" t="s">
        <v>2899</v>
      </c>
      <c r="J851">
        <f>VLOOKUP(F851,[1]!china_towns_second__2[[Column1]:[Y]],3,FALSE)</f>
        <v>28.295569402861702</v>
      </c>
      <c r="K851">
        <f>VLOOKUP(F851,[1]!china_towns_second__2[[Column1]:[Y]],2,FALSE)</f>
        <v>104.1202665</v>
      </c>
      <c r="L851" t="s">
        <v>4404</v>
      </c>
      <c r="M851" t="str">
        <f>VLOOKUP(H851,CHOOSE({1,2},Table17[Native],Table17[Name]),2,0)</f>
        <v>Yánjīn Xiàn</v>
      </c>
      <c r="N851" s="15" t="str">
        <f>VLOOKUP(I851,CHOOSE({1,2},Table17[Native],Table17[Name]),2,0)</f>
        <v>Zhāotōng Shì</v>
      </c>
      <c r="O851" s="15" t="str">
        <f t="shared" si="26"/>
        <v>Pu'er Zhen (Zhāotōng Shì)</v>
      </c>
      <c r="P851" s="15" t="str">
        <f t="shared" si="27"/>
        <v>Pu'er Zhen (Zhāotōng Shì)</v>
      </c>
    </row>
    <row r="852" spans="1:16" hidden="1" x14ac:dyDescent="0.25">
      <c r="A852" t="s">
        <v>1197</v>
      </c>
      <c r="B852" t="str">
        <f>IF(COUNTIF(A:A,A852)&gt;1,_xlfn.CONCAT(A852," (",N852,")"),A852)</f>
        <v>Pŭjí Jiēdào</v>
      </c>
      <c r="C852" t="str">
        <f>IF(COUNTIF(B:B,B852)&gt;1,_xlfn.CONCAT(A852," (",M852,")"),B852)</f>
        <v>Pŭjí Jiēdào</v>
      </c>
      <c r="D852" t="s">
        <v>1198</v>
      </c>
      <c r="E852" t="s">
        <v>42</v>
      </c>
      <c r="F852" t="str">
        <f>_xlfn.CONCAT(D852,", ",H852,", ",I852,", ","云南省")</f>
        <v>普吉街道, 五华区, 昆明市, 云南省</v>
      </c>
      <c r="G852">
        <v>74604</v>
      </c>
      <c r="H852" t="s">
        <v>2818</v>
      </c>
      <c r="I852" t="s">
        <v>2807</v>
      </c>
      <c r="J852">
        <f>VLOOKUP(F852,[1]!china_towns_second__2[[Column1]:[Y]],3,FALSE)</f>
        <v>25.106259177317899</v>
      </c>
      <c r="K852">
        <f>VLOOKUP(F852,[1]!china_towns_second__2[[Column1]:[Y]],2,FALSE)</f>
        <v>102.6684484</v>
      </c>
      <c r="L852" t="s">
        <v>4405</v>
      </c>
      <c r="M852" t="str">
        <f>VLOOKUP(H852,CHOOSE({1,2},Table17[Native],Table17[Name]),2,0)</f>
        <v>Wŭhuá Qū</v>
      </c>
      <c r="N852" s="15" t="str">
        <f>VLOOKUP(I852,CHOOSE({1,2},Table17[Native],Table17[Name]),2,0)</f>
        <v>Kūnmíng Shì</v>
      </c>
      <c r="O852" s="15" t="str">
        <f t="shared" si="26"/>
        <v>Puji Jiedao (Kūnmíng Shì)</v>
      </c>
      <c r="P852" s="15" t="str">
        <f t="shared" si="27"/>
        <v>Puji Jiedao (Kūnmíng Shì)</v>
      </c>
    </row>
    <row r="853" spans="1:16" hidden="1" x14ac:dyDescent="0.25">
      <c r="A853" t="s">
        <v>1631</v>
      </c>
      <c r="B853" t="str">
        <f>IF(COUNTIF(A:A,A853)&gt;1,_xlfn.CONCAT(A853," (",N853,")"),A853)</f>
        <v>Pŭlādĭ Xiāng</v>
      </c>
      <c r="C853" t="str">
        <f>IF(COUNTIF(B:B,B853)&gt;1,_xlfn.CONCAT(A853," (",M853,")"),B853)</f>
        <v>Pŭlādĭ Xiāng</v>
      </c>
      <c r="D853" t="s">
        <v>1632</v>
      </c>
      <c r="E853" t="s">
        <v>7</v>
      </c>
      <c r="F853" t="str">
        <f>_xlfn.CONCAT(D853,", ",H853,", ",I853,", ","云南省")</f>
        <v>普拉底乡, 贡山独龙族怒族自治县, 怒江傈僳族自治州, 云南省</v>
      </c>
      <c r="G853">
        <v>6627</v>
      </c>
      <c r="H853" t="s">
        <v>2844</v>
      </c>
      <c r="I853" t="s">
        <v>2842</v>
      </c>
      <c r="J853" t="e">
        <f>VLOOKUP(F853,[1]!china_towns_second__2[[Column1]:[Y]],3,FALSE)</f>
        <v>#N/A</v>
      </c>
      <c r="K853" t="e">
        <f>VLOOKUP(F853,[1]!china_towns_second__2[[Column1]:[Y]],2,FALSE)</f>
        <v>#N/A</v>
      </c>
      <c r="L853" t="s">
        <v>4406</v>
      </c>
      <c r="M853" t="str">
        <f>VLOOKUP(H853,CHOOSE({1,2},Table17[Native],Table17[Name]),2,0)</f>
        <v>Gòngshān Dúlóngzú Nùzú Zìzhìxiàn</v>
      </c>
      <c r="N853" s="15" t="str">
        <f>VLOOKUP(I853,CHOOSE({1,2},Table17[Native],Table17[Name]),2,0)</f>
        <v>Nùjiāng Lìsùzú Zìzhìzhōu</v>
      </c>
      <c r="O853" s="15" t="str">
        <f t="shared" si="26"/>
        <v>Puladi Xiang (Nùjiāng Lìsùzú Zìzhìzhōu)</v>
      </c>
      <c r="P853" s="15" t="str">
        <f t="shared" si="27"/>
        <v>Puladi Xiang (Nùjiāng Lìsùzú Zìzhìzhōu)</v>
      </c>
    </row>
    <row r="854" spans="1:16" hidden="1" x14ac:dyDescent="0.25">
      <c r="A854" t="s">
        <v>1983</v>
      </c>
      <c r="B854" t="str">
        <f>IF(COUNTIF(A:A,A854)&gt;1,_xlfn.CONCAT(A854," (",N854,")"),A854)</f>
        <v>Pŭlì Xiāng</v>
      </c>
      <c r="C854" t="str">
        <f>IF(COUNTIF(B:B,B854)&gt;1,_xlfn.CONCAT(A854," (",M854,")"),B854)</f>
        <v>Pŭlì Xiāng</v>
      </c>
      <c r="D854" t="s">
        <v>1984</v>
      </c>
      <c r="E854" t="s">
        <v>7</v>
      </c>
      <c r="F854" t="str">
        <f>_xlfn.CONCAT(D854,", ",H854,", ",I854,", ","云南省")</f>
        <v>普立乡, 宣威市, 曲靖市, 云南省</v>
      </c>
      <c r="G854">
        <v>29092</v>
      </c>
      <c r="H854" t="s">
        <v>2868</v>
      </c>
      <c r="I854" t="s">
        <v>2860</v>
      </c>
      <c r="J854" t="e">
        <f>VLOOKUP(F854,[1]!china_towns_second__2[[Column1]:[Y]],3,FALSE)</f>
        <v>#N/A</v>
      </c>
      <c r="K854" t="e">
        <f>VLOOKUP(F854,[1]!china_towns_second__2[[Column1]:[Y]],2,FALSE)</f>
        <v>#N/A</v>
      </c>
      <c r="L854" t="s">
        <v>4407</v>
      </c>
      <c r="M854" t="str">
        <f>VLOOKUP(H854,CHOOSE({1,2},Table17[Native],Table17[Name]),2,0)</f>
        <v>Xuānwēi Shì</v>
      </c>
      <c r="N854" s="15" t="str">
        <f>VLOOKUP(I854,CHOOSE({1,2},Table17[Native],Table17[Name]),2,0)</f>
        <v>Qŭjìng Shì</v>
      </c>
      <c r="O854" s="15" t="str">
        <f t="shared" si="26"/>
        <v>Puli Xiang (Qŭjìng Shì)</v>
      </c>
      <c r="P854" s="15" t="str">
        <f t="shared" si="27"/>
        <v>Puli Xiang (Qŭjìng Shì)</v>
      </c>
    </row>
    <row r="855" spans="1:16" hidden="1" x14ac:dyDescent="0.25">
      <c r="A855" t="s">
        <v>512</v>
      </c>
      <c r="B855" t="str">
        <f>IF(COUNTIF(A:A,A855)&gt;1,_xlfn.CONCAT(A855," (",N855,")"),A855)</f>
        <v>Pŭpéng Zhèn</v>
      </c>
      <c r="C855" t="str">
        <f>IF(COUNTIF(B:B,B855)&gt;1,_xlfn.CONCAT(A855," (",M855,")"),B855)</f>
        <v>Pŭpéng Zhèn</v>
      </c>
      <c r="D855" t="s">
        <v>513</v>
      </c>
      <c r="E855" t="s">
        <v>11</v>
      </c>
      <c r="F855" t="str">
        <f>_xlfn.CONCAT(D855,", ",H855,", ",I855,", ","云南省")</f>
        <v>普棚镇, 祥云县, 大理白族自治州, 云南省</v>
      </c>
      <c r="G855">
        <v>25480</v>
      </c>
      <c r="H855" t="s">
        <v>2773</v>
      </c>
      <c r="I855" t="s">
        <v>2763</v>
      </c>
      <c r="J855">
        <f>VLOOKUP(F855,[1]!china_towns_second__2[[Column1]:[Y]],3,FALSE)</f>
        <v>25.3470647717673</v>
      </c>
      <c r="K855">
        <f>VLOOKUP(F855,[1]!china_towns_second__2[[Column1]:[Y]],2,FALSE)</f>
        <v>100.9221659</v>
      </c>
      <c r="L855" t="s">
        <v>4408</v>
      </c>
      <c r="M855" t="str">
        <f>VLOOKUP(H855,CHOOSE({1,2},Table17[Native],Table17[Name]),2,0)</f>
        <v>Xiángyún Xiàn</v>
      </c>
      <c r="N855" s="15" t="str">
        <f>VLOOKUP(I855,CHOOSE({1,2},Table17[Native],Table17[Name]),2,0)</f>
        <v>Dàlĭ Báizú Zìzhìzhōu</v>
      </c>
      <c r="O855" s="15" t="str">
        <f t="shared" si="26"/>
        <v>Pupeng Zhen (Dàlĭ Báizú Zìzhìzhōu)</v>
      </c>
      <c r="P855" s="15" t="str">
        <f t="shared" si="27"/>
        <v>Pupeng Zhen (Dàlĭ Báizú Zìzhìzhōu)</v>
      </c>
    </row>
    <row r="856" spans="1:16" hidden="1" x14ac:dyDescent="0.25">
      <c r="A856" t="s">
        <v>97</v>
      </c>
      <c r="B856" t="str">
        <f>IF(COUNTIF(A:A,A856)&gt;1,_xlfn.CONCAT(A856," (",N856,")"),A856)</f>
        <v>Púpiāo Zhèn</v>
      </c>
      <c r="C856" t="str">
        <f>IF(COUNTIF(B:B,B856)&gt;1,_xlfn.CONCAT(A856," (",M856,")"),B856)</f>
        <v>Púpiāo Zhèn</v>
      </c>
      <c r="D856" t="s">
        <v>98</v>
      </c>
      <c r="E856" t="s">
        <v>11</v>
      </c>
      <c r="F856" t="str">
        <f>_xlfn.CONCAT(D856,", ",H856,", ",I856,", ","云南省")</f>
        <v>蒲缥镇, 隆阳区, 保山市, 云南省</v>
      </c>
      <c r="G856">
        <v>52676</v>
      </c>
      <c r="H856" t="s">
        <v>2744</v>
      </c>
      <c r="I856" t="s">
        <v>2739</v>
      </c>
      <c r="J856">
        <f>VLOOKUP(F856,[1]!china_towns_second__2[[Column1]:[Y]],3,FALSE)</f>
        <v>25.008729147253</v>
      </c>
      <c r="K856">
        <f>VLOOKUP(F856,[1]!china_towns_second__2[[Column1]:[Y]],2,FALSE)</f>
        <v>99.004416219999996</v>
      </c>
      <c r="L856" t="s">
        <v>4409</v>
      </c>
      <c r="M856" t="str">
        <f>VLOOKUP(H856,CHOOSE({1,2},Table17[Native],Table17[Name]),2,0)</f>
        <v>Lóngyáng Qū</v>
      </c>
      <c r="N856" s="15" t="str">
        <f>VLOOKUP(I856,CHOOSE({1,2},Table17[Native],Table17[Name]),2,0)</f>
        <v>Băoshān Shì</v>
      </c>
      <c r="O856" s="15" t="str">
        <f t="shared" si="26"/>
        <v>Pupiao Zhen (Băoshān Shì)</v>
      </c>
      <c r="P856" s="15" t="str">
        <f t="shared" si="27"/>
        <v>Pupiao Zhen (Băoshān Shì)</v>
      </c>
    </row>
    <row r="857" spans="1:16" hidden="1" x14ac:dyDescent="0.25">
      <c r="A857" t="s">
        <v>2307</v>
      </c>
      <c r="B857" t="str">
        <f>IF(COUNTIF(A:A,A857)&gt;1,_xlfn.CONCAT(A857," (",N857,")"),A857)</f>
        <v>Pŭwén Zhèn</v>
      </c>
      <c r="C857" t="str">
        <f>IF(COUNTIF(B:B,B857)&gt;1,_xlfn.CONCAT(A857," (",M857,")"),B857)</f>
        <v>Pŭwén Zhèn</v>
      </c>
      <c r="D857" t="s">
        <v>2308</v>
      </c>
      <c r="E857" t="s">
        <v>11</v>
      </c>
      <c r="F857" t="str">
        <f>_xlfn.CONCAT(D857,", ",H857,", ",I857,", ","云南省")</f>
        <v>普文镇, 景洪市, 西双版纳傣族自治州, 云南省</v>
      </c>
      <c r="G857">
        <v>28244</v>
      </c>
      <c r="H857" t="s">
        <v>2884</v>
      </c>
      <c r="I857" t="s">
        <v>2883</v>
      </c>
      <c r="J857">
        <f>VLOOKUP(F857,[1]!china_towns_second__2[[Column1]:[Y]],3,FALSE)</f>
        <v>22.459899831108199</v>
      </c>
      <c r="K857">
        <f>VLOOKUP(F857,[1]!china_towns_second__2[[Column1]:[Y]],2,FALSE)</f>
        <v>101.0685178</v>
      </c>
      <c r="L857" t="s">
        <v>4410</v>
      </c>
      <c r="M857" t="str">
        <f>VLOOKUP(H857,CHOOSE({1,2},Table17[Native],Table17[Name]),2,0)</f>
        <v>Jĭnghóng Shì</v>
      </c>
      <c r="N857" s="15" t="str">
        <f>VLOOKUP(I857,CHOOSE({1,2},Table17[Native],Table17[Name]),2,0)</f>
        <v>Xīshuāngbănnà Dăizú Zìzhìzhōu</v>
      </c>
      <c r="O857" s="15" t="str">
        <f t="shared" si="26"/>
        <v>Puwen Zhen (Xīshuāngbănnà Dăizú Zìzhìzhōu)</v>
      </c>
      <c r="P857" s="15" t="str">
        <f t="shared" si="27"/>
        <v>Puwen Zhen (Xīshuāngbănnà Dăizú Zìzhìzhōu)</v>
      </c>
    </row>
    <row r="858" spans="1:16" hidden="1" x14ac:dyDescent="0.25">
      <c r="A858" t="s">
        <v>939</v>
      </c>
      <c r="B858" t="str">
        <f>IF(COUNTIF(A:A,A858)&gt;1,_xlfn.CONCAT(A858," (",N858,")"),A858)</f>
        <v>Pŭxióng Xiāng</v>
      </c>
      <c r="C858" t="str">
        <f>IF(COUNTIF(B:B,B858)&gt;1,_xlfn.CONCAT(A858," (",M858,")"),B858)</f>
        <v>Pŭxióng Xiāng</v>
      </c>
      <c r="D858" t="s">
        <v>940</v>
      </c>
      <c r="E858" t="s">
        <v>7</v>
      </c>
      <c r="F858" t="str">
        <f>_xlfn.CONCAT(D858,", ",H858,", ",I858,", ","云南省")</f>
        <v>普雄乡, 建水县, 红河哈尼族彝族自治州, 云南省</v>
      </c>
      <c r="G858">
        <v>12963</v>
      </c>
      <c r="H858" t="s">
        <v>2796</v>
      </c>
      <c r="I858" t="s">
        <v>2792</v>
      </c>
      <c r="J858" t="e">
        <f>VLOOKUP(F858,[1]!china_towns_second__2[[Column1]:[Y]],3,FALSE)</f>
        <v>#N/A</v>
      </c>
      <c r="K858" t="e">
        <f>VLOOKUP(F858,[1]!china_towns_second__2[[Column1]:[Y]],2,FALSE)</f>
        <v>#N/A</v>
      </c>
      <c r="L858" t="s">
        <v>4411</v>
      </c>
      <c r="M858" t="str">
        <f>VLOOKUP(H858,CHOOSE({1,2},Table17[Native],Table17[Name]),2,0)</f>
        <v>Jiànshuĭ Xiàn</v>
      </c>
      <c r="N858" s="15" t="str">
        <f>VLOOKUP(I858,CHOOSE({1,2},Table17[Native],Table17[Name]),2,0)</f>
        <v>Hónghé Hānízú Yízú Zìzhìzhōu</v>
      </c>
      <c r="O858" s="15" t="str">
        <f t="shared" si="26"/>
        <v>Puxiong Xiang (Hónghé Hānízú Yízú Zìzhìzhōu)</v>
      </c>
      <c r="P858" s="15" t="str">
        <f t="shared" si="27"/>
        <v>Puxiong Xiang (Hónghé Hānízú Yízú Zìzhìzhōu)</v>
      </c>
    </row>
    <row r="859" spans="1:16" hidden="1" x14ac:dyDescent="0.25">
      <c r="A859" t="s">
        <v>1783</v>
      </c>
      <c r="B859" t="str">
        <f>IF(COUNTIF(A:A,A859)&gt;1,_xlfn.CONCAT(A859," (",N859,")"),A859)</f>
        <v>Pŭyì Xiāng</v>
      </c>
      <c r="C859" t="str">
        <f>IF(COUNTIF(B:B,B859)&gt;1,_xlfn.CONCAT(A859," (",M859,")"),B859)</f>
        <v>Pŭyì Xiāng</v>
      </c>
      <c r="D859" t="s">
        <v>1784</v>
      </c>
      <c r="E859" t="s">
        <v>7</v>
      </c>
      <c r="F859" t="str">
        <f>_xlfn.CONCAT(D859,", ",H859,", ",I859,", ","云南省")</f>
        <v>普义乡, 宁洱哈尼族彝族自治县, 普洱市, 云南省</v>
      </c>
      <c r="G859">
        <v>11934</v>
      </c>
      <c r="H859" t="s">
        <v>2855</v>
      </c>
      <c r="I859" t="s">
        <v>2848</v>
      </c>
      <c r="J859" t="e">
        <f>VLOOKUP(F859,[1]!china_towns_second__2[[Column1]:[Y]],3,FALSE)</f>
        <v>#N/A</v>
      </c>
      <c r="K859" t="e">
        <f>VLOOKUP(F859,[1]!china_towns_second__2[[Column1]:[Y]],2,FALSE)</f>
        <v>#N/A</v>
      </c>
      <c r="L859" t="s">
        <v>4412</v>
      </c>
      <c r="M859" t="str">
        <f>VLOOKUP(H859,CHOOSE({1,2},Table17[Native],Table17[Name]),2,0)</f>
        <v>Níng'ĕr Hānízú Yízú Zìzhìxiàn</v>
      </c>
      <c r="N859" s="15" t="str">
        <f>VLOOKUP(I859,CHOOSE({1,2},Table17[Native],Table17[Name]),2,0)</f>
        <v>Pŭ'ĕr Shì</v>
      </c>
      <c r="O859" s="15" t="str">
        <f t="shared" si="26"/>
        <v>Puyi Xiang (Pŭ'ĕr Shì)</v>
      </c>
      <c r="P859" s="15" t="str">
        <f t="shared" si="27"/>
        <v>Puyi Xiang (Pŭ'ĕr Shì)</v>
      </c>
    </row>
    <row r="860" spans="1:16" hidden="1" x14ac:dyDescent="0.25">
      <c r="A860" t="s">
        <v>281</v>
      </c>
      <c r="B860" t="str">
        <f>IF(COUNTIF(A:A,A860)&gt;1,_xlfn.CONCAT(A860," (",N860,")"),A860)</f>
        <v>Qiánchăng Zhèn</v>
      </c>
      <c r="C860" t="str">
        <f>IF(COUNTIF(B:B,B860)&gt;1,_xlfn.CONCAT(A860," (",M860,")"),B860)</f>
        <v>Qiánchăng Zhèn</v>
      </c>
      <c r="D860" t="s">
        <v>282</v>
      </c>
      <c r="E860" t="s">
        <v>11</v>
      </c>
      <c r="F860" t="str">
        <f>_xlfn.CONCAT(D860,", ",H860,", ",I860,", ","云南省")</f>
        <v>前场镇, 姚安县, 楚雄彝族自治州, 云南省</v>
      </c>
      <c r="G860">
        <v>17009</v>
      </c>
      <c r="H860" t="s">
        <v>2758</v>
      </c>
      <c r="I860" t="s">
        <v>2750</v>
      </c>
      <c r="J860">
        <f>VLOOKUP(F860,[1]!china_towns_second__2[[Column1]:[Y]],3,FALSE)</f>
        <v>25.5054612220171</v>
      </c>
      <c r="K860">
        <f>VLOOKUP(F860,[1]!china_towns_second__2[[Column1]:[Y]],2,FALSE)</f>
        <v>101.3919523</v>
      </c>
      <c r="L860" t="s">
        <v>4413</v>
      </c>
      <c r="M860" t="str">
        <f>VLOOKUP(H860,CHOOSE({1,2},Table17[Native],Table17[Name]),2,0)</f>
        <v>Yáo'ān Xiàn</v>
      </c>
      <c r="N860" s="15" t="str">
        <f>VLOOKUP(I860,CHOOSE({1,2},Table17[Native],Table17[Name]),2,0)</f>
        <v>Chŭxióng Yízú Zìzhìzhōu</v>
      </c>
      <c r="O860" s="15" t="str">
        <f t="shared" si="26"/>
        <v>Qianchang Zhen (Chŭxióng Yízú Zìzhìzhōu)</v>
      </c>
      <c r="P860" s="15" t="str">
        <f t="shared" si="27"/>
        <v>Qianchang Zhen (Chŭxióng Yízú Zìzhìzhōu)</v>
      </c>
    </row>
    <row r="861" spans="1:16" hidden="1" x14ac:dyDescent="0.25">
      <c r="A861" t="s">
        <v>1785</v>
      </c>
      <c r="B861" t="str">
        <f>IF(COUNTIF(A:A,A861)&gt;1,_xlfn.CONCAT(A861," (",N861,")"),A861)</f>
        <v>Qiānliù Yízú Xiāng</v>
      </c>
      <c r="C861" t="str">
        <f>IF(COUNTIF(B:B,B861)&gt;1,_xlfn.CONCAT(A861," (",M861,")"),B861)</f>
        <v>Qiānliù Yízú Xiāng</v>
      </c>
      <c r="D861" t="s">
        <v>1786</v>
      </c>
      <c r="E861" t="s">
        <v>7</v>
      </c>
      <c r="F861" t="str">
        <f>_xlfn.CONCAT(D861,", ",H861,", ",I861,", ","云南省")</f>
        <v>谦六彝族乡, 澜沧拉祜族自治县, 普洱市, 云南省</v>
      </c>
      <c r="G861">
        <v>48090</v>
      </c>
      <c r="H861" t="s">
        <v>2852</v>
      </c>
      <c r="I861" t="s">
        <v>2848</v>
      </c>
      <c r="J861" t="e">
        <f>VLOOKUP(F861,[1]!china_towns_second__2[[Column1]:[Y]],3,FALSE)</f>
        <v>#N/A</v>
      </c>
      <c r="K861" t="e">
        <f>VLOOKUP(F861,[1]!china_towns_second__2[[Column1]:[Y]],2,FALSE)</f>
        <v>#N/A</v>
      </c>
      <c r="L861" t="s">
        <v>4414</v>
      </c>
      <c r="M861" t="str">
        <f>VLOOKUP(H861,CHOOSE({1,2},Table17[Native],Table17[Name]),2,0)</f>
        <v>Láncāng Lāhùzú Zìzhìxiàn</v>
      </c>
      <c r="N861" s="15" t="str">
        <f>VLOOKUP(I861,CHOOSE({1,2},Table17[Native],Table17[Name]),2,0)</f>
        <v>Pŭ'ĕr Shì</v>
      </c>
      <c r="O861" s="15" t="str">
        <f t="shared" si="26"/>
        <v>Qianliu Yizu Xiang (Pŭ'ĕr Shì)</v>
      </c>
      <c r="P861" s="15" t="str">
        <f t="shared" si="27"/>
        <v>Qianliu Yizu Xiang (Pŭ'ĕr Shì)</v>
      </c>
    </row>
    <row r="862" spans="1:16" hidden="1" x14ac:dyDescent="0.25">
      <c r="A862" t="s">
        <v>1199</v>
      </c>
      <c r="B862" t="str">
        <f>IF(COUNTIF(A:A,A862)&gt;1,_xlfn.CONCAT(A862," (",N862,")"),A862)</f>
        <v>Qiánwèi Jiēdào</v>
      </c>
      <c r="C862" t="str">
        <f>IF(COUNTIF(B:B,B862)&gt;1,_xlfn.CONCAT(A862," (",M862,")"),B862)</f>
        <v>Qiánwèi Jiēdào</v>
      </c>
      <c r="D862" t="s">
        <v>1200</v>
      </c>
      <c r="E862" t="s">
        <v>42</v>
      </c>
      <c r="F862" t="str">
        <f>_xlfn.CONCAT(D862,", ",H862,", ",I862,", ","云南省")</f>
        <v>前卫街道, 西山区, 昆明市, 云南省</v>
      </c>
      <c r="G862">
        <v>58687</v>
      </c>
      <c r="H862" t="s">
        <v>2819</v>
      </c>
      <c r="I862" t="s">
        <v>2807</v>
      </c>
      <c r="J862">
        <f>VLOOKUP(F862,[1]!china_towns_second__2[[Column1]:[Y]],3,FALSE)</f>
        <v>24.996418632645799</v>
      </c>
      <c r="K862">
        <f>VLOOKUP(F862,[1]!china_towns_second__2[[Column1]:[Y]],2,FALSE)</f>
        <v>102.7032612</v>
      </c>
      <c r="L862" t="s">
        <v>4415</v>
      </c>
      <c r="M862" t="str">
        <f>VLOOKUP(H862,CHOOSE({1,2},Table17[Native],Table17[Name]),2,0)</f>
        <v>Xīshān Qū</v>
      </c>
      <c r="N862" s="15" t="str">
        <f>VLOOKUP(I862,CHOOSE({1,2},Table17[Native],Table17[Name]),2,0)</f>
        <v>Kūnmíng Shì</v>
      </c>
      <c r="O862" s="15" t="str">
        <f t="shared" si="26"/>
        <v>Qianwei Jiedao (Kūnmíng Shì)</v>
      </c>
      <c r="P862" s="15" t="str">
        <f t="shared" si="27"/>
        <v>Qianwei Jiedao (Kūnmíng Shì)</v>
      </c>
    </row>
    <row r="863" spans="1:16" hidden="1" x14ac:dyDescent="0.25">
      <c r="A863" t="s">
        <v>2416</v>
      </c>
      <c r="B863" t="str">
        <f>IF(COUNTIF(A:A,A863)&gt;1,_xlfn.CONCAT(A863," (",N863,")"),A863)</f>
        <v>Qiánwèi Zhèn</v>
      </c>
      <c r="C863" t="str">
        <f>IF(COUNTIF(B:B,B863)&gt;1,_xlfn.CONCAT(A863," (",M863,")"),B863)</f>
        <v>Qiánwèi Zhèn</v>
      </c>
      <c r="D863" t="s">
        <v>2417</v>
      </c>
      <c r="E863" t="s">
        <v>11</v>
      </c>
      <c r="F863" t="str">
        <f>_xlfn.CONCAT(D863,", ",H863,", ",I863,", ","云南省")</f>
        <v>前卫镇, 江川区, 玉溪市, 云南省</v>
      </c>
      <c r="G863">
        <v>48166</v>
      </c>
      <c r="H863" t="s">
        <v>2893</v>
      </c>
      <c r="I863" t="s">
        <v>2888</v>
      </c>
      <c r="J863">
        <f>VLOOKUP(F863,[1]!china_towns_second__2[[Column1]:[Y]],3,FALSE)</f>
        <v>24.347951869048501</v>
      </c>
      <c r="K863">
        <f>VLOOKUP(F863,[1]!china_towns_second__2[[Column1]:[Y]],2,FALSE)</f>
        <v>102.71571</v>
      </c>
      <c r="L863" t="s">
        <v>4416</v>
      </c>
      <c r="M863" t="str">
        <f>VLOOKUP(H863,CHOOSE({1,2},Table17[Native],Table17[Name]),2,0)</f>
        <v>Jiāngchuān Qū</v>
      </c>
      <c r="N863" s="15" t="str">
        <f>VLOOKUP(I863,CHOOSE({1,2},Table17[Native],Table17[Name]),2,0)</f>
        <v>Yùxī Shì</v>
      </c>
      <c r="O863" s="15" t="str">
        <f t="shared" si="26"/>
        <v>Qianwei Zhen (Yùxī Shì)</v>
      </c>
      <c r="P863" s="15" t="str">
        <f t="shared" si="27"/>
        <v>Qianwei Zhen (Yùxī Shì)</v>
      </c>
    </row>
    <row r="864" spans="1:16" hidden="1" x14ac:dyDescent="0.25">
      <c r="A864" t="s">
        <v>514</v>
      </c>
      <c r="B864" t="str">
        <f>IF(COUNTIF(A:A,A864)&gt;1,_xlfn.CONCAT(A864," (",N864,")"),A864)</f>
        <v>Qiáodiàn Zhèn</v>
      </c>
      <c r="C864" t="str">
        <f>IF(COUNTIF(B:B,B864)&gt;1,_xlfn.CONCAT(A864," (",M864,")"),B864)</f>
        <v>Qiáodiàn Zhèn</v>
      </c>
      <c r="D864" t="s">
        <v>515</v>
      </c>
      <c r="E864" t="s">
        <v>11</v>
      </c>
      <c r="F864" t="str">
        <f>_xlfn.CONCAT(D864,", ",H864,", ",I864,", ","云南省")</f>
        <v>乔甸镇, 宾川县, 大理白族自治州, 云南省</v>
      </c>
      <c r="G864">
        <v>21674</v>
      </c>
      <c r="H864" t="s">
        <v>2764</v>
      </c>
      <c r="I864" t="s">
        <v>2763</v>
      </c>
      <c r="J864">
        <f>VLOOKUP(F864,[1]!china_towns_second__2[[Column1]:[Y]],3,FALSE)</f>
        <v>25.654331945132999</v>
      </c>
      <c r="K864">
        <f>VLOOKUP(F864,[1]!china_towns_second__2[[Column1]:[Y]],2,FALSE)</f>
        <v>100.6324195</v>
      </c>
      <c r="L864" t="s">
        <v>4417</v>
      </c>
      <c r="M864" t="str">
        <f>VLOOKUP(H864,CHOOSE({1,2},Table17[Native],Table17[Name]),2,0)</f>
        <v>Bīnchuān Xiàn</v>
      </c>
      <c r="N864" s="15" t="str">
        <f>VLOOKUP(I864,CHOOSE({1,2},Table17[Native],Table17[Name]),2,0)</f>
        <v>Dàlĭ Báizú Zìzhìzhōu</v>
      </c>
      <c r="O864" s="15" t="str">
        <f t="shared" si="26"/>
        <v>Qiaodian Zhen (Dàlĭ Báizú Zìzhìzhōu)</v>
      </c>
      <c r="P864" s="15" t="str">
        <f t="shared" si="27"/>
        <v>Qiaodian Zhen (Dàlĭ Báizú Zìzhìzhōu)</v>
      </c>
    </row>
    <row r="865" spans="1:16" hidden="1" x14ac:dyDescent="0.25">
      <c r="A865" t="s">
        <v>516</v>
      </c>
      <c r="B865" t="str">
        <f>IF(COUNTIF(A:A,A865)&gt;1,_xlfn.CONCAT(A865," (",N865,")"),A865)</f>
        <v>Qiáohòu Zhèn</v>
      </c>
      <c r="C865" t="str">
        <f>IF(COUNTIF(B:B,B865)&gt;1,_xlfn.CONCAT(A865," (",M865,")"),B865)</f>
        <v>Qiáohòu Zhèn</v>
      </c>
      <c r="D865" t="s">
        <v>517</v>
      </c>
      <c r="E865" t="s">
        <v>11</v>
      </c>
      <c r="F865" t="str">
        <f>_xlfn.CONCAT(D865,", ",H865,", ",I865,", ","云南省")</f>
        <v>乔后镇, 洱源县, 大理白族自治州, 云南省</v>
      </c>
      <c r="G865">
        <v>20406</v>
      </c>
      <c r="H865" t="s">
        <v>2766</v>
      </c>
      <c r="I865" t="s">
        <v>2763</v>
      </c>
      <c r="J865">
        <f>VLOOKUP(F865,[1]!china_towns_second__2[[Column1]:[Y]],3,FALSE)</f>
        <v>26.133002080978098</v>
      </c>
      <c r="K865">
        <f>VLOOKUP(F865,[1]!china_towns_second__2[[Column1]:[Y]],2,FALSE)</f>
        <v>99.704200040000003</v>
      </c>
      <c r="L865" t="s">
        <v>4418</v>
      </c>
      <c r="M865" t="str">
        <f>VLOOKUP(H865,CHOOSE({1,2},Table17[Native],Table17[Name]),2,0)</f>
        <v>Ĕryuán Xiàn</v>
      </c>
      <c r="N865" s="15" t="str">
        <f>VLOOKUP(I865,CHOOSE({1,2},Table17[Native],Table17[Name]),2,0)</f>
        <v>Dàlĭ Báizú Zìzhìzhōu</v>
      </c>
      <c r="O865" s="15" t="str">
        <f t="shared" si="26"/>
        <v>Qiaohou Zhen (Dàlĭ Báizú Zìzhìzhōu)</v>
      </c>
      <c r="P865" s="15" t="str">
        <f t="shared" si="27"/>
        <v>Qiaohou Zhen (Dàlĭ Báizú Zìzhìzhōu)</v>
      </c>
    </row>
    <row r="866" spans="1:16" hidden="1" x14ac:dyDescent="0.25">
      <c r="A866" t="s">
        <v>2625</v>
      </c>
      <c r="B866" t="str">
        <f>IF(COUNTIF(A:A,A866)&gt;1,_xlfn.CONCAT(A866," (",N866,")"),A866)</f>
        <v>Qiáoshān Zhèn</v>
      </c>
      <c r="C866" t="str">
        <f>IF(COUNTIF(B:B,B866)&gt;1,_xlfn.CONCAT(A866," (",M866,")"),B866)</f>
        <v>Qiáoshān Zhèn</v>
      </c>
      <c r="D866" t="s">
        <v>2626</v>
      </c>
      <c r="E866" t="s">
        <v>11</v>
      </c>
      <c r="F866" t="str">
        <f>_xlfn.CONCAT(D866,", ",H866,", ",I866,", ","云南省")</f>
        <v>荞山镇, 彝良县, 昭通市, 云南省</v>
      </c>
      <c r="G866">
        <v>40666</v>
      </c>
      <c r="H866" t="s">
        <v>2907</v>
      </c>
      <c r="I866" t="s">
        <v>2899</v>
      </c>
      <c r="J866">
        <f>VLOOKUP(F866,[1]!china_towns_second__2[[Column1]:[Y]],3,FALSE)</f>
        <v>27.616900285318899</v>
      </c>
      <c r="K866">
        <f>VLOOKUP(F866,[1]!china_towns_second__2[[Column1]:[Y]],2,FALSE)</f>
        <v>104.2202652</v>
      </c>
      <c r="L866" t="s">
        <v>4419</v>
      </c>
      <c r="M866" t="str">
        <f>VLOOKUP(H866,CHOOSE({1,2},Table17[Native],Table17[Name]),2,0)</f>
        <v>Yíliáng Xiàn</v>
      </c>
      <c r="N866" s="15" t="str">
        <f>VLOOKUP(I866,CHOOSE({1,2},Table17[Native],Table17[Name]),2,0)</f>
        <v>Zhāotōng Shì</v>
      </c>
      <c r="O866" s="15" t="str">
        <f t="shared" si="26"/>
        <v>Qiaoshan Zhen (Zhāotōng Shì)</v>
      </c>
      <c r="P866" s="15" t="str">
        <f t="shared" si="27"/>
        <v>Qiaoshan Zhen (Zhāotōng Shì)</v>
      </c>
    </row>
    <row r="867" spans="1:16" hidden="1" x14ac:dyDescent="0.25">
      <c r="A867" t="s">
        <v>941</v>
      </c>
      <c r="B867" t="str">
        <f>IF(COUNTIF(A:A,A867)&gt;1,_xlfn.CONCAT(A867," (",N867,")"),A867)</f>
        <v>Qiáotóu Miáozú Zhuàngzú Xiāng</v>
      </c>
      <c r="C867" t="str">
        <f>IF(COUNTIF(B:B,B867)&gt;1,_xlfn.CONCAT(A867," (",M867,")"),B867)</f>
        <v>Qiáotóu Miáozú Zhuàngzú Xiāng</v>
      </c>
      <c r="D867" t="s">
        <v>942</v>
      </c>
      <c r="E867" t="s">
        <v>7</v>
      </c>
      <c r="F867" t="str">
        <f>_xlfn.CONCAT(D867,", ",H867,", ",I867,", ","云南省")</f>
        <v>桥头苗族壮族乡, 河口瑶族自治县, 红河哈尼族彝族自治州, 云南省</v>
      </c>
      <c r="G867">
        <v>16616</v>
      </c>
      <c r="H867" t="s">
        <v>2794</v>
      </c>
      <c r="I867" t="s">
        <v>2792</v>
      </c>
      <c r="J867" t="e">
        <f>VLOOKUP(F867,[1]!china_towns_second__2[[Column1]:[Y]],3,FALSE)</f>
        <v>#N/A</v>
      </c>
      <c r="K867" t="e">
        <f>VLOOKUP(F867,[1]!china_towns_second__2[[Column1]:[Y]],2,FALSE)</f>
        <v>#N/A</v>
      </c>
      <c r="L867" t="s">
        <v>4420</v>
      </c>
      <c r="M867" t="str">
        <f>VLOOKUP(H867,CHOOSE({1,2},Table17[Native],Table17[Name]),2,0)</f>
        <v>Hékŏu Yáozú Zìzhìxiàn</v>
      </c>
      <c r="N867" s="15" t="str">
        <f>VLOOKUP(I867,CHOOSE({1,2},Table17[Native],Table17[Name]),2,0)</f>
        <v>Hónghé Hānízú Yízú Zìzhìzhōu</v>
      </c>
      <c r="O867" s="15" t="str">
        <f t="shared" si="26"/>
        <v>Qiaotou Miaozu Zhuangzu Xiang (Hónghé Hānízú Yízú Zìzhìzhōu)</v>
      </c>
      <c r="P867" s="15" t="str">
        <f t="shared" si="27"/>
        <v>Qiaotou Miaozu Zhuangzu Xiang (Hónghé Hānízú Yízú Zìzhìzhōu)</v>
      </c>
    </row>
    <row r="868" spans="1:16" hidden="1" x14ac:dyDescent="0.25">
      <c r="A868" t="s">
        <v>1201</v>
      </c>
      <c r="B868" t="str">
        <f>IF(COUNTIF(A:A,A868)&gt;1,_xlfn.CONCAT(A868," (",N868,")"),A868)</f>
        <v>Qīdiàn Jiēdào</v>
      </c>
      <c r="C868" t="str">
        <f>IF(COUNTIF(B:B,B868)&gt;1,_xlfn.CONCAT(A868," (",M868,")"),B868)</f>
        <v>Qīdiàn Jiēdào</v>
      </c>
      <c r="D868" t="s">
        <v>1202</v>
      </c>
      <c r="E868" t="s">
        <v>42</v>
      </c>
      <c r="F868" t="str">
        <f>_xlfn.CONCAT(D868,", ",H868,", ",I868,", ","云南省")</f>
        <v>七甸街道, 呈贡区, 昆明市, 云南省</v>
      </c>
      <c r="G868">
        <v>22244</v>
      </c>
      <c r="H868" t="s">
        <v>2809</v>
      </c>
      <c r="I868" t="s">
        <v>2807</v>
      </c>
      <c r="J868">
        <f>VLOOKUP(F868,[1]!china_towns_second__2[[Column1]:[Y]],3,FALSE)</f>
        <v>24.927654172475901</v>
      </c>
      <c r="K868">
        <f>VLOOKUP(F868,[1]!china_towns_second__2[[Column1]:[Y]],2,FALSE)</f>
        <v>102.9394506</v>
      </c>
      <c r="L868" t="s">
        <v>4421</v>
      </c>
      <c r="M868" t="str">
        <f>VLOOKUP(H868,CHOOSE({1,2},Table17[Native],Table17[Name]),2,0)</f>
        <v>Chénggòng Qū</v>
      </c>
      <c r="N868" s="15" t="str">
        <f>VLOOKUP(I868,CHOOSE({1,2},Table17[Native],Table17[Name]),2,0)</f>
        <v>Kūnmíng Shì</v>
      </c>
      <c r="O868" s="15" t="str">
        <f t="shared" si="26"/>
        <v>Qidian Jiedao (Kūnmíng Shì)</v>
      </c>
      <c r="P868" s="15" t="str">
        <f t="shared" si="27"/>
        <v>Qidian Jiedao (Kūnmíng Shì)</v>
      </c>
    </row>
    <row r="869" spans="1:16" hidden="1" x14ac:dyDescent="0.25">
      <c r="A869" t="s">
        <v>1375</v>
      </c>
      <c r="B869" t="str">
        <f>IF(COUNTIF(A:A,A869)&gt;1,_xlfn.CONCAT(A869," (",N869,")"),A869)</f>
        <v>Qīhé Zhèn</v>
      </c>
      <c r="C869" t="str">
        <f>IF(COUNTIF(B:B,B869)&gt;1,_xlfn.CONCAT(A869," (",M869,")"),B869)</f>
        <v>Qīhé Zhèn</v>
      </c>
      <c r="D869" t="s">
        <v>1376</v>
      </c>
      <c r="E869" t="s">
        <v>11</v>
      </c>
      <c r="F869" t="str">
        <f>_xlfn.CONCAT(D869,", ",H869,", ",I869,", ","云南省")</f>
        <v>七河镇, 古城区, 丽江市, 云南省</v>
      </c>
      <c r="G869">
        <v>18316</v>
      </c>
      <c r="H869" t="s">
        <v>2824</v>
      </c>
      <c r="I869" t="s">
        <v>2823</v>
      </c>
      <c r="J869">
        <f>VLOOKUP(F869,[1]!china_towns_second__2[[Column1]:[Y]],3,FALSE)</f>
        <v>26.705186988683099</v>
      </c>
      <c r="K869">
        <f>VLOOKUP(F869,[1]!china_towns_second__2[[Column1]:[Y]],2,FALSE)</f>
        <v>100.23455420000001</v>
      </c>
      <c r="L869" t="s">
        <v>4422</v>
      </c>
      <c r="M869" t="str">
        <f>VLOOKUP(H869,CHOOSE({1,2},Table17[Native],Table17[Name]),2,0)</f>
        <v>Gŭchéng Qū</v>
      </c>
      <c r="N869" s="15" t="str">
        <f>VLOOKUP(I869,CHOOSE({1,2},Table17[Native],Table17[Name]),2,0)</f>
        <v>Lìjiāng Shì</v>
      </c>
      <c r="O869" s="15" t="str">
        <f t="shared" si="26"/>
        <v>Qihe Zhen (Lìjiāng Shì)</v>
      </c>
      <c r="P869" s="15" t="str">
        <f t="shared" si="27"/>
        <v>Qihe Zhen (Lìjiāng Shì)</v>
      </c>
    </row>
    <row r="870" spans="1:16" hidden="1" x14ac:dyDescent="0.25">
      <c r="A870" t="s">
        <v>943</v>
      </c>
      <c r="B870" t="str">
        <f>IF(COUNTIF(A:A,A870)&gt;1,_xlfn.CONCAT(A870," (",N870,")"),A870)</f>
        <v>Qīlùbái Miáozú Xiāng</v>
      </c>
      <c r="C870" t="str">
        <f>IF(COUNTIF(B:B,B870)&gt;1,_xlfn.CONCAT(A870," (",M870,")"),B870)</f>
        <v>Qīlùbái Miáozú Xiāng</v>
      </c>
      <c r="D870" t="s">
        <v>944</v>
      </c>
      <c r="E870" t="s">
        <v>7</v>
      </c>
      <c r="F870" t="str">
        <f>_xlfn.CONCAT(D870,", ",H870,", ",I870,", ","云南省")</f>
        <v>期路白苗族乡, 蒙自市, 红河哈尼族彝族自治州, 云南省</v>
      </c>
      <c r="G870">
        <v>15319</v>
      </c>
      <c r="H870" t="s">
        <v>2801</v>
      </c>
      <c r="I870" t="s">
        <v>2792</v>
      </c>
      <c r="J870" t="e">
        <f>VLOOKUP(F870,[1]!china_towns_second__2[[Column1]:[Y]],3,FALSE)</f>
        <v>#N/A</v>
      </c>
      <c r="K870" t="e">
        <f>VLOOKUP(F870,[1]!china_towns_second__2[[Column1]:[Y]],2,FALSE)</f>
        <v>#N/A</v>
      </c>
      <c r="L870" t="s">
        <v>4423</v>
      </c>
      <c r="M870" t="str">
        <f>VLOOKUP(H870,CHOOSE({1,2},Table17[Native],Table17[Name]),2,0)</f>
        <v>Mĕngzì Shì</v>
      </c>
      <c r="N870" s="15" t="str">
        <f>VLOOKUP(I870,CHOOSE({1,2},Table17[Native],Table17[Name]),2,0)</f>
        <v>Hónghé Hānízú Yízú Zìzhìzhōu</v>
      </c>
      <c r="O870" s="15" t="str">
        <f t="shared" si="26"/>
        <v>Qilubai Miaozu Xiang (Hónghé Hānízú Yízú Zìzhìzhōu)</v>
      </c>
      <c r="P870" s="15" t="str">
        <f t="shared" si="27"/>
        <v>Qilubai Miaozu Xiang (Hónghé Hānízú Yízú Zìzhìzhōu)</v>
      </c>
    </row>
    <row r="871" spans="1:16" hidden="1" x14ac:dyDescent="0.25">
      <c r="A871" t="s">
        <v>945</v>
      </c>
      <c r="B871" t="str">
        <f>IF(COUNTIF(A:A,A871)&gt;1,_xlfn.CONCAT(A871," (",N871,")"),A871)</f>
        <v>Qímăbà Xiāng</v>
      </c>
      <c r="C871" t="str">
        <f>IF(COUNTIF(B:B,B871)&gt;1,_xlfn.CONCAT(A871," (",M871,")"),B871)</f>
        <v>Qímăbà Xiāng</v>
      </c>
      <c r="D871" t="s">
        <v>946</v>
      </c>
      <c r="E871" t="s">
        <v>7</v>
      </c>
      <c r="F871" t="str">
        <f>_xlfn.CONCAT(D871,", ",H871,", ",I871,", ","云南省")</f>
        <v>骑马坝乡, 绿春县, 红河哈尼族彝族自治州, 云南省</v>
      </c>
      <c r="G871">
        <v>12758</v>
      </c>
      <c r="H871" t="s">
        <v>2799</v>
      </c>
      <c r="I871" t="s">
        <v>2792</v>
      </c>
      <c r="J871" t="e">
        <f>VLOOKUP(F871,[1]!china_towns_second__2[[Column1]:[Y]],3,FALSE)</f>
        <v>#N/A</v>
      </c>
      <c r="K871" t="e">
        <f>VLOOKUP(F871,[1]!china_towns_second__2[[Column1]:[Y]],2,FALSE)</f>
        <v>#N/A</v>
      </c>
      <c r="L871" t="s">
        <v>4424</v>
      </c>
      <c r="M871" t="str">
        <f>VLOOKUP(H871,CHOOSE({1,2},Table17[Native],Table17[Name]),2,0)</f>
        <v>Lǜchūn Xiàn</v>
      </c>
      <c r="N871" s="15" t="str">
        <f>VLOOKUP(I871,CHOOSE({1,2},Table17[Native],Table17[Name]),2,0)</f>
        <v>Hónghé Hānízú Yízú Zìzhìzhōu</v>
      </c>
      <c r="O871" s="15" t="str">
        <f t="shared" si="26"/>
        <v>Qimaba Xiang (Hónghé Hānízú Yízú Zìzhìzhōu)</v>
      </c>
      <c r="P871" s="15" t="str">
        <f t="shared" si="27"/>
        <v>Qimaba Xiang (Hónghé Hānízú Yízú Zìzhìzhōu)</v>
      </c>
    </row>
    <row r="872" spans="1:16" hidden="1" x14ac:dyDescent="0.25">
      <c r="A872" t="s">
        <v>1377</v>
      </c>
      <c r="B872" t="str">
        <f>IF(COUNTIF(A:A,A872)&gt;1,_xlfn.CONCAT(A872," (",N872,")"),A872)</f>
        <v>Qīnà Zhèn</v>
      </c>
      <c r="C872" t="str">
        <f>IF(COUNTIF(B:B,B872)&gt;1,_xlfn.CONCAT(A872," (",M872,")"),B872)</f>
        <v>Qīnà Zhèn</v>
      </c>
      <c r="D872" t="s">
        <v>1378</v>
      </c>
      <c r="E872" t="s">
        <v>11</v>
      </c>
      <c r="F872" t="str">
        <f>_xlfn.CONCAT(D872,", ",H872,", ",I872,", ","云南省")</f>
        <v>期纳镇, 永胜县, 丽江市, 云南省</v>
      </c>
      <c r="G872">
        <v>36823</v>
      </c>
      <c r="H872" t="s">
        <v>2828</v>
      </c>
      <c r="I872" t="s">
        <v>2823</v>
      </c>
      <c r="J872">
        <f>VLOOKUP(F872,[1]!china_towns_second__2[[Column1]:[Y]],3,FALSE)</f>
        <v>26.3323770663436</v>
      </c>
      <c r="K872">
        <f>VLOOKUP(F872,[1]!china_towns_second__2[[Column1]:[Y]],2,FALSE)</f>
        <v>100.6273557</v>
      </c>
      <c r="L872" t="s">
        <v>4425</v>
      </c>
      <c r="M872" t="str">
        <f>VLOOKUP(H872,CHOOSE({1,2},Table17[Native],Table17[Name]),2,0)</f>
        <v>Yŏngshèng Xiàn</v>
      </c>
      <c r="N872" s="15" t="str">
        <f>VLOOKUP(I872,CHOOSE({1,2},Table17[Native],Table17[Name]),2,0)</f>
        <v>Lìjiāng Shì</v>
      </c>
      <c r="O872" s="15" t="str">
        <f t="shared" si="26"/>
        <v>Qina Zhen (Lìjiāng Shì)</v>
      </c>
      <c r="P872" s="15" t="str">
        <f t="shared" si="27"/>
        <v>Qina Zhen (Lìjiāng Shì)</v>
      </c>
    </row>
    <row r="873" spans="1:16" hidden="1" x14ac:dyDescent="0.25">
      <c r="A873" t="s">
        <v>283</v>
      </c>
      <c r="B873" t="str">
        <f>IF(COUNTIF(A:A,A873)&gt;1,_xlfn.CONCAT(A873," (",N873,")"),A873)</f>
        <v>Qínfēng Zhèn</v>
      </c>
      <c r="C873" t="str">
        <f>IF(COUNTIF(B:B,B873)&gt;1,_xlfn.CONCAT(A873," (",M873,")"),B873)</f>
        <v>Qínfēng Zhèn</v>
      </c>
      <c r="D873" t="s">
        <v>284</v>
      </c>
      <c r="E873" t="s">
        <v>11</v>
      </c>
      <c r="F873" t="str">
        <f>_xlfn.CONCAT(D873,", ",H873,", ",I873,", ","云南省")</f>
        <v>勤丰镇, 禄丰县, 楚雄彝族自治州, 云南省</v>
      </c>
      <c r="G873">
        <v>26149</v>
      </c>
      <c r="H873" t="s">
        <v>2753</v>
      </c>
      <c r="I873" t="s">
        <v>2750</v>
      </c>
      <c r="J873">
        <f>VLOOKUP(F873,[1]!china_towns_second__2[[Column1]:[Y]],3,FALSE)</f>
        <v>25.134923768795201</v>
      </c>
      <c r="K873">
        <f>VLOOKUP(F873,[1]!china_towns_second__2[[Column1]:[Y]],2,FALSE)</f>
        <v>102.2893849</v>
      </c>
      <c r="L873" t="s">
        <v>4426</v>
      </c>
      <c r="M873" t="str">
        <f>VLOOKUP(H873,CHOOSE({1,2},Table17[Native],Table17[Name]),2,0)</f>
        <v>Lùfēng Xiàn</v>
      </c>
      <c r="N873" s="15" t="str">
        <f>VLOOKUP(I873,CHOOSE({1,2},Table17[Native],Table17[Name]),2,0)</f>
        <v>Chŭxióng Yízú Zìzhìzhōu</v>
      </c>
      <c r="O873" s="15" t="str">
        <f t="shared" si="26"/>
        <v>Qinfeng Zhen (Chŭxióng Yízú Zìzhìzhōu)</v>
      </c>
      <c r="P873" s="15" t="str">
        <f t="shared" si="27"/>
        <v>Qinfeng Zhen (Chŭxióng Yízú Zìzhìzhōu)</v>
      </c>
    </row>
    <row r="874" spans="1:16" hidden="1" x14ac:dyDescent="0.25">
      <c r="A874" t="s">
        <v>2627</v>
      </c>
      <c r="B874" t="str">
        <f>IF(COUNTIF(A:A,A874)&gt;1,_xlfn.CONCAT(A874," (",N874,")"),A874)</f>
        <v>Qīnggănglĭng Huízú Yízú Xiāng</v>
      </c>
      <c r="C874" t="str">
        <f>IF(COUNTIF(B:B,B874)&gt;1,_xlfn.CONCAT(A874," (",M874,")"),B874)</f>
        <v>Qīnggănglĭng Huízú Yízú Xiāng</v>
      </c>
      <c r="D874" t="s">
        <v>2628</v>
      </c>
      <c r="E874" t="s">
        <v>7</v>
      </c>
      <c r="F874" t="str">
        <f>_xlfn.CONCAT(D874,", ",H874,", ",I874,", ","云南省")</f>
        <v>青岗岭回族彝族乡, 昭阳区, 昭通市, 云南省</v>
      </c>
      <c r="G874">
        <v>21717</v>
      </c>
      <c r="H874" t="s">
        <v>2909</v>
      </c>
      <c r="I874" t="s">
        <v>2899</v>
      </c>
      <c r="J874" t="e">
        <f>VLOOKUP(F874,[1]!china_towns_second__2[[Column1]:[Y]],3,FALSE)</f>
        <v>#N/A</v>
      </c>
      <c r="K874" t="e">
        <f>VLOOKUP(F874,[1]!china_towns_second__2[[Column1]:[Y]],2,FALSE)</f>
        <v>#N/A</v>
      </c>
      <c r="L874" t="s">
        <v>4427</v>
      </c>
      <c r="M874" t="str">
        <f>VLOOKUP(H874,CHOOSE({1,2},Table17[Native],Table17[Name]),2,0)</f>
        <v>Zhāoyáng Qū</v>
      </c>
      <c r="N874" s="15" t="str">
        <f>VLOOKUP(I874,CHOOSE({1,2},Table17[Native],Table17[Name]),2,0)</f>
        <v>Zhāotōng Shì</v>
      </c>
      <c r="O874" s="15" t="str">
        <f t="shared" si="26"/>
        <v>Qinggangling Huizu Yizu Xiang (Zhāotōng Shì)</v>
      </c>
      <c r="P874" s="15" t="str">
        <f t="shared" si="27"/>
        <v>Qinggangling Huizu Yizu Xiang (Zhāotōng Shì)</v>
      </c>
    </row>
    <row r="875" spans="1:16" hidden="1" x14ac:dyDescent="0.25">
      <c r="A875" t="s">
        <v>518</v>
      </c>
      <c r="B875" t="str">
        <f>IF(COUNTIF(A:A,A875)&gt;1,_xlfn.CONCAT(A875," (",N875,")"),A875)</f>
        <v>Qīnghuá Xiāng</v>
      </c>
      <c r="C875" t="str">
        <f>IF(COUNTIF(B:B,B875)&gt;1,_xlfn.CONCAT(A875," (",M875,")"),B875)</f>
        <v>Qīnghuá Xiāng</v>
      </c>
      <c r="D875" t="s">
        <v>519</v>
      </c>
      <c r="E875" t="s">
        <v>7</v>
      </c>
      <c r="F875" t="str">
        <f>_xlfn.CONCAT(D875,", ",H875,", ",I875,", ","云南省")</f>
        <v>青华乡, 巍山彝族回族自治县, 大理白族自治州, 云南省</v>
      </c>
      <c r="G875">
        <v>14703</v>
      </c>
      <c r="H875" t="s">
        <v>2772</v>
      </c>
      <c r="I875" t="s">
        <v>2763</v>
      </c>
      <c r="J875" t="e">
        <f>VLOOKUP(F875,[1]!china_towns_second__2[[Column1]:[Y]],3,FALSE)</f>
        <v>#N/A</v>
      </c>
      <c r="K875" t="e">
        <f>VLOOKUP(F875,[1]!china_towns_second__2[[Column1]:[Y]],2,FALSE)</f>
        <v>#N/A</v>
      </c>
      <c r="L875" t="s">
        <v>4428</v>
      </c>
      <c r="M875" t="str">
        <f>VLOOKUP(H875,CHOOSE({1,2},Table17[Native],Table17[Name]),2,0)</f>
        <v>Wēishān Yízú Huízú Zìzhìxiàn</v>
      </c>
      <c r="N875" s="15" t="str">
        <f>VLOOKUP(I875,CHOOSE({1,2},Table17[Native],Table17[Name]),2,0)</f>
        <v>Dàlĭ Báizú Zìzhìzhōu</v>
      </c>
      <c r="O875" s="15" t="str">
        <f t="shared" si="26"/>
        <v>Qinghua Xiang (Dàlĭ Báizú Zìzhìzhōu)</v>
      </c>
      <c r="P875" s="15" t="str">
        <f t="shared" si="27"/>
        <v>Qinghua Xiang (Dàlĭ Báizú Zìzhìzhōu)</v>
      </c>
    </row>
    <row r="876" spans="1:16" hidden="1" x14ac:dyDescent="0.25">
      <c r="A876" t="s">
        <v>1203</v>
      </c>
      <c r="B876" t="str">
        <f>IF(COUNTIF(A:A,A876)&gt;1,_xlfn.CONCAT(A876," (",N876,")"),A876)</f>
        <v>Qīnglóng Jiēdào</v>
      </c>
      <c r="C876" t="str">
        <f>IF(COUNTIF(B:B,B876)&gt;1,_xlfn.CONCAT(A876," (",M876,")"),B876)</f>
        <v>Qīnglóng Jiēdào</v>
      </c>
      <c r="D876" t="s">
        <v>1204</v>
      </c>
      <c r="E876" t="s">
        <v>42</v>
      </c>
      <c r="F876" t="str">
        <f>_xlfn.CONCAT(D876,", ",H876,", ",I876,", ","云南省")</f>
        <v>青龙街道, 安宁市, 昆明市, 云南省</v>
      </c>
      <c r="G876">
        <v>11169</v>
      </c>
      <c r="H876" t="s">
        <v>2808</v>
      </c>
      <c r="I876" t="s">
        <v>2807</v>
      </c>
      <c r="J876">
        <f>VLOOKUP(F876,[1]!china_towns_second__2[[Column1]:[Y]],3,FALSE)</f>
        <v>25.032201214318398</v>
      </c>
      <c r="K876">
        <f>VLOOKUP(F876,[1]!china_towns_second__2[[Column1]:[Y]],2,FALSE)</f>
        <v>102.3295148</v>
      </c>
      <c r="L876" t="s">
        <v>4429</v>
      </c>
      <c r="M876" t="str">
        <f>VLOOKUP(H876,CHOOSE({1,2},Table17[Native],Table17[Name]),2,0)</f>
        <v>Ānníng Shì</v>
      </c>
      <c r="N876" s="15" t="str">
        <f>VLOOKUP(I876,CHOOSE({1,2},Table17[Native],Table17[Name]),2,0)</f>
        <v>Kūnmíng Shì</v>
      </c>
      <c r="O876" s="15" t="str">
        <f t="shared" si="26"/>
        <v>Qinglong Jiedao (Kūnmíng Shì)</v>
      </c>
      <c r="P876" s="15" t="str">
        <f t="shared" si="27"/>
        <v>Qinglong Jiedao (Kūnmíng Shì)</v>
      </c>
    </row>
    <row r="877" spans="1:16" hidden="1" x14ac:dyDescent="0.25">
      <c r="A877" t="s">
        <v>947</v>
      </c>
      <c r="B877" t="str">
        <f>IF(COUNTIF(A:A,A877)&gt;1,_xlfn.CONCAT(A877," (",N877,")"),A877)</f>
        <v>Qīnglóng Zhèn (Hónghé Hānízú Yízú Zìzhìzhōu)</v>
      </c>
      <c r="C877" t="str">
        <f>IF(COUNTIF(B:B,B877)&gt;1,_xlfn.CONCAT(A877," (",M877,")"),B877)</f>
        <v>Qīnglóng Zhèn (Hónghé Hānízú Yízú Zìzhìzhōu)</v>
      </c>
      <c r="D877" t="s">
        <v>948</v>
      </c>
      <c r="E877" t="s">
        <v>11</v>
      </c>
      <c r="F877" t="str">
        <f>_xlfn.CONCAT(D877,", ",H877,", ",I877,", ","云南省")</f>
        <v>青龙镇, 建水县, 红河哈尼族彝族自治州, 云南省</v>
      </c>
      <c r="G877">
        <v>14716</v>
      </c>
      <c r="H877" t="s">
        <v>2796</v>
      </c>
      <c r="I877" t="s">
        <v>2792</v>
      </c>
      <c r="J877">
        <f>VLOOKUP(F877,[1]!china_towns_second__2[[Column1]:[Y]],3,FALSE)</f>
        <v>23.526379561507799</v>
      </c>
      <c r="K877">
        <f>VLOOKUP(F877,[1]!china_towns_second__2[[Column1]:[Y]],2,FALSE)</f>
        <v>102.6923702</v>
      </c>
      <c r="L877" t="s">
        <v>4430</v>
      </c>
      <c r="M877" t="str">
        <f>VLOOKUP(H877,CHOOSE({1,2},Table17[Native],Table17[Name]),2,0)</f>
        <v>Jiànshuĭ Xiàn</v>
      </c>
      <c r="N877" s="15" t="str">
        <f>VLOOKUP(I877,CHOOSE({1,2},Table17[Native],Table17[Name]),2,0)</f>
        <v>Hónghé Hānízú Yízú Zìzhìzhōu</v>
      </c>
      <c r="O877" s="15" t="str">
        <f t="shared" si="26"/>
        <v>Qinglong Zhen (Honghe Hanizu Yizu Zizhizhou) (Hónghé Hānízú Yízú Zìzhìzhōu)</v>
      </c>
      <c r="P877" s="15" t="str">
        <f t="shared" si="27"/>
        <v>Qinglong Zhen (Honghe Hanizu Yizu Zizhizhou) (Hónghé Hānízú Yízú Zìzhìzhōu)</v>
      </c>
    </row>
    <row r="878" spans="1:16" hidden="1" x14ac:dyDescent="0.25">
      <c r="A878" t="s">
        <v>947</v>
      </c>
      <c r="B878" t="str">
        <f>IF(COUNTIF(A:A,A878)&gt;1,_xlfn.CONCAT(A878," (",N878,")"),A878)</f>
        <v>Qīnglóng Zhèn (Yùxī Shì)</v>
      </c>
      <c r="C878" t="str">
        <f>IF(COUNTIF(B:B,B878)&gt;1,_xlfn.CONCAT(A878," (",M878,")"),B878)</f>
        <v>Qīnglóng Zhèn (Yùxī Shì)</v>
      </c>
      <c r="D878" t="s">
        <v>948</v>
      </c>
      <c r="E878" t="s">
        <v>11</v>
      </c>
      <c r="F878" t="str">
        <f>_xlfn.CONCAT(D878,", ",H878,", ",I878,", ","云南省")</f>
        <v>青龙镇, 华宁县, 玉溪市, 云南省</v>
      </c>
      <c r="G878">
        <v>55059</v>
      </c>
      <c r="H878" t="s">
        <v>2892</v>
      </c>
      <c r="I878" t="s">
        <v>2888</v>
      </c>
      <c r="J878">
        <f>VLOOKUP(F878,[1]!china_towns_second__2[[Column1]:[Y]],3,FALSE)</f>
        <v>24.443731416449101</v>
      </c>
      <c r="K878">
        <f>VLOOKUP(F878,[1]!china_towns_second__2[[Column1]:[Y]],2,FALSE)</f>
        <v>102.9932292</v>
      </c>
      <c r="L878" t="s">
        <v>4431</v>
      </c>
      <c r="M878" t="str">
        <f>VLOOKUP(H878,CHOOSE({1,2},Table17[Native],Table17[Name]),2,0)</f>
        <v>Huáníng Xiàn</v>
      </c>
      <c r="N878" s="15" t="str">
        <f>VLOOKUP(I878,CHOOSE({1,2},Table17[Native],Table17[Name]),2,0)</f>
        <v>Yùxī Shì</v>
      </c>
      <c r="O878" s="15" t="str">
        <f t="shared" si="26"/>
        <v>Qinglong Zhen (Yuxi Shi) (Yùxī Shì)</v>
      </c>
      <c r="P878" s="15" t="str">
        <f t="shared" si="27"/>
        <v>Qinglong Zhen (Yuxi Shi) (Yùxī Shì)</v>
      </c>
    </row>
    <row r="879" spans="1:16" hidden="1" x14ac:dyDescent="0.25">
      <c r="A879" t="s">
        <v>671</v>
      </c>
      <c r="B879" t="str">
        <f>IF(COUNTIF(A:A,A879)&gt;1,_xlfn.CONCAT(A879," (",N879,")"),A879)</f>
        <v>Qīngpíng Xiāng</v>
      </c>
      <c r="C879" t="str">
        <f>IF(COUNTIF(B:B,B879)&gt;1,_xlfn.CONCAT(A879," (",M879,")"),B879)</f>
        <v>Qīngpíng Xiāng</v>
      </c>
      <c r="D879" t="s">
        <v>672</v>
      </c>
      <c r="E879" t="s">
        <v>7</v>
      </c>
      <c r="F879" t="str">
        <f>_xlfn.CONCAT(D879,", ",H879,", ",I879,", ","云南省")</f>
        <v>清平乡, 陇川县, 德宏傣族景颇族自治州, 云南省</v>
      </c>
      <c r="G879">
        <v>11020</v>
      </c>
      <c r="H879" t="s">
        <v>2781</v>
      </c>
      <c r="I879" t="s">
        <v>2779</v>
      </c>
      <c r="J879" t="e">
        <f>VLOOKUP(F879,[1]!china_towns_second__2[[Column1]:[Y]],3,FALSE)</f>
        <v>#N/A</v>
      </c>
      <c r="K879" t="e">
        <f>VLOOKUP(F879,[1]!china_towns_second__2[[Column1]:[Y]],2,FALSE)</f>
        <v>#N/A</v>
      </c>
      <c r="L879" t="s">
        <v>4432</v>
      </c>
      <c r="M879" t="str">
        <f>VLOOKUP(H879,CHOOSE({1,2},Table17[Native],Table17[Name]),2,0)</f>
        <v>Lŏngchuān Xiàn</v>
      </c>
      <c r="N879" s="15" t="str">
        <f>VLOOKUP(I879,CHOOSE({1,2},Table17[Native],Table17[Name]),2,0)</f>
        <v>Déhóng Dăizú Jĭngpōzú Zìzhìzhōu</v>
      </c>
      <c r="O879" s="15" t="str">
        <f t="shared" si="26"/>
        <v>Qingping Xiang (Déhóng Dăizú Jĭngpōzú Zìzhìzhōu)</v>
      </c>
      <c r="P879" s="15" t="str">
        <f t="shared" si="27"/>
        <v>Qingping Xiang (Déhóng Dăizú Jĭngpōzú Zìzhìzhōu)</v>
      </c>
    </row>
    <row r="880" spans="1:16" hidden="1" x14ac:dyDescent="0.25">
      <c r="A880" t="s">
        <v>2629</v>
      </c>
      <c r="B880" t="str">
        <f>IF(COUNTIF(A:A,A880)&gt;1,_xlfn.CONCAT(A880," (",N880,")"),A880)</f>
        <v>Qīngshèng Xiāng</v>
      </c>
      <c r="C880" t="str">
        <f>IF(COUNTIF(B:B,B880)&gt;1,_xlfn.CONCAT(A880," (",M880,")"),B880)</f>
        <v>Qīngshèng Xiāng</v>
      </c>
      <c r="D880" t="s">
        <v>2630</v>
      </c>
      <c r="E880" t="s">
        <v>7</v>
      </c>
      <c r="F880" t="str">
        <f>_xlfn.CONCAT(D880,", ",H880,", ",I880,", ","云南省")</f>
        <v>青胜乡, 永善县, 昭通市, 云南省</v>
      </c>
      <c r="G880">
        <v>10384</v>
      </c>
      <c r="H880" t="s">
        <v>2908</v>
      </c>
      <c r="I880" t="s">
        <v>2899</v>
      </c>
      <c r="J880" t="e">
        <f>VLOOKUP(F880,[1]!china_towns_second__2[[Column1]:[Y]],3,FALSE)</f>
        <v>#N/A</v>
      </c>
      <c r="K880" t="e">
        <f>VLOOKUP(F880,[1]!china_towns_second__2[[Column1]:[Y]],2,FALSE)</f>
        <v>#N/A</v>
      </c>
      <c r="L880" t="s">
        <v>4433</v>
      </c>
      <c r="M880" t="str">
        <f>VLOOKUP(H880,CHOOSE({1,2},Table17[Native],Table17[Name]),2,0)</f>
        <v>Yŏngshàn Xiàn</v>
      </c>
      <c r="N880" s="15" t="str">
        <f>VLOOKUP(I880,CHOOSE({1,2},Table17[Native],Table17[Name]),2,0)</f>
        <v>Zhāotōng Shì</v>
      </c>
      <c r="O880" s="15" t="str">
        <f t="shared" si="26"/>
        <v>Qingsheng Xiang (Zhāotōng Shì)</v>
      </c>
      <c r="P880" s="15" t="str">
        <f t="shared" si="27"/>
        <v>Qingsheng Xiang (Zhāotōng Shì)</v>
      </c>
    </row>
    <row r="881" spans="1:16" hidden="1" x14ac:dyDescent="0.25">
      <c r="A881" t="s">
        <v>99</v>
      </c>
      <c r="B881" t="str">
        <f>IF(COUNTIF(A:A,A881)&gt;1,_xlfn.CONCAT(A881," (",N881,")"),A881)</f>
        <v>Qīngshuĭ Xiāng</v>
      </c>
      <c r="C881" t="str">
        <f>IF(COUNTIF(B:B,B881)&gt;1,_xlfn.CONCAT(A881," (",M881,")"),B881)</f>
        <v>Qīngshuĭ Xiāng</v>
      </c>
      <c r="D881" t="s">
        <v>100</v>
      </c>
      <c r="E881" t="s">
        <v>7</v>
      </c>
      <c r="F881" t="str">
        <f>_xlfn.CONCAT(D881,", ",H881,", ",I881,", ","云南省")</f>
        <v>清水乡, 腾冲市, 保山市, 云南省</v>
      </c>
      <c r="G881">
        <v>14986</v>
      </c>
      <c r="H881" t="s">
        <v>2747</v>
      </c>
      <c r="I881" t="s">
        <v>2739</v>
      </c>
      <c r="J881" t="e">
        <f>VLOOKUP(F881,[1]!china_towns_second__2[[Column1]:[Y]],3,FALSE)</f>
        <v>#N/A</v>
      </c>
      <c r="K881" t="e">
        <f>VLOOKUP(F881,[1]!china_towns_second__2[[Column1]:[Y]],2,FALSE)</f>
        <v>#N/A</v>
      </c>
      <c r="L881" t="s">
        <v>4434</v>
      </c>
      <c r="M881" t="str">
        <f>VLOOKUP(H881,CHOOSE({1,2},Table17[Native],Table17[Name]),2,0)</f>
        <v>Téngchōng Shì</v>
      </c>
      <c r="N881" s="15" t="str">
        <f>VLOOKUP(I881,CHOOSE({1,2},Table17[Native],Table17[Name]),2,0)</f>
        <v>Băoshān Shì</v>
      </c>
      <c r="O881" s="15" t="str">
        <f t="shared" si="26"/>
        <v>Qingshui Xiang (Băoshān Shì)</v>
      </c>
      <c r="P881" s="15" t="str">
        <f t="shared" si="27"/>
        <v>Qingshui Xiang (Băoshān Shì)</v>
      </c>
    </row>
    <row r="882" spans="1:16" hidden="1" x14ac:dyDescent="0.25">
      <c r="A882" t="s">
        <v>1205</v>
      </c>
      <c r="B882" t="str">
        <f>IF(COUNTIF(A:A,A882)&gt;1,_xlfn.CONCAT(A882," (",N882,")"),A882)</f>
        <v>Qīngyún Jiēdào</v>
      </c>
      <c r="C882" t="str">
        <f>IF(COUNTIF(B:B,B882)&gt;1,_xlfn.CONCAT(A882," (",M882,")"),B882)</f>
        <v>Qīngyún Jiēdào</v>
      </c>
      <c r="D882" t="s">
        <v>1206</v>
      </c>
      <c r="E882" t="s">
        <v>42</v>
      </c>
      <c r="F882" t="str">
        <f>_xlfn.CONCAT(D882,", ",H882,", ",I882,", ","云南省")</f>
        <v>青云街道, 盘龙区, 昆明市, 云南省</v>
      </c>
      <c r="G882">
        <v>133099</v>
      </c>
      <c r="H882" t="s">
        <v>2815</v>
      </c>
      <c r="I882" t="s">
        <v>2807</v>
      </c>
      <c r="J882">
        <f>VLOOKUP(F882,[1]!china_towns_second__2[[Column1]:[Y]],3,FALSE)</f>
        <v>25.061724087684599</v>
      </c>
      <c r="K882">
        <f>VLOOKUP(F882,[1]!china_towns_second__2[[Column1]:[Y]],2,FALSE)</f>
        <v>102.7845044</v>
      </c>
      <c r="L882" t="s">
        <v>4435</v>
      </c>
      <c r="M882" t="str">
        <f>VLOOKUP(H882,CHOOSE({1,2},Table17[Native],Table17[Name]),2,0)</f>
        <v>Pánlóng Qū</v>
      </c>
      <c r="N882" s="15" t="str">
        <f>VLOOKUP(I882,CHOOSE({1,2},Table17[Native],Table17[Name]),2,0)</f>
        <v>Kūnmíng Shì</v>
      </c>
      <c r="O882" s="15" t="str">
        <f t="shared" si="26"/>
        <v>Qingyun Jiedao (Kūnmíng Shì)</v>
      </c>
      <c r="P882" s="15" t="str">
        <f t="shared" si="27"/>
        <v>Qingyun Jiedao (Kūnmíng Shì)</v>
      </c>
    </row>
    <row r="883" spans="1:16" hidden="1" x14ac:dyDescent="0.25">
      <c r="A883" t="s">
        <v>1207</v>
      </c>
      <c r="B883" t="str">
        <f>IF(COUNTIF(A:A,A883)&gt;1,_xlfn.CONCAT(A883," (",N883,")"),A883)</f>
        <v>Qīxīng Zhèn</v>
      </c>
      <c r="C883" t="str">
        <f>IF(COUNTIF(B:B,B883)&gt;1,_xlfn.CONCAT(A883," (",M883,")"),B883)</f>
        <v>Qīxīng Zhèn</v>
      </c>
      <c r="D883" t="s">
        <v>1208</v>
      </c>
      <c r="E883" t="s">
        <v>11</v>
      </c>
      <c r="F883" t="str">
        <f>_xlfn.CONCAT(D883,", ",H883,", ",I883,", ","云南省")</f>
        <v>七星镇, 寻甸回族彝族自治县, 昆明市, 云南省</v>
      </c>
      <c r="G883">
        <v>16462</v>
      </c>
      <c r="H883" t="s">
        <v>2820</v>
      </c>
      <c r="I883" t="s">
        <v>2807</v>
      </c>
      <c r="J883">
        <f>VLOOKUP(F883,[1]!china_towns_second__2[[Column1]:[Y]],3,FALSE)</f>
        <v>25.536224361844301</v>
      </c>
      <c r="K883">
        <f>VLOOKUP(F883,[1]!china_towns_second__2[[Column1]:[Y]],2,FALSE)</f>
        <v>103.36571790000001</v>
      </c>
      <c r="L883" t="s">
        <v>4436</v>
      </c>
      <c r="M883" t="str">
        <f>VLOOKUP(H883,CHOOSE({1,2},Table17[Native],Table17[Name]),2,0)</f>
        <v>Xúndiàn Huízú Yízú Zìzhìxiàn</v>
      </c>
      <c r="N883" s="15" t="str">
        <f>VLOOKUP(I883,CHOOSE({1,2},Table17[Native],Table17[Name]),2,0)</f>
        <v>Kūnmíng Shì</v>
      </c>
      <c r="O883" s="15" t="str">
        <f t="shared" si="26"/>
        <v>Qixing Zhen (Kūnmíng Shì)</v>
      </c>
      <c r="P883" s="15" t="str">
        <f t="shared" si="27"/>
        <v>Qixing Zhen (Kūnmíng Shì)</v>
      </c>
    </row>
    <row r="884" spans="1:16" hidden="1" x14ac:dyDescent="0.25">
      <c r="A884" t="s">
        <v>1555</v>
      </c>
      <c r="B884" t="str">
        <f>IF(COUNTIF(A:A,A884)&gt;1,_xlfn.CONCAT(A884," (",N884,")"),A884)</f>
        <v>Quānnèi Xiāng</v>
      </c>
      <c r="C884" t="str">
        <f>IF(COUNTIF(B:B,B884)&gt;1,_xlfn.CONCAT(A884," (",M884,")"),B884)</f>
        <v>Quānnèi Xiāng</v>
      </c>
      <c r="D884" t="s">
        <v>1556</v>
      </c>
      <c r="E884" t="s">
        <v>7</v>
      </c>
      <c r="F884" t="str">
        <f>_xlfn.CONCAT(D884,", ",H884,", ",I884,", ","云南省")</f>
        <v>圈内乡, 临翔区, 临沧市, 云南省</v>
      </c>
      <c r="G884">
        <v>31286</v>
      </c>
      <c r="H884" t="s">
        <v>2835</v>
      </c>
      <c r="I884" t="s">
        <v>2831</v>
      </c>
      <c r="J884" t="e">
        <f>VLOOKUP(F884,[1]!china_towns_second__2[[Column1]:[Y]],3,FALSE)</f>
        <v>#N/A</v>
      </c>
      <c r="K884" t="e">
        <f>VLOOKUP(F884,[1]!china_towns_second__2[[Column1]:[Y]],2,FALSE)</f>
        <v>#N/A</v>
      </c>
      <c r="L884" t="s">
        <v>4437</v>
      </c>
      <c r="M884" t="str">
        <f>VLOOKUP(H884,CHOOSE({1,2},Table17[Native],Table17[Name]),2,0)</f>
        <v>Línxiáng Qū</v>
      </c>
      <c r="N884" s="15" t="str">
        <f>VLOOKUP(I884,CHOOSE({1,2},Table17[Native],Table17[Name]),2,0)</f>
        <v>Líncāng Shì</v>
      </c>
      <c r="O884" s="15" t="str">
        <f t="shared" si="26"/>
        <v>Quannei Xiang (Líncāng Shì)</v>
      </c>
      <c r="P884" s="15" t="str">
        <f t="shared" si="27"/>
        <v>Quannei Xiang (Líncāng Shì)</v>
      </c>
    </row>
    <row r="885" spans="1:16" hidden="1" x14ac:dyDescent="0.25">
      <c r="A885" t="s">
        <v>949</v>
      </c>
      <c r="B885" t="str">
        <f>IF(COUNTIF(A:A,A885)&gt;1,_xlfn.CONCAT(A885," (",N885,")"),A885)</f>
        <v>Qŭjiāng Zhèn</v>
      </c>
      <c r="C885" t="str">
        <f>IF(COUNTIF(B:B,B885)&gt;1,_xlfn.CONCAT(A885," (",M885,")"),B885)</f>
        <v>Qŭjiāng Zhèn</v>
      </c>
      <c r="D885" t="s">
        <v>950</v>
      </c>
      <c r="E885" t="s">
        <v>11</v>
      </c>
      <c r="F885" t="str">
        <f>_xlfn.CONCAT(D885,", ",H885,", ",I885,", ","云南省")</f>
        <v>曲江镇, 建水县, 红河哈尼族彝族自治州, 云南省</v>
      </c>
      <c r="G885">
        <v>71402</v>
      </c>
      <c r="H885" t="s">
        <v>2796</v>
      </c>
      <c r="I885" t="s">
        <v>2792</v>
      </c>
      <c r="J885">
        <f>VLOOKUP(F885,[1]!china_towns_second__2[[Column1]:[Y]],3,FALSE)</f>
        <v>23.937135606455598</v>
      </c>
      <c r="K885">
        <f>VLOOKUP(F885,[1]!china_towns_second__2[[Column1]:[Y]],2,FALSE)</f>
        <v>102.7963357</v>
      </c>
      <c r="L885" t="s">
        <v>4438</v>
      </c>
      <c r="M885" t="str">
        <f>VLOOKUP(H885,CHOOSE({1,2},Table17[Native],Table17[Name]),2,0)</f>
        <v>Jiànshuĭ Xiàn</v>
      </c>
      <c r="N885" s="15" t="str">
        <f>VLOOKUP(I885,CHOOSE({1,2},Table17[Native],Table17[Name]),2,0)</f>
        <v>Hónghé Hānízú Yízú Zìzhìzhōu</v>
      </c>
      <c r="O885" s="15" t="str">
        <f t="shared" si="26"/>
        <v>Qujiang Zhen (Hónghé Hānízú Yízú Zìzhìzhōu)</v>
      </c>
      <c r="P885" s="15" t="str">
        <f t="shared" si="27"/>
        <v>Qujiang Zhen (Hónghé Hānízú Yízú Zìzhìzhōu)</v>
      </c>
    </row>
    <row r="886" spans="1:16" hidden="1" x14ac:dyDescent="0.25">
      <c r="A886" t="s">
        <v>101</v>
      </c>
      <c r="B886" t="str">
        <f>IF(COUNTIF(A:A,A886)&gt;1,_xlfn.CONCAT(A886," (",N886,")"),A886)</f>
        <v>Qŭshí Zhèn</v>
      </c>
      <c r="C886" t="str">
        <f>IF(COUNTIF(B:B,B886)&gt;1,_xlfn.CONCAT(A886," (",M886,")"),B886)</f>
        <v>Qŭshí Zhèn</v>
      </c>
      <c r="D886" t="s">
        <v>102</v>
      </c>
      <c r="E886" t="s">
        <v>11</v>
      </c>
      <c r="F886" t="str">
        <f>_xlfn.CONCAT(D886,", ",H886,", ",I886,", ","云南省")</f>
        <v>曲石镇, 腾冲市, 保山市, 云南省</v>
      </c>
      <c r="G886">
        <v>42380</v>
      </c>
      <c r="H886" t="s">
        <v>2747</v>
      </c>
      <c r="I886" t="s">
        <v>2739</v>
      </c>
      <c r="J886">
        <f>VLOOKUP(F886,[1]!china_towns_second__2[[Column1]:[Y]],3,FALSE)</f>
        <v>25.223205741169501</v>
      </c>
      <c r="K886">
        <f>VLOOKUP(F886,[1]!china_towns_second__2[[Column1]:[Y]],2,FALSE)</f>
        <v>98.630321870000003</v>
      </c>
      <c r="L886" t="s">
        <v>4439</v>
      </c>
      <c r="M886" t="str">
        <f>VLOOKUP(H886,CHOOSE({1,2},Table17[Native],Table17[Name]),2,0)</f>
        <v>Téngchōng Shì</v>
      </c>
      <c r="N886" s="15" t="str">
        <f>VLOOKUP(I886,CHOOSE({1,2},Table17[Native],Table17[Name]),2,0)</f>
        <v>Băoshān Shì</v>
      </c>
      <c r="O886" s="15" t="str">
        <f t="shared" si="26"/>
        <v>Qushi Zhen (Băoshān Shì)</v>
      </c>
      <c r="P886" s="15" t="str">
        <f t="shared" si="27"/>
        <v>Qushi Zhen (Băoshān Shì)</v>
      </c>
    </row>
    <row r="887" spans="1:16" hidden="1" x14ac:dyDescent="0.25">
      <c r="A887" t="s">
        <v>1787</v>
      </c>
      <c r="B887" t="str">
        <f>IF(COUNTIF(A:A,A887)&gt;1,_xlfn.CONCAT(A887," (",N887,")"),A887)</f>
        <v>Qŭshuĭ Zhèn</v>
      </c>
      <c r="C887" t="str">
        <f>IF(COUNTIF(B:B,B887)&gt;1,_xlfn.CONCAT(A887," (",M887,")"),B887)</f>
        <v>Qŭshuĭ Zhèn</v>
      </c>
      <c r="D887" t="s">
        <v>1788</v>
      </c>
      <c r="E887" t="s">
        <v>11</v>
      </c>
      <c r="F887" t="str">
        <f>_xlfn.CONCAT(D887,", ",H887,", ",I887,", ","云南省")</f>
        <v>曲水镇, 江城哈尼族彝族自治县, 普洱市, 云南省</v>
      </c>
      <c r="G887">
        <v>16811</v>
      </c>
      <c r="H887" t="s">
        <v>2849</v>
      </c>
      <c r="I887" t="s">
        <v>2848</v>
      </c>
      <c r="J887">
        <f>VLOOKUP(F887,[1]!china_towns_second__2[[Column1]:[Y]],3,FALSE)</f>
        <v>22.540714850495199</v>
      </c>
      <c r="K887">
        <f>VLOOKUP(F887,[1]!china_towns_second__2[[Column1]:[Y]],2,FALSE)</f>
        <v>102.1519091</v>
      </c>
      <c r="L887" t="s">
        <v>4440</v>
      </c>
      <c r="M887" t="str">
        <f>VLOOKUP(H887,CHOOSE({1,2},Table17[Native],Table17[Name]),2,0)</f>
        <v>Jiāngchéng Hānízú Yízú Zìzhìxiàn</v>
      </c>
      <c r="N887" s="15" t="str">
        <f>VLOOKUP(I887,CHOOSE({1,2},Table17[Native],Table17[Name]),2,0)</f>
        <v>Pŭ'ĕr Shì</v>
      </c>
      <c r="O887" s="15" t="str">
        <f t="shared" si="26"/>
        <v>Qushui Zhen (Pŭ'ĕr Shì)</v>
      </c>
      <c r="P887" s="15" t="str">
        <f t="shared" si="27"/>
        <v>Qushui Zhen (Pŭ'ĕr Shì)</v>
      </c>
    </row>
    <row r="888" spans="1:16" hidden="1" x14ac:dyDescent="0.25">
      <c r="A888" t="s">
        <v>1209</v>
      </c>
      <c r="B888" t="str">
        <f>IF(COUNTIF(A:A,A888)&gt;1,_xlfn.CONCAT(A888," (",N888,")"),A888)</f>
        <v>Réndé Jiēdào [incl. Tángzi Jiēdào, Jīnsuǒ Jiēdào]</v>
      </c>
      <c r="C888" t="str">
        <f>IF(COUNTIF(B:B,B888)&gt;1,_xlfn.CONCAT(A888," (",M888,")"),B888)</f>
        <v>Réndé Jiēdào [incl. Tángzi Jiēdào, Jīnsuǒ Jiēdào]</v>
      </c>
      <c r="D888" t="s">
        <v>1210</v>
      </c>
      <c r="E888" t="s">
        <v>42</v>
      </c>
      <c r="F888" t="str">
        <f>_xlfn.CONCAT(D888,", ",H888,", ",I888,", ","云南省")</f>
        <v>仁德街道, 寻甸回族彝族自治县, 昆明市, 云南省</v>
      </c>
      <c r="G888">
        <v>131396</v>
      </c>
      <c r="H888" t="s">
        <v>2820</v>
      </c>
      <c r="I888" t="s">
        <v>2807</v>
      </c>
      <c r="J888">
        <f>VLOOKUP(F888,[1]!china_towns_second__2[[Column1]:[Y]],3,FALSE)</f>
        <v>25.539627227565799</v>
      </c>
      <c r="K888">
        <f>VLOOKUP(F888,[1]!china_towns_second__2[[Column1]:[Y]],2,FALSE)</f>
        <v>103.2152955</v>
      </c>
      <c r="L888" t="s">
        <v>4441</v>
      </c>
      <c r="M888" t="str">
        <f>VLOOKUP(H888,CHOOSE({1,2},Table17[Native],Table17[Name]),2,0)</f>
        <v>Xúndiàn Huízú Yízú Zìzhìxiàn</v>
      </c>
      <c r="N888" s="15" t="str">
        <f>VLOOKUP(I888,CHOOSE({1,2},Table17[Native],Table17[Name]),2,0)</f>
        <v>Kūnmíng Shì</v>
      </c>
      <c r="O888" s="15" t="str">
        <f t="shared" si="26"/>
        <v>Rende Jiedao [incl. Tangzi Jiedao, Jinsuo Jiedao] (Kūnmíng Shì)</v>
      </c>
      <c r="P888" s="15" t="str">
        <f t="shared" si="27"/>
        <v>Rende Jiedao [incl. Tangzi Jiedao, Jinsuo Jiedao] (Kūnmíng Shì)</v>
      </c>
    </row>
    <row r="889" spans="1:16" hidden="1" x14ac:dyDescent="0.25">
      <c r="A889" t="s">
        <v>103</v>
      </c>
      <c r="B889" t="str">
        <f>IF(COUNTIF(A:A,A889)&gt;1,_xlfn.CONCAT(A889," (",N889,")"),A889)</f>
        <v>Rénhé Zhèn (Băoshān Shì)</v>
      </c>
      <c r="C889" t="str">
        <f>IF(COUNTIF(B:B,B889)&gt;1,_xlfn.CONCAT(A889," (",M889,")"),B889)</f>
        <v>Rénhé Zhèn (Băoshān Shì)</v>
      </c>
      <c r="D889" t="s">
        <v>104</v>
      </c>
      <c r="E889" t="s">
        <v>11</v>
      </c>
      <c r="F889" t="str">
        <f>_xlfn.CONCAT(D889,", ",H889,", ",I889,", ","云南省")</f>
        <v>仁和镇, 施甸县, 保山市, 云南省</v>
      </c>
      <c r="G889">
        <v>47862</v>
      </c>
      <c r="H889" t="s">
        <v>2745</v>
      </c>
      <c r="I889" t="s">
        <v>2739</v>
      </c>
      <c r="J889">
        <f>VLOOKUP(F889,[1]!china_towns_second__2[[Column1]:[Y]],3,FALSE)</f>
        <v>24.7852847955462</v>
      </c>
      <c r="K889">
        <f>VLOOKUP(F889,[1]!china_towns_second__2[[Column1]:[Y]],2,FALSE)</f>
        <v>99.191602900000007</v>
      </c>
      <c r="L889" t="s">
        <v>4442</v>
      </c>
      <c r="M889" t="str">
        <f>VLOOKUP(H889,CHOOSE({1,2},Table17[Native],Table17[Name]),2,0)</f>
        <v>Shīdiàn Xiàn</v>
      </c>
      <c r="N889" s="15" t="str">
        <f>VLOOKUP(I889,CHOOSE({1,2},Table17[Native],Table17[Name]),2,0)</f>
        <v>Băoshān Shì</v>
      </c>
      <c r="O889" s="15" t="str">
        <f t="shared" si="26"/>
        <v>Renhe Zhen (Baoshan Shi) (Băoshān Shì)</v>
      </c>
      <c r="P889" s="15" t="str">
        <f t="shared" si="27"/>
        <v>Renhe Zhen (Baoshan Shi) (Băoshān Shì)</v>
      </c>
    </row>
    <row r="890" spans="1:16" hidden="1" x14ac:dyDescent="0.25">
      <c r="A890" t="s">
        <v>103</v>
      </c>
      <c r="B890" t="str">
        <f>IF(COUNTIF(A:A,A890)&gt;1,_xlfn.CONCAT(A890," (",N890,")"),A890)</f>
        <v>Rénhé Zhèn (Lìjiāng Shì)</v>
      </c>
      <c r="C890" t="str">
        <f>IF(COUNTIF(B:B,B890)&gt;1,_xlfn.CONCAT(A890," (",M890,")"),B890)</f>
        <v>Rénhé Zhèn (Lìjiāng Shì)</v>
      </c>
      <c r="D890" t="s">
        <v>104</v>
      </c>
      <c r="E890" t="s">
        <v>11</v>
      </c>
      <c r="F890" t="str">
        <f>_xlfn.CONCAT(D890,", ",H890,", ",I890,", ","云南省")</f>
        <v>仁和镇, 永胜县, 丽江市, 云南省</v>
      </c>
      <c r="G890">
        <v>24903</v>
      </c>
      <c r="H890" t="s">
        <v>2828</v>
      </c>
      <c r="I890" t="s">
        <v>2823</v>
      </c>
      <c r="J890">
        <f>VLOOKUP(F890,[1]!china_towns_second__2[[Column1]:[Y]],3,FALSE)</f>
        <v>26.4210295163513</v>
      </c>
      <c r="K890">
        <f>VLOOKUP(F890,[1]!china_towns_second__2[[Column1]:[Y]],2,FALSE)</f>
        <v>101.0495459</v>
      </c>
      <c r="L890" t="s">
        <v>4443</v>
      </c>
      <c r="M890" t="str">
        <f>VLOOKUP(H890,CHOOSE({1,2},Table17[Native],Table17[Name]),2,0)</f>
        <v>Yŏngshèng Xiàn</v>
      </c>
      <c r="N890" s="15" t="str">
        <f>VLOOKUP(I890,CHOOSE({1,2},Table17[Native],Table17[Name]),2,0)</f>
        <v>Lìjiāng Shì</v>
      </c>
      <c r="O890" s="15" t="str">
        <f t="shared" si="26"/>
        <v>Renhe Zhen (Lijiang Shi) (Lìjiāng Shì)</v>
      </c>
      <c r="P890" s="15" t="str">
        <f t="shared" si="27"/>
        <v>Renhe Zhen (Lijiang Shi) (Lìjiāng Shì)</v>
      </c>
    </row>
    <row r="891" spans="1:16" hidden="1" x14ac:dyDescent="0.25">
      <c r="A891" t="s">
        <v>103</v>
      </c>
      <c r="B891" t="str">
        <f>IF(COUNTIF(A:A,A891)&gt;1,_xlfn.CONCAT(A891," (",N891,")"),A891)</f>
        <v>Rénhé Zhèn (Wénshān Zhuàngzú Miáozú Zìzhìzhōu)</v>
      </c>
      <c r="C891" t="str">
        <f>IF(COUNTIF(B:B,B891)&gt;1,_xlfn.CONCAT(A891," (",M891,")"),B891)</f>
        <v>Rénhé Zhèn (Wénshān Zhuàngzú Miáozú Zìzhìzhōu)</v>
      </c>
      <c r="D891" t="s">
        <v>104</v>
      </c>
      <c r="E891" t="s">
        <v>11</v>
      </c>
      <c r="F891" t="str">
        <f>_xlfn.CONCAT(D891,", ",H891,", ",I891,", ","云南省")</f>
        <v>仁和镇, 马关县, 文山壮族苗族自治州, 云南省</v>
      </c>
      <c r="G891">
        <v>30290</v>
      </c>
      <c r="H891" t="s">
        <v>2875</v>
      </c>
      <c r="I891" t="s">
        <v>2872</v>
      </c>
      <c r="J891">
        <f>VLOOKUP(F891,[1]!china_towns_second__2[[Column1]:[Y]],3,FALSE)</f>
        <v>22.941147027333798</v>
      </c>
      <c r="K891">
        <f>VLOOKUP(F891,[1]!china_towns_second__2[[Column1]:[Y]],2,FALSE)</f>
        <v>104.28194310000001</v>
      </c>
      <c r="L891" t="s">
        <v>4444</v>
      </c>
      <c r="M891" t="str">
        <f>VLOOKUP(H891,CHOOSE({1,2},Table17[Native],Table17[Name]),2,0)</f>
        <v>Măguān Xiàn</v>
      </c>
      <c r="N891" s="15" t="str">
        <f>VLOOKUP(I891,CHOOSE({1,2},Table17[Native],Table17[Name]),2,0)</f>
        <v>Wénshān Zhuàngzú Miáozú Zìzhìzhōu</v>
      </c>
      <c r="O891" s="15" t="str">
        <f t="shared" si="26"/>
        <v>Renhe Zhen (Wenshan Zhuangzu Miaozu Zizhizhou) (Wénshān Zhuàngzú Miáozú Zìzhìzhōu)</v>
      </c>
      <c r="P891" s="15" t="str">
        <f t="shared" si="27"/>
        <v>Renhe Zhen (Wenshan Zhuangzu Miaozu Zizhizhou) (Wénshān Zhuàngzú Miáozú Zìzhìzhōu)</v>
      </c>
    </row>
    <row r="892" spans="1:16" hidden="1" x14ac:dyDescent="0.25">
      <c r="A892" t="s">
        <v>285</v>
      </c>
      <c r="B892" t="str">
        <f>IF(COUNTIF(A:A,A892)&gt;1,_xlfn.CONCAT(A892," (",N892,")"),A892)</f>
        <v>Rénxīng Zhèn</v>
      </c>
      <c r="C892" t="str">
        <f>IF(COUNTIF(B:B,B892)&gt;1,_xlfn.CONCAT(A892," (",M892,")"),B892)</f>
        <v>Rénxīng Zhèn</v>
      </c>
      <c r="D892" t="s">
        <v>286</v>
      </c>
      <c r="E892" t="s">
        <v>11</v>
      </c>
      <c r="F892" t="str">
        <f>_xlfn.CONCAT(D892,", ",H892,", ",I892,", ","云南省")</f>
        <v>仁兴镇, 禄丰县, 楚雄彝族自治州, 云南省</v>
      </c>
      <c r="G892">
        <v>33749</v>
      </c>
      <c r="H892" t="s">
        <v>2753</v>
      </c>
      <c r="I892" t="s">
        <v>2750</v>
      </c>
      <c r="J892">
        <f>VLOOKUP(F892,[1]!china_towns_second__2[[Column1]:[Y]],3,FALSE)</f>
        <v>25.401326282756099</v>
      </c>
      <c r="K892">
        <f>VLOOKUP(F892,[1]!china_towns_second__2[[Column1]:[Y]],2,FALSE)</f>
        <v>102.2689747</v>
      </c>
      <c r="L892" t="s">
        <v>4445</v>
      </c>
      <c r="M892" t="str">
        <f>VLOOKUP(H892,CHOOSE({1,2},Table17[Native],Table17[Name]),2,0)</f>
        <v>Lùfēng Xiàn</v>
      </c>
      <c r="N892" s="15" t="str">
        <f>VLOOKUP(I892,CHOOSE({1,2},Table17[Native],Table17[Name]),2,0)</f>
        <v>Chŭxióng Yízú Zìzhìzhōu</v>
      </c>
      <c r="O892" s="15" t="str">
        <f t="shared" si="26"/>
        <v>Renxing Zhen (Chŭxióng Yízú Zìzhìzhōu)</v>
      </c>
      <c r="P892" s="15" t="str">
        <f t="shared" si="27"/>
        <v>Renxing Zhen (Chŭxióng Yízú Zìzhìzhōu)</v>
      </c>
    </row>
    <row r="893" spans="1:16" hidden="1" x14ac:dyDescent="0.25">
      <c r="A893" t="s">
        <v>1985</v>
      </c>
      <c r="B893" t="str">
        <f>IF(COUNTIF(A:A,A893)&gt;1,_xlfn.CONCAT(A893," (",N893,")"),A893)</f>
        <v>Rèshuĭ Zhèn</v>
      </c>
      <c r="C893" t="str">
        <f>IF(COUNTIF(B:B,B893)&gt;1,_xlfn.CONCAT(A893," (",M893,")"),B893)</f>
        <v>Rèshuĭ Zhèn</v>
      </c>
      <c r="D893" t="s">
        <v>1986</v>
      </c>
      <c r="E893" t="s">
        <v>11</v>
      </c>
      <c r="F893" t="str">
        <f>_xlfn.CONCAT(D893,", ",H893,", ",I893,", ","云南省")</f>
        <v>热水镇, 宣威市, 曲靖市, 云南省</v>
      </c>
      <c r="G893">
        <v>76135</v>
      </c>
      <c r="H893" t="s">
        <v>2868</v>
      </c>
      <c r="I893" t="s">
        <v>2860</v>
      </c>
      <c r="J893">
        <f>VLOOKUP(F893,[1]!china_towns_second__2[[Column1]:[Y]],3,FALSE)</f>
        <v>26.053511685455</v>
      </c>
      <c r="K893">
        <f>VLOOKUP(F893,[1]!china_towns_second__2[[Column1]:[Y]],2,FALSE)</f>
        <v>103.7967234</v>
      </c>
      <c r="L893" t="s">
        <v>4446</v>
      </c>
      <c r="M893" t="str">
        <f>VLOOKUP(H893,CHOOSE({1,2},Table17[Native],Table17[Name]),2,0)</f>
        <v>Xuānwēi Shì</v>
      </c>
      <c r="N893" s="15" t="str">
        <f>VLOOKUP(I893,CHOOSE({1,2},Table17[Native],Table17[Name]),2,0)</f>
        <v>Qŭjìng Shì</v>
      </c>
      <c r="O893" s="15" t="str">
        <f t="shared" si="26"/>
        <v>Reshui Zhen (Qŭjìng Shì)</v>
      </c>
      <c r="P893" s="15" t="str">
        <f t="shared" si="27"/>
        <v>Reshui Zhen (Qŭjìng Shì)</v>
      </c>
    </row>
    <row r="894" spans="1:16" hidden="1" x14ac:dyDescent="0.25">
      <c r="A894" t="s">
        <v>1379</v>
      </c>
      <c r="B894" t="str">
        <f>IF(COUNTIF(A:A,A894)&gt;1,_xlfn.CONCAT(A894," (",N894,")"),A894)</f>
        <v>Róngjiāng Zhèn</v>
      </c>
      <c r="C894" t="str">
        <f>IF(COUNTIF(B:B,B894)&gt;1,_xlfn.CONCAT(A894," (",M894,")"),B894)</f>
        <v>Róngjiāng Zhèn</v>
      </c>
      <c r="D894" t="s">
        <v>1380</v>
      </c>
      <c r="E894" t="s">
        <v>11</v>
      </c>
      <c r="F894" t="str">
        <f>_xlfn.CONCAT(D894,", ",H894,", ",I894,", ","云南省")</f>
        <v>荣将镇, 华坪县, 丽江市, 云南省</v>
      </c>
      <c r="G894">
        <v>32291</v>
      </c>
      <c r="H894" t="s">
        <v>2826</v>
      </c>
      <c r="I894" t="s">
        <v>2823</v>
      </c>
      <c r="J894">
        <f>VLOOKUP(F894,[1]!china_towns_second__2[[Column1]:[Y]],3,FALSE)</f>
        <v>26.465165935674101</v>
      </c>
      <c r="K894">
        <f>VLOOKUP(F894,[1]!china_towns_second__2[[Column1]:[Y]],2,FALSE)</f>
        <v>101.252809</v>
      </c>
      <c r="L894" t="s">
        <v>4447</v>
      </c>
      <c r="M894" t="str">
        <f>VLOOKUP(H894,CHOOSE({1,2},Table17[Native],Table17[Name]),2,0)</f>
        <v>Huápíng Xiàn</v>
      </c>
      <c r="N894" s="15" t="str">
        <f>VLOOKUP(I894,CHOOSE({1,2},Table17[Native],Table17[Name]),2,0)</f>
        <v>Lìjiāng Shì</v>
      </c>
      <c r="O894" s="15" t="str">
        <f t="shared" si="26"/>
        <v>Rongjiang Zhen (Lìjiāng Shì)</v>
      </c>
      <c r="P894" s="15" t="str">
        <f t="shared" si="27"/>
        <v>Rongjiang Zhen (Lìjiāng Shì)</v>
      </c>
    </row>
    <row r="895" spans="1:16" hidden="1" x14ac:dyDescent="0.25">
      <c r="A895" t="s">
        <v>738</v>
      </c>
      <c r="B895" t="str">
        <f>IF(COUNTIF(A:A,A895)&gt;1,_xlfn.CONCAT(A895," (",N895,")"),A895)</f>
        <v>Sānbà Nàxīzú Xiāng</v>
      </c>
      <c r="C895" t="str">
        <f>IF(COUNTIF(B:B,B895)&gt;1,_xlfn.CONCAT(A895," (",M895,")"),B895)</f>
        <v>Sānbà Nàxīzú Xiāng</v>
      </c>
      <c r="D895" t="s">
        <v>739</v>
      </c>
      <c r="E895" t="s">
        <v>7</v>
      </c>
      <c r="F895" t="str">
        <f>_xlfn.CONCAT(D895,", ",H895,", ",I895,", ","云南省")</f>
        <v>三坝纳西族乡, 香格里拉市, 迪庆藏族自治州, 云南省</v>
      </c>
      <c r="G895">
        <v>18597</v>
      </c>
      <c r="H895" t="s">
        <v>2789</v>
      </c>
      <c r="I895" t="s">
        <v>2786</v>
      </c>
      <c r="J895" t="e">
        <f>VLOOKUP(F895,[1]!china_towns_second__2[[Column1]:[Y]],3,FALSE)</f>
        <v>#N/A</v>
      </c>
      <c r="K895" t="e">
        <f>VLOOKUP(F895,[1]!china_towns_second__2[[Column1]:[Y]],2,FALSE)</f>
        <v>#N/A</v>
      </c>
      <c r="L895" t="s">
        <v>4448</v>
      </c>
      <c r="M895" t="str">
        <f>VLOOKUP(H895,CHOOSE({1,2},Table17[Native],Table17[Name]),2,0)</f>
        <v>Xiānggélĭlā Shì</v>
      </c>
      <c r="N895" s="15" t="str">
        <f>VLOOKUP(I895,CHOOSE({1,2},Table17[Native],Table17[Name]),2,0)</f>
        <v>Díqìng Zàngzú Zìzhìzhōu</v>
      </c>
      <c r="O895" s="15" t="str">
        <f t="shared" si="26"/>
        <v>Sanba Naxizu Xiang (Díqìng Zàngzú Zìzhìzhōu)</v>
      </c>
      <c r="P895" s="15" t="str">
        <f t="shared" si="27"/>
        <v>Sanba Naxizu Xiang (Díqìng Zàngzú Zìzhìzhōu)</v>
      </c>
    </row>
    <row r="896" spans="1:16" hidden="1" x14ac:dyDescent="0.25">
      <c r="A896" t="s">
        <v>1987</v>
      </c>
      <c r="B896" t="str">
        <f>IF(COUNTIF(A:A,A896)&gt;1,_xlfn.CONCAT(A896," (",N896,")"),A896)</f>
        <v>Sānbăo Jiēdào</v>
      </c>
      <c r="C896" t="str">
        <f>IF(COUNTIF(B:B,B896)&gt;1,_xlfn.CONCAT(A896," (",M896,")"),B896)</f>
        <v>Sānbăo Jiēdào</v>
      </c>
      <c r="D896" t="s">
        <v>1988</v>
      </c>
      <c r="E896" t="s">
        <v>42</v>
      </c>
      <c r="F896" t="str">
        <f>_xlfn.CONCAT(D896,", ",H896,", ",I896,", ","云南省")</f>
        <v>三宝街道, 麒麟区, 曲靖市, 云南省</v>
      </c>
      <c r="G896">
        <v>59301</v>
      </c>
      <c r="H896" t="s">
        <v>2866</v>
      </c>
      <c r="I896" t="s">
        <v>2860</v>
      </c>
      <c r="J896" t="e">
        <f>VLOOKUP(F896,[1]!china_towns_second__2[[Column1]:[Y]],3,FALSE)</f>
        <v>#N/A</v>
      </c>
      <c r="K896" t="e">
        <f>VLOOKUP(F896,[1]!china_towns_second__2[[Column1]:[Y]],2,FALSE)</f>
        <v>#N/A</v>
      </c>
      <c r="L896" t="s">
        <v>4449</v>
      </c>
      <c r="M896" t="str">
        <f>VLOOKUP(H896,CHOOSE({1,2},Table17[Native],Table17[Name]),2,0)</f>
        <v>Qílín Qū</v>
      </c>
      <c r="N896" s="15" t="str">
        <f>VLOOKUP(I896,CHOOSE({1,2},Table17[Native],Table17[Name]),2,0)</f>
        <v>Qŭjìng Shì</v>
      </c>
      <c r="O896" s="15" t="str">
        <f t="shared" si="26"/>
        <v>Sanbao Jiedao (Qŭjìng Shì)</v>
      </c>
      <c r="P896" s="15" t="str">
        <f t="shared" si="27"/>
        <v>Sanbao Jiedao (Qŭjìng Shì)</v>
      </c>
    </row>
    <row r="897" spans="1:16" hidden="1" x14ac:dyDescent="0.25">
      <c r="A897" t="s">
        <v>287</v>
      </c>
      <c r="B897" t="str">
        <f>IF(COUNTIF(A:A,A897)&gt;1,_xlfn.CONCAT(A897," (",N897,")"),A897)</f>
        <v>Sānchàhé Zhèn (Chŭxióng Yízú Zìzhìzhōu)</v>
      </c>
      <c r="C897" t="str">
        <f>IF(COUNTIF(B:B,B897)&gt;1,_xlfn.CONCAT(A897," (",M897,")"),B897)</f>
        <v>Sānchàhé Zhèn (Chŭxióng Yízú Zìzhìzhōu)</v>
      </c>
      <c r="D897" t="s">
        <v>288</v>
      </c>
      <c r="E897" t="s">
        <v>11</v>
      </c>
      <c r="F897" t="str">
        <f>_xlfn.CONCAT(D897,", ",H897,", ",I897,", ","云南省")</f>
        <v>三岔河镇, 大姚县, 楚雄彝族自治州, 云南省</v>
      </c>
      <c r="G897">
        <v>13223</v>
      </c>
      <c r="H897" t="s">
        <v>2752</v>
      </c>
      <c r="I897" t="s">
        <v>2750</v>
      </c>
      <c r="J897">
        <f>VLOOKUP(F897,[1]!china_towns_second__2[[Column1]:[Y]],3,FALSE)</f>
        <v>25.908679488490701</v>
      </c>
      <c r="K897">
        <f>VLOOKUP(F897,[1]!china_towns_second__2[[Column1]:[Y]],2,FALSE)</f>
        <v>100.9835453</v>
      </c>
      <c r="L897" t="s">
        <v>4450</v>
      </c>
      <c r="M897" t="str">
        <f>VLOOKUP(H897,CHOOSE({1,2},Table17[Native],Table17[Name]),2,0)</f>
        <v>Dàyáo Xiàn</v>
      </c>
      <c r="N897" s="15" t="str">
        <f>VLOOKUP(I897,CHOOSE({1,2},Table17[Native],Table17[Name]),2,0)</f>
        <v>Chŭxióng Yízú Zìzhìzhōu</v>
      </c>
      <c r="O897" s="15" t="str">
        <f t="shared" si="26"/>
        <v>Sanchahe Zhen (Chuxiong Yizu Zizhizhou) (Chŭxióng Yízú Zìzhìzhōu)</v>
      </c>
      <c r="P897" s="15" t="str">
        <f t="shared" si="27"/>
        <v>Sanchahe Zhen (Chuxiong Yizu Zizhizhou) (Chŭxióng Yízú Zìzhìzhōu)</v>
      </c>
    </row>
    <row r="898" spans="1:16" hidden="1" x14ac:dyDescent="0.25">
      <c r="A898" t="s">
        <v>287</v>
      </c>
      <c r="B898" t="str">
        <f>IF(COUNTIF(A:A,A898)&gt;1,_xlfn.CONCAT(A898," (",N898,")"),A898)</f>
        <v>Sānchàhé Zhèn (Líncāng Shì)</v>
      </c>
      <c r="C898" t="str">
        <f>IF(COUNTIF(B:B,B898)&gt;1,_xlfn.CONCAT(A898," (",M898,")"),B898)</f>
        <v>Sānchàhé Zhèn (Líncāng Shì)</v>
      </c>
      <c r="D898" t="s">
        <v>288</v>
      </c>
      <c r="E898" t="s">
        <v>11</v>
      </c>
      <c r="F898" t="str">
        <f>_xlfn.CONCAT(D898,", ",H898,", ",I898,", ","云南省")</f>
        <v>三岔河镇, 凤庆县, 临沧市, 云南省</v>
      </c>
      <c r="G898">
        <v>28708</v>
      </c>
      <c r="H898" t="s">
        <v>2833</v>
      </c>
      <c r="I898" t="s">
        <v>2831</v>
      </c>
      <c r="J898">
        <f>VLOOKUP(F898,[1]!china_towns_second__2[[Column1]:[Y]],3,FALSE)</f>
        <v>24.435823100551399</v>
      </c>
      <c r="K898">
        <f>VLOOKUP(F898,[1]!china_towns_second__2[[Column1]:[Y]],2,FALSE)</f>
        <v>99.867908900000003</v>
      </c>
      <c r="L898" t="s">
        <v>4451</v>
      </c>
      <c r="M898" t="str">
        <f>VLOOKUP(H898,CHOOSE({1,2},Table17[Native],Table17[Name]),2,0)</f>
        <v>Fèngqìng Xiàn</v>
      </c>
      <c r="N898" s="15" t="str">
        <f>VLOOKUP(I898,CHOOSE({1,2},Table17[Native],Table17[Name]),2,0)</f>
        <v>Líncāng Shì</v>
      </c>
      <c r="O898" s="15" t="str">
        <f t="shared" ref="O898:O961" si="28">_xlfn.CONCAT(L898," (",N898,")")</f>
        <v>Sanchahe Zhen (Lincang Shi) (Líncāng Shì)</v>
      </c>
      <c r="P898" s="15" t="str">
        <f t="shared" ref="P898:P961" si="29">IF(COUNTIF(O:O,O898)&gt;1,_xlfn.CONCAT(L898," (",M898,")"),O898)</f>
        <v>Sanchahe Zhen (Lincang Shi) (Líncāng Shì)</v>
      </c>
    </row>
    <row r="899" spans="1:16" hidden="1" x14ac:dyDescent="0.25">
      <c r="A899" t="s">
        <v>287</v>
      </c>
      <c r="B899" t="str">
        <f>IF(COUNTIF(A:A,A899)&gt;1,_xlfn.CONCAT(A899," (",N899,")"),A899)</f>
        <v>Sānchàhé Zhèn (Qŭjìng Shì)</v>
      </c>
      <c r="C899" t="str">
        <f>IF(COUNTIF(B:B,B899)&gt;1,_xlfn.CONCAT(A899," (",M899,")"),B899)</f>
        <v>Sānchàhé Zhèn (Qŭjìng Shì)</v>
      </c>
      <c r="D899" t="s">
        <v>288</v>
      </c>
      <c r="E899" t="s">
        <v>11</v>
      </c>
      <c r="F899" t="str">
        <f>_xlfn.CONCAT(D899,", ",H899,", ",I899,", ","云南省")</f>
        <v>三岔河镇, 陆良县, 曲靖市, 云南省</v>
      </c>
      <c r="G899">
        <v>107623</v>
      </c>
      <c r="H899" t="s">
        <v>2863</v>
      </c>
      <c r="I899" t="s">
        <v>2860</v>
      </c>
      <c r="J899">
        <f>VLOOKUP(F899,[1]!china_towns_second__2[[Column1]:[Y]],3,FALSE)</f>
        <v>25.0320765166794</v>
      </c>
      <c r="K899">
        <f>VLOOKUP(F899,[1]!china_towns_second__2[[Column1]:[Y]],2,FALSE)</f>
        <v>103.7694118</v>
      </c>
      <c r="L899" t="s">
        <v>4452</v>
      </c>
      <c r="M899" t="str">
        <f>VLOOKUP(H899,CHOOSE({1,2},Table17[Native],Table17[Name]),2,0)</f>
        <v>Lùliáng Xiàn</v>
      </c>
      <c r="N899" s="15" t="str">
        <f>VLOOKUP(I899,CHOOSE({1,2},Table17[Native],Table17[Name]),2,0)</f>
        <v>Qŭjìng Shì</v>
      </c>
      <c r="O899" s="15" t="str">
        <f t="shared" si="28"/>
        <v>Sanchahe Zhen (Qujing Shi) (Qŭjìng Shì)</v>
      </c>
      <c r="P899" s="15" t="str">
        <f t="shared" si="29"/>
        <v>Sanchahe Zhen (Qujing Shi) (Qŭjìng Shì)</v>
      </c>
    </row>
    <row r="900" spans="1:16" hidden="1" x14ac:dyDescent="0.25">
      <c r="A900" t="s">
        <v>1381</v>
      </c>
      <c r="B900" t="str">
        <f>IF(COUNTIF(A:A,A900)&gt;1,_xlfn.CONCAT(A900," (",N900,")"),A900)</f>
        <v>Sānchuān Zhèn</v>
      </c>
      <c r="C900" t="str">
        <f>IF(COUNTIF(B:B,B900)&gt;1,_xlfn.CONCAT(A900," (",M900,")"),B900)</f>
        <v>Sānchuān Zhèn</v>
      </c>
      <c r="D900" t="s">
        <v>1382</v>
      </c>
      <c r="E900" t="s">
        <v>11</v>
      </c>
      <c r="F900" t="str">
        <f>_xlfn.CONCAT(D900,", ",H900,", ",I900,", ","云南省")</f>
        <v>三川镇, 永胜县, 丽江市, 云南省</v>
      </c>
      <c r="G900">
        <v>56345</v>
      </c>
      <c r="H900" t="s">
        <v>2828</v>
      </c>
      <c r="I900" t="s">
        <v>2823</v>
      </c>
      <c r="J900">
        <f>VLOOKUP(F900,[1]!china_towns_second__2[[Column1]:[Y]],3,FALSE)</f>
        <v>26.748503145668501</v>
      </c>
      <c r="K900">
        <f>VLOOKUP(F900,[1]!china_towns_second__2[[Column1]:[Y]],2,FALSE)</f>
        <v>100.6630723</v>
      </c>
      <c r="L900" t="s">
        <v>4453</v>
      </c>
      <c r="M900" t="str">
        <f>VLOOKUP(H900,CHOOSE({1,2},Table17[Native],Table17[Name]),2,0)</f>
        <v>Yŏngshèng Xiàn</v>
      </c>
      <c r="N900" s="15" t="str">
        <f>VLOOKUP(I900,CHOOSE({1,2},Table17[Native],Table17[Name]),2,0)</f>
        <v>Lìjiāng Shì</v>
      </c>
      <c r="O900" s="15" t="str">
        <f t="shared" si="28"/>
        <v>Sanchuan Zhen (Lìjiāng Shì)</v>
      </c>
      <c r="P900" s="15" t="str">
        <f t="shared" si="29"/>
        <v>Sanchuan Zhen (Lìjiāng Shì)</v>
      </c>
    </row>
    <row r="901" spans="1:16" hidden="1" x14ac:dyDescent="0.25">
      <c r="A901" t="s">
        <v>951</v>
      </c>
      <c r="B901" t="str">
        <f>IF(COUNTIF(A:A,A901)&gt;1,_xlfn.CONCAT(A901," (",N901,")"),A901)</f>
        <v>Sāncūn Xiāng</v>
      </c>
      <c r="C901" t="str">
        <f>IF(COUNTIF(B:B,B901)&gt;1,_xlfn.CONCAT(A901," (",M901,")"),B901)</f>
        <v>Sāncūn Xiāng</v>
      </c>
      <c r="D901" t="s">
        <v>952</v>
      </c>
      <c r="E901" t="s">
        <v>7</v>
      </c>
      <c r="F901" t="str">
        <f>_xlfn.CONCAT(D901,", ",H901,", ",I901,", ","云南省")</f>
        <v>三村乡, 红河县, 红河哈尼族彝族自治州, 云南省</v>
      </c>
      <c r="G901">
        <v>13184</v>
      </c>
      <c r="H901" t="s">
        <v>2795</v>
      </c>
      <c r="I901" t="s">
        <v>2792</v>
      </c>
      <c r="J901" t="e">
        <f>VLOOKUP(F901,[1]!china_towns_second__2[[Column1]:[Y]],3,FALSE)</f>
        <v>#N/A</v>
      </c>
      <c r="K901" t="e">
        <f>VLOOKUP(F901,[1]!china_towns_second__2[[Column1]:[Y]],2,FALSE)</f>
        <v>#N/A</v>
      </c>
      <c r="L901" t="s">
        <v>4454</v>
      </c>
      <c r="M901" t="str">
        <f>VLOOKUP(H901,CHOOSE({1,2},Table17[Native],Table17[Name]),2,0)</f>
        <v>Hónghé Xiàn</v>
      </c>
      <c r="N901" s="15" t="str">
        <f>VLOOKUP(I901,CHOOSE({1,2},Table17[Native],Table17[Name]),2,0)</f>
        <v>Hónghé Hānízú Yízú Zìzhìzhōu</v>
      </c>
      <c r="O901" s="15" t="str">
        <f t="shared" si="28"/>
        <v>Sancun Xiang (Hónghé Hānízú Yízú Zìzhìzhōu)</v>
      </c>
      <c r="P901" s="15" t="str">
        <f t="shared" si="29"/>
        <v>Sancun Xiang (Hónghé Hānízú Yízú Zìzhìzhōu)</v>
      </c>
    </row>
    <row r="902" spans="1:16" hidden="1" x14ac:dyDescent="0.25">
      <c r="A902" t="s">
        <v>1211</v>
      </c>
      <c r="B902" t="str">
        <f>IF(COUNTIF(A:A,A902)&gt;1,_xlfn.CONCAT(A902," (",N902,")"),A902)</f>
        <v>Sàndàn Zhèn</v>
      </c>
      <c r="C902" t="str">
        <f>IF(COUNTIF(B:B,B902)&gt;1,_xlfn.CONCAT(A902," (",M902,")"),B902)</f>
        <v>Sàndàn Zhèn</v>
      </c>
      <c r="D902" t="s">
        <v>1212</v>
      </c>
      <c r="E902" t="s">
        <v>11</v>
      </c>
      <c r="F902" t="str">
        <f>_xlfn.CONCAT(D902,", ",H902,", ",I902,", ","云南省")</f>
        <v>散旦镇, 富民县, 昆明市, 云南省</v>
      </c>
      <c r="G902">
        <v>10269</v>
      </c>
      <c r="H902" t="s">
        <v>2811</v>
      </c>
      <c r="I902" t="s">
        <v>2807</v>
      </c>
      <c r="J902">
        <f>VLOOKUP(F902,[1]!china_towns_second__2[[Column1]:[Y]],3,FALSE)</f>
        <v>25.3302306465886</v>
      </c>
      <c r="K902">
        <f>VLOOKUP(F902,[1]!china_towns_second__2[[Column1]:[Y]],2,FALSE)</f>
        <v>102.6622619</v>
      </c>
      <c r="L902" t="s">
        <v>4455</v>
      </c>
      <c r="M902" t="str">
        <f>VLOOKUP(H902,CHOOSE({1,2},Table17[Native],Table17[Name]),2,0)</f>
        <v>Fùmín Xiàn</v>
      </c>
      <c r="N902" s="15" t="str">
        <f>VLOOKUP(I902,CHOOSE({1,2},Table17[Native],Table17[Name]),2,0)</f>
        <v>Kūnmíng Shì</v>
      </c>
      <c r="O902" s="15" t="str">
        <f t="shared" si="28"/>
        <v>Sandan Zhen (Kūnmíng Shì)</v>
      </c>
      <c r="P902" s="15" t="str">
        <f t="shared" si="29"/>
        <v>Sandan Zhen (Kūnmíng Shì)</v>
      </c>
    </row>
    <row r="903" spans="1:16" hidden="1" x14ac:dyDescent="0.25">
      <c r="A903" t="s">
        <v>289</v>
      </c>
      <c r="B903" t="str">
        <f>IF(COUNTIF(A:A,A903)&gt;1,_xlfn.CONCAT(A903," (",N903,")"),A903)</f>
        <v>Sānjiē Zhèn</v>
      </c>
      <c r="C903" t="str">
        <f>IF(COUNTIF(B:B,B903)&gt;1,_xlfn.CONCAT(A903," (",M903,")"),B903)</f>
        <v>Sānjiē Zhèn</v>
      </c>
      <c r="D903" t="s">
        <v>290</v>
      </c>
      <c r="E903" t="s">
        <v>11</v>
      </c>
      <c r="F903" t="str">
        <f>_xlfn.CONCAT(D903,", ",H903,", ",I903,", ","云南省")</f>
        <v>三街镇, 楚雄市, 楚雄彝族自治州, 云南省</v>
      </c>
      <c r="G903">
        <v>22424</v>
      </c>
      <c r="H903" t="s">
        <v>2751</v>
      </c>
      <c r="I903" t="s">
        <v>2750</v>
      </c>
      <c r="J903">
        <f>VLOOKUP(F903,[1]!china_towns_second__2[[Column1]:[Y]],3,FALSE)</f>
        <v>25.0149362099048</v>
      </c>
      <c r="K903">
        <f>VLOOKUP(F903,[1]!china_towns_second__2[[Column1]:[Y]],2,FALSE)</f>
        <v>101.051042</v>
      </c>
      <c r="L903" t="s">
        <v>4456</v>
      </c>
      <c r="M903" t="str">
        <f>VLOOKUP(H903,CHOOSE({1,2},Table17[Native],Table17[Name]),2,0)</f>
        <v>Chŭxióng Shì</v>
      </c>
      <c r="N903" s="15" t="str">
        <f>VLOOKUP(I903,CHOOSE({1,2},Table17[Native],Table17[Name]),2,0)</f>
        <v>Chŭxióng Yízú Zìzhìzhōu</v>
      </c>
      <c r="O903" s="15" t="str">
        <f t="shared" si="28"/>
        <v>Sanjie Zhen (Chŭxióng Yízú Zìzhìzhōu)</v>
      </c>
      <c r="P903" s="15" t="str">
        <f t="shared" si="29"/>
        <v>Sanjie Zhen (Chŭxióng Yízú Zìzhìzhōu)</v>
      </c>
    </row>
    <row r="904" spans="1:16" hidden="1" x14ac:dyDescent="0.25">
      <c r="A904" t="s">
        <v>953</v>
      </c>
      <c r="B904" t="str">
        <f>IF(COUNTIF(A:A,A904)&gt;1,_xlfn.CONCAT(A904," (",N904,")"),A904)</f>
        <v>Sānmĕng Xiāng</v>
      </c>
      <c r="C904" t="str">
        <f>IF(COUNTIF(B:B,B904)&gt;1,_xlfn.CONCAT(A904," (",M904,")"),B904)</f>
        <v>Sānmĕng Xiāng</v>
      </c>
      <c r="D904" t="s">
        <v>954</v>
      </c>
      <c r="E904" t="s">
        <v>7</v>
      </c>
      <c r="F904" t="str">
        <f>_xlfn.CONCAT(D904,", ",H904,", ",I904,", ","云南省")</f>
        <v>三猛乡, 绿春县, 红河哈尼族彝族自治州, 云南省</v>
      </c>
      <c r="G904">
        <v>25142</v>
      </c>
      <c r="H904" t="s">
        <v>2799</v>
      </c>
      <c r="I904" t="s">
        <v>2792</v>
      </c>
      <c r="J904" t="e">
        <f>VLOOKUP(F904,[1]!china_towns_second__2[[Column1]:[Y]],3,FALSE)</f>
        <v>#N/A</v>
      </c>
      <c r="K904" t="e">
        <f>VLOOKUP(F904,[1]!china_towns_second__2[[Column1]:[Y]],2,FALSE)</f>
        <v>#N/A</v>
      </c>
      <c r="L904" t="s">
        <v>4457</v>
      </c>
      <c r="M904" t="str">
        <f>VLOOKUP(H904,CHOOSE({1,2},Table17[Native],Table17[Name]),2,0)</f>
        <v>Lǜchūn Xiàn</v>
      </c>
      <c r="N904" s="15" t="str">
        <f>VLOOKUP(I904,CHOOSE({1,2},Table17[Native],Table17[Name]),2,0)</f>
        <v>Hónghé Hānízú Yízú Zìzhìzhōu</v>
      </c>
      <c r="O904" s="15" t="str">
        <f t="shared" si="28"/>
        <v>Sanmeng Xiang (Hónghé Hānízú Yízú Zìzhìzhōu)</v>
      </c>
      <c r="P904" s="15" t="str">
        <f t="shared" si="29"/>
        <v>Sanmeng Xiang (Hónghé Hānízú Yízú Zìzhìzhōu)</v>
      </c>
    </row>
    <row r="905" spans="1:16" hidden="1" x14ac:dyDescent="0.25">
      <c r="A905" t="s">
        <v>291</v>
      </c>
      <c r="B905" t="str">
        <f>IF(COUNTIF(A:A,A905)&gt;1,_xlfn.CONCAT(A905," (",N905,")"),A905)</f>
        <v>Sāntái Xiāng</v>
      </c>
      <c r="C905" t="str">
        <f>IF(COUNTIF(B:B,B905)&gt;1,_xlfn.CONCAT(A905," (",M905,")"),B905)</f>
        <v>Sāntái Xiāng</v>
      </c>
      <c r="D905" t="s">
        <v>292</v>
      </c>
      <c r="E905" t="s">
        <v>7</v>
      </c>
      <c r="F905" t="str">
        <f>_xlfn.CONCAT(D905,", ",H905,", ",I905,", ","云南省")</f>
        <v>三台乡, 大姚县, 楚雄彝族自治州, 云南省</v>
      </c>
      <c r="G905">
        <v>11790</v>
      </c>
      <c r="H905" t="s">
        <v>2752</v>
      </c>
      <c r="I905" t="s">
        <v>2750</v>
      </c>
      <c r="J905" t="e">
        <f>VLOOKUP(F905,[1]!china_towns_second__2[[Column1]:[Y]],3,FALSE)</f>
        <v>#N/A</v>
      </c>
      <c r="K905" t="e">
        <f>VLOOKUP(F905,[1]!china_towns_second__2[[Column1]:[Y]],2,FALSE)</f>
        <v>#N/A</v>
      </c>
      <c r="L905" t="s">
        <v>4458</v>
      </c>
      <c r="M905" t="str">
        <f>VLOOKUP(H905,CHOOSE({1,2},Table17[Native],Table17[Name]),2,0)</f>
        <v>Dàyáo Xiàn</v>
      </c>
      <c r="N905" s="15" t="str">
        <f>VLOOKUP(I905,CHOOSE({1,2},Table17[Native],Table17[Name]),2,0)</f>
        <v>Chŭxióng Yízú Zìzhìzhōu</v>
      </c>
      <c r="O905" s="15" t="str">
        <f t="shared" si="28"/>
        <v>Santai Xiang (Chŭxióng Yízú Zìzhìzhōu)</v>
      </c>
      <c r="P905" s="15" t="str">
        <f t="shared" si="29"/>
        <v>Santai Xiang (Chŭxióng Yízú Zìzhìzhōu)</v>
      </c>
    </row>
    <row r="906" spans="1:16" hidden="1" x14ac:dyDescent="0.25">
      <c r="A906" t="s">
        <v>673</v>
      </c>
      <c r="B906" t="str">
        <f>IF(COUNTIF(A:A,A906)&gt;1,_xlfn.CONCAT(A906," (",N906,")"),A906)</f>
        <v>Sāntáishān Dé'ángzú Xiāng</v>
      </c>
      <c r="C906" t="str">
        <f>IF(COUNTIF(B:B,B906)&gt;1,_xlfn.CONCAT(A906," (",M906,")"),B906)</f>
        <v>Sāntáishān Dé'ángzú Xiāng</v>
      </c>
      <c r="D906" t="s">
        <v>674</v>
      </c>
      <c r="E906" t="s">
        <v>7</v>
      </c>
      <c r="F906" t="str">
        <f>_xlfn.CONCAT(D906,", ",H906,", ",I906,", ","云南省")</f>
        <v>三台山德昂族乡, 芒市, 德宏傣族景颇族自治州, 云南省</v>
      </c>
      <c r="G906">
        <v>7068</v>
      </c>
      <c r="H906" t="s">
        <v>2782</v>
      </c>
      <c r="I906" t="s">
        <v>2779</v>
      </c>
      <c r="J906" t="e">
        <f>VLOOKUP(F906,[1]!china_towns_second__2[[Column1]:[Y]],3,FALSE)</f>
        <v>#N/A</v>
      </c>
      <c r="K906" t="e">
        <f>VLOOKUP(F906,[1]!china_towns_second__2[[Column1]:[Y]],2,FALSE)</f>
        <v>#N/A</v>
      </c>
      <c r="L906" t="s">
        <v>4459</v>
      </c>
      <c r="M906" t="str">
        <f>VLOOKUP(H906,CHOOSE({1,2},Table17[Native],Table17[Name]),2,0)</f>
        <v>Máng Shì</v>
      </c>
      <c r="N906" s="15" t="str">
        <f>VLOOKUP(I906,CHOOSE({1,2},Table17[Native],Table17[Name]),2,0)</f>
        <v>Déhóng Dăizú Jĭngpōzú Zìzhìzhōu</v>
      </c>
      <c r="O906" s="15" t="str">
        <f t="shared" si="28"/>
        <v>Santaishan De'angzu Xiang (Déhóng Dăizú Jĭngpōzú Zìzhìzhōu)</v>
      </c>
      <c r="P906" s="15" t="str">
        <f t="shared" si="29"/>
        <v>Santaishan De'angzu Xiang (Déhóng Dăizú Jĭngpōzú Zìzhìzhōu)</v>
      </c>
    </row>
    <row r="907" spans="1:16" hidden="1" x14ac:dyDescent="0.25">
      <c r="A907" t="s">
        <v>955</v>
      </c>
      <c r="B907" t="str">
        <f>IF(COUNTIF(A:A,A907)&gt;1,_xlfn.CONCAT(A907," (",N907,")"),A907)</f>
        <v>Sāntáng Xiāng</v>
      </c>
      <c r="C907" t="str">
        <f>IF(COUNTIF(B:B,B907)&gt;1,_xlfn.CONCAT(A907," (",M907,")"),B907)</f>
        <v>Sāntáng Xiāng</v>
      </c>
      <c r="D907" t="s">
        <v>956</v>
      </c>
      <c r="E907" t="s">
        <v>7</v>
      </c>
      <c r="F907" t="str">
        <f>_xlfn.CONCAT(D907,", ",H907,", ",I907,", ","云南省")</f>
        <v>三塘乡, 泸西县, 红河哈尼族彝族自治州, 云南省</v>
      </c>
      <c r="G907">
        <v>17950</v>
      </c>
      <c r="H907" t="s">
        <v>2800</v>
      </c>
      <c r="I907" t="s">
        <v>2792</v>
      </c>
      <c r="J907" t="e">
        <f>VLOOKUP(F907,[1]!china_towns_second__2[[Column1]:[Y]],3,FALSE)</f>
        <v>#N/A</v>
      </c>
      <c r="K907" t="e">
        <f>VLOOKUP(F907,[1]!china_towns_second__2[[Column1]:[Y]],2,FALSE)</f>
        <v>#N/A</v>
      </c>
      <c r="L907" t="s">
        <v>4460</v>
      </c>
      <c r="M907" t="str">
        <f>VLOOKUP(H907,CHOOSE({1,2},Table17[Native],Table17[Name]),2,0)</f>
        <v>Lúxī Xiàn</v>
      </c>
      <c r="N907" s="15" t="str">
        <f>VLOOKUP(I907,CHOOSE({1,2},Table17[Native],Table17[Name]),2,0)</f>
        <v>Hónghé Hānízú Yízú Zìzhìzhōu</v>
      </c>
      <c r="O907" s="15" t="str">
        <f t="shared" si="28"/>
        <v>Santang Xiang (Hónghé Hānízú Yízú Zìzhìzhōu)</v>
      </c>
      <c r="P907" s="15" t="str">
        <f t="shared" si="29"/>
        <v>Santang Xiang (Hónghé Hānízú Yízú Zìzhìzhōu)</v>
      </c>
    </row>
    <row r="908" spans="1:16" hidden="1" x14ac:dyDescent="0.25">
      <c r="A908" t="s">
        <v>2631</v>
      </c>
      <c r="B908" t="str">
        <f>IF(COUNTIF(A:A,A908)&gt;1,_xlfn.CONCAT(A908," (",N908,")"),A908)</f>
        <v>Sāntáo Xiāng</v>
      </c>
      <c r="C908" t="str">
        <f>IF(COUNTIF(B:B,B908)&gt;1,_xlfn.CONCAT(A908," (",M908,")"),B908)</f>
        <v>Sāntáo Xiāng</v>
      </c>
      <c r="D908" t="s">
        <v>2632</v>
      </c>
      <c r="E908" t="s">
        <v>7</v>
      </c>
      <c r="F908" t="str">
        <f>_xlfn.CONCAT(D908,", ",H908,", ",I908,", ","云南省")</f>
        <v>三桃乡, 威信县, 昭通市, 云南省</v>
      </c>
      <c r="G908">
        <v>28888</v>
      </c>
      <c r="H908" t="s">
        <v>2905</v>
      </c>
      <c r="I908" t="s">
        <v>2899</v>
      </c>
      <c r="J908" t="e">
        <f>VLOOKUP(F908,[1]!china_towns_second__2[[Column1]:[Y]],3,FALSE)</f>
        <v>#N/A</v>
      </c>
      <c r="K908" t="e">
        <f>VLOOKUP(F908,[1]!china_towns_second__2[[Column1]:[Y]],2,FALSE)</f>
        <v>#N/A</v>
      </c>
      <c r="L908" t="s">
        <v>4461</v>
      </c>
      <c r="M908" t="str">
        <f>VLOOKUP(H908,CHOOSE({1,2},Table17[Native],Table17[Name]),2,0)</f>
        <v>Wēixìn Xiàn</v>
      </c>
      <c r="N908" s="15" t="str">
        <f>VLOOKUP(I908,CHOOSE({1,2},Table17[Native],Table17[Name]),2,0)</f>
        <v>Zhāotōng Shì</v>
      </c>
      <c r="O908" s="15" t="str">
        <f t="shared" si="28"/>
        <v>Santao Xiang (Zhāotōng Shì)</v>
      </c>
      <c r="P908" s="15" t="str">
        <f t="shared" si="29"/>
        <v>Santao Xiang (Zhāotōng Shì)</v>
      </c>
    </row>
    <row r="909" spans="1:16" hidden="1" x14ac:dyDescent="0.25">
      <c r="A909" t="s">
        <v>520</v>
      </c>
      <c r="B909" t="str">
        <f>IF(COUNTIF(A:A,A909)&gt;1,_xlfn.CONCAT(A909," (",N909,")"),A909)</f>
        <v>Sānyíng Zhèn</v>
      </c>
      <c r="C909" t="str">
        <f>IF(COUNTIF(B:B,B909)&gt;1,_xlfn.CONCAT(A909," (",M909,")"),B909)</f>
        <v>Sānyíng Zhèn</v>
      </c>
      <c r="D909" t="s">
        <v>521</v>
      </c>
      <c r="E909" t="s">
        <v>11</v>
      </c>
      <c r="F909" t="str">
        <f>_xlfn.CONCAT(D909,", ",H909,", ",I909,", ","云南省")</f>
        <v>三营镇, 洱源县, 大理白族自治州, 云南省</v>
      </c>
      <c r="G909">
        <v>36048</v>
      </c>
      <c r="H909" t="s">
        <v>2766</v>
      </c>
      <c r="I909" t="s">
        <v>2763</v>
      </c>
      <c r="J909">
        <f>VLOOKUP(F909,[1]!china_towns_second__2[[Column1]:[Y]],3,FALSE)</f>
        <v>26.194218908494999</v>
      </c>
      <c r="K909">
        <f>VLOOKUP(F909,[1]!china_towns_second__2[[Column1]:[Y]],2,FALSE)</f>
        <v>100.0323295</v>
      </c>
      <c r="L909" t="s">
        <v>4462</v>
      </c>
      <c r="M909" t="str">
        <f>VLOOKUP(H909,CHOOSE({1,2},Table17[Native],Table17[Name]),2,0)</f>
        <v>Ĕryuán Xiàn</v>
      </c>
      <c r="N909" s="15" t="str">
        <f>VLOOKUP(I909,CHOOSE({1,2},Table17[Native],Table17[Name]),2,0)</f>
        <v>Dàlĭ Báizú Zìzhìzhōu</v>
      </c>
      <c r="O909" s="15" t="str">
        <f t="shared" si="28"/>
        <v>Sanying Zhen (Dàlĭ Báizú Zìzhìzhōu)</v>
      </c>
      <c r="P909" s="15" t="str">
        <f t="shared" si="29"/>
        <v>Sanying Zhen (Dàlĭ Báizú Zìzhìzhōu)</v>
      </c>
    </row>
    <row r="910" spans="1:16" hidden="1" x14ac:dyDescent="0.25">
      <c r="A910" t="s">
        <v>1213</v>
      </c>
      <c r="B910" t="str">
        <f>IF(COUNTIF(A:A,A910)&gt;1,_xlfn.CONCAT(A910," (",N910,")"),A910)</f>
        <v>Sāyíngpán Zhèn</v>
      </c>
      <c r="C910" t="str">
        <f>IF(COUNTIF(B:B,B910)&gt;1,_xlfn.CONCAT(A910," (",M910,")"),B910)</f>
        <v>Sāyíngpán Zhèn</v>
      </c>
      <c r="D910" t="s">
        <v>1214</v>
      </c>
      <c r="E910" t="s">
        <v>11</v>
      </c>
      <c r="F910" t="str">
        <f>_xlfn.CONCAT(D910,", ",H910,", ",I910,", ","云南省")</f>
        <v>撒营盘镇, 禄劝彝族苗族自治县, 昆明市, 云南省</v>
      </c>
      <c r="G910">
        <v>38043</v>
      </c>
      <c r="H910" t="s">
        <v>2814</v>
      </c>
      <c r="I910" t="s">
        <v>2807</v>
      </c>
      <c r="J910">
        <f>VLOOKUP(F910,[1]!china_towns_second__2[[Column1]:[Y]],3,FALSE)</f>
        <v>26.007620197008901</v>
      </c>
      <c r="K910">
        <f>VLOOKUP(F910,[1]!china_towns_second__2[[Column1]:[Y]],2,FALSE)</f>
        <v>102.50664690000001</v>
      </c>
      <c r="L910" t="s">
        <v>4463</v>
      </c>
      <c r="M910" t="str">
        <f>VLOOKUP(H910,CHOOSE({1,2},Table17[Native],Table17[Name]),2,0)</f>
        <v>Lùquàn Yízú Miáozú Zìzhìxiàn</v>
      </c>
      <c r="N910" s="15" t="str">
        <f>VLOOKUP(I910,CHOOSE({1,2},Table17[Native],Table17[Name]),2,0)</f>
        <v>Kūnmíng Shì</v>
      </c>
      <c r="O910" s="15" t="str">
        <f t="shared" si="28"/>
        <v>Sayingpan Zhen (Kūnmíng Shì)</v>
      </c>
      <c r="P910" s="15" t="str">
        <f t="shared" si="29"/>
        <v>Sayingpan Zhen (Kūnmíng Shì)</v>
      </c>
    </row>
    <row r="911" spans="1:16" hidden="1" x14ac:dyDescent="0.25">
      <c r="A911" t="s">
        <v>2633</v>
      </c>
      <c r="B911" t="str">
        <f>IF(COUNTIF(A:A,A911)&gt;1,_xlfn.CONCAT(A911," (",N911,")"),A911)</f>
        <v>Săyú Zhèn</v>
      </c>
      <c r="C911" t="str">
        <f>IF(COUNTIF(B:B,B911)&gt;1,_xlfn.CONCAT(A911," (",M911,")"),B911)</f>
        <v>Săyú Zhèn</v>
      </c>
      <c r="D911" t="s">
        <v>2634</v>
      </c>
      <c r="E911" t="s">
        <v>11</v>
      </c>
      <c r="F911" t="str">
        <f>_xlfn.CONCAT(D911,", ",H911,", ",I911,", ","云南省")</f>
        <v>洒渔镇, 昭阳区, 昭通市, 云南省</v>
      </c>
      <c r="G911">
        <v>50986</v>
      </c>
      <c r="H911" t="s">
        <v>2909</v>
      </c>
      <c r="I911" t="s">
        <v>2899</v>
      </c>
      <c r="J911">
        <f>VLOOKUP(F911,[1]!china_towns_second__2[[Column1]:[Y]],3,FALSE)</f>
        <v>27.4849377906773</v>
      </c>
      <c r="K911">
        <f>VLOOKUP(F911,[1]!china_towns_second__2[[Column1]:[Y]],2,FALSE)</f>
        <v>103.61077090000001</v>
      </c>
      <c r="L911" t="s">
        <v>4464</v>
      </c>
      <c r="M911" t="str">
        <f>VLOOKUP(H911,CHOOSE({1,2},Table17[Native],Table17[Name]),2,0)</f>
        <v>Zhāoyáng Qū</v>
      </c>
      <c r="N911" s="15" t="str">
        <f>VLOOKUP(I911,CHOOSE({1,2},Table17[Native],Table17[Name]),2,0)</f>
        <v>Zhāotōng Shì</v>
      </c>
      <c r="O911" s="15" t="str">
        <f t="shared" si="28"/>
        <v>Sayu Zhen (Zhāotōng Shì)</v>
      </c>
      <c r="P911" s="15" t="str">
        <f t="shared" si="29"/>
        <v>Sayu Zhen (Zhāotōng Shì)</v>
      </c>
    </row>
    <row r="912" spans="1:16" hidden="1" x14ac:dyDescent="0.25">
      <c r="A912" t="s">
        <v>957</v>
      </c>
      <c r="B912" t="str">
        <f>IF(COUNTIF(A:A,A912)&gt;1,_xlfn.CONCAT(A912," (",N912,")"),A912)</f>
        <v>Shādiàn Jiēdào</v>
      </c>
      <c r="C912" t="str">
        <f>IF(COUNTIF(B:B,B912)&gt;1,_xlfn.CONCAT(A912," (",M912,")"),B912)</f>
        <v>Shādiàn Jiēdào</v>
      </c>
      <c r="D912" t="s">
        <v>958</v>
      </c>
      <c r="E912" t="s">
        <v>42</v>
      </c>
      <c r="F912" t="str">
        <f>_xlfn.CONCAT(D912,", ",H912,", ",I912,", ","云南省")</f>
        <v>沙甸街道, 个旧市, 红河哈尼族彝族自治州, 云南省</v>
      </c>
      <c r="G912">
        <v>18952</v>
      </c>
      <c r="H912" t="s">
        <v>2793</v>
      </c>
      <c r="I912" t="s">
        <v>2792</v>
      </c>
      <c r="J912" t="e">
        <f>VLOOKUP(F912,[1]!china_towns_second__2[[Column1]:[Y]],3,FALSE)</f>
        <v>#N/A</v>
      </c>
      <c r="K912" t="e">
        <f>VLOOKUP(F912,[1]!china_towns_second__2[[Column1]:[Y]],2,FALSE)</f>
        <v>#N/A</v>
      </c>
      <c r="L912" t="s">
        <v>4465</v>
      </c>
      <c r="M912" t="str">
        <f>VLOOKUP(H912,CHOOSE({1,2},Table17[Native],Table17[Name]),2,0)</f>
        <v>Gèjiù Shì</v>
      </c>
      <c r="N912" s="15" t="str">
        <f>VLOOKUP(I912,CHOOSE({1,2},Table17[Native],Table17[Name]),2,0)</f>
        <v>Hónghé Hānízú Yízú Zìzhìzhōu</v>
      </c>
      <c r="O912" s="15" t="str">
        <f t="shared" si="28"/>
        <v>Shadian Jiedao (Hónghé Hānízú Yízú Zìzhìzhōu)</v>
      </c>
      <c r="P912" s="15" t="str">
        <f t="shared" si="29"/>
        <v>Shadian Jiedao (Hónghé Hānízú Yízú Zìzhìzhōu)</v>
      </c>
    </row>
    <row r="913" spans="1:16" hidden="1" x14ac:dyDescent="0.25">
      <c r="A913" t="s">
        <v>1557</v>
      </c>
      <c r="B913" t="str">
        <f>IF(COUNTIF(A:A,A913)&gt;1,_xlfn.CONCAT(A913," (",N913,")"),A913)</f>
        <v>Shāhé Xiāng</v>
      </c>
      <c r="C913" t="str">
        <f>IF(COUNTIF(B:B,B913)&gt;1,_xlfn.CONCAT(A913," (",M913,")"),B913)</f>
        <v>Shāhé Xiāng</v>
      </c>
      <c r="D913" t="s">
        <v>1558</v>
      </c>
      <c r="E913" t="s">
        <v>7</v>
      </c>
      <c r="F913" t="str">
        <f>_xlfn.CONCAT(D913,", ",H913,", ",I913,", ","云南省")</f>
        <v>沙河乡, 双江拉祜族佤族布朗族傣族自治县, 临沧市, 云南省</v>
      </c>
      <c r="G913">
        <v>31217</v>
      </c>
      <c r="H913" t="s">
        <v>2836</v>
      </c>
      <c r="I913" t="s">
        <v>2831</v>
      </c>
      <c r="J913" t="e">
        <f>VLOOKUP(F913,[1]!china_towns_second__2[[Column1]:[Y]],3,FALSE)</f>
        <v>#N/A</v>
      </c>
      <c r="K913" t="e">
        <f>VLOOKUP(F913,[1]!china_towns_second__2[[Column1]:[Y]],2,FALSE)</f>
        <v>#N/A</v>
      </c>
      <c r="L913" t="s">
        <v>4466</v>
      </c>
      <c r="M913" t="str">
        <f>VLOOKUP(H913,CHOOSE({1,2},Table17[Native],Table17[Name]),2,0)</f>
        <v>Shuāngjiāng Lāhùzú Wăzú Bùlăngzú Dăizú Zìzhìxiàn</v>
      </c>
      <c r="N913" s="15" t="str">
        <f>VLOOKUP(I913,CHOOSE({1,2},Table17[Native],Table17[Name]),2,0)</f>
        <v>Líncāng Shì</v>
      </c>
      <c r="O913" s="15" t="str">
        <f t="shared" si="28"/>
        <v>Shahe Xiang (Líncāng Shì)</v>
      </c>
      <c r="P913" s="15" t="str">
        <f t="shared" si="29"/>
        <v>Shahe Xiang (Líncāng Shì)</v>
      </c>
    </row>
    <row r="914" spans="1:16" hidden="1" x14ac:dyDescent="0.25">
      <c r="A914" t="s">
        <v>959</v>
      </c>
      <c r="B914" t="str">
        <f>IF(COUNTIF(A:A,A914)&gt;1,_xlfn.CONCAT(A914," (",N914,")"),A914)</f>
        <v>Shālātuō Xiāng</v>
      </c>
      <c r="C914" t="str">
        <f>IF(COUNTIF(B:B,B914)&gt;1,_xlfn.CONCAT(A914," (",M914,")"),B914)</f>
        <v>Shālātuō Xiāng</v>
      </c>
      <c r="D914" t="s">
        <v>960</v>
      </c>
      <c r="E914" t="s">
        <v>7</v>
      </c>
      <c r="F914" t="str">
        <f>_xlfn.CONCAT(D914,", ",H914,", ",I914,", ","云南省")</f>
        <v>沙拉托乡, 元阳县, 红河哈尼族彝族自治州, 云南省</v>
      </c>
      <c r="G914">
        <v>20005</v>
      </c>
      <c r="H914" t="s">
        <v>2805</v>
      </c>
      <c r="I914" t="s">
        <v>2792</v>
      </c>
      <c r="J914" t="e">
        <f>VLOOKUP(F914,[1]!china_towns_second__2[[Column1]:[Y]],3,FALSE)</f>
        <v>#N/A</v>
      </c>
      <c r="K914" t="e">
        <f>VLOOKUP(F914,[1]!china_towns_second__2[[Column1]:[Y]],2,FALSE)</f>
        <v>#N/A</v>
      </c>
      <c r="L914" t="s">
        <v>4467</v>
      </c>
      <c r="M914" t="str">
        <f>VLOOKUP(H914,CHOOSE({1,2},Table17[Native],Table17[Name]),2,0)</f>
        <v>Yuányáng Xiàn</v>
      </c>
      <c r="N914" s="15" t="str">
        <f>VLOOKUP(I914,CHOOSE({1,2},Table17[Native],Table17[Name]),2,0)</f>
        <v>Hónghé Hānízú Yízú Zìzhìzhōu</v>
      </c>
      <c r="O914" s="15" t="str">
        <f t="shared" si="28"/>
        <v>Shalatuo Xiang (Hónghé Hānízú Yízú Zìzhìzhōu)</v>
      </c>
      <c r="P914" s="15" t="str">
        <f t="shared" si="29"/>
        <v>Shalatuo Xiang (Hónghé Hānízú Yízú Zìzhìzhōu)</v>
      </c>
    </row>
    <row r="915" spans="1:16" hidden="1" x14ac:dyDescent="0.25">
      <c r="A915" t="s">
        <v>522</v>
      </c>
      <c r="B915" t="str">
        <f>IF(COUNTIF(A:A,A915)&gt;1,_xlfn.CONCAT(A915," (",N915,")"),A915)</f>
        <v>Shālóng Zhèn</v>
      </c>
      <c r="C915" t="str">
        <f>IF(COUNTIF(B:B,B915)&gt;1,_xlfn.CONCAT(A915," (",M915,")"),B915)</f>
        <v>Shālóng Zhèn</v>
      </c>
      <c r="D915" t="s">
        <v>523</v>
      </c>
      <c r="E915" t="s">
        <v>11</v>
      </c>
      <c r="F915" t="str">
        <f>_xlfn.CONCAT(D915,", ",H915,", ",I915,", ","云南省")</f>
        <v>沙龙镇, 祥云县, 大理白族自治州, 云南省</v>
      </c>
      <c r="G915">
        <v>30843</v>
      </c>
      <c r="H915" t="s">
        <v>2773</v>
      </c>
      <c r="I915" t="s">
        <v>2763</v>
      </c>
      <c r="J915">
        <f>VLOOKUP(F915,[1]!china_towns_second__2[[Column1]:[Y]],3,FALSE)</f>
        <v>25.442547958559899</v>
      </c>
      <c r="K915">
        <f>VLOOKUP(F915,[1]!china_towns_second__2[[Column1]:[Y]],2,FALSE)</f>
        <v>100.626589</v>
      </c>
      <c r="L915" t="s">
        <v>4468</v>
      </c>
      <c r="M915" t="str">
        <f>VLOOKUP(H915,CHOOSE({1,2},Table17[Native],Table17[Name]),2,0)</f>
        <v>Xiángyún Xiàn</v>
      </c>
      <c r="N915" s="15" t="str">
        <f>VLOOKUP(I915,CHOOSE({1,2},Table17[Native],Table17[Name]),2,0)</f>
        <v>Dàlĭ Báizú Zìzhìzhōu</v>
      </c>
      <c r="O915" s="15" t="str">
        <f t="shared" si="28"/>
        <v>Shalong Zhen (Dàlĭ Báizú Zìzhìzhōu)</v>
      </c>
      <c r="P915" s="15" t="str">
        <f t="shared" si="29"/>
        <v>Shalong Zhen (Dàlĭ Báizú Zìzhìzhōu)</v>
      </c>
    </row>
    <row r="916" spans="1:16" hidden="1" x14ac:dyDescent="0.25">
      <c r="A916" t="s">
        <v>1989</v>
      </c>
      <c r="B916" t="str">
        <f>IF(COUNTIF(A:A,A916)&gt;1,_xlfn.CONCAT(A916," (",N916,")"),A916)</f>
        <v>Shàngcūn Xiāng</v>
      </c>
      <c r="C916" t="str">
        <f>IF(COUNTIF(B:B,B916)&gt;1,_xlfn.CONCAT(A916," (",M916,")"),B916)</f>
        <v>Shàngcūn Xiāng</v>
      </c>
      <c r="D916" t="s">
        <v>1990</v>
      </c>
      <c r="E916" t="s">
        <v>7</v>
      </c>
      <c r="F916" t="str">
        <f>_xlfn.CONCAT(D916,", ",H916,", ",I916,", ","云南省")</f>
        <v>上村乡, 会泽县, 曲靖市, 云南省</v>
      </c>
      <c r="G916">
        <v>33721</v>
      </c>
      <c r="H916" t="s">
        <v>2862</v>
      </c>
      <c r="I916" t="s">
        <v>2860</v>
      </c>
      <c r="J916" t="e">
        <f>VLOOKUP(F916,[1]!china_towns_second__2[[Column1]:[Y]],3,FALSE)</f>
        <v>#N/A</v>
      </c>
      <c r="K916" t="e">
        <f>VLOOKUP(F916,[1]!china_towns_second__2[[Column1]:[Y]],2,FALSE)</f>
        <v>#N/A</v>
      </c>
      <c r="L916" t="s">
        <v>4469</v>
      </c>
      <c r="M916" t="str">
        <f>VLOOKUP(H916,CHOOSE({1,2},Table17[Native],Table17[Name]),2,0)</f>
        <v>Huìzé Xiàn</v>
      </c>
      <c r="N916" s="15" t="str">
        <f>VLOOKUP(I916,CHOOSE({1,2},Table17[Native],Table17[Name]),2,0)</f>
        <v>Qŭjìng Shì</v>
      </c>
      <c r="O916" s="15" t="str">
        <f t="shared" si="28"/>
        <v>Shangcun Xiang (Qŭjìng Shì)</v>
      </c>
      <c r="P916" s="15" t="str">
        <f t="shared" si="29"/>
        <v>Shangcun Xiang (Qŭjìng Shì)</v>
      </c>
    </row>
    <row r="917" spans="1:16" hidden="1" x14ac:dyDescent="0.25">
      <c r="A917" t="s">
        <v>2635</v>
      </c>
      <c r="B917" t="str">
        <f>IF(COUNTIF(A:A,A917)&gt;1,_xlfn.CONCAT(A917," (",N917,")"),A917)</f>
        <v>Shànggāoqiáo Huízú Yízú Miáozú Xiāng</v>
      </c>
      <c r="C917" t="str">
        <f>IF(COUNTIF(B:B,B917)&gt;1,_xlfn.CONCAT(A917," (",M917,")"),B917)</f>
        <v>Shànggāoqiáo Huízú Yízú Miáozú Xiāng</v>
      </c>
      <c r="D917" t="s">
        <v>2636</v>
      </c>
      <c r="E917" t="s">
        <v>7</v>
      </c>
      <c r="F917" t="str">
        <f>_xlfn.CONCAT(D917,", ",H917,", ",I917,", ","云南省")</f>
        <v>上高桥回族彝族苗族乡, 大关县, 昭通市, 云南省</v>
      </c>
      <c r="G917">
        <v>19401</v>
      </c>
      <c r="H917" t="s">
        <v>2900</v>
      </c>
      <c r="I917" t="s">
        <v>2899</v>
      </c>
      <c r="J917" t="e">
        <f>VLOOKUP(F917,[1]!china_towns_second__2[[Column1]:[Y]],3,FALSE)</f>
        <v>#N/A</v>
      </c>
      <c r="K917" t="e">
        <f>VLOOKUP(F917,[1]!china_towns_second__2[[Column1]:[Y]],2,FALSE)</f>
        <v>#N/A</v>
      </c>
      <c r="L917" t="s">
        <v>4470</v>
      </c>
      <c r="M917" t="str">
        <f>VLOOKUP(H917,CHOOSE({1,2},Table17[Native],Table17[Name]),2,0)</f>
        <v>Dàguān Xiàn</v>
      </c>
      <c r="N917" s="15" t="str">
        <f>VLOOKUP(I917,CHOOSE({1,2},Table17[Native],Table17[Name]),2,0)</f>
        <v>Zhāotōng Shì</v>
      </c>
      <c r="O917" s="15" t="str">
        <f t="shared" si="28"/>
        <v>Shanggaoqiao Huizu Yizu Miaozu Xiang (Zhāotōng Shì)</v>
      </c>
      <c r="P917" s="15" t="str">
        <f t="shared" si="29"/>
        <v>Shanggaoqiao Huizu Yizu Miaozu Xiang (Zhāotōng Shì)</v>
      </c>
    </row>
    <row r="918" spans="1:16" hidden="1" x14ac:dyDescent="0.25">
      <c r="A918" t="s">
        <v>524</v>
      </c>
      <c r="B918" t="str">
        <f>IF(COUNTIF(A:A,A918)&gt;1,_xlfn.CONCAT(A918," (",N918,")"),A918)</f>
        <v>Shàngguān Zhèn [Jiāngwěi Zhèn]</v>
      </c>
      <c r="C918" t="str">
        <f>IF(COUNTIF(B:B,B918)&gt;1,_xlfn.CONCAT(A918," (",M918,")"),B918)</f>
        <v>Shàngguān Zhèn [Jiāngwěi Zhèn]</v>
      </c>
      <c r="D918" t="s">
        <v>525</v>
      </c>
      <c r="E918" t="s">
        <v>11</v>
      </c>
      <c r="F918" t="str">
        <f>_xlfn.CONCAT(D918,", ",H918,", ",I918,", ","云南省")</f>
        <v>上关镇, 大理市, 大理白族自治州, 云南省</v>
      </c>
      <c r="G918">
        <v>38922</v>
      </c>
      <c r="H918" t="s">
        <v>2765</v>
      </c>
      <c r="I918" t="s">
        <v>2763</v>
      </c>
      <c r="J918">
        <f>VLOOKUP(F918,[1]!china_towns_second__2[[Column1]:[Y]],3,FALSE)</f>
        <v>25.990944550063801</v>
      </c>
      <c r="K918">
        <f>VLOOKUP(F918,[1]!china_towns_second__2[[Column1]:[Y]],2,FALSE)</f>
        <v>100.146688</v>
      </c>
      <c r="L918" t="s">
        <v>4471</v>
      </c>
      <c r="M918" t="str">
        <f>VLOOKUP(H918,CHOOSE({1,2},Table17[Native],Table17[Name]),2,0)</f>
        <v>Dàlĭ Shì</v>
      </c>
      <c r="N918" s="15" t="str">
        <f>VLOOKUP(I918,CHOOSE({1,2},Table17[Native],Table17[Name]),2,0)</f>
        <v>Dàlĭ Báizú Zìzhìzhōu</v>
      </c>
      <c r="O918" s="15" t="str">
        <f t="shared" si="28"/>
        <v>Shangguan Zhen [Jiangwei Zhen] (Dàlĭ Báizú Zìzhìzhōu)</v>
      </c>
      <c r="P918" s="15" t="str">
        <f t="shared" si="29"/>
        <v>Shangguan Zhen [Jiangwei Zhen] (Dàlĭ Báizú Zìzhìzhōu)</v>
      </c>
    </row>
    <row r="919" spans="1:16" hidden="1" x14ac:dyDescent="0.25">
      <c r="A919" t="s">
        <v>740</v>
      </c>
      <c r="B919" t="str">
        <f>IF(COUNTIF(A:A,A919)&gt;1,_xlfn.CONCAT(A919," (",N919,")"),A919)</f>
        <v>Shàngjiāng Xiāng</v>
      </c>
      <c r="C919" t="str">
        <f>IF(COUNTIF(B:B,B919)&gt;1,_xlfn.CONCAT(A919," (",M919,")"),B919)</f>
        <v>Shàngjiāng Xiāng</v>
      </c>
      <c r="D919" t="s">
        <v>741</v>
      </c>
      <c r="E919" t="s">
        <v>7</v>
      </c>
      <c r="F919" t="str">
        <f>_xlfn.CONCAT(D919,", ",H919,", ",I919,", ","云南省")</f>
        <v>上江乡, 香格里拉市, 迪庆藏族自治州, 云南省</v>
      </c>
      <c r="G919">
        <v>10462</v>
      </c>
      <c r="H919" t="s">
        <v>2789</v>
      </c>
      <c r="I919" t="s">
        <v>2786</v>
      </c>
      <c r="J919" t="e">
        <f>VLOOKUP(F919,[1]!china_towns_second__2[[Column1]:[Y]],3,FALSE)</f>
        <v>#N/A</v>
      </c>
      <c r="K919" t="e">
        <f>VLOOKUP(F919,[1]!china_towns_second__2[[Column1]:[Y]],2,FALSE)</f>
        <v>#N/A</v>
      </c>
      <c r="L919" t="s">
        <v>4472</v>
      </c>
      <c r="M919" t="str">
        <f>VLOOKUP(H919,CHOOSE({1,2},Table17[Native],Table17[Name]),2,0)</f>
        <v>Xiānggélĭlā Shì</v>
      </c>
      <c r="N919" s="15" t="str">
        <f>VLOOKUP(I919,CHOOSE({1,2},Table17[Native],Table17[Name]),2,0)</f>
        <v>Díqìng Zàngzú Zìzhìzhōu</v>
      </c>
      <c r="O919" s="15" t="str">
        <f t="shared" si="28"/>
        <v>Shangjiang Xiang (Díqìng Zàngzú Zìzhìzhōu)</v>
      </c>
      <c r="P919" s="15" t="str">
        <f t="shared" si="29"/>
        <v>Shangjiang Xiang (Díqìng Zàngzú Zìzhìzhōu)</v>
      </c>
    </row>
    <row r="920" spans="1:16" hidden="1" x14ac:dyDescent="0.25">
      <c r="A920" t="s">
        <v>1633</v>
      </c>
      <c r="B920" t="str">
        <f>IF(COUNTIF(A:A,A920)&gt;1,_xlfn.CONCAT(A920," (",N920,")"),A920)</f>
        <v>Shàngjiāng Zhèn</v>
      </c>
      <c r="C920" t="str">
        <f>IF(COUNTIF(B:B,B920)&gt;1,_xlfn.CONCAT(A920," (",M920,")"),B920)</f>
        <v>Shàngjiāng Zhèn</v>
      </c>
      <c r="D920" t="s">
        <v>1634</v>
      </c>
      <c r="E920" t="s">
        <v>11</v>
      </c>
      <c r="F920" t="str">
        <f>_xlfn.CONCAT(D920,", ",H920,", ",I920,", ","云南省")</f>
        <v>上江镇, 泸水市, 怒江傈僳族自治州, 云南省</v>
      </c>
      <c r="G920">
        <v>27525</v>
      </c>
      <c r="H920" t="s">
        <v>2846</v>
      </c>
      <c r="I920" t="s">
        <v>2842</v>
      </c>
      <c r="J920">
        <f>VLOOKUP(F920,[1]!china_towns_second__2[[Column1]:[Y]],3,FALSE)</f>
        <v>25.687398428575499</v>
      </c>
      <c r="K920">
        <f>VLOOKUP(F920,[1]!china_towns_second__2[[Column1]:[Y]],2,FALSE)</f>
        <v>98.811359839999994</v>
      </c>
      <c r="L920" t="s">
        <v>4473</v>
      </c>
      <c r="M920" t="str">
        <f>VLOOKUP(H920,CHOOSE({1,2},Table17[Native],Table17[Name]),2,0)</f>
        <v>Lúshuĭ Shì</v>
      </c>
      <c r="N920" s="15" t="str">
        <f>VLOOKUP(I920,CHOOSE({1,2},Table17[Native],Table17[Name]),2,0)</f>
        <v>Nùjiāng Lìsùzú Zìzhìzhōu</v>
      </c>
      <c r="O920" s="15" t="str">
        <f t="shared" si="28"/>
        <v>Shangjiang Zhen (Nùjiāng Lìsùzú Zìzhìzhōu)</v>
      </c>
      <c r="P920" s="15" t="str">
        <f t="shared" si="29"/>
        <v>Shangjiang Zhen (Nùjiāng Lìsùzú Zìzhìzhōu)</v>
      </c>
    </row>
    <row r="921" spans="1:16" hidden="1" x14ac:dyDescent="0.25">
      <c r="A921" t="s">
        <v>1635</v>
      </c>
      <c r="B921" t="str">
        <f>IF(COUNTIF(A:A,A921)&gt;1,_xlfn.CONCAT(A921," (",N921,")"),A921)</f>
        <v>Shàngpà Zhèn</v>
      </c>
      <c r="C921" t="str">
        <f>IF(COUNTIF(B:B,B921)&gt;1,_xlfn.CONCAT(A921," (",M921,")"),B921)</f>
        <v>Shàngpà Zhèn</v>
      </c>
      <c r="D921" t="s">
        <v>1636</v>
      </c>
      <c r="E921" t="s">
        <v>11</v>
      </c>
      <c r="F921" t="str">
        <f>_xlfn.CONCAT(D921,", ",H921,", ",I921,", ","云南省")</f>
        <v>上帕镇, 福贡县, 怒江傈僳族自治州, 云南省</v>
      </c>
      <c r="G921">
        <v>30129</v>
      </c>
      <c r="H921" t="s">
        <v>2843</v>
      </c>
      <c r="I921" t="s">
        <v>2842</v>
      </c>
      <c r="J921">
        <f>VLOOKUP(F921,[1]!china_towns_second__2[[Column1]:[Y]],3,FALSE)</f>
        <v>26.9032755352424</v>
      </c>
      <c r="K921">
        <f>VLOOKUP(F921,[1]!china_towns_second__2[[Column1]:[Y]],2,FALSE)</f>
        <v>98.854926370000001</v>
      </c>
      <c r="L921" t="s">
        <v>4474</v>
      </c>
      <c r="M921" t="str">
        <f>VLOOKUP(H921,CHOOSE({1,2},Table17[Native],Table17[Name]),2,0)</f>
        <v>Fúgòng Xiàn</v>
      </c>
      <c r="N921" s="15" t="str">
        <f>VLOOKUP(I921,CHOOSE({1,2},Table17[Native],Table17[Name]),2,0)</f>
        <v>Nùjiāng Lìsùzú Zìzhìzhōu</v>
      </c>
      <c r="O921" s="15" t="str">
        <f t="shared" si="28"/>
        <v>Shangpa Zhen (Nùjiāng Lìsùzú Zìzhìzhōu)</v>
      </c>
      <c r="P921" s="15" t="str">
        <f t="shared" si="29"/>
        <v>Shangpa Zhen (Nùjiāng Lìsùzú Zìzhìzhōu)</v>
      </c>
    </row>
    <row r="922" spans="1:16" hidden="1" x14ac:dyDescent="0.25">
      <c r="A922" t="s">
        <v>1215</v>
      </c>
      <c r="B922" t="str">
        <f>IF(COUNTIF(A:A,A922)&gt;1,_xlfn.CONCAT(A922," (",N922,")"),A922)</f>
        <v>Shàngsuàn Zhèn</v>
      </c>
      <c r="C922" t="str">
        <f>IF(COUNTIF(B:B,B922)&gt;1,_xlfn.CONCAT(A922," (",M922,")"),B922)</f>
        <v>Shàngsuàn Zhèn</v>
      </c>
      <c r="D922" t="s">
        <v>1216</v>
      </c>
      <c r="E922" t="s">
        <v>11</v>
      </c>
      <c r="F922" t="str">
        <f>_xlfn.CONCAT(D922,", ",H922,", ",I922,", ","云南省")</f>
        <v>上蒜镇, 晋宁区, 昆明市, 云南省</v>
      </c>
      <c r="G922">
        <v>33287</v>
      </c>
      <c r="H922" t="s">
        <v>2813</v>
      </c>
      <c r="I922" t="s">
        <v>2807</v>
      </c>
      <c r="J922">
        <f>VLOOKUP(F922,[1]!china_towns_second__2[[Column1]:[Y]],3,FALSE)</f>
        <v>24.6486221185381</v>
      </c>
      <c r="K922">
        <f>VLOOKUP(F922,[1]!china_towns_second__2[[Column1]:[Y]],2,FALSE)</f>
        <v>102.6806029</v>
      </c>
      <c r="L922" t="s">
        <v>4475</v>
      </c>
      <c r="M922" t="str">
        <f>VLOOKUP(H922,CHOOSE({1,2},Table17[Native],Table17[Name]),2,0)</f>
        <v>Jìnníng Qū</v>
      </c>
      <c r="N922" s="15" t="str">
        <f>VLOOKUP(I922,CHOOSE({1,2},Table17[Native],Table17[Name]),2,0)</f>
        <v>Kūnmíng Shì</v>
      </c>
      <c r="O922" s="15" t="str">
        <f t="shared" si="28"/>
        <v>Shangsuan Zhen (Kūnmíng Shì)</v>
      </c>
      <c r="P922" s="15" t="str">
        <f t="shared" si="29"/>
        <v>Shangsuan Zhen (Kūnmíng Shì)</v>
      </c>
    </row>
    <row r="923" spans="1:16" hidden="1" x14ac:dyDescent="0.25">
      <c r="A923" t="s">
        <v>961</v>
      </c>
      <c r="B923" t="str">
        <f>IF(COUNTIF(A:A,A923)&gt;1,_xlfn.CONCAT(A923," (",N923,")"),A923)</f>
        <v>Shàngxīnchéng Xiāng</v>
      </c>
      <c r="C923" t="str">
        <f>IF(COUNTIF(B:B,B923)&gt;1,_xlfn.CONCAT(A923," (",M923,")"),B923)</f>
        <v>Shàngxīnchéng Xiāng</v>
      </c>
      <c r="D923" t="s">
        <v>962</v>
      </c>
      <c r="E923" t="s">
        <v>7</v>
      </c>
      <c r="F923" t="str">
        <f>_xlfn.CONCAT(D923,", ",H923,", ",I923,", ","云南省")</f>
        <v>上新城乡, 元阳县, 红河哈尼族彝族自治州, 云南省</v>
      </c>
      <c r="G923">
        <v>23249</v>
      </c>
      <c r="H923" t="s">
        <v>2805</v>
      </c>
      <c r="I923" t="s">
        <v>2792</v>
      </c>
      <c r="J923" t="e">
        <f>VLOOKUP(F923,[1]!china_towns_second__2[[Column1]:[Y]],3,FALSE)</f>
        <v>#N/A</v>
      </c>
      <c r="K923" t="e">
        <f>VLOOKUP(F923,[1]!china_towns_second__2[[Column1]:[Y]],2,FALSE)</f>
        <v>#N/A</v>
      </c>
      <c r="L923" t="s">
        <v>4476</v>
      </c>
      <c r="M923" t="str">
        <f>VLOOKUP(H923,CHOOSE({1,2},Table17[Native],Table17[Name]),2,0)</f>
        <v>Yuányáng Xiàn</v>
      </c>
      <c r="N923" s="15" t="str">
        <f>VLOOKUP(I923,CHOOSE({1,2},Table17[Native],Table17[Name]),2,0)</f>
        <v>Hónghé Hānízú Yízú Zìzhìzhōu</v>
      </c>
      <c r="O923" s="15" t="str">
        <f t="shared" si="28"/>
        <v>Shangxincheng Xiang (Hónghé Hānízú Yízú Zìzhìzhōu)</v>
      </c>
      <c r="P923" s="15" t="str">
        <f t="shared" si="29"/>
        <v>Shangxincheng Xiang (Hónghé Hānízú Yízú Zìzhìzhōu)</v>
      </c>
    </row>
    <row r="924" spans="1:16" hidden="1" x14ac:dyDescent="0.25">
      <c r="A924" t="s">
        <v>1789</v>
      </c>
      <c r="B924" t="str">
        <f>IF(COUNTIF(A:A,A924)&gt;1,_xlfn.CONCAT(A924," (",N924,")"),A924)</f>
        <v>Shàngyŭn Zhèn</v>
      </c>
      <c r="C924" t="str">
        <f>IF(COUNTIF(B:B,B924)&gt;1,_xlfn.CONCAT(A924," (",M924,")"),B924)</f>
        <v>Shàngyŭn Zhèn</v>
      </c>
      <c r="D924" t="s">
        <v>1790</v>
      </c>
      <c r="E924" t="s">
        <v>11</v>
      </c>
      <c r="F924" t="str">
        <f>_xlfn.CONCAT(D924,", ",H924,", ",I924,", ","云南省")</f>
        <v>上允镇, 澜沧拉祜族自治县, 普洱市, 云南省</v>
      </c>
      <c r="G924">
        <v>44918</v>
      </c>
      <c r="H924" t="s">
        <v>2852</v>
      </c>
      <c r="I924" t="s">
        <v>2848</v>
      </c>
      <c r="J924">
        <f>VLOOKUP(F924,[1]!china_towns_second__2[[Column1]:[Y]],3,FALSE)</f>
        <v>23.057491323252901</v>
      </c>
      <c r="K924">
        <f>VLOOKUP(F924,[1]!china_towns_second__2[[Column1]:[Y]],2,FALSE)</f>
        <v>99.848959339999993</v>
      </c>
      <c r="L924" t="s">
        <v>4477</v>
      </c>
      <c r="M924" t="str">
        <f>VLOOKUP(H924,CHOOSE({1,2},Table17[Native],Table17[Name]),2,0)</f>
        <v>Láncāng Lāhùzú Zìzhìxiàn</v>
      </c>
      <c r="N924" s="15" t="str">
        <f>VLOOKUP(I924,CHOOSE({1,2},Table17[Native],Table17[Name]),2,0)</f>
        <v>Pŭ'ĕr Shì</v>
      </c>
      <c r="O924" s="15" t="str">
        <f t="shared" si="28"/>
        <v>Shangyun Zhen (Pŭ'ĕr Shì)</v>
      </c>
      <c r="P924" s="15" t="str">
        <f t="shared" si="29"/>
        <v>Shangyun Zhen (Pŭ'ĕr Shì)</v>
      </c>
    </row>
    <row r="925" spans="1:16" hidden="1" x14ac:dyDescent="0.25">
      <c r="A925" t="s">
        <v>2637</v>
      </c>
      <c r="B925" t="str">
        <f>IF(COUNTIF(A:A,A925)&gt;1,_xlfn.CONCAT(A925," (",N925,")"),A925)</f>
        <v>Shānshù Xiāng</v>
      </c>
      <c r="C925" t="str">
        <f>IF(COUNTIF(B:B,B925)&gt;1,_xlfn.CONCAT(A925," (",M925,")"),B925)</f>
        <v>Shānshù Xiāng</v>
      </c>
      <c r="D925" t="s">
        <v>2638</v>
      </c>
      <c r="E925" t="s">
        <v>7</v>
      </c>
      <c r="F925" t="str">
        <f>_xlfn.CONCAT(D925,", ",H925,", ",I925,", ","云南省")</f>
        <v>杉树乡, 镇雄县, 昭通市, 云南省</v>
      </c>
      <c r="G925">
        <v>21635</v>
      </c>
      <c r="H925" t="s">
        <v>2910</v>
      </c>
      <c r="I925" t="s">
        <v>2899</v>
      </c>
      <c r="J925" t="e">
        <f>VLOOKUP(F925,[1]!china_towns_second__2[[Column1]:[Y]],3,FALSE)</f>
        <v>#N/A</v>
      </c>
      <c r="K925" t="e">
        <f>VLOOKUP(F925,[1]!china_towns_second__2[[Column1]:[Y]],2,FALSE)</f>
        <v>#N/A</v>
      </c>
      <c r="L925" t="s">
        <v>4478</v>
      </c>
      <c r="M925" t="str">
        <f>VLOOKUP(H925,CHOOSE({1,2},Table17[Native],Table17[Name]),2,0)</f>
        <v>Zhènxióng Xiàn</v>
      </c>
      <c r="N925" s="15" t="str">
        <f>VLOOKUP(I925,CHOOSE({1,2},Table17[Native],Table17[Name]),2,0)</f>
        <v>Zhāotōng Shì</v>
      </c>
      <c r="O925" s="15" t="str">
        <f t="shared" si="28"/>
        <v>Shanshu Xiang (Zhāotōng Shì)</v>
      </c>
      <c r="P925" s="15" t="str">
        <f t="shared" si="29"/>
        <v>Shanshu Xiang (Zhāotōng Shì)</v>
      </c>
    </row>
    <row r="926" spans="1:16" hidden="1" x14ac:dyDescent="0.25">
      <c r="A926" t="s">
        <v>526</v>
      </c>
      <c r="B926" t="str">
        <f>IF(COUNTIF(A:A,A926)&gt;1,_xlfn.CONCAT(A926," (",N926,")"),A926)</f>
        <v>Shānyáng Zhèn</v>
      </c>
      <c r="C926" t="str">
        <f>IF(COUNTIF(B:B,B926)&gt;1,_xlfn.CONCAT(A926," (",M926,")"),B926)</f>
        <v>Shānyáng Zhèn</v>
      </c>
      <c r="D926" t="s">
        <v>527</v>
      </c>
      <c r="E926" t="s">
        <v>11</v>
      </c>
      <c r="F926" t="str">
        <f>_xlfn.CONCAT(D926,", ",H926,", ",I926,", ","云南省")</f>
        <v>杉阳镇, 永平县, 大理白族自治州, 云南省</v>
      </c>
      <c r="G926">
        <v>37370</v>
      </c>
      <c r="H926" t="s">
        <v>2775</v>
      </c>
      <c r="I926" t="s">
        <v>2763</v>
      </c>
      <c r="J926">
        <f>VLOOKUP(F926,[1]!china_towns_second__2[[Column1]:[Y]],3,FALSE)</f>
        <v>25.286887843926799</v>
      </c>
      <c r="K926">
        <f>VLOOKUP(F926,[1]!china_towns_second__2[[Column1]:[Y]],2,FALSE)</f>
        <v>99.427597270000007</v>
      </c>
      <c r="L926" t="s">
        <v>4479</v>
      </c>
      <c r="M926" t="str">
        <f>VLOOKUP(H926,CHOOSE({1,2},Table17[Native],Table17[Name]),2,0)</f>
        <v>Yŏngpíng Xiàn</v>
      </c>
      <c r="N926" s="15" t="str">
        <f>VLOOKUP(I926,CHOOSE({1,2},Table17[Native],Table17[Name]),2,0)</f>
        <v>Dàlĭ Báizú Zìzhìzhōu</v>
      </c>
      <c r="O926" s="15" t="str">
        <f t="shared" si="28"/>
        <v>Shanyang Zhen (Dàlĭ Báizú Zìzhìzhōu)</v>
      </c>
      <c r="P926" s="15" t="str">
        <f t="shared" si="29"/>
        <v>Shanyang Zhen (Dàlĭ Báizú Zìzhìzhōu)</v>
      </c>
    </row>
    <row r="927" spans="1:16" hidden="1" x14ac:dyDescent="0.25">
      <c r="A927" t="s">
        <v>963</v>
      </c>
      <c r="B927" t="str">
        <f>IF(COUNTIF(A:A,A927)&gt;1,_xlfn.CONCAT(A927," (",N927,")"),A927)</f>
        <v>Shàochōng Zhèn</v>
      </c>
      <c r="C927" t="str">
        <f>IF(COUNTIF(B:B,B927)&gt;1,_xlfn.CONCAT(A927," (",M927,")"),B927)</f>
        <v>Shàochōng Zhèn</v>
      </c>
      <c r="D927" t="s">
        <v>964</v>
      </c>
      <c r="E927" t="s">
        <v>11</v>
      </c>
      <c r="F927" t="str">
        <f>_xlfn.CONCAT(D927,", ",H927,", ",I927,", ","云南省")</f>
        <v>哨冲镇, 石屏县, 红河哈尼族彝族自治州, 云南省</v>
      </c>
      <c r="G927">
        <v>17223</v>
      </c>
      <c r="H927" t="s">
        <v>2804</v>
      </c>
      <c r="I927" t="s">
        <v>2792</v>
      </c>
      <c r="J927">
        <f>VLOOKUP(F927,[1]!china_towns_second__2[[Column1]:[Y]],3,FALSE)</f>
        <v>23.970864640451602</v>
      </c>
      <c r="K927">
        <f>VLOOKUP(F927,[1]!china_towns_second__2[[Column1]:[Y]],2,FALSE)</f>
        <v>102.5069999</v>
      </c>
      <c r="L927" t="s">
        <v>4480</v>
      </c>
      <c r="M927" t="str">
        <f>VLOOKUP(H927,CHOOSE({1,2},Table17[Native],Table17[Name]),2,0)</f>
        <v>Shípíng Xiàn</v>
      </c>
      <c r="N927" s="15" t="str">
        <f>VLOOKUP(I927,CHOOSE({1,2},Table17[Native],Table17[Name]),2,0)</f>
        <v>Hónghé Hānízú Yízú Zìzhìzhōu</v>
      </c>
      <c r="O927" s="15" t="str">
        <f t="shared" si="28"/>
        <v>Shaochong Zhen (Hónghé Hānízú Yízú Zìzhìzhōu)</v>
      </c>
      <c r="P927" s="15" t="str">
        <f t="shared" si="29"/>
        <v>Shaochong Zhen (Hónghé Hānízú Yízú Zìzhìzhōu)</v>
      </c>
    </row>
    <row r="928" spans="1:16" hidden="1" x14ac:dyDescent="0.25">
      <c r="A928" t="s">
        <v>293</v>
      </c>
      <c r="B928" t="str">
        <f>IF(COUNTIF(A:A,A928)&gt;1,_xlfn.CONCAT(A928," (",N928,")"),A928)</f>
        <v>Shāqiáo Zhèn</v>
      </c>
      <c r="C928" t="str">
        <f>IF(COUNTIF(B:B,B928)&gt;1,_xlfn.CONCAT(A928," (",M928,")"),B928)</f>
        <v>Shāqiáo Zhèn</v>
      </c>
      <c r="D928" t="s">
        <v>294</v>
      </c>
      <c r="E928" t="s">
        <v>11</v>
      </c>
      <c r="F928" t="str">
        <f>_xlfn.CONCAT(D928,", ",H928,", ",I928,", ","云南省")</f>
        <v>沙桥镇, 南华县, 楚雄彝族自治州, 云南省</v>
      </c>
      <c r="G928">
        <v>31810</v>
      </c>
      <c r="H928" t="s">
        <v>2755</v>
      </c>
      <c r="I928" t="s">
        <v>2750</v>
      </c>
      <c r="J928">
        <f>VLOOKUP(F928,[1]!china_towns_second__2[[Column1]:[Y]],3,FALSE)</f>
        <v>25.264328996489201</v>
      </c>
      <c r="K928">
        <f>VLOOKUP(F928,[1]!china_towns_second__2[[Column1]:[Y]],2,FALSE)</f>
        <v>101.1050913</v>
      </c>
      <c r="L928" t="s">
        <v>4481</v>
      </c>
      <c r="M928" t="str">
        <f>VLOOKUP(H928,CHOOSE({1,2},Table17[Native],Table17[Name]),2,0)</f>
        <v>Nánhuá Xiàn</v>
      </c>
      <c r="N928" s="15" t="str">
        <f>VLOOKUP(I928,CHOOSE({1,2},Table17[Native],Table17[Name]),2,0)</f>
        <v>Chŭxióng Yízú Zìzhìzhōu</v>
      </c>
      <c r="O928" s="15" t="str">
        <f t="shared" si="28"/>
        <v>Shaqiao Zhen (Chŭxióng Yízú Zìzhìzhōu)</v>
      </c>
      <c r="P928" s="15" t="str">
        <f t="shared" si="29"/>
        <v>Shaqiao Zhen (Chŭxióng Yízú Zìzhìzhōu)</v>
      </c>
    </row>
    <row r="929" spans="1:16" hidden="1" x14ac:dyDescent="0.25">
      <c r="A929" t="s">
        <v>528</v>
      </c>
      <c r="B929" t="str">
        <f>IF(COUNTIF(A:A,A929)&gt;1,_xlfn.CONCAT(A929," (",N929,")"),A929)</f>
        <v>Shāxī Zhèn</v>
      </c>
      <c r="C929" t="str">
        <f>IF(COUNTIF(B:B,B929)&gt;1,_xlfn.CONCAT(A929," (",M929,")"),B929)</f>
        <v>Shāxī Zhèn</v>
      </c>
      <c r="D929" t="s">
        <v>529</v>
      </c>
      <c r="E929" t="s">
        <v>11</v>
      </c>
      <c r="F929" t="str">
        <f>_xlfn.CONCAT(D929,", ",H929,", ",I929,", ","云南省")</f>
        <v>沙溪镇, 剑川县, 大理白族自治州, 云南省</v>
      </c>
      <c r="G929">
        <v>21761</v>
      </c>
      <c r="H929" t="s">
        <v>2768</v>
      </c>
      <c r="I929" t="s">
        <v>2763</v>
      </c>
      <c r="J929">
        <f>VLOOKUP(F929,[1]!china_towns_second__2[[Column1]:[Y]],3,FALSE)</f>
        <v>26.315970160182601</v>
      </c>
      <c r="K929">
        <f>VLOOKUP(F929,[1]!china_towns_second__2[[Column1]:[Y]],2,FALSE)</f>
        <v>99.826575680000005</v>
      </c>
      <c r="L929" t="s">
        <v>4482</v>
      </c>
      <c r="M929" t="str">
        <f>VLOOKUP(H929,CHOOSE({1,2},Table17[Native],Table17[Name]),2,0)</f>
        <v>Jiànchuān Xiàn</v>
      </c>
      <c r="N929" s="15" t="str">
        <f>VLOOKUP(I929,CHOOSE({1,2},Table17[Native],Table17[Name]),2,0)</f>
        <v>Dàlĭ Báizú Zìzhìzhōu</v>
      </c>
      <c r="O929" s="15" t="str">
        <f t="shared" si="28"/>
        <v>Shaxi Zhen (Dàlĭ Báizú Zìzhìzhōu)</v>
      </c>
      <c r="P929" s="15" t="str">
        <f t="shared" si="29"/>
        <v>Shaxi Zhen (Dàlĭ Báizú Zìzhìzhōu)</v>
      </c>
    </row>
    <row r="930" spans="1:16" hidden="1" x14ac:dyDescent="0.25">
      <c r="A930" t="s">
        <v>965</v>
      </c>
      <c r="B930" t="str">
        <f>IF(COUNTIF(A:A,A930)&gt;1,_xlfn.CONCAT(A930," (",N930,")"),A930)</f>
        <v>Shāyīpō Xiāng</v>
      </c>
      <c r="C930" t="str">
        <f>IF(COUNTIF(B:B,B930)&gt;1,_xlfn.CONCAT(A930," (",M930,")"),B930)</f>
        <v>Shāyīpō Xiāng</v>
      </c>
      <c r="D930" t="s">
        <v>966</v>
      </c>
      <c r="E930" t="s">
        <v>7</v>
      </c>
      <c r="F930" t="str">
        <f>_xlfn.CONCAT(D930,", ",H930,", ",I930,", ","云南省")</f>
        <v>沙依坡乡, 金平苗族瑶族傣族自治县, 红河哈尼族彝族自治州, 云南省</v>
      </c>
      <c r="G930">
        <v>20082</v>
      </c>
      <c r="H930" t="s">
        <v>2797</v>
      </c>
      <c r="I930" t="s">
        <v>2792</v>
      </c>
      <c r="J930" t="e">
        <f>VLOOKUP(F930,[1]!china_towns_second__2[[Column1]:[Y]],3,FALSE)</f>
        <v>#N/A</v>
      </c>
      <c r="K930" t="e">
        <f>VLOOKUP(F930,[1]!china_towns_second__2[[Column1]:[Y]],2,FALSE)</f>
        <v>#N/A</v>
      </c>
      <c r="L930" t="s">
        <v>4483</v>
      </c>
      <c r="M930" t="str">
        <f>VLOOKUP(H930,CHOOSE({1,2},Table17[Native],Table17[Name]),2,0)</f>
        <v>Jīnpíng Miáozú Yáozú Dăizú Zìzhìxiàn</v>
      </c>
      <c r="N930" s="15" t="str">
        <f>VLOOKUP(I930,CHOOSE({1,2},Table17[Native],Table17[Name]),2,0)</f>
        <v>Hónghé Hānízú Yízú Zìzhìzhōu</v>
      </c>
      <c r="O930" s="15" t="str">
        <f t="shared" si="28"/>
        <v>Shayipo Xiang (Hónghé Hānízú Yízú Zìzhìzhōu)</v>
      </c>
      <c r="P930" s="15" t="str">
        <f t="shared" si="29"/>
        <v>Shayipo Xiang (Hónghé Hānízú Yízú Zìzhìzhōu)</v>
      </c>
    </row>
    <row r="931" spans="1:16" hidden="1" x14ac:dyDescent="0.25">
      <c r="A931" t="s">
        <v>2195</v>
      </c>
      <c r="B931" t="str">
        <f>IF(COUNTIF(A:A,A931)&gt;1,_xlfn.CONCAT(A931," (",N931,")"),A931)</f>
        <v>Shèdé Yízú Xiāng</v>
      </c>
      <c r="C931" t="str">
        <f>IF(COUNTIF(B:B,B931)&gt;1,_xlfn.CONCAT(A931," (",M931,")"),B931)</f>
        <v>Shèdé Yízú Xiāng</v>
      </c>
      <c r="D931" t="s">
        <v>2196</v>
      </c>
      <c r="E931" t="s">
        <v>7</v>
      </c>
      <c r="F931" t="str">
        <f>_xlfn.CONCAT(D931,", ",H931,", ",I931,", ","云南省")</f>
        <v>舍得彝族乡, 丘北县, 文山壮族苗族自治州, 云南省</v>
      </c>
      <c r="G931">
        <v>17414</v>
      </c>
      <c r="H931" t="s">
        <v>2877</v>
      </c>
      <c r="I931" t="s">
        <v>2872</v>
      </c>
      <c r="J931" t="e">
        <f>VLOOKUP(F931,[1]!china_towns_second__2[[Column1]:[Y]],3,FALSE)</f>
        <v>#N/A</v>
      </c>
      <c r="K931" t="e">
        <f>VLOOKUP(F931,[1]!china_towns_second__2[[Column1]:[Y]],2,FALSE)</f>
        <v>#N/A</v>
      </c>
      <c r="L931" t="s">
        <v>4484</v>
      </c>
      <c r="M931" t="str">
        <f>VLOOKUP(H931,CHOOSE({1,2},Table17[Native],Table17[Name]),2,0)</f>
        <v>Qiūbĕi Xiàn</v>
      </c>
      <c r="N931" s="15" t="str">
        <f>VLOOKUP(I931,CHOOSE({1,2},Table17[Native],Table17[Name]),2,0)</f>
        <v>Wénshān Zhuàngzú Miáozú Zìzhìzhōu</v>
      </c>
      <c r="O931" s="15" t="str">
        <f t="shared" si="28"/>
        <v>Shede Yizu Xiang (Wénshān Zhuàngzú Miáozú Zìzhìzhōu)</v>
      </c>
      <c r="P931" s="15" t="str">
        <f t="shared" si="29"/>
        <v>Shede Yizu Xiang (Wénshān Zhuàngzú Miáozú Zìzhìzhōu)</v>
      </c>
    </row>
    <row r="932" spans="1:16" hidden="1" x14ac:dyDescent="0.25">
      <c r="A932" t="s">
        <v>1217</v>
      </c>
      <c r="B932" t="str">
        <f>IF(COUNTIF(A:A,A932)&gt;1,_xlfn.CONCAT(A932," (",N932,")"),A932)</f>
        <v>Shèkuài Xiāng</v>
      </c>
      <c r="C932" t="str">
        <f>IF(COUNTIF(B:B,B932)&gt;1,_xlfn.CONCAT(A932," (",M932,")"),B932)</f>
        <v>Shèkuài Xiāng</v>
      </c>
      <c r="D932" t="s">
        <v>1218</v>
      </c>
      <c r="E932" t="s">
        <v>7</v>
      </c>
      <c r="F932" t="str">
        <f>_xlfn.CONCAT(D932,", ",H932,", ",I932,", ","云南省")</f>
        <v>舍块乡, 东川区, 昆明市, 云南省</v>
      </c>
      <c r="G932">
        <v>5752</v>
      </c>
      <c r="H932" t="s">
        <v>2810</v>
      </c>
      <c r="I932" t="s">
        <v>2807</v>
      </c>
      <c r="J932" t="e">
        <f>VLOOKUP(F932,[1]!china_towns_second__2[[Column1]:[Y]],3,FALSE)</f>
        <v>#N/A</v>
      </c>
      <c r="K932" t="e">
        <f>VLOOKUP(F932,[1]!china_towns_second__2[[Column1]:[Y]],2,FALSE)</f>
        <v>#N/A</v>
      </c>
      <c r="L932" t="s">
        <v>4485</v>
      </c>
      <c r="M932" t="str">
        <f>VLOOKUP(H932,CHOOSE({1,2},Table17[Native],Table17[Name]),2,0)</f>
        <v>Dōngchuān Qū</v>
      </c>
      <c r="N932" s="15" t="str">
        <f>VLOOKUP(I932,CHOOSE({1,2},Table17[Native],Table17[Name]),2,0)</f>
        <v>Kūnmíng Shì</v>
      </c>
      <c r="O932" s="15" t="str">
        <f t="shared" si="28"/>
        <v>Shekuai Xiang (Kūnmíng Shì)</v>
      </c>
      <c r="P932" s="15" t="str">
        <f t="shared" si="29"/>
        <v>Shekuai Xiang (Kūnmíng Shì)</v>
      </c>
    </row>
    <row r="933" spans="1:16" hidden="1" x14ac:dyDescent="0.25">
      <c r="A933" t="s">
        <v>742</v>
      </c>
      <c r="B933" t="str">
        <f>IF(COUNTIF(A:A,A933)&gt;1,_xlfn.CONCAT(A933," (",N933,")"),A933)</f>
        <v>Shēngpíng Zhèn</v>
      </c>
      <c r="C933" t="str">
        <f>IF(COUNTIF(B:B,B933)&gt;1,_xlfn.CONCAT(A933," (",M933,")"),B933)</f>
        <v>Shēngpíng Zhèn</v>
      </c>
      <c r="D933" t="s">
        <v>743</v>
      </c>
      <c r="E933" t="s">
        <v>11</v>
      </c>
      <c r="F933" t="str">
        <f>_xlfn.CONCAT(D933,", ",H933,", ",I933,", ","云南省")</f>
        <v>升平镇, 德钦县, 迪庆藏族自治州, 云南省</v>
      </c>
      <c r="G933">
        <v>11595</v>
      </c>
      <c r="H933" t="s">
        <v>2787</v>
      </c>
      <c r="I933" t="s">
        <v>2786</v>
      </c>
      <c r="J933">
        <f>VLOOKUP(F933,[1]!china_towns_second__2[[Column1]:[Y]],3,FALSE)</f>
        <v>28.568050317675102</v>
      </c>
      <c r="K933">
        <f>VLOOKUP(F933,[1]!china_towns_second__2[[Column1]:[Y]],2,FALSE)</f>
        <v>98.919969879999996</v>
      </c>
      <c r="L933" t="s">
        <v>4486</v>
      </c>
      <c r="M933" t="str">
        <f>VLOOKUP(H933,CHOOSE({1,2},Table17[Native],Table17[Name]),2,0)</f>
        <v>Déqīn Xiàn</v>
      </c>
      <c r="N933" s="15" t="str">
        <f>VLOOKUP(I933,CHOOSE({1,2},Table17[Native],Table17[Name]),2,0)</f>
        <v>Díqìng Zàngzú Zìzhìzhōu</v>
      </c>
      <c r="O933" s="15" t="str">
        <f t="shared" si="28"/>
        <v>Shengping Zhen (Díqìng Zàngzú Zìzhìzhōu)</v>
      </c>
      <c r="P933" s="15" t="str">
        <f t="shared" si="29"/>
        <v>Shengping Zhen (Díqìng Zàngzú Zìzhìzhōu)</v>
      </c>
    </row>
    <row r="934" spans="1:16" hidden="1" x14ac:dyDescent="0.25">
      <c r="A934" t="s">
        <v>1991</v>
      </c>
      <c r="B934" t="str">
        <f>IF(COUNTIF(A:A,A934)&gt;1,_xlfn.CONCAT(A934," (",N934,")"),A934)</f>
        <v>Shíbāliánshān Zhèn</v>
      </c>
      <c r="C934" t="str">
        <f>IF(COUNTIF(B:B,B934)&gt;1,_xlfn.CONCAT(A934," (",M934,")"),B934)</f>
        <v>Shíbāliánshān Zhèn</v>
      </c>
      <c r="D934" t="s">
        <v>1992</v>
      </c>
      <c r="E934" t="s">
        <v>11</v>
      </c>
      <c r="F934" t="str">
        <f>_xlfn.CONCAT(D934,", ",H934,", ",I934,", ","云南省")</f>
        <v>十八连山镇, 富源县, 曲靖市, 云南省</v>
      </c>
      <c r="G934">
        <v>68522</v>
      </c>
      <c r="H934" t="s">
        <v>2861</v>
      </c>
      <c r="I934" t="s">
        <v>2860</v>
      </c>
      <c r="J934">
        <f>VLOOKUP(F934,[1]!china_towns_second__2[[Column1]:[Y]],3,FALSE)</f>
        <v>25.123635408322802</v>
      </c>
      <c r="K934">
        <f>VLOOKUP(F934,[1]!china_towns_second__2[[Column1]:[Y]],2,FALSE)</f>
        <v>104.5709524</v>
      </c>
      <c r="L934" t="s">
        <v>4487</v>
      </c>
      <c r="M934" t="str">
        <f>VLOOKUP(H934,CHOOSE({1,2},Table17[Native],Table17[Name]),2,0)</f>
        <v>Fùyuán Xiàn</v>
      </c>
      <c r="N934" s="15" t="str">
        <f>VLOOKUP(I934,CHOOSE({1,2},Table17[Native],Table17[Name]),2,0)</f>
        <v>Qŭjìng Shì</v>
      </c>
      <c r="O934" s="15" t="str">
        <f t="shared" si="28"/>
        <v>Shibalianshan Zhen (Qŭjìng Shì)</v>
      </c>
      <c r="P934" s="15" t="str">
        <f t="shared" si="29"/>
        <v>Shibalianshan Zhen (Qŭjìng Shì)</v>
      </c>
    </row>
    <row r="935" spans="1:16" hidden="1" x14ac:dyDescent="0.25">
      <c r="A935" t="s">
        <v>1637</v>
      </c>
      <c r="B935" t="str">
        <f>IF(COUNTIF(A:A,A935)&gt;1,_xlfn.CONCAT(A935," (",N935,")"),A935)</f>
        <v>Shídēng Xiāng</v>
      </c>
      <c r="C935" t="str">
        <f>IF(COUNTIF(B:B,B935)&gt;1,_xlfn.CONCAT(A935," (",M935,")"),B935)</f>
        <v>Shídēng Xiāng</v>
      </c>
      <c r="D935" t="s">
        <v>1638</v>
      </c>
      <c r="E935" t="s">
        <v>7</v>
      </c>
      <c r="F935" t="str">
        <f>_xlfn.CONCAT(D935,", ",H935,", ",I935,", ","云南省")</f>
        <v>石登乡, 兰坪白族普米族自治县, 怒江傈僳族自治州, 云南省</v>
      </c>
      <c r="G935">
        <v>26148</v>
      </c>
      <c r="H935" t="s">
        <v>2845</v>
      </c>
      <c r="I935" t="s">
        <v>2842</v>
      </c>
      <c r="J935" t="e">
        <f>VLOOKUP(F935,[1]!china_towns_second__2[[Column1]:[Y]],3,FALSE)</f>
        <v>#N/A</v>
      </c>
      <c r="K935" t="e">
        <f>VLOOKUP(F935,[1]!china_towns_second__2[[Column1]:[Y]],2,FALSE)</f>
        <v>#N/A</v>
      </c>
      <c r="L935" t="s">
        <v>4488</v>
      </c>
      <c r="M935" t="str">
        <f>VLOOKUP(H935,CHOOSE({1,2},Table17[Native],Table17[Name]),2,0)</f>
        <v>Lánpíng Báizú Pŭmĭzú Zìzhìxiàn</v>
      </c>
      <c r="N935" s="15" t="str">
        <f>VLOOKUP(I935,CHOOSE({1,2},Table17[Native],Table17[Name]),2,0)</f>
        <v>Nùjiāng Lìsùzú Zìzhìzhōu</v>
      </c>
      <c r="O935" s="15" t="str">
        <f t="shared" si="28"/>
        <v>Shideng Xiang (Nùjiāng Lìsùzú Zìzhìzhōu)</v>
      </c>
      <c r="P935" s="15" t="str">
        <f t="shared" si="29"/>
        <v>Shideng Xiang (Nùjiāng Lìsùzú Zìzhìzhōu)</v>
      </c>
    </row>
    <row r="936" spans="1:16" hidden="1" x14ac:dyDescent="0.25">
      <c r="A936" t="s">
        <v>1383</v>
      </c>
      <c r="B936" t="str">
        <f>IF(COUNTIF(A:A,A936)&gt;1,_xlfn.CONCAT(A936," (",N936,")"),A936)</f>
        <v>Shígŭ Zhèn</v>
      </c>
      <c r="C936" t="str">
        <f>IF(COUNTIF(B:B,B936)&gt;1,_xlfn.CONCAT(A936," (",M936,")"),B936)</f>
        <v>Shígŭ Zhèn</v>
      </c>
      <c r="D936" t="s">
        <v>1384</v>
      </c>
      <c r="E936" t="s">
        <v>11</v>
      </c>
      <c r="F936" t="str">
        <f>_xlfn.CONCAT(D936,", ",H936,", ",I936,", ","云南省")</f>
        <v>石鼓镇, 玉龙纳西族自治县, 丽江市, 云南省</v>
      </c>
      <c r="G936">
        <v>21006</v>
      </c>
      <c r="H936" t="s">
        <v>2829</v>
      </c>
      <c r="I936" t="s">
        <v>2823</v>
      </c>
      <c r="J936">
        <f>VLOOKUP(F936,[1]!china_towns_second__2[[Column1]:[Y]],3,FALSE)</f>
        <v>26.927790007860601</v>
      </c>
      <c r="K936">
        <f>VLOOKUP(F936,[1]!china_towns_second__2[[Column1]:[Y]],2,FALSE)</f>
        <v>99.838301049999998</v>
      </c>
      <c r="L936" t="s">
        <v>4489</v>
      </c>
      <c r="M936" t="str">
        <f>VLOOKUP(H936,CHOOSE({1,2},Table17[Native],Table17[Name]),2,0)</f>
        <v>Yùlóng Nàxīzú Zìzhìxiàn</v>
      </c>
      <c r="N936" s="15" t="str">
        <f>VLOOKUP(I936,CHOOSE({1,2},Table17[Native],Table17[Name]),2,0)</f>
        <v>Lìjiāng Shì</v>
      </c>
      <c r="O936" s="15" t="str">
        <f t="shared" si="28"/>
        <v>Shigu Zhen (Lìjiāng Shì)</v>
      </c>
      <c r="P936" s="15" t="str">
        <f t="shared" si="29"/>
        <v>Shigu Zhen (Lìjiāng Shì)</v>
      </c>
    </row>
    <row r="937" spans="1:16" hidden="1" x14ac:dyDescent="0.25">
      <c r="A937" t="s">
        <v>2418</v>
      </c>
      <c r="B937" t="str">
        <f>IF(COUNTIF(A:A,A937)&gt;1,_xlfn.CONCAT(A937," (",N937,")"),A937)</f>
        <v>Shíjiē Yízú Xiāng</v>
      </c>
      <c r="C937" t="str">
        <f>IF(COUNTIF(B:B,B937)&gt;1,_xlfn.CONCAT(A937," (",M937,")"),B937)</f>
        <v>Shíjiē Yízú Xiāng</v>
      </c>
      <c r="D937" t="s">
        <v>2419</v>
      </c>
      <c r="E937" t="s">
        <v>7</v>
      </c>
      <c r="F937" t="str">
        <f>_xlfn.CONCAT(D937,", ",H937,", ",I937,", ","云南省")</f>
        <v>十街彝族乡, 易门县, 玉溪市, 云南省</v>
      </c>
      <c r="G937">
        <v>11651</v>
      </c>
      <c r="H937" t="s">
        <v>2896</v>
      </c>
      <c r="I937" t="s">
        <v>2888</v>
      </c>
      <c r="J937" t="e">
        <f>VLOOKUP(F937,[1]!china_towns_second__2[[Column1]:[Y]],3,FALSE)</f>
        <v>#N/A</v>
      </c>
      <c r="K937" t="e">
        <f>VLOOKUP(F937,[1]!china_towns_second__2[[Column1]:[Y]],2,FALSE)</f>
        <v>#N/A</v>
      </c>
      <c r="L937" t="s">
        <v>4490</v>
      </c>
      <c r="M937" t="str">
        <f>VLOOKUP(H937,CHOOSE({1,2},Table17[Native],Table17[Name]),2,0)</f>
        <v>Yìmén Xiàn</v>
      </c>
      <c r="N937" s="15" t="str">
        <f>VLOOKUP(I937,CHOOSE({1,2},Table17[Native],Table17[Name]),2,0)</f>
        <v>Yùxī Shì</v>
      </c>
      <c r="O937" s="15" t="str">
        <f t="shared" si="28"/>
        <v>Shijie Yizu Xiang (Yùxī Shì)</v>
      </c>
      <c r="P937" s="15" t="str">
        <f t="shared" si="29"/>
        <v>Shijie Yizu Xiang (Yùxī Shì)</v>
      </c>
    </row>
    <row r="938" spans="1:16" hidden="1" x14ac:dyDescent="0.25">
      <c r="A938" t="s">
        <v>1559</v>
      </c>
      <c r="B938" t="str">
        <f>IF(COUNTIF(A:A,A938)&gt;1,_xlfn.CONCAT(A938," (",N938,")"),A938)</f>
        <v>Shīlĭ Xiāng</v>
      </c>
      <c r="C938" t="str">
        <f>IF(COUNTIF(B:B,B938)&gt;1,_xlfn.CONCAT(A938," (",M938,")"),B938)</f>
        <v>Shīlĭ Xiāng</v>
      </c>
      <c r="D938" t="s">
        <v>1560</v>
      </c>
      <c r="E938" t="s">
        <v>7</v>
      </c>
      <c r="F938" t="str">
        <f>_xlfn.CONCAT(D938,", ",H938,", ",I938,", ","云南省")</f>
        <v>诗礼乡, 凤庆县, 临沧市, 云南省</v>
      </c>
      <c r="G938">
        <v>26124</v>
      </c>
      <c r="H938" t="s">
        <v>2833</v>
      </c>
      <c r="I938" t="s">
        <v>2831</v>
      </c>
      <c r="J938" t="e">
        <f>VLOOKUP(F938,[1]!china_towns_second__2[[Column1]:[Y]],3,FALSE)</f>
        <v>#N/A</v>
      </c>
      <c r="K938" t="e">
        <f>VLOOKUP(F938,[1]!china_towns_second__2[[Column1]:[Y]],2,FALSE)</f>
        <v>#N/A</v>
      </c>
      <c r="L938" t="s">
        <v>4491</v>
      </c>
      <c r="M938" t="str">
        <f>VLOOKUP(H938,CHOOSE({1,2},Table17[Native],Table17[Name]),2,0)</f>
        <v>Fèngqìng Xiàn</v>
      </c>
      <c r="N938" s="15" t="str">
        <f>VLOOKUP(I938,CHOOSE({1,2},Table17[Native],Table17[Name]),2,0)</f>
        <v>Líncāng Shì</v>
      </c>
      <c r="O938" s="15" t="str">
        <f t="shared" si="28"/>
        <v>Shili Xiang (Líncāng Shì)</v>
      </c>
      <c r="P938" s="15" t="str">
        <f t="shared" si="29"/>
        <v>Shili Xiang (Líncāng Shì)</v>
      </c>
    </row>
    <row r="939" spans="1:16" hidden="1" x14ac:dyDescent="0.25">
      <c r="A939" t="s">
        <v>1219</v>
      </c>
      <c r="B939" t="str">
        <f>IF(COUNTIF(A:A,A939)&gt;1,_xlfn.CONCAT(A939," (",N939,")"),A939)</f>
        <v>Shílín Jiēdào</v>
      </c>
      <c r="C939" t="str">
        <f>IF(COUNTIF(B:B,B939)&gt;1,_xlfn.CONCAT(A939," (",M939,")"),B939)</f>
        <v>Shílín Jiēdào</v>
      </c>
      <c r="D939" t="s">
        <v>1220</v>
      </c>
      <c r="E939" t="s">
        <v>42</v>
      </c>
      <c r="F939" t="str">
        <f>_xlfn.CONCAT(D939,", ",H939,", ",I939,", ","云南省")</f>
        <v>石林街道, 石林彝族自治县, 昆明市, 云南省</v>
      </c>
      <c r="G939">
        <v>40420</v>
      </c>
      <c r="H939" t="s">
        <v>2816</v>
      </c>
      <c r="I939" t="s">
        <v>2807</v>
      </c>
      <c r="J939" t="e">
        <f>VLOOKUP(F939,[1]!china_towns_second__2[[Column1]:[Y]],3,FALSE)</f>
        <v>#N/A</v>
      </c>
      <c r="K939" t="e">
        <f>VLOOKUP(F939,[1]!china_towns_second__2[[Column1]:[Y]],2,FALSE)</f>
        <v>#N/A</v>
      </c>
      <c r="L939" t="s">
        <v>4492</v>
      </c>
      <c r="M939" t="str">
        <f>VLOOKUP(H939,CHOOSE({1,2},Table17[Native],Table17[Name]),2,0)</f>
        <v>Shílín Yízú Zìzhìxiàn</v>
      </c>
      <c r="N939" s="15" t="str">
        <f>VLOOKUP(I939,CHOOSE({1,2},Table17[Native],Table17[Name]),2,0)</f>
        <v>Kūnmíng Shì</v>
      </c>
      <c r="O939" s="15" t="str">
        <f t="shared" si="28"/>
        <v>Shilin Jiedao (Kūnmíng Shì)</v>
      </c>
      <c r="P939" s="15" t="str">
        <f t="shared" si="29"/>
        <v>Shilin Jiedao (Kūnmíng Shì)</v>
      </c>
    </row>
    <row r="940" spans="1:16" hidden="1" x14ac:dyDescent="0.25">
      <c r="A940" t="s">
        <v>1385</v>
      </c>
      <c r="B940" t="str">
        <f>IF(COUNTIF(A:A,A940)&gt;1,_xlfn.CONCAT(A940," (",N940,")"),A940)</f>
        <v>Shílóngbà Zhèn</v>
      </c>
      <c r="C940" t="str">
        <f>IF(COUNTIF(B:B,B940)&gt;1,_xlfn.CONCAT(A940," (",M940,")"),B940)</f>
        <v>Shílóngbà Zhèn</v>
      </c>
      <c r="D940" t="s">
        <v>1386</v>
      </c>
      <c r="E940" t="s">
        <v>11</v>
      </c>
      <c r="F940" t="str">
        <f>_xlfn.CONCAT(D940,", ",H940,", ",I940,", ","云南省")</f>
        <v>石龙坝镇, 华坪县, 丽江市, 云南省</v>
      </c>
      <c r="G940">
        <v>20074</v>
      </c>
      <c r="H940" t="s">
        <v>2826</v>
      </c>
      <c r="I940" t="s">
        <v>2823</v>
      </c>
      <c r="J940">
        <f>VLOOKUP(F940,[1]!china_towns_second__2[[Column1]:[Y]],3,FALSE)</f>
        <v>26.519717629883701</v>
      </c>
      <c r="K940">
        <f>VLOOKUP(F940,[1]!china_towns_second__2[[Column1]:[Y]],2,FALSE)</f>
        <v>101.371691</v>
      </c>
      <c r="L940" t="s">
        <v>4493</v>
      </c>
      <c r="M940" t="str">
        <f>VLOOKUP(H940,CHOOSE({1,2},Table17[Native],Table17[Name]),2,0)</f>
        <v>Huápíng Xiàn</v>
      </c>
      <c r="N940" s="15" t="str">
        <f>VLOOKUP(I940,CHOOSE({1,2},Table17[Native],Table17[Name]),2,0)</f>
        <v>Lìjiāng Shì</v>
      </c>
      <c r="O940" s="15" t="str">
        <f t="shared" si="28"/>
        <v>Shilongba Zhen (Lìjiāng Shì)</v>
      </c>
      <c r="P940" s="15" t="str">
        <f t="shared" si="29"/>
        <v>Shilongba Zhen (Lìjiāng Shì)</v>
      </c>
    </row>
    <row r="941" spans="1:16" hidden="1" x14ac:dyDescent="0.25">
      <c r="A941" t="s">
        <v>295</v>
      </c>
      <c r="B941" t="str">
        <f>IF(COUNTIF(A:A,A941)&gt;1,_xlfn.CONCAT(A941," (",N941,")"),A941)</f>
        <v>Shīshān Zhèn</v>
      </c>
      <c r="C941" t="str">
        <f>IF(COUNTIF(B:B,B941)&gt;1,_xlfn.CONCAT(A941," (",M941,")"),B941)</f>
        <v>Shīshān Zhèn</v>
      </c>
      <c r="D941" t="s">
        <v>296</v>
      </c>
      <c r="E941" t="s">
        <v>11</v>
      </c>
      <c r="F941" t="str">
        <f>_xlfn.CONCAT(D941,", ",H941,", ",I941,", ","云南省")</f>
        <v>狮山镇, 武定县, 楚雄彝族自治州, 云南省</v>
      </c>
      <c r="G941">
        <v>92868</v>
      </c>
      <c r="H941" t="s">
        <v>2757</v>
      </c>
      <c r="I941" t="s">
        <v>2750</v>
      </c>
      <c r="J941">
        <f>VLOOKUP(F941,[1]!china_towns_second__2[[Column1]:[Y]],3,FALSE)</f>
        <v>25.504194240590699</v>
      </c>
      <c r="K941">
        <f>VLOOKUP(F941,[1]!china_towns_second__2[[Column1]:[Y]],2,FALSE)</f>
        <v>102.3778052</v>
      </c>
      <c r="L941" t="s">
        <v>4494</v>
      </c>
      <c r="M941" t="str">
        <f>VLOOKUP(H941,CHOOSE({1,2},Table17[Native],Table17[Name]),2,0)</f>
        <v>Wŭdìng Xiàn</v>
      </c>
      <c r="N941" s="15" t="str">
        <f>VLOOKUP(I941,CHOOSE({1,2},Table17[Native],Table17[Name]),2,0)</f>
        <v>Chŭxióng Yízú Zìzhìzhōu</v>
      </c>
      <c r="O941" s="15" t="str">
        <f t="shared" si="28"/>
        <v>Shishan Zhen (Chŭxióng Yízú Zìzhìzhōu)</v>
      </c>
      <c r="P941" s="15" t="str">
        <f t="shared" si="29"/>
        <v>Shishan Zhen (Chŭxióng Yízú Zìzhìzhōu)</v>
      </c>
    </row>
    <row r="942" spans="1:16" hidden="1" x14ac:dyDescent="0.25">
      <c r="A942" t="s">
        <v>1387</v>
      </c>
      <c r="B942" t="str">
        <f>IF(COUNTIF(A:A,A942)&gt;1,_xlfn.CONCAT(A942," (",N942,")"),A942)</f>
        <v>Shítóu Báizú Xiāng</v>
      </c>
      <c r="C942" t="str">
        <f>IF(COUNTIF(B:B,B942)&gt;1,_xlfn.CONCAT(A942," (",M942,")"),B942)</f>
        <v>Shítóu Báizú Xiāng</v>
      </c>
      <c r="D942" t="s">
        <v>1388</v>
      </c>
      <c r="E942" t="s">
        <v>7</v>
      </c>
      <c r="F942" t="str">
        <f>_xlfn.CONCAT(D942,", ",H942,", ",I942,", ","云南省")</f>
        <v>石头白族乡, 玉龙纳西族自治县, 丽江市, 云南省</v>
      </c>
      <c r="G942">
        <v>9107</v>
      </c>
      <c r="H942" t="s">
        <v>2829</v>
      </c>
      <c r="I942" t="s">
        <v>2823</v>
      </c>
      <c r="J942" t="e">
        <f>VLOOKUP(F942,[1]!china_towns_second__2[[Column1]:[Y]],3,FALSE)</f>
        <v>#N/A</v>
      </c>
      <c r="K942" t="e">
        <f>VLOOKUP(F942,[1]!china_towns_second__2[[Column1]:[Y]],2,FALSE)</f>
        <v>#N/A</v>
      </c>
      <c r="L942" t="s">
        <v>4495</v>
      </c>
      <c r="M942" t="str">
        <f>VLOOKUP(H942,CHOOSE({1,2},Table17[Native],Table17[Name]),2,0)</f>
        <v>Yùlóng Nàxīzú Zìzhìxiàn</v>
      </c>
      <c r="N942" s="15" t="str">
        <f>VLOOKUP(I942,CHOOSE({1,2},Table17[Native],Table17[Name]),2,0)</f>
        <v>Lìjiāng Shì</v>
      </c>
      <c r="O942" s="15" t="str">
        <f t="shared" si="28"/>
        <v>Shitou Baizu Xiang (Lìjiāng Shì)</v>
      </c>
      <c r="P942" s="15" t="str">
        <f t="shared" si="29"/>
        <v>Shitou Baizu Xiang (Lìjiāng Shì)</v>
      </c>
    </row>
    <row r="943" spans="1:16" hidden="1" x14ac:dyDescent="0.25">
      <c r="A943" t="s">
        <v>967</v>
      </c>
      <c r="B943" t="str">
        <f>IF(COUNTIF(A:A,A943)&gt;1,_xlfn.CONCAT(A943," (",N943,")"),A943)</f>
        <v>Shítóuzhài Xiāng</v>
      </c>
      <c r="C943" t="str">
        <f>IF(COUNTIF(B:B,B943)&gt;1,_xlfn.CONCAT(A943," (",M943,")"),B943)</f>
        <v>Shítóuzhài Xiāng</v>
      </c>
      <c r="D943" t="s">
        <v>968</v>
      </c>
      <c r="E943" t="s">
        <v>7</v>
      </c>
      <c r="F943" t="str">
        <f>_xlfn.CONCAT(D943,", ",H943,", ",I943,", ","云南省")</f>
        <v>石头寨乡, 红河县, 红河哈尼族彝族自治州, 云南省</v>
      </c>
      <c r="G943">
        <v>16769</v>
      </c>
      <c r="H943" t="s">
        <v>2795</v>
      </c>
      <c r="I943" t="s">
        <v>2792</v>
      </c>
      <c r="J943" t="e">
        <f>VLOOKUP(F943,[1]!china_towns_second__2[[Column1]:[Y]],3,FALSE)</f>
        <v>#N/A</v>
      </c>
      <c r="K943" t="e">
        <f>VLOOKUP(F943,[1]!china_towns_second__2[[Column1]:[Y]],2,FALSE)</f>
        <v>#N/A</v>
      </c>
      <c r="L943" t="s">
        <v>4496</v>
      </c>
      <c r="M943" t="str">
        <f>VLOOKUP(H943,CHOOSE({1,2},Table17[Native],Table17[Name]),2,0)</f>
        <v>Hónghé Xiàn</v>
      </c>
      <c r="N943" s="15" t="str">
        <f>VLOOKUP(I943,CHOOSE({1,2},Table17[Native],Table17[Name]),2,0)</f>
        <v>Hónghé Hānízú Yízú Zìzhìzhōu</v>
      </c>
      <c r="O943" s="15" t="str">
        <f t="shared" si="28"/>
        <v>Shitouzhai Xiang (Hónghé Hānízú Yízú Zìzhìzhōu)</v>
      </c>
      <c r="P943" s="15" t="str">
        <f t="shared" si="29"/>
        <v>Shitouzhai Xiang (Hónghé Hānízú Yízú Zìzhìzhōu)</v>
      </c>
    </row>
    <row r="944" spans="1:16" hidden="1" x14ac:dyDescent="0.25">
      <c r="A944" t="s">
        <v>297</v>
      </c>
      <c r="B944" t="str">
        <f>IF(COUNTIF(A:A,A944)&gt;1,_xlfn.CONCAT(A944," (",N944,")"),A944)</f>
        <v>Shíyáng Zhèn</v>
      </c>
      <c r="C944" t="str">
        <f>IF(COUNTIF(B:B,B944)&gt;1,_xlfn.CONCAT(A944," (",M944,")"),B944)</f>
        <v>Shíyáng Zhèn</v>
      </c>
      <c r="D944" t="s">
        <v>298</v>
      </c>
      <c r="E944" t="s">
        <v>11</v>
      </c>
      <c r="F944" t="str">
        <f>_xlfn.CONCAT(D944,", ",H944,", ",I944,", ","云南省")</f>
        <v>石羊镇, 大姚县, 楚雄彝族自治州, 云南省</v>
      </c>
      <c r="G944">
        <v>25718</v>
      </c>
      <c r="H944" t="s">
        <v>2752</v>
      </c>
      <c r="I944" t="s">
        <v>2750</v>
      </c>
      <c r="J944">
        <f>VLOOKUP(F944,[1]!china_towns_second__2[[Column1]:[Y]],3,FALSE)</f>
        <v>25.830996060076099</v>
      </c>
      <c r="K944">
        <f>VLOOKUP(F944,[1]!china_towns_second__2[[Column1]:[Y]],2,FALSE)</f>
        <v>101.08254100000001</v>
      </c>
      <c r="L944" t="s">
        <v>4497</v>
      </c>
      <c r="M944" t="str">
        <f>VLOOKUP(H944,CHOOSE({1,2},Table17[Native],Table17[Name]),2,0)</f>
        <v>Dàyáo Xiàn</v>
      </c>
      <c r="N944" s="15" t="str">
        <f>VLOOKUP(I944,CHOOSE({1,2},Table17[Native],Table17[Name]),2,0)</f>
        <v>Chŭxióng Yízú Zìzhìzhōu</v>
      </c>
      <c r="O944" s="15" t="str">
        <f t="shared" si="28"/>
        <v>Shiyang Zhen (Chŭxióng Yízú Zìzhìzhōu)</v>
      </c>
      <c r="P944" s="15" t="str">
        <f t="shared" si="29"/>
        <v>Shiyang Zhen (Chŭxióng Yízú Zìzhìzhōu)</v>
      </c>
    </row>
    <row r="945" spans="1:16" hidden="1" x14ac:dyDescent="0.25">
      <c r="A945" t="s">
        <v>1639</v>
      </c>
      <c r="B945" t="str">
        <f>IF(COUNTIF(A:A,A945)&gt;1,_xlfn.CONCAT(A945," (",N945,")"),A945)</f>
        <v>Shíyuèliàng Xiāng</v>
      </c>
      <c r="C945" t="str">
        <f>IF(COUNTIF(B:B,B945)&gt;1,_xlfn.CONCAT(A945," (",M945,")"),B945)</f>
        <v>Shíyuèliàng Xiāng</v>
      </c>
      <c r="D945" t="s">
        <v>1640</v>
      </c>
      <c r="E945" t="s">
        <v>7</v>
      </c>
      <c r="F945" t="str">
        <f>_xlfn.CONCAT(D945,", ",H945,", ",I945,", ","云南省")</f>
        <v>石月亮乡, 福贡县, 怒江傈僳族自治州, 云南省</v>
      </c>
      <c r="G945">
        <v>11533</v>
      </c>
      <c r="H945" t="s">
        <v>2843</v>
      </c>
      <c r="I945" t="s">
        <v>2842</v>
      </c>
      <c r="J945" t="e">
        <f>VLOOKUP(F945,[1]!china_towns_second__2[[Column1]:[Y]],3,FALSE)</f>
        <v>#N/A</v>
      </c>
      <c r="K945" t="e">
        <f>VLOOKUP(F945,[1]!china_towns_second__2[[Column1]:[Y]],2,FALSE)</f>
        <v>#N/A</v>
      </c>
      <c r="L945" t="s">
        <v>4498</v>
      </c>
      <c r="M945" t="str">
        <f>VLOOKUP(H945,CHOOSE({1,2},Table17[Native],Table17[Name]),2,0)</f>
        <v>Fúgòng Xiàn</v>
      </c>
      <c r="N945" s="15" t="str">
        <f>VLOOKUP(I945,CHOOSE({1,2},Table17[Native],Table17[Name]),2,0)</f>
        <v>Nùjiāng Lìsùzú Zìzhìzhōu</v>
      </c>
      <c r="O945" s="15" t="str">
        <f t="shared" si="28"/>
        <v>Shiyueliang Xiang (Nùjiāng Lìsùzú Zìzhìzhōu)</v>
      </c>
      <c r="P945" s="15" t="str">
        <f t="shared" si="29"/>
        <v>Shiyueliang Xiang (Nùjiāng Lìsùzú Zìzhìzhōu)</v>
      </c>
    </row>
    <row r="946" spans="1:16" hidden="1" x14ac:dyDescent="0.25">
      <c r="A946" t="s">
        <v>299</v>
      </c>
      <c r="B946" t="str">
        <f>IF(COUNTIF(A:A,A946)&gt;1,_xlfn.CONCAT(A946," (",N946,")"),A946)</f>
        <v>Shìzhōng Xiāng</v>
      </c>
      <c r="C946" t="str">
        <f>IF(COUNTIF(B:B,B946)&gt;1,_xlfn.CONCAT(A946," (",M946,")"),B946)</f>
        <v>Shìzhōng Xiāng</v>
      </c>
      <c r="D946" t="s">
        <v>300</v>
      </c>
      <c r="E946" t="s">
        <v>7</v>
      </c>
      <c r="F946" t="str">
        <f>_xlfn.CONCAT(D946,", ",H946,", ",I946,", ","云南省")</f>
        <v>适中乡, 姚安县, 楚雄彝族自治州, 云南省</v>
      </c>
      <c r="G946">
        <v>5315</v>
      </c>
      <c r="H946" t="s">
        <v>2758</v>
      </c>
      <c r="I946" t="s">
        <v>2750</v>
      </c>
      <c r="J946" t="e">
        <f>VLOOKUP(F946,[1]!china_towns_second__2[[Column1]:[Y]],3,FALSE)</f>
        <v>#N/A</v>
      </c>
      <c r="K946" t="e">
        <f>VLOOKUP(F946,[1]!china_towns_second__2[[Column1]:[Y]],2,FALSE)</f>
        <v>#N/A</v>
      </c>
      <c r="L946" t="s">
        <v>4499</v>
      </c>
      <c r="M946" t="str">
        <f>VLOOKUP(H946,CHOOSE({1,2},Table17[Native],Table17[Name]),2,0)</f>
        <v>Yáo'ān Xiàn</v>
      </c>
      <c r="N946" s="15" t="str">
        <f>VLOOKUP(I946,CHOOSE({1,2},Table17[Native],Table17[Name]),2,0)</f>
        <v>Chŭxióng Yízú Zìzhìzhōu</v>
      </c>
      <c r="O946" s="15" t="str">
        <f t="shared" si="28"/>
        <v>Shizhong Xiang (Chŭxióng Yízú Zìzhìzhōu)</v>
      </c>
      <c r="P946" s="15" t="str">
        <f t="shared" si="29"/>
        <v>Shizhong Xiang (Chŭxióng Yízú Zìzhìzhōu)</v>
      </c>
    </row>
    <row r="947" spans="1:16" hidden="1" x14ac:dyDescent="0.25">
      <c r="A947" t="s">
        <v>2639</v>
      </c>
      <c r="B947" t="str">
        <f>IF(COUNTIF(A:A,A947)&gt;1,_xlfn.CONCAT(A947," (",N947,")"),A947)</f>
        <v>Shìzi Zhèn</v>
      </c>
      <c r="C947" t="str">
        <f>IF(COUNTIF(B:B,B947)&gt;1,_xlfn.CONCAT(A947," (",M947,")"),B947)</f>
        <v>Shìzi Zhèn</v>
      </c>
      <c r="D947" t="s">
        <v>2640</v>
      </c>
      <c r="E947" t="s">
        <v>11</v>
      </c>
      <c r="F947" t="str">
        <f>_xlfn.CONCAT(D947,", ",H947,", ",I947,", ","云南省")</f>
        <v>柿子镇, 盐津县, 昭通市, 云南省</v>
      </c>
      <c r="G947">
        <v>24743</v>
      </c>
      <c r="H947" t="s">
        <v>2906</v>
      </c>
      <c r="I947" t="s">
        <v>2899</v>
      </c>
      <c r="J947">
        <f>VLOOKUP(F947,[1]!china_towns_second__2[[Column1]:[Y]],3,FALSE)</f>
        <v>27.947873042488599</v>
      </c>
      <c r="K947">
        <f>VLOOKUP(F947,[1]!china_towns_second__2[[Column1]:[Y]],2,FALSE)</f>
        <v>104.15954360000001</v>
      </c>
      <c r="L947" t="s">
        <v>4500</v>
      </c>
      <c r="M947" t="str">
        <f>VLOOKUP(H947,CHOOSE({1,2},Table17[Native],Table17[Name]),2,0)</f>
        <v>Yánjīn Xiàn</v>
      </c>
      <c r="N947" s="15" t="str">
        <f>VLOOKUP(I947,CHOOSE({1,2},Table17[Native],Table17[Name]),2,0)</f>
        <v>Zhāotōng Shì</v>
      </c>
      <c r="O947" s="15" t="str">
        <f t="shared" si="28"/>
        <v>Shizi Zhen (Zhāotōng Shì)</v>
      </c>
      <c r="P947" s="15" t="str">
        <f t="shared" si="29"/>
        <v>Shizi Zhen (Zhāotōng Shì)</v>
      </c>
    </row>
    <row r="948" spans="1:16" hidden="1" x14ac:dyDescent="0.25">
      <c r="A948" t="s">
        <v>2641</v>
      </c>
      <c r="B948" t="str">
        <f>IF(COUNTIF(A:A,A948)&gt;1,_xlfn.CONCAT(A948," (",N948,")"),A948)</f>
        <v>Shòushān Zhèn</v>
      </c>
      <c r="C948" t="str">
        <f>IF(COUNTIF(B:B,B948)&gt;1,_xlfn.CONCAT(A948," (",M948,")"),B948)</f>
        <v>Shòushān Zhèn</v>
      </c>
      <c r="D948" t="s">
        <v>2642</v>
      </c>
      <c r="E948" t="s">
        <v>11</v>
      </c>
      <c r="F948" t="str">
        <f>_xlfn.CONCAT(D948,", ",H948,", ",I948,", ","云南省")</f>
        <v>寿山镇, 大关县, 昭通市, 云南省</v>
      </c>
      <c r="G948">
        <v>27284</v>
      </c>
      <c r="H948" t="s">
        <v>2900</v>
      </c>
      <c r="I948" t="s">
        <v>2899</v>
      </c>
      <c r="J948">
        <f>VLOOKUP(F948,[1]!china_towns_second__2[[Column1]:[Y]],3,FALSE)</f>
        <v>27.9356053976285</v>
      </c>
      <c r="K948">
        <f>VLOOKUP(F948,[1]!china_towns_second__2[[Column1]:[Y]],2,FALSE)</f>
        <v>103.8600713</v>
      </c>
      <c r="L948" t="s">
        <v>4501</v>
      </c>
      <c r="M948" t="str">
        <f>VLOOKUP(H948,CHOOSE({1,2},Table17[Native],Table17[Name]),2,0)</f>
        <v>Dàguān Xiàn</v>
      </c>
      <c r="N948" s="15" t="str">
        <f>VLOOKUP(I948,CHOOSE({1,2},Table17[Native],Table17[Name]),2,0)</f>
        <v>Zhāotōng Shì</v>
      </c>
      <c r="O948" s="15" t="str">
        <f t="shared" si="28"/>
        <v>Shoushan Zhen (Zhāotōng Shì)</v>
      </c>
      <c r="P948" s="15" t="str">
        <f t="shared" si="29"/>
        <v>Shoushan Zhen (Zhāotōng Shì)</v>
      </c>
    </row>
    <row r="949" spans="1:16" hidden="1" x14ac:dyDescent="0.25">
      <c r="A949" t="s">
        <v>2643</v>
      </c>
      <c r="B949" t="str">
        <f>IF(COUNTIF(A:A,A949)&gt;1,_xlfn.CONCAT(A949," (",N949,")"),A949)</f>
        <v>Shŏuwàng Huízú Xiāng</v>
      </c>
      <c r="C949" t="str">
        <f>IF(COUNTIF(B:B,B949)&gt;1,_xlfn.CONCAT(A949," (",M949,")"),B949)</f>
        <v>Shŏuwàng Huízú Xiāng</v>
      </c>
      <c r="D949" t="s">
        <v>2644</v>
      </c>
      <c r="E949" t="s">
        <v>7</v>
      </c>
      <c r="F949" t="str">
        <f>_xlfn.CONCAT(D949,", ",H949,", ",I949,", ","云南省")</f>
        <v>守望回族乡, 昭阳区, 昭通市, 云南省</v>
      </c>
      <c r="G949">
        <v>39436</v>
      </c>
      <c r="H949" t="s">
        <v>2909</v>
      </c>
      <c r="I949" t="s">
        <v>2899</v>
      </c>
      <c r="J949" t="e">
        <f>VLOOKUP(F949,[1]!china_towns_second__2[[Column1]:[Y]],3,FALSE)</f>
        <v>#N/A</v>
      </c>
      <c r="K949" t="e">
        <f>VLOOKUP(F949,[1]!china_towns_second__2[[Column1]:[Y]],2,FALSE)</f>
        <v>#N/A</v>
      </c>
      <c r="L949" t="s">
        <v>4502</v>
      </c>
      <c r="M949" t="str">
        <f>VLOOKUP(H949,CHOOSE({1,2},Table17[Native],Table17[Name]),2,0)</f>
        <v>Zhāoyáng Qū</v>
      </c>
      <c r="N949" s="15" t="str">
        <f>VLOOKUP(I949,CHOOSE({1,2},Table17[Native],Table17[Name]),2,0)</f>
        <v>Zhāotōng Shì</v>
      </c>
      <c r="O949" s="15" t="str">
        <f t="shared" si="28"/>
        <v>Shouwang Huizu Xiang (Zhāotōng Shì)</v>
      </c>
      <c r="P949" s="15" t="str">
        <f t="shared" si="29"/>
        <v>Shouwang Huizu Xiang (Zhāotōng Shì)</v>
      </c>
    </row>
    <row r="950" spans="1:16" hidden="1" x14ac:dyDescent="0.25">
      <c r="A950" t="s">
        <v>2645</v>
      </c>
      <c r="B950" t="str">
        <f>IF(COUNTIF(A:A,A950)&gt;1,_xlfn.CONCAT(A950," (",N950,")"),A950)</f>
        <v>Shuānghé Miáozú Yízú Xiāng</v>
      </c>
      <c r="C950" t="str">
        <f>IF(COUNTIF(B:B,B950)&gt;1,_xlfn.CONCAT(A950," (",M950,")"),B950)</f>
        <v>Shuānghé Miáozú Yízú Xiāng</v>
      </c>
      <c r="D950" t="s">
        <v>2646</v>
      </c>
      <c r="E950" t="s">
        <v>7</v>
      </c>
      <c r="F950" t="str">
        <f>_xlfn.CONCAT(D950,", ",H950,", ",I950,", ","云南省")</f>
        <v>双河苗族彝族乡, 威信县, 昭通市, 云南省</v>
      </c>
      <c r="G950">
        <v>28364</v>
      </c>
      <c r="H950" t="s">
        <v>2905</v>
      </c>
      <c r="I950" t="s">
        <v>2899</v>
      </c>
      <c r="J950" t="e">
        <f>VLOOKUP(F950,[1]!china_towns_second__2[[Column1]:[Y]],3,FALSE)</f>
        <v>#N/A</v>
      </c>
      <c r="K950" t="e">
        <f>VLOOKUP(F950,[1]!china_towns_second__2[[Column1]:[Y]],2,FALSE)</f>
        <v>#N/A</v>
      </c>
      <c r="L950" t="s">
        <v>4503</v>
      </c>
      <c r="M950" t="str">
        <f>VLOOKUP(H950,CHOOSE({1,2},Table17[Native],Table17[Name]),2,0)</f>
        <v>Wēixìn Xiàn</v>
      </c>
      <c r="N950" s="15" t="str">
        <f>VLOOKUP(I950,CHOOSE({1,2},Table17[Native],Table17[Name]),2,0)</f>
        <v>Zhāotōng Shì</v>
      </c>
      <c r="O950" s="15" t="str">
        <f t="shared" si="28"/>
        <v>Shuanghe Miaozu Yizu Xiang (Zhāotōng Shì)</v>
      </c>
      <c r="P950" s="15" t="str">
        <f t="shared" si="29"/>
        <v>Shuanghe Miaozu Yizu Xiang (Zhāotōng Shì)</v>
      </c>
    </row>
    <row r="951" spans="1:16" hidden="1" x14ac:dyDescent="0.25">
      <c r="A951" t="s">
        <v>1993</v>
      </c>
      <c r="B951" t="str">
        <f>IF(COUNTIF(A:A,A951)&gt;1,_xlfn.CONCAT(A951," (",N951,")"),A951)</f>
        <v>Shuānghé Xiāng</v>
      </c>
      <c r="C951" t="str">
        <f>IF(COUNTIF(B:B,B951)&gt;1,_xlfn.CONCAT(A951," (",M951,")"),B951)</f>
        <v>Shuānghé Xiāng</v>
      </c>
      <c r="D951" t="s">
        <v>1994</v>
      </c>
      <c r="E951" t="s">
        <v>7</v>
      </c>
      <c r="F951" t="str">
        <f>_xlfn.CONCAT(D951,", ",H951,", ",I951,", ","云南省")</f>
        <v>双河乡, 宣威市, 曲靖市, 云南省</v>
      </c>
      <c r="G951">
        <v>27042</v>
      </c>
      <c r="H951" t="s">
        <v>2868</v>
      </c>
      <c r="I951" t="s">
        <v>2860</v>
      </c>
      <c r="J951" t="e">
        <f>VLOOKUP(F951,[1]!china_towns_second__2[[Column1]:[Y]],3,FALSE)</f>
        <v>#N/A</v>
      </c>
      <c r="K951" t="e">
        <f>VLOOKUP(F951,[1]!china_towns_second__2[[Column1]:[Y]],2,FALSE)</f>
        <v>#N/A</v>
      </c>
      <c r="L951" t="s">
        <v>4504</v>
      </c>
      <c r="M951" t="str">
        <f>VLOOKUP(H951,CHOOSE({1,2},Table17[Native],Table17[Name]),2,0)</f>
        <v>Xuānwēi Shì</v>
      </c>
      <c r="N951" s="15" t="str">
        <f>VLOOKUP(I951,CHOOSE({1,2},Table17[Native],Table17[Name]),2,0)</f>
        <v>Qŭjìng Shì</v>
      </c>
      <c r="O951" s="15" t="str">
        <f t="shared" si="28"/>
        <v>Shuanghe Xiang (Qŭjìng Shì)</v>
      </c>
      <c r="P951" s="15" t="str">
        <f t="shared" si="29"/>
        <v>Shuanghe Xiang (Qŭjìng Shì)</v>
      </c>
    </row>
    <row r="952" spans="1:16" hidden="1" x14ac:dyDescent="0.25">
      <c r="A952" t="s">
        <v>1221</v>
      </c>
      <c r="B952" t="str">
        <f>IF(COUNTIF(A:A,A952)&gt;1,_xlfn.CONCAT(A952," (",N952,")"),A952)</f>
        <v>Shuānghé Yízú Xiāng</v>
      </c>
      <c r="C952" t="str">
        <f>IF(COUNTIF(B:B,B952)&gt;1,_xlfn.CONCAT(A952," (",M952,")"),B952)</f>
        <v>Shuānghé Yízú Xiāng</v>
      </c>
      <c r="D952" t="s">
        <v>1222</v>
      </c>
      <c r="E952" t="s">
        <v>7</v>
      </c>
      <c r="F952" t="str">
        <f>_xlfn.CONCAT(D952,", ",H952,", ",I952,", ","云南省")</f>
        <v>双河彝族乡, 晋宁区, 昆明市, 云南省</v>
      </c>
      <c r="G952">
        <v>8538</v>
      </c>
      <c r="H952" t="s">
        <v>2813</v>
      </c>
      <c r="I952" t="s">
        <v>2807</v>
      </c>
      <c r="J952" t="e">
        <f>VLOOKUP(F952,[1]!china_towns_second__2[[Column1]:[Y]],3,FALSE)</f>
        <v>#N/A</v>
      </c>
      <c r="K952" t="e">
        <f>VLOOKUP(F952,[1]!china_towns_second__2[[Column1]:[Y]],2,FALSE)</f>
        <v>#N/A</v>
      </c>
      <c r="L952" t="s">
        <v>4505</v>
      </c>
      <c r="M952" t="str">
        <f>VLOOKUP(H952,CHOOSE({1,2},Table17[Native],Table17[Name]),2,0)</f>
        <v>Jìnníng Qū</v>
      </c>
      <c r="N952" s="15" t="str">
        <f>VLOOKUP(I952,CHOOSE({1,2},Table17[Native],Table17[Name]),2,0)</f>
        <v>Kūnmíng Shì</v>
      </c>
      <c r="O952" s="15" t="str">
        <f t="shared" si="28"/>
        <v>Shuanghe Yizu Xiang (Kūnmíng Shì)</v>
      </c>
      <c r="P952" s="15" t="str">
        <f t="shared" si="29"/>
        <v>Shuanghe Yizu Xiang (Kūnmíng Shì)</v>
      </c>
    </row>
    <row r="953" spans="1:16" hidden="1" x14ac:dyDescent="0.25">
      <c r="A953" t="s">
        <v>2420</v>
      </c>
      <c r="B953" t="str">
        <f>IF(COUNTIF(A:A,A953)&gt;1,_xlfn.CONCAT(A953," (",N953,")"),A953)</f>
        <v>Shuāngjiāng Jiēdào</v>
      </c>
      <c r="C953" t="str">
        <f>IF(COUNTIF(B:B,B953)&gt;1,_xlfn.CONCAT(A953," (",M953,")"),B953)</f>
        <v>Shuāngjiāng Jiēdào</v>
      </c>
      <c r="D953" t="s">
        <v>2421</v>
      </c>
      <c r="E953" t="s">
        <v>42</v>
      </c>
      <c r="F953" t="str">
        <f>_xlfn.CONCAT(D953,", ",H953,", ",I953,", ","云南省")</f>
        <v>双江街道, 峨山彝族自治县, 玉溪市, 云南省</v>
      </c>
      <c r="G953">
        <v>56532</v>
      </c>
      <c r="H953" t="s">
        <v>2890</v>
      </c>
      <c r="I953" t="s">
        <v>2888</v>
      </c>
      <c r="J953">
        <f>VLOOKUP(F953,[1]!china_towns_second__2[[Column1]:[Y]],3,FALSE)</f>
        <v>24.188683925294299</v>
      </c>
      <c r="K953">
        <f>VLOOKUP(F953,[1]!china_towns_second__2[[Column1]:[Y]],2,FALSE)</f>
        <v>102.3286974</v>
      </c>
      <c r="L953" t="s">
        <v>4506</v>
      </c>
      <c r="M953" t="str">
        <f>VLOOKUP(H953,CHOOSE({1,2},Table17[Native],Table17[Name]),2,0)</f>
        <v>Éshān Yízú Zìzhìxiàn</v>
      </c>
      <c r="N953" s="15" t="str">
        <f>VLOOKUP(I953,CHOOSE({1,2},Table17[Native],Table17[Name]),2,0)</f>
        <v>Yùxī Shì</v>
      </c>
      <c r="O953" s="15" t="str">
        <f t="shared" si="28"/>
        <v>Shuangjiang Jiedao (Yùxī Shì)</v>
      </c>
      <c r="P953" s="15" t="str">
        <f t="shared" si="29"/>
        <v>Shuangjiang Jiedao (Yùxī Shì)</v>
      </c>
    </row>
    <row r="954" spans="1:16" hidden="1" x14ac:dyDescent="0.25">
      <c r="A954" t="s">
        <v>530</v>
      </c>
      <c r="B954" t="str">
        <f>IF(COUNTIF(A:A,A954)&gt;1,_xlfn.CONCAT(A954," (",N954,")"),A954)</f>
        <v>Shuāngláng Zhèn</v>
      </c>
      <c r="C954" t="str">
        <f>IF(COUNTIF(B:B,B954)&gt;1,_xlfn.CONCAT(A954," (",M954,")"),B954)</f>
        <v>Shuāngláng Zhèn</v>
      </c>
      <c r="D954" t="s">
        <v>531</v>
      </c>
      <c r="E954" t="s">
        <v>11</v>
      </c>
      <c r="F954" t="str">
        <f>_xlfn.CONCAT(D954,", ",H954,", ",I954,", ","云南省")</f>
        <v>双廊镇, 大理市, 大理白族自治州, 云南省</v>
      </c>
      <c r="G954">
        <v>16472</v>
      </c>
      <c r="H954" t="s">
        <v>2765</v>
      </c>
      <c r="I954" t="s">
        <v>2763</v>
      </c>
      <c r="J954">
        <f>VLOOKUP(F954,[1]!china_towns_second__2[[Column1]:[Y]],3,FALSE)</f>
        <v>25.9661631751021</v>
      </c>
      <c r="K954">
        <f>VLOOKUP(F954,[1]!china_towns_second__2[[Column1]:[Y]],2,FALSE)</f>
        <v>100.2541217</v>
      </c>
      <c r="L954" t="s">
        <v>4507</v>
      </c>
      <c r="M954" t="str">
        <f>VLOOKUP(H954,CHOOSE({1,2},Table17[Native],Table17[Name]),2,0)</f>
        <v>Dàlĭ Shì</v>
      </c>
      <c r="N954" s="15" t="str">
        <f>VLOOKUP(I954,CHOOSE({1,2},Table17[Native],Table17[Name]),2,0)</f>
        <v>Dàlĭ Báizú Zìzhìzhōu</v>
      </c>
      <c r="O954" s="15" t="str">
        <f t="shared" si="28"/>
        <v>Shuanglang Zhen (Dàlĭ Báizú Zìzhìzhōu)</v>
      </c>
      <c r="P954" s="15" t="str">
        <f t="shared" si="29"/>
        <v>Shuanglang Zhen (Dàlĭ Báizú Zìzhìzhōu)</v>
      </c>
    </row>
    <row r="955" spans="1:16" hidden="1" x14ac:dyDescent="0.25">
      <c r="A955" t="s">
        <v>1223</v>
      </c>
      <c r="B955" t="str">
        <f>IF(COUNTIF(A:A,A955)&gt;1,_xlfn.CONCAT(A955," (",N955,")"),A955)</f>
        <v>Shuānglóng Jiēdào (Kūnmíng Shì)</v>
      </c>
      <c r="C955" t="str">
        <f>IF(COUNTIF(B:B,B955)&gt;1,_xlfn.CONCAT(A955," (",M955,")"),B955)</f>
        <v>Shuānglóng Jiēdào (Kūnmíng Shì)</v>
      </c>
      <c r="D955" t="s">
        <v>1224</v>
      </c>
      <c r="E955" t="s">
        <v>42</v>
      </c>
      <c r="F955" t="str">
        <f>_xlfn.CONCAT(D955,", ",H955,", ",I955,", ","云南省")</f>
        <v>双龙街道, 盘龙区, 昆明市, 云南省</v>
      </c>
      <c r="G955">
        <v>11348</v>
      </c>
      <c r="H955" t="s">
        <v>2815</v>
      </c>
      <c r="I955" t="s">
        <v>2807</v>
      </c>
      <c r="J955">
        <f>VLOOKUP(F955,[1]!china_towns_second__2[[Column1]:[Y]],3,FALSE)</f>
        <v>25.123844303570699</v>
      </c>
      <c r="K955">
        <f>VLOOKUP(F955,[1]!china_towns_second__2[[Column1]:[Y]],2,FALSE)</f>
        <v>102.83951190000001</v>
      </c>
      <c r="L955" t="s">
        <v>4508</v>
      </c>
      <c r="M955" t="str">
        <f>VLOOKUP(H955,CHOOSE({1,2},Table17[Native],Table17[Name]),2,0)</f>
        <v>Pánlóng Qū</v>
      </c>
      <c r="N955" s="15" t="str">
        <f>VLOOKUP(I955,CHOOSE({1,2},Table17[Native],Table17[Name]),2,0)</f>
        <v>Kūnmíng Shì</v>
      </c>
      <c r="O955" s="15" t="str">
        <f t="shared" si="28"/>
        <v>Shuanglong Jiedao (Kunming Shi) (Kūnmíng Shì)</v>
      </c>
      <c r="P955" s="15" t="str">
        <f t="shared" si="29"/>
        <v>Shuanglong Jiedao (Kunming Shi) (Kūnmíng Shì)</v>
      </c>
    </row>
    <row r="956" spans="1:16" hidden="1" x14ac:dyDescent="0.25">
      <c r="A956" t="s">
        <v>1223</v>
      </c>
      <c r="B956" t="str">
        <f>IF(COUNTIF(A:A,A956)&gt;1,_xlfn.CONCAT(A956," (",N956,")"),A956)</f>
        <v>Shuānglóng Jiēdào (Qŭjìng Shì)</v>
      </c>
      <c r="C956" t="str">
        <f>IF(COUNTIF(B:B,B956)&gt;1,_xlfn.CONCAT(A956," (",M956,")"),B956)</f>
        <v>Shuānglóng Jiēdào (Qŭjìng Shì)</v>
      </c>
      <c r="D956" t="s">
        <v>1224</v>
      </c>
      <c r="E956" t="s">
        <v>42</v>
      </c>
      <c r="F956" t="str">
        <f>_xlfn.CONCAT(D956,", ",H956,", ",I956,", ","云南省")</f>
        <v>双龙街道, 宣威市, 曲靖市, 云南省</v>
      </c>
      <c r="G956">
        <v>69853</v>
      </c>
      <c r="H956" t="s">
        <v>2868</v>
      </c>
      <c r="I956" t="s">
        <v>2860</v>
      </c>
      <c r="J956">
        <f>VLOOKUP(F956,[1]!china_towns_second__2[[Column1]:[Y]],3,FALSE)</f>
        <v>26.2434353864431</v>
      </c>
      <c r="K956">
        <f>VLOOKUP(F956,[1]!china_towns_second__2[[Column1]:[Y]],2,FALSE)</f>
        <v>104.12645000000001</v>
      </c>
      <c r="L956" t="s">
        <v>4509</v>
      </c>
      <c r="M956" t="str">
        <f>VLOOKUP(H956,CHOOSE({1,2},Table17[Native],Table17[Name]),2,0)</f>
        <v>Xuānwēi Shì</v>
      </c>
      <c r="N956" s="15" t="str">
        <f>VLOOKUP(I956,CHOOSE({1,2},Table17[Native],Table17[Name]),2,0)</f>
        <v>Qŭjìng Shì</v>
      </c>
      <c r="O956" s="15" t="str">
        <f t="shared" si="28"/>
        <v>Shuanglong Jiedao (Qujing Shi) (Qŭjìng Shì)</v>
      </c>
      <c r="P956" s="15" t="str">
        <f t="shared" si="29"/>
        <v>Shuanglong Jiedao (Qujing Shi) (Qŭjìng Shì)</v>
      </c>
    </row>
    <row r="957" spans="1:16" hidden="1" x14ac:dyDescent="0.25">
      <c r="A957" t="s">
        <v>2197</v>
      </c>
      <c r="B957" t="str">
        <f>IF(COUNTIF(A:A,A957)&gt;1,_xlfn.CONCAT(A957," (",N957,")"),A957)</f>
        <v>Shuānglóngyíng Zhèn</v>
      </c>
      <c r="C957" t="str">
        <f>IF(COUNTIF(B:B,B957)&gt;1,_xlfn.CONCAT(A957," (",M957,")"),B957)</f>
        <v>Shuānglóngyíng Zhèn</v>
      </c>
      <c r="D957" t="s">
        <v>2198</v>
      </c>
      <c r="E957" t="s">
        <v>11</v>
      </c>
      <c r="F957" t="str">
        <f>_xlfn.CONCAT(D957,", ",H957,", ",I957,", ","云南省")</f>
        <v>双龙营镇, 丘北县, 文山壮族苗族自治州, 云南省</v>
      </c>
      <c r="G957">
        <v>75190</v>
      </c>
      <c r="H957" t="s">
        <v>2877</v>
      </c>
      <c r="I957" t="s">
        <v>2872</v>
      </c>
      <c r="J957">
        <f>VLOOKUP(F957,[1]!china_towns_second__2[[Column1]:[Y]],3,FALSE)</f>
        <v>24.260843615811801</v>
      </c>
      <c r="K957">
        <f>VLOOKUP(F957,[1]!china_towns_second__2[[Column1]:[Y]],2,FALSE)</f>
        <v>104.22767570000001</v>
      </c>
      <c r="L957" t="s">
        <v>4510</v>
      </c>
      <c r="M957" t="str">
        <f>VLOOKUP(H957,CHOOSE({1,2},Table17[Native],Table17[Name]),2,0)</f>
        <v>Qiūbĕi Xiàn</v>
      </c>
      <c r="N957" s="15" t="str">
        <f>VLOOKUP(I957,CHOOSE({1,2},Table17[Native],Table17[Name]),2,0)</f>
        <v>Wénshān Zhuàngzú Miáozú Zìzhìzhōu</v>
      </c>
      <c r="O957" s="15" t="str">
        <f t="shared" si="28"/>
        <v>Shuanglongying Zhen (Wénshān Zhuàngzú Miáozú Zìzhìzhōu)</v>
      </c>
      <c r="P957" s="15" t="str">
        <f t="shared" si="29"/>
        <v>Shuanglongying Zhen (Wénshān Zhuàngzú Miáozú Zìzhìzhōu)</v>
      </c>
    </row>
    <row r="958" spans="1:16" hidden="1" x14ac:dyDescent="0.25">
      <c r="A958" t="s">
        <v>2199</v>
      </c>
      <c r="B958" t="str">
        <f>IF(COUNTIF(A:A,A958)&gt;1,_xlfn.CONCAT(A958," (",N958,")"),A958)</f>
        <v>Shŭguāng Xiāng</v>
      </c>
      <c r="C958" t="str">
        <f>IF(COUNTIF(B:B,B958)&gt;1,_xlfn.CONCAT(A958," (",M958,")"),B958)</f>
        <v>Shŭguāng Xiāng</v>
      </c>
      <c r="D958" t="s">
        <v>2200</v>
      </c>
      <c r="E958" t="s">
        <v>7</v>
      </c>
      <c r="F958" t="str">
        <f>_xlfn.CONCAT(D958,", ",H958,", ",I958,", ","云南省")</f>
        <v>曙光乡, 广南县, 文山壮族苗族自治州, 云南省</v>
      </c>
      <c r="G958">
        <v>32601</v>
      </c>
      <c r="H958" t="s">
        <v>2874</v>
      </c>
      <c r="I958" t="s">
        <v>2872</v>
      </c>
      <c r="J958" t="e">
        <f>VLOOKUP(F958,[1]!china_towns_second__2[[Column1]:[Y]],3,FALSE)</f>
        <v>#N/A</v>
      </c>
      <c r="K958" t="e">
        <f>VLOOKUP(F958,[1]!china_towns_second__2[[Column1]:[Y]],2,FALSE)</f>
        <v>#N/A</v>
      </c>
      <c r="L958" t="s">
        <v>4511</v>
      </c>
      <c r="M958" t="str">
        <f>VLOOKUP(H958,CHOOSE({1,2},Table17[Native],Table17[Name]),2,0)</f>
        <v>Guăngnán Xiàn</v>
      </c>
      <c r="N958" s="15" t="str">
        <f>VLOOKUP(I958,CHOOSE({1,2},Table17[Native],Table17[Name]),2,0)</f>
        <v>Wénshān Zhuàngzú Miáozú Zìzhìzhōu</v>
      </c>
      <c r="O958" s="15" t="str">
        <f t="shared" si="28"/>
        <v>Shuguang Xiang (Wénshān Zhuàngzú Miáozú Zìzhìzhōu)</v>
      </c>
      <c r="P958" s="15" t="str">
        <f t="shared" si="29"/>
        <v>Shuguang Xiang (Wénshān Zhuàngzú Miáozú Zìzhìzhōu)</v>
      </c>
    </row>
    <row r="959" spans="1:16" hidden="1" x14ac:dyDescent="0.25">
      <c r="A959" t="s">
        <v>1389</v>
      </c>
      <c r="B959" t="str">
        <f>IF(COUNTIF(A:A,A959)&gt;1,_xlfn.CONCAT(A959," (",N959,")"),A959)</f>
        <v>Shùhé Jiēdào</v>
      </c>
      <c r="C959" t="str">
        <f>IF(COUNTIF(B:B,B959)&gt;1,_xlfn.CONCAT(A959," (",M959,")"),B959)</f>
        <v>Shùhé Jiēdào</v>
      </c>
      <c r="D959" t="s">
        <v>1390</v>
      </c>
      <c r="E959" t="s">
        <v>42</v>
      </c>
      <c r="F959" t="str">
        <f>_xlfn.CONCAT(D959,", ",H959,", ",I959,", ","云南省")</f>
        <v>束河街道, 古城区, 丽江市, 云南省</v>
      </c>
      <c r="G959">
        <v>34947</v>
      </c>
      <c r="H959" t="s">
        <v>2824</v>
      </c>
      <c r="I959" t="s">
        <v>2823</v>
      </c>
      <c r="J959">
        <f>VLOOKUP(F959,[1]!china_towns_second__2[[Column1]:[Y]],3,FALSE)</f>
        <v>26.9671136178947</v>
      </c>
      <c r="K959">
        <f>VLOOKUP(F959,[1]!china_towns_second__2[[Column1]:[Y]],2,FALSE)</f>
        <v>100.2648284</v>
      </c>
      <c r="L959" t="s">
        <v>4512</v>
      </c>
      <c r="M959" t="str">
        <f>VLOOKUP(H959,CHOOSE({1,2},Table17[Native],Table17[Name]),2,0)</f>
        <v>Gŭchéng Qū</v>
      </c>
      <c r="N959" s="15" t="str">
        <f>VLOOKUP(I959,CHOOSE({1,2},Table17[Native],Table17[Name]),2,0)</f>
        <v>Lìjiāng Shì</v>
      </c>
      <c r="O959" s="15" t="str">
        <f t="shared" si="28"/>
        <v>Shuhe Jiedao (Lìjiāng Shì)</v>
      </c>
      <c r="P959" s="15" t="str">
        <f t="shared" si="29"/>
        <v>Shuhe Jiedao (Lìjiāng Shì)</v>
      </c>
    </row>
    <row r="960" spans="1:16" hidden="1" x14ac:dyDescent="0.25">
      <c r="A960" t="s">
        <v>105</v>
      </c>
      <c r="B960" t="str">
        <f>IF(COUNTIF(A:A,A960)&gt;1,_xlfn.CONCAT(A960," (",N960,")"),A960)</f>
        <v>Shuĭcháng Xiāng</v>
      </c>
      <c r="C960" t="str">
        <f>IF(COUNTIF(B:B,B960)&gt;1,_xlfn.CONCAT(A960," (",M960,")"),B960)</f>
        <v>Shuĭcháng Xiāng</v>
      </c>
      <c r="D960" t="s">
        <v>106</v>
      </c>
      <c r="E960" t="s">
        <v>7</v>
      </c>
      <c r="F960" t="str">
        <f>_xlfn.CONCAT(D960,", ",H960,", ",I960,", ","云南省")</f>
        <v>水长乡, 施甸县, 保山市, 云南省</v>
      </c>
      <c r="G960">
        <v>15846</v>
      </c>
      <c r="H960" t="s">
        <v>2745</v>
      </c>
      <c r="I960" t="s">
        <v>2739</v>
      </c>
      <c r="J960" t="e">
        <f>VLOOKUP(F960,[1]!china_towns_second__2[[Column1]:[Y]],3,FALSE)</f>
        <v>#N/A</v>
      </c>
      <c r="K960" t="e">
        <f>VLOOKUP(F960,[1]!china_towns_second__2[[Column1]:[Y]],2,FALSE)</f>
        <v>#N/A</v>
      </c>
      <c r="L960" t="s">
        <v>4513</v>
      </c>
      <c r="M960" t="str">
        <f>VLOOKUP(H960,CHOOSE({1,2},Table17[Native],Table17[Name]),2,0)</f>
        <v>Shīdiàn Xiàn</v>
      </c>
      <c r="N960" s="15" t="str">
        <f>VLOOKUP(I960,CHOOSE({1,2},Table17[Native],Table17[Name]),2,0)</f>
        <v>Băoshān Shì</v>
      </c>
      <c r="O960" s="15" t="str">
        <f t="shared" si="28"/>
        <v>Shuichang Xiang (Băoshān Shì)</v>
      </c>
      <c r="P960" s="15" t="str">
        <f t="shared" si="29"/>
        <v>Shuichang Xiang (Băoshān Shì)</v>
      </c>
    </row>
    <row r="961" spans="1:16" hidden="1" x14ac:dyDescent="0.25">
      <c r="A961" t="s">
        <v>2647</v>
      </c>
      <c r="B961" t="str">
        <f>IF(COUNTIF(A:A,A961)&gt;1,_xlfn.CONCAT(A961," (",N961,")"),A961)</f>
        <v>Shuĭmó Zhèn</v>
      </c>
      <c r="C961" t="str">
        <f>IF(COUNTIF(B:B,B961)&gt;1,_xlfn.CONCAT(A961," (",M961,")"),B961)</f>
        <v>Shuĭmó Zhèn</v>
      </c>
      <c r="D961" t="s">
        <v>2648</v>
      </c>
      <c r="E961" t="s">
        <v>11</v>
      </c>
      <c r="F961" t="str">
        <f>_xlfn.CONCAT(D961,", ",H961,", ",I961,", ","云南省")</f>
        <v>水磨镇, 鲁甸县, 昭通市, 云南省</v>
      </c>
      <c r="G961">
        <v>33810</v>
      </c>
      <c r="H961" t="s">
        <v>2901</v>
      </c>
      <c r="I961" t="s">
        <v>2899</v>
      </c>
      <c r="J961">
        <f>VLOOKUP(F961,[1]!china_towns_second__2[[Column1]:[Y]],3,FALSE)</f>
        <v>27.241779715217099</v>
      </c>
      <c r="K961">
        <f>VLOOKUP(F961,[1]!china_towns_second__2[[Column1]:[Y]],2,FALSE)</f>
        <v>103.3794163</v>
      </c>
      <c r="L961" t="s">
        <v>4514</v>
      </c>
      <c r="M961" t="str">
        <f>VLOOKUP(H961,CHOOSE({1,2},Table17[Native],Table17[Name]),2,0)</f>
        <v>Lŭdiàn Xiàn</v>
      </c>
      <c r="N961" s="15" t="str">
        <f>VLOOKUP(I961,CHOOSE({1,2},Table17[Native],Table17[Name]),2,0)</f>
        <v>Zhāotōng Shì</v>
      </c>
      <c r="O961" s="15" t="str">
        <f t="shared" si="28"/>
        <v>Shuimo Zhen (Zhāotōng Shì)</v>
      </c>
      <c r="P961" s="15" t="str">
        <f t="shared" si="29"/>
        <v>Shuimo Zhen (Zhāotōng Shì)</v>
      </c>
    </row>
    <row r="962" spans="1:16" hidden="1" x14ac:dyDescent="0.25">
      <c r="A962" t="s">
        <v>2422</v>
      </c>
      <c r="B962" t="str">
        <f>IF(COUNTIF(A:A,A962)&gt;1,_xlfn.CONCAT(A962," (",N962,")"),A962)</f>
        <v>Shuĭtáng Zhèn</v>
      </c>
      <c r="C962" t="str">
        <f>IF(COUNTIF(B:B,B962)&gt;1,_xlfn.CONCAT(A962," (",M962,")"),B962)</f>
        <v>Shuĭtáng Zhèn</v>
      </c>
      <c r="D962" t="s">
        <v>2423</v>
      </c>
      <c r="E962" t="s">
        <v>11</v>
      </c>
      <c r="F962" t="str">
        <f>_xlfn.CONCAT(D962,", ",H962,", ",I962,", ","云南省")</f>
        <v>水塘镇, 新平彝族傣族自治县, 玉溪市, 云南省</v>
      </c>
      <c r="G962">
        <v>21528</v>
      </c>
      <c r="H962" t="s">
        <v>2895</v>
      </c>
      <c r="I962" t="s">
        <v>2888</v>
      </c>
      <c r="J962">
        <f>VLOOKUP(F962,[1]!china_towns_second__2[[Column1]:[Y]],3,FALSE)</f>
        <v>24.1342544320133</v>
      </c>
      <c r="K962">
        <f>VLOOKUP(F962,[1]!china_towns_second__2[[Column1]:[Y]],2,FALSE)</f>
        <v>101.4484358</v>
      </c>
      <c r="L962" t="s">
        <v>4515</v>
      </c>
      <c r="M962" t="str">
        <f>VLOOKUP(H962,CHOOSE({1,2},Table17[Native],Table17[Name]),2,0)</f>
        <v>Xīnpíng Yízú Dăizú Zìzhìxiàn</v>
      </c>
      <c r="N962" s="15" t="str">
        <f>VLOOKUP(I962,CHOOSE({1,2},Table17[Native],Table17[Name]),2,0)</f>
        <v>Yùxī Shì</v>
      </c>
      <c r="O962" s="15" t="str">
        <f t="shared" ref="O962:O1025" si="30">_xlfn.CONCAT(L962," (",N962,")")</f>
        <v>Shuitang Zhen (Yùxī Shì)</v>
      </c>
      <c r="P962" s="15" t="str">
        <f t="shared" ref="P962:P1025" si="31">IF(COUNTIF(O:O,O962)&gt;1,_xlfn.CONCAT(L962," (",M962,")"),O962)</f>
        <v>Shuitang Zhen (Yùxī Shì)</v>
      </c>
    </row>
    <row r="963" spans="1:16" hidden="1" x14ac:dyDescent="0.25">
      <c r="A963" t="s">
        <v>969</v>
      </c>
      <c r="B963" t="str">
        <f>IF(COUNTIF(A:A,A963)&gt;1,_xlfn.CONCAT(A963," (",N963,")"),A963)</f>
        <v>Shuĭtián Xiāng</v>
      </c>
      <c r="C963" t="str">
        <f>IF(COUNTIF(B:B,B963)&gt;1,_xlfn.CONCAT(A963," (",M963,")"),B963)</f>
        <v>Shuĭtián Xiāng</v>
      </c>
      <c r="D963" t="s">
        <v>970</v>
      </c>
      <c r="E963" t="s">
        <v>7</v>
      </c>
      <c r="F963" t="str">
        <f>_xlfn.CONCAT(D963,", ",H963,", ",I963,", ","云南省")</f>
        <v>水田乡, 蒙自市, 红河哈尼族彝族自治州, 云南省</v>
      </c>
      <c r="G963">
        <v>5486</v>
      </c>
      <c r="H963" t="s">
        <v>2801</v>
      </c>
      <c r="I963" t="s">
        <v>2792</v>
      </c>
      <c r="J963" t="e">
        <f>VLOOKUP(F963,[1]!china_towns_second__2[[Column1]:[Y]],3,FALSE)</f>
        <v>#N/A</v>
      </c>
      <c r="K963" t="e">
        <f>VLOOKUP(F963,[1]!china_towns_second__2[[Column1]:[Y]],2,FALSE)</f>
        <v>#N/A</v>
      </c>
      <c r="L963" t="s">
        <v>4516</v>
      </c>
      <c r="M963" t="str">
        <f>VLOOKUP(H963,CHOOSE({1,2},Table17[Native],Table17[Name]),2,0)</f>
        <v>Mĕngzì Shì</v>
      </c>
      <c r="N963" s="15" t="str">
        <f>VLOOKUP(I963,CHOOSE({1,2},Table17[Native],Table17[Name]),2,0)</f>
        <v>Hónghé Hānízú Yízú Zìzhìzhōu</v>
      </c>
      <c r="O963" s="15" t="str">
        <f t="shared" si="30"/>
        <v>Shuitian Xiang (Hónghé Hānízú Yízú Zìzhìzhōu)</v>
      </c>
      <c r="P963" s="15" t="str">
        <f t="shared" si="31"/>
        <v>Shuitian Xiang (Hónghé Hānízú Yízú Zìzhìzhōu)</v>
      </c>
    </row>
    <row r="964" spans="1:16" hidden="1" x14ac:dyDescent="0.25">
      <c r="A964" t="s">
        <v>2649</v>
      </c>
      <c r="B964" t="str">
        <f>IF(COUNTIF(A:A,A964)&gt;1,_xlfn.CONCAT(A964," (",N964,")"),A964)</f>
        <v>Shuĭtián Zhèn</v>
      </c>
      <c r="C964" t="str">
        <f>IF(COUNTIF(B:B,B964)&gt;1,_xlfn.CONCAT(A964," (",M964,")"),B964)</f>
        <v>Shuĭtián Zhèn</v>
      </c>
      <c r="D964" t="s">
        <v>2650</v>
      </c>
      <c r="E964" t="s">
        <v>11</v>
      </c>
      <c r="F964" t="str">
        <f>_xlfn.CONCAT(D964,", ",H964,", ",I964,", ","云南省")</f>
        <v>水田镇, 威信县, 昭通市, 云南省</v>
      </c>
      <c r="G964">
        <v>15294</v>
      </c>
      <c r="H964" t="s">
        <v>2905</v>
      </c>
      <c r="I964" t="s">
        <v>2899</v>
      </c>
      <c r="J964">
        <f>VLOOKUP(F964,[1]!china_towns_second__2[[Column1]:[Y]],3,FALSE)</f>
        <v>27.7604171528248</v>
      </c>
      <c r="K964">
        <f>VLOOKUP(F964,[1]!china_towns_second__2[[Column1]:[Y]],2,FALSE)</f>
        <v>105.2524432</v>
      </c>
      <c r="L964" t="s">
        <v>4517</v>
      </c>
      <c r="M964" t="str">
        <f>VLOOKUP(H964,CHOOSE({1,2},Table17[Native],Table17[Name]),2,0)</f>
        <v>Wēixìn Xiàn</v>
      </c>
      <c r="N964" s="15" t="str">
        <f>VLOOKUP(I964,CHOOSE({1,2},Table17[Native],Table17[Name]),2,0)</f>
        <v>Zhāotōng Shì</v>
      </c>
      <c r="O964" s="15" t="str">
        <f t="shared" si="30"/>
        <v>Shuitian Zhen (Zhāotōng Shì)</v>
      </c>
      <c r="P964" s="15" t="str">
        <f t="shared" si="31"/>
        <v>Shuitian Zhen (Zhāotōng Shì)</v>
      </c>
    </row>
    <row r="965" spans="1:16" hidden="1" x14ac:dyDescent="0.25">
      <c r="A965" t="s">
        <v>532</v>
      </c>
      <c r="B965" t="str">
        <f>IF(COUNTIF(A:A,A965)&gt;1,_xlfn.CONCAT(A965," (",N965,")"),A965)</f>
        <v>Shuĭxiè Yízú Xiāng</v>
      </c>
      <c r="C965" t="str">
        <f>IF(COUNTIF(B:B,B965)&gt;1,_xlfn.CONCAT(A965," (",M965,")"),B965)</f>
        <v>Shuĭxiè Yízú Xiāng</v>
      </c>
      <c r="D965" t="s">
        <v>533</v>
      </c>
      <c r="E965" t="s">
        <v>7</v>
      </c>
      <c r="F965" t="str">
        <f>_xlfn.CONCAT(D965,", ",H965,", ",I965,", ","云南省")</f>
        <v>水泄彝族乡, 永平县, 大理白族自治州, 云南省</v>
      </c>
      <c r="G965">
        <v>16318</v>
      </c>
      <c r="H965" t="s">
        <v>2775</v>
      </c>
      <c r="I965" t="s">
        <v>2763</v>
      </c>
      <c r="J965" t="e">
        <f>VLOOKUP(F965,[1]!china_towns_second__2[[Column1]:[Y]],3,FALSE)</f>
        <v>#N/A</v>
      </c>
      <c r="K965" t="e">
        <f>VLOOKUP(F965,[1]!china_towns_second__2[[Column1]:[Y]],2,FALSE)</f>
        <v>#N/A</v>
      </c>
      <c r="L965" t="s">
        <v>4518</v>
      </c>
      <c r="M965" t="str">
        <f>VLOOKUP(H965,CHOOSE({1,2},Table17[Native],Table17[Name]),2,0)</f>
        <v>Yŏngpíng Xiàn</v>
      </c>
      <c r="N965" s="15" t="str">
        <f>VLOOKUP(I965,CHOOSE({1,2},Table17[Native],Table17[Name]),2,0)</f>
        <v>Dàlĭ Báizú Zìzhìzhōu</v>
      </c>
      <c r="O965" s="15" t="str">
        <f t="shared" si="30"/>
        <v>Shuixie Yizu Xiang (Dàlĭ Báizú Zìzhìzhōu)</v>
      </c>
      <c r="P965" s="15" t="str">
        <f t="shared" si="31"/>
        <v>Shuixie Yizu Xiang (Dàlĭ Báizú Zìzhìzhōu)</v>
      </c>
    </row>
    <row r="966" spans="1:16" hidden="1" x14ac:dyDescent="0.25">
      <c r="A966" t="s">
        <v>107</v>
      </c>
      <c r="B966" t="str">
        <f>IF(COUNTIF(A:A,A966)&gt;1,_xlfn.CONCAT(A966," (",N966,")"),A966)</f>
        <v>Shuĭzhài Xiāng</v>
      </c>
      <c r="C966" t="str">
        <f>IF(COUNTIF(B:B,B966)&gt;1,_xlfn.CONCAT(A966," (",M966,")"),B966)</f>
        <v>Shuĭzhài Xiāng</v>
      </c>
      <c r="D966" t="s">
        <v>108</v>
      </c>
      <c r="E966" t="s">
        <v>7</v>
      </c>
      <c r="F966" t="str">
        <f>_xlfn.CONCAT(D966,", ",H966,", ",I966,", ","云南省")</f>
        <v>水寨乡, 隆阳区, 保山市, 云南省</v>
      </c>
      <c r="G966">
        <v>14453</v>
      </c>
      <c r="H966" t="s">
        <v>2744</v>
      </c>
      <c r="I966" t="s">
        <v>2739</v>
      </c>
      <c r="J966" t="e">
        <f>VLOOKUP(F966,[1]!china_towns_second__2[[Column1]:[Y]],3,FALSE)</f>
        <v>#N/A</v>
      </c>
      <c r="K966" t="e">
        <f>VLOOKUP(F966,[1]!china_towns_second__2[[Column1]:[Y]],2,FALSE)</f>
        <v>#N/A</v>
      </c>
      <c r="L966" t="s">
        <v>4519</v>
      </c>
      <c r="M966" t="str">
        <f>VLOOKUP(H966,CHOOSE({1,2},Table17[Native],Table17[Name]),2,0)</f>
        <v>Lóngyáng Qū</v>
      </c>
      <c r="N966" s="15" t="str">
        <f>VLOOKUP(I966,CHOOSE({1,2},Table17[Native],Table17[Name]),2,0)</f>
        <v>Băoshān Shì</v>
      </c>
      <c r="O966" s="15" t="str">
        <f t="shared" si="30"/>
        <v>Shuizhai Xiang (Băoshān Shì)</v>
      </c>
      <c r="P966" s="15" t="str">
        <f t="shared" si="31"/>
        <v>Shuizhai Xiang (Băoshān Shì)</v>
      </c>
    </row>
    <row r="967" spans="1:16" hidden="1" x14ac:dyDescent="0.25">
      <c r="A967" t="s">
        <v>2651</v>
      </c>
      <c r="B967" t="str">
        <f>IF(COUNTIF(A:A,A967)&gt;1,_xlfn.CONCAT(A967," (",N967,")"),A967)</f>
        <v>Shuĭzhú Xiāng</v>
      </c>
      <c r="C967" t="str">
        <f>IF(COUNTIF(B:B,B967)&gt;1,_xlfn.CONCAT(A967," (",M967,")"),B967)</f>
        <v>Shuĭzhú Xiāng</v>
      </c>
      <c r="D967" t="s">
        <v>2652</v>
      </c>
      <c r="E967" t="s">
        <v>7</v>
      </c>
      <c r="F967" t="str">
        <f>_xlfn.CONCAT(D967,", ",H967,", ",I967,", ","云南省")</f>
        <v>水竹乡, 永善县, 昭通市, 云南省</v>
      </c>
      <c r="G967">
        <v>7216</v>
      </c>
      <c r="H967" t="s">
        <v>2908</v>
      </c>
      <c r="I967" t="s">
        <v>2899</v>
      </c>
      <c r="J967" t="e">
        <f>VLOOKUP(F967,[1]!china_towns_second__2[[Column1]:[Y]],3,FALSE)</f>
        <v>#N/A</v>
      </c>
      <c r="K967" t="e">
        <f>VLOOKUP(F967,[1]!china_towns_second__2[[Column1]:[Y]],2,FALSE)</f>
        <v>#N/A</v>
      </c>
      <c r="L967" t="s">
        <v>4520</v>
      </c>
      <c r="M967" t="str">
        <f>VLOOKUP(H967,CHOOSE({1,2},Table17[Native],Table17[Name]),2,0)</f>
        <v>Yŏngshàn Xiàn</v>
      </c>
      <c r="N967" s="15" t="str">
        <f>VLOOKUP(I967,CHOOSE({1,2},Table17[Native],Table17[Name]),2,0)</f>
        <v>Zhāotōng Shì</v>
      </c>
      <c r="O967" s="15" t="str">
        <f t="shared" si="30"/>
        <v>Shuizhu Xiang (Zhāotōng Shì)</v>
      </c>
      <c r="P967" s="15" t="str">
        <f t="shared" si="31"/>
        <v>Shuizhu Xiang (Zhāotōng Shì)</v>
      </c>
    </row>
    <row r="968" spans="1:16" hidden="1" x14ac:dyDescent="0.25">
      <c r="A968" t="s">
        <v>301</v>
      </c>
      <c r="B968" t="str">
        <f>IF(COUNTIF(A:A,A968)&gt;1,_xlfn.CONCAT(A968," (",N968,")"),A968)</f>
        <v>Shùjū Xiāng</v>
      </c>
      <c r="C968" t="str">
        <f>IF(COUNTIF(B:B,B968)&gt;1,_xlfn.CONCAT(A968," (",M968,")"),B968)</f>
        <v>Shùjū Xiāng</v>
      </c>
      <c r="D968" t="s">
        <v>302</v>
      </c>
      <c r="E968" t="s">
        <v>7</v>
      </c>
      <c r="F968" t="str">
        <f>_xlfn.CONCAT(D968,", ",H968,", ",I968,", ","云南省")</f>
        <v>树苴乡, 楚雄市, 楚雄彝族自治州, 云南省</v>
      </c>
      <c r="G968">
        <v>18038</v>
      </c>
      <c r="H968" t="s">
        <v>2751</v>
      </c>
      <c r="I968" t="s">
        <v>2750</v>
      </c>
      <c r="J968" t="e">
        <f>VLOOKUP(F968,[1]!china_towns_second__2[[Column1]:[Y]],3,FALSE)</f>
        <v>#N/A</v>
      </c>
      <c r="K968" t="e">
        <f>VLOOKUP(F968,[1]!china_towns_second__2[[Column1]:[Y]],2,FALSE)</f>
        <v>#N/A</v>
      </c>
      <c r="L968" t="s">
        <v>4521</v>
      </c>
      <c r="M968" t="str">
        <f>VLOOKUP(H968,CHOOSE({1,2},Table17[Native],Table17[Name]),2,0)</f>
        <v>Chŭxióng Shì</v>
      </c>
      <c r="N968" s="15" t="str">
        <f>VLOOKUP(I968,CHOOSE({1,2},Table17[Native],Table17[Name]),2,0)</f>
        <v>Chŭxióng Yízú Zìzhìzhōu</v>
      </c>
      <c r="O968" s="15" t="str">
        <f t="shared" si="30"/>
        <v>Shuju Xiang (Chŭxióng Yízú Zìzhìzhōu)</v>
      </c>
      <c r="P968" s="15" t="str">
        <f t="shared" si="31"/>
        <v>Shuju Xiang (Chŭxióng Yízú Zìzhìzhōu)</v>
      </c>
    </row>
    <row r="969" spans="1:16" hidden="1" x14ac:dyDescent="0.25">
      <c r="A969" t="s">
        <v>2653</v>
      </c>
      <c r="B969" t="str">
        <f>IF(COUNTIF(A:A,A969)&gt;1,_xlfn.CONCAT(A969," (",N969,")"),A969)</f>
        <v>Shùlín Yízú Miáozú Xiāng</v>
      </c>
      <c r="C969" t="str">
        <f>IF(COUNTIF(B:B,B969)&gt;1,_xlfn.CONCAT(A969," (",M969,")"),B969)</f>
        <v>Shùlín Yízú Miáozú Xiāng</v>
      </c>
      <c r="D969" t="s">
        <v>2654</v>
      </c>
      <c r="E969" t="s">
        <v>7</v>
      </c>
      <c r="F969" t="str">
        <f>_xlfn.CONCAT(D969,", ",H969,", ",I969,", ","云南省")</f>
        <v>树林彝族苗族乡, 宜良县, 昆明市, 云南省</v>
      </c>
      <c r="G969">
        <v>20787</v>
      </c>
      <c r="H969" t="s">
        <v>2821</v>
      </c>
      <c r="I969" t="s">
        <v>2807</v>
      </c>
      <c r="J969" t="e">
        <f>VLOOKUP(F969,[1]!china_towns_second__2[[Column1]:[Y]],3,FALSE)</f>
        <v>#N/A</v>
      </c>
      <c r="K969" t="e">
        <f>VLOOKUP(F969,[1]!china_towns_second__2[[Column1]:[Y]],2,FALSE)</f>
        <v>#N/A</v>
      </c>
      <c r="L969" t="s">
        <v>4522</v>
      </c>
      <c r="M969" t="str">
        <f>VLOOKUP(H969,CHOOSE({1,2},Table17[Native],Table17[Name]),2,0)</f>
        <v>Yíliáng Xiàn</v>
      </c>
      <c r="N969" s="15" t="str">
        <f>VLOOKUP(I969,CHOOSE({1,2},Table17[Native],Table17[Name]),2,0)</f>
        <v>Kūnmíng Shì</v>
      </c>
      <c r="O969" s="15" t="str">
        <f t="shared" si="30"/>
        <v>Shulin Yizu Miaozu Xiang (Kūnmíng Shì)</v>
      </c>
      <c r="P969" s="15" t="str">
        <f t="shared" si="31"/>
        <v>Shulin Yizu Miaozu Xiang (Kūnmíng Shì)</v>
      </c>
    </row>
    <row r="970" spans="1:16" hidden="1" x14ac:dyDescent="0.25">
      <c r="A970" t="s">
        <v>534</v>
      </c>
      <c r="B970" t="str">
        <f>IF(COUNTIF(A:A,A970)&gt;1,_xlfn.CONCAT(A970," (",N970,")"),A970)</f>
        <v>Shùnbì Zhèn</v>
      </c>
      <c r="C970" t="str">
        <f>IF(COUNTIF(B:B,B970)&gt;1,_xlfn.CONCAT(A970," (",M970,")"),B970)</f>
        <v>Shùnbì Zhèn</v>
      </c>
      <c r="D970" t="s">
        <v>535</v>
      </c>
      <c r="E970" t="s">
        <v>11</v>
      </c>
      <c r="F970" t="str">
        <f>_xlfn.CONCAT(D970,", ",H970,", ",I970,", ","云南省")</f>
        <v>顺濞镇, 漾濞彝族自治县, 大理白族自治州, 云南省</v>
      </c>
      <c r="G970">
        <v>6522</v>
      </c>
      <c r="H970" t="s">
        <v>2774</v>
      </c>
      <c r="I970" t="s">
        <v>2763</v>
      </c>
      <c r="J970">
        <f>VLOOKUP(F970,[1]!china_towns_second__2[[Column1]:[Y]],3,FALSE)</f>
        <v>25.525067362363199</v>
      </c>
      <c r="K970">
        <f>VLOOKUP(F970,[1]!china_towns_second__2[[Column1]:[Y]],2,FALSE)</f>
        <v>99.925490780000004</v>
      </c>
      <c r="L970" t="s">
        <v>4523</v>
      </c>
      <c r="M970" t="str">
        <f>VLOOKUP(H970,CHOOSE({1,2},Table17[Native],Table17[Name]),2,0)</f>
        <v>Yàngbì Yízú Zìzhìxiàn</v>
      </c>
      <c r="N970" s="15" t="str">
        <f>VLOOKUP(I970,CHOOSE({1,2},Table17[Native],Table17[Name]),2,0)</f>
        <v>Dàlĭ Báizú Zìzhìzhōu</v>
      </c>
      <c r="O970" s="15" t="str">
        <f t="shared" si="30"/>
        <v>Shunbi Zhen (Dàlĭ Báizú Zìzhìzhōu)</v>
      </c>
      <c r="P970" s="15" t="str">
        <f t="shared" si="31"/>
        <v>Shunbi Zhen (Dàlĭ Báizú Zìzhìzhōu)</v>
      </c>
    </row>
    <row r="971" spans="1:16" hidden="1" x14ac:dyDescent="0.25">
      <c r="A971" t="s">
        <v>1391</v>
      </c>
      <c r="B971" t="str">
        <f>IF(COUNTIF(A:A,A971)&gt;1,_xlfn.CONCAT(A971," (",N971,")"),A971)</f>
        <v>Shùnzhōu Zhèn</v>
      </c>
      <c r="C971" t="str">
        <f>IF(COUNTIF(B:B,B971)&gt;1,_xlfn.CONCAT(A971," (",M971,")"),B971)</f>
        <v>Shùnzhōu Zhèn</v>
      </c>
      <c r="D971" t="s">
        <v>1392</v>
      </c>
      <c r="E971" t="s">
        <v>11</v>
      </c>
      <c r="F971" t="str">
        <f>_xlfn.CONCAT(D971,", ",H971,", ",I971,", ","云南省")</f>
        <v>顺州镇, 永胜县, 丽江市, 云南省</v>
      </c>
      <c r="G971">
        <v>32074</v>
      </c>
      <c r="H971" t="s">
        <v>2828</v>
      </c>
      <c r="I971" t="s">
        <v>2823</v>
      </c>
      <c r="J971">
        <f>VLOOKUP(F971,[1]!china_towns_second__2[[Column1]:[Y]],3,FALSE)</f>
        <v>26.592692624068999</v>
      </c>
      <c r="K971">
        <f>VLOOKUP(F971,[1]!china_towns_second__2[[Column1]:[Y]],2,FALSE)</f>
        <v>100.5158394</v>
      </c>
      <c r="L971" t="s">
        <v>4524</v>
      </c>
      <c r="M971" t="str">
        <f>VLOOKUP(H971,CHOOSE({1,2},Table17[Native],Table17[Name]),2,0)</f>
        <v>Yŏngshèng Xiàn</v>
      </c>
      <c r="N971" s="15" t="str">
        <f>VLOOKUP(I971,CHOOSE({1,2},Table17[Native],Table17[Name]),2,0)</f>
        <v>Lìjiāng Shì</v>
      </c>
      <c r="O971" s="15" t="str">
        <f t="shared" si="30"/>
        <v>Shunzhou Zhen (Lìjiāng Shì)</v>
      </c>
      <c r="P971" s="15" t="str">
        <f t="shared" si="31"/>
        <v>Shunzhou Zhen (Lìjiāng Shì)</v>
      </c>
    </row>
    <row r="972" spans="1:16" hidden="1" x14ac:dyDescent="0.25">
      <c r="A972" t="s">
        <v>2201</v>
      </c>
      <c r="B972" t="str">
        <f>IF(COUNTIF(A:A,A972)&gt;1,_xlfn.CONCAT(A972," (",N972,")"),A972)</f>
        <v>Shùpí Yízú Xiāng</v>
      </c>
      <c r="C972" t="str">
        <f>IF(COUNTIF(B:B,B972)&gt;1,_xlfn.CONCAT(A972," (",M972,")"),B972)</f>
        <v>Shùpí Yízú Xiāng</v>
      </c>
      <c r="D972" t="s">
        <v>2202</v>
      </c>
      <c r="E972" t="s">
        <v>7</v>
      </c>
      <c r="F972" t="str">
        <f>_xlfn.CONCAT(D972,", ",H972,", ",I972,", ","云南省")</f>
        <v>树皮彝族乡, 丘北县, 文山壮族苗族自治州, 云南省</v>
      </c>
      <c r="G972">
        <v>42157</v>
      </c>
      <c r="H972" t="s">
        <v>2877</v>
      </c>
      <c r="I972" t="s">
        <v>2872</v>
      </c>
      <c r="J972" t="e">
        <f>VLOOKUP(F972,[1]!china_towns_second__2[[Column1]:[Y]],3,FALSE)</f>
        <v>#N/A</v>
      </c>
      <c r="K972" t="e">
        <f>VLOOKUP(F972,[1]!china_towns_second__2[[Column1]:[Y]],2,FALSE)</f>
        <v>#N/A</v>
      </c>
      <c r="L972" t="s">
        <v>4525</v>
      </c>
      <c r="M972" t="str">
        <f>VLOOKUP(H972,CHOOSE({1,2},Table17[Native],Table17[Name]),2,0)</f>
        <v>Qiūbĕi Xiàn</v>
      </c>
      <c r="N972" s="15" t="str">
        <f>VLOOKUP(I972,CHOOSE({1,2},Table17[Native],Table17[Name]),2,0)</f>
        <v>Wénshān Zhuàngzú Miáozú Zìzhìzhōu</v>
      </c>
      <c r="O972" s="15" t="str">
        <f t="shared" si="30"/>
        <v>Shupi Yizu Xiang (Wénshān Zhuàngzú Miáozú Zìzhìzhōu)</v>
      </c>
      <c r="P972" s="15" t="str">
        <f t="shared" si="31"/>
        <v>Shupi Yizu Xiang (Wénshān Zhuàngzú Miáozú Zìzhìzhōu)</v>
      </c>
    </row>
    <row r="973" spans="1:16" hidden="1" x14ac:dyDescent="0.25">
      <c r="A973" t="s">
        <v>2424</v>
      </c>
      <c r="B973" t="str">
        <f>IF(COUNTIF(A:A,A973)&gt;1,_xlfn.CONCAT(A973," (",N973,")"),A973)</f>
        <v>Sìjiē Zhèn</v>
      </c>
      <c r="C973" t="str">
        <f>IF(COUNTIF(B:B,B973)&gt;1,_xlfn.CONCAT(A973," (",M973,")"),B973)</f>
        <v>Sìjiē Zhèn</v>
      </c>
      <c r="D973" t="s">
        <v>2425</v>
      </c>
      <c r="E973" t="s">
        <v>11</v>
      </c>
      <c r="F973" t="str">
        <f>_xlfn.CONCAT(D973,", ",H973,", ",I973,", ","云南省")</f>
        <v>四街镇, 通海县, 玉溪市, 云南省</v>
      </c>
      <c r="G973">
        <v>44797</v>
      </c>
      <c r="H973" t="s">
        <v>2894</v>
      </c>
      <c r="I973" t="s">
        <v>2888</v>
      </c>
      <c r="J973">
        <f>VLOOKUP(F973,[1]!china_towns_second__2[[Column1]:[Y]],3,FALSE)</f>
        <v>24.1907353229447</v>
      </c>
      <c r="K973">
        <f>VLOOKUP(F973,[1]!china_towns_second__2[[Column1]:[Y]],2,FALSE)</f>
        <v>102.72129630000001</v>
      </c>
      <c r="L973" t="s">
        <v>4526</v>
      </c>
      <c r="M973" t="str">
        <f>VLOOKUP(H973,CHOOSE({1,2},Table17[Native],Table17[Name]),2,0)</f>
        <v>Tōnghăi Xiàn</v>
      </c>
      <c r="N973" s="15" t="str">
        <f>VLOOKUP(I973,CHOOSE({1,2},Table17[Native],Table17[Name]),2,0)</f>
        <v>Yùxī Shì</v>
      </c>
      <c r="O973" s="15" t="str">
        <f t="shared" si="30"/>
        <v>Sijie Zhen (Yùxī Shì)</v>
      </c>
      <c r="P973" s="15" t="str">
        <f t="shared" si="31"/>
        <v>Sijie Zhen (Yùxī Shì)</v>
      </c>
    </row>
    <row r="974" spans="1:16" hidden="1" x14ac:dyDescent="0.25">
      <c r="A974" t="s">
        <v>1793</v>
      </c>
      <c r="B974" t="str">
        <f>IF(COUNTIF(A:A,A974)&gt;1,_xlfn.CONCAT(A974," (",N974,")"),A974)</f>
        <v>Sīmáo Jiēdào</v>
      </c>
      <c r="C974" t="str">
        <f>IF(COUNTIF(B:B,B974)&gt;1,_xlfn.CONCAT(A974," (",M974,")"),B974)</f>
        <v>Sīmáo Jiēdào</v>
      </c>
      <c r="D974" t="s">
        <v>1794</v>
      </c>
      <c r="E974" t="s">
        <v>42</v>
      </c>
      <c r="F974" t="str">
        <f>_xlfn.CONCAT(D974,", ",H974,", ",I974,", ","云南省")</f>
        <v>思茅街道, 思茅区, 普洱市, 云南省</v>
      </c>
      <c r="G974">
        <v>100172</v>
      </c>
      <c r="H974" t="s">
        <v>2856</v>
      </c>
      <c r="I974" t="s">
        <v>2848</v>
      </c>
      <c r="J974" t="e">
        <f>VLOOKUP(F974,[1]!china_towns_second__2[[Column1]:[Y]],3,FALSE)</f>
        <v>#N/A</v>
      </c>
      <c r="K974" t="e">
        <f>VLOOKUP(F974,[1]!china_towns_second__2[[Column1]:[Y]],2,FALSE)</f>
        <v>#N/A</v>
      </c>
      <c r="L974" t="s">
        <v>4527</v>
      </c>
      <c r="M974" t="str">
        <f>VLOOKUP(H974,CHOOSE({1,2},Table17[Native],Table17[Name]),2,0)</f>
        <v>Sīmáo Qū</v>
      </c>
      <c r="N974" s="15" t="str">
        <f>VLOOKUP(I974,CHOOSE({1,2},Table17[Native],Table17[Name]),2,0)</f>
        <v>Pŭ'ĕr Shì</v>
      </c>
      <c r="O974" s="15" t="str">
        <f t="shared" si="30"/>
        <v>Simao Jiedao (Pŭ'ĕr Shì)</v>
      </c>
      <c r="P974" s="15" t="str">
        <f t="shared" si="31"/>
        <v>Simao Jiedao (Pŭ'ĕr Shì)</v>
      </c>
    </row>
    <row r="975" spans="1:16" hidden="1" x14ac:dyDescent="0.25">
      <c r="A975" t="s">
        <v>1791</v>
      </c>
      <c r="B975" t="str">
        <f>IF(COUNTIF(A:A,A975)&gt;1,_xlfn.CONCAT(A975," (",N975,")"),A975)</f>
        <v>Sīmáogăng Zhèn</v>
      </c>
      <c r="C975" t="str">
        <f>IF(COUNTIF(B:B,B975)&gt;1,_xlfn.CONCAT(A975," (",M975,")"),B975)</f>
        <v>Sīmáogăng Zhèn</v>
      </c>
      <c r="D975" t="s">
        <v>1792</v>
      </c>
      <c r="E975" t="s">
        <v>11</v>
      </c>
      <c r="F975" t="str">
        <f>_xlfn.CONCAT(D975,", ",H975,", ",I975,", ","云南省")</f>
        <v>思茅港镇, 思茅区, 普洱市, 云南省</v>
      </c>
      <c r="G975">
        <v>23584</v>
      </c>
      <c r="H975" t="s">
        <v>2856</v>
      </c>
      <c r="I975" t="s">
        <v>2848</v>
      </c>
      <c r="J975">
        <f>VLOOKUP(F975,[1]!china_towns_second__2[[Column1]:[Y]],3,FALSE)</f>
        <v>22.6850853031223</v>
      </c>
      <c r="K975">
        <f>VLOOKUP(F975,[1]!china_towns_second__2[[Column1]:[Y]],2,FALSE)</f>
        <v>100.5004594</v>
      </c>
      <c r="L975" t="s">
        <v>4528</v>
      </c>
      <c r="M975" t="str">
        <f>VLOOKUP(H975,CHOOSE({1,2},Table17[Native],Table17[Name]),2,0)</f>
        <v>Sīmáo Qū</v>
      </c>
      <c r="N975" s="15" t="str">
        <f>VLOOKUP(I975,CHOOSE({1,2},Table17[Native],Table17[Name]),2,0)</f>
        <v>Pŭ'ĕr Shì</v>
      </c>
      <c r="O975" s="15" t="str">
        <f t="shared" si="30"/>
        <v>Simaogang Zhen (Pŭ'ĕr Shì)</v>
      </c>
      <c r="P975" s="15" t="str">
        <f t="shared" si="31"/>
        <v>Simaogang Zhen (Pŭ'ĕr Shì)</v>
      </c>
    </row>
    <row r="976" spans="1:16" hidden="1" x14ac:dyDescent="0.25">
      <c r="A976" t="s">
        <v>1795</v>
      </c>
      <c r="B976" t="str">
        <f>IF(COUNTIF(A:A,A976)&gt;1,_xlfn.CONCAT(A976," (",N976,")"),A976)</f>
        <v>Sìnánjiāng Zhèn</v>
      </c>
      <c r="C976" t="str">
        <f>IF(COUNTIF(B:B,B976)&gt;1,_xlfn.CONCAT(A976," (",M976,")"),B976)</f>
        <v>Sìnánjiāng Zhèn</v>
      </c>
      <c r="D976" t="s">
        <v>1796</v>
      </c>
      <c r="E976" t="s">
        <v>11</v>
      </c>
      <c r="F976" t="str">
        <f>_xlfn.CONCAT(D976,", ",H976,", ",I976,", ","云南省")</f>
        <v>泗南江镇, 墨江哈尼族自治县, 普洱市, 云南省</v>
      </c>
      <c r="G976">
        <v>21870</v>
      </c>
      <c r="H976" t="s">
        <v>2854</v>
      </c>
      <c r="I976" t="s">
        <v>2848</v>
      </c>
      <c r="J976">
        <f>VLOOKUP(F976,[1]!china_towns_second__2[[Column1]:[Y]],3,FALSE)</f>
        <v>23.0388448396881</v>
      </c>
      <c r="K976">
        <f>VLOOKUP(F976,[1]!china_towns_second__2[[Column1]:[Y]],2,FALSE)</f>
        <v>101.7694973</v>
      </c>
      <c r="L976" t="s">
        <v>4529</v>
      </c>
      <c r="M976" t="str">
        <f>VLOOKUP(H976,CHOOSE({1,2},Table17[Native],Table17[Name]),2,0)</f>
        <v>Mòjiāng Hānízú Zìzhìxiàn</v>
      </c>
      <c r="N976" s="15" t="str">
        <f>VLOOKUP(I976,CHOOSE({1,2},Table17[Native],Table17[Name]),2,0)</f>
        <v>Pŭ'ĕr Shì</v>
      </c>
      <c r="O976" s="15" t="str">
        <f t="shared" si="30"/>
        <v>Sinanjiang Zhen (Pŭ'ĕr Shì)</v>
      </c>
      <c r="P976" s="15" t="str">
        <f t="shared" si="31"/>
        <v>Sinanjiang Zhen (Pŭ'ĕr Shì)</v>
      </c>
    </row>
    <row r="977" spans="1:16" hidden="1" x14ac:dyDescent="0.25">
      <c r="A977" t="s">
        <v>1561</v>
      </c>
      <c r="B977" t="str">
        <f>IF(COUNTIF(A:A,A977)&gt;1,_xlfn.CONCAT(A977," (",N977,")"),A977)</f>
        <v>Sìpáishān Xiāng</v>
      </c>
      <c r="C977" t="str">
        <f>IF(COUNTIF(B:B,B977)&gt;1,_xlfn.CONCAT(A977," (",M977,")"),B977)</f>
        <v>Sìpáishān Xiāng</v>
      </c>
      <c r="D977" t="s">
        <v>1562</v>
      </c>
      <c r="E977" t="s">
        <v>7</v>
      </c>
      <c r="F977" t="str">
        <f>_xlfn.CONCAT(D977,", ",H977,", ",I977,", ","云南省")</f>
        <v>四排山乡, 耿马傣族佤族自治县, 临沧市, 云南省</v>
      </c>
      <c r="G977">
        <v>15069</v>
      </c>
      <c r="H977" t="s">
        <v>2834</v>
      </c>
      <c r="I977" t="s">
        <v>2831</v>
      </c>
      <c r="J977" t="e">
        <f>VLOOKUP(F977,[1]!china_towns_second__2[[Column1]:[Y]],3,FALSE)</f>
        <v>#N/A</v>
      </c>
      <c r="K977" t="e">
        <f>VLOOKUP(F977,[1]!china_towns_second__2[[Column1]:[Y]],2,FALSE)</f>
        <v>#N/A</v>
      </c>
      <c r="L977" t="s">
        <v>4530</v>
      </c>
      <c r="M977" t="str">
        <f>VLOOKUP(H977,CHOOSE({1,2},Table17[Native],Table17[Name]),2,0)</f>
        <v>Gĕngmă Dăizú Wăzú Zìzhìxiàn</v>
      </c>
      <c r="N977" s="15" t="str">
        <f>VLOOKUP(I977,CHOOSE({1,2},Table17[Native],Table17[Name]),2,0)</f>
        <v>Líncāng Shì</v>
      </c>
      <c r="O977" s="15" t="str">
        <f t="shared" si="30"/>
        <v>Sipaishan Xiang (Líncāng Shì)</v>
      </c>
      <c r="P977" s="15" t="str">
        <f t="shared" si="31"/>
        <v>Sipaishan Xiang (Líncāng Shì)</v>
      </c>
    </row>
    <row r="978" spans="1:16" hidden="1" x14ac:dyDescent="0.25">
      <c r="A978" t="s">
        <v>536</v>
      </c>
      <c r="B978" t="str">
        <f>IF(COUNTIF(A:A,A978)&gt;1,_xlfn.CONCAT(A978," (",N978,")"),A978)</f>
        <v>Sōngguì Zhèn</v>
      </c>
      <c r="C978" t="str">
        <f>IF(COUNTIF(B:B,B978)&gt;1,_xlfn.CONCAT(A978," (",M978,")"),B978)</f>
        <v>Sōngguì Zhèn</v>
      </c>
      <c r="D978" t="s">
        <v>537</v>
      </c>
      <c r="E978" t="s">
        <v>11</v>
      </c>
      <c r="F978" t="str">
        <f>_xlfn.CONCAT(D978,", ",H978,", ",I978,", ","云南省")</f>
        <v>松桂镇, 鹤庆县, 大理白族自治州, 云南省</v>
      </c>
      <c r="G978">
        <v>28900</v>
      </c>
      <c r="H978" t="s">
        <v>2767</v>
      </c>
      <c r="I978" t="s">
        <v>2763</v>
      </c>
      <c r="J978">
        <f>VLOOKUP(F978,[1]!china_towns_second__2[[Column1]:[Y]],3,FALSE)</f>
        <v>26.3688915671408</v>
      </c>
      <c r="K978">
        <f>VLOOKUP(F978,[1]!china_towns_second__2[[Column1]:[Y]],2,FALSE)</f>
        <v>100.1964625</v>
      </c>
      <c r="L978" t="s">
        <v>4531</v>
      </c>
      <c r="M978" t="str">
        <f>VLOOKUP(H978,CHOOSE({1,2},Table17[Native],Table17[Name]),2,0)</f>
        <v>Hèqìng Xiàn</v>
      </c>
      <c r="N978" s="15" t="str">
        <f>VLOOKUP(I978,CHOOSE({1,2},Table17[Native],Table17[Name]),2,0)</f>
        <v>Dàlĭ Báizú Zìzhìzhōu</v>
      </c>
      <c r="O978" s="15" t="str">
        <f t="shared" si="30"/>
        <v>Songgui Zhen (Dàlĭ Báizú Zìzhìzhōu)</v>
      </c>
      <c r="P978" s="15" t="str">
        <f t="shared" si="31"/>
        <v>Songgui Zhen (Dàlĭ Báizú Zìzhìzhōu)</v>
      </c>
    </row>
    <row r="979" spans="1:16" hidden="1" x14ac:dyDescent="0.25">
      <c r="A979" t="s">
        <v>1225</v>
      </c>
      <c r="B979" t="str">
        <f>IF(COUNTIF(A:A,A979)&gt;1,_xlfn.CONCAT(A979," (",N979,")"),A979)</f>
        <v>Sōnghuá Jiēdào</v>
      </c>
      <c r="C979" t="str">
        <f>IF(COUNTIF(B:B,B979)&gt;1,_xlfn.CONCAT(A979," (",M979,")"),B979)</f>
        <v>Sōnghuá Jiēdào</v>
      </c>
      <c r="D979" t="s">
        <v>1226</v>
      </c>
      <c r="E979" t="s">
        <v>42</v>
      </c>
      <c r="F979" t="str">
        <f>_xlfn.CONCAT(D979,", ",H979,", ",I979,", ","云南省")</f>
        <v>松华街道, 盘龙区, 昆明市, 云南省</v>
      </c>
      <c r="G979">
        <v>11203</v>
      </c>
      <c r="H979" t="s">
        <v>2815</v>
      </c>
      <c r="I979" t="s">
        <v>2807</v>
      </c>
      <c r="J979">
        <f>VLOOKUP(F979,[1]!china_towns_second__2[[Column1]:[Y]],3,FALSE)</f>
        <v>25.245385015735199</v>
      </c>
      <c r="K979">
        <f>VLOOKUP(F979,[1]!china_towns_second__2[[Column1]:[Y]],2,FALSE)</f>
        <v>102.79478039999999</v>
      </c>
      <c r="L979" t="s">
        <v>4532</v>
      </c>
      <c r="M979" t="str">
        <f>VLOOKUP(H979,CHOOSE({1,2},Table17[Native],Table17[Name]),2,0)</f>
        <v>Pánlóng Qū</v>
      </c>
      <c r="N979" s="15" t="str">
        <f>VLOOKUP(I979,CHOOSE({1,2},Table17[Native],Table17[Name]),2,0)</f>
        <v>Kūnmíng Shì</v>
      </c>
      <c r="O979" s="15" t="str">
        <f t="shared" si="30"/>
        <v>Songhua Jiedao (Kūnmíng Shì)</v>
      </c>
      <c r="P979" s="15" t="str">
        <f t="shared" si="31"/>
        <v>Songhua Jiedao (Kūnmíng Shì)</v>
      </c>
    </row>
    <row r="980" spans="1:16" hidden="1" x14ac:dyDescent="0.25">
      <c r="A980" t="s">
        <v>1393</v>
      </c>
      <c r="B980" t="str">
        <f>IF(COUNTIF(A:A,A980)&gt;1,_xlfn.CONCAT(A980," (",N980,")"),A980)</f>
        <v>Sōngpíng Lìsùzú Yízú Xiāng</v>
      </c>
      <c r="C980" t="str">
        <f>IF(COUNTIF(B:B,B980)&gt;1,_xlfn.CONCAT(A980," (",M980,")"),B980)</f>
        <v>Sōngpíng Lìsùzú Yízú Xiāng</v>
      </c>
      <c r="D980" t="s">
        <v>1394</v>
      </c>
      <c r="E980" t="s">
        <v>7</v>
      </c>
      <c r="F980" t="str">
        <f>_xlfn.CONCAT(D980,", ",H980,", ",I980,", ","云南省")</f>
        <v>松坪傈僳族彝族乡, 永胜县, 丽江市, 云南省</v>
      </c>
      <c r="G980">
        <v>8545</v>
      </c>
      <c r="H980" t="s">
        <v>2828</v>
      </c>
      <c r="I980" t="s">
        <v>2823</v>
      </c>
      <c r="J980" t="e">
        <f>VLOOKUP(F980,[1]!china_towns_second__2[[Column1]:[Y]],3,FALSE)</f>
        <v>#N/A</v>
      </c>
      <c r="K980" t="e">
        <f>VLOOKUP(F980,[1]!china_towns_second__2[[Column1]:[Y]],2,FALSE)</f>
        <v>#N/A</v>
      </c>
      <c r="L980" t="s">
        <v>4533</v>
      </c>
      <c r="M980" t="str">
        <f>VLOOKUP(H980,CHOOSE({1,2},Table17[Native],Table17[Name]),2,0)</f>
        <v>Yŏngshèng Xiàn</v>
      </c>
      <c r="N980" s="15" t="str">
        <f>VLOOKUP(I980,CHOOSE({1,2},Table17[Native],Table17[Name]),2,0)</f>
        <v>Lìjiāng Shì</v>
      </c>
      <c r="O980" s="15" t="str">
        <f t="shared" si="30"/>
        <v>Songping Lisuzu Yizu Xiang (Lìjiāng Shì)</v>
      </c>
      <c r="P980" s="15" t="str">
        <f t="shared" si="31"/>
        <v>Songping Lisuzu Yizu Xiang (Lìjiāng Shì)</v>
      </c>
    </row>
    <row r="981" spans="1:16" hidden="1" x14ac:dyDescent="0.25">
      <c r="A981" t="s">
        <v>1227</v>
      </c>
      <c r="B981" t="str">
        <f>IF(COUNTIF(A:A,A981)&gt;1,_xlfn.CONCAT(A981," (",N981,")"),A981)</f>
        <v>Sōngyáng Jiēdào [incl. Yángqiáo Jiēdào]</v>
      </c>
      <c r="C981" t="str">
        <f>IF(COUNTIF(B:B,B981)&gt;1,_xlfn.CONCAT(A981," (",M981,")"),B981)</f>
        <v>Sōngyáng Jiēdào [incl. Yángqiáo Jiēdào]</v>
      </c>
      <c r="D981" t="s">
        <v>1228</v>
      </c>
      <c r="E981" t="s">
        <v>42</v>
      </c>
      <c r="F981" t="str">
        <f>_xlfn.CONCAT(D981,", ",H981,", ",I981,", ","云南省")</f>
        <v>嵩阳街道, 嵩明县, 昆明市, 云南省</v>
      </c>
      <c r="G981">
        <v>114966</v>
      </c>
      <c r="H981" t="s">
        <v>2817</v>
      </c>
      <c r="I981" t="s">
        <v>2807</v>
      </c>
      <c r="J981">
        <f>VLOOKUP(F981,[1]!china_towns_second__2[[Column1]:[Y]],3,FALSE)</f>
        <v>25.361725147142</v>
      </c>
      <c r="K981">
        <f>VLOOKUP(F981,[1]!china_towns_second__2[[Column1]:[Y]],2,FALSE)</f>
        <v>103.02708010000001</v>
      </c>
      <c r="L981" t="s">
        <v>4534</v>
      </c>
      <c r="M981" t="str">
        <f>VLOOKUP(H981,CHOOSE({1,2},Table17[Native],Table17[Name]),2,0)</f>
        <v>Sōngmíng Xiàn</v>
      </c>
      <c r="N981" s="15" t="str">
        <f>VLOOKUP(I981,CHOOSE({1,2},Table17[Native],Table17[Name]),2,0)</f>
        <v>Kūnmíng Shì</v>
      </c>
      <c r="O981" s="15" t="str">
        <f t="shared" si="30"/>
        <v>Songyang Jiedao [incl. Yangqiao Jiedao] (Kūnmíng Shì)</v>
      </c>
      <c r="P981" s="15" t="str">
        <f t="shared" si="31"/>
        <v>Songyang Jiedao [incl. Yangqiao Jiedao] (Kūnmíng Shì)</v>
      </c>
    </row>
    <row r="982" spans="1:16" hidden="1" x14ac:dyDescent="0.25">
      <c r="A982" t="s">
        <v>675</v>
      </c>
      <c r="B982" t="str">
        <f>IF(COUNTIF(A:A,A982)&gt;1,_xlfn.CONCAT(A982," (",N982,")"),A982)</f>
        <v>Sūdiăn Lìsùzú Xiāng</v>
      </c>
      <c r="C982" t="str">
        <f>IF(COUNTIF(B:B,B982)&gt;1,_xlfn.CONCAT(A982," (",M982,")"),B982)</f>
        <v>Sūdiăn Lìsùzú Xiāng</v>
      </c>
      <c r="D982" t="s">
        <v>676</v>
      </c>
      <c r="E982" t="s">
        <v>7</v>
      </c>
      <c r="F982" t="str">
        <f>_xlfn.CONCAT(D982,", ",H982,", ",I982,", ","云南省")</f>
        <v>苏典傈僳族乡, 盈江县, 德宏傣族景颇族自治州, 云南省</v>
      </c>
      <c r="G982">
        <v>8217</v>
      </c>
      <c r="H982" t="s">
        <v>2784</v>
      </c>
      <c r="I982" t="s">
        <v>2779</v>
      </c>
      <c r="J982" t="e">
        <f>VLOOKUP(F982,[1]!china_towns_second__2[[Column1]:[Y]],3,FALSE)</f>
        <v>#N/A</v>
      </c>
      <c r="K982" t="e">
        <f>VLOOKUP(F982,[1]!china_towns_second__2[[Column1]:[Y]],2,FALSE)</f>
        <v>#N/A</v>
      </c>
      <c r="L982" t="s">
        <v>4535</v>
      </c>
      <c r="M982" t="str">
        <f>VLOOKUP(H982,CHOOSE({1,2},Table17[Native],Table17[Name]),2,0)</f>
        <v>Yíngjiāng Xiàn</v>
      </c>
      <c r="N982" s="15" t="str">
        <f>VLOOKUP(I982,CHOOSE({1,2},Table17[Native],Table17[Name]),2,0)</f>
        <v>Déhóng Dăizú Jĭngpōzú Zìzhìzhōu</v>
      </c>
      <c r="O982" s="15" t="str">
        <f t="shared" si="30"/>
        <v>Sudian Lisuzu Xiang (Déhóng Dăizú Jĭngpōzú Zìzhìzhōu)</v>
      </c>
      <c r="P982" s="15" t="str">
        <f t="shared" si="31"/>
        <v>Sudian Lisuzu Xiang (Déhóng Dăizú Jĭngpōzú Zìzhìzhōu)</v>
      </c>
    </row>
    <row r="983" spans="1:16" hidden="1" x14ac:dyDescent="0.25">
      <c r="A983" t="s">
        <v>2655</v>
      </c>
      <c r="B983" t="str">
        <f>IF(COUNTIF(A:A,A983)&gt;1,_xlfn.CONCAT(A983," (",N983,")"),A983)</f>
        <v>Sūjiă Xiāng</v>
      </c>
      <c r="C983" t="str">
        <f>IF(COUNTIF(B:B,B983)&gt;1,_xlfn.CONCAT(A983," (",M983,")"),B983)</f>
        <v>Sūjiă Xiāng</v>
      </c>
      <c r="D983" t="s">
        <v>2656</v>
      </c>
      <c r="E983" t="s">
        <v>7</v>
      </c>
      <c r="F983" t="str">
        <f>_xlfn.CONCAT(D983,", ",H983,", ",I983,", ","云南省")</f>
        <v>苏甲乡, 昭阳区, 昭通市, 云南省</v>
      </c>
      <c r="G983">
        <v>20489</v>
      </c>
      <c r="H983" t="s">
        <v>2909</v>
      </c>
      <c r="I983" t="s">
        <v>2899</v>
      </c>
      <c r="J983" t="e">
        <f>VLOOKUP(F983,[1]!china_towns_second__2[[Column1]:[Y]],3,FALSE)</f>
        <v>#N/A</v>
      </c>
      <c r="K983" t="e">
        <f>VLOOKUP(F983,[1]!china_towns_second__2[[Column1]:[Y]],2,FALSE)</f>
        <v>#N/A</v>
      </c>
      <c r="L983" t="s">
        <v>4536</v>
      </c>
      <c r="M983" t="str">
        <f>VLOOKUP(H983,CHOOSE({1,2},Table17[Native],Table17[Name]),2,0)</f>
        <v>Zhāoyáng Qū</v>
      </c>
      <c r="N983" s="15" t="str">
        <f>VLOOKUP(I983,CHOOSE({1,2},Table17[Native],Table17[Name]),2,0)</f>
        <v>Zhāotōng Shì</v>
      </c>
      <c r="O983" s="15" t="str">
        <f t="shared" si="30"/>
        <v>Sujia Xiang (Zhāotōng Shì)</v>
      </c>
      <c r="P983" s="15" t="str">
        <f t="shared" si="31"/>
        <v>Sujia Xiang (Zhāotōng Shì)</v>
      </c>
    </row>
    <row r="984" spans="1:16" hidden="1" x14ac:dyDescent="0.25">
      <c r="A984" t="s">
        <v>2657</v>
      </c>
      <c r="B984" t="str">
        <f>IF(COUNTIF(A:A,A984)&gt;1,_xlfn.CONCAT(A984," (",N984,")"),A984)</f>
        <v>Sūjiāyuàn Zhèn</v>
      </c>
      <c r="C984" t="str">
        <f>IF(COUNTIF(B:B,B984)&gt;1,_xlfn.CONCAT(A984," (",M984,")"),B984)</f>
        <v>Sūjiāyuàn Zhèn</v>
      </c>
      <c r="D984" t="s">
        <v>2658</v>
      </c>
      <c r="E984" t="s">
        <v>11</v>
      </c>
      <c r="F984" t="str">
        <f>_xlfn.CONCAT(D984,", ",H984,", ",I984,", ","云南省")</f>
        <v>苏家院镇, 昭阳区, 昭通市, 云南省</v>
      </c>
      <c r="G984">
        <v>31994</v>
      </c>
      <c r="H984" t="s">
        <v>2909</v>
      </c>
      <c r="I984" t="s">
        <v>2899</v>
      </c>
      <c r="J984">
        <f>VLOOKUP(F984,[1]!china_towns_second__2[[Column1]:[Y]],3,FALSE)</f>
        <v>27.297154476876301</v>
      </c>
      <c r="K984">
        <f>VLOOKUP(F984,[1]!china_towns_second__2[[Column1]:[Y]],2,FALSE)</f>
        <v>103.5362812</v>
      </c>
      <c r="L984" t="s">
        <v>4537</v>
      </c>
      <c r="M984" t="str">
        <f>VLOOKUP(H984,CHOOSE({1,2},Table17[Native],Table17[Name]),2,0)</f>
        <v>Zhāoyáng Qū</v>
      </c>
      <c r="N984" s="15" t="str">
        <f>VLOOKUP(I984,CHOOSE({1,2},Table17[Native],Table17[Name]),2,0)</f>
        <v>Zhāotōng Shì</v>
      </c>
      <c r="O984" s="15" t="str">
        <f t="shared" si="30"/>
        <v>Sujiayuan Zhen (Zhāotōng Shì)</v>
      </c>
      <c r="P984" s="15" t="str">
        <f t="shared" si="31"/>
        <v>Sujiayuan Zhen (Zhāotōng Shì)</v>
      </c>
    </row>
    <row r="985" spans="1:16" hidden="1" x14ac:dyDescent="0.25">
      <c r="A985" t="s">
        <v>2659</v>
      </c>
      <c r="B985" t="str">
        <f>IF(COUNTIF(A:A,A985)&gt;1,_xlfn.CONCAT(A985," (",N985,")"),A985)</f>
        <v>Suōshān Zhèn</v>
      </c>
      <c r="C985" t="str">
        <f>IF(COUNTIF(B:B,B985)&gt;1,_xlfn.CONCAT(A985," (",M985,")"),B985)</f>
        <v>Suōshān Zhèn</v>
      </c>
      <c r="D985" t="s">
        <v>2660</v>
      </c>
      <c r="E985" t="s">
        <v>11</v>
      </c>
      <c r="F985" t="str">
        <f>_xlfn.CONCAT(D985,", ",H985,", ",I985,", ","云南省")</f>
        <v>梭山镇, 鲁甸县, 昭通市, 云南省</v>
      </c>
      <c r="G985">
        <v>29184</v>
      </c>
      <c r="H985" t="s">
        <v>2901</v>
      </c>
      <c r="I985" t="s">
        <v>2899</v>
      </c>
      <c r="J985">
        <f>VLOOKUP(F985,[1]!china_towns_second__2[[Column1]:[Y]],3,FALSE)</f>
        <v>27.336240691905498</v>
      </c>
      <c r="K985">
        <f>VLOOKUP(F985,[1]!china_towns_second__2[[Column1]:[Y]],2,FALSE)</f>
        <v>103.2560222</v>
      </c>
      <c r="L985" t="s">
        <v>4538</v>
      </c>
      <c r="M985" t="str">
        <f>VLOOKUP(H985,CHOOSE({1,2},Table17[Native],Table17[Name]),2,0)</f>
        <v>Lŭdiàn Xiàn</v>
      </c>
      <c r="N985" s="15" t="str">
        <f>VLOOKUP(I985,CHOOSE({1,2},Table17[Native],Table17[Name]),2,0)</f>
        <v>Zhāotōng Shì</v>
      </c>
      <c r="O985" s="15" t="str">
        <f t="shared" si="30"/>
        <v>Suoshan Zhen (Zhāotōng Shì)</v>
      </c>
      <c r="P985" s="15" t="str">
        <f t="shared" si="31"/>
        <v>Suoshan Zhen (Zhāotōng Shì)</v>
      </c>
    </row>
    <row r="986" spans="1:16" hidden="1" x14ac:dyDescent="0.25">
      <c r="A986" t="s">
        <v>1395</v>
      </c>
      <c r="B986" t="str">
        <f>IF(COUNTIF(A:A,A986)&gt;1,_xlfn.CONCAT(A986," (",N986,")"),A986)</f>
        <v>Tăchéng Xiāng</v>
      </c>
      <c r="C986" t="str">
        <f>IF(COUNTIF(B:B,B986)&gt;1,_xlfn.CONCAT(A986," (",M986,")"),B986)</f>
        <v>Tăchéng Xiāng</v>
      </c>
      <c r="D986" t="s">
        <v>1396</v>
      </c>
      <c r="E986" t="s">
        <v>7</v>
      </c>
      <c r="F986" t="str">
        <f>_xlfn.CONCAT(D986,", ",H986,", ",I986,", ","云南省")</f>
        <v>塔城乡, 玉龙纳西族自治县, 丽江市, 云南省</v>
      </c>
      <c r="G986">
        <v>9117</v>
      </c>
      <c r="H986" t="s">
        <v>2829</v>
      </c>
      <c r="I986" t="s">
        <v>2823</v>
      </c>
      <c r="J986" t="e">
        <f>VLOOKUP(F986,[1]!china_towns_second__2[[Column1]:[Y]],3,FALSE)</f>
        <v>#N/A</v>
      </c>
      <c r="K986" t="e">
        <f>VLOOKUP(F986,[1]!china_towns_second__2[[Column1]:[Y]],2,FALSE)</f>
        <v>#N/A</v>
      </c>
      <c r="L986" t="s">
        <v>4539</v>
      </c>
      <c r="M986" t="str">
        <f>VLOOKUP(H986,CHOOSE({1,2},Table17[Native],Table17[Name]),2,0)</f>
        <v>Yùlóng Nàxīzú Zìzhìxiàn</v>
      </c>
      <c r="N986" s="15" t="str">
        <f>VLOOKUP(I986,CHOOSE({1,2},Table17[Native],Table17[Name]),2,0)</f>
        <v>Lìjiāng Shì</v>
      </c>
      <c r="O986" s="15" t="str">
        <f t="shared" si="30"/>
        <v>Tacheng Xiang (Lìjiāng Shì)</v>
      </c>
      <c r="P986" s="15" t="str">
        <f t="shared" si="31"/>
        <v>Tacheng Xiang (Lìjiāng Shì)</v>
      </c>
    </row>
    <row r="987" spans="1:16" hidden="1" x14ac:dyDescent="0.25">
      <c r="A987" t="s">
        <v>744</v>
      </c>
      <c r="B987" t="str">
        <f>IF(COUNTIF(A:A,A987)&gt;1,_xlfn.CONCAT(A987," (",N987,")"),A987)</f>
        <v>Tăchéng Zhèn</v>
      </c>
      <c r="C987" t="str">
        <f>IF(COUNTIF(B:B,B987)&gt;1,_xlfn.CONCAT(A987," (",M987,")"),B987)</f>
        <v>Tăchéng Zhèn</v>
      </c>
      <c r="D987" t="s">
        <v>745</v>
      </c>
      <c r="E987" t="s">
        <v>11</v>
      </c>
      <c r="F987" t="str">
        <f>_xlfn.CONCAT(D987,", ",H987,", ",I987,", ","云南省")</f>
        <v>塔城镇, 维西傈僳族自治县, 迪庆藏族自治州, 云南省</v>
      </c>
      <c r="G987">
        <v>16234</v>
      </c>
      <c r="H987" t="s">
        <v>2788</v>
      </c>
      <c r="I987" t="s">
        <v>2786</v>
      </c>
      <c r="J987">
        <f>VLOOKUP(F987,[1]!china_towns_second__2[[Column1]:[Y]],3,FALSE)</f>
        <v>27.502479822369398</v>
      </c>
      <c r="K987">
        <f>VLOOKUP(F987,[1]!china_towns_second__2[[Column1]:[Y]],2,FALSE)</f>
        <v>99.351538860000005</v>
      </c>
      <c r="L987" t="s">
        <v>4540</v>
      </c>
      <c r="M987" t="str">
        <f>VLOOKUP(H987,CHOOSE({1,2},Table17[Native],Table17[Name]),2,0)</f>
        <v>Wéixī Lìsùzú Zìzhìxiàn</v>
      </c>
      <c r="N987" s="15" t="str">
        <f>VLOOKUP(I987,CHOOSE({1,2},Table17[Native],Table17[Name]),2,0)</f>
        <v>Díqìng Zàngzú Zìzhìzhōu</v>
      </c>
      <c r="O987" s="15" t="str">
        <f t="shared" si="30"/>
        <v>Tacheng Zhen (Díqìng Zàngzú Zìzhìzhōu)</v>
      </c>
      <c r="P987" s="15" t="str">
        <f t="shared" si="31"/>
        <v>Tacheng Zhen (Díqìng Zàngzú Zìzhìzhōu)</v>
      </c>
    </row>
    <row r="988" spans="1:16" hidden="1" x14ac:dyDescent="0.25">
      <c r="A988" t="s">
        <v>2426</v>
      </c>
      <c r="B988" t="str">
        <f>IF(COUNTIF(A:A,A988)&gt;1,_xlfn.CONCAT(A988," (",N988,")"),A988)</f>
        <v>Tădiàn Zhèn</v>
      </c>
      <c r="C988" t="str">
        <f>IF(COUNTIF(B:B,B988)&gt;1,_xlfn.CONCAT(A988," (",M988,")"),B988)</f>
        <v>Tădiàn Zhèn</v>
      </c>
      <c r="D988" t="s">
        <v>2427</v>
      </c>
      <c r="E988" t="s">
        <v>11</v>
      </c>
      <c r="F988" t="str">
        <f>_xlfn.CONCAT(D988,", ",H988,", ",I988,", ","云南省")</f>
        <v>塔甸镇, 峨山彝族自治县, 玉溪市, 云南省</v>
      </c>
      <c r="G988">
        <v>14992</v>
      </c>
      <c r="H988" t="s">
        <v>2890</v>
      </c>
      <c r="I988" t="s">
        <v>2888</v>
      </c>
      <c r="J988">
        <f>VLOOKUP(F988,[1]!china_towns_second__2[[Column1]:[Y]],3,FALSE)</f>
        <v>24.210622889881002</v>
      </c>
      <c r="K988">
        <f>VLOOKUP(F988,[1]!china_towns_second__2[[Column1]:[Y]],2,FALSE)</f>
        <v>102.0753133</v>
      </c>
      <c r="L988" t="s">
        <v>4541</v>
      </c>
      <c r="M988" t="str">
        <f>VLOOKUP(H988,CHOOSE({1,2},Table17[Native],Table17[Name]),2,0)</f>
        <v>Éshān Yízú Zìzhìxiàn</v>
      </c>
      <c r="N988" s="15" t="str">
        <f>VLOOKUP(I988,CHOOSE({1,2},Table17[Native],Table17[Name]),2,0)</f>
        <v>Yùxī Shì</v>
      </c>
      <c r="O988" s="15" t="str">
        <f t="shared" si="30"/>
        <v>Tadian Zhen (Yùxī Shì)</v>
      </c>
      <c r="P988" s="15" t="str">
        <f t="shared" si="31"/>
        <v>Tadian Zhen (Yùxī Shì)</v>
      </c>
    </row>
    <row r="989" spans="1:16" hidden="1" x14ac:dyDescent="0.25">
      <c r="A989" t="s">
        <v>1397</v>
      </c>
      <c r="B989" t="str">
        <f>IF(COUNTIF(A:A,A989)&gt;1,_xlfn.CONCAT(A989," (",N989,")"),A989)</f>
        <v>Tài'ān Xiāng</v>
      </c>
      <c r="C989" t="str">
        <f>IF(COUNTIF(B:B,B989)&gt;1,_xlfn.CONCAT(A989," (",M989,")"),B989)</f>
        <v>Tài'ān Xiāng</v>
      </c>
      <c r="D989" t="s">
        <v>1398</v>
      </c>
      <c r="E989" t="s">
        <v>7</v>
      </c>
      <c r="F989" t="str">
        <f>_xlfn.CONCAT(D989,", ",H989,", ",I989,", ","云南省")</f>
        <v>太安乡, 玉龙纳西族自治县, 丽江市, 云南省</v>
      </c>
      <c r="G989">
        <v>9288</v>
      </c>
      <c r="H989" t="s">
        <v>2829</v>
      </c>
      <c r="I989" t="s">
        <v>2823</v>
      </c>
      <c r="J989" t="e">
        <f>VLOOKUP(F989,[1]!china_towns_second__2[[Column1]:[Y]],3,FALSE)</f>
        <v>#N/A</v>
      </c>
      <c r="K989" t="e">
        <f>VLOOKUP(F989,[1]!china_towns_second__2[[Column1]:[Y]],2,FALSE)</f>
        <v>#N/A</v>
      </c>
      <c r="L989" t="s">
        <v>4542</v>
      </c>
      <c r="M989" t="str">
        <f>VLOOKUP(H989,CHOOSE({1,2},Table17[Native],Table17[Name]),2,0)</f>
        <v>Yùlóng Nàxīzú Zìzhìxiàn</v>
      </c>
      <c r="N989" s="15" t="str">
        <f>VLOOKUP(I989,CHOOSE({1,2},Table17[Native],Table17[Name]),2,0)</f>
        <v>Lìjiāng Shì</v>
      </c>
      <c r="O989" s="15" t="str">
        <f t="shared" si="30"/>
        <v>Tai'an Xiang (Lìjiāng Shì)</v>
      </c>
      <c r="P989" s="15" t="str">
        <f t="shared" si="31"/>
        <v>Tai'an Xiang (Lìjiāng Shì)</v>
      </c>
    </row>
    <row r="990" spans="1:16" hidden="1" x14ac:dyDescent="0.25">
      <c r="A990" t="s">
        <v>538</v>
      </c>
      <c r="B990" t="str">
        <f>IF(COUNTIF(A:A,A990)&gt;1,_xlfn.CONCAT(A990," (",N990,")"),A990)</f>
        <v>Tàihé Huáqiáo Guănlĭqū</v>
      </c>
      <c r="C990" t="str">
        <f>IF(COUNTIF(B:B,B990)&gt;1,_xlfn.CONCAT(A990," (",M990,")"),B990)</f>
        <v>Tàihé Huáqiáo Guănlĭqū</v>
      </c>
      <c r="D990" t="s">
        <v>539</v>
      </c>
      <c r="E990" t="s">
        <v>380</v>
      </c>
      <c r="F990" t="str">
        <f>_xlfn.CONCAT(D990,", ",H990,", ",I990,", ","云南省")</f>
        <v>太和华侨管理区, 宾川县, 大理白族自治州, 云南省</v>
      </c>
      <c r="G990">
        <v>4201</v>
      </c>
      <c r="H990" t="s">
        <v>2764</v>
      </c>
      <c r="I990" t="s">
        <v>2763</v>
      </c>
      <c r="J990" t="e">
        <f>VLOOKUP(F990,[1]!china_towns_second__2[[Column1]:[Y]],3,FALSE)</f>
        <v>#N/A</v>
      </c>
      <c r="K990" t="e">
        <f>VLOOKUP(F990,[1]!china_towns_second__2[[Column1]:[Y]],2,FALSE)</f>
        <v>#N/A</v>
      </c>
      <c r="L990" t="s">
        <v>4543</v>
      </c>
      <c r="M990" t="str">
        <f>VLOOKUP(H990,CHOOSE({1,2},Table17[Native],Table17[Name]),2,0)</f>
        <v>Bīnchuān Xiàn</v>
      </c>
      <c r="N990" s="15" t="str">
        <f>VLOOKUP(I990,CHOOSE({1,2},Table17[Native],Table17[Name]),2,0)</f>
        <v>Dàlĭ Báizú Zìzhìzhōu</v>
      </c>
      <c r="O990" s="15" t="str">
        <f t="shared" si="30"/>
        <v>Taihe Huaqiao Guanliqu (Dàlĭ Báizú Zìzhìzhōu)</v>
      </c>
      <c r="P990" s="15" t="str">
        <f t="shared" si="31"/>
        <v>Taihe Huaqiao Guanliqu (Dàlĭ Báizú Zìzhìzhōu)</v>
      </c>
    </row>
    <row r="991" spans="1:16" hidden="1" x14ac:dyDescent="0.25">
      <c r="A991" t="s">
        <v>1229</v>
      </c>
      <c r="B991" t="str">
        <f>IF(COUNTIF(A:A,A991)&gt;1,_xlfn.CONCAT(A991," (",N991,")"),A991)</f>
        <v>Tàihé Jiēdào</v>
      </c>
      <c r="C991" t="str">
        <f>IF(COUNTIF(B:B,B991)&gt;1,_xlfn.CONCAT(A991," (",M991,")"),B991)</f>
        <v>Tàihé Jiēdào</v>
      </c>
      <c r="D991" t="s">
        <v>541</v>
      </c>
      <c r="E991" t="s">
        <v>42</v>
      </c>
      <c r="F991" t="str">
        <f>_xlfn.CONCAT(D991,", ",H991,", ",I991,", ","云南省")</f>
        <v>太和街道, 官渡区, 昆明市, 云南省</v>
      </c>
      <c r="G991">
        <v>65309</v>
      </c>
      <c r="H991" t="s">
        <v>2812</v>
      </c>
      <c r="I991" t="s">
        <v>2807</v>
      </c>
      <c r="J991">
        <f>VLOOKUP(F991,[1]!china_towns_second__2[[Column1]:[Y]],3,FALSE)</f>
        <v>25.025595062717802</v>
      </c>
      <c r="K991">
        <f>VLOOKUP(F991,[1]!china_towns_second__2[[Column1]:[Y]],2,FALSE)</f>
        <v>102.72068109999999</v>
      </c>
      <c r="L991" t="s">
        <v>4544</v>
      </c>
      <c r="M991" t="str">
        <f>VLOOKUP(H991,CHOOSE({1,2},Table17[Native],Table17[Name]),2,0)</f>
        <v>Guāndù Qū</v>
      </c>
      <c r="N991" s="15" t="str">
        <f>VLOOKUP(I991,CHOOSE({1,2},Table17[Native],Table17[Name]),2,0)</f>
        <v>Kūnmíng Shì</v>
      </c>
      <c r="O991" s="15" t="str">
        <f t="shared" si="30"/>
        <v>Taihe Jiedao (Kūnmíng Shì)</v>
      </c>
      <c r="P991" s="15" t="str">
        <f t="shared" si="31"/>
        <v>Taihe Jiedao (Kūnmíng Shì)</v>
      </c>
    </row>
    <row r="992" spans="1:16" hidden="1" x14ac:dyDescent="0.25">
      <c r="A992" t="s">
        <v>540</v>
      </c>
      <c r="B992" t="str">
        <f>IF(COUNTIF(A:A,A992)&gt;1,_xlfn.CONCAT(A992," (",N992,")"),A992)</f>
        <v>Tàihé Jiēdào [Tiānjĭng Jiēdào]</v>
      </c>
      <c r="C992" t="str">
        <f>IF(COUNTIF(B:B,B992)&gt;1,_xlfn.CONCAT(A992," (",M992,")"),B992)</f>
        <v>Tàihé Jiēdào [Tiānjĭng Jiēdào]</v>
      </c>
      <c r="D992" t="s">
        <v>541</v>
      </c>
      <c r="E992" t="s">
        <v>42</v>
      </c>
      <c r="F992" t="str">
        <f>_xlfn.CONCAT(D992,", ",H992,", ",I992,", ","云南省")</f>
        <v>太和街道, 大理市, 大理白族自治州, 云南省</v>
      </c>
      <c r="G992">
        <v>45432</v>
      </c>
      <c r="H992" t="s">
        <v>2765</v>
      </c>
      <c r="I992" t="s">
        <v>2763</v>
      </c>
      <c r="J992" t="e">
        <f>VLOOKUP(F992,[1]!china_towns_second__2[[Column1]:[Y]],3,FALSE)</f>
        <v>#N/A</v>
      </c>
      <c r="K992" t="e">
        <f>VLOOKUP(F992,[1]!china_towns_second__2[[Column1]:[Y]],2,FALSE)</f>
        <v>#N/A</v>
      </c>
      <c r="L992" t="s">
        <v>4545</v>
      </c>
      <c r="M992" t="str">
        <f>VLOOKUP(H992,CHOOSE({1,2},Table17[Native],Table17[Name]),2,0)</f>
        <v>Dàlĭ Shì</v>
      </c>
      <c r="N992" s="15" t="str">
        <f>VLOOKUP(I992,CHOOSE({1,2},Table17[Native],Table17[Name]),2,0)</f>
        <v>Dàlĭ Báizú Zìzhìzhōu</v>
      </c>
      <c r="O992" s="15" t="str">
        <f t="shared" si="30"/>
        <v>Taihe Jiedao [Tianjing Jiedao] (Dàlĭ Báizú Zìzhìzhōu)</v>
      </c>
      <c r="P992" s="15" t="str">
        <f t="shared" si="31"/>
        <v>Taihe Jiedao [Tianjing Jiedao] (Dàlĭ Báizú Zìzhìzhōu)</v>
      </c>
    </row>
    <row r="993" spans="1:16" hidden="1" x14ac:dyDescent="0.25">
      <c r="A993" t="s">
        <v>2661</v>
      </c>
      <c r="B993" t="str">
        <f>IF(COUNTIF(A:A,A993)&gt;1,_xlfn.CONCAT(A993," (",N993,")"),A993)</f>
        <v>Tàipíng Jiēdào</v>
      </c>
      <c r="C993" t="str">
        <f>IF(COUNTIF(B:B,B993)&gt;1,_xlfn.CONCAT(A993," (",M993,")"),B993)</f>
        <v>Tàipíng Jiēdào</v>
      </c>
      <c r="D993" t="s">
        <v>2662</v>
      </c>
      <c r="E993" t="s">
        <v>42</v>
      </c>
      <c r="F993" t="str">
        <f>_xlfn.CONCAT(D993,", ",H993,", ",I993,", ","云南省")</f>
        <v>太平街道, 昭阳区, 昭通市, 云南省</v>
      </c>
      <c r="G993">
        <v>77949</v>
      </c>
      <c r="H993" t="s">
        <v>2909</v>
      </c>
      <c r="I993" t="s">
        <v>2899</v>
      </c>
      <c r="J993">
        <f>VLOOKUP(F993,[1]!china_towns_second__2[[Column1]:[Y]],3,FALSE)</f>
        <v>27.3623120246497</v>
      </c>
      <c r="K993">
        <f>VLOOKUP(F993,[1]!china_towns_second__2[[Column1]:[Y]],2,FALSE)</f>
        <v>103.7666773</v>
      </c>
      <c r="L993" t="s">
        <v>4546</v>
      </c>
      <c r="M993" t="str">
        <f>VLOOKUP(H993,CHOOSE({1,2},Table17[Native],Table17[Name]),2,0)</f>
        <v>Zhāoyáng Qū</v>
      </c>
      <c r="N993" s="15" t="str">
        <f>VLOOKUP(I993,CHOOSE({1,2},Table17[Native],Table17[Name]),2,0)</f>
        <v>Zhāotōng Shì</v>
      </c>
      <c r="O993" s="15" t="str">
        <f t="shared" si="30"/>
        <v>Taiping Jiedao (Zhāotōng Shì)</v>
      </c>
      <c r="P993" s="15" t="str">
        <f t="shared" si="31"/>
        <v>Taiping Jiedao (Zhāotōng Shì)</v>
      </c>
    </row>
    <row r="994" spans="1:16" hidden="1" x14ac:dyDescent="0.25">
      <c r="A994" t="s">
        <v>542</v>
      </c>
      <c r="B994" t="str">
        <f>IF(COUNTIF(A:A,A994)&gt;1,_xlfn.CONCAT(A994," (",N994,")"),A994)</f>
        <v>Tàipíng Xiāng</v>
      </c>
      <c r="C994" t="str">
        <f>IF(COUNTIF(B:B,B994)&gt;1,_xlfn.CONCAT(A994," (",M994,")"),B994)</f>
        <v>Tàipíng Xiāng</v>
      </c>
      <c r="D994" t="s">
        <v>543</v>
      </c>
      <c r="E994" t="s">
        <v>7</v>
      </c>
      <c r="F994" t="str">
        <f>_xlfn.CONCAT(D994,", ",H994,", ",I994,", ","云南省")</f>
        <v>太平乡, 漾濞彝族自治县, 大理白族自治州, 云南省</v>
      </c>
      <c r="G994">
        <v>6717</v>
      </c>
      <c r="H994" t="s">
        <v>2774</v>
      </c>
      <c r="I994" t="s">
        <v>2763</v>
      </c>
      <c r="J994" t="e">
        <f>VLOOKUP(F994,[1]!china_towns_second__2[[Column1]:[Y]],3,FALSE)</f>
        <v>#N/A</v>
      </c>
      <c r="K994" t="e">
        <f>VLOOKUP(F994,[1]!china_towns_second__2[[Column1]:[Y]],2,FALSE)</f>
        <v>#N/A</v>
      </c>
      <c r="L994" t="s">
        <v>4547</v>
      </c>
      <c r="M994" t="str">
        <f>VLOOKUP(H994,CHOOSE({1,2},Table17[Native],Table17[Name]),2,0)</f>
        <v>Yàngbì Yízú Zìzhìxiàn</v>
      </c>
      <c r="N994" s="15" t="str">
        <f>VLOOKUP(I994,CHOOSE({1,2},Table17[Native],Table17[Name]),2,0)</f>
        <v>Dàlĭ Báizú Zìzhìzhōu</v>
      </c>
      <c r="O994" s="15" t="str">
        <f t="shared" si="30"/>
        <v>Taiping Xiang (Dàlĭ Báizú Zìzhìzhōu)</v>
      </c>
      <c r="P994" s="15" t="str">
        <f t="shared" si="31"/>
        <v>Taiping Xiang (Dàlĭ Báizú Zìzhìzhōu)</v>
      </c>
    </row>
    <row r="995" spans="1:16" hidden="1" x14ac:dyDescent="0.25">
      <c r="A995" t="s">
        <v>1230</v>
      </c>
      <c r="B995" t="str">
        <f>IF(COUNTIF(A:A,A995)&gt;1,_xlfn.CONCAT(A995," (",N995,")"),A995)</f>
        <v>Tàipíng Xīnchéng Jiēdào</v>
      </c>
      <c r="C995" t="str">
        <f>IF(COUNTIF(B:B,B995)&gt;1,_xlfn.CONCAT(A995," (",M995,")"),B995)</f>
        <v>Tàipíng Xīnchéng Jiēdào</v>
      </c>
      <c r="D995" t="s">
        <v>1231</v>
      </c>
      <c r="E995" t="s">
        <v>42</v>
      </c>
      <c r="F995" t="str">
        <f>_xlfn.CONCAT(D995,", ",H995,", ",I995,", ","云南省")</f>
        <v>太平新城街道, 安宁市, 昆明市, 云南省</v>
      </c>
      <c r="G995">
        <v>24823</v>
      </c>
      <c r="H995" t="s">
        <v>2808</v>
      </c>
      <c r="I995" t="s">
        <v>2807</v>
      </c>
      <c r="J995">
        <f>VLOOKUP(F995,[1]!china_towns_second__2[[Column1]:[Y]],3,FALSE)</f>
        <v>24.9206271436272</v>
      </c>
      <c r="K995">
        <f>VLOOKUP(F995,[1]!china_towns_second__2[[Column1]:[Y]],2,FALSE)</f>
        <v>102.5753709</v>
      </c>
      <c r="L995" t="s">
        <v>4548</v>
      </c>
      <c r="M995" t="str">
        <f>VLOOKUP(H995,CHOOSE({1,2},Table17[Native],Table17[Name]),2,0)</f>
        <v>Ānníng Shì</v>
      </c>
      <c r="N995" s="15" t="str">
        <f>VLOOKUP(I995,CHOOSE({1,2},Table17[Native],Table17[Name]),2,0)</f>
        <v>Kūnmíng Shì</v>
      </c>
      <c r="O995" s="15" t="str">
        <f t="shared" si="30"/>
        <v>Taiping Xincheng Jiedao (Kūnmíng Shì)</v>
      </c>
      <c r="P995" s="15" t="str">
        <f t="shared" si="31"/>
        <v>Taiping Xincheng Jiedao (Kūnmíng Shì)</v>
      </c>
    </row>
    <row r="996" spans="1:16" hidden="1" x14ac:dyDescent="0.25">
      <c r="A996" t="s">
        <v>109</v>
      </c>
      <c r="B996" t="str">
        <f>IF(COUNTIF(A:A,A996)&gt;1,_xlfn.CONCAT(A996," (",N996,")"),A996)</f>
        <v>Tàipíng Zhèn (Băoshān Shì)</v>
      </c>
      <c r="C996" t="str">
        <f>IF(COUNTIF(B:B,B996)&gt;1,_xlfn.CONCAT(A996," (",M996,")"),B996)</f>
        <v>Tàipíng Zhèn (Băoshān Shì)</v>
      </c>
      <c r="D996" t="s">
        <v>110</v>
      </c>
      <c r="E996" t="s">
        <v>11</v>
      </c>
      <c r="F996" t="str">
        <f>_xlfn.CONCAT(D996,", ",H996,", ",I996,", ","云南省")</f>
        <v>太平镇, 施甸县, 保山市, 云南省</v>
      </c>
      <c r="G996">
        <v>27347</v>
      </c>
      <c r="H996" t="s">
        <v>2745</v>
      </c>
      <c r="I996" t="s">
        <v>2739</v>
      </c>
      <c r="J996">
        <f>VLOOKUP(F996,[1]!china_towns_second__2[[Column1]:[Y]],3,FALSE)</f>
        <v>24.803025049732302</v>
      </c>
      <c r="K996">
        <f>VLOOKUP(F996,[1]!china_towns_second__2[[Column1]:[Y]],2,FALSE)</f>
        <v>99.009811310000003</v>
      </c>
      <c r="L996" t="s">
        <v>4549</v>
      </c>
      <c r="M996" t="str">
        <f>VLOOKUP(H996,CHOOSE({1,2},Table17[Native],Table17[Name]),2,0)</f>
        <v>Shīdiàn Xiàn</v>
      </c>
      <c r="N996" s="15" t="str">
        <f>VLOOKUP(I996,CHOOSE({1,2},Table17[Native],Table17[Name]),2,0)</f>
        <v>Băoshān Shì</v>
      </c>
      <c r="O996" s="15" t="str">
        <f t="shared" si="30"/>
        <v>Taiping Zhen (Baoshan Shi) (Băoshān Shì)</v>
      </c>
      <c r="P996" s="15" t="str">
        <f t="shared" si="31"/>
        <v>Taiping Zhen (Baoshan Shi) (Băoshān Shì)</v>
      </c>
    </row>
    <row r="997" spans="1:16" hidden="1" x14ac:dyDescent="0.25">
      <c r="A997" t="s">
        <v>109</v>
      </c>
      <c r="B997" t="str">
        <f>IF(COUNTIF(A:A,A997)&gt;1,_xlfn.CONCAT(A997," (",N997,")"),A997)</f>
        <v>Tàipíng Zhèn (Chŭxióng Yízú Zìzhìzhōu)</v>
      </c>
      <c r="C997" t="str">
        <f>IF(COUNTIF(B:B,B997)&gt;1,_xlfn.CONCAT(A997," (",M997,")"),B997)</f>
        <v>Tàipíng Zhèn (Chŭxióng Yízú Zìzhìzhōu)</v>
      </c>
      <c r="D997" t="s">
        <v>110</v>
      </c>
      <c r="E997" t="s">
        <v>11</v>
      </c>
      <c r="F997" t="str">
        <f>_xlfn.CONCAT(D997,", ",H997,", ",I997,", ","云南省")</f>
        <v>太平镇, 姚安县, 楚雄彝族自治州, 云南省</v>
      </c>
      <c r="G997">
        <v>9320</v>
      </c>
      <c r="H997" t="s">
        <v>2758</v>
      </c>
      <c r="I997" t="s">
        <v>2750</v>
      </c>
      <c r="J997">
        <f>VLOOKUP(F997,[1]!china_towns_second__2[[Column1]:[Y]],3,FALSE)</f>
        <v>25.4010484802108</v>
      </c>
      <c r="K997">
        <f>VLOOKUP(F997,[1]!china_towns_second__2[[Column1]:[Y]],2,FALSE)</f>
        <v>101.2549451</v>
      </c>
      <c r="L997" t="s">
        <v>4550</v>
      </c>
      <c r="M997" t="str">
        <f>VLOOKUP(H997,CHOOSE({1,2},Table17[Native],Table17[Name]),2,0)</f>
        <v>Yáo'ān Xiàn</v>
      </c>
      <c r="N997" s="15" t="str">
        <f>VLOOKUP(I997,CHOOSE({1,2},Table17[Native],Table17[Name]),2,0)</f>
        <v>Chŭxióng Yízú Zìzhìzhōu</v>
      </c>
      <c r="O997" s="15" t="str">
        <f t="shared" si="30"/>
        <v>Taiping Zhen (Chuxiong Yizu Zizhizhou) (Chŭxióng Yízú Zìzhìzhōu)</v>
      </c>
      <c r="P997" s="15" t="str">
        <f t="shared" si="31"/>
        <v>Taiping Zhen (Chuxiong Yizu Zizhizhou) (Chŭxióng Yízú Zìzhìzhōu)</v>
      </c>
    </row>
    <row r="998" spans="1:16" hidden="1" x14ac:dyDescent="0.25">
      <c r="A998" t="s">
        <v>109</v>
      </c>
      <c r="B998" t="str">
        <f>IF(COUNTIF(A:A,A998)&gt;1,_xlfn.CONCAT(A998," (",N998,")"),A998)</f>
        <v>Tàipíng Zhèn (Déhóng Dăizú Jĭngpōzú Zìzhìzhōu)</v>
      </c>
      <c r="C998" t="str">
        <f>IF(COUNTIF(B:B,B998)&gt;1,_xlfn.CONCAT(A998," (",M998,")"),B998)</f>
        <v>Tàipíng Zhèn (Déhóng Dăizú Jĭngpōzú Zìzhìzhōu)</v>
      </c>
      <c r="D998" t="s">
        <v>110</v>
      </c>
      <c r="E998" t="s">
        <v>11</v>
      </c>
      <c r="F998" t="str">
        <f>_xlfn.CONCAT(D998,", ",H998,", ",I998,", ","云南省")</f>
        <v>太平镇, 盈江县, 德宏傣族景颇族自治州, 云南省</v>
      </c>
      <c r="G998">
        <v>30032</v>
      </c>
      <c r="H998" t="s">
        <v>2784</v>
      </c>
      <c r="I998" t="s">
        <v>2779</v>
      </c>
      <c r="J998">
        <f>VLOOKUP(F998,[1]!china_towns_second__2[[Column1]:[Y]],3,FALSE)</f>
        <v>24.605154584562101</v>
      </c>
      <c r="K998">
        <f>VLOOKUP(F998,[1]!china_towns_second__2[[Column1]:[Y]],2,FALSE)</f>
        <v>97.751956109999995</v>
      </c>
      <c r="L998" t="s">
        <v>4551</v>
      </c>
      <c r="M998" t="str">
        <f>VLOOKUP(H998,CHOOSE({1,2},Table17[Native],Table17[Name]),2,0)</f>
        <v>Yíngjiāng Xiàn</v>
      </c>
      <c r="N998" s="15" t="str">
        <f>VLOOKUP(I998,CHOOSE({1,2},Table17[Native],Table17[Name]),2,0)</f>
        <v>Déhóng Dăizú Jĭngpōzú Zìzhìzhōu</v>
      </c>
      <c r="O998" s="15" t="str">
        <f t="shared" si="30"/>
        <v>Taiping Zhen (Dehong Daizu Jingpozu Zizhizhou) (Déhóng Dăizú Jĭngpōzú Zìzhìzhōu)</v>
      </c>
      <c r="P998" s="15" t="str">
        <f t="shared" si="31"/>
        <v>Taiping Zhen (Dehong Daizu Jingpozu Zizhizhou) (Déhóng Dăizú Jĭngpōzú Zìzhìzhōu)</v>
      </c>
    </row>
    <row r="999" spans="1:16" hidden="1" x14ac:dyDescent="0.25">
      <c r="A999" t="s">
        <v>109</v>
      </c>
      <c r="B999" t="str">
        <f>IF(COUNTIF(A:A,A999)&gt;1,_xlfn.CONCAT(A999," (",N999,")"),A999)</f>
        <v>Tàipíng Zhèn (Zhāotōng Shì)</v>
      </c>
      <c r="C999" t="str">
        <f>IF(COUNTIF(B:B,B999)&gt;1,_xlfn.CONCAT(A999," (",M999,")"),B999)</f>
        <v>Tàipíng Zhèn (Zhāotōng Shì)</v>
      </c>
      <c r="D999" t="s">
        <v>110</v>
      </c>
      <c r="E999" t="s">
        <v>11</v>
      </c>
      <c r="F999" t="str">
        <f>_xlfn.CONCAT(D999,", ",H999,", ",I999,", ","云南省")</f>
        <v>太平镇, 水富市, 昭通市, 云南省</v>
      </c>
      <c r="G999">
        <v>14621</v>
      </c>
      <c r="H999" t="s">
        <v>2903</v>
      </c>
      <c r="I999" t="s">
        <v>2899</v>
      </c>
      <c r="J999">
        <f>VLOOKUP(F999,[1]!china_towns_second__2[[Column1]:[Y]],3,FALSE)</f>
        <v>28.477223373222099</v>
      </c>
      <c r="K999">
        <f>VLOOKUP(F999,[1]!china_towns_second__2[[Column1]:[Y]],2,FALSE)</f>
        <v>104.1442943</v>
      </c>
      <c r="L999" t="s">
        <v>4552</v>
      </c>
      <c r="M999" t="str">
        <f>VLOOKUP(H999,CHOOSE({1,2},Table17[Native],Table17[Name]),2,0)</f>
        <v>Shuĭfù Shì</v>
      </c>
      <c r="N999" s="15" t="str">
        <f>VLOOKUP(I999,CHOOSE({1,2},Table17[Native],Table17[Name]),2,0)</f>
        <v>Zhāotōng Shì</v>
      </c>
      <c r="O999" s="15" t="str">
        <f t="shared" si="30"/>
        <v>Taiping Zhen (Zhaotong Shi) (Zhāotōng Shì)</v>
      </c>
      <c r="P999" s="15" t="str">
        <f t="shared" si="31"/>
        <v>Taiping Zhen (Zhaotong Shi) (Zhāotōng Shì)</v>
      </c>
    </row>
    <row r="1000" spans="1:16" hidden="1" x14ac:dyDescent="0.25">
      <c r="A1000" t="s">
        <v>544</v>
      </c>
      <c r="B1000" t="str">
        <f>IF(COUNTIF(A:A,A1000)&gt;1,_xlfn.CONCAT(A1000," (",N1000,")"),A1000)</f>
        <v>Tàiyì Yízú Xiāng</v>
      </c>
      <c r="C1000" t="str">
        <f>IF(COUNTIF(B:B,B1000)&gt;1,_xlfn.CONCAT(A1000," (",M1000,")"),B1000)</f>
        <v>Tàiyì Yízú Xiāng</v>
      </c>
      <c r="D1000" t="s">
        <v>545</v>
      </c>
      <c r="E1000" t="s">
        <v>7</v>
      </c>
      <c r="F1000" t="str">
        <f>_xlfn.CONCAT(D1000,", ",H1000,", ",I1000,", ","云南省")</f>
        <v>太邑彝族乡, 大理市, 大理白族自治州, 云南省</v>
      </c>
      <c r="G1000">
        <v>7581</v>
      </c>
      <c r="H1000" t="s">
        <v>2765</v>
      </c>
      <c r="I1000" t="s">
        <v>2763</v>
      </c>
      <c r="J1000" t="e">
        <f>VLOOKUP(F1000,[1]!china_towns_second__2[[Column1]:[Y]],3,FALSE)</f>
        <v>#N/A</v>
      </c>
      <c r="K1000" t="e">
        <f>VLOOKUP(F1000,[1]!china_towns_second__2[[Column1]:[Y]],2,FALSE)</f>
        <v>#N/A</v>
      </c>
      <c r="L1000" t="s">
        <v>4553</v>
      </c>
      <c r="M1000" t="str">
        <f>VLOOKUP(H1000,CHOOSE({1,2},Table17[Native],Table17[Name]),2,0)</f>
        <v>Dàlĭ Shì</v>
      </c>
      <c r="N1000" s="15" t="str">
        <f>VLOOKUP(I1000,CHOOSE({1,2},Table17[Native],Table17[Name]),2,0)</f>
        <v>Dàlĭ Báizú Zìzhìzhōu</v>
      </c>
      <c r="O1000" s="15" t="str">
        <f t="shared" si="30"/>
        <v>Taiyi Yizu Xiang (Dàlĭ Báizú Zìzhìzhōu)</v>
      </c>
      <c r="P1000" s="15" t="str">
        <f t="shared" si="31"/>
        <v>Taiyi Yizu Xiang (Dàlĭ Báizú Zìzhìzhōu)</v>
      </c>
    </row>
    <row r="1001" spans="1:16" hidden="1" x14ac:dyDescent="0.25">
      <c r="A1001" t="s">
        <v>1797</v>
      </c>
      <c r="B1001" t="str">
        <f>IF(COUNTIF(A:A,A1001)&gt;1,_xlfn.CONCAT(A1001," (",N1001,")"),A1001)</f>
        <v>Tàizhōng Zhèn</v>
      </c>
      <c r="C1001" t="str">
        <f>IF(COUNTIF(B:B,B1001)&gt;1,_xlfn.CONCAT(A1001," (",M1001,")"),B1001)</f>
        <v>Tàizhōng Zhèn</v>
      </c>
      <c r="D1001" t="s">
        <v>1798</v>
      </c>
      <c r="E1001" t="s">
        <v>11</v>
      </c>
      <c r="F1001" t="str">
        <f>_xlfn.CONCAT(D1001,", ",H1001,", ",I1001,", ","云南省")</f>
        <v>太忠镇, 景东彝族自治县, 普洱市, 云南省</v>
      </c>
      <c r="G1001">
        <v>22925</v>
      </c>
      <c r="H1001" t="s">
        <v>2850</v>
      </c>
      <c r="I1001" t="s">
        <v>2848</v>
      </c>
      <c r="J1001">
        <f>VLOOKUP(F1001,[1]!china_towns_second__2[[Column1]:[Y]],3,FALSE)</f>
        <v>24.483520657576499</v>
      </c>
      <c r="K1001">
        <f>VLOOKUP(F1001,[1]!china_towns_second__2[[Column1]:[Y]],2,FALSE)</f>
        <v>100.9737628</v>
      </c>
      <c r="L1001" t="s">
        <v>4554</v>
      </c>
      <c r="M1001" t="str">
        <f>VLOOKUP(H1001,CHOOSE({1,2},Table17[Native],Table17[Name]),2,0)</f>
        <v>Jĭngdōng Yízú Zìzhìxiàn</v>
      </c>
      <c r="N1001" s="15" t="str">
        <f>VLOOKUP(I1001,CHOOSE({1,2},Table17[Native],Table17[Name]),2,0)</f>
        <v>Pŭ'ĕr Shì</v>
      </c>
      <c r="O1001" s="15" t="str">
        <f t="shared" si="30"/>
        <v>Taizhong Zhen (Pŭ'ĕr Shì)</v>
      </c>
      <c r="P1001" s="15" t="str">
        <f t="shared" si="31"/>
        <v>Taizhong Zhen (Pŭ'ĕr Shì)</v>
      </c>
    </row>
    <row r="1002" spans="1:16" hidden="1" x14ac:dyDescent="0.25">
      <c r="A1002" t="s">
        <v>1232</v>
      </c>
      <c r="B1002" t="str">
        <f>IF(COUNTIF(A:A,A1002)&gt;1,_xlfn.CONCAT(A1002," (",N1002,")"),A1002)</f>
        <v>Tāngchí Jiēdào</v>
      </c>
      <c r="C1002" t="str">
        <f>IF(COUNTIF(B:B,B1002)&gt;1,_xlfn.CONCAT(A1002," (",M1002,")"),B1002)</f>
        <v>Tāngchí Jiēdào</v>
      </c>
      <c r="D1002" t="s">
        <v>1233</v>
      </c>
      <c r="E1002" t="s">
        <v>42</v>
      </c>
      <c r="F1002" t="str">
        <f>_xlfn.CONCAT(D1002,", ",H1002,", ",I1002,", ","云南省")</f>
        <v>汤池街道, 宜良县, 昆明市, 云南省</v>
      </c>
      <c r="G1002">
        <v>61605</v>
      </c>
      <c r="H1002" t="s">
        <v>2821</v>
      </c>
      <c r="I1002" t="s">
        <v>2807</v>
      </c>
      <c r="J1002">
        <f>VLOOKUP(F1002,[1]!china_towns_second__2[[Column1]:[Y]],3,FALSE)</f>
        <v>24.9604166858391</v>
      </c>
      <c r="K1002">
        <f>VLOOKUP(F1002,[1]!china_towns_second__2[[Column1]:[Y]],2,FALSE)</f>
        <v>103.0500024</v>
      </c>
      <c r="L1002" t="s">
        <v>4555</v>
      </c>
      <c r="M1002" t="str">
        <f>VLOOKUP(H1002,CHOOSE({1,2},Table17[Native],Table17[Name]),2,0)</f>
        <v>Yíliáng Xiàn</v>
      </c>
      <c r="N1002" s="15" t="str">
        <f>VLOOKUP(I1002,CHOOSE({1,2},Table17[Native],Table17[Name]),2,0)</f>
        <v>Kūnmíng Shì</v>
      </c>
      <c r="O1002" s="15" t="str">
        <f t="shared" si="30"/>
        <v>Tangchi Jiedao (Kūnmíng Shì)</v>
      </c>
      <c r="P1002" s="15" t="str">
        <f t="shared" si="31"/>
        <v>Tangchi Jiedao (Kūnmíng Shì)</v>
      </c>
    </row>
    <row r="1003" spans="1:16" hidden="1" x14ac:dyDescent="0.25">
      <c r="A1003" t="s">
        <v>1234</v>
      </c>
      <c r="B1003" t="str">
        <f>IF(COUNTIF(A:A,A1003)&gt;1,_xlfn.CONCAT(A1003," (",N1003,")"),A1003)</f>
        <v>Tāngdān Zhèn</v>
      </c>
      <c r="C1003" t="str">
        <f>IF(COUNTIF(B:B,B1003)&gt;1,_xlfn.CONCAT(A1003," (",M1003,")"),B1003)</f>
        <v>Tāngdān Zhèn</v>
      </c>
      <c r="D1003" t="s">
        <v>1235</v>
      </c>
      <c r="E1003" t="s">
        <v>11</v>
      </c>
      <c r="F1003" t="str">
        <f>_xlfn.CONCAT(D1003,", ",H1003,", ",I1003,", ","云南省")</f>
        <v>汤丹镇, 东川区, 昆明市, 云南省</v>
      </c>
      <c r="G1003">
        <v>37934</v>
      </c>
      <c r="H1003" t="s">
        <v>2810</v>
      </c>
      <c r="I1003" t="s">
        <v>2807</v>
      </c>
      <c r="J1003">
        <f>VLOOKUP(F1003,[1]!china_towns_second__2[[Column1]:[Y]],3,FALSE)</f>
        <v>26.202103848750301</v>
      </c>
      <c r="K1003">
        <f>VLOOKUP(F1003,[1]!china_towns_second__2[[Column1]:[Y]],2,FALSE)</f>
        <v>103.0331599</v>
      </c>
      <c r="L1003" t="s">
        <v>4556</v>
      </c>
      <c r="M1003" t="str">
        <f>VLOOKUP(H1003,CHOOSE({1,2},Table17[Native],Table17[Name]),2,0)</f>
        <v>Dōngchuān Qū</v>
      </c>
      <c r="N1003" s="15" t="str">
        <f>VLOOKUP(I1003,CHOOSE({1,2},Table17[Native],Table17[Name]),2,0)</f>
        <v>Kūnmíng Shì</v>
      </c>
      <c r="O1003" s="15" t="str">
        <f t="shared" si="30"/>
        <v>Tangdan Zhen (Kūnmíng Shì)</v>
      </c>
      <c r="P1003" s="15" t="str">
        <f t="shared" si="31"/>
        <v>Tangdan Zhen (Kūnmíng Shì)</v>
      </c>
    </row>
    <row r="1004" spans="1:16" hidden="1" x14ac:dyDescent="0.25">
      <c r="A1004" t="s">
        <v>1236</v>
      </c>
      <c r="B1004" t="str">
        <f>IF(COUNTIF(A:A,A1004)&gt;1,_xlfn.CONCAT(A1004," (",N1004,")"),A1004)</f>
        <v>Tăngdiàn Zhèn</v>
      </c>
      <c r="C1004" t="str">
        <f>IF(COUNTIF(B:B,B1004)&gt;1,_xlfn.CONCAT(A1004," (",M1004,")"),B1004)</f>
        <v>Tăngdiàn Zhèn</v>
      </c>
      <c r="D1004" t="s">
        <v>1237</v>
      </c>
      <c r="E1004" t="s">
        <v>11</v>
      </c>
      <c r="F1004" t="str">
        <f>_xlfn.CONCAT(D1004,", ",H1004,", ",I1004,", ","云南省")</f>
        <v>倘甸镇, 寻甸回族彝族自治县, 昆明市, 云南省</v>
      </c>
      <c r="G1004">
        <v>36906</v>
      </c>
      <c r="H1004" t="s">
        <v>2820</v>
      </c>
      <c r="I1004" t="s">
        <v>2807</v>
      </c>
      <c r="J1004">
        <f>VLOOKUP(F1004,[1]!china_towns_second__2[[Column1]:[Y]],3,FALSE)</f>
        <v>25.7845258191381</v>
      </c>
      <c r="K1004">
        <f>VLOOKUP(F1004,[1]!china_towns_second__2[[Column1]:[Y]],2,FALSE)</f>
        <v>102.90266819999999</v>
      </c>
      <c r="L1004" t="s">
        <v>4557</v>
      </c>
      <c r="M1004" t="str">
        <f>VLOOKUP(H1004,CHOOSE({1,2},Table17[Native],Table17[Name]),2,0)</f>
        <v>Xúndiàn Huízú Yízú Zìzhìxiàn</v>
      </c>
      <c r="N1004" s="15" t="str">
        <f>VLOOKUP(I1004,CHOOSE({1,2},Table17[Native],Table17[Name]),2,0)</f>
        <v>Kūnmíng Shì</v>
      </c>
      <c r="O1004" s="15" t="str">
        <f t="shared" si="30"/>
        <v>Tangdian Zhen (Kūnmíng Shì)</v>
      </c>
      <c r="P1004" s="15" t="str">
        <f t="shared" si="31"/>
        <v>Tangdian Zhen (Kūnmíng Shì)</v>
      </c>
    </row>
    <row r="1005" spans="1:16" hidden="1" x14ac:dyDescent="0.25">
      <c r="A1005" t="s">
        <v>2663</v>
      </c>
      <c r="B1005" t="str">
        <f>IF(COUNTIF(A:A,A1005)&gt;1,_xlfn.CONCAT(A1005," (",N1005,")"),A1005)</f>
        <v>Tángfáng Zhèn</v>
      </c>
      <c r="C1005" t="str">
        <f>IF(COUNTIF(B:B,B1005)&gt;1,_xlfn.CONCAT(A1005," (",M1005,")"),B1005)</f>
        <v>Tángfáng Zhèn</v>
      </c>
      <c r="D1005" t="s">
        <v>2664</v>
      </c>
      <c r="E1005" t="s">
        <v>11</v>
      </c>
      <c r="F1005" t="str">
        <f>_xlfn.CONCAT(D1005,", ",H1005,", ",I1005,", ","云南省")</f>
        <v>塘房镇, 镇雄县, 昭通市, 云南省</v>
      </c>
      <c r="G1005">
        <v>55135</v>
      </c>
      <c r="H1005" t="s">
        <v>2910</v>
      </c>
      <c r="I1005" t="s">
        <v>2899</v>
      </c>
      <c r="J1005">
        <f>VLOOKUP(F1005,[1]!china_towns_second__2[[Column1]:[Y]],3,FALSE)</f>
        <v>27.497413207923501</v>
      </c>
      <c r="K1005">
        <f>VLOOKUP(F1005,[1]!china_towns_second__2[[Column1]:[Y]],2,FALSE)</f>
        <v>104.9606533</v>
      </c>
      <c r="L1005" t="s">
        <v>4558</v>
      </c>
      <c r="M1005" t="str">
        <f>VLOOKUP(H1005,CHOOSE({1,2},Table17[Native],Table17[Name]),2,0)</f>
        <v>Zhènxióng Xiàn</v>
      </c>
      <c r="N1005" s="15" t="str">
        <f>VLOOKUP(I1005,CHOOSE({1,2},Table17[Native],Table17[Name]),2,0)</f>
        <v>Zhāotōng Shì</v>
      </c>
      <c r="O1005" s="15" t="str">
        <f t="shared" si="30"/>
        <v>Tangfang Zhen (Zhāotōng Shì)</v>
      </c>
      <c r="P1005" s="15" t="str">
        <f t="shared" si="31"/>
        <v>Tangfang Zhen (Zhāotōng Shì)</v>
      </c>
    </row>
    <row r="1006" spans="1:16" hidden="1" x14ac:dyDescent="0.25">
      <c r="A1006" t="s">
        <v>1238</v>
      </c>
      <c r="B1006" t="str">
        <f>IF(COUNTIF(A:A,A1006)&gt;1,_xlfn.CONCAT(A1006," (",N1006,")"),A1006)</f>
        <v>Tāngláng Xiāng</v>
      </c>
      <c r="C1006" t="str">
        <f>IF(COUNTIF(B:B,B1006)&gt;1,_xlfn.CONCAT(A1006," (",M1006,")"),B1006)</f>
        <v>Tāngláng Xiāng</v>
      </c>
      <c r="D1006" t="s">
        <v>1239</v>
      </c>
      <c r="E1006" t="s">
        <v>7</v>
      </c>
      <c r="F1006" t="str">
        <f>_xlfn.CONCAT(D1006,", ",H1006,", ",I1006,", ","云南省")</f>
        <v>汤郎乡, 禄劝彝族苗族自治县, 昆明市, 云南省</v>
      </c>
      <c r="G1006">
        <v>13642</v>
      </c>
      <c r="H1006" t="s">
        <v>2814</v>
      </c>
      <c r="I1006" t="s">
        <v>2807</v>
      </c>
      <c r="J1006" t="e">
        <f>VLOOKUP(F1006,[1]!china_towns_second__2[[Column1]:[Y]],3,FALSE)</f>
        <v>#N/A</v>
      </c>
      <c r="K1006" t="e">
        <f>VLOOKUP(F1006,[1]!china_towns_second__2[[Column1]:[Y]],2,FALSE)</f>
        <v>#N/A</v>
      </c>
      <c r="L1006" t="s">
        <v>4559</v>
      </c>
      <c r="M1006" t="str">
        <f>VLOOKUP(H1006,CHOOSE({1,2},Table17[Native],Table17[Name]),2,0)</f>
        <v>Lùquàn Yízú Miáozú Zìzhìxiàn</v>
      </c>
      <c r="N1006" s="15" t="str">
        <f>VLOOKUP(I1006,CHOOSE({1,2},Table17[Native],Table17[Name]),2,0)</f>
        <v>Kūnmíng Shì</v>
      </c>
      <c r="O1006" s="15" t="str">
        <f t="shared" si="30"/>
        <v>Tanglang Xiang (Kūnmíng Shì)</v>
      </c>
      <c r="P1006" s="15" t="str">
        <f t="shared" si="31"/>
        <v>Tanglang Xiang (Kūnmíng Shì)</v>
      </c>
    </row>
    <row r="1007" spans="1:16" hidden="1" x14ac:dyDescent="0.25">
      <c r="A1007" t="s">
        <v>1995</v>
      </c>
      <c r="B1007" t="str">
        <f>IF(COUNTIF(A:A,A1007)&gt;1,_xlfn.CONCAT(A1007," (",N1007,")"),A1007)</f>
        <v>Tăngtáng Zhèn</v>
      </c>
      <c r="C1007" t="str">
        <f>IF(COUNTIF(B:B,B1007)&gt;1,_xlfn.CONCAT(A1007," (",M1007,")"),B1007)</f>
        <v>Tăngtáng Zhèn</v>
      </c>
      <c r="D1007" t="s">
        <v>1996</v>
      </c>
      <c r="E1007" t="s">
        <v>11</v>
      </c>
      <c r="F1007" t="str">
        <f>_xlfn.CONCAT(D1007,", ",H1007,", ",I1007,", ","云南省")</f>
        <v>倘塘镇, 宣威市, 曲靖市, 云南省</v>
      </c>
      <c r="G1007">
        <v>79641</v>
      </c>
      <c r="H1007" t="s">
        <v>2868</v>
      </c>
      <c r="I1007" t="s">
        <v>2860</v>
      </c>
      <c r="J1007">
        <f>VLOOKUP(F1007,[1]!china_towns_second__2[[Column1]:[Y]],3,FALSE)</f>
        <v>26.5082448347226</v>
      </c>
      <c r="K1007">
        <f>VLOOKUP(F1007,[1]!china_towns_second__2[[Column1]:[Y]],2,FALSE)</f>
        <v>104.17129389999999</v>
      </c>
      <c r="L1007" t="s">
        <v>4560</v>
      </c>
      <c r="M1007" t="str">
        <f>VLOOKUP(H1007,CHOOSE({1,2},Table17[Native],Table17[Name]),2,0)</f>
        <v>Xuānwēi Shì</v>
      </c>
      <c r="N1007" s="15" t="str">
        <f>VLOOKUP(I1007,CHOOSE({1,2},Table17[Native],Table17[Name]),2,0)</f>
        <v>Qŭjìng Shì</v>
      </c>
      <c r="O1007" s="15" t="str">
        <f t="shared" si="30"/>
        <v>Tangtang Zhen (Qŭjìng Shì)</v>
      </c>
      <c r="P1007" s="15" t="str">
        <f t="shared" si="31"/>
        <v>Tangtang Zhen (Qŭjìng Shì)</v>
      </c>
    </row>
    <row r="1008" spans="1:16" hidden="1" x14ac:dyDescent="0.25">
      <c r="A1008" t="s">
        <v>303</v>
      </c>
      <c r="B1008" t="str">
        <f>IF(COUNTIF(A:A,A1008)&gt;1,_xlfn.CONCAT(A1008," (",N1008,")"),A1008)</f>
        <v>Tánhuá Xiāng</v>
      </c>
      <c r="C1008" t="str">
        <f>IF(COUNTIF(B:B,B1008)&gt;1,_xlfn.CONCAT(A1008," (",M1008,")"),B1008)</f>
        <v>Tánhuá Xiāng</v>
      </c>
      <c r="D1008" t="s">
        <v>304</v>
      </c>
      <c r="E1008" t="s">
        <v>7</v>
      </c>
      <c r="F1008" t="str">
        <f>_xlfn.CONCAT(D1008,", ",H1008,", ",I1008,", ","云南省")</f>
        <v>昙华乡, 大姚县, 楚雄彝族自治州, 云南省</v>
      </c>
      <c r="G1008">
        <v>7549</v>
      </c>
      <c r="H1008" t="s">
        <v>2752</v>
      </c>
      <c r="I1008" t="s">
        <v>2750</v>
      </c>
      <c r="J1008" t="e">
        <f>VLOOKUP(F1008,[1]!china_towns_second__2[[Column1]:[Y]],3,FALSE)</f>
        <v>#N/A</v>
      </c>
      <c r="K1008" t="e">
        <f>VLOOKUP(F1008,[1]!china_towns_second__2[[Column1]:[Y]],2,FALSE)</f>
        <v>#N/A</v>
      </c>
      <c r="L1008" t="s">
        <v>4561</v>
      </c>
      <c r="M1008" t="str">
        <f>VLOOKUP(H1008,CHOOSE({1,2},Table17[Native],Table17[Name]),2,0)</f>
        <v>Dàyáo Xiàn</v>
      </c>
      <c r="N1008" s="15" t="str">
        <f>VLOOKUP(I1008,CHOOSE({1,2},Table17[Native],Table17[Name]),2,0)</f>
        <v>Chŭxióng Yízú Zìzhìzhōu</v>
      </c>
      <c r="O1008" s="15" t="str">
        <f t="shared" si="30"/>
        <v>Tanhua Xiang (Chŭxióng Yízú Zìzhìzhōu)</v>
      </c>
      <c r="P1008" s="15" t="str">
        <f t="shared" si="31"/>
        <v>Tanhua Xiang (Chŭxióng Yízú Zìzhìzhōu)</v>
      </c>
    </row>
    <row r="1009" spans="1:16" hidden="1" x14ac:dyDescent="0.25">
      <c r="A1009" t="s">
        <v>2665</v>
      </c>
      <c r="B1009" t="str">
        <f>IF(COUNTIF(A:A,A1009)&gt;1,_xlfn.CONCAT(A1009," (",N1009,")"),A1009)</f>
        <v>Tāntóu Xiāng</v>
      </c>
      <c r="C1009" t="str">
        <f>IF(COUNTIF(B:B,B1009)&gt;1,_xlfn.CONCAT(A1009," (",M1009,")"),B1009)</f>
        <v>Tāntóu Xiāng</v>
      </c>
      <c r="D1009" t="s">
        <v>2666</v>
      </c>
      <c r="E1009" t="s">
        <v>7</v>
      </c>
      <c r="F1009" t="str">
        <f>_xlfn.CONCAT(D1009,", ",H1009,", ",I1009,", ","云南省")</f>
        <v>滩头乡, 盐津县, 昭通市, 云南省</v>
      </c>
      <c r="G1009">
        <v>28350</v>
      </c>
      <c r="H1009" t="s">
        <v>2906</v>
      </c>
      <c r="I1009" t="s">
        <v>2899</v>
      </c>
      <c r="J1009" t="e">
        <f>VLOOKUP(F1009,[1]!china_towns_second__2[[Column1]:[Y]],3,FALSE)</f>
        <v>#N/A</v>
      </c>
      <c r="K1009" t="e">
        <f>VLOOKUP(F1009,[1]!china_towns_second__2[[Column1]:[Y]],2,FALSE)</f>
        <v>#N/A</v>
      </c>
      <c r="L1009" t="s">
        <v>4562</v>
      </c>
      <c r="M1009" t="str">
        <f>VLOOKUP(H1009,CHOOSE({1,2},Table17[Native],Table17[Name]),2,0)</f>
        <v>Yánjīn Xiàn</v>
      </c>
      <c r="N1009" s="15" t="str">
        <f>VLOOKUP(I1009,CHOOSE({1,2},Table17[Native],Table17[Name]),2,0)</f>
        <v>Zhāotōng Shì</v>
      </c>
      <c r="O1009" s="15" t="str">
        <f t="shared" si="30"/>
        <v>Tantou Xiang (Zhāotōng Shì)</v>
      </c>
      <c r="P1009" s="15" t="str">
        <f t="shared" si="31"/>
        <v>Tantou Xiang (Zhāotōng Shì)</v>
      </c>
    </row>
    <row r="1010" spans="1:16" hidden="1" x14ac:dyDescent="0.25">
      <c r="A1010" t="s">
        <v>2667</v>
      </c>
      <c r="B1010" t="str">
        <f>IF(COUNTIF(A:A,A1010)&gt;1,_xlfn.CONCAT(A1010," (",N1010,")"),A1010)</f>
        <v>Táoyuán Huízú Xiāng</v>
      </c>
      <c r="C1010" t="str">
        <f>IF(COUNTIF(B:B,B1010)&gt;1,_xlfn.CONCAT(A1010," (",M1010,")"),B1010)</f>
        <v>Táoyuán Huízú Xiāng</v>
      </c>
      <c r="D1010" t="s">
        <v>2668</v>
      </c>
      <c r="E1010" t="s">
        <v>7</v>
      </c>
      <c r="F1010" t="str">
        <f>_xlfn.CONCAT(D1010,", ",H1010,", ",I1010,", ","云南省")</f>
        <v>桃源回族乡, 鲁甸县, 昭通市, 云南省</v>
      </c>
      <c r="G1010">
        <v>33503</v>
      </c>
      <c r="H1010" t="s">
        <v>2901</v>
      </c>
      <c r="I1010" t="s">
        <v>2899</v>
      </c>
      <c r="J1010" t="e">
        <f>VLOOKUP(F1010,[1]!china_towns_second__2[[Column1]:[Y]],3,FALSE)</f>
        <v>#N/A</v>
      </c>
      <c r="K1010" t="e">
        <f>VLOOKUP(F1010,[1]!china_towns_second__2[[Column1]:[Y]],2,FALSE)</f>
        <v>#N/A</v>
      </c>
      <c r="L1010" t="s">
        <v>4563</v>
      </c>
      <c r="M1010" t="str">
        <f>VLOOKUP(H1010,CHOOSE({1,2},Table17[Native],Table17[Name]),2,0)</f>
        <v>Lŭdiàn Xiàn</v>
      </c>
      <c r="N1010" s="15" t="str">
        <f>VLOOKUP(I1010,CHOOSE({1,2},Table17[Native],Table17[Name]),2,0)</f>
        <v>Zhāotōng Shì</v>
      </c>
      <c r="O1010" s="15" t="str">
        <f t="shared" si="30"/>
        <v>Taoyuan Huizu Xiang (Zhāotōng Shì)</v>
      </c>
      <c r="P1010" s="15" t="str">
        <f t="shared" si="31"/>
        <v>Taoyuan Huizu Xiang (Zhāotōng Shì)</v>
      </c>
    </row>
    <row r="1011" spans="1:16" hidden="1" x14ac:dyDescent="0.25">
      <c r="A1011" t="s">
        <v>1399</v>
      </c>
      <c r="B1011" t="str">
        <f>IF(COUNTIF(A:A,A1011)&gt;1,_xlfn.CONCAT(A1011," (",N1011,")"),A1011)</f>
        <v>Tāoyuán Zhèn</v>
      </c>
      <c r="C1011" t="str">
        <f>IF(COUNTIF(B:B,B1011)&gt;1,_xlfn.CONCAT(A1011," (",M1011,")"),B1011)</f>
        <v>Tāoyuán Zhèn</v>
      </c>
      <c r="D1011" t="s">
        <v>1400</v>
      </c>
      <c r="E1011" t="s">
        <v>11</v>
      </c>
      <c r="F1011" t="str">
        <f>_xlfn.CONCAT(D1011,", ",H1011,", ",I1011,", ","云南省")</f>
        <v>涛源镇, 永胜县, 丽江市, 云南省</v>
      </c>
      <c r="G1011">
        <v>34655</v>
      </c>
      <c r="H1011" t="s">
        <v>2828</v>
      </c>
      <c r="I1011" t="s">
        <v>2823</v>
      </c>
      <c r="J1011">
        <f>VLOOKUP(F1011,[1]!china_towns_second__2[[Column1]:[Y]],3,FALSE)</f>
        <v>26.288500791747499</v>
      </c>
      <c r="K1011">
        <f>VLOOKUP(F1011,[1]!china_towns_second__2[[Column1]:[Y]],2,FALSE)</f>
        <v>100.50267820000001</v>
      </c>
      <c r="L1011" t="s">
        <v>4564</v>
      </c>
      <c r="M1011" t="str">
        <f>VLOOKUP(H1011,CHOOSE({1,2},Table17[Native],Table17[Name]),2,0)</f>
        <v>Yŏngshèng Xiàn</v>
      </c>
      <c r="N1011" s="15" t="str">
        <f>VLOOKUP(I1011,CHOOSE({1,2},Table17[Native],Table17[Name]),2,0)</f>
        <v>Lìjiāng Shì</v>
      </c>
      <c r="O1011" s="15" t="str">
        <f t="shared" si="30"/>
        <v>Taoyuan Zhen (Lìjiāng Shì)</v>
      </c>
      <c r="P1011" s="15" t="str">
        <f t="shared" si="31"/>
        <v>Taoyuan Zhen (Lìjiāng Shì)</v>
      </c>
    </row>
    <row r="1012" spans="1:16" hidden="1" x14ac:dyDescent="0.25">
      <c r="A1012" t="s">
        <v>111</v>
      </c>
      <c r="B1012" t="str">
        <f>IF(COUNTIF(A:A,A1012)&gt;1,_xlfn.CONCAT(A1012," (",N1012,")"),A1012)</f>
        <v>Téngyuè Zhèn</v>
      </c>
      <c r="C1012" t="str">
        <f>IF(COUNTIF(B:B,B1012)&gt;1,_xlfn.CONCAT(A1012," (",M1012,")"),B1012)</f>
        <v>Téngyuè Zhèn</v>
      </c>
      <c r="D1012" t="s">
        <v>112</v>
      </c>
      <c r="E1012" t="s">
        <v>11</v>
      </c>
      <c r="F1012" t="str">
        <f>_xlfn.CONCAT(D1012,", ",H1012,", ",I1012,", ","云南省")</f>
        <v>腾越镇, 腾冲市, 保山市, 云南省</v>
      </c>
      <c r="G1012">
        <v>127133</v>
      </c>
      <c r="H1012" t="s">
        <v>2747</v>
      </c>
      <c r="I1012" t="s">
        <v>2739</v>
      </c>
      <c r="J1012">
        <f>VLOOKUP(F1012,[1]!china_towns_second__2[[Column1]:[Y]],3,FALSE)</f>
        <v>24.9902277422662</v>
      </c>
      <c r="K1012">
        <f>VLOOKUP(F1012,[1]!china_towns_second__2[[Column1]:[Y]],2,FALSE)</f>
        <v>98.532902620000002</v>
      </c>
      <c r="L1012" t="s">
        <v>4565</v>
      </c>
      <c r="M1012" t="str">
        <f>VLOOKUP(H1012,CHOOSE({1,2},Table17[Native],Table17[Name]),2,0)</f>
        <v>Téngchōng Shì</v>
      </c>
      <c r="N1012" s="15" t="str">
        <f>VLOOKUP(I1012,CHOOSE({1,2},Table17[Native],Table17[Name]),2,0)</f>
        <v>Băoshān Shì</v>
      </c>
      <c r="O1012" s="15" t="str">
        <f t="shared" si="30"/>
        <v>Tengyue Zhen (Băoshān Shì)</v>
      </c>
      <c r="P1012" s="15" t="str">
        <f t="shared" si="31"/>
        <v>Tengyue Zhen (Băoshān Shì)</v>
      </c>
    </row>
    <row r="1013" spans="1:16" hidden="1" x14ac:dyDescent="0.25">
      <c r="A1013" t="s">
        <v>1799</v>
      </c>
      <c r="B1013" t="str">
        <f>IF(COUNTIF(A:A,A1013)&gt;1,_xlfn.CONCAT(A1013," (",N1013,")"),A1013)</f>
        <v>Tiánbà Xiāng (Pŭ'ĕr Shì)</v>
      </c>
      <c r="C1013" t="str">
        <f>IF(COUNTIF(B:B,B1013)&gt;1,_xlfn.CONCAT(A1013," (",M1013,")"),B1013)</f>
        <v>Tiánbà Xiāng (Pŭ'ĕr Shì)</v>
      </c>
      <c r="D1013" t="s">
        <v>1800</v>
      </c>
      <c r="E1013" t="s">
        <v>7</v>
      </c>
      <c r="F1013" t="str">
        <f>_xlfn.CONCAT(D1013,", ",H1013,", ",I1013,", ","云南省")</f>
        <v>田坝乡, 镇沅彝族哈尼族拉祜族自治县, 普洱市, 云南省</v>
      </c>
      <c r="G1013">
        <v>8601</v>
      </c>
      <c r="H1013" t="s">
        <v>2858</v>
      </c>
      <c r="I1013" t="s">
        <v>2848</v>
      </c>
      <c r="J1013" t="e">
        <f>VLOOKUP(F1013,[1]!china_towns_second__2[[Column1]:[Y]],3,FALSE)</f>
        <v>#N/A</v>
      </c>
      <c r="K1013" t="e">
        <f>VLOOKUP(F1013,[1]!china_towns_second__2[[Column1]:[Y]],2,FALSE)</f>
        <v>#N/A</v>
      </c>
      <c r="L1013" t="s">
        <v>4566</v>
      </c>
      <c r="M1013" t="str">
        <f>VLOOKUP(H1013,CHOOSE({1,2},Table17[Native],Table17[Name]),2,0)</f>
        <v>Zhènyuán Yízú Hānízú Lāhùzú Zìzhìxiàn</v>
      </c>
      <c r="N1013" s="15" t="str">
        <f>VLOOKUP(I1013,CHOOSE({1,2},Table17[Native],Table17[Name]),2,0)</f>
        <v>Pŭ'ĕr Shì</v>
      </c>
      <c r="O1013" s="15" t="str">
        <f t="shared" si="30"/>
        <v>Tianba Xiang (Pu'er Shi) (Pŭ'ĕr Shì)</v>
      </c>
      <c r="P1013" s="15" t="str">
        <f t="shared" si="31"/>
        <v>Tianba Xiang (Pu'er Shi) (Pŭ'ĕr Shì)</v>
      </c>
    </row>
    <row r="1014" spans="1:16" hidden="1" x14ac:dyDescent="0.25">
      <c r="A1014" t="s">
        <v>1799</v>
      </c>
      <c r="B1014" t="str">
        <f>IF(COUNTIF(A:A,A1014)&gt;1,_xlfn.CONCAT(A1014," (",N1014,")"),A1014)</f>
        <v>Tiánbà Xiāng (Qŭjìng Shì)</v>
      </c>
      <c r="C1014" t="str">
        <f>IF(COUNTIF(B:B,B1014)&gt;1,_xlfn.CONCAT(A1014," (",M1014,")"),B1014)</f>
        <v>Tiánbà Xiāng (Qŭjìng Shì)</v>
      </c>
      <c r="D1014" t="s">
        <v>1800</v>
      </c>
      <c r="E1014" t="s">
        <v>7</v>
      </c>
      <c r="F1014" t="str">
        <f>_xlfn.CONCAT(D1014,", ",H1014,", ",I1014,", ","云南省")</f>
        <v>田坝乡, 会泽县, 曲靖市, 云南省</v>
      </c>
      <c r="G1014">
        <v>31148</v>
      </c>
      <c r="H1014" t="s">
        <v>2862</v>
      </c>
      <c r="I1014" t="s">
        <v>2860</v>
      </c>
      <c r="J1014" t="e">
        <f>VLOOKUP(F1014,[1]!china_towns_second__2[[Column1]:[Y]],3,FALSE)</f>
        <v>#N/A</v>
      </c>
      <c r="K1014" t="e">
        <f>VLOOKUP(F1014,[1]!china_towns_second__2[[Column1]:[Y]],2,FALSE)</f>
        <v>#N/A</v>
      </c>
      <c r="L1014" t="s">
        <v>4567</v>
      </c>
      <c r="M1014" t="str">
        <f>VLOOKUP(H1014,CHOOSE({1,2},Table17[Native],Table17[Name]),2,0)</f>
        <v>Huìzé Xiàn</v>
      </c>
      <c r="N1014" s="15" t="str">
        <f>VLOOKUP(I1014,CHOOSE({1,2},Table17[Native],Table17[Name]),2,0)</f>
        <v>Qŭjìng Shì</v>
      </c>
      <c r="O1014" s="15" t="str">
        <f t="shared" si="30"/>
        <v>Tianba Xiang (Qujing Shi) (Qŭjìng Shì)</v>
      </c>
      <c r="P1014" s="15" t="str">
        <f t="shared" si="31"/>
        <v>Tianba Xiang (Qujing Shi) (Qŭjìng Shì)</v>
      </c>
    </row>
    <row r="1015" spans="1:16" hidden="1" x14ac:dyDescent="0.25">
      <c r="A1015" t="s">
        <v>1799</v>
      </c>
      <c r="B1015" t="str">
        <f>IF(COUNTIF(A:A,A1015)&gt;1,_xlfn.CONCAT(A1015," (",N1015,")"),A1015)</f>
        <v>Tiánbà Xiāng (Zhāotōng Shì)</v>
      </c>
      <c r="C1015" t="str">
        <f>IF(COUNTIF(B:B,B1015)&gt;1,_xlfn.CONCAT(A1015," (",M1015,")"),B1015)</f>
        <v>Tiánbà Xiāng (Zhāotōng Shì)</v>
      </c>
      <c r="D1015" t="s">
        <v>1800</v>
      </c>
      <c r="E1015" t="s">
        <v>7</v>
      </c>
      <c r="F1015" t="str">
        <f>_xlfn.CONCAT(D1015,", ",H1015,", ",I1015,", ","云南省")</f>
        <v>田坝乡, 昭阳区, 昭通市, 云南省</v>
      </c>
      <c r="G1015">
        <v>10356</v>
      </c>
      <c r="H1015" t="s">
        <v>2909</v>
      </c>
      <c r="I1015" t="s">
        <v>2899</v>
      </c>
      <c r="J1015" t="e">
        <f>VLOOKUP(F1015,[1]!china_towns_second__2[[Column1]:[Y]],3,FALSE)</f>
        <v>#N/A</v>
      </c>
      <c r="K1015" t="e">
        <f>VLOOKUP(F1015,[1]!china_towns_second__2[[Column1]:[Y]],2,FALSE)</f>
        <v>#N/A</v>
      </c>
      <c r="L1015" t="s">
        <v>4568</v>
      </c>
      <c r="M1015" t="str">
        <f>VLOOKUP(H1015,CHOOSE({1,2},Table17[Native],Table17[Name]),2,0)</f>
        <v>Zhāoyáng Qū</v>
      </c>
      <c r="N1015" s="15" t="str">
        <f>VLOOKUP(I1015,CHOOSE({1,2},Table17[Native],Table17[Name]),2,0)</f>
        <v>Zhāotōng Shì</v>
      </c>
      <c r="O1015" s="15" t="str">
        <f t="shared" si="30"/>
        <v>Tianba Xiang (Zhaotong Shi) (Zhāotōng Shì)</v>
      </c>
      <c r="P1015" s="15" t="str">
        <f t="shared" si="31"/>
        <v>Tianba Xiang (Zhaotong Shi) (Zhāotōng Shì)</v>
      </c>
    </row>
    <row r="1016" spans="1:16" hidden="1" x14ac:dyDescent="0.25">
      <c r="A1016" t="s">
        <v>1997</v>
      </c>
      <c r="B1016" t="str">
        <f>IF(COUNTIF(A:A,A1016)&gt;1,_xlfn.CONCAT(A1016," (",N1016,")"),A1016)</f>
        <v>Tiánbà Zhèn</v>
      </c>
      <c r="C1016" t="str">
        <f>IF(COUNTIF(B:B,B1016)&gt;1,_xlfn.CONCAT(A1016," (",M1016,")"),B1016)</f>
        <v>Tiánbà Zhèn</v>
      </c>
      <c r="D1016" t="s">
        <v>1998</v>
      </c>
      <c r="E1016" t="s">
        <v>11</v>
      </c>
      <c r="F1016" t="str">
        <f>_xlfn.CONCAT(D1016,", ",H1016,", ",I1016,", ","云南省")</f>
        <v>田坝镇, 宣威市, 曲靖市, 云南省</v>
      </c>
      <c r="G1016">
        <v>63139</v>
      </c>
      <c r="H1016" t="s">
        <v>2868</v>
      </c>
      <c r="I1016" t="s">
        <v>2860</v>
      </c>
      <c r="J1016">
        <f>VLOOKUP(F1016,[1]!china_towns_second__2[[Column1]:[Y]],3,FALSE)</f>
        <v>26.171554294516699</v>
      </c>
      <c r="K1016">
        <f>VLOOKUP(F1016,[1]!china_towns_second__2[[Column1]:[Y]],2,FALSE)</f>
        <v>104.4464728</v>
      </c>
      <c r="L1016" t="s">
        <v>4569</v>
      </c>
      <c r="M1016" t="str">
        <f>VLOOKUP(H1016,CHOOSE({1,2},Table17[Native],Table17[Name]),2,0)</f>
        <v>Xuānwēi Shì</v>
      </c>
      <c r="N1016" s="15" t="str">
        <f>VLOOKUP(I1016,CHOOSE({1,2},Table17[Native],Table17[Name]),2,0)</f>
        <v>Qŭjìng Shì</v>
      </c>
      <c r="O1016" s="15" t="str">
        <f t="shared" si="30"/>
        <v>Tianba Zhen (Qŭjìng Shì)</v>
      </c>
      <c r="P1016" s="15" t="str">
        <f t="shared" si="31"/>
        <v>Tianba Zhen (Qŭjìng Shì)</v>
      </c>
    </row>
    <row r="1017" spans="1:16" hidden="1" x14ac:dyDescent="0.25">
      <c r="A1017" t="s">
        <v>2203</v>
      </c>
      <c r="B1017" t="str">
        <f>IF(COUNTIF(A:A,A1017)&gt;1,_xlfn.CONCAT(A1017," (",N1017,")"),A1017)</f>
        <v>Tiānbăo Zhèn</v>
      </c>
      <c r="C1017" t="str">
        <f>IF(COUNTIF(B:B,B1017)&gt;1,_xlfn.CONCAT(A1017," (",M1017,")"),B1017)</f>
        <v>Tiānbăo Zhèn</v>
      </c>
      <c r="D1017" t="s">
        <v>2204</v>
      </c>
      <c r="E1017" t="s">
        <v>11</v>
      </c>
      <c r="F1017" t="str">
        <f>_xlfn.CONCAT(D1017,", ",H1017,", ",I1017,", ","云南省")</f>
        <v>天保镇, 麻栗坡县, 文山壮族苗族自治州, 云南省</v>
      </c>
      <c r="G1017">
        <v>20109</v>
      </c>
      <c r="H1017" t="s">
        <v>2876</v>
      </c>
      <c r="I1017" t="s">
        <v>2872</v>
      </c>
      <c r="J1017">
        <f>VLOOKUP(F1017,[1]!china_towns_second__2[[Column1]:[Y]],3,FALSE)</f>
        <v>22.979915345284802</v>
      </c>
      <c r="K1017">
        <f>VLOOKUP(F1017,[1]!china_towns_second__2[[Column1]:[Y]],2,FALSE)</f>
        <v>104.71537240000001</v>
      </c>
      <c r="L1017" t="s">
        <v>4570</v>
      </c>
      <c r="M1017" t="str">
        <f>VLOOKUP(H1017,CHOOSE({1,2},Table17[Native],Table17[Name]),2,0)</f>
        <v>Málìpō Xiàn</v>
      </c>
      <c r="N1017" s="15" t="str">
        <f>VLOOKUP(I1017,CHOOSE({1,2},Table17[Native],Table17[Name]),2,0)</f>
        <v>Wénshān Zhuàngzú Miáozú Zìzhìzhōu</v>
      </c>
      <c r="O1017" s="15" t="str">
        <f t="shared" si="30"/>
        <v>Tianbao Zhen (Wénshān Zhuàngzú Miáozú Zìzhìzhōu)</v>
      </c>
      <c r="P1017" s="15" t="str">
        <f t="shared" si="31"/>
        <v>Tianbao Zhen (Wénshān Zhuàngzú Miáozú Zìzhìzhōu)</v>
      </c>
    </row>
    <row r="1018" spans="1:16" hidden="1" x14ac:dyDescent="0.25">
      <c r="A1018" t="s">
        <v>2205</v>
      </c>
      <c r="B1018" t="str">
        <f>IF(COUNTIF(A:A,A1018)&gt;1,_xlfn.CONCAT(A1018," (",N1018,")"),A1018)</f>
        <v>Tiánpéng Zhèn</v>
      </c>
      <c r="C1018" t="str">
        <f>IF(COUNTIF(B:B,B1018)&gt;1,_xlfn.CONCAT(A1018," (",M1018,")"),B1018)</f>
        <v>Tiánpéng Zhèn</v>
      </c>
      <c r="D1018" t="s">
        <v>2206</v>
      </c>
      <c r="E1018" t="s">
        <v>11</v>
      </c>
      <c r="F1018" t="str">
        <f>_xlfn.CONCAT(D1018,", ",H1018,", ",I1018,", ","云南省")</f>
        <v>田蓬镇, 富宁县, 文山壮族苗族自治州, 云南省</v>
      </c>
      <c r="G1018">
        <v>51985</v>
      </c>
      <c r="H1018" t="s">
        <v>2873</v>
      </c>
      <c r="I1018" t="s">
        <v>2872</v>
      </c>
      <c r="J1018">
        <f>VLOOKUP(F1018,[1]!china_towns_second__2[[Column1]:[Y]],3,FALSE)</f>
        <v>23.342777051869401</v>
      </c>
      <c r="K1018">
        <f>VLOOKUP(F1018,[1]!china_towns_second__2[[Column1]:[Y]],2,FALSE)</f>
        <v>105.51277450000001</v>
      </c>
      <c r="L1018" t="s">
        <v>4571</v>
      </c>
      <c r="M1018" t="str">
        <f>VLOOKUP(H1018,CHOOSE({1,2},Table17[Native],Table17[Name]),2,0)</f>
        <v>Fùníng Xiàn</v>
      </c>
      <c r="N1018" s="15" t="str">
        <f>VLOOKUP(I1018,CHOOSE({1,2},Table17[Native],Table17[Name]),2,0)</f>
        <v>Wénshān Zhuàngzú Miáozú Zìzhìzhōu</v>
      </c>
      <c r="O1018" s="15" t="str">
        <f t="shared" si="30"/>
        <v>Tianpeng Zhen (Wénshān Zhuàngzú Miáozú Zìzhìzhōu)</v>
      </c>
      <c r="P1018" s="15" t="str">
        <f t="shared" si="31"/>
        <v>Tianpeng Zhen (Wénshān Zhuàngzú Miáozú Zìzhìzhōu)</v>
      </c>
    </row>
    <row r="1019" spans="1:16" hidden="1" x14ac:dyDescent="0.25">
      <c r="A1019" t="s">
        <v>305</v>
      </c>
      <c r="B1019" t="str">
        <f>IF(COUNTIF(A:A,A1019)&gt;1,_xlfn.CONCAT(A1019," (",N1019,")"),A1019)</f>
        <v>Tiánxīn Xiāng</v>
      </c>
      <c r="C1019" t="str">
        <f>IF(COUNTIF(B:B,B1019)&gt;1,_xlfn.CONCAT(A1019," (",M1019,")"),B1019)</f>
        <v>Tiánxīn Xiāng</v>
      </c>
      <c r="D1019" t="s">
        <v>306</v>
      </c>
      <c r="E1019" t="s">
        <v>7</v>
      </c>
      <c r="F1019" t="str">
        <f>_xlfn.CONCAT(D1019,", ",H1019,", ",I1019,", ","云南省")</f>
        <v>田心乡, 武定县, 楚雄彝族自治州, 云南省</v>
      </c>
      <c r="G1019">
        <v>17360</v>
      </c>
      <c r="H1019" t="s">
        <v>2757</v>
      </c>
      <c r="I1019" t="s">
        <v>2750</v>
      </c>
      <c r="J1019" t="e">
        <f>VLOOKUP(F1019,[1]!china_towns_second__2[[Column1]:[Y]],3,FALSE)</f>
        <v>#N/A</v>
      </c>
      <c r="K1019" t="e">
        <f>VLOOKUP(F1019,[1]!china_towns_second__2[[Column1]:[Y]],2,FALSE)</f>
        <v>#N/A</v>
      </c>
      <c r="L1019" t="s">
        <v>4572</v>
      </c>
      <c r="M1019" t="str">
        <f>VLOOKUP(H1019,CHOOSE({1,2},Table17[Native],Table17[Name]),2,0)</f>
        <v>Wŭdìng Xiàn</v>
      </c>
      <c r="N1019" s="15" t="str">
        <f>VLOOKUP(I1019,CHOOSE({1,2},Table17[Native],Table17[Name]),2,0)</f>
        <v>Chŭxióng Yízú Zìzhìzhōu</v>
      </c>
      <c r="O1019" s="15" t="str">
        <f t="shared" si="30"/>
        <v>Tianxin Xiang (Chŭxióng Yízú Zìzhìzhōu)</v>
      </c>
      <c r="P1019" s="15" t="str">
        <f t="shared" si="31"/>
        <v>Tianxin Xiang (Chŭxióng Yízú Zìzhìzhōu)</v>
      </c>
    </row>
    <row r="1020" spans="1:16" hidden="1" x14ac:dyDescent="0.25">
      <c r="A1020" t="s">
        <v>2207</v>
      </c>
      <c r="B1020" t="str">
        <f>IF(COUNTIF(A:A,A1020)&gt;1,_xlfn.CONCAT(A1020," (",N1020,")"),A1020)</f>
        <v>Tiānxīng Xiāng</v>
      </c>
      <c r="C1020" t="str">
        <f>IF(COUNTIF(B:B,B1020)&gt;1,_xlfn.CONCAT(A1020," (",M1020,")"),B1020)</f>
        <v>Tiānxīng Xiāng</v>
      </c>
      <c r="D1020" t="s">
        <v>2208</v>
      </c>
      <c r="E1020" t="s">
        <v>7</v>
      </c>
      <c r="F1020" t="str">
        <f>_xlfn.CONCAT(D1020,", ",H1020,", ",I1020,", ","云南省")</f>
        <v>天星乡, 丘北县, 文山壮族苗族自治州, 云南省</v>
      </c>
      <c r="G1020">
        <v>43004</v>
      </c>
      <c r="H1020" t="s">
        <v>2877</v>
      </c>
      <c r="I1020" t="s">
        <v>2872</v>
      </c>
      <c r="J1020" t="e">
        <f>VLOOKUP(F1020,[1]!china_towns_second__2[[Column1]:[Y]],3,FALSE)</f>
        <v>#N/A</v>
      </c>
      <c r="K1020" t="e">
        <f>VLOOKUP(F1020,[1]!china_towns_second__2[[Column1]:[Y]],2,FALSE)</f>
        <v>#N/A</v>
      </c>
      <c r="L1020" t="s">
        <v>4573</v>
      </c>
      <c r="M1020" t="str">
        <f>VLOOKUP(H1020,CHOOSE({1,2},Table17[Native],Table17[Name]),2,0)</f>
        <v>Qiūbĕi Xiàn</v>
      </c>
      <c r="N1020" s="15" t="str">
        <f>VLOOKUP(I1020,CHOOSE({1,2},Table17[Native],Table17[Name]),2,0)</f>
        <v>Wénshān Zhuàngzú Miáozú Zìzhìzhōu</v>
      </c>
      <c r="O1020" s="15" t="str">
        <f t="shared" si="30"/>
        <v>Tianxing Xiang (Wénshān Zhuàngzú Miáozú Zìzhìzhōu)</v>
      </c>
      <c r="P1020" s="15" t="str">
        <f t="shared" si="31"/>
        <v>Tianxing Xiang (Wénshān Zhuàngzú Miáozú Zìzhìzhōu)</v>
      </c>
    </row>
    <row r="1021" spans="1:16" hidden="1" x14ac:dyDescent="0.25">
      <c r="A1021" t="s">
        <v>2669</v>
      </c>
      <c r="B1021" t="str">
        <f>IF(COUNTIF(A:A,A1021)&gt;1,_xlfn.CONCAT(A1021," (",N1021,")"),A1021)</f>
        <v>Tiānxīng Zhèn</v>
      </c>
      <c r="C1021" t="str">
        <f>IF(COUNTIF(B:B,B1021)&gt;1,_xlfn.CONCAT(A1021," (",M1021,")"),B1021)</f>
        <v>Tiānxīng Zhèn</v>
      </c>
      <c r="D1021" t="s">
        <v>2670</v>
      </c>
      <c r="E1021" t="s">
        <v>11</v>
      </c>
      <c r="F1021" t="str">
        <f>_xlfn.CONCAT(D1021,", ",H1021,", ",I1021,", ","云南省")</f>
        <v>天星镇, 大关县, 昭通市, 云南省</v>
      </c>
      <c r="G1021">
        <v>58221</v>
      </c>
      <c r="H1021" t="s">
        <v>2900</v>
      </c>
      <c r="I1021" t="s">
        <v>2899</v>
      </c>
      <c r="J1021">
        <f>VLOOKUP(F1021,[1]!china_towns_second__2[[Column1]:[Y]],3,FALSE)</f>
        <v>27.8320528436651</v>
      </c>
      <c r="K1021">
        <f>VLOOKUP(F1021,[1]!china_towns_second__2[[Column1]:[Y]],2,FALSE)</f>
        <v>104.00016239999999</v>
      </c>
      <c r="L1021" t="s">
        <v>4574</v>
      </c>
      <c r="M1021" t="str">
        <f>VLOOKUP(H1021,CHOOSE({1,2},Table17[Native],Table17[Name]),2,0)</f>
        <v>Dàguān Xiàn</v>
      </c>
      <c r="N1021" s="15" t="str">
        <f>VLOOKUP(I1021,CHOOSE({1,2},Table17[Native],Table17[Name]),2,0)</f>
        <v>Zhāotōng Shì</v>
      </c>
      <c r="O1021" s="15" t="str">
        <f t="shared" si="30"/>
        <v>Tianxing Zhen (Zhāotōng Shì)</v>
      </c>
      <c r="P1021" s="15" t="str">
        <f t="shared" si="31"/>
        <v>Tianxing Zhen (Zhāotōng Shì)</v>
      </c>
    </row>
    <row r="1022" spans="1:16" hidden="1" x14ac:dyDescent="0.25">
      <c r="A1022" t="s">
        <v>113</v>
      </c>
      <c r="B1022" t="str">
        <f>IF(COUNTIF(A:A,A1022)&gt;1,_xlfn.CONCAT(A1022," (",N1022,")"),A1022)</f>
        <v>Tiányuán Zhèn</v>
      </c>
      <c r="C1022" t="str">
        <f>IF(COUNTIF(B:B,B1022)&gt;1,_xlfn.CONCAT(A1022," (",M1022,")"),B1022)</f>
        <v>Tiányuán Zhèn</v>
      </c>
      <c r="D1022" t="s">
        <v>114</v>
      </c>
      <c r="E1022" t="s">
        <v>11</v>
      </c>
      <c r="F1022" t="str">
        <f>_xlfn.CONCAT(D1022,", ",H1022,", ",I1022,", ","云南省")</f>
        <v>田园镇, 昌宁县, 保山市, 云南省</v>
      </c>
      <c r="G1022">
        <v>64265</v>
      </c>
      <c r="H1022" t="s">
        <v>2741</v>
      </c>
      <c r="I1022" t="s">
        <v>2739</v>
      </c>
      <c r="J1022">
        <f>VLOOKUP(F1022,[1]!china_towns_second__2[[Column1]:[Y]],3,FALSE)</f>
        <v>24.8265503034796</v>
      </c>
      <c r="K1022">
        <f>VLOOKUP(F1022,[1]!china_towns_second__2[[Column1]:[Y]],2,FALSE)</f>
        <v>99.638550780000003</v>
      </c>
      <c r="L1022" t="s">
        <v>4575</v>
      </c>
      <c r="M1022" t="str">
        <f>VLOOKUP(H1022,CHOOSE({1,2},Table17[Native],Table17[Name]),2,0)</f>
        <v>Chāngníng Xiàn</v>
      </c>
      <c r="N1022" s="15" t="str">
        <f>VLOOKUP(I1022,CHOOSE({1,2},Table17[Native],Table17[Name]),2,0)</f>
        <v>Băoshān Shì</v>
      </c>
      <c r="O1022" s="15" t="str">
        <f t="shared" si="30"/>
        <v>Tianyuan Zhen (Băoshān Shì)</v>
      </c>
      <c r="P1022" s="15" t="str">
        <f t="shared" si="31"/>
        <v>Tianyuan Zhen (Băoshān Shì)</v>
      </c>
    </row>
    <row r="1023" spans="1:16" hidden="1" x14ac:dyDescent="0.25">
      <c r="A1023" t="s">
        <v>2209</v>
      </c>
      <c r="B1023" t="str">
        <f>IF(COUNTIF(A:A,A1023)&gt;1,_xlfn.CONCAT(A1023," (",N1023,")"),A1023)</f>
        <v>Tiĕchăng Xiāng</v>
      </c>
      <c r="C1023" t="str">
        <f>IF(COUNTIF(B:B,B1023)&gt;1,_xlfn.CONCAT(A1023," (",M1023,")"),B1023)</f>
        <v>Tiĕchăng Xiāng</v>
      </c>
      <c r="D1023" t="s">
        <v>2210</v>
      </c>
      <c r="E1023" t="s">
        <v>7</v>
      </c>
      <c r="F1023" t="str">
        <f>_xlfn.CONCAT(D1023,", ",H1023,", ",I1023,", ","云南省")</f>
        <v>铁厂乡, 麻栗坡县, 文山壮族苗族自治州, 云南省</v>
      </c>
      <c r="G1023">
        <v>27914</v>
      </c>
      <c r="H1023" t="s">
        <v>2876</v>
      </c>
      <c r="I1023" t="s">
        <v>2872</v>
      </c>
      <c r="J1023" t="e">
        <f>VLOOKUP(F1023,[1]!china_towns_second__2[[Column1]:[Y]],3,FALSE)</f>
        <v>#N/A</v>
      </c>
      <c r="K1023" t="e">
        <f>VLOOKUP(F1023,[1]!china_towns_second__2[[Column1]:[Y]],2,FALSE)</f>
        <v>#N/A</v>
      </c>
      <c r="L1023" t="s">
        <v>4576</v>
      </c>
      <c r="M1023" t="str">
        <f>VLOOKUP(H1023,CHOOSE({1,2},Table17[Native],Table17[Name]),2,0)</f>
        <v>Málìpō Xiàn</v>
      </c>
      <c r="N1023" s="15" t="str">
        <f>VLOOKUP(I1023,CHOOSE({1,2},Table17[Native],Table17[Name]),2,0)</f>
        <v>Wénshān Zhuàngzú Miáozú Zìzhìzhōu</v>
      </c>
      <c r="O1023" s="15" t="str">
        <f t="shared" si="30"/>
        <v>Tiechang Xiang (Wénshān Zhuàngzú Miáozú Zìzhìzhōu)</v>
      </c>
      <c r="P1023" s="15" t="str">
        <f t="shared" si="31"/>
        <v>Tiechang Xiang (Wénshān Zhuàngzú Miáozú Zìzhìzhōu)</v>
      </c>
    </row>
    <row r="1024" spans="1:16" hidden="1" x14ac:dyDescent="0.25">
      <c r="A1024" t="s">
        <v>307</v>
      </c>
      <c r="B1024" t="str">
        <f>IF(COUNTIF(A:A,A1024)&gt;1,_xlfn.CONCAT(A1024," (",N1024,")"),A1024)</f>
        <v>Tiĕsuŏ Xiāng</v>
      </c>
      <c r="C1024" t="str">
        <f>IF(COUNTIF(B:B,B1024)&gt;1,_xlfn.CONCAT(A1024," (",M1024,")"),B1024)</f>
        <v>Tiĕsuŏ Xiāng</v>
      </c>
      <c r="D1024" t="s">
        <v>308</v>
      </c>
      <c r="E1024" t="s">
        <v>7</v>
      </c>
      <c r="F1024" t="str">
        <f>_xlfn.CONCAT(D1024,", ",H1024,", ",I1024,", ","云南省")</f>
        <v>铁锁乡, 大姚县, 楚雄彝族自治州, 云南省</v>
      </c>
      <c r="G1024">
        <v>10313</v>
      </c>
      <c r="H1024" t="s">
        <v>2752</v>
      </c>
      <c r="I1024" t="s">
        <v>2750</v>
      </c>
      <c r="J1024" t="e">
        <f>VLOOKUP(F1024,[1]!china_towns_second__2[[Column1]:[Y]],3,FALSE)</f>
        <v>#N/A</v>
      </c>
      <c r="K1024" t="e">
        <f>VLOOKUP(F1024,[1]!china_towns_second__2[[Column1]:[Y]],2,FALSE)</f>
        <v>#N/A</v>
      </c>
      <c r="L1024" t="s">
        <v>4577</v>
      </c>
      <c r="M1024" t="str">
        <f>VLOOKUP(H1024,CHOOSE({1,2},Table17[Native],Table17[Name]),2,0)</f>
        <v>Dàyáo Xiàn</v>
      </c>
      <c r="N1024" s="15" t="str">
        <f>VLOOKUP(I1024,CHOOSE({1,2},Table17[Native],Table17[Name]),2,0)</f>
        <v>Chŭxióng Yízú Zìzhìzhōu</v>
      </c>
      <c r="O1024" s="15" t="str">
        <f t="shared" si="30"/>
        <v>Tiesuo Xiang (Chŭxióng Yízú Zìzhìzhōu)</v>
      </c>
      <c r="P1024" s="15" t="str">
        <f t="shared" si="31"/>
        <v>Tiesuo Xiang (Chŭxióng Yízú Zìzhìzhōu)</v>
      </c>
    </row>
    <row r="1025" spans="1:16" hidden="1" x14ac:dyDescent="0.25">
      <c r="A1025" t="s">
        <v>677</v>
      </c>
      <c r="B1025" t="str">
        <f>IF(COUNTIF(A:A,A1025)&gt;1,_xlfn.CONCAT(A1025," (",N1025,")"),A1025)</f>
        <v>Tóngbìguān Xiāng</v>
      </c>
      <c r="C1025" t="str">
        <f>IF(COUNTIF(B:B,B1025)&gt;1,_xlfn.CONCAT(A1025," (",M1025,")"),B1025)</f>
        <v>Tóngbìguān Xiāng</v>
      </c>
      <c r="D1025" t="s">
        <v>678</v>
      </c>
      <c r="E1025" t="s">
        <v>7</v>
      </c>
      <c r="F1025" t="str">
        <f>_xlfn.CONCAT(D1025,", ",H1025,", ",I1025,", ","云南省")</f>
        <v>铜壁关乡, 盈江县, 德宏傣族景颇族自治州, 云南省</v>
      </c>
      <c r="G1025">
        <v>6459</v>
      </c>
      <c r="H1025" t="s">
        <v>2784</v>
      </c>
      <c r="I1025" t="s">
        <v>2779</v>
      </c>
      <c r="J1025" t="e">
        <f>VLOOKUP(F1025,[1]!china_towns_second__2[[Column1]:[Y]],3,FALSE)</f>
        <v>#N/A</v>
      </c>
      <c r="K1025" t="e">
        <f>VLOOKUP(F1025,[1]!china_towns_second__2[[Column1]:[Y]],2,FALSE)</f>
        <v>#N/A</v>
      </c>
      <c r="L1025" t="s">
        <v>4578</v>
      </c>
      <c r="M1025" t="str">
        <f>VLOOKUP(H1025,CHOOSE({1,2},Table17[Native],Table17[Name]),2,0)</f>
        <v>Yíngjiāng Xiàn</v>
      </c>
      <c r="N1025" s="15" t="str">
        <f>VLOOKUP(I1025,CHOOSE({1,2},Table17[Native],Table17[Name]),2,0)</f>
        <v>Déhóng Dăizú Jĭngpōzú Zìzhìzhōu</v>
      </c>
      <c r="O1025" s="15" t="str">
        <f t="shared" si="30"/>
        <v>Tongbiguan Xiang (Déhóng Dăizú Jĭngpōzú Zìzhìzhōu)</v>
      </c>
      <c r="P1025" s="15" t="str">
        <f t="shared" si="31"/>
        <v>Tongbiguan Xiang (Déhóng Dăizú Jĭngpōzú Zìzhìzhōu)</v>
      </c>
    </row>
    <row r="1026" spans="1:16" hidden="1" x14ac:dyDescent="0.25">
      <c r="A1026" t="s">
        <v>971</v>
      </c>
      <c r="B1026" t="str">
        <f>IF(COUNTIF(A:A,A1026)&gt;1,_xlfn.CONCAT(A1026," (",N1026,")"),A1026)</f>
        <v>Tóngchăng Xiāng</v>
      </c>
      <c r="C1026" t="str">
        <f>IF(COUNTIF(B:B,B1026)&gt;1,_xlfn.CONCAT(A1026," (",M1026,")"),B1026)</f>
        <v>Tóngchăng Xiāng</v>
      </c>
      <c r="D1026" t="s">
        <v>972</v>
      </c>
      <c r="E1026" t="s">
        <v>7</v>
      </c>
      <c r="F1026" t="str">
        <f>_xlfn.CONCAT(D1026,", ",H1026,", ",I1026,", ","云南省")</f>
        <v>铜厂乡, 金平苗族瑶族傣族自治县, 红河哈尼族彝族自治州, 云南省</v>
      </c>
      <c r="G1026">
        <v>30920</v>
      </c>
      <c r="H1026" t="s">
        <v>2797</v>
      </c>
      <c r="I1026" t="s">
        <v>2792</v>
      </c>
      <c r="J1026" t="e">
        <f>VLOOKUP(F1026,[1]!china_towns_second__2[[Column1]:[Y]],3,FALSE)</f>
        <v>#N/A</v>
      </c>
      <c r="K1026" t="e">
        <f>VLOOKUP(F1026,[1]!china_towns_second__2[[Column1]:[Y]],2,FALSE)</f>
        <v>#N/A</v>
      </c>
      <c r="L1026" t="s">
        <v>4579</v>
      </c>
      <c r="M1026" t="str">
        <f>VLOOKUP(H1026,CHOOSE({1,2},Table17[Native],Table17[Name]),2,0)</f>
        <v>Jīnpíng Miáozú Yáozú Dăizú Zìzhìxiàn</v>
      </c>
      <c r="N1026" s="15" t="str">
        <f>VLOOKUP(I1026,CHOOSE({1,2},Table17[Native],Table17[Name]),2,0)</f>
        <v>Hónghé Hānízú Yízú Zìzhìzhōu</v>
      </c>
      <c r="O1026" s="15" t="str">
        <f t="shared" ref="O1026:O1089" si="32">_xlfn.CONCAT(L1026," (",N1026,")")</f>
        <v>Tongchang Xiang (Hónghé Hānízú Yízú Zìzhìzhōu)</v>
      </c>
      <c r="P1026" s="15" t="str">
        <f t="shared" ref="P1026:P1089" si="33">IF(COUNTIF(O:O,O1026)&gt;1,_xlfn.CONCAT(L1026," (",M1026,")"),O1026)</f>
        <v>Tongchang Xiang (Hónghé Hānízú Yízú Zìzhìzhōu)</v>
      </c>
    </row>
    <row r="1027" spans="1:16" hidden="1" x14ac:dyDescent="0.25">
      <c r="A1027" t="s">
        <v>2428</v>
      </c>
      <c r="B1027" t="str">
        <f>IF(COUNTIF(A:A,A1027)&gt;1,_xlfn.CONCAT(A1027," (",N1027,")"),A1027)</f>
        <v>Tóngchăng Yízú Xiāng</v>
      </c>
      <c r="C1027" t="str">
        <f>IF(COUNTIF(B:B,B1027)&gt;1,_xlfn.CONCAT(A1027," (",M1027,")"),B1027)</f>
        <v>Tóngchăng Yízú Xiāng</v>
      </c>
      <c r="D1027" t="s">
        <v>2429</v>
      </c>
      <c r="E1027" t="s">
        <v>7</v>
      </c>
      <c r="F1027" t="str">
        <f>_xlfn.CONCAT(D1027,", ",H1027,", ",I1027,", ","云南省")</f>
        <v>铜厂彝族乡, 易门县, 玉溪市, 云南省</v>
      </c>
      <c r="G1027">
        <v>21609</v>
      </c>
      <c r="H1027" t="s">
        <v>2896</v>
      </c>
      <c r="I1027" t="s">
        <v>2888</v>
      </c>
      <c r="J1027" t="e">
        <f>VLOOKUP(F1027,[1]!china_towns_second__2[[Column1]:[Y]],3,FALSE)</f>
        <v>#N/A</v>
      </c>
      <c r="K1027" t="e">
        <f>VLOOKUP(F1027,[1]!china_towns_second__2[[Column1]:[Y]],2,FALSE)</f>
        <v>#N/A</v>
      </c>
      <c r="L1027" t="s">
        <v>4580</v>
      </c>
      <c r="M1027" t="str">
        <f>VLOOKUP(H1027,CHOOSE({1,2},Table17[Native],Table17[Name]),2,0)</f>
        <v>Yìmén Xiàn</v>
      </c>
      <c r="N1027" s="15" t="str">
        <f>VLOOKUP(I1027,CHOOSE({1,2},Table17[Native],Table17[Name]),2,0)</f>
        <v>Yùxī Shì</v>
      </c>
      <c r="O1027" s="15" t="str">
        <f t="shared" si="32"/>
        <v>Tongchang Yizu Xiang (Yùxī Shì)</v>
      </c>
      <c r="P1027" s="15" t="str">
        <f t="shared" si="33"/>
        <v>Tongchang Yizu Xiang (Yùxī Shì)</v>
      </c>
    </row>
    <row r="1028" spans="1:16" hidden="1" x14ac:dyDescent="0.25">
      <c r="A1028" t="s">
        <v>1401</v>
      </c>
      <c r="B1028" t="str">
        <f>IF(COUNTIF(A:A,A1028)&gt;1,_xlfn.CONCAT(A1028," (",N1028,")"),A1028)</f>
        <v>Tōngdá Lìsùzú Xiāng</v>
      </c>
      <c r="C1028" t="str">
        <f>IF(COUNTIF(B:B,B1028)&gt;1,_xlfn.CONCAT(A1028," (",M1028,")"),B1028)</f>
        <v>Tōngdá Lìsùzú Xiāng</v>
      </c>
      <c r="D1028" t="s">
        <v>1402</v>
      </c>
      <c r="E1028" t="s">
        <v>7</v>
      </c>
      <c r="F1028" t="str">
        <f>_xlfn.CONCAT(D1028,", ",H1028,", ",I1028,", ","云南省")</f>
        <v>通达傈僳族乡, 华坪县, 丽江市, 云南省</v>
      </c>
      <c r="G1028">
        <v>7975</v>
      </c>
      <c r="H1028" t="s">
        <v>2826</v>
      </c>
      <c r="I1028" t="s">
        <v>2823</v>
      </c>
      <c r="J1028" t="e">
        <f>VLOOKUP(F1028,[1]!china_towns_second__2[[Column1]:[Y]],3,FALSE)</f>
        <v>#N/A</v>
      </c>
      <c r="K1028" t="e">
        <f>VLOOKUP(F1028,[1]!china_towns_second__2[[Column1]:[Y]],2,FALSE)</f>
        <v>#N/A</v>
      </c>
      <c r="L1028" t="s">
        <v>4581</v>
      </c>
      <c r="M1028" t="str">
        <f>VLOOKUP(H1028,CHOOSE({1,2},Table17[Native],Table17[Name]),2,0)</f>
        <v>Huápíng Xiàn</v>
      </c>
      <c r="N1028" s="15" t="str">
        <f>VLOOKUP(I1028,CHOOSE({1,2},Table17[Native],Table17[Name]),2,0)</f>
        <v>Lìjiāng Shì</v>
      </c>
      <c r="O1028" s="15" t="str">
        <f t="shared" si="32"/>
        <v>Tongda Lisuzu Xiang (Lìjiāng Shì)</v>
      </c>
      <c r="P1028" s="15" t="str">
        <f t="shared" si="33"/>
        <v>Tongda Lisuzu Xiang (Lìjiāng Shì)</v>
      </c>
    </row>
    <row r="1029" spans="1:16" hidden="1" x14ac:dyDescent="0.25">
      <c r="A1029" t="s">
        <v>1641</v>
      </c>
      <c r="B1029" t="str">
        <f>IF(COUNTIF(A:A,A1029)&gt;1,_xlfn.CONCAT(A1029," (",N1029,")"),A1029)</f>
        <v>Tōngdiàn Zhèn</v>
      </c>
      <c r="C1029" t="str">
        <f>IF(COUNTIF(B:B,B1029)&gt;1,_xlfn.CONCAT(A1029," (",M1029,")"),B1029)</f>
        <v>Tōngdiàn Zhèn</v>
      </c>
      <c r="D1029" t="s">
        <v>1642</v>
      </c>
      <c r="E1029" t="s">
        <v>11</v>
      </c>
      <c r="F1029" t="str">
        <f>_xlfn.CONCAT(D1029,", ",H1029,", ",I1029,", ","云南省")</f>
        <v>通甸镇, 兰坪白族普米族自治县, 怒江傈僳族自治州, 云南省</v>
      </c>
      <c r="G1029">
        <v>23916</v>
      </c>
      <c r="H1029" t="s">
        <v>2845</v>
      </c>
      <c r="I1029" t="s">
        <v>2842</v>
      </c>
      <c r="J1029">
        <f>VLOOKUP(F1029,[1]!china_towns_second__2[[Column1]:[Y]],3,FALSE)</f>
        <v>26.703025222725898</v>
      </c>
      <c r="K1029">
        <f>VLOOKUP(F1029,[1]!china_towns_second__2[[Column1]:[Y]],2,FALSE)</f>
        <v>99.497267719999996</v>
      </c>
      <c r="L1029" t="s">
        <v>4582</v>
      </c>
      <c r="M1029" t="str">
        <f>VLOOKUP(H1029,CHOOSE({1,2},Table17[Native],Table17[Name]),2,0)</f>
        <v>Lánpíng Báizú Pŭmĭzú Zìzhìxiàn</v>
      </c>
      <c r="N1029" s="15" t="str">
        <f>VLOOKUP(I1029,CHOOSE({1,2},Table17[Native],Table17[Name]),2,0)</f>
        <v>Nùjiāng Lìsùzú Zìzhìzhōu</v>
      </c>
      <c r="O1029" s="15" t="str">
        <f t="shared" si="32"/>
        <v>Tongdian Zhen (Nùjiāng Lìsùzú Zìzhìzhōu)</v>
      </c>
      <c r="P1029" s="15" t="str">
        <f t="shared" si="33"/>
        <v>Tongdian Zhen (Nùjiāng Lìsùzú Zìzhìzhōu)</v>
      </c>
    </row>
    <row r="1030" spans="1:16" hidden="1" x14ac:dyDescent="0.25">
      <c r="A1030" t="s">
        <v>1240</v>
      </c>
      <c r="B1030" t="str">
        <f>IF(COUNTIF(A:A,A1030)&gt;1,_xlfn.CONCAT(A1030," (",N1030,")"),A1030)</f>
        <v>Tóngdū Jiēdào [incl. Bìgǔ Jiēdào]</v>
      </c>
      <c r="C1030" t="str">
        <f>IF(COUNTIF(B:B,B1030)&gt;1,_xlfn.CONCAT(A1030," (",M1030,")"),B1030)</f>
        <v>Tóngdū Jiēdào [incl. Bìgǔ Jiēdào]</v>
      </c>
      <c r="D1030" t="s">
        <v>1241</v>
      </c>
      <c r="E1030" t="s">
        <v>42</v>
      </c>
      <c r="F1030" t="str">
        <f>_xlfn.CONCAT(D1030,", ",H1030,", ",I1030,", ","云南省")</f>
        <v>铜都街道, 东川区, 昆明市, 云南省</v>
      </c>
      <c r="G1030">
        <v>127887</v>
      </c>
      <c r="H1030" t="s">
        <v>2810</v>
      </c>
      <c r="I1030" t="s">
        <v>2807</v>
      </c>
      <c r="J1030">
        <f>VLOOKUP(F1030,[1]!china_towns_second__2[[Column1]:[Y]],3,FALSE)</f>
        <v>26.110513982417402</v>
      </c>
      <c r="K1030">
        <f>VLOOKUP(F1030,[1]!china_towns_second__2[[Column1]:[Y]],2,FALSE)</f>
        <v>103.1938566</v>
      </c>
      <c r="L1030" t="s">
        <v>4583</v>
      </c>
      <c r="M1030" t="str">
        <f>VLOOKUP(H1030,CHOOSE({1,2},Table17[Native],Table17[Name]),2,0)</f>
        <v>Dōngchuān Qū</v>
      </c>
      <c r="N1030" s="15" t="str">
        <f>VLOOKUP(I1030,CHOOSE({1,2},Table17[Native],Table17[Name]),2,0)</f>
        <v>Kūnmíng Shì</v>
      </c>
      <c r="O1030" s="15" t="str">
        <f t="shared" si="32"/>
        <v>Tongdu Jiedao [incl. Bigu Jiedao] (Kūnmíng Shì)</v>
      </c>
      <c r="P1030" s="15" t="str">
        <f t="shared" si="33"/>
        <v>Tongdu Jiedao [incl. Bigu Jiedao] (Kūnmíng Shì)</v>
      </c>
    </row>
    <row r="1031" spans="1:16" hidden="1" x14ac:dyDescent="0.25">
      <c r="A1031" t="s">
        <v>1801</v>
      </c>
      <c r="B1031" t="str">
        <f>IF(COUNTIF(A:A,A1031)&gt;1,_xlfn.CONCAT(A1031," (",N1031,")"),A1031)</f>
        <v>Tōngguān Zhèn</v>
      </c>
      <c r="C1031" t="str">
        <f>IF(COUNTIF(B:B,B1031)&gt;1,_xlfn.CONCAT(A1031," (",M1031,")"),B1031)</f>
        <v>Tōngguān Zhèn</v>
      </c>
      <c r="D1031" t="s">
        <v>1802</v>
      </c>
      <c r="E1031" t="s">
        <v>11</v>
      </c>
      <c r="F1031" t="str">
        <f>_xlfn.CONCAT(D1031,", ",H1031,", ",I1031,", ","云南省")</f>
        <v>通关镇, 墨江哈尼族自治县, 普洱市, 云南省</v>
      </c>
      <c r="G1031">
        <v>29561</v>
      </c>
      <c r="H1031" t="s">
        <v>2854</v>
      </c>
      <c r="I1031" t="s">
        <v>2848</v>
      </c>
      <c r="J1031">
        <f>VLOOKUP(F1031,[1]!china_towns_second__2[[Column1]:[Y]],3,FALSE)</f>
        <v>23.277968415452001</v>
      </c>
      <c r="K1031">
        <f>VLOOKUP(F1031,[1]!china_towns_second__2[[Column1]:[Y]],2,FALSE)</f>
        <v>101.4020561</v>
      </c>
      <c r="L1031" t="s">
        <v>4584</v>
      </c>
      <c r="M1031" t="str">
        <f>VLOOKUP(H1031,CHOOSE({1,2},Table17[Native],Table17[Name]),2,0)</f>
        <v>Mòjiāng Hānízú Zìzhìxiàn</v>
      </c>
      <c r="N1031" s="15" t="str">
        <f>VLOOKUP(I1031,CHOOSE({1,2},Table17[Native],Table17[Name]),2,0)</f>
        <v>Pŭ'ĕr Shì</v>
      </c>
      <c r="O1031" s="15" t="str">
        <f t="shared" si="32"/>
        <v>Tongguan Zhen (Pŭ'ĕr Shì)</v>
      </c>
      <c r="P1031" s="15" t="str">
        <f t="shared" si="33"/>
        <v>Tongguan Zhen (Pŭ'ĕr Shì)</v>
      </c>
    </row>
    <row r="1032" spans="1:16" hidden="1" x14ac:dyDescent="0.25">
      <c r="A1032" t="s">
        <v>2430</v>
      </c>
      <c r="B1032" t="str">
        <f>IF(COUNTIF(A:A,A1032)&gt;1,_xlfn.CONCAT(A1032," (",N1032,")"),A1032)</f>
        <v>Tōnghóngdiàn Yízú Miáozú Xiāng</v>
      </c>
      <c r="C1032" t="str">
        <f>IF(COUNTIF(B:B,B1032)&gt;1,_xlfn.CONCAT(A1032," (",M1032,")"),B1032)</f>
        <v>Tōnghóngdiàn Yízú Miáozú Xiāng</v>
      </c>
      <c r="D1032" t="s">
        <v>2431</v>
      </c>
      <c r="E1032" t="s">
        <v>7</v>
      </c>
      <c r="F1032" t="str">
        <f>_xlfn.CONCAT(D1032,", ",H1032,", ",I1032,", ","云南省")</f>
        <v>通红甸彝族苗族乡, 华宁县, 玉溪市, 云南省</v>
      </c>
      <c r="G1032">
        <v>8916</v>
      </c>
      <c r="H1032" t="s">
        <v>2892</v>
      </c>
      <c r="I1032" t="s">
        <v>2888</v>
      </c>
      <c r="J1032" t="e">
        <f>VLOOKUP(F1032,[1]!china_towns_second__2[[Column1]:[Y]],3,FALSE)</f>
        <v>#N/A</v>
      </c>
      <c r="K1032" t="e">
        <f>VLOOKUP(F1032,[1]!china_towns_second__2[[Column1]:[Y]],2,FALSE)</f>
        <v>#N/A</v>
      </c>
      <c r="L1032" t="s">
        <v>4585</v>
      </c>
      <c r="M1032" t="str">
        <f>VLOOKUP(H1032,CHOOSE({1,2},Table17[Native],Table17[Name]),2,0)</f>
        <v>Huáníng Xiàn</v>
      </c>
      <c r="N1032" s="15" t="str">
        <f>VLOOKUP(I1032,CHOOSE({1,2},Table17[Native],Table17[Name]),2,0)</f>
        <v>Yùxī Shì</v>
      </c>
      <c r="O1032" s="15" t="str">
        <f t="shared" si="32"/>
        <v>Tonghongdian Yizu Miaozu Xiang (Yùxī Shì)</v>
      </c>
      <c r="P1032" s="15" t="str">
        <f t="shared" si="33"/>
        <v>Tonghongdian Yizu Miaozu Xiang (Yùxī Shì)</v>
      </c>
    </row>
    <row r="1033" spans="1:16" hidden="1" x14ac:dyDescent="0.25">
      <c r="A1033" t="s">
        <v>1999</v>
      </c>
      <c r="B1033" t="str">
        <f>IF(COUNTIF(A:A,A1033)&gt;1,_xlfn.CONCAT(A1033," (",N1033,")"),A1033)</f>
        <v>Tōngquán Zhèn [incl. Tōngquán Jiēdào, Jītóucūn Jiēdào]</v>
      </c>
      <c r="C1033" t="str">
        <f>IF(COUNTIF(B:B,B1033)&gt;1,_xlfn.CONCAT(A1033," (",M1033,")"),B1033)</f>
        <v>Tōngquán Zhèn [incl. Tōngquán Jiēdào, Jītóucūn Jiēdào]</v>
      </c>
      <c r="D1033" t="s">
        <v>2000</v>
      </c>
      <c r="E1033" t="s">
        <v>11</v>
      </c>
      <c r="F1033" t="str">
        <f>_xlfn.CONCAT(D1033,", ",H1033,", ",I1033,", ","云南省")</f>
        <v>通泉镇, 马龙区, 曲靖市, 云南省</v>
      </c>
      <c r="G1033">
        <v>55268</v>
      </c>
      <c r="H1033" t="s">
        <v>2865</v>
      </c>
      <c r="I1033" t="s">
        <v>2860</v>
      </c>
      <c r="J1033">
        <f>VLOOKUP(F1033,[1]!china_towns_second__2[[Column1]:[Y]],3,FALSE)</f>
        <v>25.450008978225899</v>
      </c>
      <c r="K1033">
        <f>VLOOKUP(F1033,[1]!china_towns_second__2[[Column1]:[Y]],2,FALSE)</f>
        <v>103.604456</v>
      </c>
      <c r="L1033" t="s">
        <v>4586</v>
      </c>
      <c r="M1033" t="str">
        <f>VLOOKUP(H1033,CHOOSE({1,2},Table17[Native],Table17[Name]),2,0)</f>
        <v>Mălóng Qū</v>
      </c>
      <c r="N1033" s="15" t="str">
        <f>VLOOKUP(I1033,CHOOSE({1,2},Table17[Native],Table17[Name]),2,0)</f>
        <v>Qŭjìng Shì</v>
      </c>
      <c r="O1033" s="15" t="str">
        <f t="shared" si="32"/>
        <v>Tongquan Zhen [incl. Tongquan Jiedao, Jitoucun Jiedao] (Qŭjìng Shì)</v>
      </c>
      <c r="P1033" s="15" t="str">
        <f t="shared" si="33"/>
        <v>Tongquan Zhen [incl. Tongquan Jiedao, Jitoucun Jiedao] (Qŭjìng Shì)</v>
      </c>
    </row>
    <row r="1034" spans="1:16" hidden="1" x14ac:dyDescent="0.25">
      <c r="A1034" t="s">
        <v>1803</v>
      </c>
      <c r="B1034" t="str">
        <f>IF(COUNTIF(A:A,A1034)&gt;1,_xlfn.CONCAT(A1034," (",N1034,")"),A1034)</f>
        <v>Tóngxīn Zhèn</v>
      </c>
      <c r="C1034" t="str">
        <f>IF(COUNTIF(B:B,B1034)&gt;1,_xlfn.CONCAT(A1034," (",M1034,")"),B1034)</f>
        <v>Tóngxīn Zhèn</v>
      </c>
      <c r="D1034" t="s">
        <v>1804</v>
      </c>
      <c r="E1034" t="s">
        <v>11</v>
      </c>
      <c r="F1034" t="str">
        <f>_xlfn.CONCAT(D1034,", ",H1034,", ",I1034,", ","云南省")</f>
        <v>同心镇, 宁洱哈尼族彝族自治县, 普洱市, 云南省</v>
      </c>
      <c r="G1034">
        <v>16092</v>
      </c>
      <c r="H1034" t="s">
        <v>2855</v>
      </c>
      <c r="I1034" t="s">
        <v>2848</v>
      </c>
      <c r="J1034">
        <f>VLOOKUP(F1034,[1]!china_towns_second__2[[Column1]:[Y]],3,FALSE)</f>
        <v>22.932482749729001</v>
      </c>
      <c r="K1034">
        <f>VLOOKUP(F1034,[1]!china_towns_second__2[[Column1]:[Y]],2,FALSE)</f>
        <v>101.07573960000001</v>
      </c>
      <c r="L1034" t="s">
        <v>4587</v>
      </c>
      <c r="M1034" t="str">
        <f>VLOOKUP(H1034,CHOOSE({1,2},Table17[Native],Table17[Name]),2,0)</f>
        <v>Níng'ĕr Hānízú Yízú Zìzhìxiàn</v>
      </c>
      <c r="N1034" s="15" t="str">
        <f>VLOOKUP(I1034,CHOOSE({1,2},Table17[Native],Table17[Name]),2,0)</f>
        <v>Pŭ'ĕr Shì</v>
      </c>
      <c r="O1034" s="15" t="str">
        <f t="shared" si="32"/>
        <v>Tongxin Zhen (Pŭ'ĕr Shì)</v>
      </c>
      <c r="P1034" s="15" t="str">
        <f t="shared" si="33"/>
        <v>Tongxin Zhen (Pŭ'ĕr Shì)</v>
      </c>
    </row>
    <row r="1035" spans="1:16" hidden="1" x14ac:dyDescent="0.25">
      <c r="A1035" t="s">
        <v>1242</v>
      </c>
      <c r="B1035" t="str">
        <f>IF(COUNTIF(A:A,A1035)&gt;1,_xlfn.CONCAT(A1035," (",N1035,")"),A1035)</f>
        <v>Tuánjié Jiēdào</v>
      </c>
      <c r="C1035" t="str">
        <f>IF(COUNTIF(B:B,B1035)&gt;1,_xlfn.CONCAT(A1035," (",M1035,")"),B1035)</f>
        <v>Tuánjié Jiēdào</v>
      </c>
      <c r="D1035" t="s">
        <v>1243</v>
      </c>
      <c r="E1035" t="s">
        <v>42</v>
      </c>
      <c r="F1035" t="str">
        <f>_xlfn.CONCAT(D1035,", ",H1035,", ",I1035,", ","云南省")</f>
        <v>团结街道, 西山区, 昆明市, 云南省</v>
      </c>
      <c r="G1035">
        <v>31737</v>
      </c>
      <c r="H1035" t="s">
        <v>2819</v>
      </c>
      <c r="I1035" t="s">
        <v>2807</v>
      </c>
      <c r="J1035">
        <f>VLOOKUP(F1035,[1]!china_towns_second__2[[Column1]:[Y]],3,FALSE)</f>
        <v>25.091437158260501</v>
      </c>
      <c r="K1035">
        <f>VLOOKUP(F1035,[1]!china_towns_second__2[[Column1]:[Y]],2,FALSE)</f>
        <v>102.4866136</v>
      </c>
      <c r="L1035" t="s">
        <v>4588</v>
      </c>
      <c r="M1035" t="str">
        <f>VLOOKUP(H1035,CHOOSE({1,2},Table17[Native],Table17[Name]),2,0)</f>
        <v>Xīshān Qū</v>
      </c>
      <c r="N1035" s="15" t="str">
        <f>VLOOKUP(I1035,CHOOSE({1,2},Table17[Native],Table17[Name]),2,0)</f>
        <v>Kūnmíng Shì</v>
      </c>
      <c r="O1035" s="15" t="str">
        <f t="shared" si="32"/>
        <v>Tuanjie Jiedao (Kūnmíng Shì)</v>
      </c>
      <c r="P1035" s="15" t="str">
        <f t="shared" si="33"/>
        <v>Tuanjie Jiedao (Kūnmíng Shì)</v>
      </c>
    </row>
    <row r="1036" spans="1:16" hidden="1" x14ac:dyDescent="0.25">
      <c r="A1036" t="s">
        <v>2671</v>
      </c>
      <c r="B1036" t="str">
        <f>IF(COUNTIF(A:A,A1036)&gt;1,_xlfn.CONCAT(A1036," (",N1036,")"),A1036)</f>
        <v>Tuánjié Xiāng</v>
      </c>
      <c r="C1036" t="str">
        <f>IF(COUNTIF(B:B,B1036)&gt;1,_xlfn.CONCAT(A1036," (",M1036,")"),B1036)</f>
        <v>Tuánjié Xiāng</v>
      </c>
      <c r="D1036" t="s">
        <v>2672</v>
      </c>
      <c r="E1036" t="s">
        <v>7</v>
      </c>
      <c r="F1036" t="str">
        <f>_xlfn.CONCAT(D1036,", ",H1036,", ",I1036,", ","云南省")</f>
        <v>团结乡, 永善县, 昭通市, 云南省</v>
      </c>
      <c r="G1036">
        <v>18839</v>
      </c>
      <c r="H1036" t="s">
        <v>2908</v>
      </c>
      <c r="I1036" t="s">
        <v>2899</v>
      </c>
      <c r="J1036" t="e">
        <f>VLOOKUP(F1036,[1]!china_towns_second__2[[Column1]:[Y]],3,FALSE)</f>
        <v>#N/A</v>
      </c>
      <c r="K1036" t="e">
        <f>VLOOKUP(F1036,[1]!china_towns_second__2[[Column1]:[Y]],2,FALSE)</f>
        <v>#N/A</v>
      </c>
      <c r="L1036" t="s">
        <v>4589</v>
      </c>
      <c r="M1036" t="str">
        <f>VLOOKUP(H1036,CHOOSE({1,2},Table17[Native],Table17[Name]),2,0)</f>
        <v>Yŏngshàn Xiàn</v>
      </c>
      <c r="N1036" s="15" t="str">
        <f>VLOOKUP(I1036,CHOOSE({1,2},Table17[Native],Table17[Name]),2,0)</f>
        <v>Zhāotōng Shì</v>
      </c>
      <c r="O1036" s="15" t="str">
        <f t="shared" si="32"/>
        <v>Tuanjie Xiang (Zhāotōng Shì)</v>
      </c>
      <c r="P1036" s="15" t="str">
        <f t="shared" si="33"/>
        <v>Tuanjie Xiang (Zhāotōng Shì)</v>
      </c>
    </row>
    <row r="1037" spans="1:16" hidden="1" x14ac:dyDescent="0.25">
      <c r="A1037" t="s">
        <v>546</v>
      </c>
      <c r="B1037" t="str">
        <f>IF(COUNTIF(A:A,A1037)&gt;1,_xlfn.CONCAT(A1037," (",N1037,")"),A1037)</f>
        <v>Tuánjié Yízú Xiāng</v>
      </c>
      <c r="C1037" t="str">
        <f>IF(COUNTIF(B:B,B1037)&gt;1,_xlfn.CONCAT(A1037," (",M1037,")"),B1037)</f>
        <v>Tuánjié Yízú Xiāng</v>
      </c>
      <c r="D1037" t="s">
        <v>547</v>
      </c>
      <c r="E1037" t="s">
        <v>7</v>
      </c>
      <c r="F1037" t="str">
        <f>_xlfn.CONCAT(D1037,", ",H1037,", ",I1037,", ","云南省")</f>
        <v>团结彝族乡, 云龙县, 大理白族自治州, 云南省</v>
      </c>
      <c r="G1037">
        <v>10720</v>
      </c>
      <c r="H1037" t="s">
        <v>2776</v>
      </c>
      <c r="I1037" t="s">
        <v>2763</v>
      </c>
      <c r="J1037" t="e">
        <f>VLOOKUP(F1037,[1]!china_towns_second__2[[Column1]:[Y]],3,FALSE)</f>
        <v>#N/A</v>
      </c>
      <c r="K1037" t="e">
        <f>VLOOKUP(F1037,[1]!china_towns_second__2[[Column1]:[Y]],2,FALSE)</f>
        <v>#N/A</v>
      </c>
      <c r="L1037" t="s">
        <v>4590</v>
      </c>
      <c r="M1037" t="str">
        <f>VLOOKUP(H1037,CHOOSE({1,2},Table17[Native],Table17[Name]),2,0)</f>
        <v>Yúnlóng Xiàn</v>
      </c>
      <c r="N1037" s="15" t="str">
        <f>VLOOKUP(I1037,CHOOSE({1,2},Table17[Native],Table17[Name]),2,0)</f>
        <v>Dàlĭ Báizú Zìzhìzhōu</v>
      </c>
      <c r="O1037" s="15" t="str">
        <f t="shared" si="32"/>
        <v>Tuanjie Yizu Xiang (Dàlĭ Báizú Zìzhìzhōu)</v>
      </c>
      <c r="P1037" s="15" t="str">
        <f t="shared" si="33"/>
        <v>Tuanjie Yizu Xiang (Dàlĭ Báizú Zìzhìzhōu)</v>
      </c>
    </row>
    <row r="1038" spans="1:16" hidden="1" x14ac:dyDescent="0.25">
      <c r="A1038" t="s">
        <v>1244</v>
      </c>
      <c r="B1038" t="str">
        <f>IF(COUNTIF(A:A,A1038)&gt;1,_xlfn.CONCAT(A1038," (",N1038,")"),A1038)</f>
        <v>Tuánjiē Zhèn</v>
      </c>
      <c r="C1038" t="str">
        <f>IF(COUNTIF(B:B,B1038)&gt;1,_xlfn.CONCAT(A1038," (",M1038,")"),B1038)</f>
        <v>Tuánjiē Zhèn</v>
      </c>
      <c r="D1038" t="s">
        <v>1245</v>
      </c>
      <c r="E1038" t="s">
        <v>11</v>
      </c>
      <c r="F1038" t="str">
        <f>_xlfn.CONCAT(D1038,", ",H1038,", ",I1038,", ","云南省")</f>
        <v>团街镇, 禄劝彝族苗族自治县, 昆明市, 云南省</v>
      </c>
      <c r="G1038">
        <v>22056</v>
      </c>
      <c r="H1038" t="s">
        <v>2814</v>
      </c>
      <c r="I1038" t="s">
        <v>2807</v>
      </c>
      <c r="J1038">
        <f>VLOOKUP(F1038,[1]!china_towns_second__2[[Column1]:[Y]],3,FALSE)</f>
        <v>25.803103522408101</v>
      </c>
      <c r="K1038">
        <f>VLOOKUP(F1038,[1]!china_towns_second__2[[Column1]:[Y]],2,FALSE)</f>
        <v>102.53235359999999</v>
      </c>
      <c r="L1038" t="s">
        <v>4591</v>
      </c>
      <c r="M1038" t="str">
        <f>VLOOKUP(H1038,CHOOSE({1,2},Table17[Native],Table17[Name]),2,0)</f>
        <v>Lùquàn Yízú Miáozú Zìzhìxiàn</v>
      </c>
      <c r="N1038" s="15" t="str">
        <f>VLOOKUP(I1038,CHOOSE({1,2},Table17[Native],Table17[Name]),2,0)</f>
        <v>Kūnmíng Shì</v>
      </c>
      <c r="O1038" s="15" t="str">
        <f t="shared" si="32"/>
        <v>Tuanjie Zhen (Kūnmíng Shì)</v>
      </c>
      <c r="P1038" s="15" t="str">
        <f t="shared" si="33"/>
        <v>Tuanjie Zhen (Kūnmíng Shì)</v>
      </c>
    </row>
    <row r="1039" spans="1:16" hidden="1" x14ac:dyDescent="0.25">
      <c r="A1039" t="s">
        <v>115</v>
      </c>
      <c r="B1039" t="str">
        <f>IF(COUNTIF(A:A,A1039)&gt;1,_xlfn.CONCAT(A1039," (",N1039,")"),A1039)</f>
        <v>Tuántián Xiāng</v>
      </c>
      <c r="C1039" t="str">
        <f>IF(COUNTIF(B:B,B1039)&gt;1,_xlfn.CONCAT(A1039," (",M1039,")"),B1039)</f>
        <v>Tuántián Xiāng</v>
      </c>
      <c r="D1039" t="s">
        <v>116</v>
      </c>
      <c r="E1039" t="s">
        <v>7</v>
      </c>
      <c r="F1039" t="str">
        <f>_xlfn.CONCAT(D1039,", ",H1039,", ",I1039,", ","云南省")</f>
        <v>团田乡, 腾冲市, 保山市, 云南省</v>
      </c>
      <c r="G1039">
        <v>17484</v>
      </c>
      <c r="H1039" t="s">
        <v>2747</v>
      </c>
      <c r="I1039" t="s">
        <v>2739</v>
      </c>
      <c r="J1039" t="e">
        <f>VLOOKUP(F1039,[1]!china_towns_second__2[[Column1]:[Y]],3,FALSE)</f>
        <v>#N/A</v>
      </c>
      <c r="K1039" t="e">
        <f>VLOOKUP(F1039,[1]!china_towns_second__2[[Column1]:[Y]],2,FALSE)</f>
        <v>#N/A</v>
      </c>
      <c r="L1039" t="s">
        <v>4592</v>
      </c>
      <c r="M1039" t="str">
        <f>VLOOKUP(H1039,CHOOSE({1,2},Table17[Native],Table17[Name]),2,0)</f>
        <v>Téngchōng Shì</v>
      </c>
      <c r="N1039" s="15" t="str">
        <f>VLOOKUP(I1039,CHOOSE({1,2},Table17[Native],Table17[Name]),2,0)</f>
        <v>Băoshān Shì</v>
      </c>
      <c r="O1039" s="15" t="str">
        <f t="shared" si="32"/>
        <v>Tuantian Xiang (Băoshān Shì)</v>
      </c>
      <c r="P1039" s="15" t="str">
        <f t="shared" si="33"/>
        <v>Tuantian Xiang (Băoshān Shì)</v>
      </c>
    </row>
    <row r="1040" spans="1:16" hidden="1" x14ac:dyDescent="0.25">
      <c r="A1040" t="s">
        <v>1805</v>
      </c>
      <c r="B1040" t="str">
        <f>IF(COUNTIF(A:A,A1040)&gt;1,_xlfn.CONCAT(A1040," (",N1040,")"),A1040)</f>
        <v>Tuántián Zhèn</v>
      </c>
      <c r="C1040" t="str">
        <f>IF(COUNTIF(B:B,B1040)&gt;1,_xlfn.CONCAT(A1040," (",M1040,")"),B1040)</f>
        <v>Tuántián Zhèn</v>
      </c>
      <c r="D1040" t="s">
        <v>1806</v>
      </c>
      <c r="E1040" t="s">
        <v>11</v>
      </c>
      <c r="F1040" t="str">
        <f>_xlfn.CONCAT(D1040,", ",H1040,", ",I1040,", ","云南省")</f>
        <v>团田镇, 墨江哈尼族自治县, 普洱市, 云南省</v>
      </c>
      <c r="G1040">
        <v>15712</v>
      </c>
      <c r="H1040" t="s">
        <v>2854</v>
      </c>
      <c r="I1040" t="s">
        <v>2848</v>
      </c>
      <c r="J1040">
        <f>VLOOKUP(F1040,[1]!china_towns_second__2[[Column1]:[Y]],3,FALSE)</f>
        <v>23.8309864711904</v>
      </c>
      <c r="K1040">
        <f>VLOOKUP(F1040,[1]!china_towns_second__2[[Column1]:[Y]],2,FALSE)</f>
        <v>101.248902</v>
      </c>
      <c r="L1040" t="s">
        <v>4593</v>
      </c>
      <c r="M1040" t="str">
        <f>VLOOKUP(H1040,CHOOSE({1,2},Table17[Native],Table17[Name]),2,0)</f>
        <v>Mòjiāng Hānízú Zìzhìxiàn</v>
      </c>
      <c r="N1040" s="15" t="str">
        <f>VLOOKUP(I1040,CHOOSE({1,2},Table17[Native],Table17[Name]),2,0)</f>
        <v>Pŭ'ĕr Shì</v>
      </c>
      <c r="O1040" s="15" t="str">
        <f t="shared" si="32"/>
        <v>Tuantian Zhen (Pŭ'ĕr Shì)</v>
      </c>
      <c r="P1040" s="15" t="str">
        <f t="shared" si="33"/>
        <v>Tuantian Zhen (Pŭ'ĕr Shì)</v>
      </c>
    </row>
    <row r="1041" spans="1:16" hidden="1" x14ac:dyDescent="0.25">
      <c r="A1041" t="s">
        <v>1643</v>
      </c>
      <c r="B1041" t="str">
        <f>IF(COUNTIF(A:A,A1041)&gt;1,_xlfn.CONCAT(A1041," (",N1041,")"),A1041)</f>
        <v>Tù'é Xiāng</v>
      </c>
      <c r="C1041" t="str">
        <f>IF(COUNTIF(B:B,B1041)&gt;1,_xlfn.CONCAT(A1041," (",M1041,")"),B1041)</f>
        <v>Tù'é Xiāng</v>
      </c>
      <c r="D1041" t="s">
        <v>1644</v>
      </c>
      <c r="E1041" t="s">
        <v>7</v>
      </c>
      <c r="F1041" t="str">
        <f>_xlfn.CONCAT(D1041,", ",H1041,", ",I1041,", ","云南省")</f>
        <v>兔峨乡, 兰坪白族普米族自治县, 怒江傈僳族自治州, 云南省</v>
      </c>
      <c r="G1041">
        <v>17977</v>
      </c>
      <c r="H1041" t="s">
        <v>2845</v>
      </c>
      <c r="I1041" t="s">
        <v>2842</v>
      </c>
      <c r="J1041" t="e">
        <f>VLOOKUP(F1041,[1]!china_towns_second__2[[Column1]:[Y]],3,FALSE)</f>
        <v>#N/A</v>
      </c>
      <c r="K1041" t="e">
        <f>VLOOKUP(F1041,[1]!china_towns_second__2[[Column1]:[Y]],2,FALSE)</f>
        <v>#N/A</v>
      </c>
      <c r="L1041" t="s">
        <v>4594</v>
      </c>
      <c r="M1041" t="str">
        <f>VLOOKUP(H1041,CHOOSE({1,2},Table17[Native],Table17[Name]),2,0)</f>
        <v>Lánpíng Báizú Pŭmĭzú Zìzhìxiàn</v>
      </c>
      <c r="N1041" s="15" t="str">
        <f>VLOOKUP(I1041,CHOOSE({1,2},Table17[Native],Table17[Name]),2,0)</f>
        <v>Nùjiāng Lìsùzú Zìzhìzhōu</v>
      </c>
      <c r="O1041" s="15" t="str">
        <f t="shared" si="32"/>
        <v>Tu'e Xiang (Nùjiāng Lìsùzú Zìzhìzhōu)</v>
      </c>
      <c r="P1041" s="15" t="str">
        <f t="shared" si="33"/>
        <v>Tu'e Xiang (Nùjiāng Lìsùzú Zìzhìzhōu)</v>
      </c>
    </row>
    <row r="1042" spans="1:16" hidden="1" x14ac:dyDescent="0.25">
      <c r="A1042" t="s">
        <v>309</v>
      </c>
      <c r="B1042" t="str">
        <f>IF(COUNTIF(A:A,A1042)&gt;1,_xlfn.CONCAT(A1042," (",N1042,")"),A1042)</f>
        <v>Tŭguān Zhèn</v>
      </c>
      <c r="C1042" t="str">
        <f>IF(COUNTIF(B:B,B1042)&gt;1,_xlfn.CONCAT(A1042," (",M1042,")"),B1042)</f>
        <v>Tŭguān Zhèn</v>
      </c>
      <c r="D1042" t="s">
        <v>310</v>
      </c>
      <c r="E1042" t="s">
        <v>11</v>
      </c>
      <c r="F1042" t="str">
        <f>_xlfn.CONCAT(D1042,", ",H1042,", ",I1042,", ","云南省")</f>
        <v>土官镇, 禄丰县, 楚雄彝族自治州, 云南省</v>
      </c>
      <c r="G1042">
        <v>12610</v>
      </c>
      <c r="H1042" t="s">
        <v>2753</v>
      </c>
      <c r="I1042" t="s">
        <v>2750</v>
      </c>
      <c r="J1042">
        <f>VLOOKUP(F1042,[1]!china_towns_second__2[[Column1]:[Y]],3,FALSE)</f>
        <v>24.964274949924299</v>
      </c>
      <c r="K1042">
        <f>VLOOKUP(F1042,[1]!china_towns_second__2[[Column1]:[Y]],2,FALSE)</f>
        <v>102.1862021</v>
      </c>
      <c r="L1042" t="s">
        <v>4595</v>
      </c>
      <c r="M1042" t="str">
        <f>VLOOKUP(H1042,CHOOSE({1,2},Table17[Native],Table17[Name]),2,0)</f>
        <v>Lùfēng Xiàn</v>
      </c>
      <c r="N1042" s="15" t="str">
        <f>VLOOKUP(I1042,CHOOSE({1,2},Table17[Native],Table17[Name]),2,0)</f>
        <v>Chŭxióng Yízú Zìzhìzhōu</v>
      </c>
      <c r="O1042" s="15" t="str">
        <f t="shared" si="32"/>
        <v>Tuguan Zhen (Chŭxióng Yízú Zìzhìzhōu)</v>
      </c>
      <c r="P1042" s="15" t="str">
        <f t="shared" si="33"/>
        <v>Tuguan Zhen (Chŭxióng Yízú Zìzhìzhōu)</v>
      </c>
    </row>
    <row r="1043" spans="1:16" hidden="1" x14ac:dyDescent="0.25">
      <c r="A1043" t="s">
        <v>311</v>
      </c>
      <c r="B1043" t="str">
        <f>IF(COUNTIF(A:A,A1043)&gt;1,_xlfn.CONCAT(A1043," (",N1043,")"),A1043)</f>
        <v>Tùjiē Zhèn</v>
      </c>
      <c r="C1043" t="str">
        <f>IF(COUNTIF(B:B,B1043)&gt;1,_xlfn.CONCAT(A1043," (",M1043,")"),B1043)</f>
        <v>Tùjiē Zhèn</v>
      </c>
      <c r="D1043" t="s">
        <v>312</v>
      </c>
      <c r="E1043" t="s">
        <v>11</v>
      </c>
      <c r="F1043" t="str">
        <f>_xlfn.CONCAT(D1043,", ",H1043,", ",I1043,", ","云南省")</f>
        <v>兔街镇, 南华县, 楚雄彝族自治州, 云南省</v>
      </c>
      <c r="G1043">
        <v>13552</v>
      </c>
      <c r="H1043" t="s">
        <v>2755</v>
      </c>
      <c r="I1043" t="s">
        <v>2750</v>
      </c>
      <c r="J1043">
        <f>VLOOKUP(F1043,[1]!china_towns_second__2[[Column1]:[Y]],3,FALSE)</f>
        <v>24.8031320448654</v>
      </c>
      <c r="K1043">
        <f>VLOOKUP(F1043,[1]!china_towns_second__2[[Column1]:[Y]],2,FALSE)</f>
        <v>100.8096474</v>
      </c>
      <c r="L1043" t="s">
        <v>4596</v>
      </c>
      <c r="M1043" t="str">
        <f>VLOOKUP(H1043,CHOOSE({1,2},Table17[Native],Table17[Name]),2,0)</f>
        <v>Nánhuá Xiàn</v>
      </c>
      <c r="N1043" s="15" t="str">
        <f>VLOOKUP(I1043,CHOOSE({1,2},Table17[Native],Table17[Name]),2,0)</f>
        <v>Chŭxióng Yízú Zìzhìzhōu</v>
      </c>
      <c r="O1043" s="15" t="str">
        <f t="shared" si="32"/>
        <v>Tujie Zhen (Chŭxióng Yízú Zìzhìzhōu)</v>
      </c>
      <c r="P1043" s="15" t="str">
        <f t="shared" si="33"/>
        <v>Tujie Zhen (Chŭxióng Yízú Zìzhìzhōu)</v>
      </c>
    </row>
    <row r="1044" spans="1:16" hidden="1" x14ac:dyDescent="0.25">
      <c r="A1044" t="s">
        <v>313</v>
      </c>
      <c r="B1044" t="str">
        <f>IF(COUNTIF(A:A,A1044)&gt;1,_xlfn.CONCAT(A1044," (",N1044,")"),A1044)</f>
        <v>Tuŏ'ān Xiāng</v>
      </c>
      <c r="C1044" t="str">
        <f>IF(COUNTIF(B:B,B1044)&gt;1,_xlfn.CONCAT(A1044," (",M1044,")"),B1044)</f>
        <v>Tuŏ'ān Xiāng</v>
      </c>
      <c r="D1044" t="s">
        <v>314</v>
      </c>
      <c r="E1044" t="s">
        <v>7</v>
      </c>
      <c r="F1044" t="str">
        <f>_xlfn.CONCAT(D1044,", ",H1044,", ",I1044,", ","云南省")</f>
        <v>妥安乡, 禄丰县, 楚雄彝族自治州, 云南省</v>
      </c>
      <c r="G1044">
        <v>24324</v>
      </c>
      <c r="H1044" t="s">
        <v>2753</v>
      </c>
      <c r="I1044" t="s">
        <v>2750</v>
      </c>
      <c r="J1044" t="e">
        <f>VLOOKUP(F1044,[1]!china_towns_second__2[[Column1]:[Y]],3,FALSE)</f>
        <v>#N/A</v>
      </c>
      <c r="K1044" t="e">
        <f>VLOOKUP(F1044,[1]!china_towns_second__2[[Column1]:[Y]],2,FALSE)</f>
        <v>#N/A</v>
      </c>
      <c r="L1044" t="s">
        <v>4597</v>
      </c>
      <c r="M1044" t="str">
        <f>VLOOKUP(H1044,CHOOSE({1,2},Table17[Native],Table17[Name]),2,0)</f>
        <v>Lùfēng Xiàn</v>
      </c>
      <c r="N1044" s="15" t="str">
        <f>VLOOKUP(I1044,CHOOSE({1,2},Table17[Native],Table17[Name]),2,0)</f>
        <v>Chŭxióng Yízú Zìzhìzhōu</v>
      </c>
      <c r="O1044" s="15" t="str">
        <f t="shared" si="32"/>
        <v>Tuo'an Xiang (Chŭxióng Yízú Zìzhìzhōu)</v>
      </c>
      <c r="P1044" s="15" t="str">
        <f t="shared" si="33"/>
        <v>Tuo'an Xiang (Chŭxióng Yízú Zìzhìzhōu)</v>
      </c>
    </row>
    <row r="1045" spans="1:16" hidden="1" x14ac:dyDescent="0.25">
      <c r="A1045" t="s">
        <v>1246</v>
      </c>
      <c r="B1045" t="str">
        <f>IF(COUNTIF(A:A,A1045)&gt;1,_xlfn.CONCAT(A1045," (",N1045,")"),A1045)</f>
        <v>Tuōbùkă Zhèn</v>
      </c>
      <c r="C1045" t="str">
        <f>IF(COUNTIF(B:B,B1045)&gt;1,_xlfn.CONCAT(A1045," (",M1045,")"),B1045)</f>
        <v>Tuōbùkă Zhèn</v>
      </c>
      <c r="D1045" t="s">
        <v>1247</v>
      </c>
      <c r="E1045" t="s">
        <v>11</v>
      </c>
      <c r="F1045" t="str">
        <f>_xlfn.CONCAT(D1045,", ",H1045,", ",I1045,", ","云南省")</f>
        <v>拖布卡镇, 东川区, 昆明市, 云南省</v>
      </c>
      <c r="G1045">
        <v>25793</v>
      </c>
      <c r="H1045" t="s">
        <v>2810</v>
      </c>
      <c r="I1045" t="s">
        <v>2807</v>
      </c>
      <c r="J1045">
        <f>VLOOKUP(F1045,[1]!china_towns_second__2[[Column1]:[Y]],3,FALSE)</f>
        <v>26.401297912916899</v>
      </c>
      <c r="K1045">
        <f>VLOOKUP(F1045,[1]!china_towns_second__2[[Column1]:[Y]],2,FALSE)</f>
        <v>103.0403589</v>
      </c>
      <c r="L1045" t="s">
        <v>4598</v>
      </c>
      <c r="M1045" t="str">
        <f>VLOOKUP(H1045,CHOOSE({1,2},Table17[Native],Table17[Name]),2,0)</f>
        <v>Dōngchuān Qū</v>
      </c>
      <c r="N1045" s="15" t="str">
        <f>VLOOKUP(I1045,CHOOSE({1,2},Table17[Native],Table17[Name]),2,0)</f>
        <v>Kūnmíng Shì</v>
      </c>
      <c r="O1045" s="15" t="str">
        <f t="shared" si="32"/>
        <v>Tuobuka Zhen (Kūnmíng Shì)</v>
      </c>
      <c r="P1045" s="15" t="str">
        <f t="shared" si="33"/>
        <v>Tuobuka Zhen (Kūnmíng Shì)</v>
      </c>
    </row>
    <row r="1046" spans="1:16" hidden="1" x14ac:dyDescent="0.25">
      <c r="A1046" t="s">
        <v>315</v>
      </c>
      <c r="B1046" t="str">
        <f>IF(COUNTIF(A:A,A1046)&gt;1,_xlfn.CONCAT(A1046," (",N1046,")"),A1046)</f>
        <v>Tuŏdiàn Zhèn</v>
      </c>
      <c r="C1046" t="str">
        <f>IF(COUNTIF(B:B,B1046)&gt;1,_xlfn.CONCAT(A1046," (",M1046,")"),B1046)</f>
        <v>Tuŏdiàn Zhèn</v>
      </c>
      <c r="D1046" t="s">
        <v>316</v>
      </c>
      <c r="E1046" t="s">
        <v>11</v>
      </c>
      <c r="F1046" t="str">
        <f>_xlfn.CONCAT(D1046,", ",H1046,", ",I1046,", ","云南省")</f>
        <v>妥甸镇, 双柏县, 楚雄彝族自治州, 云南省</v>
      </c>
      <c r="G1046">
        <v>44265</v>
      </c>
      <c r="H1046" t="s">
        <v>2756</v>
      </c>
      <c r="I1046" t="s">
        <v>2750</v>
      </c>
      <c r="J1046">
        <f>VLOOKUP(F1046,[1]!china_towns_second__2[[Column1]:[Y]],3,FALSE)</f>
        <v>24.6888153742883</v>
      </c>
      <c r="K1046">
        <f>VLOOKUP(F1046,[1]!china_towns_second__2[[Column1]:[Y]],2,FALSE)</f>
        <v>101.61431450000001</v>
      </c>
      <c r="L1046" t="s">
        <v>4599</v>
      </c>
      <c r="M1046" t="str">
        <f>VLOOKUP(H1046,CHOOSE({1,2},Table17[Native],Table17[Name]),2,0)</f>
        <v>Shuāngbǎi Xiàn</v>
      </c>
      <c r="N1046" s="15" t="str">
        <f>VLOOKUP(I1046,CHOOSE({1,2},Table17[Native],Table17[Name]),2,0)</f>
        <v>Chŭxióng Yízú Zìzhìzhōu</v>
      </c>
      <c r="O1046" s="15" t="str">
        <f t="shared" si="32"/>
        <v>Tuodian Zhen (Chŭxióng Yízú Zìzhìzhōu)</v>
      </c>
      <c r="P1046" s="15" t="str">
        <f t="shared" si="33"/>
        <v>Tuodian Zhen (Chŭxióng Yízú Zìzhìzhōu)</v>
      </c>
    </row>
    <row r="1047" spans="1:16" hidden="1" x14ac:dyDescent="0.25">
      <c r="A1047" t="s">
        <v>746</v>
      </c>
      <c r="B1047" t="str">
        <f>IF(COUNTIF(A:A,A1047)&gt;1,_xlfn.CONCAT(A1047," (",N1047,")"),A1047)</f>
        <v>Tuōdĭng Lìsùzú Xiāng</v>
      </c>
      <c r="C1047" t="str">
        <f>IF(COUNTIF(B:B,B1047)&gt;1,_xlfn.CONCAT(A1047," (",M1047,")"),B1047)</f>
        <v>Tuōdĭng Lìsùzú Xiāng</v>
      </c>
      <c r="D1047" t="s">
        <v>747</v>
      </c>
      <c r="E1047" t="s">
        <v>7</v>
      </c>
      <c r="F1047" t="str">
        <f>_xlfn.CONCAT(D1047,", ",H1047,", ",I1047,", ","云南省")</f>
        <v>拖顶傈僳族乡, 德钦县, 迪庆藏族自治州, 云南省</v>
      </c>
      <c r="G1047">
        <v>9696</v>
      </c>
      <c r="H1047" t="s">
        <v>2787</v>
      </c>
      <c r="I1047" t="s">
        <v>2786</v>
      </c>
      <c r="J1047" t="e">
        <f>VLOOKUP(F1047,[1]!china_towns_second__2[[Column1]:[Y]],3,FALSE)</f>
        <v>#N/A</v>
      </c>
      <c r="K1047" t="e">
        <f>VLOOKUP(F1047,[1]!china_towns_second__2[[Column1]:[Y]],2,FALSE)</f>
        <v>#N/A</v>
      </c>
      <c r="L1047" t="s">
        <v>4600</v>
      </c>
      <c r="M1047" t="str">
        <f>VLOOKUP(H1047,CHOOSE({1,2},Table17[Native],Table17[Name]),2,0)</f>
        <v>Déqīn Xiàn</v>
      </c>
      <c r="N1047" s="15" t="str">
        <f>VLOOKUP(I1047,CHOOSE({1,2},Table17[Native],Table17[Name]),2,0)</f>
        <v>Díqìng Zàngzú Zìzhìzhōu</v>
      </c>
      <c r="O1047" s="15" t="str">
        <f t="shared" si="32"/>
        <v>Tuoding Lisuzu Xiang (Díqìng Zàngzú Zìzhìzhōu)</v>
      </c>
      <c r="P1047" s="15" t="str">
        <f t="shared" si="33"/>
        <v>Tuoding Lisuzu Xiang (Díqìng Zàngzú Zìzhìzhōu)</v>
      </c>
    </row>
    <row r="1048" spans="1:16" hidden="1" x14ac:dyDescent="0.25">
      <c r="A1048" t="s">
        <v>1248</v>
      </c>
      <c r="B1048" t="str">
        <f>IF(COUNTIF(A:A,A1048)&gt;1,_xlfn.CONCAT(A1048," (",N1048,")"),A1048)</f>
        <v>Tuòdōng Jiēdào</v>
      </c>
      <c r="C1048" t="str">
        <f>IF(COUNTIF(B:B,B1048)&gt;1,_xlfn.CONCAT(A1048," (",M1048,")"),B1048)</f>
        <v>Tuòdōng Jiēdào</v>
      </c>
      <c r="D1048" t="s">
        <v>1249</v>
      </c>
      <c r="E1048" t="s">
        <v>42</v>
      </c>
      <c r="F1048" t="str">
        <f>_xlfn.CONCAT(D1048,", ",H1048,", ",I1048,", ","云南省")</f>
        <v>拓东街道, 盘龙区, 昆明市, 云南省</v>
      </c>
      <c r="G1048">
        <v>39035</v>
      </c>
      <c r="H1048" t="s">
        <v>2815</v>
      </c>
      <c r="I1048" t="s">
        <v>2807</v>
      </c>
      <c r="J1048">
        <f>VLOOKUP(F1048,[1]!china_towns_second__2[[Column1]:[Y]],3,FALSE)</f>
        <v>25.0409424520264</v>
      </c>
      <c r="K1048">
        <f>VLOOKUP(F1048,[1]!china_towns_second__2[[Column1]:[Y]],2,FALSE)</f>
        <v>102.7246974</v>
      </c>
      <c r="L1048" t="s">
        <v>4601</v>
      </c>
      <c r="M1048" t="str">
        <f>VLOOKUP(H1048,CHOOSE({1,2},Table17[Native],Table17[Name]),2,0)</f>
        <v>Pánlóng Qū</v>
      </c>
      <c r="N1048" s="15" t="str">
        <f>VLOOKUP(I1048,CHOOSE({1,2},Table17[Native],Table17[Name]),2,0)</f>
        <v>Kūnmíng Shì</v>
      </c>
      <c r="O1048" s="15" t="str">
        <f t="shared" si="32"/>
        <v>Tuodong Jiedao (Kūnmíng Shì)</v>
      </c>
      <c r="P1048" s="15" t="str">
        <f t="shared" si="33"/>
        <v>Tuodong Jiedao (Kūnmíng Shì)</v>
      </c>
    </row>
    <row r="1049" spans="1:16" hidden="1" x14ac:dyDescent="0.25">
      <c r="A1049" t="s">
        <v>548</v>
      </c>
      <c r="B1049" t="str">
        <f>IF(COUNTIF(A:A,A1049)&gt;1,_xlfn.CONCAT(A1049," (",N1049,")"),A1049)</f>
        <v>Wăchăng Xiāng</v>
      </c>
      <c r="C1049" t="str">
        <f>IF(COUNTIF(B:B,B1049)&gt;1,_xlfn.CONCAT(A1049," (",M1049,")"),B1049)</f>
        <v>Wăchăng Xiāng</v>
      </c>
      <c r="D1049" t="s">
        <v>549</v>
      </c>
      <c r="E1049" t="s">
        <v>7</v>
      </c>
      <c r="F1049" t="str">
        <f>_xlfn.CONCAT(D1049,", ",H1049,", ",I1049,", ","云南省")</f>
        <v>瓦厂乡, 漾濞彝族自治县, 大理白族自治州, 云南省</v>
      </c>
      <c r="G1049">
        <v>5187</v>
      </c>
      <c r="H1049" t="s">
        <v>2774</v>
      </c>
      <c r="I1049" t="s">
        <v>2763</v>
      </c>
      <c r="J1049" t="e">
        <f>VLOOKUP(F1049,[1]!china_towns_second__2[[Column1]:[Y]],3,FALSE)</f>
        <v>#N/A</v>
      </c>
      <c r="K1049" t="e">
        <f>VLOOKUP(F1049,[1]!china_towns_second__2[[Column1]:[Y]],2,FALSE)</f>
        <v>#N/A</v>
      </c>
      <c r="L1049" t="s">
        <v>4602</v>
      </c>
      <c r="M1049" t="str">
        <f>VLOOKUP(H1049,CHOOSE({1,2},Table17[Native],Table17[Name]),2,0)</f>
        <v>Yàngbì Yízú Zìzhìxiàn</v>
      </c>
      <c r="N1049" s="15" t="str">
        <f>VLOOKUP(I1049,CHOOSE({1,2},Table17[Native],Table17[Name]),2,0)</f>
        <v>Dàlĭ Báizú Zìzhìzhōu</v>
      </c>
      <c r="O1049" s="15" t="str">
        <f t="shared" si="32"/>
        <v>Wachang Xiang (Dàlĭ Báizú Zìzhìzhōu)</v>
      </c>
      <c r="P1049" s="15" t="str">
        <f t="shared" si="33"/>
        <v>Wachang Xiang (Dàlĭ Báizú Zìzhìzhōu)</v>
      </c>
    </row>
    <row r="1050" spans="1:16" hidden="1" x14ac:dyDescent="0.25">
      <c r="A1050" t="s">
        <v>2432</v>
      </c>
      <c r="B1050" t="str">
        <f>IF(COUNTIF(A:A,A1050)&gt;1,_xlfn.CONCAT(A1050," (",N1050,")"),A1050)</f>
        <v>Wādié Xiāng</v>
      </c>
      <c r="C1050" t="str">
        <f>IF(COUNTIF(B:B,B1050)&gt;1,_xlfn.CONCAT(A1050," (",M1050,")"),B1050)</f>
        <v>Wādié Xiāng</v>
      </c>
      <c r="D1050" t="s">
        <v>2433</v>
      </c>
      <c r="E1050" t="s">
        <v>7</v>
      </c>
      <c r="F1050" t="str">
        <f>_xlfn.CONCAT(D1050,", ",H1050,", ",I1050,", ","云南省")</f>
        <v>洼垤乡, 元江哈尼族彝族傣族自治县, 玉溪市, 云南省</v>
      </c>
      <c r="G1050">
        <v>10045</v>
      </c>
      <c r="H1050" t="s">
        <v>2897</v>
      </c>
      <c r="I1050" t="s">
        <v>2888</v>
      </c>
      <c r="J1050" t="e">
        <f>VLOOKUP(F1050,[1]!china_towns_second__2[[Column1]:[Y]],3,FALSE)</f>
        <v>#N/A</v>
      </c>
      <c r="K1050" t="e">
        <f>VLOOKUP(F1050,[1]!china_towns_second__2[[Column1]:[Y]],2,FALSE)</f>
        <v>#N/A</v>
      </c>
      <c r="L1050" t="s">
        <v>4603</v>
      </c>
      <c r="M1050" t="str">
        <f>VLOOKUP(H1050,CHOOSE({1,2},Table17[Native],Table17[Name]),2,0)</f>
        <v>Yuánjiāng Hānízú Yízú Dăizú Zìzhìxiàn</v>
      </c>
      <c r="N1050" s="15" t="str">
        <f>VLOOKUP(I1050,CHOOSE({1,2},Table17[Native],Table17[Name]),2,0)</f>
        <v>Yùxī Shì</v>
      </c>
      <c r="O1050" s="15" t="str">
        <f t="shared" si="32"/>
        <v>Wadie Xiang (Yùxī Shì)</v>
      </c>
      <c r="P1050" s="15" t="str">
        <f t="shared" si="33"/>
        <v>Wadie Xiang (Yùxī Shì)</v>
      </c>
    </row>
    <row r="1051" spans="1:16" hidden="1" x14ac:dyDescent="0.25">
      <c r="A1051" t="s">
        <v>117</v>
      </c>
      <c r="B1051" t="str">
        <f>IF(COUNTIF(A:A,A1051)&gt;1,_xlfn.CONCAT(A1051," (",N1051,")"),A1051)</f>
        <v>Wădù Xiāng</v>
      </c>
      <c r="C1051" t="str">
        <f>IF(COUNTIF(B:B,B1051)&gt;1,_xlfn.CONCAT(A1051," (",M1051,")"),B1051)</f>
        <v>Wădù Xiāng</v>
      </c>
      <c r="D1051" t="s">
        <v>118</v>
      </c>
      <c r="E1051" t="s">
        <v>7</v>
      </c>
      <c r="F1051" t="str">
        <f>_xlfn.CONCAT(D1051,", ",H1051,", ",I1051,", ","云南省")</f>
        <v>瓦渡乡, 隆阳区, 保山市, 云南省</v>
      </c>
      <c r="G1051">
        <v>24013</v>
      </c>
      <c r="H1051" t="s">
        <v>2744</v>
      </c>
      <c r="I1051" t="s">
        <v>2739</v>
      </c>
      <c r="J1051" t="e">
        <f>VLOOKUP(F1051,[1]!china_towns_second__2[[Column1]:[Y]],3,FALSE)</f>
        <v>#N/A</v>
      </c>
      <c r="K1051" t="e">
        <f>VLOOKUP(F1051,[1]!china_towns_second__2[[Column1]:[Y]],2,FALSE)</f>
        <v>#N/A</v>
      </c>
      <c r="L1051" t="s">
        <v>4604</v>
      </c>
      <c r="M1051" t="str">
        <f>VLOOKUP(H1051,CHOOSE({1,2},Table17[Native],Table17[Name]),2,0)</f>
        <v>Lóngyáng Qū</v>
      </c>
      <c r="N1051" s="15" t="str">
        <f>VLOOKUP(I1051,CHOOSE({1,2},Table17[Native],Table17[Name]),2,0)</f>
        <v>Băoshān Shì</v>
      </c>
      <c r="O1051" s="15" t="str">
        <f t="shared" si="32"/>
        <v>Wadu Xiang (Băoshān Shì)</v>
      </c>
      <c r="P1051" s="15" t="str">
        <f t="shared" si="33"/>
        <v>Wadu Xiang (Băoshān Shì)</v>
      </c>
    </row>
    <row r="1052" spans="1:16" hidden="1" x14ac:dyDescent="0.25">
      <c r="A1052" t="s">
        <v>119</v>
      </c>
      <c r="B1052" t="str">
        <f>IF(COUNTIF(A:A,A1052)&gt;1,_xlfn.CONCAT(A1052," (",N1052,")"),A1052)</f>
        <v>Wăfáng Yízú Miáozú Xiāng</v>
      </c>
      <c r="C1052" t="str">
        <f>IF(COUNTIF(B:B,B1052)&gt;1,_xlfn.CONCAT(A1052," (",M1052,")"),B1052)</f>
        <v>Wăfáng Yízú Miáozú Xiāng</v>
      </c>
      <c r="D1052" t="s">
        <v>120</v>
      </c>
      <c r="E1052" t="s">
        <v>7</v>
      </c>
      <c r="F1052" t="str">
        <f>_xlfn.CONCAT(D1052,", ",H1052,", ",I1052,", ","云南省")</f>
        <v>瓦房彝族苗族乡, 隆阳区, 保山市, 云南省</v>
      </c>
      <c r="G1052">
        <v>32507</v>
      </c>
      <c r="H1052" t="s">
        <v>2744</v>
      </c>
      <c r="I1052" t="s">
        <v>2739</v>
      </c>
      <c r="J1052" t="e">
        <f>VLOOKUP(F1052,[1]!china_towns_second__2[[Column1]:[Y]],3,FALSE)</f>
        <v>#N/A</v>
      </c>
      <c r="K1052" t="e">
        <f>VLOOKUP(F1052,[1]!china_towns_second__2[[Column1]:[Y]],2,FALSE)</f>
        <v>#N/A</v>
      </c>
      <c r="L1052" t="s">
        <v>4605</v>
      </c>
      <c r="M1052" t="str">
        <f>VLOOKUP(H1052,CHOOSE({1,2},Table17[Native],Table17[Name]),2,0)</f>
        <v>Lóngyáng Qū</v>
      </c>
      <c r="N1052" s="15" t="str">
        <f>VLOOKUP(I1052,CHOOSE({1,2},Table17[Native],Table17[Name]),2,0)</f>
        <v>Băoshān Shì</v>
      </c>
      <c r="O1052" s="15" t="str">
        <f t="shared" si="32"/>
        <v>Wafang Yizu Miaozu Xiang (Băoshān Shì)</v>
      </c>
      <c r="P1052" s="15" t="str">
        <f t="shared" si="33"/>
        <v>Wafang Yizu Miaozu Xiang (Băoshān Shì)</v>
      </c>
    </row>
    <row r="1053" spans="1:16" hidden="1" x14ac:dyDescent="0.25">
      <c r="A1053" t="s">
        <v>121</v>
      </c>
      <c r="B1053" t="str">
        <f>IF(COUNTIF(A:A,A1053)&gt;1,_xlfn.CONCAT(A1053," (",N1053,")"),A1053)</f>
        <v>Wămă Yízú Báizú Xiāng</v>
      </c>
      <c r="C1053" t="str">
        <f>IF(COUNTIF(B:B,B1053)&gt;1,_xlfn.CONCAT(A1053," (",M1053,")"),B1053)</f>
        <v>Wămă Yízú Báizú Xiāng</v>
      </c>
      <c r="D1053" t="s">
        <v>122</v>
      </c>
      <c r="E1053" t="s">
        <v>7</v>
      </c>
      <c r="F1053" t="str">
        <f>_xlfn.CONCAT(D1053,", ",H1053,", ",I1053,", ","云南省")</f>
        <v>瓦马彝族白族乡, 隆阳区, 保山市, 云南省</v>
      </c>
      <c r="G1053">
        <v>24605</v>
      </c>
      <c r="H1053" t="s">
        <v>2744</v>
      </c>
      <c r="I1053" t="s">
        <v>2739</v>
      </c>
      <c r="J1053" t="e">
        <f>VLOOKUP(F1053,[1]!china_towns_second__2[[Column1]:[Y]],3,FALSE)</f>
        <v>#N/A</v>
      </c>
      <c r="K1053" t="e">
        <f>VLOOKUP(F1053,[1]!china_towns_second__2[[Column1]:[Y]],2,FALSE)</f>
        <v>#N/A</v>
      </c>
      <c r="L1053" t="s">
        <v>4606</v>
      </c>
      <c r="M1053" t="str">
        <f>VLOOKUP(H1053,CHOOSE({1,2},Table17[Native],Table17[Name]),2,0)</f>
        <v>Lóngyáng Qū</v>
      </c>
      <c r="N1053" s="15" t="str">
        <f>VLOOKUP(I1053,CHOOSE({1,2},Table17[Native],Table17[Name]),2,0)</f>
        <v>Băoshān Shì</v>
      </c>
      <c r="O1053" s="15" t="str">
        <f t="shared" si="32"/>
        <v>Wama Yizu Baizu Xiang (Băoshān Shì)</v>
      </c>
      <c r="P1053" s="15" t="str">
        <f t="shared" si="33"/>
        <v>Wama Yizu Baizu Xiang (Băoshān Shì)</v>
      </c>
    </row>
    <row r="1054" spans="1:16" hidden="1" x14ac:dyDescent="0.25">
      <c r="A1054" t="s">
        <v>317</v>
      </c>
      <c r="B1054" t="str">
        <f>IF(COUNTIF(A:A,A1054)&gt;1,_xlfn.CONCAT(A1054," (",N1054,")"),A1054)</f>
        <v>Wānbì Dǎizú Lìsùzú Xiāng</v>
      </c>
      <c r="C1054" t="str">
        <f>IF(COUNTIF(B:B,B1054)&gt;1,_xlfn.CONCAT(A1054," (",M1054,")"),B1054)</f>
        <v>Wānbì Dǎizú Lìsùzú Xiāng</v>
      </c>
      <c r="D1054" t="s">
        <v>318</v>
      </c>
      <c r="E1054" t="s">
        <v>7</v>
      </c>
      <c r="F1054" t="str">
        <f>_xlfn.CONCAT(D1054,", ",H1054,", ",I1054,", ","云南省")</f>
        <v>湾碧傣族傈僳族乡, 大姚县, 楚雄彝族自治州, 云南省</v>
      </c>
      <c r="G1054">
        <v>17454</v>
      </c>
      <c r="H1054" t="s">
        <v>2752</v>
      </c>
      <c r="I1054" t="s">
        <v>2750</v>
      </c>
      <c r="J1054" t="e">
        <f>VLOOKUP(F1054,[1]!china_towns_second__2[[Column1]:[Y]],3,FALSE)</f>
        <v>#N/A</v>
      </c>
      <c r="K1054" t="e">
        <f>VLOOKUP(F1054,[1]!china_towns_second__2[[Column1]:[Y]],2,FALSE)</f>
        <v>#N/A</v>
      </c>
      <c r="L1054" t="s">
        <v>4607</v>
      </c>
      <c r="M1054" t="str">
        <f>VLOOKUP(H1054,CHOOSE({1,2},Table17[Native],Table17[Name]),2,0)</f>
        <v>Dàyáo Xiàn</v>
      </c>
      <c r="N1054" s="15" t="str">
        <f>VLOOKUP(I1054,CHOOSE({1,2},Table17[Native],Table17[Name]),2,0)</f>
        <v>Chŭxióng Yízú Zìzhìzhōu</v>
      </c>
      <c r="O1054" s="15" t="str">
        <f t="shared" si="32"/>
        <v>Wanbi Daizu Lisuzu Xiang (Chŭxióng Yízú Zìzhìzhōu)</v>
      </c>
      <c r="P1054" s="15" t="str">
        <f t="shared" si="33"/>
        <v>Wanbi Daizu Lisuzu Xiang (Chŭxióng Yízú Zìzhìzhōu)</v>
      </c>
    </row>
    <row r="1055" spans="1:16" hidden="1" x14ac:dyDescent="0.25">
      <c r="A1055" t="s">
        <v>2673</v>
      </c>
      <c r="B1055" t="str">
        <f>IF(COUNTIF(A:A,A1055)&gt;1,_xlfn.CONCAT(A1055," (",N1055,")"),A1055)</f>
        <v>Wănchăng Zhèn</v>
      </c>
      <c r="C1055" t="str">
        <f>IF(COUNTIF(B:B,B1055)&gt;1,_xlfn.CONCAT(A1055," (",M1055,")"),B1055)</f>
        <v>Wănchăng Zhèn</v>
      </c>
      <c r="D1055" t="s">
        <v>2674</v>
      </c>
      <c r="E1055" t="s">
        <v>11</v>
      </c>
      <c r="F1055" t="str">
        <f>_xlfn.CONCAT(D1055,", ",H1055,", ",I1055,", ","云南省")</f>
        <v>碗厂镇, 镇雄县, 昭通市, 云南省</v>
      </c>
      <c r="G1055">
        <v>21015</v>
      </c>
      <c r="H1055" t="s">
        <v>2910</v>
      </c>
      <c r="I1055" t="s">
        <v>2899</v>
      </c>
      <c r="J1055">
        <f>VLOOKUP(F1055,[1]!china_towns_second__2[[Column1]:[Y]],3,FALSE)</f>
        <v>27.635302138837702</v>
      </c>
      <c r="K1055">
        <f>VLOOKUP(F1055,[1]!china_towns_second__2[[Column1]:[Y]],2,FALSE)</f>
        <v>104.518719</v>
      </c>
      <c r="L1055" t="s">
        <v>4608</v>
      </c>
      <c r="M1055" t="str">
        <f>VLOOKUP(H1055,CHOOSE({1,2},Table17[Native],Table17[Name]),2,0)</f>
        <v>Zhènxióng Xiàn</v>
      </c>
      <c r="N1055" s="15" t="str">
        <f>VLOOKUP(I1055,CHOOSE({1,2},Table17[Native],Table17[Name]),2,0)</f>
        <v>Zhāotōng Shì</v>
      </c>
      <c r="O1055" s="15" t="str">
        <f t="shared" si="32"/>
        <v>Wanchang Zhen (Zhāotōng Shì)</v>
      </c>
      <c r="P1055" s="15" t="str">
        <f t="shared" si="33"/>
        <v>Wanchang Zhen (Zhāotōng Shì)</v>
      </c>
    </row>
    <row r="1056" spans="1:16" hidden="1" x14ac:dyDescent="0.25">
      <c r="A1056" t="s">
        <v>319</v>
      </c>
      <c r="B1056" t="str">
        <f>IF(COUNTIF(A:A,A1056)&gt;1,_xlfn.CONCAT(A1056," (",N1056,")"),A1056)</f>
        <v>Wàndé Zhèn</v>
      </c>
      <c r="C1056" t="str">
        <f>IF(COUNTIF(B:B,B1056)&gt;1,_xlfn.CONCAT(A1056," (",M1056,")"),B1056)</f>
        <v>Wàndé Zhèn</v>
      </c>
      <c r="D1056" t="s">
        <v>320</v>
      </c>
      <c r="E1056" t="s">
        <v>11</v>
      </c>
      <c r="F1056" t="str">
        <f>_xlfn.CONCAT(D1056,", ",H1056,", ",I1056,", ","云南省")</f>
        <v>万德镇, 武定县, 楚雄彝族自治州, 云南省</v>
      </c>
      <c r="G1056">
        <v>14593</v>
      </c>
      <c r="H1056" t="s">
        <v>2757</v>
      </c>
      <c r="I1056" t="s">
        <v>2750</v>
      </c>
      <c r="J1056">
        <f>VLOOKUP(F1056,[1]!china_towns_second__2[[Column1]:[Y]],3,FALSE)</f>
        <v>25.9903876871054</v>
      </c>
      <c r="K1056">
        <f>VLOOKUP(F1056,[1]!china_towns_second__2[[Column1]:[Y]],2,FALSE)</f>
        <v>102.1860006</v>
      </c>
      <c r="L1056" t="s">
        <v>4609</v>
      </c>
      <c r="M1056" t="str">
        <f>VLOOKUP(H1056,CHOOSE({1,2},Table17[Native],Table17[Name]),2,0)</f>
        <v>Wŭdìng Xiàn</v>
      </c>
      <c r="N1056" s="15" t="str">
        <f>VLOOKUP(I1056,CHOOSE({1,2},Table17[Native],Table17[Name]),2,0)</f>
        <v>Chŭxióng Yízú Zìzhìzhōu</v>
      </c>
      <c r="O1056" s="15" t="str">
        <f t="shared" si="32"/>
        <v>Wande Zhen (Chŭxióng Yízú Zìzhìzhōu)</v>
      </c>
      <c r="P1056" s="15" t="str">
        <f t="shared" si="33"/>
        <v>Wande Zhen (Chŭxióng Yízú Zìzhìzhōu)</v>
      </c>
    </row>
    <row r="1057" spans="1:16" hidden="1" x14ac:dyDescent="0.25">
      <c r="A1057" t="s">
        <v>123</v>
      </c>
      <c r="B1057" t="str">
        <f>IF(COUNTIF(A:A,A1057)&gt;1,_xlfn.CONCAT(A1057," (",N1057,")"),A1057)</f>
        <v>Wāndiàn Dăizú Xiāng</v>
      </c>
      <c r="C1057" t="str">
        <f>IF(COUNTIF(B:B,B1057)&gt;1,_xlfn.CONCAT(A1057," (",M1057,")"),B1057)</f>
        <v>Wāndiàn Dăizú Xiāng</v>
      </c>
      <c r="D1057" t="s">
        <v>124</v>
      </c>
      <c r="E1057" t="s">
        <v>7</v>
      </c>
      <c r="F1057" t="str">
        <f>_xlfn.CONCAT(D1057,", ",H1057,", ",I1057,", ","云南省")</f>
        <v>湾甸傣族乡, 昌宁县, 保山市, 云南省</v>
      </c>
      <c r="G1057">
        <v>15459</v>
      </c>
      <c r="H1057" t="s">
        <v>2741</v>
      </c>
      <c r="I1057" t="s">
        <v>2739</v>
      </c>
      <c r="J1057" t="e">
        <f>VLOOKUP(F1057,[1]!china_towns_second__2[[Column1]:[Y]],3,FALSE)</f>
        <v>#N/A</v>
      </c>
      <c r="K1057" t="e">
        <f>VLOOKUP(F1057,[1]!china_towns_second__2[[Column1]:[Y]],2,FALSE)</f>
        <v>#N/A</v>
      </c>
      <c r="L1057" t="s">
        <v>4610</v>
      </c>
      <c r="M1057" t="str">
        <f>VLOOKUP(H1057,CHOOSE({1,2},Table17[Native],Table17[Name]),2,0)</f>
        <v>Chāngníng Xiàn</v>
      </c>
      <c r="N1057" s="15" t="str">
        <f>VLOOKUP(I1057,CHOOSE({1,2},Table17[Native],Table17[Name]),2,0)</f>
        <v>Băoshān Shì</v>
      </c>
      <c r="O1057" s="15" t="str">
        <f t="shared" si="32"/>
        <v>Wandian Daizu Xiang (Băoshān Shì)</v>
      </c>
      <c r="P1057" s="15" t="str">
        <f t="shared" si="33"/>
        <v>Wandian Daizu Xiang (Băoshān Shì)</v>
      </c>
    </row>
    <row r="1058" spans="1:16" hidden="1" x14ac:dyDescent="0.25">
      <c r="A1058" t="s">
        <v>679</v>
      </c>
      <c r="B1058" t="str">
        <f>IF(COUNTIF(A:A,A1058)&gt;1,_xlfn.CONCAT(A1058," (",N1058,")"),A1058)</f>
        <v>Wăndīng Zhèn</v>
      </c>
      <c r="C1058" t="str">
        <f>IF(COUNTIF(B:B,B1058)&gt;1,_xlfn.CONCAT(A1058," (",M1058,")"),B1058)</f>
        <v>Wăndīng Zhèn</v>
      </c>
      <c r="D1058" t="s">
        <v>680</v>
      </c>
      <c r="E1058" t="s">
        <v>11</v>
      </c>
      <c r="F1058" t="str">
        <f>_xlfn.CONCAT(D1058,", ",H1058,", ",I1058,", ","云南省")</f>
        <v>畹町镇, 瑞丽市, 德宏傣族景颇族自治州, 云南省</v>
      </c>
      <c r="G1058">
        <v>13906</v>
      </c>
      <c r="H1058" t="s">
        <v>2783</v>
      </c>
      <c r="I1058" t="s">
        <v>2779</v>
      </c>
      <c r="J1058">
        <f>VLOOKUP(F1058,[1]!china_towns_second__2[[Column1]:[Y]],3,FALSE)</f>
        <v>24.097596170523001</v>
      </c>
      <c r="K1058">
        <f>VLOOKUP(F1058,[1]!china_towns_second__2[[Column1]:[Y]],2,FALSE)</f>
        <v>98.060760130000006</v>
      </c>
      <c r="L1058" t="s">
        <v>4611</v>
      </c>
      <c r="M1058" t="str">
        <f>VLOOKUP(H1058,CHOOSE({1,2},Table17[Native],Table17[Name]),2,0)</f>
        <v>Ruìlì Shì</v>
      </c>
      <c r="N1058" s="15" t="str">
        <f>VLOOKUP(I1058,CHOOSE({1,2},Table17[Native],Table17[Name]),2,0)</f>
        <v>Déhóng Dăizú Jĭngpōzú Zìzhìzhōu</v>
      </c>
      <c r="O1058" s="15" t="str">
        <f t="shared" si="32"/>
        <v>Wanding Zhen (Déhóng Dăizú Jĭngpōzú Zìzhìzhōu)</v>
      </c>
      <c r="P1058" s="15" t="str">
        <f t="shared" si="33"/>
        <v>Wanding Zhen (Déhóng Dăizú Jĭngpōzú Zìzhìzhōu)</v>
      </c>
    </row>
    <row r="1059" spans="1:16" hidden="1" x14ac:dyDescent="0.25">
      <c r="A1059" t="s">
        <v>2001</v>
      </c>
      <c r="B1059" t="str">
        <f>IF(COUNTIF(A:A,A1059)&gt;1,_xlfn.CONCAT(A1059," (",N1059,")"),A1059)</f>
        <v>Wángjiāzhuāng Zhèn [incl. Wángjiāzhuāng Jiēdào, Zhāng'āntún Jiēdào]</v>
      </c>
      <c r="C1059" t="str">
        <f>IF(COUNTIF(B:B,B1059)&gt;1,_xlfn.CONCAT(A1059," (",M1059,")"),B1059)</f>
        <v>Wángjiāzhuāng Zhèn [incl. Wángjiāzhuāng Jiēdào, Zhāng'āntún Jiēdào]</v>
      </c>
      <c r="D1059" t="s">
        <v>2002</v>
      </c>
      <c r="E1059" t="s">
        <v>11</v>
      </c>
      <c r="F1059" t="str">
        <f>_xlfn.CONCAT(D1059,", ",H1059,", ",I1059,", ","云南省")</f>
        <v>王家庄镇, 马龙区, 曲靖市, 云南省</v>
      </c>
      <c r="G1059">
        <v>28662</v>
      </c>
      <c r="H1059" t="s">
        <v>2865</v>
      </c>
      <c r="I1059" t="s">
        <v>2860</v>
      </c>
      <c r="J1059">
        <f>VLOOKUP(F1059,[1]!china_towns_second__2[[Column1]:[Y]],3,FALSE)</f>
        <v>25.518402113347101</v>
      </c>
      <c r="K1059">
        <f>VLOOKUP(F1059,[1]!china_towns_second__2[[Column1]:[Y]],2,FALSE)</f>
        <v>103.5512382</v>
      </c>
      <c r="L1059" t="s">
        <v>4612</v>
      </c>
      <c r="M1059" t="str">
        <f>VLOOKUP(H1059,CHOOSE({1,2},Table17[Native],Table17[Name]),2,0)</f>
        <v>Mălóng Qū</v>
      </c>
      <c r="N1059" s="15" t="str">
        <f>VLOOKUP(I1059,CHOOSE({1,2},Table17[Native],Table17[Name]),2,0)</f>
        <v>Qŭjìng Shì</v>
      </c>
      <c r="O1059" s="15" t="str">
        <f t="shared" si="32"/>
        <v>Wangjiazhuang Zhen [incl. Wangjiazhuang Jiedao, Zhang'antun Jiedao] (Qŭjìng Shì)</v>
      </c>
      <c r="P1059" s="15" t="str">
        <f t="shared" si="33"/>
        <v>Wangjiazhuang Zhen [incl. Wangjiazhuang Jiedao, Zhang'antun Jiedao] (Qŭjìng Shì)</v>
      </c>
    </row>
    <row r="1060" spans="1:16" hidden="1" x14ac:dyDescent="0.25">
      <c r="A1060" t="s">
        <v>681</v>
      </c>
      <c r="B1060" t="str">
        <f>IF(COUNTIF(A:A,A1060)&gt;1,_xlfn.CONCAT(A1060," (",N1060,")"),A1060)</f>
        <v>Wángzishù Xiāng</v>
      </c>
      <c r="C1060" t="str">
        <f>IF(COUNTIF(B:B,B1060)&gt;1,_xlfn.CONCAT(A1060," (",M1060,")"),B1060)</f>
        <v>Wángzishù Xiāng</v>
      </c>
      <c r="D1060" t="s">
        <v>682</v>
      </c>
      <c r="E1060" t="s">
        <v>7</v>
      </c>
      <c r="F1060" t="str">
        <f>_xlfn.CONCAT(D1060,", ",H1060,", ",I1060,", ","云南省")</f>
        <v>王子树乡, 陇川县, 德宏傣族景颇族自治州, 云南省</v>
      </c>
      <c r="G1060">
        <v>13976</v>
      </c>
      <c r="H1060" t="s">
        <v>2781</v>
      </c>
      <c r="I1060" t="s">
        <v>2779</v>
      </c>
      <c r="J1060" t="e">
        <f>VLOOKUP(F1060,[1]!china_towns_second__2[[Column1]:[Y]],3,FALSE)</f>
        <v>#N/A</v>
      </c>
      <c r="K1060" t="e">
        <f>VLOOKUP(F1060,[1]!china_towns_second__2[[Column1]:[Y]],2,FALSE)</f>
        <v>#N/A</v>
      </c>
      <c r="L1060" t="s">
        <v>4613</v>
      </c>
      <c r="M1060" t="str">
        <f>VLOOKUP(H1060,CHOOSE({1,2},Table17[Native],Table17[Name]),2,0)</f>
        <v>Lŏngchuān Xiàn</v>
      </c>
      <c r="N1060" s="15" t="str">
        <f>VLOOKUP(I1060,CHOOSE({1,2},Table17[Native],Table17[Name]),2,0)</f>
        <v>Déhóng Dăizú Jĭngpōzú Zìzhìzhōu</v>
      </c>
      <c r="O1060" s="15" t="str">
        <f t="shared" si="32"/>
        <v>Wangzishu Xiang (Déhóng Dăizú Jĭngpōzú Zìzhìzhōu)</v>
      </c>
      <c r="P1060" s="15" t="str">
        <f t="shared" si="33"/>
        <v>Wangzishu Xiang (Déhóng Dăizú Jĭngpōzú Zìzhìzhōu)</v>
      </c>
    </row>
    <row r="1061" spans="1:16" hidden="1" x14ac:dyDescent="0.25">
      <c r="A1061" t="s">
        <v>550</v>
      </c>
      <c r="B1061" t="str">
        <f>IF(COUNTIF(A:A,A1061)&gt;1,_xlfn.CONCAT(A1061," (",N1061,")"),A1061)</f>
        <v>Wānqiáo Zhèn</v>
      </c>
      <c r="C1061" t="str">
        <f>IF(COUNTIF(B:B,B1061)&gt;1,_xlfn.CONCAT(A1061," (",M1061,")"),B1061)</f>
        <v>Wānqiáo Zhèn</v>
      </c>
      <c r="D1061" t="s">
        <v>551</v>
      </c>
      <c r="E1061" t="s">
        <v>11</v>
      </c>
      <c r="F1061" t="str">
        <f>_xlfn.CONCAT(D1061,", ",H1061,", ",I1061,", ","云南省")</f>
        <v>湾桥镇, 大理市, 大理白族自治州, 云南省</v>
      </c>
      <c r="G1061">
        <v>20784</v>
      </c>
      <c r="H1061" t="s">
        <v>2765</v>
      </c>
      <c r="I1061" t="s">
        <v>2763</v>
      </c>
      <c r="J1061">
        <f>VLOOKUP(F1061,[1]!china_towns_second__2[[Column1]:[Y]],3,FALSE)</f>
        <v>25.7928228810074</v>
      </c>
      <c r="K1061">
        <f>VLOOKUP(F1061,[1]!china_towns_second__2[[Column1]:[Y]],2,FALSE)</f>
        <v>100.0865585</v>
      </c>
      <c r="L1061" t="s">
        <v>4614</v>
      </c>
      <c r="M1061" t="str">
        <f>VLOOKUP(H1061,CHOOSE({1,2},Table17[Native],Table17[Name]),2,0)</f>
        <v>Dàlĭ Shì</v>
      </c>
      <c r="N1061" s="15" t="str">
        <f>VLOOKUP(I1061,CHOOSE({1,2},Table17[Native],Table17[Name]),2,0)</f>
        <v>Dàlĭ Báizú Zìzhìzhōu</v>
      </c>
      <c r="O1061" s="15" t="str">
        <f t="shared" si="32"/>
        <v>Wanqiao Zhen (Dàlĭ Báizú Zìzhìzhōu)</v>
      </c>
      <c r="P1061" s="15" t="str">
        <f t="shared" si="33"/>
        <v>Wanqiao Zhen (Dàlĭ Báizú Zìzhìzhōu)</v>
      </c>
    </row>
    <row r="1062" spans="1:16" hidden="1" x14ac:dyDescent="0.25">
      <c r="A1062" t="s">
        <v>2003</v>
      </c>
      <c r="B1062" t="str">
        <f>IF(COUNTIF(A:A,A1062)&gt;1,_xlfn.CONCAT(A1062," (",N1062,")"),A1062)</f>
        <v>Wănshuĭ Jiēdào [incl. Fēnghuá Jiēdào]</v>
      </c>
      <c r="C1062" t="str">
        <f>IF(COUNTIF(B:B,B1062)&gt;1,_xlfn.CONCAT(A1062," (",M1062,")"),B1062)</f>
        <v>Wănshuĭ Jiēdào [incl. Fēnghuá Jiēdào]</v>
      </c>
      <c r="D1062" t="s">
        <v>2004</v>
      </c>
      <c r="E1062" t="s">
        <v>42</v>
      </c>
      <c r="F1062" t="str">
        <f>_xlfn.CONCAT(D1062,", ",H1062,", ",I1062,", ","云南省")</f>
        <v>宛水街道, 宣威市, 曲靖市, 云南省</v>
      </c>
      <c r="G1062">
        <v>80106</v>
      </c>
      <c r="H1062" t="s">
        <v>2868</v>
      </c>
      <c r="I1062" t="s">
        <v>2860</v>
      </c>
      <c r="J1062">
        <f>VLOOKUP(F1062,[1]!china_towns_second__2[[Column1]:[Y]],3,FALSE)</f>
        <v>26.1928631694567</v>
      </c>
      <c r="K1062">
        <f>VLOOKUP(F1062,[1]!china_towns_second__2[[Column1]:[Y]],2,FALSE)</f>
        <v>104.1079294</v>
      </c>
      <c r="L1062" t="s">
        <v>4615</v>
      </c>
      <c r="M1062" t="str">
        <f>VLOOKUP(H1062,CHOOSE({1,2},Table17[Native],Table17[Name]),2,0)</f>
        <v>Xuānwēi Shì</v>
      </c>
      <c r="N1062" s="15" t="str">
        <f>VLOOKUP(I1062,CHOOSE({1,2},Table17[Native],Table17[Name]),2,0)</f>
        <v>Qŭjìng Shì</v>
      </c>
      <c r="O1062" s="15" t="str">
        <f t="shared" si="32"/>
        <v>Wanshui Jiedao [incl. Fenghua Jiedao] (Qŭjìng Shì)</v>
      </c>
      <c r="P1062" s="15" t="str">
        <f t="shared" si="33"/>
        <v>Wanshui Jiedao [incl. Fenghua Jiedao] (Qŭjìng Shì)</v>
      </c>
    </row>
    <row r="1063" spans="1:16" hidden="1" x14ac:dyDescent="0.25">
      <c r="A1063" t="s">
        <v>973</v>
      </c>
      <c r="B1063" t="str">
        <f>IF(COUNTIF(A:A,A1063)&gt;1,_xlfn.CONCAT(A1063," (",N1063,")"),A1063)</f>
        <v>Wāntáng Xiāng</v>
      </c>
      <c r="C1063" t="str">
        <f>IF(COUNTIF(B:B,B1063)&gt;1,_xlfn.CONCAT(A1063," (",M1063,")"),B1063)</f>
        <v>Wāntáng Xiāng</v>
      </c>
      <c r="D1063" t="s">
        <v>974</v>
      </c>
      <c r="E1063" t="s">
        <v>7</v>
      </c>
      <c r="F1063" t="str">
        <f>_xlfn.CONCAT(D1063,", ",H1063,", ",I1063,", ","云南省")</f>
        <v>湾塘乡, 屏边苗族自治县, 红河哈尼族彝族自治州, 云南省</v>
      </c>
      <c r="G1063">
        <v>13494</v>
      </c>
      <c r="H1063" t="s">
        <v>2803</v>
      </c>
      <c r="I1063" t="s">
        <v>2792</v>
      </c>
      <c r="J1063" t="e">
        <f>VLOOKUP(F1063,[1]!china_towns_second__2[[Column1]:[Y]],3,FALSE)</f>
        <v>#N/A</v>
      </c>
      <c r="K1063" t="e">
        <f>VLOOKUP(F1063,[1]!china_towns_second__2[[Column1]:[Y]],2,FALSE)</f>
        <v>#N/A</v>
      </c>
      <c r="L1063" t="s">
        <v>4616</v>
      </c>
      <c r="M1063" t="str">
        <f>VLOOKUP(H1063,CHOOSE({1,2},Table17[Native],Table17[Name]),2,0)</f>
        <v>Píngbiān Miáozú Zìzhìxiàn</v>
      </c>
      <c r="N1063" s="15" t="str">
        <f>VLOOKUP(I1063,CHOOSE({1,2},Table17[Native],Table17[Name]),2,0)</f>
        <v>Hónghé Hānízú Yízú Zìzhìzhōu</v>
      </c>
      <c r="O1063" s="15" t="str">
        <f t="shared" si="32"/>
        <v>Wantang Xiang (Hónghé Hānízú Yízú Zìzhìzhōu)</v>
      </c>
      <c r="P1063" s="15" t="str">
        <f t="shared" si="33"/>
        <v>Wantang Xiang (Hónghé Hānízú Yízú Zìzhìzhōu)</v>
      </c>
    </row>
    <row r="1064" spans="1:16" hidden="1" x14ac:dyDescent="0.25">
      <c r="A1064" t="s">
        <v>125</v>
      </c>
      <c r="B1064" t="str">
        <f>IF(COUNTIF(A:A,A1064)&gt;1,_xlfn.CONCAT(A1064," (",N1064,")"),A1064)</f>
        <v>Wànxīng Xiāng</v>
      </c>
      <c r="C1064" t="str">
        <f>IF(COUNTIF(B:B,B1064)&gt;1,_xlfn.CONCAT(A1064," (",M1064,")"),B1064)</f>
        <v>Wànxīng Xiāng</v>
      </c>
      <c r="D1064" t="s">
        <v>126</v>
      </c>
      <c r="E1064" t="s">
        <v>7</v>
      </c>
      <c r="F1064" t="str">
        <f>_xlfn.CONCAT(D1064,", ",H1064,", ",I1064,", ","云南省")</f>
        <v>万兴乡, 施甸县, 保山市, 云南省</v>
      </c>
      <c r="G1064">
        <v>13836</v>
      </c>
      <c r="H1064" t="s">
        <v>2745</v>
      </c>
      <c r="I1064" t="s">
        <v>2739</v>
      </c>
      <c r="J1064" t="e">
        <f>VLOOKUP(F1064,[1]!china_towns_second__2[[Column1]:[Y]],3,FALSE)</f>
        <v>#N/A</v>
      </c>
      <c r="K1064" t="e">
        <f>VLOOKUP(F1064,[1]!china_towns_second__2[[Column1]:[Y]],2,FALSE)</f>
        <v>#N/A</v>
      </c>
      <c r="L1064" t="s">
        <v>4617</v>
      </c>
      <c r="M1064" t="str">
        <f>VLOOKUP(H1064,CHOOSE({1,2},Table17[Native],Table17[Name]),2,0)</f>
        <v>Shīdiàn Xiàn</v>
      </c>
      <c r="N1064" s="15" t="str">
        <f>VLOOKUP(I1064,CHOOSE({1,2},Table17[Native],Table17[Name]),2,0)</f>
        <v>Băoshān Shì</v>
      </c>
      <c r="O1064" s="15" t="str">
        <f t="shared" si="32"/>
        <v>Wanxing Xiang (Băoshān Shì)</v>
      </c>
      <c r="P1064" s="15" t="str">
        <f t="shared" si="33"/>
        <v>Wanxing Xiang (Băoshān Shì)</v>
      </c>
    </row>
    <row r="1065" spans="1:16" hidden="1" x14ac:dyDescent="0.25">
      <c r="A1065" t="s">
        <v>552</v>
      </c>
      <c r="B1065" t="str">
        <f>IF(COUNTIF(A:A,A1065)&gt;1,_xlfn.CONCAT(A1065," (",N1065,")"),A1065)</f>
        <v>Wāsè Zhèn</v>
      </c>
      <c r="C1065" t="str">
        <f>IF(COUNTIF(B:B,B1065)&gt;1,_xlfn.CONCAT(A1065," (",M1065,")"),B1065)</f>
        <v>Wāsè Zhèn</v>
      </c>
      <c r="D1065" t="s">
        <v>553</v>
      </c>
      <c r="E1065" t="s">
        <v>11</v>
      </c>
      <c r="F1065" t="str">
        <f>_xlfn.CONCAT(D1065,", ",H1065,", ",I1065,", ","云南省")</f>
        <v>挖色镇, 大理市, 大理白族自治州, 云南省</v>
      </c>
      <c r="G1065">
        <v>16873</v>
      </c>
      <c r="H1065" t="s">
        <v>2765</v>
      </c>
      <c r="I1065" t="s">
        <v>2763</v>
      </c>
      <c r="J1065">
        <f>VLOOKUP(F1065,[1]!china_towns_second__2[[Column1]:[Y]],3,FALSE)</f>
        <v>25.856915896722001</v>
      </c>
      <c r="K1065">
        <f>VLOOKUP(F1065,[1]!china_towns_second__2[[Column1]:[Y]],2,FALSE)</f>
        <v>100.2661308</v>
      </c>
      <c r="L1065" t="s">
        <v>4618</v>
      </c>
      <c r="M1065" t="str">
        <f>VLOOKUP(H1065,CHOOSE({1,2},Table17[Native],Table17[Name]),2,0)</f>
        <v>Dàlĭ Shì</v>
      </c>
      <c r="N1065" s="15" t="str">
        <f>VLOOKUP(I1065,CHOOSE({1,2},Table17[Native],Table17[Name]),2,0)</f>
        <v>Dàlĭ Báizú Zìzhìzhōu</v>
      </c>
      <c r="O1065" s="15" t="str">
        <f t="shared" si="32"/>
        <v>Wase Zhen (Dàlĭ Báizú Zìzhìzhōu)</v>
      </c>
      <c r="P1065" s="15" t="str">
        <f t="shared" si="33"/>
        <v>Wase Zhen (Dàlĭ Báizú Zìzhìzhōu)</v>
      </c>
    </row>
    <row r="1066" spans="1:16" hidden="1" x14ac:dyDescent="0.25">
      <c r="A1066" t="s">
        <v>127</v>
      </c>
      <c r="B1066" t="str">
        <f>IF(COUNTIF(A:A,A1066)&gt;1,_xlfn.CONCAT(A1066," (",N1066,")"),A1066)</f>
        <v>Wăyáo Zhèn</v>
      </c>
      <c r="C1066" t="str">
        <f>IF(COUNTIF(B:B,B1066)&gt;1,_xlfn.CONCAT(A1066," (",M1066,")"),B1066)</f>
        <v>Wăyáo Zhèn</v>
      </c>
      <c r="D1066" t="s">
        <v>128</v>
      </c>
      <c r="E1066" t="s">
        <v>11</v>
      </c>
      <c r="F1066" t="str">
        <f>_xlfn.CONCAT(D1066,", ",H1066,", ",I1066,", ","云南省")</f>
        <v>瓦窑镇, 隆阳区, 保山市, 云南省</v>
      </c>
      <c r="G1066">
        <v>37154</v>
      </c>
      <c r="H1066" t="s">
        <v>2744</v>
      </c>
      <c r="I1066" t="s">
        <v>2739</v>
      </c>
      <c r="J1066">
        <f>VLOOKUP(F1066,[1]!china_towns_second__2[[Column1]:[Y]],3,FALSE)</f>
        <v>25.4241370381087</v>
      </c>
      <c r="K1066">
        <f>VLOOKUP(F1066,[1]!china_towns_second__2[[Column1]:[Y]],2,FALSE)</f>
        <v>99.224029259999995</v>
      </c>
      <c r="L1066" t="s">
        <v>4619</v>
      </c>
      <c r="M1066" t="str">
        <f>VLOOKUP(H1066,CHOOSE({1,2},Table17[Native],Table17[Name]),2,0)</f>
        <v>Lóngyáng Qū</v>
      </c>
      <c r="N1066" s="15" t="str">
        <f>VLOOKUP(I1066,CHOOSE({1,2},Table17[Native],Table17[Name]),2,0)</f>
        <v>Băoshān Shì</v>
      </c>
      <c r="O1066" s="15" t="str">
        <f t="shared" si="32"/>
        <v>Wayao Zhen (Băoshān Shì)</v>
      </c>
      <c r="P1066" s="15" t="str">
        <f t="shared" si="33"/>
        <v>Wayao Zhen (Băoshān Shì)</v>
      </c>
    </row>
    <row r="1067" spans="1:16" hidden="1" x14ac:dyDescent="0.25">
      <c r="A1067" t="s">
        <v>554</v>
      </c>
      <c r="B1067" t="str">
        <f>IF(COUNTIF(A:A,A1067)&gt;1,_xlfn.CONCAT(A1067," (",N1067,")"),A1067)</f>
        <v>Wēibăoshān Xiāng</v>
      </c>
      <c r="C1067" t="str">
        <f>IF(COUNTIF(B:B,B1067)&gt;1,_xlfn.CONCAT(A1067," (",M1067,")"),B1067)</f>
        <v>Wēibăoshān Xiāng</v>
      </c>
      <c r="D1067" t="s">
        <v>555</v>
      </c>
      <c r="E1067" t="s">
        <v>7</v>
      </c>
      <c r="F1067" t="str">
        <f>_xlfn.CONCAT(D1067,", ",H1067,", ",I1067,", ","云南省")</f>
        <v>巍宝山乡, 巍山彝族回族自治县, 大理白族自治州, 云南省</v>
      </c>
      <c r="G1067">
        <v>11981</v>
      </c>
      <c r="H1067" t="s">
        <v>2772</v>
      </c>
      <c r="I1067" t="s">
        <v>2763</v>
      </c>
      <c r="J1067" t="e">
        <f>VLOOKUP(F1067,[1]!china_towns_second__2[[Column1]:[Y]],3,FALSE)</f>
        <v>#N/A</v>
      </c>
      <c r="K1067" t="e">
        <f>VLOOKUP(F1067,[1]!china_towns_second__2[[Column1]:[Y]],2,FALSE)</f>
        <v>#N/A</v>
      </c>
      <c r="L1067" t="s">
        <v>4620</v>
      </c>
      <c r="M1067" t="str">
        <f>VLOOKUP(H1067,CHOOSE({1,2},Table17[Native],Table17[Name]),2,0)</f>
        <v>Wēishān Yízú Huízú Zìzhìxiàn</v>
      </c>
      <c r="N1067" s="15" t="str">
        <f>VLOOKUP(I1067,CHOOSE({1,2},Table17[Native],Table17[Name]),2,0)</f>
        <v>Dàlĭ Báizú Zìzhìzhōu</v>
      </c>
      <c r="O1067" s="15" t="str">
        <f t="shared" si="32"/>
        <v>Weibaoshan Xiang (Dàlĭ Báizú Zìzhìzhōu)</v>
      </c>
      <c r="P1067" s="15" t="str">
        <f t="shared" si="33"/>
        <v>Weibaoshan Xiang (Dàlĭ Báizú Zìzhìzhōu)</v>
      </c>
    </row>
    <row r="1068" spans="1:16" hidden="1" x14ac:dyDescent="0.25">
      <c r="A1068" t="s">
        <v>321</v>
      </c>
      <c r="B1068" t="str">
        <f>IF(COUNTIF(A:A,A1068)&gt;1,_xlfn.CONCAT(A1068," (",N1068,")"),A1068)</f>
        <v>Wéide Xiāng</v>
      </c>
      <c r="C1068" t="str">
        <f>IF(COUNTIF(B:B,B1068)&gt;1,_xlfn.CONCAT(A1068," (",M1068,")"),B1068)</f>
        <v>Wéide Xiāng</v>
      </c>
      <c r="D1068" t="s">
        <v>322</v>
      </c>
      <c r="E1068" t="s">
        <v>7</v>
      </c>
      <c r="F1068" t="str">
        <f>_xlfn.CONCAT(D1068,", ",H1068,", ",I1068,", ","云南省")</f>
        <v>维的乡, 永仁县, 楚雄彝族自治州, 云南省</v>
      </c>
      <c r="G1068">
        <v>11664</v>
      </c>
      <c r="H1068" t="s">
        <v>2759</v>
      </c>
      <c r="I1068" t="s">
        <v>2750</v>
      </c>
      <c r="J1068" t="e">
        <f>VLOOKUP(F1068,[1]!china_towns_second__2[[Column1]:[Y]],3,FALSE)</f>
        <v>#N/A</v>
      </c>
      <c r="K1068" t="e">
        <f>VLOOKUP(F1068,[1]!china_towns_second__2[[Column1]:[Y]],2,FALSE)</f>
        <v>#N/A</v>
      </c>
      <c r="L1068" t="s">
        <v>4621</v>
      </c>
      <c r="M1068" t="str">
        <f>VLOOKUP(H1068,CHOOSE({1,2},Table17[Native],Table17[Name]),2,0)</f>
        <v>Yŏngrén Xiàn</v>
      </c>
      <c r="N1068" s="15" t="str">
        <f>VLOOKUP(I1068,CHOOSE({1,2},Table17[Native],Table17[Name]),2,0)</f>
        <v>Chŭxióng Yízú Zìzhìzhōu</v>
      </c>
      <c r="O1068" s="15" t="str">
        <f t="shared" si="32"/>
        <v>Weide Xiang (Chŭxióng Yízú Zìzhìzhōu)</v>
      </c>
      <c r="P1068" s="15" t="str">
        <f t="shared" si="33"/>
        <v>Weide Xiang (Chŭxióng Yízú Zìzhìzhōu)</v>
      </c>
    </row>
    <row r="1069" spans="1:16" hidden="1" x14ac:dyDescent="0.25">
      <c r="A1069" t="s">
        <v>748</v>
      </c>
      <c r="B1069" t="str">
        <f>IF(COUNTIF(A:A,A1069)&gt;1,_xlfn.CONCAT(A1069," (",N1069,")"),A1069)</f>
        <v>Wéidēng Xiāng</v>
      </c>
      <c r="C1069" t="str">
        <f>IF(COUNTIF(B:B,B1069)&gt;1,_xlfn.CONCAT(A1069," (",M1069,")"),B1069)</f>
        <v>Wéidēng Xiāng</v>
      </c>
      <c r="D1069" t="s">
        <v>749</v>
      </c>
      <c r="E1069" t="s">
        <v>7</v>
      </c>
      <c r="F1069" t="str">
        <f>_xlfn.CONCAT(D1069,", ",H1069,", ",I1069,", ","云南省")</f>
        <v>维登乡, 维西傈僳族自治县, 迪庆藏族自治州, 云南省</v>
      </c>
      <c r="G1069">
        <v>13530</v>
      </c>
      <c r="H1069" t="s">
        <v>2788</v>
      </c>
      <c r="I1069" t="s">
        <v>2786</v>
      </c>
      <c r="J1069" t="e">
        <f>VLOOKUP(F1069,[1]!china_towns_second__2[[Column1]:[Y]],3,FALSE)</f>
        <v>#N/A</v>
      </c>
      <c r="K1069" t="e">
        <f>VLOOKUP(F1069,[1]!china_towns_second__2[[Column1]:[Y]],2,FALSE)</f>
        <v>#N/A</v>
      </c>
      <c r="L1069" t="s">
        <v>4622</v>
      </c>
      <c r="M1069" t="str">
        <f>VLOOKUP(H1069,CHOOSE({1,2},Table17[Native],Table17[Name]),2,0)</f>
        <v>Wéixī Lìsùzú Zìzhìxiàn</v>
      </c>
      <c r="N1069" s="15" t="str">
        <f>VLOOKUP(I1069,CHOOSE({1,2},Table17[Native],Table17[Name]),2,0)</f>
        <v>Díqìng Zàngzú Zìzhìzhōu</v>
      </c>
      <c r="O1069" s="15" t="str">
        <f t="shared" si="32"/>
        <v>Weideng Xiang (Díqìng Zàngzú Zìzhìzhōu)</v>
      </c>
      <c r="P1069" s="15" t="str">
        <f t="shared" si="33"/>
        <v>Weideng Xiang (Díqìng Zàngzú Zìzhìzhōu)</v>
      </c>
    </row>
    <row r="1070" spans="1:16" hidden="1" x14ac:dyDescent="0.25">
      <c r="A1070" t="s">
        <v>2211</v>
      </c>
      <c r="B1070" t="str">
        <f>IF(COUNTIF(A:A,A1070)&gt;1,_xlfn.CONCAT(A1070," (",N1070,")"),A1070)</f>
        <v>Wéimó Yízú Xiāng</v>
      </c>
      <c r="C1070" t="str">
        <f>IF(COUNTIF(B:B,B1070)&gt;1,_xlfn.CONCAT(A1070," (",M1070,")"),B1070)</f>
        <v>Wéimó Yízú Xiāng</v>
      </c>
      <c r="D1070" t="s">
        <v>2212</v>
      </c>
      <c r="E1070" t="s">
        <v>7</v>
      </c>
      <c r="F1070" t="str">
        <f>_xlfn.CONCAT(D1070,", ",H1070,", ",I1070,", ","云南省")</f>
        <v>维摩彝族乡, 砚山县, 文山壮族苗族自治州, 云南省</v>
      </c>
      <c r="G1070">
        <v>51101</v>
      </c>
      <c r="H1070" t="s">
        <v>2880</v>
      </c>
      <c r="I1070" t="s">
        <v>2872</v>
      </c>
      <c r="J1070" t="e">
        <f>VLOOKUP(F1070,[1]!china_towns_second__2[[Column1]:[Y]],3,FALSE)</f>
        <v>#N/A</v>
      </c>
      <c r="K1070" t="e">
        <f>VLOOKUP(F1070,[1]!china_towns_second__2[[Column1]:[Y]],2,FALSE)</f>
        <v>#N/A</v>
      </c>
      <c r="L1070" t="s">
        <v>4623</v>
      </c>
      <c r="M1070" t="str">
        <f>VLOOKUP(H1070,CHOOSE({1,2},Table17[Native],Table17[Name]),2,0)</f>
        <v>Yànshān Xiàn</v>
      </c>
      <c r="N1070" s="15" t="str">
        <f>VLOOKUP(I1070,CHOOSE({1,2},Table17[Native],Table17[Name]),2,0)</f>
        <v>Wénshān Zhuàngzú Miáozú Zìzhìzhōu</v>
      </c>
      <c r="O1070" s="15" t="str">
        <f t="shared" si="32"/>
        <v>Weimo Yizu Xiang (Wénshān Zhuàngzú Miáozú Zìzhìzhōu)</v>
      </c>
      <c r="P1070" s="15" t="str">
        <f t="shared" si="33"/>
        <v>Weimo Yizu Xiang (Wénshān Zhuàngzú Miáozú Zìzhìzhōu)</v>
      </c>
    </row>
    <row r="1071" spans="1:16" hidden="1" x14ac:dyDescent="0.25">
      <c r="A1071" t="s">
        <v>1807</v>
      </c>
      <c r="B1071" t="str">
        <f>IF(COUNTIF(A:A,A1071)&gt;1,_xlfn.CONCAT(A1071," (",N1071,")"),A1071)</f>
        <v>Wēiyuăn Zhèn</v>
      </c>
      <c r="C1071" t="str">
        <f>IF(COUNTIF(B:B,B1071)&gt;1,_xlfn.CONCAT(A1071," (",M1071,")"),B1071)</f>
        <v>Wēiyuăn Zhèn</v>
      </c>
      <c r="D1071" t="s">
        <v>1808</v>
      </c>
      <c r="E1071" t="s">
        <v>11</v>
      </c>
      <c r="F1071" t="str">
        <f>_xlfn.CONCAT(D1071,", ",H1071,", ",I1071,", ","云南省")</f>
        <v>威远镇, 景谷傣族彝族自治县, 普洱市, 云南省</v>
      </c>
      <c r="G1071">
        <v>91536</v>
      </c>
      <c r="H1071" t="s">
        <v>2851</v>
      </c>
      <c r="I1071" t="s">
        <v>2848</v>
      </c>
      <c r="J1071">
        <f>VLOOKUP(F1071,[1]!china_towns_second__2[[Column1]:[Y]],3,FALSE)</f>
        <v>23.479242255218399</v>
      </c>
      <c r="K1071">
        <f>VLOOKUP(F1071,[1]!china_towns_second__2[[Column1]:[Y]],2,FALSE)</f>
        <v>100.71406210000001</v>
      </c>
      <c r="L1071" t="s">
        <v>4624</v>
      </c>
      <c r="M1071" t="str">
        <f>VLOOKUP(H1071,CHOOSE({1,2},Table17[Native],Table17[Name]),2,0)</f>
        <v>Jĭnggŭ Dăizú Yízú Zìzhìxiàn</v>
      </c>
      <c r="N1071" s="15" t="str">
        <f>VLOOKUP(I1071,CHOOSE({1,2},Table17[Native],Table17[Name]),2,0)</f>
        <v>Pŭ'ĕr Shì</v>
      </c>
      <c r="O1071" s="15" t="str">
        <f t="shared" si="32"/>
        <v>Weiyuan Zhen (Pŭ'ĕr Shì)</v>
      </c>
      <c r="P1071" s="15" t="str">
        <f t="shared" si="33"/>
        <v>Weiyuan Zhen (Pŭ'ĕr Shì)</v>
      </c>
    </row>
    <row r="1072" spans="1:16" hidden="1" x14ac:dyDescent="0.25">
      <c r="A1072" t="s">
        <v>1809</v>
      </c>
      <c r="B1072" t="str">
        <f>IF(COUNTIF(A:A,A1072)&gt;1,_xlfn.CONCAT(A1072," (",N1072,")"),A1072)</f>
        <v>Wéndōng Wăzú Xiāng</v>
      </c>
      <c r="C1072" t="str">
        <f>IF(COUNTIF(B:B,B1072)&gt;1,_xlfn.CONCAT(A1072," (",M1072,")"),B1072)</f>
        <v>Wéndōng Wăzú Xiāng</v>
      </c>
      <c r="D1072" t="s">
        <v>1810</v>
      </c>
      <c r="E1072" t="s">
        <v>7</v>
      </c>
      <c r="F1072" t="str">
        <f>_xlfn.CONCAT(D1072,", ",H1072,", ",I1072,", ","云南省")</f>
        <v>文东佤族乡, 澜沧拉祜族自治县, 普洱市, 云南省</v>
      </c>
      <c r="G1072">
        <v>14517</v>
      </c>
      <c r="H1072" t="s">
        <v>2852</v>
      </c>
      <c r="I1072" t="s">
        <v>2848</v>
      </c>
      <c r="J1072" t="e">
        <f>VLOOKUP(F1072,[1]!china_towns_second__2[[Column1]:[Y]],3,FALSE)</f>
        <v>#N/A</v>
      </c>
      <c r="K1072" t="e">
        <f>VLOOKUP(F1072,[1]!china_towns_second__2[[Column1]:[Y]],2,FALSE)</f>
        <v>#N/A</v>
      </c>
      <c r="L1072" t="s">
        <v>4625</v>
      </c>
      <c r="M1072" t="str">
        <f>VLOOKUP(H1072,CHOOSE({1,2},Table17[Native],Table17[Name]),2,0)</f>
        <v>Láncāng Lāhùzú Zìzhìxiàn</v>
      </c>
      <c r="N1072" s="15" t="str">
        <f>VLOOKUP(I1072,CHOOSE({1,2},Table17[Native],Table17[Name]),2,0)</f>
        <v>Pŭ'ĕr Shì</v>
      </c>
      <c r="O1072" s="15" t="str">
        <f t="shared" si="32"/>
        <v>Wendong Wazu Xiang (Pŭ'ĕr Shì)</v>
      </c>
      <c r="P1072" s="15" t="str">
        <f t="shared" si="33"/>
        <v>Wendong Wazu Xiang (Pŭ'ĕr Shì)</v>
      </c>
    </row>
    <row r="1073" spans="1:16" hidden="1" x14ac:dyDescent="0.25">
      <c r="A1073" t="s">
        <v>129</v>
      </c>
      <c r="B1073" t="str">
        <f>IF(COUNTIF(A:A,A1073)&gt;1,_xlfn.CONCAT(A1073," (",N1073,")"),A1073)</f>
        <v>Wēngdŭ Zhèn</v>
      </c>
      <c r="C1073" t="str">
        <f>IF(COUNTIF(B:B,B1073)&gt;1,_xlfn.CONCAT(A1073," (",M1073,")"),B1073)</f>
        <v>Wēngdŭ Zhèn</v>
      </c>
      <c r="D1073" t="s">
        <v>130</v>
      </c>
      <c r="E1073" t="s">
        <v>11</v>
      </c>
      <c r="F1073" t="str">
        <f>_xlfn.CONCAT(D1073,", ",H1073,", ",I1073,", ","云南省")</f>
        <v>翁堵镇, 昌宁县, 保山市, 云南省</v>
      </c>
      <c r="G1073">
        <v>14063</v>
      </c>
      <c r="H1073" t="s">
        <v>2741</v>
      </c>
      <c r="I1073" t="s">
        <v>2739</v>
      </c>
      <c r="J1073">
        <f>VLOOKUP(F1073,[1]!china_towns_second__2[[Column1]:[Y]],3,FALSE)</f>
        <v>24.675793746132499</v>
      </c>
      <c r="K1073">
        <f>VLOOKUP(F1073,[1]!china_towns_second__2[[Column1]:[Y]],2,FALSE)</f>
        <v>99.559753380000004</v>
      </c>
      <c r="L1073" t="s">
        <v>4626</v>
      </c>
      <c r="M1073" t="str">
        <f>VLOOKUP(H1073,CHOOSE({1,2},Table17[Native],Table17[Name]),2,0)</f>
        <v>Chāngníng Xiàn</v>
      </c>
      <c r="N1073" s="15" t="str">
        <f>VLOOKUP(I1073,CHOOSE({1,2},Table17[Native],Table17[Name]),2,0)</f>
        <v>Băoshān Shì</v>
      </c>
      <c r="O1073" s="15" t="str">
        <f t="shared" si="32"/>
        <v>Wengdu Zhen (Băoshān Shì)</v>
      </c>
      <c r="P1073" s="15" t="str">
        <f t="shared" si="33"/>
        <v>Wengdu Zhen (Băoshān Shì)</v>
      </c>
    </row>
    <row r="1074" spans="1:16" hidden="1" x14ac:dyDescent="0.25">
      <c r="A1074" t="s">
        <v>1811</v>
      </c>
      <c r="B1074" t="str">
        <f>IF(COUNTIF(A:A,A1074)&gt;1,_xlfn.CONCAT(A1074," (",N1074,")"),A1074)</f>
        <v>Wēnggākē Zhèn</v>
      </c>
      <c r="C1074" t="str">
        <f>IF(COUNTIF(B:B,B1074)&gt;1,_xlfn.CONCAT(A1074," (",M1074,")"),B1074)</f>
        <v>Wēnggākē Zhèn</v>
      </c>
      <c r="D1074" t="s">
        <v>1812</v>
      </c>
      <c r="E1074" t="s">
        <v>11</v>
      </c>
      <c r="F1074" t="str">
        <f>_xlfn.CONCAT(D1074,", ",H1074,", ",I1074,", ","云南省")</f>
        <v>翁嘎科镇, 西盟佤族自治县, 普洱市, 云南省</v>
      </c>
      <c r="G1074">
        <v>10994</v>
      </c>
      <c r="H1074" t="s">
        <v>2857</v>
      </c>
      <c r="I1074" t="s">
        <v>2848</v>
      </c>
      <c r="J1074">
        <f>VLOOKUP(F1074,[1]!china_towns_second__2[[Column1]:[Y]],3,FALSE)</f>
        <v>22.5361014225114</v>
      </c>
      <c r="K1074">
        <f>VLOOKUP(F1074,[1]!china_towns_second__2[[Column1]:[Y]],2,FALSE)</f>
        <v>99.454897270000004</v>
      </c>
      <c r="L1074" t="s">
        <v>4627</v>
      </c>
      <c r="M1074" t="str">
        <f>VLOOKUP(H1074,CHOOSE({1,2},Table17[Native],Table17[Name]),2,0)</f>
        <v>Xīméng Wăzú Zìzhìxiàn</v>
      </c>
      <c r="N1074" s="15" t="str">
        <f>VLOOKUP(I1074,CHOOSE({1,2},Table17[Native],Table17[Name]),2,0)</f>
        <v>Pŭ'ĕr Shì</v>
      </c>
      <c r="O1074" s="15" t="str">
        <f t="shared" si="32"/>
        <v>Wenggake Zhen (Pŭ'ĕr Shì)</v>
      </c>
      <c r="P1074" s="15" t="str">
        <f t="shared" si="33"/>
        <v>Wenggake Zhen (Pŭ'ĕr Shì)</v>
      </c>
    </row>
    <row r="1075" spans="1:16" hidden="1" x14ac:dyDescent="0.25">
      <c r="A1075" t="s">
        <v>1813</v>
      </c>
      <c r="B1075" t="str">
        <f>IF(COUNTIF(A:A,A1075)&gt;1,_xlfn.CONCAT(A1075," (",N1075,")"),A1075)</f>
        <v>Wénjĭng Zhèn</v>
      </c>
      <c r="C1075" t="str">
        <f>IF(COUNTIF(B:B,B1075)&gt;1,_xlfn.CONCAT(A1075," (",M1075,")"),B1075)</f>
        <v>Wénjĭng Zhèn</v>
      </c>
      <c r="D1075" t="s">
        <v>1814</v>
      </c>
      <c r="E1075" t="s">
        <v>11</v>
      </c>
      <c r="F1075" t="str">
        <f>_xlfn.CONCAT(D1075,", ",H1075,", ",I1075,", ","云南省")</f>
        <v>文井镇, 景东彝族自治县, 普洱市, 云南省</v>
      </c>
      <c r="G1075">
        <v>66141</v>
      </c>
      <c r="H1075" t="s">
        <v>2850</v>
      </c>
      <c r="I1075" t="s">
        <v>2848</v>
      </c>
      <c r="J1075">
        <f>VLOOKUP(F1075,[1]!china_towns_second__2[[Column1]:[Y]],3,FALSE)</f>
        <v>24.223416069458601</v>
      </c>
      <c r="K1075">
        <f>VLOOKUP(F1075,[1]!china_towns_second__2[[Column1]:[Y]],2,FALSE)</f>
        <v>100.955657</v>
      </c>
      <c r="L1075" t="s">
        <v>4628</v>
      </c>
      <c r="M1075" t="str">
        <f>VLOOKUP(H1075,CHOOSE({1,2},Table17[Native],Table17[Name]),2,0)</f>
        <v>Jĭngdōng Yízú Zìzhìxiàn</v>
      </c>
      <c r="N1075" s="15" t="str">
        <f>VLOOKUP(I1075,CHOOSE({1,2},Table17[Native],Table17[Name]),2,0)</f>
        <v>Pŭ'ĕr Shì</v>
      </c>
      <c r="O1075" s="15" t="str">
        <f t="shared" si="32"/>
        <v>Wenjing Zhen (Pŭ'ĕr Shì)</v>
      </c>
      <c r="P1075" s="15" t="str">
        <f t="shared" si="33"/>
        <v>Wenjing Zhen (Pŭ'ĕr Shì)</v>
      </c>
    </row>
    <row r="1076" spans="1:16" hidden="1" x14ac:dyDescent="0.25">
      <c r="A1076" t="s">
        <v>975</v>
      </c>
      <c r="B1076" t="str">
        <f>IF(COUNTIF(A:A,A1076)&gt;1,_xlfn.CONCAT(A1076," (",N1076,")"),A1076)</f>
        <v>Wénlán Jiēdào</v>
      </c>
      <c r="C1076" t="str">
        <f>IF(COUNTIF(B:B,B1076)&gt;1,_xlfn.CONCAT(A1076," (",M1076,")"),B1076)</f>
        <v>Wénlán Jiēdào</v>
      </c>
      <c r="D1076" t="s">
        <v>976</v>
      </c>
      <c r="E1076" t="s">
        <v>42</v>
      </c>
      <c r="F1076" t="str">
        <f>_xlfn.CONCAT(D1076,", ",H1076,", ",I1076,", ","云南省")</f>
        <v>文澜街道, 蒙自市, 红河哈尼族彝族自治州, 云南省</v>
      </c>
      <c r="G1076">
        <v>185130</v>
      </c>
      <c r="H1076" t="s">
        <v>2801</v>
      </c>
      <c r="I1076" t="s">
        <v>2792</v>
      </c>
      <c r="J1076" t="e">
        <f>VLOOKUP(F1076,[1]!china_towns_second__2[[Column1]:[Y]],3,FALSE)</f>
        <v>#N/A</v>
      </c>
      <c r="K1076" t="e">
        <f>VLOOKUP(F1076,[1]!china_towns_second__2[[Column1]:[Y]],2,FALSE)</f>
        <v>#N/A</v>
      </c>
      <c r="L1076" t="s">
        <v>4629</v>
      </c>
      <c r="M1076" t="str">
        <f>VLOOKUP(H1076,CHOOSE({1,2},Table17[Native],Table17[Name]),2,0)</f>
        <v>Mĕngzì Shì</v>
      </c>
      <c r="N1076" s="15" t="str">
        <f>VLOOKUP(I1076,CHOOSE({1,2},Table17[Native],Table17[Name]),2,0)</f>
        <v>Hónghé Hānízú Yízú Zìzhìzhōu</v>
      </c>
      <c r="O1076" s="15" t="str">
        <f t="shared" si="32"/>
        <v>Wenlan Jiedao (Hónghé Hānízú Yízú Zìzhìzhōu)</v>
      </c>
      <c r="P1076" s="15" t="str">
        <f t="shared" si="33"/>
        <v>Wenlan Jiedao (Hónghé Hānízú Yízú Zìzhìzhōu)</v>
      </c>
    </row>
    <row r="1077" spans="1:16" hidden="1" x14ac:dyDescent="0.25">
      <c r="A1077" t="s">
        <v>2213</v>
      </c>
      <c r="B1077" t="str">
        <f>IF(COUNTIF(A:A,A1077)&gt;1,_xlfn.CONCAT(A1077," (",N1077,")"),A1077)</f>
        <v>Wēnliú Xiāng</v>
      </c>
      <c r="C1077" t="str">
        <f>IF(COUNTIF(B:B,B1077)&gt;1,_xlfn.CONCAT(A1077," (",M1077,")"),B1077)</f>
        <v>Wēnliú Xiāng</v>
      </c>
      <c r="D1077" t="s">
        <v>2214</v>
      </c>
      <c r="E1077" t="s">
        <v>7</v>
      </c>
      <c r="F1077" t="str">
        <f>_xlfn.CONCAT(D1077,", ",H1077,", ",I1077,", ","云南省")</f>
        <v>温浏乡, 丘北县, 文山壮族苗族自治州, 云南省</v>
      </c>
      <c r="G1077">
        <v>36286</v>
      </c>
      <c r="H1077" t="s">
        <v>2877</v>
      </c>
      <c r="I1077" t="s">
        <v>2872</v>
      </c>
      <c r="J1077" t="e">
        <f>VLOOKUP(F1077,[1]!china_towns_second__2[[Column1]:[Y]],3,FALSE)</f>
        <v>#N/A</v>
      </c>
      <c r="K1077" t="e">
        <f>VLOOKUP(F1077,[1]!china_towns_second__2[[Column1]:[Y]],2,FALSE)</f>
        <v>#N/A</v>
      </c>
      <c r="L1077" t="s">
        <v>4630</v>
      </c>
      <c r="M1077" t="str">
        <f>VLOOKUP(H1077,CHOOSE({1,2},Table17[Native],Table17[Name]),2,0)</f>
        <v>Qiūbĕi Xiàn</v>
      </c>
      <c r="N1077" s="15" t="str">
        <f>VLOOKUP(I1077,CHOOSE({1,2},Table17[Native],Table17[Name]),2,0)</f>
        <v>Wénshān Zhuàngzú Miáozú Zìzhìzhōu</v>
      </c>
      <c r="O1077" s="15" t="str">
        <f t="shared" si="32"/>
        <v>Wenliu Xiang (Wénshān Zhuàngzú Miáozú Zìzhìzhōu)</v>
      </c>
      <c r="P1077" s="15" t="str">
        <f t="shared" si="33"/>
        <v>Wenliu Xiang (Wénshān Zhuàngzú Miáozú Zìzhìzhōu)</v>
      </c>
    </row>
    <row r="1078" spans="1:16" hidden="1" x14ac:dyDescent="0.25">
      <c r="A1078" t="s">
        <v>1815</v>
      </c>
      <c r="B1078" t="str">
        <f>IF(COUNTIF(A:A,A1078)&gt;1,_xlfn.CONCAT(A1078," (",N1078,")"),A1078)</f>
        <v>Wénlóng Zhèn</v>
      </c>
      <c r="C1078" t="str">
        <f>IF(COUNTIF(B:B,B1078)&gt;1,_xlfn.CONCAT(A1078," (",M1078,")"),B1078)</f>
        <v>Wénlóng Zhèn</v>
      </c>
      <c r="D1078" t="s">
        <v>1816</v>
      </c>
      <c r="E1078" t="s">
        <v>11</v>
      </c>
      <c r="F1078" t="str">
        <f>_xlfn.CONCAT(D1078,", ",H1078,", ",I1078,", ","云南省")</f>
        <v>文龙镇, 景东彝族自治县, 普洱市, 云南省</v>
      </c>
      <c r="G1078">
        <v>18150</v>
      </c>
      <c r="H1078" t="s">
        <v>2850</v>
      </c>
      <c r="I1078" t="s">
        <v>2848</v>
      </c>
      <c r="J1078">
        <f>VLOOKUP(F1078,[1]!china_towns_second__2[[Column1]:[Y]],3,FALSE)</f>
        <v>24.644689523414598</v>
      </c>
      <c r="K1078">
        <f>VLOOKUP(F1078,[1]!china_towns_second__2[[Column1]:[Y]],2,FALSE)</f>
        <v>100.71800690000001</v>
      </c>
      <c r="L1078" t="s">
        <v>4631</v>
      </c>
      <c r="M1078" t="str">
        <f>VLOOKUP(H1078,CHOOSE({1,2},Table17[Native],Table17[Name]),2,0)</f>
        <v>Jĭngdōng Yízú Zìzhìxiàn</v>
      </c>
      <c r="N1078" s="15" t="str">
        <f>VLOOKUP(I1078,CHOOSE({1,2},Table17[Native],Table17[Name]),2,0)</f>
        <v>Pŭ'ĕr Shì</v>
      </c>
      <c r="O1078" s="15" t="str">
        <f t="shared" si="32"/>
        <v>Wenlong Zhen (Pŭ'ĕr Shì)</v>
      </c>
      <c r="P1078" s="15" t="str">
        <f t="shared" si="33"/>
        <v>Wenlong Zhen (Pŭ'ĕr Shì)</v>
      </c>
    </row>
    <row r="1079" spans="1:16" hidden="1" x14ac:dyDescent="0.25">
      <c r="A1079" t="s">
        <v>2675</v>
      </c>
      <c r="B1079" t="str">
        <f>IF(COUNTIF(A:A,A1079)&gt;1,_xlfn.CONCAT(A1079," (",N1079,")"),A1079)</f>
        <v>Wénpíng Zhèn</v>
      </c>
      <c r="C1079" t="str">
        <f>IF(COUNTIF(B:B,B1079)&gt;1,_xlfn.CONCAT(A1079," (",M1079,")"),B1079)</f>
        <v>Wénpíng Zhèn</v>
      </c>
      <c r="D1079" t="s">
        <v>2676</v>
      </c>
      <c r="E1079" t="s">
        <v>11</v>
      </c>
      <c r="F1079" t="str">
        <f>_xlfn.CONCAT(D1079,", ",H1079,", ",I1079,", ","云南省")</f>
        <v>文屏镇, 鲁甸县, 昭通市, 云南省</v>
      </c>
      <c r="G1079">
        <v>71943</v>
      </c>
      <c r="H1079" t="s">
        <v>2901</v>
      </c>
      <c r="I1079" t="s">
        <v>2899</v>
      </c>
      <c r="J1079">
        <f>VLOOKUP(F1079,[1]!china_towns_second__2[[Column1]:[Y]],3,FALSE)</f>
        <v>27.152308510729501</v>
      </c>
      <c r="K1079">
        <f>VLOOKUP(F1079,[1]!china_towns_second__2[[Column1]:[Y]],2,FALSE)</f>
        <v>103.5335381</v>
      </c>
      <c r="L1079" t="s">
        <v>4632</v>
      </c>
      <c r="M1079" t="str">
        <f>VLOOKUP(H1079,CHOOSE({1,2},Table17[Native],Table17[Name]),2,0)</f>
        <v>Lŭdiàn Xiàn</v>
      </c>
      <c r="N1079" s="15" t="str">
        <f>VLOOKUP(I1079,CHOOSE({1,2},Table17[Native],Table17[Name]),2,0)</f>
        <v>Zhāotōng Shì</v>
      </c>
      <c r="O1079" s="15" t="str">
        <f t="shared" si="32"/>
        <v>Wenping Zhen (Zhāotōng Shì)</v>
      </c>
      <c r="P1079" s="15" t="str">
        <f t="shared" si="33"/>
        <v>Wenping Zhen (Zhāotōng Shì)</v>
      </c>
    </row>
    <row r="1080" spans="1:16" hidden="1" x14ac:dyDescent="0.25">
      <c r="A1080" t="s">
        <v>1250</v>
      </c>
      <c r="B1080" t="str">
        <f>IF(COUNTIF(A:A,A1080)&gt;1,_xlfn.CONCAT(A1080," (",N1080,")"),A1080)</f>
        <v>Wēnquán Jiēdào</v>
      </c>
      <c r="C1080" t="str">
        <f>IF(COUNTIF(B:B,B1080)&gt;1,_xlfn.CONCAT(A1080," (",M1080,")"),B1080)</f>
        <v>Wēnquán Jiēdào</v>
      </c>
      <c r="D1080" t="s">
        <v>1251</v>
      </c>
      <c r="E1080" t="s">
        <v>42</v>
      </c>
      <c r="F1080" t="str">
        <f>_xlfn.CONCAT(D1080,", ",H1080,", ",I1080,", ","云南省")</f>
        <v>温泉街道, 安宁市, 昆明市, 云南省</v>
      </c>
      <c r="G1080">
        <v>10991</v>
      </c>
      <c r="H1080" t="s">
        <v>2808</v>
      </c>
      <c r="I1080" t="s">
        <v>2807</v>
      </c>
      <c r="J1080">
        <f>VLOOKUP(F1080,[1]!china_towns_second__2[[Column1]:[Y]],3,FALSE)</f>
        <v>24.988289383932099</v>
      </c>
      <c r="K1080">
        <f>VLOOKUP(F1080,[1]!china_towns_second__2[[Column1]:[Y]],2,FALSE)</f>
        <v>102.4298404</v>
      </c>
      <c r="L1080" t="s">
        <v>4633</v>
      </c>
      <c r="M1080" t="str">
        <f>VLOOKUP(H1080,CHOOSE({1,2},Table17[Native],Table17[Name]),2,0)</f>
        <v>Ānníng Shì</v>
      </c>
      <c r="N1080" s="15" t="str">
        <f>VLOOKUP(I1080,CHOOSE({1,2},Table17[Native],Table17[Name]),2,0)</f>
        <v>Kūnmíng Shì</v>
      </c>
      <c r="O1080" s="15" t="str">
        <f t="shared" si="32"/>
        <v>Wenquan Jiedao (Kūnmíng Shì)</v>
      </c>
      <c r="P1080" s="15" t="str">
        <f t="shared" si="33"/>
        <v>Wenquan Jiedao (Kūnmíng Shì)</v>
      </c>
    </row>
    <row r="1081" spans="1:16" hidden="1" x14ac:dyDescent="0.25">
      <c r="A1081" t="s">
        <v>131</v>
      </c>
      <c r="B1081" t="str">
        <f>IF(COUNTIF(A:A,A1081)&gt;1,_xlfn.CONCAT(A1081," (",N1081,")"),A1081)</f>
        <v>Wēnquán Zhèn</v>
      </c>
      <c r="C1081" t="str">
        <f>IF(COUNTIF(B:B,B1081)&gt;1,_xlfn.CONCAT(A1081," (",M1081,")"),B1081)</f>
        <v>Wēnquán Zhèn</v>
      </c>
      <c r="D1081" t="s">
        <v>132</v>
      </c>
      <c r="E1081" t="s">
        <v>11</v>
      </c>
      <c r="F1081" t="str">
        <f>_xlfn.CONCAT(D1081,", ",H1081,", ",I1081,", ","云南省")</f>
        <v>温泉镇, 昌宁县, 保山市, 云南省</v>
      </c>
      <c r="G1081">
        <v>24526</v>
      </c>
      <c r="H1081" t="s">
        <v>2741</v>
      </c>
      <c r="I1081" t="s">
        <v>2739</v>
      </c>
      <c r="J1081">
        <f>VLOOKUP(F1081,[1]!china_towns_second__2[[Column1]:[Y]],3,FALSE)</f>
        <v>24.7067410979861</v>
      </c>
      <c r="K1081">
        <f>VLOOKUP(F1081,[1]!china_towns_second__2[[Column1]:[Y]],2,FALSE)</f>
        <v>99.702600230000002</v>
      </c>
      <c r="L1081" t="s">
        <v>4634</v>
      </c>
      <c r="M1081" t="str">
        <f>VLOOKUP(H1081,CHOOSE({1,2},Table17[Native],Table17[Name]),2,0)</f>
        <v>Chāngníng Xiàn</v>
      </c>
      <c r="N1081" s="15" t="str">
        <f>VLOOKUP(I1081,CHOOSE({1,2},Table17[Native],Table17[Name]),2,0)</f>
        <v>Băoshān Shì</v>
      </c>
      <c r="O1081" s="15" t="str">
        <f t="shared" si="32"/>
        <v>Wenquan Zhen (Băoshān Shì)</v>
      </c>
      <c r="P1081" s="15" t="str">
        <f t="shared" si="33"/>
        <v>Wenquan Zhen (Băoshān Shì)</v>
      </c>
    </row>
    <row r="1082" spans="1:16" hidden="1" x14ac:dyDescent="0.25">
      <c r="A1082" t="s">
        <v>1817</v>
      </c>
      <c r="B1082" t="str">
        <f>IF(COUNTIF(A:A,A1082)&gt;1,_xlfn.CONCAT(A1082," (",N1082,")"),A1082)</f>
        <v>Wénwŭ Zhèn</v>
      </c>
      <c r="C1082" t="str">
        <f>IF(COUNTIF(B:B,B1082)&gt;1,_xlfn.CONCAT(A1082," (",M1082,")"),B1082)</f>
        <v>Wénwŭ Zhèn</v>
      </c>
      <c r="D1082" t="s">
        <v>1818</v>
      </c>
      <c r="E1082" t="s">
        <v>11</v>
      </c>
      <c r="F1082" t="str">
        <f>_xlfn.CONCAT(D1082,", ",H1082,", ",I1082,", ","云南省")</f>
        <v>文武镇, 墨江哈尼族自治县, 普洱市, 云南省</v>
      </c>
      <c r="G1082">
        <v>21354</v>
      </c>
      <c r="H1082" t="s">
        <v>2854</v>
      </c>
      <c r="I1082" t="s">
        <v>2848</v>
      </c>
      <c r="J1082">
        <f>VLOOKUP(F1082,[1]!china_towns_second__2[[Column1]:[Y]],3,FALSE)</f>
        <v>22.9596198560975</v>
      </c>
      <c r="K1082">
        <f>VLOOKUP(F1082,[1]!china_towns_second__2[[Column1]:[Y]],2,FALSE)</f>
        <v>101.6387569</v>
      </c>
      <c r="L1082" t="s">
        <v>4635</v>
      </c>
      <c r="M1082" t="str">
        <f>VLOOKUP(H1082,CHOOSE({1,2},Table17[Native],Table17[Name]),2,0)</f>
        <v>Mòjiāng Hānízú Zìzhìxiàn</v>
      </c>
      <c r="N1082" s="15" t="str">
        <f>VLOOKUP(I1082,CHOOSE({1,2},Table17[Native],Table17[Name]),2,0)</f>
        <v>Pŭ'ĕr Shì</v>
      </c>
      <c r="O1082" s="15" t="str">
        <f t="shared" si="32"/>
        <v>Wenwu Zhen (Pŭ'ĕr Shì)</v>
      </c>
      <c r="P1082" s="15" t="str">
        <f t="shared" si="33"/>
        <v>Wenwu Zhen (Pŭ'ĕr Shì)</v>
      </c>
    </row>
    <row r="1083" spans="1:16" hidden="1" x14ac:dyDescent="0.25">
      <c r="A1083" t="s">
        <v>2005</v>
      </c>
      <c r="B1083" t="str">
        <f>IF(COUNTIF(A:A,A1083)&gt;1,_xlfn.CONCAT(A1083," (",N1083,")"),A1083)</f>
        <v>Wénxīng Xiāng</v>
      </c>
      <c r="C1083" t="str">
        <f>IF(COUNTIF(B:B,B1083)&gt;1,_xlfn.CONCAT(A1083," (",M1083,")"),B1083)</f>
        <v>Wénxīng Xiāng</v>
      </c>
      <c r="D1083" t="s">
        <v>2006</v>
      </c>
      <c r="E1083" t="s">
        <v>7</v>
      </c>
      <c r="F1083" t="str">
        <f>_xlfn.CONCAT(D1083,", ",H1083,", ",I1083,", ","云南省")</f>
        <v>文兴乡, 宣威市, 曲靖市, 云南省</v>
      </c>
      <c r="G1083">
        <v>48949</v>
      </c>
      <c r="H1083" t="s">
        <v>2868</v>
      </c>
      <c r="I1083" t="s">
        <v>2860</v>
      </c>
      <c r="J1083" t="e">
        <f>VLOOKUP(F1083,[1]!china_towns_second__2[[Column1]:[Y]],3,FALSE)</f>
        <v>#N/A</v>
      </c>
      <c r="K1083" t="e">
        <f>VLOOKUP(F1083,[1]!china_towns_second__2[[Column1]:[Y]],2,FALSE)</f>
        <v>#N/A</v>
      </c>
      <c r="L1083" t="s">
        <v>4636</v>
      </c>
      <c r="M1083" t="str">
        <f>VLOOKUP(H1083,CHOOSE({1,2},Table17[Native],Table17[Name]),2,0)</f>
        <v>Xuānwēi Shì</v>
      </c>
      <c r="N1083" s="15" t="str">
        <f>VLOOKUP(I1083,CHOOSE({1,2},Table17[Native],Table17[Name]),2,0)</f>
        <v>Qŭjìng Shì</v>
      </c>
      <c r="O1083" s="15" t="str">
        <f t="shared" si="32"/>
        <v>Wenxing Xiang (Qŭjìng Shì)</v>
      </c>
      <c r="P1083" s="15" t="str">
        <f t="shared" si="33"/>
        <v>Wenxing Xiang (Qŭjìng Shì)</v>
      </c>
    </row>
    <row r="1084" spans="1:16" hidden="1" x14ac:dyDescent="0.25">
      <c r="A1084" t="s">
        <v>683</v>
      </c>
      <c r="B1084" t="str">
        <f>IF(COUNTIF(A:A,A1084)&gt;1,_xlfn.CONCAT(A1084," (",N1084,")"),A1084)</f>
        <v>Wŭchàlù Xiāng</v>
      </c>
      <c r="C1084" t="str">
        <f>IF(COUNTIF(B:B,B1084)&gt;1,_xlfn.CONCAT(A1084," (",M1084,")"),B1084)</f>
        <v>Wŭchàlù Xiāng</v>
      </c>
      <c r="D1084" t="s">
        <v>684</v>
      </c>
      <c r="E1084" t="s">
        <v>7</v>
      </c>
      <c r="F1084" t="str">
        <f>_xlfn.CONCAT(D1084,", ",H1084,", ",I1084,", ","云南省")</f>
        <v>五岔路乡, 芒市, 德宏傣族景颇族自治州, 云南省</v>
      </c>
      <c r="G1084">
        <v>16245</v>
      </c>
      <c r="H1084" t="s">
        <v>2782</v>
      </c>
      <c r="I1084" t="s">
        <v>2779</v>
      </c>
      <c r="J1084" t="e">
        <f>VLOOKUP(F1084,[1]!china_towns_second__2[[Column1]:[Y]],3,FALSE)</f>
        <v>#N/A</v>
      </c>
      <c r="K1084" t="e">
        <f>VLOOKUP(F1084,[1]!china_towns_second__2[[Column1]:[Y]],2,FALSE)</f>
        <v>#N/A</v>
      </c>
      <c r="L1084" t="s">
        <v>4637</v>
      </c>
      <c r="M1084" t="str">
        <f>VLOOKUP(H1084,CHOOSE({1,2},Table17[Native],Table17[Name]),2,0)</f>
        <v>Máng Shì</v>
      </c>
      <c r="N1084" s="15" t="str">
        <f>VLOOKUP(I1084,CHOOSE({1,2},Table17[Native],Table17[Name]),2,0)</f>
        <v>Déhóng Dăizú Jĭngpōzú Zìzhìzhōu</v>
      </c>
      <c r="O1084" s="15" t="str">
        <f t="shared" si="32"/>
        <v>Wuchalu Xiang (Déhóng Dăizú Jĭngpōzú Zìzhìzhōu)</v>
      </c>
      <c r="P1084" s="15" t="str">
        <f t="shared" si="33"/>
        <v>Wuchalu Xiang (Déhóng Dăizú Jĭngpōzú Zìzhìzhōu)</v>
      </c>
    </row>
    <row r="1085" spans="1:16" x14ac:dyDescent="0.25">
      <c r="A1085" t="s">
        <v>2007</v>
      </c>
      <c r="B1085" t="str">
        <f>IF(COUNTIF(A:A,A1085)&gt;1,_xlfn.CONCAT(A1085," (",N1085,")"),A1085)</f>
        <v>Wùdé Zhèn</v>
      </c>
      <c r="C1085" t="str">
        <f>IF(COUNTIF(B:B,B1085)&gt;1,_xlfn.CONCAT(A1085," (",M1085,")"),B1085)</f>
        <v>Wùdé Zhèn</v>
      </c>
      <c r="D1085" t="s">
        <v>2008</v>
      </c>
      <c r="E1085" t="s">
        <v>11</v>
      </c>
      <c r="F1085" t="str">
        <f>_xlfn.CONCAT(D1085,", ",H1085,", ",I1085,", ","云南省")</f>
        <v>务德镇, 宣威市, 曲靖市, 云南省</v>
      </c>
      <c r="G1085">
        <v>40155</v>
      </c>
      <c r="H1085" t="s">
        <v>2868</v>
      </c>
      <c r="I1085" t="s">
        <v>2860</v>
      </c>
      <c r="J1085">
        <f>VLOOKUP(F1085,[1]!china_towns_second__2[[Column1]:[Y]],3,FALSE)</f>
        <v>26.259241992588699</v>
      </c>
      <c r="K1085">
        <f>VLOOKUP(F1085,[1]!china_towns_second__2[[Column1]:[Y]],2,FALSE)</f>
        <v>103.7122207</v>
      </c>
      <c r="L1085" t="s">
        <v>4638</v>
      </c>
      <c r="M1085" t="str">
        <f>VLOOKUP(H1085,CHOOSE({1,2},Table17[Native],Table17[Name]),2,0)</f>
        <v>Xuānwēi Shì</v>
      </c>
      <c r="N1085" s="15" t="str">
        <f>VLOOKUP(I1085,CHOOSE({1,2},Table17[Native],Table17[Name]),2,0)</f>
        <v>Qŭjìng Shì</v>
      </c>
      <c r="O1085" s="15" t="str">
        <f t="shared" si="32"/>
        <v>Wude Zhen (Qŭjìng Shì)</v>
      </c>
      <c r="P1085" s="15" t="str">
        <f t="shared" si="33"/>
        <v>Wude Zhen (Qŭjìng Shì)</v>
      </c>
    </row>
    <row r="1086" spans="1:16" x14ac:dyDescent="0.25">
      <c r="A1086" t="s">
        <v>2677</v>
      </c>
      <c r="B1086" t="str">
        <f>IF(COUNTIF(A:A,A1086)&gt;1,_xlfn.CONCAT(A1086," (",N1086,")"),A1086)</f>
        <v>Wŭdé Zhèn</v>
      </c>
      <c r="C1086" t="str">
        <f>IF(COUNTIF(B:B,B1086)&gt;1,_xlfn.CONCAT(A1086," (",M1086,")"),B1086)</f>
        <v>Wŭdé Zhèn</v>
      </c>
      <c r="D1086" t="s">
        <v>2678</v>
      </c>
      <c r="E1086" t="s">
        <v>11</v>
      </c>
      <c r="F1086" t="str">
        <f>_xlfn.CONCAT(D1086,", ",H1086,", ",I1086,", ","云南省")</f>
        <v>五德镇, 镇雄县, 昭通市, 云南省</v>
      </c>
      <c r="G1086">
        <v>60651</v>
      </c>
      <c r="H1086" t="s">
        <v>2910</v>
      </c>
      <c r="I1086" t="s">
        <v>2899</v>
      </c>
      <c r="J1086">
        <f>VLOOKUP(F1086,[1]!china_towns_second__2[[Column1]:[Y]],3,FALSE)</f>
        <v>27.570337642417002</v>
      </c>
      <c r="K1086">
        <f>VLOOKUP(F1086,[1]!china_towns_second__2[[Column1]:[Y]],2,FALSE)</f>
        <v>104.7249449</v>
      </c>
      <c r="L1086" t="s">
        <v>4638</v>
      </c>
      <c r="M1086" t="str">
        <f>VLOOKUP(H1086,CHOOSE({1,2},Table17[Native],Table17[Name]),2,0)</f>
        <v>Zhènxióng Xiàn</v>
      </c>
      <c r="N1086" s="15" t="str">
        <f>VLOOKUP(I1086,CHOOSE({1,2},Table17[Native],Table17[Name]),2,0)</f>
        <v>Zhāotōng Shì</v>
      </c>
      <c r="O1086" s="15" t="str">
        <f t="shared" si="32"/>
        <v>Wude Zhen (Zhāotōng Shì)</v>
      </c>
      <c r="P1086" s="15" t="str">
        <f t="shared" si="33"/>
        <v>Wude Zhen (Zhāotōng Shì)</v>
      </c>
    </row>
    <row r="1087" spans="1:16" hidden="1" x14ac:dyDescent="0.25">
      <c r="A1087" t="s">
        <v>323</v>
      </c>
      <c r="B1087" t="str">
        <f>IF(COUNTIF(A:A,A1087)&gt;1,_xlfn.CONCAT(A1087," (",N1087,")"),A1087)</f>
        <v>Wŭdĭngshān Xiāng</v>
      </c>
      <c r="C1087" t="str">
        <f>IF(COUNTIF(B:B,B1087)&gt;1,_xlfn.CONCAT(A1087," (",M1087,")"),B1087)</f>
        <v>Wŭdĭngshān Xiāng</v>
      </c>
      <c r="D1087" t="s">
        <v>324</v>
      </c>
      <c r="E1087" t="s">
        <v>7</v>
      </c>
      <c r="F1087" t="str">
        <f>_xlfn.CONCAT(D1087,", ",H1087,", ",I1087,", ","云南省")</f>
        <v>五顶山乡, 南华县, 楚雄彝族自治州, 云南省</v>
      </c>
      <c r="G1087">
        <v>9964</v>
      </c>
      <c r="H1087" t="s">
        <v>2755</v>
      </c>
      <c r="I1087" t="s">
        <v>2750</v>
      </c>
      <c r="J1087" t="e">
        <f>VLOOKUP(F1087,[1]!china_towns_second__2[[Column1]:[Y]],3,FALSE)</f>
        <v>#N/A</v>
      </c>
      <c r="K1087" t="e">
        <f>VLOOKUP(F1087,[1]!china_towns_second__2[[Column1]:[Y]],2,FALSE)</f>
        <v>#N/A</v>
      </c>
      <c r="L1087" t="s">
        <v>4639</v>
      </c>
      <c r="M1087" t="str">
        <f>VLOOKUP(H1087,CHOOSE({1,2},Table17[Native],Table17[Name]),2,0)</f>
        <v>Nánhuá Xiàn</v>
      </c>
      <c r="N1087" s="15" t="str">
        <f>VLOOKUP(I1087,CHOOSE({1,2},Table17[Native],Table17[Name]),2,0)</f>
        <v>Chŭxióng Yízú Zìzhìzhōu</v>
      </c>
      <c r="O1087" s="15" t="str">
        <f t="shared" si="32"/>
        <v>Wudingshan Xiang (Chŭxióng Yízú Zìzhìzhōu)</v>
      </c>
      <c r="P1087" s="15" t="str">
        <f t="shared" si="33"/>
        <v>Wudingshan Xiang (Chŭxióng Yízú Zìzhìzhōu)</v>
      </c>
    </row>
    <row r="1088" spans="1:16" hidden="1" x14ac:dyDescent="0.25">
      <c r="A1088" t="s">
        <v>1252</v>
      </c>
      <c r="B1088" t="str">
        <f>IF(COUNTIF(A:A,A1088)&gt;1,_xlfn.CONCAT(A1088," (",N1088,")"),A1088)</f>
        <v>Wūdōngdé Zhèn</v>
      </c>
      <c r="C1088" t="str">
        <f>IF(COUNTIF(B:B,B1088)&gt;1,_xlfn.CONCAT(A1088," (",M1088,")"),B1088)</f>
        <v>Wūdōngdé Zhèn</v>
      </c>
      <c r="D1088" t="s">
        <v>1253</v>
      </c>
      <c r="E1088" t="s">
        <v>11</v>
      </c>
      <c r="F1088" t="str">
        <f>_xlfn.CONCAT(D1088,", ",H1088,", ",I1088,", ","云南省")</f>
        <v>乌东德镇, 禄劝彝族苗族自治县, 昆明市, 云南省</v>
      </c>
      <c r="G1088">
        <v>13005</v>
      </c>
      <c r="H1088" t="s">
        <v>2814</v>
      </c>
      <c r="I1088" t="s">
        <v>2807</v>
      </c>
      <c r="J1088">
        <f>VLOOKUP(F1088,[1]!china_towns_second__2[[Column1]:[Y]],3,FALSE)</f>
        <v>26.291801998765202</v>
      </c>
      <c r="K1088">
        <f>VLOOKUP(F1088,[1]!china_towns_second__2[[Column1]:[Y]],2,FALSE)</f>
        <v>102.5431683</v>
      </c>
      <c r="L1088" t="s">
        <v>4640</v>
      </c>
      <c r="M1088" t="str">
        <f>VLOOKUP(H1088,CHOOSE({1,2},Table17[Native],Table17[Name]),2,0)</f>
        <v>Lùquàn Yízú Miáozú Zìzhìxiàn</v>
      </c>
      <c r="N1088" s="15" t="str">
        <f>VLOOKUP(I1088,CHOOSE({1,2},Table17[Native],Table17[Name]),2,0)</f>
        <v>Kūnmíng Shì</v>
      </c>
      <c r="O1088" s="15" t="str">
        <f t="shared" si="32"/>
        <v>Wudongde Zhen (Kūnmíng Shì)</v>
      </c>
      <c r="P1088" s="15" t="str">
        <f t="shared" si="33"/>
        <v>Wudongde Zhen (Kūnmíng Shì)</v>
      </c>
    </row>
    <row r="1089" spans="1:16" hidden="1" x14ac:dyDescent="0.25">
      <c r="A1089" t="s">
        <v>2679</v>
      </c>
      <c r="B1089" t="str">
        <f>IF(COUNTIF(A:A,A1089)&gt;1,_xlfn.CONCAT(A1089," (",N1089,")"),A1089)</f>
        <v>Wūfēng Zhèn [incl. Wūfēng Jiēdào, Nántái Jiēdào, Jiùfǔ Jiēdào]</v>
      </c>
      <c r="C1089" t="str">
        <f>IF(COUNTIF(B:B,B1089)&gt;1,_xlfn.CONCAT(A1089," (",M1089,")"),B1089)</f>
        <v>Wūfēng Zhèn [incl. Wūfēng Jiēdào, Nántái Jiēdào, Jiùfǔ Jiēdào]</v>
      </c>
      <c r="D1089" t="s">
        <v>2680</v>
      </c>
      <c r="E1089" t="s">
        <v>11</v>
      </c>
      <c r="F1089" t="str">
        <f>_xlfn.CONCAT(D1089,", ",H1089,", ",I1089,", ","云南省")</f>
        <v>乌峰镇, 镇雄县, 昭通市, 云南省</v>
      </c>
      <c r="G1089">
        <v>132606</v>
      </c>
      <c r="H1089" t="s">
        <v>2910</v>
      </c>
      <c r="I1089" t="s">
        <v>2899</v>
      </c>
      <c r="J1089">
        <f>VLOOKUP(F1089,[1]!china_towns_second__2[[Column1]:[Y]],3,FALSE)</f>
        <v>27.433613401686301</v>
      </c>
      <c r="K1089">
        <f>VLOOKUP(F1089,[1]!china_towns_second__2[[Column1]:[Y]],2,FALSE)</f>
        <v>104.8731729</v>
      </c>
      <c r="L1089" t="s">
        <v>4641</v>
      </c>
      <c r="M1089" t="str">
        <f>VLOOKUP(H1089,CHOOSE({1,2},Table17[Native],Table17[Name]),2,0)</f>
        <v>Zhènxióng Xiàn</v>
      </c>
      <c r="N1089" s="15" t="str">
        <f>VLOOKUP(I1089,CHOOSE({1,2},Table17[Native],Table17[Name]),2,0)</f>
        <v>Zhāotōng Shì</v>
      </c>
      <c r="O1089" s="15" t="str">
        <f t="shared" si="32"/>
        <v>Wufeng Zhen [incl. Wufeng Jiedao, Nantai Jiedao, Jiufu Jiedao] (Zhāotōng Shì)</v>
      </c>
      <c r="P1089" s="15" t="str">
        <f t="shared" si="33"/>
        <v>Wufeng Zhen [incl. Wufeng Jiedao, Nantai Jiedao, Jiufu Jiedao] (Zhāotōng Shì)</v>
      </c>
    </row>
    <row r="1090" spans="1:16" hidden="1" x14ac:dyDescent="0.25">
      <c r="A1090" t="s">
        <v>133</v>
      </c>
      <c r="B1090" t="str">
        <f>IF(COUNTIF(A:A,A1090)&gt;1,_xlfn.CONCAT(A1090," (",N1090,")"),A1090)</f>
        <v>Wŭhé Xiāng</v>
      </c>
      <c r="C1090" t="str">
        <f>IF(COUNTIF(B:B,B1090)&gt;1,_xlfn.CONCAT(A1090," (",M1090,")"),B1090)</f>
        <v>Wŭhé Xiāng</v>
      </c>
      <c r="D1090" t="s">
        <v>134</v>
      </c>
      <c r="E1090" t="s">
        <v>7</v>
      </c>
      <c r="F1090" t="str">
        <f>_xlfn.CONCAT(D1090,", ",H1090,", ",I1090,", ","云南省")</f>
        <v>五合乡, 腾冲市, 保山市, 云南省</v>
      </c>
      <c r="G1090">
        <v>32858</v>
      </c>
      <c r="H1090" t="s">
        <v>2747</v>
      </c>
      <c r="I1090" t="s">
        <v>2739</v>
      </c>
      <c r="J1090" t="e">
        <f>VLOOKUP(F1090,[1]!china_towns_second__2[[Column1]:[Y]],3,FALSE)</f>
        <v>#N/A</v>
      </c>
      <c r="K1090" t="e">
        <f>VLOOKUP(F1090,[1]!china_towns_second__2[[Column1]:[Y]],2,FALSE)</f>
        <v>#N/A</v>
      </c>
      <c r="L1090" t="s">
        <v>4642</v>
      </c>
      <c r="M1090" t="str">
        <f>VLOOKUP(H1090,CHOOSE({1,2},Table17[Native],Table17[Name]),2,0)</f>
        <v>Téngchōng Shì</v>
      </c>
      <c r="N1090" s="15" t="str">
        <f>VLOOKUP(I1090,CHOOSE({1,2},Table17[Native],Table17[Name]),2,0)</f>
        <v>Băoshān Shì</v>
      </c>
      <c r="O1090" s="15" t="str">
        <f t="shared" ref="O1090:O1153" si="34">_xlfn.CONCAT(L1090," (",N1090,")")</f>
        <v>Wuhe Xiang (Băoshān Shì)</v>
      </c>
      <c r="P1090" s="15" t="str">
        <f t="shared" ref="P1090:P1153" si="35">IF(COUNTIF(O:O,O1090)&gt;1,_xlfn.CONCAT(L1090," (",M1090,")"),O1090)</f>
        <v>Wuhe Xiang (Băoshān Shì)</v>
      </c>
    </row>
    <row r="1091" spans="1:16" hidden="1" x14ac:dyDescent="0.25">
      <c r="A1091" t="s">
        <v>2681</v>
      </c>
      <c r="B1091" t="str">
        <f>IF(COUNTIF(A:A,A1091)&gt;1,_xlfn.CONCAT(A1091," (",N1091,")"),A1091)</f>
        <v>Wùjī Zhèn</v>
      </c>
      <c r="C1091" t="str">
        <f>IF(COUNTIF(B:B,B1091)&gt;1,_xlfn.CONCAT(A1091," (",M1091,")"),B1091)</f>
        <v>Wùjī Zhèn</v>
      </c>
      <c r="D1091" t="s">
        <v>2682</v>
      </c>
      <c r="E1091" t="s">
        <v>11</v>
      </c>
      <c r="F1091" t="str">
        <f>_xlfn.CONCAT(D1091,", ",H1091,", ",I1091,", ","云南省")</f>
        <v>务基镇, 永善县, 昭通市, 云南省</v>
      </c>
      <c r="G1091">
        <v>25852</v>
      </c>
      <c r="H1091" t="s">
        <v>2908</v>
      </c>
      <c r="I1091" t="s">
        <v>2899</v>
      </c>
      <c r="J1091">
        <f>VLOOKUP(F1091,[1]!china_towns_second__2[[Column1]:[Y]],3,FALSE)</f>
        <v>28.108003168433498</v>
      </c>
      <c r="K1091">
        <f>VLOOKUP(F1091,[1]!china_towns_second__2[[Column1]:[Y]],2,FALSE)</f>
        <v>103.5035762</v>
      </c>
      <c r="L1091" t="s">
        <v>4643</v>
      </c>
      <c r="M1091" t="str">
        <f>VLOOKUP(H1091,CHOOSE({1,2},Table17[Native],Table17[Name]),2,0)</f>
        <v>Yŏngshàn Xiàn</v>
      </c>
      <c r="N1091" s="15" t="str">
        <f>VLOOKUP(I1091,CHOOSE({1,2},Table17[Native],Table17[Name]),2,0)</f>
        <v>Zhāotōng Shì</v>
      </c>
      <c r="O1091" s="15" t="str">
        <f t="shared" si="34"/>
        <v>Wuji Zhen (Zhāotōng Shì)</v>
      </c>
      <c r="P1091" s="15" t="str">
        <f t="shared" si="35"/>
        <v>Wuji Zhen (Zhāotōng Shì)</v>
      </c>
    </row>
    <row r="1092" spans="1:16" hidden="1" x14ac:dyDescent="0.25">
      <c r="A1092" t="s">
        <v>1254</v>
      </c>
      <c r="B1092" t="str">
        <f>IF(COUNTIF(A:A,A1092)&gt;1,_xlfn.CONCAT(A1092," (",N1092,")"),A1092)</f>
        <v>Wújiāyíng Jiēdào</v>
      </c>
      <c r="C1092" t="str">
        <f>IF(COUNTIF(B:B,B1092)&gt;1,_xlfn.CONCAT(A1092," (",M1092,")"),B1092)</f>
        <v>Wújiāyíng Jiēdào</v>
      </c>
      <c r="D1092" t="s">
        <v>1255</v>
      </c>
      <c r="E1092" t="s">
        <v>42</v>
      </c>
      <c r="F1092" t="str">
        <f>_xlfn.CONCAT(D1092,", ",H1092,", ",I1092,", ","云南省")</f>
        <v>吴家营街道, 呈贡区, 昆明市, 云南省</v>
      </c>
      <c r="G1092">
        <v>57703</v>
      </c>
      <c r="H1092" t="s">
        <v>2809</v>
      </c>
      <c r="I1092" t="s">
        <v>2807</v>
      </c>
      <c r="J1092">
        <f>VLOOKUP(F1092,[1]!china_towns_second__2[[Column1]:[Y]],3,FALSE)</f>
        <v>24.8502840846696</v>
      </c>
      <c r="K1092">
        <f>VLOOKUP(F1092,[1]!china_towns_second__2[[Column1]:[Y]],2,FALSE)</f>
        <v>102.8798281</v>
      </c>
      <c r="L1092" t="s">
        <v>4644</v>
      </c>
      <c r="M1092" t="str">
        <f>VLOOKUP(H1092,CHOOSE({1,2},Table17[Native],Table17[Name]),2,0)</f>
        <v>Chénggòng Qū</v>
      </c>
      <c r="N1092" s="15" t="str">
        <f>VLOOKUP(I1092,CHOOSE({1,2},Table17[Native],Table17[Name]),2,0)</f>
        <v>Kūnmíng Shì</v>
      </c>
      <c r="O1092" s="15" t="str">
        <f t="shared" si="34"/>
        <v>Wujiaying Jiedao (Kūnmíng Shì)</v>
      </c>
      <c r="P1092" s="15" t="str">
        <f t="shared" si="35"/>
        <v>Wujiaying Jiedao (Kūnmíng Shì)</v>
      </c>
    </row>
    <row r="1093" spans="1:16" hidden="1" x14ac:dyDescent="0.25">
      <c r="A1093" t="s">
        <v>325</v>
      </c>
      <c r="B1093" t="str">
        <f>IF(COUNTIF(A:A,A1093)&gt;1,_xlfn.CONCAT(A1093," (",N1093,")"),A1093)</f>
        <v>Wŭjiē Zhèn</v>
      </c>
      <c r="C1093" t="str">
        <f>IF(COUNTIF(B:B,B1093)&gt;1,_xlfn.CONCAT(A1093," (",M1093,")"),B1093)</f>
        <v>Wŭjiē Zhèn</v>
      </c>
      <c r="D1093" t="s">
        <v>326</v>
      </c>
      <c r="E1093" t="s">
        <v>11</v>
      </c>
      <c r="F1093" t="str">
        <f>_xlfn.CONCAT(D1093,", ",H1093,", ",I1093,", ","云南省")</f>
        <v>五街镇, 南华县, 楚雄彝族自治州, 云南省</v>
      </c>
      <c r="G1093">
        <v>18018</v>
      </c>
      <c r="H1093" t="s">
        <v>2755</v>
      </c>
      <c r="I1093" t="s">
        <v>2750</v>
      </c>
      <c r="J1093">
        <f>VLOOKUP(F1093,[1]!china_towns_second__2[[Column1]:[Y]],3,FALSE)</f>
        <v>25.1753260767412</v>
      </c>
      <c r="K1093">
        <f>VLOOKUP(F1093,[1]!china_towns_second__2[[Column1]:[Y]],2,FALSE)</f>
        <v>101.0024856</v>
      </c>
      <c r="L1093" t="s">
        <v>4645</v>
      </c>
      <c r="M1093" t="str">
        <f>VLOOKUP(H1093,CHOOSE({1,2},Table17[Native],Table17[Name]),2,0)</f>
        <v>Nánhuá Xiàn</v>
      </c>
      <c r="N1093" s="15" t="str">
        <f>VLOOKUP(I1093,CHOOSE({1,2},Table17[Native],Table17[Name]),2,0)</f>
        <v>Chŭxióng Yízú Zìzhìzhōu</v>
      </c>
      <c r="O1093" s="15" t="str">
        <f t="shared" si="34"/>
        <v>Wujie Zhen (Chŭxióng Yízú Zìzhìzhōu)</v>
      </c>
      <c r="P1093" s="15" t="str">
        <f t="shared" si="35"/>
        <v>Wujie Zhen (Chŭxióng Yízú Zìzhìzhōu)</v>
      </c>
    </row>
    <row r="1094" spans="1:16" hidden="1" x14ac:dyDescent="0.25">
      <c r="A1094" t="s">
        <v>977</v>
      </c>
      <c r="B1094" t="str">
        <f>IF(COUNTIF(A:A,A1094)&gt;1,_xlfn.CONCAT(A1094," (",N1094,")"),A1094)</f>
        <v>Wŭjiēpū Zhèn</v>
      </c>
      <c r="C1094" t="str">
        <f>IF(COUNTIF(B:B,B1094)&gt;1,_xlfn.CONCAT(A1094," (",M1094,")"),B1094)</f>
        <v>Wŭjiēpū Zhèn</v>
      </c>
      <c r="D1094" t="s">
        <v>978</v>
      </c>
      <c r="E1094" t="s">
        <v>11</v>
      </c>
      <c r="F1094" t="str">
        <f>_xlfn.CONCAT(D1094,", ",H1094,", ",I1094,", ","云南省")</f>
        <v>午街铺镇, 泸西县, 红河哈尼族彝族自治州, 云南省</v>
      </c>
      <c r="G1094">
        <v>45669</v>
      </c>
      <c r="H1094" t="s">
        <v>2800</v>
      </c>
      <c r="I1094" t="s">
        <v>2792</v>
      </c>
      <c r="J1094">
        <f>VLOOKUP(F1094,[1]!china_towns_second__2[[Column1]:[Y]],3,FALSE)</f>
        <v>24.517996195245601</v>
      </c>
      <c r="K1094">
        <f>VLOOKUP(F1094,[1]!china_towns_second__2[[Column1]:[Y]],2,FALSE)</f>
        <v>103.6086476</v>
      </c>
      <c r="L1094" t="s">
        <v>4646</v>
      </c>
      <c r="M1094" t="str">
        <f>VLOOKUP(H1094,CHOOSE({1,2},Table17[Native],Table17[Name]),2,0)</f>
        <v>Lúxī Xiàn</v>
      </c>
      <c r="N1094" s="15" t="str">
        <f>VLOOKUP(I1094,CHOOSE({1,2},Table17[Native],Table17[Name]),2,0)</f>
        <v>Hónghé Hānízú Yízú Zìzhìzhōu</v>
      </c>
      <c r="O1094" s="15" t="str">
        <f t="shared" si="34"/>
        <v>Wujiepu Zhen (Hónghé Hānízú Yízú Zìzhìzhōu)</v>
      </c>
      <c r="P1094" s="15" t="str">
        <f t="shared" si="35"/>
        <v>Wujiepu Zhen (Hónghé Hānízú Yízú Zìzhìzhōu)</v>
      </c>
    </row>
    <row r="1095" spans="1:16" hidden="1" x14ac:dyDescent="0.25">
      <c r="A1095" t="s">
        <v>1256</v>
      </c>
      <c r="B1095" t="str">
        <f>IF(COUNTIF(A:A,A1095)&gt;1,_xlfn.CONCAT(A1095," (",N1095,")"),A1095)</f>
        <v>Wújĭng Jiēdào</v>
      </c>
      <c r="C1095" t="str">
        <f>IF(COUNTIF(B:B,B1095)&gt;1,_xlfn.CONCAT(A1095," (",M1095,")"),B1095)</f>
        <v>Wújĭng Jiēdào</v>
      </c>
      <c r="D1095" t="s">
        <v>1257</v>
      </c>
      <c r="E1095" t="s">
        <v>42</v>
      </c>
      <c r="F1095" t="str">
        <f>_xlfn.CONCAT(D1095,", ",H1095,", ",I1095,", ","云南省")</f>
        <v>吴井街道, 官渡区, 昆明市, 云南省</v>
      </c>
      <c r="G1095">
        <v>73416</v>
      </c>
      <c r="H1095" t="s">
        <v>2812</v>
      </c>
      <c r="I1095" t="s">
        <v>2807</v>
      </c>
      <c r="J1095">
        <f>VLOOKUP(F1095,[1]!china_towns_second__2[[Column1]:[Y]],3,FALSE)</f>
        <v>25.0292983654941</v>
      </c>
      <c r="K1095">
        <f>VLOOKUP(F1095,[1]!china_towns_second__2[[Column1]:[Y]],2,FALSE)</f>
        <v>102.73430639999999</v>
      </c>
      <c r="L1095" t="s">
        <v>4647</v>
      </c>
      <c r="M1095" t="str">
        <f>VLOOKUP(H1095,CHOOSE({1,2},Table17[Native],Table17[Name]),2,0)</f>
        <v>Guāndù Qū</v>
      </c>
      <c r="N1095" s="15" t="str">
        <f>VLOOKUP(I1095,CHOOSE({1,2},Table17[Native],Table17[Name]),2,0)</f>
        <v>Kūnmíng Shì</v>
      </c>
      <c r="O1095" s="15" t="str">
        <f t="shared" si="34"/>
        <v>Wujing Jiedao (Kūnmíng Shì)</v>
      </c>
      <c r="P1095" s="15" t="str">
        <f t="shared" si="35"/>
        <v>Wujing Jiedao (Kūnmíng Shì)</v>
      </c>
    </row>
    <row r="1096" spans="1:16" hidden="1" x14ac:dyDescent="0.25">
      <c r="A1096" t="s">
        <v>750</v>
      </c>
      <c r="B1096" t="str">
        <f>IF(COUNTIF(A:A,A1096)&gt;1,_xlfn.CONCAT(A1096," (",N1096,")"),A1096)</f>
        <v>Wŭjìng Xiāng</v>
      </c>
      <c r="C1096" t="str">
        <f>IF(COUNTIF(B:B,B1096)&gt;1,_xlfn.CONCAT(A1096," (",M1096,")"),B1096)</f>
        <v>Wŭjìng Xiāng</v>
      </c>
      <c r="D1096" t="s">
        <v>751</v>
      </c>
      <c r="E1096" t="s">
        <v>7</v>
      </c>
      <c r="F1096" t="str">
        <f>_xlfn.CONCAT(D1096,", ",H1096,", ",I1096,", ","云南省")</f>
        <v>五境乡, 香格里拉市, 迪庆藏族自治州, 云南省</v>
      </c>
      <c r="G1096">
        <v>4187</v>
      </c>
      <c r="H1096" t="s">
        <v>2789</v>
      </c>
      <c r="I1096" t="s">
        <v>2786</v>
      </c>
      <c r="J1096" t="e">
        <f>VLOOKUP(F1096,[1]!china_towns_second__2[[Column1]:[Y]],3,FALSE)</f>
        <v>#N/A</v>
      </c>
      <c r="K1096" t="e">
        <f>VLOOKUP(F1096,[1]!china_towns_second__2[[Column1]:[Y]],2,FALSE)</f>
        <v>#N/A</v>
      </c>
      <c r="L1096" t="s">
        <v>4648</v>
      </c>
      <c r="M1096" t="str">
        <f>VLOOKUP(H1096,CHOOSE({1,2},Table17[Native],Table17[Name]),2,0)</f>
        <v>Xiānggélĭlā Shì</v>
      </c>
      <c r="N1096" s="15" t="str">
        <f>VLOOKUP(I1096,CHOOSE({1,2},Table17[Native],Table17[Name]),2,0)</f>
        <v>Díqìng Zàngzú Zìzhìzhōu</v>
      </c>
      <c r="O1096" s="15" t="str">
        <f t="shared" si="34"/>
        <v>Wujing Xiang (Díqìng Zàngzú Zìzhìzhōu)</v>
      </c>
      <c r="P1096" s="15" t="str">
        <f t="shared" si="35"/>
        <v>Wujing Xiang (Díqìng Zàngzú Zìzhìzhōu)</v>
      </c>
    </row>
    <row r="1097" spans="1:16" hidden="1" x14ac:dyDescent="0.25">
      <c r="A1097" t="s">
        <v>556</v>
      </c>
      <c r="B1097" t="str">
        <f>IF(COUNTIF(A:A,A1097)&gt;1,_xlfn.CONCAT(A1097," (",N1097,")"),A1097)</f>
        <v>Wúliàngshān Zhèn</v>
      </c>
      <c r="C1097" t="str">
        <f>IF(COUNTIF(B:B,B1097)&gt;1,_xlfn.CONCAT(A1097," (",M1097,")"),B1097)</f>
        <v>Wúliàngshān Zhèn</v>
      </c>
      <c r="D1097" t="s">
        <v>557</v>
      </c>
      <c r="E1097" t="s">
        <v>11</v>
      </c>
      <c r="F1097" t="str">
        <f>_xlfn.CONCAT(D1097,", ",H1097,", ",I1097,", ","云南省")</f>
        <v>无量山镇, 南涧彝族自治县, 大理白族自治州, 云南省</v>
      </c>
      <c r="G1097">
        <v>34202</v>
      </c>
      <c r="H1097" t="s">
        <v>2771</v>
      </c>
      <c r="I1097" t="s">
        <v>2763</v>
      </c>
      <c r="J1097">
        <f>VLOOKUP(F1097,[1]!china_towns_second__2[[Column1]:[Y]],3,FALSE)</f>
        <v>24.8083338157379</v>
      </c>
      <c r="K1097">
        <f>VLOOKUP(F1097,[1]!china_towns_second__2[[Column1]:[Y]],2,FALSE)</f>
        <v>100.5724025</v>
      </c>
      <c r="L1097" t="s">
        <v>4649</v>
      </c>
      <c r="M1097" t="str">
        <f>VLOOKUP(H1097,CHOOSE({1,2},Table17[Native],Table17[Name]),2,0)</f>
        <v>Nánjiàn Yízú Zìzhìxiàn</v>
      </c>
      <c r="N1097" s="15" t="str">
        <f>VLOOKUP(I1097,CHOOSE({1,2},Table17[Native],Table17[Name]),2,0)</f>
        <v>Dàlĭ Báizú Zìzhìzhōu</v>
      </c>
      <c r="O1097" s="15" t="str">
        <f t="shared" si="34"/>
        <v>Wuliangshan Zhen (Dàlĭ Báizú Zìzhìzhōu)</v>
      </c>
      <c r="P1097" s="15" t="str">
        <f t="shared" si="35"/>
        <v>Wuliangshan Zhen (Dàlĭ Báizú Zìzhìzhōu)</v>
      </c>
    </row>
    <row r="1098" spans="1:16" hidden="1" x14ac:dyDescent="0.25">
      <c r="A1098" t="s">
        <v>1258</v>
      </c>
      <c r="B1098" t="str">
        <f>IF(COUNTIF(A:A,A1098)&gt;1,_xlfn.CONCAT(A1098," (",N1098,")"),A1098)</f>
        <v>Wūlóng Jiēdào</v>
      </c>
      <c r="C1098" t="str">
        <f>IF(COUNTIF(B:B,B1098)&gt;1,_xlfn.CONCAT(A1098," (",M1098,")"),B1098)</f>
        <v>Wūlóng Jiēdào</v>
      </c>
      <c r="D1098" t="s">
        <v>1259</v>
      </c>
      <c r="E1098" t="s">
        <v>42</v>
      </c>
      <c r="F1098" t="str">
        <f>_xlfn.CONCAT(D1098,", ",H1098,", ",I1098,", ","云南省")</f>
        <v>乌龙街道, 呈贡区, 昆明市, 云南省</v>
      </c>
      <c r="G1098">
        <v>23544</v>
      </c>
      <c r="H1098" t="s">
        <v>2809</v>
      </c>
      <c r="I1098" t="s">
        <v>2807</v>
      </c>
      <c r="J1098">
        <f>VLOOKUP(F1098,[1]!china_towns_second__2[[Column1]:[Y]],3,FALSE)</f>
        <v>24.861065583817499</v>
      </c>
      <c r="K1098">
        <f>VLOOKUP(F1098,[1]!china_towns_second__2[[Column1]:[Y]],2,FALSE)</f>
        <v>102.8027075</v>
      </c>
      <c r="L1098" t="s">
        <v>4650</v>
      </c>
      <c r="M1098" t="str">
        <f>VLOOKUP(H1098,CHOOSE({1,2},Table17[Native],Table17[Name]),2,0)</f>
        <v>Chénggòng Qū</v>
      </c>
      <c r="N1098" s="15" t="str">
        <f>VLOOKUP(I1098,CHOOSE({1,2},Table17[Native],Table17[Name]),2,0)</f>
        <v>Kūnmíng Shì</v>
      </c>
      <c r="O1098" s="15" t="str">
        <f t="shared" si="34"/>
        <v>Wulong Jiedao (Kūnmíng Shì)</v>
      </c>
      <c r="P1098" s="15" t="str">
        <f t="shared" si="35"/>
        <v>Wulong Jiedao (Kūnmíng Shì)</v>
      </c>
    </row>
    <row r="1099" spans="1:16" hidden="1" x14ac:dyDescent="0.25">
      <c r="A1099" t="s">
        <v>1260</v>
      </c>
      <c r="B1099" t="str">
        <f>IF(COUNTIF(A:A,A1099)&gt;1,_xlfn.CONCAT(A1099," (",N1099,")"),A1099)</f>
        <v>Wūlóng Zhèn</v>
      </c>
      <c r="C1099" t="str">
        <f>IF(COUNTIF(B:B,B1099)&gt;1,_xlfn.CONCAT(A1099," (",M1099,")"),B1099)</f>
        <v>Wūlóng Zhèn</v>
      </c>
      <c r="D1099" t="s">
        <v>1261</v>
      </c>
      <c r="E1099" t="s">
        <v>11</v>
      </c>
      <c r="F1099" t="str">
        <f>_xlfn.CONCAT(D1099,", ",H1099,", ",I1099,", ","云南省")</f>
        <v>乌龙镇, 东川区, 昆明市, 云南省</v>
      </c>
      <c r="G1099">
        <v>16371</v>
      </c>
      <c r="H1099" t="s">
        <v>2810</v>
      </c>
      <c r="I1099" t="s">
        <v>2807</v>
      </c>
      <c r="J1099">
        <f>VLOOKUP(F1099,[1]!china_towns_second__2[[Column1]:[Y]],3,FALSE)</f>
        <v>26.056657461851401</v>
      </c>
      <c r="K1099">
        <f>VLOOKUP(F1099,[1]!china_towns_second__2[[Column1]:[Y]],2,FALSE)</f>
        <v>103.10119760000001</v>
      </c>
      <c r="L1099" t="s">
        <v>4651</v>
      </c>
      <c r="M1099" t="str">
        <f>VLOOKUP(H1099,CHOOSE({1,2},Table17[Native],Table17[Name]),2,0)</f>
        <v>Dōngchuān Qū</v>
      </c>
      <c r="N1099" s="15" t="str">
        <f>VLOOKUP(I1099,CHOOSE({1,2},Table17[Native],Table17[Name]),2,0)</f>
        <v>Kūnmíng Shì</v>
      </c>
      <c r="O1099" s="15" t="str">
        <f t="shared" si="34"/>
        <v>Wulong Zhen (Kūnmíng Shì)</v>
      </c>
      <c r="P1099" s="15" t="str">
        <f t="shared" si="35"/>
        <v>Wulong Zhen (Kūnmíng Shì)</v>
      </c>
    </row>
    <row r="1100" spans="1:16" hidden="1" x14ac:dyDescent="0.25">
      <c r="A1100" t="s">
        <v>2009</v>
      </c>
      <c r="B1100" t="str">
        <f>IF(COUNTIF(A:A,A1100)&gt;1,_xlfn.CONCAT(A1100," (",N1100,")"),A1100)</f>
        <v>Wŭlóng Zhuàngzú Xiāng</v>
      </c>
      <c r="C1100" t="str">
        <f>IF(COUNTIF(B:B,B1100)&gt;1,_xlfn.CONCAT(A1100," (",M1100,")"),B1100)</f>
        <v>Wŭlóng Zhuàngzú Xiāng</v>
      </c>
      <c r="D1100" t="s">
        <v>2010</v>
      </c>
      <c r="E1100" t="s">
        <v>7</v>
      </c>
      <c r="F1100" t="str">
        <f>_xlfn.CONCAT(D1100,", ",H1100,", ",I1100,", ","云南省")</f>
        <v>五龙壮族乡, 师宗县, 曲靖市, 云南省</v>
      </c>
      <c r="G1100">
        <v>30249</v>
      </c>
      <c r="H1100" t="s">
        <v>2867</v>
      </c>
      <c r="I1100" t="s">
        <v>2860</v>
      </c>
      <c r="J1100" t="e">
        <f>VLOOKUP(F1100,[1]!china_towns_second__2[[Column1]:[Y]],3,FALSE)</f>
        <v>#N/A</v>
      </c>
      <c r="K1100" t="e">
        <f>VLOOKUP(F1100,[1]!china_towns_second__2[[Column1]:[Y]],2,FALSE)</f>
        <v>#N/A</v>
      </c>
      <c r="L1100" t="s">
        <v>4652</v>
      </c>
      <c r="M1100" t="str">
        <f>VLOOKUP(H1100,CHOOSE({1,2},Table17[Native],Table17[Name]),2,0)</f>
        <v>Shīzōng Xiàn</v>
      </c>
      <c r="N1100" s="15" t="str">
        <f>VLOOKUP(I1100,CHOOSE({1,2},Table17[Native],Table17[Name]),2,0)</f>
        <v>Qŭjìng Shì</v>
      </c>
      <c r="O1100" s="15" t="str">
        <f t="shared" si="34"/>
        <v>Wulong Zhuangzu Xiang (Qŭjìng Shì)</v>
      </c>
      <c r="P1100" s="15" t="str">
        <f t="shared" si="35"/>
        <v>Wulong Zhuangzu Xiang (Qŭjìng Shì)</v>
      </c>
    </row>
    <row r="1101" spans="1:16" hidden="1" x14ac:dyDescent="0.25">
      <c r="A1101" t="s">
        <v>327</v>
      </c>
      <c r="B1101" t="str">
        <f>IF(COUNTIF(A:A,A1101)&gt;1,_xlfn.CONCAT(A1101," (",N1101,")"),A1101)</f>
        <v>Wùmào Xiāng</v>
      </c>
      <c r="C1101" t="str">
        <f>IF(COUNTIF(B:B,B1101)&gt;1,_xlfn.CONCAT(A1101," (",M1101,")"),B1101)</f>
        <v>Wùmào Xiāng</v>
      </c>
      <c r="D1101" t="s">
        <v>328</v>
      </c>
      <c r="E1101" t="s">
        <v>7</v>
      </c>
      <c r="F1101" t="str">
        <f>_xlfn.CONCAT(D1101,", ",H1101,", ",I1101,", ","云南省")</f>
        <v>物茂乡, 元谋县, 楚雄彝族自治州, 云南省</v>
      </c>
      <c r="G1101">
        <v>16002</v>
      </c>
      <c r="H1101" t="s">
        <v>2760</v>
      </c>
      <c r="I1101" t="s">
        <v>2750</v>
      </c>
      <c r="J1101" t="e">
        <f>VLOOKUP(F1101,[1]!china_towns_second__2[[Column1]:[Y]],3,FALSE)</f>
        <v>#N/A</v>
      </c>
      <c r="K1101" t="e">
        <f>VLOOKUP(F1101,[1]!china_towns_second__2[[Column1]:[Y]],2,FALSE)</f>
        <v>#N/A</v>
      </c>
      <c r="L1101" t="s">
        <v>4653</v>
      </c>
      <c r="M1101" t="str">
        <f>VLOOKUP(H1101,CHOOSE({1,2},Table17[Native],Table17[Name]),2,0)</f>
        <v>Yuánmóu Xiàn</v>
      </c>
      <c r="N1101" s="15" t="str">
        <f>VLOOKUP(I1101,CHOOSE({1,2},Table17[Native],Table17[Name]),2,0)</f>
        <v>Chŭxióng Yízú Zìzhìzhōu</v>
      </c>
      <c r="O1101" s="15" t="str">
        <f t="shared" si="34"/>
        <v>Wumao Xiang (Chŭxióng Yízú Zìzhìzhōu)</v>
      </c>
      <c r="P1101" s="15" t="str">
        <f t="shared" si="35"/>
        <v>Wumao Xiang (Chŭxióng Yízú Zìzhìzhōu)</v>
      </c>
    </row>
    <row r="1102" spans="1:16" hidden="1" x14ac:dyDescent="0.25">
      <c r="A1102" t="s">
        <v>1262</v>
      </c>
      <c r="B1102" t="str">
        <f>IF(COUNTIF(A:A,A1102)&gt;1,_xlfn.CONCAT(A1102," (",N1102,")"),A1102)</f>
        <v>Wūmĕng Xiāng</v>
      </c>
      <c r="C1102" t="str">
        <f>IF(COUNTIF(B:B,B1102)&gt;1,_xlfn.CONCAT(A1102," (",M1102,")"),B1102)</f>
        <v>Wūmĕng Xiāng</v>
      </c>
      <c r="D1102" t="s">
        <v>1263</v>
      </c>
      <c r="E1102" t="s">
        <v>7</v>
      </c>
      <c r="F1102" t="str">
        <f>_xlfn.CONCAT(D1102,", ",H1102,", ",I1102,", ","云南省")</f>
        <v>乌蒙乡, 禄劝彝族苗族自治县, 昆明市, 云南省</v>
      </c>
      <c r="G1102">
        <v>12991</v>
      </c>
      <c r="H1102" t="s">
        <v>2814</v>
      </c>
      <c r="I1102" t="s">
        <v>2807</v>
      </c>
      <c r="J1102" t="e">
        <f>VLOOKUP(F1102,[1]!china_towns_second__2[[Column1]:[Y]],3,FALSE)</f>
        <v>#N/A</v>
      </c>
      <c r="K1102" t="e">
        <f>VLOOKUP(F1102,[1]!china_towns_second__2[[Column1]:[Y]],2,FALSE)</f>
        <v>#N/A</v>
      </c>
      <c r="L1102" t="s">
        <v>4654</v>
      </c>
      <c r="M1102" t="str">
        <f>VLOOKUP(H1102,CHOOSE({1,2},Table17[Native],Table17[Name]),2,0)</f>
        <v>Lùquàn Yízú Miáozú Zìzhìxiàn</v>
      </c>
      <c r="N1102" s="15" t="str">
        <f>VLOOKUP(I1102,CHOOSE({1,2},Table17[Native],Table17[Name]),2,0)</f>
        <v>Kūnmíng Shì</v>
      </c>
      <c r="O1102" s="15" t="str">
        <f t="shared" si="34"/>
        <v>Wumeng Xiang (Kūnmíng Shì)</v>
      </c>
      <c r="P1102" s="15" t="str">
        <f t="shared" si="35"/>
        <v>Wumeng Xiang (Kūnmíng Shì)</v>
      </c>
    </row>
    <row r="1103" spans="1:16" hidden="1" x14ac:dyDescent="0.25">
      <c r="A1103" t="s">
        <v>1563</v>
      </c>
      <c r="B1103" t="str">
        <f>IF(COUNTIF(A:A,A1103)&gt;1,_xlfn.CONCAT(A1103," (",N1103,")"),A1103)</f>
        <v>Wūmùlóng Yízú Xiāng</v>
      </c>
      <c r="C1103" t="str">
        <f>IF(COUNTIF(B:B,B1103)&gt;1,_xlfn.CONCAT(A1103," (",M1103,")"),B1103)</f>
        <v>Wūmùlóng Yízú Xiāng</v>
      </c>
      <c r="D1103" t="s">
        <v>1564</v>
      </c>
      <c r="E1103" t="s">
        <v>7</v>
      </c>
      <c r="F1103" t="str">
        <f>_xlfn.CONCAT(D1103,", ",H1103,", ",I1103,", ","云南省")</f>
        <v>乌木龙彝族乡, 永德县, 临沧市, 云南省</v>
      </c>
      <c r="G1103">
        <v>28962</v>
      </c>
      <c r="H1103" t="s">
        <v>2837</v>
      </c>
      <c r="I1103" t="s">
        <v>2831</v>
      </c>
      <c r="J1103" t="e">
        <f>VLOOKUP(F1103,[1]!china_towns_second__2[[Column1]:[Y]],3,FALSE)</f>
        <v>#N/A</v>
      </c>
      <c r="K1103" t="e">
        <f>VLOOKUP(F1103,[1]!china_towns_second__2[[Column1]:[Y]],2,FALSE)</f>
        <v>#N/A</v>
      </c>
      <c r="L1103" t="s">
        <v>4655</v>
      </c>
      <c r="M1103" t="str">
        <f>VLOOKUP(H1103,CHOOSE({1,2},Table17[Native],Table17[Name]),2,0)</f>
        <v>Yŏngdé Xiàn</v>
      </c>
      <c r="N1103" s="15" t="str">
        <f>VLOOKUP(I1103,CHOOSE({1,2},Table17[Native],Table17[Name]),2,0)</f>
        <v>Líncāng Shì</v>
      </c>
      <c r="O1103" s="15" t="str">
        <f t="shared" si="34"/>
        <v>Wumulong Yizu Xiang (Líncāng Shì)</v>
      </c>
      <c r="P1103" s="15" t="str">
        <f t="shared" si="35"/>
        <v>Wumulong Yizu Xiang (Líncāng Shì)</v>
      </c>
    </row>
    <row r="1104" spans="1:16" hidden="1" x14ac:dyDescent="0.25">
      <c r="A1104" t="s">
        <v>979</v>
      </c>
      <c r="B1104" t="str">
        <f>IF(COUNTIF(A:A,A1104)&gt;1,_xlfn.CONCAT(A1104," (",N1104,")"),A1104)</f>
        <v>Wŭshān Xiāng</v>
      </c>
      <c r="C1104" t="str">
        <f>IF(COUNTIF(B:B,B1104)&gt;1,_xlfn.CONCAT(A1104," (",M1104,")"),B1104)</f>
        <v>Wŭshān Xiāng</v>
      </c>
      <c r="D1104" t="s">
        <v>980</v>
      </c>
      <c r="E1104" t="s">
        <v>7</v>
      </c>
      <c r="F1104" t="str">
        <f>_xlfn.CONCAT(D1104,", ",H1104,", ",I1104,", ","云南省")</f>
        <v>五山乡, 弥勒市, 红河哈尼族彝族自治州, 云南省</v>
      </c>
      <c r="G1104">
        <v>18552</v>
      </c>
      <c r="H1104" t="s">
        <v>2802</v>
      </c>
      <c r="I1104" t="s">
        <v>2792</v>
      </c>
      <c r="J1104" t="e">
        <f>VLOOKUP(F1104,[1]!china_towns_second__2[[Column1]:[Y]],3,FALSE)</f>
        <v>#N/A</v>
      </c>
      <c r="K1104" t="e">
        <f>VLOOKUP(F1104,[1]!china_towns_second__2[[Column1]:[Y]],2,FALSE)</f>
        <v>#N/A</v>
      </c>
      <c r="L1104" t="s">
        <v>4656</v>
      </c>
      <c r="M1104" t="str">
        <f>VLOOKUP(H1104,CHOOSE({1,2},Table17[Native],Table17[Name]),2,0)</f>
        <v>Mílè Shì</v>
      </c>
      <c r="N1104" s="15" t="str">
        <f>VLOOKUP(I1104,CHOOSE({1,2},Table17[Native],Table17[Name]),2,0)</f>
        <v>Hónghé Hānízú Yízú Zìzhìzhōu</v>
      </c>
      <c r="O1104" s="15" t="str">
        <f t="shared" si="34"/>
        <v>Wushan Xiang (Hónghé Hānízú Yízú Zìzhìzhōu)</v>
      </c>
      <c r="P1104" s="15" t="str">
        <f t="shared" si="35"/>
        <v>Wushan Xiang (Hónghé Hānízú Yízú Zìzhìzhōu)</v>
      </c>
    </row>
    <row r="1105" spans="1:16" hidden="1" x14ac:dyDescent="0.25">
      <c r="A1105" t="s">
        <v>2011</v>
      </c>
      <c r="B1105" t="str">
        <f>IF(COUNTIF(A:A,A1105)&gt;1,_xlfn.CONCAT(A1105," (",N1105,")"),A1105)</f>
        <v>Wŭxīng Xiāng</v>
      </c>
      <c r="C1105" t="str">
        <f>IF(COUNTIF(B:B,B1105)&gt;1,_xlfn.CONCAT(A1105," (",M1105,")"),B1105)</f>
        <v>Wŭxīng Xiāng</v>
      </c>
      <c r="D1105" t="s">
        <v>2012</v>
      </c>
      <c r="E1105" t="s">
        <v>7</v>
      </c>
      <c r="F1105" t="str">
        <f>_xlfn.CONCAT(D1105,", ",H1105,", ",I1105,", ","云南省")</f>
        <v>五星乡, 会泽县, 曲靖市, 云南省</v>
      </c>
      <c r="G1105">
        <v>29498</v>
      </c>
      <c r="H1105" t="s">
        <v>2862</v>
      </c>
      <c r="I1105" t="s">
        <v>2860</v>
      </c>
      <c r="J1105" t="e">
        <f>VLOOKUP(F1105,[1]!china_towns_second__2[[Column1]:[Y]],3,FALSE)</f>
        <v>#N/A</v>
      </c>
      <c r="K1105" t="e">
        <f>VLOOKUP(F1105,[1]!china_towns_second__2[[Column1]:[Y]],2,FALSE)</f>
        <v>#N/A</v>
      </c>
      <c r="L1105" t="s">
        <v>4657</v>
      </c>
      <c r="M1105" t="str">
        <f>VLOOKUP(H1105,CHOOSE({1,2},Table17[Native],Table17[Name]),2,0)</f>
        <v>Huìzé Xiàn</v>
      </c>
      <c r="N1105" s="15" t="str">
        <f>VLOOKUP(I1105,CHOOSE({1,2},Table17[Native],Table17[Name]),2,0)</f>
        <v>Qŭjìng Shì</v>
      </c>
      <c r="O1105" s="15" t="str">
        <f t="shared" si="34"/>
        <v>Wuxing Xiang (Qŭjìng Shì)</v>
      </c>
      <c r="P1105" s="15" t="str">
        <f t="shared" si="35"/>
        <v>Wuxing Xiang (Qŭjìng Shì)</v>
      </c>
    </row>
    <row r="1106" spans="1:16" hidden="1" x14ac:dyDescent="0.25">
      <c r="A1106" t="s">
        <v>558</v>
      </c>
      <c r="B1106" t="str">
        <f>IF(COUNTIF(A:A,A1106)&gt;1,_xlfn.CONCAT(A1106," (",N1106,")"),A1106)</f>
        <v>Wŭyìn Xiāng</v>
      </c>
      <c r="C1106" t="str">
        <f>IF(COUNTIF(B:B,B1106)&gt;1,_xlfn.CONCAT(A1106," (",M1106,")"),B1106)</f>
        <v>Wŭyìn Xiāng</v>
      </c>
      <c r="D1106" t="s">
        <v>559</v>
      </c>
      <c r="E1106" t="s">
        <v>7</v>
      </c>
      <c r="F1106" t="str">
        <f>_xlfn.CONCAT(D1106,", ",H1106,", ",I1106,", ","云南省")</f>
        <v>五印乡, 巍山彝族回族自治县, 大理白族自治州, 云南省</v>
      </c>
      <c r="G1106">
        <v>24401</v>
      </c>
      <c r="H1106" t="s">
        <v>2772</v>
      </c>
      <c r="I1106" t="s">
        <v>2763</v>
      </c>
      <c r="J1106" t="e">
        <f>VLOOKUP(F1106,[1]!china_towns_second__2[[Column1]:[Y]],3,FALSE)</f>
        <v>#N/A</v>
      </c>
      <c r="K1106" t="e">
        <f>VLOOKUP(F1106,[1]!china_towns_second__2[[Column1]:[Y]],2,FALSE)</f>
        <v>#N/A</v>
      </c>
      <c r="L1106" t="s">
        <v>4658</v>
      </c>
      <c r="M1106" t="str">
        <f>VLOOKUP(H1106,CHOOSE({1,2},Table17[Native],Table17[Name]),2,0)</f>
        <v>Wēishān Yízú Huízú Zìzhìxiàn</v>
      </c>
      <c r="N1106" s="15" t="str">
        <f>VLOOKUP(I1106,CHOOSE({1,2},Table17[Native],Table17[Name]),2,0)</f>
        <v>Dàlĭ Báizú Zìzhìzhōu</v>
      </c>
      <c r="O1106" s="15" t="str">
        <f t="shared" si="34"/>
        <v>Wuyin Xiang (Dàlĭ Báizú Zìzhìzhōu)</v>
      </c>
      <c r="P1106" s="15" t="str">
        <f t="shared" si="35"/>
        <v>Wuyin Xiang (Dàlĭ Báizú Zìzhìzhōu)</v>
      </c>
    </row>
    <row r="1107" spans="1:16" hidden="1" x14ac:dyDescent="0.25">
      <c r="A1107" t="s">
        <v>2683</v>
      </c>
      <c r="B1107" t="str">
        <f>IF(COUNTIF(A:A,A1107)&gt;1,_xlfn.CONCAT(A1107," (",N1107,")"),A1107)</f>
        <v>Wŭzhài Yízú Miáozú Xiāng</v>
      </c>
      <c r="C1107" t="str">
        <f>IF(COUNTIF(B:B,B1107)&gt;1,_xlfn.CONCAT(A1107," (",M1107,")"),B1107)</f>
        <v>Wŭzhài Yízú Miáozú Xiāng</v>
      </c>
      <c r="D1107" t="s">
        <v>2684</v>
      </c>
      <c r="E1107" t="s">
        <v>7</v>
      </c>
      <c r="F1107" t="str">
        <f>_xlfn.CONCAT(D1107,", ",H1107,", ",I1107,", ","云南省")</f>
        <v>伍寨彝族苗族乡, 永善县, 昭通市, 云南省</v>
      </c>
      <c r="G1107">
        <v>10484</v>
      </c>
      <c r="H1107" t="s">
        <v>2908</v>
      </c>
      <c r="I1107" t="s">
        <v>2899</v>
      </c>
      <c r="J1107" t="e">
        <f>VLOOKUP(F1107,[1]!china_towns_second__2[[Column1]:[Y]],3,FALSE)</f>
        <v>#N/A</v>
      </c>
      <c r="K1107" t="e">
        <f>VLOOKUP(F1107,[1]!china_towns_second__2[[Column1]:[Y]],2,FALSE)</f>
        <v>#N/A</v>
      </c>
      <c r="L1107" t="s">
        <v>4659</v>
      </c>
      <c r="M1107" t="str">
        <f>VLOOKUP(H1107,CHOOSE({1,2},Table17[Native],Table17[Name]),2,0)</f>
        <v>Yŏngshàn Xiàn</v>
      </c>
      <c r="N1107" s="15" t="str">
        <f>VLOOKUP(I1107,CHOOSE({1,2},Table17[Native],Table17[Name]),2,0)</f>
        <v>Zhāotōng Shì</v>
      </c>
      <c r="O1107" s="15" t="str">
        <f t="shared" si="34"/>
        <v>Wuzhai Yizu Miaozu Xiang (Zhāotōng Shì)</v>
      </c>
      <c r="P1107" s="15" t="str">
        <f t="shared" si="35"/>
        <v>Wuzhai Yizu Miaozu Xiang (Zhāotōng Shì)</v>
      </c>
    </row>
    <row r="1108" spans="1:16" hidden="1" x14ac:dyDescent="0.25">
      <c r="A1108" t="s">
        <v>2215</v>
      </c>
      <c r="B1108" t="str">
        <f>IF(COUNTIF(A:A,A1108)&gt;1,_xlfn.CONCAT(A1108," (",N1108,")"),A1108)</f>
        <v>Wŭzhū Xiāng</v>
      </c>
      <c r="C1108" t="str">
        <f>IF(COUNTIF(B:B,B1108)&gt;1,_xlfn.CONCAT(A1108," (",M1108,")"),B1108)</f>
        <v>Wŭzhū Xiāng</v>
      </c>
      <c r="D1108" t="s">
        <v>2216</v>
      </c>
      <c r="E1108" t="s">
        <v>7</v>
      </c>
      <c r="F1108" t="str">
        <f>_xlfn.CONCAT(D1108,", ",H1108,", ",I1108,", ","云南省")</f>
        <v>五珠乡, 广南县, 文山壮族苗族自治州, 云南省</v>
      </c>
      <c r="G1108">
        <v>26387</v>
      </c>
      <c r="H1108" t="s">
        <v>2874</v>
      </c>
      <c r="I1108" t="s">
        <v>2872</v>
      </c>
      <c r="J1108" t="e">
        <f>VLOOKUP(F1108,[1]!china_towns_second__2[[Column1]:[Y]],3,FALSE)</f>
        <v>#N/A</v>
      </c>
      <c r="K1108" t="e">
        <f>VLOOKUP(F1108,[1]!china_towns_second__2[[Column1]:[Y]],2,FALSE)</f>
        <v>#N/A</v>
      </c>
      <c r="L1108" t="s">
        <v>4660</v>
      </c>
      <c r="M1108" t="str">
        <f>VLOOKUP(H1108,CHOOSE({1,2},Table17[Native],Table17[Name]),2,0)</f>
        <v>Guăngnán Xiàn</v>
      </c>
      <c r="N1108" s="15" t="str">
        <f>VLOOKUP(I1108,CHOOSE({1,2},Table17[Native],Table17[Name]),2,0)</f>
        <v>Wénshān Zhuàngzú Miáozú Zìzhìzhōu</v>
      </c>
      <c r="O1108" s="15" t="str">
        <f t="shared" si="34"/>
        <v>Wuzhu Xiang (Wénshān Zhuàngzú Miáozú Zìzhìzhōu)</v>
      </c>
      <c r="P1108" s="15" t="str">
        <f t="shared" si="35"/>
        <v>Wuzhu Xiang (Wénshān Zhuàngzú Miáozú Zìzhìzhōu)</v>
      </c>
    </row>
    <row r="1109" spans="1:16" hidden="1" x14ac:dyDescent="0.25">
      <c r="A1109" t="s">
        <v>560</v>
      </c>
      <c r="B1109" t="str">
        <f>IF(COUNTIF(A:A,A1109)&gt;1,_xlfn.CONCAT(A1109," (",N1109,")"),A1109)</f>
        <v>Xiàguān Jiēdào</v>
      </c>
      <c r="C1109" t="str">
        <f>IF(COUNTIF(B:B,B1109)&gt;1,_xlfn.CONCAT(A1109," (",M1109,")"),B1109)</f>
        <v>Xiàguān Jiēdào</v>
      </c>
      <c r="D1109" t="s">
        <v>561</v>
      </c>
      <c r="E1109" t="s">
        <v>42</v>
      </c>
      <c r="F1109" t="str">
        <f>_xlfn.CONCAT(D1109,", ",H1109,", ",I1109,", ","云南省")</f>
        <v>下关街道, 大理市, 大理白族自治州, 云南省</v>
      </c>
      <c r="G1109">
        <v>235305</v>
      </c>
      <c r="H1109" t="s">
        <v>2765</v>
      </c>
      <c r="I1109" t="s">
        <v>2763</v>
      </c>
      <c r="J1109" t="e">
        <f>VLOOKUP(F1109,[1]!china_towns_second__2[[Column1]:[Y]],3,FALSE)</f>
        <v>#N/A</v>
      </c>
      <c r="K1109" t="e">
        <f>VLOOKUP(F1109,[1]!china_towns_second__2[[Column1]:[Y]],2,FALSE)</f>
        <v>#N/A</v>
      </c>
      <c r="L1109" t="s">
        <v>4661</v>
      </c>
      <c r="M1109" t="str">
        <f>VLOOKUP(H1109,CHOOSE({1,2},Table17[Native],Table17[Name]),2,0)</f>
        <v>Dàlĭ Shì</v>
      </c>
      <c r="N1109" s="15" t="str">
        <f>VLOOKUP(I1109,CHOOSE({1,2},Table17[Native],Table17[Name]),2,0)</f>
        <v>Dàlĭ Báizú Zìzhìzhōu</v>
      </c>
      <c r="O1109" s="15" t="str">
        <f t="shared" si="34"/>
        <v>Xiaguan Jiedao (Dàlĭ Báizú Zìzhìzhōu)</v>
      </c>
      <c r="P1109" s="15" t="str">
        <f t="shared" si="35"/>
        <v>Xiaguan Jiedao (Dàlĭ Báizú Zìzhìzhōu)</v>
      </c>
    </row>
    <row r="1110" spans="1:16" hidden="1" x14ac:dyDescent="0.25">
      <c r="A1110" t="s">
        <v>2217</v>
      </c>
      <c r="B1110" t="str">
        <f>IF(COUNTIF(A:A,A1110)&gt;1,_xlfn.CONCAT(A1110," (",N1110,")"),A1110)</f>
        <v>Xiàjīnchăng Xiāng</v>
      </c>
      <c r="C1110" t="str">
        <f>IF(COUNTIF(B:B,B1110)&gt;1,_xlfn.CONCAT(A1110," (",M1110,")"),B1110)</f>
        <v>Xiàjīnchăng Xiāng</v>
      </c>
      <c r="D1110" t="s">
        <v>2218</v>
      </c>
      <c r="E1110" t="s">
        <v>7</v>
      </c>
      <c r="F1110" t="str">
        <f>_xlfn.CONCAT(D1110,", ",H1110,", ",I1110,", ","云南省")</f>
        <v>下金厂乡, 麻栗坡县, 文山壮族苗族自治州, 云南省</v>
      </c>
      <c r="G1110">
        <v>10748</v>
      </c>
      <c r="H1110" t="s">
        <v>2876</v>
      </c>
      <c r="I1110" t="s">
        <v>2872</v>
      </c>
      <c r="J1110" t="e">
        <f>VLOOKUP(F1110,[1]!china_towns_second__2[[Column1]:[Y]],3,FALSE)</f>
        <v>#N/A</v>
      </c>
      <c r="K1110" t="e">
        <f>VLOOKUP(F1110,[1]!china_towns_second__2[[Column1]:[Y]],2,FALSE)</f>
        <v>#N/A</v>
      </c>
      <c r="L1110" t="s">
        <v>4662</v>
      </c>
      <c r="M1110" t="str">
        <f>VLOOKUP(H1110,CHOOSE({1,2},Table17[Native],Table17[Name]),2,0)</f>
        <v>Málìpō Xiàn</v>
      </c>
      <c r="N1110" s="15" t="str">
        <f>VLOOKUP(I1110,CHOOSE({1,2},Table17[Native],Table17[Name]),2,0)</f>
        <v>Wénshān Zhuàngzú Miáozú Zìzhìzhōu</v>
      </c>
      <c r="O1110" s="15" t="str">
        <f t="shared" si="34"/>
        <v>Xiajinchang Xiang (Wénshān Zhuàngzú Miáozú Zìzhìzhōu)</v>
      </c>
      <c r="P1110" s="15" t="str">
        <f t="shared" si="35"/>
        <v>Xiajinchang Xiang (Wénshān Zhuàngzú Miáozú Zìzhìzhōu)</v>
      </c>
    </row>
    <row r="1111" spans="1:16" hidden="1" x14ac:dyDescent="0.25">
      <c r="A1111" t="s">
        <v>1405</v>
      </c>
      <c r="B1111" t="str">
        <f>IF(COUNTIF(A:A,A1111)&gt;1,_xlfn.CONCAT(A1111," (",N1111,")"),A1111)</f>
        <v>Xī'ān Jiēdào</v>
      </c>
      <c r="C1111" t="str">
        <f>IF(COUNTIF(B:B,B1111)&gt;1,_xlfn.CONCAT(A1111," (",M1111,")"),B1111)</f>
        <v>Xī'ān Jiēdào</v>
      </c>
      <c r="D1111" t="s">
        <v>1406</v>
      </c>
      <c r="E1111" t="s">
        <v>42</v>
      </c>
      <c r="F1111" t="str">
        <f>_xlfn.CONCAT(D1111,", ",H1111,", ",I1111,", ","云南省")</f>
        <v>西安街道, 古城区, 丽江市, 云南省</v>
      </c>
      <c r="G1111">
        <v>55708</v>
      </c>
      <c r="H1111" t="s">
        <v>2824</v>
      </c>
      <c r="I1111" t="s">
        <v>2823</v>
      </c>
      <c r="J1111">
        <f>VLOOKUP(F1111,[1]!china_towns_second__2[[Column1]:[Y]],3,FALSE)</f>
        <v>26.893777143515599</v>
      </c>
      <c r="K1111">
        <f>VLOOKUP(F1111,[1]!china_towns_second__2[[Column1]:[Y]],2,FALSE)</f>
        <v>100.2304725</v>
      </c>
      <c r="L1111" t="s">
        <v>4663</v>
      </c>
      <c r="M1111" t="str">
        <f>VLOOKUP(H1111,CHOOSE({1,2},Table17[Native],Table17[Name]),2,0)</f>
        <v>Gŭchéng Qū</v>
      </c>
      <c r="N1111" s="15" t="str">
        <f>VLOOKUP(I1111,CHOOSE({1,2},Table17[Native],Table17[Name]),2,0)</f>
        <v>Lìjiāng Shì</v>
      </c>
      <c r="O1111" s="15" t="str">
        <f t="shared" si="34"/>
        <v>Xi'an Jiedao (Lìjiāng Shì)</v>
      </c>
      <c r="P1111" s="15" t="str">
        <f t="shared" si="35"/>
        <v>Xi'an Jiedao (Lìjiāng Shì)</v>
      </c>
    </row>
    <row r="1112" spans="1:16" hidden="1" x14ac:dyDescent="0.25">
      <c r="A1112" t="s">
        <v>1264</v>
      </c>
      <c r="B1112" t="str">
        <f>IF(COUNTIF(A:A,A1112)&gt;1,_xlfn.CONCAT(A1112," (",N1112,")"),A1112)</f>
        <v>Xiānfēng Zhèn</v>
      </c>
      <c r="C1112" t="str">
        <f>IF(COUNTIF(B:B,B1112)&gt;1,_xlfn.CONCAT(A1112," (",M1112,")"),B1112)</f>
        <v>Xiānfēng Zhèn</v>
      </c>
      <c r="D1112" t="s">
        <v>1265</v>
      </c>
      <c r="E1112" t="s">
        <v>11</v>
      </c>
      <c r="F1112" t="str">
        <f>_xlfn.CONCAT(D1112,", ",H1112,", ",I1112,", ","云南省")</f>
        <v>先锋镇, 寻甸回族彝族自治县, 昆明市, 云南省</v>
      </c>
      <c r="G1112">
        <v>20304</v>
      </c>
      <c r="H1112" t="s">
        <v>2820</v>
      </c>
      <c r="I1112" t="s">
        <v>2807</v>
      </c>
      <c r="J1112">
        <f>VLOOKUP(F1112,[1]!china_towns_second__2[[Column1]:[Y]],3,FALSE)</f>
        <v>25.500063063221202</v>
      </c>
      <c r="K1112">
        <f>VLOOKUP(F1112,[1]!china_towns_second__2[[Column1]:[Y]],2,FALSE)</f>
        <v>102.99897180000001</v>
      </c>
      <c r="L1112" t="s">
        <v>4664</v>
      </c>
      <c r="M1112" t="str">
        <f>VLOOKUP(H1112,CHOOSE({1,2},Table17[Native],Table17[Name]),2,0)</f>
        <v>Xúndiàn Huízú Yízú Zìzhìxiàn</v>
      </c>
      <c r="N1112" s="15" t="str">
        <f>VLOOKUP(I1112,CHOOSE({1,2},Table17[Native],Table17[Name]),2,0)</f>
        <v>Kūnmíng Shì</v>
      </c>
      <c r="O1112" s="15" t="str">
        <f t="shared" si="34"/>
        <v>Xianfeng Zhen (Kūnmíng Shì)</v>
      </c>
      <c r="P1112" s="15" t="str">
        <f t="shared" si="35"/>
        <v>Xianfeng Zhen (Kūnmíng Shì)</v>
      </c>
    </row>
    <row r="1113" spans="1:16" hidden="1" x14ac:dyDescent="0.25">
      <c r="A1113" t="s">
        <v>562</v>
      </c>
      <c r="B1113" t="str">
        <f>IF(COUNTIF(A:A,A1113)&gt;1,_xlfn.CONCAT(A1113," (",N1113,")"),A1113)</f>
        <v>Xiángchéng Zhèn</v>
      </c>
      <c r="C1113" t="str">
        <f>IF(COUNTIF(B:B,B1113)&gt;1,_xlfn.CONCAT(A1113," (",M1113,")"),B1113)</f>
        <v>Xiángchéng Zhèn</v>
      </c>
      <c r="D1113" t="s">
        <v>563</v>
      </c>
      <c r="E1113" t="s">
        <v>11</v>
      </c>
      <c r="F1113" t="str">
        <f>_xlfn.CONCAT(D1113,", ",H1113,", ",I1113,", ","云南省")</f>
        <v>祥城镇, 祥云县, 大理白族自治州, 云南省</v>
      </c>
      <c r="G1113">
        <v>121959</v>
      </c>
      <c r="H1113" t="s">
        <v>2773</v>
      </c>
      <c r="I1113" t="s">
        <v>2763</v>
      </c>
      <c r="J1113">
        <f>VLOOKUP(F1113,[1]!china_towns_second__2[[Column1]:[Y]],3,FALSE)</f>
        <v>25.5024768136566</v>
      </c>
      <c r="K1113">
        <f>VLOOKUP(F1113,[1]!china_towns_second__2[[Column1]:[Y]],2,FALSE)</f>
        <v>100.5314537</v>
      </c>
      <c r="L1113" t="s">
        <v>4665</v>
      </c>
      <c r="M1113" t="str">
        <f>VLOOKUP(H1113,CHOOSE({1,2},Table17[Native],Table17[Name]),2,0)</f>
        <v>Xiángyún Xiàn</v>
      </c>
      <c r="N1113" s="15" t="str">
        <f>VLOOKUP(I1113,CHOOSE({1,2},Table17[Native],Table17[Name]),2,0)</f>
        <v>Dàlĭ Báizú Zìzhìzhōu</v>
      </c>
      <c r="O1113" s="15" t="str">
        <f t="shared" si="34"/>
        <v>Xiangcheng Zhen (Dàlĭ Báizú Zìzhìzhōu)</v>
      </c>
      <c r="P1113" s="15" t="str">
        <f t="shared" si="35"/>
        <v>Xiangcheng Zhen (Dàlĭ Báizú Zìzhìzhōu)</v>
      </c>
    </row>
    <row r="1114" spans="1:16" hidden="1" x14ac:dyDescent="0.25">
      <c r="A1114" t="s">
        <v>135</v>
      </c>
      <c r="B1114" t="str">
        <f>IF(COUNTIF(A:A,A1114)&gt;1,_xlfn.CONCAT(A1114," (",N1114,")"),A1114)</f>
        <v>Xiàngdá Zhèn</v>
      </c>
      <c r="C1114" t="str">
        <f>IF(COUNTIF(B:B,B1114)&gt;1,_xlfn.CONCAT(A1114," (",M1114,")"),B1114)</f>
        <v>Xiàngdá Zhèn</v>
      </c>
      <c r="D1114" t="s">
        <v>136</v>
      </c>
      <c r="E1114" t="s">
        <v>11</v>
      </c>
      <c r="F1114" t="str">
        <f>_xlfn.CONCAT(D1114,", ",H1114,", ",I1114,", ","云南省")</f>
        <v>象达镇, 龙陵县, 保山市, 云南省</v>
      </c>
      <c r="G1114">
        <v>33829</v>
      </c>
      <c r="H1114" t="s">
        <v>2742</v>
      </c>
      <c r="I1114" t="s">
        <v>2739</v>
      </c>
      <c r="J1114">
        <f>VLOOKUP(F1114,[1]!china_towns_second__2[[Column1]:[Y]],3,FALSE)</f>
        <v>24.3939868288818</v>
      </c>
      <c r="K1114">
        <f>VLOOKUP(F1114,[1]!china_towns_second__2[[Column1]:[Y]],2,FALSE)</f>
        <v>98.781081630000003</v>
      </c>
      <c r="L1114" t="s">
        <v>4666</v>
      </c>
      <c r="M1114" t="str">
        <f>VLOOKUP(H1114,CHOOSE({1,2},Table17[Native],Table17[Name]),2,0)</f>
        <v>Lónglíng Xiàn</v>
      </c>
      <c r="N1114" s="15" t="str">
        <f>VLOOKUP(I1114,CHOOSE({1,2},Table17[Native],Table17[Name]),2,0)</f>
        <v>Băoshān Shì</v>
      </c>
      <c r="O1114" s="15" t="str">
        <f t="shared" si="34"/>
        <v>Xiangda Zhen (Băoshān Shì)</v>
      </c>
      <c r="P1114" s="15" t="str">
        <f t="shared" si="35"/>
        <v>Xiangda Zhen (Băoshān Shì)</v>
      </c>
    </row>
    <row r="1115" spans="1:16" hidden="1" x14ac:dyDescent="0.25">
      <c r="A1115" t="s">
        <v>1403</v>
      </c>
      <c r="B1115" t="str">
        <f>IF(COUNTIF(A:A,A1115)&gt;1,_xlfn.CONCAT(A1115," (",N1115,")"),A1115)</f>
        <v>Xiánghé Jiēdào</v>
      </c>
      <c r="C1115" t="str">
        <f>IF(COUNTIF(B:B,B1115)&gt;1,_xlfn.CONCAT(A1115," (",M1115,")"),B1115)</f>
        <v>Xiánghé Jiēdào</v>
      </c>
      <c r="D1115" t="s">
        <v>1404</v>
      </c>
      <c r="E1115" t="s">
        <v>42</v>
      </c>
      <c r="F1115" t="str">
        <f>_xlfn.CONCAT(D1115,", ",H1115,", ",I1115,", ","云南省")</f>
        <v>祥和街道, 古城区, 丽江市, 云南省</v>
      </c>
      <c r="G1115">
        <v>30084</v>
      </c>
      <c r="H1115" t="s">
        <v>2824</v>
      </c>
      <c r="I1115" t="s">
        <v>2823</v>
      </c>
      <c r="J1115">
        <f>VLOOKUP(F1115,[1]!china_towns_second__2[[Column1]:[Y]],3,FALSE)</f>
        <v>26.856344285013702</v>
      </c>
      <c r="K1115">
        <f>VLOOKUP(F1115,[1]!china_towns_second__2[[Column1]:[Y]],2,FALSE)</f>
        <v>100.2361263</v>
      </c>
      <c r="L1115" t="s">
        <v>4667</v>
      </c>
      <c r="M1115" t="str">
        <f>VLOOKUP(H1115,CHOOSE({1,2},Table17[Native],Table17[Name]),2,0)</f>
        <v>Gŭchéng Qū</v>
      </c>
      <c r="N1115" s="15" t="str">
        <f>VLOOKUP(I1115,CHOOSE({1,2},Table17[Native],Table17[Name]),2,0)</f>
        <v>Lìjiāng Shì</v>
      </c>
      <c r="O1115" s="15" t="str">
        <f t="shared" si="34"/>
        <v>Xianghe Jiedao (Lìjiāng Shì)</v>
      </c>
      <c r="P1115" s="15" t="str">
        <f t="shared" si="35"/>
        <v>Xianghe Jiedao (Lìjiāng Shì)</v>
      </c>
    </row>
    <row r="1116" spans="1:16" hidden="1" x14ac:dyDescent="0.25">
      <c r="A1116" t="s">
        <v>2685</v>
      </c>
      <c r="B1116" t="str">
        <f>IF(COUNTIF(A:A,A1116)&gt;1,_xlfn.CONCAT(A1116," (",N1116,")"),A1116)</f>
        <v>Xiàngjiābà Zhèn [incl. Yúnfù Jiēdào]</v>
      </c>
      <c r="C1116" t="str">
        <f>IF(COUNTIF(B:B,B1116)&gt;1,_xlfn.CONCAT(A1116," (",M1116,")"),B1116)</f>
        <v>Xiàngjiābà Zhèn [incl. Yúnfù Jiēdào]</v>
      </c>
      <c r="D1116" t="s">
        <v>2686</v>
      </c>
      <c r="E1116" t="s">
        <v>11</v>
      </c>
      <c r="F1116" t="str">
        <f>_xlfn.CONCAT(D1116,", ",H1116,", ",I1116,", ","云南省")</f>
        <v>向家坝镇, 水富市, 昭通市, 云南省</v>
      </c>
      <c r="G1116">
        <v>72283</v>
      </c>
      <c r="H1116" t="s">
        <v>2903</v>
      </c>
      <c r="I1116" t="s">
        <v>2899</v>
      </c>
      <c r="J1116">
        <f>VLOOKUP(F1116,[1]!china_towns_second__2[[Column1]:[Y]],3,FALSE)</f>
        <v>28.5761546579228</v>
      </c>
      <c r="K1116">
        <f>VLOOKUP(F1116,[1]!china_towns_second__2[[Column1]:[Y]],2,FALSE)</f>
        <v>104.3065647</v>
      </c>
      <c r="L1116" t="s">
        <v>4668</v>
      </c>
      <c r="M1116" t="str">
        <f>VLOOKUP(H1116,CHOOSE({1,2},Table17[Native],Table17[Name]),2,0)</f>
        <v>Shuĭfù Shì</v>
      </c>
      <c r="N1116" s="15" t="str">
        <f>VLOOKUP(I1116,CHOOSE({1,2},Table17[Native],Table17[Name]),2,0)</f>
        <v>Zhāotōng Shì</v>
      </c>
      <c r="O1116" s="15" t="str">
        <f t="shared" si="34"/>
        <v>Xiangjiaba Zhen [incl. Yunfu Jiedao] (Zhāotōng Shì)</v>
      </c>
      <c r="P1116" s="15" t="str">
        <f t="shared" si="35"/>
        <v>Xiangjiaba Zhen [incl. Yunfu Jiedao] (Zhāotōng Shì)</v>
      </c>
    </row>
    <row r="1117" spans="1:16" hidden="1" x14ac:dyDescent="0.25">
      <c r="A1117" t="s">
        <v>2309</v>
      </c>
      <c r="B1117" t="str">
        <f>IF(COUNTIF(A:A,A1117)&gt;1,_xlfn.CONCAT(A1117," (",N1117,")"),A1117)</f>
        <v>Xiàngmíng Yízú Xiāng</v>
      </c>
      <c r="C1117" t="str">
        <f>IF(COUNTIF(B:B,B1117)&gt;1,_xlfn.CONCAT(A1117," (",M1117,")"),B1117)</f>
        <v>Xiàngmíng Yízú Xiāng</v>
      </c>
      <c r="D1117" t="s">
        <v>2310</v>
      </c>
      <c r="E1117" t="s">
        <v>7</v>
      </c>
      <c r="F1117" t="str">
        <f>_xlfn.CONCAT(D1117,", ",H1117,", ",I1117,", ","云南省")</f>
        <v>象明彝族乡, 勐腊县, 西双版纳傣族自治州, 云南省</v>
      </c>
      <c r="G1117">
        <v>13564</v>
      </c>
      <c r="H1117" t="s">
        <v>2886</v>
      </c>
      <c r="I1117" t="s">
        <v>2883</v>
      </c>
      <c r="J1117" t="e">
        <f>VLOOKUP(F1117,[1]!china_towns_second__2[[Column1]:[Y]],3,FALSE)</f>
        <v>#N/A</v>
      </c>
      <c r="K1117" t="e">
        <f>VLOOKUP(F1117,[1]!china_towns_second__2[[Column1]:[Y]],2,FALSE)</f>
        <v>#N/A</v>
      </c>
      <c r="L1117" t="s">
        <v>4669</v>
      </c>
      <c r="M1117" t="str">
        <f>VLOOKUP(H1117,CHOOSE({1,2},Table17[Native],Table17[Name]),2,0)</f>
        <v>Mĕnglà Xiàn</v>
      </c>
      <c r="N1117" s="15" t="str">
        <f>VLOOKUP(I1117,CHOOSE({1,2},Table17[Native],Table17[Name]),2,0)</f>
        <v>Xīshuāngbănnà Dăizú Zìzhìzhōu</v>
      </c>
      <c r="O1117" s="15" t="str">
        <f t="shared" si="34"/>
        <v>Xiangming Yizu Xiang (Xīshuāngbănnà Dăizú Zìzhìzhōu)</v>
      </c>
      <c r="P1117" s="15" t="str">
        <f t="shared" si="35"/>
        <v>Xiangming Yizu Xiang (Xīshuāngbănnà Dăizú Zìzhìzhōu)</v>
      </c>
    </row>
    <row r="1118" spans="1:16" hidden="1" x14ac:dyDescent="0.25">
      <c r="A1118" t="s">
        <v>564</v>
      </c>
      <c r="B1118" t="str">
        <f>IF(COUNTIF(A:A,A1118)&gt;1,_xlfn.CONCAT(A1118," (",N1118,")"),A1118)</f>
        <v>Xiàngtú Xiāng</v>
      </c>
      <c r="C1118" t="str">
        <f>IF(COUNTIF(B:B,B1118)&gt;1,_xlfn.CONCAT(A1118," (",M1118,")"),B1118)</f>
        <v>Xiàngtú Xiāng</v>
      </c>
      <c r="D1118" t="s">
        <v>565</v>
      </c>
      <c r="E1118" t="s">
        <v>7</v>
      </c>
      <c r="F1118" t="str">
        <f>_xlfn.CONCAT(D1118,", ",H1118,", ",I1118,", ","云南省")</f>
        <v>象图乡, 剑川县, 大理白族自治州, 云南省</v>
      </c>
      <c r="G1118">
        <v>5140</v>
      </c>
      <c r="H1118" t="s">
        <v>2768</v>
      </c>
      <c r="I1118" t="s">
        <v>2763</v>
      </c>
      <c r="J1118" t="e">
        <f>VLOOKUP(F1118,[1]!china_towns_second__2[[Column1]:[Y]],3,FALSE)</f>
        <v>#N/A</v>
      </c>
      <c r="K1118" t="e">
        <f>VLOOKUP(F1118,[1]!china_towns_second__2[[Column1]:[Y]],2,FALSE)</f>
        <v>#N/A</v>
      </c>
      <c r="L1118" t="s">
        <v>4670</v>
      </c>
      <c r="M1118" t="str">
        <f>VLOOKUP(H1118,CHOOSE({1,2},Table17[Native],Table17[Name]),2,0)</f>
        <v>Jiànchuān Xiàn</v>
      </c>
      <c r="N1118" s="15" t="str">
        <f>VLOOKUP(I1118,CHOOSE({1,2},Table17[Native],Table17[Name]),2,0)</f>
        <v>Dàlĭ Báizú Zìzhìzhōu</v>
      </c>
      <c r="O1118" s="15" t="str">
        <f t="shared" si="34"/>
        <v>Xiangtu Xiang (Dàlĭ Báizú Zìzhìzhōu)</v>
      </c>
      <c r="P1118" s="15" t="str">
        <f t="shared" si="35"/>
        <v>Xiangtu Xiang (Dàlĭ Báizú Zìzhìzhōu)</v>
      </c>
    </row>
    <row r="1119" spans="1:16" hidden="1" x14ac:dyDescent="0.25">
      <c r="A1119" t="s">
        <v>981</v>
      </c>
      <c r="B1119" t="str">
        <f>IF(COUNTIF(A:A,A1119)&gt;1,_xlfn.CONCAT(A1119," (",N1119,")"),A1119)</f>
        <v>Xiàngyáng Xiāng</v>
      </c>
      <c r="C1119" t="str">
        <f>IF(COUNTIF(B:B,B1119)&gt;1,_xlfn.CONCAT(A1119," (",M1119,")"),B1119)</f>
        <v>Xiàngyáng Xiāng</v>
      </c>
      <c r="D1119" t="s">
        <v>982</v>
      </c>
      <c r="E1119" t="s">
        <v>7</v>
      </c>
      <c r="F1119" t="str">
        <f>_xlfn.CONCAT(D1119,", ",H1119,", ",I1119,", ","云南省")</f>
        <v>向阳乡, 泸西县, 红河哈尼族彝族自治州, 云南省</v>
      </c>
      <c r="G1119">
        <v>26711</v>
      </c>
      <c r="H1119" t="s">
        <v>2800</v>
      </c>
      <c r="I1119" t="s">
        <v>2792</v>
      </c>
      <c r="J1119" t="e">
        <f>VLOOKUP(F1119,[1]!china_towns_second__2[[Column1]:[Y]],3,FALSE)</f>
        <v>#N/A</v>
      </c>
      <c r="K1119" t="e">
        <f>VLOOKUP(F1119,[1]!china_towns_second__2[[Column1]:[Y]],2,FALSE)</f>
        <v>#N/A</v>
      </c>
      <c r="L1119" t="s">
        <v>4671</v>
      </c>
      <c r="M1119" t="str">
        <f>VLOOKUP(H1119,CHOOSE({1,2},Table17[Native],Table17[Name]),2,0)</f>
        <v>Lúxī Xiàn</v>
      </c>
      <c r="N1119" s="15" t="str">
        <f>VLOOKUP(I1119,CHOOSE({1,2},Table17[Native],Table17[Name]),2,0)</f>
        <v>Hónghé Hānízú Yízú Zìzhìzhōu</v>
      </c>
      <c r="O1119" s="15" t="str">
        <f t="shared" si="34"/>
        <v>Xiangyang Xiang (Hónghé Hānízú Yízú Zìzhìzhōu)</v>
      </c>
      <c r="P1119" s="15" t="str">
        <f t="shared" si="35"/>
        <v>Xiangyang Xiang (Hónghé Hānízú Yízú Zìzhìzhōu)</v>
      </c>
    </row>
    <row r="1120" spans="1:16" hidden="1" x14ac:dyDescent="0.25">
      <c r="A1120" t="s">
        <v>1266</v>
      </c>
      <c r="B1120" t="str">
        <f>IF(COUNTIF(A:A,A1120)&gt;1,_xlfn.CONCAT(A1120," (",N1120,")"),A1120)</f>
        <v>Xiànjiē Jiēdào</v>
      </c>
      <c r="C1120" t="str">
        <f>IF(COUNTIF(B:B,B1120)&gt;1,_xlfn.CONCAT(A1120," (",M1120,")"),B1120)</f>
        <v>Xiànjiē Jiēdào</v>
      </c>
      <c r="D1120" t="s">
        <v>1267</v>
      </c>
      <c r="E1120" t="s">
        <v>42</v>
      </c>
      <c r="F1120" t="str">
        <f>_xlfn.CONCAT(D1120,", ",H1120,", ",I1120,", ","云南省")</f>
        <v>县街街道, 安宁市, 昆明市, 云南省</v>
      </c>
      <c r="G1120">
        <v>25979</v>
      </c>
      <c r="H1120" t="s">
        <v>2808</v>
      </c>
      <c r="I1120" t="s">
        <v>2807</v>
      </c>
      <c r="J1120">
        <f>VLOOKUP(F1120,[1]!china_towns_second__2[[Column1]:[Y]],3,FALSE)</f>
        <v>24.812978839655202</v>
      </c>
      <c r="K1120">
        <f>VLOOKUP(F1120,[1]!china_towns_second__2[[Column1]:[Y]],2,FALSE)</f>
        <v>102.384968</v>
      </c>
      <c r="L1120" t="s">
        <v>4672</v>
      </c>
      <c r="M1120" t="str">
        <f>VLOOKUP(H1120,CHOOSE({1,2},Table17[Native],Table17[Name]),2,0)</f>
        <v>Ānníng Shì</v>
      </c>
      <c r="N1120" s="15" t="str">
        <f>VLOOKUP(I1120,CHOOSE({1,2},Table17[Native],Table17[Name]),2,0)</f>
        <v>Kūnmíng Shì</v>
      </c>
      <c r="O1120" s="15" t="str">
        <f t="shared" si="34"/>
        <v>Xianjie Jiedao (Kūnmíng Shì)</v>
      </c>
      <c r="P1120" s="15" t="str">
        <f t="shared" si="35"/>
        <v>Xianjie Jiedao (Kūnmíng Shì)</v>
      </c>
    </row>
    <row r="1121" spans="1:16" hidden="1" x14ac:dyDescent="0.25">
      <c r="A1121" t="s">
        <v>2013</v>
      </c>
      <c r="B1121" t="str">
        <f>IF(COUNTIF(A:A,A1121)&gt;1,_xlfn.CONCAT(A1121," (",N1121,")"),A1121)</f>
        <v>Xiăobăihù Zhèn</v>
      </c>
      <c r="C1121" t="str">
        <f>IF(COUNTIF(B:B,B1121)&gt;1,_xlfn.CONCAT(A1121," (",M1121,")"),B1121)</f>
        <v>Xiăobăihù Zhèn</v>
      </c>
      <c r="D1121" t="s">
        <v>2014</v>
      </c>
      <c r="E1121" t="s">
        <v>11</v>
      </c>
      <c r="F1121" t="str">
        <f>_xlfn.CONCAT(D1121,", ",H1121,", ",I1121,", ","云南省")</f>
        <v>小百户镇, 陆良县, 曲靖市, 云南省</v>
      </c>
      <c r="G1121">
        <v>39139</v>
      </c>
      <c r="H1121" t="s">
        <v>2863</v>
      </c>
      <c r="I1121" t="s">
        <v>2860</v>
      </c>
      <c r="J1121">
        <f>VLOOKUP(F1121,[1]!china_towns_second__2[[Column1]:[Y]],3,FALSE)</f>
        <v>25.073055567336102</v>
      </c>
      <c r="K1121">
        <f>VLOOKUP(F1121,[1]!china_towns_second__2[[Column1]:[Y]],2,FALSE)</f>
        <v>103.53750909999999</v>
      </c>
      <c r="L1121" t="s">
        <v>4673</v>
      </c>
      <c r="M1121" t="str">
        <f>VLOOKUP(H1121,CHOOSE({1,2},Table17[Native],Table17[Name]),2,0)</f>
        <v>Lùliáng Xiàn</v>
      </c>
      <c r="N1121" s="15" t="str">
        <f>VLOOKUP(I1121,CHOOSE({1,2},Table17[Native],Table17[Name]),2,0)</f>
        <v>Qŭjìng Shì</v>
      </c>
      <c r="O1121" s="15" t="str">
        <f t="shared" si="34"/>
        <v>Xiaobaihu Zhen (Qŭjìng Shì)</v>
      </c>
      <c r="P1121" s="15" t="str">
        <f t="shared" si="35"/>
        <v>Xiaobaihu Zhen (Qŭjìng Shì)</v>
      </c>
    </row>
    <row r="1122" spans="1:16" hidden="1" x14ac:dyDescent="0.25">
      <c r="A1122" t="s">
        <v>1268</v>
      </c>
      <c r="B1122" t="str">
        <f>IF(COUNTIF(A:A,A1122)&gt;1,_xlfn.CONCAT(A1122," (",N1122,")"),A1122)</f>
        <v>Xiăobănqiáo Jiēdào</v>
      </c>
      <c r="C1122" t="str">
        <f>IF(COUNTIF(B:B,B1122)&gt;1,_xlfn.CONCAT(A1122," (",M1122,")"),B1122)</f>
        <v>Xiăobănqiáo Jiēdào</v>
      </c>
      <c r="D1122" t="s">
        <v>1269</v>
      </c>
      <c r="E1122" t="s">
        <v>42</v>
      </c>
      <c r="F1122" t="str">
        <f>_xlfn.CONCAT(D1122,", ",H1122,", ",I1122,", ","云南省")</f>
        <v>小板桥街道, 官渡区, 昆明市, 云南省</v>
      </c>
      <c r="G1122">
        <v>96588</v>
      </c>
      <c r="H1122" t="s">
        <v>2812</v>
      </c>
      <c r="I1122" t="s">
        <v>2807</v>
      </c>
      <c r="J1122">
        <f>VLOOKUP(F1122,[1]!china_towns_second__2[[Column1]:[Y]],3,FALSE)</f>
        <v>24.979634999284801</v>
      </c>
      <c r="K1122">
        <f>VLOOKUP(F1122,[1]!china_towns_second__2[[Column1]:[Y]],2,FALSE)</f>
        <v>102.7555328</v>
      </c>
      <c r="L1122" t="s">
        <v>4674</v>
      </c>
      <c r="M1122" t="str">
        <f>VLOOKUP(H1122,CHOOSE({1,2},Table17[Native],Table17[Name]),2,0)</f>
        <v>Guāndù Qū</v>
      </c>
      <c r="N1122" s="15" t="str">
        <f>VLOOKUP(I1122,CHOOSE({1,2},Table17[Native],Table17[Name]),2,0)</f>
        <v>Kūnmíng Shì</v>
      </c>
      <c r="O1122" s="15" t="str">
        <f t="shared" si="34"/>
        <v>Xiaobanqiao Jiedao (Kūnmíng Shì)</v>
      </c>
      <c r="P1122" s="15" t="str">
        <f t="shared" si="35"/>
        <v>Xiaobanqiao Jiedao (Kūnmíng Shì)</v>
      </c>
    </row>
    <row r="1123" spans="1:16" hidden="1" x14ac:dyDescent="0.25">
      <c r="A1123" t="s">
        <v>2219</v>
      </c>
      <c r="B1123" t="str">
        <f>IF(COUNTIF(A:A,A1123)&gt;1,_xlfn.CONCAT(A1123," (",N1123,")"),A1123)</f>
        <v>Xiăobàzi Zhèn</v>
      </c>
      <c r="C1123" t="str">
        <f>IF(COUNTIF(B:B,B1123)&gt;1,_xlfn.CONCAT(A1123," (",M1123,")"),B1123)</f>
        <v>Xiăobàzi Zhèn</v>
      </c>
      <c r="D1123" t="s">
        <v>2220</v>
      </c>
      <c r="E1123" t="s">
        <v>11</v>
      </c>
      <c r="F1123" t="str">
        <f>_xlfn.CONCAT(D1123,", ",H1123,", ",I1123,", ","云南省")</f>
        <v>小坝子镇, 马关县, 文山壮族苗族自治州, 云南省</v>
      </c>
      <c r="G1123">
        <v>13453</v>
      </c>
      <c r="H1123" t="s">
        <v>2875</v>
      </c>
      <c r="I1123" t="s">
        <v>2872</v>
      </c>
      <c r="J1123">
        <f>VLOOKUP(F1123,[1]!china_towns_second__2[[Column1]:[Y]],3,FALSE)</f>
        <v>22.781924646811898</v>
      </c>
      <c r="K1123">
        <f>VLOOKUP(F1123,[1]!china_towns_second__2[[Column1]:[Y]],2,FALSE)</f>
        <v>104.3161503</v>
      </c>
      <c r="L1123" t="s">
        <v>4675</v>
      </c>
      <c r="M1123" t="str">
        <f>VLOOKUP(H1123,CHOOSE({1,2},Table17[Native],Table17[Name]),2,0)</f>
        <v>Măguān Xiàn</v>
      </c>
      <c r="N1123" s="15" t="str">
        <f>VLOOKUP(I1123,CHOOSE({1,2},Table17[Native],Table17[Name]),2,0)</f>
        <v>Wénshān Zhuàngzú Miáozú Zìzhìzhōu</v>
      </c>
      <c r="O1123" s="15" t="str">
        <f t="shared" si="34"/>
        <v>Xiaobazi Zhen (Wénshān Zhuàngzú Miáozú Zìzhìzhōu)</v>
      </c>
      <c r="P1123" s="15" t="str">
        <f t="shared" si="35"/>
        <v>Xiaobazi Zhen (Wénshān Zhuàngzú Miáozú Zìzhìzhōu)</v>
      </c>
    </row>
    <row r="1124" spans="1:16" hidden="1" x14ac:dyDescent="0.25">
      <c r="A1124" t="s">
        <v>2687</v>
      </c>
      <c r="B1124" t="str">
        <f>IF(COUNTIF(A:A,A1124)&gt;1,_xlfn.CONCAT(A1124," (",N1124,")"),A1124)</f>
        <v>Xiăocăobà Zhèn</v>
      </c>
      <c r="C1124" t="str">
        <f>IF(COUNTIF(B:B,B1124)&gt;1,_xlfn.CONCAT(A1124," (",M1124,")"),B1124)</f>
        <v>Xiăocăobà Zhèn</v>
      </c>
      <c r="D1124" t="s">
        <v>2688</v>
      </c>
      <c r="E1124" t="s">
        <v>11</v>
      </c>
      <c r="F1124" t="str">
        <f>_xlfn.CONCAT(D1124,", ",H1124,", ",I1124,", ","云南省")</f>
        <v>小草坝镇, 彝良县, 昭通市, 云南省</v>
      </c>
      <c r="G1124">
        <v>23583</v>
      </c>
      <c r="H1124" t="s">
        <v>2907</v>
      </c>
      <c r="I1124" t="s">
        <v>2899</v>
      </c>
      <c r="J1124">
        <f>VLOOKUP(F1124,[1]!china_towns_second__2[[Column1]:[Y]],3,FALSE)</f>
        <v>27.756738402147299</v>
      </c>
      <c r="K1124">
        <f>VLOOKUP(F1124,[1]!china_towns_second__2[[Column1]:[Y]],2,FALSE)</f>
        <v>104.2663857</v>
      </c>
      <c r="L1124" t="s">
        <v>4676</v>
      </c>
      <c r="M1124" t="str">
        <f>VLOOKUP(H1124,CHOOSE({1,2},Table17[Native],Table17[Name]),2,0)</f>
        <v>Yíliáng Xiàn</v>
      </c>
      <c r="N1124" s="15" t="str">
        <f>VLOOKUP(I1124,CHOOSE({1,2},Table17[Native],Table17[Name]),2,0)</f>
        <v>Zhāotōng Shì</v>
      </c>
      <c r="O1124" s="15" t="str">
        <f t="shared" si="34"/>
        <v>Xiaocaoba Zhen (Zhāotōng Shì)</v>
      </c>
      <c r="P1124" s="15" t="str">
        <f t="shared" si="35"/>
        <v>Xiaocaoba Zhen (Zhāotōng Shì)</v>
      </c>
    </row>
    <row r="1125" spans="1:16" hidden="1" x14ac:dyDescent="0.25">
      <c r="A1125" t="s">
        <v>685</v>
      </c>
      <c r="B1125" t="str">
        <f>IF(COUNTIF(A:A,A1125)&gt;1,_xlfn.CONCAT(A1125," (",N1125,")"),A1125)</f>
        <v>Xiăochăng Xiāng</v>
      </c>
      <c r="C1125" t="str">
        <f>IF(COUNTIF(B:B,B1125)&gt;1,_xlfn.CONCAT(A1125," (",M1125,")"),B1125)</f>
        <v>Xiăochăng Xiāng</v>
      </c>
      <c r="D1125" t="s">
        <v>686</v>
      </c>
      <c r="E1125" t="s">
        <v>7</v>
      </c>
      <c r="F1125" t="str">
        <f>_xlfn.CONCAT(D1125,", ",H1125,", ",I1125,", ","云南省")</f>
        <v>小厂乡, 梁河县, 德宏傣族景颇族自治州, 云南省</v>
      </c>
      <c r="G1125">
        <v>9415</v>
      </c>
      <c r="H1125" t="s">
        <v>2780</v>
      </c>
      <c r="I1125" t="s">
        <v>2779</v>
      </c>
      <c r="J1125" t="e">
        <f>VLOOKUP(F1125,[1]!china_towns_second__2[[Column1]:[Y]],3,FALSE)</f>
        <v>#N/A</v>
      </c>
      <c r="K1125" t="e">
        <f>VLOOKUP(F1125,[1]!china_towns_second__2[[Column1]:[Y]],2,FALSE)</f>
        <v>#N/A</v>
      </c>
      <c r="L1125" t="s">
        <v>4677</v>
      </c>
      <c r="M1125" t="str">
        <f>VLOOKUP(H1125,CHOOSE({1,2},Table17[Native],Table17[Name]),2,0)</f>
        <v>Liánghé Xiàn</v>
      </c>
      <c r="N1125" s="15" t="str">
        <f>VLOOKUP(I1125,CHOOSE({1,2},Table17[Native],Table17[Name]),2,0)</f>
        <v>Déhóng Dăizú Jĭngpōzú Zìzhìzhōu</v>
      </c>
      <c r="O1125" s="15" t="str">
        <f t="shared" si="34"/>
        <v>Xiaochang Xiang (Déhóng Dăizú Jĭngpōzú Zìzhìzhōu)</v>
      </c>
      <c r="P1125" s="15" t="str">
        <f t="shared" si="35"/>
        <v>Xiaochang Xiang (Déhóng Dăizú Jĭngpōzú Zìzhìzhōu)</v>
      </c>
    </row>
    <row r="1126" spans="1:16" hidden="1" x14ac:dyDescent="0.25">
      <c r="A1126" t="s">
        <v>2689</v>
      </c>
      <c r="B1126" t="str">
        <f>IF(COUNTIF(A:A,A1126)&gt;1,_xlfn.CONCAT(A1126," (",N1126,")"),A1126)</f>
        <v>Xiăohé Zhèn</v>
      </c>
      <c r="C1126" t="str">
        <f>IF(COUNTIF(B:B,B1126)&gt;1,_xlfn.CONCAT(A1126," (",M1126,")"),B1126)</f>
        <v>Xiăohé Zhèn</v>
      </c>
      <c r="D1126" t="s">
        <v>2690</v>
      </c>
      <c r="E1126" t="s">
        <v>11</v>
      </c>
      <c r="F1126" t="str">
        <f>_xlfn.CONCAT(D1126,", ",H1126,", ",I1126,", ","云南省")</f>
        <v>小河镇, 巧家县, 昭通市, 云南省</v>
      </c>
      <c r="G1126">
        <v>40240</v>
      </c>
      <c r="H1126" t="s">
        <v>2902</v>
      </c>
      <c r="I1126" t="s">
        <v>2899</v>
      </c>
      <c r="J1126">
        <f>VLOOKUP(F1126,[1]!china_towns_second__2[[Column1]:[Y]],3,FALSE)</f>
        <v>27.2305889013954</v>
      </c>
      <c r="K1126">
        <f>VLOOKUP(F1126,[1]!china_towns_second__2[[Column1]:[Y]],2,FALSE)</f>
        <v>103.1616149</v>
      </c>
      <c r="L1126" t="s">
        <v>4678</v>
      </c>
      <c r="M1126" t="str">
        <f>VLOOKUP(H1126,CHOOSE({1,2},Table17[Native],Table17[Name]),2,0)</f>
        <v>Qiăojiā Xiàn</v>
      </c>
      <c r="N1126" s="15" t="str">
        <f>VLOOKUP(I1126,CHOOSE({1,2},Table17[Native],Table17[Name]),2,0)</f>
        <v>Zhāotōng Shì</v>
      </c>
      <c r="O1126" s="15" t="str">
        <f t="shared" si="34"/>
        <v>Xiaohe Zhen (Zhāotōng Shì)</v>
      </c>
      <c r="P1126" s="15" t="str">
        <f t="shared" si="35"/>
        <v>Xiaohe Zhen (Zhāotōng Shì)</v>
      </c>
    </row>
    <row r="1127" spans="1:16" hidden="1" x14ac:dyDescent="0.25">
      <c r="A1127" t="s">
        <v>2434</v>
      </c>
      <c r="B1127" t="str">
        <f>IF(COUNTIF(A:A,A1127)&gt;1,_xlfn.CONCAT(A1127," (",N1127,")"),A1127)</f>
        <v>Xiăojiē Jiēdào</v>
      </c>
      <c r="C1127" t="str">
        <f>IF(COUNTIF(B:B,B1127)&gt;1,_xlfn.CONCAT(A1127," (",M1127,")"),B1127)</f>
        <v>Xiăojiē Jiēdào</v>
      </c>
      <c r="D1127" t="s">
        <v>2435</v>
      </c>
      <c r="E1127" t="s">
        <v>42</v>
      </c>
      <c r="F1127" t="str">
        <f>_xlfn.CONCAT(D1127,", ",H1127,", ",I1127,", ","云南省")</f>
        <v>小街街道, 峨山彝族自治县, 玉溪市, 云南省</v>
      </c>
      <c r="G1127">
        <v>26945</v>
      </c>
      <c r="H1127" t="s">
        <v>2890</v>
      </c>
      <c r="I1127" t="s">
        <v>2888</v>
      </c>
      <c r="J1127">
        <f>VLOOKUP(F1127,[1]!china_towns_second__2[[Column1]:[Y]],3,FALSE)</f>
        <v>24.103671988596201</v>
      </c>
      <c r="K1127">
        <f>VLOOKUP(F1127,[1]!china_towns_second__2[[Column1]:[Y]],2,FALSE)</f>
        <v>102.4837651</v>
      </c>
      <c r="L1127" t="s">
        <v>4679</v>
      </c>
      <c r="M1127" t="str">
        <f>VLOOKUP(H1127,CHOOSE({1,2},Table17[Native],Table17[Name]),2,0)</f>
        <v>Éshān Yízú Zìzhìxiàn</v>
      </c>
      <c r="N1127" s="15" t="str">
        <f>VLOOKUP(I1127,CHOOSE({1,2},Table17[Native],Table17[Name]),2,0)</f>
        <v>Yùxī Shì</v>
      </c>
      <c r="O1127" s="15" t="str">
        <f t="shared" si="34"/>
        <v>Xiaojie Jiedao (Yùxī Shì)</v>
      </c>
      <c r="P1127" s="15" t="str">
        <f t="shared" si="35"/>
        <v>Xiaojie Jiedao (Yùxī Shì)</v>
      </c>
    </row>
    <row r="1128" spans="1:16" hidden="1" x14ac:dyDescent="0.25">
      <c r="A1128" t="s">
        <v>1565</v>
      </c>
      <c r="B1128" t="str">
        <f>IF(COUNTIF(A:A,A1128)&gt;1,_xlfn.CONCAT(A1128," (",N1128,")"),A1128)</f>
        <v>Xiăojiē Xiāng (Líncāng Shì)</v>
      </c>
      <c r="C1128" t="str">
        <f>IF(COUNTIF(B:B,B1128)&gt;1,_xlfn.CONCAT(A1128," (",M1128,")"),B1128)</f>
        <v>Xiăojiē Xiāng (Líncāng Shì)</v>
      </c>
      <c r="D1128" t="s">
        <v>1566</v>
      </c>
      <c r="E1128" t="s">
        <v>7</v>
      </c>
      <c r="F1128" t="str">
        <f>_xlfn.CONCAT(D1128,", ",H1128,", ",I1128,", ","云南省")</f>
        <v>晓街乡, 云县, 临沧市, 云南省</v>
      </c>
      <c r="G1128">
        <v>39505</v>
      </c>
      <c r="H1128" t="s">
        <v>2838</v>
      </c>
      <c r="I1128" t="s">
        <v>2831</v>
      </c>
      <c r="J1128" t="e">
        <f>VLOOKUP(F1128,[1]!china_towns_second__2[[Column1]:[Y]],3,FALSE)</f>
        <v>#N/A</v>
      </c>
      <c r="K1128" t="e">
        <f>VLOOKUP(F1128,[1]!china_towns_second__2[[Column1]:[Y]],2,FALSE)</f>
        <v>#N/A</v>
      </c>
      <c r="L1128" t="s">
        <v>4680</v>
      </c>
      <c r="M1128" t="str">
        <f>VLOOKUP(H1128,CHOOSE({1,2},Table17[Native],Table17[Name]),2,0)</f>
        <v>Yún Xiàn</v>
      </c>
      <c r="N1128" s="15" t="str">
        <f>VLOOKUP(I1128,CHOOSE({1,2},Table17[Native],Table17[Name]),2,0)</f>
        <v>Líncāng Shì</v>
      </c>
      <c r="O1128" s="15" t="str">
        <f t="shared" si="34"/>
        <v>Xiaojie Xiang (Lincang Shi) (Líncāng Shì)</v>
      </c>
      <c r="P1128" s="15" t="str">
        <f t="shared" si="35"/>
        <v>Xiaojie Xiang (Lincang Shi) (Líncāng Shì)</v>
      </c>
    </row>
    <row r="1129" spans="1:16" hidden="1" x14ac:dyDescent="0.25">
      <c r="A1129" t="s">
        <v>1565</v>
      </c>
      <c r="B1129" t="str">
        <f>IF(COUNTIF(A:A,A1129)&gt;1,_xlfn.CONCAT(A1129," (",N1129,")"),A1129)</f>
        <v>Xiăojiē Xiāng (Yùxī Shì)</v>
      </c>
      <c r="C1129" t="str">
        <f>IF(COUNTIF(B:B,B1129)&gt;1,_xlfn.CONCAT(A1129," (",M1129,")"),B1129)</f>
        <v>Xiăojiē Xiāng (Yùxī Shì)</v>
      </c>
      <c r="D1129" t="s">
        <v>2436</v>
      </c>
      <c r="E1129" t="s">
        <v>7</v>
      </c>
      <c r="F1129" t="str">
        <f>_xlfn.CONCAT(D1129,", ",H1129,", ",I1129,", ","云南省")</f>
        <v>小街乡, 易门县, 玉溪市, 云南省</v>
      </c>
      <c r="G1129">
        <v>12668</v>
      </c>
      <c r="H1129" t="s">
        <v>2896</v>
      </c>
      <c r="I1129" t="s">
        <v>2888</v>
      </c>
      <c r="J1129" t="e">
        <f>VLOOKUP(F1129,[1]!china_towns_second__2[[Column1]:[Y]],3,FALSE)</f>
        <v>#N/A</v>
      </c>
      <c r="K1129" t="e">
        <f>VLOOKUP(F1129,[1]!china_towns_second__2[[Column1]:[Y]],2,FALSE)</f>
        <v>#N/A</v>
      </c>
      <c r="L1129" t="s">
        <v>4681</v>
      </c>
      <c r="M1129" t="str">
        <f>VLOOKUP(H1129,CHOOSE({1,2},Table17[Native],Table17[Name]),2,0)</f>
        <v>Yìmén Xiàn</v>
      </c>
      <c r="N1129" s="15" t="str">
        <f>VLOOKUP(I1129,CHOOSE({1,2},Table17[Native],Table17[Name]),2,0)</f>
        <v>Yùxī Shì</v>
      </c>
      <c r="O1129" s="15" t="str">
        <f t="shared" si="34"/>
        <v>Xiaojie Xiang (Yuxi Shi) (Yùxī Shì)</v>
      </c>
      <c r="P1129" s="15" t="str">
        <f t="shared" si="35"/>
        <v>Xiaojie Xiang (Yuxi Shi) (Yùxī Shì)</v>
      </c>
    </row>
    <row r="1130" spans="1:16" hidden="1" x14ac:dyDescent="0.25">
      <c r="A1130" t="s">
        <v>1270</v>
      </c>
      <c r="B1130" t="str">
        <f>IF(COUNTIF(A:A,A1130)&gt;1,_xlfn.CONCAT(A1130," (",N1130,")"),A1130)</f>
        <v>Xiăojiē Zhèn (Kūnmíng Shì)</v>
      </c>
      <c r="C1130" t="str">
        <f>IF(COUNTIF(B:B,B1130)&gt;1,_xlfn.CONCAT(A1130," (",M1130,")"),B1130)</f>
        <v>Xiăojiē Zhèn (Kūnmíng Shì)</v>
      </c>
      <c r="D1130" t="s">
        <v>1271</v>
      </c>
      <c r="E1130" t="s">
        <v>11</v>
      </c>
      <c r="F1130" t="str">
        <f>_xlfn.CONCAT(D1130,", ",H1130,", ",I1130,", ","云南省")</f>
        <v>小街镇, 嵩明县, 昆明市, 云南省</v>
      </c>
      <c r="G1130">
        <v>62033</v>
      </c>
      <c r="H1130" t="s">
        <v>2817</v>
      </c>
      <c r="I1130" t="s">
        <v>2807</v>
      </c>
      <c r="J1130">
        <f>VLOOKUP(F1130,[1]!china_towns_second__2[[Column1]:[Y]],3,FALSE)</f>
        <v>25.346330716500599</v>
      </c>
      <c r="K1130">
        <f>VLOOKUP(F1130,[1]!china_towns_second__2[[Column1]:[Y]],2,FALSE)</f>
        <v>103.1445231</v>
      </c>
      <c r="L1130" t="s">
        <v>4682</v>
      </c>
      <c r="M1130" t="str">
        <f>VLOOKUP(H1130,CHOOSE({1,2},Table17[Native],Table17[Name]),2,0)</f>
        <v>Sōngmíng Xiàn</v>
      </c>
      <c r="N1130" s="15" t="str">
        <f>VLOOKUP(I1130,CHOOSE({1,2},Table17[Native],Table17[Name]),2,0)</f>
        <v>Kūnmíng Shì</v>
      </c>
      <c r="O1130" s="15" t="str">
        <f t="shared" si="34"/>
        <v>Xiaojie Zhen (Kunming Shi) (Kūnmíng Shì)</v>
      </c>
      <c r="P1130" s="15" t="str">
        <f t="shared" si="35"/>
        <v>Xiaojie Zhen (Kunming Shi) (Kūnmíng Shì)</v>
      </c>
    </row>
    <row r="1131" spans="1:16" hidden="1" x14ac:dyDescent="0.25">
      <c r="A1131" t="s">
        <v>1270</v>
      </c>
      <c r="B1131" t="str">
        <f>IF(COUNTIF(A:A,A1131)&gt;1,_xlfn.CONCAT(A1131," (",N1131,")"),A1131)</f>
        <v>Xiăojiē Zhèn (Wénshān Zhuàngzú Miáozú Zìzhìzhōu)</v>
      </c>
      <c r="C1131" t="str">
        <f>IF(COUNTIF(B:B,B1131)&gt;1,_xlfn.CONCAT(A1131," (",M1131,")"),B1131)</f>
        <v>Xiăojiē Zhèn (Wénshān Zhuàngzú Miáozú Zìzhìzhōu)</v>
      </c>
      <c r="D1131" t="s">
        <v>1271</v>
      </c>
      <c r="E1131" t="s">
        <v>11</v>
      </c>
      <c r="F1131" t="str">
        <f>_xlfn.CONCAT(D1131,", ",H1131,", ",I1131,", ","云南省")</f>
        <v>小街镇, 文山市, 文山壮族苗族自治州, 云南省</v>
      </c>
      <c r="G1131">
        <v>22180</v>
      </c>
      <c r="H1131" t="s">
        <v>2878</v>
      </c>
      <c r="I1131" t="s">
        <v>2872</v>
      </c>
      <c r="J1131">
        <f>VLOOKUP(F1131,[1]!china_towns_second__2[[Column1]:[Y]],3,FALSE)</f>
        <v>23.2797564940184</v>
      </c>
      <c r="K1131">
        <f>VLOOKUP(F1131,[1]!china_towns_second__2[[Column1]:[Y]],2,FALSE)</f>
        <v>103.97798969999999</v>
      </c>
      <c r="L1131" t="s">
        <v>4683</v>
      </c>
      <c r="M1131" t="str">
        <f>VLOOKUP(H1131,CHOOSE({1,2},Table17[Native],Table17[Name]),2,0)</f>
        <v>Wénshān Shì</v>
      </c>
      <c r="N1131" s="15" t="str">
        <f>VLOOKUP(I1131,CHOOSE({1,2},Table17[Native],Table17[Name]),2,0)</f>
        <v>Wénshān Zhuàngzú Miáozú Zìzhìzhōu</v>
      </c>
      <c r="O1131" s="15" t="str">
        <f t="shared" si="34"/>
        <v>Xiaojie Zhen (Wenshan Zhuangzu Miaozu Zizhizhou) (Wénshān Zhuàngzú Miáozú Zìzhìzhōu)</v>
      </c>
      <c r="P1131" s="15" t="str">
        <f t="shared" si="35"/>
        <v>Xiaojie Zhen (Wenshan Zhuangzu Miaozu Zizhizhou) (Wénshān Zhuàngzú Miáozú Zìzhìzhōu)</v>
      </c>
    </row>
    <row r="1132" spans="1:16" hidden="1" x14ac:dyDescent="0.25">
      <c r="A1132" t="s">
        <v>2691</v>
      </c>
      <c r="B1132" t="str">
        <f>IF(COUNTIF(A:A,A1132)&gt;1,_xlfn.CONCAT(A1132," (",N1132,")"),A1132)</f>
        <v>Xiăolóngdòng Huízú Yízú Xiāng</v>
      </c>
      <c r="C1132" t="str">
        <f>IF(COUNTIF(B:B,B1132)&gt;1,_xlfn.CONCAT(A1132," (",M1132,")"),B1132)</f>
        <v>Xiăolóngdòng Huízú Yízú Xiāng</v>
      </c>
      <c r="D1132" t="s">
        <v>2692</v>
      </c>
      <c r="E1132" t="s">
        <v>7</v>
      </c>
      <c r="F1132" t="str">
        <f>_xlfn.CONCAT(D1132,", ",H1132,", ",I1132,", ","云南省")</f>
        <v>小龙洞回族彝族乡, 昭阳区, 昭通市, 云南省</v>
      </c>
      <c r="G1132">
        <v>29392</v>
      </c>
      <c r="H1132" t="s">
        <v>2909</v>
      </c>
      <c r="I1132" t="s">
        <v>2899</v>
      </c>
      <c r="J1132" t="e">
        <f>VLOOKUP(F1132,[1]!china_towns_second__2[[Column1]:[Y]],3,FALSE)</f>
        <v>#N/A</v>
      </c>
      <c r="K1132" t="e">
        <f>VLOOKUP(F1132,[1]!china_towns_second__2[[Column1]:[Y]],2,FALSE)</f>
        <v>#N/A</v>
      </c>
      <c r="L1132" t="s">
        <v>4684</v>
      </c>
      <c r="M1132" t="str">
        <f>VLOOKUP(H1132,CHOOSE({1,2},Table17[Native],Table17[Name]),2,0)</f>
        <v>Zhāoyáng Qū</v>
      </c>
      <c r="N1132" s="15" t="str">
        <f>VLOOKUP(I1132,CHOOSE({1,2},Table17[Native],Table17[Name]),2,0)</f>
        <v>Zhāotōng Shì</v>
      </c>
      <c r="O1132" s="15" t="str">
        <f t="shared" si="34"/>
        <v>Xiaolongdong Huizu Yizu Xiang (Zhāotōng Shì)</v>
      </c>
      <c r="P1132" s="15" t="str">
        <f t="shared" si="35"/>
        <v>Xiaolongdong Huizu Yizu Xiang (Zhāotōng Shì)</v>
      </c>
    </row>
    <row r="1133" spans="1:16" hidden="1" x14ac:dyDescent="0.25">
      <c r="A1133" t="s">
        <v>983</v>
      </c>
      <c r="B1133" t="str">
        <f>IF(COUNTIF(A:A,A1133)&gt;1,_xlfn.CONCAT(A1133," (",N1133,")"),A1133)</f>
        <v>Xiăolóngtán Zhèn</v>
      </c>
      <c r="C1133" t="str">
        <f>IF(COUNTIF(B:B,B1133)&gt;1,_xlfn.CONCAT(A1133," (",M1133,")"),B1133)</f>
        <v>Xiăolóngtán Zhèn</v>
      </c>
      <c r="D1133" t="s">
        <v>984</v>
      </c>
      <c r="E1133" t="s">
        <v>11</v>
      </c>
      <c r="F1133" t="str">
        <f>_xlfn.CONCAT(D1133,", ",H1133,", ",I1133,", ","云南省")</f>
        <v>小龙潭镇, 开远市, 红河哈尼族彝族自治州, 云南省</v>
      </c>
      <c r="G1133">
        <v>24986</v>
      </c>
      <c r="H1133" t="s">
        <v>2798</v>
      </c>
      <c r="I1133" t="s">
        <v>2792</v>
      </c>
      <c r="J1133">
        <f>VLOOKUP(F1133,[1]!china_towns_second__2[[Column1]:[Y]],3,FALSE)</f>
        <v>23.8134321018672</v>
      </c>
      <c r="K1133">
        <f>VLOOKUP(F1133,[1]!china_towns_second__2[[Column1]:[Y]],2,FALSE)</f>
        <v>103.1486416</v>
      </c>
      <c r="L1133" t="s">
        <v>4685</v>
      </c>
      <c r="M1133" t="str">
        <f>VLOOKUP(H1133,CHOOSE({1,2},Table17[Native],Table17[Name]),2,0)</f>
        <v>Kāiyuăn Shì</v>
      </c>
      <c r="N1133" s="15" t="str">
        <f>VLOOKUP(I1133,CHOOSE({1,2},Table17[Native],Table17[Name]),2,0)</f>
        <v>Hónghé Hānízú Yízú Zìzhìzhōu</v>
      </c>
      <c r="O1133" s="15" t="str">
        <f t="shared" si="34"/>
        <v>Xiaolongtan Zhen (Hónghé Hānízú Yízú Zìzhìzhōu)</v>
      </c>
      <c r="P1133" s="15" t="str">
        <f t="shared" si="35"/>
        <v>Xiaolongtan Zhen (Hónghé Hānízú Yízú Zìzhìzhōu)</v>
      </c>
    </row>
    <row r="1134" spans="1:16" hidden="1" x14ac:dyDescent="0.25">
      <c r="A1134" t="s">
        <v>1567</v>
      </c>
      <c r="B1134" t="str">
        <f>IF(COUNTIF(A:A,A1134)&gt;1,_xlfn.CONCAT(A1134," (",N1134,")"),A1134)</f>
        <v>Xiăomĕngtŏng Zhèn</v>
      </c>
      <c r="C1134" t="str">
        <f>IF(COUNTIF(B:B,B1134)&gt;1,_xlfn.CONCAT(A1134," (",M1134,")"),B1134)</f>
        <v>Xiăomĕngtŏng Zhèn</v>
      </c>
      <c r="D1134" t="s">
        <v>1568</v>
      </c>
      <c r="E1134" t="s">
        <v>11</v>
      </c>
      <c r="F1134" t="str">
        <f>_xlfn.CONCAT(D1134,", ",H1134,", ",I1134,", ","云南省")</f>
        <v>小勐统镇, 永德县, 临沧市, 云南省</v>
      </c>
      <c r="G1134">
        <v>56127</v>
      </c>
      <c r="H1134" t="s">
        <v>2837</v>
      </c>
      <c r="I1134" t="s">
        <v>2831</v>
      </c>
      <c r="J1134">
        <f>VLOOKUP(F1134,[1]!china_towns_second__2[[Column1]:[Y]],3,FALSE)</f>
        <v>24.273062125724699</v>
      </c>
      <c r="K1134">
        <f>VLOOKUP(F1134,[1]!china_towns_second__2[[Column1]:[Y]],2,FALSE)</f>
        <v>99.260781100000003</v>
      </c>
      <c r="L1134" t="s">
        <v>4686</v>
      </c>
      <c r="M1134" t="str">
        <f>VLOOKUP(H1134,CHOOSE({1,2},Table17[Native],Table17[Name]),2,0)</f>
        <v>Yŏngdé Xiàn</v>
      </c>
      <c r="N1134" s="15" t="str">
        <f>VLOOKUP(I1134,CHOOSE({1,2},Table17[Native],Table17[Name]),2,0)</f>
        <v>Líncāng Shì</v>
      </c>
      <c r="O1134" s="15" t="str">
        <f t="shared" si="34"/>
        <v>Xiaomengtong Zhen (Líncāng Shì)</v>
      </c>
      <c r="P1134" s="15" t="str">
        <f t="shared" si="35"/>
        <v>Xiaomengtong Zhen (Líncāng Shì)</v>
      </c>
    </row>
    <row r="1135" spans="1:16" hidden="1" x14ac:dyDescent="0.25">
      <c r="A1135" t="s">
        <v>2437</v>
      </c>
      <c r="B1135" t="str">
        <f>IF(COUNTIF(A:A,A1135)&gt;1,_xlfn.CONCAT(A1135," (",N1135,")"),A1135)</f>
        <v>Xiăoshíqiáo Yízú Xiāng</v>
      </c>
      <c r="C1135" t="str">
        <f>IF(COUNTIF(B:B,B1135)&gt;1,_xlfn.CONCAT(A1135," (",M1135,")"),B1135)</f>
        <v>Xiăoshíqiáo Yízú Xiāng</v>
      </c>
      <c r="D1135" t="s">
        <v>2438</v>
      </c>
      <c r="E1135" t="s">
        <v>7</v>
      </c>
      <c r="F1135" t="str">
        <f>_xlfn.CONCAT(D1135,", ",H1135,", ",I1135,", ","云南省")</f>
        <v>小石桥彝族乡, 红塔区, 玉溪市, 云南省</v>
      </c>
      <c r="G1135">
        <v>5577</v>
      </c>
      <c r="H1135" t="s">
        <v>2891</v>
      </c>
      <c r="I1135" t="s">
        <v>2888</v>
      </c>
      <c r="J1135" t="e">
        <f>VLOOKUP(F1135,[1]!china_towns_second__2[[Column1]:[Y]],3,FALSE)</f>
        <v>#N/A</v>
      </c>
      <c r="K1135" t="e">
        <f>VLOOKUP(F1135,[1]!china_towns_second__2[[Column1]:[Y]],2,FALSE)</f>
        <v>#N/A</v>
      </c>
      <c r="L1135" t="s">
        <v>4687</v>
      </c>
      <c r="M1135" t="str">
        <f>VLOOKUP(H1135,CHOOSE({1,2},Table17[Native],Table17[Name]),2,0)</f>
        <v>Hóngtă Qū</v>
      </c>
      <c r="N1135" s="15" t="str">
        <f>VLOOKUP(I1135,CHOOSE({1,2},Table17[Native],Table17[Name]),2,0)</f>
        <v>Yùxī Shì</v>
      </c>
      <c r="O1135" s="15" t="str">
        <f t="shared" si="34"/>
        <v>Xiaoshiqiao Yizu Xiang (Yùxī Shì)</v>
      </c>
      <c r="P1135" s="15" t="str">
        <f t="shared" si="35"/>
        <v>Xiaoshiqiao Yizu Xiang (Yùxī Shì)</v>
      </c>
    </row>
    <row r="1136" spans="1:16" hidden="1" x14ac:dyDescent="0.25">
      <c r="A1136" t="s">
        <v>1569</v>
      </c>
      <c r="B1136" t="str">
        <f>IF(COUNTIF(A:A,A1136)&gt;1,_xlfn.CONCAT(A1136," (",N1136,")"),A1136)</f>
        <v>Xiăowān Zhèn</v>
      </c>
      <c r="C1136" t="str">
        <f>IF(COUNTIF(B:B,B1136)&gt;1,_xlfn.CONCAT(A1136," (",M1136,")"),B1136)</f>
        <v>Xiăowān Zhèn</v>
      </c>
      <c r="D1136" t="s">
        <v>1570</v>
      </c>
      <c r="E1136" t="s">
        <v>11</v>
      </c>
      <c r="F1136" t="str">
        <f>_xlfn.CONCAT(D1136,", ",H1136,", ",I1136,", ","云南省")</f>
        <v>小湾镇, 凤庆县, 临沧市, 云南省</v>
      </c>
      <c r="G1136">
        <v>27547</v>
      </c>
      <c r="H1136" t="s">
        <v>2833</v>
      </c>
      <c r="I1136" t="s">
        <v>2831</v>
      </c>
      <c r="J1136">
        <f>VLOOKUP(F1136,[1]!china_towns_second__2[[Column1]:[Y]],3,FALSE)</f>
        <v>24.652440947515501</v>
      </c>
      <c r="K1136">
        <f>VLOOKUP(F1136,[1]!china_towns_second__2[[Column1]:[Y]],2,FALSE)</f>
        <v>100.0670066</v>
      </c>
      <c r="L1136" t="s">
        <v>4688</v>
      </c>
      <c r="M1136" t="str">
        <f>VLOOKUP(H1136,CHOOSE({1,2},Table17[Native],Table17[Name]),2,0)</f>
        <v>Fèngqìng Xiàn</v>
      </c>
      <c r="N1136" s="15" t="str">
        <f>VLOOKUP(I1136,CHOOSE({1,2},Table17[Native],Table17[Name]),2,0)</f>
        <v>Líncāng Shì</v>
      </c>
      <c r="O1136" s="15" t="str">
        <f t="shared" si="34"/>
        <v>Xiaowan Zhen (Líncāng Shì)</v>
      </c>
      <c r="P1136" s="15" t="str">
        <f t="shared" si="35"/>
        <v>Xiaowan Zhen (Líncāng Shì)</v>
      </c>
    </row>
    <row r="1137" spans="1:16" hidden="1" x14ac:dyDescent="0.25">
      <c r="A1137" t="s">
        <v>566</v>
      </c>
      <c r="B1137" t="str">
        <f>IF(COUNTIF(A:A,A1137)&gt;1,_xlfn.CONCAT(A1137," (",N1137,")"),A1137)</f>
        <v>Xiăowāndōng Zhèn</v>
      </c>
      <c r="C1137" t="str">
        <f>IF(COUNTIF(B:B,B1137)&gt;1,_xlfn.CONCAT(A1137," (",M1137,")"),B1137)</f>
        <v>Xiăowāndōng Zhèn</v>
      </c>
      <c r="D1137" t="s">
        <v>567</v>
      </c>
      <c r="E1137" t="s">
        <v>11</v>
      </c>
      <c r="F1137" t="str">
        <f>_xlfn.CONCAT(D1137,", ",H1137,", ",I1137,", ","云南省")</f>
        <v>小湾东镇, 南涧彝族自治县, 大理白族自治州, 云南省</v>
      </c>
      <c r="G1137">
        <v>18104</v>
      </c>
      <c r="H1137" t="s">
        <v>2771</v>
      </c>
      <c r="I1137" t="s">
        <v>2763</v>
      </c>
      <c r="J1137">
        <f>VLOOKUP(F1137,[1]!china_towns_second__2[[Column1]:[Y]],3,FALSE)</f>
        <v>24.778787431871098</v>
      </c>
      <c r="K1137">
        <f>VLOOKUP(F1137,[1]!china_towns_second__2[[Column1]:[Y]],2,FALSE)</f>
        <v>100.1957513</v>
      </c>
      <c r="L1137" t="s">
        <v>4689</v>
      </c>
      <c r="M1137" t="str">
        <f>VLOOKUP(H1137,CHOOSE({1,2},Table17[Native],Table17[Name]),2,0)</f>
        <v>Nánjiàn Yízú Zìzhìxiàn</v>
      </c>
      <c r="N1137" s="15" t="str">
        <f>VLOOKUP(I1137,CHOOSE({1,2},Table17[Native],Table17[Name]),2,0)</f>
        <v>Dàlĭ Báizú Zìzhìzhōu</v>
      </c>
      <c r="O1137" s="15" t="str">
        <f t="shared" si="34"/>
        <v>Xiaowandong Zhen (Dàlĭ Báizú Zìzhìzhōu)</v>
      </c>
      <c r="P1137" s="15" t="str">
        <f t="shared" si="35"/>
        <v>Xiaowandong Zhen (Dàlĭ Báizú Zìzhìzhōu)</v>
      </c>
    </row>
    <row r="1138" spans="1:16" hidden="1" x14ac:dyDescent="0.25">
      <c r="A1138" t="s">
        <v>985</v>
      </c>
      <c r="B1138" t="str">
        <f>IF(COUNTIF(A:A,A1138)&gt;1,_xlfn.CONCAT(A1138," (",N1138,")"),A1138)</f>
        <v>Xiăoxīnjiē Xiāng</v>
      </c>
      <c r="C1138" t="str">
        <f>IF(COUNTIF(B:B,B1138)&gt;1,_xlfn.CONCAT(A1138," (",M1138,")"),B1138)</f>
        <v>Xiăoxīnjiē Xiāng</v>
      </c>
      <c r="D1138" t="s">
        <v>986</v>
      </c>
      <c r="E1138" t="s">
        <v>7</v>
      </c>
      <c r="F1138" t="str">
        <f>_xlfn.CONCAT(D1138,", ",H1138,", ",I1138,", ","云南省")</f>
        <v>小新街乡, 元阳县, 红河哈尼族彝族自治州, 云南省</v>
      </c>
      <c r="G1138">
        <v>26406</v>
      </c>
      <c r="H1138" t="s">
        <v>2805</v>
      </c>
      <c r="I1138" t="s">
        <v>2792</v>
      </c>
      <c r="J1138" t="e">
        <f>VLOOKUP(F1138,[1]!china_towns_second__2[[Column1]:[Y]],3,FALSE)</f>
        <v>#N/A</v>
      </c>
      <c r="K1138" t="e">
        <f>VLOOKUP(F1138,[1]!china_towns_second__2[[Column1]:[Y]],2,FALSE)</f>
        <v>#N/A</v>
      </c>
      <c r="L1138" t="s">
        <v>4690</v>
      </c>
      <c r="M1138" t="str">
        <f>VLOOKUP(H1138,CHOOSE({1,2},Table17[Native],Table17[Name]),2,0)</f>
        <v>Yuányáng Xiàn</v>
      </c>
      <c r="N1138" s="15" t="str">
        <f>VLOOKUP(I1138,CHOOSE({1,2},Table17[Native],Table17[Name]),2,0)</f>
        <v>Hónghé Hānízú Yízú Zìzhìzhōu</v>
      </c>
      <c r="O1138" s="15" t="str">
        <f t="shared" si="34"/>
        <v>Xiaoxinjie Xiang (Hónghé Hānízú Yízú Zìzhìzhōu)</v>
      </c>
      <c r="P1138" s="15" t="str">
        <f t="shared" si="35"/>
        <v>Xiaoxinjie Xiang (Hónghé Hānízú Yízú Zìzhìzhōu)</v>
      </c>
    </row>
    <row r="1139" spans="1:16" hidden="1" x14ac:dyDescent="0.25">
      <c r="A1139" t="s">
        <v>2693</v>
      </c>
      <c r="B1139" t="str">
        <f>IF(COUNTIF(A:A,A1139)&gt;1,_xlfn.CONCAT(A1139," (",N1139,")"),A1139)</f>
        <v>Xiăozhài Zhèn</v>
      </c>
      <c r="C1139" t="str">
        <f>IF(COUNTIF(B:B,B1139)&gt;1,_xlfn.CONCAT(A1139," (",M1139,")"),B1139)</f>
        <v>Xiăozhài Zhèn</v>
      </c>
      <c r="D1139" t="s">
        <v>2694</v>
      </c>
      <c r="E1139" t="s">
        <v>11</v>
      </c>
      <c r="F1139" t="str">
        <f>_xlfn.CONCAT(D1139,", ",H1139,", ",I1139,", ","云南省")</f>
        <v>小寨镇, 鲁甸县, 昭通市, 云南省</v>
      </c>
      <c r="G1139">
        <v>18896</v>
      </c>
      <c r="H1139" t="s">
        <v>2901</v>
      </c>
      <c r="I1139" t="s">
        <v>2899</v>
      </c>
      <c r="J1139">
        <f>VLOOKUP(F1139,[1]!china_towns_second__2[[Column1]:[Y]],3,FALSE)</f>
        <v>27.2054222750223</v>
      </c>
      <c r="K1139">
        <f>VLOOKUP(F1139,[1]!china_towns_second__2[[Column1]:[Y]],2,FALSE)</f>
        <v>103.49026379999999</v>
      </c>
      <c r="L1139" t="s">
        <v>4691</v>
      </c>
      <c r="M1139" t="str">
        <f>VLOOKUP(H1139,CHOOSE({1,2},Table17[Native],Table17[Name]),2,0)</f>
        <v>Lŭdiàn Xiàn</v>
      </c>
      <c r="N1139" s="15" t="str">
        <f>VLOOKUP(I1139,CHOOSE({1,2},Table17[Native],Table17[Name]),2,0)</f>
        <v>Zhāotōng Shì</v>
      </c>
      <c r="O1139" s="15" t="str">
        <f t="shared" si="34"/>
        <v>Xiaozhai Zhen (Zhāotōng Shì)</v>
      </c>
      <c r="P1139" s="15" t="str">
        <f t="shared" si="35"/>
        <v>Xiaozhai Zhen (Zhāotōng Shì)</v>
      </c>
    </row>
    <row r="1140" spans="1:16" hidden="1" x14ac:dyDescent="0.25">
      <c r="A1140" t="s">
        <v>752</v>
      </c>
      <c r="B1140" t="str">
        <f>IF(COUNTIF(A:A,A1140)&gt;1,_xlfn.CONCAT(A1140," (",N1140,")"),A1140)</f>
        <v>Xiăozhōngdiàn Zhèn</v>
      </c>
      <c r="C1140" t="str">
        <f>IF(COUNTIF(B:B,B1140)&gt;1,_xlfn.CONCAT(A1140," (",M1140,")"),B1140)</f>
        <v>Xiăozhōngdiàn Zhèn</v>
      </c>
      <c r="D1140" t="s">
        <v>753</v>
      </c>
      <c r="E1140" t="s">
        <v>11</v>
      </c>
      <c r="F1140" t="str">
        <f>_xlfn.CONCAT(D1140,", ",H1140,", ",I1140,", ","云南省")</f>
        <v>小中甸镇, 香格里拉市, 迪庆藏族自治州, 云南省</v>
      </c>
      <c r="G1140">
        <v>10169</v>
      </c>
      <c r="H1140" t="s">
        <v>2789</v>
      </c>
      <c r="I1140" t="s">
        <v>2786</v>
      </c>
      <c r="J1140">
        <f>VLOOKUP(F1140,[1]!china_towns_second__2[[Column1]:[Y]],3,FALSE)</f>
        <v>27.556930404720699</v>
      </c>
      <c r="K1140">
        <f>VLOOKUP(F1140,[1]!china_towns_second__2[[Column1]:[Y]],2,FALSE)</f>
        <v>99.799352740000003</v>
      </c>
      <c r="L1140" t="s">
        <v>4692</v>
      </c>
      <c r="M1140" t="str">
        <f>VLOOKUP(H1140,CHOOSE({1,2},Table17[Native],Table17[Name]),2,0)</f>
        <v>Xiānggélĭlā Shì</v>
      </c>
      <c r="N1140" s="15" t="str">
        <f>VLOOKUP(I1140,CHOOSE({1,2},Table17[Native],Table17[Name]),2,0)</f>
        <v>Díqìng Zàngzú Zìzhìzhōu</v>
      </c>
      <c r="O1140" s="15" t="str">
        <f t="shared" si="34"/>
        <v>Xiaozhongdian Zhen (Díqìng Zàngzú Zìzhìzhōu)</v>
      </c>
      <c r="P1140" s="15" t="str">
        <f t="shared" si="35"/>
        <v>Xiaozhongdian Zhen (Díqìng Zàngzú Zìzhìzhōu)</v>
      </c>
    </row>
    <row r="1141" spans="1:16" hidden="1" x14ac:dyDescent="0.25">
      <c r="A1141" t="s">
        <v>754</v>
      </c>
      <c r="B1141" t="str">
        <f>IF(COUNTIF(A:A,A1141)&gt;1,_xlfn.CONCAT(A1141," (",N1141,")"),A1141)</f>
        <v>Xiáruò Lìsùzú Xiāng</v>
      </c>
      <c r="C1141" t="str">
        <f>IF(COUNTIF(B:B,B1141)&gt;1,_xlfn.CONCAT(A1141," (",M1141,")"),B1141)</f>
        <v>Xiáruò Lìsùzú Xiāng</v>
      </c>
      <c r="D1141" t="s">
        <v>755</v>
      </c>
      <c r="E1141" t="s">
        <v>7</v>
      </c>
      <c r="F1141" t="str">
        <f>_xlfn.CONCAT(D1141,", ",H1141,", ",I1141,", ","云南省")</f>
        <v>霞若傈僳族乡, 德钦县, 迪庆藏族自治州, 云南省</v>
      </c>
      <c r="G1141">
        <v>8258</v>
      </c>
      <c r="H1141" t="s">
        <v>2787</v>
      </c>
      <c r="I1141" t="s">
        <v>2786</v>
      </c>
      <c r="J1141" t="e">
        <f>VLOOKUP(F1141,[1]!china_towns_second__2[[Column1]:[Y]],3,FALSE)</f>
        <v>#N/A</v>
      </c>
      <c r="K1141" t="e">
        <f>VLOOKUP(F1141,[1]!china_towns_second__2[[Column1]:[Y]],2,FALSE)</f>
        <v>#N/A</v>
      </c>
      <c r="L1141" t="s">
        <v>4693</v>
      </c>
      <c r="M1141" t="str">
        <f>VLOOKUP(H1141,CHOOSE({1,2},Table17[Native],Table17[Name]),2,0)</f>
        <v>Déqīn Xiàn</v>
      </c>
      <c r="N1141" s="15" t="str">
        <f>VLOOKUP(I1141,CHOOSE({1,2},Table17[Native],Table17[Name]),2,0)</f>
        <v>Díqìng Zàngzú Zìzhìzhōu</v>
      </c>
      <c r="O1141" s="15" t="str">
        <f t="shared" si="34"/>
        <v>Xiaruo Lisuzu Xiang (Díqìng Zàngzú Zìzhìzhōu)</v>
      </c>
      <c r="P1141" s="15" t="str">
        <f t="shared" si="35"/>
        <v>Xiaruo Lisuzu Xiang (Díqìng Zàngzú Zìzhìzhōu)</v>
      </c>
    </row>
    <row r="1142" spans="1:16" hidden="1" x14ac:dyDescent="0.25">
      <c r="A1142" t="s">
        <v>568</v>
      </c>
      <c r="B1142" t="str">
        <f>IF(COUNTIF(A:A,A1142)&gt;1,_xlfn.CONCAT(A1142," (",N1142,")"),A1142)</f>
        <v>Xiàzhuāng Zhèn</v>
      </c>
      <c r="C1142" t="str">
        <f>IF(COUNTIF(B:B,B1142)&gt;1,_xlfn.CONCAT(A1142," (",M1142,")"),B1142)</f>
        <v>Xiàzhuāng Zhèn</v>
      </c>
      <c r="D1142" t="s">
        <v>569</v>
      </c>
      <c r="E1142" t="s">
        <v>11</v>
      </c>
      <c r="F1142" t="str">
        <f>_xlfn.CONCAT(D1142,", ",H1142,", ",I1142,", ","云南省")</f>
        <v>下庄镇, 祥云县, 大理白族自治州, 云南省</v>
      </c>
      <c r="G1142">
        <v>53954</v>
      </c>
      <c r="H1142" t="s">
        <v>2773</v>
      </c>
      <c r="I1142" t="s">
        <v>2763</v>
      </c>
      <c r="J1142">
        <f>VLOOKUP(F1142,[1]!china_towns_second__2[[Column1]:[Y]],3,FALSE)</f>
        <v>25.418582475209099</v>
      </c>
      <c r="K1142">
        <f>VLOOKUP(F1142,[1]!china_towns_second__2[[Column1]:[Y]],2,FALSE)</f>
        <v>100.82515890000001</v>
      </c>
      <c r="L1142" t="s">
        <v>4694</v>
      </c>
      <c r="M1142" t="str">
        <f>VLOOKUP(H1142,CHOOSE({1,2},Table17[Native],Table17[Name]),2,0)</f>
        <v>Xiángyún Xiàn</v>
      </c>
      <c r="N1142" s="15" t="str">
        <f>VLOOKUP(I1142,CHOOSE({1,2},Table17[Native],Table17[Name]),2,0)</f>
        <v>Dàlĭ Báizú Zìzhìzhōu</v>
      </c>
      <c r="O1142" s="15" t="str">
        <f t="shared" si="34"/>
        <v>Xiazhuang Zhen (Dàlĭ Báizú Zìzhìzhōu)</v>
      </c>
      <c r="P1142" s="15" t="str">
        <f t="shared" si="35"/>
        <v>Xiazhuang Zhen (Dàlĭ Báizú Zìzhìzhōu)</v>
      </c>
    </row>
    <row r="1143" spans="1:16" hidden="1" x14ac:dyDescent="0.25">
      <c r="A1143" t="s">
        <v>987</v>
      </c>
      <c r="B1143" t="str">
        <f>IF(COUNTIF(A:A,A1143)&gt;1,_xlfn.CONCAT(A1143," (",N1143,")"),A1143)</f>
        <v>Xībĕilè Xiāng</v>
      </c>
      <c r="C1143" t="str">
        <f>IF(COUNTIF(B:B,B1143)&gt;1,_xlfn.CONCAT(A1143," (",M1143,")"),B1143)</f>
        <v>Xībĕilè Xiāng</v>
      </c>
      <c r="D1143" t="s">
        <v>988</v>
      </c>
      <c r="E1143" t="s">
        <v>7</v>
      </c>
      <c r="F1143" t="str">
        <f>_xlfn.CONCAT(D1143,", ",H1143,", ",I1143,", ","云南省")</f>
        <v>西北勒乡, 蒙自市, 红河哈尼族彝族自治州, 云南省</v>
      </c>
      <c r="G1143">
        <v>10129</v>
      </c>
      <c r="H1143" t="s">
        <v>2801</v>
      </c>
      <c r="I1143" t="s">
        <v>2792</v>
      </c>
      <c r="J1143" t="e">
        <f>VLOOKUP(F1143,[1]!china_towns_second__2[[Column1]:[Y]],3,FALSE)</f>
        <v>#N/A</v>
      </c>
      <c r="K1143" t="e">
        <f>VLOOKUP(F1143,[1]!china_towns_second__2[[Column1]:[Y]],2,FALSE)</f>
        <v>#N/A</v>
      </c>
      <c r="L1143" t="s">
        <v>4695</v>
      </c>
      <c r="M1143" t="str">
        <f>VLOOKUP(H1143,CHOOSE({1,2},Table17[Native],Table17[Name]),2,0)</f>
        <v>Mĕngzì Shì</v>
      </c>
      <c r="N1143" s="15" t="str">
        <f>VLOOKUP(I1143,CHOOSE({1,2},Table17[Native],Table17[Name]),2,0)</f>
        <v>Hónghé Hānízú Yízú Zìzhìzhōu</v>
      </c>
      <c r="O1143" s="15" t="str">
        <f t="shared" si="34"/>
        <v>Xibeile Xiang (Hónghé Hānízú Yízú Zìzhìzhōu)</v>
      </c>
      <c r="P1143" s="15" t="str">
        <f t="shared" si="35"/>
        <v>Xibeile Xiang (Hónghé Hānízú Yízú Zìzhìzhōu)</v>
      </c>
    </row>
    <row r="1144" spans="1:16" hidden="1" x14ac:dyDescent="0.25">
      <c r="A1144" t="s">
        <v>1407</v>
      </c>
      <c r="B1144" t="str">
        <f>IF(COUNTIF(A:A,A1144)&gt;1,_xlfn.CONCAT(A1144," (",N1144,")"),A1144)</f>
        <v>Xībùhé Xiāng</v>
      </c>
      <c r="C1144" t="str">
        <f>IF(COUNTIF(B:B,B1144)&gt;1,_xlfn.CONCAT(A1144," (",M1144,")"),B1144)</f>
        <v>Xībùhé Xiāng</v>
      </c>
      <c r="D1144" t="s">
        <v>1408</v>
      </c>
      <c r="E1144" t="s">
        <v>7</v>
      </c>
      <c r="F1144" t="str">
        <f>_xlfn.CONCAT(D1144,", ",H1144,", ",I1144,", ","云南省")</f>
        <v>西布河乡, 宁蒗彝族自治县, 丽江市, 云南省</v>
      </c>
      <c r="G1144">
        <v>19250</v>
      </c>
      <c r="H1144" t="s">
        <v>2827</v>
      </c>
      <c r="I1144" t="s">
        <v>2823</v>
      </c>
      <c r="J1144" t="e">
        <f>VLOOKUP(F1144,[1]!china_towns_second__2[[Column1]:[Y]],3,FALSE)</f>
        <v>#N/A</v>
      </c>
      <c r="K1144" t="e">
        <f>VLOOKUP(F1144,[1]!china_towns_second__2[[Column1]:[Y]],2,FALSE)</f>
        <v>#N/A</v>
      </c>
      <c r="L1144" t="s">
        <v>4696</v>
      </c>
      <c r="M1144" t="str">
        <f>VLOOKUP(H1144,CHOOSE({1,2},Table17[Native],Table17[Name]),2,0)</f>
        <v>Nínglàng Yízú Zìzhìxiàn</v>
      </c>
      <c r="N1144" s="15" t="str">
        <f>VLOOKUP(I1144,CHOOSE({1,2},Table17[Native],Table17[Name]),2,0)</f>
        <v>Lìjiāng Shì</v>
      </c>
      <c r="O1144" s="15" t="str">
        <f t="shared" si="34"/>
        <v>Xibuhe Xiang (Lìjiāng Shì)</v>
      </c>
      <c r="P1144" s="15" t="str">
        <f t="shared" si="35"/>
        <v>Xibuhe Xiang (Lìjiāng Shì)</v>
      </c>
    </row>
    <row r="1145" spans="1:16" hidden="1" x14ac:dyDescent="0.25">
      <c r="A1145" t="s">
        <v>2015</v>
      </c>
      <c r="B1145" t="str">
        <f>IF(COUNTIF(A:A,A1145)&gt;1,_xlfn.CONCAT(A1145," (",N1145,")"),A1145)</f>
        <v>Xīchéng Jiēdào</v>
      </c>
      <c r="C1145" t="str">
        <f>IF(COUNTIF(B:B,B1145)&gt;1,_xlfn.CONCAT(A1145," (",M1145,")"),B1145)</f>
        <v>Xīchéng Jiēdào</v>
      </c>
      <c r="D1145" t="s">
        <v>2016</v>
      </c>
      <c r="E1145" t="s">
        <v>42</v>
      </c>
      <c r="F1145" t="str">
        <f>_xlfn.CONCAT(D1145,", ",H1145,", ",I1145,", ","云南省")</f>
        <v>西城街道, 麒麟区, 曲靖市, 云南省</v>
      </c>
      <c r="G1145">
        <v>47177</v>
      </c>
      <c r="H1145" t="s">
        <v>2866</v>
      </c>
      <c r="I1145" t="s">
        <v>2860</v>
      </c>
      <c r="J1145">
        <f>VLOOKUP(F1145,[1]!china_towns_second__2[[Column1]:[Y]],3,FALSE)</f>
        <v>25.534228911500399</v>
      </c>
      <c r="K1145">
        <f>VLOOKUP(F1145,[1]!china_towns_second__2[[Column1]:[Y]],2,FALSE)</f>
        <v>103.7207162</v>
      </c>
      <c r="L1145" t="s">
        <v>4697</v>
      </c>
      <c r="M1145" t="str">
        <f>VLOOKUP(H1145,CHOOSE({1,2},Table17[Native],Table17[Name]),2,0)</f>
        <v>Qílín Qū</v>
      </c>
      <c r="N1145" s="15" t="str">
        <f>VLOOKUP(I1145,CHOOSE({1,2},Table17[Native],Table17[Name]),2,0)</f>
        <v>Qŭjìng Shì</v>
      </c>
      <c r="O1145" s="15" t="str">
        <f t="shared" si="34"/>
        <v>Xicheng Jiedao (Qŭjìng Shì)</v>
      </c>
      <c r="P1145" s="15" t="str">
        <f t="shared" si="35"/>
        <v>Xicheng Jiedao (Qŭjìng Shì)</v>
      </c>
    </row>
    <row r="1146" spans="1:16" hidden="1" x14ac:dyDescent="0.25">
      <c r="A1146" t="s">
        <v>989</v>
      </c>
      <c r="B1146" t="str">
        <f>IF(COUNTIF(A:A,A1146)&gt;1,_xlfn.CONCAT(A1146," (",N1146,")"),A1146)</f>
        <v>Xīchéng Zhèn</v>
      </c>
      <c r="C1146" t="str">
        <f>IF(COUNTIF(B:B,B1146)&gt;1,_xlfn.CONCAT(A1146," (",M1146,")"),B1146)</f>
        <v>Xīchéng Zhèn</v>
      </c>
      <c r="D1146" t="s">
        <v>990</v>
      </c>
      <c r="E1146" t="s">
        <v>11</v>
      </c>
      <c r="F1146" t="str">
        <f>_xlfn.CONCAT(D1146,", ",H1146,", ",I1146,", ","云南省")</f>
        <v>锡城镇, 个旧市, 红河哈尼族彝族自治州, 云南省</v>
      </c>
      <c r="G1146">
        <v>29744</v>
      </c>
      <c r="H1146" t="s">
        <v>2793</v>
      </c>
      <c r="I1146" t="s">
        <v>2792</v>
      </c>
      <c r="J1146">
        <f>VLOOKUP(F1146,[1]!china_towns_second__2[[Column1]:[Y]],3,FALSE)</f>
        <v>23.3595335839134</v>
      </c>
      <c r="K1146">
        <f>VLOOKUP(F1146,[1]!china_towns_second__2[[Column1]:[Y]],2,FALSE)</f>
        <v>103.13636630000001</v>
      </c>
      <c r="L1146" t="s">
        <v>4698</v>
      </c>
      <c r="M1146" t="str">
        <f>VLOOKUP(H1146,CHOOSE({1,2},Table17[Native],Table17[Name]),2,0)</f>
        <v>Gèjiù Shì</v>
      </c>
      <c r="N1146" s="15" t="str">
        <f>VLOOKUP(I1146,CHOOSE({1,2},Table17[Native],Table17[Name]),2,0)</f>
        <v>Hónghé Hānízú Yízú Zìzhìzhōu</v>
      </c>
      <c r="O1146" s="15" t="str">
        <f t="shared" si="34"/>
        <v>Xicheng Zhen (Hónghé Hānízú Yízú Zìzhìzhōu)</v>
      </c>
      <c r="P1146" s="15" t="str">
        <f t="shared" si="35"/>
        <v>Xicheng Zhen (Hónghé Hānízú Yízú Zìzhìzhōu)</v>
      </c>
    </row>
    <row r="1147" spans="1:16" hidden="1" x14ac:dyDescent="0.25">
      <c r="A1147" t="s">
        <v>1409</v>
      </c>
      <c r="B1147" t="str">
        <f>IF(COUNTIF(A:A,A1147)&gt;1,_xlfn.CONCAT(A1147," (",N1147,")"),A1147)</f>
        <v>Xīchuān Xiāng</v>
      </c>
      <c r="C1147" t="str">
        <f>IF(COUNTIF(B:B,B1147)&gt;1,_xlfn.CONCAT(A1147," (",M1147,")"),B1147)</f>
        <v>Xīchuān Xiāng</v>
      </c>
      <c r="D1147" t="s">
        <v>1410</v>
      </c>
      <c r="E1147" t="s">
        <v>7</v>
      </c>
      <c r="F1147" t="str">
        <f>_xlfn.CONCAT(D1147,", ",H1147,", ",I1147,", ","云南省")</f>
        <v>西川乡, 宁蒗彝族自治县, 丽江市, 云南省</v>
      </c>
      <c r="G1147">
        <v>14928</v>
      </c>
      <c r="H1147" t="s">
        <v>2827</v>
      </c>
      <c r="I1147" t="s">
        <v>2823</v>
      </c>
      <c r="J1147" t="e">
        <f>VLOOKUP(F1147,[1]!china_towns_second__2[[Column1]:[Y]],3,FALSE)</f>
        <v>#N/A</v>
      </c>
      <c r="K1147" t="e">
        <f>VLOOKUP(F1147,[1]!china_towns_second__2[[Column1]:[Y]],2,FALSE)</f>
        <v>#N/A</v>
      </c>
      <c r="L1147" t="s">
        <v>4699</v>
      </c>
      <c r="M1147" t="str">
        <f>VLOOKUP(H1147,CHOOSE({1,2},Table17[Native],Table17[Name]),2,0)</f>
        <v>Nínglàng Yízú Zìzhìxiàn</v>
      </c>
      <c r="N1147" s="15" t="str">
        <f>VLOOKUP(I1147,CHOOSE({1,2},Table17[Native],Table17[Name]),2,0)</f>
        <v>Lìjiāng Shì</v>
      </c>
      <c r="O1147" s="15" t="str">
        <f t="shared" si="34"/>
        <v>Xichuan Xiang (Lìjiāng Shì)</v>
      </c>
      <c r="P1147" s="15" t="str">
        <f t="shared" si="35"/>
        <v>Xichuan Xiang (Lìjiāng Shì)</v>
      </c>
    </row>
    <row r="1148" spans="1:16" hidden="1" x14ac:dyDescent="0.25">
      <c r="A1148" t="s">
        <v>2311</v>
      </c>
      <c r="B1148" t="str">
        <f>IF(COUNTIF(A:A,A1148)&gt;1,_xlfn.CONCAT(A1148," (",N1148,")"),A1148)</f>
        <v>Xīdìng Hānízú Bùlǎngzú Xiāng</v>
      </c>
      <c r="C1148" t="str">
        <f>IF(COUNTIF(B:B,B1148)&gt;1,_xlfn.CONCAT(A1148," (",M1148,")"),B1148)</f>
        <v>Xīdìng Hānízú Bùlǎngzú Xiāng</v>
      </c>
      <c r="D1148" t="s">
        <v>2312</v>
      </c>
      <c r="E1148" t="s">
        <v>7</v>
      </c>
      <c r="F1148" t="str">
        <f>_xlfn.CONCAT(D1148,", ",H1148,", ",I1148,", ","云南省")</f>
        <v>西定哈尼族布朗族乡, 勐海县, 西双版纳傣族自治州, 云南省</v>
      </c>
      <c r="G1148">
        <v>23715</v>
      </c>
      <c r="H1148" t="s">
        <v>2885</v>
      </c>
      <c r="I1148" t="s">
        <v>2883</v>
      </c>
      <c r="J1148" t="e">
        <f>VLOOKUP(F1148,[1]!china_towns_second__2[[Column1]:[Y]],3,FALSE)</f>
        <v>#N/A</v>
      </c>
      <c r="K1148" t="e">
        <f>VLOOKUP(F1148,[1]!china_towns_second__2[[Column1]:[Y]],2,FALSE)</f>
        <v>#N/A</v>
      </c>
      <c r="L1148" t="s">
        <v>4700</v>
      </c>
      <c r="M1148" t="str">
        <f>VLOOKUP(H1148,CHOOSE({1,2},Table17[Native],Table17[Name]),2,0)</f>
        <v>Mĕnghăi Xiàn</v>
      </c>
      <c r="N1148" s="15" t="str">
        <f>VLOOKUP(I1148,CHOOSE({1,2},Table17[Native],Table17[Name]),2,0)</f>
        <v>Xīshuāngbănnà Dăizú Zìzhìzhōu</v>
      </c>
      <c r="O1148" s="15" t="str">
        <f t="shared" si="34"/>
        <v>Xiding Hanizu Bulangzu Xiang (Xīshuāngbănnà Dăizú Zìzhìzhōu)</v>
      </c>
      <c r="P1148" s="15" t="str">
        <f t="shared" si="35"/>
        <v>Xiding Hanizu Bulangzu Xiang (Xīshuāngbănnà Dăizú Zìzhìzhōu)</v>
      </c>
    </row>
    <row r="1149" spans="1:16" hidden="1" x14ac:dyDescent="0.25">
      <c r="A1149" t="s">
        <v>991</v>
      </c>
      <c r="B1149" t="str">
        <f>IF(COUNTIF(A:A,A1149)&gt;1,_xlfn.CONCAT(A1149," (",N1149,")"),A1149)</f>
        <v>Xī'èr Zhèn</v>
      </c>
      <c r="C1149" t="str">
        <f>IF(COUNTIF(B:B,B1149)&gt;1,_xlfn.CONCAT(A1149," (",M1149,")"),B1149)</f>
        <v>Xī'èr Zhèn</v>
      </c>
      <c r="D1149" t="s">
        <v>992</v>
      </c>
      <c r="E1149" t="s">
        <v>11</v>
      </c>
      <c r="F1149" t="str">
        <f>_xlfn.CONCAT(D1149,", ",H1149,", ",I1149,", ","云南省")</f>
        <v>西二镇, 弥勒市, 红河哈尼族彝族自治州, 云南省</v>
      </c>
      <c r="G1149">
        <v>40539</v>
      </c>
      <c r="H1149" t="s">
        <v>2802</v>
      </c>
      <c r="I1149" t="s">
        <v>2792</v>
      </c>
      <c r="J1149">
        <f>VLOOKUP(F1149,[1]!china_towns_second__2[[Column1]:[Y]],3,FALSE)</f>
        <v>24.403658500244099</v>
      </c>
      <c r="K1149">
        <f>VLOOKUP(F1149,[1]!china_towns_second__2[[Column1]:[Y]],2,FALSE)</f>
        <v>103.165493</v>
      </c>
      <c r="L1149" t="s">
        <v>4701</v>
      </c>
      <c r="M1149" t="str">
        <f>VLOOKUP(H1149,CHOOSE({1,2},Table17[Native],Table17[Name]),2,0)</f>
        <v>Mílè Shì</v>
      </c>
      <c r="N1149" s="15" t="str">
        <f>VLOOKUP(I1149,CHOOSE({1,2},Table17[Native],Table17[Name]),2,0)</f>
        <v>Hónghé Hānízú Yízú Zìzhìzhōu</v>
      </c>
      <c r="O1149" s="15" t="str">
        <f t="shared" si="34"/>
        <v>Xi'er Zhen (Hónghé Hānízú Yízú Zìzhìzhōu)</v>
      </c>
      <c r="P1149" s="15" t="str">
        <f t="shared" si="35"/>
        <v>Xi'er Zhen (Hónghé Hānízú Yízú Zìzhìzhōu)</v>
      </c>
    </row>
    <row r="1150" spans="1:16" hidden="1" x14ac:dyDescent="0.25">
      <c r="A1150" t="s">
        <v>2221</v>
      </c>
      <c r="B1150" t="str">
        <f>IF(COUNTIF(A:A,A1150)&gt;1,_xlfn.CONCAT(A1150," (",N1150,")"),A1150)</f>
        <v>Xĭgŭ Xiāng</v>
      </c>
      <c r="C1150" t="str">
        <f>IF(COUNTIF(B:B,B1150)&gt;1,_xlfn.CONCAT(A1150," (",M1150,")"),B1150)</f>
        <v>Xĭgŭ Xiāng</v>
      </c>
      <c r="D1150" t="s">
        <v>2222</v>
      </c>
      <c r="E1150" t="s">
        <v>7</v>
      </c>
      <c r="F1150" t="str">
        <f>_xlfn.CONCAT(D1150,", ",H1150,", ",I1150,", ","云南省")</f>
        <v>喜古乡, 文山市, 文山壮族苗族自治州, 云南省</v>
      </c>
      <c r="G1150">
        <v>9365</v>
      </c>
      <c r="H1150" t="s">
        <v>2878</v>
      </c>
      <c r="I1150" t="s">
        <v>2872</v>
      </c>
      <c r="J1150" t="e">
        <f>VLOOKUP(F1150,[1]!china_towns_second__2[[Column1]:[Y]],3,FALSE)</f>
        <v>#N/A</v>
      </c>
      <c r="K1150" t="e">
        <f>VLOOKUP(F1150,[1]!china_towns_second__2[[Column1]:[Y]],2,FALSE)</f>
        <v>#N/A</v>
      </c>
      <c r="L1150" t="s">
        <v>4702</v>
      </c>
      <c r="M1150" t="str">
        <f>VLOOKUP(H1150,CHOOSE({1,2},Table17[Native],Table17[Name]),2,0)</f>
        <v>Wénshān Shì</v>
      </c>
      <c r="N1150" s="15" t="str">
        <f>VLOOKUP(I1150,CHOOSE({1,2},Table17[Native],Table17[Name]),2,0)</f>
        <v>Wénshān Zhuàngzú Miáozú Zìzhìzhōu</v>
      </c>
      <c r="O1150" s="15" t="str">
        <f t="shared" si="34"/>
        <v>Xigu Xiang (Wénshān Zhuàngzú Miáozú Zìzhìzhōu)</v>
      </c>
      <c r="P1150" s="15" t="str">
        <f t="shared" si="35"/>
        <v>Xigu Xiang (Wénshān Zhuàngzú Miáozú Zìzhìzhōu)</v>
      </c>
    </row>
    <row r="1151" spans="1:16" hidden="1" x14ac:dyDescent="0.25">
      <c r="A1151" t="s">
        <v>1272</v>
      </c>
      <c r="B1151" t="str">
        <f>IF(COUNTIF(A:A,A1151)&gt;1,_xlfn.CONCAT(A1151," (",N1151,")"),A1151)</f>
        <v>Xījiēkŏu Zhèn</v>
      </c>
      <c r="C1151" t="str">
        <f>IF(COUNTIF(B:B,B1151)&gt;1,_xlfn.CONCAT(A1151," (",M1151,")"),B1151)</f>
        <v>Xījiēkŏu Zhèn</v>
      </c>
      <c r="D1151" t="s">
        <v>1273</v>
      </c>
      <c r="E1151" t="s">
        <v>11</v>
      </c>
      <c r="F1151" t="str">
        <f>_xlfn.CONCAT(D1151,", ",H1151,", ",I1151,", ","云南省")</f>
        <v>西街口镇, 石林彝族自治县, 昆明市, 云南省</v>
      </c>
      <c r="G1151">
        <v>18804</v>
      </c>
      <c r="H1151" t="s">
        <v>2816</v>
      </c>
      <c r="I1151" t="s">
        <v>2807</v>
      </c>
      <c r="J1151">
        <f>VLOOKUP(F1151,[1]!china_towns_second__2[[Column1]:[Y]],3,FALSE)</f>
        <v>24.810517738704299</v>
      </c>
      <c r="K1151">
        <f>VLOOKUP(F1151,[1]!china_towns_second__2[[Column1]:[Y]],2,FALSE)</f>
        <v>103.5518174</v>
      </c>
      <c r="L1151" t="s">
        <v>4703</v>
      </c>
      <c r="M1151" t="str">
        <f>VLOOKUP(H1151,CHOOSE({1,2},Table17[Native],Table17[Name]),2,0)</f>
        <v>Shílín Yízú Zìzhìxiàn</v>
      </c>
      <c r="N1151" s="15" t="str">
        <f>VLOOKUP(I1151,CHOOSE({1,2},Table17[Native],Table17[Name]),2,0)</f>
        <v>Kūnmíng Shì</v>
      </c>
      <c r="O1151" s="15" t="str">
        <f t="shared" si="34"/>
        <v>Xijiekou Zhen (Kūnmíng Shì)</v>
      </c>
      <c r="P1151" s="15" t="str">
        <f t="shared" si="35"/>
        <v>Xijiekou Zhen (Kūnmíng Shì)</v>
      </c>
    </row>
    <row r="1152" spans="1:16" hidden="1" x14ac:dyDescent="0.25">
      <c r="A1152" t="s">
        <v>2695</v>
      </c>
      <c r="B1152" t="str">
        <f>IF(COUNTIF(A:A,A1152)&gt;1,_xlfn.CONCAT(A1152," (",N1152,")"),A1152)</f>
        <v>Xīluòdù Zhèn</v>
      </c>
      <c r="C1152" t="str">
        <f>IF(COUNTIF(B:B,B1152)&gt;1,_xlfn.CONCAT(A1152," (",M1152,")"),B1152)</f>
        <v>Xīluòdù Zhèn</v>
      </c>
      <c r="D1152" t="s">
        <v>2696</v>
      </c>
      <c r="E1152" t="s">
        <v>11</v>
      </c>
      <c r="F1152" t="str">
        <f>_xlfn.CONCAT(D1152,", ",H1152,", ",I1152,", ","云南省")</f>
        <v>溪洛渡镇, 永善县, 昭通市, 云南省</v>
      </c>
      <c r="G1152">
        <v>95439</v>
      </c>
      <c r="H1152" t="s">
        <v>2908</v>
      </c>
      <c r="I1152" t="s">
        <v>2899</v>
      </c>
      <c r="J1152">
        <f>VLOOKUP(F1152,[1]!china_towns_second__2[[Column1]:[Y]],3,FALSE)</f>
        <v>28.175390868074899</v>
      </c>
      <c r="K1152">
        <f>VLOOKUP(F1152,[1]!china_towns_second__2[[Column1]:[Y]],2,FALSE)</f>
        <v>103.6739508</v>
      </c>
      <c r="L1152" t="s">
        <v>4704</v>
      </c>
      <c r="M1152" t="str">
        <f>VLOOKUP(H1152,CHOOSE({1,2},Table17[Native],Table17[Name]),2,0)</f>
        <v>Yŏngshàn Xiàn</v>
      </c>
      <c r="N1152" s="15" t="str">
        <f>VLOOKUP(I1152,CHOOSE({1,2},Table17[Native],Table17[Name]),2,0)</f>
        <v>Zhāotōng Shì</v>
      </c>
      <c r="O1152" s="15" t="str">
        <f t="shared" si="34"/>
        <v>Xiluodu Zhen (Zhāotōng Shì)</v>
      </c>
      <c r="P1152" s="15" t="str">
        <f t="shared" si="35"/>
        <v>Xiluodu Zhen (Zhāotōng Shì)</v>
      </c>
    </row>
    <row r="1153" spans="1:16" hidden="1" x14ac:dyDescent="0.25">
      <c r="A1153" t="s">
        <v>687</v>
      </c>
      <c r="B1153" t="str">
        <f>IF(COUNTIF(A:A,A1153)&gt;1,_xlfn.CONCAT(A1153," (",N1153,")"),A1153)</f>
        <v>Xīmă Zhèn</v>
      </c>
      <c r="C1153" t="str">
        <f>IF(COUNTIF(B:B,B1153)&gt;1,_xlfn.CONCAT(A1153," (",M1153,")"),B1153)</f>
        <v>Xīmă Zhèn</v>
      </c>
      <c r="D1153" t="s">
        <v>688</v>
      </c>
      <c r="E1153" t="s">
        <v>11</v>
      </c>
      <c r="F1153" t="str">
        <f>_xlfn.CONCAT(D1153,", ",H1153,", ",I1153,", ","云南省")</f>
        <v>昔马镇, 盈江县, 德宏傣族景颇族自治州, 云南省</v>
      </c>
      <c r="G1153">
        <v>11740</v>
      </c>
      <c r="H1153" t="s">
        <v>2784</v>
      </c>
      <c r="I1153" t="s">
        <v>2779</v>
      </c>
      <c r="J1153">
        <f>VLOOKUP(F1153,[1]!china_towns_second__2[[Column1]:[Y]],3,FALSE)</f>
        <v>24.7679078285556</v>
      </c>
      <c r="K1153">
        <f>VLOOKUP(F1153,[1]!china_towns_second__2[[Column1]:[Y]],2,FALSE)</f>
        <v>97.711915399999995</v>
      </c>
      <c r="L1153" t="s">
        <v>4705</v>
      </c>
      <c r="M1153" t="str">
        <f>VLOOKUP(H1153,CHOOSE({1,2},Table17[Native],Table17[Name]),2,0)</f>
        <v>Yíngjiāng Xiàn</v>
      </c>
      <c r="N1153" s="15" t="str">
        <f>VLOOKUP(I1153,CHOOSE({1,2},Table17[Native],Table17[Name]),2,0)</f>
        <v>Déhóng Dăizú Jĭngpōzú Zìzhìzhōu</v>
      </c>
      <c r="O1153" s="15" t="str">
        <f t="shared" si="34"/>
        <v>Xima Zhen (Déhóng Dăizú Jĭngpōzú Zìzhìzhōu)</v>
      </c>
      <c r="P1153" s="15" t="str">
        <f t="shared" si="35"/>
        <v>Xima Zhen (Déhóng Dăizú Jĭngpōzú Zìzhìzhōu)</v>
      </c>
    </row>
    <row r="1154" spans="1:16" hidden="1" x14ac:dyDescent="0.25">
      <c r="A1154" t="s">
        <v>1819</v>
      </c>
      <c r="B1154" t="str">
        <f>IF(COUNTIF(A:A,A1154)&gt;1,_xlfn.CONCAT(A1154," (",N1154,")"),A1154)</f>
        <v>Xīn'ān Zhèn</v>
      </c>
      <c r="C1154" t="str">
        <f>IF(COUNTIF(B:B,B1154)&gt;1,_xlfn.CONCAT(A1154," (",M1154,")"),B1154)</f>
        <v>Xīn'ān Zhèn</v>
      </c>
      <c r="D1154" t="s">
        <v>1820</v>
      </c>
      <c r="E1154" t="s">
        <v>11</v>
      </c>
      <c r="F1154" t="str">
        <f>_xlfn.CONCAT(D1154,", ",H1154,", ",I1154,", ","云南省")</f>
        <v>新安镇, 墨江哈尼族自治县, 普洱市, 云南省</v>
      </c>
      <c r="G1154">
        <v>18026</v>
      </c>
      <c r="H1154" t="s">
        <v>2854</v>
      </c>
      <c r="I1154" t="s">
        <v>2848</v>
      </c>
      <c r="J1154">
        <f>VLOOKUP(F1154,[1]!china_towns_second__2[[Column1]:[Y]],3,FALSE)</f>
        <v>23.564857875744899</v>
      </c>
      <c r="K1154">
        <f>VLOOKUP(F1154,[1]!china_towns_second__2[[Column1]:[Y]],2,FALSE)</f>
        <v>101.53222169999999</v>
      </c>
      <c r="L1154" t="s">
        <v>4706</v>
      </c>
      <c r="M1154" t="str">
        <f>VLOOKUP(H1154,CHOOSE({1,2},Table17[Native],Table17[Name]),2,0)</f>
        <v>Mòjiāng Hānízú Zìzhìxiàn</v>
      </c>
      <c r="N1154" s="15" t="str">
        <f>VLOOKUP(I1154,CHOOSE({1,2},Table17[Native],Table17[Name]),2,0)</f>
        <v>Pŭ'ĕr Shì</v>
      </c>
      <c r="O1154" s="15" t="str">
        <f t="shared" ref="O1154:O1217" si="36">_xlfn.CONCAT(L1154," (",N1154,")")</f>
        <v>Xin'an Zhen (Pŭ'ĕr Shì)</v>
      </c>
      <c r="P1154" s="15" t="str">
        <f t="shared" ref="P1154:P1217" si="37">IF(COUNTIF(O:O,O1154)&gt;1,_xlfn.CONCAT(L1154," (",M1154,")"),O1154)</f>
        <v>Xin'an Zhen (Pŭ'ĕr Shì)</v>
      </c>
    </row>
    <row r="1155" spans="1:16" hidden="1" x14ac:dyDescent="0.25">
      <c r="A1155" t="s">
        <v>993</v>
      </c>
      <c r="B1155" t="str">
        <f>IF(COUNTIF(A:A,A1155)&gt;1,_xlfn.CONCAT(A1155," (",N1155,")"),A1155)</f>
        <v>Xīn'ānsuŏ Zhèn</v>
      </c>
      <c r="C1155" t="str">
        <f>IF(COUNTIF(B:B,B1155)&gt;1,_xlfn.CONCAT(A1155," (",M1155,")"),B1155)</f>
        <v>Xīn'ānsuŏ Zhèn</v>
      </c>
      <c r="D1155" t="s">
        <v>994</v>
      </c>
      <c r="E1155" t="s">
        <v>11</v>
      </c>
      <c r="F1155" t="str">
        <f>_xlfn.CONCAT(D1155,", ",H1155,", ",I1155,", ","云南省")</f>
        <v>新安所镇, 蒙自市, 红河哈尼族彝族自治州, 云南省</v>
      </c>
      <c r="G1155">
        <v>43808</v>
      </c>
      <c r="H1155" t="s">
        <v>2801</v>
      </c>
      <c r="I1155" t="s">
        <v>2792</v>
      </c>
      <c r="J1155">
        <f>VLOOKUP(F1155,[1]!china_towns_second__2[[Column1]:[Y]],3,FALSE)</f>
        <v>23.306692889175299</v>
      </c>
      <c r="K1155">
        <f>VLOOKUP(F1155,[1]!china_towns_second__2[[Column1]:[Y]],2,FALSE)</f>
        <v>103.4555537</v>
      </c>
      <c r="L1155" t="s">
        <v>4707</v>
      </c>
      <c r="M1155" t="str">
        <f>VLOOKUP(H1155,CHOOSE({1,2},Table17[Native],Table17[Name]),2,0)</f>
        <v>Mĕngzì Shì</v>
      </c>
      <c r="N1155" s="15" t="str">
        <f>VLOOKUP(I1155,CHOOSE({1,2},Table17[Native],Table17[Name]),2,0)</f>
        <v>Hónghé Hānízú Yízú Zìzhìzhōu</v>
      </c>
      <c r="O1155" s="15" t="str">
        <f t="shared" si="36"/>
        <v>Xin'ansuo Zhen (Hónghé Hānízú Yízú Zìzhìzhōu)</v>
      </c>
      <c r="P1155" s="15" t="str">
        <f t="shared" si="37"/>
        <v>Xin'ansuo Zhen (Hónghé Hānízú Yízú Zìzhìzhōu)</v>
      </c>
    </row>
    <row r="1156" spans="1:16" hidden="1" x14ac:dyDescent="0.25">
      <c r="A1156" t="s">
        <v>1821</v>
      </c>
      <c r="B1156" t="str">
        <f>IF(COUNTIF(A:A,A1156)&gt;1,_xlfn.CONCAT(A1156," (",N1156,")"),A1156)</f>
        <v>Xīnchăng Zhèn</v>
      </c>
      <c r="C1156" t="str">
        <f>IF(COUNTIF(B:B,B1156)&gt;1,_xlfn.CONCAT(A1156," (",M1156,")"),B1156)</f>
        <v>Xīnchăng Zhèn</v>
      </c>
      <c r="D1156" t="s">
        <v>1822</v>
      </c>
      <c r="E1156" t="s">
        <v>11</v>
      </c>
      <c r="F1156" t="str">
        <f>_xlfn.CONCAT(D1156,", ",H1156,", ",I1156,", ","云南省")</f>
        <v>新厂镇, 西盟佤族自治县, 普洱市, 云南省</v>
      </c>
      <c r="G1156">
        <v>11789</v>
      </c>
      <c r="H1156" t="s">
        <v>2857</v>
      </c>
      <c r="I1156" t="s">
        <v>2848</v>
      </c>
      <c r="J1156">
        <f>VLOOKUP(F1156,[1]!china_towns_second__2[[Column1]:[Y]],3,FALSE)</f>
        <v>22.8603977036353</v>
      </c>
      <c r="K1156">
        <f>VLOOKUP(F1156,[1]!china_towns_second__2[[Column1]:[Y]],2,FALSE)</f>
        <v>99.485118589999999</v>
      </c>
      <c r="L1156" t="s">
        <v>4708</v>
      </c>
      <c r="M1156" t="str">
        <f>VLOOKUP(H1156,CHOOSE({1,2},Table17[Native],Table17[Name]),2,0)</f>
        <v>Xīméng Wăzú Zìzhìxiàn</v>
      </c>
      <c r="N1156" s="15" t="str">
        <f>VLOOKUP(I1156,CHOOSE({1,2},Table17[Native],Table17[Name]),2,0)</f>
        <v>Pŭ'ĕr Shì</v>
      </c>
      <c r="O1156" s="15" t="str">
        <f t="shared" si="36"/>
        <v>Xinchang Zhen (Pŭ'ĕr Shì)</v>
      </c>
      <c r="P1156" s="15" t="str">
        <f t="shared" si="37"/>
        <v>Xinchang Zhen (Pŭ'ĕr Shì)</v>
      </c>
    </row>
    <row r="1157" spans="1:16" hidden="1" x14ac:dyDescent="0.25">
      <c r="A1157" t="s">
        <v>689</v>
      </c>
      <c r="B1157" t="str">
        <f>IF(COUNTIF(A:A,A1157)&gt;1,_xlfn.CONCAT(A1157," (",N1157,")"),A1157)</f>
        <v>Xīnchéng Xiāng (Déhóng Dăizú Jĭngpōzú Zìzhìzhōu)</v>
      </c>
      <c r="C1157" t="str">
        <f>IF(COUNTIF(B:B,B1157)&gt;1,_xlfn.CONCAT(A1157," (",M1157,")"),B1157)</f>
        <v>Xīnchéng Xiāng (Déhóng Dăizú Jĭngpōzú Zìzhìzhōu)</v>
      </c>
      <c r="D1157" t="s">
        <v>690</v>
      </c>
      <c r="E1157" t="s">
        <v>7</v>
      </c>
      <c r="F1157" t="str">
        <f>_xlfn.CONCAT(D1157,", ",H1157,", ",I1157,", ","云南省")</f>
        <v>新城乡, 盈江县, 德宏傣族景颇族自治州, 云南省</v>
      </c>
      <c r="G1157">
        <v>18142</v>
      </c>
      <c r="H1157" t="s">
        <v>2784</v>
      </c>
      <c r="I1157" t="s">
        <v>2779</v>
      </c>
      <c r="J1157" t="e">
        <f>VLOOKUP(F1157,[1]!china_towns_second__2[[Column1]:[Y]],3,FALSE)</f>
        <v>#N/A</v>
      </c>
      <c r="K1157" t="e">
        <f>VLOOKUP(F1157,[1]!china_towns_second__2[[Column1]:[Y]],2,FALSE)</f>
        <v>#N/A</v>
      </c>
      <c r="L1157" t="s">
        <v>4709</v>
      </c>
      <c r="M1157" t="str">
        <f>VLOOKUP(H1157,CHOOSE({1,2},Table17[Native],Table17[Name]),2,0)</f>
        <v>Yíngjiāng Xiàn</v>
      </c>
      <c r="N1157" s="15" t="str">
        <f>VLOOKUP(I1157,CHOOSE({1,2},Table17[Native],Table17[Name]),2,0)</f>
        <v>Déhóng Dăizú Jĭngpōzú Zìzhìzhōu</v>
      </c>
      <c r="O1157" s="15" t="str">
        <f t="shared" si="36"/>
        <v>Xincheng Xiang (Dehong Daizu Jingpozu Zizhizhou) (Déhóng Dăizú Jĭngpōzú Zìzhìzhōu)</v>
      </c>
      <c r="P1157" s="15" t="str">
        <f t="shared" si="37"/>
        <v>Xincheng Xiang (Dehong Daizu Jingpozu Zizhizhou) (Déhóng Dăizú Jĭngpōzú Zìzhìzhōu)</v>
      </c>
    </row>
    <row r="1158" spans="1:16" hidden="1" x14ac:dyDescent="0.25">
      <c r="A1158" t="s">
        <v>689</v>
      </c>
      <c r="B1158" t="str">
        <f>IF(COUNTIF(A:A,A1158)&gt;1,_xlfn.CONCAT(A1158," (",N1158,")"),A1158)</f>
        <v>Xīnchéng Xiāng (Hónghé Hānízú Yízú Zìzhìzhōu)</v>
      </c>
      <c r="C1158" t="str">
        <f>IF(COUNTIF(B:B,B1158)&gt;1,_xlfn.CONCAT(A1158," (",M1158,")"),B1158)</f>
        <v>Xīnchéng Xiāng (Hónghé Hānízú Yízú Zìzhìzhōu)</v>
      </c>
      <c r="D1158" t="s">
        <v>690</v>
      </c>
      <c r="E1158" t="s">
        <v>7</v>
      </c>
      <c r="F1158" t="str">
        <f>_xlfn.CONCAT(D1158,", ",H1158,", ",I1158,", ","云南省")</f>
        <v>新城乡, 石屏县, 红河哈尼族彝族自治州, 云南省</v>
      </c>
      <c r="G1158">
        <v>10225</v>
      </c>
      <c r="H1158" t="s">
        <v>2804</v>
      </c>
      <c r="I1158" t="s">
        <v>2792</v>
      </c>
      <c r="J1158" t="e">
        <f>VLOOKUP(F1158,[1]!china_towns_second__2[[Column1]:[Y]],3,FALSE)</f>
        <v>#N/A</v>
      </c>
      <c r="K1158" t="e">
        <f>VLOOKUP(F1158,[1]!china_towns_second__2[[Column1]:[Y]],2,FALSE)</f>
        <v>#N/A</v>
      </c>
      <c r="L1158" t="s">
        <v>4710</v>
      </c>
      <c r="M1158" t="str">
        <f>VLOOKUP(H1158,CHOOSE({1,2},Table17[Native],Table17[Name]),2,0)</f>
        <v>Shípíng Xiàn</v>
      </c>
      <c r="N1158" s="15" t="str">
        <f>VLOOKUP(I1158,CHOOSE({1,2},Table17[Native],Table17[Name]),2,0)</f>
        <v>Hónghé Hānízú Yízú Zìzhìzhōu</v>
      </c>
      <c r="O1158" s="15" t="str">
        <f t="shared" si="36"/>
        <v>Xincheng Xiang (Honghe Hanizu Yizu Zizhizhou) (Hónghé Hānízú Yízú Zìzhìzhōu)</v>
      </c>
      <c r="P1158" s="15" t="str">
        <f t="shared" si="37"/>
        <v>Xincheng Xiang (Honghe Hanizu Yizu Zizhizhou) (Hónghé Hānízú Yízú Zìzhìzhōu)</v>
      </c>
    </row>
    <row r="1159" spans="1:16" hidden="1" x14ac:dyDescent="0.25">
      <c r="A1159" t="s">
        <v>329</v>
      </c>
      <c r="B1159" t="str">
        <f>IF(COUNTIF(A:A,A1159)&gt;1,_xlfn.CONCAT(A1159," (",N1159,")"),A1159)</f>
        <v>Xīncūn Zhèn</v>
      </c>
      <c r="C1159" t="str">
        <f>IF(COUNTIF(B:B,B1159)&gt;1,_xlfn.CONCAT(A1159," (",M1159,")"),B1159)</f>
        <v>Xīncūn Zhèn</v>
      </c>
      <c r="D1159" t="s">
        <v>330</v>
      </c>
      <c r="E1159" t="s">
        <v>11</v>
      </c>
      <c r="F1159" t="str">
        <f>_xlfn.CONCAT(D1159,", ",H1159,", ",I1159,", ","云南省")</f>
        <v>新村镇, 楚雄市, 楚雄彝族自治州, 云南省</v>
      </c>
      <c r="G1159">
        <v>14270</v>
      </c>
      <c r="H1159" t="s">
        <v>2751</v>
      </c>
      <c r="I1159" t="s">
        <v>2750</v>
      </c>
      <c r="J1159">
        <f>VLOOKUP(F1159,[1]!china_towns_second__2[[Column1]:[Y]],3,FALSE)</f>
        <v>24.649074510988701</v>
      </c>
      <c r="K1159">
        <f>VLOOKUP(F1159,[1]!china_towns_second__2[[Column1]:[Y]],2,FALSE)</f>
        <v>101.2102288</v>
      </c>
      <c r="L1159" t="s">
        <v>4711</v>
      </c>
      <c r="M1159" t="str">
        <f>VLOOKUP(H1159,CHOOSE({1,2},Table17[Native],Table17[Name]),2,0)</f>
        <v>Chŭxióng Shì</v>
      </c>
      <c r="N1159" s="15" t="str">
        <f>VLOOKUP(I1159,CHOOSE({1,2},Table17[Native],Table17[Name]),2,0)</f>
        <v>Chŭxióng Yízú Zìzhìzhōu</v>
      </c>
      <c r="O1159" s="15" t="str">
        <f t="shared" si="36"/>
        <v>Xincun Zhen (Chŭxióng Yízú Zìzhìzhōu)</v>
      </c>
      <c r="P1159" s="15" t="str">
        <f t="shared" si="37"/>
        <v>Xincun Zhen (Chŭxióng Yízú Zìzhìzhōu)</v>
      </c>
    </row>
    <row r="1160" spans="1:16" hidden="1" x14ac:dyDescent="0.25">
      <c r="A1160" t="s">
        <v>2223</v>
      </c>
      <c r="B1160" t="str">
        <f>IF(COUNTIF(A:A,A1160)&gt;1,_xlfn.CONCAT(A1160," (",N1160,")"),A1160)</f>
        <v>Xīndiàn Yízú Xiāng</v>
      </c>
      <c r="C1160" t="str">
        <f>IF(COUNTIF(B:B,B1160)&gt;1,_xlfn.CONCAT(A1160," (",M1160,")"),B1160)</f>
        <v>Xīndiàn Yízú Xiāng</v>
      </c>
      <c r="D1160" t="s">
        <v>2224</v>
      </c>
      <c r="E1160" t="s">
        <v>7</v>
      </c>
      <c r="F1160" t="str">
        <f>_xlfn.CONCAT(D1160,", ",H1160,", ",I1160,", ","云南省")</f>
        <v>新店彝族乡, 丘北县, 文山壮族苗族自治州, 云南省</v>
      </c>
      <c r="G1160">
        <v>19208</v>
      </c>
      <c r="H1160" t="s">
        <v>2877</v>
      </c>
      <c r="I1160" t="s">
        <v>2872</v>
      </c>
      <c r="J1160" t="e">
        <f>VLOOKUP(F1160,[1]!china_towns_second__2[[Column1]:[Y]],3,FALSE)</f>
        <v>#N/A</v>
      </c>
      <c r="K1160" t="e">
        <f>VLOOKUP(F1160,[1]!china_towns_second__2[[Column1]:[Y]],2,FALSE)</f>
        <v>#N/A</v>
      </c>
      <c r="L1160" t="s">
        <v>4712</v>
      </c>
      <c r="M1160" t="str">
        <f>VLOOKUP(H1160,CHOOSE({1,2},Table17[Native],Table17[Name]),2,0)</f>
        <v>Qiūbĕi Xiàn</v>
      </c>
      <c r="N1160" s="15" t="str">
        <f>VLOOKUP(I1160,CHOOSE({1,2},Table17[Native],Table17[Name]),2,0)</f>
        <v>Wénshān Zhuàngzú Miáozú Zìzhìzhōu</v>
      </c>
      <c r="O1160" s="15" t="str">
        <f t="shared" si="36"/>
        <v>Xindian Yizu Xiang (Wénshān Zhuàngzú Miáozú Zìzhìzhōu)</v>
      </c>
      <c r="P1160" s="15" t="str">
        <f t="shared" si="37"/>
        <v>Xindian Yizu Xiang (Wénshān Zhuàngzú Miáozú Zìzhìzhōu)</v>
      </c>
    </row>
    <row r="1161" spans="1:16" hidden="1" x14ac:dyDescent="0.25">
      <c r="A1161" t="s">
        <v>2697</v>
      </c>
      <c r="B1161" t="str">
        <f>IF(COUNTIF(A:A,A1161)&gt;1,_xlfn.CONCAT(A1161," (",N1161,")"),A1161)</f>
        <v>Xīndiàn Zhèn</v>
      </c>
      <c r="C1161" t="str">
        <f>IF(COUNTIF(B:B,B1161)&gt;1,_xlfn.CONCAT(A1161," (",M1161,")"),B1161)</f>
        <v>Xīndiàn Zhèn</v>
      </c>
      <c r="D1161" t="s">
        <v>2698</v>
      </c>
      <c r="E1161" t="s">
        <v>11</v>
      </c>
      <c r="F1161" t="str">
        <f>_xlfn.CONCAT(D1161,", ",H1161,", ",I1161,", ","云南省")</f>
        <v>新店镇, 巧家县, 昭通市, 云南省</v>
      </c>
      <c r="G1161">
        <v>29297</v>
      </c>
      <c r="H1161" t="s">
        <v>2902</v>
      </c>
      <c r="I1161" t="s">
        <v>2899</v>
      </c>
      <c r="J1161">
        <f>VLOOKUP(F1161,[1]!china_towns_second__2[[Column1]:[Y]],3,FALSE)</f>
        <v>27.086642662443101</v>
      </c>
      <c r="K1161">
        <f>VLOOKUP(F1161,[1]!china_towns_second__2[[Column1]:[Y]],2,FALSE)</f>
        <v>103.2261738</v>
      </c>
      <c r="L1161" t="s">
        <v>4713</v>
      </c>
      <c r="M1161" t="str">
        <f>VLOOKUP(H1161,CHOOSE({1,2},Table17[Native],Table17[Name]),2,0)</f>
        <v>Qiăojiā Xiàn</v>
      </c>
      <c r="N1161" s="15" t="str">
        <f>VLOOKUP(I1161,CHOOSE({1,2},Table17[Native],Table17[Name]),2,0)</f>
        <v>Zhāotōng Shì</v>
      </c>
      <c r="O1161" s="15" t="str">
        <f t="shared" si="36"/>
        <v>Xindian Zhen (Zhāotōng Shì)</v>
      </c>
      <c r="P1161" s="15" t="str">
        <f t="shared" si="37"/>
        <v>Xindian Zhen (Zhāotōng Shì)</v>
      </c>
    </row>
    <row r="1162" spans="1:16" hidden="1" x14ac:dyDescent="0.25">
      <c r="A1162" t="s">
        <v>1823</v>
      </c>
      <c r="B1162" t="str">
        <f>IF(COUNTIF(A:A,A1162)&gt;1,_xlfn.CONCAT(A1162," (",N1162,")"),A1162)</f>
        <v>Xīnfŭ Zhèn</v>
      </c>
      <c r="C1162" t="str">
        <f>IF(COUNTIF(B:B,B1162)&gt;1,_xlfn.CONCAT(A1162," (",M1162,")"),B1162)</f>
        <v>Xīnfŭ Zhèn</v>
      </c>
      <c r="D1162" t="s">
        <v>1824</v>
      </c>
      <c r="E1162" t="s">
        <v>11</v>
      </c>
      <c r="F1162" t="str">
        <f>_xlfn.CONCAT(D1162,", ",H1162,", ",I1162,", ","云南省")</f>
        <v>新抚镇, 墨江哈尼族自治县, 普洱市, 云南省</v>
      </c>
      <c r="G1162">
        <v>19379</v>
      </c>
      <c r="H1162" t="s">
        <v>2854</v>
      </c>
      <c r="I1162" t="s">
        <v>2848</v>
      </c>
      <c r="J1162">
        <f>VLOOKUP(F1162,[1]!china_towns_second__2[[Column1]:[Y]],3,FALSE)</f>
        <v>23.6578107870425</v>
      </c>
      <c r="K1162">
        <f>VLOOKUP(F1162,[1]!china_towns_second__2[[Column1]:[Y]],2,FALSE)</f>
        <v>101.320263</v>
      </c>
      <c r="L1162" t="s">
        <v>4714</v>
      </c>
      <c r="M1162" t="str">
        <f>VLOOKUP(H1162,CHOOSE({1,2},Table17[Native],Table17[Name]),2,0)</f>
        <v>Mòjiāng Hānízú Zìzhìxiàn</v>
      </c>
      <c r="N1162" s="15" t="str">
        <f>VLOOKUP(I1162,CHOOSE({1,2},Table17[Native],Table17[Name]),2,0)</f>
        <v>Pŭ'ĕr Shì</v>
      </c>
      <c r="O1162" s="15" t="str">
        <f t="shared" si="36"/>
        <v>Xinfu Zhen (Pŭ'ĕr Shì)</v>
      </c>
      <c r="P1162" s="15" t="str">
        <f t="shared" si="37"/>
        <v>Xinfu Zhen (Pŭ'ĕr Shì)</v>
      </c>
    </row>
    <row r="1163" spans="1:16" hidden="1" x14ac:dyDescent="0.25">
      <c r="A1163" t="s">
        <v>1571</v>
      </c>
      <c r="B1163" t="str">
        <f>IF(COUNTIF(A:A,A1163)&gt;1,_xlfn.CONCAT(A1163," (",N1163,")"),A1163)</f>
        <v>Xìngfú Zhèn</v>
      </c>
      <c r="C1163" t="str">
        <f>IF(COUNTIF(B:B,B1163)&gt;1,_xlfn.CONCAT(A1163," (",M1163,")"),B1163)</f>
        <v>Xìngfú Zhèn</v>
      </c>
      <c r="D1163" t="s">
        <v>1572</v>
      </c>
      <c r="E1163" t="s">
        <v>11</v>
      </c>
      <c r="F1163" t="str">
        <f>_xlfn.CONCAT(D1163,", ",H1163,", ",I1163,", ","云南省")</f>
        <v>幸福镇, 云县, 临沧市, 云南省</v>
      </c>
      <c r="G1163">
        <v>47479</v>
      </c>
      <c r="H1163" t="s">
        <v>2838</v>
      </c>
      <c r="I1163" t="s">
        <v>2831</v>
      </c>
      <c r="J1163">
        <f>VLOOKUP(F1163,[1]!china_towns_second__2[[Column1]:[Y]],3,FALSE)</f>
        <v>24.140251914703001</v>
      </c>
      <c r="K1163">
        <f>VLOOKUP(F1163,[1]!china_towns_second__2[[Column1]:[Y]],2,FALSE)</f>
        <v>99.899539860000004</v>
      </c>
      <c r="L1163" t="s">
        <v>4715</v>
      </c>
      <c r="M1163" t="str">
        <f>VLOOKUP(H1163,CHOOSE({1,2},Table17[Native],Table17[Name]),2,0)</f>
        <v>Yún Xiàn</v>
      </c>
      <c r="N1163" s="15" t="str">
        <f>VLOOKUP(I1163,CHOOSE({1,2},Table17[Native],Table17[Name]),2,0)</f>
        <v>Líncāng Shì</v>
      </c>
      <c r="O1163" s="15" t="str">
        <f t="shared" si="36"/>
        <v>Xingfu Zhen (Líncāng Shì)</v>
      </c>
      <c r="P1163" s="15" t="str">
        <f t="shared" si="37"/>
        <v>Xingfu Zhen (Líncāng Shì)</v>
      </c>
    </row>
    <row r="1164" spans="1:16" hidden="1" x14ac:dyDescent="0.25">
      <c r="A1164" t="s">
        <v>2225</v>
      </c>
      <c r="B1164" t="str">
        <f>IF(COUNTIF(A:A,A1164)&gt;1,_xlfn.CONCAT(A1164," (",N1164,")"),A1164)</f>
        <v>Xīngjiē Zhèn</v>
      </c>
      <c r="C1164" t="str">
        <f>IF(COUNTIF(B:B,B1164)&gt;1,_xlfn.CONCAT(A1164," (",M1164,")"),B1164)</f>
        <v>Xīngjiē Zhèn</v>
      </c>
      <c r="D1164" t="s">
        <v>2226</v>
      </c>
      <c r="E1164" t="s">
        <v>11</v>
      </c>
      <c r="F1164" t="str">
        <f>_xlfn.CONCAT(D1164,", ",H1164,", ",I1164,", ","云南省")</f>
        <v>兴街镇, 西畴县, 文山壮族苗族自治州, 云南省</v>
      </c>
      <c r="G1164">
        <v>51005</v>
      </c>
      <c r="H1164" t="s">
        <v>2879</v>
      </c>
      <c r="I1164" t="s">
        <v>2872</v>
      </c>
      <c r="J1164">
        <f>VLOOKUP(F1164,[1]!china_towns_second__2[[Column1]:[Y]],3,FALSE)</f>
        <v>23.264392936322601</v>
      </c>
      <c r="K1164">
        <f>VLOOKUP(F1164,[1]!china_towns_second__2[[Column1]:[Y]],2,FALSE)</f>
        <v>104.6080266</v>
      </c>
      <c r="L1164" t="s">
        <v>4716</v>
      </c>
      <c r="M1164" t="str">
        <f>VLOOKUP(H1164,CHOOSE({1,2},Table17[Native],Table17[Name]),2,0)</f>
        <v>Xīchóu Xiàn</v>
      </c>
      <c r="N1164" s="15" t="str">
        <f>VLOOKUP(I1164,CHOOSE({1,2},Table17[Native],Table17[Name]),2,0)</f>
        <v>Wénshān Zhuàngzú Miáozú Zìzhìzhōu</v>
      </c>
      <c r="O1164" s="15" t="str">
        <f t="shared" si="36"/>
        <v>Xingjie Zhen (Wénshān Zhuàngzú Miáozú Zìzhìzhōu)</v>
      </c>
      <c r="P1164" s="15" t="str">
        <f t="shared" si="37"/>
        <v>Xingjie Zhen (Wénshān Zhuàngzú Miáozú Zìzhìzhōu)</v>
      </c>
    </row>
    <row r="1165" spans="1:16" hidden="1" x14ac:dyDescent="0.25">
      <c r="A1165" t="s">
        <v>2699</v>
      </c>
      <c r="B1165" t="str">
        <f>IF(COUNTIF(A:A,A1165)&gt;1,_xlfn.CONCAT(A1165," (",N1165,")"),A1165)</f>
        <v>Xīnglóng Xiāng</v>
      </c>
      <c r="C1165" t="str">
        <f>IF(COUNTIF(B:B,B1165)&gt;1,_xlfn.CONCAT(A1165," (",M1165,")"),B1165)</f>
        <v>Xīnglóng Xiāng</v>
      </c>
      <c r="D1165" t="s">
        <v>2700</v>
      </c>
      <c r="E1165" t="s">
        <v>7</v>
      </c>
      <c r="F1165" t="str">
        <f>_xlfn.CONCAT(D1165,", ",H1165,", ",I1165,", ","云南省")</f>
        <v>兴隆乡, 盐津县, 昭通市, 云南省</v>
      </c>
      <c r="G1165">
        <v>34443</v>
      </c>
      <c r="H1165" t="s">
        <v>2906</v>
      </c>
      <c r="I1165" t="s">
        <v>2899</v>
      </c>
      <c r="J1165" t="e">
        <f>VLOOKUP(F1165,[1]!china_towns_second__2[[Column1]:[Y]],3,FALSE)</f>
        <v>#N/A</v>
      </c>
      <c r="K1165" t="e">
        <f>VLOOKUP(F1165,[1]!china_towns_second__2[[Column1]:[Y]],2,FALSE)</f>
        <v>#N/A</v>
      </c>
      <c r="L1165" t="s">
        <v>4717</v>
      </c>
      <c r="M1165" t="str">
        <f>VLOOKUP(H1165,CHOOSE({1,2},Table17[Native],Table17[Name]),2,0)</f>
        <v>Yánjīn Xiàn</v>
      </c>
      <c r="N1165" s="15" t="str">
        <f>VLOOKUP(I1165,CHOOSE({1,2},Table17[Native],Table17[Name]),2,0)</f>
        <v>Zhāotōng Shì</v>
      </c>
      <c r="O1165" s="15" t="str">
        <f t="shared" si="36"/>
        <v>Xinglong Xiang (Zhāotōng Shì)</v>
      </c>
      <c r="P1165" s="15" t="str">
        <f t="shared" si="37"/>
        <v>Xinglong Xiang (Zhāotōng Shì)</v>
      </c>
    </row>
    <row r="1166" spans="1:16" hidden="1" x14ac:dyDescent="0.25">
      <c r="A1166" t="s">
        <v>2439</v>
      </c>
      <c r="B1166" t="str">
        <f>IF(COUNTIF(A:A,A1166)&gt;1,_xlfn.CONCAT(A1166," (",N1166,")"),A1166)</f>
        <v>Xīngmĕng Ménggǔzú Xiāng</v>
      </c>
      <c r="C1166" t="str">
        <f>IF(COUNTIF(B:B,B1166)&gt;1,_xlfn.CONCAT(A1166," (",M1166,")"),B1166)</f>
        <v>Xīngmĕng Ménggǔzú Xiāng</v>
      </c>
      <c r="D1166" t="s">
        <v>2440</v>
      </c>
      <c r="E1166" t="s">
        <v>7</v>
      </c>
      <c r="F1166" t="str">
        <f>_xlfn.CONCAT(D1166,", ",H1166,", ",I1166,", ","云南省")</f>
        <v>兴蒙蒙古族乡, 通海县, 玉溪市, 云南省</v>
      </c>
      <c r="G1166">
        <v>5518</v>
      </c>
      <c r="H1166" t="s">
        <v>2894</v>
      </c>
      <c r="I1166" t="s">
        <v>2888</v>
      </c>
      <c r="J1166" t="e">
        <f>VLOOKUP(F1166,[1]!china_towns_second__2[[Column1]:[Y]],3,FALSE)</f>
        <v>#N/A</v>
      </c>
      <c r="K1166" t="e">
        <f>VLOOKUP(F1166,[1]!china_towns_second__2[[Column1]:[Y]],2,FALSE)</f>
        <v>#N/A</v>
      </c>
      <c r="L1166" t="s">
        <v>4718</v>
      </c>
      <c r="M1166" t="str">
        <f>VLOOKUP(H1166,CHOOSE({1,2},Table17[Native],Table17[Name]),2,0)</f>
        <v>Tōnghăi Xiàn</v>
      </c>
      <c r="N1166" s="15" t="str">
        <f>VLOOKUP(I1166,CHOOSE({1,2},Table17[Native],Table17[Name]),2,0)</f>
        <v>Yùxī Shì</v>
      </c>
      <c r="O1166" s="15" t="str">
        <f t="shared" si="36"/>
        <v>Xingmeng Mengguzu Xiang (Yùxī Shì)</v>
      </c>
      <c r="P1166" s="15" t="str">
        <f t="shared" si="37"/>
        <v>Xingmeng Mengguzu Xiang (Yùxī Shì)</v>
      </c>
    </row>
    <row r="1167" spans="1:16" hidden="1" x14ac:dyDescent="0.25">
      <c r="A1167" t="s">
        <v>1411</v>
      </c>
      <c r="B1167" t="str">
        <f>IF(COUNTIF(A:A,A1167)&gt;1,_xlfn.CONCAT(A1167," (",N1167,")"),A1167)</f>
        <v>Xīngquán Zhèn</v>
      </c>
      <c r="C1167" t="str">
        <f>IF(COUNTIF(B:B,B1167)&gt;1,_xlfn.CONCAT(A1167," (",M1167,")"),B1167)</f>
        <v>Xīngquán Zhèn</v>
      </c>
      <c r="D1167" t="s">
        <v>1412</v>
      </c>
      <c r="E1167" t="s">
        <v>11</v>
      </c>
      <c r="F1167" t="str">
        <f>_xlfn.CONCAT(D1167,", ",H1167,", ",I1167,", ","云南省")</f>
        <v>兴泉镇, 华坪县, 丽江市, 云南省</v>
      </c>
      <c r="G1167">
        <v>17926</v>
      </c>
      <c r="H1167" t="s">
        <v>2826</v>
      </c>
      <c r="I1167" t="s">
        <v>2823</v>
      </c>
      <c r="J1167">
        <f>VLOOKUP(F1167,[1]!china_towns_second__2[[Column1]:[Y]],3,FALSE)</f>
        <v>26.695980028585701</v>
      </c>
      <c r="K1167">
        <f>VLOOKUP(F1167,[1]!china_towns_second__2[[Column1]:[Y]],2,FALSE)</f>
        <v>101.4030539</v>
      </c>
      <c r="L1167" t="s">
        <v>4719</v>
      </c>
      <c r="M1167" t="str">
        <f>VLOOKUP(H1167,CHOOSE({1,2},Table17[Native],Table17[Name]),2,0)</f>
        <v>Huápíng Xiàn</v>
      </c>
      <c r="N1167" s="15" t="str">
        <f>VLOOKUP(I1167,CHOOSE({1,2},Table17[Native],Table17[Name]),2,0)</f>
        <v>Lìjiāng Shì</v>
      </c>
      <c r="O1167" s="15" t="str">
        <f t="shared" si="36"/>
        <v>Xingquan Zhen (Lìjiāng Shì)</v>
      </c>
      <c r="P1167" s="15" t="str">
        <f t="shared" si="37"/>
        <v>Xingquan Zhen (Lìjiāng Shì)</v>
      </c>
    </row>
    <row r="1168" spans="1:16" hidden="1" x14ac:dyDescent="0.25">
      <c r="A1168" t="s">
        <v>137</v>
      </c>
      <c r="B1168" t="str">
        <f>IF(COUNTIF(A:A,A1168)&gt;1,_xlfn.CONCAT(A1168," (",N1168,")"),A1168)</f>
        <v>Xīnhuá Xiāng (Băoshān Shì)</v>
      </c>
      <c r="C1168" t="str">
        <f>IF(COUNTIF(B:B,B1168)&gt;1,_xlfn.CONCAT(A1168," (",M1168,")"),B1168)</f>
        <v>Xīnhuá Xiāng (Băoshān Shì)</v>
      </c>
      <c r="D1168" t="s">
        <v>138</v>
      </c>
      <c r="E1168" t="s">
        <v>7</v>
      </c>
      <c r="F1168" t="str">
        <f>_xlfn.CONCAT(D1168,", ",H1168,", ",I1168,", ","云南省")</f>
        <v>新华乡, 腾冲市, 保山市, 云南省</v>
      </c>
      <c r="G1168">
        <v>16336</v>
      </c>
      <c r="H1168" t="s">
        <v>2747</v>
      </c>
      <c r="I1168" t="s">
        <v>2739</v>
      </c>
      <c r="J1168" t="e">
        <f>VLOOKUP(F1168,[1]!china_towns_second__2[[Column1]:[Y]],3,FALSE)</f>
        <v>#N/A</v>
      </c>
      <c r="K1168" t="e">
        <f>VLOOKUP(F1168,[1]!china_towns_second__2[[Column1]:[Y]],2,FALSE)</f>
        <v>#N/A</v>
      </c>
      <c r="L1168" t="s">
        <v>4720</v>
      </c>
      <c r="M1168" t="str">
        <f>VLOOKUP(H1168,CHOOSE({1,2},Table17[Native],Table17[Name]),2,0)</f>
        <v>Téngchōng Shì</v>
      </c>
      <c r="N1168" s="15" t="str">
        <f>VLOOKUP(I1168,CHOOSE({1,2},Table17[Native],Table17[Name]),2,0)</f>
        <v>Băoshān Shì</v>
      </c>
      <c r="O1168" s="15" t="str">
        <f t="shared" si="36"/>
        <v>Xinhua Xiang (Baoshan Shi) (Băoshān Shì)</v>
      </c>
      <c r="P1168" s="15" t="str">
        <f t="shared" si="37"/>
        <v>Xinhua Xiang (Baoshan Shi) (Băoshān Shì)</v>
      </c>
    </row>
    <row r="1169" spans="1:16" hidden="1" x14ac:dyDescent="0.25">
      <c r="A1169" t="s">
        <v>137</v>
      </c>
      <c r="B1169" t="str">
        <f>IF(COUNTIF(A:A,A1169)&gt;1,_xlfn.CONCAT(A1169," (",N1169,")"),A1169)</f>
        <v>Xīnhuá Xiāng (Chŭxióng Yízú Zìzhìzhōu)</v>
      </c>
      <c r="C1169" t="str">
        <f>IF(COUNTIF(B:B,B1169)&gt;1,_xlfn.CONCAT(A1169," (",M1169,")"),B1169)</f>
        <v>Xīnhuá Xiāng (Chŭxióng Yízú Zìzhìzhōu)</v>
      </c>
      <c r="D1169" t="s">
        <v>138</v>
      </c>
      <c r="E1169" t="s">
        <v>7</v>
      </c>
      <c r="F1169" t="str">
        <f>_xlfn.CONCAT(D1169,", ",H1169,", ",I1169,", ","云南省")</f>
        <v>新华乡, 元谋县, 楚雄彝族自治州, 云南省</v>
      </c>
      <c r="G1169">
        <v>8083</v>
      </c>
      <c r="H1169" t="s">
        <v>2760</v>
      </c>
      <c r="I1169" t="s">
        <v>2750</v>
      </c>
      <c r="J1169" t="e">
        <f>VLOOKUP(F1169,[1]!china_towns_second__2[[Column1]:[Y]],3,FALSE)</f>
        <v>#N/A</v>
      </c>
      <c r="K1169" t="e">
        <f>VLOOKUP(F1169,[1]!china_towns_second__2[[Column1]:[Y]],2,FALSE)</f>
        <v>#N/A</v>
      </c>
      <c r="L1169" t="s">
        <v>4721</v>
      </c>
      <c r="M1169" t="str">
        <f>VLOOKUP(H1169,CHOOSE({1,2},Table17[Native],Table17[Name]),2,0)</f>
        <v>Yuánmóu Xiàn</v>
      </c>
      <c r="N1169" s="15" t="str">
        <f>VLOOKUP(I1169,CHOOSE({1,2},Table17[Native],Table17[Name]),2,0)</f>
        <v>Chŭxióng Yízú Zìzhìzhōu</v>
      </c>
      <c r="O1169" s="15" t="str">
        <f t="shared" si="36"/>
        <v>Xinhua Xiang (Chuxiong Yizu Zizhizhou) (Chŭxióng Yízú Zìzhìzhōu)</v>
      </c>
      <c r="P1169" s="15" t="str">
        <f t="shared" si="37"/>
        <v>Xinhua Xiang (Chuxiong Yizu Zizhizhou) (Chŭxióng Yízú Zìzhìzhōu)</v>
      </c>
    </row>
    <row r="1170" spans="1:16" hidden="1" x14ac:dyDescent="0.25">
      <c r="A1170" t="s">
        <v>137</v>
      </c>
      <c r="B1170" t="str">
        <f>IF(COUNTIF(A:A,A1170)&gt;1,_xlfn.CONCAT(A1170," (",N1170,")"),A1170)</f>
        <v>Xīnhuá Xiāng (Hónghé Hānízú Yízú Zìzhìzhōu)</v>
      </c>
      <c r="C1170" t="str">
        <f>IF(COUNTIF(B:B,B1170)&gt;1,_xlfn.CONCAT(A1170," (",M1170,")"),B1170)</f>
        <v>Xīnhuá Xiāng (Hónghé Hānízú Yízú Zìzhìzhōu)</v>
      </c>
      <c r="D1170" t="s">
        <v>138</v>
      </c>
      <c r="E1170" t="s">
        <v>7</v>
      </c>
      <c r="F1170" t="str">
        <f>_xlfn.CONCAT(D1170,", ",H1170,", ",I1170,", ","云南省")</f>
        <v>新华乡, 屏边苗族自治县, 红河哈尼族彝族自治州, 云南省</v>
      </c>
      <c r="G1170">
        <v>18857</v>
      </c>
      <c r="H1170" t="s">
        <v>2803</v>
      </c>
      <c r="I1170" t="s">
        <v>2792</v>
      </c>
      <c r="J1170" t="e">
        <f>VLOOKUP(F1170,[1]!china_towns_second__2[[Column1]:[Y]],3,FALSE)</f>
        <v>#N/A</v>
      </c>
      <c r="K1170" t="e">
        <f>VLOOKUP(F1170,[1]!china_towns_second__2[[Column1]:[Y]],2,FALSE)</f>
        <v>#N/A</v>
      </c>
      <c r="L1170" t="s">
        <v>4722</v>
      </c>
      <c r="M1170" t="str">
        <f>VLOOKUP(H1170,CHOOSE({1,2},Table17[Native],Table17[Name]),2,0)</f>
        <v>Píngbiān Miáozú Zìzhìxiàn</v>
      </c>
      <c r="N1170" s="15" t="str">
        <f>VLOOKUP(I1170,CHOOSE({1,2},Table17[Native],Table17[Name]),2,0)</f>
        <v>Hónghé Hānízú Yízú Zìzhìzhōu</v>
      </c>
      <c r="O1170" s="15" t="str">
        <f t="shared" si="36"/>
        <v>Xinhua Xiang (Honghe Hanizu Yizu Zizhizhou) (Hónghé Hānízú Yízú Zìzhìzhōu)</v>
      </c>
      <c r="P1170" s="15" t="str">
        <f t="shared" si="37"/>
        <v>Xinhua Xiang (Honghe Hanizu Yizu Zizhizhou) (Hónghé Hānízú Yízú Zìzhìzhōu)</v>
      </c>
    </row>
    <row r="1171" spans="1:16" hidden="1" x14ac:dyDescent="0.25">
      <c r="A1171" t="s">
        <v>2441</v>
      </c>
      <c r="B1171" t="str">
        <f>IF(COUNTIF(A:A,A1171)&gt;1,_xlfn.CONCAT(A1171," (",N1171,")"),A1171)</f>
        <v>Xīnhuà Xiāng</v>
      </c>
      <c r="C1171" t="str">
        <f>IF(COUNTIF(B:B,B1171)&gt;1,_xlfn.CONCAT(A1171," (",M1171,")"),B1171)</f>
        <v>Xīnhuà Xiāng</v>
      </c>
      <c r="D1171" t="s">
        <v>2442</v>
      </c>
      <c r="E1171" t="s">
        <v>7</v>
      </c>
      <c r="F1171" t="str">
        <f>_xlfn.CONCAT(D1171,", ",H1171,", ",I1171,", ","云南省")</f>
        <v>新化乡, 新平彝族傣族自治县, 玉溪市, 云南省</v>
      </c>
      <c r="G1171">
        <v>21808</v>
      </c>
      <c r="H1171" t="s">
        <v>2895</v>
      </c>
      <c r="I1171" t="s">
        <v>2888</v>
      </c>
      <c r="J1171" t="e">
        <f>VLOOKUP(F1171,[1]!china_towns_second__2[[Column1]:[Y]],3,FALSE)</f>
        <v>#N/A</v>
      </c>
      <c r="K1171" t="e">
        <f>VLOOKUP(F1171,[1]!china_towns_second__2[[Column1]:[Y]],2,FALSE)</f>
        <v>#N/A</v>
      </c>
      <c r="L1171" t="s">
        <v>4723</v>
      </c>
      <c r="M1171" t="str">
        <f>VLOOKUP(H1171,CHOOSE({1,2},Table17[Native],Table17[Name]),2,0)</f>
        <v>Xīnpíng Yízú Dăizú Zìzhìxiàn</v>
      </c>
      <c r="N1171" s="15" t="str">
        <f>VLOOKUP(I1171,CHOOSE({1,2},Table17[Native],Table17[Name]),2,0)</f>
        <v>Yùxī Shì</v>
      </c>
      <c r="O1171" s="15" t="str">
        <f t="shared" si="36"/>
        <v>Xinhua Xiang (Yùxī Shì)</v>
      </c>
      <c r="P1171" s="15" t="str">
        <f t="shared" si="37"/>
        <v>Xinhua Xiang (Yùxī Shì)</v>
      </c>
    </row>
    <row r="1172" spans="1:16" hidden="1" x14ac:dyDescent="0.25">
      <c r="A1172" t="s">
        <v>1573</v>
      </c>
      <c r="B1172" t="str">
        <f>IF(COUNTIF(A:A,A1172)&gt;1,_xlfn.CONCAT(A1172," (",N1172,")"),A1172)</f>
        <v>Xīnhuá Yízú Miáozú Xiāng</v>
      </c>
      <c r="C1172" t="str">
        <f>IF(COUNTIF(B:B,B1172)&gt;1,_xlfn.CONCAT(A1172," (",M1172,")"),B1172)</f>
        <v>Xīnhuá Yízú Miáozú Xiāng</v>
      </c>
      <c r="D1172" t="s">
        <v>1574</v>
      </c>
      <c r="E1172" t="s">
        <v>7</v>
      </c>
      <c r="F1172" t="str">
        <f>_xlfn.CONCAT(D1172,", ",H1172,", ",I1172,", ","云南省")</f>
        <v>新华彝族苗族乡, 凤庆县, 临沧市, 云南省</v>
      </c>
      <c r="G1172">
        <v>27912</v>
      </c>
      <c r="H1172" t="s">
        <v>2833</v>
      </c>
      <c r="I1172" t="s">
        <v>2831</v>
      </c>
      <c r="J1172" t="e">
        <f>VLOOKUP(F1172,[1]!china_towns_second__2[[Column1]:[Y]],3,FALSE)</f>
        <v>#N/A</v>
      </c>
      <c r="K1172" t="e">
        <f>VLOOKUP(F1172,[1]!china_towns_second__2[[Column1]:[Y]],2,FALSE)</f>
        <v>#N/A</v>
      </c>
      <c r="L1172" t="s">
        <v>4724</v>
      </c>
      <c r="M1172" t="str">
        <f>VLOOKUP(H1172,CHOOSE({1,2},Table17[Native],Table17[Name]),2,0)</f>
        <v>Fèngqìng Xiàn</v>
      </c>
      <c r="N1172" s="15" t="str">
        <f>VLOOKUP(I1172,CHOOSE({1,2},Table17[Native],Table17[Name]),2,0)</f>
        <v>Líncāng Shì</v>
      </c>
      <c r="O1172" s="15" t="str">
        <f t="shared" si="36"/>
        <v>Xinhua Yizu Miaozu Xiang (Líncāng Shì)</v>
      </c>
      <c r="P1172" s="15" t="str">
        <f t="shared" si="37"/>
        <v>Xinhua Yizu Miaozu Xiang (Líncāng Shì)</v>
      </c>
    </row>
    <row r="1173" spans="1:16" hidden="1" x14ac:dyDescent="0.25">
      <c r="A1173" t="s">
        <v>2227</v>
      </c>
      <c r="B1173" t="str">
        <f>IF(COUNTIF(A:A,A1173)&gt;1,_xlfn.CONCAT(A1173," (",N1173,")"),A1173)</f>
        <v>Xīnhuá Zhèn</v>
      </c>
      <c r="C1173" t="str">
        <f>IF(COUNTIF(B:B,B1173)&gt;1,_xlfn.CONCAT(A1173," (",M1173,")"),B1173)</f>
        <v>Xīnhuá Zhèn</v>
      </c>
      <c r="D1173" t="s">
        <v>2228</v>
      </c>
      <c r="E1173" t="s">
        <v>11</v>
      </c>
      <c r="F1173" t="str">
        <f>_xlfn.CONCAT(D1173,", ",H1173,", ",I1173,", ","云南省")</f>
        <v>新华镇, 富宁县, 文山壮族苗族自治州, 云南省</v>
      </c>
      <c r="G1173">
        <v>67976</v>
      </c>
      <c r="H1173" t="s">
        <v>2873</v>
      </c>
      <c r="I1173" t="s">
        <v>2872</v>
      </c>
      <c r="J1173">
        <f>VLOOKUP(F1173,[1]!china_towns_second__2[[Column1]:[Y]],3,FALSE)</f>
        <v>23.6500354225637</v>
      </c>
      <c r="K1173">
        <f>VLOOKUP(F1173,[1]!china_towns_second__2[[Column1]:[Y]],2,FALSE)</f>
        <v>105.61007119999999</v>
      </c>
      <c r="L1173" t="s">
        <v>4725</v>
      </c>
      <c r="M1173" t="str">
        <f>VLOOKUP(H1173,CHOOSE({1,2},Table17[Native],Table17[Name]),2,0)</f>
        <v>Fùníng Xiàn</v>
      </c>
      <c r="N1173" s="15" t="str">
        <f>VLOOKUP(I1173,CHOOSE({1,2},Table17[Native],Table17[Name]),2,0)</f>
        <v>Wénshān Zhuàngzú Miáozú Zìzhìzhōu</v>
      </c>
      <c r="O1173" s="15" t="str">
        <f t="shared" si="36"/>
        <v>Xinhua Zhen (Wénshān Zhuàngzú Miáozú Zìzhìzhōu)</v>
      </c>
      <c r="P1173" s="15" t="str">
        <f t="shared" si="37"/>
        <v>Xinhua Zhen (Wénshān Zhuàngzú Miáozú Zìzhìzhōu)</v>
      </c>
    </row>
    <row r="1174" spans="1:16" hidden="1" x14ac:dyDescent="0.25">
      <c r="A1174" t="s">
        <v>2017</v>
      </c>
      <c r="B1174" t="str">
        <f>IF(COUNTIF(A:A,A1174)&gt;1,_xlfn.CONCAT(A1174," (",N1174,")"),A1174)</f>
        <v>Xīníng Jiēdào</v>
      </c>
      <c r="C1174" t="str">
        <f>IF(COUNTIF(B:B,B1174)&gt;1,_xlfn.CONCAT(A1174," (",M1174,")"),B1174)</f>
        <v>Xīníng Jiēdào</v>
      </c>
      <c r="D1174" t="s">
        <v>2018</v>
      </c>
      <c r="E1174" t="s">
        <v>42</v>
      </c>
      <c r="F1174" t="str">
        <f>_xlfn.CONCAT(D1174,", ",H1174,", ",I1174,", ","云南省")</f>
        <v>西宁街道, 宣威市, 曲靖市, 云南省</v>
      </c>
      <c r="G1174">
        <v>57452</v>
      </c>
      <c r="H1174" t="s">
        <v>2868</v>
      </c>
      <c r="I1174" t="s">
        <v>2860</v>
      </c>
      <c r="J1174">
        <f>VLOOKUP(F1174,[1]!china_towns_second__2[[Column1]:[Y]],3,FALSE)</f>
        <v>26.2708070890939</v>
      </c>
      <c r="K1174">
        <f>VLOOKUP(F1174,[1]!china_towns_second__2[[Column1]:[Y]],2,FALSE)</f>
        <v>104.00856539999999</v>
      </c>
      <c r="L1174" t="s">
        <v>4726</v>
      </c>
      <c r="M1174" t="str">
        <f>VLOOKUP(H1174,CHOOSE({1,2},Table17[Native],Table17[Name]),2,0)</f>
        <v>Xuānwēi Shì</v>
      </c>
      <c r="N1174" s="15" t="str">
        <f>VLOOKUP(I1174,CHOOSE({1,2},Table17[Native],Table17[Name]),2,0)</f>
        <v>Qŭjìng Shì</v>
      </c>
      <c r="O1174" s="15" t="str">
        <f t="shared" si="36"/>
        <v>Xining Jiedao (Qŭjìng Shì)</v>
      </c>
      <c r="P1174" s="15" t="str">
        <f t="shared" si="37"/>
        <v>Xining Jiedao (Qŭjìng Shì)</v>
      </c>
    </row>
    <row r="1175" spans="1:16" hidden="1" x14ac:dyDescent="0.25">
      <c r="A1175" t="s">
        <v>2019</v>
      </c>
      <c r="B1175" t="str">
        <f>IF(COUNTIF(A:A,A1175)&gt;1,_xlfn.CONCAT(A1175," (",N1175,")"),A1175)</f>
        <v>Xīnjiē Huízú Xiāng</v>
      </c>
      <c r="C1175" t="str">
        <f>IF(COUNTIF(B:B,B1175)&gt;1,_xlfn.CONCAT(A1175," (",M1175,")"),B1175)</f>
        <v>Xīnjiē Huízú Xiāng</v>
      </c>
      <c r="D1175" t="s">
        <v>2020</v>
      </c>
      <c r="E1175" t="s">
        <v>7</v>
      </c>
      <c r="F1175" t="str">
        <f>_xlfn.CONCAT(D1175,", ",H1175,", ",I1175,", ","云南省")</f>
        <v>新街回族乡, 会泽县, 曲靖市, 云南省</v>
      </c>
      <c r="G1175">
        <v>26948</v>
      </c>
      <c r="H1175" t="s">
        <v>2862</v>
      </c>
      <c r="I1175" t="s">
        <v>2860</v>
      </c>
      <c r="J1175" t="e">
        <f>VLOOKUP(F1175,[1]!china_towns_second__2[[Column1]:[Y]],3,FALSE)</f>
        <v>#N/A</v>
      </c>
      <c r="K1175" t="e">
        <f>VLOOKUP(F1175,[1]!china_towns_second__2[[Column1]:[Y]],2,FALSE)</f>
        <v>#N/A</v>
      </c>
      <c r="L1175" t="s">
        <v>4727</v>
      </c>
      <c r="M1175" t="str">
        <f>VLOOKUP(H1175,CHOOSE({1,2},Table17[Native],Table17[Name]),2,0)</f>
        <v>Huìzé Xiàn</v>
      </c>
      <c r="N1175" s="15" t="str">
        <f>VLOOKUP(I1175,CHOOSE({1,2},Table17[Native],Table17[Name]),2,0)</f>
        <v>Qŭjìng Shì</v>
      </c>
      <c r="O1175" s="15" t="str">
        <f t="shared" si="36"/>
        <v>Xinjie Huizu Xiang (Qŭjìng Shì)</v>
      </c>
      <c r="P1175" s="15" t="str">
        <f t="shared" si="37"/>
        <v>Xinjie Huizu Xiang (Qŭjìng Shì)</v>
      </c>
    </row>
    <row r="1176" spans="1:16" hidden="1" x14ac:dyDescent="0.25">
      <c r="A1176" t="s">
        <v>139</v>
      </c>
      <c r="B1176" t="str">
        <f>IF(COUNTIF(A:A,A1176)&gt;1,_xlfn.CONCAT(A1176," (",N1176,")"),A1176)</f>
        <v>Xīnjiē Xiāng (Băoshān Shì)</v>
      </c>
      <c r="C1176" t="str">
        <f>IF(COUNTIF(B:B,B1176)&gt;1,_xlfn.CONCAT(A1176," (",M1176,")"),B1176)</f>
        <v>Xīnjiē Xiāng (Băoshān Shì)</v>
      </c>
      <c r="D1176" t="s">
        <v>140</v>
      </c>
      <c r="E1176" t="s">
        <v>7</v>
      </c>
      <c r="F1176" t="str">
        <f>_xlfn.CONCAT(D1176,", ",H1176,", ",I1176,", ","云南省")</f>
        <v>辛街乡, 隆阳区, 保山市, 云南省</v>
      </c>
      <c r="G1176">
        <v>66746</v>
      </c>
      <c r="H1176" t="s">
        <v>2744</v>
      </c>
      <c r="I1176" t="s">
        <v>2739</v>
      </c>
      <c r="J1176" t="e">
        <f>VLOOKUP(F1176,[1]!china_towns_second__2[[Column1]:[Y]],3,FALSE)</f>
        <v>#N/A</v>
      </c>
      <c r="K1176" t="e">
        <f>VLOOKUP(F1176,[1]!china_towns_second__2[[Column1]:[Y]],2,FALSE)</f>
        <v>#N/A</v>
      </c>
      <c r="L1176" t="s">
        <v>4728</v>
      </c>
      <c r="M1176" t="str">
        <f>VLOOKUP(H1176,CHOOSE({1,2},Table17[Native],Table17[Name]),2,0)</f>
        <v>Lóngyáng Qū</v>
      </c>
      <c r="N1176" s="15" t="str">
        <f>VLOOKUP(I1176,CHOOSE({1,2},Table17[Native],Table17[Name]),2,0)</f>
        <v>Băoshān Shì</v>
      </c>
      <c r="O1176" s="15" t="str">
        <f t="shared" si="36"/>
        <v>Xinjie Xiang (Baoshan Shi) (Băoshān Shì)</v>
      </c>
      <c r="P1176" s="15" t="str">
        <f t="shared" si="37"/>
        <v>Xinjie Xiang (Baoshan Shi) (Băoshān Shì)</v>
      </c>
    </row>
    <row r="1177" spans="1:16" hidden="1" x14ac:dyDescent="0.25">
      <c r="A1177" t="s">
        <v>139</v>
      </c>
      <c r="B1177" t="str">
        <f>IF(COUNTIF(A:A,A1177)&gt;1,_xlfn.CONCAT(A1177," (",N1177,")"),A1177)</f>
        <v>Xīnjiē Xiāng (Wénshān Zhuàngzú Miáozú Zìzhìzhōu)</v>
      </c>
      <c r="C1177" t="str">
        <f>IF(COUNTIF(B:B,B1177)&gt;1,_xlfn.CONCAT(A1177," (",M1177,")"),B1177)</f>
        <v>Xīnjiē Xiāng (Wénshān Zhuàngzú Miáozú Zìzhìzhōu)</v>
      </c>
      <c r="D1177" t="s">
        <v>2229</v>
      </c>
      <c r="E1177" t="s">
        <v>7</v>
      </c>
      <c r="F1177" t="str">
        <f>_xlfn.CONCAT(D1177,", ",H1177,", ",I1177,", ","云南省")</f>
        <v>新街乡, 文山市, 文山壮族苗族自治州, 云南省</v>
      </c>
      <c r="G1177">
        <v>11131</v>
      </c>
      <c r="H1177" t="s">
        <v>2878</v>
      </c>
      <c r="I1177" t="s">
        <v>2872</v>
      </c>
      <c r="J1177" t="e">
        <f>VLOOKUP(F1177,[1]!china_towns_second__2[[Column1]:[Y]],3,FALSE)</f>
        <v>#N/A</v>
      </c>
      <c r="K1177" t="e">
        <f>VLOOKUP(F1177,[1]!china_towns_second__2[[Column1]:[Y]],2,FALSE)</f>
        <v>#N/A</v>
      </c>
      <c r="L1177" t="s">
        <v>4729</v>
      </c>
      <c r="M1177" t="str">
        <f>VLOOKUP(H1177,CHOOSE({1,2},Table17[Native],Table17[Name]),2,0)</f>
        <v>Wénshān Shì</v>
      </c>
      <c r="N1177" s="15" t="str">
        <f>VLOOKUP(I1177,CHOOSE({1,2},Table17[Native],Table17[Name]),2,0)</f>
        <v>Wénshān Zhuàngzú Miáozú Zìzhìzhōu</v>
      </c>
      <c r="O1177" s="15" t="str">
        <f t="shared" si="36"/>
        <v>Xinjie Xiang (Wenshan Zhuangzu Miaozu Zizhizhou) (Wénshān Zhuàngzú Miáozú Zìzhìzhōu)</v>
      </c>
      <c r="P1177" s="15" t="str">
        <f t="shared" si="37"/>
        <v>Xinjie Xiang (Wenshan Zhuangzu Miaozu Zizhizhou) (Wénshān Zhuàngzú Miáozú Zìzhìzhōu)</v>
      </c>
    </row>
    <row r="1178" spans="1:16" hidden="1" x14ac:dyDescent="0.25">
      <c r="A1178" t="s">
        <v>331</v>
      </c>
      <c r="B1178" t="str">
        <f>IF(COUNTIF(A:A,A1178)&gt;1,_xlfn.CONCAT(A1178," (",N1178,")"),A1178)</f>
        <v>Xīnjiē Zhèn (Chŭxióng Yízú Zìzhìzhōu)</v>
      </c>
      <c r="C1178" t="str">
        <f>IF(COUNTIF(B:B,B1178)&gt;1,_xlfn.CONCAT(A1178," (",M1178,")"),B1178)</f>
        <v>Xīnjiē Zhèn (Chŭxióng Yízú Zìzhìzhōu)</v>
      </c>
      <c r="D1178" t="s">
        <v>332</v>
      </c>
      <c r="E1178" t="s">
        <v>11</v>
      </c>
      <c r="F1178" t="str">
        <f>_xlfn.CONCAT(D1178,", ",H1178,", ",I1178,", ","云南省")</f>
        <v>新街镇, 大姚县, 楚雄彝族自治州, 云南省</v>
      </c>
      <c r="G1178">
        <v>25273</v>
      </c>
      <c r="H1178" t="s">
        <v>2752</v>
      </c>
      <c r="I1178" t="s">
        <v>2750</v>
      </c>
      <c r="J1178">
        <f>VLOOKUP(F1178,[1]!china_towns_second__2[[Column1]:[Y]],3,FALSE)</f>
        <v>25.8112118219276</v>
      </c>
      <c r="K1178">
        <f>VLOOKUP(F1178,[1]!china_towns_second__2[[Column1]:[Y]],2,FALSE)</f>
        <v>101.22980130000001</v>
      </c>
      <c r="L1178" t="s">
        <v>4730</v>
      </c>
      <c r="M1178" t="str">
        <f>VLOOKUP(H1178,CHOOSE({1,2},Table17[Native],Table17[Name]),2,0)</f>
        <v>Dàyáo Xiàn</v>
      </c>
      <c r="N1178" s="15" t="str">
        <f>VLOOKUP(I1178,CHOOSE({1,2},Table17[Native],Table17[Name]),2,0)</f>
        <v>Chŭxióng Yízú Zìzhìzhōu</v>
      </c>
      <c r="O1178" s="15" t="str">
        <f t="shared" si="36"/>
        <v>Xinjie Zhen (Chuxiong Yizu Zizhizhou) (Chŭxióng Yízú Zìzhìzhōu)</v>
      </c>
      <c r="P1178" s="15" t="str">
        <f t="shared" si="37"/>
        <v>Xinjie Zhen (Chuxiong Yizu Zizhizhou) (Chŭxióng Yízú Zìzhìzhōu)</v>
      </c>
    </row>
    <row r="1179" spans="1:16" hidden="1" x14ac:dyDescent="0.25">
      <c r="A1179" t="s">
        <v>331</v>
      </c>
      <c r="B1179" t="str">
        <f>IF(COUNTIF(A:A,A1179)&gt;1,_xlfn.CONCAT(A1179," (",N1179,")"),A1179)</f>
        <v>Xīnjiē Zhèn (Dàlĭ Báizú Zìzhìzhōu)</v>
      </c>
      <c r="C1179" t="str">
        <f>IF(COUNTIF(B:B,B1179)&gt;1,_xlfn.CONCAT(A1179," (",M1179,")"),B1179)</f>
        <v>Xīnjiē Zhèn (Dàlĭ Báizú Zìzhìzhōu)</v>
      </c>
      <c r="D1179" t="s">
        <v>332</v>
      </c>
      <c r="E1179" t="s">
        <v>11</v>
      </c>
      <c r="F1179" t="str">
        <f>_xlfn.CONCAT(D1179,", ",H1179,", ",I1179,", ","云南省")</f>
        <v>新街镇, 弥渡县, 大理白族自治州, 云南省</v>
      </c>
      <c r="G1179">
        <v>49446</v>
      </c>
      <c r="H1179" t="s">
        <v>2769</v>
      </c>
      <c r="I1179" t="s">
        <v>2763</v>
      </c>
      <c r="J1179">
        <f>VLOOKUP(F1179,[1]!china_towns_second__2[[Column1]:[Y]],3,FALSE)</f>
        <v>25.368814145447601</v>
      </c>
      <c r="K1179">
        <f>VLOOKUP(F1179,[1]!china_towns_second__2[[Column1]:[Y]],2,FALSE)</f>
        <v>100.4100354</v>
      </c>
      <c r="L1179" t="s">
        <v>4731</v>
      </c>
      <c r="M1179" t="str">
        <f>VLOOKUP(H1179,CHOOSE({1,2},Table17[Native],Table17[Name]),2,0)</f>
        <v>Mídù Xiàn</v>
      </c>
      <c r="N1179" s="15" t="str">
        <f>VLOOKUP(I1179,CHOOSE({1,2},Table17[Native],Table17[Name]),2,0)</f>
        <v>Dàlĭ Báizú Zìzhìzhōu</v>
      </c>
      <c r="O1179" s="15" t="str">
        <f t="shared" si="36"/>
        <v>Xinjie Zhen (Dali Baizu Zizhizhou) (Dàlĭ Báizú Zìzhìzhōu)</v>
      </c>
      <c r="P1179" s="15" t="str">
        <f t="shared" si="37"/>
        <v>Xinjie Zhen (Dali Baizu Zizhizhou) (Dàlĭ Báizú Zìzhìzhōu)</v>
      </c>
    </row>
    <row r="1180" spans="1:16" hidden="1" x14ac:dyDescent="0.25">
      <c r="A1180" t="s">
        <v>331</v>
      </c>
      <c r="B1180" t="str">
        <f>IF(COUNTIF(A:A,A1180)&gt;1,_xlfn.CONCAT(A1180," (",N1180,")"),A1180)</f>
        <v>Xīnjiē Zhèn (Hónghé Hānízú Yízú Zìzhìzhōu)</v>
      </c>
      <c r="C1180" t="str">
        <f>IF(COUNTIF(B:B,B1180)&gt;1,_xlfn.CONCAT(A1180," (",M1180,")"),B1180)</f>
        <v>Xīnjiē Zhèn (Hónghé Hānízú Yízú Zìzhìzhōu)</v>
      </c>
      <c r="D1180" t="s">
        <v>332</v>
      </c>
      <c r="E1180" t="s">
        <v>11</v>
      </c>
      <c r="F1180" t="str">
        <f>_xlfn.CONCAT(D1180,", ",H1180,", ",I1180,", ","云南省")</f>
        <v>新街镇, 元阳县, 红河哈尼族彝族自治州, 云南省</v>
      </c>
      <c r="G1180">
        <v>74572</v>
      </c>
      <c r="H1180" t="s">
        <v>2805</v>
      </c>
      <c r="I1180" t="s">
        <v>2792</v>
      </c>
      <c r="J1180">
        <f>VLOOKUP(F1180,[1]!china_towns_second__2[[Column1]:[Y]],3,FALSE)</f>
        <v>23.1402032055239</v>
      </c>
      <c r="K1180">
        <f>VLOOKUP(F1180,[1]!china_towns_second__2[[Column1]:[Y]],2,FALSE)</f>
        <v>102.78059349999999</v>
      </c>
      <c r="L1180" t="s">
        <v>4732</v>
      </c>
      <c r="M1180" t="str">
        <f>VLOOKUP(H1180,CHOOSE({1,2},Table17[Native],Table17[Name]),2,0)</f>
        <v>Yuányáng Xiàn</v>
      </c>
      <c r="N1180" s="15" t="str">
        <f>VLOOKUP(I1180,CHOOSE({1,2},Table17[Native],Table17[Name]),2,0)</f>
        <v>Hónghé Hānízú Yízú Zìzhìzhōu</v>
      </c>
      <c r="O1180" s="15" t="str">
        <f t="shared" si="36"/>
        <v>Xinjie Zhen (Honghe Hanizu Yizu Zizhizhou) (Hónghé Hānízú Yízú Zìzhìzhōu)</v>
      </c>
      <c r="P1180" s="15" t="str">
        <f t="shared" si="37"/>
        <v>Xinjie Zhen (Honghe Hanizu Yizu Zizhizhou) (Hónghé Hānízú Yízú Zìzhìzhōu)</v>
      </c>
    </row>
    <row r="1181" spans="1:16" hidden="1" x14ac:dyDescent="0.25">
      <c r="A1181" t="s">
        <v>331</v>
      </c>
      <c r="B1181" t="str">
        <f>IF(COUNTIF(A:A,A1181)&gt;1,_xlfn.CONCAT(A1181," (",N1181,")"),A1181)</f>
        <v>Xīnjiē Zhèn (Zhāotōng Shì)</v>
      </c>
      <c r="C1181" t="str">
        <f>IF(COUNTIF(B:B,B1181)&gt;1,_xlfn.CONCAT(A1181," (",M1181,")"),B1181)</f>
        <v>Xīnjiē Zhèn (Zhāotōng Shì)</v>
      </c>
      <c r="D1181" t="s">
        <v>332</v>
      </c>
      <c r="E1181" t="s">
        <v>11</v>
      </c>
      <c r="F1181" t="str">
        <f>_xlfn.CONCAT(D1181,", ",H1181,", ",I1181,", ","云南省")</f>
        <v>新街镇, 鲁甸县, 昭通市, 云南省</v>
      </c>
      <c r="G1181">
        <v>18872</v>
      </c>
      <c r="H1181" t="s">
        <v>2901</v>
      </c>
      <c r="I1181" t="s">
        <v>2899</v>
      </c>
      <c r="J1181">
        <f>VLOOKUP(F1181,[1]!china_towns_second__2[[Column1]:[Y]],3,FALSE)</f>
        <v>27.459445138440898</v>
      </c>
      <c r="K1181">
        <f>VLOOKUP(F1181,[1]!china_towns_second__2[[Column1]:[Y]],2,FALSE)</f>
        <v>103.41742600000001</v>
      </c>
      <c r="L1181" t="s">
        <v>4733</v>
      </c>
      <c r="M1181" t="str">
        <f>VLOOKUP(H1181,CHOOSE({1,2},Table17[Native],Table17[Name]),2,0)</f>
        <v>Lŭdiàn Xiàn</v>
      </c>
      <c r="N1181" s="15" t="str">
        <f>VLOOKUP(I1181,CHOOSE({1,2},Table17[Native],Table17[Name]),2,0)</f>
        <v>Zhāotōng Shì</v>
      </c>
      <c r="O1181" s="15" t="str">
        <f t="shared" si="36"/>
        <v>Xinjie Zhen (Zhaotong Shi) (Zhāotōng Shì)</v>
      </c>
      <c r="P1181" s="15" t="str">
        <f t="shared" si="37"/>
        <v>Xinjie Zhen (Zhaotong Shi) (Zhāotōng Shì)</v>
      </c>
    </row>
    <row r="1182" spans="1:16" hidden="1" x14ac:dyDescent="0.25">
      <c r="A1182" t="s">
        <v>2230</v>
      </c>
      <c r="B1182" t="str">
        <f>IF(COUNTIF(A:A,A1182)&gt;1,_xlfn.CONCAT(A1182," (",N1182,")"),A1182)</f>
        <v>Xīnmăjiē Xiāng</v>
      </c>
      <c r="C1182" t="str">
        <f>IF(COUNTIF(B:B,B1182)&gt;1,_xlfn.CONCAT(A1182," (",M1182,")"),B1182)</f>
        <v>Xīnmăjiē Xiāng</v>
      </c>
      <c r="D1182" t="s">
        <v>2231</v>
      </c>
      <c r="E1182" t="s">
        <v>7</v>
      </c>
      <c r="F1182" t="str">
        <f>_xlfn.CONCAT(D1182,", ",H1182,", ",I1182,", ","云南省")</f>
        <v>新马街乡, 西畴县, 文山壮族苗族自治州, 云南省</v>
      </c>
      <c r="G1182">
        <v>16844</v>
      </c>
      <c r="H1182" t="s">
        <v>2879</v>
      </c>
      <c r="I1182" t="s">
        <v>2872</v>
      </c>
      <c r="J1182" t="e">
        <f>VLOOKUP(F1182,[1]!china_towns_second__2[[Column1]:[Y]],3,FALSE)</f>
        <v>#N/A</v>
      </c>
      <c r="K1182" t="e">
        <f>VLOOKUP(F1182,[1]!china_towns_second__2[[Column1]:[Y]],2,FALSE)</f>
        <v>#N/A</v>
      </c>
      <c r="L1182" t="s">
        <v>4734</v>
      </c>
      <c r="M1182" t="str">
        <f>VLOOKUP(H1182,CHOOSE({1,2},Table17[Native],Table17[Name]),2,0)</f>
        <v>Xīchóu Xiàn</v>
      </c>
      <c r="N1182" s="15" t="str">
        <f>VLOOKUP(I1182,CHOOSE({1,2},Table17[Native],Table17[Name]),2,0)</f>
        <v>Wénshān Zhuàngzú Miáozú Zìzhìzhōu</v>
      </c>
      <c r="O1182" s="15" t="str">
        <f t="shared" si="36"/>
        <v>Xinmajie Xiang (Wénshān Zhuàngzú Miáozú Zìzhìzhōu)</v>
      </c>
      <c r="P1182" s="15" t="str">
        <f t="shared" si="37"/>
        <v>Xinmajie Xiang (Wénshān Zhuàngzú Miáozú Zìzhìzhōu)</v>
      </c>
    </row>
    <row r="1183" spans="1:16" hidden="1" x14ac:dyDescent="0.25">
      <c r="A1183" t="s">
        <v>333</v>
      </c>
      <c r="B1183" t="str">
        <f>IF(COUNTIF(A:A,A1183)&gt;1,_xlfn.CONCAT(A1183," (",N1183,")"),A1183)</f>
        <v>Xīnqiáo Zhèn</v>
      </c>
      <c r="C1183" t="str">
        <f>IF(COUNTIF(B:B,B1183)&gt;1,_xlfn.CONCAT(A1183," (",M1183,")"),B1183)</f>
        <v>Xīnqiáo Zhèn</v>
      </c>
      <c r="D1183" t="s">
        <v>334</v>
      </c>
      <c r="E1183" t="s">
        <v>11</v>
      </c>
      <c r="F1183" t="str">
        <f>_xlfn.CONCAT(D1183,", ",H1183,", ",I1183,", ","云南省")</f>
        <v>新桥镇, 牟定县, 楚雄彝族自治州, 云南省</v>
      </c>
      <c r="G1183">
        <v>29294</v>
      </c>
      <c r="H1183" t="s">
        <v>2754</v>
      </c>
      <c r="I1183" t="s">
        <v>2750</v>
      </c>
      <c r="J1183">
        <f>VLOOKUP(F1183,[1]!china_towns_second__2[[Column1]:[Y]],3,FALSE)</f>
        <v>25.375009327763799</v>
      </c>
      <c r="K1183">
        <f>VLOOKUP(F1183,[1]!china_towns_second__2[[Column1]:[Y]],2,FALSE)</f>
        <v>101.6225025</v>
      </c>
      <c r="L1183" t="s">
        <v>4735</v>
      </c>
      <c r="M1183" t="str">
        <f>VLOOKUP(H1183,CHOOSE({1,2},Table17[Native],Table17[Name]),2,0)</f>
        <v>Móudìng Xiàn</v>
      </c>
      <c r="N1183" s="15" t="str">
        <f>VLOOKUP(I1183,CHOOSE({1,2},Table17[Native],Table17[Name]),2,0)</f>
        <v>Chŭxióng Yízú Zìzhìzhōu</v>
      </c>
      <c r="O1183" s="15" t="str">
        <f t="shared" si="36"/>
        <v>Xinqiao Zhen (Chŭxióng Yízú Zìzhìzhōu)</v>
      </c>
      <c r="P1183" s="15" t="str">
        <f t="shared" si="37"/>
        <v>Xinqiao Zhen (Chŭxióng Yízú Zìzhìzhōu)</v>
      </c>
    </row>
    <row r="1184" spans="1:16" hidden="1" x14ac:dyDescent="0.25">
      <c r="A1184" t="s">
        <v>995</v>
      </c>
      <c r="B1184" t="str">
        <f>IF(COUNTIF(A:A,A1184)&gt;1,_xlfn.CONCAT(A1184," (",N1184,")"),A1184)</f>
        <v>Xīnshào Zhèn</v>
      </c>
      <c r="C1184" t="str">
        <f>IF(COUNTIF(B:B,B1184)&gt;1,_xlfn.CONCAT(A1184," (",M1184,")"),B1184)</f>
        <v>Xīnshào Zhèn</v>
      </c>
      <c r="D1184" t="s">
        <v>996</v>
      </c>
      <c r="E1184" t="s">
        <v>11</v>
      </c>
      <c r="F1184" t="str">
        <f>_xlfn.CONCAT(D1184,", ",H1184,", ",I1184,", ","云南省")</f>
        <v>新哨镇, 弥勒市, 红河哈尼族彝族自治州, 云南省</v>
      </c>
      <c r="G1184">
        <v>58791</v>
      </c>
      <c r="H1184" t="s">
        <v>2802</v>
      </c>
      <c r="I1184" t="s">
        <v>2792</v>
      </c>
      <c r="J1184">
        <f>VLOOKUP(F1184,[1]!china_towns_second__2[[Column1]:[Y]],3,FALSE)</f>
        <v>24.272007524216399</v>
      </c>
      <c r="K1184">
        <f>VLOOKUP(F1184,[1]!china_towns_second__2[[Column1]:[Y]],2,FALSE)</f>
        <v>103.442263</v>
      </c>
      <c r="L1184" t="s">
        <v>4736</v>
      </c>
      <c r="M1184" t="str">
        <f>VLOOKUP(H1184,CHOOSE({1,2},Table17[Native],Table17[Name]),2,0)</f>
        <v>Mílè Shì</v>
      </c>
      <c r="N1184" s="15" t="str">
        <f>VLOOKUP(I1184,CHOOSE({1,2},Table17[Native],Table17[Name]),2,0)</f>
        <v>Hónghé Hānízú Yízú Zìzhìzhōu</v>
      </c>
      <c r="O1184" s="15" t="str">
        <f t="shared" si="36"/>
        <v>Xinshao Zhen (Hónghé Hānízú Yízú Zìzhìzhōu)</v>
      </c>
      <c r="P1184" s="15" t="str">
        <f t="shared" si="37"/>
        <v>Xinshao Zhen (Hónghé Hānízú Yízú Zìzhìzhōu)</v>
      </c>
    </row>
    <row r="1185" spans="1:16" hidden="1" x14ac:dyDescent="0.25">
      <c r="A1185" t="s">
        <v>2701</v>
      </c>
      <c r="B1185" t="str">
        <f>IF(COUNTIF(A:A,A1185)&gt;1,_xlfn.CONCAT(A1185," (",N1185,")"),A1185)</f>
        <v>Xīntān Zhèn</v>
      </c>
      <c r="C1185" t="str">
        <f>IF(COUNTIF(B:B,B1185)&gt;1,_xlfn.CONCAT(A1185," (",M1185,")"),B1185)</f>
        <v>Xīntān Zhèn</v>
      </c>
      <c r="D1185" t="s">
        <v>2702</v>
      </c>
      <c r="E1185" t="s">
        <v>11</v>
      </c>
      <c r="F1185" t="str">
        <f>_xlfn.CONCAT(D1185,", ",H1185,", ",I1185,", ","云南省")</f>
        <v>新滩镇, 绥江县, 昭通市, 云南省</v>
      </c>
      <c r="G1185">
        <v>22624</v>
      </c>
      <c r="H1185" t="s">
        <v>2904</v>
      </c>
      <c r="I1185" t="s">
        <v>2899</v>
      </c>
      <c r="J1185">
        <f>VLOOKUP(F1185,[1]!china_towns_second__2[[Column1]:[Y]],3,FALSE)</f>
        <v>28.5896237438679</v>
      </c>
      <c r="K1185">
        <f>VLOOKUP(F1185,[1]!china_towns_second__2[[Column1]:[Y]],2,FALSE)</f>
        <v>104.0973436</v>
      </c>
      <c r="L1185" t="s">
        <v>4737</v>
      </c>
      <c r="M1185" t="str">
        <f>VLOOKUP(H1185,CHOOSE({1,2},Table17[Native],Table17[Name]),2,0)</f>
        <v>Suíjiāng Xiàn</v>
      </c>
      <c r="N1185" s="15" t="str">
        <f>VLOOKUP(I1185,CHOOSE({1,2},Table17[Native],Table17[Name]),2,0)</f>
        <v>Zhāotōng Shì</v>
      </c>
      <c r="O1185" s="15" t="str">
        <f t="shared" si="36"/>
        <v>Xintan Zhen (Zhāotōng Shì)</v>
      </c>
      <c r="P1185" s="15" t="str">
        <f t="shared" si="37"/>
        <v>Xintan Zhen (Zhāotōng Shì)</v>
      </c>
    </row>
    <row r="1186" spans="1:16" hidden="1" x14ac:dyDescent="0.25">
      <c r="A1186" t="s">
        <v>570</v>
      </c>
      <c r="B1186" t="str">
        <f>IF(COUNTIF(A:A,A1186)&gt;1,_xlfn.CONCAT(A1186," (",N1186,")"),A1186)</f>
        <v>Xīntún Zhèn</v>
      </c>
      <c r="C1186" t="str">
        <f>IF(COUNTIF(B:B,B1186)&gt;1,_xlfn.CONCAT(A1186," (",M1186,")"),B1186)</f>
        <v>Xīntún Zhèn</v>
      </c>
      <c r="D1186" t="s">
        <v>571</v>
      </c>
      <c r="E1186" t="s">
        <v>11</v>
      </c>
      <c r="F1186" t="str">
        <f>_xlfn.CONCAT(D1186,", ",H1186,", ",I1186,", ","云南省")</f>
        <v>辛屯镇, 鹤庆县, 大理白族自治州, 云南省</v>
      </c>
      <c r="G1186">
        <v>34649</v>
      </c>
      <c r="H1186" t="s">
        <v>2767</v>
      </c>
      <c r="I1186" t="s">
        <v>2763</v>
      </c>
      <c r="J1186">
        <f>VLOOKUP(F1186,[1]!china_towns_second__2[[Column1]:[Y]],3,FALSE)</f>
        <v>26.632609179879498</v>
      </c>
      <c r="K1186">
        <f>VLOOKUP(F1186,[1]!china_towns_second__2[[Column1]:[Y]],2,FALSE)</f>
        <v>100.2491622</v>
      </c>
      <c r="L1186" t="s">
        <v>4738</v>
      </c>
      <c r="M1186" t="str">
        <f>VLOOKUP(H1186,CHOOSE({1,2},Table17[Native],Table17[Name]),2,0)</f>
        <v>Hèqìng Xiàn</v>
      </c>
      <c r="N1186" s="15" t="str">
        <f>VLOOKUP(I1186,CHOOSE({1,2},Table17[Native],Table17[Name]),2,0)</f>
        <v>Dàlĭ Báizú Zìzhìzhōu</v>
      </c>
      <c r="O1186" s="15" t="str">
        <f t="shared" si="36"/>
        <v>Xintun Zhen (Dàlĭ Báizú Zìzhìzhōu)</v>
      </c>
      <c r="P1186" s="15" t="str">
        <f t="shared" si="37"/>
        <v>Xintun Zhen (Dàlĭ Báizú Zìzhìzhōu)</v>
      </c>
    </row>
    <row r="1187" spans="1:16" hidden="1" x14ac:dyDescent="0.25">
      <c r="A1187" t="s">
        <v>997</v>
      </c>
      <c r="B1187" t="str">
        <f>IF(COUNTIF(A:A,A1187)&gt;1,_xlfn.CONCAT(A1187," (",N1187,")"),A1187)</f>
        <v>Xīnxiàn Zhèn</v>
      </c>
      <c r="C1187" t="str">
        <f>IF(COUNTIF(B:B,B1187)&gt;1,_xlfn.CONCAT(A1187," (",M1187,")"),B1187)</f>
        <v>Xīnxiàn Zhèn</v>
      </c>
      <c r="D1187" t="s">
        <v>998</v>
      </c>
      <c r="E1187" t="s">
        <v>11</v>
      </c>
      <c r="F1187" t="str">
        <f>_xlfn.CONCAT(D1187,", ",H1187,", ",I1187,", ","云南省")</f>
        <v>新现镇, 屏边苗族自治县, 红河哈尼族彝族自治州, 云南省</v>
      </c>
      <c r="G1187">
        <v>21159</v>
      </c>
      <c r="H1187" t="s">
        <v>2803</v>
      </c>
      <c r="I1187" t="s">
        <v>2792</v>
      </c>
      <c r="J1187">
        <f>VLOOKUP(F1187,[1]!china_towns_second__2[[Column1]:[Y]],3,FALSE)</f>
        <v>23.095585136253501</v>
      </c>
      <c r="K1187">
        <f>VLOOKUP(F1187,[1]!china_towns_second__2[[Column1]:[Y]],2,FALSE)</f>
        <v>103.5356479</v>
      </c>
      <c r="L1187" t="s">
        <v>4739</v>
      </c>
      <c r="M1187" t="str">
        <f>VLOOKUP(H1187,CHOOSE({1,2},Table17[Native],Table17[Name]),2,0)</f>
        <v>Píngbiān Miáozú Zìzhìxiàn</v>
      </c>
      <c r="N1187" s="15" t="str">
        <f>VLOOKUP(I1187,CHOOSE({1,2},Table17[Native],Table17[Name]),2,0)</f>
        <v>Hónghé Hānízú Yízú Zìzhìzhōu</v>
      </c>
      <c r="O1187" s="15" t="str">
        <f t="shared" si="36"/>
        <v>Xinxian Zhen (Hónghé Hānízú Yízú Zìzhìzhōu)</v>
      </c>
      <c r="P1187" s="15" t="str">
        <f t="shared" si="37"/>
        <v>Xinxian Zhen (Hónghé Hānízú Yízú Zìzhìzhōu)</v>
      </c>
    </row>
    <row r="1188" spans="1:16" hidden="1" x14ac:dyDescent="0.25">
      <c r="A1188" t="s">
        <v>1413</v>
      </c>
      <c r="B1188" t="str">
        <f>IF(COUNTIF(A:A,A1188)&gt;1,_xlfn.CONCAT(A1188," (",N1188,")"),A1188)</f>
        <v>Xīnyíngpán Xiāng</v>
      </c>
      <c r="C1188" t="str">
        <f>IF(COUNTIF(B:B,B1188)&gt;1,_xlfn.CONCAT(A1188," (",M1188,")"),B1188)</f>
        <v>Xīnyíngpán Xiāng</v>
      </c>
      <c r="D1188" t="s">
        <v>1414</v>
      </c>
      <c r="E1188" t="s">
        <v>7</v>
      </c>
      <c r="F1188" t="str">
        <f>_xlfn.CONCAT(D1188,", ",H1188,", ",I1188,", ","云南省")</f>
        <v>新营盘乡, 宁蒗彝族自治县, 丽江市, 云南省</v>
      </c>
      <c r="G1188">
        <v>21008</v>
      </c>
      <c r="H1188" t="s">
        <v>2827</v>
      </c>
      <c r="I1188" t="s">
        <v>2823</v>
      </c>
      <c r="J1188" t="e">
        <f>VLOOKUP(F1188,[1]!china_towns_second__2[[Column1]:[Y]],3,FALSE)</f>
        <v>#N/A</v>
      </c>
      <c r="K1188" t="e">
        <f>VLOOKUP(F1188,[1]!china_towns_second__2[[Column1]:[Y]],2,FALSE)</f>
        <v>#N/A</v>
      </c>
      <c r="L1188" t="s">
        <v>4740</v>
      </c>
      <c r="M1188" t="str">
        <f>VLOOKUP(H1188,CHOOSE({1,2},Table17[Native],Table17[Name]),2,0)</f>
        <v>Nínglàng Yízú Zìzhìxiàn</v>
      </c>
      <c r="N1188" s="15" t="str">
        <f>VLOOKUP(I1188,CHOOSE({1,2},Table17[Native],Table17[Name]),2,0)</f>
        <v>Lìjiāng Shì</v>
      </c>
      <c r="O1188" s="15" t="str">
        <f t="shared" si="36"/>
        <v>Xinyingpan Xiang (Lìjiāng Shì)</v>
      </c>
      <c r="P1188" s="15" t="str">
        <f t="shared" si="37"/>
        <v>Xinyingpan Xiang (Lìjiāng Shì)</v>
      </c>
    </row>
    <row r="1189" spans="1:16" hidden="1" x14ac:dyDescent="0.25">
      <c r="A1189" t="s">
        <v>1415</v>
      </c>
      <c r="B1189" t="str">
        <f>IF(COUNTIF(A:A,A1189)&gt;1,_xlfn.CONCAT(A1189," (",N1189,")"),A1189)</f>
        <v>Xīnzhuāng Lìsùzú Dăizú Xiāng</v>
      </c>
      <c r="C1189" t="str">
        <f>IF(COUNTIF(B:B,B1189)&gt;1,_xlfn.CONCAT(A1189," (",M1189,")"),B1189)</f>
        <v>Xīnzhuāng Lìsùzú Dăizú Xiāng</v>
      </c>
      <c r="D1189" t="s">
        <v>1416</v>
      </c>
      <c r="E1189" t="s">
        <v>7</v>
      </c>
      <c r="F1189" t="str">
        <f>_xlfn.CONCAT(D1189,", ",H1189,", ",I1189,", ","云南省")</f>
        <v>新庄傈僳族傣族乡, 华坪县, 丽江市, 云南省</v>
      </c>
      <c r="G1189">
        <v>16064</v>
      </c>
      <c r="H1189" t="s">
        <v>2826</v>
      </c>
      <c r="I1189" t="s">
        <v>2823</v>
      </c>
      <c r="J1189" t="e">
        <f>VLOOKUP(F1189,[1]!china_towns_second__2[[Column1]:[Y]],3,FALSE)</f>
        <v>#N/A</v>
      </c>
      <c r="K1189" t="e">
        <f>VLOOKUP(F1189,[1]!china_towns_second__2[[Column1]:[Y]],2,FALSE)</f>
        <v>#N/A</v>
      </c>
      <c r="L1189" t="s">
        <v>4741</v>
      </c>
      <c r="M1189" t="str">
        <f>VLOOKUP(H1189,CHOOSE({1,2},Table17[Native],Table17[Name]),2,0)</f>
        <v>Huápíng Xiàn</v>
      </c>
      <c r="N1189" s="15" t="str">
        <f>VLOOKUP(I1189,CHOOSE({1,2},Table17[Native],Table17[Name]),2,0)</f>
        <v>Lìjiāng Shì</v>
      </c>
      <c r="O1189" s="15" t="str">
        <f t="shared" si="36"/>
        <v>Xinzhuang Lisuzu Daizu Xiang (Lìjiāng Shì)</v>
      </c>
      <c r="P1189" s="15" t="str">
        <f t="shared" si="37"/>
        <v>Xinzhuang Lisuzu Daizu Xiang (Lìjiāng Shì)</v>
      </c>
    </row>
    <row r="1190" spans="1:16" hidden="1" x14ac:dyDescent="0.25">
      <c r="A1190" t="s">
        <v>2021</v>
      </c>
      <c r="B1190" t="str">
        <f>IF(COUNTIF(A:A,A1190)&gt;1,_xlfn.CONCAT(A1190," (",N1190,")"),A1190)</f>
        <v>Xióngbì Zhèn</v>
      </c>
      <c r="C1190" t="str">
        <f>IF(COUNTIF(B:B,B1190)&gt;1,_xlfn.CONCAT(A1190," (",M1190,")"),B1190)</f>
        <v>Xióngbì Zhèn</v>
      </c>
      <c r="D1190" t="s">
        <v>2022</v>
      </c>
      <c r="E1190" t="s">
        <v>11</v>
      </c>
      <c r="F1190" t="str">
        <f>_xlfn.CONCAT(D1190,", ",H1190,", ",I1190,", ","云南省")</f>
        <v>雄壁镇, 师宗县, 曲靖市, 云南省</v>
      </c>
      <c r="G1190">
        <v>54312</v>
      </c>
      <c r="H1190" t="s">
        <v>2867</v>
      </c>
      <c r="I1190" t="s">
        <v>2860</v>
      </c>
      <c r="J1190">
        <f>VLOOKUP(F1190,[1]!china_towns_second__2[[Column1]:[Y]],3,FALSE)</f>
        <v>24.903819840430302</v>
      </c>
      <c r="K1190">
        <f>VLOOKUP(F1190,[1]!china_towns_second__2[[Column1]:[Y]],2,FALSE)</f>
        <v>103.8851276</v>
      </c>
      <c r="L1190" t="s">
        <v>4742</v>
      </c>
      <c r="M1190" t="str">
        <f>VLOOKUP(H1190,CHOOSE({1,2},Table17[Native],Table17[Name]),2,0)</f>
        <v>Shīzōng Xiàn</v>
      </c>
      <c r="N1190" s="15" t="str">
        <f>VLOOKUP(I1190,CHOOSE({1,2},Table17[Native],Table17[Name]),2,0)</f>
        <v>Qŭjìng Shì</v>
      </c>
      <c r="O1190" s="15" t="str">
        <f t="shared" si="36"/>
        <v>Xiongbi Zhen (Qŭjìng Shì)</v>
      </c>
      <c r="P1190" s="15" t="str">
        <f t="shared" si="37"/>
        <v>Xiongbi Zhen (Qŭjìng Shì)</v>
      </c>
    </row>
    <row r="1191" spans="1:16" hidden="1" x14ac:dyDescent="0.25">
      <c r="A1191" t="s">
        <v>2443</v>
      </c>
      <c r="B1191" t="str">
        <f>IF(COUNTIF(A:A,A1191)&gt;1,_xlfn.CONCAT(A1191," (",N1191,")"),A1191)</f>
        <v>Xióngguān Xiāng</v>
      </c>
      <c r="C1191" t="str">
        <f>IF(COUNTIF(B:B,B1191)&gt;1,_xlfn.CONCAT(A1191," (",M1191,")"),B1191)</f>
        <v>Xióngguān Xiāng</v>
      </c>
      <c r="D1191" t="s">
        <v>2444</v>
      </c>
      <c r="E1191" t="s">
        <v>7</v>
      </c>
      <c r="F1191" t="str">
        <f>_xlfn.CONCAT(D1191,", ",H1191,", ",I1191,", ","云南省")</f>
        <v>雄关乡, 江川区, 玉溪市, 云南省</v>
      </c>
      <c r="G1191">
        <v>10852</v>
      </c>
      <c r="H1191" t="s">
        <v>2893</v>
      </c>
      <c r="I1191" t="s">
        <v>2888</v>
      </c>
      <c r="J1191" t="e">
        <f>VLOOKUP(F1191,[1]!china_towns_second__2[[Column1]:[Y]],3,FALSE)</f>
        <v>#N/A</v>
      </c>
      <c r="K1191" t="e">
        <f>VLOOKUP(F1191,[1]!china_towns_second__2[[Column1]:[Y]],2,FALSE)</f>
        <v>#N/A</v>
      </c>
      <c r="L1191" t="s">
        <v>4743</v>
      </c>
      <c r="M1191" t="str">
        <f>VLOOKUP(H1191,CHOOSE({1,2},Table17[Native],Table17[Name]),2,0)</f>
        <v>Jiāngchuān Qū</v>
      </c>
      <c r="N1191" s="15" t="str">
        <f>VLOOKUP(I1191,CHOOSE({1,2},Table17[Native],Table17[Name]),2,0)</f>
        <v>Yùxī Shì</v>
      </c>
      <c r="O1191" s="15" t="str">
        <f t="shared" si="36"/>
        <v>Xiongguan Xiang (Yùxī Shì)</v>
      </c>
      <c r="P1191" s="15" t="str">
        <f t="shared" si="37"/>
        <v>Xiongguan Xiang (Yùxī Shì)</v>
      </c>
    </row>
    <row r="1192" spans="1:16" hidden="1" x14ac:dyDescent="0.25">
      <c r="A1192" t="s">
        <v>2023</v>
      </c>
      <c r="B1192" t="str">
        <f>IF(COUNTIF(A:A,A1192)&gt;1,_xlfn.CONCAT(A1192," (",N1192,")"),A1192)</f>
        <v>Xīpíng Zhèn [incl. Xīpíng Jiēdào, Lónghuá Jiēdào, Jīnlóng Jiēdào]</v>
      </c>
      <c r="C1192" t="str">
        <f>IF(COUNTIF(B:B,B1192)&gt;1,_xlfn.CONCAT(A1192," (",M1192,")"),B1192)</f>
        <v>Xīpíng Zhèn [incl. Xīpíng Jiēdào, Lónghuá Jiēdào, Jīnlóng Jiēdào]</v>
      </c>
      <c r="D1192" t="s">
        <v>2933</v>
      </c>
      <c r="E1192" t="s">
        <v>11</v>
      </c>
      <c r="F1192" t="str">
        <f>_xlfn.CONCAT(D1192,", ",H1192,", ",I1192,", ","云南省")</f>
        <v>西平镇, 沾益区, 曲靖市, 云南省</v>
      </c>
      <c r="G1192">
        <v>124670</v>
      </c>
      <c r="H1192" t="s">
        <v>2869</v>
      </c>
      <c r="I1192" t="s">
        <v>2860</v>
      </c>
      <c r="J1192">
        <f>VLOOKUP(F1192,[1]!china_towns_second__2[[Column1]:[Y]],3,FALSE)</f>
        <v>25.612600872365999</v>
      </c>
      <c r="K1192">
        <f>VLOOKUP(F1192,[1]!china_towns_second__2[[Column1]:[Y]],2,FALSE)</f>
        <v>103.82059390000001</v>
      </c>
      <c r="L1192" t="s">
        <v>4744</v>
      </c>
      <c r="M1192" t="str">
        <f>VLOOKUP(H1192,CHOOSE({1,2},Table17[Native],Table17[Name]),2,0)</f>
        <v>Zhānyì Qū</v>
      </c>
      <c r="N1192" s="15" t="str">
        <f>VLOOKUP(I1192,CHOOSE({1,2},Table17[Native],Table17[Name]),2,0)</f>
        <v>Qŭjìng Shì</v>
      </c>
      <c r="O1192" s="15" t="str">
        <f t="shared" si="36"/>
        <v>Xiping Zhen [incl. Xiping Jiedao, Longhua Jiedao, Jinlong Jiedao] (Qŭjìng Shì)</v>
      </c>
      <c r="P1192" s="15" t="str">
        <f t="shared" si="37"/>
        <v>Xiping Zhen [incl. Xiping Jiedao, Longhua Jiedao, Jinlong Jiedao] (Qŭjìng Shì)</v>
      </c>
    </row>
    <row r="1193" spans="1:16" hidden="1" x14ac:dyDescent="0.25">
      <c r="A1193" t="s">
        <v>2232</v>
      </c>
      <c r="B1193" t="str">
        <f>IF(COUNTIF(A:A,A1193)&gt;1,_xlfn.CONCAT(A1193," (",N1193,")"),A1193)</f>
        <v>Xīsă Zhèn</v>
      </c>
      <c r="C1193" t="str">
        <f>IF(COUNTIF(B:B,B1193)&gt;1,_xlfn.CONCAT(A1193," (",M1193,")"),B1193)</f>
        <v>Xīsă Zhèn</v>
      </c>
      <c r="D1193" t="s">
        <v>2233</v>
      </c>
      <c r="E1193" t="s">
        <v>11</v>
      </c>
      <c r="F1193" t="str">
        <f>_xlfn.CONCAT(D1193,", ",H1193,", ",I1193,", ","云南省")</f>
        <v>西洒镇, 西畴县, 文山壮族苗族自治州, 云南省</v>
      </c>
      <c r="G1193">
        <v>45518</v>
      </c>
      <c r="H1193" t="s">
        <v>2879</v>
      </c>
      <c r="I1193" t="s">
        <v>2872</v>
      </c>
      <c r="J1193">
        <f>VLOOKUP(F1193,[1]!china_towns_second__2[[Column1]:[Y]],3,FALSE)</f>
        <v>23.443658086415802</v>
      </c>
      <c r="K1193">
        <f>VLOOKUP(F1193,[1]!china_towns_second__2[[Column1]:[Y]],2,FALSE)</f>
        <v>104.6793929</v>
      </c>
      <c r="L1193" t="s">
        <v>4745</v>
      </c>
      <c r="M1193" t="str">
        <f>VLOOKUP(H1193,CHOOSE({1,2},Table17[Native],Table17[Name]),2,0)</f>
        <v>Xīchóu Xiàn</v>
      </c>
      <c r="N1193" s="15" t="str">
        <f>VLOOKUP(I1193,CHOOSE({1,2},Table17[Native],Table17[Name]),2,0)</f>
        <v>Wénshān Zhuàngzú Miáozú Zìzhìzhōu</v>
      </c>
      <c r="O1193" s="15" t="str">
        <f t="shared" si="36"/>
        <v>Xisa Zhen (Wénshān Zhuàngzú Miáozú Zìzhìzhōu)</v>
      </c>
      <c r="P1193" s="15" t="str">
        <f t="shared" si="37"/>
        <v>Xisa Zhen (Wénshān Zhuàngzú Miáozú Zìzhìzhōu)</v>
      </c>
    </row>
    <row r="1194" spans="1:16" hidden="1" x14ac:dyDescent="0.25">
      <c r="A1194" t="s">
        <v>999</v>
      </c>
      <c r="B1194" t="str">
        <f>IF(COUNTIF(A:A,A1194)&gt;1,_xlfn.CONCAT(A1194," (",N1194,")"),A1194)</f>
        <v>Xīsān Zhèn</v>
      </c>
      <c r="C1194" t="str">
        <f>IF(COUNTIF(B:B,B1194)&gt;1,_xlfn.CONCAT(A1194," (",M1194,")"),B1194)</f>
        <v>Xīsān Zhèn</v>
      </c>
      <c r="D1194" t="s">
        <v>1000</v>
      </c>
      <c r="E1194" t="s">
        <v>11</v>
      </c>
      <c r="F1194" t="str">
        <f>_xlfn.CONCAT(D1194,", ",H1194,", ",I1194,", ","云南省")</f>
        <v>西三镇, 弥勒市, 红河哈尼族彝族自治州, 云南省</v>
      </c>
      <c r="G1194">
        <v>23980</v>
      </c>
      <c r="H1194" t="s">
        <v>2802</v>
      </c>
      <c r="I1194" t="s">
        <v>2792</v>
      </c>
      <c r="J1194">
        <f>VLOOKUP(F1194,[1]!china_towns_second__2[[Column1]:[Y]],3,FALSE)</f>
        <v>24.553674478761401</v>
      </c>
      <c r="K1194">
        <f>VLOOKUP(F1194,[1]!china_towns_second__2[[Column1]:[Y]],2,FALSE)</f>
        <v>103.3577183</v>
      </c>
      <c r="L1194" t="s">
        <v>4746</v>
      </c>
      <c r="M1194" t="str">
        <f>VLOOKUP(H1194,CHOOSE({1,2},Table17[Native],Table17[Name]),2,0)</f>
        <v>Mílè Shì</v>
      </c>
      <c r="N1194" s="15" t="str">
        <f>VLOOKUP(I1194,CHOOSE({1,2},Table17[Native],Table17[Name]),2,0)</f>
        <v>Hónghé Hānízú Yízú Zìzhìzhōu</v>
      </c>
      <c r="O1194" s="15" t="str">
        <f t="shared" si="36"/>
        <v>Xisan Zhen (Hónghé Hānízú Yízú Zìzhìzhōu)</v>
      </c>
      <c r="P1194" s="15" t="str">
        <f t="shared" si="37"/>
        <v>Xisan Zhen (Hónghé Hānízú Yízú Zìzhìzhōu)</v>
      </c>
    </row>
    <row r="1195" spans="1:16" hidden="1" x14ac:dyDescent="0.25">
      <c r="A1195" t="s">
        <v>2703</v>
      </c>
      <c r="B1195" t="str">
        <f>IF(COUNTIF(A:A,A1195)&gt;1,_xlfn.CONCAT(A1195," (",N1195,")"),A1195)</f>
        <v>Xìshā Xiāng</v>
      </c>
      <c r="C1195" t="str">
        <f>IF(COUNTIF(B:B,B1195)&gt;1,_xlfn.CONCAT(A1195," (",M1195,")"),B1195)</f>
        <v>Xìshā Xiāng</v>
      </c>
      <c r="D1195" t="s">
        <v>2704</v>
      </c>
      <c r="E1195" t="s">
        <v>7</v>
      </c>
      <c r="F1195" t="str">
        <f>_xlfn.CONCAT(D1195,", ",H1195,", ",I1195,", ","云南省")</f>
        <v>细沙乡, 永善县, 昭通市, 云南省</v>
      </c>
      <c r="G1195">
        <v>17742</v>
      </c>
      <c r="H1195" t="s">
        <v>2908</v>
      </c>
      <c r="I1195" t="s">
        <v>2899</v>
      </c>
      <c r="J1195" t="e">
        <f>VLOOKUP(F1195,[1]!china_towns_second__2[[Column1]:[Y]],3,FALSE)</f>
        <v>#N/A</v>
      </c>
      <c r="K1195" t="e">
        <f>VLOOKUP(F1195,[1]!china_towns_second__2[[Column1]:[Y]],2,FALSE)</f>
        <v>#N/A</v>
      </c>
      <c r="L1195" t="s">
        <v>4747</v>
      </c>
      <c r="M1195" t="str">
        <f>VLOOKUP(H1195,CHOOSE({1,2},Table17[Native],Table17[Name]),2,0)</f>
        <v>Yŏngshàn Xiàn</v>
      </c>
      <c r="N1195" s="15" t="str">
        <f>VLOOKUP(I1195,CHOOSE({1,2},Table17[Native],Table17[Name]),2,0)</f>
        <v>Zhāotōng Shì</v>
      </c>
      <c r="O1195" s="15" t="str">
        <f t="shared" si="36"/>
        <v>Xisha Xiang (Zhāotōng Shì)</v>
      </c>
      <c r="P1195" s="15" t="str">
        <f t="shared" si="37"/>
        <v>Xisha Xiang (Zhāotōng Shì)</v>
      </c>
    </row>
    <row r="1196" spans="1:16" hidden="1" x14ac:dyDescent="0.25">
      <c r="A1196" t="s">
        <v>572</v>
      </c>
      <c r="B1196" t="str">
        <f>IF(COUNTIF(A:A,A1196)&gt;1,_xlfn.CONCAT(A1196," (",N1196,")"),A1196)</f>
        <v>Xīshān Xiāng (Dàlĭ Báizú Zìzhìzhōu)</v>
      </c>
      <c r="C1196" t="str">
        <f>IF(COUNTIF(B:B,B1196)&gt;1,_xlfn.CONCAT(A1196," (",M1196,")"),B1196)</f>
        <v>Xīshān Xiāng (Dàlĭ Báizú Zìzhìzhōu)</v>
      </c>
      <c r="D1196" t="s">
        <v>573</v>
      </c>
      <c r="E1196" t="s">
        <v>7</v>
      </c>
      <c r="F1196" t="str">
        <f>_xlfn.CONCAT(D1196,", ",H1196,", ",I1196,", ","云南省")</f>
        <v>西山乡, 洱源县, 大理白族自治州, 云南省</v>
      </c>
      <c r="G1196">
        <v>12707</v>
      </c>
      <c r="H1196" t="s">
        <v>2766</v>
      </c>
      <c r="I1196" t="s">
        <v>2763</v>
      </c>
      <c r="J1196" t="e">
        <f>VLOOKUP(F1196,[1]!china_towns_second__2[[Column1]:[Y]],3,FALSE)</f>
        <v>#N/A</v>
      </c>
      <c r="K1196" t="e">
        <f>VLOOKUP(F1196,[1]!china_towns_second__2[[Column1]:[Y]],2,FALSE)</f>
        <v>#N/A</v>
      </c>
      <c r="L1196" t="s">
        <v>4748</v>
      </c>
      <c r="M1196" t="str">
        <f>VLOOKUP(H1196,CHOOSE({1,2},Table17[Native],Table17[Name]),2,0)</f>
        <v>Ĕryuán Xiàn</v>
      </c>
      <c r="N1196" s="15" t="str">
        <f>VLOOKUP(I1196,CHOOSE({1,2},Table17[Native],Table17[Name]),2,0)</f>
        <v>Dàlĭ Báizú Zìzhìzhōu</v>
      </c>
      <c r="O1196" s="15" t="str">
        <f t="shared" si="36"/>
        <v>Xishan Xiang (Dali Baizu Zizhizhou) (Dàlĭ Báizú Zìzhìzhōu)</v>
      </c>
      <c r="P1196" s="15" t="str">
        <f t="shared" si="37"/>
        <v>Xishan Xiang (Dali Baizu Zizhizhou) (Dàlĭ Báizú Zìzhìzhōu)</v>
      </c>
    </row>
    <row r="1197" spans="1:16" hidden="1" x14ac:dyDescent="0.25">
      <c r="A1197" t="s">
        <v>572</v>
      </c>
      <c r="B1197" t="str">
        <f>IF(COUNTIF(A:A,A1197)&gt;1,_xlfn.CONCAT(A1197," (",N1197,")"),A1197)</f>
        <v>Xīshān Xiāng (Déhóng Dăizú Jĭngpōzú Zìzhìzhōu)</v>
      </c>
      <c r="C1197" t="str">
        <f>IF(COUNTIF(B:B,B1197)&gt;1,_xlfn.CONCAT(A1197," (",M1197,")"),B1197)</f>
        <v>Xīshān Xiāng (Déhóng Dăizú Jĭngpōzú Zìzhìzhōu)</v>
      </c>
      <c r="D1197" t="s">
        <v>573</v>
      </c>
      <c r="E1197" t="s">
        <v>7</v>
      </c>
      <c r="F1197" t="str">
        <f>_xlfn.CONCAT(D1197,", ",H1197,", ",I1197,", ","云南省")</f>
        <v>西山乡, 芒市, 德宏傣族景颇族自治州, 云南省</v>
      </c>
      <c r="G1197">
        <v>12296</v>
      </c>
      <c r="H1197" t="s">
        <v>2782</v>
      </c>
      <c r="I1197" t="s">
        <v>2779</v>
      </c>
      <c r="J1197" t="e">
        <f>VLOOKUP(F1197,[1]!china_towns_second__2[[Column1]:[Y]],3,FALSE)</f>
        <v>#N/A</v>
      </c>
      <c r="K1197" t="e">
        <f>VLOOKUP(F1197,[1]!china_towns_second__2[[Column1]:[Y]],2,FALSE)</f>
        <v>#N/A</v>
      </c>
      <c r="L1197" t="s">
        <v>4749</v>
      </c>
      <c r="M1197" t="str">
        <f>VLOOKUP(H1197,CHOOSE({1,2},Table17[Native],Table17[Name]),2,0)</f>
        <v>Máng Shì</v>
      </c>
      <c r="N1197" s="15" t="str">
        <f>VLOOKUP(I1197,CHOOSE({1,2},Table17[Native],Table17[Name]),2,0)</f>
        <v>Déhóng Dăizú Jĭngpōzú Zìzhìzhōu</v>
      </c>
      <c r="O1197" s="15" t="str">
        <f t="shared" si="36"/>
        <v>Xishan Xiang (Dehong Daizu Jingpozu Zizhizhou) (Déhóng Dăizú Jĭngpōzú Zìzhìzhōu)</v>
      </c>
      <c r="P1197" s="15" t="str">
        <f t="shared" si="37"/>
        <v>Xishan Xiang (Dehong Daizu Jingpozu Zizhizhou) (Déhóng Dăizú Jĭngpōzú Zìzhìzhōu)</v>
      </c>
    </row>
    <row r="1198" spans="1:16" hidden="1" x14ac:dyDescent="0.25">
      <c r="A1198" t="s">
        <v>335</v>
      </c>
      <c r="B1198" t="str">
        <f>IF(COUNTIF(A:A,A1198)&gt;1,_xlfn.CONCAT(A1198," (",N1198,")"),A1198)</f>
        <v>Xīshèlù Zhèn</v>
      </c>
      <c r="C1198" t="str">
        <f>IF(COUNTIF(B:B,B1198)&gt;1,_xlfn.CONCAT(A1198," (",M1198,")"),B1198)</f>
        <v>Xīshèlù Zhèn</v>
      </c>
      <c r="D1198" t="s">
        <v>336</v>
      </c>
      <c r="E1198" t="s">
        <v>11</v>
      </c>
      <c r="F1198" t="str">
        <f>_xlfn.CONCAT(D1198,", ",H1198,", ",I1198,", ","云南省")</f>
        <v>西舍路镇, 楚雄市, 楚雄彝族自治州, 云南省</v>
      </c>
      <c r="G1198">
        <v>18448</v>
      </c>
      <c r="H1198" t="s">
        <v>2751</v>
      </c>
      <c r="I1198" t="s">
        <v>2750</v>
      </c>
      <c r="J1198">
        <f>VLOOKUP(F1198,[1]!china_towns_second__2[[Column1]:[Y]],3,FALSE)</f>
        <v>24.6415108154909</v>
      </c>
      <c r="K1198">
        <f>VLOOKUP(F1198,[1]!china_towns_second__2[[Column1]:[Y]],2,FALSE)</f>
        <v>101.0425395</v>
      </c>
      <c r="L1198" t="s">
        <v>4750</v>
      </c>
      <c r="M1198" t="str">
        <f>VLOOKUP(H1198,CHOOSE({1,2},Table17[Native],Table17[Name]),2,0)</f>
        <v>Chŭxióng Shì</v>
      </c>
      <c r="N1198" s="15" t="str">
        <f>VLOOKUP(I1198,CHOOSE({1,2},Table17[Native],Table17[Name]),2,0)</f>
        <v>Chŭxióng Yízú Zìzhìzhōu</v>
      </c>
      <c r="O1198" s="15" t="str">
        <f t="shared" si="36"/>
        <v>Xishelu Zhen (Chŭxióng Yízú Zìzhìzhōu)</v>
      </c>
      <c r="P1198" s="15" t="str">
        <f t="shared" si="37"/>
        <v>Xishelu Zhen (Chŭxióng Yízú Zìzhìzhōu)</v>
      </c>
    </row>
    <row r="1199" spans="1:16" hidden="1" x14ac:dyDescent="0.25">
      <c r="A1199" t="s">
        <v>2313</v>
      </c>
      <c r="B1199" t="str">
        <f>IF(COUNTIF(A:A,A1199)&gt;1,_xlfn.CONCAT(A1199," (",N1199,")"),A1199)</f>
        <v>Xīshuāngbănnà Móhān Jīngjì Kāifāqū</v>
      </c>
      <c r="C1199" t="str">
        <f>IF(COUNTIF(B:B,B1199)&gt;1,_xlfn.CONCAT(A1199," (",M1199,")"),B1199)</f>
        <v>Xīshuāngbănnà Móhān Jīngjì Kāifāqū</v>
      </c>
      <c r="D1199" t="s">
        <v>2314</v>
      </c>
      <c r="E1199" t="s">
        <v>380</v>
      </c>
      <c r="F1199" t="str">
        <f>_xlfn.CONCAT(D1199,", ",H1199,", ",I1199,", ","云南省")</f>
        <v>西双版纳磨憨经济开发区, 勐腊县, 西双版纳傣族自治州, 云南省</v>
      </c>
      <c r="G1199">
        <v>5553</v>
      </c>
      <c r="H1199" t="s">
        <v>2886</v>
      </c>
      <c r="I1199" t="s">
        <v>2883</v>
      </c>
      <c r="J1199">
        <f>VLOOKUP(F1199,[1]!china_towns_second__2[[Column1]:[Y]],3,FALSE)</f>
        <v>21.295630081133201</v>
      </c>
      <c r="K1199">
        <f>VLOOKUP(F1199,[1]!china_towns_second__2[[Column1]:[Y]],2,FALSE)</f>
        <v>101.6430445</v>
      </c>
      <c r="L1199" t="s">
        <v>4751</v>
      </c>
      <c r="M1199" t="str">
        <f>VLOOKUP(H1199,CHOOSE({1,2},Table17[Native],Table17[Name]),2,0)</f>
        <v>Mĕnglà Xiàn</v>
      </c>
      <c r="N1199" s="15" t="str">
        <f>VLOOKUP(I1199,CHOOSE({1,2},Table17[Native],Table17[Name]),2,0)</f>
        <v>Xīshuāngbănnà Dăizú Zìzhìzhōu</v>
      </c>
      <c r="O1199" s="15" t="str">
        <f t="shared" si="36"/>
        <v>Xishuangbanna Mohan Jingji Kaifaqu (Xīshuāngbănnà Dăizú Zìzhìzhōu)</v>
      </c>
      <c r="P1199" s="15" t="str">
        <f t="shared" si="37"/>
        <v>Xishuangbanna Mohan Jingji Kaifaqu (Xīshuāngbănnà Dăizú Zìzhìzhōu)</v>
      </c>
    </row>
    <row r="1200" spans="1:16" hidden="1" x14ac:dyDescent="0.25">
      <c r="A1200" t="s">
        <v>2315</v>
      </c>
      <c r="B1200" t="str">
        <f>IF(COUNTIF(A:A,A1200)&gt;1,_xlfn.CONCAT(A1200," (",N1200,")"),A1200)</f>
        <v>Xīshuāngbănnà Wàidù Jiăqū</v>
      </c>
      <c r="C1200" t="str">
        <f>IF(COUNTIF(B:B,B1200)&gt;1,_xlfn.CONCAT(A1200," (",M1200,")"),B1200)</f>
        <v>Xīshuāngbănnà Wàidù Jiăqū</v>
      </c>
      <c r="D1200" t="s">
        <v>2316</v>
      </c>
      <c r="E1200" t="s">
        <v>380</v>
      </c>
      <c r="F1200" t="str">
        <f>_xlfn.CONCAT(D1200,", ",H1200,", ",I1200,", ","云南省")</f>
        <v>西双版纳外渡假区, 景洪市, 西双版纳傣族自治州, 云南省</v>
      </c>
      <c r="G1200">
        <v>7461</v>
      </c>
      <c r="H1200" t="s">
        <v>2884</v>
      </c>
      <c r="I1200" t="s">
        <v>2883</v>
      </c>
      <c r="J1200" t="e">
        <f>VLOOKUP(F1200,[1]!china_towns_second__2[[Column1]:[Y]],3,FALSE)</f>
        <v>#N/A</v>
      </c>
      <c r="K1200" t="e">
        <f>VLOOKUP(F1200,[1]!china_towns_second__2[[Column1]:[Y]],2,FALSE)</f>
        <v>#N/A</v>
      </c>
      <c r="L1200" t="s">
        <v>4752</v>
      </c>
      <c r="M1200" t="str">
        <f>VLOOKUP(H1200,CHOOSE({1,2},Table17[Native],Table17[Name]),2,0)</f>
        <v>Jĭnghóng Shì</v>
      </c>
      <c r="N1200" s="15" t="str">
        <f>VLOOKUP(I1200,CHOOSE({1,2},Table17[Native],Table17[Name]),2,0)</f>
        <v>Xīshuāngbănnà Dăizú Zìzhìzhōu</v>
      </c>
      <c r="O1200" s="15" t="str">
        <f t="shared" si="36"/>
        <v>Xishuangbanna Waidu Jiaqu (Xīshuāngbănnà Dăizú Zìzhìzhōu)</v>
      </c>
      <c r="P1200" s="15" t="str">
        <f t="shared" si="37"/>
        <v>Xishuangbanna Waidu Jiaqu (Xīshuāngbănnà Dăizú Zìzhìzhōu)</v>
      </c>
    </row>
    <row r="1201" spans="1:16" hidden="1" x14ac:dyDescent="0.25">
      <c r="A1201" t="s">
        <v>2445</v>
      </c>
      <c r="B1201" t="str">
        <f>IF(COUNTIF(A:A,A1201)&gt;1,_xlfn.CONCAT(A1201," (",N1201,")"),A1201)</f>
        <v>Xiùshān Jiēdào</v>
      </c>
      <c r="C1201" t="str">
        <f>IF(COUNTIF(B:B,B1201)&gt;1,_xlfn.CONCAT(A1201," (",M1201,")"),B1201)</f>
        <v>Xiùshān Jiēdào</v>
      </c>
      <c r="D1201" t="s">
        <v>2446</v>
      </c>
      <c r="E1201" t="s">
        <v>42</v>
      </c>
      <c r="F1201" t="str">
        <f>_xlfn.CONCAT(D1201,", ",H1201,", ",I1201,", ","云南省")</f>
        <v>秀山街道, 通海县, 玉溪市, 云南省</v>
      </c>
      <c r="G1201">
        <v>80299</v>
      </c>
      <c r="H1201" t="s">
        <v>2894</v>
      </c>
      <c r="I1201" t="s">
        <v>2888</v>
      </c>
      <c r="J1201">
        <f>VLOOKUP(F1201,[1]!china_towns_second__2[[Column1]:[Y]],3,FALSE)</f>
        <v>24.115605444960501</v>
      </c>
      <c r="K1201">
        <f>VLOOKUP(F1201,[1]!china_towns_second__2[[Column1]:[Y]],2,FALSE)</f>
        <v>102.7463497</v>
      </c>
      <c r="L1201" t="s">
        <v>4753</v>
      </c>
      <c r="M1201" t="str">
        <f>VLOOKUP(H1201,CHOOSE({1,2},Table17[Native],Table17[Name]),2,0)</f>
        <v>Tōnghăi Xiàn</v>
      </c>
      <c r="N1201" s="15" t="str">
        <f>VLOOKUP(I1201,CHOOSE({1,2},Table17[Native],Table17[Name]),2,0)</f>
        <v>Yùxī Shì</v>
      </c>
      <c r="O1201" s="15" t="str">
        <f t="shared" si="36"/>
        <v>Xiushan Jiedao (Yùxī Shì)</v>
      </c>
      <c r="P1201" s="15" t="str">
        <f t="shared" si="37"/>
        <v>Xiushan Jiedao (Yùxī Shì)</v>
      </c>
    </row>
    <row r="1202" spans="1:16" hidden="1" x14ac:dyDescent="0.25">
      <c r="A1202" t="s">
        <v>1274</v>
      </c>
      <c r="B1202" t="str">
        <f>IF(COUNTIF(A:A,A1202)&gt;1,_xlfn.CONCAT(A1202," (",N1202,")"),A1202)</f>
        <v>Xīyáng Yízú Xiāng</v>
      </c>
      <c r="C1202" t="str">
        <f>IF(COUNTIF(B:B,B1202)&gt;1,_xlfn.CONCAT(A1202," (",M1202,")"),B1202)</f>
        <v>Xīyáng Yízú Xiāng</v>
      </c>
      <c r="D1202" t="s">
        <v>1275</v>
      </c>
      <c r="E1202" t="s">
        <v>7</v>
      </c>
      <c r="F1202" t="str">
        <f>_xlfn.CONCAT(D1202,", ",H1202,", ",I1202,", ","云南省")</f>
        <v>夕阳彝族乡, 晋宁区, 昆明市, 云南省</v>
      </c>
      <c r="G1202">
        <v>7526</v>
      </c>
      <c r="H1202" t="s">
        <v>2813</v>
      </c>
      <c r="I1202" t="s">
        <v>2807</v>
      </c>
      <c r="J1202" t="e">
        <f>VLOOKUP(F1202,[1]!china_towns_second__2[[Column1]:[Y]],3,FALSE)</f>
        <v>#N/A</v>
      </c>
      <c r="K1202" t="e">
        <f>VLOOKUP(F1202,[1]!china_towns_second__2[[Column1]:[Y]],2,FALSE)</f>
        <v>#N/A</v>
      </c>
      <c r="L1202" t="s">
        <v>4754</v>
      </c>
      <c r="M1202" t="str">
        <f>VLOOKUP(H1202,CHOOSE({1,2},Table17[Native],Table17[Name]),2,0)</f>
        <v>Jìnníng Qū</v>
      </c>
      <c r="N1202" s="15" t="str">
        <f>VLOOKUP(I1202,CHOOSE({1,2},Table17[Native],Table17[Name]),2,0)</f>
        <v>Kūnmíng Shì</v>
      </c>
      <c r="O1202" s="15" t="str">
        <f t="shared" si="36"/>
        <v>Xiyang Yizu Xiang (Kūnmíng Shì)</v>
      </c>
      <c r="P1202" s="15" t="str">
        <f t="shared" si="37"/>
        <v>Xiyang Yizu Xiang (Kūnmíng Shì)</v>
      </c>
    </row>
    <row r="1203" spans="1:16" hidden="1" x14ac:dyDescent="0.25">
      <c r="A1203" t="s">
        <v>141</v>
      </c>
      <c r="B1203" t="str">
        <f>IF(COUNTIF(A:A,A1203)&gt;1,_xlfn.CONCAT(A1203," (",N1203,")"),A1203)</f>
        <v>Xīyì Xiāng</v>
      </c>
      <c r="C1203" t="str">
        <f>IF(COUNTIF(B:B,B1203)&gt;1,_xlfn.CONCAT(A1203," (",M1203,")"),B1203)</f>
        <v>Xīyì Xiāng</v>
      </c>
      <c r="D1203" t="s">
        <v>142</v>
      </c>
      <c r="E1203" t="s">
        <v>7</v>
      </c>
      <c r="F1203" t="str">
        <f>_xlfn.CONCAT(D1203,", ",H1203,", ",I1203,", ","云南省")</f>
        <v>西邑乡, 隆阳区, 保山市, 云南省</v>
      </c>
      <c r="G1203">
        <v>61282</v>
      </c>
      <c r="H1203" t="s">
        <v>2744</v>
      </c>
      <c r="I1203" t="s">
        <v>2739</v>
      </c>
      <c r="J1203" t="e">
        <f>VLOOKUP(F1203,[1]!china_towns_second__2[[Column1]:[Y]],3,FALSE)</f>
        <v>#N/A</v>
      </c>
      <c r="K1203" t="e">
        <f>VLOOKUP(F1203,[1]!china_towns_second__2[[Column1]:[Y]],2,FALSE)</f>
        <v>#N/A</v>
      </c>
      <c r="L1203" t="s">
        <v>4755</v>
      </c>
      <c r="M1203" t="str">
        <f>VLOOKUP(H1203,CHOOSE({1,2},Table17[Native],Table17[Name]),2,0)</f>
        <v>Lóngyáng Qū</v>
      </c>
      <c r="N1203" s="15" t="str">
        <f>VLOOKUP(I1203,CHOOSE({1,2},Table17[Native],Table17[Name]),2,0)</f>
        <v>Băoshān Shì</v>
      </c>
      <c r="O1203" s="15" t="str">
        <f t="shared" si="36"/>
        <v>Xiyi Xiang (Băoshān Shì)</v>
      </c>
      <c r="P1203" s="15" t="str">
        <f t="shared" si="37"/>
        <v>Xiyi Xiang (Băoshān Shì)</v>
      </c>
    </row>
    <row r="1204" spans="1:16" x14ac:dyDescent="0.25">
      <c r="A1204" t="s">
        <v>574</v>
      </c>
      <c r="B1204" t="str">
        <f>IF(COUNTIF(A:A,A1204)&gt;1,_xlfn.CONCAT(A1204," (",N1204,")"),A1204)</f>
        <v>Xīyì Zhèn</v>
      </c>
      <c r="C1204" t="str">
        <f>IF(COUNTIF(B:B,B1204)&gt;1,_xlfn.CONCAT(A1204," (",M1204,")"),B1204)</f>
        <v>Xīyì Zhèn</v>
      </c>
      <c r="D1204" t="s">
        <v>575</v>
      </c>
      <c r="E1204" t="s">
        <v>11</v>
      </c>
      <c r="F1204" t="str">
        <f>_xlfn.CONCAT(D1204,", ",H1204,", ",I1204,", ","云南省")</f>
        <v>西邑镇, 鹤庆县, 大理白族自治州, 云南省</v>
      </c>
      <c r="G1204">
        <v>14372</v>
      </c>
      <c r="H1204" t="s">
        <v>2767</v>
      </c>
      <c r="I1204" t="s">
        <v>2763</v>
      </c>
      <c r="J1204">
        <f>VLOOKUP(F1204,[1]!china_towns_second__2[[Column1]:[Y]],3,FALSE)</f>
        <v>26.221075250508601</v>
      </c>
      <c r="K1204">
        <f>VLOOKUP(F1204,[1]!china_towns_second__2[[Column1]:[Y]],2,FALSE)</f>
        <v>100.198123</v>
      </c>
      <c r="L1204" t="s">
        <v>4756</v>
      </c>
      <c r="M1204" t="str">
        <f>VLOOKUP(H1204,CHOOSE({1,2},Table17[Native],Table17[Name]),2,0)</f>
        <v>Hèqìng Xiàn</v>
      </c>
      <c r="N1204" s="15" t="str">
        <f>VLOOKUP(I1204,CHOOSE({1,2},Table17[Native],Table17[Name]),2,0)</f>
        <v>Dàlĭ Báizú Zìzhìzhōu</v>
      </c>
      <c r="O1204" s="15" t="str">
        <f t="shared" si="36"/>
        <v>Xiyi Zhen (Dàlĭ Báizú Zìzhìzhōu)</v>
      </c>
      <c r="P1204" s="15" t="str">
        <f t="shared" si="37"/>
        <v>Xiyi Zhen (Dàlĭ Báizú Zìzhìzhōu)</v>
      </c>
    </row>
    <row r="1205" spans="1:16" x14ac:dyDescent="0.25">
      <c r="A1205" t="s">
        <v>1001</v>
      </c>
      <c r="B1205" t="str">
        <f>IF(COUNTIF(A:A,A1205)&gt;1,_xlfn.CONCAT(A1205," (",N1205,")"),A1205)</f>
        <v>Xīyī Zhèn</v>
      </c>
      <c r="C1205" t="str">
        <f>IF(COUNTIF(B:B,B1205)&gt;1,_xlfn.CONCAT(A1205," (",M1205,")"),B1205)</f>
        <v>Xīyī Zhèn</v>
      </c>
      <c r="D1205" t="s">
        <v>1002</v>
      </c>
      <c r="E1205" t="s">
        <v>11</v>
      </c>
      <c r="F1205" t="str">
        <f>_xlfn.CONCAT(D1205,", ",H1205,", ",I1205,", ","云南省")</f>
        <v>西一镇, 弥勒市, 红河哈尼族彝族自治州, 云南省</v>
      </c>
      <c r="G1205">
        <v>27425</v>
      </c>
      <c r="H1205" t="s">
        <v>2802</v>
      </c>
      <c r="I1205" t="s">
        <v>2792</v>
      </c>
      <c r="J1205">
        <f>VLOOKUP(F1205,[1]!china_towns_second__2[[Column1]:[Y]],3,FALSE)</f>
        <v>24.404710721988899</v>
      </c>
      <c r="K1205">
        <f>VLOOKUP(F1205,[1]!china_towns_second__2[[Column1]:[Y]],2,FALSE)</f>
        <v>103.30039720000001</v>
      </c>
      <c r="L1205" t="s">
        <v>4756</v>
      </c>
      <c r="M1205" t="str">
        <f>VLOOKUP(H1205,CHOOSE({1,2},Table17[Native],Table17[Name]),2,0)</f>
        <v>Mílè Shì</v>
      </c>
      <c r="N1205" s="15" t="str">
        <f>VLOOKUP(I1205,CHOOSE({1,2},Table17[Native],Table17[Name]),2,0)</f>
        <v>Hónghé Hānízú Yízú Zìzhìzhōu</v>
      </c>
      <c r="O1205" s="15" t="str">
        <f t="shared" si="36"/>
        <v>Xiyi Zhen (Hónghé Hānízú Yízú Zìzhìzhōu)</v>
      </c>
      <c r="P1205" s="15" t="str">
        <f t="shared" si="37"/>
        <v>Xiyi Zhen (Hónghé Hānízú Yízú Zìzhìzhōu)</v>
      </c>
    </row>
    <row r="1206" spans="1:16" hidden="1" x14ac:dyDescent="0.25">
      <c r="A1206" t="s">
        <v>1276</v>
      </c>
      <c r="B1206" t="str">
        <f>IF(COUNTIF(A:A,A1206)&gt;1,_xlfn.CONCAT(A1206," (",N1206,")"),A1206)</f>
        <v>Xīyuàn Jiēdào</v>
      </c>
      <c r="C1206" t="str">
        <f>IF(COUNTIF(B:B,B1206)&gt;1,_xlfn.CONCAT(A1206," (",M1206,")"),B1206)</f>
        <v>Xīyuàn Jiēdào</v>
      </c>
      <c r="D1206" t="s">
        <v>1277</v>
      </c>
      <c r="E1206" t="s">
        <v>42</v>
      </c>
      <c r="F1206" t="str">
        <f>_xlfn.CONCAT(D1206,", ",H1206,", ",I1206,", ","云南省")</f>
        <v>西苑街道, 西山区, 昆明市, 云南省</v>
      </c>
      <c r="G1206">
        <v>51558</v>
      </c>
      <c r="H1206" t="s">
        <v>2819</v>
      </c>
      <c r="I1206" t="s">
        <v>2807</v>
      </c>
      <c r="J1206">
        <f>VLOOKUP(F1206,[1]!china_towns_second__2[[Column1]:[Y]],3,FALSE)</f>
        <v>25.042059713039801</v>
      </c>
      <c r="K1206">
        <f>VLOOKUP(F1206,[1]!china_towns_second__2[[Column1]:[Y]],2,FALSE)</f>
        <v>102.66528030000001</v>
      </c>
      <c r="L1206" t="s">
        <v>4757</v>
      </c>
      <c r="M1206" t="str">
        <f>VLOOKUP(H1206,CHOOSE({1,2},Table17[Native],Table17[Name]),2,0)</f>
        <v>Xīshān Qū</v>
      </c>
      <c r="N1206" s="15" t="str">
        <f>VLOOKUP(I1206,CHOOSE({1,2},Table17[Native],Table17[Name]),2,0)</f>
        <v>Kūnmíng Shì</v>
      </c>
      <c r="O1206" s="15" t="str">
        <f t="shared" si="36"/>
        <v>Xiyuan Jiedao (Kūnmíng Shì)</v>
      </c>
      <c r="P1206" s="15" t="str">
        <f t="shared" si="37"/>
        <v>Xiyuan Jiedao (Kūnmíng Shì)</v>
      </c>
    </row>
    <row r="1207" spans="1:16" hidden="1" x14ac:dyDescent="0.25">
      <c r="A1207" t="s">
        <v>2025</v>
      </c>
      <c r="B1207" t="str">
        <f>IF(COUNTIF(A:A,A1207)&gt;1,_xlfn.CONCAT(A1207," (",N1207,")"),A1207)</f>
        <v>Xīzé Xiāng</v>
      </c>
      <c r="C1207" t="str">
        <f>IF(COUNTIF(B:B,B1207)&gt;1,_xlfn.CONCAT(A1207," (",M1207,")"),B1207)</f>
        <v>Xīzé Xiāng</v>
      </c>
      <c r="D1207" t="s">
        <v>2026</v>
      </c>
      <c r="E1207" t="s">
        <v>7</v>
      </c>
      <c r="F1207" t="str">
        <f>_xlfn.CONCAT(D1207,", ",H1207,", ",I1207,", ","云南省")</f>
        <v>西泽乡, 宣威市, 曲靖市, 云南省</v>
      </c>
      <c r="G1207">
        <v>35524</v>
      </c>
      <c r="H1207" t="s">
        <v>2868</v>
      </c>
      <c r="I1207" t="s">
        <v>2860</v>
      </c>
      <c r="J1207" t="e">
        <f>VLOOKUP(F1207,[1]!china_towns_second__2[[Column1]:[Y]],3,FALSE)</f>
        <v>#N/A</v>
      </c>
      <c r="K1207" t="e">
        <f>VLOOKUP(F1207,[1]!china_towns_second__2[[Column1]:[Y]],2,FALSE)</f>
        <v>#N/A</v>
      </c>
      <c r="L1207" t="s">
        <v>4758</v>
      </c>
      <c r="M1207" t="str">
        <f>VLOOKUP(H1207,CHOOSE({1,2},Table17[Native],Table17[Name]),2,0)</f>
        <v>Xuānwēi Shì</v>
      </c>
      <c r="N1207" s="15" t="str">
        <f>VLOOKUP(I1207,CHOOSE({1,2},Table17[Native],Table17[Name]),2,0)</f>
        <v>Qŭjìng Shì</v>
      </c>
      <c r="O1207" s="15" t="str">
        <f t="shared" si="36"/>
        <v>Xize Xiang (Qŭjìng Shì)</v>
      </c>
      <c r="P1207" s="15" t="str">
        <f t="shared" si="37"/>
        <v>Xize Xiang (Qŭjìng Shì)</v>
      </c>
    </row>
    <row r="1208" spans="1:16" hidden="1" x14ac:dyDescent="0.25">
      <c r="A1208" t="s">
        <v>576</v>
      </c>
      <c r="B1208" t="str">
        <f>IF(COUNTIF(A:A,A1208)&gt;1,_xlfn.CONCAT(A1208," (",N1208,")"),A1208)</f>
        <v>Xĭzhōu Zhèn</v>
      </c>
      <c r="C1208" t="str">
        <f>IF(COUNTIF(B:B,B1208)&gt;1,_xlfn.CONCAT(A1208," (",M1208,")"),B1208)</f>
        <v>Xĭzhōu Zhèn</v>
      </c>
      <c r="D1208" t="s">
        <v>577</v>
      </c>
      <c r="E1208" t="s">
        <v>11</v>
      </c>
      <c r="F1208" t="str">
        <f>_xlfn.CONCAT(D1208,", ",H1208,", ",I1208,", ","云南省")</f>
        <v>喜洲镇, 大理市, 大理白族自治州, 云南省</v>
      </c>
      <c r="G1208">
        <v>54939</v>
      </c>
      <c r="H1208" t="s">
        <v>2765</v>
      </c>
      <c r="I1208" t="s">
        <v>2763</v>
      </c>
      <c r="J1208">
        <f>VLOOKUP(F1208,[1]!china_towns_second__2[[Column1]:[Y]],3,FALSE)</f>
        <v>25.871384287270601</v>
      </c>
      <c r="K1208">
        <f>VLOOKUP(F1208,[1]!china_towns_second__2[[Column1]:[Y]],2,FALSE)</f>
        <v>100.070728</v>
      </c>
      <c r="L1208" t="s">
        <v>4759</v>
      </c>
      <c r="M1208" t="str">
        <f>VLOOKUP(H1208,CHOOSE({1,2},Table17[Native],Table17[Name]),2,0)</f>
        <v>Dàlĭ Shì</v>
      </c>
      <c r="N1208" s="15" t="str">
        <f>VLOOKUP(I1208,CHOOSE({1,2},Table17[Native],Table17[Name]),2,0)</f>
        <v>Dàlĭ Báizú Zìzhìzhōu</v>
      </c>
      <c r="O1208" s="15" t="str">
        <f t="shared" si="36"/>
        <v>Xizhou Zhen (Dàlĭ Báizú Zìzhìzhōu)</v>
      </c>
      <c r="P1208" s="15" t="str">
        <f t="shared" si="37"/>
        <v>Xizhou Zhen (Dàlĭ Báizú Zìzhìzhōu)</v>
      </c>
    </row>
    <row r="1209" spans="1:16" hidden="1" x14ac:dyDescent="0.25">
      <c r="A1209" t="s">
        <v>1278</v>
      </c>
      <c r="B1209" t="str">
        <f>IF(COUNTIF(A:A,A1209)&gt;1,_xlfn.CONCAT(A1209," (",N1209,")"),A1209)</f>
        <v>Xīzhù Jiēdào [incl. Shālăng Jiēdào, Chăngkŏu Jiēdào]</v>
      </c>
      <c r="C1209" t="str">
        <f>IF(COUNTIF(B:B,B1209)&gt;1,_xlfn.CONCAT(A1209," (",M1209,")"),B1209)</f>
        <v>Xīzhù Jiēdào [incl. Shālăng Jiēdào, Chăngkŏu Jiēdào]</v>
      </c>
      <c r="D1209" t="s">
        <v>1279</v>
      </c>
      <c r="E1209" t="s">
        <v>42</v>
      </c>
      <c r="F1209" t="str">
        <f>_xlfn.CONCAT(D1209,", ",H1209,", ",I1209,", ","云南省")</f>
        <v>西翥街道, 五华区, 昆明市, 云南省</v>
      </c>
      <c r="G1209">
        <v>34329</v>
      </c>
      <c r="H1209" t="s">
        <v>2818</v>
      </c>
      <c r="I1209" t="s">
        <v>2807</v>
      </c>
      <c r="J1209">
        <f>VLOOKUP(F1209,[1]!china_towns_second__2[[Column1]:[Y]],3,FALSE)</f>
        <v>25.226947634035302</v>
      </c>
      <c r="K1209">
        <f>VLOOKUP(F1209,[1]!china_towns_second__2[[Column1]:[Y]],2,FALSE)</f>
        <v>102.6565057</v>
      </c>
      <c r="L1209" t="s">
        <v>4760</v>
      </c>
      <c r="M1209" t="str">
        <f>VLOOKUP(H1209,CHOOSE({1,2},Table17[Native],Table17[Name]),2,0)</f>
        <v>Wŭhuá Qū</v>
      </c>
      <c r="N1209" s="15" t="str">
        <f>VLOOKUP(I1209,CHOOSE({1,2},Table17[Native],Table17[Name]),2,0)</f>
        <v>Kūnmíng Shì</v>
      </c>
      <c r="O1209" s="15" t="str">
        <f t="shared" si="36"/>
        <v>Xizhu Jiedao [incl. Shalang Jiedao, Changkou Jiedao] (Kūnmíng Shì)</v>
      </c>
      <c r="P1209" s="15" t="str">
        <f t="shared" si="37"/>
        <v>Xizhu Jiedao [incl. Shalang Jiedao, Changkou Jiedao] (Kūnmíng Shì)</v>
      </c>
    </row>
    <row r="1210" spans="1:16" hidden="1" x14ac:dyDescent="0.25">
      <c r="A1210" t="s">
        <v>1003</v>
      </c>
      <c r="B1210" t="str">
        <f>IF(COUNTIF(A:A,A1210)&gt;1,_xlfn.CONCAT(A1210," (",N1210,")"),A1210)</f>
        <v>Xīzhuāng Zhèn</v>
      </c>
      <c r="C1210" t="str">
        <f>IF(COUNTIF(B:B,B1210)&gt;1,_xlfn.CONCAT(A1210," (",M1210,")"),B1210)</f>
        <v>Xīzhuāng Zhèn</v>
      </c>
      <c r="D1210" t="s">
        <v>1004</v>
      </c>
      <c r="E1210" t="s">
        <v>11</v>
      </c>
      <c r="F1210" t="str">
        <f>_xlfn.CONCAT(D1210,", ",H1210,", ",I1210,", ","云南省")</f>
        <v>西庄镇, 建水县, 红河哈尼族彝族自治州, 云南省</v>
      </c>
      <c r="G1210">
        <v>33094</v>
      </c>
      <c r="H1210" t="s">
        <v>2796</v>
      </c>
      <c r="I1210" t="s">
        <v>2792</v>
      </c>
      <c r="J1210">
        <f>VLOOKUP(F1210,[1]!china_towns_second__2[[Column1]:[Y]],3,FALSE)</f>
        <v>23.6605373705525</v>
      </c>
      <c r="K1210">
        <f>VLOOKUP(F1210,[1]!china_towns_second__2[[Column1]:[Y]],2,FALSE)</f>
        <v>102.7376402</v>
      </c>
      <c r="L1210" t="s">
        <v>4761</v>
      </c>
      <c r="M1210" t="str">
        <f>VLOOKUP(H1210,CHOOSE({1,2},Table17[Native],Table17[Name]),2,0)</f>
        <v>Jiànshuĭ Xiàn</v>
      </c>
      <c r="N1210" s="15" t="str">
        <f>VLOOKUP(I1210,CHOOSE({1,2},Table17[Native],Table17[Name]),2,0)</f>
        <v>Hónghé Hānízú Yízú Zìzhìzhōu</v>
      </c>
      <c r="O1210" s="15" t="str">
        <f t="shared" si="36"/>
        <v>Xizhuang Zhen (Hónghé Hānízú Yízú Zìzhìzhōu)</v>
      </c>
      <c r="P1210" s="15" t="str">
        <f t="shared" si="37"/>
        <v>Xizhuang Zhen (Hónghé Hānízú Yízú Zìzhìzhōu)</v>
      </c>
    </row>
    <row r="1211" spans="1:16" hidden="1" x14ac:dyDescent="0.25">
      <c r="A1211" t="s">
        <v>691</v>
      </c>
      <c r="B1211" t="str">
        <f>IF(COUNTIF(A:A,A1211)&gt;1,_xlfn.CONCAT(A1211," (",N1211,")"),A1211)</f>
        <v>Xuāngăng Xiāng</v>
      </c>
      <c r="C1211" t="str">
        <f>IF(COUNTIF(B:B,B1211)&gt;1,_xlfn.CONCAT(A1211," (",M1211,")"),B1211)</f>
        <v>Xuāngăng Xiāng</v>
      </c>
      <c r="D1211" t="s">
        <v>692</v>
      </c>
      <c r="E1211" t="s">
        <v>7</v>
      </c>
      <c r="F1211" t="str">
        <f>_xlfn.CONCAT(D1211,", ",H1211,", ",I1211,", ","云南省")</f>
        <v>轩岗乡, 芒市, 德宏傣族景颇族自治州, 云南省</v>
      </c>
      <c r="G1211">
        <v>21501</v>
      </c>
      <c r="H1211" t="s">
        <v>2782</v>
      </c>
      <c r="I1211" t="s">
        <v>2779</v>
      </c>
      <c r="J1211" t="e">
        <f>VLOOKUP(F1211,[1]!china_towns_second__2[[Column1]:[Y]],3,FALSE)</f>
        <v>#N/A</v>
      </c>
      <c r="K1211" t="e">
        <f>VLOOKUP(F1211,[1]!china_towns_second__2[[Column1]:[Y]],2,FALSE)</f>
        <v>#N/A</v>
      </c>
      <c r="L1211" t="s">
        <v>4762</v>
      </c>
      <c r="M1211" t="str">
        <f>VLOOKUP(H1211,CHOOSE({1,2},Table17[Native],Table17[Name]),2,0)</f>
        <v>Máng Shì</v>
      </c>
      <c r="N1211" s="15" t="str">
        <f>VLOOKUP(I1211,CHOOSE({1,2},Table17[Native],Table17[Name]),2,0)</f>
        <v>Déhóng Dăizú Jĭngpōzú Zìzhìzhōu</v>
      </c>
      <c r="O1211" s="15" t="str">
        <f t="shared" si="36"/>
        <v>Xuangang Xiang (Déhóng Dăizú Jĭngpōzú Zìzhìzhōu)</v>
      </c>
      <c r="P1211" s="15" t="str">
        <f t="shared" si="37"/>
        <v>Xuangang Xiang (Déhóng Dăizú Jĭngpōzú Zìzhìzhōu)</v>
      </c>
    </row>
    <row r="1212" spans="1:16" hidden="1" x14ac:dyDescent="0.25">
      <c r="A1212" t="s">
        <v>1825</v>
      </c>
      <c r="B1212" t="str">
        <f>IF(COUNTIF(A:A,A1212)&gt;1,_xlfn.CONCAT(A1212," (",N1212,")"),A1212)</f>
        <v>Xuĕlín Wăzú Xiāng</v>
      </c>
      <c r="C1212" t="str">
        <f>IF(COUNTIF(B:B,B1212)&gt;1,_xlfn.CONCAT(A1212," (",M1212,")"),B1212)</f>
        <v>Xuĕlín Wăzú Xiāng</v>
      </c>
      <c r="D1212" t="s">
        <v>1826</v>
      </c>
      <c r="E1212" t="s">
        <v>7</v>
      </c>
      <c r="F1212" t="str">
        <f>_xlfn.CONCAT(D1212,", ",H1212,", ",I1212,", ","云南省")</f>
        <v>雪林佤族乡, 澜沧拉祜族自治县, 普洱市, 云南省</v>
      </c>
      <c r="G1212">
        <v>14158</v>
      </c>
      <c r="H1212" t="s">
        <v>2852</v>
      </c>
      <c r="I1212" t="s">
        <v>2848</v>
      </c>
      <c r="J1212" t="e">
        <f>VLOOKUP(F1212,[1]!china_towns_second__2[[Column1]:[Y]],3,FALSE)</f>
        <v>#N/A</v>
      </c>
      <c r="K1212" t="e">
        <f>VLOOKUP(F1212,[1]!china_towns_second__2[[Column1]:[Y]],2,FALSE)</f>
        <v>#N/A</v>
      </c>
      <c r="L1212" t="s">
        <v>4763</v>
      </c>
      <c r="M1212" t="str">
        <f>VLOOKUP(H1212,CHOOSE({1,2},Table17[Native],Table17[Name]),2,0)</f>
        <v>Láncāng Lāhùzú Zìzhìxiàn</v>
      </c>
      <c r="N1212" s="15" t="str">
        <f>VLOOKUP(I1212,CHOOSE({1,2},Table17[Native],Table17[Name]),2,0)</f>
        <v>Pŭ'ĕr Shì</v>
      </c>
      <c r="O1212" s="15" t="str">
        <f t="shared" si="36"/>
        <v>Xuelin Wazu Xiang (Pŭ'ĕr Shì)</v>
      </c>
      <c r="P1212" s="15" t="str">
        <f t="shared" si="37"/>
        <v>Xuelin Wazu Xiang (Pŭ'ĕr Shì)</v>
      </c>
    </row>
    <row r="1213" spans="1:16" hidden="1" x14ac:dyDescent="0.25">
      <c r="A1213" t="s">
        <v>1280</v>
      </c>
      <c r="B1213" t="str">
        <f>IF(COUNTIF(A:A,A1213)&gt;1,_xlfn.CONCAT(A1213," (",N1213,")"),A1213)</f>
        <v>Xuĕshān Xiāng</v>
      </c>
      <c r="C1213" t="str">
        <f>IF(COUNTIF(B:B,B1213)&gt;1,_xlfn.CONCAT(A1213," (",M1213,")"),B1213)</f>
        <v>Xuĕshān Xiāng</v>
      </c>
      <c r="D1213" t="s">
        <v>1281</v>
      </c>
      <c r="E1213" t="s">
        <v>7</v>
      </c>
      <c r="F1213" t="str">
        <f>_xlfn.CONCAT(D1213,", ",H1213,", ",I1213,", ","云南省")</f>
        <v>雪山乡, 禄劝彝族苗族自治县, 昆明市, 云南省</v>
      </c>
      <c r="G1213">
        <v>8650</v>
      </c>
      <c r="H1213" t="s">
        <v>2814</v>
      </c>
      <c r="I1213" t="s">
        <v>2807</v>
      </c>
      <c r="J1213" t="e">
        <f>VLOOKUP(F1213,[1]!china_towns_second__2[[Column1]:[Y]],3,FALSE)</f>
        <v>#N/A</v>
      </c>
      <c r="K1213" t="e">
        <f>VLOOKUP(F1213,[1]!china_towns_second__2[[Column1]:[Y]],2,FALSE)</f>
        <v>#N/A</v>
      </c>
      <c r="L1213" t="s">
        <v>4764</v>
      </c>
      <c r="M1213" t="str">
        <f>VLOOKUP(H1213,CHOOSE({1,2},Table17[Native],Table17[Name]),2,0)</f>
        <v>Lùquàn Yízú Miáozú Zìzhìxiàn</v>
      </c>
      <c r="N1213" s="15" t="str">
        <f>VLOOKUP(I1213,CHOOSE({1,2},Table17[Native],Table17[Name]),2,0)</f>
        <v>Kūnmíng Shì</v>
      </c>
      <c r="O1213" s="15" t="str">
        <f t="shared" si="36"/>
        <v>Xueshan Xiang (Kūnmíng Shì)</v>
      </c>
      <c r="P1213" s="15" t="str">
        <f t="shared" si="37"/>
        <v>Xueshan Xiang (Kūnmíng Shì)</v>
      </c>
    </row>
    <row r="1214" spans="1:16" hidden="1" x14ac:dyDescent="0.25">
      <c r="A1214" t="s">
        <v>1575</v>
      </c>
      <c r="B1214" t="str">
        <f>IF(COUNTIF(A:A,A1214)&gt;1,_xlfn.CONCAT(A1214," (",N1214,")"),A1214)</f>
        <v>Xuĕshān Zhèn</v>
      </c>
      <c r="C1214" t="str">
        <f>IF(COUNTIF(B:B,B1214)&gt;1,_xlfn.CONCAT(A1214," (",M1214,")"),B1214)</f>
        <v>Xuĕshān Zhèn</v>
      </c>
      <c r="D1214" t="s">
        <v>1576</v>
      </c>
      <c r="E1214" t="s">
        <v>11</v>
      </c>
      <c r="F1214" t="str">
        <f>_xlfn.CONCAT(D1214,", ",H1214,", ",I1214,", ","云南省")</f>
        <v>雪山镇, 凤庆县, 临沧市, 云南省</v>
      </c>
      <c r="G1214">
        <v>30953</v>
      </c>
      <c r="H1214" t="s">
        <v>2833</v>
      </c>
      <c r="I1214" t="s">
        <v>2831</v>
      </c>
      <c r="J1214">
        <f>VLOOKUP(F1214,[1]!china_towns_second__2[[Column1]:[Y]],3,FALSE)</f>
        <v>24.340289376586799</v>
      </c>
      <c r="K1214">
        <f>VLOOKUP(F1214,[1]!china_towns_second__2[[Column1]:[Y]],2,FALSE)</f>
        <v>99.946585760000005</v>
      </c>
      <c r="L1214" t="s">
        <v>4765</v>
      </c>
      <c r="M1214" t="str">
        <f>VLOOKUP(H1214,CHOOSE({1,2},Table17[Native],Table17[Name]),2,0)</f>
        <v>Fèngqìng Xiàn</v>
      </c>
      <c r="N1214" s="15" t="str">
        <f>VLOOKUP(I1214,CHOOSE({1,2},Table17[Native],Table17[Name]),2,0)</f>
        <v>Líncāng Shì</v>
      </c>
      <c r="O1214" s="15" t="str">
        <f t="shared" si="36"/>
        <v>Xueshan Zhen (Líncāng Shì)</v>
      </c>
      <c r="P1214" s="15" t="str">
        <f t="shared" si="37"/>
        <v>Xueshan Zhen (Líncāng Shì)</v>
      </c>
    </row>
    <row r="1215" spans="1:16" hidden="1" x14ac:dyDescent="0.25">
      <c r="A1215" t="s">
        <v>337</v>
      </c>
      <c r="B1215" t="str">
        <f>IF(COUNTIF(A:A,A1215)&gt;1,_xlfn.CONCAT(A1215," (",N1215,")"),A1215)</f>
        <v>Xūjiē Xiāng</v>
      </c>
      <c r="C1215" t="str">
        <f>IF(COUNTIF(B:B,B1215)&gt;1,_xlfn.CONCAT(A1215," (",M1215,")"),B1215)</f>
        <v>Xūjiē Xiāng</v>
      </c>
      <c r="D1215" t="s">
        <v>338</v>
      </c>
      <c r="E1215" t="s">
        <v>7</v>
      </c>
      <c r="F1215" t="str">
        <f>_xlfn.CONCAT(D1215,", ",H1215,", ",I1215,", ","云南省")</f>
        <v>戌街乡, 牟定县, 楚雄彝族自治州, 云南省</v>
      </c>
      <c r="G1215">
        <v>17824</v>
      </c>
      <c r="H1215" t="s">
        <v>2754</v>
      </c>
      <c r="I1215" t="s">
        <v>2750</v>
      </c>
      <c r="J1215" t="e">
        <f>VLOOKUP(F1215,[1]!china_towns_second__2[[Column1]:[Y]],3,FALSE)</f>
        <v>#N/A</v>
      </c>
      <c r="K1215" t="e">
        <f>VLOOKUP(F1215,[1]!china_towns_second__2[[Column1]:[Y]],2,FALSE)</f>
        <v>#N/A</v>
      </c>
      <c r="L1215" t="s">
        <v>4766</v>
      </c>
      <c r="M1215" t="str">
        <f>VLOOKUP(H1215,CHOOSE({1,2},Table17[Native],Table17[Name]),2,0)</f>
        <v>Móudìng Xiàn</v>
      </c>
      <c r="N1215" s="15" t="str">
        <f>VLOOKUP(I1215,CHOOSE({1,2},Table17[Native],Table17[Name]),2,0)</f>
        <v>Chŭxióng Yízú Zìzhìzhōu</v>
      </c>
      <c r="O1215" s="15" t="str">
        <f t="shared" si="36"/>
        <v>Xujie Xiang (Chŭxióng Yízú Zìzhìzhōu)</v>
      </c>
      <c r="P1215" s="15" t="str">
        <f t="shared" si="37"/>
        <v>Xujie Xiang (Chŭxióng Yízú Zìzhìzhōu)</v>
      </c>
    </row>
    <row r="1216" spans="1:16" hidden="1" x14ac:dyDescent="0.25">
      <c r="A1216" t="s">
        <v>1005</v>
      </c>
      <c r="B1216" t="str">
        <f>IF(COUNTIF(A:A,A1216)&gt;1,_xlfn.CONCAT(A1216," (",N1216,")"),A1216)</f>
        <v>Xúnjiănsī Zhèn</v>
      </c>
      <c r="C1216" t="str">
        <f>IF(COUNTIF(B:B,B1216)&gt;1,_xlfn.CONCAT(A1216," (",M1216,")"),B1216)</f>
        <v>Xúnjiănsī Zhèn</v>
      </c>
      <c r="D1216" t="s">
        <v>1006</v>
      </c>
      <c r="E1216" t="s">
        <v>11</v>
      </c>
      <c r="F1216" t="str">
        <f>_xlfn.CONCAT(D1216,", ",H1216,", ",I1216,", ","云南省")</f>
        <v>巡检司镇, 弥勒市, 红河哈尼族彝族自治州, 云南省</v>
      </c>
      <c r="G1216">
        <v>30159</v>
      </c>
      <c r="H1216" t="s">
        <v>2802</v>
      </c>
      <c r="I1216" t="s">
        <v>2792</v>
      </c>
      <c r="J1216">
        <f>VLOOKUP(F1216,[1]!china_towns_second__2[[Column1]:[Y]],3,FALSE)</f>
        <v>23.9851330961407</v>
      </c>
      <c r="K1216">
        <f>VLOOKUP(F1216,[1]!china_towns_second__2[[Column1]:[Y]],2,FALSE)</f>
        <v>103.22563890000001</v>
      </c>
      <c r="L1216" t="s">
        <v>4767</v>
      </c>
      <c r="M1216" t="str">
        <f>VLOOKUP(H1216,CHOOSE({1,2},Table17[Native],Table17[Name]),2,0)</f>
        <v>Mílè Shì</v>
      </c>
      <c r="N1216" s="15" t="str">
        <f>VLOOKUP(I1216,CHOOSE({1,2},Table17[Native],Table17[Name]),2,0)</f>
        <v>Hónghé Hānízú Yízú Zìzhìzhōu</v>
      </c>
      <c r="O1216" s="15" t="str">
        <f t="shared" si="36"/>
        <v>Xunjiansi Zhen (Hónghé Hānízú Yízú Zìzhìzhōu)</v>
      </c>
      <c r="P1216" s="15" t="str">
        <f t="shared" si="37"/>
        <v>Xunjiansi Zhen (Hónghé Hānízú Yízú Zìzhìzhōu)</v>
      </c>
    </row>
    <row r="1217" spans="1:16" hidden="1" x14ac:dyDescent="0.25">
      <c r="A1217" t="s">
        <v>1577</v>
      </c>
      <c r="B1217" t="str">
        <f>IF(COUNTIF(A:A,A1217)&gt;1,_xlfn.CONCAT(A1217," (",N1217,")"),A1217)</f>
        <v>Yàliàn Xiāng</v>
      </c>
      <c r="C1217" t="str">
        <f>IF(COUNTIF(B:B,B1217)&gt;1,_xlfn.CONCAT(A1217," (",M1217,")"),B1217)</f>
        <v>Yàliàn Xiāng</v>
      </c>
      <c r="D1217" t="s">
        <v>1578</v>
      </c>
      <c r="E1217" t="s">
        <v>7</v>
      </c>
      <c r="F1217" t="str">
        <f>_xlfn.CONCAT(D1217,", ",H1217,", ",I1217,", ","云南省")</f>
        <v>亚练乡, 永德县, 临沧市, 云南省</v>
      </c>
      <c r="G1217">
        <v>28601</v>
      </c>
      <c r="H1217" t="s">
        <v>2837</v>
      </c>
      <c r="I1217" t="s">
        <v>2831</v>
      </c>
      <c r="J1217" t="e">
        <f>VLOOKUP(F1217,[1]!china_towns_second__2[[Column1]:[Y]],3,FALSE)</f>
        <v>#N/A</v>
      </c>
      <c r="K1217" t="e">
        <f>VLOOKUP(F1217,[1]!china_towns_second__2[[Column1]:[Y]],2,FALSE)</f>
        <v>#N/A</v>
      </c>
      <c r="L1217" t="s">
        <v>4768</v>
      </c>
      <c r="M1217" t="str">
        <f>VLOOKUP(H1217,CHOOSE({1,2},Table17[Native],Table17[Name]),2,0)</f>
        <v>Yŏngdé Xiàn</v>
      </c>
      <c r="N1217" s="15" t="str">
        <f>VLOOKUP(I1217,CHOOSE({1,2},Table17[Native],Table17[Name]),2,0)</f>
        <v>Líncāng Shì</v>
      </c>
      <c r="O1217" s="15" t="str">
        <f t="shared" si="36"/>
        <v>Yalian Xiang (Líncāng Shì)</v>
      </c>
      <c r="P1217" s="15" t="str">
        <f t="shared" si="37"/>
        <v>Yalian Xiang (Líncāng Shì)</v>
      </c>
    </row>
    <row r="1218" spans="1:16" hidden="1" x14ac:dyDescent="0.25">
      <c r="A1218" t="s">
        <v>2027</v>
      </c>
      <c r="B1218" t="str">
        <f>IF(COUNTIF(A:A,A1218)&gt;1,_xlfn.CONCAT(A1218," (",N1218,")"),A1218)</f>
        <v>Yánfāng Xiāng</v>
      </c>
      <c r="C1218" t="str">
        <f>IF(COUNTIF(B:B,B1218)&gt;1,_xlfn.CONCAT(A1218," (",M1218,")"),B1218)</f>
        <v>Yánfāng Xiāng</v>
      </c>
      <c r="D1218" t="s">
        <v>2028</v>
      </c>
      <c r="E1218" t="s">
        <v>7</v>
      </c>
      <c r="F1218" t="str">
        <f>_xlfn.CONCAT(D1218,", ",H1218,", ",I1218,", ","云南省")</f>
        <v>炎方乡, 沾益区, 曲靖市, 云南省</v>
      </c>
      <c r="G1218">
        <v>41937</v>
      </c>
      <c r="H1218" t="s">
        <v>2869</v>
      </c>
      <c r="I1218" t="s">
        <v>2860</v>
      </c>
      <c r="J1218" t="e">
        <f>VLOOKUP(F1218,[1]!china_towns_second__2[[Column1]:[Y]],3,FALSE)</f>
        <v>#N/A</v>
      </c>
      <c r="K1218" t="e">
        <f>VLOOKUP(F1218,[1]!china_towns_second__2[[Column1]:[Y]],2,FALSE)</f>
        <v>#N/A</v>
      </c>
      <c r="L1218" t="s">
        <v>4769</v>
      </c>
      <c r="M1218" t="str">
        <f>VLOOKUP(H1218,CHOOSE({1,2},Table17[Native],Table17[Name]),2,0)</f>
        <v>Zhānyì Qū</v>
      </c>
      <c r="N1218" s="15" t="str">
        <f>VLOOKUP(I1218,CHOOSE({1,2},Table17[Native],Table17[Name]),2,0)</f>
        <v>Qŭjìng Shì</v>
      </c>
      <c r="O1218" s="15" t="str">
        <f t="shared" ref="O1218:O1281" si="38">_xlfn.CONCAT(L1218," (",N1218,")")</f>
        <v>Yanfang Xiang (Qŭjìng Shì)</v>
      </c>
      <c r="P1218" s="15" t="str">
        <f t="shared" ref="P1218:P1281" si="39">IF(COUNTIF(O:O,O1218)&gt;1,_xlfn.CONCAT(L1218," (",M1218,")"),O1218)</f>
        <v>Yanfang Xiang (Qŭjìng Shì)</v>
      </c>
    </row>
    <row r="1219" spans="1:16" hidden="1" x14ac:dyDescent="0.25">
      <c r="A1219" t="s">
        <v>578</v>
      </c>
      <c r="B1219" t="str">
        <f>IF(COUNTIF(A:A,A1219)&gt;1,_xlfn.CONCAT(A1219," (",N1219,")"),A1219)</f>
        <v>Yángcén Xiāng</v>
      </c>
      <c r="C1219" t="str">
        <f>IF(COUNTIF(B:B,B1219)&gt;1,_xlfn.CONCAT(A1219," (",M1219,")"),B1219)</f>
        <v>Yángcén Xiāng</v>
      </c>
      <c r="D1219" t="s">
        <v>579</v>
      </c>
      <c r="E1219" t="s">
        <v>7</v>
      </c>
      <c r="F1219" t="str">
        <f>_xlfn.CONCAT(D1219,", ",H1219,", ",I1219,", ","云南省")</f>
        <v>羊岑乡, 剑川县, 大理白族自治州, 云南省</v>
      </c>
      <c r="G1219">
        <v>12670</v>
      </c>
      <c r="H1219" t="s">
        <v>2768</v>
      </c>
      <c r="I1219" t="s">
        <v>2763</v>
      </c>
      <c r="J1219" t="e">
        <f>VLOOKUP(F1219,[1]!china_towns_second__2[[Column1]:[Y]],3,FALSE)</f>
        <v>#N/A</v>
      </c>
      <c r="K1219" t="e">
        <f>VLOOKUP(F1219,[1]!china_towns_second__2[[Column1]:[Y]],2,FALSE)</f>
        <v>#N/A</v>
      </c>
      <c r="L1219" t="s">
        <v>4770</v>
      </c>
      <c r="M1219" t="str">
        <f>VLOOKUP(H1219,CHOOSE({1,2},Table17[Native],Table17[Name]),2,0)</f>
        <v>Jiànchuān Xiàn</v>
      </c>
      <c r="N1219" s="15" t="str">
        <f>VLOOKUP(I1219,CHOOSE({1,2},Table17[Native],Table17[Name]),2,0)</f>
        <v>Dàlĭ Báizú Zìzhìzhōu</v>
      </c>
      <c r="O1219" s="15" t="str">
        <f t="shared" si="38"/>
        <v>Yangcen Xiang (Dàlĭ Báizú Zìzhìzhōu)</v>
      </c>
      <c r="P1219" s="15" t="str">
        <f t="shared" si="39"/>
        <v>Yangcen Xiang (Dàlĭ Báizú Zìzhìzhōu)</v>
      </c>
    </row>
    <row r="1220" spans="1:16" hidden="1" x14ac:dyDescent="0.25">
      <c r="A1220" t="s">
        <v>2029</v>
      </c>
      <c r="B1220" t="str">
        <f>IF(COUNTIF(A:A,A1220)&gt;1,_xlfn.CONCAT(A1220," (",N1220,")"),A1220)</f>
        <v>Yángchăng Zhèn</v>
      </c>
      <c r="C1220" t="str">
        <f>IF(COUNTIF(B:B,B1220)&gt;1,_xlfn.CONCAT(A1220," (",M1220,")"),B1220)</f>
        <v>Yángchăng Zhèn</v>
      </c>
      <c r="D1220" t="s">
        <v>2030</v>
      </c>
      <c r="E1220" t="s">
        <v>11</v>
      </c>
      <c r="F1220" t="str">
        <f>_xlfn.CONCAT(D1220,", ",H1220,", ",I1220,", ","云南省")</f>
        <v>羊场镇, 宣威市, 曲靖市, 云南省</v>
      </c>
      <c r="G1220">
        <v>53588</v>
      </c>
      <c r="H1220" t="s">
        <v>2868</v>
      </c>
      <c r="I1220" t="s">
        <v>2860</v>
      </c>
      <c r="J1220">
        <f>VLOOKUP(F1220,[1]!china_towns_second__2[[Column1]:[Y]],3,FALSE)</f>
        <v>25.983483917410702</v>
      </c>
      <c r="K1220">
        <f>VLOOKUP(F1220,[1]!china_towns_second__2[[Column1]:[Y]],2,FALSE)</f>
        <v>104.2541463</v>
      </c>
      <c r="L1220" t="s">
        <v>4771</v>
      </c>
      <c r="M1220" t="str">
        <f>VLOOKUP(H1220,CHOOSE({1,2},Table17[Native],Table17[Name]),2,0)</f>
        <v>Xuānwēi Shì</v>
      </c>
      <c r="N1220" s="15" t="str">
        <f>VLOOKUP(I1220,CHOOSE({1,2},Table17[Native],Table17[Name]),2,0)</f>
        <v>Qŭjìng Shì</v>
      </c>
      <c r="O1220" s="15" t="str">
        <f t="shared" si="38"/>
        <v>Yangchang Zhen (Qŭjìng Shì)</v>
      </c>
      <c r="P1220" s="15" t="str">
        <f t="shared" si="39"/>
        <v>Yangchang Zhen (Qŭjìng Shì)</v>
      </c>
    </row>
    <row r="1221" spans="1:16" hidden="1" x14ac:dyDescent="0.25">
      <c r="A1221" t="s">
        <v>2447</v>
      </c>
      <c r="B1221" t="str">
        <f>IF(COUNTIF(A:A,A1221)&gt;1,_xlfn.CONCAT(A1221," (",N1221,")"),A1221)</f>
        <v>Yángguăng Zhèn</v>
      </c>
      <c r="C1221" t="str">
        <f>IF(COUNTIF(B:B,B1221)&gt;1,_xlfn.CONCAT(A1221," (",M1221,")"),B1221)</f>
        <v>Yángguăng Zhèn</v>
      </c>
      <c r="D1221" t="s">
        <v>2448</v>
      </c>
      <c r="E1221" t="s">
        <v>11</v>
      </c>
      <c r="F1221" t="str">
        <f>_xlfn.CONCAT(D1221,", ",H1221,", ",I1221,", ","云南省")</f>
        <v>杨广镇, 通海县, 玉溪市, 云南省</v>
      </c>
      <c r="G1221">
        <v>48512</v>
      </c>
      <c r="H1221" t="s">
        <v>2894</v>
      </c>
      <c r="I1221" t="s">
        <v>2888</v>
      </c>
      <c r="J1221">
        <f>VLOOKUP(F1221,[1]!china_towns_second__2[[Column1]:[Y]],3,FALSE)</f>
        <v>24.137763831519699</v>
      </c>
      <c r="K1221">
        <f>VLOOKUP(F1221,[1]!china_towns_second__2[[Column1]:[Y]],2,FALSE)</f>
        <v>102.82737710000001</v>
      </c>
      <c r="L1221" t="s">
        <v>4772</v>
      </c>
      <c r="M1221" t="str">
        <f>VLOOKUP(H1221,CHOOSE({1,2},Table17[Native],Table17[Name]),2,0)</f>
        <v>Tōnghăi Xiàn</v>
      </c>
      <c r="N1221" s="15" t="str">
        <f>VLOOKUP(I1221,CHOOSE({1,2},Table17[Native],Table17[Name]),2,0)</f>
        <v>Yùxī Shì</v>
      </c>
      <c r="O1221" s="15" t="str">
        <f t="shared" si="38"/>
        <v>Yangguang Zhen (Yùxī Shì)</v>
      </c>
      <c r="P1221" s="15" t="str">
        <f t="shared" si="39"/>
        <v>Yangguang Zhen (Yùxī Shì)</v>
      </c>
    </row>
    <row r="1222" spans="1:16" hidden="1" x14ac:dyDescent="0.25">
      <c r="A1222" t="s">
        <v>580</v>
      </c>
      <c r="B1222" t="str">
        <f>IF(COUNTIF(A:A,A1222)&gt;1,_xlfn.CONCAT(A1222," (",N1222,")"),A1222)</f>
        <v>Yàngjiāng Zhèn</v>
      </c>
      <c r="C1222" t="str">
        <f>IF(COUNTIF(B:B,B1222)&gt;1,_xlfn.CONCAT(A1222," (",M1222,")"),B1222)</f>
        <v>Yàngjiāng Zhèn</v>
      </c>
      <c r="D1222" t="s">
        <v>581</v>
      </c>
      <c r="E1222" t="s">
        <v>11</v>
      </c>
      <c r="F1222" t="str">
        <f>_xlfn.CONCAT(D1222,", ",H1222,", ",I1222,", ","云南省")</f>
        <v>漾江镇, 漾濞彝族自治县, 大理白族自治州, 云南省</v>
      </c>
      <c r="G1222">
        <v>15272</v>
      </c>
      <c r="H1222" t="s">
        <v>2774</v>
      </c>
      <c r="I1222" t="s">
        <v>2763</v>
      </c>
      <c r="J1222">
        <f>VLOOKUP(F1222,[1]!china_towns_second__2[[Column1]:[Y]],3,FALSE)</f>
        <v>25.8034434900752</v>
      </c>
      <c r="K1222">
        <f>VLOOKUP(F1222,[1]!china_towns_second__2[[Column1]:[Y]],2,FALSE)</f>
        <v>99.883960920000007</v>
      </c>
      <c r="L1222" t="s">
        <v>4773</v>
      </c>
      <c r="M1222" t="str">
        <f>VLOOKUP(H1222,CHOOSE({1,2},Table17[Native],Table17[Name]),2,0)</f>
        <v>Yàngbì Yízú Zìzhìxiàn</v>
      </c>
      <c r="N1222" s="15" t="str">
        <f>VLOOKUP(I1222,CHOOSE({1,2},Table17[Native],Table17[Name]),2,0)</f>
        <v>Dàlĭ Báizú Zìzhìzhōu</v>
      </c>
      <c r="O1222" s="15" t="str">
        <f t="shared" si="38"/>
        <v>Yangjiang Zhen (Dàlĭ Báizú Zìzhìzhōu)</v>
      </c>
      <c r="P1222" s="15" t="str">
        <f t="shared" si="39"/>
        <v>Yangjiang Zhen (Dàlĭ Báizú Zìzhìzhōu)</v>
      </c>
    </row>
    <row r="1223" spans="1:16" hidden="1" x14ac:dyDescent="0.25">
      <c r="A1223" t="s">
        <v>1007</v>
      </c>
      <c r="B1223" t="str">
        <f>IF(COUNTIF(A:A,A1223)&gt;1,_xlfn.CONCAT(A1223," (",N1223,")"),A1223)</f>
        <v>Yángjiē Xiāng (Hónghé Hānízú Yízú Zìzhìzhōu)</v>
      </c>
      <c r="C1223" t="str">
        <f>IF(COUNTIF(B:B,B1223)&gt;1,_xlfn.CONCAT(A1223," (",M1223,")"),B1223)</f>
        <v>Yángjiē Xiāng (Hónghé Hānízú Yízú Zìzhìzhōu)</v>
      </c>
      <c r="D1223" t="s">
        <v>1008</v>
      </c>
      <c r="E1223" t="s">
        <v>7</v>
      </c>
      <c r="F1223" t="str">
        <f>_xlfn.CONCAT(D1223,", ",H1223,", ",I1223,", ","云南省")</f>
        <v>羊街乡, 开远市, 红河哈尼族彝族自治州, 云南省</v>
      </c>
      <c r="G1223">
        <v>36653</v>
      </c>
      <c r="H1223" t="s">
        <v>2798</v>
      </c>
      <c r="I1223" t="s">
        <v>2792</v>
      </c>
      <c r="J1223" t="e">
        <f>VLOOKUP(F1223,[1]!china_towns_second__2[[Column1]:[Y]],3,FALSE)</f>
        <v>#N/A</v>
      </c>
      <c r="K1223" t="e">
        <f>VLOOKUP(F1223,[1]!china_towns_second__2[[Column1]:[Y]],2,FALSE)</f>
        <v>#N/A</v>
      </c>
      <c r="L1223" t="s">
        <v>4774</v>
      </c>
      <c r="M1223" t="str">
        <f>VLOOKUP(H1223,CHOOSE({1,2},Table17[Native],Table17[Name]),2,0)</f>
        <v>Kāiyuăn Shì</v>
      </c>
      <c r="N1223" s="15" t="str">
        <f>VLOOKUP(I1223,CHOOSE({1,2},Table17[Native],Table17[Name]),2,0)</f>
        <v>Hónghé Hānízú Yízú Zìzhìzhōu</v>
      </c>
      <c r="O1223" s="15" t="str">
        <f t="shared" si="38"/>
        <v>Yangjie Xiang (Honghe Hanizu Yizu Zizhizhou) (Hónghé Hānízú Yízú Zìzhìzhōu)</v>
      </c>
      <c r="P1223" s="15" t="str">
        <f t="shared" si="39"/>
        <v>Yangjie Xiang (Honghe Hanizu Yizu Zizhizhou) (Hónghé Hānízú Yízú Zìzhìzhōu)</v>
      </c>
    </row>
    <row r="1224" spans="1:16" hidden="1" x14ac:dyDescent="0.25">
      <c r="A1224" t="s">
        <v>1007</v>
      </c>
      <c r="B1224" t="str">
        <f>IF(COUNTIF(A:A,A1224)&gt;1,_xlfn.CONCAT(A1224," (",N1224,")"),A1224)</f>
        <v>Yángjiē Xiāng (Yùxī Shì)</v>
      </c>
      <c r="C1224" t="str">
        <f>IF(COUNTIF(B:B,B1224)&gt;1,_xlfn.CONCAT(A1224," (",M1224,")"),B1224)</f>
        <v>Yángjiē Xiāng (Yùxī Shì)</v>
      </c>
      <c r="D1224" t="s">
        <v>1008</v>
      </c>
      <c r="E1224" t="s">
        <v>7</v>
      </c>
      <c r="F1224" t="str">
        <f>_xlfn.CONCAT(D1224,", ",H1224,", ",I1224,", ","云南省")</f>
        <v>羊街乡, 元江哈尼族彝族傣族自治县, 玉溪市, 云南省</v>
      </c>
      <c r="G1224">
        <v>16888</v>
      </c>
      <c r="H1224" t="s">
        <v>2897</v>
      </c>
      <c r="I1224" t="s">
        <v>2888</v>
      </c>
      <c r="J1224" t="e">
        <f>VLOOKUP(F1224,[1]!china_towns_second__2[[Column1]:[Y]],3,FALSE)</f>
        <v>#N/A</v>
      </c>
      <c r="K1224" t="e">
        <f>VLOOKUP(F1224,[1]!china_towns_second__2[[Column1]:[Y]],2,FALSE)</f>
        <v>#N/A</v>
      </c>
      <c r="L1224" t="s">
        <v>4775</v>
      </c>
      <c r="M1224" t="str">
        <f>VLOOKUP(H1224,CHOOSE({1,2},Table17[Native],Table17[Name]),2,0)</f>
        <v>Yuánjiāng Hānízú Yízú Dăizú Zìzhìxiàn</v>
      </c>
      <c r="N1224" s="15" t="str">
        <f>VLOOKUP(I1224,CHOOSE({1,2},Table17[Native],Table17[Name]),2,0)</f>
        <v>Yùxī Shì</v>
      </c>
      <c r="O1224" s="15" t="str">
        <f t="shared" si="38"/>
        <v>Yangjie Xiang (Yuxi Shi) (Yùxī Shì)</v>
      </c>
      <c r="P1224" s="15" t="str">
        <f t="shared" si="39"/>
        <v>Yangjie Xiang (Yuxi Shi) (Yùxī Shì)</v>
      </c>
    </row>
    <row r="1225" spans="1:16" hidden="1" x14ac:dyDescent="0.25">
      <c r="A1225" t="s">
        <v>339</v>
      </c>
      <c r="B1225" t="str">
        <f>IF(COUNTIF(A:A,A1225)&gt;1,_xlfn.CONCAT(A1225," (",N1225,")"),A1225)</f>
        <v>Yángjiē Zhèn (Chŭxióng Yízú Zìzhìzhōu)</v>
      </c>
      <c r="C1225" t="str">
        <f>IF(COUNTIF(B:B,B1225)&gt;1,_xlfn.CONCAT(A1225," (",M1225,")"),B1225)</f>
        <v>Yángjiē Zhèn (Chŭxióng Yízú Zìzhìzhōu)</v>
      </c>
      <c r="D1225" t="s">
        <v>340</v>
      </c>
      <c r="E1225" t="s">
        <v>11</v>
      </c>
      <c r="F1225" t="str">
        <f>_xlfn.CONCAT(D1225,", ",H1225,", ",I1225,", ","云南省")</f>
        <v>羊街镇, 元谋县, 楚雄彝族自治州, 云南省</v>
      </c>
      <c r="G1225">
        <v>17303</v>
      </c>
      <c r="H1225" t="s">
        <v>2760</v>
      </c>
      <c r="I1225" t="s">
        <v>2750</v>
      </c>
      <c r="J1225">
        <f>VLOOKUP(F1225,[1]!china_towns_second__2[[Column1]:[Y]],3,FALSE)</f>
        <v>25.473477352506801</v>
      </c>
      <c r="K1225">
        <f>VLOOKUP(F1225,[1]!china_towns_second__2[[Column1]:[Y]],2,FALSE)</f>
        <v>101.9325082</v>
      </c>
      <c r="L1225" t="s">
        <v>4776</v>
      </c>
      <c r="M1225" t="str">
        <f>VLOOKUP(H1225,CHOOSE({1,2},Table17[Native],Table17[Name]),2,0)</f>
        <v>Yuánmóu Xiàn</v>
      </c>
      <c r="N1225" s="15" t="str">
        <f>VLOOKUP(I1225,CHOOSE({1,2},Table17[Native],Table17[Name]),2,0)</f>
        <v>Chŭxióng Yízú Zìzhìzhōu</v>
      </c>
      <c r="O1225" s="15" t="str">
        <f t="shared" si="38"/>
        <v>Yangjie Zhen (Chuxiong Yizu Zizhizhou) (Chŭxióng Yízú Zìzhìzhōu)</v>
      </c>
      <c r="P1225" s="15" t="str">
        <f t="shared" si="39"/>
        <v>Yangjie Zhen (Chuxiong Yizu Zizhizhou) (Chŭxióng Yízú Zìzhìzhōu)</v>
      </c>
    </row>
    <row r="1226" spans="1:16" hidden="1" x14ac:dyDescent="0.25">
      <c r="A1226" t="s">
        <v>339</v>
      </c>
      <c r="B1226" t="str">
        <f>IF(COUNTIF(A:A,A1226)&gt;1,_xlfn.CONCAT(A1226," (",N1226,")"),A1226)</f>
        <v>Yángjiē Zhèn (Kūnmíng Shì)</v>
      </c>
      <c r="C1226" t="str">
        <f>IF(COUNTIF(B:B,B1226)&gt;1,_xlfn.CONCAT(A1226," (",M1226,")"),B1226)</f>
        <v>Yángjiē Zhèn (Kūnmíng Shì)</v>
      </c>
      <c r="D1226" t="s">
        <v>340</v>
      </c>
      <c r="E1226" t="s">
        <v>11</v>
      </c>
      <c r="F1226" t="str">
        <f>_xlfn.CONCAT(D1226,", ",H1226,", ",I1226,", ","云南省")</f>
        <v>羊街镇, 寻甸回族彝族自治县, 昆明市, 云南省</v>
      </c>
      <c r="G1226">
        <v>37786</v>
      </c>
      <c r="H1226" t="s">
        <v>2820</v>
      </c>
      <c r="I1226" t="s">
        <v>2807</v>
      </c>
      <c r="J1226">
        <f>VLOOKUP(F1226,[1]!china_towns_second__2[[Column1]:[Y]],3,FALSE)</f>
        <v>25.469994023331999</v>
      </c>
      <c r="K1226">
        <f>VLOOKUP(F1226,[1]!china_towns_second__2[[Column1]:[Y]],2,FALSE)</f>
        <v>103.1379034</v>
      </c>
      <c r="L1226" t="s">
        <v>4777</v>
      </c>
      <c r="M1226" t="str">
        <f>VLOOKUP(H1226,CHOOSE({1,2},Table17[Native],Table17[Name]),2,0)</f>
        <v>Xúndiàn Huízú Yízú Zìzhìxiàn</v>
      </c>
      <c r="N1226" s="15" t="str">
        <f>VLOOKUP(I1226,CHOOSE({1,2},Table17[Native],Table17[Name]),2,0)</f>
        <v>Kūnmíng Shì</v>
      </c>
      <c r="O1226" s="15" t="str">
        <f t="shared" si="38"/>
        <v>Yangjie Zhen (Kunming Shi) (Kūnmíng Shì)</v>
      </c>
      <c r="P1226" s="15" t="str">
        <f t="shared" si="39"/>
        <v>Yangjie Zhen (Kunming Shi) (Kūnmíng Shì)</v>
      </c>
    </row>
    <row r="1227" spans="1:16" hidden="1" x14ac:dyDescent="0.25">
      <c r="A1227" t="s">
        <v>756</v>
      </c>
      <c r="B1227" t="str">
        <f>IF(COUNTIF(A:A,A1227)&gt;1,_xlfn.CONCAT(A1227," (",N1227,")"),A1227)</f>
        <v>Yánglā Xiāng</v>
      </c>
      <c r="C1227" t="str">
        <f>IF(COUNTIF(B:B,B1227)&gt;1,_xlfn.CONCAT(A1227," (",M1227,")"),B1227)</f>
        <v>Yánglā Xiāng</v>
      </c>
      <c r="D1227" t="s">
        <v>757</v>
      </c>
      <c r="E1227" t="s">
        <v>7</v>
      </c>
      <c r="F1227" t="str">
        <f>_xlfn.CONCAT(D1227,", ",H1227,", ",I1227,", ","云南省")</f>
        <v>羊拉乡, 德钦县, 迪庆藏族自治州, 云南省</v>
      </c>
      <c r="G1227">
        <v>8063</v>
      </c>
      <c r="H1227" t="s">
        <v>2787</v>
      </c>
      <c r="I1227" t="s">
        <v>2786</v>
      </c>
      <c r="J1227" t="e">
        <f>VLOOKUP(F1227,[1]!china_towns_second__2[[Column1]:[Y]],3,FALSE)</f>
        <v>#N/A</v>
      </c>
      <c r="K1227" t="e">
        <f>VLOOKUP(F1227,[1]!china_towns_second__2[[Column1]:[Y]],2,FALSE)</f>
        <v>#N/A</v>
      </c>
      <c r="L1227" t="s">
        <v>4778</v>
      </c>
      <c r="M1227" t="str">
        <f>VLOOKUP(H1227,CHOOSE({1,2},Table17[Native],Table17[Name]),2,0)</f>
        <v>Déqīn Xiàn</v>
      </c>
      <c r="N1227" s="15" t="str">
        <f>VLOOKUP(I1227,CHOOSE({1,2},Table17[Native],Table17[Name]),2,0)</f>
        <v>Díqìng Zàngzú Zìzhìzhōu</v>
      </c>
      <c r="O1227" s="15" t="str">
        <f t="shared" si="38"/>
        <v>Yangla Xiang (Díqìng Zàngzú Zìzhìzhōu)</v>
      </c>
      <c r="P1227" s="15" t="str">
        <f t="shared" si="39"/>
        <v>Yangla Xiang (Díqìng Zàngzú Zìzhìzhōu)</v>
      </c>
    </row>
    <row r="1228" spans="1:16" hidden="1" x14ac:dyDescent="0.25">
      <c r="A1228" t="s">
        <v>1282</v>
      </c>
      <c r="B1228" t="str">
        <f>IF(COUNTIF(A:A,A1228)&gt;1,_xlfn.CONCAT(A1228," (",N1228,")"),A1228)</f>
        <v>Yánglín Zhèn</v>
      </c>
      <c r="C1228" t="str">
        <f>IF(COUNTIF(B:B,B1228)&gt;1,_xlfn.CONCAT(A1228," (",M1228,")"),B1228)</f>
        <v>Yánglín Zhèn</v>
      </c>
      <c r="D1228" t="s">
        <v>1283</v>
      </c>
      <c r="E1228" t="s">
        <v>11</v>
      </c>
      <c r="F1228" t="str">
        <f>_xlfn.CONCAT(D1228,", ",H1228,", ",I1228,", ","云南省")</f>
        <v>杨林镇, 嵩明县, 昆明市, 云南省</v>
      </c>
      <c r="G1228">
        <v>62372</v>
      </c>
      <c r="H1228" t="s">
        <v>2817</v>
      </c>
      <c r="I1228" t="s">
        <v>2807</v>
      </c>
      <c r="J1228">
        <f>VLOOKUP(F1228,[1]!china_towns_second__2[[Column1]:[Y]],3,FALSE)</f>
        <v>25.2056147741575</v>
      </c>
      <c r="K1228">
        <f>VLOOKUP(F1228,[1]!china_towns_second__2[[Column1]:[Y]],2,FALSE)</f>
        <v>103.05432450000001</v>
      </c>
      <c r="L1228" t="s">
        <v>4779</v>
      </c>
      <c r="M1228" t="str">
        <f>VLOOKUP(H1228,CHOOSE({1,2},Table17[Native],Table17[Name]),2,0)</f>
        <v>Sōngmíng Xiàn</v>
      </c>
      <c r="N1228" s="15" t="str">
        <f>VLOOKUP(I1228,CHOOSE({1,2},Table17[Native],Table17[Name]),2,0)</f>
        <v>Kūnmíng Shì</v>
      </c>
      <c r="O1228" s="15" t="str">
        <f t="shared" si="38"/>
        <v>Yanglin Zhen (Kūnmíng Shì)</v>
      </c>
      <c r="P1228" s="15" t="str">
        <f t="shared" si="39"/>
        <v>Yanglin Zhen (Kūnmíng Shì)</v>
      </c>
    </row>
    <row r="1229" spans="1:16" hidden="1" x14ac:dyDescent="0.25">
      <c r="A1229" t="s">
        <v>143</v>
      </c>
      <c r="B1229" t="str">
        <f>IF(COUNTIF(A:A,A1229)&gt;1,_xlfn.CONCAT(A1229," (",N1229,")"),A1229)</f>
        <v>Yángliŭ Báizú Yízú Xiāng</v>
      </c>
      <c r="C1229" t="str">
        <f>IF(COUNTIF(B:B,B1229)&gt;1,_xlfn.CONCAT(A1229," (",M1229,")"),B1229)</f>
        <v>Yángliŭ Báizú Yízú Xiāng</v>
      </c>
      <c r="D1229" t="s">
        <v>144</v>
      </c>
      <c r="E1229" t="s">
        <v>7</v>
      </c>
      <c r="F1229" t="str">
        <f>_xlfn.CONCAT(D1229,", ",H1229,", ",I1229,", ","云南省")</f>
        <v>杨柳白族彝族乡, 隆阳区, 保山市, 云南省</v>
      </c>
      <c r="G1229">
        <v>38704</v>
      </c>
      <c r="H1229" t="s">
        <v>2744</v>
      </c>
      <c r="I1229" t="s">
        <v>2739</v>
      </c>
      <c r="J1229" t="e">
        <f>VLOOKUP(F1229,[1]!china_towns_second__2[[Column1]:[Y]],3,FALSE)</f>
        <v>#N/A</v>
      </c>
      <c r="K1229" t="e">
        <f>VLOOKUP(F1229,[1]!china_towns_second__2[[Column1]:[Y]],2,FALSE)</f>
        <v>#N/A</v>
      </c>
      <c r="L1229" t="s">
        <v>4780</v>
      </c>
      <c r="M1229" t="str">
        <f>VLOOKUP(H1229,CHOOSE({1,2},Table17[Native],Table17[Name]),2,0)</f>
        <v>Lóngyáng Qū</v>
      </c>
      <c r="N1229" s="15" t="str">
        <f>VLOOKUP(I1229,CHOOSE({1,2},Table17[Native],Table17[Name]),2,0)</f>
        <v>Băoshān Shì</v>
      </c>
      <c r="O1229" s="15" t="str">
        <f t="shared" si="38"/>
        <v>Yangliu Baizu Yizu Xiang (Băoshān Shì)</v>
      </c>
      <c r="P1229" s="15" t="str">
        <f t="shared" si="39"/>
        <v>Yangliu Baizu Yizu Xiang (Băoshān Shì)</v>
      </c>
    </row>
    <row r="1230" spans="1:16" hidden="1" x14ac:dyDescent="0.25">
      <c r="A1230" t="s">
        <v>2031</v>
      </c>
      <c r="B1230" t="str">
        <f>IF(COUNTIF(A:A,A1230)&gt;1,_xlfn.CONCAT(A1230," (",N1230,")"),A1230)</f>
        <v>Yángliŭ Zhèn</v>
      </c>
      <c r="C1230" t="str">
        <f>IF(COUNTIF(B:B,B1230)&gt;1,_xlfn.CONCAT(A1230," (",M1230,")"),B1230)</f>
        <v>Yángliŭ Zhèn</v>
      </c>
      <c r="D1230" t="s">
        <v>2032</v>
      </c>
      <c r="E1230" t="s">
        <v>11</v>
      </c>
      <c r="F1230" t="str">
        <f>_xlfn.CONCAT(D1230,", ",H1230,", ",I1230,", ","云南省")</f>
        <v>杨柳镇, 宣威市, 曲靖市, 云南省</v>
      </c>
      <c r="G1230">
        <v>38248</v>
      </c>
      <c r="H1230" t="s">
        <v>2868</v>
      </c>
      <c r="I1230" t="s">
        <v>2860</v>
      </c>
      <c r="J1230">
        <f>VLOOKUP(F1230,[1]!china_towns_second__2[[Column1]:[Y]],3,FALSE)</f>
        <v>26.595625921738399</v>
      </c>
      <c r="K1230">
        <f>VLOOKUP(F1230,[1]!china_towns_second__2[[Column1]:[Y]],2,FALSE)</f>
        <v>104.2764138</v>
      </c>
      <c r="L1230" t="s">
        <v>4781</v>
      </c>
      <c r="M1230" t="str">
        <f>VLOOKUP(H1230,CHOOSE({1,2},Table17[Native],Table17[Name]),2,0)</f>
        <v>Xuānwēi Shì</v>
      </c>
      <c r="N1230" s="15" t="str">
        <f>VLOOKUP(I1230,CHOOSE({1,2},Table17[Native],Table17[Name]),2,0)</f>
        <v>Qŭjìng Shì</v>
      </c>
      <c r="O1230" s="15" t="str">
        <f t="shared" si="38"/>
        <v>Yangliu Zhen (Qŭjìng Shì)</v>
      </c>
      <c r="P1230" s="15" t="str">
        <f t="shared" si="39"/>
        <v>Yangliu Zhen (Qŭjìng Shì)</v>
      </c>
    </row>
    <row r="1231" spans="1:16" hidden="1" x14ac:dyDescent="0.25">
      <c r="A1231" t="s">
        <v>2234</v>
      </c>
      <c r="B1231" t="str">
        <f>IF(COUNTIF(A:A,A1231)&gt;1,_xlfn.CONCAT(A1231," (",N1231,")"),A1231)</f>
        <v>Yángliŭjĭng Xiāng</v>
      </c>
      <c r="C1231" t="str">
        <f>IF(COUNTIF(B:B,B1231)&gt;1,_xlfn.CONCAT(A1231," (",M1231,")"),B1231)</f>
        <v>Yángliŭjĭng Xiāng</v>
      </c>
      <c r="D1231" t="s">
        <v>2235</v>
      </c>
      <c r="E1231" t="s">
        <v>7</v>
      </c>
      <c r="F1231" t="str">
        <f>_xlfn.CONCAT(D1231,", ",H1231,", ",I1231,", ","云南省")</f>
        <v>杨柳井乡, 广南县, 文山壮族苗族自治州, 云南省</v>
      </c>
      <c r="G1231">
        <v>36533</v>
      </c>
      <c r="H1231" t="s">
        <v>2874</v>
      </c>
      <c r="I1231" t="s">
        <v>2872</v>
      </c>
      <c r="J1231" t="e">
        <f>VLOOKUP(F1231,[1]!china_towns_second__2[[Column1]:[Y]],3,FALSE)</f>
        <v>#N/A</v>
      </c>
      <c r="K1231" t="e">
        <f>VLOOKUP(F1231,[1]!china_towns_second__2[[Column1]:[Y]],2,FALSE)</f>
        <v>#N/A</v>
      </c>
      <c r="L1231" t="s">
        <v>4782</v>
      </c>
      <c r="M1231" t="str">
        <f>VLOOKUP(H1231,CHOOSE({1,2},Table17[Native],Table17[Name]),2,0)</f>
        <v>Guăngnán Xiàn</v>
      </c>
      <c r="N1231" s="15" t="str">
        <f>VLOOKUP(I1231,CHOOSE({1,2},Table17[Native],Table17[Name]),2,0)</f>
        <v>Wénshān Zhuàngzú Miáozú Zìzhìzhōu</v>
      </c>
      <c r="O1231" s="15" t="str">
        <f t="shared" si="38"/>
        <v>Yangliujing Xiang (Wénshān Zhuàngzú Miáozú Zìzhìzhōu)</v>
      </c>
      <c r="P1231" s="15" t="str">
        <f t="shared" si="39"/>
        <v>Yangliujing Xiang (Wénshān Zhuàngzú Miáozú Zìzhìzhōu)</v>
      </c>
    </row>
    <row r="1232" spans="1:16" hidden="1" x14ac:dyDescent="0.25">
      <c r="A1232" t="s">
        <v>1417</v>
      </c>
      <c r="B1232" t="str">
        <f>IF(COUNTIF(A:A,A1232)&gt;1,_xlfn.CONCAT(A1232," (",N1232,")"),A1232)</f>
        <v>Yángpíng Yízú Xiāng</v>
      </c>
      <c r="C1232" t="str">
        <f>IF(COUNTIF(B:B,B1232)&gt;1,_xlfn.CONCAT(A1232," (",M1232,")"),B1232)</f>
        <v>Yángpíng Yízú Xiāng</v>
      </c>
      <c r="D1232" t="s">
        <v>1418</v>
      </c>
      <c r="E1232" t="s">
        <v>7</v>
      </c>
      <c r="F1232" t="str">
        <f>_xlfn.CONCAT(D1232,", ",H1232,", ",I1232,", ","云南省")</f>
        <v>羊坪彝族乡, 永胜县, 丽江市, 云南省</v>
      </c>
      <c r="G1232">
        <v>7312</v>
      </c>
      <c r="H1232" t="s">
        <v>2828</v>
      </c>
      <c r="I1232" t="s">
        <v>2823</v>
      </c>
      <c r="J1232" t="e">
        <f>VLOOKUP(F1232,[1]!china_towns_second__2[[Column1]:[Y]],3,FALSE)</f>
        <v>#N/A</v>
      </c>
      <c r="K1232" t="e">
        <f>VLOOKUP(F1232,[1]!china_towns_second__2[[Column1]:[Y]],2,FALSE)</f>
        <v>#N/A</v>
      </c>
      <c r="L1232" t="s">
        <v>4783</v>
      </c>
      <c r="M1232" t="str">
        <f>VLOOKUP(H1232,CHOOSE({1,2},Table17[Native],Table17[Name]),2,0)</f>
        <v>Yŏngshèng Xiàn</v>
      </c>
      <c r="N1232" s="15" t="str">
        <f>VLOOKUP(I1232,CHOOSE({1,2},Table17[Native],Table17[Name]),2,0)</f>
        <v>Lìjiāng Shì</v>
      </c>
      <c r="O1232" s="15" t="str">
        <f t="shared" si="38"/>
        <v>Yangping Yizu Xiang (Lìjiāng Shì)</v>
      </c>
      <c r="P1232" s="15" t="str">
        <f t="shared" si="39"/>
        <v>Yangping Yizu Xiang (Lìjiāng Shì)</v>
      </c>
    </row>
    <row r="1233" spans="1:16" hidden="1" x14ac:dyDescent="0.25">
      <c r="A1233" t="s">
        <v>2236</v>
      </c>
      <c r="B1233" t="str">
        <f>IF(COUNTIF(A:A,A1233)&gt;1,_xlfn.CONCAT(A1233," (",N1233,")"),A1233)</f>
        <v>Yángwàn Xiāng</v>
      </c>
      <c r="C1233" t="str">
        <f>IF(COUNTIF(B:B,B1233)&gt;1,_xlfn.CONCAT(A1233," (",M1233,")"),B1233)</f>
        <v>Yángwàn Xiāng</v>
      </c>
      <c r="D1233" t="s">
        <v>2237</v>
      </c>
      <c r="E1233" t="s">
        <v>7</v>
      </c>
      <c r="F1233" t="str">
        <f>_xlfn.CONCAT(D1233,", ",H1233,", ",I1233,", ","云南省")</f>
        <v>杨万乡, 麻栗坡县, 文山壮族苗族自治州, 云南省</v>
      </c>
      <c r="G1233">
        <v>16406</v>
      </c>
      <c r="H1233" t="s">
        <v>2876</v>
      </c>
      <c r="I1233" t="s">
        <v>2872</v>
      </c>
      <c r="J1233" t="e">
        <f>VLOOKUP(F1233,[1]!china_towns_second__2[[Column1]:[Y]],3,FALSE)</f>
        <v>#N/A</v>
      </c>
      <c r="K1233" t="e">
        <f>VLOOKUP(F1233,[1]!china_towns_second__2[[Column1]:[Y]],2,FALSE)</f>
        <v>#N/A</v>
      </c>
      <c r="L1233" t="s">
        <v>4784</v>
      </c>
      <c r="M1233" t="str">
        <f>VLOOKUP(H1233,CHOOSE({1,2},Table17[Native],Table17[Name]),2,0)</f>
        <v>Málìpō Xiàn</v>
      </c>
      <c r="N1233" s="15" t="str">
        <f>VLOOKUP(I1233,CHOOSE({1,2},Table17[Native],Table17[Name]),2,0)</f>
        <v>Wénshān Zhuàngzú Miáozú Zìzhìzhōu</v>
      </c>
      <c r="O1233" s="15" t="str">
        <f t="shared" si="38"/>
        <v>Yangwan Xiang (Wénshān Zhuàngzú Miáozú Zìzhìzhōu)</v>
      </c>
      <c r="P1233" s="15" t="str">
        <f t="shared" si="39"/>
        <v>Yangwan Xiang (Wénshān Zhuàngzú Miáozú Zìzhìzhōu)</v>
      </c>
    </row>
    <row r="1234" spans="1:16" hidden="1" x14ac:dyDescent="0.25">
      <c r="A1234" t="s">
        <v>2449</v>
      </c>
      <c r="B1234" t="str">
        <f>IF(COUNTIF(A:A,A1234)&gt;1,_xlfn.CONCAT(A1234," (",N1234,")"),A1234)</f>
        <v>Yángwŭ Zhèn</v>
      </c>
      <c r="C1234" t="str">
        <f>IF(COUNTIF(B:B,B1234)&gt;1,_xlfn.CONCAT(A1234," (",M1234,")"),B1234)</f>
        <v>Yángwŭ Zhèn</v>
      </c>
      <c r="D1234" t="s">
        <v>2450</v>
      </c>
      <c r="E1234" t="s">
        <v>11</v>
      </c>
      <c r="F1234" t="str">
        <f>_xlfn.CONCAT(D1234,", ",H1234,", ",I1234,", ","云南省")</f>
        <v>扬武镇, 新平彝族傣族自治县, 玉溪市, 云南省</v>
      </c>
      <c r="G1234">
        <v>24761</v>
      </c>
      <c r="H1234" t="s">
        <v>2895</v>
      </c>
      <c r="I1234" t="s">
        <v>2888</v>
      </c>
      <c r="J1234">
        <f>VLOOKUP(F1234,[1]!china_towns_second__2[[Column1]:[Y]],3,FALSE)</f>
        <v>23.9140155676753</v>
      </c>
      <c r="K1234">
        <f>VLOOKUP(F1234,[1]!china_towns_second__2[[Column1]:[Y]],2,FALSE)</f>
        <v>102.0687223</v>
      </c>
      <c r="L1234" t="s">
        <v>4785</v>
      </c>
      <c r="M1234" t="str">
        <f>VLOOKUP(H1234,CHOOSE({1,2},Table17[Native],Table17[Name]),2,0)</f>
        <v>Xīnpíng Yízú Dăizú Zìzhìxiàn</v>
      </c>
      <c r="N1234" s="15" t="str">
        <f>VLOOKUP(I1234,CHOOSE({1,2},Table17[Native],Table17[Name]),2,0)</f>
        <v>Yùxī Shì</v>
      </c>
      <c r="O1234" s="15" t="str">
        <f t="shared" si="38"/>
        <v>Yangwu Zhen (Yùxī Shì)</v>
      </c>
      <c r="P1234" s="15" t="str">
        <f t="shared" si="39"/>
        <v>Yangwu Zhen (Yùxī Shì)</v>
      </c>
    </row>
    <row r="1235" spans="1:16" hidden="1" x14ac:dyDescent="0.25">
      <c r="A1235" t="s">
        <v>2451</v>
      </c>
      <c r="B1235" t="str">
        <f>IF(COUNTIF(A:A,A1235)&gt;1,_xlfn.CONCAT(A1235," (",N1235,")"),A1235)</f>
        <v>Yángzōng Zhèn</v>
      </c>
      <c r="C1235" t="str">
        <f>IF(COUNTIF(B:B,B1235)&gt;1,_xlfn.CONCAT(A1235," (",M1235,")"),B1235)</f>
        <v>Yángzōng Zhèn</v>
      </c>
      <c r="D1235" t="s">
        <v>2452</v>
      </c>
      <c r="E1235" t="s">
        <v>11</v>
      </c>
      <c r="F1235" t="str">
        <f>_xlfn.CONCAT(D1235,", ",H1235,", ",I1235,", ","云南省")</f>
        <v>阳宗镇, 澄江市, 玉溪市, 云南省</v>
      </c>
      <c r="G1235">
        <v>24429</v>
      </c>
      <c r="H1235" t="s">
        <v>2889</v>
      </c>
      <c r="I1235" t="s">
        <v>2888</v>
      </c>
      <c r="J1235">
        <f>VLOOKUP(F1235,[1]!china_towns_second__2[[Column1]:[Y]],3,FALSE)</f>
        <v>24.826890673917099</v>
      </c>
      <c r="K1235">
        <f>VLOOKUP(F1235,[1]!china_towns_second__2[[Column1]:[Y]],2,FALSE)</f>
        <v>102.9678632</v>
      </c>
      <c r="L1235" t="s">
        <v>4786</v>
      </c>
      <c r="M1235" t="str">
        <f>VLOOKUP(H1235,CHOOSE({1,2},Table17[Native],Table17[Name]),2,0)</f>
        <v>Chéngjiāng Shì</v>
      </c>
      <c r="N1235" s="15" t="str">
        <f>VLOOKUP(I1235,CHOOSE({1,2},Table17[Native],Table17[Name]),2,0)</f>
        <v>Yùxī Shì</v>
      </c>
      <c r="O1235" s="15" t="str">
        <f t="shared" si="38"/>
        <v>Yangzong Zhen (Yùxī Shì)</v>
      </c>
      <c r="P1235" s="15" t="str">
        <f t="shared" si="39"/>
        <v>Yangzong Zhen (Yùxī Shì)</v>
      </c>
    </row>
    <row r="1236" spans="1:16" hidden="1" x14ac:dyDescent="0.25">
      <c r="A1236" t="s">
        <v>2453</v>
      </c>
      <c r="B1236" t="str">
        <f>IF(COUNTIF(A:A,A1236)&gt;1,_xlfn.CONCAT(A1236," (",N1236,")"),A1236)</f>
        <v>Yánhé Jiēdào</v>
      </c>
      <c r="C1236" t="str">
        <f>IF(COUNTIF(B:B,B1236)&gt;1,_xlfn.CONCAT(A1236," (",M1236,")"),B1236)</f>
        <v>Yánhé Jiēdào</v>
      </c>
      <c r="D1236" t="s">
        <v>2454</v>
      </c>
      <c r="E1236" t="s">
        <v>42</v>
      </c>
      <c r="F1236" t="str">
        <f>_xlfn.CONCAT(D1236,", ",H1236,", ",I1236,", ","云南省")</f>
        <v>研和街道, 红塔区, 玉溪市, 云南省</v>
      </c>
      <c r="G1236">
        <v>47959</v>
      </c>
      <c r="H1236" t="s">
        <v>2891</v>
      </c>
      <c r="I1236" t="s">
        <v>2888</v>
      </c>
      <c r="J1236">
        <f>VLOOKUP(F1236,[1]!china_towns_second__2[[Column1]:[Y]],3,FALSE)</f>
        <v>24.227978715552901</v>
      </c>
      <c r="K1236">
        <f>VLOOKUP(F1236,[1]!china_towns_second__2[[Column1]:[Y]],2,FALSE)</f>
        <v>102.5032191</v>
      </c>
      <c r="L1236" t="s">
        <v>4787</v>
      </c>
      <c r="M1236" t="str">
        <f>VLOOKUP(H1236,CHOOSE({1,2},Table17[Native],Table17[Name]),2,0)</f>
        <v>Hóngtă Qū</v>
      </c>
      <c r="N1236" s="15" t="str">
        <f>VLOOKUP(I1236,CHOOSE({1,2},Table17[Native],Table17[Name]),2,0)</f>
        <v>Yùxī Shì</v>
      </c>
      <c r="O1236" s="15" t="str">
        <f t="shared" si="38"/>
        <v>Yanhe Jiedao (Yùxī Shì)</v>
      </c>
      <c r="P1236" s="15" t="str">
        <f t="shared" si="39"/>
        <v>Yanhe Jiedao (Yùxī Shì)</v>
      </c>
    </row>
    <row r="1237" spans="1:16" hidden="1" x14ac:dyDescent="0.25">
      <c r="A1237" t="s">
        <v>2033</v>
      </c>
      <c r="B1237" t="str">
        <f>IF(COUNTIF(A:A,A1237)&gt;1,_xlfn.CONCAT(A1237," (",N1237,")"),A1237)</f>
        <v>Yánjiāng Jiēdào</v>
      </c>
      <c r="C1237" t="str">
        <f>IF(COUNTIF(B:B,B1237)&gt;1,_xlfn.CONCAT(A1237," (",M1237,")"),B1237)</f>
        <v>Yánjiāng Jiēdào</v>
      </c>
      <c r="D1237" t="s">
        <v>2034</v>
      </c>
      <c r="E1237" t="s">
        <v>42</v>
      </c>
      <c r="F1237" t="str">
        <f>_xlfn.CONCAT(D1237,", ",H1237,", ",I1237,", ","云南省")</f>
        <v>沿江街道, 麒麟区, 曲靖市, 云南省</v>
      </c>
      <c r="G1237">
        <v>40209</v>
      </c>
      <c r="H1237" t="s">
        <v>2866</v>
      </c>
      <c r="I1237" t="s">
        <v>2860</v>
      </c>
      <c r="J1237" t="e">
        <f>VLOOKUP(F1237,[1]!china_towns_second__2[[Column1]:[Y]],3,FALSE)</f>
        <v>#N/A</v>
      </c>
      <c r="K1237" t="e">
        <f>VLOOKUP(F1237,[1]!china_towns_second__2[[Column1]:[Y]],2,FALSE)</f>
        <v>#N/A</v>
      </c>
      <c r="L1237" t="s">
        <v>4788</v>
      </c>
      <c r="M1237" t="str">
        <f>VLOOKUP(H1237,CHOOSE({1,2},Table17[Native],Table17[Name]),2,0)</f>
        <v>Qílín Qū</v>
      </c>
      <c r="N1237" s="15" t="str">
        <f>VLOOKUP(I1237,CHOOSE({1,2},Table17[Native],Table17[Name]),2,0)</f>
        <v>Qŭjìng Shì</v>
      </c>
      <c r="O1237" s="15" t="str">
        <f t="shared" si="38"/>
        <v>Yanjiang Jiedao (Qŭjìng Shì)</v>
      </c>
      <c r="P1237" s="15" t="str">
        <f t="shared" si="39"/>
        <v>Yanjiang Jiedao (Qŭjìng Shì)</v>
      </c>
    </row>
    <row r="1238" spans="1:16" hidden="1" x14ac:dyDescent="0.25">
      <c r="A1238" t="s">
        <v>2705</v>
      </c>
      <c r="B1238" t="str">
        <f>IF(COUNTIF(A:A,A1238)&gt;1,_xlfn.CONCAT(A1238," (",N1238,")"),A1238)</f>
        <v>Yánjĭng Zhèn</v>
      </c>
      <c r="C1238" t="str">
        <f>IF(COUNTIF(B:B,B1238)&gt;1,_xlfn.CONCAT(A1238," (",M1238,")"),B1238)</f>
        <v>Yánjĭng Zhèn</v>
      </c>
      <c r="D1238" t="s">
        <v>2706</v>
      </c>
      <c r="E1238" t="s">
        <v>11</v>
      </c>
      <c r="F1238" t="str">
        <f>_xlfn.CONCAT(D1238,", ",H1238,", ",I1238,", ","云南省")</f>
        <v>盐井镇, 盐津县, 昭通市, 云南省</v>
      </c>
      <c r="G1238">
        <v>63050</v>
      </c>
      <c r="H1238" t="s">
        <v>2906</v>
      </c>
      <c r="I1238" t="s">
        <v>2899</v>
      </c>
      <c r="J1238">
        <f>VLOOKUP(F1238,[1]!china_towns_second__2[[Column1]:[Y]],3,FALSE)</f>
        <v>28.087612185816699</v>
      </c>
      <c r="K1238">
        <f>VLOOKUP(F1238,[1]!china_towns_second__2[[Column1]:[Y]],2,FALSE)</f>
        <v>104.24123849999999</v>
      </c>
      <c r="L1238" t="s">
        <v>4789</v>
      </c>
      <c r="M1238" t="str">
        <f>VLOOKUP(H1238,CHOOSE({1,2},Table17[Native],Table17[Name]),2,0)</f>
        <v>Yánjīn Xiàn</v>
      </c>
      <c r="N1238" s="15" t="str">
        <f>VLOOKUP(I1238,CHOOSE({1,2},Table17[Native],Table17[Name]),2,0)</f>
        <v>Zhāotōng Shì</v>
      </c>
      <c r="O1238" s="15" t="str">
        <f t="shared" si="38"/>
        <v>Yanjing Zhen (Zhāotōng Shì)</v>
      </c>
      <c r="P1238" s="15" t="str">
        <f t="shared" si="39"/>
        <v>Yanjing Zhen (Zhāotōng Shì)</v>
      </c>
    </row>
    <row r="1239" spans="1:16" hidden="1" x14ac:dyDescent="0.25">
      <c r="A1239" t="s">
        <v>758</v>
      </c>
      <c r="B1239" t="str">
        <f>IF(COUNTIF(A:A,A1239)&gt;1,_xlfn.CONCAT(A1239," (",N1239,")"),A1239)</f>
        <v>Yànmén Xiāng</v>
      </c>
      <c r="C1239" t="str">
        <f>IF(COUNTIF(B:B,B1239)&gt;1,_xlfn.CONCAT(A1239," (",M1239,")"),B1239)</f>
        <v>Yànmén Xiāng</v>
      </c>
      <c r="D1239" t="s">
        <v>759</v>
      </c>
      <c r="E1239" t="s">
        <v>7</v>
      </c>
      <c r="F1239" t="str">
        <f>_xlfn.CONCAT(D1239,", ",H1239,", ",I1239,", ","云南省")</f>
        <v>燕门乡, 德钦县, 迪庆藏族自治州, 云南省</v>
      </c>
      <c r="G1239">
        <v>7391</v>
      </c>
      <c r="H1239" t="s">
        <v>2787</v>
      </c>
      <c r="I1239" t="s">
        <v>2786</v>
      </c>
      <c r="J1239" t="e">
        <f>VLOOKUP(F1239,[1]!china_towns_second__2[[Column1]:[Y]],3,FALSE)</f>
        <v>#N/A</v>
      </c>
      <c r="K1239" t="e">
        <f>VLOOKUP(F1239,[1]!china_towns_second__2[[Column1]:[Y]],2,FALSE)</f>
        <v>#N/A</v>
      </c>
      <c r="L1239" t="s">
        <v>4790</v>
      </c>
      <c r="M1239" t="str">
        <f>VLOOKUP(H1239,CHOOSE({1,2},Table17[Native],Table17[Name]),2,0)</f>
        <v>Déqīn Xiàn</v>
      </c>
      <c r="N1239" s="15" t="str">
        <f>VLOOKUP(I1239,CHOOSE({1,2},Table17[Native],Table17[Name]),2,0)</f>
        <v>Díqìng Zàngzú Zìzhìzhōu</v>
      </c>
      <c r="O1239" s="15" t="str">
        <f t="shared" si="38"/>
        <v>Yanmen Xiang (Díqìng Zàngzú Zìzhìzhōu)</v>
      </c>
      <c r="P1239" s="15" t="str">
        <f t="shared" si="39"/>
        <v>Yanmen Xiang (Díqìng Zàngzú Zìzhìzhōu)</v>
      </c>
    </row>
    <row r="1240" spans="1:16" hidden="1" x14ac:dyDescent="0.25">
      <c r="A1240" t="s">
        <v>2707</v>
      </c>
      <c r="B1240" t="str">
        <f>IF(COUNTIF(A:A,A1240)&gt;1,_xlfn.CONCAT(A1240," (",N1240,")"),A1240)</f>
        <v>Yánshān Zhèn</v>
      </c>
      <c r="C1240" t="str">
        <f>IF(COUNTIF(B:B,B1240)&gt;1,_xlfn.CONCAT(A1240," (",M1240,")"),B1240)</f>
        <v>Yánshān Zhèn</v>
      </c>
      <c r="D1240" t="s">
        <v>2708</v>
      </c>
      <c r="E1240" t="s">
        <v>11</v>
      </c>
      <c r="F1240" t="str">
        <f>_xlfn.CONCAT(D1240,", ",H1240,", ",I1240,", ","云南省")</f>
        <v>炎山镇, 昭阳区, 昭通市, 云南省</v>
      </c>
      <c r="G1240">
        <v>15420</v>
      </c>
      <c r="H1240" t="s">
        <v>2909</v>
      </c>
      <c r="I1240" t="s">
        <v>2899</v>
      </c>
      <c r="J1240">
        <f>VLOOKUP(F1240,[1]!china_towns_second__2[[Column1]:[Y]],3,FALSE)</f>
        <v>27.493567373251999</v>
      </c>
      <c r="K1240">
        <f>VLOOKUP(F1240,[1]!china_towns_second__2[[Column1]:[Y]],2,FALSE)</f>
        <v>103.215699</v>
      </c>
      <c r="L1240" t="s">
        <v>4791</v>
      </c>
      <c r="M1240" t="str">
        <f>VLOOKUP(H1240,CHOOSE({1,2},Table17[Native],Table17[Name]),2,0)</f>
        <v>Zhāoyáng Qū</v>
      </c>
      <c r="N1240" s="15" t="str">
        <f>VLOOKUP(I1240,CHOOSE({1,2},Table17[Native],Table17[Name]),2,0)</f>
        <v>Zhāotōng Shì</v>
      </c>
      <c r="O1240" s="15" t="str">
        <f t="shared" si="38"/>
        <v>Yanshan Zhen (Zhāotōng Shì)</v>
      </c>
      <c r="P1240" s="15" t="str">
        <f t="shared" si="39"/>
        <v>Yanshan Zhen (Zhāotōng Shì)</v>
      </c>
    </row>
    <row r="1241" spans="1:16" hidden="1" x14ac:dyDescent="0.25">
      <c r="A1241" t="s">
        <v>1579</v>
      </c>
      <c r="B1241" t="str">
        <f>IF(COUNTIF(A:A,A1241)&gt;1,_xlfn.CONCAT(A1241," (",N1241,")"),A1241)</f>
        <v>Yánshuài Zhèn</v>
      </c>
      <c r="C1241" t="str">
        <f>IF(COUNTIF(B:B,B1241)&gt;1,_xlfn.CONCAT(A1241," (",M1241,")"),B1241)</f>
        <v>Yánshuài Zhèn</v>
      </c>
      <c r="D1241" t="s">
        <v>1580</v>
      </c>
      <c r="E1241" t="s">
        <v>11</v>
      </c>
      <c r="F1241" t="str">
        <f>_xlfn.CONCAT(D1241,", ",H1241,", ",I1241,", ","云南省")</f>
        <v>岩帅镇, 沧源佤族自治县, 临沧市, 云南省</v>
      </c>
      <c r="G1241">
        <v>32486</v>
      </c>
      <c r="H1241" t="s">
        <v>2832</v>
      </c>
      <c r="I1241" t="s">
        <v>2831</v>
      </c>
      <c r="J1241">
        <f>VLOOKUP(F1241,[1]!china_towns_second__2[[Column1]:[Y]],3,FALSE)</f>
        <v>23.268805218815601</v>
      </c>
      <c r="K1241">
        <f>VLOOKUP(F1241,[1]!china_towns_second__2[[Column1]:[Y]],2,FALSE)</f>
        <v>99.578249749999998</v>
      </c>
      <c r="L1241" t="s">
        <v>4792</v>
      </c>
      <c r="M1241" t="str">
        <f>VLOOKUP(H1241,CHOOSE({1,2},Table17[Native],Table17[Name]),2,0)</f>
        <v>Cāngyuán Wăzú Zìzhìxiàn</v>
      </c>
      <c r="N1241" s="15" t="str">
        <f>VLOOKUP(I1241,CHOOSE({1,2},Table17[Native],Table17[Name]),2,0)</f>
        <v>Líncāng Shì</v>
      </c>
      <c r="O1241" s="15" t="str">
        <f t="shared" si="38"/>
        <v>Yanshuai Zhen (Líncāng Shì)</v>
      </c>
      <c r="P1241" s="15" t="str">
        <f t="shared" si="39"/>
        <v>Yanshuai Zhen (Líncāng Shì)</v>
      </c>
    </row>
    <row r="1242" spans="1:16" hidden="1" x14ac:dyDescent="0.25">
      <c r="A1242" t="s">
        <v>2709</v>
      </c>
      <c r="B1242" t="str">
        <f>IF(COUNTIF(A:A,A1242)&gt;1,_xlfn.CONCAT(A1242," (",N1242,")"),A1242)</f>
        <v>Yányuán Zhèn</v>
      </c>
      <c r="C1242" t="str">
        <f>IF(COUNTIF(B:B,B1242)&gt;1,_xlfn.CONCAT(A1242," (",M1242,")"),B1242)</f>
        <v>Yányuán Zhèn</v>
      </c>
      <c r="D1242" t="s">
        <v>2710</v>
      </c>
      <c r="E1242" t="s">
        <v>11</v>
      </c>
      <c r="F1242" t="str">
        <f>_xlfn.CONCAT(D1242,", ",H1242,", ",I1242,", ","云南省")</f>
        <v>盐源镇, 镇雄县, 昭通市, 云南省</v>
      </c>
      <c r="G1242">
        <v>36633</v>
      </c>
      <c r="H1242" t="s">
        <v>2910</v>
      </c>
      <c r="I1242" t="s">
        <v>2899</v>
      </c>
      <c r="J1242">
        <f>VLOOKUP(F1242,[1]!china_towns_second__2[[Column1]:[Y]],3,FALSE)</f>
        <v>27.6339694274997</v>
      </c>
      <c r="K1242">
        <f>VLOOKUP(F1242,[1]!china_towns_second__2[[Column1]:[Y]],2,FALSE)</f>
        <v>104.6334244</v>
      </c>
      <c r="L1242" t="s">
        <v>4793</v>
      </c>
      <c r="M1242" t="str">
        <f>VLOOKUP(H1242,CHOOSE({1,2},Table17[Native],Table17[Name]),2,0)</f>
        <v>Zhènxióng Xiàn</v>
      </c>
      <c r="N1242" s="15" t="str">
        <f>VLOOKUP(I1242,CHOOSE({1,2},Table17[Native],Table17[Name]),2,0)</f>
        <v>Zhāotōng Shì</v>
      </c>
      <c r="O1242" s="15" t="str">
        <f t="shared" si="38"/>
        <v>Yanyuan Zhen (Zhāotōng Shì)</v>
      </c>
      <c r="P1242" s="15" t="str">
        <f t="shared" si="39"/>
        <v>Yanyuan Zhen (Zhāotōng Shì)</v>
      </c>
    </row>
    <row r="1243" spans="1:16" hidden="1" x14ac:dyDescent="0.25">
      <c r="A1243" t="s">
        <v>145</v>
      </c>
      <c r="B1243" t="str">
        <f>IF(COUNTIF(A:A,A1243)&gt;1,_xlfn.CONCAT(A1243," (",N1243,")"),A1243)</f>
        <v>Yáoguān Zhèn</v>
      </c>
      <c r="C1243" t="str">
        <f>IF(COUNTIF(B:B,B1243)&gt;1,_xlfn.CONCAT(A1243," (",M1243,")"),B1243)</f>
        <v>Yáoguān Zhèn</v>
      </c>
      <c r="D1243" t="s">
        <v>146</v>
      </c>
      <c r="E1243" t="s">
        <v>11</v>
      </c>
      <c r="F1243" t="str">
        <f>_xlfn.CONCAT(D1243,", ",H1243,", ",I1243,", ","云南省")</f>
        <v>姚关镇, 施甸县, 保山市, 云南省</v>
      </c>
      <c r="G1243">
        <v>35096</v>
      </c>
      <c r="H1243" t="s">
        <v>2745</v>
      </c>
      <c r="I1243" t="s">
        <v>2739</v>
      </c>
      <c r="J1243">
        <f>VLOOKUP(F1243,[1]!china_towns_second__2[[Column1]:[Y]],3,FALSE)</f>
        <v>24.5694037031523</v>
      </c>
      <c r="K1243">
        <f>VLOOKUP(F1243,[1]!china_towns_second__2[[Column1]:[Y]],2,FALSE)</f>
        <v>99.247796230000006</v>
      </c>
      <c r="L1243" t="s">
        <v>4794</v>
      </c>
      <c r="M1243" t="str">
        <f>VLOOKUP(H1243,CHOOSE({1,2},Table17[Native],Table17[Name]),2,0)</f>
        <v>Shīdiàn Xiàn</v>
      </c>
      <c r="N1243" s="15" t="str">
        <f>VLOOKUP(I1243,CHOOSE({1,2},Table17[Native],Table17[Name]),2,0)</f>
        <v>Băoshān Shì</v>
      </c>
      <c r="O1243" s="15" t="str">
        <f t="shared" si="38"/>
        <v>Yaoguan Zhen (Băoshān Shì)</v>
      </c>
      <c r="P1243" s="15" t="str">
        <f t="shared" si="39"/>
        <v>Yaoguan Zhen (Băoshān Shì)</v>
      </c>
    </row>
    <row r="1244" spans="1:16" hidden="1" x14ac:dyDescent="0.25">
      <c r="A1244" t="s">
        <v>1581</v>
      </c>
      <c r="B1244" t="str">
        <f>IF(COUNTIF(A:A,A1244)&gt;1,_xlfn.CONCAT(A1244," (",N1244,")"),A1244)</f>
        <v>Yāojiē Yízú Xiāng</v>
      </c>
      <c r="C1244" t="str">
        <f>IF(COUNTIF(B:B,B1244)&gt;1,_xlfn.CONCAT(A1244," (",M1244,")"),B1244)</f>
        <v>Yāojiē Yízú Xiāng</v>
      </c>
      <c r="D1244" t="s">
        <v>1582</v>
      </c>
      <c r="E1244" t="s">
        <v>7</v>
      </c>
      <c r="F1244" t="str">
        <f>_xlfn.CONCAT(D1244,", ",H1244,", ",I1244,", ","云南省")</f>
        <v>腰街彝族乡, 凤庆县, 临沧市, 云南省</v>
      </c>
      <c r="G1244">
        <v>9233</v>
      </c>
      <c r="H1244" t="s">
        <v>2833</v>
      </c>
      <c r="I1244" t="s">
        <v>2831</v>
      </c>
      <c r="J1244" t="e">
        <f>VLOOKUP(F1244,[1]!china_towns_second__2[[Column1]:[Y]],3,FALSE)</f>
        <v>#N/A</v>
      </c>
      <c r="K1244" t="e">
        <f>VLOOKUP(F1244,[1]!china_towns_second__2[[Column1]:[Y]],2,FALSE)</f>
        <v>#N/A</v>
      </c>
      <c r="L1244" t="s">
        <v>4795</v>
      </c>
      <c r="M1244" t="str">
        <f>VLOOKUP(H1244,CHOOSE({1,2},Table17[Native],Table17[Name]),2,0)</f>
        <v>Fèngqìng Xiàn</v>
      </c>
      <c r="N1244" s="15" t="str">
        <f>VLOOKUP(I1244,CHOOSE({1,2},Table17[Native],Table17[Name]),2,0)</f>
        <v>Líncāng Shì</v>
      </c>
      <c r="O1244" s="15" t="str">
        <f t="shared" si="38"/>
        <v>Yaojie Yizu Xiang (Líncāng Shì)</v>
      </c>
      <c r="P1244" s="15" t="str">
        <f t="shared" si="39"/>
        <v>Yaojie Yizu Xiang (Líncāng Shì)</v>
      </c>
    </row>
    <row r="1245" spans="1:16" hidden="1" x14ac:dyDescent="0.25">
      <c r="A1245" t="s">
        <v>2455</v>
      </c>
      <c r="B1245" t="str">
        <f>IF(COUNTIF(A:A,A1245)&gt;1,_xlfn.CONCAT(A1245," (",N1245,")"),A1245)</f>
        <v>Yāojiē Zhèn [→ Jiásă Zhèn, Mòshā Zhèn]</v>
      </c>
      <c r="C1245" t="str">
        <f>IF(COUNTIF(B:B,B1245)&gt;1,_xlfn.CONCAT(A1245," (",M1245,")"),B1245)</f>
        <v>Yāojiē Zhèn [→ Jiásă Zhèn, Mòshā Zhèn]</v>
      </c>
      <c r="D1245" t="s">
        <v>2456</v>
      </c>
      <c r="E1245" t="s">
        <v>11</v>
      </c>
      <c r="F1245" t="str">
        <f>_xlfn.CONCAT(D1245,", ",H1245,", ",I1245,", ","云南省")</f>
        <v>腰街镇, 新平彝族傣族自治县, 玉溪市, 云南省</v>
      </c>
      <c r="G1245">
        <v>15667</v>
      </c>
      <c r="H1245" t="s">
        <v>2895</v>
      </c>
      <c r="I1245" t="s">
        <v>2888</v>
      </c>
      <c r="J1245">
        <f>VLOOKUP(F1245,[1]!china_towns_second__2[[Column1]:[Y]],3,FALSE)</f>
        <v>23.9572</v>
      </c>
      <c r="K1245">
        <f>VLOOKUP(F1245,[1]!china_towns_second__2[[Column1]:[Y]],2,FALSE)</f>
        <v>101.6317</v>
      </c>
      <c r="L1245" t="s">
        <v>4796</v>
      </c>
      <c r="M1245" t="str">
        <f>VLOOKUP(H1245,CHOOSE({1,2},Table17[Native],Table17[Name]),2,0)</f>
        <v>Xīnpíng Yízú Dăizú Zìzhìxiàn</v>
      </c>
      <c r="N1245" s="15" t="str">
        <f>VLOOKUP(I1245,CHOOSE({1,2},Table17[Native],Table17[Name]),2,0)</f>
        <v>Yùxī Shì</v>
      </c>
      <c r="O1245" s="15" t="str">
        <f t="shared" si="38"/>
        <v>Yaojie Zhen [→ Jiasa Zhen, Mosha Zhen] (Yùxī Shì)</v>
      </c>
      <c r="P1245" s="15" t="str">
        <f t="shared" si="39"/>
        <v>Yaojie Zhen [→ Jiasa Zhen, Mosha Zhen] (Yùxī Shì)</v>
      </c>
    </row>
    <row r="1246" spans="1:16" hidden="1" x14ac:dyDescent="0.25">
      <c r="A1246" t="s">
        <v>2317</v>
      </c>
      <c r="B1246" t="str">
        <f>IF(COUNTIF(A:A,A1246)&gt;1,_xlfn.CONCAT(A1246," (",N1246,")"),A1246)</f>
        <v>Yáoqū Yáozú Xiāng</v>
      </c>
      <c r="C1246" t="str">
        <f>IF(COUNTIF(B:B,B1246)&gt;1,_xlfn.CONCAT(A1246," (",M1246,")"),B1246)</f>
        <v>Yáoqū Yáozú Xiāng</v>
      </c>
      <c r="D1246" t="s">
        <v>2318</v>
      </c>
      <c r="E1246" t="s">
        <v>7</v>
      </c>
      <c r="F1246" t="str">
        <f>_xlfn.CONCAT(D1246,", ",H1246,", ",I1246,", ","云南省")</f>
        <v>瑶区瑶族乡, 勐腊县, 西双版纳傣族自治州, 云南省</v>
      </c>
      <c r="G1246">
        <v>10572</v>
      </c>
      <c r="H1246" t="s">
        <v>2886</v>
      </c>
      <c r="I1246" t="s">
        <v>2883</v>
      </c>
      <c r="J1246" t="e">
        <f>VLOOKUP(F1246,[1]!china_towns_second__2[[Column1]:[Y]],3,FALSE)</f>
        <v>#N/A</v>
      </c>
      <c r="K1246" t="e">
        <f>VLOOKUP(F1246,[1]!china_towns_second__2[[Column1]:[Y]],2,FALSE)</f>
        <v>#N/A</v>
      </c>
      <c r="L1246" t="s">
        <v>4797</v>
      </c>
      <c r="M1246" t="str">
        <f>VLOOKUP(H1246,CHOOSE({1,2},Table17[Native],Table17[Name]),2,0)</f>
        <v>Mĕnglà Xiàn</v>
      </c>
      <c r="N1246" s="15" t="str">
        <f>VLOOKUP(I1246,CHOOSE({1,2},Table17[Native],Table17[Name]),2,0)</f>
        <v>Xīshuāngbănnà Dăizú Zìzhìzhōu</v>
      </c>
      <c r="O1246" s="15" t="str">
        <f t="shared" si="38"/>
        <v>Yaoqu Yaozu Xiang (Xīshuāngbănnà Dăizú Zìzhìzhōu)</v>
      </c>
      <c r="P1246" s="15" t="str">
        <f t="shared" si="39"/>
        <v>Yaoqu Yaozu Xiang (Xīshuāngbănnà Dăizú Zìzhìzhōu)</v>
      </c>
    </row>
    <row r="1247" spans="1:16" hidden="1" x14ac:dyDescent="0.25">
      <c r="A1247" t="s">
        <v>1009</v>
      </c>
      <c r="B1247" t="str">
        <f>IF(COUNTIF(A:A,A1247)&gt;1,_xlfn.CONCAT(A1247," (",N1247,")"),A1247)</f>
        <v>Yáoshān Xiāng</v>
      </c>
      <c r="C1247" t="str">
        <f>IF(COUNTIF(B:B,B1247)&gt;1,_xlfn.CONCAT(A1247," (",M1247,")"),B1247)</f>
        <v>Yáoshān Xiāng</v>
      </c>
      <c r="D1247" t="s">
        <v>1010</v>
      </c>
      <c r="E1247" t="s">
        <v>7</v>
      </c>
      <c r="F1247" t="str">
        <f>_xlfn.CONCAT(D1247,", ",H1247,", ",I1247,", ","云南省")</f>
        <v>瑶山乡, 河口瑶族自治县, 红河哈尼族彝族自治州, 云南省</v>
      </c>
      <c r="G1247">
        <v>13231</v>
      </c>
      <c r="H1247" t="s">
        <v>2794</v>
      </c>
      <c r="I1247" t="s">
        <v>2792</v>
      </c>
      <c r="J1247" t="e">
        <f>VLOOKUP(F1247,[1]!china_towns_second__2[[Column1]:[Y]],3,FALSE)</f>
        <v>#N/A</v>
      </c>
      <c r="K1247" t="e">
        <f>VLOOKUP(F1247,[1]!china_towns_second__2[[Column1]:[Y]],2,FALSE)</f>
        <v>#N/A</v>
      </c>
      <c r="L1247" t="s">
        <v>4798</v>
      </c>
      <c r="M1247" t="str">
        <f>VLOOKUP(H1247,CHOOSE({1,2},Table17[Native],Table17[Name]),2,0)</f>
        <v>Hékŏu Yáozú Zìzhìxiàn</v>
      </c>
      <c r="N1247" s="15" t="str">
        <f>VLOOKUP(I1247,CHOOSE({1,2},Table17[Native],Table17[Name]),2,0)</f>
        <v>Hónghé Hānízú Yízú Zìzhìzhōu</v>
      </c>
      <c r="O1247" s="15" t="str">
        <f t="shared" si="38"/>
        <v>Yaoshan Xiang (Hónghé Hānízú Yízú Zìzhìzhōu)</v>
      </c>
      <c r="P1247" s="15" t="str">
        <f t="shared" si="39"/>
        <v>Yaoshan Xiang (Hónghé Hānízú Yízú Zìzhìzhōu)</v>
      </c>
    </row>
    <row r="1248" spans="1:16" hidden="1" x14ac:dyDescent="0.25">
      <c r="A1248" t="s">
        <v>2711</v>
      </c>
      <c r="B1248" t="str">
        <f>IF(COUNTIF(A:A,A1248)&gt;1,_xlfn.CONCAT(A1248," (",N1248,")"),A1248)</f>
        <v>Yàoshān Zhèn</v>
      </c>
      <c r="C1248" t="str">
        <f>IF(COUNTIF(B:B,B1248)&gt;1,_xlfn.CONCAT(A1248," (",M1248,")"),B1248)</f>
        <v>Yàoshān Zhèn</v>
      </c>
      <c r="D1248" t="s">
        <v>2712</v>
      </c>
      <c r="E1248" t="s">
        <v>11</v>
      </c>
      <c r="F1248" t="str">
        <f>_xlfn.CONCAT(D1248,", ",H1248,", ",I1248,", ","云南省")</f>
        <v>药山镇, 巧家县, 昭通市, 云南省</v>
      </c>
      <c r="G1248">
        <v>43231</v>
      </c>
      <c r="H1248" t="s">
        <v>2902</v>
      </c>
      <c r="I1248" t="s">
        <v>2899</v>
      </c>
      <c r="J1248">
        <f>VLOOKUP(F1248,[1]!china_towns_second__2[[Column1]:[Y]],3,FALSE)</f>
        <v>27.098003701108201</v>
      </c>
      <c r="K1248">
        <f>VLOOKUP(F1248,[1]!china_towns_second__2[[Column1]:[Y]],2,FALSE)</f>
        <v>103.0743859</v>
      </c>
      <c r="L1248" t="s">
        <v>4799</v>
      </c>
      <c r="M1248" t="str">
        <f>VLOOKUP(H1248,CHOOSE({1,2},Table17[Native],Table17[Name]),2,0)</f>
        <v>Qiăojiā Xiàn</v>
      </c>
      <c r="N1248" s="15" t="str">
        <f>VLOOKUP(I1248,CHOOSE({1,2},Table17[Native],Table17[Name]),2,0)</f>
        <v>Zhāotōng Shì</v>
      </c>
      <c r="O1248" s="15" t="str">
        <f t="shared" si="38"/>
        <v>Yaoshan Zhen (Zhāotōng Shì)</v>
      </c>
      <c r="P1248" s="15" t="str">
        <f t="shared" si="39"/>
        <v>Yaoshan Zhen (Zhāotōng Shì)</v>
      </c>
    </row>
    <row r="1249" spans="1:16" hidden="1" x14ac:dyDescent="0.25">
      <c r="A1249" t="s">
        <v>1827</v>
      </c>
      <c r="B1249" t="str">
        <f>IF(COUNTIF(A:A,A1249)&gt;1,_xlfn.CONCAT(A1249," (",N1249,")"),A1249)</f>
        <v>Yăyì Zhèn</v>
      </c>
      <c r="C1249" t="str">
        <f>IF(COUNTIF(B:B,B1249)&gt;1,_xlfn.CONCAT(A1249," (",M1249,")"),B1249)</f>
        <v>Yăyì Zhèn</v>
      </c>
      <c r="D1249" t="s">
        <v>1828</v>
      </c>
      <c r="E1249" t="s">
        <v>11</v>
      </c>
      <c r="F1249" t="str">
        <f>_xlfn.CONCAT(D1249,", ",H1249,", ",I1249,", ","云南省")</f>
        <v>雅邑镇, 墨江哈尼族自治县, 普洱市, 云南省</v>
      </c>
      <c r="G1249">
        <v>21280</v>
      </c>
      <c r="H1249" t="s">
        <v>2854</v>
      </c>
      <c r="I1249" t="s">
        <v>2848</v>
      </c>
      <c r="J1249">
        <f>VLOOKUP(F1249,[1]!china_towns_second__2[[Column1]:[Y]],3,FALSE)</f>
        <v>23.225410487245501</v>
      </c>
      <c r="K1249">
        <f>VLOOKUP(F1249,[1]!china_towns_second__2[[Column1]:[Y]],2,FALSE)</f>
        <v>101.6881432</v>
      </c>
      <c r="L1249" t="s">
        <v>4800</v>
      </c>
      <c r="M1249" t="str">
        <f>VLOOKUP(H1249,CHOOSE({1,2},Table17[Native],Table17[Name]),2,0)</f>
        <v>Mòjiāng Hānízú Zìzhìxiàn</v>
      </c>
      <c r="N1249" s="15" t="str">
        <f>VLOOKUP(I1249,CHOOSE({1,2},Table17[Native],Table17[Name]),2,0)</f>
        <v>Pŭ'ĕr Shì</v>
      </c>
      <c r="O1249" s="15" t="str">
        <f t="shared" si="38"/>
        <v>Yayi Zhen (Pŭ'ĕr Shì)</v>
      </c>
      <c r="P1249" s="15" t="str">
        <f t="shared" si="39"/>
        <v>Yayi Zhen (Pŭ'ĕr Shì)</v>
      </c>
    </row>
    <row r="1250" spans="1:16" hidden="1" x14ac:dyDescent="0.25">
      <c r="A1250" t="s">
        <v>760</v>
      </c>
      <c r="B1250" t="str">
        <f>IF(COUNTIF(A:A,A1250)&gt;1,_xlfn.CONCAT(A1250," (",N1250,")"),A1250)</f>
        <v>Yèzhī Zhèn</v>
      </c>
      <c r="C1250" t="str">
        <f>IF(COUNTIF(B:B,B1250)&gt;1,_xlfn.CONCAT(A1250," (",M1250,")"),B1250)</f>
        <v>Yèzhī Zhèn</v>
      </c>
      <c r="D1250" t="s">
        <v>761</v>
      </c>
      <c r="E1250" t="s">
        <v>11</v>
      </c>
      <c r="F1250" t="str">
        <f>_xlfn.CONCAT(D1250,", ",H1250,", ",I1250,", ","云南省")</f>
        <v>叶枝镇, 维西傈僳族自治县, 迪庆藏族自治州, 云南省</v>
      </c>
      <c r="G1250">
        <v>11154</v>
      </c>
      <c r="H1250" t="s">
        <v>2788</v>
      </c>
      <c r="I1250" t="s">
        <v>2786</v>
      </c>
      <c r="J1250">
        <f>VLOOKUP(F1250,[1]!china_towns_second__2[[Column1]:[Y]],3,FALSE)</f>
        <v>27.7260052659494</v>
      </c>
      <c r="K1250">
        <f>VLOOKUP(F1250,[1]!china_towns_second__2[[Column1]:[Y]],2,FALSE)</f>
        <v>99.009811380000002</v>
      </c>
      <c r="L1250" t="s">
        <v>4801</v>
      </c>
      <c r="M1250" t="str">
        <f>VLOOKUP(H1250,CHOOSE({1,2},Table17[Native],Table17[Name]),2,0)</f>
        <v>Wéixī Lìsùzú Zìzhìxiàn</v>
      </c>
      <c r="N1250" s="15" t="str">
        <f>VLOOKUP(I1250,CHOOSE({1,2},Table17[Native],Table17[Name]),2,0)</f>
        <v>Díqìng Zàngzú Zìzhìzhōu</v>
      </c>
      <c r="O1250" s="15" t="str">
        <f t="shared" si="38"/>
        <v>Yezhi Zhen (Díqìng Zàngzú Zìzhìzhōu)</v>
      </c>
      <c r="P1250" s="15" t="str">
        <f t="shared" si="39"/>
        <v>Yezhi Zhen (Díqìng Zàngzú Zìzhìzhōu)</v>
      </c>
    </row>
    <row r="1251" spans="1:16" hidden="1" x14ac:dyDescent="0.25">
      <c r="A1251" t="s">
        <v>2035</v>
      </c>
      <c r="B1251" t="str">
        <f>IF(COUNTIF(A:A,A1251)&gt;1,_xlfn.CONCAT(A1251," (",N1251,")"),A1251)</f>
        <v>Yĭchē Zhèn</v>
      </c>
      <c r="C1251" t="str">
        <f>IF(COUNTIF(B:B,B1251)&gt;1,_xlfn.CONCAT(A1251," (",M1251,")"),B1251)</f>
        <v>Yĭchē Zhèn</v>
      </c>
      <c r="D1251" t="s">
        <v>2036</v>
      </c>
      <c r="E1251" t="s">
        <v>11</v>
      </c>
      <c r="F1251" t="str">
        <f>_xlfn.CONCAT(D1251,", ",H1251,", ",I1251,", ","云南省")</f>
        <v>迤车镇, 会泽县, 曲靖市, 云南省</v>
      </c>
      <c r="G1251">
        <v>81784</v>
      </c>
      <c r="H1251" t="s">
        <v>2862</v>
      </c>
      <c r="I1251" t="s">
        <v>2860</v>
      </c>
      <c r="J1251">
        <f>VLOOKUP(F1251,[1]!china_towns_second__2[[Column1]:[Y]],3,FALSE)</f>
        <v>26.849194461762799</v>
      </c>
      <c r="K1251">
        <f>VLOOKUP(F1251,[1]!china_towns_second__2[[Column1]:[Y]],2,FALSE)</f>
        <v>103.4992337</v>
      </c>
      <c r="L1251" t="s">
        <v>4802</v>
      </c>
      <c r="M1251" t="str">
        <f>VLOOKUP(H1251,CHOOSE({1,2},Table17[Native],Table17[Name]),2,0)</f>
        <v>Huìzé Xiàn</v>
      </c>
      <c r="N1251" s="15" t="str">
        <f>VLOOKUP(I1251,CHOOSE({1,2},Table17[Native],Table17[Name]),2,0)</f>
        <v>Qŭjìng Shì</v>
      </c>
      <c r="O1251" s="15" t="str">
        <f t="shared" si="38"/>
        <v>Yiche Zhen (Qŭjìng Shì)</v>
      </c>
      <c r="P1251" s="15" t="str">
        <f t="shared" si="39"/>
        <v>Yiche Zhen (Qŭjìng Shì)</v>
      </c>
    </row>
    <row r="1252" spans="1:16" hidden="1" x14ac:dyDescent="0.25">
      <c r="A1252" t="s">
        <v>2713</v>
      </c>
      <c r="B1252" t="str">
        <f>IF(COUNTIF(A:A,A1252)&gt;1,_xlfn.CONCAT(A1252," (",N1252,")"),A1252)</f>
        <v>Yĭgŭ Zhèn</v>
      </c>
      <c r="C1252" t="str">
        <f>IF(COUNTIF(B:B,B1252)&gt;1,_xlfn.CONCAT(A1252," (",M1252,")"),B1252)</f>
        <v>Yĭgŭ Zhèn</v>
      </c>
      <c r="D1252" t="s">
        <v>2714</v>
      </c>
      <c r="E1252" t="s">
        <v>11</v>
      </c>
      <c r="F1252" t="str">
        <f>_xlfn.CONCAT(D1252,", ",H1252,", ",I1252,", ","云南省")</f>
        <v>以古镇, 镇雄县, 昭通市, 云南省</v>
      </c>
      <c r="G1252">
        <v>30255</v>
      </c>
      <c r="H1252" t="s">
        <v>2910</v>
      </c>
      <c r="I1252" t="s">
        <v>2899</v>
      </c>
      <c r="J1252">
        <f>VLOOKUP(F1252,[1]!china_towns_second__2[[Column1]:[Y]],3,FALSE)</f>
        <v>27.371075420438601</v>
      </c>
      <c r="K1252">
        <f>VLOOKUP(F1252,[1]!china_towns_second__2[[Column1]:[Y]],2,FALSE)</f>
        <v>104.6020941</v>
      </c>
      <c r="L1252" t="s">
        <v>4803</v>
      </c>
      <c r="M1252" t="str">
        <f>VLOOKUP(H1252,CHOOSE({1,2},Table17[Native],Table17[Name]),2,0)</f>
        <v>Zhènxióng Xiàn</v>
      </c>
      <c r="N1252" s="15" t="str">
        <f>VLOOKUP(I1252,CHOOSE({1,2},Table17[Native],Table17[Name]),2,0)</f>
        <v>Zhāotōng Shì</v>
      </c>
      <c r="O1252" s="15" t="str">
        <f t="shared" si="38"/>
        <v>Yigu Zhen (Zhāotōng Shì)</v>
      </c>
      <c r="P1252" s="15" t="str">
        <f t="shared" si="39"/>
        <v>Yigu Zhen (Zhāotōng Shì)</v>
      </c>
    </row>
    <row r="1253" spans="1:16" hidden="1" x14ac:dyDescent="0.25">
      <c r="A1253" t="s">
        <v>341</v>
      </c>
      <c r="B1253" t="str">
        <f>IF(COUNTIF(A:A,A1253)&gt;1,_xlfn.CONCAT(A1253," (",N1253,")"),A1253)</f>
        <v>Yījiē Xiāng</v>
      </c>
      <c r="C1253" t="str">
        <f>IF(COUNTIF(B:B,B1253)&gt;1,_xlfn.CONCAT(A1253," (",M1253,")"),B1253)</f>
        <v>Yījiē Xiāng</v>
      </c>
      <c r="D1253" t="s">
        <v>342</v>
      </c>
      <c r="E1253" t="s">
        <v>7</v>
      </c>
      <c r="F1253" t="str">
        <f>_xlfn.CONCAT(D1253,", ",H1253,", ",I1253,", ","云南省")</f>
        <v>一街乡, 南华县, 楚雄彝族自治州, 云南省</v>
      </c>
      <c r="G1253">
        <v>19445</v>
      </c>
      <c r="H1253" t="s">
        <v>2755</v>
      </c>
      <c r="I1253" t="s">
        <v>2750</v>
      </c>
      <c r="J1253" t="e">
        <f>VLOOKUP(F1253,[1]!china_towns_second__2[[Column1]:[Y]],3,FALSE)</f>
        <v>#N/A</v>
      </c>
      <c r="K1253" t="e">
        <f>VLOOKUP(F1253,[1]!china_towns_second__2[[Column1]:[Y]],2,FALSE)</f>
        <v>#N/A</v>
      </c>
      <c r="L1253" t="s">
        <v>4804</v>
      </c>
      <c r="M1253" t="str">
        <f>VLOOKUP(H1253,CHOOSE({1,2},Table17[Native],Table17[Name]),2,0)</f>
        <v>Nánhuá Xiàn</v>
      </c>
      <c r="N1253" s="15" t="str">
        <f>VLOOKUP(I1253,CHOOSE({1,2},Table17[Native],Table17[Name]),2,0)</f>
        <v>Chŭxióng Yízú Zìzhìzhōu</v>
      </c>
      <c r="O1253" s="15" t="str">
        <f t="shared" si="38"/>
        <v>Yijie Xiang (Chŭxióng Yízú Zìzhìzhōu)</v>
      </c>
      <c r="P1253" s="15" t="str">
        <f t="shared" si="39"/>
        <v>Yijie Xiang (Chŭxióng Yízú Zìzhìzhōu)</v>
      </c>
    </row>
    <row r="1254" spans="1:16" hidden="1" x14ac:dyDescent="0.25">
      <c r="A1254" t="s">
        <v>343</v>
      </c>
      <c r="B1254" t="str">
        <f>IF(COUNTIF(A:A,A1254)&gt;1,_xlfn.CONCAT(A1254," (",N1254,")"),A1254)</f>
        <v>Yíjiù Zhèn</v>
      </c>
      <c r="C1254" t="str">
        <f>IF(COUNTIF(B:B,B1254)&gt;1,_xlfn.CONCAT(A1254," (",M1254,")"),B1254)</f>
        <v>Yíjiù Zhèn</v>
      </c>
      <c r="D1254" t="s">
        <v>344</v>
      </c>
      <c r="E1254" t="s">
        <v>11</v>
      </c>
      <c r="F1254" t="str">
        <f>_xlfn.CONCAT(D1254,", ",H1254,", ",I1254,", ","云南省")</f>
        <v>宜就镇, 永仁县, 楚雄彝族自治州, 云南省</v>
      </c>
      <c r="G1254">
        <v>16909</v>
      </c>
      <c r="H1254" t="s">
        <v>2759</v>
      </c>
      <c r="I1254" t="s">
        <v>2750</v>
      </c>
      <c r="J1254">
        <f>VLOOKUP(F1254,[1]!china_towns_second__2[[Column1]:[Y]],3,FALSE)</f>
        <v>25.946181118859901</v>
      </c>
      <c r="K1254">
        <f>VLOOKUP(F1254,[1]!china_towns_second__2[[Column1]:[Y]],2,FALSE)</f>
        <v>101.52418609999999</v>
      </c>
      <c r="L1254" t="s">
        <v>4805</v>
      </c>
      <c r="M1254" t="str">
        <f>VLOOKUP(H1254,CHOOSE({1,2},Table17[Native],Table17[Name]),2,0)</f>
        <v>Yŏngrén Xiàn</v>
      </c>
      <c r="N1254" s="15" t="str">
        <f>VLOOKUP(I1254,CHOOSE({1,2},Table17[Native],Table17[Name]),2,0)</f>
        <v>Chŭxióng Yízú Zìzhìzhōu</v>
      </c>
      <c r="O1254" s="15" t="str">
        <f t="shared" si="38"/>
        <v>Yijiu Zhen (Chŭxióng Yízú Zìzhìzhōu)</v>
      </c>
      <c r="P1254" s="15" t="str">
        <f t="shared" si="39"/>
        <v>Yijiu Zhen (Chŭxióng Yízú Zìzhìzhōu)</v>
      </c>
    </row>
    <row r="1255" spans="1:16" hidden="1" x14ac:dyDescent="0.25">
      <c r="A1255" t="s">
        <v>2715</v>
      </c>
      <c r="B1255" t="str">
        <f>IF(COUNTIF(A:A,A1255)&gt;1,_xlfn.CONCAT(A1255," (",N1255,")"),A1255)</f>
        <v>Yĭlè Zhèn</v>
      </c>
      <c r="C1255" t="str">
        <f>IF(COUNTIF(B:B,B1255)&gt;1,_xlfn.CONCAT(A1255," (",M1255,")"),B1255)</f>
        <v>Yĭlè Zhèn</v>
      </c>
      <c r="D1255" t="s">
        <v>2716</v>
      </c>
      <c r="E1255" t="s">
        <v>11</v>
      </c>
      <c r="F1255" t="str">
        <f>_xlfn.CONCAT(D1255,", ",H1255,", ",I1255,", ","云南省")</f>
        <v>以勒镇, 镇雄县, 昭通市, 云南省</v>
      </c>
      <c r="G1255">
        <v>64207</v>
      </c>
      <c r="H1255" t="s">
        <v>2910</v>
      </c>
      <c r="I1255" t="s">
        <v>2899</v>
      </c>
      <c r="J1255">
        <f>VLOOKUP(F1255,[1]!china_towns_second__2[[Column1]:[Y]],3,FALSE)</f>
        <v>27.644146829428202</v>
      </c>
      <c r="K1255">
        <f>VLOOKUP(F1255,[1]!china_towns_second__2[[Column1]:[Y]],2,FALSE)</f>
        <v>105.1381603</v>
      </c>
      <c r="L1255" t="s">
        <v>4806</v>
      </c>
      <c r="M1255" t="str">
        <f>VLOOKUP(H1255,CHOOSE({1,2},Table17[Native],Table17[Name]),2,0)</f>
        <v>Zhènxióng Xiàn</v>
      </c>
      <c r="N1255" s="15" t="str">
        <f>VLOOKUP(I1255,CHOOSE({1,2},Table17[Native],Table17[Name]),2,0)</f>
        <v>Zhāotōng Shì</v>
      </c>
      <c r="O1255" s="15" t="str">
        <f t="shared" si="38"/>
        <v>Yile Zhen (Zhāotōng Shì)</v>
      </c>
      <c r="P1255" s="15" t="str">
        <f t="shared" si="39"/>
        <v>Yile Zhen (Zhāotōng Shì)</v>
      </c>
    </row>
    <row r="1256" spans="1:16" hidden="1" x14ac:dyDescent="0.25">
      <c r="A1256" t="s">
        <v>1284</v>
      </c>
      <c r="B1256" t="str">
        <f>IF(COUNTIF(A:A,A1256)&gt;1,_xlfn.CONCAT(A1256," (",N1256,")"),A1256)</f>
        <v>Yĭliù Jiēdào</v>
      </c>
      <c r="C1256" t="str">
        <f>IF(COUNTIF(B:B,B1256)&gt;1,_xlfn.CONCAT(A1256," (",M1256,")"),B1256)</f>
        <v>Yĭliù Jiēdào</v>
      </c>
      <c r="D1256" t="s">
        <v>1285</v>
      </c>
      <c r="E1256" t="s">
        <v>42</v>
      </c>
      <c r="F1256" t="str">
        <f>_xlfn.CONCAT(D1256,", ",H1256,", ",I1256,", ","云南省")</f>
        <v>矣六街道, 官渡区, 昆明市, 云南省</v>
      </c>
      <c r="G1256">
        <v>48593</v>
      </c>
      <c r="H1256" t="s">
        <v>2812</v>
      </c>
      <c r="I1256" t="s">
        <v>2807</v>
      </c>
      <c r="J1256">
        <f>VLOOKUP(F1256,[1]!china_towns_second__2[[Column1]:[Y]],3,FALSE)</f>
        <v>24.9273790663072</v>
      </c>
      <c r="K1256">
        <f>VLOOKUP(F1256,[1]!china_towns_second__2[[Column1]:[Y]],2,FALSE)</f>
        <v>102.760502</v>
      </c>
      <c r="L1256" t="s">
        <v>4807</v>
      </c>
      <c r="M1256" t="str">
        <f>VLOOKUP(H1256,CHOOSE({1,2},Table17[Native],Table17[Name]),2,0)</f>
        <v>Guāndù Qū</v>
      </c>
      <c r="N1256" s="15" t="str">
        <f>VLOOKUP(I1256,CHOOSE({1,2},Table17[Native],Table17[Name]),2,0)</f>
        <v>Kūnmíng Shì</v>
      </c>
      <c r="O1256" s="15" t="str">
        <f t="shared" si="38"/>
        <v>Yiliu Jiedao (Kūnmíng Shì)</v>
      </c>
      <c r="P1256" s="15" t="str">
        <f t="shared" si="39"/>
        <v>Yiliu Jiedao (Kūnmíng Shì)</v>
      </c>
    </row>
    <row r="1257" spans="1:16" hidden="1" x14ac:dyDescent="0.25">
      <c r="A1257" t="s">
        <v>1011</v>
      </c>
      <c r="B1257" t="str">
        <f>IF(COUNTIF(A:A,A1257)&gt;1,_xlfn.CONCAT(A1257," (",N1257,")"),A1257)</f>
        <v>Yìlóng Zhèn</v>
      </c>
      <c r="C1257" t="str">
        <f>IF(COUNTIF(B:B,B1257)&gt;1,_xlfn.CONCAT(A1257," (",M1257,")"),B1257)</f>
        <v>Yìlóng Zhèn</v>
      </c>
      <c r="D1257" t="s">
        <v>1012</v>
      </c>
      <c r="E1257" t="s">
        <v>11</v>
      </c>
      <c r="F1257" t="str">
        <f>_xlfn.CONCAT(D1257,", ",H1257,", ",I1257,", ","云南省")</f>
        <v>异龙镇, 石屏县, 红河哈尼族彝族自治州, 云南省</v>
      </c>
      <c r="G1257">
        <v>102923</v>
      </c>
      <c r="H1257" t="s">
        <v>2804</v>
      </c>
      <c r="I1257" t="s">
        <v>2792</v>
      </c>
      <c r="J1257">
        <f>VLOOKUP(F1257,[1]!china_towns_second__2[[Column1]:[Y]],3,FALSE)</f>
        <v>23.664070853420501</v>
      </c>
      <c r="K1257">
        <f>VLOOKUP(F1257,[1]!china_towns_second__2[[Column1]:[Y]],2,FALSE)</f>
        <v>102.4558909</v>
      </c>
      <c r="L1257" t="s">
        <v>4808</v>
      </c>
      <c r="M1257" t="str">
        <f>VLOOKUP(H1257,CHOOSE({1,2},Table17[Native],Table17[Name]),2,0)</f>
        <v>Shípíng Xiàn</v>
      </c>
      <c r="N1257" s="15" t="str">
        <f>VLOOKUP(I1257,CHOOSE({1,2},Table17[Native],Table17[Name]),2,0)</f>
        <v>Hónghé Hānízú Yízú Zìzhìzhōu</v>
      </c>
      <c r="O1257" s="15" t="str">
        <f t="shared" si="38"/>
        <v>Yilong Zhen (Hónghé Hānízú Yízú Zìzhìzhōu)</v>
      </c>
      <c r="P1257" s="15" t="str">
        <f t="shared" si="39"/>
        <v>Yilong Zhen (Hónghé Hānízú Yízú Zìzhìzhōu)</v>
      </c>
    </row>
    <row r="1258" spans="1:16" hidden="1" x14ac:dyDescent="0.25">
      <c r="A1258" t="s">
        <v>1013</v>
      </c>
      <c r="B1258" t="str">
        <f>IF(COUNTIF(A:A,A1258)&gt;1,_xlfn.CONCAT(A1258," (",N1258,")"),A1258)</f>
        <v>Yíngpán Xiāng</v>
      </c>
      <c r="C1258" t="str">
        <f>IF(COUNTIF(B:B,B1258)&gt;1,_xlfn.CONCAT(A1258," (",M1258,")"),B1258)</f>
        <v>Yíngpán Xiāng</v>
      </c>
      <c r="D1258" t="s">
        <v>1014</v>
      </c>
      <c r="E1258" t="s">
        <v>7</v>
      </c>
      <c r="F1258" t="str">
        <f>_xlfn.CONCAT(D1258,", ",H1258,", ",I1258,", ","云南省")</f>
        <v>营盘乡, 金平苗族瑶族傣族自治县, 红河哈尼族彝族自治州, 云南省</v>
      </c>
      <c r="G1258">
        <v>30034</v>
      </c>
      <c r="H1258" t="s">
        <v>2797</v>
      </c>
      <c r="I1258" t="s">
        <v>2792</v>
      </c>
      <c r="J1258" t="e">
        <f>VLOOKUP(F1258,[1]!china_towns_second__2[[Column1]:[Y]],3,FALSE)</f>
        <v>#N/A</v>
      </c>
      <c r="K1258" t="e">
        <f>VLOOKUP(F1258,[1]!china_towns_second__2[[Column1]:[Y]],2,FALSE)</f>
        <v>#N/A</v>
      </c>
      <c r="L1258" t="s">
        <v>4809</v>
      </c>
      <c r="M1258" t="str">
        <f>VLOOKUP(H1258,CHOOSE({1,2},Table17[Native],Table17[Name]),2,0)</f>
        <v>Jīnpíng Miáozú Yáozú Dăizú Zìzhìxiàn</v>
      </c>
      <c r="N1258" s="15" t="str">
        <f>VLOOKUP(I1258,CHOOSE({1,2},Table17[Native],Table17[Name]),2,0)</f>
        <v>Hónghé Hānízú Yízú Zìzhìzhōu</v>
      </c>
      <c r="O1258" s="15" t="str">
        <f t="shared" si="38"/>
        <v>Yingpan Xiang (Hónghé Hānízú Yízú Zìzhìzhōu)</v>
      </c>
      <c r="P1258" s="15" t="str">
        <f t="shared" si="39"/>
        <v>Yingpan Xiang (Hónghé Hānízú Yízú Zìzhìzhōu)</v>
      </c>
    </row>
    <row r="1259" spans="1:16" hidden="1" x14ac:dyDescent="0.25">
      <c r="A1259" t="s">
        <v>1583</v>
      </c>
      <c r="B1259" t="str">
        <f>IF(COUNTIF(A:A,A1259)&gt;1,_xlfn.CONCAT(A1259," (",N1259,")"),A1259)</f>
        <v>Yíngpán Zhèn (Líncāng Shì)</v>
      </c>
      <c r="C1259" t="str">
        <f>IF(COUNTIF(B:B,B1259)&gt;1,_xlfn.CONCAT(A1259," (",M1259,")"),B1259)</f>
        <v>Yíngpán Zhèn (Líncāng Shì)</v>
      </c>
      <c r="D1259" t="s">
        <v>1584</v>
      </c>
      <c r="E1259" t="s">
        <v>11</v>
      </c>
      <c r="F1259" t="str">
        <f>_xlfn.CONCAT(D1259,", ",H1259,", ",I1259,", ","云南省")</f>
        <v>营盘镇, 凤庆县, 临沧市, 云南省</v>
      </c>
      <c r="G1259">
        <v>45709</v>
      </c>
      <c r="H1259" t="s">
        <v>2833</v>
      </c>
      <c r="I1259" t="s">
        <v>2831</v>
      </c>
      <c r="J1259">
        <f>VLOOKUP(F1259,[1]!china_towns_second__2[[Column1]:[Y]],3,FALSE)</f>
        <v>24.368740618103999</v>
      </c>
      <c r="K1259">
        <f>VLOOKUP(F1259,[1]!china_towns_second__2[[Column1]:[Y]],2,FALSE)</f>
        <v>99.668811329999997</v>
      </c>
      <c r="L1259" t="s">
        <v>4810</v>
      </c>
      <c r="M1259" t="str">
        <f>VLOOKUP(H1259,CHOOSE({1,2},Table17[Native],Table17[Name]),2,0)</f>
        <v>Fèngqìng Xiàn</v>
      </c>
      <c r="N1259" s="15" t="str">
        <f>VLOOKUP(I1259,CHOOSE({1,2},Table17[Native],Table17[Name]),2,0)</f>
        <v>Líncāng Shì</v>
      </c>
      <c r="O1259" s="15" t="str">
        <f t="shared" si="38"/>
        <v>Yingpan Zhen (Lincang Shi) (Líncāng Shì)</v>
      </c>
      <c r="P1259" s="15" t="str">
        <f t="shared" si="39"/>
        <v>Yingpan Zhen (Lincang Shi) (Líncāng Shì)</v>
      </c>
    </row>
    <row r="1260" spans="1:16" hidden="1" x14ac:dyDescent="0.25">
      <c r="A1260" t="s">
        <v>1583</v>
      </c>
      <c r="B1260" t="str">
        <f>IF(COUNTIF(A:A,A1260)&gt;1,_xlfn.CONCAT(A1260," (",N1260,")"),A1260)</f>
        <v>Yíngpán Zhèn (Nùjiāng Lìsùzú Zìzhìzhōu)</v>
      </c>
      <c r="C1260" t="str">
        <f>IF(COUNTIF(B:B,B1260)&gt;1,_xlfn.CONCAT(A1260," (",M1260,")"),B1260)</f>
        <v>Yíngpán Zhèn (Nùjiāng Lìsùzú Zìzhìzhōu)</v>
      </c>
      <c r="D1260" t="s">
        <v>1584</v>
      </c>
      <c r="E1260" t="s">
        <v>11</v>
      </c>
      <c r="F1260" t="str">
        <f>_xlfn.CONCAT(D1260,", ",H1260,", ",I1260,", ","云南省")</f>
        <v>营盘镇, 兰坪白族普米族自治县, 怒江傈僳族自治州, 云南省</v>
      </c>
      <c r="G1260">
        <v>37406</v>
      </c>
      <c r="H1260" t="s">
        <v>2845</v>
      </c>
      <c r="I1260" t="s">
        <v>2842</v>
      </c>
      <c r="J1260">
        <f>VLOOKUP(F1260,[1]!china_towns_second__2[[Column1]:[Y]],3,FALSE)</f>
        <v>26.4842456213003</v>
      </c>
      <c r="K1260">
        <f>VLOOKUP(F1260,[1]!china_towns_second__2[[Column1]:[Y]],2,FALSE)</f>
        <v>99.115240900000003</v>
      </c>
      <c r="L1260" t="s">
        <v>4811</v>
      </c>
      <c r="M1260" t="str">
        <f>VLOOKUP(H1260,CHOOSE({1,2},Table17[Native],Table17[Name]),2,0)</f>
        <v>Lánpíng Báizú Pŭmĭzú Zìzhìxiàn</v>
      </c>
      <c r="N1260" s="15" t="str">
        <f>VLOOKUP(I1260,CHOOSE({1,2},Table17[Native],Table17[Name]),2,0)</f>
        <v>Nùjiāng Lìsùzú Zìzhìzhōu</v>
      </c>
      <c r="O1260" s="15" t="str">
        <f t="shared" si="38"/>
        <v>Yingpan Zhen (Nujiang Lisuzu Zizhizhou) (Nùjiāng Lìsùzú Zìzhìzhōu)</v>
      </c>
      <c r="P1260" s="15" t="str">
        <f t="shared" si="39"/>
        <v>Yingpan Zhen (Nujiang Lisuzu Zizhizhou) (Nùjiāng Lìsùzú Zìzhìzhōu)</v>
      </c>
    </row>
    <row r="1261" spans="1:16" hidden="1" x14ac:dyDescent="0.25">
      <c r="A1261" t="s">
        <v>2037</v>
      </c>
      <c r="B1261" t="str">
        <f>IF(COUNTIF(A:A,A1261)&gt;1,_xlfn.CONCAT(A1261," (",N1261,")"),A1261)</f>
        <v>Yíngshàng Zhèn</v>
      </c>
      <c r="C1261" t="str">
        <f>IF(COUNTIF(B:B,B1261)&gt;1,_xlfn.CONCAT(A1261," (",M1261,")"),B1261)</f>
        <v>Yíngshàng Zhèn</v>
      </c>
      <c r="D1261" t="s">
        <v>2038</v>
      </c>
      <c r="E1261" t="s">
        <v>11</v>
      </c>
      <c r="F1261" t="str">
        <f>_xlfn.CONCAT(D1261,", ",H1261,", ",I1261,", ","云南省")</f>
        <v>营上镇, 富源县, 曲靖市, 云南省</v>
      </c>
      <c r="G1261">
        <v>73541</v>
      </c>
      <c r="H1261" t="s">
        <v>2861</v>
      </c>
      <c r="I1261" t="s">
        <v>2860</v>
      </c>
      <c r="J1261">
        <f>VLOOKUP(F1261,[1]!china_towns_second__2[[Column1]:[Y]],3,FALSE)</f>
        <v>25.464866255611501</v>
      </c>
      <c r="K1261">
        <f>VLOOKUP(F1261,[1]!china_towns_second__2[[Column1]:[Y]],2,FALSE)</f>
        <v>104.35167060000001</v>
      </c>
      <c r="L1261" t="s">
        <v>4812</v>
      </c>
      <c r="M1261" t="str">
        <f>VLOOKUP(H1261,CHOOSE({1,2},Table17[Native],Table17[Name]),2,0)</f>
        <v>Fùyuán Xiàn</v>
      </c>
      <c r="N1261" s="15" t="str">
        <f>VLOOKUP(I1261,CHOOSE({1,2},Table17[Native],Table17[Name]),2,0)</f>
        <v>Qŭjìng Shì</v>
      </c>
      <c r="O1261" s="15" t="str">
        <f t="shared" si="38"/>
        <v>Yingshang Zhen (Qŭjìng Shì)</v>
      </c>
      <c r="P1261" s="15" t="str">
        <f t="shared" si="39"/>
        <v>Yingshang Zhen (Qŭjìng Shì)</v>
      </c>
    </row>
    <row r="1262" spans="1:16" hidden="1" x14ac:dyDescent="0.25">
      <c r="A1262" t="s">
        <v>582</v>
      </c>
      <c r="B1262" t="str">
        <f>IF(COUNTIF(A:A,A1262)&gt;1,_xlfn.CONCAT(A1262," (",N1262,")"),A1262)</f>
        <v>Yínjiē Zhèn</v>
      </c>
      <c r="C1262" t="str">
        <f>IF(COUNTIF(B:B,B1262)&gt;1,_xlfn.CONCAT(A1262," (",M1262,")"),B1262)</f>
        <v>Yínjiē Zhèn</v>
      </c>
      <c r="D1262" t="s">
        <v>583</v>
      </c>
      <c r="E1262" t="s">
        <v>11</v>
      </c>
      <c r="F1262" t="str">
        <f>_xlfn.CONCAT(D1262,", ",H1262,", ",I1262,", ","云南省")</f>
        <v>寅街镇, 弥渡县, 大理白族自治州, 云南省</v>
      </c>
      <c r="G1262">
        <v>43993</v>
      </c>
      <c r="H1262" t="s">
        <v>2769</v>
      </c>
      <c r="I1262" t="s">
        <v>2763</v>
      </c>
      <c r="J1262">
        <f>VLOOKUP(F1262,[1]!china_towns_second__2[[Column1]:[Y]],3,FALSE)</f>
        <v>25.256103257701</v>
      </c>
      <c r="K1262">
        <f>VLOOKUP(F1262,[1]!china_towns_second__2[[Column1]:[Y]],2,FALSE)</f>
        <v>100.49221319999999</v>
      </c>
      <c r="L1262" t="s">
        <v>4813</v>
      </c>
      <c r="M1262" t="str">
        <f>VLOOKUP(H1262,CHOOSE({1,2},Table17[Native],Table17[Name]),2,0)</f>
        <v>Mídù Xiàn</v>
      </c>
      <c r="N1262" s="15" t="str">
        <f>VLOOKUP(I1262,CHOOSE({1,2},Table17[Native],Table17[Name]),2,0)</f>
        <v>Dàlĭ Báizú Zìzhìzhōu</v>
      </c>
      <c r="O1262" s="15" t="str">
        <f t="shared" si="38"/>
        <v>Yinjie Zhen (Dàlĭ Báizú Zìzhìzhōu)</v>
      </c>
      <c r="P1262" s="15" t="str">
        <f t="shared" si="39"/>
        <v>Yinjie Zhen (Dàlĭ Báizú Zìzhìzhōu)</v>
      </c>
    </row>
    <row r="1263" spans="1:16" hidden="1" x14ac:dyDescent="0.25">
      <c r="A1263" t="s">
        <v>1286</v>
      </c>
      <c r="B1263" t="str">
        <f>IF(COUNTIF(A:A,A1263)&gt;1,_xlfn.CONCAT(A1263," (",N1263,")"),A1263)</f>
        <v>Yīnmín Zhèn</v>
      </c>
      <c r="C1263" t="str">
        <f>IF(COUNTIF(B:B,B1263)&gt;1,_xlfn.CONCAT(A1263," (",M1263,")"),B1263)</f>
        <v>Yīnmín Zhèn</v>
      </c>
      <c r="D1263" t="s">
        <v>1287</v>
      </c>
      <c r="E1263" t="s">
        <v>11</v>
      </c>
      <c r="F1263" t="str">
        <f>_xlfn.CONCAT(D1263,", ",H1263,", ",I1263,", ","云南省")</f>
        <v>因民镇, 东川区, 昆明市, 云南省</v>
      </c>
      <c r="G1263">
        <v>12623</v>
      </c>
      <c r="H1263" t="s">
        <v>2810</v>
      </c>
      <c r="I1263" t="s">
        <v>2807</v>
      </c>
      <c r="J1263">
        <f>VLOOKUP(F1263,[1]!china_towns_second__2[[Column1]:[Y]],3,FALSE)</f>
        <v>26.300673386556699</v>
      </c>
      <c r="K1263">
        <f>VLOOKUP(F1263,[1]!china_towns_second__2[[Column1]:[Y]],2,FALSE)</f>
        <v>102.9356408</v>
      </c>
      <c r="L1263" t="s">
        <v>4814</v>
      </c>
      <c r="M1263" t="str">
        <f>VLOOKUP(H1263,CHOOSE({1,2},Table17[Native],Table17[Name]),2,0)</f>
        <v>Dōngchuān Qū</v>
      </c>
      <c r="N1263" s="15" t="str">
        <f>VLOOKUP(I1263,CHOOSE({1,2},Table17[Native],Table17[Name]),2,0)</f>
        <v>Kūnmíng Shì</v>
      </c>
      <c r="O1263" s="15" t="str">
        <f t="shared" si="38"/>
        <v>Yinmin Zhen (Kūnmíng Shì)</v>
      </c>
      <c r="P1263" s="15" t="str">
        <f t="shared" si="39"/>
        <v>Yinmin Zhen (Kūnmíng Shì)</v>
      </c>
    </row>
    <row r="1264" spans="1:16" hidden="1" x14ac:dyDescent="0.25">
      <c r="A1264" t="s">
        <v>584</v>
      </c>
      <c r="B1264" t="str">
        <f>IF(COUNTIF(A:A,A1264)&gt;1,_xlfn.CONCAT(A1264," (",N1264,")"),A1264)</f>
        <v>Yínqiáo Zhèn</v>
      </c>
      <c r="C1264" t="str">
        <f>IF(COUNTIF(B:B,B1264)&gt;1,_xlfn.CONCAT(A1264," (",M1264,")"),B1264)</f>
        <v>Yínqiáo Zhèn</v>
      </c>
      <c r="D1264" t="s">
        <v>585</v>
      </c>
      <c r="E1264" t="s">
        <v>11</v>
      </c>
      <c r="F1264" t="str">
        <f>_xlfn.CONCAT(D1264,", ",H1264,", ",I1264,", ","云南省")</f>
        <v>银桥镇, 大理市, 大理白族自治州, 云南省</v>
      </c>
      <c r="G1264">
        <v>28002</v>
      </c>
      <c r="H1264" t="s">
        <v>2765</v>
      </c>
      <c r="I1264" t="s">
        <v>2763</v>
      </c>
      <c r="J1264">
        <f>VLOOKUP(F1264,[1]!china_towns_second__2[[Column1]:[Y]],3,FALSE)</f>
        <v>25.7400219282964</v>
      </c>
      <c r="K1264">
        <f>VLOOKUP(F1264,[1]!china_towns_second__2[[Column1]:[Y]],2,FALSE)</f>
        <v>100.1092802</v>
      </c>
      <c r="L1264" t="s">
        <v>4815</v>
      </c>
      <c r="M1264" t="str">
        <f>VLOOKUP(H1264,CHOOSE({1,2},Table17[Native],Table17[Name]),2,0)</f>
        <v>Dàlĭ Shì</v>
      </c>
      <c r="N1264" s="15" t="str">
        <f>VLOOKUP(I1264,CHOOSE({1,2},Table17[Native],Table17[Name]),2,0)</f>
        <v>Dàlĭ Báizú Zìzhìzhōu</v>
      </c>
      <c r="O1264" s="15" t="str">
        <f t="shared" si="38"/>
        <v>Yinqiao Zhen (Dàlĭ Báizú Zìzhìzhōu)</v>
      </c>
      <c r="P1264" s="15" t="str">
        <f t="shared" si="39"/>
        <v>Yinqiao Zhen (Dàlĭ Báizú Zìzhìzhōu)</v>
      </c>
    </row>
    <row r="1265" spans="1:16" hidden="1" x14ac:dyDescent="0.25">
      <c r="A1265" t="s">
        <v>2457</v>
      </c>
      <c r="B1265" t="str">
        <f>IF(COUNTIF(A:A,A1265)&gt;1,_xlfn.CONCAT(A1265," (",N1265,")"),A1265)</f>
        <v>Yīnyuăn Zhèn</v>
      </c>
      <c r="C1265" t="str">
        <f>IF(COUNTIF(B:B,B1265)&gt;1,_xlfn.CONCAT(A1265," (",M1265,")"),B1265)</f>
        <v>Yīnyuăn Zhèn</v>
      </c>
      <c r="D1265" t="s">
        <v>2458</v>
      </c>
      <c r="E1265" t="s">
        <v>11</v>
      </c>
      <c r="F1265" t="str">
        <f>_xlfn.CONCAT(D1265,", ",H1265,", ",I1265,", ","云南省")</f>
        <v>因远镇, 元江哈尼族彝族傣族自治县, 玉溪市, 云南省</v>
      </c>
      <c r="G1265">
        <v>27853</v>
      </c>
      <c r="H1265" t="s">
        <v>2897</v>
      </c>
      <c r="I1265" t="s">
        <v>2888</v>
      </c>
      <c r="J1265">
        <f>VLOOKUP(F1265,[1]!china_towns_second__2[[Column1]:[Y]],3,FALSE)</f>
        <v>23.419780286188502</v>
      </c>
      <c r="K1265">
        <f>VLOOKUP(F1265,[1]!china_towns_second__2[[Column1]:[Y]],2,FALSE)</f>
        <v>101.8883524</v>
      </c>
      <c r="L1265" t="s">
        <v>4816</v>
      </c>
      <c r="M1265" t="str">
        <f>VLOOKUP(H1265,CHOOSE({1,2},Table17[Native],Table17[Name]),2,0)</f>
        <v>Yuánjiāng Hānízú Yízú Dăizú Zìzhìxiàn</v>
      </c>
      <c r="N1265" s="15" t="str">
        <f>VLOOKUP(I1265,CHOOSE({1,2},Table17[Native],Table17[Name]),2,0)</f>
        <v>Yùxī Shì</v>
      </c>
      <c r="O1265" s="15" t="str">
        <f t="shared" si="38"/>
        <v>Yinyuan Zhen (Yùxī Shì)</v>
      </c>
      <c r="P1265" s="15" t="str">
        <f t="shared" si="39"/>
        <v>Yinyuan Zhen (Yùxī Shì)</v>
      </c>
    </row>
    <row r="1266" spans="1:16" hidden="1" x14ac:dyDescent="0.25">
      <c r="A1266" t="s">
        <v>345</v>
      </c>
      <c r="B1266" t="str">
        <f>IF(COUNTIF(A:A,A1266)&gt;1,_xlfn.CONCAT(A1266," (",N1266,")"),A1266)</f>
        <v>Yīpínglàng Zhèn</v>
      </c>
      <c r="C1266" t="str">
        <f>IF(COUNTIF(B:B,B1266)&gt;1,_xlfn.CONCAT(A1266," (",M1266,")"),B1266)</f>
        <v>Yīpínglàng Zhèn</v>
      </c>
      <c r="D1266" t="s">
        <v>346</v>
      </c>
      <c r="E1266" t="s">
        <v>11</v>
      </c>
      <c r="F1266" t="str">
        <f>_xlfn.CONCAT(D1266,", ",H1266,", ",I1266,", ","云南省")</f>
        <v>一平浪镇, 禄丰县, 楚雄彝族自治州, 云南省</v>
      </c>
      <c r="G1266">
        <v>45476</v>
      </c>
      <c r="H1266" t="s">
        <v>2753</v>
      </c>
      <c r="I1266" t="s">
        <v>2750</v>
      </c>
      <c r="J1266">
        <f>VLOOKUP(F1266,[1]!china_towns_second__2[[Column1]:[Y]],3,FALSE)</f>
        <v>25.2156832020449</v>
      </c>
      <c r="K1266">
        <f>VLOOKUP(F1266,[1]!china_towns_second__2[[Column1]:[Y]],2,FALSE)</f>
        <v>101.9123347</v>
      </c>
      <c r="L1266" t="s">
        <v>4817</v>
      </c>
      <c r="M1266" t="str">
        <f>VLOOKUP(H1266,CHOOSE({1,2},Table17[Native],Table17[Name]),2,0)</f>
        <v>Lùfēng Xiàn</v>
      </c>
      <c r="N1266" s="15" t="str">
        <f>VLOOKUP(I1266,CHOOSE({1,2},Table17[Native],Table17[Name]),2,0)</f>
        <v>Chŭxióng Yízú Zìzhìzhōu</v>
      </c>
      <c r="O1266" s="15" t="str">
        <f t="shared" si="38"/>
        <v>Yipinglang Zhen (Chŭxióng Yízú Zìzhìzhōu)</v>
      </c>
      <c r="P1266" s="15" t="str">
        <f t="shared" si="39"/>
        <v>Yipinglang Zhen (Chŭxióng Yízú Zìzhìzhōu)</v>
      </c>
    </row>
    <row r="1267" spans="1:16" hidden="1" x14ac:dyDescent="0.25">
      <c r="A1267" t="s">
        <v>1015</v>
      </c>
      <c r="B1267" t="str">
        <f>IF(COUNTIF(A:A,A1267)&gt;1,_xlfn.CONCAT(A1267," (",N1267,")"),A1267)</f>
        <v>Yĭsà Zhèn</v>
      </c>
      <c r="C1267" t="str">
        <f>IF(COUNTIF(B:B,B1267)&gt;1,_xlfn.CONCAT(A1267," (",M1267,")"),B1267)</f>
        <v>Yĭsà Zhèn</v>
      </c>
      <c r="D1267" t="s">
        <v>1016</v>
      </c>
      <c r="E1267" t="s">
        <v>11</v>
      </c>
      <c r="F1267" t="str">
        <f>_xlfn.CONCAT(D1267,", ",H1267,", ",I1267,", ","云南省")</f>
        <v>迤萨镇, 红河县, 红河哈尼族彝族自治州, 云南省</v>
      </c>
      <c r="G1267">
        <v>35767</v>
      </c>
      <c r="H1267" t="s">
        <v>2795</v>
      </c>
      <c r="I1267" t="s">
        <v>2792</v>
      </c>
      <c r="J1267">
        <f>VLOOKUP(F1267,[1]!china_towns_second__2[[Column1]:[Y]],3,FALSE)</f>
        <v>23.338344638603399</v>
      </c>
      <c r="K1267">
        <f>VLOOKUP(F1267,[1]!china_towns_second__2[[Column1]:[Y]],2,FALSE)</f>
        <v>102.4472408</v>
      </c>
      <c r="L1267" t="s">
        <v>4818</v>
      </c>
      <c r="M1267" t="str">
        <f>VLOOKUP(H1267,CHOOSE({1,2},Table17[Native],Table17[Name]),2,0)</f>
        <v>Hónghé Xiàn</v>
      </c>
      <c r="N1267" s="15" t="str">
        <f>VLOOKUP(I1267,CHOOSE({1,2},Table17[Native],Table17[Name]),2,0)</f>
        <v>Hónghé Hānízú Yízú Zìzhìzhōu</v>
      </c>
      <c r="O1267" s="15" t="str">
        <f t="shared" si="38"/>
        <v>Yisa Zhen (Hónghé Hānízú Yízú Zìzhìzhōu)</v>
      </c>
      <c r="P1267" s="15" t="str">
        <f t="shared" si="39"/>
        <v>Yisa Zhen (Hónghé Hānízú Yízú Zìzhìzhōu)</v>
      </c>
    </row>
    <row r="1268" spans="1:16" hidden="1" x14ac:dyDescent="0.25">
      <c r="A1268" t="s">
        <v>2319</v>
      </c>
      <c r="B1268" t="str">
        <f>IF(COUNTIF(A:A,A1268)&gt;1,_xlfn.CONCAT(A1268," (",N1268,")"),A1268)</f>
        <v>Yìwŭ Zhèn</v>
      </c>
      <c r="C1268" t="str">
        <f>IF(COUNTIF(B:B,B1268)&gt;1,_xlfn.CONCAT(A1268," (",M1268,")"),B1268)</f>
        <v>Yìwŭ Zhèn</v>
      </c>
      <c r="D1268" t="s">
        <v>2320</v>
      </c>
      <c r="E1268" t="s">
        <v>11</v>
      </c>
      <c r="F1268" t="str">
        <f>_xlfn.CONCAT(D1268,", ",H1268,", ",I1268,", ","云南省")</f>
        <v>易武镇, 勐腊县, 西双版纳傣族自治州, 云南省</v>
      </c>
      <c r="G1268">
        <v>17115</v>
      </c>
      <c r="H1268" t="s">
        <v>2886</v>
      </c>
      <c r="I1268" t="s">
        <v>2883</v>
      </c>
      <c r="J1268">
        <f>VLOOKUP(F1268,[1]!china_towns_second__2[[Column1]:[Y]],3,FALSE)</f>
        <v>22.1354680813239</v>
      </c>
      <c r="K1268">
        <f>VLOOKUP(F1268,[1]!china_towns_second__2[[Column1]:[Y]],2,FALSE)</f>
        <v>101.50155530000001</v>
      </c>
      <c r="L1268" t="s">
        <v>4819</v>
      </c>
      <c r="M1268" t="str">
        <f>VLOOKUP(H1268,CHOOSE({1,2},Table17[Native],Table17[Name]),2,0)</f>
        <v>Mĕnglà Xiàn</v>
      </c>
      <c r="N1268" s="15" t="str">
        <f>VLOOKUP(I1268,CHOOSE({1,2},Table17[Native],Table17[Name]),2,0)</f>
        <v>Xīshuāngbănnà Dăizú Zìzhìzhōu</v>
      </c>
      <c r="O1268" s="15" t="str">
        <f t="shared" si="38"/>
        <v>Yiwu Zhen (Xīshuāngbănnà Dăizú Zìzhìzhōu)</v>
      </c>
      <c r="P1268" s="15" t="str">
        <f t="shared" si="39"/>
        <v>Yiwu Zhen (Xīshuāngbănnà Dăizú Zìzhìzhōu)</v>
      </c>
    </row>
    <row r="1269" spans="1:16" hidden="1" x14ac:dyDescent="0.25">
      <c r="A1269" t="s">
        <v>1829</v>
      </c>
      <c r="B1269" t="str">
        <f>IF(COUNTIF(A:A,A1269)&gt;1,_xlfn.CONCAT(A1269," (",N1269,")"),A1269)</f>
        <v>Yĭxiàng Zhèn</v>
      </c>
      <c r="C1269" t="str">
        <f>IF(COUNTIF(B:B,B1269)&gt;1,_xlfn.CONCAT(A1269," (",M1269,")"),B1269)</f>
        <v>Yĭxiàng Zhèn</v>
      </c>
      <c r="D1269" t="s">
        <v>1830</v>
      </c>
      <c r="E1269" t="s">
        <v>11</v>
      </c>
      <c r="F1269" t="str">
        <f>_xlfn.CONCAT(D1269,", ",H1269,", ",I1269,", ","云南省")</f>
        <v>倚象镇, 思茅区, 普洱市, 云南省</v>
      </c>
      <c r="G1269">
        <v>40316</v>
      </c>
      <c r="H1269" t="s">
        <v>2856</v>
      </c>
      <c r="I1269" t="s">
        <v>2848</v>
      </c>
      <c r="J1269">
        <f>VLOOKUP(F1269,[1]!china_towns_second__2[[Column1]:[Y]],3,FALSE)</f>
        <v>22.6730850487528</v>
      </c>
      <c r="K1269">
        <f>VLOOKUP(F1269,[1]!china_towns_second__2[[Column1]:[Y]],2,FALSE)</f>
        <v>101.1967719</v>
      </c>
      <c r="L1269" t="s">
        <v>4820</v>
      </c>
      <c r="M1269" t="str">
        <f>VLOOKUP(H1269,CHOOSE({1,2},Table17[Native],Table17[Name]),2,0)</f>
        <v>Sīmáo Qū</v>
      </c>
      <c r="N1269" s="15" t="str">
        <f>VLOOKUP(I1269,CHOOSE({1,2},Table17[Native],Table17[Name]),2,0)</f>
        <v>Pŭ'ĕr Shì</v>
      </c>
      <c r="O1269" s="15" t="str">
        <f t="shared" si="38"/>
        <v>Yixiang Zhen (Pŭ'ĕr Shì)</v>
      </c>
      <c r="P1269" s="15" t="str">
        <f t="shared" si="39"/>
        <v>Yixiang Zhen (Pŭ'ĕr Shì)</v>
      </c>
    </row>
    <row r="1270" spans="1:16" hidden="1" x14ac:dyDescent="0.25">
      <c r="A1270" t="s">
        <v>1831</v>
      </c>
      <c r="B1270" t="str">
        <f>IF(COUNTIF(A:A,A1270)&gt;1,_xlfn.CONCAT(A1270," (",N1270,")"),A1270)</f>
        <v>Yìzhì Xiāng</v>
      </c>
      <c r="C1270" t="str">
        <f>IF(COUNTIF(B:B,B1270)&gt;1,_xlfn.CONCAT(A1270," (",M1270,")"),B1270)</f>
        <v>Yìzhì Xiāng</v>
      </c>
      <c r="D1270" t="s">
        <v>1832</v>
      </c>
      <c r="E1270" t="s">
        <v>7</v>
      </c>
      <c r="F1270" t="str">
        <f>_xlfn.CONCAT(D1270,", ",H1270,", ",I1270,", ","云南省")</f>
        <v>益智乡, 景谷傣族彝族自治县, 普洱市, 云南省</v>
      </c>
      <c r="G1270">
        <v>12538</v>
      </c>
      <c r="H1270" t="s">
        <v>2851</v>
      </c>
      <c r="I1270" t="s">
        <v>2848</v>
      </c>
      <c r="J1270" t="e">
        <f>VLOOKUP(F1270,[1]!china_towns_second__2[[Column1]:[Y]],3,FALSE)</f>
        <v>#N/A</v>
      </c>
      <c r="K1270" t="e">
        <f>VLOOKUP(F1270,[1]!china_towns_second__2[[Column1]:[Y]],2,FALSE)</f>
        <v>#N/A</v>
      </c>
      <c r="L1270" t="s">
        <v>4821</v>
      </c>
      <c r="M1270" t="str">
        <f>VLOOKUP(H1270,CHOOSE({1,2},Table17[Native],Table17[Name]),2,0)</f>
        <v>Jĭnggŭ Dăizú Yízú Zìzhìxiàn</v>
      </c>
      <c r="N1270" s="15" t="str">
        <f>VLOOKUP(I1270,CHOOSE({1,2},Table17[Native],Table17[Name]),2,0)</f>
        <v>Pŭ'ĕr Shì</v>
      </c>
      <c r="O1270" s="15" t="str">
        <f t="shared" si="38"/>
        <v>Yizhi Xiang (Pŭ'ĕr Shì)</v>
      </c>
      <c r="P1270" s="15" t="str">
        <f t="shared" si="39"/>
        <v>Yizhi Xiang (Pŭ'ĕr Shì)</v>
      </c>
    </row>
    <row r="1271" spans="1:16" hidden="1" x14ac:dyDescent="0.25">
      <c r="A1271" t="s">
        <v>1585</v>
      </c>
      <c r="B1271" t="str">
        <f>IF(COUNTIF(A:A,A1271)&gt;1,_xlfn.CONCAT(A1271," (",N1271,")"),A1271)</f>
        <v>Yŏngbăo Zhèn</v>
      </c>
      <c r="C1271" t="str">
        <f>IF(COUNTIF(B:B,B1271)&gt;1,_xlfn.CONCAT(A1271," (",M1271,")"),B1271)</f>
        <v>Yŏngbăo Zhèn</v>
      </c>
      <c r="D1271" t="s">
        <v>1586</v>
      </c>
      <c r="E1271" t="s">
        <v>11</v>
      </c>
      <c r="F1271" t="str">
        <f>_xlfn.CONCAT(D1271,", ",H1271,", ",I1271,", ","云南省")</f>
        <v>涌宝镇, 云县, 临沧市, 云南省</v>
      </c>
      <c r="G1271">
        <v>42436</v>
      </c>
      <c r="H1271" t="s">
        <v>2838</v>
      </c>
      <c r="I1271" t="s">
        <v>2831</v>
      </c>
      <c r="J1271">
        <f>VLOOKUP(F1271,[1]!china_towns_second__2[[Column1]:[Y]],3,FALSE)</f>
        <v>24.267187497645399</v>
      </c>
      <c r="K1271">
        <f>VLOOKUP(F1271,[1]!china_towns_second__2[[Column1]:[Y]],2,FALSE)</f>
        <v>100.3420508</v>
      </c>
      <c r="L1271" t="s">
        <v>4822</v>
      </c>
      <c r="M1271" t="str">
        <f>VLOOKUP(H1271,CHOOSE({1,2},Table17[Native],Table17[Name]),2,0)</f>
        <v>Yún Xiàn</v>
      </c>
      <c r="N1271" s="15" t="str">
        <f>VLOOKUP(I1271,CHOOSE({1,2},Table17[Native],Table17[Name]),2,0)</f>
        <v>Líncāng Shì</v>
      </c>
      <c r="O1271" s="15" t="str">
        <f t="shared" si="38"/>
        <v>Yongbao Zhen (Líncāng Shì)</v>
      </c>
      <c r="P1271" s="15" t="str">
        <f t="shared" si="39"/>
        <v>Yongbao Zhen (Líncāng Shì)</v>
      </c>
    </row>
    <row r="1272" spans="1:16" hidden="1" x14ac:dyDescent="0.25">
      <c r="A1272" t="s">
        <v>1419</v>
      </c>
      <c r="B1272" t="str">
        <f>IF(COUNTIF(A:A,A1272)&gt;1,_xlfn.CONCAT(A1272," (",N1272,")"),A1272)</f>
        <v>Yŏngbĕi Zhèn</v>
      </c>
      <c r="C1272" t="str">
        <f>IF(COUNTIF(B:B,B1272)&gt;1,_xlfn.CONCAT(A1272," (",M1272,")"),B1272)</f>
        <v>Yŏngbĕi Zhèn</v>
      </c>
      <c r="D1272" t="s">
        <v>1420</v>
      </c>
      <c r="E1272" t="s">
        <v>11</v>
      </c>
      <c r="F1272" t="str">
        <f>_xlfn.CONCAT(D1272,", ",H1272,", ",I1272,", ","云南省")</f>
        <v>永北镇, 永胜县, 丽江市, 云南省</v>
      </c>
      <c r="G1272">
        <v>60099</v>
      </c>
      <c r="H1272" t="s">
        <v>2828</v>
      </c>
      <c r="I1272" t="s">
        <v>2823</v>
      </c>
      <c r="J1272">
        <f>VLOOKUP(F1272,[1]!china_towns_second__2[[Column1]:[Y]],3,FALSE)</f>
        <v>26.648439402386899</v>
      </c>
      <c r="K1272">
        <f>VLOOKUP(F1272,[1]!china_towns_second__2[[Column1]:[Y]],2,FALSE)</f>
        <v>100.7671435</v>
      </c>
      <c r="L1272" t="s">
        <v>4823</v>
      </c>
      <c r="M1272" t="str">
        <f>VLOOKUP(H1272,CHOOSE({1,2},Table17[Native],Table17[Name]),2,0)</f>
        <v>Yŏngshèng Xiàn</v>
      </c>
      <c r="N1272" s="15" t="str">
        <f>VLOOKUP(I1272,CHOOSE({1,2},Table17[Native],Table17[Name]),2,0)</f>
        <v>Lìjiāng Shì</v>
      </c>
      <c r="O1272" s="15" t="str">
        <f t="shared" si="38"/>
        <v>Yongbei Zhen (Lìjiāng Shì)</v>
      </c>
      <c r="P1272" s="15" t="str">
        <f t="shared" si="39"/>
        <v>Yongbei Zhen (Lìjiāng Shì)</v>
      </c>
    </row>
    <row r="1273" spans="1:16" hidden="1" x14ac:dyDescent="0.25">
      <c r="A1273" t="s">
        <v>147</v>
      </c>
      <c r="B1273" t="str">
        <f>IF(COUNTIF(A:A,A1273)&gt;1,_xlfn.CONCAT(A1273," (",N1273,")"),A1273)</f>
        <v>Yŏngchāng Jiēdào (Băoshān Shì)</v>
      </c>
      <c r="C1273" t="str">
        <f>IF(COUNTIF(B:B,B1273)&gt;1,_xlfn.CONCAT(A1273," (",M1273,")"),B1273)</f>
        <v>Yŏngchāng Jiēdào (Băoshān Shì)</v>
      </c>
      <c r="D1273" t="s">
        <v>148</v>
      </c>
      <c r="E1273" t="s">
        <v>42</v>
      </c>
      <c r="F1273" t="str">
        <f>_xlfn.CONCAT(D1273,", ",H1273,", ",I1273,", ","云南省")</f>
        <v>永昌街道, 隆阳区, 保山市, 云南省</v>
      </c>
      <c r="G1273">
        <v>104137</v>
      </c>
      <c r="H1273" t="s">
        <v>2744</v>
      </c>
      <c r="I1273" t="s">
        <v>2739</v>
      </c>
      <c r="J1273">
        <f>VLOOKUP(F1273,[1]!china_towns_second__2[[Column1]:[Y]],3,FALSE)</f>
        <v>25.1448053762565</v>
      </c>
      <c r="K1273">
        <f>VLOOKUP(F1273,[1]!china_towns_second__2[[Column1]:[Y]],2,FALSE)</f>
        <v>99.155570740000002</v>
      </c>
      <c r="L1273" t="s">
        <v>4824</v>
      </c>
      <c r="M1273" t="str">
        <f>VLOOKUP(H1273,CHOOSE({1,2},Table17[Native],Table17[Name]),2,0)</f>
        <v>Lóngyáng Qū</v>
      </c>
      <c r="N1273" s="15" t="str">
        <f>VLOOKUP(I1273,CHOOSE({1,2},Table17[Native],Table17[Name]),2,0)</f>
        <v>Băoshān Shì</v>
      </c>
      <c r="O1273" s="15" t="str">
        <f t="shared" si="38"/>
        <v>Yongchang Jiedao (Baoshan Shi) (Băoshān Shì)</v>
      </c>
      <c r="P1273" s="15" t="str">
        <f t="shared" si="39"/>
        <v>Yongchang Jiedao (Baoshan Shi) (Băoshān Shì)</v>
      </c>
    </row>
    <row r="1274" spans="1:16" hidden="1" x14ac:dyDescent="0.25">
      <c r="A1274" t="s">
        <v>147</v>
      </c>
      <c r="B1274" t="str">
        <f>IF(COUNTIF(A:A,A1274)&gt;1,_xlfn.CONCAT(A1274," (",N1274,")"),A1274)</f>
        <v>Yŏngchāng Jiēdào (Kūnmíng Shì)</v>
      </c>
      <c r="C1274" t="str">
        <f>IF(COUNTIF(B:B,B1274)&gt;1,_xlfn.CONCAT(A1274," (",M1274,")"),B1274)</f>
        <v>Yŏngchāng Jiēdào (Kūnmíng Shì)</v>
      </c>
      <c r="D1274" t="s">
        <v>148</v>
      </c>
      <c r="E1274" t="s">
        <v>42</v>
      </c>
      <c r="F1274" t="str">
        <f>_xlfn.CONCAT(D1274,", ",H1274,", ",I1274,", ","云南省")</f>
        <v>永昌街道, 西山区, 昆明市, 云南省</v>
      </c>
      <c r="G1274">
        <v>53600</v>
      </c>
      <c r="H1274" t="s">
        <v>2819</v>
      </c>
      <c r="I1274" t="s">
        <v>2807</v>
      </c>
      <c r="J1274">
        <f>VLOOKUP(F1274,[1]!china_towns_second__2[[Column1]:[Y]],3,FALSE)</f>
        <v>25.017517437607701</v>
      </c>
      <c r="K1274">
        <f>VLOOKUP(F1274,[1]!china_towns_second__2[[Column1]:[Y]],2,FALSE)</f>
        <v>102.7038647</v>
      </c>
      <c r="L1274" t="s">
        <v>4825</v>
      </c>
      <c r="M1274" t="str">
        <f>VLOOKUP(H1274,CHOOSE({1,2},Table17[Native],Table17[Name]),2,0)</f>
        <v>Xīshān Qū</v>
      </c>
      <c r="N1274" s="15" t="str">
        <f>VLOOKUP(I1274,CHOOSE({1,2},Table17[Native],Table17[Name]),2,0)</f>
        <v>Kūnmíng Shì</v>
      </c>
      <c r="O1274" s="15" t="str">
        <f t="shared" si="38"/>
        <v>Yongchang Jiedao (Kunming Shi) (Kūnmíng Shì)</v>
      </c>
      <c r="P1274" s="15" t="str">
        <f t="shared" si="39"/>
        <v>Yongchang Jiedao (Kunming Shi) (Kūnmíng Shì)</v>
      </c>
    </row>
    <row r="1275" spans="1:16" hidden="1" x14ac:dyDescent="0.25">
      <c r="A1275" t="s">
        <v>762</v>
      </c>
      <c r="B1275" t="str">
        <f>IF(COUNTIF(A:A,A1275)&gt;1,_xlfn.CONCAT(A1275," (",N1275,")"),A1275)</f>
        <v>Yŏngchūn Xiāng</v>
      </c>
      <c r="C1275" t="str">
        <f>IF(COUNTIF(B:B,B1275)&gt;1,_xlfn.CONCAT(A1275," (",M1275,")"),B1275)</f>
        <v>Yŏngchūn Xiāng</v>
      </c>
      <c r="D1275" t="s">
        <v>763</v>
      </c>
      <c r="E1275" t="s">
        <v>7</v>
      </c>
      <c r="F1275" t="str">
        <f>_xlfn.CONCAT(D1275,", ",H1275,", ",I1275,", ","云南省")</f>
        <v>永春乡, 维西傈僳族自治县, 迪庆藏族自治州, 云南省</v>
      </c>
      <c r="G1275">
        <v>33804</v>
      </c>
      <c r="H1275" t="s">
        <v>2788</v>
      </c>
      <c r="I1275" t="s">
        <v>2786</v>
      </c>
      <c r="J1275" t="e">
        <f>VLOOKUP(F1275,[1]!china_towns_second__2[[Column1]:[Y]],3,FALSE)</f>
        <v>#N/A</v>
      </c>
      <c r="K1275" t="e">
        <f>VLOOKUP(F1275,[1]!china_towns_second__2[[Column1]:[Y]],2,FALSE)</f>
        <v>#N/A</v>
      </c>
      <c r="L1275" t="s">
        <v>4826</v>
      </c>
      <c r="M1275" t="str">
        <f>VLOOKUP(H1275,CHOOSE({1,2},Table17[Native],Table17[Name]),2,0)</f>
        <v>Wéixī Lìsùzú Zìzhìxiàn</v>
      </c>
      <c r="N1275" s="15" t="str">
        <f>VLOOKUP(I1275,CHOOSE({1,2},Table17[Native],Table17[Name]),2,0)</f>
        <v>Díqìng Zàngzú Zìzhìzhōu</v>
      </c>
      <c r="O1275" s="15" t="str">
        <f t="shared" si="38"/>
        <v>Yongchun Xiang (Díqìng Zàngzú Zìzhìzhōu)</v>
      </c>
      <c r="P1275" s="15" t="str">
        <f t="shared" si="39"/>
        <v>Yongchun Xiang (Díqìng Zàngzú Zìzhìzhōu)</v>
      </c>
    </row>
    <row r="1276" spans="1:16" hidden="1" x14ac:dyDescent="0.25">
      <c r="A1276" t="s">
        <v>586</v>
      </c>
      <c r="B1276" t="str">
        <f>IF(COUNTIF(A:A,A1276)&gt;1,_xlfn.CONCAT(A1276," (",N1276,")"),A1276)</f>
        <v>Yōngcuì Xiāng</v>
      </c>
      <c r="C1276" t="str">
        <f>IF(COUNTIF(B:B,B1276)&gt;1,_xlfn.CONCAT(A1276," (",M1276,")"),B1276)</f>
        <v>Yōngcuì Xiāng</v>
      </c>
      <c r="D1276" t="s">
        <v>587</v>
      </c>
      <c r="E1276" t="s">
        <v>7</v>
      </c>
      <c r="F1276" t="str">
        <f>_xlfn.CONCAT(D1276,", ",H1276,", ",I1276,", ","云南省")</f>
        <v>拥翠乡, 南涧彝族自治县, 大理白族自治州, 云南省</v>
      </c>
      <c r="G1276">
        <v>18000</v>
      </c>
      <c r="H1276" t="s">
        <v>2771</v>
      </c>
      <c r="I1276" t="s">
        <v>2763</v>
      </c>
      <c r="J1276" t="e">
        <f>VLOOKUP(F1276,[1]!china_towns_second__2[[Column1]:[Y]],3,FALSE)</f>
        <v>#N/A</v>
      </c>
      <c r="K1276" t="e">
        <f>VLOOKUP(F1276,[1]!china_towns_second__2[[Column1]:[Y]],2,FALSE)</f>
        <v>#N/A</v>
      </c>
      <c r="L1276" t="s">
        <v>4827</v>
      </c>
      <c r="M1276" t="str">
        <f>VLOOKUP(H1276,CHOOSE({1,2},Table17[Native],Table17[Name]),2,0)</f>
        <v>Nánjiàn Yízú Zìzhìxiàn</v>
      </c>
      <c r="N1276" s="15" t="str">
        <f>VLOOKUP(I1276,CHOOSE({1,2},Table17[Native],Table17[Name]),2,0)</f>
        <v>Dàlĭ Báizú Zìzhìzhōu</v>
      </c>
      <c r="O1276" s="15" t="str">
        <f t="shared" si="38"/>
        <v>Yongcui Xiang (Dàlĭ Báizú Zìzhìzhōu)</v>
      </c>
      <c r="P1276" s="15" t="str">
        <f t="shared" si="39"/>
        <v>Yongcui Xiang (Dàlĭ Báizú Zìzhìzhōu)</v>
      </c>
    </row>
    <row r="1277" spans="1:16" hidden="1" x14ac:dyDescent="0.25">
      <c r="A1277" t="s">
        <v>1288</v>
      </c>
      <c r="B1277" t="str">
        <f>IF(COUNTIF(A:A,A1277)&gt;1,_xlfn.CONCAT(A1277," (",N1277,")"),A1277)</f>
        <v>Yŏngdìng Jiēdào [incl. Dàyíng Jiēdào]</v>
      </c>
      <c r="C1277" t="str">
        <f>IF(COUNTIF(B:B,B1277)&gt;1,_xlfn.CONCAT(A1277," (",M1277,")"),B1277)</f>
        <v>Yŏngdìng Jiēdào [incl. Dàyíng Jiēdào]</v>
      </c>
      <c r="D1277" t="s">
        <v>1289</v>
      </c>
      <c r="E1277" t="s">
        <v>42</v>
      </c>
      <c r="F1277" t="str">
        <f>_xlfn.CONCAT(D1277,", ",H1277,", ",I1277,", ","云南省")</f>
        <v>永定街道, 富民县, 昆明市, 云南省</v>
      </c>
      <c r="G1277">
        <v>79078</v>
      </c>
      <c r="H1277" t="s">
        <v>2811</v>
      </c>
      <c r="I1277" t="s">
        <v>2807</v>
      </c>
      <c r="J1277">
        <f>VLOOKUP(F1277,[1]!china_towns_second__2[[Column1]:[Y]],3,FALSE)</f>
        <v>25.2392077787025</v>
      </c>
      <c r="K1277">
        <f>VLOOKUP(F1277,[1]!china_towns_second__2[[Column1]:[Y]],2,FALSE)</f>
        <v>102.51397299999999</v>
      </c>
      <c r="L1277" t="s">
        <v>4828</v>
      </c>
      <c r="M1277" t="str">
        <f>VLOOKUP(H1277,CHOOSE({1,2},Table17[Native],Table17[Name]),2,0)</f>
        <v>Fùmín Xiàn</v>
      </c>
      <c r="N1277" s="15" t="str">
        <f>VLOOKUP(I1277,CHOOSE({1,2},Table17[Native],Table17[Name]),2,0)</f>
        <v>Kūnmíng Shì</v>
      </c>
      <c r="O1277" s="15" t="str">
        <f t="shared" si="38"/>
        <v>Yongding Jiedao [incl. Daying Jiedao] (Kūnmíng Shì)</v>
      </c>
      <c r="P1277" s="15" t="str">
        <f t="shared" si="39"/>
        <v>Yongding Jiedao [incl. Daying Jiedao] (Kūnmíng Shì)</v>
      </c>
    </row>
    <row r="1278" spans="1:16" hidden="1" x14ac:dyDescent="0.25">
      <c r="A1278" t="s">
        <v>347</v>
      </c>
      <c r="B1278" t="str">
        <f>IF(COUNTIF(A:A,A1278)&gt;1,_xlfn.CONCAT(A1278," (",N1278,")"),A1278)</f>
        <v>Yŏngdìng Zhèn</v>
      </c>
      <c r="C1278" t="str">
        <f>IF(COUNTIF(B:B,B1278)&gt;1,_xlfn.CONCAT(A1278," (",M1278,")"),B1278)</f>
        <v>Yŏngdìng Zhèn</v>
      </c>
      <c r="D1278" t="s">
        <v>348</v>
      </c>
      <c r="E1278" t="s">
        <v>11</v>
      </c>
      <c r="F1278" t="str">
        <f>_xlfn.CONCAT(D1278,", ",H1278,", ",I1278,", ","云南省")</f>
        <v>永定镇, 永仁县, 楚雄彝族自治州, 云南省</v>
      </c>
      <c r="G1278">
        <v>32832</v>
      </c>
      <c r="H1278" t="s">
        <v>2759</v>
      </c>
      <c r="I1278" t="s">
        <v>2750</v>
      </c>
      <c r="J1278">
        <f>VLOOKUP(F1278,[1]!china_towns_second__2[[Column1]:[Y]],3,FALSE)</f>
        <v>26.075449220030801</v>
      </c>
      <c r="K1278">
        <f>VLOOKUP(F1278,[1]!china_towns_second__2[[Column1]:[Y]],2,FALSE)</f>
        <v>101.72887179999999</v>
      </c>
      <c r="L1278" t="s">
        <v>4829</v>
      </c>
      <c r="M1278" t="str">
        <f>VLOOKUP(H1278,CHOOSE({1,2},Table17[Native],Table17[Name]),2,0)</f>
        <v>Yŏngrén Xiàn</v>
      </c>
      <c r="N1278" s="15" t="str">
        <f>VLOOKUP(I1278,CHOOSE({1,2},Table17[Native],Table17[Name]),2,0)</f>
        <v>Chŭxióng Yízú Zìzhìzhōu</v>
      </c>
      <c r="O1278" s="15" t="str">
        <f t="shared" si="38"/>
        <v>Yongding Zhen (Chŭxióng Yízú Zìzhìzhōu)</v>
      </c>
      <c r="P1278" s="15" t="str">
        <f t="shared" si="39"/>
        <v>Yongding Zhen (Chŭxióng Yízú Zìzhìzhōu)</v>
      </c>
    </row>
    <row r="1279" spans="1:16" hidden="1" x14ac:dyDescent="0.25">
      <c r="A1279" t="s">
        <v>2717</v>
      </c>
      <c r="B1279" t="str">
        <f>IF(COUNTIF(A:A,A1279)&gt;1,_xlfn.CONCAT(A1279," (",N1279,")"),A1279)</f>
        <v>Yŏngfēng Zhèn</v>
      </c>
      <c r="C1279" t="str">
        <f>IF(COUNTIF(B:B,B1279)&gt;1,_xlfn.CONCAT(A1279," (",M1279,")"),B1279)</f>
        <v>Yŏngfēng Zhèn</v>
      </c>
      <c r="D1279" t="s">
        <v>2718</v>
      </c>
      <c r="E1279" t="s">
        <v>11</v>
      </c>
      <c r="F1279" t="str">
        <f>_xlfn.CONCAT(D1279,", ",H1279,", ",I1279,", ","云南省")</f>
        <v>永丰镇, 昭阳区, 昭通市, 云南省</v>
      </c>
      <c r="G1279">
        <v>38101</v>
      </c>
      <c r="H1279" t="s">
        <v>2909</v>
      </c>
      <c r="I1279" t="s">
        <v>2899</v>
      </c>
      <c r="J1279">
        <f>VLOOKUP(F1279,[1]!china_towns_second__2[[Column1]:[Y]],3,FALSE)</f>
        <v>27.262666253087701</v>
      </c>
      <c r="K1279">
        <f>VLOOKUP(F1279,[1]!china_towns_second__2[[Column1]:[Y]],2,FALSE)</f>
        <v>103.65054720000001</v>
      </c>
      <c r="L1279" t="s">
        <v>4830</v>
      </c>
      <c r="M1279" t="str">
        <f>VLOOKUP(H1279,CHOOSE({1,2},Table17[Native],Table17[Name]),2,0)</f>
        <v>Zhāoyáng Qū</v>
      </c>
      <c r="N1279" s="15" t="str">
        <f>VLOOKUP(I1279,CHOOSE({1,2},Table17[Native],Table17[Name]),2,0)</f>
        <v>Zhāotōng Shì</v>
      </c>
      <c r="O1279" s="15" t="str">
        <f t="shared" si="38"/>
        <v>Yongfeng Zhen (Zhāotōng Shì)</v>
      </c>
      <c r="P1279" s="15" t="str">
        <f t="shared" si="39"/>
        <v>Yongfeng Zhen (Zhāotōng Shì)</v>
      </c>
    </row>
    <row r="1280" spans="1:16" hidden="1" x14ac:dyDescent="0.25">
      <c r="A1280" t="s">
        <v>588</v>
      </c>
      <c r="B1280" t="str">
        <f>IF(COUNTIF(A:A,A1280)&gt;1,_xlfn.CONCAT(A1280," (",N1280,")"),A1280)</f>
        <v>Yŏngjiàn Zhèn</v>
      </c>
      <c r="C1280" t="str">
        <f>IF(COUNTIF(B:B,B1280)&gt;1,_xlfn.CONCAT(A1280," (",M1280,")"),B1280)</f>
        <v>Yŏngjiàn Zhèn</v>
      </c>
      <c r="D1280" t="s">
        <v>589</v>
      </c>
      <c r="E1280" t="s">
        <v>11</v>
      </c>
      <c r="F1280" t="str">
        <f>_xlfn.CONCAT(D1280,", ",H1280,", ",I1280,", ","云南省")</f>
        <v>永建镇, 巍山彝族回族自治县, 大理白族自治州, 云南省</v>
      </c>
      <c r="G1280">
        <v>53970</v>
      </c>
      <c r="H1280" t="s">
        <v>2772</v>
      </c>
      <c r="I1280" t="s">
        <v>2763</v>
      </c>
      <c r="J1280">
        <f>VLOOKUP(F1280,[1]!china_towns_second__2[[Column1]:[Y]],3,FALSE)</f>
        <v>25.474323743578399</v>
      </c>
      <c r="K1280">
        <f>VLOOKUP(F1280,[1]!china_towns_second__2[[Column1]:[Y]],2,FALSE)</f>
        <v>100.19228219999999</v>
      </c>
      <c r="L1280" t="s">
        <v>4831</v>
      </c>
      <c r="M1280" t="str">
        <f>VLOOKUP(H1280,CHOOSE({1,2},Table17[Native],Table17[Name]),2,0)</f>
        <v>Wēishān Yízú Huízú Zìzhìxiàn</v>
      </c>
      <c r="N1280" s="15" t="str">
        <f>VLOOKUP(I1280,CHOOSE({1,2},Table17[Native],Table17[Name]),2,0)</f>
        <v>Dàlĭ Báizú Zìzhìzhōu</v>
      </c>
      <c r="O1280" s="15" t="str">
        <f t="shared" si="38"/>
        <v>Yongjian Zhen (Dàlĭ Báizú Zìzhìzhōu)</v>
      </c>
      <c r="P1280" s="15" t="str">
        <f t="shared" si="39"/>
        <v>Yongjian Zhen (Dàlĭ Báizú Zìzhìzhōu)</v>
      </c>
    </row>
    <row r="1281" spans="1:16" hidden="1" x14ac:dyDescent="0.25">
      <c r="A1281" t="s">
        <v>1587</v>
      </c>
      <c r="B1281" t="str">
        <f>IF(COUNTIF(A:A,A1281)&gt;1,_xlfn.CONCAT(A1281," (",N1281,")"),A1281)</f>
        <v>Yŏngkāng Zhèn</v>
      </c>
      <c r="C1281" t="str">
        <f>IF(COUNTIF(B:B,B1281)&gt;1,_xlfn.CONCAT(A1281," (",M1281,")"),B1281)</f>
        <v>Yŏngkāng Zhèn</v>
      </c>
      <c r="D1281" t="s">
        <v>1588</v>
      </c>
      <c r="E1281" t="s">
        <v>11</v>
      </c>
      <c r="F1281" t="str">
        <f>_xlfn.CONCAT(D1281,", ",H1281,", ",I1281,", ","云南省")</f>
        <v>永康镇, 永德县, 临沧市, 云南省</v>
      </c>
      <c r="G1281">
        <v>62850</v>
      </c>
      <c r="H1281" t="s">
        <v>2837</v>
      </c>
      <c r="I1281" t="s">
        <v>2831</v>
      </c>
      <c r="J1281">
        <f>VLOOKUP(F1281,[1]!china_towns_second__2[[Column1]:[Y]],3,FALSE)</f>
        <v>24.1187027088862</v>
      </c>
      <c r="K1281">
        <f>VLOOKUP(F1281,[1]!china_towns_second__2[[Column1]:[Y]],2,FALSE)</f>
        <v>99.420502470000002</v>
      </c>
      <c r="L1281" t="s">
        <v>4832</v>
      </c>
      <c r="M1281" t="str">
        <f>VLOOKUP(H1281,CHOOSE({1,2},Table17[Native],Table17[Name]),2,0)</f>
        <v>Yŏngdé Xiàn</v>
      </c>
      <c r="N1281" s="15" t="str">
        <f>VLOOKUP(I1281,CHOOSE({1,2},Table17[Native],Table17[Name]),2,0)</f>
        <v>Líncāng Shì</v>
      </c>
      <c r="O1281" s="15" t="str">
        <f t="shared" si="38"/>
        <v>Yongkang Zhen (Líncāng Shì)</v>
      </c>
      <c r="P1281" s="15" t="str">
        <f t="shared" si="39"/>
        <v>Yongkang Zhen (Líncāng Shì)</v>
      </c>
    </row>
    <row r="1282" spans="1:16" hidden="1" x14ac:dyDescent="0.25">
      <c r="A1282" t="s">
        <v>1017</v>
      </c>
      <c r="B1282" t="str">
        <f>IF(COUNTIF(A:A,A1282)&gt;1,_xlfn.CONCAT(A1282," (",N1282,")"),A1282)</f>
        <v>Yŏngníng Xiāng</v>
      </c>
      <c r="C1282" t="str">
        <f>IF(COUNTIF(B:B,B1282)&gt;1,_xlfn.CONCAT(A1282," (",M1282,")"),B1282)</f>
        <v>Yŏngníng Xiāng</v>
      </c>
      <c r="D1282" t="s">
        <v>1018</v>
      </c>
      <c r="E1282" t="s">
        <v>7</v>
      </c>
      <c r="F1282" t="str">
        <f>_xlfn.CONCAT(D1282,", ",H1282,", ",I1282,", ","云南省")</f>
        <v>永宁乡, 泸西县, 红河哈尼族彝族自治州, 云南省</v>
      </c>
      <c r="G1282">
        <v>21763</v>
      </c>
      <c r="H1282" t="s">
        <v>2800</v>
      </c>
      <c r="I1282" t="s">
        <v>2792</v>
      </c>
      <c r="J1282" t="e">
        <f>VLOOKUP(F1282,[1]!china_towns_second__2[[Column1]:[Y]],3,FALSE)</f>
        <v>#N/A</v>
      </c>
      <c r="K1282" t="e">
        <f>VLOOKUP(F1282,[1]!china_towns_second__2[[Column1]:[Y]],2,FALSE)</f>
        <v>#N/A</v>
      </c>
      <c r="L1282" t="s">
        <v>4833</v>
      </c>
      <c r="M1282" t="str">
        <f>VLOOKUP(H1282,CHOOSE({1,2},Table17[Native],Table17[Name]),2,0)</f>
        <v>Lúxī Xiàn</v>
      </c>
      <c r="N1282" s="15" t="str">
        <f>VLOOKUP(I1282,CHOOSE({1,2},Table17[Native],Table17[Name]),2,0)</f>
        <v>Hónghé Hānízú Yízú Zìzhìzhōu</v>
      </c>
      <c r="O1282" s="15" t="str">
        <f t="shared" ref="O1282:O1345" si="40">_xlfn.CONCAT(L1282," (",N1282,")")</f>
        <v>Yongning Xiang (Hónghé Hānízú Yízú Zìzhìzhōu)</v>
      </c>
      <c r="P1282" s="15" t="str">
        <f t="shared" ref="P1282:P1345" si="41">IF(COUNTIF(O:O,O1282)&gt;1,_xlfn.CONCAT(L1282," (",M1282,")"),O1282)</f>
        <v>Yongning Xiang (Hónghé Hānízú Yízú Zìzhìzhōu)</v>
      </c>
    </row>
    <row r="1283" spans="1:16" hidden="1" x14ac:dyDescent="0.25">
      <c r="A1283" t="s">
        <v>1423</v>
      </c>
      <c r="B1283" t="str">
        <f>IF(COUNTIF(A:A,A1283)&gt;1,_xlfn.CONCAT(A1283," (",N1283,")"),A1283)</f>
        <v>Yŏngníng Zhèn</v>
      </c>
      <c r="C1283" t="str">
        <f>IF(COUNTIF(B:B,B1283)&gt;1,_xlfn.CONCAT(A1283," (",M1283,")"),B1283)</f>
        <v>Yŏngníng Zhèn</v>
      </c>
      <c r="D1283" t="s">
        <v>1424</v>
      </c>
      <c r="E1283" t="s">
        <v>11</v>
      </c>
      <c r="F1283" t="str">
        <f>_xlfn.CONCAT(D1283,", ",H1283,", ",I1283,", ","云南省")</f>
        <v>永宁镇, 宁蒗彝族自治县, 丽江市, 云南省</v>
      </c>
      <c r="G1283">
        <v>20852</v>
      </c>
      <c r="H1283" t="s">
        <v>2827</v>
      </c>
      <c r="I1283" t="s">
        <v>2823</v>
      </c>
      <c r="J1283">
        <f>VLOOKUP(F1283,[1]!china_towns_second__2[[Column1]:[Y]],3,FALSE)</f>
        <v>27.7268724894417</v>
      </c>
      <c r="K1283">
        <f>VLOOKUP(F1283,[1]!china_towns_second__2[[Column1]:[Y]],2,FALSE)</f>
        <v>100.669608</v>
      </c>
      <c r="L1283" t="s">
        <v>4834</v>
      </c>
      <c r="M1283" t="str">
        <f>VLOOKUP(H1283,CHOOSE({1,2},Table17[Native],Table17[Name]),2,0)</f>
        <v>Nínglàng Yízú Zìzhìxiàn</v>
      </c>
      <c r="N1283" s="15" t="str">
        <f>VLOOKUP(I1283,CHOOSE({1,2},Table17[Native],Table17[Name]),2,0)</f>
        <v>Lìjiāng Shì</v>
      </c>
      <c r="O1283" s="15" t="str">
        <f t="shared" si="40"/>
        <v>Yongning Zhen (Lìjiāng Shì)</v>
      </c>
      <c r="P1283" s="15" t="str">
        <f t="shared" si="41"/>
        <v>Yongning Zhen (Lìjiāng Shì)</v>
      </c>
    </row>
    <row r="1284" spans="1:16" hidden="1" x14ac:dyDescent="0.25">
      <c r="A1284" t="s">
        <v>1421</v>
      </c>
      <c r="B1284" t="str">
        <f>IF(COUNTIF(A:A,A1284)&gt;1,_xlfn.CONCAT(A1284," (",N1284,")"),A1284)</f>
        <v>Yŏngníngpíng Xiāng</v>
      </c>
      <c r="C1284" t="str">
        <f>IF(COUNTIF(B:B,B1284)&gt;1,_xlfn.CONCAT(A1284," (",M1284,")"),B1284)</f>
        <v>Yŏngníngpíng Xiāng</v>
      </c>
      <c r="D1284" t="s">
        <v>1422</v>
      </c>
      <c r="E1284" t="s">
        <v>7</v>
      </c>
      <c r="F1284" t="str">
        <f>_xlfn.CONCAT(D1284,", ",H1284,", ",I1284,", ","云南省")</f>
        <v>永宁坪乡, 宁蒗彝族自治县, 丽江市, 云南省</v>
      </c>
      <c r="G1284">
        <v>7583</v>
      </c>
      <c r="H1284" t="s">
        <v>2827</v>
      </c>
      <c r="I1284" t="s">
        <v>2823</v>
      </c>
      <c r="J1284" t="e">
        <f>VLOOKUP(F1284,[1]!china_towns_second__2[[Column1]:[Y]],3,FALSE)</f>
        <v>#N/A</v>
      </c>
      <c r="K1284" t="e">
        <f>VLOOKUP(F1284,[1]!china_towns_second__2[[Column1]:[Y]],2,FALSE)</f>
        <v>#N/A</v>
      </c>
      <c r="L1284" t="s">
        <v>4835</v>
      </c>
      <c r="M1284" t="str">
        <f>VLOOKUP(H1284,CHOOSE({1,2},Table17[Native],Table17[Name]),2,0)</f>
        <v>Nínglàng Yízú Zìzhìxiàn</v>
      </c>
      <c r="N1284" s="15" t="str">
        <f>VLOOKUP(I1284,CHOOSE({1,2},Table17[Native],Table17[Name]),2,0)</f>
        <v>Lìjiāng Shì</v>
      </c>
      <c r="O1284" s="15" t="str">
        <f t="shared" si="40"/>
        <v>Yongningping Xiang (Lìjiāng Shì)</v>
      </c>
      <c r="P1284" s="15" t="str">
        <f t="shared" si="41"/>
        <v>Yongningping Xiang (Lìjiāng Shì)</v>
      </c>
    </row>
    <row r="1285" spans="1:16" hidden="1" x14ac:dyDescent="0.25">
      <c r="A1285" t="s">
        <v>1833</v>
      </c>
      <c r="B1285" t="str">
        <f>IF(COUNTIF(A:A,A1285)&gt;1,_xlfn.CONCAT(A1285," (",N1285,")"),A1285)</f>
        <v>Yŏngpíng Zhèn</v>
      </c>
      <c r="C1285" t="str">
        <f>IF(COUNTIF(B:B,B1285)&gt;1,_xlfn.CONCAT(A1285," (",M1285,")"),B1285)</f>
        <v>Yŏngpíng Zhèn</v>
      </c>
      <c r="D1285" t="s">
        <v>1834</v>
      </c>
      <c r="E1285" t="s">
        <v>11</v>
      </c>
      <c r="F1285" t="str">
        <f>_xlfn.CONCAT(D1285,", ",H1285,", ",I1285,", ","云南省")</f>
        <v>永平镇, 景谷傣族彝族自治县, 普洱市, 云南省</v>
      </c>
      <c r="G1285">
        <v>63042</v>
      </c>
      <c r="H1285" t="s">
        <v>2851</v>
      </c>
      <c r="I1285" t="s">
        <v>2848</v>
      </c>
      <c r="J1285">
        <f>VLOOKUP(F1285,[1]!china_towns_second__2[[Column1]:[Y]],3,FALSE)</f>
        <v>23.410527417134499</v>
      </c>
      <c r="K1285">
        <f>VLOOKUP(F1285,[1]!china_towns_second__2[[Column1]:[Y]],2,FALSE)</f>
        <v>100.3065536</v>
      </c>
      <c r="L1285" t="s">
        <v>4836</v>
      </c>
      <c r="M1285" t="str">
        <f>VLOOKUP(H1285,CHOOSE({1,2},Table17[Native],Table17[Name]),2,0)</f>
        <v>Jĭnggŭ Dăizú Yízú Zìzhìxiàn</v>
      </c>
      <c r="N1285" s="15" t="str">
        <f>VLOOKUP(I1285,CHOOSE({1,2},Table17[Native],Table17[Name]),2,0)</f>
        <v>Pŭ'ĕr Shì</v>
      </c>
      <c r="O1285" s="15" t="str">
        <f t="shared" si="40"/>
        <v>Yongping Zhen (Pŭ'ĕr Shì)</v>
      </c>
      <c r="P1285" s="15" t="str">
        <f t="shared" si="41"/>
        <v>Yongping Zhen (Pŭ'ĕr Shì)</v>
      </c>
    </row>
    <row r="1286" spans="1:16" hidden="1" x14ac:dyDescent="0.25">
      <c r="A1286" t="s">
        <v>349</v>
      </c>
      <c r="B1286" t="str">
        <f>IF(COUNTIF(A:A,A1286)&gt;1,_xlfn.CONCAT(A1286," (",N1286,")"),A1286)</f>
        <v>Yŏngxīng Dǎizú Xiāng</v>
      </c>
      <c r="C1286" t="str">
        <f>IF(COUNTIF(B:B,B1286)&gt;1,_xlfn.CONCAT(A1286," (",M1286,")"),B1286)</f>
        <v>Yŏngxīng Dǎizú Xiāng</v>
      </c>
      <c r="D1286" t="s">
        <v>350</v>
      </c>
      <c r="E1286" t="s">
        <v>7</v>
      </c>
      <c r="F1286" t="str">
        <f>_xlfn.CONCAT(D1286,", ",H1286,", ",I1286,", ","云南省")</f>
        <v>永兴傣族乡, 永仁县, 楚雄彝族自治州, 云南省</v>
      </c>
      <c r="G1286">
        <v>13285</v>
      </c>
      <c r="H1286" t="s">
        <v>2759</v>
      </c>
      <c r="I1286" t="s">
        <v>2750</v>
      </c>
      <c r="J1286" t="e">
        <f>VLOOKUP(F1286,[1]!china_towns_second__2[[Column1]:[Y]],3,FALSE)</f>
        <v>#N/A</v>
      </c>
      <c r="K1286" t="e">
        <f>VLOOKUP(F1286,[1]!china_towns_second__2[[Column1]:[Y]],2,FALSE)</f>
        <v>#N/A</v>
      </c>
      <c r="L1286" t="s">
        <v>4837</v>
      </c>
      <c r="M1286" t="str">
        <f>VLOOKUP(H1286,CHOOSE({1,2},Table17[Native],Table17[Name]),2,0)</f>
        <v>Yŏngrén Xiàn</v>
      </c>
      <c r="N1286" s="15" t="str">
        <f>VLOOKUP(I1286,CHOOSE({1,2},Table17[Native],Table17[Name]),2,0)</f>
        <v>Chŭxióng Yízú Zìzhìzhōu</v>
      </c>
      <c r="O1286" s="15" t="str">
        <f t="shared" si="40"/>
        <v>Yongxing Daizu Xiang (Chŭxióng Yízú Zìzhìzhōu)</v>
      </c>
      <c r="P1286" s="15" t="str">
        <f t="shared" si="41"/>
        <v>Yongxing Daizu Xiang (Chŭxióng Yízú Zìzhìzhōu)</v>
      </c>
    </row>
    <row r="1287" spans="1:16" hidden="1" x14ac:dyDescent="0.25">
      <c r="A1287" t="s">
        <v>1425</v>
      </c>
      <c r="B1287" t="str">
        <f>IF(COUNTIF(A:A,A1287)&gt;1,_xlfn.CONCAT(A1287," (",N1287,")"),A1287)</f>
        <v>Yŏngxīng Lìsùzú Xiāng</v>
      </c>
      <c r="C1287" t="str">
        <f>IF(COUNTIF(B:B,B1287)&gt;1,_xlfn.CONCAT(A1287," (",M1287,")"),B1287)</f>
        <v>Yŏngxīng Lìsùzú Xiāng</v>
      </c>
      <c r="D1287" t="s">
        <v>1426</v>
      </c>
      <c r="E1287" t="s">
        <v>7</v>
      </c>
      <c r="F1287" t="str">
        <f>_xlfn.CONCAT(D1287,", ",H1287,", ",I1287,", ","云南省")</f>
        <v>永兴傈僳族乡, 华坪县, 丽江市, 云南省</v>
      </c>
      <c r="G1287">
        <v>13518</v>
      </c>
      <c r="H1287" t="s">
        <v>2826</v>
      </c>
      <c r="I1287" t="s">
        <v>2823</v>
      </c>
      <c r="J1287" t="e">
        <f>VLOOKUP(F1287,[1]!china_towns_second__2[[Column1]:[Y]],3,FALSE)</f>
        <v>#N/A</v>
      </c>
      <c r="K1287" t="e">
        <f>VLOOKUP(F1287,[1]!china_towns_second__2[[Column1]:[Y]],2,FALSE)</f>
        <v>#N/A</v>
      </c>
      <c r="L1287" t="s">
        <v>4838</v>
      </c>
      <c r="M1287" t="str">
        <f>VLOOKUP(H1287,CHOOSE({1,2},Table17[Native],Table17[Name]),2,0)</f>
        <v>Huápíng Xiàn</v>
      </c>
      <c r="N1287" s="15" t="str">
        <f>VLOOKUP(I1287,CHOOSE({1,2},Table17[Native],Table17[Name]),2,0)</f>
        <v>Lìjiāng Shì</v>
      </c>
      <c r="O1287" s="15" t="str">
        <f t="shared" si="40"/>
        <v>Yongxing Lisuzu Xiang (Lìjiāng Shì)</v>
      </c>
      <c r="P1287" s="15" t="str">
        <f t="shared" si="41"/>
        <v>Yongxing Lisuzu Xiang (Lìjiāng Shì)</v>
      </c>
    </row>
    <row r="1288" spans="1:16" hidden="1" x14ac:dyDescent="0.25">
      <c r="A1288" t="s">
        <v>693</v>
      </c>
      <c r="B1288" t="str">
        <f>IF(COUNTIF(A:A,A1288)&gt;1,_xlfn.CONCAT(A1288," (",N1288,")"),A1288)</f>
        <v>Yóusōnglĭng Xiāng</v>
      </c>
      <c r="C1288" t="str">
        <f>IF(COUNTIF(B:B,B1288)&gt;1,_xlfn.CONCAT(A1288," (",M1288,")"),B1288)</f>
        <v>Yóusōnglĭng Xiāng</v>
      </c>
      <c r="D1288" t="s">
        <v>694</v>
      </c>
      <c r="E1288" t="s">
        <v>7</v>
      </c>
      <c r="F1288" t="str">
        <f>_xlfn.CONCAT(D1288,", ",H1288,", ",I1288,", ","云南省")</f>
        <v>油松岭乡, 盈江县, 德宏傣族景颇族自治州, 云南省</v>
      </c>
      <c r="G1288">
        <v>12142</v>
      </c>
      <c r="H1288" t="s">
        <v>2784</v>
      </c>
      <c r="I1288" t="s">
        <v>2779</v>
      </c>
      <c r="J1288" t="e">
        <f>VLOOKUP(F1288,[1]!china_towns_second__2[[Column1]:[Y]],3,FALSE)</f>
        <v>#N/A</v>
      </c>
      <c r="K1288" t="e">
        <f>VLOOKUP(F1288,[1]!china_towns_second__2[[Column1]:[Y]],2,FALSE)</f>
        <v>#N/A</v>
      </c>
      <c r="L1288" t="s">
        <v>4839</v>
      </c>
      <c r="M1288" t="str">
        <f>VLOOKUP(H1288,CHOOSE({1,2},Table17[Native],Table17[Name]),2,0)</f>
        <v>Yíngjiāng Xiàn</v>
      </c>
      <c r="N1288" s="15" t="str">
        <f>VLOOKUP(I1288,CHOOSE({1,2},Table17[Native],Table17[Name]),2,0)</f>
        <v>Déhóng Dăizú Jĭngpōzú Zìzhìzhōu</v>
      </c>
      <c r="O1288" s="15" t="str">
        <f t="shared" si="40"/>
        <v>Yousongling Xiang (Déhóng Dăizú Jĭngpōzú Zìzhìzhōu)</v>
      </c>
      <c r="P1288" s="15" t="str">
        <f t="shared" si="41"/>
        <v>Yousongling Xiang (Déhóng Dăizú Jĭngpōzú Zìzhìzhōu)</v>
      </c>
    </row>
    <row r="1289" spans="1:16" hidden="1" x14ac:dyDescent="0.25">
      <c r="A1289" t="s">
        <v>590</v>
      </c>
      <c r="B1289" t="str">
        <f>IF(COUNTIF(A:A,A1289)&gt;1,_xlfn.CONCAT(A1289," (",N1289,")"),A1289)</f>
        <v>Yòusuŏ Zhèn (Dàlĭ Báizú Zìzhìzhōu)</v>
      </c>
      <c r="C1289" t="str">
        <f>IF(COUNTIF(B:B,B1289)&gt;1,_xlfn.CONCAT(A1289," (",M1289,")"),B1289)</f>
        <v>Yòusuŏ Zhèn (Dàlĭ Báizú Zìzhìzhōu)</v>
      </c>
      <c r="D1289" t="s">
        <v>591</v>
      </c>
      <c r="E1289" t="s">
        <v>11</v>
      </c>
      <c r="F1289" t="str">
        <f>_xlfn.CONCAT(D1289,", ",H1289,", ",I1289,", ","云南省")</f>
        <v>右所镇, 洱源县, 大理白族自治州, 云南省</v>
      </c>
      <c r="G1289">
        <v>53233</v>
      </c>
      <c r="H1289" t="s">
        <v>2766</v>
      </c>
      <c r="I1289" t="s">
        <v>2763</v>
      </c>
      <c r="J1289">
        <f>VLOOKUP(F1289,[1]!china_towns_second__2[[Column1]:[Y]],3,FALSE)</f>
        <v>26.051825466835499</v>
      </c>
      <c r="K1289">
        <f>VLOOKUP(F1289,[1]!china_towns_second__2[[Column1]:[Y]],2,FALSE)</f>
        <v>100.0751283</v>
      </c>
      <c r="L1289" t="s">
        <v>4840</v>
      </c>
      <c r="M1289" t="str">
        <f>VLOOKUP(H1289,CHOOSE({1,2},Table17[Native],Table17[Name]),2,0)</f>
        <v>Ĕryuán Xiàn</v>
      </c>
      <c r="N1289" s="15" t="str">
        <f>VLOOKUP(I1289,CHOOSE({1,2},Table17[Native],Table17[Name]),2,0)</f>
        <v>Dàlĭ Báizú Zìzhìzhōu</v>
      </c>
      <c r="O1289" s="15" t="str">
        <f t="shared" si="40"/>
        <v>Yousuo Zhen (Dali Baizu Zizhizhou) (Dàlĭ Báizú Zìzhìzhōu)</v>
      </c>
      <c r="P1289" s="15" t="str">
        <f t="shared" si="41"/>
        <v>Yousuo Zhen (Dali Baizu Zizhizhou) (Dàlĭ Báizú Zìzhìzhōu)</v>
      </c>
    </row>
    <row r="1290" spans="1:16" hidden="1" x14ac:dyDescent="0.25">
      <c r="A1290" t="s">
        <v>590</v>
      </c>
      <c r="B1290" t="str">
        <f>IF(COUNTIF(A:A,A1290)&gt;1,_xlfn.CONCAT(A1290," (",N1290,")"),A1290)</f>
        <v>Yòusuŏ Zhèn (Yùxī Shì)</v>
      </c>
      <c r="C1290" t="str">
        <f>IF(COUNTIF(B:B,B1290)&gt;1,_xlfn.CONCAT(A1290," (",M1290,")"),B1290)</f>
        <v>Yòusuŏ Zhèn (Yùxī Shì)</v>
      </c>
      <c r="D1290" t="s">
        <v>591</v>
      </c>
      <c r="E1290" t="s">
        <v>11</v>
      </c>
      <c r="F1290" t="str">
        <f>_xlfn.CONCAT(D1290,", ",H1290,", ",I1290,", ","云南省")</f>
        <v>右所镇, 澄江市, 玉溪市, 云南省</v>
      </c>
      <c r="G1290">
        <v>39687</v>
      </c>
      <c r="H1290" t="s">
        <v>2889</v>
      </c>
      <c r="I1290" t="s">
        <v>2888</v>
      </c>
      <c r="J1290">
        <f>VLOOKUP(F1290,[1]!china_towns_second__2[[Column1]:[Y]],3,FALSE)</f>
        <v>24.630583846551801</v>
      </c>
      <c r="K1290">
        <f>VLOOKUP(F1290,[1]!china_towns_second__2[[Column1]:[Y]],2,FALSE)</f>
        <v>102.94156529999999</v>
      </c>
      <c r="L1290" t="s">
        <v>4841</v>
      </c>
      <c r="M1290" t="str">
        <f>VLOOKUP(H1290,CHOOSE({1,2},Table17[Native],Table17[Name]),2,0)</f>
        <v>Chéngjiāng Shì</v>
      </c>
      <c r="N1290" s="15" t="str">
        <f>VLOOKUP(I1290,CHOOSE({1,2},Table17[Native],Table17[Name]),2,0)</f>
        <v>Yùxī Shì</v>
      </c>
      <c r="O1290" s="15" t="str">
        <f t="shared" si="40"/>
        <v>Yousuo Zhen (Yuxi Shi) (Yùxī Shì)</v>
      </c>
      <c r="P1290" s="15" t="str">
        <f t="shared" si="41"/>
        <v>Yousuo Zhen (Yuxi Shi) (Yùxī Shì)</v>
      </c>
    </row>
    <row r="1291" spans="1:16" hidden="1" x14ac:dyDescent="0.25">
      <c r="A1291" t="s">
        <v>149</v>
      </c>
      <c r="B1291" t="str">
        <f>IF(COUNTIF(A:A,A1291)&gt;1,_xlfn.CONCAT(A1291," (",N1291,")"),A1291)</f>
        <v>Yóuwàng Zhèn</v>
      </c>
      <c r="C1291" t="str">
        <f>IF(COUNTIF(B:B,B1291)&gt;1,_xlfn.CONCAT(A1291," (",M1291,")"),B1291)</f>
        <v>Yóuwàng Zhèn</v>
      </c>
      <c r="D1291" t="s">
        <v>150</v>
      </c>
      <c r="E1291" t="s">
        <v>11</v>
      </c>
      <c r="F1291" t="str">
        <f>_xlfn.CONCAT(D1291,", ",H1291,", ",I1291,", ","云南省")</f>
        <v>由旺镇, 施甸县, 保山市, 云南省</v>
      </c>
      <c r="G1291">
        <v>33978</v>
      </c>
      <c r="H1291" t="s">
        <v>2745</v>
      </c>
      <c r="I1291" t="s">
        <v>2739</v>
      </c>
      <c r="J1291">
        <f>VLOOKUP(F1291,[1]!china_towns_second__2[[Column1]:[Y]],3,FALSE)</f>
        <v>24.8466500455208</v>
      </c>
      <c r="K1291">
        <f>VLOOKUP(F1291,[1]!china_towns_second__2[[Column1]:[Y]],2,FALSE)</f>
        <v>99.11483303</v>
      </c>
      <c r="L1291" t="s">
        <v>4842</v>
      </c>
      <c r="M1291" t="str">
        <f>VLOOKUP(H1291,CHOOSE({1,2},Table17[Native],Table17[Name]),2,0)</f>
        <v>Shīdiàn Xiàn</v>
      </c>
      <c r="N1291" s="15" t="str">
        <f>VLOOKUP(I1291,CHOOSE({1,2},Table17[Native],Table17[Name]),2,0)</f>
        <v>Băoshān Shì</v>
      </c>
      <c r="O1291" s="15" t="str">
        <f t="shared" si="40"/>
        <v>Youwang Zhen (Băoshān Shì)</v>
      </c>
      <c r="P1291" s="15" t="str">
        <f t="shared" si="41"/>
        <v>Youwang Zhen (Băoshān Shì)</v>
      </c>
    </row>
    <row r="1292" spans="1:16" hidden="1" x14ac:dyDescent="0.25">
      <c r="A1292" t="s">
        <v>351</v>
      </c>
      <c r="B1292" t="str">
        <f>IF(COUNTIF(A:A,A1292)&gt;1,_xlfn.CONCAT(A1292," (",N1292,")"),A1292)</f>
        <v>Yuánmă Zhèn</v>
      </c>
      <c r="C1292" t="str">
        <f>IF(COUNTIF(B:B,B1292)&gt;1,_xlfn.CONCAT(A1292," (",M1292,")"),B1292)</f>
        <v>Yuánmă Zhèn</v>
      </c>
      <c r="D1292" t="s">
        <v>352</v>
      </c>
      <c r="E1292" t="s">
        <v>11</v>
      </c>
      <c r="F1292" t="str">
        <f>_xlfn.CONCAT(D1292,", ",H1292,", ",I1292,", ","云南省")</f>
        <v>元马镇, 元谋县, 楚雄彝族自治州, 云南省</v>
      </c>
      <c r="G1292">
        <v>63936</v>
      </c>
      <c r="H1292" t="s">
        <v>2760</v>
      </c>
      <c r="I1292" t="s">
        <v>2750</v>
      </c>
      <c r="J1292">
        <f>VLOOKUP(F1292,[1]!china_towns_second__2[[Column1]:[Y]],3,FALSE)</f>
        <v>25.716721125209599</v>
      </c>
      <c r="K1292">
        <f>VLOOKUP(F1292,[1]!china_towns_second__2[[Column1]:[Y]],2,FALSE)</f>
        <v>101.875849</v>
      </c>
      <c r="L1292" t="s">
        <v>4843</v>
      </c>
      <c r="M1292" t="str">
        <f>VLOOKUP(H1292,CHOOSE({1,2},Table17[Native],Table17[Name]),2,0)</f>
        <v>Yuánmóu Xiàn</v>
      </c>
      <c r="N1292" s="15" t="str">
        <f>VLOOKUP(I1292,CHOOSE({1,2},Table17[Native],Table17[Name]),2,0)</f>
        <v>Chŭxióng Yízú Zìzhìzhōu</v>
      </c>
      <c r="O1292" s="15" t="str">
        <f t="shared" si="40"/>
        <v>Yuanma Zhen (Chŭxióng Yízú Zìzhìzhōu)</v>
      </c>
      <c r="P1292" s="15" t="str">
        <f t="shared" si="41"/>
        <v>Yuanma Zhen (Chŭxióng Yízú Zìzhìzhōu)</v>
      </c>
    </row>
    <row r="1293" spans="1:16" hidden="1" x14ac:dyDescent="0.25">
      <c r="A1293" t="s">
        <v>2459</v>
      </c>
      <c r="B1293" t="str">
        <f>IF(COUNTIF(A:A,A1293)&gt;1,_xlfn.CONCAT(A1293," (",N1293,")"),A1293)</f>
        <v>Yùdài Jiēdào</v>
      </c>
      <c r="C1293" t="str">
        <f>IF(COUNTIF(B:B,B1293)&gt;1,_xlfn.CONCAT(A1293," (",M1293,")"),B1293)</f>
        <v>Yùdài Jiēdào</v>
      </c>
      <c r="D1293" t="s">
        <v>2460</v>
      </c>
      <c r="E1293" t="s">
        <v>42</v>
      </c>
      <c r="F1293" t="str">
        <f>_xlfn.CONCAT(D1293,", ",H1293,", ",I1293,", ","云南省")</f>
        <v>玉带街道, 红塔区, 玉溪市, 云南省</v>
      </c>
      <c r="G1293">
        <v>52736</v>
      </c>
      <c r="H1293" t="s">
        <v>2891</v>
      </c>
      <c r="I1293" t="s">
        <v>2888</v>
      </c>
      <c r="J1293" t="e">
        <f>VLOOKUP(F1293,[1]!china_towns_second__2[[Column1]:[Y]],3,FALSE)</f>
        <v>#N/A</v>
      </c>
      <c r="K1293" t="e">
        <f>VLOOKUP(F1293,[1]!china_towns_second__2[[Column1]:[Y]],2,FALSE)</f>
        <v>#N/A</v>
      </c>
      <c r="L1293" t="s">
        <v>4844</v>
      </c>
      <c r="M1293" t="str">
        <f>VLOOKUP(H1293,CHOOSE({1,2},Table17[Native],Table17[Name]),2,0)</f>
        <v>Hóngtă Qū</v>
      </c>
      <c r="N1293" s="15" t="str">
        <f>VLOOKUP(I1293,CHOOSE({1,2},Table17[Native],Table17[Name]),2,0)</f>
        <v>Yùxī Shì</v>
      </c>
      <c r="O1293" s="15" t="str">
        <f t="shared" si="40"/>
        <v>Yudai Jiedao (Yùxī Shì)</v>
      </c>
      <c r="P1293" s="15" t="str">
        <f t="shared" si="41"/>
        <v>Yudai Jiedao (Yùxī Shì)</v>
      </c>
    </row>
    <row r="1294" spans="1:16" hidden="1" x14ac:dyDescent="0.25">
      <c r="A1294" t="s">
        <v>2719</v>
      </c>
      <c r="B1294" t="str">
        <f>IF(COUNTIF(A:A,A1294)&gt;1,_xlfn.CONCAT(A1294," (",N1294,")"),A1294)</f>
        <v>Yúdòng Xiāng</v>
      </c>
      <c r="C1294" t="str">
        <f>IF(COUNTIF(B:B,B1294)&gt;1,_xlfn.CONCAT(A1294," (",M1294,")"),B1294)</f>
        <v>Yúdòng Xiāng</v>
      </c>
      <c r="D1294" t="s">
        <v>2720</v>
      </c>
      <c r="E1294" t="s">
        <v>7</v>
      </c>
      <c r="F1294" t="str">
        <f>_xlfn.CONCAT(D1294,", ",H1294,", ",I1294,", ","云南省")</f>
        <v>鱼洞乡, 镇雄县, 昭通市, 云南省</v>
      </c>
      <c r="G1294">
        <v>19725</v>
      </c>
      <c r="H1294" t="s">
        <v>2910</v>
      </c>
      <c r="I1294" t="s">
        <v>2899</v>
      </c>
      <c r="J1294" t="e">
        <f>VLOOKUP(F1294,[1]!china_towns_second__2[[Column1]:[Y]],3,FALSE)</f>
        <v>#N/A</v>
      </c>
      <c r="K1294" t="e">
        <f>VLOOKUP(F1294,[1]!china_towns_second__2[[Column1]:[Y]],2,FALSE)</f>
        <v>#N/A</v>
      </c>
      <c r="L1294" t="s">
        <v>4845</v>
      </c>
      <c r="M1294" t="str">
        <f>VLOOKUP(H1294,CHOOSE({1,2},Table17[Native],Table17[Name]),2,0)</f>
        <v>Zhènxióng Xiàn</v>
      </c>
      <c r="N1294" s="15" t="str">
        <f>VLOOKUP(I1294,CHOOSE({1,2},Table17[Native],Table17[Name]),2,0)</f>
        <v>Zhāotōng Shì</v>
      </c>
      <c r="O1294" s="15" t="str">
        <f t="shared" si="40"/>
        <v>Yudong Xiang (Zhāotōng Shì)</v>
      </c>
      <c r="P1294" s="15" t="str">
        <f t="shared" si="41"/>
        <v>Yudong Xiang (Zhāotōng Shì)</v>
      </c>
    </row>
    <row r="1295" spans="1:16" hidden="1" x14ac:dyDescent="0.25">
      <c r="A1295" t="s">
        <v>2721</v>
      </c>
      <c r="B1295" t="str">
        <f>IF(COUNTIF(A:A,A1295)&gt;1,_xlfn.CONCAT(A1295," (",N1295,")"),A1295)</f>
        <v>Yuèlè Zhèn</v>
      </c>
      <c r="C1295" t="str">
        <f>IF(COUNTIF(B:B,B1295)&gt;1,_xlfn.CONCAT(A1295," (",M1295,")"),B1295)</f>
        <v>Yuèlè Zhèn</v>
      </c>
      <c r="D1295" t="s">
        <v>2722</v>
      </c>
      <c r="E1295" t="s">
        <v>11</v>
      </c>
      <c r="F1295" t="str">
        <f>_xlfn.CONCAT(D1295,", ",H1295,", ",I1295,", ","云南省")</f>
        <v>悦乐镇, 大关县, 昭通市, 云南省</v>
      </c>
      <c r="G1295">
        <v>32163</v>
      </c>
      <c r="H1295" t="s">
        <v>2900</v>
      </c>
      <c r="I1295" t="s">
        <v>2899</v>
      </c>
      <c r="J1295">
        <f>VLOOKUP(F1295,[1]!china_towns_second__2[[Column1]:[Y]],3,FALSE)</f>
        <v>27.812591877371801</v>
      </c>
      <c r="K1295">
        <f>VLOOKUP(F1295,[1]!china_towns_second__2[[Column1]:[Y]],2,FALSE)</f>
        <v>103.800702</v>
      </c>
      <c r="L1295" t="s">
        <v>4846</v>
      </c>
      <c r="M1295" t="str">
        <f>VLOOKUP(H1295,CHOOSE({1,2},Table17[Native],Table17[Name]),2,0)</f>
        <v>Dàguān Xiàn</v>
      </c>
      <c r="N1295" s="15" t="str">
        <f>VLOOKUP(I1295,CHOOSE({1,2},Table17[Native],Table17[Name]),2,0)</f>
        <v>Zhāotōng Shì</v>
      </c>
      <c r="O1295" s="15" t="str">
        <f t="shared" si="40"/>
        <v>Yuele Zhen (Zhāotōng Shì)</v>
      </c>
      <c r="P1295" s="15" t="str">
        <f t="shared" si="41"/>
        <v>Yuele Zhen (Zhāotōng Shì)</v>
      </c>
    </row>
    <row r="1296" spans="1:16" hidden="1" x14ac:dyDescent="0.25">
      <c r="A1296" t="s">
        <v>1835</v>
      </c>
      <c r="B1296" t="str">
        <f>IF(COUNTIF(A:A,A1296)&gt;1,_xlfn.CONCAT(A1296," (",N1296,")"),A1296)</f>
        <v>Yuèsòng Xiāng</v>
      </c>
      <c r="C1296" t="str">
        <f>IF(COUNTIF(B:B,B1296)&gt;1,_xlfn.CONCAT(A1296," (",M1296,")"),B1296)</f>
        <v>Yuèsòng Xiāng</v>
      </c>
      <c r="D1296" t="s">
        <v>1836</v>
      </c>
      <c r="E1296" t="s">
        <v>7</v>
      </c>
      <c r="F1296" t="str">
        <f>_xlfn.CONCAT(D1296,", ",H1296,", ",I1296,", ","云南省")</f>
        <v>岳宋乡, 西盟佤族自治县, 普洱市, 云南省</v>
      </c>
      <c r="G1296">
        <v>7351</v>
      </c>
      <c r="H1296" t="s">
        <v>2857</v>
      </c>
      <c r="I1296" t="s">
        <v>2848</v>
      </c>
      <c r="J1296" t="e">
        <f>VLOOKUP(F1296,[1]!china_towns_second__2[[Column1]:[Y]],3,FALSE)</f>
        <v>#N/A</v>
      </c>
      <c r="K1296" t="e">
        <f>VLOOKUP(F1296,[1]!china_towns_second__2[[Column1]:[Y]],2,FALSE)</f>
        <v>#N/A</v>
      </c>
      <c r="L1296" t="s">
        <v>4847</v>
      </c>
      <c r="M1296" t="str">
        <f>VLOOKUP(H1296,CHOOSE({1,2},Table17[Native],Table17[Name]),2,0)</f>
        <v>Xīméng Wăzú Zìzhìxiàn</v>
      </c>
      <c r="N1296" s="15" t="str">
        <f>VLOOKUP(I1296,CHOOSE({1,2},Table17[Native],Table17[Name]),2,0)</f>
        <v>Pŭ'ĕr Shì</v>
      </c>
      <c r="O1296" s="15" t="str">
        <f t="shared" si="40"/>
        <v>Yuesong Xiang (Pŭ'ĕr Shì)</v>
      </c>
      <c r="P1296" s="15" t="str">
        <f t="shared" si="41"/>
        <v>Yuesong Xiang (Pŭ'ĕr Shì)</v>
      </c>
    </row>
    <row r="1297" spans="1:16" hidden="1" x14ac:dyDescent="0.25">
      <c r="A1297" t="s">
        <v>2039</v>
      </c>
      <c r="B1297" t="str">
        <f>IF(COUNTIF(A:A,A1297)&gt;1,_xlfn.CONCAT(A1297," (",N1297,")"),A1297)</f>
        <v>Yuèwàng Xiāng</v>
      </c>
      <c r="C1297" t="str">
        <f>IF(COUNTIF(B:B,B1297)&gt;1,_xlfn.CONCAT(A1297," (",M1297,")"),B1297)</f>
        <v>Yuèwàng Xiāng</v>
      </c>
      <c r="D1297" t="s">
        <v>2040</v>
      </c>
      <c r="E1297" t="s">
        <v>7</v>
      </c>
      <c r="F1297" t="str">
        <f>_xlfn.CONCAT(D1297,", ",H1297,", ",I1297,", ","云南省")</f>
        <v>月望乡, 马龙区, 曲靖市, 云南省</v>
      </c>
      <c r="G1297">
        <v>24793</v>
      </c>
      <c r="H1297" t="s">
        <v>2865</v>
      </c>
      <c r="I1297" t="s">
        <v>2860</v>
      </c>
      <c r="J1297" t="e">
        <f>VLOOKUP(F1297,[1]!china_towns_second__2[[Column1]:[Y]],3,FALSE)</f>
        <v>#N/A</v>
      </c>
      <c r="K1297" t="e">
        <f>VLOOKUP(F1297,[1]!china_towns_second__2[[Column1]:[Y]],2,FALSE)</f>
        <v>#N/A</v>
      </c>
      <c r="L1297" t="s">
        <v>4848</v>
      </c>
      <c r="M1297" t="str">
        <f>VLOOKUP(H1297,CHOOSE({1,2},Table17[Native],Table17[Name]),2,0)</f>
        <v>Mălóng Qū</v>
      </c>
      <c r="N1297" s="15" t="str">
        <f>VLOOKUP(I1297,CHOOSE({1,2},Table17[Native],Table17[Name]),2,0)</f>
        <v>Qŭjìng Shì</v>
      </c>
      <c r="O1297" s="15" t="str">
        <f t="shared" si="40"/>
        <v>Yuewang Xiang (Qŭjìng Shì)</v>
      </c>
      <c r="P1297" s="15" t="str">
        <f t="shared" si="41"/>
        <v>Yuewang Xiang (Qŭjìng Shì)</v>
      </c>
    </row>
    <row r="1298" spans="1:16" hidden="1" x14ac:dyDescent="0.25">
      <c r="A1298" t="s">
        <v>2238</v>
      </c>
      <c r="B1298" t="str">
        <f>IF(COUNTIF(A:A,A1298)&gt;1,_xlfn.CONCAT(A1298," (",N1298,")"),A1298)</f>
        <v>Yuēzhĕ Zhèn</v>
      </c>
      <c r="C1298" t="str">
        <f>IF(COUNTIF(B:B,B1298)&gt;1,_xlfn.CONCAT(A1298," (",M1298,")"),B1298)</f>
        <v>Yuēzhĕ Zhèn</v>
      </c>
      <c r="D1298" t="s">
        <v>2239</v>
      </c>
      <c r="E1298" t="s">
        <v>11</v>
      </c>
      <c r="F1298" t="str">
        <f>_xlfn.CONCAT(D1298,", ",H1298,", ",I1298,", ","云南省")</f>
        <v>曰者镇, 丘北县, 文山壮族苗族自治州, 云南省</v>
      </c>
      <c r="G1298">
        <v>33223</v>
      </c>
      <c r="H1298" t="s">
        <v>2877</v>
      </c>
      <c r="I1298" t="s">
        <v>2872</v>
      </c>
      <c r="J1298">
        <f>VLOOKUP(F1298,[1]!china_towns_second__2[[Column1]:[Y]],3,FALSE)</f>
        <v>24.160712064660601</v>
      </c>
      <c r="K1298">
        <f>VLOOKUP(F1298,[1]!china_towns_second__2[[Column1]:[Y]],2,FALSE)</f>
        <v>103.95114649999999</v>
      </c>
      <c r="L1298" t="s">
        <v>4849</v>
      </c>
      <c r="M1298" t="str">
        <f>VLOOKUP(H1298,CHOOSE({1,2},Table17[Native],Table17[Name]),2,0)</f>
        <v>Qiūbĕi Xiàn</v>
      </c>
      <c r="N1298" s="15" t="str">
        <f>VLOOKUP(I1298,CHOOSE({1,2},Table17[Native],Table17[Name]),2,0)</f>
        <v>Wénshān Zhuàngzú Miáozú Zìzhìzhōu</v>
      </c>
      <c r="O1298" s="15" t="str">
        <f t="shared" si="40"/>
        <v>Yuezhe Zhen (Wénshān Zhuàngzú Miáozú Zìzhìzhōu)</v>
      </c>
      <c r="P1298" s="15" t="str">
        <f t="shared" si="41"/>
        <v>Yuezhe Zhen (Wénshān Zhuàngzú Miáozú Zìzhìzhōu)</v>
      </c>
    </row>
    <row r="1299" spans="1:16" hidden="1" x14ac:dyDescent="0.25">
      <c r="A1299" t="s">
        <v>2041</v>
      </c>
      <c r="B1299" t="str">
        <f>IF(COUNTIF(A:A,A1299)&gt;1,_xlfn.CONCAT(A1299," (",N1299,")"),A1299)</f>
        <v>Yuèzhōu Zhèn</v>
      </c>
      <c r="C1299" t="str">
        <f>IF(COUNTIF(B:B,B1299)&gt;1,_xlfn.CONCAT(A1299," (",M1299,")"),B1299)</f>
        <v>Yuèzhōu Zhèn</v>
      </c>
      <c r="D1299" t="s">
        <v>2042</v>
      </c>
      <c r="E1299" t="s">
        <v>11</v>
      </c>
      <c r="F1299" t="str">
        <f>_xlfn.CONCAT(D1299,", ",H1299,", ",I1299,", ","云南省")</f>
        <v>越州镇, 麒麟区, 曲靖市, 云南省</v>
      </c>
      <c r="G1299">
        <v>71451</v>
      </c>
      <c r="H1299" t="s">
        <v>2866</v>
      </c>
      <c r="I1299" t="s">
        <v>2860</v>
      </c>
      <c r="J1299">
        <f>VLOOKUP(F1299,[1]!china_towns_second__2[[Column1]:[Y]],3,FALSE)</f>
        <v>25.257906526464499</v>
      </c>
      <c r="K1299">
        <f>VLOOKUP(F1299,[1]!china_towns_second__2[[Column1]:[Y]],2,FALSE)</f>
        <v>103.8788684</v>
      </c>
      <c r="L1299" t="s">
        <v>4850</v>
      </c>
      <c r="M1299" t="str">
        <f>VLOOKUP(H1299,CHOOSE({1,2},Table17[Native],Table17[Name]),2,0)</f>
        <v>Qílín Qū</v>
      </c>
      <c r="N1299" s="15" t="str">
        <f>VLOOKUP(I1299,CHOOSE({1,2},Table17[Native],Table17[Name]),2,0)</f>
        <v>Qŭjìng Shì</v>
      </c>
      <c r="O1299" s="15" t="str">
        <f t="shared" si="40"/>
        <v>Yuezhou Zhen (Qŭjìng Shì)</v>
      </c>
      <c r="P1299" s="15" t="str">
        <f t="shared" si="41"/>
        <v>Yuezhou Zhen (Qŭjìng Shì)</v>
      </c>
    </row>
    <row r="1300" spans="1:16" hidden="1" x14ac:dyDescent="0.25">
      <c r="A1300" t="s">
        <v>1019</v>
      </c>
      <c r="B1300" t="str">
        <f>IF(COUNTIF(A:A,A1300)&gt;1,_xlfn.CONCAT(A1300," (",N1300,")"),A1300)</f>
        <v>Yŭguòpū Jiēdào</v>
      </c>
      <c r="C1300" t="str">
        <f>IF(COUNTIF(B:B,B1300)&gt;1,_xlfn.CONCAT(A1300," (",M1300,")"),B1300)</f>
        <v>Yŭguòpū Jiēdào</v>
      </c>
      <c r="D1300" t="s">
        <v>1020</v>
      </c>
      <c r="E1300" t="s">
        <v>42</v>
      </c>
      <c r="F1300" t="str">
        <f>_xlfn.CONCAT(D1300,", ",H1300,", ",I1300,", ","云南省")</f>
        <v>雨过铺街道, 蒙自市, 红河哈尼族彝族自治州, 云南省</v>
      </c>
      <c r="G1300">
        <v>24803</v>
      </c>
      <c r="H1300" t="s">
        <v>2801</v>
      </c>
      <c r="I1300" t="s">
        <v>2792</v>
      </c>
      <c r="J1300" t="e">
        <f>VLOOKUP(F1300,[1]!china_towns_second__2[[Column1]:[Y]],3,FALSE)</f>
        <v>#N/A</v>
      </c>
      <c r="K1300" t="e">
        <f>VLOOKUP(F1300,[1]!china_towns_second__2[[Column1]:[Y]],2,FALSE)</f>
        <v>#N/A</v>
      </c>
      <c r="L1300" t="s">
        <v>4851</v>
      </c>
      <c r="M1300" t="str">
        <f>VLOOKUP(H1300,CHOOSE({1,2},Table17[Native],Table17[Name]),2,0)</f>
        <v>Mĕngzì Shì</v>
      </c>
      <c r="N1300" s="15" t="str">
        <f>VLOOKUP(I1300,CHOOSE({1,2},Table17[Native],Table17[Name]),2,0)</f>
        <v>Hónghé Hānízú Yízú Zìzhìzhōu</v>
      </c>
      <c r="O1300" s="15" t="str">
        <f t="shared" si="40"/>
        <v>Yuguopu Jiedao (Hónghé Hānízú Yízú Zìzhìzhōu)</v>
      </c>
      <c r="P1300" s="15" t="str">
        <f t="shared" si="41"/>
        <v>Yuguopu Jiedao (Hónghé Hānízú Yízú Zìzhìzhōu)</v>
      </c>
    </row>
    <row r="1301" spans="1:16" hidden="1" x14ac:dyDescent="0.25">
      <c r="A1301" t="s">
        <v>2723</v>
      </c>
      <c r="B1301" t="str">
        <f>IF(COUNTIF(A:A,A1301)&gt;1,_xlfn.CONCAT(A1301," (",N1301,")"),A1301)</f>
        <v>Yŭhé Zhèn</v>
      </c>
      <c r="C1301" t="str">
        <f>IF(COUNTIF(B:B,B1301)&gt;1,_xlfn.CONCAT(A1301," (",M1301,")"),B1301)</f>
        <v>Yŭhé Zhèn</v>
      </c>
      <c r="D1301" t="s">
        <v>2724</v>
      </c>
      <c r="E1301" t="s">
        <v>11</v>
      </c>
      <c r="F1301" t="str">
        <f>_xlfn.CONCAT(D1301,", ",H1301,", ",I1301,", ","云南省")</f>
        <v>雨河镇, 镇雄县, 昭通市, 云南省</v>
      </c>
      <c r="G1301">
        <v>40501</v>
      </c>
      <c r="H1301" t="s">
        <v>2910</v>
      </c>
      <c r="I1301" t="s">
        <v>2899</v>
      </c>
      <c r="J1301">
        <f>VLOOKUP(F1301,[1]!china_towns_second__2[[Column1]:[Y]],3,FALSE)</f>
        <v>27.744008333607699</v>
      </c>
      <c r="K1301">
        <f>VLOOKUP(F1301,[1]!china_towns_second__2[[Column1]:[Y]],2,FALSE)</f>
        <v>104.90539</v>
      </c>
      <c r="L1301" t="s">
        <v>4852</v>
      </c>
      <c r="M1301" t="str">
        <f>VLOOKUP(H1301,CHOOSE({1,2},Table17[Native],Table17[Name]),2,0)</f>
        <v>Zhènxióng Xiàn</v>
      </c>
      <c r="N1301" s="15" t="str">
        <f>VLOOKUP(I1301,CHOOSE({1,2},Table17[Native],Table17[Name]),2,0)</f>
        <v>Zhāotōng Shì</v>
      </c>
      <c r="O1301" s="15" t="str">
        <f t="shared" si="40"/>
        <v>Yuhe Zhen (Zhāotōng Shì)</v>
      </c>
      <c r="P1301" s="15" t="str">
        <f t="shared" si="41"/>
        <v>Yuhe Zhen (Zhāotōng Shì)</v>
      </c>
    </row>
    <row r="1302" spans="1:16" hidden="1" x14ac:dyDescent="0.25">
      <c r="A1302" t="s">
        <v>1290</v>
      </c>
      <c r="B1302" t="str">
        <f>IF(COUNTIF(A:A,A1302)&gt;1,_xlfn.CONCAT(A1302," (",N1302,")"),A1302)</f>
        <v>Yŭhuā Jiēdào</v>
      </c>
      <c r="C1302" t="str">
        <f>IF(COUNTIF(B:B,B1302)&gt;1,_xlfn.CONCAT(A1302," (",M1302,")"),B1302)</f>
        <v>Yŭhuā Jiēdào</v>
      </c>
      <c r="D1302" t="s">
        <v>1291</v>
      </c>
      <c r="E1302" t="s">
        <v>42</v>
      </c>
      <c r="F1302" t="str">
        <f>_xlfn.CONCAT(D1302,", ",H1302,", ",I1302,", ","云南省")</f>
        <v>雨花街道, 呈贡区, 昆明市, 云南省</v>
      </c>
      <c r="G1302">
        <v>22279</v>
      </c>
      <c r="H1302" t="s">
        <v>2809</v>
      </c>
      <c r="I1302" t="s">
        <v>2807</v>
      </c>
      <c r="J1302">
        <f>VLOOKUP(F1302,[1]!china_towns_second__2[[Column1]:[Y]],3,FALSE)</f>
        <v>24.8342775877497</v>
      </c>
      <c r="K1302">
        <f>VLOOKUP(F1302,[1]!china_towns_second__2[[Column1]:[Y]],2,FALSE)</f>
        <v>102.8299514</v>
      </c>
      <c r="L1302" t="s">
        <v>4853</v>
      </c>
      <c r="M1302" t="str">
        <f>VLOOKUP(H1302,CHOOSE({1,2},Table17[Native],Table17[Name]),2,0)</f>
        <v>Chénggòng Qū</v>
      </c>
      <c r="N1302" s="15" t="str">
        <f>VLOOKUP(I1302,CHOOSE({1,2},Table17[Native],Table17[Name]),2,0)</f>
        <v>Kūnmíng Shì</v>
      </c>
      <c r="O1302" s="15" t="str">
        <f t="shared" si="40"/>
        <v>Yuhua Jiedao (Kūnmíng Shì)</v>
      </c>
      <c r="P1302" s="15" t="str">
        <f t="shared" si="41"/>
        <v>Yuhua Jiedao (Kūnmíng Shì)</v>
      </c>
    </row>
    <row r="1303" spans="1:16" hidden="1" x14ac:dyDescent="0.25">
      <c r="A1303" t="s">
        <v>353</v>
      </c>
      <c r="B1303" t="str">
        <f>IF(COUNTIF(A:A,A1303)&gt;1,_xlfn.CONCAT(A1303," (",N1303,")"),A1303)</f>
        <v>Yŭlù Báizú Xiāng</v>
      </c>
      <c r="C1303" t="str">
        <f>IF(COUNTIF(B:B,B1303)&gt;1,_xlfn.CONCAT(A1303," (",M1303,")"),B1303)</f>
        <v>Yŭlù Báizú Xiāng</v>
      </c>
      <c r="D1303" t="s">
        <v>354</v>
      </c>
      <c r="E1303" t="s">
        <v>7</v>
      </c>
      <c r="F1303" t="str">
        <f>_xlfn.CONCAT(D1303,", ",H1303,", ",I1303,", ","云南省")</f>
        <v>雨露白族乡, 南华县, 楚雄彝族自治州, 云南省</v>
      </c>
      <c r="G1303">
        <v>14176</v>
      </c>
      <c r="H1303" t="s">
        <v>2755</v>
      </c>
      <c r="I1303" t="s">
        <v>2750</v>
      </c>
      <c r="J1303" t="e">
        <f>VLOOKUP(F1303,[1]!china_towns_second__2[[Column1]:[Y]],3,FALSE)</f>
        <v>#N/A</v>
      </c>
      <c r="K1303" t="e">
        <f>VLOOKUP(F1303,[1]!china_towns_second__2[[Column1]:[Y]],2,FALSE)</f>
        <v>#N/A</v>
      </c>
      <c r="L1303" t="s">
        <v>4854</v>
      </c>
      <c r="M1303" t="str">
        <f>VLOOKUP(H1303,CHOOSE({1,2},Table17[Native],Table17[Name]),2,0)</f>
        <v>Nánhuá Xiàn</v>
      </c>
      <c r="N1303" s="15" t="str">
        <f>VLOOKUP(I1303,CHOOSE({1,2},Table17[Native],Table17[Name]),2,0)</f>
        <v>Chŭxióng Yízú Zìzhìzhōu</v>
      </c>
      <c r="O1303" s="15" t="str">
        <f t="shared" si="40"/>
        <v>Yulu Baizu Xiang (Chŭxióng Yízú Zìzhìzhōu)</v>
      </c>
      <c r="P1303" s="15" t="str">
        <f t="shared" si="41"/>
        <v>Yulu Baizu Xiang (Chŭxióng Yízú Zìzhìzhōu)</v>
      </c>
    </row>
    <row r="1304" spans="1:16" hidden="1" x14ac:dyDescent="0.25">
      <c r="A1304" t="s">
        <v>2043</v>
      </c>
      <c r="B1304" t="str">
        <f>IF(COUNTIF(A:A,A1304)&gt;1,_xlfn.CONCAT(A1304," (",N1304,")"),A1304)</f>
        <v>Yŭlù Xiāng</v>
      </c>
      <c r="C1304" t="str">
        <f>IF(COUNTIF(B:B,B1304)&gt;1,_xlfn.CONCAT(A1304," (",M1304,")"),B1304)</f>
        <v>Yŭlù Xiāng</v>
      </c>
      <c r="D1304" t="s">
        <v>2044</v>
      </c>
      <c r="E1304" t="s">
        <v>7</v>
      </c>
      <c r="F1304" t="str">
        <f>_xlfn.CONCAT(D1304,", ",H1304,", ",I1304,", ","云南省")</f>
        <v>雨碌乡, 会泽县, 曲靖市, 云南省</v>
      </c>
      <c r="G1304">
        <v>34478</v>
      </c>
      <c r="H1304" t="s">
        <v>2862</v>
      </c>
      <c r="I1304" t="s">
        <v>2860</v>
      </c>
      <c r="J1304" t="e">
        <f>VLOOKUP(F1304,[1]!china_towns_second__2[[Column1]:[Y]],3,FALSE)</f>
        <v>#N/A</v>
      </c>
      <c r="K1304" t="e">
        <f>VLOOKUP(F1304,[1]!china_towns_second__2[[Column1]:[Y]],2,FALSE)</f>
        <v>#N/A</v>
      </c>
      <c r="L1304" t="s">
        <v>4855</v>
      </c>
      <c r="M1304" t="str">
        <f>VLOOKUP(H1304,CHOOSE({1,2},Table17[Native],Table17[Name]),2,0)</f>
        <v>Huìzé Xiàn</v>
      </c>
      <c r="N1304" s="15" t="str">
        <f>VLOOKUP(I1304,CHOOSE({1,2},Table17[Native],Table17[Name]),2,0)</f>
        <v>Qŭjìng Shì</v>
      </c>
      <c r="O1304" s="15" t="str">
        <f t="shared" si="40"/>
        <v>Yulu Xiang (Qŭjìng Shì)</v>
      </c>
      <c r="P1304" s="15" t="str">
        <f t="shared" si="41"/>
        <v>Yulu Xiang (Qŭjìng Shì)</v>
      </c>
    </row>
    <row r="1305" spans="1:16" hidden="1" x14ac:dyDescent="0.25">
      <c r="A1305" t="s">
        <v>592</v>
      </c>
      <c r="B1305" t="str">
        <f>IF(COUNTIF(A:A,A1305)&gt;1,_xlfn.CONCAT(A1305," (",N1305,")"),A1305)</f>
        <v>Yúnhè Zhèn</v>
      </c>
      <c r="C1305" t="str">
        <f>IF(COUNTIF(B:B,B1305)&gt;1,_xlfn.CONCAT(A1305," (",M1305,")"),B1305)</f>
        <v>Yúnhè Zhèn</v>
      </c>
      <c r="D1305" t="s">
        <v>593</v>
      </c>
      <c r="E1305" t="s">
        <v>11</v>
      </c>
      <c r="F1305" t="str">
        <f>_xlfn.CONCAT(D1305,", ",H1305,", ",I1305,", ","云南省")</f>
        <v>云鹤镇, 鹤庆县, 大理白族自治州, 云南省</v>
      </c>
      <c r="G1305">
        <v>27777</v>
      </c>
      <c r="H1305" t="s">
        <v>2767</v>
      </c>
      <c r="I1305" t="s">
        <v>2763</v>
      </c>
      <c r="J1305">
        <f>VLOOKUP(F1305,[1]!china_towns_second__2[[Column1]:[Y]],3,FALSE)</f>
        <v>26.565128016494999</v>
      </c>
      <c r="K1305">
        <f>VLOOKUP(F1305,[1]!china_towns_second__2[[Column1]:[Y]],2,FALSE)</f>
        <v>100.1504671</v>
      </c>
      <c r="L1305" t="s">
        <v>4856</v>
      </c>
      <c r="M1305" t="str">
        <f>VLOOKUP(H1305,CHOOSE({1,2},Table17[Native],Table17[Name]),2,0)</f>
        <v>Hèqìng Xiàn</v>
      </c>
      <c r="N1305" s="15" t="str">
        <f>VLOOKUP(I1305,CHOOSE({1,2},Table17[Native],Table17[Name]),2,0)</f>
        <v>Dàlĭ Báizú Zìzhìzhōu</v>
      </c>
      <c r="O1305" s="15" t="str">
        <f t="shared" si="40"/>
        <v>Yunhe Zhen (Dàlĭ Báizú Zìzhìzhōu)</v>
      </c>
      <c r="P1305" s="15" t="str">
        <f t="shared" si="41"/>
        <v>Yunhe Zhen (Dàlĭ Báizú Zìzhìzhōu)</v>
      </c>
    </row>
    <row r="1306" spans="1:16" hidden="1" x14ac:dyDescent="0.25">
      <c r="A1306" t="s">
        <v>2321</v>
      </c>
      <c r="B1306" t="str">
        <f>IF(COUNTIF(A:A,A1306)&gt;1,_xlfn.CONCAT(A1306," (",N1306,")"),A1306)</f>
        <v>Yŭnjĭnghóng Jiēdào</v>
      </c>
      <c r="C1306" t="str">
        <f>IF(COUNTIF(B:B,B1306)&gt;1,_xlfn.CONCAT(A1306," (",M1306,")"),B1306)</f>
        <v>Yŭnjĭnghóng Jiēdào</v>
      </c>
      <c r="D1306" t="s">
        <v>2322</v>
      </c>
      <c r="E1306" t="s">
        <v>42</v>
      </c>
      <c r="F1306" t="str">
        <f>_xlfn.CONCAT(D1306,", ",H1306,", ",I1306,", ","云南省")</f>
        <v>允景洪街道, 景洪市, 西双版纳傣族自治州, 云南省</v>
      </c>
      <c r="G1306">
        <v>146754</v>
      </c>
      <c r="H1306" t="s">
        <v>2884</v>
      </c>
      <c r="I1306" t="s">
        <v>2883</v>
      </c>
      <c r="J1306">
        <f>VLOOKUP(F1306,[1]!china_towns_second__2[[Column1]:[Y]],3,FALSE)</f>
        <v>22.0493473173815</v>
      </c>
      <c r="K1306">
        <f>VLOOKUP(F1306,[1]!china_towns_second__2[[Column1]:[Y]],2,FALSE)</f>
        <v>100.8225506</v>
      </c>
      <c r="L1306" t="s">
        <v>4857</v>
      </c>
      <c r="M1306" t="str">
        <f>VLOOKUP(H1306,CHOOSE({1,2},Table17[Native],Table17[Name]),2,0)</f>
        <v>Jĭnghóng Shì</v>
      </c>
      <c r="N1306" s="15" t="str">
        <f>VLOOKUP(I1306,CHOOSE({1,2},Table17[Native],Table17[Name]),2,0)</f>
        <v>Xīshuāngbănnà Dăizú Zìzhìzhōu</v>
      </c>
      <c r="O1306" s="15" t="str">
        <f t="shared" si="40"/>
        <v>Yunjinghong Jiedao (Xīshuāngbănnà Dăizú Zìzhìzhōu)</v>
      </c>
      <c r="P1306" s="15" t="str">
        <f t="shared" si="41"/>
        <v>Yunjinghong Jiedao (Xīshuāngbănnà Dăizú Zìzhìzhōu)</v>
      </c>
    </row>
    <row r="1307" spans="1:16" hidden="1" x14ac:dyDescent="0.25">
      <c r="A1307" t="s">
        <v>764</v>
      </c>
      <c r="B1307" t="str">
        <f>IF(COUNTIF(A:A,A1307)&gt;1,_xlfn.CONCAT(A1307," (",N1307,")"),A1307)</f>
        <v>Yúnlĭng Xiāng</v>
      </c>
      <c r="C1307" t="str">
        <f>IF(COUNTIF(B:B,B1307)&gt;1,_xlfn.CONCAT(A1307," (",M1307,")"),B1307)</f>
        <v>Yúnlĭng Xiāng</v>
      </c>
      <c r="D1307" t="s">
        <v>765</v>
      </c>
      <c r="E1307" t="s">
        <v>7</v>
      </c>
      <c r="F1307" t="str">
        <f>_xlfn.CONCAT(D1307,", ",H1307,", ",I1307,", ","云南省")</f>
        <v>云岭乡, 德钦县, 迪庆藏族自治州, 云南省</v>
      </c>
      <c r="G1307">
        <v>6851</v>
      </c>
      <c r="H1307" t="s">
        <v>2787</v>
      </c>
      <c r="I1307" t="s">
        <v>2786</v>
      </c>
      <c r="J1307" t="e">
        <f>VLOOKUP(F1307,[1]!china_towns_second__2[[Column1]:[Y]],3,FALSE)</f>
        <v>#N/A</v>
      </c>
      <c r="K1307" t="e">
        <f>VLOOKUP(F1307,[1]!china_towns_second__2[[Column1]:[Y]],2,FALSE)</f>
        <v>#N/A</v>
      </c>
      <c r="L1307" t="s">
        <v>4858</v>
      </c>
      <c r="M1307" t="str">
        <f>VLOOKUP(H1307,CHOOSE({1,2},Table17[Native],Table17[Name]),2,0)</f>
        <v>Déqīn Xiàn</v>
      </c>
      <c r="N1307" s="15" t="str">
        <f>VLOOKUP(I1307,CHOOSE({1,2},Table17[Native],Table17[Name]),2,0)</f>
        <v>Díqìng Zàngzú Zìzhìzhōu</v>
      </c>
      <c r="O1307" s="15" t="str">
        <f t="shared" si="40"/>
        <v>Yunling Xiang (Díqìng Zàngzú Zìzhìzhōu)</v>
      </c>
      <c r="P1307" s="15" t="str">
        <f t="shared" si="41"/>
        <v>Yunling Xiang (Díqìng Zàngzú Zìzhìzhōu)</v>
      </c>
    </row>
    <row r="1308" spans="1:16" hidden="1" x14ac:dyDescent="0.25">
      <c r="A1308" t="s">
        <v>1292</v>
      </c>
      <c r="B1308" t="str">
        <f>IF(COUNTIF(A:A,A1308)&gt;1,_xlfn.CONCAT(A1308," (",N1308,")"),A1308)</f>
        <v>Yúnlóng Xiāng</v>
      </c>
      <c r="C1308" t="str">
        <f>IF(COUNTIF(B:B,B1308)&gt;1,_xlfn.CONCAT(A1308," (",M1308,")"),B1308)</f>
        <v>Yúnlóng Xiāng</v>
      </c>
      <c r="D1308" t="s">
        <v>1293</v>
      </c>
      <c r="E1308" t="s">
        <v>7</v>
      </c>
      <c r="F1308" t="str">
        <f>_xlfn.CONCAT(D1308,", ",H1308,", ",I1308,", ","云南省")</f>
        <v>云龙乡, 禄劝彝族苗族自治县, 昆明市, 云南省</v>
      </c>
      <c r="G1308">
        <v>12162</v>
      </c>
      <c r="H1308" t="s">
        <v>2814</v>
      </c>
      <c r="I1308" t="s">
        <v>2807</v>
      </c>
      <c r="J1308" t="e">
        <f>VLOOKUP(F1308,[1]!china_towns_second__2[[Column1]:[Y]],3,FALSE)</f>
        <v>#N/A</v>
      </c>
      <c r="K1308" t="e">
        <f>VLOOKUP(F1308,[1]!china_towns_second__2[[Column1]:[Y]],2,FALSE)</f>
        <v>#N/A</v>
      </c>
      <c r="L1308" t="s">
        <v>4859</v>
      </c>
      <c r="M1308" t="str">
        <f>VLOOKUP(H1308,CHOOSE({1,2},Table17[Native],Table17[Name]),2,0)</f>
        <v>Lùquàn Yízú Miáozú Zìzhìxiàn</v>
      </c>
      <c r="N1308" s="15" t="str">
        <f>VLOOKUP(I1308,CHOOSE({1,2},Table17[Native],Table17[Name]),2,0)</f>
        <v>Kūnmíng Shì</v>
      </c>
      <c r="O1308" s="15" t="str">
        <f t="shared" si="40"/>
        <v>Yunlong Xiang (Kūnmíng Shì)</v>
      </c>
      <c r="P1308" s="15" t="str">
        <f t="shared" si="41"/>
        <v>Yunlong Xiang (Kūnmíng Shì)</v>
      </c>
    </row>
    <row r="1309" spans="1:16" hidden="1" x14ac:dyDescent="0.25">
      <c r="A1309" t="s">
        <v>594</v>
      </c>
      <c r="B1309" t="str">
        <f>IF(COUNTIF(A:A,A1309)&gt;1,_xlfn.CONCAT(A1309," (",N1309,")"),A1309)</f>
        <v>Yúnnányì Zhèn</v>
      </c>
      <c r="C1309" t="str">
        <f>IF(COUNTIF(B:B,B1309)&gt;1,_xlfn.CONCAT(A1309," (",M1309,")"),B1309)</f>
        <v>Yúnnányì Zhèn</v>
      </c>
      <c r="D1309" t="s">
        <v>595</v>
      </c>
      <c r="E1309" t="s">
        <v>11</v>
      </c>
      <c r="F1309" t="str">
        <f>_xlfn.CONCAT(D1309,", ",H1309,", ",I1309,", ","云南省")</f>
        <v>云南驿镇, 祥云县, 大理白族自治州, 云南省</v>
      </c>
      <c r="G1309">
        <v>93671</v>
      </c>
      <c r="H1309" t="s">
        <v>2773</v>
      </c>
      <c r="I1309" t="s">
        <v>2763</v>
      </c>
      <c r="J1309">
        <f>VLOOKUP(F1309,[1]!china_towns_second__2[[Column1]:[Y]],3,FALSE)</f>
        <v>25.3750179892074</v>
      </c>
      <c r="K1309">
        <f>VLOOKUP(F1309,[1]!china_towns_second__2[[Column1]:[Y]],2,FALSE)</f>
        <v>100.6763919</v>
      </c>
      <c r="L1309" t="s">
        <v>4860</v>
      </c>
      <c r="M1309" t="str">
        <f>VLOOKUP(H1309,CHOOSE({1,2},Table17[Native],Table17[Name]),2,0)</f>
        <v>Xiángyún Xiàn</v>
      </c>
      <c r="N1309" s="15" t="str">
        <f>VLOOKUP(I1309,CHOOSE({1,2},Table17[Native],Table17[Name]),2,0)</f>
        <v>Dàlĭ Báizú Zìzhìzhōu</v>
      </c>
      <c r="O1309" s="15" t="str">
        <f t="shared" si="40"/>
        <v>Yunnanyi Zhen (Dàlĭ Báizú Zìzhìzhōu)</v>
      </c>
      <c r="P1309" s="15" t="str">
        <f t="shared" si="41"/>
        <v>Yunnanyi Zhen (Dàlĭ Báizú Zìzhìzhōu)</v>
      </c>
    </row>
    <row r="1310" spans="1:16" hidden="1" x14ac:dyDescent="0.25">
      <c r="A1310" t="s">
        <v>1837</v>
      </c>
      <c r="B1310" t="str">
        <f>IF(COUNTIF(A:A,A1310)&gt;1,_xlfn.CONCAT(A1310," (",N1310,")"),A1310)</f>
        <v>Yúnxiān Yízú Xiāng</v>
      </c>
      <c r="C1310" t="str">
        <f>IF(COUNTIF(B:B,B1310)&gt;1,_xlfn.CONCAT(A1310," (",M1310,")"),B1310)</f>
        <v>Yúnxiān Yízú Xiāng</v>
      </c>
      <c r="D1310" t="s">
        <v>1838</v>
      </c>
      <c r="E1310" t="s">
        <v>7</v>
      </c>
      <c r="F1310" t="str">
        <f>_xlfn.CONCAT(D1310,", ",H1310,", ",I1310,", ","云南省")</f>
        <v>云仙彝族乡, 思茅区, 普洱市, 云南省</v>
      </c>
      <c r="G1310">
        <v>12613</v>
      </c>
      <c r="H1310" t="s">
        <v>2856</v>
      </c>
      <c r="I1310" t="s">
        <v>2848</v>
      </c>
      <c r="J1310" t="e">
        <f>VLOOKUP(F1310,[1]!china_towns_second__2[[Column1]:[Y]],3,FALSE)</f>
        <v>#N/A</v>
      </c>
      <c r="K1310" t="e">
        <f>VLOOKUP(F1310,[1]!china_towns_second__2[[Column1]:[Y]],2,FALSE)</f>
        <v>#N/A</v>
      </c>
      <c r="L1310" t="s">
        <v>4861</v>
      </c>
      <c r="M1310" t="str">
        <f>VLOOKUP(H1310,CHOOSE({1,2},Table17[Native],Table17[Name]),2,0)</f>
        <v>Sīmáo Qū</v>
      </c>
      <c r="N1310" s="15" t="str">
        <f>VLOOKUP(I1310,CHOOSE({1,2},Table17[Native],Table17[Name]),2,0)</f>
        <v>Pŭ'ĕr Shì</v>
      </c>
      <c r="O1310" s="15" t="str">
        <f t="shared" si="40"/>
        <v>Yunxian Yizu Xiang (Pŭ'ĕr Shì)</v>
      </c>
      <c r="P1310" s="15" t="str">
        <f t="shared" si="41"/>
        <v>Yunxian Yizu Xiang (Pŭ'ĕr Shì)</v>
      </c>
    </row>
    <row r="1311" spans="1:16" hidden="1" x14ac:dyDescent="0.25">
      <c r="A1311" t="s">
        <v>1021</v>
      </c>
      <c r="B1311" t="str">
        <f>IF(COUNTIF(A:A,A1311)&gt;1,_xlfn.CONCAT(A1311," (",N1311,")"),A1311)</f>
        <v>Yùpíng Zhèn</v>
      </c>
      <c r="C1311" t="str">
        <f>IF(COUNTIF(B:B,B1311)&gt;1,_xlfn.CONCAT(A1311," (",M1311,")"),B1311)</f>
        <v>Yùpíng Zhèn</v>
      </c>
      <c r="D1311" t="s">
        <v>1022</v>
      </c>
      <c r="E1311" t="s">
        <v>11</v>
      </c>
      <c r="F1311" t="str">
        <f>_xlfn.CONCAT(D1311,", ",H1311,", ",I1311,", ","云南省")</f>
        <v>玉屏镇, 屏边苗族自治县, 红河哈尼族彝族自治州, 云南省</v>
      </c>
      <c r="G1311">
        <v>32822</v>
      </c>
      <c r="H1311" t="s">
        <v>2803</v>
      </c>
      <c r="I1311" t="s">
        <v>2792</v>
      </c>
      <c r="J1311">
        <f>VLOOKUP(F1311,[1]!china_towns_second__2[[Column1]:[Y]],3,FALSE)</f>
        <v>22.989533458718</v>
      </c>
      <c r="K1311">
        <f>VLOOKUP(F1311,[1]!china_towns_second__2[[Column1]:[Y]],2,FALSE)</f>
        <v>103.6843619</v>
      </c>
      <c r="L1311" t="s">
        <v>4862</v>
      </c>
      <c r="M1311" t="str">
        <f>VLOOKUP(H1311,CHOOSE({1,2},Table17[Native],Table17[Name]),2,0)</f>
        <v>Píngbiān Miáozú Zìzhìxiàn</v>
      </c>
      <c r="N1311" s="15" t="str">
        <f>VLOOKUP(I1311,CHOOSE({1,2},Table17[Native],Table17[Name]),2,0)</f>
        <v>Hónghé Hānízú Yízú Zìzhìzhōu</v>
      </c>
      <c r="O1311" s="15" t="str">
        <f t="shared" si="40"/>
        <v>Yuping Zhen (Hónghé Hānízú Yízú Zìzhìzhōu)</v>
      </c>
      <c r="P1311" s="15" t="str">
        <f t="shared" si="41"/>
        <v>Yuping Zhen (Hónghé Hānízú Yízú Zìzhìzhōu)</v>
      </c>
    </row>
    <row r="1312" spans="1:16" hidden="1" x14ac:dyDescent="0.25">
      <c r="A1312" t="s">
        <v>1839</v>
      </c>
      <c r="B1312" t="str">
        <f>IF(COUNTIF(A:A,A1312)&gt;1,_xlfn.CONCAT(A1312," (",N1312,")"),A1312)</f>
        <v>Yútáng Zhèn</v>
      </c>
      <c r="C1312" t="str">
        <f>IF(COUNTIF(B:B,B1312)&gt;1,_xlfn.CONCAT(A1312," (",M1312,")"),B1312)</f>
        <v>Yútáng Zhèn</v>
      </c>
      <c r="D1312" t="s">
        <v>1840</v>
      </c>
      <c r="E1312" t="s">
        <v>11</v>
      </c>
      <c r="F1312" t="str">
        <f>_xlfn.CONCAT(D1312,", ",H1312,", ",I1312,", ","云南省")</f>
        <v>鱼塘镇, 墨江哈尼族自治县, 普洱市, 云南省</v>
      </c>
      <c r="G1312">
        <v>15950</v>
      </c>
      <c r="H1312" t="s">
        <v>2854</v>
      </c>
      <c r="I1312" t="s">
        <v>2848</v>
      </c>
      <c r="J1312">
        <f>VLOOKUP(F1312,[1]!china_towns_second__2[[Column1]:[Y]],3,FALSE)</f>
        <v>23.150423441043799</v>
      </c>
      <c r="K1312">
        <f>VLOOKUP(F1312,[1]!china_towns_second__2[[Column1]:[Y]],2,FALSE)</f>
        <v>101.50267959999999</v>
      </c>
      <c r="L1312" t="s">
        <v>4863</v>
      </c>
      <c r="M1312" t="str">
        <f>VLOOKUP(H1312,CHOOSE({1,2},Table17[Native],Table17[Name]),2,0)</f>
        <v>Mòjiāng Hānízú Zìzhìxiàn</v>
      </c>
      <c r="N1312" s="15" t="str">
        <f>VLOOKUP(I1312,CHOOSE({1,2},Table17[Native],Table17[Name]),2,0)</f>
        <v>Pŭ'ĕr Shì</v>
      </c>
      <c r="O1312" s="15" t="str">
        <f t="shared" si="40"/>
        <v>Yutang Zhen (Pŭ'ĕr Shì)</v>
      </c>
      <c r="P1312" s="15" t="str">
        <f t="shared" si="41"/>
        <v>Yutang Zhen (Pŭ'ĕr Shì)</v>
      </c>
    </row>
    <row r="1313" spans="1:16" hidden="1" x14ac:dyDescent="0.25">
      <c r="A1313" t="s">
        <v>2725</v>
      </c>
      <c r="B1313" t="str">
        <f>IF(COUNTIF(A:A,A1313)&gt;1,_xlfn.CONCAT(A1313," (",N1313,")"),A1313)</f>
        <v>Yùwăn Zhèn</v>
      </c>
      <c r="C1313" t="str">
        <f>IF(COUNTIF(B:B,B1313)&gt;1,_xlfn.CONCAT(A1313," (",M1313,")"),B1313)</f>
        <v>Yùwăn Zhèn</v>
      </c>
      <c r="D1313" t="s">
        <v>2726</v>
      </c>
      <c r="E1313" t="s">
        <v>11</v>
      </c>
      <c r="F1313" t="str">
        <f>_xlfn.CONCAT(D1313,", ",H1313,", ",I1313,", ","云南省")</f>
        <v>玉碗镇, 大关县, 昭通市, 云南省</v>
      </c>
      <c r="G1313">
        <v>14614</v>
      </c>
      <c r="H1313" t="s">
        <v>2900</v>
      </c>
      <c r="I1313" t="s">
        <v>2899</v>
      </c>
      <c r="J1313">
        <f>VLOOKUP(F1313,[1]!china_towns_second__2[[Column1]:[Y]],3,FALSE)</f>
        <v>27.660637760784301</v>
      </c>
      <c r="K1313">
        <f>VLOOKUP(F1313,[1]!china_towns_second__2[[Column1]:[Y]],2,FALSE)</f>
        <v>103.89910980000001</v>
      </c>
      <c r="L1313" t="s">
        <v>4864</v>
      </c>
      <c r="M1313" t="str">
        <f>VLOOKUP(H1313,CHOOSE({1,2},Table17[Native],Table17[Name]),2,0)</f>
        <v>Dàguān Xiàn</v>
      </c>
      <c r="N1313" s="15" t="str">
        <f>VLOOKUP(I1313,CHOOSE({1,2},Table17[Native],Table17[Name]),2,0)</f>
        <v>Zhāotōng Shì</v>
      </c>
      <c r="O1313" s="15" t="str">
        <f t="shared" si="40"/>
        <v>Yuwan Zhen (Zhāotōng Shì)</v>
      </c>
      <c r="P1313" s="15" t="str">
        <f t="shared" si="41"/>
        <v>Yuwan Zhen (Zhāotōng Shì)</v>
      </c>
    </row>
    <row r="1314" spans="1:16" hidden="1" x14ac:dyDescent="0.25">
      <c r="A1314" t="s">
        <v>2461</v>
      </c>
      <c r="B1314" t="str">
        <f>IF(COUNTIF(A:A,A1314)&gt;1,_xlfn.CONCAT(A1314," (",N1314,")"),A1314)</f>
        <v>Yùxīng Jiēdào</v>
      </c>
      <c r="C1314" t="str">
        <f>IF(COUNTIF(B:B,B1314)&gt;1,_xlfn.CONCAT(A1314," (",M1314,")"),B1314)</f>
        <v>Yùxīng Jiēdào</v>
      </c>
      <c r="D1314" t="s">
        <v>2462</v>
      </c>
      <c r="E1314" t="s">
        <v>42</v>
      </c>
      <c r="F1314" t="str">
        <f>_xlfn.CONCAT(D1314,", ",H1314,", ",I1314,", ","云南省")</f>
        <v>玉兴街道, 红塔区, 玉溪市, 云南省</v>
      </c>
      <c r="G1314">
        <v>75619</v>
      </c>
      <c r="H1314" t="s">
        <v>2891</v>
      </c>
      <c r="I1314" t="s">
        <v>2888</v>
      </c>
      <c r="J1314" t="e">
        <f>VLOOKUP(F1314,[1]!china_towns_second__2[[Column1]:[Y]],3,FALSE)</f>
        <v>#N/A</v>
      </c>
      <c r="K1314" t="e">
        <f>VLOOKUP(F1314,[1]!china_towns_second__2[[Column1]:[Y]],2,FALSE)</f>
        <v>#N/A</v>
      </c>
      <c r="L1314" t="s">
        <v>4865</v>
      </c>
      <c r="M1314" t="str">
        <f>VLOOKUP(H1314,CHOOSE({1,2},Table17[Native],Table17[Name]),2,0)</f>
        <v>Hóngtă Qū</v>
      </c>
      <c r="N1314" s="15" t="str">
        <f>VLOOKUP(I1314,CHOOSE({1,2},Table17[Native],Table17[Name]),2,0)</f>
        <v>Yùxī Shì</v>
      </c>
      <c r="O1314" s="15" t="str">
        <f t="shared" si="40"/>
        <v>Yuxing Jiedao (Yùxī Shì)</v>
      </c>
      <c r="P1314" s="15" t="str">
        <f t="shared" si="41"/>
        <v>Yuxing Jiedao (Yùxī Shì)</v>
      </c>
    </row>
    <row r="1315" spans="1:16" hidden="1" x14ac:dyDescent="0.25">
      <c r="A1315" t="s">
        <v>1294</v>
      </c>
      <c r="B1315" t="str">
        <f>IF(COUNTIF(A:A,A1315)&gt;1,_xlfn.CONCAT(A1315," (",N1315,")"),A1315)</f>
        <v>Zéhēi Xiāng</v>
      </c>
      <c r="C1315" t="str">
        <f>IF(COUNTIF(B:B,B1315)&gt;1,_xlfn.CONCAT(A1315," (",M1315,")"),B1315)</f>
        <v>Zéhēi Xiāng</v>
      </c>
      <c r="D1315" t="s">
        <v>1295</v>
      </c>
      <c r="E1315" t="s">
        <v>7</v>
      </c>
      <c r="F1315" t="str">
        <f>_xlfn.CONCAT(D1315,", ",H1315,", ",I1315,", ","云南省")</f>
        <v>则黑乡, 禄劝彝族苗族自治县, 昆明市, 云南省</v>
      </c>
      <c r="G1315">
        <v>22431</v>
      </c>
      <c r="H1315" t="s">
        <v>2814</v>
      </c>
      <c r="I1315" t="s">
        <v>2807</v>
      </c>
      <c r="J1315" t="e">
        <f>VLOOKUP(F1315,[1]!china_towns_second__2[[Column1]:[Y]],3,FALSE)</f>
        <v>#N/A</v>
      </c>
      <c r="K1315" t="e">
        <f>VLOOKUP(F1315,[1]!china_towns_second__2[[Column1]:[Y]],2,FALSE)</f>
        <v>#N/A</v>
      </c>
      <c r="L1315" t="s">
        <v>4866</v>
      </c>
      <c r="M1315" t="str">
        <f>VLOOKUP(H1315,CHOOSE({1,2},Table17[Native],Table17[Name]),2,0)</f>
        <v>Lùquàn Yízú Miáozú Zìzhìxiàn</v>
      </c>
      <c r="N1315" s="15" t="str">
        <f>VLOOKUP(I1315,CHOOSE({1,2},Table17[Native],Table17[Name]),2,0)</f>
        <v>Kūnmíng Shì</v>
      </c>
      <c r="O1315" s="15" t="str">
        <f t="shared" si="40"/>
        <v>Zehei Xiang (Kūnmíng Shì)</v>
      </c>
      <c r="P1315" s="15" t="str">
        <f t="shared" si="41"/>
        <v>Zehei Xiang (Kūnmíng Shì)</v>
      </c>
    </row>
    <row r="1316" spans="1:16" hidden="1" x14ac:dyDescent="0.25">
      <c r="A1316" t="s">
        <v>695</v>
      </c>
      <c r="B1316" t="str">
        <f>IF(COUNTIF(A:A,A1316)&gt;1,_xlfn.CONCAT(A1316," (",N1316,")"),A1316)</f>
        <v>Zhāngfèng Zhèn</v>
      </c>
      <c r="C1316" t="str">
        <f>IF(COUNTIF(B:B,B1316)&gt;1,_xlfn.CONCAT(A1316," (",M1316,")"),B1316)</f>
        <v>Zhāngfèng Zhèn</v>
      </c>
      <c r="D1316" t="s">
        <v>696</v>
      </c>
      <c r="E1316" t="s">
        <v>11</v>
      </c>
      <c r="F1316" t="str">
        <f>_xlfn.CONCAT(D1316,", ",H1316,", ",I1316,", ","云南省")</f>
        <v>章凤镇, 陇川县, 德宏傣族景颇族自治州, 云南省</v>
      </c>
      <c r="G1316">
        <v>53370</v>
      </c>
      <c r="H1316" t="s">
        <v>2781</v>
      </c>
      <c r="I1316" t="s">
        <v>2779</v>
      </c>
      <c r="J1316">
        <f>VLOOKUP(F1316,[1]!china_towns_second__2[[Column1]:[Y]],3,FALSE)</f>
        <v>24.212101154877899</v>
      </c>
      <c r="K1316">
        <f>VLOOKUP(F1316,[1]!china_towns_second__2[[Column1]:[Y]],2,FALSE)</f>
        <v>97.792132929999994</v>
      </c>
      <c r="L1316" t="s">
        <v>4867</v>
      </c>
      <c r="M1316" t="str">
        <f>VLOOKUP(H1316,CHOOSE({1,2},Table17[Native],Table17[Name]),2,0)</f>
        <v>Lŏngchuān Xiàn</v>
      </c>
      <c r="N1316" s="15" t="str">
        <f>VLOOKUP(I1316,CHOOSE({1,2},Table17[Native],Table17[Name]),2,0)</f>
        <v>Déhóng Dăizú Jĭngpōzú Zìzhìzhōu</v>
      </c>
      <c r="O1316" s="15" t="str">
        <f t="shared" si="40"/>
        <v>Zhangfeng Zhen (Déhóng Dăizú Jĭngpōzú Zìzhìzhōu)</v>
      </c>
      <c r="P1316" s="15" t="str">
        <f t="shared" si="41"/>
        <v>Zhangfeng Zhen (Déhóng Dăizú Jĭngpōzú Zìzhìzhōu)</v>
      </c>
    </row>
    <row r="1317" spans="1:16" hidden="1" x14ac:dyDescent="0.25">
      <c r="A1317" t="s">
        <v>1589</v>
      </c>
      <c r="B1317" t="str">
        <f>IF(COUNTIF(A:A,A1317)&gt;1,_xlfn.CONCAT(A1317," (",N1317,")"),A1317)</f>
        <v>Zhāngtuó Xiāng</v>
      </c>
      <c r="C1317" t="str">
        <f>IF(COUNTIF(B:B,B1317)&gt;1,_xlfn.CONCAT(A1317," (",M1317,")"),B1317)</f>
        <v>Zhāngtuó Xiāng</v>
      </c>
      <c r="D1317" t="s">
        <v>1590</v>
      </c>
      <c r="E1317" t="s">
        <v>7</v>
      </c>
      <c r="F1317" t="str">
        <f>_xlfn.CONCAT(D1317,", ",H1317,", ",I1317,", ","云南省")</f>
        <v>章驮乡, 临翔区, 临沧市, 云南省</v>
      </c>
      <c r="G1317">
        <v>20282</v>
      </c>
      <c r="H1317" t="s">
        <v>2835</v>
      </c>
      <c r="I1317" t="s">
        <v>2831</v>
      </c>
      <c r="J1317" t="e">
        <f>VLOOKUP(F1317,[1]!china_towns_second__2[[Column1]:[Y]],3,FALSE)</f>
        <v>#N/A</v>
      </c>
      <c r="K1317" t="e">
        <f>VLOOKUP(F1317,[1]!china_towns_second__2[[Column1]:[Y]],2,FALSE)</f>
        <v>#N/A</v>
      </c>
      <c r="L1317" t="s">
        <v>4868</v>
      </c>
      <c r="M1317" t="str">
        <f>VLOOKUP(H1317,CHOOSE({1,2},Table17[Native],Table17[Name]),2,0)</f>
        <v>Línxiáng Qū</v>
      </c>
      <c r="N1317" s="15" t="str">
        <f>VLOOKUP(I1317,CHOOSE({1,2},Table17[Native],Table17[Name]),2,0)</f>
        <v>Líncāng Shì</v>
      </c>
      <c r="O1317" s="15" t="str">
        <f t="shared" si="40"/>
        <v>Zhangtuo Xiang (Líncāng Shì)</v>
      </c>
      <c r="P1317" s="15" t="str">
        <f t="shared" si="41"/>
        <v>Zhangtuo Xiang (Líncāng Shì)</v>
      </c>
    </row>
    <row r="1318" spans="1:16" hidden="1" x14ac:dyDescent="0.25">
      <c r="A1318" t="s">
        <v>1427</v>
      </c>
      <c r="B1318" t="str">
        <f>IF(COUNTIF(A:A,A1318)&gt;1,_xlfn.CONCAT(A1318," (",N1318,")"),A1318)</f>
        <v>Zhànhé Zhèn</v>
      </c>
      <c r="C1318" t="str">
        <f>IF(COUNTIF(B:B,B1318)&gt;1,_xlfn.CONCAT(A1318," (",M1318,")"),B1318)</f>
        <v>Zhànhé Zhèn</v>
      </c>
      <c r="D1318" t="s">
        <v>1428</v>
      </c>
      <c r="E1318" t="s">
        <v>11</v>
      </c>
      <c r="F1318" t="str">
        <f>_xlfn.CONCAT(D1318,", ",H1318,", ",I1318,", ","云南省")</f>
        <v>战河镇, 宁蒗彝族自治县, 丽江市, 云南省</v>
      </c>
      <c r="G1318">
        <v>23854</v>
      </c>
      <c r="H1318" t="s">
        <v>2827</v>
      </c>
      <c r="I1318" t="s">
        <v>2823</v>
      </c>
      <c r="J1318">
        <f>VLOOKUP(F1318,[1]!china_towns_second__2[[Column1]:[Y]],3,FALSE)</f>
        <v>26.852771011123501</v>
      </c>
      <c r="K1318">
        <f>VLOOKUP(F1318,[1]!china_towns_second__2[[Column1]:[Y]],2,FALSE)</f>
        <v>100.921459</v>
      </c>
      <c r="L1318" t="s">
        <v>4869</v>
      </c>
      <c r="M1318" t="str">
        <f>VLOOKUP(H1318,CHOOSE({1,2},Table17[Native],Table17[Name]),2,0)</f>
        <v>Nínglàng Yízú Zìzhìxiàn</v>
      </c>
      <c r="N1318" s="15" t="str">
        <f>VLOOKUP(I1318,CHOOSE({1,2},Table17[Native],Table17[Name]),2,0)</f>
        <v>Lìjiāng Shì</v>
      </c>
      <c r="O1318" s="15" t="str">
        <f t="shared" si="40"/>
        <v>Zhanhe Zhen (Lìjiāng Shì)</v>
      </c>
      <c r="P1318" s="15" t="str">
        <f t="shared" si="41"/>
        <v>Zhanhe Zhen (Lìjiāng Shì)</v>
      </c>
    </row>
    <row r="1319" spans="1:16" hidden="1" x14ac:dyDescent="0.25">
      <c r="A1319" t="s">
        <v>697</v>
      </c>
      <c r="B1319" t="str">
        <f>IF(COUNTIF(A:A,A1319)&gt;1,_xlfn.CONCAT(A1319," (",N1319,")"),A1319)</f>
        <v>Zhănxī Zhèn</v>
      </c>
      <c r="C1319" t="str">
        <f>IF(COUNTIF(B:B,B1319)&gt;1,_xlfn.CONCAT(A1319," (",M1319,")"),B1319)</f>
        <v>Zhănxī Zhèn</v>
      </c>
      <c r="D1319" t="s">
        <v>698</v>
      </c>
      <c r="E1319" t="s">
        <v>11</v>
      </c>
      <c r="F1319" t="str">
        <f>_xlfn.CONCAT(D1319,", ",H1319,", ",I1319,", ","云南省")</f>
        <v>盏西镇, 盈江县, 德宏傣族景颇族自治州, 云南省</v>
      </c>
      <c r="G1319">
        <v>21515</v>
      </c>
      <c r="H1319" t="s">
        <v>2784</v>
      </c>
      <c r="I1319" t="s">
        <v>2779</v>
      </c>
      <c r="J1319">
        <f>VLOOKUP(F1319,[1]!china_towns_second__2[[Column1]:[Y]],3,FALSE)</f>
        <v>25.052011806255202</v>
      </c>
      <c r="K1319">
        <f>VLOOKUP(F1319,[1]!china_towns_second__2[[Column1]:[Y]],2,FALSE)</f>
        <v>98.124633299999999</v>
      </c>
      <c r="L1319" t="s">
        <v>4870</v>
      </c>
      <c r="M1319" t="str">
        <f>VLOOKUP(H1319,CHOOSE({1,2},Table17[Native],Table17[Name]),2,0)</f>
        <v>Yíngjiāng Xiàn</v>
      </c>
      <c r="N1319" s="15" t="str">
        <f>VLOOKUP(I1319,CHOOSE({1,2},Table17[Native],Table17[Name]),2,0)</f>
        <v>Déhóng Dăizú Jĭngpōzú Zìzhìzhōu</v>
      </c>
      <c r="O1319" s="15" t="str">
        <f t="shared" si="40"/>
        <v>Zhanxi Zhen (Déhóng Dăizú Jĭngpōzú Zìzhìzhōu)</v>
      </c>
      <c r="P1319" s="15" t="str">
        <f t="shared" si="41"/>
        <v>Zhanxi Zhen (Déhóng Dăizú Jĭngpōzú Zìzhìzhōu)</v>
      </c>
    </row>
    <row r="1320" spans="1:16" hidden="1" x14ac:dyDescent="0.25">
      <c r="A1320" t="s">
        <v>355</v>
      </c>
      <c r="B1320" t="str">
        <f>IF(COUNTIF(A:A,A1320)&gt;1,_xlfn.CONCAT(A1320," (",N1320,")"),A1320)</f>
        <v>Zhàojiādiàn Zhèn</v>
      </c>
      <c r="C1320" t="str">
        <f>IF(COUNTIF(B:B,B1320)&gt;1,_xlfn.CONCAT(A1320," (",M1320,")"),B1320)</f>
        <v>Zhàojiādiàn Zhèn</v>
      </c>
      <c r="D1320" t="s">
        <v>356</v>
      </c>
      <c r="E1320" t="s">
        <v>11</v>
      </c>
      <c r="F1320" t="str">
        <f>_xlfn.CONCAT(D1320,", ",H1320,", ",I1320,", ","云南省")</f>
        <v>赵家店镇, 大姚县, 楚雄彝族自治州, 云南省</v>
      </c>
      <c r="G1320">
        <v>15149</v>
      </c>
      <c r="H1320" t="s">
        <v>2752</v>
      </c>
      <c r="I1320" t="s">
        <v>2750</v>
      </c>
      <c r="J1320">
        <f>VLOOKUP(F1320,[1]!china_towns_second__2[[Column1]:[Y]],3,FALSE)</f>
        <v>25.7949871970591</v>
      </c>
      <c r="K1320">
        <f>VLOOKUP(F1320,[1]!china_towns_second__2[[Column1]:[Y]],2,FALSE)</f>
        <v>101.5137774</v>
      </c>
      <c r="L1320" t="s">
        <v>4871</v>
      </c>
      <c r="M1320" t="str">
        <f>VLOOKUP(H1320,CHOOSE({1,2},Table17[Native],Table17[Name]),2,0)</f>
        <v>Dàyáo Xiàn</v>
      </c>
      <c r="N1320" s="15" t="str">
        <f>VLOOKUP(I1320,CHOOSE({1,2},Table17[Native],Table17[Name]),2,0)</f>
        <v>Chŭxióng Yízú Zìzhìzhōu</v>
      </c>
      <c r="O1320" s="15" t="str">
        <f t="shared" si="40"/>
        <v>Zhaojiadian Zhen (Chŭxióng Yízú Zìzhìzhōu)</v>
      </c>
      <c r="P1320" s="15" t="str">
        <f t="shared" si="41"/>
        <v>Zhaojiadian Zhen (Chŭxióng Yízú Zìzhìzhōu)</v>
      </c>
    </row>
    <row r="1321" spans="1:16" hidden="1" x14ac:dyDescent="0.25">
      <c r="A1321" t="s">
        <v>2045</v>
      </c>
      <c r="B1321" t="str">
        <f>IF(COUNTIF(A:A,A1321)&gt;1,_xlfn.CONCAT(A1321," (",N1321,")"),A1321)</f>
        <v>Zhàokuā Zhèn</v>
      </c>
      <c r="C1321" t="str">
        <f>IF(COUNTIF(B:B,B1321)&gt;1,_xlfn.CONCAT(A1321," (",M1321,")"),B1321)</f>
        <v>Zhàokuā Zhèn</v>
      </c>
      <c r="D1321" t="s">
        <v>2046</v>
      </c>
      <c r="E1321" t="s">
        <v>11</v>
      </c>
      <c r="F1321" t="str">
        <f>_xlfn.CONCAT(D1321,", ",H1321,", ",I1321,", ","云南省")</f>
        <v>召夸镇, 陆良县, 曲靖市, 云南省</v>
      </c>
      <c r="G1321">
        <v>31347</v>
      </c>
      <c r="H1321" t="s">
        <v>2863</v>
      </c>
      <c r="I1321" t="s">
        <v>2860</v>
      </c>
      <c r="J1321">
        <f>VLOOKUP(F1321,[1]!china_towns_second__2[[Column1]:[Y]],3,FALSE)</f>
        <v>24.8376577882653</v>
      </c>
      <c r="K1321">
        <f>VLOOKUP(F1321,[1]!china_towns_second__2[[Column1]:[Y]],2,FALSE)</f>
        <v>103.71867810000001</v>
      </c>
      <c r="L1321" t="s">
        <v>4872</v>
      </c>
      <c r="M1321" t="str">
        <f>VLOOKUP(H1321,CHOOSE({1,2},Table17[Native],Table17[Name]),2,0)</f>
        <v>Lùliáng Xiàn</v>
      </c>
      <c r="N1321" s="15" t="str">
        <f>VLOOKUP(I1321,CHOOSE({1,2},Table17[Native],Table17[Name]),2,0)</f>
        <v>Qŭjìng Shì</v>
      </c>
      <c r="O1321" s="15" t="str">
        <f t="shared" si="40"/>
        <v>Zhaokua Zhen (Qŭjìng Shì)</v>
      </c>
      <c r="P1321" s="15" t="str">
        <f t="shared" si="41"/>
        <v>Zhaokua Zhen (Qŭjìng Shì)</v>
      </c>
    </row>
    <row r="1322" spans="1:16" hidden="1" x14ac:dyDescent="0.25">
      <c r="A1322" t="s">
        <v>2727</v>
      </c>
      <c r="B1322" t="str">
        <f>IF(COUNTIF(A:A,A1322)&gt;1,_xlfn.CONCAT(A1322," (",N1322,")"),A1322)</f>
        <v>Zhāxī Zhèn</v>
      </c>
      <c r="C1322" t="str">
        <f>IF(COUNTIF(B:B,B1322)&gt;1,_xlfn.CONCAT(A1322," (",M1322,")"),B1322)</f>
        <v>Zhāxī Zhèn</v>
      </c>
      <c r="D1322" t="s">
        <v>2728</v>
      </c>
      <c r="E1322" t="s">
        <v>11</v>
      </c>
      <c r="F1322" t="str">
        <f>_xlfn.CONCAT(D1322,", ",H1322,", ",I1322,", ","云南省")</f>
        <v>扎西镇, 威信县, 昭通市, 云南省</v>
      </c>
      <c r="G1322">
        <v>124458</v>
      </c>
      <c r="H1322" t="s">
        <v>2905</v>
      </c>
      <c r="I1322" t="s">
        <v>2899</v>
      </c>
      <c r="J1322">
        <f>VLOOKUP(F1322,[1]!china_towns_second__2[[Column1]:[Y]],3,FALSE)</f>
        <v>27.808925013611098</v>
      </c>
      <c r="K1322">
        <f>VLOOKUP(F1322,[1]!china_towns_second__2[[Column1]:[Y]],2,FALSE)</f>
        <v>105.0534864</v>
      </c>
      <c r="L1322" t="s">
        <v>4873</v>
      </c>
      <c r="M1322" t="str">
        <f>VLOOKUP(H1322,CHOOSE({1,2},Table17[Native],Table17[Name]),2,0)</f>
        <v>Wēixìn Xiàn</v>
      </c>
      <c r="N1322" s="15" t="str">
        <f>VLOOKUP(I1322,CHOOSE({1,2},Table17[Native],Table17[Name]),2,0)</f>
        <v>Zhāotōng Shì</v>
      </c>
      <c r="O1322" s="15" t="str">
        <f t="shared" si="40"/>
        <v>Zhaxi Zhen (Zhāotōng Shì)</v>
      </c>
      <c r="P1322" s="15" t="str">
        <f t="shared" si="41"/>
        <v>Zhaxi Zhen (Zhāotōng Shì)</v>
      </c>
    </row>
    <row r="1323" spans="1:16" hidden="1" x14ac:dyDescent="0.25">
      <c r="A1323" t="s">
        <v>699</v>
      </c>
      <c r="B1323" t="str">
        <f>IF(COUNTIF(A:A,A1323)&gt;1,_xlfn.CONCAT(A1323," (",N1323,")"),A1323)</f>
        <v>Zhēdăo Zhèn</v>
      </c>
      <c r="C1323" t="str">
        <f>IF(COUNTIF(B:B,B1323)&gt;1,_xlfn.CONCAT(A1323," (",M1323,")"),B1323)</f>
        <v>Zhēdăo Zhèn</v>
      </c>
      <c r="D1323" t="s">
        <v>700</v>
      </c>
      <c r="E1323" t="s">
        <v>11</v>
      </c>
      <c r="F1323" t="str">
        <f>_xlfn.CONCAT(D1323,", ",H1323,", ",I1323,", ","云南省")</f>
        <v>遮岛镇, 梁河县, 德宏傣族景颇族自治州, 云南省</v>
      </c>
      <c r="G1323">
        <v>22290</v>
      </c>
      <c r="H1323" t="s">
        <v>2780</v>
      </c>
      <c r="I1323" t="s">
        <v>2779</v>
      </c>
      <c r="J1323">
        <f>VLOOKUP(F1323,[1]!china_towns_second__2[[Column1]:[Y]],3,FALSE)</f>
        <v>24.776430500912301</v>
      </c>
      <c r="K1323">
        <f>VLOOKUP(F1323,[1]!china_towns_second__2[[Column1]:[Y]],2,FALSE)</f>
        <v>98.287983330000003</v>
      </c>
      <c r="L1323" t="s">
        <v>4874</v>
      </c>
      <c r="M1323" t="str">
        <f>VLOOKUP(H1323,CHOOSE({1,2},Table17[Native],Table17[Name]),2,0)</f>
        <v>Liánghé Xiàn</v>
      </c>
      <c r="N1323" s="15" t="str">
        <f>VLOOKUP(I1323,CHOOSE({1,2},Table17[Native],Table17[Name]),2,0)</f>
        <v>Déhóng Dăizú Jĭngpōzú Zìzhìzhōu</v>
      </c>
      <c r="O1323" s="15" t="str">
        <f t="shared" si="40"/>
        <v>Zhedao Zhen (Déhóng Dăizú Jĭngpōzú Zìzhìzhōu)</v>
      </c>
      <c r="P1323" s="15" t="str">
        <f t="shared" si="41"/>
        <v>Zhedao Zhen (Déhóng Dăizú Jĭngpōzú Zìzhìzhōu)</v>
      </c>
    </row>
    <row r="1324" spans="1:16" hidden="1" x14ac:dyDescent="0.25">
      <c r="A1324" t="s">
        <v>1841</v>
      </c>
      <c r="B1324" t="str">
        <f>IF(COUNTIF(A:A,A1324)&gt;1,_xlfn.CONCAT(A1324," (",N1324,")"),A1324)</f>
        <v>Zhĕdōng Zhèn</v>
      </c>
      <c r="C1324" t="str">
        <f>IF(COUNTIF(B:B,B1324)&gt;1,_xlfn.CONCAT(A1324," (",M1324,")"),B1324)</f>
        <v>Zhĕdōng Zhèn</v>
      </c>
      <c r="D1324" t="s">
        <v>1842</v>
      </c>
      <c r="E1324" t="s">
        <v>11</v>
      </c>
      <c r="F1324" t="str">
        <f>_xlfn.CONCAT(D1324,", ",H1324,", ",I1324,", ","云南省")</f>
        <v>者东镇, 镇沅彝族哈尼族拉祜族自治县, 普洱市, 云南省</v>
      </c>
      <c r="G1324">
        <v>29041</v>
      </c>
      <c r="H1324" t="s">
        <v>2858</v>
      </c>
      <c r="I1324" t="s">
        <v>2848</v>
      </c>
      <c r="J1324">
        <f>VLOOKUP(F1324,[1]!china_towns_second__2[[Column1]:[Y]],3,FALSE)</f>
        <v>24.039597303467598</v>
      </c>
      <c r="K1324">
        <f>VLOOKUP(F1324,[1]!china_towns_second__2[[Column1]:[Y]],2,FALSE)</f>
        <v>101.2913009</v>
      </c>
      <c r="L1324" t="s">
        <v>4875</v>
      </c>
      <c r="M1324" t="str">
        <f>VLOOKUP(H1324,CHOOSE({1,2},Table17[Native],Table17[Name]),2,0)</f>
        <v>Zhènyuán Yízú Hānízú Lāhùzú Zìzhìxiàn</v>
      </c>
      <c r="N1324" s="15" t="str">
        <f>VLOOKUP(I1324,CHOOSE({1,2},Table17[Native],Table17[Name]),2,0)</f>
        <v>Pŭ'ĕr Shì</v>
      </c>
      <c r="O1324" s="15" t="str">
        <f t="shared" si="40"/>
        <v>Zhedong Zhen (Pŭ'ĕr Shì)</v>
      </c>
      <c r="P1324" s="15" t="str">
        <f t="shared" si="41"/>
        <v>Zhedong Zhen (Pŭ'ĕr Shì)</v>
      </c>
    </row>
    <row r="1325" spans="1:16" hidden="1" x14ac:dyDescent="0.25">
      <c r="A1325" t="s">
        <v>701</v>
      </c>
      <c r="B1325" t="str">
        <f>IF(COUNTIF(A:A,A1325)&gt;1,_xlfn.CONCAT(A1325," (",N1325,")"),A1325)</f>
        <v>Zhēfàng Zhèn</v>
      </c>
      <c r="C1325" t="str">
        <f>IF(COUNTIF(B:B,B1325)&gt;1,_xlfn.CONCAT(A1325," (",M1325,")"),B1325)</f>
        <v>Zhēfàng Zhèn</v>
      </c>
      <c r="D1325" t="s">
        <v>702</v>
      </c>
      <c r="E1325" t="s">
        <v>11</v>
      </c>
      <c r="F1325" t="str">
        <f>_xlfn.CONCAT(D1325,", ",H1325,", ",I1325,", ","云南省")</f>
        <v>遮放镇, 芒市, 德宏傣族景颇族自治州, 云南省</v>
      </c>
      <c r="G1325">
        <v>51477</v>
      </c>
      <c r="H1325" t="s">
        <v>2782</v>
      </c>
      <c r="I1325" t="s">
        <v>2779</v>
      </c>
      <c r="J1325">
        <f>VLOOKUP(F1325,[1]!china_towns_second__2[[Column1]:[Y]],3,FALSE)</f>
        <v>24.196790276921298</v>
      </c>
      <c r="K1325">
        <f>VLOOKUP(F1325,[1]!china_towns_second__2[[Column1]:[Y]],2,FALSE)</f>
        <v>98.215445189999997</v>
      </c>
      <c r="L1325" t="s">
        <v>4876</v>
      </c>
      <c r="M1325" t="str">
        <f>VLOOKUP(H1325,CHOOSE({1,2},Table17[Native],Table17[Name]),2,0)</f>
        <v>Máng Shì</v>
      </c>
      <c r="N1325" s="15" t="str">
        <f>VLOOKUP(I1325,CHOOSE({1,2},Table17[Native],Table17[Name]),2,0)</f>
        <v>Déhóng Dăizú Jĭngpōzú Zìzhìzhōu</v>
      </c>
      <c r="O1325" s="15" t="str">
        <f t="shared" si="40"/>
        <v>Zhefang Zhen (Déhóng Dăizú Jĭngpōzú Zìzhìzhōu)</v>
      </c>
      <c r="P1325" s="15" t="str">
        <f t="shared" si="41"/>
        <v>Zhefang Zhen (Déhóng Dăizú Jĭngpōzú Zìzhìzhōu)</v>
      </c>
    </row>
    <row r="1326" spans="1:16" hidden="1" x14ac:dyDescent="0.25">
      <c r="A1326" t="s">
        <v>2047</v>
      </c>
      <c r="B1326" t="str">
        <f>IF(COUNTIF(A:A,A1326)&gt;1,_xlfn.CONCAT(A1326," (",N1326,")"),A1326)</f>
        <v>Zhĕhăi Zhèn</v>
      </c>
      <c r="C1326" t="str">
        <f>IF(COUNTIF(B:B,B1326)&gt;1,_xlfn.CONCAT(A1326," (",M1326,")"),B1326)</f>
        <v>Zhĕhăi Zhèn</v>
      </c>
      <c r="D1326" t="s">
        <v>2048</v>
      </c>
      <c r="E1326" t="s">
        <v>11</v>
      </c>
      <c r="F1326" t="str">
        <f>_xlfn.CONCAT(D1326,", ",H1326,", ",I1326,", ","云南省")</f>
        <v>者海镇, 会泽县, 曲靖市, 云南省</v>
      </c>
      <c r="G1326">
        <v>92108</v>
      </c>
      <c r="H1326" t="s">
        <v>2862</v>
      </c>
      <c r="I1326" t="s">
        <v>2860</v>
      </c>
      <c r="J1326">
        <f>VLOOKUP(F1326,[1]!china_towns_second__2[[Column1]:[Y]],3,FALSE)</f>
        <v>26.541471676184599</v>
      </c>
      <c r="K1326">
        <f>VLOOKUP(F1326,[1]!china_towns_second__2[[Column1]:[Y]],2,FALSE)</f>
        <v>103.604298</v>
      </c>
      <c r="L1326" t="s">
        <v>4877</v>
      </c>
      <c r="M1326" t="str">
        <f>VLOOKUP(H1326,CHOOSE({1,2},Table17[Native],Table17[Name]),2,0)</f>
        <v>Huìzé Xiàn</v>
      </c>
      <c r="N1326" s="15" t="str">
        <f>VLOOKUP(I1326,CHOOSE({1,2},Table17[Native],Table17[Name]),2,0)</f>
        <v>Qŭjìng Shì</v>
      </c>
      <c r="O1326" s="15" t="str">
        <f t="shared" si="40"/>
        <v>Zhehai Zhen (Qŭjìng Shì)</v>
      </c>
      <c r="P1326" s="15" t="str">
        <f t="shared" si="41"/>
        <v>Zhehai Zhen (Qŭjìng Shì)</v>
      </c>
    </row>
    <row r="1327" spans="1:16" hidden="1" x14ac:dyDescent="0.25">
      <c r="A1327" t="s">
        <v>2240</v>
      </c>
      <c r="B1327" t="str">
        <f>IF(COUNTIF(A:A,A1327)&gt;1,_xlfn.CONCAT(A1327," (",N1327,")"),A1327)</f>
        <v>Zhĕlà Xiāng</v>
      </c>
      <c r="C1327" t="str">
        <f>IF(COUNTIF(B:B,B1327)&gt;1,_xlfn.CONCAT(A1327," (",M1327,")"),B1327)</f>
        <v>Zhĕlà Xiāng</v>
      </c>
      <c r="D1327" t="s">
        <v>2241</v>
      </c>
      <c r="E1327" t="s">
        <v>7</v>
      </c>
      <c r="F1327" t="str">
        <f>_xlfn.CONCAT(D1327,", ",H1327,", ",I1327,", ","云南省")</f>
        <v>者腊乡, 砚山县, 文山壮族苗族自治州, 云南省</v>
      </c>
      <c r="G1327">
        <v>28874</v>
      </c>
      <c r="H1327" t="s">
        <v>2880</v>
      </c>
      <c r="I1327" t="s">
        <v>2872</v>
      </c>
      <c r="J1327" t="e">
        <f>VLOOKUP(F1327,[1]!china_towns_second__2[[Column1]:[Y]],3,FALSE)</f>
        <v>#N/A</v>
      </c>
      <c r="K1327" t="e">
        <f>VLOOKUP(F1327,[1]!china_towns_second__2[[Column1]:[Y]],2,FALSE)</f>
        <v>#N/A</v>
      </c>
      <c r="L1327" t="s">
        <v>4878</v>
      </c>
      <c r="M1327" t="str">
        <f>VLOOKUP(H1327,CHOOSE({1,2},Table17[Native],Table17[Name]),2,0)</f>
        <v>Yànshān Xiàn</v>
      </c>
      <c r="N1327" s="15" t="str">
        <f>VLOOKUP(I1327,CHOOSE({1,2},Table17[Native],Table17[Name]),2,0)</f>
        <v>Wénshān Zhuàngzú Miáozú Zìzhìzhōu</v>
      </c>
      <c r="O1327" s="15" t="str">
        <f t="shared" si="40"/>
        <v>Zhela Xiang (Wénshān Zhuàngzú Miáozú Zìzhìzhōu)</v>
      </c>
      <c r="P1327" s="15" t="str">
        <f t="shared" si="41"/>
        <v>Zhela Xiang (Wénshān Zhuàngzú Miáozú Zìzhìzhōu)</v>
      </c>
    </row>
    <row r="1328" spans="1:16" hidden="1" x14ac:dyDescent="0.25">
      <c r="A1328" t="s">
        <v>2463</v>
      </c>
      <c r="B1328" t="str">
        <f>IF(COUNTIF(A:A,A1328)&gt;1,_xlfn.CONCAT(A1328," (",N1328,")"),A1328)</f>
        <v>Zhĕlóng Xiāng</v>
      </c>
      <c r="C1328" t="str">
        <f>IF(COUNTIF(B:B,B1328)&gt;1,_xlfn.CONCAT(A1328," (",M1328,")"),B1328)</f>
        <v>Zhĕlóng Xiāng</v>
      </c>
      <c r="D1328" t="s">
        <v>2464</v>
      </c>
      <c r="E1328" t="s">
        <v>7</v>
      </c>
      <c r="F1328" t="str">
        <f>_xlfn.CONCAT(D1328,", ",H1328,", ",I1328,", ","云南省")</f>
        <v>者竜乡, 新平彝族傣族自治县, 玉溪市, 云南省</v>
      </c>
      <c r="G1328">
        <v>11907</v>
      </c>
      <c r="H1328" t="s">
        <v>2895</v>
      </c>
      <c r="I1328" t="s">
        <v>2888</v>
      </c>
      <c r="J1328" t="e">
        <f>VLOOKUP(F1328,[1]!china_towns_second__2[[Column1]:[Y]],3,FALSE)</f>
        <v>#N/A</v>
      </c>
      <c r="K1328" t="e">
        <f>VLOOKUP(F1328,[1]!china_towns_second__2[[Column1]:[Y]],2,FALSE)</f>
        <v>#N/A</v>
      </c>
      <c r="L1328" t="s">
        <v>4879</v>
      </c>
      <c r="M1328" t="str">
        <f>VLOOKUP(H1328,CHOOSE({1,2},Table17[Native],Table17[Name]),2,0)</f>
        <v>Xīnpíng Yízú Dăizú Zìzhìxiàn</v>
      </c>
      <c r="N1328" s="15" t="str">
        <f>VLOOKUP(I1328,CHOOSE({1,2},Table17[Native],Table17[Name]),2,0)</f>
        <v>Yùxī Shì</v>
      </c>
      <c r="O1328" s="15" t="str">
        <f t="shared" si="40"/>
        <v>Zhelong Xiang (Yùxī Shì)</v>
      </c>
      <c r="P1328" s="15" t="str">
        <f t="shared" si="41"/>
        <v>Zhelong Xiang (Yùxī Shì)</v>
      </c>
    </row>
    <row r="1329" spans="1:16" hidden="1" x14ac:dyDescent="0.25">
      <c r="A1329" t="s">
        <v>1023</v>
      </c>
      <c r="B1329" t="str">
        <f>IF(COUNTIF(A:A,A1329)&gt;1,_xlfn.CONCAT(A1329," (",N1329,")"),A1329)</f>
        <v>Zhĕmĭlāhù Lāhùzú Xiāng</v>
      </c>
      <c r="C1329" t="str">
        <f>IF(COUNTIF(B:B,B1329)&gt;1,_xlfn.CONCAT(A1329," (",M1329,")"),B1329)</f>
        <v>Zhĕmĭlāhù Lāhùzú Xiāng</v>
      </c>
      <c r="D1329" t="s">
        <v>1024</v>
      </c>
      <c r="E1329" t="s">
        <v>7</v>
      </c>
      <c r="F1329" t="str">
        <f>_xlfn.CONCAT(D1329,", ",H1329,", ",I1329,", ","云南省")</f>
        <v>者米拉祜族乡, 金平苗族瑶族傣族自治县, 红河哈尼族彝族自治州, 云南省</v>
      </c>
      <c r="G1329">
        <v>22481</v>
      </c>
      <c r="H1329" t="s">
        <v>2797</v>
      </c>
      <c r="I1329" t="s">
        <v>2792</v>
      </c>
      <c r="J1329" t="e">
        <f>VLOOKUP(F1329,[1]!china_towns_second__2[[Column1]:[Y]],3,FALSE)</f>
        <v>#N/A</v>
      </c>
      <c r="K1329" t="e">
        <f>VLOOKUP(F1329,[1]!china_towns_second__2[[Column1]:[Y]],2,FALSE)</f>
        <v>#N/A</v>
      </c>
      <c r="L1329" t="s">
        <v>4880</v>
      </c>
      <c r="M1329" t="str">
        <f>VLOOKUP(H1329,CHOOSE({1,2},Table17[Native],Table17[Name]),2,0)</f>
        <v>Jīnpíng Miáozú Yáozú Dăizú Zìzhìxiàn</v>
      </c>
      <c r="N1329" s="15" t="str">
        <f>VLOOKUP(I1329,CHOOSE({1,2},Table17[Native],Table17[Name]),2,0)</f>
        <v>Hónghé Hānízú Yízú Zìzhìzhōu</v>
      </c>
      <c r="O1329" s="15" t="str">
        <f t="shared" si="40"/>
        <v>Zhemilahu Lahuzu Xiang (Hónghé Hānízú Yízú Zìzhìzhōu)</v>
      </c>
      <c r="P1329" s="15" t="str">
        <f t="shared" si="41"/>
        <v>Zhemilahu Lahuzu Xiang (Hónghé Hānízú Yízú Zìzhìzhōu)</v>
      </c>
    </row>
    <row r="1330" spans="1:16" hidden="1" x14ac:dyDescent="0.25">
      <c r="A1330" t="s">
        <v>151</v>
      </c>
      <c r="B1330" t="str">
        <f>IF(COUNTIF(A:A,A1330)&gt;1,_xlfn.CONCAT(A1330," (",N1330,")"),A1330)</f>
        <v>Zhèn'ān Zhèn</v>
      </c>
      <c r="C1330" t="str">
        <f>IF(COUNTIF(B:B,B1330)&gt;1,_xlfn.CONCAT(A1330," (",M1330,")"),B1330)</f>
        <v>Zhèn'ān Zhèn</v>
      </c>
      <c r="D1330" t="s">
        <v>152</v>
      </c>
      <c r="E1330" t="s">
        <v>11</v>
      </c>
      <c r="F1330" t="str">
        <f>_xlfn.CONCAT(D1330,", ",H1330,", ",I1330,", ","云南省")</f>
        <v>镇安镇, 龙陵县, 保山市, 云南省</v>
      </c>
      <c r="G1330">
        <v>40162</v>
      </c>
      <c r="H1330" t="s">
        <v>2742</v>
      </c>
      <c r="I1330" t="s">
        <v>2739</v>
      </c>
      <c r="J1330">
        <f>VLOOKUP(F1330,[1]!china_towns_second__2[[Column1]:[Y]],3,FALSE)</f>
        <v>24.735928754622702</v>
      </c>
      <c r="K1330">
        <f>VLOOKUP(F1330,[1]!china_towns_second__2[[Column1]:[Y]],2,FALSE)</f>
        <v>98.836763529999999</v>
      </c>
      <c r="L1330" t="s">
        <v>4881</v>
      </c>
      <c r="M1330" t="str">
        <f>VLOOKUP(H1330,CHOOSE({1,2},Table17[Native],Table17[Name]),2,0)</f>
        <v>Lónglíng Xiàn</v>
      </c>
      <c r="N1330" s="15" t="str">
        <f>VLOOKUP(I1330,CHOOSE({1,2},Table17[Native],Table17[Name]),2,0)</f>
        <v>Băoshān Shì</v>
      </c>
      <c r="O1330" s="15" t="str">
        <f t="shared" si="40"/>
        <v>Zhen'an Zhen (Băoshān Shì)</v>
      </c>
      <c r="P1330" s="15" t="str">
        <f t="shared" si="41"/>
        <v>Zhen'an Zhen (Băoshān Shì)</v>
      </c>
    </row>
    <row r="1331" spans="1:16" hidden="1" x14ac:dyDescent="0.25">
      <c r="A1331" t="s">
        <v>1843</v>
      </c>
      <c r="B1331" t="str">
        <f>IF(COUNTIF(A:A,A1331)&gt;1,_xlfn.CONCAT(A1331," (",N1331,")"),A1331)</f>
        <v>Zhĕngdŏng Zhèn</v>
      </c>
      <c r="C1331" t="str">
        <f>IF(COUNTIF(B:B,B1331)&gt;1,_xlfn.CONCAT(A1331," (",M1331,")"),B1331)</f>
        <v>Zhĕngdŏng Zhèn</v>
      </c>
      <c r="D1331" t="s">
        <v>1844</v>
      </c>
      <c r="E1331" t="s">
        <v>11</v>
      </c>
      <c r="F1331" t="str">
        <f>_xlfn.CONCAT(D1331,", ",H1331,", ",I1331,", ","云南省")</f>
        <v>整董镇, 江城哈尼族彝族自治县, 普洱市, 云南省</v>
      </c>
      <c r="G1331">
        <v>12185</v>
      </c>
      <c r="H1331" t="s">
        <v>2849</v>
      </c>
      <c r="I1331" t="s">
        <v>2848</v>
      </c>
      <c r="J1331">
        <f>VLOOKUP(F1331,[1]!china_towns_second__2[[Column1]:[Y]],3,FALSE)</f>
        <v>22.4530937817431</v>
      </c>
      <c r="K1331">
        <f>VLOOKUP(F1331,[1]!china_towns_second__2[[Column1]:[Y]],2,FALSE)</f>
        <v>101.5556394</v>
      </c>
      <c r="L1331" t="s">
        <v>4882</v>
      </c>
      <c r="M1331" t="str">
        <f>VLOOKUP(H1331,CHOOSE({1,2},Table17[Native],Table17[Name]),2,0)</f>
        <v>Jiāngchéng Hānízú Yízú Zìzhìxiàn</v>
      </c>
      <c r="N1331" s="15" t="str">
        <f>VLOOKUP(I1331,CHOOSE({1,2},Table17[Native],Table17[Name]),2,0)</f>
        <v>Pŭ'ĕr Shì</v>
      </c>
      <c r="O1331" s="15" t="str">
        <f t="shared" si="40"/>
        <v>Zhengdong Zhen (Pŭ'ĕr Shì)</v>
      </c>
      <c r="P1331" s="15" t="str">
        <f t="shared" si="41"/>
        <v>Zhengdong Zhen (Pŭ'ĕr Shì)</v>
      </c>
    </row>
    <row r="1332" spans="1:16" hidden="1" x14ac:dyDescent="0.25">
      <c r="A1332" t="s">
        <v>1845</v>
      </c>
      <c r="B1332" t="str">
        <f>IF(COUNTIF(A:A,A1332)&gt;1,_xlfn.CONCAT(A1332," (",N1332,")"),A1332)</f>
        <v>Zhèngxīng Zhèn</v>
      </c>
      <c r="C1332" t="str">
        <f>IF(COUNTIF(B:B,B1332)&gt;1,_xlfn.CONCAT(A1332," (",M1332,")"),B1332)</f>
        <v>Zhèngxīng Zhèn</v>
      </c>
      <c r="D1332" t="s">
        <v>1846</v>
      </c>
      <c r="E1332" t="s">
        <v>11</v>
      </c>
      <c r="F1332" t="str">
        <f>_xlfn.CONCAT(D1332,", ",H1332,", ",I1332,", ","云南省")</f>
        <v>正兴镇, 景谷傣族彝族自治县, 普洱市, 云南省</v>
      </c>
      <c r="G1332">
        <v>17542</v>
      </c>
      <c r="H1332" t="s">
        <v>2851</v>
      </c>
      <c r="I1332" t="s">
        <v>2848</v>
      </c>
      <c r="J1332">
        <f>VLOOKUP(F1332,[1]!china_towns_second__2[[Column1]:[Y]],3,FALSE)</f>
        <v>23.3371788346155</v>
      </c>
      <c r="K1332">
        <f>VLOOKUP(F1332,[1]!china_towns_second__2[[Column1]:[Y]],2,FALSE)</f>
        <v>100.93091080000001</v>
      </c>
      <c r="L1332" t="s">
        <v>4883</v>
      </c>
      <c r="M1332" t="str">
        <f>VLOOKUP(H1332,CHOOSE({1,2},Table17[Native],Table17[Name]),2,0)</f>
        <v>Jĭnggŭ Dăizú Yízú Zìzhìxiàn</v>
      </c>
      <c r="N1332" s="15" t="str">
        <f>VLOOKUP(I1332,CHOOSE({1,2},Table17[Native],Table17[Name]),2,0)</f>
        <v>Pŭ'ĕr Shì</v>
      </c>
      <c r="O1332" s="15" t="str">
        <f t="shared" si="40"/>
        <v>Zhengxing Zhen (Pŭ'ĕr Shì)</v>
      </c>
      <c r="P1332" s="15" t="str">
        <f t="shared" si="41"/>
        <v>Zhengxing Zhen (Pŭ'ĕr Shì)</v>
      </c>
    </row>
    <row r="1333" spans="1:16" hidden="1" x14ac:dyDescent="0.25">
      <c r="A1333" t="s">
        <v>1847</v>
      </c>
      <c r="B1333" t="str">
        <f>IF(COUNTIF(A:A,A1333)&gt;1,_xlfn.CONCAT(A1333," (",N1333,")"),A1333)</f>
        <v>Zhèntài Zhèn</v>
      </c>
      <c r="C1333" t="str">
        <f>IF(COUNTIF(B:B,B1333)&gt;1,_xlfn.CONCAT(A1333," (",M1333,")"),B1333)</f>
        <v>Zhèntài Zhèn</v>
      </c>
      <c r="D1333" t="s">
        <v>1848</v>
      </c>
      <c r="E1333" t="s">
        <v>11</v>
      </c>
      <c r="F1333" t="str">
        <f>_xlfn.CONCAT(D1333,", ",H1333,", ",I1333,", ","云南省")</f>
        <v>振太镇, 镇沅彝族哈尼族拉祜族自治县, 普洱市, 云南省</v>
      </c>
      <c r="G1333">
        <v>33085</v>
      </c>
      <c r="H1333" t="s">
        <v>2858</v>
      </c>
      <c r="I1333" t="s">
        <v>2848</v>
      </c>
      <c r="J1333">
        <f>VLOOKUP(F1333,[1]!china_towns_second__2[[Column1]:[Y]],3,FALSE)</f>
        <v>23.921891563466598</v>
      </c>
      <c r="K1333">
        <f>VLOOKUP(F1333,[1]!china_towns_second__2[[Column1]:[Y]],2,FALSE)</f>
        <v>100.570835</v>
      </c>
      <c r="L1333" t="s">
        <v>4884</v>
      </c>
      <c r="M1333" t="str">
        <f>VLOOKUP(H1333,CHOOSE({1,2},Table17[Native],Table17[Name]),2,0)</f>
        <v>Zhènyuán Yízú Hānízú Lāhùzú Zìzhìxiàn</v>
      </c>
      <c r="N1333" s="15" t="str">
        <f>VLOOKUP(I1333,CHOOSE({1,2},Table17[Native],Table17[Name]),2,0)</f>
        <v>Pŭ'ĕr Shì</v>
      </c>
      <c r="O1333" s="15" t="str">
        <f t="shared" si="40"/>
        <v>Zhentai Zhen (Pŭ'ĕr Shì)</v>
      </c>
      <c r="P1333" s="15" t="str">
        <f t="shared" si="41"/>
        <v>Zhentai Zhen (Pŭ'ĕr Shì)</v>
      </c>
    </row>
    <row r="1334" spans="1:16" hidden="1" x14ac:dyDescent="0.25">
      <c r="A1334" t="s">
        <v>2242</v>
      </c>
      <c r="B1334" t="str">
        <f>IF(COUNTIF(A:A,A1334)&gt;1,_xlfn.CONCAT(A1334," (",N1334,")"),A1334)</f>
        <v>Zhĕsāng Xiāng</v>
      </c>
      <c r="C1334" t="str">
        <f>IF(COUNTIF(B:B,B1334)&gt;1,_xlfn.CONCAT(A1334," (",M1334,")"),B1334)</f>
        <v>Zhĕsāng Xiāng</v>
      </c>
      <c r="D1334" t="s">
        <v>2243</v>
      </c>
      <c r="E1334" t="s">
        <v>7</v>
      </c>
      <c r="F1334" t="str">
        <f>_xlfn.CONCAT(D1334,", ",H1334,", ",I1334,", ","云南省")</f>
        <v>者桑乡, 富宁县, 文山壮族苗族自治州, 云南省</v>
      </c>
      <c r="G1334">
        <v>14345</v>
      </c>
      <c r="H1334" t="s">
        <v>2873</v>
      </c>
      <c r="I1334" t="s">
        <v>2872</v>
      </c>
      <c r="J1334" t="e">
        <f>VLOOKUP(F1334,[1]!china_towns_second__2[[Column1]:[Y]],3,FALSE)</f>
        <v>#N/A</v>
      </c>
      <c r="K1334" t="e">
        <f>VLOOKUP(F1334,[1]!china_towns_second__2[[Column1]:[Y]],2,FALSE)</f>
        <v>#N/A</v>
      </c>
      <c r="L1334" t="s">
        <v>4885</v>
      </c>
      <c r="M1334" t="str">
        <f>VLOOKUP(H1334,CHOOSE({1,2},Table17[Native],Table17[Name]),2,0)</f>
        <v>Fùníng Xiàn</v>
      </c>
      <c r="N1334" s="15" t="str">
        <f>VLOOKUP(I1334,CHOOSE({1,2},Table17[Native],Table17[Name]),2,0)</f>
        <v>Wénshān Zhuàngzú Miáozú Zìzhìzhōu</v>
      </c>
      <c r="O1334" s="15" t="str">
        <f t="shared" si="40"/>
        <v>Zhesang Xiang (Wénshān Zhuàngzú Miáozú Zìzhìzhōu)</v>
      </c>
      <c r="P1334" s="15" t="str">
        <f t="shared" si="41"/>
        <v>Zhesang Xiang (Wénshān Zhuàngzú Miáozú Zìzhìzhōu)</v>
      </c>
    </row>
    <row r="1335" spans="1:16" hidden="1" x14ac:dyDescent="0.25">
      <c r="A1335" t="s">
        <v>2244</v>
      </c>
      <c r="B1335" t="str">
        <f>IF(COUNTIF(A:A,A1335)&gt;1,_xlfn.CONCAT(A1335," (",N1335,")"),A1335)</f>
        <v>Zhĕtài Xiāng</v>
      </c>
      <c r="C1335" t="str">
        <f>IF(COUNTIF(B:B,B1335)&gt;1,_xlfn.CONCAT(A1335," (",M1335,")"),B1335)</f>
        <v>Zhĕtài Xiāng</v>
      </c>
      <c r="D1335" t="s">
        <v>2245</v>
      </c>
      <c r="E1335" t="s">
        <v>7</v>
      </c>
      <c r="F1335" t="str">
        <f>_xlfn.CONCAT(D1335,", ",H1335,", ",I1335,", ","云南省")</f>
        <v>者太乡, 广南县, 文山壮族苗族自治州, 云南省</v>
      </c>
      <c r="G1335">
        <v>17781</v>
      </c>
      <c r="H1335" t="s">
        <v>2874</v>
      </c>
      <c r="I1335" t="s">
        <v>2872</v>
      </c>
      <c r="J1335" t="e">
        <f>VLOOKUP(F1335,[1]!china_towns_second__2[[Column1]:[Y]],3,FALSE)</f>
        <v>#N/A</v>
      </c>
      <c r="K1335" t="e">
        <f>VLOOKUP(F1335,[1]!china_towns_second__2[[Column1]:[Y]],2,FALSE)</f>
        <v>#N/A</v>
      </c>
      <c r="L1335" t="s">
        <v>4886</v>
      </c>
      <c r="M1335" t="str">
        <f>VLOOKUP(H1335,CHOOSE({1,2},Table17[Native],Table17[Name]),2,0)</f>
        <v>Guăngnán Xiàn</v>
      </c>
      <c r="N1335" s="15" t="str">
        <f>VLOOKUP(I1335,CHOOSE({1,2},Table17[Native],Table17[Name]),2,0)</f>
        <v>Wénshān Zhuàngzú Miáozú Zìzhìzhōu</v>
      </c>
      <c r="O1335" s="15" t="str">
        <f t="shared" si="40"/>
        <v>Zhetai Xiang (Wénshān Zhuàngzú Miáozú Zìzhìzhōu)</v>
      </c>
      <c r="P1335" s="15" t="str">
        <f t="shared" si="41"/>
        <v>Zhetai Xiang (Wénshān Zhuàngzú Miáozú Zìzhìzhōu)</v>
      </c>
    </row>
    <row r="1336" spans="1:16" hidden="1" x14ac:dyDescent="0.25">
      <c r="A1336" t="s">
        <v>2246</v>
      </c>
      <c r="B1336" t="str">
        <f>IF(COUNTIF(A:A,A1336)&gt;1,_xlfn.CONCAT(A1336," (",N1336,")"),A1336)</f>
        <v>Zhĕtù Xiāng</v>
      </c>
      <c r="C1336" t="str">
        <f>IF(COUNTIF(B:B,B1336)&gt;1,_xlfn.CONCAT(A1336," (",M1336,")"),B1336)</f>
        <v>Zhĕtù Xiāng</v>
      </c>
      <c r="D1336" t="s">
        <v>2247</v>
      </c>
      <c r="E1336" t="s">
        <v>7</v>
      </c>
      <c r="F1336" t="str">
        <f>_xlfn.CONCAT(D1336,", ",H1336,", ",I1336,", ","云南省")</f>
        <v>者兔乡, 广南县, 文山壮族苗族自治州, 云南省</v>
      </c>
      <c r="G1336">
        <v>37526</v>
      </c>
      <c r="H1336" t="s">
        <v>2874</v>
      </c>
      <c r="I1336" t="s">
        <v>2872</v>
      </c>
      <c r="J1336" t="e">
        <f>VLOOKUP(F1336,[1]!china_towns_second__2[[Column1]:[Y]],3,FALSE)</f>
        <v>#N/A</v>
      </c>
      <c r="K1336" t="e">
        <f>VLOOKUP(F1336,[1]!china_towns_second__2[[Column1]:[Y]],2,FALSE)</f>
        <v>#N/A</v>
      </c>
      <c r="L1336" t="s">
        <v>4887</v>
      </c>
      <c r="M1336" t="str">
        <f>VLOOKUP(H1336,CHOOSE({1,2},Table17[Native],Table17[Name]),2,0)</f>
        <v>Guăngnán Xiàn</v>
      </c>
      <c r="N1336" s="15" t="str">
        <f>VLOOKUP(I1336,CHOOSE({1,2},Table17[Native],Table17[Name]),2,0)</f>
        <v>Wénshān Zhuàngzú Miáozú Zìzhìzhōu</v>
      </c>
      <c r="O1336" s="15" t="str">
        <f t="shared" si="40"/>
        <v>Zhetu Xiang (Wénshān Zhuàngzú Miáozú Zìzhìzhōu)</v>
      </c>
      <c r="P1336" s="15" t="str">
        <f t="shared" si="41"/>
        <v>Zhetu Xiang (Wénshān Zhuàngzú Miáozú Zìzhìzhōu)</v>
      </c>
    </row>
    <row r="1337" spans="1:16" hidden="1" x14ac:dyDescent="0.25">
      <c r="A1337" t="s">
        <v>2049</v>
      </c>
      <c r="B1337" t="str">
        <f>IF(COUNTIF(A:A,A1337)&gt;1,_xlfn.CONCAT(A1337," (",N1337,")"),A1337)</f>
        <v>Zhĭchăng Xiāng</v>
      </c>
      <c r="C1337" t="str">
        <f>IF(COUNTIF(B:B,B1337)&gt;1,_xlfn.CONCAT(A1337," (",M1337,")"),B1337)</f>
        <v>Zhĭchăng Xiāng</v>
      </c>
      <c r="D1337" t="s">
        <v>2050</v>
      </c>
      <c r="E1337" t="s">
        <v>7</v>
      </c>
      <c r="F1337" t="str">
        <f>_xlfn.CONCAT(D1337,", ",H1337,", ",I1337,", ","云南省")</f>
        <v>纸厂乡, 会泽县, 曲靖市, 云南省</v>
      </c>
      <c r="G1337">
        <v>16729</v>
      </c>
      <c r="H1337" t="s">
        <v>2862</v>
      </c>
      <c r="I1337" t="s">
        <v>2860</v>
      </c>
      <c r="J1337" t="e">
        <f>VLOOKUP(F1337,[1]!china_towns_second__2[[Column1]:[Y]],3,FALSE)</f>
        <v>#N/A</v>
      </c>
      <c r="K1337" t="e">
        <f>VLOOKUP(F1337,[1]!china_towns_second__2[[Column1]:[Y]],2,FALSE)</f>
        <v>#N/A</v>
      </c>
      <c r="L1337" t="s">
        <v>4888</v>
      </c>
      <c r="M1337" t="str">
        <f>VLOOKUP(H1337,CHOOSE({1,2},Table17[Native],Table17[Name]),2,0)</f>
        <v>Huìzé Xiàn</v>
      </c>
      <c r="N1337" s="15" t="str">
        <f>VLOOKUP(I1337,CHOOSE({1,2},Table17[Native],Table17[Name]),2,0)</f>
        <v>Qŭjìng Shì</v>
      </c>
      <c r="O1337" s="15" t="str">
        <f t="shared" si="40"/>
        <v>Zhichang Xiang (Qŭjìng Shì)</v>
      </c>
      <c r="P1337" s="15" t="str">
        <f t="shared" si="41"/>
        <v>Zhichang Xiang (Qŭjìng Shì)</v>
      </c>
    </row>
    <row r="1338" spans="1:16" hidden="1" x14ac:dyDescent="0.25">
      <c r="A1338" t="s">
        <v>1025</v>
      </c>
      <c r="B1338" t="str">
        <f>IF(COUNTIF(A:A,A1338)&gt;1,_xlfn.CONCAT(A1338," (",N1338,")"),A1338)</f>
        <v>Zhĭcūn Zhèn</v>
      </c>
      <c r="C1338" t="str">
        <f>IF(COUNTIF(B:B,B1338)&gt;1,_xlfn.CONCAT(A1338," (",M1338,")"),B1338)</f>
        <v>Zhĭcūn Zhèn</v>
      </c>
      <c r="D1338" t="s">
        <v>1026</v>
      </c>
      <c r="E1338" t="s">
        <v>11</v>
      </c>
      <c r="F1338" t="str">
        <f>_xlfn.CONCAT(D1338,", ",H1338,", ",I1338,", ","云南省")</f>
        <v>芷村镇, 蒙自市, 红河哈尼族彝族自治州, 云南省</v>
      </c>
      <c r="G1338">
        <v>39420</v>
      </c>
      <c r="H1338" t="s">
        <v>2801</v>
      </c>
      <c r="I1338" t="s">
        <v>2792</v>
      </c>
      <c r="J1338">
        <f>VLOOKUP(F1338,[1]!china_towns_second__2[[Column1]:[Y]],3,FALSE)</f>
        <v>23.341918889943798</v>
      </c>
      <c r="K1338">
        <f>VLOOKUP(F1338,[1]!china_towns_second__2[[Column1]:[Y]],2,FALSE)</f>
        <v>103.57381359999999</v>
      </c>
      <c r="L1338" t="s">
        <v>4889</v>
      </c>
      <c r="M1338" t="str">
        <f>VLOOKUP(H1338,CHOOSE({1,2},Table17[Native],Table17[Name]),2,0)</f>
        <v>Mĕngzì Shì</v>
      </c>
      <c r="N1338" s="15" t="str">
        <f>VLOOKUP(I1338,CHOOSE({1,2},Table17[Native],Table17[Name]),2,0)</f>
        <v>Hónghé Hānízú Yízú Zìzhìzhōu</v>
      </c>
      <c r="O1338" s="15" t="str">
        <f t="shared" si="40"/>
        <v>Zhicun Zhen (Hónghé Hānízú Yízú Zìzhìzhōu)</v>
      </c>
      <c r="P1338" s="15" t="str">
        <f t="shared" si="41"/>
        <v>Zhicun Zhen (Hónghé Hānízú Yízú Zìzhìzhōu)</v>
      </c>
    </row>
    <row r="1339" spans="1:16" hidden="1" x14ac:dyDescent="0.25">
      <c r="A1339" t="s">
        <v>703</v>
      </c>
      <c r="B1339" t="str">
        <f>IF(COUNTIF(A:A,A1339)&gt;1,_xlfn.CONCAT(A1339," (",N1339,")"),A1339)</f>
        <v>Zhīnèi Xiāng</v>
      </c>
      <c r="C1339" t="str">
        <f>IF(COUNTIF(B:B,B1339)&gt;1,_xlfn.CONCAT(A1339," (",M1339,")"),B1339)</f>
        <v>Zhīnèi Xiāng</v>
      </c>
      <c r="D1339" t="s">
        <v>704</v>
      </c>
      <c r="E1339" t="s">
        <v>7</v>
      </c>
      <c r="F1339" t="str">
        <f>_xlfn.CONCAT(D1339,", ",H1339,", ",I1339,", ","云南省")</f>
        <v>支那乡, 盈江县, 德宏傣族景颇族自治州, 云南省</v>
      </c>
      <c r="G1339">
        <v>13765</v>
      </c>
      <c r="H1339" t="s">
        <v>2784</v>
      </c>
      <c r="I1339" t="s">
        <v>2779</v>
      </c>
      <c r="J1339" t="e">
        <f>VLOOKUP(F1339,[1]!china_towns_second__2[[Column1]:[Y]],3,FALSE)</f>
        <v>#N/A</v>
      </c>
      <c r="K1339" t="e">
        <f>VLOOKUP(F1339,[1]!china_towns_second__2[[Column1]:[Y]],2,FALSE)</f>
        <v>#N/A</v>
      </c>
      <c r="L1339" t="s">
        <v>4890</v>
      </c>
      <c r="M1339" t="str">
        <f>VLOOKUP(H1339,CHOOSE({1,2},Table17[Native],Table17[Name]),2,0)</f>
        <v>Yíngjiāng Xiàn</v>
      </c>
      <c r="N1339" s="15" t="str">
        <f>VLOOKUP(I1339,CHOOSE({1,2},Table17[Native],Table17[Name]),2,0)</f>
        <v>Déhóng Dăizú Jĭngpōzú Zìzhìzhōu</v>
      </c>
      <c r="O1339" s="15" t="str">
        <f t="shared" si="40"/>
        <v>Zhinei Xiang (Déhóng Dăizú Jĭngpōzú Zìzhìzhōu)</v>
      </c>
      <c r="P1339" s="15" t="str">
        <f t="shared" si="41"/>
        <v>Zhinei Xiang (Déhóng Dăizú Jĭngpōzú Zìzhìzhōu)</v>
      </c>
    </row>
    <row r="1340" spans="1:16" hidden="1" x14ac:dyDescent="0.25">
      <c r="A1340" t="s">
        <v>2051</v>
      </c>
      <c r="B1340" t="str">
        <f>IF(COUNTIF(A:A,A1340)&gt;1,_xlfn.CONCAT(A1340," (",N1340,")"),A1340)</f>
        <v>Zhōng'ān Zhèn [incl. Zhōng'ān Jiēdào, Shèngjìng Jiēdào]</v>
      </c>
      <c r="C1340" t="str">
        <f>IF(COUNTIF(B:B,B1340)&gt;1,_xlfn.CONCAT(A1340," (",M1340,")"),B1340)</f>
        <v>Zhōng'ān Zhèn [incl. Zhōng'ān Jiēdào, Shèngjìng Jiēdào]</v>
      </c>
      <c r="D1340" t="s">
        <v>2052</v>
      </c>
      <c r="E1340" t="s">
        <v>11</v>
      </c>
      <c r="F1340" t="str">
        <f>_xlfn.CONCAT(D1340,", ",H1340,", ",I1340,", ","云南省")</f>
        <v>中安镇, 富源县, 曲靖市, 云南省</v>
      </c>
      <c r="G1340">
        <v>125701</v>
      </c>
      <c r="H1340" t="s">
        <v>2861</v>
      </c>
      <c r="I1340" t="s">
        <v>2860</v>
      </c>
      <c r="J1340">
        <f>VLOOKUP(F1340,[1]!china_towns_second__2[[Column1]:[Y]],3,FALSE)</f>
        <v>25.6571083216215</v>
      </c>
      <c r="K1340">
        <f>VLOOKUP(F1340,[1]!china_towns_second__2[[Column1]:[Y]],2,FALSE)</f>
        <v>104.1800506</v>
      </c>
      <c r="L1340" t="s">
        <v>4891</v>
      </c>
      <c r="M1340" t="str">
        <f>VLOOKUP(H1340,CHOOSE({1,2},Table17[Native],Table17[Name]),2,0)</f>
        <v>Fùyuán Xiàn</v>
      </c>
      <c r="N1340" s="15" t="str">
        <f>VLOOKUP(I1340,CHOOSE({1,2},Table17[Native],Table17[Name]),2,0)</f>
        <v>Qŭjìng Shì</v>
      </c>
      <c r="O1340" s="15" t="str">
        <f t="shared" si="40"/>
        <v>Zhong'an Zhen [incl. Zhong'an Jiedao, Shengjing Jiedao] (Qŭjìng Shì)</v>
      </c>
      <c r="P1340" s="15" t="str">
        <f t="shared" si="41"/>
        <v>Zhong'an Zhen [incl. Zhong'an Jiedao, Shengjing Jiedao] (Qŭjìng Shì)</v>
      </c>
    </row>
    <row r="1341" spans="1:16" hidden="1" x14ac:dyDescent="0.25">
      <c r="A1341" t="s">
        <v>2729</v>
      </c>
      <c r="B1341" t="str">
        <f>IF(COUNTIF(A:A,A1341)&gt;1,_xlfn.CONCAT(A1341," (",N1341,")"),A1341)</f>
        <v>Zhōngchéng Zhèn</v>
      </c>
      <c r="C1341" t="str">
        <f>IF(COUNTIF(B:B,B1341)&gt;1,_xlfn.CONCAT(A1341," (",M1341,")"),B1341)</f>
        <v>Zhōngchéng Zhèn</v>
      </c>
      <c r="D1341" t="s">
        <v>2730</v>
      </c>
      <c r="E1341" t="s">
        <v>11</v>
      </c>
      <c r="F1341" t="str">
        <f>_xlfn.CONCAT(D1341,", ",H1341,", ",I1341,", ","云南省")</f>
        <v>中城镇, 绥江县, 昭通市, 云南省</v>
      </c>
      <c r="G1341">
        <v>75425</v>
      </c>
      <c r="H1341" t="s">
        <v>2904</v>
      </c>
      <c r="I1341" t="s">
        <v>2899</v>
      </c>
      <c r="J1341">
        <f>VLOOKUP(F1341,[1]!china_towns_second__2[[Column1]:[Y]],3,FALSE)</f>
        <v>28.542261557957399</v>
      </c>
      <c r="K1341">
        <f>VLOOKUP(F1341,[1]!china_towns_second__2[[Column1]:[Y]],2,FALSE)</f>
        <v>103.93704339999999</v>
      </c>
      <c r="L1341" t="s">
        <v>4892</v>
      </c>
      <c r="M1341" t="str">
        <f>VLOOKUP(H1341,CHOOSE({1,2},Table17[Native],Table17[Name]),2,0)</f>
        <v>Suíjiāng Xiàn</v>
      </c>
      <c r="N1341" s="15" t="str">
        <f>VLOOKUP(I1341,CHOOSE({1,2},Table17[Native],Table17[Name]),2,0)</f>
        <v>Zhāotōng Shì</v>
      </c>
      <c r="O1341" s="15" t="str">
        <f t="shared" si="40"/>
        <v>Zhongcheng Zhen (Zhāotōng Shì)</v>
      </c>
      <c r="P1341" s="15" t="str">
        <f t="shared" si="41"/>
        <v>Zhongcheng Zhen (Zhāotōng Shì)</v>
      </c>
    </row>
    <row r="1342" spans="1:16" hidden="1" x14ac:dyDescent="0.25">
      <c r="A1342" t="s">
        <v>357</v>
      </c>
      <c r="B1342" t="str">
        <f>IF(COUNTIF(A:A,A1342)&gt;1,_xlfn.CONCAT(A1342," (",N1342,")"),A1342)</f>
        <v>Zhōngcūn Xiāng</v>
      </c>
      <c r="C1342" t="str">
        <f>IF(COUNTIF(B:B,B1342)&gt;1,_xlfn.CONCAT(A1342," (",M1342,")"),B1342)</f>
        <v>Zhōngcūn Xiāng</v>
      </c>
      <c r="D1342" t="s">
        <v>358</v>
      </c>
      <c r="E1342" t="s">
        <v>7</v>
      </c>
      <c r="F1342" t="str">
        <f>_xlfn.CONCAT(D1342,", ",H1342,", ",I1342,", ","云南省")</f>
        <v>中村乡, 禄丰县, 楚雄彝族自治州, 云南省</v>
      </c>
      <c r="G1342">
        <v>16166</v>
      </c>
      <c r="H1342" t="s">
        <v>2753</v>
      </c>
      <c r="I1342" t="s">
        <v>2750</v>
      </c>
      <c r="J1342" t="e">
        <f>VLOOKUP(F1342,[1]!china_towns_second__2[[Column1]:[Y]],3,FALSE)</f>
        <v>#N/A</v>
      </c>
      <c r="K1342" t="e">
        <f>VLOOKUP(F1342,[1]!china_towns_second__2[[Column1]:[Y]],2,FALSE)</f>
        <v>#N/A</v>
      </c>
      <c r="L1342" t="s">
        <v>4893</v>
      </c>
      <c r="M1342" t="str">
        <f>VLOOKUP(H1342,CHOOSE({1,2},Table17[Native],Table17[Name]),2,0)</f>
        <v>Lùfēng Xiàn</v>
      </c>
      <c r="N1342" s="15" t="str">
        <f>VLOOKUP(I1342,CHOOSE({1,2},Table17[Native],Table17[Name]),2,0)</f>
        <v>Chŭxióng Yízú Zìzhìzhōu</v>
      </c>
      <c r="O1342" s="15" t="str">
        <f t="shared" si="40"/>
        <v>Zhongcun Xiang (Chŭxióng Yízú Zìzhìzhōu)</v>
      </c>
      <c r="P1342" s="15" t="str">
        <f t="shared" si="41"/>
        <v>Zhongcun Xiang (Chŭxióng Yízú Zìzhìzhōu)</v>
      </c>
    </row>
    <row r="1343" spans="1:16" hidden="1" x14ac:dyDescent="0.25">
      <c r="A1343" t="s">
        <v>153</v>
      </c>
      <c r="B1343" t="str">
        <f>IF(COUNTIF(A:A,A1343)&gt;1,_xlfn.CONCAT(A1343," (",N1343,")"),A1343)</f>
        <v>Zhōnghé Zhèn (Băoshān Shì)</v>
      </c>
      <c r="C1343" t="str">
        <f>IF(COUNTIF(B:B,B1343)&gt;1,_xlfn.CONCAT(A1343," (",M1343,")"),B1343)</f>
        <v>Zhōnghé Zhèn (Băoshān Shì)</v>
      </c>
      <c r="D1343" t="s">
        <v>154</v>
      </c>
      <c r="E1343" t="s">
        <v>11</v>
      </c>
      <c r="F1343" t="str">
        <f>_xlfn.CONCAT(D1343,", ",H1343,", ",I1343,", ","云南省")</f>
        <v>中和镇, 腾冲市, 保山市, 云南省</v>
      </c>
      <c r="G1343">
        <v>37682</v>
      </c>
      <c r="H1343" t="s">
        <v>2747</v>
      </c>
      <c r="I1343" t="s">
        <v>2739</v>
      </c>
      <c r="J1343">
        <f>VLOOKUP(F1343,[1]!china_towns_second__2[[Column1]:[Y]],3,FALSE)</f>
        <v>25.0669915342034</v>
      </c>
      <c r="K1343">
        <f>VLOOKUP(F1343,[1]!china_towns_second__2[[Column1]:[Y]],2,FALSE)</f>
        <v>98.343013810000002</v>
      </c>
      <c r="L1343" t="s">
        <v>4894</v>
      </c>
      <c r="M1343" t="str">
        <f>VLOOKUP(H1343,CHOOSE({1,2},Table17[Native],Table17[Name]),2,0)</f>
        <v>Téngchōng Shì</v>
      </c>
      <c r="N1343" s="15" t="str">
        <f>VLOOKUP(I1343,CHOOSE({1,2},Table17[Native],Table17[Name]),2,0)</f>
        <v>Băoshān Shì</v>
      </c>
      <c r="O1343" s="15" t="str">
        <f t="shared" si="40"/>
        <v>Zhonghe Zhen (Baoshan Shi) (Băoshān Shì)</v>
      </c>
      <c r="P1343" s="15" t="str">
        <f t="shared" si="41"/>
        <v>Zhonghe Zhen (Baoshan Shi) (Băoshān Shì)</v>
      </c>
    </row>
    <row r="1344" spans="1:16" hidden="1" x14ac:dyDescent="0.25">
      <c r="A1344" t="s">
        <v>153</v>
      </c>
      <c r="B1344" t="str">
        <f>IF(COUNTIF(A:A,A1344)&gt;1,_xlfn.CONCAT(A1344," (",N1344,")"),A1344)</f>
        <v>Zhōnghé Zhèn (Chŭxióng Yízú Zìzhìzhōu)</v>
      </c>
      <c r="C1344" t="str">
        <f>IF(COUNTIF(B:B,B1344)&gt;1,_xlfn.CONCAT(A1344," (",M1344,")"),B1344)</f>
        <v>Zhōnghé Zhèn (Chŭxióng Yízú Zìzhìzhōu)</v>
      </c>
      <c r="D1344" t="s">
        <v>154</v>
      </c>
      <c r="E1344" t="s">
        <v>11</v>
      </c>
      <c r="F1344" t="str">
        <f>_xlfn.CONCAT(D1344,", ",H1344,", ",I1344,", ","云南省")</f>
        <v>中和镇, 永仁县, 楚雄彝族自治州, 云南省</v>
      </c>
      <c r="G1344">
        <v>11447</v>
      </c>
      <c r="H1344" t="s">
        <v>2759</v>
      </c>
      <c r="I1344" t="s">
        <v>2750</v>
      </c>
      <c r="J1344">
        <f>VLOOKUP(F1344,[1]!china_towns_second__2[[Column1]:[Y]],3,FALSE)</f>
        <v>26.156085873121</v>
      </c>
      <c r="K1344">
        <f>VLOOKUP(F1344,[1]!china_towns_second__2[[Column1]:[Y]],2,FALSE)</f>
        <v>101.4326554</v>
      </c>
      <c r="L1344" t="s">
        <v>4895</v>
      </c>
      <c r="M1344" t="str">
        <f>VLOOKUP(H1344,CHOOSE({1,2},Table17[Native],Table17[Name]),2,0)</f>
        <v>Yŏngrén Xiàn</v>
      </c>
      <c r="N1344" s="15" t="str">
        <f>VLOOKUP(I1344,CHOOSE({1,2},Table17[Native],Table17[Name]),2,0)</f>
        <v>Chŭxióng Yízú Zìzhìzhōu</v>
      </c>
      <c r="O1344" s="15" t="str">
        <f t="shared" si="40"/>
        <v>Zhonghe Zhen (Chuxiong Yizu Zizhizhou) (Chŭxióng Yízú Zìzhìzhōu)</v>
      </c>
      <c r="P1344" s="15" t="str">
        <f t="shared" si="41"/>
        <v>Zhonghe Zhen (Chuxiong Yizu Zizhizhou) (Chŭxióng Yízú Zìzhìzhōu)</v>
      </c>
    </row>
    <row r="1345" spans="1:16" hidden="1" x14ac:dyDescent="0.25">
      <c r="A1345" t="s">
        <v>153</v>
      </c>
      <c r="B1345" t="str">
        <f>IF(COUNTIF(A:A,A1345)&gt;1,_xlfn.CONCAT(A1345," (",N1345,")"),A1345)</f>
        <v>Zhōnghé Zhèn (Zhāotōng Shì)</v>
      </c>
      <c r="C1345" t="str">
        <f>IF(COUNTIF(B:B,B1345)&gt;1,_xlfn.CONCAT(A1345," (",M1345,")"),B1345)</f>
        <v>Zhōnghé Zhèn (Zhāotōng Shì)</v>
      </c>
      <c r="D1345" t="s">
        <v>154</v>
      </c>
      <c r="E1345" t="s">
        <v>11</v>
      </c>
      <c r="F1345" t="str">
        <f>_xlfn.CONCAT(D1345,", ",H1345,", ",I1345,", ","云南省")</f>
        <v>中和镇, 盐津县, 昭通市, 云南省</v>
      </c>
      <c r="G1345">
        <v>32521</v>
      </c>
      <c r="H1345" t="s">
        <v>2906</v>
      </c>
      <c r="I1345" t="s">
        <v>2899</v>
      </c>
      <c r="J1345">
        <f>VLOOKUP(F1345,[1]!china_towns_second__2[[Column1]:[Y]],3,FALSE)</f>
        <v>28.154064153167099</v>
      </c>
      <c r="K1345">
        <f>VLOOKUP(F1345,[1]!china_towns_second__2[[Column1]:[Y]],2,FALSE)</f>
        <v>104.0832535</v>
      </c>
      <c r="L1345" t="s">
        <v>4896</v>
      </c>
      <c r="M1345" t="str">
        <f>VLOOKUP(H1345,CHOOSE({1,2},Table17[Native],Table17[Name]),2,0)</f>
        <v>Yánjīn Xiàn</v>
      </c>
      <c r="N1345" s="15" t="str">
        <f>VLOOKUP(I1345,CHOOSE({1,2},Table17[Native],Table17[Name]),2,0)</f>
        <v>Zhāotōng Shì</v>
      </c>
      <c r="O1345" s="15" t="str">
        <f t="shared" si="40"/>
        <v>Zhonghe Zhen (Zhaotong Shi) (Zhāotōng Shì)</v>
      </c>
      <c r="P1345" s="15" t="str">
        <f t="shared" si="41"/>
        <v>Zhonghe Zhen (Zhaotong Shi) (Zhāotōng Shì)</v>
      </c>
    </row>
    <row r="1346" spans="1:16" hidden="1" x14ac:dyDescent="0.25">
      <c r="A1346" t="s">
        <v>1027</v>
      </c>
      <c r="B1346" t="str">
        <f>IF(COUNTIF(A:A,A1346)&gt;1,_xlfn.CONCAT(A1346," (",N1346,")"),A1346)</f>
        <v>Zhōnghéyíng Zhèn</v>
      </c>
      <c r="C1346" t="str">
        <f>IF(COUNTIF(B:B,B1346)&gt;1,_xlfn.CONCAT(A1346," (",M1346,")"),B1346)</f>
        <v>Zhōnghéyíng Zhèn</v>
      </c>
      <c r="D1346" t="s">
        <v>1028</v>
      </c>
      <c r="E1346" t="s">
        <v>11</v>
      </c>
      <c r="F1346" t="str">
        <f>_xlfn.CONCAT(D1346,", ",H1346,", ",I1346,", ","云南省")</f>
        <v>中和营镇, 开远市, 红河哈尼族彝族自治州, 云南省</v>
      </c>
      <c r="G1346">
        <v>37708</v>
      </c>
      <c r="H1346" t="s">
        <v>2798</v>
      </c>
      <c r="I1346" t="s">
        <v>2792</v>
      </c>
      <c r="J1346">
        <f>VLOOKUP(F1346,[1]!china_towns_second__2[[Column1]:[Y]],3,FALSE)</f>
        <v>23.798337379628901</v>
      </c>
      <c r="K1346">
        <f>VLOOKUP(F1346,[1]!china_towns_second__2[[Column1]:[Y]],2,FALSE)</f>
        <v>103.5213206</v>
      </c>
      <c r="L1346" t="s">
        <v>4897</v>
      </c>
      <c r="M1346" t="str">
        <f>VLOOKUP(H1346,CHOOSE({1,2},Table17[Native],Table17[Name]),2,0)</f>
        <v>Kāiyuăn Shì</v>
      </c>
      <c r="N1346" s="15" t="str">
        <f>VLOOKUP(I1346,CHOOSE({1,2},Table17[Native],Table17[Name]),2,0)</f>
        <v>Hónghé Hānízú Yízú Zìzhìzhōu</v>
      </c>
      <c r="O1346" s="15" t="str">
        <f t="shared" ref="O1346:O1409" si="42">_xlfn.CONCAT(L1346," (",N1346,")")</f>
        <v>Zhongheying Zhen (Hónghé Hānízú Yízú Zìzhìzhōu)</v>
      </c>
      <c r="P1346" s="15" t="str">
        <f t="shared" ref="P1346:P1409" si="43">IF(COUNTIF(O:O,O1346)&gt;1,_xlfn.CONCAT(L1346," (",M1346,")"),O1346)</f>
        <v>Zhongheying Zhen (Hónghé Hānízú Yízú Zìzhìzhōu)</v>
      </c>
    </row>
    <row r="1347" spans="1:16" hidden="1" x14ac:dyDescent="0.25">
      <c r="A1347" t="s">
        <v>1849</v>
      </c>
      <c r="B1347" t="str">
        <f>IF(COUNTIF(A:A,A1347)&gt;1,_xlfn.CONCAT(A1347," (",N1347,")"),A1347)</f>
        <v>Zhōngkè Zhèn</v>
      </c>
      <c r="C1347" t="str">
        <f>IF(COUNTIF(B:B,B1347)&gt;1,_xlfn.CONCAT(A1347," (",M1347,")"),B1347)</f>
        <v>Zhōngkè Zhèn</v>
      </c>
      <c r="D1347" t="s">
        <v>1850</v>
      </c>
      <c r="E1347" t="s">
        <v>11</v>
      </c>
      <c r="F1347" t="str">
        <f>_xlfn.CONCAT(D1347,", ",H1347,", ",I1347,", ","云南省")</f>
        <v>中课镇, 西盟佤族自治县, 普洱市, 云南省</v>
      </c>
      <c r="G1347">
        <v>10941</v>
      </c>
      <c r="H1347" t="s">
        <v>2857</v>
      </c>
      <c r="I1347" t="s">
        <v>2848</v>
      </c>
      <c r="J1347">
        <f>VLOOKUP(F1347,[1]!china_towns_second__2[[Column1]:[Y]],3,FALSE)</f>
        <v>22.800773286302501</v>
      </c>
      <c r="K1347">
        <f>VLOOKUP(F1347,[1]!china_towns_second__2[[Column1]:[Y]],2,FALSE)</f>
        <v>99.593114610000001</v>
      </c>
      <c r="L1347" t="s">
        <v>4898</v>
      </c>
      <c r="M1347" t="str">
        <f>VLOOKUP(H1347,CHOOSE({1,2},Table17[Native],Table17[Name]),2,0)</f>
        <v>Xīméng Wăzú Zìzhìxiàn</v>
      </c>
      <c r="N1347" s="15" t="str">
        <f>VLOOKUP(I1347,CHOOSE({1,2},Table17[Native],Table17[Name]),2,0)</f>
        <v>Pŭ'ĕr Shì</v>
      </c>
      <c r="O1347" s="15" t="str">
        <f t="shared" si="42"/>
        <v>Zhongke Zhen (Pŭ'ĕr Shì)</v>
      </c>
      <c r="P1347" s="15" t="str">
        <f t="shared" si="43"/>
        <v>Zhongke Zhen (Pŭ'ĕr Shì)</v>
      </c>
    </row>
    <row r="1348" spans="1:16" hidden="1" x14ac:dyDescent="0.25">
      <c r="A1348" t="s">
        <v>766</v>
      </c>
      <c r="B1348" t="str">
        <f>IF(COUNTIF(A:A,A1348)&gt;1,_xlfn.CONCAT(A1348," (",N1348,")"),A1348)</f>
        <v>Zhōnglù Xiāng</v>
      </c>
      <c r="C1348" t="str">
        <f>IF(COUNTIF(B:B,B1348)&gt;1,_xlfn.CONCAT(A1348," (",M1348,")"),B1348)</f>
        <v>Zhōnglù Xiāng</v>
      </c>
      <c r="D1348" t="s">
        <v>767</v>
      </c>
      <c r="E1348" t="s">
        <v>7</v>
      </c>
      <c r="F1348" t="str">
        <f>_xlfn.CONCAT(D1348,", ",H1348,", ",I1348,", ","云南省")</f>
        <v>中路乡, 维西傈僳族自治县, 迪庆藏族自治州, 云南省</v>
      </c>
      <c r="G1348">
        <v>10316</v>
      </c>
      <c r="H1348" t="s">
        <v>2788</v>
      </c>
      <c r="I1348" t="s">
        <v>2786</v>
      </c>
      <c r="J1348" t="e">
        <f>VLOOKUP(F1348,[1]!china_towns_second__2[[Column1]:[Y]],3,FALSE)</f>
        <v>#N/A</v>
      </c>
      <c r="K1348" t="e">
        <f>VLOOKUP(F1348,[1]!china_towns_second__2[[Column1]:[Y]],2,FALSE)</f>
        <v>#N/A</v>
      </c>
      <c r="L1348" t="s">
        <v>4899</v>
      </c>
      <c r="M1348" t="str">
        <f>VLOOKUP(H1348,CHOOSE({1,2},Table17[Native],Table17[Name]),2,0)</f>
        <v>Wéixī Lìsùzú Zìzhìxiàn</v>
      </c>
      <c r="N1348" s="15" t="str">
        <f>VLOOKUP(I1348,CHOOSE({1,2},Table17[Native],Table17[Name]),2,0)</f>
        <v>Díqìng Zàngzú Zìzhìzhōu</v>
      </c>
      <c r="O1348" s="15" t="str">
        <f t="shared" si="42"/>
        <v>Zhonglu Xiang (Díqìng Zàngzú Zìzhìzhōu)</v>
      </c>
      <c r="P1348" s="15" t="str">
        <f t="shared" si="43"/>
        <v>Zhonglu Xiang (Díqìng Zàngzú Zìzhìzhōu)</v>
      </c>
    </row>
    <row r="1349" spans="1:16" hidden="1" x14ac:dyDescent="0.25">
      <c r="A1349" t="s">
        <v>2731</v>
      </c>
      <c r="B1349" t="str">
        <f>IF(COUNTIF(A:A,A1349)&gt;1,_xlfn.CONCAT(A1349," (",N1349,")"),A1349)</f>
        <v>Zhōngmíng Zhèn</v>
      </c>
      <c r="C1349" t="str">
        <f>IF(COUNTIF(B:B,B1349)&gt;1,_xlfn.CONCAT(A1349," (",M1349,")"),B1349)</f>
        <v>Zhōngmíng Zhèn</v>
      </c>
      <c r="D1349" t="s">
        <v>2732</v>
      </c>
      <c r="E1349" t="s">
        <v>11</v>
      </c>
      <c r="F1349" t="str">
        <f>_xlfn.CONCAT(D1349,", ",H1349,", ",I1349,", ","云南省")</f>
        <v>钟鸣镇, 彝良县, 昭通市, 云南省</v>
      </c>
      <c r="G1349">
        <v>17259</v>
      </c>
      <c r="H1349" t="s">
        <v>2907</v>
      </c>
      <c r="I1349" t="s">
        <v>2899</v>
      </c>
      <c r="J1349">
        <f>VLOOKUP(F1349,[1]!china_towns_second__2[[Column1]:[Y]],3,FALSE)</f>
        <v>27.7909051542565</v>
      </c>
      <c r="K1349">
        <f>VLOOKUP(F1349,[1]!china_towns_second__2[[Column1]:[Y]],2,FALSE)</f>
        <v>104.07434979999999</v>
      </c>
      <c r="L1349" t="s">
        <v>4900</v>
      </c>
      <c r="M1349" t="str">
        <f>VLOOKUP(H1349,CHOOSE({1,2},Table17[Native],Table17[Name]),2,0)</f>
        <v>Yíliáng Xiàn</v>
      </c>
      <c r="N1349" s="15" t="str">
        <f>VLOOKUP(I1349,CHOOSE({1,2},Table17[Native],Table17[Name]),2,0)</f>
        <v>Zhāotōng Shì</v>
      </c>
      <c r="O1349" s="15" t="str">
        <f t="shared" si="42"/>
        <v>Zhongming Zhen (Zhāotōng Shì)</v>
      </c>
      <c r="P1349" s="15" t="str">
        <f t="shared" si="43"/>
        <v>Zhongming Zhen (Zhāotōng Shì)</v>
      </c>
    </row>
    <row r="1350" spans="1:16" hidden="1" x14ac:dyDescent="0.25">
      <c r="A1350" t="s">
        <v>1645</v>
      </c>
      <c r="B1350" t="str">
        <f>IF(COUNTIF(A:A,A1350)&gt;1,_xlfn.CONCAT(A1350," (",N1350,")"),A1350)</f>
        <v>Zhōngpái Xiāng</v>
      </c>
      <c r="C1350" t="str">
        <f>IF(COUNTIF(B:B,B1350)&gt;1,_xlfn.CONCAT(A1350," (",M1350,")"),B1350)</f>
        <v>Zhōngpái Xiāng</v>
      </c>
      <c r="D1350" t="s">
        <v>1646</v>
      </c>
      <c r="E1350" t="s">
        <v>7</v>
      </c>
      <c r="F1350" t="str">
        <f>_xlfn.CONCAT(D1350,", ",H1350,", ",I1350,", ","云南省")</f>
        <v>中排乡, 兰坪白族普米族自治县, 怒江傈僳族自治州, 云南省</v>
      </c>
      <c r="G1350">
        <v>22988</v>
      </c>
      <c r="H1350" t="s">
        <v>2845</v>
      </c>
      <c r="I1350" t="s">
        <v>2842</v>
      </c>
      <c r="J1350" t="e">
        <f>VLOOKUP(F1350,[1]!china_towns_second__2[[Column1]:[Y]],3,FALSE)</f>
        <v>#N/A</v>
      </c>
      <c r="K1350" t="e">
        <f>VLOOKUP(F1350,[1]!china_towns_second__2[[Column1]:[Y]],2,FALSE)</f>
        <v>#N/A</v>
      </c>
      <c r="L1350" t="s">
        <v>4901</v>
      </c>
      <c r="M1350" t="str">
        <f>VLOOKUP(H1350,CHOOSE({1,2},Table17[Native],Table17[Name]),2,0)</f>
        <v>Lánpíng Báizú Pŭmĭzú Zìzhìxiàn</v>
      </c>
      <c r="N1350" s="15" t="str">
        <f>VLOOKUP(I1350,CHOOSE({1,2},Table17[Native],Table17[Name]),2,0)</f>
        <v>Nùjiāng Lìsùzú Zìzhìzhōu</v>
      </c>
      <c r="O1350" s="15" t="str">
        <f t="shared" si="42"/>
        <v>Zhongpai Xiang (Nùjiāng Lìsùzú Zìzhìzhōu)</v>
      </c>
      <c r="P1350" s="15" t="str">
        <f t="shared" si="43"/>
        <v>Zhongpai Xiang (Nùjiāng Lìsùzú Zìzhìzhōu)</v>
      </c>
    </row>
    <row r="1351" spans="1:16" hidden="1" x14ac:dyDescent="0.25">
      <c r="A1351" t="s">
        <v>1296</v>
      </c>
      <c r="B1351" t="str">
        <f>IF(COUNTIF(A:A,A1351)&gt;1,_xlfn.CONCAT(A1351," (",N1351,")"),A1351)</f>
        <v>Zhōngpíng Zhèn</v>
      </c>
      <c r="C1351" t="str">
        <f>IF(COUNTIF(B:B,B1351)&gt;1,_xlfn.CONCAT(A1351," (",M1351,")"),B1351)</f>
        <v>Zhōngpíng Zhèn</v>
      </c>
      <c r="D1351" t="s">
        <v>1297</v>
      </c>
      <c r="E1351" t="s">
        <v>11</v>
      </c>
      <c r="F1351" t="str">
        <f>_xlfn.CONCAT(D1351,", ",H1351,", ",I1351,", ","云南省")</f>
        <v>中屏镇, 禄劝彝族苗族自治县, 昆明市, 云南省</v>
      </c>
      <c r="G1351">
        <v>16769</v>
      </c>
      <c r="H1351" t="s">
        <v>2814</v>
      </c>
      <c r="I1351" t="s">
        <v>2807</v>
      </c>
      <c r="J1351">
        <f>VLOOKUP(F1351,[1]!china_towns_second__2[[Column1]:[Y]],3,FALSE)</f>
        <v>25.893743826999302</v>
      </c>
      <c r="K1351">
        <f>VLOOKUP(F1351,[1]!china_towns_second__2[[Column1]:[Y]],2,FALSE)</f>
        <v>102.6489931</v>
      </c>
      <c r="L1351" t="s">
        <v>4902</v>
      </c>
      <c r="M1351" t="str">
        <f>VLOOKUP(H1351,CHOOSE({1,2},Table17[Native],Table17[Name]),2,0)</f>
        <v>Lùquàn Yízú Miáozú Zìzhìxiàn</v>
      </c>
      <c r="N1351" s="15" t="str">
        <f>VLOOKUP(I1351,CHOOSE({1,2},Table17[Native],Table17[Name]),2,0)</f>
        <v>Kūnmíng Shì</v>
      </c>
      <c r="O1351" s="15" t="str">
        <f t="shared" si="42"/>
        <v>Zhongping Zhen (Kūnmíng Shì)</v>
      </c>
      <c r="P1351" s="15" t="str">
        <f t="shared" si="43"/>
        <v>Zhongping Zhen (Kūnmíng Shì)</v>
      </c>
    </row>
    <row r="1352" spans="1:16" hidden="1" x14ac:dyDescent="0.25">
      <c r="A1352" t="s">
        <v>705</v>
      </c>
      <c r="B1352" t="str">
        <f>IF(COUNTIF(A:A,A1352)&gt;1,_xlfn.CONCAT(A1352," (",N1352,")"),A1352)</f>
        <v>Zhōngshān Xiāng (Déhóng Dăizú Jĭngpōzú Zìzhìzhōu)</v>
      </c>
      <c r="C1352" t="str">
        <f>IF(COUNTIF(B:B,B1352)&gt;1,_xlfn.CONCAT(A1352," (",M1352,")"),B1352)</f>
        <v>Zhōngshān Xiāng (Déhóng Dăizú Jĭngpōzú Zìzhìzhōu)</v>
      </c>
      <c r="D1352" t="s">
        <v>706</v>
      </c>
      <c r="E1352" t="s">
        <v>7</v>
      </c>
      <c r="F1352" t="str">
        <f>_xlfn.CONCAT(D1352,", ",H1352,", ",I1352,", ","云南省")</f>
        <v>中山乡, 芒市, 德宏傣族景颇族自治州, 云南省</v>
      </c>
      <c r="G1352">
        <v>10170</v>
      </c>
      <c r="H1352" t="s">
        <v>2782</v>
      </c>
      <c r="I1352" t="s">
        <v>2779</v>
      </c>
      <c r="J1352" t="e">
        <f>VLOOKUP(F1352,[1]!china_towns_second__2[[Column1]:[Y]],3,FALSE)</f>
        <v>#N/A</v>
      </c>
      <c r="K1352" t="e">
        <f>VLOOKUP(F1352,[1]!china_towns_second__2[[Column1]:[Y]],2,FALSE)</f>
        <v>#N/A</v>
      </c>
      <c r="L1352" t="s">
        <v>4903</v>
      </c>
      <c r="M1352" t="str">
        <f>VLOOKUP(H1352,CHOOSE({1,2},Table17[Native],Table17[Name]),2,0)</f>
        <v>Máng Shì</v>
      </c>
      <c r="N1352" s="15" t="str">
        <f>VLOOKUP(I1352,CHOOSE({1,2},Table17[Native],Table17[Name]),2,0)</f>
        <v>Déhóng Dăizú Jĭngpōzú Zìzhìzhōu</v>
      </c>
      <c r="O1352" s="15" t="str">
        <f t="shared" si="42"/>
        <v>Zhongshan Xiang (Dehong Daizu Jingpozu Zizhizhou) (Déhóng Dăizú Jĭngpōzú Zìzhìzhōu)</v>
      </c>
      <c r="P1352" s="15" t="str">
        <f t="shared" si="43"/>
        <v>Zhongshan Xiang (Dehong Daizu Jingpozu Zizhizhou) (Déhóng Dăizú Jĭngpōzú Zìzhìzhōu)</v>
      </c>
    </row>
    <row r="1353" spans="1:16" hidden="1" x14ac:dyDescent="0.25">
      <c r="A1353" t="s">
        <v>705</v>
      </c>
      <c r="B1353" t="str">
        <f>IF(COUNTIF(A:A,A1353)&gt;1,_xlfn.CONCAT(A1353," (",N1353,")"),A1353)</f>
        <v>Zhōngshān Xiāng (Qŭjìng Shì)</v>
      </c>
      <c r="C1353" t="str">
        <f>IF(COUNTIF(B:B,B1353)&gt;1,_xlfn.CONCAT(A1353," (",M1353,")"),B1353)</f>
        <v>Zhōngshān Xiāng (Qŭjìng Shì)</v>
      </c>
      <c r="D1353" t="s">
        <v>2053</v>
      </c>
      <c r="E1353" t="s">
        <v>7</v>
      </c>
      <c r="F1353" t="str">
        <f>_xlfn.CONCAT(D1353,", ",H1353,", ",I1353,", ","云南省")</f>
        <v>钟山乡, 罗平县, 曲靖市, 云南省</v>
      </c>
      <c r="G1353">
        <v>27832</v>
      </c>
      <c r="H1353" t="s">
        <v>2864</v>
      </c>
      <c r="I1353" t="s">
        <v>2860</v>
      </c>
      <c r="J1353" t="e">
        <f>VLOOKUP(F1353,[1]!china_towns_second__2[[Column1]:[Y]],3,FALSE)</f>
        <v>#N/A</v>
      </c>
      <c r="K1353" t="e">
        <f>VLOOKUP(F1353,[1]!china_towns_second__2[[Column1]:[Y]],2,FALSE)</f>
        <v>#N/A</v>
      </c>
      <c r="L1353" t="s">
        <v>4904</v>
      </c>
      <c r="M1353" t="str">
        <f>VLOOKUP(H1353,CHOOSE({1,2},Table17[Native],Table17[Name]),2,0)</f>
        <v>Luópíng Xiàn</v>
      </c>
      <c r="N1353" s="15" t="str">
        <f>VLOOKUP(I1353,CHOOSE({1,2},Table17[Native],Table17[Name]),2,0)</f>
        <v>Qŭjìng Shì</v>
      </c>
      <c r="O1353" s="15" t="str">
        <f t="shared" si="42"/>
        <v>Zhongshan Xiang (Qujing Shi) (Qŭjìng Shì)</v>
      </c>
      <c r="P1353" s="15" t="str">
        <f t="shared" si="43"/>
        <v>Zhongshan Xiang (Qujing Shi) (Qŭjìng Shì)</v>
      </c>
    </row>
    <row r="1354" spans="1:16" hidden="1" x14ac:dyDescent="0.25">
      <c r="A1354" t="s">
        <v>359</v>
      </c>
      <c r="B1354" t="str">
        <f>IF(COUNTIF(A:A,A1354)&gt;1,_xlfn.CONCAT(A1354," (",N1354,")"),A1354)</f>
        <v>Zhōngshān Zhèn</v>
      </c>
      <c r="C1354" t="str">
        <f>IF(COUNTIF(B:B,B1354)&gt;1,_xlfn.CONCAT(A1354," (",M1354,")"),B1354)</f>
        <v>Zhōngshān Zhèn</v>
      </c>
      <c r="D1354" t="s">
        <v>360</v>
      </c>
      <c r="E1354" t="s">
        <v>11</v>
      </c>
      <c r="F1354" t="str">
        <f>_xlfn.CONCAT(D1354,", ",H1354,", ",I1354,", ","云南省")</f>
        <v>中山镇, 楚雄市, 楚雄彝族自治州, 云南省</v>
      </c>
      <c r="G1354">
        <v>24098</v>
      </c>
      <c r="H1354" t="s">
        <v>2751</v>
      </c>
      <c r="I1354" t="s">
        <v>2750</v>
      </c>
      <c r="J1354">
        <f>VLOOKUP(F1354,[1]!china_towns_second__2[[Column1]:[Y]],3,FALSE)</f>
        <v>24.8060299693568</v>
      </c>
      <c r="K1354">
        <f>VLOOKUP(F1354,[1]!china_towns_second__2[[Column1]:[Y]],2,FALSE)</f>
        <v>101.0546208</v>
      </c>
      <c r="L1354" t="s">
        <v>4905</v>
      </c>
      <c r="M1354" t="str">
        <f>VLOOKUP(H1354,CHOOSE({1,2},Table17[Native],Table17[Name]),2,0)</f>
        <v>Chŭxióng Shì</v>
      </c>
      <c r="N1354" s="15" t="str">
        <f>VLOOKUP(I1354,CHOOSE({1,2},Table17[Native],Table17[Name]),2,0)</f>
        <v>Chŭxióng Yízú Zìzhìzhōu</v>
      </c>
      <c r="O1354" s="15" t="str">
        <f t="shared" si="42"/>
        <v>Zhongshan Zhen (Chŭxióng Yízú Zìzhìzhōu)</v>
      </c>
      <c r="P1354" s="15" t="str">
        <f t="shared" si="43"/>
        <v>Zhongshan Zhen (Chŭxióng Yízú Zìzhìzhōu)</v>
      </c>
    </row>
    <row r="1355" spans="1:16" hidden="1" x14ac:dyDescent="0.25">
      <c r="A1355" t="s">
        <v>1029</v>
      </c>
      <c r="B1355" t="str">
        <f>IF(COUNTIF(A:A,A1355)&gt;1,_xlfn.CONCAT(A1355," (",N1355,")"),A1355)</f>
        <v>Zhōngshū Zhèn</v>
      </c>
      <c r="C1355" t="str">
        <f>IF(COUNTIF(B:B,B1355)&gt;1,_xlfn.CONCAT(A1355," (",M1355,")"),B1355)</f>
        <v>Zhōngshū Zhèn</v>
      </c>
      <c r="D1355" t="s">
        <v>1030</v>
      </c>
      <c r="E1355" t="s">
        <v>11</v>
      </c>
      <c r="F1355" t="str">
        <f>_xlfn.CONCAT(D1355,", ",H1355,", ",I1355,", ","云南省")</f>
        <v>中枢镇, 泸西县, 红河哈尼族彝族自治州, 云南省</v>
      </c>
      <c r="G1355">
        <v>130672</v>
      </c>
      <c r="H1355" t="s">
        <v>2800</v>
      </c>
      <c r="I1355" t="s">
        <v>2792</v>
      </c>
      <c r="J1355">
        <f>VLOOKUP(F1355,[1]!china_towns_second__2[[Column1]:[Y]],3,FALSE)</f>
        <v>24.474732139428799</v>
      </c>
      <c r="K1355">
        <f>VLOOKUP(F1355,[1]!china_towns_second__2[[Column1]:[Y]],2,FALSE)</f>
        <v>103.7235403</v>
      </c>
      <c r="L1355" t="s">
        <v>4906</v>
      </c>
      <c r="M1355" t="str">
        <f>VLOOKUP(H1355,CHOOSE({1,2},Table17[Native],Table17[Name]),2,0)</f>
        <v>Lúxī Xiàn</v>
      </c>
      <c r="N1355" s="15" t="str">
        <f>VLOOKUP(I1355,CHOOSE({1,2},Table17[Native],Table17[Name]),2,0)</f>
        <v>Hónghé Hānízú Yízú Zìzhìzhōu</v>
      </c>
      <c r="O1355" s="15" t="str">
        <f t="shared" si="42"/>
        <v>Zhongshu Zhen (Hónghé Hānízú Yízú Zìzhìzhōu)</v>
      </c>
      <c r="P1355" s="15" t="str">
        <f t="shared" si="43"/>
        <v>Zhongshu Zhen (Hónghé Hānízú Yízú Zìzhìzhōu)</v>
      </c>
    </row>
    <row r="1356" spans="1:16" hidden="1" x14ac:dyDescent="0.25">
      <c r="A1356" t="s">
        <v>2054</v>
      </c>
      <c r="B1356" t="str">
        <f>IF(COUNTIF(A:A,A1356)&gt;1,_xlfn.CONCAT(A1356," (",N1356,")"),A1356)</f>
        <v>Zhōngshū Zhèn [incl. Zhōngshū Jiēdào, Tónglè Jiēdào]</v>
      </c>
      <c r="C1356" t="str">
        <f>IF(COUNTIF(B:B,B1356)&gt;1,_xlfn.CONCAT(A1356," (",M1356,")"),B1356)</f>
        <v>Zhōngshū Zhèn [incl. Zhōngshū Jiēdào, Tónglè Jiēdào]</v>
      </c>
      <c r="D1356" t="s">
        <v>1030</v>
      </c>
      <c r="E1356" t="s">
        <v>11</v>
      </c>
      <c r="F1356" t="str">
        <f>_xlfn.CONCAT(D1356,", ",H1356,", ",I1356,", ","云南省")</f>
        <v>中枢镇, 陆良县, 曲靖市, 云南省</v>
      </c>
      <c r="G1356">
        <v>125521</v>
      </c>
      <c r="H1356" t="s">
        <v>2863</v>
      </c>
      <c r="I1356" t="s">
        <v>2860</v>
      </c>
      <c r="J1356">
        <f>VLOOKUP(F1356,[1]!china_towns_second__2[[Column1]:[Y]],3,FALSE)</f>
        <v>25.038886173602499</v>
      </c>
      <c r="K1356">
        <f>VLOOKUP(F1356,[1]!china_towns_second__2[[Column1]:[Y]],2,FALSE)</f>
        <v>103.66412939999999</v>
      </c>
      <c r="L1356" t="s">
        <v>4907</v>
      </c>
      <c r="M1356" t="str">
        <f>VLOOKUP(H1356,CHOOSE({1,2},Table17[Native],Table17[Name]),2,0)</f>
        <v>Lùliáng Xiàn</v>
      </c>
      <c r="N1356" s="15" t="str">
        <f>VLOOKUP(I1356,CHOOSE({1,2},Table17[Native],Table17[Name]),2,0)</f>
        <v>Qŭjìng Shì</v>
      </c>
      <c r="O1356" s="15" t="str">
        <f t="shared" si="42"/>
        <v>Zhongshu Zhen [incl. Zhongshu Jiedao, Tongle Jiedao] (Qŭjìng Shì)</v>
      </c>
      <c r="P1356" s="15" t="str">
        <f t="shared" si="43"/>
        <v>Zhongshu Zhen [incl. Zhongshu Jiedao, Tongle Jiedao] (Qŭjìng Shì)</v>
      </c>
    </row>
    <row r="1357" spans="1:16" hidden="1" x14ac:dyDescent="0.25">
      <c r="A1357" t="s">
        <v>2733</v>
      </c>
      <c r="B1357" t="str">
        <f>IF(COUNTIF(A:A,A1357)&gt;1,_xlfn.CONCAT(A1357," (",N1357,")"),A1357)</f>
        <v>Zhōngtún Zhèn</v>
      </c>
      <c r="C1357" t="str">
        <f>IF(COUNTIF(B:B,B1357)&gt;1,_xlfn.CONCAT(A1357," (",M1357,")"),B1357)</f>
        <v>Zhōngtún Zhèn</v>
      </c>
      <c r="D1357" t="s">
        <v>2734</v>
      </c>
      <c r="E1357" t="s">
        <v>11</v>
      </c>
      <c r="F1357" t="str">
        <f>_xlfn.CONCAT(D1357,", ",H1357,", ",I1357,", ","云南省")</f>
        <v>中屯镇, 镇雄县, 昭通市, 云南省</v>
      </c>
      <c r="G1357">
        <v>57726</v>
      </c>
      <c r="H1357" t="s">
        <v>2910</v>
      </c>
      <c r="I1357" t="s">
        <v>2899</v>
      </c>
      <c r="J1357">
        <f>VLOOKUP(F1357,[1]!china_towns_second__2[[Column1]:[Y]],3,FALSE)</f>
        <v>27.349972167588302</v>
      </c>
      <c r="K1357">
        <f>VLOOKUP(F1357,[1]!china_towns_second__2[[Column1]:[Y]],2,FALSE)</f>
        <v>104.8863897</v>
      </c>
      <c r="L1357" t="s">
        <v>4908</v>
      </c>
      <c r="M1357" t="str">
        <f>VLOOKUP(H1357,CHOOSE({1,2},Table17[Native],Table17[Name]),2,0)</f>
        <v>Zhènxióng Xiàn</v>
      </c>
      <c r="N1357" s="15" t="str">
        <f>VLOOKUP(I1357,CHOOSE({1,2},Table17[Native],Table17[Name]),2,0)</f>
        <v>Zhāotōng Shì</v>
      </c>
      <c r="O1357" s="15" t="str">
        <f t="shared" si="42"/>
        <v>Zhongtun Zhen (Zhāotōng Shì)</v>
      </c>
      <c r="P1357" s="15" t="str">
        <f t="shared" si="43"/>
        <v>Zhongtun Zhen (Zhāotōng Shì)</v>
      </c>
    </row>
    <row r="1358" spans="1:16" hidden="1" x14ac:dyDescent="0.25">
      <c r="A1358" t="s">
        <v>1429</v>
      </c>
      <c r="B1358" t="str">
        <f>IF(COUNTIF(A:A,A1358)&gt;1,_xlfn.CONCAT(A1358," (",N1358,")"),A1358)</f>
        <v>Zhōngxīn Zhèn</v>
      </c>
      <c r="C1358" t="str">
        <f>IF(COUNTIF(B:B,B1358)&gt;1,_xlfn.CONCAT(A1358," (",M1358,")"),B1358)</f>
        <v>Zhōngxīn Zhèn</v>
      </c>
      <c r="D1358" t="s">
        <v>1430</v>
      </c>
      <c r="E1358" t="s">
        <v>11</v>
      </c>
      <c r="F1358" t="str">
        <f>_xlfn.CONCAT(D1358,", ",H1358,", ",I1358,", ","云南省")</f>
        <v>中心镇, 华坪县, 丽江市, 云南省</v>
      </c>
      <c r="G1358">
        <v>51866</v>
      </c>
      <c r="H1358" t="s">
        <v>2826</v>
      </c>
      <c r="I1358" t="s">
        <v>2823</v>
      </c>
      <c r="J1358">
        <f>VLOOKUP(F1358,[1]!china_towns_second__2[[Column1]:[Y]],3,FALSE)</f>
        <v>26.702293622454999</v>
      </c>
      <c r="K1358">
        <f>VLOOKUP(F1358,[1]!china_towns_second__2[[Column1]:[Y]],2,FALSE)</f>
        <v>101.2157735</v>
      </c>
      <c r="L1358" t="s">
        <v>4909</v>
      </c>
      <c r="M1358" t="str">
        <f>VLOOKUP(H1358,CHOOSE({1,2},Table17[Native],Table17[Name]),2,0)</f>
        <v>Huápíng Xiàn</v>
      </c>
      <c r="N1358" s="15" t="str">
        <f>VLOOKUP(I1358,CHOOSE({1,2},Table17[Native],Table17[Name]),2,0)</f>
        <v>Lìjiāng Shì</v>
      </c>
      <c r="O1358" s="15" t="str">
        <f t="shared" si="42"/>
        <v>Zhongxin Zhen (Lìjiāng Shì)</v>
      </c>
      <c r="P1358" s="15" t="str">
        <f t="shared" si="43"/>
        <v>Zhongxin Zhen (Lìjiāng Shì)</v>
      </c>
    </row>
    <row r="1359" spans="1:16" hidden="1" x14ac:dyDescent="0.25">
      <c r="A1359" t="s">
        <v>596</v>
      </c>
      <c r="B1359" t="str">
        <f>IF(COUNTIF(A:A,A1359)&gt;1,_xlfn.CONCAT(A1359," (",N1359,")"),A1359)</f>
        <v>Zhōngyīng Lìsùzú Yízú Xiāng</v>
      </c>
      <c r="C1359" t="str">
        <f>IF(COUNTIF(B:B,B1359)&gt;1,_xlfn.CONCAT(A1359," (",M1359,")"),B1359)</f>
        <v>Zhōngyīng Lìsùzú Yízú Xiāng</v>
      </c>
      <c r="D1359" t="s">
        <v>597</v>
      </c>
      <c r="E1359" t="s">
        <v>7</v>
      </c>
      <c r="F1359" t="str">
        <f>_xlfn.CONCAT(D1359,", ",H1359,", ",I1359,", ","云南省")</f>
        <v>钟英傈僳族彝族乡, 宾川县, 大理白族自治州, 云南省</v>
      </c>
      <c r="G1359">
        <v>10115</v>
      </c>
      <c r="H1359" t="s">
        <v>2764</v>
      </c>
      <c r="I1359" t="s">
        <v>2763</v>
      </c>
      <c r="J1359" t="e">
        <f>VLOOKUP(F1359,[1]!china_towns_second__2[[Column1]:[Y]],3,FALSE)</f>
        <v>#N/A</v>
      </c>
      <c r="K1359" t="e">
        <f>VLOOKUP(F1359,[1]!china_towns_second__2[[Column1]:[Y]],2,FALSE)</f>
        <v>#N/A</v>
      </c>
      <c r="L1359" t="s">
        <v>4910</v>
      </c>
      <c r="M1359" t="str">
        <f>VLOOKUP(H1359,CHOOSE({1,2},Table17[Native],Table17[Name]),2,0)</f>
        <v>Bīnchuān Xiàn</v>
      </c>
      <c r="N1359" s="15" t="str">
        <f>VLOOKUP(I1359,CHOOSE({1,2},Table17[Native],Table17[Name]),2,0)</f>
        <v>Dàlĭ Báizú Zìzhìzhōu</v>
      </c>
      <c r="O1359" s="15" t="str">
        <f t="shared" si="42"/>
        <v>Zhongying Lisuzu Yizu Xiang (Dàlĭ Báizú Zìzhìzhōu)</v>
      </c>
      <c r="P1359" s="15" t="str">
        <f t="shared" si="43"/>
        <v>Zhongying Lisuzu Yizu Xiang (Dàlĭ Báizú Zìzhìzhōu)</v>
      </c>
    </row>
    <row r="1360" spans="1:16" hidden="1" x14ac:dyDescent="0.25">
      <c r="A1360" t="s">
        <v>2735</v>
      </c>
      <c r="B1360" t="str">
        <f>IF(COUNTIF(A:A,A1360)&gt;1,_xlfn.CONCAT(A1360," (",N1360,")"),A1360)</f>
        <v>Zhōngzhài Xiāng</v>
      </c>
      <c r="C1360" t="str">
        <f>IF(COUNTIF(B:B,B1360)&gt;1,_xlfn.CONCAT(A1360," (",M1360,")"),B1360)</f>
        <v>Zhōngzhài Xiāng</v>
      </c>
      <c r="D1360" t="s">
        <v>2736</v>
      </c>
      <c r="E1360" t="s">
        <v>7</v>
      </c>
      <c r="F1360" t="str">
        <f>_xlfn.CONCAT(D1360,", ",H1360,", ",I1360,", ","云南省")</f>
        <v>中寨乡, 巧家县, 昭通市, 云南省</v>
      </c>
      <c r="G1360">
        <v>10658</v>
      </c>
      <c r="H1360" t="s">
        <v>2902</v>
      </c>
      <c r="I1360" t="s">
        <v>2899</v>
      </c>
      <c r="J1360" t="e">
        <f>VLOOKUP(F1360,[1]!china_towns_second__2[[Column1]:[Y]],3,FALSE)</f>
        <v>#N/A</v>
      </c>
      <c r="K1360" t="e">
        <f>VLOOKUP(F1360,[1]!china_towns_second__2[[Column1]:[Y]],2,FALSE)</f>
        <v>#N/A</v>
      </c>
      <c r="L1360" t="s">
        <v>4911</v>
      </c>
      <c r="M1360" t="str">
        <f>VLOOKUP(H1360,CHOOSE({1,2},Table17[Native],Table17[Name]),2,0)</f>
        <v>Qiăojiā Xiàn</v>
      </c>
      <c r="N1360" s="15" t="str">
        <f>VLOOKUP(I1360,CHOOSE({1,2},Table17[Native],Table17[Name]),2,0)</f>
        <v>Zhāotōng Shì</v>
      </c>
      <c r="O1360" s="15" t="str">
        <f t="shared" si="42"/>
        <v>Zhongzhai Xiang (Zhāotōng Shì)</v>
      </c>
      <c r="P1360" s="15" t="str">
        <f t="shared" si="43"/>
        <v>Zhongzhai Xiang (Zhāotōng Shì)</v>
      </c>
    </row>
    <row r="1361" spans="1:16" hidden="1" x14ac:dyDescent="0.25">
      <c r="A1361" t="s">
        <v>598</v>
      </c>
      <c r="B1361" t="str">
        <f>IF(COUNTIF(A:A,A1361)&gt;1,_xlfn.CONCAT(A1361," (",N1361,")"),A1361)</f>
        <v>Zhōuchéng Zhèn</v>
      </c>
      <c r="C1361" t="str">
        <f>IF(COUNTIF(B:B,B1361)&gt;1,_xlfn.CONCAT(A1361," (",M1361,")"),B1361)</f>
        <v>Zhōuchéng Zhèn</v>
      </c>
      <c r="D1361" t="s">
        <v>599</v>
      </c>
      <c r="E1361" t="s">
        <v>11</v>
      </c>
      <c r="F1361" t="str">
        <f>_xlfn.CONCAT(D1361,", ",H1361,", ",I1361,", ","云南省")</f>
        <v>州城镇, 宾川县, 大理白族自治州, 云南省</v>
      </c>
      <c r="G1361">
        <v>44990</v>
      </c>
      <c r="H1361" t="s">
        <v>2764</v>
      </c>
      <c r="I1361" t="s">
        <v>2763</v>
      </c>
      <c r="J1361">
        <f>VLOOKUP(F1361,[1]!china_towns_second__2[[Column1]:[Y]],3,FALSE)</f>
        <v>25.698461766333601</v>
      </c>
      <c r="K1361">
        <f>VLOOKUP(F1361,[1]!china_towns_second__2[[Column1]:[Y]],2,FALSE)</f>
        <v>100.5731761</v>
      </c>
      <c r="L1361" t="s">
        <v>4912</v>
      </c>
      <c r="M1361" t="str">
        <f>VLOOKUP(H1361,CHOOSE({1,2},Table17[Native],Table17[Name]),2,0)</f>
        <v>Bīnchuān Xiàn</v>
      </c>
      <c r="N1361" s="15" t="str">
        <f>VLOOKUP(I1361,CHOOSE({1,2},Table17[Native],Table17[Name]),2,0)</f>
        <v>Dàlĭ Báizú Zìzhìzhōu</v>
      </c>
      <c r="O1361" s="15" t="str">
        <f t="shared" si="42"/>
        <v>Zhoucheng Zhen (Dàlĭ Báizú Zìzhìzhōu)</v>
      </c>
      <c r="P1361" s="15" t="str">
        <f t="shared" si="43"/>
        <v>Zhoucheng Zhen (Dàlĭ Báizú Zìzhìzhōu)</v>
      </c>
    </row>
    <row r="1362" spans="1:16" hidden="1" x14ac:dyDescent="0.25">
      <c r="A1362" t="s">
        <v>2248</v>
      </c>
      <c r="B1362" t="str">
        <f>IF(COUNTIF(A:A,A1362)&gt;1,_xlfn.CONCAT(A1362," (",N1362,")"),A1362)</f>
        <v>Zhuànjiăo Xiāng</v>
      </c>
      <c r="C1362" t="str">
        <f>IF(COUNTIF(B:B,B1362)&gt;1,_xlfn.CONCAT(A1362," (",M1362,")"),B1362)</f>
        <v>Zhuànjiăo Xiāng</v>
      </c>
      <c r="D1362" t="s">
        <v>2249</v>
      </c>
      <c r="E1362" t="s">
        <v>7</v>
      </c>
      <c r="F1362" t="str">
        <f>_xlfn.CONCAT(D1362,", ",H1362,", ",I1362,", ","云南省")</f>
        <v>篆角乡, 广南县, 文山壮族苗族自治州, 云南省</v>
      </c>
      <c r="G1362">
        <v>22197</v>
      </c>
      <c r="H1362" t="s">
        <v>2874</v>
      </c>
      <c r="I1362" t="s">
        <v>2872</v>
      </c>
      <c r="J1362" t="e">
        <f>VLOOKUP(F1362,[1]!china_towns_second__2[[Column1]:[Y]],3,FALSE)</f>
        <v>#N/A</v>
      </c>
      <c r="K1362" t="e">
        <f>VLOOKUP(F1362,[1]!china_towns_second__2[[Column1]:[Y]],2,FALSE)</f>
        <v>#N/A</v>
      </c>
      <c r="L1362" t="s">
        <v>4913</v>
      </c>
      <c r="M1362" t="str">
        <f>VLOOKUP(H1362,CHOOSE({1,2},Table17[Native],Table17[Name]),2,0)</f>
        <v>Guăngnán Xiàn</v>
      </c>
      <c r="N1362" s="15" t="str">
        <f>VLOOKUP(I1362,CHOOSE({1,2},Table17[Native],Table17[Name]),2,0)</f>
        <v>Wénshān Zhuàngzú Miáozú Zìzhìzhōu</v>
      </c>
      <c r="O1362" s="15" t="str">
        <f t="shared" si="42"/>
        <v>Zhuanjiao Xiang (Wénshān Zhuàngzú Miáozú Zìzhìzhōu)</v>
      </c>
      <c r="P1362" s="15" t="str">
        <f t="shared" si="43"/>
        <v>Zhuanjiao Xiang (Wénshān Zhuàngzú Miáozú Zìzhìzhōu)</v>
      </c>
    </row>
    <row r="1363" spans="1:16" hidden="1" x14ac:dyDescent="0.25">
      <c r="A1363" t="s">
        <v>1298</v>
      </c>
      <c r="B1363" t="str">
        <f>IF(COUNTIF(A:A,A1363)&gt;1,_xlfn.CONCAT(A1363," (",N1363,")"),A1363)</f>
        <v>Zhuănlóng Zhèn</v>
      </c>
      <c r="C1363" t="str">
        <f>IF(COUNTIF(B:B,B1363)&gt;1,_xlfn.CONCAT(A1363," (",M1363,")"),B1363)</f>
        <v>Zhuănlóng Zhèn</v>
      </c>
      <c r="D1363" t="s">
        <v>1299</v>
      </c>
      <c r="E1363" t="s">
        <v>11</v>
      </c>
      <c r="F1363" t="str">
        <f>_xlfn.CONCAT(D1363,", ",H1363,", ",I1363,", ","云南省")</f>
        <v>转龙镇, 禄劝彝族苗族自治县, 昆明市, 云南省</v>
      </c>
      <c r="G1363">
        <v>28472</v>
      </c>
      <c r="H1363" t="s">
        <v>2814</v>
      </c>
      <c r="I1363" t="s">
        <v>2807</v>
      </c>
      <c r="J1363">
        <f>VLOOKUP(F1363,[1]!china_towns_second__2[[Column1]:[Y]],3,FALSE)</f>
        <v>25.959652901418</v>
      </c>
      <c r="K1363">
        <f>VLOOKUP(F1363,[1]!china_towns_second__2[[Column1]:[Y]],2,FALSE)</f>
        <v>102.8566915</v>
      </c>
      <c r="L1363" t="s">
        <v>4914</v>
      </c>
      <c r="M1363" t="str">
        <f>VLOOKUP(H1363,CHOOSE({1,2},Table17[Native],Table17[Name]),2,0)</f>
        <v>Lùquàn Yízú Miáozú Zìzhìxiàn</v>
      </c>
      <c r="N1363" s="15" t="str">
        <f>VLOOKUP(I1363,CHOOSE({1,2},Table17[Native],Table17[Name]),2,0)</f>
        <v>Kūnmíng Shì</v>
      </c>
      <c r="O1363" s="15" t="str">
        <f t="shared" si="42"/>
        <v>Zhuanlong Zhen (Kūnmíng Shì)</v>
      </c>
      <c r="P1363" s="15" t="str">
        <f t="shared" si="43"/>
        <v>Zhuanlong Zhen (Kūnmíng Shì)</v>
      </c>
    </row>
    <row r="1364" spans="1:16" hidden="1" x14ac:dyDescent="0.25">
      <c r="A1364" t="s">
        <v>2250</v>
      </c>
      <c r="B1364" t="str">
        <f>IF(COUNTIF(A:A,A1364)&gt;1,_xlfn.CONCAT(A1364," (",N1364,")"),A1364)</f>
        <v>Zhuīlìjiē Zhèn</v>
      </c>
      <c r="C1364" t="str">
        <f>IF(COUNTIF(B:B,B1364)&gt;1,_xlfn.CONCAT(A1364," (",M1364,")"),B1364)</f>
        <v>Zhuīlìjiē Zhèn</v>
      </c>
      <c r="D1364" t="s">
        <v>2251</v>
      </c>
      <c r="E1364" t="s">
        <v>11</v>
      </c>
      <c r="F1364" t="str">
        <f>_xlfn.CONCAT(D1364,", ",H1364,", ",I1364,", ","云南省")</f>
        <v>追栗街镇, 文山市, 文山壮族苗族自治州, 云南省</v>
      </c>
      <c r="G1364">
        <v>9840</v>
      </c>
      <c r="H1364" t="s">
        <v>2878</v>
      </c>
      <c r="I1364" t="s">
        <v>2872</v>
      </c>
      <c r="J1364">
        <f>VLOOKUP(F1364,[1]!china_towns_second__2[[Column1]:[Y]],3,FALSE)</f>
        <v>23.3171438872326</v>
      </c>
      <c r="K1364">
        <f>VLOOKUP(F1364,[1]!china_towns_second__2[[Column1]:[Y]],2,FALSE)</f>
        <v>104.3743206</v>
      </c>
      <c r="L1364" t="s">
        <v>4915</v>
      </c>
      <c r="M1364" t="str">
        <f>VLOOKUP(H1364,CHOOSE({1,2},Table17[Native],Table17[Name]),2,0)</f>
        <v>Wénshān Shì</v>
      </c>
      <c r="N1364" s="15" t="str">
        <f>VLOOKUP(I1364,CHOOSE({1,2},Table17[Native],Table17[Name]),2,0)</f>
        <v>Wénshān Zhuàngzú Miáozú Zìzhìzhōu</v>
      </c>
      <c r="O1364" s="15" t="str">
        <f t="shared" si="42"/>
        <v>Zhuilijie Zhen (Wénshān Zhuàngzú Miáozú Zìzhìzhōu)</v>
      </c>
      <c r="P1364" s="15" t="str">
        <f t="shared" si="43"/>
        <v>Zhuilijie Zhen (Wénshān Zhuàngzú Miáozú Zìzhìzhōu)</v>
      </c>
    </row>
    <row r="1365" spans="1:16" hidden="1" x14ac:dyDescent="0.25">
      <c r="A1365" t="s">
        <v>2057</v>
      </c>
      <c r="B1365" t="str">
        <f>IF(COUNTIF(A:A,A1365)&gt;1,_xlfn.CONCAT(A1365," (",N1365,")"),A1365)</f>
        <v>Zhújī Zhèn</v>
      </c>
      <c r="C1365" t="str">
        <f>IF(COUNTIF(B:B,B1365)&gt;1,_xlfn.CONCAT(A1365," (",M1365,")"),B1365)</f>
        <v>Zhújī Zhèn</v>
      </c>
      <c r="D1365" t="s">
        <v>2058</v>
      </c>
      <c r="E1365" t="s">
        <v>11</v>
      </c>
      <c r="F1365" t="str">
        <f>_xlfn.CONCAT(D1365,", ",H1365,", ",I1365,", ","云南省")</f>
        <v>竹基镇, 师宗县, 曲靖市, 云南省</v>
      </c>
      <c r="G1365">
        <v>48997</v>
      </c>
      <c r="H1365" t="s">
        <v>2867</v>
      </c>
      <c r="I1365" t="s">
        <v>2860</v>
      </c>
      <c r="J1365">
        <f>VLOOKUP(F1365,[1]!china_towns_second__2[[Column1]:[Y]],3,FALSE)</f>
        <v>24.9150329925249</v>
      </c>
      <c r="K1365">
        <f>VLOOKUP(F1365,[1]!china_towns_second__2[[Column1]:[Y]],2,FALSE)</f>
        <v>104.0907627</v>
      </c>
      <c r="L1365" t="s">
        <v>4916</v>
      </c>
      <c r="M1365" t="str">
        <f>VLOOKUP(H1365,CHOOSE({1,2},Table17[Native],Table17[Name]),2,0)</f>
        <v>Shīzōng Xiàn</v>
      </c>
      <c r="N1365" s="15" t="str">
        <f>VLOOKUP(I1365,CHOOSE({1,2},Table17[Native],Table17[Name]),2,0)</f>
        <v>Qŭjìng Shì</v>
      </c>
      <c r="O1365" s="15" t="str">
        <f t="shared" si="42"/>
        <v>Zhuji Zhen (Qŭjìng Shì)</v>
      </c>
      <c r="P1365" s="15" t="str">
        <f t="shared" si="43"/>
        <v>Zhuji Zhen (Qŭjìng Shì)</v>
      </c>
    </row>
    <row r="1366" spans="1:16" hidden="1" x14ac:dyDescent="0.25">
      <c r="A1366" t="s">
        <v>2055</v>
      </c>
      <c r="B1366" t="str">
        <f>IF(COUNTIF(A:A,A1366)&gt;1,_xlfn.CONCAT(A1366," (",N1366,")"),A1366)</f>
        <v>Zhūjiē Jiēdào</v>
      </c>
      <c r="C1366" t="str">
        <f>IF(COUNTIF(B:B,B1366)&gt;1,_xlfn.CONCAT(A1366," (",M1366,")"),B1366)</f>
        <v>Zhūjiē Jiēdào</v>
      </c>
      <c r="D1366" t="s">
        <v>2056</v>
      </c>
      <c r="E1366" t="s">
        <v>42</v>
      </c>
      <c r="F1366" t="str">
        <f>_xlfn.CONCAT(D1366,", ",H1366,", ",I1366,", ","云南省")</f>
        <v>珠街街道, 麒麟区, 曲靖市, 云南省</v>
      </c>
      <c r="G1366">
        <v>45569</v>
      </c>
      <c r="H1366" t="s">
        <v>2866</v>
      </c>
      <c r="I1366" t="s">
        <v>2860</v>
      </c>
      <c r="J1366" t="e">
        <f>VLOOKUP(F1366,[1]!china_towns_second__2[[Column1]:[Y]],3,FALSE)</f>
        <v>#N/A</v>
      </c>
      <c r="K1366" t="e">
        <f>VLOOKUP(F1366,[1]!china_towns_second__2[[Column1]:[Y]],2,FALSE)</f>
        <v>#N/A</v>
      </c>
      <c r="L1366" t="s">
        <v>4917</v>
      </c>
      <c r="M1366" t="str">
        <f>VLOOKUP(H1366,CHOOSE({1,2},Table17[Native],Table17[Name]),2,0)</f>
        <v>Qílín Qū</v>
      </c>
      <c r="N1366" s="15" t="str">
        <f>VLOOKUP(I1366,CHOOSE({1,2},Table17[Native],Table17[Name]),2,0)</f>
        <v>Qŭjìng Shì</v>
      </c>
      <c r="O1366" s="15" t="str">
        <f t="shared" si="42"/>
        <v>Zhujie Jiedao (Qŭjìng Shì)</v>
      </c>
      <c r="P1366" s="15" t="str">
        <f t="shared" si="43"/>
        <v>Zhujie Jiedao (Qŭjìng Shì)</v>
      </c>
    </row>
    <row r="1367" spans="1:16" hidden="1" x14ac:dyDescent="0.25">
      <c r="A1367" t="s">
        <v>155</v>
      </c>
      <c r="B1367" t="str">
        <f>IF(COUNTIF(A:A,A1367)&gt;1,_xlfn.CONCAT(A1367," (",N1367,")"),A1367)</f>
        <v>Zhūjiē Yízú Xiāng</v>
      </c>
      <c r="C1367" t="str">
        <f>IF(COUNTIF(B:B,B1367)&gt;1,_xlfn.CONCAT(A1367," (",M1367,")"),B1367)</f>
        <v>Zhūjiē Yízú Xiāng</v>
      </c>
      <c r="D1367" t="s">
        <v>156</v>
      </c>
      <c r="E1367" t="s">
        <v>7</v>
      </c>
      <c r="F1367" t="str">
        <f>_xlfn.CONCAT(D1367,", ",H1367,", ",I1367,", ","云南省")</f>
        <v>珠街彝族乡, 昌宁县, 保山市, 云南省</v>
      </c>
      <c r="G1367">
        <v>15142</v>
      </c>
      <c r="H1367" t="s">
        <v>2741</v>
      </c>
      <c r="I1367" t="s">
        <v>2739</v>
      </c>
      <c r="J1367" t="e">
        <f>VLOOKUP(F1367,[1]!china_towns_second__2[[Column1]:[Y]],3,FALSE)</f>
        <v>#N/A</v>
      </c>
      <c r="K1367" t="e">
        <f>VLOOKUP(F1367,[1]!china_towns_second__2[[Column1]:[Y]],2,FALSE)</f>
        <v>#N/A</v>
      </c>
      <c r="L1367" t="s">
        <v>4918</v>
      </c>
      <c r="M1367" t="str">
        <f>VLOOKUP(H1367,CHOOSE({1,2},Table17[Native],Table17[Name]),2,0)</f>
        <v>Chāngníng Xiàn</v>
      </c>
      <c r="N1367" s="15" t="str">
        <f>VLOOKUP(I1367,CHOOSE({1,2},Table17[Native],Table17[Name]),2,0)</f>
        <v>Băoshān Shì</v>
      </c>
      <c r="O1367" s="15" t="str">
        <f t="shared" si="42"/>
        <v>Zhujie Yizu Xiang (Băoshān Shì)</v>
      </c>
      <c r="P1367" s="15" t="str">
        <f t="shared" si="43"/>
        <v>Zhujie Yizu Xiang (Băoshān Shì)</v>
      </c>
    </row>
    <row r="1368" spans="1:16" hidden="1" x14ac:dyDescent="0.25">
      <c r="A1368" t="s">
        <v>2252</v>
      </c>
      <c r="B1368" t="str">
        <f>IF(COUNTIF(A:A,A1368)&gt;1,_xlfn.CONCAT(A1368," (",N1368,")"),A1368)</f>
        <v>Zhūjiē Zhèn</v>
      </c>
      <c r="C1368" t="str">
        <f>IF(COUNTIF(B:B,B1368)&gt;1,_xlfn.CONCAT(A1368," (",M1368,")"),B1368)</f>
        <v>Zhūjiē Zhèn</v>
      </c>
      <c r="D1368" t="s">
        <v>2253</v>
      </c>
      <c r="E1368" t="s">
        <v>11</v>
      </c>
      <c r="F1368" t="str">
        <f>_xlfn.CONCAT(D1368,", ",H1368,", ",I1368,", ","云南省")</f>
        <v>珠街镇, 广南县, 文山壮族苗族自治州, 云南省</v>
      </c>
      <c r="G1368">
        <v>40623</v>
      </c>
      <c r="H1368" t="s">
        <v>2874</v>
      </c>
      <c r="I1368" t="s">
        <v>2872</v>
      </c>
      <c r="J1368">
        <f>VLOOKUP(F1368,[1]!china_towns_second__2[[Column1]:[Y]],3,FALSE)</f>
        <v>23.7454433722239</v>
      </c>
      <c r="K1368">
        <f>VLOOKUP(F1368,[1]!china_towns_second__2[[Column1]:[Y]],2,FALSE)</f>
        <v>104.95128440000001</v>
      </c>
      <c r="L1368" t="s">
        <v>4919</v>
      </c>
      <c r="M1368" t="str">
        <f>VLOOKUP(H1368,CHOOSE({1,2},Table17[Native],Table17[Name]),2,0)</f>
        <v>Guăngnán Xiàn</v>
      </c>
      <c r="N1368" s="15" t="str">
        <f>VLOOKUP(I1368,CHOOSE({1,2},Table17[Native],Table17[Name]),2,0)</f>
        <v>Wénshān Zhuàngzú Miáozú Zìzhìzhōu</v>
      </c>
      <c r="O1368" s="15" t="str">
        <f t="shared" si="42"/>
        <v>Zhujie Zhen (Wénshān Zhuàngzú Miáozú Zìzhìzhōu)</v>
      </c>
      <c r="P1368" s="15" t="str">
        <f t="shared" si="43"/>
        <v>Zhujie Zhen (Wénshān Zhuàngzú Miáozú Zìzhìzhōu)</v>
      </c>
    </row>
    <row r="1369" spans="1:16" hidden="1" x14ac:dyDescent="0.25">
      <c r="A1369" t="s">
        <v>2254</v>
      </c>
      <c r="B1369" t="str">
        <f>IF(COUNTIF(A:A,A1369)&gt;1,_xlfn.CONCAT(A1369," (",N1369,")"),A1369)</f>
        <v>Zhūlín Zhèn</v>
      </c>
      <c r="C1369" t="str">
        <f>IF(COUNTIF(B:B,B1369)&gt;1,_xlfn.CONCAT(A1369," (",M1369,")"),B1369)</f>
        <v>Zhūlín Zhèn</v>
      </c>
      <c r="D1369" t="s">
        <v>2255</v>
      </c>
      <c r="E1369" t="s">
        <v>11</v>
      </c>
      <c r="F1369" t="str">
        <f>_xlfn.CONCAT(D1369,", ",H1369,", ",I1369,", ","云南省")</f>
        <v>珠琳镇, 广南县, 文山壮族苗族自治州, 云南省</v>
      </c>
      <c r="G1369">
        <v>63314</v>
      </c>
      <c r="H1369" t="s">
        <v>2874</v>
      </c>
      <c r="I1369" t="s">
        <v>2872</v>
      </c>
      <c r="J1369">
        <f>VLOOKUP(F1369,[1]!china_towns_second__2[[Column1]:[Y]],3,FALSE)</f>
        <v>23.981606238616799</v>
      </c>
      <c r="K1369">
        <f>VLOOKUP(F1369,[1]!china_towns_second__2[[Column1]:[Y]],2,FALSE)</f>
        <v>104.6647784</v>
      </c>
      <c r="L1369" t="s">
        <v>4920</v>
      </c>
      <c r="M1369" t="str">
        <f>VLOOKUP(H1369,CHOOSE({1,2},Table17[Native],Table17[Name]),2,0)</f>
        <v>Guăngnán Xiàn</v>
      </c>
      <c r="N1369" s="15" t="str">
        <f>VLOOKUP(I1369,CHOOSE({1,2},Table17[Native],Table17[Name]),2,0)</f>
        <v>Wénshān Zhuàngzú Miáozú Zìzhìzhōu</v>
      </c>
      <c r="O1369" s="15" t="str">
        <f t="shared" si="42"/>
        <v>Zhulin Zhen (Wénshān Zhuàngzú Miáozú Zìzhìzhōu)</v>
      </c>
      <c r="P1369" s="15" t="str">
        <f t="shared" si="43"/>
        <v>Zhulin Zhen (Wénshān Zhuàngzú Miáozú Zìzhìzhōu)</v>
      </c>
    </row>
    <row r="1370" spans="1:16" hidden="1" x14ac:dyDescent="0.25">
      <c r="A1370" t="s">
        <v>1300</v>
      </c>
      <c r="B1370" t="str">
        <f>IF(COUNTIF(A:A,A1370)&gt;1,_xlfn.CONCAT(A1370," (",N1370,")"),A1370)</f>
        <v>Zhúshān Zhèn</v>
      </c>
      <c r="C1370" t="str">
        <f>IF(COUNTIF(B:B,B1370)&gt;1,_xlfn.CONCAT(A1370," (",M1370,")"),B1370)</f>
        <v>Zhúshān Zhèn</v>
      </c>
      <c r="D1370" t="s">
        <v>1301</v>
      </c>
      <c r="E1370" t="s">
        <v>11</v>
      </c>
      <c r="F1370" t="str">
        <f>_xlfn.CONCAT(D1370,", ",H1370,", ",I1370,", ","云南省")</f>
        <v>竹山镇, 宜良县, 昆明市, 云南省</v>
      </c>
      <c r="G1370">
        <v>27731</v>
      </c>
      <c r="H1370" t="s">
        <v>2821</v>
      </c>
      <c r="I1370" t="s">
        <v>2807</v>
      </c>
      <c r="J1370">
        <f>VLOOKUP(F1370,[1]!china_towns_second__2[[Column1]:[Y]],3,FALSE)</f>
        <v>24.616477083919701</v>
      </c>
      <c r="K1370">
        <f>VLOOKUP(F1370,[1]!china_towns_second__2[[Column1]:[Y]],2,FALSE)</f>
        <v>103.1132001</v>
      </c>
      <c r="L1370" t="s">
        <v>4921</v>
      </c>
      <c r="M1370" t="str">
        <f>VLOOKUP(H1370,CHOOSE({1,2},Table17[Native],Table17[Name]),2,0)</f>
        <v>Yíliáng Xiàn</v>
      </c>
      <c r="N1370" s="15" t="str">
        <f>VLOOKUP(I1370,CHOOSE({1,2},Table17[Native],Table17[Name]),2,0)</f>
        <v>Kūnmíng Shì</v>
      </c>
      <c r="O1370" s="15" t="str">
        <f t="shared" si="42"/>
        <v>Zhushan Zhen (Kūnmíng Shì)</v>
      </c>
      <c r="P1370" s="15" t="str">
        <f t="shared" si="43"/>
        <v>Zhushan Zhen (Kūnmíng Shì)</v>
      </c>
    </row>
    <row r="1371" spans="1:16" hidden="1" x14ac:dyDescent="0.25">
      <c r="A1371" t="s">
        <v>1851</v>
      </c>
      <c r="B1371" t="str">
        <f>IF(COUNTIF(A:A,A1371)&gt;1,_xlfn.CONCAT(A1371," (",N1371,")"),A1371)</f>
        <v>Zhútáng Xiāng</v>
      </c>
      <c r="C1371" t="str">
        <f>IF(COUNTIF(B:B,B1371)&gt;1,_xlfn.CONCAT(A1371," (",M1371,")"),B1371)</f>
        <v>Zhútáng Xiāng</v>
      </c>
      <c r="D1371" t="s">
        <v>1852</v>
      </c>
      <c r="E1371" t="s">
        <v>7</v>
      </c>
      <c r="F1371" t="str">
        <f>_xlfn.CONCAT(D1371,", ",H1371,", ",I1371,", ","云南省")</f>
        <v>竹塘乡, 澜沧拉祜族自治县, 普洱市, 云南省</v>
      </c>
      <c r="G1371">
        <v>35766</v>
      </c>
      <c r="H1371" t="s">
        <v>2852</v>
      </c>
      <c r="I1371" t="s">
        <v>2848</v>
      </c>
      <c r="J1371" t="e">
        <f>VLOOKUP(F1371,[1]!china_towns_second__2[[Column1]:[Y]],3,FALSE)</f>
        <v>#N/A</v>
      </c>
      <c r="K1371" t="e">
        <f>VLOOKUP(F1371,[1]!china_towns_second__2[[Column1]:[Y]],2,FALSE)</f>
        <v>#N/A</v>
      </c>
      <c r="L1371" t="s">
        <v>4922</v>
      </c>
      <c r="M1371" t="str">
        <f>VLOOKUP(H1371,CHOOSE({1,2},Table17[Native],Table17[Name]),2,0)</f>
        <v>Láncāng Lāhùzú Zìzhìxiàn</v>
      </c>
      <c r="N1371" s="15" t="str">
        <f>VLOOKUP(I1371,CHOOSE({1,2},Table17[Native],Table17[Name]),2,0)</f>
        <v>Pŭ'ĕr Shì</v>
      </c>
      <c r="O1371" s="15" t="str">
        <f t="shared" si="42"/>
        <v>Zhutang Xiang (Pŭ'ĕr Shì)</v>
      </c>
      <c r="P1371" s="15" t="str">
        <f t="shared" si="43"/>
        <v>Zhutang Xiang (Pŭ'ĕr Shì)</v>
      </c>
    </row>
    <row r="1372" spans="1:16" hidden="1" x14ac:dyDescent="0.25">
      <c r="A1372" t="s">
        <v>1031</v>
      </c>
      <c r="B1372" t="str">
        <f>IF(COUNTIF(A:A,A1372)&gt;1,_xlfn.CONCAT(A1372," (",N1372,")"),A1372)</f>
        <v>Zhúyuán Zhèn (Hónghé Hānízú Yízú Zìzhìzhōu)</v>
      </c>
      <c r="C1372" t="str">
        <f>IF(COUNTIF(B:B,B1372)&gt;1,_xlfn.CONCAT(A1372," (",M1372,")"),B1372)</f>
        <v>Zhúyuán Zhèn (Hónghé Hānízú Yízú Zìzhìzhōu)</v>
      </c>
      <c r="D1372" t="s">
        <v>1032</v>
      </c>
      <c r="E1372" t="s">
        <v>11</v>
      </c>
      <c r="F1372" t="str">
        <f>_xlfn.CONCAT(D1372,", ",H1372,", ",I1372,", ","云南省")</f>
        <v>竹园镇, 弥勒市, 红河哈尼族彝族自治州, 云南省</v>
      </c>
      <c r="G1372">
        <v>53122</v>
      </c>
      <c r="H1372" t="s">
        <v>2802</v>
      </c>
      <c r="I1372" t="s">
        <v>2792</v>
      </c>
      <c r="J1372">
        <f>VLOOKUP(F1372,[1]!china_towns_second__2[[Column1]:[Y]],3,FALSE)</f>
        <v>24.124143857842999</v>
      </c>
      <c r="K1372">
        <f>VLOOKUP(F1372,[1]!china_towns_second__2[[Column1]:[Y]],2,FALSE)</f>
        <v>103.4298932</v>
      </c>
      <c r="L1372" t="s">
        <v>4923</v>
      </c>
      <c r="M1372" t="str">
        <f>VLOOKUP(H1372,CHOOSE({1,2},Table17[Native],Table17[Name]),2,0)</f>
        <v>Mílè Shì</v>
      </c>
      <c r="N1372" s="15" t="str">
        <f>VLOOKUP(I1372,CHOOSE({1,2},Table17[Native],Table17[Name]),2,0)</f>
        <v>Hónghé Hānízú Yízú Zìzhìzhōu</v>
      </c>
      <c r="O1372" s="15" t="str">
        <f t="shared" si="42"/>
        <v>Zhuyuan Zhen (Honghe Hanizu Yizu Zizhizhou) (Hónghé Hānízú Yízú Zìzhìzhōu)</v>
      </c>
      <c r="P1372" s="15" t="str">
        <f t="shared" si="43"/>
        <v>Zhuyuan Zhen (Honghe Hanizu Yizu Zizhizhou) (Hónghé Hānízú Yízú Zìzhìzhōu)</v>
      </c>
    </row>
    <row r="1373" spans="1:16" hidden="1" x14ac:dyDescent="0.25">
      <c r="A1373" t="s">
        <v>1031</v>
      </c>
      <c r="B1373" t="str">
        <f>IF(COUNTIF(A:A,A1373)&gt;1,_xlfn.CONCAT(A1373," (",N1373,")"),A1373)</f>
        <v>Zhúyuán Zhèn (Qŭjìng Shì)</v>
      </c>
      <c r="C1373" t="str">
        <f>IF(COUNTIF(B:B,B1373)&gt;1,_xlfn.CONCAT(A1373," (",M1373,")"),B1373)</f>
        <v>Zhúyuán Zhèn (Qŭjìng Shì)</v>
      </c>
      <c r="D1373" t="s">
        <v>1032</v>
      </c>
      <c r="E1373" t="s">
        <v>11</v>
      </c>
      <c r="F1373" t="str">
        <f>_xlfn.CONCAT(D1373,", ",H1373,", ",I1373,", ","云南省")</f>
        <v>竹园镇, 富源县, 曲靖市, 云南省</v>
      </c>
      <c r="G1373">
        <v>45583</v>
      </c>
      <c r="H1373" t="s">
        <v>2861</v>
      </c>
      <c r="I1373" t="s">
        <v>2860</v>
      </c>
      <c r="J1373">
        <f>VLOOKUP(F1373,[1]!china_towns_second__2[[Column1]:[Y]],3,FALSE)</f>
        <v>25.3795645610113</v>
      </c>
      <c r="K1373">
        <f>VLOOKUP(F1373,[1]!china_towns_second__2[[Column1]:[Y]],2,FALSE)</f>
        <v>104.2760286</v>
      </c>
      <c r="L1373" t="s">
        <v>4924</v>
      </c>
      <c r="M1373" t="str">
        <f>VLOOKUP(H1373,CHOOSE({1,2},Table17[Native],Table17[Name]),2,0)</f>
        <v>Fùyuán Xiàn</v>
      </c>
      <c r="N1373" s="15" t="str">
        <f>VLOOKUP(I1373,CHOOSE({1,2},Table17[Native],Table17[Name]),2,0)</f>
        <v>Qŭjìng Shì</v>
      </c>
      <c r="O1373" s="15" t="str">
        <f t="shared" si="42"/>
        <v>Zhuyuan Zhen (Qujing Shi) (Qŭjìng Shì)</v>
      </c>
      <c r="P1373" s="15" t="str">
        <f t="shared" si="43"/>
        <v>Zhuyuan Zhen (Qujing Shi) (Qŭjìng Shì)</v>
      </c>
    </row>
    <row r="1374" spans="1:16" hidden="1" x14ac:dyDescent="0.25">
      <c r="A1374" t="s">
        <v>600</v>
      </c>
      <c r="B1374" t="str">
        <f>IF(COUNTIF(A:A,A1374)&gt;1,_xlfn.CONCAT(A1374," (",N1374,")"),A1374)</f>
        <v>Zĭbìhú Zhèn</v>
      </c>
      <c r="C1374" t="str">
        <f>IF(COUNTIF(B:B,B1374)&gt;1,_xlfn.CONCAT(A1374," (",M1374,")"),B1374)</f>
        <v>Zĭbìhú Zhèn</v>
      </c>
      <c r="D1374" t="s">
        <v>601</v>
      </c>
      <c r="E1374" t="s">
        <v>11</v>
      </c>
      <c r="F1374" t="str">
        <f>_xlfn.CONCAT(D1374,", ",H1374,", ",I1374,", ","云南省")</f>
        <v>茈碧湖镇, 洱源县, 大理白族自治州, 云南省</v>
      </c>
      <c r="G1374">
        <v>56246</v>
      </c>
      <c r="H1374" t="s">
        <v>2766</v>
      </c>
      <c r="I1374" t="s">
        <v>2763</v>
      </c>
      <c r="J1374">
        <f>VLOOKUP(F1374,[1]!china_towns_second__2[[Column1]:[Y]],3,FALSE)</f>
        <v>26.1360869526995</v>
      </c>
      <c r="K1374">
        <f>VLOOKUP(F1374,[1]!china_towns_second__2[[Column1]:[Y]],2,FALSE)</f>
        <v>99.917185459999999</v>
      </c>
      <c r="L1374" t="s">
        <v>4925</v>
      </c>
      <c r="M1374" t="str">
        <f>VLOOKUP(H1374,CHOOSE({1,2},Table17[Native],Table17[Name]),2,0)</f>
        <v>Ĕryuán Xiàn</v>
      </c>
      <c r="N1374" s="15" t="str">
        <f>VLOOKUP(I1374,CHOOSE({1,2},Table17[Native],Table17[Name]),2,0)</f>
        <v>Dàlĭ Báizú Zìzhìzhōu</v>
      </c>
      <c r="O1374" s="15" t="str">
        <f t="shared" si="42"/>
        <v>Zibihu Zhen (Dàlĭ Báizú Zìzhìzhōu)</v>
      </c>
      <c r="P1374" s="15" t="str">
        <f t="shared" si="43"/>
        <v>Zibihu Zhen (Dàlĭ Báizú Zìzhìzhōu)</v>
      </c>
    </row>
    <row r="1375" spans="1:16" hidden="1" x14ac:dyDescent="0.25">
      <c r="A1375" t="s">
        <v>602</v>
      </c>
      <c r="B1375" t="str">
        <f>IF(COUNTIF(A:A,A1375)&gt;1,_xlfn.CONCAT(A1375," (",N1375,")"),A1375)</f>
        <v>Zĭjīn Xiāng</v>
      </c>
      <c r="C1375" t="str">
        <f>IF(COUNTIF(B:B,B1375)&gt;1,_xlfn.CONCAT(A1375," (",M1375,")"),B1375)</f>
        <v>Zĭjīn Xiāng</v>
      </c>
      <c r="D1375" t="s">
        <v>603</v>
      </c>
      <c r="E1375" t="s">
        <v>7</v>
      </c>
      <c r="F1375" t="str">
        <f>_xlfn.CONCAT(D1375,", ",H1375,", ",I1375,", ","云南省")</f>
        <v>紫金乡, 巍山彝族回族自治县, 大理白族自治州, 云南省</v>
      </c>
      <c r="G1375">
        <v>13202</v>
      </c>
      <c r="H1375" t="s">
        <v>2772</v>
      </c>
      <c r="I1375" t="s">
        <v>2763</v>
      </c>
      <c r="J1375" t="e">
        <f>VLOOKUP(F1375,[1]!china_towns_second__2[[Column1]:[Y]],3,FALSE)</f>
        <v>#N/A</v>
      </c>
      <c r="K1375" t="e">
        <f>VLOOKUP(F1375,[1]!china_towns_second__2[[Column1]:[Y]],2,FALSE)</f>
        <v>#N/A</v>
      </c>
      <c r="L1375" t="s">
        <v>4926</v>
      </c>
      <c r="M1375" t="str">
        <f>VLOOKUP(H1375,CHOOSE({1,2},Table17[Native],Table17[Name]),2,0)</f>
        <v>Wēishān Yízú Huízú Zìzhìxiàn</v>
      </c>
      <c r="N1375" s="15" t="str">
        <f>VLOOKUP(I1375,CHOOSE({1,2},Table17[Native],Table17[Name]),2,0)</f>
        <v>Dàlĭ Báizú Zìzhìzhōu</v>
      </c>
      <c r="O1375" s="15" t="str">
        <f t="shared" si="42"/>
        <v>Zijin Xiang (Dàlĭ Báizú Zìzhìzhōu)</v>
      </c>
      <c r="P1375" s="15" t="str">
        <f t="shared" si="43"/>
        <v>Zijin Xiang (Dàlĭ Báizú Zìzhìzhōu)</v>
      </c>
    </row>
    <row r="1376" spans="1:16" hidden="1" x14ac:dyDescent="0.25">
      <c r="A1376" t="s">
        <v>1647</v>
      </c>
      <c r="B1376" t="str">
        <f>IF(COUNTIF(A:A,A1376)&gt;1,_xlfn.CONCAT(A1376," (",N1376,")"),A1376)</f>
        <v>Zilĭjiă Xiāng</v>
      </c>
      <c r="C1376" t="str">
        <f>IF(COUNTIF(B:B,B1376)&gt;1,_xlfn.CONCAT(A1376," (",M1376,")"),B1376)</f>
        <v>Zilĭjiă Xiāng</v>
      </c>
      <c r="D1376" t="s">
        <v>1648</v>
      </c>
      <c r="E1376" t="s">
        <v>7</v>
      </c>
      <c r="F1376" t="str">
        <f>_xlfn.CONCAT(D1376,", ",H1376,", ",I1376,", ","云南省")</f>
        <v>子里甲乡, 福贡县, 怒江傈僳族自治州, 云南省</v>
      </c>
      <c r="G1376">
        <v>10513</v>
      </c>
      <c r="H1376" t="s">
        <v>2843</v>
      </c>
      <c r="I1376" t="s">
        <v>2842</v>
      </c>
      <c r="J1376" t="e">
        <f>VLOOKUP(F1376,[1]!china_towns_second__2[[Column1]:[Y]],3,FALSE)</f>
        <v>#N/A</v>
      </c>
      <c r="K1376" t="e">
        <f>VLOOKUP(F1376,[1]!china_towns_second__2[[Column1]:[Y]],2,FALSE)</f>
        <v>#N/A</v>
      </c>
      <c r="L1376" t="s">
        <v>4927</v>
      </c>
      <c r="M1376" t="str">
        <f>VLOOKUP(H1376,CHOOSE({1,2},Table17[Native],Table17[Name]),2,0)</f>
        <v>Fúgòng Xiàn</v>
      </c>
      <c r="N1376" s="15" t="str">
        <f>VLOOKUP(I1376,CHOOSE({1,2},Table17[Native],Table17[Name]),2,0)</f>
        <v>Nùjiāng Lìsùzú Zìzhìzhōu</v>
      </c>
      <c r="O1376" s="15" t="str">
        <f t="shared" si="42"/>
        <v>Zilijia Xiang (Nùjiāng Lìsùzú Zìzhìzhōu)</v>
      </c>
      <c r="P1376" s="15" t="str">
        <f t="shared" si="43"/>
        <v>Zilijia Xiang (Nùjiāng Lìsùzú Zìzhìzhōu)</v>
      </c>
    </row>
    <row r="1377" spans="1:16" hidden="1" x14ac:dyDescent="0.25">
      <c r="A1377" t="s">
        <v>361</v>
      </c>
      <c r="B1377" t="str">
        <f>IF(COUNTIF(A:A,A1377)&gt;1,_xlfn.CONCAT(A1377," (",N1377,")"),A1377)</f>
        <v>Ziwŭ Zhèn</v>
      </c>
      <c r="C1377" t="str">
        <f>IF(COUNTIF(B:B,B1377)&gt;1,_xlfn.CONCAT(A1377," (",M1377,")"),B1377)</f>
        <v>Ziwŭ Zhèn</v>
      </c>
      <c r="D1377" t="s">
        <v>362</v>
      </c>
      <c r="E1377" t="s">
        <v>11</v>
      </c>
      <c r="F1377" t="str">
        <f>_xlfn.CONCAT(D1377,", ",H1377,", ",I1377,", ","云南省")</f>
        <v>子午镇, 楚雄市, 楚雄彝族自治州, 云南省</v>
      </c>
      <c r="G1377">
        <v>31890</v>
      </c>
      <c r="H1377" t="s">
        <v>2751</v>
      </c>
      <c r="I1377" t="s">
        <v>2750</v>
      </c>
      <c r="J1377">
        <f>VLOOKUP(F1377,[1]!china_towns_second__2[[Column1]:[Y]],3,FALSE)</f>
        <v>24.831889462548901</v>
      </c>
      <c r="K1377">
        <f>VLOOKUP(F1377,[1]!china_towns_second__2[[Column1]:[Y]],2,FALSE)</f>
        <v>101.5156812</v>
      </c>
      <c r="L1377" t="s">
        <v>4928</v>
      </c>
      <c r="M1377" t="str">
        <f>VLOOKUP(H1377,CHOOSE({1,2},Table17[Native],Table17[Name]),2,0)</f>
        <v>Chŭxióng Shì</v>
      </c>
      <c r="N1377" s="15" t="str">
        <f>VLOOKUP(I1377,CHOOSE({1,2},Table17[Native],Table17[Name]),2,0)</f>
        <v>Chŭxióng Yízú Zìzhìzhōu</v>
      </c>
      <c r="O1377" s="15" t="str">
        <f t="shared" si="42"/>
        <v>Ziwu Zhen (Chŭxióng Yízú Zìzhìzhōu)</v>
      </c>
      <c r="P1377" s="15" t="str">
        <f t="shared" si="43"/>
        <v>Ziwu Zhen (Chŭxióng Yízú Zìzhìzhōu)</v>
      </c>
    </row>
    <row r="1378" spans="1:16" hidden="1" x14ac:dyDescent="0.25">
      <c r="A1378" t="s">
        <v>363</v>
      </c>
      <c r="B1378" t="str">
        <f>IF(COUNTIF(A:A,A1378)&gt;1,_xlfn.CONCAT(A1378," (",N1378,")"),A1378)</f>
        <v>Zĭxī Zhèn</v>
      </c>
      <c r="C1378" t="str">
        <f>IF(COUNTIF(B:B,B1378)&gt;1,_xlfn.CONCAT(A1378," (",M1378,")"),B1378)</f>
        <v>Zĭxī Zhèn</v>
      </c>
      <c r="D1378" t="s">
        <v>364</v>
      </c>
      <c r="E1378" t="s">
        <v>11</v>
      </c>
      <c r="F1378" t="str">
        <f>_xlfn.CONCAT(D1378,", ",H1378,", ",I1378,", ","云南省")</f>
        <v>紫溪镇, 楚雄市, 楚雄彝族自治州, 云南省</v>
      </c>
      <c r="G1378">
        <v>13341</v>
      </c>
      <c r="H1378" t="s">
        <v>2751</v>
      </c>
      <c r="I1378" t="s">
        <v>2750</v>
      </c>
      <c r="J1378">
        <f>VLOOKUP(F1378,[1]!china_towns_second__2[[Column1]:[Y]],3,FALSE)</f>
        <v>25.0209632209584</v>
      </c>
      <c r="K1378">
        <f>VLOOKUP(F1378,[1]!china_towns_second__2[[Column1]:[Y]],2,FALSE)</f>
        <v>101.373099</v>
      </c>
      <c r="L1378" t="s">
        <v>4929</v>
      </c>
      <c r="M1378" t="str">
        <f>VLOOKUP(H1378,CHOOSE({1,2},Table17[Native],Table17[Name]),2,0)</f>
        <v>Chŭxióng Shì</v>
      </c>
      <c r="N1378" s="15" t="str">
        <f>VLOOKUP(I1378,CHOOSE({1,2},Table17[Native],Table17[Name]),2,0)</f>
        <v>Chŭxióng Yízú Zìzhìzhōu</v>
      </c>
      <c r="O1378" s="15" t="str">
        <f t="shared" si="42"/>
        <v>Zixi Zhen (Chŭxióng Yízú Zìzhìzhōu)</v>
      </c>
      <c r="P1378" s="15" t="str">
        <f t="shared" si="43"/>
        <v>Zixi Zhen (Chŭxióng Yízú Zìzhìzhōu)</v>
      </c>
    </row>
    <row r="1379" spans="1:16" hidden="1" x14ac:dyDescent="0.25">
      <c r="A1379" t="s">
        <v>1302</v>
      </c>
      <c r="B1379" t="str">
        <f>IF(COUNTIF(A:A,A1379)&gt;1,_xlfn.CONCAT(A1379," (",N1379,")"),A1379)</f>
        <v>Zōngshùyíng Jiēdào</v>
      </c>
      <c r="C1379" t="str">
        <f>IF(COUNTIF(B:B,B1379)&gt;1,_xlfn.CONCAT(A1379," (",M1379,")"),B1379)</f>
        <v>Zōngshùyíng Jiēdào</v>
      </c>
      <c r="D1379" t="s">
        <v>1303</v>
      </c>
      <c r="E1379" t="s">
        <v>42</v>
      </c>
      <c r="F1379" t="str">
        <f>_xlfn.CONCAT(D1379,", ",H1379,", ",I1379,", ","云南省")</f>
        <v>棕树营街道, 西山区, 昆明市, 云南省</v>
      </c>
      <c r="G1379">
        <v>52314</v>
      </c>
      <c r="H1379" t="s">
        <v>2819</v>
      </c>
      <c r="I1379" t="s">
        <v>2807</v>
      </c>
      <c r="J1379">
        <f>VLOOKUP(F1379,[1]!china_towns_second__2[[Column1]:[Y]],3,FALSE)</f>
        <v>25.037346091021998</v>
      </c>
      <c r="K1379">
        <f>VLOOKUP(F1379,[1]!china_towns_second__2[[Column1]:[Y]],2,FALSE)</f>
        <v>102.676637</v>
      </c>
      <c r="L1379" t="s">
        <v>4930</v>
      </c>
      <c r="M1379" t="str">
        <f>VLOOKUP(H1379,CHOOSE({1,2},Table17[Native],Table17[Name]),2,0)</f>
        <v>Xīshān Qū</v>
      </c>
      <c r="N1379" s="15" t="str">
        <f>VLOOKUP(I1379,CHOOSE({1,2},Table17[Native],Table17[Name]),2,0)</f>
        <v>Kūnmíng Shì</v>
      </c>
      <c r="O1379" s="15" t="str">
        <f t="shared" si="42"/>
        <v>Zongshuying Jiedao (Kūnmíng Shì)</v>
      </c>
      <c r="P1379" s="15" t="str">
        <f t="shared" si="43"/>
        <v>Zongshuying Jiedao (Kūnmíng Shì)</v>
      </c>
    </row>
    <row r="1380" spans="1:16" hidden="1" x14ac:dyDescent="0.25">
      <c r="A1380" t="s">
        <v>365</v>
      </c>
      <c r="B1380" t="str">
        <f>IF(COUNTIF(A:A,A1380)&gt;1,_xlfn.CONCAT(A1380," (",N1380,")"),A1380)</f>
        <v>Zuŏmén Xiāng</v>
      </c>
      <c r="C1380" t="str">
        <f>IF(COUNTIF(B:B,B1380)&gt;1,_xlfn.CONCAT(A1380," (",M1380,")"),B1380)</f>
        <v>Zuŏmén Xiāng</v>
      </c>
      <c r="D1380" t="s">
        <v>366</v>
      </c>
      <c r="E1380" t="s">
        <v>7</v>
      </c>
      <c r="F1380" t="str">
        <f>_xlfn.CONCAT(D1380,", ",H1380,", ",I1380,", ","云南省")</f>
        <v>左门乡, 姚安县, 楚雄彝族自治州, 云南省</v>
      </c>
      <c r="G1380">
        <v>4476</v>
      </c>
      <c r="H1380" t="s">
        <v>2758</v>
      </c>
      <c r="I1380" t="s">
        <v>2750</v>
      </c>
      <c r="J1380" t="e">
        <f>VLOOKUP(F1380,[1]!china_towns_second__2[[Column1]:[Y]],3,FALSE)</f>
        <v>#N/A</v>
      </c>
      <c r="K1380" t="e">
        <f>VLOOKUP(F1380,[1]!china_towns_second__2[[Column1]:[Y]],2,FALSE)</f>
        <v>#N/A</v>
      </c>
      <c r="L1380" t="s">
        <v>4931</v>
      </c>
      <c r="M1380" t="str">
        <f>VLOOKUP(H1380,CHOOSE({1,2},Table17[Native],Table17[Name]),2,0)</f>
        <v>Yáo'ān Xiàn</v>
      </c>
      <c r="N1380" s="15" t="str">
        <f>VLOOKUP(I1380,CHOOSE({1,2},Table17[Native],Table17[Name]),2,0)</f>
        <v>Chŭxióng Yízú Zìzhìzhōu</v>
      </c>
      <c r="O1380" s="15" t="str">
        <f t="shared" si="42"/>
        <v>Zuomen Xiang (Chŭxióng Yízú Zìzhìzhōu)</v>
      </c>
      <c r="P1380" s="15" t="str">
        <f t="shared" si="43"/>
        <v>Zuomen Xiang (Chŭxióng Yízú Zìzhìzhōu)</v>
      </c>
    </row>
  </sheetData>
  <phoneticPr fontId="3" type="noConversion"/>
  <conditionalFormatting sqref="J2:J1380">
    <cfRule type="expression" dxfId="13" priority="7">
      <formula>ISERROR(J2)</formula>
    </cfRule>
  </conditionalFormatting>
  <conditionalFormatting sqref="A2:A1380">
    <cfRule type="duplicateValues" dxfId="12" priority="6"/>
  </conditionalFormatting>
  <conditionalFormatting sqref="B2:B1380">
    <cfRule type="duplicateValues" dxfId="11" priority="5"/>
  </conditionalFormatting>
  <conditionalFormatting sqref="C2:C1380">
    <cfRule type="duplicateValues" dxfId="10" priority="4"/>
  </conditionalFormatting>
  <conditionalFormatting sqref="L2:L1380">
    <cfRule type="duplicateValues" dxfId="9" priority="3"/>
  </conditionalFormatting>
  <conditionalFormatting sqref="O2:O1380">
    <cfRule type="duplicateValues" dxfId="8" priority="2"/>
  </conditionalFormatting>
  <conditionalFormatting sqref="P2:P1380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44DF4-AE59-43A0-BCC1-766DAA030642}">
  <dimension ref="A1:E18"/>
  <sheetViews>
    <sheetView workbookViewId="0">
      <selection activeCell="C2" sqref="C2:C18"/>
    </sheetView>
  </sheetViews>
  <sheetFormatPr defaultRowHeight="15" x14ac:dyDescent="0.25"/>
  <cols>
    <col min="1" max="3" width="11.28515625" customWidth="1"/>
  </cols>
  <sheetData>
    <row r="1" spans="1:5" x14ac:dyDescent="0.25">
      <c r="A1" t="s">
        <v>2917</v>
      </c>
      <c r="B1" t="s">
        <v>2927</v>
      </c>
      <c r="C1" t="s">
        <v>2919</v>
      </c>
      <c r="D1" t="s">
        <v>2920</v>
      </c>
      <c r="E1" t="s">
        <v>2921</v>
      </c>
    </row>
    <row r="2" spans="1:5" x14ac:dyDescent="0.25">
      <c r="A2" t="s">
        <v>2831</v>
      </c>
      <c r="B2" t="str">
        <f>VLOOKUP(A2,CHOOSE({1,2},Table17[Native],Table17[Name]),2,0)</f>
        <v>Líncāng Shì</v>
      </c>
      <c r="C2">
        <v>154585</v>
      </c>
      <c r="D2">
        <f>VLOOKUP(A2,[1]!Table1[[name]:[@lon]],5,0)</f>
        <v>24.0578374</v>
      </c>
      <c r="E2">
        <f>VLOOKUP(A2,[1]!Table1[[name]:[@lon]],6,0)</f>
        <v>99.609928699999998</v>
      </c>
    </row>
    <row r="3" spans="1:5" x14ac:dyDescent="0.25">
      <c r="A3" t="s">
        <v>2823</v>
      </c>
      <c r="B3" t="str">
        <f>VLOOKUP(A3,CHOOSE({1,2},Table17[Native],Table17[Name]),2,0)</f>
        <v>Lìjiāng Shì</v>
      </c>
      <c r="C3">
        <v>176705</v>
      </c>
      <c r="D3">
        <f>VLOOKUP(A3,[1]!Table1[[name]:[@lon]],5,0)</f>
        <v>26.958085499999999</v>
      </c>
      <c r="E3">
        <f>VLOOKUP(A3,[1]!Table1[[name]:[@lon]],6,0)</f>
        <v>100.4472375</v>
      </c>
    </row>
    <row r="4" spans="1:5" x14ac:dyDescent="0.25">
      <c r="A4" t="s">
        <v>2739</v>
      </c>
      <c r="B4" t="str">
        <f>VLOOKUP(A4,CHOOSE({1,2},Table17[Native],Table17[Name]),2,0)</f>
        <v>Băoshān Shì</v>
      </c>
      <c r="C4">
        <v>242459</v>
      </c>
      <c r="D4">
        <f>VLOOKUP(A4,[1]!Table1[[name]:[@lon]],5,0)</f>
        <v>24.9924356</v>
      </c>
      <c r="E4">
        <f>VLOOKUP(A4,[1]!Table1[[name]:[@lon]],6,0)</f>
        <v>99.0675648</v>
      </c>
    </row>
    <row r="5" spans="1:5" x14ac:dyDescent="0.25">
      <c r="A5" t="s">
        <v>2765</v>
      </c>
      <c r="B5" t="str">
        <f>VLOOKUP(A5,CHOOSE({1,2},Table17[Native],Table17[Name]),2,0)</f>
        <v>Dàlĭ Shì</v>
      </c>
      <c r="C5">
        <v>302742</v>
      </c>
      <c r="D5">
        <f>VLOOKUP(A5,[1]!Table1[[name]:[@lon]],5,0)</f>
        <v>25.751215999999999</v>
      </c>
      <c r="E5">
        <f>VLOOKUP(A5,[1]!Table1[[name]:[@lon]],6,0)</f>
        <v>100.20741270000001</v>
      </c>
    </row>
    <row r="6" spans="1:5" x14ac:dyDescent="0.25">
      <c r="A6" t="s">
        <v>2782</v>
      </c>
      <c r="B6" t="str">
        <f>VLOOKUP(A6,CHOOSE({1,2},Table17[Native],Table17[Name]),2,0)</f>
        <v>Máng Shì</v>
      </c>
      <c r="C6">
        <v>99970</v>
      </c>
      <c r="D6">
        <f>VLOOKUP(A6,[1]!Table1[[name]:[@lon]],5,0)</f>
        <v>24.372762600000001</v>
      </c>
      <c r="E6">
        <f>VLOOKUP(A6,[1]!Table1[[name]:[@lon]],6,0)</f>
        <v>98.373429599999994</v>
      </c>
    </row>
    <row r="7" spans="1:5" x14ac:dyDescent="0.25">
      <c r="A7" t="s">
        <v>2808</v>
      </c>
      <c r="B7" t="str">
        <f>VLOOKUP(A7,CHOOSE({1,2},Table17[Native],Table17[Name]),2,0)</f>
        <v>Ānníng Shì</v>
      </c>
      <c r="C7">
        <v>341341</v>
      </c>
      <c r="D7">
        <f>VLOOKUP(A7,[1]!Table1[[name]:[@lon]],5,0)</f>
        <v>24.810829300000002</v>
      </c>
      <c r="E7">
        <f>VLOOKUP(A7,[1]!Table1[[name]:[@lon]],6,0)</f>
        <v>102.3949544</v>
      </c>
    </row>
    <row r="8" spans="1:5" x14ac:dyDescent="0.25">
      <c r="A8" t="s">
        <v>2807</v>
      </c>
      <c r="B8" t="str">
        <f>VLOOKUP(A8,CHOOSE({1,2},Table17[Native],Table17[Name]),2,0)</f>
        <v>Kūnmíng Shì</v>
      </c>
      <c r="C8">
        <v>4623018</v>
      </c>
      <c r="D8">
        <f>VLOOKUP(A8,[1]!Table1[[name]:[@lon]],5,0)</f>
        <v>25.468690500000001</v>
      </c>
      <c r="E8">
        <f>VLOOKUP(A8,[1]!Table1[[name]:[@lon]],6,0)</f>
        <v>102.9184735</v>
      </c>
    </row>
    <row r="9" spans="1:5" x14ac:dyDescent="0.25">
      <c r="A9" t="s">
        <v>2899</v>
      </c>
      <c r="B9" t="str">
        <f>VLOOKUP(A9,CHOOSE({1,2},Table17[Native],Table17[Name]),2,0)</f>
        <v>Zhāotōng Shì</v>
      </c>
      <c r="C9">
        <v>290230</v>
      </c>
      <c r="D9">
        <f>VLOOKUP(A9,[1]!Table1[[name]:[@lon]],5,0)</f>
        <v>27.603795300000002</v>
      </c>
      <c r="E9">
        <f>VLOOKUP(A9,[1]!Table1[[name]:[@lon]],6,0)</f>
        <v>104.0910195</v>
      </c>
    </row>
    <row r="10" spans="1:5" x14ac:dyDescent="0.25">
      <c r="A10" t="s">
        <v>2848</v>
      </c>
      <c r="B10" t="str">
        <f>VLOOKUP(A10,CHOOSE({1,2},Table17[Native],Table17[Name]),2,0)</f>
        <v>Pŭ'ĕr Shì</v>
      </c>
      <c r="C10">
        <v>100172</v>
      </c>
      <c r="D10">
        <f>VLOOKUP(A10,[1]!Table1[[name]:[@lon]],5,0)</f>
        <v>23.425600500000002</v>
      </c>
      <c r="E10">
        <f>VLOOKUP(A10,[1]!Table1[[name]:[@lon]],6,0)</f>
        <v>100.7399056</v>
      </c>
    </row>
    <row r="11" spans="1:5" x14ac:dyDescent="0.25">
      <c r="A11" t="s">
        <v>2868</v>
      </c>
      <c r="B11" t="str">
        <f>VLOOKUP(A11,CHOOSE({1,2},Table17[Native],Table17[Name]),2,0)</f>
        <v>Xuānwēi Shì</v>
      </c>
      <c r="C11">
        <v>356412</v>
      </c>
      <c r="D11">
        <f>VLOOKUP(A11,[1]!Table1[[name]:[@lon]],5,0)</f>
        <v>26.301862799999999</v>
      </c>
      <c r="E11">
        <f>VLOOKUP(A11,[1]!Table1[[name]:[@lon]],6,0)</f>
        <v>104.1359399</v>
      </c>
    </row>
    <row r="12" spans="1:5" x14ac:dyDescent="0.25">
      <c r="A12" t="s">
        <v>2860</v>
      </c>
      <c r="B12" t="str">
        <f>VLOOKUP(A12,CHOOSE({1,2},Table17[Native],Table17[Name]),2,0)</f>
        <v>Qŭjìng Shì</v>
      </c>
      <c r="C12">
        <v>663774</v>
      </c>
      <c r="D12">
        <f>VLOOKUP(A12,[1]!Table1[[name]:[@lon]],5,0)</f>
        <v>25.702667999999999</v>
      </c>
      <c r="E12">
        <f>VLOOKUP(A12,[1]!Table1[[name]:[@lon]],6,0)</f>
        <v>103.9414518</v>
      </c>
    </row>
    <row r="13" spans="1:5" x14ac:dyDescent="0.25">
      <c r="A13" t="s">
        <v>2889</v>
      </c>
      <c r="B13" t="str">
        <f>VLOOKUP(A13,CHOOSE({1,2},Table17[Native],Table17[Name]),2,0)</f>
        <v>Chéngjiāng Shì</v>
      </c>
      <c r="C13">
        <v>82390</v>
      </c>
      <c r="D13">
        <f>VLOOKUP(A13,[1]!Table1[[name]:[@lon]],5,0)</f>
        <v>24.704815700000001</v>
      </c>
      <c r="E13">
        <f>VLOOKUP(A13,[1]!Table1[[name]:[@lon]],6,0)</f>
        <v>102.9303733</v>
      </c>
    </row>
    <row r="14" spans="1:5" x14ac:dyDescent="0.25">
      <c r="A14" t="s">
        <v>2888</v>
      </c>
      <c r="B14" t="str">
        <f>VLOOKUP(A14,CHOOSE({1,2},Table17[Native],Table17[Name]),2,0)</f>
        <v>Yùxī Shì</v>
      </c>
      <c r="C14">
        <v>1024112</v>
      </c>
      <c r="D14">
        <f>VLOOKUP(A14,[1]!Table1[[name]:[@lon]],5,0)</f>
        <v>24.136021</v>
      </c>
      <c r="E14">
        <f>VLOOKUP(A14,[1]!Table1[[name]:[@lon]],6,0)</f>
        <v>102.2135036</v>
      </c>
    </row>
    <row r="15" spans="1:5" x14ac:dyDescent="0.25">
      <c r="A15" t="s">
        <v>2793</v>
      </c>
      <c r="B15" t="str">
        <f>VLOOKUP(A15,CHOOSE({1,2},Table17[Native],Table17[Name]),2,0)</f>
        <v>Gèjiù Shì</v>
      </c>
      <c r="C15">
        <v>271182</v>
      </c>
      <c r="D15">
        <f>VLOOKUP(A15,[1]!Table1[[name]:[@lon]],5,0)</f>
        <v>23.3059656</v>
      </c>
      <c r="E15">
        <f>VLOOKUP(A15,[1]!Table1[[name]:[@lon]],6,0)</f>
        <v>103.1503522</v>
      </c>
    </row>
    <row r="16" spans="1:5" x14ac:dyDescent="0.25">
      <c r="A16" t="s">
        <v>2798</v>
      </c>
      <c r="B16" t="str">
        <f>VLOOKUP(A16,CHOOSE({1,2},Table17[Native],Table17[Name]),2,0)</f>
        <v>Kāiyuăn Shì</v>
      </c>
      <c r="C16">
        <v>188104</v>
      </c>
      <c r="D16">
        <f>VLOOKUP(A16,[1]!Table1[[name]:[@lon]],5,0)</f>
        <v>23.740410000000001</v>
      </c>
      <c r="E16">
        <f>VLOOKUP(A16,[1]!Table1[[name]:[@lon]],6,0)</f>
        <v>103.3868535</v>
      </c>
    </row>
    <row r="17" spans="1:5" x14ac:dyDescent="0.25">
      <c r="A17" t="s">
        <v>2801</v>
      </c>
      <c r="B17" t="str">
        <f>VLOOKUP(A17,CHOOSE({1,2},Table17[Native],Table17[Name]),2,0)</f>
        <v>Mĕngzì Shì</v>
      </c>
      <c r="C17">
        <v>209933</v>
      </c>
      <c r="D17">
        <f>VLOOKUP(A17,[1]!Table1[[name]:[@lon]],5,0)</f>
        <v>23.296692400000001</v>
      </c>
      <c r="E17">
        <f>VLOOKUP(A17,[1]!Table1[[name]:[@lon]],6,0)</f>
        <v>103.5139659</v>
      </c>
    </row>
    <row r="18" spans="1:5" x14ac:dyDescent="0.25">
      <c r="A18" t="s">
        <v>2884</v>
      </c>
      <c r="B18" t="str">
        <f>VLOOKUP(A18,CHOOSE({1,2},Table17[Native],Table17[Name]),2,0)</f>
        <v>Jĭnghóng Shì</v>
      </c>
      <c r="C18">
        <v>158759</v>
      </c>
      <c r="D18">
        <f>VLOOKUP(A18,[1]!Table1[[name]:[@lon]],5,0)</f>
        <v>22.024209599999999</v>
      </c>
      <c r="E18">
        <f>VLOOKUP(A18,[1]!Table1[[name]:[@lon]],6,0)</f>
        <v>100.97151890000001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5B693-5CD7-4674-930B-32A141E7A28A}">
  <dimension ref="A1:I709"/>
  <sheetViews>
    <sheetView workbookViewId="0"/>
  </sheetViews>
  <sheetFormatPr defaultRowHeight="15" x14ac:dyDescent="0.25"/>
  <sheetData>
    <row r="1" spans="1:9" x14ac:dyDescent="0.25">
      <c r="A1" t="s">
        <v>2928</v>
      </c>
      <c r="B1" t="s">
        <v>3325</v>
      </c>
      <c r="C1" t="s">
        <v>2932</v>
      </c>
      <c r="D1">
        <v>25.06789581</v>
      </c>
      <c r="E1" t="s">
        <v>2929</v>
      </c>
      <c r="F1">
        <v>104.09668139999999</v>
      </c>
      <c r="G1" t="s">
        <v>2930</v>
      </c>
      <c r="H1">
        <v>70288</v>
      </c>
      <c r="I1" t="s">
        <v>2931</v>
      </c>
    </row>
    <row r="2" spans="1:9" x14ac:dyDescent="0.25">
      <c r="A2" t="s">
        <v>2928</v>
      </c>
      <c r="B2" t="s">
        <v>3227</v>
      </c>
      <c r="C2" t="s">
        <v>2932</v>
      </c>
      <c r="D2">
        <v>24.385050580000001</v>
      </c>
      <c r="E2" t="s">
        <v>2929</v>
      </c>
      <c r="F2">
        <v>100.1026974</v>
      </c>
      <c r="G2" t="s">
        <v>2930</v>
      </c>
      <c r="H2">
        <v>106054</v>
      </c>
      <c r="I2" t="s">
        <v>2931</v>
      </c>
    </row>
    <row r="3" spans="1:9" x14ac:dyDescent="0.25">
      <c r="A3" t="s">
        <v>2928</v>
      </c>
      <c r="B3" t="s">
        <v>3372</v>
      </c>
      <c r="C3" t="s">
        <v>2932</v>
      </c>
      <c r="D3">
        <v>23.817063390000001</v>
      </c>
      <c r="E3" t="s">
        <v>2929</v>
      </c>
      <c r="F3">
        <v>104.53908199999999</v>
      </c>
      <c r="G3" t="s">
        <v>2930</v>
      </c>
      <c r="H3">
        <v>53291</v>
      </c>
      <c r="I3" t="s">
        <v>2931</v>
      </c>
    </row>
    <row r="4" spans="1:9" x14ac:dyDescent="0.25">
      <c r="A4" t="s">
        <v>2928</v>
      </c>
      <c r="B4" t="s">
        <v>3265</v>
      </c>
      <c r="C4" t="s">
        <v>2932</v>
      </c>
      <c r="D4">
        <v>23.838916659999999</v>
      </c>
      <c r="E4" t="s">
        <v>2929</v>
      </c>
      <c r="F4">
        <v>100.87102040000001</v>
      </c>
      <c r="G4" t="s">
        <v>2930</v>
      </c>
      <c r="H4">
        <v>20810</v>
      </c>
      <c r="I4" t="s">
        <v>2931</v>
      </c>
    </row>
    <row r="5" spans="1:9" x14ac:dyDescent="0.25">
      <c r="A5" t="s">
        <v>2928</v>
      </c>
      <c r="B5" t="s">
        <v>3266</v>
      </c>
      <c r="C5" t="s">
        <v>2932</v>
      </c>
      <c r="D5">
        <v>24.727686859999999</v>
      </c>
      <c r="E5" t="s">
        <v>2929</v>
      </c>
      <c r="F5">
        <v>100.6552966</v>
      </c>
      <c r="G5" t="s">
        <v>2930</v>
      </c>
      <c r="H5">
        <v>19011</v>
      </c>
      <c r="I5" t="s">
        <v>2931</v>
      </c>
    </row>
    <row r="6" spans="1:9" x14ac:dyDescent="0.25">
      <c r="A6" t="s">
        <v>2928</v>
      </c>
      <c r="B6" t="s">
        <v>3166</v>
      </c>
      <c r="C6" t="s">
        <v>2932</v>
      </c>
      <c r="D6">
        <v>25.91161336</v>
      </c>
      <c r="E6" t="s">
        <v>2929</v>
      </c>
      <c r="F6">
        <v>103.224965</v>
      </c>
      <c r="G6" t="s">
        <v>2930</v>
      </c>
      <c r="H6">
        <v>30423</v>
      </c>
      <c r="I6" t="s">
        <v>2931</v>
      </c>
    </row>
    <row r="7" spans="1:9" x14ac:dyDescent="0.25">
      <c r="A7" t="s">
        <v>2928</v>
      </c>
      <c r="B7" t="s">
        <v>3373</v>
      </c>
      <c r="C7" t="s">
        <v>2932</v>
      </c>
      <c r="D7">
        <v>23.737524919999998</v>
      </c>
      <c r="E7" t="s">
        <v>2929</v>
      </c>
      <c r="F7">
        <v>105.43491109999999</v>
      </c>
      <c r="G7" t="s">
        <v>2930</v>
      </c>
      <c r="H7">
        <v>70665</v>
      </c>
      <c r="I7" t="s">
        <v>2931</v>
      </c>
    </row>
    <row r="8" spans="1:9" x14ac:dyDescent="0.25">
      <c r="A8" t="s">
        <v>2928</v>
      </c>
      <c r="B8" t="s">
        <v>3115</v>
      </c>
      <c r="C8" t="s">
        <v>2932</v>
      </c>
      <c r="D8">
        <v>22.969670919999999</v>
      </c>
      <c r="E8" t="s">
        <v>2929</v>
      </c>
      <c r="F8">
        <v>103.8538767</v>
      </c>
      <c r="G8" t="s">
        <v>2930</v>
      </c>
      <c r="H8">
        <v>24113</v>
      </c>
      <c r="I8" t="s">
        <v>2931</v>
      </c>
    </row>
    <row r="9" spans="1:9" x14ac:dyDescent="0.25">
      <c r="A9" t="s">
        <v>2928</v>
      </c>
      <c r="B9" t="s">
        <v>3451</v>
      </c>
      <c r="C9" t="s">
        <v>2932</v>
      </c>
      <c r="D9">
        <v>26.99408661</v>
      </c>
      <c r="E9" t="s">
        <v>2929</v>
      </c>
      <c r="F9">
        <v>102.9487324</v>
      </c>
      <c r="G9" t="s">
        <v>2930</v>
      </c>
      <c r="H9">
        <v>101175</v>
      </c>
      <c r="I9" t="s">
        <v>2931</v>
      </c>
    </row>
    <row r="10" spans="1:9" x14ac:dyDescent="0.25">
      <c r="A10" t="s">
        <v>2928</v>
      </c>
      <c r="B10" t="s">
        <v>2966</v>
      </c>
      <c r="C10" t="s">
        <v>2932</v>
      </c>
      <c r="D10">
        <v>25.66049877</v>
      </c>
      <c r="E10" t="s">
        <v>2929</v>
      </c>
      <c r="F10">
        <v>102.0283287</v>
      </c>
      <c r="G10" t="s">
        <v>2930</v>
      </c>
      <c r="H10">
        <v>14156</v>
      </c>
      <c r="I10" t="s">
        <v>2931</v>
      </c>
    </row>
    <row r="11" spans="1:9" x14ac:dyDescent="0.25">
      <c r="A11" t="s">
        <v>2928</v>
      </c>
      <c r="B11" t="s">
        <v>3203</v>
      </c>
      <c r="C11" t="s">
        <v>2932</v>
      </c>
      <c r="D11">
        <v>27.0123274</v>
      </c>
      <c r="E11" t="s">
        <v>2929</v>
      </c>
      <c r="F11">
        <v>100.2145592</v>
      </c>
      <c r="G11" t="s">
        <v>2930</v>
      </c>
      <c r="H11">
        <v>8157</v>
      </c>
      <c r="I11" t="s">
        <v>2931</v>
      </c>
    </row>
    <row r="12" spans="1:9" x14ac:dyDescent="0.25">
      <c r="A12" t="s">
        <v>2928</v>
      </c>
      <c r="B12" t="s">
        <v>3021</v>
      </c>
      <c r="C12" t="s">
        <v>2932</v>
      </c>
      <c r="D12">
        <v>26.256015789999999</v>
      </c>
      <c r="E12" t="s">
        <v>2929</v>
      </c>
      <c r="F12">
        <v>99.407461600000005</v>
      </c>
      <c r="G12" t="s">
        <v>2930</v>
      </c>
      <c r="H12">
        <v>12956</v>
      </c>
      <c r="I12" t="s">
        <v>2931</v>
      </c>
    </row>
    <row r="13" spans="1:9" x14ac:dyDescent="0.25">
      <c r="A13" t="s">
        <v>2928</v>
      </c>
      <c r="B13" t="s">
        <v>4934</v>
      </c>
      <c r="C13" t="s">
        <v>2932</v>
      </c>
      <c r="D13">
        <v>24.61734246</v>
      </c>
      <c r="E13" t="s">
        <v>2929</v>
      </c>
      <c r="F13">
        <v>103.8678738</v>
      </c>
      <c r="G13" t="s">
        <v>2930</v>
      </c>
      <c r="H13">
        <v>47401</v>
      </c>
      <c r="I13" t="s">
        <v>2931</v>
      </c>
    </row>
    <row r="14" spans="1:9" x14ac:dyDescent="0.25">
      <c r="A14" t="s">
        <v>2928</v>
      </c>
      <c r="B14" t="s">
        <v>4935</v>
      </c>
      <c r="C14" t="s">
        <v>2932</v>
      </c>
      <c r="D14">
        <v>25.655046769999998</v>
      </c>
      <c r="E14" t="s">
        <v>2929</v>
      </c>
      <c r="F14">
        <v>104.0063047</v>
      </c>
      <c r="G14" t="s">
        <v>2930</v>
      </c>
      <c r="H14">
        <v>38740</v>
      </c>
      <c r="I14" t="s">
        <v>2931</v>
      </c>
    </row>
    <row r="15" spans="1:9" x14ac:dyDescent="0.25">
      <c r="A15" t="s">
        <v>2928</v>
      </c>
      <c r="B15" t="s">
        <v>2967</v>
      </c>
      <c r="C15" t="s">
        <v>2932</v>
      </c>
      <c r="D15">
        <v>24.90094788</v>
      </c>
      <c r="E15" t="s">
        <v>2929</v>
      </c>
      <c r="F15">
        <v>100.96769430000001</v>
      </c>
      <c r="G15" t="s">
        <v>2930</v>
      </c>
      <c r="H15">
        <v>16317</v>
      </c>
      <c r="I15" t="s">
        <v>2931</v>
      </c>
    </row>
    <row r="16" spans="1:9" x14ac:dyDescent="0.25">
      <c r="A16" t="s">
        <v>2928</v>
      </c>
      <c r="B16" t="s">
        <v>3267</v>
      </c>
      <c r="C16" t="s">
        <v>2932</v>
      </c>
      <c r="D16">
        <v>23.05501903</v>
      </c>
      <c r="E16" t="s">
        <v>2929</v>
      </c>
      <c r="F16">
        <v>101.9223633</v>
      </c>
      <c r="G16" t="s">
        <v>2930</v>
      </c>
      <c r="H16">
        <v>20474</v>
      </c>
      <c r="I16" t="s">
        <v>2931</v>
      </c>
    </row>
    <row r="17" spans="1:9" x14ac:dyDescent="0.25">
      <c r="A17" t="s">
        <v>2928</v>
      </c>
      <c r="B17" t="s">
        <v>3374</v>
      </c>
      <c r="C17" t="s">
        <v>2932</v>
      </c>
      <c r="D17">
        <v>24.315372279999998</v>
      </c>
      <c r="E17" t="s">
        <v>2929</v>
      </c>
      <c r="F17">
        <v>105.00769529999999</v>
      </c>
      <c r="G17" t="s">
        <v>2930</v>
      </c>
      <c r="H17">
        <v>64188</v>
      </c>
      <c r="I17" t="s">
        <v>2931</v>
      </c>
    </row>
    <row r="18" spans="1:9" x14ac:dyDescent="0.25">
      <c r="A18" t="s">
        <v>2928</v>
      </c>
      <c r="B18" t="s">
        <v>3452</v>
      </c>
      <c r="C18" t="s">
        <v>2932</v>
      </c>
      <c r="D18">
        <v>28.467190290000001</v>
      </c>
      <c r="E18" t="s">
        <v>2929</v>
      </c>
      <c r="F18">
        <v>104.0221622</v>
      </c>
      <c r="G18" t="s">
        <v>2930</v>
      </c>
      <c r="H18">
        <v>19029</v>
      </c>
      <c r="I18" t="s">
        <v>2931</v>
      </c>
    </row>
    <row r="19" spans="1:9" x14ac:dyDescent="0.25">
      <c r="A19" t="s">
        <v>2928</v>
      </c>
      <c r="B19" t="s">
        <v>4936</v>
      </c>
      <c r="C19" t="s">
        <v>2932</v>
      </c>
      <c r="D19">
        <v>25.241982119999999</v>
      </c>
      <c r="E19" t="s">
        <v>2929</v>
      </c>
      <c r="F19">
        <v>99.183090390000004</v>
      </c>
      <c r="G19" t="s">
        <v>2930</v>
      </c>
      <c r="H19">
        <v>97512</v>
      </c>
      <c r="I19" t="s">
        <v>2931</v>
      </c>
    </row>
    <row r="20" spans="1:9" x14ac:dyDescent="0.25">
      <c r="A20" t="s">
        <v>2928</v>
      </c>
      <c r="B20" t="s">
        <v>4937</v>
      </c>
      <c r="C20" t="s">
        <v>2932</v>
      </c>
      <c r="D20">
        <v>25.139282269999999</v>
      </c>
      <c r="E20" t="s">
        <v>2929</v>
      </c>
      <c r="F20">
        <v>103.7846904</v>
      </c>
      <c r="G20" t="s">
        <v>2930</v>
      </c>
      <c r="H20">
        <v>86975</v>
      </c>
      <c r="I20" t="s">
        <v>2931</v>
      </c>
    </row>
    <row r="21" spans="1:9" x14ac:dyDescent="0.25">
      <c r="A21" t="s">
        <v>2928</v>
      </c>
      <c r="B21" t="s">
        <v>4938</v>
      </c>
      <c r="C21" t="s">
        <v>2932</v>
      </c>
      <c r="D21">
        <v>24.952392100000001</v>
      </c>
      <c r="E21" t="s">
        <v>2929</v>
      </c>
      <c r="F21">
        <v>104.46740610000001</v>
      </c>
      <c r="G21" t="s">
        <v>2930</v>
      </c>
      <c r="H21">
        <v>43825</v>
      </c>
      <c r="I21" t="s">
        <v>2931</v>
      </c>
    </row>
    <row r="22" spans="1:9" x14ac:dyDescent="0.25">
      <c r="A22" t="s">
        <v>2928</v>
      </c>
      <c r="B22" t="s">
        <v>3106</v>
      </c>
      <c r="C22" t="s">
        <v>2932</v>
      </c>
      <c r="D22">
        <v>27.22872164</v>
      </c>
      <c r="E22" t="s">
        <v>2929</v>
      </c>
      <c r="F22">
        <v>99.300811609999997</v>
      </c>
      <c r="G22" t="s">
        <v>2930</v>
      </c>
      <c r="H22">
        <v>13446</v>
      </c>
      <c r="I22" t="s">
        <v>2931</v>
      </c>
    </row>
    <row r="23" spans="1:9" x14ac:dyDescent="0.25">
      <c r="A23" t="s">
        <v>2928</v>
      </c>
      <c r="B23" t="s">
        <v>4939</v>
      </c>
      <c r="C23" t="s">
        <v>2932</v>
      </c>
      <c r="D23">
        <v>24.896834139999999</v>
      </c>
      <c r="E23" t="s">
        <v>2929</v>
      </c>
      <c r="F23">
        <v>100.49606679999999</v>
      </c>
      <c r="G23" t="s">
        <v>2930</v>
      </c>
      <c r="H23">
        <v>29011</v>
      </c>
      <c r="I23" t="s">
        <v>2931</v>
      </c>
    </row>
    <row r="24" spans="1:9" x14ac:dyDescent="0.25">
      <c r="A24" t="s">
        <v>2928</v>
      </c>
      <c r="B24" t="s">
        <v>4940</v>
      </c>
      <c r="C24" t="s">
        <v>2932</v>
      </c>
      <c r="D24">
        <v>23.245990679999998</v>
      </c>
      <c r="E24" t="s">
        <v>2929</v>
      </c>
      <c r="F24">
        <v>102.3348901</v>
      </c>
      <c r="G24" t="s">
        <v>2930</v>
      </c>
      <c r="H24">
        <v>21891</v>
      </c>
      <c r="I24" t="s">
        <v>2931</v>
      </c>
    </row>
    <row r="25" spans="1:9" x14ac:dyDescent="0.25">
      <c r="A25" t="s">
        <v>2928</v>
      </c>
      <c r="B25" t="s">
        <v>3326</v>
      </c>
      <c r="C25" t="s">
        <v>2932</v>
      </c>
      <c r="D25">
        <v>26.317498830000002</v>
      </c>
      <c r="E25" t="s">
        <v>2929</v>
      </c>
      <c r="F25">
        <v>104.4884845</v>
      </c>
      <c r="G25" t="s">
        <v>2930</v>
      </c>
      <c r="H25">
        <v>55388</v>
      </c>
      <c r="I25" t="s">
        <v>2931</v>
      </c>
    </row>
    <row r="26" spans="1:9" x14ac:dyDescent="0.25">
      <c r="A26" t="s">
        <v>2928</v>
      </c>
      <c r="B26" t="s">
        <v>3116</v>
      </c>
      <c r="C26" t="s">
        <v>2932</v>
      </c>
      <c r="D26">
        <v>23.75004006</v>
      </c>
      <c r="E26" t="s">
        <v>2929</v>
      </c>
      <c r="F26">
        <v>102.2959062</v>
      </c>
      <c r="G26" t="s">
        <v>2930</v>
      </c>
      <c r="H26">
        <v>49575</v>
      </c>
      <c r="I26" t="s">
        <v>2931</v>
      </c>
    </row>
    <row r="27" spans="1:9" x14ac:dyDescent="0.25">
      <c r="A27" t="s">
        <v>2928</v>
      </c>
      <c r="B27" t="s">
        <v>3268</v>
      </c>
      <c r="C27" t="s">
        <v>2932</v>
      </c>
      <c r="D27">
        <v>22.719666629999999</v>
      </c>
      <c r="E27" t="s">
        <v>2929</v>
      </c>
      <c r="F27">
        <v>101.6518212</v>
      </c>
      <c r="G27" t="s">
        <v>2930</v>
      </c>
      <c r="H27">
        <v>9102</v>
      </c>
      <c r="I27" t="s">
        <v>2931</v>
      </c>
    </row>
    <row r="28" spans="1:9" x14ac:dyDescent="0.25">
      <c r="A28" t="s">
        <v>2928</v>
      </c>
      <c r="B28" t="s">
        <v>3117</v>
      </c>
      <c r="C28" t="s">
        <v>2932</v>
      </c>
      <c r="D28">
        <v>23.644703249999999</v>
      </c>
      <c r="E28" t="s">
        <v>2929</v>
      </c>
      <c r="F28">
        <v>102.6038147</v>
      </c>
      <c r="G28" t="s">
        <v>2930</v>
      </c>
      <c r="H28">
        <v>27303</v>
      </c>
      <c r="I28" t="s">
        <v>2931</v>
      </c>
    </row>
    <row r="29" spans="1:9" x14ac:dyDescent="0.25">
      <c r="A29" t="s">
        <v>2928</v>
      </c>
      <c r="B29" t="s">
        <v>3375</v>
      </c>
      <c r="C29" t="s">
        <v>2932</v>
      </c>
      <c r="D29">
        <v>23.01982808</v>
      </c>
      <c r="E29" t="s">
        <v>2929</v>
      </c>
      <c r="F29">
        <v>104.01908450000001</v>
      </c>
      <c r="G29" t="s">
        <v>2930</v>
      </c>
      <c r="H29">
        <v>43755</v>
      </c>
      <c r="I29" t="s">
        <v>2931</v>
      </c>
    </row>
    <row r="30" spans="1:9" x14ac:dyDescent="0.25">
      <c r="A30" t="s">
        <v>2928</v>
      </c>
      <c r="B30" t="s">
        <v>3167</v>
      </c>
      <c r="C30" t="s">
        <v>2932</v>
      </c>
      <c r="D30">
        <v>25.036975139999999</v>
      </c>
      <c r="E30" t="s">
        <v>2929</v>
      </c>
      <c r="F30">
        <v>103.19934309999999</v>
      </c>
      <c r="G30" t="s">
        <v>2930</v>
      </c>
      <c r="H30">
        <v>53604</v>
      </c>
      <c r="I30" t="s">
        <v>2931</v>
      </c>
    </row>
    <row r="31" spans="1:9" x14ac:dyDescent="0.25">
      <c r="A31" t="s">
        <v>2928</v>
      </c>
      <c r="B31" t="s">
        <v>3453</v>
      </c>
      <c r="C31" t="s">
        <v>2932</v>
      </c>
      <c r="D31">
        <v>27.433379729999999</v>
      </c>
      <c r="E31" t="s">
        <v>2929</v>
      </c>
      <c r="F31">
        <v>103.789412</v>
      </c>
      <c r="G31" t="s">
        <v>2930</v>
      </c>
      <c r="H31">
        <v>49984</v>
      </c>
      <c r="I31" t="s">
        <v>2931</v>
      </c>
    </row>
    <row r="32" spans="1:9" x14ac:dyDescent="0.25">
      <c r="A32" t="s">
        <v>2928</v>
      </c>
      <c r="B32" t="s">
        <v>3107</v>
      </c>
      <c r="C32" t="s">
        <v>2932</v>
      </c>
      <c r="D32">
        <v>28.278197370000001</v>
      </c>
      <c r="E32" t="s">
        <v>2929</v>
      </c>
      <c r="F32">
        <v>99.191604229999996</v>
      </c>
      <c r="G32" t="s">
        <v>2930</v>
      </c>
      <c r="H32">
        <v>10837</v>
      </c>
      <c r="I32" t="s">
        <v>2931</v>
      </c>
    </row>
    <row r="33" spans="1:9" x14ac:dyDescent="0.25">
      <c r="A33" t="s">
        <v>2928</v>
      </c>
      <c r="B33" t="s">
        <v>2968</v>
      </c>
      <c r="C33" t="s">
        <v>2932</v>
      </c>
      <c r="D33">
        <v>25.276343430000001</v>
      </c>
      <c r="E33" t="s">
        <v>2929</v>
      </c>
      <c r="F33">
        <v>102.3151886</v>
      </c>
      <c r="G33" t="s">
        <v>2930</v>
      </c>
      <c r="H33">
        <v>46577</v>
      </c>
      <c r="I33" t="s">
        <v>2931</v>
      </c>
    </row>
    <row r="34" spans="1:9" x14ac:dyDescent="0.25">
      <c r="A34" t="s">
        <v>2928</v>
      </c>
      <c r="B34" t="s">
        <v>3253</v>
      </c>
      <c r="C34" t="s">
        <v>2932</v>
      </c>
      <c r="D34">
        <v>28.0382927</v>
      </c>
      <c r="E34" t="s">
        <v>2929</v>
      </c>
      <c r="F34">
        <v>98.565056639999995</v>
      </c>
      <c r="G34" t="s">
        <v>2930</v>
      </c>
      <c r="H34">
        <v>6465</v>
      </c>
      <c r="I34" t="s">
        <v>2931</v>
      </c>
    </row>
    <row r="35" spans="1:9" x14ac:dyDescent="0.25">
      <c r="A35" t="s">
        <v>2928</v>
      </c>
      <c r="B35" t="s">
        <v>3022</v>
      </c>
      <c r="C35" t="s">
        <v>2932</v>
      </c>
      <c r="D35">
        <v>25.67109254</v>
      </c>
      <c r="E35" t="s">
        <v>2929</v>
      </c>
      <c r="F35">
        <v>100.4738792</v>
      </c>
      <c r="G35" t="s">
        <v>2930</v>
      </c>
      <c r="H35">
        <v>36275</v>
      </c>
      <c r="I35" t="s">
        <v>2931</v>
      </c>
    </row>
    <row r="36" spans="1:9" x14ac:dyDescent="0.25">
      <c r="A36" t="s">
        <v>2928</v>
      </c>
      <c r="B36" t="s">
        <v>3376</v>
      </c>
      <c r="C36" t="s">
        <v>2932</v>
      </c>
      <c r="D36">
        <v>23.95389205</v>
      </c>
      <c r="E36" t="s">
        <v>2929</v>
      </c>
      <c r="F36">
        <v>106.0386819</v>
      </c>
      <c r="G36" t="s">
        <v>2930</v>
      </c>
      <c r="H36">
        <v>21171</v>
      </c>
      <c r="I36" t="s">
        <v>2931</v>
      </c>
    </row>
    <row r="37" spans="1:9" x14ac:dyDescent="0.25">
      <c r="A37" t="s">
        <v>2928</v>
      </c>
      <c r="B37" t="s">
        <v>3023</v>
      </c>
      <c r="C37" t="s">
        <v>2932</v>
      </c>
      <c r="D37">
        <v>25.432450880000001</v>
      </c>
      <c r="E37" t="s">
        <v>2929</v>
      </c>
      <c r="F37">
        <v>99.493934120000006</v>
      </c>
      <c r="G37" t="s">
        <v>2930</v>
      </c>
      <c r="H37">
        <v>55685</v>
      </c>
      <c r="I37" t="s">
        <v>2931</v>
      </c>
    </row>
    <row r="38" spans="1:9" x14ac:dyDescent="0.25">
      <c r="A38" t="s">
        <v>2928</v>
      </c>
      <c r="B38" t="s">
        <v>3228</v>
      </c>
      <c r="C38" t="s">
        <v>2932</v>
      </c>
      <c r="D38">
        <v>23.742080399999999</v>
      </c>
      <c r="E38" t="s">
        <v>2929</v>
      </c>
      <c r="F38">
        <v>100.0675632</v>
      </c>
      <c r="G38" t="s">
        <v>2930</v>
      </c>
      <c r="H38">
        <v>36764</v>
      </c>
      <c r="I38" t="s">
        <v>2931</v>
      </c>
    </row>
    <row r="39" spans="1:9" x14ac:dyDescent="0.25">
      <c r="A39" t="s">
        <v>2928</v>
      </c>
      <c r="B39" t="s">
        <v>3377</v>
      </c>
      <c r="C39" t="s">
        <v>2932</v>
      </c>
      <c r="D39">
        <v>23.432716899999999</v>
      </c>
      <c r="E39" t="s">
        <v>2929</v>
      </c>
      <c r="F39">
        <v>103.9029379</v>
      </c>
      <c r="G39" t="s">
        <v>2930</v>
      </c>
      <c r="H39">
        <v>27309</v>
      </c>
      <c r="I39" t="s">
        <v>2931</v>
      </c>
    </row>
    <row r="40" spans="1:9" x14ac:dyDescent="0.25">
      <c r="A40" t="s">
        <v>2928</v>
      </c>
      <c r="B40" t="s">
        <v>4941</v>
      </c>
      <c r="C40" t="s">
        <v>2932</v>
      </c>
      <c r="D40">
        <v>24.967235599999999</v>
      </c>
      <c r="E40" t="s">
        <v>2929</v>
      </c>
      <c r="F40">
        <v>101.86633449999999</v>
      </c>
      <c r="G40" t="s">
        <v>2930</v>
      </c>
      <c r="H40">
        <v>17349</v>
      </c>
      <c r="I40" t="s">
        <v>2931</v>
      </c>
    </row>
    <row r="41" spans="1:9" x14ac:dyDescent="0.25">
      <c r="A41" t="s">
        <v>2928</v>
      </c>
      <c r="B41" t="s">
        <v>4942</v>
      </c>
      <c r="C41" t="s">
        <v>2932</v>
      </c>
      <c r="D41">
        <v>24.727908840000001</v>
      </c>
      <c r="E41" t="s">
        <v>2929</v>
      </c>
      <c r="F41">
        <v>103.9305195</v>
      </c>
      <c r="G41" t="s">
        <v>2930</v>
      </c>
      <c r="H41">
        <v>39191</v>
      </c>
      <c r="I41" t="s">
        <v>2931</v>
      </c>
    </row>
    <row r="42" spans="1:9" x14ac:dyDescent="0.25">
      <c r="A42" t="s">
        <v>2928</v>
      </c>
      <c r="B42" t="s">
        <v>2969</v>
      </c>
      <c r="C42" t="s">
        <v>2932</v>
      </c>
      <c r="D42">
        <v>25.03530662</v>
      </c>
      <c r="E42" t="s">
        <v>2929</v>
      </c>
      <c r="F42">
        <v>101.6954013</v>
      </c>
      <c r="G42" t="s">
        <v>2930</v>
      </c>
      <c r="H42">
        <v>27750</v>
      </c>
      <c r="I42" t="s">
        <v>2931</v>
      </c>
    </row>
    <row r="43" spans="1:9" x14ac:dyDescent="0.25">
      <c r="A43" t="s">
        <v>2928</v>
      </c>
      <c r="B43" t="s">
        <v>3024</v>
      </c>
      <c r="C43" t="s">
        <v>2932</v>
      </c>
      <c r="D43">
        <v>25.681802080000001</v>
      </c>
      <c r="E43" t="s">
        <v>2929</v>
      </c>
      <c r="F43">
        <v>99.958552299999994</v>
      </c>
      <c r="G43" t="s">
        <v>2930</v>
      </c>
      <c r="H43">
        <v>40456</v>
      </c>
      <c r="I43" t="s">
        <v>2931</v>
      </c>
    </row>
    <row r="44" spans="1:9" x14ac:dyDescent="0.25">
      <c r="A44" t="s">
        <v>2928</v>
      </c>
      <c r="B44" t="s">
        <v>3118</v>
      </c>
      <c r="C44" t="s">
        <v>2932</v>
      </c>
      <c r="D44">
        <v>23.510606249999999</v>
      </c>
      <c r="E44" t="s">
        <v>2929</v>
      </c>
      <c r="F44">
        <v>103.3745199</v>
      </c>
      <c r="G44" t="s">
        <v>2930</v>
      </c>
      <c r="H44">
        <v>37696</v>
      </c>
      <c r="I44" t="s">
        <v>2931</v>
      </c>
    </row>
    <row r="45" spans="1:9" x14ac:dyDescent="0.25">
      <c r="A45" t="s">
        <v>2928</v>
      </c>
      <c r="B45" t="s">
        <v>3025</v>
      </c>
      <c r="C45" t="s">
        <v>2932</v>
      </c>
      <c r="D45">
        <v>26.5572874</v>
      </c>
      <c r="E45" t="s">
        <v>2929</v>
      </c>
      <c r="F45">
        <v>100.17384869999999</v>
      </c>
      <c r="G45" t="s">
        <v>2930</v>
      </c>
      <c r="H45">
        <v>41692</v>
      </c>
      <c r="I45" t="s">
        <v>2931</v>
      </c>
    </row>
    <row r="46" spans="1:9" x14ac:dyDescent="0.25">
      <c r="A46" t="s">
        <v>2928</v>
      </c>
      <c r="B46" t="s">
        <v>3026</v>
      </c>
      <c r="C46" t="s">
        <v>2932</v>
      </c>
      <c r="D46">
        <v>25.662134200000001</v>
      </c>
      <c r="E46" t="s">
        <v>2929</v>
      </c>
      <c r="F46">
        <v>99.102895020000005</v>
      </c>
      <c r="G46" t="s">
        <v>2930</v>
      </c>
      <c r="H46">
        <v>32779</v>
      </c>
      <c r="I46" t="s">
        <v>2931</v>
      </c>
    </row>
    <row r="47" spans="1:9" x14ac:dyDescent="0.25">
      <c r="A47" t="s">
        <v>2928</v>
      </c>
      <c r="B47" t="s">
        <v>2970</v>
      </c>
      <c r="C47" t="s">
        <v>2932</v>
      </c>
      <c r="D47">
        <v>25.715827130000001</v>
      </c>
      <c r="E47" t="s">
        <v>2929</v>
      </c>
      <c r="F47">
        <v>102.2919297</v>
      </c>
      <c r="G47" t="s">
        <v>2930</v>
      </c>
      <c r="H47">
        <v>22703</v>
      </c>
      <c r="I47" t="s">
        <v>2931</v>
      </c>
    </row>
    <row r="48" spans="1:9" x14ac:dyDescent="0.25">
      <c r="A48" t="s">
        <v>2928</v>
      </c>
      <c r="B48" t="s">
        <v>3119</v>
      </c>
      <c r="C48" t="s">
        <v>2932</v>
      </c>
      <c r="D48">
        <v>23.847568949999999</v>
      </c>
      <c r="E48" t="s">
        <v>2929</v>
      </c>
      <c r="F48">
        <v>103.0255124</v>
      </c>
      <c r="G48" t="s">
        <v>2930</v>
      </c>
      <c r="H48">
        <v>24105</v>
      </c>
      <c r="I48" t="s">
        <v>2931</v>
      </c>
    </row>
    <row r="49" spans="1:9" x14ac:dyDescent="0.25">
      <c r="A49" t="s">
        <v>2928</v>
      </c>
      <c r="B49" t="s">
        <v>3454</v>
      </c>
      <c r="C49" t="s">
        <v>2932</v>
      </c>
      <c r="D49">
        <v>27.84062334</v>
      </c>
      <c r="E49" t="s">
        <v>2929</v>
      </c>
      <c r="F49">
        <v>104.7669101</v>
      </c>
      <c r="G49" t="s">
        <v>2930</v>
      </c>
      <c r="H49">
        <v>27406</v>
      </c>
      <c r="I49" t="s">
        <v>2931</v>
      </c>
    </row>
    <row r="50" spans="1:9" x14ac:dyDescent="0.25">
      <c r="A50" t="s">
        <v>2928</v>
      </c>
      <c r="B50" t="s">
        <v>3455</v>
      </c>
      <c r="C50" t="s">
        <v>2932</v>
      </c>
      <c r="D50">
        <v>27.400718529999999</v>
      </c>
      <c r="E50" t="s">
        <v>2929</v>
      </c>
      <c r="F50">
        <v>104.7489928</v>
      </c>
      <c r="G50" t="s">
        <v>2930</v>
      </c>
      <c r="H50">
        <v>51934</v>
      </c>
      <c r="I50" t="s">
        <v>2931</v>
      </c>
    </row>
    <row r="51" spans="1:9" x14ac:dyDescent="0.25">
      <c r="A51" t="s">
        <v>2928</v>
      </c>
      <c r="B51" t="s">
        <v>3168</v>
      </c>
      <c r="C51" t="s">
        <v>2932</v>
      </c>
      <c r="D51">
        <v>24.680116760000001</v>
      </c>
      <c r="E51" t="s">
        <v>2929</v>
      </c>
      <c r="F51">
        <v>103.42154189999999</v>
      </c>
      <c r="G51" t="s">
        <v>2930</v>
      </c>
      <c r="H51">
        <v>15753</v>
      </c>
      <c r="I51" t="s">
        <v>2931</v>
      </c>
    </row>
    <row r="52" spans="1:9" x14ac:dyDescent="0.25">
      <c r="A52" t="s">
        <v>2928</v>
      </c>
      <c r="B52" t="s">
        <v>3204</v>
      </c>
      <c r="C52" t="s">
        <v>2932</v>
      </c>
      <c r="D52">
        <v>26.509657229999998</v>
      </c>
      <c r="E52" t="s">
        <v>2929</v>
      </c>
      <c r="F52">
        <v>100.67326250000001</v>
      </c>
      <c r="G52" t="s">
        <v>2930</v>
      </c>
      <c r="H52">
        <v>39766</v>
      </c>
      <c r="I52" t="s">
        <v>2931</v>
      </c>
    </row>
    <row r="53" spans="1:9" x14ac:dyDescent="0.25">
      <c r="A53" t="s">
        <v>2928</v>
      </c>
      <c r="B53" t="s">
        <v>3086</v>
      </c>
      <c r="C53" t="s">
        <v>2932</v>
      </c>
      <c r="D53">
        <v>24.36607257</v>
      </c>
      <c r="E53" t="s">
        <v>2929</v>
      </c>
      <c r="F53">
        <v>97.944424350000006</v>
      </c>
      <c r="G53" t="s">
        <v>2930</v>
      </c>
      <c r="H53">
        <v>24768</v>
      </c>
      <c r="I53" t="s">
        <v>2931</v>
      </c>
    </row>
    <row r="54" spans="1:9" x14ac:dyDescent="0.25">
      <c r="A54" t="s">
        <v>2928</v>
      </c>
      <c r="B54" t="s">
        <v>3169</v>
      </c>
      <c r="C54" t="s">
        <v>2932</v>
      </c>
      <c r="D54">
        <v>25.376071240000002</v>
      </c>
      <c r="E54" t="s">
        <v>2929</v>
      </c>
      <c r="F54">
        <v>102.5440847</v>
      </c>
      <c r="G54" t="s">
        <v>2930</v>
      </c>
      <c r="H54">
        <v>8984</v>
      </c>
      <c r="I54" t="s">
        <v>2931</v>
      </c>
    </row>
    <row r="55" spans="1:9" x14ac:dyDescent="0.25">
      <c r="A55" t="s">
        <v>2928</v>
      </c>
      <c r="B55" t="s">
        <v>3456</v>
      </c>
      <c r="C55" t="s">
        <v>2932</v>
      </c>
      <c r="D55">
        <v>27.518114390000001</v>
      </c>
      <c r="E55" t="s">
        <v>2929</v>
      </c>
      <c r="F55">
        <v>104.8339835</v>
      </c>
      <c r="G55" t="s">
        <v>2930</v>
      </c>
      <c r="H55">
        <v>58002</v>
      </c>
      <c r="I55" t="s">
        <v>2931</v>
      </c>
    </row>
    <row r="56" spans="1:9" x14ac:dyDescent="0.25">
      <c r="A56" t="s">
        <v>2928</v>
      </c>
      <c r="B56" t="s">
        <v>3457</v>
      </c>
      <c r="C56" t="s">
        <v>2932</v>
      </c>
      <c r="D56">
        <v>26.86171818</v>
      </c>
      <c r="E56" t="s">
        <v>2929</v>
      </c>
      <c r="F56">
        <v>103.11096379999999</v>
      </c>
      <c r="G56" t="s">
        <v>2930</v>
      </c>
      <c r="H56">
        <v>32998</v>
      </c>
      <c r="I56" t="s">
        <v>2931</v>
      </c>
    </row>
    <row r="57" spans="1:9" x14ac:dyDescent="0.25">
      <c r="A57" t="s">
        <v>2928</v>
      </c>
      <c r="B57" t="s">
        <v>3254</v>
      </c>
      <c r="C57" t="s">
        <v>2932</v>
      </c>
      <c r="D57">
        <v>27.72690248</v>
      </c>
      <c r="E57" t="s">
        <v>2929</v>
      </c>
      <c r="F57">
        <v>98.627813700000004</v>
      </c>
      <c r="G57" t="s">
        <v>2930</v>
      </c>
      <c r="H57">
        <v>14478</v>
      </c>
      <c r="I57" t="s">
        <v>2931</v>
      </c>
    </row>
    <row r="58" spans="1:9" x14ac:dyDescent="0.25">
      <c r="A58" t="s">
        <v>2928</v>
      </c>
      <c r="B58" t="s">
        <v>3327</v>
      </c>
      <c r="C58" t="s">
        <v>2932</v>
      </c>
      <c r="D58">
        <v>25.367370619999999</v>
      </c>
      <c r="E58" t="s">
        <v>2929</v>
      </c>
      <c r="F58">
        <v>103.9639698</v>
      </c>
      <c r="G58" t="s">
        <v>2930</v>
      </c>
      <c r="H58">
        <v>29060</v>
      </c>
      <c r="I58" t="s">
        <v>2931</v>
      </c>
    </row>
    <row r="59" spans="1:9" x14ac:dyDescent="0.25">
      <c r="A59" t="s">
        <v>2928</v>
      </c>
      <c r="B59" t="s">
        <v>4943</v>
      </c>
      <c r="C59" t="s">
        <v>2932</v>
      </c>
      <c r="D59">
        <v>25.656266899999999</v>
      </c>
      <c r="E59" t="s">
        <v>2929</v>
      </c>
      <c r="F59">
        <v>102.6176495</v>
      </c>
      <c r="G59" t="s">
        <v>2930</v>
      </c>
      <c r="H59">
        <v>32597</v>
      </c>
      <c r="I59" t="s">
        <v>2931</v>
      </c>
    </row>
    <row r="60" spans="1:9" x14ac:dyDescent="0.25">
      <c r="A60" t="s">
        <v>2928</v>
      </c>
      <c r="B60" t="s">
        <v>4944</v>
      </c>
      <c r="C60" t="s">
        <v>2932</v>
      </c>
      <c r="D60">
        <v>27.780018770000002</v>
      </c>
      <c r="E60" t="s">
        <v>2929</v>
      </c>
      <c r="F60">
        <v>103.89160560000001</v>
      </c>
      <c r="G60" t="s">
        <v>2930</v>
      </c>
      <c r="H60">
        <v>42262</v>
      </c>
      <c r="I60" t="s">
        <v>2931</v>
      </c>
    </row>
    <row r="61" spans="1:9" x14ac:dyDescent="0.25">
      <c r="A61" t="s">
        <v>2928</v>
      </c>
      <c r="B61" t="s">
        <v>3027</v>
      </c>
      <c r="C61" t="s">
        <v>2932</v>
      </c>
      <c r="D61">
        <v>25.389437040000001</v>
      </c>
      <c r="E61" t="s">
        <v>2929</v>
      </c>
      <c r="F61">
        <v>100.237448</v>
      </c>
      <c r="G61" t="s">
        <v>2930</v>
      </c>
      <c r="H61">
        <v>49667</v>
      </c>
      <c r="I61" t="s">
        <v>2931</v>
      </c>
    </row>
    <row r="62" spans="1:9" x14ac:dyDescent="0.25">
      <c r="A62" t="s">
        <v>2928</v>
      </c>
      <c r="B62" t="s">
        <v>3269</v>
      </c>
      <c r="C62" t="s">
        <v>2932</v>
      </c>
      <c r="D62">
        <v>24.103095710000002</v>
      </c>
      <c r="E62" t="s">
        <v>2929</v>
      </c>
      <c r="F62">
        <v>100.5621934</v>
      </c>
      <c r="G62" t="s">
        <v>2930</v>
      </c>
      <c r="H62">
        <v>27806</v>
      </c>
      <c r="I62" t="s">
        <v>2931</v>
      </c>
    </row>
    <row r="63" spans="1:9" x14ac:dyDescent="0.25">
      <c r="A63" t="s">
        <v>2928</v>
      </c>
      <c r="B63" t="s">
        <v>3229</v>
      </c>
      <c r="C63" t="s">
        <v>2932</v>
      </c>
      <c r="D63">
        <v>24.034888639999998</v>
      </c>
      <c r="E63" t="s">
        <v>2929</v>
      </c>
      <c r="F63">
        <v>100.31548309999999</v>
      </c>
      <c r="G63" t="s">
        <v>2930</v>
      </c>
      <c r="H63">
        <v>17533</v>
      </c>
      <c r="I63" t="s">
        <v>2931</v>
      </c>
    </row>
    <row r="64" spans="1:9" x14ac:dyDescent="0.25">
      <c r="A64" t="s">
        <v>2928</v>
      </c>
      <c r="B64" t="s">
        <v>3328</v>
      </c>
      <c r="C64" t="s">
        <v>2932</v>
      </c>
      <c r="D64">
        <v>25.557607050000001</v>
      </c>
      <c r="E64" t="s">
        <v>2929</v>
      </c>
      <c r="F64">
        <v>104.3096544</v>
      </c>
      <c r="G64" t="s">
        <v>2930</v>
      </c>
      <c r="H64">
        <v>77198</v>
      </c>
      <c r="I64" t="s">
        <v>2931</v>
      </c>
    </row>
    <row r="65" spans="1:9" x14ac:dyDescent="0.25">
      <c r="A65" t="s">
        <v>2928</v>
      </c>
      <c r="B65" t="s">
        <v>3120</v>
      </c>
      <c r="C65" t="s">
        <v>2932</v>
      </c>
      <c r="D65">
        <v>22.837240340000001</v>
      </c>
      <c r="E65" t="s">
        <v>2929</v>
      </c>
      <c r="F65">
        <v>102.00070270000001</v>
      </c>
      <c r="G65" t="s">
        <v>2930</v>
      </c>
      <c r="H65">
        <v>19881</v>
      </c>
      <c r="I65" t="s">
        <v>2931</v>
      </c>
    </row>
    <row r="66" spans="1:9" x14ac:dyDescent="0.25">
      <c r="A66" t="s">
        <v>2928</v>
      </c>
      <c r="B66" t="s">
        <v>3329</v>
      </c>
      <c r="C66" t="s">
        <v>2932</v>
      </c>
      <c r="D66">
        <v>26.177909790000001</v>
      </c>
      <c r="E66" t="s">
        <v>2929</v>
      </c>
      <c r="F66">
        <v>103.3786082</v>
      </c>
      <c r="G66" t="s">
        <v>2930</v>
      </c>
      <c r="H66">
        <v>40779</v>
      </c>
      <c r="I66" t="s">
        <v>2931</v>
      </c>
    </row>
    <row r="67" spans="1:9" x14ac:dyDescent="0.25">
      <c r="A67" t="s">
        <v>2928</v>
      </c>
      <c r="B67" t="s">
        <v>3270</v>
      </c>
      <c r="C67" t="s">
        <v>2932</v>
      </c>
      <c r="D67">
        <v>24.372564659999998</v>
      </c>
      <c r="E67" t="s">
        <v>2929</v>
      </c>
      <c r="F67">
        <v>101.0632231</v>
      </c>
      <c r="G67" t="s">
        <v>2930</v>
      </c>
      <c r="H67">
        <v>22562</v>
      </c>
      <c r="I67" t="s">
        <v>2931</v>
      </c>
    </row>
    <row r="68" spans="1:9" x14ac:dyDescent="0.25">
      <c r="A68" t="s">
        <v>2928</v>
      </c>
      <c r="B68" t="s">
        <v>3330</v>
      </c>
      <c r="C68" t="s">
        <v>2932</v>
      </c>
      <c r="D68">
        <v>26.49798251</v>
      </c>
      <c r="E68" t="s">
        <v>2929</v>
      </c>
      <c r="F68">
        <v>103.7835717</v>
      </c>
      <c r="G68" t="s">
        <v>2930</v>
      </c>
      <c r="H68">
        <v>38243</v>
      </c>
      <c r="I68" t="s">
        <v>2931</v>
      </c>
    </row>
    <row r="69" spans="1:9" x14ac:dyDescent="0.25">
      <c r="A69" t="s">
        <v>2928</v>
      </c>
      <c r="B69" t="s">
        <v>3028</v>
      </c>
      <c r="C69" t="s">
        <v>2932</v>
      </c>
      <c r="D69">
        <v>25.681301600000001</v>
      </c>
      <c r="E69" t="s">
        <v>2929</v>
      </c>
      <c r="F69">
        <v>100.1491807</v>
      </c>
      <c r="G69" t="s">
        <v>2930</v>
      </c>
      <c r="H69">
        <v>82566</v>
      </c>
      <c r="I69" t="s">
        <v>2931</v>
      </c>
    </row>
    <row r="70" spans="1:9" x14ac:dyDescent="0.25">
      <c r="A70" t="s">
        <v>2928</v>
      </c>
      <c r="B70" t="s">
        <v>3411</v>
      </c>
      <c r="C70" t="s">
        <v>2932</v>
      </c>
      <c r="D70">
        <v>21.753576249999998</v>
      </c>
      <c r="E70" t="s">
        <v>2929</v>
      </c>
      <c r="F70">
        <v>100.1301745</v>
      </c>
      <c r="G70" t="s">
        <v>2930</v>
      </c>
      <c r="H70">
        <v>26770</v>
      </c>
      <c r="I70" t="s">
        <v>2931</v>
      </c>
    </row>
    <row r="71" spans="1:9" x14ac:dyDescent="0.25">
      <c r="A71" t="s">
        <v>2928</v>
      </c>
      <c r="B71" t="s">
        <v>2971</v>
      </c>
      <c r="C71" t="s">
        <v>2932</v>
      </c>
      <c r="D71">
        <v>24.384790169999999</v>
      </c>
      <c r="E71" t="s">
        <v>2929</v>
      </c>
      <c r="F71">
        <v>101.7825508</v>
      </c>
      <c r="G71" t="s">
        <v>2930</v>
      </c>
      <c r="H71">
        <v>10041</v>
      </c>
      <c r="I71" t="s">
        <v>2931</v>
      </c>
    </row>
    <row r="72" spans="1:9" x14ac:dyDescent="0.25">
      <c r="A72" t="s">
        <v>2928</v>
      </c>
      <c r="B72" t="s">
        <v>3331</v>
      </c>
      <c r="C72" t="s">
        <v>2932</v>
      </c>
      <c r="D72">
        <v>24.913912060000001</v>
      </c>
      <c r="E72" t="s">
        <v>2929</v>
      </c>
      <c r="F72">
        <v>103.55177639999999</v>
      </c>
      <c r="G72" t="s">
        <v>2930</v>
      </c>
      <c r="H72">
        <v>45807</v>
      </c>
      <c r="I72" t="s">
        <v>2931</v>
      </c>
    </row>
    <row r="73" spans="1:9" x14ac:dyDescent="0.25">
      <c r="A73" t="s">
        <v>2928</v>
      </c>
      <c r="B73" t="s">
        <v>3332</v>
      </c>
      <c r="C73" t="s">
        <v>2932</v>
      </c>
      <c r="D73">
        <v>24.791224880000001</v>
      </c>
      <c r="E73" t="s">
        <v>2929</v>
      </c>
      <c r="F73">
        <v>104.0371537</v>
      </c>
      <c r="G73" t="s">
        <v>2930</v>
      </c>
      <c r="H73">
        <v>118696</v>
      </c>
      <c r="I73" t="s">
        <v>2931</v>
      </c>
    </row>
    <row r="74" spans="1:9" x14ac:dyDescent="0.25">
      <c r="A74" t="s">
        <v>2928</v>
      </c>
      <c r="B74" t="s">
        <v>3378</v>
      </c>
      <c r="C74" t="s">
        <v>2932</v>
      </c>
      <c r="D74">
        <v>23.074033830000001</v>
      </c>
      <c r="E74" t="s">
        <v>2929</v>
      </c>
      <c r="F74">
        <v>104.59891519999999</v>
      </c>
      <c r="G74" t="s">
        <v>2930</v>
      </c>
      <c r="H74">
        <v>24568</v>
      </c>
      <c r="I74" t="s">
        <v>2931</v>
      </c>
    </row>
    <row r="75" spans="1:9" x14ac:dyDescent="0.25">
      <c r="A75" t="s">
        <v>2928</v>
      </c>
      <c r="B75" t="s">
        <v>3458</v>
      </c>
      <c r="C75" t="s">
        <v>2932</v>
      </c>
      <c r="D75">
        <v>27.409578020000001</v>
      </c>
      <c r="E75" t="s">
        <v>2929</v>
      </c>
      <c r="F75">
        <v>103.3211264</v>
      </c>
      <c r="G75" t="s">
        <v>2930</v>
      </c>
      <c r="H75">
        <v>12070</v>
      </c>
      <c r="I75" t="s">
        <v>2931</v>
      </c>
    </row>
    <row r="76" spans="1:9" x14ac:dyDescent="0.25">
      <c r="A76" t="s">
        <v>2928</v>
      </c>
      <c r="B76" t="s">
        <v>2935</v>
      </c>
      <c r="C76" t="s">
        <v>2932</v>
      </c>
      <c r="D76">
        <v>25.016055699999999</v>
      </c>
      <c r="E76" t="s">
        <v>2929</v>
      </c>
      <c r="F76">
        <v>99.548063069999998</v>
      </c>
      <c r="G76" t="s">
        <v>2930</v>
      </c>
      <c r="H76">
        <v>20726</v>
      </c>
      <c r="I76" t="s">
        <v>2931</v>
      </c>
    </row>
    <row r="77" spans="1:9" x14ac:dyDescent="0.25">
      <c r="A77" t="s">
        <v>2928</v>
      </c>
      <c r="B77" t="s">
        <v>3459</v>
      </c>
      <c r="C77" t="s">
        <v>2932</v>
      </c>
      <c r="D77">
        <v>27.680332310000001</v>
      </c>
      <c r="E77" t="s">
        <v>2929</v>
      </c>
      <c r="F77">
        <v>105.032517</v>
      </c>
      <c r="G77" t="s">
        <v>2930</v>
      </c>
      <c r="H77">
        <v>49133</v>
      </c>
      <c r="I77" t="s">
        <v>2931</v>
      </c>
    </row>
    <row r="78" spans="1:9" x14ac:dyDescent="0.25">
      <c r="A78" t="s">
        <v>2928</v>
      </c>
      <c r="B78" t="s">
        <v>4945</v>
      </c>
      <c r="C78" t="s">
        <v>2932</v>
      </c>
      <c r="D78">
        <v>23.005159920000001</v>
      </c>
      <c r="E78" t="s">
        <v>2929</v>
      </c>
      <c r="F78">
        <v>102.34128509999999</v>
      </c>
      <c r="G78" t="s">
        <v>2930</v>
      </c>
      <c r="H78">
        <v>51812</v>
      </c>
      <c r="I78" t="s">
        <v>2931</v>
      </c>
    </row>
    <row r="79" spans="1:9" x14ac:dyDescent="0.25">
      <c r="A79" t="s">
        <v>2928</v>
      </c>
      <c r="B79" t="s">
        <v>4946</v>
      </c>
      <c r="C79" t="s">
        <v>2932</v>
      </c>
      <c r="D79">
        <v>27.313858020000001</v>
      </c>
      <c r="E79" t="s">
        <v>2929</v>
      </c>
      <c r="F79">
        <v>100.8643776</v>
      </c>
      <c r="G79" t="s">
        <v>2930</v>
      </c>
      <c r="H79">
        <v>52568</v>
      </c>
      <c r="I79" t="s">
        <v>2931</v>
      </c>
    </row>
    <row r="80" spans="1:9" x14ac:dyDescent="0.25">
      <c r="A80" t="s">
        <v>2928</v>
      </c>
      <c r="B80" t="s">
        <v>4947</v>
      </c>
      <c r="C80" t="s">
        <v>2932</v>
      </c>
      <c r="D80">
        <v>27.695681159999999</v>
      </c>
      <c r="E80" t="s">
        <v>2929</v>
      </c>
      <c r="F80">
        <v>103.421576</v>
      </c>
      <c r="G80" t="s">
        <v>2930</v>
      </c>
      <c r="H80">
        <v>33786</v>
      </c>
      <c r="I80" t="s">
        <v>2931</v>
      </c>
    </row>
    <row r="81" spans="1:9" x14ac:dyDescent="0.25">
      <c r="A81" t="s">
        <v>2928</v>
      </c>
      <c r="B81" t="s">
        <v>3255</v>
      </c>
      <c r="C81" t="s">
        <v>2932</v>
      </c>
      <c r="D81">
        <v>26.07609596</v>
      </c>
      <c r="E81" t="s">
        <v>2929</v>
      </c>
      <c r="F81">
        <v>98.890667250000007</v>
      </c>
      <c r="G81" t="s">
        <v>2930</v>
      </c>
      <c r="H81">
        <v>16245</v>
      </c>
      <c r="I81" t="s">
        <v>2931</v>
      </c>
    </row>
    <row r="82" spans="1:9" x14ac:dyDescent="0.25">
      <c r="A82" t="s">
        <v>2928</v>
      </c>
      <c r="B82" t="s">
        <v>3029</v>
      </c>
      <c r="C82" t="s">
        <v>2932</v>
      </c>
      <c r="D82">
        <v>25.76249206</v>
      </c>
      <c r="E82" t="s">
        <v>2929</v>
      </c>
      <c r="F82">
        <v>100.39249839999999</v>
      </c>
      <c r="G82" t="s">
        <v>2930</v>
      </c>
      <c r="H82">
        <v>24148</v>
      </c>
      <c r="I82" t="s">
        <v>2931</v>
      </c>
    </row>
    <row r="83" spans="1:9" x14ac:dyDescent="0.25">
      <c r="A83" t="s">
        <v>2928</v>
      </c>
      <c r="B83" t="s">
        <v>4948</v>
      </c>
      <c r="C83" t="s">
        <v>2932</v>
      </c>
      <c r="D83">
        <v>24.14127229</v>
      </c>
      <c r="E83" t="s">
        <v>2929</v>
      </c>
      <c r="F83">
        <v>100.2407451</v>
      </c>
      <c r="G83" t="s">
        <v>2930</v>
      </c>
      <c r="H83">
        <v>35767</v>
      </c>
      <c r="I83" t="s">
        <v>2931</v>
      </c>
    </row>
    <row r="84" spans="1:9" x14ac:dyDescent="0.25">
      <c r="A84" t="s">
        <v>2928</v>
      </c>
      <c r="B84" t="s">
        <v>4949</v>
      </c>
      <c r="C84" t="s">
        <v>2932</v>
      </c>
      <c r="D84">
        <v>27.217395669999998</v>
      </c>
      <c r="E84" t="s">
        <v>2929</v>
      </c>
      <c r="F84">
        <v>102.9593241</v>
      </c>
      <c r="G84" t="s">
        <v>2930</v>
      </c>
      <c r="H84">
        <v>33866</v>
      </c>
      <c r="I84" t="s">
        <v>2931</v>
      </c>
    </row>
    <row r="85" spans="1:9" x14ac:dyDescent="0.25">
      <c r="A85" t="s">
        <v>2928</v>
      </c>
      <c r="B85" t="s">
        <v>2972</v>
      </c>
      <c r="C85" t="s">
        <v>2932</v>
      </c>
      <c r="D85">
        <v>24.764283729999999</v>
      </c>
      <c r="E85" t="s">
        <v>2929</v>
      </c>
      <c r="F85">
        <v>101.8619194</v>
      </c>
      <c r="G85" t="s">
        <v>2930</v>
      </c>
      <c r="H85">
        <v>26880</v>
      </c>
      <c r="I85" t="s">
        <v>2931</v>
      </c>
    </row>
    <row r="86" spans="1:9" x14ac:dyDescent="0.25">
      <c r="A86" t="s">
        <v>2928</v>
      </c>
      <c r="B86" t="s">
        <v>3230</v>
      </c>
      <c r="C86" t="s">
        <v>2932</v>
      </c>
      <c r="D86">
        <v>23.933632360000001</v>
      </c>
      <c r="E86" t="s">
        <v>2929</v>
      </c>
      <c r="F86">
        <v>99.246107570000007</v>
      </c>
      <c r="G86" t="s">
        <v>2930</v>
      </c>
      <c r="H86">
        <v>65842</v>
      </c>
      <c r="I86" t="s">
        <v>2931</v>
      </c>
    </row>
    <row r="87" spans="1:9" x14ac:dyDescent="0.25">
      <c r="A87" t="s">
        <v>2928</v>
      </c>
      <c r="B87" t="s">
        <v>3379</v>
      </c>
      <c r="C87" t="s">
        <v>2932</v>
      </c>
      <c r="D87">
        <v>23.56799973</v>
      </c>
      <c r="E87" t="s">
        <v>2929</v>
      </c>
      <c r="F87">
        <v>103.8547617</v>
      </c>
      <c r="G87" t="s">
        <v>2930</v>
      </c>
      <c r="H87">
        <v>33125</v>
      </c>
      <c r="I87" t="s">
        <v>2931</v>
      </c>
    </row>
    <row r="88" spans="1:9" x14ac:dyDescent="0.25">
      <c r="A88" t="s">
        <v>2928</v>
      </c>
      <c r="B88" t="s">
        <v>3271</v>
      </c>
      <c r="C88" t="s">
        <v>2932</v>
      </c>
      <c r="D88">
        <v>23.06234426</v>
      </c>
      <c r="E88" t="s">
        <v>2929</v>
      </c>
      <c r="F88">
        <v>100.8656084</v>
      </c>
      <c r="G88" t="s">
        <v>2930</v>
      </c>
      <c r="H88">
        <v>10455</v>
      </c>
      <c r="I88" t="s">
        <v>2931</v>
      </c>
    </row>
    <row r="89" spans="1:9" x14ac:dyDescent="0.25">
      <c r="A89" t="s">
        <v>2928</v>
      </c>
      <c r="B89" t="s">
        <v>3030</v>
      </c>
      <c r="C89" t="s">
        <v>2932</v>
      </c>
      <c r="D89">
        <v>25.98688989</v>
      </c>
      <c r="E89" t="s">
        <v>2929</v>
      </c>
      <c r="F89">
        <v>100.0779153</v>
      </c>
      <c r="G89" t="s">
        <v>2930</v>
      </c>
      <c r="H89">
        <v>17730</v>
      </c>
      <c r="I89" t="s">
        <v>2931</v>
      </c>
    </row>
    <row r="90" spans="1:9" x14ac:dyDescent="0.25">
      <c r="A90" t="s">
        <v>2928</v>
      </c>
      <c r="B90" t="s">
        <v>3031</v>
      </c>
      <c r="C90" t="s">
        <v>2932</v>
      </c>
      <c r="D90">
        <v>26.4361675</v>
      </c>
      <c r="E90" t="s">
        <v>2929</v>
      </c>
      <c r="F90">
        <v>99.926683190000006</v>
      </c>
      <c r="G90" t="s">
        <v>2930</v>
      </c>
      <c r="H90">
        <v>31739</v>
      </c>
      <c r="I90" t="s">
        <v>2931</v>
      </c>
    </row>
    <row r="91" spans="1:9" x14ac:dyDescent="0.25">
      <c r="A91" t="s">
        <v>2928</v>
      </c>
      <c r="B91" t="s">
        <v>2936</v>
      </c>
      <c r="C91" t="s">
        <v>2932</v>
      </c>
      <c r="D91">
        <v>25.501013090000001</v>
      </c>
      <c r="E91" t="s">
        <v>2929</v>
      </c>
      <c r="F91">
        <v>98.416581550000004</v>
      </c>
      <c r="G91" t="s">
        <v>2930</v>
      </c>
      <c r="H91">
        <v>28612</v>
      </c>
      <c r="I91" t="s">
        <v>2931</v>
      </c>
    </row>
    <row r="92" spans="1:9" x14ac:dyDescent="0.25">
      <c r="A92" t="s">
        <v>2928</v>
      </c>
      <c r="B92" t="s">
        <v>2937</v>
      </c>
      <c r="C92" t="s">
        <v>2932</v>
      </c>
      <c r="D92">
        <v>24.693041749999999</v>
      </c>
      <c r="E92" t="s">
        <v>2929</v>
      </c>
      <c r="F92">
        <v>99.192128319999995</v>
      </c>
      <c r="G92" t="s">
        <v>2930</v>
      </c>
      <c r="H92">
        <v>45418</v>
      </c>
      <c r="I92" t="s">
        <v>2931</v>
      </c>
    </row>
    <row r="93" spans="1:9" x14ac:dyDescent="0.25">
      <c r="A93" t="s">
        <v>2928</v>
      </c>
      <c r="B93" t="s">
        <v>3426</v>
      </c>
      <c r="C93" t="s">
        <v>2932</v>
      </c>
      <c r="D93">
        <v>24.3981961</v>
      </c>
      <c r="E93" t="s">
        <v>2929</v>
      </c>
      <c r="F93">
        <v>102.22566209999999</v>
      </c>
      <c r="G93" t="s">
        <v>2930</v>
      </c>
      <c r="H93">
        <v>18358</v>
      </c>
      <c r="I93" t="s">
        <v>2931</v>
      </c>
    </row>
    <row r="94" spans="1:9" x14ac:dyDescent="0.25">
      <c r="A94" t="s">
        <v>2928</v>
      </c>
      <c r="B94" t="s">
        <v>2973</v>
      </c>
      <c r="C94" t="s">
        <v>2932</v>
      </c>
      <c r="D94">
        <v>25.522494680000001</v>
      </c>
      <c r="E94" t="s">
        <v>2929</v>
      </c>
      <c r="F94">
        <v>101.2504541</v>
      </c>
      <c r="G94" t="s">
        <v>2930</v>
      </c>
      <c r="H94">
        <v>88481</v>
      </c>
      <c r="I94" t="s">
        <v>2931</v>
      </c>
    </row>
    <row r="95" spans="1:9" x14ac:dyDescent="0.25">
      <c r="A95" t="s">
        <v>2928</v>
      </c>
      <c r="B95" t="s">
        <v>3170</v>
      </c>
      <c r="C95" t="s">
        <v>2932</v>
      </c>
      <c r="D95">
        <v>25.537960300000002</v>
      </c>
      <c r="E95" t="s">
        <v>2929</v>
      </c>
      <c r="F95">
        <v>102.68747279999999</v>
      </c>
      <c r="G95" t="s">
        <v>2930</v>
      </c>
      <c r="H95">
        <v>12538</v>
      </c>
      <c r="I95" t="s">
        <v>2931</v>
      </c>
    </row>
    <row r="96" spans="1:9" x14ac:dyDescent="0.25">
      <c r="A96" t="s">
        <v>2928</v>
      </c>
      <c r="B96" t="s">
        <v>3380</v>
      </c>
      <c r="C96" t="s">
        <v>2932</v>
      </c>
      <c r="D96">
        <v>23.396455230000001</v>
      </c>
      <c r="E96" t="s">
        <v>2929</v>
      </c>
      <c r="F96">
        <v>105.1751739</v>
      </c>
      <c r="G96" t="s">
        <v>2930</v>
      </c>
      <c r="H96">
        <v>46544</v>
      </c>
      <c r="I96" t="s">
        <v>2931</v>
      </c>
    </row>
    <row r="97" spans="1:9" x14ac:dyDescent="0.25">
      <c r="A97" t="s">
        <v>2928</v>
      </c>
      <c r="B97" t="s">
        <v>2974</v>
      </c>
      <c r="C97" t="s">
        <v>2932</v>
      </c>
      <c r="D97">
        <v>25.121094849999999</v>
      </c>
      <c r="E97" t="s">
        <v>2929</v>
      </c>
      <c r="F97">
        <v>101.534195</v>
      </c>
      <c r="G97" t="s">
        <v>2930</v>
      </c>
      <c r="H97">
        <v>103115</v>
      </c>
      <c r="I97" t="s">
        <v>2931</v>
      </c>
    </row>
    <row r="98" spans="1:9" x14ac:dyDescent="0.25">
      <c r="A98" t="s">
        <v>2928</v>
      </c>
      <c r="B98" t="s">
        <v>2975</v>
      </c>
      <c r="C98" t="s">
        <v>2932</v>
      </c>
      <c r="D98">
        <v>24.891928960000001</v>
      </c>
      <c r="E98" t="s">
        <v>2929</v>
      </c>
      <c r="F98">
        <v>101.3834604</v>
      </c>
      <c r="G98" t="s">
        <v>2930</v>
      </c>
      <c r="H98">
        <v>25496</v>
      </c>
      <c r="I98" t="s">
        <v>2931</v>
      </c>
    </row>
    <row r="99" spans="1:9" x14ac:dyDescent="0.25">
      <c r="A99" t="s">
        <v>2928</v>
      </c>
      <c r="B99" t="s">
        <v>3272</v>
      </c>
      <c r="C99" t="s">
        <v>2932</v>
      </c>
      <c r="D99">
        <v>22.405169390000001</v>
      </c>
      <c r="E99" t="s">
        <v>2929</v>
      </c>
      <c r="F99">
        <v>99.795219639999999</v>
      </c>
      <c r="G99" t="s">
        <v>2930</v>
      </c>
      <c r="H99">
        <v>15380</v>
      </c>
      <c r="I99" t="s">
        <v>2931</v>
      </c>
    </row>
    <row r="100" spans="1:9" x14ac:dyDescent="0.25">
      <c r="A100" t="s">
        <v>2928</v>
      </c>
      <c r="B100" t="s">
        <v>3460</v>
      </c>
      <c r="C100" t="s">
        <v>2932</v>
      </c>
      <c r="D100">
        <v>27.319422070000002</v>
      </c>
      <c r="E100" t="s">
        <v>2929</v>
      </c>
      <c r="F100">
        <v>103.0622393</v>
      </c>
      <c r="G100" t="s">
        <v>2930</v>
      </c>
      <c r="H100">
        <v>28149</v>
      </c>
      <c r="I100" t="s">
        <v>2931</v>
      </c>
    </row>
    <row r="101" spans="1:9" x14ac:dyDescent="0.25">
      <c r="A101" t="s">
        <v>2928</v>
      </c>
      <c r="B101" t="s">
        <v>4950</v>
      </c>
      <c r="C101" t="s">
        <v>2932</v>
      </c>
      <c r="D101">
        <v>24.226947970000001</v>
      </c>
      <c r="E101" t="s">
        <v>2929</v>
      </c>
      <c r="F101">
        <v>103.63907740000001</v>
      </c>
      <c r="G101" t="s">
        <v>2930</v>
      </c>
      <c r="H101">
        <v>19783</v>
      </c>
      <c r="I101" t="s">
        <v>2931</v>
      </c>
    </row>
    <row r="102" spans="1:9" x14ac:dyDescent="0.25">
      <c r="A102" t="s">
        <v>2928</v>
      </c>
      <c r="B102" t="s">
        <v>4951</v>
      </c>
      <c r="C102" t="s">
        <v>2932</v>
      </c>
      <c r="D102">
        <v>25.241255339999999</v>
      </c>
      <c r="E102" t="s">
        <v>2929</v>
      </c>
      <c r="F102">
        <v>104.0595654</v>
      </c>
      <c r="G102" t="s">
        <v>2930</v>
      </c>
      <c r="H102">
        <v>81489</v>
      </c>
      <c r="I102" t="s">
        <v>2931</v>
      </c>
    </row>
    <row r="103" spans="1:9" x14ac:dyDescent="0.25">
      <c r="A103" t="s">
        <v>2928</v>
      </c>
      <c r="B103" t="s">
        <v>4952</v>
      </c>
      <c r="C103" t="s">
        <v>2932</v>
      </c>
      <c r="D103">
        <v>26.12771176</v>
      </c>
      <c r="E103" t="s">
        <v>2929</v>
      </c>
      <c r="F103">
        <v>104.2306482</v>
      </c>
      <c r="G103" t="s">
        <v>2930</v>
      </c>
      <c r="H103">
        <v>47987</v>
      </c>
      <c r="I103" t="s">
        <v>2931</v>
      </c>
    </row>
    <row r="104" spans="1:9" x14ac:dyDescent="0.25">
      <c r="A104" t="s">
        <v>2928</v>
      </c>
      <c r="B104" t="s">
        <v>3461</v>
      </c>
      <c r="C104" t="s">
        <v>2932</v>
      </c>
      <c r="D104">
        <v>28.038631349999999</v>
      </c>
      <c r="E104" t="s">
        <v>2929</v>
      </c>
      <c r="F104">
        <v>104.11521279999999</v>
      </c>
      <c r="G104" t="s">
        <v>2930</v>
      </c>
      <c r="H104">
        <v>22572</v>
      </c>
      <c r="I104" t="s">
        <v>2931</v>
      </c>
    </row>
    <row r="105" spans="1:9" x14ac:dyDescent="0.25">
      <c r="A105" t="s">
        <v>2928</v>
      </c>
      <c r="B105" t="s">
        <v>3381</v>
      </c>
      <c r="C105" t="s">
        <v>2932</v>
      </c>
      <c r="D105">
        <v>22.883934159999999</v>
      </c>
      <c r="E105" t="s">
        <v>2929</v>
      </c>
      <c r="F105">
        <v>104.5427766</v>
      </c>
      <c r="G105" t="s">
        <v>2930</v>
      </c>
      <c r="H105">
        <v>36961</v>
      </c>
      <c r="I105" t="s">
        <v>2931</v>
      </c>
    </row>
    <row r="106" spans="1:9" x14ac:dyDescent="0.25">
      <c r="A106" t="s">
        <v>2928</v>
      </c>
      <c r="B106" t="s">
        <v>2976</v>
      </c>
      <c r="C106" t="s">
        <v>2932</v>
      </c>
      <c r="D106">
        <v>24.438717019999999</v>
      </c>
      <c r="E106" t="s">
        <v>2929</v>
      </c>
      <c r="F106">
        <v>101.2406134</v>
      </c>
      <c r="G106" t="s">
        <v>2930</v>
      </c>
      <c r="H106">
        <v>27235</v>
      </c>
      <c r="I106" t="s">
        <v>2931</v>
      </c>
    </row>
    <row r="107" spans="1:9" x14ac:dyDescent="0.25">
      <c r="A107" t="s">
        <v>2928</v>
      </c>
      <c r="B107" t="s">
        <v>3273</v>
      </c>
      <c r="C107" t="s">
        <v>2932</v>
      </c>
      <c r="D107">
        <v>23.97074572</v>
      </c>
      <c r="E107" t="s">
        <v>2929</v>
      </c>
      <c r="F107">
        <v>101.07455179999999</v>
      </c>
      <c r="G107" t="s">
        <v>2930</v>
      </c>
      <c r="H107">
        <v>33448</v>
      </c>
      <c r="I107" t="s">
        <v>2931</v>
      </c>
    </row>
    <row r="108" spans="1:9" x14ac:dyDescent="0.25">
      <c r="A108" t="s">
        <v>2928</v>
      </c>
      <c r="B108" t="s">
        <v>3171</v>
      </c>
      <c r="C108" t="s">
        <v>2932</v>
      </c>
      <c r="D108">
        <v>24.689845470000002</v>
      </c>
      <c r="E108" t="s">
        <v>2929</v>
      </c>
      <c r="F108">
        <v>102.4866182</v>
      </c>
      <c r="G108" t="s">
        <v>2930</v>
      </c>
      <c r="H108">
        <v>15350</v>
      </c>
      <c r="I108" t="s">
        <v>2931</v>
      </c>
    </row>
    <row r="109" spans="1:9" x14ac:dyDescent="0.25">
      <c r="A109" t="s">
        <v>2928</v>
      </c>
      <c r="B109" t="s">
        <v>2977</v>
      </c>
      <c r="C109" t="s">
        <v>2932</v>
      </c>
      <c r="D109">
        <v>24.564261559999998</v>
      </c>
      <c r="E109" t="s">
        <v>2929</v>
      </c>
      <c r="F109">
        <v>101.8183057</v>
      </c>
      <c r="G109" t="s">
        <v>2930</v>
      </c>
      <c r="H109">
        <v>24656</v>
      </c>
      <c r="I109" t="s">
        <v>2931</v>
      </c>
    </row>
    <row r="110" spans="1:9" x14ac:dyDescent="0.25">
      <c r="A110" t="s">
        <v>2928</v>
      </c>
      <c r="B110" t="s">
        <v>3333</v>
      </c>
      <c r="C110" t="s">
        <v>2932</v>
      </c>
      <c r="D110">
        <v>25.197599220000001</v>
      </c>
      <c r="E110" t="s">
        <v>2929</v>
      </c>
      <c r="F110">
        <v>103.7008301</v>
      </c>
      <c r="G110" t="s">
        <v>2930</v>
      </c>
      <c r="H110">
        <v>35483</v>
      </c>
      <c r="I110" t="s">
        <v>2931</v>
      </c>
    </row>
    <row r="111" spans="1:9" x14ac:dyDescent="0.25">
      <c r="A111" t="s">
        <v>2928</v>
      </c>
      <c r="B111" t="s">
        <v>3172</v>
      </c>
      <c r="C111" t="s">
        <v>2932</v>
      </c>
      <c r="D111">
        <v>25.81957821</v>
      </c>
      <c r="E111" t="s">
        <v>2929</v>
      </c>
      <c r="F111">
        <v>103.0197697</v>
      </c>
      <c r="G111" t="s">
        <v>2930</v>
      </c>
      <c r="H111">
        <v>31696</v>
      </c>
      <c r="I111" t="s">
        <v>2931</v>
      </c>
    </row>
    <row r="112" spans="1:9" x14ac:dyDescent="0.25">
      <c r="A112" t="s">
        <v>2928</v>
      </c>
      <c r="B112" t="s">
        <v>3205</v>
      </c>
      <c r="C112" t="s">
        <v>2932</v>
      </c>
      <c r="D112">
        <v>27.623267089999999</v>
      </c>
      <c r="E112" t="s">
        <v>2929</v>
      </c>
      <c r="F112">
        <v>100.36294940000001</v>
      </c>
      <c r="G112" t="s">
        <v>2930</v>
      </c>
      <c r="H112">
        <v>7747</v>
      </c>
      <c r="I112" t="s">
        <v>2931</v>
      </c>
    </row>
    <row r="113" spans="1:9" x14ac:dyDescent="0.25">
      <c r="A113" t="s">
        <v>2928</v>
      </c>
      <c r="B113" t="s">
        <v>3087</v>
      </c>
      <c r="C113" t="s">
        <v>2932</v>
      </c>
      <c r="D113">
        <v>24.353516429999999</v>
      </c>
      <c r="E113" t="s">
        <v>2929</v>
      </c>
      <c r="F113">
        <v>98.57598539</v>
      </c>
      <c r="G113" t="s">
        <v>2930</v>
      </c>
      <c r="H113">
        <v>69586</v>
      </c>
      <c r="I113" t="s">
        <v>2931</v>
      </c>
    </row>
    <row r="114" spans="1:9" x14ac:dyDescent="0.25">
      <c r="A114" t="s">
        <v>2928</v>
      </c>
      <c r="B114" t="s">
        <v>4953</v>
      </c>
      <c r="C114" t="s">
        <v>2932</v>
      </c>
      <c r="D114">
        <v>24.604198159999999</v>
      </c>
      <c r="E114" t="s">
        <v>2929</v>
      </c>
      <c r="F114">
        <v>99.91745718</v>
      </c>
      <c r="G114" t="s">
        <v>2930</v>
      </c>
      <c r="H114">
        <v>79857</v>
      </c>
      <c r="I114" t="s">
        <v>2931</v>
      </c>
    </row>
    <row r="115" spans="1:9" x14ac:dyDescent="0.25">
      <c r="A115" t="s">
        <v>2928</v>
      </c>
      <c r="B115" t="s">
        <v>4954</v>
      </c>
      <c r="C115" t="s">
        <v>2932</v>
      </c>
      <c r="D115">
        <v>23.661667420000001</v>
      </c>
      <c r="E115" t="s">
        <v>2929</v>
      </c>
      <c r="F115">
        <v>100.84072639999999</v>
      </c>
      <c r="G115" t="s">
        <v>2930</v>
      </c>
      <c r="H115">
        <v>17761</v>
      </c>
      <c r="I115" t="s">
        <v>2931</v>
      </c>
    </row>
    <row r="116" spans="1:9" x14ac:dyDescent="0.25">
      <c r="A116" t="s">
        <v>2928</v>
      </c>
      <c r="B116" t="s">
        <v>2978</v>
      </c>
      <c r="C116" t="s">
        <v>2932</v>
      </c>
      <c r="D116">
        <v>25.308244460000001</v>
      </c>
      <c r="E116" t="s">
        <v>2929</v>
      </c>
      <c r="F116">
        <v>101.40371519999999</v>
      </c>
      <c r="G116" t="s">
        <v>2930</v>
      </c>
      <c r="H116">
        <v>17514</v>
      </c>
      <c r="I116" t="s">
        <v>2931</v>
      </c>
    </row>
    <row r="117" spans="1:9" x14ac:dyDescent="0.25">
      <c r="A117" t="s">
        <v>2928</v>
      </c>
      <c r="B117" t="s">
        <v>3231</v>
      </c>
      <c r="C117" t="s">
        <v>2932</v>
      </c>
      <c r="D117">
        <v>23.908641490000001</v>
      </c>
      <c r="E117" t="s">
        <v>2929</v>
      </c>
      <c r="F117">
        <v>99.041784019999994</v>
      </c>
      <c r="G117" t="s">
        <v>2930</v>
      </c>
      <c r="H117">
        <v>18166</v>
      </c>
      <c r="I117" t="s">
        <v>2931</v>
      </c>
    </row>
    <row r="118" spans="1:9" x14ac:dyDescent="0.25">
      <c r="A118" t="s">
        <v>2928</v>
      </c>
      <c r="B118" t="s">
        <v>3032</v>
      </c>
      <c r="C118" t="s">
        <v>2932</v>
      </c>
      <c r="D118">
        <v>25.55316303</v>
      </c>
      <c r="E118" t="s">
        <v>2929</v>
      </c>
      <c r="F118">
        <v>100.3563455</v>
      </c>
      <c r="G118" t="s">
        <v>2930</v>
      </c>
      <c r="H118">
        <v>61890</v>
      </c>
      <c r="I118" t="s">
        <v>2931</v>
      </c>
    </row>
    <row r="119" spans="1:9" x14ac:dyDescent="0.25">
      <c r="A119" t="s">
        <v>2928</v>
      </c>
      <c r="B119" t="s">
        <v>3033</v>
      </c>
      <c r="C119" t="s">
        <v>2932</v>
      </c>
      <c r="D119">
        <v>25.981848209999999</v>
      </c>
      <c r="E119" t="s">
        <v>2929</v>
      </c>
      <c r="F119">
        <v>99.928314439999994</v>
      </c>
      <c r="G119" t="s">
        <v>2930</v>
      </c>
      <c r="H119">
        <v>27630</v>
      </c>
      <c r="I119" t="s">
        <v>2931</v>
      </c>
    </row>
    <row r="120" spans="1:9" x14ac:dyDescent="0.25">
      <c r="A120" t="s">
        <v>2928</v>
      </c>
      <c r="B120" t="s">
        <v>3334</v>
      </c>
      <c r="C120" t="s">
        <v>2932</v>
      </c>
      <c r="D120">
        <v>25.393387109999999</v>
      </c>
      <c r="E120" t="s">
        <v>2929</v>
      </c>
      <c r="F120">
        <v>104.4800061</v>
      </c>
      <c r="G120" t="s">
        <v>2930</v>
      </c>
      <c r="H120">
        <v>88230</v>
      </c>
      <c r="I120" t="s">
        <v>2931</v>
      </c>
    </row>
    <row r="121" spans="1:9" x14ac:dyDescent="0.25">
      <c r="A121" t="s">
        <v>2928</v>
      </c>
      <c r="B121" t="s">
        <v>3335</v>
      </c>
      <c r="C121" t="s">
        <v>2932</v>
      </c>
      <c r="D121">
        <v>25.302812809999999</v>
      </c>
      <c r="E121" t="s">
        <v>2929</v>
      </c>
      <c r="F121">
        <v>104.3347883</v>
      </c>
      <c r="G121" t="s">
        <v>2930</v>
      </c>
      <c r="H121">
        <v>42001</v>
      </c>
      <c r="I121" t="s">
        <v>2931</v>
      </c>
    </row>
    <row r="122" spans="1:9" x14ac:dyDescent="0.25">
      <c r="A122" t="s">
        <v>2928</v>
      </c>
      <c r="B122" t="s">
        <v>3274</v>
      </c>
      <c r="C122" t="s">
        <v>2932</v>
      </c>
      <c r="D122">
        <v>22.40863358</v>
      </c>
      <c r="E122" t="s">
        <v>2929</v>
      </c>
      <c r="F122">
        <v>99.404308330000006</v>
      </c>
      <c r="G122" t="s">
        <v>2930</v>
      </c>
      <c r="H122">
        <v>12510</v>
      </c>
      <c r="I122" t="s">
        <v>2931</v>
      </c>
    </row>
    <row r="123" spans="1:9" x14ac:dyDescent="0.25">
      <c r="A123" t="s">
        <v>2928</v>
      </c>
      <c r="B123" t="s">
        <v>4955</v>
      </c>
      <c r="C123" t="s">
        <v>2932</v>
      </c>
      <c r="D123">
        <v>25.648947140000001</v>
      </c>
      <c r="E123" t="s">
        <v>2929</v>
      </c>
      <c r="F123">
        <v>102.16752649999999</v>
      </c>
      <c r="G123" t="s">
        <v>2930</v>
      </c>
      <c r="H123">
        <v>33758</v>
      </c>
      <c r="I123" t="s">
        <v>2931</v>
      </c>
    </row>
    <row r="124" spans="1:9" x14ac:dyDescent="0.25">
      <c r="A124" t="s">
        <v>2928</v>
      </c>
      <c r="B124" t="s">
        <v>4956</v>
      </c>
      <c r="C124" t="s">
        <v>2932</v>
      </c>
      <c r="D124">
        <v>28.030006870000001</v>
      </c>
      <c r="E124" t="s">
        <v>2929</v>
      </c>
      <c r="F124">
        <v>103.7981612</v>
      </c>
      <c r="G124" t="s">
        <v>2930</v>
      </c>
      <c r="H124">
        <v>24606</v>
      </c>
      <c r="I124" t="s">
        <v>2931</v>
      </c>
    </row>
    <row r="125" spans="1:9" x14ac:dyDescent="0.25">
      <c r="A125" t="s">
        <v>2928</v>
      </c>
      <c r="B125" t="s">
        <v>3412</v>
      </c>
      <c r="C125" t="s">
        <v>2932</v>
      </c>
      <c r="D125">
        <v>21.974287759999999</v>
      </c>
      <c r="E125" t="s">
        <v>2929</v>
      </c>
      <c r="F125">
        <v>100.7321429</v>
      </c>
      <c r="G125" t="s">
        <v>2930</v>
      </c>
      <c r="H125">
        <v>73303</v>
      </c>
      <c r="I125" t="s">
        <v>2931</v>
      </c>
    </row>
    <row r="126" spans="1:9" x14ac:dyDescent="0.25">
      <c r="A126" t="s">
        <v>2928</v>
      </c>
      <c r="B126" t="s">
        <v>3232</v>
      </c>
      <c r="C126" t="s">
        <v>2932</v>
      </c>
      <c r="D126">
        <v>23.591395240000001</v>
      </c>
      <c r="E126" t="s">
        <v>2929</v>
      </c>
      <c r="F126">
        <v>99.447327950000002</v>
      </c>
      <c r="G126" t="s">
        <v>2930</v>
      </c>
      <c r="H126">
        <v>59324</v>
      </c>
      <c r="I126" t="s">
        <v>2931</v>
      </c>
    </row>
    <row r="127" spans="1:9" x14ac:dyDescent="0.25">
      <c r="A127" t="s">
        <v>2928</v>
      </c>
      <c r="B127" t="s">
        <v>3336</v>
      </c>
      <c r="C127" t="s">
        <v>2932</v>
      </c>
      <c r="D127">
        <v>26.31010908</v>
      </c>
      <c r="E127" t="s">
        <v>2929</v>
      </c>
      <c r="F127">
        <v>104.3764316</v>
      </c>
      <c r="G127" t="s">
        <v>2930</v>
      </c>
      <c r="H127">
        <v>48124</v>
      </c>
      <c r="I127" t="s">
        <v>2931</v>
      </c>
    </row>
    <row r="128" spans="1:9" x14ac:dyDescent="0.25">
      <c r="A128" t="s">
        <v>2928</v>
      </c>
      <c r="B128" t="s">
        <v>3034</v>
      </c>
      <c r="C128" t="s">
        <v>2932</v>
      </c>
      <c r="D128">
        <v>25.69202744</v>
      </c>
      <c r="E128" t="s">
        <v>2929</v>
      </c>
      <c r="F128">
        <v>99.248862099999997</v>
      </c>
      <c r="G128" t="s">
        <v>2930</v>
      </c>
      <c r="H128">
        <v>36139</v>
      </c>
      <c r="I128" t="s">
        <v>2931</v>
      </c>
    </row>
    <row r="129" spans="1:9" x14ac:dyDescent="0.25">
      <c r="A129" t="s">
        <v>2928</v>
      </c>
      <c r="B129" t="s">
        <v>2979</v>
      </c>
      <c r="C129" t="s">
        <v>2932</v>
      </c>
      <c r="D129">
        <v>25.35678824</v>
      </c>
      <c r="E129" t="s">
        <v>2929</v>
      </c>
      <c r="F129">
        <v>101.4824291</v>
      </c>
      <c r="G129" t="s">
        <v>2930</v>
      </c>
      <c r="H129">
        <v>81667</v>
      </c>
      <c r="I129" t="s">
        <v>2931</v>
      </c>
    </row>
    <row r="130" spans="1:9" x14ac:dyDescent="0.25">
      <c r="A130" t="s">
        <v>2928</v>
      </c>
      <c r="B130" t="s">
        <v>3035</v>
      </c>
      <c r="C130" t="s">
        <v>2932</v>
      </c>
      <c r="D130">
        <v>24.807980820000001</v>
      </c>
      <c r="E130" t="s">
        <v>2929</v>
      </c>
      <c r="F130">
        <v>100.368718</v>
      </c>
      <c r="G130" t="s">
        <v>2930</v>
      </c>
      <c r="H130">
        <v>29004</v>
      </c>
      <c r="I130" t="s">
        <v>2931</v>
      </c>
    </row>
    <row r="131" spans="1:9" x14ac:dyDescent="0.25">
      <c r="A131" t="s">
        <v>2928</v>
      </c>
      <c r="B131" t="s">
        <v>3173</v>
      </c>
      <c r="C131" t="s">
        <v>2932</v>
      </c>
      <c r="D131">
        <v>25.757448140000001</v>
      </c>
      <c r="E131" t="s">
        <v>2929</v>
      </c>
      <c r="F131">
        <v>103.3061179</v>
      </c>
      <c r="G131" t="s">
        <v>2930</v>
      </c>
      <c r="H131">
        <v>33461</v>
      </c>
      <c r="I131" t="s">
        <v>2931</v>
      </c>
    </row>
    <row r="132" spans="1:9" x14ac:dyDescent="0.25">
      <c r="A132" t="s">
        <v>2928</v>
      </c>
      <c r="B132" t="s">
        <v>3174</v>
      </c>
      <c r="C132" t="s">
        <v>2932</v>
      </c>
      <c r="D132">
        <v>24.77178851</v>
      </c>
      <c r="E132" t="s">
        <v>2929</v>
      </c>
      <c r="F132">
        <v>103.1528371</v>
      </c>
      <c r="G132" t="s">
        <v>2930</v>
      </c>
      <c r="H132">
        <v>59589</v>
      </c>
      <c r="I132" t="s">
        <v>2931</v>
      </c>
    </row>
    <row r="133" spans="1:9" x14ac:dyDescent="0.25">
      <c r="A133" t="s">
        <v>2928</v>
      </c>
      <c r="B133" t="s">
        <v>2980</v>
      </c>
      <c r="C133" t="s">
        <v>2932</v>
      </c>
      <c r="D133">
        <v>25.619127779999999</v>
      </c>
      <c r="E133" t="s">
        <v>2929</v>
      </c>
      <c r="F133">
        <v>101.1934411</v>
      </c>
      <c r="G133" t="s">
        <v>2930</v>
      </c>
      <c r="H133">
        <v>30133</v>
      </c>
      <c r="I133" t="s">
        <v>2931</v>
      </c>
    </row>
    <row r="134" spans="1:9" x14ac:dyDescent="0.25">
      <c r="A134" t="s">
        <v>2928</v>
      </c>
      <c r="B134" t="s">
        <v>2981</v>
      </c>
      <c r="C134" t="s">
        <v>2932</v>
      </c>
      <c r="D134">
        <v>25.143659939999999</v>
      </c>
      <c r="E134" t="s">
        <v>2929</v>
      </c>
      <c r="F134">
        <v>101.7662392</v>
      </c>
      <c r="G134" t="s">
        <v>2930</v>
      </c>
      <c r="H134">
        <v>42306</v>
      </c>
      <c r="I134" t="s">
        <v>2931</v>
      </c>
    </row>
    <row r="135" spans="1:9" x14ac:dyDescent="0.25">
      <c r="A135" t="s">
        <v>2928</v>
      </c>
      <c r="B135" t="s">
        <v>3413</v>
      </c>
      <c r="C135" t="s">
        <v>2932</v>
      </c>
      <c r="D135">
        <v>21.707568070000001</v>
      </c>
      <c r="E135" t="s">
        <v>2929</v>
      </c>
      <c r="F135">
        <v>101.2903316</v>
      </c>
      <c r="G135" t="s">
        <v>2930</v>
      </c>
      <c r="H135">
        <v>30438</v>
      </c>
      <c r="I135" t="s">
        <v>2931</v>
      </c>
    </row>
    <row r="136" spans="1:9" x14ac:dyDescent="0.25">
      <c r="A136" t="s">
        <v>2928</v>
      </c>
      <c r="B136" t="s">
        <v>3121</v>
      </c>
      <c r="C136" t="s">
        <v>2932</v>
      </c>
      <c r="D136">
        <v>23.388157549999999</v>
      </c>
      <c r="E136" t="s">
        <v>2929</v>
      </c>
      <c r="F136">
        <v>102.7320795</v>
      </c>
      <c r="G136" t="s">
        <v>2930</v>
      </c>
      <c r="H136">
        <v>36884</v>
      </c>
      <c r="I136" t="s">
        <v>2931</v>
      </c>
    </row>
    <row r="137" spans="1:9" x14ac:dyDescent="0.25">
      <c r="A137" t="s">
        <v>2928</v>
      </c>
      <c r="B137" t="s">
        <v>2982</v>
      </c>
      <c r="C137" t="s">
        <v>2932</v>
      </c>
      <c r="D137">
        <v>25.536471769999999</v>
      </c>
      <c r="E137" t="s">
        <v>2929</v>
      </c>
      <c r="F137">
        <v>101.0842165</v>
      </c>
      <c r="G137" t="s">
        <v>2930</v>
      </c>
      <c r="H137">
        <v>15432</v>
      </c>
      <c r="I137" t="s">
        <v>2931</v>
      </c>
    </row>
    <row r="138" spans="1:9" x14ac:dyDescent="0.25">
      <c r="A138" t="s">
        <v>2928</v>
      </c>
      <c r="B138" t="s">
        <v>3275</v>
      </c>
      <c r="C138" t="s">
        <v>2932</v>
      </c>
      <c r="D138">
        <v>23.717272990000001</v>
      </c>
      <c r="E138" t="s">
        <v>2929</v>
      </c>
      <c r="F138">
        <v>101.11613699999999</v>
      </c>
      <c r="G138" t="s">
        <v>2930</v>
      </c>
      <c r="H138">
        <v>14720</v>
      </c>
      <c r="I138" t="s">
        <v>2931</v>
      </c>
    </row>
    <row r="139" spans="1:9" x14ac:dyDescent="0.25">
      <c r="A139" t="s">
        <v>2928</v>
      </c>
      <c r="B139" t="s">
        <v>2938</v>
      </c>
      <c r="C139" t="s">
        <v>2932</v>
      </c>
      <c r="D139">
        <v>25.334898670000001</v>
      </c>
      <c r="E139" t="s">
        <v>2929</v>
      </c>
      <c r="F139">
        <v>98.483570490000005</v>
      </c>
      <c r="G139" t="s">
        <v>2930</v>
      </c>
      <c r="H139">
        <v>45528</v>
      </c>
      <c r="I139" t="s">
        <v>2931</v>
      </c>
    </row>
    <row r="140" spans="1:9" x14ac:dyDescent="0.25">
      <c r="A140" t="s">
        <v>2928</v>
      </c>
      <c r="B140" t="s">
        <v>3382</v>
      </c>
      <c r="C140" t="s">
        <v>2932</v>
      </c>
      <c r="D140">
        <v>23.603472969999999</v>
      </c>
      <c r="E140" t="s">
        <v>2929</v>
      </c>
      <c r="F140">
        <v>105.8612715</v>
      </c>
      <c r="G140" t="s">
        <v>2930</v>
      </c>
      <c r="H140">
        <v>38960</v>
      </c>
      <c r="I140" t="s">
        <v>2931</v>
      </c>
    </row>
    <row r="141" spans="1:9" x14ac:dyDescent="0.25">
      <c r="A141" t="s">
        <v>2928</v>
      </c>
      <c r="B141" t="s">
        <v>2983</v>
      </c>
      <c r="C141" t="s">
        <v>2932</v>
      </c>
      <c r="D141">
        <v>26.11322002</v>
      </c>
      <c r="E141" t="s">
        <v>2929</v>
      </c>
      <c r="F141">
        <v>101.2852633</v>
      </c>
      <c r="G141" t="s">
        <v>2930</v>
      </c>
      <c r="H141">
        <v>11963</v>
      </c>
      <c r="I141" t="s">
        <v>2931</v>
      </c>
    </row>
    <row r="142" spans="1:9" x14ac:dyDescent="0.25">
      <c r="A142" t="s">
        <v>2928</v>
      </c>
      <c r="B142" t="s">
        <v>3175</v>
      </c>
      <c r="C142" t="s">
        <v>2932</v>
      </c>
      <c r="D142">
        <v>24.645783099999999</v>
      </c>
      <c r="E142" t="s">
        <v>2929</v>
      </c>
      <c r="F142">
        <v>103.5595915</v>
      </c>
      <c r="G142" t="s">
        <v>2930</v>
      </c>
      <c r="H142">
        <v>26000</v>
      </c>
      <c r="I142" t="s">
        <v>2931</v>
      </c>
    </row>
    <row r="143" spans="1:9" x14ac:dyDescent="0.25">
      <c r="A143" t="s">
        <v>2928</v>
      </c>
      <c r="B143" t="s">
        <v>3462</v>
      </c>
      <c r="C143" t="s">
        <v>2932</v>
      </c>
      <c r="D143">
        <v>28.328205870000001</v>
      </c>
      <c r="E143" t="s">
        <v>2929</v>
      </c>
      <c r="F143">
        <v>103.8980256</v>
      </c>
      <c r="G143" t="s">
        <v>2930</v>
      </c>
      <c r="H143">
        <v>15610</v>
      </c>
      <c r="I143" t="s">
        <v>2931</v>
      </c>
    </row>
    <row r="144" spans="1:9" x14ac:dyDescent="0.25">
      <c r="A144" t="s">
        <v>2928</v>
      </c>
      <c r="B144" t="s">
        <v>3383</v>
      </c>
      <c r="C144" t="s">
        <v>2932</v>
      </c>
      <c r="D144">
        <v>23.244016599999998</v>
      </c>
      <c r="E144" t="s">
        <v>2929</v>
      </c>
      <c r="F144">
        <v>104.2320605</v>
      </c>
      <c r="G144" t="s">
        <v>2930</v>
      </c>
      <c r="H144">
        <v>22263</v>
      </c>
      <c r="I144" t="s">
        <v>2931</v>
      </c>
    </row>
    <row r="145" spans="1:9" x14ac:dyDescent="0.25">
      <c r="A145" t="s">
        <v>2928</v>
      </c>
      <c r="B145" t="s">
        <v>3337</v>
      </c>
      <c r="C145" t="s">
        <v>2932</v>
      </c>
      <c r="D145">
        <v>26.054100569999999</v>
      </c>
      <c r="E145" t="s">
        <v>2929</v>
      </c>
      <c r="F145">
        <v>104.3878912</v>
      </c>
      <c r="G145" t="s">
        <v>2930</v>
      </c>
      <c r="H145">
        <v>53861</v>
      </c>
      <c r="I145" t="s">
        <v>2931</v>
      </c>
    </row>
    <row r="146" spans="1:9" x14ac:dyDescent="0.25">
      <c r="A146" t="s">
        <v>2928</v>
      </c>
      <c r="B146" t="s">
        <v>3036</v>
      </c>
      <c r="C146" t="s">
        <v>2932</v>
      </c>
      <c r="D146">
        <v>25.76412723</v>
      </c>
      <c r="E146" t="s">
        <v>2929</v>
      </c>
      <c r="F146">
        <v>100.2269605</v>
      </c>
      <c r="G146" t="s">
        <v>2930</v>
      </c>
      <c r="H146">
        <v>21274</v>
      </c>
      <c r="I146" t="s">
        <v>2931</v>
      </c>
    </row>
    <row r="147" spans="1:9" x14ac:dyDescent="0.25">
      <c r="A147" t="s">
        <v>2928</v>
      </c>
      <c r="B147" t="s">
        <v>3427</v>
      </c>
      <c r="C147" t="s">
        <v>2932</v>
      </c>
      <c r="D147">
        <v>24.578842760000001</v>
      </c>
      <c r="E147" t="s">
        <v>2929</v>
      </c>
      <c r="F147">
        <v>102.985435</v>
      </c>
      <c r="G147" t="s">
        <v>2930</v>
      </c>
      <c r="H147">
        <v>11192</v>
      </c>
      <c r="I147" t="s">
        <v>2931</v>
      </c>
    </row>
    <row r="148" spans="1:9" x14ac:dyDescent="0.25">
      <c r="A148" t="s">
        <v>2928</v>
      </c>
      <c r="B148" t="s">
        <v>3463</v>
      </c>
      <c r="C148" t="s">
        <v>2932</v>
      </c>
      <c r="D148">
        <v>27.553598279999999</v>
      </c>
      <c r="E148" t="s">
        <v>2929</v>
      </c>
      <c r="F148">
        <v>104.2988852</v>
      </c>
      <c r="G148" t="s">
        <v>2930</v>
      </c>
      <c r="H148">
        <v>25327</v>
      </c>
      <c r="I148" t="s">
        <v>2931</v>
      </c>
    </row>
    <row r="149" spans="1:9" x14ac:dyDescent="0.25">
      <c r="A149" t="s">
        <v>2928</v>
      </c>
      <c r="B149" t="s">
        <v>2939</v>
      </c>
      <c r="C149" t="s">
        <v>2932</v>
      </c>
      <c r="D149">
        <v>25.093410290000001</v>
      </c>
      <c r="E149" t="s">
        <v>2929</v>
      </c>
      <c r="F149">
        <v>99.152347320000004</v>
      </c>
      <c r="G149" t="s">
        <v>2930</v>
      </c>
      <c r="H149">
        <v>72675</v>
      </c>
      <c r="I149" t="s">
        <v>2931</v>
      </c>
    </row>
    <row r="150" spans="1:9" x14ac:dyDescent="0.25">
      <c r="A150" t="s">
        <v>2928</v>
      </c>
      <c r="B150" t="s">
        <v>3037</v>
      </c>
      <c r="C150" t="s">
        <v>2932</v>
      </c>
      <c r="D150">
        <v>25.59179722</v>
      </c>
      <c r="E150" t="s">
        <v>2929</v>
      </c>
      <c r="F150">
        <v>100.74531380000001</v>
      </c>
      <c r="G150" t="s">
        <v>2930</v>
      </c>
      <c r="H150">
        <v>44661</v>
      </c>
      <c r="I150" t="s">
        <v>2931</v>
      </c>
    </row>
    <row r="151" spans="1:9" x14ac:dyDescent="0.25">
      <c r="A151" t="s">
        <v>2928</v>
      </c>
      <c r="B151" t="s">
        <v>2940</v>
      </c>
      <c r="C151" t="s">
        <v>2932</v>
      </c>
      <c r="D151">
        <v>24.962136749999999</v>
      </c>
      <c r="E151" t="s">
        <v>2929</v>
      </c>
      <c r="F151">
        <v>98.376154869999993</v>
      </c>
      <c r="G151" t="s">
        <v>2930</v>
      </c>
      <c r="H151">
        <v>24814</v>
      </c>
      <c r="I151" t="s">
        <v>2931</v>
      </c>
    </row>
    <row r="152" spans="1:9" x14ac:dyDescent="0.25">
      <c r="A152" t="s">
        <v>2928</v>
      </c>
      <c r="B152" t="s">
        <v>2984</v>
      </c>
      <c r="C152" t="s">
        <v>2932</v>
      </c>
      <c r="D152">
        <v>25.399304990000001</v>
      </c>
      <c r="E152" t="s">
        <v>2929</v>
      </c>
      <c r="F152">
        <v>101.7803376</v>
      </c>
      <c r="G152" t="s">
        <v>2930</v>
      </c>
      <c r="H152">
        <v>14900</v>
      </c>
      <c r="I152" t="s">
        <v>2931</v>
      </c>
    </row>
    <row r="153" spans="1:9" x14ac:dyDescent="0.25">
      <c r="A153" t="s">
        <v>2928</v>
      </c>
      <c r="B153" t="s">
        <v>3464</v>
      </c>
      <c r="C153" t="s">
        <v>2932</v>
      </c>
      <c r="D153">
        <v>27.46357214</v>
      </c>
      <c r="E153" t="s">
        <v>2929</v>
      </c>
      <c r="F153">
        <v>105.2037964</v>
      </c>
      <c r="G153" t="s">
        <v>2930</v>
      </c>
      <c r="H153">
        <v>26139</v>
      </c>
      <c r="I153" t="s">
        <v>2931</v>
      </c>
    </row>
    <row r="154" spans="1:9" x14ac:dyDescent="0.25">
      <c r="A154" t="s">
        <v>2928</v>
      </c>
      <c r="B154" t="s">
        <v>4957</v>
      </c>
      <c r="C154" t="s">
        <v>2932</v>
      </c>
      <c r="D154">
        <v>22.633909630000002</v>
      </c>
      <c r="E154" t="s">
        <v>2929</v>
      </c>
      <c r="F154">
        <v>103.8499249</v>
      </c>
      <c r="G154" t="s">
        <v>2930</v>
      </c>
      <c r="H154">
        <v>37074</v>
      </c>
      <c r="I154" t="s">
        <v>2931</v>
      </c>
    </row>
    <row r="155" spans="1:9" x14ac:dyDescent="0.25">
      <c r="A155" t="s">
        <v>2928</v>
      </c>
      <c r="B155" t="s">
        <v>4958</v>
      </c>
      <c r="C155" t="s">
        <v>2932</v>
      </c>
      <c r="D155">
        <v>25.680372850000001</v>
      </c>
      <c r="E155" t="s">
        <v>2929</v>
      </c>
      <c r="F155">
        <v>103.4353967</v>
      </c>
      <c r="G155" t="s">
        <v>2930</v>
      </c>
      <c r="H155">
        <v>30961</v>
      </c>
      <c r="I155" t="s">
        <v>2931</v>
      </c>
    </row>
    <row r="156" spans="1:9" x14ac:dyDescent="0.25">
      <c r="A156" t="s">
        <v>2928</v>
      </c>
      <c r="B156" t="s">
        <v>4959</v>
      </c>
      <c r="C156" t="s">
        <v>2932</v>
      </c>
      <c r="D156">
        <v>25.227227679999999</v>
      </c>
      <c r="E156" t="s">
        <v>2929</v>
      </c>
      <c r="F156">
        <v>102.18050650000001</v>
      </c>
      <c r="G156" t="s">
        <v>2930</v>
      </c>
      <c r="H156">
        <v>21826</v>
      </c>
      <c r="I156" t="s">
        <v>2931</v>
      </c>
    </row>
    <row r="157" spans="1:9" x14ac:dyDescent="0.25">
      <c r="A157" t="s">
        <v>2928</v>
      </c>
      <c r="B157" t="s">
        <v>4960</v>
      </c>
      <c r="C157" t="s">
        <v>2932</v>
      </c>
      <c r="D157">
        <v>23.264862480000001</v>
      </c>
      <c r="E157" t="s">
        <v>2929</v>
      </c>
      <c r="F157">
        <v>103.8316444</v>
      </c>
      <c r="G157" t="s">
        <v>2930</v>
      </c>
      <c r="H157">
        <v>27347</v>
      </c>
      <c r="I157" t="s">
        <v>2931</v>
      </c>
    </row>
    <row r="158" spans="1:9" x14ac:dyDescent="0.25">
      <c r="A158" t="s">
        <v>2928</v>
      </c>
      <c r="B158" t="s">
        <v>4961</v>
      </c>
      <c r="C158" t="s">
        <v>2932</v>
      </c>
      <c r="D158">
        <v>23.90762277</v>
      </c>
      <c r="E158" t="s">
        <v>2929</v>
      </c>
      <c r="F158">
        <v>101.4213488</v>
      </c>
      <c r="G158" t="s">
        <v>2930</v>
      </c>
      <c r="H158">
        <v>11979</v>
      </c>
      <c r="I158" t="s">
        <v>2931</v>
      </c>
    </row>
    <row r="159" spans="1:9" x14ac:dyDescent="0.25">
      <c r="A159" t="s">
        <v>2928</v>
      </c>
      <c r="B159" t="s">
        <v>2941</v>
      </c>
      <c r="C159" t="s">
        <v>2932</v>
      </c>
      <c r="D159">
        <v>25.01758762</v>
      </c>
      <c r="E159" t="s">
        <v>2929</v>
      </c>
      <c r="F159">
        <v>98.451739369999999</v>
      </c>
      <c r="G159" t="s">
        <v>2930</v>
      </c>
      <c r="H159">
        <v>6560</v>
      </c>
      <c r="I159" t="s">
        <v>2931</v>
      </c>
    </row>
    <row r="160" spans="1:9" x14ac:dyDescent="0.25">
      <c r="A160" t="s">
        <v>2928</v>
      </c>
      <c r="B160" t="s">
        <v>3428</v>
      </c>
      <c r="C160" t="s">
        <v>2932</v>
      </c>
      <c r="D160">
        <v>24.162661270000001</v>
      </c>
      <c r="E160" t="s">
        <v>2929</v>
      </c>
      <c r="F160">
        <v>102.5999329</v>
      </c>
      <c r="G160" t="s">
        <v>2930</v>
      </c>
      <c r="H160">
        <v>50423</v>
      </c>
      <c r="I160" t="s">
        <v>2931</v>
      </c>
    </row>
    <row r="161" spans="1:9" x14ac:dyDescent="0.25">
      <c r="A161" t="s">
        <v>2928</v>
      </c>
      <c r="B161" t="s">
        <v>3206</v>
      </c>
      <c r="C161" t="s">
        <v>2932</v>
      </c>
      <c r="D161">
        <v>27.492424010000001</v>
      </c>
      <c r="E161" t="s">
        <v>2929</v>
      </c>
      <c r="F161">
        <v>100.783018</v>
      </c>
      <c r="G161" t="s">
        <v>2930</v>
      </c>
      <c r="H161">
        <v>20060</v>
      </c>
      <c r="I161" t="s">
        <v>2931</v>
      </c>
    </row>
    <row r="162" spans="1:9" x14ac:dyDescent="0.25">
      <c r="A162" t="s">
        <v>2928</v>
      </c>
      <c r="B162" t="s">
        <v>3176</v>
      </c>
      <c r="C162" t="s">
        <v>2932</v>
      </c>
      <c r="D162">
        <v>26.045305190000001</v>
      </c>
      <c r="E162" t="s">
        <v>2929</v>
      </c>
      <c r="F162">
        <v>102.9936089</v>
      </c>
      <c r="G162" t="s">
        <v>2930</v>
      </c>
      <c r="H162">
        <v>15134</v>
      </c>
      <c r="I162" t="s">
        <v>2931</v>
      </c>
    </row>
    <row r="163" spans="1:9" x14ac:dyDescent="0.25">
      <c r="A163" t="s">
        <v>2928</v>
      </c>
      <c r="B163" t="s">
        <v>2985</v>
      </c>
      <c r="C163" t="s">
        <v>2932</v>
      </c>
      <c r="D163">
        <v>25.027821360000001</v>
      </c>
      <c r="E163" t="s">
        <v>2929</v>
      </c>
      <c r="F163">
        <v>100.8525796</v>
      </c>
      <c r="G163" t="s">
        <v>2930</v>
      </c>
      <c r="H163">
        <v>12457</v>
      </c>
      <c r="I163" t="s">
        <v>2931</v>
      </c>
    </row>
    <row r="164" spans="1:9" x14ac:dyDescent="0.25">
      <c r="A164" t="s">
        <v>2928</v>
      </c>
      <c r="B164" t="s">
        <v>3122</v>
      </c>
      <c r="C164" t="s">
        <v>2932</v>
      </c>
      <c r="D164">
        <v>24.135569709999999</v>
      </c>
      <c r="E164" t="s">
        <v>2929</v>
      </c>
      <c r="F164">
        <v>103.33383499999999</v>
      </c>
      <c r="G164" t="s">
        <v>2930</v>
      </c>
      <c r="H164">
        <v>42414</v>
      </c>
      <c r="I164" t="s">
        <v>2931</v>
      </c>
    </row>
    <row r="165" spans="1:9" x14ac:dyDescent="0.25">
      <c r="A165" t="s">
        <v>2928</v>
      </c>
      <c r="B165" t="s">
        <v>3038</v>
      </c>
      <c r="C165" t="s">
        <v>2932</v>
      </c>
      <c r="D165">
        <v>25.443102469999999</v>
      </c>
      <c r="E165" t="s">
        <v>2929</v>
      </c>
      <c r="F165">
        <v>100.4162252</v>
      </c>
      <c r="G165" t="s">
        <v>2930</v>
      </c>
      <c r="H165">
        <v>46607</v>
      </c>
      <c r="I165" t="s">
        <v>2931</v>
      </c>
    </row>
    <row r="166" spans="1:9" x14ac:dyDescent="0.25">
      <c r="A166" t="s">
        <v>2928</v>
      </c>
      <c r="B166" t="s">
        <v>2942</v>
      </c>
      <c r="C166" t="s">
        <v>2932</v>
      </c>
      <c r="D166">
        <v>25.354299659999999</v>
      </c>
      <c r="E166" t="s">
        <v>2929</v>
      </c>
      <c r="F166">
        <v>98.252116169999994</v>
      </c>
      <c r="G166" t="s">
        <v>2930</v>
      </c>
      <c r="H166">
        <v>27965</v>
      </c>
      <c r="I166" t="s">
        <v>2931</v>
      </c>
    </row>
    <row r="167" spans="1:9" x14ac:dyDescent="0.25">
      <c r="A167" t="s">
        <v>2928</v>
      </c>
      <c r="B167" t="s">
        <v>3338</v>
      </c>
      <c r="C167" t="s">
        <v>2932</v>
      </c>
      <c r="D167">
        <v>25.848390909999999</v>
      </c>
      <c r="E167" t="s">
        <v>2929</v>
      </c>
      <c r="F167">
        <v>104.3190175</v>
      </c>
      <c r="G167" t="s">
        <v>2930</v>
      </c>
      <c r="H167">
        <v>68322</v>
      </c>
      <c r="I167" t="s">
        <v>2931</v>
      </c>
    </row>
    <row r="168" spans="1:9" x14ac:dyDescent="0.25">
      <c r="A168" t="s">
        <v>2928</v>
      </c>
      <c r="B168" t="s">
        <v>2986</v>
      </c>
      <c r="C168" t="s">
        <v>2932</v>
      </c>
      <c r="D168">
        <v>25.820312009999999</v>
      </c>
      <c r="E168" t="s">
        <v>2929</v>
      </c>
      <c r="F168">
        <v>101.8683868</v>
      </c>
      <c r="G168" t="s">
        <v>2930</v>
      </c>
      <c r="H168">
        <v>37528</v>
      </c>
      <c r="I168" t="s">
        <v>2931</v>
      </c>
    </row>
    <row r="169" spans="1:9" x14ac:dyDescent="0.25">
      <c r="A169" t="s">
        <v>2928</v>
      </c>
      <c r="B169" t="s">
        <v>3465</v>
      </c>
      <c r="C169" t="s">
        <v>2932</v>
      </c>
      <c r="D169">
        <v>27.961991130000001</v>
      </c>
      <c r="E169" t="s">
        <v>2929</v>
      </c>
      <c r="F169">
        <v>103.546425</v>
      </c>
      <c r="G169" t="s">
        <v>2930</v>
      </c>
      <c r="H169">
        <v>50032</v>
      </c>
      <c r="I169" t="s">
        <v>2931</v>
      </c>
    </row>
    <row r="170" spans="1:9" x14ac:dyDescent="0.25">
      <c r="A170" t="s">
        <v>2928</v>
      </c>
      <c r="B170" t="s">
        <v>3339</v>
      </c>
      <c r="C170" t="s">
        <v>2932</v>
      </c>
      <c r="D170">
        <v>25.265104910000002</v>
      </c>
      <c r="E170" t="s">
        <v>2929</v>
      </c>
      <c r="F170">
        <v>104.63814739999999</v>
      </c>
      <c r="G170" t="s">
        <v>2930</v>
      </c>
      <c r="H170">
        <v>56551</v>
      </c>
      <c r="I170" t="s">
        <v>2931</v>
      </c>
    </row>
    <row r="171" spans="1:9" x14ac:dyDescent="0.25">
      <c r="A171" t="s">
        <v>2928</v>
      </c>
      <c r="B171" t="s">
        <v>3039</v>
      </c>
      <c r="C171" t="s">
        <v>2932</v>
      </c>
      <c r="D171">
        <v>26.081723119999999</v>
      </c>
      <c r="E171" t="s">
        <v>2929</v>
      </c>
      <c r="F171">
        <v>100.3469096</v>
      </c>
      <c r="G171" t="s">
        <v>2930</v>
      </c>
      <c r="H171">
        <v>32992</v>
      </c>
      <c r="I171" t="s">
        <v>2931</v>
      </c>
    </row>
    <row r="172" spans="1:9" x14ac:dyDescent="0.25">
      <c r="A172" t="s">
        <v>2928</v>
      </c>
      <c r="B172" t="s">
        <v>3207</v>
      </c>
      <c r="C172" t="s">
        <v>2932</v>
      </c>
      <c r="D172">
        <v>26.79889975</v>
      </c>
      <c r="E172" t="s">
        <v>2929</v>
      </c>
      <c r="F172">
        <v>100.1883831</v>
      </c>
      <c r="G172" t="s">
        <v>2930</v>
      </c>
      <c r="H172">
        <v>20136</v>
      </c>
      <c r="I172" t="s">
        <v>2931</v>
      </c>
    </row>
    <row r="173" spans="1:9" x14ac:dyDescent="0.25">
      <c r="A173" t="s">
        <v>2928</v>
      </c>
      <c r="B173" t="s">
        <v>3429</v>
      </c>
      <c r="C173" t="s">
        <v>2932</v>
      </c>
      <c r="D173">
        <v>24.108699380000001</v>
      </c>
      <c r="E173" t="s">
        <v>2929</v>
      </c>
      <c r="F173">
        <v>102.20109789999999</v>
      </c>
      <c r="G173" t="s">
        <v>2930</v>
      </c>
      <c r="H173">
        <v>11538</v>
      </c>
      <c r="I173" t="s">
        <v>2931</v>
      </c>
    </row>
    <row r="174" spans="1:9" x14ac:dyDescent="0.25">
      <c r="A174" t="s">
        <v>2928</v>
      </c>
      <c r="B174" t="s">
        <v>3276</v>
      </c>
      <c r="C174" t="s">
        <v>2932</v>
      </c>
      <c r="D174">
        <v>24.261958799999999</v>
      </c>
      <c r="E174" t="s">
        <v>2929</v>
      </c>
      <c r="F174">
        <v>101.1464797</v>
      </c>
      <c r="G174" t="s">
        <v>2930</v>
      </c>
      <c r="H174">
        <v>28042</v>
      </c>
      <c r="I174" t="s">
        <v>2931</v>
      </c>
    </row>
    <row r="175" spans="1:9" x14ac:dyDescent="0.25">
      <c r="A175" t="s">
        <v>2928</v>
      </c>
      <c r="B175" t="s">
        <v>3430</v>
      </c>
      <c r="C175" t="s">
        <v>2932</v>
      </c>
      <c r="D175">
        <v>24.067232879999999</v>
      </c>
      <c r="E175" t="s">
        <v>2929</v>
      </c>
      <c r="F175">
        <v>102.96028920000001</v>
      </c>
      <c r="G175" t="s">
        <v>2930</v>
      </c>
      <c r="H175">
        <v>13785</v>
      </c>
      <c r="I175" t="s">
        <v>2931</v>
      </c>
    </row>
    <row r="176" spans="1:9" x14ac:dyDescent="0.25">
      <c r="A176" t="s">
        <v>2928</v>
      </c>
      <c r="B176" t="s">
        <v>3277</v>
      </c>
      <c r="C176" t="s">
        <v>2932</v>
      </c>
      <c r="D176">
        <v>22.239238220000001</v>
      </c>
      <c r="E176" t="s">
        <v>2929</v>
      </c>
      <c r="F176">
        <v>100.043998</v>
      </c>
      <c r="G176" t="s">
        <v>2930</v>
      </c>
      <c r="H176">
        <v>17303</v>
      </c>
      <c r="I176" t="s">
        <v>2931</v>
      </c>
    </row>
    <row r="177" spans="1:9" x14ac:dyDescent="0.25">
      <c r="A177" t="s">
        <v>2928</v>
      </c>
      <c r="B177" t="s">
        <v>3466</v>
      </c>
      <c r="C177" t="s">
        <v>2932</v>
      </c>
      <c r="D177">
        <v>28.59988087</v>
      </c>
      <c r="E177" t="s">
        <v>2929</v>
      </c>
      <c r="F177">
        <v>104.1922373</v>
      </c>
      <c r="G177" t="s">
        <v>2930</v>
      </c>
      <c r="H177">
        <v>22033</v>
      </c>
      <c r="I177" t="s">
        <v>2931</v>
      </c>
    </row>
    <row r="178" spans="1:9" x14ac:dyDescent="0.25">
      <c r="A178" t="s">
        <v>2928</v>
      </c>
      <c r="B178" t="s">
        <v>3467</v>
      </c>
      <c r="C178" t="s">
        <v>2932</v>
      </c>
      <c r="D178">
        <v>27.041590060000001</v>
      </c>
      <c r="E178" t="s">
        <v>2929</v>
      </c>
      <c r="F178">
        <v>103.4675962</v>
      </c>
      <c r="G178" t="s">
        <v>2930</v>
      </c>
      <c r="H178">
        <v>19702</v>
      </c>
      <c r="I178" t="s">
        <v>2931</v>
      </c>
    </row>
    <row r="179" spans="1:9" x14ac:dyDescent="0.25">
      <c r="A179" t="s">
        <v>2928</v>
      </c>
      <c r="B179" t="s">
        <v>3108</v>
      </c>
      <c r="C179" t="s">
        <v>2932</v>
      </c>
      <c r="D179">
        <v>27.248070439999999</v>
      </c>
      <c r="E179" t="s">
        <v>2929</v>
      </c>
      <c r="F179">
        <v>100.00164049999999</v>
      </c>
      <c r="G179" t="s">
        <v>2930</v>
      </c>
      <c r="H179">
        <v>19922</v>
      </c>
      <c r="I179" t="s">
        <v>2931</v>
      </c>
    </row>
    <row r="180" spans="1:9" x14ac:dyDescent="0.25">
      <c r="A180" t="s">
        <v>2928</v>
      </c>
      <c r="B180" t="s">
        <v>3384</v>
      </c>
      <c r="C180" t="s">
        <v>2932</v>
      </c>
      <c r="D180">
        <v>22.868837280000001</v>
      </c>
      <c r="E180" t="s">
        <v>2929</v>
      </c>
      <c r="F180">
        <v>104.4030635</v>
      </c>
      <c r="G180" t="s">
        <v>2930</v>
      </c>
      <c r="H180">
        <v>36947</v>
      </c>
      <c r="I180" t="s">
        <v>2931</v>
      </c>
    </row>
    <row r="181" spans="1:9" x14ac:dyDescent="0.25">
      <c r="A181" t="s">
        <v>2928</v>
      </c>
      <c r="B181" t="s">
        <v>3431</v>
      </c>
      <c r="C181" t="s">
        <v>2932</v>
      </c>
      <c r="D181">
        <v>24.439337640000002</v>
      </c>
      <c r="E181" t="s">
        <v>2929</v>
      </c>
      <c r="F181">
        <v>102.8097721</v>
      </c>
      <c r="G181" t="s">
        <v>2930</v>
      </c>
      <c r="H181">
        <v>70812</v>
      </c>
      <c r="I181" t="s">
        <v>2931</v>
      </c>
    </row>
    <row r="182" spans="1:9" x14ac:dyDescent="0.25">
      <c r="A182" t="s">
        <v>2928</v>
      </c>
      <c r="B182" t="s">
        <v>3468</v>
      </c>
      <c r="C182" t="s">
        <v>2932</v>
      </c>
      <c r="D182">
        <v>27.061533520000001</v>
      </c>
      <c r="E182" t="s">
        <v>2929</v>
      </c>
      <c r="F182">
        <v>103.5686956</v>
      </c>
      <c r="G182" t="s">
        <v>2930</v>
      </c>
      <c r="H182">
        <v>26863</v>
      </c>
      <c r="I182" t="s">
        <v>2931</v>
      </c>
    </row>
    <row r="183" spans="1:9" x14ac:dyDescent="0.25">
      <c r="A183" t="s">
        <v>2928</v>
      </c>
      <c r="B183" t="s">
        <v>3385</v>
      </c>
      <c r="C183" t="s">
        <v>2932</v>
      </c>
      <c r="D183">
        <v>23.608945240000001</v>
      </c>
      <c r="E183" t="s">
        <v>2929</v>
      </c>
      <c r="F183">
        <v>104.2971775</v>
      </c>
      <c r="G183" t="s">
        <v>2930</v>
      </c>
      <c r="H183">
        <v>79448</v>
      </c>
      <c r="I183" t="s">
        <v>2931</v>
      </c>
    </row>
    <row r="184" spans="1:9" x14ac:dyDescent="0.25">
      <c r="A184" t="s">
        <v>2928</v>
      </c>
      <c r="B184" t="s">
        <v>2987</v>
      </c>
      <c r="C184" t="s">
        <v>2932</v>
      </c>
      <c r="D184">
        <v>25.236756310000001</v>
      </c>
      <c r="E184" t="s">
        <v>2929</v>
      </c>
      <c r="F184">
        <v>101.60455210000001</v>
      </c>
      <c r="G184" t="s">
        <v>2930</v>
      </c>
      <c r="H184">
        <v>26447</v>
      </c>
      <c r="I184" t="s">
        <v>2931</v>
      </c>
    </row>
    <row r="185" spans="1:9" x14ac:dyDescent="0.25">
      <c r="A185" t="s">
        <v>2928</v>
      </c>
      <c r="B185" t="s">
        <v>3109</v>
      </c>
      <c r="C185" t="s">
        <v>2932</v>
      </c>
      <c r="D185">
        <v>27.867781059999999</v>
      </c>
      <c r="E185" t="s">
        <v>2929</v>
      </c>
      <c r="F185">
        <v>99.747248200000001</v>
      </c>
      <c r="G185" t="s">
        <v>2930</v>
      </c>
      <c r="H185">
        <v>65189</v>
      </c>
      <c r="I185" t="s">
        <v>2931</v>
      </c>
    </row>
    <row r="186" spans="1:9" x14ac:dyDescent="0.25">
      <c r="A186" t="s">
        <v>2928</v>
      </c>
      <c r="B186" t="s">
        <v>3469</v>
      </c>
      <c r="C186" t="s">
        <v>2932</v>
      </c>
      <c r="D186">
        <v>27.58534212</v>
      </c>
      <c r="E186" t="s">
        <v>2929</v>
      </c>
      <c r="F186">
        <v>104.0873192</v>
      </c>
      <c r="G186" t="s">
        <v>2930</v>
      </c>
      <c r="H186">
        <v>101357</v>
      </c>
      <c r="I186" t="s">
        <v>2931</v>
      </c>
    </row>
    <row r="187" spans="1:9" x14ac:dyDescent="0.25">
      <c r="A187" t="s">
        <v>2928</v>
      </c>
      <c r="B187" t="s">
        <v>3177</v>
      </c>
      <c r="C187" t="s">
        <v>2932</v>
      </c>
      <c r="D187">
        <v>26.195956559999999</v>
      </c>
      <c r="E187" t="s">
        <v>2929</v>
      </c>
      <c r="F187">
        <v>102.43545899999999</v>
      </c>
      <c r="G187" t="s">
        <v>2930</v>
      </c>
      <c r="H187">
        <v>18894</v>
      </c>
      <c r="I187" t="s">
        <v>2931</v>
      </c>
    </row>
    <row r="188" spans="1:9" x14ac:dyDescent="0.25">
      <c r="A188" t="s">
        <v>2928</v>
      </c>
      <c r="B188" t="s">
        <v>3432</v>
      </c>
      <c r="C188" t="s">
        <v>2932</v>
      </c>
      <c r="D188">
        <v>24.05039262</v>
      </c>
      <c r="E188" t="s">
        <v>2929</v>
      </c>
      <c r="F188">
        <v>101.5891826</v>
      </c>
      <c r="G188" t="s">
        <v>2930</v>
      </c>
      <c r="H188">
        <v>44694</v>
      </c>
      <c r="I188" t="s">
        <v>2931</v>
      </c>
    </row>
    <row r="189" spans="1:9" x14ac:dyDescent="0.25">
      <c r="A189" t="s">
        <v>2928</v>
      </c>
      <c r="B189" t="s">
        <v>3386</v>
      </c>
      <c r="C189" t="s">
        <v>2932</v>
      </c>
      <c r="D189">
        <v>23.75103833</v>
      </c>
      <c r="E189" t="s">
        <v>2929</v>
      </c>
      <c r="F189">
        <v>103.9520115</v>
      </c>
      <c r="G189" t="s">
        <v>2930</v>
      </c>
      <c r="H189">
        <v>41917</v>
      </c>
      <c r="I189" t="s">
        <v>2931</v>
      </c>
    </row>
    <row r="190" spans="1:9" x14ac:dyDescent="0.25">
      <c r="A190" t="s">
        <v>2928</v>
      </c>
      <c r="B190" t="s">
        <v>3123</v>
      </c>
      <c r="C190" t="s">
        <v>2932</v>
      </c>
      <c r="D190">
        <v>23.248054230000001</v>
      </c>
      <c r="E190" t="s">
        <v>2929</v>
      </c>
      <c r="F190">
        <v>102.4204281</v>
      </c>
      <c r="G190" t="s">
        <v>2930</v>
      </c>
      <c r="H190">
        <v>26194</v>
      </c>
      <c r="I190" t="s">
        <v>2931</v>
      </c>
    </row>
    <row r="191" spans="1:9" x14ac:dyDescent="0.25">
      <c r="A191" t="s">
        <v>2928</v>
      </c>
      <c r="B191" t="s">
        <v>2943</v>
      </c>
      <c r="C191" t="s">
        <v>2932</v>
      </c>
      <c r="D191">
        <v>25.511588079999999</v>
      </c>
      <c r="E191" t="s">
        <v>2929</v>
      </c>
      <c r="F191">
        <v>98.675946679999996</v>
      </c>
      <c r="G191" t="s">
        <v>2930</v>
      </c>
      <c r="H191">
        <v>65843</v>
      </c>
      <c r="I191" t="s">
        <v>2931</v>
      </c>
    </row>
    <row r="192" spans="1:9" x14ac:dyDescent="0.25">
      <c r="A192" t="s">
        <v>2928</v>
      </c>
      <c r="B192" t="s">
        <v>2944</v>
      </c>
      <c r="C192" t="s">
        <v>2932</v>
      </c>
      <c r="D192">
        <v>24.708564110000001</v>
      </c>
      <c r="E192" t="s">
        <v>2929</v>
      </c>
      <c r="F192">
        <v>99.451902020000006</v>
      </c>
      <c r="G192" t="s">
        <v>2930</v>
      </c>
      <c r="H192">
        <v>18456</v>
      </c>
      <c r="I192" t="s">
        <v>2931</v>
      </c>
    </row>
    <row r="193" spans="1:9" x14ac:dyDescent="0.25">
      <c r="A193" t="s">
        <v>2928</v>
      </c>
      <c r="B193" t="s">
        <v>4962</v>
      </c>
      <c r="C193" t="s">
        <v>2932</v>
      </c>
      <c r="D193">
        <v>23.496466380000001</v>
      </c>
      <c r="E193" t="s">
        <v>2929</v>
      </c>
      <c r="F193">
        <v>103.1569971</v>
      </c>
      <c r="G193" t="s">
        <v>2930</v>
      </c>
      <c r="H193">
        <v>56789</v>
      </c>
      <c r="I193" t="s">
        <v>2931</v>
      </c>
    </row>
    <row r="194" spans="1:9" x14ac:dyDescent="0.25">
      <c r="A194" t="s">
        <v>2928</v>
      </c>
      <c r="B194" t="s">
        <v>4963</v>
      </c>
      <c r="C194" t="s">
        <v>2932</v>
      </c>
      <c r="D194">
        <v>25.6397358</v>
      </c>
      <c r="E194" t="s">
        <v>2929</v>
      </c>
      <c r="F194">
        <v>102.79183569999999</v>
      </c>
      <c r="G194" t="s">
        <v>2930</v>
      </c>
      <c r="H194">
        <v>26708</v>
      </c>
      <c r="I194" t="s">
        <v>2931</v>
      </c>
    </row>
    <row r="195" spans="1:9" x14ac:dyDescent="0.25">
      <c r="A195" t="s">
        <v>2928</v>
      </c>
      <c r="B195" t="s">
        <v>3470</v>
      </c>
      <c r="C195" t="s">
        <v>2932</v>
      </c>
      <c r="D195">
        <v>28.00865404</v>
      </c>
      <c r="E195" t="s">
        <v>2929</v>
      </c>
      <c r="F195">
        <v>103.97470029999999</v>
      </c>
      <c r="G195" t="s">
        <v>2930</v>
      </c>
      <c r="H195">
        <v>17797</v>
      </c>
      <c r="I195" t="s">
        <v>2931</v>
      </c>
    </row>
    <row r="196" spans="1:9" x14ac:dyDescent="0.25">
      <c r="A196" t="s">
        <v>2928</v>
      </c>
      <c r="B196" t="s">
        <v>3208</v>
      </c>
      <c r="C196" t="s">
        <v>2932</v>
      </c>
      <c r="D196">
        <v>26.85706021</v>
      </c>
      <c r="E196" t="s">
        <v>2929</v>
      </c>
      <c r="F196">
        <v>100.3906693</v>
      </c>
      <c r="G196" t="s">
        <v>2930</v>
      </c>
      <c r="H196">
        <v>6332</v>
      </c>
      <c r="I196" t="s">
        <v>2931</v>
      </c>
    </row>
    <row r="197" spans="1:9" x14ac:dyDescent="0.25">
      <c r="A197" t="s">
        <v>2928</v>
      </c>
      <c r="B197" t="s">
        <v>2988</v>
      </c>
      <c r="C197" t="s">
        <v>2932</v>
      </c>
      <c r="D197">
        <v>25.698226009999999</v>
      </c>
      <c r="E197" t="s">
        <v>2929</v>
      </c>
      <c r="F197">
        <v>101.2936717</v>
      </c>
      <c r="G197" t="s">
        <v>2930</v>
      </c>
      <c r="H197">
        <v>95639</v>
      </c>
      <c r="I197" t="s">
        <v>2931</v>
      </c>
    </row>
    <row r="198" spans="1:9" x14ac:dyDescent="0.25">
      <c r="A198" t="s">
        <v>2928</v>
      </c>
      <c r="B198" t="s">
        <v>3387</v>
      </c>
      <c r="C198" t="s">
        <v>2932</v>
      </c>
      <c r="D198">
        <v>22.749802129999999</v>
      </c>
      <c r="E198" t="s">
        <v>2929</v>
      </c>
      <c r="F198">
        <v>104.4207474</v>
      </c>
      <c r="G198" t="s">
        <v>2930</v>
      </c>
      <c r="H198">
        <v>8589</v>
      </c>
      <c r="I198" t="s">
        <v>2931</v>
      </c>
    </row>
    <row r="199" spans="1:9" x14ac:dyDescent="0.25">
      <c r="A199" t="s">
        <v>2928</v>
      </c>
      <c r="B199" t="s">
        <v>3178</v>
      </c>
      <c r="C199" t="s">
        <v>2932</v>
      </c>
      <c r="D199">
        <v>24.667642480000001</v>
      </c>
      <c r="E199" t="s">
        <v>2929</v>
      </c>
      <c r="F199">
        <v>102.7603836</v>
      </c>
      <c r="G199" t="s">
        <v>2930</v>
      </c>
      <c r="H199">
        <v>96567</v>
      </c>
      <c r="I199" t="s">
        <v>2931</v>
      </c>
    </row>
    <row r="200" spans="1:9" x14ac:dyDescent="0.25">
      <c r="A200" t="s">
        <v>2928</v>
      </c>
      <c r="B200" t="s">
        <v>3256</v>
      </c>
      <c r="C200" t="s">
        <v>2932</v>
      </c>
      <c r="D200">
        <v>26.457779120000001</v>
      </c>
      <c r="E200" t="s">
        <v>2929</v>
      </c>
      <c r="F200">
        <v>99.413046249999994</v>
      </c>
      <c r="G200" t="s">
        <v>2930</v>
      </c>
      <c r="H200">
        <v>53667</v>
      </c>
      <c r="I200" t="s">
        <v>2931</v>
      </c>
    </row>
    <row r="201" spans="1:9" x14ac:dyDescent="0.25">
      <c r="A201" t="s">
        <v>2928</v>
      </c>
      <c r="B201" t="s">
        <v>3471</v>
      </c>
      <c r="C201" t="s">
        <v>2932</v>
      </c>
      <c r="D201">
        <v>27.58446065</v>
      </c>
      <c r="E201" t="s">
        <v>2929</v>
      </c>
      <c r="F201">
        <v>103.7643267</v>
      </c>
      <c r="G201" t="s">
        <v>2930</v>
      </c>
      <c r="H201">
        <v>37533</v>
      </c>
      <c r="I201" t="s">
        <v>2931</v>
      </c>
    </row>
    <row r="202" spans="1:9" x14ac:dyDescent="0.25">
      <c r="A202" t="s">
        <v>2928</v>
      </c>
      <c r="B202" t="s">
        <v>3278</v>
      </c>
      <c r="C202" t="s">
        <v>2932</v>
      </c>
      <c r="D202">
        <v>24.326212120000001</v>
      </c>
      <c r="E202" t="s">
        <v>2929</v>
      </c>
      <c r="F202">
        <v>100.6590073</v>
      </c>
      <c r="G202" t="s">
        <v>2930</v>
      </c>
      <c r="H202">
        <v>21067</v>
      </c>
      <c r="I202" t="s">
        <v>2931</v>
      </c>
    </row>
    <row r="203" spans="1:9" x14ac:dyDescent="0.25">
      <c r="A203" t="s">
        <v>2928</v>
      </c>
      <c r="B203" t="s">
        <v>3279</v>
      </c>
      <c r="C203" t="s">
        <v>2932</v>
      </c>
      <c r="D203">
        <v>23.733388659999999</v>
      </c>
      <c r="E203" t="s">
        <v>2929</v>
      </c>
      <c r="F203">
        <v>100.63979380000001</v>
      </c>
      <c r="G203" t="s">
        <v>2930</v>
      </c>
      <c r="H203">
        <v>15331</v>
      </c>
      <c r="I203" t="s">
        <v>2931</v>
      </c>
    </row>
    <row r="204" spans="1:9" x14ac:dyDescent="0.25">
      <c r="A204" t="s">
        <v>2928</v>
      </c>
      <c r="B204" t="s">
        <v>3088</v>
      </c>
      <c r="C204" t="s">
        <v>2932</v>
      </c>
      <c r="D204">
        <v>24.23221362</v>
      </c>
      <c r="E204" t="s">
        <v>2929</v>
      </c>
      <c r="F204">
        <v>97.923137249999996</v>
      </c>
      <c r="G204" t="s">
        <v>2930</v>
      </c>
      <c r="H204">
        <v>23536</v>
      </c>
      <c r="I204" t="s">
        <v>2931</v>
      </c>
    </row>
    <row r="205" spans="1:9" x14ac:dyDescent="0.25">
      <c r="A205" t="s">
        <v>2928</v>
      </c>
      <c r="B205" t="s">
        <v>3280</v>
      </c>
      <c r="C205" t="s">
        <v>2932</v>
      </c>
      <c r="D205">
        <v>23.471006379999999</v>
      </c>
      <c r="E205" t="s">
        <v>2929</v>
      </c>
      <c r="F205">
        <v>101.3715878</v>
      </c>
      <c r="G205" t="s">
        <v>2930</v>
      </c>
      <c r="H205">
        <v>22201</v>
      </c>
      <c r="I205" t="s">
        <v>2931</v>
      </c>
    </row>
    <row r="206" spans="1:9" x14ac:dyDescent="0.25">
      <c r="A206" t="s">
        <v>2928</v>
      </c>
      <c r="B206" t="s">
        <v>3124</v>
      </c>
      <c r="C206" t="s">
        <v>2932</v>
      </c>
      <c r="D206">
        <v>22.772828440000001</v>
      </c>
      <c r="E206" t="s">
        <v>2929</v>
      </c>
      <c r="F206">
        <v>103.2200859</v>
      </c>
      <c r="G206" t="s">
        <v>2930</v>
      </c>
      <c r="H206">
        <v>79658</v>
      </c>
      <c r="I206" t="s">
        <v>2931</v>
      </c>
    </row>
    <row r="207" spans="1:9" x14ac:dyDescent="0.25">
      <c r="A207" t="s">
        <v>2928</v>
      </c>
      <c r="B207" t="s">
        <v>3040</v>
      </c>
      <c r="C207" t="s">
        <v>2932</v>
      </c>
      <c r="D207">
        <v>26.563978030000001</v>
      </c>
      <c r="E207" t="s">
        <v>2929</v>
      </c>
      <c r="F207">
        <v>99.909381199999999</v>
      </c>
      <c r="G207" t="s">
        <v>2930</v>
      </c>
      <c r="H207">
        <v>53523</v>
      </c>
      <c r="I207" t="s">
        <v>2931</v>
      </c>
    </row>
    <row r="208" spans="1:9" x14ac:dyDescent="0.25">
      <c r="A208" t="s">
        <v>2928</v>
      </c>
      <c r="B208" t="s">
        <v>3110</v>
      </c>
      <c r="C208" t="s">
        <v>2932</v>
      </c>
      <c r="D208">
        <v>27.168732779999999</v>
      </c>
      <c r="E208" t="s">
        <v>2929</v>
      </c>
      <c r="F208">
        <v>99.872951209999997</v>
      </c>
      <c r="G208" t="s">
        <v>2930</v>
      </c>
      <c r="H208">
        <v>16738</v>
      </c>
      <c r="I208" t="s">
        <v>2931</v>
      </c>
    </row>
    <row r="209" spans="1:9" x14ac:dyDescent="0.25">
      <c r="A209" t="s">
        <v>2928</v>
      </c>
      <c r="B209" t="s">
        <v>3125</v>
      </c>
      <c r="C209" t="s">
        <v>2932</v>
      </c>
      <c r="D209">
        <v>24.644939749999999</v>
      </c>
      <c r="E209" t="s">
        <v>2929</v>
      </c>
      <c r="F209">
        <v>103.7539407</v>
      </c>
      <c r="G209" t="s">
        <v>2930</v>
      </c>
      <c r="H209">
        <v>52227</v>
      </c>
      <c r="I209" t="s">
        <v>2931</v>
      </c>
    </row>
    <row r="210" spans="1:9" x14ac:dyDescent="0.25">
      <c r="A210" t="s">
        <v>2928</v>
      </c>
      <c r="B210" t="s">
        <v>3041</v>
      </c>
      <c r="C210" t="s">
        <v>2932</v>
      </c>
      <c r="D210">
        <v>25.825105560000001</v>
      </c>
      <c r="E210" t="s">
        <v>2929</v>
      </c>
      <c r="F210">
        <v>100.5807847</v>
      </c>
      <c r="G210" t="s">
        <v>2930</v>
      </c>
      <c r="H210">
        <v>96883</v>
      </c>
      <c r="I210" t="s">
        <v>2931</v>
      </c>
    </row>
    <row r="211" spans="1:9" x14ac:dyDescent="0.25">
      <c r="A211" t="s">
        <v>2928</v>
      </c>
      <c r="B211" t="s">
        <v>4964</v>
      </c>
      <c r="C211" t="s">
        <v>2932</v>
      </c>
      <c r="D211">
        <v>24.482165500000001</v>
      </c>
      <c r="E211" t="s">
        <v>2929</v>
      </c>
      <c r="F211">
        <v>100.7745728</v>
      </c>
      <c r="G211" t="s">
        <v>2930</v>
      </c>
      <c r="H211">
        <v>64321</v>
      </c>
      <c r="I211" t="s">
        <v>2931</v>
      </c>
    </row>
    <row r="212" spans="1:9" x14ac:dyDescent="0.25">
      <c r="A212" t="s">
        <v>2928</v>
      </c>
      <c r="B212" t="s">
        <v>4965</v>
      </c>
      <c r="C212" t="s">
        <v>2932</v>
      </c>
      <c r="D212">
        <v>24.04192025</v>
      </c>
      <c r="E212" t="s">
        <v>2929</v>
      </c>
      <c r="F212">
        <v>104.2046605</v>
      </c>
      <c r="G212" t="s">
        <v>2930</v>
      </c>
      <c r="H212">
        <v>71746</v>
      </c>
      <c r="I212" t="s">
        <v>2931</v>
      </c>
    </row>
    <row r="213" spans="1:9" x14ac:dyDescent="0.25">
      <c r="A213" t="s">
        <v>2928</v>
      </c>
      <c r="B213" t="s">
        <v>2989</v>
      </c>
      <c r="C213" t="s">
        <v>2932</v>
      </c>
      <c r="D213">
        <v>25.0994329</v>
      </c>
      <c r="E213" t="s">
        <v>2929</v>
      </c>
      <c r="F213">
        <v>102.0683671</v>
      </c>
      <c r="G213" t="s">
        <v>2930</v>
      </c>
      <c r="H213">
        <v>95044</v>
      </c>
      <c r="I213" t="s">
        <v>2931</v>
      </c>
    </row>
    <row r="214" spans="1:9" x14ac:dyDescent="0.25">
      <c r="A214" t="s">
        <v>2928</v>
      </c>
      <c r="B214" t="s">
        <v>3126</v>
      </c>
      <c r="C214" t="s">
        <v>2932</v>
      </c>
      <c r="D214">
        <v>22.565628530000001</v>
      </c>
      <c r="E214" t="s">
        <v>2929</v>
      </c>
      <c r="F214">
        <v>103.0553326</v>
      </c>
      <c r="G214" t="s">
        <v>2930</v>
      </c>
      <c r="H214">
        <v>22295</v>
      </c>
      <c r="I214" t="s">
        <v>2931</v>
      </c>
    </row>
    <row r="215" spans="1:9" x14ac:dyDescent="0.25">
      <c r="A215" t="s">
        <v>2928</v>
      </c>
      <c r="B215" t="s">
        <v>3472</v>
      </c>
      <c r="C215" t="s">
        <v>2932</v>
      </c>
      <c r="D215">
        <v>26.780537160000002</v>
      </c>
      <c r="E215" t="s">
        <v>2929</v>
      </c>
      <c r="F215">
        <v>103.0226797</v>
      </c>
      <c r="G215" t="s">
        <v>2930</v>
      </c>
      <c r="H215">
        <v>15065</v>
      </c>
      <c r="I215" t="s">
        <v>2931</v>
      </c>
    </row>
    <row r="216" spans="1:9" x14ac:dyDescent="0.25">
      <c r="A216" t="s">
        <v>2928</v>
      </c>
      <c r="B216" t="s">
        <v>3340</v>
      </c>
      <c r="C216" t="s">
        <v>2932</v>
      </c>
      <c r="D216">
        <v>26.40674194</v>
      </c>
      <c r="E216" t="s">
        <v>2929</v>
      </c>
      <c r="F216">
        <v>103.32867160000001</v>
      </c>
      <c r="G216" t="s">
        <v>2930</v>
      </c>
      <c r="H216">
        <v>154328</v>
      </c>
      <c r="I216" t="s">
        <v>2931</v>
      </c>
    </row>
    <row r="217" spans="1:9" x14ac:dyDescent="0.25">
      <c r="A217" t="s">
        <v>2928</v>
      </c>
      <c r="B217" t="s">
        <v>4966</v>
      </c>
      <c r="C217" t="s">
        <v>2932</v>
      </c>
      <c r="D217">
        <v>24.723865889999999</v>
      </c>
      <c r="E217" t="s">
        <v>2929</v>
      </c>
      <c r="F217">
        <v>98.102333549999997</v>
      </c>
      <c r="G217" t="s">
        <v>2930</v>
      </c>
      <c r="H217">
        <v>22383</v>
      </c>
      <c r="I217" t="s">
        <v>2931</v>
      </c>
    </row>
    <row r="218" spans="1:9" x14ac:dyDescent="0.25">
      <c r="A218" t="s">
        <v>2928</v>
      </c>
      <c r="B218" t="s">
        <v>4967</v>
      </c>
      <c r="C218" t="s">
        <v>2932</v>
      </c>
      <c r="D218">
        <v>24.665769659999999</v>
      </c>
      <c r="E218" t="s">
        <v>2929</v>
      </c>
      <c r="F218">
        <v>103.6826607</v>
      </c>
      <c r="G218" t="s">
        <v>2930</v>
      </c>
      <c r="H218">
        <v>58341</v>
      </c>
      <c r="I218" t="s">
        <v>2931</v>
      </c>
    </row>
    <row r="219" spans="1:9" x14ac:dyDescent="0.25">
      <c r="A219" t="s">
        <v>2928</v>
      </c>
      <c r="B219" t="s">
        <v>4968</v>
      </c>
      <c r="C219" t="s">
        <v>2932</v>
      </c>
      <c r="D219">
        <v>28.041262119999999</v>
      </c>
      <c r="E219" t="s">
        <v>2929</v>
      </c>
      <c r="F219">
        <v>105.0783369</v>
      </c>
      <c r="G219" t="s">
        <v>2930</v>
      </c>
      <c r="H219">
        <v>27314</v>
      </c>
      <c r="I219" t="s">
        <v>2931</v>
      </c>
    </row>
    <row r="220" spans="1:9" x14ac:dyDescent="0.25">
      <c r="A220" t="s">
        <v>2928</v>
      </c>
      <c r="B220" t="s">
        <v>3433</v>
      </c>
      <c r="C220" t="s">
        <v>2932</v>
      </c>
      <c r="D220">
        <v>24.721982799999999</v>
      </c>
      <c r="E220" t="s">
        <v>2929</v>
      </c>
      <c r="F220">
        <v>103.00819610000001</v>
      </c>
      <c r="G220" t="s">
        <v>2930</v>
      </c>
      <c r="H220">
        <v>11668</v>
      </c>
      <c r="I220" t="s">
        <v>2931</v>
      </c>
    </row>
    <row r="221" spans="1:9" x14ac:dyDescent="0.25">
      <c r="A221" t="s">
        <v>2928</v>
      </c>
      <c r="B221" t="s">
        <v>3281</v>
      </c>
      <c r="C221" t="s">
        <v>2932</v>
      </c>
      <c r="D221">
        <v>24.202209629999999</v>
      </c>
      <c r="E221" t="s">
        <v>2929</v>
      </c>
      <c r="F221">
        <v>101.2591113</v>
      </c>
      <c r="G221" t="s">
        <v>2930</v>
      </c>
      <c r="H221">
        <v>15579</v>
      </c>
      <c r="I221" t="s">
        <v>2931</v>
      </c>
    </row>
    <row r="222" spans="1:9" x14ac:dyDescent="0.25">
      <c r="A222" t="s">
        <v>2928</v>
      </c>
      <c r="B222" t="s">
        <v>3179</v>
      </c>
      <c r="C222" t="s">
        <v>2932</v>
      </c>
      <c r="D222">
        <v>25.785525570000001</v>
      </c>
      <c r="E222" t="s">
        <v>2929</v>
      </c>
      <c r="F222">
        <v>102.74688190000001</v>
      </c>
      <c r="G222" t="s">
        <v>2930</v>
      </c>
      <c r="H222">
        <v>35444</v>
      </c>
      <c r="I222" t="s">
        <v>2931</v>
      </c>
    </row>
    <row r="223" spans="1:9" x14ac:dyDescent="0.25">
      <c r="A223" t="s">
        <v>2928</v>
      </c>
      <c r="B223" t="s">
        <v>3473</v>
      </c>
      <c r="C223" t="s">
        <v>2932</v>
      </c>
      <c r="D223">
        <v>27.369714890000001</v>
      </c>
      <c r="E223" t="s">
        <v>2929</v>
      </c>
      <c r="F223">
        <v>103.65665319999999</v>
      </c>
      <c r="G223" t="s">
        <v>2930</v>
      </c>
      <c r="H223">
        <v>57764</v>
      </c>
      <c r="I223" t="s">
        <v>2931</v>
      </c>
    </row>
    <row r="224" spans="1:9" x14ac:dyDescent="0.25">
      <c r="A224" t="s">
        <v>2928</v>
      </c>
      <c r="B224" t="s">
        <v>3434</v>
      </c>
      <c r="C224" t="s">
        <v>2932</v>
      </c>
      <c r="D224">
        <v>24.278741910000001</v>
      </c>
      <c r="E224" t="s">
        <v>2929</v>
      </c>
      <c r="F224">
        <v>102.64216930000001</v>
      </c>
      <c r="G224" t="s">
        <v>2930</v>
      </c>
      <c r="H224">
        <v>26760</v>
      </c>
      <c r="I224" t="s">
        <v>2931</v>
      </c>
    </row>
    <row r="225" spans="1:9" x14ac:dyDescent="0.25">
      <c r="A225" t="s">
        <v>2928</v>
      </c>
      <c r="B225" t="s">
        <v>2990</v>
      </c>
      <c r="C225" t="s">
        <v>2932</v>
      </c>
      <c r="D225">
        <v>26.093767369999998</v>
      </c>
      <c r="E225" t="s">
        <v>2929</v>
      </c>
      <c r="F225">
        <v>102.2307869</v>
      </c>
      <c r="G225" t="s">
        <v>2930</v>
      </c>
      <c r="H225">
        <v>14235</v>
      </c>
      <c r="I225" t="s">
        <v>2931</v>
      </c>
    </row>
    <row r="226" spans="1:9" x14ac:dyDescent="0.25">
      <c r="A226" t="s">
        <v>2928</v>
      </c>
      <c r="B226" t="s">
        <v>3042</v>
      </c>
      <c r="C226" t="s">
        <v>2932</v>
      </c>
      <c r="D226">
        <v>25.892487020000001</v>
      </c>
      <c r="E226" t="s">
        <v>2929</v>
      </c>
      <c r="F226">
        <v>100.40365</v>
      </c>
      <c r="G226" t="s">
        <v>2930</v>
      </c>
      <c r="H226">
        <v>28189</v>
      </c>
      <c r="I226" t="s">
        <v>2931</v>
      </c>
    </row>
    <row r="227" spans="1:9" x14ac:dyDescent="0.25">
      <c r="A227" t="s">
        <v>2928</v>
      </c>
      <c r="B227" t="s">
        <v>3209</v>
      </c>
      <c r="C227" t="s">
        <v>2932</v>
      </c>
      <c r="D227">
        <v>27.28584042</v>
      </c>
      <c r="E227" t="s">
        <v>2929</v>
      </c>
      <c r="F227">
        <v>99.602307069999995</v>
      </c>
      <c r="G227" t="s">
        <v>2930</v>
      </c>
      <c r="H227">
        <v>21368</v>
      </c>
      <c r="I227" t="s">
        <v>2931</v>
      </c>
    </row>
    <row r="228" spans="1:9" x14ac:dyDescent="0.25">
      <c r="A228" t="s">
        <v>2928</v>
      </c>
      <c r="B228" t="s">
        <v>3043</v>
      </c>
      <c r="C228" t="s">
        <v>2932</v>
      </c>
      <c r="D228">
        <v>25.203466169999999</v>
      </c>
      <c r="E228" t="s">
        <v>2929</v>
      </c>
      <c r="F228">
        <v>100.6125011</v>
      </c>
      <c r="G228" t="s">
        <v>2930</v>
      </c>
      <c r="H228">
        <v>25241</v>
      </c>
      <c r="I228" t="s">
        <v>2931</v>
      </c>
    </row>
    <row r="229" spans="1:9" x14ac:dyDescent="0.25">
      <c r="A229" t="s">
        <v>2928</v>
      </c>
      <c r="B229" t="s">
        <v>3089</v>
      </c>
      <c r="C229" t="s">
        <v>2932</v>
      </c>
      <c r="D229">
        <v>24.982376479999999</v>
      </c>
      <c r="E229" t="s">
        <v>2929</v>
      </c>
      <c r="F229">
        <v>97.801751609999997</v>
      </c>
      <c r="G229" t="s">
        <v>2930</v>
      </c>
      <c r="H229">
        <v>10111</v>
      </c>
      <c r="I229" t="s">
        <v>2931</v>
      </c>
    </row>
    <row r="230" spans="1:9" x14ac:dyDescent="0.25">
      <c r="A230" t="s">
        <v>2928</v>
      </c>
      <c r="B230" t="s">
        <v>3127</v>
      </c>
      <c r="C230" t="s">
        <v>2932</v>
      </c>
      <c r="D230">
        <v>23.192012049999999</v>
      </c>
      <c r="E230" t="s">
        <v>2929</v>
      </c>
      <c r="F230">
        <v>103.15666280000001</v>
      </c>
      <c r="G230" t="s">
        <v>2930</v>
      </c>
      <c r="H230">
        <v>44202</v>
      </c>
      <c r="I230" t="s">
        <v>2931</v>
      </c>
    </row>
    <row r="231" spans="1:9" x14ac:dyDescent="0.25">
      <c r="A231" t="s">
        <v>2928</v>
      </c>
      <c r="B231" t="s">
        <v>3388</v>
      </c>
      <c r="C231" t="s">
        <v>2932</v>
      </c>
      <c r="D231">
        <v>23.338341610000001</v>
      </c>
      <c r="E231" t="s">
        <v>2929</v>
      </c>
      <c r="F231">
        <v>104.194491</v>
      </c>
      <c r="G231" t="s">
        <v>2930</v>
      </c>
      <c r="H231">
        <v>221301</v>
      </c>
      <c r="I231" t="s">
        <v>2931</v>
      </c>
    </row>
    <row r="232" spans="1:9" x14ac:dyDescent="0.25">
      <c r="A232" t="s">
        <v>2928</v>
      </c>
      <c r="B232" t="s">
        <v>3282</v>
      </c>
      <c r="C232" t="s">
        <v>2932</v>
      </c>
      <c r="D232">
        <v>22.632924289999998</v>
      </c>
      <c r="E232" t="s">
        <v>2929</v>
      </c>
      <c r="F232">
        <v>101.51780119999999</v>
      </c>
      <c r="G232" t="s">
        <v>2930</v>
      </c>
      <c r="H232">
        <v>22516</v>
      </c>
      <c r="I232" t="s">
        <v>2931</v>
      </c>
    </row>
    <row r="233" spans="1:9" x14ac:dyDescent="0.25">
      <c r="A233" t="s">
        <v>2928</v>
      </c>
      <c r="B233" t="s">
        <v>2945</v>
      </c>
      <c r="C233" t="s">
        <v>2932</v>
      </c>
      <c r="D233">
        <v>24.801240620000002</v>
      </c>
      <c r="E233" t="s">
        <v>2929</v>
      </c>
      <c r="F233">
        <v>99.379824659999997</v>
      </c>
      <c r="G233" t="s">
        <v>2930</v>
      </c>
      <c r="H233">
        <v>38416</v>
      </c>
      <c r="I233" t="s">
        <v>2931</v>
      </c>
    </row>
    <row r="234" spans="1:9" x14ac:dyDescent="0.25">
      <c r="A234" t="s">
        <v>2928</v>
      </c>
      <c r="B234" t="s">
        <v>3180</v>
      </c>
      <c r="C234" t="s">
        <v>2932</v>
      </c>
      <c r="D234">
        <v>25.524367890000001</v>
      </c>
      <c r="E234" t="s">
        <v>2929</v>
      </c>
      <c r="F234">
        <v>102.85067359999999</v>
      </c>
      <c r="G234" t="s">
        <v>2930</v>
      </c>
      <c r="H234">
        <v>24054</v>
      </c>
      <c r="I234" t="s">
        <v>2931</v>
      </c>
    </row>
    <row r="235" spans="1:9" x14ac:dyDescent="0.25">
      <c r="A235" t="s">
        <v>2928</v>
      </c>
      <c r="B235" t="s">
        <v>2946</v>
      </c>
      <c r="C235" t="s">
        <v>2932</v>
      </c>
      <c r="D235">
        <v>24.892500739999999</v>
      </c>
      <c r="E235" t="s">
        <v>2929</v>
      </c>
      <c r="F235">
        <v>99.464183500000004</v>
      </c>
      <c r="G235" t="s">
        <v>2930</v>
      </c>
      <c r="H235">
        <v>30107</v>
      </c>
      <c r="I235" t="s">
        <v>2931</v>
      </c>
    </row>
    <row r="236" spans="1:9" x14ac:dyDescent="0.25">
      <c r="A236" t="s">
        <v>2928</v>
      </c>
      <c r="B236" t="s">
        <v>2991</v>
      </c>
      <c r="C236" t="s">
        <v>2932</v>
      </c>
      <c r="D236">
        <v>24.946429330000001</v>
      </c>
      <c r="E236" t="s">
        <v>2929</v>
      </c>
      <c r="F236">
        <v>102.0258108</v>
      </c>
      <c r="G236" t="s">
        <v>2930</v>
      </c>
      <c r="H236">
        <v>17103</v>
      </c>
      <c r="I236" t="s">
        <v>2931</v>
      </c>
    </row>
    <row r="237" spans="1:9" x14ac:dyDescent="0.25">
      <c r="A237" t="s">
        <v>2928</v>
      </c>
      <c r="B237" t="s">
        <v>3341</v>
      </c>
      <c r="C237" t="s">
        <v>2932</v>
      </c>
      <c r="D237">
        <v>26.666595149999999</v>
      </c>
      <c r="E237" t="s">
        <v>2929</v>
      </c>
      <c r="F237">
        <v>103.6900789</v>
      </c>
      <c r="G237" t="s">
        <v>2930</v>
      </c>
      <c r="H237">
        <v>23559</v>
      </c>
      <c r="I237" t="s">
        <v>2931</v>
      </c>
    </row>
    <row r="238" spans="1:9" x14ac:dyDescent="0.25">
      <c r="A238" t="s">
        <v>2928</v>
      </c>
      <c r="B238" t="s">
        <v>3181</v>
      </c>
      <c r="C238" t="s">
        <v>2932</v>
      </c>
      <c r="D238">
        <v>25.45305368</v>
      </c>
      <c r="E238" t="s">
        <v>2929</v>
      </c>
      <c r="F238">
        <v>102.6677287</v>
      </c>
      <c r="G238" t="s">
        <v>2930</v>
      </c>
      <c r="H238">
        <v>21102</v>
      </c>
      <c r="I238" t="s">
        <v>2931</v>
      </c>
    </row>
    <row r="239" spans="1:9" x14ac:dyDescent="0.25">
      <c r="A239" t="s">
        <v>2928</v>
      </c>
      <c r="B239" t="s">
        <v>3342</v>
      </c>
      <c r="C239" t="s">
        <v>2932</v>
      </c>
      <c r="D239">
        <v>24.768834089999999</v>
      </c>
      <c r="E239" t="s">
        <v>2929</v>
      </c>
      <c r="F239">
        <v>103.810581</v>
      </c>
      <c r="G239" t="s">
        <v>2930</v>
      </c>
      <c r="H239">
        <v>36632</v>
      </c>
      <c r="I239" t="s">
        <v>2931</v>
      </c>
    </row>
    <row r="240" spans="1:9" x14ac:dyDescent="0.25">
      <c r="A240" t="s">
        <v>2928</v>
      </c>
      <c r="B240" t="s">
        <v>3257</v>
      </c>
      <c r="C240" t="s">
        <v>2932</v>
      </c>
      <c r="D240">
        <v>26.509071339999998</v>
      </c>
      <c r="E240" t="s">
        <v>2929</v>
      </c>
      <c r="F240">
        <v>99.2926796</v>
      </c>
      <c r="G240" t="s">
        <v>2930</v>
      </c>
      <c r="H240">
        <v>13899</v>
      </c>
      <c r="I240" t="s">
        <v>2931</v>
      </c>
    </row>
    <row r="241" spans="1:9" x14ac:dyDescent="0.25">
      <c r="A241" t="s">
        <v>2928</v>
      </c>
      <c r="B241" t="s">
        <v>2947</v>
      </c>
      <c r="C241" t="s">
        <v>2932</v>
      </c>
      <c r="D241">
        <v>24.702128210000001</v>
      </c>
      <c r="E241" t="s">
        <v>2929</v>
      </c>
      <c r="F241">
        <v>98.954242100000002</v>
      </c>
      <c r="G241" t="s">
        <v>2930</v>
      </c>
      <c r="H241">
        <v>20201</v>
      </c>
      <c r="I241" t="s">
        <v>2931</v>
      </c>
    </row>
    <row r="242" spans="1:9" x14ac:dyDescent="0.25">
      <c r="A242" t="s">
        <v>2928</v>
      </c>
      <c r="B242" t="s">
        <v>3128</v>
      </c>
      <c r="C242" t="s">
        <v>2932</v>
      </c>
      <c r="D242">
        <v>23.313776180000001</v>
      </c>
      <c r="E242" t="s">
        <v>2929</v>
      </c>
      <c r="F242">
        <v>102.23524740000001</v>
      </c>
      <c r="G242" t="s">
        <v>2930</v>
      </c>
      <c r="H242">
        <v>27859</v>
      </c>
      <c r="I242" t="s">
        <v>2931</v>
      </c>
    </row>
    <row r="243" spans="1:9" x14ac:dyDescent="0.25">
      <c r="A243" t="s">
        <v>2928</v>
      </c>
      <c r="B243" t="s">
        <v>4969</v>
      </c>
      <c r="C243" t="s">
        <v>2932</v>
      </c>
      <c r="D243">
        <v>23.30572214</v>
      </c>
      <c r="E243" t="s">
        <v>2929</v>
      </c>
      <c r="F243">
        <v>103.23367810000001</v>
      </c>
      <c r="G243" t="s">
        <v>2930</v>
      </c>
      <c r="H243">
        <v>21508</v>
      </c>
      <c r="I243" t="s">
        <v>2931</v>
      </c>
    </row>
    <row r="244" spans="1:9" x14ac:dyDescent="0.25">
      <c r="A244" t="s">
        <v>2928</v>
      </c>
      <c r="B244" t="s">
        <v>4970</v>
      </c>
      <c r="C244" t="s">
        <v>2932</v>
      </c>
      <c r="D244">
        <v>25.225459229999998</v>
      </c>
      <c r="E244" t="s">
        <v>2929</v>
      </c>
      <c r="F244">
        <v>104.4890171</v>
      </c>
      <c r="G244" t="s">
        <v>2930</v>
      </c>
      <c r="H244">
        <v>48533</v>
      </c>
      <c r="I244" t="s">
        <v>2931</v>
      </c>
    </row>
    <row r="245" spans="1:9" x14ac:dyDescent="0.25">
      <c r="A245" t="s">
        <v>2928</v>
      </c>
      <c r="B245" t="s">
        <v>3474</v>
      </c>
      <c r="C245" t="s">
        <v>2932</v>
      </c>
      <c r="D245">
        <v>26.92357999</v>
      </c>
      <c r="E245" t="s">
        <v>2929</v>
      </c>
      <c r="F245">
        <v>103.2712246</v>
      </c>
      <c r="G245" t="s">
        <v>2930</v>
      </c>
      <c r="H245">
        <v>53576</v>
      </c>
      <c r="I245" t="s">
        <v>2931</v>
      </c>
    </row>
    <row r="246" spans="1:9" x14ac:dyDescent="0.25">
      <c r="A246" t="s">
        <v>2928</v>
      </c>
      <c r="B246" t="s">
        <v>3044</v>
      </c>
      <c r="C246" t="s">
        <v>2932</v>
      </c>
      <c r="D246">
        <v>26.574348709999999</v>
      </c>
      <c r="E246" t="s">
        <v>2929</v>
      </c>
      <c r="F246">
        <v>99.590462470000006</v>
      </c>
      <c r="G246" t="s">
        <v>2930</v>
      </c>
      <c r="H246">
        <v>16798</v>
      </c>
      <c r="I246" t="s">
        <v>2931</v>
      </c>
    </row>
    <row r="247" spans="1:9" x14ac:dyDescent="0.25">
      <c r="A247" t="s">
        <v>2928</v>
      </c>
      <c r="B247" t="s">
        <v>3129</v>
      </c>
      <c r="C247" t="s">
        <v>2932</v>
      </c>
      <c r="D247">
        <v>22.948176870000001</v>
      </c>
      <c r="E247" t="s">
        <v>2929</v>
      </c>
      <c r="F247">
        <v>102.8638567</v>
      </c>
      <c r="G247" t="s">
        <v>2930</v>
      </c>
      <c r="H247">
        <v>16362</v>
      </c>
      <c r="I247" t="s">
        <v>2931</v>
      </c>
    </row>
    <row r="248" spans="1:9" x14ac:dyDescent="0.25">
      <c r="A248" t="s">
        <v>2928</v>
      </c>
      <c r="B248" t="s">
        <v>3258</v>
      </c>
      <c r="C248" t="s">
        <v>2932</v>
      </c>
      <c r="D248">
        <v>25.86642853</v>
      </c>
      <c r="E248" t="s">
        <v>2929</v>
      </c>
      <c r="F248">
        <v>99.037613449999995</v>
      </c>
      <c r="G248" t="s">
        <v>2930</v>
      </c>
      <c r="H248">
        <v>14007</v>
      </c>
      <c r="I248" t="s">
        <v>2931</v>
      </c>
    </row>
    <row r="249" spans="1:9" x14ac:dyDescent="0.25">
      <c r="A249" t="s">
        <v>2928</v>
      </c>
      <c r="B249" t="s">
        <v>3210</v>
      </c>
      <c r="C249" t="s">
        <v>2932</v>
      </c>
      <c r="D249">
        <v>26.887617299999999</v>
      </c>
      <c r="E249" t="s">
        <v>2929</v>
      </c>
      <c r="F249">
        <v>100.12237500000001</v>
      </c>
      <c r="G249" t="s">
        <v>2930</v>
      </c>
      <c r="H249">
        <v>16446</v>
      </c>
      <c r="I249" t="s">
        <v>2931</v>
      </c>
    </row>
    <row r="250" spans="1:9" x14ac:dyDescent="0.25">
      <c r="A250" t="s">
        <v>2928</v>
      </c>
      <c r="B250" t="s">
        <v>3475</v>
      </c>
      <c r="C250" t="s">
        <v>2932</v>
      </c>
      <c r="D250">
        <v>27.199873090000001</v>
      </c>
      <c r="E250" t="s">
        <v>2929</v>
      </c>
      <c r="F250">
        <v>103.2629501</v>
      </c>
      <c r="G250" t="s">
        <v>2930</v>
      </c>
      <c r="H250">
        <v>32115</v>
      </c>
      <c r="I250" t="s">
        <v>2931</v>
      </c>
    </row>
    <row r="251" spans="1:9" x14ac:dyDescent="0.25">
      <c r="A251" t="s">
        <v>2928</v>
      </c>
      <c r="B251" t="s">
        <v>3476</v>
      </c>
      <c r="C251" t="s">
        <v>2932</v>
      </c>
      <c r="D251">
        <v>27.367138990000001</v>
      </c>
      <c r="E251" t="s">
        <v>2929</v>
      </c>
      <c r="F251">
        <v>103.55778189999999</v>
      </c>
      <c r="G251" t="s">
        <v>2930</v>
      </c>
      <c r="H251">
        <v>25232</v>
      </c>
      <c r="I251" t="s">
        <v>2931</v>
      </c>
    </row>
    <row r="252" spans="1:9" x14ac:dyDescent="0.25">
      <c r="A252" t="s">
        <v>2928</v>
      </c>
      <c r="B252" t="s">
        <v>3130</v>
      </c>
      <c r="C252" t="s">
        <v>2932</v>
      </c>
      <c r="D252">
        <v>23.196969429999999</v>
      </c>
      <c r="E252" t="s">
        <v>2929</v>
      </c>
      <c r="F252">
        <v>103.3499928</v>
      </c>
      <c r="G252" t="s">
        <v>2930</v>
      </c>
      <c r="H252">
        <v>20556</v>
      </c>
      <c r="I252" t="s">
        <v>2931</v>
      </c>
    </row>
    <row r="253" spans="1:9" x14ac:dyDescent="0.25">
      <c r="A253" t="s">
        <v>2928</v>
      </c>
      <c r="B253" t="s">
        <v>3343</v>
      </c>
      <c r="C253" t="s">
        <v>2932</v>
      </c>
      <c r="D253">
        <v>26.636657589999999</v>
      </c>
      <c r="E253" t="s">
        <v>2929</v>
      </c>
      <c r="F253">
        <v>103.4931696</v>
      </c>
      <c r="G253" t="s">
        <v>2930</v>
      </c>
      <c r="H253">
        <v>70209</v>
      </c>
      <c r="I253" t="s">
        <v>2931</v>
      </c>
    </row>
    <row r="254" spans="1:9" x14ac:dyDescent="0.25">
      <c r="A254" t="s">
        <v>2928</v>
      </c>
      <c r="B254" t="s">
        <v>3131</v>
      </c>
      <c r="C254" t="s">
        <v>2932</v>
      </c>
      <c r="D254">
        <v>23.307780130000001</v>
      </c>
      <c r="E254" t="s">
        <v>2929</v>
      </c>
      <c r="F254">
        <v>102.3030155</v>
      </c>
      <c r="G254" t="s">
        <v>2930</v>
      </c>
      <c r="H254">
        <v>23655</v>
      </c>
      <c r="I254" t="s">
        <v>2931</v>
      </c>
    </row>
    <row r="255" spans="1:9" x14ac:dyDescent="0.25">
      <c r="A255" t="s">
        <v>2928</v>
      </c>
      <c r="B255" t="s">
        <v>3389</v>
      </c>
      <c r="C255" t="s">
        <v>2932</v>
      </c>
      <c r="D255">
        <v>24.084136869999998</v>
      </c>
      <c r="E255" t="s">
        <v>2929</v>
      </c>
      <c r="F255">
        <v>105.0364569</v>
      </c>
      <c r="G255" t="s">
        <v>2930</v>
      </c>
      <c r="H255">
        <v>101221</v>
      </c>
      <c r="I255" t="s">
        <v>2931</v>
      </c>
    </row>
    <row r="256" spans="1:9" x14ac:dyDescent="0.25">
      <c r="A256" t="s">
        <v>2928</v>
      </c>
      <c r="B256" t="s">
        <v>3477</v>
      </c>
      <c r="C256" t="s">
        <v>2932</v>
      </c>
      <c r="D256">
        <v>27.796925259999998</v>
      </c>
      <c r="E256" t="s">
        <v>2929</v>
      </c>
      <c r="F256">
        <v>103.5804998</v>
      </c>
      <c r="G256" t="s">
        <v>2930</v>
      </c>
      <c r="H256">
        <v>30833</v>
      </c>
      <c r="I256" t="s">
        <v>2931</v>
      </c>
    </row>
    <row r="257" spans="1:9" x14ac:dyDescent="0.25">
      <c r="A257" t="s">
        <v>2928</v>
      </c>
      <c r="B257" t="s">
        <v>3478</v>
      </c>
      <c r="C257" t="s">
        <v>2932</v>
      </c>
      <c r="D257">
        <v>27.8411461</v>
      </c>
      <c r="E257" t="s">
        <v>2929</v>
      </c>
      <c r="F257">
        <v>104.1836977</v>
      </c>
      <c r="G257" t="s">
        <v>2930</v>
      </c>
      <c r="H257">
        <v>21334</v>
      </c>
      <c r="I257" t="s">
        <v>2931</v>
      </c>
    </row>
    <row r="258" spans="1:9" x14ac:dyDescent="0.25">
      <c r="A258" t="s">
        <v>2928</v>
      </c>
      <c r="B258" t="s">
        <v>3479</v>
      </c>
      <c r="C258" t="s">
        <v>2932</v>
      </c>
      <c r="D258">
        <v>28.466348709999998</v>
      </c>
      <c r="E258" t="s">
        <v>2929</v>
      </c>
      <c r="F258">
        <v>104.2238239</v>
      </c>
      <c r="G258" t="s">
        <v>2930</v>
      </c>
      <c r="H258">
        <v>15239</v>
      </c>
      <c r="I258" t="s">
        <v>2931</v>
      </c>
    </row>
    <row r="259" spans="1:9" x14ac:dyDescent="0.25">
      <c r="A259" t="s">
        <v>2928</v>
      </c>
      <c r="B259" t="s">
        <v>3283</v>
      </c>
      <c r="C259" t="s">
        <v>2932</v>
      </c>
      <c r="D259">
        <v>23.439217169999999</v>
      </c>
      <c r="E259" t="s">
        <v>2929</v>
      </c>
      <c r="F259">
        <v>101.6275486</v>
      </c>
      <c r="G259" t="s">
        <v>2930</v>
      </c>
      <c r="H259">
        <v>91879</v>
      </c>
      <c r="I259" t="s">
        <v>2931</v>
      </c>
    </row>
    <row r="260" spans="1:9" x14ac:dyDescent="0.25">
      <c r="A260" t="s">
        <v>2928</v>
      </c>
      <c r="B260" t="s">
        <v>3390</v>
      </c>
      <c r="C260" t="s">
        <v>2932</v>
      </c>
      <c r="D260">
        <v>23.496026279999999</v>
      </c>
      <c r="E260" t="s">
        <v>2929</v>
      </c>
      <c r="F260">
        <v>105.5638841</v>
      </c>
      <c r="G260" t="s">
        <v>2930</v>
      </c>
      <c r="H260">
        <v>21858</v>
      </c>
      <c r="I260" t="s">
        <v>2931</v>
      </c>
    </row>
    <row r="261" spans="1:9" x14ac:dyDescent="0.25">
      <c r="A261" t="s">
        <v>2928</v>
      </c>
      <c r="B261" t="s">
        <v>3435</v>
      </c>
      <c r="C261" t="s">
        <v>2932</v>
      </c>
      <c r="D261">
        <v>23.530069180000002</v>
      </c>
      <c r="E261" t="s">
        <v>2929</v>
      </c>
      <c r="F261">
        <v>102.0601056</v>
      </c>
      <c r="G261" t="s">
        <v>2930</v>
      </c>
      <c r="H261">
        <v>72853</v>
      </c>
      <c r="I261" t="s">
        <v>2931</v>
      </c>
    </row>
    <row r="262" spans="1:9" x14ac:dyDescent="0.25">
      <c r="A262" t="s">
        <v>2928</v>
      </c>
      <c r="B262" t="s">
        <v>3045</v>
      </c>
      <c r="C262" t="s">
        <v>2932</v>
      </c>
      <c r="D262">
        <v>25.954418109999999</v>
      </c>
      <c r="E262" t="s">
        <v>2929</v>
      </c>
      <c r="F262">
        <v>100.5710933</v>
      </c>
      <c r="G262" t="s">
        <v>2930</v>
      </c>
      <c r="H262">
        <v>31425</v>
      </c>
      <c r="I262" t="s">
        <v>2931</v>
      </c>
    </row>
    <row r="263" spans="1:9" x14ac:dyDescent="0.25">
      <c r="A263" t="s">
        <v>2928</v>
      </c>
      <c r="B263" t="s">
        <v>3132</v>
      </c>
      <c r="C263" t="s">
        <v>2932</v>
      </c>
      <c r="D263">
        <v>23.580613419999999</v>
      </c>
      <c r="E263" t="s">
        <v>2929</v>
      </c>
      <c r="F263">
        <v>102.8782424</v>
      </c>
      <c r="G263" t="s">
        <v>2930</v>
      </c>
      <c r="H263">
        <v>177303</v>
      </c>
      <c r="I263" t="s">
        <v>2931</v>
      </c>
    </row>
    <row r="264" spans="1:9" x14ac:dyDescent="0.25">
      <c r="A264" t="s">
        <v>2928</v>
      </c>
      <c r="B264" t="s">
        <v>3480</v>
      </c>
      <c r="C264" t="s">
        <v>2932</v>
      </c>
      <c r="D264">
        <v>27.8576747</v>
      </c>
      <c r="E264" t="s">
        <v>2929</v>
      </c>
      <c r="F264">
        <v>104.8661231</v>
      </c>
      <c r="G264" t="s">
        <v>2930</v>
      </c>
      <c r="H264">
        <v>39763</v>
      </c>
      <c r="I264" t="s">
        <v>2931</v>
      </c>
    </row>
    <row r="265" spans="1:9" x14ac:dyDescent="0.25">
      <c r="A265" t="s">
        <v>2928</v>
      </c>
      <c r="B265" t="s">
        <v>3046</v>
      </c>
      <c r="C265" t="s">
        <v>2932</v>
      </c>
      <c r="D265">
        <v>25.491700779999999</v>
      </c>
      <c r="E265" t="s">
        <v>2929</v>
      </c>
      <c r="F265">
        <v>100.7632009</v>
      </c>
      <c r="G265" t="s">
        <v>2930</v>
      </c>
      <c r="H265">
        <v>35013</v>
      </c>
      <c r="I265" t="s">
        <v>2931</v>
      </c>
    </row>
    <row r="266" spans="1:9" x14ac:dyDescent="0.25">
      <c r="A266" t="s">
        <v>2928</v>
      </c>
      <c r="B266" t="s">
        <v>3182</v>
      </c>
      <c r="C266" t="s">
        <v>2932</v>
      </c>
      <c r="D266">
        <v>24.532408090000001</v>
      </c>
      <c r="E266" t="s">
        <v>2929</v>
      </c>
      <c r="F266">
        <v>102.69713830000001</v>
      </c>
      <c r="G266" t="s">
        <v>2930</v>
      </c>
      <c r="H266">
        <v>11374</v>
      </c>
      <c r="I266" t="s">
        <v>2931</v>
      </c>
    </row>
    <row r="267" spans="1:9" x14ac:dyDescent="0.25">
      <c r="A267" t="s">
        <v>2928</v>
      </c>
      <c r="B267" t="s">
        <v>2992</v>
      </c>
      <c r="C267" t="s">
        <v>2932</v>
      </c>
      <c r="D267">
        <v>25.913826279999999</v>
      </c>
      <c r="E267" t="s">
        <v>2929</v>
      </c>
      <c r="F267">
        <v>101.3564193</v>
      </c>
      <c r="G267" t="s">
        <v>2930</v>
      </c>
      <c r="H267">
        <v>16591</v>
      </c>
      <c r="I267" t="s">
        <v>2931</v>
      </c>
    </row>
    <row r="268" spans="1:9" x14ac:dyDescent="0.25">
      <c r="A268" t="s">
        <v>2928</v>
      </c>
      <c r="B268" t="s">
        <v>3259</v>
      </c>
      <c r="C268" t="s">
        <v>2932</v>
      </c>
      <c r="D268">
        <v>25.868497229999999</v>
      </c>
      <c r="E268" t="s">
        <v>2929</v>
      </c>
      <c r="F268">
        <v>98.901680020000001</v>
      </c>
      <c r="G268" t="s">
        <v>2930</v>
      </c>
      <c r="H268">
        <v>63013</v>
      </c>
      <c r="I268" t="s">
        <v>2931</v>
      </c>
    </row>
    <row r="269" spans="1:9" x14ac:dyDescent="0.25">
      <c r="A269" t="s">
        <v>2928</v>
      </c>
      <c r="B269" t="s">
        <v>3284</v>
      </c>
      <c r="C269" t="s">
        <v>2932</v>
      </c>
      <c r="D269">
        <v>22.641706500000002</v>
      </c>
      <c r="E269" t="s">
        <v>2929</v>
      </c>
      <c r="F269">
        <v>100.7815257</v>
      </c>
      <c r="G269" t="s">
        <v>2930</v>
      </c>
      <c r="H269">
        <v>12712</v>
      </c>
      <c r="I269" t="s">
        <v>2931</v>
      </c>
    </row>
    <row r="270" spans="1:9" x14ac:dyDescent="0.25">
      <c r="A270" t="s">
        <v>2928</v>
      </c>
      <c r="B270" t="s">
        <v>3481</v>
      </c>
      <c r="C270" t="s">
        <v>2932</v>
      </c>
      <c r="D270">
        <v>27.71730694</v>
      </c>
      <c r="E270" t="s">
        <v>2929</v>
      </c>
      <c r="F270">
        <v>104.1171102</v>
      </c>
      <c r="G270" t="s">
        <v>2930</v>
      </c>
      <c r="H270">
        <v>21206</v>
      </c>
      <c r="I270" t="s">
        <v>2931</v>
      </c>
    </row>
    <row r="271" spans="1:9" x14ac:dyDescent="0.25">
      <c r="A271" t="s">
        <v>2928</v>
      </c>
      <c r="B271" t="s">
        <v>3285</v>
      </c>
      <c r="C271" t="s">
        <v>2932</v>
      </c>
      <c r="D271">
        <v>23.326897429999999</v>
      </c>
      <c r="E271" t="s">
        <v>2929</v>
      </c>
      <c r="F271">
        <v>101.7843209</v>
      </c>
      <c r="G271" t="s">
        <v>2930</v>
      </c>
      <c r="H271">
        <v>22286</v>
      </c>
      <c r="I271" t="s">
        <v>2931</v>
      </c>
    </row>
    <row r="272" spans="1:9" x14ac:dyDescent="0.25">
      <c r="A272" t="s">
        <v>2928</v>
      </c>
      <c r="B272" t="s">
        <v>3090</v>
      </c>
      <c r="C272" t="s">
        <v>2932</v>
      </c>
      <c r="D272">
        <v>24.32687984</v>
      </c>
      <c r="E272" t="s">
        <v>2929</v>
      </c>
      <c r="F272">
        <v>97.780576010000004</v>
      </c>
      <c r="G272" t="s">
        <v>2930</v>
      </c>
      <c r="H272">
        <v>18474</v>
      </c>
      <c r="I272" t="s">
        <v>2931</v>
      </c>
    </row>
    <row r="273" spans="1:9" x14ac:dyDescent="0.25">
      <c r="A273" t="s">
        <v>2928</v>
      </c>
      <c r="B273" t="s">
        <v>3344</v>
      </c>
      <c r="C273" t="s">
        <v>2932</v>
      </c>
      <c r="D273">
        <v>26.317964790000001</v>
      </c>
      <c r="E273" t="s">
        <v>2929</v>
      </c>
      <c r="F273">
        <v>104.29176390000001</v>
      </c>
      <c r="G273" t="s">
        <v>2930</v>
      </c>
      <c r="H273">
        <v>50996</v>
      </c>
      <c r="I273" t="s">
        <v>2931</v>
      </c>
    </row>
    <row r="274" spans="1:9" x14ac:dyDescent="0.25">
      <c r="A274" t="s">
        <v>2928</v>
      </c>
      <c r="B274" t="s">
        <v>2993</v>
      </c>
      <c r="C274" t="s">
        <v>2932</v>
      </c>
      <c r="D274">
        <v>25.19180716</v>
      </c>
      <c r="E274" t="s">
        <v>2929</v>
      </c>
      <c r="F274">
        <v>101.243742</v>
      </c>
      <c r="G274" t="s">
        <v>2930</v>
      </c>
      <c r="H274">
        <v>86060</v>
      </c>
      <c r="I274" t="s">
        <v>2931</v>
      </c>
    </row>
    <row r="275" spans="1:9" x14ac:dyDescent="0.25">
      <c r="A275" t="s">
        <v>2928</v>
      </c>
      <c r="B275" t="s">
        <v>3482</v>
      </c>
      <c r="C275" t="s">
        <v>2932</v>
      </c>
      <c r="D275">
        <v>27.747757350000001</v>
      </c>
      <c r="E275" t="s">
        <v>2929</v>
      </c>
      <c r="F275">
        <v>104.3765557</v>
      </c>
      <c r="G275" t="s">
        <v>2930</v>
      </c>
      <c r="H275">
        <v>20891</v>
      </c>
      <c r="I275" t="s">
        <v>2931</v>
      </c>
    </row>
    <row r="276" spans="1:9" x14ac:dyDescent="0.25">
      <c r="A276" t="s">
        <v>2928</v>
      </c>
      <c r="B276" t="s">
        <v>4971</v>
      </c>
      <c r="C276" t="s">
        <v>2932</v>
      </c>
      <c r="D276">
        <v>25.651600340000002</v>
      </c>
      <c r="E276" t="s">
        <v>2929</v>
      </c>
      <c r="F276">
        <v>101.51869430000001</v>
      </c>
      <c r="G276" t="s">
        <v>2930</v>
      </c>
      <c r="H276">
        <v>22653</v>
      </c>
      <c r="I276" t="s">
        <v>2931</v>
      </c>
    </row>
    <row r="277" spans="1:9" x14ac:dyDescent="0.25">
      <c r="A277" t="s">
        <v>2928</v>
      </c>
      <c r="B277" t="s">
        <v>4972</v>
      </c>
      <c r="C277" t="s">
        <v>2932</v>
      </c>
      <c r="D277">
        <v>25.308920520000001</v>
      </c>
      <c r="E277" t="s">
        <v>2929</v>
      </c>
      <c r="F277">
        <v>99.788195360000003</v>
      </c>
      <c r="G277" t="s">
        <v>2930</v>
      </c>
      <c r="H277">
        <v>22650</v>
      </c>
      <c r="I277" t="s">
        <v>2931</v>
      </c>
    </row>
    <row r="278" spans="1:9" x14ac:dyDescent="0.25">
      <c r="A278" t="s">
        <v>2928</v>
      </c>
      <c r="B278" t="s">
        <v>3047</v>
      </c>
      <c r="C278" t="s">
        <v>2932</v>
      </c>
      <c r="D278">
        <v>26.336987700000002</v>
      </c>
      <c r="E278" t="s">
        <v>2929</v>
      </c>
      <c r="F278">
        <v>100.3806525</v>
      </c>
      <c r="G278" t="s">
        <v>2930</v>
      </c>
      <c r="H278">
        <v>26457</v>
      </c>
      <c r="I278" t="s">
        <v>2931</v>
      </c>
    </row>
    <row r="279" spans="1:9" x14ac:dyDescent="0.25">
      <c r="A279" t="s">
        <v>2928</v>
      </c>
      <c r="B279" t="s">
        <v>3133</v>
      </c>
      <c r="C279" t="s">
        <v>2932</v>
      </c>
      <c r="D279">
        <v>23.885430230000001</v>
      </c>
      <c r="E279" t="s">
        <v>2929</v>
      </c>
      <c r="F279">
        <v>102.597038</v>
      </c>
      <c r="G279" t="s">
        <v>2930</v>
      </c>
      <c r="H279">
        <v>26417</v>
      </c>
      <c r="I279" t="s">
        <v>2931</v>
      </c>
    </row>
    <row r="280" spans="1:9" x14ac:dyDescent="0.25">
      <c r="A280" t="s">
        <v>2928</v>
      </c>
      <c r="B280" t="s">
        <v>2948</v>
      </c>
      <c r="C280" t="s">
        <v>2932</v>
      </c>
      <c r="D280">
        <v>24.614909999999998</v>
      </c>
      <c r="E280" t="s">
        <v>2929</v>
      </c>
      <c r="F280">
        <v>98.604631650000002</v>
      </c>
      <c r="G280" t="s">
        <v>2930</v>
      </c>
      <c r="H280">
        <v>54140</v>
      </c>
      <c r="I280" t="s">
        <v>2931</v>
      </c>
    </row>
    <row r="281" spans="1:9" x14ac:dyDescent="0.25">
      <c r="A281" t="s">
        <v>2928</v>
      </c>
      <c r="B281" t="s">
        <v>3483</v>
      </c>
      <c r="C281" t="s">
        <v>2932</v>
      </c>
      <c r="D281">
        <v>27.35706626</v>
      </c>
      <c r="E281" t="s">
        <v>2929</v>
      </c>
      <c r="F281">
        <v>103.4472738</v>
      </c>
      <c r="G281" t="s">
        <v>2930</v>
      </c>
      <c r="H281">
        <v>31320</v>
      </c>
      <c r="I281" t="s">
        <v>2931</v>
      </c>
    </row>
    <row r="282" spans="1:9" x14ac:dyDescent="0.25">
      <c r="A282" t="s">
        <v>2928</v>
      </c>
      <c r="B282" t="s">
        <v>3345</v>
      </c>
      <c r="C282" t="s">
        <v>2932</v>
      </c>
      <c r="D282">
        <v>26.399271899999999</v>
      </c>
      <c r="E282" t="s">
        <v>2929</v>
      </c>
      <c r="F282">
        <v>104.02318940000001</v>
      </c>
      <c r="G282" t="s">
        <v>2930</v>
      </c>
      <c r="H282">
        <v>51721</v>
      </c>
      <c r="I282" t="s">
        <v>2931</v>
      </c>
    </row>
    <row r="283" spans="1:9" x14ac:dyDescent="0.25">
      <c r="A283" t="s">
        <v>2928</v>
      </c>
      <c r="B283" t="s">
        <v>3484</v>
      </c>
      <c r="C283" t="s">
        <v>2932</v>
      </c>
      <c r="D283">
        <v>27.093710170000001</v>
      </c>
      <c r="E283" t="s">
        <v>2929</v>
      </c>
      <c r="F283">
        <v>103.3675535</v>
      </c>
      <c r="G283" t="s">
        <v>2930</v>
      </c>
      <c r="H283">
        <v>48150</v>
      </c>
      <c r="I283" t="s">
        <v>2931</v>
      </c>
    </row>
    <row r="284" spans="1:9" x14ac:dyDescent="0.25">
      <c r="A284" t="s">
        <v>2928</v>
      </c>
      <c r="B284" t="s">
        <v>3134</v>
      </c>
      <c r="C284" t="s">
        <v>2932</v>
      </c>
      <c r="D284">
        <v>23.999888049999999</v>
      </c>
      <c r="E284" t="s">
        <v>2929</v>
      </c>
      <c r="F284">
        <v>102.35285880000001</v>
      </c>
      <c r="G284" t="s">
        <v>2930</v>
      </c>
      <c r="H284">
        <v>21080</v>
      </c>
      <c r="I284" t="s">
        <v>2931</v>
      </c>
    </row>
    <row r="285" spans="1:9" x14ac:dyDescent="0.25">
      <c r="A285" t="s">
        <v>2928</v>
      </c>
      <c r="B285" t="s">
        <v>2994</v>
      </c>
      <c r="C285" t="s">
        <v>2932</v>
      </c>
      <c r="D285">
        <v>24.93292903</v>
      </c>
      <c r="E285" t="s">
        <v>2929</v>
      </c>
      <c r="F285">
        <v>101.6396106</v>
      </c>
      <c r="G285" t="s">
        <v>2930</v>
      </c>
      <c r="H285">
        <v>221252</v>
      </c>
      <c r="I285" t="s">
        <v>2931</v>
      </c>
    </row>
    <row r="286" spans="1:9" x14ac:dyDescent="0.25">
      <c r="A286" t="s">
        <v>2928</v>
      </c>
      <c r="B286" t="s">
        <v>3211</v>
      </c>
      <c r="C286" t="s">
        <v>2932</v>
      </c>
      <c r="D286">
        <v>26.253561699999999</v>
      </c>
      <c r="E286" t="s">
        <v>2929</v>
      </c>
      <c r="F286">
        <v>100.7906507</v>
      </c>
      <c r="G286" t="s">
        <v>2930</v>
      </c>
      <c r="H286">
        <v>13008</v>
      </c>
      <c r="I286" t="s">
        <v>2931</v>
      </c>
    </row>
    <row r="287" spans="1:9" x14ac:dyDescent="0.25">
      <c r="A287" t="s">
        <v>2928</v>
      </c>
      <c r="B287" t="s">
        <v>2995</v>
      </c>
      <c r="C287" t="s">
        <v>2932</v>
      </c>
      <c r="D287">
        <v>25.18338876</v>
      </c>
      <c r="E287" t="s">
        <v>2929</v>
      </c>
      <c r="F287">
        <v>101.4023061</v>
      </c>
      <c r="G287" t="s">
        <v>2930</v>
      </c>
      <c r="H287">
        <v>26022</v>
      </c>
      <c r="I287" t="s">
        <v>2931</v>
      </c>
    </row>
    <row r="288" spans="1:9" x14ac:dyDescent="0.25">
      <c r="A288" t="s">
        <v>2928</v>
      </c>
      <c r="B288" t="s">
        <v>2949</v>
      </c>
      <c r="C288" t="s">
        <v>2932</v>
      </c>
      <c r="D288">
        <v>25.00137161</v>
      </c>
      <c r="E288" t="s">
        <v>2929</v>
      </c>
      <c r="F288">
        <v>98.839076219999995</v>
      </c>
      <c r="G288" t="s">
        <v>2930</v>
      </c>
      <c r="H288">
        <v>73380</v>
      </c>
      <c r="I288" t="s">
        <v>2931</v>
      </c>
    </row>
    <row r="289" spans="1:9" x14ac:dyDescent="0.25">
      <c r="A289" t="s">
        <v>2928</v>
      </c>
      <c r="B289" t="s">
        <v>3436</v>
      </c>
      <c r="C289" t="s">
        <v>2932</v>
      </c>
      <c r="D289">
        <v>24.338235319999999</v>
      </c>
      <c r="E289" t="s">
        <v>2929</v>
      </c>
      <c r="F289">
        <v>102.8514177</v>
      </c>
      <c r="G289" t="s">
        <v>2930</v>
      </c>
      <c r="H289">
        <v>28856</v>
      </c>
      <c r="I289" t="s">
        <v>2931</v>
      </c>
    </row>
    <row r="290" spans="1:9" x14ac:dyDescent="0.25">
      <c r="A290" t="s">
        <v>2928</v>
      </c>
      <c r="B290" t="s">
        <v>3485</v>
      </c>
      <c r="C290" t="s">
        <v>2932</v>
      </c>
      <c r="D290">
        <v>27.952181450000001</v>
      </c>
      <c r="E290" t="s">
        <v>2929</v>
      </c>
      <c r="F290">
        <v>105.0293449</v>
      </c>
      <c r="G290" t="s">
        <v>2930</v>
      </c>
      <c r="H290">
        <v>48666</v>
      </c>
      <c r="I290" t="s">
        <v>2931</v>
      </c>
    </row>
    <row r="291" spans="1:9" x14ac:dyDescent="0.25">
      <c r="A291" t="s">
        <v>2928</v>
      </c>
      <c r="B291" t="s">
        <v>3233</v>
      </c>
      <c r="C291" t="s">
        <v>2932</v>
      </c>
      <c r="D291">
        <v>24.526524330000001</v>
      </c>
      <c r="E291" t="s">
        <v>2929</v>
      </c>
      <c r="F291">
        <v>100.04407310000001</v>
      </c>
      <c r="G291" t="s">
        <v>2930</v>
      </c>
      <c r="H291">
        <v>40072</v>
      </c>
      <c r="I291" t="s">
        <v>2931</v>
      </c>
    </row>
    <row r="292" spans="1:9" x14ac:dyDescent="0.25">
      <c r="A292" t="s">
        <v>2928</v>
      </c>
      <c r="B292" t="s">
        <v>3486</v>
      </c>
      <c r="C292" t="s">
        <v>2932</v>
      </c>
      <c r="D292">
        <v>27.73120685</v>
      </c>
      <c r="E292" t="s">
        <v>2929</v>
      </c>
      <c r="F292">
        <v>104.6896503</v>
      </c>
      <c r="G292" t="s">
        <v>2930</v>
      </c>
      <c r="H292">
        <v>70418</v>
      </c>
      <c r="I292" t="s">
        <v>2931</v>
      </c>
    </row>
    <row r="293" spans="1:9" x14ac:dyDescent="0.25">
      <c r="A293" t="s">
        <v>2928</v>
      </c>
      <c r="B293" t="s">
        <v>3183</v>
      </c>
      <c r="C293" t="s">
        <v>2932</v>
      </c>
      <c r="D293">
        <v>25.34718522</v>
      </c>
      <c r="E293" t="s">
        <v>2929</v>
      </c>
      <c r="F293">
        <v>102.4217177</v>
      </c>
      <c r="G293" t="s">
        <v>2930</v>
      </c>
      <c r="H293">
        <v>13583</v>
      </c>
      <c r="I293" t="s">
        <v>2931</v>
      </c>
    </row>
    <row r="294" spans="1:9" x14ac:dyDescent="0.25">
      <c r="A294" t="s">
        <v>2928</v>
      </c>
      <c r="B294" t="s">
        <v>3346</v>
      </c>
      <c r="C294" t="s">
        <v>2932</v>
      </c>
      <c r="D294">
        <v>26.144415259999999</v>
      </c>
      <c r="E294" t="s">
        <v>2929</v>
      </c>
      <c r="F294">
        <v>103.97919450000001</v>
      </c>
      <c r="G294" t="s">
        <v>2930</v>
      </c>
      <c r="H294">
        <v>36910</v>
      </c>
      <c r="I294" t="s">
        <v>2931</v>
      </c>
    </row>
    <row r="295" spans="1:9" x14ac:dyDescent="0.25">
      <c r="A295" t="s">
        <v>2928</v>
      </c>
      <c r="B295" t="s">
        <v>3347</v>
      </c>
      <c r="C295" t="s">
        <v>2932</v>
      </c>
      <c r="D295">
        <v>24.838578850000001</v>
      </c>
      <c r="E295" t="s">
        <v>2929</v>
      </c>
      <c r="F295">
        <v>104.29595860000001</v>
      </c>
      <c r="G295" t="s">
        <v>2930</v>
      </c>
      <c r="H295">
        <v>136431</v>
      </c>
      <c r="I295" t="s">
        <v>2931</v>
      </c>
    </row>
    <row r="296" spans="1:9" x14ac:dyDescent="0.25">
      <c r="A296" t="s">
        <v>2928</v>
      </c>
      <c r="B296" t="s">
        <v>3487</v>
      </c>
      <c r="C296" t="s">
        <v>2932</v>
      </c>
      <c r="D296">
        <v>27.492596500000001</v>
      </c>
      <c r="E296" t="s">
        <v>2929</v>
      </c>
      <c r="F296">
        <v>103.96930260000001</v>
      </c>
      <c r="G296" t="s">
        <v>2930</v>
      </c>
      <c r="H296">
        <v>60200</v>
      </c>
      <c r="I296" t="s">
        <v>2931</v>
      </c>
    </row>
    <row r="297" spans="1:9" x14ac:dyDescent="0.25">
      <c r="A297" t="s">
        <v>2928</v>
      </c>
      <c r="B297" t="s">
        <v>3234</v>
      </c>
      <c r="C297" t="s">
        <v>2932</v>
      </c>
      <c r="D297">
        <v>24.835646579999999</v>
      </c>
      <c r="E297" t="s">
        <v>2929</v>
      </c>
      <c r="F297">
        <v>99.957255779999997</v>
      </c>
      <c r="G297" t="s">
        <v>2930</v>
      </c>
      <c r="H297">
        <v>29994</v>
      </c>
      <c r="I297" t="s">
        <v>2931</v>
      </c>
    </row>
    <row r="298" spans="1:9" x14ac:dyDescent="0.25">
      <c r="A298" t="s">
        <v>2928</v>
      </c>
      <c r="B298" t="s">
        <v>3260</v>
      </c>
      <c r="C298" t="s">
        <v>2932</v>
      </c>
      <c r="D298">
        <v>25.96664303</v>
      </c>
      <c r="E298" t="s">
        <v>2929</v>
      </c>
      <c r="F298">
        <v>98.756795240000002</v>
      </c>
      <c r="G298" t="s">
        <v>2930</v>
      </c>
      <c r="H298">
        <v>12375</v>
      </c>
      <c r="I298" t="s">
        <v>2931</v>
      </c>
    </row>
    <row r="299" spans="1:9" x14ac:dyDescent="0.25">
      <c r="A299" t="s">
        <v>2928</v>
      </c>
      <c r="B299" t="s">
        <v>3437</v>
      </c>
      <c r="C299" t="s">
        <v>2932</v>
      </c>
      <c r="D299">
        <v>24.582731639999999</v>
      </c>
      <c r="E299" t="s">
        <v>2929</v>
      </c>
      <c r="F299">
        <v>101.9678852</v>
      </c>
      <c r="G299" t="s">
        <v>2930</v>
      </c>
      <c r="H299">
        <v>16410</v>
      </c>
      <c r="I299" t="s">
        <v>2931</v>
      </c>
    </row>
    <row r="300" spans="1:9" x14ac:dyDescent="0.25">
      <c r="A300" t="s">
        <v>2928</v>
      </c>
      <c r="B300" t="s">
        <v>3391</v>
      </c>
      <c r="C300" t="s">
        <v>2932</v>
      </c>
      <c r="D300">
        <v>23.032423659999999</v>
      </c>
      <c r="E300" t="s">
        <v>2929</v>
      </c>
      <c r="F300">
        <v>104.3844411</v>
      </c>
      <c r="G300" t="s">
        <v>2930</v>
      </c>
      <c r="H300">
        <v>79534</v>
      </c>
      <c r="I300" t="s">
        <v>2931</v>
      </c>
    </row>
    <row r="301" spans="1:9" x14ac:dyDescent="0.25">
      <c r="A301" t="s">
        <v>2928</v>
      </c>
      <c r="B301" t="s">
        <v>3048</v>
      </c>
      <c r="C301" t="s">
        <v>2932</v>
      </c>
      <c r="D301">
        <v>26.439887580000001</v>
      </c>
      <c r="E301" t="s">
        <v>2929</v>
      </c>
      <c r="F301">
        <v>99.598494169999995</v>
      </c>
      <c r="G301" t="s">
        <v>2930</v>
      </c>
      <c r="H301">
        <v>19839</v>
      </c>
      <c r="I301" t="s">
        <v>2931</v>
      </c>
    </row>
    <row r="302" spans="1:9" x14ac:dyDescent="0.25">
      <c r="A302" t="s">
        <v>2928</v>
      </c>
      <c r="B302" t="s">
        <v>3348</v>
      </c>
      <c r="C302" t="s">
        <v>2932</v>
      </c>
      <c r="D302">
        <v>25.481741589999999</v>
      </c>
      <c r="E302" t="s">
        <v>2929</v>
      </c>
      <c r="F302">
        <v>103.4264931</v>
      </c>
      <c r="G302" t="s">
        <v>2930</v>
      </c>
      <c r="H302">
        <v>12967</v>
      </c>
      <c r="I302" t="s">
        <v>2931</v>
      </c>
    </row>
    <row r="303" spans="1:9" x14ac:dyDescent="0.25">
      <c r="A303" t="s">
        <v>2928</v>
      </c>
      <c r="B303" t="s">
        <v>4973</v>
      </c>
      <c r="C303" t="s">
        <v>2932</v>
      </c>
      <c r="D303">
        <v>24.867460189999999</v>
      </c>
      <c r="E303" t="s">
        <v>2929</v>
      </c>
      <c r="F303">
        <v>100.8646591</v>
      </c>
      <c r="G303" t="s">
        <v>2930</v>
      </c>
      <c r="H303">
        <v>18491</v>
      </c>
      <c r="I303" t="s">
        <v>2931</v>
      </c>
    </row>
    <row r="304" spans="1:9" x14ac:dyDescent="0.25">
      <c r="A304" t="s">
        <v>2928</v>
      </c>
      <c r="B304" t="s">
        <v>4974</v>
      </c>
      <c r="C304" t="s">
        <v>2932</v>
      </c>
      <c r="D304">
        <v>25.20897708</v>
      </c>
      <c r="E304" t="s">
        <v>2929</v>
      </c>
      <c r="F304">
        <v>103.2143502</v>
      </c>
      <c r="G304" t="s">
        <v>2930</v>
      </c>
      <c r="H304">
        <v>18497</v>
      </c>
      <c r="I304" t="s">
        <v>2931</v>
      </c>
    </row>
    <row r="305" spans="1:9" x14ac:dyDescent="0.25">
      <c r="A305" t="s">
        <v>2928</v>
      </c>
      <c r="B305" t="s">
        <v>4975</v>
      </c>
      <c r="C305" t="s">
        <v>2932</v>
      </c>
      <c r="D305">
        <v>24.943294529999999</v>
      </c>
      <c r="E305" t="s">
        <v>2929</v>
      </c>
      <c r="F305">
        <v>103.7177133</v>
      </c>
      <c r="G305" t="s">
        <v>2930</v>
      </c>
      <c r="H305">
        <v>100428</v>
      </c>
      <c r="I305" t="s">
        <v>2931</v>
      </c>
    </row>
    <row r="306" spans="1:9" x14ac:dyDescent="0.25">
      <c r="A306" t="s">
        <v>2928</v>
      </c>
      <c r="B306" t="s">
        <v>4976</v>
      </c>
      <c r="C306" t="s">
        <v>2932</v>
      </c>
      <c r="D306">
        <v>25.180423229999999</v>
      </c>
      <c r="E306" t="s">
        <v>2929</v>
      </c>
      <c r="F306">
        <v>104.21344209999999</v>
      </c>
      <c r="G306" t="s">
        <v>2930</v>
      </c>
      <c r="H306">
        <v>56894</v>
      </c>
      <c r="I306" t="s">
        <v>2931</v>
      </c>
    </row>
    <row r="307" spans="1:9" x14ac:dyDescent="0.25">
      <c r="A307" t="s">
        <v>2928</v>
      </c>
      <c r="B307" t="s">
        <v>3488</v>
      </c>
      <c r="C307" t="s">
        <v>2932</v>
      </c>
      <c r="D307">
        <v>27.584222579999999</v>
      </c>
      <c r="E307" t="s">
        <v>2929</v>
      </c>
      <c r="F307">
        <v>103.3412874</v>
      </c>
      <c r="G307" t="s">
        <v>2930</v>
      </c>
      <c r="H307">
        <v>24124</v>
      </c>
      <c r="I307" t="s">
        <v>2931</v>
      </c>
    </row>
    <row r="308" spans="1:9" x14ac:dyDescent="0.25">
      <c r="A308" t="s">
        <v>2928</v>
      </c>
      <c r="B308" t="s">
        <v>3392</v>
      </c>
      <c r="C308" t="s">
        <v>2932</v>
      </c>
      <c r="D308">
        <v>23.111379469999999</v>
      </c>
      <c r="E308" t="s">
        <v>2929</v>
      </c>
      <c r="F308">
        <v>104.7138192</v>
      </c>
      <c r="G308" t="s">
        <v>2930</v>
      </c>
      <c r="H308">
        <v>54511</v>
      </c>
      <c r="I308" t="s">
        <v>2931</v>
      </c>
    </row>
    <row r="309" spans="1:9" x14ac:dyDescent="0.25">
      <c r="A309" t="s">
        <v>2928</v>
      </c>
      <c r="B309" t="s">
        <v>2950</v>
      </c>
      <c r="C309" t="s">
        <v>2932</v>
      </c>
      <c r="D309">
        <v>25.005631709999999</v>
      </c>
      <c r="E309" t="s">
        <v>2929</v>
      </c>
      <c r="F309">
        <v>98.680035919999995</v>
      </c>
      <c r="G309" t="s">
        <v>2930</v>
      </c>
      <c r="H309">
        <v>39273</v>
      </c>
      <c r="I309" t="s">
        <v>2931</v>
      </c>
    </row>
    <row r="310" spans="1:9" x14ac:dyDescent="0.25">
      <c r="A310" t="s">
        <v>2928</v>
      </c>
      <c r="B310" t="s">
        <v>3489</v>
      </c>
      <c r="C310" t="s">
        <v>2932</v>
      </c>
      <c r="D310">
        <v>27.62637071</v>
      </c>
      <c r="E310" t="s">
        <v>2929</v>
      </c>
      <c r="F310">
        <v>104.84960649999999</v>
      </c>
      <c r="G310" t="s">
        <v>2930</v>
      </c>
      <c r="H310">
        <v>43102</v>
      </c>
      <c r="I310" t="s">
        <v>2931</v>
      </c>
    </row>
    <row r="311" spans="1:9" x14ac:dyDescent="0.25">
      <c r="A311" t="s">
        <v>2928</v>
      </c>
      <c r="B311" t="s">
        <v>3091</v>
      </c>
      <c r="C311" t="s">
        <v>2932</v>
      </c>
      <c r="D311">
        <v>24.669026519999999</v>
      </c>
      <c r="E311" t="s">
        <v>2929</v>
      </c>
      <c r="F311">
        <v>98.238410720000005</v>
      </c>
      <c r="G311" t="s">
        <v>2930</v>
      </c>
      <c r="H311">
        <v>29587</v>
      </c>
      <c r="I311" t="s">
        <v>2931</v>
      </c>
    </row>
    <row r="312" spans="1:9" x14ac:dyDescent="0.25">
      <c r="A312" t="s">
        <v>2928</v>
      </c>
      <c r="B312" t="s">
        <v>3092</v>
      </c>
      <c r="C312" t="s">
        <v>2932</v>
      </c>
      <c r="D312">
        <v>24.137164510000002</v>
      </c>
      <c r="E312" t="s">
        <v>2929</v>
      </c>
      <c r="F312">
        <v>98.336169519999999</v>
      </c>
      <c r="G312" t="s">
        <v>2930</v>
      </c>
      <c r="H312">
        <v>5641</v>
      </c>
      <c r="I312" t="s">
        <v>2931</v>
      </c>
    </row>
    <row r="313" spans="1:9" x14ac:dyDescent="0.25">
      <c r="A313" t="s">
        <v>2928</v>
      </c>
      <c r="B313" t="s">
        <v>3235</v>
      </c>
      <c r="C313" t="s">
        <v>2932</v>
      </c>
      <c r="D313">
        <v>23.416692780000002</v>
      </c>
      <c r="E313" t="s">
        <v>2929</v>
      </c>
      <c r="F313">
        <v>98.975886200000005</v>
      </c>
      <c r="G313" t="s">
        <v>2930</v>
      </c>
      <c r="H313">
        <v>13689</v>
      </c>
      <c r="I313" t="s">
        <v>2931</v>
      </c>
    </row>
    <row r="314" spans="1:9" x14ac:dyDescent="0.25">
      <c r="A314" t="s">
        <v>2928</v>
      </c>
      <c r="B314" t="s">
        <v>3093</v>
      </c>
      <c r="C314" t="s">
        <v>2932</v>
      </c>
      <c r="D314">
        <v>24.481863000000001</v>
      </c>
      <c r="E314" t="s">
        <v>2929</v>
      </c>
      <c r="F314">
        <v>98.62118778</v>
      </c>
      <c r="G314" t="s">
        <v>2930</v>
      </c>
      <c r="H314">
        <v>46353</v>
      </c>
      <c r="I314" t="s">
        <v>2931</v>
      </c>
    </row>
    <row r="315" spans="1:9" x14ac:dyDescent="0.25">
      <c r="A315" t="s">
        <v>2928</v>
      </c>
      <c r="B315" t="s">
        <v>2951</v>
      </c>
      <c r="C315" t="s">
        <v>2932</v>
      </c>
      <c r="D315">
        <v>24.927077669999999</v>
      </c>
      <c r="E315" t="s">
        <v>2929</v>
      </c>
      <c r="F315">
        <v>99.694071570000006</v>
      </c>
      <c r="G315" t="s">
        <v>2930</v>
      </c>
      <c r="H315">
        <v>28638</v>
      </c>
      <c r="I315" t="s">
        <v>2931</v>
      </c>
    </row>
    <row r="316" spans="1:9" x14ac:dyDescent="0.25">
      <c r="A316" t="s">
        <v>2928</v>
      </c>
      <c r="B316" t="s">
        <v>3286</v>
      </c>
      <c r="C316" t="s">
        <v>2932</v>
      </c>
      <c r="D316">
        <v>22.20463689</v>
      </c>
      <c r="E316" t="s">
        <v>2929</v>
      </c>
      <c r="F316">
        <v>99.592583340000004</v>
      </c>
      <c r="G316" t="s">
        <v>2930</v>
      </c>
      <c r="H316">
        <v>16939</v>
      </c>
      <c r="I316" t="s">
        <v>2931</v>
      </c>
    </row>
    <row r="317" spans="1:9" x14ac:dyDescent="0.25">
      <c r="A317" t="s">
        <v>2928</v>
      </c>
      <c r="B317" t="s">
        <v>3135</v>
      </c>
      <c r="C317" t="s">
        <v>2932</v>
      </c>
      <c r="D317">
        <v>23.070215099999999</v>
      </c>
      <c r="E317" t="s">
        <v>2929</v>
      </c>
      <c r="F317">
        <v>103.26325660000001</v>
      </c>
      <c r="G317" t="s">
        <v>2930</v>
      </c>
      <c r="H317">
        <v>8527</v>
      </c>
      <c r="I317" t="s">
        <v>2931</v>
      </c>
    </row>
    <row r="318" spans="1:9" x14ac:dyDescent="0.25">
      <c r="A318" t="s">
        <v>2928</v>
      </c>
      <c r="B318" t="s">
        <v>3438</v>
      </c>
      <c r="C318" t="s">
        <v>2932</v>
      </c>
      <c r="D318">
        <v>23.641989649999999</v>
      </c>
      <c r="E318" t="s">
        <v>2929</v>
      </c>
      <c r="F318">
        <v>101.78890370000001</v>
      </c>
      <c r="G318" t="s">
        <v>2930</v>
      </c>
      <c r="H318">
        <v>28639</v>
      </c>
      <c r="I318" t="s">
        <v>2931</v>
      </c>
    </row>
    <row r="319" spans="1:9" x14ac:dyDescent="0.25">
      <c r="A319" t="s">
        <v>2928</v>
      </c>
      <c r="B319" t="s">
        <v>4977</v>
      </c>
      <c r="C319" t="s">
        <v>2932</v>
      </c>
      <c r="D319">
        <v>24.646896089999998</v>
      </c>
      <c r="E319" t="s">
        <v>2929</v>
      </c>
      <c r="F319">
        <v>100.3730625</v>
      </c>
      <c r="G319" t="s">
        <v>2930</v>
      </c>
      <c r="H319">
        <v>23617</v>
      </c>
      <c r="I319" t="s">
        <v>2931</v>
      </c>
    </row>
    <row r="320" spans="1:9" x14ac:dyDescent="0.25">
      <c r="A320" t="s">
        <v>2928</v>
      </c>
      <c r="B320" t="s">
        <v>4978</v>
      </c>
      <c r="C320" t="s">
        <v>2932</v>
      </c>
      <c r="D320">
        <v>24.625417519999999</v>
      </c>
      <c r="E320" t="s">
        <v>2929</v>
      </c>
      <c r="F320">
        <v>100.51585489999999</v>
      </c>
      <c r="G320" t="s">
        <v>2930</v>
      </c>
      <c r="H320">
        <v>19842</v>
      </c>
      <c r="I320" t="s">
        <v>2931</v>
      </c>
    </row>
    <row r="321" spans="1:9" x14ac:dyDescent="0.25">
      <c r="A321" t="s">
        <v>2928</v>
      </c>
      <c r="B321" t="s">
        <v>2996</v>
      </c>
      <c r="C321" t="s">
        <v>2932</v>
      </c>
      <c r="D321">
        <v>25.473711990000002</v>
      </c>
      <c r="E321" t="s">
        <v>2929</v>
      </c>
      <c r="F321">
        <v>102.13074400000001</v>
      </c>
      <c r="G321" t="s">
        <v>2930</v>
      </c>
      <c r="H321">
        <v>26047</v>
      </c>
      <c r="I321" t="s">
        <v>2931</v>
      </c>
    </row>
    <row r="322" spans="1:9" x14ac:dyDescent="0.25">
      <c r="A322" t="s">
        <v>2928</v>
      </c>
      <c r="B322" t="s">
        <v>3236</v>
      </c>
      <c r="C322" t="s">
        <v>2932</v>
      </c>
      <c r="D322">
        <v>24.601853299999998</v>
      </c>
      <c r="E322" t="s">
        <v>2929</v>
      </c>
      <c r="F322">
        <v>100.2709552</v>
      </c>
      <c r="G322" t="s">
        <v>2930</v>
      </c>
      <c r="H322">
        <v>43925</v>
      </c>
      <c r="I322" t="s">
        <v>2931</v>
      </c>
    </row>
    <row r="323" spans="1:9" x14ac:dyDescent="0.25">
      <c r="A323" t="s">
        <v>2928</v>
      </c>
      <c r="B323" t="s">
        <v>3490</v>
      </c>
      <c r="C323" t="s">
        <v>2932</v>
      </c>
      <c r="D323">
        <v>27.648533180000001</v>
      </c>
      <c r="E323" t="s">
        <v>2929</v>
      </c>
      <c r="F323">
        <v>103.6294426</v>
      </c>
      <c r="G323" t="s">
        <v>2930</v>
      </c>
      <c r="H323">
        <v>21018</v>
      </c>
      <c r="I323" t="s">
        <v>2931</v>
      </c>
    </row>
    <row r="324" spans="1:9" x14ac:dyDescent="0.25">
      <c r="A324" t="s">
        <v>2928</v>
      </c>
      <c r="B324" t="s">
        <v>3184</v>
      </c>
      <c r="C324" t="s">
        <v>2932</v>
      </c>
      <c r="D324">
        <v>25.707899130000001</v>
      </c>
      <c r="E324" t="s">
        <v>2929</v>
      </c>
      <c r="F324">
        <v>102.4492821</v>
      </c>
      <c r="G324" t="s">
        <v>2930</v>
      </c>
      <c r="H324">
        <v>30514</v>
      </c>
      <c r="I324" t="s">
        <v>2931</v>
      </c>
    </row>
    <row r="325" spans="1:9" x14ac:dyDescent="0.25">
      <c r="A325" t="s">
        <v>2928</v>
      </c>
      <c r="B325" t="s">
        <v>3491</v>
      </c>
      <c r="C325" t="s">
        <v>2932</v>
      </c>
      <c r="D325">
        <v>27.334181470000001</v>
      </c>
      <c r="E325" t="s">
        <v>2929</v>
      </c>
      <c r="F325">
        <v>102.95793980000001</v>
      </c>
      <c r="G325" t="s">
        <v>2930</v>
      </c>
      <c r="H325">
        <v>18029</v>
      </c>
      <c r="I325" t="s">
        <v>2931</v>
      </c>
    </row>
    <row r="326" spans="1:9" x14ac:dyDescent="0.25">
      <c r="A326" t="s">
        <v>2928</v>
      </c>
      <c r="B326" t="s">
        <v>3492</v>
      </c>
      <c r="C326" t="s">
        <v>2932</v>
      </c>
      <c r="D326">
        <v>26.777088840000001</v>
      </c>
      <c r="E326" t="s">
        <v>2929</v>
      </c>
      <c r="F326">
        <v>103.24527449999999</v>
      </c>
      <c r="G326" t="s">
        <v>2930</v>
      </c>
      <c r="H326">
        <v>32220</v>
      </c>
      <c r="I326" t="s">
        <v>2931</v>
      </c>
    </row>
    <row r="327" spans="1:9" x14ac:dyDescent="0.25">
      <c r="A327" t="s">
        <v>2928</v>
      </c>
      <c r="B327" t="s">
        <v>3393</v>
      </c>
      <c r="C327" t="s">
        <v>2932</v>
      </c>
      <c r="D327">
        <v>23.503348020000001</v>
      </c>
      <c r="E327" t="s">
        <v>2929</v>
      </c>
      <c r="F327">
        <v>104.0637504</v>
      </c>
      <c r="G327" t="s">
        <v>2930</v>
      </c>
      <c r="H327">
        <v>34522</v>
      </c>
      <c r="I327" t="s">
        <v>2931</v>
      </c>
    </row>
    <row r="328" spans="1:9" x14ac:dyDescent="0.25">
      <c r="A328" t="s">
        <v>2928</v>
      </c>
      <c r="B328" t="s">
        <v>3287</v>
      </c>
      <c r="C328" t="s">
        <v>2932</v>
      </c>
      <c r="D328">
        <v>23.524669419999999</v>
      </c>
      <c r="E328" t="s">
        <v>2929</v>
      </c>
      <c r="F328">
        <v>101.1423961</v>
      </c>
      <c r="G328" t="s">
        <v>2930</v>
      </c>
      <c r="H328">
        <v>10051</v>
      </c>
      <c r="I328" t="s">
        <v>2931</v>
      </c>
    </row>
    <row r="329" spans="1:9" x14ac:dyDescent="0.25">
      <c r="A329" t="s">
        <v>2928</v>
      </c>
      <c r="B329" t="s">
        <v>3414</v>
      </c>
      <c r="C329" t="s">
        <v>2932</v>
      </c>
      <c r="D329">
        <v>22.2127819</v>
      </c>
      <c r="E329" t="s">
        <v>2929</v>
      </c>
      <c r="F329">
        <v>100.3653762</v>
      </c>
      <c r="G329" t="s">
        <v>2930</v>
      </c>
      <c r="H329">
        <v>23531</v>
      </c>
      <c r="I329" t="s">
        <v>2931</v>
      </c>
    </row>
    <row r="330" spans="1:9" x14ac:dyDescent="0.25">
      <c r="A330" t="s">
        <v>2928</v>
      </c>
      <c r="B330" t="s">
        <v>3415</v>
      </c>
      <c r="C330" t="s">
        <v>2932</v>
      </c>
      <c r="D330">
        <v>21.780030379999999</v>
      </c>
      <c r="E330" t="s">
        <v>2929</v>
      </c>
      <c r="F330">
        <v>101.6711246</v>
      </c>
      <c r="G330" t="s">
        <v>2930</v>
      </c>
      <c r="H330">
        <v>13735</v>
      </c>
      <c r="I330" t="s">
        <v>2931</v>
      </c>
    </row>
    <row r="331" spans="1:9" x14ac:dyDescent="0.25">
      <c r="A331" t="s">
        <v>2928</v>
      </c>
      <c r="B331" t="s">
        <v>3288</v>
      </c>
      <c r="C331" t="s">
        <v>2932</v>
      </c>
      <c r="D331">
        <v>24.078011480000001</v>
      </c>
      <c r="E331" t="s">
        <v>2929</v>
      </c>
      <c r="F331">
        <v>100.8036493</v>
      </c>
      <c r="G331" t="s">
        <v>2930</v>
      </c>
      <c r="H331">
        <v>41343</v>
      </c>
      <c r="I331" t="s">
        <v>2931</v>
      </c>
    </row>
    <row r="332" spans="1:9" x14ac:dyDescent="0.25">
      <c r="A332" t="s">
        <v>2928</v>
      </c>
      <c r="B332" t="s">
        <v>3237</v>
      </c>
      <c r="C332" t="s">
        <v>2932</v>
      </c>
      <c r="D332">
        <v>23.560020040000001</v>
      </c>
      <c r="E332" t="s">
        <v>2929</v>
      </c>
      <c r="F332">
        <v>99.069382790000006</v>
      </c>
      <c r="G332" t="s">
        <v>2930</v>
      </c>
      <c r="H332">
        <v>102992</v>
      </c>
      <c r="I332" t="s">
        <v>2931</v>
      </c>
    </row>
    <row r="333" spans="1:9" x14ac:dyDescent="0.25">
      <c r="A333" t="s">
        <v>2928</v>
      </c>
      <c r="B333" t="s">
        <v>3238</v>
      </c>
      <c r="C333" t="s">
        <v>2932</v>
      </c>
      <c r="D333">
        <v>23.144207550000001</v>
      </c>
      <c r="E333" t="s">
        <v>2929</v>
      </c>
      <c r="F333">
        <v>99.200577260000003</v>
      </c>
      <c r="G333" t="s">
        <v>2930</v>
      </c>
      <c r="H333">
        <v>35741</v>
      </c>
      <c r="I333" t="s">
        <v>2931</v>
      </c>
    </row>
    <row r="334" spans="1:9" x14ac:dyDescent="0.25">
      <c r="A334" t="s">
        <v>2928</v>
      </c>
      <c r="B334" t="s">
        <v>3493</v>
      </c>
      <c r="C334" t="s">
        <v>2932</v>
      </c>
      <c r="D334">
        <v>26.645237420000001</v>
      </c>
      <c r="E334" t="s">
        <v>2929</v>
      </c>
      <c r="F334">
        <v>103.0606202</v>
      </c>
      <c r="G334" t="s">
        <v>2930</v>
      </c>
      <c r="H334">
        <v>17412</v>
      </c>
      <c r="I334" t="s">
        <v>2931</v>
      </c>
    </row>
    <row r="335" spans="1:9" x14ac:dyDescent="0.25">
      <c r="A335" t="s">
        <v>2928</v>
      </c>
      <c r="B335" t="s">
        <v>3416</v>
      </c>
      <c r="C335" t="s">
        <v>2932</v>
      </c>
      <c r="D335">
        <v>22.01758792</v>
      </c>
      <c r="E335" t="s">
        <v>2929</v>
      </c>
      <c r="F335">
        <v>100.4208098</v>
      </c>
      <c r="G335" t="s">
        <v>2930</v>
      </c>
      <c r="H335">
        <v>70828</v>
      </c>
      <c r="I335" t="s">
        <v>2931</v>
      </c>
    </row>
    <row r="336" spans="1:9" x14ac:dyDescent="0.25">
      <c r="A336" t="s">
        <v>2928</v>
      </c>
      <c r="B336" t="s">
        <v>3417</v>
      </c>
      <c r="C336" t="s">
        <v>2932</v>
      </c>
      <c r="D336">
        <v>21.875341509999998</v>
      </c>
      <c r="E336" t="s">
        <v>2929</v>
      </c>
      <c r="F336">
        <v>101.0359292</v>
      </c>
      <c r="G336" t="s">
        <v>2930</v>
      </c>
      <c r="H336">
        <v>43965</v>
      </c>
      <c r="I336" t="s">
        <v>2931</v>
      </c>
    </row>
    <row r="337" spans="1:9" x14ac:dyDescent="0.25">
      <c r="A337" t="s">
        <v>2928</v>
      </c>
      <c r="B337" t="s">
        <v>3418</v>
      </c>
      <c r="C337" t="s">
        <v>2932</v>
      </c>
      <c r="D337">
        <v>21.820544009999999</v>
      </c>
      <c r="E337" t="s">
        <v>2929</v>
      </c>
      <c r="F337">
        <v>100.4165433</v>
      </c>
      <c r="G337" t="s">
        <v>2930</v>
      </c>
      <c r="H337">
        <v>30944</v>
      </c>
      <c r="I337" t="s">
        <v>2931</v>
      </c>
    </row>
    <row r="338" spans="1:9" x14ac:dyDescent="0.25">
      <c r="A338" t="s">
        <v>2928</v>
      </c>
      <c r="B338" t="s">
        <v>3094</v>
      </c>
      <c r="C338" t="s">
        <v>2932</v>
      </c>
      <c r="D338">
        <v>24.25408019</v>
      </c>
      <c r="E338" t="s">
        <v>2929</v>
      </c>
      <c r="F338">
        <v>98.490484980000005</v>
      </c>
      <c r="G338" t="s">
        <v>2930</v>
      </c>
      <c r="H338">
        <v>24344</v>
      </c>
      <c r="I338" t="s">
        <v>2931</v>
      </c>
    </row>
    <row r="339" spans="1:9" x14ac:dyDescent="0.25">
      <c r="A339" t="s">
        <v>2928</v>
      </c>
      <c r="B339" t="s">
        <v>3289</v>
      </c>
      <c r="C339" t="s">
        <v>2932</v>
      </c>
      <c r="D339">
        <v>22.77015763</v>
      </c>
      <c r="E339" t="s">
        <v>2929</v>
      </c>
      <c r="F339">
        <v>99.473371889999996</v>
      </c>
      <c r="G339" t="s">
        <v>2930</v>
      </c>
      <c r="H339">
        <v>17054</v>
      </c>
      <c r="I339" t="s">
        <v>2931</v>
      </c>
    </row>
    <row r="340" spans="1:9" x14ac:dyDescent="0.25">
      <c r="A340" t="s">
        <v>2928</v>
      </c>
      <c r="B340" t="s">
        <v>3239</v>
      </c>
      <c r="C340" t="s">
        <v>2932</v>
      </c>
      <c r="D340">
        <v>23.678979739999999</v>
      </c>
      <c r="E340" t="s">
        <v>2929</v>
      </c>
      <c r="F340">
        <v>99.890321650000004</v>
      </c>
      <c r="G340" t="s">
        <v>2930</v>
      </c>
      <c r="H340">
        <v>35146</v>
      </c>
      <c r="I340" t="s">
        <v>2931</v>
      </c>
    </row>
    <row r="341" spans="1:9" x14ac:dyDescent="0.25">
      <c r="A341" t="s">
        <v>2928</v>
      </c>
      <c r="B341" t="s">
        <v>3419</v>
      </c>
      <c r="C341" t="s">
        <v>2932</v>
      </c>
      <c r="D341">
        <v>21.51455966</v>
      </c>
      <c r="E341" t="s">
        <v>2929</v>
      </c>
      <c r="F341">
        <v>101.58980680000001</v>
      </c>
      <c r="G341" t="s">
        <v>2930</v>
      </c>
      <c r="H341">
        <v>56612</v>
      </c>
      <c r="I341" t="s">
        <v>2931</v>
      </c>
    </row>
    <row r="342" spans="1:9" x14ac:dyDescent="0.25">
      <c r="A342" t="s">
        <v>2928</v>
      </c>
      <c r="B342" t="s">
        <v>3136</v>
      </c>
      <c r="C342" t="s">
        <v>2932</v>
      </c>
      <c r="D342">
        <v>22.65946254</v>
      </c>
      <c r="E342" t="s">
        <v>2929</v>
      </c>
      <c r="F342">
        <v>102.9811235</v>
      </c>
      <c r="G342" t="s">
        <v>2930</v>
      </c>
      <c r="H342">
        <v>33953</v>
      </c>
      <c r="I342" t="s">
        <v>2931</v>
      </c>
    </row>
    <row r="343" spans="1:9" x14ac:dyDescent="0.25">
      <c r="A343" t="s">
        <v>2928</v>
      </c>
      <c r="B343" t="s">
        <v>3290</v>
      </c>
      <c r="C343" t="s">
        <v>2932</v>
      </c>
      <c r="D343">
        <v>22.552888500000002</v>
      </c>
      <c r="E343" t="s">
        <v>2929</v>
      </c>
      <c r="F343">
        <v>99.961913010000004</v>
      </c>
      <c r="G343" t="s">
        <v>2930</v>
      </c>
      <c r="H343">
        <v>86877</v>
      </c>
      <c r="I343" t="s">
        <v>2931</v>
      </c>
    </row>
    <row r="344" spans="1:9" x14ac:dyDescent="0.25">
      <c r="A344" t="s">
        <v>2928</v>
      </c>
      <c r="B344" t="s">
        <v>3291</v>
      </c>
      <c r="C344" t="s">
        <v>2932</v>
      </c>
      <c r="D344">
        <v>22.504883939999999</v>
      </c>
      <c r="E344" t="s">
        <v>2929</v>
      </c>
      <c r="F344">
        <v>101.89104570000001</v>
      </c>
      <c r="G344" t="s">
        <v>2930</v>
      </c>
      <c r="H344">
        <v>32306</v>
      </c>
      <c r="I344" t="s">
        <v>2931</v>
      </c>
    </row>
    <row r="345" spans="1:9" x14ac:dyDescent="0.25">
      <c r="A345" t="s">
        <v>2928</v>
      </c>
      <c r="B345" t="s">
        <v>3420</v>
      </c>
      <c r="C345" t="s">
        <v>2932</v>
      </c>
      <c r="D345">
        <v>21.644184979999999</v>
      </c>
      <c r="E345" t="s">
        <v>2929</v>
      </c>
      <c r="F345">
        <v>100.6576147</v>
      </c>
      <c r="G345" t="s">
        <v>2930</v>
      </c>
      <c r="H345">
        <v>103420</v>
      </c>
      <c r="I345" t="s">
        <v>2931</v>
      </c>
    </row>
    <row r="346" spans="1:9" x14ac:dyDescent="0.25">
      <c r="A346" t="s">
        <v>2928</v>
      </c>
      <c r="B346" t="s">
        <v>3421</v>
      </c>
      <c r="C346" t="s">
        <v>2932</v>
      </c>
      <c r="D346">
        <v>21.907288579999999</v>
      </c>
      <c r="E346" t="s">
        <v>2929</v>
      </c>
      <c r="F346">
        <v>101.2937898</v>
      </c>
      <c r="G346" t="s">
        <v>2930</v>
      </c>
      <c r="H346">
        <v>26607</v>
      </c>
      <c r="I346" t="s">
        <v>2931</v>
      </c>
    </row>
    <row r="347" spans="1:9" x14ac:dyDescent="0.25">
      <c r="A347" t="s">
        <v>2928</v>
      </c>
      <c r="B347" t="s">
        <v>3292</v>
      </c>
      <c r="C347" t="s">
        <v>2932</v>
      </c>
      <c r="D347">
        <v>22.189016410000001</v>
      </c>
      <c r="E347" t="s">
        <v>2929</v>
      </c>
      <c r="F347">
        <v>99.366525719999999</v>
      </c>
      <c r="G347" t="s">
        <v>2930</v>
      </c>
      <c r="H347">
        <v>30486</v>
      </c>
      <c r="I347" t="s">
        <v>2931</v>
      </c>
    </row>
    <row r="348" spans="1:9" x14ac:dyDescent="0.25">
      <c r="A348" t="s">
        <v>2928</v>
      </c>
      <c r="B348" t="s">
        <v>4979</v>
      </c>
      <c r="C348" t="s">
        <v>2932</v>
      </c>
      <c r="D348">
        <v>22.13668848</v>
      </c>
      <c r="E348" t="s">
        <v>2929</v>
      </c>
      <c r="F348">
        <v>100.14412539999999</v>
      </c>
      <c r="G348" t="s">
        <v>2930</v>
      </c>
      <c r="H348">
        <v>19450</v>
      </c>
      <c r="I348" t="s">
        <v>2931</v>
      </c>
    </row>
    <row r="349" spans="1:9" x14ac:dyDescent="0.25">
      <c r="A349" t="s">
        <v>2928</v>
      </c>
      <c r="B349" t="s">
        <v>4980</v>
      </c>
      <c r="C349" t="s">
        <v>2932</v>
      </c>
      <c r="D349">
        <v>21.288328159999999</v>
      </c>
      <c r="E349" t="s">
        <v>2929</v>
      </c>
      <c r="F349">
        <v>101.3271525</v>
      </c>
      <c r="G349" t="s">
        <v>2930</v>
      </c>
      <c r="H349">
        <v>25782</v>
      </c>
      <c r="I349" t="s">
        <v>2931</v>
      </c>
    </row>
    <row r="350" spans="1:9" x14ac:dyDescent="0.25">
      <c r="A350" t="s">
        <v>2928</v>
      </c>
      <c r="B350" t="s">
        <v>3095</v>
      </c>
      <c r="C350" t="s">
        <v>2932</v>
      </c>
      <c r="D350">
        <v>24.06305472</v>
      </c>
      <c r="E350" t="s">
        <v>2929</v>
      </c>
      <c r="F350">
        <v>97.917875370000004</v>
      </c>
      <c r="G350" t="s">
        <v>2930</v>
      </c>
      <c r="H350">
        <v>112578</v>
      </c>
      <c r="I350" t="s">
        <v>2931</v>
      </c>
    </row>
    <row r="351" spans="1:9" x14ac:dyDescent="0.25">
      <c r="A351" t="s">
        <v>2928</v>
      </c>
      <c r="B351" t="s">
        <v>3240</v>
      </c>
      <c r="C351" t="s">
        <v>2932</v>
      </c>
      <c r="D351">
        <v>23.468178720000001</v>
      </c>
      <c r="E351" t="s">
        <v>2929</v>
      </c>
      <c r="F351">
        <v>99.885230629999995</v>
      </c>
      <c r="G351" t="s">
        <v>2930</v>
      </c>
      <c r="H351">
        <v>47966</v>
      </c>
      <c r="I351" t="s">
        <v>2931</v>
      </c>
    </row>
    <row r="352" spans="1:9" x14ac:dyDescent="0.25">
      <c r="A352" t="s">
        <v>2928</v>
      </c>
      <c r="B352" t="s">
        <v>2952</v>
      </c>
      <c r="C352" t="s">
        <v>2932</v>
      </c>
      <c r="D352">
        <v>24.316725099999999</v>
      </c>
      <c r="E352" t="s">
        <v>2929</v>
      </c>
      <c r="F352">
        <v>99.043574520000007</v>
      </c>
      <c r="G352" t="s">
        <v>2930</v>
      </c>
      <c r="H352">
        <v>18627</v>
      </c>
      <c r="I352" t="s">
        <v>2931</v>
      </c>
    </row>
    <row r="353" spans="1:9" x14ac:dyDescent="0.25">
      <c r="A353" t="s">
        <v>2928</v>
      </c>
      <c r="B353" t="s">
        <v>4981</v>
      </c>
      <c r="C353" t="s">
        <v>2932</v>
      </c>
      <c r="D353">
        <v>24.116040399999999</v>
      </c>
      <c r="E353" t="s">
        <v>2929</v>
      </c>
      <c r="F353">
        <v>98.99541696</v>
      </c>
      <c r="G353" t="s">
        <v>2930</v>
      </c>
      <c r="H353">
        <v>40417</v>
      </c>
      <c r="I353" t="s">
        <v>2931</v>
      </c>
    </row>
    <row r="354" spans="1:9" x14ac:dyDescent="0.25">
      <c r="A354" t="s">
        <v>2928</v>
      </c>
      <c r="B354" t="s">
        <v>4982</v>
      </c>
      <c r="C354" t="s">
        <v>2932</v>
      </c>
      <c r="D354">
        <v>21.463317620000002</v>
      </c>
      <c r="E354" t="s">
        <v>2929</v>
      </c>
      <c r="F354">
        <v>101.3237531</v>
      </c>
      <c r="G354" t="s">
        <v>2930</v>
      </c>
      <c r="H354">
        <v>63205</v>
      </c>
      <c r="I354" t="s">
        <v>2931</v>
      </c>
    </row>
    <row r="355" spans="1:9" x14ac:dyDescent="0.25">
      <c r="A355" t="s">
        <v>2928</v>
      </c>
      <c r="B355" t="s">
        <v>3241</v>
      </c>
      <c r="C355" t="s">
        <v>2932</v>
      </c>
      <c r="D355">
        <v>23.764347130000001</v>
      </c>
      <c r="E355" t="s">
        <v>2929</v>
      </c>
      <c r="F355">
        <v>99.642049639999996</v>
      </c>
      <c r="G355" t="s">
        <v>2930</v>
      </c>
      <c r="H355">
        <v>37299</v>
      </c>
      <c r="I355" t="s">
        <v>2931</v>
      </c>
    </row>
    <row r="356" spans="1:9" x14ac:dyDescent="0.25">
      <c r="A356" t="s">
        <v>2928</v>
      </c>
      <c r="B356" t="s">
        <v>3242</v>
      </c>
      <c r="C356" t="s">
        <v>2932</v>
      </c>
      <c r="D356">
        <v>23.335941949999999</v>
      </c>
      <c r="E356" t="s">
        <v>2929</v>
      </c>
      <c r="F356">
        <v>99.418830009999994</v>
      </c>
      <c r="G356" t="s">
        <v>2930</v>
      </c>
      <c r="H356">
        <v>23530</v>
      </c>
      <c r="I356" t="s">
        <v>2931</v>
      </c>
    </row>
    <row r="357" spans="1:9" x14ac:dyDescent="0.25">
      <c r="A357" t="s">
        <v>2928</v>
      </c>
      <c r="B357" t="s">
        <v>3293</v>
      </c>
      <c r="C357" t="s">
        <v>2932</v>
      </c>
      <c r="D357">
        <v>22.639922989999999</v>
      </c>
      <c r="E357" t="s">
        <v>2929</v>
      </c>
      <c r="F357">
        <v>99.606539799999993</v>
      </c>
      <c r="G357" t="s">
        <v>2930</v>
      </c>
      <c r="H357">
        <v>21307</v>
      </c>
      <c r="I357" t="s">
        <v>2931</v>
      </c>
    </row>
    <row r="358" spans="1:9" x14ac:dyDescent="0.25">
      <c r="A358" t="s">
        <v>2928</v>
      </c>
      <c r="B358" t="s">
        <v>2953</v>
      </c>
      <c r="C358" t="s">
        <v>2932</v>
      </c>
      <c r="D358">
        <v>24.531546179999999</v>
      </c>
      <c r="E358" t="s">
        <v>2929</v>
      </c>
      <c r="F358">
        <v>99.603715500000007</v>
      </c>
      <c r="G358" t="s">
        <v>2930</v>
      </c>
      <c r="H358">
        <v>25519</v>
      </c>
      <c r="I358" t="s">
        <v>2931</v>
      </c>
    </row>
    <row r="359" spans="1:9" x14ac:dyDescent="0.25">
      <c r="A359" t="s">
        <v>2928</v>
      </c>
      <c r="B359" t="s">
        <v>3294</v>
      </c>
      <c r="C359" t="s">
        <v>2932</v>
      </c>
      <c r="D359">
        <v>22.981216209999999</v>
      </c>
      <c r="E359" t="s">
        <v>2929</v>
      </c>
      <c r="F359">
        <v>101.2441954</v>
      </c>
      <c r="G359" t="s">
        <v>2930</v>
      </c>
      <c r="H359">
        <v>19666</v>
      </c>
      <c r="I359" t="s">
        <v>2931</v>
      </c>
    </row>
    <row r="360" spans="1:9" x14ac:dyDescent="0.25">
      <c r="A360" t="s">
        <v>2928</v>
      </c>
      <c r="B360" t="s">
        <v>4983</v>
      </c>
      <c r="C360" t="s">
        <v>2932</v>
      </c>
      <c r="D360">
        <v>24.602600670000001</v>
      </c>
      <c r="E360" t="s">
        <v>2929</v>
      </c>
      <c r="F360">
        <v>98.287070220000004</v>
      </c>
      <c r="G360" t="s">
        <v>2930</v>
      </c>
      <c r="H360">
        <v>17371</v>
      </c>
      <c r="I360" t="s">
        <v>2931</v>
      </c>
    </row>
    <row r="361" spans="1:9" x14ac:dyDescent="0.25">
      <c r="A361" t="s">
        <v>2928</v>
      </c>
      <c r="B361" t="s">
        <v>4984</v>
      </c>
      <c r="C361" t="s">
        <v>2932</v>
      </c>
      <c r="D361">
        <v>22.19524024</v>
      </c>
      <c r="E361" t="s">
        <v>2929</v>
      </c>
      <c r="F361">
        <v>100.9050984</v>
      </c>
      <c r="G361" t="s">
        <v>2930</v>
      </c>
      <c r="H361">
        <v>27448</v>
      </c>
      <c r="I361" t="s">
        <v>2931</v>
      </c>
    </row>
    <row r="362" spans="1:9" x14ac:dyDescent="0.25">
      <c r="A362" t="s">
        <v>2928</v>
      </c>
      <c r="B362" t="s">
        <v>3243</v>
      </c>
      <c r="C362" t="s">
        <v>2932</v>
      </c>
      <c r="D362">
        <v>23.927048889999998</v>
      </c>
      <c r="E362" t="s">
        <v>2929</v>
      </c>
      <c r="F362">
        <v>99.754250040000002</v>
      </c>
      <c r="G362" t="s">
        <v>2930</v>
      </c>
      <c r="H362">
        <v>31141</v>
      </c>
      <c r="I362" t="s">
        <v>2931</v>
      </c>
    </row>
    <row r="363" spans="1:9" x14ac:dyDescent="0.25">
      <c r="A363" t="s">
        <v>2928</v>
      </c>
      <c r="B363" t="s">
        <v>3244</v>
      </c>
      <c r="C363" t="s">
        <v>2932</v>
      </c>
      <c r="D363">
        <v>24.575862310000002</v>
      </c>
      <c r="E363" t="s">
        <v>2929</v>
      </c>
      <c r="F363">
        <v>99.769840310000006</v>
      </c>
      <c r="G363" t="s">
        <v>2930</v>
      </c>
      <c r="H363">
        <v>51213</v>
      </c>
      <c r="I363" t="s">
        <v>2931</v>
      </c>
    </row>
    <row r="364" spans="1:9" x14ac:dyDescent="0.25">
      <c r="A364" t="s">
        <v>2928</v>
      </c>
      <c r="B364" t="s">
        <v>3422</v>
      </c>
      <c r="C364" t="s">
        <v>2932</v>
      </c>
      <c r="D364">
        <v>21.957229120000001</v>
      </c>
      <c r="E364" t="s">
        <v>2929</v>
      </c>
      <c r="F364">
        <v>100.2561141</v>
      </c>
      <c r="G364" t="s">
        <v>2930</v>
      </c>
      <c r="H364">
        <v>63519</v>
      </c>
      <c r="I364" t="s">
        <v>2931</v>
      </c>
    </row>
    <row r="365" spans="1:9" x14ac:dyDescent="0.25">
      <c r="A365" t="s">
        <v>2928</v>
      </c>
      <c r="B365" t="s">
        <v>3137</v>
      </c>
      <c r="C365" t="s">
        <v>2932</v>
      </c>
      <c r="D365">
        <v>23.67570606</v>
      </c>
      <c r="E365" t="s">
        <v>2929</v>
      </c>
      <c r="F365">
        <v>103.0290857</v>
      </c>
      <c r="G365" t="s">
        <v>2930</v>
      </c>
      <c r="H365">
        <v>39033</v>
      </c>
      <c r="I365" t="s">
        <v>2931</v>
      </c>
    </row>
    <row r="366" spans="1:9" x14ac:dyDescent="0.25">
      <c r="A366" t="s">
        <v>2928</v>
      </c>
      <c r="B366" t="s">
        <v>3494</v>
      </c>
      <c r="C366" t="s">
        <v>2932</v>
      </c>
      <c r="D366">
        <v>27.92003686</v>
      </c>
      <c r="E366" t="s">
        <v>2929</v>
      </c>
      <c r="F366">
        <v>104.3258285</v>
      </c>
      <c r="G366" t="s">
        <v>2930</v>
      </c>
      <c r="H366">
        <v>46391</v>
      </c>
      <c r="I366" t="s">
        <v>2931</v>
      </c>
    </row>
    <row r="367" spans="1:9" x14ac:dyDescent="0.25">
      <c r="A367" t="s">
        <v>2928</v>
      </c>
      <c r="B367" t="s">
        <v>3495</v>
      </c>
      <c r="C367" t="s">
        <v>2932</v>
      </c>
      <c r="D367">
        <v>27.799526589999999</v>
      </c>
      <c r="E367" t="s">
        <v>2929</v>
      </c>
      <c r="F367">
        <v>104.8222536</v>
      </c>
      <c r="G367" t="s">
        <v>2930</v>
      </c>
      <c r="H367">
        <v>18293</v>
      </c>
      <c r="I367" t="s">
        <v>2931</v>
      </c>
    </row>
    <row r="368" spans="1:9" x14ac:dyDescent="0.25">
      <c r="A368" t="s">
        <v>2928</v>
      </c>
      <c r="B368" t="s">
        <v>3049</v>
      </c>
      <c r="C368" t="s">
        <v>2932</v>
      </c>
      <c r="D368">
        <v>25.293213659999999</v>
      </c>
      <c r="E368" t="s">
        <v>2929</v>
      </c>
      <c r="F368">
        <v>100.26895759999999</v>
      </c>
      <c r="G368" t="s">
        <v>2930</v>
      </c>
      <c r="H368">
        <v>62540</v>
      </c>
      <c r="I368" t="s">
        <v>2931</v>
      </c>
    </row>
    <row r="369" spans="1:9" x14ac:dyDescent="0.25">
      <c r="A369" t="s">
        <v>2928</v>
      </c>
      <c r="B369" t="s">
        <v>3050</v>
      </c>
      <c r="C369" t="s">
        <v>2932</v>
      </c>
      <c r="D369">
        <v>25.333983409999998</v>
      </c>
      <c r="E369" t="s">
        <v>2929</v>
      </c>
      <c r="F369">
        <v>100.48695650000001</v>
      </c>
      <c r="G369" t="s">
        <v>2930</v>
      </c>
      <c r="H369">
        <v>89144</v>
      </c>
      <c r="I369" t="s">
        <v>2931</v>
      </c>
    </row>
    <row r="370" spans="1:9" x14ac:dyDescent="0.25">
      <c r="A370" t="s">
        <v>2928</v>
      </c>
      <c r="B370" t="s">
        <v>3051</v>
      </c>
      <c r="C370" t="s">
        <v>2932</v>
      </c>
      <c r="D370">
        <v>25.756272750000001</v>
      </c>
      <c r="E370" t="s">
        <v>2929</v>
      </c>
      <c r="F370">
        <v>100.7872831</v>
      </c>
      <c r="G370" t="s">
        <v>2930</v>
      </c>
      <c r="H370">
        <v>28011</v>
      </c>
      <c r="I370" t="s">
        <v>2931</v>
      </c>
    </row>
    <row r="371" spans="1:9" x14ac:dyDescent="0.25">
      <c r="A371" t="s">
        <v>2928</v>
      </c>
      <c r="B371" t="s">
        <v>2954</v>
      </c>
      <c r="C371" t="s">
        <v>2932</v>
      </c>
      <c r="D371">
        <v>25.655160510000002</v>
      </c>
      <c r="E371" t="s">
        <v>2929</v>
      </c>
      <c r="F371">
        <v>98.556981660000005</v>
      </c>
      <c r="G371" t="s">
        <v>2930</v>
      </c>
      <c r="H371">
        <v>40221</v>
      </c>
      <c r="I371" t="s">
        <v>2931</v>
      </c>
    </row>
    <row r="372" spans="1:9" x14ac:dyDescent="0.25">
      <c r="A372" t="s">
        <v>2928</v>
      </c>
      <c r="B372" t="s">
        <v>3138</v>
      </c>
      <c r="C372" t="s">
        <v>2932</v>
      </c>
      <c r="D372">
        <v>23.457652280000001</v>
      </c>
      <c r="E372" t="s">
        <v>2929</v>
      </c>
      <c r="F372">
        <v>103.6564241</v>
      </c>
      <c r="G372" t="s">
        <v>2930</v>
      </c>
      <c r="H372">
        <v>19330</v>
      </c>
      <c r="I372" t="s">
        <v>2931</v>
      </c>
    </row>
    <row r="373" spans="1:9" x14ac:dyDescent="0.25">
      <c r="A373" t="s">
        <v>2928</v>
      </c>
      <c r="B373" t="s">
        <v>3212</v>
      </c>
      <c r="C373" t="s">
        <v>2932</v>
      </c>
      <c r="D373">
        <v>27.270634250000001</v>
      </c>
      <c r="E373" t="s">
        <v>2929</v>
      </c>
      <c r="F373">
        <v>100.4347853</v>
      </c>
      <c r="G373" t="s">
        <v>2930</v>
      </c>
      <c r="H373">
        <v>8605</v>
      </c>
      <c r="I373" t="s">
        <v>2931</v>
      </c>
    </row>
    <row r="374" spans="1:9" x14ac:dyDescent="0.25">
      <c r="A374" t="s">
        <v>2928</v>
      </c>
      <c r="B374" t="s">
        <v>3295</v>
      </c>
      <c r="C374" t="s">
        <v>2932</v>
      </c>
      <c r="D374">
        <v>23.686986610000002</v>
      </c>
      <c r="E374" t="s">
        <v>2929</v>
      </c>
      <c r="F374">
        <v>100.4767746</v>
      </c>
      <c r="G374" t="s">
        <v>2930</v>
      </c>
      <c r="H374">
        <v>22964</v>
      </c>
      <c r="I374" t="s">
        <v>2931</v>
      </c>
    </row>
    <row r="375" spans="1:9" x14ac:dyDescent="0.25">
      <c r="A375" t="s">
        <v>2928</v>
      </c>
      <c r="B375" t="s">
        <v>2997</v>
      </c>
      <c r="C375" t="s">
        <v>2932</v>
      </c>
      <c r="D375">
        <v>25.372132069999999</v>
      </c>
      <c r="E375" t="s">
        <v>2929</v>
      </c>
      <c r="F375">
        <v>101.1242266</v>
      </c>
      <c r="G375" t="s">
        <v>2930</v>
      </c>
      <c r="H375">
        <v>20062</v>
      </c>
      <c r="I375" t="s">
        <v>2931</v>
      </c>
    </row>
    <row r="376" spans="1:9" x14ac:dyDescent="0.25">
      <c r="A376" t="s">
        <v>2928</v>
      </c>
      <c r="B376" t="s">
        <v>3139</v>
      </c>
      <c r="C376" t="s">
        <v>2932</v>
      </c>
      <c r="D376">
        <v>24.39751167</v>
      </c>
      <c r="E376" t="s">
        <v>2929</v>
      </c>
      <c r="F376">
        <v>103.5021869</v>
      </c>
      <c r="G376" t="s">
        <v>2930</v>
      </c>
      <c r="H376">
        <v>162335</v>
      </c>
      <c r="I376" t="s">
        <v>2931</v>
      </c>
    </row>
    <row r="377" spans="1:9" x14ac:dyDescent="0.25">
      <c r="A377" t="s">
        <v>2928</v>
      </c>
      <c r="B377" t="s">
        <v>3052</v>
      </c>
      <c r="C377" t="s">
        <v>2932</v>
      </c>
      <c r="D377">
        <v>25.16466458</v>
      </c>
      <c r="E377" t="s">
        <v>2929</v>
      </c>
      <c r="F377">
        <v>100.5133147</v>
      </c>
      <c r="G377" t="s">
        <v>2930</v>
      </c>
      <c r="H377">
        <v>15489</v>
      </c>
      <c r="I377" t="s">
        <v>2931</v>
      </c>
    </row>
    <row r="378" spans="1:9" x14ac:dyDescent="0.25">
      <c r="A378" t="s">
        <v>2928</v>
      </c>
      <c r="B378" t="s">
        <v>3423</v>
      </c>
      <c r="C378" t="s">
        <v>2932</v>
      </c>
      <c r="D378">
        <v>21.1907876</v>
      </c>
      <c r="E378" t="s">
        <v>2929</v>
      </c>
      <c r="F378">
        <v>101.68771959999999</v>
      </c>
      <c r="G378" t="s">
        <v>2930</v>
      </c>
      <c r="H378">
        <v>18547</v>
      </c>
      <c r="I378" t="s">
        <v>2931</v>
      </c>
    </row>
    <row r="379" spans="1:9" x14ac:dyDescent="0.25">
      <c r="A379" t="s">
        <v>2928</v>
      </c>
      <c r="B379" t="s">
        <v>3296</v>
      </c>
      <c r="C379" t="s">
        <v>2932</v>
      </c>
      <c r="D379">
        <v>23.20318193</v>
      </c>
      <c r="E379" t="s">
        <v>2929</v>
      </c>
      <c r="F379">
        <v>101.2156964</v>
      </c>
      <c r="G379" t="s">
        <v>2930</v>
      </c>
      <c r="H379">
        <v>20962</v>
      </c>
      <c r="I379" t="s">
        <v>2931</v>
      </c>
    </row>
    <row r="380" spans="1:9" x14ac:dyDescent="0.25">
      <c r="A380" t="s">
        <v>2928</v>
      </c>
      <c r="B380" t="s">
        <v>3349</v>
      </c>
      <c r="C380" t="s">
        <v>2932</v>
      </c>
      <c r="D380">
        <v>25.437612789999999</v>
      </c>
      <c r="E380" t="s">
        <v>2929</v>
      </c>
      <c r="F380">
        <v>104.1202402</v>
      </c>
      <c r="G380" t="s">
        <v>2930</v>
      </c>
      <c r="H380">
        <v>58840</v>
      </c>
      <c r="I380" t="s">
        <v>2931</v>
      </c>
    </row>
    <row r="381" spans="1:9" x14ac:dyDescent="0.25">
      <c r="A381" t="s">
        <v>2928</v>
      </c>
      <c r="B381" t="s">
        <v>3439</v>
      </c>
      <c r="C381" t="s">
        <v>2932</v>
      </c>
      <c r="D381">
        <v>23.878477669999999</v>
      </c>
      <c r="E381" t="s">
        <v>2929</v>
      </c>
      <c r="F381">
        <v>101.7351761</v>
      </c>
      <c r="G381" t="s">
        <v>2930</v>
      </c>
      <c r="H381">
        <v>35806</v>
      </c>
      <c r="I381" t="s">
        <v>2931</v>
      </c>
    </row>
    <row r="382" spans="1:9" x14ac:dyDescent="0.25">
      <c r="A382" t="s">
        <v>2928</v>
      </c>
      <c r="B382" t="s">
        <v>3394</v>
      </c>
      <c r="C382" t="s">
        <v>2932</v>
      </c>
      <c r="D382">
        <v>22.93177794</v>
      </c>
      <c r="E382" t="s">
        <v>2929</v>
      </c>
      <c r="F382">
        <v>104.1761947</v>
      </c>
      <c r="G382" t="s">
        <v>2930</v>
      </c>
      <c r="H382">
        <v>24158</v>
      </c>
      <c r="I382" t="s">
        <v>2931</v>
      </c>
    </row>
    <row r="383" spans="1:9" x14ac:dyDescent="0.25">
      <c r="A383" t="s">
        <v>2928</v>
      </c>
      <c r="B383" t="s">
        <v>3496</v>
      </c>
      <c r="C383" t="s">
        <v>2932</v>
      </c>
      <c r="D383">
        <v>28.136188539999999</v>
      </c>
      <c r="E383" t="s">
        <v>2929</v>
      </c>
      <c r="F383">
        <v>103.9608714</v>
      </c>
      <c r="G383" t="s">
        <v>2930</v>
      </c>
      <c r="H383">
        <v>26877</v>
      </c>
      <c r="I383" t="s">
        <v>2931</v>
      </c>
    </row>
    <row r="384" spans="1:9" x14ac:dyDescent="0.25">
      <c r="A384" t="s">
        <v>2928</v>
      </c>
      <c r="B384" t="s">
        <v>3497</v>
      </c>
      <c r="C384" t="s">
        <v>2932</v>
      </c>
      <c r="D384">
        <v>27.559152260000001</v>
      </c>
      <c r="E384" t="s">
        <v>2929</v>
      </c>
      <c r="F384">
        <v>105.17964139999999</v>
      </c>
      <c r="G384" t="s">
        <v>2930</v>
      </c>
      <c r="H384">
        <v>56276</v>
      </c>
      <c r="I384" t="s">
        <v>2931</v>
      </c>
    </row>
    <row r="385" spans="1:9" x14ac:dyDescent="0.25">
      <c r="A385" t="s">
        <v>2928</v>
      </c>
      <c r="B385" t="s">
        <v>3395</v>
      </c>
      <c r="C385" t="s">
        <v>2932</v>
      </c>
      <c r="D385">
        <v>23.49082026</v>
      </c>
      <c r="E385" t="s">
        <v>2929</v>
      </c>
      <c r="F385">
        <v>105.37456570000001</v>
      </c>
      <c r="G385" t="s">
        <v>2930</v>
      </c>
      <c r="H385">
        <v>50276</v>
      </c>
      <c r="I385" t="s">
        <v>2931</v>
      </c>
    </row>
    <row r="386" spans="1:9" x14ac:dyDescent="0.25">
      <c r="A386" t="s">
        <v>2928</v>
      </c>
      <c r="B386" t="s">
        <v>3498</v>
      </c>
      <c r="C386" t="s">
        <v>2932</v>
      </c>
      <c r="D386">
        <v>27.71394141</v>
      </c>
      <c r="E386" t="s">
        <v>2929</v>
      </c>
      <c r="F386">
        <v>104.80392620000001</v>
      </c>
      <c r="G386" t="s">
        <v>2930</v>
      </c>
      <c r="H386">
        <v>27775</v>
      </c>
      <c r="I386" t="s">
        <v>2931</v>
      </c>
    </row>
    <row r="387" spans="1:9" x14ac:dyDescent="0.25">
      <c r="A387" t="s">
        <v>2928</v>
      </c>
      <c r="B387" t="s">
        <v>3096</v>
      </c>
      <c r="C387" t="s">
        <v>2932</v>
      </c>
      <c r="D387">
        <v>24.71456379</v>
      </c>
      <c r="E387" t="s">
        <v>2929</v>
      </c>
      <c r="F387">
        <v>97.599835100000007</v>
      </c>
      <c r="G387" t="s">
        <v>2930</v>
      </c>
      <c r="H387">
        <v>3495</v>
      </c>
      <c r="I387" t="s">
        <v>2931</v>
      </c>
    </row>
    <row r="388" spans="1:9" x14ac:dyDescent="0.25">
      <c r="A388" t="s">
        <v>2928</v>
      </c>
      <c r="B388" t="s">
        <v>3440</v>
      </c>
      <c r="C388" t="s">
        <v>2932</v>
      </c>
      <c r="D388">
        <v>24.1975075</v>
      </c>
      <c r="E388" t="s">
        <v>2929</v>
      </c>
      <c r="F388">
        <v>102.73403159999999</v>
      </c>
      <c r="G388" t="s">
        <v>2930</v>
      </c>
      <c r="H388">
        <v>16148</v>
      </c>
      <c r="I388" t="s">
        <v>2931</v>
      </c>
    </row>
    <row r="389" spans="1:9" x14ac:dyDescent="0.25">
      <c r="A389" t="s">
        <v>2928</v>
      </c>
      <c r="B389" t="s">
        <v>3350</v>
      </c>
      <c r="C389" t="s">
        <v>2932</v>
      </c>
      <c r="D389">
        <v>26.464942449999999</v>
      </c>
      <c r="E389" t="s">
        <v>2929</v>
      </c>
      <c r="F389">
        <v>103.13448030000001</v>
      </c>
      <c r="G389" t="s">
        <v>2930</v>
      </c>
      <c r="H389">
        <v>61124</v>
      </c>
      <c r="I389" t="s">
        <v>2931</v>
      </c>
    </row>
    <row r="390" spans="1:9" x14ac:dyDescent="0.25">
      <c r="A390" t="s">
        <v>2928</v>
      </c>
      <c r="B390" t="s">
        <v>3499</v>
      </c>
      <c r="C390" t="s">
        <v>2932</v>
      </c>
      <c r="D390">
        <v>28.5744343</v>
      </c>
      <c r="E390" t="s">
        <v>2929</v>
      </c>
      <c r="F390">
        <v>103.83850409999999</v>
      </c>
      <c r="G390" t="s">
        <v>2930</v>
      </c>
      <c r="H390">
        <v>13980</v>
      </c>
      <c r="I390" t="s">
        <v>2931</v>
      </c>
    </row>
    <row r="391" spans="1:9" x14ac:dyDescent="0.25">
      <c r="A391" t="s">
        <v>2928</v>
      </c>
      <c r="B391" t="s">
        <v>3053</v>
      </c>
      <c r="C391" t="s">
        <v>2932</v>
      </c>
      <c r="D391">
        <v>25.04008249</v>
      </c>
      <c r="E391" t="s">
        <v>2929</v>
      </c>
      <c r="F391">
        <v>100.51527919999999</v>
      </c>
      <c r="G391" t="s">
        <v>2930</v>
      </c>
      <c r="H391">
        <v>50083</v>
      </c>
      <c r="I391" t="s">
        <v>2931</v>
      </c>
    </row>
    <row r="392" spans="1:9" x14ac:dyDescent="0.25">
      <c r="A392" t="s">
        <v>2928</v>
      </c>
      <c r="B392" t="s">
        <v>4985</v>
      </c>
      <c r="C392" t="s">
        <v>2932</v>
      </c>
      <c r="D392">
        <v>22.731371429999999</v>
      </c>
      <c r="E392" t="s">
        <v>2929</v>
      </c>
      <c r="F392">
        <v>100.9213834</v>
      </c>
      <c r="G392" t="s">
        <v>2930</v>
      </c>
      <c r="H392">
        <v>97583</v>
      </c>
      <c r="I392" t="s">
        <v>2931</v>
      </c>
    </row>
    <row r="393" spans="1:9" x14ac:dyDescent="0.25">
      <c r="A393" t="s">
        <v>2928</v>
      </c>
      <c r="B393" t="s">
        <v>4986</v>
      </c>
      <c r="C393" t="s">
        <v>2932</v>
      </c>
      <c r="D393">
        <v>23.752305740000001</v>
      </c>
      <c r="E393" t="s">
        <v>2929</v>
      </c>
      <c r="F393">
        <v>105.2579976</v>
      </c>
      <c r="G393" t="s">
        <v>2930</v>
      </c>
      <c r="H393">
        <v>41971</v>
      </c>
      <c r="I393" t="s">
        <v>2931</v>
      </c>
    </row>
    <row r="394" spans="1:9" x14ac:dyDescent="0.25">
      <c r="A394" t="s">
        <v>2928</v>
      </c>
      <c r="B394" t="s">
        <v>3245</v>
      </c>
      <c r="C394" t="s">
        <v>2932</v>
      </c>
      <c r="D394">
        <v>23.76148981</v>
      </c>
      <c r="E394" t="s">
        <v>2929</v>
      </c>
      <c r="F394">
        <v>98.921979559999997</v>
      </c>
      <c r="G394" t="s">
        <v>2930</v>
      </c>
      <c r="H394">
        <v>43097</v>
      </c>
      <c r="I394" t="s">
        <v>2931</v>
      </c>
    </row>
    <row r="395" spans="1:9" x14ac:dyDescent="0.25">
      <c r="A395" t="s">
        <v>2928</v>
      </c>
      <c r="B395" t="s">
        <v>3140</v>
      </c>
      <c r="C395" t="s">
        <v>2932</v>
      </c>
      <c r="D395">
        <v>23.223741889999999</v>
      </c>
      <c r="E395" t="s">
        <v>2929</v>
      </c>
      <c r="F395">
        <v>102.8124183</v>
      </c>
      <c r="G395" t="s">
        <v>2930</v>
      </c>
      <c r="H395">
        <v>26476</v>
      </c>
      <c r="I395" t="s">
        <v>2931</v>
      </c>
    </row>
    <row r="396" spans="1:9" x14ac:dyDescent="0.25">
      <c r="A396" t="s">
        <v>2928</v>
      </c>
      <c r="B396" t="s">
        <v>3141</v>
      </c>
      <c r="C396" t="s">
        <v>2932</v>
      </c>
      <c r="D396">
        <v>22.65360969</v>
      </c>
      <c r="E396" t="s">
        <v>2929</v>
      </c>
      <c r="F396">
        <v>103.96297389999999</v>
      </c>
      <c r="G396" t="s">
        <v>2930</v>
      </c>
      <c r="H396">
        <v>21217</v>
      </c>
      <c r="I396" t="s">
        <v>2931</v>
      </c>
    </row>
    <row r="397" spans="1:9" x14ac:dyDescent="0.25">
      <c r="A397" t="s">
        <v>2928</v>
      </c>
      <c r="B397" t="s">
        <v>3054</v>
      </c>
      <c r="C397" t="s">
        <v>2932</v>
      </c>
      <c r="D397">
        <v>25.211986589999999</v>
      </c>
      <c r="E397" t="s">
        <v>2929</v>
      </c>
      <c r="F397">
        <v>100.33302380000001</v>
      </c>
      <c r="G397" t="s">
        <v>2930</v>
      </c>
      <c r="H397">
        <v>46468</v>
      </c>
      <c r="I397" t="s">
        <v>2931</v>
      </c>
    </row>
    <row r="398" spans="1:9" x14ac:dyDescent="0.25">
      <c r="A398" t="s">
        <v>2928</v>
      </c>
      <c r="B398" t="s">
        <v>3142</v>
      </c>
      <c r="C398" t="s">
        <v>2932</v>
      </c>
      <c r="D398">
        <v>23.741301589999999</v>
      </c>
      <c r="E398" t="s">
        <v>2929</v>
      </c>
      <c r="F398">
        <v>102.86378449999999</v>
      </c>
      <c r="G398" t="s">
        <v>2930</v>
      </c>
      <c r="H398">
        <v>46696</v>
      </c>
      <c r="I398" t="s">
        <v>2931</v>
      </c>
    </row>
    <row r="399" spans="1:9" x14ac:dyDescent="0.25">
      <c r="A399" t="s">
        <v>2928</v>
      </c>
      <c r="B399" t="s">
        <v>3396</v>
      </c>
      <c r="C399" t="s">
        <v>2932</v>
      </c>
      <c r="D399">
        <v>23.69650154</v>
      </c>
      <c r="E399" t="s">
        <v>2929</v>
      </c>
      <c r="F399">
        <v>104.78180399999999</v>
      </c>
      <c r="G399" t="s">
        <v>2930</v>
      </c>
      <c r="H399">
        <v>50899</v>
      </c>
      <c r="I399" t="s">
        <v>2931</v>
      </c>
    </row>
    <row r="400" spans="1:9" x14ac:dyDescent="0.25">
      <c r="A400" t="s">
        <v>2928</v>
      </c>
      <c r="B400" t="s">
        <v>3297</v>
      </c>
      <c r="C400" t="s">
        <v>2932</v>
      </c>
      <c r="D400">
        <v>22.365020399999999</v>
      </c>
      <c r="E400" t="s">
        <v>2929</v>
      </c>
      <c r="F400">
        <v>99.560059800000005</v>
      </c>
      <c r="G400" t="s">
        <v>2930</v>
      </c>
      <c r="H400">
        <v>48028</v>
      </c>
      <c r="I400" t="s">
        <v>2931</v>
      </c>
    </row>
    <row r="401" spans="1:9" x14ac:dyDescent="0.25">
      <c r="A401" t="s">
        <v>2928</v>
      </c>
      <c r="B401" t="s">
        <v>3351</v>
      </c>
      <c r="C401" t="s">
        <v>2932</v>
      </c>
      <c r="D401">
        <v>25.245531079999999</v>
      </c>
      <c r="E401" t="s">
        <v>2929</v>
      </c>
      <c r="F401">
        <v>103.5730106</v>
      </c>
      <c r="G401" t="s">
        <v>2930</v>
      </c>
      <c r="H401">
        <v>12868</v>
      </c>
      <c r="I401" t="s">
        <v>2931</v>
      </c>
    </row>
    <row r="402" spans="1:9" x14ac:dyDescent="0.25">
      <c r="A402" t="s">
        <v>2928</v>
      </c>
      <c r="B402" t="s">
        <v>3298</v>
      </c>
      <c r="C402" t="s">
        <v>2932</v>
      </c>
      <c r="D402">
        <v>23.118082430000001</v>
      </c>
      <c r="E402" t="s">
        <v>2929</v>
      </c>
      <c r="F402">
        <v>101.032051</v>
      </c>
      <c r="G402" t="s">
        <v>2930</v>
      </c>
      <c r="H402">
        <v>76574</v>
      </c>
      <c r="I402" t="s">
        <v>2931</v>
      </c>
    </row>
    <row r="403" spans="1:9" x14ac:dyDescent="0.25">
      <c r="A403" t="s">
        <v>2928</v>
      </c>
      <c r="B403" t="s">
        <v>3500</v>
      </c>
      <c r="C403" t="s">
        <v>2932</v>
      </c>
      <c r="D403">
        <v>27.50818756</v>
      </c>
      <c r="E403" t="s">
        <v>2929</v>
      </c>
      <c r="F403">
        <v>104.57051269999999</v>
      </c>
      <c r="G403" t="s">
        <v>2930</v>
      </c>
      <c r="H403">
        <v>39112</v>
      </c>
      <c r="I403" t="s">
        <v>2931</v>
      </c>
    </row>
    <row r="404" spans="1:9" x14ac:dyDescent="0.25">
      <c r="A404" t="s">
        <v>2928</v>
      </c>
      <c r="B404" t="s">
        <v>3143</v>
      </c>
      <c r="C404" t="s">
        <v>2932</v>
      </c>
      <c r="D404">
        <v>23.119846370000001</v>
      </c>
      <c r="E404" t="s">
        <v>2929</v>
      </c>
      <c r="F404">
        <v>102.65378490000001</v>
      </c>
      <c r="G404" t="s">
        <v>2930</v>
      </c>
      <c r="H404">
        <v>28830</v>
      </c>
      <c r="I404" t="s">
        <v>2931</v>
      </c>
    </row>
    <row r="405" spans="1:9" x14ac:dyDescent="0.25">
      <c r="A405" t="s">
        <v>2928</v>
      </c>
      <c r="B405" t="s">
        <v>4987</v>
      </c>
      <c r="C405" t="s">
        <v>2932</v>
      </c>
      <c r="D405">
        <v>23.4577429</v>
      </c>
      <c r="E405" t="s">
        <v>2929</v>
      </c>
      <c r="F405">
        <v>102.47823</v>
      </c>
      <c r="G405" t="s">
        <v>2930</v>
      </c>
      <c r="H405">
        <v>28343</v>
      </c>
      <c r="I405" t="s">
        <v>2931</v>
      </c>
    </row>
    <row r="406" spans="1:9" x14ac:dyDescent="0.25">
      <c r="A406" t="s">
        <v>2928</v>
      </c>
      <c r="B406" t="s">
        <v>4988</v>
      </c>
      <c r="C406" t="s">
        <v>2932</v>
      </c>
      <c r="D406">
        <v>27.83879885</v>
      </c>
      <c r="E406" t="s">
        <v>2929</v>
      </c>
      <c r="F406">
        <v>104.4600988</v>
      </c>
      <c r="G406" t="s">
        <v>2930</v>
      </c>
      <c r="H406">
        <v>34711</v>
      </c>
      <c r="I406" t="s">
        <v>2931</v>
      </c>
    </row>
    <row r="407" spans="1:9" x14ac:dyDescent="0.25">
      <c r="A407" t="s">
        <v>2928</v>
      </c>
      <c r="B407" t="s">
        <v>3144</v>
      </c>
      <c r="C407" t="s">
        <v>2932</v>
      </c>
      <c r="D407">
        <v>23.02096203</v>
      </c>
      <c r="E407" t="s">
        <v>2929</v>
      </c>
      <c r="F407">
        <v>102.1637266</v>
      </c>
      <c r="G407" t="s">
        <v>2930</v>
      </c>
      <c r="H407">
        <v>33557</v>
      </c>
      <c r="I407" t="s">
        <v>2931</v>
      </c>
    </row>
    <row r="408" spans="1:9" x14ac:dyDescent="0.25">
      <c r="A408" t="s">
        <v>2928</v>
      </c>
      <c r="B408" t="s">
        <v>3185</v>
      </c>
      <c r="C408" t="s">
        <v>2932</v>
      </c>
      <c r="D408">
        <v>25.276597540000001</v>
      </c>
      <c r="E408" t="s">
        <v>2929</v>
      </c>
      <c r="F408">
        <v>103.1939677</v>
      </c>
      <c r="G408" t="s">
        <v>2930</v>
      </c>
      <c r="H408">
        <v>47724</v>
      </c>
      <c r="I408" t="s">
        <v>2931</v>
      </c>
    </row>
    <row r="409" spans="1:9" x14ac:dyDescent="0.25">
      <c r="A409" t="s">
        <v>2928</v>
      </c>
      <c r="B409" t="s">
        <v>3097</v>
      </c>
      <c r="C409" t="s">
        <v>2932</v>
      </c>
      <c r="D409">
        <v>23.91680594</v>
      </c>
      <c r="E409" t="s">
        <v>2929</v>
      </c>
      <c r="F409">
        <v>97.617728700000001</v>
      </c>
      <c r="G409" t="s">
        <v>2930</v>
      </c>
      <c r="H409">
        <v>15423</v>
      </c>
      <c r="I409" t="s">
        <v>2931</v>
      </c>
    </row>
    <row r="410" spans="1:9" x14ac:dyDescent="0.25">
      <c r="A410" t="s">
        <v>2928</v>
      </c>
      <c r="B410" t="s">
        <v>3098</v>
      </c>
      <c r="C410" t="s">
        <v>2932</v>
      </c>
      <c r="D410">
        <v>24.548078230000002</v>
      </c>
      <c r="E410" t="s">
        <v>2929</v>
      </c>
      <c r="F410">
        <v>97.843607289999994</v>
      </c>
      <c r="G410" t="s">
        <v>2930</v>
      </c>
      <c r="H410">
        <v>45270</v>
      </c>
      <c r="I410" t="s">
        <v>2931</v>
      </c>
    </row>
    <row r="411" spans="1:9" x14ac:dyDescent="0.25">
      <c r="A411" t="s">
        <v>2928</v>
      </c>
      <c r="B411" t="s">
        <v>3055</v>
      </c>
      <c r="C411" t="s">
        <v>2932</v>
      </c>
      <c r="D411">
        <v>25.921282739999999</v>
      </c>
      <c r="E411" t="s">
        <v>2929</v>
      </c>
      <c r="F411">
        <v>99.349449640000003</v>
      </c>
      <c r="G411" t="s">
        <v>2930</v>
      </c>
      <c r="H411">
        <v>26521</v>
      </c>
      <c r="I411" t="s">
        <v>2931</v>
      </c>
    </row>
    <row r="412" spans="1:9" x14ac:dyDescent="0.25">
      <c r="A412" t="s">
        <v>2928</v>
      </c>
      <c r="B412" t="s">
        <v>3299</v>
      </c>
      <c r="C412" t="s">
        <v>2932</v>
      </c>
      <c r="D412">
        <v>22.545325829999999</v>
      </c>
      <c r="E412" t="s">
        <v>2929</v>
      </c>
      <c r="F412">
        <v>100.33073659999999</v>
      </c>
      <c r="G412" t="s">
        <v>2930</v>
      </c>
      <c r="H412">
        <v>29703</v>
      </c>
      <c r="I412" t="s">
        <v>2931</v>
      </c>
    </row>
    <row r="413" spans="1:9" x14ac:dyDescent="0.25">
      <c r="A413" t="s">
        <v>2928</v>
      </c>
      <c r="B413" t="s">
        <v>3501</v>
      </c>
      <c r="C413" t="s">
        <v>2932</v>
      </c>
      <c r="D413">
        <v>27.548383260000001</v>
      </c>
      <c r="E413" t="s">
        <v>2929</v>
      </c>
      <c r="F413">
        <v>103.86458349999999</v>
      </c>
      <c r="G413" t="s">
        <v>2930</v>
      </c>
      <c r="H413">
        <v>19773</v>
      </c>
      <c r="I413" t="s">
        <v>2931</v>
      </c>
    </row>
    <row r="414" spans="1:9" x14ac:dyDescent="0.25">
      <c r="A414" t="s">
        <v>2928</v>
      </c>
      <c r="B414" t="s">
        <v>3352</v>
      </c>
      <c r="C414" t="s">
        <v>2932</v>
      </c>
      <c r="D414">
        <v>25.762748210000002</v>
      </c>
      <c r="E414" t="s">
        <v>2929</v>
      </c>
      <c r="F414">
        <v>103.8603729</v>
      </c>
      <c r="G414" t="s">
        <v>2930</v>
      </c>
      <c r="H414">
        <v>76483</v>
      </c>
      <c r="I414" t="s">
        <v>2931</v>
      </c>
    </row>
    <row r="415" spans="1:9" x14ac:dyDescent="0.25">
      <c r="A415" t="s">
        <v>2928</v>
      </c>
      <c r="B415" t="s">
        <v>3441</v>
      </c>
      <c r="C415" t="s">
        <v>2932</v>
      </c>
      <c r="D415">
        <v>24.209367610000001</v>
      </c>
      <c r="E415" t="s">
        <v>2929</v>
      </c>
      <c r="F415">
        <v>103.0822447</v>
      </c>
      <c r="G415" t="s">
        <v>2930</v>
      </c>
      <c r="H415">
        <v>53677</v>
      </c>
      <c r="I415" t="s">
        <v>2931</v>
      </c>
    </row>
    <row r="416" spans="1:9" x14ac:dyDescent="0.25">
      <c r="A416" t="s">
        <v>2928</v>
      </c>
      <c r="B416" t="s">
        <v>3145</v>
      </c>
      <c r="C416" t="s">
        <v>2932</v>
      </c>
      <c r="D416">
        <v>23.9349679</v>
      </c>
      <c r="E416" t="s">
        <v>2929</v>
      </c>
      <c r="F416">
        <v>103.39871340000001</v>
      </c>
      <c r="G416" t="s">
        <v>2930</v>
      </c>
      <c r="H416">
        <v>47964</v>
      </c>
      <c r="I416" t="s">
        <v>2931</v>
      </c>
    </row>
    <row r="417" spans="1:9" x14ac:dyDescent="0.25">
      <c r="A417" t="s">
        <v>2928</v>
      </c>
      <c r="B417" t="s">
        <v>3213</v>
      </c>
      <c r="C417" t="s">
        <v>2932</v>
      </c>
      <c r="D417">
        <v>26.103627190000001</v>
      </c>
      <c r="E417" t="s">
        <v>2929</v>
      </c>
      <c r="F417">
        <v>100.58498</v>
      </c>
      <c r="G417" t="s">
        <v>2930</v>
      </c>
      <c r="H417">
        <v>24575</v>
      </c>
      <c r="I417" t="s">
        <v>2931</v>
      </c>
    </row>
    <row r="418" spans="1:9" x14ac:dyDescent="0.25">
      <c r="A418" t="s">
        <v>2928</v>
      </c>
      <c r="B418" t="s">
        <v>3261</v>
      </c>
      <c r="C418" t="s">
        <v>2932</v>
      </c>
      <c r="D418">
        <v>26.051202150000002</v>
      </c>
      <c r="E418" t="s">
        <v>2929</v>
      </c>
      <c r="F418">
        <v>98.638652660000005</v>
      </c>
      <c r="G418" t="s">
        <v>2930</v>
      </c>
      <c r="H418">
        <v>3246</v>
      </c>
      <c r="I418" t="s">
        <v>2931</v>
      </c>
    </row>
    <row r="419" spans="1:9" x14ac:dyDescent="0.25">
      <c r="A419" t="s">
        <v>2928</v>
      </c>
      <c r="B419" t="s">
        <v>3397</v>
      </c>
      <c r="C419" t="s">
        <v>2932</v>
      </c>
      <c r="D419">
        <v>23.22672901</v>
      </c>
      <c r="E419" t="s">
        <v>2929</v>
      </c>
      <c r="F419">
        <v>104.12021849999999</v>
      </c>
      <c r="G419" t="s">
        <v>2930</v>
      </c>
      <c r="H419">
        <v>31128</v>
      </c>
      <c r="I419" t="s">
        <v>2931</v>
      </c>
    </row>
    <row r="420" spans="1:9" x14ac:dyDescent="0.25">
      <c r="A420" t="s">
        <v>2928</v>
      </c>
      <c r="B420" t="s">
        <v>3056</v>
      </c>
      <c r="C420" t="s">
        <v>2932</v>
      </c>
      <c r="D420">
        <v>25.993878049999999</v>
      </c>
      <c r="E420" t="s">
        <v>2929</v>
      </c>
      <c r="F420">
        <v>100.78626370000001</v>
      </c>
      <c r="G420" t="s">
        <v>2930</v>
      </c>
      <c r="H420">
        <v>35135</v>
      </c>
      <c r="I420" t="s">
        <v>2931</v>
      </c>
    </row>
    <row r="421" spans="1:9" x14ac:dyDescent="0.25">
      <c r="A421" t="s">
        <v>2928</v>
      </c>
      <c r="B421" t="s">
        <v>3146</v>
      </c>
      <c r="C421" t="s">
        <v>2932</v>
      </c>
      <c r="D421">
        <v>22.803183820000001</v>
      </c>
      <c r="E421" t="s">
        <v>2929</v>
      </c>
      <c r="F421">
        <v>102.4739441</v>
      </c>
      <c r="G421" t="s">
        <v>2930</v>
      </c>
      <c r="H421">
        <v>29748</v>
      </c>
      <c r="I421" t="s">
        <v>2931</v>
      </c>
    </row>
    <row r="422" spans="1:9" x14ac:dyDescent="0.25">
      <c r="A422" t="s">
        <v>2928</v>
      </c>
      <c r="B422" t="s">
        <v>3057</v>
      </c>
      <c r="C422" t="s">
        <v>2932</v>
      </c>
      <c r="D422">
        <v>25.58738361</v>
      </c>
      <c r="E422" t="s">
        <v>2929</v>
      </c>
      <c r="F422">
        <v>100.040352</v>
      </c>
      <c r="G422" t="s">
        <v>2930</v>
      </c>
      <c r="H422">
        <v>8494</v>
      </c>
      <c r="I422" t="s">
        <v>2931</v>
      </c>
    </row>
    <row r="423" spans="1:9" x14ac:dyDescent="0.25">
      <c r="A423" t="s">
        <v>2928</v>
      </c>
      <c r="B423" t="s">
        <v>3502</v>
      </c>
      <c r="C423" t="s">
        <v>2932</v>
      </c>
      <c r="D423">
        <v>27.461615370000001</v>
      </c>
      <c r="E423" t="s">
        <v>2929</v>
      </c>
      <c r="F423">
        <v>104.642247</v>
      </c>
      <c r="G423" t="s">
        <v>2930</v>
      </c>
      <c r="H423">
        <v>39280</v>
      </c>
      <c r="I423" t="s">
        <v>2931</v>
      </c>
    </row>
    <row r="424" spans="1:9" x14ac:dyDescent="0.25">
      <c r="A424" t="s">
        <v>2928</v>
      </c>
      <c r="B424" t="s">
        <v>3099</v>
      </c>
      <c r="C424" t="s">
        <v>2932</v>
      </c>
      <c r="D424">
        <v>24.756372720000002</v>
      </c>
      <c r="E424" t="s">
        <v>2929</v>
      </c>
      <c r="F424">
        <v>97.9372051</v>
      </c>
      <c r="G424" t="s">
        <v>2930</v>
      </c>
      <c r="H424">
        <v>80481</v>
      </c>
      <c r="I424" t="s">
        <v>2931</v>
      </c>
    </row>
    <row r="425" spans="1:9" x14ac:dyDescent="0.25">
      <c r="A425" t="s">
        <v>2928</v>
      </c>
      <c r="B425" t="s">
        <v>3398</v>
      </c>
      <c r="C425" t="s">
        <v>2932</v>
      </c>
      <c r="D425">
        <v>23.77198503</v>
      </c>
      <c r="E425" t="s">
        <v>2929</v>
      </c>
      <c r="F425">
        <v>103.7726732</v>
      </c>
      <c r="G425" t="s">
        <v>2930</v>
      </c>
      <c r="H425">
        <v>88103</v>
      </c>
      <c r="I425" t="s">
        <v>2931</v>
      </c>
    </row>
    <row r="426" spans="1:9" x14ac:dyDescent="0.25">
      <c r="A426" t="s">
        <v>2928</v>
      </c>
      <c r="B426" t="s">
        <v>3503</v>
      </c>
      <c r="C426" t="s">
        <v>2932</v>
      </c>
      <c r="D426">
        <v>27.42296103</v>
      </c>
      <c r="E426" t="s">
        <v>2929</v>
      </c>
      <c r="F426">
        <v>105.0046135</v>
      </c>
      <c r="G426" t="s">
        <v>2930</v>
      </c>
      <c r="H426">
        <v>114216</v>
      </c>
      <c r="I426" t="s">
        <v>2931</v>
      </c>
    </row>
    <row r="427" spans="1:9" x14ac:dyDescent="0.25">
      <c r="A427" t="s">
        <v>2928</v>
      </c>
      <c r="B427" t="s">
        <v>3399</v>
      </c>
      <c r="C427" t="s">
        <v>2932</v>
      </c>
      <c r="D427">
        <v>23.139910520000001</v>
      </c>
      <c r="E427" t="s">
        <v>2929</v>
      </c>
      <c r="F427">
        <v>104.3698404</v>
      </c>
      <c r="G427" t="s">
        <v>2930</v>
      </c>
      <c r="H427">
        <v>21953</v>
      </c>
      <c r="I427" t="s">
        <v>2931</v>
      </c>
    </row>
    <row r="428" spans="1:9" x14ac:dyDescent="0.25">
      <c r="A428" t="s">
        <v>2928</v>
      </c>
      <c r="B428" t="s">
        <v>3504</v>
      </c>
      <c r="C428" t="s">
        <v>2932</v>
      </c>
      <c r="D428">
        <v>27.667082140000002</v>
      </c>
      <c r="E428" t="s">
        <v>2929</v>
      </c>
      <c r="F428">
        <v>105.2476376</v>
      </c>
      <c r="G428" t="s">
        <v>2930</v>
      </c>
      <c r="H428">
        <v>62216</v>
      </c>
      <c r="I428" t="s">
        <v>2931</v>
      </c>
    </row>
    <row r="429" spans="1:9" x14ac:dyDescent="0.25">
      <c r="A429" t="s">
        <v>2928</v>
      </c>
      <c r="B429" t="s">
        <v>3505</v>
      </c>
      <c r="C429" t="s">
        <v>2932</v>
      </c>
      <c r="D429">
        <v>28.295569400000002</v>
      </c>
      <c r="E429" t="s">
        <v>2929</v>
      </c>
      <c r="F429">
        <v>104.1202665</v>
      </c>
      <c r="G429" t="s">
        <v>2930</v>
      </c>
      <c r="H429">
        <v>61303</v>
      </c>
      <c r="I429" t="s">
        <v>2931</v>
      </c>
    </row>
    <row r="430" spans="1:9" x14ac:dyDescent="0.25">
      <c r="A430" t="s">
        <v>2928</v>
      </c>
      <c r="B430" t="s">
        <v>3058</v>
      </c>
      <c r="C430" t="s">
        <v>2932</v>
      </c>
      <c r="D430">
        <v>25.347064769999999</v>
      </c>
      <c r="E430" t="s">
        <v>2929</v>
      </c>
      <c r="F430">
        <v>100.9221659</v>
      </c>
      <c r="G430" t="s">
        <v>2930</v>
      </c>
      <c r="H430">
        <v>25480</v>
      </c>
      <c r="I430" t="s">
        <v>2931</v>
      </c>
    </row>
    <row r="431" spans="1:9" x14ac:dyDescent="0.25">
      <c r="A431" t="s">
        <v>2928</v>
      </c>
      <c r="B431" t="s">
        <v>2955</v>
      </c>
      <c r="C431" t="s">
        <v>2932</v>
      </c>
      <c r="D431">
        <v>25.008729150000001</v>
      </c>
      <c r="E431" t="s">
        <v>2929</v>
      </c>
      <c r="F431">
        <v>99.004416219999996</v>
      </c>
      <c r="G431" t="s">
        <v>2930</v>
      </c>
      <c r="H431">
        <v>52676</v>
      </c>
      <c r="I431" t="s">
        <v>2931</v>
      </c>
    </row>
    <row r="432" spans="1:9" x14ac:dyDescent="0.25">
      <c r="A432" t="s">
        <v>2928</v>
      </c>
      <c r="B432" t="s">
        <v>3424</v>
      </c>
      <c r="C432" t="s">
        <v>2932</v>
      </c>
      <c r="D432">
        <v>22.459899830000001</v>
      </c>
      <c r="E432" t="s">
        <v>2929</v>
      </c>
      <c r="F432">
        <v>101.0685178</v>
      </c>
      <c r="G432" t="s">
        <v>2930</v>
      </c>
      <c r="H432">
        <v>28244</v>
      </c>
      <c r="I432" t="s">
        <v>2931</v>
      </c>
    </row>
    <row r="433" spans="1:9" x14ac:dyDescent="0.25">
      <c r="A433" t="s">
        <v>2928</v>
      </c>
      <c r="B433" t="s">
        <v>2998</v>
      </c>
      <c r="C433" t="s">
        <v>2932</v>
      </c>
      <c r="D433">
        <v>25.505461220000001</v>
      </c>
      <c r="E433" t="s">
        <v>2929</v>
      </c>
      <c r="F433">
        <v>101.3919523</v>
      </c>
      <c r="G433" t="s">
        <v>2930</v>
      </c>
      <c r="H433">
        <v>17009</v>
      </c>
      <c r="I433" t="s">
        <v>2931</v>
      </c>
    </row>
    <row r="434" spans="1:9" x14ac:dyDescent="0.25">
      <c r="A434" t="s">
        <v>2928</v>
      </c>
      <c r="B434" t="s">
        <v>3442</v>
      </c>
      <c r="C434" t="s">
        <v>2932</v>
      </c>
      <c r="D434">
        <v>24.347951869999999</v>
      </c>
      <c r="E434" t="s">
        <v>2929</v>
      </c>
      <c r="F434">
        <v>102.71571</v>
      </c>
      <c r="G434" t="s">
        <v>2930</v>
      </c>
      <c r="H434">
        <v>48166</v>
      </c>
      <c r="I434" t="s">
        <v>2931</v>
      </c>
    </row>
    <row r="435" spans="1:9" x14ac:dyDescent="0.25">
      <c r="A435" t="s">
        <v>2928</v>
      </c>
      <c r="B435" t="s">
        <v>3059</v>
      </c>
      <c r="C435" t="s">
        <v>2932</v>
      </c>
      <c r="D435">
        <v>25.65433195</v>
      </c>
      <c r="E435" t="s">
        <v>2929</v>
      </c>
      <c r="F435">
        <v>100.6324195</v>
      </c>
      <c r="G435" t="s">
        <v>2930</v>
      </c>
      <c r="H435">
        <v>21674</v>
      </c>
      <c r="I435" t="s">
        <v>2931</v>
      </c>
    </row>
    <row r="436" spans="1:9" x14ac:dyDescent="0.25">
      <c r="A436" t="s">
        <v>2928</v>
      </c>
      <c r="B436" t="s">
        <v>3060</v>
      </c>
      <c r="C436" t="s">
        <v>2932</v>
      </c>
      <c r="D436">
        <v>26.133002080000001</v>
      </c>
      <c r="E436" t="s">
        <v>2929</v>
      </c>
      <c r="F436">
        <v>99.704200040000003</v>
      </c>
      <c r="G436" t="s">
        <v>2930</v>
      </c>
      <c r="H436">
        <v>20406</v>
      </c>
      <c r="I436" t="s">
        <v>2931</v>
      </c>
    </row>
    <row r="437" spans="1:9" x14ac:dyDescent="0.25">
      <c r="A437" t="s">
        <v>2928</v>
      </c>
      <c r="B437" t="s">
        <v>3506</v>
      </c>
      <c r="C437" t="s">
        <v>2932</v>
      </c>
      <c r="D437">
        <v>27.61690029</v>
      </c>
      <c r="E437" t="s">
        <v>2929</v>
      </c>
      <c r="F437">
        <v>104.2202652</v>
      </c>
      <c r="G437" t="s">
        <v>2930</v>
      </c>
      <c r="H437">
        <v>40666</v>
      </c>
      <c r="I437" t="s">
        <v>2931</v>
      </c>
    </row>
    <row r="438" spans="1:9" x14ac:dyDescent="0.25">
      <c r="A438" t="s">
        <v>2928</v>
      </c>
      <c r="B438" t="s">
        <v>3214</v>
      </c>
      <c r="C438" t="s">
        <v>2932</v>
      </c>
      <c r="D438">
        <v>26.705186990000001</v>
      </c>
      <c r="E438" t="s">
        <v>2929</v>
      </c>
      <c r="F438">
        <v>100.23455420000001</v>
      </c>
      <c r="G438" t="s">
        <v>2930</v>
      </c>
      <c r="H438">
        <v>18316</v>
      </c>
      <c r="I438" t="s">
        <v>2931</v>
      </c>
    </row>
    <row r="439" spans="1:9" x14ac:dyDescent="0.25">
      <c r="A439" t="s">
        <v>2928</v>
      </c>
      <c r="B439" t="s">
        <v>3215</v>
      </c>
      <c r="C439" t="s">
        <v>2932</v>
      </c>
      <c r="D439">
        <v>26.33237707</v>
      </c>
      <c r="E439" t="s">
        <v>2929</v>
      </c>
      <c r="F439">
        <v>100.6273557</v>
      </c>
      <c r="G439" t="s">
        <v>2930</v>
      </c>
      <c r="H439">
        <v>36823</v>
      </c>
      <c r="I439" t="s">
        <v>2931</v>
      </c>
    </row>
    <row r="440" spans="1:9" x14ac:dyDescent="0.25">
      <c r="A440" t="s">
        <v>2928</v>
      </c>
      <c r="B440" t="s">
        <v>2999</v>
      </c>
      <c r="C440" t="s">
        <v>2932</v>
      </c>
      <c r="D440">
        <v>25.13492377</v>
      </c>
      <c r="E440" t="s">
        <v>2929</v>
      </c>
      <c r="F440">
        <v>102.2893849</v>
      </c>
      <c r="G440" t="s">
        <v>2930</v>
      </c>
      <c r="H440">
        <v>26149</v>
      </c>
      <c r="I440" t="s">
        <v>2931</v>
      </c>
    </row>
    <row r="441" spans="1:9" x14ac:dyDescent="0.25">
      <c r="A441" t="s">
        <v>2928</v>
      </c>
      <c r="B441" t="s">
        <v>4989</v>
      </c>
      <c r="C441" t="s">
        <v>2932</v>
      </c>
      <c r="D441">
        <v>23.526379559999999</v>
      </c>
      <c r="E441" t="s">
        <v>2929</v>
      </c>
      <c r="F441">
        <v>102.6923702</v>
      </c>
      <c r="G441" t="s">
        <v>2930</v>
      </c>
      <c r="H441">
        <v>14716</v>
      </c>
      <c r="I441" t="s">
        <v>2931</v>
      </c>
    </row>
    <row r="442" spans="1:9" x14ac:dyDescent="0.25">
      <c r="A442" t="s">
        <v>2928</v>
      </c>
      <c r="B442" t="s">
        <v>4990</v>
      </c>
      <c r="C442" t="s">
        <v>2932</v>
      </c>
      <c r="D442">
        <v>24.443731419999999</v>
      </c>
      <c r="E442" t="s">
        <v>2929</v>
      </c>
      <c r="F442">
        <v>102.9932292</v>
      </c>
      <c r="G442" t="s">
        <v>2930</v>
      </c>
      <c r="H442">
        <v>55059</v>
      </c>
      <c r="I442" t="s">
        <v>2931</v>
      </c>
    </row>
    <row r="443" spans="1:9" x14ac:dyDescent="0.25">
      <c r="A443" t="s">
        <v>2928</v>
      </c>
      <c r="B443" t="s">
        <v>3186</v>
      </c>
      <c r="C443" t="s">
        <v>2932</v>
      </c>
      <c r="D443">
        <v>25.536224359999999</v>
      </c>
      <c r="E443" t="s">
        <v>2929</v>
      </c>
      <c r="F443">
        <v>103.36571790000001</v>
      </c>
      <c r="G443" t="s">
        <v>2930</v>
      </c>
      <c r="H443">
        <v>16462</v>
      </c>
      <c r="I443" t="s">
        <v>2931</v>
      </c>
    </row>
    <row r="444" spans="1:9" x14ac:dyDescent="0.25">
      <c r="A444" t="s">
        <v>2928</v>
      </c>
      <c r="B444" t="s">
        <v>3147</v>
      </c>
      <c r="C444" t="s">
        <v>2932</v>
      </c>
      <c r="D444">
        <v>23.937135609999999</v>
      </c>
      <c r="E444" t="s">
        <v>2929</v>
      </c>
      <c r="F444">
        <v>102.7963357</v>
      </c>
      <c r="G444" t="s">
        <v>2930</v>
      </c>
      <c r="H444">
        <v>71402</v>
      </c>
      <c r="I444" t="s">
        <v>2931</v>
      </c>
    </row>
    <row r="445" spans="1:9" x14ac:dyDescent="0.25">
      <c r="A445" t="s">
        <v>2928</v>
      </c>
      <c r="B445" t="s">
        <v>2956</v>
      </c>
      <c r="C445" t="s">
        <v>2932</v>
      </c>
      <c r="D445">
        <v>25.223205740000001</v>
      </c>
      <c r="E445" t="s">
        <v>2929</v>
      </c>
      <c r="F445">
        <v>98.630321870000003</v>
      </c>
      <c r="G445" t="s">
        <v>2930</v>
      </c>
      <c r="H445">
        <v>42380</v>
      </c>
      <c r="I445" t="s">
        <v>2931</v>
      </c>
    </row>
    <row r="446" spans="1:9" x14ac:dyDescent="0.25">
      <c r="A446" t="s">
        <v>2928</v>
      </c>
      <c r="B446" t="s">
        <v>3300</v>
      </c>
      <c r="C446" t="s">
        <v>2932</v>
      </c>
      <c r="D446">
        <v>22.540714850000001</v>
      </c>
      <c r="E446" t="s">
        <v>2929</v>
      </c>
      <c r="F446">
        <v>102.1519091</v>
      </c>
      <c r="G446" t="s">
        <v>2930</v>
      </c>
      <c r="H446">
        <v>16811</v>
      </c>
      <c r="I446" t="s">
        <v>2931</v>
      </c>
    </row>
    <row r="447" spans="1:9" x14ac:dyDescent="0.25">
      <c r="A447" t="s">
        <v>2928</v>
      </c>
      <c r="B447" t="s">
        <v>4991</v>
      </c>
      <c r="C447" t="s">
        <v>2932</v>
      </c>
      <c r="D447">
        <v>24.785284799999999</v>
      </c>
      <c r="E447" t="s">
        <v>2929</v>
      </c>
      <c r="F447">
        <v>99.191602900000007</v>
      </c>
      <c r="G447" t="s">
        <v>2930</v>
      </c>
      <c r="H447">
        <v>47862</v>
      </c>
      <c r="I447" t="s">
        <v>2931</v>
      </c>
    </row>
    <row r="448" spans="1:9" x14ac:dyDescent="0.25">
      <c r="A448" t="s">
        <v>2928</v>
      </c>
      <c r="B448" t="s">
        <v>4992</v>
      </c>
      <c r="C448" t="s">
        <v>2932</v>
      </c>
      <c r="D448">
        <v>26.421029520000001</v>
      </c>
      <c r="E448" t="s">
        <v>2929</v>
      </c>
      <c r="F448">
        <v>101.0495459</v>
      </c>
      <c r="G448" t="s">
        <v>2930</v>
      </c>
      <c r="H448">
        <v>24903</v>
      </c>
      <c r="I448" t="s">
        <v>2931</v>
      </c>
    </row>
    <row r="449" spans="1:9" x14ac:dyDescent="0.25">
      <c r="A449" t="s">
        <v>2928</v>
      </c>
      <c r="B449" t="s">
        <v>4993</v>
      </c>
      <c r="C449" t="s">
        <v>2932</v>
      </c>
      <c r="D449">
        <v>22.94114703</v>
      </c>
      <c r="E449" t="s">
        <v>2929</v>
      </c>
      <c r="F449">
        <v>104.28194310000001</v>
      </c>
      <c r="G449" t="s">
        <v>2930</v>
      </c>
      <c r="H449">
        <v>30290</v>
      </c>
      <c r="I449" t="s">
        <v>2931</v>
      </c>
    </row>
    <row r="450" spans="1:9" x14ac:dyDescent="0.25">
      <c r="A450" t="s">
        <v>2928</v>
      </c>
      <c r="B450" t="s">
        <v>3000</v>
      </c>
      <c r="C450" t="s">
        <v>2932</v>
      </c>
      <c r="D450">
        <v>25.401326279999999</v>
      </c>
      <c r="E450" t="s">
        <v>2929</v>
      </c>
      <c r="F450">
        <v>102.2689747</v>
      </c>
      <c r="G450" t="s">
        <v>2930</v>
      </c>
      <c r="H450">
        <v>33749</v>
      </c>
      <c r="I450" t="s">
        <v>2931</v>
      </c>
    </row>
    <row r="451" spans="1:9" x14ac:dyDescent="0.25">
      <c r="A451" t="s">
        <v>2928</v>
      </c>
      <c r="B451" t="s">
        <v>3353</v>
      </c>
      <c r="C451" t="s">
        <v>2932</v>
      </c>
      <c r="D451">
        <v>26.053511690000001</v>
      </c>
      <c r="E451" t="s">
        <v>2929</v>
      </c>
      <c r="F451">
        <v>103.7967234</v>
      </c>
      <c r="G451" t="s">
        <v>2930</v>
      </c>
      <c r="H451">
        <v>76135</v>
      </c>
      <c r="I451" t="s">
        <v>2931</v>
      </c>
    </row>
    <row r="452" spans="1:9" x14ac:dyDescent="0.25">
      <c r="A452" t="s">
        <v>2928</v>
      </c>
      <c r="B452" t="s">
        <v>3216</v>
      </c>
      <c r="C452" t="s">
        <v>2932</v>
      </c>
      <c r="D452">
        <v>26.465165939999999</v>
      </c>
      <c r="E452" t="s">
        <v>2929</v>
      </c>
      <c r="F452">
        <v>101.252809</v>
      </c>
      <c r="G452" t="s">
        <v>2930</v>
      </c>
      <c r="H452">
        <v>32291</v>
      </c>
      <c r="I452" t="s">
        <v>2931</v>
      </c>
    </row>
    <row r="453" spans="1:9" x14ac:dyDescent="0.25">
      <c r="A453" t="s">
        <v>2928</v>
      </c>
      <c r="B453" t="s">
        <v>4994</v>
      </c>
      <c r="C453" t="s">
        <v>2932</v>
      </c>
      <c r="D453">
        <v>25.908679490000001</v>
      </c>
      <c r="E453" t="s">
        <v>2929</v>
      </c>
      <c r="F453">
        <v>100.9835453</v>
      </c>
      <c r="G453" t="s">
        <v>2930</v>
      </c>
      <c r="H453">
        <v>13223</v>
      </c>
      <c r="I453" t="s">
        <v>2931</v>
      </c>
    </row>
    <row r="454" spans="1:9" x14ac:dyDescent="0.25">
      <c r="A454" t="s">
        <v>2928</v>
      </c>
      <c r="B454" t="s">
        <v>4995</v>
      </c>
      <c r="C454" t="s">
        <v>2932</v>
      </c>
      <c r="D454">
        <v>24.4358231</v>
      </c>
      <c r="E454" t="s">
        <v>2929</v>
      </c>
      <c r="F454">
        <v>99.867908900000003</v>
      </c>
      <c r="G454" t="s">
        <v>2930</v>
      </c>
      <c r="H454">
        <v>28708</v>
      </c>
      <c r="I454" t="s">
        <v>2931</v>
      </c>
    </row>
    <row r="455" spans="1:9" x14ac:dyDescent="0.25">
      <c r="A455" t="s">
        <v>2928</v>
      </c>
      <c r="B455" t="s">
        <v>4996</v>
      </c>
      <c r="C455" t="s">
        <v>2932</v>
      </c>
      <c r="D455">
        <v>25.03207652</v>
      </c>
      <c r="E455" t="s">
        <v>2929</v>
      </c>
      <c r="F455">
        <v>103.7694118</v>
      </c>
      <c r="G455" t="s">
        <v>2930</v>
      </c>
      <c r="H455">
        <v>107623</v>
      </c>
      <c r="I455" t="s">
        <v>2931</v>
      </c>
    </row>
    <row r="456" spans="1:9" x14ac:dyDescent="0.25">
      <c r="A456" t="s">
        <v>2928</v>
      </c>
      <c r="B456" t="s">
        <v>3217</v>
      </c>
      <c r="C456" t="s">
        <v>2932</v>
      </c>
      <c r="D456">
        <v>26.748503150000001</v>
      </c>
      <c r="E456" t="s">
        <v>2929</v>
      </c>
      <c r="F456">
        <v>100.6630723</v>
      </c>
      <c r="G456" t="s">
        <v>2930</v>
      </c>
      <c r="H456">
        <v>56345</v>
      </c>
      <c r="I456" t="s">
        <v>2931</v>
      </c>
    </row>
    <row r="457" spans="1:9" x14ac:dyDescent="0.25">
      <c r="A457" t="s">
        <v>2928</v>
      </c>
      <c r="B457" t="s">
        <v>3187</v>
      </c>
      <c r="C457" t="s">
        <v>2932</v>
      </c>
      <c r="D457">
        <v>25.330230650000001</v>
      </c>
      <c r="E457" t="s">
        <v>2929</v>
      </c>
      <c r="F457">
        <v>102.6622619</v>
      </c>
      <c r="G457" t="s">
        <v>2930</v>
      </c>
      <c r="H457">
        <v>10269</v>
      </c>
      <c r="I457" t="s">
        <v>2931</v>
      </c>
    </row>
    <row r="458" spans="1:9" x14ac:dyDescent="0.25">
      <c r="A458" t="s">
        <v>2928</v>
      </c>
      <c r="B458" t="s">
        <v>3001</v>
      </c>
      <c r="C458" t="s">
        <v>2932</v>
      </c>
      <c r="D458">
        <v>25.014936209999998</v>
      </c>
      <c r="E458" t="s">
        <v>2929</v>
      </c>
      <c r="F458">
        <v>101.051042</v>
      </c>
      <c r="G458" t="s">
        <v>2930</v>
      </c>
      <c r="H458">
        <v>22424</v>
      </c>
      <c r="I458" t="s">
        <v>2931</v>
      </c>
    </row>
    <row r="459" spans="1:9" x14ac:dyDescent="0.25">
      <c r="A459" t="s">
        <v>2928</v>
      </c>
      <c r="B459" t="s">
        <v>3061</v>
      </c>
      <c r="C459" t="s">
        <v>2932</v>
      </c>
      <c r="D459">
        <v>26.19421891</v>
      </c>
      <c r="E459" t="s">
        <v>2929</v>
      </c>
      <c r="F459">
        <v>100.0323295</v>
      </c>
      <c r="G459" t="s">
        <v>2930</v>
      </c>
      <c r="H459">
        <v>36048</v>
      </c>
      <c r="I459" t="s">
        <v>2931</v>
      </c>
    </row>
    <row r="460" spans="1:9" x14ac:dyDescent="0.25">
      <c r="A460" t="s">
        <v>2928</v>
      </c>
      <c r="B460" t="s">
        <v>3188</v>
      </c>
      <c r="C460" t="s">
        <v>2932</v>
      </c>
      <c r="D460">
        <v>26.007620200000002</v>
      </c>
      <c r="E460" t="s">
        <v>2929</v>
      </c>
      <c r="F460">
        <v>102.50664690000001</v>
      </c>
      <c r="G460" t="s">
        <v>2930</v>
      </c>
      <c r="H460">
        <v>38043</v>
      </c>
      <c r="I460" t="s">
        <v>2931</v>
      </c>
    </row>
    <row r="461" spans="1:9" x14ac:dyDescent="0.25">
      <c r="A461" t="s">
        <v>2928</v>
      </c>
      <c r="B461" t="s">
        <v>3507</v>
      </c>
      <c r="C461" t="s">
        <v>2932</v>
      </c>
      <c r="D461">
        <v>27.48493779</v>
      </c>
      <c r="E461" t="s">
        <v>2929</v>
      </c>
      <c r="F461">
        <v>103.61077090000001</v>
      </c>
      <c r="G461" t="s">
        <v>2930</v>
      </c>
      <c r="H461">
        <v>50986</v>
      </c>
      <c r="I461" t="s">
        <v>2931</v>
      </c>
    </row>
    <row r="462" spans="1:9" x14ac:dyDescent="0.25">
      <c r="A462" t="s">
        <v>2928</v>
      </c>
      <c r="B462" t="s">
        <v>3062</v>
      </c>
      <c r="C462" t="s">
        <v>2932</v>
      </c>
      <c r="D462">
        <v>25.442547959999999</v>
      </c>
      <c r="E462" t="s">
        <v>2929</v>
      </c>
      <c r="F462">
        <v>100.626589</v>
      </c>
      <c r="G462" t="s">
        <v>2930</v>
      </c>
      <c r="H462">
        <v>30843</v>
      </c>
      <c r="I462" t="s">
        <v>2931</v>
      </c>
    </row>
    <row r="463" spans="1:9" x14ac:dyDescent="0.25">
      <c r="A463" t="s">
        <v>2928</v>
      </c>
      <c r="B463" t="s">
        <v>3063</v>
      </c>
      <c r="C463" t="s">
        <v>2932</v>
      </c>
      <c r="D463">
        <v>25.990944549999998</v>
      </c>
      <c r="E463" t="s">
        <v>2929</v>
      </c>
      <c r="F463">
        <v>100.146688</v>
      </c>
      <c r="G463" t="s">
        <v>2930</v>
      </c>
      <c r="H463">
        <v>38922</v>
      </c>
      <c r="I463" t="s">
        <v>2931</v>
      </c>
    </row>
    <row r="464" spans="1:9" x14ac:dyDescent="0.25">
      <c r="A464" t="s">
        <v>2928</v>
      </c>
      <c r="B464" t="s">
        <v>3262</v>
      </c>
      <c r="C464" t="s">
        <v>2932</v>
      </c>
      <c r="D464">
        <v>25.687398429999998</v>
      </c>
      <c r="E464" t="s">
        <v>2929</v>
      </c>
      <c r="F464">
        <v>98.811359839999994</v>
      </c>
      <c r="G464" t="s">
        <v>2930</v>
      </c>
      <c r="H464">
        <v>27525</v>
      </c>
      <c r="I464" t="s">
        <v>2931</v>
      </c>
    </row>
    <row r="465" spans="1:9" x14ac:dyDescent="0.25">
      <c r="A465" t="s">
        <v>2928</v>
      </c>
      <c r="B465" t="s">
        <v>3263</v>
      </c>
      <c r="C465" t="s">
        <v>2932</v>
      </c>
      <c r="D465">
        <v>26.903275539999999</v>
      </c>
      <c r="E465" t="s">
        <v>2929</v>
      </c>
      <c r="F465">
        <v>98.854926370000001</v>
      </c>
      <c r="G465" t="s">
        <v>2930</v>
      </c>
      <c r="H465">
        <v>30129</v>
      </c>
      <c r="I465" t="s">
        <v>2931</v>
      </c>
    </row>
    <row r="466" spans="1:9" x14ac:dyDescent="0.25">
      <c r="A466" t="s">
        <v>2928</v>
      </c>
      <c r="B466" t="s">
        <v>3189</v>
      </c>
      <c r="C466" t="s">
        <v>2932</v>
      </c>
      <c r="D466">
        <v>24.648622119999999</v>
      </c>
      <c r="E466" t="s">
        <v>2929</v>
      </c>
      <c r="F466">
        <v>102.6806029</v>
      </c>
      <c r="G466" t="s">
        <v>2930</v>
      </c>
      <c r="H466">
        <v>33287</v>
      </c>
      <c r="I466" t="s">
        <v>2931</v>
      </c>
    </row>
    <row r="467" spans="1:9" x14ac:dyDescent="0.25">
      <c r="A467" t="s">
        <v>2928</v>
      </c>
      <c r="B467" t="s">
        <v>3301</v>
      </c>
      <c r="C467" t="s">
        <v>2932</v>
      </c>
      <c r="D467">
        <v>23.05749132</v>
      </c>
      <c r="E467" t="s">
        <v>2929</v>
      </c>
      <c r="F467">
        <v>99.848959339999993</v>
      </c>
      <c r="G467" t="s">
        <v>2930</v>
      </c>
      <c r="H467">
        <v>44918</v>
      </c>
      <c r="I467" t="s">
        <v>2931</v>
      </c>
    </row>
    <row r="468" spans="1:9" x14ac:dyDescent="0.25">
      <c r="A468" t="s">
        <v>2928</v>
      </c>
      <c r="B468" t="s">
        <v>3064</v>
      </c>
      <c r="C468" t="s">
        <v>2932</v>
      </c>
      <c r="D468">
        <v>25.286887839999999</v>
      </c>
      <c r="E468" t="s">
        <v>2929</v>
      </c>
      <c r="F468">
        <v>99.427597270000007</v>
      </c>
      <c r="G468" t="s">
        <v>2930</v>
      </c>
      <c r="H468">
        <v>37370</v>
      </c>
      <c r="I468" t="s">
        <v>2931</v>
      </c>
    </row>
    <row r="469" spans="1:9" x14ac:dyDescent="0.25">
      <c r="A469" t="s">
        <v>2928</v>
      </c>
      <c r="B469" t="s">
        <v>3148</v>
      </c>
      <c r="C469" t="s">
        <v>2932</v>
      </c>
      <c r="D469">
        <v>23.970864639999999</v>
      </c>
      <c r="E469" t="s">
        <v>2929</v>
      </c>
      <c r="F469">
        <v>102.5069999</v>
      </c>
      <c r="G469" t="s">
        <v>2930</v>
      </c>
      <c r="H469">
        <v>17223</v>
      </c>
      <c r="I469" t="s">
        <v>2931</v>
      </c>
    </row>
    <row r="470" spans="1:9" x14ac:dyDescent="0.25">
      <c r="A470" t="s">
        <v>2928</v>
      </c>
      <c r="B470" t="s">
        <v>3002</v>
      </c>
      <c r="C470" t="s">
        <v>2932</v>
      </c>
      <c r="D470">
        <v>25.264329</v>
      </c>
      <c r="E470" t="s">
        <v>2929</v>
      </c>
      <c r="F470">
        <v>101.1050913</v>
      </c>
      <c r="G470" t="s">
        <v>2930</v>
      </c>
      <c r="H470">
        <v>31810</v>
      </c>
      <c r="I470" t="s">
        <v>2931</v>
      </c>
    </row>
    <row r="471" spans="1:9" x14ac:dyDescent="0.25">
      <c r="A471" t="s">
        <v>2928</v>
      </c>
      <c r="B471" t="s">
        <v>3065</v>
      </c>
      <c r="C471" t="s">
        <v>2932</v>
      </c>
      <c r="D471">
        <v>26.315970159999999</v>
      </c>
      <c r="E471" t="s">
        <v>2929</v>
      </c>
      <c r="F471">
        <v>99.826575680000005</v>
      </c>
      <c r="G471" t="s">
        <v>2930</v>
      </c>
      <c r="H471">
        <v>21761</v>
      </c>
      <c r="I471" t="s">
        <v>2931</v>
      </c>
    </row>
    <row r="472" spans="1:9" x14ac:dyDescent="0.25">
      <c r="A472" t="s">
        <v>2928</v>
      </c>
      <c r="B472" t="s">
        <v>3111</v>
      </c>
      <c r="C472" t="s">
        <v>2932</v>
      </c>
      <c r="D472">
        <v>28.568050320000001</v>
      </c>
      <c r="E472" t="s">
        <v>2929</v>
      </c>
      <c r="F472">
        <v>98.919969879999996</v>
      </c>
      <c r="G472" t="s">
        <v>2930</v>
      </c>
      <c r="H472">
        <v>11595</v>
      </c>
      <c r="I472" t="s">
        <v>2931</v>
      </c>
    </row>
    <row r="473" spans="1:9" x14ac:dyDescent="0.25">
      <c r="A473" t="s">
        <v>2928</v>
      </c>
      <c r="B473" t="s">
        <v>3354</v>
      </c>
      <c r="C473" t="s">
        <v>2932</v>
      </c>
      <c r="D473">
        <v>25.123635409999999</v>
      </c>
      <c r="E473" t="s">
        <v>2929</v>
      </c>
      <c r="F473">
        <v>104.5709524</v>
      </c>
      <c r="G473" t="s">
        <v>2930</v>
      </c>
      <c r="H473">
        <v>68522</v>
      </c>
      <c r="I473" t="s">
        <v>2931</v>
      </c>
    </row>
    <row r="474" spans="1:9" x14ac:dyDescent="0.25">
      <c r="A474" t="s">
        <v>2928</v>
      </c>
      <c r="B474" t="s">
        <v>3218</v>
      </c>
      <c r="C474" t="s">
        <v>2932</v>
      </c>
      <c r="D474">
        <v>26.927790009999999</v>
      </c>
      <c r="E474" t="s">
        <v>2929</v>
      </c>
      <c r="F474">
        <v>99.838301049999998</v>
      </c>
      <c r="G474" t="s">
        <v>2930</v>
      </c>
      <c r="H474">
        <v>21006</v>
      </c>
      <c r="I474" t="s">
        <v>2931</v>
      </c>
    </row>
    <row r="475" spans="1:9" x14ac:dyDescent="0.25">
      <c r="A475" t="s">
        <v>2928</v>
      </c>
      <c r="B475" t="s">
        <v>3219</v>
      </c>
      <c r="C475" t="s">
        <v>2932</v>
      </c>
      <c r="D475">
        <v>26.519717629999999</v>
      </c>
      <c r="E475" t="s">
        <v>2929</v>
      </c>
      <c r="F475">
        <v>101.371691</v>
      </c>
      <c r="G475" t="s">
        <v>2930</v>
      </c>
      <c r="H475">
        <v>20074</v>
      </c>
      <c r="I475" t="s">
        <v>2931</v>
      </c>
    </row>
    <row r="476" spans="1:9" x14ac:dyDescent="0.25">
      <c r="A476" t="s">
        <v>2928</v>
      </c>
      <c r="B476" t="s">
        <v>3003</v>
      </c>
      <c r="C476" t="s">
        <v>2932</v>
      </c>
      <c r="D476">
        <v>25.50419424</v>
      </c>
      <c r="E476" t="s">
        <v>2929</v>
      </c>
      <c r="F476">
        <v>102.3778052</v>
      </c>
      <c r="G476" t="s">
        <v>2930</v>
      </c>
      <c r="H476">
        <v>92868</v>
      </c>
      <c r="I476" t="s">
        <v>2931</v>
      </c>
    </row>
    <row r="477" spans="1:9" x14ac:dyDescent="0.25">
      <c r="A477" t="s">
        <v>2928</v>
      </c>
      <c r="B477" t="s">
        <v>3004</v>
      </c>
      <c r="C477" t="s">
        <v>2932</v>
      </c>
      <c r="D477">
        <v>25.83099606</v>
      </c>
      <c r="E477" t="s">
        <v>2929</v>
      </c>
      <c r="F477">
        <v>101.08254100000001</v>
      </c>
      <c r="G477" t="s">
        <v>2930</v>
      </c>
      <c r="H477">
        <v>25718</v>
      </c>
      <c r="I477" t="s">
        <v>2931</v>
      </c>
    </row>
    <row r="478" spans="1:9" x14ac:dyDescent="0.25">
      <c r="A478" t="s">
        <v>2928</v>
      </c>
      <c r="B478" t="s">
        <v>3508</v>
      </c>
      <c r="C478" t="s">
        <v>2932</v>
      </c>
      <c r="D478">
        <v>27.947873040000001</v>
      </c>
      <c r="E478" t="s">
        <v>2929</v>
      </c>
      <c r="F478">
        <v>104.15954360000001</v>
      </c>
      <c r="G478" t="s">
        <v>2930</v>
      </c>
      <c r="H478">
        <v>24743</v>
      </c>
      <c r="I478" t="s">
        <v>2931</v>
      </c>
    </row>
    <row r="479" spans="1:9" x14ac:dyDescent="0.25">
      <c r="A479" t="s">
        <v>2928</v>
      </c>
      <c r="B479" t="s">
        <v>3509</v>
      </c>
      <c r="C479" t="s">
        <v>2932</v>
      </c>
      <c r="D479">
        <v>27.9356054</v>
      </c>
      <c r="E479" t="s">
        <v>2929</v>
      </c>
      <c r="F479">
        <v>103.8600713</v>
      </c>
      <c r="G479" t="s">
        <v>2930</v>
      </c>
      <c r="H479">
        <v>27284</v>
      </c>
      <c r="I479" t="s">
        <v>2931</v>
      </c>
    </row>
    <row r="480" spans="1:9" x14ac:dyDescent="0.25">
      <c r="A480" t="s">
        <v>2928</v>
      </c>
      <c r="B480" t="s">
        <v>3066</v>
      </c>
      <c r="C480" t="s">
        <v>2932</v>
      </c>
      <c r="D480">
        <v>25.966163179999999</v>
      </c>
      <c r="E480" t="s">
        <v>2929</v>
      </c>
      <c r="F480">
        <v>100.2541217</v>
      </c>
      <c r="G480" t="s">
        <v>2930</v>
      </c>
      <c r="H480">
        <v>16472</v>
      </c>
      <c r="I480" t="s">
        <v>2931</v>
      </c>
    </row>
    <row r="481" spans="1:9" x14ac:dyDescent="0.25">
      <c r="A481" t="s">
        <v>2928</v>
      </c>
      <c r="B481" t="s">
        <v>3400</v>
      </c>
      <c r="C481" t="s">
        <v>2932</v>
      </c>
      <c r="D481">
        <v>24.260843619999999</v>
      </c>
      <c r="E481" t="s">
        <v>2929</v>
      </c>
      <c r="F481">
        <v>104.22767570000001</v>
      </c>
      <c r="G481" t="s">
        <v>2930</v>
      </c>
      <c r="H481">
        <v>75190</v>
      </c>
      <c r="I481" t="s">
        <v>2931</v>
      </c>
    </row>
    <row r="482" spans="1:9" x14ac:dyDescent="0.25">
      <c r="A482" t="s">
        <v>2928</v>
      </c>
      <c r="B482" t="s">
        <v>3510</v>
      </c>
      <c r="C482" t="s">
        <v>2932</v>
      </c>
      <c r="D482">
        <v>27.24177972</v>
      </c>
      <c r="E482" t="s">
        <v>2929</v>
      </c>
      <c r="F482">
        <v>103.3794163</v>
      </c>
      <c r="G482" t="s">
        <v>2930</v>
      </c>
      <c r="H482">
        <v>33810</v>
      </c>
      <c r="I482" t="s">
        <v>2931</v>
      </c>
    </row>
    <row r="483" spans="1:9" x14ac:dyDescent="0.25">
      <c r="A483" t="s">
        <v>2928</v>
      </c>
      <c r="B483" t="s">
        <v>3443</v>
      </c>
      <c r="C483" t="s">
        <v>2932</v>
      </c>
      <c r="D483">
        <v>24.134254429999999</v>
      </c>
      <c r="E483" t="s">
        <v>2929</v>
      </c>
      <c r="F483">
        <v>101.4484358</v>
      </c>
      <c r="G483" t="s">
        <v>2930</v>
      </c>
      <c r="H483">
        <v>21528</v>
      </c>
      <c r="I483" t="s">
        <v>2931</v>
      </c>
    </row>
    <row r="484" spans="1:9" x14ac:dyDescent="0.25">
      <c r="A484" t="s">
        <v>2928</v>
      </c>
      <c r="B484" t="s">
        <v>3511</v>
      </c>
      <c r="C484" t="s">
        <v>2932</v>
      </c>
      <c r="D484">
        <v>27.760417149999999</v>
      </c>
      <c r="E484" t="s">
        <v>2929</v>
      </c>
      <c r="F484">
        <v>105.2524432</v>
      </c>
      <c r="G484" t="s">
        <v>2930</v>
      </c>
      <c r="H484">
        <v>15294</v>
      </c>
      <c r="I484" t="s">
        <v>2931</v>
      </c>
    </row>
    <row r="485" spans="1:9" x14ac:dyDescent="0.25">
      <c r="A485" t="s">
        <v>2928</v>
      </c>
      <c r="B485" t="s">
        <v>3067</v>
      </c>
      <c r="C485" t="s">
        <v>2932</v>
      </c>
      <c r="D485">
        <v>25.525067360000001</v>
      </c>
      <c r="E485" t="s">
        <v>2929</v>
      </c>
      <c r="F485">
        <v>99.925490780000004</v>
      </c>
      <c r="G485" t="s">
        <v>2930</v>
      </c>
      <c r="H485">
        <v>6522</v>
      </c>
      <c r="I485" t="s">
        <v>2931</v>
      </c>
    </row>
    <row r="486" spans="1:9" x14ac:dyDescent="0.25">
      <c r="A486" t="s">
        <v>2928</v>
      </c>
      <c r="B486" t="s">
        <v>3220</v>
      </c>
      <c r="C486" t="s">
        <v>2932</v>
      </c>
      <c r="D486">
        <v>26.592692620000001</v>
      </c>
      <c r="E486" t="s">
        <v>2929</v>
      </c>
      <c r="F486">
        <v>100.5158394</v>
      </c>
      <c r="G486" t="s">
        <v>2930</v>
      </c>
      <c r="H486">
        <v>32074</v>
      </c>
      <c r="I486" t="s">
        <v>2931</v>
      </c>
    </row>
    <row r="487" spans="1:9" x14ac:dyDescent="0.25">
      <c r="A487" t="s">
        <v>2928</v>
      </c>
      <c r="B487" t="s">
        <v>3444</v>
      </c>
      <c r="C487" t="s">
        <v>2932</v>
      </c>
      <c r="D487">
        <v>24.190735320000002</v>
      </c>
      <c r="E487" t="s">
        <v>2929</v>
      </c>
      <c r="F487">
        <v>102.72129630000001</v>
      </c>
      <c r="G487" t="s">
        <v>2930</v>
      </c>
      <c r="H487">
        <v>44797</v>
      </c>
      <c r="I487" t="s">
        <v>2931</v>
      </c>
    </row>
    <row r="488" spans="1:9" x14ac:dyDescent="0.25">
      <c r="A488" t="s">
        <v>2928</v>
      </c>
      <c r="B488" t="s">
        <v>3302</v>
      </c>
      <c r="C488" t="s">
        <v>2932</v>
      </c>
      <c r="D488">
        <v>22.685085300000001</v>
      </c>
      <c r="E488" t="s">
        <v>2929</v>
      </c>
      <c r="F488">
        <v>100.5004594</v>
      </c>
      <c r="G488" t="s">
        <v>2930</v>
      </c>
      <c r="H488">
        <v>23584</v>
      </c>
      <c r="I488" t="s">
        <v>2931</v>
      </c>
    </row>
    <row r="489" spans="1:9" x14ac:dyDescent="0.25">
      <c r="A489" t="s">
        <v>2928</v>
      </c>
      <c r="B489" t="s">
        <v>3303</v>
      </c>
      <c r="C489" t="s">
        <v>2932</v>
      </c>
      <c r="D489">
        <v>23.038844839999999</v>
      </c>
      <c r="E489" t="s">
        <v>2929</v>
      </c>
      <c r="F489">
        <v>101.7694973</v>
      </c>
      <c r="G489" t="s">
        <v>2930</v>
      </c>
      <c r="H489">
        <v>21870</v>
      </c>
      <c r="I489" t="s">
        <v>2931</v>
      </c>
    </row>
    <row r="490" spans="1:9" x14ac:dyDescent="0.25">
      <c r="A490" t="s">
        <v>2928</v>
      </c>
      <c r="B490" t="s">
        <v>3068</v>
      </c>
      <c r="C490" t="s">
        <v>2932</v>
      </c>
      <c r="D490">
        <v>26.368891569999999</v>
      </c>
      <c r="E490" t="s">
        <v>2929</v>
      </c>
      <c r="F490">
        <v>100.1964625</v>
      </c>
      <c r="G490" t="s">
        <v>2930</v>
      </c>
      <c r="H490">
        <v>28900</v>
      </c>
      <c r="I490" t="s">
        <v>2931</v>
      </c>
    </row>
    <row r="491" spans="1:9" x14ac:dyDescent="0.25">
      <c r="A491" t="s">
        <v>2928</v>
      </c>
      <c r="B491" t="s">
        <v>3512</v>
      </c>
      <c r="C491" t="s">
        <v>2932</v>
      </c>
      <c r="D491">
        <v>27.29715448</v>
      </c>
      <c r="E491" t="s">
        <v>2929</v>
      </c>
      <c r="F491">
        <v>103.5362812</v>
      </c>
      <c r="G491" t="s">
        <v>2930</v>
      </c>
      <c r="H491">
        <v>31994</v>
      </c>
      <c r="I491" t="s">
        <v>2931</v>
      </c>
    </row>
    <row r="492" spans="1:9" x14ac:dyDescent="0.25">
      <c r="A492" t="s">
        <v>2928</v>
      </c>
      <c r="B492" t="s">
        <v>3513</v>
      </c>
      <c r="C492" t="s">
        <v>2932</v>
      </c>
      <c r="D492">
        <v>27.33624069</v>
      </c>
      <c r="E492" t="s">
        <v>2929</v>
      </c>
      <c r="F492">
        <v>103.2560222</v>
      </c>
      <c r="G492" t="s">
        <v>2930</v>
      </c>
      <c r="H492">
        <v>29184</v>
      </c>
      <c r="I492" t="s">
        <v>2931</v>
      </c>
    </row>
    <row r="493" spans="1:9" x14ac:dyDescent="0.25">
      <c r="A493" t="s">
        <v>2928</v>
      </c>
      <c r="B493" t="s">
        <v>3112</v>
      </c>
      <c r="C493" t="s">
        <v>2932</v>
      </c>
      <c r="D493">
        <v>27.502479820000001</v>
      </c>
      <c r="E493" t="s">
        <v>2929</v>
      </c>
      <c r="F493">
        <v>99.351538860000005</v>
      </c>
      <c r="G493" t="s">
        <v>2930</v>
      </c>
      <c r="H493">
        <v>16234</v>
      </c>
      <c r="I493" t="s">
        <v>2931</v>
      </c>
    </row>
    <row r="494" spans="1:9" x14ac:dyDescent="0.25">
      <c r="A494" t="s">
        <v>2928</v>
      </c>
      <c r="B494" t="s">
        <v>3445</v>
      </c>
      <c r="C494" t="s">
        <v>2932</v>
      </c>
      <c r="D494">
        <v>24.21062289</v>
      </c>
      <c r="E494" t="s">
        <v>2929</v>
      </c>
      <c r="F494">
        <v>102.0753133</v>
      </c>
      <c r="G494" t="s">
        <v>2930</v>
      </c>
      <c r="H494">
        <v>14992</v>
      </c>
      <c r="I494" t="s">
        <v>2931</v>
      </c>
    </row>
    <row r="495" spans="1:9" x14ac:dyDescent="0.25">
      <c r="A495" t="s">
        <v>2928</v>
      </c>
      <c r="B495" t="s">
        <v>4997</v>
      </c>
      <c r="C495" t="s">
        <v>2932</v>
      </c>
      <c r="D495">
        <v>24.803025049999999</v>
      </c>
      <c r="E495" t="s">
        <v>2929</v>
      </c>
      <c r="F495">
        <v>99.009811310000003</v>
      </c>
      <c r="G495" t="s">
        <v>2930</v>
      </c>
      <c r="H495">
        <v>27347</v>
      </c>
      <c r="I495" t="s">
        <v>2931</v>
      </c>
    </row>
    <row r="496" spans="1:9" x14ac:dyDescent="0.25">
      <c r="A496" t="s">
        <v>2928</v>
      </c>
      <c r="B496" t="s">
        <v>4998</v>
      </c>
      <c r="C496" t="s">
        <v>2932</v>
      </c>
      <c r="D496">
        <v>25.40104848</v>
      </c>
      <c r="E496" t="s">
        <v>2929</v>
      </c>
      <c r="F496">
        <v>101.2549451</v>
      </c>
      <c r="G496" t="s">
        <v>2930</v>
      </c>
      <c r="H496">
        <v>9320</v>
      </c>
      <c r="I496" t="s">
        <v>2931</v>
      </c>
    </row>
    <row r="497" spans="1:9" x14ac:dyDescent="0.25">
      <c r="A497" t="s">
        <v>2928</v>
      </c>
      <c r="B497" t="s">
        <v>4999</v>
      </c>
      <c r="C497" t="s">
        <v>2932</v>
      </c>
      <c r="D497">
        <v>24.605154580000001</v>
      </c>
      <c r="E497" t="s">
        <v>2929</v>
      </c>
      <c r="F497">
        <v>97.751956109999995</v>
      </c>
      <c r="G497" t="s">
        <v>2930</v>
      </c>
      <c r="H497">
        <v>30032</v>
      </c>
      <c r="I497" t="s">
        <v>2931</v>
      </c>
    </row>
    <row r="498" spans="1:9" x14ac:dyDescent="0.25">
      <c r="A498" t="s">
        <v>2928</v>
      </c>
      <c r="B498" t="s">
        <v>5000</v>
      </c>
      <c r="C498" t="s">
        <v>2932</v>
      </c>
      <c r="D498">
        <v>28.477223370000001</v>
      </c>
      <c r="E498" t="s">
        <v>2929</v>
      </c>
      <c r="F498">
        <v>104.1442943</v>
      </c>
      <c r="G498" t="s">
        <v>2930</v>
      </c>
      <c r="H498">
        <v>14621</v>
      </c>
      <c r="I498" t="s">
        <v>2931</v>
      </c>
    </row>
    <row r="499" spans="1:9" x14ac:dyDescent="0.25">
      <c r="A499" t="s">
        <v>2928</v>
      </c>
      <c r="B499" t="s">
        <v>3304</v>
      </c>
      <c r="C499" t="s">
        <v>2932</v>
      </c>
      <c r="D499">
        <v>24.48352066</v>
      </c>
      <c r="E499" t="s">
        <v>2929</v>
      </c>
      <c r="F499">
        <v>100.9737628</v>
      </c>
      <c r="G499" t="s">
        <v>2930</v>
      </c>
      <c r="H499">
        <v>22925</v>
      </c>
      <c r="I499" t="s">
        <v>2931</v>
      </c>
    </row>
    <row r="500" spans="1:9" x14ac:dyDescent="0.25">
      <c r="A500" t="s">
        <v>2928</v>
      </c>
      <c r="B500" t="s">
        <v>3190</v>
      </c>
      <c r="C500" t="s">
        <v>2932</v>
      </c>
      <c r="D500">
        <v>26.20210385</v>
      </c>
      <c r="E500" t="s">
        <v>2929</v>
      </c>
      <c r="F500">
        <v>103.0331599</v>
      </c>
      <c r="G500" t="s">
        <v>2930</v>
      </c>
      <c r="H500">
        <v>37934</v>
      </c>
      <c r="I500" t="s">
        <v>2931</v>
      </c>
    </row>
    <row r="501" spans="1:9" x14ac:dyDescent="0.25">
      <c r="A501" t="s">
        <v>2928</v>
      </c>
      <c r="B501" t="s">
        <v>3191</v>
      </c>
      <c r="C501" t="s">
        <v>2932</v>
      </c>
      <c r="D501">
        <v>25.784525819999999</v>
      </c>
      <c r="E501" t="s">
        <v>2929</v>
      </c>
      <c r="F501">
        <v>102.90266819999999</v>
      </c>
      <c r="G501" t="s">
        <v>2930</v>
      </c>
      <c r="H501">
        <v>36906</v>
      </c>
      <c r="I501" t="s">
        <v>2931</v>
      </c>
    </row>
    <row r="502" spans="1:9" x14ac:dyDescent="0.25">
      <c r="A502" t="s">
        <v>2928</v>
      </c>
      <c r="B502" t="s">
        <v>3514</v>
      </c>
      <c r="C502" t="s">
        <v>2932</v>
      </c>
      <c r="D502">
        <v>27.497413210000001</v>
      </c>
      <c r="E502" t="s">
        <v>2929</v>
      </c>
      <c r="F502">
        <v>104.9606533</v>
      </c>
      <c r="G502" t="s">
        <v>2930</v>
      </c>
      <c r="H502">
        <v>55135</v>
      </c>
      <c r="I502" t="s">
        <v>2931</v>
      </c>
    </row>
    <row r="503" spans="1:9" x14ac:dyDescent="0.25">
      <c r="A503" t="s">
        <v>2928</v>
      </c>
      <c r="B503" t="s">
        <v>3355</v>
      </c>
      <c r="C503" t="s">
        <v>2932</v>
      </c>
      <c r="D503">
        <v>26.508244829999999</v>
      </c>
      <c r="E503" t="s">
        <v>2929</v>
      </c>
      <c r="F503">
        <v>104.17129389999999</v>
      </c>
      <c r="G503" t="s">
        <v>2930</v>
      </c>
      <c r="H503">
        <v>79641</v>
      </c>
      <c r="I503" t="s">
        <v>2931</v>
      </c>
    </row>
    <row r="504" spans="1:9" x14ac:dyDescent="0.25">
      <c r="A504" t="s">
        <v>2928</v>
      </c>
      <c r="B504" t="s">
        <v>3221</v>
      </c>
      <c r="C504" t="s">
        <v>2932</v>
      </c>
      <c r="D504">
        <v>26.288500790000001</v>
      </c>
      <c r="E504" t="s">
        <v>2929</v>
      </c>
      <c r="F504">
        <v>100.50267820000001</v>
      </c>
      <c r="G504" t="s">
        <v>2930</v>
      </c>
      <c r="H504">
        <v>34655</v>
      </c>
      <c r="I504" t="s">
        <v>2931</v>
      </c>
    </row>
    <row r="505" spans="1:9" x14ac:dyDescent="0.25">
      <c r="A505" t="s">
        <v>2928</v>
      </c>
      <c r="B505" t="s">
        <v>2957</v>
      </c>
      <c r="C505" t="s">
        <v>2932</v>
      </c>
      <c r="D505">
        <v>24.990227740000002</v>
      </c>
      <c r="E505" t="s">
        <v>2929</v>
      </c>
      <c r="F505">
        <v>98.532902620000002</v>
      </c>
      <c r="G505" t="s">
        <v>2930</v>
      </c>
      <c r="H505">
        <v>127133</v>
      </c>
      <c r="I505" t="s">
        <v>2931</v>
      </c>
    </row>
    <row r="506" spans="1:9" x14ac:dyDescent="0.25">
      <c r="A506" t="s">
        <v>2928</v>
      </c>
      <c r="B506" t="s">
        <v>3356</v>
      </c>
      <c r="C506" t="s">
        <v>2932</v>
      </c>
      <c r="D506">
        <v>26.17155429</v>
      </c>
      <c r="E506" t="s">
        <v>2929</v>
      </c>
      <c r="F506">
        <v>104.4464728</v>
      </c>
      <c r="G506" t="s">
        <v>2930</v>
      </c>
      <c r="H506">
        <v>63139</v>
      </c>
      <c r="I506" t="s">
        <v>2931</v>
      </c>
    </row>
    <row r="507" spans="1:9" x14ac:dyDescent="0.25">
      <c r="A507" t="s">
        <v>2928</v>
      </c>
      <c r="B507" t="s">
        <v>3401</v>
      </c>
      <c r="C507" t="s">
        <v>2932</v>
      </c>
      <c r="D507">
        <v>22.979915349999999</v>
      </c>
      <c r="E507" t="s">
        <v>2929</v>
      </c>
      <c r="F507">
        <v>104.71537240000001</v>
      </c>
      <c r="G507" t="s">
        <v>2930</v>
      </c>
      <c r="H507">
        <v>20109</v>
      </c>
      <c r="I507" t="s">
        <v>2931</v>
      </c>
    </row>
    <row r="508" spans="1:9" x14ac:dyDescent="0.25">
      <c r="A508" t="s">
        <v>2928</v>
      </c>
      <c r="B508" t="s">
        <v>3402</v>
      </c>
      <c r="C508" t="s">
        <v>2932</v>
      </c>
      <c r="D508">
        <v>23.342777049999999</v>
      </c>
      <c r="E508" t="s">
        <v>2929</v>
      </c>
      <c r="F508">
        <v>105.51277450000001</v>
      </c>
      <c r="G508" t="s">
        <v>2930</v>
      </c>
      <c r="H508">
        <v>51985</v>
      </c>
      <c r="I508" t="s">
        <v>2931</v>
      </c>
    </row>
    <row r="509" spans="1:9" x14ac:dyDescent="0.25">
      <c r="A509" t="s">
        <v>2928</v>
      </c>
      <c r="B509" t="s">
        <v>3515</v>
      </c>
      <c r="C509" t="s">
        <v>2932</v>
      </c>
      <c r="D509">
        <v>27.832052839999999</v>
      </c>
      <c r="E509" t="s">
        <v>2929</v>
      </c>
      <c r="F509">
        <v>104.00016239999999</v>
      </c>
      <c r="G509" t="s">
        <v>2930</v>
      </c>
      <c r="H509">
        <v>58221</v>
      </c>
      <c r="I509" t="s">
        <v>2931</v>
      </c>
    </row>
    <row r="510" spans="1:9" x14ac:dyDescent="0.25">
      <c r="A510" t="s">
        <v>2928</v>
      </c>
      <c r="B510" t="s">
        <v>2958</v>
      </c>
      <c r="C510" t="s">
        <v>2932</v>
      </c>
      <c r="D510">
        <v>24.826550300000001</v>
      </c>
      <c r="E510" t="s">
        <v>2929</v>
      </c>
      <c r="F510">
        <v>99.638550780000003</v>
      </c>
      <c r="G510" t="s">
        <v>2930</v>
      </c>
      <c r="H510">
        <v>64265</v>
      </c>
      <c r="I510" t="s">
        <v>2931</v>
      </c>
    </row>
    <row r="511" spans="1:9" x14ac:dyDescent="0.25">
      <c r="A511" t="s">
        <v>2928</v>
      </c>
      <c r="B511" t="s">
        <v>3264</v>
      </c>
      <c r="C511" t="s">
        <v>2932</v>
      </c>
      <c r="D511">
        <v>26.703025220000001</v>
      </c>
      <c r="E511" t="s">
        <v>2929</v>
      </c>
      <c r="F511">
        <v>99.497267719999996</v>
      </c>
      <c r="G511" t="s">
        <v>2930</v>
      </c>
      <c r="H511">
        <v>23916</v>
      </c>
      <c r="I511" t="s">
        <v>2931</v>
      </c>
    </row>
    <row r="512" spans="1:9" x14ac:dyDescent="0.25">
      <c r="A512" t="s">
        <v>2928</v>
      </c>
      <c r="B512" t="s">
        <v>3305</v>
      </c>
      <c r="C512" t="s">
        <v>2932</v>
      </c>
      <c r="D512">
        <v>23.277968420000001</v>
      </c>
      <c r="E512" t="s">
        <v>2929</v>
      </c>
      <c r="F512">
        <v>101.4020561</v>
      </c>
      <c r="G512" t="s">
        <v>2930</v>
      </c>
      <c r="H512">
        <v>29561</v>
      </c>
      <c r="I512" t="s">
        <v>2931</v>
      </c>
    </row>
    <row r="513" spans="1:9" x14ac:dyDescent="0.25">
      <c r="A513" t="s">
        <v>2928</v>
      </c>
      <c r="B513" t="s">
        <v>3357</v>
      </c>
      <c r="C513" t="s">
        <v>2932</v>
      </c>
      <c r="D513">
        <v>25.45000898</v>
      </c>
      <c r="E513" t="s">
        <v>2929</v>
      </c>
      <c r="F513">
        <v>103.604456</v>
      </c>
      <c r="G513" t="s">
        <v>2930</v>
      </c>
      <c r="H513">
        <v>55268</v>
      </c>
      <c r="I513" t="s">
        <v>2931</v>
      </c>
    </row>
    <row r="514" spans="1:9" x14ac:dyDescent="0.25">
      <c r="A514" t="s">
        <v>2928</v>
      </c>
      <c r="B514" t="s">
        <v>3306</v>
      </c>
      <c r="C514" t="s">
        <v>2932</v>
      </c>
      <c r="D514">
        <v>22.932482749999998</v>
      </c>
      <c r="E514" t="s">
        <v>2929</v>
      </c>
      <c r="F514">
        <v>101.07573960000001</v>
      </c>
      <c r="G514" t="s">
        <v>2930</v>
      </c>
      <c r="H514">
        <v>16092</v>
      </c>
      <c r="I514" t="s">
        <v>2931</v>
      </c>
    </row>
    <row r="515" spans="1:9" x14ac:dyDescent="0.25">
      <c r="A515" t="s">
        <v>2928</v>
      </c>
      <c r="B515" t="s">
        <v>3192</v>
      </c>
      <c r="C515" t="s">
        <v>2932</v>
      </c>
      <c r="D515">
        <v>25.803103520000001</v>
      </c>
      <c r="E515" t="s">
        <v>2929</v>
      </c>
      <c r="F515">
        <v>102.53235359999999</v>
      </c>
      <c r="G515" t="s">
        <v>2930</v>
      </c>
      <c r="H515">
        <v>22056</v>
      </c>
      <c r="I515" t="s">
        <v>2931</v>
      </c>
    </row>
    <row r="516" spans="1:9" x14ac:dyDescent="0.25">
      <c r="A516" t="s">
        <v>2928</v>
      </c>
      <c r="B516" t="s">
        <v>3307</v>
      </c>
      <c r="C516" t="s">
        <v>2932</v>
      </c>
      <c r="D516">
        <v>23.830986469999999</v>
      </c>
      <c r="E516" t="s">
        <v>2929</v>
      </c>
      <c r="F516">
        <v>101.248902</v>
      </c>
      <c r="G516" t="s">
        <v>2930</v>
      </c>
      <c r="H516">
        <v>15712</v>
      </c>
      <c r="I516" t="s">
        <v>2931</v>
      </c>
    </row>
    <row r="517" spans="1:9" x14ac:dyDescent="0.25">
      <c r="A517" t="s">
        <v>2928</v>
      </c>
      <c r="B517" t="s">
        <v>3005</v>
      </c>
      <c r="C517" t="s">
        <v>2932</v>
      </c>
      <c r="D517">
        <v>24.96427495</v>
      </c>
      <c r="E517" t="s">
        <v>2929</v>
      </c>
      <c r="F517">
        <v>102.1862021</v>
      </c>
      <c r="G517" t="s">
        <v>2930</v>
      </c>
      <c r="H517">
        <v>12610</v>
      </c>
      <c r="I517" t="s">
        <v>2931</v>
      </c>
    </row>
    <row r="518" spans="1:9" x14ac:dyDescent="0.25">
      <c r="A518" t="s">
        <v>2928</v>
      </c>
      <c r="B518" t="s">
        <v>3006</v>
      </c>
      <c r="C518" t="s">
        <v>2932</v>
      </c>
      <c r="D518">
        <v>24.803132040000001</v>
      </c>
      <c r="E518" t="s">
        <v>2929</v>
      </c>
      <c r="F518">
        <v>100.8096474</v>
      </c>
      <c r="G518" t="s">
        <v>2930</v>
      </c>
      <c r="H518">
        <v>13552</v>
      </c>
      <c r="I518" t="s">
        <v>2931</v>
      </c>
    </row>
    <row r="519" spans="1:9" x14ac:dyDescent="0.25">
      <c r="A519" t="s">
        <v>2928</v>
      </c>
      <c r="B519" t="s">
        <v>3193</v>
      </c>
      <c r="C519" t="s">
        <v>2932</v>
      </c>
      <c r="D519">
        <v>26.40129791</v>
      </c>
      <c r="E519" t="s">
        <v>2929</v>
      </c>
      <c r="F519">
        <v>103.0403589</v>
      </c>
      <c r="G519" t="s">
        <v>2930</v>
      </c>
      <c r="H519">
        <v>25793</v>
      </c>
      <c r="I519" t="s">
        <v>2931</v>
      </c>
    </row>
    <row r="520" spans="1:9" x14ac:dyDescent="0.25">
      <c r="A520" t="s">
        <v>2928</v>
      </c>
      <c r="B520" t="s">
        <v>3007</v>
      </c>
      <c r="C520" t="s">
        <v>2932</v>
      </c>
      <c r="D520">
        <v>24.68881537</v>
      </c>
      <c r="E520" t="s">
        <v>2929</v>
      </c>
      <c r="F520">
        <v>101.61431450000001</v>
      </c>
      <c r="G520" t="s">
        <v>2930</v>
      </c>
      <c r="H520">
        <v>44265</v>
      </c>
      <c r="I520" t="s">
        <v>2931</v>
      </c>
    </row>
    <row r="521" spans="1:9" x14ac:dyDescent="0.25">
      <c r="A521" t="s">
        <v>2928</v>
      </c>
      <c r="B521" t="s">
        <v>3516</v>
      </c>
      <c r="C521" t="s">
        <v>2932</v>
      </c>
      <c r="D521">
        <v>27.63530214</v>
      </c>
      <c r="E521" t="s">
        <v>2929</v>
      </c>
      <c r="F521">
        <v>104.518719</v>
      </c>
      <c r="G521" t="s">
        <v>2930</v>
      </c>
      <c r="H521">
        <v>21015</v>
      </c>
      <c r="I521" t="s">
        <v>2931</v>
      </c>
    </row>
    <row r="522" spans="1:9" x14ac:dyDescent="0.25">
      <c r="A522" t="s">
        <v>2928</v>
      </c>
      <c r="B522" t="s">
        <v>3008</v>
      </c>
      <c r="C522" t="s">
        <v>2932</v>
      </c>
      <c r="D522">
        <v>25.990387689999999</v>
      </c>
      <c r="E522" t="s">
        <v>2929</v>
      </c>
      <c r="F522">
        <v>102.1860006</v>
      </c>
      <c r="G522" t="s">
        <v>2930</v>
      </c>
      <c r="H522">
        <v>14593</v>
      </c>
      <c r="I522" t="s">
        <v>2931</v>
      </c>
    </row>
    <row r="523" spans="1:9" x14ac:dyDescent="0.25">
      <c r="A523" t="s">
        <v>2928</v>
      </c>
      <c r="B523" t="s">
        <v>3100</v>
      </c>
      <c r="C523" t="s">
        <v>2932</v>
      </c>
      <c r="D523">
        <v>24.097596169999999</v>
      </c>
      <c r="E523" t="s">
        <v>2929</v>
      </c>
      <c r="F523">
        <v>98.060760130000006</v>
      </c>
      <c r="G523" t="s">
        <v>2930</v>
      </c>
      <c r="H523">
        <v>13906</v>
      </c>
      <c r="I523" t="s">
        <v>2931</v>
      </c>
    </row>
    <row r="524" spans="1:9" x14ac:dyDescent="0.25">
      <c r="A524" t="s">
        <v>2928</v>
      </c>
      <c r="B524" t="s">
        <v>3358</v>
      </c>
      <c r="C524" t="s">
        <v>2932</v>
      </c>
      <c r="D524">
        <v>25.51840211</v>
      </c>
      <c r="E524" t="s">
        <v>2929</v>
      </c>
      <c r="F524">
        <v>103.5512382</v>
      </c>
      <c r="G524" t="s">
        <v>2930</v>
      </c>
      <c r="H524">
        <v>28662</v>
      </c>
      <c r="I524" t="s">
        <v>2931</v>
      </c>
    </row>
    <row r="525" spans="1:9" x14ac:dyDescent="0.25">
      <c r="A525" t="s">
        <v>2928</v>
      </c>
      <c r="B525" t="s">
        <v>3069</v>
      </c>
      <c r="C525" t="s">
        <v>2932</v>
      </c>
      <c r="D525">
        <v>25.792822879999999</v>
      </c>
      <c r="E525" t="s">
        <v>2929</v>
      </c>
      <c r="F525">
        <v>100.0865585</v>
      </c>
      <c r="G525" t="s">
        <v>2930</v>
      </c>
      <c r="H525">
        <v>20784</v>
      </c>
      <c r="I525" t="s">
        <v>2931</v>
      </c>
    </row>
    <row r="526" spans="1:9" x14ac:dyDescent="0.25">
      <c r="A526" t="s">
        <v>2928</v>
      </c>
      <c r="B526" t="s">
        <v>3070</v>
      </c>
      <c r="C526" t="s">
        <v>2932</v>
      </c>
      <c r="D526">
        <v>25.856915900000001</v>
      </c>
      <c r="E526" t="s">
        <v>2929</v>
      </c>
      <c r="F526">
        <v>100.2661308</v>
      </c>
      <c r="G526" t="s">
        <v>2930</v>
      </c>
      <c r="H526">
        <v>16873</v>
      </c>
      <c r="I526" t="s">
        <v>2931</v>
      </c>
    </row>
    <row r="527" spans="1:9" x14ac:dyDescent="0.25">
      <c r="A527" t="s">
        <v>2928</v>
      </c>
      <c r="B527" t="s">
        <v>2959</v>
      </c>
      <c r="C527" t="s">
        <v>2932</v>
      </c>
      <c r="D527">
        <v>25.424137040000002</v>
      </c>
      <c r="E527" t="s">
        <v>2929</v>
      </c>
      <c r="F527">
        <v>99.224029259999995</v>
      </c>
      <c r="G527" t="s">
        <v>2930</v>
      </c>
      <c r="H527">
        <v>37154</v>
      </c>
      <c r="I527" t="s">
        <v>2931</v>
      </c>
    </row>
    <row r="528" spans="1:9" x14ac:dyDescent="0.25">
      <c r="A528" t="s">
        <v>2928</v>
      </c>
      <c r="B528" t="s">
        <v>3308</v>
      </c>
      <c r="C528" t="s">
        <v>2932</v>
      </c>
      <c r="D528">
        <v>23.479242259999999</v>
      </c>
      <c r="E528" t="s">
        <v>2929</v>
      </c>
      <c r="F528">
        <v>100.71406210000001</v>
      </c>
      <c r="G528" t="s">
        <v>2930</v>
      </c>
      <c r="H528">
        <v>91536</v>
      </c>
      <c r="I528" t="s">
        <v>2931</v>
      </c>
    </row>
    <row r="529" spans="1:9" x14ac:dyDescent="0.25">
      <c r="A529" t="s">
        <v>2928</v>
      </c>
      <c r="B529" t="s">
        <v>2960</v>
      </c>
      <c r="C529" t="s">
        <v>2932</v>
      </c>
      <c r="D529">
        <v>24.67579375</v>
      </c>
      <c r="E529" t="s">
        <v>2929</v>
      </c>
      <c r="F529">
        <v>99.559753380000004</v>
      </c>
      <c r="G529" t="s">
        <v>2930</v>
      </c>
      <c r="H529">
        <v>14063</v>
      </c>
      <c r="I529" t="s">
        <v>2931</v>
      </c>
    </row>
    <row r="530" spans="1:9" x14ac:dyDescent="0.25">
      <c r="A530" t="s">
        <v>2928</v>
      </c>
      <c r="B530" t="s">
        <v>3309</v>
      </c>
      <c r="C530" t="s">
        <v>2932</v>
      </c>
      <c r="D530">
        <v>22.536101420000001</v>
      </c>
      <c r="E530" t="s">
        <v>2929</v>
      </c>
      <c r="F530">
        <v>99.454897270000004</v>
      </c>
      <c r="G530" t="s">
        <v>2930</v>
      </c>
      <c r="H530">
        <v>10994</v>
      </c>
      <c r="I530" t="s">
        <v>2931</v>
      </c>
    </row>
    <row r="531" spans="1:9" x14ac:dyDescent="0.25">
      <c r="A531" t="s">
        <v>2928</v>
      </c>
      <c r="B531" t="s">
        <v>3310</v>
      </c>
      <c r="C531" t="s">
        <v>2932</v>
      </c>
      <c r="D531">
        <v>24.223416069999999</v>
      </c>
      <c r="E531" t="s">
        <v>2929</v>
      </c>
      <c r="F531">
        <v>100.955657</v>
      </c>
      <c r="G531" t="s">
        <v>2930</v>
      </c>
      <c r="H531">
        <v>66141</v>
      </c>
      <c r="I531" t="s">
        <v>2931</v>
      </c>
    </row>
    <row r="532" spans="1:9" x14ac:dyDescent="0.25">
      <c r="A532" t="s">
        <v>2928</v>
      </c>
      <c r="B532" t="s">
        <v>3311</v>
      </c>
      <c r="C532" t="s">
        <v>2932</v>
      </c>
      <c r="D532">
        <v>24.64468952</v>
      </c>
      <c r="E532" t="s">
        <v>2929</v>
      </c>
      <c r="F532">
        <v>100.71800690000001</v>
      </c>
      <c r="G532" t="s">
        <v>2930</v>
      </c>
      <c r="H532">
        <v>18150</v>
      </c>
      <c r="I532" t="s">
        <v>2931</v>
      </c>
    </row>
    <row r="533" spans="1:9" x14ac:dyDescent="0.25">
      <c r="A533" t="s">
        <v>2928</v>
      </c>
      <c r="B533" t="s">
        <v>3517</v>
      </c>
      <c r="C533" t="s">
        <v>2932</v>
      </c>
      <c r="D533">
        <v>27.152308510000001</v>
      </c>
      <c r="E533" t="s">
        <v>2929</v>
      </c>
      <c r="F533">
        <v>103.5335381</v>
      </c>
      <c r="G533" t="s">
        <v>2930</v>
      </c>
      <c r="H533">
        <v>71943</v>
      </c>
      <c r="I533" t="s">
        <v>2931</v>
      </c>
    </row>
    <row r="534" spans="1:9" x14ac:dyDescent="0.25">
      <c r="A534" t="s">
        <v>2928</v>
      </c>
      <c r="B534" t="s">
        <v>2961</v>
      </c>
      <c r="C534" t="s">
        <v>2932</v>
      </c>
      <c r="D534">
        <v>24.706741099999999</v>
      </c>
      <c r="E534" t="s">
        <v>2929</v>
      </c>
      <c r="F534">
        <v>99.702600230000002</v>
      </c>
      <c r="G534" t="s">
        <v>2930</v>
      </c>
      <c r="H534">
        <v>24526</v>
      </c>
      <c r="I534" t="s">
        <v>2931</v>
      </c>
    </row>
    <row r="535" spans="1:9" x14ac:dyDescent="0.25">
      <c r="A535" t="s">
        <v>2928</v>
      </c>
      <c r="B535" t="s">
        <v>3312</v>
      </c>
      <c r="C535" t="s">
        <v>2932</v>
      </c>
      <c r="D535">
        <v>22.95961986</v>
      </c>
      <c r="E535" t="s">
        <v>2929</v>
      </c>
      <c r="F535">
        <v>101.6387569</v>
      </c>
      <c r="G535" t="s">
        <v>2930</v>
      </c>
      <c r="H535">
        <v>21354</v>
      </c>
      <c r="I535" t="s">
        <v>2931</v>
      </c>
    </row>
    <row r="536" spans="1:9" x14ac:dyDescent="0.25">
      <c r="A536" t="s">
        <v>2928</v>
      </c>
      <c r="B536" t="s">
        <v>3359</v>
      </c>
      <c r="C536" t="s">
        <v>2932</v>
      </c>
      <c r="D536">
        <v>26.25924199</v>
      </c>
      <c r="E536" t="s">
        <v>2929</v>
      </c>
      <c r="F536">
        <v>103.7122207</v>
      </c>
      <c r="G536" t="s">
        <v>2930</v>
      </c>
      <c r="H536">
        <v>40155</v>
      </c>
      <c r="I536" t="s">
        <v>2931</v>
      </c>
    </row>
    <row r="537" spans="1:9" x14ac:dyDescent="0.25">
      <c r="A537" t="s">
        <v>2928</v>
      </c>
      <c r="B537" t="s">
        <v>3518</v>
      </c>
      <c r="C537" t="s">
        <v>2932</v>
      </c>
      <c r="D537">
        <v>27.570337640000002</v>
      </c>
      <c r="E537" t="s">
        <v>2929</v>
      </c>
      <c r="F537">
        <v>104.7249449</v>
      </c>
      <c r="G537" t="s">
        <v>2930</v>
      </c>
      <c r="H537">
        <v>60651</v>
      </c>
      <c r="I537" t="s">
        <v>2931</v>
      </c>
    </row>
    <row r="538" spans="1:9" x14ac:dyDescent="0.25">
      <c r="A538" t="s">
        <v>2928</v>
      </c>
      <c r="B538" t="s">
        <v>3194</v>
      </c>
      <c r="C538" t="s">
        <v>2932</v>
      </c>
      <c r="D538">
        <v>26.291802000000001</v>
      </c>
      <c r="E538" t="s">
        <v>2929</v>
      </c>
      <c r="F538">
        <v>102.5431683</v>
      </c>
      <c r="G538" t="s">
        <v>2930</v>
      </c>
      <c r="H538">
        <v>13005</v>
      </c>
      <c r="I538" t="s">
        <v>2931</v>
      </c>
    </row>
    <row r="539" spans="1:9" x14ac:dyDescent="0.25">
      <c r="A539" t="s">
        <v>2928</v>
      </c>
      <c r="B539" t="s">
        <v>3519</v>
      </c>
      <c r="C539" t="s">
        <v>2932</v>
      </c>
      <c r="D539">
        <v>27.433613399999999</v>
      </c>
      <c r="E539" t="s">
        <v>2929</v>
      </c>
      <c r="F539">
        <v>104.8731729</v>
      </c>
      <c r="G539" t="s">
        <v>2930</v>
      </c>
      <c r="H539">
        <v>132606</v>
      </c>
      <c r="I539" t="s">
        <v>2931</v>
      </c>
    </row>
    <row r="540" spans="1:9" x14ac:dyDescent="0.25">
      <c r="A540" t="s">
        <v>2928</v>
      </c>
      <c r="B540" t="s">
        <v>3520</v>
      </c>
      <c r="C540" t="s">
        <v>2932</v>
      </c>
      <c r="D540">
        <v>28.10800317</v>
      </c>
      <c r="E540" t="s">
        <v>2929</v>
      </c>
      <c r="F540">
        <v>103.5035762</v>
      </c>
      <c r="G540" t="s">
        <v>2930</v>
      </c>
      <c r="H540">
        <v>25852</v>
      </c>
      <c r="I540" t="s">
        <v>2931</v>
      </c>
    </row>
    <row r="541" spans="1:9" x14ac:dyDescent="0.25">
      <c r="A541" t="s">
        <v>2928</v>
      </c>
      <c r="B541" t="s">
        <v>3009</v>
      </c>
      <c r="C541" t="s">
        <v>2932</v>
      </c>
      <c r="D541">
        <v>25.175326080000001</v>
      </c>
      <c r="E541" t="s">
        <v>2929</v>
      </c>
      <c r="F541">
        <v>101.0024856</v>
      </c>
      <c r="G541" t="s">
        <v>2930</v>
      </c>
      <c r="H541">
        <v>18018</v>
      </c>
      <c r="I541" t="s">
        <v>2931</v>
      </c>
    </row>
    <row r="542" spans="1:9" x14ac:dyDescent="0.25">
      <c r="A542" t="s">
        <v>2928</v>
      </c>
      <c r="B542" t="s">
        <v>3149</v>
      </c>
      <c r="C542" t="s">
        <v>2932</v>
      </c>
      <c r="D542">
        <v>24.517996199999999</v>
      </c>
      <c r="E542" t="s">
        <v>2929</v>
      </c>
      <c r="F542">
        <v>103.6086476</v>
      </c>
      <c r="G542" t="s">
        <v>2930</v>
      </c>
      <c r="H542">
        <v>45669</v>
      </c>
      <c r="I542" t="s">
        <v>2931</v>
      </c>
    </row>
    <row r="543" spans="1:9" x14ac:dyDescent="0.25">
      <c r="A543" t="s">
        <v>2928</v>
      </c>
      <c r="B543" t="s">
        <v>3071</v>
      </c>
      <c r="C543" t="s">
        <v>2932</v>
      </c>
      <c r="D543">
        <v>24.808333820000001</v>
      </c>
      <c r="E543" t="s">
        <v>2929</v>
      </c>
      <c r="F543">
        <v>100.5724025</v>
      </c>
      <c r="G543" t="s">
        <v>2930</v>
      </c>
      <c r="H543">
        <v>34202</v>
      </c>
      <c r="I543" t="s">
        <v>2931</v>
      </c>
    </row>
    <row r="544" spans="1:9" x14ac:dyDescent="0.25">
      <c r="A544" t="s">
        <v>2928</v>
      </c>
      <c r="B544" t="s">
        <v>3195</v>
      </c>
      <c r="C544" t="s">
        <v>2932</v>
      </c>
      <c r="D544">
        <v>26.05665746</v>
      </c>
      <c r="E544" t="s">
        <v>2929</v>
      </c>
      <c r="F544">
        <v>103.10119760000001</v>
      </c>
      <c r="G544" t="s">
        <v>2930</v>
      </c>
      <c r="H544">
        <v>16371</v>
      </c>
      <c r="I544" t="s">
        <v>2931</v>
      </c>
    </row>
    <row r="545" spans="1:9" x14ac:dyDescent="0.25">
      <c r="A545" t="s">
        <v>2928</v>
      </c>
      <c r="B545" t="s">
        <v>3196</v>
      </c>
      <c r="C545" t="s">
        <v>2932</v>
      </c>
      <c r="D545">
        <v>25.500063059999999</v>
      </c>
      <c r="E545" t="s">
        <v>2929</v>
      </c>
      <c r="F545">
        <v>102.99897180000001</v>
      </c>
      <c r="G545" t="s">
        <v>2930</v>
      </c>
      <c r="H545">
        <v>20304</v>
      </c>
      <c r="I545" t="s">
        <v>2931</v>
      </c>
    </row>
    <row r="546" spans="1:9" x14ac:dyDescent="0.25">
      <c r="A546" t="s">
        <v>2928</v>
      </c>
      <c r="B546" t="s">
        <v>3072</v>
      </c>
      <c r="C546" t="s">
        <v>2932</v>
      </c>
      <c r="D546">
        <v>25.502476810000001</v>
      </c>
      <c r="E546" t="s">
        <v>2929</v>
      </c>
      <c r="F546">
        <v>100.5314537</v>
      </c>
      <c r="G546" t="s">
        <v>2930</v>
      </c>
      <c r="H546">
        <v>121959</v>
      </c>
      <c r="I546" t="s">
        <v>2931</v>
      </c>
    </row>
    <row r="547" spans="1:9" x14ac:dyDescent="0.25">
      <c r="A547" t="s">
        <v>2928</v>
      </c>
      <c r="B547" t="s">
        <v>2962</v>
      </c>
      <c r="C547" t="s">
        <v>2932</v>
      </c>
      <c r="D547">
        <v>24.393986829999999</v>
      </c>
      <c r="E547" t="s">
        <v>2929</v>
      </c>
      <c r="F547">
        <v>98.781081630000003</v>
      </c>
      <c r="G547" t="s">
        <v>2930</v>
      </c>
      <c r="H547">
        <v>33829</v>
      </c>
      <c r="I547" t="s">
        <v>2931</v>
      </c>
    </row>
    <row r="548" spans="1:9" x14ac:dyDescent="0.25">
      <c r="A548" t="s">
        <v>2928</v>
      </c>
      <c r="B548" t="s">
        <v>3521</v>
      </c>
      <c r="C548" t="s">
        <v>2932</v>
      </c>
      <c r="D548">
        <v>28.57615466</v>
      </c>
      <c r="E548" t="s">
        <v>2929</v>
      </c>
      <c r="F548">
        <v>104.3065647</v>
      </c>
      <c r="G548" t="s">
        <v>2930</v>
      </c>
      <c r="H548">
        <v>72283</v>
      </c>
      <c r="I548" t="s">
        <v>2931</v>
      </c>
    </row>
    <row r="549" spans="1:9" x14ac:dyDescent="0.25">
      <c r="A549" t="s">
        <v>2928</v>
      </c>
      <c r="B549" t="s">
        <v>3360</v>
      </c>
      <c r="C549" t="s">
        <v>2932</v>
      </c>
      <c r="D549">
        <v>25.073055570000001</v>
      </c>
      <c r="E549" t="s">
        <v>2929</v>
      </c>
      <c r="F549">
        <v>103.53750909999999</v>
      </c>
      <c r="G549" t="s">
        <v>2930</v>
      </c>
      <c r="H549">
        <v>39139</v>
      </c>
      <c r="I549" t="s">
        <v>2931</v>
      </c>
    </row>
    <row r="550" spans="1:9" x14ac:dyDescent="0.25">
      <c r="A550" t="s">
        <v>2928</v>
      </c>
      <c r="B550" t="s">
        <v>3403</v>
      </c>
      <c r="C550" t="s">
        <v>2932</v>
      </c>
      <c r="D550">
        <v>22.781924650000001</v>
      </c>
      <c r="E550" t="s">
        <v>2929</v>
      </c>
      <c r="F550">
        <v>104.3161503</v>
      </c>
      <c r="G550" t="s">
        <v>2930</v>
      </c>
      <c r="H550">
        <v>13453</v>
      </c>
      <c r="I550" t="s">
        <v>2931</v>
      </c>
    </row>
    <row r="551" spans="1:9" x14ac:dyDescent="0.25">
      <c r="A551" t="s">
        <v>2928</v>
      </c>
      <c r="B551" t="s">
        <v>3522</v>
      </c>
      <c r="C551" t="s">
        <v>2932</v>
      </c>
      <c r="D551">
        <v>27.7567384</v>
      </c>
      <c r="E551" t="s">
        <v>2929</v>
      </c>
      <c r="F551">
        <v>104.2663857</v>
      </c>
      <c r="G551" t="s">
        <v>2930</v>
      </c>
      <c r="H551">
        <v>23583</v>
      </c>
      <c r="I551" t="s">
        <v>2931</v>
      </c>
    </row>
    <row r="552" spans="1:9" x14ac:dyDescent="0.25">
      <c r="A552" t="s">
        <v>2928</v>
      </c>
      <c r="B552" t="s">
        <v>3523</v>
      </c>
      <c r="C552" t="s">
        <v>2932</v>
      </c>
      <c r="D552">
        <v>27.230588900000001</v>
      </c>
      <c r="E552" t="s">
        <v>2929</v>
      </c>
      <c r="F552">
        <v>103.1616149</v>
      </c>
      <c r="G552" t="s">
        <v>2930</v>
      </c>
      <c r="H552">
        <v>40240</v>
      </c>
      <c r="I552" t="s">
        <v>2931</v>
      </c>
    </row>
    <row r="553" spans="1:9" x14ac:dyDescent="0.25">
      <c r="A553" t="s">
        <v>2928</v>
      </c>
      <c r="B553" t="s">
        <v>5001</v>
      </c>
      <c r="C553" t="s">
        <v>2932</v>
      </c>
      <c r="D553">
        <v>25.346330720000001</v>
      </c>
      <c r="E553" t="s">
        <v>2929</v>
      </c>
      <c r="F553">
        <v>103.1445231</v>
      </c>
      <c r="G553" t="s">
        <v>2930</v>
      </c>
      <c r="H553">
        <v>62033</v>
      </c>
      <c r="I553" t="s">
        <v>2931</v>
      </c>
    </row>
    <row r="554" spans="1:9" x14ac:dyDescent="0.25">
      <c r="A554" t="s">
        <v>2928</v>
      </c>
      <c r="B554" t="s">
        <v>5002</v>
      </c>
      <c r="C554" t="s">
        <v>2932</v>
      </c>
      <c r="D554">
        <v>23.27975649</v>
      </c>
      <c r="E554" t="s">
        <v>2929</v>
      </c>
      <c r="F554">
        <v>103.97798969999999</v>
      </c>
      <c r="G554" t="s">
        <v>2930</v>
      </c>
      <c r="H554">
        <v>22180</v>
      </c>
      <c r="I554" t="s">
        <v>2931</v>
      </c>
    </row>
    <row r="555" spans="1:9" x14ac:dyDescent="0.25">
      <c r="A555" t="s">
        <v>2928</v>
      </c>
      <c r="B555" t="s">
        <v>3150</v>
      </c>
      <c r="C555" t="s">
        <v>2932</v>
      </c>
      <c r="D555">
        <v>23.8134321</v>
      </c>
      <c r="E555" t="s">
        <v>2929</v>
      </c>
      <c r="F555">
        <v>103.1486416</v>
      </c>
      <c r="G555" t="s">
        <v>2930</v>
      </c>
      <c r="H555">
        <v>24986</v>
      </c>
      <c r="I555" t="s">
        <v>2931</v>
      </c>
    </row>
    <row r="556" spans="1:9" x14ac:dyDescent="0.25">
      <c r="A556" t="s">
        <v>2928</v>
      </c>
      <c r="B556" t="s">
        <v>3246</v>
      </c>
      <c r="C556" t="s">
        <v>2932</v>
      </c>
      <c r="D556">
        <v>24.27306213</v>
      </c>
      <c r="E556" t="s">
        <v>2929</v>
      </c>
      <c r="F556">
        <v>99.260781100000003</v>
      </c>
      <c r="G556" t="s">
        <v>2930</v>
      </c>
      <c r="H556">
        <v>56127</v>
      </c>
      <c r="I556" t="s">
        <v>2931</v>
      </c>
    </row>
    <row r="557" spans="1:9" x14ac:dyDescent="0.25">
      <c r="A557" t="s">
        <v>2928</v>
      </c>
      <c r="B557" t="s">
        <v>3247</v>
      </c>
      <c r="C557" t="s">
        <v>2932</v>
      </c>
      <c r="D557">
        <v>24.652440949999999</v>
      </c>
      <c r="E557" t="s">
        <v>2929</v>
      </c>
      <c r="F557">
        <v>100.0670066</v>
      </c>
      <c r="G557" t="s">
        <v>2930</v>
      </c>
      <c r="H557">
        <v>27547</v>
      </c>
      <c r="I557" t="s">
        <v>2931</v>
      </c>
    </row>
    <row r="558" spans="1:9" x14ac:dyDescent="0.25">
      <c r="A558" t="s">
        <v>2928</v>
      </c>
      <c r="B558" t="s">
        <v>3073</v>
      </c>
      <c r="C558" t="s">
        <v>2932</v>
      </c>
      <c r="D558">
        <v>24.778787430000001</v>
      </c>
      <c r="E558" t="s">
        <v>2929</v>
      </c>
      <c r="F558">
        <v>100.1957513</v>
      </c>
      <c r="G558" t="s">
        <v>2930</v>
      </c>
      <c r="H558">
        <v>18104</v>
      </c>
      <c r="I558" t="s">
        <v>2931</v>
      </c>
    </row>
    <row r="559" spans="1:9" x14ac:dyDescent="0.25">
      <c r="A559" t="s">
        <v>2928</v>
      </c>
      <c r="B559" t="s">
        <v>3524</v>
      </c>
      <c r="C559" t="s">
        <v>2932</v>
      </c>
      <c r="D559">
        <v>27.205422280000001</v>
      </c>
      <c r="E559" t="s">
        <v>2929</v>
      </c>
      <c r="F559">
        <v>103.49026379999999</v>
      </c>
      <c r="G559" t="s">
        <v>2930</v>
      </c>
      <c r="H559">
        <v>18896</v>
      </c>
      <c r="I559" t="s">
        <v>2931</v>
      </c>
    </row>
    <row r="560" spans="1:9" x14ac:dyDescent="0.25">
      <c r="A560" t="s">
        <v>2928</v>
      </c>
      <c r="B560" t="s">
        <v>3113</v>
      </c>
      <c r="C560" t="s">
        <v>2932</v>
      </c>
      <c r="D560">
        <v>27.556930399999999</v>
      </c>
      <c r="E560" t="s">
        <v>2929</v>
      </c>
      <c r="F560">
        <v>99.799352740000003</v>
      </c>
      <c r="G560" t="s">
        <v>2930</v>
      </c>
      <c r="H560">
        <v>10169</v>
      </c>
      <c r="I560" t="s">
        <v>2931</v>
      </c>
    </row>
    <row r="561" spans="1:9" x14ac:dyDescent="0.25">
      <c r="A561" t="s">
        <v>2928</v>
      </c>
      <c r="B561" t="s">
        <v>3074</v>
      </c>
      <c r="C561" t="s">
        <v>2932</v>
      </c>
      <c r="D561">
        <v>25.418582480000001</v>
      </c>
      <c r="E561" t="s">
        <v>2929</v>
      </c>
      <c r="F561">
        <v>100.82515890000001</v>
      </c>
      <c r="G561" t="s">
        <v>2930</v>
      </c>
      <c r="H561">
        <v>53954</v>
      </c>
      <c r="I561" t="s">
        <v>2931</v>
      </c>
    </row>
    <row r="562" spans="1:9" x14ac:dyDescent="0.25">
      <c r="A562" t="s">
        <v>2928</v>
      </c>
      <c r="B562" t="s">
        <v>3151</v>
      </c>
      <c r="C562" t="s">
        <v>2932</v>
      </c>
      <c r="D562">
        <v>23.359533580000001</v>
      </c>
      <c r="E562" t="s">
        <v>2929</v>
      </c>
      <c r="F562">
        <v>103.13636630000001</v>
      </c>
      <c r="G562" t="s">
        <v>2930</v>
      </c>
      <c r="H562">
        <v>29744</v>
      </c>
      <c r="I562" t="s">
        <v>2931</v>
      </c>
    </row>
    <row r="563" spans="1:9" x14ac:dyDescent="0.25">
      <c r="A563" t="s">
        <v>2928</v>
      </c>
      <c r="B563" t="s">
        <v>3152</v>
      </c>
      <c r="C563" t="s">
        <v>2932</v>
      </c>
      <c r="D563">
        <v>24.403658499999999</v>
      </c>
      <c r="E563" t="s">
        <v>2929</v>
      </c>
      <c r="F563">
        <v>103.165493</v>
      </c>
      <c r="G563" t="s">
        <v>2930</v>
      </c>
      <c r="H563">
        <v>40539</v>
      </c>
      <c r="I563" t="s">
        <v>2931</v>
      </c>
    </row>
    <row r="564" spans="1:9" x14ac:dyDescent="0.25">
      <c r="A564" t="s">
        <v>2928</v>
      </c>
      <c r="B564" t="s">
        <v>3197</v>
      </c>
      <c r="C564" t="s">
        <v>2932</v>
      </c>
      <c r="D564">
        <v>24.810517740000002</v>
      </c>
      <c r="E564" t="s">
        <v>2929</v>
      </c>
      <c r="F564">
        <v>103.5518174</v>
      </c>
      <c r="G564" t="s">
        <v>2930</v>
      </c>
      <c r="H564">
        <v>18804</v>
      </c>
      <c r="I564" t="s">
        <v>2931</v>
      </c>
    </row>
    <row r="565" spans="1:9" x14ac:dyDescent="0.25">
      <c r="A565" t="s">
        <v>2928</v>
      </c>
      <c r="B565" t="s">
        <v>3525</v>
      </c>
      <c r="C565" t="s">
        <v>2932</v>
      </c>
      <c r="D565">
        <v>28.175390870000001</v>
      </c>
      <c r="E565" t="s">
        <v>2929</v>
      </c>
      <c r="F565">
        <v>103.6739508</v>
      </c>
      <c r="G565" t="s">
        <v>2930</v>
      </c>
      <c r="H565">
        <v>95439</v>
      </c>
      <c r="I565" t="s">
        <v>2931</v>
      </c>
    </row>
    <row r="566" spans="1:9" x14ac:dyDescent="0.25">
      <c r="A566" t="s">
        <v>2928</v>
      </c>
      <c r="B566" t="s">
        <v>3101</v>
      </c>
      <c r="C566" t="s">
        <v>2932</v>
      </c>
      <c r="D566">
        <v>24.767907829999999</v>
      </c>
      <c r="E566" t="s">
        <v>2929</v>
      </c>
      <c r="F566">
        <v>97.711915399999995</v>
      </c>
      <c r="G566" t="s">
        <v>2930</v>
      </c>
      <c r="H566">
        <v>11740</v>
      </c>
      <c r="I566" t="s">
        <v>2931</v>
      </c>
    </row>
    <row r="567" spans="1:9" x14ac:dyDescent="0.25">
      <c r="A567" t="s">
        <v>2928</v>
      </c>
      <c r="B567" t="s">
        <v>3313</v>
      </c>
      <c r="C567" t="s">
        <v>2932</v>
      </c>
      <c r="D567">
        <v>23.564857880000002</v>
      </c>
      <c r="E567" t="s">
        <v>2929</v>
      </c>
      <c r="F567">
        <v>101.53222169999999</v>
      </c>
      <c r="G567" t="s">
        <v>2930</v>
      </c>
      <c r="H567">
        <v>18026</v>
      </c>
      <c r="I567" t="s">
        <v>2931</v>
      </c>
    </row>
    <row r="568" spans="1:9" x14ac:dyDescent="0.25">
      <c r="A568" t="s">
        <v>2928</v>
      </c>
      <c r="B568" t="s">
        <v>3153</v>
      </c>
      <c r="C568" t="s">
        <v>2932</v>
      </c>
      <c r="D568">
        <v>23.306692890000001</v>
      </c>
      <c r="E568" t="s">
        <v>2929</v>
      </c>
      <c r="F568">
        <v>103.4555537</v>
      </c>
      <c r="G568" t="s">
        <v>2930</v>
      </c>
      <c r="H568">
        <v>43808</v>
      </c>
      <c r="I568" t="s">
        <v>2931</v>
      </c>
    </row>
    <row r="569" spans="1:9" x14ac:dyDescent="0.25">
      <c r="A569" t="s">
        <v>2928</v>
      </c>
      <c r="B569" t="s">
        <v>3314</v>
      </c>
      <c r="C569" t="s">
        <v>2932</v>
      </c>
      <c r="D569">
        <v>22.8603977</v>
      </c>
      <c r="E569" t="s">
        <v>2929</v>
      </c>
      <c r="F569">
        <v>99.485118589999999</v>
      </c>
      <c r="G569" t="s">
        <v>2930</v>
      </c>
      <c r="H569">
        <v>11789</v>
      </c>
      <c r="I569" t="s">
        <v>2931</v>
      </c>
    </row>
    <row r="570" spans="1:9" x14ac:dyDescent="0.25">
      <c r="A570" t="s">
        <v>2928</v>
      </c>
      <c r="B570" t="s">
        <v>3010</v>
      </c>
      <c r="C570" t="s">
        <v>2932</v>
      </c>
      <c r="D570">
        <v>24.649074509999998</v>
      </c>
      <c r="E570" t="s">
        <v>2929</v>
      </c>
      <c r="F570">
        <v>101.2102288</v>
      </c>
      <c r="G570" t="s">
        <v>2930</v>
      </c>
      <c r="H570">
        <v>14270</v>
      </c>
      <c r="I570" t="s">
        <v>2931</v>
      </c>
    </row>
    <row r="571" spans="1:9" x14ac:dyDescent="0.25">
      <c r="A571" t="s">
        <v>2928</v>
      </c>
      <c r="B571" t="s">
        <v>3526</v>
      </c>
      <c r="C571" t="s">
        <v>2932</v>
      </c>
      <c r="D571">
        <v>27.086642659999999</v>
      </c>
      <c r="E571" t="s">
        <v>2929</v>
      </c>
      <c r="F571">
        <v>103.2261738</v>
      </c>
      <c r="G571" t="s">
        <v>2930</v>
      </c>
      <c r="H571">
        <v>29297</v>
      </c>
      <c r="I571" t="s">
        <v>2931</v>
      </c>
    </row>
    <row r="572" spans="1:9" x14ac:dyDescent="0.25">
      <c r="A572" t="s">
        <v>2928</v>
      </c>
      <c r="B572" t="s">
        <v>3315</v>
      </c>
      <c r="C572" t="s">
        <v>2932</v>
      </c>
      <c r="D572">
        <v>23.657810789999999</v>
      </c>
      <c r="E572" t="s">
        <v>2929</v>
      </c>
      <c r="F572">
        <v>101.320263</v>
      </c>
      <c r="G572" t="s">
        <v>2930</v>
      </c>
      <c r="H572">
        <v>19379</v>
      </c>
      <c r="I572" t="s">
        <v>2931</v>
      </c>
    </row>
    <row r="573" spans="1:9" x14ac:dyDescent="0.25">
      <c r="A573" t="s">
        <v>2928</v>
      </c>
      <c r="B573" t="s">
        <v>3248</v>
      </c>
      <c r="C573" t="s">
        <v>2932</v>
      </c>
      <c r="D573">
        <v>24.14025191</v>
      </c>
      <c r="E573" t="s">
        <v>2929</v>
      </c>
      <c r="F573">
        <v>99.899539860000004</v>
      </c>
      <c r="G573" t="s">
        <v>2930</v>
      </c>
      <c r="H573">
        <v>47479</v>
      </c>
      <c r="I573" t="s">
        <v>2931</v>
      </c>
    </row>
    <row r="574" spans="1:9" x14ac:dyDescent="0.25">
      <c r="A574" t="s">
        <v>2928</v>
      </c>
      <c r="B574" t="s">
        <v>3404</v>
      </c>
      <c r="C574" t="s">
        <v>2932</v>
      </c>
      <c r="D574">
        <v>23.26439294</v>
      </c>
      <c r="E574" t="s">
        <v>2929</v>
      </c>
      <c r="F574">
        <v>104.6080266</v>
      </c>
      <c r="G574" t="s">
        <v>2930</v>
      </c>
      <c r="H574">
        <v>51005</v>
      </c>
      <c r="I574" t="s">
        <v>2931</v>
      </c>
    </row>
    <row r="575" spans="1:9" x14ac:dyDescent="0.25">
      <c r="A575" t="s">
        <v>2928</v>
      </c>
      <c r="B575" t="s">
        <v>3222</v>
      </c>
      <c r="C575" t="s">
        <v>2932</v>
      </c>
      <c r="D575">
        <v>26.695980030000001</v>
      </c>
      <c r="E575" t="s">
        <v>2929</v>
      </c>
      <c r="F575">
        <v>101.4030539</v>
      </c>
      <c r="G575" t="s">
        <v>2930</v>
      </c>
      <c r="H575">
        <v>17926</v>
      </c>
      <c r="I575" t="s">
        <v>2931</v>
      </c>
    </row>
    <row r="576" spans="1:9" x14ac:dyDescent="0.25">
      <c r="A576" t="s">
        <v>2928</v>
      </c>
      <c r="B576" t="s">
        <v>3405</v>
      </c>
      <c r="C576" t="s">
        <v>2932</v>
      </c>
      <c r="D576">
        <v>23.650035419999998</v>
      </c>
      <c r="E576" t="s">
        <v>2929</v>
      </c>
      <c r="F576">
        <v>105.61007119999999</v>
      </c>
      <c r="G576" t="s">
        <v>2930</v>
      </c>
      <c r="H576">
        <v>67976</v>
      </c>
      <c r="I576" t="s">
        <v>2931</v>
      </c>
    </row>
    <row r="577" spans="1:9" x14ac:dyDescent="0.25">
      <c r="A577" t="s">
        <v>2928</v>
      </c>
      <c r="B577" t="s">
        <v>5003</v>
      </c>
      <c r="C577" t="s">
        <v>2932</v>
      </c>
      <c r="D577">
        <v>25.81121182</v>
      </c>
      <c r="E577" t="s">
        <v>2929</v>
      </c>
      <c r="F577">
        <v>101.22980130000001</v>
      </c>
      <c r="G577" t="s">
        <v>2930</v>
      </c>
      <c r="H577">
        <v>25273</v>
      </c>
      <c r="I577" t="s">
        <v>2931</v>
      </c>
    </row>
    <row r="578" spans="1:9" x14ac:dyDescent="0.25">
      <c r="A578" t="s">
        <v>2928</v>
      </c>
      <c r="B578" t="s">
        <v>5004</v>
      </c>
      <c r="C578" t="s">
        <v>2932</v>
      </c>
      <c r="D578">
        <v>25.368814149999999</v>
      </c>
      <c r="E578" t="s">
        <v>2929</v>
      </c>
      <c r="F578">
        <v>100.4100354</v>
      </c>
      <c r="G578" t="s">
        <v>2930</v>
      </c>
      <c r="H578">
        <v>49446</v>
      </c>
      <c r="I578" t="s">
        <v>2931</v>
      </c>
    </row>
    <row r="579" spans="1:9" x14ac:dyDescent="0.25">
      <c r="A579" t="s">
        <v>2928</v>
      </c>
      <c r="B579" t="s">
        <v>5005</v>
      </c>
      <c r="C579" t="s">
        <v>2932</v>
      </c>
      <c r="D579">
        <v>23.140203209999999</v>
      </c>
      <c r="E579" t="s">
        <v>2929</v>
      </c>
      <c r="F579">
        <v>102.78059349999999</v>
      </c>
      <c r="G579" t="s">
        <v>2930</v>
      </c>
      <c r="H579">
        <v>74572</v>
      </c>
      <c r="I579" t="s">
        <v>2931</v>
      </c>
    </row>
    <row r="580" spans="1:9" x14ac:dyDescent="0.25">
      <c r="A580" t="s">
        <v>2928</v>
      </c>
      <c r="B580" t="s">
        <v>5006</v>
      </c>
      <c r="C580" t="s">
        <v>2932</v>
      </c>
      <c r="D580">
        <v>27.45944514</v>
      </c>
      <c r="E580" t="s">
        <v>2929</v>
      </c>
      <c r="F580">
        <v>103.41742600000001</v>
      </c>
      <c r="G580" t="s">
        <v>2930</v>
      </c>
      <c r="H580">
        <v>18872</v>
      </c>
      <c r="I580" t="s">
        <v>2931</v>
      </c>
    </row>
    <row r="581" spans="1:9" x14ac:dyDescent="0.25">
      <c r="A581" t="s">
        <v>2928</v>
      </c>
      <c r="B581" t="s">
        <v>3011</v>
      </c>
      <c r="C581" t="s">
        <v>2932</v>
      </c>
      <c r="D581">
        <v>25.375009330000001</v>
      </c>
      <c r="E581" t="s">
        <v>2929</v>
      </c>
      <c r="F581">
        <v>101.6225025</v>
      </c>
      <c r="G581" t="s">
        <v>2930</v>
      </c>
      <c r="H581">
        <v>29294</v>
      </c>
      <c r="I581" t="s">
        <v>2931</v>
      </c>
    </row>
    <row r="582" spans="1:9" x14ac:dyDescent="0.25">
      <c r="A582" t="s">
        <v>2928</v>
      </c>
      <c r="B582" t="s">
        <v>3154</v>
      </c>
      <c r="C582" t="s">
        <v>2932</v>
      </c>
      <c r="D582">
        <v>24.272007519999999</v>
      </c>
      <c r="E582" t="s">
        <v>2929</v>
      </c>
      <c r="F582">
        <v>103.442263</v>
      </c>
      <c r="G582" t="s">
        <v>2930</v>
      </c>
      <c r="H582">
        <v>58791</v>
      </c>
      <c r="I582" t="s">
        <v>2931</v>
      </c>
    </row>
    <row r="583" spans="1:9" x14ac:dyDescent="0.25">
      <c r="A583" t="s">
        <v>2928</v>
      </c>
      <c r="B583" t="s">
        <v>3527</v>
      </c>
      <c r="C583" t="s">
        <v>2932</v>
      </c>
      <c r="D583">
        <v>28.58962374</v>
      </c>
      <c r="E583" t="s">
        <v>2929</v>
      </c>
      <c r="F583">
        <v>104.0973436</v>
      </c>
      <c r="G583" t="s">
        <v>2930</v>
      </c>
      <c r="H583">
        <v>22624</v>
      </c>
      <c r="I583" t="s">
        <v>2931</v>
      </c>
    </row>
    <row r="584" spans="1:9" x14ac:dyDescent="0.25">
      <c r="A584" t="s">
        <v>2928</v>
      </c>
      <c r="B584" t="s">
        <v>3075</v>
      </c>
      <c r="C584" t="s">
        <v>2932</v>
      </c>
      <c r="D584">
        <v>26.632609179999999</v>
      </c>
      <c r="E584" t="s">
        <v>2929</v>
      </c>
      <c r="F584">
        <v>100.2491622</v>
      </c>
      <c r="G584" t="s">
        <v>2930</v>
      </c>
      <c r="H584">
        <v>34649</v>
      </c>
      <c r="I584" t="s">
        <v>2931</v>
      </c>
    </row>
    <row r="585" spans="1:9" x14ac:dyDescent="0.25">
      <c r="A585" t="s">
        <v>2928</v>
      </c>
      <c r="B585" t="s">
        <v>3155</v>
      </c>
      <c r="C585" t="s">
        <v>2932</v>
      </c>
      <c r="D585">
        <v>23.095585140000001</v>
      </c>
      <c r="E585" t="s">
        <v>2929</v>
      </c>
      <c r="F585">
        <v>103.5356479</v>
      </c>
      <c r="G585" t="s">
        <v>2930</v>
      </c>
      <c r="H585">
        <v>21159</v>
      </c>
      <c r="I585" t="s">
        <v>2931</v>
      </c>
    </row>
    <row r="586" spans="1:9" x14ac:dyDescent="0.25">
      <c r="A586" t="s">
        <v>2928</v>
      </c>
      <c r="B586" t="s">
        <v>3361</v>
      </c>
      <c r="C586" t="s">
        <v>2932</v>
      </c>
      <c r="D586">
        <v>24.903819840000001</v>
      </c>
      <c r="E586" t="s">
        <v>2929</v>
      </c>
      <c r="F586">
        <v>103.8851276</v>
      </c>
      <c r="G586" t="s">
        <v>2930</v>
      </c>
      <c r="H586">
        <v>54312</v>
      </c>
      <c r="I586" t="s">
        <v>2931</v>
      </c>
    </row>
    <row r="587" spans="1:9" x14ac:dyDescent="0.25">
      <c r="A587" t="s">
        <v>2928</v>
      </c>
      <c r="B587" t="s">
        <v>3362</v>
      </c>
      <c r="C587" t="s">
        <v>2932</v>
      </c>
      <c r="D587">
        <v>25.612600870000001</v>
      </c>
      <c r="E587" t="s">
        <v>2929</v>
      </c>
      <c r="F587">
        <v>103.82059390000001</v>
      </c>
      <c r="G587" t="s">
        <v>2930</v>
      </c>
      <c r="H587">
        <v>124670</v>
      </c>
      <c r="I587" t="s">
        <v>2931</v>
      </c>
    </row>
    <row r="588" spans="1:9" x14ac:dyDescent="0.25">
      <c r="A588" t="s">
        <v>2928</v>
      </c>
      <c r="B588" t="s">
        <v>3406</v>
      </c>
      <c r="C588" t="s">
        <v>2932</v>
      </c>
      <c r="D588">
        <v>23.44365809</v>
      </c>
      <c r="E588" t="s">
        <v>2929</v>
      </c>
      <c r="F588">
        <v>104.6793929</v>
      </c>
      <c r="G588" t="s">
        <v>2930</v>
      </c>
      <c r="H588">
        <v>45518</v>
      </c>
      <c r="I588" t="s">
        <v>2931</v>
      </c>
    </row>
    <row r="589" spans="1:9" x14ac:dyDescent="0.25">
      <c r="A589" t="s">
        <v>2928</v>
      </c>
      <c r="B589" t="s">
        <v>3156</v>
      </c>
      <c r="C589" t="s">
        <v>2932</v>
      </c>
      <c r="D589">
        <v>24.553674480000002</v>
      </c>
      <c r="E589" t="s">
        <v>2929</v>
      </c>
      <c r="F589">
        <v>103.3577183</v>
      </c>
      <c r="G589" t="s">
        <v>2930</v>
      </c>
      <c r="H589">
        <v>23980</v>
      </c>
      <c r="I589" t="s">
        <v>2931</v>
      </c>
    </row>
    <row r="590" spans="1:9" x14ac:dyDescent="0.25">
      <c r="A590" t="s">
        <v>2928</v>
      </c>
      <c r="B590" t="s">
        <v>3012</v>
      </c>
      <c r="C590" t="s">
        <v>2932</v>
      </c>
      <c r="D590">
        <v>24.641510820000001</v>
      </c>
      <c r="E590" t="s">
        <v>2929</v>
      </c>
      <c r="F590">
        <v>101.0425395</v>
      </c>
      <c r="G590" t="s">
        <v>2930</v>
      </c>
      <c r="H590">
        <v>18448</v>
      </c>
      <c r="I590" t="s">
        <v>2931</v>
      </c>
    </row>
    <row r="591" spans="1:9" x14ac:dyDescent="0.25">
      <c r="A591" t="s">
        <v>2928</v>
      </c>
      <c r="B591" t="s">
        <v>3076</v>
      </c>
      <c r="C591" t="s">
        <v>2932</v>
      </c>
      <c r="D591">
        <v>26.221075249999998</v>
      </c>
      <c r="E591" t="s">
        <v>2929</v>
      </c>
      <c r="F591">
        <v>100.198123</v>
      </c>
      <c r="G591" t="s">
        <v>2930</v>
      </c>
      <c r="H591">
        <v>14372</v>
      </c>
      <c r="I591" t="s">
        <v>2931</v>
      </c>
    </row>
    <row r="592" spans="1:9" x14ac:dyDescent="0.25">
      <c r="A592" t="s">
        <v>2928</v>
      </c>
      <c r="B592" t="s">
        <v>3157</v>
      </c>
      <c r="C592" t="s">
        <v>2932</v>
      </c>
      <c r="D592">
        <v>24.404710720000001</v>
      </c>
      <c r="E592" t="s">
        <v>2929</v>
      </c>
      <c r="F592">
        <v>103.30039720000001</v>
      </c>
      <c r="G592" t="s">
        <v>2930</v>
      </c>
      <c r="H592">
        <v>27425</v>
      </c>
      <c r="I592" t="s">
        <v>2931</v>
      </c>
    </row>
    <row r="593" spans="1:9" x14ac:dyDescent="0.25">
      <c r="A593" t="s">
        <v>2928</v>
      </c>
      <c r="B593" t="s">
        <v>3077</v>
      </c>
      <c r="C593" t="s">
        <v>2932</v>
      </c>
      <c r="D593">
        <v>25.871384290000002</v>
      </c>
      <c r="E593" t="s">
        <v>2929</v>
      </c>
      <c r="F593">
        <v>100.070728</v>
      </c>
      <c r="G593" t="s">
        <v>2930</v>
      </c>
      <c r="H593">
        <v>54939</v>
      </c>
      <c r="I593" t="s">
        <v>2931</v>
      </c>
    </row>
    <row r="594" spans="1:9" x14ac:dyDescent="0.25">
      <c r="A594" t="s">
        <v>2928</v>
      </c>
      <c r="B594" t="s">
        <v>3158</v>
      </c>
      <c r="C594" t="s">
        <v>2932</v>
      </c>
      <c r="D594">
        <v>23.66053737</v>
      </c>
      <c r="E594" t="s">
        <v>2929</v>
      </c>
      <c r="F594">
        <v>102.7376402</v>
      </c>
      <c r="G594" t="s">
        <v>2930</v>
      </c>
      <c r="H594">
        <v>33094</v>
      </c>
      <c r="I594" t="s">
        <v>2931</v>
      </c>
    </row>
    <row r="595" spans="1:9" x14ac:dyDescent="0.25">
      <c r="A595" t="s">
        <v>2928</v>
      </c>
      <c r="B595" t="s">
        <v>3249</v>
      </c>
      <c r="C595" t="s">
        <v>2932</v>
      </c>
      <c r="D595">
        <v>24.340289380000002</v>
      </c>
      <c r="E595" t="s">
        <v>2929</v>
      </c>
      <c r="F595">
        <v>99.946585760000005</v>
      </c>
      <c r="G595" t="s">
        <v>2930</v>
      </c>
      <c r="H595">
        <v>30953</v>
      </c>
      <c r="I595" t="s">
        <v>2931</v>
      </c>
    </row>
    <row r="596" spans="1:9" x14ac:dyDescent="0.25">
      <c r="A596" t="s">
        <v>2928</v>
      </c>
      <c r="B596" t="s">
        <v>3159</v>
      </c>
      <c r="C596" t="s">
        <v>2932</v>
      </c>
      <c r="D596">
        <v>23.985133099999999</v>
      </c>
      <c r="E596" t="s">
        <v>2929</v>
      </c>
      <c r="F596">
        <v>103.22563890000001</v>
      </c>
      <c r="G596" t="s">
        <v>2930</v>
      </c>
      <c r="H596">
        <v>30159</v>
      </c>
      <c r="I596" t="s">
        <v>2931</v>
      </c>
    </row>
    <row r="597" spans="1:9" x14ac:dyDescent="0.25">
      <c r="A597" t="s">
        <v>2928</v>
      </c>
      <c r="B597" t="s">
        <v>3363</v>
      </c>
      <c r="C597" t="s">
        <v>2932</v>
      </c>
      <c r="D597">
        <v>25.983483920000001</v>
      </c>
      <c r="E597" t="s">
        <v>2929</v>
      </c>
      <c r="F597">
        <v>104.2541463</v>
      </c>
      <c r="G597" t="s">
        <v>2930</v>
      </c>
      <c r="H597">
        <v>53588</v>
      </c>
      <c r="I597" t="s">
        <v>2931</v>
      </c>
    </row>
    <row r="598" spans="1:9" x14ac:dyDescent="0.25">
      <c r="A598" t="s">
        <v>2928</v>
      </c>
      <c r="B598" t="s">
        <v>3446</v>
      </c>
      <c r="C598" t="s">
        <v>2932</v>
      </c>
      <c r="D598">
        <v>24.137763830000001</v>
      </c>
      <c r="E598" t="s">
        <v>2929</v>
      </c>
      <c r="F598">
        <v>102.82737710000001</v>
      </c>
      <c r="G598" t="s">
        <v>2930</v>
      </c>
      <c r="H598">
        <v>48512</v>
      </c>
      <c r="I598" t="s">
        <v>2931</v>
      </c>
    </row>
    <row r="599" spans="1:9" x14ac:dyDescent="0.25">
      <c r="A599" t="s">
        <v>2928</v>
      </c>
      <c r="B599" t="s">
        <v>3078</v>
      </c>
      <c r="C599" t="s">
        <v>2932</v>
      </c>
      <c r="D599">
        <v>25.803443489999999</v>
      </c>
      <c r="E599" t="s">
        <v>2929</v>
      </c>
      <c r="F599">
        <v>99.883960920000007</v>
      </c>
      <c r="G599" t="s">
        <v>2930</v>
      </c>
      <c r="H599">
        <v>15272</v>
      </c>
      <c r="I599" t="s">
        <v>2931</v>
      </c>
    </row>
    <row r="600" spans="1:9" x14ac:dyDescent="0.25">
      <c r="A600" t="s">
        <v>2928</v>
      </c>
      <c r="B600" t="s">
        <v>5007</v>
      </c>
      <c r="C600" t="s">
        <v>2932</v>
      </c>
      <c r="D600">
        <v>25.47347735</v>
      </c>
      <c r="E600" t="s">
        <v>2929</v>
      </c>
      <c r="F600">
        <v>101.9325082</v>
      </c>
      <c r="G600" t="s">
        <v>2930</v>
      </c>
      <c r="H600">
        <v>17303</v>
      </c>
      <c r="I600" t="s">
        <v>2931</v>
      </c>
    </row>
    <row r="601" spans="1:9" x14ac:dyDescent="0.25">
      <c r="A601" t="s">
        <v>2928</v>
      </c>
      <c r="B601" t="s">
        <v>5008</v>
      </c>
      <c r="C601" t="s">
        <v>2932</v>
      </c>
      <c r="D601">
        <v>25.469994020000001</v>
      </c>
      <c r="E601" t="s">
        <v>2929</v>
      </c>
      <c r="F601">
        <v>103.1379034</v>
      </c>
      <c r="G601" t="s">
        <v>2930</v>
      </c>
      <c r="H601">
        <v>37786</v>
      </c>
      <c r="I601" t="s">
        <v>2931</v>
      </c>
    </row>
    <row r="602" spans="1:9" x14ac:dyDescent="0.25">
      <c r="A602" t="s">
        <v>2928</v>
      </c>
      <c r="B602" t="s">
        <v>3198</v>
      </c>
      <c r="C602" t="s">
        <v>2932</v>
      </c>
      <c r="D602">
        <v>25.20561477</v>
      </c>
      <c r="E602" t="s">
        <v>2929</v>
      </c>
      <c r="F602">
        <v>103.05432450000001</v>
      </c>
      <c r="G602" t="s">
        <v>2930</v>
      </c>
      <c r="H602">
        <v>62372</v>
      </c>
      <c r="I602" t="s">
        <v>2931</v>
      </c>
    </row>
    <row r="603" spans="1:9" x14ac:dyDescent="0.25">
      <c r="A603" t="s">
        <v>2928</v>
      </c>
      <c r="B603" t="s">
        <v>3364</v>
      </c>
      <c r="C603" t="s">
        <v>2932</v>
      </c>
      <c r="D603">
        <v>26.59562592</v>
      </c>
      <c r="E603" t="s">
        <v>2929</v>
      </c>
      <c r="F603">
        <v>104.2764138</v>
      </c>
      <c r="G603" t="s">
        <v>2930</v>
      </c>
      <c r="H603">
        <v>38248</v>
      </c>
      <c r="I603" t="s">
        <v>2931</v>
      </c>
    </row>
    <row r="604" spans="1:9" x14ac:dyDescent="0.25">
      <c r="A604" t="s">
        <v>2928</v>
      </c>
      <c r="B604" t="s">
        <v>3447</v>
      </c>
      <c r="C604" t="s">
        <v>2932</v>
      </c>
      <c r="D604">
        <v>23.91401557</v>
      </c>
      <c r="E604" t="s">
        <v>2929</v>
      </c>
      <c r="F604">
        <v>102.0687223</v>
      </c>
      <c r="G604" t="s">
        <v>2930</v>
      </c>
      <c r="H604">
        <v>24761</v>
      </c>
      <c r="I604" t="s">
        <v>2931</v>
      </c>
    </row>
    <row r="605" spans="1:9" x14ac:dyDescent="0.25">
      <c r="A605" t="s">
        <v>2928</v>
      </c>
      <c r="B605" t="s">
        <v>3448</v>
      </c>
      <c r="C605" t="s">
        <v>2932</v>
      </c>
      <c r="D605">
        <v>24.826890670000001</v>
      </c>
      <c r="E605" t="s">
        <v>2929</v>
      </c>
      <c r="F605">
        <v>102.9678632</v>
      </c>
      <c r="G605" t="s">
        <v>2930</v>
      </c>
      <c r="H605">
        <v>24429</v>
      </c>
      <c r="I605" t="s">
        <v>2931</v>
      </c>
    </row>
    <row r="606" spans="1:9" x14ac:dyDescent="0.25">
      <c r="A606" t="s">
        <v>2928</v>
      </c>
      <c r="B606" t="s">
        <v>3528</v>
      </c>
      <c r="C606" t="s">
        <v>2932</v>
      </c>
      <c r="D606">
        <v>28.087612190000002</v>
      </c>
      <c r="E606" t="s">
        <v>2929</v>
      </c>
      <c r="F606">
        <v>104.24123849999999</v>
      </c>
      <c r="G606" t="s">
        <v>2930</v>
      </c>
      <c r="H606">
        <v>63050</v>
      </c>
      <c r="I606" t="s">
        <v>2931</v>
      </c>
    </row>
    <row r="607" spans="1:9" x14ac:dyDescent="0.25">
      <c r="A607" t="s">
        <v>2928</v>
      </c>
      <c r="B607" t="s">
        <v>3529</v>
      </c>
      <c r="C607" t="s">
        <v>2932</v>
      </c>
      <c r="D607">
        <v>27.493567370000001</v>
      </c>
      <c r="E607" t="s">
        <v>2929</v>
      </c>
      <c r="F607">
        <v>103.215699</v>
      </c>
      <c r="G607" t="s">
        <v>2930</v>
      </c>
      <c r="H607">
        <v>15420</v>
      </c>
      <c r="I607" t="s">
        <v>2931</v>
      </c>
    </row>
    <row r="608" spans="1:9" x14ac:dyDescent="0.25">
      <c r="A608" t="s">
        <v>2928</v>
      </c>
      <c r="B608" t="s">
        <v>3250</v>
      </c>
      <c r="C608" t="s">
        <v>2932</v>
      </c>
      <c r="D608">
        <v>23.268805220000001</v>
      </c>
      <c r="E608" t="s">
        <v>2929</v>
      </c>
      <c r="F608">
        <v>99.578249749999998</v>
      </c>
      <c r="G608" t="s">
        <v>2930</v>
      </c>
      <c r="H608">
        <v>32486</v>
      </c>
      <c r="I608" t="s">
        <v>2931</v>
      </c>
    </row>
    <row r="609" spans="1:9" x14ac:dyDescent="0.25">
      <c r="A609" t="s">
        <v>2928</v>
      </c>
      <c r="B609" t="s">
        <v>3530</v>
      </c>
      <c r="C609" t="s">
        <v>2932</v>
      </c>
      <c r="D609">
        <v>27.633969430000001</v>
      </c>
      <c r="E609" t="s">
        <v>2929</v>
      </c>
      <c r="F609">
        <v>104.6334244</v>
      </c>
      <c r="G609" t="s">
        <v>2930</v>
      </c>
      <c r="H609">
        <v>36633</v>
      </c>
      <c r="I609" t="s">
        <v>2931</v>
      </c>
    </row>
    <row r="610" spans="1:9" x14ac:dyDescent="0.25">
      <c r="A610" t="s">
        <v>2928</v>
      </c>
      <c r="B610" t="s">
        <v>2963</v>
      </c>
      <c r="C610" t="s">
        <v>2932</v>
      </c>
      <c r="D610">
        <v>24.569403699999999</v>
      </c>
      <c r="E610" t="s">
        <v>2929</v>
      </c>
      <c r="F610">
        <v>99.247796230000006</v>
      </c>
      <c r="G610" t="s">
        <v>2930</v>
      </c>
      <c r="H610">
        <v>35096</v>
      </c>
      <c r="I610" t="s">
        <v>2931</v>
      </c>
    </row>
    <row r="611" spans="1:9" x14ac:dyDescent="0.25">
      <c r="A611" t="s">
        <v>2928</v>
      </c>
      <c r="B611" t="s">
        <v>3449</v>
      </c>
      <c r="C611" t="s">
        <v>2932</v>
      </c>
      <c r="D611">
        <v>23.9572</v>
      </c>
      <c r="E611" t="s">
        <v>2929</v>
      </c>
      <c r="F611">
        <v>101.6317</v>
      </c>
      <c r="G611" t="s">
        <v>2930</v>
      </c>
      <c r="H611">
        <v>15667</v>
      </c>
      <c r="I611" t="s">
        <v>2931</v>
      </c>
    </row>
    <row r="612" spans="1:9" x14ac:dyDescent="0.25">
      <c r="A612" t="s">
        <v>2928</v>
      </c>
      <c r="B612" t="s">
        <v>3531</v>
      </c>
      <c r="C612" t="s">
        <v>2932</v>
      </c>
      <c r="D612">
        <v>27.0980037</v>
      </c>
      <c r="E612" t="s">
        <v>2929</v>
      </c>
      <c r="F612">
        <v>103.0743859</v>
      </c>
      <c r="G612" t="s">
        <v>2930</v>
      </c>
      <c r="H612">
        <v>43231</v>
      </c>
      <c r="I612" t="s">
        <v>2931</v>
      </c>
    </row>
    <row r="613" spans="1:9" x14ac:dyDescent="0.25">
      <c r="A613" t="s">
        <v>2928</v>
      </c>
      <c r="B613" t="s">
        <v>3316</v>
      </c>
      <c r="C613" t="s">
        <v>2932</v>
      </c>
      <c r="D613">
        <v>23.225410490000002</v>
      </c>
      <c r="E613" t="s">
        <v>2929</v>
      </c>
      <c r="F613">
        <v>101.6881432</v>
      </c>
      <c r="G613" t="s">
        <v>2930</v>
      </c>
      <c r="H613">
        <v>21280</v>
      </c>
      <c r="I613" t="s">
        <v>2931</v>
      </c>
    </row>
    <row r="614" spans="1:9" x14ac:dyDescent="0.25">
      <c r="A614" t="s">
        <v>2928</v>
      </c>
      <c r="B614" t="s">
        <v>3114</v>
      </c>
      <c r="C614" t="s">
        <v>2932</v>
      </c>
      <c r="D614">
        <v>27.726005270000002</v>
      </c>
      <c r="E614" t="s">
        <v>2929</v>
      </c>
      <c r="F614">
        <v>99.009811380000002</v>
      </c>
      <c r="G614" t="s">
        <v>2930</v>
      </c>
      <c r="H614">
        <v>11154</v>
      </c>
      <c r="I614" t="s">
        <v>2931</v>
      </c>
    </row>
    <row r="615" spans="1:9" x14ac:dyDescent="0.25">
      <c r="A615" t="s">
        <v>2928</v>
      </c>
      <c r="B615" t="s">
        <v>3365</v>
      </c>
      <c r="C615" t="s">
        <v>2932</v>
      </c>
      <c r="D615">
        <v>26.84919446</v>
      </c>
      <c r="E615" t="s">
        <v>2929</v>
      </c>
      <c r="F615">
        <v>103.4992337</v>
      </c>
      <c r="G615" t="s">
        <v>2930</v>
      </c>
      <c r="H615">
        <v>81784</v>
      </c>
      <c r="I615" t="s">
        <v>2931</v>
      </c>
    </row>
    <row r="616" spans="1:9" x14ac:dyDescent="0.25">
      <c r="A616" t="s">
        <v>2928</v>
      </c>
      <c r="B616" t="s">
        <v>3532</v>
      </c>
      <c r="C616" t="s">
        <v>2932</v>
      </c>
      <c r="D616">
        <v>27.37107542</v>
      </c>
      <c r="E616" t="s">
        <v>2929</v>
      </c>
      <c r="F616">
        <v>104.6020941</v>
      </c>
      <c r="G616" t="s">
        <v>2930</v>
      </c>
      <c r="H616">
        <v>30255</v>
      </c>
      <c r="I616" t="s">
        <v>2931</v>
      </c>
    </row>
    <row r="617" spans="1:9" x14ac:dyDescent="0.25">
      <c r="A617" t="s">
        <v>2928</v>
      </c>
      <c r="B617" t="s">
        <v>3013</v>
      </c>
      <c r="C617" t="s">
        <v>2932</v>
      </c>
      <c r="D617">
        <v>25.946181119999999</v>
      </c>
      <c r="E617" t="s">
        <v>2929</v>
      </c>
      <c r="F617">
        <v>101.52418609999999</v>
      </c>
      <c r="G617" t="s">
        <v>2930</v>
      </c>
      <c r="H617">
        <v>16909</v>
      </c>
      <c r="I617" t="s">
        <v>2931</v>
      </c>
    </row>
    <row r="618" spans="1:9" x14ac:dyDescent="0.25">
      <c r="A618" t="s">
        <v>2928</v>
      </c>
      <c r="B618" t="s">
        <v>3533</v>
      </c>
      <c r="C618" t="s">
        <v>2932</v>
      </c>
      <c r="D618">
        <v>27.64414683</v>
      </c>
      <c r="E618" t="s">
        <v>2929</v>
      </c>
      <c r="F618">
        <v>105.1381603</v>
      </c>
      <c r="G618" t="s">
        <v>2930</v>
      </c>
      <c r="H618">
        <v>64207</v>
      </c>
      <c r="I618" t="s">
        <v>2931</v>
      </c>
    </row>
    <row r="619" spans="1:9" x14ac:dyDescent="0.25">
      <c r="A619" t="s">
        <v>2928</v>
      </c>
      <c r="B619" t="s">
        <v>3160</v>
      </c>
      <c r="C619" t="s">
        <v>2932</v>
      </c>
      <c r="D619">
        <v>23.664070850000002</v>
      </c>
      <c r="E619" t="s">
        <v>2929</v>
      </c>
      <c r="F619">
        <v>102.4558909</v>
      </c>
      <c r="G619" t="s">
        <v>2930</v>
      </c>
      <c r="H619">
        <v>102923</v>
      </c>
      <c r="I619" t="s">
        <v>2931</v>
      </c>
    </row>
    <row r="620" spans="1:9" x14ac:dyDescent="0.25">
      <c r="A620" t="s">
        <v>2928</v>
      </c>
      <c r="B620" t="s">
        <v>5009</v>
      </c>
      <c r="C620" t="s">
        <v>2932</v>
      </c>
      <c r="D620">
        <v>24.368740620000001</v>
      </c>
      <c r="E620" t="s">
        <v>2929</v>
      </c>
      <c r="F620">
        <v>99.668811329999997</v>
      </c>
      <c r="G620" t="s">
        <v>2930</v>
      </c>
      <c r="H620">
        <v>45709</v>
      </c>
      <c r="I620" t="s">
        <v>2931</v>
      </c>
    </row>
    <row r="621" spans="1:9" x14ac:dyDescent="0.25">
      <c r="A621" t="s">
        <v>2928</v>
      </c>
      <c r="B621" t="s">
        <v>5010</v>
      </c>
      <c r="C621" t="s">
        <v>2932</v>
      </c>
      <c r="D621">
        <v>26.484245619999999</v>
      </c>
      <c r="E621" t="s">
        <v>2929</v>
      </c>
      <c r="F621">
        <v>99.115240900000003</v>
      </c>
      <c r="G621" t="s">
        <v>2930</v>
      </c>
      <c r="H621">
        <v>37406</v>
      </c>
      <c r="I621" t="s">
        <v>2931</v>
      </c>
    </row>
    <row r="622" spans="1:9" x14ac:dyDescent="0.25">
      <c r="A622" t="s">
        <v>2928</v>
      </c>
      <c r="B622" t="s">
        <v>3366</v>
      </c>
      <c r="C622" t="s">
        <v>2932</v>
      </c>
      <c r="D622">
        <v>25.464866260000001</v>
      </c>
      <c r="E622" t="s">
        <v>2929</v>
      </c>
      <c r="F622">
        <v>104.35167060000001</v>
      </c>
      <c r="G622" t="s">
        <v>2930</v>
      </c>
      <c r="H622">
        <v>73541</v>
      </c>
      <c r="I622" t="s">
        <v>2931</v>
      </c>
    </row>
    <row r="623" spans="1:9" x14ac:dyDescent="0.25">
      <c r="A623" t="s">
        <v>2928</v>
      </c>
      <c r="B623" t="s">
        <v>3079</v>
      </c>
      <c r="C623" t="s">
        <v>2932</v>
      </c>
      <c r="D623">
        <v>25.25610326</v>
      </c>
      <c r="E623" t="s">
        <v>2929</v>
      </c>
      <c r="F623">
        <v>100.49221319999999</v>
      </c>
      <c r="G623" t="s">
        <v>2930</v>
      </c>
      <c r="H623">
        <v>43993</v>
      </c>
      <c r="I623" t="s">
        <v>2931</v>
      </c>
    </row>
    <row r="624" spans="1:9" x14ac:dyDescent="0.25">
      <c r="A624" t="s">
        <v>2928</v>
      </c>
      <c r="B624" t="s">
        <v>3199</v>
      </c>
      <c r="C624" t="s">
        <v>2932</v>
      </c>
      <c r="D624">
        <v>26.30067339</v>
      </c>
      <c r="E624" t="s">
        <v>2929</v>
      </c>
      <c r="F624">
        <v>102.9356408</v>
      </c>
      <c r="G624" t="s">
        <v>2930</v>
      </c>
      <c r="H624">
        <v>12623</v>
      </c>
      <c r="I624" t="s">
        <v>2931</v>
      </c>
    </row>
    <row r="625" spans="1:9" x14ac:dyDescent="0.25">
      <c r="A625" t="s">
        <v>2928</v>
      </c>
      <c r="B625" t="s">
        <v>3080</v>
      </c>
      <c r="C625" t="s">
        <v>2932</v>
      </c>
      <c r="D625">
        <v>25.740021930000001</v>
      </c>
      <c r="E625" t="s">
        <v>2929</v>
      </c>
      <c r="F625">
        <v>100.1092802</v>
      </c>
      <c r="G625" t="s">
        <v>2930</v>
      </c>
      <c r="H625">
        <v>28002</v>
      </c>
      <c r="I625" t="s">
        <v>2931</v>
      </c>
    </row>
    <row r="626" spans="1:9" x14ac:dyDescent="0.25">
      <c r="A626" t="s">
        <v>2928</v>
      </c>
      <c r="B626" t="s">
        <v>3450</v>
      </c>
      <c r="C626" t="s">
        <v>2932</v>
      </c>
      <c r="D626">
        <v>23.419780289999999</v>
      </c>
      <c r="E626" t="s">
        <v>2929</v>
      </c>
      <c r="F626">
        <v>101.8883524</v>
      </c>
      <c r="G626" t="s">
        <v>2930</v>
      </c>
      <c r="H626">
        <v>27853</v>
      </c>
      <c r="I626" t="s">
        <v>2931</v>
      </c>
    </row>
    <row r="627" spans="1:9" x14ac:dyDescent="0.25">
      <c r="A627" t="s">
        <v>2928</v>
      </c>
      <c r="B627" t="s">
        <v>3014</v>
      </c>
      <c r="C627" t="s">
        <v>2932</v>
      </c>
      <c r="D627">
        <v>25.215683200000001</v>
      </c>
      <c r="E627" t="s">
        <v>2929</v>
      </c>
      <c r="F627">
        <v>101.9123347</v>
      </c>
      <c r="G627" t="s">
        <v>2930</v>
      </c>
      <c r="H627">
        <v>45476</v>
      </c>
      <c r="I627" t="s">
        <v>2931</v>
      </c>
    </row>
    <row r="628" spans="1:9" x14ac:dyDescent="0.25">
      <c r="A628" t="s">
        <v>2928</v>
      </c>
      <c r="B628" t="s">
        <v>3161</v>
      </c>
      <c r="C628" t="s">
        <v>2932</v>
      </c>
      <c r="D628">
        <v>23.338344639999999</v>
      </c>
      <c r="E628" t="s">
        <v>2929</v>
      </c>
      <c r="F628">
        <v>102.4472408</v>
      </c>
      <c r="G628" t="s">
        <v>2930</v>
      </c>
      <c r="H628">
        <v>35767</v>
      </c>
      <c r="I628" t="s">
        <v>2931</v>
      </c>
    </row>
    <row r="629" spans="1:9" x14ac:dyDescent="0.25">
      <c r="A629" t="s">
        <v>2928</v>
      </c>
      <c r="B629" t="s">
        <v>3425</v>
      </c>
      <c r="C629" t="s">
        <v>2932</v>
      </c>
      <c r="D629">
        <v>22.135468079999999</v>
      </c>
      <c r="E629" t="s">
        <v>2929</v>
      </c>
      <c r="F629">
        <v>101.50155530000001</v>
      </c>
      <c r="G629" t="s">
        <v>2930</v>
      </c>
      <c r="H629">
        <v>17115</v>
      </c>
      <c r="I629" t="s">
        <v>2931</v>
      </c>
    </row>
    <row r="630" spans="1:9" x14ac:dyDescent="0.25">
      <c r="A630" t="s">
        <v>2928</v>
      </c>
      <c r="B630" t="s">
        <v>3317</v>
      </c>
      <c r="C630" t="s">
        <v>2932</v>
      </c>
      <c r="D630">
        <v>22.673085050000001</v>
      </c>
      <c r="E630" t="s">
        <v>2929</v>
      </c>
      <c r="F630">
        <v>101.1967719</v>
      </c>
      <c r="G630" t="s">
        <v>2930</v>
      </c>
      <c r="H630">
        <v>40316</v>
      </c>
      <c r="I630" t="s">
        <v>2931</v>
      </c>
    </row>
    <row r="631" spans="1:9" x14ac:dyDescent="0.25">
      <c r="A631" t="s">
        <v>2928</v>
      </c>
      <c r="B631" t="s">
        <v>3251</v>
      </c>
      <c r="C631" t="s">
        <v>2932</v>
      </c>
      <c r="D631">
        <v>24.267187499999999</v>
      </c>
      <c r="E631" t="s">
        <v>2929</v>
      </c>
      <c r="F631">
        <v>100.3420508</v>
      </c>
      <c r="G631" t="s">
        <v>2930</v>
      </c>
      <c r="H631">
        <v>42436</v>
      </c>
      <c r="I631" t="s">
        <v>2931</v>
      </c>
    </row>
    <row r="632" spans="1:9" x14ac:dyDescent="0.25">
      <c r="A632" t="s">
        <v>2928</v>
      </c>
      <c r="B632" t="s">
        <v>3223</v>
      </c>
      <c r="C632" t="s">
        <v>2932</v>
      </c>
      <c r="D632">
        <v>26.648439400000001</v>
      </c>
      <c r="E632" t="s">
        <v>2929</v>
      </c>
      <c r="F632">
        <v>100.7671435</v>
      </c>
      <c r="G632" t="s">
        <v>2930</v>
      </c>
      <c r="H632">
        <v>60099</v>
      </c>
      <c r="I632" t="s">
        <v>2931</v>
      </c>
    </row>
    <row r="633" spans="1:9" x14ac:dyDescent="0.25">
      <c r="A633" t="s">
        <v>2928</v>
      </c>
      <c r="B633" t="s">
        <v>3015</v>
      </c>
      <c r="C633" t="s">
        <v>2932</v>
      </c>
      <c r="D633">
        <v>26.075449219999999</v>
      </c>
      <c r="E633" t="s">
        <v>2929</v>
      </c>
      <c r="F633">
        <v>101.72887179999999</v>
      </c>
      <c r="G633" t="s">
        <v>2930</v>
      </c>
      <c r="H633">
        <v>32832</v>
      </c>
      <c r="I633" t="s">
        <v>2931</v>
      </c>
    </row>
    <row r="634" spans="1:9" x14ac:dyDescent="0.25">
      <c r="A634" t="s">
        <v>2928</v>
      </c>
      <c r="B634" t="s">
        <v>3534</v>
      </c>
      <c r="C634" t="s">
        <v>2932</v>
      </c>
      <c r="D634">
        <v>27.262666249999999</v>
      </c>
      <c r="E634" t="s">
        <v>2929</v>
      </c>
      <c r="F634">
        <v>103.65054720000001</v>
      </c>
      <c r="G634" t="s">
        <v>2930</v>
      </c>
      <c r="H634">
        <v>38101</v>
      </c>
      <c r="I634" t="s">
        <v>2931</v>
      </c>
    </row>
    <row r="635" spans="1:9" x14ac:dyDescent="0.25">
      <c r="A635" t="s">
        <v>2928</v>
      </c>
      <c r="B635" t="s">
        <v>3081</v>
      </c>
      <c r="C635" t="s">
        <v>2932</v>
      </c>
      <c r="D635">
        <v>25.474323739999999</v>
      </c>
      <c r="E635" t="s">
        <v>2929</v>
      </c>
      <c r="F635">
        <v>100.19228219999999</v>
      </c>
      <c r="G635" t="s">
        <v>2930</v>
      </c>
      <c r="H635">
        <v>53970</v>
      </c>
      <c r="I635" t="s">
        <v>2931</v>
      </c>
    </row>
    <row r="636" spans="1:9" x14ac:dyDescent="0.25">
      <c r="A636" t="s">
        <v>2928</v>
      </c>
      <c r="B636" t="s">
        <v>3252</v>
      </c>
      <c r="C636" t="s">
        <v>2932</v>
      </c>
      <c r="D636">
        <v>24.118702710000001</v>
      </c>
      <c r="E636" t="s">
        <v>2929</v>
      </c>
      <c r="F636">
        <v>99.420502470000002</v>
      </c>
      <c r="G636" t="s">
        <v>2930</v>
      </c>
      <c r="H636">
        <v>62850</v>
      </c>
      <c r="I636" t="s">
        <v>2931</v>
      </c>
    </row>
    <row r="637" spans="1:9" x14ac:dyDescent="0.25">
      <c r="A637" t="s">
        <v>2928</v>
      </c>
      <c r="B637" t="s">
        <v>3224</v>
      </c>
      <c r="C637" t="s">
        <v>2932</v>
      </c>
      <c r="D637">
        <v>27.726872490000002</v>
      </c>
      <c r="E637" t="s">
        <v>2929</v>
      </c>
      <c r="F637">
        <v>100.669608</v>
      </c>
      <c r="G637" t="s">
        <v>2930</v>
      </c>
      <c r="H637">
        <v>20852</v>
      </c>
      <c r="I637" t="s">
        <v>2931</v>
      </c>
    </row>
    <row r="638" spans="1:9" x14ac:dyDescent="0.25">
      <c r="A638" t="s">
        <v>2928</v>
      </c>
      <c r="B638" t="s">
        <v>3318</v>
      </c>
      <c r="C638" t="s">
        <v>2932</v>
      </c>
      <c r="D638">
        <v>23.410527420000001</v>
      </c>
      <c r="E638" t="s">
        <v>2929</v>
      </c>
      <c r="F638">
        <v>100.3065536</v>
      </c>
      <c r="G638" t="s">
        <v>2930</v>
      </c>
      <c r="H638">
        <v>63042</v>
      </c>
      <c r="I638" t="s">
        <v>2931</v>
      </c>
    </row>
    <row r="639" spans="1:9" x14ac:dyDescent="0.25">
      <c r="A639" t="s">
        <v>2928</v>
      </c>
      <c r="B639" t="s">
        <v>5011</v>
      </c>
      <c r="C639" t="s">
        <v>2932</v>
      </c>
      <c r="D639">
        <v>26.051825470000001</v>
      </c>
      <c r="E639" t="s">
        <v>2929</v>
      </c>
      <c r="F639">
        <v>100.0751283</v>
      </c>
      <c r="G639" t="s">
        <v>2930</v>
      </c>
      <c r="H639">
        <v>53233</v>
      </c>
      <c r="I639" t="s">
        <v>2931</v>
      </c>
    </row>
    <row r="640" spans="1:9" x14ac:dyDescent="0.25">
      <c r="A640" t="s">
        <v>2928</v>
      </c>
      <c r="B640" t="s">
        <v>5012</v>
      </c>
      <c r="C640" t="s">
        <v>2932</v>
      </c>
      <c r="D640">
        <v>24.630583850000001</v>
      </c>
      <c r="E640" t="s">
        <v>2929</v>
      </c>
      <c r="F640">
        <v>102.94156529999999</v>
      </c>
      <c r="G640" t="s">
        <v>2930</v>
      </c>
      <c r="H640">
        <v>39687</v>
      </c>
      <c r="I640" t="s">
        <v>2931</v>
      </c>
    </row>
    <row r="641" spans="1:9" x14ac:dyDescent="0.25">
      <c r="A641" t="s">
        <v>2928</v>
      </c>
      <c r="B641" t="s">
        <v>2964</v>
      </c>
      <c r="C641" t="s">
        <v>2932</v>
      </c>
      <c r="D641">
        <v>24.846650050000001</v>
      </c>
      <c r="E641" t="s">
        <v>2929</v>
      </c>
      <c r="F641">
        <v>99.11483303</v>
      </c>
      <c r="G641" t="s">
        <v>2930</v>
      </c>
      <c r="H641">
        <v>33978</v>
      </c>
      <c r="I641" t="s">
        <v>2931</v>
      </c>
    </row>
    <row r="642" spans="1:9" x14ac:dyDescent="0.25">
      <c r="A642" t="s">
        <v>2928</v>
      </c>
      <c r="B642" t="s">
        <v>3016</v>
      </c>
      <c r="C642" t="s">
        <v>2932</v>
      </c>
      <c r="D642">
        <v>25.71672113</v>
      </c>
      <c r="E642" t="s">
        <v>2929</v>
      </c>
      <c r="F642">
        <v>101.875849</v>
      </c>
      <c r="G642" t="s">
        <v>2930</v>
      </c>
      <c r="H642">
        <v>63936</v>
      </c>
      <c r="I642" t="s">
        <v>2931</v>
      </c>
    </row>
    <row r="643" spans="1:9" x14ac:dyDescent="0.25">
      <c r="A643" t="s">
        <v>2928</v>
      </c>
      <c r="B643" t="s">
        <v>3535</v>
      </c>
      <c r="C643" t="s">
        <v>2932</v>
      </c>
      <c r="D643">
        <v>27.812591879999999</v>
      </c>
      <c r="E643" t="s">
        <v>2929</v>
      </c>
      <c r="F643">
        <v>103.800702</v>
      </c>
      <c r="G643" t="s">
        <v>2930</v>
      </c>
      <c r="H643">
        <v>32163</v>
      </c>
      <c r="I643" t="s">
        <v>2931</v>
      </c>
    </row>
    <row r="644" spans="1:9" x14ac:dyDescent="0.25">
      <c r="A644" t="s">
        <v>2928</v>
      </c>
      <c r="B644" t="s">
        <v>3407</v>
      </c>
      <c r="C644" t="s">
        <v>2932</v>
      </c>
      <c r="D644">
        <v>24.160712060000002</v>
      </c>
      <c r="E644" t="s">
        <v>2929</v>
      </c>
      <c r="F644">
        <v>103.95114649999999</v>
      </c>
      <c r="G644" t="s">
        <v>2930</v>
      </c>
      <c r="H644">
        <v>33223</v>
      </c>
      <c r="I644" t="s">
        <v>2931</v>
      </c>
    </row>
    <row r="645" spans="1:9" x14ac:dyDescent="0.25">
      <c r="A645" t="s">
        <v>2928</v>
      </c>
      <c r="B645" t="s">
        <v>3367</v>
      </c>
      <c r="C645" t="s">
        <v>2932</v>
      </c>
      <c r="D645">
        <v>25.25790653</v>
      </c>
      <c r="E645" t="s">
        <v>2929</v>
      </c>
      <c r="F645">
        <v>103.8788684</v>
      </c>
      <c r="G645" t="s">
        <v>2930</v>
      </c>
      <c r="H645">
        <v>71451</v>
      </c>
      <c r="I645" t="s">
        <v>2931</v>
      </c>
    </row>
    <row r="646" spans="1:9" x14ac:dyDescent="0.25">
      <c r="A646" t="s">
        <v>2928</v>
      </c>
      <c r="B646" t="s">
        <v>3536</v>
      </c>
      <c r="C646" t="s">
        <v>2932</v>
      </c>
      <c r="D646">
        <v>27.74400833</v>
      </c>
      <c r="E646" t="s">
        <v>2929</v>
      </c>
      <c r="F646">
        <v>104.90539</v>
      </c>
      <c r="G646" t="s">
        <v>2930</v>
      </c>
      <c r="H646">
        <v>40501</v>
      </c>
      <c r="I646" t="s">
        <v>2931</v>
      </c>
    </row>
    <row r="647" spans="1:9" x14ac:dyDescent="0.25">
      <c r="A647" t="s">
        <v>2928</v>
      </c>
      <c r="B647" t="s">
        <v>3082</v>
      </c>
      <c r="C647" t="s">
        <v>2932</v>
      </c>
      <c r="D647">
        <v>26.56512802</v>
      </c>
      <c r="E647" t="s">
        <v>2929</v>
      </c>
      <c r="F647">
        <v>100.1504671</v>
      </c>
      <c r="G647" t="s">
        <v>2930</v>
      </c>
      <c r="H647">
        <v>27777</v>
      </c>
      <c r="I647" t="s">
        <v>2931</v>
      </c>
    </row>
    <row r="648" spans="1:9" x14ac:dyDescent="0.25">
      <c r="A648" t="s">
        <v>2928</v>
      </c>
      <c r="B648" t="s">
        <v>3083</v>
      </c>
      <c r="C648" t="s">
        <v>2932</v>
      </c>
      <c r="D648">
        <v>25.37501799</v>
      </c>
      <c r="E648" t="s">
        <v>2929</v>
      </c>
      <c r="F648">
        <v>100.6763919</v>
      </c>
      <c r="G648" t="s">
        <v>2930</v>
      </c>
      <c r="H648">
        <v>93671</v>
      </c>
      <c r="I648" t="s">
        <v>2931</v>
      </c>
    </row>
    <row r="649" spans="1:9" x14ac:dyDescent="0.25">
      <c r="A649" t="s">
        <v>2928</v>
      </c>
      <c r="B649" t="s">
        <v>3162</v>
      </c>
      <c r="C649" t="s">
        <v>2932</v>
      </c>
      <c r="D649">
        <v>22.989533460000001</v>
      </c>
      <c r="E649" t="s">
        <v>2929</v>
      </c>
      <c r="F649">
        <v>103.6843619</v>
      </c>
      <c r="G649" t="s">
        <v>2930</v>
      </c>
      <c r="H649">
        <v>32822</v>
      </c>
      <c r="I649" t="s">
        <v>2931</v>
      </c>
    </row>
    <row r="650" spans="1:9" x14ac:dyDescent="0.25">
      <c r="A650" t="s">
        <v>2928</v>
      </c>
      <c r="B650" t="s">
        <v>3319</v>
      </c>
      <c r="C650" t="s">
        <v>2932</v>
      </c>
      <c r="D650">
        <v>23.150423440000001</v>
      </c>
      <c r="E650" t="s">
        <v>2929</v>
      </c>
      <c r="F650">
        <v>101.50267959999999</v>
      </c>
      <c r="G650" t="s">
        <v>2930</v>
      </c>
      <c r="H650">
        <v>15950</v>
      </c>
      <c r="I650" t="s">
        <v>2931</v>
      </c>
    </row>
    <row r="651" spans="1:9" x14ac:dyDescent="0.25">
      <c r="A651" t="s">
        <v>2928</v>
      </c>
      <c r="B651" t="s">
        <v>3537</v>
      </c>
      <c r="C651" t="s">
        <v>2932</v>
      </c>
      <c r="D651">
        <v>27.66063776</v>
      </c>
      <c r="E651" t="s">
        <v>2929</v>
      </c>
      <c r="F651">
        <v>103.89910980000001</v>
      </c>
      <c r="G651" t="s">
        <v>2930</v>
      </c>
      <c r="H651">
        <v>14614</v>
      </c>
      <c r="I651" t="s">
        <v>2931</v>
      </c>
    </row>
    <row r="652" spans="1:9" x14ac:dyDescent="0.25">
      <c r="A652" t="s">
        <v>2928</v>
      </c>
      <c r="B652" t="s">
        <v>3102</v>
      </c>
      <c r="C652" t="s">
        <v>2932</v>
      </c>
      <c r="D652">
        <v>24.212101149999999</v>
      </c>
      <c r="E652" t="s">
        <v>2929</v>
      </c>
      <c r="F652">
        <v>97.792132929999994</v>
      </c>
      <c r="G652" t="s">
        <v>2930</v>
      </c>
      <c r="H652">
        <v>53370</v>
      </c>
      <c r="I652" t="s">
        <v>2931</v>
      </c>
    </row>
    <row r="653" spans="1:9" x14ac:dyDescent="0.25">
      <c r="A653" t="s">
        <v>2928</v>
      </c>
      <c r="B653" t="s">
        <v>3225</v>
      </c>
      <c r="C653" t="s">
        <v>2932</v>
      </c>
      <c r="D653">
        <v>26.852771010000001</v>
      </c>
      <c r="E653" t="s">
        <v>2929</v>
      </c>
      <c r="F653">
        <v>100.921459</v>
      </c>
      <c r="G653" t="s">
        <v>2930</v>
      </c>
      <c r="H653">
        <v>23854</v>
      </c>
      <c r="I653" t="s">
        <v>2931</v>
      </c>
    </row>
    <row r="654" spans="1:9" x14ac:dyDescent="0.25">
      <c r="A654" t="s">
        <v>2928</v>
      </c>
      <c r="B654" t="s">
        <v>3103</v>
      </c>
      <c r="C654" t="s">
        <v>2932</v>
      </c>
      <c r="D654">
        <v>25.05201181</v>
      </c>
      <c r="E654" t="s">
        <v>2929</v>
      </c>
      <c r="F654">
        <v>98.124633299999999</v>
      </c>
      <c r="G654" t="s">
        <v>2930</v>
      </c>
      <c r="H654">
        <v>21515</v>
      </c>
      <c r="I654" t="s">
        <v>2931</v>
      </c>
    </row>
    <row r="655" spans="1:9" x14ac:dyDescent="0.25">
      <c r="A655" t="s">
        <v>2928</v>
      </c>
      <c r="B655" t="s">
        <v>3017</v>
      </c>
      <c r="C655" t="s">
        <v>2932</v>
      </c>
      <c r="D655">
        <v>25.794987200000001</v>
      </c>
      <c r="E655" t="s">
        <v>2929</v>
      </c>
      <c r="F655">
        <v>101.5137774</v>
      </c>
      <c r="G655" t="s">
        <v>2930</v>
      </c>
      <c r="H655">
        <v>15149</v>
      </c>
      <c r="I655" t="s">
        <v>2931</v>
      </c>
    </row>
    <row r="656" spans="1:9" x14ac:dyDescent="0.25">
      <c r="A656" t="s">
        <v>2928</v>
      </c>
      <c r="B656" t="s">
        <v>3368</v>
      </c>
      <c r="C656" t="s">
        <v>2932</v>
      </c>
      <c r="D656">
        <v>24.837657790000002</v>
      </c>
      <c r="E656" t="s">
        <v>2929</v>
      </c>
      <c r="F656">
        <v>103.71867810000001</v>
      </c>
      <c r="G656" t="s">
        <v>2930</v>
      </c>
      <c r="H656">
        <v>31347</v>
      </c>
      <c r="I656" t="s">
        <v>2931</v>
      </c>
    </row>
    <row r="657" spans="1:9" x14ac:dyDescent="0.25">
      <c r="A657" t="s">
        <v>2928</v>
      </c>
      <c r="B657" t="s">
        <v>3538</v>
      </c>
      <c r="C657" t="s">
        <v>2932</v>
      </c>
      <c r="D657">
        <v>27.808925009999999</v>
      </c>
      <c r="E657" t="s">
        <v>2929</v>
      </c>
      <c r="F657">
        <v>105.0534864</v>
      </c>
      <c r="G657" t="s">
        <v>2930</v>
      </c>
      <c r="H657">
        <v>124458</v>
      </c>
      <c r="I657" t="s">
        <v>2931</v>
      </c>
    </row>
    <row r="658" spans="1:9" x14ac:dyDescent="0.25">
      <c r="A658" t="s">
        <v>2928</v>
      </c>
      <c r="B658" t="s">
        <v>3104</v>
      </c>
      <c r="C658" t="s">
        <v>2932</v>
      </c>
      <c r="D658">
        <v>24.7764305</v>
      </c>
      <c r="E658" t="s">
        <v>2929</v>
      </c>
      <c r="F658">
        <v>98.287983330000003</v>
      </c>
      <c r="G658" t="s">
        <v>2930</v>
      </c>
      <c r="H658">
        <v>22290</v>
      </c>
      <c r="I658" t="s">
        <v>2931</v>
      </c>
    </row>
    <row r="659" spans="1:9" x14ac:dyDescent="0.25">
      <c r="A659" t="s">
        <v>2928</v>
      </c>
      <c r="B659" t="s">
        <v>3320</v>
      </c>
      <c r="C659" t="s">
        <v>2932</v>
      </c>
      <c r="D659">
        <v>24.039597300000001</v>
      </c>
      <c r="E659" t="s">
        <v>2929</v>
      </c>
      <c r="F659">
        <v>101.2913009</v>
      </c>
      <c r="G659" t="s">
        <v>2930</v>
      </c>
      <c r="H659">
        <v>29041</v>
      </c>
      <c r="I659" t="s">
        <v>2931</v>
      </c>
    </row>
    <row r="660" spans="1:9" x14ac:dyDescent="0.25">
      <c r="A660" t="s">
        <v>2928</v>
      </c>
      <c r="B660" t="s">
        <v>3105</v>
      </c>
      <c r="C660" t="s">
        <v>2932</v>
      </c>
      <c r="D660">
        <v>24.196790279999998</v>
      </c>
      <c r="E660" t="s">
        <v>2929</v>
      </c>
      <c r="F660">
        <v>98.215445189999997</v>
      </c>
      <c r="G660" t="s">
        <v>2930</v>
      </c>
      <c r="H660">
        <v>51477</v>
      </c>
      <c r="I660" t="s">
        <v>2931</v>
      </c>
    </row>
    <row r="661" spans="1:9" x14ac:dyDescent="0.25">
      <c r="A661" t="s">
        <v>2928</v>
      </c>
      <c r="B661" t="s">
        <v>3369</v>
      </c>
      <c r="C661" t="s">
        <v>2932</v>
      </c>
      <c r="D661">
        <v>26.541471680000001</v>
      </c>
      <c r="E661" t="s">
        <v>2929</v>
      </c>
      <c r="F661">
        <v>103.604298</v>
      </c>
      <c r="G661" t="s">
        <v>2930</v>
      </c>
      <c r="H661">
        <v>92108</v>
      </c>
      <c r="I661" t="s">
        <v>2931</v>
      </c>
    </row>
    <row r="662" spans="1:9" x14ac:dyDescent="0.25">
      <c r="A662" t="s">
        <v>2928</v>
      </c>
      <c r="B662" t="s">
        <v>2965</v>
      </c>
      <c r="C662" t="s">
        <v>2932</v>
      </c>
      <c r="D662">
        <v>24.735928749999999</v>
      </c>
      <c r="E662" t="s">
        <v>2929</v>
      </c>
      <c r="F662">
        <v>98.836763529999999</v>
      </c>
      <c r="G662" t="s">
        <v>2930</v>
      </c>
      <c r="H662">
        <v>40162</v>
      </c>
      <c r="I662" t="s">
        <v>2931</v>
      </c>
    </row>
    <row r="663" spans="1:9" x14ac:dyDescent="0.25">
      <c r="A663" t="s">
        <v>2928</v>
      </c>
      <c r="B663" t="s">
        <v>3321</v>
      </c>
      <c r="C663" t="s">
        <v>2932</v>
      </c>
      <c r="D663">
        <v>22.45309378</v>
      </c>
      <c r="E663" t="s">
        <v>2929</v>
      </c>
      <c r="F663">
        <v>101.5556394</v>
      </c>
      <c r="G663" t="s">
        <v>2930</v>
      </c>
      <c r="H663">
        <v>12185</v>
      </c>
      <c r="I663" t="s">
        <v>2931</v>
      </c>
    </row>
    <row r="664" spans="1:9" x14ac:dyDescent="0.25">
      <c r="A664" t="s">
        <v>2928</v>
      </c>
      <c r="B664" t="s">
        <v>3322</v>
      </c>
      <c r="C664" t="s">
        <v>2932</v>
      </c>
      <c r="D664">
        <v>23.337178829999999</v>
      </c>
      <c r="E664" t="s">
        <v>2929</v>
      </c>
      <c r="F664">
        <v>100.93091080000001</v>
      </c>
      <c r="G664" t="s">
        <v>2930</v>
      </c>
      <c r="H664">
        <v>17542</v>
      </c>
      <c r="I664" t="s">
        <v>2931</v>
      </c>
    </row>
    <row r="665" spans="1:9" x14ac:dyDescent="0.25">
      <c r="A665" t="s">
        <v>2928</v>
      </c>
      <c r="B665" t="s">
        <v>3323</v>
      </c>
      <c r="C665" t="s">
        <v>2932</v>
      </c>
      <c r="D665">
        <v>23.921891559999999</v>
      </c>
      <c r="E665" t="s">
        <v>2929</v>
      </c>
      <c r="F665">
        <v>100.570835</v>
      </c>
      <c r="G665" t="s">
        <v>2930</v>
      </c>
      <c r="H665">
        <v>33085</v>
      </c>
      <c r="I665" t="s">
        <v>2931</v>
      </c>
    </row>
    <row r="666" spans="1:9" x14ac:dyDescent="0.25">
      <c r="A666" t="s">
        <v>2928</v>
      </c>
      <c r="B666" t="s">
        <v>3163</v>
      </c>
      <c r="C666" t="s">
        <v>2932</v>
      </c>
      <c r="D666">
        <v>23.341918889999999</v>
      </c>
      <c r="E666" t="s">
        <v>2929</v>
      </c>
      <c r="F666">
        <v>103.57381359999999</v>
      </c>
      <c r="G666" t="s">
        <v>2930</v>
      </c>
      <c r="H666">
        <v>39420</v>
      </c>
      <c r="I666" t="s">
        <v>2931</v>
      </c>
    </row>
    <row r="667" spans="1:9" x14ac:dyDescent="0.25">
      <c r="A667" t="s">
        <v>2928</v>
      </c>
      <c r="B667" t="s">
        <v>3370</v>
      </c>
      <c r="C667" t="s">
        <v>2932</v>
      </c>
      <c r="D667">
        <v>25.657108319999999</v>
      </c>
      <c r="E667" t="s">
        <v>2929</v>
      </c>
      <c r="F667">
        <v>104.1800506</v>
      </c>
      <c r="G667" t="s">
        <v>2930</v>
      </c>
      <c r="H667">
        <v>125701</v>
      </c>
      <c r="I667" t="s">
        <v>2931</v>
      </c>
    </row>
    <row r="668" spans="1:9" x14ac:dyDescent="0.25">
      <c r="A668" t="s">
        <v>2928</v>
      </c>
      <c r="B668" t="s">
        <v>3539</v>
      </c>
      <c r="C668" t="s">
        <v>2932</v>
      </c>
      <c r="D668">
        <v>28.54226156</v>
      </c>
      <c r="E668" t="s">
        <v>2929</v>
      </c>
      <c r="F668">
        <v>103.93704339999999</v>
      </c>
      <c r="G668" t="s">
        <v>2930</v>
      </c>
      <c r="H668">
        <v>75425</v>
      </c>
      <c r="I668" t="s">
        <v>2931</v>
      </c>
    </row>
    <row r="669" spans="1:9" x14ac:dyDescent="0.25">
      <c r="A669" t="s">
        <v>2928</v>
      </c>
      <c r="B669" t="s">
        <v>5013</v>
      </c>
      <c r="C669" t="s">
        <v>2932</v>
      </c>
      <c r="D669">
        <v>25.066991529999999</v>
      </c>
      <c r="E669" t="s">
        <v>2929</v>
      </c>
      <c r="F669">
        <v>98.343013810000002</v>
      </c>
      <c r="G669" t="s">
        <v>2930</v>
      </c>
      <c r="H669">
        <v>37682</v>
      </c>
      <c r="I669" t="s">
        <v>2931</v>
      </c>
    </row>
    <row r="670" spans="1:9" x14ac:dyDescent="0.25">
      <c r="A670" t="s">
        <v>2928</v>
      </c>
      <c r="B670" t="s">
        <v>5014</v>
      </c>
      <c r="C670" t="s">
        <v>2932</v>
      </c>
      <c r="D670">
        <v>26.156085869999998</v>
      </c>
      <c r="E670" t="s">
        <v>2929</v>
      </c>
      <c r="F670">
        <v>101.4326554</v>
      </c>
      <c r="G670" t="s">
        <v>2930</v>
      </c>
      <c r="H670">
        <v>11447</v>
      </c>
      <c r="I670" t="s">
        <v>2931</v>
      </c>
    </row>
    <row r="671" spans="1:9" x14ac:dyDescent="0.25">
      <c r="A671" t="s">
        <v>2928</v>
      </c>
      <c r="B671" t="s">
        <v>5015</v>
      </c>
      <c r="C671" t="s">
        <v>2932</v>
      </c>
      <c r="D671">
        <v>28.15406415</v>
      </c>
      <c r="E671" t="s">
        <v>2929</v>
      </c>
      <c r="F671">
        <v>104.0832535</v>
      </c>
      <c r="G671" t="s">
        <v>2930</v>
      </c>
      <c r="H671">
        <v>32521</v>
      </c>
      <c r="I671" t="s">
        <v>2931</v>
      </c>
    </row>
    <row r="672" spans="1:9" x14ac:dyDescent="0.25">
      <c r="A672" t="s">
        <v>2928</v>
      </c>
      <c r="B672" t="s">
        <v>3164</v>
      </c>
      <c r="C672" t="s">
        <v>2932</v>
      </c>
      <c r="D672">
        <v>23.79833738</v>
      </c>
      <c r="E672" t="s">
        <v>2929</v>
      </c>
      <c r="F672">
        <v>103.5213206</v>
      </c>
      <c r="G672" t="s">
        <v>2930</v>
      </c>
      <c r="H672">
        <v>37708</v>
      </c>
      <c r="I672" t="s">
        <v>2931</v>
      </c>
    </row>
    <row r="673" spans="1:9" x14ac:dyDescent="0.25">
      <c r="A673" t="s">
        <v>2928</v>
      </c>
      <c r="B673" t="s">
        <v>3324</v>
      </c>
      <c r="C673" t="s">
        <v>2932</v>
      </c>
      <c r="D673">
        <v>22.800773289999999</v>
      </c>
      <c r="E673" t="s">
        <v>2929</v>
      </c>
      <c r="F673">
        <v>99.593114610000001</v>
      </c>
      <c r="G673" t="s">
        <v>2930</v>
      </c>
      <c r="H673">
        <v>10941</v>
      </c>
      <c r="I673" t="s">
        <v>2931</v>
      </c>
    </row>
    <row r="674" spans="1:9" x14ac:dyDescent="0.25">
      <c r="A674" t="s">
        <v>2928</v>
      </c>
      <c r="B674" t="s">
        <v>3540</v>
      </c>
      <c r="C674" t="s">
        <v>2932</v>
      </c>
      <c r="D674">
        <v>27.79090515</v>
      </c>
      <c r="E674" t="s">
        <v>2929</v>
      </c>
      <c r="F674">
        <v>104.07434979999999</v>
      </c>
      <c r="G674" t="s">
        <v>2930</v>
      </c>
      <c r="H674">
        <v>17259</v>
      </c>
      <c r="I674" t="s">
        <v>2931</v>
      </c>
    </row>
    <row r="675" spans="1:9" x14ac:dyDescent="0.25">
      <c r="A675" t="s">
        <v>2928</v>
      </c>
      <c r="B675" t="s">
        <v>3200</v>
      </c>
      <c r="C675" t="s">
        <v>2932</v>
      </c>
      <c r="D675">
        <v>25.893743829999998</v>
      </c>
      <c r="E675" t="s">
        <v>2929</v>
      </c>
      <c r="F675">
        <v>102.6489931</v>
      </c>
      <c r="G675" t="s">
        <v>2930</v>
      </c>
      <c r="H675">
        <v>16769</v>
      </c>
      <c r="I675" t="s">
        <v>2931</v>
      </c>
    </row>
    <row r="676" spans="1:9" x14ac:dyDescent="0.25">
      <c r="A676" t="s">
        <v>2928</v>
      </c>
      <c r="B676" t="s">
        <v>3018</v>
      </c>
      <c r="C676" t="s">
        <v>2932</v>
      </c>
      <c r="D676">
        <v>24.806029970000001</v>
      </c>
      <c r="E676" t="s">
        <v>2929</v>
      </c>
      <c r="F676">
        <v>101.0546208</v>
      </c>
      <c r="G676" t="s">
        <v>2930</v>
      </c>
      <c r="H676">
        <v>24098</v>
      </c>
      <c r="I676" t="s">
        <v>2931</v>
      </c>
    </row>
    <row r="677" spans="1:9" x14ac:dyDescent="0.25">
      <c r="A677" t="s">
        <v>2928</v>
      </c>
      <c r="B677" t="s">
        <v>3165</v>
      </c>
      <c r="C677" t="s">
        <v>2932</v>
      </c>
      <c r="D677">
        <v>24.47473214</v>
      </c>
      <c r="E677" t="s">
        <v>2929</v>
      </c>
      <c r="F677">
        <v>103.7235403</v>
      </c>
      <c r="G677" t="s">
        <v>2930</v>
      </c>
      <c r="H677">
        <v>130672</v>
      </c>
      <c r="I677" t="s">
        <v>2931</v>
      </c>
    </row>
    <row r="678" spans="1:9" x14ac:dyDescent="0.25">
      <c r="A678" t="s">
        <v>2928</v>
      </c>
      <c r="B678" t="s">
        <v>3165</v>
      </c>
      <c r="C678" t="s">
        <v>2932</v>
      </c>
      <c r="D678">
        <v>25.038886170000001</v>
      </c>
      <c r="E678" t="s">
        <v>2929</v>
      </c>
      <c r="F678">
        <v>103.66412939999999</v>
      </c>
      <c r="G678" t="s">
        <v>2930</v>
      </c>
      <c r="H678">
        <v>125521</v>
      </c>
      <c r="I678" t="s">
        <v>2931</v>
      </c>
    </row>
    <row r="679" spans="1:9" x14ac:dyDescent="0.25">
      <c r="A679" t="s">
        <v>2928</v>
      </c>
      <c r="B679" t="s">
        <v>3541</v>
      </c>
      <c r="C679" t="s">
        <v>2932</v>
      </c>
      <c r="D679">
        <v>27.349972170000001</v>
      </c>
      <c r="E679" t="s">
        <v>2929</v>
      </c>
      <c r="F679">
        <v>104.8863897</v>
      </c>
      <c r="G679" t="s">
        <v>2930</v>
      </c>
      <c r="H679">
        <v>57726</v>
      </c>
      <c r="I679" t="s">
        <v>2931</v>
      </c>
    </row>
    <row r="680" spans="1:9" x14ac:dyDescent="0.25">
      <c r="A680" t="s">
        <v>2928</v>
      </c>
      <c r="B680" t="s">
        <v>3226</v>
      </c>
      <c r="C680" t="s">
        <v>2932</v>
      </c>
      <c r="D680">
        <v>26.702293619999999</v>
      </c>
      <c r="E680" t="s">
        <v>2929</v>
      </c>
      <c r="F680">
        <v>101.2157735</v>
      </c>
      <c r="G680" t="s">
        <v>2930</v>
      </c>
      <c r="H680">
        <v>51866</v>
      </c>
      <c r="I680" t="s">
        <v>2931</v>
      </c>
    </row>
    <row r="681" spans="1:9" x14ac:dyDescent="0.25">
      <c r="A681" t="s">
        <v>2928</v>
      </c>
      <c r="B681" t="s">
        <v>3084</v>
      </c>
      <c r="C681" t="s">
        <v>2932</v>
      </c>
      <c r="D681">
        <v>25.698461770000002</v>
      </c>
      <c r="E681" t="s">
        <v>2929</v>
      </c>
      <c r="F681">
        <v>100.5731761</v>
      </c>
      <c r="G681" t="s">
        <v>2930</v>
      </c>
      <c r="H681">
        <v>44990</v>
      </c>
      <c r="I681" t="s">
        <v>2931</v>
      </c>
    </row>
    <row r="682" spans="1:9" x14ac:dyDescent="0.25">
      <c r="A682" t="s">
        <v>2928</v>
      </c>
      <c r="B682" t="s">
        <v>3201</v>
      </c>
      <c r="C682" t="s">
        <v>2932</v>
      </c>
      <c r="D682">
        <v>25.959652899999998</v>
      </c>
      <c r="E682" t="s">
        <v>2929</v>
      </c>
      <c r="F682">
        <v>102.8566915</v>
      </c>
      <c r="G682" t="s">
        <v>2930</v>
      </c>
      <c r="H682">
        <v>28472</v>
      </c>
      <c r="I682" t="s">
        <v>2931</v>
      </c>
    </row>
    <row r="683" spans="1:9" x14ac:dyDescent="0.25">
      <c r="A683" t="s">
        <v>2928</v>
      </c>
      <c r="B683" t="s">
        <v>3408</v>
      </c>
      <c r="C683" t="s">
        <v>2932</v>
      </c>
      <c r="D683">
        <v>23.317143890000001</v>
      </c>
      <c r="E683" t="s">
        <v>2929</v>
      </c>
      <c r="F683">
        <v>104.3743206</v>
      </c>
      <c r="G683" t="s">
        <v>2930</v>
      </c>
      <c r="H683">
        <v>9840</v>
      </c>
      <c r="I683" t="s">
        <v>2931</v>
      </c>
    </row>
    <row r="684" spans="1:9" x14ac:dyDescent="0.25">
      <c r="A684" t="s">
        <v>2928</v>
      </c>
      <c r="B684" t="s">
        <v>3371</v>
      </c>
      <c r="C684" t="s">
        <v>2932</v>
      </c>
      <c r="D684">
        <v>24.91503299</v>
      </c>
      <c r="E684" t="s">
        <v>2929</v>
      </c>
      <c r="F684">
        <v>104.0907627</v>
      </c>
      <c r="G684" t="s">
        <v>2930</v>
      </c>
      <c r="H684">
        <v>48997</v>
      </c>
      <c r="I684" t="s">
        <v>2931</v>
      </c>
    </row>
    <row r="685" spans="1:9" x14ac:dyDescent="0.25">
      <c r="A685" t="s">
        <v>2928</v>
      </c>
      <c r="B685" t="s">
        <v>3409</v>
      </c>
      <c r="C685" t="s">
        <v>2932</v>
      </c>
      <c r="D685">
        <v>23.74544337</v>
      </c>
      <c r="E685" t="s">
        <v>2929</v>
      </c>
      <c r="F685">
        <v>104.95128440000001</v>
      </c>
      <c r="G685" t="s">
        <v>2930</v>
      </c>
      <c r="H685">
        <v>40623</v>
      </c>
      <c r="I685" t="s">
        <v>2931</v>
      </c>
    </row>
    <row r="686" spans="1:9" x14ac:dyDescent="0.25">
      <c r="A686" t="s">
        <v>2928</v>
      </c>
      <c r="B686" t="s">
        <v>3410</v>
      </c>
      <c r="C686" t="s">
        <v>2932</v>
      </c>
      <c r="D686">
        <v>23.981606240000001</v>
      </c>
      <c r="E686" t="s">
        <v>2929</v>
      </c>
      <c r="F686">
        <v>104.6647784</v>
      </c>
      <c r="G686" t="s">
        <v>2930</v>
      </c>
      <c r="H686">
        <v>63314</v>
      </c>
      <c r="I686" t="s">
        <v>2931</v>
      </c>
    </row>
    <row r="687" spans="1:9" x14ac:dyDescent="0.25">
      <c r="A687" t="s">
        <v>2928</v>
      </c>
      <c r="B687" t="s">
        <v>3202</v>
      </c>
      <c r="C687" t="s">
        <v>2932</v>
      </c>
      <c r="D687">
        <v>24.616477079999999</v>
      </c>
      <c r="E687" t="s">
        <v>2929</v>
      </c>
      <c r="F687">
        <v>103.1132001</v>
      </c>
      <c r="G687" t="s">
        <v>2930</v>
      </c>
      <c r="H687">
        <v>27731</v>
      </c>
      <c r="I687" t="s">
        <v>2931</v>
      </c>
    </row>
    <row r="688" spans="1:9" x14ac:dyDescent="0.25">
      <c r="A688" t="s">
        <v>2928</v>
      </c>
      <c r="B688" t="s">
        <v>5016</v>
      </c>
      <c r="C688" t="s">
        <v>2932</v>
      </c>
      <c r="D688">
        <v>24.12414386</v>
      </c>
      <c r="E688" t="s">
        <v>2929</v>
      </c>
      <c r="F688">
        <v>103.4298932</v>
      </c>
      <c r="G688" t="s">
        <v>2930</v>
      </c>
      <c r="H688">
        <v>53122</v>
      </c>
      <c r="I688" t="s">
        <v>2931</v>
      </c>
    </row>
    <row r="689" spans="1:9" x14ac:dyDescent="0.25">
      <c r="A689" t="s">
        <v>2928</v>
      </c>
      <c r="B689" t="s">
        <v>5017</v>
      </c>
      <c r="C689" t="s">
        <v>2932</v>
      </c>
      <c r="D689">
        <v>25.379564559999999</v>
      </c>
      <c r="E689" t="s">
        <v>2929</v>
      </c>
      <c r="F689">
        <v>104.2760286</v>
      </c>
      <c r="G689" t="s">
        <v>2930</v>
      </c>
      <c r="H689">
        <v>45583</v>
      </c>
      <c r="I689" t="s">
        <v>2931</v>
      </c>
    </row>
    <row r="690" spans="1:9" x14ac:dyDescent="0.25">
      <c r="A690" t="s">
        <v>2928</v>
      </c>
      <c r="B690" t="s">
        <v>3085</v>
      </c>
      <c r="C690" t="s">
        <v>2932</v>
      </c>
      <c r="D690">
        <v>26.136086949999999</v>
      </c>
      <c r="E690" t="s">
        <v>2929</v>
      </c>
      <c r="F690">
        <v>99.917185459999999</v>
      </c>
      <c r="G690" t="s">
        <v>2930</v>
      </c>
      <c r="H690">
        <v>56246</v>
      </c>
      <c r="I690" t="s">
        <v>2931</v>
      </c>
    </row>
    <row r="691" spans="1:9" x14ac:dyDescent="0.25">
      <c r="A691" t="s">
        <v>2928</v>
      </c>
      <c r="B691" t="s">
        <v>3019</v>
      </c>
      <c r="C691" t="s">
        <v>2932</v>
      </c>
      <c r="D691">
        <v>24.831889459999999</v>
      </c>
      <c r="E691" t="s">
        <v>2929</v>
      </c>
      <c r="F691">
        <v>101.5156812</v>
      </c>
      <c r="G691" t="s">
        <v>2930</v>
      </c>
      <c r="H691">
        <v>31890</v>
      </c>
      <c r="I691" t="s">
        <v>2931</v>
      </c>
    </row>
    <row r="692" spans="1:9" x14ac:dyDescent="0.25">
      <c r="A692" t="s">
        <v>2928</v>
      </c>
      <c r="B692" t="s">
        <v>3020</v>
      </c>
      <c r="C692" t="s">
        <v>2932</v>
      </c>
      <c r="D692">
        <v>25.020963219999999</v>
      </c>
      <c r="E692" t="s">
        <v>2929</v>
      </c>
      <c r="F692">
        <v>101.373099</v>
      </c>
      <c r="G692" t="s">
        <v>2930</v>
      </c>
      <c r="H692">
        <v>13341</v>
      </c>
      <c r="I692" t="s">
        <v>2931</v>
      </c>
    </row>
    <row r="693" spans="1:9" x14ac:dyDescent="0.25">
      <c r="A693" t="s">
        <v>2928</v>
      </c>
      <c r="B693" t="s">
        <v>3542</v>
      </c>
      <c r="C693" t="s">
        <v>2932</v>
      </c>
      <c r="D693">
        <v>24.0578374</v>
      </c>
      <c r="E693" t="s">
        <v>2929</v>
      </c>
      <c r="F693">
        <v>99.609928699999998</v>
      </c>
      <c r="G693" t="s">
        <v>2930</v>
      </c>
      <c r="H693">
        <v>154585</v>
      </c>
      <c r="I693" t="s">
        <v>2931</v>
      </c>
    </row>
    <row r="694" spans="1:9" x14ac:dyDescent="0.25">
      <c r="A694" t="s">
        <v>2928</v>
      </c>
      <c r="B694" t="s">
        <v>3543</v>
      </c>
      <c r="C694" t="s">
        <v>2932</v>
      </c>
      <c r="D694">
        <v>26.958085499999999</v>
      </c>
      <c r="E694" t="s">
        <v>2929</v>
      </c>
      <c r="F694">
        <v>100.4472375</v>
      </c>
      <c r="G694" t="s">
        <v>2930</v>
      </c>
      <c r="H694">
        <v>176705</v>
      </c>
      <c r="I694" t="s">
        <v>2931</v>
      </c>
    </row>
    <row r="695" spans="1:9" x14ac:dyDescent="0.25">
      <c r="A695" t="s">
        <v>2928</v>
      </c>
      <c r="B695" t="s">
        <v>3326</v>
      </c>
      <c r="C695" t="s">
        <v>2932</v>
      </c>
      <c r="D695">
        <v>24.9924356</v>
      </c>
      <c r="E695" t="s">
        <v>2929</v>
      </c>
      <c r="F695">
        <v>99.0675648</v>
      </c>
      <c r="G695" t="s">
        <v>2930</v>
      </c>
      <c r="H695">
        <v>242459</v>
      </c>
      <c r="I695" t="s">
        <v>2931</v>
      </c>
    </row>
    <row r="696" spans="1:9" x14ac:dyDescent="0.25">
      <c r="A696" t="s">
        <v>2928</v>
      </c>
      <c r="B696" t="s">
        <v>3028</v>
      </c>
      <c r="C696" t="s">
        <v>2932</v>
      </c>
      <c r="D696">
        <v>25.751215999999999</v>
      </c>
      <c r="E696" t="s">
        <v>2929</v>
      </c>
      <c r="F696">
        <v>100.20741270000001</v>
      </c>
      <c r="G696" t="s">
        <v>2930</v>
      </c>
      <c r="H696">
        <v>302742</v>
      </c>
      <c r="I696" t="s">
        <v>2931</v>
      </c>
    </row>
    <row r="697" spans="1:9" x14ac:dyDescent="0.25">
      <c r="A697" t="s">
        <v>2928</v>
      </c>
      <c r="B697" t="s">
        <v>3544</v>
      </c>
      <c r="C697" t="s">
        <v>2932</v>
      </c>
      <c r="D697">
        <v>24.372762600000001</v>
      </c>
      <c r="E697" t="s">
        <v>2929</v>
      </c>
      <c r="F697">
        <v>98.373429599999994</v>
      </c>
      <c r="G697" t="s">
        <v>2930</v>
      </c>
      <c r="H697">
        <v>99970</v>
      </c>
      <c r="I697" t="s">
        <v>2931</v>
      </c>
    </row>
    <row r="698" spans="1:9" x14ac:dyDescent="0.25">
      <c r="A698" t="s">
        <v>2928</v>
      </c>
      <c r="B698" t="s">
        <v>3545</v>
      </c>
      <c r="C698" t="s">
        <v>2932</v>
      </c>
      <c r="D698">
        <v>24.810829300000002</v>
      </c>
      <c r="E698" t="s">
        <v>2929</v>
      </c>
      <c r="F698">
        <v>102.3949544</v>
      </c>
      <c r="G698" t="s">
        <v>2930</v>
      </c>
      <c r="H698">
        <v>341341</v>
      </c>
      <c r="I698" t="s">
        <v>2931</v>
      </c>
    </row>
    <row r="699" spans="1:9" x14ac:dyDescent="0.25">
      <c r="A699" t="s">
        <v>2928</v>
      </c>
      <c r="B699" t="s">
        <v>3546</v>
      </c>
      <c r="C699" t="s">
        <v>2932</v>
      </c>
      <c r="D699">
        <v>25.468690500000001</v>
      </c>
      <c r="E699" t="s">
        <v>2929</v>
      </c>
      <c r="F699">
        <v>102.9184735</v>
      </c>
      <c r="G699" t="s">
        <v>2930</v>
      </c>
      <c r="H699">
        <v>4623018</v>
      </c>
      <c r="I699" t="s">
        <v>3556</v>
      </c>
    </row>
    <row r="700" spans="1:9" x14ac:dyDescent="0.25">
      <c r="A700" t="s">
        <v>2928</v>
      </c>
      <c r="B700" t="s">
        <v>3547</v>
      </c>
      <c r="C700" t="s">
        <v>2932</v>
      </c>
      <c r="D700">
        <v>27.603795300000002</v>
      </c>
      <c r="E700" t="s">
        <v>2929</v>
      </c>
      <c r="F700">
        <v>104.0910195</v>
      </c>
      <c r="G700" t="s">
        <v>2930</v>
      </c>
      <c r="H700">
        <v>290230</v>
      </c>
      <c r="I700" t="s">
        <v>2931</v>
      </c>
    </row>
    <row r="701" spans="1:9" x14ac:dyDescent="0.25">
      <c r="A701" t="s">
        <v>2928</v>
      </c>
      <c r="B701" t="s">
        <v>3505</v>
      </c>
      <c r="C701" t="s">
        <v>2932</v>
      </c>
      <c r="D701">
        <v>23.425600500000002</v>
      </c>
      <c r="E701" t="s">
        <v>2929</v>
      </c>
      <c r="F701">
        <v>100.7399056</v>
      </c>
      <c r="G701" t="s">
        <v>2930</v>
      </c>
      <c r="H701">
        <v>100172</v>
      </c>
      <c r="I701" t="s">
        <v>2931</v>
      </c>
    </row>
    <row r="702" spans="1:9" x14ac:dyDescent="0.25">
      <c r="A702" t="s">
        <v>2928</v>
      </c>
      <c r="B702" t="s">
        <v>3548</v>
      </c>
      <c r="C702" t="s">
        <v>2932</v>
      </c>
      <c r="D702">
        <v>26.301862799999999</v>
      </c>
      <c r="E702" t="s">
        <v>2929</v>
      </c>
      <c r="F702">
        <v>104.1359399</v>
      </c>
      <c r="G702" t="s">
        <v>2930</v>
      </c>
      <c r="H702">
        <v>356412</v>
      </c>
      <c r="I702" t="s">
        <v>2931</v>
      </c>
    </row>
    <row r="703" spans="1:9" x14ac:dyDescent="0.25">
      <c r="A703" t="s">
        <v>2928</v>
      </c>
      <c r="B703" t="s">
        <v>3549</v>
      </c>
      <c r="C703" t="s">
        <v>2932</v>
      </c>
      <c r="D703">
        <v>25.702667999999999</v>
      </c>
      <c r="E703" t="s">
        <v>2929</v>
      </c>
      <c r="F703">
        <v>103.9414518</v>
      </c>
      <c r="G703" t="s">
        <v>2930</v>
      </c>
      <c r="H703">
        <v>663774</v>
      </c>
      <c r="I703" t="s">
        <v>2931</v>
      </c>
    </row>
    <row r="704" spans="1:9" x14ac:dyDescent="0.25">
      <c r="A704" t="s">
        <v>2928</v>
      </c>
      <c r="B704" t="s">
        <v>3550</v>
      </c>
      <c r="C704" t="s">
        <v>2932</v>
      </c>
      <c r="D704">
        <v>24.704815700000001</v>
      </c>
      <c r="E704" t="s">
        <v>2929</v>
      </c>
      <c r="F704">
        <v>102.9303733</v>
      </c>
      <c r="G704" t="s">
        <v>2930</v>
      </c>
      <c r="H704">
        <v>82390</v>
      </c>
      <c r="I704" t="s">
        <v>2931</v>
      </c>
    </row>
    <row r="705" spans="1:9" x14ac:dyDescent="0.25">
      <c r="A705" t="s">
        <v>2928</v>
      </c>
      <c r="B705" t="s">
        <v>3551</v>
      </c>
      <c r="C705" t="s">
        <v>2932</v>
      </c>
      <c r="D705">
        <v>24.136021</v>
      </c>
      <c r="E705" t="s">
        <v>2929</v>
      </c>
      <c r="F705">
        <v>102.2135036</v>
      </c>
      <c r="G705" t="s">
        <v>2930</v>
      </c>
      <c r="H705">
        <v>1024112</v>
      </c>
      <c r="I705" t="s">
        <v>2931</v>
      </c>
    </row>
    <row r="706" spans="1:9" x14ac:dyDescent="0.25">
      <c r="A706" t="s">
        <v>2928</v>
      </c>
      <c r="B706" t="s">
        <v>3552</v>
      </c>
      <c r="C706" t="s">
        <v>2932</v>
      </c>
      <c r="D706">
        <v>23.3059656</v>
      </c>
      <c r="E706" t="s">
        <v>2929</v>
      </c>
      <c r="F706">
        <v>103.1503522</v>
      </c>
      <c r="G706" t="s">
        <v>2930</v>
      </c>
      <c r="H706">
        <v>271182</v>
      </c>
      <c r="I706" t="s">
        <v>2931</v>
      </c>
    </row>
    <row r="707" spans="1:9" x14ac:dyDescent="0.25">
      <c r="A707" t="s">
        <v>2928</v>
      </c>
      <c r="B707" t="s">
        <v>3553</v>
      </c>
      <c r="C707" t="s">
        <v>2932</v>
      </c>
      <c r="D707">
        <v>23.740410000000001</v>
      </c>
      <c r="E707" t="s">
        <v>2929</v>
      </c>
      <c r="F707">
        <v>103.3868535</v>
      </c>
      <c r="G707" t="s">
        <v>2930</v>
      </c>
      <c r="H707">
        <v>188104</v>
      </c>
      <c r="I707" t="s">
        <v>2931</v>
      </c>
    </row>
    <row r="708" spans="1:9" x14ac:dyDescent="0.25">
      <c r="A708" t="s">
        <v>2928</v>
      </c>
      <c r="B708" t="s">
        <v>3554</v>
      </c>
      <c r="C708" t="s">
        <v>2932</v>
      </c>
      <c r="D708">
        <v>23.296692400000001</v>
      </c>
      <c r="E708" t="s">
        <v>2929</v>
      </c>
      <c r="F708">
        <v>103.5139659</v>
      </c>
      <c r="G708" t="s">
        <v>2930</v>
      </c>
      <c r="H708">
        <v>209933</v>
      </c>
      <c r="I708" t="s">
        <v>2931</v>
      </c>
    </row>
    <row r="709" spans="1:9" x14ac:dyDescent="0.25">
      <c r="A709" t="s">
        <v>2928</v>
      </c>
      <c r="B709" t="s">
        <v>3555</v>
      </c>
      <c r="C709" t="s">
        <v>2932</v>
      </c>
      <c r="D709">
        <v>22.024209599999999</v>
      </c>
      <c r="E709" t="s">
        <v>2929</v>
      </c>
      <c r="F709">
        <v>100.97151890000001</v>
      </c>
      <c r="G709" t="s">
        <v>2930</v>
      </c>
      <c r="H709">
        <v>158759</v>
      </c>
      <c r="I709" t="s">
        <v>2931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2DFA4-2A77-4C1D-A6F6-7C779748E5CD}">
  <dimension ref="A1:G147"/>
  <sheetViews>
    <sheetView workbookViewId="0"/>
  </sheetViews>
  <sheetFormatPr defaultRowHeight="15" x14ac:dyDescent="0.25"/>
  <cols>
    <col min="4" max="4" width="12.85546875" customWidth="1"/>
    <col min="5" max="6" width="13.85546875" customWidth="1"/>
  </cols>
  <sheetData>
    <row r="1" spans="1:7" ht="15.75" thickBot="1" x14ac:dyDescent="0.3">
      <c r="A1" t="s">
        <v>0</v>
      </c>
      <c r="B1" t="s">
        <v>2</v>
      </c>
      <c r="C1" t="s">
        <v>1</v>
      </c>
      <c r="D1" t="s">
        <v>4</v>
      </c>
      <c r="E1" t="s">
        <v>2914</v>
      </c>
      <c r="F1" t="s">
        <v>2915</v>
      </c>
      <c r="G1" t="s">
        <v>2918</v>
      </c>
    </row>
    <row r="2" spans="1:7" ht="15.75" thickBot="1" x14ac:dyDescent="0.3">
      <c r="A2" t="s">
        <v>2737</v>
      </c>
      <c r="B2" s="4" t="s">
        <v>2738</v>
      </c>
      <c r="C2" s="4" t="s">
        <v>2739</v>
      </c>
      <c r="D2" s="5">
        <v>2348315</v>
      </c>
      <c r="E2" s="5">
        <v>2506491</v>
      </c>
      <c r="F2" s="5">
        <v>2431211</v>
      </c>
      <c r="G2" s="12" t="str" cm="1">
        <f t="array" aca="1" ref="G2" ca="1">IF(Background=36,C2,G1)</f>
        <v>保山市</v>
      </c>
    </row>
    <row r="3" spans="1:7" ht="15.75" thickBot="1" x14ac:dyDescent="0.3">
      <c r="A3" t="s">
        <v>23</v>
      </c>
      <c r="B3" s="1" t="s">
        <v>2740</v>
      </c>
      <c r="C3" s="1" t="s">
        <v>2741</v>
      </c>
      <c r="D3" s="2">
        <v>333241</v>
      </c>
      <c r="E3" s="2">
        <v>343566</v>
      </c>
      <c r="F3" s="2">
        <v>319858</v>
      </c>
      <c r="G3" s="2" t="str" cm="1">
        <f t="array" aca="1" ref="G3" ca="1">IF(Background=36,C3,G2)</f>
        <v>保山市</v>
      </c>
    </row>
    <row r="4" spans="1:7" ht="15.75" thickBot="1" x14ac:dyDescent="0.3">
      <c r="A4" t="s">
        <v>20</v>
      </c>
      <c r="B4" s="1" t="s">
        <v>2740</v>
      </c>
      <c r="C4" s="1" t="s">
        <v>2742</v>
      </c>
      <c r="D4" s="2">
        <v>260097</v>
      </c>
      <c r="E4" s="2">
        <v>277319</v>
      </c>
      <c r="F4" s="2">
        <v>272769</v>
      </c>
      <c r="G4" s="2" t="str" cm="1">
        <f t="array" aca="1" ref="G4" ca="1">IF(Background=36,C4,G3)</f>
        <v>保山市</v>
      </c>
    </row>
    <row r="5" spans="1:7" ht="15.75" thickBot="1" x14ac:dyDescent="0.3">
      <c r="A5" t="s">
        <v>12</v>
      </c>
      <c r="B5" s="1" t="s">
        <v>2743</v>
      </c>
      <c r="C5" s="1" t="s">
        <v>2744</v>
      </c>
      <c r="D5" s="2">
        <v>846865</v>
      </c>
      <c r="E5" s="2">
        <v>935618</v>
      </c>
      <c r="F5" s="2">
        <v>903081</v>
      </c>
      <c r="G5" s="2" t="str" cm="1">
        <f t="array" aca="1" ref="G5" ca="1">IF(Background=36,C5,G4)</f>
        <v>保山市</v>
      </c>
    </row>
    <row r="6" spans="1:7" ht="15.75" thickBot="1" x14ac:dyDescent="0.3">
      <c r="A6" t="s">
        <v>8</v>
      </c>
      <c r="B6" s="1" t="s">
        <v>2740</v>
      </c>
      <c r="C6" s="1" t="s">
        <v>2745</v>
      </c>
      <c r="D6" s="2">
        <v>314187</v>
      </c>
      <c r="E6" s="2">
        <v>305223</v>
      </c>
      <c r="F6" s="2">
        <v>293022</v>
      </c>
      <c r="G6" s="2" t="str" cm="1">
        <f t="array" aca="1" ref="G6" ca="1">IF(Background=36,C6,G5)</f>
        <v>保山市</v>
      </c>
    </row>
    <row r="7" spans="1:7" ht="15.75" thickBot="1" x14ac:dyDescent="0.3">
      <c r="A7" t="s">
        <v>15</v>
      </c>
      <c r="B7" s="1" t="s">
        <v>2746</v>
      </c>
      <c r="C7" s="1" t="s">
        <v>2747</v>
      </c>
      <c r="D7" s="2">
        <v>593925</v>
      </c>
      <c r="E7" s="2">
        <v>644765</v>
      </c>
      <c r="F7" s="2">
        <v>642481</v>
      </c>
      <c r="G7" s="2" t="str" cm="1">
        <f t="array" aca="1" ref="G7" ca="1">IF(Background=36,C7,G6)</f>
        <v>保山市</v>
      </c>
    </row>
    <row r="8" spans="1:7" ht="15.75" thickBot="1" x14ac:dyDescent="0.3">
      <c r="A8" t="s">
        <v>2748</v>
      </c>
      <c r="B8" s="4" t="s">
        <v>2749</v>
      </c>
      <c r="C8" s="4" t="s">
        <v>2750</v>
      </c>
      <c r="D8" s="5">
        <v>2542530</v>
      </c>
      <c r="E8" s="5">
        <v>2684169</v>
      </c>
      <c r="F8" s="5">
        <v>2416747</v>
      </c>
      <c r="G8" s="2" t="str" cm="1">
        <f t="array" aca="1" ref="G8" ca="1">IF(Background=36,C8,G7)</f>
        <v>楚雄彝族自治州</v>
      </c>
    </row>
    <row r="9" spans="1:7" ht="15.75" thickBot="1" x14ac:dyDescent="0.3">
      <c r="A9" t="s">
        <v>170</v>
      </c>
      <c r="B9" s="1" t="s">
        <v>2746</v>
      </c>
      <c r="C9" s="1" t="s">
        <v>2751</v>
      </c>
      <c r="D9" s="2">
        <v>503682</v>
      </c>
      <c r="E9" s="2">
        <v>588620</v>
      </c>
      <c r="F9" s="2">
        <v>631530</v>
      </c>
      <c r="G9" s="2" t="str" cm="1">
        <f t="array" aca="1" ref="G9" ca="1">IF(Background=36,C9,G8)</f>
        <v>楚雄彝族自治州</v>
      </c>
    </row>
    <row r="10" spans="1:7" ht="15.75" thickBot="1" x14ac:dyDescent="0.3">
      <c r="A10" t="s">
        <v>223</v>
      </c>
      <c r="B10" s="1" t="s">
        <v>2740</v>
      </c>
      <c r="C10" s="1" t="s">
        <v>2752</v>
      </c>
      <c r="D10" s="2">
        <v>279838</v>
      </c>
      <c r="E10" s="2">
        <v>273315</v>
      </c>
      <c r="F10" s="2">
        <v>228961</v>
      </c>
      <c r="G10" s="2" t="str" cm="1">
        <f t="array" aca="1" ref="G10" ca="1">IF(Background=36,C10,G9)</f>
        <v>楚雄彝族自治州</v>
      </c>
    </row>
    <row r="11" spans="1:7" ht="15.75" thickBot="1" x14ac:dyDescent="0.3">
      <c r="A11" t="s">
        <v>173</v>
      </c>
      <c r="B11" s="1" t="s">
        <v>2740</v>
      </c>
      <c r="C11" s="1" t="s">
        <v>2753</v>
      </c>
      <c r="D11" s="2">
        <v>414258</v>
      </c>
      <c r="E11" s="2">
        <v>422770</v>
      </c>
      <c r="F11" s="2">
        <v>366512</v>
      </c>
      <c r="G11" s="2" t="str" cm="1">
        <f t="array" aca="1" ref="G11" ca="1">IF(Background=36,C11,G10)</f>
        <v>楚雄彝族自治州</v>
      </c>
    </row>
    <row r="12" spans="1:7" ht="15.75" thickBot="1" x14ac:dyDescent="0.3">
      <c r="A12" t="s">
        <v>162</v>
      </c>
      <c r="B12" s="1" t="s">
        <v>2740</v>
      </c>
      <c r="C12" s="1" t="s">
        <v>2754</v>
      </c>
      <c r="D12" s="2">
        <v>195322</v>
      </c>
      <c r="E12" s="2">
        <v>208726</v>
      </c>
      <c r="F12" s="2">
        <v>149437</v>
      </c>
      <c r="G12" s="2" t="str" cm="1">
        <f t="array" aca="1" ref="G12" ca="1">IF(Background=36,C12,G11)</f>
        <v>楚雄彝族自治州</v>
      </c>
    </row>
    <row r="13" spans="1:7" ht="15.75" thickBot="1" x14ac:dyDescent="0.3">
      <c r="A13" t="s">
        <v>230</v>
      </c>
      <c r="B13" s="1" t="s">
        <v>2740</v>
      </c>
      <c r="C13" s="1" t="s">
        <v>2755</v>
      </c>
      <c r="D13" s="2">
        <v>227970</v>
      </c>
      <c r="E13" s="2">
        <v>236133</v>
      </c>
      <c r="F13" s="2">
        <v>203704</v>
      </c>
      <c r="G13" s="2" t="str" cm="1">
        <f t="array" aca="1" ref="G13" ca="1">IF(Background=36,C13,G12)</f>
        <v>楚雄彝族自治州</v>
      </c>
    </row>
    <row r="14" spans="1:7" ht="15.75" thickBot="1" x14ac:dyDescent="0.3">
      <c r="A14" t="s">
        <v>159</v>
      </c>
      <c r="B14" s="1" t="s">
        <v>2740</v>
      </c>
      <c r="C14" s="1" t="s">
        <v>2756</v>
      </c>
      <c r="D14" s="2">
        <v>153403</v>
      </c>
      <c r="E14" s="2">
        <v>159867</v>
      </c>
      <c r="F14" s="2">
        <v>133884</v>
      </c>
      <c r="G14" s="2" t="str" cm="1">
        <f t="array" aca="1" ref="G14" ca="1">IF(Background=36,C14,G13)</f>
        <v>楚雄彝族自治州</v>
      </c>
    </row>
    <row r="15" spans="1:7" ht="15.75" thickBot="1" x14ac:dyDescent="0.3">
      <c r="A15" t="s">
        <v>167</v>
      </c>
      <c r="B15" s="1" t="s">
        <v>2740</v>
      </c>
      <c r="C15" s="1" t="s">
        <v>2757</v>
      </c>
      <c r="D15" s="2">
        <v>262601</v>
      </c>
      <c r="E15" s="2">
        <v>271963</v>
      </c>
      <c r="F15" s="2">
        <v>239059</v>
      </c>
      <c r="G15" s="2" t="str" cm="1">
        <f t="array" aca="1" ref="G15" ca="1">IF(Background=36,C15,G14)</f>
        <v>楚雄彝族自治州</v>
      </c>
    </row>
    <row r="16" spans="1:7" ht="15.75" thickBot="1" x14ac:dyDescent="0.3">
      <c r="A16" t="s">
        <v>186</v>
      </c>
      <c r="B16" s="1" t="s">
        <v>2740</v>
      </c>
      <c r="C16" s="1" t="s">
        <v>2758</v>
      </c>
      <c r="D16" s="2">
        <v>199071</v>
      </c>
      <c r="E16" s="2">
        <v>197676</v>
      </c>
      <c r="F16" s="2">
        <v>164165</v>
      </c>
      <c r="G16" s="2" t="str" cm="1">
        <f t="array" aca="1" ref="G16" ca="1">IF(Background=36,C16,G15)</f>
        <v>楚雄彝族自治州</v>
      </c>
    </row>
    <row r="17" spans="1:7" ht="15.75" thickBot="1" x14ac:dyDescent="0.3">
      <c r="A17" t="s">
        <v>254</v>
      </c>
      <c r="B17" s="1" t="s">
        <v>2740</v>
      </c>
      <c r="C17" s="1" t="s">
        <v>2759</v>
      </c>
      <c r="D17" s="2">
        <v>103606</v>
      </c>
      <c r="E17" s="2">
        <v>109304</v>
      </c>
      <c r="F17" s="2">
        <v>97985</v>
      </c>
      <c r="G17" s="2" t="str" cm="1">
        <f t="array" aca="1" ref="G17" ca="1">IF(Background=36,C17,G16)</f>
        <v>楚雄彝族自治州</v>
      </c>
    </row>
    <row r="18" spans="1:7" ht="15.75" thickBot="1" x14ac:dyDescent="0.3">
      <c r="A18" t="s">
        <v>233</v>
      </c>
      <c r="B18" s="1" t="s">
        <v>2740</v>
      </c>
      <c r="C18" s="1" t="s">
        <v>2760</v>
      </c>
      <c r="D18" s="2">
        <v>202779</v>
      </c>
      <c r="E18" s="2">
        <v>215795</v>
      </c>
      <c r="F18" s="2">
        <v>201510</v>
      </c>
      <c r="G18" s="2" t="str" cm="1">
        <f t="array" aca="1" ref="G18" ca="1">IF(Background=36,C18,G17)</f>
        <v>楚雄彝族自治州</v>
      </c>
    </row>
    <row r="19" spans="1:7" ht="15.75" thickBot="1" x14ac:dyDescent="0.3">
      <c r="A19" t="s">
        <v>2761</v>
      </c>
      <c r="B19" s="4" t="s">
        <v>2762</v>
      </c>
      <c r="C19" s="4" t="s">
        <v>2763</v>
      </c>
      <c r="D19" s="5">
        <v>3296552</v>
      </c>
      <c r="E19" s="5">
        <v>3456323</v>
      </c>
      <c r="F19" s="5">
        <v>3337559</v>
      </c>
      <c r="G19" s="2" t="str" cm="1">
        <f t="array" aca="1" ref="G19" ca="1">IF(Background=36,C19,G18)</f>
        <v>大理白族自治州</v>
      </c>
    </row>
    <row r="20" spans="1:7" ht="15.75" thickBot="1" x14ac:dyDescent="0.3">
      <c r="A20" t="s">
        <v>381</v>
      </c>
      <c r="B20" s="1" t="s">
        <v>2740</v>
      </c>
      <c r="C20" s="1" t="s">
        <v>2764</v>
      </c>
      <c r="D20" s="2">
        <v>324412</v>
      </c>
      <c r="E20" s="2">
        <v>348754</v>
      </c>
      <c r="F20" s="2">
        <v>341319</v>
      </c>
      <c r="G20" s="2" t="str" cm="1">
        <f t="array" aca="1" ref="G20" ca="1">IF(Background=36,C20,G19)</f>
        <v>大理白族自治州</v>
      </c>
    </row>
    <row r="21" spans="1:7" ht="15.75" thickBot="1" x14ac:dyDescent="0.3">
      <c r="A21" t="s">
        <v>407</v>
      </c>
      <c r="B21" s="1" t="s">
        <v>2746</v>
      </c>
      <c r="C21" s="1" t="s">
        <v>2765</v>
      </c>
      <c r="D21" s="2">
        <v>576224</v>
      </c>
      <c r="E21" s="2">
        <v>652045</v>
      </c>
      <c r="F21" s="2">
        <v>771128</v>
      </c>
      <c r="G21" s="2" t="str" cm="1">
        <f t="array" aca="1" ref="G21" ca="1">IF(Background=36,C21,G20)</f>
        <v>大理白族自治州</v>
      </c>
    </row>
    <row r="22" spans="1:7" ht="15.75" thickBot="1" x14ac:dyDescent="0.3">
      <c r="A22" t="s">
        <v>415</v>
      </c>
      <c r="B22" s="1" t="s">
        <v>2740</v>
      </c>
      <c r="C22" s="1" t="s">
        <v>2766</v>
      </c>
      <c r="D22" s="2">
        <v>259948</v>
      </c>
      <c r="E22" s="2">
        <v>268313</v>
      </c>
      <c r="F22" s="2">
        <v>248147</v>
      </c>
      <c r="G22" s="2" t="str" cm="1">
        <f t="array" aca="1" ref="G22" ca="1">IF(Background=36,C22,G21)</f>
        <v>大理白族自治州</v>
      </c>
    </row>
    <row r="23" spans="1:7" ht="15.75" thickBot="1" x14ac:dyDescent="0.3">
      <c r="A23" t="s">
        <v>395</v>
      </c>
      <c r="B23" s="1" t="s">
        <v>2740</v>
      </c>
      <c r="C23" s="1" t="s">
        <v>2767</v>
      </c>
      <c r="D23" s="2">
        <v>249030</v>
      </c>
      <c r="E23" s="2">
        <v>255328</v>
      </c>
      <c r="F23" s="2">
        <v>243031</v>
      </c>
      <c r="G23" s="2" t="str" cm="1">
        <f t="array" aca="1" ref="G23" ca="1">IF(Background=36,C23,G22)</f>
        <v>大理白族自治州</v>
      </c>
    </row>
    <row r="24" spans="1:7" ht="15.75" thickBot="1" x14ac:dyDescent="0.3">
      <c r="A24" t="s">
        <v>418</v>
      </c>
      <c r="B24" s="1" t="s">
        <v>2740</v>
      </c>
      <c r="C24" s="1" t="s">
        <v>2768</v>
      </c>
      <c r="D24" s="2">
        <v>165900</v>
      </c>
      <c r="E24" s="2">
        <v>169973</v>
      </c>
      <c r="F24" s="2">
        <v>160471</v>
      </c>
      <c r="G24" s="2" t="str" cm="1">
        <f t="array" aca="1" ref="G24" ca="1">IF(Background=36,C24,G23)</f>
        <v>大理白族自治州</v>
      </c>
    </row>
    <row r="25" spans="1:7" ht="15.75" thickBot="1" x14ac:dyDescent="0.3">
      <c r="A25" t="s">
        <v>412</v>
      </c>
      <c r="B25" s="1" t="s">
        <v>2740</v>
      </c>
      <c r="C25" s="1" t="s">
        <v>2769</v>
      </c>
      <c r="D25" s="2">
        <v>296860</v>
      </c>
      <c r="E25" s="2">
        <v>313156</v>
      </c>
      <c r="F25" s="2">
        <v>261205</v>
      </c>
      <c r="G25" s="2" t="str" cm="1">
        <f t="array" aca="1" ref="G25" ca="1">IF(Background=36,C25,G24)</f>
        <v>大理白族自治州</v>
      </c>
    </row>
    <row r="26" spans="1:7" ht="15.75" thickBot="1" x14ac:dyDescent="0.3">
      <c r="A26" t="s">
        <v>374</v>
      </c>
      <c r="B26" s="1" t="s">
        <v>2770</v>
      </c>
      <c r="C26" s="1" t="s">
        <v>2771</v>
      </c>
      <c r="D26" s="2">
        <v>209887</v>
      </c>
      <c r="E26" s="2">
        <v>211433</v>
      </c>
      <c r="F26" s="2">
        <v>192942</v>
      </c>
      <c r="G26" s="2" t="str" cm="1">
        <f t="array" aca="1" ref="G26" ca="1">IF(Background=36,C26,G25)</f>
        <v>大理白族自治州</v>
      </c>
    </row>
    <row r="27" spans="1:7" ht="15.75" thickBot="1" x14ac:dyDescent="0.3">
      <c r="A27" t="s">
        <v>404</v>
      </c>
      <c r="B27" s="1" t="s">
        <v>2770</v>
      </c>
      <c r="C27" s="1" t="s">
        <v>2772</v>
      </c>
      <c r="D27" s="2">
        <v>296124</v>
      </c>
      <c r="E27" s="2">
        <v>304368</v>
      </c>
      <c r="F27" s="2">
        <v>267474</v>
      </c>
      <c r="G27" s="2" t="str" cm="1">
        <f t="array" aca="1" ref="G27" ca="1">IF(Background=36,C27,G26)</f>
        <v>大理白族自治州</v>
      </c>
    </row>
    <row r="28" spans="1:7" ht="15.75" thickBot="1" x14ac:dyDescent="0.3">
      <c r="A28" t="s">
        <v>421</v>
      </c>
      <c r="B28" s="1" t="s">
        <v>2740</v>
      </c>
      <c r="C28" s="1" t="s">
        <v>2773</v>
      </c>
      <c r="D28" s="2">
        <v>437371</v>
      </c>
      <c r="E28" s="2">
        <v>455605</v>
      </c>
      <c r="F28" s="2">
        <v>406642</v>
      </c>
      <c r="G28" s="2" t="str" cm="1">
        <f t="array" aca="1" ref="G28" ca="1">IF(Background=36,C28,G27)</f>
        <v>大理白族自治州</v>
      </c>
    </row>
    <row r="29" spans="1:7" ht="15.75" thickBot="1" x14ac:dyDescent="0.3">
      <c r="A29" t="s">
        <v>392</v>
      </c>
      <c r="B29" s="1" t="s">
        <v>2770</v>
      </c>
      <c r="C29" s="1" t="s">
        <v>2774</v>
      </c>
      <c r="D29" s="2">
        <v>105380</v>
      </c>
      <c r="E29" s="2">
        <v>102305</v>
      </c>
      <c r="F29" s="2">
        <v>97610</v>
      </c>
      <c r="G29" s="2" t="str" cm="1">
        <f t="array" aca="1" ref="G29" ca="1">IF(Background=36,C29,G28)</f>
        <v>大理白族自治州</v>
      </c>
    </row>
    <row r="30" spans="1:7" ht="15.75" thickBot="1" x14ac:dyDescent="0.3">
      <c r="A30" t="s">
        <v>377</v>
      </c>
      <c r="B30" s="1" t="s">
        <v>2740</v>
      </c>
      <c r="C30" s="1" t="s">
        <v>2775</v>
      </c>
      <c r="D30" s="2">
        <v>178438</v>
      </c>
      <c r="E30" s="2">
        <v>175163</v>
      </c>
      <c r="F30" s="2">
        <v>164613</v>
      </c>
      <c r="G30" s="2" t="str" cm="1">
        <f t="array" aca="1" ref="G30" ca="1">IF(Background=36,C30,G29)</f>
        <v>大理白族自治州</v>
      </c>
    </row>
    <row r="31" spans="1:7" ht="15.75" thickBot="1" x14ac:dyDescent="0.3">
      <c r="A31" t="s">
        <v>369</v>
      </c>
      <c r="B31" s="1" t="s">
        <v>2740</v>
      </c>
      <c r="C31" s="1" t="s">
        <v>2776</v>
      </c>
      <c r="D31" s="2">
        <v>196978</v>
      </c>
      <c r="E31" s="2">
        <v>199880</v>
      </c>
      <c r="F31" s="2">
        <v>182977</v>
      </c>
      <c r="G31" s="2" t="str" cm="1">
        <f t="array" aca="1" ref="G31" ca="1">IF(Background=36,C31,G30)</f>
        <v>大理白族自治州</v>
      </c>
    </row>
    <row r="32" spans="1:7" ht="15.75" thickBot="1" x14ac:dyDescent="0.3">
      <c r="A32" t="s">
        <v>2777</v>
      </c>
      <c r="B32" s="4" t="s">
        <v>2778</v>
      </c>
      <c r="C32" s="4" t="s">
        <v>2779</v>
      </c>
      <c r="D32" s="5">
        <v>1082599</v>
      </c>
      <c r="E32" s="5">
        <v>1211440</v>
      </c>
      <c r="F32" s="5">
        <v>1315709</v>
      </c>
      <c r="G32" s="2" t="str" cm="1">
        <f t="array" aca="1" ref="G32" ca="1">IF(Background=36,C32,G31)</f>
        <v>德宏傣族景颇族自治州</v>
      </c>
    </row>
    <row r="33" spans="1:7" ht="15.75" thickBot="1" x14ac:dyDescent="0.3">
      <c r="A33" t="s">
        <v>609</v>
      </c>
      <c r="B33" s="1" t="s">
        <v>2740</v>
      </c>
      <c r="C33" s="1" t="s">
        <v>2780</v>
      </c>
      <c r="D33" s="2">
        <v>150985</v>
      </c>
      <c r="E33" s="2">
        <v>154175</v>
      </c>
      <c r="F33" s="2">
        <v>134268</v>
      </c>
      <c r="G33" s="2" t="str" cm="1">
        <f t="array" aca="1" ref="G33" ca="1">IF(Background=36,C33,G32)</f>
        <v>德宏傣族景颇族自治州</v>
      </c>
    </row>
    <row r="34" spans="1:7" ht="15.75" thickBot="1" x14ac:dyDescent="0.3">
      <c r="A34" t="s">
        <v>606</v>
      </c>
      <c r="B34" s="1" t="s">
        <v>2740</v>
      </c>
      <c r="C34" s="1" t="s">
        <v>2781</v>
      </c>
      <c r="D34" s="2">
        <v>170006</v>
      </c>
      <c r="E34" s="2">
        <v>181580</v>
      </c>
      <c r="F34" s="2">
        <v>181364</v>
      </c>
      <c r="G34" s="2" t="str" cm="1">
        <f t="array" aca="1" ref="G34" ca="1">IF(Background=36,C34,G33)</f>
        <v>德宏傣族景颇族自治州</v>
      </c>
    </row>
    <row r="35" spans="1:7" ht="15.75" thickBot="1" x14ac:dyDescent="0.3">
      <c r="A35" t="s">
        <v>612</v>
      </c>
      <c r="B35" s="1" t="s">
        <v>2746</v>
      </c>
      <c r="C35" s="1" t="s">
        <v>2782</v>
      </c>
      <c r="D35" s="2">
        <v>337406</v>
      </c>
      <c r="E35" s="2">
        <v>389891</v>
      </c>
      <c r="F35" s="2">
        <v>439931</v>
      </c>
      <c r="G35" s="2" t="str" cm="1">
        <f t="array" aca="1" ref="G35" ca="1">IF(Background=36,C35,G34)</f>
        <v>德宏傣族景颇族自治州</v>
      </c>
    </row>
    <row r="36" spans="1:7" ht="15.75" thickBot="1" x14ac:dyDescent="0.3">
      <c r="A36" t="s">
        <v>621</v>
      </c>
      <c r="B36" s="1" t="s">
        <v>2746</v>
      </c>
      <c r="C36" s="1" t="s">
        <v>2783</v>
      </c>
      <c r="D36" s="2">
        <v>155210</v>
      </c>
      <c r="E36" s="2">
        <v>180627</v>
      </c>
      <c r="F36" s="2">
        <v>267638</v>
      </c>
      <c r="G36" s="2" t="str" cm="1">
        <f t="array" aca="1" ref="G36" ca="1">IF(Background=36,C36,G35)</f>
        <v>德宏傣族景颇族自治州</v>
      </c>
    </row>
    <row r="37" spans="1:7" ht="15.75" thickBot="1" x14ac:dyDescent="0.3">
      <c r="A37" t="s">
        <v>632</v>
      </c>
      <c r="B37" s="1" t="s">
        <v>2740</v>
      </c>
      <c r="C37" s="1" t="s">
        <v>2784</v>
      </c>
      <c r="D37" s="2">
        <v>268992</v>
      </c>
      <c r="E37" s="2">
        <v>305167</v>
      </c>
      <c r="F37" s="2">
        <v>292508</v>
      </c>
      <c r="G37" s="2" t="str" cm="1">
        <f t="array" aca="1" ref="G37" ca="1">IF(Background=36,C37,G36)</f>
        <v>德宏傣族景颇族自治州</v>
      </c>
    </row>
    <row r="38" spans="1:7" ht="15.75" thickBot="1" x14ac:dyDescent="0.3">
      <c r="A38" t="s">
        <v>2916</v>
      </c>
      <c r="B38" s="4" t="s">
        <v>2785</v>
      </c>
      <c r="C38" s="4" t="s">
        <v>2786</v>
      </c>
      <c r="D38" s="5">
        <v>353518</v>
      </c>
      <c r="E38" s="5">
        <v>400182</v>
      </c>
      <c r="F38" s="5">
        <v>387511</v>
      </c>
      <c r="G38" s="2" t="str" cm="1">
        <f t="array" aca="1" ref="G38" ca="1">IF(Background=36,C38,G37)</f>
        <v>迪庆藏族自治州</v>
      </c>
    </row>
    <row r="39" spans="1:7" ht="15.75" thickBot="1" x14ac:dyDescent="0.3">
      <c r="A39" t="s">
        <v>716</v>
      </c>
      <c r="B39" s="1" t="s">
        <v>2740</v>
      </c>
      <c r="C39" s="1" t="s">
        <v>2787</v>
      </c>
      <c r="D39" s="2">
        <v>60085</v>
      </c>
      <c r="E39" s="2">
        <v>66589</v>
      </c>
      <c r="F39" s="2">
        <v>54736</v>
      </c>
      <c r="G39" s="2" t="str" cm="1">
        <f t="array" aca="1" ref="G39" ca="1">IF(Background=36,C39,G38)</f>
        <v>迪庆藏族自治州</v>
      </c>
    </row>
    <row r="40" spans="1:7" ht="15.75" thickBot="1" x14ac:dyDescent="0.3">
      <c r="A40" t="s">
        <v>709</v>
      </c>
      <c r="B40" s="1" t="s">
        <v>2770</v>
      </c>
      <c r="C40" s="1" t="s">
        <v>2788</v>
      </c>
      <c r="D40" s="2">
        <v>146017</v>
      </c>
      <c r="E40" s="2">
        <v>160605</v>
      </c>
      <c r="F40" s="2">
        <v>146363</v>
      </c>
      <c r="G40" s="2" t="str" cm="1">
        <f t="array" aca="1" ref="G40" ca="1">IF(Background=36,C40,G39)</f>
        <v>迪庆藏族自治州</v>
      </c>
    </row>
    <row r="41" spans="1:7" ht="15.75" thickBot="1" x14ac:dyDescent="0.3">
      <c r="A41" t="s">
        <v>719</v>
      </c>
      <c r="B41" s="1" t="s">
        <v>2746</v>
      </c>
      <c r="C41" s="1" t="s">
        <v>2789</v>
      </c>
      <c r="D41" s="2">
        <v>147416</v>
      </c>
      <c r="E41" s="2">
        <v>172988</v>
      </c>
      <c r="F41" s="2">
        <v>186412</v>
      </c>
      <c r="G41" s="2" t="str" cm="1">
        <f t="array" aca="1" ref="G41" ca="1">IF(Background=36,C41,G40)</f>
        <v>迪庆藏族自治州</v>
      </c>
    </row>
    <row r="42" spans="1:7" ht="15.75" thickBot="1" x14ac:dyDescent="0.3">
      <c r="A42" t="s">
        <v>2790</v>
      </c>
      <c r="B42" s="4" t="s">
        <v>2791</v>
      </c>
      <c r="C42" s="4" t="s">
        <v>2792</v>
      </c>
      <c r="D42" s="5">
        <v>4130463</v>
      </c>
      <c r="E42" s="5">
        <v>4500896</v>
      </c>
      <c r="F42" s="5">
        <v>4478422</v>
      </c>
      <c r="G42" s="2" t="str" cm="1">
        <f t="array" aca="1" ref="G42" ca="1">IF(Background=36,C42,G41)</f>
        <v>红河哈尼族彝族自治州</v>
      </c>
    </row>
    <row r="43" spans="1:7" ht="15.75" thickBot="1" x14ac:dyDescent="0.3">
      <c r="A43" t="s">
        <v>787</v>
      </c>
      <c r="B43" s="1" t="s">
        <v>2746</v>
      </c>
      <c r="C43" s="1" t="s">
        <v>2793</v>
      </c>
      <c r="D43" s="2">
        <v>453311</v>
      </c>
      <c r="E43" s="2">
        <v>459781</v>
      </c>
      <c r="F43" s="2">
        <v>419314</v>
      </c>
      <c r="G43" s="2" t="str" cm="1">
        <f t="array" aca="1" ref="G43" ca="1">IF(Background=36,C43,G42)</f>
        <v>红河哈尼族彝族自治州</v>
      </c>
    </row>
    <row r="44" spans="1:7" ht="15.75" thickBot="1" x14ac:dyDescent="0.3">
      <c r="A44" t="s">
        <v>844</v>
      </c>
      <c r="B44" s="1" t="s">
        <v>2770</v>
      </c>
      <c r="C44" s="1" t="s">
        <v>2794</v>
      </c>
      <c r="D44" s="2">
        <v>95451</v>
      </c>
      <c r="E44" s="2">
        <v>104609</v>
      </c>
      <c r="F44" s="2">
        <v>101971</v>
      </c>
      <c r="G44" s="2" t="str" cm="1">
        <f t="array" aca="1" ref="G44" ca="1">IF(Background=36,C44,G43)</f>
        <v>红河哈尼族彝族自治州</v>
      </c>
    </row>
    <row r="45" spans="1:7" ht="15.75" thickBot="1" x14ac:dyDescent="0.3">
      <c r="A45" t="s">
        <v>773</v>
      </c>
      <c r="B45" s="1" t="s">
        <v>2740</v>
      </c>
      <c r="C45" s="1" t="s">
        <v>2795</v>
      </c>
      <c r="D45" s="2">
        <v>267627</v>
      </c>
      <c r="E45" s="2">
        <v>296480</v>
      </c>
      <c r="F45" s="2">
        <v>284607</v>
      </c>
      <c r="G45" s="2" t="str" cm="1">
        <f t="array" aca="1" ref="G45" ca="1">IF(Background=36,C45,G44)</f>
        <v>红河哈尼族彝族自治州</v>
      </c>
    </row>
    <row r="46" spans="1:7" ht="15.75" thickBot="1" x14ac:dyDescent="0.3">
      <c r="A46" t="s">
        <v>801</v>
      </c>
      <c r="B46" s="1" t="s">
        <v>2740</v>
      </c>
      <c r="C46" s="1" t="s">
        <v>2796</v>
      </c>
      <c r="D46" s="2">
        <v>513712</v>
      </c>
      <c r="E46" s="2">
        <v>531456</v>
      </c>
      <c r="F46" s="2">
        <v>534205</v>
      </c>
      <c r="G46" s="2" t="str" cm="1">
        <f t="array" aca="1" ref="G46" ca="1">IF(Background=36,C46,G45)</f>
        <v>红河哈尼族彝族自治州</v>
      </c>
    </row>
    <row r="47" spans="1:7" ht="15.75" thickBot="1" x14ac:dyDescent="0.3">
      <c r="A47" t="s">
        <v>770</v>
      </c>
      <c r="B47" s="1" t="s">
        <v>2770</v>
      </c>
      <c r="C47" s="1" t="s">
        <v>2797</v>
      </c>
      <c r="D47" s="2">
        <v>316171</v>
      </c>
      <c r="E47" s="2">
        <v>356227</v>
      </c>
      <c r="F47" s="2">
        <v>331377</v>
      </c>
      <c r="G47" s="2" t="str" cm="1">
        <f t="array" aca="1" ref="G47" ca="1">IF(Background=36,C47,G46)</f>
        <v>红河哈尼族彝族自治州</v>
      </c>
    </row>
    <row r="48" spans="1:7" ht="15.75" thickBot="1" x14ac:dyDescent="0.3">
      <c r="A48" t="s">
        <v>795</v>
      </c>
      <c r="B48" s="1" t="s">
        <v>2746</v>
      </c>
      <c r="C48" s="1" t="s">
        <v>2798</v>
      </c>
      <c r="D48" s="2">
        <v>292039</v>
      </c>
      <c r="E48" s="2">
        <v>322693</v>
      </c>
      <c r="F48" s="2">
        <v>323031</v>
      </c>
      <c r="G48" s="2" t="str" cm="1">
        <f t="array" aca="1" ref="G48" ca="1">IF(Background=36,C48,G47)</f>
        <v>红河哈尼族彝族自治州</v>
      </c>
    </row>
    <row r="49" spans="1:7" ht="15.75" thickBot="1" x14ac:dyDescent="0.3">
      <c r="A49" t="s">
        <v>784</v>
      </c>
      <c r="B49" s="1" t="s">
        <v>2740</v>
      </c>
      <c r="C49" s="1" t="s">
        <v>2799</v>
      </c>
      <c r="D49" s="2">
        <v>201256</v>
      </c>
      <c r="E49" s="2">
        <v>222180</v>
      </c>
      <c r="F49" s="2">
        <v>210166</v>
      </c>
      <c r="G49" s="2" t="str" cm="1">
        <f t="array" aca="1" ref="G49" ca="1">IF(Background=36,C49,G48)</f>
        <v>红河哈尼族彝族自治州</v>
      </c>
    </row>
    <row r="50" spans="1:7" ht="15.75" thickBot="1" x14ac:dyDescent="0.3">
      <c r="A50" t="s">
        <v>779</v>
      </c>
      <c r="B50" s="1" t="s">
        <v>2740</v>
      </c>
      <c r="C50" s="1" t="s">
        <v>2800</v>
      </c>
      <c r="D50" s="2">
        <v>365585</v>
      </c>
      <c r="E50" s="2">
        <v>400734</v>
      </c>
      <c r="F50" s="2">
        <v>389138</v>
      </c>
      <c r="G50" s="2" t="str" cm="1">
        <f t="array" aca="1" ref="G50" ca="1">IF(Background=36,C50,G49)</f>
        <v>红河哈尼族彝族自治州</v>
      </c>
    </row>
    <row r="51" spans="1:7" ht="15.75" thickBot="1" x14ac:dyDescent="0.3">
      <c r="A51" t="s">
        <v>798</v>
      </c>
      <c r="B51" s="1" t="s">
        <v>2746</v>
      </c>
      <c r="C51" s="1" t="s">
        <v>2801</v>
      </c>
      <c r="D51" s="2">
        <v>340051</v>
      </c>
      <c r="E51" s="2">
        <v>417156</v>
      </c>
      <c r="F51" s="2">
        <v>585976</v>
      </c>
      <c r="G51" s="2" t="str" cm="1">
        <f t="array" aca="1" ref="G51" ca="1">IF(Background=36,C51,G50)</f>
        <v>红河哈尼族彝族自治州</v>
      </c>
    </row>
    <row r="52" spans="1:7" ht="15.75" thickBot="1" x14ac:dyDescent="0.3">
      <c r="A52" t="s">
        <v>831</v>
      </c>
      <c r="B52" s="1" t="s">
        <v>2746</v>
      </c>
      <c r="C52" s="1" t="s">
        <v>2802</v>
      </c>
      <c r="D52" s="2">
        <v>495642</v>
      </c>
      <c r="E52" s="2">
        <v>539725</v>
      </c>
      <c r="F52" s="2">
        <v>538083</v>
      </c>
      <c r="G52" s="2" t="str" cm="1">
        <f t="array" aca="1" ref="G52" ca="1">IF(Background=36,C52,G51)</f>
        <v>红河哈尼族彝族自治州</v>
      </c>
    </row>
    <row r="53" spans="1:7" ht="15.75" thickBot="1" x14ac:dyDescent="0.3">
      <c r="A53" t="s">
        <v>776</v>
      </c>
      <c r="B53" s="1" t="s">
        <v>2770</v>
      </c>
      <c r="C53" s="1" t="s">
        <v>2803</v>
      </c>
      <c r="D53" s="2">
        <v>149088</v>
      </c>
      <c r="E53" s="2">
        <v>153964</v>
      </c>
      <c r="F53" s="2">
        <v>129448</v>
      </c>
      <c r="G53" s="2" t="str" cm="1">
        <f t="array" aca="1" ref="G53" ca="1">IF(Background=36,C53,G52)</f>
        <v>红河哈尼族彝族自治州</v>
      </c>
    </row>
    <row r="54" spans="1:7" ht="15.75" thickBot="1" x14ac:dyDescent="0.3">
      <c r="A54" t="s">
        <v>790</v>
      </c>
      <c r="B54" s="1" t="s">
        <v>2740</v>
      </c>
      <c r="C54" s="1" t="s">
        <v>2804</v>
      </c>
      <c r="D54" s="2">
        <v>277580</v>
      </c>
      <c r="E54" s="2">
        <v>299114</v>
      </c>
      <c r="F54" s="2">
        <v>271951</v>
      </c>
      <c r="G54" s="2" t="str" cm="1">
        <f t="array" aca="1" ref="G54" ca="1">IF(Background=36,C54,G53)</f>
        <v>红河哈尼族彝族自治州</v>
      </c>
    </row>
    <row r="55" spans="1:7" ht="15.75" thickBot="1" x14ac:dyDescent="0.3">
      <c r="A55" t="s">
        <v>810</v>
      </c>
      <c r="B55" s="1" t="s">
        <v>2740</v>
      </c>
      <c r="C55" s="1" t="s">
        <v>2805</v>
      </c>
      <c r="D55" s="2">
        <v>362950</v>
      </c>
      <c r="E55" s="2">
        <v>396777</v>
      </c>
      <c r="F55" s="2">
        <v>359155</v>
      </c>
      <c r="G55" s="2" t="str" cm="1">
        <f t="array" aca="1" ref="G55" ca="1">IF(Background=36,C55,G54)</f>
        <v>红河哈尼族彝族自治州</v>
      </c>
    </row>
    <row r="56" spans="1:7" ht="15.75" thickBot="1" x14ac:dyDescent="0.3">
      <c r="A56" t="s">
        <v>2806</v>
      </c>
      <c r="B56" s="4" t="s">
        <v>2738</v>
      </c>
      <c r="C56" s="4" t="s">
        <v>2807</v>
      </c>
      <c r="D56" s="5">
        <v>5781294</v>
      </c>
      <c r="E56" s="5">
        <v>6432209</v>
      </c>
      <c r="F56" s="5">
        <v>8460088</v>
      </c>
      <c r="G56" s="2" t="str" cm="1">
        <f t="array" aca="1" ref="G56" ca="1">IF(Background=36,C56,G55)</f>
        <v>昆明市</v>
      </c>
    </row>
    <row r="57" spans="1:7" ht="15.75" thickBot="1" x14ac:dyDescent="0.3">
      <c r="A57" t="s">
        <v>1044</v>
      </c>
      <c r="B57" s="1" t="s">
        <v>2746</v>
      </c>
      <c r="C57" s="1" t="s">
        <v>2808</v>
      </c>
      <c r="D57" s="2">
        <v>295173</v>
      </c>
      <c r="E57" s="2">
        <v>341341</v>
      </c>
      <c r="F57" s="2">
        <v>483753</v>
      </c>
      <c r="G57" s="2" t="str" cm="1">
        <f t="array" aca="1" ref="G57" ca="1">IF(Background=36,C57,G56)</f>
        <v>昆明市</v>
      </c>
    </row>
    <row r="58" spans="1:7" ht="15.75" thickBot="1" x14ac:dyDescent="0.3">
      <c r="A58" t="s">
        <v>1075</v>
      </c>
      <c r="B58" s="1" t="s">
        <v>2743</v>
      </c>
      <c r="C58" s="1" t="s">
        <v>2809</v>
      </c>
      <c r="D58" s="2">
        <v>180685</v>
      </c>
      <c r="E58" s="2">
        <v>310843</v>
      </c>
      <c r="F58" s="2">
        <v>649501</v>
      </c>
      <c r="G58" s="2" t="str" cm="1">
        <f t="array" aca="1" ref="G58" ca="1">IF(Background=36,C58,G57)</f>
        <v>昆明市</v>
      </c>
    </row>
    <row r="59" spans="1:7" ht="15.75" thickBot="1" x14ac:dyDescent="0.3">
      <c r="A59" t="s">
        <v>1038</v>
      </c>
      <c r="B59" s="1" t="s">
        <v>2743</v>
      </c>
      <c r="C59" s="1" t="s">
        <v>2810</v>
      </c>
      <c r="D59" s="2">
        <v>275564</v>
      </c>
      <c r="E59" s="2">
        <v>271917</v>
      </c>
      <c r="F59" s="2">
        <v>260744</v>
      </c>
      <c r="G59" s="2" t="str" cm="1">
        <f t="array" aca="1" ref="G59" ca="1">IF(Background=36,C59,G58)</f>
        <v>昆明市</v>
      </c>
    </row>
    <row r="60" spans="1:7" ht="15.75" thickBot="1" x14ac:dyDescent="0.3">
      <c r="A60" t="s">
        <v>1060</v>
      </c>
      <c r="B60" s="1" t="s">
        <v>2740</v>
      </c>
      <c r="C60" s="1" t="s">
        <v>2811</v>
      </c>
      <c r="D60" s="2">
        <v>140046</v>
      </c>
      <c r="E60" s="2">
        <v>145554</v>
      </c>
      <c r="F60" s="2">
        <v>149506</v>
      </c>
      <c r="G60" s="2" t="str" cm="1">
        <f t="array" aca="1" ref="G60" ca="1">IF(Background=36,C60,G59)</f>
        <v>昆明市</v>
      </c>
    </row>
    <row r="61" spans="1:7" ht="15.75" thickBot="1" x14ac:dyDescent="0.3">
      <c r="A61" t="s">
        <v>1035</v>
      </c>
      <c r="B61" s="1" t="s">
        <v>2743</v>
      </c>
      <c r="C61" s="1" t="s">
        <v>2812</v>
      </c>
      <c r="D61" s="2">
        <v>1398305</v>
      </c>
      <c r="E61" s="2">
        <v>853371</v>
      </c>
      <c r="F61" s="2">
        <v>1602279</v>
      </c>
      <c r="G61" s="2" t="str" cm="1">
        <f t="array" aca="1" ref="G61" ca="1">IF(Background=36,C61,G60)</f>
        <v>昆明市</v>
      </c>
    </row>
    <row r="62" spans="1:7" ht="15.75" thickBot="1" x14ac:dyDescent="0.3">
      <c r="A62" t="s">
        <v>1089</v>
      </c>
      <c r="B62" s="1" t="s">
        <v>2743</v>
      </c>
      <c r="C62" s="1" t="s">
        <v>2813</v>
      </c>
      <c r="D62" s="2">
        <v>267739</v>
      </c>
      <c r="E62" s="2">
        <v>283784</v>
      </c>
      <c r="F62" s="2">
        <v>346268</v>
      </c>
      <c r="G62" s="2" t="str" cm="1">
        <f t="array" aca="1" ref="G62" ca="1">IF(Background=36,C62,G61)</f>
        <v>昆明市</v>
      </c>
    </row>
    <row r="63" spans="1:7" ht="15.75" thickBot="1" x14ac:dyDescent="0.3">
      <c r="A63" t="s">
        <v>1065</v>
      </c>
      <c r="B63" s="1" t="s">
        <v>2770</v>
      </c>
      <c r="C63" s="1" t="s">
        <v>2814</v>
      </c>
      <c r="D63" s="2">
        <v>429355</v>
      </c>
      <c r="E63" s="2">
        <v>396404</v>
      </c>
      <c r="F63" s="2">
        <v>378881</v>
      </c>
      <c r="G63" s="2" t="str" cm="1">
        <f t="array" aca="1" ref="G63" ca="1">IF(Background=36,C63,G62)</f>
        <v>昆明市</v>
      </c>
    </row>
    <row r="64" spans="1:7" ht="15.75" thickBot="1" x14ac:dyDescent="0.3">
      <c r="A64" t="s">
        <v>1041</v>
      </c>
      <c r="B64" s="1" t="s">
        <v>2743</v>
      </c>
      <c r="C64" s="1" t="s">
        <v>2815</v>
      </c>
      <c r="D64" s="2">
        <v>344754</v>
      </c>
      <c r="E64" s="2">
        <v>809881</v>
      </c>
      <c r="F64" s="2">
        <v>987955</v>
      </c>
      <c r="G64" s="2" t="str" cm="1">
        <f t="array" aca="1" ref="G64" ca="1">IF(Background=36,C64,G63)</f>
        <v>昆明市</v>
      </c>
    </row>
    <row r="65" spans="1:7" ht="15.75" thickBot="1" x14ac:dyDescent="0.3">
      <c r="A65" t="s">
        <v>1047</v>
      </c>
      <c r="B65" s="1" t="s">
        <v>2770</v>
      </c>
      <c r="C65" s="1" t="s">
        <v>2816</v>
      </c>
      <c r="D65" s="2">
        <v>223978</v>
      </c>
      <c r="E65" s="2">
        <v>246218</v>
      </c>
      <c r="F65" s="2">
        <v>240827</v>
      </c>
      <c r="G65" s="2" t="str" cm="1">
        <f t="array" aca="1" ref="G65" ca="1">IF(Background=36,C65,G64)</f>
        <v>昆明市</v>
      </c>
    </row>
    <row r="66" spans="1:7" ht="15.75" thickBot="1" x14ac:dyDescent="0.3">
      <c r="A66" t="s">
        <v>1194</v>
      </c>
      <c r="B66" s="1" t="s">
        <v>2740</v>
      </c>
      <c r="C66" s="1" t="s">
        <v>2817</v>
      </c>
      <c r="D66" s="2">
        <v>330514</v>
      </c>
      <c r="E66" s="2">
        <v>287095</v>
      </c>
      <c r="F66" s="2">
        <v>410929</v>
      </c>
      <c r="G66" s="2" t="str" cm="1">
        <f t="array" aca="1" ref="G66" ca="1">IF(Background=36,C66,G65)</f>
        <v>昆明市</v>
      </c>
    </row>
    <row r="67" spans="1:7" ht="15.75" thickBot="1" x14ac:dyDescent="0.3">
      <c r="A67" t="s">
        <v>1070</v>
      </c>
      <c r="B67" s="1" t="s">
        <v>2743</v>
      </c>
      <c r="C67" s="1" t="s">
        <v>2818</v>
      </c>
      <c r="D67" s="2">
        <v>413420</v>
      </c>
      <c r="E67" s="2">
        <v>855521</v>
      </c>
      <c r="F67" s="2">
        <v>1143085</v>
      </c>
      <c r="G67" s="2" t="str" cm="1">
        <f t="array" aca="1" ref="G67" ca="1">IF(Background=36,C67,G66)</f>
        <v>昆明市</v>
      </c>
    </row>
    <row r="68" spans="1:7" ht="15.75" thickBot="1" x14ac:dyDescent="0.3">
      <c r="A68" t="s">
        <v>1053</v>
      </c>
      <c r="B68" s="1" t="s">
        <v>2743</v>
      </c>
      <c r="C68" s="1" t="s">
        <v>2819</v>
      </c>
      <c r="D68" s="2">
        <v>603363</v>
      </c>
      <c r="E68" s="2">
        <v>753813</v>
      </c>
      <c r="F68" s="2">
        <v>960746</v>
      </c>
      <c r="G68" s="2" t="str" cm="1">
        <f t="array" aca="1" ref="G68" ca="1">IF(Background=36,C68,G67)</f>
        <v>昆明市</v>
      </c>
    </row>
    <row r="69" spans="1:7" ht="15.75" thickBot="1" x14ac:dyDescent="0.3">
      <c r="A69" t="s">
        <v>1078</v>
      </c>
      <c r="B69" s="1" t="s">
        <v>2770</v>
      </c>
      <c r="C69" s="1" t="s">
        <v>2820</v>
      </c>
      <c r="D69" s="2">
        <v>481721</v>
      </c>
      <c r="E69" s="2">
        <v>457068</v>
      </c>
      <c r="F69" s="2">
        <v>460739</v>
      </c>
      <c r="G69" s="2" t="str" cm="1">
        <f t="array" aca="1" ref="G69" ca="1">IF(Background=36,C69,G68)</f>
        <v>昆明市</v>
      </c>
    </row>
    <row r="70" spans="1:7" ht="15.75" thickBot="1" x14ac:dyDescent="0.3">
      <c r="A70" t="s">
        <v>1050</v>
      </c>
      <c r="B70" s="1" t="s">
        <v>2740</v>
      </c>
      <c r="C70" s="1" t="s">
        <v>2821</v>
      </c>
      <c r="D70" s="2">
        <v>396677</v>
      </c>
      <c r="E70" s="2">
        <v>419399</v>
      </c>
      <c r="F70" s="2">
        <v>384875</v>
      </c>
      <c r="G70" s="2" t="str" cm="1">
        <f t="array" aca="1" ref="G70" ca="1">IF(Background=36,C70,G69)</f>
        <v>昆明市</v>
      </c>
    </row>
    <row r="71" spans="1:7" ht="15.75" thickBot="1" x14ac:dyDescent="0.3">
      <c r="A71" t="s">
        <v>2822</v>
      </c>
      <c r="B71" s="4" t="s">
        <v>2738</v>
      </c>
      <c r="C71" s="4" t="s">
        <v>2823</v>
      </c>
      <c r="D71" s="5">
        <v>1126646</v>
      </c>
      <c r="E71" s="5">
        <v>1244769</v>
      </c>
      <c r="F71" s="5">
        <v>1253878</v>
      </c>
      <c r="G71" s="2" t="str" cm="1">
        <f t="array" aca="1" ref="G71" ca="1">IF(Background=36,C71,G70)</f>
        <v>丽江市</v>
      </c>
    </row>
    <row r="72" spans="1:7" ht="15.75" thickBot="1" x14ac:dyDescent="0.3">
      <c r="A72" t="s">
        <v>1324</v>
      </c>
      <c r="B72" s="1" t="s">
        <v>2743</v>
      </c>
      <c r="C72" s="1" t="s">
        <v>2824</v>
      </c>
      <c r="D72" s="6" t="s">
        <v>2825</v>
      </c>
      <c r="E72" s="2">
        <v>211151</v>
      </c>
      <c r="F72" s="2">
        <v>288787</v>
      </c>
      <c r="G72" s="2" t="str" cm="1">
        <f t="array" aca="1" ref="G72" ca="1">IF(Background=36,C72,G71)</f>
        <v>丽江市</v>
      </c>
    </row>
    <row r="73" spans="1:7" ht="15.75" thickBot="1" x14ac:dyDescent="0.3">
      <c r="A73" t="s">
        <v>1317</v>
      </c>
      <c r="B73" s="1" t="s">
        <v>2740</v>
      </c>
      <c r="C73" s="1" t="s">
        <v>2826</v>
      </c>
      <c r="D73" s="2">
        <v>154968</v>
      </c>
      <c r="E73" s="2">
        <v>168028</v>
      </c>
      <c r="F73" s="2">
        <v>159695</v>
      </c>
      <c r="G73" s="2" t="str" cm="1">
        <f t="array" aca="1" ref="G73" ca="1">IF(Background=36,C73,G72)</f>
        <v>丽江市</v>
      </c>
    </row>
    <row r="74" spans="1:7" ht="15.75" thickBot="1" x14ac:dyDescent="0.3">
      <c r="A74" t="s">
        <v>1311</v>
      </c>
      <c r="B74" s="1" t="s">
        <v>2770</v>
      </c>
      <c r="C74" s="1" t="s">
        <v>2827</v>
      </c>
      <c r="D74" s="2">
        <v>229204</v>
      </c>
      <c r="E74" s="2">
        <v>258869</v>
      </c>
      <c r="F74" s="2">
        <v>244525</v>
      </c>
      <c r="G74" s="2" t="str" cm="1">
        <f t="array" aca="1" ref="G74" ca="1">IF(Background=36,C74,G73)</f>
        <v>丽江市</v>
      </c>
    </row>
    <row r="75" spans="1:7" ht="15.75" thickBot="1" x14ac:dyDescent="0.3">
      <c r="A75" t="s">
        <v>1314</v>
      </c>
      <c r="B75" s="1" t="s">
        <v>2740</v>
      </c>
      <c r="C75" s="1" t="s">
        <v>2828</v>
      </c>
      <c r="D75" s="2">
        <v>375769</v>
      </c>
      <c r="E75" s="2">
        <v>392024</v>
      </c>
      <c r="F75" s="2">
        <v>336832</v>
      </c>
      <c r="G75" s="2" t="str" cm="1">
        <f t="array" aca="1" ref="G75" ca="1">IF(Background=36,C75,G74)</f>
        <v>丽江市</v>
      </c>
    </row>
    <row r="76" spans="1:7" ht="15.75" thickBot="1" x14ac:dyDescent="0.3">
      <c r="A76" t="s">
        <v>1306</v>
      </c>
      <c r="B76" s="1" t="s">
        <v>2770</v>
      </c>
      <c r="C76" s="1" t="s">
        <v>2829</v>
      </c>
      <c r="D76" s="6" t="s">
        <v>2825</v>
      </c>
      <c r="E76" s="2">
        <v>214697</v>
      </c>
      <c r="F76" s="2">
        <v>224039</v>
      </c>
      <c r="G76" s="2" t="str" cm="1">
        <f t="array" aca="1" ref="G76" ca="1">IF(Background=36,C76,G75)</f>
        <v>丽江市</v>
      </c>
    </row>
    <row r="77" spans="1:7" ht="15.75" thickBot="1" x14ac:dyDescent="0.3">
      <c r="A77" t="s">
        <v>2830</v>
      </c>
      <c r="B77" s="4" t="s">
        <v>2738</v>
      </c>
      <c r="C77" s="4" t="s">
        <v>2831</v>
      </c>
      <c r="D77" s="5">
        <v>2332570</v>
      </c>
      <c r="E77" s="5">
        <v>2429497</v>
      </c>
      <c r="F77" s="5">
        <v>2257991</v>
      </c>
      <c r="G77" s="2" t="str" cm="1">
        <f t="array" aca="1" ref="G77" ca="1">IF(Background=36,C77,G76)</f>
        <v>临沧市</v>
      </c>
    </row>
    <row r="78" spans="1:7" ht="15.75" thickBot="1" x14ac:dyDescent="0.3">
      <c r="A78" t="s">
        <v>1442</v>
      </c>
      <c r="B78" s="1" t="s">
        <v>2770</v>
      </c>
      <c r="C78" s="1" t="s">
        <v>2832</v>
      </c>
      <c r="D78" s="2">
        <v>202579</v>
      </c>
      <c r="E78" s="2">
        <v>179098</v>
      </c>
      <c r="F78" s="2">
        <v>160262</v>
      </c>
      <c r="G78" s="2" t="str" cm="1">
        <f t="array" aca="1" ref="G78" ca="1">IF(Background=36,C78,G77)</f>
        <v>临沧市</v>
      </c>
    </row>
    <row r="79" spans="1:7" ht="15.75" thickBot="1" x14ac:dyDescent="0.3">
      <c r="A79" t="s">
        <v>1462</v>
      </c>
      <c r="B79" s="1" t="s">
        <v>2740</v>
      </c>
      <c r="C79" s="1" t="s">
        <v>2833</v>
      </c>
      <c r="D79" s="2">
        <v>426943</v>
      </c>
      <c r="E79" s="2">
        <v>458322</v>
      </c>
      <c r="F79" s="2">
        <v>385420</v>
      </c>
      <c r="G79" s="2" t="str" cm="1">
        <f t="array" aca="1" ref="G79" ca="1">IF(Background=36,C79,G78)</f>
        <v>临沧市</v>
      </c>
    </row>
    <row r="80" spans="1:7" ht="15.75" thickBot="1" x14ac:dyDescent="0.3">
      <c r="A80" t="s">
        <v>1467</v>
      </c>
      <c r="B80" s="1" t="s">
        <v>2770</v>
      </c>
      <c r="C80" s="1" t="s">
        <v>2834</v>
      </c>
      <c r="D80" s="2">
        <v>313220</v>
      </c>
      <c r="E80" s="2">
        <v>296302</v>
      </c>
      <c r="F80" s="2">
        <v>285683</v>
      </c>
      <c r="G80" s="2" t="str" cm="1">
        <f t="array" aca="1" ref="G80" ca="1">IF(Background=36,C80,G79)</f>
        <v>临沧市</v>
      </c>
    </row>
    <row r="81" spans="1:7" ht="15.75" thickBot="1" x14ac:dyDescent="0.3">
      <c r="A81" t="s">
        <v>1439</v>
      </c>
      <c r="B81" s="1" t="s">
        <v>2743</v>
      </c>
      <c r="C81" s="1" t="s">
        <v>2835</v>
      </c>
      <c r="D81" s="2">
        <v>285163</v>
      </c>
      <c r="E81" s="2">
        <v>323708</v>
      </c>
      <c r="F81" s="2">
        <v>370947</v>
      </c>
      <c r="G81" s="2" t="str" cm="1">
        <f t="array" aca="1" ref="G81" ca="1">IF(Background=36,C81,G80)</f>
        <v>临沧市</v>
      </c>
    </row>
    <row r="82" spans="1:7" ht="15.75" thickBot="1" x14ac:dyDescent="0.3">
      <c r="A82" t="s">
        <v>1436</v>
      </c>
      <c r="B82" s="1" t="s">
        <v>2770</v>
      </c>
      <c r="C82" s="1" t="s">
        <v>2836</v>
      </c>
      <c r="D82" s="2">
        <v>165982</v>
      </c>
      <c r="E82" s="2">
        <v>176549</v>
      </c>
      <c r="F82" s="2">
        <v>164756</v>
      </c>
      <c r="G82" s="2" t="str" cm="1">
        <f t="array" aca="1" ref="G82" ca="1">IF(Background=36,C82,G81)</f>
        <v>临沧市</v>
      </c>
    </row>
    <row r="83" spans="1:7" ht="15.75" thickBot="1" x14ac:dyDescent="0.3">
      <c r="A83" t="s">
        <v>1445</v>
      </c>
      <c r="B83" s="1" t="s">
        <v>2740</v>
      </c>
      <c r="C83" s="1" t="s">
        <v>2837</v>
      </c>
      <c r="D83" s="2">
        <v>339918</v>
      </c>
      <c r="E83" s="2">
        <v>369702</v>
      </c>
      <c r="F83" s="2">
        <v>328864</v>
      </c>
      <c r="G83" s="2" t="str" cm="1">
        <f t="array" aca="1" ref="G83" ca="1">IF(Background=36,C83,G82)</f>
        <v>临沧市</v>
      </c>
    </row>
    <row r="84" spans="1:7" ht="15.75" thickBot="1" x14ac:dyDescent="0.3">
      <c r="A84" t="s">
        <v>1433</v>
      </c>
      <c r="B84" s="1" t="s">
        <v>2740</v>
      </c>
      <c r="C84" s="1" t="s">
        <v>2838</v>
      </c>
      <c r="D84" s="2">
        <v>416507</v>
      </c>
      <c r="E84" s="2">
        <v>449460</v>
      </c>
      <c r="F84" s="2">
        <v>389180</v>
      </c>
      <c r="G84" s="2" t="str" cm="1">
        <f t="array" aca="1" ref="G84" ca="1">IF(Background=36,C84,G83)</f>
        <v>临沧市</v>
      </c>
    </row>
    <row r="85" spans="1:7" ht="15.75" thickBot="1" x14ac:dyDescent="0.3">
      <c r="A85" t="s">
        <v>1478</v>
      </c>
      <c r="B85" s="1" t="s">
        <v>2740</v>
      </c>
      <c r="C85" s="1" t="s">
        <v>2839</v>
      </c>
      <c r="D85" s="2">
        <v>182258</v>
      </c>
      <c r="E85" s="2">
        <v>176356</v>
      </c>
      <c r="F85" s="2">
        <v>172879</v>
      </c>
      <c r="G85" s="2" t="str" cm="1">
        <f t="array" aca="1" ref="G85" ca="1">IF(Background=36,C85,G84)</f>
        <v>临沧市</v>
      </c>
    </row>
    <row r="86" spans="1:7" ht="15.75" thickBot="1" x14ac:dyDescent="0.3">
      <c r="A86" t="s">
        <v>2840</v>
      </c>
      <c r="B86" s="4" t="s">
        <v>2841</v>
      </c>
      <c r="C86" s="4" t="s">
        <v>2842</v>
      </c>
      <c r="D86" s="5">
        <v>491824</v>
      </c>
      <c r="E86" s="5">
        <v>534337</v>
      </c>
      <c r="F86" s="5">
        <v>552694</v>
      </c>
      <c r="G86" s="2" t="str" cm="1">
        <f t="array" aca="1" ref="G86" ca="1">IF(Background=36,C86,G85)</f>
        <v>怒江傈僳族自治州</v>
      </c>
    </row>
    <row r="87" spans="1:7" ht="15.75" thickBot="1" x14ac:dyDescent="0.3">
      <c r="A87" t="s">
        <v>1608</v>
      </c>
      <c r="B87" s="1" t="s">
        <v>2740</v>
      </c>
      <c r="C87" s="1" t="s">
        <v>2843</v>
      </c>
      <c r="D87" s="2">
        <v>88127</v>
      </c>
      <c r="E87" s="2">
        <v>98616</v>
      </c>
      <c r="F87" s="2">
        <v>114372</v>
      </c>
      <c r="G87" s="2" t="str" cm="1">
        <f t="array" aca="1" ref="G87" ca="1">IF(Background=36,C87,G86)</f>
        <v>怒江傈僳族自治州</v>
      </c>
    </row>
    <row r="88" spans="1:7" ht="15.75" thickBot="1" x14ac:dyDescent="0.3">
      <c r="A88" t="s">
        <v>1593</v>
      </c>
      <c r="B88" s="1" t="s">
        <v>2770</v>
      </c>
      <c r="C88" s="1" t="s">
        <v>2844</v>
      </c>
      <c r="D88" s="2">
        <v>34746</v>
      </c>
      <c r="E88" s="2">
        <v>37894</v>
      </c>
      <c r="F88" s="2">
        <v>38471</v>
      </c>
      <c r="G88" s="2" t="str" cm="1">
        <f t="array" aca="1" ref="G88" ca="1">IF(Background=36,C88,G87)</f>
        <v>怒江傈僳族自治州</v>
      </c>
    </row>
    <row r="89" spans="1:7" ht="15.75" thickBot="1" x14ac:dyDescent="0.3">
      <c r="A89" t="s">
        <v>1605</v>
      </c>
      <c r="B89" s="1" t="s">
        <v>2770</v>
      </c>
      <c r="C89" s="1" t="s">
        <v>2845</v>
      </c>
      <c r="D89" s="2">
        <v>196977</v>
      </c>
      <c r="E89" s="2">
        <v>212992</v>
      </c>
      <c r="F89" s="2">
        <v>195874</v>
      </c>
      <c r="G89" s="2" t="str" cm="1">
        <f t="array" aca="1" ref="G89" ca="1">IF(Background=36,C89,G88)</f>
        <v>怒江傈僳族自治州</v>
      </c>
    </row>
    <row r="90" spans="1:7" ht="15.75" thickBot="1" x14ac:dyDescent="0.3">
      <c r="A90" t="s">
        <v>1596</v>
      </c>
      <c r="B90" s="1" t="s">
        <v>2746</v>
      </c>
      <c r="C90" s="1" t="s">
        <v>2846</v>
      </c>
      <c r="D90" s="2">
        <v>171974</v>
      </c>
      <c r="E90" s="2">
        <v>184835</v>
      </c>
      <c r="F90" s="2">
        <v>203977</v>
      </c>
      <c r="G90" s="2" t="str" cm="1">
        <f t="array" aca="1" ref="G90" ca="1">IF(Background=36,C90,G89)</f>
        <v>怒江傈僳族自治州</v>
      </c>
    </row>
    <row r="91" spans="1:7" ht="15.75" thickBot="1" x14ac:dyDescent="0.3">
      <c r="A91" t="s">
        <v>2847</v>
      </c>
      <c r="B91" s="4" t="s">
        <v>2738</v>
      </c>
      <c r="C91" s="4" t="s">
        <v>2848</v>
      </c>
      <c r="D91" s="5">
        <v>2480346</v>
      </c>
      <c r="E91" s="5">
        <v>2542898</v>
      </c>
      <c r="F91" s="5">
        <v>2404954</v>
      </c>
      <c r="G91" s="2" t="str" cm="1">
        <f t="array" aca="1" ref="G91" ca="1">IF(Background=36,C91,G90)</f>
        <v>普洱市</v>
      </c>
    </row>
    <row r="92" spans="1:7" ht="15.75" thickBot="1" x14ac:dyDescent="0.3">
      <c r="A92" t="s">
        <v>1664</v>
      </c>
      <c r="B92" s="1" t="s">
        <v>2770</v>
      </c>
      <c r="C92" s="1" t="s">
        <v>2849</v>
      </c>
      <c r="D92" s="2">
        <v>100243</v>
      </c>
      <c r="E92" s="2">
        <v>121545</v>
      </c>
      <c r="F92" s="2">
        <v>111033</v>
      </c>
      <c r="G92" s="2" t="str" cm="1">
        <f t="array" aca="1" ref="G92" ca="1">IF(Background=36,C92,G91)</f>
        <v>普洱市</v>
      </c>
    </row>
    <row r="93" spans="1:7" ht="15.75" thickBot="1" x14ac:dyDescent="0.3">
      <c r="A93" t="s">
        <v>1654</v>
      </c>
      <c r="B93" s="1" t="s">
        <v>2770</v>
      </c>
      <c r="C93" s="1" t="s">
        <v>2850</v>
      </c>
      <c r="D93" s="2">
        <v>352089</v>
      </c>
      <c r="E93" s="2">
        <v>359527</v>
      </c>
      <c r="F93" s="2">
        <v>303109</v>
      </c>
      <c r="G93" s="2" t="str" cm="1">
        <f t="array" aca="1" ref="G93" ca="1">IF(Background=36,C93,G92)</f>
        <v>普洱市</v>
      </c>
    </row>
    <row r="94" spans="1:7" ht="15.75" thickBot="1" x14ac:dyDescent="0.3">
      <c r="A94" t="s">
        <v>1661</v>
      </c>
      <c r="B94" s="1" t="s">
        <v>2770</v>
      </c>
      <c r="C94" s="1" t="s">
        <v>2851</v>
      </c>
      <c r="D94" s="2">
        <v>288794</v>
      </c>
      <c r="E94" s="2">
        <v>291672</v>
      </c>
      <c r="F94" s="2">
        <v>277417</v>
      </c>
      <c r="G94" s="2" t="str" cm="1">
        <f t="array" aca="1" ref="G94" ca="1">IF(Background=36,C94,G93)</f>
        <v>普洱市</v>
      </c>
    </row>
    <row r="95" spans="1:7" ht="15.75" thickBot="1" x14ac:dyDescent="0.3">
      <c r="A95" t="s">
        <v>1657</v>
      </c>
      <c r="B95" s="1" t="s">
        <v>2770</v>
      </c>
      <c r="C95" s="1" t="s">
        <v>2852</v>
      </c>
      <c r="D95" s="2">
        <v>464016</v>
      </c>
      <c r="E95" s="2">
        <v>491884</v>
      </c>
      <c r="F95" s="2">
        <v>441455</v>
      </c>
      <c r="G95" s="2" t="str" cm="1">
        <f t="array" aca="1" ref="G95" ca="1">IF(Background=36,C95,G94)</f>
        <v>普洱市</v>
      </c>
    </row>
    <row r="96" spans="1:7" ht="15.75" thickBot="1" x14ac:dyDescent="0.3">
      <c r="A96" t="s">
        <v>1690</v>
      </c>
      <c r="B96" s="1" t="s">
        <v>2770</v>
      </c>
      <c r="C96" s="1" t="s">
        <v>2853</v>
      </c>
      <c r="D96" s="2">
        <v>208593</v>
      </c>
      <c r="E96" s="2">
        <v>135538</v>
      </c>
      <c r="F96" s="2">
        <v>144693</v>
      </c>
      <c r="G96" s="2" t="str" cm="1">
        <f t="array" aca="1" ref="G96" ca="1">IF(Background=36,C96,G95)</f>
        <v>普洱市</v>
      </c>
    </row>
    <row r="97" spans="1:7" ht="15.75" thickBot="1" x14ac:dyDescent="0.3">
      <c r="A97" t="s">
        <v>1660</v>
      </c>
      <c r="B97" s="1" t="s">
        <v>2770</v>
      </c>
      <c r="C97" s="1" t="s">
        <v>2854</v>
      </c>
      <c r="D97" s="2">
        <v>355364</v>
      </c>
      <c r="E97" s="2">
        <v>360507</v>
      </c>
      <c r="F97" s="2">
        <v>281554</v>
      </c>
      <c r="G97" s="2" t="str" cm="1">
        <f t="array" aca="1" ref="G97" ca="1">IF(Background=36,C97,G96)</f>
        <v>普洱市</v>
      </c>
    </row>
    <row r="98" spans="1:7" ht="15.75" thickBot="1" x14ac:dyDescent="0.3">
      <c r="A98" t="s">
        <v>1673</v>
      </c>
      <c r="B98" s="1" t="s">
        <v>2770</v>
      </c>
      <c r="C98" s="1" t="s">
        <v>2855</v>
      </c>
      <c r="D98" s="2">
        <v>188106</v>
      </c>
      <c r="E98" s="2">
        <v>185719</v>
      </c>
      <c r="F98" s="2">
        <v>162711</v>
      </c>
      <c r="G98" s="2" t="str" cm="1">
        <f t="array" aca="1" ref="G98" ca="1">IF(Background=36,C98,G97)</f>
        <v>普洱市</v>
      </c>
    </row>
    <row r="99" spans="1:7" ht="15.75" thickBot="1" x14ac:dyDescent="0.3">
      <c r="A99" t="s">
        <v>1732</v>
      </c>
      <c r="B99" s="1" t="s">
        <v>2743</v>
      </c>
      <c r="C99" s="1" t="s">
        <v>2856</v>
      </c>
      <c r="D99" s="2">
        <v>230834</v>
      </c>
      <c r="E99" s="2">
        <v>296565</v>
      </c>
      <c r="F99" s="2">
        <v>416188</v>
      </c>
      <c r="G99" s="2" t="str" cm="1">
        <f t="array" aca="1" ref="G99" ca="1">IF(Background=36,C99,G98)</f>
        <v>普洱市</v>
      </c>
    </row>
    <row r="100" spans="1:7" ht="15.75" thickBot="1" x14ac:dyDescent="0.3">
      <c r="A100" t="s">
        <v>1729</v>
      </c>
      <c r="B100" s="1" t="s">
        <v>2770</v>
      </c>
      <c r="C100" s="1" t="s">
        <v>2857</v>
      </c>
      <c r="D100" s="2">
        <v>86598</v>
      </c>
      <c r="E100" s="2">
        <v>91335</v>
      </c>
      <c r="F100" s="2">
        <v>87291</v>
      </c>
      <c r="G100" s="2" t="str" cm="1">
        <f t="array" aca="1" ref="G100" ca="1">IF(Background=36,C100,G99)</f>
        <v>普洱市</v>
      </c>
    </row>
    <row r="101" spans="1:7" ht="15.75" thickBot="1" x14ac:dyDescent="0.3">
      <c r="A101" t="s">
        <v>1651</v>
      </c>
      <c r="B101" s="1" t="s">
        <v>2770</v>
      </c>
      <c r="C101" s="1" t="s">
        <v>2858</v>
      </c>
      <c r="D101" s="2">
        <v>205709</v>
      </c>
      <c r="E101" s="2">
        <v>208606</v>
      </c>
      <c r="F101" s="2">
        <v>179503</v>
      </c>
      <c r="G101" s="2" t="str" cm="1">
        <f t="array" aca="1" ref="G101" ca="1">IF(Background=36,C101,G100)</f>
        <v>普洱市</v>
      </c>
    </row>
    <row r="102" spans="1:7" ht="15.75" thickBot="1" x14ac:dyDescent="0.3">
      <c r="A102" t="s">
        <v>2859</v>
      </c>
      <c r="B102" s="4" t="s">
        <v>2738</v>
      </c>
      <c r="C102" s="4" t="s">
        <v>2860</v>
      </c>
      <c r="D102" s="5">
        <v>5466089</v>
      </c>
      <c r="E102" s="5">
        <v>5855055</v>
      </c>
      <c r="F102" s="5">
        <v>5765775</v>
      </c>
      <c r="G102" s="2" t="str" cm="1">
        <f t="array" aca="1" ref="G102" ca="1">IF(Background=36,C102,G101)</f>
        <v>曲靖市</v>
      </c>
    </row>
    <row r="103" spans="1:7" ht="15.75" thickBot="1" x14ac:dyDescent="0.3">
      <c r="A103" t="s">
        <v>1878</v>
      </c>
      <c r="B103" s="1" t="s">
        <v>2740</v>
      </c>
      <c r="C103" s="1" t="s">
        <v>2861</v>
      </c>
      <c r="D103" s="2">
        <v>657474</v>
      </c>
      <c r="E103" s="2">
        <v>722640</v>
      </c>
      <c r="F103" s="2">
        <v>675229</v>
      </c>
      <c r="G103" s="2" t="str" cm="1">
        <f t="array" aca="1" ref="G103" ca="1">IF(Background=36,C103,G102)</f>
        <v>曲靖市</v>
      </c>
    </row>
    <row r="104" spans="1:7" ht="15.75" thickBot="1" x14ac:dyDescent="0.3">
      <c r="A104" t="s">
        <v>1875</v>
      </c>
      <c r="B104" s="1" t="s">
        <v>2740</v>
      </c>
      <c r="C104" s="1" t="s">
        <v>2862</v>
      </c>
      <c r="D104" s="2">
        <v>844485</v>
      </c>
      <c r="E104" s="2">
        <v>908292</v>
      </c>
      <c r="F104" s="2">
        <v>794279</v>
      </c>
      <c r="G104" s="2" t="str" cm="1">
        <f t="array" aca="1" ref="G104" ca="1">IF(Background=36,C104,G103)</f>
        <v>曲靖市</v>
      </c>
    </row>
    <row r="105" spans="1:7" ht="15.75" thickBot="1" x14ac:dyDescent="0.3">
      <c r="A105" t="s">
        <v>1863</v>
      </c>
      <c r="B105" s="1" t="s">
        <v>2740</v>
      </c>
      <c r="C105" s="1" t="s">
        <v>2863</v>
      </c>
      <c r="D105" s="2">
        <v>581764</v>
      </c>
      <c r="E105" s="2">
        <v>622397</v>
      </c>
      <c r="F105" s="2">
        <v>599266</v>
      </c>
      <c r="G105" s="2" t="str" cm="1">
        <f t="array" aca="1" ref="G105" ca="1">IF(Background=36,C105,G104)</f>
        <v>曲靖市</v>
      </c>
    </row>
    <row r="106" spans="1:7" ht="15.75" thickBot="1" x14ac:dyDescent="0.3">
      <c r="A106" t="s">
        <v>1858</v>
      </c>
      <c r="B106" s="1" t="s">
        <v>2740</v>
      </c>
      <c r="C106" s="1" t="s">
        <v>2864</v>
      </c>
      <c r="D106" s="2">
        <v>515211</v>
      </c>
      <c r="E106" s="2">
        <v>549680</v>
      </c>
      <c r="F106" s="2">
        <v>535565</v>
      </c>
      <c r="G106" s="2" t="str" cm="1">
        <f t="array" aca="1" ref="G106" ca="1">IF(Background=36,C106,G105)</f>
        <v>曲靖市</v>
      </c>
    </row>
    <row r="107" spans="1:7" ht="15.75" thickBot="1" x14ac:dyDescent="0.3">
      <c r="A107" t="s">
        <v>1893</v>
      </c>
      <c r="B107" s="1" t="s">
        <v>2743</v>
      </c>
      <c r="C107" s="1" t="s">
        <v>2865</v>
      </c>
      <c r="D107" s="2">
        <v>185766</v>
      </c>
      <c r="E107" s="2">
        <v>184989</v>
      </c>
      <c r="F107" s="2">
        <v>193137</v>
      </c>
      <c r="G107" s="2" t="str" cm="1">
        <f t="array" aca="1" ref="G107" ca="1">IF(Background=36,C107,G106)</f>
        <v>曲靖市</v>
      </c>
    </row>
    <row r="108" spans="1:7" ht="15.75" thickBot="1" x14ac:dyDescent="0.3">
      <c r="A108" t="s">
        <v>1861</v>
      </c>
      <c r="B108" s="1" t="s">
        <v>2743</v>
      </c>
      <c r="C108" s="1" t="s">
        <v>2866</v>
      </c>
      <c r="D108" s="2">
        <v>648956</v>
      </c>
      <c r="E108" s="2">
        <v>740747</v>
      </c>
      <c r="F108" s="2">
        <v>996279</v>
      </c>
      <c r="G108" s="2" t="str" cm="1">
        <f t="array" aca="1" ref="G108" ca="1">IF(Background=36,C108,G107)</f>
        <v>曲靖市</v>
      </c>
    </row>
    <row r="109" spans="1:7" ht="15.75" thickBot="1" x14ac:dyDescent="0.3">
      <c r="A109" t="s">
        <v>1868</v>
      </c>
      <c r="B109" s="1" t="s">
        <v>2740</v>
      </c>
      <c r="C109" s="1" t="s">
        <v>2867</v>
      </c>
      <c r="D109" s="2">
        <v>349770</v>
      </c>
      <c r="E109" s="2">
        <v>392361</v>
      </c>
      <c r="F109" s="2">
        <v>376902</v>
      </c>
      <c r="G109" s="2" t="str" cm="1">
        <f t="array" aca="1" ref="G109" ca="1">IF(Background=36,C109,G108)</f>
        <v>曲靖市</v>
      </c>
    </row>
    <row r="110" spans="1:7" ht="15.75" thickBot="1" x14ac:dyDescent="0.3">
      <c r="A110" t="s">
        <v>1855</v>
      </c>
      <c r="B110" s="1" t="s">
        <v>2746</v>
      </c>
      <c r="C110" s="1" t="s">
        <v>2868</v>
      </c>
      <c r="D110" s="2">
        <v>1292825</v>
      </c>
      <c r="E110" s="2">
        <v>1302891</v>
      </c>
      <c r="F110" s="2">
        <v>1189813</v>
      </c>
      <c r="G110" s="2" t="str" cm="1">
        <f t="array" aca="1" ref="G110" ca="1">IF(Background=36,C110,G109)</f>
        <v>曲靖市</v>
      </c>
    </row>
    <row r="111" spans="1:7" ht="15.75" thickBot="1" x14ac:dyDescent="0.3">
      <c r="A111" t="s">
        <v>1862</v>
      </c>
      <c r="B111" s="1" t="s">
        <v>2743</v>
      </c>
      <c r="C111" s="1" t="s">
        <v>2869</v>
      </c>
      <c r="D111" s="2">
        <v>389838</v>
      </c>
      <c r="E111" s="2">
        <v>431058</v>
      </c>
      <c r="F111" s="2">
        <v>405305</v>
      </c>
      <c r="G111" s="2" t="str" cm="1">
        <f t="array" aca="1" ref="G111" ca="1">IF(Background=36,C111,G110)</f>
        <v>曲靖市</v>
      </c>
    </row>
    <row r="112" spans="1:7" ht="15.75" thickBot="1" x14ac:dyDescent="0.3">
      <c r="A112" t="s">
        <v>2870</v>
      </c>
      <c r="B112" s="4" t="s">
        <v>2871</v>
      </c>
      <c r="C112" s="4" t="s">
        <v>2872</v>
      </c>
      <c r="D112" s="5">
        <v>3268553</v>
      </c>
      <c r="E112" s="5">
        <v>3517946</v>
      </c>
      <c r="F112" s="5">
        <v>3503218</v>
      </c>
      <c r="G112" s="2" t="str" cm="1">
        <f t="array" aca="1" ref="G112" ca="1">IF(Background=36,C112,G111)</f>
        <v>文山壮族苗族自治州</v>
      </c>
    </row>
    <row r="113" spans="1:7" ht="15.75" thickBot="1" x14ac:dyDescent="0.3">
      <c r="A113" t="s">
        <v>2066</v>
      </c>
      <c r="B113" s="1" t="s">
        <v>2740</v>
      </c>
      <c r="C113" s="1" t="s">
        <v>2873</v>
      </c>
      <c r="D113" s="2">
        <v>382913</v>
      </c>
      <c r="E113" s="2">
        <v>407537</v>
      </c>
      <c r="F113" s="2">
        <v>396818</v>
      </c>
      <c r="G113" s="2" t="str" cm="1">
        <f t="array" aca="1" ref="G113" ca="1">IF(Background=36,C113,G112)</f>
        <v>文山壮族苗族自治州</v>
      </c>
    </row>
    <row r="114" spans="1:7" ht="15.75" thickBot="1" x14ac:dyDescent="0.3">
      <c r="A114" t="s">
        <v>2069</v>
      </c>
      <c r="B114" s="1" t="s">
        <v>2740</v>
      </c>
      <c r="C114" s="1" t="s">
        <v>2874</v>
      </c>
      <c r="D114" s="2">
        <v>730376</v>
      </c>
      <c r="E114" s="2">
        <v>787449</v>
      </c>
      <c r="F114" s="2">
        <v>771948</v>
      </c>
      <c r="G114" s="2" t="str" cm="1">
        <f t="array" aca="1" ref="G114" ca="1">IF(Background=36,C114,G113)</f>
        <v>文山壮族苗族自治州</v>
      </c>
    </row>
    <row r="115" spans="1:7" ht="15.75" thickBot="1" x14ac:dyDescent="0.3">
      <c r="A115" t="s">
        <v>2092</v>
      </c>
      <c r="B115" s="1" t="s">
        <v>2740</v>
      </c>
      <c r="C115" s="1" t="s">
        <v>2875</v>
      </c>
      <c r="D115" s="2">
        <v>350002</v>
      </c>
      <c r="E115" s="2">
        <v>367507</v>
      </c>
      <c r="F115" s="2">
        <v>318704</v>
      </c>
      <c r="G115" s="2" t="str" cm="1">
        <f t="array" aca="1" ref="G115" ca="1">IF(Background=36,C115,G114)</f>
        <v>文山壮族苗族自治州</v>
      </c>
    </row>
    <row r="116" spans="1:7" ht="15.75" thickBot="1" x14ac:dyDescent="0.3">
      <c r="A116" t="s">
        <v>2072</v>
      </c>
      <c r="B116" s="1" t="s">
        <v>2740</v>
      </c>
      <c r="C116" s="1" t="s">
        <v>2876</v>
      </c>
      <c r="D116" s="2">
        <v>267986</v>
      </c>
      <c r="E116" s="2">
        <v>277960</v>
      </c>
      <c r="F116" s="2">
        <v>243587</v>
      </c>
      <c r="G116" s="2" t="str" cm="1">
        <f t="array" aca="1" ref="G116" ca="1">IF(Background=36,C116,G115)</f>
        <v>文山壮族苗族自治州</v>
      </c>
    </row>
    <row r="117" spans="1:7" ht="15.75" thickBot="1" x14ac:dyDescent="0.3">
      <c r="A117" t="s">
        <v>2075</v>
      </c>
      <c r="B117" s="1" t="s">
        <v>2740</v>
      </c>
      <c r="C117" s="1" t="s">
        <v>2877</v>
      </c>
      <c r="D117" s="2">
        <v>434009</v>
      </c>
      <c r="E117" s="2">
        <v>477441</v>
      </c>
      <c r="F117" s="2">
        <v>468172</v>
      </c>
      <c r="G117" s="2" t="str" cm="1">
        <f t="array" aca="1" ref="G117" ca="1">IF(Background=36,C117,G116)</f>
        <v>文山壮族苗族自治州</v>
      </c>
    </row>
    <row r="118" spans="1:7" ht="15.75" thickBot="1" x14ac:dyDescent="0.3">
      <c r="A118" t="s">
        <v>2089</v>
      </c>
      <c r="B118" s="1" t="s">
        <v>2746</v>
      </c>
      <c r="C118" s="1" t="s">
        <v>2878</v>
      </c>
      <c r="D118" s="2">
        <v>429639</v>
      </c>
      <c r="E118" s="2">
        <v>481505</v>
      </c>
      <c r="F118" s="2">
        <v>623772</v>
      </c>
      <c r="G118" s="2" t="str" cm="1">
        <f t="array" aca="1" ref="G118" ca="1">IF(Background=36,C118,G117)</f>
        <v>文山壮族苗族自治州</v>
      </c>
    </row>
    <row r="119" spans="1:7" ht="15.75" thickBot="1" x14ac:dyDescent="0.3">
      <c r="A119" t="s">
        <v>2080</v>
      </c>
      <c r="B119" s="1" t="s">
        <v>2740</v>
      </c>
      <c r="C119" s="1" t="s">
        <v>2879</v>
      </c>
      <c r="D119" s="2">
        <v>236120</v>
      </c>
      <c r="E119" s="2">
        <v>255286</v>
      </c>
      <c r="F119" s="2">
        <v>203630</v>
      </c>
      <c r="G119" s="2" t="str" cm="1">
        <f t="array" aca="1" ref="G119" ca="1">IF(Background=36,C119,G118)</f>
        <v>文山壮族苗族自治州</v>
      </c>
    </row>
    <row r="120" spans="1:7" ht="15.75" thickBot="1" x14ac:dyDescent="0.3">
      <c r="A120" t="s">
        <v>2061</v>
      </c>
      <c r="B120" s="1" t="s">
        <v>2740</v>
      </c>
      <c r="C120" s="1" t="s">
        <v>2880</v>
      </c>
      <c r="D120" s="2">
        <v>437508</v>
      </c>
      <c r="E120" s="2">
        <v>463261</v>
      </c>
      <c r="F120" s="2">
        <v>476587</v>
      </c>
      <c r="G120" s="2" t="str" cm="1">
        <f t="array" aca="1" ref="G120" ca="1">IF(Background=36,C120,G119)</f>
        <v>文山壮族苗族自治州</v>
      </c>
    </row>
    <row r="121" spans="1:7" ht="15.75" thickBot="1" x14ac:dyDescent="0.3">
      <c r="A121" t="s">
        <v>2881</v>
      </c>
      <c r="B121" s="4" t="s">
        <v>2882</v>
      </c>
      <c r="C121" s="4" t="s">
        <v>2883</v>
      </c>
      <c r="D121" s="5">
        <v>993397</v>
      </c>
      <c r="E121" s="5">
        <v>1133515</v>
      </c>
      <c r="F121" s="5">
        <v>1301407</v>
      </c>
      <c r="G121" s="2" t="str" cm="1">
        <f t="array" aca="1" ref="G121" ca="1">IF(Background=36,C121,G120)</f>
        <v>西双版纳傣族自治州</v>
      </c>
    </row>
    <row r="122" spans="1:7" ht="15.75" thickBot="1" x14ac:dyDescent="0.3">
      <c r="A122" t="s">
        <v>2261</v>
      </c>
      <c r="B122" s="1" t="s">
        <v>2746</v>
      </c>
      <c r="C122" s="1" t="s">
        <v>2884</v>
      </c>
      <c r="D122" s="2">
        <v>443672</v>
      </c>
      <c r="E122" s="2">
        <v>519935</v>
      </c>
      <c r="F122" s="2">
        <v>642737</v>
      </c>
      <c r="G122" s="2" t="str" cm="1">
        <f t="array" aca="1" ref="G122" ca="1">IF(Background=36,C122,G121)</f>
        <v>西双版纳傣族自治州</v>
      </c>
    </row>
    <row r="123" spans="1:7" ht="15.75" thickBot="1" x14ac:dyDescent="0.3">
      <c r="A123" t="s">
        <v>2258</v>
      </c>
      <c r="B123" s="1" t="s">
        <v>2740</v>
      </c>
      <c r="C123" s="1" t="s">
        <v>2885</v>
      </c>
      <c r="D123" s="2">
        <v>314068</v>
      </c>
      <c r="E123" s="2">
        <v>331850</v>
      </c>
      <c r="F123" s="2">
        <v>353720</v>
      </c>
      <c r="G123" s="2" t="str" cm="1">
        <f t="array" aca="1" ref="G123" ca="1">IF(Background=36,C123,G122)</f>
        <v>西双版纳傣族自治州</v>
      </c>
    </row>
    <row r="124" spans="1:7" ht="15.75" thickBot="1" x14ac:dyDescent="0.3">
      <c r="A124" t="s">
        <v>2270</v>
      </c>
      <c r="B124" s="1" t="s">
        <v>2740</v>
      </c>
      <c r="C124" s="1" t="s">
        <v>2886</v>
      </c>
      <c r="D124" s="2">
        <v>235657</v>
      </c>
      <c r="E124" s="2">
        <v>281730</v>
      </c>
      <c r="F124" s="2">
        <v>304950</v>
      </c>
      <c r="G124" s="2" t="str" cm="1">
        <f t="array" aca="1" ref="G124" ca="1">IF(Background=36,C124,G123)</f>
        <v>西双版纳傣族自治州</v>
      </c>
    </row>
    <row r="125" spans="1:7" ht="15.75" thickBot="1" x14ac:dyDescent="0.3">
      <c r="A125" t="s">
        <v>2887</v>
      </c>
      <c r="B125" s="4" t="s">
        <v>2738</v>
      </c>
      <c r="C125" s="4" t="s">
        <v>2888</v>
      </c>
      <c r="D125" s="5">
        <v>2073005</v>
      </c>
      <c r="E125" s="5">
        <v>2303518</v>
      </c>
      <c r="F125" s="5">
        <v>2249502</v>
      </c>
      <c r="G125" s="2" t="str" cm="1">
        <f t="array" aca="1" ref="G125" ca="1">IF(Background=36,C125,G124)</f>
        <v>玉溪市</v>
      </c>
    </row>
    <row r="126" spans="1:7" ht="15.75" thickBot="1" x14ac:dyDescent="0.3">
      <c r="A126" t="s">
        <v>2346</v>
      </c>
      <c r="B126" s="1" t="s">
        <v>2740</v>
      </c>
      <c r="C126" s="1" t="s">
        <v>2889</v>
      </c>
      <c r="D126" s="2">
        <v>149748</v>
      </c>
      <c r="E126" s="2">
        <v>169366</v>
      </c>
      <c r="F126" s="2">
        <v>173161</v>
      </c>
      <c r="G126" s="2" t="str" cm="1">
        <f t="array" aca="1" ref="G126" ca="1">IF(Background=36,C126,G125)</f>
        <v>玉溪市</v>
      </c>
    </row>
    <row r="127" spans="1:7" ht="15.75" thickBot="1" x14ac:dyDescent="0.3">
      <c r="A127" t="s">
        <v>2331</v>
      </c>
      <c r="B127" s="1" t="s">
        <v>2770</v>
      </c>
      <c r="C127" s="1" t="s">
        <v>2890</v>
      </c>
      <c r="D127" s="2">
        <v>151426</v>
      </c>
      <c r="E127" s="2">
        <v>162831</v>
      </c>
      <c r="F127" s="2">
        <v>143903</v>
      </c>
      <c r="G127" s="2" t="str" cm="1">
        <f t="array" aca="1" ref="G127" ca="1">IF(Background=36,C127,G126)</f>
        <v>玉溪市</v>
      </c>
    </row>
    <row r="128" spans="1:7" ht="15.75" thickBot="1" x14ac:dyDescent="0.3">
      <c r="A128" t="s">
        <v>2328</v>
      </c>
      <c r="B128" s="1" t="s">
        <v>2743</v>
      </c>
      <c r="C128" s="1" t="s">
        <v>2891</v>
      </c>
      <c r="D128" s="2">
        <v>409044</v>
      </c>
      <c r="E128" s="2">
        <v>495129</v>
      </c>
      <c r="F128" s="2">
        <v>588738</v>
      </c>
      <c r="G128" s="2" t="str" cm="1">
        <f t="array" aca="1" ref="G128" ca="1">IF(Background=36,C128,G127)</f>
        <v>玉溪市</v>
      </c>
    </row>
    <row r="129" spans="1:7" ht="15.75" thickBot="1" x14ac:dyDescent="0.3">
      <c r="A129" t="s">
        <v>2368</v>
      </c>
      <c r="B129" s="1" t="s">
        <v>2740</v>
      </c>
      <c r="C129" s="1" t="s">
        <v>2892</v>
      </c>
      <c r="D129" s="2">
        <v>196519</v>
      </c>
      <c r="E129" s="2">
        <v>214650</v>
      </c>
      <c r="F129" s="2">
        <v>190425</v>
      </c>
      <c r="G129" s="2" t="str" cm="1">
        <f t="array" aca="1" ref="G129" ca="1">IF(Background=36,C129,G128)</f>
        <v>玉溪市</v>
      </c>
    </row>
    <row r="130" spans="1:7" ht="15.75" thickBot="1" x14ac:dyDescent="0.3">
      <c r="A130" t="s">
        <v>2325</v>
      </c>
      <c r="B130" s="1" t="s">
        <v>2743</v>
      </c>
      <c r="C130" s="1" t="s">
        <v>2893</v>
      </c>
      <c r="D130" s="2">
        <v>257078</v>
      </c>
      <c r="E130" s="2">
        <v>280889</v>
      </c>
      <c r="F130" s="2">
        <v>253295</v>
      </c>
      <c r="G130" s="2" t="str" cm="1">
        <f t="array" aca="1" ref="G130" ca="1">IF(Background=36,C130,G129)</f>
        <v>玉溪市</v>
      </c>
    </row>
    <row r="131" spans="1:7" ht="15.75" thickBot="1" x14ac:dyDescent="0.3">
      <c r="A131" t="s">
        <v>2356</v>
      </c>
      <c r="B131" s="1" t="s">
        <v>2740</v>
      </c>
      <c r="C131" s="1" t="s">
        <v>2894</v>
      </c>
      <c r="D131" s="2">
        <v>275063</v>
      </c>
      <c r="E131" s="2">
        <v>300800</v>
      </c>
      <c r="F131" s="2">
        <v>289891</v>
      </c>
      <c r="G131" s="2" t="str" cm="1">
        <f t="array" aca="1" ref="G131" ca="1">IF(Background=36,C131,G130)</f>
        <v>玉溪市</v>
      </c>
    </row>
    <row r="132" spans="1:7" ht="15.75" thickBot="1" x14ac:dyDescent="0.3">
      <c r="A132" t="s">
        <v>2359</v>
      </c>
      <c r="B132" s="1" t="s">
        <v>2770</v>
      </c>
      <c r="C132" s="1" t="s">
        <v>2895</v>
      </c>
      <c r="D132" s="2">
        <v>264615</v>
      </c>
      <c r="E132" s="2">
        <v>285344</v>
      </c>
      <c r="F132" s="2">
        <v>262771</v>
      </c>
      <c r="G132" s="2" t="str" cm="1">
        <f t="array" aca="1" ref="G132" ca="1">IF(Background=36,C132,G131)</f>
        <v>玉溪市</v>
      </c>
    </row>
    <row r="133" spans="1:7" ht="15.75" thickBot="1" x14ac:dyDescent="0.3">
      <c r="A133" t="s">
        <v>2387</v>
      </c>
      <c r="B133" s="1" t="s">
        <v>2740</v>
      </c>
      <c r="C133" s="1" t="s">
        <v>2896</v>
      </c>
      <c r="D133" s="2">
        <v>169581</v>
      </c>
      <c r="E133" s="2">
        <v>177110</v>
      </c>
      <c r="F133" s="2">
        <v>151671</v>
      </c>
      <c r="G133" s="2" t="str" cm="1">
        <f t="array" aca="1" ref="G133" ca="1">IF(Background=36,C133,G132)</f>
        <v>玉溪市</v>
      </c>
    </row>
    <row r="134" spans="1:7" ht="15.75" thickBot="1" x14ac:dyDescent="0.3">
      <c r="A134" t="s">
        <v>2351</v>
      </c>
      <c r="B134" s="1" t="s">
        <v>2770</v>
      </c>
      <c r="C134" s="1" t="s">
        <v>2897</v>
      </c>
      <c r="D134" s="2">
        <v>199931</v>
      </c>
      <c r="E134" s="2">
        <v>217399</v>
      </c>
      <c r="F134" s="2">
        <v>195647</v>
      </c>
      <c r="G134" s="2" t="str" cm="1">
        <f t="array" aca="1" ref="G134" ca="1">IF(Background=36,C134,G133)</f>
        <v>玉溪市</v>
      </c>
    </row>
    <row r="135" spans="1:7" ht="15.75" thickBot="1" x14ac:dyDescent="0.3">
      <c r="A135" t="s">
        <v>2898</v>
      </c>
      <c r="B135" s="4" t="s">
        <v>2738</v>
      </c>
      <c r="C135" s="4" t="s">
        <v>2899</v>
      </c>
      <c r="D135" s="5">
        <v>4592388</v>
      </c>
      <c r="E135" s="5">
        <v>5213521</v>
      </c>
      <c r="F135" s="5">
        <v>5092611</v>
      </c>
      <c r="G135" s="2" t="str" cm="1">
        <f t="array" aca="1" ref="G135" ca="1">IF(Background=36,C135,G134)</f>
        <v>昭通市</v>
      </c>
    </row>
    <row r="136" spans="1:7" ht="15.75" thickBot="1" x14ac:dyDescent="0.3">
      <c r="A136" t="s">
        <v>2491</v>
      </c>
      <c r="B136" s="1" t="s">
        <v>2740</v>
      </c>
      <c r="C136" s="1" t="s">
        <v>2900</v>
      </c>
      <c r="D136" s="2">
        <v>235802</v>
      </c>
      <c r="E136" s="2">
        <v>263225</v>
      </c>
      <c r="F136" s="2">
        <v>209116</v>
      </c>
      <c r="G136" s="2" t="str" cm="1">
        <f t="array" aca="1" ref="G136" ca="1">IF(Background=36,C136,G135)</f>
        <v>昭通市</v>
      </c>
    </row>
    <row r="137" spans="1:7" ht="15.75" thickBot="1" x14ac:dyDescent="0.3">
      <c r="A137" t="s">
        <v>2490</v>
      </c>
      <c r="B137" s="1" t="s">
        <v>2740</v>
      </c>
      <c r="C137" s="1" t="s">
        <v>2901</v>
      </c>
      <c r="D137" s="2">
        <v>345740</v>
      </c>
      <c r="E137" s="2">
        <v>390654</v>
      </c>
      <c r="F137" s="2">
        <v>398447</v>
      </c>
      <c r="G137" s="2" t="str" cm="1">
        <f t="array" aca="1" ref="G137" ca="1">IF(Background=36,C137,G136)</f>
        <v>昭通市</v>
      </c>
    </row>
    <row r="138" spans="1:7" ht="15.75" thickBot="1" x14ac:dyDescent="0.3">
      <c r="A138" t="s">
        <v>2467</v>
      </c>
      <c r="B138" s="1" t="s">
        <v>2740</v>
      </c>
      <c r="C138" s="1" t="s">
        <v>2902</v>
      </c>
      <c r="D138" s="2">
        <v>461034</v>
      </c>
      <c r="E138" s="2">
        <v>516349</v>
      </c>
      <c r="F138" s="2">
        <v>462173</v>
      </c>
      <c r="G138" s="2" t="str" cm="1">
        <f t="array" aca="1" ref="G138" ca="1">IF(Background=36,C138,G137)</f>
        <v>昭通市</v>
      </c>
    </row>
    <row r="139" spans="1:7" ht="15.75" thickBot="1" x14ac:dyDescent="0.3">
      <c r="A139" t="s">
        <v>2554</v>
      </c>
      <c r="B139" s="1" t="s">
        <v>2746</v>
      </c>
      <c r="C139" s="1" t="s">
        <v>2903</v>
      </c>
      <c r="D139" s="2">
        <v>89973</v>
      </c>
      <c r="E139" s="2">
        <v>102143</v>
      </c>
      <c r="F139" s="2">
        <v>103532</v>
      </c>
      <c r="G139" s="2" t="str" cm="1">
        <f t="array" aca="1" ref="G139" ca="1">IF(Background=36,C139,G138)</f>
        <v>昭通市</v>
      </c>
    </row>
    <row r="140" spans="1:7" ht="15.75" thickBot="1" x14ac:dyDescent="0.3">
      <c r="A140" t="s">
        <v>2470</v>
      </c>
      <c r="B140" s="1" t="s">
        <v>2740</v>
      </c>
      <c r="C140" s="1" t="s">
        <v>2904</v>
      </c>
      <c r="D140" s="2">
        <v>141989</v>
      </c>
      <c r="E140" s="2">
        <v>153091</v>
      </c>
      <c r="F140" s="2">
        <v>135468</v>
      </c>
      <c r="G140" s="2" t="str" cm="1">
        <f t="array" aca="1" ref="G140" ca="1">IF(Background=36,C140,G139)</f>
        <v>昭通市</v>
      </c>
    </row>
    <row r="141" spans="1:7" ht="15.75" thickBot="1" x14ac:dyDescent="0.3">
      <c r="A141" t="s">
        <v>2480</v>
      </c>
      <c r="B141" s="1" t="s">
        <v>2740</v>
      </c>
      <c r="C141" s="1" t="s">
        <v>2905</v>
      </c>
      <c r="D141" s="2">
        <v>328184</v>
      </c>
      <c r="E141" s="2">
        <v>385865</v>
      </c>
      <c r="F141" s="2">
        <v>352318</v>
      </c>
      <c r="G141" s="2" t="str" cm="1">
        <f t="array" aca="1" ref="G141" ca="1">IF(Background=36,C141,G140)</f>
        <v>昭通市</v>
      </c>
    </row>
    <row r="142" spans="1:7" ht="15.75" thickBot="1" x14ac:dyDescent="0.3">
      <c r="A142" t="s">
        <v>2503</v>
      </c>
      <c r="B142" s="1" t="s">
        <v>2740</v>
      </c>
      <c r="C142" s="1" t="s">
        <v>2906</v>
      </c>
      <c r="D142" s="2">
        <v>323860</v>
      </c>
      <c r="E142" s="2">
        <v>369881</v>
      </c>
      <c r="F142" s="2">
        <v>317463</v>
      </c>
      <c r="G142" s="2" t="str" cm="1">
        <f t="array" aca="1" ref="G142" ca="1">IF(Background=36,C142,G141)</f>
        <v>昭通市</v>
      </c>
    </row>
    <row r="143" spans="1:7" ht="15.75" thickBot="1" x14ac:dyDescent="0.3">
      <c r="A143" t="s">
        <v>1050</v>
      </c>
      <c r="B143" s="1" t="s">
        <v>2740</v>
      </c>
      <c r="C143" s="1" t="s">
        <v>2907</v>
      </c>
      <c r="D143" s="2">
        <v>477811</v>
      </c>
      <c r="E143" s="2">
        <v>521838</v>
      </c>
      <c r="F143" s="2">
        <v>503376</v>
      </c>
      <c r="G143" s="2" t="str" cm="1">
        <f t="array" aca="1" ref="G143" ca="1">IF(Background=36,C143,G142)</f>
        <v>昭通市</v>
      </c>
    </row>
    <row r="144" spans="1:7" ht="15.75" thickBot="1" x14ac:dyDescent="0.3">
      <c r="A144" t="s">
        <v>2496</v>
      </c>
      <c r="B144" s="1" t="s">
        <v>2740</v>
      </c>
      <c r="C144" s="1" t="s">
        <v>2908</v>
      </c>
      <c r="D144" s="2">
        <v>362943</v>
      </c>
      <c r="E144" s="2">
        <v>394267</v>
      </c>
      <c r="F144" s="2">
        <v>349157</v>
      </c>
      <c r="G144" s="2" t="str" cm="1">
        <f t="array" aca="1" ref="G144" ca="1">IF(Background=36,C144,G143)</f>
        <v>昭通市</v>
      </c>
    </row>
    <row r="145" spans="1:7" ht="15.75" thickBot="1" x14ac:dyDescent="0.3">
      <c r="A145" t="s">
        <v>2475</v>
      </c>
      <c r="B145" s="1" t="s">
        <v>2743</v>
      </c>
      <c r="C145" s="1" t="s">
        <v>2909</v>
      </c>
      <c r="D145" s="2">
        <v>727959</v>
      </c>
      <c r="E145" s="2">
        <v>787837</v>
      </c>
      <c r="F145" s="2">
        <v>911766</v>
      </c>
      <c r="G145" s="2" t="str" cm="1">
        <f t="array" aca="1" ref="G145" ca="1">IF(Background=36,C145,G144)</f>
        <v>昭通市</v>
      </c>
    </row>
    <row r="146" spans="1:7" ht="15.75" thickBot="1" x14ac:dyDescent="0.3">
      <c r="A146" t="s">
        <v>2483</v>
      </c>
      <c r="B146" s="1" t="s">
        <v>2740</v>
      </c>
      <c r="C146" s="1" t="s">
        <v>2910</v>
      </c>
      <c r="D146" s="2">
        <v>1097093</v>
      </c>
      <c r="E146" s="2">
        <v>1328371</v>
      </c>
      <c r="F146" s="2">
        <v>1349795</v>
      </c>
      <c r="G146" s="2" t="str" cm="1">
        <f t="array" aca="1" ref="G146" ca="1">IF(Background=36,C146,G145)</f>
        <v>昭通市</v>
      </c>
    </row>
    <row r="147" spans="1:7" x14ac:dyDescent="0.25">
      <c r="A147" s="7" t="s">
        <v>2911</v>
      </c>
      <c r="B147" s="7" t="s">
        <v>2912</v>
      </c>
      <c r="C147" s="7" t="s">
        <v>2913</v>
      </c>
      <c r="D147" s="8">
        <v>42360089</v>
      </c>
      <c r="E147" s="8">
        <v>45966766</v>
      </c>
      <c r="F147" s="8">
        <v>47209277</v>
      </c>
      <c r="G147" s="13" t="str" cm="1">
        <f t="array" aca="1" ref="G147" ca="1">IF(Background=36,C147,G146)</f>
        <v>昭通市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baoshan</vt:lpstr>
      <vt:lpstr>chuxiong</vt:lpstr>
      <vt:lpstr>dali</vt:lpstr>
      <vt:lpstr>dehong</vt:lpstr>
      <vt:lpstr>diqing</vt:lpstr>
      <vt:lpstr>honghe</vt:lpstr>
      <vt:lpstr>kunming</vt:lpstr>
      <vt:lpstr>lijiang</vt:lpstr>
      <vt:lpstr>lincang</vt:lpstr>
      <vt:lpstr>nujiang</vt:lpstr>
      <vt:lpstr>qujing</vt:lpstr>
      <vt:lpstr>pu'er</vt:lpstr>
      <vt:lpstr>wenshan</vt:lpstr>
      <vt:lpstr>xishuangbanna</vt:lpstr>
      <vt:lpstr>yuxi</vt:lpstr>
      <vt:lpstr>zhaotong</vt:lpstr>
      <vt:lpstr>main table</vt:lpstr>
      <vt:lpstr>cities</vt:lpstr>
      <vt:lpstr>json</vt:lpstr>
      <vt:lpstr>county-naming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Eisenberg</dc:creator>
  <cp:lastModifiedBy>Timothy Eisenberg</cp:lastModifiedBy>
  <dcterms:created xsi:type="dcterms:W3CDTF">2024-04-03T00:24:06Z</dcterms:created>
  <dcterms:modified xsi:type="dcterms:W3CDTF">2024-05-04T16:41:42Z</dcterms:modified>
</cp:coreProperties>
</file>