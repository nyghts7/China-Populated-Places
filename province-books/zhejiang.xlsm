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night\OneDrive\Desktop\data\china\books\"/>
    </mc:Choice>
  </mc:AlternateContent>
  <xr:revisionPtr revIDLastSave="0" documentId="13_ncr:1_{ECC6CBEA-6A73-418B-84B8-7DD65DEAC151}" xr6:coauthVersionLast="47" xr6:coauthVersionMax="47" xr10:uidLastSave="{00000000-0000-0000-0000-000000000000}"/>
  <bookViews>
    <workbookView xWindow="-120" yWindow="480" windowWidth="24240" windowHeight="13140" tabRatio="1000" activeTab="11" xr2:uid="{00D6003D-678C-47B3-837A-1B36026F8719}"/>
  </bookViews>
  <sheets>
    <sheet name="hangzhou" sheetId="1" r:id="rId1"/>
    <sheet name="huzhou" sheetId="2" r:id="rId2"/>
    <sheet name="jiaxing" sheetId="3" r:id="rId3"/>
    <sheet name="jinhua" sheetId="4" r:id="rId4"/>
    <sheet name="lishui" sheetId="5" r:id="rId5"/>
    <sheet name="ningbo" sheetId="6" r:id="rId6"/>
    <sheet name="quzhou" sheetId="7" r:id="rId7"/>
    <sheet name="shaoxing" sheetId="8" r:id="rId8"/>
    <sheet name="taizhou" sheetId="9" r:id="rId9"/>
    <sheet name="wenzhou" sheetId="10" r:id="rId10"/>
    <sheet name="zhoushan" sheetId="11" r:id="rId11"/>
    <sheet name="main table" sheetId="13" r:id="rId12"/>
    <sheet name="cities" sheetId="14" r:id="rId13"/>
    <sheet name="json" sheetId="15" r:id="rId14"/>
    <sheet name="county-naming" sheetId="12" r:id="rId15"/>
  </sheets>
  <externalReferences>
    <externalReference r:id="rId16"/>
  </externalReferences>
  <definedNames>
    <definedName name="Background">GET.CELL(63,OFFSET(INDIRECT("RC",FALSE),0,-1))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3" l="1"/>
  <c r="B24" i="13"/>
  <c r="B49" i="13"/>
  <c r="B50" i="13"/>
  <c r="B59" i="13"/>
  <c r="B65" i="13"/>
  <c r="B80" i="13"/>
  <c r="B83" i="13"/>
  <c r="B95" i="13"/>
  <c r="B98" i="13"/>
  <c r="B100" i="13"/>
  <c r="B102" i="13"/>
  <c r="B103" i="13"/>
  <c r="B109" i="13"/>
  <c r="B111" i="13"/>
  <c r="B134" i="13"/>
  <c r="B151" i="13"/>
  <c r="B158" i="13"/>
  <c r="B157" i="13"/>
  <c r="B165" i="13"/>
  <c r="B172" i="13"/>
  <c r="B177" i="13"/>
  <c r="B178" i="13"/>
  <c r="B195" i="13"/>
  <c r="B200" i="13"/>
  <c r="B209" i="13"/>
  <c r="B213" i="13"/>
  <c r="B216" i="13"/>
  <c r="B238" i="13"/>
  <c r="B279" i="13"/>
  <c r="B284" i="13"/>
  <c r="B293" i="13"/>
  <c r="B305" i="13"/>
  <c r="B318" i="13"/>
  <c r="B324" i="13"/>
  <c r="B325" i="13"/>
  <c r="B329" i="13"/>
  <c r="B328" i="13"/>
  <c r="B341" i="13"/>
  <c r="B352" i="13"/>
  <c r="B364" i="13"/>
  <c r="B366" i="13"/>
  <c r="B370" i="13"/>
  <c r="B379" i="13"/>
  <c r="B404" i="13"/>
  <c r="B406" i="13"/>
  <c r="B412" i="13"/>
  <c r="B414" i="13"/>
  <c r="B422" i="13"/>
  <c r="B429" i="13"/>
  <c r="B431" i="13"/>
  <c r="B437" i="13"/>
  <c r="B454" i="13"/>
  <c r="B475" i="13"/>
  <c r="B484" i="13"/>
  <c r="B498" i="13"/>
  <c r="B510" i="13"/>
  <c r="B514" i="13"/>
  <c r="B521" i="13"/>
  <c r="B526" i="13"/>
  <c r="B541" i="13"/>
  <c r="B544" i="13"/>
  <c r="B546" i="13"/>
  <c r="B548" i="13"/>
  <c r="B552" i="13"/>
  <c r="B554" i="13"/>
  <c r="B556" i="13"/>
  <c r="B571" i="13"/>
  <c r="B576" i="13"/>
  <c r="B579" i="13"/>
  <c r="B590" i="13"/>
  <c r="B592" i="13"/>
  <c r="B604" i="13"/>
  <c r="B619" i="13"/>
  <c r="B627" i="13"/>
  <c r="B639" i="13"/>
  <c r="B641" i="13"/>
  <c r="B648" i="13"/>
  <c r="B650" i="13"/>
  <c r="B651" i="13"/>
  <c r="B652" i="13"/>
  <c r="B653" i="13"/>
  <c r="B660" i="13"/>
  <c r="B659" i="13"/>
  <c r="B666" i="13"/>
  <c r="B675" i="13"/>
  <c r="B679" i="13"/>
  <c r="B694" i="13"/>
  <c r="B700" i="13"/>
  <c r="B717" i="13"/>
  <c r="B729" i="13"/>
  <c r="B734" i="13"/>
  <c r="B750" i="13"/>
  <c r="B771" i="13"/>
  <c r="B774" i="13"/>
  <c r="B775" i="13"/>
  <c r="B783" i="13"/>
  <c r="B795" i="13"/>
  <c r="B800" i="13"/>
  <c r="B806" i="13"/>
  <c r="B818" i="13"/>
  <c r="B816" i="13"/>
  <c r="B823" i="13"/>
  <c r="B824" i="13"/>
  <c r="B827" i="13"/>
  <c r="B828" i="13"/>
  <c r="B829" i="13"/>
  <c r="B835" i="13"/>
  <c r="B842" i="13"/>
  <c r="B853" i="13"/>
  <c r="B858" i="13"/>
  <c r="B859" i="13"/>
  <c r="B862" i="13"/>
  <c r="B879" i="13"/>
  <c r="B889" i="13"/>
  <c r="B888" i="13"/>
  <c r="B911" i="13"/>
  <c r="B918" i="13"/>
  <c r="B956" i="13"/>
  <c r="B962" i="13"/>
  <c r="B972" i="13"/>
  <c r="B981" i="13"/>
  <c r="B995" i="13"/>
  <c r="B1002" i="13"/>
  <c r="B1010" i="13"/>
  <c r="B1018" i="13"/>
  <c r="B1021" i="13"/>
  <c r="B1024" i="13"/>
  <c r="B1028" i="13"/>
  <c r="B1058" i="13"/>
  <c r="B1061" i="13"/>
  <c r="B1067" i="13"/>
  <c r="B1074" i="13"/>
  <c r="B1082" i="13"/>
  <c r="B1083" i="13"/>
  <c r="B1092" i="13"/>
  <c r="B1096" i="13"/>
  <c r="B1097" i="13"/>
  <c r="B1101" i="13"/>
  <c r="B1104" i="13"/>
  <c r="B1108" i="13"/>
  <c r="B1109" i="13"/>
  <c r="B1113" i="13"/>
  <c r="B1119" i="13"/>
  <c r="B1124" i="13"/>
  <c r="B1148" i="13"/>
  <c r="B1157" i="13"/>
  <c r="B1169" i="13"/>
  <c r="B1178" i="13"/>
  <c r="B1179" i="13"/>
  <c r="B1183" i="13"/>
  <c r="B1189" i="13"/>
  <c r="B1192" i="13"/>
  <c r="B1206" i="13"/>
  <c r="B1218" i="13"/>
  <c r="B1225" i="13"/>
  <c r="B1228" i="13"/>
  <c r="B1229" i="13"/>
  <c r="B1233" i="13"/>
  <c r="B1242" i="13"/>
  <c r="B1247" i="13"/>
  <c r="B1249" i="13"/>
  <c r="B1250" i="13"/>
  <c r="B1259" i="13"/>
  <c r="B1263" i="13"/>
  <c r="B1267" i="13"/>
  <c r="B1275" i="13"/>
  <c r="B1282" i="13"/>
  <c r="B1289" i="13"/>
  <c r="B1306" i="13"/>
  <c r="B1307" i="13"/>
  <c r="B1310" i="13"/>
  <c r="B1319" i="13"/>
  <c r="B1322" i="13"/>
  <c r="B1323" i="13"/>
  <c r="B1324" i="13"/>
  <c r="B1331" i="13"/>
  <c r="B1355" i="13"/>
  <c r="B1356" i="13"/>
  <c r="B1362" i="13"/>
  <c r="B1369" i="13"/>
  <c r="B1401" i="13"/>
  <c r="B1425" i="13"/>
  <c r="B1426" i="13"/>
  <c r="B1428" i="13"/>
  <c r="B1440" i="13"/>
  <c r="B1454" i="13"/>
  <c r="B1455" i="13"/>
  <c r="B1458" i="13"/>
  <c r="B2" i="13"/>
  <c r="B47" i="13"/>
  <c r="B52" i="13"/>
  <c r="B74" i="13"/>
  <c r="B112" i="13"/>
  <c r="B199" i="13"/>
  <c r="B235" i="13"/>
  <c r="B242" i="13"/>
  <c r="B264" i="13"/>
  <c r="B301" i="13"/>
  <c r="B306" i="13"/>
  <c r="B402" i="13"/>
  <c r="B409" i="13"/>
  <c r="B427" i="13"/>
  <c r="B444" i="13"/>
  <c r="B476" i="13"/>
  <c r="B535" i="13"/>
  <c r="B573" i="13"/>
  <c r="B589" i="13"/>
  <c r="B593" i="13"/>
  <c r="B613" i="13"/>
  <c r="B622" i="13"/>
  <c r="B628" i="13"/>
  <c r="B630" i="13"/>
  <c r="B637" i="13"/>
  <c r="B681" i="13"/>
  <c r="B704" i="13"/>
  <c r="B713" i="13"/>
  <c r="B739" i="13"/>
  <c r="B741" i="13"/>
  <c r="B746" i="13"/>
  <c r="B751" i="13"/>
  <c r="B772" i="13"/>
  <c r="B830" i="13"/>
  <c r="B840" i="13"/>
  <c r="B880" i="13"/>
  <c r="B909" i="13"/>
  <c r="B917" i="13"/>
  <c r="B929" i="13"/>
  <c r="B946" i="13"/>
  <c r="B979" i="13"/>
  <c r="B989" i="13"/>
  <c r="B997" i="13"/>
  <c r="B1056" i="13"/>
  <c r="B1062" i="13"/>
  <c r="B1117" i="13"/>
  <c r="B1167" i="13"/>
  <c r="B1176" i="13"/>
  <c r="B1184" i="13"/>
  <c r="B1196" i="13"/>
  <c r="B1213" i="13"/>
  <c r="B1217" i="13"/>
  <c r="B1246" i="13"/>
  <c r="B1283" i="13"/>
  <c r="B1348" i="13"/>
  <c r="B1378" i="13"/>
  <c r="B1388" i="13"/>
  <c r="B1395" i="13"/>
  <c r="B1415" i="13"/>
  <c r="B1416" i="13"/>
  <c r="B1423" i="13"/>
  <c r="B19" i="13"/>
  <c r="B86" i="13"/>
  <c r="B105" i="13"/>
  <c r="B127" i="13"/>
  <c r="B147" i="13"/>
  <c r="B189" i="13"/>
  <c r="B194" i="13"/>
  <c r="B231" i="13"/>
  <c r="B239" i="13"/>
  <c r="B283" i="13"/>
  <c r="B290" i="13"/>
  <c r="B313" i="13"/>
  <c r="B315" i="13"/>
  <c r="B349" i="13"/>
  <c r="B350" i="13"/>
  <c r="B363" i="13"/>
  <c r="B371" i="13"/>
  <c r="B393" i="13"/>
  <c r="B400" i="13"/>
  <c r="B430" i="13"/>
  <c r="B439" i="13"/>
  <c r="B468" i="13"/>
  <c r="B487" i="13"/>
  <c r="B506" i="13"/>
  <c r="B527" i="13"/>
  <c r="B529" i="13"/>
  <c r="B538" i="13"/>
  <c r="B631" i="13"/>
  <c r="B706" i="13"/>
  <c r="B727" i="13"/>
  <c r="B758" i="13"/>
  <c r="B819" i="13"/>
  <c r="B861" i="13"/>
  <c r="B938" i="13"/>
  <c r="B1026" i="13"/>
  <c r="B1047" i="13"/>
  <c r="B1059" i="13"/>
  <c r="B1072" i="13"/>
  <c r="B1076" i="13"/>
  <c r="B1081" i="13"/>
  <c r="B1084" i="13"/>
  <c r="B1099" i="13"/>
  <c r="B1126" i="13"/>
  <c r="B1133" i="13"/>
  <c r="B1135" i="13"/>
  <c r="B1190" i="13"/>
  <c r="B1201" i="13"/>
  <c r="B1219" i="13"/>
  <c r="B1223" i="13"/>
  <c r="B1224" i="13"/>
  <c r="B1227" i="13"/>
  <c r="B1231" i="13"/>
  <c r="B1253" i="13"/>
  <c r="B1258" i="13"/>
  <c r="B1257" i="13"/>
  <c r="B1272" i="13"/>
  <c r="B1288" i="13"/>
  <c r="B1309" i="13"/>
  <c r="B1340" i="13"/>
  <c r="B1343" i="13"/>
  <c r="B1347" i="13"/>
  <c r="B1374" i="13"/>
  <c r="B1406" i="13"/>
  <c r="B1420" i="13"/>
  <c r="B1431" i="13"/>
  <c r="B1435" i="13"/>
  <c r="B4" i="13"/>
  <c r="B12" i="13"/>
  <c r="B25" i="13"/>
  <c r="B26" i="13"/>
  <c r="B27" i="13"/>
  <c r="B31" i="13"/>
  <c r="B68" i="13"/>
  <c r="B87" i="13"/>
  <c r="B104" i="13"/>
  <c r="B136" i="13"/>
  <c r="B139" i="13"/>
  <c r="B144" i="13"/>
  <c r="B145" i="13"/>
  <c r="B152" i="13"/>
  <c r="B153" i="13"/>
  <c r="B175" i="13"/>
  <c r="B203" i="13"/>
  <c r="B212" i="13"/>
  <c r="B219" i="13"/>
  <c r="B278" i="13"/>
  <c r="B281" i="13"/>
  <c r="B288" i="13"/>
  <c r="B295" i="13"/>
  <c r="B298" i="13"/>
  <c r="B326" i="13"/>
  <c r="B330" i="13"/>
  <c r="B365" i="13"/>
  <c r="B389" i="13"/>
  <c r="B403" i="13"/>
  <c r="B415" i="13"/>
  <c r="B446" i="13"/>
  <c r="B449" i="13"/>
  <c r="B453" i="13"/>
  <c r="B472" i="13"/>
  <c r="B477" i="13"/>
  <c r="B481" i="13"/>
  <c r="B492" i="13"/>
  <c r="B494" i="13"/>
  <c r="B501" i="13"/>
  <c r="B509" i="13"/>
  <c r="B511" i="13"/>
  <c r="B512" i="13"/>
  <c r="B523" i="13"/>
  <c r="B528" i="13"/>
  <c r="B532" i="13"/>
  <c r="B574" i="13"/>
  <c r="B606" i="13"/>
  <c r="B615" i="13"/>
  <c r="B635" i="13"/>
  <c r="B642" i="13"/>
  <c r="B646" i="13"/>
  <c r="B661" i="13"/>
  <c r="B664" i="13"/>
  <c r="B701" i="13"/>
  <c r="B702" i="13"/>
  <c r="B714" i="13"/>
  <c r="B731" i="13"/>
  <c r="B735" i="13"/>
  <c r="B762" i="13"/>
  <c r="B767" i="13"/>
  <c r="B781" i="13"/>
  <c r="B787" i="13"/>
  <c r="B791" i="13"/>
  <c r="B811" i="13"/>
  <c r="B817" i="13"/>
  <c r="B837" i="13"/>
  <c r="B839" i="13"/>
  <c r="B838" i="13"/>
  <c r="B864" i="13"/>
  <c r="B874" i="13"/>
  <c r="B877" i="13"/>
  <c r="B885" i="13"/>
  <c r="B886" i="13"/>
  <c r="B890" i="13"/>
  <c r="B906" i="13"/>
  <c r="B913" i="13"/>
  <c r="B912" i="13"/>
  <c r="B921" i="13"/>
  <c r="B971" i="13"/>
  <c r="B985" i="13"/>
  <c r="B990" i="13"/>
  <c r="B996" i="13"/>
  <c r="B1016" i="13"/>
  <c r="B1019" i="13"/>
  <c r="B1032" i="13"/>
  <c r="B1030" i="13"/>
  <c r="B1033" i="13"/>
  <c r="B1036" i="13"/>
  <c r="B1039" i="13"/>
  <c r="B1042" i="13"/>
  <c r="B1049" i="13"/>
  <c r="B1069" i="13"/>
  <c r="B1088" i="13"/>
  <c r="B1098" i="13"/>
  <c r="B1122" i="13"/>
  <c r="B1150" i="13"/>
  <c r="B1152" i="13"/>
  <c r="B1153" i="13"/>
  <c r="B1180" i="13"/>
  <c r="B1205" i="13"/>
  <c r="B1212" i="13"/>
  <c r="B1226" i="13"/>
  <c r="B1245" i="13"/>
  <c r="B1251" i="13"/>
  <c r="B1255" i="13"/>
  <c r="B1265" i="13"/>
  <c r="B1278" i="13"/>
  <c r="B1281" i="13"/>
  <c r="B1304" i="13"/>
  <c r="B1330" i="13"/>
  <c r="B1339" i="13"/>
  <c r="B1342" i="13"/>
  <c r="B1366" i="13"/>
  <c r="B1370" i="13"/>
  <c r="B1377" i="13"/>
  <c r="B1379" i="13"/>
  <c r="B1411" i="13"/>
  <c r="B1413" i="13"/>
  <c r="B1418" i="13"/>
  <c r="B1427" i="13"/>
  <c r="B1434" i="13"/>
  <c r="B1443" i="13"/>
  <c r="B1448" i="13"/>
  <c r="B1457" i="13"/>
  <c r="B7" i="13"/>
  <c r="B9" i="13"/>
  <c r="B10" i="13"/>
  <c r="B11" i="13"/>
  <c r="B13" i="13"/>
  <c r="B18" i="13"/>
  <c r="B30" i="13"/>
  <c r="B48" i="13"/>
  <c r="B54" i="13"/>
  <c r="B62" i="13"/>
  <c r="B66" i="13"/>
  <c r="B70" i="13"/>
  <c r="B71" i="13"/>
  <c r="B77" i="13"/>
  <c r="B81" i="13"/>
  <c r="B115" i="13"/>
  <c r="B135" i="13"/>
  <c r="B142" i="13"/>
  <c r="B143" i="13"/>
  <c r="B150" i="13"/>
  <c r="B154" i="13"/>
  <c r="B173" i="13"/>
  <c r="B174" i="13"/>
  <c r="B176" i="13"/>
  <c r="B183" i="13"/>
  <c r="B187" i="13"/>
  <c r="B201" i="13"/>
  <c r="B214" i="13"/>
  <c r="B228" i="13"/>
  <c r="B233" i="13"/>
  <c r="B252" i="13"/>
  <c r="B253" i="13"/>
  <c r="B263" i="13"/>
  <c r="B282" i="13"/>
  <c r="B296" i="13"/>
  <c r="B297" i="13"/>
  <c r="B314" i="13"/>
  <c r="B323" i="13"/>
  <c r="B353" i="13"/>
  <c r="B356" i="13"/>
  <c r="B360" i="13"/>
  <c r="B377" i="13"/>
  <c r="B380" i="13"/>
  <c r="B390" i="13"/>
  <c r="B395" i="13"/>
  <c r="B398" i="13"/>
  <c r="B405" i="13"/>
  <c r="B408" i="13"/>
  <c r="B435" i="13"/>
  <c r="B452" i="13"/>
  <c r="B463" i="13"/>
  <c r="B467" i="13"/>
  <c r="B469" i="13"/>
  <c r="B470" i="13"/>
  <c r="B497" i="13"/>
  <c r="B507" i="13"/>
  <c r="B508" i="13"/>
  <c r="B513" i="13"/>
  <c r="B534" i="13"/>
  <c r="B550" i="13"/>
  <c r="B559" i="13"/>
  <c r="B562" i="13"/>
  <c r="B566" i="13"/>
  <c r="B577" i="13"/>
  <c r="B581" i="13"/>
  <c r="B584" i="13"/>
  <c r="B585" i="13"/>
  <c r="B603" i="13"/>
  <c r="B609" i="13"/>
  <c r="B611" i="13"/>
  <c r="B616" i="13"/>
  <c r="B624" i="13"/>
  <c r="B668" i="13"/>
  <c r="B676" i="13"/>
  <c r="B680" i="13"/>
  <c r="B690" i="13"/>
  <c r="B691" i="13"/>
  <c r="B697" i="13"/>
  <c r="B737" i="13"/>
  <c r="B745" i="13"/>
  <c r="B765" i="13"/>
  <c r="B798" i="13"/>
  <c r="B801" i="13"/>
  <c r="B832" i="13"/>
  <c r="B867" i="13"/>
  <c r="B878" i="13"/>
  <c r="B881" i="13"/>
  <c r="B882" i="13"/>
  <c r="B887" i="13"/>
  <c r="B899" i="13"/>
  <c r="B901" i="13"/>
  <c r="B900" i="13"/>
  <c r="B923" i="13"/>
  <c r="B928" i="13"/>
  <c r="B934" i="13"/>
  <c r="B936" i="13"/>
  <c r="B947" i="13"/>
  <c r="B952" i="13"/>
  <c r="B953" i="13"/>
  <c r="B986" i="13"/>
  <c r="B988" i="13"/>
  <c r="B994" i="13"/>
  <c r="B1015" i="13"/>
  <c r="B1023" i="13"/>
  <c r="B1034" i="13"/>
  <c r="B1078" i="13"/>
  <c r="B1080" i="13"/>
  <c r="B1086" i="13"/>
  <c r="B1091" i="13"/>
  <c r="B1094" i="13"/>
  <c r="B1107" i="13"/>
  <c r="B1114" i="13"/>
  <c r="B1118" i="13"/>
  <c r="B1127" i="13"/>
  <c r="B1128" i="13"/>
  <c r="B1134" i="13"/>
  <c r="B1147" i="13"/>
  <c r="B1149" i="13"/>
  <c r="B1156" i="13"/>
  <c r="B1174" i="13"/>
  <c r="B1187" i="13"/>
  <c r="B1203" i="13"/>
  <c r="B1207" i="13"/>
  <c r="B1232" i="13"/>
  <c r="B1235" i="13"/>
  <c r="B1254" i="13"/>
  <c r="B1256" i="13"/>
  <c r="B1297" i="13"/>
  <c r="B1302" i="13"/>
  <c r="B1303" i="13"/>
  <c r="B1311" i="13"/>
  <c r="B1313" i="13"/>
  <c r="B1314" i="13"/>
  <c r="B1315" i="13"/>
  <c r="B1360" i="13"/>
  <c r="B1361" i="13"/>
  <c r="B1363" i="13"/>
  <c r="B1367" i="13"/>
  <c r="B1371" i="13"/>
  <c r="B1373" i="13"/>
  <c r="B1375" i="13"/>
  <c r="B1383" i="13"/>
  <c r="B1389" i="13"/>
  <c r="B1407" i="13"/>
  <c r="B1409" i="13"/>
  <c r="B1412" i="13"/>
  <c r="B1414" i="13"/>
  <c r="B1442" i="13"/>
  <c r="B1445" i="13"/>
  <c r="B1447" i="13"/>
  <c r="B1451" i="13"/>
  <c r="B1452" i="13"/>
  <c r="B1453" i="13"/>
  <c r="B1459" i="13"/>
  <c r="B5" i="13"/>
  <c r="B20" i="13"/>
  <c r="B22" i="13"/>
  <c r="B29" i="13"/>
  <c r="B43" i="13"/>
  <c r="B53" i="13"/>
  <c r="B89" i="13"/>
  <c r="B90" i="13"/>
  <c r="B96" i="13"/>
  <c r="B99" i="13"/>
  <c r="B116" i="13"/>
  <c r="B149" i="13"/>
  <c r="B156" i="13"/>
  <c r="B159" i="13"/>
  <c r="B160" i="13"/>
  <c r="B161" i="13"/>
  <c r="B163" i="13"/>
  <c r="B164" i="13"/>
  <c r="B184" i="13"/>
  <c r="B188" i="13"/>
  <c r="B193" i="13"/>
  <c r="B196" i="13"/>
  <c r="B204" i="13"/>
  <c r="B218" i="13"/>
  <c r="B220" i="13"/>
  <c r="B222" i="13"/>
  <c r="B226" i="13"/>
  <c r="B240" i="13"/>
  <c r="B243" i="13"/>
  <c r="B247" i="13"/>
  <c r="B262" i="13"/>
  <c r="B265" i="13"/>
  <c r="B269" i="13"/>
  <c r="B274" i="13"/>
  <c r="B275" i="13"/>
  <c r="B287" i="13"/>
  <c r="B317" i="13"/>
  <c r="B331" i="13"/>
  <c r="B332" i="13"/>
  <c r="B359" i="13"/>
  <c r="B361" i="13"/>
  <c r="B374" i="13"/>
  <c r="B386" i="13"/>
  <c r="B387" i="13"/>
  <c r="B391" i="13"/>
  <c r="B413" i="13"/>
  <c r="B418" i="13"/>
  <c r="B428" i="13"/>
  <c r="B443" i="13"/>
  <c r="B451" i="13"/>
  <c r="B457" i="13"/>
  <c r="B464" i="13"/>
  <c r="B485" i="13"/>
  <c r="B522" i="13"/>
  <c r="B524" i="13"/>
  <c r="B531" i="13"/>
  <c r="B557" i="13"/>
  <c r="B570" i="13"/>
  <c r="B578" i="13"/>
  <c r="B583" i="13"/>
  <c r="B591" i="13"/>
  <c r="B597" i="13"/>
  <c r="B598" i="13"/>
  <c r="B605" i="13"/>
  <c r="B618" i="13"/>
  <c r="B655" i="13"/>
  <c r="B670" i="13"/>
  <c r="B671" i="13"/>
  <c r="B677" i="13"/>
  <c r="B696" i="13"/>
  <c r="B705" i="13"/>
  <c r="B715" i="13"/>
  <c r="B733" i="13"/>
  <c r="B736" i="13"/>
  <c r="B738" i="13"/>
  <c r="B742" i="13"/>
  <c r="B749" i="13"/>
  <c r="B753" i="13"/>
  <c r="B763" i="13"/>
  <c r="B782" i="13"/>
  <c r="B825" i="13"/>
  <c r="B826" i="13"/>
  <c r="B836" i="13"/>
  <c r="B845" i="13"/>
  <c r="B849" i="13"/>
  <c r="B863" i="13"/>
  <c r="B866" i="13"/>
  <c r="B891" i="13"/>
  <c r="B898" i="13"/>
  <c r="B919" i="13"/>
  <c r="B943" i="13"/>
  <c r="B960" i="13"/>
  <c r="B961" i="13"/>
  <c r="B973" i="13"/>
  <c r="B1003" i="13"/>
  <c r="B1004" i="13"/>
  <c r="B1007" i="13"/>
  <c r="B1008" i="13"/>
  <c r="B1029" i="13"/>
  <c r="B1044" i="13"/>
  <c r="B1075" i="13"/>
  <c r="B1077" i="13"/>
  <c r="B1079" i="13"/>
  <c r="B1105" i="13"/>
  <c r="B1129" i="13"/>
  <c r="B1165" i="13"/>
  <c r="B1168" i="13"/>
  <c r="B1173" i="13"/>
  <c r="B1181" i="13"/>
  <c r="B1182" i="13"/>
  <c r="B1188" i="13"/>
  <c r="B1194" i="13"/>
  <c r="B1199" i="13"/>
  <c r="B1200" i="13"/>
  <c r="B1214" i="13"/>
  <c r="B1236" i="13"/>
  <c r="B1238" i="13"/>
  <c r="B1239" i="13"/>
  <c r="B1262" i="13"/>
  <c r="B1270" i="13"/>
  <c r="B1285" i="13"/>
  <c r="B1320" i="13"/>
  <c r="B1326" i="13"/>
  <c r="B1334" i="13"/>
  <c r="B1349" i="13"/>
  <c r="B1351" i="13"/>
  <c r="B1352" i="13"/>
  <c r="B1353" i="13"/>
  <c r="B1365" i="13"/>
  <c r="B1390" i="13"/>
  <c r="B1391" i="13"/>
  <c r="B1394" i="13"/>
  <c r="B1402" i="13"/>
  <c r="B1403" i="13"/>
  <c r="B1422" i="13"/>
  <c r="B1424" i="13"/>
  <c r="B1436" i="13"/>
  <c r="B1437" i="13"/>
  <c r="B1438" i="13"/>
  <c r="B1456" i="13"/>
  <c r="B33" i="13"/>
  <c r="B51" i="13"/>
  <c r="B97" i="13"/>
  <c r="B106" i="13"/>
  <c r="B141" i="13"/>
  <c r="B166" i="13"/>
  <c r="B169" i="13"/>
  <c r="B185" i="13"/>
  <c r="B207" i="13"/>
  <c r="B217" i="13"/>
  <c r="B234" i="13"/>
  <c r="B245" i="13"/>
  <c r="B260" i="13"/>
  <c r="B291" i="13"/>
  <c r="B294" i="13"/>
  <c r="B309" i="13"/>
  <c r="B340" i="13"/>
  <c r="B354" i="13"/>
  <c r="B369" i="13"/>
  <c r="B401" i="13"/>
  <c r="B407" i="13"/>
  <c r="B410" i="13"/>
  <c r="B411" i="13"/>
  <c r="B423" i="13"/>
  <c r="B433" i="13"/>
  <c r="B445" i="13"/>
  <c r="B447" i="13"/>
  <c r="B456" i="13"/>
  <c r="B466" i="13"/>
  <c r="B480" i="13"/>
  <c r="B483" i="13"/>
  <c r="B486" i="13"/>
  <c r="B488" i="13"/>
  <c r="B493" i="13"/>
  <c r="B515" i="13"/>
  <c r="B575" i="13"/>
  <c r="B582" i="13"/>
  <c r="B647" i="13"/>
  <c r="B654" i="13"/>
  <c r="B692" i="13"/>
  <c r="B703" i="13"/>
  <c r="B723" i="13"/>
  <c r="B747" i="13"/>
  <c r="B752" i="13"/>
  <c r="B754" i="13"/>
  <c r="B779" i="13"/>
  <c r="B780" i="13"/>
  <c r="B855" i="13"/>
  <c r="B860" i="13"/>
  <c r="B865" i="13"/>
  <c r="B869" i="13"/>
  <c r="B873" i="13"/>
  <c r="B910" i="13"/>
  <c r="B924" i="13"/>
  <c r="B945" i="13"/>
  <c r="B950" i="13"/>
  <c r="B965" i="13"/>
  <c r="B977" i="13"/>
  <c r="B983" i="13"/>
  <c r="B984" i="13"/>
  <c r="B1000" i="13"/>
  <c r="B1020" i="13"/>
  <c r="B1025" i="13"/>
  <c r="B1035" i="13"/>
  <c r="B1037" i="13"/>
  <c r="B1050" i="13"/>
  <c r="B1057" i="13"/>
  <c r="B1065" i="13"/>
  <c r="B1066" i="13"/>
  <c r="B1093" i="13"/>
  <c r="B1095" i="13"/>
  <c r="B1137" i="13"/>
  <c r="B1142" i="13"/>
  <c r="B1175" i="13"/>
  <c r="B1215" i="13"/>
  <c r="B1220" i="13"/>
  <c r="B1248" i="13"/>
  <c r="B1252" i="13"/>
  <c r="B1284" i="13"/>
  <c r="B1321" i="13"/>
  <c r="B1368" i="13"/>
  <c r="B1387" i="13"/>
  <c r="B1393" i="13"/>
  <c r="B1399" i="13"/>
  <c r="B1405" i="13"/>
  <c r="B1419" i="13"/>
  <c r="B1429" i="13"/>
  <c r="B3" i="13"/>
  <c r="B6" i="13"/>
  <c r="B21" i="13"/>
  <c r="B60" i="13"/>
  <c r="B85" i="13"/>
  <c r="B101" i="13"/>
  <c r="B107" i="13"/>
  <c r="B126" i="13"/>
  <c r="B128" i="13"/>
  <c r="B130" i="13"/>
  <c r="B137" i="13"/>
  <c r="B138" i="13"/>
  <c r="B148" i="13"/>
  <c r="B162" i="13"/>
  <c r="B202" i="13"/>
  <c r="B210" i="13"/>
  <c r="B236" i="13"/>
  <c r="B237" i="13"/>
  <c r="B241" i="13"/>
  <c r="B246" i="13"/>
  <c r="B256" i="13"/>
  <c r="B257" i="13"/>
  <c r="B266" i="13"/>
  <c r="B268" i="13"/>
  <c r="B285" i="13"/>
  <c r="B307" i="13"/>
  <c r="B316" i="13"/>
  <c r="B333" i="13"/>
  <c r="B339" i="13"/>
  <c r="B345" i="13"/>
  <c r="B348" i="13"/>
  <c r="B351" i="13"/>
  <c r="B383" i="13"/>
  <c r="B385" i="13"/>
  <c r="B450" i="13"/>
  <c r="B462" i="13"/>
  <c r="B471" i="13"/>
  <c r="B479" i="13"/>
  <c r="B489" i="13"/>
  <c r="B499" i="13"/>
  <c r="B525" i="13"/>
  <c r="B537" i="13"/>
  <c r="B543" i="13"/>
  <c r="B549" i="13"/>
  <c r="B561" i="13"/>
  <c r="B567" i="13"/>
  <c r="B568" i="13"/>
  <c r="B580" i="13"/>
  <c r="B595" i="13"/>
  <c r="B596" i="13"/>
  <c r="B610" i="13"/>
  <c r="B617" i="13"/>
  <c r="B626" i="13"/>
  <c r="B633" i="13"/>
  <c r="B640" i="13"/>
  <c r="B649" i="13"/>
  <c r="B672" i="13"/>
  <c r="B718" i="13"/>
  <c r="B728" i="13"/>
  <c r="B764" i="13"/>
  <c r="B789" i="13"/>
  <c r="B803" i="13"/>
  <c r="B810" i="13"/>
  <c r="B833" i="13"/>
  <c r="B847" i="13"/>
  <c r="B870" i="13"/>
  <c r="B883" i="13"/>
  <c r="B896" i="13"/>
  <c r="B916" i="13"/>
  <c r="B932" i="13"/>
  <c r="B937" i="13"/>
  <c r="B941" i="13"/>
  <c r="B951" i="13"/>
  <c r="B974" i="13"/>
  <c r="B1013" i="13"/>
  <c r="B1017" i="13"/>
  <c r="B1027" i="13"/>
  <c r="B1043" i="13"/>
  <c r="B1045" i="13"/>
  <c r="B1048" i="13"/>
  <c r="B1070" i="13"/>
  <c r="B1087" i="13"/>
  <c r="B1111" i="13"/>
  <c r="B1130" i="13"/>
  <c r="B1139" i="13"/>
  <c r="B1144" i="13"/>
  <c r="B1163" i="13"/>
  <c r="B1170" i="13"/>
  <c r="B1185" i="13"/>
  <c r="B1191" i="13"/>
  <c r="B1202" i="13"/>
  <c r="B1234" i="13"/>
  <c r="B1291" i="13"/>
  <c r="B1293" i="13"/>
  <c r="B1305" i="13"/>
  <c r="B1316" i="13"/>
  <c r="B1333" i="13"/>
  <c r="B1359" i="13"/>
  <c r="B1398" i="13"/>
  <c r="B1404" i="13"/>
  <c r="B8" i="13"/>
  <c r="B16" i="13"/>
  <c r="B23" i="13"/>
  <c r="B34" i="13"/>
  <c r="B35" i="13"/>
  <c r="B58" i="13"/>
  <c r="B67" i="13"/>
  <c r="B73" i="13"/>
  <c r="B78" i="13"/>
  <c r="B79" i="13"/>
  <c r="B125" i="13"/>
  <c r="B129" i="13"/>
  <c r="B140" i="13"/>
  <c r="B155" i="13"/>
  <c r="B190" i="13"/>
  <c r="B198" i="13"/>
  <c r="B211" i="13"/>
  <c r="B215" i="13"/>
  <c r="B223" i="13"/>
  <c r="B232" i="13"/>
  <c r="B251" i="13"/>
  <c r="B289" i="13"/>
  <c r="B308" i="13"/>
  <c r="B342" i="13"/>
  <c r="B344" i="13"/>
  <c r="B346" i="13"/>
  <c r="B372" i="13"/>
  <c r="B375" i="13"/>
  <c r="B378" i="13"/>
  <c r="B396" i="13"/>
  <c r="B397" i="13"/>
  <c r="B399" i="13"/>
  <c r="B416" i="13"/>
  <c r="B417" i="13"/>
  <c r="B434" i="13"/>
  <c r="B438" i="13"/>
  <c r="B440" i="13"/>
  <c r="B478" i="13"/>
  <c r="B490" i="13"/>
  <c r="B530" i="13"/>
  <c r="B533" i="13"/>
  <c r="B536" i="13"/>
  <c r="B542" i="13"/>
  <c r="B558" i="13"/>
  <c r="B569" i="13"/>
  <c r="B594" i="13"/>
  <c r="B601" i="13"/>
  <c r="B614" i="13"/>
  <c r="B689" i="13"/>
  <c r="B695" i="13"/>
  <c r="B699" i="13"/>
  <c r="B707" i="13"/>
  <c r="B709" i="13"/>
  <c r="B710" i="13"/>
  <c r="B724" i="13"/>
  <c r="B756" i="13"/>
  <c r="B757" i="13"/>
  <c r="B766" i="13"/>
  <c r="B784" i="13"/>
  <c r="B796" i="13"/>
  <c r="B802" i="13"/>
  <c r="B804" i="13"/>
  <c r="B807" i="13"/>
  <c r="B808" i="13"/>
  <c r="B834" i="13"/>
  <c r="B854" i="13"/>
  <c r="B868" i="13"/>
  <c r="B884" i="13"/>
  <c r="B892" i="13"/>
  <c r="B893" i="13"/>
  <c r="B903" i="13"/>
  <c r="B904" i="13"/>
  <c r="B907" i="13"/>
  <c r="B908" i="13"/>
  <c r="B915" i="13"/>
  <c r="B922" i="13"/>
  <c r="B925" i="13"/>
  <c r="B926" i="13"/>
  <c r="B933" i="13"/>
  <c r="B944" i="13"/>
  <c r="B949" i="13"/>
  <c r="B963" i="13"/>
  <c r="B980" i="13"/>
  <c r="B1011" i="13"/>
  <c r="B1022" i="13"/>
  <c r="B1038" i="13"/>
  <c r="B1046" i="13"/>
  <c r="B1060" i="13"/>
  <c r="B1063" i="13"/>
  <c r="B1071" i="13"/>
  <c r="B1073" i="13"/>
  <c r="B1106" i="13"/>
  <c r="B1116" i="13"/>
  <c r="B1136" i="13"/>
  <c r="B1138" i="13"/>
  <c r="B1186" i="13"/>
  <c r="B1204" i="13"/>
  <c r="B1230" i="13"/>
  <c r="B1240" i="13"/>
  <c r="B1276" i="13"/>
  <c r="B1295" i="13"/>
  <c r="B1332" i="13"/>
  <c r="B1335" i="13"/>
  <c r="B1336" i="13"/>
  <c r="B1341" i="13"/>
  <c r="B1345" i="13"/>
  <c r="B1346" i="13"/>
  <c r="B1372" i="13"/>
  <c r="B1381" i="13"/>
  <c r="B1384" i="13"/>
  <c r="B1441" i="13"/>
  <c r="B1449" i="13"/>
  <c r="B14" i="13"/>
  <c r="B17" i="13"/>
  <c r="B32" i="13"/>
  <c r="B46" i="13"/>
  <c r="B55" i="13"/>
  <c r="B56" i="13"/>
  <c r="B57" i="13"/>
  <c r="B61" i="13"/>
  <c r="B63" i="13"/>
  <c r="B64" i="13"/>
  <c r="B69" i="13"/>
  <c r="B72" i="13"/>
  <c r="B75" i="13"/>
  <c r="B76" i="13"/>
  <c r="B84" i="13"/>
  <c r="B93" i="13"/>
  <c r="B110" i="13"/>
  <c r="B113" i="13"/>
  <c r="B114" i="13"/>
  <c r="B146" i="13"/>
  <c r="B167" i="13"/>
  <c r="B168" i="13"/>
  <c r="B180" i="13"/>
  <c r="B186" i="13"/>
  <c r="B191" i="13"/>
  <c r="B192" i="13"/>
  <c r="B197" i="13"/>
  <c r="B208" i="13"/>
  <c r="B221" i="13"/>
  <c r="B227" i="13"/>
  <c r="B244" i="13"/>
  <c r="B250" i="13"/>
  <c r="B255" i="13"/>
  <c r="B267" i="13"/>
  <c r="B273" i="13"/>
  <c r="B276" i="13"/>
  <c r="B277" i="13"/>
  <c r="B280" i="13"/>
  <c r="B286" i="13"/>
  <c r="B292" i="13"/>
  <c r="B299" i="13"/>
  <c r="B300" i="13"/>
  <c r="B302" i="13"/>
  <c r="B303" i="13"/>
  <c r="B304" i="13"/>
  <c r="B311" i="13"/>
  <c r="B310" i="13"/>
  <c r="B312" i="13"/>
  <c r="B319" i="13"/>
  <c r="B320" i="13"/>
  <c r="B321" i="13"/>
  <c r="B322" i="13"/>
  <c r="B327" i="13"/>
  <c r="B334" i="13"/>
  <c r="B343" i="13"/>
  <c r="B355" i="13"/>
  <c r="B367" i="13"/>
  <c r="B373" i="13"/>
  <c r="B376" i="13"/>
  <c r="B381" i="13"/>
  <c r="B382" i="13"/>
  <c r="B384" i="13"/>
  <c r="B388" i="13"/>
  <c r="B392" i="13"/>
  <c r="B394" i="13"/>
  <c r="B421" i="13"/>
  <c r="B432" i="13"/>
  <c r="B436" i="13"/>
  <c r="B448" i="13"/>
  <c r="B455" i="13"/>
  <c r="B458" i="13"/>
  <c r="B460" i="13"/>
  <c r="B461" i="13"/>
  <c r="B465" i="13"/>
  <c r="B482" i="13"/>
  <c r="B491" i="13"/>
  <c r="B500" i="13"/>
  <c r="B540" i="13"/>
  <c r="B545" i="13"/>
  <c r="B547" i="13"/>
  <c r="B551" i="13"/>
  <c r="B553" i="13"/>
  <c r="B555" i="13"/>
  <c r="B563" i="13"/>
  <c r="B564" i="13"/>
  <c r="B565" i="13"/>
  <c r="B572" i="13"/>
  <c r="B586" i="13"/>
  <c r="B587" i="13"/>
  <c r="B588" i="13"/>
  <c r="B599" i="13"/>
  <c r="B600" i="13"/>
  <c r="B602" i="13"/>
  <c r="B612" i="13"/>
  <c r="B623" i="13"/>
  <c r="B625" i="13"/>
  <c r="B632" i="13"/>
  <c r="B634" i="13"/>
  <c r="B636" i="13"/>
  <c r="B638" i="13"/>
  <c r="B645" i="13"/>
  <c r="B656" i="13"/>
  <c r="B662" i="13"/>
  <c r="B665" i="13"/>
  <c r="B667" i="13"/>
  <c r="B669" i="13"/>
  <c r="B673" i="13"/>
  <c r="B674" i="13"/>
  <c r="B678" i="13"/>
  <c r="B682" i="13"/>
  <c r="B685" i="13"/>
  <c r="B688" i="13"/>
  <c r="B693" i="13"/>
  <c r="B698" i="13"/>
  <c r="B708" i="13"/>
  <c r="B716" i="13"/>
  <c r="B720" i="13"/>
  <c r="B730" i="13"/>
  <c r="B732" i="13"/>
  <c r="B740" i="13"/>
  <c r="B744" i="13"/>
  <c r="B743" i="13"/>
  <c r="B748" i="13"/>
  <c r="B755" i="13"/>
  <c r="B760" i="13"/>
  <c r="B759" i="13"/>
  <c r="B761" i="13"/>
  <c r="B768" i="13"/>
  <c r="B769" i="13"/>
  <c r="B770" i="13"/>
  <c r="B773" i="13"/>
  <c r="B776" i="13"/>
  <c r="B777" i="13"/>
  <c r="B778" i="13"/>
  <c r="B785" i="13"/>
  <c r="B786" i="13"/>
  <c r="B788" i="13"/>
  <c r="B790" i="13"/>
  <c r="B792" i="13"/>
  <c r="B793" i="13"/>
  <c r="B794" i="13"/>
  <c r="B797" i="13"/>
  <c r="B799" i="13"/>
  <c r="B805" i="13"/>
  <c r="B809" i="13"/>
  <c r="B812" i="13"/>
  <c r="B813" i="13"/>
  <c r="B815" i="13"/>
  <c r="B820" i="13"/>
  <c r="B831" i="13"/>
  <c r="B841" i="13"/>
  <c r="B846" i="13"/>
  <c r="B848" i="13"/>
  <c r="B852" i="13"/>
  <c r="B856" i="13"/>
  <c r="B857" i="13"/>
  <c r="B875" i="13"/>
  <c r="B897" i="13"/>
  <c r="B902" i="13"/>
  <c r="B905" i="13"/>
  <c r="B914" i="13"/>
  <c r="B920" i="13"/>
  <c r="B927" i="13"/>
  <c r="B930" i="13"/>
  <c r="B931" i="13"/>
  <c r="B935" i="13"/>
  <c r="B948" i="13"/>
  <c r="B959" i="13"/>
  <c r="B964" i="13"/>
  <c r="B968" i="13"/>
  <c r="B969" i="13"/>
  <c r="B970" i="13"/>
  <c r="B978" i="13"/>
  <c r="B987" i="13"/>
  <c r="B991" i="13"/>
  <c r="B992" i="13"/>
  <c r="B993" i="13"/>
  <c r="B1001" i="13"/>
  <c r="B1005" i="13"/>
  <c r="B1006" i="13"/>
  <c r="B1009" i="13"/>
  <c r="B1012" i="13"/>
  <c r="B1014" i="13"/>
  <c r="B1031" i="13"/>
  <c r="B1041" i="13"/>
  <c r="B1051" i="13"/>
  <c r="B1052" i="13"/>
  <c r="B1053" i="13"/>
  <c r="B1054" i="13"/>
  <c r="B1055" i="13"/>
  <c r="B1064" i="13"/>
  <c r="B1068" i="13"/>
  <c r="B1085" i="13"/>
  <c r="B1089" i="13"/>
  <c r="B1090" i="13"/>
  <c r="B1100" i="13"/>
  <c r="B1102" i="13"/>
  <c r="B1103" i="13"/>
  <c r="B1110" i="13"/>
  <c r="B1115" i="13"/>
  <c r="B1121" i="13"/>
  <c r="B1123" i="13"/>
  <c r="B1112" i="13"/>
  <c r="B1125" i="13"/>
  <c r="B1131" i="13"/>
  <c r="B1132" i="13"/>
  <c r="B1140" i="13"/>
  <c r="B1141" i="13"/>
  <c r="B1143" i="13"/>
  <c r="B1151" i="13"/>
  <c r="B1154" i="13"/>
  <c r="B1155" i="13"/>
  <c r="B1145" i="13"/>
  <c r="B1158" i="13"/>
  <c r="B1146" i="13"/>
  <c r="B1159" i="13"/>
  <c r="B1162" i="13"/>
  <c r="B1166" i="13"/>
  <c r="B1171" i="13"/>
  <c r="B1172" i="13"/>
  <c r="B1164" i="13"/>
  <c r="B1193" i="13"/>
  <c r="B1208" i="13"/>
  <c r="B1209" i="13"/>
  <c r="B1216" i="13"/>
  <c r="B1237" i="13"/>
  <c r="B1241" i="13"/>
  <c r="B1261" i="13"/>
  <c r="B1266" i="13"/>
  <c r="B1264" i="13"/>
  <c r="B1268" i="13"/>
  <c r="B1269" i="13"/>
  <c r="B1271" i="13"/>
  <c r="B1273" i="13"/>
  <c r="B1274" i="13"/>
  <c r="B1277" i="13"/>
  <c r="B1280" i="13"/>
  <c r="B1286" i="13"/>
  <c r="B1290" i="13"/>
  <c r="B1292" i="13"/>
  <c r="B1294" i="13"/>
  <c r="B1296" i="13"/>
  <c r="B1298" i="13"/>
  <c r="B1299" i="13"/>
  <c r="B1308" i="13"/>
  <c r="B1312" i="13"/>
  <c r="B1317" i="13"/>
  <c r="B1318" i="13"/>
  <c r="B1325" i="13"/>
  <c r="B1329" i="13"/>
  <c r="B1337" i="13"/>
  <c r="B1338" i="13"/>
  <c r="B1344" i="13"/>
  <c r="B1350" i="13"/>
  <c r="B1354" i="13"/>
  <c r="B1357" i="13"/>
  <c r="B1358" i="13"/>
  <c r="B1364" i="13"/>
  <c r="B1376" i="13"/>
  <c r="B1380" i="13"/>
  <c r="B1382" i="13"/>
  <c r="B1392" i="13"/>
  <c r="B1408" i="13"/>
  <c r="B1410" i="13"/>
  <c r="B1417" i="13"/>
  <c r="B1421" i="13"/>
  <c r="B1430" i="13"/>
  <c r="B1432" i="13"/>
  <c r="B1433" i="13"/>
  <c r="B1439" i="13"/>
  <c r="B1446" i="13"/>
  <c r="B1450" i="13"/>
  <c r="B28" i="13"/>
  <c r="B82" i="13"/>
  <c r="B88" i="13"/>
  <c r="B94" i="13"/>
  <c r="B108" i="13"/>
  <c r="B179" i="13"/>
  <c r="B254" i="13"/>
  <c r="B261" i="13"/>
  <c r="B272" i="13"/>
  <c r="B347" i="13"/>
  <c r="B362" i="13"/>
  <c r="B368" i="13"/>
  <c r="B459" i="13"/>
  <c r="B473" i="13"/>
  <c r="B474" i="13"/>
  <c r="B539" i="13"/>
  <c r="B560" i="13"/>
  <c r="B629" i="13"/>
  <c r="B663" i="13"/>
  <c r="B719" i="13"/>
  <c r="B814" i="13"/>
  <c r="B876" i="13"/>
  <c r="B942" i="13"/>
  <c r="B982" i="13"/>
  <c r="B1040" i="13"/>
  <c r="B1120" i="13"/>
  <c r="B1177" i="13"/>
  <c r="B1195" i="13"/>
  <c r="B1260" i="13"/>
  <c r="B1279" i="13"/>
  <c r="B1287" i="13"/>
  <c r="B1400" i="13"/>
  <c r="B1444" i="13"/>
  <c r="N15" i="13"/>
  <c r="O15" i="13" s="1"/>
  <c r="N24" i="13"/>
  <c r="O24" i="13" s="1"/>
  <c r="N36" i="13"/>
  <c r="N44" i="13"/>
  <c r="N49" i="13"/>
  <c r="O49" i="13" s="1"/>
  <c r="N50" i="13"/>
  <c r="O50" i="13" s="1"/>
  <c r="N59" i="13"/>
  <c r="O59" i="13" s="1"/>
  <c r="N65" i="13"/>
  <c r="O65" i="13" s="1"/>
  <c r="N80" i="13"/>
  <c r="O80" i="13" s="1"/>
  <c r="N83" i="13"/>
  <c r="O83" i="13" s="1"/>
  <c r="N91" i="13"/>
  <c r="N95" i="13"/>
  <c r="O95" i="13" s="1"/>
  <c r="N98" i="13"/>
  <c r="O98" i="13" s="1"/>
  <c r="N100" i="13"/>
  <c r="O100" i="13" s="1"/>
  <c r="N102" i="13"/>
  <c r="O102" i="13" s="1"/>
  <c r="N103" i="13"/>
  <c r="O103" i="13" s="1"/>
  <c r="N109" i="13"/>
  <c r="O109" i="13" s="1"/>
  <c r="N111" i="13"/>
  <c r="O111" i="13" s="1"/>
  <c r="N134" i="13"/>
  <c r="O134" i="13" s="1"/>
  <c r="N151" i="13"/>
  <c r="O151" i="13" s="1"/>
  <c r="N158" i="13"/>
  <c r="O158" i="13" s="1"/>
  <c r="N157" i="13"/>
  <c r="O157" i="13" s="1"/>
  <c r="N165" i="13"/>
  <c r="O165" i="13" s="1"/>
  <c r="N172" i="13"/>
  <c r="O172" i="13" s="1"/>
  <c r="N177" i="13"/>
  <c r="O177" i="13" s="1"/>
  <c r="N178" i="13"/>
  <c r="O178" i="13" s="1"/>
  <c r="N195" i="13"/>
  <c r="O195" i="13" s="1"/>
  <c r="N200" i="13"/>
  <c r="O200" i="13" s="1"/>
  <c r="N209" i="13"/>
  <c r="O209" i="13" s="1"/>
  <c r="N213" i="13"/>
  <c r="O213" i="13" s="1"/>
  <c r="N216" i="13"/>
  <c r="O216" i="13" s="1"/>
  <c r="N224" i="13"/>
  <c r="N229" i="13"/>
  <c r="N238" i="13"/>
  <c r="O238" i="13" s="1"/>
  <c r="N258" i="13"/>
  <c r="N270" i="13"/>
  <c r="N279" i="13"/>
  <c r="O279" i="13" s="1"/>
  <c r="N284" i="13"/>
  <c r="O284" i="13" s="1"/>
  <c r="N293" i="13"/>
  <c r="O293" i="13" s="1"/>
  <c r="N305" i="13"/>
  <c r="O305" i="13" s="1"/>
  <c r="N318" i="13"/>
  <c r="O318" i="13" s="1"/>
  <c r="N324" i="13"/>
  <c r="O324" i="13" s="1"/>
  <c r="N325" i="13"/>
  <c r="O325" i="13" s="1"/>
  <c r="N329" i="13"/>
  <c r="O329" i="13" s="1"/>
  <c r="N328" i="13"/>
  <c r="O328" i="13" s="1"/>
  <c r="N341" i="13"/>
  <c r="O341" i="13" s="1"/>
  <c r="N352" i="13"/>
  <c r="O352" i="13" s="1"/>
  <c r="N364" i="13"/>
  <c r="O364" i="13" s="1"/>
  <c r="N366" i="13"/>
  <c r="O366" i="13" s="1"/>
  <c r="N370" i="13"/>
  <c r="O370" i="13" s="1"/>
  <c r="N379" i="13"/>
  <c r="O379" i="13" s="1"/>
  <c r="N404" i="13"/>
  <c r="O404" i="13" s="1"/>
  <c r="N406" i="13"/>
  <c r="O406" i="13" s="1"/>
  <c r="N412" i="13"/>
  <c r="O412" i="13" s="1"/>
  <c r="N414" i="13"/>
  <c r="O414" i="13" s="1"/>
  <c r="N422" i="13"/>
  <c r="O422" i="13" s="1"/>
  <c r="N429" i="13"/>
  <c r="O429" i="13" s="1"/>
  <c r="N431" i="13"/>
  <c r="O431" i="13" s="1"/>
  <c r="N437" i="13"/>
  <c r="O437" i="13" s="1"/>
  <c r="N454" i="13"/>
  <c r="O454" i="13" s="1"/>
  <c r="N475" i="13"/>
  <c r="O475" i="13" s="1"/>
  <c r="N484" i="13"/>
  <c r="O484" i="13" s="1"/>
  <c r="N498" i="13"/>
  <c r="O498" i="13" s="1"/>
  <c r="N502" i="13"/>
  <c r="N510" i="13"/>
  <c r="O510" i="13" s="1"/>
  <c r="N514" i="13"/>
  <c r="O514" i="13" s="1"/>
  <c r="N521" i="13"/>
  <c r="O521" i="13" s="1"/>
  <c r="N526" i="13"/>
  <c r="O526" i="13" s="1"/>
  <c r="N541" i="13"/>
  <c r="O541" i="13" s="1"/>
  <c r="N544" i="13"/>
  <c r="O544" i="13" s="1"/>
  <c r="N546" i="13"/>
  <c r="O546" i="13" s="1"/>
  <c r="N548" i="13"/>
  <c r="O548" i="13" s="1"/>
  <c r="N552" i="13"/>
  <c r="O552" i="13" s="1"/>
  <c r="N554" i="13"/>
  <c r="O554" i="13" s="1"/>
  <c r="N556" i="13"/>
  <c r="O556" i="13" s="1"/>
  <c r="N571" i="13"/>
  <c r="O571" i="13" s="1"/>
  <c r="N576" i="13"/>
  <c r="O576" i="13" s="1"/>
  <c r="N579" i="13"/>
  <c r="O579" i="13" s="1"/>
  <c r="N590" i="13"/>
  <c r="O590" i="13" s="1"/>
  <c r="N592" i="13"/>
  <c r="O592" i="13" s="1"/>
  <c r="N604" i="13"/>
  <c r="O604" i="13" s="1"/>
  <c r="N619" i="13"/>
  <c r="O619" i="13" s="1"/>
  <c r="N620" i="13"/>
  <c r="N627" i="13"/>
  <c r="O627" i="13" s="1"/>
  <c r="N639" i="13"/>
  <c r="O639" i="13" s="1"/>
  <c r="N641" i="13"/>
  <c r="O641" i="13" s="1"/>
  <c r="N648" i="13"/>
  <c r="O648" i="13" s="1"/>
  <c r="N650" i="13"/>
  <c r="O650" i="13" s="1"/>
  <c r="N651" i="13"/>
  <c r="O651" i="13" s="1"/>
  <c r="N652" i="13"/>
  <c r="O652" i="13" s="1"/>
  <c r="N653" i="13"/>
  <c r="O653" i="13" s="1"/>
  <c r="N660" i="13"/>
  <c r="O660" i="13" s="1"/>
  <c r="N659" i="13"/>
  <c r="O659" i="13" s="1"/>
  <c r="N666" i="13"/>
  <c r="O666" i="13" s="1"/>
  <c r="N675" i="13"/>
  <c r="O675" i="13" s="1"/>
  <c r="N679" i="13"/>
  <c r="O679" i="13" s="1"/>
  <c r="N694" i="13"/>
  <c r="O694" i="13" s="1"/>
  <c r="N700" i="13"/>
  <c r="O700" i="13" s="1"/>
  <c r="N711" i="13"/>
  <c r="N717" i="13"/>
  <c r="O717" i="13" s="1"/>
  <c r="N729" i="13"/>
  <c r="O729" i="13" s="1"/>
  <c r="N734" i="13"/>
  <c r="O734" i="13" s="1"/>
  <c r="N750" i="13"/>
  <c r="O750" i="13" s="1"/>
  <c r="N771" i="13"/>
  <c r="O771" i="13" s="1"/>
  <c r="N774" i="13"/>
  <c r="O774" i="13" s="1"/>
  <c r="N775" i="13"/>
  <c r="O775" i="13" s="1"/>
  <c r="N783" i="13"/>
  <c r="O783" i="13" s="1"/>
  <c r="N795" i="13"/>
  <c r="O795" i="13" s="1"/>
  <c r="N800" i="13"/>
  <c r="O800" i="13" s="1"/>
  <c r="N806" i="13"/>
  <c r="O806" i="13" s="1"/>
  <c r="N818" i="13"/>
  <c r="O818" i="13" s="1"/>
  <c r="N816" i="13"/>
  <c r="O816" i="13" s="1"/>
  <c r="N823" i="13"/>
  <c r="O823" i="13" s="1"/>
  <c r="N824" i="13"/>
  <c r="O824" i="13" s="1"/>
  <c r="N827" i="13"/>
  <c r="O827" i="13" s="1"/>
  <c r="N828" i="13"/>
  <c r="O828" i="13" s="1"/>
  <c r="N829" i="13"/>
  <c r="O829" i="13" s="1"/>
  <c r="N835" i="13"/>
  <c r="O835" i="13" s="1"/>
  <c r="N842" i="13"/>
  <c r="O842" i="13" s="1"/>
  <c r="N853" i="13"/>
  <c r="O853" i="13" s="1"/>
  <c r="N858" i="13"/>
  <c r="O858" i="13" s="1"/>
  <c r="N859" i="13"/>
  <c r="O859" i="13" s="1"/>
  <c r="N862" i="13"/>
  <c r="O862" i="13" s="1"/>
  <c r="N879" i="13"/>
  <c r="O879" i="13" s="1"/>
  <c r="N889" i="13"/>
  <c r="O889" i="13" s="1"/>
  <c r="N888" i="13"/>
  <c r="O888" i="13" s="1"/>
  <c r="N911" i="13"/>
  <c r="O911" i="13" s="1"/>
  <c r="N918" i="13"/>
  <c r="O918" i="13" s="1"/>
  <c r="N956" i="13"/>
  <c r="O956" i="13" s="1"/>
  <c r="N962" i="13"/>
  <c r="O962" i="13" s="1"/>
  <c r="N972" i="13"/>
  <c r="O972" i="13" s="1"/>
  <c r="N981" i="13"/>
  <c r="O981" i="13" s="1"/>
  <c r="N995" i="13"/>
  <c r="O995" i="13" s="1"/>
  <c r="N1002" i="13"/>
  <c r="O1002" i="13" s="1"/>
  <c r="N1010" i="13"/>
  <c r="O1010" i="13" s="1"/>
  <c r="N1018" i="13"/>
  <c r="O1018" i="13" s="1"/>
  <c r="N1021" i="13"/>
  <c r="O1021" i="13" s="1"/>
  <c r="N1024" i="13"/>
  <c r="O1024" i="13" s="1"/>
  <c r="N1028" i="13"/>
  <c r="O1028" i="13" s="1"/>
  <c r="N1058" i="13"/>
  <c r="O1058" i="13" s="1"/>
  <c r="N1061" i="13"/>
  <c r="O1061" i="13" s="1"/>
  <c r="N1067" i="13"/>
  <c r="O1067" i="13" s="1"/>
  <c r="N1074" i="13"/>
  <c r="O1074" i="13" s="1"/>
  <c r="N1082" i="13"/>
  <c r="O1082" i="13" s="1"/>
  <c r="N1083" i="13"/>
  <c r="O1083" i="13" s="1"/>
  <c r="N1092" i="13"/>
  <c r="O1092" i="13" s="1"/>
  <c r="N1096" i="13"/>
  <c r="O1096" i="13" s="1"/>
  <c r="N1097" i="13"/>
  <c r="O1097" i="13" s="1"/>
  <c r="N1101" i="13"/>
  <c r="O1101" i="13" s="1"/>
  <c r="N1104" i="13"/>
  <c r="O1104" i="13" s="1"/>
  <c r="N1108" i="13"/>
  <c r="O1108" i="13" s="1"/>
  <c r="N1109" i="13"/>
  <c r="O1109" i="13" s="1"/>
  <c r="N1113" i="13"/>
  <c r="O1113" i="13" s="1"/>
  <c r="N1119" i="13"/>
  <c r="O1119" i="13" s="1"/>
  <c r="N1124" i="13"/>
  <c r="O1124" i="13" s="1"/>
  <c r="N1148" i="13"/>
  <c r="O1148" i="13" s="1"/>
  <c r="N1157" i="13"/>
  <c r="O1157" i="13" s="1"/>
  <c r="N1169" i="13"/>
  <c r="O1169" i="13" s="1"/>
  <c r="N1178" i="13"/>
  <c r="O1178" i="13" s="1"/>
  <c r="N1179" i="13"/>
  <c r="O1179" i="13" s="1"/>
  <c r="N1183" i="13"/>
  <c r="O1183" i="13" s="1"/>
  <c r="N1189" i="13"/>
  <c r="O1189" i="13" s="1"/>
  <c r="N1192" i="13"/>
  <c r="O1192" i="13" s="1"/>
  <c r="N1206" i="13"/>
  <c r="O1206" i="13" s="1"/>
  <c r="N1218" i="13"/>
  <c r="O1218" i="13" s="1"/>
  <c r="N1225" i="13"/>
  <c r="O1225" i="13" s="1"/>
  <c r="N1228" i="13"/>
  <c r="O1228" i="13" s="1"/>
  <c r="N1229" i="13"/>
  <c r="O1229" i="13" s="1"/>
  <c r="N1233" i="13"/>
  <c r="O1233" i="13" s="1"/>
  <c r="N1242" i="13"/>
  <c r="O1242" i="13" s="1"/>
  <c r="N1247" i="13"/>
  <c r="O1247" i="13" s="1"/>
  <c r="N1249" i="13"/>
  <c r="O1249" i="13" s="1"/>
  <c r="N1250" i="13"/>
  <c r="O1250" i="13" s="1"/>
  <c r="N1259" i="13"/>
  <c r="O1259" i="13" s="1"/>
  <c r="N1263" i="13"/>
  <c r="O1263" i="13" s="1"/>
  <c r="N1267" i="13"/>
  <c r="O1267" i="13" s="1"/>
  <c r="N1275" i="13"/>
  <c r="O1275" i="13" s="1"/>
  <c r="N1282" i="13"/>
  <c r="O1282" i="13" s="1"/>
  <c r="N1289" i="13"/>
  <c r="O1289" i="13" s="1"/>
  <c r="N1306" i="13"/>
  <c r="O1306" i="13" s="1"/>
  <c r="N1307" i="13"/>
  <c r="O1307" i="13" s="1"/>
  <c r="N1310" i="13"/>
  <c r="O1310" i="13" s="1"/>
  <c r="N1319" i="13"/>
  <c r="O1319" i="13" s="1"/>
  <c r="N1322" i="13"/>
  <c r="O1322" i="13" s="1"/>
  <c r="N1323" i="13"/>
  <c r="O1323" i="13" s="1"/>
  <c r="N1324" i="13"/>
  <c r="O1324" i="13" s="1"/>
  <c r="N1331" i="13"/>
  <c r="O1331" i="13" s="1"/>
  <c r="N1355" i="13"/>
  <c r="O1355" i="13" s="1"/>
  <c r="N1356" i="13"/>
  <c r="O1356" i="13" s="1"/>
  <c r="N1362" i="13"/>
  <c r="O1362" i="13" s="1"/>
  <c r="N1369" i="13"/>
  <c r="O1369" i="13" s="1"/>
  <c r="N1401" i="13"/>
  <c r="O1401" i="13" s="1"/>
  <c r="N1425" i="13"/>
  <c r="O1425" i="13" s="1"/>
  <c r="N1426" i="13"/>
  <c r="O1426" i="13" s="1"/>
  <c r="N1428" i="13"/>
  <c r="O1428" i="13" s="1"/>
  <c r="N1440" i="13"/>
  <c r="O1440" i="13" s="1"/>
  <c r="N1454" i="13"/>
  <c r="O1454" i="13" s="1"/>
  <c r="N1455" i="13"/>
  <c r="O1455" i="13" s="1"/>
  <c r="N1458" i="13"/>
  <c r="O1458" i="13" s="1"/>
  <c r="N2" i="13"/>
  <c r="O2" i="13" s="1"/>
  <c r="N47" i="13"/>
  <c r="O47" i="13" s="1"/>
  <c r="N52" i="13"/>
  <c r="O52" i="13" s="1"/>
  <c r="N74" i="13"/>
  <c r="O74" i="13" s="1"/>
  <c r="N112" i="13"/>
  <c r="O112" i="13" s="1"/>
  <c r="N181" i="13"/>
  <c r="N199" i="13"/>
  <c r="O199" i="13" s="1"/>
  <c r="N235" i="13"/>
  <c r="O235" i="13" s="1"/>
  <c r="N242" i="13"/>
  <c r="O242" i="13" s="1"/>
  <c r="N264" i="13"/>
  <c r="O264" i="13" s="1"/>
  <c r="N301" i="13"/>
  <c r="O301" i="13" s="1"/>
  <c r="N306" i="13"/>
  <c r="O306" i="13" s="1"/>
  <c r="N402" i="13"/>
  <c r="O402" i="13" s="1"/>
  <c r="N409" i="13"/>
  <c r="O409" i="13" s="1"/>
  <c r="N427" i="13"/>
  <c r="O427" i="13" s="1"/>
  <c r="N441" i="13"/>
  <c r="N444" i="13"/>
  <c r="O444" i="13" s="1"/>
  <c r="N476" i="13"/>
  <c r="O476" i="13" s="1"/>
  <c r="N535" i="13"/>
  <c r="O535" i="13" s="1"/>
  <c r="N573" i="13"/>
  <c r="O573" i="13" s="1"/>
  <c r="N589" i="13"/>
  <c r="O589" i="13" s="1"/>
  <c r="N593" i="13"/>
  <c r="O593" i="13" s="1"/>
  <c r="N613" i="13"/>
  <c r="O613" i="13" s="1"/>
  <c r="N622" i="13"/>
  <c r="O622" i="13" s="1"/>
  <c r="N628" i="13"/>
  <c r="O628" i="13" s="1"/>
  <c r="N630" i="13"/>
  <c r="O630" i="13" s="1"/>
  <c r="N637" i="13"/>
  <c r="O637" i="13" s="1"/>
  <c r="N681" i="13"/>
  <c r="O681" i="13" s="1"/>
  <c r="N704" i="13"/>
  <c r="O704" i="13" s="1"/>
  <c r="N713" i="13"/>
  <c r="O713" i="13" s="1"/>
  <c r="N739" i="13"/>
  <c r="O739" i="13" s="1"/>
  <c r="N741" i="13"/>
  <c r="O741" i="13" s="1"/>
  <c r="N746" i="13"/>
  <c r="O746" i="13" s="1"/>
  <c r="N751" i="13"/>
  <c r="O751" i="13" s="1"/>
  <c r="N772" i="13"/>
  <c r="O772" i="13" s="1"/>
  <c r="N830" i="13"/>
  <c r="O830" i="13" s="1"/>
  <c r="N840" i="13"/>
  <c r="O840" i="13" s="1"/>
  <c r="N880" i="13"/>
  <c r="O880" i="13" s="1"/>
  <c r="N909" i="13"/>
  <c r="O909" i="13" s="1"/>
  <c r="N917" i="13"/>
  <c r="O917" i="13" s="1"/>
  <c r="N929" i="13"/>
  <c r="O929" i="13" s="1"/>
  <c r="N946" i="13"/>
  <c r="O946" i="13" s="1"/>
  <c r="N979" i="13"/>
  <c r="O979" i="13" s="1"/>
  <c r="N989" i="13"/>
  <c r="O989" i="13" s="1"/>
  <c r="N997" i="13"/>
  <c r="O997" i="13" s="1"/>
  <c r="N1056" i="13"/>
  <c r="O1056" i="13" s="1"/>
  <c r="N1062" i="13"/>
  <c r="O1062" i="13" s="1"/>
  <c r="N1117" i="13"/>
  <c r="O1117" i="13" s="1"/>
  <c r="N1167" i="13"/>
  <c r="O1167" i="13" s="1"/>
  <c r="N1176" i="13"/>
  <c r="O1176" i="13" s="1"/>
  <c r="N1184" i="13"/>
  <c r="O1184" i="13" s="1"/>
  <c r="N1196" i="13"/>
  <c r="O1196" i="13" s="1"/>
  <c r="N1213" i="13"/>
  <c r="O1213" i="13" s="1"/>
  <c r="N1217" i="13"/>
  <c r="O1217" i="13" s="1"/>
  <c r="N1246" i="13"/>
  <c r="O1246" i="13" s="1"/>
  <c r="N1283" i="13"/>
  <c r="O1283" i="13" s="1"/>
  <c r="N1348" i="13"/>
  <c r="O1348" i="13" s="1"/>
  <c r="N1378" i="13"/>
  <c r="O1378" i="13" s="1"/>
  <c r="N1388" i="13"/>
  <c r="O1388" i="13" s="1"/>
  <c r="N1395" i="13"/>
  <c r="O1395" i="13" s="1"/>
  <c r="N1415" i="13"/>
  <c r="O1415" i="13" s="1"/>
  <c r="N1416" i="13"/>
  <c r="O1416" i="13" s="1"/>
  <c r="N1423" i="13"/>
  <c r="O1423" i="13" s="1"/>
  <c r="N19" i="13"/>
  <c r="O19" i="13" s="1"/>
  <c r="N86" i="13"/>
  <c r="O86" i="13" s="1"/>
  <c r="N92" i="13"/>
  <c r="N105" i="13"/>
  <c r="O105" i="13" s="1"/>
  <c r="N127" i="13"/>
  <c r="O127" i="13" s="1"/>
  <c r="N147" i="13"/>
  <c r="O147" i="13" s="1"/>
  <c r="N189" i="13"/>
  <c r="O189" i="13" s="1"/>
  <c r="N194" i="13"/>
  <c r="O194" i="13" s="1"/>
  <c r="N205" i="13"/>
  <c r="N231" i="13"/>
  <c r="O231" i="13" s="1"/>
  <c r="N239" i="13"/>
  <c r="O239" i="13" s="1"/>
  <c r="N283" i="13"/>
  <c r="O283" i="13" s="1"/>
  <c r="N290" i="13"/>
  <c r="O290" i="13" s="1"/>
  <c r="N313" i="13"/>
  <c r="O313" i="13" s="1"/>
  <c r="N315" i="13"/>
  <c r="O315" i="13" s="1"/>
  <c r="N349" i="13"/>
  <c r="O349" i="13" s="1"/>
  <c r="N350" i="13"/>
  <c r="O350" i="13" s="1"/>
  <c r="N357" i="13"/>
  <c r="N363" i="13"/>
  <c r="O363" i="13" s="1"/>
  <c r="N371" i="13"/>
  <c r="O371" i="13" s="1"/>
  <c r="N393" i="13"/>
  <c r="O393" i="13" s="1"/>
  <c r="N400" i="13"/>
  <c r="O400" i="13" s="1"/>
  <c r="N430" i="13"/>
  <c r="O430" i="13" s="1"/>
  <c r="N439" i="13"/>
  <c r="O439" i="13" s="1"/>
  <c r="N468" i="13"/>
  <c r="O468" i="13" s="1"/>
  <c r="N487" i="13"/>
  <c r="O487" i="13" s="1"/>
  <c r="N506" i="13"/>
  <c r="O506" i="13" s="1"/>
  <c r="N527" i="13"/>
  <c r="O527" i="13" s="1"/>
  <c r="N529" i="13"/>
  <c r="O529" i="13" s="1"/>
  <c r="N538" i="13"/>
  <c r="O538" i="13" s="1"/>
  <c r="N631" i="13"/>
  <c r="O631" i="13" s="1"/>
  <c r="N706" i="13"/>
  <c r="O706" i="13" s="1"/>
  <c r="N727" i="13"/>
  <c r="O727" i="13" s="1"/>
  <c r="N758" i="13"/>
  <c r="O758" i="13" s="1"/>
  <c r="N819" i="13"/>
  <c r="O819" i="13" s="1"/>
  <c r="N861" i="13"/>
  <c r="O861" i="13" s="1"/>
  <c r="N871" i="13"/>
  <c r="N938" i="13"/>
  <c r="O938" i="13" s="1"/>
  <c r="N957" i="13"/>
  <c r="N1026" i="13"/>
  <c r="O1026" i="13" s="1"/>
  <c r="N1047" i="13"/>
  <c r="O1047" i="13" s="1"/>
  <c r="N1059" i="13"/>
  <c r="O1059" i="13" s="1"/>
  <c r="N1072" i="13"/>
  <c r="O1072" i="13" s="1"/>
  <c r="N1076" i="13"/>
  <c r="O1076" i="13" s="1"/>
  <c r="N1081" i="13"/>
  <c r="O1081" i="13" s="1"/>
  <c r="N1084" i="13"/>
  <c r="O1084" i="13" s="1"/>
  <c r="N1099" i="13"/>
  <c r="O1099" i="13" s="1"/>
  <c r="N1126" i="13"/>
  <c r="O1126" i="13" s="1"/>
  <c r="N1133" i="13"/>
  <c r="O1133" i="13" s="1"/>
  <c r="N1135" i="13"/>
  <c r="O1135" i="13" s="1"/>
  <c r="N1190" i="13"/>
  <c r="O1190" i="13" s="1"/>
  <c r="N1201" i="13"/>
  <c r="O1201" i="13" s="1"/>
  <c r="N1219" i="13"/>
  <c r="O1219" i="13" s="1"/>
  <c r="N1221" i="13"/>
  <c r="N1223" i="13"/>
  <c r="O1223" i="13" s="1"/>
  <c r="N1224" i="13"/>
  <c r="O1224" i="13" s="1"/>
  <c r="N1227" i="13"/>
  <c r="O1227" i="13" s="1"/>
  <c r="N1231" i="13"/>
  <c r="O1231" i="13" s="1"/>
  <c r="N1253" i="13"/>
  <c r="O1253" i="13" s="1"/>
  <c r="N1258" i="13"/>
  <c r="O1258" i="13" s="1"/>
  <c r="N1257" i="13"/>
  <c r="O1257" i="13" s="1"/>
  <c r="N1272" i="13"/>
  <c r="O1272" i="13" s="1"/>
  <c r="N1288" i="13"/>
  <c r="O1288" i="13" s="1"/>
  <c r="N1309" i="13"/>
  <c r="O1309" i="13" s="1"/>
  <c r="N1340" i="13"/>
  <c r="O1340" i="13" s="1"/>
  <c r="N1343" i="13"/>
  <c r="O1343" i="13" s="1"/>
  <c r="N1347" i="13"/>
  <c r="O1347" i="13" s="1"/>
  <c r="N1374" i="13"/>
  <c r="O1374" i="13" s="1"/>
  <c r="N1406" i="13"/>
  <c r="O1406" i="13" s="1"/>
  <c r="N1420" i="13"/>
  <c r="O1420" i="13" s="1"/>
  <c r="N1431" i="13"/>
  <c r="O1431" i="13" s="1"/>
  <c r="N1435" i="13"/>
  <c r="O1435" i="13" s="1"/>
  <c r="N4" i="13"/>
  <c r="O4" i="13" s="1"/>
  <c r="N12" i="13"/>
  <c r="O12" i="13" s="1"/>
  <c r="N25" i="13"/>
  <c r="O25" i="13" s="1"/>
  <c r="N26" i="13"/>
  <c r="O26" i="13" s="1"/>
  <c r="N27" i="13"/>
  <c r="O27" i="13" s="1"/>
  <c r="N31" i="13"/>
  <c r="O31" i="13" s="1"/>
  <c r="N37" i="13"/>
  <c r="N38" i="13"/>
  <c r="N68" i="13"/>
  <c r="O68" i="13" s="1"/>
  <c r="N87" i="13"/>
  <c r="O87" i="13" s="1"/>
  <c r="N104" i="13"/>
  <c r="O104" i="13" s="1"/>
  <c r="N117" i="13"/>
  <c r="N121" i="13"/>
  <c r="N122" i="13"/>
  <c r="N131" i="13"/>
  <c r="N132" i="13"/>
  <c r="N136" i="13"/>
  <c r="O136" i="13" s="1"/>
  <c r="N139" i="13"/>
  <c r="O139" i="13" s="1"/>
  <c r="N144" i="13"/>
  <c r="O144" i="13" s="1"/>
  <c r="N145" i="13"/>
  <c r="O145" i="13" s="1"/>
  <c r="N152" i="13"/>
  <c r="O152" i="13" s="1"/>
  <c r="N153" i="13"/>
  <c r="O153" i="13" s="1"/>
  <c r="N170" i="13"/>
  <c r="N175" i="13"/>
  <c r="O175" i="13" s="1"/>
  <c r="N203" i="13"/>
  <c r="O203" i="13" s="1"/>
  <c r="N212" i="13"/>
  <c r="O212" i="13" s="1"/>
  <c r="N219" i="13"/>
  <c r="O219" i="13" s="1"/>
  <c r="N248" i="13"/>
  <c r="N278" i="13"/>
  <c r="O278" i="13" s="1"/>
  <c r="N281" i="13"/>
  <c r="O281" i="13" s="1"/>
  <c r="N288" i="13"/>
  <c r="O288" i="13" s="1"/>
  <c r="N295" i="13"/>
  <c r="O295" i="13" s="1"/>
  <c r="N298" i="13"/>
  <c r="O298" i="13" s="1"/>
  <c r="N326" i="13"/>
  <c r="O326" i="13" s="1"/>
  <c r="N330" i="13"/>
  <c r="O330" i="13" s="1"/>
  <c r="N365" i="13"/>
  <c r="O365" i="13" s="1"/>
  <c r="N389" i="13"/>
  <c r="O389" i="13" s="1"/>
  <c r="N403" i="13"/>
  <c r="O403" i="13" s="1"/>
  <c r="N415" i="13"/>
  <c r="O415" i="13" s="1"/>
  <c r="N424" i="13"/>
  <c r="N446" i="13"/>
  <c r="O446" i="13" s="1"/>
  <c r="N449" i="13"/>
  <c r="O449" i="13" s="1"/>
  <c r="N453" i="13"/>
  <c r="O453" i="13" s="1"/>
  <c r="N472" i="13"/>
  <c r="O472" i="13" s="1"/>
  <c r="N477" i="13"/>
  <c r="O477" i="13" s="1"/>
  <c r="N481" i="13"/>
  <c r="O481" i="13" s="1"/>
  <c r="N492" i="13"/>
  <c r="O492" i="13" s="1"/>
  <c r="N494" i="13"/>
  <c r="O494" i="13" s="1"/>
  <c r="N501" i="13"/>
  <c r="O501" i="13" s="1"/>
  <c r="N509" i="13"/>
  <c r="O509" i="13" s="1"/>
  <c r="N511" i="13"/>
  <c r="O511" i="13" s="1"/>
  <c r="N512" i="13"/>
  <c r="O512" i="13" s="1"/>
  <c r="N518" i="13"/>
  <c r="N519" i="13"/>
  <c r="N523" i="13"/>
  <c r="O523" i="13" s="1"/>
  <c r="N528" i="13"/>
  <c r="O528" i="13" s="1"/>
  <c r="N532" i="13"/>
  <c r="O532" i="13" s="1"/>
  <c r="N574" i="13"/>
  <c r="O574" i="13" s="1"/>
  <c r="N606" i="13"/>
  <c r="O606" i="13" s="1"/>
  <c r="N607" i="13"/>
  <c r="N615" i="13"/>
  <c r="O615" i="13" s="1"/>
  <c r="N635" i="13"/>
  <c r="O635" i="13" s="1"/>
  <c r="N642" i="13"/>
  <c r="O642" i="13" s="1"/>
  <c r="N646" i="13"/>
  <c r="O646" i="13" s="1"/>
  <c r="N657" i="13"/>
  <c r="N661" i="13"/>
  <c r="O661" i="13" s="1"/>
  <c r="N664" i="13"/>
  <c r="O664" i="13" s="1"/>
  <c r="N683" i="13"/>
  <c r="N701" i="13"/>
  <c r="O701" i="13" s="1"/>
  <c r="N702" i="13"/>
  <c r="O702" i="13" s="1"/>
  <c r="N714" i="13"/>
  <c r="O714" i="13" s="1"/>
  <c r="N721" i="13"/>
  <c r="N731" i="13"/>
  <c r="O731" i="13" s="1"/>
  <c r="N735" i="13"/>
  <c r="O735" i="13" s="1"/>
  <c r="N762" i="13"/>
  <c r="O762" i="13" s="1"/>
  <c r="N767" i="13"/>
  <c r="O767" i="13" s="1"/>
  <c r="N781" i="13"/>
  <c r="O781" i="13" s="1"/>
  <c r="N787" i="13"/>
  <c r="O787" i="13" s="1"/>
  <c r="N791" i="13"/>
  <c r="O791" i="13" s="1"/>
  <c r="N811" i="13"/>
  <c r="O811" i="13" s="1"/>
  <c r="N817" i="13"/>
  <c r="O817" i="13" s="1"/>
  <c r="N821" i="13"/>
  <c r="N837" i="13"/>
  <c r="O837" i="13" s="1"/>
  <c r="N839" i="13"/>
  <c r="O839" i="13" s="1"/>
  <c r="N838" i="13"/>
  <c r="O838" i="13" s="1"/>
  <c r="N864" i="13"/>
  <c r="O864" i="13" s="1"/>
  <c r="N874" i="13"/>
  <c r="O874" i="13" s="1"/>
  <c r="N877" i="13"/>
  <c r="O877" i="13" s="1"/>
  <c r="N885" i="13"/>
  <c r="O885" i="13" s="1"/>
  <c r="N886" i="13"/>
  <c r="O886" i="13" s="1"/>
  <c r="N890" i="13"/>
  <c r="O890" i="13" s="1"/>
  <c r="N894" i="13"/>
  <c r="N906" i="13"/>
  <c r="O906" i="13" s="1"/>
  <c r="N913" i="13"/>
  <c r="O913" i="13" s="1"/>
  <c r="N912" i="13"/>
  <c r="O912" i="13" s="1"/>
  <c r="N921" i="13"/>
  <c r="O921" i="13" s="1"/>
  <c r="N971" i="13"/>
  <c r="O971" i="13" s="1"/>
  <c r="N975" i="13"/>
  <c r="N985" i="13"/>
  <c r="O985" i="13" s="1"/>
  <c r="N990" i="13"/>
  <c r="O990" i="13" s="1"/>
  <c r="N996" i="13"/>
  <c r="O996" i="13" s="1"/>
  <c r="N1016" i="13"/>
  <c r="O1016" i="13" s="1"/>
  <c r="N1019" i="13"/>
  <c r="O1019" i="13" s="1"/>
  <c r="N1032" i="13"/>
  <c r="O1032" i="13" s="1"/>
  <c r="N1030" i="13"/>
  <c r="O1030" i="13" s="1"/>
  <c r="N1033" i="13"/>
  <c r="O1033" i="13" s="1"/>
  <c r="N1036" i="13"/>
  <c r="O1036" i="13" s="1"/>
  <c r="N1039" i="13"/>
  <c r="O1039" i="13" s="1"/>
  <c r="N1042" i="13"/>
  <c r="O1042" i="13" s="1"/>
  <c r="N1049" i="13"/>
  <c r="O1049" i="13" s="1"/>
  <c r="N1069" i="13"/>
  <c r="O1069" i="13" s="1"/>
  <c r="N1088" i="13"/>
  <c r="O1088" i="13" s="1"/>
  <c r="N1098" i="13"/>
  <c r="O1098" i="13" s="1"/>
  <c r="N1122" i="13"/>
  <c r="O1122" i="13" s="1"/>
  <c r="N1150" i="13"/>
  <c r="O1150" i="13" s="1"/>
  <c r="N1152" i="13"/>
  <c r="O1152" i="13" s="1"/>
  <c r="N1153" i="13"/>
  <c r="O1153" i="13" s="1"/>
  <c r="N1180" i="13"/>
  <c r="O1180" i="13" s="1"/>
  <c r="N1197" i="13"/>
  <c r="N1205" i="13"/>
  <c r="O1205" i="13" s="1"/>
  <c r="N1212" i="13"/>
  <c r="O1212" i="13" s="1"/>
  <c r="N1226" i="13"/>
  <c r="O1226" i="13" s="1"/>
  <c r="N1245" i="13"/>
  <c r="O1245" i="13" s="1"/>
  <c r="N1251" i="13"/>
  <c r="O1251" i="13" s="1"/>
  <c r="N1255" i="13"/>
  <c r="O1255" i="13" s="1"/>
  <c r="N1265" i="13"/>
  <c r="O1265" i="13" s="1"/>
  <c r="N1278" i="13"/>
  <c r="O1278" i="13" s="1"/>
  <c r="N1281" i="13"/>
  <c r="O1281" i="13" s="1"/>
  <c r="N1300" i="13"/>
  <c r="B1300" i="13" s="1"/>
  <c r="N1304" i="13"/>
  <c r="O1304" i="13" s="1"/>
  <c r="N1327" i="13"/>
  <c r="N1330" i="13"/>
  <c r="O1330" i="13" s="1"/>
  <c r="N1339" i="13"/>
  <c r="O1339" i="13" s="1"/>
  <c r="N1342" i="13"/>
  <c r="O1342" i="13" s="1"/>
  <c r="N1366" i="13"/>
  <c r="O1366" i="13" s="1"/>
  <c r="N1370" i="13"/>
  <c r="O1370" i="13" s="1"/>
  <c r="N1377" i="13"/>
  <c r="O1377" i="13" s="1"/>
  <c r="N1379" i="13"/>
  <c r="O1379" i="13" s="1"/>
  <c r="N1411" i="13"/>
  <c r="O1411" i="13" s="1"/>
  <c r="N1413" i="13"/>
  <c r="O1413" i="13" s="1"/>
  <c r="N1418" i="13"/>
  <c r="O1418" i="13" s="1"/>
  <c r="N1427" i="13"/>
  <c r="O1427" i="13" s="1"/>
  <c r="N1434" i="13"/>
  <c r="O1434" i="13" s="1"/>
  <c r="N1443" i="13"/>
  <c r="O1443" i="13" s="1"/>
  <c r="N1448" i="13"/>
  <c r="O1448" i="13" s="1"/>
  <c r="N1457" i="13"/>
  <c r="O1457" i="13" s="1"/>
  <c r="N7" i="13"/>
  <c r="O7" i="13" s="1"/>
  <c r="N9" i="13"/>
  <c r="O9" i="13" s="1"/>
  <c r="N10" i="13"/>
  <c r="O10" i="13" s="1"/>
  <c r="N11" i="13"/>
  <c r="O11" i="13" s="1"/>
  <c r="N13" i="13"/>
  <c r="O13" i="13" s="1"/>
  <c r="N18" i="13"/>
  <c r="O18" i="13" s="1"/>
  <c r="N30" i="13"/>
  <c r="O30" i="13" s="1"/>
  <c r="N39" i="13"/>
  <c r="N48" i="13"/>
  <c r="O48" i="13" s="1"/>
  <c r="N54" i="13"/>
  <c r="O54" i="13" s="1"/>
  <c r="N62" i="13"/>
  <c r="O62" i="13" s="1"/>
  <c r="N66" i="13"/>
  <c r="O66" i="13" s="1"/>
  <c r="N70" i="13"/>
  <c r="O70" i="13" s="1"/>
  <c r="N71" i="13"/>
  <c r="O71" i="13" s="1"/>
  <c r="N77" i="13"/>
  <c r="O77" i="13" s="1"/>
  <c r="N81" i="13"/>
  <c r="O81" i="13" s="1"/>
  <c r="N115" i="13"/>
  <c r="O115" i="13" s="1"/>
  <c r="N119" i="13"/>
  <c r="N135" i="13"/>
  <c r="O135" i="13" s="1"/>
  <c r="N142" i="13"/>
  <c r="O142" i="13" s="1"/>
  <c r="N143" i="13"/>
  <c r="O143" i="13" s="1"/>
  <c r="N150" i="13"/>
  <c r="O150" i="13" s="1"/>
  <c r="N154" i="13"/>
  <c r="O154" i="13" s="1"/>
  <c r="N173" i="13"/>
  <c r="O173" i="13" s="1"/>
  <c r="N174" i="13"/>
  <c r="O174" i="13" s="1"/>
  <c r="N176" i="13"/>
  <c r="O176" i="13" s="1"/>
  <c r="N183" i="13"/>
  <c r="O183" i="13" s="1"/>
  <c r="N187" i="13"/>
  <c r="O187" i="13" s="1"/>
  <c r="N201" i="13"/>
  <c r="O201" i="13" s="1"/>
  <c r="N214" i="13"/>
  <c r="O214" i="13" s="1"/>
  <c r="N225" i="13"/>
  <c r="N228" i="13"/>
  <c r="O228" i="13" s="1"/>
  <c r="N230" i="13"/>
  <c r="N233" i="13"/>
  <c r="O233" i="13" s="1"/>
  <c r="N252" i="13"/>
  <c r="O252" i="13" s="1"/>
  <c r="N253" i="13"/>
  <c r="O253" i="13" s="1"/>
  <c r="N263" i="13"/>
  <c r="O263" i="13" s="1"/>
  <c r="N282" i="13"/>
  <c r="O282" i="13" s="1"/>
  <c r="N296" i="13"/>
  <c r="O296" i="13" s="1"/>
  <c r="N297" i="13"/>
  <c r="O297" i="13" s="1"/>
  <c r="N314" i="13"/>
  <c r="O314" i="13" s="1"/>
  <c r="N323" i="13"/>
  <c r="O323" i="13" s="1"/>
  <c r="N337" i="13"/>
  <c r="N353" i="13"/>
  <c r="O353" i="13" s="1"/>
  <c r="N356" i="13"/>
  <c r="O356" i="13" s="1"/>
  <c r="N360" i="13"/>
  <c r="O360" i="13" s="1"/>
  <c r="N377" i="13"/>
  <c r="O377" i="13" s="1"/>
  <c r="N380" i="13"/>
  <c r="O380" i="13" s="1"/>
  <c r="N390" i="13"/>
  <c r="O390" i="13" s="1"/>
  <c r="N395" i="13"/>
  <c r="O395" i="13" s="1"/>
  <c r="N398" i="13"/>
  <c r="O398" i="13" s="1"/>
  <c r="N405" i="13"/>
  <c r="O405" i="13" s="1"/>
  <c r="N408" i="13"/>
  <c r="O408" i="13" s="1"/>
  <c r="N435" i="13"/>
  <c r="O435" i="13" s="1"/>
  <c r="N452" i="13"/>
  <c r="O452" i="13" s="1"/>
  <c r="N463" i="13"/>
  <c r="O463" i="13" s="1"/>
  <c r="N467" i="13"/>
  <c r="O467" i="13" s="1"/>
  <c r="N469" i="13"/>
  <c r="O469" i="13" s="1"/>
  <c r="N470" i="13"/>
  <c r="O470" i="13" s="1"/>
  <c r="N497" i="13"/>
  <c r="O497" i="13" s="1"/>
  <c r="N503" i="13"/>
  <c r="N504" i="13"/>
  <c r="N507" i="13"/>
  <c r="O507" i="13" s="1"/>
  <c r="N508" i="13"/>
  <c r="O508" i="13" s="1"/>
  <c r="N513" i="13"/>
  <c r="O513" i="13" s="1"/>
  <c r="N534" i="13"/>
  <c r="O534" i="13" s="1"/>
  <c r="N550" i="13"/>
  <c r="O550" i="13" s="1"/>
  <c r="N559" i="13"/>
  <c r="O559" i="13" s="1"/>
  <c r="N562" i="13"/>
  <c r="O562" i="13" s="1"/>
  <c r="N566" i="13"/>
  <c r="O566" i="13" s="1"/>
  <c r="N577" i="13"/>
  <c r="O577" i="13" s="1"/>
  <c r="N581" i="13"/>
  <c r="O581" i="13" s="1"/>
  <c r="N584" i="13"/>
  <c r="O584" i="13" s="1"/>
  <c r="N585" i="13"/>
  <c r="O585" i="13" s="1"/>
  <c r="N603" i="13"/>
  <c r="O603" i="13" s="1"/>
  <c r="N609" i="13"/>
  <c r="O609" i="13" s="1"/>
  <c r="N611" i="13"/>
  <c r="O611" i="13" s="1"/>
  <c r="N616" i="13"/>
  <c r="O616" i="13" s="1"/>
  <c r="N624" i="13"/>
  <c r="O624" i="13" s="1"/>
  <c r="N643" i="13"/>
  <c r="N668" i="13"/>
  <c r="O668" i="13" s="1"/>
  <c r="N676" i="13"/>
  <c r="O676" i="13" s="1"/>
  <c r="N680" i="13"/>
  <c r="O680" i="13" s="1"/>
  <c r="N686" i="13"/>
  <c r="N690" i="13"/>
  <c r="O690" i="13" s="1"/>
  <c r="N691" i="13"/>
  <c r="O691" i="13" s="1"/>
  <c r="N697" i="13"/>
  <c r="O697" i="13" s="1"/>
  <c r="N725" i="13"/>
  <c r="N737" i="13"/>
  <c r="O737" i="13" s="1"/>
  <c r="N745" i="13"/>
  <c r="O745" i="13" s="1"/>
  <c r="N765" i="13"/>
  <c r="O765" i="13" s="1"/>
  <c r="N798" i="13"/>
  <c r="O798" i="13" s="1"/>
  <c r="N801" i="13"/>
  <c r="O801" i="13" s="1"/>
  <c r="N832" i="13"/>
  <c r="O832" i="13" s="1"/>
  <c r="N850" i="13"/>
  <c r="N867" i="13"/>
  <c r="O867" i="13" s="1"/>
  <c r="N878" i="13"/>
  <c r="O878" i="13" s="1"/>
  <c r="N881" i="13"/>
  <c r="O881" i="13" s="1"/>
  <c r="N882" i="13"/>
  <c r="O882" i="13" s="1"/>
  <c r="N887" i="13"/>
  <c r="O887" i="13" s="1"/>
  <c r="N899" i="13"/>
  <c r="O899" i="13" s="1"/>
  <c r="N901" i="13"/>
  <c r="O901" i="13" s="1"/>
  <c r="N900" i="13"/>
  <c r="O900" i="13" s="1"/>
  <c r="N923" i="13"/>
  <c r="O923" i="13" s="1"/>
  <c r="N928" i="13"/>
  <c r="O928" i="13" s="1"/>
  <c r="N934" i="13"/>
  <c r="O934" i="13" s="1"/>
  <c r="N936" i="13"/>
  <c r="O936" i="13" s="1"/>
  <c r="N947" i="13"/>
  <c r="O947" i="13" s="1"/>
  <c r="N952" i="13"/>
  <c r="O952" i="13" s="1"/>
  <c r="N953" i="13"/>
  <c r="O953" i="13" s="1"/>
  <c r="N966" i="13"/>
  <c r="N986" i="13"/>
  <c r="O986" i="13" s="1"/>
  <c r="N988" i="13"/>
  <c r="O988" i="13" s="1"/>
  <c r="N994" i="13"/>
  <c r="O994" i="13" s="1"/>
  <c r="N998" i="13"/>
  <c r="N1015" i="13"/>
  <c r="O1015" i="13" s="1"/>
  <c r="N1023" i="13"/>
  <c r="O1023" i="13" s="1"/>
  <c r="N1034" i="13"/>
  <c r="O1034" i="13" s="1"/>
  <c r="N1078" i="13"/>
  <c r="O1078" i="13" s="1"/>
  <c r="N1080" i="13"/>
  <c r="O1080" i="13" s="1"/>
  <c r="N1086" i="13"/>
  <c r="O1086" i="13" s="1"/>
  <c r="N1091" i="13"/>
  <c r="O1091" i="13" s="1"/>
  <c r="N1094" i="13"/>
  <c r="O1094" i="13" s="1"/>
  <c r="N1107" i="13"/>
  <c r="O1107" i="13" s="1"/>
  <c r="N1114" i="13"/>
  <c r="O1114" i="13" s="1"/>
  <c r="N1118" i="13"/>
  <c r="O1118" i="13" s="1"/>
  <c r="N1127" i="13"/>
  <c r="O1127" i="13" s="1"/>
  <c r="N1128" i="13"/>
  <c r="O1128" i="13" s="1"/>
  <c r="N1134" i="13"/>
  <c r="O1134" i="13" s="1"/>
  <c r="N1147" i="13"/>
  <c r="O1147" i="13" s="1"/>
  <c r="N1149" i="13"/>
  <c r="O1149" i="13" s="1"/>
  <c r="N1156" i="13"/>
  <c r="O1156" i="13" s="1"/>
  <c r="N1174" i="13"/>
  <c r="O1174" i="13" s="1"/>
  <c r="N1187" i="13"/>
  <c r="O1187" i="13" s="1"/>
  <c r="N1203" i="13"/>
  <c r="O1203" i="13" s="1"/>
  <c r="N1207" i="13"/>
  <c r="O1207" i="13" s="1"/>
  <c r="N1232" i="13"/>
  <c r="O1232" i="13" s="1"/>
  <c r="N1235" i="13"/>
  <c r="O1235" i="13" s="1"/>
  <c r="N1254" i="13"/>
  <c r="O1254" i="13" s="1"/>
  <c r="N1256" i="13"/>
  <c r="O1256" i="13" s="1"/>
  <c r="N1297" i="13"/>
  <c r="O1297" i="13" s="1"/>
  <c r="N1302" i="13"/>
  <c r="O1302" i="13" s="1"/>
  <c r="N1303" i="13"/>
  <c r="O1303" i="13" s="1"/>
  <c r="N1311" i="13"/>
  <c r="O1311" i="13" s="1"/>
  <c r="N1313" i="13"/>
  <c r="O1313" i="13" s="1"/>
  <c r="N1314" i="13"/>
  <c r="O1314" i="13" s="1"/>
  <c r="N1315" i="13"/>
  <c r="O1315" i="13" s="1"/>
  <c r="N1360" i="13"/>
  <c r="O1360" i="13" s="1"/>
  <c r="N1361" i="13"/>
  <c r="O1361" i="13" s="1"/>
  <c r="N1363" i="13"/>
  <c r="O1363" i="13" s="1"/>
  <c r="N1367" i="13"/>
  <c r="O1367" i="13" s="1"/>
  <c r="N1371" i="13"/>
  <c r="O1371" i="13" s="1"/>
  <c r="N1373" i="13"/>
  <c r="O1373" i="13" s="1"/>
  <c r="N1375" i="13"/>
  <c r="O1375" i="13" s="1"/>
  <c r="N1383" i="13"/>
  <c r="O1383" i="13" s="1"/>
  <c r="N1385" i="13"/>
  <c r="N1386" i="13"/>
  <c r="N1389" i="13"/>
  <c r="O1389" i="13" s="1"/>
  <c r="N1396" i="13"/>
  <c r="B1396" i="13" s="1"/>
  <c r="N1407" i="13"/>
  <c r="O1407" i="13" s="1"/>
  <c r="N1409" i="13"/>
  <c r="O1409" i="13" s="1"/>
  <c r="N1412" i="13"/>
  <c r="O1412" i="13" s="1"/>
  <c r="N1414" i="13"/>
  <c r="O1414" i="13" s="1"/>
  <c r="N1442" i="13"/>
  <c r="O1442" i="13" s="1"/>
  <c r="N1445" i="13"/>
  <c r="O1445" i="13" s="1"/>
  <c r="N1447" i="13"/>
  <c r="O1447" i="13" s="1"/>
  <c r="N1451" i="13"/>
  <c r="O1451" i="13" s="1"/>
  <c r="N1452" i="13"/>
  <c r="O1452" i="13" s="1"/>
  <c r="N1453" i="13"/>
  <c r="O1453" i="13" s="1"/>
  <c r="N1459" i="13"/>
  <c r="O1459" i="13" s="1"/>
  <c r="N5" i="13"/>
  <c r="O5" i="13" s="1"/>
  <c r="N20" i="13"/>
  <c r="O20" i="13" s="1"/>
  <c r="N22" i="13"/>
  <c r="O22" i="13" s="1"/>
  <c r="N29" i="13"/>
  <c r="O29" i="13" s="1"/>
  <c r="N40" i="13"/>
  <c r="N43" i="13"/>
  <c r="O43" i="13" s="1"/>
  <c r="N53" i="13"/>
  <c r="O53" i="13" s="1"/>
  <c r="N89" i="13"/>
  <c r="O89" i="13" s="1"/>
  <c r="N90" i="13"/>
  <c r="O90" i="13" s="1"/>
  <c r="N96" i="13"/>
  <c r="O96" i="13" s="1"/>
  <c r="N99" i="13"/>
  <c r="O99" i="13" s="1"/>
  <c r="N116" i="13"/>
  <c r="O116" i="13" s="1"/>
  <c r="N149" i="13"/>
  <c r="O149" i="13" s="1"/>
  <c r="N156" i="13"/>
  <c r="O156" i="13" s="1"/>
  <c r="N159" i="13"/>
  <c r="O159" i="13" s="1"/>
  <c r="N160" i="13"/>
  <c r="O160" i="13" s="1"/>
  <c r="N161" i="13"/>
  <c r="O161" i="13" s="1"/>
  <c r="N163" i="13"/>
  <c r="O163" i="13" s="1"/>
  <c r="N164" i="13"/>
  <c r="O164" i="13" s="1"/>
  <c r="N184" i="13"/>
  <c r="O184" i="13" s="1"/>
  <c r="N188" i="13"/>
  <c r="O188" i="13" s="1"/>
  <c r="N193" i="13"/>
  <c r="O193" i="13" s="1"/>
  <c r="N196" i="13"/>
  <c r="O196" i="13" s="1"/>
  <c r="N204" i="13"/>
  <c r="O204" i="13" s="1"/>
  <c r="N218" i="13"/>
  <c r="O218" i="13" s="1"/>
  <c r="N220" i="13"/>
  <c r="O220" i="13" s="1"/>
  <c r="N222" i="13"/>
  <c r="O222" i="13" s="1"/>
  <c r="N226" i="13"/>
  <c r="O226" i="13" s="1"/>
  <c r="N240" i="13"/>
  <c r="O240" i="13" s="1"/>
  <c r="N243" i="13"/>
  <c r="O243" i="13" s="1"/>
  <c r="N247" i="13"/>
  <c r="O247" i="13" s="1"/>
  <c r="N262" i="13"/>
  <c r="O262" i="13" s="1"/>
  <c r="N265" i="13"/>
  <c r="O265" i="13" s="1"/>
  <c r="N269" i="13"/>
  <c r="O269" i="13" s="1"/>
  <c r="N271" i="13"/>
  <c r="N274" i="13"/>
  <c r="O274" i="13" s="1"/>
  <c r="N275" i="13"/>
  <c r="O275" i="13" s="1"/>
  <c r="N287" i="13"/>
  <c r="O287" i="13" s="1"/>
  <c r="N317" i="13"/>
  <c r="O317" i="13" s="1"/>
  <c r="N331" i="13"/>
  <c r="O331" i="13" s="1"/>
  <c r="N332" i="13"/>
  <c r="O332" i="13" s="1"/>
  <c r="N359" i="13"/>
  <c r="O359" i="13" s="1"/>
  <c r="N361" i="13"/>
  <c r="O361" i="13" s="1"/>
  <c r="N374" i="13"/>
  <c r="O374" i="13" s="1"/>
  <c r="N386" i="13"/>
  <c r="O386" i="13" s="1"/>
  <c r="N387" i="13"/>
  <c r="O387" i="13" s="1"/>
  <c r="N391" i="13"/>
  <c r="O391" i="13" s="1"/>
  <c r="N413" i="13"/>
  <c r="O413" i="13" s="1"/>
  <c r="N418" i="13"/>
  <c r="O418" i="13" s="1"/>
  <c r="N419" i="13"/>
  <c r="N425" i="13"/>
  <c r="N428" i="13"/>
  <c r="O428" i="13" s="1"/>
  <c r="N443" i="13"/>
  <c r="O443" i="13" s="1"/>
  <c r="N451" i="13"/>
  <c r="O451" i="13" s="1"/>
  <c r="N457" i="13"/>
  <c r="O457" i="13" s="1"/>
  <c r="N464" i="13"/>
  <c r="O464" i="13" s="1"/>
  <c r="N485" i="13"/>
  <c r="O485" i="13" s="1"/>
  <c r="N495" i="13"/>
  <c r="N516" i="13"/>
  <c r="N522" i="13"/>
  <c r="O522" i="13" s="1"/>
  <c r="N524" i="13"/>
  <c r="O524" i="13" s="1"/>
  <c r="N531" i="13"/>
  <c r="O531" i="13" s="1"/>
  <c r="N557" i="13"/>
  <c r="O557" i="13" s="1"/>
  <c r="N570" i="13"/>
  <c r="O570" i="13" s="1"/>
  <c r="N578" i="13"/>
  <c r="O578" i="13" s="1"/>
  <c r="N583" i="13"/>
  <c r="O583" i="13" s="1"/>
  <c r="N591" i="13"/>
  <c r="O591" i="13" s="1"/>
  <c r="N597" i="13"/>
  <c r="O597" i="13" s="1"/>
  <c r="N598" i="13"/>
  <c r="O598" i="13" s="1"/>
  <c r="N605" i="13"/>
  <c r="O605" i="13" s="1"/>
  <c r="N608" i="13"/>
  <c r="B608" i="13" s="1"/>
  <c r="N618" i="13"/>
  <c r="O618" i="13" s="1"/>
  <c r="N655" i="13"/>
  <c r="O655" i="13" s="1"/>
  <c r="N670" i="13"/>
  <c r="O670" i="13" s="1"/>
  <c r="N671" i="13"/>
  <c r="O671" i="13" s="1"/>
  <c r="N677" i="13"/>
  <c r="O677" i="13" s="1"/>
  <c r="N684" i="13"/>
  <c r="N696" i="13"/>
  <c r="O696" i="13" s="1"/>
  <c r="N705" i="13"/>
  <c r="O705" i="13" s="1"/>
  <c r="N715" i="13"/>
  <c r="O715" i="13" s="1"/>
  <c r="N726" i="13"/>
  <c r="N733" i="13"/>
  <c r="O733" i="13" s="1"/>
  <c r="N736" i="13"/>
  <c r="O736" i="13" s="1"/>
  <c r="N738" i="13"/>
  <c r="O738" i="13" s="1"/>
  <c r="N742" i="13"/>
  <c r="O742" i="13" s="1"/>
  <c r="N749" i="13"/>
  <c r="O749" i="13" s="1"/>
  <c r="N753" i="13"/>
  <c r="O753" i="13" s="1"/>
  <c r="N763" i="13"/>
  <c r="O763" i="13" s="1"/>
  <c r="N782" i="13"/>
  <c r="O782" i="13" s="1"/>
  <c r="N825" i="13"/>
  <c r="O825" i="13" s="1"/>
  <c r="N826" i="13"/>
  <c r="O826" i="13" s="1"/>
  <c r="N836" i="13"/>
  <c r="O836" i="13" s="1"/>
  <c r="N845" i="13"/>
  <c r="O845" i="13" s="1"/>
  <c r="N843" i="13"/>
  <c r="N849" i="13"/>
  <c r="O849" i="13" s="1"/>
  <c r="N863" i="13"/>
  <c r="O863" i="13" s="1"/>
  <c r="N866" i="13"/>
  <c r="O866" i="13" s="1"/>
  <c r="N891" i="13"/>
  <c r="O891" i="13" s="1"/>
  <c r="N898" i="13"/>
  <c r="O898" i="13" s="1"/>
  <c r="N919" i="13"/>
  <c r="O919" i="13" s="1"/>
  <c r="N939" i="13"/>
  <c r="N943" i="13"/>
  <c r="O943" i="13" s="1"/>
  <c r="N960" i="13"/>
  <c r="O960" i="13" s="1"/>
  <c r="N961" i="13"/>
  <c r="O961" i="13" s="1"/>
  <c r="N973" i="13"/>
  <c r="O973" i="13" s="1"/>
  <c r="N1003" i="13"/>
  <c r="O1003" i="13" s="1"/>
  <c r="N1004" i="13"/>
  <c r="O1004" i="13" s="1"/>
  <c r="N1007" i="13"/>
  <c r="O1007" i="13" s="1"/>
  <c r="N1008" i="13"/>
  <c r="O1008" i="13" s="1"/>
  <c r="N1029" i="13"/>
  <c r="O1029" i="13" s="1"/>
  <c r="N1044" i="13"/>
  <c r="O1044" i="13" s="1"/>
  <c r="N1075" i="13"/>
  <c r="O1075" i="13" s="1"/>
  <c r="N1077" i="13"/>
  <c r="O1077" i="13" s="1"/>
  <c r="N1079" i="13"/>
  <c r="O1079" i="13" s="1"/>
  <c r="N1105" i="13"/>
  <c r="O1105" i="13" s="1"/>
  <c r="N1129" i="13"/>
  <c r="O1129" i="13" s="1"/>
  <c r="N1160" i="13"/>
  <c r="B1160" i="13" s="1"/>
  <c r="N1161" i="13"/>
  <c r="N1165" i="13"/>
  <c r="O1165" i="13" s="1"/>
  <c r="N1168" i="13"/>
  <c r="O1168" i="13" s="1"/>
  <c r="N1173" i="13"/>
  <c r="O1173" i="13" s="1"/>
  <c r="N1181" i="13"/>
  <c r="O1181" i="13" s="1"/>
  <c r="N1182" i="13"/>
  <c r="O1182" i="13" s="1"/>
  <c r="N1188" i="13"/>
  <c r="O1188" i="13" s="1"/>
  <c r="N1194" i="13"/>
  <c r="O1194" i="13" s="1"/>
  <c r="N1199" i="13"/>
  <c r="O1199" i="13" s="1"/>
  <c r="N1200" i="13"/>
  <c r="O1200" i="13" s="1"/>
  <c r="N1210" i="13"/>
  <c r="N1214" i="13"/>
  <c r="O1214" i="13" s="1"/>
  <c r="N1236" i="13"/>
  <c r="O1236" i="13" s="1"/>
  <c r="N1238" i="13"/>
  <c r="O1238" i="13" s="1"/>
  <c r="N1243" i="13"/>
  <c r="N1239" i="13"/>
  <c r="O1239" i="13" s="1"/>
  <c r="N1262" i="13"/>
  <c r="O1262" i="13" s="1"/>
  <c r="N1270" i="13"/>
  <c r="O1270" i="13" s="1"/>
  <c r="N1285" i="13"/>
  <c r="O1285" i="13" s="1"/>
  <c r="N1320" i="13"/>
  <c r="O1320" i="13" s="1"/>
  <c r="N1326" i="13"/>
  <c r="O1326" i="13" s="1"/>
  <c r="N1334" i="13"/>
  <c r="O1334" i="13" s="1"/>
  <c r="N1349" i="13"/>
  <c r="O1349" i="13" s="1"/>
  <c r="N1351" i="13"/>
  <c r="O1351" i="13" s="1"/>
  <c r="N1352" i="13"/>
  <c r="O1352" i="13" s="1"/>
  <c r="N1353" i="13"/>
  <c r="O1353" i="13" s="1"/>
  <c r="N1365" i="13"/>
  <c r="O1365" i="13" s="1"/>
  <c r="N1390" i="13"/>
  <c r="O1390" i="13" s="1"/>
  <c r="N1391" i="13"/>
  <c r="O1391" i="13" s="1"/>
  <c r="N1394" i="13"/>
  <c r="O1394" i="13" s="1"/>
  <c r="N1402" i="13"/>
  <c r="O1402" i="13" s="1"/>
  <c r="N1403" i="13"/>
  <c r="O1403" i="13" s="1"/>
  <c r="N1422" i="13"/>
  <c r="O1422" i="13" s="1"/>
  <c r="N1424" i="13"/>
  <c r="O1424" i="13" s="1"/>
  <c r="N1436" i="13"/>
  <c r="O1436" i="13" s="1"/>
  <c r="N1437" i="13"/>
  <c r="O1437" i="13" s="1"/>
  <c r="N1438" i="13"/>
  <c r="O1438" i="13" s="1"/>
  <c r="N1456" i="13"/>
  <c r="O1456" i="13" s="1"/>
  <c r="N33" i="13"/>
  <c r="O33" i="13" s="1"/>
  <c r="N41" i="13"/>
  <c r="N51" i="13"/>
  <c r="O51" i="13" s="1"/>
  <c r="N97" i="13"/>
  <c r="O97" i="13" s="1"/>
  <c r="N106" i="13"/>
  <c r="O106" i="13" s="1"/>
  <c r="N141" i="13"/>
  <c r="O141" i="13" s="1"/>
  <c r="N166" i="13"/>
  <c r="O166" i="13" s="1"/>
  <c r="N169" i="13"/>
  <c r="O169" i="13" s="1"/>
  <c r="N185" i="13"/>
  <c r="O185" i="13" s="1"/>
  <c r="N207" i="13"/>
  <c r="O207" i="13" s="1"/>
  <c r="N206" i="13"/>
  <c r="N217" i="13"/>
  <c r="O217" i="13" s="1"/>
  <c r="N234" i="13"/>
  <c r="O234" i="13" s="1"/>
  <c r="N245" i="13"/>
  <c r="O245" i="13" s="1"/>
  <c r="N260" i="13"/>
  <c r="O260" i="13" s="1"/>
  <c r="N291" i="13"/>
  <c r="O291" i="13" s="1"/>
  <c r="N294" i="13"/>
  <c r="O294" i="13" s="1"/>
  <c r="N309" i="13"/>
  <c r="O309" i="13" s="1"/>
  <c r="N335" i="13"/>
  <c r="N340" i="13"/>
  <c r="O340" i="13" s="1"/>
  <c r="N354" i="13"/>
  <c r="O354" i="13" s="1"/>
  <c r="N369" i="13"/>
  <c r="O369" i="13" s="1"/>
  <c r="N401" i="13"/>
  <c r="O401" i="13" s="1"/>
  <c r="N407" i="13"/>
  <c r="O407" i="13" s="1"/>
  <c r="N410" i="13"/>
  <c r="O410" i="13" s="1"/>
  <c r="N411" i="13"/>
  <c r="O411" i="13" s="1"/>
  <c r="N423" i="13"/>
  <c r="O423" i="13" s="1"/>
  <c r="N433" i="13"/>
  <c r="O433" i="13" s="1"/>
  <c r="N445" i="13"/>
  <c r="O445" i="13" s="1"/>
  <c r="N447" i="13"/>
  <c r="O447" i="13" s="1"/>
  <c r="N456" i="13"/>
  <c r="O456" i="13" s="1"/>
  <c r="N466" i="13"/>
  <c r="O466" i="13" s="1"/>
  <c r="N480" i="13"/>
  <c r="O480" i="13" s="1"/>
  <c r="N483" i="13"/>
  <c r="O483" i="13" s="1"/>
  <c r="N486" i="13"/>
  <c r="O486" i="13" s="1"/>
  <c r="N488" i="13"/>
  <c r="O488" i="13" s="1"/>
  <c r="N493" i="13"/>
  <c r="O493" i="13" s="1"/>
  <c r="N496" i="13"/>
  <c r="B496" i="13" s="1"/>
  <c r="N505" i="13"/>
  <c r="N515" i="13"/>
  <c r="O515" i="13" s="1"/>
  <c r="N575" i="13"/>
  <c r="O575" i="13" s="1"/>
  <c r="N582" i="13"/>
  <c r="O582" i="13" s="1"/>
  <c r="N621" i="13"/>
  <c r="N647" i="13"/>
  <c r="O647" i="13" s="1"/>
  <c r="N654" i="13"/>
  <c r="O654" i="13" s="1"/>
  <c r="N692" i="13"/>
  <c r="O692" i="13" s="1"/>
  <c r="N703" i="13"/>
  <c r="O703" i="13" s="1"/>
  <c r="N723" i="13"/>
  <c r="O723" i="13" s="1"/>
  <c r="N747" i="13"/>
  <c r="O747" i="13" s="1"/>
  <c r="N752" i="13"/>
  <c r="O752" i="13" s="1"/>
  <c r="N754" i="13"/>
  <c r="O754" i="13" s="1"/>
  <c r="N779" i="13"/>
  <c r="O779" i="13" s="1"/>
  <c r="N780" i="13"/>
  <c r="O780" i="13" s="1"/>
  <c r="N851" i="13"/>
  <c r="N855" i="13"/>
  <c r="O855" i="13" s="1"/>
  <c r="N860" i="13"/>
  <c r="O860" i="13" s="1"/>
  <c r="N865" i="13"/>
  <c r="O865" i="13" s="1"/>
  <c r="N869" i="13"/>
  <c r="O869" i="13" s="1"/>
  <c r="N873" i="13"/>
  <c r="O873" i="13" s="1"/>
  <c r="N910" i="13"/>
  <c r="O910" i="13" s="1"/>
  <c r="N924" i="13"/>
  <c r="O924" i="13" s="1"/>
  <c r="N945" i="13"/>
  <c r="O945" i="13" s="1"/>
  <c r="N950" i="13"/>
  <c r="O950" i="13" s="1"/>
  <c r="N954" i="13"/>
  <c r="N958" i="13"/>
  <c r="N965" i="13"/>
  <c r="O965" i="13" s="1"/>
  <c r="N977" i="13"/>
  <c r="O977" i="13" s="1"/>
  <c r="N983" i="13"/>
  <c r="O983" i="13" s="1"/>
  <c r="N984" i="13"/>
  <c r="O984" i="13" s="1"/>
  <c r="N1000" i="13"/>
  <c r="O1000" i="13" s="1"/>
  <c r="N1020" i="13"/>
  <c r="O1020" i="13" s="1"/>
  <c r="N1025" i="13"/>
  <c r="O1025" i="13" s="1"/>
  <c r="N1035" i="13"/>
  <c r="O1035" i="13" s="1"/>
  <c r="N1037" i="13"/>
  <c r="O1037" i="13" s="1"/>
  <c r="N1050" i="13"/>
  <c r="O1050" i="13" s="1"/>
  <c r="N1057" i="13"/>
  <c r="O1057" i="13" s="1"/>
  <c r="N1065" i="13"/>
  <c r="O1065" i="13" s="1"/>
  <c r="N1066" i="13"/>
  <c r="O1066" i="13" s="1"/>
  <c r="N1093" i="13"/>
  <c r="O1093" i="13" s="1"/>
  <c r="N1095" i="13"/>
  <c r="O1095" i="13" s="1"/>
  <c r="N1137" i="13"/>
  <c r="O1137" i="13" s="1"/>
  <c r="N1142" i="13"/>
  <c r="O1142" i="13" s="1"/>
  <c r="N1175" i="13"/>
  <c r="O1175" i="13" s="1"/>
  <c r="N1211" i="13"/>
  <c r="N1215" i="13"/>
  <c r="O1215" i="13" s="1"/>
  <c r="N1220" i="13"/>
  <c r="O1220" i="13" s="1"/>
  <c r="N1248" i="13"/>
  <c r="O1248" i="13" s="1"/>
  <c r="N1252" i="13"/>
  <c r="O1252" i="13" s="1"/>
  <c r="N1284" i="13"/>
  <c r="O1284" i="13" s="1"/>
  <c r="N1321" i="13"/>
  <c r="O1321" i="13" s="1"/>
  <c r="N1368" i="13"/>
  <c r="O1368" i="13" s="1"/>
  <c r="N1387" i="13"/>
  <c r="O1387" i="13" s="1"/>
  <c r="N1393" i="13"/>
  <c r="O1393" i="13" s="1"/>
  <c r="N1399" i="13"/>
  <c r="O1399" i="13" s="1"/>
  <c r="N1405" i="13"/>
  <c r="O1405" i="13" s="1"/>
  <c r="N1419" i="13"/>
  <c r="O1419" i="13" s="1"/>
  <c r="N1429" i="13"/>
  <c r="O1429" i="13" s="1"/>
  <c r="N3" i="13"/>
  <c r="O3" i="13" s="1"/>
  <c r="N6" i="13"/>
  <c r="O6" i="13" s="1"/>
  <c r="N21" i="13"/>
  <c r="O21" i="13" s="1"/>
  <c r="N60" i="13"/>
  <c r="O60" i="13" s="1"/>
  <c r="N85" i="13"/>
  <c r="O85" i="13" s="1"/>
  <c r="N101" i="13"/>
  <c r="O101" i="13" s="1"/>
  <c r="N107" i="13"/>
  <c r="O107" i="13" s="1"/>
  <c r="N126" i="13"/>
  <c r="O126" i="13" s="1"/>
  <c r="N128" i="13"/>
  <c r="O128" i="13" s="1"/>
  <c r="N130" i="13"/>
  <c r="O130" i="13" s="1"/>
  <c r="N137" i="13"/>
  <c r="O137" i="13" s="1"/>
  <c r="N138" i="13"/>
  <c r="O138" i="13" s="1"/>
  <c r="N148" i="13"/>
  <c r="O148" i="13" s="1"/>
  <c r="N162" i="13"/>
  <c r="O162" i="13" s="1"/>
  <c r="N202" i="13"/>
  <c r="O202" i="13" s="1"/>
  <c r="N210" i="13"/>
  <c r="O210" i="13" s="1"/>
  <c r="N236" i="13"/>
  <c r="O236" i="13" s="1"/>
  <c r="N237" i="13"/>
  <c r="O237" i="13" s="1"/>
  <c r="N241" i="13"/>
  <c r="O241" i="13" s="1"/>
  <c r="N246" i="13"/>
  <c r="O246" i="13" s="1"/>
  <c r="N256" i="13"/>
  <c r="O256" i="13" s="1"/>
  <c r="N257" i="13"/>
  <c r="O257" i="13" s="1"/>
  <c r="N259" i="13"/>
  <c r="N266" i="13"/>
  <c r="O266" i="13" s="1"/>
  <c r="N268" i="13"/>
  <c r="O268" i="13" s="1"/>
  <c r="N285" i="13"/>
  <c r="O285" i="13" s="1"/>
  <c r="N307" i="13"/>
  <c r="O307" i="13" s="1"/>
  <c r="N316" i="13"/>
  <c r="O316" i="13" s="1"/>
  <c r="N333" i="13"/>
  <c r="O333" i="13" s="1"/>
  <c r="N336" i="13"/>
  <c r="N339" i="13"/>
  <c r="O339" i="13" s="1"/>
  <c r="N345" i="13"/>
  <c r="O345" i="13" s="1"/>
  <c r="N348" i="13"/>
  <c r="O348" i="13" s="1"/>
  <c r="N351" i="13"/>
  <c r="O351" i="13" s="1"/>
  <c r="N383" i="13"/>
  <c r="O383" i="13" s="1"/>
  <c r="N385" i="13"/>
  <c r="O385" i="13" s="1"/>
  <c r="N450" i="13"/>
  <c r="O450" i="13" s="1"/>
  <c r="N462" i="13"/>
  <c r="O462" i="13" s="1"/>
  <c r="N471" i="13"/>
  <c r="O471" i="13" s="1"/>
  <c r="N479" i="13"/>
  <c r="O479" i="13" s="1"/>
  <c r="N489" i="13"/>
  <c r="O489" i="13" s="1"/>
  <c r="N499" i="13"/>
  <c r="O499" i="13" s="1"/>
  <c r="N525" i="13"/>
  <c r="O525" i="13" s="1"/>
  <c r="N537" i="13"/>
  <c r="O537" i="13" s="1"/>
  <c r="N543" i="13"/>
  <c r="O543" i="13" s="1"/>
  <c r="N549" i="13"/>
  <c r="O549" i="13" s="1"/>
  <c r="N561" i="13"/>
  <c r="O561" i="13" s="1"/>
  <c r="N567" i="13"/>
  <c r="O567" i="13" s="1"/>
  <c r="N568" i="13"/>
  <c r="O568" i="13" s="1"/>
  <c r="N580" i="13"/>
  <c r="O580" i="13" s="1"/>
  <c r="N595" i="13"/>
  <c r="O595" i="13" s="1"/>
  <c r="N596" i="13"/>
  <c r="O596" i="13" s="1"/>
  <c r="N610" i="13"/>
  <c r="O610" i="13" s="1"/>
  <c r="N617" i="13"/>
  <c r="O617" i="13" s="1"/>
  <c r="N626" i="13"/>
  <c r="O626" i="13" s="1"/>
  <c r="N633" i="13"/>
  <c r="O633" i="13" s="1"/>
  <c r="N640" i="13"/>
  <c r="O640" i="13" s="1"/>
  <c r="N649" i="13"/>
  <c r="O649" i="13" s="1"/>
  <c r="N658" i="13"/>
  <c r="N672" i="13"/>
  <c r="O672" i="13" s="1"/>
  <c r="N712" i="13"/>
  <c r="N718" i="13"/>
  <c r="O718" i="13" s="1"/>
  <c r="N722" i="13"/>
  <c r="N728" i="13"/>
  <c r="O728" i="13" s="1"/>
  <c r="N764" i="13"/>
  <c r="O764" i="13" s="1"/>
  <c r="N789" i="13"/>
  <c r="O789" i="13" s="1"/>
  <c r="N803" i="13"/>
  <c r="O803" i="13" s="1"/>
  <c r="N810" i="13"/>
  <c r="O810" i="13" s="1"/>
  <c r="N833" i="13"/>
  <c r="O833" i="13" s="1"/>
  <c r="N847" i="13"/>
  <c r="O847" i="13" s="1"/>
  <c r="N870" i="13"/>
  <c r="O870" i="13" s="1"/>
  <c r="N872" i="13"/>
  <c r="B872" i="13" s="1"/>
  <c r="N883" i="13"/>
  <c r="O883" i="13" s="1"/>
  <c r="N895" i="13"/>
  <c r="N896" i="13"/>
  <c r="O896" i="13" s="1"/>
  <c r="N916" i="13"/>
  <c r="O916" i="13" s="1"/>
  <c r="N932" i="13"/>
  <c r="O932" i="13" s="1"/>
  <c r="N937" i="13"/>
  <c r="O937" i="13" s="1"/>
  <c r="N941" i="13"/>
  <c r="O941" i="13" s="1"/>
  <c r="N951" i="13"/>
  <c r="O951" i="13" s="1"/>
  <c r="N974" i="13"/>
  <c r="O974" i="13" s="1"/>
  <c r="N1013" i="13"/>
  <c r="O1013" i="13" s="1"/>
  <c r="N1017" i="13"/>
  <c r="O1017" i="13" s="1"/>
  <c r="N1027" i="13"/>
  <c r="O1027" i="13" s="1"/>
  <c r="N1043" i="13"/>
  <c r="O1043" i="13" s="1"/>
  <c r="N1045" i="13"/>
  <c r="O1045" i="13" s="1"/>
  <c r="N1048" i="13"/>
  <c r="O1048" i="13" s="1"/>
  <c r="N1070" i="13"/>
  <c r="O1070" i="13" s="1"/>
  <c r="N1087" i="13"/>
  <c r="O1087" i="13" s="1"/>
  <c r="N1111" i="13"/>
  <c r="O1111" i="13" s="1"/>
  <c r="N1130" i="13"/>
  <c r="O1130" i="13" s="1"/>
  <c r="N1139" i="13"/>
  <c r="O1139" i="13" s="1"/>
  <c r="N1144" i="13"/>
  <c r="O1144" i="13" s="1"/>
  <c r="N1163" i="13"/>
  <c r="O1163" i="13" s="1"/>
  <c r="N1170" i="13"/>
  <c r="O1170" i="13" s="1"/>
  <c r="N1185" i="13"/>
  <c r="O1185" i="13" s="1"/>
  <c r="N1191" i="13"/>
  <c r="O1191" i="13" s="1"/>
  <c r="N1202" i="13"/>
  <c r="O1202" i="13" s="1"/>
  <c r="N1234" i="13"/>
  <c r="O1234" i="13" s="1"/>
  <c r="N1291" i="13"/>
  <c r="O1291" i="13" s="1"/>
  <c r="N1293" i="13"/>
  <c r="O1293" i="13" s="1"/>
  <c r="N1305" i="13"/>
  <c r="O1305" i="13" s="1"/>
  <c r="N1316" i="13"/>
  <c r="O1316" i="13" s="1"/>
  <c r="N1328" i="13"/>
  <c r="B1328" i="13" s="1"/>
  <c r="N1333" i="13"/>
  <c r="O1333" i="13" s="1"/>
  <c r="N1359" i="13"/>
  <c r="O1359" i="13" s="1"/>
  <c r="N1398" i="13"/>
  <c r="O1398" i="13" s="1"/>
  <c r="N1404" i="13"/>
  <c r="O1404" i="13" s="1"/>
  <c r="N8" i="13"/>
  <c r="O8" i="13" s="1"/>
  <c r="N16" i="13"/>
  <c r="O16" i="13" s="1"/>
  <c r="N23" i="13"/>
  <c r="O23" i="13" s="1"/>
  <c r="N34" i="13"/>
  <c r="O34" i="13" s="1"/>
  <c r="N35" i="13"/>
  <c r="O35" i="13" s="1"/>
  <c r="N42" i="13"/>
  <c r="N58" i="13"/>
  <c r="O58" i="13" s="1"/>
  <c r="N67" i="13"/>
  <c r="O67" i="13" s="1"/>
  <c r="N73" i="13"/>
  <c r="O73" i="13" s="1"/>
  <c r="N78" i="13"/>
  <c r="O78" i="13" s="1"/>
  <c r="N79" i="13"/>
  <c r="O79" i="13" s="1"/>
  <c r="N118" i="13"/>
  <c r="N123" i="13"/>
  <c r="N125" i="13"/>
  <c r="O125" i="13" s="1"/>
  <c r="N129" i="13"/>
  <c r="O129" i="13" s="1"/>
  <c r="N133" i="13"/>
  <c r="N140" i="13"/>
  <c r="O140" i="13" s="1"/>
  <c r="N155" i="13"/>
  <c r="O155" i="13" s="1"/>
  <c r="N171" i="13"/>
  <c r="N190" i="13"/>
  <c r="O190" i="13" s="1"/>
  <c r="N198" i="13"/>
  <c r="O198" i="13" s="1"/>
  <c r="N211" i="13"/>
  <c r="O211" i="13" s="1"/>
  <c r="N215" i="13"/>
  <c r="O215" i="13" s="1"/>
  <c r="N223" i="13"/>
  <c r="O223" i="13" s="1"/>
  <c r="N232" i="13"/>
  <c r="O232" i="13" s="1"/>
  <c r="N249" i="13"/>
  <c r="N251" i="13"/>
  <c r="O251" i="13" s="1"/>
  <c r="N289" i="13"/>
  <c r="O289" i="13" s="1"/>
  <c r="N308" i="13"/>
  <c r="O308" i="13" s="1"/>
  <c r="N338" i="13"/>
  <c r="N342" i="13"/>
  <c r="O342" i="13" s="1"/>
  <c r="N344" i="13"/>
  <c r="O344" i="13" s="1"/>
  <c r="N346" i="13"/>
  <c r="O346" i="13" s="1"/>
  <c r="N358" i="13"/>
  <c r="N372" i="13"/>
  <c r="O372" i="13" s="1"/>
  <c r="N375" i="13"/>
  <c r="O375" i="13" s="1"/>
  <c r="N378" i="13"/>
  <c r="O378" i="13" s="1"/>
  <c r="N396" i="13"/>
  <c r="O396" i="13" s="1"/>
  <c r="N397" i="13"/>
  <c r="O397" i="13" s="1"/>
  <c r="N399" i="13"/>
  <c r="O399" i="13" s="1"/>
  <c r="N416" i="13"/>
  <c r="O416" i="13" s="1"/>
  <c r="N417" i="13"/>
  <c r="O417" i="13" s="1"/>
  <c r="N420" i="13"/>
  <c r="N426" i="13"/>
  <c r="N434" i="13"/>
  <c r="O434" i="13" s="1"/>
  <c r="N438" i="13"/>
  <c r="O438" i="13" s="1"/>
  <c r="N440" i="13"/>
  <c r="O440" i="13" s="1"/>
  <c r="N478" i="13"/>
  <c r="O478" i="13" s="1"/>
  <c r="N490" i="13"/>
  <c r="O490" i="13" s="1"/>
  <c r="N517" i="13"/>
  <c r="N520" i="13"/>
  <c r="N530" i="13"/>
  <c r="O530" i="13" s="1"/>
  <c r="N533" i="13"/>
  <c r="O533" i="13" s="1"/>
  <c r="N536" i="13"/>
  <c r="O536" i="13" s="1"/>
  <c r="N542" i="13"/>
  <c r="O542" i="13" s="1"/>
  <c r="N558" i="13"/>
  <c r="O558" i="13" s="1"/>
  <c r="N569" i="13"/>
  <c r="O569" i="13" s="1"/>
  <c r="N594" i="13"/>
  <c r="O594" i="13" s="1"/>
  <c r="N601" i="13"/>
  <c r="O601" i="13" s="1"/>
  <c r="N614" i="13"/>
  <c r="O614" i="13" s="1"/>
  <c r="N687" i="13"/>
  <c r="N689" i="13"/>
  <c r="O689" i="13" s="1"/>
  <c r="N695" i="13"/>
  <c r="O695" i="13" s="1"/>
  <c r="N699" i="13"/>
  <c r="O699" i="13" s="1"/>
  <c r="N707" i="13"/>
  <c r="O707" i="13" s="1"/>
  <c r="N709" i="13"/>
  <c r="O709" i="13" s="1"/>
  <c r="N710" i="13"/>
  <c r="O710" i="13" s="1"/>
  <c r="N724" i="13"/>
  <c r="O724" i="13" s="1"/>
  <c r="N756" i="13"/>
  <c r="O756" i="13" s="1"/>
  <c r="N757" i="13"/>
  <c r="O757" i="13" s="1"/>
  <c r="N766" i="13"/>
  <c r="O766" i="13" s="1"/>
  <c r="N784" i="13"/>
  <c r="O784" i="13" s="1"/>
  <c r="N796" i="13"/>
  <c r="O796" i="13" s="1"/>
  <c r="N802" i="13"/>
  <c r="O802" i="13" s="1"/>
  <c r="N804" i="13"/>
  <c r="O804" i="13" s="1"/>
  <c r="N807" i="13"/>
  <c r="O807" i="13" s="1"/>
  <c r="N808" i="13"/>
  <c r="O808" i="13" s="1"/>
  <c r="N834" i="13"/>
  <c r="O834" i="13" s="1"/>
  <c r="N854" i="13"/>
  <c r="O854" i="13" s="1"/>
  <c r="N868" i="13"/>
  <c r="O868" i="13" s="1"/>
  <c r="N884" i="13"/>
  <c r="O884" i="13" s="1"/>
  <c r="N892" i="13"/>
  <c r="O892" i="13" s="1"/>
  <c r="N893" i="13"/>
  <c r="O893" i="13" s="1"/>
  <c r="N903" i="13"/>
  <c r="O903" i="13" s="1"/>
  <c r="N904" i="13"/>
  <c r="O904" i="13" s="1"/>
  <c r="N907" i="13"/>
  <c r="O907" i="13" s="1"/>
  <c r="N908" i="13"/>
  <c r="O908" i="13" s="1"/>
  <c r="N915" i="13"/>
  <c r="O915" i="13" s="1"/>
  <c r="N922" i="13"/>
  <c r="O922" i="13" s="1"/>
  <c r="N925" i="13"/>
  <c r="O925" i="13" s="1"/>
  <c r="N926" i="13"/>
  <c r="O926" i="13" s="1"/>
  <c r="N933" i="13"/>
  <c r="O933" i="13" s="1"/>
  <c r="N944" i="13"/>
  <c r="O944" i="13" s="1"/>
  <c r="N949" i="13"/>
  <c r="O949" i="13" s="1"/>
  <c r="N955" i="13"/>
  <c r="N963" i="13"/>
  <c r="O963" i="13" s="1"/>
  <c r="N967" i="13"/>
  <c r="N980" i="13"/>
  <c r="O980" i="13" s="1"/>
  <c r="N1011" i="13"/>
  <c r="O1011" i="13" s="1"/>
  <c r="N1022" i="13"/>
  <c r="O1022" i="13" s="1"/>
  <c r="N1038" i="13"/>
  <c r="O1038" i="13" s="1"/>
  <c r="N1046" i="13"/>
  <c r="O1046" i="13" s="1"/>
  <c r="N1060" i="13"/>
  <c r="O1060" i="13" s="1"/>
  <c r="N1063" i="13"/>
  <c r="O1063" i="13" s="1"/>
  <c r="N1071" i="13"/>
  <c r="O1071" i="13" s="1"/>
  <c r="N1073" i="13"/>
  <c r="O1073" i="13" s="1"/>
  <c r="N1106" i="13"/>
  <c r="O1106" i="13" s="1"/>
  <c r="N1116" i="13"/>
  <c r="O1116" i="13" s="1"/>
  <c r="N1136" i="13"/>
  <c r="O1136" i="13" s="1"/>
  <c r="N1138" i="13"/>
  <c r="O1138" i="13" s="1"/>
  <c r="N1186" i="13"/>
  <c r="O1186" i="13" s="1"/>
  <c r="N1198" i="13"/>
  <c r="N1204" i="13"/>
  <c r="O1204" i="13" s="1"/>
  <c r="N1230" i="13"/>
  <c r="O1230" i="13" s="1"/>
  <c r="N1240" i="13"/>
  <c r="O1240" i="13" s="1"/>
  <c r="N1244" i="13"/>
  <c r="B1244" i="13" s="1"/>
  <c r="N1276" i="13"/>
  <c r="O1276" i="13" s="1"/>
  <c r="N1295" i="13"/>
  <c r="O1295" i="13" s="1"/>
  <c r="N1332" i="13"/>
  <c r="O1332" i="13" s="1"/>
  <c r="N1335" i="13"/>
  <c r="O1335" i="13" s="1"/>
  <c r="N1336" i="13"/>
  <c r="O1336" i="13" s="1"/>
  <c r="N1341" i="13"/>
  <c r="O1341" i="13" s="1"/>
  <c r="N1345" i="13"/>
  <c r="O1345" i="13" s="1"/>
  <c r="N1346" i="13"/>
  <c r="O1346" i="13" s="1"/>
  <c r="N1372" i="13"/>
  <c r="O1372" i="13" s="1"/>
  <c r="N1381" i="13"/>
  <c r="O1381" i="13" s="1"/>
  <c r="N1384" i="13"/>
  <c r="O1384" i="13" s="1"/>
  <c r="N1441" i="13"/>
  <c r="O1441" i="13" s="1"/>
  <c r="N1449" i="13"/>
  <c r="O1449" i="13" s="1"/>
  <c r="N14" i="13"/>
  <c r="O14" i="13" s="1"/>
  <c r="N17" i="13"/>
  <c r="O17" i="13" s="1"/>
  <c r="N32" i="13"/>
  <c r="O32" i="13" s="1"/>
  <c r="N46" i="13"/>
  <c r="O46" i="13" s="1"/>
  <c r="N45" i="13"/>
  <c r="N55" i="13"/>
  <c r="O55" i="13" s="1"/>
  <c r="N56" i="13"/>
  <c r="O56" i="13" s="1"/>
  <c r="N57" i="13"/>
  <c r="O57" i="13" s="1"/>
  <c r="N61" i="13"/>
  <c r="O61" i="13" s="1"/>
  <c r="N63" i="13"/>
  <c r="O63" i="13" s="1"/>
  <c r="N64" i="13"/>
  <c r="O64" i="13" s="1"/>
  <c r="N69" i="13"/>
  <c r="O69" i="13" s="1"/>
  <c r="N72" i="13"/>
  <c r="O72" i="13" s="1"/>
  <c r="N75" i="13"/>
  <c r="O75" i="13" s="1"/>
  <c r="N76" i="13"/>
  <c r="O76" i="13" s="1"/>
  <c r="N84" i="13"/>
  <c r="O84" i="13" s="1"/>
  <c r="N93" i="13"/>
  <c r="O93" i="13" s="1"/>
  <c r="N110" i="13"/>
  <c r="O110" i="13" s="1"/>
  <c r="N113" i="13"/>
  <c r="O113" i="13" s="1"/>
  <c r="N114" i="13"/>
  <c r="O114" i="13" s="1"/>
  <c r="N120" i="13"/>
  <c r="N146" i="13"/>
  <c r="O146" i="13" s="1"/>
  <c r="N167" i="13"/>
  <c r="O167" i="13" s="1"/>
  <c r="N168" i="13"/>
  <c r="O168" i="13" s="1"/>
  <c r="N180" i="13"/>
  <c r="O180" i="13" s="1"/>
  <c r="N186" i="13"/>
  <c r="O186" i="13" s="1"/>
  <c r="N191" i="13"/>
  <c r="O191" i="13" s="1"/>
  <c r="N192" i="13"/>
  <c r="O192" i="13" s="1"/>
  <c r="N197" i="13"/>
  <c r="O197" i="13" s="1"/>
  <c r="N208" i="13"/>
  <c r="O208" i="13" s="1"/>
  <c r="N221" i="13"/>
  <c r="O221" i="13" s="1"/>
  <c r="N227" i="13"/>
  <c r="O227" i="13" s="1"/>
  <c r="N244" i="13"/>
  <c r="O244" i="13" s="1"/>
  <c r="N250" i="13"/>
  <c r="O250" i="13" s="1"/>
  <c r="N255" i="13"/>
  <c r="O255" i="13" s="1"/>
  <c r="N267" i="13"/>
  <c r="O267" i="13" s="1"/>
  <c r="N273" i="13"/>
  <c r="O273" i="13" s="1"/>
  <c r="N276" i="13"/>
  <c r="O276" i="13" s="1"/>
  <c r="N277" i="13"/>
  <c r="O277" i="13" s="1"/>
  <c r="N280" i="13"/>
  <c r="O280" i="13" s="1"/>
  <c r="N286" i="13"/>
  <c r="O286" i="13" s="1"/>
  <c r="N292" i="13"/>
  <c r="O292" i="13" s="1"/>
  <c r="N299" i="13"/>
  <c r="O299" i="13" s="1"/>
  <c r="N300" i="13"/>
  <c r="O300" i="13" s="1"/>
  <c r="N302" i="13"/>
  <c r="O302" i="13" s="1"/>
  <c r="N303" i="13"/>
  <c r="O303" i="13" s="1"/>
  <c r="N304" i="13"/>
  <c r="O304" i="13" s="1"/>
  <c r="N311" i="13"/>
  <c r="O311" i="13" s="1"/>
  <c r="N310" i="13"/>
  <c r="O310" i="13" s="1"/>
  <c r="N312" i="13"/>
  <c r="O312" i="13" s="1"/>
  <c r="N319" i="13"/>
  <c r="O319" i="13" s="1"/>
  <c r="N320" i="13"/>
  <c r="O320" i="13" s="1"/>
  <c r="N321" i="13"/>
  <c r="O321" i="13" s="1"/>
  <c r="N322" i="13"/>
  <c r="O322" i="13" s="1"/>
  <c r="N327" i="13"/>
  <c r="O327" i="13" s="1"/>
  <c r="N334" i="13"/>
  <c r="O334" i="13" s="1"/>
  <c r="N343" i="13"/>
  <c r="O343" i="13" s="1"/>
  <c r="N355" i="13"/>
  <c r="O355" i="13" s="1"/>
  <c r="N367" i="13"/>
  <c r="O367" i="13" s="1"/>
  <c r="N373" i="13"/>
  <c r="O373" i="13" s="1"/>
  <c r="N376" i="13"/>
  <c r="O376" i="13" s="1"/>
  <c r="N381" i="13"/>
  <c r="O381" i="13" s="1"/>
  <c r="N382" i="13"/>
  <c r="O382" i="13" s="1"/>
  <c r="N384" i="13"/>
  <c r="O384" i="13" s="1"/>
  <c r="N388" i="13"/>
  <c r="O388" i="13" s="1"/>
  <c r="N392" i="13"/>
  <c r="O392" i="13" s="1"/>
  <c r="N394" i="13"/>
  <c r="O394" i="13" s="1"/>
  <c r="N421" i="13"/>
  <c r="O421" i="13" s="1"/>
  <c r="N432" i="13"/>
  <c r="O432" i="13" s="1"/>
  <c r="N436" i="13"/>
  <c r="O436" i="13" s="1"/>
  <c r="N442" i="13"/>
  <c r="N448" i="13"/>
  <c r="O448" i="13" s="1"/>
  <c r="N455" i="13"/>
  <c r="O455" i="13" s="1"/>
  <c r="N458" i="13"/>
  <c r="O458" i="13" s="1"/>
  <c r="N460" i="13"/>
  <c r="O460" i="13" s="1"/>
  <c r="N461" i="13"/>
  <c r="O461" i="13" s="1"/>
  <c r="N465" i="13"/>
  <c r="O465" i="13" s="1"/>
  <c r="N482" i="13"/>
  <c r="O482" i="13" s="1"/>
  <c r="N491" i="13"/>
  <c r="O491" i="13" s="1"/>
  <c r="N500" i="13"/>
  <c r="O500" i="13" s="1"/>
  <c r="N540" i="13"/>
  <c r="O540" i="13" s="1"/>
  <c r="N545" i="13"/>
  <c r="O545" i="13" s="1"/>
  <c r="N547" i="13"/>
  <c r="O547" i="13" s="1"/>
  <c r="N551" i="13"/>
  <c r="O551" i="13" s="1"/>
  <c r="N553" i="13"/>
  <c r="O553" i="13" s="1"/>
  <c r="N555" i="13"/>
  <c r="O555" i="13" s="1"/>
  <c r="N563" i="13"/>
  <c r="O563" i="13" s="1"/>
  <c r="N564" i="13"/>
  <c r="O564" i="13" s="1"/>
  <c r="N565" i="13"/>
  <c r="O565" i="13" s="1"/>
  <c r="N572" i="13"/>
  <c r="O572" i="13" s="1"/>
  <c r="N586" i="13"/>
  <c r="O586" i="13" s="1"/>
  <c r="N587" i="13"/>
  <c r="O587" i="13" s="1"/>
  <c r="N588" i="13"/>
  <c r="O588" i="13" s="1"/>
  <c r="N599" i="13"/>
  <c r="O599" i="13" s="1"/>
  <c r="N600" i="13"/>
  <c r="O600" i="13" s="1"/>
  <c r="N602" i="13"/>
  <c r="O602" i="13" s="1"/>
  <c r="N612" i="13"/>
  <c r="O612" i="13" s="1"/>
  <c r="N623" i="13"/>
  <c r="O623" i="13" s="1"/>
  <c r="N625" i="13"/>
  <c r="O625" i="13" s="1"/>
  <c r="N632" i="13"/>
  <c r="O632" i="13" s="1"/>
  <c r="N634" i="13"/>
  <c r="O634" i="13" s="1"/>
  <c r="N636" i="13"/>
  <c r="O636" i="13" s="1"/>
  <c r="N638" i="13"/>
  <c r="O638" i="13" s="1"/>
  <c r="N644" i="13"/>
  <c r="N645" i="13"/>
  <c r="O645" i="13" s="1"/>
  <c r="N656" i="13"/>
  <c r="O656" i="13" s="1"/>
  <c r="N662" i="13"/>
  <c r="O662" i="13" s="1"/>
  <c r="N665" i="13"/>
  <c r="O665" i="13" s="1"/>
  <c r="N667" i="13"/>
  <c r="O667" i="13" s="1"/>
  <c r="N669" i="13"/>
  <c r="O669" i="13" s="1"/>
  <c r="N673" i="13"/>
  <c r="O673" i="13" s="1"/>
  <c r="N674" i="13"/>
  <c r="O674" i="13" s="1"/>
  <c r="N678" i="13"/>
  <c r="O678" i="13" s="1"/>
  <c r="N682" i="13"/>
  <c r="O682" i="13" s="1"/>
  <c r="N685" i="13"/>
  <c r="O685" i="13" s="1"/>
  <c r="N688" i="13"/>
  <c r="O688" i="13" s="1"/>
  <c r="N693" i="13"/>
  <c r="O693" i="13" s="1"/>
  <c r="N698" i="13"/>
  <c r="O698" i="13" s="1"/>
  <c r="N708" i="13"/>
  <c r="O708" i="13" s="1"/>
  <c r="N716" i="13"/>
  <c r="O716" i="13" s="1"/>
  <c r="N720" i="13"/>
  <c r="O720" i="13" s="1"/>
  <c r="N730" i="13"/>
  <c r="O730" i="13" s="1"/>
  <c r="N732" i="13"/>
  <c r="O732" i="13" s="1"/>
  <c r="N740" i="13"/>
  <c r="O740" i="13" s="1"/>
  <c r="N744" i="13"/>
  <c r="O744" i="13" s="1"/>
  <c r="N743" i="13"/>
  <c r="O743" i="13" s="1"/>
  <c r="N748" i="13"/>
  <c r="O748" i="13" s="1"/>
  <c r="N755" i="13"/>
  <c r="O755" i="13" s="1"/>
  <c r="N760" i="13"/>
  <c r="O760" i="13" s="1"/>
  <c r="N759" i="13"/>
  <c r="O759" i="13" s="1"/>
  <c r="N761" i="13"/>
  <c r="O761" i="13" s="1"/>
  <c r="N768" i="13"/>
  <c r="O768" i="13" s="1"/>
  <c r="N769" i="13"/>
  <c r="O769" i="13" s="1"/>
  <c r="N770" i="13"/>
  <c r="O770" i="13" s="1"/>
  <c r="N773" i="13"/>
  <c r="O773" i="13" s="1"/>
  <c r="N776" i="13"/>
  <c r="O776" i="13" s="1"/>
  <c r="N777" i="13"/>
  <c r="O777" i="13" s="1"/>
  <c r="N778" i="13"/>
  <c r="O778" i="13" s="1"/>
  <c r="N785" i="13"/>
  <c r="O785" i="13" s="1"/>
  <c r="N786" i="13"/>
  <c r="O786" i="13" s="1"/>
  <c r="N788" i="13"/>
  <c r="O788" i="13" s="1"/>
  <c r="N790" i="13"/>
  <c r="O790" i="13" s="1"/>
  <c r="N792" i="13"/>
  <c r="O792" i="13" s="1"/>
  <c r="N793" i="13"/>
  <c r="O793" i="13" s="1"/>
  <c r="N794" i="13"/>
  <c r="O794" i="13" s="1"/>
  <c r="N797" i="13"/>
  <c r="O797" i="13" s="1"/>
  <c r="N799" i="13"/>
  <c r="O799" i="13" s="1"/>
  <c r="N805" i="13"/>
  <c r="O805" i="13" s="1"/>
  <c r="N809" i="13"/>
  <c r="O809" i="13" s="1"/>
  <c r="N812" i="13"/>
  <c r="O812" i="13" s="1"/>
  <c r="N813" i="13"/>
  <c r="O813" i="13" s="1"/>
  <c r="N815" i="13"/>
  <c r="O815" i="13" s="1"/>
  <c r="N820" i="13"/>
  <c r="O820" i="13" s="1"/>
  <c r="N822" i="13"/>
  <c r="N831" i="13"/>
  <c r="O831" i="13" s="1"/>
  <c r="N841" i="13"/>
  <c r="O841" i="13" s="1"/>
  <c r="N844" i="13"/>
  <c r="N846" i="13"/>
  <c r="O846" i="13" s="1"/>
  <c r="N848" i="13"/>
  <c r="O848" i="13" s="1"/>
  <c r="N852" i="13"/>
  <c r="O852" i="13" s="1"/>
  <c r="N856" i="13"/>
  <c r="O856" i="13" s="1"/>
  <c r="N857" i="13"/>
  <c r="O857" i="13" s="1"/>
  <c r="N875" i="13"/>
  <c r="O875" i="13" s="1"/>
  <c r="N897" i="13"/>
  <c r="O897" i="13" s="1"/>
  <c r="N902" i="13"/>
  <c r="O902" i="13" s="1"/>
  <c r="N905" i="13"/>
  <c r="O905" i="13" s="1"/>
  <c r="N914" i="13"/>
  <c r="O914" i="13" s="1"/>
  <c r="N920" i="13"/>
  <c r="O920" i="13" s="1"/>
  <c r="N927" i="13"/>
  <c r="O927" i="13" s="1"/>
  <c r="N930" i="13"/>
  <c r="O930" i="13" s="1"/>
  <c r="N931" i="13"/>
  <c r="O931" i="13" s="1"/>
  <c r="N935" i="13"/>
  <c r="O935" i="13" s="1"/>
  <c r="N948" i="13"/>
  <c r="O948" i="13" s="1"/>
  <c r="N959" i="13"/>
  <c r="O959" i="13" s="1"/>
  <c r="N964" i="13"/>
  <c r="O964" i="13" s="1"/>
  <c r="N968" i="13"/>
  <c r="O968" i="13" s="1"/>
  <c r="N969" i="13"/>
  <c r="O969" i="13" s="1"/>
  <c r="N970" i="13"/>
  <c r="O970" i="13" s="1"/>
  <c r="N976" i="13"/>
  <c r="B976" i="13" s="1"/>
  <c r="N978" i="13"/>
  <c r="O978" i="13" s="1"/>
  <c r="N987" i="13"/>
  <c r="O987" i="13" s="1"/>
  <c r="N991" i="13"/>
  <c r="O991" i="13" s="1"/>
  <c r="N992" i="13"/>
  <c r="O992" i="13" s="1"/>
  <c r="N993" i="13"/>
  <c r="O993" i="13" s="1"/>
  <c r="N999" i="13"/>
  <c r="N1001" i="13"/>
  <c r="O1001" i="13" s="1"/>
  <c r="N1005" i="13"/>
  <c r="O1005" i="13" s="1"/>
  <c r="N1006" i="13"/>
  <c r="O1006" i="13" s="1"/>
  <c r="N1009" i="13"/>
  <c r="O1009" i="13" s="1"/>
  <c r="N1012" i="13"/>
  <c r="O1012" i="13" s="1"/>
  <c r="N1014" i="13"/>
  <c r="O1014" i="13" s="1"/>
  <c r="N1031" i="13"/>
  <c r="O1031" i="13" s="1"/>
  <c r="N1041" i="13"/>
  <c r="O1041" i="13" s="1"/>
  <c r="N1051" i="13"/>
  <c r="O1051" i="13" s="1"/>
  <c r="N1052" i="13"/>
  <c r="O1052" i="13" s="1"/>
  <c r="N1053" i="13"/>
  <c r="O1053" i="13" s="1"/>
  <c r="N1054" i="13"/>
  <c r="O1054" i="13" s="1"/>
  <c r="N1055" i="13"/>
  <c r="O1055" i="13" s="1"/>
  <c r="N1064" i="13"/>
  <c r="O1064" i="13" s="1"/>
  <c r="N1068" i="13"/>
  <c r="O1068" i="13" s="1"/>
  <c r="N1085" i="13"/>
  <c r="O1085" i="13" s="1"/>
  <c r="N1089" i="13"/>
  <c r="O1089" i="13" s="1"/>
  <c r="N1090" i="13"/>
  <c r="O1090" i="13" s="1"/>
  <c r="N1100" i="13"/>
  <c r="O1100" i="13" s="1"/>
  <c r="N1102" i="13"/>
  <c r="O1102" i="13" s="1"/>
  <c r="N1103" i="13"/>
  <c r="O1103" i="13" s="1"/>
  <c r="N1110" i="13"/>
  <c r="O1110" i="13" s="1"/>
  <c r="N1115" i="13"/>
  <c r="O1115" i="13" s="1"/>
  <c r="N1121" i="13"/>
  <c r="O1121" i="13" s="1"/>
  <c r="N1123" i="13"/>
  <c r="O1123" i="13" s="1"/>
  <c r="N1112" i="13"/>
  <c r="O1112" i="13" s="1"/>
  <c r="N1125" i="13"/>
  <c r="O1125" i="13" s="1"/>
  <c r="N1131" i="13"/>
  <c r="O1131" i="13" s="1"/>
  <c r="N1132" i="13"/>
  <c r="O1132" i="13" s="1"/>
  <c r="N1140" i="13"/>
  <c r="O1140" i="13" s="1"/>
  <c r="N1141" i="13"/>
  <c r="O1141" i="13" s="1"/>
  <c r="N1143" i="13"/>
  <c r="O1143" i="13" s="1"/>
  <c r="N1151" i="13"/>
  <c r="O1151" i="13" s="1"/>
  <c r="N1154" i="13"/>
  <c r="O1154" i="13" s="1"/>
  <c r="N1155" i="13"/>
  <c r="O1155" i="13" s="1"/>
  <c r="N1145" i="13"/>
  <c r="O1145" i="13" s="1"/>
  <c r="N1158" i="13"/>
  <c r="O1158" i="13" s="1"/>
  <c r="N1146" i="13"/>
  <c r="O1146" i="13" s="1"/>
  <c r="N1159" i="13"/>
  <c r="O1159" i="13" s="1"/>
  <c r="N1162" i="13"/>
  <c r="O1162" i="13" s="1"/>
  <c r="N1166" i="13"/>
  <c r="O1166" i="13" s="1"/>
  <c r="N1171" i="13"/>
  <c r="O1171" i="13" s="1"/>
  <c r="N1172" i="13"/>
  <c r="O1172" i="13" s="1"/>
  <c r="N1164" i="13"/>
  <c r="O1164" i="13" s="1"/>
  <c r="N1193" i="13"/>
  <c r="O1193" i="13" s="1"/>
  <c r="N1208" i="13"/>
  <c r="O1208" i="13" s="1"/>
  <c r="N1209" i="13"/>
  <c r="O1209" i="13" s="1"/>
  <c r="N1216" i="13"/>
  <c r="O1216" i="13" s="1"/>
  <c r="N1222" i="13"/>
  <c r="N1237" i="13"/>
  <c r="O1237" i="13" s="1"/>
  <c r="N1241" i="13"/>
  <c r="O1241" i="13" s="1"/>
  <c r="N1261" i="13"/>
  <c r="O1261" i="13" s="1"/>
  <c r="N1266" i="13"/>
  <c r="O1266" i="13" s="1"/>
  <c r="N1264" i="13"/>
  <c r="O1264" i="13" s="1"/>
  <c r="N1268" i="13"/>
  <c r="O1268" i="13" s="1"/>
  <c r="N1269" i="13"/>
  <c r="O1269" i="13" s="1"/>
  <c r="N1271" i="13"/>
  <c r="O1271" i="13" s="1"/>
  <c r="N1273" i="13"/>
  <c r="O1273" i="13" s="1"/>
  <c r="N1274" i="13"/>
  <c r="O1274" i="13" s="1"/>
  <c r="N1277" i="13"/>
  <c r="O1277" i="13" s="1"/>
  <c r="N1280" i="13"/>
  <c r="O1280" i="13" s="1"/>
  <c r="N1286" i="13"/>
  <c r="O1286" i="13" s="1"/>
  <c r="N1290" i="13"/>
  <c r="O1290" i="13" s="1"/>
  <c r="N1292" i="13"/>
  <c r="O1292" i="13" s="1"/>
  <c r="N1294" i="13"/>
  <c r="O1294" i="13" s="1"/>
  <c r="N1296" i="13"/>
  <c r="O1296" i="13" s="1"/>
  <c r="N1298" i="13"/>
  <c r="O1298" i="13" s="1"/>
  <c r="N1299" i="13"/>
  <c r="O1299" i="13" s="1"/>
  <c r="N1301" i="13"/>
  <c r="N1308" i="13"/>
  <c r="O1308" i="13" s="1"/>
  <c r="N1312" i="13"/>
  <c r="O1312" i="13" s="1"/>
  <c r="N1317" i="13"/>
  <c r="O1317" i="13" s="1"/>
  <c r="N1318" i="13"/>
  <c r="O1318" i="13" s="1"/>
  <c r="N1325" i="13"/>
  <c r="O1325" i="13" s="1"/>
  <c r="N1329" i="13"/>
  <c r="O1329" i="13" s="1"/>
  <c r="N1337" i="13"/>
  <c r="O1337" i="13" s="1"/>
  <c r="N1338" i="13"/>
  <c r="O1338" i="13" s="1"/>
  <c r="N1344" i="13"/>
  <c r="O1344" i="13" s="1"/>
  <c r="N1350" i="13"/>
  <c r="O1350" i="13" s="1"/>
  <c r="N1354" i="13"/>
  <c r="O1354" i="13" s="1"/>
  <c r="N1357" i="13"/>
  <c r="O1357" i="13" s="1"/>
  <c r="N1358" i="13"/>
  <c r="O1358" i="13" s="1"/>
  <c r="N1364" i="13"/>
  <c r="O1364" i="13" s="1"/>
  <c r="N1376" i="13"/>
  <c r="O1376" i="13" s="1"/>
  <c r="N1380" i="13"/>
  <c r="O1380" i="13" s="1"/>
  <c r="N1382" i="13"/>
  <c r="O1382" i="13" s="1"/>
  <c r="N1392" i="13"/>
  <c r="O1392" i="13" s="1"/>
  <c r="N1397" i="13"/>
  <c r="N1408" i="13"/>
  <c r="O1408" i="13" s="1"/>
  <c r="N1410" i="13"/>
  <c r="O1410" i="13" s="1"/>
  <c r="N1417" i="13"/>
  <c r="O1417" i="13" s="1"/>
  <c r="N1421" i="13"/>
  <c r="O1421" i="13" s="1"/>
  <c r="N1430" i="13"/>
  <c r="O1430" i="13" s="1"/>
  <c r="N1432" i="13"/>
  <c r="O1432" i="13" s="1"/>
  <c r="N1433" i="13"/>
  <c r="O1433" i="13" s="1"/>
  <c r="N1439" i="13"/>
  <c r="O1439" i="13" s="1"/>
  <c r="N1446" i="13"/>
  <c r="O1446" i="13" s="1"/>
  <c r="N1450" i="13"/>
  <c r="O1450" i="13" s="1"/>
  <c r="N28" i="13"/>
  <c r="O28" i="13" s="1"/>
  <c r="N82" i="13"/>
  <c r="O82" i="13" s="1"/>
  <c r="N88" i="13"/>
  <c r="O88" i="13" s="1"/>
  <c r="N94" i="13"/>
  <c r="O94" i="13" s="1"/>
  <c r="N108" i="13"/>
  <c r="O108" i="13" s="1"/>
  <c r="N124" i="13"/>
  <c r="N179" i="13"/>
  <c r="O179" i="13" s="1"/>
  <c r="N182" i="13"/>
  <c r="N254" i="13"/>
  <c r="O254" i="13" s="1"/>
  <c r="N261" i="13"/>
  <c r="O261" i="13" s="1"/>
  <c r="N272" i="13"/>
  <c r="O272" i="13" s="1"/>
  <c r="N347" i="13"/>
  <c r="O347" i="13" s="1"/>
  <c r="N362" i="13"/>
  <c r="O362" i="13" s="1"/>
  <c r="N368" i="13"/>
  <c r="O368" i="13" s="1"/>
  <c r="N459" i="13"/>
  <c r="O459" i="13" s="1"/>
  <c r="N473" i="13"/>
  <c r="O473" i="13" s="1"/>
  <c r="N474" i="13"/>
  <c r="O474" i="13" s="1"/>
  <c r="N539" i="13"/>
  <c r="O539" i="13" s="1"/>
  <c r="N560" i="13"/>
  <c r="O560" i="13" s="1"/>
  <c r="N629" i="13"/>
  <c r="O629" i="13" s="1"/>
  <c r="N663" i="13"/>
  <c r="O663" i="13" s="1"/>
  <c r="N719" i="13"/>
  <c r="O719" i="13" s="1"/>
  <c r="N814" i="13"/>
  <c r="O814" i="13" s="1"/>
  <c r="N876" i="13"/>
  <c r="O876" i="13" s="1"/>
  <c r="N940" i="13"/>
  <c r="B940" i="13" s="1"/>
  <c r="N942" i="13"/>
  <c r="O942" i="13" s="1"/>
  <c r="N982" i="13"/>
  <c r="O982" i="13" s="1"/>
  <c r="N1040" i="13"/>
  <c r="O1040" i="13" s="1"/>
  <c r="N1120" i="13"/>
  <c r="O1120" i="13" s="1"/>
  <c r="N1177" i="13"/>
  <c r="O1177" i="13" s="1"/>
  <c r="N1195" i="13"/>
  <c r="O1195" i="13" s="1"/>
  <c r="N1260" i="13"/>
  <c r="O1260" i="13" s="1"/>
  <c r="N1279" i="13"/>
  <c r="O1279" i="13" s="1"/>
  <c r="N1287" i="13"/>
  <c r="O1287" i="13" s="1"/>
  <c r="N1400" i="13"/>
  <c r="O1400" i="13" s="1"/>
  <c r="N1444" i="13"/>
  <c r="O1444" i="13" s="1"/>
  <c r="M15" i="13"/>
  <c r="M24" i="13"/>
  <c r="M36" i="13"/>
  <c r="M44" i="13"/>
  <c r="M49" i="13"/>
  <c r="M50" i="13"/>
  <c r="M59" i="13"/>
  <c r="M65" i="13"/>
  <c r="M80" i="13"/>
  <c r="M83" i="13"/>
  <c r="M91" i="13"/>
  <c r="M95" i="13"/>
  <c r="M98" i="13"/>
  <c r="M100" i="13"/>
  <c r="M102" i="13"/>
  <c r="M103" i="13"/>
  <c r="M109" i="13"/>
  <c r="M111" i="13"/>
  <c r="M134" i="13"/>
  <c r="M151" i="13"/>
  <c r="M158" i="13"/>
  <c r="M157" i="13"/>
  <c r="M165" i="13"/>
  <c r="M172" i="13"/>
  <c r="M177" i="13"/>
  <c r="M178" i="13"/>
  <c r="M195" i="13"/>
  <c r="M200" i="13"/>
  <c r="M209" i="13"/>
  <c r="M213" i="13"/>
  <c r="M216" i="13"/>
  <c r="M224" i="13"/>
  <c r="M229" i="13"/>
  <c r="M238" i="13"/>
  <c r="M258" i="13"/>
  <c r="M270" i="13"/>
  <c r="M279" i="13"/>
  <c r="M284" i="13"/>
  <c r="M293" i="13"/>
  <c r="M305" i="13"/>
  <c r="M318" i="13"/>
  <c r="M324" i="13"/>
  <c r="M325" i="13"/>
  <c r="M329" i="13"/>
  <c r="M328" i="13"/>
  <c r="M341" i="13"/>
  <c r="M352" i="13"/>
  <c r="M364" i="13"/>
  <c r="M366" i="13"/>
  <c r="M370" i="13"/>
  <c r="M379" i="13"/>
  <c r="M404" i="13"/>
  <c r="M406" i="13"/>
  <c r="M412" i="13"/>
  <c r="M414" i="13"/>
  <c r="M422" i="13"/>
  <c r="M429" i="13"/>
  <c r="M431" i="13"/>
  <c r="M437" i="13"/>
  <c r="M454" i="13"/>
  <c r="M475" i="13"/>
  <c r="M484" i="13"/>
  <c r="M498" i="13"/>
  <c r="M502" i="13"/>
  <c r="M510" i="13"/>
  <c r="M514" i="13"/>
  <c r="M521" i="13"/>
  <c r="M526" i="13"/>
  <c r="M541" i="13"/>
  <c r="M544" i="13"/>
  <c r="M546" i="13"/>
  <c r="M548" i="13"/>
  <c r="M552" i="13"/>
  <c r="M554" i="13"/>
  <c r="M556" i="13"/>
  <c r="M571" i="13"/>
  <c r="M576" i="13"/>
  <c r="M579" i="13"/>
  <c r="M590" i="13"/>
  <c r="M592" i="13"/>
  <c r="M604" i="13"/>
  <c r="M619" i="13"/>
  <c r="M620" i="13"/>
  <c r="M627" i="13"/>
  <c r="M639" i="13"/>
  <c r="M641" i="13"/>
  <c r="M648" i="13"/>
  <c r="M650" i="13"/>
  <c r="M651" i="13"/>
  <c r="M652" i="13"/>
  <c r="M653" i="13"/>
  <c r="M660" i="13"/>
  <c r="M659" i="13"/>
  <c r="M666" i="13"/>
  <c r="M675" i="13"/>
  <c r="M679" i="13"/>
  <c r="M694" i="13"/>
  <c r="M700" i="13"/>
  <c r="M711" i="13"/>
  <c r="M717" i="13"/>
  <c r="M729" i="13"/>
  <c r="M734" i="13"/>
  <c r="M750" i="13"/>
  <c r="M771" i="13"/>
  <c r="M774" i="13"/>
  <c r="M775" i="13"/>
  <c r="M783" i="13"/>
  <c r="M795" i="13"/>
  <c r="M800" i="13"/>
  <c r="M806" i="13"/>
  <c r="M818" i="13"/>
  <c r="M816" i="13"/>
  <c r="M823" i="13"/>
  <c r="M824" i="13"/>
  <c r="M827" i="13"/>
  <c r="M828" i="13"/>
  <c r="M829" i="13"/>
  <c r="M835" i="13"/>
  <c r="M842" i="13"/>
  <c r="M853" i="13"/>
  <c r="M858" i="13"/>
  <c r="M859" i="13"/>
  <c r="M862" i="13"/>
  <c r="M879" i="13"/>
  <c r="M889" i="13"/>
  <c r="M888" i="13"/>
  <c r="M911" i="13"/>
  <c r="M918" i="13"/>
  <c r="M956" i="13"/>
  <c r="M962" i="13"/>
  <c r="M972" i="13"/>
  <c r="M981" i="13"/>
  <c r="M995" i="13"/>
  <c r="M1002" i="13"/>
  <c r="M1010" i="13"/>
  <c r="M1018" i="13"/>
  <c r="M1021" i="13"/>
  <c r="M1024" i="13"/>
  <c r="M1028" i="13"/>
  <c r="M1058" i="13"/>
  <c r="M1061" i="13"/>
  <c r="M1067" i="13"/>
  <c r="M1074" i="13"/>
  <c r="M1082" i="13"/>
  <c r="M1083" i="13"/>
  <c r="M1092" i="13"/>
  <c r="M1096" i="13"/>
  <c r="M1097" i="13"/>
  <c r="M1101" i="13"/>
  <c r="M1104" i="13"/>
  <c r="M1108" i="13"/>
  <c r="M1109" i="13"/>
  <c r="M1113" i="13"/>
  <c r="M1119" i="13"/>
  <c r="M1124" i="13"/>
  <c r="M1148" i="13"/>
  <c r="M1157" i="13"/>
  <c r="M1169" i="13"/>
  <c r="M1178" i="13"/>
  <c r="M1179" i="13"/>
  <c r="M1183" i="13"/>
  <c r="M1189" i="13"/>
  <c r="M1192" i="13"/>
  <c r="M1206" i="13"/>
  <c r="M1218" i="13"/>
  <c r="M1225" i="13"/>
  <c r="M1228" i="13"/>
  <c r="M1229" i="13"/>
  <c r="M1233" i="13"/>
  <c r="M1242" i="13"/>
  <c r="M1247" i="13"/>
  <c r="M1249" i="13"/>
  <c r="M1250" i="13"/>
  <c r="M1259" i="13"/>
  <c r="M1263" i="13"/>
  <c r="M1267" i="13"/>
  <c r="M1275" i="13"/>
  <c r="M1282" i="13"/>
  <c r="M1289" i="13"/>
  <c r="M1306" i="13"/>
  <c r="M1307" i="13"/>
  <c r="M1310" i="13"/>
  <c r="M1319" i="13"/>
  <c r="M1322" i="13"/>
  <c r="M1323" i="13"/>
  <c r="M1324" i="13"/>
  <c r="M1331" i="13"/>
  <c r="M1355" i="13"/>
  <c r="M1356" i="13"/>
  <c r="M1362" i="13"/>
  <c r="M1369" i="13"/>
  <c r="M1401" i="13"/>
  <c r="M1425" i="13"/>
  <c r="M1426" i="13"/>
  <c r="M1428" i="13"/>
  <c r="M1440" i="13"/>
  <c r="M1454" i="13"/>
  <c r="M1455" i="13"/>
  <c r="M1458" i="13"/>
  <c r="M2" i="13"/>
  <c r="M47" i="13"/>
  <c r="M52" i="13"/>
  <c r="M74" i="13"/>
  <c r="M112" i="13"/>
  <c r="M181" i="13"/>
  <c r="M199" i="13"/>
  <c r="M235" i="13"/>
  <c r="M242" i="13"/>
  <c r="M264" i="13"/>
  <c r="M301" i="13"/>
  <c r="M306" i="13"/>
  <c r="M402" i="13"/>
  <c r="M409" i="13"/>
  <c r="M427" i="13"/>
  <c r="M441" i="13"/>
  <c r="M444" i="13"/>
  <c r="M476" i="13"/>
  <c r="M535" i="13"/>
  <c r="M573" i="13"/>
  <c r="M589" i="13"/>
  <c r="M593" i="13"/>
  <c r="M613" i="13"/>
  <c r="M622" i="13"/>
  <c r="M628" i="13"/>
  <c r="M630" i="13"/>
  <c r="M637" i="13"/>
  <c r="M681" i="13"/>
  <c r="M704" i="13"/>
  <c r="M713" i="13"/>
  <c r="M739" i="13"/>
  <c r="M741" i="13"/>
  <c r="M746" i="13"/>
  <c r="M751" i="13"/>
  <c r="M772" i="13"/>
  <c r="M830" i="13"/>
  <c r="M840" i="13"/>
  <c r="M880" i="13"/>
  <c r="M909" i="13"/>
  <c r="M917" i="13"/>
  <c r="M929" i="13"/>
  <c r="M946" i="13"/>
  <c r="M979" i="13"/>
  <c r="M989" i="13"/>
  <c r="M997" i="13"/>
  <c r="M1056" i="13"/>
  <c r="M1062" i="13"/>
  <c r="M1117" i="13"/>
  <c r="M1167" i="13"/>
  <c r="M1176" i="13"/>
  <c r="M1184" i="13"/>
  <c r="M1196" i="13"/>
  <c r="M1213" i="13"/>
  <c r="M1217" i="13"/>
  <c r="M1246" i="13"/>
  <c r="M1283" i="13"/>
  <c r="M1348" i="13"/>
  <c r="M1378" i="13"/>
  <c r="M1388" i="13"/>
  <c r="M1395" i="13"/>
  <c r="M1415" i="13"/>
  <c r="M1416" i="13"/>
  <c r="M1423" i="13"/>
  <c r="M19" i="13"/>
  <c r="M86" i="13"/>
  <c r="M92" i="13"/>
  <c r="M105" i="13"/>
  <c r="M127" i="13"/>
  <c r="M147" i="13"/>
  <c r="M189" i="13"/>
  <c r="M194" i="13"/>
  <c r="M205" i="13"/>
  <c r="M231" i="13"/>
  <c r="M239" i="13"/>
  <c r="M283" i="13"/>
  <c r="M290" i="13"/>
  <c r="M313" i="13"/>
  <c r="M315" i="13"/>
  <c r="M349" i="13"/>
  <c r="M350" i="13"/>
  <c r="M357" i="13"/>
  <c r="M363" i="13"/>
  <c r="M371" i="13"/>
  <c r="M393" i="13"/>
  <c r="M400" i="13"/>
  <c r="M430" i="13"/>
  <c r="M439" i="13"/>
  <c r="M468" i="13"/>
  <c r="M487" i="13"/>
  <c r="M506" i="13"/>
  <c r="M527" i="13"/>
  <c r="M529" i="13"/>
  <c r="M538" i="13"/>
  <c r="M631" i="13"/>
  <c r="M706" i="13"/>
  <c r="M727" i="13"/>
  <c r="M758" i="13"/>
  <c r="M819" i="13"/>
  <c r="M861" i="13"/>
  <c r="M871" i="13"/>
  <c r="M938" i="13"/>
  <c r="M957" i="13"/>
  <c r="M1026" i="13"/>
  <c r="M1047" i="13"/>
  <c r="M1059" i="13"/>
  <c r="M1072" i="13"/>
  <c r="M1076" i="13"/>
  <c r="M1081" i="13"/>
  <c r="M1084" i="13"/>
  <c r="M1099" i="13"/>
  <c r="M1126" i="13"/>
  <c r="M1133" i="13"/>
  <c r="M1135" i="13"/>
  <c r="M1190" i="13"/>
  <c r="M1201" i="13"/>
  <c r="M1219" i="13"/>
  <c r="M1221" i="13"/>
  <c r="M1223" i="13"/>
  <c r="M1224" i="13"/>
  <c r="M1227" i="13"/>
  <c r="M1231" i="13"/>
  <c r="M1253" i="13"/>
  <c r="M1258" i="13"/>
  <c r="M1257" i="13"/>
  <c r="M1272" i="13"/>
  <c r="M1288" i="13"/>
  <c r="M1309" i="13"/>
  <c r="M1340" i="13"/>
  <c r="M1343" i="13"/>
  <c r="M1347" i="13"/>
  <c r="M1374" i="13"/>
  <c r="M1406" i="13"/>
  <c r="M1420" i="13"/>
  <c r="M1431" i="13"/>
  <c r="M1435" i="13"/>
  <c r="M4" i="13"/>
  <c r="M12" i="13"/>
  <c r="M25" i="13"/>
  <c r="M26" i="13"/>
  <c r="M27" i="13"/>
  <c r="M31" i="13"/>
  <c r="M37" i="13"/>
  <c r="M38" i="13"/>
  <c r="M68" i="13"/>
  <c r="M87" i="13"/>
  <c r="M104" i="13"/>
  <c r="M117" i="13"/>
  <c r="M121" i="13"/>
  <c r="M122" i="13"/>
  <c r="M131" i="13"/>
  <c r="M132" i="13"/>
  <c r="M136" i="13"/>
  <c r="M139" i="13"/>
  <c r="M144" i="13"/>
  <c r="M145" i="13"/>
  <c r="M152" i="13"/>
  <c r="M153" i="13"/>
  <c r="M170" i="13"/>
  <c r="M175" i="13"/>
  <c r="M203" i="13"/>
  <c r="M212" i="13"/>
  <c r="M219" i="13"/>
  <c r="M248" i="13"/>
  <c r="M278" i="13"/>
  <c r="M281" i="13"/>
  <c r="M288" i="13"/>
  <c r="M295" i="13"/>
  <c r="M298" i="13"/>
  <c r="M326" i="13"/>
  <c r="M330" i="13"/>
  <c r="M365" i="13"/>
  <c r="M389" i="13"/>
  <c r="M403" i="13"/>
  <c r="M415" i="13"/>
  <c r="M424" i="13"/>
  <c r="M446" i="13"/>
  <c r="M449" i="13"/>
  <c r="M453" i="13"/>
  <c r="M472" i="13"/>
  <c r="M477" i="13"/>
  <c r="M481" i="13"/>
  <c r="M492" i="13"/>
  <c r="M494" i="13"/>
  <c r="M501" i="13"/>
  <c r="M509" i="13"/>
  <c r="M511" i="13"/>
  <c r="M512" i="13"/>
  <c r="M518" i="13"/>
  <c r="M519" i="13"/>
  <c r="M523" i="13"/>
  <c r="M528" i="13"/>
  <c r="M532" i="13"/>
  <c r="M574" i="13"/>
  <c r="M606" i="13"/>
  <c r="M607" i="13"/>
  <c r="M615" i="13"/>
  <c r="M635" i="13"/>
  <c r="M642" i="13"/>
  <c r="M646" i="13"/>
  <c r="M657" i="13"/>
  <c r="M661" i="13"/>
  <c r="M664" i="13"/>
  <c r="M683" i="13"/>
  <c r="M701" i="13"/>
  <c r="M702" i="13"/>
  <c r="M714" i="13"/>
  <c r="M721" i="13"/>
  <c r="M731" i="13"/>
  <c r="M735" i="13"/>
  <c r="M762" i="13"/>
  <c r="M767" i="13"/>
  <c r="M781" i="13"/>
  <c r="M787" i="13"/>
  <c r="M791" i="13"/>
  <c r="M811" i="13"/>
  <c r="M817" i="13"/>
  <c r="M821" i="13"/>
  <c r="M837" i="13"/>
  <c r="M839" i="13"/>
  <c r="M838" i="13"/>
  <c r="M864" i="13"/>
  <c r="M874" i="13"/>
  <c r="M877" i="13"/>
  <c r="M885" i="13"/>
  <c r="M886" i="13"/>
  <c r="M890" i="13"/>
  <c r="M894" i="13"/>
  <c r="M906" i="13"/>
  <c r="M913" i="13"/>
  <c r="M912" i="13"/>
  <c r="M921" i="13"/>
  <c r="M971" i="13"/>
  <c r="M975" i="13"/>
  <c r="M985" i="13"/>
  <c r="M990" i="13"/>
  <c r="M996" i="13"/>
  <c r="M1016" i="13"/>
  <c r="M1019" i="13"/>
  <c r="M1032" i="13"/>
  <c r="M1030" i="13"/>
  <c r="M1033" i="13"/>
  <c r="M1036" i="13"/>
  <c r="M1039" i="13"/>
  <c r="M1042" i="13"/>
  <c r="M1049" i="13"/>
  <c r="M1069" i="13"/>
  <c r="M1088" i="13"/>
  <c r="M1098" i="13"/>
  <c r="M1122" i="13"/>
  <c r="M1150" i="13"/>
  <c r="M1152" i="13"/>
  <c r="M1153" i="13"/>
  <c r="M1180" i="13"/>
  <c r="M1197" i="13"/>
  <c r="M1205" i="13"/>
  <c r="M1212" i="13"/>
  <c r="M1226" i="13"/>
  <c r="M1245" i="13"/>
  <c r="M1251" i="13"/>
  <c r="M1255" i="13"/>
  <c r="M1265" i="13"/>
  <c r="M1278" i="13"/>
  <c r="M1281" i="13"/>
  <c r="M1300" i="13"/>
  <c r="M1304" i="13"/>
  <c r="M1327" i="13"/>
  <c r="M1330" i="13"/>
  <c r="M1339" i="13"/>
  <c r="M1342" i="13"/>
  <c r="M1366" i="13"/>
  <c r="M1370" i="13"/>
  <c r="M1377" i="13"/>
  <c r="M1379" i="13"/>
  <c r="M1411" i="13"/>
  <c r="M1413" i="13"/>
  <c r="M1418" i="13"/>
  <c r="M1427" i="13"/>
  <c r="M1434" i="13"/>
  <c r="M1443" i="13"/>
  <c r="M1448" i="13"/>
  <c r="M1457" i="13"/>
  <c r="M7" i="13"/>
  <c r="M9" i="13"/>
  <c r="M10" i="13"/>
  <c r="M11" i="13"/>
  <c r="M13" i="13"/>
  <c r="M18" i="13"/>
  <c r="M30" i="13"/>
  <c r="M39" i="13"/>
  <c r="M48" i="13"/>
  <c r="M54" i="13"/>
  <c r="M62" i="13"/>
  <c r="M66" i="13"/>
  <c r="M70" i="13"/>
  <c r="M71" i="13"/>
  <c r="M77" i="13"/>
  <c r="M81" i="13"/>
  <c r="M115" i="13"/>
  <c r="M119" i="13"/>
  <c r="M135" i="13"/>
  <c r="M142" i="13"/>
  <c r="M143" i="13"/>
  <c r="M150" i="13"/>
  <c r="M154" i="13"/>
  <c r="M173" i="13"/>
  <c r="M174" i="13"/>
  <c r="M176" i="13"/>
  <c r="M183" i="13"/>
  <c r="M187" i="13"/>
  <c r="M201" i="13"/>
  <c r="M214" i="13"/>
  <c r="M225" i="13"/>
  <c r="M228" i="13"/>
  <c r="M230" i="13"/>
  <c r="M233" i="13"/>
  <c r="M252" i="13"/>
  <c r="M253" i="13"/>
  <c r="M263" i="13"/>
  <c r="M282" i="13"/>
  <c r="M296" i="13"/>
  <c r="M297" i="13"/>
  <c r="M314" i="13"/>
  <c r="M323" i="13"/>
  <c r="M337" i="13"/>
  <c r="M353" i="13"/>
  <c r="M356" i="13"/>
  <c r="M360" i="13"/>
  <c r="M377" i="13"/>
  <c r="M380" i="13"/>
  <c r="M390" i="13"/>
  <c r="M395" i="13"/>
  <c r="M398" i="13"/>
  <c r="M405" i="13"/>
  <c r="M408" i="13"/>
  <c r="M435" i="13"/>
  <c r="M452" i="13"/>
  <c r="M463" i="13"/>
  <c r="M467" i="13"/>
  <c r="M469" i="13"/>
  <c r="M470" i="13"/>
  <c r="M497" i="13"/>
  <c r="M503" i="13"/>
  <c r="M504" i="13"/>
  <c r="M507" i="13"/>
  <c r="M508" i="13"/>
  <c r="M513" i="13"/>
  <c r="M534" i="13"/>
  <c r="M550" i="13"/>
  <c r="M559" i="13"/>
  <c r="M562" i="13"/>
  <c r="M566" i="13"/>
  <c r="M577" i="13"/>
  <c r="M581" i="13"/>
  <c r="M584" i="13"/>
  <c r="M585" i="13"/>
  <c r="M603" i="13"/>
  <c r="M609" i="13"/>
  <c r="M611" i="13"/>
  <c r="M616" i="13"/>
  <c r="M624" i="13"/>
  <c r="M643" i="13"/>
  <c r="M668" i="13"/>
  <c r="M676" i="13"/>
  <c r="M680" i="13"/>
  <c r="M686" i="13"/>
  <c r="M690" i="13"/>
  <c r="M691" i="13"/>
  <c r="M697" i="13"/>
  <c r="M725" i="13"/>
  <c r="M737" i="13"/>
  <c r="M745" i="13"/>
  <c r="M765" i="13"/>
  <c r="M798" i="13"/>
  <c r="M801" i="13"/>
  <c r="M832" i="13"/>
  <c r="M850" i="13"/>
  <c r="M867" i="13"/>
  <c r="M878" i="13"/>
  <c r="M881" i="13"/>
  <c r="M882" i="13"/>
  <c r="M887" i="13"/>
  <c r="M899" i="13"/>
  <c r="M901" i="13"/>
  <c r="M900" i="13"/>
  <c r="M923" i="13"/>
  <c r="M928" i="13"/>
  <c r="M934" i="13"/>
  <c r="M936" i="13"/>
  <c r="M947" i="13"/>
  <c r="M952" i="13"/>
  <c r="M953" i="13"/>
  <c r="M966" i="13"/>
  <c r="M986" i="13"/>
  <c r="M988" i="13"/>
  <c r="M994" i="13"/>
  <c r="M998" i="13"/>
  <c r="M1015" i="13"/>
  <c r="M1023" i="13"/>
  <c r="M1034" i="13"/>
  <c r="M1078" i="13"/>
  <c r="M1080" i="13"/>
  <c r="M1086" i="13"/>
  <c r="M1091" i="13"/>
  <c r="M1094" i="13"/>
  <c r="M1107" i="13"/>
  <c r="M1114" i="13"/>
  <c r="M1118" i="13"/>
  <c r="M1127" i="13"/>
  <c r="M1128" i="13"/>
  <c r="M1134" i="13"/>
  <c r="M1147" i="13"/>
  <c r="M1149" i="13"/>
  <c r="M1156" i="13"/>
  <c r="M1174" i="13"/>
  <c r="M1187" i="13"/>
  <c r="M1203" i="13"/>
  <c r="M1207" i="13"/>
  <c r="M1232" i="13"/>
  <c r="M1235" i="13"/>
  <c r="M1254" i="13"/>
  <c r="M1256" i="13"/>
  <c r="M1297" i="13"/>
  <c r="M1302" i="13"/>
  <c r="M1303" i="13"/>
  <c r="M1311" i="13"/>
  <c r="M1313" i="13"/>
  <c r="M1314" i="13"/>
  <c r="M1315" i="13"/>
  <c r="M1360" i="13"/>
  <c r="M1361" i="13"/>
  <c r="M1363" i="13"/>
  <c r="M1367" i="13"/>
  <c r="M1371" i="13"/>
  <c r="M1373" i="13"/>
  <c r="M1375" i="13"/>
  <c r="M1383" i="13"/>
  <c r="M1385" i="13"/>
  <c r="M1386" i="13"/>
  <c r="M1389" i="13"/>
  <c r="M1396" i="13"/>
  <c r="M1407" i="13"/>
  <c r="M1409" i="13"/>
  <c r="M1412" i="13"/>
  <c r="M1414" i="13"/>
  <c r="M1442" i="13"/>
  <c r="M1445" i="13"/>
  <c r="M1447" i="13"/>
  <c r="M1451" i="13"/>
  <c r="M1452" i="13"/>
  <c r="M1453" i="13"/>
  <c r="M1459" i="13"/>
  <c r="M5" i="13"/>
  <c r="M20" i="13"/>
  <c r="M22" i="13"/>
  <c r="M29" i="13"/>
  <c r="M40" i="13"/>
  <c r="M43" i="13"/>
  <c r="M53" i="13"/>
  <c r="M89" i="13"/>
  <c r="M90" i="13"/>
  <c r="M96" i="13"/>
  <c r="M99" i="13"/>
  <c r="M116" i="13"/>
  <c r="M149" i="13"/>
  <c r="M156" i="13"/>
  <c r="M159" i="13"/>
  <c r="M160" i="13"/>
  <c r="M161" i="13"/>
  <c r="M163" i="13"/>
  <c r="M164" i="13"/>
  <c r="M184" i="13"/>
  <c r="M188" i="13"/>
  <c r="M193" i="13"/>
  <c r="M196" i="13"/>
  <c r="M204" i="13"/>
  <c r="M218" i="13"/>
  <c r="M220" i="13"/>
  <c r="M222" i="13"/>
  <c r="M226" i="13"/>
  <c r="M240" i="13"/>
  <c r="M243" i="13"/>
  <c r="M247" i="13"/>
  <c r="M262" i="13"/>
  <c r="M265" i="13"/>
  <c r="M269" i="13"/>
  <c r="M271" i="13"/>
  <c r="M274" i="13"/>
  <c r="M275" i="13"/>
  <c r="M287" i="13"/>
  <c r="M317" i="13"/>
  <c r="M331" i="13"/>
  <c r="M332" i="13"/>
  <c r="M359" i="13"/>
  <c r="M361" i="13"/>
  <c r="M374" i="13"/>
  <c r="M386" i="13"/>
  <c r="M387" i="13"/>
  <c r="M391" i="13"/>
  <c r="M413" i="13"/>
  <c r="M418" i="13"/>
  <c r="M419" i="13"/>
  <c r="M425" i="13"/>
  <c r="M428" i="13"/>
  <c r="M443" i="13"/>
  <c r="M451" i="13"/>
  <c r="M457" i="13"/>
  <c r="M464" i="13"/>
  <c r="M485" i="13"/>
  <c r="M495" i="13"/>
  <c r="M516" i="13"/>
  <c r="M522" i="13"/>
  <c r="M524" i="13"/>
  <c r="M531" i="13"/>
  <c r="M557" i="13"/>
  <c r="M570" i="13"/>
  <c r="M578" i="13"/>
  <c r="M583" i="13"/>
  <c r="M591" i="13"/>
  <c r="M597" i="13"/>
  <c r="M598" i="13"/>
  <c r="M605" i="13"/>
  <c r="M608" i="13"/>
  <c r="M618" i="13"/>
  <c r="M655" i="13"/>
  <c r="M670" i="13"/>
  <c r="M671" i="13"/>
  <c r="M677" i="13"/>
  <c r="M684" i="13"/>
  <c r="M696" i="13"/>
  <c r="M705" i="13"/>
  <c r="M715" i="13"/>
  <c r="M726" i="13"/>
  <c r="M733" i="13"/>
  <c r="M736" i="13"/>
  <c r="M738" i="13"/>
  <c r="M742" i="13"/>
  <c r="M749" i="13"/>
  <c r="M753" i="13"/>
  <c r="M763" i="13"/>
  <c r="M782" i="13"/>
  <c r="M825" i="13"/>
  <c r="M826" i="13"/>
  <c r="M836" i="13"/>
  <c r="M845" i="13"/>
  <c r="M843" i="13"/>
  <c r="M849" i="13"/>
  <c r="M863" i="13"/>
  <c r="M866" i="13"/>
  <c r="M891" i="13"/>
  <c r="M898" i="13"/>
  <c r="M919" i="13"/>
  <c r="M939" i="13"/>
  <c r="M943" i="13"/>
  <c r="M960" i="13"/>
  <c r="M961" i="13"/>
  <c r="M973" i="13"/>
  <c r="M1003" i="13"/>
  <c r="M1004" i="13"/>
  <c r="M1007" i="13"/>
  <c r="M1008" i="13"/>
  <c r="M1029" i="13"/>
  <c r="M1044" i="13"/>
  <c r="M1075" i="13"/>
  <c r="M1077" i="13"/>
  <c r="M1079" i="13"/>
  <c r="M1105" i="13"/>
  <c r="M1129" i="13"/>
  <c r="M1160" i="13"/>
  <c r="M1161" i="13"/>
  <c r="M1165" i="13"/>
  <c r="M1168" i="13"/>
  <c r="M1173" i="13"/>
  <c r="M1181" i="13"/>
  <c r="M1182" i="13"/>
  <c r="M1188" i="13"/>
  <c r="M1194" i="13"/>
  <c r="M1199" i="13"/>
  <c r="M1200" i="13"/>
  <c r="M1210" i="13"/>
  <c r="M1214" i="13"/>
  <c r="M1236" i="13"/>
  <c r="M1238" i="13"/>
  <c r="M1243" i="13"/>
  <c r="M1239" i="13"/>
  <c r="M1262" i="13"/>
  <c r="M1270" i="13"/>
  <c r="M1285" i="13"/>
  <c r="M1320" i="13"/>
  <c r="M1326" i="13"/>
  <c r="M1334" i="13"/>
  <c r="M1349" i="13"/>
  <c r="M1351" i="13"/>
  <c r="M1352" i="13"/>
  <c r="M1353" i="13"/>
  <c r="M1365" i="13"/>
  <c r="M1390" i="13"/>
  <c r="M1391" i="13"/>
  <c r="M1394" i="13"/>
  <c r="M1402" i="13"/>
  <c r="M1403" i="13"/>
  <c r="M1422" i="13"/>
  <c r="M1424" i="13"/>
  <c r="M1436" i="13"/>
  <c r="M1437" i="13"/>
  <c r="M1438" i="13"/>
  <c r="M1456" i="13"/>
  <c r="M33" i="13"/>
  <c r="M41" i="13"/>
  <c r="M51" i="13"/>
  <c r="M97" i="13"/>
  <c r="M106" i="13"/>
  <c r="M141" i="13"/>
  <c r="M166" i="13"/>
  <c r="M169" i="13"/>
  <c r="M185" i="13"/>
  <c r="M207" i="13"/>
  <c r="M206" i="13"/>
  <c r="M217" i="13"/>
  <c r="M234" i="13"/>
  <c r="M245" i="13"/>
  <c r="M260" i="13"/>
  <c r="M291" i="13"/>
  <c r="M294" i="13"/>
  <c r="M309" i="13"/>
  <c r="M335" i="13"/>
  <c r="M340" i="13"/>
  <c r="M354" i="13"/>
  <c r="M369" i="13"/>
  <c r="M401" i="13"/>
  <c r="M407" i="13"/>
  <c r="M410" i="13"/>
  <c r="M411" i="13"/>
  <c r="M423" i="13"/>
  <c r="M433" i="13"/>
  <c r="M445" i="13"/>
  <c r="M447" i="13"/>
  <c r="M456" i="13"/>
  <c r="M466" i="13"/>
  <c r="M480" i="13"/>
  <c r="M483" i="13"/>
  <c r="M486" i="13"/>
  <c r="M488" i="13"/>
  <c r="M493" i="13"/>
  <c r="M496" i="13"/>
  <c r="M505" i="13"/>
  <c r="M515" i="13"/>
  <c r="M575" i="13"/>
  <c r="M582" i="13"/>
  <c r="M621" i="13"/>
  <c r="M647" i="13"/>
  <c r="M654" i="13"/>
  <c r="M692" i="13"/>
  <c r="M703" i="13"/>
  <c r="M723" i="13"/>
  <c r="M747" i="13"/>
  <c r="M752" i="13"/>
  <c r="M754" i="13"/>
  <c r="M779" i="13"/>
  <c r="M780" i="13"/>
  <c r="M851" i="13"/>
  <c r="M855" i="13"/>
  <c r="M860" i="13"/>
  <c r="M865" i="13"/>
  <c r="M869" i="13"/>
  <c r="M873" i="13"/>
  <c r="M910" i="13"/>
  <c r="M924" i="13"/>
  <c r="M945" i="13"/>
  <c r="M950" i="13"/>
  <c r="M954" i="13"/>
  <c r="M958" i="13"/>
  <c r="M965" i="13"/>
  <c r="M977" i="13"/>
  <c r="M983" i="13"/>
  <c r="M984" i="13"/>
  <c r="M1000" i="13"/>
  <c r="M1020" i="13"/>
  <c r="M1025" i="13"/>
  <c r="M1035" i="13"/>
  <c r="M1037" i="13"/>
  <c r="M1050" i="13"/>
  <c r="M1057" i="13"/>
  <c r="M1065" i="13"/>
  <c r="M1066" i="13"/>
  <c r="M1093" i="13"/>
  <c r="M1095" i="13"/>
  <c r="M1137" i="13"/>
  <c r="M1142" i="13"/>
  <c r="M1175" i="13"/>
  <c r="M1211" i="13"/>
  <c r="M1215" i="13"/>
  <c r="M1220" i="13"/>
  <c r="M1248" i="13"/>
  <c r="M1252" i="13"/>
  <c r="M1284" i="13"/>
  <c r="M1321" i="13"/>
  <c r="M1368" i="13"/>
  <c r="M1387" i="13"/>
  <c r="M1393" i="13"/>
  <c r="M1399" i="13"/>
  <c r="M1405" i="13"/>
  <c r="M1419" i="13"/>
  <c r="M1429" i="13"/>
  <c r="M3" i="13"/>
  <c r="M6" i="13"/>
  <c r="M21" i="13"/>
  <c r="M60" i="13"/>
  <c r="M85" i="13"/>
  <c r="M101" i="13"/>
  <c r="M107" i="13"/>
  <c r="M126" i="13"/>
  <c r="M128" i="13"/>
  <c r="M130" i="13"/>
  <c r="M137" i="13"/>
  <c r="M138" i="13"/>
  <c r="M148" i="13"/>
  <c r="M162" i="13"/>
  <c r="M202" i="13"/>
  <c r="M210" i="13"/>
  <c r="M236" i="13"/>
  <c r="M237" i="13"/>
  <c r="M241" i="13"/>
  <c r="M246" i="13"/>
  <c r="M256" i="13"/>
  <c r="M257" i="13"/>
  <c r="M259" i="13"/>
  <c r="M266" i="13"/>
  <c r="M268" i="13"/>
  <c r="M285" i="13"/>
  <c r="M307" i="13"/>
  <c r="M316" i="13"/>
  <c r="M333" i="13"/>
  <c r="M336" i="13"/>
  <c r="M339" i="13"/>
  <c r="M345" i="13"/>
  <c r="M348" i="13"/>
  <c r="M351" i="13"/>
  <c r="M383" i="13"/>
  <c r="M385" i="13"/>
  <c r="M450" i="13"/>
  <c r="M462" i="13"/>
  <c r="M471" i="13"/>
  <c r="M479" i="13"/>
  <c r="M489" i="13"/>
  <c r="M499" i="13"/>
  <c r="M525" i="13"/>
  <c r="M537" i="13"/>
  <c r="M543" i="13"/>
  <c r="M549" i="13"/>
  <c r="M561" i="13"/>
  <c r="M567" i="13"/>
  <c r="M568" i="13"/>
  <c r="M580" i="13"/>
  <c r="M595" i="13"/>
  <c r="M596" i="13"/>
  <c r="M610" i="13"/>
  <c r="M617" i="13"/>
  <c r="M626" i="13"/>
  <c r="M633" i="13"/>
  <c r="M640" i="13"/>
  <c r="M649" i="13"/>
  <c r="M658" i="13"/>
  <c r="M672" i="13"/>
  <c r="M712" i="13"/>
  <c r="M718" i="13"/>
  <c r="M722" i="13"/>
  <c r="M728" i="13"/>
  <c r="M764" i="13"/>
  <c r="M789" i="13"/>
  <c r="M803" i="13"/>
  <c r="M810" i="13"/>
  <c r="M833" i="13"/>
  <c r="M847" i="13"/>
  <c r="M870" i="13"/>
  <c r="M872" i="13"/>
  <c r="M883" i="13"/>
  <c r="M895" i="13"/>
  <c r="M896" i="13"/>
  <c r="M916" i="13"/>
  <c r="M932" i="13"/>
  <c r="M937" i="13"/>
  <c r="M941" i="13"/>
  <c r="M951" i="13"/>
  <c r="M974" i="13"/>
  <c r="M1013" i="13"/>
  <c r="M1017" i="13"/>
  <c r="M1027" i="13"/>
  <c r="M1043" i="13"/>
  <c r="M1045" i="13"/>
  <c r="M1048" i="13"/>
  <c r="M1070" i="13"/>
  <c r="M1087" i="13"/>
  <c r="M1111" i="13"/>
  <c r="M1130" i="13"/>
  <c r="M1139" i="13"/>
  <c r="M1144" i="13"/>
  <c r="M1163" i="13"/>
  <c r="M1170" i="13"/>
  <c r="M1185" i="13"/>
  <c r="M1191" i="13"/>
  <c r="M1202" i="13"/>
  <c r="M1234" i="13"/>
  <c r="M1291" i="13"/>
  <c r="M1293" i="13"/>
  <c r="M1305" i="13"/>
  <c r="M1316" i="13"/>
  <c r="M1328" i="13"/>
  <c r="M1333" i="13"/>
  <c r="M1359" i="13"/>
  <c r="M1398" i="13"/>
  <c r="M1404" i="13"/>
  <c r="M8" i="13"/>
  <c r="M16" i="13"/>
  <c r="M23" i="13"/>
  <c r="M34" i="13"/>
  <c r="M35" i="13"/>
  <c r="M42" i="13"/>
  <c r="M58" i="13"/>
  <c r="M67" i="13"/>
  <c r="M73" i="13"/>
  <c r="M78" i="13"/>
  <c r="M79" i="13"/>
  <c r="M118" i="13"/>
  <c r="M123" i="13"/>
  <c r="M125" i="13"/>
  <c r="M129" i="13"/>
  <c r="M133" i="13"/>
  <c r="M140" i="13"/>
  <c r="M155" i="13"/>
  <c r="M171" i="13"/>
  <c r="M190" i="13"/>
  <c r="M198" i="13"/>
  <c r="M211" i="13"/>
  <c r="M215" i="13"/>
  <c r="M223" i="13"/>
  <c r="M232" i="13"/>
  <c r="M249" i="13"/>
  <c r="M251" i="13"/>
  <c r="M289" i="13"/>
  <c r="M308" i="13"/>
  <c r="M338" i="13"/>
  <c r="M342" i="13"/>
  <c r="M344" i="13"/>
  <c r="M346" i="13"/>
  <c r="M358" i="13"/>
  <c r="M372" i="13"/>
  <c r="M375" i="13"/>
  <c r="M378" i="13"/>
  <c r="M396" i="13"/>
  <c r="M397" i="13"/>
  <c r="M399" i="13"/>
  <c r="M416" i="13"/>
  <c r="M417" i="13"/>
  <c r="M420" i="13"/>
  <c r="M426" i="13"/>
  <c r="M434" i="13"/>
  <c r="M438" i="13"/>
  <c r="M440" i="13"/>
  <c r="M478" i="13"/>
  <c r="M490" i="13"/>
  <c r="M517" i="13"/>
  <c r="M520" i="13"/>
  <c r="M530" i="13"/>
  <c r="M533" i="13"/>
  <c r="M536" i="13"/>
  <c r="M542" i="13"/>
  <c r="M558" i="13"/>
  <c r="M569" i="13"/>
  <c r="M594" i="13"/>
  <c r="M601" i="13"/>
  <c r="M614" i="13"/>
  <c r="M687" i="13"/>
  <c r="M689" i="13"/>
  <c r="M695" i="13"/>
  <c r="M699" i="13"/>
  <c r="M707" i="13"/>
  <c r="M709" i="13"/>
  <c r="M710" i="13"/>
  <c r="M724" i="13"/>
  <c r="M756" i="13"/>
  <c r="M757" i="13"/>
  <c r="M766" i="13"/>
  <c r="M784" i="13"/>
  <c r="M796" i="13"/>
  <c r="M802" i="13"/>
  <c r="M804" i="13"/>
  <c r="M807" i="13"/>
  <c r="M808" i="13"/>
  <c r="M834" i="13"/>
  <c r="M854" i="13"/>
  <c r="M868" i="13"/>
  <c r="M884" i="13"/>
  <c r="M892" i="13"/>
  <c r="M893" i="13"/>
  <c r="M903" i="13"/>
  <c r="M904" i="13"/>
  <c r="M907" i="13"/>
  <c r="M908" i="13"/>
  <c r="M915" i="13"/>
  <c r="M922" i="13"/>
  <c r="M925" i="13"/>
  <c r="M926" i="13"/>
  <c r="M933" i="13"/>
  <c r="M944" i="13"/>
  <c r="M949" i="13"/>
  <c r="M955" i="13"/>
  <c r="M963" i="13"/>
  <c r="M967" i="13"/>
  <c r="M980" i="13"/>
  <c r="M1011" i="13"/>
  <c r="M1022" i="13"/>
  <c r="M1038" i="13"/>
  <c r="M1046" i="13"/>
  <c r="M1060" i="13"/>
  <c r="M1063" i="13"/>
  <c r="M1071" i="13"/>
  <c r="M1073" i="13"/>
  <c r="M1106" i="13"/>
  <c r="M1116" i="13"/>
  <c r="M1136" i="13"/>
  <c r="M1138" i="13"/>
  <c r="M1186" i="13"/>
  <c r="M1198" i="13"/>
  <c r="M1204" i="13"/>
  <c r="M1230" i="13"/>
  <c r="M1240" i="13"/>
  <c r="M1244" i="13"/>
  <c r="M1276" i="13"/>
  <c r="M1295" i="13"/>
  <c r="M1332" i="13"/>
  <c r="M1335" i="13"/>
  <c r="M1336" i="13"/>
  <c r="M1341" i="13"/>
  <c r="M1345" i="13"/>
  <c r="M1346" i="13"/>
  <c r="M1372" i="13"/>
  <c r="M1381" i="13"/>
  <c r="M1384" i="13"/>
  <c r="M1441" i="13"/>
  <c r="M1449" i="13"/>
  <c r="M14" i="13"/>
  <c r="M17" i="13"/>
  <c r="M32" i="13"/>
  <c r="M46" i="13"/>
  <c r="M45" i="13"/>
  <c r="M55" i="13"/>
  <c r="M56" i="13"/>
  <c r="M57" i="13"/>
  <c r="M61" i="13"/>
  <c r="M63" i="13"/>
  <c r="M64" i="13"/>
  <c r="M69" i="13"/>
  <c r="M72" i="13"/>
  <c r="M75" i="13"/>
  <c r="M76" i="13"/>
  <c r="M84" i="13"/>
  <c r="M93" i="13"/>
  <c r="M110" i="13"/>
  <c r="M113" i="13"/>
  <c r="M114" i="13"/>
  <c r="M120" i="13"/>
  <c r="M146" i="13"/>
  <c r="M167" i="13"/>
  <c r="M168" i="13"/>
  <c r="M180" i="13"/>
  <c r="M186" i="13"/>
  <c r="M191" i="13"/>
  <c r="M192" i="13"/>
  <c r="M197" i="13"/>
  <c r="M208" i="13"/>
  <c r="M221" i="13"/>
  <c r="M227" i="13"/>
  <c r="M244" i="13"/>
  <c r="M250" i="13"/>
  <c r="M255" i="13"/>
  <c r="M267" i="13"/>
  <c r="M273" i="13"/>
  <c r="M276" i="13"/>
  <c r="M277" i="13"/>
  <c r="M280" i="13"/>
  <c r="M286" i="13"/>
  <c r="M292" i="13"/>
  <c r="M299" i="13"/>
  <c r="M300" i="13"/>
  <c r="M302" i="13"/>
  <c r="M303" i="13"/>
  <c r="M304" i="13"/>
  <c r="M311" i="13"/>
  <c r="M310" i="13"/>
  <c r="M312" i="13"/>
  <c r="M319" i="13"/>
  <c r="M320" i="13"/>
  <c r="M321" i="13"/>
  <c r="M322" i="13"/>
  <c r="M327" i="13"/>
  <c r="M334" i="13"/>
  <c r="M343" i="13"/>
  <c r="M355" i="13"/>
  <c r="M367" i="13"/>
  <c r="M373" i="13"/>
  <c r="M376" i="13"/>
  <c r="M381" i="13"/>
  <c r="M382" i="13"/>
  <c r="M384" i="13"/>
  <c r="M388" i="13"/>
  <c r="M392" i="13"/>
  <c r="M394" i="13"/>
  <c r="M421" i="13"/>
  <c r="M432" i="13"/>
  <c r="M436" i="13"/>
  <c r="M442" i="13"/>
  <c r="M448" i="13"/>
  <c r="M455" i="13"/>
  <c r="M458" i="13"/>
  <c r="M460" i="13"/>
  <c r="M461" i="13"/>
  <c r="M465" i="13"/>
  <c r="M482" i="13"/>
  <c r="M491" i="13"/>
  <c r="M500" i="13"/>
  <c r="M540" i="13"/>
  <c r="M545" i="13"/>
  <c r="M547" i="13"/>
  <c r="M551" i="13"/>
  <c r="M553" i="13"/>
  <c r="M555" i="13"/>
  <c r="M563" i="13"/>
  <c r="M564" i="13"/>
  <c r="M565" i="13"/>
  <c r="M572" i="13"/>
  <c r="M586" i="13"/>
  <c r="M587" i="13"/>
  <c r="M588" i="13"/>
  <c r="M599" i="13"/>
  <c r="M600" i="13"/>
  <c r="M602" i="13"/>
  <c r="M612" i="13"/>
  <c r="M623" i="13"/>
  <c r="M625" i="13"/>
  <c r="M632" i="13"/>
  <c r="M634" i="13"/>
  <c r="M636" i="13"/>
  <c r="M638" i="13"/>
  <c r="M644" i="13"/>
  <c r="M645" i="13"/>
  <c r="M656" i="13"/>
  <c r="M662" i="13"/>
  <c r="M665" i="13"/>
  <c r="M667" i="13"/>
  <c r="M669" i="13"/>
  <c r="M673" i="13"/>
  <c r="M674" i="13"/>
  <c r="M678" i="13"/>
  <c r="M682" i="13"/>
  <c r="M685" i="13"/>
  <c r="M688" i="13"/>
  <c r="M693" i="13"/>
  <c r="M698" i="13"/>
  <c r="M708" i="13"/>
  <c r="M716" i="13"/>
  <c r="M720" i="13"/>
  <c r="M730" i="13"/>
  <c r="M732" i="13"/>
  <c r="M740" i="13"/>
  <c r="M744" i="13"/>
  <c r="M743" i="13"/>
  <c r="M748" i="13"/>
  <c r="M755" i="13"/>
  <c r="M760" i="13"/>
  <c r="M759" i="13"/>
  <c r="M761" i="13"/>
  <c r="M768" i="13"/>
  <c r="M769" i="13"/>
  <c r="M770" i="13"/>
  <c r="M773" i="13"/>
  <c r="M776" i="13"/>
  <c r="M777" i="13"/>
  <c r="M778" i="13"/>
  <c r="M785" i="13"/>
  <c r="M786" i="13"/>
  <c r="M788" i="13"/>
  <c r="M790" i="13"/>
  <c r="M792" i="13"/>
  <c r="M793" i="13"/>
  <c r="M794" i="13"/>
  <c r="M797" i="13"/>
  <c r="M799" i="13"/>
  <c r="M805" i="13"/>
  <c r="M809" i="13"/>
  <c r="M812" i="13"/>
  <c r="M813" i="13"/>
  <c r="M815" i="13"/>
  <c r="M820" i="13"/>
  <c r="M822" i="13"/>
  <c r="M831" i="13"/>
  <c r="M841" i="13"/>
  <c r="M844" i="13"/>
  <c r="M846" i="13"/>
  <c r="M848" i="13"/>
  <c r="M852" i="13"/>
  <c r="M856" i="13"/>
  <c r="M857" i="13"/>
  <c r="M875" i="13"/>
  <c r="M897" i="13"/>
  <c r="M902" i="13"/>
  <c r="M905" i="13"/>
  <c r="M914" i="13"/>
  <c r="M920" i="13"/>
  <c r="M927" i="13"/>
  <c r="M930" i="13"/>
  <c r="M931" i="13"/>
  <c r="M935" i="13"/>
  <c r="M948" i="13"/>
  <c r="M959" i="13"/>
  <c r="M964" i="13"/>
  <c r="M968" i="13"/>
  <c r="M969" i="13"/>
  <c r="M970" i="13"/>
  <c r="M976" i="13"/>
  <c r="M978" i="13"/>
  <c r="M987" i="13"/>
  <c r="M991" i="13"/>
  <c r="M992" i="13"/>
  <c r="M993" i="13"/>
  <c r="M999" i="13"/>
  <c r="M1001" i="13"/>
  <c r="M1005" i="13"/>
  <c r="M1006" i="13"/>
  <c r="M1009" i="13"/>
  <c r="M1012" i="13"/>
  <c r="M1014" i="13"/>
  <c r="M1031" i="13"/>
  <c r="M1041" i="13"/>
  <c r="M1051" i="13"/>
  <c r="M1052" i="13"/>
  <c r="M1053" i="13"/>
  <c r="M1054" i="13"/>
  <c r="M1055" i="13"/>
  <c r="M1064" i="13"/>
  <c r="M1068" i="13"/>
  <c r="M1085" i="13"/>
  <c r="M1089" i="13"/>
  <c r="M1090" i="13"/>
  <c r="M1100" i="13"/>
  <c r="M1102" i="13"/>
  <c r="M1103" i="13"/>
  <c r="M1110" i="13"/>
  <c r="M1115" i="13"/>
  <c r="M1121" i="13"/>
  <c r="M1123" i="13"/>
  <c r="M1112" i="13"/>
  <c r="M1125" i="13"/>
  <c r="M1131" i="13"/>
  <c r="M1132" i="13"/>
  <c r="M1140" i="13"/>
  <c r="M1141" i="13"/>
  <c r="M1143" i="13"/>
  <c r="M1151" i="13"/>
  <c r="M1154" i="13"/>
  <c r="M1155" i="13"/>
  <c r="M1145" i="13"/>
  <c r="M1158" i="13"/>
  <c r="M1146" i="13"/>
  <c r="M1159" i="13"/>
  <c r="M1162" i="13"/>
  <c r="M1166" i="13"/>
  <c r="M1171" i="13"/>
  <c r="M1172" i="13"/>
  <c r="M1164" i="13"/>
  <c r="M1193" i="13"/>
  <c r="M1208" i="13"/>
  <c r="M1209" i="13"/>
  <c r="M1216" i="13"/>
  <c r="M1222" i="13"/>
  <c r="M1237" i="13"/>
  <c r="M1241" i="13"/>
  <c r="M1261" i="13"/>
  <c r="M1266" i="13"/>
  <c r="M1264" i="13"/>
  <c r="M1268" i="13"/>
  <c r="M1269" i="13"/>
  <c r="M1271" i="13"/>
  <c r="M1273" i="13"/>
  <c r="M1274" i="13"/>
  <c r="M1277" i="13"/>
  <c r="M1280" i="13"/>
  <c r="M1286" i="13"/>
  <c r="M1290" i="13"/>
  <c r="M1292" i="13"/>
  <c r="M1294" i="13"/>
  <c r="M1296" i="13"/>
  <c r="M1298" i="13"/>
  <c r="M1299" i="13"/>
  <c r="M1301" i="13"/>
  <c r="M1308" i="13"/>
  <c r="M1312" i="13"/>
  <c r="M1317" i="13"/>
  <c r="M1318" i="13"/>
  <c r="M1325" i="13"/>
  <c r="M1329" i="13"/>
  <c r="M1337" i="13"/>
  <c r="M1338" i="13"/>
  <c r="M1344" i="13"/>
  <c r="M1350" i="13"/>
  <c r="M1354" i="13"/>
  <c r="M1357" i="13"/>
  <c r="M1358" i="13"/>
  <c r="M1364" i="13"/>
  <c r="M1376" i="13"/>
  <c r="M1380" i="13"/>
  <c r="M1382" i="13"/>
  <c r="M1392" i="13"/>
  <c r="M1397" i="13"/>
  <c r="M1408" i="13"/>
  <c r="M1410" i="13"/>
  <c r="M1417" i="13"/>
  <c r="M1421" i="13"/>
  <c r="M1430" i="13"/>
  <c r="M1432" i="13"/>
  <c r="M1433" i="13"/>
  <c r="M1439" i="13"/>
  <c r="M1446" i="13"/>
  <c r="M1450" i="13"/>
  <c r="M28" i="13"/>
  <c r="M82" i="13"/>
  <c r="M88" i="13"/>
  <c r="M94" i="13"/>
  <c r="M108" i="13"/>
  <c r="M124" i="13"/>
  <c r="M179" i="13"/>
  <c r="M182" i="13"/>
  <c r="M254" i="13"/>
  <c r="M261" i="13"/>
  <c r="M272" i="13"/>
  <c r="M347" i="13"/>
  <c r="M362" i="13"/>
  <c r="M368" i="13"/>
  <c r="M459" i="13"/>
  <c r="M473" i="13"/>
  <c r="M474" i="13"/>
  <c r="M539" i="13"/>
  <c r="M560" i="13"/>
  <c r="M629" i="13"/>
  <c r="M663" i="13"/>
  <c r="M719" i="13"/>
  <c r="M814" i="13"/>
  <c r="M876" i="13"/>
  <c r="M940" i="13"/>
  <c r="M942" i="13"/>
  <c r="M982" i="13"/>
  <c r="M1040" i="13"/>
  <c r="M1120" i="13"/>
  <c r="M1177" i="13"/>
  <c r="M1195" i="13"/>
  <c r="M1260" i="13"/>
  <c r="M1279" i="13"/>
  <c r="M1287" i="13"/>
  <c r="M1400" i="13"/>
  <c r="M1444" i="13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E2" i="14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F15" i="13"/>
  <c r="F24" i="13"/>
  <c r="F36" i="13"/>
  <c r="F44" i="13"/>
  <c r="F49" i="13"/>
  <c r="F50" i="13"/>
  <c r="F59" i="13"/>
  <c r="F65" i="13"/>
  <c r="F80" i="13"/>
  <c r="F83" i="13"/>
  <c r="F91" i="13"/>
  <c r="F95" i="13"/>
  <c r="F98" i="13"/>
  <c r="F100" i="13"/>
  <c r="F102" i="13"/>
  <c r="F103" i="13"/>
  <c r="F109" i="13"/>
  <c r="F111" i="13"/>
  <c r="F134" i="13"/>
  <c r="F151" i="13"/>
  <c r="F158" i="13"/>
  <c r="F157" i="13"/>
  <c r="F165" i="13"/>
  <c r="F172" i="13"/>
  <c r="F177" i="13"/>
  <c r="F178" i="13"/>
  <c r="F195" i="13"/>
  <c r="F200" i="13"/>
  <c r="F209" i="13"/>
  <c r="F213" i="13"/>
  <c r="F216" i="13"/>
  <c r="F224" i="13"/>
  <c r="F229" i="13"/>
  <c r="F238" i="13"/>
  <c r="F258" i="13"/>
  <c r="F270" i="13"/>
  <c r="F279" i="13"/>
  <c r="F284" i="13"/>
  <c r="F293" i="13"/>
  <c r="F305" i="13"/>
  <c r="F318" i="13"/>
  <c r="F324" i="13"/>
  <c r="F325" i="13"/>
  <c r="F329" i="13"/>
  <c r="F328" i="13"/>
  <c r="F341" i="13"/>
  <c r="F352" i="13"/>
  <c r="F364" i="13"/>
  <c r="F366" i="13"/>
  <c r="F370" i="13"/>
  <c r="F379" i="13"/>
  <c r="F404" i="13"/>
  <c r="F406" i="13"/>
  <c r="F412" i="13"/>
  <c r="F414" i="13"/>
  <c r="F422" i="13"/>
  <c r="F429" i="13"/>
  <c r="F431" i="13"/>
  <c r="F437" i="13"/>
  <c r="F454" i="13"/>
  <c r="F475" i="13"/>
  <c r="F484" i="13"/>
  <c r="F498" i="13"/>
  <c r="F502" i="13"/>
  <c r="F510" i="13"/>
  <c r="F514" i="13"/>
  <c r="F521" i="13"/>
  <c r="F526" i="13"/>
  <c r="F541" i="13"/>
  <c r="F544" i="13"/>
  <c r="F546" i="13"/>
  <c r="F548" i="13"/>
  <c r="F552" i="13"/>
  <c r="F554" i="13"/>
  <c r="F556" i="13"/>
  <c r="F571" i="13"/>
  <c r="F576" i="13"/>
  <c r="F579" i="13"/>
  <c r="F590" i="13"/>
  <c r="F592" i="13"/>
  <c r="F604" i="13"/>
  <c r="F619" i="13"/>
  <c r="F620" i="13"/>
  <c r="F627" i="13"/>
  <c r="F639" i="13"/>
  <c r="F641" i="13"/>
  <c r="F648" i="13"/>
  <c r="F650" i="13"/>
  <c r="F651" i="13"/>
  <c r="F652" i="13"/>
  <c r="F653" i="13"/>
  <c r="F660" i="13"/>
  <c r="F659" i="13"/>
  <c r="F666" i="13"/>
  <c r="F675" i="13"/>
  <c r="F679" i="13"/>
  <c r="F694" i="13"/>
  <c r="F700" i="13"/>
  <c r="F711" i="13"/>
  <c r="F717" i="13"/>
  <c r="F729" i="13"/>
  <c r="F734" i="13"/>
  <c r="F750" i="13"/>
  <c r="F771" i="13"/>
  <c r="F774" i="13"/>
  <c r="F775" i="13"/>
  <c r="F783" i="13"/>
  <c r="F795" i="13"/>
  <c r="F800" i="13"/>
  <c r="F806" i="13"/>
  <c r="F818" i="13"/>
  <c r="F816" i="13"/>
  <c r="F823" i="13"/>
  <c r="F824" i="13"/>
  <c r="F827" i="13"/>
  <c r="F828" i="13"/>
  <c r="F829" i="13"/>
  <c r="F835" i="13"/>
  <c r="F842" i="13"/>
  <c r="F853" i="13"/>
  <c r="F858" i="13"/>
  <c r="F859" i="13"/>
  <c r="F862" i="13"/>
  <c r="F879" i="13"/>
  <c r="F889" i="13"/>
  <c r="F888" i="13"/>
  <c r="F911" i="13"/>
  <c r="F918" i="13"/>
  <c r="F956" i="13"/>
  <c r="F962" i="13"/>
  <c r="F972" i="13"/>
  <c r="F981" i="13"/>
  <c r="F995" i="13"/>
  <c r="F1002" i="13"/>
  <c r="F1010" i="13"/>
  <c r="F1018" i="13"/>
  <c r="F1021" i="13"/>
  <c r="F1024" i="13"/>
  <c r="F1028" i="13"/>
  <c r="F1058" i="13"/>
  <c r="F1061" i="13"/>
  <c r="F1067" i="13"/>
  <c r="F1074" i="13"/>
  <c r="F1082" i="13"/>
  <c r="F1083" i="13"/>
  <c r="F1092" i="13"/>
  <c r="F1096" i="13"/>
  <c r="F1097" i="13"/>
  <c r="F1101" i="13"/>
  <c r="F1104" i="13"/>
  <c r="F1108" i="13"/>
  <c r="F1109" i="13"/>
  <c r="F1113" i="13"/>
  <c r="F1119" i="13"/>
  <c r="F1124" i="13"/>
  <c r="F1148" i="13"/>
  <c r="F1157" i="13"/>
  <c r="F1169" i="13"/>
  <c r="F1178" i="13"/>
  <c r="F1179" i="13"/>
  <c r="F1183" i="13"/>
  <c r="F1189" i="13"/>
  <c r="F1192" i="13"/>
  <c r="F1206" i="13"/>
  <c r="F1218" i="13"/>
  <c r="F1225" i="13"/>
  <c r="F1228" i="13"/>
  <c r="F1229" i="13"/>
  <c r="F1233" i="13"/>
  <c r="F1242" i="13"/>
  <c r="F1247" i="13"/>
  <c r="F1249" i="13"/>
  <c r="F1250" i="13"/>
  <c r="F1259" i="13"/>
  <c r="F1263" i="13"/>
  <c r="F1267" i="13"/>
  <c r="F1275" i="13"/>
  <c r="F1282" i="13"/>
  <c r="F1289" i="13"/>
  <c r="F1306" i="13"/>
  <c r="F1307" i="13"/>
  <c r="F1310" i="13"/>
  <c r="F1319" i="13"/>
  <c r="F1322" i="13"/>
  <c r="F1323" i="13"/>
  <c r="F1324" i="13"/>
  <c r="F1331" i="13"/>
  <c r="F1355" i="13"/>
  <c r="F1356" i="13"/>
  <c r="F1362" i="13"/>
  <c r="F1369" i="13"/>
  <c r="F1401" i="13"/>
  <c r="F1425" i="13"/>
  <c r="F1426" i="13"/>
  <c r="F1428" i="13"/>
  <c r="F1440" i="13"/>
  <c r="F1454" i="13"/>
  <c r="F1455" i="13"/>
  <c r="F1458" i="13"/>
  <c r="F2" i="13"/>
  <c r="F47" i="13"/>
  <c r="F52" i="13"/>
  <c r="F74" i="13"/>
  <c r="F112" i="13"/>
  <c r="F181" i="13"/>
  <c r="F199" i="13"/>
  <c r="F235" i="13"/>
  <c r="F242" i="13"/>
  <c r="F264" i="13"/>
  <c r="F301" i="13"/>
  <c r="F306" i="13"/>
  <c r="F402" i="13"/>
  <c r="F409" i="13"/>
  <c r="F427" i="13"/>
  <c r="F441" i="13"/>
  <c r="F444" i="13"/>
  <c r="F476" i="13"/>
  <c r="F535" i="13"/>
  <c r="F573" i="13"/>
  <c r="F589" i="13"/>
  <c r="F593" i="13"/>
  <c r="F613" i="13"/>
  <c r="F622" i="13"/>
  <c r="F628" i="13"/>
  <c r="F630" i="13"/>
  <c r="F637" i="13"/>
  <c r="F681" i="13"/>
  <c r="F704" i="13"/>
  <c r="F713" i="13"/>
  <c r="F739" i="13"/>
  <c r="F741" i="13"/>
  <c r="F746" i="13"/>
  <c r="F751" i="13"/>
  <c r="F772" i="13"/>
  <c r="F830" i="13"/>
  <c r="F840" i="13"/>
  <c r="F880" i="13"/>
  <c r="F909" i="13"/>
  <c r="F917" i="13"/>
  <c r="F929" i="13"/>
  <c r="F946" i="13"/>
  <c r="F979" i="13"/>
  <c r="F989" i="13"/>
  <c r="F997" i="13"/>
  <c r="F1056" i="13"/>
  <c r="F1062" i="13"/>
  <c r="F1117" i="13"/>
  <c r="F1167" i="13"/>
  <c r="F1176" i="13"/>
  <c r="F1184" i="13"/>
  <c r="F1196" i="13"/>
  <c r="F1213" i="13"/>
  <c r="F1217" i="13"/>
  <c r="F1246" i="13"/>
  <c r="F1283" i="13"/>
  <c r="F1348" i="13"/>
  <c r="F1378" i="13"/>
  <c r="F1388" i="13"/>
  <c r="F1395" i="13"/>
  <c r="F1415" i="13"/>
  <c r="F1416" i="13"/>
  <c r="F1423" i="13"/>
  <c r="F19" i="13"/>
  <c r="F86" i="13"/>
  <c r="F92" i="13"/>
  <c r="F105" i="13"/>
  <c r="F127" i="13"/>
  <c r="F147" i="13"/>
  <c r="F189" i="13"/>
  <c r="F194" i="13"/>
  <c r="F205" i="13"/>
  <c r="F231" i="13"/>
  <c r="F239" i="13"/>
  <c r="F283" i="13"/>
  <c r="F290" i="13"/>
  <c r="F313" i="13"/>
  <c r="F315" i="13"/>
  <c r="F349" i="13"/>
  <c r="F350" i="13"/>
  <c r="F357" i="13"/>
  <c r="F363" i="13"/>
  <c r="F371" i="13"/>
  <c r="F393" i="13"/>
  <c r="F400" i="13"/>
  <c r="F430" i="13"/>
  <c r="F439" i="13"/>
  <c r="F468" i="13"/>
  <c r="F487" i="13"/>
  <c r="F506" i="13"/>
  <c r="F527" i="13"/>
  <c r="F529" i="13"/>
  <c r="F538" i="13"/>
  <c r="F631" i="13"/>
  <c r="F706" i="13"/>
  <c r="F727" i="13"/>
  <c r="F758" i="13"/>
  <c r="F819" i="13"/>
  <c r="F861" i="13"/>
  <c r="F871" i="13"/>
  <c r="F938" i="13"/>
  <c r="F957" i="13"/>
  <c r="F1026" i="13"/>
  <c r="F1047" i="13"/>
  <c r="F1059" i="13"/>
  <c r="F1072" i="13"/>
  <c r="F1076" i="13"/>
  <c r="F1081" i="13"/>
  <c r="F1084" i="13"/>
  <c r="F1099" i="13"/>
  <c r="F1126" i="13"/>
  <c r="F1133" i="13"/>
  <c r="F1135" i="13"/>
  <c r="F1190" i="13"/>
  <c r="F1201" i="13"/>
  <c r="F1219" i="13"/>
  <c r="F1221" i="13"/>
  <c r="F1223" i="13"/>
  <c r="F1224" i="13"/>
  <c r="F1227" i="13"/>
  <c r="F1231" i="13"/>
  <c r="F1253" i="13"/>
  <c r="F1258" i="13"/>
  <c r="F1257" i="13"/>
  <c r="F1272" i="13"/>
  <c r="F1288" i="13"/>
  <c r="F1309" i="13"/>
  <c r="F1340" i="13"/>
  <c r="F1343" i="13"/>
  <c r="F1347" i="13"/>
  <c r="F1374" i="13"/>
  <c r="F1406" i="13"/>
  <c r="F1420" i="13"/>
  <c r="F1431" i="13"/>
  <c r="F1435" i="13"/>
  <c r="F4" i="13"/>
  <c r="F12" i="13"/>
  <c r="F25" i="13"/>
  <c r="F26" i="13"/>
  <c r="F27" i="13"/>
  <c r="F31" i="13"/>
  <c r="F37" i="13"/>
  <c r="F38" i="13"/>
  <c r="F68" i="13"/>
  <c r="F87" i="13"/>
  <c r="F104" i="13"/>
  <c r="F117" i="13"/>
  <c r="F121" i="13"/>
  <c r="F122" i="13"/>
  <c r="F131" i="13"/>
  <c r="F132" i="13"/>
  <c r="F136" i="13"/>
  <c r="F139" i="13"/>
  <c r="F144" i="13"/>
  <c r="F145" i="13"/>
  <c r="F152" i="13"/>
  <c r="F153" i="13"/>
  <c r="F170" i="13"/>
  <c r="F175" i="13"/>
  <c r="F203" i="13"/>
  <c r="F212" i="13"/>
  <c r="F219" i="13"/>
  <c r="F248" i="13"/>
  <c r="F278" i="13"/>
  <c r="F281" i="13"/>
  <c r="F288" i="13"/>
  <c r="F295" i="13"/>
  <c r="F298" i="13"/>
  <c r="F326" i="13"/>
  <c r="F330" i="13"/>
  <c r="F365" i="13"/>
  <c r="F389" i="13"/>
  <c r="F403" i="13"/>
  <c r="F415" i="13"/>
  <c r="F424" i="13"/>
  <c r="F446" i="13"/>
  <c r="F449" i="13"/>
  <c r="F453" i="13"/>
  <c r="F472" i="13"/>
  <c r="F477" i="13"/>
  <c r="F481" i="13"/>
  <c r="F492" i="13"/>
  <c r="F494" i="13"/>
  <c r="F501" i="13"/>
  <c r="F509" i="13"/>
  <c r="F511" i="13"/>
  <c r="F512" i="13"/>
  <c r="F518" i="13"/>
  <c r="F519" i="13"/>
  <c r="F523" i="13"/>
  <c r="F528" i="13"/>
  <c r="F532" i="13"/>
  <c r="F574" i="13"/>
  <c r="F606" i="13"/>
  <c r="F607" i="13"/>
  <c r="F615" i="13"/>
  <c r="F635" i="13"/>
  <c r="F642" i="13"/>
  <c r="F646" i="13"/>
  <c r="F657" i="13"/>
  <c r="F661" i="13"/>
  <c r="F664" i="13"/>
  <c r="F683" i="13"/>
  <c r="F701" i="13"/>
  <c r="F702" i="13"/>
  <c r="F714" i="13"/>
  <c r="F721" i="13"/>
  <c r="F731" i="13"/>
  <c r="F735" i="13"/>
  <c r="F762" i="13"/>
  <c r="F767" i="13"/>
  <c r="F781" i="13"/>
  <c r="F787" i="13"/>
  <c r="F791" i="13"/>
  <c r="F811" i="13"/>
  <c r="F817" i="13"/>
  <c r="F821" i="13"/>
  <c r="F837" i="13"/>
  <c r="F839" i="13"/>
  <c r="F838" i="13"/>
  <c r="F864" i="13"/>
  <c r="F874" i="13"/>
  <c r="F877" i="13"/>
  <c r="F885" i="13"/>
  <c r="F886" i="13"/>
  <c r="F890" i="13"/>
  <c r="F894" i="13"/>
  <c r="F906" i="13"/>
  <c r="F913" i="13"/>
  <c r="F912" i="13"/>
  <c r="F921" i="13"/>
  <c r="F971" i="13"/>
  <c r="F975" i="13"/>
  <c r="F985" i="13"/>
  <c r="F990" i="13"/>
  <c r="F996" i="13"/>
  <c r="F1016" i="13"/>
  <c r="F1019" i="13"/>
  <c r="F1032" i="13"/>
  <c r="F1030" i="13"/>
  <c r="F1033" i="13"/>
  <c r="F1036" i="13"/>
  <c r="F1039" i="13"/>
  <c r="F1042" i="13"/>
  <c r="F1049" i="13"/>
  <c r="F1069" i="13"/>
  <c r="F1088" i="13"/>
  <c r="F1098" i="13"/>
  <c r="F1122" i="13"/>
  <c r="F1150" i="13"/>
  <c r="F1152" i="13"/>
  <c r="F1153" i="13"/>
  <c r="F1180" i="13"/>
  <c r="F1197" i="13"/>
  <c r="F1205" i="13"/>
  <c r="F1212" i="13"/>
  <c r="F1226" i="13"/>
  <c r="F1245" i="13"/>
  <c r="F1251" i="13"/>
  <c r="F1255" i="13"/>
  <c r="F1265" i="13"/>
  <c r="F1278" i="13"/>
  <c r="F1281" i="13"/>
  <c r="F1300" i="13"/>
  <c r="F1304" i="13"/>
  <c r="F1327" i="13"/>
  <c r="F1330" i="13"/>
  <c r="F1339" i="13"/>
  <c r="F1342" i="13"/>
  <c r="F1366" i="13"/>
  <c r="F1370" i="13"/>
  <c r="F1377" i="13"/>
  <c r="F1379" i="13"/>
  <c r="F1411" i="13"/>
  <c r="F1413" i="13"/>
  <c r="F1418" i="13"/>
  <c r="F1427" i="13"/>
  <c r="F1434" i="13"/>
  <c r="F1443" i="13"/>
  <c r="F1448" i="13"/>
  <c r="F1457" i="13"/>
  <c r="F7" i="13"/>
  <c r="F9" i="13"/>
  <c r="F10" i="13"/>
  <c r="F11" i="13"/>
  <c r="F13" i="13"/>
  <c r="F18" i="13"/>
  <c r="F30" i="13"/>
  <c r="F39" i="13"/>
  <c r="F48" i="13"/>
  <c r="F54" i="13"/>
  <c r="F62" i="13"/>
  <c r="F66" i="13"/>
  <c r="F70" i="13"/>
  <c r="F71" i="13"/>
  <c r="F77" i="13"/>
  <c r="F81" i="13"/>
  <c r="F115" i="13"/>
  <c r="F119" i="13"/>
  <c r="F135" i="13"/>
  <c r="F142" i="13"/>
  <c r="F143" i="13"/>
  <c r="F150" i="13"/>
  <c r="F154" i="13"/>
  <c r="F173" i="13"/>
  <c r="F174" i="13"/>
  <c r="F176" i="13"/>
  <c r="F183" i="13"/>
  <c r="F187" i="13"/>
  <c r="F201" i="13"/>
  <c r="F214" i="13"/>
  <c r="F225" i="13"/>
  <c r="F228" i="13"/>
  <c r="F230" i="13"/>
  <c r="F233" i="13"/>
  <c r="F252" i="13"/>
  <c r="F253" i="13"/>
  <c r="F263" i="13"/>
  <c r="F282" i="13"/>
  <c r="F296" i="13"/>
  <c r="F297" i="13"/>
  <c r="F314" i="13"/>
  <c r="F323" i="13"/>
  <c r="F337" i="13"/>
  <c r="F353" i="13"/>
  <c r="F356" i="13"/>
  <c r="F360" i="13"/>
  <c r="F377" i="13"/>
  <c r="F380" i="13"/>
  <c r="F390" i="13"/>
  <c r="F395" i="13"/>
  <c r="F398" i="13"/>
  <c r="F405" i="13"/>
  <c r="F408" i="13"/>
  <c r="F435" i="13"/>
  <c r="F452" i="13"/>
  <c r="F463" i="13"/>
  <c r="F467" i="13"/>
  <c r="F469" i="13"/>
  <c r="F470" i="13"/>
  <c r="F497" i="13"/>
  <c r="F503" i="13"/>
  <c r="F504" i="13"/>
  <c r="F507" i="13"/>
  <c r="F508" i="13"/>
  <c r="F513" i="13"/>
  <c r="F534" i="13"/>
  <c r="F550" i="13"/>
  <c r="F559" i="13"/>
  <c r="F562" i="13"/>
  <c r="F566" i="13"/>
  <c r="F577" i="13"/>
  <c r="F581" i="13"/>
  <c r="F584" i="13"/>
  <c r="F585" i="13"/>
  <c r="F603" i="13"/>
  <c r="F609" i="13"/>
  <c r="F611" i="13"/>
  <c r="F616" i="13"/>
  <c r="F624" i="13"/>
  <c r="F643" i="13"/>
  <c r="F668" i="13"/>
  <c r="F676" i="13"/>
  <c r="F680" i="13"/>
  <c r="F686" i="13"/>
  <c r="F690" i="13"/>
  <c r="F691" i="13"/>
  <c r="F697" i="13"/>
  <c r="F725" i="13"/>
  <c r="F737" i="13"/>
  <c r="F745" i="13"/>
  <c r="F765" i="13"/>
  <c r="F798" i="13"/>
  <c r="F801" i="13"/>
  <c r="F832" i="13"/>
  <c r="F850" i="13"/>
  <c r="F867" i="13"/>
  <c r="F878" i="13"/>
  <c r="F881" i="13"/>
  <c r="F882" i="13"/>
  <c r="F887" i="13"/>
  <c r="F899" i="13"/>
  <c r="F901" i="13"/>
  <c r="F900" i="13"/>
  <c r="F923" i="13"/>
  <c r="F928" i="13"/>
  <c r="F934" i="13"/>
  <c r="F936" i="13"/>
  <c r="F947" i="13"/>
  <c r="F952" i="13"/>
  <c r="F953" i="13"/>
  <c r="F966" i="13"/>
  <c r="F986" i="13"/>
  <c r="F988" i="13"/>
  <c r="F994" i="13"/>
  <c r="F998" i="13"/>
  <c r="F1015" i="13"/>
  <c r="F1023" i="13"/>
  <c r="F1034" i="13"/>
  <c r="F1078" i="13"/>
  <c r="F1080" i="13"/>
  <c r="F1086" i="13"/>
  <c r="F1091" i="13"/>
  <c r="F1094" i="13"/>
  <c r="F1107" i="13"/>
  <c r="F1114" i="13"/>
  <c r="F1118" i="13"/>
  <c r="F1127" i="13"/>
  <c r="F1128" i="13"/>
  <c r="F1134" i="13"/>
  <c r="F1147" i="13"/>
  <c r="F1149" i="13"/>
  <c r="F1156" i="13"/>
  <c r="F1174" i="13"/>
  <c r="F1187" i="13"/>
  <c r="F1203" i="13"/>
  <c r="F1207" i="13"/>
  <c r="F1232" i="13"/>
  <c r="F1235" i="13"/>
  <c r="F1254" i="13"/>
  <c r="F1256" i="13"/>
  <c r="F1297" i="13"/>
  <c r="F1302" i="13"/>
  <c r="F1303" i="13"/>
  <c r="F1311" i="13"/>
  <c r="F1313" i="13"/>
  <c r="F1314" i="13"/>
  <c r="F1315" i="13"/>
  <c r="F1360" i="13"/>
  <c r="F1361" i="13"/>
  <c r="F1363" i="13"/>
  <c r="F1367" i="13"/>
  <c r="F1371" i="13"/>
  <c r="F1373" i="13"/>
  <c r="F1375" i="13"/>
  <c r="F1383" i="13"/>
  <c r="F1385" i="13"/>
  <c r="F1386" i="13"/>
  <c r="F1389" i="13"/>
  <c r="F1396" i="13"/>
  <c r="F1407" i="13"/>
  <c r="F1409" i="13"/>
  <c r="F1412" i="13"/>
  <c r="F1414" i="13"/>
  <c r="F1442" i="13"/>
  <c r="F1445" i="13"/>
  <c r="F1447" i="13"/>
  <c r="F1451" i="13"/>
  <c r="F1452" i="13"/>
  <c r="F1453" i="13"/>
  <c r="F1459" i="13"/>
  <c r="F5" i="13"/>
  <c r="F20" i="13"/>
  <c r="F22" i="13"/>
  <c r="F29" i="13"/>
  <c r="F40" i="13"/>
  <c r="F43" i="13"/>
  <c r="F53" i="13"/>
  <c r="F89" i="13"/>
  <c r="F90" i="13"/>
  <c r="F96" i="13"/>
  <c r="F99" i="13"/>
  <c r="F116" i="13"/>
  <c r="F149" i="13"/>
  <c r="F156" i="13"/>
  <c r="F159" i="13"/>
  <c r="F160" i="13"/>
  <c r="F161" i="13"/>
  <c r="F163" i="13"/>
  <c r="F164" i="13"/>
  <c r="F184" i="13"/>
  <c r="F188" i="13"/>
  <c r="F193" i="13"/>
  <c r="F196" i="13"/>
  <c r="F204" i="13"/>
  <c r="F218" i="13"/>
  <c r="F220" i="13"/>
  <c r="F222" i="13"/>
  <c r="F226" i="13"/>
  <c r="F240" i="13"/>
  <c r="F243" i="13"/>
  <c r="F247" i="13"/>
  <c r="F262" i="13"/>
  <c r="F265" i="13"/>
  <c r="F269" i="13"/>
  <c r="F271" i="13"/>
  <c r="F274" i="13"/>
  <c r="F275" i="13"/>
  <c r="F287" i="13"/>
  <c r="F317" i="13"/>
  <c r="F331" i="13"/>
  <c r="F332" i="13"/>
  <c r="F359" i="13"/>
  <c r="F361" i="13"/>
  <c r="F374" i="13"/>
  <c r="F386" i="13"/>
  <c r="F387" i="13"/>
  <c r="F391" i="13"/>
  <c r="F413" i="13"/>
  <c r="F418" i="13"/>
  <c r="F419" i="13"/>
  <c r="F425" i="13"/>
  <c r="F428" i="13"/>
  <c r="F443" i="13"/>
  <c r="F451" i="13"/>
  <c r="F457" i="13"/>
  <c r="F464" i="13"/>
  <c r="F485" i="13"/>
  <c r="F495" i="13"/>
  <c r="F516" i="13"/>
  <c r="F522" i="13"/>
  <c r="F524" i="13"/>
  <c r="F531" i="13"/>
  <c r="F557" i="13"/>
  <c r="F570" i="13"/>
  <c r="F578" i="13"/>
  <c r="F583" i="13"/>
  <c r="F591" i="13"/>
  <c r="F597" i="13"/>
  <c r="F598" i="13"/>
  <c r="F605" i="13"/>
  <c r="F608" i="13"/>
  <c r="F618" i="13"/>
  <c r="F655" i="13"/>
  <c r="F670" i="13"/>
  <c r="F671" i="13"/>
  <c r="F677" i="13"/>
  <c r="F684" i="13"/>
  <c r="F696" i="13"/>
  <c r="F705" i="13"/>
  <c r="F715" i="13"/>
  <c r="F726" i="13"/>
  <c r="F733" i="13"/>
  <c r="F736" i="13"/>
  <c r="F738" i="13"/>
  <c r="F742" i="13"/>
  <c r="F749" i="13"/>
  <c r="F753" i="13"/>
  <c r="F763" i="13"/>
  <c r="F782" i="13"/>
  <c r="F825" i="13"/>
  <c r="F826" i="13"/>
  <c r="F836" i="13"/>
  <c r="F845" i="13"/>
  <c r="F843" i="13"/>
  <c r="F849" i="13"/>
  <c r="F863" i="13"/>
  <c r="F866" i="13"/>
  <c r="F891" i="13"/>
  <c r="F898" i="13"/>
  <c r="F919" i="13"/>
  <c r="F939" i="13"/>
  <c r="F943" i="13"/>
  <c r="F960" i="13"/>
  <c r="F961" i="13"/>
  <c r="F973" i="13"/>
  <c r="F1003" i="13"/>
  <c r="F1004" i="13"/>
  <c r="F1007" i="13"/>
  <c r="F1008" i="13"/>
  <c r="F1029" i="13"/>
  <c r="F1044" i="13"/>
  <c r="F1075" i="13"/>
  <c r="F1077" i="13"/>
  <c r="F1079" i="13"/>
  <c r="F1105" i="13"/>
  <c r="F1129" i="13"/>
  <c r="F1160" i="13"/>
  <c r="F1161" i="13"/>
  <c r="F1165" i="13"/>
  <c r="F1168" i="13"/>
  <c r="F1173" i="13"/>
  <c r="F1181" i="13"/>
  <c r="F1182" i="13"/>
  <c r="F1188" i="13"/>
  <c r="F1194" i="13"/>
  <c r="F1199" i="13"/>
  <c r="F1200" i="13"/>
  <c r="F1210" i="13"/>
  <c r="F1214" i="13"/>
  <c r="F1236" i="13"/>
  <c r="F1238" i="13"/>
  <c r="F1243" i="13"/>
  <c r="F1239" i="13"/>
  <c r="F1262" i="13"/>
  <c r="F1270" i="13"/>
  <c r="F1285" i="13"/>
  <c r="F1320" i="13"/>
  <c r="F1326" i="13"/>
  <c r="F1334" i="13"/>
  <c r="F1349" i="13"/>
  <c r="F1351" i="13"/>
  <c r="F1352" i="13"/>
  <c r="F1353" i="13"/>
  <c r="F1365" i="13"/>
  <c r="F1390" i="13"/>
  <c r="F1391" i="13"/>
  <c r="F1394" i="13"/>
  <c r="F1402" i="13"/>
  <c r="F1403" i="13"/>
  <c r="F1422" i="13"/>
  <c r="F1424" i="13"/>
  <c r="F1436" i="13"/>
  <c r="F1437" i="13"/>
  <c r="F1438" i="13"/>
  <c r="F1456" i="13"/>
  <c r="F33" i="13"/>
  <c r="F41" i="13"/>
  <c r="F51" i="13"/>
  <c r="F97" i="13"/>
  <c r="F106" i="13"/>
  <c r="F141" i="13"/>
  <c r="F166" i="13"/>
  <c r="F169" i="13"/>
  <c r="F185" i="13"/>
  <c r="F207" i="13"/>
  <c r="F206" i="13"/>
  <c r="F217" i="13"/>
  <c r="F234" i="13"/>
  <c r="F245" i="13"/>
  <c r="F260" i="13"/>
  <c r="F291" i="13"/>
  <c r="F294" i="13"/>
  <c r="F309" i="13"/>
  <c r="F335" i="13"/>
  <c r="F340" i="13"/>
  <c r="F354" i="13"/>
  <c r="F369" i="13"/>
  <c r="F401" i="13"/>
  <c r="F407" i="13"/>
  <c r="F410" i="13"/>
  <c r="F411" i="13"/>
  <c r="F423" i="13"/>
  <c r="F433" i="13"/>
  <c r="F445" i="13"/>
  <c r="F447" i="13"/>
  <c r="F456" i="13"/>
  <c r="F466" i="13"/>
  <c r="F480" i="13"/>
  <c r="F483" i="13"/>
  <c r="F486" i="13"/>
  <c r="F488" i="13"/>
  <c r="F493" i="13"/>
  <c r="F496" i="13"/>
  <c r="F505" i="13"/>
  <c r="F515" i="13"/>
  <c r="F575" i="13"/>
  <c r="F582" i="13"/>
  <c r="F621" i="13"/>
  <c r="F647" i="13"/>
  <c r="F654" i="13"/>
  <c r="F692" i="13"/>
  <c r="F703" i="13"/>
  <c r="F723" i="13"/>
  <c r="F747" i="13"/>
  <c r="F752" i="13"/>
  <c r="F754" i="13"/>
  <c r="F779" i="13"/>
  <c r="F780" i="13"/>
  <c r="F851" i="13"/>
  <c r="F855" i="13"/>
  <c r="F860" i="13"/>
  <c r="F865" i="13"/>
  <c r="F869" i="13"/>
  <c r="F873" i="13"/>
  <c r="F910" i="13"/>
  <c r="F924" i="13"/>
  <c r="F945" i="13"/>
  <c r="F950" i="13"/>
  <c r="F954" i="13"/>
  <c r="F958" i="13"/>
  <c r="F965" i="13"/>
  <c r="F977" i="13"/>
  <c r="F983" i="13"/>
  <c r="F984" i="13"/>
  <c r="F1000" i="13"/>
  <c r="F1020" i="13"/>
  <c r="F1025" i="13"/>
  <c r="F1035" i="13"/>
  <c r="F1037" i="13"/>
  <c r="F1050" i="13"/>
  <c r="F1057" i="13"/>
  <c r="F1065" i="13"/>
  <c r="F1066" i="13"/>
  <c r="F1093" i="13"/>
  <c r="F1095" i="13"/>
  <c r="F1137" i="13"/>
  <c r="F1142" i="13"/>
  <c r="F1175" i="13"/>
  <c r="F1211" i="13"/>
  <c r="F1215" i="13"/>
  <c r="F1220" i="13"/>
  <c r="F1248" i="13"/>
  <c r="F1252" i="13"/>
  <c r="F1284" i="13"/>
  <c r="F1321" i="13"/>
  <c r="F1368" i="13"/>
  <c r="F1387" i="13"/>
  <c r="F1393" i="13"/>
  <c r="F1399" i="13"/>
  <c r="F1405" i="13"/>
  <c r="F1419" i="13"/>
  <c r="F1429" i="13"/>
  <c r="F3" i="13"/>
  <c r="F6" i="13"/>
  <c r="F21" i="13"/>
  <c r="F60" i="13"/>
  <c r="F85" i="13"/>
  <c r="F101" i="13"/>
  <c r="F107" i="13"/>
  <c r="F126" i="13"/>
  <c r="F128" i="13"/>
  <c r="F130" i="13"/>
  <c r="F137" i="13"/>
  <c r="F138" i="13"/>
  <c r="F148" i="13"/>
  <c r="F162" i="13"/>
  <c r="F202" i="13"/>
  <c r="F210" i="13"/>
  <c r="F236" i="13"/>
  <c r="F237" i="13"/>
  <c r="F241" i="13"/>
  <c r="F246" i="13"/>
  <c r="F256" i="13"/>
  <c r="F257" i="13"/>
  <c r="F259" i="13"/>
  <c r="F266" i="13"/>
  <c r="F268" i="13"/>
  <c r="F285" i="13"/>
  <c r="F307" i="13"/>
  <c r="F316" i="13"/>
  <c r="F333" i="13"/>
  <c r="F336" i="13"/>
  <c r="F339" i="13"/>
  <c r="F345" i="13"/>
  <c r="F348" i="13"/>
  <c r="F351" i="13"/>
  <c r="F383" i="13"/>
  <c r="F385" i="13"/>
  <c r="F450" i="13"/>
  <c r="F462" i="13"/>
  <c r="F471" i="13"/>
  <c r="F479" i="13"/>
  <c r="F489" i="13"/>
  <c r="F499" i="13"/>
  <c r="F525" i="13"/>
  <c r="F537" i="13"/>
  <c r="F543" i="13"/>
  <c r="F549" i="13"/>
  <c r="F561" i="13"/>
  <c r="F567" i="13"/>
  <c r="F568" i="13"/>
  <c r="F580" i="13"/>
  <c r="F595" i="13"/>
  <c r="F596" i="13"/>
  <c r="F610" i="13"/>
  <c r="F617" i="13"/>
  <c r="F626" i="13"/>
  <c r="F633" i="13"/>
  <c r="F640" i="13"/>
  <c r="F649" i="13"/>
  <c r="F658" i="13"/>
  <c r="F672" i="13"/>
  <c r="F712" i="13"/>
  <c r="F718" i="13"/>
  <c r="F722" i="13"/>
  <c r="F728" i="13"/>
  <c r="F764" i="13"/>
  <c r="F789" i="13"/>
  <c r="F803" i="13"/>
  <c r="F810" i="13"/>
  <c r="F833" i="13"/>
  <c r="F847" i="13"/>
  <c r="F870" i="13"/>
  <c r="F872" i="13"/>
  <c r="F883" i="13"/>
  <c r="F895" i="13"/>
  <c r="F896" i="13"/>
  <c r="F916" i="13"/>
  <c r="F932" i="13"/>
  <c r="F937" i="13"/>
  <c r="F941" i="13"/>
  <c r="F951" i="13"/>
  <c r="F974" i="13"/>
  <c r="F1013" i="13"/>
  <c r="F1017" i="13"/>
  <c r="F1027" i="13"/>
  <c r="F1043" i="13"/>
  <c r="F1045" i="13"/>
  <c r="F1048" i="13"/>
  <c r="F1070" i="13"/>
  <c r="F1087" i="13"/>
  <c r="F1111" i="13"/>
  <c r="F1130" i="13"/>
  <c r="F1139" i="13"/>
  <c r="F1144" i="13"/>
  <c r="F1163" i="13"/>
  <c r="F1170" i="13"/>
  <c r="F1185" i="13"/>
  <c r="F1191" i="13"/>
  <c r="F1202" i="13"/>
  <c r="F1234" i="13"/>
  <c r="F1291" i="13"/>
  <c r="F1293" i="13"/>
  <c r="F1305" i="13"/>
  <c r="F1316" i="13"/>
  <c r="F1328" i="13"/>
  <c r="F1333" i="13"/>
  <c r="F1359" i="13"/>
  <c r="F1398" i="13"/>
  <c r="F1404" i="13"/>
  <c r="F8" i="13"/>
  <c r="F16" i="13"/>
  <c r="F23" i="13"/>
  <c r="F34" i="13"/>
  <c r="F35" i="13"/>
  <c r="F42" i="13"/>
  <c r="F58" i="13"/>
  <c r="F67" i="13"/>
  <c r="F73" i="13"/>
  <c r="F78" i="13"/>
  <c r="F79" i="13"/>
  <c r="F118" i="13"/>
  <c r="F123" i="13"/>
  <c r="F125" i="13"/>
  <c r="F129" i="13"/>
  <c r="F133" i="13"/>
  <c r="F140" i="13"/>
  <c r="F155" i="13"/>
  <c r="F171" i="13"/>
  <c r="F190" i="13"/>
  <c r="F198" i="13"/>
  <c r="F211" i="13"/>
  <c r="F215" i="13"/>
  <c r="F223" i="13"/>
  <c r="F232" i="13"/>
  <c r="F249" i="13"/>
  <c r="F251" i="13"/>
  <c r="F289" i="13"/>
  <c r="F308" i="13"/>
  <c r="F338" i="13"/>
  <c r="F342" i="13"/>
  <c r="F344" i="13"/>
  <c r="F346" i="13"/>
  <c r="F358" i="13"/>
  <c r="F372" i="13"/>
  <c r="F375" i="13"/>
  <c r="F378" i="13"/>
  <c r="F396" i="13"/>
  <c r="F397" i="13"/>
  <c r="F399" i="13"/>
  <c r="F416" i="13"/>
  <c r="F417" i="13"/>
  <c r="F420" i="13"/>
  <c r="F426" i="13"/>
  <c r="F434" i="13"/>
  <c r="F438" i="13"/>
  <c r="F440" i="13"/>
  <c r="F478" i="13"/>
  <c r="F490" i="13"/>
  <c r="F517" i="13"/>
  <c r="F520" i="13"/>
  <c r="F530" i="13"/>
  <c r="F533" i="13"/>
  <c r="F536" i="13"/>
  <c r="F542" i="13"/>
  <c r="F558" i="13"/>
  <c r="F569" i="13"/>
  <c r="F594" i="13"/>
  <c r="F601" i="13"/>
  <c r="F614" i="13"/>
  <c r="F687" i="13"/>
  <c r="F689" i="13"/>
  <c r="F695" i="13"/>
  <c r="F699" i="13"/>
  <c r="F707" i="13"/>
  <c r="F709" i="13"/>
  <c r="F710" i="13"/>
  <c r="F724" i="13"/>
  <c r="F756" i="13"/>
  <c r="F757" i="13"/>
  <c r="F766" i="13"/>
  <c r="F784" i="13"/>
  <c r="F796" i="13"/>
  <c r="F802" i="13"/>
  <c r="F804" i="13"/>
  <c r="F807" i="13"/>
  <c r="F808" i="13"/>
  <c r="F834" i="13"/>
  <c r="F854" i="13"/>
  <c r="F868" i="13"/>
  <c r="F884" i="13"/>
  <c r="F892" i="13"/>
  <c r="F893" i="13"/>
  <c r="F903" i="13"/>
  <c r="F904" i="13"/>
  <c r="F907" i="13"/>
  <c r="F908" i="13"/>
  <c r="F915" i="13"/>
  <c r="F922" i="13"/>
  <c r="F925" i="13"/>
  <c r="F926" i="13"/>
  <c r="F933" i="13"/>
  <c r="F944" i="13"/>
  <c r="F949" i="13"/>
  <c r="F955" i="13"/>
  <c r="F963" i="13"/>
  <c r="F967" i="13"/>
  <c r="F980" i="13"/>
  <c r="F1011" i="13"/>
  <c r="F1022" i="13"/>
  <c r="F1038" i="13"/>
  <c r="F1046" i="13"/>
  <c r="F1060" i="13"/>
  <c r="F1063" i="13"/>
  <c r="F1071" i="13"/>
  <c r="F1073" i="13"/>
  <c r="F1106" i="13"/>
  <c r="F1116" i="13"/>
  <c r="F1136" i="13"/>
  <c r="F1138" i="13"/>
  <c r="F1186" i="13"/>
  <c r="F1198" i="13"/>
  <c r="F1204" i="13"/>
  <c r="F1230" i="13"/>
  <c r="F1240" i="13"/>
  <c r="F1244" i="13"/>
  <c r="F1276" i="13"/>
  <c r="F1295" i="13"/>
  <c r="F1332" i="13"/>
  <c r="F1335" i="13"/>
  <c r="F1336" i="13"/>
  <c r="F1341" i="13"/>
  <c r="F1345" i="13"/>
  <c r="F1346" i="13"/>
  <c r="F1372" i="13"/>
  <c r="F1381" i="13"/>
  <c r="F1384" i="13"/>
  <c r="F1441" i="13"/>
  <c r="F1449" i="13"/>
  <c r="F14" i="13"/>
  <c r="F17" i="13"/>
  <c r="F32" i="13"/>
  <c r="F46" i="13"/>
  <c r="F45" i="13"/>
  <c r="F55" i="13"/>
  <c r="F56" i="13"/>
  <c r="F57" i="13"/>
  <c r="F61" i="13"/>
  <c r="F63" i="13"/>
  <c r="F64" i="13"/>
  <c r="F69" i="13"/>
  <c r="F72" i="13"/>
  <c r="F75" i="13"/>
  <c r="F76" i="13"/>
  <c r="F84" i="13"/>
  <c r="F93" i="13"/>
  <c r="F110" i="13"/>
  <c r="F113" i="13"/>
  <c r="F114" i="13"/>
  <c r="F120" i="13"/>
  <c r="F146" i="13"/>
  <c r="F167" i="13"/>
  <c r="F168" i="13"/>
  <c r="F180" i="13"/>
  <c r="F186" i="13"/>
  <c r="F191" i="13"/>
  <c r="F192" i="13"/>
  <c r="F197" i="13"/>
  <c r="F208" i="13"/>
  <c r="F221" i="13"/>
  <c r="F227" i="13"/>
  <c r="F244" i="13"/>
  <c r="F250" i="13"/>
  <c r="F255" i="13"/>
  <c r="F267" i="13"/>
  <c r="F273" i="13"/>
  <c r="F276" i="13"/>
  <c r="F277" i="13"/>
  <c r="F280" i="13"/>
  <c r="F286" i="13"/>
  <c r="F292" i="13"/>
  <c r="F299" i="13"/>
  <c r="F300" i="13"/>
  <c r="F302" i="13"/>
  <c r="F303" i="13"/>
  <c r="F304" i="13"/>
  <c r="F311" i="13"/>
  <c r="F310" i="13"/>
  <c r="F312" i="13"/>
  <c r="F319" i="13"/>
  <c r="F320" i="13"/>
  <c r="F321" i="13"/>
  <c r="F322" i="13"/>
  <c r="F327" i="13"/>
  <c r="F334" i="13"/>
  <c r="F343" i="13"/>
  <c r="F355" i="13"/>
  <c r="F367" i="13"/>
  <c r="F373" i="13"/>
  <c r="F376" i="13"/>
  <c r="F381" i="13"/>
  <c r="F382" i="13"/>
  <c r="F384" i="13"/>
  <c r="F388" i="13"/>
  <c r="F392" i="13"/>
  <c r="F394" i="13"/>
  <c r="F421" i="13"/>
  <c r="F432" i="13"/>
  <c r="F436" i="13"/>
  <c r="F442" i="13"/>
  <c r="F448" i="13"/>
  <c r="F455" i="13"/>
  <c r="F458" i="13"/>
  <c r="F460" i="13"/>
  <c r="F461" i="13"/>
  <c r="F465" i="13"/>
  <c r="F482" i="13"/>
  <c r="F491" i="13"/>
  <c r="F500" i="13"/>
  <c r="F540" i="13"/>
  <c r="F545" i="13"/>
  <c r="F547" i="13"/>
  <c r="F551" i="13"/>
  <c r="F553" i="13"/>
  <c r="F555" i="13"/>
  <c r="F563" i="13"/>
  <c r="F564" i="13"/>
  <c r="F565" i="13"/>
  <c r="F572" i="13"/>
  <c r="F586" i="13"/>
  <c r="F587" i="13"/>
  <c r="F588" i="13"/>
  <c r="F599" i="13"/>
  <c r="F600" i="13"/>
  <c r="F602" i="13"/>
  <c r="F612" i="13"/>
  <c r="F623" i="13"/>
  <c r="F625" i="13"/>
  <c r="F632" i="13"/>
  <c r="F634" i="13"/>
  <c r="F636" i="13"/>
  <c r="F638" i="13"/>
  <c r="F644" i="13"/>
  <c r="F645" i="13"/>
  <c r="F656" i="13"/>
  <c r="F662" i="13"/>
  <c r="F665" i="13"/>
  <c r="F667" i="13"/>
  <c r="F669" i="13"/>
  <c r="F673" i="13"/>
  <c r="F674" i="13"/>
  <c r="F678" i="13"/>
  <c r="F682" i="13"/>
  <c r="F685" i="13"/>
  <c r="F688" i="13"/>
  <c r="F693" i="13"/>
  <c r="F698" i="13"/>
  <c r="F708" i="13"/>
  <c r="F716" i="13"/>
  <c r="F720" i="13"/>
  <c r="F730" i="13"/>
  <c r="F732" i="13"/>
  <c r="F740" i="13"/>
  <c r="F744" i="13"/>
  <c r="F743" i="13"/>
  <c r="F748" i="13"/>
  <c r="F755" i="13"/>
  <c r="F760" i="13"/>
  <c r="F759" i="13"/>
  <c r="F761" i="13"/>
  <c r="F768" i="13"/>
  <c r="F769" i="13"/>
  <c r="F770" i="13"/>
  <c r="F773" i="13"/>
  <c r="F776" i="13"/>
  <c r="F777" i="13"/>
  <c r="F778" i="13"/>
  <c r="F785" i="13"/>
  <c r="F786" i="13"/>
  <c r="F788" i="13"/>
  <c r="F790" i="13"/>
  <c r="F792" i="13"/>
  <c r="F793" i="13"/>
  <c r="F794" i="13"/>
  <c r="F797" i="13"/>
  <c r="F799" i="13"/>
  <c r="F805" i="13"/>
  <c r="F809" i="13"/>
  <c r="F812" i="13"/>
  <c r="F813" i="13"/>
  <c r="F815" i="13"/>
  <c r="F820" i="13"/>
  <c r="F822" i="13"/>
  <c r="F831" i="13"/>
  <c r="F841" i="13"/>
  <c r="F844" i="13"/>
  <c r="F846" i="13"/>
  <c r="F848" i="13"/>
  <c r="F852" i="13"/>
  <c r="F856" i="13"/>
  <c r="F857" i="13"/>
  <c r="F875" i="13"/>
  <c r="F897" i="13"/>
  <c r="F902" i="13"/>
  <c r="F905" i="13"/>
  <c r="F914" i="13"/>
  <c r="F920" i="13"/>
  <c r="F927" i="13"/>
  <c r="F930" i="13"/>
  <c r="F931" i="13"/>
  <c r="F935" i="13"/>
  <c r="F948" i="13"/>
  <c r="F959" i="13"/>
  <c r="F964" i="13"/>
  <c r="F968" i="13"/>
  <c r="F969" i="13"/>
  <c r="F970" i="13"/>
  <c r="F976" i="13"/>
  <c r="F978" i="13"/>
  <c r="F987" i="13"/>
  <c r="F991" i="13"/>
  <c r="F992" i="13"/>
  <c r="F993" i="13"/>
  <c r="F999" i="13"/>
  <c r="F1001" i="13"/>
  <c r="F1005" i="13"/>
  <c r="F1006" i="13"/>
  <c r="F1009" i="13"/>
  <c r="F1012" i="13"/>
  <c r="F1014" i="13"/>
  <c r="F1031" i="13"/>
  <c r="F1041" i="13"/>
  <c r="F1051" i="13"/>
  <c r="F1052" i="13"/>
  <c r="F1053" i="13"/>
  <c r="F1054" i="13"/>
  <c r="F1055" i="13"/>
  <c r="F1064" i="13"/>
  <c r="F1068" i="13"/>
  <c r="F1085" i="13"/>
  <c r="F1089" i="13"/>
  <c r="F1090" i="13"/>
  <c r="F1100" i="13"/>
  <c r="F1102" i="13"/>
  <c r="F1103" i="13"/>
  <c r="F1110" i="13"/>
  <c r="F1115" i="13"/>
  <c r="F1121" i="13"/>
  <c r="F1123" i="13"/>
  <c r="F1112" i="13"/>
  <c r="F1125" i="13"/>
  <c r="F1131" i="13"/>
  <c r="F1132" i="13"/>
  <c r="F1140" i="13"/>
  <c r="F1141" i="13"/>
  <c r="F1143" i="13"/>
  <c r="F1151" i="13"/>
  <c r="F1154" i="13"/>
  <c r="F1155" i="13"/>
  <c r="F1145" i="13"/>
  <c r="F1158" i="13"/>
  <c r="F1146" i="13"/>
  <c r="F1159" i="13"/>
  <c r="F1162" i="13"/>
  <c r="F1166" i="13"/>
  <c r="F1171" i="13"/>
  <c r="F1172" i="13"/>
  <c r="F1164" i="13"/>
  <c r="F1193" i="13"/>
  <c r="F1208" i="13"/>
  <c r="F1209" i="13"/>
  <c r="F1216" i="13"/>
  <c r="F1222" i="13"/>
  <c r="F1237" i="13"/>
  <c r="F1241" i="13"/>
  <c r="F1261" i="13"/>
  <c r="F1266" i="13"/>
  <c r="F1264" i="13"/>
  <c r="F1268" i="13"/>
  <c r="F1269" i="13"/>
  <c r="F1271" i="13"/>
  <c r="F1273" i="13"/>
  <c r="F1274" i="13"/>
  <c r="F1277" i="13"/>
  <c r="F1280" i="13"/>
  <c r="F1286" i="13"/>
  <c r="F1290" i="13"/>
  <c r="F1292" i="13"/>
  <c r="F1294" i="13"/>
  <c r="F1296" i="13"/>
  <c r="F1298" i="13"/>
  <c r="F1299" i="13"/>
  <c r="F1301" i="13"/>
  <c r="F1308" i="13"/>
  <c r="F1312" i="13"/>
  <c r="F1317" i="13"/>
  <c r="F1318" i="13"/>
  <c r="F1325" i="13"/>
  <c r="F1329" i="13"/>
  <c r="F1337" i="13"/>
  <c r="F1338" i="13"/>
  <c r="F1344" i="13"/>
  <c r="F1350" i="13"/>
  <c r="F1354" i="13"/>
  <c r="F1357" i="13"/>
  <c r="F1358" i="13"/>
  <c r="F1364" i="13"/>
  <c r="F1376" i="13"/>
  <c r="F1380" i="13"/>
  <c r="F1382" i="13"/>
  <c r="F1392" i="13"/>
  <c r="F1397" i="13"/>
  <c r="F1408" i="13"/>
  <c r="F1410" i="13"/>
  <c r="F1417" i="13"/>
  <c r="F1421" i="13"/>
  <c r="F1430" i="13"/>
  <c r="F1432" i="13"/>
  <c r="F1433" i="13"/>
  <c r="F1439" i="13"/>
  <c r="F1446" i="13"/>
  <c r="F1450" i="13"/>
  <c r="F28" i="13"/>
  <c r="F82" i="13"/>
  <c r="F88" i="13"/>
  <c r="F94" i="13"/>
  <c r="F108" i="13"/>
  <c r="F124" i="13"/>
  <c r="F179" i="13"/>
  <c r="F182" i="13"/>
  <c r="F254" i="13"/>
  <c r="F261" i="13"/>
  <c r="F272" i="13"/>
  <c r="F347" i="13"/>
  <c r="F362" i="13"/>
  <c r="F368" i="13"/>
  <c r="F459" i="13"/>
  <c r="F473" i="13"/>
  <c r="F474" i="13"/>
  <c r="F539" i="13"/>
  <c r="F560" i="13"/>
  <c r="F629" i="13"/>
  <c r="F663" i="13"/>
  <c r="F719" i="13"/>
  <c r="F814" i="13"/>
  <c r="F876" i="13"/>
  <c r="F940" i="13"/>
  <c r="F942" i="13"/>
  <c r="F982" i="13"/>
  <c r="F1040" i="13"/>
  <c r="F1120" i="13"/>
  <c r="F1177" i="13"/>
  <c r="F1195" i="13"/>
  <c r="F1260" i="13"/>
  <c r="F1279" i="13"/>
  <c r="F1287" i="13"/>
  <c r="F1400" i="13"/>
  <c r="F1444" i="13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2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G2" i="12" a="1"/>
  <c r="G40" i="12" a="1"/>
  <c r="G85" i="12" a="1"/>
  <c r="G61" i="12" a="1"/>
  <c r="G68" i="12" a="1"/>
  <c r="G16" i="12" a="1"/>
  <c r="G50" i="12" a="1"/>
  <c r="G30" i="12" a="1"/>
  <c r="G22" i="12" a="1"/>
  <c r="G98" i="12" a="1"/>
  <c r="G75" i="12" a="1"/>
  <c r="B182" i="13" l="1"/>
  <c r="O182" i="13"/>
  <c r="B442" i="13"/>
  <c r="O442" i="13"/>
  <c r="B1198" i="13"/>
  <c r="O1198" i="13"/>
  <c r="B426" i="13"/>
  <c r="O426" i="13"/>
  <c r="B133" i="13"/>
  <c r="O133" i="13"/>
  <c r="B118" i="13"/>
  <c r="O118" i="13"/>
  <c r="B958" i="13"/>
  <c r="O958" i="13"/>
  <c r="B1243" i="13"/>
  <c r="O1243" i="13"/>
  <c r="B1210" i="13"/>
  <c r="O1210" i="13"/>
  <c r="B504" i="13"/>
  <c r="O504" i="13"/>
  <c r="B119" i="13"/>
  <c r="O119" i="13"/>
  <c r="B894" i="13"/>
  <c r="O894" i="13"/>
  <c r="B721" i="13"/>
  <c r="O721" i="13"/>
  <c r="B683" i="13"/>
  <c r="O683" i="13"/>
  <c r="B607" i="13"/>
  <c r="O607" i="13"/>
  <c r="B424" i="13"/>
  <c r="O424" i="13"/>
  <c r="B248" i="13"/>
  <c r="O248" i="13"/>
  <c r="B132" i="13"/>
  <c r="O132" i="13"/>
  <c r="B117" i="13"/>
  <c r="O117" i="13"/>
  <c r="B38" i="13"/>
  <c r="O38" i="13"/>
  <c r="O1244" i="13"/>
  <c r="O940" i="13"/>
  <c r="B1301" i="13"/>
  <c r="O1301" i="13"/>
  <c r="B1222" i="13"/>
  <c r="O1222" i="13"/>
  <c r="B822" i="13"/>
  <c r="O822" i="13"/>
  <c r="B955" i="13"/>
  <c r="O955" i="13"/>
  <c r="B520" i="13"/>
  <c r="O520" i="13"/>
  <c r="B420" i="13"/>
  <c r="O420" i="13"/>
  <c r="B171" i="13"/>
  <c r="O171" i="13"/>
  <c r="B722" i="13"/>
  <c r="O722" i="13"/>
  <c r="B658" i="13"/>
  <c r="O658" i="13"/>
  <c r="B259" i="13"/>
  <c r="O259" i="13"/>
  <c r="B1211" i="13"/>
  <c r="O1211" i="13"/>
  <c r="B954" i="13"/>
  <c r="O954" i="13"/>
  <c r="B516" i="13"/>
  <c r="O516" i="13"/>
  <c r="B425" i="13"/>
  <c r="O425" i="13"/>
  <c r="B271" i="13"/>
  <c r="O271" i="13"/>
  <c r="B1386" i="13"/>
  <c r="O1386" i="13"/>
  <c r="B503" i="13"/>
  <c r="O503" i="13"/>
  <c r="B230" i="13"/>
  <c r="O230" i="13"/>
  <c r="B1327" i="13"/>
  <c r="O1327" i="13"/>
  <c r="B1197" i="13"/>
  <c r="O1197" i="13"/>
  <c r="B170" i="13"/>
  <c r="O170" i="13"/>
  <c r="B131" i="13"/>
  <c r="O131" i="13"/>
  <c r="B37" i="13"/>
  <c r="O37" i="13"/>
  <c r="B957" i="13"/>
  <c r="O957" i="13"/>
  <c r="B92" i="13"/>
  <c r="O92" i="13"/>
  <c r="B181" i="13"/>
  <c r="O181" i="13"/>
  <c r="B229" i="13"/>
  <c r="O229" i="13"/>
  <c r="O1160" i="13"/>
  <c r="O872" i="13"/>
  <c r="O496" i="13"/>
  <c r="B124" i="13"/>
  <c r="O124" i="13"/>
  <c r="B1397" i="13"/>
  <c r="O1397" i="13"/>
  <c r="B999" i="13"/>
  <c r="O999" i="13"/>
  <c r="B844" i="13"/>
  <c r="O844" i="13"/>
  <c r="B120" i="13"/>
  <c r="O120" i="13"/>
  <c r="B45" i="13"/>
  <c r="O45" i="13"/>
  <c r="B517" i="13"/>
  <c r="O517" i="13"/>
  <c r="B358" i="13"/>
  <c r="O358" i="13"/>
  <c r="B338" i="13"/>
  <c r="O338" i="13"/>
  <c r="B249" i="13"/>
  <c r="O249" i="13"/>
  <c r="B42" i="13"/>
  <c r="O42" i="13"/>
  <c r="B895" i="13"/>
  <c r="O895" i="13"/>
  <c r="B336" i="13"/>
  <c r="O336" i="13"/>
  <c r="B621" i="13"/>
  <c r="O621" i="13"/>
  <c r="B505" i="13"/>
  <c r="O505" i="13"/>
  <c r="B335" i="13"/>
  <c r="O335" i="13"/>
  <c r="B206" i="13"/>
  <c r="O206" i="13"/>
  <c r="B1161" i="13"/>
  <c r="O1161" i="13"/>
  <c r="B843" i="13"/>
  <c r="O843" i="13"/>
  <c r="B495" i="13"/>
  <c r="O495" i="13"/>
  <c r="B419" i="13"/>
  <c r="O419" i="13"/>
  <c r="B1385" i="13"/>
  <c r="O1385" i="13"/>
  <c r="B725" i="13"/>
  <c r="O725" i="13"/>
  <c r="B686" i="13"/>
  <c r="O686" i="13"/>
  <c r="B643" i="13"/>
  <c r="O643" i="13"/>
  <c r="B39" i="13"/>
  <c r="O39" i="13"/>
  <c r="B975" i="13"/>
  <c r="O975" i="13"/>
  <c r="B821" i="13"/>
  <c r="O821" i="13"/>
  <c r="B519" i="13"/>
  <c r="O519" i="13"/>
  <c r="B122" i="13"/>
  <c r="O122" i="13"/>
  <c r="B1221" i="13"/>
  <c r="O1221" i="13"/>
  <c r="B357" i="13"/>
  <c r="O357" i="13"/>
  <c r="B502" i="13"/>
  <c r="O502" i="13"/>
  <c r="B270" i="13"/>
  <c r="O270" i="13"/>
  <c r="B224" i="13"/>
  <c r="O224" i="13"/>
  <c r="B44" i="13"/>
  <c r="O44" i="13"/>
  <c r="O1396" i="13"/>
  <c r="O1300" i="13"/>
  <c r="O608" i="13"/>
  <c r="B644" i="13"/>
  <c r="O644" i="13"/>
  <c r="B967" i="13"/>
  <c r="O967" i="13"/>
  <c r="B687" i="13"/>
  <c r="O687" i="13"/>
  <c r="B123" i="13"/>
  <c r="O123" i="13"/>
  <c r="B712" i="13"/>
  <c r="O712" i="13"/>
  <c r="B851" i="13"/>
  <c r="O851" i="13"/>
  <c r="B41" i="13"/>
  <c r="O41" i="13"/>
  <c r="B939" i="13"/>
  <c r="O939" i="13"/>
  <c r="B726" i="13"/>
  <c r="O726" i="13"/>
  <c r="B684" i="13"/>
  <c r="O684" i="13"/>
  <c r="B40" i="13"/>
  <c r="O40" i="13"/>
  <c r="B998" i="13"/>
  <c r="O998" i="13"/>
  <c r="B966" i="13"/>
  <c r="O966" i="13"/>
  <c r="B850" i="13"/>
  <c r="O850" i="13"/>
  <c r="B337" i="13"/>
  <c r="O337" i="13"/>
  <c r="B225" i="13"/>
  <c r="O225" i="13"/>
  <c r="B657" i="13"/>
  <c r="O657" i="13"/>
  <c r="B518" i="13"/>
  <c r="O518" i="13"/>
  <c r="B121" i="13"/>
  <c r="O121" i="13"/>
  <c r="B871" i="13"/>
  <c r="O871" i="13"/>
  <c r="B205" i="13"/>
  <c r="O205" i="13"/>
  <c r="B441" i="13"/>
  <c r="O441" i="13"/>
  <c r="B711" i="13"/>
  <c r="O711" i="13"/>
  <c r="B620" i="13"/>
  <c r="O620" i="13"/>
  <c r="B258" i="13"/>
  <c r="O258" i="13"/>
  <c r="B91" i="13"/>
  <c r="O91" i="13"/>
  <c r="B36" i="13"/>
  <c r="O36" i="13"/>
  <c r="O1328" i="13"/>
  <c r="O976" i="13"/>
  <c r="G85" i="12"/>
  <c r="G75" i="12"/>
  <c r="G61" i="12"/>
  <c r="G98" i="12"/>
  <c r="G68" i="12"/>
  <c r="G50" i="12"/>
  <c r="G40" i="12"/>
  <c r="G30" i="12"/>
  <c r="G22" i="12"/>
  <c r="G16" i="12"/>
  <c r="G2" i="12"/>
  <c r="G99" i="12" a="1"/>
  <c r="G23" i="12" a="1"/>
  <c r="G3" i="12" a="1"/>
  <c r="G86" i="12" a="1"/>
  <c r="G69" i="12" a="1"/>
  <c r="G76" i="12" a="1"/>
  <c r="G31" i="12" a="1"/>
  <c r="G62" i="12" a="1"/>
  <c r="G51" i="12" a="1"/>
  <c r="G41" i="12" a="1"/>
  <c r="G17" i="12" a="1"/>
  <c r="C83" i="13" l="1"/>
  <c r="C10" i="13"/>
  <c r="C105" i="13"/>
  <c r="C1024" i="13"/>
  <c r="C772" i="13"/>
  <c r="C1196" i="13"/>
  <c r="C24" i="13"/>
  <c r="C738" i="13"/>
  <c r="C775" i="13"/>
  <c r="C469" i="13"/>
  <c r="C661" i="13"/>
  <c r="C33" i="13"/>
  <c r="C935" i="13"/>
  <c r="C1242" i="13"/>
  <c r="C1118" i="13"/>
  <c r="C136" i="13"/>
  <c r="C324" i="13"/>
  <c r="C1076" i="13"/>
  <c r="C1137" i="13"/>
  <c r="C1347" i="13"/>
  <c r="C554" i="13"/>
  <c r="C52" i="13"/>
  <c r="C528" i="13"/>
  <c r="C184" i="13"/>
  <c r="C546" i="13"/>
  <c r="C1370" i="13"/>
  <c r="C1192" i="13"/>
  <c r="C1403" i="13"/>
  <c r="C111" i="13"/>
  <c r="C370" i="13"/>
  <c r="C619" i="13"/>
  <c r="C824" i="13"/>
  <c r="C1092" i="13"/>
  <c r="C1282" i="13"/>
  <c r="C301" i="13"/>
  <c r="C979" i="13"/>
  <c r="C283" i="13"/>
  <c r="C1258" i="13"/>
  <c r="C839" i="13"/>
  <c r="C18" i="13"/>
  <c r="C616" i="13"/>
  <c r="C1302" i="13"/>
  <c r="C274" i="13"/>
  <c r="C919" i="13"/>
  <c r="C294" i="13"/>
  <c r="C126" i="13"/>
  <c r="C675" i="13"/>
  <c r="C1319" i="13"/>
  <c r="C350" i="13"/>
  <c r="C446" i="13"/>
  <c r="C577" i="13"/>
  <c r="C627" i="13"/>
  <c r="C497" i="13"/>
  <c r="C1371" i="13"/>
  <c r="C923" i="13"/>
  <c r="C405" i="13"/>
  <c r="C142" i="13"/>
  <c r="C1304" i="13"/>
  <c r="C913" i="13"/>
  <c r="C574" i="13"/>
  <c r="C153" i="13"/>
  <c r="C1231" i="13"/>
  <c r="C400" i="13"/>
  <c r="C1167" i="13"/>
  <c r="C704" i="13"/>
  <c r="C242" i="13"/>
  <c r="C1322" i="13"/>
  <c r="C1206" i="13"/>
  <c r="C1082" i="13"/>
  <c r="C853" i="13"/>
  <c r="C717" i="13"/>
  <c r="C592" i="13"/>
  <c r="C404" i="13"/>
  <c r="C172" i="13"/>
  <c r="C245" i="13"/>
  <c r="C1351" i="13"/>
  <c r="C1173" i="13"/>
  <c r="C845" i="13"/>
  <c r="C524" i="13"/>
  <c r="C386" i="13"/>
  <c r="C240" i="13"/>
  <c r="C149" i="13"/>
  <c r="C1414" i="13"/>
  <c r="C1303" i="13"/>
  <c r="C1127" i="13"/>
  <c r="C900" i="13"/>
  <c r="C680" i="13"/>
  <c r="C550" i="13"/>
  <c r="C398" i="13"/>
  <c r="C183" i="13"/>
  <c r="C62" i="13"/>
  <c r="C1418" i="13"/>
  <c r="C1212" i="13"/>
  <c r="C1030" i="13"/>
  <c r="C885" i="13"/>
  <c r="C731" i="13"/>
  <c r="C501" i="13"/>
  <c r="C298" i="13"/>
  <c r="C742" i="13"/>
  <c r="C485" i="13"/>
  <c r="C332" i="13"/>
  <c r="C218" i="13"/>
  <c r="C90" i="13"/>
  <c r="C1383" i="13"/>
  <c r="C1254" i="13"/>
  <c r="C1094" i="13"/>
  <c r="C882" i="13"/>
  <c r="C624" i="13"/>
  <c r="C507" i="13"/>
  <c r="C377" i="13"/>
  <c r="C154" i="13"/>
  <c r="C30" i="13"/>
  <c r="C1377" i="13"/>
  <c r="C1153" i="13"/>
  <c r="C996" i="13"/>
  <c r="C838" i="13"/>
  <c r="C701" i="13"/>
  <c r="C477" i="13"/>
  <c r="C278" i="13"/>
  <c r="C68" i="13"/>
  <c r="C1340" i="13"/>
  <c r="C1133" i="13"/>
  <c r="C529" i="13"/>
  <c r="C290" i="13"/>
  <c r="C1283" i="13"/>
  <c r="C917" i="13"/>
  <c r="C622" i="13"/>
  <c r="C74" i="13"/>
  <c r="C1331" i="13"/>
  <c r="C1247" i="13"/>
  <c r="C1124" i="13"/>
  <c r="C1028" i="13"/>
  <c r="C862" i="13"/>
  <c r="C783" i="13"/>
  <c r="C648" i="13"/>
  <c r="C521" i="13"/>
  <c r="C379" i="13"/>
  <c r="C216" i="13"/>
  <c r="C102" i="13"/>
  <c r="C60" i="13"/>
  <c r="C1215" i="13"/>
  <c r="C984" i="13"/>
  <c r="C747" i="13"/>
  <c r="C480" i="13"/>
  <c r="C292" i="13"/>
  <c r="C474" i="13"/>
  <c r="C441" i="13"/>
  <c r="C433" i="13"/>
  <c r="C143" i="13"/>
  <c r="C144" i="13"/>
  <c r="C315" i="13"/>
  <c r="C630" i="13"/>
  <c r="C1218" i="13"/>
  <c r="C729" i="13"/>
  <c r="C328" i="13"/>
  <c r="C257" i="13"/>
  <c r="C855" i="13"/>
  <c r="C1326" i="13"/>
  <c r="C670" i="13"/>
  <c r="C20" i="13"/>
  <c r="C1128" i="13"/>
  <c r="C609" i="13"/>
  <c r="C253" i="13"/>
  <c r="C1457" i="13"/>
  <c r="C1122" i="13"/>
  <c r="C735" i="13"/>
  <c r="C403" i="13"/>
  <c r="C12" i="13"/>
  <c r="C938" i="13"/>
  <c r="C86" i="13"/>
  <c r="C929" i="13"/>
  <c r="C444" i="13"/>
  <c r="C1440" i="13"/>
  <c r="C1267" i="13"/>
  <c r="C1109" i="13"/>
  <c r="C981" i="13"/>
  <c r="C816" i="13"/>
  <c r="C650" i="13"/>
  <c r="C526" i="13"/>
  <c r="C329" i="13"/>
  <c r="C95" i="13"/>
  <c r="C1437" i="13"/>
  <c r="C1239" i="13"/>
  <c r="C973" i="13"/>
  <c r="C655" i="13"/>
  <c r="C443" i="13"/>
  <c r="C275" i="13"/>
  <c r="C188" i="13"/>
  <c r="C5" i="13"/>
  <c r="C1367" i="13"/>
  <c r="C1203" i="13"/>
  <c r="C1078" i="13"/>
  <c r="C765" i="13"/>
  <c r="C603" i="13"/>
  <c r="C470" i="13"/>
  <c r="C296" i="13"/>
  <c r="C135" i="13"/>
  <c r="C491" i="13"/>
  <c r="C189" i="13"/>
  <c r="C279" i="13"/>
  <c r="C451" i="13"/>
  <c r="C187" i="13"/>
  <c r="C281" i="13"/>
  <c r="C746" i="13"/>
  <c r="C1097" i="13"/>
  <c r="C454" i="13"/>
  <c r="C1194" i="13"/>
  <c r="C265" i="13"/>
  <c r="C1149" i="13"/>
  <c r="C452" i="13"/>
  <c r="C1448" i="13"/>
  <c r="C1042" i="13"/>
  <c r="C781" i="13"/>
  <c r="C389" i="13"/>
  <c r="C27" i="13"/>
  <c r="C1227" i="13"/>
  <c r="C727" i="13"/>
  <c r="C127" i="13"/>
  <c r="C1117" i="13"/>
  <c r="C681" i="13"/>
  <c r="C1458" i="13"/>
  <c r="C1289" i="13"/>
  <c r="C1178" i="13"/>
  <c r="C1010" i="13"/>
  <c r="C827" i="13"/>
  <c r="C653" i="13"/>
  <c r="C498" i="13"/>
  <c r="C325" i="13"/>
  <c r="C134" i="13"/>
  <c r="C1429" i="13"/>
  <c r="C1065" i="13"/>
  <c r="C780" i="13"/>
  <c r="C445" i="13"/>
  <c r="C234" i="13"/>
  <c r="C1436" i="13"/>
  <c r="C1285" i="13"/>
  <c r="C1075" i="13"/>
  <c r="C863" i="13"/>
  <c r="C715" i="13"/>
  <c r="C570" i="13"/>
  <c r="C413" i="13"/>
  <c r="C262" i="13"/>
  <c r="C160" i="13"/>
  <c r="C1459" i="13"/>
  <c r="C1375" i="13"/>
  <c r="C1235" i="13"/>
  <c r="C1091" i="13"/>
  <c r="C934" i="13"/>
  <c r="C745" i="13"/>
  <c r="C585" i="13"/>
  <c r="C435" i="13"/>
  <c r="C282" i="13"/>
  <c r="C150" i="13"/>
  <c r="C9" i="13"/>
  <c r="C1330" i="13"/>
  <c r="C1152" i="13"/>
  <c r="C990" i="13"/>
  <c r="C811" i="13"/>
  <c r="C512" i="13"/>
  <c r="C295" i="13"/>
  <c r="C1435" i="13"/>
  <c r="C1224" i="13"/>
  <c r="C1026" i="13"/>
  <c r="C439" i="13"/>
  <c r="C194" i="13"/>
  <c r="C1246" i="13"/>
  <c r="C909" i="13"/>
  <c r="C613" i="13"/>
  <c r="C199" i="13"/>
  <c r="C1362" i="13"/>
  <c r="C1259" i="13"/>
  <c r="C1169" i="13"/>
  <c r="C1067" i="13"/>
  <c r="C888" i="13"/>
  <c r="C806" i="13"/>
  <c r="C666" i="13"/>
  <c r="C579" i="13"/>
  <c r="C484" i="13"/>
  <c r="C341" i="13"/>
  <c r="C213" i="13"/>
  <c r="C100" i="13"/>
  <c r="C861" i="13"/>
  <c r="C1165" i="13"/>
  <c r="C264" i="13"/>
  <c r="C1405" i="13"/>
  <c r="C1442" i="13"/>
  <c r="C1379" i="13"/>
  <c r="C1343" i="13"/>
  <c r="C402" i="13"/>
  <c r="C918" i="13"/>
  <c r="C200" i="13"/>
  <c r="C866" i="13"/>
  <c r="C161" i="13"/>
  <c r="C936" i="13"/>
  <c r="C252" i="13"/>
  <c r="C1339" i="13"/>
  <c r="C971" i="13"/>
  <c r="C615" i="13"/>
  <c r="C203" i="13"/>
  <c r="C4" i="13"/>
  <c r="C1219" i="13"/>
  <c r="C468" i="13"/>
  <c r="C19" i="13"/>
  <c r="C989" i="13"/>
  <c r="C573" i="13"/>
  <c r="C1428" i="13"/>
  <c r="C1263" i="13"/>
  <c r="C1108" i="13"/>
  <c r="C972" i="13"/>
  <c r="C818" i="13"/>
  <c r="C590" i="13"/>
  <c r="C437" i="13"/>
  <c r="C293" i="13"/>
  <c r="C59" i="13"/>
  <c r="C1393" i="13"/>
  <c r="C1035" i="13"/>
  <c r="C654" i="13"/>
  <c r="C410" i="13"/>
  <c r="C185" i="13"/>
  <c r="C1402" i="13"/>
  <c r="C1188" i="13"/>
  <c r="C1007" i="13"/>
  <c r="C836" i="13"/>
  <c r="C677" i="13"/>
  <c r="C522" i="13"/>
  <c r="C374" i="13"/>
  <c r="C226" i="13"/>
  <c r="C116" i="13"/>
  <c r="C1447" i="13"/>
  <c r="C1363" i="13"/>
  <c r="C1187" i="13"/>
  <c r="C1034" i="13"/>
  <c r="C901" i="13"/>
  <c r="C691" i="13"/>
  <c r="C566" i="13"/>
  <c r="C395" i="13"/>
  <c r="C233" i="13"/>
  <c r="C71" i="13"/>
  <c r="C1443" i="13"/>
  <c r="C1281" i="13"/>
  <c r="C1088" i="13"/>
  <c r="C921" i="13"/>
  <c r="C767" i="13"/>
  <c r="C494" i="13"/>
  <c r="C175" i="13"/>
  <c r="C1374" i="13"/>
  <c r="C1201" i="13"/>
  <c r="C1261" i="13"/>
  <c r="C1366" i="13"/>
  <c r="C1061" i="13"/>
  <c r="C456" i="13"/>
  <c r="C1080" i="13"/>
  <c r="C1033" i="13"/>
  <c r="C538" i="13"/>
  <c r="C1401" i="13"/>
  <c r="C771" i="13"/>
  <c r="C65" i="13"/>
  <c r="C598" i="13"/>
  <c r="C1451" i="13"/>
  <c r="C697" i="13"/>
  <c r="C77" i="13"/>
  <c r="C1255" i="13"/>
  <c r="C906" i="13"/>
  <c r="C532" i="13"/>
  <c r="C152" i="13"/>
  <c r="C1406" i="13"/>
  <c r="C1081" i="13"/>
  <c r="C393" i="13"/>
  <c r="C1395" i="13"/>
  <c r="C830" i="13"/>
  <c r="C306" i="13"/>
  <c r="C1369" i="13"/>
  <c r="C1228" i="13"/>
  <c r="C1096" i="13"/>
  <c r="C911" i="13"/>
  <c r="C750" i="13"/>
  <c r="C556" i="13"/>
  <c r="C414" i="13"/>
  <c r="C195" i="13"/>
  <c r="C138" i="13"/>
  <c r="C1284" i="13"/>
  <c r="C924" i="13"/>
  <c r="C575" i="13"/>
  <c r="C354" i="13"/>
  <c r="C106" i="13"/>
  <c r="C1365" i="13"/>
  <c r="C1168" i="13"/>
  <c r="C961" i="13"/>
  <c r="C763" i="13"/>
  <c r="C618" i="13"/>
  <c r="C464" i="13"/>
  <c r="C331" i="13"/>
  <c r="C204" i="13"/>
  <c r="C89" i="13"/>
  <c r="C1412" i="13"/>
  <c r="C1314" i="13"/>
  <c r="C1147" i="13"/>
  <c r="C994" i="13"/>
  <c r="C881" i="13"/>
  <c r="C676" i="13"/>
  <c r="C534" i="13"/>
  <c r="C360" i="13"/>
  <c r="C214" i="13"/>
  <c r="C54" i="13"/>
  <c r="C1413" i="13"/>
  <c r="C1251" i="13"/>
  <c r="C1039" i="13"/>
  <c r="C877" i="13"/>
  <c r="C646" i="13"/>
  <c r="C472" i="13"/>
  <c r="C145" i="13"/>
  <c r="C1309" i="13"/>
  <c r="C1126" i="13"/>
  <c r="C706" i="13"/>
  <c r="C349" i="13"/>
  <c r="C1423" i="13"/>
  <c r="C1062" i="13"/>
  <c r="C739" i="13"/>
  <c r="C427" i="13"/>
  <c r="C1455" i="13"/>
  <c r="C1310" i="13"/>
  <c r="C1225" i="13"/>
  <c r="C1104" i="13"/>
  <c r="C1002" i="13"/>
  <c r="C835" i="13"/>
  <c r="C734" i="13"/>
  <c r="C641" i="13"/>
  <c r="C544" i="13"/>
  <c r="C412" i="13"/>
  <c r="C284" i="13"/>
  <c r="C157" i="13"/>
  <c r="C50" i="13"/>
  <c r="C178" i="13"/>
  <c r="C431" i="13"/>
  <c r="C652" i="13"/>
  <c r="C859" i="13"/>
  <c r="C1119" i="13"/>
  <c r="C1324" i="13"/>
  <c r="C535" i="13"/>
  <c r="C1184" i="13"/>
  <c r="C371" i="13"/>
  <c r="C26" i="13"/>
  <c r="C1032" i="13"/>
  <c r="C176" i="13"/>
  <c r="C832" i="13"/>
  <c r="C1389" i="13"/>
  <c r="C428" i="13"/>
  <c r="C1129" i="13"/>
  <c r="C493" i="13"/>
  <c r="C165" i="13"/>
  <c r="C842" i="13"/>
  <c r="C235" i="13"/>
  <c r="C1047" i="13"/>
  <c r="C817" i="13"/>
  <c r="C1315" i="13"/>
  <c r="C1229" i="13"/>
  <c r="C1236" i="13"/>
  <c r="C238" i="13"/>
  <c r="C514" i="13"/>
  <c r="C700" i="13"/>
  <c r="C962" i="13"/>
  <c r="C1189" i="13"/>
  <c r="C1426" i="13"/>
  <c r="C637" i="13"/>
  <c r="C1388" i="13"/>
  <c r="C527" i="13"/>
  <c r="C365" i="13"/>
  <c r="C1205" i="13"/>
  <c r="C323" i="13"/>
  <c r="C953" i="13"/>
  <c r="C29" i="13"/>
  <c r="C597" i="13"/>
  <c r="C1349" i="13"/>
  <c r="C865" i="13"/>
  <c r="C352" i="13"/>
  <c r="C1074" i="13"/>
  <c r="C741" i="13"/>
  <c r="C1257" i="13"/>
  <c r="C1098" i="13"/>
  <c r="C418" i="13"/>
  <c r="C1348" i="13"/>
  <c r="C659" i="13"/>
  <c r="C1193" i="13"/>
  <c r="C1077" i="13"/>
  <c r="C1320" i="13"/>
  <c r="C141" i="13"/>
  <c r="C151" i="13"/>
  <c r="C364" i="13"/>
  <c r="C548" i="13"/>
  <c r="C679" i="13"/>
  <c r="C828" i="13"/>
  <c r="C1018" i="13"/>
  <c r="C1179" i="13"/>
  <c r="C1306" i="13"/>
  <c r="C2" i="13"/>
  <c r="C628" i="13"/>
  <c r="C997" i="13"/>
  <c r="C231" i="13"/>
  <c r="C1084" i="13"/>
  <c r="C87" i="13"/>
  <c r="C481" i="13"/>
  <c r="C864" i="13"/>
  <c r="C1226" i="13"/>
  <c r="C66" i="13"/>
  <c r="C353" i="13"/>
  <c r="C867" i="13"/>
  <c r="C1207" i="13"/>
  <c r="C220" i="13"/>
  <c r="C825" i="13"/>
  <c r="C1391" i="13"/>
  <c r="C1020" i="13"/>
  <c r="C15" i="13"/>
  <c r="C475" i="13"/>
  <c r="C889" i="13"/>
  <c r="C1250" i="13"/>
  <c r="C751" i="13"/>
  <c r="C1072" i="13"/>
  <c r="C492" i="13"/>
  <c r="C611" i="13"/>
  <c r="C1185" i="13"/>
  <c r="C85" i="13"/>
  <c r="C580" i="13"/>
  <c r="C269" i="13"/>
  <c r="C943" i="13"/>
  <c r="C401" i="13"/>
  <c r="C1248" i="13"/>
  <c r="C80" i="13"/>
  <c r="C576" i="13"/>
  <c r="C995" i="13"/>
  <c r="C1356" i="13"/>
  <c r="C1378" i="13"/>
  <c r="C1190" i="13"/>
  <c r="C642" i="13"/>
  <c r="C361" i="13"/>
  <c r="C724" i="13"/>
  <c r="C346" i="13"/>
  <c r="C634" i="13"/>
  <c r="C91" i="13"/>
  <c r="C425" i="13"/>
  <c r="C45" i="13"/>
  <c r="C1210" i="13"/>
  <c r="C559" i="13"/>
  <c r="C986" i="13"/>
  <c r="C1311" i="13"/>
  <c r="C163" i="13"/>
  <c r="C583" i="13"/>
  <c r="C1029" i="13"/>
  <c r="C166" i="13"/>
  <c r="C950" i="13"/>
  <c r="C101" i="13"/>
  <c r="C177" i="13"/>
  <c r="C541" i="13"/>
  <c r="C800" i="13"/>
  <c r="C1157" i="13"/>
  <c r="C1454" i="13"/>
  <c r="C946" i="13"/>
  <c r="C631" i="13"/>
  <c r="C25" i="13"/>
  <c r="C791" i="13"/>
  <c r="C1297" i="13"/>
  <c r="C316" i="13"/>
  <c r="C1112" i="13"/>
  <c r="C280" i="13"/>
  <c r="C949" i="13"/>
  <c r="C1170" i="13"/>
  <c r="C851" i="13"/>
  <c r="C13" i="13"/>
  <c r="C1114" i="13"/>
  <c r="C960" i="13"/>
  <c r="C582" i="13"/>
  <c r="C530" i="13"/>
  <c r="C367" i="13"/>
  <c r="C1052" i="13"/>
  <c r="C1220" i="13"/>
  <c r="C140" i="13"/>
  <c r="C168" i="13"/>
  <c r="C841" i="13"/>
  <c r="C28" i="13"/>
  <c r="C351" i="13"/>
  <c r="C834" i="13"/>
  <c r="C553" i="13"/>
  <c r="C1145" i="13"/>
  <c r="C230" i="13"/>
  <c r="C941" i="13"/>
  <c r="C146" i="13"/>
  <c r="C1055" i="13"/>
  <c r="P1366" i="13"/>
  <c r="C337" i="13"/>
  <c r="P44" i="13"/>
  <c r="C96" i="13"/>
  <c r="C359" i="13"/>
  <c r="C733" i="13"/>
  <c r="C1181" i="13"/>
  <c r="C1438" i="13"/>
  <c r="C703" i="13"/>
  <c r="C1093" i="13"/>
  <c r="C162" i="13"/>
  <c r="C109" i="13"/>
  <c r="C406" i="13"/>
  <c r="C639" i="13"/>
  <c r="C829" i="13"/>
  <c r="C1101" i="13"/>
  <c r="C1307" i="13"/>
  <c r="C476" i="13"/>
  <c r="C1176" i="13"/>
  <c r="C430" i="13"/>
  <c r="C1253" i="13"/>
  <c r="C288" i="13"/>
  <c r="C912" i="13"/>
  <c r="C467" i="13"/>
  <c r="C196" i="13"/>
  <c r="C217" i="13"/>
  <c r="C951" i="13"/>
  <c r="C1346" i="13"/>
  <c r="C748" i="13"/>
  <c r="C1325" i="13"/>
  <c r="C1396" i="13"/>
  <c r="C610" i="13"/>
  <c r="C904" i="13"/>
  <c r="C564" i="13"/>
  <c r="C1155" i="13"/>
  <c r="C821" i="13"/>
  <c r="C1305" i="13"/>
  <c r="C93" i="13"/>
  <c r="C809" i="13"/>
  <c r="C261" i="13"/>
  <c r="C21" i="13"/>
  <c r="C695" i="13"/>
  <c r="C656" i="13"/>
  <c r="C248" i="13"/>
  <c r="C64" i="13"/>
  <c r="C792" i="13"/>
  <c r="C1410" i="13"/>
  <c r="C939" i="13"/>
  <c r="C883" i="13"/>
  <c r="C1071" i="13"/>
  <c r="C665" i="13"/>
  <c r="C1241" i="13"/>
  <c r="C686" i="13"/>
  <c r="C125" i="13"/>
  <c r="C273" i="13"/>
  <c r="C927" i="13"/>
  <c r="C942" i="13"/>
  <c r="C241" i="13"/>
  <c r="C893" i="13"/>
  <c r="C759" i="13"/>
  <c r="C358" i="13"/>
  <c r="C249" i="13"/>
  <c r="C442" i="13"/>
  <c r="C179" i="13"/>
  <c r="C1318" i="13"/>
  <c r="C1151" i="13"/>
  <c r="C1012" i="13"/>
  <c r="C930" i="13"/>
  <c r="C797" i="13"/>
  <c r="C730" i="13"/>
  <c r="C636" i="13"/>
  <c r="C545" i="13"/>
  <c r="C355" i="13"/>
  <c r="C276" i="13"/>
  <c r="C110" i="13"/>
  <c r="C1345" i="13"/>
  <c r="C1060" i="13"/>
  <c r="C854" i="13"/>
  <c r="C542" i="13"/>
  <c r="C251" i="13"/>
  <c r="C23" i="13"/>
  <c r="C1130" i="13"/>
  <c r="C896" i="13"/>
  <c r="C595" i="13"/>
  <c r="C383" i="13"/>
  <c r="C202" i="13"/>
  <c r="C1419" i="13"/>
  <c r="C945" i="13"/>
  <c r="C954" i="13"/>
  <c r="C719" i="13"/>
  <c r="C82" i="13"/>
  <c r="C1354" i="13"/>
  <c r="C1292" i="13"/>
  <c r="C1216" i="13"/>
  <c r="C1143" i="13"/>
  <c r="C1085" i="13"/>
  <c r="C987" i="13"/>
  <c r="C902" i="13"/>
  <c r="C794" i="13"/>
  <c r="C760" i="13"/>
  <c r="C678" i="13"/>
  <c r="C612" i="13"/>
  <c r="C540" i="13"/>
  <c r="C388" i="13"/>
  <c r="C310" i="13"/>
  <c r="C244" i="13"/>
  <c r="C72" i="13"/>
  <c r="C1341" i="13"/>
  <c r="C1073" i="13"/>
  <c r="C925" i="13"/>
  <c r="C802" i="13"/>
  <c r="C594" i="13"/>
  <c r="C396" i="13"/>
  <c r="C78" i="13"/>
  <c r="C1202" i="13"/>
  <c r="C1013" i="13"/>
  <c r="C718" i="13"/>
  <c r="C549" i="13"/>
  <c r="C309" i="13"/>
  <c r="C206" i="13"/>
  <c r="C419" i="13"/>
  <c r="C643" i="13"/>
  <c r="C519" i="13"/>
  <c r="C502" i="13"/>
  <c r="C1279" i="13"/>
  <c r="C362" i="13"/>
  <c r="C1433" i="13"/>
  <c r="C1350" i="13"/>
  <c r="C1290" i="13"/>
  <c r="C1209" i="13"/>
  <c r="C1141" i="13"/>
  <c r="C1068" i="13"/>
  <c r="C993" i="13"/>
  <c r="C920" i="13"/>
  <c r="C815" i="13"/>
  <c r="C776" i="13"/>
  <c r="C716" i="13"/>
  <c r="C632" i="13"/>
  <c r="C551" i="13"/>
  <c r="C421" i="13"/>
  <c r="C320" i="13"/>
  <c r="C267" i="13"/>
  <c r="C114" i="13"/>
  <c r="C46" i="13"/>
  <c r="C1276" i="13"/>
  <c r="C1038" i="13"/>
  <c r="C884" i="13"/>
  <c r="C707" i="13"/>
  <c r="C434" i="13"/>
  <c r="C308" i="13"/>
  <c r="C73" i="13"/>
  <c r="C1293" i="13"/>
  <c r="C1043" i="13"/>
  <c r="C833" i="13"/>
  <c r="C568" i="13"/>
  <c r="C348" i="13"/>
  <c r="C236" i="13"/>
  <c r="C3" i="13"/>
  <c r="C1142" i="13"/>
  <c r="C965" i="13"/>
  <c r="C369" i="13"/>
  <c r="C998" i="13"/>
  <c r="C225" i="13"/>
  <c r="C36" i="13"/>
  <c r="C876" i="13"/>
  <c r="C94" i="13"/>
  <c r="C1382" i="13"/>
  <c r="C1308" i="13"/>
  <c r="C1264" i="13"/>
  <c r="C1146" i="13"/>
  <c r="C1110" i="13"/>
  <c r="C1014" i="13"/>
  <c r="C931" i="13"/>
  <c r="C831" i="13"/>
  <c r="C785" i="13"/>
  <c r="C732" i="13"/>
  <c r="C662" i="13"/>
  <c r="C586" i="13"/>
  <c r="C460" i="13"/>
  <c r="C327" i="13"/>
  <c r="C277" i="13"/>
  <c r="C167" i="13"/>
  <c r="C56" i="13"/>
  <c r="C1335" i="13"/>
  <c r="C963" i="13"/>
  <c r="C868" i="13"/>
  <c r="C699" i="13"/>
  <c r="C478" i="13"/>
  <c r="C289" i="13"/>
  <c r="C34" i="13"/>
  <c r="C1139" i="13"/>
  <c r="C916" i="13"/>
  <c r="C633" i="13"/>
  <c r="C479" i="13"/>
  <c r="C266" i="13"/>
  <c r="C1057" i="13"/>
  <c r="C860" i="13"/>
  <c r="C515" i="13"/>
  <c r="C407" i="13"/>
  <c r="C169" i="13"/>
  <c r="C1394" i="13"/>
  <c r="C1238" i="13"/>
  <c r="C1105" i="13"/>
  <c r="C898" i="13"/>
  <c r="C736" i="13"/>
  <c r="C557" i="13"/>
  <c r="C317" i="13"/>
  <c r="C164" i="13"/>
  <c r="C22" i="13"/>
  <c r="C1373" i="13"/>
  <c r="C1232" i="13"/>
  <c r="C1086" i="13"/>
  <c r="C928" i="13"/>
  <c r="C737" i="13"/>
  <c r="C584" i="13"/>
  <c r="C408" i="13"/>
  <c r="C263" i="13"/>
  <c r="C115" i="13"/>
  <c r="C7" i="13"/>
  <c r="C1278" i="13"/>
  <c r="C1036" i="13"/>
  <c r="C890" i="13"/>
  <c r="C762" i="13"/>
  <c r="C606" i="13"/>
  <c r="C453" i="13"/>
  <c r="C219" i="13"/>
  <c r="C1431" i="13"/>
  <c r="C1223" i="13"/>
  <c r="C819" i="13"/>
  <c r="C363" i="13"/>
  <c r="C1416" i="13"/>
  <c r="C1056" i="13"/>
  <c r="C713" i="13"/>
  <c r="C409" i="13"/>
  <c r="C1425" i="13"/>
  <c r="C1275" i="13"/>
  <c r="C1183" i="13"/>
  <c r="C1083" i="13"/>
  <c r="C956" i="13"/>
  <c r="C823" i="13"/>
  <c r="C694" i="13"/>
  <c r="C604" i="13"/>
  <c r="C510" i="13"/>
  <c r="C366" i="13"/>
  <c r="C209" i="13"/>
  <c r="C98" i="13"/>
  <c r="C285" i="13"/>
  <c r="C130" i="13"/>
  <c r="C1368" i="13"/>
  <c r="C1050" i="13"/>
  <c r="C873" i="13"/>
  <c r="C486" i="13"/>
  <c r="C260" i="13"/>
  <c r="C1422" i="13"/>
  <c r="C1262" i="13"/>
  <c r="C1079" i="13"/>
  <c r="C891" i="13"/>
  <c r="C696" i="13"/>
  <c r="C531" i="13"/>
  <c r="C287" i="13"/>
  <c r="C193" i="13"/>
  <c r="C43" i="13"/>
  <c r="C1407" i="13"/>
  <c r="C1256" i="13"/>
  <c r="C1107" i="13"/>
  <c r="C947" i="13"/>
  <c r="C798" i="13"/>
  <c r="C508" i="13"/>
  <c r="C380" i="13"/>
  <c r="C228" i="13"/>
  <c r="C81" i="13"/>
  <c r="C1427" i="13"/>
  <c r="C1265" i="13"/>
  <c r="C1049" i="13"/>
  <c r="C886" i="13"/>
  <c r="C702" i="13"/>
  <c r="C509" i="13"/>
  <c r="C326" i="13"/>
  <c r="C139" i="13"/>
  <c r="C1420" i="13"/>
  <c r="C1135" i="13"/>
  <c r="C758" i="13"/>
  <c r="C313" i="13"/>
  <c r="C1415" i="13"/>
  <c r="C1397" i="13"/>
  <c r="C1244" i="13"/>
  <c r="C1222" i="13"/>
  <c r="C259" i="13"/>
  <c r="C721" i="13"/>
  <c r="C1400" i="13"/>
  <c r="C88" i="13"/>
  <c r="C1294" i="13"/>
  <c r="C1132" i="13"/>
  <c r="C1001" i="13"/>
  <c r="C905" i="13"/>
  <c r="C778" i="13"/>
  <c r="C698" i="13"/>
  <c r="C623" i="13"/>
  <c r="C458" i="13"/>
  <c r="C322" i="13"/>
  <c r="C250" i="13"/>
  <c r="C63" i="13"/>
  <c r="C1332" i="13"/>
  <c r="C1011" i="13"/>
  <c r="C766" i="13"/>
  <c r="C440" i="13"/>
  <c r="C215" i="13"/>
  <c r="C1316" i="13"/>
  <c r="C1048" i="13"/>
  <c r="C870" i="13"/>
  <c r="C561" i="13"/>
  <c r="C339" i="13"/>
  <c r="C137" i="13"/>
  <c r="C1387" i="13"/>
  <c r="C869" i="13"/>
  <c r="C608" i="13"/>
  <c r="C1386" i="13"/>
  <c r="C1197" i="13"/>
  <c r="C957" i="13"/>
  <c r="C1287" i="13"/>
  <c r="C539" i="13"/>
  <c r="C1439" i="13"/>
  <c r="C1337" i="13"/>
  <c r="C1277" i="13"/>
  <c r="C1164" i="13"/>
  <c r="C1131" i="13"/>
  <c r="C1054" i="13"/>
  <c r="C969" i="13"/>
  <c r="C856" i="13"/>
  <c r="C788" i="13"/>
  <c r="C744" i="13"/>
  <c r="C667" i="13"/>
  <c r="C588" i="13"/>
  <c r="C465" i="13"/>
  <c r="C376" i="13"/>
  <c r="C302" i="13"/>
  <c r="C197" i="13"/>
  <c r="C61" i="13"/>
  <c r="C1295" i="13"/>
  <c r="C1046" i="13"/>
  <c r="C907" i="13"/>
  <c r="C757" i="13"/>
  <c r="C536" i="13"/>
  <c r="C211" i="13"/>
  <c r="C16" i="13"/>
  <c r="C1163" i="13"/>
  <c r="C937" i="13"/>
  <c r="C649" i="13"/>
  <c r="C499" i="13"/>
  <c r="C621" i="13"/>
  <c r="C1161" i="13"/>
  <c r="C1385" i="13"/>
  <c r="C39" i="13"/>
  <c r="C122" i="13"/>
  <c r="C270" i="13"/>
  <c r="C1120" i="13"/>
  <c r="C254" i="13"/>
  <c r="C1417" i="13"/>
  <c r="C1329" i="13"/>
  <c r="C1274" i="13"/>
  <c r="C1172" i="13"/>
  <c r="C1125" i="13"/>
  <c r="C1053" i="13"/>
  <c r="C978" i="13"/>
  <c r="C897" i="13"/>
  <c r="C805" i="13"/>
  <c r="C768" i="13"/>
  <c r="C688" i="13"/>
  <c r="C602" i="13"/>
  <c r="C500" i="13"/>
  <c r="C384" i="13"/>
  <c r="C311" i="13"/>
  <c r="C227" i="13"/>
  <c r="C84" i="13"/>
  <c r="C1449" i="13"/>
  <c r="C1204" i="13"/>
  <c r="C944" i="13"/>
  <c r="C808" i="13"/>
  <c r="C569" i="13"/>
  <c r="C416" i="13"/>
  <c r="C232" i="13"/>
  <c r="C35" i="13"/>
  <c r="C1191" i="13"/>
  <c r="C974" i="13"/>
  <c r="C764" i="13"/>
  <c r="C543" i="13"/>
  <c r="C333" i="13"/>
  <c r="C148" i="13"/>
  <c r="C1399" i="13"/>
  <c r="C1066" i="13"/>
  <c r="C483" i="13"/>
  <c r="C684" i="13"/>
  <c r="C1300" i="13"/>
  <c r="C871" i="13"/>
  <c r="C620" i="13"/>
  <c r="C1444" i="13"/>
  <c r="C629" i="13"/>
  <c r="C1450" i="13"/>
  <c r="C1358" i="13"/>
  <c r="C1296" i="13"/>
  <c r="C1237" i="13"/>
  <c r="C1154" i="13"/>
  <c r="C1090" i="13"/>
  <c r="C1005" i="13"/>
  <c r="C914" i="13"/>
  <c r="C813" i="13"/>
  <c r="C773" i="13"/>
  <c r="C708" i="13"/>
  <c r="C638" i="13"/>
  <c r="C563" i="13"/>
  <c r="C394" i="13"/>
  <c r="C319" i="13"/>
  <c r="C255" i="13"/>
  <c r="C113" i="13"/>
  <c r="C32" i="13"/>
  <c r="C1116" i="13"/>
  <c r="C933" i="13"/>
  <c r="C807" i="13"/>
  <c r="C614" i="13"/>
  <c r="C399" i="13"/>
  <c r="C223" i="13"/>
  <c r="C1404" i="13"/>
  <c r="C1070" i="13"/>
  <c r="C810" i="13"/>
  <c r="C596" i="13"/>
  <c r="C385" i="13"/>
  <c r="C246" i="13"/>
  <c r="C1025" i="13"/>
  <c r="C779" i="13"/>
  <c r="C488" i="13"/>
  <c r="C340" i="13"/>
  <c r="C97" i="13"/>
  <c r="C1353" i="13"/>
  <c r="C1200" i="13"/>
  <c r="C1044" i="13"/>
  <c r="C849" i="13"/>
  <c r="C705" i="13"/>
  <c r="C457" i="13"/>
  <c r="C247" i="13"/>
  <c r="C159" i="13"/>
  <c r="C1453" i="13"/>
  <c r="C1361" i="13"/>
  <c r="C1174" i="13"/>
  <c r="C1023" i="13"/>
  <c r="C899" i="13"/>
  <c r="C690" i="13"/>
  <c r="C562" i="13"/>
  <c r="C390" i="13"/>
  <c r="C201" i="13"/>
  <c r="C70" i="13"/>
  <c r="C1434" i="13"/>
  <c r="C1245" i="13"/>
  <c r="C1019" i="13"/>
  <c r="C874" i="13"/>
  <c r="C714" i="13"/>
  <c r="C523" i="13"/>
  <c r="C415" i="13"/>
  <c r="C133" i="13"/>
  <c r="C814" i="13"/>
  <c r="C1408" i="13"/>
  <c r="C1266" i="13"/>
  <c r="C1089" i="13"/>
  <c r="C991" i="13"/>
  <c r="C846" i="13"/>
  <c r="C770" i="13"/>
  <c r="C682" i="13"/>
  <c r="C572" i="13"/>
  <c r="C436" i="13"/>
  <c r="C312" i="13"/>
  <c r="C186" i="13"/>
  <c r="C55" i="13"/>
  <c r="C1240" i="13"/>
  <c r="C908" i="13"/>
  <c r="C710" i="13"/>
  <c r="C397" i="13"/>
  <c r="C79" i="13"/>
  <c r="C1234" i="13"/>
  <c r="C1017" i="13"/>
  <c r="C803" i="13"/>
  <c r="C525" i="13"/>
  <c r="C307" i="13"/>
  <c r="C107" i="13"/>
  <c r="C1252" i="13"/>
  <c r="C752" i="13"/>
  <c r="C1177" i="13"/>
  <c r="C368" i="13"/>
  <c r="C1421" i="13"/>
  <c r="C1317" i="13"/>
  <c r="C1269" i="13"/>
  <c r="C1162" i="13"/>
  <c r="C1121" i="13"/>
  <c r="C1041" i="13"/>
  <c r="C948" i="13"/>
  <c r="C820" i="13"/>
  <c r="C777" i="13"/>
  <c r="C720" i="13"/>
  <c r="C645" i="13"/>
  <c r="C565" i="13"/>
  <c r="C455" i="13"/>
  <c r="C343" i="13"/>
  <c r="C286" i="13"/>
  <c r="C180" i="13"/>
  <c r="C14" i="13"/>
  <c r="C1230" i="13"/>
  <c r="C980" i="13"/>
  <c r="C892" i="13"/>
  <c r="C709" i="13"/>
  <c r="C438" i="13"/>
  <c r="C155" i="13"/>
  <c r="C1359" i="13"/>
  <c r="C1111" i="13"/>
  <c r="C847" i="13"/>
  <c r="C617" i="13"/>
  <c r="C462" i="13"/>
  <c r="C505" i="13"/>
  <c r="C843" i="13"/>
  <c r="C725" i="13"/>
  <c r="C975" i="13"/>
  <c r="C1221" i="13"/>
  <c r="C224" i="13"/>
  <c r="C663" i="13"/>
  <c r="C108" i="13"/>
  <c r="C1392" i="13"/>
  <c r="C1312" i="13"/>
  <c r="C1268" i="13"/>
  <c r="C1159" i="13"/>
  <c r="C1115" i="13"/>
  <c r="C1031" i="13"/>
  <c r="C968" i="13"/>
  <c r="C852" i="13"/>
  <c r="C793" i="13"/>
  <c r="C755" i="13"/>
  <c r="C674" i="13"/>
  <c r="C587" i="13"/>
  <c r="C461" i="13"/>
  <c r="C373" i="13"/>
  <c r="C300" i="13"/>
  <c r="C192" i="13"/>
  <c r="C69" i="13"/>
  <c r="C1372" i="13"/>
  <c r="C1136" i="13"/>
  <c r="C922" i="13"/>
  <c r="C796" i="13"/>
  <c r="C533" i="13"/>
  <c r="C378" i="13"/>
  <c r="C198" i="13"/>
  <c r="C8" i="13"/>
  <c r="C1144" i="13"/>
  <c r="C932" i="13"/>
  <c r="C640" i="13"/>
  <c r="C489" i="13"/>
  <c r="C268" i="13"/>
  <c r="C128" i="13"/>
  <c r="C1321" i="13"/>
  <c r="C1037" i="13"/>
  <c r="C447" i="13"/>
  <c r="C1160" i="13"/>
  <c r="C850" i="13"/>
  <c r="C1260" i="13"/>
  <c r="C473" i="13"/>
  <c r="C1432" i="13"/>
  <c r="C1344" i="13"/>
  <c r="C1286" i="13"/>
  <c r="C1208" i="13"/>
  <c r="C1140" i="13"/>
  <c r="C1064" i="13"/>
  <c r="C992" i="13"/>
  <c r="C875" i="13"/>
  <c r="C799" i="13"/>
  <c r="C761" i="13"/>
  <c r="C685" i="13"/>
  <c r="C625" i="13"/>
  <c r="C547" i="13"/>
  <c r="C382" i="13"/>
  <c r="C304" i="13"/>
  <c r="C221" i="13"/>
  <c r="C76" i="13"/>
  <c r="C1441" i="13"/>
  <c r="C1063" i="13"/>
  <c r="C915" i="13"/>
  <c r="C784" i="13"/>
  <c r="C558" i="13"/>
  <c r="C375" i="13"/>
  <c r="C190" i="13"/>
  <c r="C1291" i="13"/>
  <c r="C1027" i="13"/>
  <c r="C728" i="13"/>
  <c r="C567" i="13"/>
  <c r="C345" i="13"/>
  <c r="C210" i="13"/>
  <c r="C983" i="13"/>
  <c r="C723" i="13"/>
  <c r="C466" i="13"/>
  <c r="C291" i="13"/>
  <c r="C1456" i="13"/>
  <c r="C1334" i="13"/>
  <c r="C1182" i="13"/>
  <c r="C1004" i="13"/>
  <c r="C826" i="13"/>
  <c r="C671" i="13"/>
  <c r="C391" i="13"/>
  <c r="C222" i="13"/>
  <c r="C99" i="13"/>
  <c r="C1445" i="13"/>
  <c r="C1313" i="13"/>
  <c r="C1134" i="13"/>
  <c r="C988" i="13"/>
  <c r="C878" i="13"/>
  <c r="C668" i="13"/>
  <c r="C513" i="13"/>
  <c r="C356" i="13"/>
  <c r="C174" i="13"/>
  <c r="C48" i="13"/>
  <c r="C1411" i="13"/>
  <c r="C1150" i="13"/>
  <c r="C985" i="13"/>
  <c r="C837" i="13"/>
  <c r="C664" i="13"/>
  <c r="C511" i="13"/>
  <c r="C330" i="13"/>
  <c r="C104" i="13"/>
  <c r="C1288" i="13"/>
  <c r="C1099" i="13"/>
  <c r="C506" i="13"/>
  <c r="C239" i="13"/>
  <c r="C1217" i="13"/>
  <c r="C880" i="13"/>
  <c r="C593" i="13"/>
  <c r="C47" i="13"/>
  <c r="C1323" i="13"/>
  <c r="C1233" i="13"/>
  <c r="C1113" i="13"/>
  <c r="C1021" i="13"/>
  <c r="C858" i="13"/>
  <c r="C774" i="13"/>
  <c r="C651" i="13"/>
  <c r="C552" i="13"/>
  <c r="C429" i="13"/>
  <c r="C318" i="13"/>
  <c r="C158" i="13"/>
  <c r="C49" i="13"/>
  <c r="C237" i="13"/>
  <c r="C6" i="13"/>
  <c r="C1175" i="13"/>
  <c r="C977" i="13"/>
  <c r="C754" i="13"/>
  <c r="C423" i="13"/>
  <c r="C51" i="13"/>
  <c r="C1352" i="13"/>
  <c r="C1199" i="13"/>
  <c r="C1003" i="13"/>
  <c r="C749" i="13"/>
  <c r="C605" i="13"/>
  <c r="C387" i="13"/>
  <c r="C243" i="13"/>
  <c r="C156" i="13"/>
  <c r="C1452" i="13"/>
  <c r="C1360" i="13"/>
  <c r="C1156" i="13"/>
  <c r="C1015" i="13"/>
  <c r="C887" i="13"/>
  <c r="C581" i="13"/>
  <c r="C463" i="13"/>
  <c r="C297" i="13"/>
  <c r="C173" i="13"/>
  <c r="C11" i="13"/>
  <c r="C1342" i="13"/>
  <c r="C1180" i="13"/>
  <c r="C1016" i="13"/>
  <c r="C787" i="13"/>
  <c r="C635" i="13"/>
  <c r="C449" i="13"/>
  <c r="C212" i="13"/>
  <c r="C31" i="13"/>
  <c r="C1272" i="13"/>
  <c r="C1059" i="13"/>
  <c r="C487" i="13"/>
  <c r="C147" i="13"/>
  <c r="C1213" i="13"/>
  <c r="C840" i="13"/>
  <c r="C589" i="13"/>
  <c r="C112" i="13"/>
  <c r="C1355" i="13"/>
  <c r="C1249" i="13"/>
  <c r="C1148" i="13"/>
  <c r="C1058" i="13"/>
  <c r="C879" i="13"/>
  <c r="C795" i="13"/>
  <c r="C660" i="13"/>
  <c r="C571" i="13"/>
  <c r="C422" i="13"/>
  <c r="C305" i="13"/>
  <c r="C103" i="13"/>
  <c r="C207" i="13"/>
  <c r="C1390" i="13"/>
  <c r="C1214" i="13"/>
  <c r="C1008" i="13"/>
  <c r="C782" i="13"/>
  <c r="C578" i="13"/>
  <c r="C258" i="13"/>
  <c r="C711" i="13"/>
  <c r="C205" i="13"/>
  <c r="C121" i="13"/>
  <c r="C657" i="13"/>
  <c r="C966" i="13"/>
  <c r="C40" i="13"/>
  <c r="C726" i="13"/>
  <c r="C41" i="13"/>
  <c r="C229" i="13"/>
  <c r="C92" i="13"/>
  <c r="C37" i="13"/>
  <c r="C170" i="13"/>
  <c r="C1327" i="13"/>
  <c r="C503" i="13"/>
  <c r="C271" i="13"/>
  <c r="C516" i="13"/>
  <c r="C658" i="13"/>
  <c r="C520" i="13"/>
  <c r="C1301" i="13"/>
  <c r="C38" i="13"/>
  <c r="C424" i="13"/>
  <c r="C894" i="13"/>
  <c r="C1243" i="13"/>
  <c r="C801" i="13"/>
  <c r="C1409" i="13"/>
  <c r="C591" i="13"/>
  <c r="C1270" i="13"/>
  <c r="C647" i="13"/>
  <c r="C537" i="13"/>
  <c r="C67" i="13"/>
  <c r="C903" i="13"/>
  <c r="C191" i="13"/>
  <c r="C600" i="13"/>
  <c r="C848" i="13"/>
  <c r="C1171" i="13"/>
  <c r="C347" i="13"/>
  <c r="C518" i="13"/>
  <c r="C411" i="13"/>
  <c r="C256" i="13"/>
  <c r="C1087" i="13"/>
  <c r="C490" i="13"/>
  <c r="C1336" i="13"/>
  <c r="C334" i="13"/>
  <c r="C740" i="13"/>
  <c r="C1006" i="13"/>
  <c r="C1298" i="13"/>
  <c r="C44" i="13"/>
  <c r="C495" i="13"/>
  <c r="C789" i="13"/>
  <c r="C417" i="13"/>
  <c r="C1138" i="13"/>
  <c r="C321" i="13"/>
  <c r="C693" i="13"/>
  <c r="C1009" i="13"/>
  <c r="C1299" i="13"/>
  <c r="C181" i="13"/>
  <c r="C692" i="13"/>
  <c r="C471" i="13"/>
  <c r="C58" i="13"/>
  <c r="C1106" i="13"/>
  <c r="C392" i="13"/>
  <c r="C812" i="13"/>
  <c r="C1380" i="13"/>
  <c r="C420" i="13"/>
  <c r="C1069" i="13"/>
  <c r="C314" i="13"/>
  <c r="C952" i="13"/>
  <c r="C53" i="13"/>
  <c r="C753" i="13"/>
  <c r="C1424" i="13"/>
  <c r="C910" i="13"/>
  <c r="C672" i="13"/>
  <c r="C344" i="13"/>
  <c r="C1022" i="13"/>
  <c r="C299" i="13"/>
  <c r="C673" i="13"/>
  <c r="C964" i="13"/>
  <c r="C1273" i="13"/>
  <c r="C1040" i="13"/>
  <c r="C1000" i="13"/>
  <c r="C450" i="13"/>
  <c r="C1333" i="13"/>
  <c r="C756" i="13"/>
  <c r="C57" i="13"/>
  <c r="C448" i="13"/>
  <c r="C786" i="13"/>
  <c r="C1100" i="13"/>
  <c r="C1364" i="13"/>
  <c r="C357" i="13"/>
  <c r="C335" i="13"/>
  <c r="C1045" i="13"/>
  <c r="C689" i="13"/>
  <c r="C1381" i="13"/>
  <c r="C432" i="13"/>
  <c r="C769" i="13"/>
  <c r="C1102" i="13"/>
  <c r="C1376" i="13"/>
  <c r="C131" i="13"/>
  <c r="C1095" i="13"/>
  <c r="C626" i="13"/>
  <c r="C342" i="13"/>
  <c r="C17" i="13"/>
  <c r="C555" i="13"/>
  <c r="C959" i="13"/>
  <c r="C560" i="13"/>
  <c r="C118" i="13"/>
  <c r="C967" i="13"/>
  <c r="P270" i="13"/>
  <c r="P357" i="13"/>
  <c r="P122" i="13"/>
  <c r="P821" i="13"/>
  <c r="P39" i="13"/>
  <c r="P686" i="13"/>
  <c r="P1385" i="13"/>
  <c r="P495" i="13"/>
  <c r="P1161" i="13"/>
  <c r="P335" i="13"/>
  <c r="P621" i="13"/>
  <c r="P895" i="13"/>
  <c r="P249" i="13"/>
  <c r="P358" i="13"/>
  <c r="P45" i="13"/>
  <c r="P844" i="13"/>
  <c r="P1397" i="13"/>
  <c r="P496" i="13"/>
  <c r="P172" i="13"/>
  <c r="P526" i="13"/>
  <c r="P771" i="13"/>
  <c r="P1058" i="13"/>
  <c r="P1267" i="13"/>
  <c r="P109" i="13"/>
  <c r="P406" i="13"/>
  <c r="P651" i="13"/>
  <c r="P889" i="13"/>
  <c r="P1183" i="13"/>
  <c r="P264" i="13"/>
  <c r="P1217" i="13"/>
  <c r="P157" i="13"/>
  <c r="P652" i="13"/>
  <c r="P1259" i="13"/>
  <c r="P1246" i="13"/>
  <c r="P437" i="13"/>
  <c r="P1010" i="13"/>
  <c r="P1369" i="13"/>
  <c r="P1395" i="13"/>
  <c r="P1406" i="13"/>
  <c r="P731" i="13"/>
  <c r="P1418" i="13"/>
  <c r="P550" i="13"/>
  <c r="P1303" i="13"/>
  <c r="P386" i="13"/>
  <c r="P1194" i="13"/>
  <c r="P582" i="13"/>
  <c r="P148" i="13"/>
  <c r="P974" i="13"/>
  <c r="P416" i="13"/>
  <c r="P628" i="13"/>
  <c r="P538" i="13"/>
  <c r="P281" i="13"/>
  <c r="P1033" i="13"/>
  <c r="P187" i="13"/>
  <c r="P923" i="13"/>
  <c r="P20" i="13"/>
  <c r="P670" i="13"/>
  <c r="P1391" i="13"/>
  <c r="P1020" i="13"/>
  <c r="P499" i="13"/>
  <c r="P16" i="13"/>
  <c r="P907" i="13"/>
  <c r="P430" i="13"/>
  <c r="P288" i="13"/>
  <c r="P912" i="13"/>
  <c r="P976" i="13"/>
  <c r="P91" i="13"/>
  <c r="P620" i="13"/>
  <c r="P441" i="13"/>
  <c r="P871" i="13"/>
  <c r="P518" i="13"/>
  <c r="P225" i="13"/>
  <c r="P850" i="13"/>
  <c r="P998" i="13"/>
  <c r="P684" i="13"/>
  <c r="P939" i="13"/>
  <c r="P851" i="13"/>
  <c r="P123" i="13"/>
  <c r="P967" i="13"/>
  <c r="P608" i="13"/>
  <c r="P872" i="13"/>
  <c r="P181" i="13"/>
  <c r="P957" i="13"/>
  <c r="P131" i="13"/>
  <c r="P1197" i="13"/>
  <c r="P230" i="13"/>
  <c r="P1386" i="13"/>
  <c r="P425" i="13"/>
  <c r="P954" i="13"/>
  <c r="P259" i="13"/>
  <c r="P722" i="13"/>
  <c r="P420" i="13"/>
  <c r="P955" i="13"/>
  <c r="P1222" i="13"/>
  <c r="P940" i="13"/>
  <c r="P117" i="13"/>
  <c r="P248" i="13"/>
  <c r="P607" i="13"/>
  <c r="P721" i="13"/>
  <c r="P119" i="13"/>
  <c r="P1210" i="13"/>
  <c r="P958" i="13"/>
  <c r="P133" i="13"/>
  <c r="P1198" i="13"/>
  <c r="P182" i="13"/>
  <c r="P329" i="13"/>
  <c r="P627" i="13"/>
  <c r="P853" i="13"/>
  <c r="P1109" i="13"/>
  <c r="P1355" i="13"/>
  <c r="P209" i="13"/>
  <c r="P510" i="13"/>
  <c r="P729" i="13"/>
  <c r="P1061" i="13"/>
  <c r="P1250" i="13"/>
  <c r="P593" i="13"/>
  <c r="P239" i="13"/>
  <c r="P284" i="13"/>
  <c r="P775" i="13"/>
  <c r="P52" i="13"/>
  <c r="P349" i="13"/>
  <c r="P556" i="13"/>
  <c r="P1074" i="13"/>
  <c r="P235" i="13"/>
  <c r="P350" i="13"/>
  <c r="P136" i="13"/>
  <c r="P885" i="13"/>
  <c r="P62" i="13"/>
  <c r="P680" i="13"/>
  <c r="P1414" i="13"/>
  <c r="P524" i="13"/>
  <c r="P1351" i="13"/>
  <c r="P945" i="13"/>
  <c r="P333" i="13"/>
  <c r="P1191" i="13"/>
  <c r="P65" i="13"/>
  <c r="P929" i="13"/>
  <c r="P1084" i="13"/>
  <c r="P481" i="13"/>
  <c r="P1226" i="13"/>
  <c r="P353" i="13"/>
  <c r="P1080" i="13"/>
  <c r="P163" i="13"/>
  <c r="P825" i="13"/>
  <c r="P166" i="13"/>
  <c r="P1248" i="13"/>
  <c r="P649" i="13"/>
  <c r="P211" i="13"/>
  <c r="P1046" i="13"/>
  <c r="P1072" i="13"/>
  <c r="P492" i="13"/>
  <c r="P1069" i="13"/>
  <c r="P1328" i="13"/>
  <c r="C1384" i="13"/>
  <c r="C123" i="13"/>
  <c r="P1300" i="13"/>
  <c r="P224" i="13"/>
  <c r="P502" i="13"/>
  <c r="P1221" i="13"/>
  <c r="P519" i="13"/>
  <c r="P975" i="13"/>
  <c r="P643" i="13"/>
  <c r="P725" i="13"/>
  <c r="P419" i="13"/>
  <c r="P843" i="13"/>
  <c r="P206" i="13"/>
  <c r="P505" i="13"/>
  <c r="P336" i="13"/>
  <c r="P42" i="13"/>
  <c r="P338" i="13"/>
  <c r="P517" i="13"/>
  <c r="P120" i="13"/>
  <c r="P999" i="13"/>
  <c r="P124" i="13"/>
  <c r="P1160" i="13"/>
  <c r="P1244" i="13"/>
  <c r="P364" i="13"/>
  <c r="P650" i="13"/>
  <c r="P879" i="13"/>
  <c r="P1179" i="13"/>
  <c r="P15" i="13"/>
  <c r="P279" i="13"/>
  <c r="P541" i="13"/>
  <c r="P774" i="13"/>
  <c r="P1083" i="13"/>
  <c r="P1275" i="13"/>
  <c r="P630" i="13"/>
  <c r="P315" i="13"/>
  <c r="P412" i="13"/>
  <c r="P962" i="13"/>
  <c r="P535" i="13"/>
  <c r="P134" i="13"/>
  <c r="P675" i="13"/>
  <c r="P1178" i="13"/>
  <c r="P681" i="13"/>
  <c r="P727" i="13"/>
  <c r="P298" i="13"/>
  <c r="P1030" i="13"/>
  <c r="P183" i="13"/>
  <c r="P900" i="13"/>
  <c r="P149" i="13"/>
  <c r="P742" i="13"/>
  <c r="P141" i="13"/>
  <c r="P1066" i="13"/>
  <c r="P543" i="13"/>
  <c r="P35" i="13"/>
  <c r="P1401" i="13"/>
  <c r="P1348" i="13"/>
  <c r="P1343" i="13"/>
  <c r="P661" i="13"/>
  <c r="P1379" i="13"/>
  <c r="P497" i="13"/>
  <c r="P1207" i="13"/>
  <c r="P269" i="13"/>
  <c r="P1029" i="13"/>
  <c r="P456" i="13"/>
  <c r="P101" i="13"/>
  <c r="P937" i="13"/>
  <c r="P536" i="13"/>
  <c r="P956" i="13"/>
  <c r="P1253" i="13"/>
  <c r="P642" i="13"/>
  <c r="P36" i="13"/>
  <c r="P1444" i="13"/>
  <c r="P629" i="13"/>
  <c r="P1450" i="13"/>
  <c r="P1358" i="13"/>
  <c r="P1296" i="13"/>
  <c r="P1237" i="13"/>
  <c r="P1154" i="13"/>
  <c r="P1090" i="13"/>
  <c r="P1005" i="13"/>
  <c r="P914" i="13"/>
  <c r="P813" i="13"/>
  <c r="P773" i="13"/>
  <c r="P708" i="13"/>
  <c r="P638" i="13"/>
  <c r="P563" i="13"/>
  <c r="P394" i="13"/>
  <c r="P319" i="13"/>
  <c r="P255" i="13"/>
  <c r="P113" i="13"/>
  <c r="P32" i="13"/>
  <c r="P1116" i="13"/>
  <c r="P933" i="13"/>
  <c r="P807" i="13"/>
  <c r="P614" i="13"/>
  <c r="P399" i="13"/>
  <c r="P223" i="13"/>
  <c r="P1404" i="13"/>
  <c r="P1070" i="13"/>
  <c r="P1400" i="13"/>
  <c r="P560" i="13"/>
  <c r="P88" i="13"/>
  <c r="P1380" i="13"/>
  <c r="P1294" i="13"/>
  <c r="P1193" i="13"/>
  <c r="P1132" i="13"/>
  <c r="P1055" i="13"/>
  <c r="P991" i="13"/>
  <c r="P905" i="13"/>
  <c r="P797" i="13"/>
  <c r="P759" i="13"/>
  <c r="P682" i="13"/>
  <c r="P623" i="13"/>
  <c r="P545" i="13"/>
  <c r="P392" i="13"/>
  <c r="P312" i="13"/>
  <c r="P250" i="13"/>
  <c r="P110" i="13"/>
  <c r="P942" i="13"/>
  <c r="P261" i="13"/>
  <c r="P1376" i="13"/>
  <c r="P1299" i="13"/>
  <c r="P1261" i="13"/>
  <c r="P1145" i="13"/>
  <c r="P1102" i="13"/>
  <c r="P1009" i="13"/>
  <c r="P927" i="13"/>
  <c r="P809" i="13"/>
  <c r="P769" i="13"/>
  <c r="P693" i="13"/>
  <c r="P634" i="13"/>
  <c r="P553" i="13"/>
  <c r="P432" i="13"/>
  <c r="P321" i="13"/>
  <c r="P273" i="13"/>
  <c r="P93" i="13"/>
  <c r="P1381" i="13"/>
  <c r="P1138" i="13"/>
  <c r="P474" i="13"/>
  <c r="P28" i="13"/>
  <c r="P1364" i="13"/>
  <c r="P1298" i="13"/>
  <c r="P1241" i="13"/>
  <c r="P1155" i="13"/>
  <c r="P1100" i="13"/>
  <c r="P1006" i="13"/>
  <c r="P935" i="13"/>
  <c r="P841" i="13"/>
  <c r="P786" i="13"/>
  <c r="P740" i="13"/>
  <c r="P665" i="13"/>
  <c r="P564" i="13"/>
  <c r="P448" i="13"/>
  <c r="P334" i="13"/>
  <c r="P280" i="13"/>
  <c r="P168" i="13"/>
  <c r="P57" i="13"/>
  <c r="P1336" i="13"/>
  <c r="P1071" i="13"/>
  <c r="P904" i="13"/>
  <c r="P756" i="13"/>
  <c r="P728" i="13"/>
  <c r="P567" i="13"/>
  <c r="P345" i="13"/>
  <c r="P210" i="13"/>
  <c r="P1429" i="13"/>
  <c r="P1137" i="13"/>
  <c r="P924" i="13"/>
  <c r="P654" i="13"/>
  <c r="P445" i="13"/>
  <c r="P234" i="13"/>
  <c r="P1436" i="13"/>
  <c r="P1285" i="13"/>
  <c r="P1075" i="13"/>
  <c r="P863" i="13"/>
  <c r="P715" i="13"/>
  <c r="P570" i="13"/>
  <c r="P413" i="13"/>
  <c r="P262" i="13"/>
  <c r="P160" i="13"/>
  <c r="P1459" i="13"/>
  <c r="P1375" i="13"/>
  <c r="P1235" i="13"/>
  <c r="P1091" i="13"/>
  <c r="P934" i="13"/>
  <c r="P745" i="13"/>
  <c r="P585" i="13"/>
  <c r="P435" i="13"/>
  <c r="P282" i="13"/>
  <c r="P150" i="13"/>
  <c r="P9" i="13"/>
  <c r="P1330" i="13"/>
  <c r="P1152" i="13"/>
  <c r="P990" i="13"/>
  <c r="P811" i="13"/>
  <c r="P512" i="13"/>
  <c r="P295" i="13"/>
  <c r="P1435" i="13"/>
  <c r="P1224" i="13"/>
  <c r="P1026" i="13"/>
  <c r="P439" i="13"/>
  <c r="P1455" i="13"/>
  <c r="P1092" i="13"/>
  <c r="P544" i="13"/>
  <c r="P1384" i="13"/>
  <c r="P1186" i="13"/>
  <c r="P926" i="13"/>
  <c r="P804" i="13"/>
  <c r="P601" i="13"/>
  <c r="P372" i="13"/>
  <c r="P129" i="13"/>
  <c r="P1398" i="13"/>
  <c r="P1130" i="13"/>
  <c r="P896" i="13"/>
  <c r="P595" i="13"/>
  <c r="P383" i="13"/>
  <c r="P202" i="13"/>
  <c r="P1419" i="13"/>
  <c r="P1057" i="13"/>
  <c r="P860" i="13"/>
  <c r="P515" i="13"/>
  <c r="P407" i="13"/>
  <c r="P169" i="13"/>
  <c r="P1394" i="13"/>
  <c r="P1238" i="13"/>
  <c r="P1105" i="13"/>
  <c r="P898" i="13"/>
  <c r="P736" i="13"/>
  <c r="P557" i="13"/>
  <c r="P317" i="13"/>
  <c r="P164" i="13"/>
  <c r="P22" i="13"/>
  <c r="P1373" i="13"/>
  <c r="P1232" i="13"/>
  <c r="P1086" i="13"/>
  <c r="P928" i="13"/>
  <c r="P737" i="13"/>
  <c r="P584" i="13"/>
  <c r="P408" i="13"/>
  <c r="P263" i="13"/>
  <c r="P115" i="13"/>
  <c r="P7" i="13"/>
  <c r="P1278" i="13"/>
  <c r="P1036" i="13"/>
  <c r="P890" i="13"/>
  <c r="P762" i="13"/>
  <c r="P606" i="13"/>
  <c r="P453" i="13"/>
  <c r="P219" i="13"/>
  <c r="P1431" i="13"/>
  <c r="P1223" i="13"/>
  <c r="P819" i="13"/>
  <c r="P1416" i="13"/>
  <c r="P1454" i="13"/>
  <c r="P800" i="13"/>
  <c r="P980" i="13"/>
  <c r="P892" i="13"/>
  <c r="P709" i="13"/>
  <c r="P438" i="13"/>
  <c r="P155" i="13"/>
  <c r="P1359" i="13"/>
  <c r="P1111" i="13"/>
  <c r="P847" i="13"/>
  <c r="P617" i="13"/>
  <c r="P462" i="13"/>
  <c r="P237" i="13"/>
  <c r="P6" i="13"/>
  <c r="P1175" i="13"/>
  <c r="P977" i="13"/>
  <c r="P754" i="13"/>
  <c r="P423" i="13"/>
  <c r="P51" i="13"/>
  <c r="P1352" i="13"/>
  <c r="P1199" i="13"/>
  <c r="P1003" i="13"/>
  <c r="P749" i="13"/>
  <c r="P605" i="13"/>
  <c r="P387" i="13"/>
  <c r="P243" i="13"/>
  <c r="P156" i="13"/>
  <c r="P1452" i="13"/>
  <c r="P1360" i="13"/>
  <c r="P1156" i="13"/>
  <c r="P1015" i="13"/>
  <c r="P887" i="13"/>
  <c r="P581" i="13"/>
  <c r="P463" i="13"/>
  <c r="P297" i="13"/>
  <c r="P173" i="13"/>
  <c r="P11" i="13"/>
  <c r="P1342" i="13"/>
  <c r="P1180" i="13"/>
  <c r="P1016" i="13"/>
  <c r="P787" i="13"/>
  <c r="P635" i="13"/>
  <c r="P449" i="13"/>
  <c r="P212" i="13"/>
  <c r="P31" i="13"/>
  <c r="P1272" i="13"/>
  <c r="P1059" i="13"/>
  <c r="P487" i="13"/>
  <c r="P147" i="13"/>
  <c r="P1213" i="13"/>
  <c r="P840" i="13"/>
  <c r="P589" i="13"/>
  <c r="P112" i="13"/>
  <c r="P1148" i="13"/>
  <c r="P533" i="13"/>
  <c r="P378" i="13"/>
  <c r="P198" i="13"/>
  <c r="P8" i="13"/>
  <c r="P1144" i="13"/>
  <c r="P932" i="13"/>
  <c r="P640" i="13"/>
  <c r="P489" i="13"/>
  <c r="P268" i="13"/>
  <c r="P128" i="13"/>
  <c r="P1321" i="13"/>
  <c r="P1037" i="13"/>
  <c r="P869" i="13"/>
  <c r="P483" i="13"/>
  <c r="P309" i="13"/>
  <c r="P1437" i="13"/>
  <c r="P1320" i="13"/>
  <c r="P1173" i="13"/>
  <c r="P866" i="13"/>
  <c r="P655" i="13"/>
  <c r="P485" i="13"/>
  <c r="P332" i="13"/>
  <c r="P218" i="13"/>
  <c r="P90" i="13"/>
  <c r="P1383" i="13"/>
  <c r="P1254" i="13"/>
  <c r="P1094" i="13"/>
  <c r="P882" i="13"/>
  <c r="P624" i="13"/>
  <c r="P507" i="13"/>
  <c r="P377" i="13"/>
  <c r="P154" i="13"/>
  <c r="P30" i="13"/>
  <c r="P1377" i="13"/>
  <c r="P1153" i="13"/>
  <c r="P996" i="13"/>
  <c r="P838" i="13"/>
  <c r="P701" i="13"/>
  <c r="P477" i="13"/>
  <c r="P278" i="13"/>
  <c r="P68" i="13"/>
  <c r="P1340" i="13"/>
  <c r="P1133" i="13"/>
  <c r="P529" i="13"/>
  <c r="P290" i="13"/>
  <c r="P1283" i="13"/>
  <c r="P917" i="13"/>
  <c r="P622" i="13"/>
  <c r="P74" i="13"/>
  <c r="P1331" i="13"/>
  <c r="P1247" i="13"/>
  <c r="P1124" i="13"/>
  <c r="P1028" i="13"/>
  <c r="P911" i="13"/>
  <c r="P818" i="13"/>
  <c r="P653" i="13"/>
  <c r="P546" i="13"/>
  <c r="P414" i="13"/>
  <c r="P216" i="13"/>
  <c r="P102" i="13"/>
  <c r="P283" i="13"/>
  <c r="P1062" i="13"/>
  <c r="P739" i="13"/>
  <c r="P427" i="13"/>
  <c r="P1362" i="13"/>
  <c r="P1242" i="13"/>
  <c r="P1119" i="13"/>
  <c r="P859" i="13"/>
  <c r="P734" i="13"/>
  <c r="P641" i="13"/>
  <c r="P514" i="13"/>
  <c r="P370" i="13"/>
  <c r="P238" i="13"/>
  <c r="P111" i="13"/>
  <c r="P24" i="13"/>
  <c r="P189" i="13"/>
  <c r="P751" i="13"/>
  <c r="P476" i="13"/>
  <c r="P1323" i="13"/>
  <c r="P1233" i="13"/>
  <c r="P1113" i="13"/>
  <c r="P1021" i="13"/>
  <c r="P829" i="13"/>
  <c r="P694" i="13"/>
  <c r="P604" i="13"/>
  <c r="P475" i="13"/>
  <c r="P328" i="13"/>
  <c r="P177" i="13"/>
  <c r="P80" i="13"/>
  <c r="P1322" i="13"/>
  <c r="P1229" i="13"/>
  <c r="P1097" i="13"/>
  <c r="P981" i="13"/>
  <c r="P828" i="13"/>
  <c r="P679" i="13"/>
  <c r="P571" i="13"/>
  <c r="P422" i="13"/>
  <c r="P305" i="13"/>
  <c r="P103" i="13"/>
  <c r="P1260" i="13"/>
  <c r="P473" i="13"/>
  <c r="P1432" i="13"/>
  <c r="P1344" i="13"/>
  <c r="P1286" i="13"/>
  <c r="P1208" i="13"/>
  <c r="P1140" i="13"/>
  <c r="P1064" i="13"/>
  <c r="P992" i="13"/>
  <c r="P875" i="13"/>
  <c r="P799" i="13"/>
  <c r="P761" i="13"/>
  <c r="P685" i="13"/>
  <c r="P625" i="13"/>
  <c r="P547" i="13"/>
  <c r="P382" i="13"/>
  <c r="P304" i="13"/>
  <c r="P221" i="13"/>
  <c r="P76" i="13"/>
  <c r="P1441" i="13"/>
  <c r="P1063" i="13"/>
  <c r="P915" i="13"/>
  <c r="P784" i="13"/>
  <c r="P558" i="13"/>
  <c r="P375" i="13"/>
  <c r="P190" i="13"/>
  <c r="P1291" i="13"/>
  <c r="P1027" i="13"/>
  <c r="P1195" i="13"/>
  <c r="P459" i="13"/>
  <c r="P1446" i="13"/>
  <c r="P1357" i="13"/>
  <c r="P1280" i="13"/>
  <c r="P1166" i="13"/>
  <c r="P1123" i="13"/>
  <c r="P1051" i="13"/>
  <c r="P970" i="13"/>
  <c r="P857" i="13"/>
  <c r="P790" i="13"/>
  <c r="P743" i="13"/>
  <c r="P669" i="13"/>
  <c r="P599" i="13"/>
  <c r="P482" i="13"/>
  <c r="P381" i="13"/>
  <c r="P303" i="13"/>
  <c r="P208" i="13"/>
  <c r="P75" i="13"/>
  <c r="P719" i="13"/>
  <c r="P82" i="13"/>
  <c r="P1354" i="13"/>
  <c r="P1292" i="13"/>
  <c r="P1216" i="13"/>
  <c r="P1143" i="13"/>
  <c r="P1085" i="13"/>
  <c r="P987" i="13"/>
  <c r="P902" i="13"/>
  <c r="P794" i="13"/>
  <c r="P760" i="13"/>
  <c r="P678" i="13"/>
  <c r="P612" i="13"/>
  <c r="P540" i="13"/>
  <c r="P388" i="13"/>
  <c r="P310" i="13"/>
  <c r="P244" i="13"/>
  <c r="P72" i="13"/>
  <c r="P1341" i="13"/>
  <c r="P1279" i="13"/>
  <c r="P362" i="13"/>
  <c r="P1433" i="13"/>
  <c r="P1350" i="13"/>
  <c r="P1290" i="13"/>
  <c r="P1209" i="13"/>
  <c r="P1141" i="13"/>
  <c r="P1068" i="13"/>
  <c r="P993" i="13"/>
  <c r="P920" i="13"/>
  <c r="P815" i="13"/>
  <c r="P776" i="13"/>
  <c r="P716" i="13"/>
  <c r="P632" i="13"/>
  <c r="P551" i="13"/>
  <c r="P421" i="13"/>
  <c r="P320" i="13"/>
  <c r="P267" i="13"/>
  <c r="P114" i="13"/>
  <c r="P46" i="13"/>
  <c r="P1276" i="13"/>
  <c r="P1038" i="13"/>
  <c r="P884" i="13"/>
  <c r="P707" i="13"/>
  <c r="P672" i="13"/>
  <c r="P537" i="13"/>
  <c r="P316" i="13"/>
  <c r="P138" i="13"/>
  <c r="P1393" i="13"/>
  <c r="P1065" i="13"/>
  <c r="P865" i="13"/>
  <c r="P575" i="13"/>
  <c r="P410" i="13"/>
  <c r="P185" i="13"/>
  <c r="P1402" i="13"/>
  <c r="P1188" i="13"/>
  <c r="P1007" i="13"/>
  <c r="P836" i="13"/>
  <c r="P677" i="13"/>
  <c r="P522" i="13"/>
  <c r="P374" i="13"/>
  <c r="P226" i="13"/>
  <c r="P116" i="13"/>
  <c r="P1447" i="13"/>
  <c r="P1363" i="13"/>
  <c r="P1187" i="13"/>
  <c r="P1034" i="13"/>
  <c r="P901" i="13"/>
  <c r="P691" i="13"/>
  <c r="P566" i="13"/>
  <c r="P395" i="13"/>
  <c r="P233" i="13"/>
  <c r="P71" i="13"/>
  <c r="P1443" i="13"/>
  <c r="P1281" i="13"/>
  <c r="P1088" i="13"/>
  <c r="P921" i="13"/>
  <c r="P767" i="13"/>
  <c r="P494" i="13"/>
  <c r="P175" i="13"/>
  <c r="P1374" i="13"/>
  <c r="P1201" i="13"/>
  <c r="P861" i="13"/>
  <c r="P1423" i="13"/>
  <c r="P1426" i="13"/>
  <c r="P1024" i="13"/>
  <c r="P63" i="13"/>
  <c r="P1345" i="13"/>
  <c r="P1106" i="13"/>
  <c r="P908" i="13"/>
  <c r="P766" i="13"/>
  <c r="P542" i="13"/>
  <c r="P342" i="13"/>
  <c r="P79" i="13"/>
  <c r="P1316" i="13"/>
  <c r="P1048" i="13"/>
  <c r="P870" i="13"/>
  <c r="P561" i="13"/>
  <c r="P339" i="13"/>
  <c r="P137" i="13"/>
  <c r="P1387" i="13"/>
  <c r="P1025" i="13"/>
  <c r="P779" i="13"/>
  <c r="P488" i="13"/>
  <c r="P340" i="13"/>
  <c r="P97" i="13"/>
  <c r="P1353" i="13"/>
  <c r="P1200" i="13"/>
  <c r="P1044" i="13"/>
  <c r="P849" i="13"/>
  <c r="P705" i="13"/>
  <c r="P457" i="13"/>
  <c r="P247" i="13"/>
  <c r="P159" i="13"/>
  <c r="P1453" i="13"/>
  <c r="P1361" i="13"/>
  <c r="P1174" i="13"/>
  <c r="P1023" i="13"/>
  <c r="P899" i="13"/>
  <c r="P690" i="13"/>
  <c r="P562" i="13"/>
  <c r="P390" i="13"/>
  <c r="P201" i="13"/>
  <c r="P70" i="13"/>
  <c r="P1434" i="13"/>
  <c r="P1245" i="13"/>
  <c r="P1019" i="13"/>
  <c r="P874" i="13"/>
  <c r="P714" i="13"/>
  <c r="P523" i="13"/>
  <c r="P415" i="13"/>
  <c r="P144" i="13"/>
  <c r="P1347" i="13"/>
  <c r="P1190" i="13"/>
  <c r="P631" i="13"/>
  <c r="P1176" i="13"/>
  <c r="P1425" i="13"/>
  <c r="P576" i="13"/>
  <c r="P949" i="13"/>
  <c r="P834" i="13"/>
  <c r="P689" i="13"/>
  <c r="P417" i="13"/>
  <c r="P125" i="13"/>
  <c r="P1305" i="13"/>
  <c r="P1045" i="13"/>
  <c r="P789" i="13"/>
  <c r="P580" i="13"/>
  <c r="P351" i="13"/>
  <c r="P162" i="13"/>
  <c r="P1405" i="13"/>
  <c r="P1093" i="13"/>
  <c r="P950" i="13"/>
  <c r="P703" i="13"/>
  <c r="P401" i="13"/>
  <c r="P1438" i="13"/>
  <c r="P1326" i="13"/>
  <c r="P1181" i="13"/>
  <c r="P943" i="13"/>
  <c r="P733" i="13"/>
  <c r="P583" i="13"/>
  <c r="P359" i="13"/>
  <c r="P220" i="13"/>
  <c r="P96" i="13"/>
  <c r="P1442" i="13"/>
  <c r="P1311" i="13"/>
  <c r="P1128" i="13"/>
  <c r="P986" i="13"/>
  <c r="P867" i="13"/>
  <c r="P559" i="13"/>
  <c r="P405" i="13"/>
  <c r="P253" i="13"/>
  <c r="P142" i="13"/>
  <c r="P1457" i="13"/>
  <c r="P1304" i="13"/>
  <c r="P1122" i="13"/>
  <c r="P913" i="13"/>
  <c r="P735" i="13"/>
  <c r="P574" i="13"/>
  <c r="P403" i="13"/>
  <c r="P153" i="13"/>
  <c r="P12" i="13"/>
  <c r="P1231" i="13"/>
  <c r="P938" i="13"/>
  <c r="P400" i="13"/>
  <c r="P86" i="13"/>
  <c r="P1167" i="13"/>
  <c r="P746" i="13"/>
  <c r="P444" i="13"/>
  <c r="P2" i="13"/>
  <c r="P816" i="13"/>
  <c r="P490" i="13"/>
  <c r="P346" i="13"/>
  <c r="P140" i="13"/>
  <c r="P1333" i="13"/>
  <c r="P1087" i="13"/>
  <c r="P883" i="13"/>
  <c r="P610" i="13"/>
  <c r="P450" i="13"/>
  <c r="P256" i="13"/>
  <c r="P85" i="13"/>
  <c r="P1220" i="13"/>
  <c r="P1000" i="13"/>
  <c r="P752" i="13"/>
  <c r="P447" i="13"/>
  <c r="P245" i="13"/>
  <c r="P1403" i="13"/>
  <c r="P1239" i="13"/>
  <c r="P1077" i="13"/>
  <c r="P845" i="13"/>
  <c r="P598" i="13"/>
  <c r="P443" i="13"/>
  <c r="P275" i="13"/>
  <c r="P188" i="13"/>
  <c r="P5" i="13"/>
  <c r="P1367" i="13"/>
  <c r="P1203" i="13"/>
  <c r="P1078" i="13"/>
  <c r="P765" i="13"/>
  <c r="P603" i="13"/>
  <c r="P470" i="13"/>
  <c r="P296" i="13"/>
  <c r="P135" i="13"/>
  <c r="P10" i="13"/>
  <c r="P1339" i="13"/>
  <c r="P1098" i="13"/>
  <c r="P971" i="13"/>
  <c r="P817" i="13"/>
  <c r="P615" i="13"/>
  <c r="P446" i="13"/>
  <c r="P203" i="13"/>
  <c r="P27" i="13"/>
  <c r="P1257" i="13"/>
  <c r="P1081" i="13"/>
  <c r="P468" i="13"/>
  <c r="P127" i="13"/>
  <c r="P1196" i="13"/>
  <c r="P830" i="13"/>
  <c r="P573" i="13"/>
  <c r="P1458" i="13"/>
  <c r="P1319" i="13"/>
  <c r="P1228" i="13"/>
  <c r="P1108" i="13"/>
  <c r="P972" i="13"/>
  <c r="P862" i="13"/>
  <c r="P783" i="13"/>
  <c r="P648" i="13"/>
  <c r="P521" i="13"/>
  <c r="P379" i="13"/>
  <c r="P195" i="13"/>
  <c r="P59" i="13"/>
  <c r="P194" i="13"/>
  <c r="P979" i="13"/>
  <c r="P637" i="13"/>
  <c r="P301" i="13"/>
  <c r="P1310" i="13"/>
  <c r="P1225" i="13"/>
  <c r="P1067" i="13"/>
  <c r="P835" i="13"/>
  <c r="P700" i="13"/>
  <c r="P619" i="13"/>
  <c r="P484" i="13"/>
  <c r="P341" i="13"/>
  <c r="P213" i="13"/>
  <c r="P100" i="13"/>
  <c r="P363" i="13"/>
  <c r="P1378" i="13"/>
  <c r="P713" i="13"/>
  <c r="P409" i="13"/>
  <c r="P1307" i="13"/>
  <c r="P1218" i="13"/>
  <c r="P1101" i="13"/>
  <c r="P995" i="13"/>
  <c r="P823" i="13"/>
  <c r="P659" i="13"/>
  <c r="P552" i="13"/>
  <c r="P429" i="13"/>
  <c r="P318" i="13"/>
  <c r="P158" i="13"/>
  <c r="P49" i="13"/>
  <c r="P1306" i="13"/>
  <c r="P1206" i="13"/>
  <c r="P1082" i="13"/>
  <c r="P918" i="13"/>
  <c r="P795" i="13"/>
  <c r="P660" i="13"/>
  <c r="P548" i="13"/>
  <c r="P404" i="13"/>
  <c r="P200" i="13"/>
  <c r="P95" i="13"/>
  <c r="P1040" i="13"/>
  <c r="P347" i="13"/>
  <c r="P1410" i="13"/>
  <c r="P1325" i="13"/>
  <c r="P1273" i="13"/>
  <c r="P1171" i="13"/>
  <c r="P1112" i="13"/>
  <c r="P1052" i="13"/>
  <c r="P964" i="13"/>
  <c r="P848" i="13"/>
  <c r="P792" i="13"/>
  <c r="P748" i="13"/>
  <c r="P673" i="13"/>
  <c r="P600" i="13"/>
  <c r="P491" i="13"/>
  <c r="P367" i="13"/>
  <c r="P299" i="13"/>
  <c r="P191" i="13"/>
  <c r="P64" i="13"/>
  <c r="P1346" i="13"/>
  <c r="P1022" i="13"/>
  <c r="P903" i="13"/>
  <c r="P724" i="13"/>
  <c r="P530" i="13"/>
  <c r="P344" i="13"/>
  <c r="P67" i="13"/>
  <c r="P1185" i="13"/>
  <c r="P951" i="13"/>
  <c r="P982" i="13"/>
  <c r="P272" i="13"/>
  <c r="P1430" i="13"/>
  <c r="P1338" i="13"/>
  <c r="P1271" i="13"/>
  <c r="P1158" i="13"/>
  <c r="P1103" i="13"/>
  <c r="P1012" i="13"/>
  <c r="P959" i="13"/>
  <c r="P846" i="13"/>
  <c r="P778" i="13"/>
  <c r="P730" i="13"/>
  <c r="P656" i="13"/>
  <c r="P572" i="13"/>
  <c r="P458" i="13"/>
  <c r="P355" i="13"/>
  <c r="P292" i="13"/>
  <c r="P186" i="13"/>
  <c r="P1287" i="13"/>
  <c r="P539" i="13"/>
  <c r="P1439" i="13"/>
  <c r="P1337" i="13"/>
  <c r="P1277" i="13"/>
  <c r="P1164" i="13"/>
  <c r="P1131" i="13"/>
  <c r="P1054" i="13"/>
  <c r="P969" i="13"/>
  <c r="P856" i="13"/>
  <c r="P788" i="13"/>
  <c r="P744" i="13"/>
  <c r="P667" i="13"/>
  <c r="P588" i="13"/>
  <c r="P465" i="13"/>
  <c r="P376" i="13"/>
  <c r="P302" i="13"/>
  <c r="P197" i="13"/>
  <c r="P61" i="13"/>
  <c r="P1295" i="13"/>
  <c r="P1120" i="13"/>
  <c r="P254" i="13"/>
  <c r="P1417" i="13"/>
  <c r="P1329" i="13"/>
  <c r="P1274" i="13"/>
  <c r="P1172" i="13"/>
  <c r="P1125" i="13"/>
  <c r="P1053" i="13"/>
  <c r="P978" i="13"/>
  <c r="P897" i="13"/>
  <c r="P805" i="13"/>
  <c r="P768" i="13"/>
  <c r="P688" i="13"/>
  <c r="P602" i="13"/>
  <c r="P500" i="13"/>
  <c r="P384" i="13"/>
  <c r="P311" i="13"/>
  <c r="P227" i="13"/>
  <c r="P84" i="13"/>
  <c r="P1449" i="13"/>
  <c r="P1204" i="13"/>
  <c r="P944" i="13"/>
  <c r="P808" i="13"/>
  <c r="P569" i="13"/>
  <c r="P633" i="13"/>
  <c r="P479" i="13"/>
  <c r="P266" i="13"/>
  <c r="P126" i="13"/>
  <c r="P1284" i="13"/>
  <c r="P1035" i="13"/>
  <c r="P780" i="13"/>
  <c r="P493" i="13"/>
  <c r="P354" i="13"/>
  <c r="P106" i="13"/>
  <c r="P1365" i="13"/>
  <c r="P1168" i="13"/>
  <c r="P961" i="13"/>
  <c r="P763" i="13"/>
  <c r="P618" i="13"/>
  <c r="P464" i="13"/>
  <c r="P331" i="13"/>
  <c r="P204" i="13"/>
  <c r="P89" i="13"/>
  <c r="P1412" i="13"/>
  <c r="P1314" i="13"/>
  <c r="P1147" i="13"/>
  <c r="P994" i="13"/>
  <c r="P881" i="13"/>
  <c r="P676" i="13"/>
  <c r="P534" i="13"/>
  <c r="P360" i="13"/>
  <c r="P214" i="13"/>
  <c r="P54" i="13"/>
  <c r="P1413" i="13"/>
  <c r="P1251" i="13"/>
  <c r="P1039" i="13"/>
  <c r="P877" i="13"/>
  <c r="P646" i="13"/>
  <c r="P472" i="13"/>
  <c r="P145" i="13"/>
  <c r="P1309" i="13"/>
  <c r="P1126" i="13"/>
  <c r="P706" i="13"/>
  <c r="P1388" i="13"/>
  <c r="P1324" i="13"/>
  <c r="P888" i="13"/>
  <c r="P55" i="13"/>
  <c r="P1332" i="13"/>
  <c r="P1060" i="13"/>
  <c r="P893" i="13"/>
  <c r="P710" i="13"/>
  <c r="P440" i="13"/>
  <c r="P251" i="13"/>
  <c r="P58" i="13"/>
  <c r="P1234" i="13"/>
  <c r="P1017" i="13"/>
  <c r="P803" i="13"/>
  <c r="P525" i="13"/>
  <c r="P307" i="13"/>
  <c r="P107" i="13"/>
  <c r="P1252" i="13"/>
  <c r="P983" i="13"/>
  <c r="P723" i="13"/>
  <c r="P466" i="13"/>
  <c r="P291" i="13"/>
  <c r="P1456" i="13"/>
  <c r="P1334" i="13"/>
  <c r="P1182" i="13"/>
  <c r="P1004" i="13"/>
  <c r="P826" i="13"/>
  <c r="P671" i="13"/>
  <c r="P391" i="13"/>
  <c r="P222" i="13"/>
  <c r="P99" i="13"/>
  <c r="P1445" i="13"/>
  <c r="P1313" i="13"/>
  <c r="P1134" i="13"/>
  <c r="P988" i="13"/>
  <c r="P878" i="13"/>
  <c r="P668" i="13"/>
  <c r="P513" i="13"/>
  <c r="P356" i="13"/>
  <c r="P174" i="13"/>
  <c r="P48" i="13"/>
  <c r="P1411" i="13"/>
  <c r="P1150" i="13"/>
  <c r="P985" i="13"/>
  <c r="P837" i="13"/>
  <c r="P664" i="13"/>
  <c r="P511" i="13"/>
  <c r="P330" i="13"/>
  <c r="P104" i="13"/>
  <c r="P1288" i="13"/>
  <c r="P1099" i="13"/>
  <c r="P506" i="13"/>
  <c r="P1056" i="13"/>
  <c r="P1356" i="13"/>
  <c r="P1073" i="13"/>
  <c r="P925" i="13"/>
  <c r="P802" i="13"/>
  <c r="P594" i="13"/>
  <c r="P396" i="13"/>
  <c r="P78" i="13"/>
  <c r="P1202" i="13"/>
  <c r="P1013" i="13"/>
  <c r="P718" i="13"/>
  <c r="P549" i="13"/>
  <c r="P285" i="13"/>
  <c r="P130" i="13"/>
  <c r="P1368" i="13"/>
  <c r="P1050" i="13"/>
  <c r="P873" i="13"/>
  <c r="P486" i="13"/>
  <c r="P260" i="13"/>
  <c r="P1422" i="13"/>
  <c r="P1262" i="13"/>
  <c r="P1079" i="13"/>
  <c r="P891" i="13"/>
  <c r="P696" i="13"/>
  <c r="P531" i="13"/>
  <c r="P287" i="13"/>
  <c r="P193" i="13"/>
  <c r="P43" i="13"/>
  <c r="P1407" i="13"/>
  <c r="P1256" i="13"/>
  <c r="P1107" i="13"/>
  <c r="P947" i="13"/>
  <c r="P798" i="13"/>
  <c r="P508" i="13"/>
  <c r="P380" i="13"/>
  <c r="P228" i="13"/>
  <c r="P81" i="13"/>
  <c r="P1427" i="13"/>
  <c r="P1265" i="13"/>
  <c r="P1049" i="13"/>
  <c r="P886" i="13"/>
  <c r="P702" i="13"/>
  <c r="P509" i="13"/>
  <c r="P326" i="13"/>
  <c r="P139" i="13"/>
  <c r="P1420" i="13"/>
  <c r="P1135" i="13"/>
  <c r="P758" i="13"/>
  <c r="P313" i="13"/>
  <c r="P1415" i="13"/>
  <c r="P997" i="13"/>
  <c r="P704" i="13"/>
  <c r="P402" i="13"/>
  <c r="P1440" i="13"/>
  <c r="P592" i="13"/>
  <c r="P434" i="13"/>
  <c r="P308" i="13"/>
  <c r="P73" i="13"/>
  <c r="P1293" i="13"/>
  <c r="P1043" i="13"/>
  <c r="P833" i="13"/>
  <c r="P568" i="13"/>
  <c r="P348" i="13"/>
  <c r="P236" i="13"/>
  <c r="P3" i="13"/>
  <c r="P1142" i="13"/>
  <c r="P965" i="13"/>
  <c r="P692" i="13"/>
  <c r="P411" i="13"/>
  <c r="P207" i="13"/>
  <c r="P1390" i="13"/>
  <c r="P1214" i="13"/>
  <c r="P1008" i="13"/>
  <c r="P782" i="13"/>
  <c r="P578" i="13"/>
  <c r="P418" i="13"/>
  <c r="P265" i="13"/>
  <c r="P161" i="13"/>
  <c r="P1451" i="13"/>
  <c r="P1315" i="13"/>
  <c r="P1149" i="13"/>
  <c r="P936" i="13"/>
  <c r="P697" i="13"/>
  <c r="P577" i="13"/>
  <c r="P452" i="13"/>
  <c r="P252" i="13"/>
  <c r="P77" i="13"/>
  <c r="P1448" i="13"/>
  <c r="P1255" i="13"/>
  <c r="P1042" i="13"/>
  <c r="P906" i="13"/>
  <c r="P781" i="13"/>
  <c r="P532" i="13"/>
  <c r="P389" i="13"/>
  <c r="P152" i="13"/>
  <c r="P4" i="13"/>
  <c r="P1227" i="13"/>
  <c r="P1047" i="13"/>
  <c r="P393" i="13"/>
  <c r="P19" i="13"/>
  <c r="P1117" i="13"/>
  <c r="P741" i="13"/>
  <c r="P306" i="13"/>
  <c r="P1428" i="13"/>
  <c r="P1289" i="13"/>
  <c r="P1192" i="13"/>
  <c r="P1096" i="13"/>
  <c r="P352" i="13"/>
  <c r="P842" i="13"/>
  <c r="P750" i="13"/>
  <c r="P590" i="13"/>
  <c r="P498" i="13"/>
  <c r="P325" i="13"/>
  <c r="P165" i="13"/>
  <c r="P371" i="13"/>
  <c r="P105" i="13"/>
  <c r="P909" i="13"/>
  <c r="P613" i="13"/>
  <c r="P199" i="13"/>
  <c r="P1282" i="13"/>
  <c r="P1189" i="13"/>
  <c r="P1002" i="13"/>
  <c r="P806" i="13"/>
  <c r="P666" i="13"/>
  <c r="P579" i="13"/>
  <c r="P431" i="13"/>
  <c r="P324" i="13"/>
  <c r="P178" i="13"/>
  <c r="P83" i="13"/>
  <c r="P876" i="13"/>
  <c r="P94" i="13"/>
  <c r="P1382" i="13"/>
  <c r="P1308" i="13"/>
  <c r="P1264" i="13"/>
  <c r="P1146" i="13"/>
  <c r="P1110" i="13"/>
  <c r="P1014" i="13"/>
  <c r="P931" i="13"/>
  <c r="P831" i="13"/>
  <c r="P785" i="13"/>
  <c r="P732" i="13"/>
  <c r="P662" i="13"/>
  <c r="P586" i="13"/>
  <c r="P460" i="13"/>
  <c r="P327" i="13"/>
  <c r="P277" i="13"/>
  <c r="P167" i="13"/>
  <c r="P56" i="13"/>
  <c r="P1335" i="13"/>
  <c r="P963" i="13"/>
  <c r="P868" i="13"/>
  <c r="P699" i="13"/>
  <c r="P478" i="13"/>
  <c r="P289" i="13"/>
  <c r="P34" i="13"/>
  <c r="P1139" i="13"/>
  <c r="P916" i="13"/>
  <c r="P814" i="13"/>
  <c r="P179" i="13"/>
  <c r="P1408" i="13"/>
  <c r="P1318" i="13"/>
  <c r="P1266" i="13"/>
  <c r="P1151" i="13"/>
  <c r="P1089" i="13"/>
  <c r="P1001" i="13"/>
  <c r="P930" i="13"/>
  <c r="P812" i="13"/>
  <c r="P770" i="13"/>
  <c r="P698" i="13"/>
  <c r="P636" i="13"/>
  <c r="P555" i="13"/>
  <c r="P436" i="13"/>
  <c r="P322" i="13"/>
  <c r="P276" i="13"/>
  <c r="P146" i="13"/>
  <c r="P1177" i="13"/>
  <c r="P368" i="13"/>
  <c r="P1421" i="13"/>
  <c r="P1317" i="13"/>
  <c r="P1269" i="13"/>
  <c r="P1162" i="13"/>
  <c r="P1121" i="13"/>
  <c r="P1041" i="13"/>
  <c r="P948" i="13"/>
  <c r="P820" i="13"/>
  <c r="P777" i="13"/>
  <c r="P720" i="13"/>
  <c r="P645" i="13"/>
  <c r="P565" i="13"/>
  <c r="P455" i="13"/>
  <c r="P343" i="13"/>
  <c r="P286" i="13"/>
  <c r="P180" i="13"/>
  <c r="P14" i="13"/>
  <c r="P1230" i="13"/>
  <c r="P663" i="13"/>
  <c r="P108" i="13"/>
  <c r="P1392" i="13"/>
  <c r="P1312" i="13"/>
  <c r="P1268" i="13"/>
  <c r="P1159" i="13"/>
  <c r="P1115" i="13"/>
  <c r="P1031" i="13"/>
  <c r="P968" i="13"/>
  <c r="P852" i="13"/>
  <c r="P793" i="13"/>
  <c r="P755" i="13"/>
  <c r="P674" i="13"/>
  <c r="P587" i="13"/>
  <c r="P461" i="13"/>
  <c r="P373" i="13"/>
  <c r="P300" i="13"/>
  <c r="P192" i="13"/>
  <c r="P69" i="13"/>
  <c r="P1372" i="13"/>
  <c r="P1136" i="13"/>
  <c r="P922" i="13"/>
  <c r="P796" i="13"/>
  <c r="P810" i="13"/>
  <c r="P596" i="13"/>
  <c r="P385" i="13"/>
  <c r="P246" i="13"/>
  <c r="P60" i="13"/>
  <c r="P1215" i="13"/>
  <c r="P984" i="13"/>
  <c r="P747" i="13"/>
  <c r="P480" i="13"/>
  <c r="P294" i="13"/>
  <c r="P33" i="13"/>
  <c r="P1349" i="13"/>
  <c r="P1129" i="13"/>
  <c r="P919" i="13"/>
  <c r="P738" i="13"/>
  <c r="P597" i="13"/>
  <c r="P428" i="13"/>
  <c r="P274" i="13"/>
  <c r="P184" i="13"/>
  <c r="P29" i="13"/>
  <c r="P1389" i="13"/>
  <c r="P1302" i="13"/>
  <c r="P1118" i="13"/>
  <c r="P953" i="13"/>
  <c r="P832" i="13"/>
  <c r="P616" i="13"/>
  <c r="P469" i="13"/>
  <c r="P323" i="13"/>
  <c r="P176" i="13"/>
  <c r="P18" i="13"/>
  <c r="P1370" i="13"/>
  <c r="P1205" i="13"/>
  <c r="P1032" i="13"/>
  <c r="P839" i="13"/>
  <c r="P528" i="13"/>
  <c r="P365" i="13"/>
  <c r="P26" i="13"/>
  <c r="P1258" i="13"/>
  <c r="P1076" i="13"/>
  <c r="P527" i="13"/>
  <c r="P1184" i="13"/>
  <c r="P1104" i="13"/>
  <c r="P824" i="13"/>
  <c r="P17" i="13"/>
  <c r="P1240" i="13"/>
  <c r="P1011" i="13"/>
  <c r="P854" i="13"/>
  <c r="P695" i="13"/>
  <c r="P397" i="13"/>
  <c r="P215" i="13"/>
  <c r="P23" i="13"/>
  <c r="P1170" i="13"/>
  <c r="P941" i="13"/>
  <c r="P626" i="13"/>
  <c r="P471" i="13"/>
  <c r="P241" i="13"/>
  <c r="P21" i="13"/>
  <c r="P1095" i="13"/>
  <c r="P910" i="13"/>
  <c r="P647" i="13"/>
  <c r="P433" i="13"/>
  <c r="P217" i="13"/>
  <c r="P1424" i="13"/>
  <c r="P1270" i="13"/>
  <c r="P1165" i="13"/>
  <c r="P960" i="13"/>
  <c r="P753" i="13"/>
  <c r="P591" i="13"/>
  <c r="P361" i="13"/>
  <c r="P196" i="13"/>
  <c r="P53" i="13"/>
  <c r="P1409" i="13"/>
  <c r="P1297" i="13"/>
  <c r="P1114" i="13"/>
  <c r="P952" i="13"/>
  <c r="P801" i="13"/>
  <c r="P611" i="13"/>
  <c r="P467" i="13"/>
  <c r="P314" i="13"/>
  <c r="P143" i="13"/>
  <c r="P258" i="13"/>
  <c r="P711" i="13"/>
  <c r="P205" i="13"/>
  <c r="P121" i="13"/>
  <c r="P657" i="13"/>
  <c r="P337" i="13"/>
  <c r="P966" i="13"/>
  <c r="P40" i="13"/>
  <c r="P726" i="13"/>
  <c r="P41" i="13"/>
  <c r="P712" i="13"/>
  <c r="P687" i="13"/>
  <c r="P644" i="13"/>
  <c r="P1396" i="13"/>
  <c r="C517" i="13"/>
  <c r="C1186" i="13"/>
  <c r="C336" i="13"/>
  <c r="C857" i="13"/>
  <c r="C338" i="13"/>
  <c r="C120" i="13"/>
  <c r="P229" i="13"/>
  <c r="P92" i="13"/>
  <c r="P37" i="13"/>
  <c r="P170" i="13"/>
  <c r="P1327" i="13"/>
  <c r="P503" i="13"/>
  <c r="P271" i="13"/>
  <c r="P516" i="13"/>
  <c r="P1211" i="13"/>
  <c r="P658" i="13"/>
  <c r="P171" i="13"/>
  <c r="P520" i="13"/>
  <c r="P822" i="13"/>
  <c r="P1301" i="13"/>
  <c r="P38" i="13"/>
  <c r="P132" i="13"/>
  <c r="P424" i="13"/>
  <c r="P683" i="13"/>
  <c r="P151" i="13"/>
  <c r="P454" i="13"/>
  <c r="P717" i="13"/>
  <c r="P1018" i="13"/>
  <c r="P1249" i="13"/>
  <c r="P98" i="13"/>
  <c r="P366" i="13"/>
  <c r="P639" i="13"/>
  <c r="P858" i="13"/>
  <c r="P1157" i="13"/>
  <c r="P47" i="13"/>
  <c r="P946" i="13"/>
  <c r="P50" i="13"/>
  <c r="P554" i="13"/>
  <c r="P1169" i="13"/>
  <c r="P772" i="13"/>
  <c r="P293" i="13"/>
  <c r="P827" i="13"/>
  <c r="P1263" i="13"/>
  <c r="P989" i="13"/>
  <c r="P1219" i="13"/>
  <c r="P501" i="13"/>
  <c r="P1212" i="13"/>
  <c r="P398" i="13"/>
  <c r="P1127" i="13"/>
  <c r="P240" i="13"/>
  <c r="P973" i="13"/>
  <c r="P369" i="13"/>
  <c r="P1399" i="13"/>
  <c r="P764" i="13"/>
  <c r="P232" i="13"/>
  <c r="P242" i="13"/>
  <c r="P231" i="13"/>
  <c r="P87" i="13"/>
  <c r="P864" i="13"/>
  <c r="P66" i="13"/>
  <c r="P609" i="13"/>
  <c r="P1371" i="13"/>
  <c r="P451" i="13"/>
  <c r="P1236" i="13"/>
  <c r="P855" i="13"/>
  <c r="P257" i="13"/>
  <c r="P1163" i="13"/>
  <c r="P757" i="13"/>
  <c r="P880" i="13"/>
  <c r="P25" i="13"/>
  <c r="P791" i="13"/>
  <c r="P13" i="13"/>
  <c r="P894" i="13"/>
  <c r="P504" i="13"/>
  <c r="P1243" i="13"/>
  <c r="P118" i="13"/>
  <c r="P426" i="13"/>
  <c r="P442" i="13"/>
  <c r="C124" i="13"/>
  <c r="C1103" i="13"/>
  <c r="C1158" i="13"/>
  <c r="C1271" i="13"/>
  <c r="C1338" i="13"/>
  <c r="C1430" i="13"/>
  <c r="C272" i="13"/>
  <c r="C982" i="13"/>
  <c r="C117" i="13"/>
  <c r="C607" i="13"/>
  <c r="C119" i="13"/>
  <c r="C958" i="13"/>
  <c r="C722" i="13"/>
  <c r="C955" i="13"/>
  <c r="C872" i="13"/>
  <c r="C426" i="13"/>
  <c r="C976" i="13"/>
  <c r="C712" i="13"/>
  <c r="C644" i="13"/>
  <c r="C1398" i="13"/>
  <c r="C129" i="13"/>
  <c r="C372" i="13"/>
  <c r="C601" i="13"/>
  <c r="C804" i="13"/>
  <c r="C926" i="13"/>
  <c r="C75" i="13"/>
  <c r="C208" i="13"/>
  <c r="C303" i="13"/>
  <c r="C381" i="13"/>
  <c r="C482" i="13"/>
  <c r="C599" i="13"/>
  <c r="C669" i="13"/>
  <c r="C743" i="13"/>
  <c r="C790" i="13"/>
  <c r="C970" i="13"/>
  <c r="C1051" i="13"/>
  <c r="C1123" i="13"/>
  <c r="C1166" i="13"/>
  <c r="C1280" i="13"/>
  <c r="C1357" i="13"/>
  <c r="C1446" i="13"/>
  <c r="C459" i="13"/>
  <c r="C1195" i="13"/>
  <c r="C132" i="13"/>
  <c r="C683" i="13"/>
  <c r="C504" i="13"/>
  <c r="C1211" i="13"/>
  <c r="C171" i="13"/>
  <c r="C822" i="13"/>
  <c r="C1328" i="13"/>
  <c r="C1198" i="13"/>
  <c r="C182" i="13"/>
  <c r="C940" i="13"/>
  <c r="C895" i="13"/>
  <c r="C844" i="13"/>
  <c r="C496" i="13"/>
  <c r="C687" i="13"/>
  <c r="C999" i="13"/>
  <c r="C42" i="13"/>
  <c r="G41" i="12"/>
  <c r="G62" i="12"/>
  <c r="G76" i="12"/>
  <c r="G31" i="12"/>
  <c r="G99" i="12"/>
  <c r="G3" i="12"/>
  <c r="G17" i="12"/>
  <c r="G51" i="12"/>
  <c r="G23" i="12"/>
  <c r="G69" i="12"/>
  <c r="G86" i="12"/>
  <c r="G32" i="12" a="1"/>
  <c r="G70" i="12" a="1"/>
  <c r="G77" i="12" a="1"/>
  <c r="G87" i="12" a="1"/>
  <c r="G52" i="12" a="1"/>
  <c r="G100" i="12" a="1"/>
  <c r="G63" i="12" a="1"/>
  <c r="G18" i="12" a="1"/>
  <c r="G24" i="12" a="1"/>
  <c r="G42" i="12" a="1"/>
  <c r="G4" i="12" a="1"/>
  <c r="G14" i="11" l="1"/>
  <c r="G12" i="11"/>
  <c r="G25" i="11"/>
  <c r="G33" i="11"/>
  <c r="G9" i="11"/>
  <c r="G8" i="11"/>
  <c r="G6" i="11"/>
  <c r="G45" i="10"/>
  <c r="G93" i="10"/>
  <c r="G33" i="10"/>
  <c r="G97" i="10"/>
  <c r="G133" i="10"/>
  <c r="G157" i="10"/>
  <c r="G221" i="10"/>
  <c r="G209" i="10"/>
  <c r="G197" i="10"/>
  <c r="G278" i="10"/>
  <c r="G260" i="10"/>
  <c r="G271" i="10"/>
  <c r="G175" i="10"/>
  <c r="G18" i="10"/>
  <c r="G62" i="10"/>
  <c r="G115" i="10"/>
  <c r="G48" i="10"/>
  <c r="G254" i="10"/>
  <c r="G222" i="10"/>
  <c r="G268" i="10"/>
  <c r="G252" i="10"/>
  <c r="G156" i="10"/>
  <c r="G124" i="10"/>
  <c r="G23" i="10"/>
  <c r="G234" i="10"/>
  <c r="G202" i="10"/>
  <c r="G106" i="10"/>
  <c r="G26" i="10"/>
  <c r="G216" i="10"/>
  <c r="G152" i="10"/>
  <c r="G88" i="10"/>
  <c r="G150" i="10"/>
  <c r="G54" i="10"/>
  <c r="G9" i="9"/>
  <c r="G92" i="9"/>
  <c r="G76" i="9"/>
  <c r="G116" i="9"/>
  <c r="G51" i="9"/>
  <c r="G35" i="9"/>
  <c r="G86" i="9"/>
  <c r="G8" i="9"/>
  <c r="G31" i="9"/>
  <c r="G15" i="9"/>
  <c r="G69" i="9"/>
  <c r="G126" i="9"/>
  <c r="G113" i="9"/>
  <c r="G107" i="9"/>
  <c r="G27" i="9"/>
  <c r="G90" i="9"/>
  <c r="G73" i="9"/>
  <c r="G124" i="9"/>
  <c r="G70" i="9"/>
  <c r="G101" i="8"/>
  <c r="G53" i="8"/>
  <c r="G68" i="8"/>
  <c r="G52" i="8"/>
  <c r="G94" i="8"/>
  <c r="G30" i="8"/>
  <c r="G41" i="8"/>
  <c r="G61" i="8"/>
  <c r="G63" i="8"/>
  <c r="G90" i="8"/>
  <c r="G2" i="8"/>
  <c r="G43" i="8"/>
  <c r="G45" i="8"/>
  <c r="G70" i="8"/>
  <c r="G54" i="8"/>
  <c r="G72" i="8"/>
  <c r="G57" i="7"/>
  <c r="G77" i="7"/>
  <c r="G36" i="7"/>
  <c r="G18" i="7"/>
  <c r="G2" i="7"/>
  <c r="G27" i="7"/>
  <c r="G58" i="7"/>
  <c r="G87" i="7"/>
  <c r="G96" i="7"/>
  <c r="G79" i="7"/>
  <c r="G15" i="7"/>
  <c r="G11" i="7"/>
  <c r="G16" i="6"/>
  <c r="G3" i="6"/>
  <c r="G8" i="6"/>
  <c r="G125" i="6"/>
  <c r="G26" i="6"/>
  <c r="G96" i="6"/>
  <c r="G121" i="6"/>
  <c r="G25" i="6"/>
  <c r="G9" i="6"/>
  <c r="G134" i="6"/>
  <c r="G85" i="6"/>
  <c r="G28" i="5"/>
  <c r="G64" i="5"/>
  <c r="G68" i="5"/>
  <c r="G97" i="5"/>
  <c r="G16" i="5"/>
  <c r="G20" i="5"/>
  <c r="G72" i="5"/>
  <c r="G88" i="5"/>
  <c r="G108" i="5"/>
  <c r="G128" i="5"/>
  <c r="G25" i="5"/>
  <c r="G29" i="5"/>
  <c r="G89" i="5"/>
  <c r="G143" i="5"/>
  <c r="G38" i="5"/>
  <c r="G55" i="5"/>
  <c r="G147" i="5"/>
  <c r="G163" i="5"/>
  <c r="G14" i="5"/>
  <c r="G90" i="5"/>
  <c r="G147" i="4"/>
  <c r="G51" i="4"/>
  <c r="G91" i="4"/>
  <c r="G47" i="4"/>
  <c r="G68" i="4"/>
  <c r="G15" i="4"/>
  <c r="G85" i="4"/>
  <c r="G37" i="4"/>
  <c r="G74" i="4"/>
  <c r="G31" i="4"/>
  <c r="G77" i="4"/>
  <c r="G48" i="4"/>
  <c r="G114" i="4"/>
  <c r="G115" i="4"/>
  <c r="G9" i="4"/>
  <c r="G76" i="4"/>
  <c r="G50" i="4"/>
  <c r="G40" i="4"/>
  <c r="G63" i="3"/>
  <c r="G73" i="3"/>
  <c r="G34" i="3"/>
  <c r="G52" i="3"/>
  <c r="G4" i="3"/>
  <c r="G29" i="3"/>
  <c r="G64" i="3"/>
  <c r="G26" i="3"/>
  <c r="G67" i="3"/>
  <c r="G23" i="3"/>
  <c r="G22" i="3"/>
  <c r="G12" i="3"/>
  <c r="G53" i="3"/>
  <c r="G4" i="2"/>
  <c r="G40" i="2"/>
  <c r="G48" i="2"/>
  <c r="G52" i="2"/>
  <c r="G60" i="2"/>
  <c r="G33" i="2"/>
  <c r="G41" i="2"/>
  <c r="G61" i="2"/>
  <c r="G47" i="2"/>
  <c r="G50" i="2"/>
  <c r="G14" i="2"/>
  <c r="G10" i="2"/>
  <c r="G54" i="2"/>
  <c r="G177" i="1"/>
  <c r="G13" i="1"/>
  <c r="G113" i="1"/>
  <c r="G52" i="12"/>
  <c r="G32" i="12"/>
  <c r="G87" i="12"/>
  <c r="G18" i="12"/>
  <c r="G77" i="12"/>
  <c r="G70" i="12"/>
  <c r="G4" i="12"/>
  <c r="G63" i="12"/>
  <c r="G24" i="12"/>
  <c r="G100" i="12"/>
  <c r="G42" i="12"/>
  <c r="G5" i="12" a="1"/>
  <c r="G25" i="12" a="1"/>
  <c r="G101" i="12" a="1"/>
  <c r="G33" i="12" a="1"/>
  <c r="G19" i="12" a="1"/>
  <c r="G43" i="12" a="1"/>
  <c r="G78" i="12" a="1"/>
  <c r="G53" i="12" a="1"/>
  <c r="G64" i="12" a="1"/>
  <c r="G88" i="12" a="1"/>
  <c r="G71" i="12" a="1"/>
  <c r="G19" i="11" l="1"/>
  <c r="G5" i="11"/>
  <c r="G34" i="11"/>
  <c r="G28" i="11"/>
  <c r="G31" i="11"/>
  <c r="G20" i="11"/>
  <c r="G23" i="11"/>
  <c r="G21" i="11"/>
  <c r="G13" i="11"/>
  <c r="G4" i="11"/>
  <c r="G7" i="11"/>
  <c r="G2" i="11"/>
  <c r="G18" i="11"/>
  <c r="G121" i="10"/>
  <c r="G141" i="10"/>
  <c r="G37" i="10"/>
  <c r="G104" i="10"/>
  <c r="G28" i="10"/>
  <c r="G264" i="10"/>
  <c r="G8" i="10"/>
  <c r="G128" i="9"/>
  <c r="G79" i="9"/>
  <c r="G110" i="9"/>
  <c r="G48" i="9"/>
  <c r="G39" i="9"/>
  <c r="G54" i="9"/>
  <c r="G84" i="9"/>
  <c r="G20" i="9"/>
  <c r="G55" i="9"/>
  <c r="G7" i="9"/>
  <c r="G20" i="8"/>
  <c r="G4" i="8"/>
  <c r="G99" i="8"/>
  <c r="G83" i="8"/>
  <c r="G33" i="8"/>
  <c r="G16" i="8"/>
  <c r="G105" i="8"/>
  <c r="G106" i="8"/>
  <c r="G58" i="8"/>
  <c r="G6" i="8"/>
  <c r="G56" i="8"/>
  <c r="G8" i="8"/>
  <c r="G55" i="8"/>
  <c r="G77" i="8"/>
  <c r="G108" i="8"/>
  <c r="G28" i="8"/>
  <c r="G12" i="8"/>
  <c r="G97" i="8"/>
  <c r="G93" i="8"/>
  <c r="G22" i="8"/>
  <c r="G85" i="8"/>
  <c r="G9" i="7"/>
  <c r="G25" i="7"/>
  <c r="G81" i="7"/>
  <c r="G93" i="7"/>
  <c r="G53" i="7"/>
  <c r="G4" i="7"/>
  <c r="G83" i="7"/>
  <c r="G19" i="7"/>
  <c r="G66" i="7"/>
  <c r="G88" i="7"/>
  <c r="G56" i="7"/>
  <c r="G6" i="7"/>
  <c r="G62" i="7"/>
  <c r="G75" i="7"/>
  <c r="G39" i="7"/>
  <c r="G12" i="7"/>
  <c r="G74" i="7"/>
  <c r="G71" i="7"/>
  <c r="G70" i="7"/>
  <c r="G156" i="6"/>
  <c r="G19" i="6"/>
  <c r="G78" i="6"/>
  <c r="G14" i="6"/>
  <c r="G45" i="6"/>
  <c r="G50" i="6"/>
  <c r="G18" i="6"/>
  <c r="G95" i="6"/>
  <c r="G122" i="6"/>
  <c r="G90" i="6"/>
  <c r="G48" i="6"/>
  <c r="G153" i="6"/>
  <c r="G41" i="6"/>
  <c r="G20" i="6"/>
  <c r="G59" i="6"/>
  <c r="G11" i="6"/>
  <c r="G102" i="6"/>
  <c r="G70" i="6"/>
  <c r="G132" i="6"/>
  <c r="G5" i="6"/>
  <c r="G68" i="6"/>
  <c r="G146" i="6"/>
  <c r="G2" i="6"/>
  <c r="G32" i="5"/>
  <c r="G96" i="5"/>
  <c r="G104" i="5"/>
  <c r="G37" i="5"/>
  <c r="G36" i="5"/>
  <c r="G100" i="5"/>
  <c r="G41" i="5"/>
  <c r="G113" i="5"/>
  <c r="G95" i="5"/>
  <c r="G62" i="5"/>
  <c r="G63" i="5"/>
  <c r="G138" i="5"/>
  <c r="G130" i="5"/>
  <c r="G114" i="5"/>
  <c r="G34" i="5"/>
  <c r="G110" i="5"/>
  <c r="G30" i="4"/>
  <c r="G65" i="4"/>
  <c r="G36" i="4"/>
  <c r="G20" i="4"/>
  <c r="G66" i="4"/>
  <c r="G107" i="4"/>
  <c r="G11" i="4"/>
  <c r="G135" i="4"/>
  <c r="G32" i="4"/>
  <c r="G53" i="4"/>
  <c r="G119" i="4"/>
  <c r="G37" i="3"/>
  <c r="G50" i="3"/>
  <c r="G2" i="3"/>
  <c r="G61" i="3"/>
  <c r="G68" i="3"/>
  <c r="G17" i="3"/>
  <c r="G39" i="3"/>
  <c r="G44" i="3"/>
  <c r="G20" i="2"/>
  <c r="G32" i="2"/>
  <c r="G17" i="2"/>
  <c r="G45" i="2"/>
  <c r="G31" i="2"/>
  <c r="G16" i="2"/>
  <c r="G18" i="2"/>
  <c r="G27" i="2"/>
  <c r="G46" i="2"/>
  <c r="G26" i="2"/>
  <c r="G51" i="2"/>
  <c r="G62" i="2"/>
  <c r="G145" i="1"/>
  <c r="G93" i="1"/>
  <c r="G149" i="1"/>
  <c r="G200" i="1"/>
  <c r="G196" i="1"/>
  <c r="G110" i="1"/>
  <c r="G78" i="1"/>
  <c r="G30" i="1"/>
  <c r="G92" i="1"/>
  <c r="G182" i="1"/>
  <c r="G150" i="1"/>
  <c r="G70" i="1"/>
  <c r="G47" i="1"/>
  <c r="G198" i="1"/>
  <c r="G82" i="1"/>
  <c r="G42" i="1"/>
  <c r="G136" i="1"/>
  <c r="G72" i="1"/>
  <c r="G115" i="1"/>
  <c r="G67" i="1"/>
  <c r="G130" i="1"/>
  <c r="G2" i="1"/>
  <c r="G43" i="1"/>
  <c r="G64" i="12"/>
  <c r="G19" i="12"/>
  <c r="G43" i="12"/>
  <c r="G5" i="12"/>
  <c r="G88" i="12"/>
  <c r="G113" i="10" s="1"/>
  <c r="G101" i="12"/>
  <c r="G71" i="12"/>
  <c r="G33" i="12"/>
  <c r="G25" i="12"/>
  <c r="G78" i="12"/>
  <c r="G53" i="12"/>
  <c r="G89" i="12" a="1"/>
  <c r="G6" i="12" a="1"/>
  <c r="G102" i="12" a="1"/>
  <c r="G54" i="12" a="1"/>
  <c r="G65" i="12" a="1"/>
  <c r="G20" i="12" a="1"/>
  <c r="G79" i="12" a="1"/>
  <c r="G72" i="12" a="1"/>
  <c r="G44" i="12" a="1"/>
  <c r="G34" i="12" a="1"/>
  <c r="G26" i="12" a="1"/>
  <c r="G29" i="11" l="1"/>
  <c r="G32" i="11"/>
  <c r="G37" i="11"/>
  <c r="G10" i="11"/>
  <c r="G24" i="11"/>
  <c r="G27" i="11"/>
  <c r="G11" i="11"/>
  <c r="G22" i="11"/>
  <c r="G36" i="11"/>
  <c r="G121" i="9"/>
  <c r="G89" i="9"/>
  <c r="G60" i="9"/>
  <c r="G28" i="9"/>
  <c r="G50" i="9"/>
  <c r="G119" i="9"/>
  <c r="G23" i="9"/>
  <c r="G38" i="9"/>
  <c r="G46" i="9"/>
  <c r="G112" i="9"/>
  <c r="G29" i="9"/>
  <c r="G93" i="9"/>
  <c r="G25" i="9"/>
  <c r="G120" i="9"/>
  <c r="G52" i="9"/>
  <c r="G5" i="9"/>
  <c r="G123" i="9"/>
  <c r="G103" i="9"/>
  <c r="G118" i="9"/>
  <c r="G36" i="8"/>
  <c r="G69" i="8"/>
  <c r="G62" i="8"/>
  <c r="G14" i="8"/>
  <c r="G37" i="8"/>
  <c r="G80" i="8"/>
  <c r="G48" i="8"/>
  <c r="G95" i="8"/>
  <c r="G7" i="8"/>
  <c r="G98" i="8"/>
  <c r="G76" i="8"/>
  <c r="G75" i="8"/>
  <c r="G102" i="8"/>
  <c r="G40" i="8"/>
  <c r="G81" i="8"/>
  <c r="G34" i="8"/>
  <c r="G13" i="7"/>
  <c r="G49" i="7"/>
  <c r="G97" i="7"/>
  <c r="G5" i="7"/>
  <c r="G29" i="7"/>
  <c r="G91" i="7"/>
  <c r="G59" i="7"/>
  <c r="G90" i="7"/>
  <c r="G7" i="7"/>
  <c r="G31" i="7"/>
  <c r="G78" i="7"/>
  <c r="G46" i="7"/>
  <c r="G72" i="7"/>
  <c r="G8" i="7"/>
  <c r="G64" i="6"/>
  <c r="G142" i="6"/>
  <c r="G110" i="6"/>
  <c r="G60" i="6"/>
  <c r="G124" i="6"/>
  <c r="G28" i="6"/>
  <c r="G129" i="6"/>
  <c r="G15" i="6"/>
  <c r="G101" i="6"/>
  <c r="G135" i="6"/>
  <c r="G98" i="6"/>
  <c r="G56" i="5"/>
  <c r="G124" i="5"/>
  <c r="G9" i="5"/>
  <c r="G92" i="5"/>
  <c r="G145" i="5"/>
  <c r="G79" i="5"/>
  <c r="G118" i="5"/>
  <c r="G170" i="5"/>
  <c r="G43" i="5"/>
  <c r="G82" i="5"/>
  <c r="G142" i="5"/>
  <c r="G78" i="5"/>
  <c r="G131" i="5"/>
  <c r="G15" i="5"/>
  <c r="G27" i="5"/>
  <c r="G145" i="4"/>
  <c r="G95" i="4"/>
  <c r="G116" i="4"/>
  <c r="G7" i="4"/>
  <c r="G133" i="4"/>
  <c r="G79" i="4"/>
  <c r="G61" i="4"/>
  <c r="G134" i="4"/>
  <c r="G63" i="4"/>
  <c r="G101" i="4"/>
  <c r="G73" i="4"/>
  <c r="G41" i="4"/>
  <c r="G75" i="4"/>
  <c r="G44" i="4"/>
  <c r="G21" i="4"/>
  <c r="G136" i="4"/>
  <c r="G62" i="3"/>
  <c r="G27" i="3"/>
  <c r="G42" i="3"/>
  <c r="G18" i="3"/>
  <c r="G43" i="3"/>
  <c r="G11" i="3"/>
  <c r="G48" i="3"/>
  <c r="G65" i="3"/>
  <c r="G33" i="3"/>
  <c r="G24" i="2"/>
  <c r="G56" i="2"/>
  <c r="G64" i="2"/>
  <c r="G9" i="2"/>
  <c r="G49" i="2"/>
  <c r="G53" i="2"/>
  <c r="G30" i="2"/>
  <c r="G55" i="2"/>
  <c r="G38" i="2"/>
  <c r="G59" i="2"/>
  <c r="G35" i="2"/>
  <c r="G37" i="1"/>
  <c r="G101" i="1"/>
  <c r="G173" i="1"/>
  <c r="G65" i="1"/>
  <c r="G97" i="1"/>
  <c r="G184" i="1"/>
  <c r="G192" i="1"/>
  <c r="G94" i="1"/>
  <c r="G62" i="1"/>
  <c r="G46" i="1"/>
  <c r="G12" i="1"/>
  <c r="G167" i="1"/>
  <c r="G87" i="1"/>
  <c r="G39" i="1"/>
  <c r="G23" i="1"/>
  <c r="G22" i="1"/>
  <c r="G100" i="1"/>
  <c r="G15" i="1"/>
  <c r="G128" i="1"/>
  <c r="G188" i="1"/>
  <c r="G147" i="1"/>
  <c r="G178" i="1"/>
  <c r="G34" i="1"/>
  <c r="G16" i="1"/>
  <c r="G34" i="12"/>
  <c r="G6" i="12"/>
  <c r="G54" i="12"/>
  <c r="G72" i="12"/>
  <c r="G44" i="12"/>
  <c r="G79" i="12"/>
  <c r="G102" i="12"/>
  <c r="G20" i="12"/>
  <c r="G26" i="12"/>
  <c r="G89" i="12"/>
  <c r="G65" i="12"/>
  <c r="G55" i="12" a="1"/>
  <c r="G73" i="12" a="1"/>
  <c r="G45" i="12" a="1"/>
  <c r="G90" i="12" a="1"/>
  <c r="G35" i="12" a="1"/>
  <c r="G27" i="12" a="1"/>
  <c r="G66" i="12" a="1"/>
  <c r="G103" i="12" a="1"/>
  <c r="G21" i="12" a="1"/>
  <c r="G80" i="12" a="1"/>
  <c r="G7" i="12" a="1"/>
  <c r="G16" i="11" l="1"/>
  <c r="G35" i="11"/>
  <c r="G3" i="11"/>
  <c r="G30" i="11"/>
  <c r="G17" i="11"/>
  <c r="G15" i="11"/>
  <c r="G26" i="11"/>
  <c r="G68" i="10"/>
  <c r="G282" i="10"/>
  <c r="G262" i="10"/>
  <c r="G256" i="10"/>
  <c r="G208" i="10"/>
  <c r="G263" i="10"/>
  <c r="G199" i="10"/>
  <c r="G167" i="10"/>
  <c r="G154" i="10"/>
  <c r="G67" i="10"/>
  <c r="G44" i="9"/>
  <c r="G66" i="9"/>
  <c r="G64" i="9"/>
  <c r="G117" i="9"/>
  <c r="G30" i="9"/>
  <c r="G65" i="9"/>
  <c r="G68" i="9"/>
  <c r="G57" i="9"/>
  <c r="G106" i="9"/>
  <c r="G74" i="9"/>
  <c r="G100" i="8"/>
  <c r="G73" i="8"/>
  <c r="G25" i="8"/>
  <c r="G71" i="8"/>
  <c r="G66" i="8"/>
  <c r="G96" i="8"/>
  <c r="G79" i="8"/>
  <c r="G47" i="8"/>
  <c r="G74" i="8"/>
  <c r="G42" i="8"/>
  <c r="G10" i="8"/>
  <c r="G107" i="8"/>
  <c r="G91" i="8"/>
  <c r="G11" i="8"/>
  <c r="G82" i="8"/>
  <c r="G41" i="7"/>
  <c r="G65" i="7"/>
  <c r="G89" i="7"/>
  <c r="G68" i="7"/>
  <c r="G20" i="7"/>
  <c r="G67" i="7"/>
  <c r="G35" i="7"/>
  <c r="G3" i="7"/>
  <c r="G34" i="7"/>
  <c r="G26" i="7"/>
  <c r="G24" i="7"/>
  <c r="G55" i="7"/>
  <c r="G80" i="7"/>
  <c r="G32" i="7"/>
  <c r="G86" i="7"/>
  <c r="G42" i="7"/>
  <c r="G23" i="7"/>
  <c r="G147" i="6"/>
  <c r="G115" i="6"/>
  <c r="G51" i="6"/>
  <c r="G62" i="6"/>
  <c r="G46" i="6"/>
  <c r="G141" i="6"/>
  <c r="G77" i="6"/>
  <c r="G39" i="6"/>
  <c r="G47" i="6"/>
  <c r="G138" i="6"/>
  <c r="G105" i="6"/>
  <c r="G89" i="6"/>
  <c r="G130" i="6"/>
  <c r="G43" i="6"/>
  <c r="G6" i="6"/>
  <c r="G36" i="6"/>
  <c r="G65" i="6"/>
  <c r="G84" i="5"/>
  <c r="G168" i="5"/>
  <c r="G77" i="5"/>
  <c r="G109" i="5"/>
  <c r="G144" i="5"/>
  <c r="G5" i="5"/>
  <c r="G65" i="5"/>
  <c r="G105" i="5"/>
  <c r="G137" i="5"/>
  <c r="G167" i="5"/>
  <c r="G134" i="5"/>
  <c r="G70" i="5"/>
  <c r="G7" i="5"/>
  <c r="G87" i="5"/>
  <c r="G94" i="5"/>
  <c r="G30" i="5"/>
  <c r="G11" i="5"/>
  <c r="G18" i="5"/>
  <c r="G19" i="5"/>
  <c r="G3" i="4"/>
  <c r="G99" i="4"/>
  <c r="G62" i="4"/>
  <c r="G33" i="4"/>
  <c r="G100" i="4"/>
  <c r="G26" i="4"/>
  <c r="G125" i="4"/>
  <c r="G131" i="4"/>
  <c r="G96" i="4"/>
  <c r="G80" i="4"/>
  <c r="G137" i="4"/>
  <c r="G89" i="4"/>
  <c r="G57" i="4"/>
  <c r="G59" i="4"/>
  <c r="G69" i="3"/>
  <c r="G31" i="3"/>
  <c r="G30" i="3"/>
  <c r="G13" i="3"/>
  <c r="G10" i="3"/>
  <c r="G5" i="3"/>
  <c r="G35" i="3"/>
  <c r="G59" i="3"/>
  <c r="G58" i="3"/>
  <c r="G16" i="3"/>
  <c r="G38" i="3"/>
  <c r="G6" i="3"/>
  <c r="G60" i="3"/>
  <c r="G28" i="2"/>
  <c r="G36" i="2"/>
  <c r="G44" i="2"/>
  <c r="G21" i="2"/>
  <c r="G25" i="2"/>
  <c r="G37" i="2"/>
  <c r="G15" i="2"/>
  <c r="G43" i="2"/>
  <c r="G42" i="2"/>
  <c r="G22" i="2"/>
  <c r="G157" i="1"/>
  <c r="G17" i="1"/>
  <c r="G81" i="1"/>
  <c r="G129" i="1"/>
  <c r="G142" i="1"/>
  <c r="G151" i="1"/>
  <c r="G55" i="1"/>
  <c r="G7" i="1"/>
  <c r="G19" i="1"/>
  <c r="G38" i="1"/>
  <c r="G159" i="1"/>
  <c r="G18" i="1"/>
  <c r="G26" i="1"/>
  <c r="G104" i="1"/>
  <c r="G131" i="1"/>
  <c r="G50" i="1"/>
  <c r="G64" i="1"/>
  <c r="G155" i="1"/>
  <c r="G21" i="12"/>
  <c r="G73" i="12"/>
  <c r="G66" i="12"/>
  <c r="G103" i="12"/>
  <c r="G55" i="12"/>
  <c r="G90" i="12"/>
  <c r="G80" i="12"/>
  <c r="G7" i="12"/>
  <c r="G27" i="12"/>
  <c r="G45" i="12"/>
  <c r="G35" i="12"/>
  <c r="G67" i="12" a="1"/>
  <c r="G28" i="12" a="1"/>
  <c r="G91" i="12" a="1"/>
  <c r="G46" i="12" a="1"/>
  <c r="G36" i="12" a="1"/>
  <c r="G81" i="12" a="1"/>
  <c r="G56" i="12" a="1"/>
  <c r="G74" i="12" a="1"/>
  <c r="G8" i="12" a="1"/>
  <c r="G61" i="10" l="1"/>
  <c r="G153" i="10"/>
  <c r="G196" i="10"/>
  <c r="G191" i="10"/>
  <c r="G15" i="10"/>
  <c r="G210" i="10"/>
  <c r="G130" i="10"/>
  <c r="G182" i="10"/>
  <c r="G160" i="10"/>
  <c r="G250" i="10"/>
  <c r="G41" i="9"/>
  <c r="G129" i="9"/>
  <c r="G49" i="9"/>
  <c r="G94" i="9"/>
  <c r="G78" i="9"/>
  <c r="G87" i="9"/>
  <c r="G105" i="9"/>
  <c r="G42" i="9"/>
  <c r="G53" i="9"/>
  <c r="G9" i="8"/>
  <c r="G84" i="8"/>
  <c r="G35" i="8"/>
  <c r="G19" i="8"/>
  <c r="G88" i="8"/>
  <c r="G24" i="8"/>
  <c r="G5" i="8"/>
  <c r="G32" i="8"/>
  <c r="G31" i="8"/>
  <c r="G26" i="8"/>
  <c r="G65" i="8"/>
  <c r="G50" i="8"/>
  <c r="G44" i="8"/>
  <c r="G49" i="8"/>
  <c r="G59" i="8"/>
  <c r="G27" i="8"/>
  <c r="G86" i="8"/>
  <c r="G85" i="7"/>
  <c r="G84" i="7"/>
  <c r="G52" i="7"/>
  <c r="G51" i="7"/>
  <c r="G50" i="7"/>
  <c r="G76" i="7"/>
  <c r="G64" i="7"/>
  <c r="G48" i="7"/>
  <c r="G16" i="7"/>
  <c r="G95" i="7"/>
  <c r="G63" i="7"/>
  <c r="G47" i="7"/>
  <c r="G28" i="7"/>
  <c r="G10" i="7"/>
  <c r="G40" i="7"/>
  <c r="G114" i="6"/>
  <c r="G154" i="6"/>
  <c r="G140" i="6"/>
  <c r="G54" i="6"/>
  <c r="G69" i="6"/>
  <c r="G116" i="6"/>
  <c r="G17" i="6"/>
  <c r="G40" i="5"/>
  <c r="G76" i="5"/>
  <c r="G45" i="5"/>
  <c r="G53" i="5"/>
  <c r="G125" i="5"/>
  <c r="G24" i="5"/>
  <c r="G44" i="5"/>
  <c r="G52" i="5"/>
  <c r="G120" i="5"/>
  <c r="G164" i="5"/>
  <c r="G13" i="5"/>
  <c r="G49" i="5"/>
  <c r="G73" i="5"/>
  <c r="G157" i="5"/>
  <c r="G115" i="5"/>
  <c r="G39" i="5"/>
  <c r="G99" i="5"/>
  <c r="G106" i="5"/>
  <c r="G74" i="5"/>
  <c r="G123" i="5"/>
  <c r="G135" i="5"/>
  <c r="G162" i="5"/>
  <c r="G98" i="5"/>
  <c r="G51" i="5"/>
  <c r="G127" i="5"/>
  <c r="G103" i="5"/>
  <c r="G47" i="5"/>
  <c r="G119" i="5"/>
  <c r="G159" i="5"/>
  <c r="G59" i="5"/>
  <c r="G46" i="4"/>
  <c r="G139" i="4"/>
  <c r="G81" i="4"/>
  <c r="G143" i="4"/>
  <c r="G84" i="4"/>
  <c r="G130" i="4"/>
  <c r="G141" i="4"/>
  <c r="G109" i="4"/>
  <c r="G45" i="4"/>
  <c r="G39" i="4"/>
  <c r="G82" i="4"/>
  <c r="G5" i="4"/>
  <c r="G118" i="4"/>
  <c r="G25" i="4"/>
  <c r="G140" i="4"/>
  <c r="G21" i="3"/>
  <c r="G14" i="3"/>
  <c r="G3" i="3"/>
  <c r="G57" i="3"/>
  <c r="G9" i="3"/>
  <c r="G32" i="3"/>
  <c r="G71" i="3"/>
  <c r="G70" i="3"/>
  <c r="G54" i="3"/>
  <c r="G8" i="2"/>
  <c r="G12" i="2"/>
  <c r="G5" i="2"/>
  <c r="G13" i="2"/>
  <c r="G29" i="2"/>
  <c r="G57" i="2"/>
  <c r="G63" i="2"/>
  <c r="G34" i="2"/>
  <c r="G2" i="2"/>
  <c r="G11" i="2"/>
  <c r="G23" i="2"/>
  <c r="G58" i="2"/>
  <c r="G3" i="2"/>
  <c r="G6" i="2"/>
  <c r="G39" i="2"/>
  <c r="G7" i="2"/>
  <c r="G19" i="2"/>
  <c r="G53" i="1"/>
  <c r="G85" i="1"/>
  <c r="G25" i="1"/>
  <c r="G33" i="1"/>
  <c r="G49" i="1"/>
  <c r="G124" i="1"/>
  <c r="G119" i="1"/>
  <c r="G103" i="1"/>
  <c r="G166" i="1"/>
  <c r="G132" i="1"/>
  <c r="G84" i="1"/>
  <c r="G127" i="1"/>
  <c r="G164" i="1"/>
  <c r="G180" i="1"/>
  <c r="G179" i="1"/>
  <c r="G31" i="1"/>
  <c r="G8" i="12"/>
  <c r="G36" i="12"/>
  <c r="G81" i="12"/>
  <c r="G67" i="12"/>
  <c r="G46" i="12"/>
  <c r="G91" i="12"/>
  <c r="G74" i="12"/>
  <c r="G28" i="12"/>
  <c r="G56" i="12"/>
  <c r="G47" i="12" a="1"/>
  <c r="G82" i="12" a="1"/>
  <c r="G29" i="12" a="1"/>
  <c r="G57" i="12" a="1"/>
  <c r="G9" i="12" a="1"/>
  <c r="G37" i="12" a="1"/>
  <c r="G92" i="12" a="1"/>
  <c r="G21" i="10" l="1"/>
  <c r="G129" i="10"/>
  <c r="G85" i="10"/>
  <c r="G145" i="10"/>
  <c r="G237" i="10"/>
  <c r="G213" i="10"/>
  <c r="G100" i="10"/>
  <c r="G226" i="10"/>
  <c r="G66" i="10"/>
  <c r="G166" i="10"/>
  <c r="G272" i="10"/>
  <c r="G92" i="10"/>
  <c r="G118" i="10"/>
  <c r="G61" i="9"/>
  <c r="G83" i="9"/>
  <c r="G18" i="9"/>
  <c r="G72" i="9"/>
  <c r="G56" i="9"/>
  <c r="G95" i="9"/>
  <c r="G47" i="9"/>
  <c r="G62" i="9"/>
  <c r="G96" i="9"/>
  <c r="G102" i="9"/>
  <c r="G4" i="9"/>
  <c r="G85" i="9"/>
  <c r="G75" i="9"/>
  <c r="G122" i="9"/>
  <c r="G32" i="9"/>
  <c r="G67" i="8"/>
  <c r="G51" i="8"/>
  <c r="G3" i="8"/>
  <c r="G21" i="8"/>
  <c r="G78" i="8"/>
  <c r="G46" i="8"/>
  <c r="G23" i="8"/>
  <c r="G18" i="8"/>
  <c r="G89" i="8"/>
  <c r="G64" i="8"/>
  <c r="G109" i="8"/>
  <c r="G13" i="8"/>
  <c r="G15" i="8"/>
  <c r="G57" i="8"/>
  <c r="G104" i="8"/>
  <c r="G103" i="8"/>
  <c r="G29" i="8"/>
  <c r="G92" i="8"/>
  <c r="G60" i="8"/>
  <c r="G38" i="8"/>
  <c r="G17" i="8"/>
  <c r="G87" i="8"/>
  <c r="G39" i="8"/>
  <c r="G33" i="7"/>
  <c r="G45" i="7"/>
  <c r="G69" i="7"/>
  <c r="G21" i="7"/>
  <c r="G37" i="7"/>
  <c r="G61" i="7"/>
  <c r="G73" i="7"/>
  <c r="G17" i="7"/>
  <c r="G98" i="7"/>
  <c r="G82" i="7"/>
  <c r="G44" i="7"/>
  <c r="G54" i="7"/>
  <c r="G94" i="7"/>
  <c r="G30" i="7"/>
  <c r="G14" i="7"/>
  <c r="G92" i="7"/>
  <c r="G60" i="7"/>
  <c r="G38" i="7"/>
  <c r="G43" i="7"/>
  <c r="G22" i="7"/>
  <c r="G99" i="6"/>
  <c r="G112" i="6"/>
  <c r="G12" i="6"/>
  <c r="G94" i="6"/>
  <c r="G93" i="6"/>
  <c r="G13" i="6"/>
  <c r="G144" i="6"/>
  <c r="G143" i="6"/>
  <c r="G127" i="6"/>
  <c r="G58" i="6"/>
  <c r="G10" i="6"/>
  <c r="G57" i="6"/>
  <c r="G139" i="6"/>
  <c r="G91" i="6"/>
  <c r="G75" i="6"/>
  <c r="G84" i="6"/>
  <c r="G21" i="6"/>
  <c r="G103" i="6"/>
  <c r="G8" i="5"/>
  <c r="G48" i="5"/>
  <c r="G85" i="5"/>
  <c r="G117" i="5"/>
  <c r="G133" i="5"/>
  <c r="G4" i="5"/>
  <c r="G81" i="5"/>
  <c r="G93" i="5"/>
  <c r="G153" i="5"/>
  <c r="G166" i="5"/>
  <c r="G54" i="5"/>
  <c r="G158" i="5"/>
  <c r="G126" i="5"/>
  <c r="G171" i="5"/>
  <c r="G75" i="5"/>
  <c r="G66" i="5"/>
  <c r="G83" i="5"/>
  <c r="G58" i="5"/>
  <c r="G94" i="4"/>
  <c r="G14" i="4"/>
  <c r="G129" i="4"/>
  <c r="G146" i="4"/>
  <c r="G4" i="4"/>
  <c r="G2" i="4"/>
  <c r="G90" i="4"/>
  <c r="G93" i="4"/>
  <c r="G13" i="4"/>
  <c r="G87" i="4"/>
  <c r="G128" i="4"/>
  <c r="G64" i="4"/>
  <c r="G16" i="4"/>
  <c r="G103" i="4"/>
  <c r="G106" i="4"/>
  <c r="G56" i="4"/>
  <c r="G123" i="4"/>
  <c r="G86" i="4"/>
  <c r="G70" i="4"/>
  <c r="G54" i="4"/>
  <c r="G71" i="4"/>
  <c r="G121" i="4"/>
  <c r="G124" i="4"/>
  <c r="G60" i="4"/>
  <c r="G12" i="4"/>
  <c r="G111" i="4"/>
  <c r="G18" i="4"/>
  <c r="G40" i="3"/>
  <c r="G24" i="3"/>
  <c r="G8" i="3"/>
  <c r="G72" i="3"/>
  <c r="G15" i="3"/>
  <c r="G36" i="3"/>
  <c r="G45" i="3"/>
  <c r="G7" i="3"/>
  <c r="G49" i="3"/>
  <c r="G51" i="3"/>
  <c r="G19" i="3"/>
  <c r="G57" i="1"/>
  <c r="G29" i="1"/>
  <c r="G141" i="1"/>
  <c r="G144" i="1"/>
  <c r="G14" i="1"/>
  <c r="G76" i="1"/>
  <c r="G71" i="1"/>
  <c r="G156" i="1"/>
  <c r="G102" i="1"/>
  <c r="G86" i="1"/>
  <c r="G6" i="1"/>
  <c r="G116" i="1"/>
  <c r="G175" i="1"/>
  <c r="G114" i="1"/>
  <c r="G96" i="1"/>
  <c r="G138" i="1"/>
  <c r="G122" i="1"/>
  <c r="G58" i="1"/>
  <c r="G48" i="1"/>
  <c r="G32" i="1"/>
  <c r="G171" i="1"/>
  <c r="G139" i="1"/>
  <c r="G123" i="1"/>
  <c r="G37" i="12"/>
  <c r="G29" i="12"/>
  <c r="G82" i="12"/>
  <c r="G92" i="12"/>
  <c r="G57" i="12"/>
  <c r="G47" i="12"/>
  <c r="G9" i="12"/>
  <c r="G48" i="12" a="1"/>
  <c r="G38" i="12" a="1"/>
  <c r="G10" i="12" a="1"/>
  <c r="G93" i="12" a="1"/>
  <c r="G83" i="12" a="1"/>
  <c r="G58" i="12" a="1"/>
  <c r="G53" i="10" l="1"/>
  <c r="G125" i="10"/>
  <c r="G73" i="10"/>
  <c r="G205" i="10"/>
  <c r="G229" i="10"/>
  <c r="G185" i="10"/>
  <c r="G228" i="10"/>
  <c r="G132" i="10"/>
  <c r="G116" i="10"/>
  <c r="G20" i="10"/>
  <c r="G47" i="10"/>
  <c r="G34" i="10"/>
  <c r="G126" i="10"/>
  <c r="G3" i="10"/>
  <c r="G214" i="10"/>
  <c r="G96" i="10"/>
  <c r="G171" i="10"/>
  <c r="G155" i="10"/>
  <c r="G139" i="10"/>
  <c r="G238" i="10"/>
  <c r="G190" i="10"/>
  <c r="G204" i="10"/>
  <c r="G183" i="10"/>
  <c r="G71" i="10"/>
  <c r="G270" i="10"/>
  <c r="G122" i="10"/>
  <c r="G136" i="10"/>
  <c r="G195" i="10"/>
  <c r="G163" i="10"/>
  <c r="G131" i="10"/>
  <c r="G108" i="9"/>
  <c r="G109" i="9"/>
  <c r="G115" i="9"/>
  <c r="G98" i="9"/>
  <c r="G82" i="9"/>
  <c r="G24" i="9"/>
  <c r="G97" i="9"/>
  <c r="G13" i="9"/>
  <c r="G127" i="9"/>
  <c r="G14" i="9"/>
  <c r="G101" i="9"/>
  <c r="G16" i="9"/>
  <c r="G100" i="9"/>
  <c r="G43" i="9"/>
  <c r="G10" i="9"/>
  <c r="G17" i="9"/>
  <c r="G104" i="6"/>
  <c r="G67" i="6"/>
  <c r="G30" i="6"/>
  <c r="G109" i="6"/>
  <c r="G92" i="6"/>
  <c r="G44" i="6"/>
  <c r="G119" i="6"/>
  <c r="G23" i="6"/>
  <c r="G82" i="6"/>
  <c r="G32" i="6"/>
  <c r="G123" i="6"/>
  <c r="G27" i="6"/>
  <c r="G136" i="6"/>
  <c r="G133" i="6"/>
  <c r="G53" i="6"/>
  <c r="G55" i="6"/>
  <c r="G24" i="6"/>
  <c r="G113" i="6"/>
  <c r="G116" i="5"/>
  <c r="G132" i="5"/>
  <c r="G140" i="5"/>
  <c r="G160" i="5"/>
  <c r="G101" i="5"/>
  <c r="G141" i="5"/>
  <c r="G156" i="5"/>
  <c r="G169" i="5"/>
  <c r="G22" i="5"/>
  <c r="G155" i="5"/>
  <c r="G42" i="5"/>
  <c r="G10" i="5"/>
  <c r="G146" i="5"/>
  <c r="G50" i="5"/>
  <c r="G3" i="5"/>
  <c r="G154" i="5"/>
  <c r="G122" i="5"/>
  <c r="G26" i="5"/>
  <c r="G138" i="4"/>
  <c r="G113" i="4"/>
  <c r="G49" i="4"/>
  <c r="G72" i="4"/>
  <c r="G126" i="4"/>
  <c r="G58" i="4"/>
  <c r="G112" i="4"/>
  <c r="G8" i="4"/>
  <c r="G67" i="4"/>
  <c r="G27" i="4"/>
  <c r="G110" i="4"/>
  <c r="G6" i="4"/>
  <c r="G122" i="4"/>
  <c r="G108" i="4"/>
  <c r="G92" i="4"/>
  <c r="G28" i="4"/>
  <c r="G102" i="4"/>
  <c r="G88" i="4"/>
  <c r="G56" i="3"/>
  <c r="G41" i="3"/>
  <c r="G47" i="3"/>
  <c r="G25" i="3"/>
  <c r="G46" i="3"/>
  <c r="G66" i="3"/>
  <c r="G20" i="3"/>
  <c r="G55" i="3"/>
  <c r="G28" i="3"/>
  <c r="G21" i="1"/>
  <c r="G117" i="1"/>
  <c r="G168" i="1"/>
  <c r="G140" i="1"/>
  <c r="G36" i="1"/>
  <c r="G191" i="1"/>
  <c r="G90" i="1"/>
  <c r="G120" i="1"/>
  <c r="G107" i="1"/>
  <c r="G190" i="1"/>
  <c r="G93" i="12"/>
  <c r="G10" i="12"/>
  <c r="G83" i="12"/>
  <c r="G48" i="12"/>
  <c r="G58" i="12"/>
  <c r="G38" i="12"/>
  <c r="G49" i="12" a="1"/>
  <c r="G94" i="12" a="1"/>
  <c r="G11" i="12" a="1"/>
  <c r="G39" i="12" a="1"/>
  <c r="G84" i="12" a="1"/>
  <c r="G59" i="12" a="1"/>
  <c r="G29" i="10" l="1"/>
  <c r="G149" i="10"/>
  <c r="G49" i="10"/>
  <c r="G17" i="10"/>
  <c r="G41" i="10"/>
  <c r="G169" i="10"/>
  <c r="G193" i="10"/>
  <c r="G261" i="10"/>
  <c r="G201" i="10"/>
  <c r="G84" i="10"/>
  <c r="G143" i="10"/>
  <c r="G127" i="10"/>
  <c r="G63" i="10"/>
  <c r="G194" i="10"/>
  <c r="G114" i="10"/>
  <c r="G2" i="10"/>
  <c r="G46" i="10"/>
  <c r="G83" i="10"/>
  <c r="G19" i="10"/>
  <c r="G38" i="10"/>
  <c r="G266" i="10"/>
  <c r="G80" i="10"/>
  <c r="G16" i="10"/>
  <c r="G235" i="10"/>
  <c r="G123" i="10"/>
  <c r="G107" i="10"/>
  <c r="G59" i="10"/>
  <c r="G11" i="10"/>
  <c r="G220" i="10"/>
  <c r="G140" i="10"/>
  <c r="G44" i="10"/>
  <c r="G119" i="10"/>
  <c r="G10" i="10"/>
  <c r="G200" i="10"/>
  <c r="G184" i="10"/>
  <c r="G259" i="10"/>
  <c r="G86" i="10"/>
  <c r="G45" i="9"/>
  <c r="G12" i="9"/>
  <c r="G99" i="9"/>
  <c r="G3" i="9"/>
  <c r="G81" i="9"/>
  <c r="G130" i="9"/>
  <c r="G114" i="9"/>
  <c r="G2" i="9"/>
  <c r="G71" i="9"/>
  <c r="G77" i="9"/>
  <c r="G33" i="9"/>
  <c r="G104" i="9"/>
  <c r="G111" i="9"/>
  <c r="G6" i="9"/>
  <c r="G36" i="9"/>
  <c r="G37" i="9"/>
  <c r="G91" i="9"/>
  <c r="G11" i="9"/>
  <c r="G26" i="9"/>
  <c r="G22" i="9"/>
  <c r="G131" i="6"/>
  <c r="G35" i="6"/>
  <c r="G126" i="6"/>
  <c r="G152" i="6"/>
  <c r="G61" i="6"/>
  <c r="G151" i="6"/>
  <c r="G87" i="6"/>
  <c r="G33" i="6"/>
  <c r="G4" i="6"/>
  <c r="G111" i="6"/>
  <c r="G52" i="6"/>
  <c r="G106" i="6"/>
  <c r="G42" i="6"/>
  <c r="G34" i="6"/>
  <c r="G145" i="6"/>
  <c r="G97" i="6"/>
  <c r="G118" i="6"/>
  <c r="G86" i="6"/>
  <c r="G38" i="6"/>
  <c r="G149" i="6"/>
  <c r="G117" i="6"/>
  <c r="G37" i="6"/>
  <c r="G7" i="6"/>
  <c r="G12" i="5"/>
  <c r="G61" i="5"/>
  <c r="G80" i="5"/>
  <c r="G136" i="5"/>
  <c r="G148" i="5"/>
  <c r="G17" i="5"/>
  <c r="G57" i="5"/>
  <c r="G121" i="5"/>
  <c r="G161" i="5"/>
  <c r="G149" i="5"/>
  <c r="G102" i="5"/>
  <c r="G86" i="5"/>
  <c r="G111" i="5"/>
  <c r="G91" i="5"/>
  <c r="G2" i="5"/>
  <c r="G139" i="5"/>
  <c r="G67" i="5"/>
  <c r="G35" i="5"/>
  <c r="G71" i="5"/>
  <c r="G46" i="5"/>
  <c r="G78" i="4"/>
  <c r="G97" i="4"/>
  <c r="G17" i="4"/>
  <c r="G132" i="4"/>
  <c r="G52" i="4"/>
  <c r="G24" i="4"/>
  <c r="G35" i="4"/>
  <c r="G42" i="4"/>
  <c r="G10" i="4"/>
  <c r="G104" i="4"/>
  <c r="G22" i="4"/>
  <c r="G19" i="4"/>
  <c r="G23" i="4"/>
  <c r="G89" i="1"/>
  <c r="G148" i="1"/>
  <c r="G174" i="1"/>
  <c r="G60" i="1"/>
  <c r="G118" i="1"/>
  <c r="G4" i="1"/>
  <c r="G186" i="1"/>
  <c r="G163" i="1"/>
  <c r="G49" i="12"/>
  <c r="G84" i="12"/>
  <c r="G39" i="12"/>
  <c r="G11" i="12"/>
  <c r="G59" i="12"/>
  <c r="G94" i="12"/>
  <c r="G12" i="12" a="1"/>
  <c r="G60" i="12" a="1"/>
  <c r="G95" i="12" a="1"/>
  <c r="G77" i="10" l="1"/>
  <c r="G165" i="10"/>
  <c r="G69" i="10"/>
  <c r="G101" i="10"/>
  <c r="G137" i="10"/>
  <c r="G189" i="10"/>
  <c r="G241" i="10"/>
  <c r="G257" i="10"/>
  <c r="G245" i="10"/>
  <c r="G217" i="10"/>
  <c r="G249" i="10"/>
  <c r="G265" i="10"/>
  <c r="G52" i="10"/>
  <c r="G223" i="10"/>
  <c r="G178" i="10"/>
  <c r="G24" i="10"/>
  <c r="G147" i="10"/>
  <c r="G51" i="10"/>
  <c r="G6" i="10"/>
  <c r="G192" i="10"/>
  <c r="G64" i="10"/>
  <c r="G283" i="10"/>
  <c r="G203" i="10"/>
  <c r="G91" i="10"/>
  <c r="G206" i="10"/>
  <c r="G236" i="10"/>
  <c r="G188" i="10"/>
  <c r="G108" i="10"/>
  <c r="G12" i="10"/>
  <c r="G279" i="10"/>
  <c r="G215" i="10"/>
  <c r="G55" i="10"/>
  <c r="G7" i="10"/>
  <c r="G120" i="10"/>
  <c r="G40" i="10"/>
  <c r="G227" i="10"/>
  <c r="G99" i="10"/>
  <c r="G21" i="9"/>
  <c r="G67" i="9"/>
  <c r="G19" i="9"/>
  <c r="G34" i="9"/>
  <c r="G125" i="9"/>
  <c r="G88" i="9"/>
  <c r="G40" i="9"/>
  <c r="G63" i="9"/>
  <c r="G59" i="9"/>
  <c r="G58" i="9"/>
  <c r="G80" i="9"/>
  <c r="G56" i="6"/>
  <c r="G83" i="6"/>
  <c r="G108" i="6"/>
  <c r="G29" i="6"/>
  <c r="G72" i="6"/>
  <c r="G81" i="6"/>
  <c r="G79" i="6"/>
  <c r="G31" i="6"/>
  <c r="G148" i="6"/>
  <c r="G100" i="6"/>
  <c r="G74" i="6"/>
  <c r="G137" i="6"/>
  <c r="G73" i="6"/>
  <c r="G71" i="6"/>
  <c r="G76" i="6"/>
  <c r="G120" i="6"/>
  <c r="G49" i="6"/>
  <c r="G107" i="6"/>
  <c r="G88" i="6"/>
  <c r="G40" i="6"/>
  <c r="G22" i="6"/>
  <c r="G152" i="5"/>
  <c r="G69" i="5"/>
  <c r="G60" i="5"/>
  <c r="G112" i="5"/>
  <c r="G21" i="5"/>
  <c r="G33" i="5"/>
  <c r="G129" i="5"/>
  <c r="G165" i="5"/>
  <c r="G150" i="5"/>
  <c r="G6" i="5"/>
  <c r="G151" i="5"/>
  <c r="G23" i="5"/>
  <c r="G31" i="5"/>
  <c r="G107" i="5"/>
  <c r="G43" i="4"/>
  <c r="G142" i="4"/>
  <c r="G98" i="4"/>
  <c r="G120" i="4"/>
  <c r="G83" i="4"/>
  <c r="G127" i="4"/>
  <c r="G29" i="4"/>
  <c r="G144" i="4"/>
  <c r="G34" i="4"/>
  <c r="G38" i="4"/>
  <c r="G105" i="4"/>
  <c r="G117" i="4"/>
  <c r="G69" i="4"/>
  <c r="G55" i="4"/>
  <c r="G69" i="1"/>
  <c r="G193" i="1"/>
  <c r="G105" i="1"/>
  <c r="G121" i="1"/>
  <c r="G77" i="1"/>
  <c r="G109" i="1"/>
  <c r="G199" i="1"/>
  <c r="G135" i="1"/>
  <c r="G35" i="1"/>
  <c r="G63" i="1"/>
  <c r="G162" i="1"/>
  <c r="G146" i="1"/>
  <c r="G80" i="1"/>
  <c r="G10" i="1"/>
  <c r="G60" i="12"/>
  <c r="G12" i="12"/>
  <c r="G95" i="12"/>
  <c r="G96" i="12" a="1"/>
  <c r="G13" i="12" a="1"/>
  <c r="G65" i="10" l="1"/>
  <c r="G89" i="10"/>
  <c r="G5" i="10"/>
  <c r="G269" i="10"/>
  <c r="G177" i="10"/>
  <c r="G273" i="10"/>
  <c r="G181" i="10"/>
  <c r="G281" i="10"/>
  <c r="G244" i="10"/>
  <c r="G148" i="10"/>
  <c r="G111" i="10"/>
  <c r="G94" i="10"/>
  <c r="G78" i="10"/>
  <c r="G56" i="10"/>
  <c r="G179" i="10"/>
  <c r="G112" i="10"/>
  <c r="G32" i="10"/>
  <c r="G267" i="10"/>
  <c r="G75" i="10"/>
  <c r="G43" i="10"/>
  <c r="G284" i="10"/>
  <c r="G172" i="10"/>
  <c r="G60" i="10"/>
  <c r="G231" i="10"/>
  <c r="G135" i="10"/>
  <c r="G103" i="10"/>
  <c r="G87" i="10"/>
  <c r="G39" i="10"/>
  <c r="G90" i="10"/>
  <c r="G280" i="10"/>
  <c r="G248" i="10"/>
  <c r="G232" i="10"/>
  <c r="G168" i="10"/>
  <c r="G63" i="6"/>
  <c r="G128" i="6"/>
  <c r="G80" i="6"/>
  <c r="G155" i="6"/>
  <c r="G150" i="6"/>
  <c r="G66" i="6"/>
  <c r="G169" i="1"/>
  <c r="G41" i="1"/>
  <c r="G45" i="1"/>
  <c r="G181" i="1"/>
  <c r="G194" i="1"/>
  <c r="G44" i="1"/>
  <c r="G3" i="1"/>
  <c r="G54" i="1"/>
  <c r="G68" i="1"/>
  <c r="G143" i="1"/>
  <c r="G79" i="1"/>
  <c r="G56" i="1"/>
  <c r="G40" i="1"/>
  <c r="G96" i="12"/>
  <c r="G13" i="12"/>
  <c r="G97" i="12" a="1"/>
  <c r="G14" i="12" a="1"/>
  <c r="G25" i="10" l="1"/>
  <c r="G13" i="10"/>
  <c r="G105" i="10"/>
  <c r="G173" i="10"/>
  <c r="G253" i="10"/>
  <c r="G233" i="10"/>
  <c r="G276" i="10"/>
  <c r="G212" i="10"/>
  <c r="G164" i="10"/>
  <c r="G36" i="10"/>
  <c r="G255" i="10"/>
  <c r="G239" i="10"/>
  <c r="G159" i="10"/>
  <c r="G95" i="10"/>
  <c r="G79" i="10"/>
  <c r="G31" i="10"/>
  <c r="G258" i="10"/>
  <c r="G242" i="10"/>
  <c r="G82" i="10"/>
  <c r="G50" i="10"/>
  <c r="G110" i="10"/>
  <c r="G14" i="10"/>
  <c r="G243" i="10"/>
  <c r="G211" i="10"/>
  <c r="G246" i="10"/>
  <c r="G230" i="10"/>
  <c r="G70" i="10"/>
  <c r="G240" i="10"/>
  <c r="G224" i="10"/>
  <c r="G176" i="10"/>
  <c r="G144" i="10"/>
  <c r="G128" i="10"/>
  <c r="G187" i="10"/>
  <c r="G274" i="10"/>
  <c r="G158" i="10"/>
  <c r="G142" i="10"/>
  <c r="G76" i="10"/>
  <c r="G218" i="10"/>
  <c r="G170" i="10"/>
  <c r="G42" i="10"/>
  <c r="G35" i="10"/>
  <c r="G153" i="1"/>
  <c r="G161" i="1"/>
  <c r="G185" i="1"/>
  <c r="G73" i="1"/>
  <c r="G137" i="1"/>
  <c r="G160" i="1"/>
  <c r="G108" i="1"/>
  <c r="G28" i="1"/>
  <c r="G183" i="1"/>
  <c r="G51" i="1"/>
  <c r="G172" i="1"/>
  <c r="G134" i="1"/>
  <c r="G20" i="1"/>
  <c r="G170" i="1"/>
  <c r="G106" i="1"/>
  <c r="G8" i="1"/>
  <c r="G98" i="1"/>
  <c r="G112" i="1"/>
  <c r="G91" i="1"/>
  <c r="G27" i="1"/>
  <c r="G75" i="1"/>
  <c r="G187" i="1"/>
  <c r="G59" i="1"/>
  <c r="G14" i="12"/>
  <c r="G97" i="12"/>
  <c r="G15" i="12" a="1"/>
  <c r="G9" i="10" l="1"/>
  <c r="G109" i="10"/>
  <c r="G161" i="10"/>
  <c r="G57" i="10"/>
  <c r="G81" i="10"/>
  <c r="G117" i="10"/>
  <c r="G225" i="10"/>
  <c r="G277" i="10"/>
  <c r="G180" i="10"/>
  <c r="G4" i="10"/>
  <c r="G207" i="10"/>
  <c r="G162" i="10"/>
  <c r="G146" i="10"/>
  <c r="G98" i="10"/>
  <c r="G30" i="10"/>
  <c r="G275" i="10"/>
  <c r="G134" i="10"/>
  <c r="G102" i="10"/>
  <c r="G251" i="10"/>
  <c r="G219" i="10"/>
  <c r="G27" i="10"/>
  <c r="G174" i="10"/>
  <c r="G247" i="10"/>
  <c r="G151" i="10"/>
  <c r="G186" i="10"/>
  <c r="G138" i="10"/>
  <c r="G74" i="10"/>
  <c r="G58" i="10"/>
  <c r="G72" i="10"/>
  <c r="G198" i="10"/>
  <c r="G22" i="10"/>
  <c r="G133" i="1"/>
  <c r="G197" i="1"/>
  <c r="G9" i="1"/>
  <c r="G165" i="1"/>
  <c r="G152" i="1"/>
  <c r="G176" i="1"/>
  <c r="G126" i="1"/>
  <c r="G52" i="1"/>
  <c r="G95" i="1"/>
  <c r="G66" i="1"/>
  <c r="G88" i="1"/>
  <c r="G24" i="1"/>
  <c r="G15" i="12"/>
  <c r="G5" i="1" l="1"/>
  <c r="G61" i="1"/>
  <c r="G125" i="1"/>
  <c r="G189" i="1"/>
  <c r="G158" i="1"/>
  <c r="G111" i="1"/>
  <c r="G154" i="1"/>
  <c r="G74" i="1"/>
  <c r="G195" i="1"/>
  <c r="G99" i="1"/>
  <c r="G83" i="1"/>
  <c r="G11" i="1"/>
  <c r="J1063" i="13" l="1"/>
  <c r="J1261" i="13"/>
  <c r="J788" i="13"/>
  <c r="J302" i="13"/>
  <c r="J834" i="13"/>
  <c r="J1111" i="13"/>
  <c r="J6" i="13"/>
  <c r="J754" i="13"/>
  <c r="J206" i="13"/>
  <c r="J1262" i="13"/>
  <c r="J943" i="13"/>
  <c r="J605" i="13"/>
  <c r="J287" i="13"/>
  <c r="J43" i="13"/>
  <c r="J1311" i="13"/>
  <c r="J986" i="13"/>
  <c r="J643" i="13"/>
  <c r="J380" i="13"/>
  <c r="J81" i="13"/>
  <c r="J1216" i="13"/>
  <c r="J794" i="13"/>
  <c r="J321" i="13"/>
  <c r="K1337" i="13"/>
  <c r="K856" i="13"/>
  <c r="K432" i="13"/>
  <c r="K1046" i="13"/>
  <c r="K42" i="13"/>
  <c r="K257" i="13"/>
  <c r="K873" i="13"/>
  <c r="K335" i="13"/>
  <c r="K1352" i="13"/>
  <c r="K1029" i="13"/>
  <c r="K696" i="13"/>
  <c r="K387" i="13"/>
  <c r="K156" i="13"/>
  <c r="K1371" i="13"/>
  <c r="K1080" i="13"/>
  <c r="K725" i="13"/>
  <c r="J1240" i="13"/>
  <c r="J1162" i="13"/>
  <c r="J760" i="13"/>
  <c r="J244" i="13"/>
  <c r="J709" i="13"/>
  <c r="J937" i="13"/>
  <c r="J1248" i="13"/>
  <c r="J703" i="13"/>
  <c r="J166" i="13"/>
  <c r="J1236" i="13"/>
  <c r="K244" i="13"/>
  <c r="K703" i="13"/>
  <c r="K891" i="13"/>
  <c r="K269" i="13"/>
  <c r="K1256" i="13"/>
  <c r="K609" i="13"/>
  <c r="K187" i="13"/>
  <c r="K1216" i="13"/>
  <c r="J678" i="13"/>
  <c r="K14" i="13"/>
  <c r="K358" i="13"/>
  <c r="K580" i="13"/>
  <c r="K1260" i="13"/>
  <c r="K1450" i="13"/>
  <c r="K1296" i="13"/>
  <c r="K1154" i="13"/>
  <c r="K1005" i="13"/>
  <c r="K831" i="13"/>
  <c r="K732" i="13"/>
  <c r="K586" i="13"/>
  <c r="K367" i="13"/>
  <c r="K1085" i="13"/>
  <c r="K617" i="13"/>
  <c r="J1181" i="13"/>
  <c r="J495" i="13"/>
  <c r="J1442" i="13"/>
  <c r="J887" i="13"/>
  <c r="J353" i="13"/>
  <c r="K261" i="13"/>
  <c r="K927" i="13"/>
  <c r="J286" i="13"/>
  <c r="J757" i="13"/>
  <c r="J1045" i="13"/>
  <c r="J1175" i="13"/>
  <c r="J347" i="13"/>
  <c r="J1344" i="13"/>
  <c r="J1208" i="13"/>
  <c r="J942" i="13"/>
  <c r="J1131" i="13"/>
  <c r="J693" i="13"/>
  <c r="J120" i="13"/>
  <c r="J536" i="13"/>
  <c r="J789" i="13"/>
  <c r="J1050" i="13"/>
  <c r="J486" i="13"/>
  <c r="J51" i="13"/>
  <c r="J1199" i="13"/>
  <c r="J843" i="13"/>
  <c r="J531" i="13"/>
  <c r="J243" i="13"/>
  <c r="J1452" i="13"/>
  <c r="J1207" i="13"/>
  <c r="J923" i="13"/>
  <c r="J581" i="13"/>
  <c r="J297" i="13"/>
  <c r="J719" i="13"/>
  <c r="J1143" i="13"/>
  <c r="J744" i="13"/>
  <c r="J1259" i="13"/>
  <c r="K1261" i="13"/>
  <c r="K788" i="13"/>
  <c r="K302" i="13"/>
  <c r="K834" i="13"/>
  <c r="K1111" i="13"/>
  <c r="K6" i="13"/>
  <c r="K754" i="13"/>
  <c r="K206" i="13"/>
  <c r="K1262" i="13"/>
  <c r="K943" i="13"/>
  <c r="K605" i="13"/>
  <c r="K287" i="13"/>
  <c r="K43" i="13"/>
  <c r="K1311" i="13"/>
  <c r="K986" i="13"/>
  <c r="K643" i="13"/>
  <c r="J368" i="13"/>
  <c r="J1085" i="13"/>
  <c r="J645" i="13"/>
  <c r="J61" i="13"/>
  <c r="J417" i="13"/>
  <c r="J617" i="13"/>
  <c r="J1020" i="13"/>
  <c r="J456" i="13"/>
  <c r="J1438" i="13"/>
  <c r="J735" i="13"/>
  <c r="K709" i="13"/>
  <c r="K166" i="13"/>
  <c r="K733" i="13"/>
  <c r="K163" i="13"/>
  <c r="K1107" i="13"/>
  <c r="K497" i="13"/>
  <c r="K81" i="13"/>
  <c r="J1102" i="13"/>
  <c r="K565" i="13"/>
  <c r="K1073" i="13"/>
  <c r="K78" i="13"/>
  <c r="K285" i="13"/>
  <c r="K876" i="13"/>
  <c r="K1410" i="13"/>
  <c r="K1273" i="13"/>
  <c r="K1112" i="13"/>
  <c r="K976" i="13"/>
  <c r="K799" i="13"/>
  <c r="K685" i="13"/>
  <c r="K547" i="13"/>
  <c r="K319" i="13"/>
  <c r="K645" i="13"/>
  <c r="K1020" i="13"/>
  <c r="J1003" i="13"/>
  <c r="J359" i="13"/>
  <c r="J1360" i="13"/>
  <c r="J686" i="13"/>
  <c r="K253" i="13"/>
  <c r="K1317" i="13"/>
  <c r="J769" i="13"/>
  <c r="J72" i="13"/>
  <c r="J438" i="13"/>
  <c r="J718" i="13"/>
  <c r="J1444" i="13"/>
  <c r="J94" i="13"/>
  <c r="J1308" i="13"/>
  <c r="J1146" i="13"/>
  <c r="J82" i="13"/>
  <c r="J1009" i="13"/>
  <c r="J588" i="13"/>
  <c r="J1381" i="13"/>
  <c r="J338" i="13"/>
  <c r="J499" i="13"/>
  <c r="J977" i="13"/>
  <c r="J423" i="13"/>
  <c r="J1422" i="13"/>
  <c r="J1161" i="13"/>
  <c r="J749" i="13"/>
  <c r="J451" i="13"/>
  <c r="J193" i="13"/>
  <c r="J1407" i="13"/>
  <c r="J1128" i="13"/>
  <c r="J867" i="13"/>
  <c r="J508" i="13"/>
  <c r="J228" i="13"/>
  <c r="J1439" i="13"/>
  <c r="J1041" i="13"/>
  <c r="J634" i="13"/>
  <c r="K942" i="13"/>
  <c r="K1131" i="13"/>
  <c r="K693" i="13"/>
  <c r="K120" i="13"/>
  <c r="K536" i="13"/>
  <c r="K789" i="13"/>
  <c r="K1050" i="13"/>
  <c r="K486" i="13"/>
  <c r="K51" i="13"/>
  <c r="K1199" i="13"/>
  <c r="K843" i="13"/>
  <c r="K531" i="13"/>
  <c r="K243" i="13"/>
  <c r="K1452" i="13"/>
  <c r="K1207" i="13"/>
  <c r="K923" i="13"/>
  <c r="K581" i="13"/>
  <c r="J1397" i="13"/>
  <c r="J969" i="13"/>
  <c r="J540" i="13"/>
  <c r="J1230" i="13"/>
  <c r="J155" i="13"/>
  <c r="J351" i="13"/>
  <c r="J950" i="13"/>
  <c r="J401" i="13"/>
  <c r="J1391" i="13"/>
  <c r="K1162" i="13"/>
  <c r="K937" i="13"/>
  <c r="K1236" i="13"/>
  <c r="K583" i="13"/>
  <c r="K20" i="13"/>
  <c r="K947" i="13"/>
  <c r="K380" i="13"/>
  <c r="J261" i="13"/>
  <c r="K987" i="13"/>
  <c r="K321" i="13"/>
  <c r="K892" i="13"/>
  <c r="K1202" i="13"/>
  <c r="K1405" i="13"/>
  <c r="K473" i="13"/>
  <c r="K1358" i="13"/>
  <c r="K1237" i="13"/>
  <c r="K1090" i="13"/>
  <c r="K931" i="13"/>
  <c r="K785" i="13"/>
  <c r="K662" i="13"/>
  <c r="K460" i="13"/>
  <c r="K299" i="13"/>
  <c r="K61" i="13"/>
  <c r="K456" i="13"/>
  <c r="J825" i="13"/>
  <c r="J220" i="13"/>
  <c r="J1156" i="13"/>
  <c r="J559" i="13"/>
  <c r="K173" i="13"/>
  <c r="J1145" i="13"/>
  <c r="K678" i="13"/>
  <c r="J1295" i="13"/>
  <c r="J211" i="13"/>
  <c r="J462" i="13"/>
  <c r="J1040" i="13"/>
  <c r="J1432" i="13"/>
  <c r="J1286" i="13"/>
  <c r="J1140" i="13"/>
  <c r="J1337" i="13"/>
  <c r="J42" i="13"/>
  <c r="J1352" i="13"/>
  <c r="J156" i="13"/>
  <c r="J463" i="13"/>
  <c r="J465" i="13"/>
  <c r="K1381" i="13"/>
  <c r="K423" i="13"/>
  <c r="K451" i="13"/>
  <c r="K867" i="13"/>
  <c r="J343" i="13"/>
  <c r="J855" i="13"/>
  <c r="K1248" i="13"/>
  <c r="K798" i="13"/>
  <c r="K180" i="13"/>
  <c r="K182" i="13"/>
  <c r="K875" i="13"/>
  <c r="K368" i="13"/>
  <c r="J96" i="13"/>
  <c r="K1102" i="13"/>
  <c r="J162" i="13"/>
  <c r="J1110" i="13"/>
  <c r="J964" i="13"/>
  <c r="J792" i="13"/>
  <c r="J673" i="13"/>
  <c r="J491" i="13"/>
  <c r="J304" i="13"/>
  <c r="K1230" i="13"/>
  <c r="K401" i="13"/>
  <c r="K825" i="13"/>
  <c r="K220" i="13"/>
  <c r="K1156" i="13"/>
  <c r="K559" i="13"/>
  <c r="J142" i="13"/>
  <c r="K1145" i="13"/>
  <c r="K820" i="13"/>
  <c r="J856" i="13"/>
  <c r="J257" i="13"/>
  <c r="J1029" i="13"/>
  <c r="J1371" i="13"/>
  <c r="J173" i="13"/>
  <c r="K82" i="13"/>
  <c r="K338" i="13"/>
  <c r="K1422" i="13"/>
  <c r="K193" i="13"/>
  <c r="K508" i="13"/>
  <c r="J925" i="13"/>
  <c r="J260" i="13"/>
  <c r="K1079" i="13"/>
  <c r="J253" i="13"/>
  <c r="K594" i="13"/>
  <c r="K1325" i="13"/>
  <c r="K761" i="13"/>
  <c r="K417" i="13"/>
  <c r="J1015" i="13"/>
  <c r="K465" i="13"/>
  <c r="J629" i="13"/>
  <c r="J1064" i="13"/>
  <c r="J914" i="13"/>
  <c r="J773" i="13"/>
  <c r="J638" i="13"/>
  <c r="J442" i="13"/>
  <c r="K1397" i="13"/>
  <c r="K155" i="13"/>
  <c r="K1391" i="13"/>
  <c r="K670" i="13"/>
  <c r="K96" i="13"/>
  <c r="K1015" i="13"/>
  <c r="J405" i="13"/>
  <c r="K1287" i="13"/>
  <c r="K1041" i="13"/>
  <c r="K343" i="13"/>
  <c r="K855" i="13"/>
  <c r="J891" i="13"/>
  <c r="J497" i="13"/>
  <c r="K388" i="13"/>
  <c r="J1202" i="13"/>
  <c r="J473" i="13"/>
  <c r="J1237" i="13"/>
  <c r="J931" i="13"/>
  <c r="J662" i="13"/>
  <c r="J299" i="13"/>
  <c r="K64" i="13"/>
  <c r="K1116" i="13"/>
  <c r="K1164" i="13"/>
  <c r="K720" i="13"/>
  <c r="K197" i="13"/>
  <c r="K689" i="13"/>
  <c r="K847" i="13"/>
  <c r="K505" i="13"/>
  <c r="K179" i="13"/>
  <c r="K1318" i="13"/>
  <c r="K1166" i="13"/>
  <c r="K1051" i="13"/>
  <c r="K857" i="13"/>
  <c r="J20" i="13"/>
  <c r="J987" i="13"/>
  <c r="K757" i="13"/>
  <c r="K1175" i="13"/>
  <c r="K1344" i="13"/>
  <c r="K1064" i="13"/>
  <c r="K773" i="13"/>
  <c r="K442" i="13"/>
  <c r="J167" i="13"/>
  <c r="J1335" i="13"/>
  <c r="J1354" i="13"/>
  <c r="J902" i="13"/>
  <c r="J376" i="13"/>
  <c r="J980" i="13"/>
  <c r="J16" i="13"/>
  <c r="J101" i="13"/>
  <c r="J560" i="13"/>
  <c r="J1380" i="13"/>
  <c r="J1266" i="13"/>
  <c r="J1103" i="13"/>
  <c r="J959" i="13"/>
  <c r="J790" i="13"/>
  <c r="K297" i="13"/>
  <c r="J180" i="13"/>
  <c r="J895" i="13"/>
  <c r="J182" i="13"/>
  <c r="J1171" i="13"/>
  <c r="J875" i="13"/>
  <c r="J625" i="13"/>
  <c r="K277" i="13"/>
  <c r="K56" i="13"/>
  <c r="K1177" i="13"/>
  <c r="K1121" i="13"/>
  <c r="K667" i="13"/>
  <c r="K93" i="13"/>
  <c r="K517" i="13"/>
  <c r="K649" i="13"/>
  <c r="K1400" i="13"/>
  <c r="K88" i="13"/>
  <c r="K1301" i="13"/>
  <c r="K1158" i="13"/>
  <c r="K1012" i="13"/>
  <c r="K846" i="13"/>
  <c r="K949" i="13"/>
  <c r="K792" i="13"/>
  <c r="J1421" i="13"/>
  <c r="J125" i="13"/>
  <c r="J1271" i="13"/>
  <c r="J770" i="13"/>
  <c r="J636" i="13"/>
  <c r="J436" i="13"/>
  <c r="J276" i="13"/>
  <c r="J55" i="13"/>
  <c r="J1457" i="13"/>
  <c r="J1122" i="13"/>
  <c r="J821" i="13"/>
  <c r="J254" i="13"/>
  <c r="J1329" i="13"/>
  <c r="J1172" i="13"/>
  <c r="J1053" i="13"/>
  <c r="J897" i="13"/>
  <c r="J768" i="13"/>
  <c r="J632" i="13"/>
  <c r="J421" i="13"/>
  <c r="K769" i="13"/>
  <c r="K1014" i="13"/>
  <c r="J1244" i="13"/>
  <c r="J907" i="13"/>
  <c r="J1357" i="13"/>
  <c r="K790" i="13"/>
  <c r="K669" i="13"/>
  <c r="K482" i="13"/>
  <c r="K303" i="13"/>
  <c r="K75" i="13"/>
  <c r="K39" i="13"/>
  <c r="K1226" i="13"/>
  <c r="K886" i="13"/>
  <c r="K474" i="13"/>
  <c r="K1364" i="13"/>
  <c r="K1241" i="13"/>
  <c r="K1100" i="13"/>
  <c r="K935" i="13"/>
  <c r="K786" i="13"/>
  <c r="K665" i="13"/>
  <c r="K461" i="13"/>
  <c r="J609" i="13"/>
  <c r="K1264" i="13"/>
  <c r="J64" i="13"/>
  <c r="J197" i="13"/>
  <c r="J179" i="13"/>
  <c r="J857" i="13"/>
  <c r="J682" i="13"/>
  <c r="J545" i="13"/>
  <c r="J312" i="13"/>
  <c r="J110" i="13"/>
  <c r="J66" i="13"/>
  <c r="J1265" i="13"/>
  <c r="J913" i="13"/>
  <c r="J663" i="13"/>
  <c r="J1392" i="13"/>
  <c r="J1268" i="13"/>
  <c r="J432" i="13"/>
  <c r="J873" i="13"/>
  <c r="J696" i="13"/>
  <c r="J1080" i="13"/>
  <c r="J1317" i="13"/>
  <c r="K1009" i="13"/>
  <c r="K499" i="13"/>
  <c r="K1161" i="13"/>
  <c r="K1407" i="13"/>
  <c r="J1292" i="13"/>
  <c r="J1305" i="13"/>
  <c r="J1326" i="13"/>
  <c r="K419" i="13"/>
  <c r="K1376" i="13"/>
  <c r="K895" i="13"/>
  <c r="K1171" i="13"/>
  <c r="K625" i="13"/>
  <c r="K1438" i="13"/>
  <c r="K463" i="13"/>
  <c r="J949" i="13"/>
  <c r="J1382" i="13"/>
  <c r="J1014" i="13"/>
  <c r="J848" i="13"/>
  <c r="J748" i="13"/>
  <c r="J600" i="13"/>
  <c r="J382" i="13"/>
  <c r="K969" i="13"/>
  <c r="K351" i="13"/>
  <c r="K1181" i="13"/>
  <c r="K495" i="13"/>
  <c r="K1442" i="13"/>
  <c r="K887" i="13"/>
  <c r="K353" i="13"/>
  <c r="K1439" i="13"/>
  <c r="J844" i="13"/>
  <c r="K925" i="13"/>
  <c r="K260" i="13"/>
  <c r="J733" i="13"/>
  <c r="K142" i="13"/>
  <c r="J14" i="13"/>
  <c r="J580" i="13"/>
  <c r="J1450" i="13"/>
  <c r="J1154" i="13"/>
  <c r="J831" i="13"/>
  <c r="J586" i="13"/>
  <c r="K255" i="13"/>
  <c r="K32" i="13"/>
  <c r="K539" i="13"/>
  <c r="K1054" i="13"/>
  <c r="K612" i="13"/>
  <c r="K45" i="13"/>
  <c r="K396" i="13"/>
  <c r="K549" i="13"/>
  <c r="K1195" i="13"/>
  <c r="K1446" i="13"/>
  <c r="K1294" i="13"/>
  <c r="K1151" i="13"/>
  <c r="K1001" i="13"/>
  <c r="K822" i="13"/>
  <c r="J947" i="13"/>
  <c r="K634" i="13"/>
  <c r="K211" i="13"/>
  <c r="K1040" i="13"/>
  <c r="K1286" i="13"/>
  <c r="K992" i="13"/>
  <c r="K708" i="13"/>
  <c r="K327" i="13"/>
  <c r="J76" i="13"/>
  <c r="J1198" i="13"/>
  <c r="J1269" i="13"/>
  <c r="J777" i="13"/>
  <c r="J273" i="13"/>
  <c r="J802" i="13"/>
  <c r="J1013" i="13"/>
  <c r="J1093" i="13"/>
  <c r="J272" i="13"/>
  <c r="J1338" i="13"/>
  <c r="J1193" i="13"/>
  <c r="J1055" i="13"/>
  <c r="J905" i="13"/>
  <c r="J419" i="13"/>
  <c r="J1376" i="13"/>
  <c r="J1073" i="13"/>
  <c r="J285" i="13"/>
  <c r="J1410" i="13"/>
  <c r="J1112" i="13"/>
  <c r="J799" i="13"/>
  <c r="J547" i="13"/>
  <c r="K221" i="13"/>
  <c r="K1441" i="13"/>
  <c r="K124" i="13"/>
  <c r="K999" i="13"/>
  <c r="K553" i="13"/>
  <c r="K1341" i="13"/>
  <c r="K249" i="13"/>
  <c r="K336" i="13"/>
  <c r="K982" i="13"/>
  <c r="K1430" i="13"/>
  <c r="K1280" i="13"/>
  <c r="K1132" i="13"/>
  <c r="K991" i="13"/>
  <c r="K812" i="13"/>
  <c r="K162" i="13"/>
  <c r="K491" i="13"/>
  <c r="J948" i="13"/>
  <c r="J237" i="13"/>
  <c r="J1123" i="13"/>
  <c r="J743" i="13"/>
  <c r="J599" i="13"/>
  <c r="J381" i="13"/>
  <c r="J208" i="13"/>
  <c r="J1384" i="13"/>
  <c r="J1379" i="13"/>
  <c r="J1033" i="13"/>
  <c r="J1279" i="13"/>
  <c r="J28" i="13"/>
  <c r="J1298" i="13"/>
  <c r="J1155" i="13"/>
  <c r="J1006" i="13"/>
  <c r="J841" i="13"/>
  <c r="J740" i="13"/>
  <c r="J587" i="13"/>
  <c r="J373" i="13"/>
  <c r="K438" i="13"/>
  <c r="K748" i="13"/>
  <c r="J1299" i="13"/>
  <c r="J1163" i="13"/>
  <c r="J1222" i="13"/>
  <c r="K770" i="13"/>
  <c r="K636" i="13"/>
  <c r="K436" i="13"/>
  <c r="K276" i="13"/>
  <c r="K55" i="13"/>
  <c r="K1457" i="13"/>
  <c r="K1122" i="13"/>
  <c r="K821" i="13"/>
  <c r="K254" i="13"/>
  <c r="K1329" i="13"/>
  <c r="K1172" i="13"/>
  <c r="K1053" i="13"/>
  <c r="K897" i="13"/>
  <c r="K768" i="13"/>
  <c r="K632" i="13"/>
  <c r="K421" i="13"/>
  <c r="J388" i="13"/>
  <c r="K964" i="13"/>
  <c r="J1116" i="13"/>
  <c r="J689" i="13"/>
  <c r="J1318" i="13"/>
  <c r="J778" i="13"/>
  <c r="J656" i="13"/>
  <c r="J458" i="13"/>
  <c r="J292" i="13"/>
  <c r="J63" i="13"/>
  <c r="J11" i="13"/>
  <c r="J1180" i="13"/>
  <c r="J864" i="13"/>
  <c r="J362" i="13"/>
  <c r="J1350" i="13"/>
  <c r="J1209" i="13"/>
  <c r="J1068" i="13"/>
  <c r="J920" i="13"/>
  <c r="J776" i="13"/>
  <c r="J644" i="13"/>
  <c r="J448" i="13"/>
  <c r="J280" i="13"/>
  <c r="K94" i="13"/>
  <c r="J255" i="13"/>
  <c r="J612" i="13"/>
  <c r="J1195" i="13"/>
  <c r="J1046" i="13"/>
  <c r="J927" i="13"/>
  <c r="K1128" i="13"/>
  <c r="K1385" i="13"/>
  <c r="K394" i="13"/>
  <c r="J1264" i="13"/>
  <c r="J563" i="13"/>
  <c r="K1003" i="13"/>
  <c r="K228" i="13"/>
  <c r="K130" i="13"/>
  <c r="J1107" i="13"/>
  <c r="J358" i="13"/>
  <c r="J1296" i="13"/>
  <c r="J732" i="13"/>
  <c r="K113" i="13"/>
  <c r="K1299" i="13"/>
  <c r="K310" i="13"/>
  <c r="K1163" i="13"/>
  <c r="K459" i="13"/>
  <c r="K1222" i="13"/>
  <c r="K930" i="13"/>
  <c r="K719" i="13"/>
  <c r="K462" i="13"/>
  <c r="K1140" i="13"/>
  <c r="K563" i="13"/>
  <c r="J1441" i="13"/>
  <c r="J999" i="13"/>
  <c r="J1341" i="13"/>
  <c r="J336" i="13"/>
  <c r="J1430" i="13"/>
  <c r="J1132" i="13"/>
  <c r="J812" i="13"/>
  <c r="J565" i="13"/>
  <c r="J876" i="13"/>
  <c r="J976" i="13"/>
  <c r="J319" i="13"/>
  <c r="K1198" i="13"/>
  <c r="K777" i="13"/>
  <c r="K802" i="13"/>
  <c r="K1093" i="13"/>
  <c r="K1338" i="13"/>
  <c r="K1055" i="13"/>
  <c r="K1277" i="13"/>
  <c r="J1346" i="13"/>
  <c r="J1408" i="13"/>
  <c r="J669" i="13"/>
  <c r="J303" i="13"/>
  <c r="J39" i="13"/>
  <c r="J886" i="13"/>
  <c r="J1364" i="13"/>
  <c r="J1100" i="13"/>
  <c r="J786" i="13"/>
  <c r="J461" i="13"/>
  <c r="K1308" i="13"/>
  <c r="J310" i="13"/>
  <c r="J930" i="13"/>
  <c r="K555" i="13"/>
  <c r="K146" i="13"/>
  <c r="K1304" i="13"/>
  <c r="K940" i="13"/>
  <c r="K1274" i="13"/>
  <c r="K978" i="13"/>
  <c r="K688" i="13"/>
  <c r="K320" i="13"/>
  <c r="K304" i="13"/>
  <c r="J505" i="13"/>
  <c r="J730" i="13"/>
  <c r="J355" i="13"/>
  <c r="J1345" i="13"/>
  <c r="J1016" i="13"/>
  <c r="J1433" i="13"/>
  <c r="J1141" i="13"/>
  <c r="J968" i="13"/>
  <c r="J755" i="13"/>
  <c r="J564" i="13"/>
  <c r="J311" i="13"/>
  <c r="K1146" i="13"/>
  <c r="J539" i="13"/>
  <c r="J549" i="13"/>
  <c r="J1001" i="13"/>
  <c r="K730" i="13"/>
  <c r="K572" i="13"/>
  <c r="K355" i="13"/>
  <c r="K186" i="13"/>
  <c r="K1345" i="13"/>
  <c r="K1342" i="13"/>
  <c r="K1016" i="13"/>
  <c r="K1120" i="13"/>
  <c r="K1433" i="13"/>
  <c r="K1290" i="13"/>
  <c r="K1141" i="13"/>
  <c r="K993" i="13"/>
  <c r="K815" i="13"/>
  <c r="K716" i="13"/>
  <c r="K564" i="13"/>
  <c r="K334" i="13"/>
  <c r="K192" i="13"/>
  <c r="K1372" i="13"/>
  <c r="K944" i="13"/>
  <c r="K687" i="13"/>
  <c r="K308" i="13"/>
  <c r="K1333" i="13"/>
  <c r="K883" i="13"/>
  <c r="K489" i="13"/>
  <c r="K128" i="13"/>
  <c r="K1037" i="13"/>
  <c r="K582" i="13"/>
  <c r="K933" i="13"/>
  <c r="K614" i="13"/>
  <c r="K289" i="13"/>
  <c r="K1328" i="13"/>
  <c r="K872" i="13"/>
  <c r="K479" i="13"/>
  <c r="K126" i="13"/>
  <c r="K1035" i="13"/>
  <c r="K575" i="13"/>
  <c r="K185" i="13"/>
  <c r="K1243" i="13"/>
  <c r="K919" i="13"/>
  <c r="K597" i="13"/>
  <c r="K274" i="13"/>
  <c r="K29" i="13"/>
  <c r="K1302" i="13"/>
  <c r="K953" i="13"/>
  <c r="K616" i="13"/>
  <c r="K360" i="13"/>
  <c r="K71" i="13"/>
  <c r="K1281" i="13"/>
  <c r="K921" i="13"/>
  <c r="K646" i="13"/>
  <c r="K295" i="13"/>
  <c r="K1435" i="13"/>
  <c r="K1026" i="13"/>
  <c r="K194" i="13"/>
  <c r="K909" i="13"/>
  <c r="K199" i="13"/>
  <c r="J1186" i="13"/>
  <c r="J854" i="13"/>
  <c r="K300" i="13"/>
  <c r="J57" i="13"/>
  <c r="J1071" i="13"/>
  <c r="J796" i="13"/>
  <c r="J416" i="13"/>
  <c r="J73" i="13"/>
  <c r="J1043" i="13"/>
  <c r="J610" i="13"/>
  <c r="J256" i="13"/>
  <c r="J1220" i="13"/>
  <c r="J851" i="13"/>
  <c r="J369" i="13"/>
  <c r="J784" i="13"/>
  <c r="J399" i="13"/>
  <c r="J67" i="13"/>
  <c r="J1027" i="13"/>
  <c r="J596" i="13"/>
  <c r="J246" i="13"/>
  <c r="J1215" i="13"/>
  <c r="J780" i="13"/>
  <c r="J354" i="13"/>
  <c r="J1365" i="13"/>
  <c r="J1075" i="13"/>
  <c r="J715" i="13"/>
  <c r="J413" i="13"/>
  <c r="J160" i="13"/>
  <c r="J1375" i="13"/>
  <c r="J1091" i="13"/>
  <c r="J745" i="13"/>
  <c r="J469" i="13"/>
  <c r="J176" i="13"/>
  <c r="J1413" i="13"/>
  <c r="J335" i="13"/>
  <c r="K588" i="13"/>
  <c r="J820" i="13"/>
  <c r="K794" i="13"/>
  <c r="J670" i="13"/>
  <c r="J992" i="13"/>
  <c r="J327" i="13"/>
  <c r="K359" i="13"/>
  <c r="J1277" i="13"/>
  <c r="K1326" i="13"/>
  <c r="K1143" i="13"/>
  <c r="J1405" i="13"/>
  <c r="J1090" i="13"/>
  <c r="J460" i="13"/>
  <c r="K1346" i="13"/>
  <c r="K948" i="13"/>
  <c r="K1138" i="13"/>
  <c r="K237" i="13"/>
  <c r="K1408" i="13"/>
  <c r="K1123" i="13"/>
  <c r="K797" i="13"/>
  <c r="K286" i="13"/>
  <c r="K347" i="13"/>
  <c r="K914" i="13"/>
  <c r="J277" i="13"/>
  <c r="J1177" i="13"/>
  <c r="J667" i="13"/>
  <c r="J517" i="13"/>
  <c r="J1400" i="13"/>
  <c r="J1301" i="13"/>
  <c r="J1012" i="13"/>
  <c r="J1385" i="13"/>
  <c r="J594" i="13"/>
  <c r="J1325" i="13"/>
  <c r="J761" i="13"/>
  <c r="K167" i="13"/>
  <c r="K1354" i="13"/>
  <c r="K376" i="13"/>
  <c r="K16" i="13"/>
  <c r="K560" i="13"/>
  <c r="K1266" i="13"/>
  <c r="K959" i="13"/>
  <c r="K1382" i="13"/>
  <c r="J455" i="13"/>
  <c r="J970" i="13"/>
  <c r="J555" i="13"/>
  <c r="J146" i="13"/>
  <c r="J1304" i="13"/>
  <c r="J940" i="13"/>
  <c r="J1274" i="13"/>
  <c r="J978" i="13"/>
  <c r="J688" i="13"/>
  <c r="J320" i="13"/>
  <c r="K382" i="13"/>
  <c r="J1368" i="13"/>
  <c r="K743" i="13"/>
  <c r="K381" i="13"/>
  <c r="K1384" i="13"/>
  <c r="K1033" i="13"/>
  <c r="K28" i="13"/>
  <c r="K1155" i="13"/>
  <c r="K841" i="13"/>
  <c r="K587" i="13"/>
  <c r="K1359" i="13"/>
  <c r="J1164" i="13"/>
  <c r="J1166" i="13"/>
  <c r="J623" i="13"/>
  <c r="J250" i="13"/>
  <c r="J1427" i="13"/>
  <c r="J787" i="13"/>
  <c r="J1312" i="13"/>
  <c r="J1115" i="13"/>
  <c r="J852" i="13"/>
  <c r="J716" i="13"/>
  <c r="J500" i="13"/>
  <c r="J187" i="13"/>
  <c r="K848" i="13"/>
  <c r="J1054" i="13"/>
  <c r="J1446" i="13"/>
  <c r="J822" i="13"/>
  <c r="K682" i="13"/>
  <c r="K545" i="13"/>
  <c r="K312" i="13"/>
  <c r="K110" i="13"/>
  <c r="K66" i="13"/>
  <c r="K1265" i="13"/>
  <c r="K913" i="13"/>
  <c r="K663" i="13"/>
  <c r="K1392" i="13"/>
  <c r="K1268" i="13"/>
  <c r="K1115" i="13"/>
  <c r="K968" i="13"/>
  <c r="K793" i="13"/>
  <c r="K674" i="13"/>
  <c r="K500" i="13"/>
  <c r="K311" i="13"/>
  <c r="K114" i="13"/>
  <c r="K1276" i="13"/>
  <c r="K904" i="13"/>
  <c r="K533" i="13"/>
  <c r="K198" i="13"/>
  <c r="K1191" i="13"/>
  <c r="K764" i="13"/>
  <c r="K348" i="13"/>
  <c r="K3" i="13"/>
  <c r="K965" i="13"/>
  <c r="K483" i="13"/>
  <c r="K903" i="13"/>
  <c r="K530" i="13"/>
  <c r="K190" i="13"/>
  <c r="K1185" i="13"/>
  <c r="K728" i="13"/>
  <c r="K345" i="13"/>
  <c r="K1429" i="13"/>
  <c r="K958" i="13"/>
  <c r="K480" i="13"/>
  <c r="K33" i="13"/>
  <c r="K1188" i="13"/>
  <c r="K836" i="13"/>
  <c r="K522" i="13"/>
  <c r="K226" i="13"/>
  <c r="K1447" i="13"/>
  <c r="K1187" i="13"/>
  <c r="K901" i="13"/>
  <c r="K566" i="13"/>
  <c r="K282" i="13"/>
  <c r="K18" i="13"/>
  <c r="K1205" i="13"/>
  <c r="K877" i="13"/>
  <c r="K528" i="13"/>
  <c r="K175" i="13"/>
  <c r="K1309" i="13"/>
  <c r="K706" i="13"/>
  <c r="K1423" i="13"/>
  <c r="K739" i="13"/>
  <c r="K1455" i="13"/>
  <c r="J1060" i="13"/>
  <c r="J766" i="13"/>
  <c r="J227" i="13"/>
  <c r="J1449" i="13"/>
  <c r="J967" i="13"/>
  <c r="J707" i="13"/>
  <c r="J346" i="13"/>
  <c r="J8" i="13"/>
  <c r="J932" i="13"/>
  <c r="J543" i="13"/>
  <c r="J148" i="13"/>
  <c r="J1066" i="13"/>
  <c r="J692" i="13"/>
  <c r="J963" i="13"/>
  <c r="J699" i="13"/>
  <c r="J344" i="13"/>
  <c r="J1404" i="13"/>
  <c r="J916" i="13"/>
  <c r="J537" i="13"/>
  <c r="J138" i="13"/>
  <c r="J1065" i="13"/>
  <c r="J654" i="13"/>
  <c r="J234" i="13"/>
  <c r="J1285" i="13"/>
  <c r="J961" i="13"/>
  <c r="J618" i="13"/>
  <c r="J331" i="13"/>
  <c r="J89" i="13"/>
  <c r="J1314" i="13"/>
  <c r="J994" i="13"/>
  <c r="J676" i="13"/>
  <c r="J395" i="13"/>
  <c r="J119" i="13"/>
  <c r="J1330" i="13"/>
  <c r="J387" i="13"/>
  <c r="K977" i="13"/>
  <c r="J130" i="13"/>
  <c r="K621" i="13"/>
  <c r="J1287" i="13"/>
  <c r="J813" i="13"/>
  <c r="K540" i="13"/>
  <c r="K1360" i="13"/>
  <c r="K1292" i="13"/>
  <c r="J1079" i="13"/>
  <c r="K744" i="13"/>
  <c r="J1260" i="13"/>
  <c r="J1005" i="13"/>
  <c r="J367" i="13"/>
  <c r="K1244" i="13"/>
  <c r="K809" i="13"/>
  <c r="K907" i="13"/>
  <c r="K1368" i="13"/>
  <c r="K1357" i="13"/>
  <c r="K1089" i="13"/>
  <c r="J583" i="13"/>
  <c r="K1295" i="13"/>
  <c r="K1432" i="13"/>
  <c r="K813" i="13"/>
  <c r="J221" i="13"/>
  <c r="J124" i="13"/>
  <c r="J553" i="13"/>
  <c r="J249" i="13"/>
  <c r="J982" i="13"/>
  <c r="J1280" i="13"/>
  <c r="J991" i="13"/>
  <c r="J798" i="13"/>
  <c r="J78" i="13"/>
  <c r="J1273" i="13"/>
  <c r="J685" i="13"/>
  <c r="K76" i="13"/>
  <c r="K1269" i="13"/>
  <c r="K273" i="13"/>
  <c r="K1013" i="13"/>
  <c r="K272" i="13"/>
  <c r="K1193" i="13"/>
  <c r="K905" i="13"/>
  <c r="K1110" i="13"/>
  <c r="J1138" i="13"/>
  <c r="J797" i="13"/>
  <c r="J482" i="13"/>
  <c r="J75" i="13"/>
  <c r="J1226" i="13"/>
  <c r="J474" i="13"/>
  <c r="J1241" i="13"/>
  <c r="J935" i="13"/>
  <c r="J665" i="13"/>
  <c r="J1256" i="13"/>
  <c r="J113" i="13"/>
  <c r="J459" i="13"/>
  <c r="K698" i="13"/>
  <c r="K322" i="13"/>
  <c r="K1332" i="13"/>
  <c r="K975" i="13"/>
  <c r="K1417" i="13"/>
  <c r="K1125" i="13"/>
  <c r="K805" i="13"/>
  <c r="K551" i="13"/>
  <c r="K629" i="13"/>
  <c r="J720" i="13"/>
  <c r="J1051" i="13"/>
  <c r="J572" i="13"/>
  <c r="J186" i="13"/>
  <c r="J1342" i="13"/>
  <c r="J1120" i="13"/>
  <c r="J1290" i="13"/>
  <c r="J1031" i="13"/>
  <c r="J815" i="13"/>
  <c r="J674" i="13"/>
  <c r="J384" i="13"/>
  <c r="K72" i="13"/>
  <c r="K600" i="13"/>
  <c r="J45" i="13"/>
  <c r="J1294" i="13"/>
  <c r="K778" i="13"/>
  <c r="K656" i="13"/>
  <c r="K458" i="13"/>
  <c r="K292" i="13"/>
  <c r="K63" i="13"/>
  <c r="K11" i="13"/>
  <c r="K1180" i="13"/>
  <c r="K864" i="13"/>
  <c r="K362" i="13"/>
  <c r="K1350" i="13"/>
  <c r="K1209" i="13"/>
  <c r="K1068" i="13"/>
  <c r="K920" i="13"/>
  <c r="K776" i="13"/>
  <c r="K644" i="13"/>
  <c r="K448" i="13"/>
  <c r="J300" i="13"/>
  <c r="K69" i="13"/>
  <c r="K1136" i="13"/>
  <c r="K808" i="13"/>
  <c r="K434" i="13"/>
  <c r="K123" i="13"/>
  <c r="K1087" i="13"/>
  <c r="K640" i="13"/>
  <c r="K268" i="13"/>
  <c r="K1321" i="13"/>
  <c r="K869" i="13"/>
  <c r="K411" i="13"/>
  <c r="K807" i="13"/>
  <c r="K426" i="13"/>
  <c r="K118" i="13"/>
  <c r="K1070" i="13"/>
  <c r="K633" i="13"/>
  <c r="K266" i="13"/>
  <c r="K1284" i="13"/>
  <c r="K865" i="13"/>
  <c r="K410" i="13"/>
  <c r="K1402" i="13"/>
  <c r="K1129" i="13"/>
  <c r="K738" i="13"/>
  <c r="K428" i="13"/>
  <c r="K184" i="13"/>
  <c r="K1389" i="13"/>
  <c r="K1118" i="13"/>
  <c r="K832" i="13"/>
  <c r="K504" i="13"/>
  <c r="K214" i="13"/>
  <c r="K1443" i="13"/>
  <c r="K1088" i="13"/>
  <c r="K811" i="13"/>
  <c r="K494" i="13"/>
  <c r="K132" i="13"/>
  <c r="K1224" i="13"/>
  <c r="K439" i="13"/>
  <c r="K1246" i="13"/>
  <c r="K613" i="13"/>
  <c r="K1362" i="13"/>
  <c r="J955" i="13"/>
  <c r="J695" i="13"/>
  <c r="J168" i="13"/>
  <c r="J1336" i="13"/>
  <c r="J922" i="13"/>
  <c r="J569" i="13"/>
  <c r="J232" i="13"/>
  <c r="J1293" i="13"/>
  <c r="J725" i="13"/>
  <c r="J1359" i="13"/>
  <c r="K1305" i="13"/>
  <c r="J785" i="13"/>
  <c r="K125" i="13"/>
  <c r="K405" i="13"/>
  <c r="J56" i="13"/>
  <c r="J88" i="13"/>
  <c r="J621" i="13"/>
  <c r="K902" i="13"/>
  <c r="K1103" i="13"/>
  <c r="J698" i="13"/>
  <c r="J1417" i="13"/>
  <c r="K1444" i="13"/>
  <c r="K208" i="13"/>
  <c r="K1006" i="13"/>
  <c r="J847" i="13"/>
  <c r="J1049" i="13"/>
  <c r="J793" i="13"/>
  <c r="J32" i="13"/>
  <c r="K623" i="13"/>
  <c r="K1427" i="13"/>
  <c r="K1312" i="13"/>
  <c r="K755" i="13"/>
  <c r="K46" i="13"/>
  <c r="K35" i="13"/>
  <c r="K1142" i="13"/>
  <c r="K375" i="13"/>
  <c r="K210" i="13"/>
  <c r="K1349" i="13"/>
  <c r="K116" i="13"/>
  <c r="K435" i="13"/>
  <c r="K721" i="13"/>
  <c r="K349" i="13"/>
  <c r="J908" i="13"/>
  <c r="J884" i="13"/>
  <c r="J833" i="13"/>
  <c r="J85" i="13"/>
  <c r="J496" i="13"/>
  <c r="J558" i="13"/>
  <c r="J1291" i="13"/>
  <c r="J385" i="13"/>
  <c r="J984" i="13"/>
  <c r="J106" i="13"/>
  <c r="J863" i="13"/>
  <c r="J262" i="13"/>
  <c r="J1235" i="13"/>
  <c r="J585" i="13"/>
  <c r="J54" i="13"/>
  <c r="J1039" i="13"/>
  <c r="J767" i="13"/>
  <c r="J472" i="13"/>
  <c r="J117" i="13"/>
  <c r="J1201" i="13"/>
  <c r="J371" i="13"/>
  <c r="J1184" i="13"/>
  <c r="J535" i="13"/>
  <c r="J1324" i="13"/>
  <c r="K955" i="13"/>
  <c r="K695" i="13"/>
  <c r="K168" i="13"/>
  <c r="K1336" i="13"/>
  <c r="K922" i="13"/>
  <c r="K569" i="13"/>
  <c r="K232" i="13"/>
  <c r="K1293" i="13"/>
  <c r="K833" i="13"/>
  <c r="K450" i="13"/>
  <c r="K85" i="13"/>
  <c r="K1000" i="13"/>
  <c r="K496" i="13"/>
  <c r="K915" i="13"/>
  <c r="K558" i="13"/>
  <c r="K223" i="13"/>
  <c r="K1291" i="13"/>
  <c r="K810" i="13"/>
  <c r="K385" i="13"/>
  <c r="K60" i="13"/>
  <c r="K984" i="13"/>
  <c r="K493" i="13"/>
  <c r="K106" i="13"/>
  <c r="K1210" i="13"/>
  <c r="K863" i="13"/>
  <c r="K570" i="13"/>
  <c r="K262" i="13"/>
  <c r="K1459" i="13"/>
  <c r="K1235" i="13"/>
  <c r="K934" i="13"/>
  <c r="K585" i="13"/>
  <c r="K323" i="13"/>
  <c r="K54" i="13"/>
  <c r="K1251" i="13"/>
  <c r="K894" i="13"/>
  <c r="K607" i="13"/>
  <c r="K248" i="13"/>
  <c r="K1374" i="13"/>
  <c r="K861" i="13"/>
  <c r="K105" i="13"/>
  <c r="K772" i="13"/>
  <c r="K52" i="13"/>
  <c r="J1106" i="13"/>
  <c r="J804" i="13"/>
  <c r="J267" i="13"/>
  <c r="J46" i="13"/>
  <c r="J1038" i="13"/>
  <c r="J756" i="13"/>
  <c r="J378" i="13"/>
  <c r="J35" i="13"/>
  <c r="J974" i="13"/>
  <c r="J568" i="13"/>
  <c r="J236" i="13"/>
  <c r="J1142" i="13"/>
  <c r="J752" i="13"/>
  <c r="J1022" i="13"/>
  <c r="J724" i="13"/>
  <c r="J375" i="13"/>
  <c r="J34" i="13"/>
  <c r="J951" i="13"/>
  <c r="J567" i="13"/>
  <c r="J210" i="13"/>
  <c r="J1137" i="13"/>
  <c r="J747" i="13"/>
  <c r="J294" i="13"/>
  <c r="J1349" i="13"/>
  <c r="J1007" i="13"/>
  <c r="J677" i="13"/>
  <c r="J374" i="13"/>
  <c r="J116" i="13"/>
  <c r="J1363" i="13"/>
  <c r="J1034" i="13"/>
  <c r="J691" i="13"/>
  <c r="J435" i="13"/>
  <c r="J150" i="13"/>
  <c r="J1370" i="13"/>
  <c r="J1032" i="13"/>
  <c r="J721" i="13"/>
  <c r="J424" i="13"/>
  <c r="J38" i="13"/>
  <c r="J1126" i="13"/>
  <c r="J349" i="13"/>
  <c r="K1240" i="13"/>
  <c r="K372" i="13"/>
  <c r="K23" i="13"/>
  <c r="K941" i="13"/>
  <c r="K561" i="13"/>
  <c r="K202" i="13"/>
  <c r="K1095" i="13"/>
  <c r="K723" i="13"/>
  <c r="K661" i="13"/>
  <c r="K326" i="13"/>
  <c r="K12" i="13"/>
  <c r="K1059" i="13"/>
  <c r="K231" i="13"/>
  <c r="K929" i="13"/>
  <c r="K242" i="13"/>
  <c r="K1267" i="13"/>
  <c r="K1082" i="13"/>
  <c r="K816" i="13"/>
  <c r="K592" i="13"/>
  <c r="K364" i="13"/>
  <c r="K103" i="13"/>
  <c r="K141" i="13"/>
  <c r="K1214" i="13"/>
  <c r="K866" i="13"/>
  <c r="K578" i="13"/>
  <c r="K265" i="13"/>
  <c r="K5" i="13"/>
  <c r="K1254" i="13"/>
  <c r="K936" i="13"/>
  <c r="K603" i="13"/>
  <c r="K337" i="13"/>
  <c r="K62" i="13"/>
  <c r="K1255" i="13"/>
  <c r="K906" i="13"/>
  <c r="K615" i="13"/>
  <c r="K278" i="13"/>
  <c r="K1406" i="13"/>
  <c r="K871" i="13"/>
  <c r="K127" i="13"/>
  <c r="K830" i="13"/>
  <c r="K74" i="13"/>
  <c r="K1247" i="13"/>
  <c r="K1028" i="13"/>
  <c r="K1106" i="13"/>
  <c r="J342" i="13"/>
  <c r="J1398" i="13"/>
  <c r="J896" i="13"/>
  <c r="J525" i="13"/>
  <c r="J137" i="13"/>
  <c r="J1057" i="13"/>
  <c r="J647" i="13"/>
  <c r="J635" i="13"/>
  <c r="J281" i="13"/>
  <c r="J1420" i="13"/>
  <c r="J938" i="13"/>
  <c r="J147" i="13"/>
  <c r="J840" i="13"/>
  <c r="J112" i="13"/>
  <c r="J1249" i="13"/>
  <c r="J1058" i="13"/>
  <c r="J795" i="13"/>
  <c r="J571" i="13"/>
  <c r="J329" i="13"/>
  <c r="J95" i="13"/>
  <c r="J41" i="13"/>
  <c r="J1194" i="13"/>
  <c r="J845" i="13"/>
  <c r="J524" i="13"/>
  <c r="J240" i="13"/>
  <c r="J1451" i="13"/>
  <c r="J1203" i="13"/>
  <c r="J900" i="13"/>
  <c r="J577" i="13"/>
  <c r="J296" i="13"/>
  <c r="J30" i="13"/>
  <c r="J1212" i="13"/>
  <c r="J885" i="13"/>
  <c r="J532" i="13"/>
  <c r="J203" i="13"/>
  <c r="J1340" i="13"/>
  <c r="J727" i="13"/>
  <c r="J19" i="13"/>
  <c r="J741" i="13"/>
  <c r="J1458" i="13"/>
  <c r="J1228" i="13"/>
  <c r="J1246" i="13"/>
  <c r="K710" i="13"/>
  <c r="K215" i="13"/>
  <c r="K1234" i="13"/>
  <c r="K803" i="13"/>
  <c r="K383" i="13"/>
  <c r="K21" i="13"/>
  <c r="K983" i="13"/>
  <c r="K488" i="13"/>
  <c r="K519" i="13"/>
  <c r="K153" i="13"/>
  <c r="K1272" i="13"/>
  <c r="K538" i="13"/>
  <c r="K1415" i="13"/>
  <c r="K704" i="13"/>
  <c r="K1440" i="13"/>
  <c r="K1206" i="13"/>
  <c r="K981" i="13"/>
  <c r="K717" i="13"/>
  <c r="K526" i="13"/>
  <c r="K270" i="13"/>
  <c r="K44" i="13"/>
  <c r="K1403" i="13"/>
  <c r="K1160" i="13"/>
  <c r="K742" i="13"/>
  <c r="K443" i="13"/>
  <c r="K188" i="13"/>
  <c r="K1396" i="13"/>
  <c r="K1127" i="13"/>
  <c r="K850" i="13"/>
  <c r="K507" i="13"/>
  <c r="K225" i="13"/>
  <c r="K1448" i="13"/>
  <c r="K1098" i="13"/>
  <c r="K817" i="13"/>
  <c r="K501" i="13"/>
  <c r="K136" i="13"/>
  <c r="K1227" i="13"/>
  <c r="K468" i="13"/>
  <c r="K1283" i="13"/>
  <c r="K622" i="13"/>
  <c r="K1369" i="13"/>
  <c r="K1178" i="13"/>
  <c r="J427" i="13"/>
  <c r="J420" i="13"/>
  <c r="J79" i="13"/>
  <c r="J1048" i="13"/>
  <c r="J626" i="13"/>
  <c r="J259" i="13"/>
  <c r="J1252" i="13"/>
  <c r="J860" i="13"/>
  <c r="J407" i="13"/>
  <c r="J449" i="13"/>
  <c r="J87" i="13"/>
  <c r="J1135" i="13"/>
  <c r="J357" i="13"/>
  <c r="J1167" i="13"/>
  <c r="J444" i="13"/>
  <c r="J1322" i="13"/>
  <c r="J1109" i="13"/>
  <c r="J853" i="13"/>
  <c r="J650" i="13"/>
  <c r="J422" i="13"/>
  <c r="J172" i="13"/>
  <c r="J245" i="13"/>
  <c r="J1320" i="13"/>
  <c r="J973" i="13"/>
  <c r="J655" i="13"/>
  <c r="J332" i="13"/>
  <c r="J90" i="13"/>
  <c r="J1315" i="13"/>
  <c r="J998" i="13"/>
  <c r="J680" i="13"/>
  <c r="J398" i="13"/>
  <c r="J135" i="13"/>
  <c r="J1339" i="13"/>
  <c r="J996" i="13"/>
  <c r="J701" i="13"/>
  <c r="J389" i="13"/>
  <c r="J27" i="13"/>
  <c r="J1081" i="13"/>
  <c r="J290" i="13"/>
  <c r="J989" i="13"/>
  <c r="J306" i="13"/>
  <c r="J1289" i="13"/>
  <c r="J1096" i="13"/>
  <c r="K827" i="13"/>
  <c r="K620" i="13"/>
  <c r="K379" i="13"/>
  <c r="K134" i="13"/>
  <c r="K1169" i="13"/>
  <c r="K888" i="13"/>
  <c r="K666" i="13"/>
  <c r="K484" i="13"/>
  <c r="K213" i="13"/>
  <c r="K340" i="13"/>
  <c r="K1353" i="13"/>
  <c r="K1044" i="13"/>
  <c r="K705" i="13"/>
  <c r="K391" i="13"/>
  <c r="K159" i="13"/>
  <c r="K1373" i="13"/>
  <c r="K1086" i="13"/>
  <c r="K737" i="13"/>
  <c r="K467" i="13"/>
  <c r="K174" i="13"/>
  <c r="K1411" i="13"/>
  <c r="K1036" i="13"/>
  <c r="K762" i="13"/>
  <c r="K453" i="13"/>
  <c r="K104" i="13"/>
  <c r="K1190" i="13"/>
  <c r="K363" i="13"/>
  <c r="K1176" i="13"/>
  <c r="K476" i="13"/>
  <c r="K1323" i="13"/>
  <c r="K749" i="13"/>
  <c r="J708" i="13"/>
  <c r="J163" i="13"/>
  <c r="K191" i="13"/>
  <c r="K814" i="13"/>
  <c r="K1045" i="13"/>
  <c r="J1121" i="13"/>
  <c r="J1158" i="13"/>
  <c r="J1052" i="13"/>
  <c r="K980" i="13"/>
  <c r="J269" i="13"/>
  <c r="J322" i="13"/>
  <c r="J1125" i="13"/>
  <c r="J809" i="13"/>
  <c r="K1379" i="13"/>
  <c r="K740" i="13"/>
  <c r="J759" i="13"/>
  <c r="J108" i="13"/>
  <c r="J602" i="13"/>
  <c r="J396" i="13"/>
  <c r="K392" i="13"/>
  <c r="K1049" i="13"/>
  <c r="K1159" i="13"/>
  <c r="K602" i="13"/>
  <c r="K1038" i="13"/>
  <c r="K974" i="13"/>
  <c r="K752" i="13"/>
  <c r="K34" i="13"/>
  <c r="K1137" i="13"/>
  <c r="K1007" i="13"/>
  <c r="K1363" i="13"/>
  <c r="K150" i="13"/>
  <c r="K424" i="13"/>
  <c r="K1062" i="13"/>
  <c r="J542" i="13"/>
  <c r="J490" i="13"/>
  <c r="J712" i="13"/>
  <c r="J1399" i="13"/>
  <c r="J447" i="13"/>
  <c r="J478" i="13"/>
  <c r="J1139" i="13"/>
  <c r="J316" i="13"/>
  <c r="J924" i="13"/>
  <c r="J1436" i="13"/>
  <c r="J763" i="13"/>
  <c r="J204" i="13"/>
  <c r="J1147" i="13"/>
  <c r="J534" i="13"/>
  <c r="J9" i="13"/>
  <c r="J990" i="13"/>
  <c r="J683" i="13"/>
  <c r="J365" i="13"/>
  <c r="J26" i="13"/>
  <c r="J1076" i="13"/>
  <c r="J283" i="13"/>
  <c r="J979" i="13"/>
  <c r="J301" i="13"/>
  <c r="J1282" i="13"/>
  <c r="K908" i="13"/>
  <c r="K542" i="13"/>
  <c r="K84" i="13"/>
  <c r="K1204" i="13"/>
  <c r="K884" i="13"/>
  <c r="K490" i="13"/>
  <c r="K140" i="13"/>
  <c r="K1144" i="13"/>
  <c r="K712" i="13"/>
  <c r="K333" i="13"/>
  <c r="K1399" i="13"/>
  <c r="K945" i="13"/>
  <c r="K447" i="13"/>
  <c r="K868" i="13"/>
  <c r="K478" i="13"/>
  <c r="K133" i="13"/>
  <c r="K1139" i="13"/>
  <c r="K672" i="13"/>
  <c r="K316" i="13"/>
  <c r="K1393" i="13"/>
  <c r="K924" i="13"/>
  <c r="K445" i="13"/>
  <c r="K1436" i="13"/>
  <c r="K1168" i="13"/>
  <c r="K763" i="13"/>
  <c r="K464" i="13"/>
  <c r="K204" i="13"/>
  <c r="K1412" i="13"/>
  <c r="K1147" i="13"/>
  <c r="K881" i="13"/>
  <c r="K534" i="13"/>
  <c r="K233" i="13"/>
  <c r="K9" i="13"/>
  <c r="K1152" i="13"/>
  <c r="K839" i="13"/>
  <c r="K512" i="13"/>
  <c r="K145" i="13"/>
  <c r="K1258" i="13"/>
  <c r="K527" i="13"/>
  <c r="K1388" i="13"/>
  <c r="K637" i="13"/>
  <c r="K1426" i="13"/>
  <c r="J1011" i="13"/>
  <c r="J710" i="13"/>
  <c r="J192" i="13"/>
  <c r="J1372" i="13"/>
  <c r="J944" i="13"/>
  <c r="J687" i="13"/>
  <c r="J308" i="13"/>
  <c r="J1333" i="13"/>
  <c r="J883" i="13"/>
  <c r="J489" i="13"/>
  <c r="J128" i="13"/>
  <c r="J1037" i="13"/>
  <c r="J582" i="13"/>
  <c r="J933" i="13"/>
  <c r="J614" i="13"/>
  <c r="J289" i="13"/>
  <c r="J1328" i="13"/>
  <c r="J872" i="13"/>
  <c r="J479" i="13"/>
  <c r="J126" i="13"/>
  <c r="J1035" i="13"/>
  <c r="J575" i="13"/>
  <c r="J185" i="13"/>
  <c r="J1243" i="13"/>
  <c r="J919" i="13"/>
  <c r="J597" i="13"/>
  <c r="J274" i="13"/>
  <c r="J29" i="13"/>
  <c r="J1302" i="13"/>
  <c r="J953" i="13"/>
  <c r="J616" i="13"/>
  <c r="J360" i="13"/>
  <c r="J71" i="13"/>
  <c r="J1281" i="13"/>
  <c r="J921" i="13"/>
  <c r="J646" i="13"/>
  <c r="J295" i="13"/>
  <c r="J1435" i="13"/>
  <c r="J1026" i="13"/>
  <c r="J194" i="13"/>
  <c r="K893" i="13"/>
  <c r="K251" i="13"/>
  <c r="K1316" i="13"/>
  <c r="K870" i="13"/>
  <c r="K471" i="13"/>
  <c r="K107" i="13"/>
  <c r="K1025" i="13"/>
  <c r="K515" i="13"/>
  <c r="K574" i="13"/>
  <c r="K212" i="13"/>
  <c r="K1343" i="13"/>
  <c r="K758" i="13"/>
  <c r="K86" i="13"/>
  <c r="K746" i="13"/>
  <c r="K2" i="13"/>
  <c r="K1229" i="13"/>
  <c r="K1018" i="13"/>
  <c r="K771" i="13"/>
  <c r="K548" i="13"/>
  <c r="K305" i="13"/>
  <c r="K65" i="13"/>
  <c r="K1437" i="13"/>
  <c r="K1173" i="13"/>
  <c r="K782" i="13"/>
  <c r="K485" i="13"/>
  <c r="K218" i="13"/>
  <c r="K1414" i="13"/>
  <c r="K1149" i="13"/>
  <c r="K882" i="13"/>
  <c r="K550" i="13"/>
  <c r="K252" i="13"/>
  <c r="K10" i="13"/>
  <c r="K1153" i="13"/>
  <c r="K838" i="13"/>
  <c r="K518" i="13"/>
  <c r="K152" i="13"/>
  <c r="K1257" i="13"/>
  <c r="K529" i="13"/>
  <c r="K1395" i="13"/>
  <c r="K681" i="13"/>
  <c r="K1428" i="13"/>
  <c r="K1192" i="13"/>
  <c r="J1423" i="13"/>
  <c r="K804" i="13"/>
  <c r="J215" i="13"/>
  <c r="J1234" i="13"/>
  <c r="J803" i="13"/>
  <c r="J383" i="13"/>
  <c r="J21" i="13"/>
  <c r="J983" i="13"/>
  <c r="J488" i="13"/>
  <c r="J519" i="13"/>
  <c r="J153" i="13"/>
  <c r="J1272" i="13"/>
  <c r="J538" i="13"/>
  <c r="J1415" i="13"/>
  <c r="J704" i="13"/>
  <c r="J1440" i="13"/>
  <c r="J1206" i="13"/>
  <c r="J981" i="13"/>
  <c r="J717" i="13"/>
  <c r="J526" i="13"/>
  <c r="J270" i="13"/>
  <c r="J44" i="13"/>
  <c r="J1403" i="13"/>
  <c r="J1160" i="13"/>
  <c r="J742" i="13"/>
  <c r="J443" i="13"/>
  <c r="J188" i="13"/>
  <c r="J1396" i="13"/>
  <c r="J1127" i="13"/>
  <c r="J850" i="13"/>
  <c r="J507" i="13"/>
  <c r="J225" i="13"/>
  <c r="J1448" i="13"/>
  <c r="J1098" i="13"/>
  <c r="J817" i="13"/>
  <c r="J501" i="13"/>
  <c r="J136" i="13"/>
  <c r="J1227" i="13"/>
  <c r="J468" i="13"/>
  <c r="J1283" i="13"/>
  <c r="J622" i="13"/>
  <c r="J1369" i="13"/>
  <c r="J1178" i="13"/>
  <c r="J613" i="13"/>
  <c r="K440" i="13"/>
  <c r="K129" i="13"/>
  <c r="K1130" i="13"/>
  <c r="K658" i="13"/>
  <c r="K307" i="13"/>
  <c r="K1387" i="13"/>
  <c r="K910" i="13"/>
  <c r="K433" i="13"/>
  <c r="K481" i="13"/>
  <c r="K122" i="13"/>
  <c r="K1221" i="13"/>
  <c r="K400" i="13"/>
  <c r="K1213" i="13"/>
  <c r="K589" i="13"/>
  <c r="K1355" i="13"/>
  <c r="K1148" i="13"/>
  <c r="K879" i="13"/>
  <c r="K660" i="13"/>
  <c r="K454" i="13"/>
  <c r="K200" i="13"/>
  <c r="K309" i="13"/>
  <c r="K1351" i="13"/>
  <c r="K1008" i="13"/>
  <c r="K684" i="13"/>
  <c r="K386" i="13"/>
  <c r="K149" i="13"/>
  <c r="K1367" i="13"/>
  <c r="K1078" i="13"/>
  <c r="K697" i="13"/>
  <c r="K452" i="13"/>
  <c r="K154" i="13"/>
  <c r="K1377" i="13"/>
  <c r="K1030" i="13"/>
  <c r="K731" i="13"/>
  <c r="K446" i="13"/>
  <c r="K68" i="13"/>
  <c r="K1133" i="13"/>
  <c r="K350" i="13"/>
  <c r="K1117" i="13"/>
  <c r="K441" i="13"/>
  <c r="K1319" i="13"/>
  <c r="K1108" i="13"/>
  <c r="J1310" i="13"/>
  <c r="J372" i="13"/>
  <c r="J23" i="13"/>
  <c r="J941" i="13"/>
  <c r="J561" i="13"/>
  <c r="J202" i="13"/>
  <c r="J1095" i="13"/>
  <c r="J723" i="13"/>
  <c r="J661" i="13"/>
  <c r="J326" i="13"/>
  <c r="J12" i="13"/>
  <c r="J1059" i="13"/>
  <c r="J231" i="13"/>
  <c r="J929" i="13"/>
  <c r="J242" i="13"/>
  <c r="J1267" i="13"/>
  <c r="J1082" i="13"/>
  <c r="J816" i="13"/>
  <c r="J592" i="13"/>
  <c r="J364" i="13"/>
  <c r="J103" i="13"/>
  <c r="J141" i="13"/>
  <c r="J1214" i="13"/>
  <c r="J866" i="13"/>
  <c r="J578" i="13"/>
  <c r="J265" i="13"/>
  <c r="J5" i="13"/>
  <c r="J1254" i="13"/>
  <c r="J936" i="13"/>
  <c r="J603" i="13"/>
  <c r="J337" i="13"/>
  <c r="J62" i="13"/>
  <c r="J1255" i="13"/>
  <c r="J906" i="13"/>
  <c r="J615" i="13"/>
  <c r="J278" i="13"/>
  <c r="J1406" i="13"/>
  <c r="J871" i="13"/>
  <c r="J127" i="13"/>
  <c r="J830" i="13"/>
  <c r="J74" i="13"/>
  <c r="J1247" i="13"/>
  <c r="J1028" i="13"/>
  <c r="K783" i="13"/>
  <c r="K556" i="13"/>
  <c r="K325" i="13"/>
  <c r="K91" i="13"/>
  <c r="K1104" i="13"/>
  <c r="K835" i="13"/>
  <c r="K641" i="13"/>
  <c r="K412" i="13"/>
  <c r="K157" i="13"/>
  <c r="K217" i="13"/>
  <c r="K1270" i="13"/>
  <c r="K960" i="13"/>
  <c r="K608" i="13"/>
  <c r="K317" i="13"/>
  <c r="K53" i="13"/>
  <c r="K1313" i="13"/>
  <c r="K988" i="13"/>
  <c r="K668" i="13"/>
  <c r="K390" i="13"/>
  <c r="K115" i="13"/>
  <c r="K1327" i="13"/>
  <c r="K985" i="13"/>
  <c r="K664" i="13"/>
  <c r="K330" i="13"/>
  <c r="K25" i="13"/>
  <c r="K1072" i="13"/>
  <c r="K239" i="13"/>
  <c r="K946" i="13"/>
  <c r="K264" i="13"/>
  <c r="K1275" i="13"/>
  <c r="K760" i="13"/>
  <c r="K950" i="13"/>
  <c r="J892" i="13"/>
  <c r="K1421" i="13"/>
  <c r="K1271" i="13"/>
  <c r="K1208" i="13"/>
  <c r="J93" i="13"/>
  <c r="J846" i="13"/>
  <c r="J394" i="13"/>
  <c r="K101" i="13"/>
  <c r="J191" i="13"/>
  <c r="J1332" i="13"/>
  <c r="J805" i="13"/>
  <c r="J1089" i="13"/>
  <c r="K1279" i="13"/>
  <c r="K373" i="13"/>
  <c r="J392" i="13"/>
  <c r="J1159" i="13"/>
  <c r="J334" i="13"/>
  <c r="J1151" i="13"/>
  <c r="K250" i="13"/>
  <c r="K787" i="13"/>
  <c r="K1031" i="13"/>
  <c r="K384" i="13"/>
  <c r="K756" i="13"/>
  <c r="K568" i="13"/>
  <c r="K1022" i="13"/>
  <c r="K951" i="13"/>
  <c r="K747" i="13"/>
  <c r="K677" i="13"/>
  <c r="K1034" i="13"/>
  <c r="K1370" i="13"/>
  <c r="K38" i="13"/>
  <c r="K427" i="13"/>
  <c r="J84" i="13"/>
  <c r="J140" i="13"/>
  <c r="J450" i="13"/>
  <c r="J1000" i="13"/>
  <c r="J915" i="13"/>
  <c r="J223" i="13"/>
  <c r="J810" i="13"/>
  <c r="J60" i="13"/>
  <c r="J493" i="13"/>
  <c r="J1210" i="13"/>
  <c r="J570" i="13"/>
  <c r="J1459" i="13"/>
  <c r="J934" i="13"/>
  <c r="J323" i="13"/>
  <c r="J1251" i="13"/>
  <c r="J894" i="13"/>
  <c r="J607" i="13"/>
  <c r="J248" i="13"/>
  <c r="J1374" i="13"/>
  <c r="J861" i="13"/>
  <c r="J105" i="13"/>
  <c r="J772" i="13"/>
  <c r="J52" i="13"/>
  <c r="K1186" i="13"/>
  <c r="K854" i="13"/>
  <c r="K280" i="13"/>
  <c r="K57" i="13"/>
  <c r="K1071" i="13"/>
  <c r="K796" i="13"/>
  <c r="K416" i="13"/>
  <c r="K73" i="13"/>
  <c r="K1043" i="13"/>
  <c r="K610" i="13"/>
  <c r="K256" i="13"/>
  <c r="K1220" i="13"/>
  <c r="K851" i="13"/>
  <c r="K369" i="13"/>
  <c r="K784" i="13"/>
  <c r="K399" i="13"/>
  <c r="K67" i="13"/>
  <c r="K1027" i="13"/>
  <c r="K596" i="13"/>
  <c r="K246" i="13"/>
  <c r="K1215" i="13"/>
  <c r="K780" i="13"/>
  <c r="K354" i="13"/>
  <c r="K1365" i="13"/>
  <c r="K1075" i="13"/>
  <c r="K715" i="13"/>
  <c r="K413" i="13"/>
  <c r="K160" i="13"/>
  <c r="K1375" i="13"/>
  <c r="K1091" i="13"/>
  <c r="K745" i="13"/>
  <c r="K469" i="13"/>
  <c r="K176" i="13"/>
  <c r="K1413" i="13"/>
  <c r="K1039" i="13"/>
  <c r="K767" i="13"/>
  <c r="K472" i="13"/>
  <c r="K117" i="13"/>
  <c r="K1201" i="13"/>
  <c r="K371" i="13"/>
  <c r="K1184" i="13"/>
  <c r="K535" i="13"/>
  <c r="K1324" i="13"/>
  <c r="J926" i="13"/>
  <c r="J601" i="13"/>
  <c r="J114" i="13"/>
  <c r="J1276" i="13"/>
  <c r="J904" i="13"/>
  <c r="J533" i="13"/>
  <c r="J198" i="13"/>
  <c r="J1191" i="13"/>
  <c r="J764" i="13"/>
  <c r="J348" i="13"/>
  <c r="J3" i="13"/>
  <c r="J965" i="13"/>
  <c r="J483" i="13"/>
  <c r="J903" i="13"/>
  <c r="J530" i="13"/>
  <c r="J190" i="13"/>
  <c r="J1185" i="13"/>
  <c r="J728" i="13"/>
  <c r="J345" i="13"/>
  <c r="J1429" i="13"/>
  <c r="J958" i="13"/>
  <c r="J480" i="13"/>
  <c r="J33" i="13"/>
  <c r="J1188" i="13"/>
  <c r="J836" i="13"/>
  <c r="J522" i="13"/>
  <c r="J226" i="13"/>
  <c r="J1447" i="13"/>
  <c r="J1187" i="13"/>
  <c r="J901" i="13"/>
  <c r="J566" i="13"/>
  <c r="J282" i="13"/>
  <c r="J18" i="13"/>
  <c r="J1205" i="13"/>
  <c r="J877" i="13"/>
  <c r="J528" i="13"/>
  <c r="J175" i="13"/>
  <c r="J1309" i="13"/>
  <c r="J706" i="13"/>
  <c r="J909" i="13"/>
  <c r="K520" i="13"/>
  <c r="K171" i="13"/>
  <c r="K1170" i="13"/>
  <c r="K722" i="13"/>
  <c r="K339" i="13"/>
  <c r="K1419" i="13"/>
  <c r="K954" i="13"/>
  <c r="K466" i="13"/>
  <c r="K509" i="13"/>
  <c r="K139" i="13"/>
  <c r="K1231" i="13"/>
  <c r="K487" i="13"/>
  <c r="K1348" i="13"/>
  <c r="K628" i="13"/>
  <c r="K1401" i="13"/>
  <c r="K1179" i="13"/>
  <c r="K918" i="13"/>
  <c r="K679" i="13"/>
  <c r="K502" i="13"/>
  <c r="K224" i="13"/>
  <c r="K735" i="13"/>
  <c r="K1390" i="13"/>
  <c r="K1077" i="13"/>
  <c r="K726" i="13"/>
  <c r="K418" i="13"/>
  <c r="K161" i="13"/>
  <c r="K1383" i="13"/>
  <c r="K1094" i="13"/>
  <c r="K765" i="13"/>
  <c r="K470" i="13"/>
  <c r="K183" i="13"/>
  <c r="K1418" i="13"/>
  <c r="K1042" i="13"/>
  <c r="K781" i="13"/>
  <c r="K477" i="13"/>
  <c r="K121" i="13"/>
  <c r="K1219" i="13"/>
  <c r="K393" i="13"/>
  <c r="K1196" i="13"/>
  <c r="K573" i="13"/>
  <c r="K1331" i="13"/>
  <c r="K1124" i="13"/>
  <c r="J739" i="13"/>
  <c r="J440" i="13"/>
  <c r="J129" i="13"/>
  <c r="J1130" i="13"/>
  <c r="J658" i="13"/>
  <c r="J307" i="13"/>
  <c r="J1387" i="13"/>
  <c r="J910" i="13"/>
  <c r="J433" i="13"/>
  <c r="J481" i="13"/>
  <c r="J122" i="13"/>
  <c r="J1221" i="13"/>
  <c r="J400" i="13"/>
  <c r="J1213" i="13"/>
  <c r="J589" i="13"/>
  <c r="J1355" i="13"/>
  <c r="J1148" i="13"/>
  <c r="J879" i="13"/>
  <c r="J660" i="13"/>
  <c r="J454" i="13"/>
  <c r="J200" i="13"/>
  <c r="J309" i="13"/>
  <c r="J1351" i="13"/>
  <c r="J1008" i="13"/>
  <c r="J684" i="13"/>
  <c r="J386" i="13"/>
  <c r="J149" i="13"/>
  <c r="J1367" i="13"/>
  <c r="J1078" i="13"/>
  <c r="J697" i="13"/>
  <c r="J452" i="13"/>
  <c r="J154" i="13"/>
  <c r="J1377" i="13"/>
  <c r="J1030" i="13"/>
  <c r="J731" i="13"/>
  <c r="J446" i="13"/>
  <c r="J68" i="13"/>
  <c r="J1133" i="13"/>
  <c r="J350" i="13"/>
  <c r="J1117" i="13"/>
  <c r="J441" i="13"/>
  <c r="J1319" i="13"/>
  <c r="J1108" i="13"/>
  <c r="J1362" i="13"/>
  <c r="K397" i="13"/>
  <c r="K58" i="13"/>
  <c r="K1017" i="13"/>
  <c r="K595" i="13"/>
  <c r="K241" i="13"/>
  <c r="K1211" i="13"/>
  <c r="K779" i="13"/>
  <c r="K702" i="13"/>
  <c r="K403" i="13"/>
  <c r="K31" i="13"/>
  <c r="K1084" i="13"/>
  <c r="K313" i="13"/>
  <c r="K997" i="13"/>
  <c r="K402" i="13"/>
  <c r="K1306" i="13"/>
  <c r="K1097" i="13"/>
  <c r="K828" i="13"/>
  <c r="K627" i="13"/>
  <c r="K404" i="13"/>
  <c r="K151" i="13"/>
  <c r="K207" i="13"/>
  <c r="K1239" i="13"/>
  <c r="K939" i="13"/>
  <c r="K598" i="13"/>
  <c r="K275" i="13"/>
  <c r="K40" i="13"/>
  <c r="K1303" i="13"/>
  <c r="K966" i="13"/>
  <c r="K624" i="13"/>
  <c r="K377" i="13"/>
  <c r="K77" i="13"/>
  <c r="K1300" i="13"/>
  <c r="K971" i="13"/>
  <c r="K657" i="13"/>
  <c r="K298" i="13"/>
  <c r="K4" i="13"/>
  <c r="K1047" i="13"/>
  <c r="K205" i="13"/>
  <c r="K917" i="13"/>
  <c r="K235" i="13"/>
  <c r="K1263" i="13"/>
  <c r="K1074" i="13"/>
  <c r="K926" i="13"/>
  <c r="J251" i="13"/>
  <c r="J1316" i="13"/>
  <c r="J870" i="13"/>
  <c r="J471" i="13"/>
  <c r="J107" i="13"/>
  <c r="J1025" i="13"/>
  <c r="J515" i="13"/>
  <c r="J574" i="13"/>
  <c r="J212" i="13"/>
  <c r="J1343" i="13"/>
  <c r="J758" i="13"/>
  <c r="J86" i="13"/>
  <c r="J746" i="13"/>
  <c r="J2" i="13"/>
  <c r="J1229" i="13"/>
  <c r="J1018" i="13"/>
  <c r="J771" i="13"/>
  <c r="J548" i="13"/>
  <c r="J305" i="13"/>
  <c r="J65" i="13"/>
  <c r="J1437" i="13"/>
  <c r="J1173" i="13"/>
  <c r="J782" i="13"/>
  <c r="J485" i="13"/>
  <c r="J218" i="13"/>
  <c r="J1414" i="13"/>
  <c r="J1149" i="13"/>
  <c r="J882" i="13"/>
  <c r="J550" i="13"/>
  <c r="J252" i="13"/>
  <c r="J10" i="13"/>
  <c r="J1153" i="13"/>
  <c r="J838" i="13"/>
  <c r="J518" i="13"/>
  <c r="J152" i="13"/>
  <c r="J1257" i="13"/>
  <c r="J529" i="13"/>
  <c r="J1395" i="13"/>
  <c r="J681" i="13"/>
  <c r="J1428" i="13"/>
  <c r="J1192" i="13"/>
  <c r="K972" i="13"/>
  <c r="K711" i="13"/>
  <c r="K521" i="13"/>
  <c r="K258" i="13"/>
  <c r="K36" i="13"/>
  <c r="K1067" i="13"/>
  <c r="K806" i="13"/>
  <c r="K579" i="13"/>
  <c r="K341" i="13"/>
  <c r="K100" i="13"/>
  <c r="K97" i="13"/>
  <c r="K1200" i="13"/>
  <c r="K849" i="13"/>
  <c r="K557" i="13"/>
  <c r="K247" i="13"/>
  <c r="K1453" i="13"/>
  <c r="K1232" i="13"/>
  <c r="K928" i="13"/>
  <c r="K584" i="13"/>
  <c r="K314" i="13"/>
  <c r="K48" i="13"/>
  <c r="K1245" i="13"/>
  <c r="K890" i="13"/>
  <c r="K606" i="13"/>
  <c r="K219" i="13"/>
  <c r="K1347" i="13"/>
  <c r="K819" i="13"/>
  <c r="K92" i="13"/>
  <c r="K751" i="13"/>
  <c r="K47" i="13"/>
  <c r="K1233" i="13"/>
  <c r="K1052" i="13"/>
  <c r="K970" i="13"/>
  <c r="K1335" i="13"/>
  <c r="J551" i="13"/>
  <c r="J17" i="13"/>
  <c r="K17" i="13"/>
  <c r="K378" i="13"/>
  <c r="K294" i="13"/>
  <c r="K1126" i="13"/>
  <c r="J333" i="13"/>
  <c r="J672" i="13"/>
  <c r="J464" i="13"/>
  <c r="J1152" i="13"/>
  <c r="J1258" i="13"/>
  <c r="J1426" i="13"/>
  <c r="K1449" i="13"/>
  <c r="K8" i="13"/>
  <c r="K1066" i="13"/>
  <c r="K344" i="13"/>
  <c r="K138" i="13"/>
  <c r="K1285" i="13"/>
  <c r="K89" i="13"/>
  <c r="K395" i="13"/>
  <c r="K683" i="13"/>
  <c r="K283" i="13"/>
  <c r="J893" i="13"/>
  <c r="J808" i="13"/>
  <c r="J640" i="13"/>
  <c r="J411" i="13"/>
  <c r="J1070" i="13"/>
  <c r="J865" i="13"/>
  <c r="J738" i="13"/>
  <c r="J1118" i="13"/>
  <c r="J1443" i="13"/>
  <c r="J132" i="13"/>
  <c r="K420" i="13"/>
  <c r="K259" i="13"/>
  <c r="K449" i="13"/>
  <c r="K1167" i="13"/>
  <c r="K853" i="13"/>
  <c r="K245" i="13"/>
  <c r="K332" i="13"/>
  <c r="K680" i="13"/>
  <c r="K996" i="13"/>
  <c r="K1081" i="13"/>
  <c r="K1289" i="13"/>
  <c r="J58" i="13"/>
  <c r="J1211" i="13"/>
  <c r="J31" i="13"/>
  <c r="J402" i="13"/>
  <c r="J627" i="13"/>
  <c r="J1239" i="13"/>
  <c r="J40" i="13"/>
  <c r="J377" i="13"/>
  <c r="J657" i="13"/>
  <c r="J205" i="13"/>
  <c r="J1074" i="13"/>
  <c r="K896" i="13"/>
  <c r="K647" i="13"/>
  <c r="K938" i="13"/>
  <c r="K1249" i="13"/>
  <c r="K329" i="13"/>
  <c r="K845" i="13"/>
  <c r="K1203" i="13"/>
  <c r="K30" i="13"/>
  <c r="K203" i="13"/>
  <c r="K741" i="13"/>
  <c r="K601" i="13"/>
  <c r="J339" i="13"/>
  <c r="J509" i="13"/>
  <c r="J1348" i="13"/>
  <c r="J918" i="13"/>
  <c r="K1063" i="13"/>
  <c r="J418" i="13"/>
  <c r="J765" i="13"/>
  <c r="J1042" i="13"/>
  <c r="J1219" i="13"/>
  <c r="J1331" i="13"/>
  <c r="K437" i="13"/>
  <c r="K734" i="13"/>
  <c r="K1424" i="13"/>
  <c r="K196" i="13"/>
  <c r="K513" i="13"/>
  <c r="K837" i="13"/>
  <c r="K506" i="13"/>
  <c r="K1183" i="13"/>
  <c r="K956" i="13"/>
  <c r="K694" i="13"/>
  <c r="K510" i="13"/>
  <c r="K229" i="13"/>
  <c r="K15" i="13"/>
  <c r="J818" i="13"/>
  <c r="J590" i="13"/>
  <c r="J352" i="13"/>
  <c r="J102" i="13"/>
  <c r="J1119" i="13"/>
  <c r="J859" i="13"/>
  <c r="J652" i="13"/>
  <c r="J431" i="13"/>
  <c r="J178" i="13"/>
  <c r="J291" i="13"/>
  <c r="J1334" i="13"/>
  <c r="J1004" i="13"/>
  <c r="J671" i="13"/>
  <c r="J361" i="13"/>
  <c r="J99" i="13"/>
  <c r="J1361" i="13"/>
  <c r="J1023" i="13"/>
  <c r="J690" i="13"/>
  <c r="J408" i="13"/>
  <c r="J143" i="13"/>
  <c r="J1366" i="13"/>
  <c r="J1019" i="13"/>
  <c r="J714" i="13"/>
  <c r="J415" i="13"/>
  <c r="J37" i="13"/>
  <c r="J1099" i="13"/>
  <c r="J315" i="13"/>
  <c r="J1056" i="13"/>
  <c r="J409" i="13"/>
  <c r="J1307" i="13"/>
  <c r="J1101" i="13"/>
  <c r="J829" i="13"/>
  <c r="J639" i="13"/>
  <c r="J406" i="13"/>
  <c r="J158" i="13"/>
  <c r="K1010" i="13"/>
  <c r="K750" i="13"/>
  <c r="K546" i="13"/>
  <c r="K293" i="13"/>
  <c r="K59" i="13"/>
  <c r="K1092" i="13"/>
  <c r="K824" i="13"/>
  <c r="K619" i="13"/>
  <c r="K370" i="13"/>
  <c r="K111" i="13"/>
  <c r="K169" i="13"/>
  <c r="K1238" i="13"/>
  <c r="K898" i="13"/>
  <c r="K591" i="13"/>
  <c r="K271" i="13"/>
  <c r="K22" i="13"/>
  <c r="K1297" i="13"/>
  <c r="K952" i="13"/>
  <c r="K611" i="13"/>
  <c r="K356" i="13"/>
  <c r="K70" i="13"/>
  <c r="K1278" i="13"/>
  <c r="K912" i="13"/>
  <c r="K642" i="13"/>
  <c r="K288" i="13"/>
  <c r="K1431" i="13"/>
  <c r="K957" i="13"/>
  <c r="K189" i="13"/>
  <c r="K880" i="13"/>
  <c r="K181" i="13"/>
  <c r="K1250" i="13"/>
  <c r="K1061" i="13"/>
  <c r="K800" i="13"/>
  <c r="K576" i="13"/>
  <c r="K328" i="13"/>
  <c r="K98" i="13"/>
  <c r="J827" i="13"/>
  <c r="J620" i="13"/>
  <c r="J379" i="13"/>
  <c r="J134" i="13"/>
  <c r="J1169" i="13"/>
  <c r="J888" i="13"/>
  <c r="J666" i="13"/>
  <c r="J484" i="13"/>
  <c r="J213" i="13"/>
  <c r="J340" i="13"/>
  <c r="J1353" i="13"/>
  <c r="J1044" i="13"/>
  <c r="J705" i="13"/>
  <c r="J391" i="13"/>
  <c r="J159" i="13"/>
  <c r="J1373" i="13"/>
  <c r="J1086" i="13"/>
  <c r="J737" i="13"/>
  <c r="J467" i="13"/>
  <c r="J174" i="13"/>
  <c r="J1411" i="13"/>
  <c r="J1036" i="13"/>
  <c r="J762" i="13"/>
  <c r="J453" i="13"/>
  <c r="J104" i="13"/>
  <c r="J1190" i="13"/>
  <c r="J363" i="13"/>
  <c r="J1176" i="13"/>
  <c r="J476" i="13"/>
  <c r="J1323" i="13"/>
  <c r="J1113" i="13"/>
  <c r="J858" i="13"/>
  <c r="J651" i="13"/>
  <c r="J429" i="13"/>
  <c r="J177" i="13"/>
  <c r="K516" i="13"/>
  <c r="K222" i="13"/>
  <c r="K1445" i="13"/>
  <c r="K1174" i="13"/>
  <c r="K899" i="13"/>
  <c r="K562" i="13"/>
  <c r="K263" i="13"/>
  <c r="K13" i="13"/>
  <c r="K1197" i="13"/>
  <c r="K874" i="13"/>
  <c r="K523" i="13"/>
  <c r="K170" i="13"/>
  <c r="K1288" i="13"/>
  <c r="K631" i="13"/>
  <c r="K1416" i="13"/>
  <c r="K713" i="13"/>
  <c r="K1454" i="13"/>
  <c r="K1218" i="13"/>
  <c r="K995" i="13"/>
  <c r="K541" i="13"/>
  <c r="K279" i="13"/>
  <c r="K49" i="13"/>
  <c r="J783" i="13"/>
  <c r="J556" i="13"/>
  <c r="J91" i="13"/>
  <c r="J1104" i="13"/>
  <c r="J641" i="13"/>
  <c r="J157" i="13"/>
  <c r="J1270" i="13"/>
  <c r="J608" i="13"/>
  <c r="J53" i="13"/>
  <c r="J988" i="13"/>
  <c r="J390" i="13"/>
  <c r="J115" i="13"/>
  <c r="J985" i="13"/>
  <c r="J330" i="13"/>
  <c r="J1072" i="13"/>
  <c r="J946" i="13"/>
  <c r="J1275" i="13"/>
  <c r="J823" i="13"/>
  <c r="J366" i="13"/>
  <c r="J869" i="13"/>
  <c r="K357" i="13"/>
  <c r="K998" i="13"/>
  <c r="K306" i="13"/>
  <c r="J241" i="13"/>
  <c r="J828" i="13"/>
  <c r="J624" i="13"/>
  <c r="J1263" i="13"/>
  <c r="K1420" i="13"/>
  <c r="K1194" i="13"/>
  <c r="K532" i="13"/>
  <c r="J722" i="13"/>
  <c r="J1179" i="13"/>
  <c r="J1094" i="13"/>
  <c r="J573" i="13"/>
  <c r="K50" i="13"/>
  <c r="K1150" i="13"/>
  <c r="K1021" i="13"/>
  <c r="K318" i="13"/>
  <c r="J648" i="13"/>
  <c r="J165" i="13"/>
  <c r="J700" i="13"/>
  <c r="J24" i="13"/>
  <c r="J736" i="13"/>
  <c r="J1386" i="13"/>
  <c r="J503" i="13"/>
  <c r="J1069" i="13"/>
  <c r="J131" i="13"/>
  <c r="J1217" i="13"/>
  <c r="J1157" i="13"/>
  <c r="J475" i="13"/>
  <c r="K818" i="13"/>
  <c r="K102" i="13"/>
  <c r="K652" i="13"/>
  <c r="K291" i="13"/>
  <c r="K671" i="13"/>
  <c r="K1361" i="13"/>
  <c r="K408" i="13"/>
  <c r="K1019" i="13"/>
  <c r="K37" i="13"/>
  <c r="K1056" i="13"/>
  <c r="K1101" i="13"/>
  <c r="K406" i="13"/>
  <c r="J653" i="13"/>
  <c r="J1225" i="13"/>
  <c r="J544" i="13"/>
  <c r="J1424" i="13"/>
  <c r="J457" i="13"/>
  <c r="J1134" i="13"/>
  <c r="J230" i="13"/>
  <c r="J837" i="13"/>
  <c r="J144" i="13"/>
  <c r="J1378" i="13"/>
  <c r="J1183" i="13"/>
  <c r="J510" i="13"/>
  <c r="K686" i="13"/>
  <c r="K638" i="13"/>
  <c r="K1380" i="13"/>
  <c r="K599" i="13"/>
  <c r="J993" i="13"/>
  <c r="K108" i="13"/>
  <c r="K236" i="13"/>
  <c r="K374" i="13"/>
  <c r="K1310" i="13"/>
  <c r="J945" i="13"/>
  <c r="J1393" i="13"/>
  <c r="J1412" i="13"/>
  <c r="J839" i="13"/>
  <c r="J527" i="13"/>
  <c r="K1060" i="13"/>
  <c r="K967" i="13"/>
  <c r="K932" i="13"/>
  <c r="K692" i="13"/>
  <c r="K1404" i="13"/>
  <c r="K1065" i="13"/>
  <c r="K961" i="13"/>
  <c r="K1314" i="13"/>
  <c r="K119" i="13"/>
  <c r="K365" i="13"/>
  <c r="K979" i="13"/>
  <c r="J520" i="13"/>
  <c r="J434" i="13"/>
  <c r="J268" i="13"/>
  <c r="J807" i="13"/>
  <c r="J633" i="13"/>
  <c r="J410" i="13"/>
  <c r="J428" i="13"/>
  <c r="J832" i="13"/>
  <c r="J1088" i="13"/>
  <c r="J1224" i="13"/>
  <c r="K79" i="13"/>
  <c r="K1252" i="13"/>
  <c r="K87" i="13"/>
  <c r="K444" i="13"/>
  <c r="K650" i="13"/>
  <c r="K1320" i="13"/>
  <c r="K90" i="13"/>
  <c r="K398" i="13"/>
  <c r="K701" i="13"/>
  <c r="K290" i="13"/>
  <c r="K1096" i="13"/>
  <c r="J1017" i="13"/>
  <c r="J779" i="13"/>
  <c r="J1084" i="13"/>
  <c r="J1306" i="13"/>
  <c r="J404" i="13"/>
  <c r="J939" i="13"/>
  <c r="J1303" i="13"/>
  <c r="J77" i="13"/>
  <c r="J298" i="13"/>
  <c r="J917" i="13"/>
  <c r="K1011" i="13"/>
  <c r="K525" i="13"/>
  <c r="K635" i="13"/>
  <c r="K147" i="13"/>
  <c r="K1058" i="13"/>
  <c r="K95" i="13"/>
  <c r="K524" i="13"/>
  <c r="K900" i="13"/>
  <c r="K1212" i="13"/>
  <c r="K1340" i="13"/>
  <c r="K1458" i="13"/>
  <c r="J171" i="13"/>
  <c r="J1419" i="13"/>
  <c r="J139" i="13"/>
  <c r="J628" i="13"/>
  <c r="J679" i="13"/>
  <c r="J1390" i="13"/>
  <c r="J161" i="13"/>
  <c r="J470" i="13"/>
  <c r="J781" i="13"/>
  <c r="J393" i="13"/>
  <c r="J1124" i="13"/>
  <c r="K195" i="13"/>
  <c r="K544" i="13"/>
  <c r="K1165" i="13"/>
  <c r="K1409" i="13"/>
  <c r="K230" i="13"/>
  <c r="K511" i="13"/>
  <c r="K1378" i="13"/>
  <c r="K1113" i="13"/>
  <c r="K858" i="13"/>
  <c r="K651" i="13"/>
  <c r="K429" i="13"/>
  <c r="K177" i="13"/>
  <c r="J1010" i="13"/>
  <c r="J750" i="13"/>
  <c r="J546" i="13"/>
  <c r="J293" i="13"/>
  <c r="J59" i="13"/>
  <c r="J1092" i="13"/>
  <c r="J824" i="13"/>
  <c r="J619" i="13"/>
  <c r="J370" i="13"/>
  <c r="J111" i="13"/>
  <c r="J169" i="13"/>
  <c r="J1238" i="13"/>
  <c r="J898" i="13"/>
  <c r="J591" i="13"/>
  <c r="J271" i="13"/>
  <c r="J22" i="13"/>
  <c r="J1297" i="13"/>
  <c r="J952" i="13"/>
  <c r="J611" i="13"/>
  <c r="J356" i="13"/>
  <c r="J70" i="13"/>
  <c r="J1278" i="13"/>
  <c r="J912" i="13"/>
  <c r="J642" i="13"/>
  <c r="J288" i="13"/>
  <c r="J1431" i="13"/>
  <c r="J957" i="13"/>
  <c r="J189" i="13"/>
  <c r="J880" i="13"/>
  <c r="J181" i="13"/>
  <c r="J1250" i="13"/>
  <c r="J1061" i="13"/>
  <c r="J800" i="13"/>
  <c r="J576" i="13"/>
  <c r="J328" i="13"/>
  <c r="J98" i="13"/>
  <c r="K911" i="13"/>
  <c r="K675" i="13"/>
  <c r="K498" i="13"/>
  <c r="K216" i="13"/>
  <c r="K1242" i="13"/>
  <c r="K1024" i="13"/>
  <c r="K775" i="13"/>
  <c r="K554" i="13"/>
  <c r="K324" i="13"/>
  <c r="K83" i="13"/>
  <c r="K1456" i="13"/>
  <c r="K1182" i="13"/>
  <c r="K826" i="13"/>
  <c r="K729" i="13"/>
  <c r="J325" i="13"/>
  <c r="J835" i="13"/>
  <c r="J412" i="13"/>
  <c r="J217" i="13"/>
  <c r="J960" i="13"/>
  <c r="J317" i="13"/>
  <c r="J1313" i="13"/>
  <c r="J668" i="13"/>
  <c r="J1327" i="13"/>
  <c r="J664" i="13"/>
  <c r="J25" i="13"/>
  <c r="J239" i="13"/>
  <c r="J264" i="13"/>
  <c r="J1083" i="13"/>
  <c r="J604" i="13"/>
  <c r="J109" i="13"/>
  <c r="J118" i="13"/>
  <c r="K1109" i="13"/>
  <c r="K655" i="13"/>
  <c r="K27" i="13"/>
  <c r="J403" i="13"/>
  <c r="J207" i="13"/>
  <c r="J971" i="13"/>
  <c r="K1398" i="13"/>
  <c r="K112" i="13"/>
  <c r="K1451" i="13"/>
  <c r="K19" i="13"/>
  <c r="J466" i="13"/>
  <c r="J224" i="13"/>
  <c r="J1418" i="13"/>
  <c r="K653" i="13"/>
  <c r="K457" i="13"/>
  <c r="K1253" i="13"/>
  <c r="K774" i="13"/>
  <c r="K80" i="13"/>
  <c r="J414" i="13"/>
  <c r="J1189" i="13"/>
  <c r="J514" i="13"/>
  <c r="J1394" i="13"/>
  <c r="J425" i="13"/>
  <c r="J801" i="13"/>
  <c r="J1434" i="13"/>
  <c r="J492" i="13"/>
  <c r="J430" i="13"/>
  <c r="J1356" i="13"/>
  <c r="J659" i="13"/>
  <c r="K1259" i="13"/>
  <c r="K352" i="13"/>
  <c r="K859" i="13"/>
  <c r="K178" i="13"/>
  <c r="K1004" i="13"/>
  <c r="K99" i="13"/>
  <c r="K690" i="13"/>
  <c r="K1366" i="13"/>
  <c r="K415" i="13"/>
  <c r="K315" i="13"/>
  <c r="K1307" i="13"/>
  <c r="K639" i="13"/>
  <c r="J862" i="13"/>
  <c r="J195" i="13"/>
  <c r="J734" i="13"/>
  <c r="J50" i="13"/>
  <c r="J753" i="13"/>
  <c r="J1409" i="13"/>
  <c r="J513" i="13"/>
  <c r="J1150" i="13"/>
  <c r="J1253" i="13"/>
  <c r="J630" i="13"/>
  <c r="J956" i="13"/>
  <c r="J229" i="13"/>
  <c r="J1358" i="13"/>
  <c r="J649" i="13"/>
  <c r="J814" i="13"/>
  <c r="K1298" i="13"/>
  <c r="K718" i="13"/>
  <c r="K852" i="13"/>
  <c r="K724" i="13"/>
  <c r="K691" i="13"/>
  <c r="J1204" i="13"/>
  <c r="J868" i="13"/>
  <c r="J445" i="13"/>
  <c r="J881" i="13"/>
  <c r="J512" i="13"/>
  <c r="J1388" i="13"/>
  <c r="K766" i="13"/>
  <c r="K707" i="13"/>
  <c r="K543" i="13"/>
  <c r="K963" i="13"/>
  <c r="K916" i="13"/>
  <c r="K654" i="13"/>
  <c r="K618" i="13"/>
  <c r="K994" i="13"/>
  <c r="K1330" i="13"/>
  <c r="K26" i="13"/>
  <c r="K301" i="13"/>
  <c r="J69" i="13"/>
  <c r="J123" i="13"/>
  <c r="J1321" i="13"/>
  <c r="J426" i="13"/>
  <c r="J266" i="13"/>
  <c r="J1402" i="13"/>
  <c r="J184" i="13"/>
  <c r="J504" i="13"/>
  <c r="J811" i="13"/>
  <c r="J439" i="13"/>
  <c r="K1048" i="13"/>
  <c r="K860" i="13"/>
  <c r="K1135" i="13"/>
  <c r="K1322" i="13"/>
  <c r="K422" i="13"/>
  <c r="K973" i="13"/>
  <c r="K1315" i="13"/>
  <c r="K135" i="13"/>
  <c r="K389" i="13"/>
  <c r="K989" i="13"/>
  <c r="J1455" i="13"/>
  <c r="J595" i="13"/>
  <c r="J702" i="13"/>
  <c r="J313" i="13"/>
  <c r="J1097" i="13"/>
  <c r="J151" i="13"/>
  <c r="J598" i="13"/>
  <c r="J966" i="13"/>
  <c r="J1300" i="13"/>
  <c r="J4" i="13"/>
  <c r="J235" i="13"/>
  <c r="K342" i="13"/>
  <c r="K137" i="13"/>
  <c r="K281" i="13"/>
  <c r="K840" i="13"/>
  <c r="K795" i="13"/>
  <c r="K41" i="13"/>
  <c r="K240" i="13"/>
  <c r="K577" i="13"/>
  <c r="K885" i="13"/>
  <c r="K727" i="13"/>
  <c r="K1228" i="13"/>
  <c r="J1170" i="13"/>
  <c r="J954" i="13"/>
  <c r="J1231" i="13"/>
  <c r="J1401" i="13"/>
  <c r="J502" i="13"/>
  <c r="J1077" i="13"/>
  <c r="J1383" i="13"/>
  <c r="J183" i="13"/>
  <c r="J477" i="13"/>
  <c r="J1196" i="13"/>
  <c r="K862" i="13"/>
  <c r="K1225" i="13"/>
  <c r="K284" i="13"/>
  <c r="K753" i="13"/>
  <c r="K1134" i="13"/>
  <c r="K7" i="13"/>
  <c r="K144" i="13"/>
  <c r="K630" i="13"/>
  <c r="K1083" i="13"/>
  <c r="K823" i="13"/>
  <c r="K604" i="13"/>
  <c r="K366" i="13"/>
  <c r="K109" i="13"/>
  <c r="J911" i="13"/>
  <c r="J675" i="13"/>
  <c r="J498" i="13"/>
  <c r="J216" i="13"/>
  <c r="J1242" i="13"/>
  <c r="J1024" i="13"/>
  <c r="J775" i="13"/>
  <c r="J554" i="13"/>
  <c r="J324" i="13"/>
  <c r="J83" i="13"/>
  <c r="J1456" i="13"/>
  <c r="J1182" i="13"/>
  <c r="J826" i="13"/>
  <c r="J516" i="13"/>
  <c r="J222" i="13"/>
  <c r="J1445" i="13"/>
  <c r="J1174" i="13"/>
  <c r="J899" i="13"/>
  <c r="J562" i="13"/>
  <c r="J263" i="13"/>
  <c r="J13" i="13"/>
  <c r="J1197" i="13"/>
  <c r="J874" i="13"/>
  <c r="J523" i="13"/>
  <c r="J170" i="13"/>
  <c r="J1288" i="13"/>
  <c r="J631" i="13"/>
  <c r="J1416" i="13"/>
  <c r="J713" i="13"/>
  <c r="J1454" i="13"/>
  <c r="J1218" i="13"/>
  <c r="J995" i="13"/>
  <c r="J729" i="13"/>
  <c r="J541" i="13"/>
  <c r="J279" i="13"/>
  <c r="J49" i="13"/>
  <c r="K842" i="13"/>
  <c r="K648" i="13"/>
  <c r="K414" i="13"/>
  <c r="K165" i="13"/>
  <c r="K1189" i="13"/>
  <c r="K962" i="13"/>
  <c r="K700" i="13"/>
  <c r="K514" i="13"/>
  <c r="K238" i="13"/>
  <c r="K24" i="13"/>
  <c r="K1394" i="13"/>
  <c r="K1105" i="13"/>
  <c r="K736" i="13"/>
  <c r="K425" i="13"/>
  <c r="K164" i="13"/>
  <c r="K1386" i="13"/>
  <c r="K1114" i="13"/>
  <c r="K801" i="13"/>
  <c r="K503" i="13"/>
  <c r="K201" i="13"/>
  <c r="K1434" i="13"/>
  <c r="K1069" i="13"/>
  <c r="K791" i="13"/>
  <c r="K492" i="13"/>
  <c r="K131" i="13"/>
  <c r="K1223" i="13"/>
  <c r="K430" i="13"/>
  <c r="K1217" i="13"/>
  <c r="K593" i="13"/>
  <c r="K1356" i="13"/>
  <c r="K1157" i="13"/>
  <c r="K889" i="13"/>
  <c r="K659" i="13"/>
  <c r="K475" i="13"/>
  <c r="K209" i="13"/>
  <c r="J972" i="13"/>
  <c r="J711" i="13"/>
  <c r="J521" i="13"/>
  <c r="J258" i="13"/>
  <c r="J36" i="13"/>
  <c r="J1067" i="13"/>
  <c r="J806" i="13"/>
  <c r="J579" i="13"/>
  <c r="J341" i="13"/>
  <c r="J100" i="13"/>
  <c r="J97" i="13"/>
  <c r="J1200" i="13"/>
  <c r="J849" i="13"/>
  <c r="J557" i="13"/>
  <c r="J247" i="13"/>
  <c r="J1453" i="13"/>
  <c r="J1232" i="13"/>
  <c r="J928" i="13"/>
  <c r="J584" i="13"/>
  <c r="J314" i="13"/>
  <c r="J48" i="13"/>
  <c r="J1245" i="13"/>
  <c r="J890" i="13"/>
  <c r="J606" i="13"/>
  <c r="J219" i="13"/>
  <c r="J1347" i="13"/>
  <c r="J819" i="13"/>
  <c r="J92" i="13"/>
  <c r="J751" i="13"/>
  <c r="J47" i="13"/>
  <c r="J1233" i="13"/>
  <c r="J1021" i="13"/>
  <c r="J774" i="13"/>
  <c r="J552" i="13"/>
  <c r="J318" i="13"/>
  <c r="J80" i="13"/>
  <c r="K455" i="13"/>
  <c r="K844" i="13"/>
  <c r="J975" i="13"/>
  <c r="K673" i="13"/>
  <c r="K759" i="13"/>
  <c r="K267" i="13"/>
  <c r="K567" i="13"/>
  <c r="K1032" i="13"/>
  <c r="J1144" i="13"/>
  <c r="J133" i="13"/>
  <c r="J1168" i="13"/>
  <c r="J233" i="13"/>
  <c r="J145" i="13"/>
  <c r="J637" i="13"/>
  <c r="K227" i="13"/>
  <c r="K346" i="13"/>
  <c r="K148" i="13"/>
  <c r="K699" i="13"/>
  <c r="K537" i="13"/>
  <c r="K234" i="13"/>
  <c r="K331" i="13"/>
  <c r="K676" i="13"/>
  <c r="K990" i="13"/>
  <c r="K1076" i="13"/>
  <c r="K1282" i="13"/>
  <c r="J1136" i="13"/>
  <c r="J1087" i="13"/>
  <c r="J1284" i="13"/>
  <c r="J1129" i="13"/>
  <c r="J1389" i="13"/>
  <c r="J214" i="13"/>
  <c r="J494" i="13"/>
  <c r="J199" i="13"/>
  <c r="K626" i="13"/>
  <c r="K407" i="13"/>
  <c r="K172" i="13"/>
  <c r="K1339" i="13"/>
  <c r="J397" i="13"/>
  <c r="J997" i="13"/>
  <c r="J275" i="13"/>
  <c r="J1047" i="13"/>
  <c r="K1057" i="13"/>
  <c r="K571" i="13"/>
  <c r="K296" i="13"/>
  <c r="J1062" i="13"/>
  <c r="J487" i="13"/>
  <c r="J726" i="13"/>
  <c r="J121" i="13"/>
  <c r="K1002" i="13"/>
  <c r="K878" i="13"/>
  <c r="K1425" i="13"/>
  <c r="K552" i="13"/>
  <c r="J842" i="13"/>
  <c r="J962" i="13"/>
  <c r="J238" i="13"/>
  <c r="J1105" i="13"/>
  <c r="J164" i="13"/>
  <c r="J1114" i="13"/>
  <c r="J201" i="13"/>
  <c r="J791" i="13"/>
  <c r="J1223" i="13"/>
  <c r="J593" i="13"/>
  <c r="J889" i="13"/>
  <c r="J209" i="13"/>
  <c r="K590" i="13"/>
  <c r="K1119" i="13"/>
  <c r="K431" i="13"/>
  <c r="K1334" i="13"/>
  <c r="K361" i="13"/>
  <c r="K1023" i="13"/>
  <c r="K143" i="13"/>
  <c r="K714" i="13"/>
  <c r="K1099" i="13"/>
  <c r="K409" i="13"/>
  <c r="K829" i="13"/>
  <c r="K158" i="13"/>
  <c r="J437" i="13"/>
  <c r="J1002" i="13"/>
  <c r="J284" i="13"/>
  <c r="J1165" i="13"/>
  <c r="J196" i="13"/>
  <c r="J878" i="13"/>
  <c r="J7" i="13"/>
  <c r="J511" i="13"/>
  <c r="J506" i="13"/>
  <c r="J1425" i="13"/>
  <c r="J694" i="13"/>
  <c r="J15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<sst xmlns="http://schemas.openxmlformats.org/spreadsheetml/2006/main" count="18956" uniqueCount="5149">
  <si>
    <t>Name</t>
  </si>
  <si>
    <t>Native</t>
  </si>
  <si>
    <t>Status</t>
  </si>
  <si>
    <t>City / District / County</t>
  </si>
  <si>
    <t>Population</t>
  </si>
  <si>
    <t>Ānyáng Xiāng</t>
  </si>
  <si>
    <t>安阳乡</t>
  </si>
  <si>
    <t>Rural Township</t>
  </si>
  <si>
    <t>Chún'ān Xiàn</t>
  </si>
  <si>
    <t>Băijiāng Zhèn</t>
  </si>
  <si>
    <t>百江镇</t>
  </si>
  <si>
    <t>Town</t>
  </si>
  <si>
    <t>Tónglú Xiàn</t>
  </si>
  <si>
    <t>Báiyáng Jiēdào</t>
  </si>
  <si>
    <t>白杨街道</t>
  </si>
  <si>
    <t>Urban Subdistrict</t>
  </si>
  <si>
    <t>Qiántáng Qū</t>
  </si>
  <si>
    <t>Băizhàng Zhèn</t>
  </si>
  <si>
    <t>百丈镇</t>
  </si>
  <si>
    <t>Yúháng Qū</t>
  </si>
  <si>
    <t>Bănqiáo Zhèn [incl. Sānkŏu Zhèn]</t>
  </si>
  <si>
    <t>板桥镇</t>
  </si>
  <si>
    <t>Lín'ān Qū</t>
  </si>
  <si>
    <t>Bànshān Jiēdào</t>
  </si>
  <si>
    <t>半山街道</t>
  </si>
  <si>
    <t>Gŏngshù Qū</t>
  </si>
  <si>
    <t>Bĕigān Jiēdào</t>
  </si>
  <si>
    <t>北干街道</t>
  </si>
  <si>
    <t>Xiāoshān Qū</t>
  </si>
  <si>
    <t>Bĕishān Jiēdào</t>
  </si>
  <si>
    <t>北山街道</t>
  </si>
  <si>
    <t>Xīhú Qū</t>
  </si>
  <si>
    <t>Căihé Jiēdào</t>
  </si>
  <si>
    <t>采荷街道</t>
  </si>
  <si>
    <t>Shàngchéng Qū</t>
  </si>
  <si>
    <t>Cāngqián Jiēdào</t>
  </si>
  <si>
    <t>仓前街道</t>
  </si>
  <si>
    <t>Cháng'ān Zhèn</t>
  </si>
  <si>
    <t>常安镇</t>
  </si>
  <si>
    <t>Fùyáng Qū</t>
  </si>
  <si>
    <t>Chánghé Jiēdào</t>
  </si>
  <si>
    <t>长河街道</t>
  </si>
  <si>
    <t>Bīnjiāng Qū</t>
  </si>
  <si>
    <t>Chānghuà Zhèn</t>
  </si>
  <si>
    <t>昌化镇</t>
  </si>
  <si>
    <t>Chăngkŏu Zhèn</t>
  </si>
  <si>
    <t>场口镇</t>
  </si>
  <si>
    <t>Chánglǜ Zhèn</t>
  </si>
  <si>
    <t>常绿镇</t>
  </si>
  <si>
    <t>Chángqìng Jiēdào</t>
  </si>
  <si>
    <t>长庆街道</t>
  </si>
  <si>
    <t>Cháohuī Jiēdào</t>
  </si>
  <si>
    <t>朝晖街道</t>
  </si>
  <si>
    <t>Cháomíng Jiēdào</t>
  </si>
  <si>
    <t>潮鸣街道</t>
  </si>
  <si>
    <t>Chéngxiāng Jiēdào</t>
  </si>
  <si>
    <t>城厢街道</t>
  </si>
  <si>
    <t>Chóngxián Jiēdào</t>
  </si>
  <si>
    <t>崇贤街道</t>
  </si>
  <si>
    <t>Línpíng Qū</t>
  </si>
  <si>
    <t>Chūnjiāng Jiēdào</t>
  </si>
  <si>
    <t>春江街道</t>
  </si>
  <si>
    <t>Chūnjiàn Xiāng</t>
  </si>
  <si>
    <t>春建乡</t>
  </si>
  <si>
    <t>Cuìyuàn Jiēdào</t>
  </si>
  <si>
    <t>翠苑街道</t>
  </si>
  <si>
    <t>Dàcíyán Zhèn</t>
  </si>
  <si>
    <t>大慈岩镇</t>
  </si>
  <si>
    <t>Jiàndé Shì</t>
  </si>
  <si>
    <t>Dàguān Jiēdào</t>
  </si>
  <si>
    <t>大关街道</t>
  </si>
  <si>
    <t>Dàicūn Zhèn</t>
  </si>
  <si>
    <t>戴村镇</t>
  </si>
  <si>
    <t>Dăngwān Zhèn</t>
  </si>
  <si>
    <t>党湾镇</t>
  </si>
  <si>
    <t>Dăoshí Zhèn</t>
  </si>
  <si>
    <t>岛石镇</t>
  </si>
  <si>
    <t>Dàshù Zhèn</t>
  </si>
  <si>
    <t>大墅镇</t>
  </si>
  <si>
    <t>Dàtóng Zhèn</t>
  </si>
  <si>
    <t>大同镇</t>
  </si>
  <si>
    <t>Dàxiágŭ Zhèn</t>
  </si>
  <si>
    <t>大峡谷镇</t>
  </si>
  <si>
    <t>Dàyáng Zhèn</t>
  </si>
  <si>
    <t>大洋镇</t>
  </si>
  <si>
    <t>Dàyuán Zhèn</t>
  </si>
  <si>
    <t>大源镇</t>
  </si>
  <si>
    <t>Dīnglán Jiēdào [← Dīngqiáo Zhèn]</t>
  </si>
  <si>
    <t>丁兰街道</t>
  </si>
  <si>
    <t>Dōnghú Jiēdào</t>
  </si>
  <si>
    <t>东湖街道</t>
  </si>
  <si>
    <t>Dòngqiáo Zhèn</t>
  </si>
  <si>
    <t>洞桥镇</t>
  </si>
  <si>
    <t>Dōngxīn Jiēdào</t>
  </si>
  <si>
    <t>东新街道</t>
  </si>
  <si>
    <t>Dōngzhōu Jiēdào</t>
  </si>
  <si>
    <t>东洲街道</t>
  </si>
  <si>
    <t>Éshān Shēzú Xiāng</t>
  </si>
  <si>
    <t>莪山畲族乡</t>
  </si>
  <si>
    <t>Fèngchuān Jiēdào</t>
  </si>
  <si>
    <t>凤川街道</t>
  </si>
  <si>
    <t>Fēngshùlĭng Zhèn</t>
  </si>
  <si>
    <t>枫树岭镇</t>
  </si>
  <si>
    <t>Fénkŏu Zhèn</t>
  </si>
  <si>
    <t>汾口镇</t>
  </si>
  <si>
    <t>Fēnshuĭ Zhèn</t>
  </si>
  <si>
    <t>分水镇</t>
  </si>
  <si>
    <t>Fùchūnjiāng Zhèn</t>
  </si>
  <si>
    <t>富春江镇</t>
  </si>
  <si>
    <t>Fùchūn Jiēdào</t>
  </si>
  <si>
    <t>富春街道</t>
  </si>
  <si>
    <t>Fùwén Xiāng</t>
  </si>
  <si>
    <t>富文乡</t>
  </si>
  <si>
    <t>Gāohóng Zhèn</t>
  </si>
  <si>
    <t>高虹镇</t>
  </si>
  <si>
    <t>Gènglóu Jiēdào</t>
  </si>
  <si>
    <t>更楼街道</t>
  </si>
  <si>
    <t>Gŏngchénqiáo Jiēdào</t>
  </si>
  <si>
    <t>拱宸桥街道</t>
  </si>
  <si>
    <t>Guālì Zhèn [incl. Kănshān Zhèn, Dăngshān Zhèn]</t>
  </si>
  <si>
    <t>瓜沥镇</t>
  </si>
  <si>
    <t>Gŭdàng Jiēdào</t>
  </si>
  <si>
    <t>古荡街道</t>
  </si>
  <si>
    <t>Hángtóu Zhèn</t>
  </si>
  <si>
    <t>航头镇</t>
  </si>
  <si>
    <t>Hécūn Xiāng</t>
  </si>
  <si>
    <t>合村乡</t>
  </si>
  <si>
    <t>Hémù Jiēdào</t>
  </si>
  <si>
    <t>和睦街道</t>
  </si>
  <si>
    <t>Héngcūn Zhèn</t>
  </si>
  <si>
    <t>横村镇</t>
  </si>
  <si>
    <t>Hénglù Xiāng</t>
  </si>
  <si>
    <t>横路乡</t>
  </si>
  <si>
    <t>Héqiáo Zhèn</t>
  </si>
  <si>
    <t>河桥镇</t>
  </si>
  <si>
    <t>Héshàng Zhèn</t>
  </si>
  <si>
    <t>河上镇</t>
  </si>
  <si>
    <t>Hézhuāng Jiēdào</t>
  </si>
  <si>
    <t>河庄街道</t>
  </si>
  <si>
    <t>Huánghú Zhèn</t>
  </si>
  <si>
    <t>黄湖镇</t>
  </si>
  <si>
    <t>Huánshān Xiāng</t>
  </si>
  <si>
    <t>环山乡</t>
  </si>
  <si>
    <t>Húbīn Jiēdào</t>
  </si>
  <si>
    <t>湖滨街道</t>
  </si>
  <si>
    <t>Húshù Jiēdào</t>
  </si>
  <si>
    <t>湖墅街道</t>
  </si>
  <si>
    <t>Húyuán Xiāng</t>
  </si>
  <si>
    <t>湖源乡</t>
  </si>
  <si>
    <t>Jiăngcūn Jiēdào</t>
  </si>
  <si>
    <t>蒋村街道</t>
  </si>
  <si>
    <t>Jiāngjiā Zhèn</t>
  </si>
  <si>
    <t>姜家镇</t>
  </si>
  <si>
    <t>Jiāngnán Zhèn</t>
  </si>
  <si>
    <t>江南镇</t>
  </si>
  <si>
    <t>Jiănqiáo Jiēdào</t>
  </si>
  <si>
    <t>笕桥街道</t>
  </si>
  <si>
    <t>Jièshŏu Xiāng</t>
  </si>
  <si>
    <t>界首乡</t>
  </si>
  <si>
    <t>Jĭnchéng Jiēdào</t>
  </si>
  <si>
    <t>锦城街道</t>
  </si>
  <si>
    <t>Jīnfēng Xiāng</t>
  </si>
  <si>
    <t>金峰乡</t>
  </si>
  <si>
    <t>Jìngjiāng Jiēdào</t>
  </si>
  <si>
    <t>靖江街道</t>
  </si>
  <si>
    <t>Jìngshān Zhèn</t>
  </si>
  <si>
    <t>径山镇</t>
  </si>
  <si>
    <t>Jìnhuà Zhèn</t>
  </si>
  <si>
    <t>进化镇</t>
  </si>
  <si>
    <t>Jĭnnán Jiēdào</t>
  </si>
  <si>
    <t>锦南街道</t>
  </si>
  <si>
    <t>Jiŭbăo Jiēdào</t>
  </si>
  <si>
    <t>九堡街道</t>
  </si>
  <si>
    <t>Jiūkēng Xiāng</t>
  </si>
  <si>
    <t>鸠坑乡</t>
  </si>
  <si>
    <t>Jiùxiàn Jiēdào</t>
  </si>
  <si>
    <t>旧县街道</t>
  </si>
  <si>
    <t>Kăixuán Jiēdào</t>
  </si>
  <si>
    <t>凯旋街道</t>
  </si>
  <si>
    <t>Kāngqiáo Jiēdào</t>
  </si>
  <si>
    <t>康桥街道</t>
  </si>
  <si>
    <t>Làngchuān Xiāng</t>
  </si>
  <si>
    <t>浪川乡</t>
  </si>
  <si>
    <t>Liángzhŭ Jiēdào</t>
  </si>
  <si>
    <t>良渚街道</t>
  </si>
  <si>
    <t>Liánhuā Zhèn</t>
  </si>
  <si>
    <t>莲花镇</t>
  </si>
  <si>
    <t>Lĭjiā Zhèn</t>
  </si>
  <si>
    <t>李家镇</t>
  </si>
  <si>
    <t>Línglóng Jiēdào</t>
  </si>
  <si>
    <t>玲珑街道</t>
  </si>
  <si>
    <t>Língqiáo Zhèn</t>
  </si>
  <si>
    <t>灵桥镇</t>
  </si>
  <si>
    <t>Língyĭn Jiēdào</t>
  </si>
  <si>
    <t>灵隐街道</t>
  </si>
  <si>
    <t>Línjiāng Jiēdào</t>
  </si>
  <si>
    <t>临江街道</t>
  </si>
  <si>
    <t>Línpíng Jiēdào</t>
  </si>
  <si>
    <t>临平街道</t>
  </si>
  <si>
    <t>Línpŭ Zhèn</t>
  </si>
  <si>
    <t>临浦镇</t>
  </si>
  <si>
    <t>Línqí Zhèn</t>
  </si>
  <si>
    <t>临岐镇</t>
  </si>
  <si>
    <t>Lĭshāng Xiāng</t>
  </si>
  <si>
    <t>里商乡</t>
  </si>
  <si>
    <t>Lĭshān Zhèn</t>
  </si>
  <si>
    <t>里山镇</t>
  </si>
  <si>
    <t>Liúxià Jiēdào</t>
  </si>
  <si>
    <t>留下街道</t>
  </si>
  <si>
    <t>Lónggăng Zhèn</t>
  </si>
  <si>
    <t>龙岗镇</t>
  </si>
  <si>
    <t>Lóngmén Zhèn</t>
  </si>
  <si>
    <t>龙门镇</t>
  </si>
  <si>
    <t>Lóută Zhèn</t>
  </si>
  <si>
    <t>楼塔镇</t>
  </si>
  <si>
    <t>Lúniăo Zhèn</t>
  </si>
  <si>
    <t>鸬鸟镇</t>
  </si>
  <si>
    <t>Lùshān Jiēdào</t>
  </si>
  <si>
    <t>鹿山街道</t>
  </si>
  <si>
    <t>Lùzhŭ Zhèn</t>
  </si>
  <si>
    <t>渌渚镇</t>
  </si>
  <si>
    <t>Măxiào Xiāng</t>
  </si>
  <si>
    <t>马啸乡</t>
  </si>
  <si>
    <t>Méichéng Zhèn</t>
  </si>
  <si>
    <t>梅城镇</t>
  </si>
  <si>
    <t>Mĭshìxiàng Jiēdào</t>
  </si>
  <si>
    <t>米市巷街道</t>
  </si>
  <si>
    <t>Nánxīng Jiēdào</t>
  </si>
  <si>
    <t>南星街道</t>
  </si>
  <si>
    <t>Nányáng Jiēdào</t>
  </si>
  <si>
    <t>南阳街道</t>
  </si>
  <si>
    <t>Nányuàn Jiēdào</t>
  </si>
  <si>
    <t>南苑街道</t>
  </si>
  <si>
    <t>Níngwéi Jiēdào</t>
  </si>
  <si>
    <t>宁围街道</t>
  </si>
  <si>
    <t>Péngbù Jiēdào</t>
  </si>
  <si>
    <t>彭埠街道</t>
  </si>
  <si>
    <t>Píngmén Xiāng</t>
  </si>
  <si>
    <t>屏门乡</t>
  </si>
  <si>
    <t>Píngyáo Zhèn</t>
  </si>
  <si>
    <t>瓶窑镇</t>
  </si>
  <si>
    <t>Pŭyáng Zhèn</t>
  </si>
  <si>
    <t>浦阳镇</t>
  </si>
  <si>
    <t>Pŭyán Jiēdào</t>
  </si>
  <si>
    <t>浦沿街道</t>
  </si>
  <si>
    <t>Qiánchuān Zhèn [incl. Lèpíng Xiāng]</t>
  </si>
  <si>
    <t>潜川镇</t>
  </si>
  <si>
    <t>Qiāndăohú Zhèn</t>
  </si>
  <si>
    <t>千岛湖镇</t>
  </si>
  <si>
    <t>Qiānhóng Xiāng</t>
  </si>
  <si>
    <t>千洪乡</t>
  </si>
  <si>
    <t>Qiánjiāng Jīngjì Kāifāqū Tángnán</t>
  </si>
  <si>
    <t>钱江经济开发区塘南办事处</t>
  </si>
  <si>
    <t>Township-like Area</t>
  </si>
  <si>
    <t>Qiánjìn Jiēdào</t>
  </si>
  <si>
    <t>前进街道</t>
  </si>
  <si>
    <t>Qiántán Zhèn</t>
  </si>
  <si>
    <t>乾潭镇</t>
  </si>
  <si>
    <t>Qiáosī Jiēdào</t>
  </si>
  <si>
    <t>乔司街道</t>
  </si>
  <si>
    <t>Qīngbō Jiēdào</t>
  </si>
  <si>
    <t>清波街道</t>
  </si>
  <si>
    <t>Qīngliángfēng Zhèn</t>
  </si>
  <si>
    <t>清凉峰镇</t>
  </si>
  <si>
    <t>Qīngshānhú Jiēdào [incl. Héngfàn Zhèn]</t>
  </si>
  <si>
    <t>青山湖街道</t>
  </si>
  <si>
    <t>Qīntáng Xiāng</t>
  </si>
  <si>
    <t>钦堂乡</t>
  </si>
  <si>
    <t>Rénhé Jiēdào</t>
  </si>
  <si>
    <t>仁和街道</t>
  </si>
  <si>
    <t>Sāndūn Zhèn</t>
  </si>
  <si>
    <t>三墩镇</t>
  </si>
  <si>
    <t>Sāndū Zhèn</t>
  </si>
  <si>
    <t>三都镇</t>
  </si>
  <si>
    <t>Shàngguān Xiāng</t>
  </si>
  <si>
    <t>上官乡</t>
  </si>
  <si>
    <t>Shàngtáng Jiēdào</t>
  </si>
  <si>
    <t>上塘街道</t>
  </si>
  <si>
    <t>Shílín Zhèn</t>
  </si>
  <si>
    <t>石林镇</t>
  </si>
  <si>
    <t>Shíqiáo Jiēdào</t>
  </si>
  <si>
    <t>石桥街道</t>
  </si>
  <si>
    <t>Shòuchāng Zhèn</t>
  </si>
  <si>
    <t>寿昌镇</t>
  </si>
  <si>
    <t>Shuāngpŭ Zhèn</t>
  </si>
  <si>
    <t>双浦镇</t>
  </si>
  <si>
    <t>Shŭshān Jiēdào</t>
  </si>
  <si>
    <t>蜀山街道</t>
  </si>
  <si>
    <t>Sìjìqīng Jiēdào</t>
  </si>
  <si>
    <t>四季青街道</t>
  </si>
  <si>
    <t>Sòngcūn Xiāng</t>
  </si>
  <si>
    <t>宋村乡</t>
  </si>
  <si>
    <t>Suŏqián Zhèn</t>
  </si>
  <si>
    <t>所前镇</t>
  </si>
  <si>
    <t>Tàihúyuán Zhèn</t>
  </si>
  <si>
    <t>太湖源镇</t>
  </si>
  <si>
    <t>Tàiyáng Zhèn</t>
  </si>
  <si>
    <t>太阳镇</t>
  </si>
  <si>
    <t>Tángqī Zhèn</t>
  </si>
  <si>
    <t>塘栖镇</t>
  </si>
  <si>
    <t>Tiānmùshān Zhèn [incl. Zăoxī Zhèn]</t>
  </si>
  <si>
    <t>天目山镇</t>
  </si>
  <si>
    <t>Tiānshuĭ Jiēdào</t>
  </si>
  <si>
    <t>天水街道</t>
  </si>
  <si>
    <t>Tóngjūn Jiēdào [incl. Chéngnán Jiēdào]</t>
  </si>
  <si>
    <t>桐君街道</t>
  </si>
  <si>
    <t>Tuānkŏu Zhèn</t>
  </si>
  <si>
    <t>湍口镇</t>
  </si>
  <si>
    <t>Wángfù Xiāng</t>
  </si>
  <si>
    <t>王阜乡</t>
  </si>
  <si>
    <t>Wàngjiāng Jiēdào</t>
  </si>
  <si>
    <t>望江街道</t>
  </si>
  <si>
    <t>Wànshì Zhèn</t>
  </si>
  <si>
    <t>万市镇</t>
  </si>
  <si>
    <t>Wéikĕnqū</t>
  </si>
  <si>
    <t>围垦区</t>
  </si>
  <si>
    <t>Wēipíng Zhèn</t>
  </si>
  <si>
    <t>威坪镇</t>
  </si>
  <si>
    <t>Wénchāng Zhèn</t>
  </si>
  <si>
    <t>文昌镇</t>
  </si>
  <si>
    <t>Wénhuī Jiēdào</t>
  </si>
  <si>
    <t>文晖街道</t>
  </si>
  <si>
    <t>Wénxīn Jiēdào</t>
  </si>
  <si>
    <t>文新街道</t>
  </si>
  <si>
    <t>Wényàn Jiēdào</t>
  </si>
  <si>
    <t>闻堰街道</t>
  </si>
  <si>
    <t>Wŭcháng Jiēdào</t>
  </si>
  <si>
    <t>五常街道</t>
  </si>
  <si>
    <t>Wŭlín Jiēdào</t>
  </si>
  <si>
    <t>武林街道</t>
  </si>
  <si>
    <t>Wūqián Zhèn</t>
  </si>
  <si>
    <t>於潜镇</t>
  </si>
  <si>
    <t>Xiángfú Jiēdào</t>
  </si>
  <si>
    <t>祥符街道</t>
  </si>
  <si>
    <t>Xiánlín Jiēdào</t>
  </si>
  <si>
    <t>闲林街道</t>
  </si>
  <si>
    <t>Xiăohé Jiēdào</t>
  </si>
  <si>
    <t>小河街道</t>
  </si>
  <si>
    <t>Xiāoshān Jīngjì Jìshù Kāifāqū</t>
  </si>
  <si>
    <t>萧山经济技术开发区</t>
  </si>
  <si>
    <t>Xiāoshān Xiānghú Lǚyóu Dùjiăqū</t>
  </si>
  <si>
    <t>萧山湘湖旅游度假区</t>
  </si>
  <si>
    <t>Xiăoyíng Jiēdào</t>
  </si>
  <si>
    <t>小营街道</t>
  </si>
  <si>
    <t>Xiàshā Jiēdào</t>
  </si>
  <si>
    <t>下沙街道</t>
  </si>
  <si>
    <t>Xiàyá Zhèn</t>
  </si>
  <si>
    <t>下涯镇</t>
  </si>
  <si>
    <t>Xīhú Jiēdào</t>
  </si>
  <si>
    <t>西湖街道</t>
  </si>
  <si>
    <t>Xīn'ānjiāng Jiēdào</t>
  </si>
  <si>
    <t>新安江街道</t>
  </si>
  <si>
    <t>Xīndēng Zhèn</t>
  </si>
  <si>
    <t>新登镇</t>
  </si>
  <si>
    <t>Xīngqiáo Jiēdào</t>
  </si>
  <si>
    <t>星桥街道</t>
  </si>
  <si>
    <t>Xīnhé Xiāng</t>
  </si>
  <si>
    <t>新合乡</t>
  </si>
  <si>
    <t>Xīnjiē Jiēdào</t>
  </si>
  <si>
    <t>新街街道</t>
  </si>
  <si>
    <t>Xīnqiáo Xiāng</t>
  </si>
  <si>
    <t>新桥乡</t>
  </si>
  <si>
    <t>Xīntáng Jiēdào</t>
  </si>
  <si>
    <t>新塘街道</t>
  </si>
  <si>
    <t>Xīntóng Xiāng</t>
  </si>
  <si>
    <t>新桐乡</t>
  </si>
  <si>
    <t>Xīnwān Jiēdào</t>
  </si>
  <si>
    <t>新湾街道</t>
  </si>
  <si>
    <t>Xītiānmù Xiāng</t>
  </si>
  <si>
    <t>西天目乡</t>
  </si>
  <si>
    <t>Xīxī Jiēdào</t>
  </si>
  <si>
    <t>西溪街道</t>
  </si>
  <si>
    <t>Xīxīng Jiēdào</t>
  </si>
  <si>
    <t>西兴街道</t>
  </si>
  <si>
    <t>Xūkŏu Zhèn</t>
  </si>
  <si>
    <t>胥口镇</t>
  </si>
  <si>
    <t>Yángcūnqiáo Zhèn</t>
  </si>
  <si>
    <t>杨村桥镇</t>
  </si>
  <si>
    <t>Yángxī Jiēdào</t>
  </si>
  <si>
    <t>洋溪街道</t>
  </si>
  <si>
    <t>Yáolín Zhèn</t>
  </si>
  <si>
    <t>瑶琳镇</t>
  </si>
  <si>
    <t>Yáoshān Xiāng</t>
  </si>
  <si>
    <t>瑶山乡</t>
  </si>
  <si>
    <t>Yáqián Zhèn</t>
  </si>
  <si>
    <t>衙前镇</t>
  </si>
  <si>
    <t>Yínhú Jiēdào [incl. Gāoqiáo Zhèn, Shòujiàng Zhèn]</t>
  </si>
  <si>
    <t>银湖街道</t>
  </si>
  <si>
    <t>Yìnóng Zhèn</t>
  </si>
  <si>
    <t>益农镇</t>
  </si>
  <si>
    <t>Yìpéng Jiēdào</t>
  </si>
  <si>
    <t>义蓬街道</t>
  </si>
  <si>
    <t>Yìqiáo Zhèn</t>
  </si>
  <si>
    <t>义桥镇</t>
  </si>
  <si>
    <t>Yŏngchāng Zhèn</t>
  </si>
  <si>
    <t>永昌镇</t>
  </si>
  <si>
    <t>Yúháng Jiēdào</t>
  </si>
  <si>
    <t>余杭街道</t>
  </si>
  <si>
    <t>Yúháng Jīngjì Kāifāqū Jiēdào</t>
  </si>
  <si>
    <t>余杭经济开发区</t>
  </si>
  <si>
    <t>Yùnhé Jiēdào</t>
  </si>
  <si>
    <t>运河街道</t>
  </si>
  <si>
    <t>Yúshān Xiāng</t>
  </si>
  <si>
    <t>渔山乡</t>
  </si>
  <si>
    <t>Zhánòngkŏu Jiēdào</t>
  </si>
  <si>
    <t>闸弄口街道</t>
  </si>
  <si>
    <t>Zhōngshān Xiāng</t>
  </si>
  <si>
    <t>钟山乡</t>
  </si>
  <si>
    <t>Zhōngtài Jiēdào</t>
  </si>
  <si>
    <t>中泰街道</t>
  </si>
  <si>
    <t>Zhōngzhōu Zhèn</t>
  </si>
  <si>
    <t>中洲镇</t>
  </si>
  <si>
    <t>Zhuăntáng Jiēdào</t>
  </si>
  <si>
    <t>转塘街道</t>
  </si>
  <si>
    <t>Zĭtóng Zhèn</t>
  </si>
  <si>
    <t>梓桐镇</t>
  </si>
  <si>
    <t>Zĭyáng Jiēdào</t>
  </si>
  <si>
    <t>紫阳街道</t>
  </si>
  <si>
    <t>Zuŏkŏu Xiāng</t>
  </si>
  <si>
    <t>左口乡</t>
  </si>
  <si>
    <t>Àishān Jiēdào</t>
  </si>
  <si>
    <t>爱山街道</t>
  </si>
  <si>
    <t>Wúxīng Qū</t>
  </si>
  <si>
    <t>Bālĭdiàn Zhèn</t>
  </si>
  <si>
    <t>八里店镇</t>
  </si>
  <si>
    <t>Bàofú Zhèn</t>
  </si>
  <si>
    <t>报福镇</t>
  </si>
  <si>
    <t>Ānjí Xiàn</t>
  </si>
  <si>
    <t>Bīnhú Jiēdào</t>
  </si>
  <si>
    <t>滨湖街道</t>
  </si>
  <si>
    <t>Cháoyáng Jiēdào</t>
  </si>
  <si>
    <t>朝阳街道</t>
  </si>
  <si>
    <t>Dàixī Zhèn</t>
  </si>
  <si>
    <t>埭溪镇</t>
  </si>
  <si>
    <t>Dàochăng Xiāng</t>
  </si>
  <si>
    <t>道场乡</t>
  </si>
  <si>
    <t>Déqīng Jīngjì Kāifāqū</t>
  </si>
  <si>
    <t>德清经济开发区</t>
  </si>
  <si>
    <t>Déqīng Xiàn</t>
  </si>
  <si>
    <t>Dìpū Jiēdào</t>
  </si>
  <si>
    <t>递铺街道</t>
  </si>
  <si>
    <t>Dōnglín Zhèn</t>
  </si>
  <si>
    <t>东林镇</t>
  </si>
  <si>
    <t>Fēiyīng Jiēdào</t>
  </si>
  <si>
    <t>飞英街道</t>
  </si>
  <si>
    <t>Fènghuáng Jiēdào</t>
  </si>
  <si>
    <t>凤凰街道</t>
  </si>
  <si>
    <t>Hánggāi Zhèn</t>
  </si>
  <si>
    <t>杭垓镇</t>
  </si>
  <si>
    <t>Héfú Zhèn</t>
  </si>
  <si>
    <t>和孚镇</t>
  </si>
  <si>
    <t>Nánxún Qū</t>
  </si>
  <si>
    <t>Hépíng Zhèn [incl. Wúshān Xiāng]</t>
  </si>
  <si>
    <t>和平镇</t>
  </si>
  <si>
    <t>Chángxīng Xiàn</t>
  </si>
  <si>
    <t>Hóngqiáo Zhèn</t>
  </si>
  <si>
    <t>洪桥镇</t>
  </si>
  <si>
    <t>Hóngxīngqiáo Zhèn</t>
  </si>
  <si>
    <t>虹星桥镇</t>
  </si>
  <si>
    <t>Huánzhŭ Jiēdào</t>
  </si>
  <si>
    <t>环渚街道</t>
  </si>
  <si>
    <t>Jiāpŭ Zhèn</t>
  </si>
  <si>
    <t>夹浦镇</t>
  </si>
  <si>
    <t>Jiùguăn Zhèn</t>
  </si>
  <si>
    <t>旧馆镇</t>
  </si>
  <si>
    <t>Kāifāqū</t>
  </si>
  <si>
    <t>开发区</t>
  </si>
  <si>
    <t>Kāngshān Jiēdào</t>
  </si>
  <si>
    <t>康山街道</t>
  </si>
  <si>
    <t>Léidiàn Zhèn</t>
  </si>
  <si>
    <t>雷甸镇</t>
  </si>
  <si>
    <t>Liànshì Zhèn</t>
  </si>
  <si>
    <t>练市镇</t>
  </si>
  <si>
    <t>Lĭjiāxiàng Zhèn</t>
  </si>
  <si>
    <t>李家巷镇</t>
  </si>
  <si>
    <t>Línchéng Zhèn</t>
  </si>
  <si>
    <t>林城镇</t>
  </si>
  <si>
    <t>Línghú Zhèn</t>
  </si>
  <si>
    <t>菱湖镇</t>
  </si>
  <si>
    <t>Lóngquán Jiēdào</t>
  </si>
  <si>
    <t>龙泉街道</t>
  </si>
  <si>
    <t>Luòshè Zhèn</t>
  </si>
  <si>
    <t>洛舍镇</t>
  </si>
  <si>
    <t>Lǚshān Xiāng</t>
  </si>
  <si>
    <t>吕山乡</t>
  </si>
  <si>
    <t>Méishān Zhèn [incl. Báixiàn Xiāng, Huáikăn Xiāng]</t>
  </si>
  <si>
    <t>煤山镇</t>
  </si>
  <si>
    <t>Méixī Zhèn [incl. Kūntóng Xiāng]</t>
  </si>
  <si>
    <t>梅溪镇</t>
  </si>
  <si>
    <t>Miàoxī Zhèn</t>
  </si>
  <si>
    <t>妙西镇</t>
  </si>
  <si>
    <t>Mògānshān Zhèn [incl. Fátóu Xiāng]</t>
  </si>
  <si>
    <t>莫干山镇</t>
  </si>
  <si>
    <t>Nánxún Zhèn</t>
  </si>
  <si>
    <t>南浔镇</t>
  </si>
  <si>
    <t>Qiānjīn Zhèn</t>
  </si>
  <si>
    <t>千金镇</t>
  </si>
  <si>
    <t>Qiányuán Zhèn</t>
  </si>
  <si>
    <t>乾元镇</t>
  </si>
  <si>
    <t>Rénhuángshān Jiēdào</t>
  </si>
  <si>
    <t>仁皇山街道</t>
  </si>
  <si>
    <t>Shānchuān Xiāng</t>
  </si>
  <si>
    <t>山川乡</t>
  </si>
  <si>
    <t>Shàngshù Xiāng</t>
  </si>
  <si>
    <t>上墅乡</t>
  </si>
  <si>
    <t>Shànliăn Zhèn</t>
  </si>
  <si>
    <t>善琏镇</t>
  </si>
  <si>
    <t>Shícóng Zhèn</t>
  </si>
  <si>
    <t>石淙镇</t>
  </si>
  <si>
    <t>Shuānglín Zhèn</t>
  </si>
  <si>
    <t>双林镇</t>
  </si>
  <si>
    <t>Shuĭkŏu Xiāng</t>
  </si>
  <si>
    <t>水口乡</t>
  </si>
  <si>
    <t>Sì'ān Zhèn [incl. Èrjièlĭng Xiāng]</t>
  </si>
  <si>
    <t>泗安镇</t>
  </si>
  <si>
    <t>Tiānhuāngpíng Zhèn</t>
  </si>
  <si>
    <t>天荒坪镇</t>
  </si>
  <si>
    <t>Tiānzǐhú Zhèn [incl. Liángpéng Zhèn, Gāoyŭ Zhèn]</t>
  </si>
  <si>
    <t>天子湖镇</t>
  </si>
  <si>
    <t>Wŭkāng Jiēdào</t>
  </si>
  <si>
    <t>武康街道</t>
  </si>
  <si>
    <t>Xiàofēng Zhèn</t>
  </si>
  <si>
    <t>孝丰镇</t>
  </si>
  <si>
    <t>Xiăopŭ Zhèn</t>
  </si>
  <si>
    <t>小浦镇</t>
  </si>
  <si>
    <t>Xiàoyuán Jiēdào [Guīshān Xiāng]</t>
  </si>
  <si>
    <t>孝源街道</t>
  </si>
  <si>
    <t>Xiàzhǔhú Jiēdào [Sānhé Xiāng]</t>
  </si>
  <si>
    <t>下渚湖街道</t>
  </si>
  <si>
    <t>Xīlóng Xiāng</t>
  </si>
  <si>
    <t>溪龙乡</t>
  </si>
  <si>
    <t>Xīn'ān Zhèn</t>
  </si>
  <si>
    <t>新安镇</t>
  </si>
  <si>
    <t>Xīnshì Zhèn</t>
  </si>
  <si>
    <t>新市镇</t>
  </si>
  <si>
    <t>Yángjiābù Jiēdào [incl. Lóngxī Jiēdào]</t>
  </si>
  <si>
    <t>杨家埠街道</t>
  </si>
  <si>
    <t>Yuèhé Jiēdào</t>
  </si>
  <si>
    <t>月河街道</t>
  </si>
  <si>
    <t>Yŭyuè Zhèn</t>
  </si>
  <si>
    <t>禹越镇</t>
  </si>
  <si>
    <t>Zhāngcūn Zhèn</t>
  </si>
  <si>
    <t>章村镇</t>
  </si>
  <si>
    <t>Zhāngwú Zhèn</t>
  </si>
  <si>
    <t>鄣吴镇</t>
  </si>
  <si>
    <t>Zhìchéng Jiēdào [incl. Huàxī Jiēdào, Tàihú Jiēdào]</t>
  </si>
  <si>
    <t>雉城街道</t>
  </si>
  <si>
    <t>Zhīlĭ Zhèn</t>
  </si>
  <si>
    <t>织里镇</t>
  </si>
  <si>
    <t>Zhōngguăn Zhèn</t>
  </si>
  <si>
    <t>钟管镇</t>
  </si>
  <si>
    <t>Băibù Zhèn</t>
  </si>
  <si>
    <t>百步镇</t>
  </si>
  <si>
    <t>Hăiyán Xiàn</t>
  </si>
  <si>
    <t>Cáoqiáo Jiēdào</t>
  </si>
  <si>
    <t>曹桥街道</t>
  </si>
  <si>
    <t>Pínghú Shì</t>
  </si>
  <si>
    <t>长安镇</t>
  </si>
  <si>
    <t>Hăiníng Shì</t>
  </si>
  <si>
    <t>Chángshuĭ Jiēdào [in: Jiāxīng Economic and Technological Development Zone]</t>
  </si>
  <si>
    <t>长水街道</t>
  </si>
  <si>
    <t>Nánhú Qū</t>
  </si>
  <si>
    <t>Chéngnán Jiēdào [in: Jiāxīng Economic and Technological Development Zone]</t>
  </si>
  <si>
    <t>城南街道</t>
  </si>
  <si>
    <t>Chóngfú Zhèn</t>
  </si>
  <si>
    <t>崇福镇</t>
  </si>
  <si>
    <t>Tóngxiāng Shì</t>
  </si>
  <si>
    <t>Dàmá Zhèn</t>
  </si>
  <si>
    <t>大麻镇</t>
  </si>
  <si>
    <t>Dānghú Jiēdào</t>
  </si>
  <si>
    <t>当湖街道</t>
  </si>
  <si>
    <t>Dàqiáo Zhèn</t>
  </si>
  <si>
    <t>大桥镇</t>
  </si>
  <si>
    <t>Dàyún Zhèn</t>
  </si>
  <si>
    <t>大云镇</t>
  </si>
  <si>
    <t>Jiāshàn Xiàn</t>
  </si>
  <si>
    <t>Dīngqiáo Zhèn</t>
  </si>
  <si>
    <t>丁桥镇</t>
  </si>
  <si>
    <t>Dōngzhà Jiēdào</t>
  </si>
  <si>
    <t>东栅街道</t>
  </si>
  <si>
    <t>Dúshāngăng Zhèn</t>
  </si>
  <si>
    <t>独山港镇</t>
  </si>
  <si>
    <t>Fèngmíng Jiēdào</t>
  </si>
  <si>
    <t>凤鸣街道</t>
  </si>
  <si>
    <t>Fèngqiáo Zhèn</t>
  </si>
  <si>
    <t>凤桥镇</t>
  </si>
  <si>
    <t>Gănpŭ Zhèn</t>
  </si>
  <si>
    <t>澉浦镇</t>
  </si>
  <si>
    <t>Gānyáo Zhèn</t>
  </si>
  <si>
    <t>干窑镇</t>
  </si>
  <si>
    <t>Gāoqiáo Jiēdào</t>
  </si>
  <si>
    <t>高桥街道</t>
  </si>
  <si>
    <t>Gāozhào Jiēdào</t>
  </si>
  <si>
    <t>高照街道</t>
  </si>
  <si>
    <t>Xiùzhōu Qū</t>
  </si>
  <si>
    <t>Guăngchén Zhèn</t>
  </si>
  <si>
    <t>广陈镇</t>
  </si>
  <si>
    <t>Hăichāng Jiēdào</t>
  </si>
  <si>
    <t>海昌街道</t>
  </si>
  <si>
    <t>Hăizhōu Jiēdào</t>
  </si>
  <si>
    <t>海洲街道</t>
  </si>
  <si>
    <t>Héshān Zhèn</t>
  </si>
  <si>
    <t>河山镇</t>
  </si>
  <si>
    <t>Hónghé Zhèn</t>
  </si>
  <si>
    <t>洪合镇</t>
  </si>
  <si>
    <t>Huángwān Zhèn</t>
  </si>
  <si>
    <t>黄湾镇</t>
  </si>
  <si>
    <t>Huìmín Jiēdào</t>
  </si>
  <si>
    <t>惠民街道</t>
  </si>
  <si>
    <t>Jiābĕi Jiēdào [in: Jiāxīng Economic and Technological Development Zone]</t>
  </si>
  <si>
    <t>嘉北街道</t>
  </si>
  <si>
    <t>Jiānshān Xīnqū</t>
  </si>
  <si>
    <t>尖山新区</t>
  </si>
  <si>
    <t>Jiànshè Jiēdào</t>
  </si>
  <si>
    <t>建设街道</t>
  </si>
  <si>
    <t>Jiĕfàng Jiēdào</t>
  </si>
  <si>
    <t>解放街道</t>
  </si>
  <si>
    <t>Líndài Zhèn</t>
  </si>
  <si>
    <t>林埭镇</t>
  </si>
  <si>
    <t>Luóxīng Jiēdào</t>
  </si>
  <si>
    <t>罗星街道</t>
  </si>
  <si>
    <t>Măqiáo Jiēdào</t>
  </si>
  <si>
    <t>马桥街道</t>
  </si>
  <si>
    <t>Nánhú Jiēdào</t>
  </si>
  <si>
    <t>南湖街道</t>
  </si>
  <si>
    <t>Púyuàn Zhèn</t>
  </si>
  <si>
    <t>濮院镇</t>
  </si>
  <si>
    <t>Qínshān Jiēdào</t>
  </si>
  <si>
    <t>秦山街道</t>
  </si>
  <si>
    <t>Qīxīng Jiēdào</t>
  </si>
  <si>
    <t>七星街道</t>
  </si>
  <si>
    <t>Shĕndàng Zhèn</t>
  </si>
  <si>
    <t>沈荡镇</t>
  </si>
  <si>
    <t>Shímén Zhèn</t>
  </si>
  <si>
    <t>石门镇</t>
  </si>
  <si>
    <t>Tánghuì Jiēdào [in: Jiāxīng Economic and Technological Development Zone]</t>
  </si>
  <si>
    <t>塘汇街道</t>
  </si>
  <si>
    <t>Táozhuāng Zhèn</t>
  </si>
  <si>
    <t>陶庄镇</t>
  </si>
  <si>
    <t>Tiānníng Zhèn</t>
  </si>
  <si>
    <t>天凝镇</t>
  </si>
  <si>
    <t>Tōngyuán Zhèn</t>
  </si>
  <si>
    <t>通元镇</t>
  </si>
  <si>
    <t>Túdiàn Zhèn</t>
  </si>
  <si>
    <t>屠甸镇</t>
  </si>
  <si>
    <t>Wángdiàn Zhèn</t>
  </si>
  <si>
    <t>王店镇</t>
  </si>
  <si>
    <t>Wángjiāngjīng Zhèn</t>
  </si>
  <si>
    <t>王江泾镇</t>
  </si>
  <si>
    <t>Wèitáng Jiēdào</t>
  </si>
  <si>
    <t>魏塘街道</t>
  </si>
  <si>
    <t>Wútóng Jiēdào</t>
  </si>
  <si>
    <t>梧桐街道</t>
  </si>
  <si>
    <t>Wŭyuán Jiēdào [incl. Wànghǎi Jiēdào]</t>
  </si>
  <si>
    <t>武原街道</t>
  </si>
  <si>
    <t>Wūzhèn Zhèn [incl. Lóngxiáng Jiēdào]</t>
  </si>
  <si>
    <t>乌镇镇</t>
  </si>
  <si>
    <t>Xiáshí Jiēdào</t>
  </si>
  <si>
    <t>硖石街道</t>
  </si>
  <si>
    <t>Xiéqiáo Zhèn</t>
  </si>
  <si>
    <t>斜桥镇</t>
  </si>
  <si>
    <t>Xīncāng Zhèn</t>
  </si>
  <si>
    <t>新仓镇</t>
  </si>
  <si>
    <t>Xīnchéng Jiēdào</t>
  </si>
  <si>
    <t>新城街道</t>
  </si>
  <si>
    <t>Xīnchéng Zhèn</t>
  </si>
  <si>
    <t>新塍镇</t>
  </si>
  <si>
    <t>Xīndài Zhèn</t>
  </si>
  <si>
    <t>新埭镇</t>
  </si>
  <si>
    <t>Xīnfēng Zhèn</t>
  </si>
  <si>
    <t>新丰镇</t>
  </si>
  <si>
    <t>Xīnjiā Jiēdào</t>
  </si>
  <si>
    <t>新嘉街道</t>
  </si>
  <si>
    <t>Xīnxīng Jiēdào</t>
  </si>
  <si>
    <t>新兴街道</t>
  </si>
  <si>
    <t>Xītángqiáo Jiēdào</t>
  </si>
  <si>
    <t>西塘桥街道</t>
  </si>
  <si>
    <t>Xītáng Zhèn</t>
  </si>
  <si>
    <t>西塘镇</t>
  </si>
  <si>
    <t>Xŭcūn Zhèn</t>
  </si>
  <si>
    <t>许村镇</t>
  </si>
  <si>
    <t>Yánguān Zhèn</t>
  </si>
  <si>
    <t>盐官镇</t>
  </si>
  <si>
    <t>Yáozhuāng Zhèn</t>
  </si>
  <si>
    <t>姚庄镇</t>
  </si>
  <si>
    <t>Yóuchēgăng Zhèn</t>
  </si>
  <si>
    <t>油车港镇</t>
  </si>
  <si>
    <t>Yuánhuā Zhèn</t>
  </si>
  <si>
    <t>袁花镇</t>
  </si>
  <si>
    <t>Yúchéng Zhèn</t>
  </si>
  <si>
    <t>于城镇</t>
  </si>
  <si>
    <t>Yúxīn Zhèn</t>
  </si>
  <si>
    <t>余新镇</t>
  </si>
  <si>
    <t>Zhàpŭ Zhèn</t>
  </si>
  <si>
    <t>乍浦镇</t>
  </si>
  <si>
    <t>Zhōngdài Jiēdào</t>
  </si>
  <si>
    <t>钟埭街道</t>
  </si>
  <si>
    <t>Zhōuquán Zhèn</t>
  </si>
  <si>
    <t>洲泉镇</t>
  </si>
  <si>
    <t>Zhōuwángmiào Zhèn</t>
  </si>
  <si>
    <t>周王庙镇</t>
  </si>
  <si>
    <t>Āndì Zhèn</t>
  </si>
  <si>
    <t>安地镇</t>
  </si>
  <si>
    <t>Wùchéng Qū</t>
  </si>
  <si>
    <t>Ānwén Jiēdào</t>
  </si>
  <si>
    <t>安文街道</t>
  </si>
  <si>
    <t>Pán'ān Xiàn</t>
  </si>
  <si>
    <t>Báilóngqiáo Zhèn</t>
  </si>
  <si>
    <t>白龙桥镇</t>
  </si>
  <si>
    <t>Báimă Zhèn</t>
  </si>
  <si>
    <t>白马镇</t>
  </si>
  <si>
    <t>Pŭjiāng Xiàn</t>
  </si>
  <si>
    <t>Báimŭ Xiāng</t>
  </si>
  <si>
    <t>白姆乡</t>
  </si>
  <si>
    <t>Wŭyì Xiàn</t>
  </si>
  <si>
    <t>Bǎishè Xiāng</t>
  </si>
  <si>
    <t>柏社乡</t>
  </si>
  <si>
    <t>Lánxī Shì</t>
  </si>
  <si>
    <t>白洋街道</t>
  </si>
  <si>
    <t>Báiyún Jiēdào</t>
  </si>
  <si>
    <t>白云街道</t>
  </si>
  <si>
    <t>Dōngyáng Shì</t>
  </si>
  <si>
    <t>Bĕiyuàn Jiēdào</t>
  </si>
  <si>
    <t>北苑街道</t>
  </si>
  <si>
    <t>Yìwū Shì</t>
  </si>
  <si>
    <t>Cáozhái Zhèn</t>
  </si>
  <si>
    <t>曹宅镇</t>
  </si>
  <si>
    <t>Jīndōng Qū</t>
  </si>
  <si>
    <t>Chángshān Xiāng</t>
  </si>
  <si>
    <t>长山乡</t>
  </si>
  <si>
    <t>Chéngbĕi Jiēdào</t>
  </si>
  <si>
    <t>城北街道</t>
  </si>
  <si>
    <t>Chéngdōng Jiēdào</t>
  </si>
  <si>
    <t>城东街道</t>
  </si>
  <si>
    <t>Chéngxī Jiēdào</t>
  </si>
  <si>
    <t>城西街道</t>
  </si>
  <si>
    <t>Chéngzhōng Jiēdào</t>
  </si>
  <si>
    <t>城中街道</t>
  </si>
  <si>
    <t>Chì'àn Zhèn</t>
  </si>
  <si>
    <t>赤岸镇</t>
  </si>
  <si>
    <t>Chìsōng Zhèn</t>
  </si>
  <si>
    <t>赤松镇</t>
  </si>
  <si>
    <t>Chìxī Jiēdào</t>
  </si>
  <si>
    <t>赤溪街道</t>
  </si>
  <si>
    <t>Chóuchéng Jiēdào</t>
  </si>
  <si>
    <t>稠城街道</t>
  </si>
  <si>
    <t>Chóujiāng Jiēdào</t>
  </si>
  <si>
    <t>稠江街道</t>
  </si>
  <si>
    <t>Dàchén Zhèn</t>
  </si>
  <si>
    <t>大陈镇</t>
  </si>
  <si>
    <t>Dàfàn Xiāng</t>
  </si>
  <si>
    <t>大畈乡</t>
  </si>
  <si>
    <t>Dàpán Zhèn</t>
  </si>
  <si>
    <t>大盘镇</t>
  </si>
  <si>
    <t>Dàtián Xiāng</t>
  </si>
  <si>
    <t>大田乡</t>
  </si>
  <si>
    <t>Dàxīkŏu Xiāng</t>
  </si>
  <si>
    <t>大溪口乡</t>
  </si>
  <si>
    <t>Dōngchéng Jiēdào</t>
  </si>
  <si>
    <t>东城街道</t>
  </si>
  <si>
    <t>Yŏngkāng Shì</t>
  </si>
  <si>
    <t>Dōngxiào Jiēdào</t>
  </si>
  <si>
    <t>东孝街道</t>
  </si>
  <si>
    <t>Dōngyángjiāng Zhèn</t>
  </si>
  <si>
    <t>东阳江镇</t>
  </si>
  <si>
    <t>Duōhú Jiēdào</t>
  </si>
  <si>
    <t>多湖街道</t>
  </si>
  <si>
    <t>Fāngqián Zhèn</t>
  </si>
  <si>
    <t>方前镇</t>
  </si>
  <si>
    <t>Fāngyán Zhèn</t>
  </si>
  <si>
    <t>方岩镇</t>
  </si>
  <si>
    <t>Fótáng Zhèn</t>
  </si>
  <si>
    <t>佛堂镇</t>
  </si>
  <si>
    <t>Fùcūn Zhèn</t>
  </si>
  <si>
    <t>傅村镇</t>
  </si>
  <si>
    <t>Gēshān Zhèn</t>
  </si>
  <si>
    <t>歌山镇</t>
  </si>
  <si>
    <t>Gŭshān Zhèn</t>
  </si>
  <si>
    <t>古山镇</t>
  </si>
  <si>
    <t>Hángpíng Zhèn</t>
  </si>
  <si>
    <t>杭坪镇</t>
  </si>
  <si>
    <t>Héngdiàn Zhèn</t>
  </si>
  <si>
    <t>横店镇</t>
  </si>
  <si>
    <t>Héngxī Zhèn</t>
  </si>
  <si>
    <t>横溪镇</t>
  </si>
  <si>
    <t>Hòuzhái Jiēdào</t>
  </si>
  <si>
    <t>后宅街道</t>
  </si>
  <si>
    <t>Huājiē Zhèn</t>
  </si>
  <si>
    <t>花街镇</t>
  </si>
  <si>
    <t>Huángdiàn Zhèn</t>
  </si>
  <si>
    <t>黄店镇</t>
  </si>
  <si>
    <t>Huángzhái Zhèn</t>
  </si>
  <si>
    <t>黄宅镇</t>
  </si>
  <si>
    <t>Huāqiáo Xiāng</t>
  </si>
  <si>
    <t>花桥乡</t>
  </si>
  <si>
    <t>Huàshuĭ Zhèn</t>
  </si>
  <si>
    <t>画水镇</t>
  </si>
  <si>
    <t>Hŭlù Zhèn</t>
  </si>
  <si>
    <t>虎鹿镇</t>
  </si>
  <si>
    <t>Húshān Jiēdào</t>
  </si>
  <si>
    <t>壶山街道</t>
  </si>
  <si>
    <t>Húxī Zhèn</t>
  </si>
  <si>
    <t>湖溪镇</t>
  </si>
  <si>
    <t>Jiāngbĕi Jiēdào</t>
  </si>
  <si>
    <t>江北街道</t>
  </si>
  <si>
    <t>Jiāngdōng Jiēdào</t>
  </si>
  <si>
    <t>江东街道</t>
  </si>
  <si>
    <t>Jiāngdōng Zhèn</t>
  </si>
  <si>
    <t>江东镇</t>
  </si>
  <si>
    <t>Jiāngnán Jiēdào</t>
  </si>
  <si>
    <t>江南街道</t>
  </si>
  <si>
    <t>Jiăngtáng Zhèn</t>
  </si>
  <si>
    <t>蒋堂镇</t>
  </si>
  <si>
    <t>Jiānshān Zhèn [incl. Húzhái Xiāng, Wàncāng Xiāng]</t>
  </si>
  <si>
    <t>尖山镇</t>
  </si>
  <si>
    <t>Jiāodào Zhèn</t>
  </si>
  <si>
    <t>茭道镇</t>
  </si>
  <si>
    <t>Jiŭhé Xiāng</t>
  </si>
  <si>
    <t>九和乡</t>
  </si>
  <si>
    <t>Lángyá Zhèn</t>
  </si>
  <si>
    <t>琅琊镇</t>
  </si>
  <si>
    <t>Lánjiāng Jiēdào</t>
  </si>
  <si>
    <t>兰江街道</t>
  </si>
  <si>
    <t>Lĕngshuĭ Zhèn</t>
  </si>
  <si>
    <t>冷水镇</t>
  </si>
  <si>
    <t>Língdòng Xiāng</t>
  </si>
  <si>
    <t>灵洞乡</t>
  </si>
  <si>
    <t>Lĭngshàng Xiāng</t>
  </si>
  <si>
    <t>岭上乡</t>
  </si>
  <si>
    <t>Lĭngxià Zhèn</t>
  </si>
  <si>
    <t>岭下镇</t>
  </si>
  <si>
    <t>Lĭpŭ Zhèn</t>
  </si>
  <si>
    <t>澧浦镇</t>
  </si>
  <si>
    <t>Liŭchéng Shēzú Zhèn</t>
  </si>
  <si>
    <t>柳城畲族镇</t>
  </si>
  <si>
    <t>Liùshí Jiēdào</t>
  </si>
  <si>
    <t>六石街道</t>
  </si>
  <si>
    <t>Lóngshān Zhèn</t>
  </si>
  <si>
    <t>龙山镇</t>
  </si>
  <si>
    <t>Luóbù Zhèn</t>
  </si>
  <si>
    <t>罗埠镇</t>
  </si>
  <si>
    <t>Luódiàn Zhèn</t>
  </si>
  <si>
    <t>罗店镇</t>
  </si>
  <si>
    <t>Lǚtăn Zhèn</t>
  </si>
  <si>
    <t>履坦镇</t>
  </si>
  <si>
    <t>Măjiàn Zhèn</t>
  </si>
  <si>
    <t>马涧镇</t>
  </si>
  <si>
    <t>Măzhái Zhèn</t>
  </si>
  <si>
    <t>马宅镇</t>
  </si>
  <si>
    <t>Méijiāng Zhèn</t>
  </si>
  <si>
    <t>梅江镇</t>
  </si>
  <si>
    <t>Nánmă Zhèn</t>
  </si>
  <si>
    <t>南马镇</t>
  </si>
  <si>
    <t>Nánshì Jiēdào</t>
  </si>
  <si>
    <t>南市街道</t>
  </si>
  <si>
    <t>Niànsānlĭ Jiēdào</t>
  </si>
  <si>
    <t>廿三里街道</t>
  </si>
  <si>
    <t>Nǚbù Jiēdào</t>
  </si>
  <si>
    <t>女埠街道</t>
  </si>
  <si>
    <t>Pánfēng Xiāng [incl. Gāo'èr Xiāng, Wéixīn Xiāng]</t>
  </si>
  <si>
    <t>盘峰乡</t>
  </si>
  <si>
    <t>Pŭnán Jiēdào</t>
  </si>
  <si>
    <t>浦南街道</t>
  </si>
  <si>
    <t>Pŭyáng Jiēdào</t>
  </si>
  <si>
    <t>浦阳街道</t>
  </si>
  <si>
    <t>Qiáncāng Zhèn</t>
  </si>
  <si>
    <t>前仓镇</t>
  </si>
  <si>
    <t>Qiánwú Xiāng</t>
  </si>
  <si>
    <t>前吴乡</t>
  </si>
  <si>
    <t>Qiānxiáng Zhèn</t>
  </si>
  <si>
    <t>千祥镇</t>
  </si>
  <si>
    <t>Qiánxī Xiāng</t>
  </si>
  <si>
    <t>乾西乡</t>
  </si>
  <si>
    <t>Qiūbīn Jiēdào</t>
  </si>
  <si>
    <t>秋滨街道</t>
  </si>
  <si>
    <t>Quánxī Zhèn</t>
  </si>
  <si>
    <t>泉溪镇</t>
  </si>
  <si>
    <t>Rénchuān Zhèn</t>
  </si>
  <si>
    <t>仁川镇</t>
  </si>
  <si>
    <t>Ruòyáng Xiāng</t>
  </si>
  <si>
    <t>箬阳乡</t>
  </si>
  <si>
    <t>Sāndān Xiāng</t>
  </si>
  <si>
    <t>三单乡</t>
  </si>
  <si>
    <t>Sāngăng Xiāng</t>
  </si>
  <si>
    <t>三港乡</t>
  </si>
  <si>
    <t>Sānjiāng Jiēdào</t>
  </si>
  <si>
    <t>三江街道</t>
  </si>
  <si>
    <t>Shāfàn Xiāng</t>
  </si>
  <si>
    <t>沙畈乡</t>
  </si>
  <si>
    <t>Shànghuá Jiēdào</t>
  </si>
  <si>
    <t>上华街道</t>
  </si>
  <si>
    <t>Shànghú Zhèn</t>
  </si>
  <si>
    <t>尚湖镇</t>
  </si>
  <si>
    <t>Shàngxī Zhèn</t>
  </si>
  <si>
    <t>上溪镇</t>
  </si>
  <si>
    <t>Shízhù Zhèn</t>
  </si>
  <si>
    <t>石柱镇</t>
  </si>
  <si>
    <t>Shuāngfēng Xiāng</t>
  </si>
  <si>
    <t>双峰乡</t>
  </si>
  <si>
    <t>Shuāngxī Xiāng</t>
  </si>
  <si>
    <t>双溪乡</t>
  </si>
  <si>
    <t>Shuĭtíng Shēzú Xiāng</t>
  </si>
  <si>
    <t>水亭畲族乡</t>
  </si>
  <si>
    <t>Shúxī Jiēdào</t>
  </si>
  <si>
    <t>熟溪街道</t>
  </si>
  <si>
    <t>Sūmèng Xiāng</t>
  </si>
  <si>
    <t>苏孟乡</t>
  </si>
  <si>
    <t>Sūxī Zhèn</t>
  </si>
  <si>
    <t>苏溪镇</t>
  </si>
  <si>
    <t>Tángxiān Zhèn</t>
  </si>
  <si>
    <t>唐先镇</t>
  </si>
  <si>
    <t>Tāngxī Zhèn</t>
  </si>
  <si>
    <t>汤溪镇</t>
  </si>
  <si>
    <t>Tángyă Zhèn</t>
  </si>
  <si>
    <t>塘雅镇</t>
  </si>
  <si>
    <t>Tănhóng Xiāng</t>
  </si>
  <si>
    <t>坦洪乡</t>
  </si>
  <si>
    <t>Tánxī Zhèn</t>
  </si>
  <si>
    <t>檀溪镇</t>
  </si>
  <si>
    <t>Táoxī Zhèn</t>
  </si>
  <si>
    <t>桃溪镇</t>
  </si>
  <si>
    <t>Tăshí Xiāng</t>
  </si>
  <si>
    <t>塔石乡</t>
  </si>
  <si>
    <t>Tóngqín Zhèn</t>
  </si>
  <si>
    <t>桐琴镇</t>
  </si>
  <si>
    <t>Wángzhái Zhèn</t>
  </si>
  <si>
    <t>王宅镇</t>
  </si>
  <si>
    <t>Wēishān Zhèn</t>
  </si>
  <si>
    <t>巍山镇</t>
  </si>
  <si>
    <t>Wúníng Jiēdào</t>
  </si>
  <si>
    <t>吴宁街道</t>
  </si>
  <si>
    <t>Xiāngxī Zhèn</t>
  </si>
  <si>
    <t>香溪镇</t>
  </si>
  <si>
    <t>Xiàngzhū Zhèn</t>
  </si>
  <si>
    <t>象珠镇</t>
  </si>
  <si>
    <t>Xiānhuá Jiēdào</t>
  </si>
  <si>
    <t>仙华街道</t>
  </si>
  <si>
    <t>Xiàoshùn Zhèn</t>
  </si>
  <si>
    <t>孝顺镇</t>
  </si>
  <si>
    <t>Xīchéng Jiēdào</t>
  </si>
  <si>
    <t>西城街道</t>
  </si>
  <si>
    <t>Xīguān Jiēdào</t>
  </si>
  <si>
    <t>西关街道</t>
  </si>
  <si>
    <t>Xīlián Xiāng</t>
  </si>
  <si>
    <t>西联乡</t>
  </si>
  <si>
    <t>Xīnfàn Xiāng</t>
  </si>
  <si>
    <t>莘畈乡</t>
  </si>
  <si>
    <t>Xīnshī Jiēdào</t>
  </si>
  <si>
    <t>新狮街道</t>
  </si>
  <si>
    <t>Xīnwò Jiēdào [incl. Shēnzé Xiāng]</t>
  </si>
  <si>
    <t>新渥街道</t>
  </si>
  <si>
    <t>Xīnzhái Zhèn</t>
  </si>
  <si>
    <t>新宅镇</t>
  </si>
  <si>
    <t>Xīxī Zhèn</t>
  </si>
  <si>
    <t>西溪镇</t>
  </si>
  <si>
    <t>Yăfàn Zhèn</t>
  </si>
  <si>
    <t>雅畈镇</t>
  </si>
  <si>
    <t>Yángbù Zhèn</t>
  </si>
  <si>
    <t>洋埠镇</t>
  </si>
  <si>
    <t>Yántóu Zhèn</t>
  </si>
  <si>
    <t>岩头镇</t>
  </si>
  <si>
    <t>Yăochuān Xiāng</t>
  </si>
  <si>
    <t>窈川乡</t>
  </si>
  <si>
    <t>Yìtíng Zhèn</t>
  </si>
  <si>
    <t>义亭镇</t>
  </si>
  <si>
    <t>Yŏngchāng Jiēdào</t>
  </si>
  <si>
    <t>永昌街道</t>
  </si>
  <si>
    <t>Yóubù Zhèn</t>
  </si>
  <si>
    <t>游埠镇</t>
  </si>
  <si>
    <t>Yuándōng Xiāng</t>
  </si>
  <si>
    <t>源东乡</t>
  </si>
  <si>
    <t>Yúnshān Jiēdào</t>
  </si>
  <si>
    <t>云山街道</t>
  </si>
  <si>
    <t>Yùshān Zhèn</t>
  </si>
  <si>
    <t>玉山镇</t>
  </si>
  <si>
    <t>Yúyuán Xiāng</t>
  </si>
  <si>
    <t>俞源乡</t>
  </si>
  <si>
    <t>Yúzhái Xiāng</t>
  </si>
  <si>
    <t>虞宅乡</t>
  </si>
  <si>
    <t>Zhèngjiāwù Zhèn</t>
  </si>
  <si>
    <t>郑家坞镇</t>
  </si>
  <si>
    <t>Zhèngzhái Zhèn</t>
  </si>
  <si>
    <t>郑宅镇</t>
  </si>
  <si>
    <t>Zhīyīng Zhèn</t>
  </si>
  <si>
    <t>芝英镇</t>
  </si>
  <si>
    <t>Zhōngyú Xiāng</t>
  </si>
  <si>
    <t>中余乡</t>
  </si>
  <si>
    <t>Zhōushān Zhèn</t>
  </si>
  <si>
    <t>舟山镇</t>
  </si>
  <si>
    <t>Zhūgĕ Zhèn</t>
  </si>
  <si>
    <t>诸葛镇</t>
  </si>
  <si>
    <t>Zhúmă Xiāng</t>
  </si>
  <si>
    <t>竹马乡</t>
  </si>
  <si>
    <t>Zuŏcūn Zhèn</t>
  </si>
  <si>
    <t>佐村镇</t>
  </si>
  <si>
    <t>Ānkŏu Xiāng</t>
  </si>
  <si>
    <t>垵口乡</t>
  </si>
  <si>
    <t>Suìchāng Xiàn</t>
  </si>
  <si>
    <t>Ānmín Xiāng</t>
  </si>
  <si>
    <t>安民乡</t>
  </si>
  <si>
    <t>Sōngyáng Xiàn</t>
  </si>
  <si>
    <t>Ānnán Xiāng</t>
  </si>
  <si>
    <t>安南乡</t>
  </si>
  <si>
    <t>Qìngyuán Xiàn</t>
  </si>
  <si>
    <t>Ānrén Zhèn</t>
  </si>
  <si>
    <t>安仁镇</t>
  </si>
  <si>
    <t>Lóngquán Shì</t>
  </si>
  <si>
    <t>Ānxī Shēzú Xiāng</t>
  </si>
  <si>
    <t>安溪畲族乡</t>
  </si>
  <si>
    <t>Yúnhé Xiàn</t>
  </si>
  <si>
    <t>Bādū Zhèn</t>
  </si>
  <si>
    <t>八都镇</t>
  </si>
  <si>
    <t>Băishānzŭ Zhèn [incl. Héhú Xiāng]</t>
  </si>
  <si>
    <t>百山祖镇</t>
  </si>
  <si>
    <t>Liándū Qū</t>
  </si>
  <si>
    <t>Bănqiáo Shēzú Xiāng</t>
  </si>
  <si>
    <t>板桥畲族乡</t>
  </si>
  <si>
    <t>Băoxī Xiāng</t>
  </si>
  <si>
    <t>宝溪乡</t>
  </si>
  <si>
    <t>Bĕijiè Zhèn</t>
  </si>
  <si>
    <t>北界镇</t>
  </si>
  <si>
    <t>Bĕishān Zhèn [incl. Lĭnggēn Xiāng]</t>
  </si>
  <si>
    <t>北山镇</t>
  </si>
  <si>
    <t>Qīngtián Xiàn</t>
  </si>
  <si>
    <t>Biāoxī Xiāng</t>
  </si>
  <si>
    <t>标溪乡</t>
  </si>
  <si>
    <t>Jĭngníng Shēzú Zìzhìxiàn</t>
  </si>
  <si>
    <t>Bìhú Zhèn [incl. Gāoxī Xiāng]</t>
  </si>
  <si>
    <t>碧湖镇</t>
  </si>
  <si>
    <t>Bóhăi Zhèn</t>
  </si>
  <si>
    <t>渤海镇</t>
  </si>
  <si>
    <t>Càiyuán Xiāng</t>
  </si>
  <si>
    <t>蔡源乡</t>
  </si>
  <si>
    <t>Chátián Zhèn</t>
  </si>
  <si>
    <t>查田镇</t>
  </si>
  <si>
    <t>Chéngbĕi Xiāng</t>
  </si>
  <si>
    <t>城北乡</t>
  </si>
  <si>
    <t>Chéngzhào Xiāng</t>
  </si>
  <si>
    <t>澄照乡</t>
  </si>
  <si>
    <t>Chìshí Xiāng</t>
  </si>
  <si>
    <t>赤石乡</t>
  </si>
  <si>
    <t>Chìshòu Xiāng</t>
  </si>
  <si>
    <t>赤寿乡</t>
  </si>
  <si>
    <t>Chóngtóu Zhèn</t>
  </si>
  <si>
    <t>崇头镇</t>
  </si>
  <si>
    <t>Chuánliáo Zhèn</t>
  </si>
  <si>
    <t>船寮镇</t>
  </si>
  <si>
    <t>Dàdì Xiāng</t>
  </si>
  <si>
    <t>大地乡</t>
  </si>
  <si>
    <t>Dàdōngbà Zhèn</t>
  </si>
  <si>
    <t>大东坝镇</t>
  </si>
  <si>
    <t>Dàgăngtóu Zhèn</t>
  </si>
  <si>
    <t>大港头镇</t>
  </si>
  <si>
    <t>Dàjì Xiāng</t>
  </si>
  <si>
    <t>大漈乡</t>
  </si>
  <si>
    <t>Dàjūn Xiāng</t>
  </si>
  <si>
    <t>大均乡</t>
  </si>
  <si>
    <t>Dàotài Xiāng</t>
  </si>
  <si>
    <t>道太乡</t>
  </si>
  <si>
    <t>Dàwān Xiāng</t>
  </si>
  <si>
    <t>大湾乡</t>
  </si>
  <si>
    <t>Jìnyún Xiàn</t>
  </si>
  <si>
    <t>Dàyuán Xiāng</t>
  </si>
  <si>
    <t>大源乡</t>
  </si>
  <si>
    <t>Dàzhè Zhèn</t>
  </si>
  <si>
    <t>大柘镇</t>
  </si>
  <si>
    <t>Dōngdù Zhèn</t>
  </si>
  <si>
    <t>东渡镇</t>
  </si>
  <si>
    <t>Dōngfāng Zhèn</t>
  </si>
  <si>
    <t>东方镇</t>
  </si>
  <si>
    <t>Dōngkēng Zhèn</t>
  </si>
  <si>
    <t>东坑镇</t>
  </si>
  <si>
    <t>Dōngyuán Zhèn</t>
  </si>
  <si>
    <t>东源镇</t>
  </si>
  <si>
    <t>Fāngshān Xiāng</t>
  </si>
  <si>
    <t>方山乡</t>
  </si>
  <si>
    <t>Fāngxī Xiāng</t>
  </si>
  <si>
    <t>方溪乡</t>
  </si>
  <si>
    <t>Fēngpíng Xiāng</t>
  </si>
  <si>
    <t>枫坪乡</t>
  </si>
  <si>
    <t>Fēngyuán Xiāng</t>
  </si>
  <si>
    <t>峰源乡</t>
  </si>
  <si>
    <t>Fùshān Xiāng</t>
  </si>
  <si>
    <t>阜山乡</t>
  </si>
  <si>
    <t>Gāohú Zhèn</t>
  </si>
  <si>
    <t>高湖镇</t>
  </si>
  <si>
    <t>Gāopíng Xiāng</t>
  </si>
  <si>
    <t>高坪乡</t>
  </si>
  <si>
    <t>Gāoshì Xiāng</t>
  </si>
  <si>
    <t>高市乡</t>
  </si>
  <si>
    <t>Guāntáng Xiāng</t>
  </si>
  <si>
    <t>官塘乡</t>
  </si>
  <si>
    <t>Guì'ào Xiāng</t>
  </si>
  <si>
    <t>贵岙乡</t>
  </si>
  <si>
    <t>Gŭshì Zhèn</t>
  </si>
  <si>
    <t>古市镇</t>
  </si>
  <si>
    <t>Hăikŏu Zhèn</t>
  </si>
  <si>
    <t>海口镇</t>
  </si>
  <si>
    <t>Hăixī Xiāng</t>
  </si>
  <si>
    <t>海溪乡</t>
  </si>
  <si>
    <t>Hèchéng Jiēdào [incl. Ōunán Jiēdào, Yóuzhú Jiēdào]</t>
  </si>
  <si>
    <t>鹤城街道</t>
  </si>
  <si>
    <t>Hédì Zhèn</t>
  </si>
  <si>
    <t>荷地镇</t>
  </si>
  <si>
    <t>Hèxī Jiēdào [incl. Hóngxīng Jiēdào]</t>
  </si>
  <si>
    <t>鹤溪街道</t>
  </si>
  <si>
    <t>Huángcūn Xiāng</t>
  </si>
  <si>
    <t>黄村乡</t>
  </si>
  <si>
    <t>Huángshāyāo Zhèn</t>
  </si>
  <si>
    <t>黄沙腰镇</t>
  </si>
  <si>
    <t>Huángtián Zhèn</t>
  </si>
  <si>
    <t>黄田镇</t>
  </si>
  <si>
    <t>Huángyáng Xiāng</t>
  </si>
  <si>
    <t>黄垟乡</t>
  </si>
  <si>
    <t>Huángyuán Xiāng</t>
  </si>
  <si>
    <t>黄源乡</t>
  </si>
  <si>
    <t>Húshān Xiāng</t>
  </si>
  <si>
    <t>湖山乡</t>
  </si>
  <si>
    <t>胡源乡</t>
  </si>
  <si>
    <t>Húzhèn Zhèn</t>
  </si>
  <si>
    <t>壶镇镇</t>
  </si>
  <si>
    <t>Jiādì Xiāng</t>
  </si>
  <si>
    <t>家地乡</t>
  </si>
  <si>
    <t>Jiànchí Jiēdào [→ parts: Shídáshí Jiēdào]</t>
  </si>
  <si>
    <t>剑池街道</t>
  </si>
  <si>
    <t>Jiānggēn Xiāng</t>
  </si>
  <si>
    <t>江根乡</t>
  </si>
  <si>
    <t>Jiāotān Xiāng</t>
  </si>
  <si>
    <t>焦滩乡</t>
  </si>
  <si>
    <t>Jĭngnán Xiāng</t>
  </si>
  <si>
    <t>景南乡</t>
  </si>
  <si>
    <t>Jĭnshuĭtān Zhèn</t>
  </si>
  <si>
    <t>紧水滩镇</t>
  </si>
  <si>
    <t>Jĭnxī Zhèn</t>
  </si>
  <si>
    <t>锦溪镇</t>
  </si>
  <si>
    <t>Jīnzhú Zhèn</t>
  </si>
  <si>
    <t>金竹镇</t>
  </si>
  <si>
    <t>Jiŭlóng Xiāng</t>
  </si>
  <si>
    <t>九龙乡</t>
  </si>
  <si>
    <t>Jìzhái Xiāng</t>
  </si>
  <si>
    <t>季宅乡</t>
  </si>
  <si>
    <t>Jùpŭ Xiāng</t>
  </si>
  <si>
    <t>巨浦乡</t>
  </si>
  <si>
    <t>Jŭshuĭ Xiāng</t>
  </si>
  <si>
    <t>举水乡</t>
  </si>
  <si>
    <t>Làkŏu Zhèn</t>
  </si>
  <si>
    <t>腊口镇</t>
  </si>
  <si>
    <t>Lánjù Xiāng</t>
  </si>
  <si>
    <t>兰巨乡</t>
  </si>
  <si>
    <t>Lăozhú Shēzú Zhèn</t>
  </si>
  <si>
    <t>老竹畲族镇</t>
  </si>
  <si>
    <t>Liánchéng Jiēdào</t>
  </si>
  <si>
    <t>联城街道</t>
  </si>
  <si>
    <t>Liánzhú Xiāng</t>
  </si>
  <si>
    <t>濂竹乡</t>
  </si>
  <si>
    <t>Lĭngtóu Xiāng</t>
  </si>
  <si>
    <t>岭头乡</t>
  </si>
  <si>
    <t>Lìxīn Shēzú Xiāng</t>
  </si>
  <si>
    <t>丽新畲族乡</t>
  </si>
  <si>
    <t>Lónggōng Xiāng</t>
  </si>
  <si>
    <t>隆宫乡</t>
  </si>
  <si>
    <t>Lóngnán Xiāng</t>
  </si>
  <si>
    <t>龙南乡</t>
  </si>
  <si>
    <t>Lóngxī Xiāng</t>
  </si>
  <si>
    <t>龙溪乡</t>
  </si>
  <si>
    <t>Lóngyáng Xiāng</t>
  </si>
  <si>
    <t>龙洋乡</t>
  </si>
  <si>
    <t>Lóngyuān Jiēdào</t>
  </si>
  <si>
    <t>龙渊街道</t>
  </si>
  <si>
    <t>Lúcí Xiāng</t>
  </si>
  <si>
    <t>鸬鹚乡</t>
  </si>
  <si>
    <t>Máoyáng Xiāng</t>
  </si>
  <si>
    <t>毛垟乡</t>
  </si>
  <si>
    <t>Méiqí Xiāng</t>
  </si>
  <si>
    <t>梅岐乡</t>
  </si>
  <si>
    <t>Miàogāo Jiēdào</t>
  </si>
  <si>
    <t>妙高街道</t>
  </si>
  <si>
    <t>Nánmíngshān Jiēdào [incl. Shuĭgé Jiēdào, Fùlĭng Jiēdào]</t>
  </si>
  <si>
    <t>南明山街道</t>
  </si>
  <si>
    <t>Píngdū Jiēdào</t>
  </si>
  <si>
    <t>屏都街道</t>
  </si>
  <si>
    <t>Píngnán Zhèn</t>
  </si>
  <si>
    <t>屏南镇</t>
  </si>
  <si>
    <t>Qiánlù Xiāng</t>
  </si>
  <si>
    <t>前路乡</t>
  </si>
  <si>
    <t>Qīlĭ Xiāng</t>
  </si>
  <si>
    <t>七里乡</t>
  </si>
  <si>
    <t>Qiūlú Xiāng</t>
  </si>
  <si>
    <t>秋炉乡</t>
  </si>
  <si>
    <t>Réngōng Xiāng</t>
  </si>
  <si>
    <t>仁宫乡</t>
  </si>
  <si>
    <t>Rénzhuāng Zhèn</t>
  </si>
  <si>
    <t>仁庄镇</t>
  </si>
  <si>
    <t>Róngjiāng Xiāng</t>
  </si>
  <si>
    <t>溶江乡</t>
  </si>
  <si>
    <t>Sāndū Xiāng</t>
  </si>
  <si>
    <t>三都乡</t>
  </si>
  <si>
    <t>Sānrén Shēzú Xiāng</t>
  </si>
  <si>
    <t>三仁畲族乡</t>
  </si>
  <si>
    <t>Sānxīkǒu Jiēdào [Shíxī Xiāng]</t>
  </si>
  <si>
    <t>三溪口街道</t>
  </si>
  <si>
    <t>Sānxī Xiāng</t>
  </si>
  <si>
    <t>三溪乡</t>
  </si>
  <si>
    <t>Shàngyáng Zhèn</t>
  </si>
  <si>
    <t>上垟镇</t>
  </si>
  <si>
    <t>Shānkŏu Zhèn</t>
  </si>
  <si>
    <t>山口镇</t>
  </si>
  <si>
    <t>Shāpū Xiāng</t>
  </si>
  <si>
    <t>沙铺乡</t>
  </si>
  <si>
    <t>Shāwān Zhèn</t>
  </si>
  <si>
    <t>沙湾镇</t>
  </si>
  <si>
    <t>Shídáshí Jiēdào [incl. Dashí Xiāng]</t>
  </si>
  <si>
    <t>石达石街道</t>
  </si>
  <si>
    <t>Shíjiăn Xiāng</t>
  </si>
  <si>
    <t>石笕乡</t>
  </si>
  <si>
    <t>Shíliàn Zhèn</t>
  </si>
  <si>
    <t>石练镇</t>
  </si>
  <si>
    <t>Shítáng Zhèn</t>
  </si>
  <si>
    <t>石塘镇</t>
  </si>
  <si>
    <t>Shuāngxīkŏu Xiāng</t>
  </si>
  <si>
    <t>双溪口乡</t>
  </si>
  <si>
    <t>Shūhóng Zhèn</t>
  </si>
  <si>
    <t>舒洪镇</t>
  </si>
  <si>
    <t>Shūqiáo Xiāng</t>
  </si>
  <si>
    <t>舒桥乡</t>
  </si>
  <si>
    <t>Sìdū Xiāng</t>
  </si>
  <si>
    <t>四都乡</t>
  </si>
  <si>
    <t>Sōngyuán Jiēdào [incl. Méngzhōu Jiēdào, Sìshān Xiāng]</t>
  </si>
  <si>
    <t>松源街道</t>
  </si>
  <si>
    <t>Tàipíng Xiāng</t>
  </si>
  <si>
    <t>太平乡</t>
  </si>
  <si>
    <t>Tāngyáng Xiāng</t>
  </si>
  <si>
    <t>汤垟乡</t>
  </si>
  <si>
    <t>Wànfù Xiāng</t>
  </si>
  <si>
    <t>万阜乡</t>
  </si>
  <si>
    <t>Wángcūnkŏu Zhèn</t>
  </si>
  <si>
    <t>王村口镇</t>
  </si>
  <si>
    <t>Wàngsōng Jiēdào</t>
  </si>
  <si>
    <t>望松街道</t>
  </si>
  <si>
    <t>Wànshān Xiāng</t>
  </si>
  <si>
    <t>万山乡</t>
  </si>
  <si>
    <t>Wànxiàng Jiēdào</t>
  </si>
  <si>
    <t>万象街道</t>
  </si>
  <si>
    <t>Wēnxī Zhèn</t>
  </si>
  <si>
    <t>温溪镇</t>
  </si>
  <si>
    <t>Wŭdàbăo Xiāng</t>
  </si>
  <si>
    <t>五大堡乡</t>
  </si>
  <si>
    <t>Wúkēng Xiāng</t>
  </si>
  <si>
    <t>吴坑乡</t>
  </si>
  <si>
    <t>Wútóng Xiāng</t>
  </si>
  <si>
    <t>梧桐乡</t>
  </si>
  <si>
    <t>Wùxī Shēzú Xiāng</t>
  </si>
  <si>
    <t>雾溪畲族乡</t>
  </si>
  <si>
    <t>Wŭyún Jiēdào [incl. Xīnbì Jiēdào, Xiāndū Jiēdào]</t>
  </si>
  <si>
    <t>五云街道</t>
  </si>
  <si>
    <t>Xiāndù Xiāng</t>
  </si>
  <si>
    <t>仙渡乡</t>
  </si>
  <si>
    <t>Xiàngxī Zhèn</t>
  </si>
  <si>
    <t>象溪镇</t>
  </si>
  <si>
    <t>Xiánliáng Zhèn</t>
  </si>
  <si>
    <t>贤良镇</t>
  </si>
  <si>
    <t>Xiăoméi Zhèn</t>
  </si>
  <si>
    <t>小梅镇</t>
  </si>
  <si>
    <t>Xiăozhōushān Xiāng</t>
  </si>
  <si>
    <t>小舟山乡</t>
  </si>
  <si>
    <t>Xīfàn Xiāng</t>
  </si>
  <si>
    <t>西畈乡</t>
  </si>
  <si>
    <t>Xījiē Jiēdào</t>
  </si>
  <si>
    <t>西街街道</t>
  </si>
  <si>
    <t>Xīnjiàn Zhèn</t>
  </si>
  <si>
    <t>新建镇</t>
  </si>
  <si>
    <t>Xīnlùwān Zhèn</t>
  </si>
  <si>
    <t>新路湾镇</t>
  </si>
  <si>
    <t>Xīnxīng Zhèn [incl. Xīnchŭ Xiāng, Xiècūn Xiāng]</t>
  </si>
  <si>
    <t>新兴镇</t>
  </si>
  <si>
    <t>Xīpíng Jiēdào [incl. Shuǐnán Jiēdào; → parts: Wàngsōng Jiēdào]</t>
  </si>
  <si>
    <t>西屏街道</t>
  </si>
  <si>
    <t>Yánquán Jiēdào [incl. Shuānghuáng Xiāng]</t>
  </si>
  <si>
    <t>岩泉街道</t>
  </si>
  <si>
    <t>Yànxī Xiāng</t>
  </si>
  <si>
    <t>雁溪乡</t>
  </si>
  <si>
    <t>Yánzhāng Xiāng</t>
  </si>
  <si>
    <t>岩樟乡</t>
  </si>
  <si>
    <t>Yăxī Zhèn</t>
  </si>
  <si>
    <t>雅溪镇</t>
  </si>
  <si>
    <t>Yècūn Xiāng</t>
  </si>
  <si>
    <t>叶村乡</t>
  </si>
  <si>
    <t>Yīngchuān Zhèn [incl. Gĕshān Xiāng]</t>
  </si>
  <si>
    <t>英川镇</t>
  </si>
  <si>
    <t>Yīngcūn Xiāng</t>
  </si>
  <si>
    <t>应村乡</t>
  </si>
  <si>
    <t>Yúnfēng Jiēdào</t>
  </si>
  <si>
    <t>云峰街道</t>
  </si>
  <si>
    <t>Yúnfēng Xiāng</t>
  </si>
  <si>
    <t>云丰乡</t>
  </si>
  <si>
    <t>Yúnhé Jiēdào [incl. Fúyún Jiēdào, Báilóngshān Jiēdào, Fènghuángshān Jiēdào]</t>
  </si>
  <si>
    <t>元和街道</t>
  </si>
  <si>
    <t>Yúntán Xiāng</t>
  </si>
  <si>
    <t>云坛乡</t>
  </si>
  <si>
    <t>Yūshàng Xiāng</t>
  </si>
  <si>
    <t>淤上乡</t>
  </si>
  <si>
    <t>Yùxī Xiāng</t>
  </si>
  <si>
    <t>裕溪乡</t>
  </si>
  <si>
    <t>Yùyán Zhèn</t>
  </si>
  <si>
    <t>玉岩镇</t>
  </si>
  <si>
    <t>Zhāitán Xiāng</t>
  </si>
  <si>
    <t>斋坛乡</t>
  </si>
  <si>
    <t>Zhāngcūn Xiāng</t>
  </si>
  <si>
    <t>章村乡</t>
  </si>
  <si>
    <t>张村乡</t>
  </si>
  <si>
    <t>Zhāngdàn Xiāng</t>
  </si>
  <si>
    <t>章旦乡</t>
  </si>
  <si>
    <t>Zhāngxī Xiāng</t>
  </si>
  <si>
    <t>樟溪乡</t>
  </si>
  <si>
    <t>Zhèdàikŏu Xiāng</t>
  </si>
  <si>
    <t>柘岱口乡</t>
  </si>
  <si>
    <t>Zhēnbù Zhèn</t>
  </si>
  <si>
    <t>祯埠镇</t>
  </si>
  <si>
    <t>Zhèngkēng Xiāng</t>
  </si>
  <si>
    <t>郑坑乡</t>
  </si>
  <si>
    <t>Zhēnwàng Xiāng</t>
  </si>
  <si>
    <t>祯旺乡</t>
  </si>
  <si>
    <t>Zhūcūn Xiāng</t>
  </si>
  <si>
    <t>朱村乡</t>
  </si>
  <si>
    <t>Zhúkŏu Zhèn</t>
  </si>
  <si>
    <t>竹口镇</t>
  </si>
  <si>
    <t>Zhùlóng Zhèn</t>
  </si>
  <si>
    <t>住龙镇</t>
  </si>
  <si>
    <t>Zhúyáng Shēzú Xiāng</t>
  </si>
  <si>
    <t>竹垟畲族乡</t>
  </si>
  <si>
    <t>Zhúyuán Xiāng</t>
  </si>
  <si>
    <t>竹源乡</t>
  </si>
  <si>
    <t>Zĭjīn Jiēdào</t>
  </si>
  <si>
    <t>紫金街道</t>
  </si>
  <si>
    <t>Zuŏxī Zhèn</t>
  </si>
  <si>
    <t>左溪镇</t>
  </si>
  <si>
    <t>Āndōng Zhèn</t>
  </si>
  <si>
    <t>庵东镇</t>
  </si>
  <si>
    <t>Cíxī Shì</t>
  </si>
  <si>
    <t>Báifēng Jiēdào</t>
  </si>
  <si>
    <t>白峰街道</t>
  </si>
  <si>
    <t>Bĕilún Qū</t>
  </si>
  <si>
    <t>Báihè Jiēdào</t>
  </si>
  <si>
    <t>白鹤街道</t>
  </si>
  <si>
    <t>Yínzhōu Qū</t>
  </si>
  <si>
    <t>Báishālù Jiēdào</t>
  </si>
  <si>
    <t>白沙路街道</t>
  </si>
  <si>
    <t>Hăishŭ Qū</t>
  </si>
  <si>
    <t>Băizhàng Jiēdào</t>
  </si>
  <si>
    <t>百丈街道</t>
  </si>
  <si>
    <t>Băoshuìqū</t>
  </si>
  <si>
    <t>保税区</t>
  </si>
  <si>
    <t>Cháiqiáo Jiēdào</t>
  </si>
  <si>
    <t>柴桥街道</t>
  </si>
  <si>
    <t>Chàlù Zhèn</t>
  </si>
  <si>
    <t>岔路镇</t>
  </si>
  <si>
    <t>Nínghăi Xiàn</t>
  </si>
  <si>
    <t>Chánghé Zhèn</t>
  </si>
  <si>
    <t>长河镇</t>
  </si>
  <si>
    <t>Chángjiē Zhèn</t>
  </si>
  <si>
    <t>长街镇</t>
  </si>
  <si>
    <t>Cháyuàn Xiāng</t>
  </si>
  <si>
    <t>茶院乡</t>
  </si>
  <si>
    <t>Chóngshòu Zhèn</t>
  </si>
  <si>
    <t>崇寿镇</t>
  </si>
  <si>
    <t>Chúnhú Jiēdào</t>
  </si>
  <si>
    <t>莼湖街道</t>
  </si>
  <si>
    <t>Fènghuà Qū</t>
  </si>
  <si>
    <t>Chūnxiăo Jiēdào</t>
  </si>
  <si>
    <t>春晓街道</t>
  </si>
  <si>
    <t>Cíchéng Zhèn</t>
  </si>
  <si>
    <t>慈城镇</t>
  </si>
  <si>
    <t>Jiāngbĕi Qū</t>
  </si>
  <si>
    <t>Cídōng Gōngyèqū</t>
  </si>
  <si>
    <t>慈东工业区</t>
  </si>
  <si>
    <t>Cíxī Shì Línchăng</t>
  </si>
  <si>
    <t>慈溪市林场</t>
  </si>
  <si>
    <t>Cíxī Shì Nóngkĕn Chăng</t>
  </si>
  <si>
    <t>慈溪市农垦场</t>
  </si>
  <si>
    <t>Dàjiāhé Zhèn</t>
  </si>
  <si>
    <t>大佳何镇</t>
  </si>
  <si>
    <t>Dàlán Zhèn</t>
  </si>
  <si>
    <t>大岚镇</t>
  </si>
  <si>
    <t>Yúyáo Shì</t>
  </si>
  <si>
    <t>Dāndōng Jiēdào</t>
  </si>
  <si>
    <t>丹东街道</t>
  </si>
  <si>
    <t>Xiàngshān Xiàn</t>
  </si>
  <si>
    <t>Dānxī Jiēdào</t>
  </si>
  <si>
    <t>丹西街道</t>
  </si>
  <si>
    <t>Dàqì Jiēdào</t>
  </si>
  <si>
    <t>大碶街道</t>
  </si>
  <si>
    <t>Dàxiè Jiēdào</t>
  </si>
  <si>
    <t>大榭街道</t>
  </si>
  <si>
    <t>Dàxú Zhèn</t>
  </si>
  <si>
    <t>大徐镇</t>
  </si>
  <si>
    <t>Dàyàn Zhèn</t>
  </si>
  <si>
    <t>大堰镇</t>
  </si>
  <si>
    <t>Dàyĭn Zhèn</t>
  </si>
  <si>
    <t>大隐镇</t>
  </si>
  <si>
    <t>Dìngtáng Zhèn</t>
  </si>
  <si>
    <t>定塘镇</t>
  </si>
  <si>
    <t>Dītáng Jiēdào</t>
  </si>
  <si>
    <t>低塘街道</t>
  </si>
  <si>
    <t>Dōngchén Xiāng</t>
  </si>
  <si>
    <t>东陈乡</t>
  </si>
  <si>
    <t>Dōngjiāo Jiēdào</t>
  </si>
  <si>
    <t>东郊街道</t>
  </si>
  <si>
    <t>Dōngliŭ Jiēdào</t>
  </si>
  <si>
    <t>东柳街道</t>
  </si>
  <si>
    <t>Dōngqiánhú Zhèn</t>
  </si>
  <si>
    <t>东钱湖镇</t>
  </si>
  <si>
    <t>Dōngshèng Jiēdào</t>
  </si>
  <si>
    <t>东胜街道</t>
  </si>
  <si>
    <t>Dōngwú Zhèn</t>
  </si>
  <si>
    <t>东吴镇</t>
  </si>
  <si>
    <t>Duàntáng Jiēdào</t>
  </si>
  <si>
    <t>段塘街道</t>
  </si>
  <si>
    <t>Fèngshān Jiēdào</t>
  </si>
  <si>
    <t>凤山街道</t>
  </si>
  <si>
    <t>Fùhăi Zhèn</t>
  </si>
  <si>
    <t>附海镇</t>
  </si>
  <si>
    <t>Fúmíng Jiēdào</t>
  </si>
  <si>
    <t>福明街道</t>
  </si>
  <si>
    <t>Gāoqiáo Zhèn</t>
  </si>
  <si>
    <t>高桥镇</t>
  </si>
  <si>
    <t>Gāotángdăo Xiāng</t>
  </si>
  <si>
    <t>高塘岛乡</t>
  </si>
  <si>
    <t>Guānhăiwèi Zhèn</t>
  </si>
  <si>
    <t>观海卫镇</t>
  </si>
  <si>
    <t>Gŭlín Zhèn</t>
  </si>
  <si>
    <t>古林镇</t>
  </si>
  <si>
    <t>Gŭlóu Jiēdào</t>
  </si>
  <si>
    <t>鼓楼街道</t>
  </si>
  <si>
    <t>Gŭtáng Jiēdào</t>
  </si>
  <si>
    <t>古塘街道</t>
  </si>
  <si>
    <t>Hémŭdù Zhèn</t>
  </si>
  <si>
    <t>河姆渡镇</t>
  </si>
  <si>
    <t>Hénghé Zhèn</t>
  </si>
  <si>
    <t>横河镇</t>
  </si>
  <si>
    <t>Héngjiē Zhèn</t>
  </si>
  <si>
    <t>横街镇</t>
  </si>
  <si>
    <t>Hèpŭ Zhèn</t>
  </si>
  <si>
    <t>鹤浦镇</t>
  </si>
  <si>
    <t>Hóngtáng Jiēdào</t>
  </si>
  <si>
    <t>洪塘街道</t>
  </si>
  <si>
    <t>Huángbì'ào Xiāng</t>
  </si>
  <si>
    <t>黄避岙乡</t>
  </si>
  <si>
    <t>Huángjiābù Zhèn</t>
  </si>
  <si>
    <t>黄家埠镇</t>
  </si>
  <si>
    <t>Huángtán Zhèn</t>
  </si>
  <si>
    <t>黄坛镇</t>
  </si>
  <si>
    <t>Húchén Xiāng</t>
  </si>
  <si>
    <t>胡陈乡</t>
  </si>
  <si>
    <t>Hŭshān Jiēdào</t>
  </si>
  <si>
    <t>浒山街道</t>
  </si>
  <si>
    <t>Jiāngkŏu Jiēdào</t>
  </si>
  <si>
    <t>江口街道</t>
  </si>
  <si>
    <t>Jiāngshān Zhèn</t>
  </si>
  <si>
    <t>姜山镇</t>
  </si>
  <si>
    <t>Jiāngxià Jiēdào</t>
  </si>
  <si>
    <t>江厦街道</t>
  </si>
  <si>
    <t>Jiāochuān Jiēdào</t>
  </si>
  <si>
    <t>蛟川街道</t>
  </si>
  <si>
    <t>Zhènhăi Qū</t>
  </si>
  <si>
    <t>Jĭnpíng Jiēdào</t>
  </si>
  <si>
    <t>锦屏街道</t>
  </si>
  <si>
    <t>Jíshìgăng Jiēdào</t>
  </si>
  <si>
    <t>集仕街道</t>
  </si>
  <si>
    <t>Jiŭlónghú Zhèn</t>
  </si>
  <si>
    <t>九龙湖镇</t>
  </si>
  <si>
    <t>Juéxī Jiēdào</t>
  </si>
  <si>
    <t>爵溪街道</t>
  </si>
  <si>
    <t>Kăndūn Jiēdào</t>
  </si>
  <si>
    <t>坎墩街道</t>
  </si>
  <si>
    <t>Kŏngpŭ Jiēdào</t>
  </si>
  <si>
    <t>孔浦街道</t>
  </si>
  <si>
    <t>Kuāngyàn Zhèn</t>
  </si>
  <si>
    <t>匡堰镇</t>
  </si>
  <si>
    <t>Lăngxiá Jiēdào</t>
  </si>
  <si>
    <t>朗霞街道</t>
  </si>
  <si>
    <t>Liángnòng Zhèn</t>
  </si>
  <si>
    <t>梁弄镇</t>
  </si>
  <si>
    <t>Línshān Zhèn</t>
  </si>
  <si>
    <t>临山镇</t>
  </si>
  <si>
    <t>Lìyáng Zhèn</t>
  </si>
  <si>
    <t>力洋镇</t>
  </si>
  <si>
    <t>Lízhōu Jiēdào</t>
  </si>
  <si>
    <t>梨洲街道</t>
  </si>
  <si>
    <t>Lóngguān Xiāng</t>
  </si>
  <si>
    <t>龙观乡</t>
  </si>
  <si>
    <t>Lùbù Zhèn</t>
  </si>
  <si>
    <t>陆埠镇</t>
  </si>
  <si>
    <t>Luòtuó Jiēdào</t>
  </si>
  <si>
    <t>骆驼街道</t>
  </si>
  <si>
    <t>Lùtíng Xiāng</t>
  </si>
  <si>
    <t>鹿亭乡</t>
  </si>
  <si>
    <t>茅洋乡</t>
  </si>
  <si>
    <t>Măzhŭ Zhèn</t>
  </si>
  <si>
    <t>马渚镇</t>
  </si>
  <si>
    <t>Méilín Jiēdào</t>
  </si>
  <si>
    <t>梅林街道</t>
  </si>
  <si>
    <t>Méishān Jiēdào</t>
  </si>
  <si>
    <t>梅山街道</t>
  </si>
  <si>
    <t>Méixū Jiēdào</t>
  </si>
  <si>
    <t>梅墟街道</t>
  </si>
  <si>
    <t>Mínglóu Jiēdào</t>
  </si>
  <si>
    <t>明楼街道</t>
  </si>
  <si>
    <t>Móushān Zhèn</t>
  </si>
  <si>
    <t>牟山镇</t>
  </si>
  <si>
    <t>Nánmén Jiēdào</t>
  </si>
  <si>
    <t>南门街道</t>
  </si>
  <si>
    <t>Níngbō Hángshăo Bŭwān Xīnqū</t>
  </si>
  <si>
    <t>宁波杭少卜湾新区</t>
  </si>
  <si>
    <t>Qiángjiāo Zhèn</t>
  </si>
  <si>
    <t>强蛟镇</t>
  </si>
  <si>
    <t>Qiángtóu Zhèn</t>
  </si>
  <si>
    <t>墙头镇</t>
  </si>
  <si>
    <t>Qiántóng Zhèn</t>
  </si>
  <si>
    <t>前童镇</t>
  </si>
  <si>
    <t>Qiáotóuhú Jiēdào</t>
  </si>
  <si>
    <t>桥头胡街道</t>
  </si>
  <si>
    <t>Qiáotóu Zhèn</t>
  </si>
  <si>
    <t>桥头镇</t>
  </si>
  <si>
    <t>Qījiāshān Jiēdào</t>
  </si>
  <si>
    <t>戚家山街道</t>
  </si>
  <si>
    <t>Qiū'ài Zhèn</t>
  </si>
  <si>
    <t>邱隘镇</t>
  </si>
  <si>
    <t>Qiúcūn Zhèn</t>
  </si>
  <si>
    <t>裘村镇</t>
  </si>
  <si>
    <t>Sāngzhōu Zhèn</t>
  </si>
  <si>
    <t>桑洲镇</t>
  </si>
  <si>
    <t>Sānqīshì Zhèn</t>
  </si>
  <si>
    <t>三七市镇</t>
  </si>
  <si>
    <t>Shàngtián Jiēdào</t>
  </si>
  <si>
    <t>尚田街道</t>
  </si>
  <si>
    <t>Shèngshān Zhèn</t>
  </si>
  <si>
    <t>胜山镇</t>
  </si>
  <si>
    <t>Shēnquăn Zhèn</t>
  </si>
  <si>
    <t>深甽镇</t>
  </si>
  <si>
    <t>Shípŭ Zhèn</t>
  </si>
  <si>
    <t>石浦镇</t>
  </si>
  <si>
    <t>Shíqì Jiēdào</t>
  </si>
  <si>
    <t>石碶街道</t>
  </si>
  <si>
    <t>Shŏunán Jiēdào</t>
  </si>
  <si>
    <t>首南街道</t>
  </si>
  <si>
    <t>Sìmén Zhèn</t>
  </si>
  <si>
    <t>泗门镇</t>
  </si>
  <si>
    <t>Sìmíngshān Zhèn</t>
  </si>
  <si>
    <t>四明山镇</t>
  </si>
  <si>
    <t>Sìzhōutóu Zhèn</t>
  </si>
  <si>
    <t>泗洲头镇</t>
  </si>
  <si>
    <t>Sōng'ào Zhèn</t>
  </si>
  <si>
    <t>松岙镇</t>
  </si>
  <si>
    <t>Tángxī Zhèn</t>
  </si>
  <si>
    <t>塘溪镇</t>
  </si>
  <si>
    <t>Táoyuán Jiēdào</t>
  </si>
  <si>
    <t>桃源街道</t>
  </si>
  <si>
    <t>Túcí Zhèn</t>
  </si>
  <si>
    <t>涂茨镇</t>
  </si>
  <si>
    <t>Wàitān Jiēdào [incl. Zhōngmă Jiēdào, Báishā Jiēdào]</t>
  </si>
  <si>
    <t>外滩街道</t>
  </si>
  <si>
    <t>Wàngchūn Jiēdào</t>
  </si>
  <si>
    <t>望春街道</t>
  </si>
  <si>
    <t>Wénjiào Jiēdào</t>
  </si>
  <si>
    <t>文教街道</t>
  </si>
  <si>
    <t>Wŭxiāng Zhèn</t>
  </si>
  <si>
    <t>五乡镇</t>
  </si>
  <si>
    <t>Xiánxiáng Zhèn</t>
  </si>
  <si>
    <t>咸祥镇</t>
  </si>
  <si>
    <t>贤庠镇</t>
  </si>
  <si>
    <t>Xiăocáo'é Zhèn</t>
  </si>
  <si>
    <t>小曹娥镇</t>
  </si>
  <si>
    <t>Xiăogăng Jiēdào</t>
  </si>
  <si>
    <t>小港街道</t>
  </si>
  <si>
    <t>Xiāolín Zhèn</t>
  </si>
  <si>
    <t>逍林镇</t>
  </si>
  <si>
    <t>Xiăotáng Xiāng</t>
  </si>
  <si>
    <t>晓塘乡</t>
  </si>
  <si>
    <t>Xiāowángmiào Jiēdào</t>
  </si>
  <si>
    <t>萧王庙街道</t>
  </si>
  <si>
    <t>Xiápŭ Jiēdào</t>
  </si>
  <si>
    <t>霞浦街道</t>
  </si>
  <si>
    <t>Xiàyīng Jiēdào [incl. Pānhuǒ Jiēdào]</t>
  </si>
  <si>
    <t>下应街道</t>
  </si>
  <si>
    <t>Xīdiàn Zhèn</t>
  </si>
  <si>
    <t>西店镇</t>
  </si>
  <si>
    <t>Xièpŭ Zhèn</t>
  </si>
  <si>
    <t>澥浦镇</t>
  </si>
  <si>
    <t>Xīkŏu Zhèn</t>
  </si>
  <si>
    <t>溪口镇</t>
  </si>
  <si>
    <t>Xīmén Jiēdào</t>
  </si>
  <si>
    <t>西门街道</t>
  </si>
  <si>
    <t>Xīnmíng Jiēdào</t>
  </si>
  <si>
    <t>新明街道</t>
  </si>
  <si>
    <t>Xīnpŭ Zhèn</t>
  </si>
  <si>
    <t>新浦镇</t>
  </si>
  <si>
    <t>Xīnqiáo Zhèn</t>
  </si>
  <si>
    <t>新桥镇</t>
  </si>
  <si>
    <t>Xīnqì Jiēdào</t>
  </si>
  <si>
    <t>新碶街道</t>
  </si>
  <si>
    <t>Xīwù Jiēdào</t>
  </si>
  <si>
    <t>西坞街道</t>
  </si>
  <si>
    <t>Xīzhōu Zhèn</t>
  </si>
  <si>
    <t>西周镇</t>
  </si>
  <si>
    <t>Yángmíng Jiēdào</t>
  </si>
  <si>
    <t>阳明街道</t>
  </si>
  <si>
    <t>Yínjiāng Zhèn</t>
  </si>
  <si>
    <t>鄞江镇</t>
  </si>
  <si>
    <t>Yīshì Zhèn</t>
  </si>
  <si>
    <t>一市镇</t>
  </si>
  <si>
    <t>Yŏngjiāng Jiēdào</t>
  </si>
  <si>
    <t>甬江街道</t>
  </si>
  <si>
    <t>Yuèhú Jiēdào</t>
  </si>
  <si>
    <t>月湖街道</t>
  </si>
  <si>
    <t>Yuèlín Jiēdào</t>
  </si>
  <si>
    <t>岳林街道</t>
  </si>
  <si>
    <t>Yuèlóng Jiēdào</t>
  </si>
  <si>
    <t>跃龙街道</t>
  </si>
  <si>
    <t>Yuèxī Xiāng</t>
  </si>
  <si>
    <t>越溪乡</t>
  </si>
  <si>
    <t>Yúnlóng Zhèn</t>
  </si>
  <si>
    <t>云龙镇</t>
  </si>
  <si>
    <t>Zhăngqĭ Zhèn</t>
  </si>
  <si>
    <t>掌起镇</t>
  </si>
  <si>
    <t>Zhāngshuĭ Zhèn</t>
  </si>
  <si>
    <t>章水镇</t>
  </si>
  <si>
    <t>Zhàngtíng Zhèn</t>
  </si>
  <si>
    <t>丈亭镇</t>
  </si>
  <si>
    <t>Zhānqí Zhèn</t>
  </si>
  <si>
    <t>瞻岐镇</t>
  </si>
  <si>
    <t>Zhāobăoshān Jiēdào</t>
  </si>
  <si>
    <t>招宝山街道</t>
  </si>
  <si>
    <t>Zhōnggōngmiào Jiēdào</t>
  </si>
  <si>
    <t>钟公庙街道</t>
  </si>
  <si>
    <t>Zhōnghé Jiēdào</t>
  </si>
  <si>
    <t>中河街道</t>
  </si>
  <si>
    <t>Zhōuxiàng Zhèn [incl. Tiānyuán Zhèn]</t>
  </si>
  <si>
    <t>周巷镇</t>
  </si>
  <si>
    <t>Zhuāngqiáo Jiēdào</t>
  </si>
  <si>
    <t>庄桥街道</t>
  </si>
  <si>
    <t>Zhuāngshì Jiēdào</t>
  </si>
  <si>
    <t>庄市街道</t>
  </si>
  <si>
    <t>Zōnghàn Jiēdào</t>
  </si>
  <si>
    <t>宗汉街道</t>
  </si>
  <si>
    <t>Báishí Zhèn</t>
  </si>
  <si>
    <t>白石镇</t>
  </si>
  <si>
    <t>Chángshān Xiàn</t>
  </si>
  <si>
    <t>Kēchéng Qū</t>
  </si>
  <si>
    <t>Băo'ān Xiāng</t>
  </si>
  <si>
    <t>保安乡</t>
  </si>
  <si>
    <t>Jiāngshān Shì</t>
  </si>
  <si>
    <t>Chánghóng Xiāng</t>
  </si>
  <si>
    <t>长虹乡</t>
  </si>
  <si>
    <t>Kāihuà Xiàn</t>
  </si>
  <si>
    <t>Chángtái Zhèn</t>
  </si>
  <si>
    <t>长台镇</t>
  </si>
  <si>
    <t>Chíhuái Zhèn [incl. Zhāngwān Xiāng]</t>
  </si>
  <si>
    <t>池淮镇</t>
  </si>
  <si>
    <t>Cūntóu Zhèn</t>
  </si>
  <si>
    <t>村头镇</t>
  </si>
  <si>
    <t>Dàchén Xiāng</t>
  </si>
  <si>
    <t>大陈乡</t>
  </si>
  <si>
    <t>Dàjiē Xiāng</t>
  </si>
  <si>
    <t>大街乡</t>
  </si>
  <si>
    <t>Lóngyóu Xiàn</t>
  </si>
  <si>
    <t>Dàqiáotóu Xiāng</t>
  </si>
  <si>
    <t>大桥头乡</t>
  </si>
  <si>
    <t>Dàxībiān Xiāng</t>
  </si>
  <si>
    <t>大溪边乡</t>
  </si>
  <si>
    <t>Dàzhōu Zhèn</t>
  </si>
  <si>
    <t>大洲镇</t>
  </si>
  <si>
    <t>Qújiāng Qū</t>
  </si>
  <si>
    <t>Dōng'àn Xiāng</t>
  </si>
  <si>
    <t>东案乡</t>
  </si>
  <si>
    <t>Dōnghuá Jiēdào</t>
  </si>
  <si>
    <t>东华街道</t>
  </si>
  <si>
    <t>Dùzé Zhèn</t>
  </si>
  <si>
    <t>杜泽镇</t>
  </si>
  <si>
    <t>Fāngcūn Zhèn [incl. Xīnqiáo Xiāng]</t>
  </si>
  <si>
    <t>芳村镇</t>
  </si>
  <si>
    <t>Fènglín Zhèn</t>
  </si>
  <si>
    <t>凤林镇</t>
  </si>
  <si>
    <t>Fŭshān Jiēdào</t>
  </si>
  <si>
    <t>府山街道</t>
  </si>
  <si>
    <t>Fúshí Jiēdào</t>
  </si>
  <si>
    <t>浮石街道</t>
  </si>
  <si>
    <t>Gāojiā Zhèn</t>
  </si>
  <si>
    <t>高家镇</t>
  </si>
  <si>
    <t>Gōuxī Xiāng</t>
  </si>
  <si>
    <t>沟溪乡</t>
  </si>
  <si>
    <t>Hángbù Zhèn</t>
  </si>
  <si>
    <t>航埠镇</t>
  </si>
  <si>
    <t>Hècūn Zhèn [incl. Yūtóu Zhèn]</t>
  </si>
  <si>
    <t>贺村镇</t>
  </si>
  <si>
    <t>Héhuā Jiēdào</t>
  </si>
  <si>
    <t>荷花街道</t>
  </si>
  <si>
    <t>Héjiā Xiāng</t>
  </si>
  <si>
    <t>何家乡</t>
  </si>
  <si>
    <t>Héngshān Zhèn</t>
  </si>
  <si>
    <t>横山镇</t>
  </si>
  <si>
    <t>Hétián Xiāng</t>
  </si>
  <si>
    <t>何田乡</t>
  </si>
  <si>
    <t>Hòuxī Zhèn</t>
  </si>
  <si>
    <t>后溪镇</t>
  </si>
  <si>
    <t>Huábù Zhèn [incl. Chéngguān Zhèn, Jīncūn Xiāng]</t>
  </si>
  <si>
    <t>华埠镇</t>
  </si>
  <si>
    <t>Huángjiā Xiāng</t>
  </si>
  <si>
    <t>黄家乡</t>
  </si>
  <si>
    <t>Huángtánkŏu Xiāng</t>
  </si>
  <si>
    <t>黄坛口乡</t>
  </si>
  <si>
    <t>Huáshù Xiāng</t>
  </si>
  <si>
    <t>华墅乡</t>
  </si>
  <si>
    <t>Huāyuán Jiēdào</t>
  </si>
  <si>
    <t>花园街道</t>
  </si>
  <si>
    <t>Huībù Zhèn [incl. Sòngfàn Xiāng]</t>
  </si>
  <si>
    <t>辉埠镇</t>
  </si>
  <si>
    <t>Huīpíng Xiāng</t>
  </si>
  <si>
    <t>灰坪乡</t>
  </si>
  <si>
    <t>Húnán Zhèn</t>
  </si>
  <si>
    <t>湖南镇</t>
  </si>
  <si>
    <t>虎山街道</t>
  </si>
  <si>
    <t>湖镇镇</t>
  </si>
  <si>
    <t>Jiāngjiāshān Xiāng</t>
  </si>
  <si>
    <t>姜家山乡</t>
  </si>
  <si>
    <t>Jiŭhuá Xiāng</t>
  </si>
  <si>
    <t>九华乡</t>
  </si>
  <si>
    <t>Jŭcūn Xiāng</t>
  </si>
  <si>
    <t>举村乡</t>
  </si>
  <si>
    <t>Lĭngyáng Xiāng</t>
  </si>
  <si>
    <t>岭洋乡</t>
  </si>
  <si>
    <t>Línshān Xiāng</t>
  </si>
  <si>
    <t>林山乡</t>
  </si>
  <si>
    <t>Lóngzhōu Jiēdào</t>
  </si>
  <si>
    <t>龙洲街道</t>
  </si>
  <si>
    <t>Luójiā Xiāng</t>
  </si>
  <si>
    <t>罗家乡</t>
  </si>
  <si>
    <t>Măjīn Zhèn [incl. Tángwù Xiāng]</t>
  </si>
  <si>
    <t>马金镇</t>
  </si>
  <si>
    <t>Miàoxià Xiāng</t>
  </si>
  <si>
    <t>庙下乡</t>
  </si>
  <si>
    <t>Móhuán Xiāng</t>
  </si>
  <si>
    <t>模环乡</t>
  </si>
  <si>
    <t>Mùchén Shēzú Xiāng</t>
  </si>
  <si>
    <t>沐尘畲族乡</t>
  </si>
  <si>
    <t>Niànbādū Zhèn</t>
  </si>
  <si>
    <t>廿八都镇</t>
  </si>
  <si>
    <t>Niànlĭ Zhèn</t>
  </si>
  <si>
    <t>廿里镇</t>
  </si>
  <si>
    <t>Qīnghú Jiēdào</t>
  </si>
  <si>
    <t>清湖街道</t>
  </si>
  <si>
    <t>Qīngshí Zhèn</t>
  </si>
  <si>
    <t>青石镇</t>
  </si>
  <si>
    <t>Qiúchuān Zhèn</t>
  </si>
  <si>
    <t>球川镇</t>
  </si>
  <si>
    <t>Qíxī Zhèn</t>
  </si>
  <si>
    <t>齐溪镇</t>
  </si>
  <si>
    <t>Quánwàng Zhèn</t>
  </si>
  <si>
    <t>全旺镇</t>
  </si>
  <si>
    <t>Shàngfāng Zhèn</t>
  </si>
  <si>
    <t>上方镇</t>
  </si>
  <si>
    <t>Shàngyú Zhèn</t>
  </si>
  <si>
    <t>上余镇</t>
  </si>
  <si>
    <t>Shèyáng Xiāng</t>
  </si>
  <si>
    <t>社阳乡</t>
  </si>
  <si>
    <t>Shífó Xiāng</t>
  </si>
  <si>
    <t>石佛乡</t>
  </si>
  <si>
    <t>Shíliáng Zhèn</t>
  </si>
  <si>
    <t>石梁镇</t>
  </si>
  <si>
    <t>Shíshì Xiāng</t>
  </si>
  <si>
    <t>石室乡</t>
  </si>
  <si>
    <t>Shuānggăng Jiēdào</t>
  </si>
  <si>
    <t>双港街道</t>
  </si>
  <si>
    <t>Shuāngqiáo Xiāng</t>
  </si>
  <si>
    <t>双桥乡</t>
  </si>
  <si>
    <t>Shuāngtă Jiēdào</t>
  </si>
  <si>
    <t>双塔街道</t>
  </si>
  <si>
    <t>Sìdū Zhèn</t>
  </si>
  <si>
    <t>四都镇</t>
  </si>
  <si>
    <t>Sūzhuāng Zhèn</t>
  </si>
  <si>
    <t>苏庄镇</t>
  </si>
  <si>
    <t>Tàizhēn Xiāng</t>
  </si>
  <si>
    <t>太真乡</t>
  </si>
  <si>
    <t>Tángyuánkŏu Xiāng</t>
  </si>
  <si>
    <t>塘源口乡</t>
  </si>
  <si>
    <t>Tánshí Zhèn</t>
  </si>
  <si>
    <t>坛石镇</t>
  </si>
  <si>
    <t>Tăshí Zhèn</t>
  </si>
  <si>
    <t>塔石镇</t>
  </si>
  <si>
    <t>Tiānmă Jiēdào [incl. Jīnchuān Jiēdào, Zǐgǎng Jiēdào]</t>
  </si>
  <si>
    <t>天马街道</t>
  </si>
  <si>
    <t>Tóngcūn Zhèn</t>
  </si>
  <si>
    <t>桐村镇</t>
  </si>
  <si>
    <t>Tónggōng Xiāng</t>
  </si>
  <si>
    <t>同弓乡</t>
  </si>
  <si>
    <t>Wàntián Xiāng</t>
  </si>
  <si>
    <t>万田乡</t>
  </si>
  <si>
    <t>Wănyáo Xiāng</t>
  </si>
  <si>
    <t>碗窑乡</t>
  </si>
  <si>
    <t>Xiáchuān Zhèn</t>
  </si>
  <si>
    <t>峡川镇</t>
  </si>
  <si>
    <t>Xiákŏu Zhèn</t>
  </si>
  <si>
    <t>峡口镇</t>
  </si>
  <si>
    <t>Xiăonánhăi Zhèn</t>
  </si>
  <si>
    <t>小南海镇</t>
  </si>
  <si>
    <t>Xìn'ān Jiēdào</t>
  </si>
  <si>
    <t>信安街道</t>
  </si>
  <si>
    <t>Xīnchāng Xiāng</t>
  </si>
  <si>
    <t>新昌乡</t>
  </si>
  <si>
    <t>Xīntángbiān Zhèn</t>
  </si>
  <si>
    <t>新塘边镇</t>
  </si>
  <si>
    <t>Xīnxīn Jiēdào</t>
  </si>
  <si>
    <t>新新街道</t>
  </si>
  <si>
    <t>Yánglín Zhèn</t>
  </si>
  <si>
    <t>杨林镇</t>
  </si>
  <si>
    <t>Yīnkēng Xiāng</t>
  </si>
  <si>
    <t>音坑乡</t>
  </si>
  <si>
    <t>Yúnxī Xiāng</t>
  </si>
  <si>
    <t>云溪乡</t>
  </si>
  <si>
    <t>Zhāngcūn Xiāng [incl.Shuāngxīkŏu Xiāng]</t>
  </si>
  <si>
    <t>Zhāngtán Jiēdào</t>
  </si>
  <si>
    <t>樟潭街道</t>
  </si>
  <si>
    <t>Zhānjiā Zhèn</t>
  </si>
  <si>
    <t>詹家镇</t>
  </si>
  <si>
    <t>Zhāoxián Zhèn</t>
  </si>
  <si>
    <t>招贤镇</t>
  </si>
  <si>
    <t>Zhōngcūn Xiāng</t>
  </si>
  <si>
    <t>中村乡</t>
  </si>
  <si>
    <t>Zhōujiā Xiāng</t>
  </si>
  <si>
    <t>周家乡</t>
  </si>
  <si>
    <t>Ānchāng Jiēdào</t>
  </si>
  <si>
    <t>安昌街道</t>
  </si>
  <si>
    <t>Kēqiáo Qū</t>
  </si>
  <si>
    <t>Ānhuá Zhèn</t>
  </si>
  <si>
    <t>安华镇</t>
  </si>
  <si>
    <t>Zhūjì Shì</t>
  </si>
  <si>
    <t>Băiguān Jiēdào</t>
  </si>
  <si>
    <t>百官街道</t>
  </si>
  <si>
    <t>Shàngyú Qū</t>
  </si>
  <si>
    <t>Bĕihăi Jiēdào</t>
  </si>
  <si>
    <t>北海街道</t>
  </si>
  <si>
    <t>Yuèchéng Qū</t>
  </si>
  <si>
    <t>Cáo'é Jiēdào</t>
  </si>
  <si>
    <t>曹娥街道</t>
  </si>
  <si>
    <t>Chánglè Zhèn</t>
  </si>
  <si>
    <t>长乐镇</t>
  </si>
  <si>
    <t>Shèngzhōu Shì</t>
  </si>
  <si>
    <t>Chángtáng Zhèn</t>
  </si>
  <si>
    <t>长塘镇</t>
  </si>
  <si>
    <t>Chéngnán Jiēdào</t>
  </si>
  <si>
    <t>Chéngnán Xiāng</t>
  </si>
  <si>
    <t>城南乡</t>
  </si>
  <si>
    <t>Xīnchāng Xiàn</t>
  </si>
  <si>
    <t>Chéngtán Jiēdào [incl. Méizhŭ Zhèn]</t>
  </si>
  <si>
    <t>澄潭街道</t>
  </si>
  <si>
    <t>Chénxī Xiāng</t>
  </si>
  <si>
    <t>陈溪乡</t>
  </si>
  <si>
    <t>Chénzhái Zhèn</t>
  </si>
  <si>
    <t>陈宅镇</t>
  </si>
  <si>
    <t>Chóngrén Zhèn</t>
  </si>
  <si>
    <t>崇仁镇</t>
  </si>
  <si>
    <t>Cìwù Zhèn</t>
  </si>
  <si>
    <t>次坞镇</t>
  </si>
  <si>
    <t>Dàoxū Jiēdào</t>
  </si>
  <si>
    <t>道墟街道</t>
  </si>
  <si>
    <t>Dàtáng Jiēdào [incl. Căotă Zhèn]</t>
  </si>
  <si>
    <t>大唐街道</t>
  </si>
  <si>
    <t>Diànkŏu Zhèn [incl. Ruănshì Zhèn]</t>
  </si>
  <si>
    <t>店口镇</t>
  </si>
  <si>
    <t>Dídàng Jiēdào</t>
  </si>
  <si>
    <t>迪荡街道</t>
  </si>
  <si>
    <t>Dīngzhái Xiāng</t>
  </si>
  <si>
    <t>丁宅乡</t>
  </si>
  <si>
    <t>Dōngbáihú Zhèn</t>
  </si>
  <si>
    <t>东白湖镇</t>
  </si>
  <si>
    <t>Dōngguān Jiēdào</t>
  </si>
  <si>
    <t>东关街道</t>
  </si>
  <si>
    <t>Dōnghé Xiāng</t>
  </si>
  <si>
    <t>东和乡</t>
  </si>
  <si>
    <t>Dōngmíng Xiāng</t>
  </si>
  <si>
    <t>东茗乡</t>
  </si>
  <si>
    <t>Dōngpŭ Jiēdào</t>
  </si>
  <si>
    <t>东浦街道</t>
  </si>
  <si>
    <t>Dòumén Jiēdào</t>
  </si>
  <si>
    <t>斗门街道</t>
  </si>
  <si>
    <t>Fēnghuì Zhèn</t>
  </si>
  <si>
    <t>丰惠镇</t>
  </si>
  <si>
    <t>Fēngqiáo Zhèn</t>
  </si>
  <si>
    <t>枫桥镇</t>
  </si>
  <si>
    <t>Fúquán Jiēdào</t>
  </si>
  <si>
    <t>福全街道</t>
  </si>
  <si>
    <t>Fùshèng Zhèn</t>
  </si>
  <si>
    <t>富盛镇</t>
  </si>
  <si>
    <t>Gàibĕi Zhèn</t>
  </si>
  <si>
    <t>盖北镇</t>
  </si>
  <si>
    <t>Gānlín Zhèn</t>
  </si>
  <si>
    <t>甘霖镇</t>
  </si>
  <si>
    <t>Gāobù Jiēdào</t>
  </si>
  <si>
    <t>皋埠街道</t>
  </si>
  <si>
    <t>Guìmén Xiāng [incl. Lĭnán Xiāng]</t>
  </si>
  <si>
    <t>贵门乡</t>
  </si>
  <si>
    <t>Gŭlái Zhèn [incl. Zhúxī Xiāng, Wángyuàn Xiāng]</t>
  </si>
  <si>
    <t>谷来镇</t>
  </si>
  <si>
    <t>Huàndōng Jiēdào</t>
  </si>
  <si>
    <t>浣东街道</t>
  </si>
  <si>
    <t>Huángshān Zhèn</t>
  </si>
  <si>
    <t>璜山镇</t>
  </si>
  <si>
    <t>Huángzé Zhèn</t>
  </si>
  <si>
    <t>黄泽镇</t>
  </si>
  <si>
    <t>Huáshè Jiēdào</t>
  </si>
  <si>
    <t>华舍街道</t>
  </si>
  <si>
    <t>Huíshān Zhèn</t>
  </si>
  <si>
    <t>回山镇</t>
  </si>
  <si>
    <t>Hútáng Jiēdào</t>
  </si>
  <si>
    <t>湖塘街道</t>
  </si>
  <si>
    <t>Jiànhú Jiēdào</t>
  </si>
  <si>
    <t>鉴湖街道</t>
  </si>
  <si>
    <t>Jīdōng Zhèn</t>
  </si>
  <si>
    <t>稽东镇</t>
  </si>
  <si>
    <t>Jìnán Jiēdào [incl. Wángjiājĭng Zhèn, Jiētíng Zhèn]</t>
  </si>
  <si>
    <t>暨南街道</t>
  </si>
  <si>
    <t>Jìnglĭng Zhèn</t>
  </si>
  <si>
    <t>镜岭镇</t>
  </si>
  <si>
    <t>Jīntíng Zhèn [incl. Bĕizhāng Zhèn]</t>
  </si>
  <si>
    <t>金庭镇</t>
  </si>
  <si>
    <t>Jíshān Jiēdào</t>
  </si>
  <si>
    <t>蕺山街道</t>
  </si>
  <si>
    <t>Jīshān Jiēdào</t>
  </si>
  <si>
    <t>稽山街道</t>
  </si>
  <si>
    <t>Jìyáng Jiēdào</t>
  </si>
  <si>
    <t>暨阳街道</t>
  </si>
  <si>
    <t>Kēqiáo Jiēdào</t>
  </si>
  <si>
    <t>柯桥街道</t>
  </si>
  <si>
    <t>Kēyán Jiēdào</t>
  </si>
  <si>
    <t>柯岩街道</t>
  </si>
  <si>
    <t>Lántíng Jiēdào</t>
  </si>
  <si>
    <t>兰亭街道</t>
  </si>
  <si>
    <t>Liánghú Jiēdào</t>
  </si>
  <si>
    <t>梁湖街道</t>
  </si>
  <si>
    <t>Lìhăi Jiēdào</t>
  </si>
  <si>
    <t>沥海街道</t>
  </si>
  <si>
    <t>Lĭngbĕi Zhèn</t>
  </si>
  <si>
    <t>岭北镇</t>
  </si>
  <si>
    <t>Lĭngnán Xiāng</t>
  </si>
  <si>
    <t>岭南乡</t>
  </si>
  <si>
    <t>Língzhī Jiēdào</t>
  </si>
  <si>
    <t>灵芝街道</t>
  </si>
  <si>
    <t>浬浦镇</t>
  </si>
  <si>
    <t>Lízhŭ Zhèn</t>
  </si>
  <si>
    <t>漓渚镇</t>
  </si>
  <si>
    <t>Mă'ān Jiēdào</t>
  </si>
  <si>
    <t>马鞍街道</t>
  </si>
  <si>
    <t>马剑镇</t>
  </si>
  <si>
    <t>Măshān Jiēdào</t>
  </si>
  <si>
    <t>马山街道</t>
  </si>
  <si>
    <t>Nánmíng Jiēdào</t>
  </si>
  <si>
    <t>南明街道</t>
  </si>
  <si>
    <t>Páitóu Zhèn</t>
  </si>
  <si>
    <t>牌头镇</t>
  </si>
  <si>
    <t>Píngshuĭ Zhèn</t>
  </si>
  <si>
    <t>平水镇</t>
  </si>
  <si>
    <t>Pŭkŏu Jiēdào</t>
  </si>
  <si>
    <t>浦口街道</t>
  </si>
  <si>
    <t>Qiánqīng Jiēdào</t>
  </si>
  <si>
    <t>钱清街道</t>
  </si>
  <si>
    <t>Qiăoyīng Xiāng</t>
  </si>
  <si>
    <t>巧英乡</t>
  </si>
  <si>
    <t>Qíxián Jiēdào</t>
  </si>
  <si>
    <t>齐贤街道</t>
  </si>
  <si>
    <t>Rú'ào Zhèn</t>
  </si>
  <si>
    <t>儒岙镇</t>
  </si>
  <si>
    <t>Sānjiè Zhèn</t>
  </si>
  <si>
    <t>三界镇</t>
  </si>
  <si>
    <t>Shàngpŭ Zhèn</t>
  </si>
  <si>
    <t>上浦镇</t>
  </si>
  <si>
    <t>Shānxiàhú Zhèn</t>
  </si>
  <si>
    <t>山下湖镇</t>
  </si>
  <si>
    <t>Shāxī Zhèn</t>
  </si>
  <si>
    <t>沙溪镇</t>
  </si>
  <si>
    <t>Shèngzhōu Jīngjì Kāifāqū</t>
  </si>
  <si>
    <t>嵊州经济开发区</t>
  </si>
  <si>
    <t>Shíhuáng Zhèn [incl. Yăhuáng Xiāng, Tōngyuán Xiāng]</t>
  </si>
  <si>
    <t>石璜镇</t>
  </si>
  <si>
    <t>Shuāngcăi Xiāng</t>
  </si>
  <si>
    <t>双彩乡</t>
  </si>
  <si>
    <t>Sōngxià Jiēdào</t>
  </si>
  <si>
    <t>崧厦街道</t>
  </si>
  <si>
    <t>Sūnduān Jiēdào</t>
  </si>
  <si>
    <t>孙端街道</t>
  </si>
  <si>
    <t>Tāngpŭ Zhèn</t>
  </si>
  <si>
    <t>汤浦镇</t>
  </si>
  <si>
    <t>Táoyàn Jiēdào</t>
  </si>
  <si>
    <t>陶堰街道</t>
  </si>
  <si>
    <t>Táozhū Jiēdào</t>
  </si>
  <si>
    <t>陶朱街道</t>
  </si>
  <si>
    <t>Tăshān Jiēdào</t>
  </si>
  <si>
    <t>塔山街道</t>
  </si>
  <si>
    <t>Tóngshān Zhèn</t>
  </si>
  <si>
    <t>同山镇</t>
  </si>
  <si>
    <t>Wángtán Zhèn</t>
  </si>
  <si>
    <t>王坛镇</t>
  </si>
  <si>
    <t>Wòzhōu Zhèn [Dàshìjù Zhèn]</t>
  </si>
  <si>
    <t>沃洲镇</t>
  </si>
  <si>
    <t>Wŭxiè Zhèn</t>
  </si>
  <si>
    <t>五泄镇</t>
  </si>
  <si>
    <t>Xiàguăn Zhèn</t>
  </si>
  <si>
    <t>下管镇</t>
  </si>
  <si>
    <t>Xiàlǚ Zhèn</t>
  </si>
  <si>
    <t>夏履镇</t>
  </si>
  <si>
    <t>Xiānyán Zhèn</t>
  </si>
  <si>
    <t>仙岩镇</t>
  </si>
  <si>
    <t>Xiăojiāng Zhèn</t>
  </si>
  <si>
    <t>小将镇</t>
  </si>
  <si>
    <t>Xiăoyuè Jiēdào</t>
  </si>
  <si>
    <t>小越街道</t>
  </si>
  <si>
    <t>Xiàwáng Zhèn</t>
  </si>
  <si>
    <t>下王镇</t>
  </si>
  <si>
    <t>Xiètáng Zhèn</t>
  </si>
  <si>
    <t>谢塘镇</t>
  </si>
  <si>
    <t>Xīnlín Xiāng</t>
  </si>
  <si>
    <t>新林乡</t>
  </si>
  <si>
    <t>Yángxùnqiáo Jiēdào</t>
  </si>
  <si>
    <t>杨汛桥街道</t>
  </si>
  <si>
    <t>Yănhú Jiēdào</t>
  </si>
  <si>
    <t>剡湖街道</t>
  </si>
  <si>
    <t>Yáojiāng Zhèn [incl. Zhíbù Zhèn, Jiāngzăo Zhèn]</t>
  </si>
  <si>
    <t>姚江镇</t>
  </si>
  <si>
    <t>Yīngdiànjiē Zhèn</t>
  </si>
  <si>
    <t>应店街镇</t>
  </si>
  <si>
    <t>驿亭镇</t>
  </si>
  <si>
    <t>Yŏnghé Zhèn</t>
  </si>
  <si>
    <t>永和镇</t>
  </si>
  <si>
    <t>Yŭlín Jiēdào</t>
  </si>
  <si>
    <t>羽林街道</t>
  </si>
  <si>
    <t>Zhāngzhèn Zhèn</t>
  </si>
  <si>
    <t>章镇镇</t>
  </si>
  <si>
    <t>Zhàojiā Zhèn</t>
  </si>
  <si>
    <t>赵家镇</t>
  </si>
  <si>
    <t>Ānlĭng Xiāng</t>
  </si>
  <si>
    <t>安岭乡</t>
  </si>
  <si>
    <t>Xiānjū Xiàn</t>
  </si>
  <si>
    <t>Ānzhōu Jiēdào</t>
  </si>
  <si>
    <t>安洲街道</t>
  </si>
  <si>
    <t>Báihè Zhèn</t>
  </si>
  <si>
    <t>白鹤镇</t>
  </si>
  <si>
    <t>Tiāntái Xiàn</t>
  </si>
  <si>
    <t>Báishuĭyáng Zhèn</t>
  </si>
  <si>
    <t>白水洋镇</t>
  </si>
  <si>
    <t>Línhăi Shì</t>
  </si>
  <si>
    <t>Báită Zhèn</t>
  </si>
  <si>
    <t>白塔镇</t>
  </si>
  <si>
    <t>Jiāojiāng Qū</t>
  </si>
  <si>
    <t>Bĕichéng Jiēdào</t>
  </si>
  <si>
    <t>北城街道</t>
  </si>
  <si>
    <t>Huángyán Qū</t>
  </si>
  <si>
    <t>Bĕiyáng Zhèn</t>
  </si>
  <si>
    <t>北洋镇</t>
  </si>
  <si>
    <t>Bīnhăi Zhèn</t>
  </si>
  <si>
    <t>滨海镇</t>
  </si>
  <si>
    <t>Wēnlĭng Shì</t>
  </si>
  <si>
    <t>Bùlù Xiāng</t>
  </si>
  <si>
    <t>步路乡</t>
  </si>
  <si>
    <t>Bùtóu Zhèn</t>
  </si>
  <si>
    <t>埠头镇</t>
  </si>
  <si>
    <t>Chéngjiāng Jiēdào</t>
  </si>
  <si>
    <t>澄江街道</t>
  </si>
  <si>
    <t>Chéngnán Zhèn</t>
  </si>
  <si>
    <t>城南镇</t>
  </si>
  <si>
    <t>Chìchéng Jiēdào</t>
  </si>
  <si>
    <t>赤城街道</t>
  </si>
  <si>
    <t>Chŭmén Zhèn</t>
  </si>
  <si>
    <t>楚门镇</t>
  </si>
  <si>
    <t>Yùhuán Shì</t>
  </si>
  <si>
    <t>Dàmàiyŭ Jiēdào</t>
  </si>
  <si>
    <t>大麦屿街道</t>
  </si>
  <si>
    <t>Dànzhú Xiāng</t>
  </si>
  <si>
    <t>淡竹乡</t>
  </si>
  <si>
    <t>Dàtián Jiēdào</t>
  </si>
  <si>
    <t>大田街道</t>
  </si>
  <si>
    <t>Dàxī Zhèn</t>
  </si>
  <si>
    <t>大溪镇</t>
  </si>
  <si>
    <t>Dàyáng Jiēdào</t>
  </si>
  <si>
    <t>大洋街道</t>
  </si>
  <si>
    <t>Dàzhàn Xiāng</t>
  </si>
  <si>
    <t>大战乡</t>
  </si>
  <si>
    <t>Dōngchéng Zhèn</t>
  </si>
  <si>
    <t>东塍镇</t>
  </si>
  <si>
    <t>Dùqiáo Zhèn</t>
  </si>
  <si>
    <t>杜桥镇</t>
  </si>
  <si>
    <t>Fēngjiāng Jiēdào</t>
  </si>
  <si>
    <t>峰江街道</t>
  </si>
  <si>
    <t>Lùqiáo Qū</t>
  </si>
  <si>
    <t>富山乡</t>
  </si>
  <si>
    <t>Fúxī Jiēdào</t>
  </si>
  <si>
    <t>福溪街道</t>
  </si>
  <si>
    <t>Fúyīng Jiēdào</t>
  </si>
  <si>
    <t>福应街道</t>
  </si>
  <si>
    <t>Gānjiāng Zhèn</t>
  </si>
  <si>
    <t>干江镇</t>
  </si>
  <si>
    <t>Guăngdù Xiāng</t>
  </si>
  <si>
    <t>广度乡</t>
  </si>
  <si>
    <t>Guānlù Zhèn</t>
  </si>
  <si>
    <t>官路镇</t>
  </si>
  <si>
    <t>Gŭchéng Jiēdào</t>
  </si>
  <si>
    <t>古城街道</t>
  </si>
  <si>
    <t>Hăimén Jiēdào</t>
  </si>
  <si>
    <t>海门街道</t>
  </si>
  <si>
    <t>Hăishān Xiāng</t>
  </si>
  <si>
    <t>海山乡</t>
  </si>
  <si>
    <t>Hăiyóu Jiēdào</t>
  </si>
  <si>
    <t>海游街道</t>
  </si>
  <si>
    <t>Sānmén Xiàn</t>
  </si>
  <si>
    <t>Héngdù Zhèn</t>
  </si>
  <si>
    <t>横渡镇</t>
  </si>
  <si>
    <t>Héngfēng Jiēdào</t>
  </si>
  <si>
    <t>横峰街道</t>
  </si>
  <si>
    <t>Hétóu Zhèn</t>
  </si>
  <si>
    <t>河头镇</t>
  </si>
  <si>
    <t>Hóngchóu Zhèn</t>
  </si>
  <si>
    <t>洪畴镇</t>
  </si>
  <si>
    <t>Hóngjiā Jiēdào</t>
  </si>
  <si>
    <t>洪家街道</t>
  </si>
  <si>
    <t>Huāqiáo Zhèn</t>
  </si>
  <si>
    <t>花桥镇</t>
  </si>
  <si>
    <t>Huìxī Zhèn</t>
  </si>
  <si>
    <t>汇溪镇</t>
  </si>
  <si>
    <t>Jiàntiào Zhèn [incl. Liù'áo Zhèn]</t>
  </si>
  <si>
    <t>健跳镇</t>
  </si>
  <si>
    <t>Jiāojiāng Nóngchăng</t>
  </si>
  <si>
    <t>椒江农场</t>
  </si>
  <si>
    <t>Jiāzhĭ Jiēdào</t>
  </si>
  <si>
    <t>葭沚街道</t>
  </si>
  <si>
    <t>Jiētóu Zhèn</t>
  </si>
  <si>
    <t>街头镇</t>
  </si>
  <si>
    <t>Jīnqīng Zhèn</t>
  </si>
  <si>
    <t>金清镇</t>
  </si>
  <si>
    <t>Jīshān Xiāng</t>
  </si>
  <si>
    <t>鸡山乡</t>
  </si>
  <si>
    <t>Kănmén Jiēdào</t>
  </si>
  <si>
    <t>坎门街道</t>
  </si>
  <si>
    <t>Kuòcāng Zhèn</t>
  </si>
  <si>
    <t>括苍镇</t>
  </si>
  <si>
    <t>Léifēng Xiāng</t>
  </si>
  <si>
    <t>雷峰乡</t>
  </si>
  <si>
    <t>Lóngxī Zhèn</t>
  </si>
  <si>
    <t>龙溪镇</t>
  </si>
  <si>
    <t>Lùbĕi Jiēdào</t>
  </si>
  <si>
    <t>路北街道</t>
  </si>
  <si>
    <t>Lùnán Jiēdào</t>
  </si>
  <si>
    <t>路南街道</t>
  </si>
  <si>
    <t>Luóyáng Jiēdào</t>
  </si>
  <si>
    <t>螺洋街道</t>
  </si>
  <si>
    <t>Lúpŭ Zhèn</t>
  </si>
  <si>
    <t>芦浦镇</t>
  </si>
  <si>
    <t>Lùqiáo Jiēdào</t>
  </si>
  <si>
    <t>路桥街道</t>
  </si>
  <si>
    <t>Máoshē Xiāng</t>
  </si>
  <si>
    <t>茅畲乡</t>
  </si>
  <si>
    <t>Nánchéng Jiēdào</t>
  </si>
  <si>
    <t>南城街道</t>
  </si>
  <si>
    <t>Nánfēng Jiēdào</t>
  </si>
  <si>
    <t>南峰街道</t>
  </si>
  <si>
    <t>Nánpíng Xiāng</t>
  </si>
  <si>
    <t>南屏乡</t>
  </si>
  <si>
    <t>Níngxī Zhèn</t>
  </si>
  <si>
    <t>宁溪镇</t>
  </si>
  <si>
    <t>Péngjiē Zhèn</t>
  </si>
  <si>
    <t>蓬街镇</t>
  </si>
  <si>
    <t>Píngqiáo Zhèn</t>
  </si>
  <si>
    <t>平桥镇</t>
  </si>
  <si>
    <t>Píngtián Xiāng</t>
  </si>
  <si>
    <t>平田乡</t>
  </si>
  <si>
    <t>Pótān Xiāng</t>
  </si>
  <si>
    <t>皤滩乡</t>
  </si>
  <si>
    <t>Pǔbàgǎng Zhèn [incl. Lĭpŭ Zhèn, Sìlín Xiāng, Xiăoxióng Zhèn, Yánchì Xiāng]</t>
  </si>
  <si>
    <t>浦坝港镇</t>
  </si>
  <si>
    <t>Qiánsuŏ Jiēdào</t>
  </si>
  <si>
    <t>前所街道</t>
  </si>
  <si>
    <t>Qīnggăng Zhèn</t>
  </si>
  <si>
    <t>清港镇</t>
  </si>
  <si>
    <t>Qiūshān Xiāng</t>
  </si>
  <si>
    <t>湫山乡</t>
  </si>
  <si>
    <t>Ruòhéng Zhèn</t>
  </si>
  <si>
    <t>箬横镇</t>
  </si>
  <si>
    <t>Sānhé Zhèn</t>
  </si>
  <si>
    <t>三合镇</t>
  </si>
  <si>
    <t>Sānjiă Jiēdào [incl. Bīnhǎi Qōngyè Qū]</t>
  </si>
  <si>
    <t>三甲街道</t>
  </si>
  <si>
    <t>Sānzhōu Xiāng</t>
  </si>
  <si>
    <t>三州乡</t>
  </si>
  <si>
    <t>Shābù Zhèn</t>
  </si>
  <si>
    <t>沙埠镇</t>
  </si>
  <si>
    <t>Shāliŭ Jiēdào</t>
  </si>
  <si>
    <t>沙柳街道</t>
  </si>
  <si>
    <t>Shāmén Zhèn</t>
  </si>
  <si>
    <t>沙门镇</t>
  </si>
  <si>
    <t>Shàngpán Zhèn</t>
  </si>
  <si>
    <t>上盘镇</t>
  </si>
  <si>
    <t>Shàngyáng Xiāng</t>
  </si>
  <si>
    <t>上垟乡</t>
  </si>
  <si>
    <t>Shàngzhāng Xiāng</t>
  </si>
  <si>
    <t>上张乡</t>
  </si>
  <si>
    <t>Shàngzhèng Xiāng</t>
  </si>
  <si>
    <t>上郑乡</t>
  </si>
  <si>
    <t>Shàojiādù Jiēdào</t>
  </si>
  <si>
    <t>邵家渡街道</t>
  </si>
  <si>
    <t>Shépán Xiāng</t>
  </si>
  <si>
    <t>蛇蟠乡</t>
  </si>
  <si>
    <t>Shĭfēng Jiēdào</t>
  </si>
  <si>
    <t>始丰街道</t>
  </si>
  <si>
    <t>Shíqiáotóu Zhèn</t>
  </si>
  <si>
    <t>石桥头镇</t>
  </si>
  <si>
    <t>Shuāngmiào Xiāng</t>
  </si>
  <si>
    <t>双庙乡</t>
  </si>
  <si>
    <t>Sōngmén Zhèn</t>
  </si>
  <si>
    <t>松门镇</t>
  </si>
  <si>
    <t>Tàipíng Jiēdào</t>
  </si>
  <si>
    <t>太平街道</t>
  </si>
  <si>
    <t>Tăntóu Zhèn</t>
  </si>
  <si>
    <t>坦头镇</t>
  </si>
  <si>
    <t>Táozhŭ Zhèn</t>
  </si>
  <si>
    <t>桃渚镇</t>
  </si>
  <si>
    <t>Tiánshì Zhèn</t>
  </si>
  <si>
    <t>田市镇</t>
  </si>
  <si>
    <t>Tíngpáng Zhèn</t>
  </si>
  <si>
    <t>亭旁镇</t>
  </si>
  <si>
    <t>Tóngyŭ Jiēdào</t>
  </si>
  <si>
    <t>桐屿街道</t>
  </si>
  <si>
    <t>Tóutuó Zhèn</t>
  </si>
  <si>
    <t>头陀镇</t>
  </si>
  <si>
    <t>Wēnjiào Zhèn</t>
  </si>
  <si>
    <t>温峤镇</t>
  </si>
  <si>
    <t>Wùgēn Zhèn</t>
  </si>
  <si>
    <t>坞根镇</t>
  </si>
  <si>
    <t>Xiàchén Jiēdào</t>
  </si>
  <si>
    <t>下陈街道</t>
  </si>
  <si>
    <t>Xiàgè Zhèn</t>
  </si>
  <si>
    <t>下各镇</t>
  </si>
  <si>
    <t>Xiăozhī Zhèn</t>
  </si>
  <si>
    <t>小芝镇</t>
  </si>
  <si>
    <t>Xīgăng Xiāng</t>
  </si>
  <si>
    <t>溪港乡</t>
  </si>
  <si>
    <t>Xīnhé Zhèn</t>
  </si>
  <si>
    <t>新河镇</t>
  </si>
  <si>
    <t>Xīnqián Jiēdào</t>
  </si>
  <si>
    <t>新前街道</t>
  </si>
  <si>
    <t>Xùnqiáo Zhèn</t>
  </si>
  <si>
    <t>汛桥镇</t>
  </si>
  <si>
    <t>Yánjiāng Zhèn</t>
  </si>
  <si>
    <t>沿江镇</t>
  </si>
  <si>
    <t>Yŏngfēng Zhèn</t>
  </si>
  <si>
    <t>永丰镇</t>
  </si>
  <si>
    <t>Yŏngquán Zhèn</t>
  </si>
  <si>
    <t>涌泉镇</t>
  </si>
  <si>
    <t>Yŏngxī Xiāng</t>
  </si>
  <si>
    <t>泳溪乡</t>
  </si>
  <si>
    <t>Yóuxī Zhèn</t>
  </si>
  <si>
    <t>尤溪镇</t>
  </si>
  <si>
    <t>Yuànqiáo Zhèn</t>
  </si>
  <si>
    <t>院桥镇</t>
  </si>
  <si>
    <t>Yùchéng Jiēdào</t>
  </si>
  <si>
    <t>玉城街道</t>
  </si>
  <si>
    <t>Yŭtóu Xiāng</t>
  </si>
  <si>
    <t>屿头乡</t>
  </si>
  <si>
    <t>Zéguó Zhèn</t>
  </si>
  <si>
    <t>泽国镇</t>
  </si>
  <si>
    <t>Zhāng'ān Jiēdào</t>
  </si>
  <si>
    <t>章安街道</t>
  </si>
  <si>
    <t>Zhū'ào Zhèn [incl. Gāojiăn Xiāng]</t>
  </si>
  <si>
    <t>珠岙镇</t>
  </si>
  <si>
    <t>Zhūxī Zhèn</t>
  </si>
  <si>
    <t>朱溪镇</t>
  </si>
  <si>
    <t>Ānyáng Jiēdào</t>
  </si>
  <si>
    <t>安阳街道</t>
  </si>
  <si>
    <t>Ruì'ān Shì</t>
  </si>
  <si>
    <t>Áojiāng Zhèn</t>
  </si>
  <si>
    <t>鳌江镇</t>
  </si>
  <si>
    <t>Píngyáng Xiàn</t>
  </si>
  <si>
    <t>Báishí Jiēdào</t>
  </si>
  <si>
    <t>白石街道</t>
  </si>
  <si>
    <t>Yuèqīng Shì</t>
  </si>
  <si>
    <t>Băizhàngjì Zhèn</t>
  </si>
  <si>
    <t>百丈漈镇</t>
  </si>
  <si>
    <t>Wénchéng Xiàn</t>
  </si>
  <si>
    <t>Tàishùn Xiàn</t>
  </si>
  <si>
    <t>Bāoyáng Xiāng</t>
  </si>
  <si>
    <t>包垟乡</t>
  </si>
  <si>
    <t>Bĕi'ào Jiēdào</t>
  </si>
  <si>
    <t>北岙街道</t>
  </si>
  <si>
    <t>Dòngtóu Qū</t>
  </si>
  <si>
    <t>Bĕibáixiàng Zhèn</t>
  </si>
  <si>
    <t>北白象镇</t>
  </si>
  <si>
    <t>Bĕijĭ Xiāng [→ Dōngshān Jiēdào]</t>
  </si>
  <si>
    <t>北麂乡</t>
  </si>
  <si>
    <t>Bĕilóng Xiāng</t>
  </si>
  <si>
    <t>北龙乡</t>
  </si>
  <si>
    <t>Bēipái Xiāng</t>
  </si>
  <si>
    <t>碑排乡</t>
  </si>
  <si>
    <t>Biăoshān Xiāng</t>
  </si>
  <si>
    <t>表山乡</t>
  </si>
  <si>
    <t>Yŏngjiā Xiàn</t>
  </si>
  <si>
    <t>Bìlián Zhèn</t>
  </si>
  <si>
    <t>碧莲镇</t>
  </si>
  <si>
    <t>Bīnjiāng Jiēdào [incl. Hóngdiàn Jiēdào, Límíng Jiēdào]</t>
  </si>
  <si>
    <t>滨江街道</t>
  </si>
  <si>
    <t>Lùchéng Qū</t>
  </si>
  <si>
    <t>Bìshān Zhèn</t>
  </si>
  <si>
    <t>碧山镇</t>
  </si>
  <si>
    <t>Cáocūn Zhèn [→ Măyŭ Zhèn]</t>
  </si>
  <si>
    <t>曹村镇</t>
  </si>
  <si>
    <t>Chāngchán Xiāng</t>
  </si>
  <si>
    <t>昌禅乡</t>
  </si>
  <si>
    <t>Cāngnán Xiàn</t>
  </si>
  <si>
    <t>Cháojī Xiāng</t>
  </si>
  <si>
    <t>潮基乡</t>
  </si>
  <si>
    <t>Cháoyáng Xiāng</t>
  </si>
  <si>
    <t>朝阳乡</t>
  </si>
  <si>
    <t>Cháshān Jiēdào</t>
  </si>
  <si>
    <t>茶山街道</t>
  </si>
  <si>
    <t>Ōuhăi Qū</t>
  </si>
  <si>
    <t>Chìxī Zhèn</t>
  </si>
  <si>
    <t>赤溪镇</t>
  </si>
  <si>
    <t>Dà'ān Xiāng [→ Sānkuí Zhèn]</t>
  </si>
  <si>
    <t>大安乡</t>
  </si>
  <si>
    <t>Dà'ào Xiāng</t>
  </si>
  <si>
    <t>大岙乡</t>
  </si>
  <si>
    <t>Dàilĭng Shēzú Xiāng</t>
  </si>
  <si>
    <t>岱岭畲族乡</t>
  </si>
  <si>
    <t>Dàjīng Zhèn</t>
  </si>
  <si>
    <t>大荆镇</t>
  </si>
  <si>
    <t>Dàmén Zhèn</t>
  </si>
  <si>
    <t>大门镇</t>
  </si>
  <si>
    <t>Dànán Xiāng</t>
  </si>
  <si>
    <t>大南乡</t>
  </si>
  <si>
    <t>Dànxī Zhèn</t>
  </si>
  <si>
    <t>淡溪镇</t>
  </si>
  <si>
    <t>Dàruòyán Zhèn</t>
  </si>
  <si>
    <t>大若岩镇</t>
  </si>
  <si>
    <t>Dàxué Zhèn</t>
  </si>
  <si>
    <t>大峃镇</t>
  </si>
  <si>
    <t>Dàyú Zhèn [→ Jīnxiāng Zhèn]</t>
  </si>
  <si>
    <t>大渔镇</t>
  </si>
  <si>
    <t>Dìyī Nóngchăng</t>
  </si>
  <si>
    <t>第一农场</t>
  </si>
  <si>
    <t>Dōngchéng Jiēdào [Shàngtáng Zhèn; incl. Běichéng Jiēdào, Nánchéng Jiēdào]</t>
  </si>
  <si>
    <t>Dōnggāo Xiāng</t>
  </si>
  <si>
    <t>东皋乡</t>
  </si>
  <si>
    <t>Dōngpíng Jiēdào</t>
  </si>
  <si>
    <t>东屏街道</t>
  </si>
  <si>
    <t>Dōngshān Jiēdào</t>
  </si>
  <si>
    <t>东山街道</t>
  </si>
  <si>
    <t>Dōngxī Xiāng</t>
  </si>
  <si>
    <t>东溪乡</t>
  </si>
  <si>
    <t>Dōngxī Xiāng [→ Sìxī Zhèn]</t>
  </si>
  <si>
    <t>Dōngyán Xiāng</t>
  </si>
  <si>
    <t>东岩乡</t>
  </si>
  <si>
    <t>Dŏumén Xiāng</t>
  </si>
  <si>
    <t>陡门乡</t>
  </si>
  <si>
    <t>Èryuán Zhèn [→ Băizhàngjì Zhèn]</t>
  </si>
  <si>
    <t>二源镇</t>
  </si>
  <si>
    <t>Fāngzhuāng Xiāng [→ Húlĭng Zhèn]</t>
  </si>
  <si>
    <t>芳庄乡</t>
  </si>
  <si>
    <t>Fánshān Zhèn</t>
  </si>
  <si>
    <t>矾山镇</t>
  </si>
  <si>
    <t>Fēiyún Jiēdào</t>
  </si>
  <si>
    <t>飞云街道</t>
  </si>
  <si>
    <t>Fèngcháo Xiāng</t>
  </si>
  <si>
    <t>凤巢乡</t>
  </si>
  <si>
    <t>Fèngchí Xiāng</t>
  </si>
  <si>
    <t>凤池乡</t>
  </si>
  <si>
    <t>Fēnglĭng Xiāng</t>
  </si>
  <si>
    <t>枫岭乡</t>
  </si>
  <si>
    <t>Fēnglín Zhèn</t>
  </si>
  <si>
    <t>枫林镇</t>
  </si>
  <si>
    <t>Fēngmén Xiāng</t>
  </si>
  <si>
    <t>峰门乡</t>
  </si>
  <si>
    <t>Fēngwén Xiāng</t>
  </si>
  <si>
    <t>峰文乡</t>
  </si>
  <si>
    <t>Fèngwò Zhèn [→ Shuĭtóu Zhèn]</t>
  </si>
  <si>
    <t>凤卧镇</t>
  </si>
  <si>
    <t>Fèngyáng Shēzú Xiāng</t>
  </si>
  <si>
    <t>凤阳畲族乡</t>
  </si>
  <si>
    <t>Fèngyáng Xiāng</t>
  </si>
  <si>
    <t>凤垟乡</t>
  </si>
  <si>
    <t>Fù'ào Xiāng</t>
  </si>
  <si>
    <t>富岙乡</t>
  </si>
  <si>
    <t>Fúróng Zhèn</t>
  </si>
  <si>
    <t>芙蓉镇</t>
  </si>
  <si>
    <t>Fúxī Xiāng</t>
  </si>
  <si>
    <t>福溪乡</t>
  </si>
  <si>
    <t>Gāolóu Zhèn</t>
  </si>
  <si>
    <t>高楼镇</t>
  </si>
  <si>
    <t>Gōngyáng Xiāng [→ Xuékŏu Zhèn]</t>
  </si>
  <si>
    <t>公阳乡</t>
  </si>
  <si>
    <t>Guănghuà Jiēdào [→ Sōngtái Jiēdào]</t>
  </si>
  <si>
    <t>广化街道</t>
  </si>
  <si>
    <t>Guānmĕi Zhèn</t>
  </si>
  <si>
    <t>观美镇</t>
  </si>
  <si>
    <t>Guìfēng Xiāng</t>
  </si>
  <si>
    <t>桂峰乡</t>
  </si>
  <si>
    <t>Guīhú Zhèn [→ Shìyáng Zhèn]</t>
  </si>
  <si>
    <t>龟湖镇</t>
  </si>
  <si>
    <t>Guìshān Xiāng [→ Shānxī Zhèn]</t>
  </si>
  <si>
    <t>桂山乡</t>
  </si>
  <si>
    <t>Guōxī Jiēdào</t>
  </si>
  <si>
    <t>郭溪街道</t>
  </si>
  <si>
    <t>Hăibīn Jiēdào</t>
  </si>
  <si>
    <t>海滨街道</t>
  </si>
  <si>
    <t>Lóngwān Qū</t>
  </si>
  <si>
    <t>Hăichéng Jiēdào</t>
  </si>
  <si>
    <t>海城街道</t>
  </si>
  <si>
    <t>Héngkēng Xiāng</t>
  </si>
  <si>
    <t>横坑乡</t>
  </si>
  <si>
    <t>Hèshèng Zhèn</t>
  </si>
  <si>
    <t>鹤盛镇</t>
  </si>
  <si>
    <t>Hèxī Zhèn</t>
  </si>
  <si>
    <t>鹤溪镇</t>
  </si>
  <si>
    <t>虹桥镇</t>
  </si>
  <si>
    <t>Huáixī Zhèn [→ Shānmén Zhèn]</t>
  </si>
  <si>
    <t>怀溪镇</t>
  </si>
  <si>
    <t>Huánghuá Zhèn</t>
  </si>
  <si>
    <t>黄华镇</t>
  </si>
  <si>
    <t>Huángliáo Xiāng</t>
  </si>
  <si>
    <t>黄寮乡</t>
  </si>
  <si>
    <t>Huángnán Xiāng</t>
  </si>
  <si>
    <t>黄南乡</t>
  </si>
  <si>
    <t>Huángqiáo Xiāng</t>
  </si>
  <si>
    <t>黄桥乡</t>
  </si>
  <si>
    <t>Huángtăn Zhèn</t>
  </si>
  <si>
    <t>黄坦镇</t>
  </si>
  <si>
    <t>Huātăn Xiāng</t>
  </si>
  <si>
    <t>花坦乡</t>
  </si>
  <si>
    <t>Húlĭng Zhèn</t>
  </si>
  <si>
    <t>湖岭镇</t>
  </si>
  <si>
    <t>Húwù Zhèn [→ Dàjīng Zhèn]</t>
  </si>
  <si>
    <t>湖雾镇</t>
  </si>
  <si>
    <t>Jièkēng Xiāng [→ Xùnzhái Zhèn]</t>
  </si>
  <si>
    <t>界坑乡</t>
  </si>
  <si>
    <t>Jīnchuān Xiāng</t>
  </si>
  <si>
    <t>金川乡</t>
  </si>
  <si>
    <t>Jīnggŭ Xiāng</t>
  </si>
  <si>
    <t>荆谷乡</t>
  </si>
  <si>
    <t>Jĭngshān Jiēdào</t>
  </si>
  <si>
    <t>景山街道</t>
  </si>
  <si>
    <t>Jĭnhú Jiēdào</t>
  </si>
  <si>
    <t>锦湖街道</t>
  </si>
  <si>
    <t>Jīnlú Xiāng</t>
  </si>
  <si>
    <t>金炉乡</t>
  </si>
  <si>
    <t>Jīnxiāng Zhèn</t>
  </si>
  <si>
    <t>金乡镇</t>
  </si>
  <si>
    <t>Jīnxīng Xiāng</t>
  </si>
  <si>
    <t>金星乡</t>
  </si>
  <si>
    <t>Jīnyáng Xiāng</t>
  </si>
  <si>
    <t>金垟乡</t>
  </si>
  <si>
    <t>Jiŭfēng Xiāng</t>
  </si>
  <si>
    <t>九峰乡</t>
  </si>
  <si>
    <t>Jùxī Jiēdào</t>
  </si>
  <si>
    <t>瞿溪街道</t>
  </si>
  <si>
    <t>Jŭxī Zhèn [→ Qiáodūn Zhèn]</t>
  </si>
  <si>
    <t>莒溪镇</t>
  </si>
  <si>
    <t>Jùyŭ Zhèn</t>
  </si>
  <si>
    <t>巨屿镇</t>
  </si>
  <si>
    <t>Kūnyáng Xiāng</t>
  </si>
  <si>
    <t>昆阳乡</t>
  </si>
  <si>
    <t>Kūnyáng Zhèn</t>
  </si>
  <si>
    <t>昆阳镇</t>
  </si>
  <si>
    <t>Kuòshān Xiāng</t>
  </si>
  <si>
    <t>括山乡</t>
  </si>
  <si>
    <t>Lèchéng Jiēdào</t>
  </si>
  <si>
    <t>乐成街道</t>
  </si>
  <si>
    <t>Liányún Xiāng</t>
  </si>
  <si>
    <t>联云乡</t>
  </si>
  <si>
    <t>Lì'ào Jiēdào</t>
  </si>
  <si>
    <t>丽岙街道</t>
  </si>
  <si>
    <t>Lĭngbĕi Xiāng</t>
  </si>
  <si>
    <t>岭北乡</t>
  </si>
  <si>
    <t>Lĭngdĭ Xiāng [→ Fúróng Zhèn]</t>
  </si>
  <si>
    <t>岭底乡</t>
  </si>
  <si>
    <t>Lĭnghòu Xiāng</t>
  </si>
  <si>
    <t>岭后乡</t>
  </si>
  <si>
    <t>Língkūn Jiēdào [Ōu Jiāngkǒu Xīnqū]</t>
  </si>
  <si>
    <t>灵昆街道</t>
  </si>
  <si>
    <t>Língxī Zhèn</t>
  </si>
  <si>
    <t>灵溪镇</t>
  </si>
  <si>
    <t>Línxī Xiāng</t>
  </si>
  <si>
    <t>林溪乡</t>
  </si>
  <si>
    <t>Liŭfēng Xiāng [→ Yăyáng Zhèn]</t>
  </si>
  <si>
    <t>柳峰乡</t>
  </si>
  <si>
    <t>Liŭshì Zhèn</t>
  </si>
  <si>
    <t>柳市镇</t>
  </si>
  <si>
    <t>Lĭxī Xiāng</t>
  </si>
  <si>
    <t>鲤溪乡</t>
  </si>
  <si>
    <t>Lĭyáng Xiāng</t>
  </si>
  <si>
    <t>里阳乡</t>
  </si>
  <si>
    <t>Lóngchuān Xiāng</t>
  </si>
  <si>
    <t>龙川乡</t>
  </si>
  <si>
    <t>Lónggăng Shì [incl. Lúpŭ Zhèn, Pācáo Zhèn, Yúnyán Xiāng]</t>
  </si>
  <si>
    <t>龙港市</t>
  </si>
  <si>
    <t>County-level City</t>
  </si>
  <si>
    <t>Lónggǎng Shì</t>
  </si>
  <si>
    <t>Lónghú Zhèn</t>
  </si>
  <si>
    <t>龙湖镇</t>
  </si>
  <si>
    <t>Lóngshā Xiāng</t>
  </si>
  <si>
    <t>龙沙乡</t>
  </si>
  <si>
    <t>Lóngwĕi Xiāng</t>
  </si>
  <si>
    <t>龙尾乡</t>
  </si>
  <si>
    <t>Lóngxī Xiāng [→ Xiānxī Zhèn]</t>
  </si>
  <si>
    <t>龙西乡</t>
  </si>
  <si>
    <t>Lóuqiáo Jiēdào</t>
  </si>
  <si>
    <t>娄桥街道</t>
  </si>
  <si>
    <t>Lùmù Xiāng</t>
  </si>
  <si>
    <t>鹿木乡</t>
  </si>
  <si>
    <t>Luóyáng Zhèn</t>
  </si>
  <si>
    <t>罗阳镇</t>
  </si>
  <si>
    <t>Lùxī Xiāng</t>
  </si>
  <si>
    <t>鹿西乡</t>
  </si>
  <si>
    <t>Mábù Zhèn [→ Xiāojiāng Zhèn]</t>
  </si>
  <si>
    <t>麻步镇</t>
  </si>
  <si>
    <t>Măyŭ Zhèn</t>
  </si>
  <si>
    <t>马屿镇</t>
  </si>
  <si>
    <t>Măzhàn Zhèn</t>
  </si>
  <si>
    <t>马站镇</t>
  </si>
  <si>
    <t>Méixī Xiāng</t>
  </si>
  <si>
    <t>梅溪乡</t>
  </si>
  <si>
    <t>Méiyuán Xiāng</t>
  </si>
  <si>
    <t>梅源乡</t>
  </si>
  <si>
    <t>Méiyŭ Xiāng</t>
  </si>
  <si>
    <t>梅屿乡</t>
  </si>
  <si>
    <t>Míng'ào Xiāng [→ Qiáoxià Zhèn]</t>
  </si>
  <si>
    <t>茗岙乡</t>
  </si>
  <si>
    <t>Nánbáixiàng Jiēdào</t>
  </si>
  <si>
    <t>南白象街道</t>
  </si>
  <si>
    <t>Nánhuì Jiēdào [incl. Nánjiāo Xiāng, Nánpŭ Jiēdào, Xiùshān Jiēdào]</t>
  </si>
  <si>
    <t>南汇街道</t>
  </si>
  <si>
    <t>Nánhú Xiāng</t>
  </si>
  <si>
    <t>南湖乡</t>
  </si>
  <si>
    <t>Nánjĭ Zhèn [→ Áojiāng Zhèn]</t>
  </si>
  <si>
    <t>南麂镇</t>
  </si>
  <si>
    <t>Nánsòng Zhèn [→ Fánshān Zhèn]</t>
  </si>
  <si>
    <t>南宋镇</t>
  </si>
  <si>
    <t>Nántáng Zhèn [→ Qīngjiāng Zhèn]</t>
  </si>
  <si>
    <t>南塘镇</t>
  </si>
  <si>
    <t>Nántián Zhèn</t>
  </si>
  <si>
    <t>南田镇</t>
  </si>
  <si>
    <t>Nányàn Zhèn</t>
  </si>
  <si>
    <t>南雁镇</t>
  </si>
  <si>
    <t>Nányuàn Xiāng</t>
  </si>
  <si>
    <t>南院乡</t>
  </si>
  <si>
    <t>Nányuè Zhèn [→ Hóngqiáo Zhèn]</t>
  </si>
  <si>
    <t>南岳镇</t>
  </si>
  <si>
    <t>Nàocūn Xiāng [→ Shuĭtóu Zhèn]</t>
  </si>
  <si>
    <t>闹村乡</t>
  </si>
  <si>
    <t>Níngyì Xiāng</t>
  </si>
  <si>
    <t>宁益乡</t>
  </si>
  <si>
    <t>Níyŭ Jiēdào</t>
  </si>
  <si>
    <t>霓屿街道</t>
  </si>
  <si>
    <t>Ōubĕi Jiēdào</t>
  </si>
  <si>
    <t>瓯北街道</t>
  </si>
  <si>
    <t>Pāndài Jiēdào [→ Jĭnhú Jiēdào]</t>
  </si>
  <si>
    <t>潘岱街道</t>
  </si>
  <si>
    <t>Pānkēng Xiāng</t>
  </si>
  <si>
    <t>潘坑乡</t>
  </si>
  <si>
    <t>Pānqiáo Jiēdào</t>
  </si>
  <si>
    <t>潘桥街道</t>
  </si>
  <si>
    <t>Pánshí Zhèn [→ Bĕibáixiàng Zhèn]</t>
  </si>
  <si>
    <t>磐石镇</t>
  </si>
  <si>
    <t>Péngxī Zhèn</t>
  </si>
  <si>
    <t>彭溪镇</t>
  </si>
  <si>
    <t>Pínghé Xiāng [→ Xuékŏu Zhèn]</t>
  </si>
  <si>
    <t>平和乡</t>
  </si>
  <si>
    <t>Píngyángkēng Zhèn [→ Gāolóu Zhèn]</t>
  </si>
  <si>
    <t>平阳坑镇</t>
  </si>
  <si>
    <t>Púchéng Xiāng</t>
  </si>
  <si>
    <t>蒲城乡</t>
  </si>
  <si>
    <t>Púqí Zhèn [→ Hóngqiáo Zhèn]</t>
  </si>
  <si>
    <t>蒲岐镇</t>
  </si>
  <si>
    <t>Pŭtíng Xiāng</t>
  </si>
  <si>
    <t>浦亭乡</t>
  </si>
  <si>
    <t>Púxiéshì Jiēdào [→ Bīnjiāng Jiēdào]</t>
  </si>
  <si>
    <t>蒲鞋市街道</t>
  </si>
  <si>
    <t>Púzhōu Jiēdào</t>
  </si>
  <si>
    <t>蒲州街道</t>
  </si>
  <si>
    <t>钱仓镇</t>
  </si>
  <si>
    <t>Qiánkù Zhèn</t>
  </si>
  <si>
    <t>钱库镇</t>
  </si>
  <si>
    <t>Qiáodūn Zhèn</t>
  </si>
  <si>
    <t>桥墩镇</t>
  </si>
  <si>
    <t>Qiáoxià Zhèn</t>
  </si>
  <si>
    <t>桥下镇</t>
  </si>
  <si>
    <t>Qīdū Jiēdào</t>
  </si>
  <si>
    <t>七都街道</t>
  </si>
  <si>
    <t>Qīlĭgăng Zhèn</t>
  </si>
  <si>
    <t>七里港镇</t>
  </si>
  <si>
    <t>Qīngjiāng Zhèn</t>
  </si>
  <si>
    <t>清江镇</t>
  </si>
  <si>
    <t>Qīngjiē Shēzú Xiāng</t>
  </si>
  <si>
    <t>青街畲族乡</t>
  </si>
  <si>
    <t>Qúkŏu Xiāng</t>
  </si>
  <si>
    <t>渠口乡</t>
  </si>
  <si>
    <t>Sānkuí Zhèn</t>
  </si>
  <si>
    <t>三魁镇</t>
  </si>
  <si>
    <t>Sānyáng Jiēdào</t>
  </si>
  <si>
    <t>三垟街道</t>
  </si>
  <si>
    <t>Shāchéng Jiēdào [incl. Xīnghǎi Jiēdào (parts)]</t>
  </si>
  <si>
    <t>沙城街道</t>
  </si>
  <si>
    <t>Shànglín Xiāng</t>
  </si>
  <si>
    <t>上林乡</t>
  </si>
  <si>
    <t>Shàngwàng Jiēdào</t>
  </si>
  <si>
    <t>上望街道</t>
  </si>
  <si>
    <t>Shānkēng Xiāng</t>
  </si>
  <si>
    <t>山坑乡</t>
  </si>
  <si>
    <t>Shānmén Zhèn</t>
  </si>
  <si>
    <t>山门镇</t>
  </si>
  <si>
    <t>Shānxī Zhèn</t>
  </si>
  <si>
    <t>珊溪镇</t>
  </si>
  <si>
    <t>Shātóu Zhèn</t>
  </si>
  <si>
    <t>沙头镇</t>
  </si>
  <si>
    <t>Shífān Jiēdào</t>
  </si>
  <si>
    <t>石帆街道</t>
  </si>
  <si>
    <t>Shípēng Xiāng</t>
  </si>
  <si>
    <t>石砰乡</t>
  </si>
  <si>
    <t>Shírăn Xiāng</t>
  </si>
  <si>
    <t>石染乡</t>
  </si>
  <si>
    <t>Shíyáng Xiāng</t>
  </si>
  <si>
    <t>石垟乡</t>
  </si>
  <si>
    <t>Shìyáng Zhèn</t>
  </si>
  <si>
    <t>仕阳镇</t>
  </si>
  <si>
    <t>Shíyuán Xiāng</t>
  </si>
  <si>
    <t>十源乡</t>
  </si>
  <si>
    <t>Shuāngguì Xiāng [→ Xuékŏu Zhèn]</t>
  </si>
  <si>
    <t>双桂乡</t>
  </si>
  <si>
    <t>Shuāngyŭ Jiēdào [incl. Huánglóng Jiēdào]</t>
  </si>
  <si>
    <t>双屿街道</t>
  </si>
  <si>
    <t>Shuĭtóu Zhèn</t>
  </si>
  <si>
    <t>水头镇</t>
  </si>
  <si>
    <t>Shùntài Xiāng</t>
  </si>
  <si>
    <t>顺泰乡</t>
  </si>
  <si>
    <t>Shùnxī Zhèn</t>
  </si>
  <si>
    <t>顺溪镇</t>
  </si>
  <si>
    <t>Sìhăishān Línchăng</t>
  </si>
  <si>
    <t>四海山林场</t>
  </si>
  <si>
    <t>Sīqián Shēzú Zhèn</t>
  </si>
  <si>
    <t>司前畲族镇</t>
  </si>
  <si>
    <t>Sìxī Zhèn</t>
  </si>
  <si>
    <t>泗溪镇</t>
  </si>
  <si>
    <t>Sòngbù Zhèn</t>
  </si>
  <si>
    <t>宋埠镇</t>
  </si>
  <si>
    <t>Sōngtái Jiēdào [incl. Liánchí Jiēdào, Shuǐxīn Jiēdào]</t>
  </si>
  <si>
    <t>松台街道</t>
  </si>
  <si>
    <t>Sōngyáng Xiāng</t>
  </si>
  <si>
    <t>松垟乡</t>
  </si>
  <si>
    <t>Tángxià Zhèn</t>
  </si>
  <si>
    <t>塘下镇</t>
  </si>
  <si>
    <t>Táoshān Zhèn</t>
  </si>
  <si>
    <t>陶山镇</t>
  </si>
  <si>
    <t>Téngjiāo Zhèn</t>
  </si>
  <si>
    <t>腾蛟镇</t>
  </si>
  <si>
    <t>Téngqiáo Zhèn [incl. Línjiāng Zhèn, Shàngshù Xiāng, Àodǐ Xiāng, Shuāngcháo Xiāng]</t>
  </si>
  <si>
    <t>藤桥镇</t>
  </si>
  <si>
    <t>Téngyáng Xiāng</t>
  </si>
  <si>
    <t>腾垟乡</t>
  </si>
  <si>
    <t>Tiānchéng Jiēdào</t>
  </si>
  <si>
    <t>天成街道</t>
  </si>
  <si>
    <t>Tiānhé Jiēdào [incl. Xīnghǎi Jiēdào (parts)]</t>
  </si>
  <si>
    <t>天河街道</t>
  </si>
  <si>
    <t>Tīngtián Jiēdào</t>
  </si>
  <si>
    <t>汀田街道</t>
  </si>
  <si>
    <t>Tóngpŭ Zhèn [→ Táoshān Zhèn]</t>
  </si>
  <si>
    <t>桐浦镇</t>
  </si>
  <si>
    <t>Wànglĭ Zhèn [→ Qiánkù Zhèn]</t>
  </si>
  <si>
    <t>望里镇</t>
  </si>
  <si>
    <t>Wànpái Xiāng</t>
  </si>
  <si>
    <t>万排乡</t>
  </si>
  <si>
    <t>Wànquán Zhèn</t>
  </si>
  <si>
    <t>万全镇</t>
  </si>
  <si>
    <t>Wéixīn Xiāng</t>
  </si>
  <si>
    <t>维新乡</t>
  </si>
  <si>
    <t>Wēngshān Xiāng</t>
  </si>
  <si>
    <t>翁山乡</t>
  </si>
  <si>
    <t>Wēngyáng Jiēdào</t>
  </si>
  <si>
    <t>翁垟街道</t>
  </si>
  <si>
    <t>Wēnzhōu Jīngjì Jìshù Kāifāqū</t>
  </si>
  <si>
    <t>温州经济技术开发区</t>
  </si>
  <si>
    <t>Wŭfèng Xiāng</t>
  </si>
  <si>
    <t>五凤乡</t>
  </si>
  <si>
    <t>Wŭmă Jiēdào [incl. Nánmén Jiēdào, Jiāngbīn Jiēdào]</t>
  </si>
  <si>
    <t>五马街道</t>
  </si>
  <si>
    <t>Wūniú Jiēdào</t>
  </si>
  <si>
    <t>乌牛街道</t>
  </si>
  <si>
    <t>Wŭ (Shuĭshùniăo) Xiāng</t>
  </si>
  <si>
    <t>五（氵束鸟）乡</t>
  </si>
  <si>
    <t>Wútián Jiēdào</t>
  </si>
  <si>
    <t>梧田街道</t>
  </si>
  <si>
    <t>Wúyáng Xiāng</t>
  </si>
  <si>
    <t>吴垟乡</t>
  </si>
  <si>
    <t>Wūyánlĭngzìránbăohùqū</t>
  </si>
  <si>
    <t>乌岩岭自然保护区</t>
  </si>
  <si>
    <t>Xiáguān Zhèn [→ Măzhàn Zhèn]</t>
  </si>
  <si>
    <t>霞关镇</t>
  </si>
  <si>
    <t>Xiàhóng Xiāng</t>
  </si>
  <si>
    <t>下洪乡</t>
  </si>
  <si>
    <t>Xiàliáo Xiāng</t>
  </si>
  <si>
    <t>下寮乡</t>
  </si>
  <si>
    <t>Xiàngyáng Zhèn</t>
  </si>
  <si>
    <t>象阳镇</t>
  </si>
  <si>
    <t>Xiānjiàng Jiēdào</t>
  </si>
  <si>
    <t>仙降街道</t>
  </si>
  <si>
    <t>Xiānjū Xiāng</t>
  </si>
  <si>
    <t>仙居乡</t>
  </si>
  <si>
    <t>Xiàn Línchăng</t>
  </si>
  <si>
    <t>县林场</t>
  </si>
  <si>
    <t>Xiānrĕn Xiāng</t>
  </si>
  <si>
    <t>仙稔乡</t>
  </si>
  <si>
    <t>Xiàn Tèchănchăng Chăngqū</t>
  </si>
  <si>
    <t>县特产场场区</t>
  </si>
  <si>
    <t>Xiānxī Zhèn</t>
  </si>
  <si>
    <t>仙溪镇</t>
  </si>
  <si>
    <t>Xiānyán Jiēdào</t>
  </si>
  <si>
    <t>仙岩街道</t>
  </si>
  <si>
    <t>Xiăocūn Zhèn</t>
  </si>
  <si>
    <t>筱村镇</t>
  </si>
  <si>
    <t>Xiāojiāng Zhèn</t>
  </si>
  <si>
    <t>萧江镇</t>
  </si>
  <si>
    <t>Xiăokēng Xiāng</t>
  </si>
  <si>
    <t>晓坑乡</t>
  </si>
  <si>
    <t>Xī'ào Xiāng</t>
  </si>
  <si>
    <t>西岙乡</t>
  </si>
  <si>
    <t>Xiàyáng Xiāng</t>
  </si>
  <si>
    <t>下垟乡</t>
  </si>
  <si>
    <t>Xīkēng Shēzú Zhèn</t>
  </si>
  <si>
    <t>西坑畲族镇</t>
  </si>
  <si>
    <t>Xīkŏu Xiāng</t>
  </si>
  <si>
    <t>溪口乡</t>
  </si>
  <si>
    <t>Xīn'ān Xiāng</t>
  </si>
  <si>
    <t>新安乡</t>
  </si>
  <si>
    <t>莘塍街道</t>
  </si>
  <si>
    <t>Xīnpŭ Xiāng</t>
  </si>
  <si>
    <t>新浦乡</t>
  </si>
  <si>
    <t>Xīnqiáo Jiēdào</t>
  </si>
  <si>
    <t>新桥街道</t>
  </si>
  <si>
    <t>Xīwān Xiāng</t>
  </si>
  <si>
    <t>西湾乡</t>
  </si>
  <si>
    <t>Xīxià Xiāng [→ Yántăn Zhèn]</t>
  </si>
  <si>
    <t>溪下乡</t>
  </si>
  <si>
    <t>Xīxī Xiāng</t>
  </si>
  <si>
    <t>西溪乡</t>
  </si>
  <si>
    <t>Xīyáng Zhèn</t>
  </si>
  <si>
    <t>西旸镇</t>
  </si>
  <si>
    <t>Xīyuán Xiāng</t>
  </si>
  <si>
    <t>西源乡</t>
  </si>
  <si>
    <t>Xú'ào Xiāng</t>
  </si>
  <si>
    <t>徐岙乡</t>
  </si>
  <si>
    <t>Xuékŏu Zhèn</t>
  </si>
  <si>
    <t>峃口镇</t>
  </si>
  <si>
    <t>Xuĕxī Xiāng [→ Shìyáng Zhèn]</t>
  </si>
  <si>
    <t>雪溪乡</t>
  </si>
  <si>
    <t>Xùnzhái Zhèn</t>
  </si>
  <si>
    <t>巽宅镇</t>
  </si>
  <si>
    <t>Yàndàng Zhèn</t>
  </si>
  <si>
    <t>雁荡镇</t>
  </si>
  <si>
    <t>Yăngshān Xiāng</t>
  </si>
  <si>
    <t>仰山乡</t>
  </si>
  <si>
    <t>Yángxī Xiāng</t>
  </si>
  <si>
    <t>垟溪乡</t>
  </si>
  <si>
    <t>Yăngyì Jiēdào</t>
  </si>
  <si>
    <t>仰义街道</t>
  </si>
  <si>
    <t>Yànhú Xiāng</t>
  </si>
  <si>
    <t>雁湖乡</t>
  </si>
  <si>
    <t>Yánpŭ Zhèn [→ Măzhàn Zhèn]</t>
  </si>
  <si>
    <t>沿浦镇</t>
  </si>
  <si>
    <t>Yántăn Zhèn</t>
  </si>
  <si>
    <t>岩坦镇</t>
  </si>
  <si>
    <t>Yántíng Zhèn [→ Măzhàn Zhèn]</t>
  </si>
  <si>
    <t>炎亭镇</t>
  </si>
  <si>
    <t>Yáoxī Jiēdào</t>
  </si>
  <si>
    <t>瑶溪街道</t>
  </si>
  <si>
    <t>Yăyáng Zhèn</t>
  </si>
  <si>
    <t>雅阳镇</t>
  </si>
  <si>
    <t>Yīngkēng Xiāng</t>
  </si>
  <si>
    <t>应坑乡</t>
  </si>
  <si>
    <t>Yíngqián Xiāng</t>
  </si>
  <si>
    <t>营前乡</t>
  </si>
  <si>
    <t>Yíshān Zhèn</t>
  </si>
  <si>
    <t>宜山镇</t>
  </si>
  <si>
    <t>Yŏng'ān Xiāng</t>
  </si>
  <si>
    <t>永安乡</t>
  </si>
  <si>
    <t>Yŏngxīng Jiēdào</t>
  </si>
  <si>
    <t>永兴街道</t>
  </si>
  <si>
    <t>Yŏngzhōng Jiēdào</t>
  </si>
  <si>
    <t>永中街道</t>
  </si>
  <si>
    <t>Yuánjué Jiēdào</t>
  </si>
  <si>
    <t>元觉街道</t>
  </si>
  <si>
    <t>Yuèhú Xiāng</t>
  </si>
  <si>
    <t>月湖乡</t>
  </si>
  <si>
    <t>Yùhăi Jiēdào</t>
  </si>
  <si>
    <t>玉海街道</t>
  </si>
  <si>
    <t>Yùhú Zhèn</t>
  </si>
  <si>
    <t>玉壶镇</t>
  </si>
  <si>
    <t>Yúliáo Xiāng</t>
  </si>
  <si>
    <t>渔寮乡</t>
  </si>
  <si>
    <t>Yúnhú Xiāng</t>
  </si>
  <si>
    <t>云湖乡</t>
  </si>
  <si>
    <t>Yúyáng Zhèn</t>
  </si>
  <si>
    <t>榆垟镇</t>
  </si>
  <si>
    <t>Zăoxī Zhèn</t>
  </si>
  <si>
    <t>藻溪镇</t>
  </si>
  <si>
    <t>Zéyă Zhèn</t>
  </si>
  <si>
    <t>泽雅镇</t>
  </si>
  <si>
    <t>Zhāngtái Xiāng</t>
  </si>
  <si>
    <t>樟台乡</t>
  </si>
  <si>
    <t>张溪乡</t>
  </si>
  <si>
    <t>Zhèn'ān Xiāng</t>
  </si>
  <si>
    <t>镇安乡</t>
  </si>
  <si>
    <t>Zhèngjiāngshān Línchăng</t>
  </si>
  <si>
    <t>正江山林场</t>
  </si>
  <si>
    <t>Zhìrén Xiāng [→ Dàjīng Zhèn]</t>
  </si>
  <si>
    <t>智仁乡</t>
  </si>
  <si>
    <t>Zhōngdūn Xiāng</t>
  </si>
  <si>
    <t>中墩乡</t>
  </si>
  <si>
    <t>Zhōulĭng Xiāng</t>
  </si>
  <si>
    <t>洲岭乡</t>
  </si>
  <si>
    <t>Zhōurăng Zhèn [→ Dàxué Zhèn]</t>
  </si>
  <si>
    <t>周壤镇</t>
  </si>
  <si>
    <t>Zhōushān Shēzú Xiāng</t>
  </si>
  <si>
    <t>周山畲族乡</t>
  </si>
  <si>
    <t>Zhuàngyuán Jiēdào</t>
  </si>
  <si>
    <t>状元街道</t>
  </si>
  <si>
    <t>Zhúlĭ Shēzú Xiāng</t>
  </si>
  <si>
    <t>竹里畲族乡</t>
  </si>
  <si>
    <t>Zhūyă Xiāng</t>
  </si>
  <si>
    <t>朱雅乡</t>
  </si>
  <si>
    <t>Báiquán Zhèn [incl. Bĕichán Xiāng]</t>
  </si>
  <si>
    <t>白泉镇</t>
  </si>
  <si>
    <t>Dìnghăi Qū</t>
  </si>
  <si>
    <t>Càiyuán Zhèn</t>
  </si>
  <si>
    <t>菜园镇</t>
  </si>
  <si>
    <t>Shèngsì Xiàn</t>
  </si>
  <si>
    <t>Céngăng Jiēdào [incl. Cèzi Xiāng]</t>
  </si>
  <si>
    <t>岑港街道</t>
  </si>
  <si>
    <t>Chāngguó Jiēdào</t>
  </si>
  <si>
    <t>昌国街道</t>
  </si>
  <si>
    <t>Chángtú Zhèn</t>
  </si>
  <si>
    <t>长涂镇</t>
  </si>
  <si>
    <t>Dàishān Xiàn</t>
  </si>
  <si>
    <t>Dàidōng Zhèn</t>
  </si>
  <si>
    <t>岱东镇</t>
  </si>
  <si>
    <t>岱西镇</t>
  </si>
  <si>
    <t>Dōnggăng Jiēdào [incl. Gōushān Jiēdào]</t>
  </si>
  <si>
    <t>东港街道</t>
  </si>
  <si>
    <t>Pŭtuó Qū</t>
  </si>
  <si>
    <t>Dōngjí Zhèn</t>
  </si>
  <si>
    <t>东极镇</t>
  </si>
  <si>
    <t>Dōngshā Zhèn</t>
  </si>
  <si>
    <t>东沙镇</t>
  </si>
  <si>
    <t>Gānlăn Zhèn</t>
  </si>
  <si>
    <t>干览镇</t>
  </si>
  <si>
    <t>Gāotíng Zhèn</t>
  </si>
  <si>
    <t>高亭镇</t>
  </si>
  <si>
    <t>Gŏuqĭ Xiāng</t>
  </si>
  <si>
    <t>枸杞乡</t>
  </si>
  <si>
    <t>Huánglóng Xiāng</t>
  </si>
  <si>
    <t>黄龙乡</t>
  </si>
  <si>
    <t>Huāniăo Xiāng</t>
  </si>
  <si>
    <t>花鸟乡</t>
  </si>
  <si>
    <t>Huánnán Jiēdào</t>
  </si>
  <si>
    <t>环南街道</t>
  </si>
  <si>
    <t>Jiĕfàng Jiēdào [→ Chāngguó Jiēdào, Huánnán Jiēdào]</t>
  </si>
  <si>
    <t>Jīntáng Zhèn</t>
  </si>
  <si>
    <t>金塘镇</t>
  </si>
  <si>
    <t>Línchéng Jiēdào</t>
  </si>
  <si>
    <t>临城街道</t>
  </si>
  <si>
    <t>Liùhéng Zhèn</t>
  </si>
  <si>
    <t>六横镇</t>
  </si>
  <si>
    <t>Mă'ào Jiēdào</t>
  </si>
  <si>
    <t>马岙街道</t>
  </si>
  <si>
    <t>Pŭtuóshān Zhèn</t>
  </si>
  <si>
    <t>普陀山镇</t>
  </si>
  <si>
    <t>Qúshān Zhèn</t>
  </si>
  <si>
    <t>衢山镇</t>
  </si>
  <si>
    <t>嵊山镇</t>
  </si>
  <si>
    <t>Shĕnjiāmén Jiēdào [incl. Dēngbù Xiāng, Măyĭdăo Xiāng]</t>
  </si>
  <si>
    <t>沈家门街道</t>
  </si>
  <si>
    <t>Shuāngqiáo Jiēdào</t>
  </si>
  <si>
    <t>双桥街道</t>
  </si>
  <si>
    <t>Táohuā Zhèn</t>
  </si>
  <si>
    <t>桃花镇</t>
  </si>
  <si>
    <t>Wŭlóng Xiāng</t>
  </si>
  <si>
    <t>五龙乡</t>
  </si>
  <si>
    <t>Xiăoshā Jiēdào [incl. Chángbái Xiāng]</t>
  </si>
  <si>
    <t>小沙街道</t>
  </si>
  <si>
    <t>Xiāzhì Zhèn</t>
  </si>
  <si>
    <t>虾峙镇</t>
  </si>
  <si>
    <t>Xiùshān Xiāng</t>
  </si>
  <si>
    <t>秀山乡</t>
  </si>
  <si>
    <t>Yáncāng Jiēdào</t>
  </si>
  <si>
    <t>盐仓街道</t>
  </si>
  <si>
    <t>Yángshān Zhèn</t>
  </si>
  <si>
    <t>洋山镇</t>
  </si>
  <si>
    <t>Zhănmáo Jiēdào</t>
  </si>
  <si>
    <t>展茅街道</t>
  </si>
  <si>
    <t>Zhūjiājiān Jiēdào [incl. Báishā Xiāng]</t>
  </si>
  <si>
    <t>朱家尖街道</t>
  </si>
  <si>
    <t>Hángzhōu Shì</t>
  </si>
  <si>
    <t>Sub-provincial City</t>
  </si>
  <si>
    <t>杭州市</t>
  </si>
  <si>
    <t>District</t>
  </si>
  <si>
    <t>滨江区</t>
  </si>
  <si>
    <t>County</t>
  </si>
  <si>
    <t>淳安县</t>
  </si>
  <si>
    <t>富阳区</t>
  </si>
  <si>
    <t>拱墅区</t>
  </si>
  <si>
    <t>建德市</t>
  </si>
  <si>
    <t>临安区</t>
  </si>
  <si>
    <t>临平区</t>
  </si>
  <si>
    <t>...</t>
  </si>
  <si>
    <t>钱塘区</t>
  </si>
  <si>
    <t>上城区</t>
  </si>
  <si>
    <t>桐庐县</t>
  </si>
  <si>
    <t>萧山区</t>
  </si>
  <si>
    <t>西湖区</t>
  </si>
  <si>
    <t>余杭区</t>
  </si>
  <si>
    <t>Húzhōu Shì</t>
  </si>
  <si>
    <t>Prefecture-level City</t>
  </si>
  <si>
    <t>湖州市</t>
  </si>
  <si>
    <t>安吉县</t>
  </si>
  <si>
    <t>长兴县</t>
  </si>
  <si>
    <t>德清县</t>
  </si>
  <si>
    <t>南浔区</t>
  </si>
  <si>
    <t>吴兴区</t>
  </si>
  <si>
    <t>Jiāxīng Shì</t>
  </si>
  <si>
    <t>嘉兴市</t>
  </si>
  <si>
    <t>海宁市</t>
  </si>
  <si>
    <t>海盐县</t>
  </si>
  <si>
    <t>嘉善县</t>
  </si>
  <si>
    <t>南湖区</t>
  </si>
  <si>
    <t>平湖市</t>
  </si>
  <si>
    <t>桐乡市</t>
  </si>
  <si>
    <t>秀洲区</t>
  </si>
  <si>
    <t>Jīnhuá Shì</t>
  </si>
  <si>
    <t>金华市</t>
  </si>
  <si>
    <t>东阳市</t>
  </si>
  <si>
    <t>金东区</t>
  </si>
  <si>
    <t>兰溪市</t>
  </si>
  <si>
    <t>磐安县</t>
  </si>
  <si>
    <t>浦江县</t>
  </si>
  <si>
    <t>婺城区</t>
  </si>
  <si>
    <t>武义县</t>
  </si>
  <si>
    <t>义乌市</t>
  </si>
  <si>
    <t>永康市</t>
  </si>
  <si>
    <t>Lìshuĭ Shì</t>
  </si>
  <si>
    <t>丽水市</t>
  </si>
  <si>
    <t>Autonomous County</t>
  </si>
  <si>
    <t>景宁畲族自治县</t>
  </si>
  <si>
    <t>缙云县</t>
  </si>
  <si>
    <t>莲都区</t>
  </si>
  <si>
    <t>龙泉市</t>
  </si>
  <si>
    <t>青田县</t>
  </si>
  <si>
    <t>庆元县</t>
  </si>
  <si>
    <t>松阳县</t>
  </si>
  <si>
    <t>遂昌县</t>
  </si>
  <si>
    <t>云和县</t>
  </si>
  <si>
    <t>Níngbō Shì</t>
  </si>
  <si>
    <t>宁波市</t>
  </si>
  <si>
    <t>北仑区</t>
  </si>
  <si>
    <t>慈溪市</t>
  </si>
  <si>
    <t>奉化区</t>
  </si>
  <si>
    <t>海曙区</t>
  </si>
  <si>
    <t>江北区</t>
  </si>
  <si>
    <t>宁海县</t>
  </si>
  <si>
    <t>象山县</t>
  </si>
  <si>
    <t>鄞州区</t>
  </si>
  <si>
    <t>余姚市</t>
  </si>
  <si>
    <t>镇海区</t>
  </si>
  <si>
    <t>Qúzhōu Shì</t>
  </si>
  <si>
    <t>衢州市</t>
  </si>
  <si>
    <t>常山县</t>
  </si>
  <si>
    <t>江山市</t>
  </si>
  <si>
    <t>开化县</t>
  </si>
  <si>
    <t>柯城区</t>
  </si>
  <si>
    <t>龙游县</t>
  </si>
  <si>
    <t>衢江区</t>
  </si>
  <si>
    <t>Shàoxīng Shì</t>
  </si>
  <si>
    <t>绍兴市</t>
  </si>
  <si>
    <t>柯桥区</t>
  </si>
  <si>
    <t>上虞区</t>
  </si>
  <si>
    <t>嵊州市</t>
  </si>
  <si>
    <t>新昌县</t>
  </si>
  <si>
    <t>越城区</t>
  </si>
  <si>
    <t>诸暨市</t>
  </si>
  <si>
    <t>Táizhōu Shì</t>
  </si>
  <si>
    <t>台州市</t>
  </si>
  <si>
    <t>黄岩区</t>
  </si>
  <si>
    <t>椒江区</t>
  </si>
  <si>
    <t>临海市</t>
  </si>
  <si>
    <t>路桥区</t>
  </si>
  <si>
    <t>三门县</t>
  </si>
  <si>
    <t>天台县</t>
  </si>
  <si>
    <t>温岭市</t>
  </si>
  <si>
    <t>仙居县</t>
  </si>
  <si>
    <t>玉环市</t>
  </si>
  <si>
    <t>Wēnzhōu Shì</t>
  </si>
  <si>
    <t>温州市</t>
  </si>
  <si>
    <t>苍南县</t>
  </si>
  <si>
    <t>洞头区</t>
  </si>
  <si>
    <t>龙湾区</t>
  </si>
  <si>
    <t>鹿城区</t>
  </si>
  <si>
    <t>瓯海区</t>
  </si>
  <si>
    <t>平阳县</t>
  </si>
  <si>
    <t>瑞安市</t>
  </si>
  <si>
    <t>泰顺县</t>
  </si>
  <si>
    <t>文成县</t>
  </si>
  <si>
    <t>永嘉县</t>
  </si>
  <si>
    <t>乐清市</t>
  </si>
  <si>
    <t>Zhōushān Shì</t>
  </si>
  <si>
    <t>舟山市</t>
  </si>
  <si>
    <t>岱山县</t>
  </si>
  <si>
    <t>定海区</t>
  </si>
  <si>
    <t>普陀区</t>
  </si>
  <si>
    <t>嵊泗县</t>
  </si>
  <si>
    <t>Zhèjiāng</t>
  </si>
  <si>
    <t>Province</t>
  </si>
  <si>
    <t>浙江省</t>
  </si>
  <si>
    <t>Population2</t>
  </si>
  <si>
    <t>Population3</t>
  </si>
  <si>
    <t>Column1</t>
  </si>
  <si>
    <t>Population4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</si>
  <si>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</si>
  <si>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</si>
  <si>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</si>
  <si>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</si>
  <si>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</si>
  <si>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</si>
  <si>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</si>
  <si>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</si>
  <si>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</si>
  <si>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{"name":"</t>
  </si>
  <si>
    <t>,"longitude":</t>
  </si>
  <si>
    <t>,"population":</t>
  </si>
  <si>
    <t xml:space="preserve">,"stateCapital":false,"nationalCapital":false,"pk":null,"quiz":"asia","code":null,"archived":false,"percentageOfSessions":null}, </t>
  </si>
  <si>
    <t>","state":"Zhèjiāng","territory":"","country":"China","latitude":</t>
  </si>
  <si>
    <t>Băijiāng</t>
  </si>
  <si>
    <t>Bănqiáo</t>
  </si>
  <si>
    <t>Chānghuà</t>
  </si>
  <si>
    <t>Chăngkŏu</t>
  </si>
  <si>
    <t>Chánglǜ</t>
  </si>
  <si>
    <t>Dàcíyán</t>
  </si>
  <si>
    <t>Dàicūn</t>
  </si>
  <si>
    <t>Dăngwān</t>
  </si>
  <si>
    <t>Dăoshí</t>
  </si>
  <si>
    <t>Dàshù</t>
  </si>
  <si>
    <t>Dàtóng</t>
  </si>
  <si>
    <t>Dàxiágŭ</t>
  </si>
  <si>
    <t>Fēngshùlĭng</t>
  </si>
  <si>
    <t>Fénkŏu</t>
  </si>
  <si>
    <t>Fēnshuĭ</t>
  </si>
  <si>
    <t>Fùchūnjiāng</t>
  </si>
  <si>
    <t>Gāohóng</t>
  </si>
  <si>
    <t>Guālì</t>
  </si>
  <si>
    <t>Hángtóu</t>
  </si>
  <si>
    <t>Héngcūn</t>
  </si>
  <si>
    <t>Héqiáo</t>
  </si>
  <si>
    <t>Héshàng</t>
  </si>
  <si>
    <t>Huánghú</t>
  </si>
  <si>
    <t>Jiāngjiā</t>
  </si>
  <si>
    <t>Jiāngnán</t>
  </si>
  <si>
    <t>Jìngshān</t>
  </si>
  <si>
    <t>Jìnhuà</t>
  </si>
  <si>
    <t>Lĭjiā</t>
  </si>
  <si>
    <t>Língqiáo</t>
  </si>
  <si>
    <t>Línpŭ</t>
  </si>
  <si>
    <t>Línqí</t>
  </si>
  <si>
    <t>Lĭshān</t>
  </si>
  <si>
    <t>Lónggăng</t>
  </si>
  <si>
    <t>Lóngmén</t>
  </si>
  <si>
    <t>Lóută</t>
  </si>
  <si>
    <t>Lúniăo</t>
  </si>
  <si>
    <t>Lùzhŭ</t>
  </si>
  <si>
    <t>Méichéng</t>
  </si>
  <si>
    <t>Píngyáo</t>
  </si>
  <si>
    <t>Pŭyáng</t>
  </si>
  <si>
    <t>Qiánchuān</t>
  </si>
  <si>
    <t>Qiāndăohú</t>
  </si>
  <si>
    <t>Qiántán</t>
  </si>
  <si>
    <t>Qīngliángfēng</t>
  </si>
  <si>
    <t>Sāndūn</t>
  </si>
  <si>
    <t>Sāndū</t>
  </si>
  <si>
    <t>Shílín</t>
  </si>
  <si>
    <t>Shòuchāng</t>
  </si>
  <si>
    <t>Shuāngpŭ</t>
  </si>
  <si>
    <t>Suŏqián</t>
  </si>
  <si>
    <t>Tàihúyuán</t>
  </si>
  <si>
    <t>Tàiyáng</t>
  </si>
  <si>
    <t>Tángqī</t>
  </si>
  <si>
    <t>Tiānmùshān</t>
  </si>
  <si>
    <t>Tuānkŏu</t>
  </si>
  <si>
    <t>Wànshì</t>
  </si>
  <si>
    <t>Wēipíng</t>
  </si>
  <si>
    <t>Wénchāng</t>
  </si>
  <si>
    <t>Wūqián</t>
  </si>
  <si>
    <t>Xiàyá</t>
  </si>
  <si>
    <t>Xīndēng</t>
  </si>
  <si>
    <t>Xūkŏu</t>
  </si>
  <si>
    <t>Yángcūnqiáo</t>
  </si>
  <si>
    <t>Yáolín</t>
  </si>
  <si>
    <t>Yáqián</t>
  </si>
  <si>
    <t>Yìnóng</t>
  </si>
  <si>
    <t>Yìqiáo</t>
  </si>
  <si>
    <t>Yŏngchāng</t>
  </si>
  <si>
    <t>Zhōngzhōu</t>
  </si>
  <si>
    <t>Zĭtóng</t>
  </si>
  <si>
    <t>Bālĭdiàn</t>
  </si>
  <si>
    <t>Bàofú</t>
  </si>
  <si>
    <t>Dōnglín</t>
  </si>
  <si>
    <t>Hánggāi</t>
  </si>
  <si>
    <t>Héfú</t>
  </si>
  <si>
    <t>Hépíng</t>
  </si>
  <si>
    <t>Hóngxīngqiáo</t>
  </si>
  <si>
    <t>Jiāpŭ</t>
  </si>
  <si>
    <t>Jiùguăn</t>
  </si>
  <si>
    <t>Léidiàn</t>
  </si>
  <si>
    <t>Liànshì</t>
  </si>
  <si>
    <t>Lĭjiāxiàng</t>
  </si>
  <si>
    <t>Línchéng</t>
  </si>
  <si>
    <t>Línghú</t>
  </si>
  <si>
    <t>Luòshè</t>
  </si>
  <si>
    <t>Méishān</t>
  </si>
  <si>
    <t>Méixī</t>
  </si>
  <si>
    <t>Miàoxī</t>
  </si>
  <si>
    <t>Mògānshān</t>
  </si>
  <si>
    <t>Nánxún</t>
  </si>
  <si>
    <t>Qiānjīn</t>
  </si>
  <si>
    <t>Qiányuán</t>
  </si>
  <si>
    <t>Shànliăn</t>
  </si>
  <si>
    <t>Shícóng</t>
  </si>
  <si>
    <t>Shuānglín</t>
  </si>
  <si>
    <t>Sì'ān</t>
  </si>
  <si>
    <t>Tiānhuāngpíng</t>
  </si>
  <si>
    <t>Tiānzǐhú</t>
  </si>
  <si>
    <t>Xiàofēng</t>
  </si>
  <si>
    <t>Xiăopŭ</t>
  </si>
  <si>
    <t>Xīn'ān</t>
  </si>
  <si>
    <t>Xīnshì</t>
  </si>
  <si>
    <t>Yŭyuè</t>
  </si>
  <si>
    <t>Zhāngcūn</t>
  </si>
  <si>
    <t>Zhāngwú</t>
  </si>
  <si>
    <t>Zhīlĭ</t>
  </si>
  <si>
    <t>Zhōngguăn</t>
  </si>
  <si>
    <t>Băibù</t>
  </si>
  <si>
    <t>Chóngfú</t>
  </si>
  <si>
    <t>Dàmá</t>
  </si>
  <si>
    <t>Dàyún</t>
  </si>
  <si>
    <t>Dīngqiáo</t>
  </si>
  <si>
    <t>Dúshāngăng</t>
  </si>
  <si>
    <t>Fèngqiáo</t>
  </si>
  <si>
    <t>Gănpŭ</t>
  </si>
  <si>
    <t>Gānyáo</t>
  </si>
  <si>
    <t>Guăngchén</t>
  </si>
  <si>
    <t>Héshān</t>
  </si>
  <si>
    <t>Hónghé</t>
  </si>
  <si>
    <t>Huángwān</t>
  </si>
  <si>
    <t>Líndài</t>
  </si>
  <si>
    <t>Púyuàn</t>
  </si>
  <si>
    <t>Shĕndàng</t>
  </si>
  <si>
    <t>Táozhuāng</t>
  </si>
  <si>
    <t>Tiānníng</t>
  </si>
  <si>
    <t>Tōngyuán</t>
  </si>
  <si>
    <t>Túdiàn</t>
  </si>
  <si>
    <t>Wángdiàn</t>
  </si>
  <si>
    <t>Wángjiāngjīng</t>
  </si>
  <si>
    <t>Wūzhèn</t>
  </si>
  <si>
    <t>Xiéqiáo</t>
  </si>
  <si>
    <t>Xīncāng</t>
  </si>
  <si>
    <t>Xīnchéng</t>
  </si>
  <si>
    <t>Xīndài</t>
  </si>
  <si>
    <t>Xīnfēng</t>
  </si>
  <si>
    <t>Xītáng</t>
  </si>
  <si>
    <t>Xŭcūn</t>
  </si>
  <si>
    <t>Yánguān</t>
  </si>
  <si>
    <t>Yáozhuāng</t>
  </si>
  <si>
    <t>Yóuchēgăng</t>
  </si>
  <si>
    <t>Yuánhuā</t>
  </si>
  <si>
    <t>Yúchéng</t>
  </si>
  <si>
    <t>Yúxīn</t>
  </si>
  <si>
    <t>Zhàpŭ</t>
  </si>
  <si>
    <t>Zhōuquán</t>
  </si>
  <si>
    <t>Zhōuwángmiào</t>
  </si>
  <si>
    <t>Āndì</t>
  </si>
  <si>
    <t>Báilóngqiáo</t>
  </si>
  <si>
    <t>Báimă</t>
  </si>
  <si>
    <t>Cáozhái</t>
  </si>
  <si>
    <t>Chì'àn</t>
  </si>
  <si>
    <t>Chìsōng</t>
  </si>
  <si>
    <t>Dàpán</t>
  </si>
  <si>
    <t>Dōngyángjiāng</t>
  </si>
  <si>
    <t>Fāngqián</t>
  </si>
  <si>
    <t>Fāngyán</t>
  </si>
  <si>
    <t>Fótáng</t>
  </si>
  <si>
    <t>Fùcūn</t>
  </si>
  <si>
    <t>Gēshān</t>
  </si>
  <si>
    <t>Gŭshān</t>
  </si>
  <si>
    <t>Hángpíng</t>
  </si>
  <si>
    <t>Héngdiàn</t>
  </si>
  <si>
    <t>Huājiē</t>
  </si>
  <si>
    <t>Huángdiàn</t>
  </si>
  <si>
    <t>Huángzhái</t>
  </si>
  <si>
    <t>Huàshuĭ</t>
  </si>
  <si>
    <t>Hŭlù</t>
  </si>
  <si>
    <t>Húxī</t>
  </si>
  <si>
    <t>Jiāngdōng</t>
  </si>
  <si>
    <t>Jiăngtáng</t>
  </si>
  <si>
    <t>Jiānshān</t>
  </si>
  <si>
    <t>Jiāodào</t>
  </si>
  <si>
    <t>Lángyá</t>
  </si>
  <si>
    <t>Lĕngshuĭ</t>
  </si>
  <si>
    <t>Lĭngxià</t>
  </si>
  <si>
    <t>Liŭchéng Shēzú</t>
  </si>
  <si>
    <t>Luóbù</t>
  </si>
  <si>
    <t>Luódiàn</t>
  </si>
  <si>
    <t>Lǚtăn</t>
  </si>
  <si>
    <t>Măzhái</t>
  </si>
  <si>
    <t>Méijiāng</t>
  </si>
  <si>
    <t>Nánmă</t>
  </si>
  <si>
    <t>Qiānxiáng</t>
  </si>
  <si>
    <t>Quánxī</t>
  </si>
  <si>
    <t>Rénchuān</t>
  </si>
  <si>
    <t>Shànghú</t>
  </si>
  <si>
    <t>Shàngxī</t>
  </si>
  <si>
    <t>Shízhù</t>
  </si>
  <si>
    <t>Sūxī</t>
  </si>
  <si>
    <t>Tángxiān</t>
  </si>
  <si>
    <t>Tāngxī</t>
  </si>
  <si>
    <t>Tángyă</t>
  </si>
  <si>
    <t>Tánxī</t>
  </si>
  <si>
    <t>Táoxī</t>
  </si>
  <si>
    <t>Tóngqín</t>
  </si>
  <si>
    <t>Wángzhái</t>
  </si>
  <si>
    <t>Wēishān</t>
  </si>
  <si>
    <t>Xiāngxī</t>
  </si>
  <si>
    <t>Xiàngzhū</t>
  </si>
  <si>
    <t>Xiàoshùn</t>
  </si>
  <si>
    <t>Xīnzhái</t>
  </si>
  <si>
    <t>Xīxī</t>
  </si>
  <si>
    <t>Yăfàn</t>
  </si>
  <si>
    <t>Yángbù</t>
  </si>
  <si>
    <t>Yóubù</t>
  </si>
  <si>
    <t>Yùshān</t>
  </si>
  <si>
    <t>Zhèngjiāwù</t>
  </si>
  <si>
    <t>Zhèngzhái</t>
  </si>
  <si>
    <t>Zhīyīng</t>
  </si>
  <si>
    <t>Zhōushān</t>
  </si>
  <si>
    <t>Zhūgĕ</t>
  </si>
  <si>
    <t>Zuŏcūn</t>
  </si>
  <si>
    <t>Ānrén</t>
  </si>
  <si>
    <t>Bādū</t>
  </si>
  <si>
    <t>Băishānzŭ</t>
  </si>
  <si>
    <t>Bĕijiè</t>
  </si>
  <si>
    <t>Bĕishān</t>
  </si>
  <si>
    <t>Bìhú</t>
  </si>
  <si>
    <t>Bóhăi</t>
  </si>
  <si>
    <t>Chátián</t>
  </si>
  <si>
    <t>Chóngtóu</t>
  </si>
  <si>
    <t>Chuánliáo</t>
  </si>
  <si>
    <t>Dàdōngbà</t>
  </si>
  <si>
    <t>Dàgăngtóu</t>
  </si>
  <si>
    <t>Dàzhè</t>
  </si>
  <si>
    <t>Dōngdù</t>
  </si>
  <si>
    <t>Dōngfāng</t>
  </si>
  <si>
    <t>Dōngkēng</t>
  </si>
  <si>
    <t>Dōngyuán</t>
  </si>
  <si>
    <t>Gāohú</t>
  </si>
  <si>
    <t>Gŭshì</t>
  </si>
  <si>
    <t>Hăikŏu</t>
  </si>
  <si>
    <t>Hédì</t>
  </si>
  <si>
    <t>Huángshāyāo</t>
  </si>
  <si>
    <t>Huángtián</t>
  </si>
  <si>
    <t>Jĭnshuĭtān</t>
  </si>
  <si>
    <t>Jĭnxī</t>
  </si>
  <si>
    <t>Jīnzhú</t>
  </si>
  <si>
    <t>Làkŏu</t>
  </si>
  <si>
    <t>Lăozhú Shēzú</t>
  </si>
  <si>
    <t>Píngnán</t>
  </si>
  <si>
    <t>Rénzhuāng</t>
  </si>
  <si>
    <t>Shàngyáng</t>
  </si>
  <si>
    <t>Shānkŏu</t>
  </si>
  <si>
    <t>Shāwān</t>
  </si>
  <si>
    <t>Shíliàn</t>
  </si>
  <si>
    <t>Shūhóng</t>
  </si>
  <si>
    <t>Wángcūnkŏu</t>
  </si>
  <si>
    <t>Wēnxī</t>
  </si>
  <si>
    <t>Xiàngxī</t>
  </si>
  <si>
    <t>Xiánliáng</t>
  </si>
  <si>
    <t>Xiăoméi</t>
  </si>
  <si>
    <t>Xīnjiàn</t>
  </si>
  <si>
    <t>Xīnlùwān</t>
  </si>
  <si>
    <t>Xīnxīng</t>
  </si>
  <si>
    <t>Yăxī</t>
  </si>
  <si>
    <t>Yīngchuān</t>
  </si>
  <si>
    <t>Yùyán</t>
  </si>
  <si>
    <t>Zhēnbù</t>
  </si>
  <si>
    <t>Zhúkŏu</t>
  </si>
  <si>
    <t>Zhùlóng</t>
  </si>
  <si>
    <t>Zuŏxī</t>
  </si>
  <si>
    <t>Āndōng</t>
  </si>
  <si>
    <t>Chàlù</t>
  </si>
  <si>
    <t>Chánghé</t>
  </si>
  <si>
    <t>Chángjiē</t>
  </si>
  <si>
    <t>Chóngshòu</t>
  </si>
  <si>
    <t>Cíchéng</t>
  </si>
  <si>
    <t>Dàjiāhé</t>
  </si>
  <si>
    <t>Dàlán</t>
  </si>
  <si>
    <t>Dàxú</t>
  </si>
  <si>
    <t>Dàyàn</t>
  </si>
  <si>
    <t>Dàyĭn</t>
  </si>
  <si>
    <t>Dìngtáng</t>
  </si>
  <si>
    <t>Dōngqiánhú</t>
  </si>
  <si>
    <t>Dōngwú</t>
  </si>
  <si>
    <t>Fùhăi</t>
  </si>
  <si>
    <t>Gāoqiáo</t>
  </si>
  <si>
    <t>Guānhăiwèi</t>
  </si>
  <si>
    <t>Gŭlín</t>
  </si>
  <si>
    <t>Hémŭdù</t>
  </si>
  <si>
    <t>Hénghé</t>
  </si>
  <si>
    <t>Hèpŭ</t>
  </si>
  <si>
    <t>Huángjiābù</t>
  </si>
  <si>
    <t>Huángtán</t>
  </si>
  <si>
    <t>Jiāngshān</t>
  </si>
  <si>
    <t>Jiŭlónghú</t>
  </si>
  <si>
    <t>Kuāngyàn</t>
  </si>
  <si>
    <t>Liángnòng</t>
  </si>
  <si>
    <t>Línshān</t>
  </si>
  <si>
    <t>Lìyáng</t>
  </si>
  <si>
    <t>Lùbù</t>
  </si>
  <si>
    <t>Măzhŭ</t>
  </si>
  <si>
    <t>Móushān</t>
  </si>
  <si>
    <t>Qiángjiāo</t>
  </si>
  <si>
    <t>Qiángtóu</t>
  </si>
  <si>
    <t>Qiántóng</t>
  </si>
  <si>
    <t>Qiū'ài</t>
  </si>
  <si>
    <t>Qiúcūn</t>
  </si>
  <si>
    <t>Sāngzhōu</t>
  </si>
  <si>
    <t>Sānqīshì</t>
  </si>
  <si>
    <t>Shēnquăn</t>
  </si>
  <si>
    <t>Shípŭ</t>
  </si>
  <si>
    <t>Sìmén</t>
  </si>
  <si>
    <t>Sìmíngshān</t>
  </si>
  <si>
    <t>Sìzhōutóu</t>
  </si>
  <si>
    <t>Sōng'ào</t>
  </si>
  <si>
    <t>Tángxī</t>
  </si>
  <si>
    <t>Túcí</t>
  </si>
  <si>
    <t>Wŭxiāng</t>
  </si>
  <si>
    <t>Xiăocáo'é</t>
  </si>
  <si>
    <t>Xiāolín</t>
  </si>
  <si>
    <t>Xīdiàn</t>
  </si>
  <si>
    <t>Xièpŭ</t>
  </si>
  <si>
    <t>Xīnpŭ</t>
  </si>
  <si>
    <t>Xīzhōu</t>
  </si>
  <si>
    <t>Yínjiāng</t>
  </si>
  <si>
    <t>Yīshì</t>
  </si>
  <si>
    <t>Yúnlóng</t>
  </si>
  <si>
    <t>Zhăngqĭ</t>
  </si>
  <si>
    <t>Zhāngshuĭ</t>
  </si>
  <si>
    <t>Zhàngtíng</t>
  </si>
  <si>
    <t>Zhānqí</t>
  </si>
  <si>
    <t>Zhōuxiàng</t>
  </si>
  <si>
    <t>Báishí</t>
  </si>
  <si>
    <t>Chángtái</t>
  </si>
  <si>
    <t>Chíhuái</t>
  </si>
  <si>
    <t>Cūntóu</t>
  </si>
  <si>
    <t>Dàzhōu</t>
  </si>
  <si>
    <t>Dùzé</t>
  </si>
  <si>
    <t>Fāngcūn</t>
  </si>
  <si>
    <t>Fènglín</t>
  </si>
  <si>
    <t>Gāojiā</t>
  </si>
  <si>
    <t>Hángbù</t>
  </si>
  <si>
    <t>Hècūn</t>
  </si>
  <si>
    <t>Héngshān</t>
  </si>
  <si>
    <t>Hòuxī</t>
  </si>
  <si>
    <t>Huábù</t>
  </si>
  <si>
    <t>Huībù</t>
  </si>
  <si>
    <t>Húnán</t>
  </si>
  <si>
    <t>Măjīn</t>
  </si>
  <si>
    <t>Niànbādū</t>
  </si>
  <si>
    <t>Niànlĭ</t>
  </si>
  <si>
    <t>Qīngshí</t>
  </si>
  <si>
    <t>Qiúchuān</t>
  </si>
  <si>
    <t>Qíxī</t>
  </si>
  <si>
    <t>Quánwàng</t>
  </si>
  <si>
    <t>Shàngfāng</t>
  </si>
  <si>
    <t>Shàngyú</t>
  </si>
  <si>
    <t>Sìdū</t>
  </si>
  <si>
    <t>Sūzhuāng</t>
  </si>
  <si>
    <t>Tánshí</t>
  </si>
  <si>
    <t>Tăshí</t>
  </si>
  <si>
    <t>Tóngcūn</t>
  </si>
  <si>
    <t>Xiáchuān</t>
  </si>
  <si>
    <t>Xiákŏu</t>
  </si>
  <si>
    <t>Xiăonánhăi</t>
  </si>
  <si>
    <t>Xīntángbiān</t>
  </si>
  <si>
    <t>Yánglín</t>
  </si>
  <si>
    <t>Zhānjiā</t>
  </si>
  <si>
    <t>Zhāoxián</t>
  </si>
  <si>
    <t>Ānhuá</t>
  </si>
  <si>
    <t>Chánglè</t>
  </si>
  <si>
    <t>Chángtáng</t>
  </si>
  <si>
    <t>Chénzhái</t>
  </si>
  <si>
    <t>Chóngrén</t>
  </si>
  <si>
    <t>Cìwù</t>
  </si>
  <si>
    <t>Diànkŏu</t>
  </si>
  <si>
    <t>Dōngbáihú</t>
  </si>
  <si>
    <t>Fēnghuì</t>
  </si>
  <si>
    <t>Fēngqiáo</t>
  </si>
  <si>
    <t>Fùshèng</t>
  </si>
  <si>
    <t>Gàibĕi</t>
  </si>
  <si>
    <t>Gānlín</t>
  </si>
  <si>
    <t>Gŭlái</t>
  </si>
  <si>
    <t>Huángshān</t>
  </si>
  <si>
    <t>Huángzé</t>
  </si>
  <si>
    <t>Huíshān</t>
  </si>
  <si>
    <t>Jīdōng</t>
  </si>
  <si>
    <t>Jìnglĭng</t>
  </si>
  <si>
    <t>Jīntíng</t>
  </si>
  <si>
    <t>Lĭngbĕi</t>
  </si>
  <si>
    <t>Lízhŭ</t>
  </si>
  <si>
    <t>Páitóu</t>
  </si>
  <si>
    <t>Píngshuĭ</t>
  </si>
  <si>
    <t>Rú'ào</t>
  </si>
  <si>
    <t>Sānjiè</t>
  </si>
  <si>
    <t>Shàngpŭ</t>
  </si>
  <si>
    <t>Shānxiàhú</t>
  </si>
  <si>
    <t>Shāxī</t>
  </si>
  <si>
    <t>Shíhuáng</t>
  </si>
  <si>
    <t>Tāngpŭ</t>
  </si>
  <si>
    <t>Tóngshān</t>
  </si>
  <si>
    <t>Wángtán</t>
  </si>
  <si>
    <t>Wòzhōu</t>
  </si>
  <si>
    <t>Wŭxiè</t>
  </si>
  <si>
    <t>Xiàguăn</t>
  </si>
  <si>
    <t>Xiàlǚ</t>
  </si>
  <si>
    <t>Xiānyán</t>
  </si>
  <si>
    <t>Xiăojiāng</t>
  </si>
  <si>
    <t>Xiàwáng</t>
  </si>
  <si>
    <t>Xiètáng</t>
  </si>
  <si>
    <t>Yáojiāng</t>
  </si>
  <si>
    <t>Yīngdiànjiē</t>
  </si>
  <si>
    <t>Yŏnghé</t>
  </si>
  <si>
    <t>Zhāngzhèn</t>
  </si>
  <si>
    <t>Zhàojiā</t>
  </si>
  <si>
    <t>Báihè</t>
  </si>
  <si>
    <t>Báishuĭyáng</t>
  </si>
  <si>
    <t>Báită</t>
  </si>
  <si>
    <t>Bĕiyáng</t>
  </si>
  <si>
    <t>Bīnhăi</t>
  </si>
  <si>
    <t>Bùtóu</t>
  </si>
  <si>
    <t>Chéngnán</t>
  </si>
  <si>
    <t>Chŭmén</t>
  </si>
  <si>
    <t>Dàxī</t>
  </si>
  <si>
    <t>Dōngchéng</t>
  </si>
  <si>
    <t>Dùqiáo</t>
  </si>
  <si>
    <t>Gānjiāng</t>
  </si>
  <si>
    <t>Guānlù</t>
  </si>
  <si>
    <t>Héngdù</t>
  </si>
  <si>
    <t>Hétóu</t>
  </si>
  <si>
    <t>Hóngchóu</t>
  </si>
  <si>
    <t>Huāqiáo</t>
  </si>
  <si>
    <t>Huìxī</t>
  </si>
  <si>
    <t>Jiàntiào</t>
  </si>
  <si>
    <t>Jiētóu</t>
  </si>
  <si>
    <t>Jīnqīng</t>
  </si>
  <si>
    <t>Kuòcāng</t>
  </si>
  <si>
    <t>Lóngxī</t>
  </si>
  <si>
    <t>Lúpŭ</t>
  </si>
  <si>
    <t>Níngxī</t>
  </si>
  <si>
    <t>Péngjiē</t>
  </si>
  <si>
    <t>Píngqiáo</t>
  </si>
  <si>
    <t>Pǔbàgǎng</t>
  </si>
  <si>
    <t>Qīnggăng</t>
  </si>
  <si>
    <t>Ruòhéng</t>
  </si>
  <si>
    <t>Sānhé</t>
  </si>
  <si>
    <t>Shābù</t>
  </si>
  <si>
    <t>Shāmén</t>
  </si>
  <si>
    <t>Shàngpán</t>
  </si>
  <si>
    <t>Shíqiáotóu</t>
  </si>
  <si>
    <t>Sōngmén</t>
  </si>
  <si>
    <t>Tăntóu</t>
  </si>
  <si>
    <t>Táozhŭ</t>
  </si>
  <si>
    <t>Tiánshì</t>
  </si>
  <si>
    <t>Tíngpáng</t>
  </si>
  <si>
    <t>Tóutuó</t>
  </si>
  <si>
    <t>Wēnjiào</t>
  </si>
  <si>
    <t>Wùgēn</t>
  </si>
  <si>
    <t>Xiàgè</t>
  </si>
  <si>
    <t>Xiăozhī</t>
  </si>
  <si>
    <t>Xīnhé</t>
  </si>
  <si>
    <t>Xùnqiáo</t>
  </si>
  <si>
    <t>Yánjiāng</t>
  </si>
  <si>
    <t>Yŏngfēng</t>
  </si>
  <si>
    <t>Yŏngquán</t>
  </si>
  <si>
    <t>Yóuxī</t>
  </si>
  <si>
    <t>Yuànqiáo</t>
  </si>
  <si>
    <t>Zéguó</t>
  </si>
  <si>
    <t>Zhū'ào</t>
  </si>
  <si>
    <t>Zhūxī</t>
  </si>
  <si>
    <t>Áojiāng</t>
  </si>
  <si>
    <t>Băizhàngjì</t>
  </si>
  <si>
    <t>Bĕibáixiàng</t>
  </si>
  <si>
    <t>Bìlián</t>
  </si>
  <si>
    <t>Bìshān</t>
  </si>
  <si>
    <t>Cáocūn</t>
  </si>
  <si>
    <t>Chìxī</t>
  </si>
  <si>
    <t>Dàjīng</t>
  </si>
  <si>
    <t>Dàmén</t>
  </si>
  <si>
    <t>Dànxī</t>
  </si>
  <si>
    <t>Dàruòyán</t>
  </si>
  <si>
    <t>Dàxué</t>
  </si>
  <si>
    <t>Dàyú</t>
  </si>
  <si>
    <t>Èryuán</t>
  </si>
  <si>
    <t>Fánshān</t>
  </si>
  <si>
    <t>Fēnglín</t>
  </si>
  <si>
    <t>Fèngwò</t>
  </si>
  <si>
    <t>Fúróng</t>
  </si>
  <si>
    <t>Gāolóu</t>
  </si>
  <si>
    <t>Guānmĕi</t>
  </si>
  <si>
    <t>Guīhú</t>
  </si>
  <si>
    <t>Hèshèng</t>
  </si>
  <si>
    <t>Hèxī</t>
  </si>
  <si>
    <t>Huáixī</t>
  </si>
  <si>
    <t>Huánghuá</t>
  </si>
  <si>
    <t>Huángtăn</t>
  </si>
  <si>
    <t>Húlĭng</t>
  </si>
  <si>
    <t>Húwù</t>
  </si>
  <si>
    <t>Jīnxiāng</t>
  </si>
  <si>
    <t>Jŭxī</t>
  </si>
  <si>
    <t>Jùyŭ</t>
  </si>
  <si>
    <t>Kūnyáng</t>
  </si>
  <si>
    <t>Língxī</t>
  </si>
  <si>
    <t>Liŭshì</t>
  </si>
  <si>
    <t>Lónghú</t>
  </si>
  <si>
    <t>Luóyáng</t>
  </si>
  <si>
    <t>Mábù</t>
  </si>
  <si>
    <t>Măyŭ</t>
  </si>
  <si>
    <t>Măzhàn</t>
  </si>
  <si>
    <t>Nánjĭ</t>
  </si>
  <si>
    <t>Nánsòng</t>
  </si>
  <si>
    <t>Nántáng</t>
  </si>
  <si>
    <t>Nántián</t>
  </si>
  <si>
    <t>Nányàn</t>
  </si>
  <si>
    <t>Nányuè</t>
  </si>
  <si>
    <t>Pánshí</t>
  </si>
  <si>
    <t>Péngxī</t>
  </si>
  <si>
    <t>Píngyángkēng</t>
  </si>
  <si>
    <t>Púqí</t>
  </si>
  <si>
    <t>Qiánkù</t>
  </si>
  <si>
    <t>Qiáodūn</t>
  </si>
  <si>
    <t>Qiáoxià</t>
  </si>
  <si>
    <t>Qīlĭgăng</t>
  </si>
  <si>
    <t>Qīngjiāng</t>
  </si>
  <si>
    <t>Sānkuí</t>
  </si>
  <si>
    <t>Shānmén</t>
  </si>
  <si>
    <t>Shānxī</t>
  </si>
  <si>
    <t>Shātóu</t>
  </si>
  <si>
    <t>Shìyáng</t>
  </si>
  <si>
    <t>Shuĭtóu</t>
  </si>
  <si>
    <t>Shùnxī</t>
  </si>
  <si>
    <t>Sīqián Shēzú</t>
  </si>
  <si>
    <t>Sìxī</t>
  </si>
  <si>
    <t>Sòngbù</t>
  </si>
  <si>
    <t>Tángxià</t>
  </si>
  <si>
    <t>Táoshān</t>
  </si>
  <si>
    <t>Téngjiāo</t>
  </si>
  <si>
    <t>Téngqiáo</t>
  </si>
  <si>
    <t>Tóngpŭ</t>
  </si>
  <si>
    <t>Wànglĭ</t>
  </si>
  <si>
    <t>Wànquán</t>
  </si>
  <si>
    <t>Xiáguān</t>
  </si>
  <si>
    <t>Xiàngyáng</t>
  </si>
  <si>
    <t>Xiānxī</t>
  </si>
  <si>
    <t>Xiăocūn</t>
  </si>
  <si>
    <t>Xiāojiāng</t>
  </si>
  <si>
    <t>Xīkēng Shēzú</t>
  </si>
  <si>
    <t>Xīyáng</t>
  </si>
  <si>
    <t>Xuékŏu</t>
  </si>
  <si>
    <t>Xùnzhái</t>
  </si>
  <si>
    <t>Yàndàng</t>
  </si>
  <si>
    <t>Yánpŭ</t>
  </si>
  <si>
    <t>Yántăn</t>
  </si>
  <si>
    <t>Yántíng</t>
  </si>
  <si>
    <t>Yăyáng</t>
  </si>
  <si>
    <t>Yíshān</t>
  </si>
  <si>
    <t>Yùhú</t>
  </si>
  <si>
    <t>Yúyáng</t>
  </si>
  <si>
    <t>Zăoxī</t>
  </si>
  <si>
    <t>Zéyă</t>
  </si>
  <si>
    <t>Zhōurăng</t>
  </si>
  <si>
    <t>Báiquán</t>
  </si>
  <si>
    <t>Càiyuán</t>
  </si>
  <si>
    <t>Chángtú</t>
  </si>
  <si>
    <t>Dàidōng</t>
  </si>
  <si>
    <t>Dōngjí</t>
  </si>
  <si>
    <t>Dōngshā</t>
  </si>
  <si>
    <t>Gānlăn</t>
  </si>
  <si>
    <t>Gāotíng</t>
  </si>
  <si>
    <t>Jīntáng</t>
  </si>
  <si>
    <t>Liùhéng</t>
  </si>
  <si>
    <t>Pŭtuóshān</t>
  </si>
  <si>
    <t>Qúshān</t>
  </si>
  <si>
    <t>Táohuā</t>
  </si>
  <si>
    <t>Xiāzhì</t>
  </si>
  <si>
    <t>Yángshān</t>
  </si>
  <si>
    <t>Lóngquán</t>
  </si>
  <si>
    <t>Lìshuĭ</t>
  </si>
  <si>
    <t>Línhăi</t>
  </si>
  <si>
    <t>Wēnlĭng</t>
  </si>
  <si>
    <t>Yùhuán</t>
  </si>
  <si>
    <t>Táizhōu</t>
  </si>
  <si>
    <t>Pínghú</t>
  </si>
  <si>
    <t>Tóngxiāng</t>
  </si>
  <si>
    <t>Hăiníng</t>
  </si>
  <si>
    <t>Jiāxīng</t>
  </si>
  <si>
    <t>Yúyáo</t>
  </si>
  <si>
    <t>Cíxī</t>
  </si>
  <si>
    <t>Níngbō</t>
  </si>
  <si>
    <t>Jiàndé</t>
  </si>
  <si>
    <t>Hángzhōu</t>
  </si>
  <si>
    <t>Yuèqīng</t>
  </si>
  <si>
    <t>Ruì'ān</t>
  </si>
  <si>
    <t>Wēnzhōu</t>
  </si>
  <si>
    <t>Húzhōu</t>
  </si>
  <si>
    <t>Shèngzhōu</t>
  </si>
  <si>
    <t>Zhūjì</t>
  </si>
  <si>
    <t>Shàoxīng</t>
  </si>
  <si>
    <t>Qúzhōu</t>
  </si>
  <si>
    <t>Dōngyáng</t>
  </si>
  <si>
    <t>Yìwū</t>
  </si>
  <si>
    <t>Lánxī</t>
  </si>
  <si>
    <t>Yŏngkāng</t>
  </si>
  <si>
    <t>Jīnhuá</t>
  </si>
  <si>
    <t xml:space="preserve">,"stateCapital":true,"nationalCapital":false,"pk":null,"quiz":"asia","code":null,"archived":false,"percentageOfSessions":null}, </t>
  </si>
  <si>
    <t>Column13</t>
  </si>
  <si>
    <t>Column10</t>
  </si>
  <si>
    <t>Column11</t>
  </si>
  <si>
    <t>Column112</t>
  </si>
  <si>
    <t>Aishan Jiedao</t>
  </si>
  <si>
    <t>Anchang Jiedao</t>
  </si>
  <si>
    <t>Andi Zhen</t>
  </si>
  <si>
    <t>Andong Zhen</t>
  </si>
  <si>
    <t>Anhua Zhen</t>
  </si>
  <si>
    <t>Ankou Xiang</t>
  </si>
  <si>
    <t>Anling Xiang</t>
  </si>
  <si>
    <t>Anmin Xiang</t>
  </si>
  <si>
    <t>Annan Xiang</t>
  </si>
  <si>
    <t>Anren Zhen</t>
  </si>
  <si>
    <t>Anwen Jiedao</t>
  </si>
  <si>
    <t>Anxi Shezu Xiang</t>
  </si>
  <si>
    <t>Anyang Jiedao</t>
  </si>
  <si>
    <t>Anyang Xiang</t>
  </si>
  <si>
    <t>Anzhou Jiedao</t>
  </si>
  <si>
    <t>Aojiang Zhen</t>
  </si>
  <si>
    <t>Badu Zhen</t>
  </si>
  <si>
    <t>Baibu Zhen</t>
  </si>
  <si>
    <t>Baifeng Jiedao</t>
  </si>
  <si>
    <t>Baiguan Jiedao</t>
  </si>
  <si>
    <t>Baihe Jiedao</t>
  </si>
  <si>
    <t>Baihe Zhen</t>
  </si>
  <si>
    <t>Baijiang Zhen</t>
  </si>
  <si>
    <t>Bailongqiao Zhen</t>
  </si>
  <si>
    <t>Baima Zhen</t>
  </si>
  <si>
    <t>Baimu Xiang</t>
  </si>
  <si>
    <t>Baiquan Zhen [incl. Beichan Xiang]</t>
  </si>
  <si>
    <t>Baishalu Jiedao</t>
  </si>
  <si>
    <t>Baishanzu Zhen [incl. Hehu Xiang]</t>
  </si>
  <si>
    <t>Baishe Xiang</t>
  </si>
  <si>
    <t>Baishi Jiedao</t>
  </si>
  <si>
    <t>Baishi Zhen</t>
  </si>
  <si>
    <t>Baishuiyang Zhen</t>
  </si>
  <si>
    <t>Baita Zhen</t>
  </si>
  <si>
    <t>Baiyang Jiedao (Hangzhou Shi)</t>
  </si>
  <si>
    <t>Baiyang Jiedao (Jinhua Shi)</t>
  </si>
  <si>
    <t>Baiyun Jiedao (Jinhua Shi)</t>
  </si>
  <si>
    <t>Baiyun Jiedao (Lishui Shi)</t>
  </si>
  <si>
    <t>Baiyun Jiedao (Ningbo Shi)</t>
  </si>
  <si>
    <t>Baiyun Jiedao (Quzhou Shi)</t>
  </si>
  <si>
    <t>Baiyun Jiedao (Taizhou Shi)</t>
  </si>
  <si>
    <t>Baizhang Jiedao</t>
  </si>
  <si>
    <t>Baizhang Zhen (Hangzhou Shi)</t>
  </si>
  <si>
    <t>Baizhang Zhen (Wenzhou Shi)</t>
  </si>
  <si>
    <t>Baizhangji Zhen</t>
  </si>
  <si>
    <t>Balidian Zhen</t>
  </si>
  <si>
    <t>Banqiao Shezu Xiang</t>
  </si>
  <si>
    <t>Banqiao Zhen [incl. Sankou Zhen]</t>
  </si>
  <si>
    <t>Banshan Jiedao</t>
  </si>
  <si>
    <t>Bao'an Xiang</t>
  </si>
  <si>
    <t>Baofu Zhen</t>
  </si>
  <si>
    <t>Baoshuiqu</t>
  </si>
  <si>
    <t>Baoxi Xiang</t>
  </si>
  <si>
    <t>Baoyang Xiang</t>
  </si>
  <si>
    <t>Bei'ao Jiedao</t>
  </si>
  <si>
    <t>Beibaixiang Zhen</t>
  </si>
  <si>
    <t>Beicheng Jiedao</t>
  </si>
  <si>
    <t>Beigan Jiedao</t>
  </si>
  <si>
    <t>Beihai Jiedao</t>
  </si>
  <si>
    <t>Beiji Xiang [→ Dongshan Jiedao]</t>
  </si>
  <si>
    <t>Beijie Zhen</t>
  </si>
  <si>
    <t>Beilong Xiang</t>
  </si>
  <si>
    <t>Beipai Xiang</t>
  </si>
  <si>
    <t>Beishan Jiedao</t>
  </si>
  <si>
    <t>Beishan Zhen [incl. Linggen Xiang]</t>
  </si>
  <si>
    <t>Beiyang Zhen</t>
  </si>
  <si>
    <t>Beiyuan Jiedao</t>
  </si>
  <si>
    <t>Biaoshan Xiang</t>
  </si>
  <si>
    <t>Biaoxi Xiang</t>
  </si>
  <si>
    <t>Bihu Zhen [incl. Gaoxi Xiang]</t>
  </si>
  <si>
    <t>Bilian Zhen</t>
  </si>
  <si>
    <t>Binhai Zhen</t>
  </si>
  <si>
    <t>Binhu Jiedao</t>
  </si>
  <si>
    <t>Binjiang Jiedao [incl. Hongdian Jiedao, Liming Jiedao]</t>
  </si>
  <si>
    <t>Bishan Zhen</t>
  </si>
  <si>
    <t>Bohai Zhen</t>
  </si>
  <si>
    <t>Bulu Xiang</t>
  </si>
  <si>
    <t>Butou Zhen</t>
  </si>
  <si>
    <t>Caihe Jiedao</t>
  </si>
  <si>
    <t>Caiyuan Xiang</t>
  </si>
  <si>
    <t>Caiyuan Zhen</t>
  </si>
  <si>
    <t>Cangqian Jiedao</t>
  </si>
  <si>
    <t>Caocun Zhen [→ Mayu Zhen]</t>
  </si>
  <si>
    <t>Cao'e Jiedao</t>
  </si>
  <si>
    <t>Caoqiao Jiedao</t>
  </si>
  <si>
    <t>Caozhai Zhen</t>
  </si>
  <si>
    <t>Cengang Jiedao [incl. Cezi Xiang]</t>
  </si>
  <si>
    <t>Chaiqiao Jiedao</t>
  </si>
  <si>
    <t>Chalu Zhen</t>
  </si>
  <si>
    <t>Chang'an Zhen (Hangzhou Shi)</t>
  </si>
  <si>
    <t>Chang'an Zhen (Jiaxing Shi)</t>
  </si>
  <si>
    <t>Changchan Xiang</t>
  </si>
  <si>
    <t>Changguo Jiedao</t>
  </si>
  <si>
    <t>Changhe Jiedao</t>
  </si>
  <si>
    <t>Changhe Zhen</t>
  </si>
  <si>
    <t>Changhong Xiang</t>
  </si>
  <si>
    <t>Changhua Zhen</t>
  </si>
  <si>
    <t>Changjie Zhen</t>
  </si>
  <si>
    <t>Changkou Zhen</t>
  </si>
  <si>
    <t>Changle Zhen</t>
  </si>
  <si>
    <t>Changlu Zhen</t>
  </si>
  <si>
    <t>Changqing Jiedao</t>
  </si>
  <si>
    <t>Changshan Xiang</t>
  </si>
  <si>
    <t>Changshui Jiedao [in: Jiaxing Economic and Technological Development Zone]</t>
  </si>
  <si>
    <t>Changtai Zhen</t>
  </si>
  <si>
    <t>Changtang Zhen</t>
  </si>
  <si>
    <t>Changtu Zhen</t>
  </si>
  <si>
    <t>Chaohui Jiedao</t>
  </si>
  <si>
    <t>Chaoji Xiang</t>
  </si>
  <si>
    <t>Chaoming Jiedao</t>
  </si>
  <si>
    <t>Chaoyang Jiedao</t>
  </si>
  <si>
    <t>Chaoyang Xiang</t>
  </si>
  <si>
    <t>Chashan Jiedao</t>
  </si>
  <si>
    <t>Chatian Zhen</t>
  </si>
  <si>
    <t>Chayuan Xiang</t>
  </si>
  <si>
    <t>Chengbei Jiedao (Jinhua Shi)</t>
  </si>
  <si>
    <t>Chengbei Jiedao (Taizhou Shi)</t>
  </si>
  <si>
    <t>Chengbei Xiang (Lishui Shi)</t>
  </si>
  <si>
    <t>Chengbei Xiang (Wenzhou Shi)</t>
  </si>
  <si>
    <t>Chengdong Jiedao (Wucheng Qu)</t>
  </si>
  <si>
    <t>Chengdong Jiedao (Dongyang Shi)</t>
  </si>
  <si>
    <t>Chengdong Jiedao (Taizhou Shi)</t>
  </si>
  <si>
    <t>Chengdong Jiedao (Zhoushan Shi)</t>
  </si>
  <si>
    <t>Chengjiang Jiedao</t>
  </si>
  <si>
    <t>Chengnan Jiedao</t>
  </si>
  <si>
    <t>Chengnan Jiedao [in: Jiaxing Economic and Technological Development Zone]</t>
  </si>
  <si>
    <t>Chengnan Xiang</t>
  </si>
  <si>
    <t>Chengnan Zhen</t>
  </si>
  <si>
    <t>Chengtan Jiedao [incl. Meizhu Zhen]</t>
  </si>
  <si>
    <t>Chengxi Jiedao (Wucheng Qu)</t>
  </si>
  <si>
    <t>Chengxi Jiedao (Yiwu Shi)</t>
  </si>
  <si>
    <t>Chengxi Jiedao (Taizhou Shi)</t>
  </si>
  <si>
    <t>Chengxiang Jiedao</t>
  </si>
  <si>
    <t>Chengzhao Xiang</t>
  </si>
  <si>
    <t>Chengzhong Jiedao</t>
  </si>
  <si>
    <t>Chenxi Xiang</t>
  </si>
  <si>
    <t>Chenzhai Zhen</t>
  </si>
  <si>
    <t>Chi'an Zhen</t>
  </si>
  <si>
    <t>Chicheng Jiedao</t>
  </si>
  <si>
    <t>Chihuai Zhen [incl. Zhangwan Xiang]</t>
  </si>
  <si>
    <t>Chishi Xiang</t>
  </si>
  <si>
    <t>Chishou Xiang</t>
  </si>
  <si>
    <t>Chisong Zhen</t>
  </si>
  <si>
    <t>Chixi Jiedao</t>
  </si>
  <si>
    <t>Chixi Zhen</t>
  </si>
  <si>
    <t>Chongfu Zhen</t>
  </si>
  <si>
    <t>Chongren Zhen</t>
  </si>
  <si>
    <t>Chongshou Zhen</t>
  </si>
  <si>
    <t>Chongtou Zhen</t>
  </si>
  <si>
    <t>Chongxian Jiedao</t>
  </si>
  <si>
    <t>Choucheng Jiedao</t>
  </si>
  <si>
    <t>Choujiang Jiedao</t>
  </si>
  <si>
    <t>Chuanliao Zhen</t>
  </si>
  <si>
    <t>Chumen Zhen</t>
  </si>
  <si>
    <t>Chunhu Jiedao</t>
  </si>
  <si>
    <t>Chunjian Xiang</t>
  </si>
  <si>
    <t>Chunjiang Jiedao</t>
  </si>
  <si>
    <t>Chunxiao Jiedao</t>
  </si>
  <si>
    <t>Cicheng Zhen</t>
  </si>
  <si>
    <t>Cidong Gongyequ</t>
  </si>
  <si>
    <t>Ciwu Zhen</t>
  </si>
  <si>
    <t>Cixi Shi Linchang</t>
  </si>
  <si>
    <t>Cixi Shi Nongken Chang</t>
  </si>
  <si>
    <t>Cuiyuan Jiedao</t>
  </si>
  <si>
    <t>Cuntou Zhen</t>
  </si>
  <si>
    <t>Da'an Xiang [→ Sankui Zhen]</t>
  </si>
  <si>
    <t>Da'ao Xiang</t>
  </si>
  <si>
    <t>Dachen Xiang</t>
  </si>
  <si>
    <t>Dachen Zhen (Jinhua Shi)</t>
  </si>
  <si>
    <t>Dachen Zhen (Taizhou Shi)</t>
  </si>
  <si>
    <t>Daciyan Zhen</t>
  </si>
  <si>
    <t>Dadi Xiang</t>
  </si>
  <si>
    <t>Dadongba Zhen</t>
  </si>
  <si>
    <t>Dafan Xiang</t>
  </si>
  <si>
    <t>Dagangtou Zhen</t>
  </si>
  <si>
    <t>Daguan Jiedao</t>
  </si>
  <si>
    <t>Daicun Zhen</t>
  </si>
  <si>
    <t>Daidong Zhen</t>
  </si>
  <si>
    <t>Dailing Shezu Xiang</t>
  </si>
  <si>
    <t>Daixi Zhen (Huzhou Shi)</t>
  </si>
  <si>
    <t>Daixi Zhen (Zhoushan Shi)</t>
  </si>
  <si>
    <t>Daji Xiang</t>
  </si>
  <si>
    <t>Dajiahe Zhen</t>
  </si>
  <si>
    <t>Dajie Xiang</t>
  </si>
  <si>
    <t>Dajing Zhen</t>
  </si>
  <si>
    <t>Dajun Xiang</t>
  </si>
  <si>
    <t>Dalan Zhen</t>
  </si>
  <si>
    <t>Dama Zhen</t>
  </si>
  <si>
    <t>Damaiyu Jiedao</t>
  </si>
  <si>
    <t>Damen Zhen</t>
  </si>
  <si>
    <t>Danan Xiang</t>
  </si>
  <si>
    <t>Dandong Jiedao</t>
  </si>
  <si>
    <t>Danghu Jiedao</t>
  </si>
  <si>
    <t>Dangwan Zhen</t>
  </si>
  <si>
    <t>Danxi Jiedao</t>
  </si>
  <si>
    <t>Danxi Zhen</t>
  </si>
  <si>
    <t>Danzhu Xiang</t>
  </si>
  <si>
    <t>Daochang Xiang</t>
  </si>
  <si>
    <t>Daoshi Zhen</t>
  </si>
  <si>
    <t>Daotai Xiang</t>
  </si>
  <si>
    <t>Daoxu Jiedao</t>
  </si>
  <si>
    <t>Dapan Zhen</t>
  </si>
  <si>
    <t>Daqi Jiedao</t>
  </si>
  <si>
    <t>Daqiao Zhen (Jiaxing Shi)</t>
  </si>
  <si>
    <t>Daqiao Zhen (Quzhou Shi)</t>
  </si>
  <si>
    <t>Daqiaotou Xiang</t>
  </si>
  <si>
    <t>Daruoyan Zhen</t>
  </si>
  <si>
    <t>Dashu Zhen</t>
  </si>
  <si>
    <t>Datang Jiedao [incl. Caota Zhen]</t>
  </si>
  <si>
    <t>Datian Jiedao</t>
  </si>
  <si>
    <t>Datian Xiang</t>
  </si>
  <si>
    <t>Datong Zhen</t>
  </si>
  <si>
    <t>Dawan Xiang</t>
  </si>
  <si>
    <t>Daxi Zhen</t>
  </si>
  <si>
    <t>Daxiagu Zhen</t>
  </si>
  <si>
    <t>Daxibian Xiang</t>
  </si>
  <si>
    <t>Daxie Jiedao</t>
  </si>
  <si>
    <t>Daxikou Xiang</t>
  </si>
  <si>
    <t>Daxu Zhen</t>
  </si>
  <si>
    <t>Daxue Zhen</t>
  </si>
  <si>
    <t>Dayan Zhen</t>
  </si>
  <si>
    <t>Dayang Jiedao</t>
  </si>
  <si>
    <t>Dayang Zhen (Hangzhou Shi)</t>
  </si>
  <si>
    <t>Dayang Zhen (Lishui Shi)</t>
  </si>
  <si>
    <t>Dayin Zhen</t>
  </si>
  <si>
    <t>Dayu Zhen [→ Jinxiang Zhen]</t>
  </si>
  <si>
    <t>Dayuan Xiang</t>
  </si>
  <si>
    <t>Dayuan Zhen (Hangzhou Shi)</t>
  </si>
  <si>
    <t>Dayuan Zhen (Lishui Shi)</t>
  </si>
  <si>
    <t>Dayun Zhen</t>
  </si>
  <si>
    <t>Dazhan Xiang</t>
  </si>
  <si>
    <t>Dazhe Zhen</t>
  </si>
  <si>
    <t>Dazhou Zhen</t>
  </si>
  <si>
    <t>Deqing Jingji Kaifaqu</t>
  </si>
  <si>
    <t>Diankou Zhen [incl. Ruanshi Zhen]</t>
  </si>
  <si>
    <t>Didang Jiedao</t>
  </si>
  <si>
    <t>Dinglan Jiedao [← Dingqiao Zhen]</t>
  </si>
  <si>
    <t>Dingqiao Zhen</t>
  </si>
  <si>
    <t>Dingtang Zhen</t>
  </si>
  <si>
    <t>Dingzhai Xiang</t>
  </si>
  <si>
    <t>Dipu Jiedao</t>
  </si>
  <si>
    <t>Ditang Jiedao</t>
  </si>
  <si>
    <t>Diyi Nongchang</t>
  </si>
  <si>
    <t>Dong'an Xiang</t>
  </si>
  <si>
    <t>Dongbaihu Zhen</t>
  </si>
  <si>
    <t>Dongchen Xiang</t>
  </si>
  <si>
    <t>Dongcheng Jiedao (Jinhua Shi)</t>
  </si>
  <si>
    <t>Dongcheng Jiedao (Taizhou Shi)</t>
  </si>
  <si>
    <t>Dongcheng Jiedao [Shangtang Zhen; incl. Beicheng Jiedao, Nancheng Jiedao]</t>
  </si>
  <si>
    <t>Dongcheng Zhen</t>
  </si>
  <si>
    <t>Dongdu Zhen</t>
  </si>
  <si>
    <t>Dongfang Zhen</t>
  </si>
  <si>
    <t>Donggang Jiedao [incl. Goushan Jiedao]</t>
  </si>
  <si>
    <t>Donggao Xiang</t>
  </si>
  <si>
    <t>Dongguan Jiedao</t>
  </si>
  <si>
    <t>Donghe Xiang</t>
  </si>
  <si>
    <t>Donghu Jiedao (Hangzhou Shi)</t>
  </si>
  <si>
    <t>Donghu Jiedao (Shaoxing Shi)</t>
  </si>
  <si>
    <t>Donghua Jiedao</t>
  </si>
  <si>
    <t>Dongji Zhen</t>
  </si>
  <si>
    <t>Dongjiao Jiedao</t>
  </si>
  <si>
    <t>Dongkeng Zhen</t>
  </si>
  <si>
    <t>Donglin Zhen</t>
  </si>
  <si>
    <t>Dongliu Jiedao</t>
  </si>
  <si>
    <t>Dongming Xiang</t>
  </si>
  <si>
    <t>Dongping Jiedao</t>
  </si>
  <si>
    <t>Dongpu Jiedao</t>
  </si>
  <si>
    <t>Dongqianhu Zhen</t>
  </si>
  <si>
    <t>Dongqiao Zhen (Hangzhou Shi)</t>
  </si>
  <si>
    <t>Dongqiao Zhen (Ningbo Shi)</t>
  </si>
  <si>
    <t>Dongsha Zhen</t>
  </si>
  <si>
    <t>Dongshan Jiedao</t>
  </si>
  <si>
    <t>Dongsheng Jiedao</t>
  </si>
  <si>
    <t>Dongwu Zhen</t>
  </si>
  <si>
    <t>Dongxi Xiang</t>
  </si>
  <si>
    <t>Dongxi Xiang [→ Sixi Zhen]</t>
  </si>
  <si>
    <t>Dongxiao Jiedao</t>
  </si>
  <si>
    <t>Dongxin Jiedao</t>
  </si>
  <si>
    <t>Dongyan Xiang</t>
  </si>
  <si>
    <t>Dongyangjiang Zhen</t>
  </si>
  <si>
    <t>Dongyuan Zhen</t>
  </si>
  <si>
    <t>Dongzha Jiedao</t>
  </si>
  <si>
    <t>Dongzhou Jiedao</t>
  </si>
  <si>
    <t>Doumen Jiedao</t>
  </si>
  <si>
    <t>Doumen Xiang</t>
  </si>
  <si>
    <t>Duantang Jiedao</t>
  </si>
  <si>
    <t>Duohu Jiedao</t>
  </si>
  <si>
    <t>Duqiao Zhen</t>
  </si>
  <si>
    <t>Dushangang Zhen</t>
  </si>
  <si>
    <t>Duze Zhen</t>
  </si>
  <si>
    <t>Eryuan Zhen [→ Baizhangji Zhen]</t>
  </si>
  <si>
    <t>Eshan Shezu Xiang</t>
  </si>
  <si>
    <t>Fangcun Zhen [incl. Xinqiao Xiang]</t>
  </si>
  <si>
    <t>Fangqian Zhen</t>
  </si>
  <si>
    <t>Fangshan Xiang</t>
  </si>
  <si>
    <t>Fangxi Xiang</t>
  </si>
  <si>
    <t>Fangyan Zhen</t>
  </si>
  <si>
    <t>Fangzhuang Xiang [→ Huling Zhen]</t>
  </si>
  <si>
    <t>Fanshan Zhen</t>
  </si>
  <si>
    <t>Feiying Jiedao</t>
  </si>
  <si>
    <t>Feiyun Jiedao</t>
  </si>
  <si>
    <t>Fengchao Xiang</t>
  </si>
  <si>
    <t>Fengchi Xiang</t>
  </si>
  <si>
    <t>Fengchuan Jiedao</t>
  </si>
  <si>
    <t>Fenghuang Jiedao</t>
  </si>
  <si>
    <t>Fenghui Zhen</t>
  </si>
  <si>
    <t>Fengjiang Jiedao</t>
  </si>
  <si>
    <t>Fenglin Zhen</t>
  </si>
  <si>
    <t>Fengling Xiang</t>
  </si>
  <si>
    <t>Fengmen Xiang</t>
  </si>
  <si>
    <t>Fengming Jiedao</t>
  </si>
  <si>
    <t>Fengping Xiang</t>
  </si>
  <si>
    <t>Fengqiao Zhen</t>
  </si>
  <si>
    <t>Fengshan Jiedao</t>
  </si>
  <si>
    <t>Fengshuling Zhen</t>
  </si>
  <si>
    <t>Fengwen Xiang</t>
  </si>
  <si>
    <t>Fengwo Zhen [→ Shuitou Zhen]</t>
  </si>
  <si>
    <t>Fengyang Shezu Xiang</t>
  </si>
  <si>
    <t>Fengyang Xiang</t>
  </si>
  <si>
    <t>Fengyuan Xiang</t>
  </si>
  <si>
    <t>Fenkou Zhen</t>
  </si>
  <si>
    <t>Fenshui Zhen</t>
  </si>
  <si>
    <t>Fotang Zhen</t>
  </si>
  <si>
    <t>Fu'ao Xiang</t>
  </si>
  <si>
    <t>Fuchun Jiedao</t>
  </si>
  <si>
    <t>Fuchunjiang Zhen</t>
  </si>
  <si>
    <t>Fucun Zhen</t>
  </si>
  <si>
    <t>Fuhai Zhen</t>
  </si>
  <si>
    <t>Fuming Jiedao</t>
  </si>
  <si>
    <t>Fuquan Jiedao</t>
  </si>
  <si>
    <t>Furong Zhen</t>
  </si>
  <si>
    <t>Fushan Jiedao (Quzhou Shi)</t>
  </si>
  <si>
    <t>Fushan Jiedao (Shaoxing Shi)</t>
  </si>
  <si>
    <t>Fushan Xiang (Lishui Shi)</t>
  </si>
  <si>
    <t>Fushan Xiang (Taizhou Shi)</t>
  </si>
  <si>
    <t>Fusheng Zhen</t>
  </si>
  <si>
    <t>Fushi Jiedao</t>
  </si>
  <si>
    <t>Fuwen Xiang</t>
  </si>
  <si>
    <t>Fuxi Jiedao</t>
  </si>
  <si>
    <t>Fuxi Xiang</t>
  </si>
  <si>
    <t>Fuying Jiedao</t>
  </si>
  <si>
    <t>Gaibei Zhen</t>
  </si>
  <si>
    <t>Ganjiang Zhen</t>
  </si>
  <si>
    <t>Ganlan Zhen</t>
  </si>
  <si>
    <t>Ganlin Zhen</t>
  </si>
  <si>
    <t>Ganpu Zhen</t>
  </si>
  <si>
    <t>Ganyao Zhen</t>
  </si>
  <si>
    <t>Gaobu Jiedao</t>
  </si>
  <si>
    <t>Gaohong Zhen</t>
  </si>
  <si>
    <t>Gaohu Zhen</t>
  </si>
  <si>
    <t>Gaojia Zhen</t>
  </si>
  <si>
    <t>Gaolou Zhen</t>
  </si>
  <si>
    <t>Gaoping Xiang</t>
  </si>
  <si>
    <t>Gaoqiao Jiedao (Jiaxing Shi)</t>
  </si>
  <si>
    <t>Gaoqiao Jiedao (Taizhou Shi)</t>
  </si>
  <si>
    <t>Gaoqiao Zhen</t>
  </si>
  <si>
    <t>Gaoshi Xiang</t>
  </si>
  <si>
    <t>Gaotangdao Xiang</t>
  </si>
  <si>
    <t>Gaoting Zhen</t>
  </si>
  <si>
    <t>Gaozhao Jiedao</t>
  </si>
  <si>
    <t>Genglou Jiedao</t>
  </si>
  <si>
    <t>Geshan Zhen</t>
  </si>
  <si>
    <t>Gongchenqiao Jiedao</t>
  </si>
  <si>
    <t>Gongyang Xiang [→ Xuekou Zhen]</t>
  </si>
  <si>
    <t>Gouqi Xiang</t>
  </si>
  <si>
    <t>Gouxi Xiang</t>
  </si>
  <si>
    <t>Guali Zhen [incl. Kanshan Zhen, Dangshan Zhen]</t>
  </si>
  <si>
    <t>Guangchen Zhen</t>
  </si>
  <si>
    <t>Guangdu Xiang</t>
  </si>
  <si>
    <t>Guanghua Jiedao [→ Songtai Jiedao]</t>
  </si>
  <si>
    <t>Guanhaiwei Zhen</t>
  </si>
  <si>
    <t>Guanlu Zhen</t>
  </si>
  <si>
    <t>Guanmei Zhen</t>
  </si>
  <si>
    <t>Guantang Xiang</t>
  </si>
  <si>
    <t>Gucheng Jiedao</t>
  </si>
  <si>
    <t>Gudang Jiedao</t>
  </si>
  <si>
    <t>Gui'ao Xiang</t>
  </si>
  <si>
    <t>Guifeng Xiang</t>
  </si>
  <si>
    <t>Guihu Zhen [→ Shiyang Zhen]</t>
  </si>
  <si>
    <t>Guimen Xiang [incl. Linan Xiang]</t>
  </si>
  <si>
    <t>Guishan Xiang [→ Shanxi Zhen]</t>
  </si>
  <si>
    <t>Gulai Zhen [incl. Zhuxi Xiang, Wangyuan Xiang]</t>
  </si>
  <si>
    <t>Gulin Zhen</t>
  </si>
  <si>
    <t>Gulou Jiedao</t>
  </si>
  <si>
    <t>Guoxi Jiedao</t>
  </si>
  <si>
    <t>Gushan Zhen</t>
  </si>
  <si>
    <t>Gushi Zhen</t>
  </si>
  <si>
    <t>Gutang Jiedao</t>
  </si>
  <si>
    <t>Haibin Jiedao</t>
  </si>
  <si>
    <t>Haichang Jiedao</t>
  </si>
  <si>
    <t>Haicheng Jiedao</t>
  </si>
  <si>
    <t>Haikou Zhen</t>
  </si>
  <si>
    <t>Haimen Jiedao</t>
  </si>
  <si>
    <t>Haishan Xiang</t>
  </si>
  <si>
    <t>Haixi Xiang</t>
  </si>
  <si>
    <t>Haiyou Jiedao</t>
  </si>
  <si>
    <t>Haizhou Jiedao</t>
  </si>
  <si>
    <t>Hangbu Zhen</t>
  </si>
  <si>
    <t>Hanggai Zhen</t>
  </si>
  <si>
    <t>Hangping Zhen</t>
  </si>
  <si>
    <t>Hangtou Zhen</t>
  </si>
  <si>
    <t>Hecheng Jiedao [incl. Ounan Jiedao, Youzhu Jiedao]</t>
  </si>
  <si>
    <t>Hecun Xiang</t>
  </si>
  <si>
    <t>Hecun Zhen [incl. Yutou Zhen]</t>
  </si>
  <si>
    <t>Hedi Zhen</t>
  </si>
  <si>
    <t>Hefu Zhen</t>
  </si>
  <si>
    <t>Hehua Jiedao</t>
  </si>
  <si>
    <t>Hejia Xiang</t>
  </si>
  <si>
    <t>Hemu Jiedao</t>
  </si>
  <si>
    <t>Hemudu Zhen</t>
  </si>
  <si>
    <t>Hengcun Zhen</t>
  </si>
  <si>
    <t>Hengdian Zhen</t>
  </si>
  <si>
    <t>Hengdu Zhen</t>
  </si>
  <si>
    <t>Hengfeng Jiedao</t>
  </si>
  <si>
    <t>Henghe Zhen</t>
  </si>
  <si>
    <t>Hengjie Zhen (Ningbo Shi)</t>
  </si>
  <si>
    <t>Hengjie Zhen (Taizhou Shi)</t>
  </si>
  <si>
    <t>Hengkeng Xiang</t>
  </si>
  <si>
    <t>Henglu Xiang</t>
  </si>
  <si>
    <t>Hengshan Zhen</t>
  </si>
  <si>
    <t>Hengxi Zhen (Jinhua Shi)</t>
  </si>
  <si>
    <t>Hengxi Zhen (Ningbo Shi)</t>
  </si>
  <si>
    <t>Hengxi Zhen (Taizhou Shi)</t>
  </si>
  <si>
    <t>Heping Zhen [incl. Wushan Xiang]</t>
  </si>
  <si>
    <t>Hepu Zhen</t>
  </si>
  <si>
    <t>Heqiao Zhen</t>
  </si>
  <si>
    <t>Heshan Zhen</t>
  </si>
  <si>
    <t>Heshang Zhen</t>
  </si>
  <si>
    <t>Hesheng Zhen</t>
  </si>
  <si>
    <t>Hetian Xiang</t>
  </si>
  <si>
    <t>Hetou Zhen</t>
  </si>
  <si>
    <t>Hexi Jiedao [incl. Hongxing Jiedao]</t>
  </si>
  <si>
    <t>Hexi Zhen</t>
  </si>
  <si>
    <t>Hezhuang Jiedao</t>
  </si>
  <si>
    <t>Hongchou Zhen</t>
  </si>
  <si>
    <t>Honghe Zhen</t>
  </si>
  <si>
    <t>Hongjia Jiedao</t>
  </si>
  <si>
    <t>Hongqiao Zhen (Huzhou Shi)</t>
  </si>
  <si>
    <t>Hongqiao Zhen (Wenzhou Shi)</t>
  </si>
  <si>
    <t>Hongtang Jiedao</t>
  </si>
  <si>
    <t>Hongxingqiao Zhen</t>
  </si>
  <si>
    <t>Houxi Zhen</t>
  </si>
  <si>
    <t>Houzhai Jiedao</t>
  </si>
  <si>
    <t>Huabu Zhen [incl. Chengguan Zhen, Jincun Xiang]</t>
  </si>
  <si>
    <t>Huaixi Zhen [→ Shanmen Zhen]</t>
  </si>
  <si>
    <t>Huajie Zhen</t>
  </si>
  <si>
    <t>Huandong Jiedao</t>
  </si>
  <si>
    <t>Huangbi'ao Xiang</t>
  </si>
  <si>
    <t>Huangcun Xiang</t>
  </si>
  <si>
    <t>Huangdian Zhen</t>
  </si>
  <si>
    <t>Huanghu Zhen</t>
  </si>
  <si>
    <t>Huanghua Zhen</t>
  </si>
  <si>
    <t>Huangjia Xiang</t>
  </si>
  <si>
    <t>Huangjiabu Zhen</t>
  </si>
  <si>
    <t>Huangliao Xiang</t>
  </si>
  <si>
    <t>Huanglong Xiang</t>
  </si>
  <si>
    <t>Huangnan Xiang</t>
  </si>
  <si>
    <t>Huangqiao Xiang</t>
  </si>
  <si>
    <t>Huangshan Zhen</t>
  </si>
  <si>
    <t>Huangshayao Zhen</t>
  </si>
  <si>
    <t>Huangtan Zhen</t>
  </si>
  <si>
    <t>Huangtankou Xiang</t>
  </si>
  <si>
    <t>Huangtian Zhen</t>
  </si>
  <si>
    <t>Huangwan Zhen</t>
  </si>
  <si>
    <t>Huangyang Xiang</t>
  </si>
  <si>
    <t>Huangyuan Xiang</t>
  </si>
  <si>
    <t>Huangze Zhen</t>
  </si>
  <si>
    <t>Huangzhai Zhen</t>
  </si>
  <si>
    <t>Huaniao Xiang</t>
  </si>
  <si>
    <t>Huannan Jiedao</t>
  </si>
  <si>
    <t>Huanshan Xiang</t>
  </si>
  <si>
    <t>Huanzhu Jiedao</t>
  </si>
  <si>
    <t>Huaqiao Xiang</t>
  </si>
  <si>
    <t>Huaqiao Zhen</t>
  </si>
  <si>
    <t>Huashe Jiedao</t>
  </si>
  <si>
    <t>Huashu Xiang</t>
  </si>
  <si>
    <t>Huashui Zhen</t>
  </si>
  <si>
    <t>Huatan Xiang</t>
  </si>
  <si>
    <t>Huayuan Jiedao</t>
  </si>
  <si>
    <t>Hubin Jiedao</t>
  </si>
  <si>
    <t>Huchen Xiang</t>
  </si>
  <si>
    <t>Huibu Zhen [incl. Songfan Xiang]</t>
  </si>
  <si>
    <t>Huimin Jiedao</t>
  </si>
  <si>
    <t>Huiping Xiang</t>
  </si>
  <si>
    <t>Huishan Zhen</t>
  </si>
  <si>
    <t>Huixi Zhen</t>
  </si>
  <si>
    <t>Huling Zhen</t>
  </si>
  <si>
    <t>Hulu Zhen</t>
  </si>
  <si>
    <t>Hunan Zhen</t>
  </si>
  <si>
    <t>Hushan Jiedao</t>
  </si>
  <si>
    <t>Hushan Jiedao (Ningbo Shi)</t>
  </si>
  <si>
    <t>Hushan Jiedao (Quzhou Shi)</t>
  </si>
  <si>
    <t>Hushan Xiang</t>
  </si>
  <si>
    <t>Hushu Jiedao</t>
  </si>
  <si>
    <t>Hutang Jiedao</t>
  </si>
  <si>
    <t>Huwu Zhen [→ Dajing Zhen]</t>
  </si>
  <si>
    <t>Huxi Zhen</t>
  </si>
  <si>
    <t>Huyuan Xiang (Hangzhou Shi)</t>
  </si>
  <si>
    <t>Huyuan Xiang (Lishui Shi)</t>
  </si>
  <si>
    <t>Huzhen Zhen (Lishui Shi)</t>
  </si>
  <si>
    <t>Huzhen Zhen (Quzhou Shi)</t>
  </si>
  <si>
    <t>Jiabei Jiedao [in: Jiaxing Economic and Technological Development Zone]</t>
  </si>
  <si>
    <t>Jiadi Xiang</t>
  </si>
  <si>
    <t>Jianchi Jiedao [→ parts: Shidashi Jiedao]</t>
  </si>
  <si>
    <t>Jiangbei Jiedao</t>
  </si>
  <si>
    <t>Jiangcun Jiedao</t>
  </si>
  <si>
    <t>Jiangdong Jiedao</t>
  </si>
  <si>
    <t>Jiangdong Zhen</t>
  </si>
  <si>
    <t>Jianggen Xiang</t>
  </si>
  <si>
    <t>Jiangjia Zhen</t>
  </si>
  <si>
    <t>Jiangjiashan Xiang</t>
  </si>
  <si>
    <t>Jiangkou Jiedao (Ningbo Shi)</t>
  </si>
  <si>
    <t>Jiangkou Jiedao (Taizhou Shi)</t>
  </si>
  <si>
    <t>Jiangnan Jiedao (Wucheng Qu)</t>
  </si>
  <si>
    <t>Jiangnan Jiedao (Yongkang Shi)</t>
  </si>
  <si>
    <t>Jiangnan Jiedao (Taizhou Shi)</t>
  </si>
  <si>
    <t>Jiangnan Zhen</t>
  </si>
  <si>
    <t>Jiangshan Zhen</t>
  </si>
  <si>
    <t>Jiangtang Zhen</t>
  </si>
  <si>
    <t>Jiangxia Jiedao</t>
  </si>
  <si>
    <t>Jianhu Jiedao</t>
  </si>
  <si>
    <t>Jianqiao Jiedao</t>
  </si>
  <si>
    <t>Jianshan Xinqu</t>
  </si>
  <si>
    <t>Jianshan Zhen [incl. Huzhai Xiang, Wancang Xiang]</t>
  </si>
  <si>
    <t>Jianshe Jiedao</t>
  </si>
  <si>
    <t>Jiantiao Zhen [incl. Liu'ao Zhen]</t>
  </si>
  <si>
    <t>Jiaochuan Jiedao</t>
  </si>
  <si>
    <t>Jiaodao Zhen</t>
  </si>
  <si>
    <t>Jiaojiang Nongchang</t>
  </si>
  <si>
    <t>Jiaotan Xiang</t>
  </si>
  <si>
    <t>Jiapu Zhen</t>
  </si>
  <si>
    <t>Jiazhi Jiedao</t>
  </si>
  <si>
    <t>Jidong Zhen</t>
  </si>
  <si>
    <t>Jiefang Jiedao</t>
  </si>
  <si>
    <t>Jiefang Jiedao [→ Changguo Jiedao, Huannan Jiedao]</t>
  </si>
  <si>
    <t>Jiekeng Xiang [→ Xunzhai Zhen]</t>
  </si>
  <si>
    <t>Jieshou Xiang</t>
  </si>
  <si>
    <t>Jietou Zhen</t>
  </si>
  <si>
    <t>Jinan Jiedao [incl. Wangjiajing Zhen, Jieting Zhen]</t>
  </si>
  <si>
    <t>Jincheng Jiedao</t>
  </si>
  <si>
    <t>Jinchuan Xiang</t>
  </si>
  <si>
    <t>Jinfeng Xiang</t>
  </si>
  <si>
    <t>Jinggu Xiang</t>
  </si>
  <si>
    <t>Jingjiang Jiedao</t>
  </si>
  <si>
    <t>Jingling Zhen</t>
  </si>
  <si>
    <t>Jingnan Xiang</t>
  </si>
  <si>
    <t>Jingshan Jiedao</t>
  </si>
  <si>
    <t>Jingshan Zhen</t>
  </si>
  <si>
    <t>Jinhu Jiedao</t>
  </si>
  <si>
    <t>Jinhua Zhen</t>
  </si>
  <si>
    <t>Jinlu Xiang</t>
  </si>
  <si>
    <t>Jinnan Jiedao</t>
  </si>
  <si>
    <t>Jinping Jiedao</t>
  </si>
  <si>
    <t>Jinqing Zhen</t>
  </si>
  <si>
    <t>Jinshuitan Zhen</t>
  </si>
  <si>
    <t>Jintang Zhen</t>
  </si>
  <si>
    <t>Jinting Zhen [incl. Beizhang Zhen]</t>
  </si>
  <si>
    <t>Jinxi Zhen</t>
  </si>
  <si>
    <t>Jinxiang Zhen</t>
  </si>
  <si>
    <t>Jinxing Xiang</t>
  </si>
  <si>
    <t>Jinyang Xiang</t>
  </si>
  <si>
    <t>Jinzhu Zhen</t>
  </si>
  <si>
    <t>Jishan Jiedao</t>
  </si>
  <si>
    <t>Jishan Xiang</t>
  </si>
  <si>
    <t>Jishigang Jiedao</t>
  </si>
  <si>
    <t>Jiubao Jiedao</t>
  </si>
  <si>
    <t>Jiufeng Xiang</t>
  </si>
  <si>
    <t>Jiuguan Zhen</t>
  </si>
  <si>
    <t>Jiuhe Xiang</t>
  </si>
  <si>
    <t>Jiuhua Xiang</t>
  </si>
  <si>
    <t>Jiukeng Xiang</t>
  </si>
  <si>
    <t>Jiulong Xiang</t>
  </si>
  <si>
    <t>Jiulonghu Zhen</t>
  </si>
  <si>
    <t>Jiuxian Jiedao</t>
  </si>
  <si>
    <t>Jiyang Jiedao</t>
  </si>
  <si>
    <t>Jizhai Xiang</t>
  </si>
  <si>
    <t>Jucun Xiang</t>
  </si>
  <si>
    <t>Juexi Jiedao</t>
  </si>
  <si>
    <t>Jupu Xiang</t>
  </si>
  <si>
    <t>Jushui Xiang</t>
  </si>
  <si>
    <t>Juxi Jiedao</t>
  </si>
  <si>
    <t>Juxi Zhen [→ Qiaodun Zhen]</t>
  </si>
  <si>
    <t>Juyu Zhen</t>
  </si>
  <si>
    <t>Kaifaqu</t>
  </si>
  <si>
    <t>Kaixuan Jiedao</t>
  </si>
  <si>
    <t>Kandun Jiedao</t>
  </si>
  <si>
    <t>Kangqiao Jiedao</t>
  </si>
  <si>
    <t>Kangshan Jiedao</t>
  </si>
  <si>
    <t>Kanmen Jiedao</t>
  </si>
  <si>
    <t>Keqiao Jiedao</t>
  </si>
  <si>
    <t>Keyan Jiedao</t>
  </si>
  <si>
    <t>Kongpu Jiedao</t>
  </si>
  <si>
    <t>Kuangyan Zhen</t>
  </si>
  <si>
    <t>Kunyang Xiang</t>
  </si>
  <si>
    <t>Kunyang Zhen</t>
  </si>
  <si>
    <t>Kuocang Zhen</t>
  </si>
  <si>
    <t>Kuoshan Xiang</t>
  </si>
  <si>
    <t>Lakou Zhen</t>
  </si>
  <si>
    <t>Langchuan Xiang</t>
  </si>
  <si>
    <t>Langxia Jiedao</t>
  </si>
  <si>
    <t>Langya Zhen</t>
  </si>
  <si>
    <t>Lanjiang Jiedao (Jinhua Shi)</t>
  </si>
  <si>
    <t>Lanjiang Jiedao (Ningbo Shi)</t>
  </si>
  <si>
    <t>Lanju Xiang</t>
  </si>
  <si>
    <t>Lanting Jiedao</t>
  </si>
  <si>
    <t>Laozhu Shezu Zhen</t>
  </si>
  <si>
    <t>Lecheng Jiedao</t>
  </si>
  <si>
    <t>Leidian Zhen</t>
  </si>
  <si>
    <t>Leifeng Xiang</t>
  </si>
  <si>
    <t>Lengshui Zhen</t>
  </si>
  <si>
    <t>Liancheng Jiedao</t>
  </si>
  <si>
    <t>Lianghu Jiedao</t>
  </si>
  <si>
    <t>Liangnong Zhen</t>
  </si>
  <si>
    <t>Liangzhu Jiedao</t>
  </si>
  <si>
    <t>Lianhua Zhen (Hangzhou Shi)</t>
  </si>
  <si>
    <t>Lianhua Zhen (Quzhou Shi)</t>
  </si>
  <si>
    <t>Lianshi Zhen</t>
  </si>
  <si>
    <t>Lianyun Xiang</t>
  </si>
  <si>
    <t>Lianzhu Xiang</t>
  </si>
  <si>
    <t>Li'ao Jiedao</t>
  </si>
  <si>
    <t>Lihai Jiedao</t>
  </si>
  <si>
    <t>Lijia Zhen</t>
  </si>
  <si>
    <t>Lijiaxiang Zhen</t>
  </si>
  <si>
    <t>Lincheng Jiedao</t>
  </si>
  <si>
    <t>Lincheng Zhen</t>
  </si>
  <si>
    <t>Lindai Zhen</t>
  </si>
  <si>
    <t>Lingbei Xiang</t>
  </si>
  <si>
    <t>Lingbei Zhen</t>
  </si>
  <si>
    <t>Lingdi Xiang [→ Furong Zhen]</t>
  </si>
  <si>
    <t>Lingdong Xiang</t>
  </si>
  <si>
    <t>Linghou Xiang</t>
  </si>
  <si>
    <t>Linghu Zhen</t>
  </si>
  <si>
    <t>Lingkun Jiedao [Ou Jiangkou Xinqu]</t>
  </si>
  <si>
    <t>Linglong Jiedao</t>
  </si>
  <si>
    <t>Lingnan Xiang</t>
  </si>
  <si>
    <t>Lingqiao Zhen</t>
  </si>
  <si>
    <t>Lingshang Xiang</t>
  </si>
  <si>
    <t>Lingtou Xiang (Lishui Shi)</t>
  </si>
  <si>
    <t>Lingtou Xiang (Wenzhou Shi)</t>
  </si>
  <si>
    <t>Lingxi Zhen</t>
  </si>
  <si>
    <t>Lingxia Zhen</t>
  </si>
  <si>
    <t>Lingyang Xiang</t>
  </si>
  <si>
    <t>Lingyin Jiedao</t>
  </si>
  <si>
    <t>Lingzhi Jiedao</t>
  </si>
  <si>
    <t>Linjiang Jiedao</t>
  </si>
  <si>
    <t>Linping Jiedao</t>
  </si>
  <si>
    <t>Linpu Zhen</t>
  </si>
  <si>
    <t>Linqi Zhen</t>
  </si>
  <si>
    <t>Linshan Xiang</t>
  </si>
  <si>
    <t>Linshan Zhen</t>
  </si>
  <si>
    <t>Linxi Xiang</t>
  </si>
  <si>
    <t>Lipu Zhen (Jinhua Shi)</t>
  </si>
  <si>
    <t>Lipu Zhen (Shaoxing Shi)</t>
  </si>
  <si>
    <t>Lishan Zhen</t>
  </si>
  <si>
    <t>Lishang Xiang</t>
  </si>
  <si>
    <t>Liucheng Shezu Zhen</t>
  </si>
  <si>
    <t>Liufeng Xiang [→ Yayang Zhen]</t>
  </si>
  <si>
    <t>Liuheng Zhen</t>
  </si>
  <si>
    <t>Liushi Jiedao</t>
  </si>
  <si>
    <t>Liushi Zhen</t>
  </si>
  <si>
    <t>Liuxia Jiedao</t>
  </si>
  <si>
    <t>Lixi Xiang</t>
  </si>
  <si>
    <t>Lixin Shezu Xiang</t>
  </si>
  <si>
    <t>Liyang Xiang</t>
  </si>
  <si>
    <t>Liyang Zhen</t>
  </si>
  <si>
    <t>Lizhou Jiedao</t>
  </si>
  <si>
    <t>Lizhu Zhen</t>
  </si>
  <si>
    <t>Longchuan Xiang</t>
  </si>
  <si>
    <t>Longgang Shi [incl. Lupu Zhen, Pacao Zhen, Yunyan Xiang]</t>
  </si>
  <si>
    <t>Longgang Zhen</t>
  </si>
  <si>
    <t>Longgong Xiang</t>
  </si>
  <si>
    <t>Longguan Xiang</t>
  </si>
  <si>
    <t>Longhu Zhen</t>
  </si>
  <si>
    <t>Longmen Zhen</t>
  </si>
  <si>
    <t>Longnan Xiang</t>
  </si>
  <si>
    <t>Longquan Jiedao</t>
  </si>
  <si>
    <t>Longsha Xiang</t>
  </si>
  <si>
    <t>Longshan Zhen (Jinhua Shi)</t>
  </si>
  <si>
    <t>Longshan Zhen (Ningbo Shi)</t>
  </si>
  <si>
    <t>Longwei Xiang</t>
  </si>
  <si>
    <t>Longxi Xiang (Lishui Shi)</t>
  </si>
  <si>
    <t>Longxi Xiang (Taizhou Shi)</t>
  </si>
  <si>
    <t>Longxi Xiang [→ Xianxi Zhen]</t>
  </si>
  <si>
    <t>Longxi Zhen</t>
  </si>
  <si>
    <t>Longyang Xiang</t>
  </si>
  <si>
    <t>Longyuan Jiedao</t>
  </si>
  <si>
    <t>Longzhou Jiedao</t>
  </si>
  <si>
    <t>Louqiao Jiedao</t>
  </si>
  <si>
    <t>Louta Zhen</t>
  </si>
  <si>
    <t>Lubei Jiedao</t>
  </si>
  <si>
    <t>Lubu Zhen</t>
  </si>
  <si>
    <t>Luci Xiang</t>
  </si>
  <si>
    <t>Lumu Xiang</t>
  </si>
  <si>
    <t>Lunan Jiedao</t>
  </si>
  <si>
    <t>Luniao Zhen</t>
  </si>
  <si>
    <t>Luobu Zhen</t>
  </si>
  <si>
    <t>Luodian Zhen</t>
  </si>
  <si>
    <t>Luojia Xiang</t>
  </si>
  <si>
    <t>Luoshe Zhen</t>
  </si>
  <si>
    <t>Luotuo Jiedao</t>
  </si>
  <si>
    <t>Luoxing Jiedao</t>
  </si>
  <si>
    <t>Luoyang Jiedao</t>
  </si>
  <si>
    <t>Luoyang Zhen</t>
  </si>
  <si>
    <t>Lupu Zhen</t>
  </si>
  <si>
    <t>Luqiao Jiedao</t>
  </si>
  <si>
    <t>Lushan Jiedao (Hangzhou Shi)</t>
  </si>
  <si>
    <t>Lushan Jiedao (Shaoxing Shi)</t>
  </si>
  <si>
    <t>Lushan Xiang</t>
  </si>
  <si>
    <t>Lutan Zhen</t>
  </si>
  <si>
    <t>Luting Xiang</t>
  </si>
  <si>
    <t>Luxi Xiang</t>
  </si>
  <si>
    <t>Luzhu Zhen</t>
  </si>
  <si>
    <t>Ma'an Jiedao</t>
  </si>
  <si>
    <t>Ma'ao Jiedao</t>
  </si>
  <si>
    <t>Mabu Zhen [→ Xiaojiang Zhen]</t>
  </si>
  <si>
    <t>Majian Zhen (Jinhua Shi)</t>
  </si>
  <si>
    <t>Majian Zhen (Shaoxing Shi)</t>
  </si>
  <si>
    <t>Majin Zhen [incl. Tangwu Xiang]</t>
  </si>
  <si>
    <t>Maoshe Xiang</t>
  </si>
  <si>
    <t>Maoyang Xiang (Lishui Shi)</t>
  </si>
  <si>
    <t>Maoyang Xiang (Ningbo Shi)</t>
  </si>
  <si>
    <t>Maqiao Jiedao</t>
  </si>
  <si>
    <t>Mashan Jiedao</t>
  </si>
  <si>
    <t>Maxiao Xiang</t>
  </si>
  <si>
    <t>Mayu Zhen</t>
  </si>
  <si>
    <t>Mazhai Zhen</t>
  </si>
  <si>
    <t>Mazhan Zhen</t>
  </si>
  <si>
    <t>Mazhu Zhen</t>
  </si>
  <si>
    <t>Meicheng Zhen</t>
  </si>
  <si>
    <t>Meijiang Zhen</t>
  </si>
  <si>
    <t>Meilin Jiedao</t>
  </si>
  <si>
    <t>Meiqi Xiang</t>
  </si>
  <si>
    <t>Meishan Jiedao</t>
  </si>
  <si>
    <t>Meishan Zhen [incl. Baixian Xiang, Huaikan Xiang]</t>
  </si>
  <si>
    <t>Meixi Xiang</t>
  </si>
  <si>
    <t>Meixi Zhen [incl. Kuntong Xiang]</t>
  </si>
  <si>
    <t>Meixu Jiedao</t>
  </si>
  <si>
    <t>Meiyu Xiang</t>
  </si>
  <si>
    <t>Meiyuan Xiang</t>
  </si>
  <si>
    <t>Miaogao Jiedao</t>
  </si>
  <si>
    <t>Miaoxi Zhen</t>
  </si>
  <si>
    <t>Miaoxia Xiang</t>
  </si>
  <si>
    <t>Ming'ao Xiang [→ Qiaoxia Zhen]</t>
  </si>
  <si>
    <t>Minglou Jiedao</t>
  </si>
  <si>
    <t>Mishixiang Jiedao</t>
  </si>
  <si>
    <t>Moganshan Zhen [incl. Fatou Xiang]</t>
  </si>
  <si>
    <t>Mohuan Xiang</t>
  </si>
  <si>
    <t>Moushan Zhen</t>
  </si>
  <si>
    <t>Muchen Shezu Xiang</t>
  </si>
  <si>
    <t>Nanbaixiang Jiedao</t>
  </si>
  <si>
    <t>Nancheng Jiedao</t>
  </si>
  <si>
    <t>Nanfeng Jiedao</t>
  </si>
  <si>
    <t>Nanhu Jiedao</t>
  </si>
  <si>
    <t>Nanhu Xiang</t>
  </si>
  <si>
    <t>Nanhui Jiedao [incl. Nanjiao Xiang, Nanpu Jiedao, Xiushan Jiedao]</t>
  </si>
  <si>
    <t>Nanji Zhen [→ Aojiang Zhen]</t>
  </si>
  <si>
    <t>Nanma Zhen</t>
  </si>
  <si>
    <t>Nanmen Jiedao</t>
  </si>
  <si>
    <t>Nanming Jiedao</t>
  </si>
  <si>
    <t>Nanmingshan Jiedao [incl. Shuige Jiedao, Fuling Jiedao]</t>
  </si>
  <si>
    <t>Nanping Xiang</t>
  </si>
  <si>
    <t>Nanshi Jiedao</t>
  </si>
  <si>
    <t>Nansong Zhen [→ Fanshan Zhen]</t>
  </si>
  <si>
    <t>Nantang Zhen [→ Qingjiang Zhen]</t>
  </si>
  <si>
    <t>Nantian Zhen</t>
  </si>
  <si>
    <t>Nanxing Jiedao</t>
  </si>
  <si>
    <t>Nanxun Zhen</t>
  </si>
  <si>
    <t>Nanyan Zhen</t>
  </si>
  <si>
    <t>Nanyang Jiedao</t>
  </si>
  <si>
    <t>Nanyuan Jiedao</t>
  </si>
  <si>
    <t>Nanyuan Xiang</t>
  </si>
  <si>
    <t>Nanyue Zhen [→ Hongqiao Zhen]</t>
  </si>
  <si>
    <t>Naocun Xiang [→ Shuitou Zhen]</t>
  </si>
  <si>
    <t>Nianbadu Zhen</t>
  </si>
  <si>
    <t>Nianli Zhen</t>
  </si>
  <si>
    <t>Niansanli Jiedao</t>
  </si>
  <si>
    <t>Ningbo Hangshao Buwan Xinqu</t>
  </si>
  <si>
    <t>Ningwei Jiedao</t>
  </si>
  <si>
    <t>Ningxi Zhen</t>
  </si>
  <si>
    <t>Ningyi Xiang</t>
  </si>
  <si>
    <t>Niyu Jiedao</t>
  </si>
  <si>
    <t>Nubu Jiedao</t>
  </si>
  <si>
    <t>Oubei Jiedao</t>
  </si>
  <si>
    <t>Paitou Zhen</t>
  </si>
  <si>
    <t>Pandai Jiedao [→ Jinhu Jiedao]</t>
  </si>
  <si>
    <t>Panfeng Xiang [incl. Gao'er Xiang, Weixin Xiang]</t>
  </si>
  <si>
    <t>Pankeng Xiang</t>
  </si>
  <si>
    <t>Panqiao Jiedao</t>
  </si>
  <si>
    <t>Panshi Zhen [→ Beibaixiang Zhen]</t>
  </si>
  <si>
    <t>Pengbu Jiedao</t>
  </si>
  <si>
    <t>Pengjie Zhen</t>
  </si>
  <si>
    <t>Pengxi Zhen</t>
  </si>
  <si>
    <t>Pingdu Jiedao</t>
  </si>
  <si>
    <t>Pinghe Xiang [→ Xuekou Zhen]</t>
  </si>
  <si>
    <t>Pingmen Xiang</t>
  </si>
  <si>
    <t>Pingnan Zhen</t>
  </si>
  <si>
    <t>Pingqiao Zhen</t>
  </si>
  <si>
    <t>Pingshui Zhen</t>
  </si>
  <si>
    <t>Pingtian Xiang</t>
  </si>
  <si>
    <t>Pingyangkeng Zhen [→ Gaolou Zhen]</t>
  </si>
  <si>
    <t>Pingyao Zhen</t>
  </si>
  <si>
    <t>Potan Xiang</t>
  </si>
  <si>
    <t>Pubagang Zhen [incl. Lipu Zhen, Silin Xiang, Xiaoxiong Zhen, Yanchi Xiang]</t>
  </si>
  <si>
    <t>Pucheng Xiang</t>
  </si>
  <si>
    <t>Pukou Jiedao</t>
  </si>
  <si>
    <t>Punan Jiedao</t>
  </si>
  <si>
    <t>Puqi Zhen [→ Hongqiao Zhen]</t>
  </si>
  <si>
    <t>Puting Xiang</t>
  </si>
  <si>
    <t>Putuoshan Zhen</t>
  </si>
  <si>
    <t>Puxieshi Jiedao [→ Binjiang Jiedao]</t>
  </si>
  <si>
    <t>Puyan Jiedao</t>
  </si>
  <si>
    <t>Puyang Jiedao</t>
  </si>
  <si>
    <t>Puyang Zhen</t>
  </si>
  <si>
    <t>Puyuan Zhen</t>
  </si>
  <si>
    <t>Puzhou Jiedao</t>
  </si>
  <si>
    <t>Qiancang Zhen (Jinhua Shi)</t>
  </si>
  <si>
    <t>Qiancang Zhen (Wenzhou Shi)</t>
  </si>
  <si>
    <t>Qianchuan Zhen [incl. Leping Xiang]</t>
  </si>
  <si>
    <t>Qiandaohu Zhen</t>
  </si>
  <si>
    <t>Qiangjiao Zhen</t>
  </si>
  <si>
    <t>Qiangtou Zhen</t>
  </si>
  <si>
    <t>Qianhong Xiang</t>
  </si>
  <si>
    <t>Qianjiang Jingji Kaifaqu Tangnan</t>
  </si>
  <si>
    <t>Qianjin Jiedao</t>
  </si>
  <si>
    <t>Qianjin Zhen</t>
  </si>
  <si>
    <t>Qianku Zhen</t>
  </si>
  <si>
    <t>Qianlu Xiang</t>
  </si>
  <si>
    <t>Qianqing Jiedao</t>
  </si>
  <si>
    <t>Qiansuo Jiedao</t>
  </si>
  <si>
    <t>Qiantan Zhen</t>
  </si>
  <si>
    <t>Qiantong Zhen</t>
  </si>
  <si>
    <t>Qianwu Xiang</t>
  </si>
  <si>
    <t>Qianxi Xiang</t>
  </si>
  <si>
    <t>Qianxiang Zhen</t>
  </si>
  <si>
    <t>Qianyuan Zhen</t>
  </si>
  <si>
    <t>Qiaodun Zhen</t>
  </si>
  <si>
    <t>Qiaosi Jiedao</t>
  </si>
  <si>
    <t>Qiaotou Zhen (Ningbo Shi)</t>
  </si>
  <si>
    <t>Qiaotou Zhen (Wenzhou Shi)</t>
  </si>
  <si>
    <t>Qiaotouhu Jiedao</t>
  </si>
  <si>
    <t>Qiaoxia Zhen</t>
  </si>
  <si>
    <t>Qiaoying Xiang</t>
  </si>
  <si>
    <t>Qidu Jiedao</t>
  </si>
  <si>
    <t>Qijiashan Jiedao</t>
  </si>
  <si>
    <t>Qili Xiang (Lishui Shi)</t>
  </si>
  <si>
    <t>Qili Xiang (Quzhou Shi)</t>
  </si>
  <si>
    <t>Qiligang Zhen</t>
  </si>
  <si>
    <t>Qingbo Jiedao</t>
  </si>
  <si>
    <t>Qinggang Zhen</t>
  </si>
  <si>
    <t>Qinghu Jiedao</t>
  </si>
  <si>
    <t>Qingjiang Zhen</t>
  </si>
  <si>
    <t>Qingjie Shezu Xiang</t>
  </si>
  <si>
    <t>Qingliangfeng Zhen</t>
  </si>
  <si>
    <t>Qingshanhu Jiedao [incl. Hengfan Zhen]</t>
  </si>
  <si>
    <t>Qingshi Zhen</t>
  </si>
  <si>
    <t>Qinshan Jiedao</t>
  </si>
  <si>
    <t>Qintang Xiang</t>
  </si>
  <si>
    <t>Qiu'ai Zhen</t>
  </si>
  <si>
    <t>Qiubin Jiedao</t>
  </si>
  <si>
    <t>Qiuchuan Zhen</t>
  </si>
  <si>
    <t>Qiucun Zhen</t>
  </si>
  <si>
    <t>Qiulu Xiang</t>
  </si>
  <si>
    <t>Qiushan Xiang</t>
  </si>
  <si>
    <t>Qixi Zhen</t>
  </si>
  <si>
    <t>Qixian Jiedao</t>
  </si>
  <si>
    <t>Qixing Jiedao (Jiaxing Shi)</t>
  </si>
  <si>
    <t>Qixing Jiedao (Shaoxing Shi)</t>
  </si>
  <si>
    <t>Quanwang Zhen</t>
  </si>
  <si>
    <t>Quanxi Zhen</t>
  </si>
  <si>
    <t>Qukou Xiang</t>
  </si>
  <si>
    <t>Qushan Zhen</t>
  </si>
  <si>
    <t>Renchuan Zhen</t>
  </si>
  <si>
    <t>Rengong Xiang</t>
  </si>
  <si>
    <t>Renhe Jiedao</t>
  </si>
  <si>
    <t>Renhuangshan Jiedao</t>
  </si>
  <si>
    <t>Renzhuang Zhen</t>
  </si>
  <si>
    <t>Rongjiang Xiang</t>
  </si>
  <si>
    <t>Ru'ao Zhen</t>
  </si>
  <si>
    <t>Ruoheng Zhen</t>
  </si>
  <si>
    <t>Ruoyang Xiang</t>
  </si>
  <si>
    <t>Sandan Xiang</t>
  </si>
  <si>
    <t>Sandu Xiang</t>
  </si>
  <si>
    <t>Sandu Zhen</t>
  </si>
  <si>
    <t>Sandun Zhen</t>
  </si>
  <si>
    <t>Sangang Xiang</t>
  </si>
  <si>
    <t>Sangzhou Zhen</t>
  </si>
  <si>
    <t>Sanhe Zhen</t>
  </si>
  <si>
    <t>Sanjia Jiedao [incl. Binhai Qongye Qu]</t>
  </si>
  <si>
    <t>Sanjiang Jiedao (Jinhua Shi)</t>
  </si>
  <si>
    <t>Sanjiang Jiedao (Shaoxing Shi)</t>
  </si>
  <si>
    <t>Sanjie Zhen</t>
  </si>
  <si>
    <t>Sankui Zhen</t>
  </si>
  <si>
    <t>Sanqishi Zhen</t>
  </si>
  <si>
    <t>Sanren Shezu Xiang</t>
  </si>
  <si>
    <t>Sanxi Xiang</t>
  </si>
  <si>
    <t>Sanxikou Jiedao [Shixi Xiang]</t>
  </si>
  <si>
    <t>Sanyang Jiedao</t>
  </si>
  <si>
    <t>Sanzhou Xiang</t>
  </si>
  <si>
    <t>Shabu Zhen</t>
  </si>
  <si>
    <t>Shacheng Jiedao [incl. Xinghai Jiedao (parts)]</t>
  </si>
  <si>
    <t>Shafan Xiang</t>
  </si>
  <si>
    <t>Shaliu Jiedao</t>
  </si>
  <si>
    <t>Shamen Zhen</t>
  </si>
  <si>
    <t>Shanchuan Xiang</t>
  </si>
  <si>
    <t>Shangfang Zhen</t>
  </si>
  <si>
    <t>Shangguan Xiang</t>
  </si>
  <si>
    <t>Shanghu Zhen</t>
  </si>
  <si>
    <t>Shanghua Jiedao</t>
  </si>
  <si>
    <t>Shanglin Xiang</t>
  </si>
  <si>
    <t>Shangpan Zhen</t>
  </si>
  <si>
    <t>Shangpu Zhen</t>
  </si>
  <si>
    <t>Shangshu Xiang</t>
  </si>
  <si>
    <t>Shangtang Jiedao</t>
  </si>
  <si>
    <t>Shangtian Jiedao</t>
  </si>
  <si>
    <t>Shangwang Jiedao</t>
  </si>
  <si>
    <t>Shangxi Zhen</t>
  </si>
  <si>
    <t>Shangyang Xiang</t>
  </si>
  <si>
    <t>Shangyang Zhen</t>
  </si>
  <si>
    <t>Shangyu Zhen</t>
  </si>
  <si>
    <t>Shangzhang Xiang</t>
  </si>
  <si>
    <t>Shangzheng Xiang</t>
  </si>
  <si>
    <t>Shankeng Xiang</t>
  </si>
  <si>
    <t>Shankou Zhen</t>
  </si>
  <si>
    <t>Shanlian Zhen</t>
  </si>
  <si>
    <t>Shanmen Zhen</t>
  </si>
  <si>
    <t>Shanxi Zhen</t>
  </si>
  <si>
    <t>Shanxiahu Zhen</t>
  </si>
  <si>
    <t>Shaojiadu Jiedao</t>
  </si>
  <si>
    <t>Shapu Xiang</t>
  </si>
  <si>
    <t>Shatou Zhen</t>
  </si>
  <si>
    <t>Shawan Zhen</t>
  </si>
  <si>
    <t>Shaxi Zhen</t>
  </si>
  <si>
    <t>Shendang Zhen</t>
  </si>
  <si>
    <t>Shengshan Zhen (Ningbo Shi)</t>
  </si>
  <si>
    <t>Shengshan Zhen (Zhoushan Shi)</t>
  </si>
  <si>
    <t>Shengzhou Jingji Kaifaqu</t>
  </si>
  <si>
    <t>Shenjiamen Jiedao [incl. Dengbu Xiang, Mayidao Xiang]</t>
  </si>
  <si>
    <t>Shenquan Zhen</t>
  </si>
  <si>
    <t>Shepan Xiang</t>
  </si>
  <si>
    <t>Sheyang Xiang</t>
  </si>
  <si>
    <t>Shicong Zhen</t>
  </si>
  <si>
    <t>Shidashi Jiedao [incl. Dashi Xiang]</t>
  </si>
  <si>
    <t>Shifan Jiedao</t>
  </si>
  <si>
    <t>Shifeng Jiedao</t>
  </si>
  <si>
    <t>Shifo Xiang</t>
  </si>
  <si>
    <t>Shihuang Zhen [incl. Yahuang Xiang, Tongyuan Xiang]</t>
  </si>
  <si>
    <t>Shijian Xiang</t>
  </si>
  <si>
    <t>Shilian Zhen</t>
  </si>
  <si>
    <t>Shiliang Zhen (Quzhou Shi)</t>
  </si>
  <si>
    <t>Shiliang Zhen (Taizhou Shi)</t>
  </si>
  <si>
    <t>Shilin Zhen</t>
  </si>
  <si>
    <t>Shimen Zhen (Jiaxing Shi)</t>
  </si>
  <si>
    <t>Shimen Zhen (Quzhou Shi)</t>
  </si>
  <si>
    <t>Shipeng Xiang</t>
  </si>
  <si>
    <t>Shipu Zhen</t>
  </si>
  <si>
    <t>Shiqi Jiedao</t>
  </si>
  <si>
    <t>Shiqiao Jiedao</t>
  </si>
  <si>
    <t>Shiqiaotou Zhen</t>
  </si>
  <si>
    <t>Shiran Xiang</t>
  </si>
  <si>
    <t>Shishi Xiang</t>
  </si>
  <si>
    <t>Shitang Zhen (Lishui Shi)</t>
  </si>
  <si>
    <t>Shitang Zhen (Taizhou Shi)</t>
  </si>
  <si>
    <t>Shiyang Xiang</t>
  </si>
  <si>
    <t>Shiyang Zhen</t>
  </si>
  <si>
    <t>Shiyuan Xiang</t>
  </si>
  <si>
    <t>Shizhu Zhen</t>
  </si>
  <si>
    <t>Shouchang Zhen</t>
  </si>
  <si>
    <t>Shounan Jiedao</t>
  </si>
  <si>
    <t>Shuangcai Xiang</t>
  </si>
  <si>
    <t>Shuangfeng Xiang (Jinhua Shi)</t>
  </si>
  <si>
    <t>Shuangfeng Xiang (Wenzhou Shi)</t>
  </si>
  <si>
    <t>Shuanggang Jiedao</t>
  </si>
  <si>
    <t>Shuanggui Xiang [→ Xuekou Zhen]</t>
  </si>
  <si>
    <t>Shuanglin Zhen</t>
  </si>
  <si>
    <t>Shuangmiao Xiang</t>
  </si>
  <si>
    <t>Shuangpu Zhen</t>
  </si>
  <si>
    <t>Shuangqiao Jiedao</t>
  </si>
  <si>
    <t>Shuangqiao Xiang</t>
  </si>
  <si>
    <t>Shuangta Jiedao</t>
  </si>
  <si>
    <t>Shuangxi Xiang</t>
  </si>
  <si>
    <t>Shuangxikou Xiang</t>
  </si>
  <si>
    <t>Shuangyu Jiedao [incl. Huanglong Jiedao]</t>
  </si>
  <si>
    <t>Shuhong Zhen</t>
  </si>
  <si>
    <t>Shuikou Xiang</t>
  </si>
  <si>
    <t>Shuiting Shezu Xiang</t>
  </si>
  <si>
    <t>Shuitou Zhen</t>
  </si>
  <si>
    <t>Shuntai Xiang</t>
  </si>
  <si>
    <t>Shunxi Zhen</t>
  </si>
  <si>
    <t>Shuqiao Xiang</t>
  </si>
  <si>
    <t>Shushan Jiedao</t>
  </si>
  <si>
    <t>Shuxi Jiedao</t>
  </si>
  <si>
    <t>Si'an Zhen [incl. Erjieling Xiang]</t>
  </si>
  <si>
    <t>Sidu Xiang (Lishui Shi)</t>
  </si>
  <si>
    <t>Sidu Xiang (Wenzhou Shi)</t>
  </si>
  <si>
    <t>Sidu Zhen</t>
  </si>
  <si>
    <t>Sihaishan Linchang</t>
  </si>
  <si>
    <t>Sijiqing Jiedao</t>
  </si>
  <si>
    <t>Simen Zhen</t>
  </si>
  <si>
    <t>Simingshan Zhen</t>
  </si>
  <si>
    <t>Siqian Shezu Zhen</t>
  </si>
  <si>
    <t>Sixi Zhen</t>
  </si>
  <si>
    <t>Sizhoutou Zhen</t>
  </si>
  <si>
    <t>Song'ao Zhen</t>
  </si>
  <si>
    <t>Songbu Zhen</t>
  </si>
  <si>
    <t>Songcun Xiang</t>
  </si>
  <si>
    <t>Songmen Zhen</t>
  </si>
  <si>
    <t>Songtai Jiedao [incl. Lianchi Jiedao, Shuixin Jiedao]</t>
  </si>
  <si>
    <t>Songxia Jiedao</t>
  </si>
  <si>
    <t>Songyang Xiang</t>
  </si>
  <si>
    <t>Songyuan Jiedao [incl. Mengzhou Jiedao, Sishan Xiang]</t>
  </si>
  <si>
    <t>Sumeng Xiang</t>
  </si>
  <si>
    <t>Sunduan Jiedao</t>
  </si>
  <si>
    <t>Suoqian Zhen</t>
  </si>
  <si>
    <t>Suxi Zhen</t>
  </si>
  <si>
    <t>Suzhuang Zhen</t>
  </si>
  <si>
    <t>Taihuyuan Zhen</t>
  </si>
  <si>
    <t>Taiping Jiedao</t>
  </si>
  <si>
    <t>Taiping Xiang</t>
  </si>
  <si>
    <t>Taiyang Zhen</t>
  </si>
  <si>
    <t>Taizhen Xiang</t>
  </si>
  <si>
    <t>Tanghui Jiedao [in: Jiaxing Economic and Technological Development Zone]</t>
  </si>
  <si>
    <t>Tangpu Zhen</t>
  </si>
  <si>
    <t>Tangqi Zhen</t>
  </si>
  <si>
    <t>Tangxi Zhen</t>
  </si>
  <si>
    <t>Tangxia Zhen</t>
  </si>
  <si>
    <t>Tangxian Zhen</t>
  </si>
  <si>
    <t>Tangya Zhen</t>
  </si>
  <si>
    <t>Tangyang Xiang</t>
  </si>
  <si>
    <t>Tangyuankou Xiang</t>
  </si>
  <si>
    <t>Tanhong Xiang</t>
  </si>
  <si>
    <t>Tanshi Zhen</t>
  </si>
  <si>
    <t>Tantou Zhen</t>
  </si>
  <si>
    <t>Tanxi Zhen</t>
  </si>
  <si>
    <t>Taohua Zhen</t>
  </si>
  <si>
    <t>Taoshan Zhen</t>
  </si>
  <si>
    <t>Taoxi Zhen</t>
  </si>
  <si>
    <t>Taoyan Jiedao</t>
  </si>
  <si>
    <t>Taoyuan Jiedao</t>
  </si>
  <si>
    <t>Taozhu Jiedao</t>
  </si>
  <si>
    <t>Taozhu Zhen</t>
  </si>
  <si>
    <t>Taozhuang Zhen</t>
  </si>
  <si>
    <t>Tashan Jiedao</t>
  </si>
  <si>
    <t>Tashi Xiang</t>
  </si>
  <si>
    <t>Tashi Zhen</t>
  </si>
  <si>
    <t>Tengjiao Zhen</t>
  </si>
  <si>
    <t>Tengqiao Zhen [incl. Linjiang Zhen, Shangshu Xiang, Aodi Xiang, Shuangchao Xiang]</t>
  </si>
  <si>
    <t>Tengyang Xiang</t>
  </si>
  <si>
    <t>Tiancheng Jiedao</t>
  </si>
  <si>
    <t>Tianhe Jiedao [incl. Xinghai Jiedao (parts)]</t>
  </si>
  <si>
    <t>Tianhuangping Zhen</t>
  </si>
  <si>
    <t>Tianma Jiedao [incl. Jinchuan Jiedao, Zigang Jiedao]</t>
  </si>
  <si>
    <t>Tianmushan Zhen [incl. Zaoxi Zhen]</t>
  </si>
  <si>
    <t>Tianning Zhen</t>
  </si>
  <si>
    <t>Tianshi Zhen</t>
  </si>
  <si>
    <t>Tianshui Jiedao</t>
  </si>
  <si>
    <t>Tianzihu Zhen [incl. Liangpeng Zhen, Gaoyu Zhen]</t>
  </si>
  <si>
    <t>Tingpang Zhen</t>
  </si>
  <si>
    <t>Tingtian Jiedao</t>
  </si>
  <si>
    <t>Tongcun Zhen</t>
  </si>
  <si>
    <t>Tonggong Xiang</t>
  </si>
  <si>
    <t>Tongjun Jiedao [incl. Chengnan Jiedao]</t>
  </si>
  <si>
    <t>Tongpu Zhen [→ Taoshan Zhen]</t>
  </si>
  <si>
    <t>Tongqin Zhen</t>
  </si>
  <si>
    <t>Tongshan Zhen</t>
  </si>
  <si>
    <t>Tongyu Jiedao</t>
  </si>
  <si>
    <t>Tongyuan Zhen</t>
  </si>
  <si>
    <t>Toutuo Zhen</t>
  </si>
  <si>
    <t>Tuankou Zhen</t>
  </si>
  <si>
    <t>Tuci Zhen</t>
  </si>
  <si>
    <t>Tudian Zhen</t>
  </si>
  <si>
    <t>Waitan Jiedao [incl. Zhongma Jiedao, Baisha Jiedao]</t>
  </si>
  <si>
    <t>Wanfu Xiang</t>
  </si>
  <si>
    <t>Wangchun Jiedao</t>
  </si>
  <si>
    <t>Wangcunkou Zhen</t>
  </si>
  <si>
    <t>Wangdian Zhen</t>
  </si>
  <si>
    <t>Wangfu Xiang</t>
  </si>
  <si>
    <t>Wangjiang Jiedao</t>
  </si>
  <si>
    <t>Wangjiangjing Zhen</t>
  </si>
  <si>
    <t>Wangli Zhen [→ Qianku Zhen]</t>
  </si>
  <si>
    <t>Wangsong Jiedao</t>
  </si>
  <si>
    <t>Wangtan Zhen</t>
  </si>
  <si>
    <t>Wangzhai Zhen</t>
  </si>
  <si>
    <t>Wanpai Xiang</t>
  </si>
  <si>
    <t>Wanquan Zhen</t>
  </si>
  <si>
    <t>Wanshan Xiang</t>
  </si>
  <si>
    <t>Wanshi Zhen</t>
  </si>
  <si>
    <t>Wantian Xiang</t>
  </si>
  <si>
    <t>Wanxiang Jiedao</t>
  </si>
  <si>
    <t>Wanyao Xiang</t>
  </si>
  <si>
    <t>Weikenqu</t>
  </si>
  <si>
    <t>Weiping Zhen</t>
  </si>
  <si>
    <t>Weishan Zhen</t>
  </si>
  <si>
    <t>Weitang Jiedao</t>
  </si>
  <si>
    <t>Weixin Xiang</t>
  </si>
  <si>
    <t>Wenchang Zhen</t>
  </si>
  <si>
    <t>Wengshan Xiang</t>
  </si>
  <si>
    <t>Wengyang Jiedao</t>
  </si>
  <si>
    <t>Wenhui Jiedao</t>
  </si>
  <si>
    <t>Wenjiao Jiedao</t>
  </si>
  <si>
    <t>Wenjiao Zhen</t>
  </si>
  <si>
    <t>Wenxi Zhen</t>
  </si>
  <si>
    <t>Wenxin Jiedao</t>
  </si>
  <si>
    <t>Wenyan Jiedao</t>
  </si>
  <si>
    <t>Wenzhou Jingji Jishu Kaifaqu</t>
  </si>
  <si>
    <t>Wozhou Zhen [Dashiju Zhen]</t>
  </si>
  <si>
    <t>Wu (Shuishuniao) Xiang</t>
  </si>
  <si>
    <t>Wuchang Jiedao</t>
  </si>
  <si>
    <t>Wudabao Xiang</t>
  </si>
  <si>
    <t>Wufeng Xiang</t>
  </si>
  <si>
    <t>Wugen Zhen</t>
  </si>
  <si>
    <t>Wukang Jiedao</t>
  </si>
  <si>
    <t>Wukeng Xiang</t>
  </si>
  <si>
    <t>Wulin Jiedao</t>
  </si>
  <si>
    <t>Wulong Xiang</t>
  </si>
  <si>
    <t>Wuma Jiedao [incl. Nanmen Jiedao, Jiangbin Jiedao]</t>
  </si>
  <si>
    <t>Wuning Jiedao</t>
  </si>
  <si>
    <t>Wuniu Jiedao</t>
  </si>
  <si>
    <t>Wuqian Zhen</t>
  </si>
  <si>
    <t>Wutian Jiedao</t>
  </si>
  <si>
    <t>Wutong Jiedao</t>
  </si>
  <si>
    <t>Wutong Xiang</t>
  </si>
  <si>
    <t>Wuxi Shezu Xiang</t>
  </si>
  <si>
    <t>Wuxiang Zhen</t>
  </si>
  <si>
    <t>Wuxie Zhen</t>
  </si>
  <si>
    <t>Wuyang Xiang</t>
  </si>
  <si>
    <t>Wuyanlingziranbaohuqu</t>
  </si>
  <si>
    <t>Wuyuan Jiedao [incl. Wanghai Jiedao]</t>
  </si>
  <si>
    <t>Wuyun Jiedao [incl. Xinbi Jiedao, Xiandu Jiedao]</t>
  </si>
  <si>
    <t>Wuzhen Zhen [incl. Longxiang Jiedao]</t>
  </si>
  <si>
    <t>Xiachen Jiedao</t>
  </si>
  <si>
    <t>Xiachuan Zhen</t>
  </si>
  <si>
    <t>Xiage Zhen</t>
  </si>
  <si>
    <t>Xiaguan Zhen</t>
  </si>
  <si>
    <t>Xiaguan Zhen [→ Mazhan Zhen]</t>
  </si>
  <si>
    <t>Xiahong Xiang</t>
  </si>
  <si>
    <t>Xiakou Zhen</t>
  </si>
  <si>
    <t>Xialiao Xiang</t>
  </si>
  <si>
    <t>Xialu Zhen</t>
  </si>
  <si>
    <t>Xian Linchang</t>
  </si>
  <si>
    <t>Xian Techanchang Changqu</t>
  </si>
  <si>
    <t>Xiandu Xiang</t>
  </si>
  <si>
    <t>Xiangfu Jiedao</t>
  </si>
  <si>
    <t>Xiangxi Zhen</t>
  </si>
  <si>
    <t>Xiangyang Zhen</t>
  </si>
  <si>
    <t>Xiangzhu Zhen</t>
  </si>
  <si>
    <t>Xianhua Jiedao</t>
  </si>
  <si>
    <t>Xianjiang Jiedao</t>
  </si>
  <si>
    <t>Xianju Xiang</t>
  </si>
  <si>
    <t>Xianliang Zhen</t>
  </si>
  <si>
    <t>Xianlin Jiedao</t>
  </si>
  <si>
    <t>Xianren Xiang</t>
  </si>
  <si>
    <t>Xianxi Zhen</t>
  </si>
  <si>
    <t>Xianxiang Zhen (Yinzhou Qu)</t>
  </si>
  <si>
    <t>Xianxiang Zhen (Xiangshan Xian)</t>
  </si>
  <si>
    <t>Xianyan Jiedao</t>
  </si>
  <si>
    <t>Xianyan Zhen</t>
  </si>
  <si>
    <t>Xi'ao Xiang</t>
  </si>
  <si>
    <t>Xiaocao'e Zhen</t>
  </si>
  <si>
    <t>Xiaocun Zhen</t>
  </si>
  <si>
    <t>Xiaofeng Zhen</t>
  </si>
  <si>
    <t>Xiaogang Jiedao</t>
  </si>
  <si>
    <t>Xiaohe Jiedao</t>
  </si>
  <si>
    <t>Xiaojiang Zhen</t>
  </si>
  <si>
    <t>Xiaokeng Xiang</t>
  </si>
  <si>
    <t>Xiaolin Zhen</t>
  </si>
  <si>
    <t>Xiaomei Zhen</t>
  </si>
  <si>
    <t>Xiaonanhai Zhen</t>
  </si>
  <si>
    <t>Xiaopu Zhen</t>
  </si>
  <si>
    <t>Xiaosha Jiedao [incl. Changbai Xiang]</t>
  </si>
  <si>
    <t>Xiaoshan Jingji Jishu Kaifaqu</t>
  </si>
  <si>
    <t>Xiaoshan Xianghu Luyou Dujiaqu</t>
  </si>
  <si>
    <t>Xiaoshun Zhen</t>
  </si>
  <si>
    <t>Xiaotang Xiang</t>
  </si>
  <si>
    <t>Xiaowangmiao Jiedao</t>
  </si>
  <si>
    <t>Xiaoying Jiedao</t>
  </si>
  <si>
    <t>Xiaoyuan Jiedao [Guishan Xiang]</t>
  </si>
  <si>
    <t>Xiaoyue Jiedao</t>
  </si>
  <si>
    <t>Xiaozhi Zhen</t>
  </si>
  <si>
    <t>Xiaozhoushan Xiang</t>
  </si>
  <si>
    <t>Xiapu Jiedao</t>
  </si>
  <si>
    <t>Xiasha Jiedao</t>
  </si>
  <si>
    <t>Xiashi Jiedao</t>
  </si>
  <si>
    <t>Xiawang Zhen</t>
  </si>
  <si>
    <t>Xiaya Zhen</t>
  </si>
  <si>
    <t>Xiayang Xiang</t>
  </si>
  <si>
    <t>Xiaying Jiedao [incl. Panhuo Jiedao]</t>
  </si>
  <si>
    <t>Xiazhi Zhen</t>
  </si>
  <si>
    <t>Xiazhuhu Jiedao [Sanhe Xiang]</t>
  </si>
  <si>
    <t>Xicheng Jiedao (Jinhua Shi)</t>
  </si>
  <si>
    <t>Xicheng Jiedao (Taizhou Shi)</t>
  </si>
  <si>
    <t>Xidian Zhen</t>
  </si>
  <si>
    <t>Xiepu Zhen</t>
  </si>
  <si>
    <t>Xieqiao Zhen</t>
  </si>
  <si>
    <t>Xietang Zhen</t>
  </si>
  <si>
    <t>Xifan Xiang</t>
  </si>
  <si>
    <t>Xigang Xiang</t>
  </si>
  <si>
    <t>Xiguan Jiedao</t>
  </si>
  <si>
    <t>Xihu Jiedao</t>
  </si>
  <si>
    <t>Xijie Jiedao</t>
  </si>
  <si>
    <t>Xikeng Shezu Zhen</t>
  </si>
  <si>
    <t>Xikou Xiang</t>
  </si>
  <si>
    <t>Xikou Zhen (Ningbo Shi)</t>
  </si>
  <si>
    <t>Xikou Zhen (Quzhou Shi)</t>
  </si>
  <si>
    <t>Xilian Xiang</t>
  </si>
  <si>
    <t>Xilong Xiang</t>
  </si>
  <si>
    <t>Ximen Jiedao</t>
  </si>
  <si>
    <t>Xin'an Jiedao</t>
  </si>
  <si>
    <t>Xin'an Xiang</t>
  </si>
  <si>
    <t>Xin'an Zhen</t>
  </si>
  <si>
    <t>Xin'anjiang Jiedao</t>
  </si>
  <si>
    <t>Xincang Zhen</t>
  </si>
  <si>
    <t>Xinchang Xiang</t>
  </si>
  <si>
    <t>Xincheng Jiedao (Jiaxing Shi)</t>
  </si>
  <si>
    <t>Xincheng Jiedao (Wenzhou Shi)</t>
  </si>
  <si>
    <t>Xincheng Zhen</t>
  </si>
  <si>
    <t>Xindai Zhen</t>
  </si>
  <si>
    <t>Xindeng Zhen</t>
  </si>
  <si>
    <t>Xinfan Xiang</t>
  </si>
  <si>
    <t>Xinfeng Zhen</t>
  </si>
  <si>
    <t>Xingqiao Jiedao</t>
  </si>
  <si>
    <t>Xinhe Xiang</t>
  </si>
  <si>
    <t>Xinhe Zhen</t>
  </si>
  <si>
    <t>Xinjia Jiedao</t>
  </si>
  <si>
    <t>Xinjian Zhen</t>
  </si>
  <si>
    <t>Xinjie Jiedao</t>
  </si>
  <si>
    <t>Xinlin Xiang</t>
  </si>
  <si>
    <t>Xinluwan Zhen</t>
  </si>
  <si>
    <t>Xinming Jiedao</t>
  </si>
  <si>
    <t>Xinpu Xiang</t>
  </si>
  <si>
    <t>Xinpu Zhen</t>
  </si>
  <si>
    <t>Xinqi Jiedao</t>
  </si>
  <si>
    <t>Xinqian Jiedao</t>
  </si>
  <si>
    <t>Xinqiao Jiedao</t>
  </si>
  <si>
    <t>Xinqiao Xiang</t>
  </si>
  <si>
    <t>Xinqiao Zhen (Ningbo Shi)</t>
  </si>
  <si>
    <t>Xinqiao Zhen (Taizhou Shi)</t>
  </si>
  <si>
    <t>Xinshi Jiedao</t>
  </si>
  <si>
    <t>Xinshi Zhen</t>
  </si>
  <si>
    <t>Xintang Jiedao</t>
  </si>
  <si>
    <t>Xintangbian Zhen</t>
  </si>
  <si>
    <t>Xintong Xiang</t>
  </si>
  <si>
    <t>Xinwan Jiedao</t>
  </si>
  <si>
    <t>Xinwo Jiedao [incl. Shenze Xiang]</t>
  </si>
  <si>
    <t>Xinxin Jiedao</t>
  </si>
  <si>
    <t>Xinxing Jiedao</t>
  </si>
  <si>
    <t>Xinxing Zhen [incl. Xinchu Xiang, Xiecun Xiang]</t>
  </si>
  <si>
    <t>Xinzhai Zhen</t>
  </si>
  <si>
    <t>Xiping Jiedao [incl. Shuinan Jiedao; → parts: Wangsong Jiedao]</t>
  </si>
  <si>
    <t>Xitang Zhen</t>
  </si>
  <si>
    <t>Xitangqiao Jiedao</t>
  </si>
  <si>
    <t>Xitianmu Xiang</t>
  </si>
  <si>
    <t>Xiushan Xiang</t>
  </si>
  <si>
    <t>Xiwan Xiang</t>
  </si>
  <si>
    <t>Xiwu Jiedao</t>
  </si>
  <si>
    <t>Xixi Jiedao</t>
  </si>
  <si>
    <t>Xixi Xiang</t>
  </si>
  <si>
    <t>Xixi Zhen</t>
  </si>
  <si>
    <t>Xixia Xiang [→ Yantan Zhen]</t>
  </si>
  <si>
    <t>Xixing Jiedao</t>
  </si>
  <si>
    <t>Xiyang Zhen</t>
  </si>
  <si>
    <t>Xiyuan Xiang</t>
  </si>
  <si>
    <t>Xizhou Zhen</t>
  </si>
  <si>
    <t>Xu'ao Xiang</t>
  </si>
  <si>
    <t>Xucun Zhen</t>
  </si>
  <si>
    <t>Xuekou Zhen</t>
  </si>
  <si>
    <t>Xuexi Xiang [→ Shiyang Zhen]</t>
  </si>
  <si>
    <t>Xukou Zhen</t>
  </si>
  <si>
    <t>Xunqiao Zhen</t>
  </si>
  <si>
    <t>Xunzhai Zhen</t>
  </si>
  <si>
    <t>Yafan Zhen</t>
  </si>
  <si>
    <t>Yancang Jiedao</t>
  </si>
  <si>
    <t>Yandang Zhen</t>
  </si>
  <si>
    <t>Yangbu Zhen</t>
  </si>
  <si>
    <t>Yangcunqiao Zhen</t>
  </si>
  <si>
    <t>Yangjiabu Jiedao [incl. Longxi Jiedao]</t>
  </si>
  <si>
    <t>Yanglin Zhen</t>
  </si>
  <si>
    <t>Yangming Jiedao</t>
  </si>
  <si>
    <t>Yangshan Xiang</t>
  </si>
  <si>
    <t>Yangshan Zhen</t>
  </si>
  <si>
    <t>Yanguan Zhen</t>
  </si>
  <si>
    <t>Yangxi Jiedao</t>
  </si>
  <si>
    <t>Yangxi Xiang</t>
  </si>
  <si>
    <t>Yangxunqiao Jiedao</t>
  </si>
  <si>
    <t>Yangyi Jiedao</t>
  </si>
  <si>
    <t>Yanhu Jiedao</t>
  </si>
  <si>
    <t>Yanhu Xiang</t>
  </si>
  <si>
    <t>Yanjiang Zhen</t>
  </si>
  <si>
    <t>Yanpu Zhen [→ Mazhan Zhen]</t>
  </si>
  <si>
    <t>Yanquan Jiedao [incl. Shuanghuang Xiang]</t>
  </si>
  <si>
    <t>Yantan Zhen</t>
  </si>
  <si>
    <t>Yanting Zhen [→ Mazhan Zhen]</t>
  </si>
  <si>
    <t>Yantou Zhen (Jinhua Shi)</t>
  </si>
  <si>
    <t>Yantou Zhen (Wenzhou Shi)</t>
  </si>
  <si>
    <t>Yanxi Xiang</t>
  </si>
  <si>
    <t>Yanzhang Xiang</t>
  </si>
  <si>
    <t>Yaochuan Xiang</t>
  </si>
  <si>
    <t>Yaojiang Zhen [incl. Zhibu Zhen, Jiangzao Zhen]</t>
  </si>
  <si>
    <t>Yaolin Zhen</t>
  </si>
  <si>
    <t>Yaoshan Xiang</t>
  </si>
  <si>
    <t>Yaoxi Jiedao</t>
  </si>
  <si>
    <t>Yaozhuang Zhen</t>
  </si>
  <si>
    <t>Yaqian Zhen</t>
  </si>
  <si>
    <t>Yaxi Zhen</t>
  </si>
  <si>
    <t>Yayang Zhen</t>
  </si>
  <si>
    <t>Yecun Xiang</t>
  </si>
  <si>
    <t>Yingchuan Zhen [incl. Geshan Xiang]</t>
  </si>
  <si>
    <t>Yingcun Xiang</t>
  </si>
  <si>
    <t>Yingdianjie Zhen</t>
  </si>
  <si>
    <t>Yingkeng Xiang</t>
  </si>
  <si>
    <t>Yingqian Xiang</t>
  </si>
  <si>
    <t>Yinhu Jiedao [incl. Gaoqiao Zhen, Shoujiang Zhen]</t>
  </si>
  <si>
    <t>Yinjiang Zhen</t>
  </si>
  <si>
    <t>Yinkeng Xiang</t>
  </si>
  <si>
    <t>Yinong Zhen</t>
  </si>
  <si>
    <t>Yipeng Jiedao</t>
  </si>
  <si>
    <t>Yiqiao Zhen</t>
  </si>
  <si>
    <t>Yishan Zhen</t>
  </si>
  <si>
    <t>Yishi Zhen</t>
  </si>
  <si>
    <t>Yiting Zhen (Jinhua Shi)</t>
  </si>
  <si>
    <t>Yiting Zhen (Shaoxing Shi)</t>
  </si>
  <si>
    <t>Yong'an Xiang</t>
  </si>
  <si>
    <t>Yongchang Jiedao</t>
  </si>
  <si>
    <t>Yongchang Zhen</t>
  </si>
  <si>
    <t>Yongfeng Zhen</t>
  </si>
  <si>
    <t>Yonghe Zhen</t>
  </si>
  <si>
    <t>Yongjiang Jiedao</t>
  </si>
  <si>
    <t>Yongquan Zhen</t>
  </si>
  <si>
    <t>Yongxi Xiang</t>
  </si>
  <si>
    <t>Yongxing Jiedao</t>
  </si>
  <si>
    <t>Yongzhong Jiedao</t>
  </si>
  <si>
    <t>Youbu Zhen</t>
  </si>
  <si>
    <t>Youchegang Zhen</t>
  </si>
  <si>
    <t>Youxi Zhen</t>
  </si>
  <si>
    <t>Yuandong Xiang</t>
  </si>
  <si>
    <t>Yuanhua Zhen</t>
  </si>
  <si>
    <t>Yuanjue Jiedao</t>
  </si>
  <si>
    <t>Yuanqiao Zhen</t>
  </si>
  <si>
    <t>Yucheng Jiedao</t>
  </si>
  <si>
    <t>Yucheng Zhen</t>
  </si>
  <si>
    <t>Yuehe Jiedao</t>
  </si>
  <si>
    <t>Yuehu Jiedao</t>
  </si>
  <si>
    <t>Yuehu Xiang</t>
  </si>
  <si>
    <t>Yuelin Jiedao</t>
  </si>
  <si>
    <t>Yuelong Jiedao</t>
  </si>
  <si>
    <t>Yuexi Xiang</t>
  </si>
  <si>
    <t>Yuhai Jiedao</t>
  </si>
  <si>
    <t>Yuhang Jiedao</t>
  </si>
  <si>
    <t>Yuhang Jingji Kaifaqu Jiedao</t>
  </si>
  <si>
    <t>Yuhu Zhen</t>
  </si>
  <si>
    <t>Yuliao Xiang</t>
  </si>
  <si>
    <t>Yulin Jiedao</t>
  </si>
  <si>
    <t>Yunfeng Jiedao</t>
  </si>
  <si>
    <t>Yunfeng Xiang</t>
  </si>
  <si>
    <t>Yunhe Jiedao</t>
  </si>
  <si>
    <t>Yunhe Jiedao [incl. Fuyun Jiedao, Bailongshan Jiedao, Fenghuangshan Jiedao]</t>
  </si>
  <si>
    <t>Yunhu Xiang</t>
  </si>
  <si>
    <t>Yunlong Zhen</t>
  </si>
  <si>
    <t>Yunshan Jiedao</t>
  </si>
  <si>
    <t>Yuntan Xiang</t>
  </si>
  <si>
    <t>Yunxi Xiang</t>
  </si>
  <si>
    <t>Yushan Xiang</t>
  </si>
  <si>
    <t>Yushan Zhen</t>
  </si>
  <si>
    <t>Yushang Xiang</t>
  </si>
  <si>
    <t>Yutou Xiang</t>
  </si>
  <si>
    <t>Yuxi Xiang</t>
  </si>
  <si>
    <t>Yuxin Zhen</t>
  </si>
  <si>
    <t>Yuyan Zhen</t>
  </si>
  <si>
    <t>Yuyang Zhen</t>
  </si>
  <si>
    <t>Yuyuan Xiang</t>
  </si>
  <si>
    <t>Yuyue Zhen</t>
  </si>
  <si>
    <t>Yuzhai Xiang</t>
  </si>
  <si>
    <t>Zaoxi Zhen</t>
  </si>
  <si>
    <t>Zeguo Zhen</t>
  </si>
  <si>
    <t>Zeya Zhen</t>
  </si>
  <si>
    <t>Zhaitan Xiang</t>
  </si>
  <si>
    <t>Zhang'an Jiedao</t>
  </si>
  <si>
    <t>Zhangcun Xiang (Qingtian Xian)</t>
  </si>
  <si>
    <t>Zhangcun Xiang (Qingyuan Xian)</t>
  </si>
  <si>
    <t>Zhangcun Xiang [incl.Shuangxikou Xiang]</t>
  </si>
  <si>
    <t>Zhangcun Zhen</t>
  </si>
  <si>
    <t>Zhangdan Xiang</t>
  </si>
  <si>
    <t>Zhangqi Zhen</t>
  </si>
  <si>
    <t>Zhangshui Zhen</t>
  </si>
  <si>
    <t>Zhangtai Xiang</t>
  </si>
  <si>
    <t>Zhangtan Jiedao</t>
  </si>
  <si>
    <t>Zhangting Zhen</t>
  </si>
  <si>
    <t>Zhangwu Zhen</t>
  </si>
  <si>
    <t>Zhangxi Xiang (Lishui Shi)</t>
  </si>
  <si>
    <t>Zhangxi Xiang (Wenzhou Shi)</t>
  </si>
  <si>
    <t>Zhangzhen Zhen</t>
  </si>
  <si>
    <t>Zhanjia Zhen</t>
  </si>
  <si>
    <t>Zhanmao Jiedao</t>
  </si>
  <si>
    <t>Zhanongkou Jiedao</t>
  </si>
  <si>
    <t>Zhanqi Zhen</t>
  </si>
  <si>
    <t>Zhaobaoshan Jiedao</t>
  </si>
  <si>
    <t>Zhaojia Zhen</t>
  </si>
  <si>
    <t>Zhaoxian Zhen</t>
  </si>
  <si>
    <t>Zhapu Zhen</t>
  </si>
  <si>
    <t>Zhedaikou Xiang</t>
  </si>
  <si>
    <t>Zhen'an Xiang</t>
  </si>
  <si>
    <t>Zhenbu Zhen</t>
  </si>
  <si>
    <t>Zhengjiangshan Linchang</t>
  </si>
  <si>
    <t>Zhengjiawu Zhen</t>
  </si>
  <si>
    <t>Zhengkeng Xiang</t>
  </si>
  <si>
    <t>Zhengzhai Zhen</t>
  </si>
  <si>
    <t>Zhenwang Xiang</t>
  </si>
  <si>
    <t>Zhicheng Jiedao [incl. Huaxi Jiedao, Taihu Jiedao]</t>
  </si>
  <si>
    <t>Zhili Zhen</t>
  </si>
  <si>
    <t>Zhiren Xiang [→ Dajing Zhen]</t>
  </si>
  <si>
    <t>Zhiying Zhen</t>
  </si>
  <si>
    <t>Zhongcun Xiang</t>
  </si>
  <si>
    <t>Zhongdai Jiedao</t>
  </si>
  <si>
    <t>Zhongdun Xiang</t>
  </si>
  <si>
    <t>Zhonggongmiao Jiedao</t>
  </si>
  <si>
    <t>Zhongguan Zhen</t>
  </si>
  <si>
    <t>Zhonghe Jiedao</t>
  </si>
  <si>
    <t>Zhongshan Xiang</t>
  </si>
  <si>
    <t>Zhongtai Jiedao</t>
  </si>
  <si>
    <t>Zhongyu Xiang</t>
  </si>
  <si>
    <t>Zhongzhou Zhen</t>
  </si>
  <si>
    <t>Zhoujia Xiang</t>
  </si>
  <si>
    <t>Zhouling Xiang</t>
  </si>
  <si>
    <t>Zhouquan Zhen</t>
  </si>
  <si>
    <t>Zhourang Zhen [→ Daxue Zhen]</t>
  </si>
  <si>
    <t>Zhoushan Shezu Xiang</t>
  </si>
  <si>
    <t>Zhoushan Zhen</t>
  </si>
  <si>
    <t>Zhouwangmiao Zhen</t>
  </si>
  <si>
    <t>Zhouxiang Zhen [incl. Tianyuan Zhen]</t>
  </si>
  <si>
    <t>Zhuangqiao Jiedao</t>
  </si>
  <si>
    <t>Zhuangshi Jiedao</t>
  </si>
  <si>
    <t>Zhuangyuan Jiedao</t>
  </si>
  <si>
    <t>Zhuantang Jiedao</t>
  </si>
  <si>
    <t>Zhu'ao Zhen [incl. Gaojian Xiang]</t>
  </si>
  <si>
    <t>Zhucun Xiang</t>
  </si>
  <si>
    <t>Zhuge Zhen</t>
  </si>
  <si>
    <t>Zhujiajian Jiedao [incl. Baisha Xiang]</t>
  </si>
  <si>
    <t>Zhukou Zhen</t>
  </si>
  <si>
    <t>Zhuli Shezu Xiang</t>
  </si>
  <si>
    <t>Zhulong Zhen</t>
  </si>
  <si>
    <t>Zhuma Xiang</t>
  </si>
  <si>
    <t>Zhuxi Zhen</t>
  </si>
  <si>
    <t>Zhuya Xiang</t>
  </si>
  <si>
    <t>Zhuyang Shezu Xiang</t>
  </si>
  <si>
    <t>Zhuyuan Xiang</t>
  </si>
  <si>
    <t>Zijin Jiedao</t>
  </si>
  <si>
    <t>Zitong Zhen</t>
  </si>
  <si>
    <t>Ziyang Jiedao</t>
  </si>
  <si>
    <t>Zonghan Jiedao</t>
  </si>
  <si>
    <t>Zuocun Zhen</t>
  </si>
  <si>
    <t>Zuokou Xiang</t>
  </si>
  <si>
    <t>Zuoxi Zhen</t>
  </si>
  <si>
    <t>Column113</t>
  </si>
  <si>
    <t>Column114</t>
  </si>
  <si>
    <t>Băizhàng (Hángzhōu)</t>
  </si>
  <si>
    <t>Băizhàng (Wēnzhōu)</t>
  </si>
  <si>
    <t>Cháng'ān (Hángzhōu)</t>
  </si>
  <si>
    <t>Cháng'ān (Jiāxīng)</t>
  </si>
  <si>
    <t>Dàchén (Jīnhuá)</t>
  </si>
  <si>
    <t>Dàchén (Táizhōu)</t>
  </si>
  <si>
    <t>Dàixī (Húzhōu)</t>
  </si>
  <si>
    <t>Dàixī (Zhōushān)</t>
  </si>
  <si>
    <t>Dàqiáo (Jiāxīng)</t>
  </si>
  <si>
    <t>Dàqiáo (Qúzhōu)</t>
  </si>
  <si>
    <t>Dàyáng (Hángzhōu)</t>
  </si>
  <si>
    <t>Dàyáng (Lìshuĭ)</t>
  </si>
  <si>
    <t>Dàyuán (Hángzhōu)</t>
  </si>
  <si>
    <t>Dàyuán (Lìshuĭ)</t>
  </si>
  <si>
    <t>Dòngqiáo (Hángzhōu)</t>
  </si>
  <si>
    <t>Dòngqiáo (Níngbō)</t>
  </si>
  <si>
    <t>Héngjiē (Níngbō)</t>
  </si>
  <si>
    <t>Héngjiē (Táizhōu)</t>
  </si>
  <si>
    <t>Héngxī (Jīnhuá)</t>
  </si>
  <si>
    <t>Héngxī (Níngbō)</t>
  </si>
  <si>
    <t>Héngxī (Táizhōu)</t>
  </si>
  <si>
    <t>Hóngqiáo (Húzhōu)</t>
  </si>
  <si>
    <t>Hóngqiáo (Wēnzhōu)</t>
  </si>
  <si>
    <t>Húzhèn (Lìshuĭ)</t>
  </si>
  <si>
    <t>Húzhèn (Qúzhōu)</t>
  </si>
  <si>
    <t>Liánhuā (Hángzhōu)</t>
  </si>
  <si>
    <t>Liánhuā (Qúzhōu)</t>
  </si>
  <si>
    <t>Lĭpŭ (Jīnhuá)</t>
  </si>
  <si>
    <t>Lĭpŭ (Shàoxīng)</t>
  </si>
  <si>
    <t>Lónggăng Shì</t>
  </si>
  <si>
    <t>Lóngshān (Jīnhuá)</t>
  </si>
  <si>
    <t>Lóngshān (Níngbō)</t>
  </si>
  <si>
    <t>Măjiàn (Jīnhuá)</t>
  </si>
  <si>
    <t>Măjiàn (Shàoxīng)</t>
  </si>
  <si>
    <t>Qiáncāng (Jīnhuá)</t>
  </si>
  <si>
    <t>Qiáncāng (Wēnzhōu)</t>
  </si>
  <si>
    <t>Qiáotóu (Níngbō)</t>
  </si>
  <si>
    <t>Qiáotóu (Wēnzhōu)</t>
  </si>
  <si>
    <t>Shèngshān (Níngbō)</t>
  </si>
  <si>
    <t>Shèngshān (Zhōushān)</t>
  </si>
  <si>
    <t>Shíliáng (Qúzhōu)</t>
  </si>
  <si>
    <t>Shíliáng (Táizhōu)</t>
  </si>
  <si>
    <t>Shímén (Jiāxīng)</t>
  </si>
  <si>
    <t>Shímén (Qúzhōu)</t>
  </si>
  <si>
    <t>Shítáng (Lìshuĭ)</t>
  </si>
  <si>
    <t>Shítáng (Táizhōu)</t>
  </si>
  <si>
    <t>Xiánxiáng (Yínzhōu)</t>
  </si>
  <si>
    <t>Xiánxiáng (Xiàngshān)</t>
  </si>
  <si>
    <t>Xīkŏu (Níngbō)</t>
  </si>
  <si>
    <t>Xīkŏu (Qúzhōu)</t>
  </si>
  <si>
    <t>Xīnqiáo (Níngbō)</t>
  </si>
  <si>
    <t>Xīnqiáo (Táizhōu)</t>
  </si>
  <si>
    <t>Yántóu (Jīnhuá)</t>
  </si>
  <si>
    <t>Yántóu (Wēnzhōu)</t>
  </si>
  <si>
    <t>Yìtíng (Jīnhuá)</t>
  </si>
  <si>
    <t>Yìtíng (Shàoxīng)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</si>
</sst>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EE88"/>
        <bgColor indexed="64"/>
      </patternFill>
    </fill>
    <fill>
      <patternFill patternType="solid">
        <fgColor rgb="FFFFFFAA"/>
        <bgColor indexed="64"/>
      </patternFill>
    </fill>
    <fill>
      <patternFill patternType="solid">
        <fgColor rgb="FFFFCC33"/>
        <bgColor indexed="64"/>
      </patternFill>
    </fill>
  </fills>
  <borders count="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 applyAlignment="1">
      <alignment horizontal="left" vertical="top"/>
    </xf>
    <xf numFmtId="3" fontId="1" fillId="2" borderId="1" xfId="0" applyNumberFormat="1" applyFont="1" applyFill="1" applyBorder="1" applyAlignment="1">
      <alignment horizontal="right" vertical="top"/>
    </xf>
    <xf numFmtId="0" fontId="1" fillId="3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right" vertical="top"/>
    </xf>
    <xf numFmtId="0" fontId="2" fillId="4" borderId="1" xfId="0" applyFont="1" applyFill="1" applyBorder="1" applyAlignment="1">
      <alignment horizontal="left" vertical="top"/>
    </xf>
    <xf numFmtId="3" fontId="2" fillId="4" borderId="1" xfId="0" applyNumberFormat="1" applyFont="1" applyFill="1" applyBorder="1" applyAlignment="1">
      <alignment horizontal="right" vertical="top"/>
    </xf>
    <xf numFmtId="0" fontId="2" fillId="5" borderId="2" xfId="0" applyFont="1" applyFill="1" applyBorder="1" applyAlignment="1">
      <alignment horizontal="left" vertical="top"/>
    </xf>
    <xf numFmtId="3" fontId="2" fillId="5" borderId="2" xfId="0" applyNumberFormat="1" applyFont="1" applyFill="1" applyBorder="1" applyAlignment="1">
      <alignment horizontal="right" vertical="top"/>
    </xf>
    <xf numFmtId="0" fontId="1" fillId="2" borderId="3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3" borderId="1" xfId="0" applyFont="1" applyFill="1" applyBorder="1" applyAlignment="1">
      <alignment horizontal="right" vertical="top"/>
    </xf>
    <xf numFmtId="3" fontId="1" fillId="2" borderId="3" xfId="0" applyNumberFormat="1" applyFont="1" applyFill="1" applyBorder="1" applyAlignment="1">
      <alignment horizontal="right" vertical="top"/>
    </xf>
    <xf numFmtId="3" fontId="1" fillId="2" borderId="2" xfId="0" applyNumberFormat="1" applyFont="1" applyFill="1" applyBorder="1" applyAlignment="1">
      <alignment horizontal="right" vertical="top"/>
    </xf>
    <xf numFmtId="0" fontId="1" fillId="2" borderId="0" xfId="0" applyFont="1" applyFill="1" applyAlignment="1">
      <alignment horizontal="left" vertical="top"/>
    </xf>
    <xf numFmtId="0" fontId="0" fillId="0" borderId="0" xfId="0" applyNumberFormat="1"/>
  </cellXfs>
  <cellStyles count="1">
    <cellStyle name="Normal" xfId="0" builtinId="0"/>
  </cellStyles>
  <dxfs count="150"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ght\OneDrive\Desktop\data\china\china-towns-xlsx.xlsx" TargetMode="External"/><Relationship Id="rId1" Type="http://schemas.openxmlformats.org/officeDocument/2006/relationships/externalLinkPath" Target="/Users/night/OneDrive/Desktop/data/china/china-towns-xls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na-towns-second (2)"/>
      <sheetName val="Sheet2"/>
      <sheetName val="Sheet1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56A89A-6675-477E-93EC-D80A60F6C078}" name="Table1" displayName="Table1" ref="A1:G200" totalsRowShown="0" headerRowDxfId="149" dataDxfId="148">
  <autoFilter ref="A1:G200" xr:uid="{F856A89A-6675-477E-93EC-D80A60F6C078}"/>
  <tableColumns count="7">
    <tableColumn id="1" xr3:uid="{D9B6A69B-40B4-4180-90CE-1CFB4957A22B}" name="Name" dataDxfId="147"/>
    <tableColumn id="2" xr3:uid="{83D9D1CB-3E7D-4182-8283-8E255CE79141}" name="Native" dataDxfId="146"/>
    <tableColumn id="3" xr3:uid="{61393B81-66BA-4145-A83E-45F54490F4BF}" name="Status" dataDxfId="145"/>
    <tableColumn id="4" xr3:uid="{83E7E0C6-E4E8-4129-B9B0-E62598AFBBBB}" name="City / District / County" dataDxfId="144"/>
    <tableColumn id="5" xr3:uid="{E8E5A5C7-13AB-4957-8FC3-3A3819EB4FD6}" name="Population" dataDxfId="143"/>
    <tableColumn id="6" xr3:uid="{6B001787-41DD-4486-AC45-977F217EA729}" name="Column1" dataDxfId="142">
      <calculatedColumnFormula>VLOOKUP(D2,Table12[[Name]:[Native]],3,FALSE)</calculatedColumnFormula>
    </tableColumn>
    <tableColumn id="7" xr3:uid="{57B8DB48-7ADC-4C90-BABC-743A7B05BDF4}" name="Column2" dataDxfId="141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A1DDBA-608C-49AA-9A06-DCE40EDFC495}" name="Table2" displayName="Table2" ref="A1:G64" totalsRowShown="0" headerRowDxfId="140" dataDxfId="139">
  <autoFilter ref="A1:G64" xr:uid="{83A1DDBA-608C-49AA-9A06-DCE40EDFC495}"/>
  <tableColumns count="7">
    <tableColumn id="1" xr3:uid="{567ABF67-E52A-430C-BDB5-D2D1C333FCD9}" name="Name" dataDxfId="138"/>
    <tableColumn id="2" xr3:uid="{777CC49F-EA97-470B-AA4C-16B3175AB18A}" name="Native" dataDxfId="137"/>
    <tableColumn id="3" xr3:uid="{E894ED75-4967-46A3-96F1-F8E635F9A803}" name="Status" dataDxfId="136"/>
    <tableColumn id="4" xr3:uid="{CE4E9980-03E8-4969-B797-94DB83505CB5}" name="City / District / County" dataDxfId="135"/>
    <tableColumn id="5" xr3:uid="{E19FF5F5-9120-4531-B49F-A424113D4DA6}" name="Population" dataDxfId="134"/>
    <tableColumn id="6" xr3:uid="{A00DB047-B188-49A1-A200-A6C8599F2440}" name="Column1" dataDxfId="133">
      <calculatedColumnFormula>VLOOKUP(D2,Table12[[Name]:[Native]],3,FALSE)</calculatedColumnFormula>
    </tableColumn>
    <tableColumn id="7" xr3:uid="{2C3AAE62-3468-40B6-A087-2997003AE22A}" name="Column2" dataDxfId="132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2A94D9-FF72-4C74-9726-5D33F4271BF2}" name="Table3" displayName="Table3" ref="A1:G73" totalsRowShown="0" headerRowDxfId="131" dataDxfId="130">
  <autoFilter ref="A1:G73" xr:uid="{0F2A94D9-FF72-4C74-9726-5D33F4271BF2}"/>
  <tableColumns count="7">
    <tableColumn id="1" xr3:uid="{F7B6FB5B-EB36-42B3-A91F-A1CF03F113E8}" name="Name" dataDxfId="129"/>
    <tableColumn id="2" xr3:uid="{73EE8BFA-2F80-4DB1-8932-5491E864F5B6}" name="Native" dataDxfId="128"/>
    <tableColumn id="3" xr3:uid="{3EE236F8-EE9F-4D7A-B96B-59BEBDF9562D}" name="Status" dataDxfId="127"/>
    <tableColumn id="4" xr3:uid="{4DBEC617-F054-4CC7-B810-06C8220936AC}" name="City / District / County" dataDxfId="126"/>
    <tableColumn id="5" xr3:uid="{5C2C6F17-803C-4FF2-BBE4-140265600584}" name="Population" dataDxfId="125"/>
    <tableColumn id="6" xr3:uid="{D50AAC69-8326-4E8C-A1B6-9E040C6CA6FA}" name="Column1" dataDxfId="124">
      <calculatedColumnFormula>VLOOKUP(D2,Table12[[Name]:[Native]],3,FALSE)</calculatedColumnFormula>
    </tableColumn>
    <tableColumn id="7" xr3:uid="{76749260-7A18-43AF-9EC5-607F93CEC19F}" name="Column2" dataDxfId="123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398BA6-FCA4-44CF-B26E-B92CD62DB35D}" name="Table4" displayName="Table4" ref="A1:G147" totalsRowShown="0" headerRowDxfId="122" dataDxfId="121">
  <autoFilter ref="A1:G147" xr:uid="{A0398BA6-FCA4-44CF-B26E-B92CD62DB35D}"/>
  <tableColumns count="7">
    <tableColumn id="1" xr3:uid="{2092874B-C1FA-4E5A-BF54-3A858571B752}" name="Name" dataDxfId="120"/>
    <tableColumn id="2" xr3:uid="{10FEB3C3-BC96-4A08-9D4A-74D52CD87519}" name="Native" dataDxfId="119"/>
    <tableColumn id="3" xr3:uid="{4B212AAE-5994-4B02-B8E9-1545028C86EF}" name="Status" dataDxfId="118"/>
    <tableColumn id="4" xr3:uid="{2A6EB3F3-1850-404B-BA83-382A6EF93331}" name="City / District / County" dataDxfId="117"/>
    <tableColumn id="5" xr3:uid="{C2543AF3-79A0-46D8-84C5-3D8C85DB1B95}" name="Population" dataDxfId="116"/>
    <tableColumn id="6" xr3:uid="{0C36A1A8-22C0-429D-84C5-1599E65745C9}" name="Column1" dataDxfId="115">
      <calculatedColumnFormula>VLOOKUP(D2,Table12[[Name]:[Native]],3,FALSE)</calculatedColumnFormula>
    </tableColumn>
    <tableColumn id="7" xr3:uid="{283C5FF8-E1DF-4AB4-A418-0D0EF2E5D571}" name="Column2" dataDxfId="114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34DABFC-C931-417A-A8CE-0146CED9B21A}" name="Table5" displayName="Table5" ref="A1:G171" totalsRowShown="0" headerRowDxfId="113" dataDxfId="112">
  <autoFilter ref="A1:G171" xr:uid="{B34DABFC-C931-417A-A8CE-0146CED9B21A}"/>
  <tableColumns count="7">
    <tableColumn id="1" xr3:uid="{C89E3E2C-4D82-43B5-8477-6CC5479B636E}" name="Name" dataDxfId="111"/>
    <tableColumn id="2" xr3:uid="{0688C82F-2969-487E-9196-7EAE4BC20F9B}" name="Native" dataDxfId="110"/>
    <tableColumn id="3" xr3:uid="{A3BB871B-F52D-4902-A1AD-0FFD3D04F9ED}" name="Status" dataDxfId="109"/>
    <tableColumn id="4" xr3:uid="{31813947-E8C8-4320-A339-B1BE823F73E7}" name="City / District / County" dataDxfId="108"/>
    <tableColumn id="5" xr3:uid="{B12B21F7-EEA7-4778-9EB8-3CD69A1977DC}" name="Population" dataDxfId="107"/>
    <tableColumn id="6" xr3:uid="{BA4F5DBA-EFE2-4286-AF0E-C31155E5F0BC}" name="Column1" dataDxfId="106">
      <calculatedColumnFormula>VLOOKUP(D2,Table12[[Name]:[Native]],3,FALSE)</calculatedColumnFormula>
    </tableColumn>
    <tableColumn id="7" xr3:uid="{7817274B-C19D-4DA6-A46D-3C1260C3D1BD}" name="Column2" dataDxfId="105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8EEA372-8644-4000-B9A4-E13C383EFA5A}" name="Table6" displayName="Table6" ref="A1:G156" totalsRowShown="0" headerRowDxfId="104" dataDxfId="103">
  <autoFilter ref="A1:G156" xr:uid="{38EEA372-8644-4000-B9A4-E13C383EFA5A}"/>
  <tableColumns count="7">
    <tableColumn id="1" xr3:uid="{6670A986-C44E-4B71-A385-3FE28E378456}" name="Name" dataDxfId="102"/>
    <tableColumn id="2" xr3:uid="{5020F2E5-FBA6-471B-84A6-8627DD3A7FF7}" name="Native" dataDxfId="101"/>
    <tableColumn id="3" xr3:uid="{70F00E49-76F5-4760-8EF6-A98C5C26E305}" name="Status" dataDxfId="100"/>
    <tableColumn id="4" xr3:uid="{99B87B95-EAA1-4526-AA88-923123FC2869}" name="City / District / County" dataDxfId="99"/>
    <tableColumn id="5" xr3:uid="{2F7B09C9-BB39-4E81-AB26-D95D631403C2}" name="Population" dataDxfId="98"/>
    <tableColumn id="6" xr3:uid="{B035C8D6-EBB8-4BE8-AE14-E821FF4EA285}" name="Column1" dataDxfId="97">
      <calculatedColumnFormula>VLOOKUP(D2,Table12[[Name]:[Native]],3,FALSE)</calculatedColumnFormula>
    </tableColumn>
    <tableColumn id="7" xr3:uid="{8261A70A-0923-4B51-A13B-F0A22DBE6F3C}" name="Column2" dataDxfId="96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A2D6048-D60A-4413-A4EA-206D319CFB07}" name="Table7" displayName="Table7" ref="A1:G98" totalsRowShown="0" headerRowDxfId="95" dataDxfId="94">
  <autoFilter ref="A1:G98" xr:uid="{1A2D6048-D60A-4413-A4EA-206D319CFB07}"/>
  <tableColumns count="7">
    <tableColumn id="1" xr3:uid="{FEF4402C-D800-4E07-86D4-CF977891C06C}" name="Name" dataDxfId="93"/>
    <tableColumn id="2" xr3:uid="{36CEB411-ADE2-4B55-BC19-001317DA2AC0}" name="Native" dataDxfId="92"/>
    <tableColumn id="3" xr3:uid="{43F4F1F0-CA22-4295-A1A3-A86529D568DD}" name="Status" dataDxfId="91"/>
    <tableColumn id="4" xr3:uid="{9E17A389-05F5-407E-9BD4-A0A299A79BFE}" name="City / District / County" dataDxfId="90"/>
    <tableColumn id="5" xr3:uid="{2040F9DA-F6CC-4BA7-8C5D-17907B92B23C}" name="Population" dataDxfId="89"/>
    <tableColumn id="6" xr3:uid="{F8497F06-1A86-44E5-8D73-29D8467BBFE8}" name="Column1" dataDxfId="88">
      <calculatedColumnFormula>VLOOKUP(D2,Table12[[Name]:[Native]],3,FALSE)</calculatedColumnFormula>
    </tableColumn>
    <tableColumn id="7" xr3:uid="{912F1F92-D0D2-411A-A7CA-4CC463541731}" name="Column2" dataDxfId="87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01D3A5-61D4-4E2C-B78A-01E36C9FAA63}" name="Table8" displayName="Table8" ref="A1:G109" totalsRowShown="0" headerRowDxfId="86" dataDxfId="85">
  <autoFilter ref="A1:G109" xr:uid="{A301D3A5-61D4-4E2C-B78A-01E36C9FAA63}"/>
  <tableColumns count="7">
    <tableColumn id="1" xr3:uid="{24CA8B86-96EE-4BC3-A375-BD7BD2738EA9}" name="Name" dataDxfId="84"/>
    <tableColumn id="2" xr3:uid="{E75E51AF-B6BC-4494-BECE-DB7191B0D41E}" name="Native" dataDxfId="83"/>
    <tableColumn id="3" xr3:uid="{DE7433CC-EB1F-433D-9D05-BF6586FBED2C}" name="Status" dataDxfId="82"/>
    <tableColumn id="4" xr3:uid="{E9DF9B3E-1885-469E-A57D-1A785A1CF712}" name="City / District / County" dataDxfId="81"/>
    <tableColumn id="5" xr3:uid="{087AB407-5266-4084-9E69-EC059E221E1E}" name="Population" dataDxfId="80"/>
    <tableColumn id="6" xr3:uid="{59368656-2EBE-4FAA-B83C-5F8C86D57C5B}" name="Column1" dataDxfId="79">
      <calculatedColumnFormula>VLOOKUP(D2,Table12[[Name]:[Native]],3,FALSE)</calculatedColumnFormula>
    </tableColumn>
    <tableColumn id="7" xr3:uid="{D4EAA610-2F04-4B01-B666-AB66652255CE}" name="Column2" dataDxfId="78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4D66FC3-AADB-4758-8AC4-192899114BB0}" name="Table9" displayName="Table9" ref="A1:G130" totalsRowShown="0" headerRowDxfId="77" dataDxfId="76">
  <autoFilter ref="A1:G130" xr:uid="{D4D66FC3-AADB-4758-8AC4-192899114BB0}"/>
  <tableColumns count="7">
    <tableColumn id="1" xr3:uid="{AEBCE532-A1EA-4DD2-B782-294F0A448D09}" name="Name" dataDxfId="75"/>
    <tableColumn id="2" xr3:uid="{9B7C8E32-F027-46B2-81F0-79728A940A9C}" name="Native" dataDxfId="74"/>
    <tableColumn id="3" xr3:uid="{CA257CD8-F67C-461E-B59B-5123456FA6B1}" name="Status" dataDxfId="73"/>
    <tableColumn id="4" xr3:uid="{C6518CCE-75E2-4364-A9B9-6378405A68F6}" name="City / District / County" dataDxfId="72"/>
    <tableColumn id="5" xr3:uid="{9D56C37F-A323-4638-9623-FEC992975D89}" name="Population" dataDxfId="71"/>
    <tableColumn id="6" xr3:uid="{A38A02A3-2E62-4C67-A872-1DDC5993DB84}" name="Column1" dataDxfId="70">
      <calculatedColumnFormula>VLOOKUP(D2,Table12[[Name]:[Native]],3,FALSE)</calculatedColumnFormula>
    </tableColumn>
    <tableColumn id="7" xr3:uid="{694C287D-E38D-43F6-89FB-CD1D9361B3FF}" name="Column2" dataDxfId="69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B9E2C01-FA4E-4C90-A0C1-B03C3032A8AC}" name="Table10" displayName="Table10" ref="A1:G284" totalsRowShown="0" headerRowDxfId="68" dataDxfId="67">
  <autoFilter ref="A1:G284" xr:uid="{1B9E2C01-FA4E-4C90-A0C1-B03C3032A8AC}"/>
  <tableColumns count="7">
    <tableColumn id="1" xr3:uid="{AFAE91D0-71DD-4EAF-AA55-D1642A9EBEDE}" name="Name" dataDxfId="66"/>
    <tableColumn id="2" xr3:uid="{06C2D4D5-679F-42C8-BA2D-CD3DB4E04C65}" name="Native" dataDxfId="65"/>
    <tableColumn id="3" xr3:uid="{89C81D6E-D4E4-4FA6-87A6-27A4CBA0CAFC}" name="Status" dataDxfId="64"/>
    <tableColumn id="4" xr3:uid="{E52871B6-3E20-406F-B597-AEB76342877A}" name="City / District / County" dataDxfId="63"/>
    <tableColumn id="5" xr3:uid="{6C1F77DE-31F3-4D2D-A14C-18F1C82A786F}" name="Population" dataDxfId="62"/>
    <tableColumn id="6" xr3:uid="{5489F078-AAFE-4CE9-9287-569F73B4018E}" name="Column1" dataDxfId="61">
      <calculatedColumnFormula>VLOOKUP(D2,Table12[[Name]:[Native]],3,FALSE)</calculatedColumnFormula>
    </tableColumn>
    <tableColumn id="7" xr3:uid="{60554182-08D1-4DDD-A16C-76DB0223049E}" name="Column2" dataDxfId="60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B30CF3C-44A8-4247-A5AA-EE4E7026A89D}" name="Table11" displayName="Table11" ref="A1:G37" totalsRowShown="0" headerRowDxfId="59" dataDxfId="58">
  <autoFilter ref="A1:G37" xr:uid="{4B30CF3C-44A8-4247-A5AA-EE4E7026A89D}"/>
  <tableColumns count="7">
    <tableColumn id="1" xr3:uid="{52649957-B1C0-48E7-A4F7-59A55379FF46}" name="Name" dataDxfId="57"/>
    <tableColumn id="2" xr3:uid="{2926B988-24F7-402A-B00C-F5C6603D8588}" name="Native" dataDxfId="56"/>
    <tableColumn id="3" xr3:uid="{85B114D2-DFA6-4D08-99BF-686874B31EC0}" name="Status" dataDxfId="55"/>
    <tableColumn id="4" xr3:uid="{C4869277-7CEC-4BB3-B346-C0370FB36705}" name="City / District / County" dataDxfId="54"/>
    <tableColumn id="5" xr3:uid="{01759FF2-EB40-4966-B597-42FF8D356D30}" name="Population" dataDxfId="53"/>
    <tableColumn id="6" xr3:uid="{689C53DE-E376-435D-B1F6-9BAE41C66D37}" name="Column1" dataDxfId="52">
      <calculatedColumnFormula>VLOOKUP(D2,Table12[[Name]:[Native]],3,FALSE)</calculatedColumnFormula>
    </tableColumn>
    <tableColumn id="7" xr3:uid="{F704A232-B3CD-4F88-BAEB-278B977F2D6A}" name="Column2" dataDxfId="51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6994DBA-9A4A-42E1-A739-90662B68EACD}" name="Table13" displayName="Table13" ref="A1:P1459" totalsRowShown="0">
  <autoFilter ref="A1:P1459" xr:uid="{D6994DBA-9A4A-42E1-A739-90662B68EACD}">
    <filterColumn colId="4">
      <filters>
        <filter val="County-level City"/>
        <filter val="Town"/>
      </filters>
    </filterColumn>
    <filterColumn colId="11">
      <colorFilter dxfId="0"/>
    </filterColumn>
  </autoFilter>
  <sortState xmlns:xlrd2="http://schemas.microsoft.com/office/spreadsheetml/2017/richdata2" ref="A2:N1459">
    <sortCondition ref="A1:A1459"/>
  </sortState>
  <tableColumns count="16">
    <tableColumn id="1" xr3:uid="{CBE72E25-A157-4FDC-8044-A4554CCE520A}" name="Column1"/>
    <tableColumn id="10" xr3:uid="{981D59E6-8D4B-44C5-ABCD-3F683915F7E8}" name="Column12" dataDxfId="32">
      <calculatedColumnFormula>IF(COUNTIF(A:A,A2)&gt;1,_xlfn.CONCAT(A2," (",N2,")"),A2)</calculatedColumnFormula>
    </tableColumn>
    <tableColumn id="11" xr3:uid="{1C61D79C-613D-4AAB-8431-DD5C586DEC23}" name="Column13" dataDxfId="31">
      <calculatedColumnFormula>IF(COUNTIF(B:B,B2)&gt;1,_xlfn.CONCAT(A2," (",M2,")"),B2)</calculatedColumnFormula>
    </tableColumn>
    <tableColumn id="2" xr3:uid="{BF9D38B4-C8F0-433F-84E4-EB1262656CAA}" name="Column2"/>
    <tableColumn id="3" xr3:uid="{0480513F-AC18-46CB-8096-D505A8D2CA24}" name="Column3"/>
    <tableColumn id="4" xr3:uid="{9AF78741-8499-4321-B458-9FF1296D45A7}" name="Column4" dataDxfId="50">
      <calculatedColumnFormula>_xlfn.CONCAT(D2,", ",H2,", ",I2,", ","浙江省")</calculatedColumnFormula>
    </tableColumn>
    <tableColumn id="5" xr3:uid="{18D1450E-6EC5-421F-A5B7-41BDAEF6D9AB}" name="Column5"/>
    <tableColumn id="6" xr3:uid="{9A7D6EA6-00E8-4523-A5AC-E28AC27B2C2D}" name="Column6"/>
    <tableColumn id="7" xr3:uid="{57023092-52E7-4F6F-8969-6D66342596C9}" name="Column7"/>
    <tableColumn id="8" xr3:uid="{F13A85B2-5572-4DFA-A14A-6E538FDFFC37}" name="Column8" dataDxfId="49">
      <calculatedColumnFormula>VLOOKUP(F2,[1]!china_towns_second__2[[Column1]:[Y]],3,FALSE)</calculatedColumnFormula>
    </tableColumn>
    <tableColumn id="9" xr3:uid="{E507C331-B8B3-4BA9-A612-AFF744F7B0DD}" name="Column9" dataDxfId="48">
      <calculatedColumnFormula>VLOOKUP(F2,[1]!china_towns_second__2[[Column1]:[Y]],2,FALSE)</calculatedColumnFormula>
    </tableColumn>
    <tableColumn id="12" xr3:uid="{5FA1CC92-10A8-4102-A228-50BABCA84DC2}" name="Column10"/>
    <tableColumn id="13" xr3:uid="{592962E8-601C-4D62-9656-F463A25B6D04}" name="Column11" dataDxfId="34">
      <calculatedColumnFormula>VLOOKUP(H2,CHOOSE({1,2},Table12[Native],Table12[Name]),2,0)</calculatedColumnFormula>
    </tableColumn>
    <tableColumn id="14" xr3:uid="{20E02EA2-7ED8-4EE4-B1C0-23C0C0849C98}" name="Column112" dataDxfId="33">
      <calculatedColumnFormula>VLOOKUP(I2,CHOOSE({1,2},Table12[Native],Table12[Name]),2,0)</calculatedColumnFormula>
    </tableColumn>
    <tableColumn id="15" xr3:uid="{0CD6C65C-9DE6-4D64-B7FC-C2D8DA61C488}" name="Column113" dataDxfId="24">
      <calculatedColumnFormula>_xlfn.CONCAT(L2," (",N2,")")</calculatedColumnFormula>
    </tableColumn>
    <tableColumn id="16" xr3:uid="{0C8128E2-871F-4AF0-8939-4D4E8FB7B589}" name="Column114" dataDxfId="23">
      <calculatedColumnFormula>IF(COUNTIF(O:O,O2)&gt;1,_xlfn.CONCAT(L2," (",M2,")"),O2)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530832-CA3D-4F25-8BED-C38186AC5D34}" name="Table14" displayName="Table14" ref="A1:E31" totalsRowShown="0">
  <autoFilter ref="A1:E31" xr:uid="{2D530832-CA3D-4F25-8BED-C38186AC5D34}"/>
  <tableColumns count="5">
    <tableColumn id="1" xr3:uid="{609CF2D7-381D-49B6-88BC-C38E64721712}" name="Column1"/>
    <tableColumn id="3" xr3:uid="{F59627FA-4A2B-40C2-A58B-92627810ECA8}" name="Column12" dataDxfId="47">
      <calculatedColumnFormula>VLOOKUP(A2,CHOOSE({1,2},Table12[Native],Table12[Name]),2,0)</calculatedColumnFormula>
    </tableColumn>
    <tableColumn id="2" xr3:uid="{F0D51365-B963-4C32-A4AD-1C397E1C104D}" name="Column2"/>
    <tableColumn id="4" xr3:uid="{296D7263-3FB3-4B7E-9ADF-E5D86BD0299B}" name="Column3" dataDxfId="46">
      <calculatedColumnFormula>VLOOKUP(A2,[1]!Table1[[name]:[@lon]],5,0)</calculatedColumnFormula>
    </tableColumn>
    <tableColumn id="5" xr3:uid="{616446F1-2A71-451A-B306-87966CB101A9}" name="Column4" dataDxfId="45">
      <calculatedColumnFormula>VLOOKUP(A2,[1]!Table1[[name]:[@lon]],6,0)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10FD278-87BF-4F19-AAD5-52AE530F4E0F}" name="Table12" displayName="Table12" ref="A1:G103" totalsRowShown="0" headerRowDxfId="44" dataDxfId="43" tableBorderDxfId="42">
  <autoFilter ref="A1:G103" xr:uid="{C10FD278-87BF-4F19-AAD5-52AE530F4E0F}"/>
  <tableColumns count="7">
    <tableColumn id="1" xr3:uid="{607A258B-6E19-4C33-87BB-7471EDF7C69F}" name="Name" dataDxfId="41"/>
    <tableColumn id="2" xr3:uid="{4AAC042F-B41E-4D16-83E9-3072973D3405}" name="Status" dataDxfId="40"/>
    <tableColumn id="3" xr3:uid="{3C3AC89D-5BD1-45A6-9336-32B4185CB5AE}" name="Native" dataDxfId="39"/>
    <tableColumn id="4" xr3:uid="{CDDA4477-C912-4146-8CC7-631997F1F89B}" name="Population" dataDxfId="38"/>
    <tableColumn id="5" xr3:uid="{FF4A54F8-D461-4D1E-9D65-AC3B2765AE56}" name="Population2" dataDxfId="37"/>
    <tableColumn id="6" xr3:uid="{11A55CAD-501B-4AF9-B082-1CB8720B6D21}" name="Population3" dataDxfId="36"/>
    <tableColumn id="7" xr3:uid="{C7AC0222-18B1-4ED7-BA6D-D245304CC158}" name="Population4" dataDxfId="35">
      <calculatedColumnFormula array="1">IF(Background=36,C2,G1)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6EDE4-AD89-45A3-B65B-7D1DAB15152D}">
  <dimension ref="A1:G200"/>
  <sheetViews>
    <sheetView topLeftCell="A175" workbookViewId="0">
      <selection activeCell="G2" sqref="A2:G200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3023</v>
      </c>
      <c r="G1" t="s">
        <v>3025</v>
      </c>
    </row>
    <row r="2" spans="1:7" ht="15.75" thickBot="1" x14ac:dyDescent="0.3">
      <c r="A2" t="s">
        <v>5</v>
      </c>
      <c r="B2" s="1" t="s">
        <v>6</v>
      </c>
      <c r="C2" s="1" t="s">
        <v>7</v>
      </c>
      <c r="D2" s="1" t="s">
        <v>8</v>
      </c>
      <c r="E2" s="4">
        <v>6882</v>
      </c>
      <c r="F2" s="9" t="str">
        <f>VLOOKUP(D2,Table12[[Name]:[Native]],3,FALSE)</f>
        <v>淳安县</v>
      </c>
      <c r="G2" s="14" t="str">
        <f ca="1">VLOOKUP(F2,Table12[[Native]:[Population4]],5,FALSE)</f>
        <v>杭州市</v>
      </c>
    </row>
    <row r="3" spans="1:7" ht="15.75" thickBot="1" x14ac:dyDescent="0.3">
      <c r="A3" t="s">
        <v>9</v>
      </c>
      <c r="B3" s="1" t="s">
        <v>10</v>
      </c>
      <c r="C3" s="1" t="s">
        <v>11</v>
      </c>
      <c r="D3" s="1" t="s">
        <v>12</v>
      </c>
      <c r="E3" s="4">
        <v>12233</v>
      </c>
      <c r="F3" s="1" t="str">
        <f>VLOOKUP(D3,Table12[[Name]:[Native]],3,FALSE)</f>
        <v>桐庐县</v>
      </c>
      <c r="G3" s="14" t="str">
        <f ca="1">VLOOKUP(F3,Table12[[Native]:[Population4]],5,FALSE)</f>
        <v>杭州市</v>
      </c>
    </row>
    <row r="4" spans="1:7" ht="15.75" thickBot="1" x14ac:dyDescent="0.3">
      <c r="A4" t="s">
        <v>13</v>
      </c>
      <c r="B4" s="1" t="s">
        <v>14</v>
      </c>
      <c r="C4" s="1" t="s">
        <v>15</v>
      </c>
      <c r="D4" s="1" t="s">
        <v>16</v>
      </c>
      <c r="E4" s="4">
        <v>210218</v>
      </c>
      <c r="F4" s="1" t="str">
        <f>VLOOKUP(D4,Table12[[Name]:[Native]],3,FALSE)</f>
        <v>钱塘区</v>
      </c>
      <c r="G4" s="14" t="str">
        <f ca="1">VLOOKUP(F4,Table12[[Native]:[Population4]],5,FALSE)</f>
        <v>杭州市</v>
      </c>
    </row>
    <row r="5" spans="1:7" ht="15.75" thickBot="1" x14ac:dyDescent="0.3">
      <c r="A5" t="s">
        <v>17</v>
      </c>
      <c r="B5" s="1" t="s">
        <v>18</v>
      </c>
      <c r="C5" s="1" t="s">
        <v>11</v>
      </c>
      <c r="D5" s="1" t="s">
        <v>19</v>
      </c>
      <c r="E5" s="4">
        <v>9557</v>
      </c>
      <c r="F5" s="1" t="str">
        <f>VLOOKUP(D5,Table12[[Name]:[Native]],3,FALSE)</f>
        <v>余杭区</v>
      </c>
      <c r="G5" s="14" t="str">
        <f ca="1">VLOOKUP(F5,Table12[[Native]:[Population4]],5,FALSE)</f>
        <v>杭州市</v>
      </c>
    </row>
    <row r="6" spans="1:7" ht="15.75" thickBot="1" x14ac:dyDescent="0.3">
      <c r="A6" t="s">
        <v>20</v>
      </c>
      <c r="B6" s="1" t="s">
        <v>21</v>
      </c>
      <c r="C6" s="1" t="s">
        <v>11</v>
      </c>
      <c r="D6" s="1" t="s">
        <v>22</v>
      </c>
      <c r="E6" s="4">
        <v>20510</v>
      </c>
      <c r="F6" s="1" t="str">
        <f>VLOOKUP(D6,Table12[[Name]:[Native]],3,FALSE)</f>
        <v>临安区</v>
      </c>
      <c r="G6" s="14" t="str">
        <f ca="1">VLOOKUP(F6,Table12[[Native]:[Population4]],5,FALSE)</f>
        <v>杭州市</v>
      </c>
    </row>
    <row r="7" spans="1:7" ht="15.75" thickBot="1" x14ac:dyDescent="0.3">
      <c r="A7" t="s">
        <v>23</v>
      </c>
      <c r="B7" s="1" t="s">
        <v>24</v>
      </c>
      <c r="C7" s="1" t="s">
        <v>15</v>
      </c>
      <c r="D7" s="1" t="s">
        <v>25</v>
      </c>
      <c r="E7" s="4">
        <v>51607</v>
      </c>
      <c r="F7" s="1" t="str">
        <f>VLOOKUP(D7,Table12[[Name]:[Native]],3,FALSE)</f>
        <v>拱墅区</v>
      </c>
      <c r="G7" s="14" t="str">
        <f ca="1">VLOOKUP(F7,Table12[[Native]:[Population4]],5,FALSE)</f>
        <v>杭州市</v>
      </c>
    </row>
    <row r="8" spans="1:7" ht="15.75" thickBot="1" x14ac:dyDescent="0.3">
      <c r="A8" t="s">
        <v>26</v>
      </c>
      <c r="B8" s="1" t="s">
        <v>27</v>
      </c>
      <c r="C8" s="1" t="s">
        <v>15</v>
      </c>
      <c r="D8" s="1" t="s">
        <v>28</v>
      </c>
      <c r="E8" s="4">
        <v>97098</v>
      </c>
      <c r="F8" s="1" t="str">
        <f>VLOOKUP(D8,Table12[[Name]:[Native]],3,FALSE)</f>
        <v>萧山区</v>
      </c>
      <c r="G8" s="14" t="str">
        <f ca="1">VLOOKUP(F8,Table12[[Native]:[Population4]],5,FALSE)</f>
        <v>杭州市</v>
      </c>
    </row>
    <row r="9" spans="1:7" ht="15.75" thickBot="1" x14ac:dyDescent="0.3">
      <c r="A9" t="s">
        <v>29</v>
      </c>
      <c r="B9" s="1" t="s">
        <v>30</v>
      </c>
      <c r="C9" s="1" t="s">
        <v>15</v>
      </c>
      <c r="D9" s="1" t="s">
        <v>31</v>
      </c>
      <c r="E9" s="4">
        <v>29159</v>
      </c>
      <c r="F9" s="1" t="str">
        <f>VLOOKUP(D9,Table12[[Name]:[Native]],3,FALSE)</f>
        <v>西湖区</v>
      </c>
      <c r="G9" s="14" t="str">
        <f ca="1">VLOOKUP(F9,Table12[[Native]:[Population4]],5,FALSE)</f>
        <v>杭州市</v>
      </c>
    </row>
    <row r="10" spans="1:7" ht="15.75" thickBot="1" x14ac:dyDescent="0.3">
      <c r="A10" t="s">
        <v>32</v>
      </c>
      <c r="B10" s="1" t="s">
        <v>33</v>
      </c>
      <c r="C10" s="1" t="s">
        <v>15</v>
      </c>
      <c r="D10" s="1" t="s">
        <v>34</v>
      </c>
      <c r="E10" s="4">
        <v>89419</v>
      </c>
      <c r="F10" s="1" t="str">
        <f>VLOOKUP(D10,Table12[[Name]:[Native]],3,FALSE)</f>
        <v>上城区</v>
      </c>
      <c r="G10" s="14" t="str">
        <f ca="1">VLOOKUP(F10,Table12[[Native]:[Population4]],5,FALSE)</f>
        <v>杭州市</v>
      </c>
    </row>
    <row r="11" spans="1:7" ht="15.75" thickBot="1" x14ac:dyDescent="0.3">
      <c r="A11" t="s">
        <v>35</v>
      </c>
      <c r="B11" s="1" t="s">
        <v>36</v>
      </c>
      <c r="C11" s="1" t="s">
        <v>15</v>
      </c>
      <c r="D11" s="1" t="s">
        <v>19</v>
      </c>
      <c r="E11" s="4">
        <v>34352</v>
      </c>
      <c r="F11" s="1" t="str">
        <f>VLOOKUP(D11,Table12[[Name]:[Native]],3,FALSE)</f>
        <v>余杭区</v>
      </c>
      <c r="G11" s="14" t="str">
        <f ca="1">VLOOKUP(F11,Table12[[Native]:[Population4]],5,FALSE)</f>
        <v>杭州市</v>
      </c>
    </row>
    <row r="12" spans="1:7" ht="15.75" thickBot="1" x14ac:dyDescent="0.3">
      <c r="A12" t="s">
        <v>37</v>
      </c>
      <c r="B12" s="1" t="s">
        <v>38</v>
      </c>
      <c r="C12" s="1" t="s">
        <v>11</v>
      </c>
      <c r="D12" s="1" t="s">
        <v>39</v>
      </c>
      <c r="E12" s="4">
        <v>15052</v>
      </c>
      <c r="F12" s="1" t="str">
        <f>VLOOKUP(D12,Table12[[Name]:[Native]],3,FALSE)</f>
        <v>富阳区</v>
      </c>
      <c r="G12" s="14" t="str">
        <f ca="1">VLOOKUP(F12,Table12[[Native]:[Population4]],5,FALSE)</f>
        <v>杭州市</v>
      </c>
    </row>
    <row r="13" spans="1:7" ht="15.75" thickBot="1" x14ac:dyDescent="0.3">
      <c r="A13" t="s">
        <v>40</v>
      </c>
      <c r="B13" s="1" t="s">
        <v>41</v>
      </c>
      <c r="C13" s="1" t="s">
        <v>15</v>
      </c>
      <c r="D13" s="1" t="s">
        <v>42</v>
      </c>
      <c r="E13" s="4">
        <v>106759</v>
      </c>
      <c r="F13" s="1" t="str">
        <f>VLOOKUP(D13,Table12[[Name]:[Native]],3,FALSE)</f>
        <v>滨江区</v>
      </c>
      <c r="G13" s="14" t="str">
        <f ca="1">VLOOKUP(F13,Table12[[Native]:[Population4]],5,FALSE)</f>
        <v>杭州市</v>
      </c>
    </row>
    <row r="14" spans="1:7" ht="15.75" thickBot="1" x14ac:dyDescent="0.3">
      <c r="A14" t="s">
        <v>43</v>
      </c>
      <c r="B14" s="1" t="s">
        <v>44</v>
      </c>
      <c r="C14" s="1" t="s">
        <v>11</v>
      </c>
      <c r="D14" s="1" t="s">
        <v>22</v>
      </c>
      <c r="E14" s="4">
        <v>22609</v>
      </c>
      <c r="F14" s="1" t="str">
        <f>VLOOKUP(D14,Table12[[Name]:[Native]],3,FALSE)</f>
        <v>临安区</v>
      </c>
      <c r="G14" s="14" t="str">
        <f ca="1">VLOOKUP(F14,Table12[[Native]:[Population4]],5,FALSE)</f>
        <v>杭州市</v>
      </c>
    </row>
    <row r="15" spans="1:7" ht="15.75" thickBot="1" x14ac:dyDescent="0.3">
      <c r="A15" t="s">
        <v>45</v>
      </c>
      <c r="B15" s="1" t="s">
        <v>46</v>
      </c>
      <c r="C15" s="1" t="s">
        <v>11</v>
      </c>
      <c r="D15" s="1" t="s">
        <v>39</v>
      </c>
      <c r="E15" s="4">
        <v>29709</v>
      </c>
      <c r="F15" s="1" t="str">
        <f>VLOOKUP(D15,Table12[[Name]:[Native]],3,FALSE)</f>
        <v>富阳区</v>
      </c>
      <c r="G15" s="14" t="str">
        <f ca="1">VLOOKUP(F15,Table12[[Native]:[Population4]],5,FALSE)</f>
        <v>杭州市</v>
      </c>
    </row>
    <row r="16" spans="1:7" ht="15.75" thickBot="1" x14ac:dyDescent="0.3">
      <c r="A16" t="s">
        <v>47</v>
      </c>
      <c r="B16" s="1" t="s">
        <v>48</v>
      </c>
      <c r="C16" s="1" t="s">
        <v>11</v>
      </c>
      <c r="D16" s="1" t="s">
        <v>39</v>
      </c>
      <c r="E16" s="4">
        <v>9819</v>
      </c>
      <c r="F16" s="1" t="str">
        <f>VLOOKUP(D16,Table12[[Name]:[Native]],3,FALSE)</f>
        <v>富阳区</v>
      </c>
      <c r="G16" s="14" t="str">
        <f ca="1">VLOOKUP(F16,Table12[[Native]:[Population4]],5,FALSE)</f>
        <v>杭州市</v>
      </c>
    </row>
    <row r="17" spans="1:7" ht="15.75" thickBot="1" x14ac:dyDescent="0.3">
      <c r="A17" t="s">
        <v>49</v>
      </c>
      <c r="B17" s="1" t="s">
        <v>50</v>
      </c>
      <c r="C17" s="1" t="s">
        <v>15</v>
      </c>
      <c r="D17" s="1" t="s">
        <v>25</v>
      </c>
      <c r="E17" s="4">
        <v>45343</v>
      </c>
      <c r="F17" s="1" t="str">
        <f>VLOOKUP(D17,Table12[[Name]:[Native]],3,FALSE)</f>
        <v>拱墅区</v>
      </c>
      <c r="G17" s="14" t="str">
        <f ca="1">VLOOKUP(F17,Table12[[Native]:[Population4]],5,FALSE)</f>
        <v>杭州市</v>
      </c>
    </row>
    <row r="18" spans="1:7" ht="15.75" thickBot="1" x14ac:dyDescent="0.3">
      <c r="A18" t="s">
        <v>51</v>
      </c>
      <c r="B18" s="1" t="s">
        <v>52</v>
      </c>
      <c r="C18" s="1" t="s">
        <v>15</v>
      </c>
      <c r="D18" s="1" t="s">
        <v>25</v>
      </c>
      <c r="E18" s="4">
        <v>82221</v>
      </c>
      <c r="F18" s="1" t="str">
        <f>VLOOKUP(D18,Table12[[Name]:[Native]],3,FALSE)</f>
        <v>拱墅区</v>
      </c>
      <c r="G18" s="14" t="str">
        <f ca="1">VLOOKUP(F18,Table12[[Native]:[Population4]],5,FALSE)</f>
        <v>杭州市</v>
      </c>
    </row>
    <row r="19" spans="1:7" ht="15.75" thickBot="1" x14ac:dyDescent="0.3">
      <c r="A19" t="s">
        <v>53</v>
      </c>
      <c r="B19" s="1" t="s">
        <v>54</v>
      </c>
      <c r="C19" s="1" t="s">
        <v>15</v>
      </c>
      <c r="D19" s="1" t="s">
        <v>25</v>
      </c>
      <c r="E19" s="4">
        <v>58035</v>
      </c>
      <c r="F19" s="1" t="str">
        <f>VLOOKUP(D19,Table12[[Name]:[Native]],3,FALSE)</f>
        <v>拱墅区</v>
      </c>
      <c r="G19" s="14" t="str">
        <f ca="1">VLOOKUP(F19,Table12[[Native]:[Population4]],5,FALSE)</f>
        <v>杭州市</v>
      </c>
    </row>
    <row r="20" spans="1:7" ht="15.75" thickBot="1" x14ac:dyDescent="0.3">
      <c r="A20" t="s">
        <v>55</v>
      </c>
      <c r="B20" s="1" t="s">
        <v>56</v>
      </c>
      <c r="C20" s="1" t="s">
        <v>15</v>
      </c>
      <c r="D20" s="1" t="s">
        <v>28</v>
      </c>
      <c r="E20" s="4">
        <v>148588</v>
      </c>
      <c r="F20" s="1" t="str">
        <f>VLOOKUP(D20,Table12[[Name]:[Native]],3,FALSE)</f>
        <v>萧山区</v>
      </c>
      <c r="G20" s="14" t="str">
        <f ca="1">VLOOKUP(F20,Table12[[Native]:[Population4]],5,FALSE)</f>
        <v>杭州市</v>
      </c>
    </row>
    <row r="21" spans="1:7" ht="15.75" thickBot="1" x14ac:dyDescent="0.3">
      <c r="A21" t="s">
        <v>57</v>
      </c>
      <c r="B21" s="1" t="s">
        <v>58</v>
      </c>
      <c r="C21" s="1" t="s">
        <v>15</v>
      </c>
      <c r="D21" s="1" t="s">
        <v>59</v>
      </c>
      <c r="E21" s="4">
        <v>53706</v>
      </c>
      <c r="F21" s="1" t="str">
        <f>VLOOKUP(D21,Table12[[Name]:[Native]],3,FALSE)</f>
        <v>临平区</v>
      </c>
      <c r="G21" s="14" t="str">
        <f ca="1">VLOOKUP(F21,Table12[[Native]:[Population4]],5,FALSE)</f>
        <v>杭州市</v>
      </c>
    </row>
    <row r="22" spans="1:7" ht="15.75" thickBot="1" x14ac:dyDescent="0.3">
      <c r="A22" t="s">
        <v>60</v>
      </c>
      <c r="B22" s="1" t="s">
        <v>61</v>
      </c>
      <c r="C22" s="1" t="s">
        <v>15</v>
      </c>
      <c r="D22" s="1" t="s">
        <v>39</v>
      </c>
      <c r="E22" s="4">
        <v>49266</v>
      </c>
      <c r="F22" s="1" t="str">
        <f>VLOOKUP(D22,Table12[[Name]:[Native]],3,FALSE)</f>
        <v>富阳区</v>
      </c>
      <c r="G22" s="14" t="str">
        <f ca="1">VLOOKUP(F22,Table12[[Native]:[Population4]],5,FALSE)</f>
        <v>杭州市</v>
      </c>
    </row>
    <row r="23" spans="1:7" ht="15.75" thickBot="1" x14ac:dyDescent="0.3">
      <c r="A23" t="s">
        <v>62</v>
      </c>
      <c r="B23" s="1" t="s">
        <v>63</v>
      </c>
      <c r="C23" s="1" t="s">
        <v>7</v>
      </c>
      <c r="D23" s="1" t="s">
        <v>39</v>
      </c>
      <c r="E23" s="4">
        <v>6429</v>
      </c>
      <c r="F23" s="1" t="str">
        <f>VLOOKUP(D23,Table12[[Name]:[Native]],3,FALSE)</f>
        <v>富阳区</v>
      </c>
      <c r="G23" s="14" t="str">
        <f ca="1">VLOOKUP(F23,Table12[[Native]:[Population4]],5,FALSE)</f>
        <v>杭州市</v>
      </c>
    </row>
    <row r="24" spans="1:7" ht="15.75" thickBot="1" x14ac:dyDescent="0.3">
      <c r="A24" t="s">
        <v>64</v>
      </c>
      <c r="B24" s="1" t="s">
        <v>65</v>
      </c>
      <c r="C24" s="1" t="s">
        <v>15</v>
      </c>
      <c r="D24" s="1" t="s">
        <v>31</v>
      </c>
      <c r="E24" s="4">
        <v>86267</v>
      </c>
      <c r="F24" s="1" t="str">
        <f>VLOOKUP(D24,Table12[[Name]:[Native]],3,FALSE)</f>
        <v>西湖区</v>
      </c>
      <c r="G24" s="14" t="str">
        <f ca="1">VLOOKUP(F24,Table12[[Native]:[Population4]],5,FALSE)</f>
        <v>杭州市</v>
      </c>
    </row>
    <row r="25" spans="1:7" ht="15.75" thickBot="1" x14ac:dyDescent="0.3">
      <c r="A25" t="s">
        <v>66</v>
      </c>
      <c r="B25" s="1" t="s">
        <v>67</v>
      </c>
      <c r="C25" s="1" t="s">
        <v>11</v>
      </c>
      <c r="D25" s="1" t="s">
        <v>68</v>
      </c>
      <c r="E25" s="4">
        <v>13583</v>
      </c>
      <c r="F25" s="1" t="str">
        <f>VLOOKUP(D25,Table12[[Name]:[Native]],3,FALSE)</f>
        <v>建德市</v>
      </c>
      <c r="G25" s="14" t="str">
        <f ca="1">VLOOKUP(F25,Table12[[Native]:[Population4]],5,FALSE)</f>
        <v>杭州市</v>
      </c>
    </row>
    <row r="26" spans="1:7" ht="15.75" thickBot="1" x14ac:dyDescent="0.3">
      <c r="A26" t="s">
        <v>69</v>
      </c>
      <c r="B26" s="1" t="s">
        <v>70</v>
      </c>
      <c r="C26" s="1" t="s">
        <v>15</v>
      </c>
      <c r="D26" s="1" t="s">
        <v>25</v>
      </c>
      <c r="E26" s="4">
        <v>51933</v>
      </c>
      <c r="F26" s="1" t="str">
        <f>VLOOKUP(D26,Table12[[Name]:[Native]],3,FALSE)</f>
        <v>拱墅区</v>
      </c>
      <c r="G26" s="14" t="str">
        <f ca="1">VLOOKUP(F26,Table12[[Native]:[Population4]],5,FALSE)</f>
        <v>杭州市</v>
      </c>
    </row>
    <row r="27" spans="1:7" ht="15.75" thickBot="1" x14ac:dyDescent="0.3">
      <c r="A27" t="s">
        <v>71</v>
      </c>
      <c r="B27" s="1" t="s">
        <v>72</v>
      </c>
      <c r="C27" s="1" t="s">
        <v>11</v>
      </c>
      <c r="D27" s="1" t="s">
        <v>28</v>
      </c>
      <c r="E27" s="4">
        <v>38902</v>
      </c>
      <c r="F27" s="1" t="str">
        <f>VLOOKUP(D27,Table12[[Name]:[Native]],3,FALSE)</f>
        <v>萧山区</v>
      </c>
      <c r="G27" s="14" t="str">
        <f ca="1">VLOOKUP(F27,Table12[[Native]:[Population4]],5,FALSE)</f>
        <v>杭州市</v>
      </c>
    </row>
    <row r="28" spans="1:7" ht="15.75" thickBot="1" x14ac:dyDescent="0.3">
      <c r="A28" t="s">
        <v>73</v>
      </c>
      <c r="B28" s="1" t="s">
        <v>74</v>
      </c>
      <c r="C28" s="1" t="s">
        <v>11</v>
      </c>
      <c r="D28" s="1" t="s">
        <v>28</v>
      </c>
      <c r="E28" s="4">
        <v>43385</v>
      </c>
      <c r="F28" s="1" t="str">
        <f>VLOOKUP(D28,Table12[[Name]:[Native]],3,FALSE)</f>
        <v>萧山区</v>
      </c>
      <c r="G28" s="14" t="str">
        <f ca="1">VLOOKUP(F28,Table12[[Native]:[Population4]],5,FALSE)</f>
        <v>杭州市</v>
      </c>
    </row>
    <row r="29" spans="1:7" ht="15.75" thickBot="1" x14ac:dyDescent="0.3">
      <c r="A29" t="s">
        <v>75</v>
      </c>
      <c r="B29" s="1" t="s">
        <v>76</v>
      </c>
      <c r="C29" s="1" t="s">
        <v>11</v>
      </c>
      <c r="D29" s="1" t="s">
        <v>22</v>
      </c>
      <c r="E29" s="4">
        <v>16394</v>
      </c>
      <c r="F29" s="1" t="str">
        <f>VLOOKUP(D29,Table12[[Name]:[Native]],3,FALSE)</f>
        <v>临安区</v>
      </c>
      <c r="G29" s="14" t="str">
        <f ca="1">VLOOKUP(F29,Table12[[Native]:[Population4]],5,FALSE)</f>
        <v>杭州市</v>
      </c>
    </row>
    <row r="30" spans="1:7" ht="15.75" thickBot="1" x14ac:dyDescent="0.3">
      <c r="A30" t="s">
        <v>77</v>
      </c>
      <c r="B30" s="1" t="s">
        <v>78</v>
      </c>
      <c r="C30" s="1" t="s">
        <v>11</v>
      </c>
      <c r="D30" s="1" t="s">
        <v>8</v>
      </c>
      <c r="E30" s="4">
        <v>9241</v>
      </c>
      <c r="F30" s="1" t="str">
        <f>VLOOKUP(D30,Table12[[Name]:[Native]],3,FALSE)</f>
        <v>淳安县</v>
      </c>
      <c r="G30" s="14" t="str">
        <f ca="1">VLOOKUP(F30,Table12[[Native]:[Population4]],5,FALSE)</f>
        <v>杭州市</v>
      </c>
    </row>
    <row r="31" spans="1:7" ht="15.75" thickBot="1" x14ac:dyDescent="0.3">
      <c r="A31" t="s">
        <v>79</v>
      </c>
      <c r="B31" s="1" t="s">
        <v>80</v>
      </c>
      <c r="C31" s="1" t="s">
        <v>11</v>
      </c>
      <c r="D31" s="1" t="s">
        <v>68</v>
      </c>
      <c r="E31" s="4">
        <v>36783</v>
      </c>
      <c r="F31" s="1" t="str">
        <f>VLOOKUP(D31,Table12[[Name]:[Native]],3,FALSE)</f>
        <v>建德市</v>
      </c>
      <c r="G31" s="14" t="str">
        <f ca="1">VLOOKUP(F31,Table12[[Native]:[Population4]],5,FALSE)</f>
        <v>杭州市</v>
      </c>
    </row>
    <row r="32" spans="1:7" ht="15.75" thickBot="1" x14ac:dyDescent="0.3">
      <c r="A32" t="s">
        <v>81</v>
      </c>
      <c r="B32" s="1" t="s">
        <v>82</v>
      </c>
      <c r="C32" s="1" t="s">
        <v>11</v>
      </c>
      <c r="D32" s="1" t="s">
        <v>22</v>
      </c>
      <c r="E32" s="4">
        <v>9899</v>
      </c>
      <c r="F32" s="1" t="str">
        <f>VLOOKUP(D32,Table12[[Name]:[Native]],3,FALSE)</f>
        <v>临安区</v>
      </c>
      <c r="G32" s="14" t="str">
        <f ca="1">VLOOKUP(F32,Table12[[Native]:[Population4]],5,FALSE)</f>
        <v>杭州市</v>
      </c>
    </row>
    <row r="33" spans="1:7" ht="15.75" thickBot="1" x14ac:dyDescent="0.3">
      <c r="A33" t="s">
        <v>83</v>
      </c>
      <c r="B33" s="1" t="s">
        <v>84</v>
      </c>
      <c r="C33" s="1" t="s">
        <v>11</v>
      </c>
      <c r="D33" s="1" t="s">
        <v>68</v>
      </c>
      <c r="E33" s="4">
        <v>23567</v>
      </c>
      <c r="F33" s="1" t="str">
        <f>VLOOKUP(D33,Table12[[Name]:[Native]],3,FALSE)</f>
        <v>建德市</v>
      </c>
      <c r="G33" s="14" t="str">
        <f ca="1">VLOOKUP(F33,Table12[[Native]:[Population4]],5,FALSE)</f>
        <v>杭州市</v>
      </c>
    </row>
    <row r="34" spans="1:7" ht="15.75" thickBot="1" x14ac:dyDescent="0.3">
      <c r="A34" t="s">
        <v>85</v>
      </c>
      <c r="B34" s="1" t="s">
        <v>86</v>
      </c>
      <c r="C34" s="1" t="s">
        <v>11</v>
      </c>
      <c r="D34" s="1" t="s">
        <v>39</v>
      </c>
      <c r="E34" s="4">
        <v>35231</v>
      </c>
      <c r="F34" s="1" t="str">
        <f>VLOOKUP(D34,Table12[[Name]:[Native]],3,FALSE)</f>
        <v>富阳区</v>
      </c>
      <c r="G34" s="14" t="str">
        <f ca="1">VLOOKUP(F34,Table12[[Native]:[Population4]],5,FALSE)</f>
        <v>杭州市</v>
      </c>
    </row>
    <row r="35" spans="1:7" ht="15.75" thickBot="1" x14ac:dyDescent="0.3">
      <c r="A35" t="s">
        <v>87</v>
      </c>
      <c r="B35" s="1" t="s">
        <v>88</v>
      </c>
      <c r="C35" s="1" t="s">
        <v>15</v>
      </c>
      <c r="D35" s="1" t="s">
        <v>34</v>
      </c>
      <c r="E35" s="4">
        <v>34377</v>
      </c>
      <c r="F35" s="1" t="str">
        <f>VLOOKUP(D35,Table12[[Name]:[Native]],3,FALSE)</f>
        <v>上城区</v>
      </c>
      <c r="G35" s="14" t="str">
        <f ca="1">VLOOKUP(F35,Table12[[Native]:[Population4]],5,FALSE)</f>
        <v>杭州市</v>
      </c>
    </row>
    <row r="36" spans="1:7" ht="15.75" thickBot="1" x14ac:dyDescent="0.3">
      <c r="A36" t="s">
        <v>89</v>
      </c>
      <c r="B36" s="1" t="s">
        <v>90</v>
      </c>
      <c r="C36" s="1" t="s">
        <v>15</v>
      </c>
      <c r="D36" s="1" t="s">
        <v>59</v>
      </c>
      <c r="E36" s="4">
        <v>47388</v>
      </c>
      <c r="F36" s="1" t="str">
        <f>VLOOKUP(D36,Table12[[Name]:[Native]],3,FALSE)</f>
        <v>临平区</v>
      </c>
      <c r="G36" s="14" t="str">
        <f ca="1">VLOOKUP(F36,Table12[[Native]:[Population4]],5,FALSE)</f>
        <v>杭州市</v>
      </c>
    </row>
    <row r="37" spans="1:7" ht="15.75" thickBot="1" x14ac:dyDescent="0.3">
      <c r="A37" t="s">
        <v>91</v>
      </c>
      <c r="B37" s="1" t="s">
        <v>92</v>
      </c>
      <c r="C37" s="1" t="s">
        <v>11</v>
      </c>
      <c r="D37" s="1" t="s">
        <v>39</v>
      </c>
      <c r="E37" s="4">
        <v>15573</v>
      </c>
      <c r="F37" s="1" t="str">
        <f>VLOOKUP(D37,Table12[[Name]:[Native]],3,FALSE)</f>
        <v>富阳区</v>
      </c>
      <c r="G37" s="14" t="str">
        <f ca="1">VLOOKUP(F37,Table12[[Native]:[Population4]],5,FALSE)</f>
        <v>杭州市</v>
      </c>
    </row>
    <row r="38" spans="1:7" ht="15.75" thickBot="1" x14ac:dyDescent="0.3">
      <c r="A38" t="s">
        <v>93</v>
      </c>
      <c r="B38" s="1" t="s">
        <v>94</v>
      </c>
      <c r="C38" s="1" t="s">
        <v>15</v>
      </c>
      <c r="D38" s="1" t="s">
        <v>25</v>
      </c>
      <c r="E38" s="4">
        <v>118576</v>
      </c>
      <c r="F38" s="1" t="str">
        <f>VLOOKUP(D38,Table12[[Name]:[Native]],3,FALSE)</f>
        <v>拱墅区</v>
      </c>
      <c r="G38" s="14" t="str">
        <f ca="1">VLOOKUP(F38,Table12[[Native]:[Population4]],5,FALSE)</f>
        <v>杭州市</v>
      </c>
    </row>
    <row r="39" spans="1:7" ht="15.75" thickBot="1" x14ac:dyDescent="0.3">
      <c r="A39" t="s">
        <v>95</v>
      </c>
      <c r="B39" s="1" t="s">
        <v>96</v>
      </c>
      <c r="C39" s="1" t="s">
        <v>15</v>
      </c>
      <c r="D39" s="1" t="s">
        <v>39</v>
      </c>
      <c r="E39" s="4">
        <v>45715</v>
      </c>
      <c r="F39" s="1" t="str">
        <f>VLOOKUP(D39,Table12[[Name]:[Native]],3,FALSE)</f>
        <v>富阳区</v>
      </c>
      <c r="G39" s="14" t="str">
        <f ca="1">VLOOKUP(F39,Table12[[Native]:[Population4]],5,FALSE)</f>
        <v>杭州市</v>
      </c>
    </row>
    <row r="40" spans="1:7" ht="15.75" thickBot="1" x14ac:dyDescent="0.3">
      <c r="A40" t="s">
        <v>97</v>
      </c>
      <c r="B40" s="1" t="s">
        <v>98</v>
      </c>
      <c r="C40" s="1" t="s">
        <v>7</v>
      </c>
      <c r="D40" s="1" t="s">
        <v>12</v>
      </c>
      <c r="E40" s="4">
        <v>7394</v>
      </c>
      <c r="F40" s="1" t="str">
        <f>VLOOKUP(D40,Table12[[Name]:[Native]],3,FALSE)</f>
        <v>桐庐县</v>
      </c>
      <c r="G40" s="14" t="str">
        <f ca="1">VLOOKUP(F40,Table12[[Native]:[Population4]],5,FALSE)</f>
        <v>杭州市</v>
      </c>
    </row>
    <row r="41" spans="1:7" ht="15.75" thickBot="1" x14ac:dyDescent="0.3">
      <c r="A41" t="s">
        <v>99</v>
      </c>
      <c r="B41" s="1" t="s">
        <v>100</v>
      </c>
      <c r="C41" s="1" t="s">
        <v>15</v>
      </c>
      <c r="D41" s="1" t="s">
        <v>12</v>
      </c>
      <c r="E41" s="4">
        <v>15309</v>
      </c>
      <c r="F41" s="1" t="str">
        <f>VLOOKUP(D41,Table12[[Name]:[Native]],3,FALSE)</f>
        <v>桐庐县</v>
      </c>
      <c r="G41" s="14" t="str">
        <f ca="1">VLOOKUP(F41,Table12[[Native]:[Population4]],5,FALSE)</f>
        <v>杭州市</v>
      </c>
    </row>
    <row r="42" spans="1:7" ht="15.75" thickBot="1" x14ac:dyDescent="0.3">
      <c r="A42" t="s">
        <v>101</v>
      </c>
      <c r="B42" s="1" t="s">
        <v>102</v>
      </c>
      <c r="C42" s="1" t="s">
        <v>11</v>
      </c>
      <c r="D42" s="1" t="s">
        <v>8</v>
      </c>
      <c r="E42" s="4">
        <v>11354</v>
      </c>
      <c r="F42" s="1" t="str">
        <f>VLOOKUP(D42,Table12[[Name]:[Native]],3,FALSE)</f>
        <v>淳安县</v>
      </c>
      <c r="G42" s="14" t="str">
        <f ca="1">VLOOKUP(F42,Table12[[Native]:[Population4]],5,FALSE)</f>
        <v>杭州市</v>
      </c>
    </row>
    <row r="43" spans="1:7" ht="15.75" thickBot="1" x14ac:dyDescent="0.3">
      <c r="A43" t="s">
        <v>103</v>
      </c>
      <c r="B43" s="1" t="s">
        <v>104</v>
      </c>
      <c r="C43" s="1" t="s">
        <v>11</v>
      </c>
      <c r="D43" s="1" t="s">
        <v>8</v>
      </c>
      <c r="E43" s="4">
        <v>38588</v>
      </c>
      <c r="F43" s="1" t="str">
        <f>VLOOKUP(D43,Table12[[Name]:[Native]],3,FALSE)</f>
        <v>淳安县</v>
      </c>
      <c r="G43" s="14" t="str">
        <f ca="1">VLOOKUP(F43,Table12[[Native]:[Population4]],5,FALSE)</f>
        <v>杭州市</v>
      </c>
    </row>
    <row r="44" spans="1:7" ht="15.75" thickBot="1" x14ac:dyDescent="0.3">
      <c r="A44" t="s">
        <v>105</v>
      </c>
      <c r="B44" s="1" t="s">
        <v>106</v>
      </c>
      <c r="C44" s="1" t="s">
        <v>11</v>
      </c>
      <c r="D44" s="1" t="s">
        <v>12</v>
      </c>
      <c r="E44" s="4">
        <v>55049</v>
      </c>
      <c r="F44" s="1" t="str">
        <f>VLOOKUP(D44,Table12[[Name]:[Native]],3,FALSE)</f>
        <v>桐庐县</v>
      </c>
      <c r="G44" s="14" t="str">
        <f ca="1">VLOOKUP(F44,Table12[[Native]:[Population4]],5,FALSE)</f>
        <v>杭州市</v>
      </c>
    </row>
    <row r="45" spans="1:7" ht="15.75" thickBot="1" x14ac:dyDescent="0.3">
      <c r="A45" t="s">
        <v>107</v>
      </c>
      <c r="B45" s="1" t="s">
        <v>108</v>
      </c>
      <c r="C45" s="1" t="s">
        <v>11</v>
      </c>
      <c r="D45" s="1" t="s">
        <v>12</v>
      </c>
      <c r="E45" s="4">
        <v>25859</v>
      </c>
      <c r="F45" s="1" t="str">
        <f>VLOOKUP(D45,Table12[[Name]:[Native]],3,FALSE)</f>
        <v>桐庐县</v>
      </c>
      <c r="G45" s="14" t="str">
        <f ca="1">VLOOKUP(F45,Table12[[Native]:[Population4]],5,FALSE)</f>
        <v>杭州市</v>
      </c>
    </row>
    <row r="46" spans="1:7" ht="15.75" thickBot="1" x14ac:dyDescent="0.3">
      <c r="A46" t="s">
        <v>109</v>
      </c>
      <c r="B46" s="1" t="s">
        <v>110</v>
      </c>
      <c r="C46" s="1" t="s">
        <v>15</v>
      </c>
      <c r="D46" s="1" t="s">
        <v>39</v>
      </c>
      <c r="E46" s="4">
        <v>217180</v>
      </c>
      <c r="F46" s="1" t="str">
        <f>VLOOKUP(D46,Table12[[Name]:[Native]],3,FALSE)</f>
        <v>富阳区</v>
      </c>
      <c r="G46" s="14" t="str">
        <f ca="1">VLOOKUP(F46,Table12[[Native]:[Population4]],5,FALSE)</f>
        <v>杭州市</v>
      </c>
    </row>
    <row r="47" spans="1:7" ht="15.75" thickBot="1" x14ac:dyDescent="0.3">
      <c r="A47" t="s">
        <v>111</v>
      </c>
      <c r="B47" s="1" t="s">
        <v>112</v>
      </c>
      <c r="C47" s="1" t="s">
        <v>7</v>
      </c>
      <c r="D47" s="1" t="s">
        <v>8</v>
      </c>
      <c r="E47" s="4">
        <v>4769</v>
      </c>
      <c r="F47" s="1" t="str">
        <f>VLOOKUP(D47,Table12[[Name]:[Native]],3,FALSE)</f>
        <v>淳安县</v>
      </c>
      <c r="G47" s="14" t="str">
        <f ca="1">VLOOKUP(F47,Table12[[Native]:[Population4]],5,FALSE)</f>
        <v>杭州市</v>
      </c>
    </row>
    <row r="48" spans="1:7" ht="15.75" thickBot="1" x14ac:dyDescent="0.3">
      <c r="A48" t="s">
        <v>113</v>
      </c>
      <c r="B48" s="1" t="s">
        <v>114</v>
      </c>
      <c r="C48" s="1" t="s">
        <v>11</v>
      </c>
      <c r="D48" s="1" t="s">
        <v>22</v>
      </c>
      <c r="E48" s="4">
        <v>29028</v>
      </c>
      <c r="F48" s="1" t="str">
        <f>VLOOKUP(D48,Table12[[Name]:[Native]],3,FALSE)</f>
        <v>临安区</v>
      </c>
      <c r="G48" s="14" t="str">
        <f ca="1">VLOOKUP(F48,Table12[[Native]:[Population4]],5,FALSE)</f>
        <v>杭州市</v>
      </c>
    </row>
    <row r="49" spans="1:7" ht="15.75" thickBot="1" x14ac:dyDescent="0.3">
      <c r="A49" t="s">
        <v>115</v>
      </c>
      <c r="B49" s="1" t="s">
        <v>116</v>
      </c>
      <c r="C49" s="1" t="s">
        <v>15</v>
      </c>
      <c r="D49" s="1" t="s">
        <v>68</v>
      </c>
      <c r="E49" s="4">
        <v>19377</v>
      </c>
      <c r="F49" s="1" t="str">
        <f>VLOOKUP(D49,Table12[[Name]:[Native]],3,FALSE)</f>
        <v>建德市</v>
      </c>
      <c r="G49" s="14" t="str">
        <f ca="1">VLOOKUP(F49,Table12[[Native]:[Population4]],5,FALSE)</f>
        <v>杭州市</v>
      </c>
    </row>
    <row r="50" spans="1:7" ht="15.75" thickBot="1" x14ac:dyDescent="0.3">
      <c r="A50" t="s">
        <v>117</v>
      </c>
      <c r="B50" s="1" t="s">
        <v>118</v>
      </c>
      <c r="C50" s="1" t="s">
        <v>15</v>
      </c>
      <c r="D50" s="1" t="s">
        <v>25</v>
      </c>
      <c r="E50" s="4">
        <v>48004</v>
      </c>
      <c r="F50" s="1" t="str">
        <f>VLOOKUP(D50,Table12[[Name]:[Native]],3,FALSE)</f>
        <v>拱墅区</v>
      </c>
      <c r="G50" s="14" t="str">
        <f ca="1">VLOOKUP(F50,Table12[[Native]:[Population4]],5,FALSE)</f>
        <v>杭州市</v>
      </c>
    </row>
    <row r="51" spans="1:7" ht="15.75" thickBot="1" x14ac:dyDescent="0.3">
      <c r="A51" t="s">
        <v>119</v>
      </c>
      <c r="B51" s="1" t="s">
        <v>120</v>
      </c>
      <c r="C51" s="1" t="s">
        <v>11</v>
      </c>
      <c r="D51" s="1" t="s">
        <v>28</v>
      </c>
      <c r="E51" s="4">
        <v>191429</v>
      </c>
      <c r="F51" s="1" t="str">
        <f>VLOOKUP(D51,Table12[[Name]:[Native]],3,FALSE)</f>
        <v>萧山区</v>
      </c>
      <c r="G51" s="14" t="str">
        <f ca="1">VLOOKUP(F51,Table12[[Native]:[Population4]],5,FALSE)</f>
        <v>杭州市</v>
      </c>
    </row>
    <row r="52" spans="1:7" ht="15.75" thickBot="1" x14ac:dyDescent="0.3">
      <c r="A52" t="s">
        <v>121</v>
      </c>
      <c r="B52" s="1" t="s">
        <v>122</v>
      </c>
      <c r="C52" s="1" t="s">
        <v>15</v>
      </c>
      <c r="D52" s="1" t="s">
        <v>31</v>
      </c>
      <c r="E52" s="4">
        <v>67349</v>
      </c>
      <c r="F52" s="1" t="str">
        <f>VLOOKUP(D52,Table12[[Name]:[Native]],3,FALSE)</f>
        <v>西湖区</v>
      </c>
      <c r="G52" s="14" t="str">
        <f ca="1">VLOOKUP(F52,Table12[[Native]:[Population4]],5,FALSE)</f>
        <v>杭州市</v>
      </c>
    </row>
    <row r="53" spans="1:7" ht="15.75" thickBot="1" x14ac:dyDescent="0.3">
      <c r="A53" t="s">
        <v>123</v>
      </c>
      <c r="B53" s="1" t="s">
        <v>124</v>
      </c>
      <c r="C53" s="1" t="s">
        <v>11</v>
      </c>
      <c r="D53" s="1" t="s">
        <v>68</v>
      </c>
      <c r="E53" s="4">
        <v>23913</v>
      </c>
      <c r="F53" s="1" t="str">
        <f>VLOOKUP(D53,Table12[[Name]:[Native]],3,FALSE)</f>
        <v>建德市</v>
      </c>
      <c r="G53" s="14" t="str">
        <f ca="1">VLOOKUP(F53,Table12[[Native]:[Population4]],5,FALSE)</f>
        <v>杭州市</v>
      </c>
    </row>
    <row r="54" spans="1:7" ht="15.75" thickBot="1" x14ac:dyDescent="0.3">
      <c r="A54" t="s">
        <v>125</v>
      </c>
      <c r="B54" s="1" t="s">
        <v>126</v>
      </c>
      <c r="C54" s="1" t="s">
        <v>7</v>
      </c>
      <c r="D54" s="1" t="s">
        <v>12</v>
      </c>
      <c r="E54" s="4">
        <v>5794</v>
      </c>
      <c r="F54" s="1" t="str">
        <f>VLOOKUP(D54,Table12[[Name]:[Native]],3,FALSE)</f>
        <v>桐庐县</v>
      </c>
      <c r="G54" s="14" t="str">
        <f ca="1">VLOOKUP(F54,Table12[[Native]:[Population4]],5,FALSE)</f>
        <v>杭州市</v>
      </c>
    </row>
    <row r="55" spans="1:7" ht="15.75" thickBot="1" x14ac:dyDescent="0.3">
      <c r="A55" t="s">
        <v>127</v>
      </c>
      <c r="B55" s="1" t="s">
        <v>128</v>
      </c>
      <c r="C55" s="1" t="s">
        <v>15</v>
      </c>
      <c r="D55" s="1" t="s">
        <v>25</v>
      </c>
      <c r="E55" s="4">
        <v>24805</v>
      </c>
      <c r="F55" s="1" t="str">
        <f>VLOOKUP(D55,Table12[[Name]:[Native]],3,FALSE)</f>
        <v>拱墅区</v>
      </c>
      <c r="G55" s="14" t="str">
        <f ca="1">VLOOKUP(F55,Table12[[Native]:[Population4]],5,FALSE)</f>
        <v>杭州市</v>
      </c>
    </row>
    <row r="56" spans="1:7" ht="15.75" thickBot="1" x14ac:dyDescent="0.3">
      <c r="A56" t="s">
        <v>129</v>
      </c>
      <c r="B56" s="1" t="s">
        <v>130</v>
      </c>
      <c r="C56" s="1" t="s">
        <v>11</v>
      </c>
      <c r="D56" s="1" t="s">
        <v>12</v>
      </c>
      <c r="E56" s="4">
        <v>46086</v>
      </c>
      <c r="F56" s="1" t="str">
        <f>VLOOKUP(D56,Table12[[Name]:[Native]],3,FALSE)</f>
        <v>桐庐县</v>
      </c>
      <c r="G56" s="14" t="str">
        <f ca="1">VLOOKUP(F56,Table12[[Native]:[Population4]],5,FALSE)</f>
        <v>杭州市</v>
      </c>
    </row>
    <row r="57" spans="1:7" ht="15.75" thickBot="1" x14ac:dyDescent="0.3">
      <c r="A57" t="s">
        <v>131</v>
      </c>
      <c r="B57" s="1" t="s">
        <v>132</v>
      </c>
      <c r="C57" s="1" t="s">
        <v>7</v>
      </c>
      <c r="D57" s="1" t="s">
        <v>22</v>
      </c>
      <c r="E57" s="4">
        <v>7547</v>
      </c>
      <c r="F57" s="1" t="str">
        <f>VLOOKUP(D57,Table12[[Name]:[Native]],3,FALSE)</f>
        <v>临安区</v>
      </c>
      <c r="G57" s="14" t="str">
        <f ca="1">VLOOKUP(F57,Table12[[Native]:[Population4]],5,FALSE)</f>
        <v>杭州市</v>
      </c>
    </row>
    <row r="58" spans="1:7" ht="15.75" thickBot="1" x14ac:dyDescent="0.3">
      <c r="A58" t="s">
        <v>133</v>
      </c>
      <c r="B58" s="1" t="s">
        <v>134</v>
      </c>
      <c r="C58" s="1" t="s">
        <v>11</v>
      </c>
      <c r="D58" s="1" t="s">
        <v>22</v>
      </c>
      <c r="E58" s="4">
        <v>12049</v>
      </c>
      <c r="F58" s="1" t="str">
        <f>VLOOKUP(D58,Table12[[Name]:[Native]],3,FALSE)</f>
        <v>临安区</v>
      </c>
      <c r="G58" s="14" t="str">
        <f ca="1">VLOOKUP(F58,Table12[[Native]:[Population4]],5,FALSE)</f>
        <v>杭州市</v>
      </c>
    </row>
    <row r="59" spans="1:7" ht="15.75" thickBot="1" x14ac:dyDescent="0.3">
      <c r="A59" t="s">
        <v>135</v>
      </c>
      <c r="B59" s="1" t="s">
        <v>136</v>
      </c>
      <c r="C59" s="1" t="s">
        <v>11</v>
      </c>
      <c r="D59" s="1" t="s">
        <v>28</v>
      </c>
      <c r="E59" s="4">
        <v>29914</v>
      </c>
      <c r="F59" s="1" t="str">
        <f>VLOOKUP(D59,Table12[[Name]:[Native]],3,FALSE)</f>
        <v>萧山区</v>
      </c>
      <c r="G59" s="14" t="str">
        <f ca="1">VLOOKUP(F59,Table12[[Native]:[Population4]],5,FALSE)</f>
        <v>杭州市</v>
      </c>
    </row>
    <row r="60" spans="1:7" ht="15.75" thickBot="1" x14ac:dyDescent="0.3">
      <c r="A60" t="s">
        <v>137</v>
      </c>
      <c r="B60" s="1" t="s">
        <v>138</v>
      </c>
      <c r="C60" s="1" t="s">
        <v>15</v>
      </c>
      <c r="D60" s="1" t="s">
        <v>16</v>
      </c>
      <c r="E60" s="4">
        <v>48047</v>
      </c>
      <c r="F60" s="1" t="str">
        <f>VLOOKUP(D60,Table12[[Name]:[Native]],3,FALSE)</f>
        <v>钱塘区</v>
      </c>
      <c r="G60" s="14" t="str">
        <f ca="1">VLOOKUP(F60,Table12[[Native]:[Population4]],5,FALSE)</f>
        <v>杭州市</v>
      </c>
    </row>
    <row r="61" spans="1:7" ht="15.75" thickBot="1" x14ac:dyDescent="0.3">
      <c r="A61" t="s">
        <v>139</v>
      </c>
      <c r="B61" s="1" t="s">
        <v>140</v>
      </c>
      <c r="C61" s="1" t="s">
        <v>11</v>
      </c>
      <c r="D61" s="1" t="s">
        <v>19</v>
      </c>
      <c r="E61" s="4">
        <v>12112</v>
      </c>
      <c r="F61" s="1" t="str">
        <f>VLOOKUP(D61,Table12[[Name]:[Native]],3,FALSE)</f>
        <v>余杭区</v>
      </c>
      <c r="G61" s="14" t="str">
        <f ca="1">VLOOKUP(F61,Table12[[Native]:[Population4]],5,FALSE)</f>
        <v>杭州市</v>
      </c>
    </row>
    <row r="62" spans="1:7" ht="15.75" thickBot="1" x14ac:dyDescent="0.3">
      <c r="A62" t="s">
        <v>141</v>
      </c>
      <c r="B62" s="1" t="s">
        <v>142</v>
      </c>
      <c r="C62" s="1" t="s">
        <v>7</v>
      </c>
      <c r="D62" s="1" t="s">
        <v>39</v>
      </c>
      <c r="E62" s="4">
        <v>10814</v>
      </c>
      <c r="F62" s="1" t="str">
        <f>VLOOKUP(D62,Table12[[Name]:[Native]],3,FALSE)</f>
        <v>富阳区</v>
      </c>
      <c r="G62" s="14" t="str">
        <f ca="1">VLOOKUP(F62,Table12[[Native]:[Population4]],5,FALSE)</f>
        <v>杭州市</v>
      </c>
    </row>
    <row r="63" spans="1:7" ht="15.75" thickBot="1" x14ac:dyDescent="0.3">
      <c r="A63" t="s">
        <v>143</v>
      </c>
      <c r="B63" s="1" t="s">
        <v>144</v>
      </c>
      <c r="C63" s="1" t="s">
        <v>15</v>
      </c>
      <c r="D63" s="1" t="s">
        <v>34</v>
      </c>
      <c r="E63" s="4">
        <v>22939</v>
      </c>
      <c r="F63" s="1" t="str">
        <f>VLOOKUP(D63,Table12[[Name]:[Native]],3,FALSE)</f>
        <v>上城区</v>
      </c>
      <c r="G63" s="14" t="str">
        <f ca="1">VLOOKUP(F63,Table12[[Native]:[Population4]],5,FALSE)</f>
        <v>杭州市</v>
      </c>
    </row>
    <row r="64" spans="1:7" ht="15.75" thickBot="1" x14ac:dyDescent="0.3">
      <c r="A64" t="s">
        <v>145</v>
      </c>
      <c r="B64" s="1" t="s">
        <v>146</v>
      </c>
      <c r="C64" s="1" t="s">
        <v>15</v>
      </c>
      <c r="D64" s="1" t="s">
        <v>25</v>
      </c>
      <c r="E64" s="4">
        <v>35892</v>
      </c>
      <c r="F64" s="1" t="str">
        <f>VLOOKUP(D64,Table12[[Name]:[Native]],3,FALSE)</f>
        <v>拱墅区</v>
      </c>
      <c r="G64" s="14" t="str">
        <f ca="1">VLOOKUP(F64,Table12[[Native]:[Population4]],5,FALSE)</f>
        <v>杭州市</v>
      </c>
    </row>
    <row r="65" spans="1:7" ht="15.75" thickBot="1" x14ac:dyDescent="0.3">
      <c r="A65" t="s">
        <v>147</v>
      </c>
      <c r="B65" s="1" t="s">
        <v>148</v>
      </c>
      <c r="C65" s="1" t="s">
        <v>7</v>
      </c>
      <c r="D65" s="1" t="s">
        <v>39</v>
      </c>
      <c r="E65" s="4">
        <v>5784</v>
      </c>
      <c r="F65" s="1" t="str">
        <f>VLOOKUP(D65,Table12[[Name]:[Native]],3,FALSE)</f>
        <v>富阳区</v>
      </c>
      <c r="G65" s="14" t="str">
        <f ca="1">VLOOKUP(F65,Table12[[Native]:[Population4]],5,FALSE)</f>
        <v>杭州市</v>
      </c>
    </row>
    <row r="66" spans="1:7" ht="15.75" thickBot="1" x14ac:dyDescent="0.3">
      <c r="A66" t="s">
        <v>149</v>
      </c>
      <c r="B66" s="1" t="s">
        <v>150</v>
      </c>
      <c r="C66" s="1" t="s">
        <v>15</v>
      </c>
      <c r="D66" s="1" t="s">
        <v>31</v>
      </c>
      <c r="E66" s="4">
        <v>29272</v>
      </c>
      <c r="F66" s="1" t="str">
        <f>VLOOKUP(D66,Table12[[Name]:[Native]],3,FALSE)</f>
        <v>西湖区</v>
      </c>
      <c r="G66" s="14" t="str">
        <f ca="1">VLOOKUP(F66,Table12[[Native]:[Population4]],5,FALSE)</f>
        <v>杭州市</v>
      </c>
    </row>
    <row r="67" spans="1:7" ht="15.75" thickBot="1" x14ac:dyDescent="0.3">
      <c r="A67" t="s">
        <v>151</v>
      </c>
      <c r="B67" s="1" t="s">
        <v>152</v>
      </c>
      <c r="C67" s="1" t="s">
        <v>11</v>
      </c>
      <c r="D67" s="1" t="s">
        <v>8</v>
      </c>
      <c r="E67" s="4">
        <v>14809</v>
      </c>
      <c r="F67" s="1" t="str">
        <f>VLOOKUP(D67,Table12[[Name]:[Native]],3,FALSE)</f>
        <v>淳安县</v>
      </c>
      <c r="G67" s="14" t="str">
        <f ca="1">VLOOKUP(F67,Table12[[Native]:[Population4]],5,FALSE)</f>
        <v>杭州市</v>
      </c>
    </row>
    <row r="68" spans="1:7" ht="15.75" thickBot="1" x14ac:dyDescent="0.3">
      <c r="A68" t="s">
        <v>153</v>
      </c>
      <c r="B68" s="1" t="s">
        <v>154</v>
      </c>
      <c r="C68" s="1" t="s">
        <v>11</v>
      </c>
      <c r="D68" s="1" t="s">
        <v>12</v>
      </c>
      <c r="E68" s="4">
        <v>38245</v>
      </c>
      <c r="F68" s="1" t="str">
        <f>VLOOKUP(D68,Table12[[Name]:[Native]],3,FALSE)</f>
        <v>桐庐县</v>
      </c>
      <c r="G68" s="14" t="str">
        <f ca="1">VLOOKUP(F68,Table12[[Native]:[Population4]],5,FALSE)</f>
        <v>杭州市</v>
      </c>
    </row>
    <row r="69" spans="1:7" ht="15.75" thickBot="1" x14ac:dyDescent="0.3">
      <c r="A69" t="s">
        <v>155</v>
      </c>
      <c r="B69" s="1" t="s">
        <v>156</v>
      </c>
      <c r="C69" s="1" t="s">
        <v>15</v>
      </c>
      <c r="D69" s="1" t="s">
        <v>34</v>
      </c>
      <c r="E69" s="4">
        <v>91654</v>
      </c>
      <c r="F69" s="1" t="str">
        <f>VLOOKUP(D69,Table12[[Name]:[Native]],3,FALSE)</f>
        <v>上城区</v>
      </c>
      <c r="G69" s="14" t="str">
        <f ca="1">VLOOKUP(F69,Table12[[Native]:[Population4]],5,FALSE)</f>
        <v>杭州市</v>
      </c>
    </row>
    <row r="70" spans="1:7" ht="15.75" thickBot="1" x14ac:dyDescent="0.3">
      <c r="A70" t="s">
        <v>157</v>
      </c>
      <c r="B70" s="1" t="s">
        <v>158</v>
      </c>
      <c r="C70" s="1" t="s">
        <v>7</v>
      </c>
      <c r="D70" s="1" t="s">
        <v>8</v>
      </c>
      <c r="E70" s="4">
        <v>5154</v>
      </c>
      <c r="F70" s="1" t="str">
        <f>VLOOKUP(D70,Table12[[Name]:[Native]],3,FALSE)</f>
        <v>淳安县</v>
      </c>
      <c r="G70" s="14" t="str">
        <f ca="1">VLOOKUP(F70,Table12[[Native]:[Population4]],5,FALSE)</f>
        <v>杭州市</v>
      </c>
    </row>
    <row r="71" spans="1:7" ht="15.75" thickBot="1" x14ac:dyDescent="0.3">
      <c r="A71" t="s">
        <v>159</v>
      </c>
      <c r="B71" s="1" t="s">
        <v>160</v>
      </c>
      <c r="C71" s="1" t="s">
        <v>15</v>
      </c>
      <c r="D71" s="1" t="s">
        <v>22</v>
      </c>
      <c r="E71" s="4">
        <v>176909</v>
      </c>
      <c r="F71" s="1" t="str">
        <f>VLOOKUP(D71,Table12[[Name]:[Native]],3,FALSE)</f>
        <v>临安区</v>
      </c>
      <c r="G71" s="14" t="str">
        <f ca="1">VLOOKUP(F71,Table12[[Native]:[Population4]],5,FALSE)</f>
        <v>杭州市</v>
      </c>
    </row>
    <row r="72" spans="1:7" ht="15.75" thickBot="1" x14ac:dyDescent="0.3">
      <c r="A72" t="s">
        <v>161</v>
      </c>
      <c r="B72" s="1" t="s">
        <v>162</v>
      </c>
      <c r="C72" s="1" t="s">
        <v>7</v>
      </c>
      <c r="D72" s="1" t="s">
        <v>8</v>
      </c>
      <c r="E72" s="4">
        <v>2664</v>
      </c>
      <c r="F72" s="1" t="str">
        <f>VLOOKUP(D72,Table12[[Name]:[Native]],3,FALSE)</f>
        <v>淳安县</v>
      </c>
      <c r="G72" s="14" t="str">
        <f ca="1">VLOOKUP(F72,Table12[[Native]:[Population4]],5,FALSE)</f>
        <v>杭州市</v>
      </c>
    </row>
    <row r="73" spans="1:7" ht="15.75" thickBot="1" x14ac:dyDescent="0.3">
      <c r="A73" t="s">
        <v>163</v>
      </c>
      <c r="B73" s="1" t="s">
        <v>164</v>
      </c>
      <c r="C73" s="1" t="s">
        <v>15</v>
      </c>
      <c r="D73" s="1" t="s">
        <v>28</v>
      </c>
      <c r="E73" s="4">
        <v>41601</v>
      </c>
      <c r="F73" s="1" t="str">
        <f>VLOOKUP(D73,Table12[[Name]:[Native]],3,FALSE)</f>
        <v>萧山区</v>
      </c>
      <c r="G73" s="14" t="str">
        <f ca="1">VLOOKUP(F73,Table12[[Native]:[Population4]],5,FALSE)</f>
        <v>杭州市</v>
      </c>
    </row>
    <row r="74" spans="1:7" ht="15.75" thickBot="1" x14ac:dyDescent="0.3">
      <c r="A74" t="s">
        <v>165</v>
      </c>
      <c r="B74" s="1" t="s">
        <v>166</v>
      </c>
      <c r="C74" s="1" t="s">
        <v>11</v>
      </c>
      <c r="D74" s="1" t="s">
        <v>19</v>
      </c>
      <c r="E74" s="4">
        <v>33408</v>
      </c>
      <c r="F74" s="1" t="str">
        <f>VLOOKUP(D74,Table12[[Name]:[Native]],3,FALSE)</f>
        <v>余杭区</v>
      </c>
      <c r="G74" s="14" t="str">
        <f ca="1">VLOOKUP(F74,Table12[[Native]:[Population4]],5,FALSE)</f>
        <v>杭州市</v>
      </c>
    </row>
    <row r="75" spans="1:7" ht="15.75" thickBot="1" x14ac:dyDescent="0.3">
      <c r="A75" t="s">
        <v>167</v>
      </c>
      <c r="B75" s="1" t="s">
        <v>168</v>
      </c>
      <c r="C75" s="1" t="s">
        <v>11</v>
      </c>
      <c r="D75" s="1" t="s">
        <v>28</v>
      </c>
      <c r="E75" s="4">
        <v>46401</v>
      </c>
      <c r="F75" s="1" t="str">
        <f>VLOOKUP(D75,Table12[[Name]:[Native]],3,FALSE)</f>
        <v>萧山区</v>
      </c>
      <c r="G75" s="14" t="str">
        <f ca="1">VLOOKUP(F75,Table12[[Native]:[Population4]],5,FALSE)</f>
        <v>杭州市</v>
      </c>
    </row>
    <row r="76" spans="1:7" ht="15.75" thickBot="1" x14ac:dyDescent="0.3">
      <c r="A76" t="s">
        <v>169</v>
      </c>
      <c r="B76" s="1" t="s">
        <v>170</v>
      </c>
      <c r="C76" s="1" t="s">
        <v>15</v>
      </c>
      <c r="D76" s="1" t="s">
        <v>22</v>
      </c>
      <c r="E76" s="4">
        <v>17034</v>
      </c>
      <c r="F76" s="1" t="str">
        <f>VLOOKUP(D76,Table12[[Name]:[Native]],3,FALSE)</f>
        <v>临安区</v>
      </c>
      <c r="G76" s="14" t="str">
        <f ca="1">VLOOKUP(F76,Table12[[Native]:[Population4]],5,FALSE)</f>
        <v>杭州市</v>
      </c>
    </row>
    <row r="77" spans="1:7" ht="15.75" thickBot="1" x14ac:dyDescent="0.3">
      <c r="A77" t="s">
        <v>171</v>
      </c>
      <c r="B77" s="1" t="s">
        <v>172</v>
      </c>
      <c r="C77" s="1" t="s">
        <v>15</v>
      </c>
      <c r="D77" s="1" t="s">
        <v>34</v>
      </c>
      <c r="E77" s="4">
        <v>107616</v>
      </c>
      <c r="F77" s="1" t="str">
        <f>VLOOKUP(D77,Table12[[Name]:[Native]],3,FALSE)</f>
        <v>上城区</v>
      </c>
      <c r="G77" s="14" t="str">
        <f ca="1">VLOOKUP(F77,Table12[[Native]:[Population4]],5,FALSE)</f>
        <v>杭州市</v>
      </c>
    </row>
    <row r="78" spans="1:7" ht="15.75" thickBot="1" x14ac:dyDescent="0.3">
      <c r="A78" t="s">
        <v>173</v>
      </c>
      <c r="B78" s="1" t="s">
        <v>174</v>
      </c>
      <c r="C78" s="1" t="s">
        <v>7</v>
      </c>
      <c r="D78" s="1" t="s">
        <v>8</v>
      </c>
      <c r="E78" s="4">
        <v>4796</v>
      </c>
      <c r="F78" s="1" t="str">
        <f>VLOOKUP(D78,Table12[[Name]:[Native]],3,FALSE)</f>
        <v>淳安县</v>
      </c>
      <c r="G78" s="14" t="str">
        <f ca="1">VLOOKUP(F78,Table12[[Native]:[Population4]],5,FALSE)</f>
        <v>杭州市</v>
      </c>
    </row>
    <row r="79" spans="1:7" ht="15.75" thickBot="1" x14ac:dyDescent="0.3">
      <c r="A79" t="s">
        <v>175</v>
      </c>
      <c r="B79" s="1" t="s">
        <v>176</v>
      </c>
      <c r="C79" s="1" t="s">
        <v>15</v>
      </c>
      <c r="D79" s="1" t="s">
        <v>12</v>
      </c>
      <c r="E79" s="4">
        <v>8568</v>
      </c>
      <c r="F79" s="1" t="str">
        <f>VLOOKUP(D79,Table12[[Name]:[Native]],3,FALSE)</f>
        <v>桐庐县</v>
      </c>
      <c r="G79" s="14" t="str">
        <f ca="1">VLOOKUP(F79,Table12[[Native]:[Population4]],5,FALSE)</f>
        <v>杭州市</v>
      </c>
    </row>
    <row r="80" spans="1:7" ht="15.75" thickBot="1" x14ac:dyDescent="0.3">
      <c r="A80" t="s">
        <v>177</v>
      </c>
      <c r="B80" s="1" t="s">
        <v>178</v>
      </c>
      <c r="C80" s="1" t="s">
        <v>15</v>
      </c>
      <c r="D80" s="1" t="s">
        <v>34</v>
      </c>
      <c r="E80" s="4">
        <v>68612</v>
      </c>
      <c r="F80" s="1" t="str">
        <f>VLOOKUP(D80,Table12[[Name]:[Native]],3,FALSE)</f>
        <v>上城区</v>
      </c>
      <c r="G80" s="14" t="str">
        <f ca="1">VLOOKUP(F80,Table12[[Native]:[Population4]],5,FALSE)</f>
        <v>杭州市</v>
      </c>
    </row>
    <row r="81" spans="1:7" ht="15.75" thickBot="1" x14ac:dyDescent="0.3">
      <c r="A81" t="s">
        <v>179</v>
      </c>
      <c r="B81" s="1" t="s">
        <v>180</v>
      </c>
      <c r="C81" s="1" t="s">
        <v>15</v>
      </c>
      <c r="D81" s="1" t="s">
        <v>25</v>
      </c>
      <c r="E81" s="4">
        <v>42100</v>
      </c>
      <c r="F81" s="1" t="str">
        <f>VLOOKUP(D81,Table12[[Name]:[Native]],3,FALSE)</f>
        <v>拱墅区</v>
      </c>
      <c r="G81" s="14" t="str">
        <f ca="1">VLOOKUP(F81,Table12[[Native]:[Population4]],5,FALSE)</f>
        <v>杭州市</v>
      </c>
    </row>
    <row r="82" spans="1:7" ht="15.75" thickBot="1" x14ac:dyDescent="0.3">
      <c r="A82" t="s">
        <v>181</v>
      </c>
      <c r="B82" s="1" t="s">
        <v>182</v>
      </c>
      <c r="C82" s="1" t="s">
        <v>7</v>
      </c>
      <c r="D82" s="1" t="s">
        <v>8</v>
      </c>
      <c r="E82" s="4">
        <v>10941</v>
      </c>
      <c r="F82" s="1" t="str">
        <f>VLOOKUP(D82,Table12[[Name]:[Native]],3,FALSE)</f>
        <v>淳安县</v>
      </c>
      <c r="G82" s="14" t="str">
        <f ca="1">VLOOKUP(F82,Table12[[Native]:[Population4]],5,FALSE)</f>
        <v>杭州市</v>
      </c>
    </row>
    <row r="83" spans="1:7" ht="15.75" thickBot="1" x14ac:dyDescent="0.3">
      <c r="A83" t="s">
        <v>183</v>
      </c>
      <c r="B83" s="1" t="s">
        <v>184</v>
      </c>
      <c r="C83" s="1" t="s">
        <v>15</v>
      </c>
      <c r="D83" s="1" t="s">
        <v>19</v>
      </c>
      <c r="E83" s="4">
        <v>148946</v>
      </c>
      <c r="F83" s="1" t="str">
        <f>VLOOKUP(D83,Table12[[Name]:[Native]],3,FALSE)</f>
        <v>余杭区</v>
      </c>
      <c r="G83" s="14" t="str">
        <f ca="1">VLOOKUP(F83,Table12[[Native]:[Population4]],5,FALSE)</f>
        <v>杭州市</v>
      </c>
    </row>
    <row r="84" spans="1:7" ht="15.75" thickBot="1" x14ac:dyDescent="0.3">
      <c r="A84" t="s">
        <v>185</v>
      </c>
      <c r="B84" s="1" t="s">
        <v>186</v>
      </c>
      <c r="C84" s="1" t="s">
        <v>11</v>
      </c>
      <c r="D84" s="1" t="s">
        <v>68</v>
      </c>
      <c r="E84" s="4">
        <v>7988</v>
      </c>
      <c r="F84" s="1" t="str">
        <f>VLOOKUP(D84,Table12[[Name]:[Native]],3,FALSE)</f>
        <v>建德市</v>
      </c>
      <c r="G84" s="14" t="str">
        <f ca="1">VLOOKUP(F84,Table12[[Native]:[Population4]],5,FALSE)</f>
        <v>杭州市</v>
      </c>
    </row>
    <row r="85" spans="1:7" ht="15.75" thickBot="1" x14ac:dyDescent="0.3">
      <c r="A85" t="s">
        <v>187</v>
      </c>
      <c r="B85" s="1" t="s">
        <v>188</v>
      </c>
      <c r="C85" s="1" t="s">
        <v>11</v>
      </c>
      <c r="D85" s="1" t="s">
        <v>68</v>
      </c>
      <c r="E85" s="4">
        <v>13953</v>
      </c>
      <c r="F85" s="1" t="str">
        <f>VLOOKUP(D85,Table12[[Name]:[Native]],3,FALSE)</f>
        <v>建德市</v>
      </c>
      <c r="G85" s="14" t="str">
        <f ca="1">VLOOKUP(F85,Table12[[Native]:[Population4]],5,FALSE)</f>
        <v>杭州市</v>
      </c>
    </row>
    <row r="86" spans="1:7" ht="15.75" thickBot="1" x14ac:dyDescent="0.3">
      <c r="A86" t="s">
        <v>189</v>
      </c>
      <c r="B86" s="1" t="s">
        <v>190</v>
      </c>
      <c r="C86" s="1" t="s">
        <v>15</v>
      </c>
      <c r="D86" s="1" t="s">
        <v>22</v>
      </c>
      <c r="E86" s="4">
        <v>33251</v>
      </c>
      <c r="F86" s="1" t="str">
        <f>VLOOKUP(D86,Table12[[Name]:[Native]],3,FALSE)</f>
        <v>临安区</v>
      </c>
      <c r="G86" s="14" t="str">
        <f ca="1">VLOOKUP(F86,Table12[[Native]:[Population4]],5,FALSE)</f>
        <v>杭州市</v>
      </c>
    </row>
    <row r="87" spans="1:7" ht="15.75" thickBot="1" x14ac:dyDescent="0.3">
      <c r="A87" t="s">
        <v>191</v>
      </c>
      <c r="B87" s="1" t="s">
        <v>192</v>
      </c>
      <c r="C87" s="1" t="s">
        <v>11</v>
      </c>
      <c r="D87" s="1" t="s">
        <v>39</v>
      </c>
      <c r="E87" s="4">
        <v>28181</v>
      </c>
      <c r="F87" s="1" t="str">
        <f>VLOOKUP(D87,Table12[[Name]:[Native]],3,FALSE)</f>
        <v>富阳区</v>
      </c>
      <c r="G87" s="14" t="str">
        <f ca="1">VLOOKUP(F87,Table12[[Native]:[Population4]],5,FALSE)</f>
        <v>杭州市</v>
      </c>
    </row>
    <row r="88" spans="1:7" ht="15.75" thickBot="1" x14ac:dyDescent="0.3">
      <c r="A88" t="s">
        <v>193</v>
      </c>
      <c r="B88" s="1" t="s">
        <v>194</v>
      </c>
      <c r="C88" s="1" t="s">
        <v>15</v>
      </c>
      <c r="D88" s="1" t="s">
        <v>31</v>
      </c>
      <c r="E88" s="4">
        <v>46070</v>
      </c>
      <c r="F88" s="1" t="str">
        <f>VLOOKUP(D88,Table12[[Name]:[Native]],3,FALSE)</f>
        <v>西湖区</v>
      </c>
      <c r="G88" s="14" t="str">
        <f ca="1">VLOOKUP(F88,Table12[[Native]:[Population4]],5,FALSE)</f>
        <v>杭州市</v>
      </c>
    </row>
    <row r="89" spans="1:7" ht="15.75" thickBot="1" x14ac:dyDescent="0.3">
      <c r="A89" t="s">
        <v>195</v>
      </c>
      <c r="B89" s="1" t="s">
        <v>196</v>
      </c>
      <c r="C89" s="1" t="s">
        <v>15</v>
      </c>
      <c r="D89" s="1" t="s">
        <v>16</v>
      </c>
      <c r="E89" s="4">
        <v>11259</v>
      </c>
      <c r="F89" s="1" t="str">
        <f>VLOOKUP(D89,Table12[[Name]:[Native]],3,FALSE)</f>
        <v>钱塘区</v>
      </c>
      <c r="G89" s="14" t="str">
        <f ca="1">VLOOKUP(F89,Table12[[Native]:[Population4]],5,FALSE)</f>
        <v>杭州市</v>
      </c>
    </row>
    <row r="90" spans="1:7" ht="15.75" thickBot="1" x14ac:dyDescent="0.3">
      <c r="A90" t="s">
        <v>197</v>
      </c>
      <c r="B90" s="1" t="s">
        <v>198</v>
      </c>
      <c r="C90" s="1" t="s">
        <v>15</v>
      </c>
      <c r="D90" s="1" t="s">
        <v>59</v>
      </c>
      <c r="E90" s="4">
        <v>33352</v>
      </c>
      <c r="F90" s="1" t="str">
        <f>VLOOKUP(D90,Table12[[Name]:[Native]],3,FALSE)</f>
        <v>临平区</v>
      </c>
      <c r="G90" s="14" t="str">
        <f ca="1">VLOOKUP(F90,Table12[[Native]:[Population4]],5,FALSE)</f>
        <v>杭州市</v>
      </c>
    </row>
    <row r="91" spans="1:7" ht="15.75" thickBot="1" x14ac:dyDescent="0.3">
      <c r="A91" t="s">
        <v>199</v>
      </c>
      <c r="B91" s="1" t="s">
        <v>200</v>
      </c>
      <c r="C91" s="1" t="s">
        <v>11</v>
      </c>
      <c r="D91" s="1" t="s">
        <v>28</v>
      </c>
      <c r="E91" s="4">
        <v>60355</v>
      </c>
      <c r="F91" s="1" t="str">
        <f>VLOOKUP(D91,Table12[[Name]:[Native]],3,FALSE)</f>
        <v>萧山区</v>
      </c>
      <c r="G91" s="14" t="str">
        <f ca="1">VLOOKUP(F91,Table12[[Native]:[Population4]],5,FALSE)</f>
        <v>杭州市</v>
      </c>
    </row>
    <row r="92" spans="1:7" ht="15.75" thickBot="1" x14ac:dyDescent="0.3">
      <c r="A92" t="s">
        <v>201</v>
      </c>
      <c r="B92" s="1" t="s">
        <v>202</v>
      </c>
      <c r="C92" s="1" t="s">
        <v>11</v>
      </c>
      <c r="D92" s="1" t="s">
        <v>8</v>
      </c>
      <c r="E92" s="4">
        <v>13698</v>
      </c>
      <c r="F92" s="1" t="str">
        <f>VLOOKUP(D92,Table12[[Name]:[Native]],3,FALSE)</f>
        <v>淳安县</v>
      </c>
      <c r="G92" s="14" t="str">
        <f ca="1">VLOOKUP(F92,Table12[[Native]:[Population4]],5,FALSE)</f>
        <v>杭州市</v>
      </c>
    </row>
    <row r="93" spans="1:7" ht="15.75" thickBot="1" x14ac:dyDescent="0.3">
      <c r="A93" t="s">
        <v>203</v>
      </c>
      <c r="B93" s="1" t="s">
        <v>204</v>
      </c>
      <c r="C93" s="1" t="s">
        <v>7</v>
      </c>
      <c r="D93" s="1" t="s">
        <v>8</v>
      </c>
      <c r="E93" s="4">
        <v>6934</v>
      </c>
      <c r="F93" s="1" t="str">
        <f>VLOOKUP(D93,Table12[[Name]:[Native]],3,FALSE)</f>
        <v>淳安县</v>
      </c>
      <c r="G93" s="14" t="str">
        <f ca="1">VLOOKUP(F93,Table12[[Native]:[Population4]],5,FALSE)</f>
        <v>杭州市</v>
      </c>
    </row>
    <row r="94" spans="1:7" ht="15.75" thickBot="1" x14ac:dyDescent="0.3">
      <c r="A94" t="s">
        <v>205</v>
      </c>
      <c r="B94" s="1" t="s">
        <v>206</v>
      </c>
      <c r="C94" s="1" t="s">
        <v>11</v>
      </c>
      <c r="D94" s="1" t="s">
        <v>39</v>
      </c>
      <c r="E94" s="4">
        <v>8062</v>
      </c>
      <c r="F94" s="1" t="str">
        <f>VLOOKUP(D94,Table12[[Name]:[Native]],3,FALSE)</f>
        <v>富阳区</v>
      </c>
      <c r="G94" s="14" t="str">
        <f ca="1">VLOOKUP(F94,Table12[[Native]:[Population4]],5,FALSE)</f>
        <v>杭州市</v>
      </c>
    </row>
    <row r="95" spans="1:7" ht="15.75" thickBot="1" x14ac:dyDescent="0.3">
      <c r="A95" t="s">
        <v>207</v>
      </c>
      <c r="B95" s="1" t="s">
        <v>208</v>
      </c>
      <c r="C95" s="1" t="s">
        <v>15</v>
      </c>
      <c r="D95" s="1" t="s">
        <v>31</v>
      </c>
      <c r="E95" s="4">
        <v>95779</v>
      </c>
      <c r="F95" s="1" t="str">
        <f>VLOOKUP(D95,Table12[[Name]:[Native]],3,FALSE)</f>
        <v>西湖区</v>
      </c>
      <c r="G95" s="14" t="str">
        <f ca="1">VLOOKUP(F95,Table12[[Native]:[Population4]],5,FALSE)</f>
        <v>杭州市</v>
      </c>
    </row>
    <row r="96" spans="1:7" ht="15.75" thickBot="1" x14ac:dyDescent="0.3">
      <c r="A96" t="s">
        <v>209</v>
      </c>
      <c r="B96" s="1" t="s">
        <v>210</v>
      </c>
      <c r="C96" s="1" t="s">
        <v>11</v>
      </c>
      <c r="D96" s="1" t="s">
        <v>22</v>
      </c>
      <c r="E96" s="4">
        <v>9077</v>
      </c>
      <c r="F96" s="1" t="str">
        <f>VLOOKUP(D96,Table12[[Name]:[Native]],3,FALSE)</f>
        <v>临安区</v>
      </c>
      <c r="G96" s="14" t="str">
        <f ca="1">VLOOKUP(F96,Table12[[Native]:[Population4]],5,FALSE)</f>
        <v>杭州市</v>
      </c>
    </row>
    <row r="97" spans="1:7" ht="15.75" thickBot="1" x14ac:dyDescent="0.3">
      <c r="A97" t="s">
        <v>211</v>
      </c>
      <c r="B97" s="1" t="s">
        <v>212</v>
      </c>
      <c r="C97" s="1" t="s">
        <v>11</v>
      </c>
      <c r="D97" s="1" t="s">
        <v>39</v>
      </c>
      <c r="E97" s="4">
        <v>4664</v>
      </c>
      <c r="F97" s="1" t="str">
        <f>VLOOKUP(D97,Table12[[Name]:[Native]],3,FALSE)</f>
        <v>富阳区</v>
      </c>
      <c r="G97" s="14" t="str">
        <f ca="1">VLOOKUP(F97,Table12[[Native]:[Population4]],5,FALSE)</f>
        <v>杭州市</v>
      </c>
    </row>
    <row r="98" spans="1:7" ht="15.75" thickBot="1" x14ac:dyDescent="0.3">
      <c r="A98" t="s">
        <v>213</v>
      </c>
      <c r="B98" s="1" t="s">
        <v>214</v>
      </c>
      <c r="C98" s="1" t="s">
        <v>11</v>
      </c>
      <c r="D98" s="1" t="s">
        <v>28</v>
      </c>
      <c r="E98" s="4">
        <v>23614</v>
      </c>
      <c r="F98" s="1" t="str">
        <f>VLOOKUP(D98,Table12[[Name]:[Native]],3,FALSE)</f>
        <v>萧山区</v>
      </c>
      <c r="G98" s="14" t="str">
        <f ca="1">VLOOKUP(F98,Table12[[Native]:[Population4]],5,FALSE)</f>
        <v>杭州市</v>
      </c>
    </row>
    <row r="99" spans="1:7" ht="15.75" thickBot="1" x14ac:dyDescent="0.3">
      <c r="A99" t="s">
        <v>215</v>
      </c>
      <c r="B99" s="1" t="s">
        <v>216</v>
      </c>
      <c r="C99" s="1" t="s">
        <v>11</v>
      </c>
      <c r="D99" s="1" t="s">
        <v>19</v>
      </c>
      <c r="E99" s="4">
        <v>10445</v>
      </c>
      <c r="F99" s="1" t="str">
        <f>VLOOKUP(D99,Table12[[Name]:[Native]],3,FALSE)</f>
        <v>余杭区</v>
      </c>
      <c r="G99" s="14" t="str">
        <f ca="1">VLOOKUP(F99,Table12[[Native]:[Population4]],5,FALSE)</f>
        <v>杭州市</v>
      </c>
    </row>
    <row r="100" spans="1:7" ht="15.75" thickBot="1" x14ac:dyDescent="0.3">
      <c r="A100" t="s">
        <v>217</v>
      </c>
      <c r="B100" s="1" t="s">
        <v>218</v>
      </c>
      <c r="C100" s="1" t="s">
        <v>15</v>
      </c>
      <c r="D100" s="1" t="s">
        <v>39</v>
      </c>
      <c r="E100" s="4">
        <v>25263</v>
      </c>
      <c r="F100" s="1" t="str">
        <f>VLOOKUP(D100,Table12[[Name]:[Native]],3,FALSE)</f>
        <v>富阳区</v>
      </c>
      <c r="G100" s="14" t="str">
        <f ca="1">VLOOKUP(F100,Table12[[Native]:[Population4]],5,FALSE)</f>
        <v>杭州市</v>
      </c>
    </row>
    <row r="101" spans="1:7" ht="15.75" thickBot="1" x14ac:dyDescent="0.3">
      <c r="A101" t="s">
        <v>219</v>
      </c>
      <c r="B101" s="1" t="s">
        <v>220</v>
      </c>
      <c r="C101" s="1" t="s">
        <v>11</v>
      </c>
      <c r="D101" s="1" t="s">
        <v>39</v>
      </c>
      <c r="E101" s="4">
        <v>12453</v>
      </c>
      <c r="F101" s="1" t="str">
        <f>VLOOKUP(D101,Table12[[Name]:[Native]],3,FALSE)</f>
        <v>富阳区</v>
      </c>
      <c r="G101" s="14" t="str">
        <f ca="1">VLOOKUP(F101,Table12[[Native]:[Population4]],5,FALSE)</f>
        <v>杭州市</v>
      </c>
    </row>
    <row r="102" spans="1:7" ht="15.75" thickBot="1" x14ac:dyDescent="0.3">
      <c r="A102" t="s">
        <v>221</v>
      </c>
      <c r="B102" s="1" t="s">
        <v>222</v>
      </c>
      <c r="C102" s="1" t="s">
        <v>7</v>
      </c>
      <c r="D102" s="1" t="s">
        <v>22</v>
      </c>
      <c r="E102" s="4">
        <v>7909</v>
      </c>
      <c r="F102" s="1" t="str">
        <f>VLOOKUP(D102,Table12[[Name]:[Native]],3,FALSE)</f>
        <v>临安区</v>
      </c>
      <c r="G102" s="14" t="str">
        <f ca="1">VLOOKUP(F102,Table12[[Native]:[Population4]],5,FALSE)</f>
        <v>杭州市</v>
      </c>
    </row>
    <row r="103" spans="1:7" ht="15.75" thickBot="1" x14ac:dyDescent="0.3">
      <c r="A103" t="s">
        <v>223</v>
      </c>
      <c r="B103" s="1" t="s">
        <v>224</v>
      </c>
      <c r="C103" s="1" t="s">
        <v>11</v>
      </c>
      <c r="D103" s="1" t="s">
        <v>68</v>
      </c>
      <c r="E103" s="4">
        <v>40356</v>
      </c>
      <c r="F103" s="1" t="str">
        <f>VLOOKUP(D103,Table12[[Name]:[Native]],3,FALSE)</f>
        <v>建德市</v>
      </c>
      <c r="G103" s="14" t="str">
        <f ca="1">VLOOKUP(F103,Table12[[Native]:[Population4]],5,FALSE)</f>
        <v>杭州市</v>
      </c>
    </row>
    <row r="104" spans="1:7" ht="15.75" thickBot="1" x14ac:dyDescent="0.3">
      <c r="A104" t="s">
        <v>225</v>
      </c>
      <c r="B104" s="1" t="s">
        <v>226</v>
      </c>
      <c r="C104" s="1" t="s">
        <v>15</v>
      </c>
      <c r="D104" s="1" t="s">
        <v>25</v>
      </c>
      <c r="E104" s="4">
        <v>43540</v>
      </c>
      <c r="F104" s="1" t="str">
        <f>VLOOKUP(D104,Table12[[Name]:[Native]],3,FALSE)</f>
        <v>拱墅区</v>
      </c>
      <c r="G104" s="14" t="str">
        <f ca="1">VLOOKUP(F104,Table12[[Native]:[Population4]],5,FALSE)</f>
        <v>杭州市</v>
      </c>
    </row>
    <row r="105" spans="1:7" ht="15.75" thickBot="1" x14ac:dyDescent="0.3">
      <c r="A105" t="s">
        <v>227</v>
      </c>
      <c r="B105" s="1" t="s">
        <v>228</v>
      </c>
      <c r="C105" s="1" t="s">
        <v>15</v>
      </c>
      <c r="D105" s="1" t="s">
        <v>34</v>
      </c>
      <c r="E105" s="4">
        <v>47967</v>
      </c>
      <c r="F105" s="1" t="str">
        <f>VLOOKUP(D105,Table12[[Name]:[Native]],3,FALSE)</f>
        <v>上城区</v>
      </c>
      <c r="G105" s="14" t="str">
        <f ca="1">VLOOKUP(F105,Table12[[Native]:[Population4]],5,FALSE)</f>
        <v>杭州市</v>
      </c>
    </row>
    <row r="106" spans="1:7" ht="15.75" thickBot="1" x14ac:dyDescent="0.3">
      <c r="A106" t="s">
        <v>229</v>
      </c>
      <c r="B106" s="1" t="s">
        <v>230</v>
      </c>
      <c r="C106" s="1" t="s">
        <v>15</v>
      </c>
      <c r="D106" s="1" t="s">
        <v>28</v>
      </c>
      <c r="E106" s="4">
        <v>52464</v>
      </c>
      <c r="F106" s="1" t="str">
        <f>VLOOKUP(D106,Table12[[Name]:[Native]],3,FALSE)</f>
        <v>萧山区</v>
      </c>
      <c r="G106" s="14" t="str">
        <f ca="1">VLOOKUP(F106,Table12[[Native]:[Population4]],5,FALSE)</f>
        <v>杭州市</v>
      </c>
    </row>
    <row r="107" spans="1:7" ht="15.75" thickBot="1" x14ac:dyDescent="0.3">
      <c r="A107" t="s">
        <v>231</v>
      </c>
      <c r="B107" s="1" t="s">
        <v>232</v>
      </c>
      <c r="C107" s="1" t="s">
        <v>15</v>
      </c>
      <c r="D107" s="1" t="s">
        <v>59</v>
      </c>
      <c r="E107" s="4">
        <v>82255</v>
      </c>
      <c r="F107" s="1" t="str">
        <f>VLOOKUP(D107,Table12[[Name]:[Native]],3,FALSE)</f>
        <v>临平区</v>
      </c>
      <c r="G107" s="14" t="str">
        <f ca="1">VLOOKUP(F107,Table12[[Native]:[Population4]],5,FALSE)</f>
        <v>杭州市</v>
      </c>
    </row>
    <row r="108" spans="1:7" ht="15.75" thickBot="1" x14ac:dyDescent="0.3">
      <c r="A108" t="s">
        <v>233</v>
      </c>
      <c r="B108" s="1" t="s">
        <v>234</v>
      </c>
      <c r="C108" s="1" t="s">
        <v>15</v>
      </c>
      <c r="D108" s="1" t="s">
        <v>28</v>
      </c>
      <c r="E108" s="4">
        <v>58650</v>
      </c>
      <c r="F108" s="1" t="str">
        <f>VLOOKUP(D108,Table12[[Name]:[Native]],3,FALSE)</f>
        <v>萧山区</v>
      </c>
      <c r="G108" s="14" t="str">
        <f ca="1">VLOOKUP(F108,Table12[[Native]:[Population4]],5,FALSE)</f>
        <v>杭州市</v>
      </c>
    </row>
    <row r="109" spans="1:7" ht="15.75" thickBot="1" x14ac:dyDescent="0.3">
      <c r="A109" t="s">
        <v>235</v>
      </c>
      <c r="B109" s="1" t="s">
        <v>236</v>
      </c>
      <c r="C109" s="1" t="s">
        <v>15</v>
      </c>
      <c r="D109" s="1" t="s">
        <v>34</v>
      </c>
      <c r="E109" s="4">
        <v>150972</v>
      </c>
      <c r="F109" s="1" t="str">
        <f>VLOOKUP(D109,Table12[[Name]:[Native]],3,FALSE)</f>
        <v>上城区</v>
      </c>
      <c r="G109" s="14" t="str">
        <f ca="1">VLOOKUP(F109,Table12[[Native]:[Population4]],5,FALSE)</f>
        <v>杭州市</v>
      </c>
    </row>
    <row r="110" spans="1:7" ht="15.75" thickBot="1" x14ac:dyDescent="0.3">
      <c r="A110" t="s">
        <v>237</v>
      </c>
      <c r="B110" s="1" t="s">
        <v>238</v>
      </c>
      <c r="C110" s="1" t="s">
        <v>7</v>
      </c>
      <c r="D110" s="1" t="s">
        <v>8</v>
      </c>
      <c r="E110" s="4">
        <v>8793</v>
      </c>
      <c r="F110" s="1" t="str">
        <f>VLOOKUP(D110,Table12[[Name]:[Native]],3,FALSE)</f>
        <v>淳安县</v>
      </c>
      <c r="G110" s="14" t="str">
        <f ca="1">VLOOKUP(F110,Table12[[Native]:[Population4]],5,FALSE)</f>
        <v>杭州市</v>
      </c>
    </row>
    <row r="111" spans="1:7" ht="15.75" thickBot="1" x14ac:dyDescent="0.3">
      <c r="A111" t="s">
        <v>239</v>
      </c>
      <c r="B111" s="1" t="s">
        <v>240</v>
      </c>
      <c r="C111" s="1" t="s">
        <v>11</v>
      </c>
      <c r="D111" s="1" t="s">
        <v>19</v>
      </c>
      <c r="E111" s="4">
        <v>58496</v>
      </c>
      <c r="F111" s="1" t="str">
        <f>VLOOKUP(D111,Table12[[Name]:[Native]],3,FALSE)</f>
        <v>余杭区</v>
      </c>
      <c r="G111" s="14" t="str">
        <f ca="1">VLOOKUP(F111,Table12[[Native]:[Population4]],5,FALSE)</f>
        <v>杭州市</v>
      </c>
    </row>
    <row r="112" spans="1:7" ht="15.75" thickBot="1" x14ac:dyDescent="0.3">
      <c r="A112" t="s">
        <v>241</v>
      </c>
      <c r="B112" s="1" t="s">
        <v>242</v>
      </c>
      <c r="C112" s="1" t="s">
        <v>11</v>
      </c>
      <c r="D112" s="1" t="s">
        <v>28</v>
      </c>
      <c r="E112" s="4">
        <v>37696</v>
      </c>
      <c r="F112" s="1" t="str">
        <f>VLOOKUP(D112,Table12[[Name]:[Native]],3,FALSE)</f>
        <v>萧山区</v>
      </c>
      <c r="G112" s="14" t="str">
        <f ca="1">VLOOKUP(F112,Table12[[Native]:[Population4]],5,FALSE)</f>
        <v>杭州市</v>
      </c>
    </row>
    <row r="113" spans="1:7" ht="15.75" thickBot="1" x14ac:dyDescent="0.3">
      <c r="A113" t="s">
        <v>243</v>
      </c>
      <c r="B113" s="1" t="s">
        <v>244</v>
      </c>
      <c r="C113" s="1" t="s">
        <v>15</v>
      </c>
      <c r="D113" s="1" t="s">
        <v>42</v>
      </c>
      <c r="E113" s="4">
        <v>151833</v>
      </c>
      <c r="F113" s="1" t="str">
        <f>VLOOKUP(D113,Table12[[Name]:[Native]],3,FALSE)</f>
        <v>滨江区</v>
      </c>
      <c r="G113" s="14" t="str">
        <f ca="1">VLOOKUP(F113,Table12[[Native]:[Population4]],5,FALSE)</f>
        <v>杭州市</v>
      </c>
    </row>
    <row r="114" spans="1:7" ht="15.75" thickBot="1" x14ac:dyDescent="0.3">
      <c r="A114" t="s">
        <v>245</v>
      </c>
      <c r="B114" s="1" t="s">
        <v>246</v>
      </c>
      <c r="C114" s="1" t="s">
        <v>11</v>
      </c>
      <c r="D114" s="1" t="s">
        <v>22</v>
      </c>
      <c r="E114" s="4">
        <v>16965</v>
      </c>
      <c r="F114" s="1" t="str">
        <f>VLOOKUP(D114,Table12[[Name]:[Native]],3,FALSE)</f>
        <v>临安区</v>
      </c>
      <c r="G114" s="14" t="str">
        <f ca="1">VLOOKUP(F114,Table12[[Native]:[Population4]],5,FALSE)</f>
        <v>杭州市</v>
      </c>
    </row>
    <row r="115" spans="1:7" ht="15.75" thickBot="1" x14ac:dyDescent="0.3">
      <c r="A115" t="s">
        <v>247</v>
      </c>
      <c r="B115" s="1" t="s">
        <v>248</v>
      </c>
      <c r="C115" s="1" t="s">
        <v>11</v>
      </c>
      <c r="D115" s="1" t="s">
        <v>8</v>
      </c>
      <c r="E115" s="4">
        <v>103396</v>
      </c>
      <c r="F115" s="1" t="str">
        <f>VLOOKUP(D115,Table12[[Name]:[Native]],3,FALSE)</f>
        <v>淳安县</v>
      </c>
      <c r="G115" s="14" t="str">
        <f ca="1">VLOOKUP(F115,Table12[[Native]:[Population4]],5,FALSE)</f>
        <v>杭州市</v>
      </c>
    </row>
    <row r="116" spans="1:7" ht="15.75" thickBot="1" x14ac:dyDescent="0.3">
      <c r="A116" t="s">
        <v>249</v>
      </c>
      <c r="B116" s="1" t="s">
        <v>250</v>
      </c>
      <c r="C116" s="1" t="s">
        <v>7</v>
      </c>
      <c r="D116" s="1" t="s">
        <v>22</v>
      </c>
      <c r="E116" s="4">
        <v>4489</v>
      </c>
      <c r="F116" s="1" t="str">
        <f>VLOOKUP(D116,Table12[[Name]:[Native]],3,FALSE)</f>
        <v>临安区</v>
      </c>
      <c r="G116" s="14" t="str">
        <f ca="1">VLOOKUP(F116,Table12[[Native]:[Population4]],5,FALSE)</f>
        <v>杭州市</v>
      </c>
    </row>
    <row r="117" spans="1:7" ht="15.75" thickBot="1" x14ac:dyDescent="0.3">
      <c r="A117" s="1" t="s">
        <v>251</v>
      </c>
      <c r="B117" s="1" t="s">
        <v>252</v>
      </c>
      <c r="C117" s="1" t="s">
        <v>253</v>
      </c>
      <c r="D117" s="1" t="s">
        <v>59</v>
      </c>
      <c r="E117" s="4">
        <v>19061</v>
      </c>
      <c r="F117" s="1" t="str">
        <f>VLOOKUP(D117,Table12[[Name]:[Native]],3,FALSE)</f>
        <v>临平区</v>
      </c>
      <c r="G117" s="14" t="str">
        <f ca="1">VLOOKUP(F117,Table12[[Native]:[Population4]],5,FALSE)</f>
        <v>杭州市</v>
      </c>
    </row>
    <row r="118" spans="1:7" ht="15.75" thickBot="1" x14ac:dyDescent="0.3">
      <c r="A118" t="s">
        <v>254</v>
      </c>
      <c r="B118" s="1" t="s">
        <v>255</v>
      </c>
      <c r="C118" s="1" t="s">
        <v>15</v>
      </c>
      <c r="D118" s="1" t="s">
        <v>16</v>
      </c>
      <c r="E118" s="4">
        <v>10653</v>
      </c>
      <c r="F118" s="1" t="str">
        <f>VLOOKUP(D118,Table12[[Name]:[Native]],3,FALSE)</f>
        <v>钱塘区</v>
      </c>
      <c r="G118" s="14" t="str">
        <f ca="1">VLOOKUP(F118,Table12[[Native]:[Population4]],5,FALSE)</f>
        <v>杭州市</v>
      </c>
    </row>
    <row r="119" spans="1:7" ht="15.75" thickBot="1" x14ac:dyDescent="0.3">
      <c r="A119" t="s">
        <v>256</v>
      </c>
      <c r="B119" s="1" t="s">
        <v>257</v>
      </c>
      <c r="C119" s="1" t="s">
        <v>11</v>
      </c>
      <c r="D119" s="1" t="s">
        <v>68</v>
      </c>
      <c r="E119" s="4">
        <v>41220</v>
      </c>
      <c r="F119" s="1" t="str">
        <f>VLOOKUP(D119,Table12[[Name]:[Native]],3,FALSE)</f>
        <v>建德市</v>
      </c>
      <c r="G119" s="14" t="str">
        <f ca="1">VLOOKUP(F119,Table12[[Native]:[Population4]],5,FALSE)</f>
        <v>杭州市</v>
      </c>
    </row>
    <row r="120" spans="1:7" ht="15.75" thickBot="1" x14ac:dyDescent="0.3">
      <c r="A120" t="s">
        <v>258</v>
      </c>
      <c r="B120" s="1" t="s">
        <v>259</v>
      </c>
      <c r="C120" s="1" t="s">
        <v>15</v>
      </c>
      <c r="D120" s="1" t="s">
        <v>59</v>
      </c>
      <c r="E120" s="4">
        <v>103911</v>
      </c>
      <c r="F120" s="1" t="str">
        <f>VLOOKUP(D120,Table12[[Name]:[Native]],3,FALSE)</f>
        <v>临平区</v>
      </c>
      <c r="G120" s="14" t="str">
        <f ca="1">VLOOKUP(F120,Table12[[Native]:[Population4]],5,FALSE)</f>
        <v>杭州市</v>
      </c>
    </row>
    <row r="121" spans="1:7" ht="15.75" thickBot="1" x14ac:dyDescent="0.3">
      <c r="A121" t="s">
        <v>260</v>
      </c>
      <c r="B121" s="1" t="s">
        <v>261</v>
      </c>
      <c r="C121" s="1" t="s">
        <v>15</v>
      </c>
      <c r="D121" s="1" t="s">
        <v>34</v>
      </c>
      <c r="E121" s="4">
        <v>25142</v>
      </c>
      <c r="F121" s="1" t="str">
        <f>VLOOKUP(D121,Table12[[Name]:[Native]],3,FALSE)</f>
        <v>上城区</v>
      </c>
      <c r="G121" s="14" t="str">
        <f ca="1">VLOOKUP(F121,Table12[[Native]:[Population4]],5,FALSE)</f>
        <v>杭州市</v>
      </c>
    </row>
    <row r="122" spans="1:7" ht="15.75" thickBot="1" x14ac:dyDescent="0.3">
      <c r="A122" t="s">
        <v>262</v>
      </c>
      <c r="B122" s="1" t="s">
        <v>263</v>
      </c>
      <c r="C122" s="1" t="s">
        <v>11</v>
      </c>
      <c r="D122" s="1" t="s">
        <v>22</v>
      </c>
      <c r="E122" s="4">
        <v>16910</v>
      </c>
      <c r="F122" s="1" t="str">
        <f>VLOOKUP(D122,Table12[[Name]:[Native]],3,FALSE)</f>
        <v>临安区</v>
      </c>
      <c r="G122" s="14" t="str">
        <f ca="1">VLOOKUP(F122,Table12[[Native]:[Population4]],5,FALSE)</f>
        <v>杭州市</v>
      </c>
    </row>
    <row r="123" spans="1:7" ht="15.75" thickBot="1" x14ac:dyDescent="0.3">
      <c r="A123" t="s">
        <v>264</v>
      </c>
      <c r="B123" s="1" t="s">
        <v>265</v>
      </c>
      <c r="C123" s="1" t="s">
        <v>15</v>
      </c>
      <c r="D123" s="1" t="s">
        <v>22</v>
      </c>
      <c r="E123" s="4">
        <v>45325</v>
      </c>
      <c r="F123" s="1" t="str">
        <f>VLOOKUP(D123,Table12[[Name]:[Native]],3,FALSE)</f>
        <v>临安区</v>
      </c>
      <c r="G123" s="14" t="str">
        <f ca="1">VLOOKUP(F123,Table12[[Native]:[Population4]],5,FALSE)</f>
        <v>杭州市</v>
      </c>
    </row>
    <row r="124" spans="1:7" ht="15.75" thickBot="1" x14ac:dyDescent="0.3">
      <c r="A124" t="s">
        <v>266</v>
      </c>
      <c r="B124" s="1" t="s">
        <v>267</v>
      </c>
      <c r="C124" s="1" t="s">
        <v>7</v>
      </c>
      <c r="D124" s="1" t="s">
        <v>68</v>
      </c>
      <c r="E124" s="4">
        <v>7344</v>
      </c>
      <c r="F124" s="1" t="str">
        <f>VLOOKUP(D124,Table12[[Name]:[Native]],3,FALSE)</f>
        <v>建德市</v>
      </c>
      <c r="G124" s="14" t="str">
        <f ca="1">VLOOKUP(F124,Table12[[Native]:[Population4]],5,FALSE)</f>
        <v>杭州市</v>
      </c>
    </row>
    <row r="125" spans="1:7" ht="15.75" thickBot="1" x14ac:dyDescent="0.3">
      <c r="A125" t="s">
        <v>268</v>
      </c>
      <c r="B125" s="1" t="s">
        <v>269</v>
      </c>
      <c r="C125" s="1" t="s">
        <v>15</v>
      </c>
      <c r="D125" s="1" t="s">
        <v>19</v>
      </c>
      <c r="E125" s="4">
        <v>65207</v>
      </c>
      <c r="F125" s="1" t="str">
        <f>VLOOKUP(D125,Table12[[Name]:[Native]],3,FALSE)</f>
        <v>余杭区</v>
      </c>
      <c r="G125" s="14" t="str">
        <f ca="1">VLOOKUP(F125,Table12[[Native]:[Population4]],5,FALSE)</f>
        <v>杭州市</v>
      </c>
    </row>
    <row r="126" spans="1:7" ht="15.75" thickBot="1" x14ac:dyDescent="0.3">
      <c r="A126" t="s">
        <v>270</v>
      </c>
      <c r="B126" s="1" t="s">
        <v>271</v>
      </c>
      <c r="C126" s="1" t="s">
        <v>11</v>
      </c>
      <c r="D126" s="1" t="s">
        <v>31</v>
      </c>
      <c r="E126" s="4">
        <v>132631</v>
      </c>
      <c r="F126" s="1" t="str">
        <f>VLOOKUP(D126,Table12[[Name]:[Native]],3,FALSE)</f>
        <v>西湖区</v>
      </c>
      <c r="G126" s="14" t="str">
        <f ca="1">VLOOKUP(F126,Table12[[Native]:[Population4]],5,FALSE)</f>
        <v>杭州市</v>
      </c>
    </row>
    <row r="127" spans="1:7" ht="15.75" thickBot="1" x14ac:dyDescent="0.3">
      <c r="A127" t="s">
        <v>272</v>
      </c>
      <c r="B127" s="1" t="s">
        <v>273</v>
      </c>
      <c r="C127" s="1" t="s">
        <v>11</v>
      </c>
      <c r="D127" s="1" t="s">
        <v>68</v>
      </c>
      <c r="E127" s="4">
        <v>18356</v>
      </c>
      <c r="F127" s="1" t="str">
        <f>VLOOKUP(D127,Table12[[Name]:[Native]],3,FALSE)</f>
        <v>建德市</v>
      </c>
      <c r="G127" s="14" t="str">
        <f ca="1">VLOOKUP(F127,Table12[[Native]:[Population4]],5,FALSE)</f>
        <v>杭州市</v>
      </c>
    </row>
    <row r="128" spans="1:7" ht="15.75" thickBot="1" x14ac:dyDescent="0.3">
      <c r="A128" t="s">
        <v>274</v>
      </c>
      <c r="B128" s="1" t="s">
        <v>275</v>
      </c>
      <c r="C128" s="1" t="s">
        <v>7</v>
      </c>
      <c r="D128" s="1" t="s">
        <v>39</v>
      </c>
      <c r="E128" s="4">
        <v>9411</v>
      </c>
      <c r="F128" s="1" t="str">
        <f>VLOOKUP(D128,Table12[[Name]:[Native]],3,FALSE)</f>
        <v>富阳区</v>
      </c>
      <c r="G128" s="14" t="str">
        <f ca="1">VLOOKUP(F128,Table12[[Native]:[Population4]],5,FALSE)</f>
        <v>杭州市</v>
      </c>
    </row>
    <row r="129" spans="1:7" ht="15.75" thickBot="1" x14ac:dyDescent="0.3">
      <c r="A129" t="s">
        <v>276</v>
      </c>
      <c r="B129" s="1" t="s">
        <v>277</v>
      </c>
      <c r="C129" s="1" t="s">
        <v>15</v>
      </c>
      <c r="D129" s="1" t="s">
        <v>25</v>
      </c>
      <c r="E129" s="4">
        <v>94968</v>
      </c>
      <c r="F129" s="1" t="str">
        <f>VLOOKUP(D129,Table12[[Name]:[Native]],3,FALSE)</f>
        <v>拱墅区</v>
      </c>
      <c r="G129" s="14" t="str">
        <f ca="1">VLOOKUP(F129,Table12[[Native]:[Population4]],5,FALSE)</f>
        <v>杭州市</v>
      </c>
    </row>
    <row r="130" spans="1:7" ht="15.75" thickBot="1" x14ac:dyDescent="0.3">
      <c r="A130" t="s">
        <v>278</v>
      </c>
      <c r="B130" s="1" t="s">
        <v>279</v>
      </c>
      <c r="C130" s="1" t="s">
        <v>11</v>
      </c>
      <c r="D130" s="1" t="s">
        <v>8</v>
      </c>
      <c r="E130" s="4">
        <v>3162</v>
      </c>
      <c r="F130" s="1" t="str">
        <f>VLOOKUP(D130,Table12[[Name]:[Native]],3,FALSE)</f>
        <v>淳安县</v>
      </c>
      <c r="G130" s="14" t="str">
        <f ca="1">VLOOKUP(F130,Table12[[Native]:[Population4]],5,FALSE)</f>
        <v>杭州市</v>
      </c>
    </row>
    <row r="131" spans="1:7" ht="15.75" thickBot="1" x14ac:dyDescent="0.3">
      <c r="A131" t="s">
        <v>280</v>
      </c>
      <c r="B131" s="1" t="s">
        <v>281</v>
      </c>
      <c r="C131" s="1" t="s">
        <v>15</v>
      </c>
      <c r="D131" s="1" t="s">
        <v>25</v>
      </c>
      <c r="E131" s="4">
        <v>95175</v>
      </c>
      <c r="F131" s="1" t="str">
        <f>VLOOKUP(D131,Table12[[Name]:[Native]],3,FALSE)</f>
        <v>拱墅区</v>
      </c>
      <c r="G131" s="14" t="str">
        <f ca="1">VLOOKUP(F131,Table12[[Native]:[Population4]],5,FALSE)</f>
        <v>杭州市</v>
      </c>
    </row>
    <row r="132" spans="1:7" ht="15.75" thickBot="1" x14ac:dyDescent="0.3">
      <c r="A132" t="s">
        <v>282</v>
      </c>
      <c r="B132" s="1" t="s">
        <v>283</v>
      </c>
      <c r="C132" s="1" t="s">
        <v>11</v>
      </c>
      <c r="D132" s="1" t="s">
        <v>68</v>
      </c>
      <c r="E132" s="4">
        <v>40643</v>
      </c>
      <c r="F132" s="1" t="str">
        <f>VLOOKUP(D132,Table12[[Name]:[Native]],3,FALSE)</f>
        <v>建德市</v>
      </c>
      <c r="G132" s="14" t="str">
        <f ca="1">VLOOKUP(F132,Table12[[Native]:[Population4]],5,FALSE)</f>
        <v>杭州市</v>
      </c>
    </row>
    <row r="133" spans="1:7" ht="15.75" thickBot="1" x14ac:dyDescent="0.3">
      <c r="A133" t="s">
        <v>284</v>
      </c>
      <c r="B133" s="1" t="s">
        <v>285</v>
      </c>
      <c r="C133" s="1" t="s">
        <v>11</v>
      </c>
      <c r="D133" s="1" t="s">
        <v>31</v>
      </c>
      <c r="E133" s="4">
        <v>65038</v>
      </c>
      <c r="F133" s="1" t="str">
        <f>VLOOKUP(D133,Table12[[Name]:[Native]],3,FALSE)</f>
        <v>西湖区</v>
      </c>
      <c r="G133" s="14" t="str">
        <f ca="1">VLOOKUP(F133,Table12[[Native]:[Population4]],5,FALSE)</f>
        <v>杭州市</v>
      </c>
    </row>
    <row r="134" spans="1:7" ht="15.75" thickBot="1" x14ac:dyDescent="0.3">
      <c r="A134" t="s">
        <v>286</v>
      </c>
      <c r="B134" s="1" t="s">
        <v>287</v>
      </c>
      <c r="C134" s="1" t="s">
        <v>15</v>
      </c>
      <c r="D134" s="1" t="s">
        <v>28</v>
      </c>
      <c r="E134" s="4">
        <v>57985</v>
      </c>
      <c r="F134" s="1" t="str">
        <f>VLOOKUP(D134,Table12[[Name]:[Native]],3,FALSE)</f>
        <v>萧山区</v>
      </c>
      <c r="G134" s="14" t="str">
        <f ca="1">VLOOKUP(F134,Table12[[Native]:[Population4]],5,FALSE)</f>
        <v>杭州市</v>
      </c>
    </row>
    <row r="135" spans="1:7" ht="15.75" thickBot="1" x14ac:dyDescent="0.3">
      <c r="A135" t="s">
        <v>288</v>
      </c>
      <c r="B135" s="1" t="s">
        <v>289</v>
      </c>
      <c r="C135" s="1" t="s">
        <v>15</v>
      </c>
      <c r="D135" s="1" t="s">
        <v>34</v>
      </c>
      <c r="E135" s="4">
        <v>53650</v>
      </c>
      <c r="F135" s="1" t="str">
        <f>VLOOKUP(D135,Table12[[Name]:[Native]],3,FALSE)</f>
        <v>上城区</v>
      </c>
      <c r="G135" s="14" t="str">
        <f ca="1">VLOOKUP(F135,Table12[[Native]:[Population4]],5,FALSE)</f>
        <v>杭州市</v>
      </c>
    </row>
    <row r="136" spans="1:7" ht="15.75" thickBot="1" x14ac:dyDescent="0.3">
      <c r="A136" t="s">
        <v>290</v>
      </c>
      <c r="B136" s="1" t="s">
        <v>291</v>
      </c>
      <c r="C136" s="1" t="s">
        <v>7</v>
      </c>
      <c r="D136" s="1" t="s">
        <v>8</v>
      </c>
      <c r="E136" s="4">
        <v>4213</v>
      </c>
      <c r="F136" s="1" t="str">
        <f>VLOOKUP(D136,Table12[[Name]:[Native]],3,FALSE)</f>
        <v>淳安县</v>
      </c>
      <c r="G136" s="14" t="str">
        <f ca="1">VLOOKUP(F136,Table12[[Native]:[Population4]],5,FALSE)</f>
        <v>杭州市</v>
      </c>
    </row>
    <row r="137" spans="1:7" ht="15.75" thickBot="1" x14ac:dyDescent="0.3">
      <c r="A137" t="s">
        <v>292</v>
      </c>
      <c r="B137" s="1" t="s">
        <v>293</v>
      </c>
      <c r="C137" s="1" t="s">
        <v>11</v>
      </c>
      <c r="D137" s="1" t="s">
        <v>28</v>
      </c>
      <c r="E137" s="4">
        <v>39100</v>
      </c>
      <c r="F137" s="1" t="str">
        <f>VLOOKUP(D137,Table12[[Name]:[Native]],3,FALSE)</f>
        <v>萧山区</v>
      </c>
      <c r="G137" s="14" t="str">
        <f ca="1">VLOOKUP(F137,Table12[[Native]:[Population4]],5,FALSE)</f>
        <v>杭州市</v>
      </c>
    </row>
    <row r="138" spans="1:7" ht="15.75" thickBot="1" x14ac:dyDescent="0.3">
      <c r="A138" t="s">
        <v>294</v>
      </c>
      <c r="B138" s="1" t="s">
        <v>295</v>
      </c>
      <c r="C138" s="1" t="s">
        <v>11</v>
      </c>
      <c r="D138" s="1" t="s">
        <v>22</v>
      </c>
      <c r="E138" s="4">
        <v>28147</v>
      </c>
      <c r="F138" s="1" t="str">
        <f>VLOOKUP(D138,Table12[[Name]:[Native]],3,FALSE)</f>
        <v>临安区</v>
      </c>
      <c r="G138" s="14" t="str">
        <f ca="1">VLOOKUP(F138,Table12[[Native]:[Population4]],5,FALSE)</f>
        <v>杭州市</v>
      </c>
    </row>
    <row r="139" spans="1:7" ht="15.75" thickBot="1" x14ac:dyDescent="0.3">
      <c r="A139" t="s">
        <v>296</v>
      </c>
      <c r="B139" s="1" t="s">
        <v>297</v>
      </c>
      <c r="C139" s="1" t="s">
        <v>11</v>
      </c>
      <c r="D139" s="1" t="s">
        <v>22</v>
      </c>
      <c r="E139" s="4">
        <v>13707</v>
      </c>
      <c r="F139" s="1" t="str">
        <f>VLOOKUP(D139,Table12[[Name]:[Native]],3,FALSE)</f>
        <v>临安区</v>
      </c>
      <c r="G139" s="14" t="str">
        <f ca="1">VLOOKUP(F139,Table12[[Native]:[Population4]],5,FALSE)</f>
        <v>杭州市</v>
      </c>
    </row>
    <row r="140" spans="1:7" ht="15.75" thickBot="1" x14ac:dyDescent="0.3">
      <c r="A140" t="s">
        <v>298</v>
      </c>
      <c r="B140" s="1" t="s">
        <v>299</v>
      </c>
      <c r="C140" s="1" t="s">
        <v>11</v>
      </c>
      <c r="D140" s="1" t="s">
        <v>59</v>
      </c>
      <c r="E140" s="4">
        <v>79990</v>
      </c>
      <c r="F140" s="1" t="str">
        <f>VLOOKUP(D140,Table12[[Name]:[Native]],3,FALSE)</f>
        <v>临平区</v>
      </c>
      <c r="G140" s="14" t="str">
        <f ca="1">VLOOKUP(F140,Table12[[Native]:[Population4]],5,FALSE)</f>
        <v>杭州市</v>
      </c>
    </row>
    <row r="141" spans="1:7" ht="15.75" thickBot="1" x14ac:dyDescent="0.3">
      <c r="A141" t="s">
        <v>300</v>
      </c>
      <c r="B141" s="1" t="s">
        <v>301</v>
      </c>
      <c r="C141" s="1" t="s">
        <v>11</v>
      </c>
      <c r="D141" s="1" t="s">
        <v>22</v>
      </c>
      <c r="E141" s="4">
        <v>15766</v>
      </c>
      <c r="F141" s="1" t="str">
        <f>VLOOKUP(D141,Table12[[Name]:[Native]],3,FALSE)</f>
        <v>临安区</v>
      </c>
      <c r="G141" s="14" t="str">
        <f ca="1">VLOOKUP(F141,Table12[[Native]:[Population4]],5,FALSE)</f>
        <v>杭州市</v>
      </c>
    </row>
    <row r="142" spans="1:7" ht="15.75" thickBot="1" x14ac:dyDescent="0.3">
      <c r="A142" t="s">
        <v>302</v>
      </c>
      <c r="B142" s="1" t="s">
        <v>303</v>
      </c>
      <c r="C142" s="1" t="s">
        <v>15</v>
      </c>
      <c r="D142" s="1" t="s">
        <v>25</v>
      </c>
      <c r="E142" s="4">
        <v>33906</v>
      </c>
      <c r="F142" s="1" t="str">
        <f>VLOOKUP(D142,Table12[[Name]:[Native]],3,FALSE)</f>
        <v>拱墅区</v>
      </c>
      <c r="G142" s="14" t="str">
        <f ca="1">VLOOKUP(F142,Table12[[Native]:[Population4]],5,FALSE)</f>
        <v>杭州市</v>
      </c>
    </row>
    <row r="143" spans="1:7" ht="15.75" thickBot="1" x14ac:dyDescent="0.3">
      <c r="A143" t="s">
        <v>304</v>
      </c>
      <c r="B143" s="1" t="s">
        <v>305</v>
      </c>
      <c r="C143" s="1" t="s">
        <v>15</v>
      </c>
      <c r="D143" s="1" t="s">
        <v>12</v>
      </c>
      <c r="E143" s="4">
        <v>146228</v>
      </c>
      <c r="F143" s="1" t="str">
        <f>VLOOKUP(D143,Table12[[Name]:[Native]],3,FALSE)</f>
        <v>桐庐县</v>
      </c>
      <c r="G143" s="14" t="str">
        <f ca="1">VLOOKUP(F143,Table12[[Native]:[Population4]],5,FALSE)</f>
        <v>杭州市</v>
      </c>
    </row>
    <row r="144" spans="1:7" ht="15.75" thickBot="1" x14ac:dyDescent="0.3">
      <c r="A144" t="s">
        <v>306</v>
      </c>
      <c r="B144" s="1" t="s">
        <v>307</v>
      </c>
      <c r="C144" s="1" t="s">
        <v>11</v>
      </c>
      <c r="D144" s="1" t="s">
        <v>22</v>
      </c>
      <c r="E144" s="4">
        <v>9510</v>
      </c>
      <c r="F144" s="1" t="str">
        <f>VLOOKUP(D144,Table12[[Name]:[Native]],3,FALSE)</f>
        <v>临安区</v>
      </c>
      <c r="G144" s="14" t="str">
        <f ca="1">VLOOKUP(F144,Table12[[Native]:[Population4]],5,FALSE)</f>
        <v>杭州市</v>
      </c>
    </row>
    <row r="145" spans="1:7" ht="15.75" thickBot="1" x14ac:dyDescent="0.3">
      <c r="A145" t="s">
        <v>308</v>
      </c>
      <c r="B145" s="1" t="s">
        <v>309</v>
      </c>
      <c r="C145" s="1" t="s">
        <v>7</v>
      </c>
      <c r="D145" s="1" t="s">
        <v>8</v>
      </c>
      <c r="E145" s="4">
        <v>11580</v>
      </c>
      <c r="F145" s="1" t="str">
        <f>VLOOKUP(D145,Table12[[Name]:[Native]],3,FALSE)</f>
        <v>淳安县</v>
      </c>
      <c r="G145" s="14" t="str">
        <f ca="1">VLOOKUP(F145,Table12[[Native]:[Population4]],5,FALSE)</f>
        <v>杭州市</v>
      </c>
    </row>
    <row r="146" spans="1:7" ht="15.75" thickBot="1" x14ac:dyDescent="0.3">
      <c r="A146" t="s">
        <v>310</v>
      </c>
      <c r="B146" s="1" t="s">
        <v>311</v>
      </c>
      <c r="C146" s="1" t="s">
        <v>15</v>
      </c>
      <c r="D146" s="1" t="s">
        <v>34</v>
      </c>
      <c r="E146" s="4">
        <v>91557</v>
      </c>
      <c r="F146" s="1" t="str">
        <f>VLOOKUP(D146,Table12[[Name]:[Native]],3,FALSE)</f>
        <v>上城区</v>
      </c>
      <c r="G146" s="14" t="str">
        <f ca="1">VLOOKUP(F146,Table12[[Native]:[Population4]],5,FALSE)</f>
        <v>杭州市</v>
      </c>
    </row>
    <row r="147" spans="1:7" ht="15.75" thickBot="1" x14ac:dyDescent="0.3">
      <c r="A147" t="s">
        <v>312</v>
      </c>
      <c r="B147" s="1" t="s">
        <v>313</v>
      </c>
      <c r="C147" s="1" t="s">
        <v>11</v>
      </c>
      <c r="D147" s="1" t="s">
        <v>39</v>
      </c>
      <c r="E147" s="4">
        <v>18112</v>
      </c>
      <c r="F147" s="1" t="str">
        <f>VLOOKUP(D147,Table12[[Name]:[Native]],3,FALSE)</f>
        <v>富阳区</v>
      </c>
      <c r="G147" s="14" t="str">
        <f ca="1">VLOOKUP(F147,Table12[[Native]:[Population4]],5,FALSE)</f>
        <v>杭州市</v>
      </c>
    </row>
    <row r="148" spans="1:7" ht="15.75" thickBot="1" x14ac:dyDescent="0.3">
      <c r="A148" t="s">
        <v>314</v>
      </c>
      <c r="B148" s="1" t="s">
        <v>315</v>
      </c>
      <c r="C148" s="1" t="s">
        <v>253</v>
      </c>
      <c r="D148" s="1" t="s">
        <v>16</v>
      </c>
      <c r="E148" s="4">
        <v>1055</v>
      </c>
      <c r="F148" s="1" t="str">
        <f>VLOOKUP(D148,Table12[[Name]:[Native]],3,FALSE)</f>
        <v>钱塘区</v>
      </c>
      <c r="G148" s="14" t="str">
        <f ca="1">VLOOKUP(F148,Table12[[Native]:[Population4]],5,FALSE)</f>
        <v>杭州市</v>
      </c>
    </row>
    <row r="149" spans="1:7" ht="15.75" thickBot="1" x14ac:dyDescent="0.3">
      <c r="A149" t="s">
        <v>316</v>
      </c>
      <c r="B149" s="1" t="s">
        <v>317</v>
      </c>
      <c r="C149" s="1" t="s">
        <v>11</v>
      </c>
      <c r="D149" s="1" t="s">
        <v>8</v>
      </c>
      <c r="E149" s="4">
        <v>29857</v>
      </c>
      <c r="F149" s="1" t="str">
        <f>VLOOKUP(D149,Table12[[Name]:[Native]],3,FALSE)</f>
        <v>淳安县</v>
      </c>
      <c r="G149" s="14" t="str">
        <f ca="1">VLOOKUP(F149,Table12[[Native]:[Population4]],5,FALSE)</f>
        <v>杭州市</v>
      </c>
    </row>
    <row r="150" spans="1:7" ht="15.75" thickBot="1" x14ac:dyDescent="0.3">
      <c r="A150" t="s">
        <v>318</v>
      </c>
      <c r="B150" s="1" t="s">
        <v>319</v>
      </c>
      <c r="C150" s="1" t="s">
        <v>11</v>
      </c>
      <c r="D150" s="1" t="s">
        <v>8</v>
      </c>
      <c r="E150" s="4">
        <v>8760</v>
      </c>
      <c r="F150" s="1" t="str">
        <f>VLOOKUP(D150,Table12[[Name]:[Native]],3,FALSE)</f>
        <v>淳安县</v>
      </c>
      <c r="G150" s="14" t="str">
        <f ca="1">VLOOKUP(F150,Table12[[Native]:[Population4]],5,FALSE)</f>
        <v>杭州市</v>
      </c>
    </row>
    <row r="151" spans="1:7" ht="15.75" thickBot="1" x14ac:dyDescent="0.3">
      <c r="A151" t="s">
        <v>320</v>
      </c>
      <c r="B151" s="1" t="s">
        <v>321</v>
      </c>
      <c r="C151" s="1" t="s">
        <v>15</v>
      </c>
      <c r="D151" s="1" t="s">
        <v>25</v>
      </c>
      <c r="E151" s="4">
        <v>55330</v>
      </c>
      <c r="F151" s="1" t="str">
        <f>VLOOKUP(D151,Table12[[Name]:[Native]],3,FALSE)</f>
        <v>拱墅区</v>
      </c>
      <c r="G151" s="14" t="str">
        <f ca="1">VLOOKUP(F151,Table12[[Native]:[Population4]],5,FALSE)</f>
        <v>杭州市</v>
      </c>
    </row>
    <row r="152" spans="1:7" ht="15.75" thickBot="1" x14ac:dyDescent="0.3">
      <c r="A152" t="s">
        <v>322</v>
      </c>
      <c r="B152" s="1" t="s">
        <v>323</v>
      </c>
      <c r="C152" s="1" t="s">
        <v>15</v>
      </c>
      <c r="D152" s="1" t="s">
        <v>31</v>
      </c>
      <c r="E152" s="4">
        <v>87907</v>
      </c>
      <c r="F152" s="1" t="str">
        <f>VLOOKUP(D152,Table12[[Name]:[Native]],3,FALSE)</f>
        <v>西湖区</v>
      </c>
      <c r="G152" s="14" t="str">
        <f ca="1">VLOOKUP(F152,Table12[[Native]:[Population4]],5,FALSE)</f>
        <v>杭州市</v>
      </c>
    </row>
    <row r="153" spans="1:7" ht="15.75" thickBot="1" x14ac:dyDescent="0.3">
      <c r="A153" t="s">
        <v>324</v>
      </c>
      <c r="B153" s="1" t="s">
        <v>325</v>
      </c>
      <c r="C153" s="1" t="s">
        <v>15</v>
      </c>
      <c r="D153" s="1" t="s">
        <v>28</v>
      </c>
      <c r="E153" s="4">
        <v>44453</v>
      </c>
      <c r="F153" s="1" t="str">
        <f>VLOOKUP(D153,Table12[[Name]:[Native]],3,FALSE)</f>
        <v>萧山区</v>
      </c>
      <c r="G153" s="14" t="str">
        <f ca="1">VLOOKUP(F153,Table12[[Native]:[Population4]],5,FALSE)</f>
        <v>杭州市</v>
      </c>
    </row>
    <row r="154" spans="1:7" ht="15.75" thickBot="1" x14ac:dyDescent="0.3">
      <c r="A154" t="s">
        <v>326</v>
      </c>
      <c r="B154" s="1" t="s">
        <v>327</v>
      </c>
      <c r="C154" s="1" t="s">
        <v>15</v>
      </c>
      <c r="D154" s="1" t="s">
        <v>19</v>
      </c>
      <c r="E154" s="4">
        <v>51740</v>
      </c>
      <c r="F154" s="1" t="str">
        <f>VLOOKUP(D154,Table12[[Name]:[Native]],3,FALSE)</f>
        <v>余杭区</v>
      </c>
      <c r="G154" s="14" t="str">
        <f ca="1">VLOOKUP(F154,Table12[[Native]:[Population4]],5,FALSE)</f>
        <v>杭州市</v>
      </c>
    </row>
    <row r="155" spans="1:7" ht="15.75" thickBot="1" x14ac:dyDescent="0.3">
      <c r="A155" t="s">
        <v>328</v>
      </c>
      <c r="B155" s="1" t="s">
        <v>329</v>
      </c>
      <c r="C155" s="1" t="s">
        <v>15</v>
      </c>
      <c r="D155" s="1" t="s">
        <v>25</v>
      </c>
      <c r="E155" s="4">
        <v>37510</v>
      </c>
      <c r="F155" s="1" t="str">
        <f>VLOOKUP(D155,Table12[[Name]:[Native]],3,FALSE)</f>
        <v>拱墅区</v>
      </c>
      <c r="G155" s="14" t="str">
        <f ca="1">VLOOKUP(F155,Table12[[Native]:[Population4]],5,FALSE)</f>
        <v>杭州市</v>
      </c>
    </row>
    <row r="156" spans="1:7" ht="15.75" thickBot="1" x14ac:dyDescent="0.3">
      <c r="A156" t="s">
        <v>330</v>
      </c>
      <c r="B156" s="1" t="s">
        <v>331</v>
      </c>
      <c r="C156" s="1" t="s">
        <v>11</v>
      </c>
      <c r="D156" s="1" t="s">
        <v>22</v>
      </c>
      <c r="E156" s="4">
        <v>36996</v>
      </c>
      <c r="F156" s="1" t="str">
        <f>VLOOKUP(D156,Table12[[Name]:[Native]],3,FALSE)</f>
        <v>临安区</v>
      </c>
      <c r="G156" s="14" t="str">
        <f ca="1">VLOOKUP(F156,Table12[[Native]:[Population4]],5,FALSE)</f>
        <v>杭州市</v>
      </c>
    </row>
    <row r="157" spans="1:7" ht="15.75" thickBot="1" x14ac:dyDescent="0.3">
      <c r="A157" t="s">
        <v>332</v>
      </c>
      <c r="B157" s="1" t="s">
        <v>333</v>
      </c>
      <c r="C157" s="1" t="s">
        <v>15</v>
      </c>
      <c r="D157" s="1" t="s">
        <v>25</v>
      </c>
      <c r="E157" s="4">
        <v>105418</v>
      </c>
      <c r="F157" s="1" t="str">
        <f>VLOOKUP(D157,Table12[[Name]:[Native]],3,FALSE)</f>
        <v>拱墅区</v>
      </c>
      <c r="G157" s="14" t="str">
        <f ca="1">VLOOKUP(F157,Table12[[Native]:[Population4]],5,FALSE)</f>
        <v>杭州市</v>
      </c>
    </row>
    <row r="158" spans="1:7" ht="15.75" thickBot="1" x14ac:dyDescent="0.3">
      <c r="A158" t="s">
        <v>334</v>
      </c>
      <c r="B158" s="1" t="s">
        <v>335</v>
      </c>
      <c r="C158" s="1" t="s">
        <v>15</v>
      </c>
      <c r="D158" s="1" t="s">
        <v>19</v>
      </c>
      <c r="E158" s="4">
        <v>49552</v>
      </c>
      <c r="F158" s="1" t="str">
        <f>VLOOKUP(D158,Table12[[Name]:[Native]],3,FALSE)</f>
        <v>余杭区</v>
      </c>
      <c r="G158" s="14" t="str">
        <f ca="1">VLOOKUP(F158,Table12[[Native]:[Population4]],5,FALSE)</f>
        <v>杭州市</v>
      </c>
    </row>
    <row r="159" spans="1:7" ht="15.75" thickBot="1" x14ac:dyDescent="0.3">
      <c r="A159" t="s">
        <v>336</v>
      </c>
      <c r="B159" s="1" t="s">
        <v>337</v>
      </c>
      <c r="C159" s="1" t="s">
        <v>15</v>
      </c>
      <c r="D159" s="1" t="s">
        <v>25</v>
      </c>
      <c r="E159" s="4">
        <v>53607</v>
      </c>
      <c r="F159" s="1" t="str">
        <f>VLOOKUP(D159,Table12[[Name]:[Native]],3,FALSE)</f>
        <v>拱墅区</v>
      </c>
      <c r="G159" s="14" t="str">
        <f ca="1">VLOOKUP(F159,Table12[[Native]:[Population4]],5,FALSE)</f>
        <v>杭州市</v>
      </c>
    </row>
    <row r="160" spans="1:7" ht="15.75" thickBot="1" x14ac:dyDescent="0.3">
      <c r="A160" t="s">
        <v>338</v>
      </c>
      <c r="B160" s="1" t="s">
        <v>339</v>
      </c>
      <c r="C160" s="1" t="s">
        <v>253</v>
      </c>
      <c r="D160" s="1" t="s">
        <v>28</v>
      </c>
      <c r="E160" s="4">
        <v>44274</v>
      </c>
      <c r="F160" s="1" t="str">
        <f>VLOOKUP(D160,Table12[[Name]:[Native]],3,FALSE)</f>
        <v>萧山区</v>
      </c>
      <c r="G160" s="14" t="str">
        <f ca="1">VLOOKUP(F160,Table12[[Native]:[Population4]],5,FALSE)</f>
        <v>杭州市</v>
      </c>
    </row>
    <row r="161" spans="1:7" ht="15.75" thickBot="1" x14ac:dyDescent="0.3">
      <c r="A161" t="s">
        <v>340</v>
      </c>
      <c r="B161" s="1" t="s">
        <v>341</v>
      </c>
      <c r="C161" s="1" t="s">
        <v>253</v>
      </c>
      <c r="D161" s="1" t="s">
        <v>28</v>
      </c>
      <c r="E161" s="4">
        <v>3792</v>
      </c>
      <c r="F161" s="1" t="str">
        <f>VLOOKUP(D161,Table12[[Name]:[Native]],3,FALSE)</f>
        <v>萧山区</v>
      </c>
      <c r="G161" s="14" t="str">
        <f ca="1">VLOOKUP(F161,Table12[[Native]:[Population4]],5,FALSE)</f>
        <v>杭州市</v>
      </c>
    </row>
    <row r="162" spans="1:7" ht="15.75" thickBot="1" x14ac:dyDescent="0.3">
      <c r="A162" t="s">
        <v>342</v>
      </c>
      <c r="B162" s="1" t="s">
        <v>343</v>
      </c>
      <c r="C162" s="1" t="s">
        <v>15</v>
      </c>
      <c r="D162" s="1" t="s">
        <v>34</v>
      </c>
      <c r="E162" s="4">
        <v>75287</v>
      </c>
      <c r="F162" s="1" t="str">
        <f>VLOOKUP(D162,Table12[[Name]:[Native]],3,FALSE)</f>
        <v>上城区</v>
      </c>
      <c r="G162" s="14" t="str">
        <f ca="1">VLOOKUP(F162,Table12[[Native]:[Population4]],5,FALSE)</f>
        <v>杭州市</v>
      </c>
    </row>
    <row r="163" spans="1:7" ht="15.75" thickBot="1" x14ac:dyDescent="0.3">
      <c r="A163" t="s">
        <v>344</v>
      </c>
      <c r="B163" s="1" t="s">
        <v>345</v>
      </c>
      <c r="C163" s="1" t="s">
        <v>15</v>
      </c>
      <c r="D163" s="1" t="s">
        <v>16</v>
      </c>
      <c r="E163" s="4">
        <v>100515</v>
      </c>
      <c r="F163" s="1" t="str">
        <f>VLOOKUP(D163,Table12[[Name]:[Native]],3,FALSE)</f>
        <v>钱塘区</v>
      </c>
      <c r="G163" s="14" t="str">
        <f ca="1">VLOOKUP(F163,Table12[[Native]:[Population4]],5,FALSE)</f>
        <v>杭州市</v>
      </c>
    </row>
    <row r="164" spans="1:7" ht="15.75" thickBot="1" x14ac:dyDescent="0.3">
      <c r="A164" t="s">
        <v>346</v>
      </c>
      <c r="B164" s="1" t="s">
        <v>347</v>
      </c>
      <c r="C164" s="1" t="s">
        <v>11</v>
      </c>
      <c r="D164" s="1" t="s">
        <v>68</v>
      </c>
      <c r="E164" s="4">
        <v>18942</v>
      </c>
      <c r="F164" s="1" t="str">
        <f>VLOOKUP(D164,Table12[[Name]:[Native]],3,FALSE)</f>
        <v>建德市</v>
      </c>
      <c r="G164" s="14" t="str">
        <f ca="1">VLOOKUP(F164,Table12[[Native]:[Population4]],5,FALSE)</f>
        <v>杭州市</v>
      </c>
    </row>
    <row r="165" spans="1:7" ht="15.75" thickBot="1" x14ac:dyDescent="0.3">
      <c r="A165" t="s">
        <v>348</v>
      </c>
      <c r="B165" s="1" t="s">
        <v>349</v>
      </c>
      <c r="C165" s="1" t="s">
        <v>15</v>
      </c>
      <c r="D165" s="1" t="s">
        <v>31</v>
      </c>
      <c r="E165" s="4">
        <v>30008</v>
      </c>
      <c r="F165" s="1" t="str">
        <f>VLOOKUP(D165,Table12[[Name]:[Native]],3,FALSE)</f>
        <v>西湖区</v>
      </c>
      <c r="G165" s="14" t="str">
        <f ca="1">VLOOKUP(F165,Table12[[Native]:[Population4]],5,FALSE)</f>
        <v>杭州市</v>
      </c>
    </row>
    <row r="166" spans="1:7" ht="15.75" thickBot="1" x14ac:dyDescent="0.3">
      <c r="A166" t="s">
        <v>350</v>
      </c>
      <c r="B166" s="1" t="s">
        <v>351</v>
      </c>
      <c r="C166" s="1" t="s">
        <v>15</v>
      </c>
      <c r="D166" s="1" t="s">
        <v>68</v>
      </c>
      <c r="E166" s="4">
        <v>93952</v>
      </c>
      <c r="F166" s="1" t="str">
        <f>VLOOKUP(D166,Table12[[Name]:[Native]],3,FALSE)</f>
        <v>建德市</v>
      </c>
      <c r="G166" s="14" t="str">
        <f ca="1">VLOOKUP(F166,Table12[[Native]:[Population4]],5,FALSE)</f>
        <v>杭州市</v>
      </c>
    </row>
    <row r="167" spans="1:7" ht="15.75" thickBot="1" x14ac:dyDescent="0.3">
      <c r="A167" t="s">
        <v>352</v>
      </c>
      <c r="B167" s="1" t="s">
        <v>353</v>
      </c>
      <c r="C167" s="1" t="s">
        <v>11</v>
      </c>
      <c r="D167" s="1" t="s">
        <v>39</v>
      </c>
      <c r="E167" s="4">
        <v>70580</v>
      </c>
      <c r="F167" s="1" t="str">
        <f>VLOOKUP(D167,Table12[[Name]:[Native]],3,FALSE)</f>
        <v>富阳区</v>
      </c>
      <c r="G167" s="14" t="str">
        <f ca="1">VLOOKUP(F167,Table12[[Native]:[Population4]],5,FALSE)</f>
        <v>杭州市</v>
      </c>
    </row>
    <row r="168" spans="1:7" ht="15.75" thickBot="1" x14ac:dyDescent="0.3">
      <c r="A168" t="s">
        <v>354</v>
      </c>
      <c r="B168" s="1" t="s">
        <v>355</v>
      </c>
      <c r="C168" s="1" t="s">
        <v>15</v>
      </c>
      <c r="D168" s="1" t="s">
        <v>59</v>
      </c>
      <c r="E168" s="4">
        <v>36592</v>
      </c>
      <c r="F168" s="1" t="str">
        <f>VLOOKUP(D168,Table12[[Name]:[Native]],3,FALSE)</f>
        <v>临平区</v>
      </c>
      <c r="G168" s="14" t="str">
        <f ca="1">VLOOKUP(F168,Table12[[Native]:[Population4]],5,FALSE)</f>
        <v>杭州市</v>
      </c>
    </row>
    <row r="169" spans="1:7" ht="15.75" thickBot="1" x14ac:dyDescent="0.3">
      <c r="A169" t="s">
        <v>356</v>
      </c>
      <c r="B169" s="1" t="s">
        <v>357</v>
      </c>
      <c r="C169" s="1" t="s">
        <v>7</v>
      </c>
      <c r="D169" s="1" t="s">
        <v>12</v>
      </c>
      <c r="E169" s="4">
        <v>4577</v>
      </c>
      <c r="F169" s="1" t="str">
        <f>VLOOKUP(D169,Table12[[Name]:[Native]],3,FALSE)</f>
        <v>桐庐县</v>
      </c>
      <c r="G169" s="14" t="str">
        <f ca="1">VLOOKUP(F169,Table12[[Native]:[Population4]],5,FALSE)</f>
        <v>杭州市</v>
      </c>
    </row>
    <row r="170" spans="1:7" ht="15.75" thickBot="1" x14ac:dyDescent="0.3">
      <c r="A170" t="s">
        <v>358</v>
      </c>
      <c r="B170" s="1" t="s">
        <v>359</v>
      </c>
      <c r="C170" s="1" t="s">
        <v>15</v>
      </c>
      <c r="D170" s="1" t="s">
        <v>28</v>
      </c>
      <c r="E170" s="4">
        <v>66009</v>
      </c>
      <c r="F170" s="1" t="str">
        <f>VLOOKUP(D170,Table12[[Name]:[Native]],3,FALSE)</f>
        <v>萧山区</v>
      </c>
      <c r="G170" s="14" t="str">
        <f ca="1">VLOOKUP(F170,Table12[[Native]:[Population4]],5,FALSE)</f>
        <v>杭州市</v>
      </c>
    </row>
    <row r="171" spans="1:7" ht="15.75" thickBot="1" x14ac:dyDescent="0.3">
      <c r="A171" t="s">
        <v>360</v>
      </c>
      <c r="B171" s="1" t="s">
        <v>361</v>
      </c>
      <c r="C171" s="1" t="s">
        <v>7</v>
      </c>
      <c r="D171" s="1" t="s">
        <v>22</v>
      </c>
      <c r="E171" s="4">
        <v>6029</v>
      </c>
      <c r="F171" s="1" t="str">
        <f>VLOOKUP(D171,Table12[[Name]:[Native]],3,FALSE)</f>
        <v>临安区</v>
      </c>
      <c r="G171" s="14" t="str">
        <f ca="1">VLOOKUP(F171,Table12[[Native]:[Population4]],5,FALSE)</f>
        <v>杭州市</v>
      </c>
    </row>
    <row r="172" spans="1:7" ht="15.75" thickBot="1" x14ac:dyDescent="0.3">
      <c r="A172" t="s">
        <v>362</v>
      </c>
      <c r="B172" s="1" t="s">
        <v>363</v>
      </c>
      <c r="C172" s="1" t="s">
        <v>15</v>
      </c>
      <c r="D172" s="1" t="s">
        <v>28</v>
      </c>
      <c r="E172" s="4">
        <v>88452</v>
      </c>
      <c r="F172" s="1" t="str">
        <f>VLOOKUP(D172,Table12[[Name]:[Native]],3,FALSE)</f>
        <v>萧山区</v>
      </c>
      <c r="G172" s="14" t="str">
        <f ca="1">VLOOKUP(F172,Table12[[Native]:[Population4]],5,FALSE)</f>
        <v>杭州市</v>
      </c>
    </row>
    <row r="173" spans="1:7" ht="15.75" thickBot="1" x14ac:dyDescent="0.3">
      <c r="A173" t="s">
        <v>364</v>
      </c>
      <c r="B173" s="1" t="s">
        <v>365</v>
      </c>
      <c r="C173" s="1" t="s">
        <v>7</v>
      </c>
      <c r="D173" s="1" t="s">
        <v>39</v>
      </c>
      <c r="E173" s="4">
        <v>7832</v>
      </c>
      <c r="F173" s="1" t="str">
        <f>VLOOKUP(D173,Table12[[Name]:[Native]],3,FALSE)</f>
        <v>富阳区</v>
      </c>
      <c r="G173" s="14" t="str">
        <f ca="1">VLOOKUP(F173,Table12[[Native]:[Population4]],5,FALSE)</f>
        <v>杭州市</v>
      </c>
    </row>
    <row r="174" spans="1:7" ht="15.75" thickBot="1" x14ac:dyDescent="0.3">
      <c r="A174" t="s">
        <v>366</v>
      </c>
      <c r="B174" s="1" t="s">
        <v>367</v>
      </c>
      <c r="C174" s="1" t="s">
        <v>15</v>
      </c>
      <c r="D174" s="1" t="s">
        <v>16</v>
      </c>
      <c r="E174" s="4">
        <v>27050</v>
      </c>
      <c r="F174" s="1" t="str">
        <f>VLOOKUP(D174,Table12[[Name]:[Native]],3,FALSE)</f>
        <v>钱塘区</v>
      </c>
      <c r="G174" s="14" t="str">
        <f ca="1">VLOOKUP(F174,Table12[[Native]:[Population4]],5,FALSE)</f>
        <v>杭州市</v>
      </c>
    </row>
    <row r="175" spans="1:7" ht="15.75" thickBot="1" x14ac:dyDescent="0.3">
      <c r="A175" t="s">
        <v>368</v>
      </c>
      <c r="B175" s="1" t="s">
        <v>369</v>
      </c>
      <c r="C175" s="1" t="s">
        <v>7</v>
      </c>
      <c r="D175" s="1" t="s">
        <v>22</v>
      </c>
      <c r="E175" s="4">
        <v>10605</v>
      </c>
      <c r="F175" s="1" t="str">
        <f>VLOOKUP(D175,Table12[[Name]:[Native]],3,FALSE)</f>
        <v>临安区</v>
      </c>
      <c r="G175" s="14" t="str">
        <f ca="1">VLOOKUP(F175,Table12[[Native]:[Population4]],5,FALSE)</f>
        <v>杭州市</v>
      </c>
    </row>
    <row r="176" spans="1:7" ht="15.75" thickBot="1" x14ac:dyDescent="0.3">
      <c r="A176" t="s">
        <v>370</v>
      </c>
      <c r="B176" s="1" t="s">
        <v>371</v>
      </c>
      <c r="C176" s="1" t="s">
        <v>15</v>
      </c>
      <c r="D176" s="1" t="s">
        <v>31</v>
      </c>
      <c r="E176" s="4">
        <v>79503</v>
      </c>
      <c r="F176" s="1" t="str">
        <f>VLOOKUP(D176,Table12[[Name]:[Native]],3,FALSE)</f>
        <v>西湖区</v>
      </c>
      <c r="G176" s="14" t="str">
        <f ca="1">VLOOKUP(F176,Table12[[Native]:[Population4]],5,FALSE)</f>
        <v>杭州市</v>
      </c>
    </row>
    <row r="177" spans="1:7" ht="15.75" thickBot="1" x14ac:dyDescent="0.3">
      <c r="A177" t="s">
        <v>372</v>
      </c>
      <c r="B177" s="1" t="s">
        <v>373</v>
      </c>
      <c r="C177" s="1" t="s">
        <v>15</v>
      </c>
      <c r="D177" s="1" t="s">
        <v>42</v>
      </c>
      <c r="E177" s="4">
        <v>60435</v>
      </c>
      <c r="F177" s="1" t="str">
        <f>VLOOKUP(D177,Table12[[Name]:[Native]],3,FALSE)</f>
        <v>滨江区</v>
      </c>
      <c r="G177" s="14" t="str">
        <f ca="1">VLOOKUP(F177,Table12[[Native]:[Population4]],5,FALSE)</f>
        <v>杭州市</v>
      </c>
    </row>
    <row r="178" spans="1:7" ht="15.75" thickBot="1" x14ac:dyDescent="0.3">
      <c r="A178" t="s">
        <v>374</v>
      </c>
      <c r="B178" s="1" t="s">
        <v>375</v>
      </c>
      <c r="C178" s="1" t="s">
        <v>11</v>
      </c>
      <c r="D178" s="1" t="s">
        <v>39</v>
      </c>
      <c r="E178" s="4">
        <v>15174</v>
      </c>
      <c r="F178" s="1" t="str">
        <f>VLOOKUP(D178,Table12[[Name]:[Native]],3,FALSE)</f>
        <v>富阳区</v>
      </c>
      <c r="G178" s="14" t="str">
        <f ca="1">VLOOKUP(F178,Table12[[Native]:[Population4]],5,FALSE)</f>
        <v>杭州市</v>
      </c>
    </row>
    <row r="179" spans="1:7" ht="15.75" thickBot="1" x14ac:dyDescent="0.3">
      <c r="A179" t="s">
        <v>376</v>
      </c>
      <c r="B179" s="1" t="s">
        <v>377</v>
      </c>
      <c r="C179" s="1" t="s">
        <v>11</v>
      </c>
      <c r="D179" s="1" t="s">
        <v>68</v>
      </c>
      <c r="E179" s="4">
        <v>15803</v>
      </c>
      <c r="F179" s="1" t="str">
        <f>VLOOKUP(D179,Table12[[Name]:[Native]],3,FALSE)</f>
        <v>建德市</v>
      </c>
      <c r="G179" s="14" t="str">
        <f ca="1">VLOOKUP(F179,Table12[[Native]:[Population4]],5,FALSE)</f>
        <v>杭州市</v>
      </c>
    </row>
    <row r="180" spans="1:7" ht="15.75" thickBot="1" x14ac:dyDescent="0.3">
      <c r="A180" t="s">
        <v>378</v>
      </c>
      <c r="B180" s="1" t="s">
        <v>379</v>
      </c>
      <c r="C180" s="1" t="s">
        <v>15</v>
      </c>
      <c r="D180" s="1" t="s">
        <v>68</v>
      </c>
      <c r="E180" s="4">
        <v>14970</v>
      </c>
      <c r="F180" s="1" t="str">
        <f>VLOOKUP(D180,Table12[[Name]:[Native]],3,FALSE)</f>
        <v>建德市</v>
      </c>
      <c r="G180" s="14" t="str">
        <f ca="1">VLOOKUP(F180,Table12[[Native]:[Population4]],5,FALSE)</f>
        <v>杭州市</v>
      </c>
    </row>
    <row r="181" spans="1:7" ht="15.75" thickBot="1" x14ac:dyDescent="0.3">
      <c r="A181" t="s">
        <v>380</v>
      </c>
      <c r="B181" s="1" t="s">
        <v>381</v>
      </c>
      <c r="C181" s="1" t="s">
        <v>11</v>
      </c>
      <c r="D181" s="1" t="s">
        <v>12</v>
      </c>
      <c r="E181" s="4">
        <v>27078</v>
      </c>
      <c r="F181" s="1" t="str">
        <f>VLOOKUP(D181,Table12[[Name]:[Native]],3,FALSE)</f>
        <v>桐庐县</v>
      </c>
      <c r="G181" s="14" t="str">
        <f ca="1">VLOOKUP(F181,Table12[[Native]:[Population4]],5,FALSE)</f>
        <v>杭州市</v>
      </c>
    </row>
    <row r="182" spans="1:7" ht="15.75" thickBot="1" x14ac:dyDescent="0.3">
      <c r="A182" t="s">
        <v>382</v>
      </c>
      <c r="B182" s="1" t="s">
        <v>383</v>
      </c>
      <c r="C182" s="1" t="s">
        <v>7</v>
      </c>
      <c r="D182" s="1" t="s">
        <v>8</v>
      </c>
      <c r="E182" s="4">
        <v>7766</v>
      </c>
      <c r="F182" s="1" t="str">
        <f>VLOOKUP(D182,Table12[[Name]:[Native]],3,FALSE)</f>
        <v>淳安县</v>
      </c>
      <c r="G182" s="14" t="str">
        <f ca="1">VLOOKUP(F182,Table12[[Native]:[Population4]],5,FALSE)</f>
        <v>杭州市</v>
      </c>
    </row>
    <row r="183" spans="1:7" ht="15.75" thickBot="1" x14ac:dyDescent="0.3">
      <c r="A183" t="s">
        <v>384</v>
      </c>
      <c r="B183" s="1" t="s">
        <v>385</v>
      </c>
      <c r="C183" s="1" t="s">
        <v>11</v>
      </c>
      <c r="D183" s="1" t="s">
        <v>28</v>
      </c>
      <c r="E183" s="4">
        <v>35200</v>
      </c>
      <c r="F183" s="1" t="str">
        <f>VLOOKUP(D183,Table12[[Name]:[Native]],3,FALSE)</f>
        <v>萧山区</v>
      </c>
      <c r="G183" s="14" t="str">
        <f ca="1">VLOOKUP(F183,Table12[[Native]:[Population4]],5,FALSE)</f>
        <v>杭州市</v>
      </c>
    </row>
    <row r="184" spans="1:7" ht="15.75" thickBot="1" x14ac:dyDescent="0.3">
      <c r="A184" t="s">
        <v>386</v>
      </c>
      <c r="B184" s="1" t="s">
        <v>387</v>
      </c>
      <c r="C184" s="1" t="s">
        <v>15</v>
      </c>
      <c r="D184" s="1" t="s">
        <v>39</v>
      </c>
      <c r="E184" s="4">
        <v>58937</v>
      </c>
      <c r="F184" s="1" t="str">
        <f>VLOOKUP(D184,Table12[[Name]:[Native]],3,FALSE)</f>
        <v>富阳区</v>
      </c>
      <c r="G184" s="14" t="str">
        <f ca="1">VLOOKUP(F184,Table12[[Native]:[Population4]],5,FALSE)</f>
        <v>杭州市</v>
      </c>
    </row>
    <row r="185" spans="1:7" ht="15.75" thickBot="1" x14ac:dyDescent="0.3">
      <c r="A185" t="s">
        <v>388</v>
      </c>
      <c r="B185" s="1" t="s">
        <v>389</v>
      </c>
      <c r="C185" s="1" t="s">
        <v>11</v>
      </c>
      <c r="D185" s="1" t="s">
        <v>28</v>
      </c>
      <c r="E185" s="4">
        <v>45609</v>
      </c>
      <c r="F185" s="1" t="str">
        <f>VLOOKUP(D185,Table12[[Name]:[Native]],3,FALSE)</f>
        <v>萧山区</v>
      </c>
      <c r="G185" s="14" t="str">
        <f ca="1">VLOOKUP(F185,Table12[[Native]:[Population4]],5,FALSE)</f>
        <v>杭州市</v>
      </c>
    </row>
    <row r="186" spans="1:7" ht="15.75" thickBot="1" x14ac:dyDescent="0.3">
      <c r="A186" t="s">
        <v>390</v>
      </c>
      <c r="B186" s="1" t="s">
        <v>391</v>
      </c>
      <c r="C186" s="1" t="s">
        <v>15</v>
      </c>
      <c r="D186" s="1" t="s">
        <v>16</v>
      </c>
      <c r="E186" s="4">
        <v>68091</v>
      </c>
      <c r="F186" s="1" t="str">
        <f>VLOOKUP(D186,Table12[[Name]:[Native]],3,FALSE)</f>
        <v>钱塘区</v>
      </c>
      <c r="G186" s="14" t="str">
        <f ca="1">VLOOKUP(F186,Table12[[Native]:[Population4]],5,FALSE)</f>
        <v>杭州市</v>
      </c>
    </row>
    <row r="187" spans="1:7" ht="15.75" thickBot="1" x14ac:dyDescent="0.3">
      <c r="A187" t="s">
        <v>392</v>
      </c>
      <c r="B187" s="1" t="s">
        <v>393</v>
      </c>
      <c r="C187" s="1" t="s">
        <v>11</v>
      </c>
      <c r="D187" s="1" t="s">
        <v>28</v>
      </c>
      <c r="E187" s="4">
        <v>50164</v>
      </c>
      <c r="F187" s="1" t="str">
        <f>VLOOKUP(D187,Table12[[Name]:[Native]],3,FALSE)</f>
        <v>萧山区</v>
      </c>
      <c r="G187" s="14" t="str">
        <f ca="1">VLOOKUP(F187,Table12[[Native]:[Population4]],5,FALSE)</f>
        <v>杭州市</v>
      </c>
    </row>
    <row r="188" spans="1:7" ht="15.75" thickBot="1" x14ac:dyDescent="0.3">
      <c r="A188" t="s">
        <v>394</v>
      </c>
      <c r="B188" s="1" t="s">
        <v>395</v>
      </c>
      <c r="C188" s="1" t="s">
        <v>11</v>
      </c>
      <c r="D188" s="1" t="s">
        <v>39</v>
      </c>
      <c r="E188" s="4">
        <v>9168</v>
      </c>
      <c r="F188" s="1" t="str">
        <f>VLOOKUP(D188,Table12[[Name]:[Native]],3,FALSE)</f>
        <v>富阳区</v>
      </c>
      <c r="G188" s="14" t="str">
        <f ca="1">VLOOKUP(F188,Table12[[Native]:[Population4]],5,FALSE)</f>
        <v>杭州市</v>
      </c>
    </row>
    <row r="189" spans="1:7" ht="15.75" thickBot="1" x14ac:dyDescent="0.3">
      <c r="A189" t="s">
        <v>396</v>
      </c>
      <c r="B189" s="1" t="s">
        <v>397</v>
      </c>
      <c r="C189" s="1" t="s">
        <v>15</v>
      </c>
      <c r="D189" s="1" t="s">
        <v>19</v>
      </c>
      <c r="E189" s="4">
        <v>80371</v>
      </c>
      <c r="F189" s="1" t="str">
        <f>VLOOKUP(D189,Table12[[Name]:[Native]],3,FALSE)</f>
        <v>余杭区</v>
      </c>
      <c r="G189" s="14" t="str">
        <f ca="1">VLOOKUP(F189,Table12[[Native]:[Population4]],5,FALSE)</f>
        <v>杭州市</v>
      </c>
    </row>
    <row r="190" spans="1:7" ht="15.75" thickBot="1" x14ac:dyDescent="0.3">
      <c r="A190" s="1" t="s">
        <v>398</v>
      </c>
      <c r="B190" s="1" t="s">
        <v>399</v>
      </c>
      <c r="C190" s="1" t="s">
        <v>253</v>
      </c>
      <c r="D190" s="1" t="s">
        <v>59</v>
      </c>
      <c r="E190" s="4">
        <v>84804</v>
      </c>
      <c r="F190" s="1" t="str">
        <f>VLOOKUP(D190,Table12[[Name]:[Native]],3,FALSE)</f>
        <v>临平区</v>
      </c>
      <c r="G190" s="14" t="str">
        <f ca="1">VLOOKUP(F190,Table12[[Native]:[Population4]],5,FALSE)</f>
        <v>杭州市</v>
      </c>
    </row>
    <row r="191" spans="1:7" ht="15.75" thickBot="1" x14ac:dyDescent="0.3">
      <c r="A191" t="s">
        <v>400</v>
      </c>
      <c r="B191" s="1" t="s">
        <v>401</v>
      </c>
      <c r="C191" s="1" t="s">
        <v>15</v>
      </c>
      <c r="D191" s="1" t="s">
        <v>59</v>
      </c>
      <c r="E191" s="4">
        <v>47336</v>
      </c>
      <c r="F191" s="1" t="str">
        <f>VLOOKUP(D191,Table12[[Name]:[Native]],3,FALSE)</f>
        <v>临平区</v>
      </c>
      <c r="G191" s="14" t="str">
        <f ca="1">VLOOKUP(F191,Table12[[Native]:[Population4]],5,FALSE)</f>
        <v>杭州市</v>
      </c>
    </row>
    <row r="192" spans="1:7" ht="15.75" thickBot="1" x14ac:dyDescent="0.3">
      <c r="A192" t="s">
        <v>402</v>
      </c>
      <c r="B192" s="1" t="s">
        <v>403</v>
      </c>
      <c r="C192" s="1" t="s">
        <v>7</v>
      </c>
      <c r="D192" s="1" t="s">
        <v>39</v>
      </c>
      <c r="E192" s="4">
        <v>9285</v>
      </c>
      <c r="F192" s="1" t="str">
        <f>VLOOKUP(D192,Table12[[Name]:[Native]],3,FALSE)</f>
        <v>富阳区</v>
      </c>
      <c r="G192" s="14" t="str">
        <f ca="1">VLOOKUP(F192,Table12[[Native]:[Population4]],5,FALSE)</f>
        <v>杭州市</v>
      </c>
    </row>
    <row r="193" spans="1:7" ht="15.75" thickBot="1" x14ac:dyDescent="0.3">
      <c r="A193" t="s">
        <v>404</v>
      </c>
      <c r="B193" s="1" t="s">
        <v>405</v>
      </c>
      <c r="C193" s="1" t="s">
        <v>15</v>
      </c>
      <c r="D193" s="1" t="s">
        <v>34</v>
      </c>
      <c r="E193" s="4">
        <v>91750</v>
      </c>
      <c r="F193" s="1" t="str">
        <f>VLOOKUP(D193,Table12[[Name]:[Native]],3,FALSE)</f>
        <v>上城区</v>
      </c>
      <c r="G193" s="14" t="str">
        <f ca="1">VLOOKUP(F193,Table12[[Native]:[Population4]],5,FALSE)</f>
        <v>杭州市</v>
      </c>
    </row>
    <row r="194" spans="1:7" ht="15.75" thickBot="1" x14ac:dyDescent="0.3">
      <c r="A194" t="s">
        <v>406</v>
      </c>
      <c r="B194" s="1" t="s">
        <v>407</v>
      </c>
      <c r="C194" s="1" t="s">
        <v>7</v>
      </c>
      <c r="D194" s="1" t="s">
        <v>12</v>
      </c>
      <c r="E194" s="4">
        <v>14030</v>
      </c>
      <c r="F194" s="1" t="str">
        <f>VLOOKUP(D194,Table12[[Name]:[Native]],3,FALSE)</f>
        <v>桐庐县</v>
      </c>
      <c r="G194" s="14" t="str">
        <f ca="1">VLOOKUP(F194,Table12[[Native]:[Population4]],5,FALSE)</f>
        <v>杭州市</v>
      </c>
    </row>
    <row r="195" spans="1:7" ht="15.75" thickBot="1" x14ac:dyDescent="0.3">
      <c r="A195" t="s">
        <v>408</v>
      </c>
      <c r="B195" s="1" t="s">
        <v>409</v>
      </c>
      <c r="C195" s="1" t="s">
        <v>15</v>
      </c>
      <c r="D195" s="1" t="s">
        <v>19</v>
      </c>
      <c r="E195" s="4">
        <v>27709</v>
      </c>
      <c r="F195" s="1" t="str">
        <f>VLOOKUP(D195,Table12[[Name]:[Native]],3,FALSE)</f>
        <v>余杭区</v>
      </c>
      <c r="G195" s="14" t="str">
        <f ca="1">VLOOKUP(F195,Table12[[Native]:[Population4]],5,FALSE)</f>
        <v>杭州市</v>
      </c>
    </row>
    <row r="196" spans="1:7" ht="15.75" thickBot="1" x14ac:dyDescent="0.3">
      <c r="A196" t="s">
        <v>410</v>
      </c>
      <c r="B196" s="1" t="s">
        <v>411</v>
      </c>
      <c r="C196" s="1" t="s">
        <v>11</v>
      </c>
      <c r="D196" s="1" t="s">
        <v>8</v>
      </c>
      <c r="E196" s="4">
        <v>10129</v>
      </c>
      <c r="F196" s="1" t="str">
        <f>VLOOKUP(D196,Table12[[Name]:[Native]],3,FALSE)</f>
        <v>淳安县</v>
      </c>
      <c r="G196" s="14" t="str">
        <f ca="1">VLOOKUP(F196,Table12[[Native]:[Population4]],5,FALSE)</f>
        <v>杭州市</v>
      </c>
    </row>
    <row r="197" spans="1:7" ht="15.75" thickBot="1" x14ac:dyDescent="0.3">
      <c r="A197" t="s">
        <v>412</v>
      </c>
      <c r="B197" s="1" t="s">
        <v>413</v>
      </c>
      <c r="C197" s="1" t="s">
        <v>15</v>
      </c>
      <c r="D197" s="1" t="s">
        <v>31</v>
      </c>
      <c r="E197" s="4">
        <v>71034</v>
      </c>
      <c r="F197" s="1" t="str">
        <f>VLOOKUP(D197,Table12[[Name]:[Native]],3,FALSE)</f>
        <v>西湖区</v>
      </c>
      <c r="G197" s="14" t="str">
        <f ca="1">VLOOKUP(F197,Table12[[Native]:[Population4]],5,FALSE)</f>
        <v>杭州市</v>
      </c>
    </row>
    <row r="198" spans="1:7" ht="15.75" thickBot="1" x14ac:dyDescent="0.3">
      <c r="A198" t="s">
        <v>414</v>
      </c>
      <c r="B198" s="1" t="s">
        <v>415</v>
      </c>
      <c r="C198" s="1" t="s">
        <v>11</v>
      </c>
      <c r="D198" s="1" t="s">
        <v>8</v>
      </c>
      <c r="E198" s="4">
        <v>12371</v>
      </c>
      <c r="F198" s="1" t="str">
        <f>VLOOKUP(D198,Table12[[Name]:[Native]],3,FALSE)</f>
        <v>淳安县</v>
      </c>
      <c r="G198" s="14" t="str">
        <f ca="1">VLOOKUP(F198,Table12[[Native]:[Population4]],5,FALSE)</f>
        <v>杭州市</v>
      </c>
    </row>
    <row r="199" spans="1:7" ht="15.75" thickBot="1" x14ac:dyDescent="0.3">
      <c r="A199" t="s">
        <v>416</v>
      </c>
      <c r="B199" s="1" t="s">
        <v>417</v>
      </c>
      <c r="C199" s="1" t="s">
        <v>15</v>
      </c>
      <c r="D199" s="1" t="s">
        <v>34</v>
      </c>
      <c r="E199" s="4">
        <v>81702</v>
      </c>
      <c r="F199" s="1" t="str">
        <f>VLOOKUP(D199,Table12[[Name]:[Native]],3,FALSE)</f>
        <v>上城区</v>
      </c>
      <c r="G199" s="14" t="str">
        <f ca="1">VLOOKUP(F199,Table12[[Native]:[Population4]],5,FALSE)</f>
        <v>杭州市</v>
      </c>
    </row>
    <row r="200" spans="1:7" ht="15.75" thickBot="1" x14ac:dyDescent="0.3">
      <c r="A200" t="s">
        <v>418</v>
      </c>
      <c r="B200" s="1" t="s">
        <v>419</v>
      </c>
      <c r="C200" s="1" t="s">
        <v>7</v>
      </c>
      <c r="D200" s="1" t="s">
        <v>8</v>
      </c>
      <c r="E200" s="4">
        <v>6986</v>
      </c>
      <c r="F200" s="10" t="str">
        <f>VLOOKUP(D200,Table12[[Name]:[Native]],3,FALSE)</f>
        <v>淳安县</v>
      </c>
      <c r="G200" s="14" t="str">
        <f ca="1">VLOOKUP(F200,Table12[[Native]:[Population4]],5,FALSE)</f>
        <v>杭州市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6EAFB-0E94-4789-9405-D6246D6B3FD9}">
  <dimension ref="A1:G64"/>
  <sheetViews>
    <sheetView topLeftCell="A39" workbookViewId="0">
      <selection activeCell="G2" sqref="A2:G64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3023</v>
      </c>
      <c r="G1" t="s">
        <v>3025</v>
      </c>
    </row>
    <row r="2" spans="1:7" ht="15.75" thickBot="1" x14ac:dyDescent="0.3">
      <c r="A2" t="s">
        <v>420</v>
      </c>
      <c r="B2" s="1" t="s">
        <v>421</v>
      </c>
      <c r="C2" s="1" t="s">
        <v>15</v>
      </c>
      <c r="D2" s="1" t="s">
        <v>422</v>
      </c>
      <c r="E2" s="4">
        <v>15318</v>
      </c>
      <c r="F2" s="9" t="str">
        <f>VLOOKUP(D2,Table12[[Name]:[Native]],3,FALSE)</f>
        <v>吴兴区</v>
      </c>
      <c r="G2" s="14" t="str">
        <f ca="1">VLOOKUP(F2,Table12[[Native]:[Population4]],5,FALSE)</f>
        <v>湖州市</v>
      </c>
    </row>
    <row r="3" spans="1:7" ht="15.75" thickBot="1" x14ac:dyDescent="0.3">
      <c r="A3" t="s">
        <v>423</v>
      </c>
      <c r="B3" s="1" t="s">
        <v>424</v>
      </c>
      <c r="C3" s="1" t="s">
        <v>11</v>
      </c>
      <c r="D3" s="1" t="s">
        <v>422</v>
      </c>
      <c r="E3" s="4">
        <v>62833</v>
      </c>
      <c r="F3" s="1" t="str">
        <f>VLOOKUP(D3,Table12[[Name]:[Native]],3,FALSE)</f>
        <v>吴兴区</v>
      </c>
      <c r="G3" s="14" t="str">
        <f ca="1">VLOOKUP(F3,Table12[[Native]:[Population4]],5,FALSE)</f>
        <v>湖州市</v>
      </c>
    </row>
    <row r="4" spans="1:7" ht="15.75" thickBot="1" x14ac:dyDescent="0.3">
      <c r="A4" t="s">
        <v>425</v>
      </c>
      <c r="B4" s="1" t="s">
        <v>426</v>
      </c>
      <c r="C4" s="1" t="s">
        <v>11</v>
      </c>
      <c r="D4" s="1" t="s">
        <v>427</v>
      </c>
      <c r="E4" s="4">
        <v>13701</v>
      </c>
      <c r="F4" s="1" t="str">
        <f>VLOOKUP(D4,Table12[[Name]:[Native]],3,FALSE)</f>
        <v>安吉县</v>
      </c>
      <c r="G4" s="14" t="str">
        <f ca="1">VLOOKUP(F4,Table12[[Native]:[Population4]],5,FALSE)</f>
        <v>湖州市</v>
      </c>
    </row>
    <row r="5" spans="1:7" ht="15.75" thickBot="1" x14ac:dyDescent="0.3">
      <c r="A5" t="s">
        <v>428</v>
      </c>
      <c r="B5" s="1" t="s">
        <v>429</v>
      </c>
      <c r="C5" s="1" t="s">
        <v>15</v>
      </c>
      <c r="D5" s="1" t="s">
        <v>422</v>
      </c>
      <c r="E5" s="4">
        <v>12533</v>
      </c>
      <c r="F5" s="1" t="str">
        <f>VLOOKUP(D5,Table12[[Name]:[Native]],3,FALSE)</f>
        <v>吴兴区</v>
      </c>
      <c r="G5" s="14" t="str">
        <f ca="1">VLOOKUP(F5,Table12[[Native]:[Population4]],5,FALSE)</f>
        <v>湖州市</v>
      </c>
    </row>
    <row r="6" spans="1:7" ht="15.75" thickBot="1" x14ac:dyDescent="0.3">
      <c r="A6" t="s">
        <v>430</v>
      </c>
      <c r="B6" s="1" t="s">
        <v>431</v>
      </c>
      <c r="C6" s="1" t="s">
        <v>15</v>
      </c>
      <c r="D6" s="1" t="s">
        <v>422</v>
      </c>
      <c r="E6" s="4">
        <v>38630</v>
      </c>
      <c r="F6" s="1" t="str">
        <f>VLOOKUP(D6,Table12[[Name]:[Native]],3,FALSE)</f>
        <v>吴兴区</v>
      </c>
      <c r="G6" s="14" t="str">
        <f ca="1">VLOOKUP(F6,Table12[[Native]:[Population4]],5,FALSE)</f>
        <v>湖州市</v>
      </c>
    </row>
    <row r="7" spans="1:7" ht="15.75" thickBot="1" x14ac:dyDescent="0.3">
      <c r="A7" t="s">
        <v>432</v>
      </c>
      <c r="B7" s="1" t="s">
        <v>433</v>
      </c>
      <c r="C7" s="1" t="s">
        <v>11</v>
      </c>
      <c r="D7" s="1" t="s">
        <v>422</v>
      </c>
      <c r="E7" s="4">
        <v>34047</v>
      </c>
      <c r="F7" s="1" t="str">
        <f>VLOOKUP(D7,Table12[[Name]:[Native]],3,FALSE)</f>
        <v>吴兴区</v>
      </c>
      <c r="G7" s="14" t="str">
        <f ca="1">VLOOKUP(F7,Table12[[Native]:[Population4]],5,FALSE)</f>
        <v>湖州市</v>
      </c>
    </row>
    <row r="8" spans="1:7" ht="15.75" thickBot="1" x14ac:dyDescent="0.3">
      <c r="A8" t="s">
        <v>434</v>
      </c>
      <c r="B8" s="1" t="s">
        <v>435</v>
      </c>
      <c r="C8" s="1" t="s">
        <v>7</v>
      </c>
      <c r="D8" s="1" t="s">
        <v>422</v>
      </c>
      <c r="E8" s="4">
        <v>20564</v>
      </c>
      <c r="F8" s="1" t="str">
        <f>VLOOKUP(D8,Table12[[Name]:[Native]],3,FALSE)</f>
        <v>吴兴区</v>
      </c>
      <c r="G8" s="14" t="str">
        <f ca="1">VLOOKUP(F8,Table12[[Native]:[Population4]],5,FALSE)</f>
        <v>湖州市</v>
      </c>
    </row>
    <row r="9" spans="1:7" ht="15.75" thickBot="1" x14ac:dyDescent="0.3">
      <c r="A9" t="s">
        <v>436</v>
      </c>
      <c r="B9" s="1" t="s">
        <v>437</v>
      </c>
      <c r="C9" s="1" t="s">
        <v>253</v>
      </c>
      <c r="D9" s="1" t="s">
        <v>438</v>
      </c>
      <c r="E9" s="4">
        <v>26289</v>
      </c>
      <c r="F9" s="1" t="str">
        <f>VLOOKUP(D9,Table12[[Name]:[Native]],3,FALSE)</f>
        <v>德清县</v>
      </c>
      <c r="G9" s="14" t="str">
        <f ca="1">VLOOKUP(F9,Table12[[Native]:[Population4]],5,FALSE)</f>
        <v>湖州市</v>
      </c>
    </row>
    <row r="10" spans="1:7" ht="15.75" thickBot="1" x14ac:dyDescent="0.3">
      <c r="A10" t="s">
        <v>439</v>
      </c>
      <c r="B10" s="1" t="s">
        <v>440</v>
      </c>
      <c r="C10" s="1" t="s">
        <v>15</v>
      </c>
      <c r="D10" s="1" t="s">
        <v>427</v>
      </c>
      <c r="E10" s="4">
        <v>204360</v>
      </c>
      <c r="F10" s="1" t="str">
        <f>VLOOKUP(D10,Table12[[Name]:[Native]],3,FALSE)</f>
        <v>安吉县</v>
      </c>
      <c r="G10" s="14" t="str">
        <f ca="1">VLOOKUP(F10,Table12[[Native]:[Population4]],5,FALSE)</f>
        <v>湖州市</v>
      </c>
    </row>
    <row r="11" spans="1:7" ht="15.75" thickBot="1" x14ac:dyDescent="0.3">
      <c r="A11" t="s">
        <v>441</v>
      </c>
      <c r="B11" s="1" t="s">
        <v>442</v>
      </c>
      <c r="C11" s="1" t="s">
        <v>11</v>
      </c>
      <c r="D11" s="1" t="s">
        <v>422</v>
      </c>
      <c r="E11" s="4">
        <v>29825</v>
      </c>
      <c r="F11" s="1" t="str">
        <f>VLOOKUP(D11,Table12[[Name]:[Native]],3,FALSE)</f>
        <v>吴兴区</v>
      </c>
      <c r="G11" s="14" t="str">
        <f ca="1">VLOOKUP(F11,Table12[[Native]:[Population4]],5,FALSE)</f>
        <v>湖州市</v>
      </c>
    </row>
    <row r="12" spans="1:7" ht="15.75" thickBot="1" x14ac:dyDescent="0.3">
      <c r="A12" t="s">
        <v>443</v>
      </c>
      <c r="B12" s="1" t="s">
        <v>444</v>
      </c>
      <c r="C12" s="1" t="s">
        <v>15</v>
      </c>
      <c r="D12" s="1" t="s">
        <v>422</v>
      </c>
      <c r="E12" s="4">
        <v>31621</v>
      </c>
      <c r="F12" s="1" t="str">
        <f>VLOOKUP(D12,Table12[[Name]:[Native]],3,FALSE)</f>
        <v>吴兴区</v>
      </c>
      <c r="G12" s="14" t="str">
        <f ca="1">VLOOKUP(F12,Table12[[Native]:[Population4]],5,FALSE)</f>
        <v>湖州市</v>
      </c>
    </row>
    <row r="13" spans="1:7" ht="15.75" thickBot="1" x14ac:dyDescent="0.3">
      <c r="A13" t="s">
        <v>445</v>
      </c>
      <c r="B13" s="1" t="s">
        <v>446</v>
      </c>
      <c r="C13" s="1" t="s">
        <v>15</v>
      </c>
      <c r="D13" s="1" t="s">
        <v>422</v>
      </c>
      <c r="E13" s="4">
        <v>55342</v>
      </c>
      <c r="F13" s="1" t="str">
        <f>VLOOKUP(D13,Table12[[Name]:[Native]],3,FALSE)</f>
        <v>吴兴区</v>
      </c>
      <c r="G13" s="14" t="str">
        <f ca="1">VLOOKUP(F13,Table12[[Native]:[Population4]],5,FALSE)</f>
        <v>湖州市</v>
      </c>
    </row>
    <row r="14" spans="1:7" ht="15.75" thickBot="1" x14ac:dyDescent="0.3">
      <c r="A14" t="s">
        <v>447</v>
      </c>
      <c r="B14" s="1" t="s">
        <v>448</v>
      </c>
      <c r="C14" s="1" t="s">
        <v>11</v>
      </c>
      <c r="D14" s="1" t="s">
        <v>427</v>
      </c>
      <c r="E14" s="4">
        <v>27407</v>
      </c>
      <c r="F14" s="1" t="str">
        <f>VLOOKUP(D14,Table12[[Name]:[Native]],3,FALSE)</f>
        <v>安吉县</v>
      </c>
      <c r="G14" s="14" t="str">
        <f ca="1">VLOOKUP(F14,Table12[[Native]:[Population4]],5,FALSE)</f>
        <v>湖州市</v>
      </c>
    </row>
    <row r="15" spans="1:7" ht="15.75" thickBot="1" x14ac:dyDescent="0.3">
      <c r="A15" t="s">
        <v>449</v>
      </c>
      <c r="B15" s="1" t="s">
        <v>450</v>
      </c>
      <c r="C15" s="1" t="s">
        <v>11</v>
      </c>
      <c r="D15" s="1" t="s">
        <v>451</v>
      </c>
      <c r="E15" s="4">
        <v>47515</v>
      </c>
      <c r="F15" s="1" t="str">
        <f>VLOOKUP(D15,Table12[[Name]:[Native]],3,FALSE)</f>
        <v>南浔区</v>
      </c>
      <c r="G15" s="14" t="str">
        <f ca="1">VLOOKUP(F15,Table12[[Native]:[Population4]],5,FALSE)</f>
        <v>湖州市</v>
      </c>
    </row>
    <row r="16" spans="1:7" ht="15.75" thickBot="1" x14ac:dyDescent="0.3">
      <c r="A16" t="s">
        <v>452</v>
      </c>
      <c r="B16" s="1" t="s">
        <v>453</v>
      </c>
      <c r="C16" s="1" t="s">
        <v>11</v>
      </c>
      <c r="D16" s="1" t="s">
        <v>454</v>
      </c>
      <c r="E16" s="4">
        <v>49008</v>
      </c>
      <c r="F16" s="1" t="str">
        <f>VLOOKUP(D16,Table12[[Name]:[Native]],3,FALSE)</f>
        <v>长兴县</v>
      </c>
      <c r="G16" s="14" t="str">
        <f ca="1">VLOOKUP(F16,Table12[[Native]:[Population4]],5,FALSE)</f>
        <v>湖州市</v>
      </c>
    </row>
    <row r="17" spans="1:7" ht="15.75" thickBot="1" x14ac:dyDescent="0.3">
      <c r="A17" t="s">
        <v>455</v>
      </c>
      <c r="B17" s="1" t="s">
        <v>456</v>
      </c>
      <c r="C17" s="1" t="s">
        <v>11</v>
      </c>
      <c r="D17" s="1" t="s">
        <v>454</v>
      </c>
      <c r="E17" s="4">
        <v>38804</v>
      </c>
      <c r="F17" s="1" t="str">
        <f>VLOOKUP(D17,Table12[[Name]:[Native]],3,FALSE)</f>
        <v>长兴县</v>
      </c>
      <c r="G17" s="14" t="str">
        <f ca="1">VLOOKUP(F17,Table12[[Native]:[Population4]],5,FALSE)</f>
        <v>湖州市</v>
      </c>
    </row>
    <row r="18" spans="1:7" ht="15.75" thickBot="1" x14ac:dyDescent="0.3">
      <c r="A18" t="s">
        <v>457</v>
      </c>
      <c r="B18" s="1" t="s">
        <v>458</v>
      </c>
      <c r="C18" s="1" t="s">
        <v>11</v>
      </c>
      <c r="D18" s="1" t="s">
        <v>454</v>
      </c>
      <c r="E18" s="4">
        <v>32803</v>
      </c>
      <c r="F18" s="1" t="str">
        <f>VLOOKUP(D18,Table12[[Name]:[Native]],3,FALSE)</f>
        <v>长兴县</v>
      </c>
      <c r="G18" s="14" t="str">
        <f ca="1">VLOOKUP(F18,Table12[[Native]:[Population4]],5,FALSE)</f>
        <v>湖州市</v>
      </c>
    </row>
    <row r="19" spans="1:7" ht="15.75" thickBot="1" x14ac:dyDescent="0.3">
      <c r="A19" t="s">
        <v>459</v>
      </c>
      <c r="B19" s="1" t="s">
        <v>460</v>
      </c>
      <c r="C19" s="1" t="s">
        <v>15</v>
      </c>
      <c r="D19" s="1" t="s">
        <v>422</v>
      </c>
      <c r="E19" s="4">
        <v>41068</v>
      </c>
      <c r="F19" s="1" t="str">
        <f>VLOOKUP(D19,Table12[[Name]:[Native]],3,FALSE)</f>
        <v>吴兴区</v>
      </c>
      <c r="G19" s="14" t="str">
        <f ca="1">VLOOKUP(F19,Table12[[Native]:[Population4]],5,FALSE)</f>
        <v>湖州市</v>
      </c>
    </row>
    <row r="20" spans="1:7" ht="15.75" thickBot="1" x14ac:dyDescent="0.3">
      <c r="A20" t="s">
        <v>461</v>
      </c>
      <c r="B20" s="1" t="s">
        <v>462</v>
      </c>
      <c r="C20" s="1" t="s">
        <v>11</v>
      </c>
      <c r="D20" s="1" t="s">
        <v>454</v>
      </c>
      <c r="E20" s="4">
        <v>29963</v>
      </c>
      <c r="F20" s="1" t="str">
        <f>VLOOKUP(D20,Table12[[Name]:[Native]],3,FALSE)</f>
        <v>长兴县</v>
      </c>
      <c r="G20" s="14" t="str">
        <f ca="1">VLOOKUP(F20,Table12[[Native]:[Population4]],5,FALSE)</f>
        <v>湖州市</v>
      </c>
    </row>
    <row r="21" spans="1:7" ht="15.75" thickBot="1" x14ac:dyDescent="0.3">
      <c r="A21" t="s">
        <v>463</v>
      </c>
      <c r="B21" s="1" t="s">
        <v>464</v>
      </c>
      <c r="C21" s="1" t="s">
        <v>11</v>
      </c>
      <c r="D21" s="1" t="s">
        <v>451</v>
      </c>
      <c r="E21" s="4">
        <v>24696</v>
      </c>
      <c r="F21" s="1" t="str">
        <f>VLOOKUP(D21,Table12[[Name]:[Native]],3,FALSE)</f>
        <v>南浔区</v>
      </c>
      <c r="G21" s="14" t="str">
        <f ca="1">VLOOKUP(F21,Table12[[Native]:[Population4]],5,FALSE)</f>
        <v>湖州市</v>
      </c>
    </row>
    <row r="22" spans="1:7" ht="15.75" thickBot="1" x14ac:dyDescent="0.3">
      <c r="A22" t="s">
        <v>465</v>
      </c>
      <c r="B22" s="1" t="s">
        <v>466</v>
      </c>
      <c r="C22" s="1" t="s">
        <v>253</v>
      </c>
      <c r="D22" s="1" t="s">
        <v>451</v>
      </c>
      <c r="E22" s="4">
        <v>51198</v>
      </c>
      <c r="F22" s="1" t="str">
        <f>VLOOKUP(D22,Table12[[Name]:[Native]],3,FALSE)</f>
        <v>南浔区</v>
      </c>
      <c r="G22" s="14" t="str">
        <f ca="1">VLOOKUP(F22,Table12[[Native]:[Population4]],5,FALSE)</f>
        <v>湖州市</v>
      </c>
    </row>
    <row r="23" spans="1:7" ht="15.75" thickBot="1" x14ac:dyDescent="0.3">
      <c r="A23" t="s">
        <v>467</v>
      </c>
      <c r="B23" s="1" t="s">
        <v>468</v>
      </c>
      <c r="C23" s="1" t="s">
        <v>15</v>
      </c>
      <c r="D23" s="1" t="s">
        <v>422</v>
      </c>
      <c r="E23" s="4">
        <v>22362</v>
      </c>
      <c r="F23" s="1" t="str">
        <f>VLOOKUP(D23,Table12[[Name]:[Native]],3,FALSE)</f>
        <v>吴兴区</v>
      </c>
      <c r="G23" s="14" t="str">
        <f ca="1">VLOOKUP(F23,Table12[[Native]:[Population4]],5,FALSE)</f>
        <v>湖州市</v>
      </c>
    </row>
    <row r="24" spans="1:7" ht="15.75" thickBot="1" x14ac:dyDescent="0.3">
      <c r="A24" t="s">
        <v>469</v>
      </c>
      <c r="B24" s="1" t="s">
        <v>470</v>
      </c>
      <c r="C24" s="1" t="s">
        <v>11</v>
      </c>
      <c r="D24" s="1" t="s">
        <v>438</v>
      </c>
      <c r="E24" s="4">
        <v>36652</v>
      </c>
      <c r="F24" s="1" t="str">
        <f>VLOOKUP(D24,Table12[[Name]:[Native]],3,FALSE)</f>
        <v>德清县</v>
      </c>
      <c r="G24" s="14" t="str">
        <f ca="1">VLOOKUP(F24,Table12[[Native]:[Population4]],5,FALSE)</f>
        <v>湖州市</v>
      </c>
    </row>
    <row r="25" spans="1:7" ht="15.75" thickBot="1" x14ac:dyDescent="0.3">
      <c r="A25" t="s">
        <v>471</v>
      </c>
      <c r="B25" s="1" t="s">
        <v>472</v>
      </c>
      <c r="C25" s="1" t="s">
        <v>11</v>
      </c>
      <c r="D25" s="1" t="s">
        <v>451</v>
      </c>
      <c r="E25" s="4">
        <v>87255</v>
      </c>
      <c r="F25" s="1" t="str">
        <f>VLOOKUP(D25,Table12[[Name]:[Native]],3,FALSE)</f>
        <v>南浔区</v>
      </c>
      <c r="G25" s="14" t="str">
        <f ca="1">VLOOKUP(F25,Table12[[Native]:[Population4]],5,FALSE)</f>
        <v>湖州市</v>
      </c>
    </row>
    <row r="26" spans="1:7" ht="15.75" thickBot="1" x14ac:dyDescent="0.3">
      <c r="A26" t="s">
        <v>473</v>
      </c>
      <c r="B26" s="1" t="s">
        <v>474</v>
      </c>
      <c r="C26" s="1" t="s">
        <v>11</v>
      </c>
      <c r="D26" s="1" t="s">
        <v>454</v>
      </c>
      <c r="E26" s="4">
        <v>28648</v>
      </c>
      <c r="F26" s="1" t="str">
        <f>VLOOKUP(D26,Table12[[Name]:[Native]],3,FALSE)</f>
        <v>长兴县</v>
      </c>
      <c r="G26" s="14" t="str">
        <f ca="1">VLOOKUP(F26,Table12[[Native]:[Population4]],5,FALSE)</f>
        <v>湖州市</v>
      </c>
    </row>
    <row r="27" spans="1:7" ht="15.75" thickBot="1" x14ac:dyDescent="0.3">
      <c r="A27" t="s">
        <v>475</v>
      </c>
      <c r="B27" s="1" t="s">
        <v>476</v>
      </c>
      <c r="C27" s="1" t="s">
        <v>11</v>
      </c>
      <c r="D27" s="1" t="s">
        <v>454</v>
      </c>
      <c r="E27" s="4">
        <v>47012</v>
      </c>
      <c r="F27" s="1" t="str">
        <f>VLOOKUP(D27,Table12[[Name]:[Native]],3,FALSE)</f>
        <v>长兴县</v>
      </c>
      <c r="G27" s="14" t="str">
        <f ca="1">VLOOKUP(F27,Table12[[Native]:[Population4]],5,FALSE)</f>
        <v>湖州市</v>
      </c>
    </row>
    <row r="28" spans="1:7" ht="15.75" thickBot="1" x14ac:dyDescent="0.3">
      <c r="A28" t="s">
        <v>477</v>
      </c>
      <c r="B28" s="1" t="s">
        <v>478</v>
      </c>
      <c r="C28" s="1" t="s">
        <v>11</v>
      </c>
      <c r="D28" s="1" t="s">
        <v>451</v>
      </c>
      <c r="E28" s="4">
        <v>63471</v>
      </c>
      <c r="F28" s="1" t="str">
        <f>VLOOKUP(D28,Table12[[Name]:[Native]],3,FALSE)</f>
        <v>南浔区</v>
      </c>
      <c r="G28" s="14" t="str">
        <f ca="1">VLOOKUP(F28,Table12[[Native]:[Population4]],5,FALSE)</f>
        <v>湖州市</v>
      </c>
    </row>
    <row r="29" spans="1:7" ht="15.75" thickBot="1" x14ac:dyDescent="0.3">
      <c r="A29" t="s">
        <v>479</v>
      </c>
      <c r="B29" s="1" t="s">
        <v>480</v>
      </c>
      <c r="C29" s="1" t="s">
        <v>15</v>
      </c>
      <c r="D29" s="1" t="s">
        <v>422</v>
      </c>
      <c r="E29" s="4">
        <v>62788</v>
      </c>
      <c r="F29" s="1" t="str">
        <f>VLOOKUP(D29,Table12[[Name]:[Native]],3,FALSE)</f>
        <v>吴兴区</v>
      </c>
      <c r="G29" s="14" t="str">
        <f ca="1">VLOOKUP(F29,Table12[[Native]:[Population4]],5,FALSE)</f>
        <v>湖州市</v>
      </c>
    </row>
    <row r="30" spans="1:7" ht="15.75" thickBot="1" x14ac:dyDescent="0.3">
      <c r="A30" t="s">
        <v>481</v>
      </c>
      <c r="B30" s="1" t="s">
        <v>482</v>
      </c>
      <c r="C30" s="1" t="s">
        <v>11</v>
      </c>
      <c r="D30" s="1" t="s">
        <v>438</v>
      </c>
      <c r="E30" s="4">
        <v>22827</v>
      </c>
      <c r="F30" s="1" t="str">
        <f>VLOOKUP(D30,Table12[[Name]:[Native]],3,FALSE)</f>
        <v>德清县</v>
      </c>
      <c r="G30" s="14" t="str">
        <f ca="1">VLOOKUP(F30,Table12[[Native]:[Population4]],5,FALSE)</f>
        <v>湖州市</v>
      </c>
    </row>
    <row r="31" spans="1:7" ht="15.75" thickBot="1" x14ac:dyDescent="0.3">
      <c r="A31" t="s">
        <v>483</v>
      </c>
      <c r="B31" s="1" t="s">
        <v>484</v>
      </c>
      <c r="C31" s="1" t="s">
        <v>7</v>
      </c>
      <c r="D31" s="1" t="s">
        <v>454</v>
      </c>
      <c r="E31" s="4">
        <v>18311</v>
      </c>
      <c r="F31" s="1" t="str">
        <f>VLOOKUP(D31,Table12[[Name]:[Native]],3,FALSE)</f>
        <v>长兴县</v>
      </c>
      <c r="G31" s="14" t="str">
        <f ca="1">VLOOKUP(F31,Table12[[Native]:[Population4]],5,FALSE)</f>
        <v>湖州市</v>
      </c>
    </row>
    <row r="32" spans="1:7" ht="15.75" thickBot="1" x14ac:dyDescent="0.3">
      <c r="A32" t="s">
        <v>485</v>
      </c>
      <c r="B32" s="1" t="s">
        <v>486</v>
      </c>
      <c r="C32" s="1" t="s">
        <v>11</v>
      </c>
      <c r="D32" s="1" t="s">
        <v>454</v>
      </c>
      <c r="E32" s="4">
        <v>43410</v>
      </c>
      <c r="F32" s="1" t="str">
        <f>VLOOKUP(D32,Table12[[Name]:[Native]],3,FALSE)</f>
        <v>长兴县</v>
      </c>
      <c r="G32" s="14" t="str">
        <f ca="1">VLOOKUP(F32,Table12[[Native]:[Population4]],5,FALSE)</f>
        <v>湖州市</v>
      </c>
    </row>
    <row r="33" spans="1:7" ht="15.75" thickBot="1" x14ac:dyDescent="0.3">
      <c r="A33" t="s">
        <v>487</v>
      </c>
      <c r="B33" s="1" t="s">
        <v>488</v>
      </c>
      <c r="C33" s="1" t="s">
        <v>11</v>
      </c>
      <c r="D33" s="1" t="s">
        <v>427</v>
      </c>
      <c r="E33" s="4">
        <v>55099</v>
      </c>
      <c r="F33" s="1" t="str">
        <f>VLOOKUP(D33,Table12[[Name]:[Native]],3,FALSE)</f>
        <v>安吉县</v>
      </c>
      <c r="G33" s="14" t="str">
        <f ca="1">VLOOKUP(F33,Table12[[Native]:[Population4]],5,FALSE)</f>
        <v>湖州市</v>
      </c>
    </row>
    <row r="34" spans="1:7" ht="15.75" thickBot="1" x14ac:dyDescent="0.3">
      <c r="A34" t="s">
        <v>489</v>
      </c>
      <c r="B34" s="1" t="s">
        <v>490</v>
      </c>
      <c r="C34" s="1" t="s">
        <v>11</v>
      </c>
      <c r="D34" s="1" t="s">
        <v>422</v>
      </c>
      <c r="E34" s="4">
        <v>14723</v>
      </c>
      <c r="F34" s="1" t="str">
        <f>VLOOKUP(D34,Table12[[Name]:[Native]],3,FALSE)</f>
        <v>吴兴区</v>
      </c>
      <c r="G34" s="14" t="str">
        <f ca="1">VLOOKUP(F34,Table12[[Native]:[Population4]],5,FALSE)</f>
        <v>湖州市</v>
      </c>
    </row>
    <row r="35" spans="1:7" ht="15.75" thickBot="1" x14ac:dyDescent="0.3">
      <c r="A35" t="s">
        <v>491</v>
      </c>
      <c r="B35" s="1" t="s">
        <v>492</v>
      </c>
      <c r="C35" s="1" t="s">
        <v>11</v>
      </c>
      <c r="D35" s="1" t="s">
        <v>438</v>
      </c>
      <c r="E35" s="4">
        <v>21552</v>
      </c>
      <c r="F35" s="1" t="str">
        <f>VLOOKUP(D35,Table12[[Name]:[Native]],3,FALSE)</f>
        <v>德清县</v>
      </c>
      <c r="G35" s="14" t="str">
        <f ca="1">VLOOKUP(F35,Table12[[Native]:[Population4]],5,FALSE)</f>
        <v>湖州市</v>
      </c>
    </row>
    <row r="36" spans="1:7" ht="15.75" thickBot="1" x14ac:dyDescent="0.3">
      <c r="A36" t="s">
        <v>493</v>
      </c>
      <c r="B36" s="1" t="s">
        <v>494</v>
      </c>
      <c r="C36" s="1" t="s">
        <v>11</v>
      </c>
      <c r="D36" s="1" t="s">
        <v>451</v>
      </c>
      <c r="E36" s="4">
        <v>126872</v>
      </c>
      <c r="F36" s="1" t="str">
        <f>VLOOKUP(D36,Table12[[Name]:[Native]],3,FALSE)</f>
        <v>南浔区</v>
      </c>
      <c r="G36" s="14" t="str">
        <f ca="1">VLOOKUP(F36,Table12[[Native]:[Population4]],5,FALSE)</f>
        <v>湖州市</v>
      </c>
    </row>
    <row r="37" spans="1:7" ht="15.75" thickBot="1" x14ac:dyDescent="0.3">
      <c r="A37" t="s">
        <v>495</v>
      </c>
      <c r="B37" s="1" t="s">
        <v>496</v>
      </c>
      <c r="C37" s="1" t="s">
        <v>11</v>
      </c>
      <c r="D37" s="1" t="s">
        <v>451</v>
      </c>
      <c r="E37" s="4">
        <v>18630</v>
      </c>
      <c r="F37" s="1" t="str">
        <f>VLOOKUP(D37,Table12[[Name]:[Native]],3,FALSE)</f>
        <v>南浔区</v>
      </c>
      <c r="G37" s="14" t="str">
        <f ca="1">VLOOKUP(F37,Table12[[Native]:[Population4]],5,FALSE)</f>
        <v>湖州市</v>
      </c>
    </row>
    <row r="38" spans="1:7" ht="15.75" thickBot="1" x14ac:dyDescent="0.3">
      <c r="A38" t="s">
        <v>497</v>
      </c>
      <c r="B38" s="1" t="s">
        <v>498</v>
      </c>
      <c r="C38" s="1" t="s">
        <v>11</v>
      </c>
      <c r="D38" s="1" t="s">
        <v>438</v>
      </c>
      <c r="E38" s="4">
        <v>48479</v>
      </c>
      <c r="F38" s="1" t="str">
        <f>VLOOKUP(D38,Table12[[Name]:[Native]],3,FALSE)</f>
        <v>德清县</v>
      </c>
      <c r="G38" s="14" t="str">
        <f ca="1">VLOOKUP(F38,Table12[[Native]:[Population4]],5,FALSE)</f>
        <v>湖州市</v>
      </c>
    </row>
    <row r="39" spans="1:7" ht="15.75" thickBot="1" x14ac:dyDescent="0.3">
      <c r="A39" t="s">
        <v>499</v>
      </c>
      <c r="B39" s="1" t="s">
        <v>500</v>
      </c>
      <c r="C39" s="1" t="s">
        <v>15</v>
      </c>
      <c r="D39" s="1" t="s">
        <v>422</v>
      </c>
      <c r="E39" s="4">
        <v>30888</v>
      </c>
      <c r="F39" s="1" t="str">
        <f>VLOOKUP(D39,Table12[[Name]:[Native]],3,FALSE)</f>
        <v>吴兴区</v>
      </c>
      <c r="G39" s="14" t="str">
        <f ca="1">VLOOKUP(F39,Table12[[Native]:[Population4]],5,FALSE)</f>
        <v>湖州市</v>
      </c>
    </row>
    <row r="40" spans="1:7" ht="15.75" thickBot="1" x14ac:dyDescent="0.3">
      <c r="A40" t="s">
        <v>501</v>
      </c>
      <c r="B40" s="1" t="s">
        <v>502</v>
      </c>
      <c r="C40" s="1" t="s">
        <v>7</v>
      </c>
      <c r="D40" s="1" t="s">
        <v>427</v>
      </c>
      <c r="E40" s="4">
        <v>3873</v>
      </c>
      <c r="F40" s="1" t="str">
        <f>VLOOKUP(D40,Table12[[Name]:[Native]],3,FALSE)</f>
        <v>安吉县</v>
      </c>
      <c r="G40" s="14" t="str">
        <f ca="1">VLOOKUP(F40,Table12[[Native]:[Population4]],5,FALSE)</f>
        <v>湖州市</v>
      </c>
    </row>
    <row r="41" spans="1:7" ht="15.75" thickBot="1" x14ac:dyDescent="0.3">
      <c r="A41" t="s">
        <v>503</v>
      </c>
      <c r="B41" s="1" t="s">
        <v>504</v>
      </c>
      <c r="C41" s="1" t="s">
        <v>7</v>
      </c>
      <c r="D41" s="1" t="s">
        <v>427</v>
      </c>
      <c r="E41" s="4">
        <v>12385</v>
      </c>
      <c r="F41" s="1" t="str">
        <f>VLOOKUP(D41,Table12[[Name]:[Native]],3,FALSE)</f>
        <v>安吉县</v>
      </c>
      <c r="G41" s="14" t="str">
        <f ca="1">VLOOKUP(F41,Table12[[Native]:[Population4]],5,FALSE)</f>
        <v>湖州市</v>
      </c>
    </row>
    <row r="42" spans="1:7" ht="15.75" thickBot="1" x14ac:dyDescent="0.3">
      <c r="A42" t="s">
        <v>505</v>
      </c>
      <c r="B42" s="1" t="s">
        <v>506</v>
      </c>
      <c r="C42" s="1" t="s">
        <v>11</v>
      </c>
      <c r="D42" s="1" t="s">
        <v>451</v>
      </c>
      <c r="E42" s="4">
        <v>28079</v>
      </c>
      <c r="F42" s="1" t="str">
        <f>VLOOKUP(D42,Table12[[Name]:[Native]],3,FALSE)</f>
        <v>南浔区</v>
      </c>
      <c r="G42" s="14" t="str">
        <f ca="1">VLOOKUP(F42,Table12[[Native]:[Population4]],5,FALSE)</f>
        <v>湖州市</v>
      </c>
    </row>
    <row r="43" spans="1:7" ht="15.75" thickBot="1" x14ac:dyDescent="0.3">
      <c r="A43" t="s">
        <v>507</v>
      </c>
      <c r="B43" s="1" t="s">
        <v>508</v>
      </c>
      <c r="C43" s="1" t="s">
        <v>11</v>
      </c>
      <c r="D43" s="1" t="s">
        <v>451</v>
      </c>
      <c r="E43" s="4">
        <v>13613</v>
      </c>
      <c r="F43" s="1" t="str">
        <f>VLOOKUP(D43,Table12[[Name]:[Native]],3,FALSE)</f>
        <v>南浔区</v>
      </c>
      <c r="G43" s="14" t="str">
        <f ca="1">VLOOKUP(F43,Table12[[Native]:[Population4]],5,FALSE)</f>
        <v>湖州市</v>
      </c>
    </row>
    <row r="44" spans="1:7" ht="15.75" thickBot="1" x14ac:dyDescent="0.3">
      <c r="A44" t="s">
        <v>509</v>
      </c>
      <c r="B44" s="1" t="s">
        <v>510</v>
      </c>
      <c r="C44" s="1" t="s">
        <v>11</v>
      </c>
      <c r="D44" s="1" t="s">
        <v>451</v>
      </c>
      <c r="E44" s="4">
        <v>74725</v>
      </c>
      <c r="F44" s="1" t="str">
        <f>VLOOKUP(D44,Table12[[Name]:[Native]],3,FALSE)</f>
        <v>南浔区</v>
      </c>
      <c r="G44" s="14" t="str">
        <f ca="1">VLOOKUP(F44,Table12[[Native]:[Population4]],5,FALSE)</f>
        <v>湖州市</v>
      </c>
    </row>
    <row r="45" spans="1:7" ht="15.75" thickBot="1" x14ac:dyDescent="0.3">
      <c r="A45" t="s">
        <v>511</v>
      </c>
      <c r="B45" s="1" t="s">
        <v>512</v>
      </c>
      <c r="C45" s="1" t="s">
        <v>7</v>
      </c>
      <c r="D45" s="1" t="s">
        <v>454</v>
      </c>
      <c r="E45" s="4">
        <v>17405</v>
      </c>
      <c r="F45" s="1" t="str">
        <f>VLOOKUP(D45,Table12[[Name]:[Native]],3,FALSE)</f>
        <v>长兴县</v>
      </c>
      <c r="G45" s="14" t="str">
        <f ca="1">VLOOKUP(F45,Table12[[Native]:[Population4]],5,FALSE)</f>
        <v>湖州市</v>
      </c>
    </row>
    <row r="46" spans="1:7" ht="15.75" thickBot="1" x14ac:dyDescent="0.3">
      <c r="A46" t="s">
        <v>513</v>
      </c>
      <c r="B46" s="1" t="s">
        <v>514</v>
      </c>
      <c r="C46" s="1" t="s">
        <v>11</v>
      </c>
      <c r="D46" s="1" t="s">
        <v>454</v>
      </c>
      <c r="E46" s="4">
        <v>60057</v>
      </c>
      <c r="F46" s="1" t="str">
        <f>VLOOKUP(D46,Table12[[Name]:[Native]],3,FALSE)</f>
        <v>长兴县</v>
      </c>
      <c r="G46" s="14" t="str">
        <f ca="1">VLOOKUP(F46,Table12[[Native]:[Population4]],5,FALSE)</f>
        <v>湖州市</v>
      </c>
    </row>
    <row r="47" spans="1:7" ht="15.75" thickBot="1" x14ac:dyDescent="0.3">
      <c r="A47" t="s">
        <v>515</v>
      </c>
      <c r="B47" s="1" t="s">
        <v>516</v>
      </c>
      <c r="C47" s="1" t="s">
        <v>11</v>
      </c>
      <c r="D47" s="1" t="s">
        <v>427</v>
      </c>
      <c r="E47" s="4">
        <v>21470</v>
      </c>
      <c r="F47" s="1" t="str">
        <f>VLOOKUP(D47,Table12[[Name]:[Native]],3,FALSE)</f>
        <v>安吉县</v>
      </c>
      <c r="G47" s="14" t="str">
        <f ca="1">VLOOKUP(F47,Table12[[Native]:[Population4]],5,FALSE)</f>
        <v>湖州市</v>
      </c>
    </row>
    <row r="48" spans="1:7" ht="15.75" thickBot="1" x14ac:dyDescent="0.3">
      <c r="A48" t="s">
        <v>517</v>
      </c>
      <c r="B48" s="1" t="s">
        <v>518</v>
      </c>
      <c r="C48" s="1" t="s">
        <v>11</v>
      </c>
      <c r="D48" s="1" t="s">
        <v>427</v>
      </c>
      <c r="E48" s="4">
        <v>45660</v>
      </c>
      <c r="F48" s="1" t="str">
        <f>VLOOKUP(D48,Table12[[Name]:[Native]],3,FALSE)</f>
        <v>安吉县</v>
      </c>
      <c r="G48" s="14" t="str">
        <f ca="1">VLOOKUP(F48,Table12[[Native]:[Population4]],5,FALSE)</f>
        <v>湖州市</v>
      </c>
    </row>
    <row r="49" spans="1:7" ht="15.75" thickBot="1" x14ac:dyDescent="0.3">
      <c r="A49" t="s">
        <v>519</v>
      </c>
      <c r="B49" s="1" t="s">
        <v>520</v>
      </c>
      <c r="C49" s="1" t="s">
        <v>15</v>
      </c>
      <c r="D49" s="1" t="s">
        <v>438</v>
      </c>
      <c r="E49" s="4">
        <v>142374</v>
      </c>
      <c r="F49" s="1" t="str">
        <f>VLOOKUP(D49,Table12[[Name]:[Native]],3,FALSE)</f>
        <v>德清县</v>
      </c>
      <c r="G49" s="14" t="str">
        <f ca="1">VLOOKUP(F49,Table12[[Native]:[Population4]],5,FALSE)</f>
        <v>湖州市</v>
      </c>
    </row>
    <row r="50" spans="1:7" ht="15.75" thickBot="1" x14ac:dyDescent="0.3">
      <c r="A50" t="s">
        <v>521</v>
      </c>
      <c r="B50" s="1" t="s">
        <v>522</v>
      </c>
      <c r="C50" s="1" t="s">
        <v>11</v>
      </c>
      <c r="D50" s="1" t="s">
        <v>427</v>
      </c>
      <c r="E50" s="4">
        <v>44280</v>
      </c>
      <c r="F50" s="1" t="str">
        <f>VLOOKUP(D50,Table12[[Name]:[Native]],3,FALSE)</f>
        <v>安吉县</v>
      </c>
      <c r="G50" s="14" t="str">
        <f ca="1">VLOOKUP(F50,Table12[[Native]:[Population4]],5,FALSE)</f>
        <v>湖州市</v>
      </c>
    </row>
    <row r="51" spans="1:7" ht="15.75" thickBot="1" x14ac:dyDescent="0.3">
      <c r="A51" t="s">
        <v>523</v>
      </c>
      <c r="B51" s="1" t="s">
        <v>524</v>
      </c>
      <c r="C51" s="1" t="s">
        <v>11</v>
      </c>
      <c r="D51" s="1" t="s">
        <v>454</v>
      </c>
      <c r="E51" s="4">
        <v>23118</v>
      </c>
      <c r="F51" s="1" t="str">
        <f>VLOOKUP(D51,Table12[[Name]:[Native]],3,FALSE)</f>
        <v>长兴县</v>
      </c>
      <c r="G51" s="14" t="str">
        <f ca="1">VLOOKUP(F51,Table12[[Native]:[Population4]],5,FALSE)</f>
        <v>湖州市</v>
      </c>
    </row>
    <row r="52" spans="1:7" ht="15.75" thickBot="1" x14ac:dyDescent="0.3">
      <c r="A52" t="s">
        <v>525</v>
      </c>
      <c r="B52" s="1" t="s">
        <v>526</v>
      </c>
      <c r="C52" s="1" t="s">
        <v>15</v>
      </c>
      <c r="D52" s="1" t="s">
        <v>427</v>
      </c>
      <c r="E52" s="4">
        <v>8850</v>
      </c>
      <c r="F52" s="1" t="str">
        <f>VLOOKUP(D52,Table12[[Name]:[Native]],3,FALSE)</f>
        <v>安吉县</v>
      </c>
      <c r="G52" s="14" t="str">
        <f ca="1">VLOOKUP(F52,Table12[[Native]:[Population4]],5,FALSE)</f>
        <v>湖州市</v>
      </c>
    </row>
    <row r="53" spans="1:7" ht="15.75" thickBot="1" x14ac:dyDescent="0.3">
      <c r="A53" t="s">
        <v>527</v>
      </c>
      <c r="B53" s="1" t="s">
        <v>528</v>
      </c>
      <c r="C53" s="1" t="s">
        <v>15</v>
      </c>
      <c r="D53" s="1" t="s">
        <v>438</v>
      </c>
      <c r="E53" s="4">
        <v>20010</v>
      </c>
      <c r="F53" s="1" t="str">
        <f>VLOOKUP(D53,Table12[[Name]:[Native]],3,FALSE)</f>
        <v>德清县</v>
      </c>
      <c r="G53" s="14" t="str">
        <f ca="1">VLOOKUP(F53,Table12[[Native]:[Population4]],5,FALSE)</f>
        <v>湖州市</v>
      </c>
    </row>
    <row r="54" spans="1:7" ht="15.75" thickBot="1" x14ac:dyDescent="0.3">
      <c r="A54" t="s">
        <v>529</v>
      </c>
      <c r="B54" s="1" t="s">
        <v>530</v>
      </c>
      <c r="C54" s="1" t="s">
        <v>7</v>
      </c>
      <c r="D54" s="1" t="s">
        <v>427</v>
      </c>
      <c r="E54" s="4">
        <v>9178</v>
      </c>
      <c r="F54" s="1" t="str">
        <f>VLOOKUP(D54,Table12[[Name]:[Native]],3,FALSE)</f>
        <v>安吉县</v>
      </c>
      <c r="G54" s="14" t="str">
        <f ca="1">VLOOKUP(F54,Table12[[Native]:[Population4]],5,FALSE)</f>
        <v>湖州市</v>
      </c>
    </row>
    <row r="55" spans="1:7" ht="15.75" thickBot="1" x14ac:dyDescent="0.3">
      <c r="A55" t="s">
        <v>531</v>
      </c>
      <c r="B55" s="1" t="s">
        <v>532</v>
      </c>
      <c r="C55" s="1" t="s">
        <v>11</v>
      </c>
      <c r="D55" s="1" t="s">
        <v>438</v>
      </c>
      <c r="E55" s="4">
        <v>31167</v>
      </c>
      <c r="F55" s="1" t="str">
        <f>VLOOKUP(D55,Table12[[Name]:[Native]],3,FALSE)</f>
        <v>德清县</v>
      </c>
      <c r="G55" s="14" t="str">
        <f ca="1">VLOOKUP(F55,Table12[[Native]:[Population4]],5,FALSE)</f>
        <v>湖州市</v>
      </c>
    </row>
    <row r="56" spans="1:7" ht="15.75" thickBot="1" x14ac:dyDescent="0.3">
      <c r="A56" t="s">
        <v>533</v>
      </c>
      <c r="B56" s="1" t="s">
        <v>534</v>
      </c>
      <c r="C56" s="1" t="s">
        <v>11</v>
      </c>
      <c r="D56" s="1" t="s">
        <v>438</v>
      </c>
      <c r="E56" s="4">
        <v>68646</v>
      </c>
      <c r="F56" s="1" t="str">
        <f>VLOOKUP(D56,Table12[[Name]:[Native]],3,FALSE)</f>
        <v>德清县</v>
      </c>
      <c r="G56" s="14" t="str">
        <f ca="1">VLOOKUP(F56,Table12[[Native]:[Population4]],5,FALSE)</f>
        <v>湖州市</v>
      </c>
    </row>
    <row r="57" spans="1:7" ht="15.75" thickBot="1" x14ac:dyDescent="0.3">
      <c r="A57" t="s">
        <v>535</v>
      </c>
      <c r="B57" s="1" t="s">
        <v>536</v>
      </c>
      <c r="C57" s="1" t="s">
        <v>15</v>
      </c>
      <c r="D57" s="1" t="s">
        <v>422</v>
      </c>
      <c r="E57" s="4">
        <v>53353</v>
      </c>
      <c r="F57" s="1" t="str">
        <f>VLOOKUP(D57,Table12[[Name]:[Native]],3,FALSE)</f>
        <v>吴兴区</v>
      </c>
      <c r="G57" s="14" t="str">
        <f ca="1">VLOOKUP(F57,Table12[[Native]:[Population4]],5,FALSE)</f>
        <v>湖州市</v>
      </c>
    </row>
    <row r="58" spans="1:7" ht="15.75" thickBot="1" x14ac:dyDescent="0.3">
      <c r="A58" t="s">
        <v>537</v>
      </c>
      <c r="B58" s="1" t="s">
        <v>538</v>
      </c>
      <c r="C58" s="1" t="s">
        <v>15</v>
      </c>
      <c r="D58" s="1" t="s">
        <v>422</v>
      </c>
      <c r="E58" s="4">
        <v>44661</v>
      </c>
      <c r="F58" s="1" t="str">
        <f>VLOOKUP(D58,Table12[[Name]:[Native]],3,FALSE)</f>
        <v>吴兴区</v>
      </c>
      <c r="G58" s="14" t="str">
        <f ca="1">VLOOKUP(F58,Table12[[Native]:[Population4]],5,FALSE)</f>
        <v>湖州市</v>
      </c>
    </row>
    <row r="59" spans="1:7" ht="15.75" thickBot="1" x14ac:dyDescent="0.3">
      <c r="A59" t="s">
        <v>539</v>
      </c>
      <c r="B59" s="1" t="s">
        <v>540</v>
      </c>
      <c r="C59" s="1" t="s">
        <v>11</v>
      </c>
      <c r="D59" s="1" t="s">
        <v>438</v>
      </c>
      <c r="E59" s="4">
        <v>32034</v>
      </c>
      <c r="F59" s="1" t="str">
        <f>VLOOKUP(D59,Table12[[Name]:[Native]],3,FALSE)</f>
        <v>德清县</v>
      </c>
      <c r="G59" s="14" t="str">
        <f ca="1">VLOOKUP(F59,Table12[[Native]:[Population4]],5,FALSE)</f>
        <v>湖州市</v>
      </c>
    </row>
    <row r="60" spans="1:7" ht="15.75" thickBot="1" x14ac:dyDescent="0.3">
      <c r="A60" t="s">
        <v>541</v>
      </c>
      <c r="B60" s="1" t="s">
        <v>542</v>
      </c>
      <c r="C60" s="1" t="s">
        <v>11</v>
      </c>
      <c r="D60" s="1" t="s">
        <v>427</v>
      </c>
      <c r="E60" s="4">
        <v>10957</v>
      </c>
      <c r="F60" s="1" t="str">
        <f>VLOOKUP(D60,Table12[[Name]:[Native]],3,FALSE)</f>
        <v>安吉县</v>
      </c>
      <c r="G60" s="14" t="str">
        <f ca="1">VLOOKUP(F60,Table12[[Native]:[Population4]],5,FALSE)</f>
        <v>湖州市</v>
      </c>
    </row>
    <row r="61" spans="1:7" ht="15.75" thickBot="1" x14ac:dyDescent="0.3">
      <c r="A61" t="s">
        <v>543</v>
      </c>
      <c r="B61" s="1" t="s">
        <v>544</v>
      </c>
      <c r="C61" s="1" t="s">
        <v>11</v>
      </c>
      <c r="D61" s="1" t="s">
        <v>427</v>
      </c>
      <c r="E61" s="4">
        <v>9332</v>
      </c>
      <c r="F61" s="1" t="str">
        <f>VLOOKUP(D61,Table12[[Name]:[Native]],3,FALSE)</f>
        <v>安吉县</v>
      </c>
      <c r="G61" s="14" t="str">
        <f ca="1">VLOOKUP(F61,Table12[[Native]:[Population4]],5,FALSE)</f>
        <v>湖州市</v>
      </c>
    </row>
    <row r="62" spans="1:7" ht="15.75" thickBot="1" x14ac:dyDescent="0.3">
      <c r="A62" t="s">
        <v>545</v>
      </c>
      <c r="B62" s="1" t="s">
        <v>546</v>
      </c>
      <c r="C62" s="1" t="s">
        <v>15</v>
      </c>
      <c r="D62" s="1" t="s">
        <v>454</v>
      </c>
      <c r="E62" s="4">
        <v>253443</v>
      </c>
      <c r="F62" s="1" t="str">
        <f>VLOOKUP(D62,Table12[[Name]:[Native]],3,FALSE)</f>
        <v>长兴县</v>
      </c>
      <c r="G62" s="14" t="str">
        <f ca="1">VLOOKUP(F62,Table12[[Native]:[Population4]],5,FALSE)</f>
        <v>湖州市</v>
      </c>
    </row>
    <row r="63" spans="1:7" ht="15.75" thickBot="1" x14ac:dyDescent="0.3">
      <c r="A63" t="s">
        <v>547</v>
      </c>
      <c r="B63" s="1" t="s">
        <v>548</v>
      </c>
      <c r="C63" s="1" t="s">
        <v>11</v>
      </c>
      <c r="D63" s="1" t="s">
        <v>422</v>
      </c>
      <c r="E63" s="4">
        <v>186609</v>
      </c>
      <c r="F63" s="1" t="str">
        <f>VLOOKUP(D63,Table12[[Name]:[Native]],3,FALSE)</f>
        <v>吴兴区</v>
      </c>
      <c r="G63" s="14" t="str">
        <f ca="1">VLOOKUP(F63,Table12[[Native]:[Population4]],5,FALSE)</f>
        <v>湖州市</v>
      </c>
    </row>
    <row r="64" spans="1:7" ht="15.75" thickBot="1" x14ac:dyDescent="0.3">
      <c r="A64" t="s">
        <v>549</v>
      </c>
      <c r="B64" s="3" t="s">
        <v>550</v>
      </c>
      <c r="C64" s="3" t="s">
        <v>11</v>
      </c>
      <c r="D64" s="3" t="s">
        <v>438</v>
      </c>
      <c r="E64" s="11">
        <v>41759</v>
      </c>
      <c r="F64" s="10" t="str">
        <f>VLOOKUP(D64,Table12[[Name]:[Native]],3,FALSE)</f>
        <v>德清县</v>
      </c>
      <c r="G64" s="14" t="str">
        <f ca="1">VLOOKUP(F64,Table12[[Native]:[Population4]],5,FALSE)</f>
        <v>湖州市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659B6-95D8-4CEC-8E4C-3A3D266D52F9}">
  <dimension ref="A1:G73"/>
  <sheetViews>
    <sheetView topLeftCell="A48" workbookViewId="0">
      <selection activeCell="G2" sqref="A2:G7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3023</v>
      </c>
      <c r="G1" t="s">
        <v>3025</v>
      </c>
    </row>
    <row r="2" spans="1:7" ht="15.75" thickBot="1" x14ac:dyDescent="0.3">
      <c r="A2" t="s">
        <v>551</v>
      </c>
      <c r="B2" s="1" t="s">
        <v>552</v>
      </c>
      <c r="C2" s="1" t="s">
        <v>11</v>
      </c>
      <c r="D2" s="1" t="s">
        <v>553</v>
      </c>
      <c r="E2" s="4">
        <v>35433</v>
      </c>
      <c r="F2" s="9" t="str">
        <f>VLOOKUP(D2,Table12[[Name]:[Native]],3,FALSE)</f>
        <v>海盐县</v>
      </c>
      <c r="G2" s="14" t="str">
        <f ca="1">VLOOKUP(F2,Table12[[Native]:[Population4]],5,FALSE)</f>
        <v>嘉兴市</v>
      </c>
    </row>
    <row r="3" spans="1:7" ht="15.75" thickBot="1" x14ac:dyDescent="0.3">
      <c r="A3" t="s">
        <v>554</v>
      </c>
      <c r="B3" s="1" t="s">
        <v>555</v>
      </c>
      <c r="C3" s="1" t="s">
        <v>15</v>
      </c>
      <c r="D3" s="1" t="s">
        <v>556</v>
      </c>
      <c r="E3" s="4">
        <v>36034</v>
      </c>
      <c r="F3" s="1" t="str">
        <f>VLOOKUP(D3,Table12[[Name]:[Native]],3,FALSE)</f>
        <v>平湖市</v>
      </c>
      <c r="G3" s="14" t="str">
        <f ca="1">VLOOKUP(F3,Table12[[Native]:[Population4]],5,FALSE)</f>
        <v>嘉兴市</v>
      </c>
    </row>
    <row r="4" spans="1:7" ht="15.75" thickBot="1" x14ac:dyDescent="0.3">
      <c r="A4" t="s">
        <v>37</v>
      </c>
      <c r="B4" s="1" t="s">
        <v>557</v>
      </c>
      <c r="C4" s="1" t="s">
        <v>11</v>
      </c>
      <c r="D4" s="1" t="s">
        <v>558</v>
      </c>
      <c r="E4" s="4">
        <v>110352</v>
      </c>
      <c r="F4" s="1" t="str">
        <f>VLOOKUP(D4,Table12[[Name]:[Native]],3,FALSE)</f>
        <v>海宁市</v>
      </c>
      <c r="G4" s="14" t="str">
        <f ca="1">VLOOKUP(F4,Table12[[Native]:[Population4]],5,FALSE)</f>
        <v>嘉兴市</v>
      </c>
    </row>
    <row r="5" spans="1:7" ht="15.75" thickBot="1" x14ac:dyDescent="0.3">
      <c r="A5" t="s">
        <v>559</v>
      </c>
      <c r="B5" s="1" t="s">
        <v>560</v>
      </c>
      <c r="C5" s="1" t="s">
        <v>15</v>
      </c>
      <c r="D5" s="1" t="s">
        <v>561</v>
      </c>
      <c r="E5" s="4">
        <v>32379</v>
      </c>
      <c r="F5" s="1" t="str">
        <f>VLOOKUP(D5,Table12[[Name]:[Native]],3,FALSE)</f>
        <v>南湖区</v>
      </c>
      <c r="G5" s="14" t="str">
        <f ca="1">VLOOKUP(F5,Table12[[Native]:[Population4]],5,FALSE)</f>
        <v>嘉兴市</v>
      </c>
    </row>
    <row r="6" spans="1:7" ht="15.75" thickBot="1" x14ac:dyDescent="0.3">
      <c r="A6" t="s">
        <v>562</v>
      </c>
      <c r="B6" s="1" t="s">
        <v>563</v>
      </c>
      <c r="C6" s="1" t="s">
        <v>15</v>
      </c>
      <c r="D6" s="1" t="s">
        <v>561</v>
      </c>
      <c r="E6" s="4">
        <v>54990</v>
      </c>
      <c r="F6" s="1" t="str">
        <f>VLOOKUP(D6,Table12[[Name]:[Native]],3,FALSE)</f>
        <v>南湖区</v>
      </c>
      <c r="G6" s="14" t="str">
        <f ca="1">VLOOKUP(F6,Table12[[Native]:[Population4]],5,FALSE)</f>
        <v>嘉兴市</v>
      </c>
    </row>
    <row r="7" spans="1:7" ht="15.75" thickBot="1" x14ac:dyDescent="0.3">
      <c r="A7" t="s">
        <v>564</v>
      </c>
      <c r="B7" s="1" t="s">
        <v>565</v>
      </c>
      <c r="C7" s="1" t="s">
        <v>11</v>
      </c>
      <c r="D7" s="1" t="s">
        <v>566</v>
      </c>
      <c r="E7" s="4">
        <v>112060</v>
      </c>
      <c r="F7" s="1" t="str">
        <f>VLOOKUP(D7,Table12[[Name]:[Native]],3,FALSE)</f>
        <v>桐乡市</v>
      </c>
      <c r="G7" s="14" t="str">
        <f ca="1">VLOOKUP(F7,Table12[[Native]:[Population4]],5,FALSE)</f>
        <v>嘉兴市</v>
      </c>
    </row>
    <row r="8" spans="1:7" ht="15.75" thickBot="1" x14ac:dyDescent="0.3">
      <c r="A8" t="s">
        <v>567</v>
      </c>
      <c r="B8" s="1" t="s">
        <v>568</v>
      </c>
      <c r="C8" s="1" t="s">
        <v>11</v>
      </c>
      <c r="D8" s="1" t="s">
        <v>566</v>
      </c>
      <c r="E8" s="4">
        <v>35357</v>
      </c>
      <c r="F8" s="1" t="str">
        <f>VLOOKUP(D8,Table12[[Name]:[Native]],3,FALSE)</f>
        <v>桐乡市</v>
      </c>
      <c r="G8" s="14" t="str">
        <f ca="1">VLOOKUP(F8,Table12[[Native]:[Population4]],5,FALSE)</f>
        <v>嘉兴市</v>
      </c>
    </row>
    <row r="9" spans="1:7" ht="15.75" thickBot="1" x14ac:dyDescent="0.3">
      <c r="A9" t="s">
        <v>569</v>
      </c>
      <c r="B9" s="1" t="s">
        <v>570</v>
      </c>
      <c r="C9" s="1" t="s">
        <v>15</v>
      </c>
      <c r="D9" s="1" t="s">
        <v>556</v>
      </c>
      <c r="E9" s="4">
        <v>151626</v>
      </c>
      <c r="F9" s="1" t="str">
        <f>VLOOKUP(D9,Table12[[Name]:[Native]],3,FALSE)</f>
        <v>平湖市</v>
      </c>
      <c r="G9" s="14" t="str">
        <f ca="1">VLOOKUP(F9,Table12[[Native]:[Population4]],5,FALSE)</f>
        <v>嘉兴市</v>
      </c>
    </row>
    <row r="10" spans="1:7" ht="15.75" thickBot="1" x14ac:dyDescent="0.3">
      <c r="A10" t="s">
        <v>571</v>
      </c>
      <c r="B10" s="1" t="s">
        <v>572</v>
      </c>
      <c r="C10" s="1" t="s">
        <v>11</v>
      </c>
      <c r="D10" s="1" t="s">
        <v>561</v>
      </c>
      <c r="E10" s="4">
        <v>57192</v>
      </c>
      <c r="F10" s="1" t="str">
        <f>VLOOKUP(D10,Table12[[Name]:[Native]],3,FALSE)</f>
        <v>南湖区</v>
      </c>
      <c r="G10" s="14" t="str">
        <f ca="1">VLOOKUP(F10,Table12[[Native]:[Population4]],5,FALSE)</f>
        <v>嘉兴市</v>
      </c>
    </row>
    <row r="11" spans="1:7" ht="15.75" thickBot="1" x14ac:dyDescent="0.3">
      <c r="A11" t="s">
        <v>573</v>
      </c>
      <c r="B11" s="1" t="s">
        <v>574</v>
      </c>
      <c r="C11" s="1" t="s">
        <v>11</v>
      </c>
      <c r="D11" s="1" t="s">
        <v>575</v>
      </c>
      <c r="E11" s="4">
        <v>23428</v>
      </c>
      <c r="F11" s="1" t="str">
        <f>VLOOKUP(D11,Table12[[Name]:[Native]],3,FALSE)</f>
        <v>嘉善县</v>
      </c>
      <c r="G11" s="14" t="str">
        <f ca="1">VLOOKUP(F11,Table12[[Native]:[Population4]],5,FALSE)</f>
        <v>嘉兴市</v>
      </c>
    </row>
    <row r="12" spans="1:7" ht="15.75" thickBot="1" x14ac:dyDescent="0.3">
      <c r="A12" t="s">
        <v>576</v>
      </c>
      <c r="B12" s="1" t="s">
        <v>577</v>
      </c>
      <c r="C12" s="1" t="s">
        <v>11</v>
      </c>
      <c r="D12" s="1" t="s">
        <v>558</v>
      </c>
      <c r="E12" s="4">
        <v>45954</v>
      </c>
      <c r="F12" s="1" t="str">
        <f>VLOOKUP(D12,Table12[[Name]:[Native]],3,FALSE)</f>
        <v>海宁市</v>
      </c>
      <c r="G12" s="14" t="str">
        <f ca="1">VLOOKUP(F12,Table12[[Native]:[Population4]],5,FALSE)</f>
        <v>嘉兴市</v>
      </c>
    </row>
    <row r="13" spans="1:7" ht="15.75" thickBot="1" x14ac:dyDescent="0.3">
      <c r="A13" t="s">
        <v>578</v>
      </c>
      <c r="B13" s="1" t="s">
        <v>579</v>
      </c>
      <c r="C13" s="1" t="s">
        <v>15</v>
      </c>
      <c r="D13" s="1" t="s">
        <v>561</v>
      </c>
      <c r="E13" s="4">
        <v>37945</v>
      </c>
      <c r="F13" s="1" t="str">
        <f>VLOOKUP(D13,Table12[[Name]:[Native]],3,FALSE)</f>
        <v>南湖区</v>
      </c>
      <c r="G13" s="14" t="str">
        <f ca="1">VLOOKUP(F13,Table12[[Native]:[Population4]],5,FALSE)</f>
        <v>嘉兴市</v>
      </c>
    </row>
    <row r="14" spans="1:7" ht="15.75" thickBot="1" x14ac:dyDescent="0.3">
      <c r="A14" t="s">
        <v>580</v>
      </c>
      <c r="B14" s="1" t="s">
        <v>581</v>
      </c>
      <c r="C14" s="1" t="s">
        <v>11</v>
      </c>
      <c r="D14" s="1" t="s">
        <v>556</v>
      </c>
      <c r="E14" s="4">
        <v>105643</v>
      </c>
      <c r="F14" s="1" t="str">
        <f>VLOOKUP(D14,Table12[[Name]:[Native]],3,FALSE)</f>
        <v>平湖市</v>
      </c>
      <c r="G14" s="14" t="str">
        <f ca="1">VLOOKUP(F14,Table12[[Native]:[Population4]],5,FALSE)</f>
        <v>嘉兴市</v>
      </c>
    </row>
    <row r="15" spans="1:7" ht="15.75" thickBot="1" x14ac:dyDescent="0.3">
      <c r="A15" t="s">
        <v>582</v>
      </c>
      <c r="B15" s="1" t="s">
        <v>583</v>
      </c>
      <c r="C15" s="1" t="s">
        <v>15</v>
      </c>
      <c r="D15" s="1" t="s">
        <v>566</v>
      </c>
      <c r="E15" s="4">
        <v>55061</v>
      </c>
      <c r="F15" s="1" t="str">
        <f>VLOOKUP(D15,Table12[[Name]:[Native]],3,FALSE)</f>
        <v>桐乡市</v>
      </c>
      <c r="G15" s="14" t="str">
        <f ca="1">VLOOKUP(F15,Table12[[Native]:[Population4]],5,FALSE)</f>
        <v>嘉兴市</v>
      </c>
    </row>
    <row r="16" spans="1:7" ht="15.75" thickBot="1" x14ac:dyDescent="0.3">
      <c r="A16" t="s">
        <v>584</v>
      </c>
      <c r="B16" s="1" t="s">
        <v>585</v>
      </c>
      <c r="C16" s="1" t="s">
        <v>11</v>
      </c>
      <c r="D16" s="1" t="s">
        <v>561</v>
      </c>
      <c r="E16" s="4">
        <v>48057</v>
      </c>
      <c r="F16" s="1" t="str">
        <f>VLOOKUP(D16,Table12[[Name]:[Native]],3,FALSE)</f>
        <v>南湖区</v>
      </c>
      <c r="G16" s="14" t="str">
        <f ca="1">VLOOKUP(F16,Table12[[Native]:[Population4]],5,FALSE)</f>
        <v>嘉兴市</v>
      </c>
    </row>
    <row r="17" spans="1:7" ht="15.75" thickBot="1" x14ac:dyDescent="0.3">
      <c r="A17" t="s">
        <v>586</v>
      </c>
      <c r="B17" s="1" t="s">
        <v>587</v>
      </c>
      <c r="C17" s="1" t="s">
        <v>11</v>
      </c>
      <c r="D17" s="1" t="s">
        <v>553</v>
      </c>
      <c r="E17" s="4">
        <v>31786</v>
      </c>
      <c r="F17" s="1" t="str">
        <f>VLOOKUP(D17,Table12[[Name]:[Native]],3,FALSE)</f>
        <v>海盐县</v>
      </c>
      <c r="G17" s="14" t="str">
        <f ca="1">VLOOKUP(F17,Table12[[Native]:[Population4]],5,FALSE)</f>
        <v>嘉兴市</v>
      </c>
    </row>
    <row r="18" spans="1:7" ht="15.75" thickBot="1" x14ac:dyDescent="0.3">
      <c r="A18" t="s">
        <v>588</v>
      </c>
      <c r="B18" s="1" t="s">
        <v>589</v>
      </c>
      <c r="C18" s="1" t="s">
        <v>11</v>
      </c>
      <c r="D18" s="1" t="s">
        <v>575</v>
      </c>
      <c r="E18" s="4">
        <v>36092</v>
      </c>
      <c r="F18" s="1" t="str">
        <f>VLOOKUP(D18,Table12[[Name]:[Native]],3,FALSE)</f>
        <v>嘉善县</v>
      </c>
      <c r="G18" s="14" t="str">
        <f ca="1">VLOOKUP(F18,Table12[[Native]:[Population4]],5,FALSE)</f>
        <v>嘉兴市</v>
      </c>
    </row>
    <row r="19" spans="1:7" ht="15.75" thickBot="1" x14ac:dyDescent="0.3">
      <c r="A19" t="s">
        <v>590</v>
      </c>
      <c r="B19" s="1" t="s">
        <v>591</v>
      </c>
      <c r="C19" s="1" t="s">
        <v>15</v>
      </c>
      <c r="D19" s="1" t="s">
        <v>566</v>
      </c>
      <c r="E19" s="4">
        <v>41800</v>
      </c>
      <c r="F19" s="1" t="str">
        <f>VLOOKUP(D19,Table12[[Name]:[Native]],3,FALSE)</f>
        <v>桐乡市</v>
      </c>
      <c r="G19" s="14" t="str">
        <f ca="1">VLOOKUP(F19,Table12[[Native]:[Population4]],5,FALSE)</f>
        <v>嘉兴市</v>
      </c>
    </row>
    <row r="20" spans="1:7" ht="15.75" thickBot="1" x14ac:dyDescent="0.3">
      <c r="A20" t="s">
        <v>592</v>
      </c>
      <c r="B20" s="1" t="s">
        <v>593</v>
      </c>
      <c r="C20" s="1" t="s">
        <v>15</v>
      </c>
      <c r="D20" s="1" t="s">
        <v>594</v>
      </c>
      <c r="E20" s="4">
        <v>45333</v>
      </c>
      <c r="F20" s="1" t="str">
        <f>VLOOKUP(D20,Table12[[Name]:[Native]],3,FALSE)</f>
        <v>秀洲区</v>
      </c>
      <c r="G20" s="14" t="str">
        <f ca="1">VLOOKUP(F20,Table12[[Native]:[Population4]],5,FALSE)</f>
        <v>嘉兴市</v>
      </c>
    </row>
    <row r="21" spans="1:7" ht="15.75" thickBot="1" x14ac:dyDescent="0.3">
      <c r="A21" t="s">
        <v>595</v>
      </c>
      <c r="B21" s="1" t="s">
        <v>596</v>
      </c>
      <c r="C21" s="1" t="s">
        <v>11</v>
      </c>
      <c r="D21" s="1" t="s">
        <v>556</v>
      </c>
      <c r="E21" s="4">
        <v>39509</v>
      </c>
      <c r="F21" s="1" t="str">
        <f>VLOOKUP(D21,Table12[[Name]:[Native]],3,FALSE)</f>
        <v>平湖市</v>
      </c>
      <c r="G21" s="14" t="str">
        <f ca="1">VLOOKUP(F21,Table12[[Native]:[Population4]],5,FALSE)</f>
        <v>嘉兴市</v>
      </c>
    </row>
    <row r="22" spans="1:7" ht="15.75" thickBot="1" x14ac:dyDescent="0.3">
      <c r="A22" t="s">
        <v>597</v>
      </c>
      <c r="B22" s="1" t="s">
        <v>598</v>
      </c>
      <c r="C22" s="1" t="s">
        <v>15</v>
      </c>
      <c r="D22" s="1" t="s">
        <v>558</v>
      </c>
      <c r="E22" s="4">
        <v>72496</v>
      </c>
      <c r="F22" s="1" t="str">
        <f>VLOOKUP(D22,Table12[[Name]:[Native]],3,FALSE)</f>
        <v>海宁市</v>
      </c>
      <c r="G22" s="14" t="str">
        <f ca="1">VLOOKUP(F22,Table12[[Native]:[Population4]],5,FALSE)</f>
        <v>嘉兴市</v>
      </c>
    </row>
    <row r="23" spans="1:7" ht="15.75" thickBot="1" x14ac:dyDescent="0.3">
      <c r="A23" t="s">
        <v>599</v>
      </c>
      <c r="B23" s="1" t="s">
        <v>600</v>
      </c>
      <c r="C23" s="1" t="s">
        <v>15</v>
      </c>
      <c r="D23" s="1" t="s">
        <v>558</v>
      </c>
      <c r="E23" s="4">
        <v>79683</v>
      </c>
      <c r="F23" s="1" t="str">
        <f>VLOOKUP(D23,Table12[[Name]:[Native]],3,FALSE)</f>
        <v>海宁市</v>
      </c>
      <c r="G23" s="14" t="str">
        <f ca="1">VLOOKUP(F23,Table12[[Native]:[Population4]],5,FALSE)</f>
        <v>嘉兴市</v>
      </c>
    </row>
    <row r="24" spans="1:7" ht="15.75" thickBot="1" x14ac:dyDescent="0.3">
      <c r="A24" t="s">
        <v>601</v>
      </c>
      <c r="B24" s="1" t="s">
        <v>602</v>
      </c>
      <c r="C24" s="1" t="s">
        <v>11</v>
      </c>
      <c r="D24" s="1" t="s">
        <v>566</v>
      </c>
      <c r="E24" s="4">
        <v>28191</v>
      </c>
      <c r="F24" s="1" t="str">
        <f>VLOOKUP(D24,Table12[[Name]:[Native]],3,FALSE)</f>
        <v>桐乡市</v>
      </c>
      <c r="G24" s="14" t="str">
        <f ca="1">VLOOKUP(F24,Table12[[Native]:[Population4]],5,FALSE)</f>
        <v>嘉兴市</v>
      </c>
    </row>
    <row r="25" spans="1:7" ht="15.75" thickBot="1" x14ac:dyDescent="0.3">
      <c r="A25" t="s">
        <v>603</v>
      </c>
      <c r="B25" s="1" t="s">
        <v>604</v>
      </c>
      <c r="C25" s="1" t="s">
        <v>11</v>
      </c>
      <c r="D25" s="1" t="s">
        <v>594</v>
      </c>
      <c r="E25" s="4">
        <v>69499</v>
      </c>
      <c r="F25" s="1" t="str">
        <f>VLOOKUP(D25,Table12[[Name]:[Native]],3,FALSE)</f>
        <v>秀洲区</v>
      </c>
      <c r="G25" s="14" t="str">
        <f ca="1">VLOOKUP(F25,Table12[[Native]:[Population4]],5,FALSE)</f>
        <v>嘉兴市</v>
      </c>
    </row>
    <row r="26" spans="1:7" ht="15.75" thickBot="1" x14ac:dyDescent="0.3">
      <c r="A26" t="s">
        <v>605</v>
      </c>
      <c r="B26" s="1" t="s">
        <v>606</v>
      </c>
      <c r="C26" s="1" t="s">
        <v>11</v>
      </c>
      <c r="D26" s="1" t="s">
        <v>558</v>
      </c>
      <c r="E26" s="4">
        <v>22212</v>
      </c>
      <c r="F26" s="1" t="str">
        <f>VLOOKUP(D26,Table12[[Name]:[Native]],3,FALSE)</f>
        <v>海宁市</v>
      </c>
      <c r="G26" s="14" t="str">
        <f ca="1">VLOOKUP(F26,Table12[[Native]:[Population4]],5,FALSE)</f>
        <v>嘉兴市</v>
      </c>
    </row>
    <row r="27" spans="1:7" ht="15.75" thickBot="1" x14ac:dyDescent="0.3">
      <c r="A27" t="s">
        <v>607</v>
      </c>
      <c r="B27" s="1" t="s">
        <v>608</v>
      </c>
      <c r="C27" s="1" t="s">
        <v>15</v>
      </c>
      <c r="D27" s="1" t="s">
        <v>575</v>
      </c>
      <c r="E27" s="4">
        <v>61049</v>
      </c>
      <c r="F27" s="1" t="str">
        <f>VLOOKUP(D27,Table12[[Name]:[Native]],3,FALSE)</f>
        <v>嘉善县</v>
      </c>
      <c r="G27" s="14" t="str">
        <f ca="1">VLOOKUP(F27,Table12[[Native]:[Population4]],5,FALSE)</f>
        <v>嘉兴市</v>
      </c>
    </row>
    <row r="28" spans="1:7" ht="15.75" thickBot="1" x14ac:dyDescent="0.3">
      <c r="A28" t="s">
        <v>609</v>
      </c>
      <c r="B28" s="1" t="s">
        <v>610</v>
      </c>
      <c r="C28" s="1" t="s">
        <v>15</v>
      </c>
      <c r="D28" s="1" t="s">
        <v>594</v>
      </c>
      <c r="E28" s="4">
        <v>67657</v>
      </c>
      <c r="F28" s="1" t="str">
        <f>VLOOKUP(D28,Table12[[Name]:[Native]],3,FALSE)</f>
        <v>秀洲区</v>
      </c>
      <c r="G28" s="14" t="str">
        <f ca="1">VLOOKUP(F28,Table12[[Native]:[Population4]],5,FALSE)</f>
        <v>嘉兴市</v>
      </c>
    </row>
    <row r="29" spans="1:7" ht="15.75" thickBot="1" x14ac:dyDescent="0.3">
      <c r="A29" t="s">
        <v>611</v>
      </c>
      <c r="B29" s="1" t="s">
        <v>612</v>
      </c>
      <c r="C29" s="1" t="s">
        <v>253</v>
      </c>
      <c r="D29" s="1" t="s">
        <v>558</v>
      </c>
      <c r="E29" s="4">
        <v>4818</v>
      </c>
      <c r="F29" s="1" t="str">
        <f>VLOOKUP(D29,Table12[[Name]:[Native]],3,FALSE)</f>
        <v>海宁市</v>
      </c>
      <c r="G29" s="14" t="str">
        <f ca="1">VLOOKUP(F29,Table12[[Native]:[Population4]],5,FALSE)</f>
        <v>嘉兴市</v>
      </c>
    </row>
    <row r="30" spans="1:7" ht="15.75" thickBot="1" x14ac:dyDescent="0.3">
      <c r="A30" t="s">
        <v>613</v>
      </c>
      <c r="B30" s="1" t="s">
        <v>614</v>
      </c>
      <c r="C30" s="1" t="s">
        <v>15</v>
      </c>
      <c r="D30" s="1" t="s">
        <v>561</v>
      </c>
      <c r="E30" s="4">
        <v>31553</v>
      </c>
      <c r="F30" s="1" t="str">
        <f>VLOOKUP(D30,Table12[[Name]:[Native]],3,FALSE)</f>
        <v>南湖区</v>
      </c>
      <c r="G30" s="14" t="str">
        <f ca="1">VLOOKUP(F30,Table12[[Native]:[Population4]],5,FALSE)</f>
        <v>嘉兴市</v>
      </c>
    </row>
    <row r="31" spans="1:7" ht="15.75" thickBot="1" x14ac:dyDescent="0.3">
      <c r="A31" t="s">
        <v>615</v>
      </c>
      <c r="B31" s="1" t="s">
        <v>616</v>
      </c>
      <c r="C31" s="1" t="s">
        <v>15</v>
      </c>
      <c r="D31" s="1" t="s">
        <v>561</v>
      </c>
      <c r="E31" s="4">
        <v>29348</v>
      </c>
      <c r="F31" s="1" t="str">
        <f>VLOOKUP(D31,Table12[[Name]:[Native]],3,FALSE)</f>
        <v>南湖区</v>
      </c>
      <c r="G31" s="14" t="str">
        <f ca="1">VLOOKUP(F31,Table12[[Native]:[Population4]],5,FALSE)</f>
        <v>嘉兴市</v>
      </c>
    </row>
    <row r="32" spans="1:7" ht="15.75" thickBot="1" x14ac:dyDescent="0.3">
      <c r="A32" t="s">
        <v>617</v>
      </c>
      <c r="B32" s="1" t="s">
        <v>618</v>
      </c>
      <c r="C32" s="1" t="s">
        <v>11</v>
      </c>
      <c r="D32" s="1" t="s">
        <v>556</v>
      </c>
      <c r="E32" s="4">
        <v>37828</v>
      </c>
      <c r="F32" s="1" t="str">
        <f>VLOOKUP(D32,Table12[[Name]:[Native]],3,FALSE)</f>
        <v>平湖市</v>
      </c>
      <c r="G32" s="14" t="str">
        <f ca="1">VLOOKUP(F32,Table12[[Native]:[Population4]],5,FALSE)</f>
        <v>嘉兴市</v>
      </c>
    </row>
    <row r="33" spans="1:7" ht="15.75" thickBot="1" x14ac:dyDescent="0.3">
      <c r="A33" t="s">
        <v>619</v>
      </c>
      <c r="B33" s="1" t="s">
        <v>620</v>
      </c>
      <c r="C33" s="1" t="s">
        <v>15</v>
      </c>
      <c r="D33" s="1" t="s">
        <v>575</v>
      </c>
      <c r="E33" s="4">
        <v>75473</v>
      </c>
      <c r="F33" s="1" t="str">
        <f>VLOOKUP(D33,Table12[[Name]:[Native]],3,FALSE)</f>
        <v>嘉善县</v>
      </c>
      <c r="G33" s="14" t="str">
        <f ca="1">VLOOKUP(F33,Table12[[Native]:[Population4]],5,FALSE)</f>
        <v>嘉兴市</v>
      </c>
    </row>
    <row r="34" spans="1:7" ht="15.75" thickBot="1" x14ac:dyDescent="0.3">
      <c r="A34" t="s">
        <v>621</v>
      </c>
      <c r="B34" s="1" t="s">
        <v>622</v>
      </c>
      <c r="C34" s="1" t="s">
        <v>15</v>
      </c>
      <c r="D34" s="1" t="s">
        <v>558</v>
      </c>
      <c r="E34" s="4">
        <v>37189</v>
      </c>
      <c r="F34" s="1" t="str">
        <f>VLOOKUP(D34,Table12[[Name]:[Native]],3,FALSE)</f>
        <v>海宁市</v>
      </c>
      <c r="G34" s="14" t="str">
        <f ca="1">VLOOKUP(F34,Table12[[Native]:[Population4]],5,FALSE)</f>
        <v>嘉兴市</v>
      </c>
    </row>
    <row r="35" spans="1:7" ht="15.75" thickBot="1" x14ac:dyDescent="0.3">
      <c r="A35" t="s">
        <v>623</v>
      </c>
      <c r="B35" s="1" t="s">
        <v>624</v>
      </c>
      <c r="C35" s="1" t="s">
        <v>15</v>
      </c>
      <c r="D35" s="1" t="s">
        <v>561</v>
      </c>
      <c r="E35" s="4">
        <v>65477</v>
      </c>
      <c r="F35" s="1" t="str">
        <f>VLOOKUP(D35,Table12[[Name]:[Native]],3,FALSE)</f>
        <v>南湖区</v>
      </c>
      <c r="G35" s="14" t="str">
        <f ca="1">VLOOKUP(F35,Table12[[Native]:[Population4]],5,FALSE)</f>
        <v>嘉兴市</v>
      </c>
    </row>
    <row r="36" spans="1:7" ht="15.75" thickBot="1" x14ac:dyDescent="0.3">
      <c r="A36" t="s">
        <v>625</v>
      </c>
      <c r="B36" s="1" t="s">
        <v>626</v>
      </c>
      <c r="C36" s="1" t="s">
        <v>11</v>
      </c>
      <c r="D36" s="1" t="s">
        <v>566</v>
      </c>
      <c r="E36" s="4">
        <v>95327</v>
      </c>
      <c r="F36" s="1" t="str">
        <f>VLOOKUP(D36,Table12[[Name]:[Native]],3,FALSE)</f>
        <v>桐乡市</v>
      </c>
      <c r="G36" s="14" t="str">
        <f ca="1">VLOOKUP(F36,Table12[[Native]:[Population4]],5,FALSE)</f>
        <v>嘉兴市</v>
      </c>
    </row>
    <row r="37" spans="1:7" ht="15.75" thickBot="1" x14ac:dyDescent="0.3">
      <c r="A37" t="s">
        <v>627</v>
      </c>
      <c r="B37" s="1" t="s">
        <v>628</v>
      </c>
      <c r="C37" s="1" t="s">
        <v>15</v>
      </c>
      <c r="D37" s="1" t="s">
        <v>553</v>
      </c>
      <c r="E37" s="4">
        <v>36746</v>
      </c>
      <c r="F37" s="1" t="str">
        <f>VLOOKUP(D37,Table12[[Name]:[Native]],3,FALSE)</f>
        <v>海盐县</v>
      </c>
      <c r="G37" s="14" t="str">
        <f ca="1">VLOOKUP(F37,Table12[[Native]:[Population4]],5,FALSE)</f>
        <v>嘉兴市</v>
      </c>
    </row>
    <row r="38" spans="1:7" ht="15.75" thickBot="1" x14ac:dyDescent="0.3">
      <c r="A38" t="s">
        <v>629</v>
      </c>
      <c r="B38" s="1" t="s">
        <v>630</v>
      </c>
      <c r="C38" s="1" t="s">
        <v>15</v>
      </c>
      <c r="D38" s="1" t="s">
        <v>561</v>
      </c>
      <c r="E38" s="4">
        <v>24819</v>
      </c>
      <c r="F38" s="1" t="str">
        <f>VLOOKUP(D38,Table12[[Name]:[Native]],3,FALSE)</f>
        <v>南湖区</v>
      </c>
      <c r="G38" s="14" t="str">
        <f ca="1">VLOOKUP(F38,Table12[[Native]:[Population4]],5,FALSE)</f>
        <v>嘉兴市</v>
      </c>
    </row>
    <row r="39" spans="1:7" ht="15.75" thickBot="1" x14ac:dyDescent="0.3">
      <c r="A39" t="s">
        <v>631</v>
      </c>
      <c r="B39" s="1" t="s">
        <v>632</v>
      </c>
      <c r="C39" s="1" t="s">
        <v>11</v>
      </c>
      <c r="D39" s="1" t="s">
        <v>553</v>
      </c>
      <c r="E39" s="4">
        <v>34963</v>
      </c>
      <c r="F39" s="1" t="str">
        <f>VLOOKUP(D39,Table12[[Name]:[Native]],3,FALSE)</f>
        <v>海盐县</v>
      </c>
      <c r="G39" s="14" t="str">
        <f ca="1">VLOOKUP(F39,Table12[[Native]:[Population4]],5,FALSE)</f>
        <v>嘉兴市</v>
      </c>
    </row>
    <row r="40" spans="1:7" ht="15.75" thickBot="1" x14ac:dyDescent="0.3">
      <c r="A40" t="s">
        <v>633</v>
      </c>
      <c r="B40" s="1" t="s">
        <v>634</v>
      </c>
      <c r="C40" s="1" t="s">
        <v>11</v>
      </c>
      <c r="D40" s="1" t="s">
        <v>566</v>
      </c>
      <c r="E40" s="4">
        <v>51021</v>
      </c>
      <c r="F40" s="1" t="str">
        <f>VLOOKUP(D40,Table12[[Name]:[Native]],3,FALSE)</f>
        <v>桐乡市</v>
      </c>
      <c r="G40" s="14" t="str">
        <f ca="1">VLOOKUP(F40,Table12[[Native]:[Population4]],5,FALSE)</f>
        <v>嘉兴市</v>
      </c>
    </row>
    <row r="41" spans="1:7" ht="15.75" thickBot="1" x14ac:dyDescent="0.3">
      <c r="A41" t="s">
        <v>635</v>
      </c>
      <c r="B41" s="1" t="s">
        <v>636</v>
      </c>
      <c r="C41" s="1" t="s">
        <v>15</v>
      </c>
      <c r="D41" s="1" t="s">
        <v>594</v>
      </c>
      <c r="E41" s="4">
        <v>31803</v>
      </c>
      <c r="F41" s="1" t="str">
        <f>VLOOKUP(D41,Table12[[Name]:[Native]],3,FALSE)</f>
        <v>秀洲区</v>
      </c>
      <c r="G41" s="14" t="str">
        <f ca="1">VLOOKUP(F41,Table12[[Native]:[Population4]],5,FALSE)</f>
        <v>嘉兴市</v>
      </c>
    </row>
    <row r="42" spans="1:7" ht="15.75" thickBot="1" x14ac:dyDescent="0.3">
      <c r="A42" t="s">
        <v>637</v>
      </c>
      <c r="B42" s="1" t="s">
        <v>638</v>
      </c>
      <c r="C42" s="1" t="s">
        <v>11</v>
      </c>
      <c r="D42" s="1" t="s">
        <v>575</v>
      </c>
      <c r="E42" s="4">
        <v>30595</v>
      </c>
      <c r="F42" s="1" t="str">
        <f>VLOOKUP(D42,Table12[[Name]:[Native]],3,FALSE)</f>
        <v>嘉善县</v>
      </c>
      <c r="G42" s="14" t="str">
        <f ca="1">VLOOKUP(F42,Table12[[Native]:[Population4]],5,FALSE)</f>
        <v>嘉兴市</v>
      </c>
    </row>
    <row r="43" spans="1:7" ht="15.75" thickBot="1" x14ac:dyDescent="0.3">
      <c r="A43" t="s">
        <v>639</v>
      </c>
      <c r="B43" s="1" t="s">
        <v>640</v>
      </c>
      <c r="C43" s="1" t="s">
        <v>11</v>
      </c>
      <c r="D43" s="1" t="s">
        <v>575</v>
      </c>
      <c r="E43" s="4">
        <v>58430</v>
      </c>
      <c r="F43" s="1" t="str">
        <f>VLOOKUP(D43,Table12[[Name]:[Native]],3,FALSE)</f>
        <v>嘉善县</v>
      </c>
      <c r="G43" s="14" t="str">
        <f ca="1">VLOOKUP(F43,Table12[[Native]:[Population4]],5,FALSE)</f>
        <v>嘉兴市</v>
      </c>
    </row>
    <row r="44" spans="1:7" ht="15.75" thickBot="1" x14ac:dyDescent="0.3">
      <c r="A44" t="s">
        <v>641</v>
      </c>
      <c r="B44" s="1" t="s">
        <v>642</v>
      </c>
      <c r="C44" s="1" t="s">
        <v>11</v>
      </c>
      <c r="D44" s="1" t="s">
        <v>553</v>
      </c>
      <c r="E44" s="4">
        <v>43456</v>
      </c>
      <c r="F44" s="1" t="str">
        <f>VLOOKUP(D44,Table12[[Name]:[Native]],3,FALSE)</f>
        <v>海盐县</v>
      </c>
      <c r="G44" s="14" t="str">
        <f ca="1">VLOOKUP(F44,Table12[[Native]:[Population4]],5,FALSE)</f>
        <v>嘉兴市</v>
      </c>
    </row>
    <row r="45" spans="1:7" ht="15.75" thickBot="1" x14ac:dyDescent="0.3">
      <c r="A45" t="s">
        <v>643</v>
      </c>
      <c r="B45" s="1" t="s">
        <v>644</v>
      </c>
      <c r="C45" s="1" t="s">
        <v>11</v>
      </c>
      <c r="D45" s="1" t="s">
        <v>566</v>
      </c>
      <c r="E45" s="4">
        <v>33727</v>
      </c>
      <c r="F45" s="1" t="str">
        <f>VLOOKUP(D45,Table12[[Name]:[Native]],3,FALSE)</f>
        <v>桐乡市</v>
      </c>
      <c r="G45" s="14" t="str">
        <f ca="1">VLOOKUP(F45,Table12[[Native]:[Population4]],5,FALSE)</f>
        <v>嘉兴市</v>
      </c>
    </row>
    <row r="46" spans="1:7" ht="15.75" thickBot="1" x14ac:dyDescent="0.3">
      <c r="A46" t="s">
        <v>645</v>
      </c>
      <c r="B46" s="1" t="s">
        <v>646</v>
      </c>
      <c r="C46" s="1" t="s">
        <v>11</v>
      </c>
      <c r="D46" s="1" t="s">
        <v>594</v>
      </c>
      <c r="E46" s="4">
        <v>93291</v>
      </c>
      <c r="F46" s="1" t="str">
        <f>VLOOKUP(D46,Table12[[Name]:[Native]],3,FALSE)</f>
        <v>秀洲区</v>
      </c>
      <c r="G46" s="14" t="str">
        <f ca="1">VLOOKUP(F46,Table12[[Native]:[Population4]],5,FALSE)</f>
        <v>嘉兴市</v>
      </c>
    </row>
    <row r="47" spans="1:7" ht="15.75" thickBot="1" x14ac:dyDescent="0.3">
      <c r="A47" t="s">
        <v>647</v>
      </c>
      <c r="B47" s="1" t="s">
        <v>648</v>
      </c>
      <c r="C47" s="1" t="s">
        <v>11</v>
      </c>
      <c r="D47" s="1" t="s">
        <v>594</v>
      </c>
      <c r="E47" s="4">
        <v>111121</v>
      </c>
      <c r="F47" s="1" t="str">
        <f>VLOOKUP(D47,Table12[[Name]:[Native]],3,FALSE)</f>
        <v>秀洲区</v>
      </c>
      <c r="G47" s="14" t="str">
        <f ca="1">VLOOKUP(F47,Table12[[Native]:[Population4]],5,FALSE)</f>
        <v>嘉兴市</v>
      </c>
    </row>
    <row r="48" spans="1:7" ht="15.75" thickBot="1" x14ac:dyDescent="0.3">
      <c r="A48" t="s">
        <v>649</v>
      </c>
      <c r="B48" s="1" t="s">
        <v>650</v>
      </c>
      <c r="C48" s="1" t="s">
        <v>15</v>
      </c>
      <c r="D48" s="1" t="s">
        <v>575</v>
      </c>
      <c r="E48" s="4">
        <v>171290</v>
      </c>
      <c r="F48" s="1" t="str">
        <f>VLOOKUP(D48,Table12[[Name]:[Native]],3,FALSE)</f>
        <v>嘉善县</v>
      </c>
      <c r="G48" s="14" t="str">
        <f ca="1">VLOOKUP(F48,Table12[[Native]:[Population4]],5,FALSE)</f>
        <v>嘉兴市</v>
      </c>
    </row>
    <row r="49" spans="1:7" ht="15.75" thickBot="1" x14ac:dyDescent="0.3">
      <c r="A49" t="s">
        <v>651</v>
      </c>
      <c r="B49" s="1" t="s">
        <v>652</v>
      </c>
      <c r="C49" s="1" t="s">
        <v>15</v>
      </c>
      <c r="D49" s="1" t="s">
        <v>566</v>
      </c>
      <c r="E49" s="4">
        <v>217020</v>
      </c>
      <c r="F49" s="1" t="str">
        <f>VLOOKUP(D49,Table12[[Name]:[Native]],3,FALSE)</f>
        <v>桐乡市</v>
      </c>
      <c r="G49" s="14" t="str">
        <f ca="1">VLOOKUP(F49,Table12[[Native]:[Population4]],5,FALSE)</f>
        <v>嘉兴市</v>
      </c>
    </row>
    <row r="50" spans="1:7" ht="15.75" thickBot="1" x14ac:dyDescent="0.3">
      <c r="A50" t="s">
        <v>653</v>
      </c>
      <c r="B50" s="1" t="s">
        <v>654</v>
      </c>
      <c r="C50" s="1" t="s">
        <v>15</v>
      </c>
      <c r="D50" s="1" t="s">
        <v>553</v>
      </c>
      <c r="E50" s="4">
        <v>160535</v>
      </c>
      <c r="F50" s="1" t="str">
        <f>VLOOKUP(D50,Table12[[Name]:[Native]],3,FALSE)</f>
        <v>海盐县</v>
      </c>
      <c r="G50" s="14" t="str">
        <f ca="1">VLOOKUP(F50,Table12[[Native]:[Population4]],5,FALSE)</f>
        <v>嘉兴市</v>
      </c>
    </row>
    <row r="51" spans="1:7" ht="15.75" thickBot="1" x14ac:dyDescent="0.3">
      <c r="A51" t="s">
        <v>655</v>
      </c>
      <c r="B51" s="1" t="s">
        <v>656</v>
      </c>
      <c r="C51" s="1" t="s">
        <v>11</v>
      </c>
      <c r="D51" s="1" t="s">
        <v>566</v>
      </c>
      <c r="E51" s="4">
        <v>79831</v>
      </c>
      <c r="F51" s="1" t="str">
        <f>VLOOKUP(D51,Table12[[Name]:[Native]],3,FALSE)</f>
        <v>桐乡市</v>
      </c>
      <c r="G51" s="14" t="str">
        <f ca="1">VLOOKUP(F51,Table12[[Native]:[Population4]],5,FALSE)</f>
        <v>嘉兴市</v>
      </c>
    </row>
    <row r="52" spans="1:7" ht="15.75" thickBot="1" x14ac:dyDescent="0.3">
      <c r="A52" t="s">
        <v>657</v>
      </c>
      <c r="B52" s="1" t="s">
        <v>658</v>
      </c>
      <c r="C52" s="1" t="s">
        <v>15</v>
      </c>
      <c r="D52" s="1" t="s">
        <v>558</v>
      </c>
      <c r="E52" s="4">
        <v>87621</v>
      </c>
      <c r="F52" s="1" t="str">
        <f>VLOOKUP(D52,Table12[[Name]:[Native]],3,FALSE)</f>
        <v>海宁市</v>
      </c>
      <c r="G52" s="14" t="str">
        <f ca="1">VLOOKUP(F52,Table12[[Native]:[Population4]],5,FALSE)</f>
        <v>嘉兴市</v>
      </c>
    </row>
    <row r="53" spans="1:7" ht="15.75" thickBot="1" x14ac:dyDescent="0.3">
      <c r="A53" t="s">
        <v>659</v>
      </c>
      <c r="B53" s="1" t="s">
        <v>660</v>
      </c>
      <c r="C53" s="1" t="s">
        <v>11</v>
      </c>
      <c r="D53" s="1" t="s">
        <v>558</v>
      </c>
      <c r="E53" s="4">
        <v>65473</v>
      </c>
      <c r="F53" s="1" t="str">
        <f>VLOOKUP(D53,Table12[[Name]:[Native]],3,FALSE)</f>
        <v>海宁市</v>
      </c>
      <c r="G53" s="14" t="str">
        <f ca="1">VLOOKUP(F53,Table12[[Native]:[Population4]],5,FALSE)</f>
        <v>嘉兴市</v>
      </c>
    </row>
    <row r="54" spans="1:7" ht="15.75" thickBot="1" x14ac:dyDescent="0.3">
      <c r="A54" t="s">
        <v>661</v>
      </c>
      <c r="B54" s="1" t="s">
        <v>662</v>
      </c>
      <c r="C54" s="1" t="s">
        <v>11</v>
      </c>
      <c r="D54" s="1" t="s">
        <v>556</v>
      </c>
      <c r="E54" s="4">
        <v>49305</v>
      </c>
      <c r="F54" s="1" t="str">
        <f>VLOOKUP(D54,Table12[[Name]:[Native]],3,FALSE)</f>
        <v>平湖市</v>
      </c>
      <c r="G54" s="14" t="str">
        <f ca="1">VLOOKUP(F54,Table12[[Native]:[Population4]],5,FALSE)</f>
        <v>嘉兴市</v>
      </c>
    </row>
    <row r="55" spans="1:7" ht="15.75" thickBot="1" x14ac:dyDescent="0.3">
      <c r="A55" t="s">
        <v>663</v>
      </c>
      <c r="B55" s="1" t="s">
        <v>664</v>
      </c>
      <c r="C55" s="1" t="s">
        <v>15</v>
      </c>
      <c r="D55" s="1" t="s">
        <v>594</v>
      </c>
      <c r="E55" s="4">
        <v>42205</v>
      </c>
      <c r="F55" s="1" t="str">
        <f>VLOOKUP(D55,Table12[[Name]:[Native]],3,FALSE)</f>
        <v>秀洲区</v>
      </c>
      <c r="G55" s="14" t="str">
        <f ca="1">VLOOKUP(F55,Table12[[Native]:[Population4]],5,FALSE)</f>
        <v>嘉兴市</v>
      </c>
    </row>
    <row r="56" spans="1:7" ht="15.75" thickBot="1" x14ac:dyDescent="0.3">
      <c r="A56" t="s">
        <v>665</v>
      </c>
      <c r="B56" s="1" t="s">
        <v>666</v>
      </c>
      <c r="C56" s="1" t="s">
        <v>11</v>
      </c>
      <c r="D56" s="1" t="s">
        <v>594</v>
      </c>
      <c r="E56" s="4">
        <v>78822</v>
      </c>
      <c r="F56" s="1" t="str">
        <f>VLOOKUP(D56,Table12[[Name]:[Native]],3,FALSE)</f>
        <v>秀洲区</v>
      </c>
      <c r="G56" s="14" t="str">
        <f ca="1">VLOOKUP(F56,Table12[[Native]:[Population4]],5,FALSE)</f>
        <v>嘉兴市</v>
      </c>
    </row>
    <row r="57" spans="1:7" ht="15.75" thickBot="1" x14ac:dyDescent="0.3">
      <c r="A57" t="s">
        <v>667</v>
      </c>
      <c r="B57" s="1" t="s">
        <v>668</v>
      </c>
      <c r="C57" s="1" t="s">
        <v>11</v>
      </c>
      <c r="D57" s="1" t="s">
        <v>556</v>
      </c>
      <c r="E57" s="4">
        <v>70209</v>
      </c>
      <c r="F57" s="1" t="str">
        <f>VLOOKUP(D57,Table12[[Name]:[Native]],3,FALSE)</f>
        <v>平湖市</v>
      </c>
      <c r="G57" s="14" t="str">
        <f ca="1">VLOOKUP(F57,Table12[[Native]:[Population4]],5,FALSE)</f>
        <v>嘉兴市</v>
      </c>
    </row>
    <row r="58" spans="1:7" ht="15.75" thickBot="1" x14ac:dyDescent="0.3">
      <c r="A58" t="s">
        <v>669</v>
      </c>
      <c r="B58" s="1" t="s">
        <v>670</v>
      </c>
      <c r="C58" s="1" t="s">
        <v>11</v>
      </c>
      <c r="D58" s="1" t="s">
        <v>561</v>
      </c>
      <c r="E58" s="4">
        <v>49496</v>
      </c>
      <c r="F58" s="1" t="str">
        <f>VLOOKUP(D58,Table12[[Name]:[Native]],3,FALSE)</f>
        <v>南湖区</v>
      </c>
      <c r="G58" s="14" t="str">
        <f ca="1">VLOOKUP(F58,Table12[[Native]:[Population4]],5,FALSE)</f>
        <v>嘉兴市</v>
      </c>
    </row>
    <row r="59" spans="1:7" ht="15.75" thickBot="1" x14ac:dyDescent="0.3">
      <c r="A59" t="s">
        <v>671</v>
      </c>
      <c r="B59" s="1" t="s">
        <v>672</v>
      </c>
      <c r="C59" s="1" t="s">
        <v>15</v>
      </c>
      <c r="D59" s="1" t="s">
        <v>561</v>
      </c>
      <c r="E59" s="4">
        <v>74024</v>
      </c>
      <c r="F59" s="1" t="str">
        <f>VLOOKUP(D59,Table12[[Name]:[Native]],3,FALSE)</f>
        <v>南湖区</v>
      </c>
      <c r="G59" s="14" t="str">
        <f ca="1">VLOOKUP(F59,Table12[[Native]:[Population4]],5,FALSE)</f>
        <v>嘉兴市</v>
      </c>
    </row>
    <row r="60" spans="1:7" ht="15.75" thickBot="1" x14ac:dyDescent="0.3">
      <c r="A60" t="s">
        <v>673</v>
      </c>
      <c r="B60" s="1" t="s">
        <v>674</v>
      </c>
      <c r="C60" s="1" t="s">
        <v>15</v>
      </c>
      <c r="D60" s="1" t="s">
        <v>561</v>
      </c>
      <c r="E60" s="4">
        <v>55017</v>
      </c>
      <c r="F60" s="1" t="str">
        <f>VLOOKUP(D60,Table12[[Name]:[Native]],3,FALSE)</f>
        <v>南湖区</v>
      </c>
      <c r="G60" s="14" t="str">
        <f ca="1">VLOOKUP(F60,Table12[[Native]:[Population4]],5,FALSE)</f>
        <v>嘉兴市</v>
      </c>
    </row>
    <row r="61" spans="1:7" ht="15.75" thickBot="1" x14ac:dyDescent="0.3">
      <c r="A61" t="s">
        <v>675</v>
      </c>
      <c r="B61" s="1" t="s">
        <v>676</v>
      </c>
      <c r="C61" s="1" t="s">
        <v>15</v>
      </c>
      <c r="D61" s="1" t="s">
        <v>553</v>
      </c>
      <c r="E61" s="4">
        <v>62883</v>
      </c>
      <c r="F61" s="1" t="str">
        <f>VLOOKUP(D61,Table12[[Name]:[Native]],3,FALSE)</f>
        <v>海盐县</v>
      </c>
      <c r="G61" s="14" t="str">
        <f ca="1">VLOOKUP(F61,Table12[[Native]:[Population4]],5,FALSE)</f>
        <v>嘉兴市</v>
      </c>
    </row>
    <row r="62" spans="1:7" ht="15.75" thickBot="1" x14ac:dyDescent="0.3">
      <c r="A62" t="s">
        <v>677</v>
      </c>
      <c r="B62" s="1" t="s">
        <v>678</v>
      </c>
      <c r="C62" s="1" t="s">
        <v>11</v>
      </c>
      <c r="D62" s="1" t="s">
        <v>575</v>
      </c>
      <c r="E62" s="4">
        <v>65211</v>
      </c>
      <c r="F62" s="1" t="str">
        <f>VLOOKUP(D62,Table12[[Name]:[Native]],3,FALSE)</f>
        <v>嘉善县</v>
      </c>
      <c r="G62" s="14" t="str">
        <f ca="1">VLOOKUP(F62,Table12[[Native]:[Population4]],5,FALSE)</f>
        <v>嘉兴市</v>
      </c>
    </row>
    <row r="63" spans="1:7" ht="15.75" thickBot="1" x14ac:dyDescent="0.3">
      <c r="A63" t="s">
        <v>679</v>
      </c>
      <c r="B63" s="1" t="s">
        <v>680</v>
      </c>
      <c r="C63" s="1" t="s">
        <v>11</v>
      </c>
      <c r="D63" s="1" t="s">
        <v>558</v>
      </c>
      <c r="E63" s="4">
        <v>118263</v>
      </c>
      <c r="F63" s="1" t="str">
        <f>VLOOKUP(D63,Table12[[Name]:[Native]],3,FALSE)</f>
        <v>海宁市</v>
      </c>
      <c r="G63" s="14" t="str">
        <f ca="1">VLOOKUP(F63,Table12[[Native]:[Population4]],5,FALSE)</f>
        <v>嘉兴市</v>
      </c>
    </row>
    <row r="64" spans="1:7" ht="15.75" thickBot="1" x14ac:dyDescent="0.3">
      <c r="A64" t="s">
        <v>681</v>
      </c>
      <c r="B64" s="1" t="s">
        <v>682</v>
      </c>
      <c r="C64" s="1" t="s">
        <v>11</v>
      </c>
      <c r="D64" s="1" t="s">
        <v>558</v>
      </c>
      <c r="E64" s="4">
        <v>57609</v>
      </c>
      <c r="F64" s="1" t="str">
        <f>VLOOKUP(D64,Table12[[Name]:[Native]],3,FALSE)</f>
        <v>海宁市</v>
      </c>
      <c r="G64" s="14" t="str">
        <f ca="1">VLOOKUP(F64,Table12[[Native]:[Population4]],5,FALSE)</f>
        <v>嘉兴市</v>
      </c>
    </row>
    <row r="65" spans="1:7" ht="15.75" thickBot="1" x14ac:dyDescent="0.3">
      <c r="A65" t="s">
        <v>683</v>
      </c>
      <c r="B65" s="1" t="s">
        <v>684</v>
      </c>
      <c r="C65" s="1" t="s">
        <v>11</v>
      </c>
      <c r="D65" s="1" t="s">
        <v>575</v>
      </c>
      <c r="E65" s="4">
        <v>52619</v>
      </c>
      <c r="F65" s="1" t="str">
        <f>VLOOKUP(D65,Table12[[Name]:[Native]],3,FALSE)</f>
        <v>嘉善县</v>
      </c>
      <c r="G65" s="14" t="str">
        <f ca="1">VLOOKUP(F65,Table12[[Native]:[Population4]],5,FALSE)</f>
        <v>嘉兴市</v>
      </c>
    </row>
    <row r="66" spans="1:7" ht="15.75" thickBot="1" x14ac:dyDescent="0.3">
      <c r="A66" t="s">
        <v>685</v>
      </c>
      <c r="B66" s="1" t="s">
        <v>686</v>
      </c>
      <c r="C66" s="1" t="s">
        <v>11</v>
      </c>
      <c r="D66" s="1" t="s">
        <v>594</v>
      </c>
      <c r="E66" s="4">
        <v>49488</v>
      </c>
      <c r="F66" s="1" t="str">
        <f>VLOOKUP(D66,Table12[[Name]:[Native]],3,FALSE)</f>
        <v>秀洲区</v>
      </c>
      <c r="G66" s="14" t="str">
        <f ca="1">VLOOKUP(F66,Table12[[Native]:[Population4]],5,FALSE)</f>
        <v>嘉兴市</v>
      </c>
    </row>
    <row r="67" spans="1:7" ht="15.75" thickBot="1" x14ac:dyDescent="0.3">
      <c r="A67" t="s">
        <v>687</v>
      </c>
      <c r="B67" s="1" t="s">
        <v>688</v>
      </c>
      <c r="C67" s="1" t="s">
        <v>11</v>
      </c>
      <c r="D67" s="1" t="s">
        <v>558</v>
      </c>
      <c r="E67" s="4">
        <v>56055</v>
      </c>
      <c r="F67" s="1" t="str">
        <f>VLOOKUP(D67,Table12[[Name]:[Native]],3,FALSE)</f>
        <v>海宁市</v>
      </c>
      <c r="G67" s="14" t="str">
        <f ca="1">VLOOKUP(F67,Table12[[Native]:[Population4]],5,FALSE)</f>
        <v>嘉兴市</v>
      </c>
    </row>
    <row r="68" spans="1:7" ht="15.75" thickBot="1" x14ac:dyDescent="0.3">
      <c r="A68" t="s">
        <v>689</v>
      </c>
      <c r="B68" s="1" t="s">
        <v>690</v>
      </c>
      <c r="C68" s="1" t="s">
        <v>11</v>
      </c>
      <c r="D68" s="1" t="s">
        <v>553</v>
      </c>
      <c r="E68" s="4">
        <v>25138</v>
      </c>
      <c r="F68" s="1" t="str">
        <f>VLOOKUP(D68,Table12[[Name]:[Native]],3,FALSE)</f>
        <v>海盐县</v>
      </c>
      <c r="G68" s="14" t="str">
        <f ca="1">VLOOKUP(F68,Table12[[Native]:[Population4]],5,FALSE)</f>
        <v>嘉兴市</v>
      </c>
    </row>
    <row r="69" spans="1:7" ht="15.75" thickBot="1" x14ac:dyDescent="0.3">
      <c r="A69" t="s">
        <v>691</v>
      </c>
      <c r="B69" s="1" t="s">
        <v>692</v>
      </c>
      <c r="C69" s="1" t="s">
        <v>11</v>
      </c>
      <c r="D69" s="1" t="s">
        <v>561</v>
      </c>
      <c r="E69" s="4">
        <v>52366</v>
      </c>
      <c r="F69" s="1" t="str">
        <f>VLOOKUP(D69,Table12[[Name]:[Native]],3,FALSE)</f>
        <v>南湖区</v>
      </c>
      <c r="G69" s="14" t="str">
        <f ca="1">VLOOKUP(F69,Table12[[Native]:[Population4]],5,FALSE)</f>
        <v>嘉兴市</v>
      </c>
    </row>
    <row r="70" spans="1:7" ht="15.75" thickBot="1" x14ac:dyDescent="0.3">
      <c r="A70" t="s">
        <v>693</v>
      </c>
      <c r="B70" s="1" t="s">
        <v>694</v>
      </c>
      <c r="C70" s="1" t="s">
        <v>11</v>
      </c>
      <c r="D70" s="1" t="s">
        <v>556</v>
      </c>
      <c r="E70" s="4">
        <v>83527</v>
      </c>
      <c r="F70" s="1" t="str">
        <f>VLOOKUP(D70,Table12[[Name]:[Native]],3,FALSE)</f>
        <v>平湖市</v>
      </c>
      <c r="G70" s="14" t="str">
        <f ca="1">VLOOKUP(F70,Table12[[Native]:[Population4]],5,FALSE)</f>
        <v>嘉兴市</v>
      </c>
    </row>
    <row r="71" spans="1:7" ht="15.75" thickBot="1" x14ac:dyDescent="0.3">
      <c r="A71" t="s">
        <v>695</v>
      </c>
      <c r="B71" s="1" t="s">
        <v>696</v>
      </c>
      <c r="C71" s="1" t="s">
        <v>15</v>
      </c>
      <c r="D71" s="1" t="s">
        <v>556</v>
      </c>
      <c r="E71" s="4">
        <v>98153</v>
      </c>
      <c r="F71" s="1" t="str">
        <f>VLOOKUP(D71,Table12[[Name]:[Native]],3,FALSE)</f>
        <v>平湖市</v>
      </c>
      <c r="G71" s="14" t="str">
        <f ca="1">VLOOKUP(F71,Table12[[Native]:[Population4]],5,FALSE)</f>
        <v>嘉兴市</v>
      </c>
    </row>
    <row r="72" spans="1:7" ht="15.75" thickBot="1" x14ac:dyDescent="0.3">
      <c r="A72" t="s">
        <v>697</v>
      </c>
      <c r="B72" s="1" t="s">
        <v>698</v>
      </c>
      <c r="C72" s="1" t="s">
        <v>11</v>
      </c>
      <c r="D72" s="1" t="s">
        <v>566</v>
      </c>
      <c r="E72" s="4">
        <v>66453</v>
      </c>
      <c r="F72" s="1" t="str">
        <f>VLOOKUP(D72,Table12[[Name]:[Native]],3,FALSE)</f>
        <v>桐乡市</v>
      </c>
      <c r="G72" s="14" t="str">
        <f ca="1">VLOOKUP(F72,Table12[[Native]:[Population4]],5,FALSE)</f>
        <v>嘉兴市</v>
      </c>
    </row>
    <row r="73" spans="1:7" ht="15.75" thickBot="1" x14ac:dyDescent="0.3">
      <c r="A73" t="s">
        <v>699</v>
      </c>
      <c r="B73" s="1" t="s">
        <v>700</v>
      </c>
      <c r="C73" s="1" t="s">
        <v>11</v>
      </c>
      <c r="D73" s="1" t="s">
        <v>558</v>
      </c>
      <c r="E73" s="4">
        <v>49241</v>
      </c>
      <c r="F73" s="10" t="str">
        <f>VLOOKUP(D73,Table12[[Name]:[Native]],3,FALSE)</f>
        <v>海宁市</v>
      </c>
      <c r="G73" s="14" t="str">
        <f ca="1">VLOOKUP(F73,Table12[[Native]:[Population4]],5,FALSE)</f>
        <v>嘉兴市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0C642-ACA1-4696-8E84-3288BFBE09D9}">
  <dimension ref="A1:G147"/>
  <sheetViews>
    <sheetView topLeftCell="A122" workbookViewId="0">
      <selection activeCell="G2" sqref="A2:G147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3023</v>
      </c>
      <c r="G1" t="s">
        <v>3025</v>
      </c>
    </row>
    <row r="2" spans="1:7" ht="15.75" thickBot="1" x14ac:dyDescent="0.3">
      <c r="A2" t="s">
        <v>701</v>
      </c>
      <c r="B2" s="1" t="s">
        <v>702</v>
      </c>
      <c r="C2" s="1" t="s">
        <v>11</v>
      </c>
      <c r="D2" s="1" t="s">
        <v>703</v>
      </c>
      <c r="E2" s="4">
        <v>9822</v>
      </c>
      <c r="F2" s="9" t="str">
        <f>VLOOKUP(D2,Table12[[Name]:[Native]],3,FALSE)</f>
        <v>婺城区</v>
      </c>
      <c r="G2" s="14" t="str">
        <f ca="1">VLOOKUP(F2,Table12[[Native]:[Population4]],5,FALSE)</f>
        <v>金华市</v>
      </c>
    </row>
    <row r="3" spans="1:7" ht="15.75" thickBot="1" x14ac:dyDescent="0.3">
      <c r="A3" t="s">
        <v>704</v>
      </c>
      <c r="B3" s="1" t="s">
        <v>705</v>
      </c>
      <c r="C3" s="1" t="s">
        <v>15</v>
      </c>
      <c r="D3" s="1" t="s">
        <v>706</v>
      </c>
      <c r="E3" s="4">
        <v>47795</v>
      </c>
      <c r="F3" s="1" t="str">
        <f>VLOOKUP(D3,Table12[[Name]:[Native]],3,FALSE)</f>
        <v>磐安县</v>
      </c>
      <c r="G3" s="14" t="str">
        <f ca="1">VLOOKUP(F3,Table12[[Native]:[Population4]],5,FALSE)</f>
        <v>金华市</v>
      </c>
    </row>
    <row r="4" spans="1:7" ht="15.75" thickBot="1" x14ac:dyDescent="0.3">
      <c r="A4" t="s">
        <v>707</v>
      </c>
      <c r="B4" s="1" t="s">
        <v>708</v>
      </c>
      <c r="C4" s="1" t="s">
        <v>11</v>
      </c>
      <c r="D4" s="1" t="s">
        <v>703</v>
      </c>
      <c r="E4" s="4">
        <v>63570</v>
      </c>
      <c r="F4" s="1" t="str">
        <f>VLOOKUP(D4,Table12[[Name]:[Native]],3,FALSE)</f>
        <v>婺城区</v>
      </c>
      <c r="G4" s="14" t="str">
        <f ca="1">VLOOKUP(F4,Table12[[Native]:[Population4]],5,FALSE)</f>
        <v>金华市</v>
      </c>
    </row>
    <row r="5" spans="1:7" ht="15.75" thickBot="1" x14ac:dyDescent="0.3">
      <c r="A5" t="s">
        <v>709</v>
      </c>
      <c r="B5" s="1" t="s">
        <v>710</v>
      </c>
      <c r="C5" s="1" t="s">
        <v>11</v>
      </c>
      <c r="D5" s="1" t="s">
        <v>711</v>
      </c>
      <c r="E5" s="4">
        <v>23409</v>
      </c>
      <c r="F5" s="1" t="str">
        <f>VLOOKUP(D5,Table12[[Name]:[Native]],3,FALSE)</f>
        <v>浦江县</v>
      </c>
      <c r="G5" s="14" t="str">
        <f ca="1">VLOOKUP(F5,Table12[[Native]:[Population4]],5,FALSE)</f>
        <v>金华市</v>
      </c>
    </row>
    <row r="6" spans="1:7" ht="15.75" thickBot="1" x14ac:dyDescent="0.3">
      <c r="A6" t="s">
        <v>712</v>
      </c>
      <c r="B6" s="1" t="s">
        <v>713</v>
      </c>
      <c r="C6" s="1" t="s">
        <v>7</v>
      </c>
      <c r="D6" s="1" t="s">
        <v>714</v>
      </c>
      <c r="E6" s="4">
        <v>6936</v>
      </c>
      <c r="F6" s="1" t="str">
        <f>VLOOKUP(D6,Table12[[Name]:[Native]],3,FALSE)</f>
        <v>武义县</v>
      </c>
      <c r="G6" s="14" t="str">
        <f ca="1">VLOOKUP(F6,Table12[[Native]:[Population4]],5,FALSE)</f>
        <v>金华市</v>
      </c>
    </row>
    <row r="7" spans="1:7" ht="15.75" thickBot="1" x14ac:dyDescent="0.3">
      <c r="A7" t="s">
        <v>715</v>
      </c>
      <c r="B7" s="1" t="s">
        <v>716</v>
      </c>
      <c r="C7" s="1" t="s">
        <v>7</v>
      </c>
      <c r="D7" s="1" t="s">
        <v>717</v>
      </c>
      <c r="E7" s="4">
        <v>19715</v>
      </c>
      <c r="F7" s="1" t="str">
        <f>VLOOKUP(D7,Table12[[Name]:[Native]],3,FALSE)</f>
        <v>兰溪市</v>
      </c>
      <c r="G7" s="14" t="str">
        <f ca="1">VLOOKUP(F7,Table12[[Native]:[Population4]],5,FALSE)</f>
        <v>金华市</v>
      </c>
    </row>
    <row r="8" spans="1:7" ht="15.75" thickBot="1" x14ac:dyDescent="0.3">
      <c r="A8" t="s">
        <v>13</v>
      </c>
      <c r="B8" s="1" t="s">
        <v>718</v>
      </c>
      <c r="C8" s="1" t="s">
        <v>15</v>
      </c>
      <c r="D8" s="1" t="s">
        <v>714</v>
      </c>
      <c r="E8" s="4">
        <v>63842</v>
      </c>
      <c r="F8" s="1" t="str">
        <f>VLOOKUP(D8,Table12[[Name]:[Native]],3,FALSE)</f>
        <v>武义县</v>
      </c>
      <c r="G8" s="14" t="str">
        <f ca="1">VLOOKUP(F8,Table12[[Native]:[Population4]],5,FALSE)</f>
        <v>金华市</v>
      </c>
    </row>
    <row r="9" spans="1:7" ht="15.75" thickBot="1" x14ac:dyDescent="0.3">
      <c r="A9" t="s">
        <v>719</v>
      </c>
      <c r="B9" s="1" t="s">
        <v>720</v>
      </c>
      <c r="C9" s="1" t="s">
        <v>15</v>
      </c>
      <c r="D9" s="1" t="s">
        <v>721</v>
      </c>
      <c r="E9" s="4">
        <v>91382</v>
      </c>
      <c r="F9" s="1" t="str">
        <f>VLOOKUP(D9,Table12[[Name]:[Native]],3,FALSE)</f>
        <v>东阳市</v>
      </c>
      <c r="G9" s="14" t="str">
        <f ca="1">VLOOKUP(F9,Table12[[Native]:[Population4]],5,FALSE)</f>
        <v>金华市</v>
      </c>
    </row>
    <row r="10" spans="1:7" ht="15.75" thickBot="1" x14ac:dyDescent="0.3">
      <c r="A10" t="s">
        <v>722</v>
      </c>
      <c r="B10" s="1" t="s">
        <v>723</v>
      </c>
      <c r="C10" s="1" t="s">
        <v>15</v>
      </c>
      <c r="D10" s="1" t="s">
        <v>724</v>
      </c>
      <c r="E10" s="4">
        <v>130237</v>
      </c>
      <c r="F10" s="1" t="str">
        <f>VLOOKUP(D10,Table12[[Name]:[Native]],3,FALSE)</f>
        <v>义乌市</v>
      </c>
      <c r="G10" s="14" t="str">
        <f ca="1">VLOOKUP(F10,Table12[[Native]:[Population4]],5,FALSE)</f>
        <v>金华市</v>
      </c>
    </row>
    <row r="11" spans="1:7" ht="15.75" thickBot="1" x14ac:dyDescent="0.3">
      <c r="A11" t="s">
        <v>725</v>
      </c>
      <c r="B11" s="1" t="s">
        <v>726</v>
      </c>
      <c r="C11" s="1" t="s">
        <v>11</v>
      </c>
      <c r="D11" s="1" t="s">
        <v>727</v>
      </c>
      <c r="E11" s="4">
        <v>34899</v>
      </c>
      <c r="F11" s="1" t="str">
        <f>VLOOKUP(D11,Table12[[Name]:[Native]],3,FALSE)</f>
        <v>金东区</v>
      </c>
      <c r="G11" s="14" t="str">
        <f ca="1">VLOOKUP(F11,Table12[[Native]:[Population4]],5,FALSE)</f>
        <v>金华市</v>
      </c>
    </row>
    <row r="12" spans="1:7" ht="15.75" thickBot="1" x14ac:dyDescent="0.3">
      <c r="A12" t="s">
        <v>728</v>
      </c>
      <c r="B12" s="1" t="s">
        <v>729</v>
      </c>
      <c r="C12" s="1" t="s">
        <v>7</v>
      </c>
      <c r="D12" s="1" t="s">
        <v>703</v>
      </c>
      <c r="E12" s="4">
        <v>9283</v>
      </c>
      <c r="F12" s="1" t="str">
        <f>VLOOKUP(D12,Table12[[Name]:[Native]],3,FALSE)</f>
        <v>婺城区</v>
      </c>
      <c r="G12" s="14" t="str">
        <f ca="1">VLOOKUP(F12,Table12[[Native]:[Population4]],5,FALSE)</f>
        <v>金华市</v>
      </c>
    </row>
    <row r="13" spans="1:7" ht="15.75" thickBot="1" x14ac:dyDescent="0.3">
      <c r="A13" t="s">
        <v>730</v>
      </c>
      <c r="B13" s="1" t="s">
        <v>731</v>
      </c>
      <c r="C13" s="1" t="s">
        <v>15</v>
      </c>
      <c r="D13" s="1" t="s">
        <v>703</v>
      </c>
      <c r="E13" s="4">
        <v>67480</v>
      </c>
      <c r="F13" s="1" t="str">
        <f>VLOOKUP(D13,Table12[[Name]:[Native]],3,FALSE)</f>
        <v>婺城区</v>
      </c>
      <c r="G13" s="14" t="str">
        <f ca="1">VLOOKUP(F13,Table12[[Native]:[Population4]],5,FALSE)</f>
        <v>金华市</v>
      </c>
    </row>
    <row r="14" spans="1:7" ht="15.75" thickBot="1" x14ac:dyDescent="0.3">
      <c r="A14" t="s">
        <v>732</v>
      </c>
      <c r="B14" s="1" t="s">
        <v>733</v>
      </c>
      <c r="C14" s="1" t="s">
        <v>15</v>
      </c>
      <c r="D14" s="1" t="s">
        <v>703</v>
      </c>
      <c r="E14" s="4">
        <v>32674</v>
      </c>
      <c r="F14" s="1" t="str">
        <f>VLOOKUP(D14,Table12[[Name]:[Native]],3,FALSE)</f>
        <v>婺城区</v>
      </c>
      <c r="G14" s="14" t="str">
        <f ca="1">VLOOKUP(F14,Table12[[Native]:[Population4]],5,FALSE)</f>
        <v>金华市</v>
      </c>
    </row>
    <row r="15" spans="1:7" ht="15.75" thickBot="1" x14ac:dyDescent="0.3">
      <c r="A15" t="s">
        <v>732</v>
      </c>
      <c r="B15" s="1" t="s">
        <v>733</v>
      </c>
      <c r="C15" s="1" t="s">
        <v>15</v>
      </c>
      <c r="D15" s="1" t="s">
        <v>721</v>
      </c>
      <c r="E15" s="4">
        <v>35902</v>
      </c>
      <c r="F15" s="1" t="str">
        <f>VLOOKUP(D15,Table12[[Name]:[Native]],3,FALSE)</f>
        <v>东阳市</v>
      </c>
      <c r="G15" s="14" t="str">
        <f ca="1">VLOOKUP(F15,Table12[[Native]:[Population4]],5,FALSE)</f>
        <v>金华市</v>
      </c>
    </row>
    <row r="16" spans="1:7" ht="15.75" thickBot="1" x14ac:dyDescent="0.3">
      <c r="A16" t="s">
        <v>734</v>
      </c>
      <c r="B16" s="1" t="s">
        <v>735</v>
      </c>
      <c r="C16" s="1" t="s">
        <v>15</v>
      </c>
      <c r="D16" s="1" t="s">
        <v>703</v>
      </c>
      <c r="E16" s="4">
        <v>24490</v>
      </c>
      <c r="F16" s="1" t="str">
        <f>VLOOKUP(D16,Table12[[Name]:[Native]],3,FALSE)</f>
        <v>婺城区</v>
      </c>
      <c r="G16" s="14" t="str">
        <f ca="1">VLOOKUP(F16,Table12[[Native]:[Population4]],5,FALSE)</f>
        <v>金华市</v>
      </c>
    </row>
    <row r="17" spans="1:7" ht="15.75" thickBot="1" x14ac:dyDescent="0.3">
      <c r="A17" t="s">
        <v>734</v>
      </c>
      <c r="B17" s="1" t="s">
        <v>735</v>
      </c>
      <c r="C17" s="1" t="s">
        <v>15</v>
      </c>
      <c r="D17" s="1" t="s">
        <v>724</v>
      </c>
      <c r="E17" s="4">
        <v>52581</v>
      </c>
      <c r="F17" s="1" t="str">
        <f>VLOOKUP(D17,Table12[[Name]:[Native]],3,FALSE)</f>
        <v>义乌市</v>
      </c>
      <c r="G17" s="14" t="str">
        <f ca="1">VLOOKUP(F17,Table12[[Native]:[Population4]],5,FALSE)</f>
        <v>金华市</v>
      </c>
    </row>
    <row r="18" spans="1:7" ht="15.75" thickBot="1" x14ac:dyDescent="0.3">
      <c r="A18" t="s">
        <v>736</v>
      </c>
      <c r="B18" s="1" t="s">
        <v>737</v>
      </c>
      <c r="C18" s="1" t="s">
        <v>15</v>
      </c>
      <c r="D18" s="1" t="s">
        <v>703</v>
      </c>
      <c r="E18" s="4">
        <v>20559</v>
      </c>
      <c r="F18" s="1" t="str">
        <f>VLOOKUP(D18,Table12[[Name]:[Native]],3,FALSE)</f>
        <v>婺城区</v>
      </c>
      <c r="G18" s="14" t="str">
        <f ca="1">VLOOKUP(F18,Table12[[Native]:[Population4]],5,FALSE)</f>
        <v>金华市</v>
      </c>
    </row>
    <row r="19" spans="1:7" ht="15.75" thickBot="1" x14ac:dyDescent="0.3">
      <c r="A19" t="s">
        <v>738</v>
      </c>
      <c r="B19" s="1" t="s">
        <v>739</v>
      </c>
      <c r="C19" s="1" t="s">
        <v>11</v>
      </c>
      <c r="D19" s="1" t="s">
        <v>724</v>
      </c>
      <c r="E19" s="4">
        <v>31495</v>
      </c>
      <c r="F19" s="1" t="str">
        <f>VLOOKUP(D19,Table12[[Name]:[Native]],3,FALSE)</f>
        <v>义乌市</v>
      </c>
      <c r="G19" s="14" t="str">
        <f ca="1">VLOOKUP(F19,Table12[[Native]:[Population4]],5,FALSE)</f>
        <v>金华市</v>
      </c>
    </row>
    <row r="20" spans="1:7" ht="15.75" thickBot="1" x14ac:dyDescent="0.3">
      <c r="A20" t="s">
        <v>740</v>
      </c>
      <c r="B20" s="1" t="s">
        <v>741</v>
      </c>
      <c r="C20" s="1" t="s">
        <v>11</v>
      </c>
      <c r="D20" s="1" t="s">
        <v>727</v>
      </c>
      <c r="E20" s="4">
        <v>24581</v>
      </c>
      <c r="F20" s="1" t="str">
        <f>VLOOKUP(D20,Table12[[Name]:[Native]],3,FALSE)</f>
        <v>金东区</v>
      </c>
      <c r="G20" s="14" t="str">
        <f ca="1">VLOOKUP(F20,Table12[[Native]:[Population4]],5,FALSE)</f>
        <v>金华市</v>
      </c>
    </row>
    <row r="21" spans="1:7" ht="15.75" thickBot="1" x14ac:dyDescent="0.3">
      <c r="A21" t="s">
        <v>742</v>
      </c>
      <c r="B21" s="1" t="s">
        <v>743</v>
      </c>
      <c r="C21" s="1" t="s">
        <v>15</v>
      </c>
      <c r="D21" s="1" t="s">
        <v>717</v>
      </c>
      <c r="E21" s="4">
        <v>13958</v>
      </c>
      <c r="F21" s="1" t="str">
        <f>VLOOKUP(D21,Table12[[Name]:[Native]],3,FALSE)</f>
        <v>兰溪市</v>
      </c>
      <c r="G21" s="14" t="str">
        <f ca="1">VLOOKUP(F21,Table12[[Native]:[Population4]],5,FALSE)</f>
        <v>金华市</v>
      </c>
    </row>
    <row r="22" spans="1:7" ht="15.75" thickBot="1" x14ac:dyDescent="0.3">
      <c r="A22" t="s">
        <v>744</v>
      </c>
      <c r="B22" s="1" t="s">
        <v>745</v>
      </c>
      <c r="C22" s="1" t="s">
        <v>15</v>
      </c>
      <c r="D22" s="1" t="s">
        <v>724</v>
      </c>
      <c r="E22" s="4">
        <v>208984</v>
      </c>
      <c r="F22" s="1" t="str">
        <f>VLOOKUP(D22,Table12[[Name]:[Native]],3,FALSE)</f>
        <v>义乌市</v>
      </c>
      <c r="G22" s="14" t="str">
        <f ca="1">VLOOKUP(F22,Table12[[Native]:[Population4]],5,FALSE)</f>
        <v>金华市</v>
      </c>
    </row>
    <row r="23" spans="1:7" ht="15.75" thickBot="1" x14ac:dyDescent="0.3">
      <c r="A23" t="s">
        <v>746</v>
      </c>
      <c r="B23" s="1" t="s">
        <v>747</v>
      </c>
      <c r="C23" s="1" t="s">
        <v>15</v>
      </c>
      <c r="D23" s="1" t="s">
        <v>724</v>
      </c>
      <c r="E23" s="4">
        <v>125668</v>
      </c>
      <c r="F23" s="1" t="str">
        <f>VLOOKUP(D23,Table12[[Name]:[Native]],3,FALSE)</f>
        <v>义乌市</v>
      </c>
      <c r="G23" s="14" t="str">
        <f ca="1">VLOOKUP(F23,Table12[[Native]:[Population4]],5,FALSE)</f>
        <v>金华市</v>
      </c>
    </row>
    <row r="24" spans="1:7" ht="15.75" thickBot="1" x14ac:dyDescent="0.3">
      <c r="A24" t="s">
        <v>748</v>
      </c>
      <c r="B24" s="1" t="s">
        <v>749</v>
      </c>
      <c r="C24" s="1" t="s">
        <v>11</v>
      </c>
      <c r="D24" s="1" t="s">
        <v>724</v>
      </c>
      <c r="E24" s="4">
        <v>49696</v>
      </c>
      <c r="F24" s="1" t="str">
        <f>VLOOKUP(D24,Table12[[Name]:[Native]],3,FALSE)</f>
        <v>义乌市</v>
      </c>
      <c r="G24" s="14" t="str">
        <f ca="1">VLOOKUP(F24,Table12[[Native]:[Population4]],5,FALSE)</f>
        <v>金华市</v>
      </c>
    </row>
    <row r="25" spans="1:7" ht="15.75" thickBot="1" x14ac:dyDescent="0.3">
      <c r="A25" t="s">
        <v>750</v>
      </c>
      <c r="B25" s="1" t="s">
        <v>751</v>
      </c>
      <c r="C25" s="1" t="s">
        <v>7</v>
      </c>
      <c r="D25" s="1" t="s">
        <v>711</v>
      </c>
      <c r="E25" s="4">
        <v>6897</v>
      </c>
      <c r="F25" s="1" t="str">
        <f>VLOOKUP(D25,Table12[[Name]:[Native]],3,FALSE)</f>
        <v>浦江县</v>
      </c>
      <c r="G25" s="14" t="str">
        <f ca="1">VLOOKUP(F25,Table12[[Native]:[Population4]],5,FALSE)</f>
        <v>金华市</v>
      </c>
    </row>
    <row r="26" spans="1:7" ht="15.75" thickBot="1" x14ac:dyDescent="0.3">
      <c r="A26" t="s">
        <v>752</v>
      </c>
      <c r="B26" s="1" t="s">
        <v>753</v>
      </c>
      <c r="C26" s="1" t="s">
        <v>11</v>
      </c>
      <c r="D26" s="1" t="s">
        <v>706</v>
      </c>
      <c r="E26" s="4">
        <v>5040</v>
      </c>
      <c r="F26" s="1" t="str">
        <f>VLOOKUP(D26,Table12[[Name]:[Native]],3,FALSE)</f>
        <v>磐安县</v>
      </c>
      <c r="G26" s="14" t="str">
        <f ca="1">VLOOKUP(F26,Table12[[Native]:[Population4]],5,FALSE)</f>
        <v>金华市</v>
      </c>
    </row>
    <row r="27" spans="1:7" ht="15.75" thickBot="1" x14ac:dyDescent="0.3">
      <c r="A27" t="s">
        <v>754</v>
      </c>
      <c r="B27" s="1" t="s">
        <v>755</v>
      </c>
      <c r="C27" s="1" t="s">
        <v>7</v>
      </c>
      <c r="D27" s="1" t="s">
        <v>714</v>
      </c>
      <c r="E27" s="4">
        <v>6736</v>
      </c>
      <c r="F27" s="1" t="str">
        <f>VLOOKUP(D27,Table12[[Name]:[Native]],3,FALSE)</f>
        <v>武义县</v>
      </c>
      <c r="G27" s="14" t="str">
        <f ca="1">VLOOKUP(F27,Table12[[Native]:[Population4]],5,FALSE)</f>
        <v>金华市</v>
      </c>
    </row>
    <row r="28" spans="1:7" ht="15.75" thickBot="1" x14ac:dyDescent="0.3">
      <c r="A28" t="s">
        <v>756</v>
      </c>
      <c r="B28" s="1" t="s">
        <v>757</v>
      </c>
      <c r="C28" s="1" t="s">
        <v>7</v>
      </c>
      <c r="D28" s="1" t="s">
        <v>714</v>
      </c>
      <c r="E28" s="4">
        <v>1908</v>
      </c>
      <c r="F28" s="1" t="str">
        <f>VLOOKUP(D28,Table12[[Name]:[Native]],3,FALSE)</f>
        <v>武义县</v>
      </c>
      <c r="G28" s="14" t="str">
        <f ca="1">VLOOKUP(F28,Table12[[Native]:[Population4]],5,FALSE)</f>
        <v>金华市</v>
      </c>
    </row>
    <row r="29" spans="1:7" ht="15.75" thickBot="1" x14ac:dyDescent="0.3">
      <c r="A29" t="s">
        <v>758</v>
      </c>
      <c r="B29" s="1" t="s">
        <v>759</v>
      </c>
      <c r="C29" s="1" t="s">
        <v>15</v>
      </c>
      <c r="D29" s="1" t="s">
        <v>760</v>
      </c>
      <c r="E29" s="4">
        <v>154493</v>
      </c>
      <c r="F29" s="1" t="str">
        <f>VLOOKUP(D29,Table12[[Name]:[Native]],3,FALSE)</f>
        <v>永康市</v>
      </c>
      <c r="G29" s="14" t="str">
        <f ca="1">VLOOKUP(F29,Table12[[Native]:[Population4]],5,FALSE)</f>
        <v>金华市</v>
      </c>
    </row>
    <row r="30" spans="1:7" ht="15.75" thickBot="1" x14ac:dyDescent="0.3">
      <c r="A30" t="s">
        <v>761</v>
      </c>
      <c r="B30" s="1" t="s">
        <v>762</v>
      </c>
      <c r="C30" s="1" t="s">
        <v>15</v>
      </c>
      <c r="D30" s="1" t="s">
        <v>727</v>
      </c>
      <c r="E30" s="4">
        <v>33039</v>
      </c>
      <c r="F30" s="1" t="str">
        <f>VLOOKUP(D30,Table12[[Name]:[Native]],3,FALSE)</f>
        <v>金东区</v>
      </c>
      <c r="G30" s="14" t="str">
        <f ca="1">VLOOKUP(F30,Table12[[Native]:[Population4]],5,FALSE)</f>
        <v>金华市</v>
      </c>
    </row>
    <row r="31" spans="1:7" ht="15.75" thickBot="1" x14ac:dyDescent="0.3">
      <c r="A31" t="s">
        <v>763</v>
      </c>
      <c r="B31" s="1" t="s">
        <v>764</v>
      </c>
      <c r="C31" s="1" t="s">
        <v>11</v>
      </c>
      <c r="D31" s="1" t="s">
        <v>721</v>
      </c>
      <c r="E31" s="4">
        <v>13247</v>
      </c>
      <c r="F31" s="1" t="str">
        <f>VLOOKUP(D31,Table12[[Name]:[Native]],3,FALSE)</f>
        <v>东阳市</v>
      </c>
      <c r="G31" s="14" t="str">
        <f ca="1">VLOOKUP(F31,Table12[[Native]:[Population4]],5,FALSE)</f>
        <v>金华市</v>
      </c>
    </row>
    <row r="32" spans="1:7" ht="15.75" thickBot="1" x14ac:dyDescent="0.3">
      <c r="A32" t="s">
        <v>765</v>
      </c>
      <c r="B32" s="1" t="s">
        <v>766</v>
      </c>
      <c r="C32" s="1" t="s">
        <v>15</v>
      </c>
      <c r="D32" s="1" t="s">
        <v>727</v>
      </c>
      <c r="E32" s="4">
        <v>40530</v>
      </c>
      <c r="F32" s="1" t="str">
        <f>VLOOKUP(D32,Table12[[Name]:[Native]],3,FALSE)</f>
        <v>金东区</v>
      </c>
      <c r="G32" s="14" t="str">
        <f ca="1">VLOOKUP(F32,Table12[[Native]:[Population4]],5,FALSE)</f>
        <v>金华市</v>
      </c>
    </row>
    <row r="33" spans="1:7" ht="15.75" thickBot="1" x14ac:dyDescent="0.3">
      <c r="A33" t="s">
        <v>767</v>
      </c>
      <c r="B33" s="1" t="s">
        <v>768</v>
      </c>
      <c r="C33" s="1" t="s">
        <v>11</v>
      </c>
      <c r="D33" s="1" t="s">
        <v>706</v>
      </c>
      <c r="E33" s="4">
        <v>8664</v>
      </c>
      <c r="F33" s="1" t="str">
        <f>VLOOKUP(D33,Table12[[Name]:[Native]],3,FALSE)</f>
        <v>磐安县</v>
      </c>
      <c r="G33" s="14" t="str">
        <f ca="1">VLOOKUP(F33,Table12[[Native]:[Population4]],5,FALSE)</f>
        <v>金华市</v>
      </c>
    </row>
    <row r="34" spans="1:7" ht="15.75" thickBot="1" x14ac:dyDescent="0.3">
      <c r="A34" t="s">
        <v>769</v>
      </c>
      <c r="B34" s="1" t="s">
        <v>770</v>
      </c>
      <c r="C34" s="1" t="s">
        <v>11</v>
      </c>
      <c r="D34" s="1" t="s">
        <v>760</v>
      </c>
      <c r="E34" s="4">
        <v>24625</v>
      </c>
      <c r="F34" s="1" t="str">
        <f>VLOOKUP(D34,Table12[[Name]:[Native]],3,FALSE)</f>
        <v>永康市</v>
      </c>
      <c r="G34" s="14" t="str">
        <f ca="1">VLOOKUP(F34,Table12[[Native]:[Population4]],5,FALSE)</f>
        <v>金华市</v>
      </c>
    </row>
    <row r="35" spans="1:7" ht="15.75" thickBot="1" x14ac:dyDescent="0.3">
      <c r="A35" t="s">
        <v>771</v>
      </c>
      <c r="B35" s="1" t="s">
        <v>772</v>
      </c>
      <c r="C35" s="1" t="s">
        <v>11</v>
      </c>
      <c r="D35" s="1" t="s">
        <v>724</v>
      </c>
      <c r="E35" s="4">
        <v>115571</v>
      </c>
      <c r="F35" s="1" t="str">
        <f>VLOOKUP(D35,Table12[[Name]:[Native]],3,FALSE)</f>
        <v>义乌市</v>
      </c>
      <c r="G35" s="14" t="str">
        <f ca="1">VLOOKUP(F35,Table12[[Native]:[Population4]],5,FALSE)</f>
        <v>金华市</v>
      </c>
    </row>
    <row r="36" spans="1:7" ht="15.75" thickBot="1" x14ac:dyDescent="0.3">
      <c r="A36" t="s">
        <v>773</v>
      </c>
      <c r="B36" s="1" t="s">
        <v>774</v>
      </c>
      <c r="C36" s="1" t="s">
        <v>11</v>
      </c>
      <c r="D36" s="1" t="s">
        <v>727</v>
      </c>
      <c r="E36" s="4">
        <v>30144</v>
      </c>
      <c r="F36" s="1" t="str">
        <f>VLOOKUP(D36,Table12[[Name]:[Native]],3,FALSE)</f>
        <v>金东区</v>
      </c>
      <c r="G36" s="14" t="str">
        <f ca="1">VLOOKUP(F36,Table12[[Native]:[Population4]],5,FALSE)</f>
        <v>金华市</v>
      </c>
    </row>
    <row r="37" spans="1:7" ht="15.75" thickBot="1" x14ac:dyDescent="0.3">
      <c r="A37" t="s">
        <v>775</v>
      </c>
      <c r="B37" s="1" t="s">
        <v>776</v>
      </c>
      <c r="C37" s="1" t="s">
        <v>11</v>
      </c>
      <c r="D37" s="1" t="s">
        <v>721</v>
      </c>
      <c r="E37" s="4">
        <v>29788</v>
      </c>
      <c r="F37" s="1" t="str">
        <f>VLOOKUP(D37,Table12[[Name]:[Native]],3,FALSE)</f>
        <v>东阳市</v>
      </c>
      <c r="G37" s="14" t="str">
        <f ca="1">VLOOKUP(F37,Table12[[Native]:[Population4]],5,FALSE)</f>
        <v>金华市</v>
      </c>
    </row>
    <row r="38" spans="1:7" ht="15.75" thickBot="1" x14ac:dyDescent="0.3">
      <c r="A38" t="s">
        <v>777</v>
      </c>
      <c r="B38" s="1" t="s">
        <v>778</v>
      </c>
      <c r="C38" s="1" t="s">
        <v>11</v>
      </c>
      <c r="D38" s="1" t="s">
        <v>760</v>
      </c>
      <c r="E38" s="4">
        <v>60674</v>
      </c>
      <c r="F38" s="1" t="str">
        <f>VLOOKUP(D38,Table12[[Name]:[Native]],3,FALSE)</f>
        <v>永康市</v>
      </c>
      <c r="G38" s="14" t="str">
        <f ca="1">VLOOKUP(F38,Table12[[Native]:[Population4]],5,FALSE)</f>
        <v>金华市</v>
      </c>
    </row>
    <row r="39" spans="1:7" ht="15.75" thickBot="1" x14ac:dyDescent="0.3">
      <c r="A39" t="s">
        <v>779</v>
      </c>
      <c r="B39" s="1" t="s">
        <v>780</v>
      </c>
      <c r="C39" s="1" t="s">
        <v>11</v>
      </c>
      <c r="D39" s="1" t="s">
        <v>711</v>
      </c>
      <c r="E39" s="4">
        <v>11400</v>
      </c>
      <c r="F39" s="1" t="str">
        <f>VLOOKUP(D39,Table12[[Name]:[Native]],3,FALSE)</f>
        <v>浦江县</v>
      </c>
      <c r="G39" s="14" t="str">
        <f ca="1">VLOOKUP(F39,Table12[[Native]:[Population4]],5,FALSE)</f>
        <v>金华市</v>
      </c>
    </row>
    <row r="40" spans="1:7" ht="15.75" thickBot="1" x14ac:dyDescent="0.3">
      <c r="A40" t="s">
        <v>781</v>
      </c>
      <c r="B40" s="1" t="s">
        <v>782</v>
      </c>
      <c r="C40" s="1" t="s">
        <v>11</v>
      </c>
      <c r="D40" s="1" t="s">
        <v>721</v>
      </c>
      <c r="E40" s="4">
        <v>108216</v>
      </c>
      <c r="F40" s="1" t="str">
        <f>VLOOKUP(D40,Table12[[Name]:[Native]],3,FALSE)</f>
        <v>东阳市</v>
      </c>
      <c r="G40" s="14" t="str">
        <f ca="1">VLOOKUP(F40,Table12[[Native]:[Population4]],5,FALSE)</f>
        <v>金华市</v>
      </c>
    </row>
    <row r="41" spans="1:7" ht="15.75" thickBot="1" x14ac:dyDescent="0.3">
      <c r="A41" t="s">
        <v>783</v>
      </c>
      <c r="B41" s="1" t="s">
        <v>784</v>
      </c>
      <c r="C41" s="1" t="s">
        <v>11</v>
      </c>
      <c r="D41" s="1" t="s">
        <v>717</v>
      </c>
      <c r="E41" s="4">
        <v>22774</v>
      </c>
      <c r="F41" s="1" t="str">
        <f>VLOOKUP(D41,Table12[[Name]:[Native]],3,FALSE)</f>
        <v>兰溪市</v>
      </c>
      <c r="G41" s="14" t="str">
        <f ca="1">VLOOKUP(F41,Table12[[Native]:[Population4]],5,FALSE)</f>
        <v>金华市</v>
      </c>
    </row>
    <row r="42" spans="1:7" ht="15.75" thickBot="1" x14ac:dyDescent="0.3">
      <c r="A42" t="s">
        <v>785</v>
      </c>
      <c r="B42" s="1" t="s">
        <v>786</v>
      </c>
      <c r="C42" s="1" t="s">
        <v>15</v>
      </c>
      <c r="D42" s="1" t="s">
        <v>724</v>
      </c>
      <c r="E42" s="4">
        <v>75641</v>
      </c>
      <c r="F42" s="1" t="str">
        <f>VLOOKUP(D42,Table12[[Name]:[Native]],3,FALSE)</f>
        <v>义乌市</v>
      </c>
      <c r="G42" s="14" t="str">
        <f ca="1">VLOOKUP(F42,Table12[[Native]:[Population4]],5,FALSE)</f>
        <v>金华市</v>
      </c>
    </row>
    <row r="43" spans="1:7" ht="15.75" thickBot="1" x14ac:dyDescent="0.3">
      <c r="A43" t="s">
        <v>787</v>
      </c>
      <c r="B43" s="1" t="s">
        <v>788</v>
      </c>
      <c r="C43" s="1" t="s">
        <v>11</v>
      </c>
      <c r="D43" s="1" t="s">
        <v>760</v>
      </c>
      <c r="E43" s="4">
        <v>27236</v>
      </c>
      <c r="F43" s="1" t="str">
        <f>VLOOKUP(D43,Table12[[Name]:[Native]],3,FALSE)</f>
        <v>永康市</v>
      </c>
      <c r="G43" s="14" t="str">
        <f ca="1">VLOOKUP(F43,Table12[[Native]:[Population4]],5,FALSE)</f>
        <v>金华市</v>
      </c>
    </row>
    <row r="44" spans="1:7" ht="15.75" thickBot="1" x14ac:dyDescent="0.3">
      <c r="A44" t="s">
        <v>789</v>
      </c>
      <c r="B44" s="1" t="s">
        <v>790</v>
      </c>
      <c r="C44" s="1" t="s">
        <v>11</v>
      </c>
      <c r="D44" s="1" t="s">
        <v>717</v>
      </c>
      <c r="E44" s="4">
        <v>26274</v>
      </c>
      <c r="F44" s="1" t="str">
        <f>VLOOKUP(D44,Table12[[Name]:[Native]],3,FALSE)</f>
        <v>兰溪市</v>
      </c>
      <c r="G44" s="14" t="str">
        <f ca="1">VLOOKUP(F44,Table12[[Native]:[Population4]],5,FALSE)</f>
        <v>金华市</v>
      </c>
    </row>
    <row r="45" spans="1:7" ht="15.75" thickBot="1" x14ac:dyDescent="0.3">
      <c r="A45" t="s">
        <v>791</v>
      </c>
      <c r="B45" s="1" t="s">
        <v>792</v>
      </c>
      <c r="C45" s="1" t="s">
        <v>11</v>
      </c>
      <c r="D45" s="1" t="s">
        <v>711</v>
      </c>
      <c r="E45" s="4">
        <v>70803</v>
      </c>
      <c r="F45" s="1" t="str">
        <f>VLOOKUP(D45,Table12[[Name]:[Native]],3,FALSE)</f>
        <v>浦江县</v>
      </c>
      <c r="G45" s="14" t="str">
        <f ca="1">VLOOKUP(F45,Table12[[Native]:[Population4]],5,FALSE)</f>
        <v>金华市</v>
      </c>
    </row>
    <row r="46" spans="1:7" ht="15.75" thickBot="1" x14ac:dyDescent="0.3">
      <c r="A46" t="s">
        <v>793</v>
      </c>
      <c r="B46" s="1" t="s">
        <v>794</v>
      </c>
      <c r="C46" s="1" t="s">
        <v>7</v>
      </c>
      <c r="D46" s="1" t="s">
        <v>711</v>
      </c>
      <c r="E46" s="4">
        <v>4681</v>
      </c>
      <c r="F46" s="1" t="str">
        <f>VLOOKUP(D46,Table12[[Name]:[Native]],3,FALSE)</f>
        <v>浦江县</v>
      </c>
      <c r="G46" s="14" t="str">
        <f ca="1">VLOOKUP(F46,Table12[[Native]:[Population4]],5,FALSE)</f>
        <v>金华市</v>
      </c>
    </row>
    <row r="47" spans="1:7" ht="15.75" thickBot="1" x14ac:dyDescent="0.3">
      <c r="A47" t="s">
        <v>795</v>
      </c>
      <c r="B47" s="1" t="s">
        <v>796</v>
      </c>
      <c r="C47" s="1" t="s">
        <v>11</v>
      </c>
      <c r="D47" s="1" t="s">
        <v>721</v>
      </c>
      <c r="E47" s="4">
        <v>46158</v>
      </c>
      <c r="F47" s="1" t="str">
        <f>VLOOKUP(D47,Table12[[Name]:[Native]],3,FALSE)</f>
        <v>东阳市</v>
      </c>
      <c r="G47" s="14" t="str">
        <f ca="1">VLOOKUP(F47,Table12[[Native]:[Population4]],5,FALSE)</f>
        <v>金华市</v>
      </c>
    </row>
    <row r="48" spans="1:7" ht="15.75" thickBot="1" x14ac:dyDescent="0.3">
      <c r="A48" t="s">
        <v>797</v>
      </c>
      <c r="B48" s="1" t="s">
        <v>798</v>
      </c>
      <c r="C48" s="1" t="s">
        <v>11</v>
      </c>
      <c r="D48" s="1" t="s">
        <v>721</v>
      </c>
      <c r="E48" s="4">
        <v>20079</v>
      </c>
      <c r="F48" s="1" t="str">
        <f>VLOOKUP(D48,Table12[[Name]:[Native]],3,FALSE)</f>
        <v>东阳市</v>
      </c>
      <c r="G48" s="14" t="str">
        <f ca="1">VLOOKUP(F48,Table12[[Native]:[Population4]],5,FALSE)</f>
        <v>金华市</v>
      </c>
    </row>
    <row r="49" spans="1:7" ht="15.75" thickBot="1" x14ac:dyDescent="0.3">
      <c r="A49" t="s">
        <v>799</v>
      </c>
      <c r="B49" s="1" t="s">
        <v>800</v>
      </c>
      <c r="C49" s="1" t="s">
        <v>15</v>
      </c>
      <c r="D49" s="1" t="s">
        <v>714</v>
      </c>
      <c r="E49" s="4">
        <v>49716</v>
      </c>
      <c r="F49" s="1" t="str">
        <f>VLOOKUP(D49,Table12[[Name]:[Native]],3,FALSE)</f>
        <v>武义县</v>
      </c>
      <c r="G49" s="14" t="str">
        <f ca="1">VLOOKUP(F49,Table12[[Native]:[Population4]],5,FALSE)</f>
        <v>金华市</v>
      </c>
    </row>
    <row r="50" spans="1:7" ht="15.75" thickBot="1" x14ac:dyDescent="0.3">
      <c r="A50" t="s">
        <v>801</v>
      </c>
      <c r="B50" s="1" t="s">
        <v>802</v>
      </c>
      <c r="C50" s="1" t="s">
        <v>11</v>
      </c>
      <c r="D50" s="1" t="s">
        <v>721</v>
      </c>
      <c r="E50" s="4">
        <v>33234</v>
      </c>
      <c r="F50" s="1" t="str">
        <f>VLOOKUP(D50,Table12[[Name]:[Native]],3,FALSE)</f>
        <v>东阳市</v>
      </c>
      <c r="G50" s="14" t="str">
        <f ca="1">VLOOKUP(F50,Table12[[Native]:[Population4]],5,FALSE)</f>
        <v>金华市</v>
      </c>
    </row>
    <row r="51" spans="1:7" ht="15.75" thickBot="1" x14ac:dyDescent="0.3">
      <c r="A51" t="s">
        <v>803</v>
      </c>
      <c r="B51" s="1" t="s">
        <v>804</v>
      </c>
      <c r="C51" s="1" t="s">
        <v>15</v>
      </c>
      <c r="D51" s="1" t="s">
        <v>721</v>
      </c>
      <c r="E51" s="4">
        <v>63810</v>
      </c>
      <c r="F51" s="1" t="str">
        <f>VLOOKUP(D51,Table12[[Name]:[Native]],3,FALSE)</f>
        <v>东阳市</v>
      </c>
      <c r="G51" s="14" t="str">
        <f ca="1">VLOOKUP(F51,Table12[[Native]:[Population4]],5,FALSE)</f>
        <v>金华市</v>
      </c>
    </row>
    <row r="52" spans="1:7" ht="15.75" thickBot="1" x14ac:dyDescent="0.3">
      <c r="A52" t="s">
        <v>805</v>
      </c>
      <c r="B52" s="1" t="s">
        <v>806</v>
      </c>
      <c r="C52" s="1" t="s">
        <v>15</v>
      </c>
      <c r="D52" s="1" t="s">
        <v>724</v>
      </c>
      <c r="E52" s="4">
        <v>171106</v>
      </c>
      <c r="F52" s="1" t="str">
        <f>VLOOKUP(D52,Table12[[Name]:[Native]],3,FALSE)</f>
        <v>义乌市</v>
      </c>
      <c r="G52" s="14" t="str">
        <f ca="1">VLOOKUP(F52,Table12[[Native]:[Population4]],5,FALSE)</f>
        <v>金华市</v>
      </c>
    </row>
    <row r="53" spans="1:7" ht="15.75" thickBot="1" x14ac:dyDescent="0.3">
      <c r="A53" t="s">
        <v>807</v>
      </c>
      <c r="B53" s="1" t="s">
        <v>808</v>
      </c>
      <c r="C53" s="1" t="s">
        <v>11</v>
      </c>
      <c r="D53" s="1" t="s">
        <v>727</v>
      </c>
      <c r="E53" s="4">
        <v>9948</v>
      </c>
      <c r="F53" s="1" t="str">
        <f>VLOOKUP(D53,Table12[[Name]:[Native]],3,FALSE)</f>
        <v>金东区</v>
      </c>
      <c r="G53" s="14" t="str">
        <f ca="1">VLOOKUP(F53,Table12[[Native]:[Population4]],5,FALSE)</f>
        <v>金华市</v>
      </c>
    </row>
    <row r="54" spans="1:7" ht="15.75" thickBot="1" x14ac:dyDescent="0.3">
      <c r="A54" t="s">
        <v>809</v>
      </c>
      <c r="B54" s="1" t="s">
        <v>810</v>
      </c>
      <c r="C54" s="1" t="s">
        <v>15</v>
      </c>
      <c r="D54" s="1" t="s">
        <v>703</v>
      </c>
      <c r="E54" s="4">
        <v>37096</v>
      </c>
      <c r="F54" s="1" t="str">
        <f>VLOOKUP(D54,Table12[[Name]:[Native]],3,FALSE)</f>
        <v>婺城区</v>
      </c>
      <c r="G54" s="14" t="str">
        <f ca="1">VLOOKUP(F54,Table12[[Native]:[Population4]],5,FALSE)</f>
        <v>金华市</v>
      </c>
    </row>
    <row r="55" spans="1:7" ht="15.75" thickBot="1" x14ac:dyDescent="0.3">
      <c r="A55" t="s">
        <v>809</v>
      </c>
      <c r="B55" s="1" t="s">
        <v>810</v>
      </c>
      <c r="C55" s="1" t="s">
        <v>15</v>
      </c>
      <c r="D55" s="1" t="s">
        <v>760</v>
      </c>
      <c r="E55" s="4">
        <v>72881</v>
      </c>
      <c r="F55" s="1" t="str">
        <f>VLOOKUP(D55,Table12[[Name]:[Native]],3,FALSE)</f>
        <v>永康市</v>
      </c>
      <c r="G55" s="14" t="str">
        <f ca="1">VLOOKUP(F55,Table12[[Native]:[Population4]],5,FALSE)</f>
        <v>金华市</v>
      </c>
    </row>
    <row r="56" spans="1:7" ht="15.75" thickBot="1" x14ac:dyDescent="0.3">
      <c r="A56" t="s">
        <v>811</v>
      </c>
      <c r="B56" s="1" t="s">
        <v>812</v>
      </c>
      <c r="C56" s="1" t="s">
        <v>11</v>
      </c>
      <c r="D56" s="1" t="s">
        <v>703</v>
      </c>
      <c r="E56" s="4">
        <v>18702</v>
      </c>
      <c r="F56" s="1" t="str">
        <f>VLOOKUP(D56,Table12[[Name]:[Native]],3,FALSE)</f>
        <v>婺城区</v>
      </c>
      <c r="G56" s="14" t="str">
        <f ca="1">VLOOKUP(F56,Table12[[Native]:[Population4]],5,FALSE)</f>
        <v>金华市</v>
      </c>
    </row>
    <row r="57" spans="1:7" ht="15.75" thickBot="1" x14ac:dyDescent="0.3">
      <c r="A57" t="s">
        <v>813</v>
      </c>
      <c r="B57" s="1" t="s">
        <v>814</v>
      </c>
      <c r="C57" s="1" t="s">
        <v>11</v>
      </c>
      <c r="D57" s="1" t="s">
        <v>706</v>
      </c>
      <c r="E57" s="4">
        <v>28444</v>
      </c>
      <c r="F57" s="1" t="str">
        <f>VLOOKUP(D57,Table12[[Name]:[Native]],3,FALSE)</f>
        <v>磐安县</v>
      </c>
      <c r="G57" s="14" t="str">
        <f ca="1">VLOOKUP(F57,Table12[[Native]:[Population4]],5,FALSE)</f>
        <v>金华市</v>
      </c>
    </row>
    <row r="58" spans="1:7" ht="15.75" thickBot="1" x14ac:dyDescent="0.3">
      <c r="A58" t="s">
        <v>815</v>
      </c>
      <c r="B58" s="1" t="s">
        <v>816</v>
      </c>
      <c r="C58" s="1" t="s">
        <v>11</v>
      </c>
      <c r="D58" s="1" t="s">
        <v>714</v>
      </c>
      <c r="E58" s="4">
        <v>12599</v>
      </c>
      <c r="F58" s="1" t="str">
        <f>VLOOKUP(D58,Table12[[Name]:[Native]],3,FALSE)</f>
        <v>武义县</v>
      </c>
      <c r="G58" s="14" t="str">
        <f ca="1">VLOOKUP(F58,Table12[[Native]:[Population4]],5,FALSE)</f>
        <v>金华市</v>
      </c>
    </row>
    <row r="59" spans="1:7" ht="15.75" thickBot="1" x14ac:dyDescent="0.3">
      <c r="A59" t="s">
        <v>817</v>
      </c>
      <c r="B59" s="1" t="s">
        <v>818</v>
      </c>
      <c r="C59" s="1" t="s">
        <v>7</v>
      </c>
      <c r="D59" s="1" t="s">
        <v>706</v>
      </c>
      <c r="E59" s="4">
        <v>3763</v>
      </c>
      <c r="F59" s="1" t="str">
        <f>VLOOKUP(D59,Table12[[Name]:[Native]],3,FALSE)</f>
        <v>磐安县</v>
      </c>
      <c r="G59" s="14" t="str">
        <f ca="1">VLOOKUP(F59,Table12[[Native]:[Population4]],5,FALSE)</f>
        <v>金华市</v>
      </c>
    </row>
    <row r="60" spans="1:7" ht="15.75" thickBot="1" x14ac:dyDescent="0.3">
      <c r="A60" t="s">
        <v>819</v>
      </c>
      <c r="B60" s="1" t="s">
        <v>820</v>
      </c>
      <c r="C60" s="1" t="s">
        <v>11</v>
      </c>
      <c r="D60" s="1" t="s">
        <v>703</v>
      </c>
      <c r="E60" s="4">
        <v>14633</v>
      </c>
      <c r="F60" s="1" t="str">
        <f>VLOOKUP(D60,Table12[[Name]:[Native]],3,FALSE)</f>
        <v>婺城区</v>
      </c>
      <c r="G60" s="14" t="str">
        <f ca="1">VLOOKUP(F60,Table12[[Native]:[Population4]],5,FALSE)</f>
        <v>金华市</v>
      </c>
    </row>
    <row r="61" spans="1:7" ht="15.75" thickBot="1" x14ac:dyDescent="0.3">
      <c r="A61" t="s">
        <v>821</v>
      </c>
      <c r="B61" s="1" t="s">
        <v>822</v>
      </c>
      <c r="C61" s="1" t="s">
        <v>15</v>
      </c>
      <c r="D61" s="1" t="s">
        <v>717</v>
      </c>
      <c r="E61" s="4">
        <v>116951</v>
      </c>
      <c r="F61" s="1" t="str">
        <f>VLOOKUP(D61,Table12[[Name]:[Native]],3,FALSE)</f>
        <v>兰溪市</v>
      </c>
      <c r="G61" s="14" t="str">
        <f ca="1">VLOOKUP(F61,Table12[[Native]:[Population4]],5,FALSE)</f>
        <v>金华市</v>
      </c>
    </row>
    <row r="62" spans="1:7" ht="15.75" thickBot="1" x14ac:dyDescent="0.3">
      <c r="A62" t="s">
        <v>823</v>
      </c>
      <c r="B62" s="1" t="s">
        <v>824</v>
      </c>
      <c r="C62" s="1" t="s">
        <v>11</v>
      </c>
      <c r="D62" s="1" t="s">
        <v>706</v>
      </c>
      <c r="E62" s="4">
        <v>7308</v>
      </c>
      <c r="F62" s="1" t="str">
        <f>VLOOKUP(D62,Table12[[Name]:[Native]],3,FALSE)</f>
        <v>磐安县</v>
      </c>
      <c r="G62" s="14" t="str">
        <f ca="1">VLOOKUP(F62,Table12[[Native]:[Population4]],5,FALSE)</f>
        <v>金华市</v>
      </c>
    </row>
    <row r="63" spans="1:7" ht="15.75" thickBot="1" x14ac:dyDescent="0.3">
      <c r="A63" t="s">
        <v>825</v>
      </c>
      <c r="B63" s="1" t="s">
        <v>826</v>
      </c>
      <c r="C63" s="1" t="s">
        <v>7</v>
      </c>
      <c r="D63" s="1" t="s">
        <v>717</v>
      </c>
      <c r="E63" s="4">
        <v>17971</v>
      </c>
      <c r="F63" s="1" t="str">
        <f>VLOOKUP(D63,Table12[[Name]:[Native]],3,FALSE)</f>
        <v>兰溪市</v>
      </c>
      <c r="G63" s="14" t="str">
        <f ca="1">VLOOKUP(F63,Table12[[Native]:[Population4]],5,FALSE)</f>
        <v>金华市</v>
      </c>
    </row>
    <row r="64" spans="1:7" ht="15.75" thickBot="1" x14ac:dyDescent="0.3">
      <c r="A64" t="s">
        <v>827</v>
      </c>
      <c r="B64" s="1" t="s">
        <v>828</v>
      </c>
      <c r="C64" s="1" t="s">
        <v>7</v>
      </c>
      <c r="D64" s="1" t="s">
        <v>703</v>
      </c>
      <c r="E64" s="4">
        <v>4306</v>
      </c>
      <c r="F64" s="1" t="str">
        <f>VLOOKUP(D64,Table12[[Name]:[Native]],3,FALSE)</f>
        <v>婺城区</v>
      </c>
      <c r="G64" s="14" t="str">
        <f ca="1">VLOOKUP(F64,Table12[[Native]:[Population4]],5,FALSE)</f>
        <v>金华市</v>
      </c>
    </row>
    <row r="65" spans="1:7" ht="15.75" thickBot="1" x14ac:dyDescent="0.3">
      <c r="A65" t="s">
        <v>829</v>
      </c>
      <c r="B65" s="1" t="s">
        <v>830</v>
      </c>
      <c r="C65" s="1" t="s">
        <v>11</v>
      </c>
      <c r="D65" s="1" t="s">
        <v>727</v>
      </c>
      <c r="E65" s="4">
        <v>11697</v>
      </c>
      <c r="F65" s="1" t="str">
        <f>VLOOKUP(D65,Table12[[Name]:[Native]],3,FALSE)</f>
        <v>金东区</v>
      </c>
      <c r="G65" s="14" t="str">
        <f ca="1">VLOOKUP(F65,Table12[[Native]:[Population4]],5,FALSE)</f>
        <v>金华市</v>
      </c>
    </row>
    <row r="66" spans="1:7" ht="15.75" thickBot="1" x14ac:dyDescent="0.3">
      <c r="A66" t="s">
        <v>831</v>
      </c>
      <c r="B66" s="1" t="s">
        <v>832</v>
      </c>
      <c r="C66" s="1" t="s">
        <v>11</v>
      </c>
      <c r="D66" s="1" t="s">
        <v>727</v>
      </c>
      <c r="E66" s="4">
        <v>26731</v>
      </c>
      <c r="F66" s="1" t="str">
        <f>VLOOKUP(D66,Table12[[Name]:[Native]],3,FALSE)</f>
        <v>金东区</v>
      </c>
      <c r="G66" s="14" t="str">
        <f ca="1">VLOOKUP(F66,Table12[[Native]:[Population4]],5,FALSE)</f>
        <v>金华市</v>
      </c>
    </row>
    <row r="67" spans="1:7" ht="15.75" thickBot="1" x14ac:dyDescent="0.3">
      <c r="A67" t="s">
        <v>833</v>
      </c>
      <c r="B67" s="1" t="s">
        <v>834</v>
      </c>
      <c r="C67" s="1" t="s">
        <v>11</v>
      </c>
      <c r="D67" s="1" t="s">
        <v>714</v>
      </c>
      <c r="E67" s="4">
        <v>20515</v>
      </c>
      <c r="F67" s="1" t="str">
        <f>VLOOKUP(D67,Table12[[Name]:[Native]],3,FALSE)</f>
        <v>武义县</v>
      </c>
      <c r="G67" s="14" t="str">
        <f ca="1">VLOOKUP(F67,Table12[[Native]:[Population4]],5,FALSE)</f>
        <v>金华市</v>
      </c>
    </row>
    <row r="68" spans="1:7" ht="15.75" thickBot="1" x14ac:dyDescent="0.3">
      <c r="A68" t="s">
        <v>835</v>
      </c>
      <c r="B68" s="1" t="s">
        <v>836</v>
      </c>
      <c r="C68" s="1" t="s">
        <v>15</v>
      </c>
      <c r="D68" s="1" t="s">
        <v>721</v>
      </c>
      <c r="E68" s="4">
        <v>29859</v>
      </c>
      <c r="F68" s="1" t="str">
        <f>VLOOKUP(D68,Table12[[Name]:[Native]],3,FALSE)</f>
        <v>东阳市</v>
      </c>
      <c r="G68" s="14" t="str">
        <f ca="1">VLOOKUP(F68,Table12[[Native]:[Population4]],5,FALSE)</f>
        <v>金华市</v>
      </c>
    </row>
    <row r="69" spans="1:7" ht="15.75" thickBot="1" x14ac:dyDescent="0.3">
      <c r="A69" t="s">
        <v>837</v>
      </c>
      <c r="B69" s="1" t="s">
        <v>838</v>
      </c>
      <c r="C69" s="1" t="s">
        <v>11</v>
      </c>
      <c r="D69" s="1" t="s">
        <v>760</v>
      </c>
      <c r="E69" s="4">
        <v>37127</v>
      </c>
      <c r="F69" s="1" t="str">
        <f>VLOOKUP(D69,Table12[[Name]:[Native]],3,FALSE)</f>
        <v>永康市</v>
      </c>
      <c r="G69" s="14" t="str">
        <f ca="1">VLOOKUP(F69,Table12[[Native]:[Population4]],5,FALSE)</f>
        <v>金华市</v>
      </c>
    </row>
    <row r="70" spans="1:7" ht="15.75" thickBot="1" x14ac:dyDescent="0.3">
      <c r="A70" t="s">
        <v>839</v>
      </c>
      <c r="B70" s="1" t="s">
        <v>840</v>
      </c>
      <c r="C70" s="1" t="s">
        <v>11</v>
      </c>
      <c r="D70" s="1" t="s">
        <v>703</v>
      </c>
      <c r="E70" s="4">
        <v>26762</v>
      </c>
      <c r="F70" s="1" t="str">
        <f>VLOOKUP(D70,Table12[[Name]:[Native]],3,FALSE)</f>
        <v>婺城区</v>
      </c>
      <c r="G70" s="14" t="str">
        <f ca="1">VLOOKUP(F70,Table12[[Native]:[Population4]],5,FALSE)</f>
        <v>金华市</v>
      </c>
    </row>
    <row r="71" spans="1:7" ht="15.75" thickBot="1" x14ac:dyDescent="0.3">
      <c r="A71" t="s">
        <v>841</v>
      </c>
      <c r="B71" s="1" t="s">
        <v>842</v>
      </c>
      <c r="C71" s="1" t="s">
        <v>11</v>
      </c>
      <c r="D71" s="1" t="s">
        <v>703</v>
      </c>
      <c r="E71" s="4">
        <v>20065</v>
      </c>
      <c r="F71" s="1" t="str">
        <f>VLOOKUP(D71,Table12[[Name]:[Native]],3,FALSE)</f>
        <v>婺城区</v>
      </c>
      <c r="G71" s="14" t="str">
        <f ca="1">VLOOKUP(F71,Table12[[Native]:[Population4]],5,FALSE)</f>
        <v>金华市</v>
      </c>
    </row>
    <row r="72" spans="1:7" ht="15.75" thickBot="1" x14ac:dyDescent="0.3">
      <c r="A72" t="s">
        <v>843</v>
      </c>
      <c r="B72" s="1" t="s">
        <v>844</v>
      </c>
      <c r="C72" s="1" t="s">
        <v>11</v>
      </c>
      <c r="D72" s="1" t="s">
        <v>714</v>
      </c>
      <c r="E72" s="4">
        <v>12746</v>
      </c>
      <c r="F72" s="1" t="str">
        <f>VLOOKUP(D72,Table12[[Name]:[Native]],3,FALSE)</f>
        <v>武义县</v>
      </c>
      <c r="G72" s="14" t="str">
        <f ca="1">VLOOKUP(F72,Table12[[Native]:[Population4]],5,FALSE)</f>
        <v>金华市</v>
      </c>
    </row>
    <row r="73" spans="1:7" ht="15.75" thickBot="1" x14ac:dyDescent="0.3">
      <c r="A73" t="s">
        <v>845</v>
      </c>
      <c r="B73" s="1" t="s">
        <v>846</v>
      </c>
      <c r="C73" s="1" t="s">
        <v>11</v>
      </c>
      <c r="D73" s="1" t="s">
        <v>717</v>
      </c>
      <c r="E73" s="4">
        <v>38159</v>
      </c>
      <c r="F73" s="1" t="str">
        <f>VLOOKUP(D73,Table12[[Name]:[Native]],3,FALSE)</f>
        <v>兰溪市</v>
      </c>
      <c r="G73" s="14" t="str">
        <f ca="1">VLOOKUP(F73,Table12[[Native]:[Population4]],5,FALSE)</f>
        <v>金华市</v>
      </c>
    </row>
    <row r="74" spans="1:7" ht="15.75" thickBot="1" x14ac:dyDescent="0.3">
      <c r="A74" t="s">
        <v>847</v>
      </c>
      <c r="B74" s="1" t="s">
        <v>848</v>
      </c>
      <c r="C74" s="1" t="s">
        <v>11</v>
      </c>
      <c r="D74" s="1" t="s">
        <v>721</v>
      </c>
      <c r="E74" s="4">
        <v>16702</v>
      </c>
      <c r="F74" s="1" t="str">
        <f>VLOOKUP(D74,Table12[[Name]:[Native]],3,FALSE)</f>
        <v>东阳市</v>
      </c>
      <c r="G74" s="14" t="str">
        <f ca="1">VLOOKUP(F74,Table12[[Native]:[Population4]],5,FALSE)</f>
        <v>金华市</v>
      </c>
    </row>
    <row r="75" spans="1:7" ht="15.75" thickBot="1" x14ac:dyDescent="0.3">
      <c r="A75" t="s">
        <v>849</v>
      </c>
      <c r="B75" s="1" t="s">
        <v>850</v>
      </c>
      <c r="C75" s="1" t="s">
        <v>11</v>
      </c>
      <c r="D75" s="1" t="s">
        <v>717</v>
      </c>
      <c r="E75" s="4">
        <v>30818</v>
      </c>
      <c r="F75" s="1" t="str">
        <f>VLOOKUP(D75,Table12[[Name]:[Native]],3,FALSE)</f>
        <v>兰溪市</v>
      </c>
      <c r="G75" s="14" t="str">
        <f ca="1">VLOOKUP(F75,Table12[[Native]:[Population4]],5,FALSE)</f>
        <v>金华市</v>
      </c>
    </row>
    <row r="76" spans="1:7" ht="15.75" thickBot="1" x14ac:dyDescent="0.3">
      <c r="A76" t="s">
        <v>851</v>
      </c>
      <c r="B76" s="1" t="s">
        <v>852</v>
      </c>
      <c r="C76" s="1" t="s">
        <v>11</v>
      </c>
      <c r="D76" s="1" t="s">
        <v>721</v>
      </c>
      <c r="E76" s="4">
        <v>62121</v>
      </c>
      <c r="F76" s="1" t="str">
        <f>VLOOKUP(D76,Table12[[Name]:[Native]],3,FALSE)</f>
        <v>东阳市</v>
      </c>
      <c r="G76" s="14" t="str">
        <f ca="1">VLOOKUP(F76,Table12[[Native]:[Population4]],5,FALSE)</f>
        <v>金华市</v>
      </c>
    </row>
    <row r="77" spans="1:7" ht="15.75" thickBot="1" x14ac:dyDescent="0.3">
      <c r="A77" t="s">
        <v>853</v>
      </c>
      <c r="B77" s="1" t="s">
        <v>854</v>
      </c>
      <c r="C77" s="1" t="s">
        <v>15</v>
      </c>
      <c r="D77" s="1" t="s">
        <v>721</v>
      </c>
      <c r="E77" s="4">
        <v>39501</v>
      </c>
      <c r="F77" s="1" t="str">
        <f>VLOOKUP(D77,Table12[[Name]:[Native]],3,FALSE)</f>
        <v>东阳市</v>
      </c>
      <c r="G77" s="14" t="str">
        <f ca="1">VLOOKUP(F77,Table12[[Native]:[Population4]],5,FALSE)</f>
        <v>金华市</v>
      </c>
    </row>
    <row r="78" spans="1:7" ht="15.75" thickBot="1" x14ac:dyDescent="0.3">
      <c r="A78" t="s">
        <v>855</v>
      </c>
      <c r="B78" s="1" t="s">
        <v>856</v>
      </c>
      <c r="C78" s="1" t="s">
        <v>15</v>
      </c>
      <c r="D78" s="1" t="s">
        <v>724</v>
      </c>
      <c r="E78" s="4">
        <v>84980</v>
      </c>
      <c r="F78" s="1" t="str">
        <f>VLOOKUP(D78,Table12[[Name]:[Native]],3,FALSE)</f>
        <v>义乌市</v>
      </c>
      <c r="G78" s="14" t="str">
        <f ca="1">VLOOKUP(F78,Table12[[Native]:[Population4]],5,FALSE)</f>
        <v>金华市</v>
      </c>
    </row>
    <row r="79" spans="1:7" ht="15.75" thickBot="1" x14ac:dyDescent="0.3">
      <c r="A79" t="s">
        <v>857</v>
      </c>
      <c r="B79" s="1" t="s">
        <v>858</v>
      </c>
      <c r="C79" s="1" t="s">
        <v>15</v>
      </c>
      <c r="D79" s="1" t="s">
        <v>717</v>
      </c>
      <c r="E79" s="4">
        <v>30277</v>
      </c>
      <c r="F79" s="1" t="str">
        <f>VLOOKUP(D79,Table12[[Name]:[Native]],3,FALSE)</f>
        <v>兰溪市</v>
      </c>
      <c r="G79" s="14" t="str">
        <f ca="1">VLOOKUP(F79,Table12[[Native]:[Population4]],5,FALSE)</f>
        <v>金华市</v>
      </c>
    </row>
    <row r="80" spans="1:7" ht="15.75" thickBot="1" x14ac:dyDescent="0.3">
      <c r="A80" t="s">
        <v>859</v>
      </c>
      <c r="B80" s="1" t="s">
        <v>860</v>
      </c>
      <c r="C80" s="1" t="s">
        <v>7</v>
      </c>
      <c r="D80" s="1" t="s">
        <v>706</v>
      </c>
      <c r="E80" s="4">
        <v>4732</v>
      </c>
      <c r="F80" s="1" t="str">
        <f>VLOOKUP(D80,Table12[[Name]:[Native]],3,FALSE)</f>
        <v>磐安县</v>
      </c>
      <c r="G80" s="14" t="str">
        <f ca="1">VLOOKUP(F80,Table12[[Native]:[Population4]],5,FALSE)</f>
        <v>金华市</v>
      </c>
    </row>
    <row r="81" spans="1:7" ht="15.75" thickBot="1" x14ac:dyDescent="0.3">
      <c r="A81" t="s">
        <v>861</v>
      </c>
      <c r="B81" s="1" t="s">
        <v>862</v>
      </c>
      <c r="C81" s="1" t="s">
        <v>15</v>
      </c>
      <c r="D81" s="1" t="s">
        <v>711</v>
      </c>
      <c r="E81" s="4">
        <v>52953</v>
      </c>
      <c r="F81" s="1" t="str">
        <f>VLOOKUP(D81,Table12[[Name]:[Native]],3,FALSE)</f>
        <v>浦江县</v>
      </c>
      <c r="G81" s="14" t="str">
        <f ca="1">VLOOKUP(F81,Table12[[Native]:[Population4]],5,FALSE)</f>
        <v>金华市</v>
      </c>
    </row>
    <row r="82" spans="1:7" ht="15.75" thickBot="1" x14ac:dyDescent="0.3">
      <c r="A82" t="s">
        <v>863</v>
      </c>
      <c r="B82" s="1" t="s">
        <v>864</v>
      </c>
      <c r="C82" s="1" t="s">
        <v>15</v>
      </c>
      <c r="D82" s="1" t="s">
        <v>711</v>
      </c>
      <c r="E82" s="4">
        <v>97852</v>
      </c>
      <c r="F82" s="1" t="str">
        <f>VLOOKUP(D82,Table12[[Name]:[Native]],3,FALSE)</f>
        <v>浦江县</v>
      </c>
      <c r="G82" s="14" t="str">
        <f ca="1">VLOOKUP(F82,Table12[[Native]:[Population4]],5,FALSE)</f>
        <v>金华市</v>
      </c>
    </row>
    <row r="83" spans="1:7" ht="15.75" thickBot="1" x14ac:dyDescent="0.3">
      <c r="A83" t="s">
        <v>865</v>
      </c>
      <c r="B83" s="1" t="s">
        <v>866</v>
      </c>
      <c r="C83" s="1" t="s">
        <v>11</v>
      </c>
      <c r="D83" s="1" t="s">
        <v>760</v>
      </c>
      <c r="E83" s="4">
        <v>22433</v>
      </c>
      <c r="F83" s="1" t="str">
        <f>VLOOKUP(D83,Table12[[Name]:[Native]],3,FALSE)</f>
        <v>永康市</v>
      </c>
      <c r="G83" s="14" t="str">
        <f ca="1">VLOOKUP(F83,Table12[[Native]:[Population4]],5,FALSE)</f>
        <v>金华市</v>
      </c>
    </row>
    <row r="84" spans="1:7" ht="15.75" thickBot="1" x14ac:dyDescent="0.3">
      <c r="A84" t="s">
        <v>867</v>
      </c>
      <c r="B84" s="1" t="s">
        <v>868</v>
      </c>
      <c r="C84" s="1" t="s">
        <v>7</v>
      </c>
      <c r="D84" s="1" t="s">
        <v>711</v>
      </c>
      <c r="E84" s="4">
        <v>9273</v>
      </c>
      <c r="F84" s="1" t="str">
        <f>VLOOKUP(D84,Table12[[Name]:[Native]],3,FALSE)</f>
        <v>浦江县</v>
      </c>
      <c r="G84" s="14" t="str">
        <f ca="1">VLOOKUP(F84,Table12[[Native]:[Population4]],5,FALSE)</f>
        <v>金华市</v>
      </c>
    </row>
    <row r="85" spans="1:7" ht="15.75" thickBot="1" x14ac:dyDescent="0.3">
      <c r="A85" t="s">
        <v>869</v>
      </c>
      <c r="B85" s="1" t="s">
        <v>870</v>
      </c>
      <c r="C85" s="1" t="s">
        <v>11</v>
      </c>
      <c r="D85" s="1" t="s">
        <v>721</v>
      </c>
      <c r="E85" s="4">
        <v>38963</v>
      </c>
      <c r="F85" s="1" t="str">
        <f>VLOOKUP(D85,Table12[[Name]:[Native]],3,FALSE)</f>
        <v>东阳市</v>
      </c>
      <c r="G85" s="14" t="str">
        <f ca="1">VLOOKUP(F85,Table12[[Native]:[Population4]],5,FALSE)</f>
        <v>金华市</v>
      </c>
    </row>
    <row r="86" spans="1:7" ht="15.75" thickBot="1" x14ac:dyDescent="0.3">
      <c r="A86" t="s">
        <v>871</v>
      </c>
      <c r="B86" s="1" t="s">
        <v>872</v>
      </c>
      <c r="C86" s="1" t="s">
        <v>7</v>
      </c>
      <c r="D86" s="1" t="s">
        <v>703</v>
      </c>
      <c r="E86" s="4">
        <v>27576</v>
      </c>
      <c r="F86" s="1" t="str">
        <f>VLOOKUP(D86,Table12[[Name]:[Native]],3,FALSE)</f>
        <v>婺城区</v>
      </c>
      <c r="G86" s="14" t="str">
        <f ca="1">VLOOKUP(F86,Table12[[Native]:[Population4]],5,FALSE)</f>
        <v>金华市</v>
      </c>
    </row>
    <row r="87" spans="1:7" ht="15.75" thickBot="1" x14ac:dyDescent="0.3">
      <c r="A87" t="s">
        <v>873</v>
      </c>
      <c r="B87" s="1" t="s">
        <v>874</v>
      </c>
      <c r="C87" s="1" t="s">
        <v>15</v>
      </c>
      <c r="D87" s="1" t="s">
        <v>703</v>
      </c>
      <c r="E87" s="4">
        <v>55894</v>
      </c>
      <c r="F87" s="1" t="str">
        <f>VLOOKUP(D87,Table12[[Name]:[Native]],3,FALSE)</f>
        <v>婺城区</v>
      </c>
      <c r="G87" s="14" t="str">
        <f ca="1">VLOOKUP(F87,Table12[[Native]:[Population4]],5,FALSE)</f>
        <v>金华市</v>
      </c>
    </row>
    <row r="88" spans="1:7" ht="15.75" thickBot="1" x14ac:dyDescent="0.3">
      <c r="A88" t="s">
        <v>875</v>
      </c>
      <c r="B88" s="1" t="s">
        <v>876</v>
      </c>
      <c r="C88" s="1" t="s">
        <v>11</v>
      </c>
      <c r="D88" s="1" t="s">
        <v>714</v>
      </c>
      <c r="E88" s="4">
        <v>31871</v>
      </c>
      <c r="F88" s="1" t="str">
        <f>VLOOKUP(D88,Table12[[Name]:[Native]],3,FALSE)</f>
        <v>武义县</v>
      </c>
      <c r="G88" s="14" t="str">
        <f ca="1">VLOOKUP(F88,Table12[[Native]:[Population4]],5,FALSE)</f>
        <v>金华市</v>
      </c>
    </row>
    <row r="89" spans="1:7" ht="15.75" thickBot="1" x14ac:dyDescent="0.3">
      <c r="A89" t="s">
        <v>877</v>
      </c>
      <c r="B89" s="1" t="s">
        <v>878</v>
      </c>
      <c r="C89" s="1" t="s">
        <v>11</v>
      </c>
      <c r="D89" s="1" t="s">
        <v>706</v>
      </c>
      <c r="E89" s="4">
        <v>9348</v>
      </c>
      <c r="F89" s="1" t="str">
        <f>VLOOKUP(D89,Table12[[Name]:[Native]],3,FALSE)</f>
        <v>磐安县</v>
      </c>
      <c r="G89" s="14" t="str">
        <f ca="1">VLOOKUP(F89,Table12[[Native]:[Population4]],5,FALSE)</f>
        <v>金华市</v>
      </c>
    </row>
    <row r="90" spans="1:7" ht="15.75" thickBot="1" x14ac:dyDescent="0.3">
      <c r="A90" t="s">
        <v>879</v>
      </c>
      <c r="B90" s="1" t="s">
        <v>880</v>
      </c>
      <c r="C90" s="1" t="s">
        <v>7</v>
      </c>
      <c r="D90" s="1" t="s">
        <v>703</v>
      </c>
      <c r="E90" s="4">
        <v>2124</v>
      </c>
      <c r="F90" s="1" t="str">
        <f>VLOOKUP(D90,Table12[[Name]:[Native]],3,FALSE)</f>
        <v>婺城区</v>
      </c>
      <c r="G90" s="14" t="str">
        <f ca="1">VLOOKUP(F90,Table12[[Native]:[Population4]],5,FALSE)</f>
        <v>金华市</v>
      </c>
    </row>
    <row r="91" spans="1:7" ht="15.75" thickBot="1" x14ac:dyDescent="0.3">
      <c r="A91" t="s">
        <v>881</v>
      </c>
      <c r="B91" s="1" t="s">
        <v>882</v>
      </c>
      <c r="C91" s="1" t="s">
        <v>7</v>
      </c>
      <c r="D91" s="1" t="s">
        <v>721</v>
      </c>
      <c r="E91" s="4">
        <v>8017</v>
      </c>
      <c r="F91" s="1" t="str">
        <f>VLOOKUP(D91,Table12[[Name]:[Native]],3,FALSE)</f>
        <v>东阳市</v>
      </c>
      <c r="G91" s="14" t="str">
        <f ca="1">VLOOKUP(F91,Table12[[Native]:[Population4]],5,FALSE)</f>
        <v>金华市</v>
      </c>
    </row>
    <row r="92" spans="1:7" ht="15.75" thickBot="1" x14ac:dyDescent="0.3">
      <c r="A92" t="s">
        <v>883</v>
      </c>
      <c r="B92" s="1" t="s">
        <v>884</v>
      </c>
      <c r="C92" s="1" t="s">
        <v>7</v>
      </c>
      <c r="D92" s="1" t="s">
        <v>714</v>
      </c>
      <c r="E92" s="4">
        <v>2076</v>
      </c>
      <c r="F92" s="1" t="str">
        <f>VLOOKUP(D92,Table12[[Name]:[Native]],3,FALSE)</f>
        <v>武义县</v>
      </c>
      <c r="G92" s="14" t="str">
        <f ca="1">VLOOKUP(F92,Table12[[Native]:[Population4]],5,FALSE)</f>
        <v>金华市</v>
      </c>
    </row>
    <row r="93" spans="1:7" ht="15.75" thickBot="1" x14ac:dyDescent="0.3">
      <c r="A93" t="s">
        <v>885</v>
      </c>
      <c r="B93" s="1" t="s">
        <v>886</v>
      </c>
      <c r="C93" s="1" t="s">
        <v>15</v>
      </c>
      <c r="D93" s="1" t="s">
        <v>703</v>
      </c>
      <c r="E93" s="4">
        <v>103938</v>
      </c>
      <c r="F93" s="1" t="str">
        <f>VLOOKUP(D93,Table12[[Name]:[Native]],3,FALSE)</f>
        <v>婺城区</v>
      </c>
      <c r="G93" s="14" t="str">
        <f ca="1">VLOOKUP(F93,Table12[[Native]:[Population4]],5,FALSE)</f>
        <v>金华市</v>
      </c>
    </row>
    <row r="94" spans="1:7" ht="15.75" thickBot="1" x14ac:dyDescent="0.3">
      <c r="A94" t="s">
        <v>887</v>
      </c>
      <c r="B94" s="1" t="s">
        <v>888</v>
      </c>
      <c r="C94" s="1" t="s">
        <v>7</v>
      </c>
      <c r="D94" s="1" t="s">
        <v>703</v>
      </c>
      <c r="E94" s="4">
        <v>7458</v>
      </c>
      <c r="F94" s="1" t="str">
        <f>VLOOKUP(D94,Table12[[Name]:[Native]],3,FALSE)</f>
        <v>婺城区</v>
      </c>
      <c r="G94" s="14" t="str">
        <f ca="1">VLOOKUP(F94,Table12[[Native]:[Population4]],5,FALSE)</f>
        <v>金华市</v>
      </c>
    </row>
    <row r="95" spans="1:7" ht="15.75" thickBot="1" x14ac:dyDescent="0.3">
      <c r="A95" t="s">
        <v>889</v>
      </c>
      <c r="B95" s="1" t="s">
        <v>890</v>
      </c>
      <c r="C95" s="1" t="s">
        <v>15</v>
      </c>
      <c r="D95" s="1" t="s">
        <v>717</v>
      </c>
      <c r="E95" s="4">
        <v>37112</v>
      </c>
      <c r="F95" s="1" t="str">
        <f>VLOOKUP(D95,Table12[[Name]:[Native]],3,FALSE)</f>
        <v>兰溪市</v>
      </c>
      <c r="G95" s="14" t="str">
        <f ca="1">VLOOKUP(F95,Table12[[Native]:[Population4]],5,FALSE)</f>
        <v>金华市</v>
      </c>
    </row>
    <row r="96" spans="1:7" ht="15.75" thickBot="1" x14ac:dyDescent="0.3">
      <c r="A96" t="s">
        <v>891</v>
      </c>
      <c r="B96" s="1" t="s">
        <v>892</v>
      </c>
      <c r="C96" s="1" t="s">
        <v>11</v>
      </c>
      <c r="D96" s="1" t="s">
        <v>706</v>
      </c>
      <c r="E96" s="4">
        <v>13856</v>
      </c>
      <c r="F96" s="1" t="str">
        <f>VLOOKUP(D96,Table12[[Name]:[Native]],3,FALSE)</f>
        <v>磐安县</v>
      </c>
      <c r="G96" s="14" t="str">
        <f ca="1">VLOOKUP(F96,Table12[[Native]:[Population4]],5,FALSE)</f>
        <v>金华市</v>
      </c>
    </row>
    <row r="97" spans="1:7" ht="15.75" thickBot="1" x14ac:dyDescent="0.3">
      <c r="A97" t="s">
        <v>893</v>
      </c>
      <c r="B97" s="1" t="s">
        <v>894</v>
      </c>
      <c r="C97" s="1" t="s">
        <v>11</v>
      </c>
      <c r="D97" s="1" t="s">
        <v>724</v>
      </c>
      <c r="E97" s="4">
        <v>54500</v>
      </c>
      <c r="F97" s="1" t="str">
        <f>VLOOKUP(D97,Table12[[Name]:[Native]],3,FALSE)</f>
        <v>义乌市</v>
      </c>
      <c r="G97" s="14" t="str">
        <f ca="1">VLOOKUP(F97,Table12[[Native]:[Population4]],5,FALSE)</f>
        <v>金华市</v>
      </c>
    </row>
    <row r="98" spans="1:7" ht="15.75" thickBot="1" x14ac:dyDescent="0.3">
      <c r="A98" t="s">
        <v>895</v>
      </c>
      <c r="B98" s="1" t="s">
        <v>896</v>
      </c>
      <c r="C98" s="1" t="s">
        <v>11</v>
      </c>
      <c r="D98" s="1" t="s">
        <v>760</v>
      </c>
      <c r="E98" s="4">
        <v>36243</v>
      </c>
      <c r="F98" s="1" t="str">
        <f>VLOOKUP(D98,Table12[[Name]:[Native]],3,FALSE)</f>
        <v>永康市</v>
      </c>
      <c r="G98" s="14" t="str">
        <f ca="1">VLOOKUP(F98,Table12[[Native]:[Population4]],5,FALSE)</f>
        <v>金华市</v>
      </c>
    </row>
    <row r="99" spans="1:7" ht="15.75" thickBot="1" x14ac:dyDescent="0.3">
      <c r="A99" t="s">
        <v>897</v>
      </c>
      <c r="B99" s="1" t="s">
        <v>898</v>
      </c>
      <c r="C99" s="1" t="s">
        <v>7</v>
      </c>
      <c r="D99" s="1" t="s">
        <v>706</v>
      </c>
      <c r="E99" s="4">
        <v>3020</v>
      </c>
      <c r="F99" s="1" t="str">
        <f>VLOOKUP(D99,Table12[[Name]:[Native]],3,FALSE)</f>
        <v>磐安县</v>
      </c>
      <c r="G99" s="14" t="str">
        <f ca="1">VLOOKUP(F99,Table12[[Native]:[Population4]],5,FALSE)</f>
        <v>金华市</v>
      </c>
    </row>
    <row r="100" spans="1:7" ht="15.75" thickBot="1" x14ac:dyDescent="0.3">
      <c r="A100" t="s">
        <v>899</v>
      </c>
      <c r="B100" s="1" t="s">
        <v>900</v>
      </c>
      <c r="C100" s="1" t="s">
        <v>7</v>
      </c>
      <c r="D100" s="1" t="s">
        <v>706</v>
      </c>
      <c r="E100" s="4">
        <v>4034</v>
      </c>
      <c r="F100" s="1" t="str">
        <f>VLOOKUP(D100,Table12[[Name]:[Native]],3,FALSE)</f>
        <v>磐安县</v>
      </c>
      <c r="G100" s="14" t="str">
        <f ca="1">VLOOKUP(F100,Table12[[Native]:[Population4]],5,FALSE)</f>
        <v>金华市</v>
      </c>
    </row>
    <row r="101" spans="1:7" ht="15.75" thickBot="1" x14ac:dyDescent="0.3">
      <c r="A101" t="s">
        <v>901</v>
      </c>
      <c r="B101" s="1" t="s">
        <v>902</v>
      </c>
      <c r="C101" s="1" t="s">
        <v>7</v>
      </c>
      <c r="D101" s="1" t="s">
        <v>717</v>
      </c>
      <c r="E101" s="4">
        <v>14929</v>
      </c>
      <c r="F101" s="1" t="str">
        <f>VLOOKUP(D101,Table12[[Name]:[Native]],3,FALSE)</f>
        <v>兰溪市</v>
      </c>
      <c r="G101" s="14" t="str">
        <f ca="1">VLOOKUP(F101,Table12[[Native]:[Population4]],5,FALSE)</f>
        <v>金华市</v>
      </c>
    </row>
    <row r="102" spans="1:7" ht="15.75" thickBot="1" x14ac:dyDescent="0.3">
      <c r="A102" t="s">
        <v>903</v>
      </c>
      <c r="B102" s="1" t="s">
        <v>904</v>
      </c>
      <c r="C102" s="1" t="s">
        <v>15</v>
      </c>
      <c r="D102" s="1" t="s">
        <v>714</v>
      </c>
      <c r="E102" s="4">
        <v>44941</v>
      </c>
      <c r="F102" s="1" t="str">
        <f>VLOOKUP(D102,Table12[[Name]:[Native]],3,FALSE)</f>
        <v>武义县</v>
      </c>
      <c r="G102" s="14" t="str">
        <f ca="1">VLOOKUP(F102,Table12[[Native]:[Population4]],5,FALSE)</f>
        <v>金华市</v>
      </c>
    </row>
    <row r="103" spans="1:7" ht="15.75" thickBot="1" x14ac:dyDescent="0.3">
      <c r="A103" t="s">
        <v>905</v>
      </c>
      <c r="B103" s="1" t="s">
        <v>906</v>
      </c>
      <c r="C103" s="1" t="s">
        <v>7</v>
      </c>
      <c r="D103" s="1" t="s">
        <v>703</v>
      </c>
      <c r="E103" s="4">
        <v>15296</v>
      </c>
      <c r="F103" s="1" t="str">
        <f>VLOOKUP(D103,Table12[[Name]:[Native]],3,FALSE)</f>
        <v>婺城区</v>
      </c>
      <c r="G103" s="14" t="str">
        <f ca="1">VLOOKUP(F103,Table12[[Native]:[Population4]],5,FALSE)</f>
        <v>金华市</v>
      </c>
    </row>
    <row r="104" spans="1:7" ht="15.75" thickBot="1" x14ac:dyDescent="0.3">
      <c r="A104" t="s">
        <v>907</v>
      </c>
      <c r="B104" s="1" t="s">
        <v>908</v>
      </c>
      <c r="C104" s="1" t="s">
        <v>11</v>
      </c>
      <c r="D104" s="1" t="s">
        <v>724</v>
      </c>
      <c r="E104" s="4">
        <v>82891</v>
      </c>
      <c r="F104" s="1" t="str">
        <f>VLOOKUP(D104,Table12[[Name]:[Native]],3,FALSE)</f>
        <v>义乌市</v>
      </c>
      <c r="G104" s="14" t="str">
        <f ca="1">VLOOKUP(F104,Table12[[Native]:[Population4]],5,FALSE)</f>
        <v>金华市</v>
      </c>
    </row>
    <row r="105" spans="1:7" ht="15.75" thickBot="1" x14ac:dyDescent="0.3">
      <c r="A105" t="s">
        <v>909</v>
      </c>
      <c r="B105" s="1" t="s">
        <v>910</v>
      </c>
      <c r="C105" s="1" t="s">
        <v>11</v>
      </c>
      <c r="D105" s="1" t="s">
        <v>760</v>
      </c>
      <c r="E105" s="4">
        <v>35691</v>
      </c>
      <c r="F105" s="1" t="str">
        <f>VLOOKUP(D105,Table12[[Name]:[Native]],3,FALSE)</f>
        <v>永康市</v>
      </c>
      <c r="G105" s="14" t="str">
        <f ca="1">VLOOKUP(F105,Table12[[Native]:[Population4]],5,FALSE)</f>
        <v>金华市</v>
      </c>
    </row>
    <row r="106" spans="1:7" ht="15.75" thickBot="1" x14ac:dyDescent="0.3">
      <c r="A106" t="s">
        <v>911</v>
      </c>
      <c r="B106" s="1" t="s">
        <v>912</v>
      </c>
      <c r="C106" s="1" t="s">
        <v>11</v>
      </c>
      <c r="D106" s="1" t="s">
        <v>703</v>
      </c>
      <c r="E106" s="4">
        <v>38435</v>
      </c>
      <c r="F106" s="1" t="str">
        <f>VLOOKUP(D106,Table12[[Name]:[Native]],3,FALSE)</f>
        <v>婺城区</v>
      </c>
      <c r="G106" s="14" t="str">
        <f ca="1">VLOOKUP(F106,Table12[[Native]:[Population4]],5,FALSE)</f>
        <v>金华市</v>
      </c>
    </row>
    <row r="107" spans="1:7" ht="15.75" thickBot="1" x14ac:dyDescent="0.3">
      <c r="A107" t="s">
        <v>913</v>
      </c>
      <c r="B107" s="1" t="s">
        <v>914</v>
      </c>
      <c r="C107" s="1" t="s">
        <v>11</v>
      </c>
      <c r="D107" s="1" t="s">
        <v>727</v>
      </c>
      <c r="E107" s="4">
        <v>21577</v>
      </c>
      <c r="F107" s="1" t="str">
        <f>VLOOKUP(D107,Table12[[Name]:[Native]],3,FALSE)</f>
        <v>金东区</v>
      </c>
      <c r="G107" s="14" t="str">
        <f ca="1">VLOOKUP(F107,Table12[[Native]:[Population4]],5,FALSE)</f>
        <v>金华市</v>
      </c>
    </row>
    <row r="108" spans="1:7" ht="15.75" thickBot="1" x14ac:dyDescent="0.3">
      <c r="A108" t="s">
        <v>915</v>
      </c>
      <c r="B108" s="1" t="s">
        <v>916</v>
      </c>
      <c r="C108" s="1" t="s">
        <v>7</v>
      </c>
      <c r="D108" s="1" t="s">
        <v>714</v>
      </c>
      <c r="E108" s="4">
        <v>3846</v>
      </c>
      <c r="F108" s="1" t="str">
        <f>VLOOKUP(D108,Table12[[Name]:[Native]],3,FALSE)</f>
        <v>武义县</v>
      </c>
      <c r="G108" s="14" t="str">
        <f ca="1">VLOOKUP(F108,Table12[[Native]:[Population4]],5,FALSE)</f>
        <v>金华市</v>
      </c>
    </row>
    <row r="109" spans="1:7" ht="15.75" thickBot="1" x14ac:dyDescent="0.3">
      <c r="A109" t="s">
        <v>917</v>
      </c>
      <c r="B109" s="1" t="s">
        <v>918</v>
      </c>
      <c r="C109" s="1" t="s">
        <v>11</v>
      </c>
      <c r="D109" s="1" t="s">
        <v>711</v>
      </c>
      <c r="E109" s="4">
        <v>10279</v>
      </c>
      <c r="F109" s="1" t="str">
        <f>VLOOKUP(D109,Table12[[Name]:[Native]],3,FALSE)</f>
        <v>浦江县</v>
      </c>
      <c r="G109" s="14" t="str">
        <f ca="1">VLOOKUP(F109,Table12[[Native]:[Population4]],5,FALSE)</f>
        <v>金华市</v>
      </c>
    </row>
    <row r="110" spans="1:7" ht="15.75" thickBot="1" x14ac:dyDescent="0.3">
      <c r="A110" t="s">
        <v>919</v>
      </c>
      <c r="B110" s="1" t="s">
        <v>920</v>
      </c>
      <c r="C110" s="1" t="s">
        <v>11</v>
      </c>
      <c r="D110" s="1" t="s">
        <v>714</v>
      </c>
      <c r="E110" s="4">
        <v>10559</v>
      </c>
      <c r="F110" s="1" t="str">
        <f>VLOOKUP(D110,Table12[[Name]:[Native]],3,FALSE)</f>
        <v>武义县</v>
      </c>
      <c r="G110" s="14" t="str">
        <f ca="1">VLOOKUP(F110,Table12[[Native]:[Population4]],5,FALSE)</f>
        <v>金华市</v>
      </c>
    </row>
    <row r="111" spans="1:7" ht="15.75" thickBot="1" x14ac:dyDescent="0.3">
      <c r="A111" t="s">
        <v>921</v>
      </c>
      <c r="B111" s="1" t="s">
        <v>922</v>
      </c>
      <c r="C111" s="1" t="s">
        <v>7</v>
      </c>
      <c r="D111" s="1" t="s">
        <v>703</v>
      </c>
      <c r="E111" s="4">
        <v>5759</v>
      </c>
      <c r="F111" s="1" t="str">
        <f>VLOOKUP(D111,Table12[[Name]:[Native]],3,FALSE)</f>
        <v>婺城区</v>
      </c>
      <c r="G111" s="14" t="str">
        <f ca="1">VLOOKUP(F111,Table12[[Native]:[Population4]],5,FALSE)</f>
        <v>金华市</v>
      </c>
    </row>
    <row r="112" spans="1:7" ht="15.75" thickBot="1" x14ac:dyDescent="0.3">
      <c r="A112" t="s">
        <v>923</v>
      </c>
      <c r="B112" s="1" t="s">
        <v>924</v>
      </c>
      <c r="C112" s="1" t="s">
        <v>11</v>
      </c>
      <c r="D112" s="1" t="s">
        <v>714</v>
      </c>
      <c r="E112" s="4">
        <v>40099</v>
      </c>
      <c r="F112" s="1" t="str">
        <f>VLOOKUP(D112,Table12[[Name]:[Native]],3,FALSE)</f>
        <v>武义县</v>
      </c>
      <c r="G112" s="14" t="str">
        <f ca="1">VLOOKUP(F112,Table12[[Native]:[Population4]],5,FALSE)</f>
        <v>金华市</v>
      </c>
    </row>
    <row r="113" spans="1:7" ht="15.75" thickBot="1" x14ac:dyDescent="0.3">
      <c r="A113" t="s">
        <v>925</v>
      </c>
      <c r="B113" s="1" t="s">
        <v>926</v>
      </c>
      <c r="C113" s="1" t="s">
        <v>11</v>
      </c>
      <c r="D113" s="1" t="s">
        <v>714</v>
      </c>
      <c r="E113" s="4">
        <v>21950</v>
      </c>
      <c r="F113" s="1" t="str">
        <f>VLOOKUP(D113,Table12[[Name]:[Native]],3,FALSE)</f>
        <v>武义县</v>
      </c>
      <c r="G113" s="14" t="str">
        <f ca="1">VLOOKUP(F113,Table12[[Native]:[Population4]],5,FALSE)</f>
        <v>金华市</v>
      </c>
    </row>
    <row r="114" spans="1:7" ht="15.75" thickBot="1" x14ac:dyDescent="0.3">
      <c r="A114" t="s">
        <v>927</v>
      </c>
      <c r="B114" s="1" t="s">
        <v>928</v>
      </c>
      <c r="C114" s="1" t="s">
        <v>11</v>
      </c>
      <c r="D114" s="1" t="s">
        <v>721</v>
      </c>
      <c r="E114" s="4">
        <v>51898</v>
      </c>
      <c r="F114" s="1" t="str">
        <f>VLOOKUP(D114,Table12[[Name]:[Native]],3,FALSE)</f>
        <v>东阳市</v>
      </c>
      <c r="G114" s="14" t="str">
        <f ca="1">VLOOKUP(F114,Table12[[Native]:[Population4]],5,FALSE)</f>
        <v>金华市</v>
      </c>
    </row>
    <row r="115" spans="1:7" ht="15.75" thickBot="1" x14ac:dyDescent="0.3">
      <c r="A115" t="s">
        <v>929</v>
      </c>
      <c r="B115" s="1" t="s">
        <v>930</v>
      </c>
      <c r="C115" s="1" t="s">
        <v>15</v>
      </c>
      <c r="D115" s="1" t="s">
        <v>721</v>
      </c>
      <c r="E115" s="4">
        <v>102122</v>
      </c>
      <c r="F115" s="1" t="str">
        <f>VLOOKUP(D115,Table12[[Name]:[Native]],3,FALSE)</f>
        <v>东阳市</v>
      </c>
      <c r="G115" s="14" t="str">
        <f ca="1">VLOOKUP(F115,Table12[[Native]:[Population4]],5,FALSE)</f>
        <v>金华市</v>
      </c>
    </row>
    <row r="116" spans="1:7" ht="15.75" thickBot="1" x14ac:dyDescent="0.3">
      <c r="A116" t="s">
        <v>931</v>
      </c>
      <c r="B116" s="1" t="s">
        <v>932</v>
      </c>
      <c r="C116" s="1" t="s">
        <v>11</v>
      </c>
      <c r="D116" s="1" t="s">
        <v>717</v>
      </c>
      <c r="E116" s="4">
        <v>28043</v>
      </c>
      <c r="F116" s="1" t="str">
        <f>VLOOKUP(D116,Table12[[Name]:[Native]],3,FALSE)</f>
        <v>兰溪市</v>
      </c>
      <c r="G116" s="14" t="str">
        <f ca="1">VLOOKUP(F116,Table12[[Native]:[Population4]],5,FALSE)</f>
        <v>金华市</v>
      </c>
    </row>
    <row r="117" spans="1:7" ht="15.75" thickBot="1" x14ac:dyDescent="0.3">
      <c r="A117" t="s">
        <v>933</v>
      </c>
      <c r="B117" s="1" t="s">
        <v>934</v>
      </c>
      <c r="C117" s="1" t="s">
        <v>11</v>
      </c>
      <c r="D117" s="1" t="s">
        <v>760</v>
      </c>
      <c r="E117" s="4">
        <v>43812</v>
      </c>
      <c r="F117" s="1" t="str">
        <f>VLOOKUP(D117,Table12[[Name]:[Native]],3,FALSE)</f>
        <v>永康市</v>
      </c>
      <c r="G117" s="14" t="str">
        <f ca="1">VLOOKUP(F117,Table12[[Native]:[Population4]],5,FALSE)</f>
        <v>金华市</v>
      </c>
    </row>
    <row r="118" spans="1:7" ht="15.75" thickBot="1" x14ac:dyDescent="0.3">
      <c r="A118" t="s">
        <v>935</v>
      </c>
      <c r="B118" s="1" t="s">
        <v>936</v>
      </c>
      <c r="C118" s="1" t="s">
        <v>15</v>
      </c>
      <c r="D118" s="1" t="s">
        <v>711</v>
      </c>
      <c r="E118" s="4">
        <v>61929</v>
      </c>
      <c r="F118" s="1" t="str">
        <f>VLOOKUP(D118,Table12[[Name]:[Native]],3,FALSE)</f>
        <v>浦江县</v>
      </c>
      <c r="G118" s="14" t="str">
        <f ca="1">VLOOKUP(F118,Table12[[Native]:[Population4]],5,FALSE)</f>
        <v>金华市</v>
      </c>
    </row>
    <row r="119" spans="1:7" ht="15.75" thickBot="1" x14ac:dyDescent="0.3">
      <c r="A119" t="s">
        <v>937</v>
      </c>
      <c r="B119" s="1" t="s">
        <v>938</v>
      </c>
      <c r="C119" s="1" t="s">
        <v>11</v>
      </c>
      <c r="D119" s="1" t="s">
        <v>727</v>
      </c>
      <c r="E119" s="4">
        <v>71012</v>
      </c>
      <c r="F119" s="1" t="str">
        <f>VLOOKUP(D119,Table12[[Name]:[Native]],3,FALSE)</f>
        <v>金东区</v>
      </c>
      <c r="G119" s="14" t="str">
        <f ca="1">VLOOKUP(F119,Table12[[Native]:[Population4]],5,FALSE)</f>
        <v>金华市</v>
      </c>
    </row>
    <row r="120" spans="1:7" ht="15.75" thickBot="1" x14ac:dyDescent="0.3">
      <c r="A120" t="s">
        <v>939</v>
      </c>
      <c r="B120" s="1" t="s">
        <v>940</v>
      </c>
      <c r="C120" s="1" t="s">
        <v>15</v>
      </c>
      <c r="D120" s="1" t="s">
        <v>760</v>
      </c>
      <c r="E120" s="4">
        <v>108545</v>
      </c>
      <c r="F120" s="1" t="str">
        <f>VLOOKUP(D120,Table12[[Name]:[Native]],3,FALSE)</f>
        <v>永康市</v>
      </c>
      <c r="G120" s="14" t="str">
        <f ca="1">VLOOKUP(F120,Table12[[Native]:[Population4]],5,FALSE)</f>
        <v>金华市</v>
      </c>
    </row>
    <row r="121" spans="1:7" ht="15.75" thickBot="1" x14ac:dyDescent="0.3">
      <c r="A121" t="s">
        <v>941</v>
      </c>
      <c r="B121" s="1" t="s">
        <v>942</v>
      </c>
      <c r="C121" s="1" t="s">
        <v>15</v>
      </c>
      <c r="D121" s="1" t="s">
        <v>703</v>
      </c>
      <c r="E121" s="4">
        <v>48370</v>
      </c>
      <c r="F121" s="1" t="str">
        <f>VLOOKUP(D121,Table12[[Name]:[Native]],3,FALSE)</f>
        <v>婺城区</v>
      </c>
      <c r="G121" s="14" t="str">
        <f ca="1">VLOOKUP(F121,Table12[[Native]:[Population4]],5,FALSE)</f>
        <v>金华市</v>
      </c>
    </row>
    <row r="122" spans="1:7" ht="15.75" thickBot="1" x14ac:dyDescent="0.3">
      <c r="A122" t="s">
        <v>943</v>
      </c>
      <c r="B122" s="1" t="s">
        <v>944</v>
      </c>
      <c r="C122" s="1" t="s">
        <v>7</v>
      </c>
      <c r="D122" s="1" t="s">
        <v>714</v>
      </c>
      <c r="E122" s="4">
        <v>3931</v>
      </c>
      <c r="F122" s="1" t="str">
        <f>VLOOKUP(D122,Table12[[Name]:[Native]],3,FALSE)</f>
        <v>武义县</v>
      </c>
      <c r="G122" s="14" t="str">
        <f ca="1">VLOOKUP(F122,Table12[[Native]:[Population4]],5,FALSE)</f>
        <v>金华市</v>
      </c>
    </row>
    <row r="123" spans="1:7" ht="15.75" thickBot="1" x14ac:dyDescent="0.3">
      <c r="A123" t="s">
        <v>945</v>
      </c>
      <c r="B123" s="1" t="s">
        <v>946</v>
      </c>
      <c r="C123" s="1" t="s">
        <v>7</v>
      </c>
      <c r="D123" s="1" t="s">
        <v>703</v>
      </c>
      <c r="E123" s="4">
        <v>2821</v>
      </c>
      <c r="F123" s="1" t="str">
        <f>VLOOKUP(D123,Table12[[Name]:[Native]],3,FALSE)</f>
        <v>婺城区</v>
      </c>
      <c r="G123" s="14" t="str">
        <f ca="1">VLOOKUP(F123,Table12[[Native]:[Population4]],5,FALSE)</f>
        <v>金华市</v>
      </c>
    </row>
    <row r="124" spans="1:7" ht="15.75" thickBot="1" x14ac:dyDescent="0.3">
      <c r="A124" t="s">
        <v>947</v>
      </c>
      <c r="B124" s="1" t="s">
        <v>948</v>
      </c>
      <c r="C124" s="1" t="s">
        <v>15</v>
      </c>
      <c r="D124" s="1" t="s">
        <v>703</v>
      </c>
      <c r="E124" s="4">
        <v>64410</v>
      </c>
      <c r="F124" s="1" t="str">
        <f>VLOOKUP(D124,Table12[[Name]:[Native]],3,FALSE)</f>
        <v>婺城区</v>
      </c>
      <c r="G124" s="14" t="str">
        <f ca="1">VLOOKUP(F124,Table12[[Native]:[Population4]],5,FALSE)</f>
        <v>金华市</v>
      </c>
    </row>
    <row r="125" spans="1:7" ht="15.75" thickBot="1" x14ac:dyDescent="0.3">
      <c r="A125" t="s">
        <v>949</v>
      </c>
      <c r="B125" s="1" t="s">
        <v>950</v>
      </c>
      <c r="C125" s="1" t="s">
        <v>15</v>
      </c>
      <c r="D125" s="1" t="s">
        <v>706</v>
      </c>
      <c r="E125" s="4">
        <v>23691</v>
      </c>
      <c r="F125" s="1" t="str">
        <f>VLOOKUP(D125,Table12[[Name]:[Native]],3,FALSE)</f>
        <v>磐安县</v>
      </c>
      <c r="G125" s="14" t="str">
        <f ca="1">VLOOKUP(F125,Table12[[Native]:[Population4]],5,FALSE)</f>
        <v>金华市</v>
      </c>
    </row>
    <row r="126" spans="1:7" ht="15.75" thickBot="1" x14ac:dyDescent="0.3">
      <c r="A126" t="s">
        <v>951</v>
      </c>
      <c r="B126" s="1" t="s">
        <v>952</v>
      </c>
      <c r="C126" s="1" t="s">
        <v>11</v>
      </c>
      <c r="D126" s="1" t="s">
        <v>714</v>
      </c>
      <c r="E126" s="4">
        <v>9146</v>
      </c>
      <c r="F126" s="1" t="str">
        <f>VLOOKUP(D126,Table12[[Name]:[Native]],3,FALSE)</f>
        <v>武义县</v>
      </c>
      <c r="G126" s="14" t="str">
        <f ca="1">VLOOKUP(F126,Table12[[Native]:[Population4]],5,FALSE)</f>
        <v>金华市</v>
      </c>
    </row>
    <row r="127" spans="1:7" ht="15.75" thickBot="1" x14ac:dyDescent="0.3">
      <c r="A127" t="s">
        <v>953</v>
      </c>
      <c r="B127" s="1" t="s">
        <v>954</v>
      </c>
      <c r="C127" s="1" t="s">
        <v>11</v>
      </c>
      <c r="D127" s="1" t="s">
        <v>760</v>
      </c>
      <c r="E127" s="4">
        <v>23723</v>
      </c>
      <c r="F127" s="1" t="str">
        <f>VLOOKUP(D127,Table12[[Name]:[Native]],3,FALSE)</f>
        <v>永康市</v>
      </c>
      <c r="G127" s="14" t="str">
        <f ca="1">VLOOKUP(F127,Table12[[Native]:[Population4]],5,FALSE)</f>
        <v>金华市</v>
      </c>
    </row>
    <row r="128" spans="1:7" ht="15.75" thickBot="1" x14ac:dyDescent="0.3">
      <c r="A128" t="s">
        <v>955</v>
      </c>
      <c r="B128" s="1" t="s">
        <v>956</v>
      </c>
      <c r="C128" s="1" t="s">
        <v>11</v>
      </c>
      <c r="D128" s="1" t="s">
        <v>703</v>
      </c>
      <c r="E128" s="4">
        <v>18708</v>
      </c>
      <c r="F128" s="1" t="str">
        <f>VLOOKUP(D128,Table12[[Name]:[Native]],3,FALSE)</f>
        <v>婺城区</v>
      </c>
      <c r="G128" s="14" t="str">
        <f ca="1">VLOOKUP(F128,Table12[[Native]:[Population4]],5,FALSE)</f>
        <v>金华市</v>
      </c>
    </row>
    <row r="129" spans="1:7" ht="15.75" thickBot="1" x14ac:dyDescent="0.3">
      <c r="A129" t="s">
        <v>957</v>
      </c>
      <c r="B129" s="1" t="s">
        <v>958</v>
      </c>
      <c r="C129" s="1" t="s">
        <v>11</v>
      </c>
      <c r="D129" s="1" t="s">
        <v>703</v>
      </c>
      <c r="E129" s="4">
        <v>11042</v>
      </c>
      <c r="F129" s="1" t="str">
        <f>VLOOKUP(D129,Table12[[Name]:[Native]],3,FALSE)</f>
        <v>婺城区</v>
      </c>
      <c r="G129" s="14" t="str">
        <f ca="1">VLOOKUP(F129,Table12[[Native]:[Population4]],5,FALSE)</f>
        <v>金华市</v>
      </c>
    </row>
    <row r="130" spans="1:7" ht="15.75" thickBot="1" x14ac:dyDescent="0.3">
      <c r="A130" t="s">
        <v>959</v>
      </c>
      <c r="B130" s="1" t="s">
        <v>960</v>
      </c>
      <c r="C130" s="1" t="s">
        <v>11</v>
      </c>
      <c r="D130" s="1" t="s">
        <v>711</v>
      </c>
      <c r="E130" s="4">
        <v>23253</v>
      </c>
      <c r="F130" s="1" t="str">
        <f>VLOOKUP(D130,Table12[[Name]:[Native]],3,FALSE)</f>
        <v>浦江县</v>
      </c>
      <c r="G130" s="14" t="str">
        <f ca="1">VLOOKUP(F130,Table12[[Native]:[Population4]],5,FALSE)</f>
        <v>金华市</v>
      </c>
    </row>
    <row r="131" spans="1:7" ht="15.75" thickBot="1" x14ac:dyDescent="0.3">
      <c r="A131" t="s">
        <v>961</v>
      </c>
      <c r="B131" s="1" t="s">
        <v>962</v>
      </c>
      <c r="C131" s="1" t="s">
        <v>7</v>
      </c>
      <c r="D131" s="1" t="s">
        <v>706</v>
      </c>
      <c r="E131" s="4">
        <v>2375</v>
      </c>
      <c r="F131" s="1" t="str">
        <f>VLOOKUP(D131,Table12[[Name]:[Native]],3,FALSE)</f>
        <v>磐安县</v>
      </c>
      <c r="G131" s="14" t="str">
        <f ca="1">VLOOKUP(F131,Table12[[Native]:[Population4]],5,FALSE)</f>
        <v>金华市</v>
      </c>
    </row>
    <row r="132" spans="1:7" ht="15.75" thickBot="1" x14ac:dyDescent="0.3">
      <c r="A132" t="s">
        <v>963</v>
      </c>
      <c r="B132" s="1" t="s">
        <v>964</v>
      </c>
      <c r="C132" s="1" t="s">
        <v>11</v>
      </c>
      <c r="D132" s="1" t="s">
        <v>724</v>
      </c>
      <c r="E132" s="4">
        <v>50665</v>
      </c>
      <c r="F132" s="1" t="str">
        <f>VLOOKUP(D132,Table12[[Name]:[Native]],3,FALSE)</f>
        <v>义乌市</v>
      </c>
      <c r="G132" s="14" t="str">
        <f ca="1">VLOOKUP(F132,Table12[[Native]:[Population4]],5,FALSE)</f>
        <v>金华市</v>
      </c>
    </row>
    <row r="133" spans="1:7" ht="15.75" thickBot="1" x14ac:dyDescent="0.3">
      <c r="A133" t="s">
        <v>965</v>
      </c>
      <c r="B133" s="1" t="s">
        <v>966</v>
      </c>
      <c r="C133" s="1" t="s">
        <v>15</v>
      </c>
      <c r="D133" s="1" t="s">
        <v>717</v>
      </c>
      <c r="E133" s="4">
        <v>37044</v>
      </c>
      <c r="F133" s="1" t="str">
        <f>VLOOKUP(D133,Table12[[Name]:[Native]],3,FALSE)</f>
        <v>兰溪市</v>
      </c>
      <c r="G133" s="14" t="str">
        <f ca="1">VLOOKUP(F133,Table12[[Native]:[Population4]],5,FALSE)</f>
        <v>金华市</v>
      </c>
    </row>
    <row r="134" spans="1:7" ht="15.75" thickBot="1" x14ac:dyDescent="0.3">
      <c r="A134" t="s">
        <v>967</v>
      </c>
      <c r="B134" s="1" t="s">
        <v>968</v>
      </c>
      <c r="C134" s="1" t="s">
        <v>11</v>
      </c>
      <c r="D134" s="1" t="s">
        <v>717</v>
      </c>
      <c r="E134" s="4">
        <v>29217</v>
      </c>
      <c r="F134" s="1" t="str">
        <f>VLOOKUP(D134,Table12[[Name]:[Native]],3,FALSE)</f>
        <v>兰溪市</v>
      </c>
      <c r="G134" s="14" t="str">
        <f ca="1">VLOOKUP(F134,Table12[[Native]:[Population4]],5,FALSE)</f>
        <v>金华市</v>
      </c>
    </row>
    <row r="135" spans="1:7" ht="15.75" thickBot="1" x14ac:dyDescent="0.3">
      <c r="A135" t="s">
        <v>969</v>
      </c>
      <c r="B135" s="1" t="s">
        <v>970</v>
      </c>
      <c r="C135" s="1" t="s">
        <v>7</v>
      </c>
      <c r="D135" s="1" t="s">
        <v>727</v>
      </c>
      <c r="E135" s="4">
        <v>11425</v>
      </c>
      <c r="F135" s="1" t="str">
        <f>VLOOKUP(D135,Table12[[Name]:[Native]],3,FALSE)</f>
        <v>金东区</v>
      </c>
      <c r="G135" s="14" t="str">
        <f ca="1">VLOOKUP(F135,Table12[[Native]:[Population4]],5,FALSE)</f>
        <v>金华市</v>
      </c>
    </row>
    <row r="136" spans="1:7" ht="15.75" thickBot="1" x14ac:dyDescent="0.3">
      <c r="A136" t="s">
        <v>971</v>
      </c>
      <c r="B136" s="1" t="s">
        <v>972</v>
      </c>
      <c r="C136" s="1" t="s">
        <v>15</v>
      </c>
      <c r="D136" s="1" t="s">
        <v>717</v>
      </c>
      <c r="E136" s="4">
        <v>77466</v>
      </c>
      <c r="F136" s="1" t="str">
        <f>VLOOKUP(D136,Table12[[Name]:[Native]],3,FALSE)</f>
        <v>兰溪市</v>
      </c>
      <c r="G136" s="14" t="str">
        <f ca="1">VLOOKUP(F136,Table12[[Native]:[Population4]],5,FALSE)</f>
        <v>金华市</v>
      </c>
    </row>
    <row r="137" spans="1:7" ht="15.75" thickBot="1" x14ac:dyDescent="0.3">
      <c r="A137" t="s">
        <v>973</v>
      </c>
      <c r="B137" s="1" t="s">
        <v>974</v>
      </c>
      <c r="C137" s="1" t="s">
        <v>11</v>
      </c>
      <c r="D137" s="1" t="s">
        <v>706</v>
      </c>
      <c r="E137" s="4">
        <v>12595</v>
      </c>
      <c r="F137" s="1" t="str">
        <f>VLOOKUP(D137,Table12[[Name]:[Native]],3,FALSE)</f>
        <v>磐安县</v>
      </c>
      <c r="G137" s="14" t="str">
        <f ca="1">VLOOKUP(F137,Table12[[Native]:[Population4]],5,FALSE)</f>
        <v>金华市</v>
      </c>
    </row>
    <row r="138" spans="1:7" ht="15.75" thickBot="1" x14ac:dyDescent="0.3">
      <c r="A138" t="s">
        <v>975</v>
      </c>
      <c r="B138" s="1" t="s">
        <v>976</v>
      </c>
      <c r="C138" s="1" t="s">
        <v>7</v>
      </c>
      <c r="D138" s="1" t="s">
        <v>714</v>
      </c>
      <c r="E138" s="4">
        <v>6482</v>
      </c>
      <c r="F138" s="1" t="str">
        <f>VLOOKUP(D138,Table12[[Name]:[Native]],3,FALSE)</f>
        <v>武义县</v>
      </c>
      <c r="G138" s="14" t="str">
        <f ca="1">VLOOKUP(F138,Table12[[Native]:[Population4]],5,FALSE)</f>
        <v>金华市</v>
      </c>
    </row>
    <row r="139" spans="1:7" ht="15.75" thickBot="1" x14ac:dyDescent="0.3">
      <c r="A139" t="s">
        <v>977</v>
      </c>
      <c r="B139" s="1" t="s">
        <v>978</v>
      </c>
      <c r="C139" s="1" t="s">
        <v>7</v>
      </c>
      <c r="D139" s="1" t="s">
        <v>711</v>
      </c>
      <c r="E139" s="4">
        <v>12863</v>
      </c>
      <c r="F139" s="1" t="str">
        <f>VLOOKUP(D139,Table12[[Name]:[Native]],3,FALSE)</f>
        <v>浦江县</v>
      </c>
      <c r="G139" s="14" t="str">
        <f ca="1">VLOOKUP(F139,Table12[[Native]:[Population4]],5,FALSE)</f>
        <v>金华市</v>
      </c>
    </row>
    <row r="140" spans="1:7" ht="15.75" thickBot="1" x14ac:dyDescent="0.3">
      <c r="A140" t="s">
        <v>979</v>
      </c>
      <c r="B140" s="1" t="s">
        <v>980</v>
      </c>
      <c r="C140" s="1" t="s">
        <v>11</v>
      </c>
      <c r="D140" s="1" t="s">
        <v>711</v>
      </c>
      <c r="E140" s="4">
        <v>12433</v>
      </c>
      <c r="F140" s="1" t="str">
        <f>VLOOKUP(D140,Table12[[Name]:[Native]],3,FALSE)</f>
        <v>浦江县</v>
      </c>
      <c r="G140" s="14" t="str">
        <f ca="1">VLOOKUP(F140,Table12[[Native]:[Population4]],5,FALSE)</f>
        <v>金华市</v>
      </c>
    </row>
    <row r="141" spans="1:7" ht="15.75" thickBot="1" x14ac:dyDescent="0.3">
      <c r="A141" t="s">
        <v>981</v>
      </c>
      <c r="B141" s="1" t="s">
        <v>982</v>
      </c>
      <c r="C141" s="1" t="s">
        <v>11</v>
      </c>
      <c r="D141" s="1" t="s">
        <v>711</v>
      </c>
      <c r="E141" s="4">
        <v>29420</v>
      </c>
      <c r="F141" s="1" t="str">
        <f>VLOOKUP(D141,Table12[[Name]:[Native]],3,FALSE)</f>
        <v>浦江县</v>
      </c>
      <c r="G141" s="14" t="str">
        <f ca="1">VLOOKUP(F141,Table12[[Native]:[Population4]],5,FALSE)</f>
        <v>金华市</v>
      </c>
    </row>
    <row r="142" spans="1:7" ht="15.75" thickBot="1" x14ac:dyDescent="0.3">
      <c r="A142" t="s">
        <v>983</v>
      </c>
      <c r="B142" s="1" t="s">
        <v>984</v>
      </c>
      <c r="C142" s="1" t="s">
        <v>11</v>
      </c>
      <c r="D142" s="1" t="s">
        <v>760</v>
      </c>
      <c r="E142" s="4">
        <v>60241</v>
      </c>
      <c r="F142" s="1" t="str">
        <f>VLOOKUP(D142,Table12[[Name]:[Native]],3,FALSE)</f>
        <v>永康市</v>
      </c>
      <c r="G142" s="14" t="str">
        <f ca="1">VLOOKUP(F142,Table12[[Native]:[Population4]],5,FALSE)</f>
        <v>金华市</v>
      </c>
    </row>
    <row r="143" spans="1:7" ht="15.75" thickBot="1" x14ac:dyDescent="0.3">
      <c r="A143" t="s">
        <v>985</v>
      </c>
      <c r="B143" s="1" t="s">
        <v>986</v>
      </c>
      <c r="C143" s="1" t="s">
        <v>7</v>
      </c>
      <c r="D143" s="1" t="s">
        <v>711</v>
      </c>
      <c r="E143" s="4">
        <v>9901</v>
      </c>
      <c r="F143" s="1" t="str">
        <f>VLOOKUP(D143,Table12[[Name]:[Native]],3,FALSE)</f>
        <v>浦江县</v>
      </c>
      <c r="G143" s="14" t="str">
        <f ca="1">VLOOKUP(F143,Table12[[Native]:[Population4]],5,FALSE)</f>
        <v>金华市</v>
      </c>
    </row>
    <row r="144" spans="1:7" ht="15.75" thickBot="1" x14ac:dyDescent="0.3">
      <c r="A144" t="s">
        <v>987</v>
      </c>
      <c r="B144" s="1" t="s">
        <v>988</v>
      </c>
      <c r="C144" s="1" t="s">
        <v>11</v>
      </c>
      <c r="D144" s="1" t="s">
        <v>760</v>
      </c>
      <c r="E144" s="4">
        <v>15766</v>
      </c>
      <c r="F144" s="1" t="str">
        <f>VLOOKUP(D144,Table12[[Name]:[Native]],3,FALSE)</f>
        <v>永康市</v>
      </c>
      <c r="G144" s="14" t="str">
        <f ca="1">VLOOKUP(F144,Table12[[Native]:[Population4]],5,FALSE)</f>
        <v>金华市</v>
      </c>
    </row>
    <row r="145" spans="1:7" ht="15.75" thickBot="1" x14ac:dyDescent="0.3">
      <c r="A145" t="s">
        <v>989</v>
      </c>
      <c r="B145" s="1" t="s">
        <v>990</v>
      </c>
      <c r="C145" s="1" t="s">
        <v>11</v>
      </c>
      <c r="D145" s="1" t="s">
        <v>717</v>
      </c>
      <c r="E145" s="4">
        <v>19806</v>
      </c>
      <c r="F145" s="1" t="str">
        <f>VLOOKUP(D145,Table12[[Name]:[Native]],3,FALSE)</f>
        <v>兰溪市</v>
      </c>
      <c r="G145" s="14" t="str">
        <f ca="1">VLOOKUP(F145,Table12[[Native]:[Population4]],5,FALSE)</f>
        <v>金华市</v>
      </c>
    </row>
    <row r="146" spans="1:7" ht="15.75" thickBot="1" x14ac:dyDescent="0.3">
      <c r="A146" t="s">
        <v>991</v>
      </c>
      <c r="B146" s="1" t="s">
        <v>992</v>
      </c>
      <c r="C146" s="1" t="s">
        <v>7</v>
      </c>
      <c r="D146" s="1" t="s">
        <v>703</v>
      </c>
      <c r="E146" s="4">
        <v>10389</v>
      </c>
      <c r="F146" s="1" t="str">
        <f>VLOOKUP(D146,Table12[[Name]:[Native]],3,FALSE)</f>
        <v>婺城区</v>
      </c>
      <c r="G146" s="14" t="str">
        <f ca="1">VLOOKUP(F146,Table12[[Native]:[Population4]],5,FALSE)</f>
        <v>金华市</v>
      </c>
    </row>
    <row r="147" spans="1:7" ht="15.75" thickBot="1" x14ac:dyDescent="0.3">
      <c r="A147" t="s">
        <v>993</v>
      </c>
      <c r="B147" s="1" t="s">
        <v>994</v>
      </c>
      <c r="C147" s="1" t="s">
        <v>11</v>
      </c>
      <c r="D147" s="1" t="s">
        <v>721</v>
      </c>
      <c r="E147" s="4">
        <v>13399</v>
      </c>
      <c r="F147" s="10" t="str">
        <f>VLOOKUP(D147,Table12[[Name]:[Native]],3,FALSE)</f>
        <v>东阳市</v>
      </c>
      <c r="G147" s="14" t="str">
        <f ca="1">VLOOKUP(F147,Table12[[Native]:[Population4]],5,FALSE)</f>
        <v>金华市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16147-0350-4E90-AD0F-7DCB21845CA4}">
  <dimension ref="A1:G171"/>
  <sheetViews>
    <sheetView topLeftCell="A146" workbookViewId="0">
      <selection activeCell="G2" sqref="A2:G171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3023</v>
      </c>
      <c r="G1" t="s">
        <v>3025</v>
      </c>
    </row>
    <row r="2" spans="1:7" ht="15.75" thickBot="1" x14ac:dyDescent="0.3">
      <c r="A2" t="s">
        <v>995</v>
      </c>
      <c r="B2" s="1" t="s">
        <v>996</v>
      </c>
      <c r="C2" s="1" t="s">
        <v>7</v>
      </c>
      <c r="D2" s="1" t="s">
        <v>997</v>
      </c>
      <c r="E2" s="4">
        <v>4402</v>
      </c>
      <c r="F2" s="9" t="str">
        <f>VLOOKUP(D2,Table12[[Name]:[Native]],3,FALSE)</f>
        <v>遂昌县</v>
      </c>
      <c r="G2" s="14" t="str">
        <f ca="1">VLOOKUP(F2,Table12[[Native]:[Population4]],5,FALSE)</f>
        <v>丽水市</v>
      </c>
    </row>
    <row r="3" spans="1:7" ht="15.75" thickBot="1" x14ac:dyDescent="0.3">
      <c r="A3" t="s">
        <v>998</v>
      </c>
      <c r="B3" s="1" t="s">
        <v>999</v>
      </c>
      <c r="C3" s="1" t="s">
        <v>7</v>
      </c>
      <c r="D3" s="1" t="s">
        <v>1000</v>
      </c>
      <c r="E3" s="4">
        <v>1955</v>
      </c>
      <c r="F3" s="1" t="str">
        <f>VLOOKUP(D3,Table12[[Name]:[Native]],3,FALSE)</f>
        <v>松阳县</v>
      </c>
      <c r="G3" s="14" t="str">
        <f ca="1">VLOOKUP(F3,Table12[[Native]:[Population4]],5,FALSE)</f>
        <v>丽水市</v>
      </c>
    </row>
    <row r="4" spans="1:7" ht="15.75" thickBot="1" x14ac:dyDescent="0.3">
      <c r="A4" t="s">
        <v>1001</v>
      </c>
      <c r="B4" s="1" t="s">
        <v>1002</v>
      </c>
      <c r="C4" s="1" t="s">
        <v>7</v>
      </c>
      <c r="D4" s="1" t="s">
        <v>1003</v>
      </c>
      <c r="E4" s="4">
        <v>4590</v>
      </c>
      <c r="F4" s="1" t="str">
        <f>VLOOKUP(D4,Table12[[Name]:[Native]],3,FALSE)</f>
        <v>庆元县</v>
      </c>
      <c r="G4" s="14" t="str">
        <f ca="1">VLOOKUP(F4,Table12[[Native]:[Population4]],5,FALSE)</f>
        <v>丽水市</v>
      </c>
    </row>
    <row r="5" spans="1:7" ht="15.75" thickBot="1" x14ac:dyDescent="0.3">
      <c r="A5" t="s">
        <v>1004</v>
      </c>
      <c r="B5" s="1" t="s">
        <v>1005</v>
      </c>
      <c r="C5" s="1" t="s">
        <v>11</v>
      </c>
      <c r="D5" s="1" t="s">
        <v>1006</v>
      </c>
      <c r="E5" s="4">
        <v>14669</v>
      </c>
      <c r="F5" s="1" t="str">
        <f>VLOOKUP(D5,Table12[[Name]:[Native]],3,FALSE)</f>
        <v>龙泉市</v>
      </c>
      <c r="G5" s="14" t="str">
        <f ca="1">VLOOKUP(F5,Table12[[Native]:[Population4]],5,FALSE)</f>
        <v>丽水市</v>
      </c>
    </row>
    <row r="6" spans="1:7" ht="15.75" thickBot="1" x14ac:dyDescent="0.3">
      <c r="A6" t="s">
        <v>1007</v>
      </c>
      <c r="B6" s="1" t="s">
        <v>1008</v>
      </c>
      <c r="C6" s="1" t="s">
        <v>7</v>
      </c>
      <c r="D6" s="1" t="s">
        <v>1009</v>
      </c>
      <c r="E6" s="4">
        <v>1642</v>
      </c>
      <c r="F6" s="1" t="str">
        <f>VLOOKUP(D6,Table12[[Name]:[Native]],3,FALSE)</f>
        <v>云和县</v>
      </c>
      <c r="G6" s="14" t="str">
        <f ca="1">VLOOKUP(F6,Table12[[Native]:[Population4]],5,FALSE)</f>
        <v>丽水市</v>
      </c>
    </row>
    <row r="7" spans="1:7" ht="15.75" thickBot="1" x14ac:dyDescent="0.3">
      <c r="A7" t="s">
        <v>1010</v>
      </c>
      <c r="B7" s="1" t="s">
        <v>1011</v>
      </c>
      <c r="C7" s="1" t="s">
        <v>11</v>
      </c>
      <c r="D7" s="1" t="s">
        <v>1006</v>
      </c>
      <c r="E7" s="4">
        <v>19877</v>
      </c>
      <c r="F7" s="1" t="str">
        <f>VLOOKUP(D7,Table12[[Name]:[Native]],3,FALSE)</f>
        <v>龙泉市</v>
      </c>
      <c r="G7" s="14" t="str">
        <f ca="1">VLOOKUP(F7,Table12[[Native]:[Population4]],5,FALSE)</f>
        <v>丽水市</v>
      </c>
    </row>
    <row r="8" spans="1:7" ht="15.75" thickBot="1" x14ac:dyDescent="0.3">
      <c r="A8" t="s">
        <v>1012</v>
      </c>
      <c r="B8" s="1" t="s">
        <v>1013</v>
      </c>
      <c r="C8" s="1" t="s">
        <v>11</v>
      </c>
      <c r="D8" s="1" t="s">
        <v>1003</v>
      </c>
      <c r="E8" s="4">
        <v>2522</v>
      </c>
      <c r="F8" s="1" t="str">
        <f>VLOOKUP(D8,Table12[[Name]:[Native]],3,FALSE)</f>
        <v>庆元县</v>
      </c>
      <c r="G8" s="14" t="str">
        <f ca="1">VLOOKUP(F8,Table12[[Native]:[Population4]],5,FALSE)</f>
        <v>丽水市</v>
      </c>
    </row>
    <row r="9" spans="1:7" ht="15.75" thickBot="1" x14ac:dyDescent="0.3">
      <c r="A9" t="s">
        <v>719</v>
      </c>
      <c r="B9" s="1" t="s">
        <v>720</v>
      </c>
      <c r="C9" s="1" t="s">
        <v>15</v>
      </c>
      <c r="D9" s="1" t="s">
        <v>1014</v>
      </c>
      <c r="E9" s="4">
        <v>73684</v>
      </c>
      <c r="F9" s="1" t="str">
        <f>VLOOKUP(D9,Table12[[Name]:[Native]],3,FALSE)</f>
        <v>莲都区</v>
      </c>
      <c r="G9" s="14" t="str">
        <f ca="1">VLOOKUP(F9,Table12[[Native]:[Population4]],5,FALSE)</f>
        <v>丽水市</v>
      </c>
    </row>
    <row r="10" spans="1:7" ht="15.75" thickBot="1" x14ac:dyDescent="0.3">
      <c r="A10" t="s">
        <v>1015</v>
      </c>
      <c r="B10" s="1" t="s">
        <v>1016</v>
      </c>
      <c r="C10" s="1" t="s">
        <v>7</v>
      </c>
      <c r="D10" s="1" t="s">
        <v>1000</v>
      </c>
      <c r="E10" s="4">
        <v>2799</v>
      </c>
      <c r="F10" s="1" t="str">
        <f>VLOOKUP(D10,Table12[[Name]:[Native]],3,FALSE)</f>
        <v>松阳县</v>
      </c>
      <c r="G10" s="14" t="str">
        <f ca="1">VLOOKUP(F10,Table12[[Native]:[Population4]],5,FALSE)</f>
        <v>丽水市</v>
      </c>
    </row>
    <row r="11" spans="1:7" ht="15.75" thickBot="1" x14ac:dyDescent="0.3">
      <c r="A11" t="s">
        <v>1017</v>
      </c>
      <c r="B11" s="1" t="s">
        <v>1018</v>
      </c>
      <c r="C11" s="1" t="s">
        <v>7</v>
      </c>
      <c r="D11" s="1" t="s">
        <v>1006</v>
      </c>
      <c r="E11" s="4">
        <v>4325</v>
      </c>
      <c r="F11" s="1" t="str">
        <f>VLOOKUP(D11,Table12[[Name]:[Native]],3,FALSE)</f>
        <v>龙泉市</v>
      </c>
      <c r="G11" s="14" t="str">
        <f ca="1">VLOOKUP(F11,Table12[[Native]:[Population4]],5,FALSE)</f>
        <v>丽水市</v>
      </c>
    </row>
    <row r="12" spans="1:7" ht="15.75" thickBot="1" x14ac:dyDescent="0.3">
      <c r="A12" t="s">
        <v>1019</v>
      </c>
      <c r="B12" s="1" t="s">
        <v>1020</v>
      </c>
      <c r="C12" s="1" t="s">
        <v>11</v>
      </c>
      <c r="D12" s="1" t="s">
        <v>997</v>
      </c>
      <c r="E12" s="4">
        <v>6630</v>
      </c>
      <c r="F12" s="1" t="str">
        <f>VLOOKUP(D12,Table12[[Name]:[Native]],3,FALSE)</f>
        <v>遂昌县</v>
      </c>
      <c r="G12" s="14" t="str">
        <f ca="1">VLOOKUP(F12,Table12[[Native]:[Population4]],5,FALSE)</f>
        <v>丽水市</v>
      </c>
    </row>
    <row r="13" spans="1:7" ht="15.75" thickBot="1" x14ac:dyDescent="0.3">
      <c r="A13" t="s">
        <v>1021</v>
      </c>
      <c r="B13" s="1" t="s">
        <v>1022</v>
      </c>
      <c r="C13" s="1" t="s">
        <v>11</v>
      </c>
      <c r="D13" s="1" t="s">
        <v>1023</v>
      </c>
      <c r="E13" s="4">
        <v>3234</v>
      </c>
      <c r="F13" s="1" t="str">
        <f>VLOOKUP(D13,Table12[[Name]:[Native]],3,FALSE)</f>
        <v>青田县</v>
      </c>
      <c r="G13" s="14" t="str">
        <f ca="1">VLOOKUP(F13,Table12[[Native]:[Population4]],5,FALSE)</f>
        <v>丽水市</v>
      </c>
    </row>
    <row r="14" spans="1:7" ht="15.75" thickBot="1" x14ac:dyDescent="0.3">
      <c r="A14" t="s">
        <v>1024</v>
      </c>
      <c r="B14" s="1" t="s">
        <v>1025</v>
      </c>
      <c r="C14" s="1" t="s">
        <v>7</v>
      </c>
      <c r="D14" s="1" t="s">
        <v>1026</v>
      </c>
      <c r="E14" s="4">
        <v>1675</v>
      </c>
      <c r="F14" s="1" t="str">
        <f>VLOOKUP(D14,Table12[[Name]:[Native]],3,FALSE)</f>
        <v>景宁畲族自治县</v>
      </c>
      <c r="G14" s="14" t="str">
        <f ca="1">VLOOKUP(F14,Table12[[Native]:[Population4]],5,FALSE)</f>
        <v>丽水市</v>
      </c>
    </row>
    <row r="15" spans="1:7" ht="15.75" thickBot="1" x14ac:dyDescent="0.3">
      <c r="A15" t="s">
        <v>1027</v>
      </c>
      <c r="B15" s="1" t="s">
        <v>1028</v>
      </c>
      <c r="C15" s="1" t="s">
        <v>11</v>
      </c>
      <c r="D15" s="1" t="s">
        <v>1014</v>
      </c>
      <c r="E15" s="4">
        <v>45957</v>
      </c>
      <c r="F15" s="1" t="str">
        <f>VLOOKUP(D15,Table12[[Name]:[Native]],3,FALSE)</f>
        <v>莲都区</v>
      </c>
      <c r="G15" s="14" t="str">
        <f ca="1">VLOOKUP(F15,Table12[[Native]:[Population4]],5,FALSE)</f>
        <v>丽水市</v>
      </c>
    </row>
    <row r="16" spans="1:7" ht="15.75" thickBot="1" x14ac:dyDescent="0.3">
      <c r="A16" t="s">
        <v>1029</v>
      </c>
      <c r="B16" s="1" t="s">
        <v>1030</v>
      </c>
      <c r="C16" s="1" t="s">
        <v>11</v>
      </c>
      <c r="D16" s="1" t="s">
        <v>1026</v>
      </c>
      <c r="E16" s="4">
        <v>1840</v>
      </c>
      <c r="F16" s="1" t="str">
        <f>VLOOKUP(D16,Table12[[Name]:[Native]],3,FALSE)</f>
        <v>景宁畲族自治县</v>
      </c>
      <c r="G16" s="14" t="str">
        <f ca="1">VLOOKUP(F16,Table12[[Native]:[Population4]],5,FALSE)</f>
        <v>丽水市</v>
      </c>
    </row>
    <row r="17" spans="1:7" ht="15.75" thickBot="1" x14ac:dyDescent="0.3">
      <c r="A17" t="s">
        <v>1031</v>
      </c>
      <c r="B17" s="1" t="s">
        <v>1032</v>
      </c>
      <c r="C17" s="1" t="s">
        <v>7</v>
      </c>
      <c r="D17" s="1" t="s">
        <v>997</v>
      </c>
      <c r="E17" s="4">
        <v>2017</v>
      </c>
      <c r="F17" s="1" t="str">
        <f>VLOOKUP(D17,Table12[[Name]:[Native]],3,FALSE)</f>
        <v>遂昌县</v>
      </c>
      <c r="G17" s="14" t="str">
        <f ca="1">VLOOKUP(F17,Table12[[Native]:[Population4]],5,FALSE)</f>
        <v>丽水市</v>
      </c>
    </row>
    <row r="18" spans="1:7" ht="15.75" thickBot="1" x14ac:dyDescent="0.3">
      <c r="A18" t="s">
        <v>1033</v>
      </c>
      <c r="B18" s="1" t="s">
        <v>1034</v>
      </c>
      <c r="C18" s="1" t="s">
        <v>11</v>
      </c>
      <c r="D18" s="1" t="s">
        <v>1006</v>
      </c>
      <c r="E18" s="4">
        <v>10790</v>
      </c>
      <c r="F18" s="1" t="str">
        <f>VLOOKUP(D18,Table12[[Name]:[Native]],3,FALSE)</f>
        <v>龙泉市</v>
      </c>
      <c r="G18" s="14" t="str">
        <f ca="1">VLOOKUP(F18,Table12[[Native]:[Population4]],5,FALSE)</f>
        <v>丽水市</v>
      </c>
    </row>
    <row r="19" spans="1:7" ht="15.75" thickBot="1" x14ac:dyDescent="0.3">
      <c r="A19" t="s">
        <v>1035</v>
      </c>
      <c r="B19" s="1" t="s">
        <v>1036</v>
      </c>
      <c r="C19" s="1" t="s">
        <v>7</v>
      </c>
      <c r="D19" s="1" t="s">
        <v>1006</v>
      </c>
      <c r="E19" s="4">
        <v>5362</v>
      </c>
      <c r="F19" s="1" t="str">
        <f>VLOOKUP(D19,Table12[[Name]:[Native]],3,FALSE)</f>
        <v>龙泉市</v>
      </c>
      <c r="G19" s="14" t="str">
        <f ca="1">VLOOKUP(F19,Table12[[Native]:[Population4]],5,FALSE)</f>
        <v>丽水市</v>
      </c>
    </row>
    <row r="20" spans="1:7" ht="15.75" thickBot="1" x14ac:dyDescent="0.3">
      <c r="A20" t="s">
        <v>1037</v>
      </c>
      <c r="B20" s="1" t="s">
        <v>1038</v>
      </c>
      <c r="C20" s="1" t="s">
        <v>7</v>
      </c>
      <c r="D20" s="1" t="s">
        <v>1026</v>
      </c>
      <c r="E20" s="4">
        <v>3979</v>
      </c>
      <c r="F20" s="1" t="str">
        <f>VLOOKUP(D20,Table12[[Name]:[Native]],3,FALSE)</f>
        <v>景宁畲族自治县</v>
      </c>
      <c r="G20" s="14" t="str">
        <f ca="1">VLOOKUP(F20,Table12[[Native]:[Population4]],5,FALSE)</f>
        <v>丽水市</v>
      </c>
    </row>
    <row r="21" spans="1:7" ht="15.75" thickBot="1" x14ac:dyDescent="0.3">
      <c r="A21" t="s">
        <v>1039</v>
      </c>
      <c r="B21" s="1" t="s">
        <v>1040</v>
      </c>
      <c r="C21" s="1" t="s">
        <v>7</v>
      </c>
      <c r="D21" s="1" t="s">
        <v>1009</v>
      </c>
      <c r="E21" s="4">
        <v>2239</v>
      </c>
      <c r="F21" s="1" t="str">
        <f>VLOOKUP(D21,Table12[[Name]:[Native]],3,FALSE)</f>
        <v>云和县</v>
      </c>
      <c r="G21" s="14" t="str">
        <f ca="1">VLOOKUP(F21,Table12[[Native]:[Population4]],5,FALSE)</f>
        <v>丽水市</v>
      </c>
    </row>
    <row r="22" spans="1:7" ht="15.75" thickBot="1" x14ac:dyDescent="0.3">
      <c r="A22" t="s">
        <v>1041</v>
      </c>
      <c r="B22" s="1" t="s">
        <v>1042</v>
      </c>
      <c r="C22" s="1" t="s">
        <v>7</v>
      </c>
      <c r="D22" s="1" t="s">
        <v>1000</v>
      </c>
      <c r="E22" s="4">
        <v>8335</v>
      </c>
      <c r="F22" s="1" t="str">
        <f>VLOOKUP(D22,Table12[[Name]:[Native]],3,FALSE)</f>
        <v>松阳县</v>
      </c>
      <c r="G22" s="14" t="str">
        <f ca="1">VLOOKUP(F22,Table12[[Native]:[Population4]],5,FALSE)</f>
        <v>丽水市</v>
      </c>
    </row>
    <row r="23" spans="1:7" ht="15.75" thickBot="1" x14ac:dyDescent="0.3">
      <c r="A23" t="s">
        <v>1043</v>
      </c>
      <c r="B23" s="1" t="s">
        <v>1044</v>
      </c>
      <c r="C23" s="1" t="s">
        <v>11</v>
      </c>
      <c r="D23" s="1" t="s">
        <v>1009</v>
      </c>
      <c r="E23" s="4">
        <v>6333</v>
      </c>
      <c r="F23" s="1" t="str">
        <f>VLOOKUP(D23,Table12[[Name]:[Native]],3,FALSE)</f>
        <v>云和县</v>
      </c>
      <c r="G23" s="14" t="str">
        <f ca="1">VLOOKUP(F23,Table12[[Native]:[Population4]],5,FALSE)</f>
        <v>丽水市</v>
      </c>
    </row>
    <row r="24" spans="1:7" ht="15.75" thickBot="1" x14ac:dyDescent="0.3">
      <c r="A24" t="s">
        <v>1045</v>
      </c>
      <c r="B24" s="1" t="s">
        <v>1046</v>
      </c>
      <c r="C24" s="1" t="s">
        <v>11</v>
      </c>
      <c r="D24" s="1" t="s">
        <v>1023</v>
      </c>
      <c r="E24" s="4">
        <v>26602</v>
      </c>
      <c r="F24" s="1" t="str">
        <f>VLOOKUP(D24,Table12[[Name]:[Native]],3,FALSE)</f>
        <v>青田县</v>
      </c>
      <c r="G24" s="14" t="str">
        <f ca="1">VLOOKUP(F24,Table12[[Native]:[Population4]],5,FALSE)</f>
        <v>丽水市</v>
      </c>
    </row>
    <row r="25" spans="1:7" ht="15.75" thickBot="1" x14ac:dyDescent="0.3">
      <c r="A25" t="s">
        <v>1047</v>
      </c>
      <c r="B25" s="1" t="s">
        <v>1048</v>
      </c>
      <c r="C25" s="1" t="s">
        <v>7</v>
      </c>
      <c r="D25" s="1" t="s">
        <v>1026</v>
      </c>
      <c r="E25" s="4">
        <v>1905</v>
      </c>
      <c r="F25" s="1" t="str">
        <f>VLOOKUP(D25,Table12[[Name]:[Native]],3,FALSE)</f>
        <v>景宁畲族自治县</v>
      </c>
      <c r="G25" s="14" t="str">
        <f ca="1">VLOOKUP(F25,Table12[[Native]:[Population4]],5,FALSE)</f>
        <v>丽水市</v>
      </c>
    </row>
    <row r="26" spans="1:7" ht="15.75" thickBot="1" x14ac:dyDescent="0.3">
      <c r="A26" t="s">
        <v>1049</v>
      </c>
      <c r="B26" s="1" t="s">
        <v>1050</v>
      </c>
      <c r="C26" s="1" t="s">
        <v>11</v>
      </c>
      <c r="D26" s="1" t="s">
        <v>1000</v>
      </c>
      <c r="E26" s="4">
        <v>9961</v>
      </c>
      <c r="F26" s="1" t="str">
        <f>VLOOKUP(D26,Table12[[Name]:[Native]],3,FALSE)</f>
        <v>松阳县</v>
      </c>
      <c r="G26" s="14" t="str">
        <f ca="1">VLOOKUP(F26,Table12[[Native]:[Population4]],5,FALSE)</f>
        <v>丽水市</v>
      </c>
    </row>
    <row r="27" spans="1:7" ht="15.75" thickBot="1" x14ac:dyDescent="0.3">
      <c r="A27" t="s">
        <v>1051</v>
      </c>
      <c r="B27" s="1" t="s">
        <v>1052</v>
      </c>
      <c r="C27" s="1" t="s">
        <v>11</v>
      </c>
      <c r="D27" s="1" t="s">
        <v>1014</v>
      </c>
      <c r="E27" s="4">
        <v>8541</v>
      </c>
      <c r="F27" s="1" t="str">
        <f>VLOOKUP(D27,Table12[[Name]:[Native]],3,FALSE)</f>
        <v>莲都区</v>
      </c>
      <c r="G27" s="14" t="str">
        <f ca="1">VLOOKUP(F27,Table12[[Native]:[Population4]],5,FALSE)</f>
        <v>丽水市</v>
      </c>
    </row>
    <row r="28" spans="1:7" ht="15.75" thickBot="1" x14ac:dyDescent="0.3">
      <c r="A28" t="s">
        <v>1053</v>
      </c>
      <c r="B28" s="1" t="s">
        <v>1054</v>
      </c>
      <c r="C28" s="1" t="s">
        <v>7</v>
      </c>
      <c r="D28" s="1" t="s">
        <v>1026</v>
      </c>
      <c r="E28" s="4">
        <v>2129</v>
      </c>
      <c r="F28" s="1" t="str">
        <f>VLOOKUP(D28,Table12[[Name]:[Native]],3,FALSE)</f>
        <v>景宁畲族自治县</v>
      </c>
      <c r="G28" s="14" t="str">
        <f ca="1">VLOOKUP(F28,Table12[[Native]:[Population4]],5,FALSE)</f>
        <v>丽水市</v>
      </c>
    </row>
    <row r="29" spans="1:7" ht="15.75" thickBot="1" x14ac:dyDescent="0.3">
      <c r="A29" t="s">
        <v>1055</v>
      </c>
      <c r="B29" s="1" t="s">
        <v>1056</v>
      </c>
      <c r="C29" s="1" t="s">
        <v>7</v>
      </c>
      <c r="D29" s="1" t="s">
        <v>1026</v>
      </c>
      <c r="E29" s="4">
        <v>2102</v>
      </c>
      <c r="F29" s="1" t="str">
        <f>VLOOKUP(D29,Table12[[Name]:[Native]],3,FALSE)</f>
        <v>景宁畲族自治县</v>
      </c>
      <c r="G29" s="14" t="str">
        <f ca="1">VLOOKUP(F29,Table12[[Native]:[Population4]],5,FALSE)</f>
        <v>丽水市</v>
      </c>
    </row>
    <row r="30" spans="1:7" ht="15.75" thickBot="1" x14ac:dyDescent="0.3">
      <c r="A30" t="s">
        <v>1057</v>
      </c>
      <c r="B30" s="1" t="s">
        <v>1058</v>
      </c>
      <c r="C30" s="1" t="s">
        <v>7</v>
      </c>
      <c r="D30" s="1" t="s">
        <v>1006</v>
      </c>
      <c r="E30" s="4">
        <v>6260</v>
      </c>
      <c r="F30" s="1" t="str">
        <f>VLOOKUP(D30,Table12[[Name]:[Native]],3,FALSE)</f>
        <v>龙泉市</v>
      </c>
      <c r="G30" s="14" t="str">
        <f ca="1">VLOOKUP(F30,Table12[[Native]:[Population4]],5,FALSE)</f>
        <v>丽水市</v>
      </c>
    </row>
    <row r="31" spans="1:7" ht="15.75" thickBot="1" x14ac:dyDescent="0.3">
      <c r="A31" t="s">
        <v>1059</v>
      </c>
      <c r="B31" s="1" t="s">
        <v>1060</v>
      </c>
      <c r="C31" s="1" t="s">
        <v>7</v>
      </c>
      <c r="D31" s="1" t="s">
        <v>1009</v>
      </c>
      <c r="E31" s="4">
        <v>963</v>
      </c>
      <c r="F31" s="1" t="str">
        <f>VLOOKUP(D31,Table12[[Name]:[Native]],3,FALSE)</f>
        <v>云和县</v>
      </c>
      <c r="G31" s="14" t="str">
        <f ca="1">VLOOKUP(F31,Table12[[Native]:[Population4]],5,FALSE)</f>
        <v>丽水市</v>
      </c>
    </row>
    <row r="32" spans="1:7" ht="15.75" thickBot="1" x14ac:dyDescent="0.3">
      <c r="A32" t="s">
        <v>83</v>
      </c>
      <c r="B32" s="1" t="s">
        <v>84</v>
      </c>
      <c r="C32" s="1" t="s">
        <v>11</v>
      </c>
      <c r="D32" s="1" t="s">
        <v>1061</v>
      </c>
      <c r="E32" s="4">
        <v>8859</v>
      </c>
      <c r="F32" s="1" t="str">
        <f>VLOOKUP(D32,Table12[[Name]:[Native]],3,FALSE)</f>
        <v>缙云县</v>
      </c>
      <c r="G32" s="14" t="str">
        <f ca="1">VLOOKUP(F32,Table12[[Native]:[Population4]],5,FALSE)</f>
        <v>丽水市</v>
      </c>
    </row>
    <row r="33" spans="1:7" ht="15.75" thickBot="1" x14ac:dyDescent="0.3">
      <c r="A33" t="s">
        <v>1062</v>
      </c>
      <c r="B33" s="1" t="s">
        <v>1063</v>
      </c>
      <c r="C33" s="1" t="s">
        <v>7</v>
      </c>
      <c r="D33" s="1" t="s">
        <v>1009</v>
      </c>
      <c r="E33" s="4">
        <v>970</v>
      </c>
      <c r="F33" s="1" t="str">
        <f>VLOOKUP(D33,Table12[[Name]:[Native]],3,FALSE)</f>
        <v>云和县</v>
      </c>
      <c r="G33" s="14" t="str">
        <f ca="1">VLOOKUP(F33,Table12[[Native]:[Population4]],5,FALSE)</f>
        <v>丽水市</v>
      </c>
    </row>
    <row r="34" spans="1:7" ht="15.75" thickBot="1" x14ac:dyDescent="0.3">
      <c r="A34" t="s">
        <v>85</v>
      </c>
      <c r="B34" s="1" t="s">
        <v>86</v>
      </c>
      <c r="C34" s="1" t="s">
        <v>11</v>
      </c>
      <c r="D34" s="1" t="s">
        <v>1061</v>
      </c>
      <c r="E34" s="4">
        <v>9570</v>
      </c>
      <c r="F34" s="1" t="str">
        <f>VLOOKUP(D34,Table12[[Name]:[Native]],3,FALSE)</f>
        <v>缙云县</v>
      </c>
      <c r="G34" s="14" t="str">
        <f ca="1">VLOOKUP(F34,Table12[[Native]:[Population4]],5,FALSE)</f>
        <v>丽水市</v>
      </c>
    </row>
    <row r="35" spans="1:7" ht="15.75" thickBot="1" x14ac:dyDescent="0.3">
      <c r="A35" t="s">
        <v>1064</v>
      </c>
      <c r="B35" s="1" t="s">
        <v>1065</v>
      </c>
      <c r="C35" s="1" t="s">
        <v>11</v>
      </c>
      <c r="D35" s="1" t="s">
        <v>997</v>
      </c>
      <c r="E35" s="4">
        <v>12733</v>
      </c>
      <c r="F35" s="1" t="str">
        <f>VLOOKUP(D35,Table12[[Name]:[Native]],3,FALSE)</f>
        <v>遂昌县</v>
      </c>
      <c r="G35" s="14" t="str">
        <f ca="1">VLOOKUP(F35,Table12[[Native]:[Population4]],5,FALSE)</f>
        <v>丽水市</v>
      </c>
    </row>
    <row r="36" spans="1:7" ht="15.75" thickBot="1" x14ac:dyDescent="0.3">
      <c r="A36" t="s">
        <v>1066</v>
      </c>
      <c r="B36" s="1" t="s">
        <v>1067</v>
      </c>
      <c r="C36" s="1" t="s">
        <v>11</v>
      </c>
      <c r="D36" s="1" t="s">
        <v>1061</v>
      </c>
      <c r="E36" s="4">
        <v>24974</v>
      </c>
      <c r="F36" s="1" t="str">
        <f>VLOOKUP(D36,Table12[[Name]:[Native]],3,FALSE)</f>
        <v>缙云县</v>
      </c>
      <c r="G36" s="14" t="str">
        <f ca="1">VLOOKUP(F36,Table12[[Native]:[Population4]],5,FALSE)</f>
        <v>丽水市</v>
      </c>
    </row>
    <row r="37" spans="1:7" ht="15.75" thickBot="1" x14ac:dyDescent="0.3">
      <c r="A37" t="s">
        <v>1068</v>
      </c>
      <c r="B37" s="1" t="s">
        <v>1069</v>
      </c>
      <c r="C37" s="1" t="s">
        <v>11</v>
      </c>
      <c r="D37" s="1" t="s">
        <v>1061</v>
      </c>
      <c r="E37" s="4">
        <v>17577</v>
      </c>
      <c r="F37" s="1" t="str">
        <f>VLOOKUP(D37,Table12[[Name]:[Native]],3,FALSE)</f>
        <v>缙云县</v>
      </c>
      <c r="G37" s="14" t="str">
        <f ca="1">VLOOKUP(F37,Table12[[Native]:[Population4]],5,FALSE)</f>
        <v>丽水市</v>
      </c>
    </row>
    <row r="38" spans="1:7" ht="15.75" thickBot="1" x14ac:dyDescent="0.3">
      <c r="A38" t="s">
        <v>1070</v>
      </c>
      <c r="B38" s="1" t="s">
        <v>1071</v>
      </c>
      <c r="C38" s="1" t="s">
        <v>11</v>
      </c>
      <c r="D38" s="1" t="s">
        <v>1026</v>
      </c>
      <c r="E38" s="4">
        <v>5723</v>
      </c>
      <c r="F38" s="1" t="str">
        <f>VLOOKUP(D38,Table12[[Name]:[Native]],3,FALSE)</f>
        <v>景宁畲族自治县</v>
      </c>
      <c r="G38" s="14" t="str">
        <f ca="1">VLOOKUP(F38,Table12[[Native]:[Population4]],5,FALSE)</f>
        <v>丽水市</v>
      </c>
    </row>
    <row r="39" spans="1:7" ht="15.75" thickBot="1" x14ac:dyDescent="0.3">
      <c r="A39" t="s">
        <v>1072</v>
      </c>
      <c r="B39" s="1" t="s">
        <v>1073</v>
      </c>
      <c r="C39" s="1" t="s">
        <v>11</v>
      </c>
      <c r="D39" s="1" t="s">
        <v>1023</v>
      </c>
      <c r="E39" s="4">
        <v>12572</v>
      </c>
      <c r="F39" s="1" t="str">
        <f>VLOOKUP(D39,Table12[[Name]:[Native]],3,FALSE)</f>
        <v>青田县</v>
      </c>
      <c r="G39" s="14" t="str">
        <f ca="1">VLOOKUP(F39,Table12[[Native]:[Population4]],5,FALSE)</f>
        <v>丽水市</v>
      </c>
    </row>
    <row r="40" spans="1:7" ht="15.75" thickBot="1" x14ac:dyDescent="0.3">
      <c r="A40" t="s">
        <v>1074</v>
      </c>
      <c r="B40" s="1" t="s">
        <v>1075</v>
      </c>
      <c r="C40" s="1" t="s">
        <v>7</v>
      </c>
      <c r="D40" s="1" t="s">
        <v>1023</v>
      </c>
      <c r="E40" s="4">
        <v>3682</v>
      </c>
      <c r="F40" s="1" t="str">
        <f>VLOOKUP(D40,Table12[[Name]:[Native]],3,FALSE)</f>
        <v>青田县</v>
      </c>
      <c r="G40" s="14" t="str">
        <f ca="1">VLOOKUP(F40,Table12[[Native]:[Population4]],5,FALSE)</f>
        <v>丽水市</v>
      </c>
    </row>
    <row r="41" spans="1:7" ht="15.75" thickBot="1" x14ac:dyDescent="0.3">
      <c r="A41" t="s">
        <v>1076</v>
      </c>
      <c r="B41" s="1" t="s">
        <v>1077</v>
      </c>
      <c r="C41" s="1" t="s">
        <v>7</v>
      </c>
      <c r="D41" s="1" t="s">
        <v>1061</v>
      </c>
      <c r="E41" s="4">
        <v>1830</v>
      </c>
      <c r="F41" s="1" t="str">
        <f>VLOOKUP(D41,Table12[[Name]:[Native]],3,FALSE)</f>
        <v>缙云县</v>
      </c>
      <c r="G41" s="14" t="str">
        <f ca="1">VLOOKUP(F41,Table12[[Native]:[Population4]],5,FALSE)</f>
        <v>丽水市</v>
      </c>
    </row>
    <row r="42" spans="1:7" ht="15.75" thickBot="1" x14ac:dyDescent="0.3">
      <c r="A42" t="s">
        <v>1078</v>
      </c>
      <c r="B42" s="1" t="s">
        <v>1079</v>
      </c>
      <c r="C42" s="1" t="s">
        <v>7</v>
      </c>
      <c r="D42" s="1" t="s">
        <v>1000</v>
      </c>
      <c r="E42" s="4">
        <v>5322</v>
      </c>
      <c r="F42" s="1" t="str">
        <f>VLOOKUP(D42,Table12[[Name]:[Native]],3,FALSE)</f>
        <v>松阳县</v>
      </c>
      <c r="G42" s="14" t="str">
        <f ca="1">VLOOKUP(F42,Table12[[Native]:[Population4]],5,FALSE)</f>
        <v>丽水市</v>
      </c>
    </row>
    <row r="43" spans="1:7" ht="15.75" thickBot="1" x14ac:dyDescent="0.3">
      <c r="A43" t="s">
        <v>1080</v>
      </c>
      <c r="B43" s="1" t="s">
        <v>1081</v>
      </c>
      <c r="C43" s="1" t="s">
        <v>7</v>
      </c>
      <c r="D43" s="1" t="s">
        <v>1014</v>
      </c>
      <c r="E43" s="4">
        <v>2972</v>
      </c>
      <c r="F43" s="1" t="str">
        <f>VLOOKUP(D43,Table12[[Name]:[Native]],3,FALSE)</f>
        <v>莲都区</v>
      </c>
      <c r="G43" s="14" t="str">
        <f ca="1">VLOOKUP(F43,Table12[[Native]:[Population4]],5,FALSE)</f>
        <v>丽水市</v>
      </c>
    </row>
    <row r="44" spans="1:7" ht="15.75" thickBot="1" x14ac:dyDescent="0.3">
      <c r="A44" t="s">
        <v>1082</v>
      </c>
      <c r="B44" s="1" t="s">
        <v>1083</v>
      </c>
      <c r="C44" s="1" t="s">
        <v>7</v>
      </c>
      <c r="D44" s="1" t="s">
        <v>1023</v>
      </c>
      <c r="E44" s="4">
        <v>5585</v>
      </c>
      <c r="F44" s="1" t="str">
        <f>VLOOKUP(D44,Table12[[Name]:[Native]],3,FALSE)</f>
        <v>青田县</v>
      </c>
      <c r="G44" s="14" t="str">
        <f ca="1">VLOOKUP(F44,Table12[[Native]:[Population4]],5,FALSE)</f>
        <v>丽水市</v>
      </c>
    </row>
    <row r="45" spans="1:7" ht="15.75" thickBot="1" x14ac:dyDescent="0.3">
      <c r="A45" t="s">
        <v>1084</v>
      </c>
      <c r="B45" s="1" t="s">
        <v>1085</v>
      </c>
      <c r="C45" s="1" t="s">
        <v>11</v>
      </c>
      <c r="D45" s="1" t="s">
        <v>1023</v>
      </c>
      <c r="E45" s="4">
        <v>10725</v>
      </c>
      <c r="F45" s="1" t="str">
        <f>VLOOKUP(D45,Table12[[Name]:[Native]],3,FALSE)</f>
        <v>青田县</v>
      </c>
      <c r="G45" s="14" t="str">
        <f ca="1">VLOOKUP(F45,Table12[[Native]:[Population4]],5,FALSE)</f>
        <v>丽水市</v>
      </c>
    </row>
    <row r="46" spans="1:7" ht="15.75" thickBot="1" x14ac:dyDescent="0.3">
      <c r="A46" t="s">
        <v>1086</v>
      </c>
      <c r="B46" s="1" t="s">
        <v>1087</v>
      </c>
      <c r="C46" s="1" t="s">
        <v>7</v>
      </c>
      <c r="D46" s="1" t="s">
        <v>997</v>
      </c>
      <c r="E46" s="4">
        <v>3895</v>
      </c>
      <c r="F46" s="1" t="str">
        <f>VLOOKUP(D46,Table12[[Name]:[Native]],3,FALSE)</f>
        <v>遂昌县</v>
      </c>
      <c r="G46" s="14" t="str">
        <f ca="1">VLOOKUP(F46,Table12[[Native]:[Population4]],5,FALSE)</f>
        <v>丽水市</v>
      </c>
    </row>
    <row r="47" spans="1:7" ht="15.75" thickBot="1" x14ac:dyDescent="0.3">
      <c r="A47" t="s">
        <v>1088</v>
      </c>
      <c r="B47" s="1" t="s">
        <v>1089</v>
      </c>
      <c r="C47" s="1" t="s">
        <v>7</v>
      </c>
      <c r="D47" s="1" t="s">
        <v>1023</v>
      </c>
      <c r="E47" s="4">
        <v>3371</v>
      </c>
      <c r="F47" s="1" t="str">
        <f>VLOOKUP(D47,Table12[[Name]:[Native]],3,FALSE)</f>
        <v>青田县</v>
      </c>
      <c r="G47" s="14" t="str">
        <f ca="1">VLOOKUP(F47,Table12[[Native]:[Population4]],5,FALSE)</f>
        <v>丽水市</v>
      </c>
    </row>
    <row r="48" spans="1:7" ht="15.75" thickBot="1" x14ac:dyDescent="0.3">
      <c r="A48" t="s">
        <v>1090</v>
      </c>
      <c r="B48" s="1" t="s">
        <v>1091</v>
      </c>
      <c r="C48" s="1" t="s">
        <v>7</v>
      </c>
      <c r="D48" s="1" t="s">
        <v>1003</v>
      </c>
      <c r="E48" s="4">
        <v>1039</v>
      </c>
      <c r="F48" s="1" t="str">
        <f>VLOOKUP(D48,Table12[[Name]:[Native]],3,FALSE)</f>
        <v>庆元县</v>
      </c>
      <c r="G48" s="14" t="str">
        <f ca="1">VLOOKUP(F48,Table12[[Native]:[Population4]],5,FALSE)</f>
        <v>丽水市</v>
      </c>
    </row>
    <row r="49" spans="1:7" ht="15.75" thickBot="1" x14ac:dyDescent="0.3">
      <c r="A49" t="s">
        <v>1092</v>
      </c>
      <c r="B49" s="1" t="s">
        <v>1093</v>
      </c>
      <c r="C49" s="1" t="s">
        <v>7</v>
      </c>
      <c r="D49" s="1" t="s">
        <v>1023</v>
      </c>
      <c r="E49" s="4">
        <v>1613</v>
      </c>
      <c r="F49" s="1" t="str">
        <f>VLOOKUP(D49,Table12[[Name]:[Native]],3,FALSE)</f>
        <v>青田县</v>
      </c>
      <c r="G49" s="14" t="str">
        <f ca="1">VLOOKUP(F49,Table12[[Native]:[Population4]],5,FALSE)</f>
        <v>丽水市</v>
      </c>
    </row>
    <row r="50" spans="1:7" ht="15.75" thickBot="1" x14ac:dyDescent="0.3">
      <c r="A50" t="s">
        <v>1094</v>
      </c>
      <c r="B50" s="1" t="s">
        <v>1095</v>
      </c>
      <c r="C50" s="1" t="s">
        <v>11</v>
      </c>
      <c r="D50" s="1" t="s">
        <v>1000</v>
      </c>
      <c r="E50" s="4">
        <v>20229</v>
      </c>
      <c r="F50" s="1" t="str">
        <f>VLOOKUP(D50,Table12[[Name]:[Native]],3,FALSE)</f>
        <v>松阳县</v>
      </c>
      <c r="G50" s="14" t="str">
        <f ca="1">VLOOKUP(F50,Table12[[Native]:[Population4]],5,FALSE)</f>
        <v>丽水市</v>
      </c>
    </row>
    <row r="51" spans="1:7" ht="15.75" thickBot="1" x14ac:dyDescent="0.3">
      <c r="A51" t="s">
        <v>1096</v>
      </c>
      <c r="B51" s="1" t="s">
        <v>1097</v>
      </c>
      <c r="C51" s="1" t="s">
        <v>11</v>
      </c>
      <c r="D51" s="1" t="s">
        <v>1023</v>
      </c>
      <c r="E51" s="4">
        <v>10368</v>
      </c>
      <c r="F51" s="1" t="str">
        <f>VLOOKUP(D51,Table12[[Name]:[Native]],3,FALSE)</f>
        <v>青田县</v>
      </c>
      <c r="G51" s="14" t="str">
        <f ca="1">VLOOKUP(F51,Table12[[Native]:[Population4]],5,FALSE)</f>
        <v>丽水市</v>
      </c>
    </row>
    <row r="52" spans="1:7" ht="15.75" thickBot="1" x14ac:dyDescent="0.3">
      <c r="A52" t="s">
        <v>1098</v>
      </c>
      <c r="B52" s="1" t="s">
        <v>1099</v>
      </c>
      <c r="C52" s="1" t="s">
        <v>7</v>
      </c>
      <c r="D52" s="1" t="s">
        <v>1023</v>
      </c>
      <c r="E52" s="4">
        <v>4392</v>
      </c>
      <c r="F52" s="1" t="str">
        <f>VLOOKUP(D52,Table12[[Name]:[Native]],3,FALSE)</f>
        <v>青田县</v>
      </c>
      <c r="G52" s="14" t="str">
        <f ca="1">VLOOKUP(F52,Table12[[Native]:[Population4]],5,FALSE)</f>
        <v>丽水市</v>
      </c>
    </row>
    <row r="53" spans="1:7" ht="15.75" thickBot="1" x14ac:dyDescent="0.3">
      <c r="A53" t="s">
        <v>1100</v>
      </c>
      <c r="B53" s="1" t="s">
        <v>1101</v>
      </c>
      <c r="C53" s="1" t="s">
        <v>15</v>
      </c>
      <c r="D53" s="1" t="s">
        <v>1023</v>
      </c>
      <c r="E53" s="4">
        <v>109586</v>
      </c>
      <c r="F53" s="1" t="str">
        <f>VLOOKUP(D53,Table12[[Name]:[Native]],3,FALSE)</f>
        <v>青田县</v>
      </c>
      <c r="G53" s="14" t="str">
        <f ca="1">VLOOKUP(F53,Table12[[Native]:[Population4]],5,FALSE)</f>
        <v>丽水市</v>
      </c>
    </row>
    <row r="54" spans="1:7" ht="15.75" thickBot="1" x14ac:dyDescent="0.3">
      <c r="A54" t="s">
        <v>1102</v>
      </c>
      <c r="B54" s="1" t="s">
        <v>1103</v>
      </c>
      <c r="C54" s="1" t="s">
        <v>11</v>
      </c>
      <c r="D54" s="1" t="s">
        <v>1003</v>
      </c>
      <c r="E54" s="4">
        <v>3702</v>
      </c>
      <c r="F54" s="1" t="str">
        <f>VLOOKUP(D54,Table12[[Name]:[Native]],3,FALSE)</f>
        <v>庆元县</v>
      </c>
      <c r="G54" s="14" t="str">
        <f ca="1">VLOOKUP(F54,Table12[[Native]:[Population4]],5,FALSE)</f>
        <v>丽水市</v>
      </c>
    </row>
    <row r="55" spans="1:7" ht="15.75" thickBot="1" x14ac:dyDescent="0.3">
      <c r="A55" t="s">
        <v>1104</v>
      </c>
      <c r="B55" s="1" t="s">
        <v>1105</v>
      </c>
      <c r="C55" s="1" t="s">
        <v>15</v>
      </c>
      <c r="D55" s="1" t="s">
        <v>1026</v>
      </c>
      <c r="E55" s="4">
        <v>58673</v>
      </c>
      <c r="F55" s="1" t="str">
        <f>VLOOKUP(D55,Table12[[Name]:[Native]],3,FALSE)</f>
        <v>景宁畲族自治县</v>
      </c>
      <c r="G55" s="14" t="str">
        <f ca="1">VLOOKUP(F55,Table12[[Native]:[Population4]],5,FALSE)</f>
        <v>丽水市</v>
      </c>
    </row>
    <row r="56" spans="1:7" ht="15.75" thickBot="1" x14ac:dyDescent="0.3">
      <c r="A56" t="s">
        <v>1106</v>
      </c>
      <c r="B56" s="1" t="s">
        <v>1107</v>
      </c>
      <c r="C56" s="1" t="s">
        <v>7</v>
      </c>
      <c r="D56" s="1" t="s">
        <v>1014</v>
      </c>
      <c r="E56" s="4">
        <v>5342</v>
      </c>
      <c r="F56" s="1" t="str">
        <f>VLOOKUP(D56,Table12[[Name]:[Native]],3,FALSE)</f>
        <v>莲都区</v>
      </c>
      <c r="G56" s="14" t="str">
        <f ca="1">VLOOKUP(F56,Table12[[Native]:[Population4]],5,FALSE)</f>
        <v>丽水市</v>
      </c>
    </row>
    <row r="57" spans="1:7" ht="15.75" thickBot="1" x14ac:dyDescent="0.3">
      <c r="A57" t="s">
        <v>1108</v>
      </c>
      <c r="B57" s="1" t="s">
        <v>1109</v>
      </c>
      <c r="C57" s="1" t="s">
        <v>11</v>
      </c>
      <c r="D57" s="1" t="s">
        <v>997</v>
      </c>
      <c r="E57" s="4">
        <v>4442</v>
      </c>
      <c r="F57" s="1" t="str">
        <f>VLOOKUP(D57,Table12[[Name]:[Native]],3,FALSE)</f>
        <v>遂昌县</v>
      </c>
      <c r="G57" s="14" t="str">
        <f ca="1">VLOOKUP(F57,Table12[[Native]:[Population4]],5,FALSE)</f>
        <v>丽水市</v>
      </c>
    </row>
    <row r="58" spans="1:7" ht="15.75" thickBot="1" x14ac:dyDescent="0.3">
      <c r="A58" t="s">
        <v>1110</v>
      </c>
      <c r="B58" s="1" t="s">
        <v>1111</v>
      </c>
      <c r="C58" s="1" t="s">
        <v>11</v>
      </c>
      <c r="D58" s="1" t="s">
        <v>1003</v>
      </c>
      <c r="E58" s="4">
        <v>11072</v>
      </c>
      <c r="F58" s="1" t="str">
        <f>VLOOKUP(D58,Table12[[Name]:[Native]],3,FALSE)</f>
        <v>庆元县</v>
      </c>
      <c r="G58" s="14" t="str">
        <f ca="1">VLOOKUP(F58,Table12[[Native]:[Population4]],5,FALSE)</f>
        <v>丽水市</v>
      </c>
    </row>
    <row r="59" spans="1:7" ht="15.75" thickBot="1" x14ac:dyDescent="0.3">
      <c r="A59" t="s">
        <v>1112</v>
      </c>
      <c r="B59" s="1" t="s">
        <v>1113</v>
      </c>
      <c r="C59" s="1" t="s">
        <v>7</v>
      </c>
      <c r="D59" s="1" t="s">
        <v>1023</v>
      </c>
      <c r="E59" s="4">
        <v>2783</v>
      </c>
      <c r="F59" s="1" t="str">
        <f>VLOOKUP(D59,Table12[[Name]:[Native]],3,FALSE)</f>
        <v>青田县</v>
      </c>
      <c r="G59" s="14" t="str">
        <f ca="1">VLOOKUP(F59,Table12[[Native]:[Population4]],5,FALSE)</f>
        <v>丽水市</v>
      </c>
    </row>
    <row r="60" spans="1:7" ht="15.75" thickBot="1" x14ac:dyDescent="0.3">
      <c r="A60" t="s">
        <v>1114</v>
      </c>
      <c r="B60" s="1" t="s">
        <v>1115</v>
      </c>
      <c r="C60" s="1" t="s">
        <v>7</v>
      </c>
      <c r="D60" s="1" t="s">
        <v>1009</v>
      </c>
      <c r="E60" s="4">
        <v>3323</v>
      </c>
      <c r="F60" s="1" t="str">
        <f>VLOOKUP(D60,Table12[[Name]:[Native]],3,FALSE)</f>
        <v>云和县</v>
      </c>
      <c r="G60" s="14" t="str">
        <f ca="1">VLOOKUP(F60,Table12[[Native]:[Population4]],5,FALSE)</f>
        <v>丽水市</v>
      </c>
    </row>
    <row r="61" spans="1:7" ht="15.75" thickBot="1" x14ac:dyDescent="0.3">
      <c r="A61" t="s">
        <v>1116</v>
      </c>
      <c r="B61" s="1" t="s">
        <v>1117</v>
      </c>
      <c r="C61" s="1" t="s">
        <v>7</v>
      </c>
      <c r="D61" s="1" t="s">
        <v>997</v>
      </c>
      <c r="E61" s="4">
        <v>6855</v>
      </c>
      <c r="F61" s="1" t="str">
        <f>VLOOKUP(D61,Table12[[Name]:[Native]],3,FALSE)</f>
        <v>遂昌县</v>
      </c>
      <c r="G61" s="14" t="str">
        <f ca="1">VLOOKUP(F61,Table12[[Native]:[Population4]],5,FALSE)</f>
        <v>丽水市</v>
      </c>
    </row>
    <row r="62" spans="1:7" ht="15.75" thickBot="1" x14ac:dyDescent="0.3">
      <c r="A62" t="s">
        <v>147</v>
      </c>
      <c r="B62" s="1" t="s">
        <v>1118</v>
      </c>
      <c r="C62" s="1" t="s">
        <v>7</v>
      </c>
      <c r="D62" s="1" t="s">
        <v>1061</v>
      </c>
      <c r="E62" s="4">
        <v>6832</v>
      </c>
      <c r="F62" s="1" t="str">
        <f>VLOOKUP(D62,Table12[[Name]:[Native]],3,FALSE)</f>
        <v>缙云县</v>
      </c>
      <c r="G62" s="14" t="str">
        <f ca="1">VLOOKUP(F62,Table12[[Native]:[Population4]],5,FALSE)</f>
        <v>丽水市</v>
      </c>
    </row>
    <row r="63" spans="1:7" ht="15.75" thickBot="1" x14ac:dyDescent="0.3">
      <c r="A63" t="s">
        <v>1119</v>
      </c>
      <c r="B63" s="1" t="s">
        <v>1120</v>
      </c>
      <c r="C63" s="1" t="s">
        <v>11</v>
      </c>
      <c r="D63" s="1" t="s">
        <v>1061</v>
      </c>
      <c r="E63" s="4">
        <v>79527</v>
      </c>
      <c r="F63" s="1" t="str">
        <f>VLOOKUP(D63,Table12[[Name]:[Native]],3,FALSE)</f>
        <v>缙云县</v>
      </c>
      <c r="G63" s="14" t="str">
        <f ca="1">VLOOKUP(F63,Table12[[Native]:[Population4]],5,FALSE)</f>
        <v>丽水市</v>
      </c>
    </row>
    <row r="64" spans="1:7" ht="15.75" thickBot="1" x14ac:dyDescent="0.3">
      <c r="A64" t="s">
        <v>1121</v>
      </c>
      <c r="B64" s="1" t="s">
        <v>1122</v>
      </c>
      <c r="C64" s="1" t="s">
        <v>7</v>
      </c>
      <c r="D64" s="1" t="s">
        <v>1026</v>
      </c>
      <c r="E64" s="4">
        <v>831</v>
      </c>
      <c r="F64" s="1" t="str">
        <f>VLOOKUP(D64,Table12[[Name]:[Native]],3,FALSE)</f>
        <v>景宁畲族自治县</v>
      </c>
      <c r="G64" s="14" t="str">
        <f ca="1">VLOOKUP(F64,Table12[[Native]:[Population4]],5,FALSE)</f>
        <v>丽水市</v>
      </c>
    </row>
    <row r="65" spans="1:7" ht="15.75" thickBot="1" x14ac:dyDescent="0.3">
      <c r="A65" t="s">
        <v>1123</v>
      </c>
      <c r="B65" s="1" t="s">
        <v>1124</v>
      </c>
      <c r="C65" s="1" t="s">
        <v>15</v>
      </c>
      <c r="D65" s="1" t="s">
        <v>1006</v>
      </c>
      <c r="E65" s="4">
        <v>45726</v>
      </c>
      <c r="F65" s="1" t="str">
        <f>VLOOKUP(D65,Table12[[Name]:[Native]],3,FALSE)</f>
        <v>龙泉市</v>
      </c>
      <c r="G65" s="14" t="str">
        <f ca="1">VLOOKUP(F65,Table12[[Native]:[Population4]],5,FALSE)</f>
        <v>丽水市</v>
      </c>
    </row>
    <row r="66" spans="1:7" ht="15.75" thickBot="1" x14ac:dyDescent="0.3">
      <c r="A66" t="s">
        <v>1125</v>
      </c>
      <c r="B66" s="1" t="s">
        <v>1126</v>
      </c>
      <c r="C66" s="1" t="s">
        <v>7</v>
      </c>
      <c r="D66" s="1" t="s">
        <v>1003</v>
      </c>
      <c r="E66" s="4">
        <v>1888</v>
      </c>
      <c r="F66" s="1" t="str">
        <f>VLOOKUP(D66,Table12[[Name]:[Native]],3,FALSE)</f>
        <v>庆元县</v>
      </c>
      <c r="G66" s="14" t="str">
        <f ca="1">VLOOKUP(F66,Table12[[Native]:[Population4]],5,FALSE)</f>
        <v>丽水市</v>
      </c>
    </row>
    <row r="67" spans="1:7" ht="15.75" thickBot="1" x14ac:dyDescent="0.3">
      <c r="A67" t="s">
        <v>1127</v>
      </c>
      <c r="B67" s="1" t="s">
        <v>1128</v>
      </c>
      <c r="C67" s="1" t="s">
        <v>7</v>
      </c>
      <c r="D67" s="1" t="s">
        <v>997</v>
      </c>
      <c r="E67" s="4">
        <v>2148</v>
      </c>
      <c r="F67" s="1" t="str">
        <f>VLOOKUP(D67,Table12[[Name]:[Native]],3,FALSE)</f>
        <v>遂昌县</v>
      </c>
      <c r="G67" s="14" t="str">
        <f ca="1">VLOOKUP(F67,Table12[[Native]:[Population4]],5,FALSE)</f>
        <v>丽水市</v>
      </c>
    </row>
    <row r="68" spans="1:7" ht="15.75" thickBot="1" x14ac:dyDescent="0.3">
      <c r="A68" t="s">
        <v>1129</v>
      </c>
      <c r="B68" s="1" t="s">
        <v>1130</v>
      </c>
      <c r="C68" s="1" t="s">
        <v>7</v>
      </c>
      <c r="D68" s="1" t="s">
        <v>1026</v>
      </c>
      <c r="E68" s="4">
        <v>2689</v>
      </c>
      <c r="F68" s="1" t="str">
        <f>VLOOKUP(D68,Table12[[Name]:[Native]],3,FALSE)</f>
        <v>景宁畲族自治县</v>
      </c>
      <c r="G68" s="14" t="str">
        <f ca="1">VLOOKUP(F68,Table12[[Native]:[Population4]],5,FALSE)</f>
        <v>丽水市</v>
      </c>
    </row>
    <row r="69" spans="1:7" ht="15.75" thickBot="1" x14ac:dyDescent="0.3">
      <c r="A69" t="s">
        <v>1131</v>
      </c>
      <c r="B69" s="1" t="s">
        <v>1132</v>
      </c>
      <c r="C69" s="1" t="s">
        <v>11</v>
      </c>
      <c r="D69" s="1" t="s">
        <v>1009</v>
      </c>
      <c r="E69" s="4">
        <v>1562</v>
      </c>
      <c r="F69" s="1" t="str">
        <f>VLOOKUP(D69,Table12[[Name]:[Native]],3,FALSE)</f>
        <v>云和县</v>
      </c>
      <c r="G69" s="14" t="str">
        <f ca="1">VLOOKUP(F69,Table12[[Native]:[Population4]],5,FALSE)</f>
        <v>丽水市</v>
      </c>
    </row>
    <row r="70" spans="1:7" ht="15.75" thickBot="1" x14ac:dyDescent="0.3">
      <c r="A70" t="s">
        <v>1133</v>
      </c>
      <c r="B70" s="1" t="s">
        <v>1134</v>
      </c>
      <c r="C70" s="1" t="s">
        <v>11</v>
      </c>
      <c r="D70" s="1" t="s">
        <v>1006</v>
      </c>
      <c r="E70" s="4">
        <v>7472</v>
      </c>
      <c r="F70" s="1" t="str">
        <f>VLOOKUP(D70,Table12[[Name]:[Native]],3,FALSE)</f>
        <v>龙泉市</v>
      </c>
      <c r="G70" s="14" t="str">
        <f ca="1">VLOOKUP(F70,Table12[[Native]:[Population4]],5,FALSE)</f>
        <v>丽水市</v>
      </c>
    </row>
    <row r="71" spans="1:7" ht="15.75" thickBot="1" x14ac:dyDescent="0.3">
      <c r="A71" t="s">
        <v>1135</v>
      </c>
      <c r="B71" s="1" t="s">
        <v>1136</v>
      </c>
      <c r="C71" s="1" t="s">
        <v>11</v>
      </c>
      <c r="D71" s="1" t="s">
        <v>997</v>
      </c>
      <c r="E71" s="4">
        <v>9687</v>
      </c>
      <c r="F71" s="1" t="str">
        <f>VLOOKUP(D71,Table12[[Name]:[Native]],3,FALSE)</f>
        <v>遂昌县</v>
      </c>
      <c r="G71" s="14" t="str">
        <f ca="1">VLOOKUP(F71,Table12[[Native]:[Population4]],5,FALSE)</f>
        <v>丽水市</v>
      </c>
    </row>
    <row r="72" spans="1:7" ht="15.75" thickBot="1" x14ac:dyDescent="0.3">
      <c r="A72" t="s">
        <v>1137</v>
      </c>
      <c r="B72" s="1" t="s">
        <v>1138</v>
      </c>
      <c r="C72" s="1" t="s">
        <v>7</v>
      </c>
      <c r="D72" s="1" t="s">
        <v>1026</v>
      </c>
      <c r="E72" s="4">
        <v>3348</v>
      </c>
      <c r="F72" s="1" t="str">
        <f>VLOOKUP(D72,Table12[[Name]:[Native]],3,FALSE)</f>
        <v>景宁畲族自治县</v>
      </c>
      <c r="G72" s="14" t="str">
        <f ca="1">VLOOKUP(F72,Table12[[Native]:[Population4]],5,FALSE)</f>
        <v>丽水市</v>
      </c>
    </row>
    <row r="73" spans="1:7" ht="15.75" thickBot="1" x14ac:dyDescent="0.3">
      <c r="A73" t="s">
        <v>1139</v>
      </c>
      <c r="B73" s="1" t="s">
        <v>1140</v>
      </c>
      <c r="C73" s="1" t="s">
        <v>7</v>
      </c>
      <c r="D73" s="1" t="s">
        <v>1023</v>
      </c>
      <c r="E73" s="4">
        <v>7099</v>
      </c>
      <c r="F73" s="1" t="str">
        <f>VLOOKUP(D73,Table12[[Name]:[Native]],3,FALSE)</f>
        <v>青田县</v>
      </c>
      <c r="G73" s="14" t="str">
        <f ca="1">VLOOKUP(F73,Table12[[Native]:[Population4]],5,FALSE)</f>
        <v>丽水市</v>
      </c>
    </row>
    <row r="74" spans="1:7" ht="15.75" thickBot="1" x14ac:dyDescent="0.3">
      <c r="A74" t="s">
        <v>1141</v>
      </c>
      <c r="B74" s="1" t="s">
        <v>1142</v>
      </c>
      <c r="C74" s="1" t="s">
        <v>7</v>
      </c>
      <c r="D74" s="1" t="s">
        <v>1023</v>
      </c>
      <c r="E74" s="4">
        <v>2624</v>
      </c>
      <c r="F74" s="1" t="str">
        <f>VLOOKUP(D74,Table12[[Name]:[Native]],3,FALSE)</f>
        <v>青田县</v>
      </c>
      <c r="G74" s="14" t="str">
        <f ca="1">VLOOKUP(F74,Table12[[Native]:[Population4]],5,FALSE)</f>
        <v>丽水市</v>
      </c>
    </row>
    <row r="75" spans="1:7" ht="15.75" thickBot="1" x14ac:dyDescent="0.3">
      <c r="A75" t="s">
        <v>1143</v>
      </c>
      <c r="B75" s="1" t="s">
        <v>1144</v>
      </c>
      <c r="C75" s="1" t="s">
        <v>7</v>
      </c>
      <c r="D75" s="1" t="s">
        <v>1003</v>
      </c>
      <c r="E75" s="4">
        <v>1821</v>
      </c>
      <c r="F75" s="1" t="str">
        <f>VLOOKUP(D75,Table12[[Name]:[Native]],3,FALSE)</f>
        <v>庆元县</v>
      </c>
      <c r="G75" s="14" t="str">
        <f ca="1">VLOOKUP(F75,Table12[[Native]:[Population4]],5,FALSE)</f>
        <v>丽水市</v>
      </c>
    </row>
    <row r="76" spans="1:7" ht="15.75" thickBot="1" x14ac:dyDescent="0.3">
      <c r="A76" t="s">
        <v>1145</v>
      </c>
      <c r="B76" s="1" t="s">
        <v>1146</v>
      </c>
      <c r="C76" s="1" t="s">
        <v>11</v>
      </c>
      <c r="D76" s="1" t="s">
        <v>1023</v>
      </c>
      <c r="E76" s="4">
        <v>14016</v>
      </c>
      <c r="F76" s="1" t="str">
        <f>VLOOKUP(D76,Table12[[Name]:[Native]],3,FALSE)</f>
        <v>青田县</v>
      </c>
      <c r="G76" s="14" t="str">
        <f ca="1">VLOOKUP(F76,Table12[[Native]:[Population4]],5,FALSE)</f>
        <v>丽水市</v>
      </c>
    </row>
    <row r="77" spans="1:7" ht="15.75" thickBot="1" x14ac:dyDescent="0.3">
      <c r="A77" t="s">
        <v>1147</v>
      </c>
      <c r="B77" s="1" t="s">
        <v>1148</v>
      </c>
      <c r="C77" s="1" t="s">
        <v>7</v>
      </c>
      <c r="D77" s="1" t="s">
        <v>1006</v>
      </c>
      <c r="E77" s="4">
        <v>9396</v>
      </c>
      <c r="F77" s="1" t="str">
        <f>VLOOKUP(D77,Table12[[Name]:[Native]],3,FALSE)</f>
        <v>龙泉市</v>
      </c>
      <c r="G77" s="14" t="str">
        <f ca="1">VLOOKUP(F77,Table12[[Native]:[Population4]],5,FALSE)</f>
        <v>丽水市</v>
      </c>
    </row>
    <row r="78" spans="1:7" ht="15.75" thickBot="1" x14ac:dyDescent="0.3">
      <c r="A78" t="s">
        <v>1149</v>
      </c>
      <c r="B78" s="1" t="s">
        <v>1150</v>
      </c>
      <c r="C78" s="1" t="s">
        <v>11</v>
      </c>
      <c r="D78" s="1" t="s">
        <v>1014</v>
      </c>
      <c r="E78" s="4">
        <v>8875</v>
      </c>
      <c r="F78" s="1" t="str">
        <f>VLOOKUP(D78,Table12[[Name]:[Native]],3,FALSE)</f>
        <v>莲都区</v>
      </c>
      <c r="G78" s="14" t="str">
        <f ca="1">VLOOKUP(F78,Table12[[Native]:[Population4]],5,FALSE)</f>
        <v>丽水市</v>
      </c>
    </row>
    <row r="79" spans="1:7" ht="15.75" thickBot="1" x14ac:dyDescent="0.3">
      <c r="A79" t="s">
        <v>1151</v>
      </c>
      <c r="B79" s="1" t="s">
        <v>1152</v>
      </c>
      <c r="C79" s="1" t="s">
        <v>15</v>
      </c>
      <c r="D79" s="1" t="s">
        <v>1014</v>
      </c>
      <c r="E79" s="4">
        <v>11300</v>
      </c>
      <c r="F79" s="1" t="str">
        <f>VLOOKUP(D79,Table12[[Name]:[Native]],3,FALSE)</f>
        <v>莲都区</v>
      </c>
      <c r="G79" s="14" t="str">
        <f ca="1">VLOOKUP(F79,Table12[[Native]:[Population4]],5,FALSE)</f>
        <v>丽水市</v>
      </c>
    </row>
    <row r="80" spans="1:7" ht="15.75" thickBot="1" x14ac:dyDescent="0.3">
      <c r="A80" t="s">
        <v>1153</v>
      </c>
      <c r="B80" s="1" t="s">
        <v>1154</v>
      </c>
      <c r="C80" s="1" t="s">
        <v>7</v>
      </c>
      <c r="D80" s="1" t="s">
        <v>997</v>
      </c>
      <c r="E80" s="4">
        <v>2267</v>
      </c>
      <c r="F80" s="1" t="str">
        <f>VLOOKUP(D80,Table12[[Name]:[Native]],3,FALSE)</f>
        <v>遂昌县</v>
      </c>
      <c r="G80" s="14" t="str">
        <f ca="1">VLOOKUP(F80,Table12[[Native]:[Population4]],5,FALSE)</f>
        <v>丽水市</v>
      </c>
    </row>
    <row r="81" spans="1:7" ht="15.75" thickBot="1" x14ac:dyDescent="0.3">
      <c r="A81" t="s">
        <v>1155</v>
      </c>
      <c r="B81" s="1" t="s">
        <v>1156</v>
      </c>
      <c r="C81" s="1" t="s">
        <v>7</v>
      </c>
      <c r="D81" s="1" t="s">
        <v>1003</v>
      </c>
      <c r="E81" s="4">
        <v>2569</v>
      </c>
      <c r="F81" s="1" t="str">
        <f>VLOOKUP(D81,Table12[[Name]:[Native]],3,FALSE)</f>
        <v>庆元县</v>
      </c>
      <c r="G81" s="14" t="str">
        <f ca="1">VLOOKUP(F81,Table12[[Native]:[Population4]],5,FALSE)</f>
        <v>丽水市</v>
      </c>
    </row>
    <row r="82" spans="1:7" ht="15.75" thickBot="1" x14ac:dyDescent="0.3">
      <c r="A82" t="s">
        <v>1157</v>
      </c>
      <c r="B82" s="1" t="s">
        <v>1158</v>
      </c>
      <c r="C82" s="1" t="s">
        <v>7</v>
      </c>
      <c r="D82" s="1" t="s">
        <v>1014</v>
      </c>
      <c r="E82" s="4">
        <v>5347</v>
      </c>
      <c r="F82" s="1" t="str">
        <f>VLOOKUP(D82,Table12[[Name]:[Native]],3,FALSE)</f>
        <v>莲都区</v>
      </c>
      <c r="G82" s="14" t="str">
        <f ca="1">VLOOKUP(F82,Table12[[Native]:[Population4]],5,FALSE)</f>
        <v>丽水市</v>
      </c>
    </row>
    <row r="83" spans="1:7" ht="15.75" thickBot="1" x14ac:dyDescent="0.3">
      <c r="A83" t="s">
        <v>1159</v>
      </c>
      <c r="B83" s="1" t="s">
        <v>1160</v>
      </c>
      <c r="C83" s="1" t="s">
        <v>7</v>
      </c>
      <c r="D83" s="1" t="s">
        <v>1003</v>
      </c>
      <c r="E83" s="4">
        <v>4845</v>
      </c>
      <c r="F83" s="1" t="str">
        <f>VLOOKUP(D83,Table12[[Name]:[Native]],3,FALSE)</f>
        <v>庆元县</v>
      </c>
      <c r="G83" s="14" t="str">
        <f ca="1">VLOOKUP(F83,Table12[[Native]:[Population4]],5,FALSE)</f>
        <v>丽水市</v>
      </c>
    </row>
    <row r="84" spans="1:7" ht="15.75" thickBot="1" x14ac:dyDescent="0.3">
      <c r="A84" t="s">
        <v>1161</v>
      </c>
      <c r="B84" s="1" t="s">
        <v>1162</v>
      </c>
      <c r="C84" s="1" t="s">
        <v>7</v>
      </c>
      <c r="D84" s="1" t="s">
        <v>1006</v>
      </c>
      <c r="E84" s="4">
        <v>6475</v>
      </c>
      <c r="F84" s="1" t="str">
        <f>VLOOKUP(D84,Table12[[Name]:[Native]],3,FALSE)</f>
        <v>龙泉市</v>
      </c>
      <c r="G84" s="14" t="str">
        <f ca="1">VLOOKUP(F84,Table12[[Native]:[Population4]],5,FALSE)</f>
        <v>丽水市</v>
      </c>
    </row>
    <row r="85" spans="1:7" ht="15.75" thickBot="1" x14ac:dyDescent="0.3">
      <c r="A85" t="s">
        <v>1163</v>
      </c>
      <c r="B85" s="1" t="s">
        <v>1164</v>
      </c>
      <c r="C85" s="1" t="s">
        <v>7</v>
      </c>
      <c r="D85" s="1" t="s">
        <v>1003</v>
      </c>
      <c r="E85" s="4">
        <v>870</v>
      </c>
      <c r="F85" s="1" t="str">
        <f>VLOOKUP(D85,Table12[[Name]:[Native]],3,FALSE)</f>
        <v>庆元县</v>
      </c>
      <c r="G85" s="14" t="str">
        <f ca="1">VLOOKUP(F85,Table12[[Native]:[Population4]],5,FALSE)</f>
        <v>丽水市</v>
      </c>
    </row>
    <row r="86" spans="1:7" ht="15.75" thickBot="1" x14ac:dyDescent="0.3">
      <c r="A86" t="s">
        <v>1165</v>
      </c>
      <c r="B86" s="1" t="s">
        <v>1166</v>
      </c>
      <c r="C86" s="1" t="s">
        <v>7</v>
      </c>
      <c r="D86" s="1" t="s">
        <v>997</v>
      </c>
      <c r="E86" s="4">
        <v>2847</v>
      </c>
      <c r="F86" s="1" t="str">
        <f>VLOOKUP(D86,Table12[[Name]:[Native]],3,FALSE)</f>
        <v>遂昌县</v>
      </c>
      <c r="G86" s="14" t="str">
        <f ca="1">VLOOKUP(F86,Table12[[Native]:[Population4]],5,FALSE)</f>
        <v>丽水市</v>
      </c>
    </row>
    <row r="87" spans="1:7" ht="15.75" thickBot="1" x14ac:dyDescent="0.3">
      <c r="A87" t="s">
        <v>1167</v>
      </c>
      <c r="B87" s="1" t="s">
        <v>1168</v>
      </c>
      <c r="C87" s="1" t="s">
        <v>15</v>
      </c>
      <c r="D87" s="1" t="s">
        <v>1006</v>
      </c>
      <c r="E87" s="4">
        <v>41919</v>
      </c>
      <c r="F87" s="1" t="str">
        <f>VLOOKUP(D87,Table12[[Name]:[Native]],3,FALSE)</f>
        <v>龙泉市</v>
      </c>
      <c r="G87" s="14" t="str">
        <f ca="1">VLOOKUP(F87,Table12[[Native]:[Population4]],5,FALSE)</f>
        <v>丽水市</v>
      </c>
    </row>
    <row r="88" spans="1:7" ht="15.75" thickBot="1" x14ac:dyDescent="0.3">
      <c r="A88" t="s">
        <v>1169</v>
      </c>
      <c r="B88" s="1" t="s">
        <v>1170</v>
      </c>
      <c r="C88" s="1" t="s">
        <v>7</v>
      </c>
      <c r="D88" s="1" t="s">
        <v>1026</v>
      </c>
      <c r="E88" s="4">
        <v>1998</v>
      </c>
      <c r="F88" s="1" t="str">
        <f>VLOOKUP(D88,Table12[[Name]:[Native]],3,FALSE)</f>
        <v>景宁畲族自治县</v>
      </c>
      <c r="G88" s="14" t="str">
        <f ca="1">VLOOKUP(F88,Table12[[Native]:[Population4]],5,FALSE)</f>
        <v>丽水市</v>
      </c>
    </row>
    <row r="89" spans="1:7" ht="15.75" thickBot="1" x14ac:dyDescent="0.3">
      <c r="A89" t="s">
        <v>1171</v>
      </c>
      <c r="B89" s="1" t="s">
        <v>1172</v>
      </c>
      <c r="C89" s="1" t="s">
        <v>7</v>
      </c>
      <c r="D89" s="1" t="s">
        <v>1026</v>
      </c>
      <c r="E89" s="4">
        <v>1552</v>
      </c>
      <c r="F89" s="1" t="str">
        <f>VLOOKUP(D89,Table12[[Name]:[Native]],3,FALSE)</f>
        <v>景宁畲族自治县</v>
      </c>
      <c r="G89" s="14" t="str">
        <f ca="1">VLOOKUP(F89,Table12[[Native]:[Population4]],5,FALSE)</f>
        <v>丽水市</v>
      </c>
    </row>
    <row r="90" spans="1:7" ht="15.75" thickBot="1" x14ac:dyDescent="0.3">
      <c r="A90" t="s">
        <v>1173</v>
      </c>
      <c r="B90" s="1" t="s">
        <v>1174</v>
      </c>
      <c r="C90" s="1" t="s">
        <v>7</v>
      </c>
      <c r="D90" s="1" t="s">
        <v>1026</v>
      </c>
      <c r="E90" s="4">
        <v>1232</v>
      </c>
      <c r="F90" s="1" t="str">
        <f>VLOOKUP(D90,Table12[[Name]:[Native]],3,FALSE)</f>
        <v>景宁畲族自治县</v>
      </c>
      <c r="G90" s="14" t="str">
        <f ca="1">VLOOKUP(F90,Table12[[Native]:[Population4]],5,FALSE)</f>
        <v>丽水市</v>
      </c>
    </row>
    <row r="91" spans="1:7" ht="15.75" thickBot="1" x14ac:dyDescent="0.3">
      <c r="A91" t="s">
        <v>1175</v>
      </c>
      <c r="B91" s="1" t="s">
        <v>1176</v>
      </c>
      <c r="C91" s="1" t="s">
        <v>15</v>
      </c>
      <c r="D91" s="1" t="s">
        <v>997</v>
      </c>
      <c r="E91" s="4">
        <v>71699</v>
      </c>
      <c r="F91" s="1" t="str">
        <f>VLOOKUP(D91,Table12[[Name]:[Native]],3,FALSE)</f>
        <v>遂昌县</v>
      </c>
      <c r="G91" s="14" t="str">
        <f ca="1">VLOOKUP(F91,Table12[[Native]:[Population4]],5,FALSE)</f>
        <v>丽水市</v>
      </c>
    </row>
    <row r="92" spans="1:7" ht="15.75" thickBot="1" x14ac:dyDescent="0.3">
      <c r="A92" t="s">
        <v>1177</v>
      </c>
      <c r="B92" s="1" t="s">
        <v>1178</v>
      </c>
      <c r="C92" s="1" t="s">
        <v>15</v>
      </c>
      <c r="D92" s="1" t="s">
        <v>1014</v>
      </c>
      <c r="E92" s="4">
        <v>56574</v>
      </c>
      <c r="F92" s="1" t="str">
        <f>VLOOKUP(D92,Table12[[Name]:[Native]],3,FALSE)</f>
        <v>莲都区</v>
      </c>
      <c r="G92" s="14" t="str">
        <f ca="1">VLOOKUP(F92,Table12[[Native]:[Population4]],5,FALSE)</f>
        <v>丽水市</v>
      </c>
    </row>
    <row r="93" spans="1:7" ht="15.75" thickBot="1" x14ac:dyDescent="0.3">
      <c r="A93" t="s">
        <v>1179</v>
      </c>
      <c r="B93" s="1" t="s">
        <v>1180</v>
      </c>
      <c r="C93" s="1" t="s">
        <v>15</v>
      </c>
      <c r="D93" s="1" t="s">
        <v>1003</v>
      </c>
      <c r="E93" s="4">
        <v>8972</v>
      </c>
      <c r="F93" s="1" t="str">
        <f>VLOOKUP(D93,Table12[[Name]:[Native]],3,FALSE)</f>
        <v>庆元县</v>
      </c>
      <c r="G93" s="14" t="str">
        <f ca="1">VLOOKUP(F93,Table12[[Native]:[Population4]],5,FALSE)</f>
        <v>丽水市</v>
      </c>
    </row>
    <row r="94" spans="1:7" ht="15.75" thickBot="1" x14ac:dyDescent="0.3">
      <c r="A94" t="s">
        <v>1181</v>
      </c>
      <c r="B94" s="1" t="s">
        <v>1182</v>
      </c>
      <c r="C94" s="1" t="s">
        <v>11</v>
      </c>
      <c r="D94" s="1" t="s">
        <v>1006</v>
      </c>
      <c r="E94" s="4">
        <v>2871</v>
      </c>
      <c r="F94" s="1" t="str">
        <f>VLOOKUP(D94,Table12[[Name]:[Native]],3,FALSE)</f>
        <v>龙泉市</v>
      </c>
      <c r="G94" s="14" t="str">
        <f ca="1">VLOOKUP(F94,Table12[[Native]:[Population4]],5,FALSE)</f>
        <v>丽水市</v>
      </c>
    </row>
    <row r="95" spans="1:7" ht="15.75" thickBot="1" x14ac:dyDescent="0.3">
      <c r="A95" t="s">
        <v>1183</v>
      </c>
      <c r="B95" s="1" t="s">
        <v>1184</v>
      </c>
      <c r="C95" s="1" t="s">
        <v>7</v>
      </c>
      <c r="D95" s="1" t="s">
        <v>1061</v>
      </c>
      <c r="E95" s="4">
        <v>4979</v>
      </c>
      <c r="F95" s="1" t="str">
        <f>VLOOKUP(D95,Table12[[Name]:[Native]],3,FALSE)</f>
        <v>缙云县</v>
      </c>
      <c r="G95" s="14" t="str">
        <f ca="1">VLOOKUP(F95,Table12[[Native]:[Population4]],5,FALSE)</f>
        <v>丽水市</v>
      </c>
    </row>
    <row r="96" spans="1:7" ht="15.75" thickBot="1" x14ac:dyDescent="0.3">
      <c r="A96" t="s">
        <v>1185</v>
      </c>
      <c r="B96" s="1" t="s">
        <v>1186</v>
      </c>
      <c r="C96" s="1" t="s">
        <v>7</v>
      </c>
      <c r="D96" s="1" t="s">
        <v>1061</v>
      </c>
      <c r="E96" s="4">
        <v>12157</v>
      </c>
      <c r="F96" s="1" t="str">
        <f>VLOOKUP(D96,Table12[[Name]:[Native]],3,FALSE)</f>
        <v>缙云县</v>
      </c>
      <c r="G96" s="14" t="str">
        <f ca="1">VLOOKUP(F96,Table12[[Native]:[Population4]],5,FALSE)</f>
        <v>丽水市</v>
      </c>
    </row>
    <row r="97" spans="1:7" ht="15.75" thickBot="1" x14ac:dyDescent="0.3">
      <c r="A97" t="s">
        <v>1187</v>
      </c>
      <c r="B97" s="1" t="s">
        <v>1188</v>
      </c>
      <c r="C97" s="1" t="s">
        <v>7</v>
      </c>
      <c r="D97" s="1" t="s">
        <v>1026</v>
      </c>
      <c r="E97" s="4">
        <v>1246</v>
      </c>
      <c r="F97" s="1" t="str">
        <f>VLOOKUP(D97,Table12[[Name]:[Native]],3,FALSE)</f>
        <v>景宁畲族自治县</v>
      </c>
      <c r="G97" s="14" t="str">
        <f ca="1">VLOOKUP(F97,Table12[[Native]:[Population4]],5,FALSE)</f>
        <v>丽水市</v>
      </c>
    </row>
    <row r="98" spans="1:7" ht="15.75" thickBot="1" x14ac:dyDescent="0.3">
      <c r="A98" t="s">
        <v>1189</v>
      </c>
      <c r="B98" s="1" t="s">
        <v>1190</v>
      </c>
      <c r="C98" s="1" t="s">
        <v>7</v>
      </c>
      <c r="D98" s="1" t="s">
        <v>1023</v>
      </c>
      <c r="E98" s="4">
        <v>4724</v>
      </c>
      <c r="F98" s="1" t="str">
        <f>VLOOKUP(D98,Table12[[Name]:[Native]],3,FALSE)</f>
        <v>青田县</v>
      </c>
      <c r="G98" s="14" t="str">
        <f ca="1">VLOOKUP(F98,Table12[[Native]:[Population4]],5,FALSE)</f>
        <v>丽水市</v>
      </c>
    </row>
    <row r="99" spans="1:7" ht="15.75" thickBot="1" x14ac:dyDescent="0.3">
      <c r="A99" t="s">
        <v>1191</v>
      </c>
      <c r="B99" s="1" t="s">
        <v>1192</v>
      </c>
      <c r="C99" s="1" t="s">
        <v>11</v>
      </c>
      <c r="D99" s="1" t="s">
        <v>1023</v>
      </c>
      <c r="E99" s="4">
        <v>5432</v>
      </c>
      <c r="F99" s="1" t="str">
        <f>VLOOKUP(D99,Table12[[Name]:[Native]],3,FALSE)</f>
        <v>青田县</v>
      </c>
      <c r="G99" s="14" t="str">
        <f ca="1">VLOOKUP(F99,Table12[[Native]:[Population4]],5,FALSE)</f>
        <v>丽水市</v>
      </c>
    </row>
    <row r="100" spans="1:7" ht="15.75" thickBot="1" x14ac:dyDescent="0.3">
      <c r="A100" t="s">
        <v>1193</v>
      </c>
      <c r="B100" s="1" t="s">
        <v>1194</v>
      </c>
      <c r="C100" s="1" t="s">
        <v>7</v>
      </c>
      <c r="D100" s="1" t="s">
        <v>1061</v>
      </c>
      <c r="E100" s="4">
        <v>6971</v>
      </c>
      <c r="F100" s="1" t="str">
        <f>VLOOKUP(D100,Table12[[Name]:[Native]],3,FALSE)</f>
        <v>缙云县</v>
      </c>
      <c r="G100" s="14" t="str">
        <f ca="1">VLOOKUP(F100,Table12[[Native]:[Population4]],5,FALSE)</f>
        <v>丽水市</v>
      </c>
    </row>
    <row r="101" spans="1:7" ht="15.75" thickBot="1" x14ac:dyDescent="0.3">
      <c r="A101" t="s">
        <v>1195</v>
      </c>
      <c r="B101" s="1" t="s">
        <v>1196</v>
      </c>
      <c r="C101" s="1" t="s">
        <v>7</v>
      </c>
      <c r="D101" s="1" t="s">
        <v>1000</v>
      </c>
      <c r="E101" s="4">
        <v>2496</v>
      </c>
      <c r="F101" s="1" t="str">
        <f>VLOOKUP(D101,Table12[[Name]:[Native]],3,FALSE)</f>
        <v>松阳县</v>
      </c>
      <c r="G101" s="14" t="str">
        <f ca="1">VLOOKUP(F101,Table12[[Native]:[Population4]],5,FALSE)</f>
        <v>丽水市</v>
      </c>
    </row>
    <row r="102" spans="1:7" ht="15.75" thickBot="1" x14ac:dyDescent="0.3">
      <c r="A102" t="s">
        <v>1197</v>
      </c>
      <c r="B102" s="1" t="s">
        <v>1198</v>
      </c>
      <c r="C102" s="1" t="s">
        <v>7</v>
      </c>
      <c r="D102" s="1" t="s">
        <v>997</v>
      </c>
      <c r="E102" s="4">
        <v>7079</v>
      </c>
      <c r="F102" s="1" t="str">
        <f>VLOOKUP(D102,Table12[[Name]:[Native]],3,FALSE)</f>
        <v>遂昌县</v>
      </c>
      <c r="G102" s="14" t="str">
        <f ca="1">VLOOKUP(F102,Table12[[Native]:[Population4]],5,FALSE)</f>
        <v>丽水市</v>
      </c>
    </row>
    <row r="103" spans="1:7" ht="15.75" thickBot="1" x14ac:dyDescent="0.3">
      <c r="A103" t="s">
        <v>1199</v>
      </c>
      <c r="B103" s="1" t="s">
        <v>1200</v>
      </c>
      <c r="C103" s="1" t="s">
        <v>15</v>
      </c>
      <c r="D103" s="1" t="s">
        <v>1023</v>
      </c>
      <c r="E103" s="4">
        <v>3151</v>
      </c>
      <c r="F103" s="1" t="str">
        <f>VLOOKUP(D103,Table12[[Name]:[Native]],3,FALSE)</f>
        <v>青田县</v>
      </c>
      <c r="G103" s="14" t="str">
        <f ca="1">VLOOKUP(F103,Table12[[Native]:[Population4]],5,FALSE)</f>
        <v>丽水市</v>
      </c>
    </row>
    <row r="104" spans="1:7" ht="15.75" thickBot="1" x14ac:dyDescent="0.3">
      <c r="A104" t="s">
        <v>1201</v>
      </c>
      <c r="B104" s="1" t="s">
        <v>1202</v>
      </c>
      <c r="C104" s="1" t="s">
        <v>7</v>
      </c>
      <c r="D104" s="1" t="s">
        <v>1061</v>
      </c>
      <c r="E104" s="4">
        <v>3514</v>
      </c>
      <c r="F104" s="1" t="str">
        <f>VLOOKUP(D104,Table12[[Name]:[Native]],3,FALSE)</f>
        <v>缙云县</v>
      </c>
      <c r="G104" s="14" t="str">
        <f ca="1">VLOOKUP(F104,Table12[[Native]:[Population4]],5,FALSE)</f>
        <v>丽水市</v>
      </c>
    </row>
    <row r="105" spans="1:7" ht="15.75" thickBot="1" x14ac:dyDescent="0.3">
      <c r="A105" t="s">
        <v>1203</v>
      </c>
      <c r="B105" s="1" t="s">
        <v>1204</v>
      </c>
      <c r="C105" s="1" t="s">
        <v>11</v>
      </c>
      <c r="D105" s="1" t="s">
        <v>1006</v>
      </c>
      <c r="E105" s="4">
        <v>11703</v>
      </c>
      <c r="F105" s="1" t="str">
        <f>VLOOKUP(D105,Table12[[Name]:[Native]],3,FALSE)</f>
        <v>龙泉市</v>
      </c>
      <c r="G105" s="14" t="str">
        <f ca="1">VLOOKUP(F105,Table12[[Native]:[Population4]],5,FALSE)</f>
        <v>丽水市</v>
      </c>
    </row>
    <row r="106" spans="1:7" ht="15.75" thickBot="1" x14ac:dyDescent="0.3">
      <c r="A106" t="s">
        <v>1205</v>
      </c>
      <c r="B106" s="1" t="s">
        <v>1206</v>
      </c>
      <c r="C106" s="1" t="s">
        <v>11</v>
      </c>
      <c r="D106" s="1" t="s">
        <v>1023</v>
      </c>
      <c r="E106" s="4">
        <v>8010</v>
      </c>
      <c r="F106" s="1" t="str">
        <f>VLOOKUP(D106,Table12[[Name]:[Native]],3,FALSE)</f>
        <v>青田县</v>
      </c>
      <c r="G106" s="14" t="str">
        <f ca="1">VLOOKUP(F106,Table12[[Native]:[Population4]],5,FALSE)</f>
        <v>丽水市</v>
      </c>
    </row>
    <row r="107" spans="1:7" ht="15.75" thickBot="1" x14ac:dyDescent="0.3">
      <c r="A107" t="s">
        <v>1207</v>
      </c>
      <c r="B107" s="1" t="s">
        <v>1208</v>
      </c>
      <c r="C107" s="1" t="s">
        <v>7</v>
      </c>
      <c r="D107" s="1" t="s">
        <v>1009</v>
      </c>
      <c r="E107" s="4">
        <v>1193</v>
      </c>
      <c r="F107" s="1" t="str">
        <f>VLOOKUP(D107,Table12[[Name]:[Native]],3,FALSE)</f>
        <v>云和县</v>
      </c>
      <c r="G107" s="14" t="str">
        <f ca="1">VLOOKUP(F107,Table12[[Native]:[Population4]],5,FALSE)</f>
        <v>丽水市</v>
      </c>
    </row>
    <row r="108" spans="1:7" ht="15.75" thickBot="1" x14ac:dyDescent="0.3">
      <c r="A108" t="s">
        <v>1209</v>
      </c>
      <c r="B108" s="1" t="s">
        <v>1210</v>
      </c>
      <c r="C108" s="1" t="s">
        <v>11</v>
      </c>
      <c r="D108" s="1" t="s">
        <v>1026</v>
      </c>
      <c r="E108" s="4">
        <v>5987</v>
      </c>
      <c r="F108" s="1" t="str">
        <f>VLOOKUP(D108,Table12[[Name]:[Native]],3,FALSE)</f>
        <v>景宁畲族自治县</v>
      </c>
      <c r="G108" s="14" t="str">
        <f ca="1">VLOOKUP(F108,Table12[[Native]:[Population4]],5,FALSE)</f>
        <v>丽水市</v>
      </c>
    </row>
    <row r="109" spans="1:7" ht="15.75" thickBot="1" x14ac:dyDescent="0.3">
      <c r="A109" t="s">
        <v>1211</v>
      </c>
      <c r="B109" s="1" t="s">
        <v>1212</v>
      </c>
      <c r="C109" s="1" t="s">
        <v>15</v>
      </c>
      <c r="D109" s="1" t="s">
        <v>1006</v>
      </c>
      <c r="E109" s="4">
        <v>5221</v>
      </c>
      <c r="F109" s="1" t="str">
        <f>VLOOKUP(D109,Table12[[Name]:[Native]],3,FALSE)</f>
        <v>龙泉市</v>
      </c>
      <c r="G109" s="14" t="str">
        <f ca="1">VLOOKUP(F109,Table12[[Native]:[Population4]],5,FALSE)</f>
        <v>丽水市</v>
      </c>
    </row>
    <row r="110" spans="1:7" ht="15.75" thickBot="1" x14ac:dyDescent="0.3">
      <c r="A110" t="s">
        <v>1213</v>
      </c>
      <c r="B110" s="1" t="s">
        <v>1214</v>
      </c>
      <c r="C110" s="1" t="s">
        <v>7</v>
      </c>
      <c r="D110" s="1" t="s">
        <v>1061</v>
      </c>
      <c r="E110" s="4">
        <v>3054</v>
      </c>
      <c r="F110" s="1" t="str">
        <f>VLOOKUP(D110,Table12[[Name]:[Native]],3,FALSE)</f>
        <v>缙云县</v>
      </c>
      <c r="G110" s="14" t="str">
        <f ca="1">VLOOKUP(F110,Table12[[Native]:[Population4]],5,FALSE)</f>
        <v>丽水市</v>
      </c>
    </row>
    <row r="111" spans="1:7" ht="15.75" thickBot="1" x14ac:dyDescent="0.3">
      <c r="A111" t="s">
        <v>1215</v>
      </c>
      <c r="B111" s="1" t="s">
        <v>1216</v>
      </c>
      <c r="C111" s="1" t="s">
        <v>11</v>
      </c>
      <c r="D111" s="1" t="s">
        <v>997</v>
      </c>
      <c r="E111" s="4">
        <v>10299</v>
      </c>
      <c r="F111" s="1" t="str">
        <f>VLOOKUP(D111,Table12[[Name]:[Native]],3,FALSE)</f>
        <v>遂昌县</v>
      </c>
      <c r="G111" s="14" t="str">
        <f ca="1">VLOOKUP(F111,Table12[[Native]:[Population4]],5,FALSE)</f>
        <v>丽水市</v>
      </c>
    </row>
    <row r="112" spans="1:7" ht="15.75" thickBot="1" x14ac:dyDescent="0.3">
      <c r="A112" t="s">
        <v>1217</v>
      </c>
      <c r="B112" s="1" t="s">
        <v>1218</v>
      </c>
      <c r="C112" s="1" t="s">
        <v>11</v>
      </c>
      <c r="D112" s="1" t="s">
        <v>1009</v>
      </c>
      <c r="E112" s="4">
        <v>4146</v>
      </c>
      <c r="F112" s="1" t="str">
        <f>VLOOKUP(D112,Table12[[Name]:[Native]],3,FALSE)</f>
        <v>云和县</v>
      </c>
      <c r="G112" s="14" t="str">
        <f ca="1">VLOOKUP(F112,Table12[[Native]:[Population4]],5,FALSE)</f>
        <v>丽水市</v>
      </c>
    </row>
    <row r="113" spans="1:7" ht="15.75" thickBot="1" x14ac:dyDescent="0.3">
      <c r="A113" t="s">
        <v>1219</v>
      </c>
      <c r="B113" s="1" t="s">
        <v>1220</v>
      </c>
      <c r="C113" s="1" t="s">
        <v>7</v>
      </c>
      <c r="D113" s="1" t="s">
        <v>1061</v>
      </c>
      <c r="E113" s="4">
        <v>6043</v>
      </c>
      <c r="F113" s="1" t="str">
        <f>VLOOKUP(D113,Table12[[Name]:[Native]],3,FALSE)</f>
        <v>缙云县</v>
      </c>
      <c r="G113" s="14" t="str">
        <f ca="1">VLOOKUP(F113,Table12[[Native]:[Population4]],5,FALSE)</f>
        <v>丽水市</v>
      </c>
    </row>
    <row r="114" spans="1:7" ht="15.75" thickBot="1" x14ac:dyDescent="0.3">
      <c r="A114" t="s">
        <v>1221</v>
      </c>
      <c r="B114" s="1" t="s">
        <v>1222</v>
      </c>
      <c r="C114" s="1" t="s">
        <v>11</v>
      </c>
      <c r="D114" s="1" t="s">
        <v>1061</v>
      </c>
      <c r="E114" s="4">
        <v>14793</v>
      </c>
      <c r="F114" s="1" t="str">
        <f>VLOOKUP(D114,Table12[[Name]:[Native]],3,FALSE)</f>
        <v>缙云县</v>
      </c>
      <c r="G114" s="14" t="str">
        <f ca="1">VLOOKUP(F114,Table12[[Native]:[Population4]],5,FALSE)</f>
        <v>丽水市</v>
      </c>
    </row>
    <row r="115" spans="1:7" ht="15.75" thickBot="1" x14ac:dyDescent="0.3">
      <c r="A115" t="s">
        <v>1223</v>
      </c>
      <c r="B115" s="1" t="s">
        <v>1224</v>
      </c>
      <c r="C115" s="1" t="s">
        <v>7</v>
      </c>
      <c r="D115" s="1" t="s">
        <v>1023</v>
      </c>
      <c r="E115" s="4">
        <v>6285</v>
      </c>
      <c r="F115" s="1" t="str">
        <f>VLOOKUP(D115,Table12[[Name]:[Native]],3,FALSE)</f>
        <v>青田县</v>
      </c>
      <c r="G115" s="14" t="str">
        <f ca="1">VLOOKUP(F115,Table12[[Native]:[Population4]],5,FALSE)</f>
        <v>丽水市</v>
      </c>
    </row>
    <row r="116" spans="1:7" ht="15.75" thickBot="1" x14ac:dyDescent="0.3">
      <c r="A116" t="s">
        <v>1225</v>
      </c>
      <c r="B116" s="1" t="s">
        <v>1226</v>
      </c>
      <c r="C116" s="1" t="s">
        <v>7</v>
      </c>
      <c r="D116" s="1" t="s">
        <v>1000</v>
      </c>
      <c r="E116" s="4">
        <v>1165</v>
      </c>
      <c r="F116" s="1" t="str">
        <f>VLOOKUP(D116,Table12[[Name]:[Native]],3,FALSE)</f>
        <v>松阳县</v>
      </c>
      <c r="G116" s="14" t="str">
        <f ca="1">VLOOKUP(F116,Table12[[Native]:[Population4]],5,FALSE)</f>
        <v>丽水市</v>
      </c>
    </row>
    <row r="117" spans="1:7" ht="15.75" thickBot="1" x14ac:dyDescent="0.3">
      <c r="A117" t="s">
        <v>1227</v>
      </c>
      <c r="B117" s="1" t="s">
        <v>1228</v>
      </c>
      <c r="C117" s="1" t="s">
        <v>15</v>
      </c>
      <c r="D117" s="1" t="s">
        <v>1003</v>
      </c>
      <c r="E117" s="4">
        <v>74726</v>
      </c>
      <c r="F117" s="1" t="str">
        <f>VLOOKUP(D117,Table12[[Name]:[Native]],3,FALSE)</f>
        <v>庆元县</v>
      </c>
      <c r="G117" s="14" t="str">
        <f ca="1">VLOOKUP(F117,Table12[[Native]:[Population4]],5,FALSE)</f>
        <v>丽水市</v>
      </c>
    </row>
    <row r="118" spans="1:7" ht="15.75" thickBot="1" x14ac:dyDescent="0.3">
      <c r="A118" t="s">
        <v>1229</v>
      </c>
      <c r="B118" s="1" t="s">
        <v>1230</v>
      </c>
      <c r="C118" s="1" t="s">
        <v>7</v>
      </c>
      <c r="D118" s="1" t="s">
        <v>1014</v>
      </c>
      <c r="E118" s="4">
        <v>10894</v>
      </c>
      <c r="F118" s="1" t="str">
        <f>VLOOKUP(D118,Table12[[Name]:[Native]],3,FALSE)</f>
        <v>莲都区</v>
      </c>
      <c r="G118" s="14" t="str">
        <f ca="1">VLOOKUP(F118,Table12[[Native]:[Population4]],5,FALSE)</f>
        <v>丽水市</v>
      </c>
    </row>
    <row r="119" spans="1:7" ht="15.75" thickBot="1" x14ac:dyDescent="0.3">
      <c r="A119" t="s">
        <v>1231</v>
      </c>
      <c r="B119" s="1" t="s">
        <v>1232</v>
      </c>
      <c r="C119" s="1" t="s">
        <v>7</v>
      </c>
      <c r="D119" s="1" t="s">
        <v>1023</v>
      </c>
      <c r="E119" s="4">
        <v>1813</v>
      </c>
      <c r="F119" s="1" t="str">
        <f>VLOOKUP(D119,Table12[[Name]:[Native]],3,FALSE)</f>
        <v>青田县</v>
      </c>
      <c r="G119" s="14" t="str">
        <f ca="1">VLOOKUP(F119,Table12[[Native]:[Population4]],5,FALSE)</f>
        <v>丽水市</v>
      </c>
    </row>
    <row r="120" spans="1:7" ht="15.75" thickBot="1" x14ac:dyDescent="0.3">
      <c r="A120" t="s">
        <v>1233</v>
      </c>
      <c r="B120" s="1" t="s">
        <v>1234</v>
      </c>
      <c r="C120" s="1" t="s">
        <v>7</v>
      </c>
      <c r="D120" s="1" t="s">
        <v>1023</v>
      </c>
      <c r="E120" s="4">
        <v>3152</v>
      </c>
      <c r="F120" s="1" t="str">
        <f>VLOOKUP(D120,Table12[[Name]:[Native]],3,FALSE)</f>
        <v>青田县</v>
      </c>
      <c r="G120" s="14" t="str">
        <f ca="1">VLOOKUP(F120,Table12[[Native]:[Population4]],5,FALSE)</f>
        <v>丽水市</v>
      </c>
    </row>
    <row r="121" spans="1:7" ht="15.75" thickBot="1" x14ac:dyDescent="0.3">
      <c r="A121" t="s">
        <v>1235</v>
      </c>
      <c r="B121" s="1" t="s">
        <v>1236</v>
      </c>
      <c r="C121" s="1" t="s">
        <v>11</v>
      </c>
      <c r="D121" s="1" t="s">
        <v>997</v>
      </c>
      <c r="E121" s="4">
        <v>6310</v>
      </c>
      <c r="F121" s="1" t="str">
        <f>VLOOKUP(D121,Table12[[Name]:[Native]],3,FALSE)</f>
        <v>遂昌县</v>
      </c>
      <c r="G121" s="14" t="str">
        <f ca="1">VLOOKUP(F121,Table12[[Native]:[Population4]],5,FALSE)</f>
        <v>丽水市</v>
      </c>
    </row>
    <row r="122" spans="1:7" ht="15.75" thickBot="1" x14ac:dyDescent="0.3">
      <c r="A122" t="s">
        <v>1237</v>
      </c>
      <c r="B122" s="1" t="s">
        <v>1238</v>
      </c>
      <c r="C122" s="1" t="s">
        <v>15</v>
      </c>
      <c r="D122" s="1" t="s">
        <v>1000</v>
      </c>
      <c r="E122" s="4">
        <v>8619</v>
      </c>
      <c r="F122" s="1" t="str">
        <f>VLOOKUP(D122,Table12[[Name]:[Native]],3,FALSE)</f>
        <v>松阳县</v>
      </c>
      <c r="G122" s="14" t="str">
        <f ca="1">VLOOKUP(F122,Table12[[Native]:[Population4]],5,FALSE)</f>
        <v>丽水市</v>
      </c>
    </row>
    <row r="123" spans="1:7" ht="15.75" thickBot="1" x14ac:dyDescent="0.3">
      <c r="A123" t="s">
        <v>1239</v>
      </c>
      <c r="B123" s="1" t="s">
        <v>1240</v>
      </c>
      <c r="C123" s="1" t="s">
        <v>7</v>
      </c>
      <c r="D123" s="1" t="s">
        <v>1023</v>
      </c>
      <c r="E123" s="4">
        <v>788</v>
      </c>
      <c r="F123" s="1" t="str">
        <f>VLOOKUP(D123,Table12[[Name]:[Native]],3,FALSE)</f>
        <v>青田县</v>
      </c>
      <c r="G123" s="14" t="str">
        <f ca="1">VLOOKUP(F123,Table12[[Native]:[Population4]],5,FALSE)</f>
        <v>丽水市</v>
      </c>
    </row>
    <row r="124" spans="1:7" ht="15.75" thickBot="1" x14ac:dyDescent="0.3">
      <c r="A124" t="s">
        <v>1241</v>
      </c>
      <c r="B124" s="1" t="s">
        <v>1242</v>
      </c>
      <c r="C124" s="1" t="s">
        <v>15</v>
      </c>
      <c r="D124" s="1" t="s">
        <v>1014</v>
      </c>
      <c r="E124" s="4">
        <v>44789</v>
      </c>
      <c r="F124" s="1" t="str">
        <f>VLOOKUP(D124,Table12[[Name]:[Native]],3,FALSE)</f>
        <v>莲都区</v>
      </c>
      <c r="G124" s="14" t="str">
        <f ca="1">VLOOKUP(F124,Table12[[Native]:[Population4]],5,FALSE)</f>
        <v>丽水市</v>
      </c>
    </row>
    <row r="125" spans="1:7" ht="15.75" thickBot="1" x14ac:dyDescent="0.3">
      <c r="A125" t="s">
        <v>1243</v>
      </c>
      <c r="B125" s="1" t="s">
        <v>1244</v>
      </c>
      <c r="C125" s="1" t="s">
        <v>11</v>
      </c>
      <c r="D125" s="1" t="s">
        <v>1023</v>
      </c>
      <c r="E125" s="4">
        <v>62407</v>
      </c>
      <c r="F125" s="1" t="str">
        <f>VLOOKUP(D125,Table12[[Name]:[Native]],3,FALSE)</f>
        <v>青田县</v>
      </c>
      <c r="G125" s="14" t="str">
        <f ca="1">VLOOKUP(F125,Table12[[Native]:[Population4]],5,FALSE)</f>
        <v>丽水市</v>
      </c>
    </row>
    <row r="126" spans="1:7" ht="15.75" thickBot="1" x14ac:dyDescent="0.3">
      <c r="A126" t="s">
        <v>1245</v>
      </c>
      <c r="B126" s="1" t="s">
        <v>1246</v>
      </c>
      <c r="C126" s="1" t="s">
        <v>7</v>
      </c>
      <c r="D126" s="1" t="s">
        <v>1003</v>
      </c>
      <c r="E126" s="4">
        <v>4065</v>
      </c>
      <c r="F126" s="1" t="str">
        <f>VLOOKUP(D126,Table12[[Name]:[Native]],3,FALSE)</f>
        <v>庆元县</v>
      </c>
      <c r="G126" s="14" t="str">
        <f ca="1">VLOOKUP(F126,Table12[[Native]:[Population4]],5,FALSE)</f>
        <v>丽水市</v>
      </c>
    </row>
    <row r="127" spans="1:7" ht="15.75" thickBot="1" x14ac:dyDescent="0.3">
      <c r="A127" t="s">
        <v>1247</v>
      </c>
      <c r="B127" s="1" t="s">
        <v>1248</v>
      </c>
      <c r="C127" s="1" t="s">
        <v>7</v>
      </c>
      <c r="D127" s="1" t="s">
        <v>1023</v>
      </c>
      <c r="E127" s="4">
        <v>2769</v>
      </c>
      <c r="F127" s="1" t="str">
        <f>VLOOKUP(D127,Table12[[Name]:[Native]],3,FALSE)</f>
        <v>青田县</v>
      </c>
      <c r="G127" s="14" t="str">
        <f ca="1">VLOOKUP(F127,Table12[[Native]:[Population4]],5,FALSE)</f>
        <v>丽水市</v>
      </c>
    </row>
    <row r="128" spans="1:7" ht="15.75" thickBot="1" x14ac:dyDescent="0.3">
      <c r="A128" t="s">
        <v>1249</v>
      </c>
      <c r="B128" s="1" t="s">
        <v>1250</v>
      </c>
      <c r="C128" s="1" t="s">
        <v>7</v>
      </c>
      <c r="D128" s="1" t="s">
        <v>1026</v>
      </c>
      <c r="E128" s="4">
        <v>2781</v>
      </c>
      <c r="F128" s="1" t="str">
        <f>VLOOKUP(D128,Table12[[Name]:[Native]],3,FALSE)</f>
        <v>景宁畲族自治县</v>
      </c>
      <c r="G128" s="14" t="str">
        <f ca="1">VLOOKUP(F128,Table12[[Native]:[Population4]],5,FALSE)</f>
        <v>丽水市</v>
      </c>
    </row>
    <row r="129" spans="1:7" ht="15.75" thickBot="1" x14ac:dyDescent="0.3">
      <c r="A129" t="s">
        <v>1251</v>
      </c>
      <c r="B129" s="1" t="s">
        <v>1252</v>
      </c>
      <c r="C129" s="1" t="s">
        <v>7</v>
      </c>
      <c r="D129" s="1" t="s">
        <v>1009</v>
      </c>
      <c r="E129" s="4">
        <v>1173</v>
      </c>
      <c r="F129" s="1" t="str">
        <f>VLOOKUP(D129,Table12[[Name]:[Native]],3,FALSE)</f>
        <v>云和县</v>
      </c>
      <c r="G129" s="14" t="str">
        <f ca="1">VLOOKUP(F129,Table12[[Native]:[Population4]],5,FALSE)</f>
        <v>丽水市</v>
      </c>
    </row>
    <row r="130" spans="1:7" ht="15.75" thickBot="1" x14ac:dyDescent="0.3">
      <c r="A130" t="s">
        <v>1253</v>
      </c>
      <c r="B130" s="1" t="s">
        <v>1254</v>
      </c>
      <c r="C130" s="1" t="s">
        <v>15</v>
      </c>
      <c r="D130" s="1" t="s">
        <v>1061</v>
      </c>
      <c r="E130" s="4">
        <v>114444</v>
      </c>
      <c r="F130" s="1" t="str">
        <f>VLOOKUP(D130,Table12[[Name]:[Native]],3,FALSE)</f>
        <v>缙云县</v>
      </c>
      <c r="G130" s="14" t="str">
        <f ca="1">VLOOKUP(F130,Table12[[Native]:[Population4]],5,FALSE)</f>
        <v>丽水市</v>
      </c>
    </row>
    <row r="131" spans="1:7" ht="15.75" thickBot="1" x14ac:dyDescent="0.3">
      <c r="A131" t="s">
        <v>1255</v>
      </c>
      <c r="B131" s="1" t="s">
        <v>1256</v>
      </c>
      <c r="C131" s="1" t="s">
        <v>7</v>
      </c>
      <c r="D131" s="1" t="s">
        <v>1014</v>
      </c>
      <c r="E131" s="4">
        <v>5023</v>
      </c>
      <c r="F131" s="1" t="str">
        <f>VLOOKUP(D131,Table12[[Name]:[Native]],3,FALSE)</f>
        <v>莲都区</v>
      </c>
      <c r="G131" s="14" t="str">
        <f ca="1">VLOOKUP(F131,Table12[[Native]:[Population4]],5,FALSE)</f>
        <v>丽水市</v>
      </c>
    </row>
    <row r="132" spans="1:7" ht="15.75" thickBot="1" x14ac:dyDescent="0.3">
      <c r="A132" t="s">
        <v>1257</v>
      </c>
      <c r="B132" s="1" t="s">
        <v>1258</v>
      </c>
      <c r="C132" s="1" t="s">
        <v>11</v>
      </c>
      <c r="D132" s="1" t="s">
        <v>1000</v>
      </c>
      <c r="E132" s="4">
        <v>8765</v>
      </c>
      <c r="F132" s="1" t="str">
        <f>VLOOKUP(D132,Table12[[Name]:[Native]],3,FALSE)</f>
        <v>松阳县</v>
      </c>
      <c r="G132" s="14" t="str">
        <f ca="1">VLOOKUP(F132,Table12[[Native]:[Population4]],5,FALSE)</f>
        <v>丽水市</v>
      </c>
    </row>
    <row r="133" spans="1:7" ht="15.75" thickBot="1" x14ac:dyDescent="0.3">
      <c r="A133" t="s">
        <v>1259</v>
      </c>
      <c r="B133" s="1" t="s">
        <v>1260</v>
      </c>
      <c r="C133" s="1" t="s">
        <v>11</v>
      </c>
      <c r="D133" s="1" t="s">
        <v>1003</v>
      </c>
      <c r="E133" s="4">
        <v>1482</v>
      </c>
      <c r="F133" s="1" t="str">
        <f>VLOOKUP(D133,Table12[[Name]:[Native]],3,FALSE)</f>
        <v>庆元县</v>
      </c>
      <c r="G133" s="14" t="str">
        <f ca="1">VLOOKUP(F133,Table12[[Native]:[Population4]],5,FALSE)</f>
        <v>丽水市</v>
      </c>
    </row>
    <row r="134" spans="1:7" ht="15.75" thickBot="1" x14ac:dyDescent="0.3">
      <c r="A134" t="s">
        <v>1261</v>
      </c>
      <c r="B134" s="1" t="s">
        <v>1262</v>
      </c>
      <c r="C134" s="1" t="s">
        <v>11</v>
      </c>
      <c r="D134" s="1" t="s">
        <v>1006</v>
      </c>
      <c r="E134" s="4">
        <v>8559</v>
      </c>
      <c r="F134" s="1" t="str">
        <f>VLOOKUP(D134,Table12[[Name]:[Native]],3,FALSE)</f>
        <v>龙泉市</v>
      </c>
      <c r="G134" s="14" t="str">
        <f ca="1">VLOOKUP(F134,Table12[[Native]:[Population4]],5,FALSE)</f>
        <v>丽水市</v>
      </c>
    </row>
    <row r="135" spans="1:7" ht="15.75" thickBot="1" x14ac:dyDescent="0.3">
      <c r="A135" t="s">
        <v>1263</v>
      </c>
      <c r="B135" s="1" t="s">
        <v>1264</v>
      </c>
      <c r="C135" s="1" t="s">
        <v>7</v>
      </c>
      <c r="D135" s="1" t="s">
        <v>1023</v>
      </c>
      <c r="E135" s="4">
        <v>1362</v>
      </c>
      <c r="F135" s="1" t="str">
        <f>VLOOKUP(D135,Table12[[Name]:[Native]],3,FALSE)</f>
        <v>青田县</v>
      </c>
      <c r="G135" s="14" t="str">
        <f ca="1">VLOOKUP(F135,Table12[[Native]:[Population4]],5,FALSE)</f>
        <v>丽水市</v>
      </c>
    </row>
    <row r="136" spans="1:7" ht="15.75" thickBot="1" x14ac:dyDescent="0.3">
      <c r="A136" t="s">
        <v>1265</v>
      </c>
      <c r="B136" s="1" t="s">
        <v>1266</v>
      </c>
      <c r="C136" s="1" t="s">
        <v>7</v>
      </c>
      <c r="D136" s="1" t="s">
        <v>997</v>
      </c>
      <c r="E136" s="4">
        <v>2446</v>
      </c>
      <c r="F136" s="1" t="str">
        <f>VLOOKUP(D136,Table12[[Name]:[Native]],3,FALSE)</f>
        <v>遂昌县</v>
      </c>
      <c r="G136" s="14" t="str">
        <f ca="1">VLOOKUP(F136,Table12[[Native]:[Population4]],5,FALSE)</f>
        <v>丽水市</v>
      </c>
    </row>
    <row r="137" spans="1:7" ht="15.75" thickBot="1" x14ac:dyDescent="0.3">
      <c r="A137" t="s">
        <v>1267</v>
      </c>
      <c r="B137" s="1" t="s">
        <v>1268</v>
      </c>
      <c r="C137" s="1" t="s">
        <v>15</v>
      </c>
      <c r="D137" s="1" t="s">
        <v>1006</v>
      </c>
      <c r="E137" s="4">
        <v>22254</v>
      </c>
      <c r="F137" s="1" t="str">
        <f>VLOOKUP(D137,Table12[[Name]:[Native]],3,FALSE)</f>
        <v>龙泉市</v>
      </c>
      <c r="G137" s="14" t="str">
        <f ca="1">VLOOKUP(F137,Table12[[Native]:[Population4]],5,FALSE)</f>
        <v>丽水市</v>
      </c>
    </row>
    <row r="138" spans="1:7" ht="15.75" thickBot="1" x14ac:dyDescent="0.3">
      <c r="A138" t="s">
        <v>1269</v>
      </c>
      <c r="B138" s="1" t="s">
        <v>1270</v>
      </c>
      <c r="C138" s="1" t="s">
        <v>11</v>
      </c>
      <c r="D138" s="1" t="s">
        <v>1061</v>
      </c>
      <c r="E138" s="4">
        <v>43793</v>
      </c>
      <c r="F138" s="1" t="str">
        <f>VLOOKUP(D138,Table12[[Name]:[Native]],3,FALSE)</f>
        <v>缙云县</v>
      </c>
      <c r="G138" s="14" t="str">
        <f ca="1">VLOOKUP(F138,Table12[[Native]:[Population4]],5,FALSE)</f>
        <v>丽水市</v>
      </c>
    </row>
    <row r="139" spans="1:7" ht="15.75" thickBot="1" x14ac:dyDescent="0.3">
      <c r="A139" t="s">
        <v>1271</v>
      </c>
      <c r="B139" s="1" t="s">
        <v>1272</v>
      </c>
      <c r="C139" s="1" t="s">
        <v>11</v>
      </c>
      <c r="D139" s="1" t="s">
        <v>997</v>
      </c>
      <c r="E139" s="4">
        <v>7818</v>
      </c>
      <c r="F139" s="1" t="str">
        <f>VLOOKUP(D139,Table12[[Name]:[Native]],3,FALSE)</f>
        <v>遂昌县</v>
      </c>
      <c r="G139" s="14" t="str">
        <f ca="1">VLOOKUP(F139,Table12[[Native]:[Population4]],5,FALSE)</f>
        <v>丽水市</v>
      </c>
    </row>
    <row r="140" spans="1:7" ht="15.75" thickBot="1" x14ac:dyDescent="0.3">
      <c r="A140" t="s">
        <v>1273</v>
      </c>
      <c r="B140" s="1" t="s">
        <v>1274</v>
      </c>
      <c r="C140" s="1" t="s">
        <v>11</v>
      </c>
      <c r="D140" s="1" t="s">
        <v>1000</v>
      </c>
      <c r="E140" s="4">
        <v>14931</v>
      </c>
      <c r="F140" s="1" t="str">
        <f>VLOOKUP(D140,Table12[[Name]:[Native]],3,FALSE)</f>
        <v>松阳县</v>
      </c>
      <c r="G140" s="14" t="str">
        <f ca="1">VLOOKUP(F140,Table12[[Native]:[Population4]],5,FALSE)</f>
        <v>丽水市</v>
      </c>
    </row>
    <row r="141" spans="1:7" ht="15.75" thickBot="1" x14ac:dyDescent="0.3">
      <c r="A141" t="s">
        <v>1275</v>
      </c>
      <c r="B141" s="1" t="s">
        <v>1276</v>
      </c>
      <c r="C141" s="1" t="s">
        <v>15</v>
      </c>
      <c r="D141" s="1" t="s">
        <v>1000</v>
      </c>
      <c r="E141" s="4">
        <v>66021</v>
      </c>
      <c r="F141" s="1" t="str">
        <f>VLOOKUP(D141,Table12[[Name]:[Native]],3,FALSE)</f>
        <v>松阳县</v>
      </c>
      <c r="G141" s="14" t="str">
        <f ca="1">VLOOKUP(F141,Table12[[Native]:[Population4]],5,FALSE)</f>
        <v>丽水市</v>
      </c>
    </row>
    <row r="142" spans="1:7" ht="15.75" thickBot="1" x14ac:dyDescent="0.3">
      <c r="A142" t="s">
        <v>1277</v>
      </c>
      <c r="B142" s="1" t="s">
        <v>1278</v>
      </c>
      <c r="C142" s="1" t="s">
        <v>15</v>
      </c>
      <c r="D142" s="1" t="s">
        <v>1014</v>
      </c>
      <c r="E142" s="4">
        <v>81204</v>
      </c>
      <c r="F142" s="1" t="str">
        <f>VLOOKUP(D142,Table12[[Name]:[Native]],3,FALSE)</f>
        <v>莲都区</v>
      </c>
      <c r="G142" s="14" t="str">
        <f ca="1">VLOOKUP(F142,Table12[[Native]:[Population4]],5,FALSE)</f>
        <v>丽水市</v>
      </c>
    </row>
    <row r="143" spans="1:7" ht="15.75" thickBot="1" x14ac:dyDescent="0.3">
      <c r="A143" t="s">
        <v>1279</v>
      </c>
      <c r="B143" s="1" t="s">
        <v>1280</v>
      </c>
      <c r="C143" s="1" t="s">
        <v>7</v>
      </c>
      <c r="D143" s="1" t="s">
        <v>1026</v>
      </c>
      <c r="E143" s="4">
        <v>1107</v>
      </c>
      <c r="F143" s="1" t="str">
        <f>VLOOKUP(D143,Table12[[Name]:[Native]],3,FALSE)</f>
        <v>景宁畲族自治县</v>
      </c>
      <c r="G143" s="14" t="str">
        <f ca="1">VLOOKUP(F143,Table12[[Native]:[Population4]],5,FALSE)</f>
        <v>丽水市</v>
      </c>
    </row>
    <row r="144" spans="1:7" ht="15.75" thickBot="1" x14ac:dyDescent="0.3">
      <c r="A144" t="s">
        <v>1281</v>
      </c>
      <c r="B144" s="1" t="s">
        <v>1282</v>
      </c>
      <c r="C144" s="1" t="s">
        <v>7</v>
      </c>
      <c r="D144" s="1" t="s">
        <v>1006</v>
      </c>
      <c r="E144" s="4">
        <v>1924</v>
      </c>
      <c r="F144" s="1" t="str">
        <f>VLOOKUP(D144,Table12[[Name]:[Native]],3,FALSE)</f>
        <v>龙泉市</v>
      </c>
      <c r="G144" s="14" t="str">
        <f ca="1">VLOOKUP(F144,Table12[[Native]:[Population4]],5,FALSE)</f>
        <v>丽水市</v>
      </c>
    </row>
    <row r="145" spans="1:7" ht="15.75" thickBot="1" x14ac:dyDescent="0.3">
      <c r="A145" t="s">
        <v>1283</v>
      </c>
      <c r="B145" s="1" t="s">
        <v>1284</v>
      </c>
      <c r="C145" s="1" t="s">
        <v>11</v>
      </c>
      <c r="D145" s="1" t="s">
        <v>1014</v>
      </c>
      <c r="E145" s="4">
        <v>8411</v>
      </c>
      <c r="F145" s="1" t="str">
        <f>VLOOKUP(D145,Table12[[Name]:[Native]],3,FALSE)</f>
        <v>莲都区</v>
      </c>
      <c r="G145" s="14" t="str">
        <f ca="1">VLOOKUP(F145,Table12[[Native]:[Population4]],5,FALSE)</f>
        <v>丽水市</v>
      </c>
    </row>
    <row r="146" spans="1:7" ht="15.75" thickBot="1" x14ac:dyDescent="0.3">
      <c r="A146" t="s">
        <v>1285</v>
      </c>
      <c r="B146" s="1" t="s">
        <v>1286</v>
      </c>
      <c r="C146" s="1" t="s">
        <v>7</v>
      </c>
      <c r="D146" s="1" t="s">
        <v>1000</v>
      </c>
      <c r="E146" s="4">
        <v>6253</v>
      </c>
      <c r="F146" s="1" t="str">
        <f>VLOOKUP(D146,Table12[[Name]:[Native]],3,FALSE)</f>
        <v>松阳县</v>
      </c>
      <c r="G146" s="14" t="str">
        <f ca="1">VLOOKUP(F146,Table12[[Native]:[Population4]],5,FALSE)</f>
        <v>丽水市</v>
      </c>
    </row>
    <row r="147" spans="1:7" ht="15.75" thickBot="1" x14ac:dyDescent="0.3">
      <c r="A147" t="s">
        <v>1287</v>
      </c>
      <c r="B147" s="1" t="s">
        <v>1288</v>
      </c>
      <c r="C147" s="1" t="s">
        <v>11</v>
      </c>
      <c r="D147" s="1" t="s">
        <v>1026</v>
      </c>
      <c r="E147" s="4">
        <v>4690</v>
      </c>
      <c r="F147" s="1" t="str">
        <f>VLOOKUP(D147,Table12[[Name]:[Native]],3,FALSE)</f>
        <v>景宁畲族自治县</v>
      </c>
      <c r="G147" s="14" t="str">
        <f ca="1">VLOOKUP(F147,Table12[[Native]:[Population4]],5,FALSE)</f>
        <v>丽水市</v>
      </c>
    </row>
    <row r="148" spans="1:7" ht="15.75" thickBot="1" x14ac:dyDescent="0.3">
      <c r="A148" t="s">
        <v>1289</v>
      </c>
      <c r="B148" s="1" t="s">
        <v>1290</v>
      </c>
      <c r="C148" s="1" t="s">
        <v>7</v>
      </c>
      <c r="D148" s="1" t="s">
        <v>997</v>
      </c>
      <c r="E148" s="4">
        <v>5779</v>
      </c>
      <c r="F148" s="1" t="str">
        <f>VLOOKUP(D148,Table12[[Name]:[Native]],3,FALSE)</f>
        <v>遂昌县</v>
      </c>
      <c r="G148" s="14" t="str">
        <f ca="1">VLOOKUP(F148,Table12[[Native]:[Population4]],5,FALSE)</f>
        <v>丽水市</v>
      </c>
    </row>
    <row r="149" spans="1:7" ht="15.75" thickBot="1" x14ac:dyDescent="0.3">
      <c r="A149" t="s">
        <v>1291</v>
      </c>
      <c r="B149" s="1" t="s">
        <v>1292</v>
      </c>
      <c r="C149" s="1" t="s">
        <v>15</v>
      </c>
      <c r="D149" s="1" t="s">
        <v>997</v>
      </c>
      <c r="E149" s="4">
        <v>16450</v>
      </c>
      <c r="F149" s="1" t="str">
        <f>VLOOKUP(D149,Table12[[Name]:[Native]],3,FALSE)</f>
        <v>遂昌县</v>
      </c>
      <c r="G149" s="14" t="str">
        <f ca="1">VLOOKUP(F149,Table12[[Native]:[Population4]],5,FALSE)</f>
        <v>丽水市</v>
      </c>
    </row>
    <row r="150" spans="1:7" ht="15.75" thickBot="1" x14ac:dyDescent="0.3">
      <c r="A150" t="s">
        <v>1293</v>
      </c>
      <c r="B150" s="1" t="s">
        <v>1294</v>
      </c>
      <c r="C150" s="1" t="s">
        <v>7</v>
      </c>
      <c r="D150" s="1" t="s">
        <v>1009</v>
      </c>
      <c r="E150" s="4">
        <v>1381</v>
      </c>
      <c r="F150" s="1" t="str">
        <f>VLOOKUP(D150,Table12[[Name]:[Native]],3,FALSE)</f>
        <v>云和县</v>
      </c>
      <c r="G150" s="14" t="str">
        <f ca="1">VLOOKUP(F150,Table12[[Native]:[Population4]],5,FALSE)</f>
        <v>丽水市</v>
      </c>
    </row>
    <row r="151" spans="1:7" ht="15.75" thickBot="1" x14ac:dyDescent="0.3">
      <c r="A151" t="s">
        <v>1295</v>
      </c>
      <c r="B151" s="1" t="s">
        <v>1296</v>
      </c>
      <c r="C151" s="1" t="s">
        <v>15</v>
      </c>
      <c r="D151" s="1" t="s">
        <v>1009</v>
      </c>
      <c r="E151" s="4">
        <v>79481</v>
      </c>
      <c r="F151" s="1" t="str">
        <f>VLOOKUP(D151,Table12[[Name]:[Native]],3,FALSE)</f>
        <v>云和县</v>
      </c>
      <c r="G151" s="14" t="str">
        <f ca="1">VLOOKUP(F151,Table12[[Native]:[Population4]],5,FALSE)</f>
        <v>丽水市</v>
      </c>
    </row>
    <row r="152" spans="1:7" ht="15.75" thickBot="1" x14ac:dyDescent="0.3">
      <c r="A152" t="s">
        <v>1297</v>
      </c>
      <c r="B152" s="1" t="s">
        <v>1298</v>
      </c>
      <c r="C152" s="1" t="s">
        <v>7</v>
      </c>
      <c r="D152" s="1" t="s">
        <v>1009</v>
      </c>
      <c r="E152" s="4">
        <v>3063</v>
      </c>
      <c r="F152" s="1" t="str">
        <f>VLOOKUP(D152,Table12[[Name]:[Native]],3,FALSE)</f>
        <v>云和县</v>
      </c>
      <c r="G152" s="14" t="str">
        <f ca="1">VLOOKUP(F152,Table12[[Native]:[Population4]],5,FALSE)</f>
        <v>丽水市</v>
      </c>
    </row>
    <row r="153" spans="1:7" ht="15.75" thickBot="1" x14ac:dyDescent="0.3">
      <c r="A153" t="s">
        <v>1299</v>
      </c>
      <c r="B153" s="1" t="s">
        <v>1300</v>
      </c>
      <c r="C153" s="1" t="s">
        <v>7</v>
      </c>
      <c r="D153" s="1" t="s">
        <v>1003</v>
      </c>
      <c r="E153" s="4">
        <v>5150</v>
      </c>
      <c r="F153" s="1" t="str">
        <f>VLOOKUP(D153,Table12[[Name]:[Native]],3,FALSE)</f>
        <v>庆元县</v>
      </c>
      <c r="G153" s="14" t="str">
        <f ca="1">VLOOKUP(F153,Table12[[Native]:[Population4]],5,FALSE)</f>
        <v>丽水市</v>
      </c>
    </row>
    <row r="154" spans="1:7" ht="15.75" thickBot="1" x14ac:dyDescent="0.3">
      <c r="A154" t="s">
        <v>1301</v>
      </c>
      <c r="B154" s="1" t="s">
        <v>1302</v>
      </c>
      <c r="C154" s="1" t="s">
        <v>7</v>
      </c>
      <c r="D154" s="1" t="s">
        <v>1000</v>
      </c>
      <c r="E154" s="4">
        <v>3656</v>
      </c>
      <c r="F154" s="1" t="str">
        <f>VLOOKUP(D154,Table12[[Name]:[Native]],3,FALSE)</f>
        <v>松阳县</v>
      </c>
      <c r="G154" s="14" t="str">
        <f ca="1">VLOOKUP(F154,Table12[[Native]:[Population4]],5,FALSE)</f>
        <v>丽水市</v>
      </c>
    </row>
    <row r="155" spans="1:7" ht="15.75" thickBot="1" x14ac:dyDescent="0.3">
      <c r="A155" t="s">
        <v>1303</v>
      </c>
      <c r="B155" s="1" t="s">
        <v>1304</v>
      </c>
      <c r="C155" s="1" t="s">
        <v>11</v>
      </c>
      <c r="D155" s="1" t="s">
        <v>1000</v>
      </c>
      <c r="E155" s="4">
        <v>9213</v>
      </c>
      <c r="F155" s="1" t="str">
        <f>VLOOKUP(D155,Table12[[Name]:[Native]],3,FALSE)</f>
        <v>松阳县</v>
      </c>
      <c r="G155" s="14" t="str">
        <f ca="1">VLOOKUP(F155,Table12[[Native]:[Population4]],5,FALSE)</f>
        <v>丽水市</v>
      </c>
    </row>
    <row r="156" spans="1:7" ht="15.75" thickBot="1" x14ac:dyDescent="0.3">
      <c r="A156" t="s">
        <v>1305</v>
      </c>
      <c r="B156" s="1" t="s">
        <v>1306</v>
      </c>
      <c r="C156" s="1" t="s">
        <v>7</v>
      </c>
      <c r="D156" s="1" t="s">
        <v>1000</v>
      </c>
      <c r="E156" s="4">
        <v>6134</v>
      </c>
      <c r="F156" s="1" t="str">
        <f>VLOOKUP(D156,Table12[[Name]:[Native]],3,FALSE)</f>
        <v>松阳县</v>
      </c>
      <c r="G156" s="14" t="str">
        <f ca="1">VLOOKUP(F156,Table12[[Native]:[Population4]],5,FALSE)</f>
        <v>丽水市</v>
      </c>
    </row>
    <row r="157" spans="1:7" ht="15.75" thickBot="1" x14ac:dyDescent="0.3">
      <c r="A157" t="s">
        <v>1307</v>
      </c>
      <c r="B157" s="1" t="s">
        <v>1308</v>
      </c>
      <c r="C157" s="1" t="s">
        <v>7</v>
      </c>
      <c r="D157" s="1" t="s">
        <v>1023</v>
      </c>
      <c r="E157" s="4">
        <v>5822</v>
      </c>
      <c r="F157" s="1" t="str">
        <f>VLOOKUP(D157,Table12[[Name]:[Native]],3,FALSE)</f>
        <v>青田县</v>
      </c>
      <c r="G157" s="14" t="str">
        <f ca="1">VLOOKUP(F157,Table12[[Native]:[Population4]],5,FALSE)</f>
        <v>丽水市</v>
      </c>
    </row>
    <row r="158" spans="1:7" ht="15.75" thickBot="1" x14ac:dyDescent="0.3">
      <c r="A158" t="s">
        <v>1307</v>
      </c>
      <c r="B158" s="1" t="s">
        <v>1309</v>
      </c>
      <c r="C158" s="1" t="s">
        <v>7</v>
      </c>
      <c r="D158" s="1" t="s">
        <v>1003</v>
      </c>
      <c r="E158" s="4">
        <v>1820</v>
      </c>
      <c r="F158" s="1" t="str">
        <f>VLOOKUP(D158,Table12[[Name]:[Native]],3,FALSE)</f>
        <v>庆元县</v>
      </c>
      <c r="G158" s="14" t="str">
        <f ca="1">VLOOKUP(F158,Table12[[Native]:[Population4]],5,FALSE)</f>
        <v>丽水市</v>
      </c>
    </row>
    <row r="159" spans="1:7" ht="15.75" thickBot="1" x14ac:dyDescent="0.3">
      <c r="A159" t="s">
        <v>1310</v>
      </c>
      <c r="B159" s="1" t="s">
        <v>1311</v>
      </c>
      <c r="C159" s="1" t="s">
        <v>7</v>
      </c>
      <c r="D159" s="1" t="s">
        <v>1023</v>
      </c>
      <c r="E159" s="4">
        <v>2113</v>
      </c>
      <c r="F159" s="1" t="str">
        <f>VLOOKUP(D159,Table12[[Name]:[Native]],3,FALSE)</f>
        <v>青田县</v>
      </c>
      <c r="G159" s="14" t="str">
        <f ca="1">VLOOKUP(F159,Table12[[Native]:[Population4]],5,FALSE)</f>
        <v>丽水市</v>
      </c>
    </row>
    <row r="160" spans="1:7" ht="15.75" thickBot="1" x14ac:dyDescent="0.3">
      <c r="A160" t="s">
        <v>1312</v>
      </c>
      <c r="B160" s="1" t="s">
        <v>1313</v>
      </c>
      <c r="C160" s="1" t="s">
        <v>7</v>
      </c>
      <c r="D160" s="1" t="s">
        <v>1000</v>
      </c>
      <c r="E160" s="4">
        <v>7231</v>
      </c>
      <c r="F160" s="1" t="str">
        <f>VLOOKUP(D160,Table12[[Name]:[Native]],3,FALSE)</f>
        <v>松阳县</v>
      </c>
      <c r="G160" s="14" t="str">
        <f ca="1">VLOOKUP(F160,Table12[[Native]:[Population4]],5,FALSE)</f>
        <v>丽水市</v>
      </c>
    </row>
    <row r="161" spans="1:7" ht="15.75" thickBot="1" x14ac:dyDescent="0.3">
      <c r="A161" t="s">
        <v>1314</v>
      </c>
      <c r="B161" s="1" t="s">
        <v>1315</v>
      </c>
      <c r="C161" s="1" t="s">
        <v>7</v>
      </c>
      <c r="D161" s="1" t="s">
        <v>997</v>
      </c>
      <c r="E161" s="4">
        <v>4362</v>
      </c>
      <c r="F161" s="1" t="str">
        <f>VLOOKUP(D161,Table12[[Name]:[Native]],3,FALSE)</f>
        <v>遂昌县</v>
      </c>
      <c r="G161" s="14" t="str">
        <f ca="1">VLOOKUP(F161,Table12[[Native]:[Population4]],5,FALSE)</f>
        <v>丽水市</v>
      </c>
    </row>
    <row r="162" spans="1:7" ht="15.75" thickBot="1" x14ac:dyDescent="0.3">
      <c r="A162" t="s">
        <v>1316</v>
      </c>
      <c r="B162" s="1" t="s">
        <v>1317</v>
      </c>
      <c r="C162" s="1" t="s">
        <v>11</v>
      </c>
      <c r="D162" s="1" t="s">
        <v>1023</v>
      </c>
      <c r="E162" s="4">
        <v>8150</v>
      </c>
      <c r="F162" s="1" t="str">
        <f>VLOOKUP(D162,Table12[[Name]:[Native]],3,FALSE)</f>
        <v>青田县</v>
      </c>
      <c r="G162" s="14" t="str">
        <f ca="1">VLOOKUP(F162,Table12[[Native]:[Population4]],5,FALSE)</f>
        <v>丽水市</v>
      </c>
    </row>
    <row r="163" spans="1:7" ht="15.75" thickBot="1" x14ac:dyDescent="0.3">
      <c r="A163" t="s">
        <v>1318</v>
      </c>
      <c r="B163" s="1" t="s">
        <v>1319</v>
      </c>
      <c r="C163" s="1" t="s">
        <v>7</v>
      </c>
      <c r="D163" s="1" t="s">
        <v>1026</v>
      </c>
      <c r="E163" s="4">
        <v>1619</v>
      </c>
      <c r="F163" s="1" t="str">
        <f>VLOOKUP(D163,Table12[[Name]:[Native]],3,FALSE)</f>
        <v>景宁畲族自治县</v>
      </c>
      <c r="G163" s="14" t="str">
        <f ca="1">VLOOKUP(F163,Table12[[Native]:[Population4]],5,FALSE)</f>
        <v>丽水市</v>
      </c>
    </row>
    <row r="164" spans="1:7" ht="15.75" thickBot="1" x14ac:dyDescent="0.3">
      <c r="A164" t="s">
        <v>1320</v>
      </c>
      <c r="B164" s="1" t="s">
        <v>1321</v>
      </c>
      <c r="C164" s="1" t="s">
        <v>7</v>
      </c>
      <c r="D164" s="1" t="s">
        <v>1023</v>
      </c>
      <c r="E164" s="4">
        <v>2312</v>
      </c>
      <c r="F164" s="1" t="str">
        <f>VLOOKUP(D164,Table12[[Name]:[Native]],3,FALSE)</f>
        <v>青田县</v>
      </c>
      <c r="G164" s="14" t="str">
        <f ca="1">VLOOKUP(F164,Table12[[Native]:[Population4]],5,FALSE)</f>
        <v>丽水市</v>
      </c>
    </row>
    <row r="165" spans="1:7" ht="15.75" thickBot="1" x14ac:dyDescent="0.3">
      <c r="A165" t="s">
        <v>1322</v>
      </c>
      <c r="B165" s="1" t="s">
        <v>1323</v>
      </c>
      <c r="C165" s="1" t="s">
        <v>7</v>
      </c>
      <c r="D165" s="1" t="s">
        <v>1009</v>
      </c>
      <c r="E165" s="4">
        <v>4122</v>
      </c>
      <c r="F165" s="1" t="str">
        <f>VLOOKUP(D165,Table12[[Name]:[Native]],3,FALSE)</f>
        <v>云和县</v>
      </c>
      <c r="G165" s="14" t="str">
        <f ca="1">VLOOKUP(F165,Table12[[Native]:[Population4]],5,FALSE)</f>
        <v>丽水市</v>
      </c>
    </row>
    <row r="166" spans="1:7" ht="15.75" thickBot="1" x14ac:dyDescent="0.3">
      <c r="A166" t="s">
        <v>1324</v>
      </c>
      <c r="B166" s="1" t="s">
        <v>1325</v>
      </c>
      <c r="C166" s="1" t="s">
        <v>11</v>
      </c>
      <c r="D166" s="1" t="s">
        <v>1003</v>
      </c>
      <c r="E166" s="4">
        <v>8335</v>
      </c>
      <c r="F166" s="1" t="str">
        <f>VLOOKUP(D166,Table12[[Name]:[Native]],3,FALSE)</f>
        <v>庆元县</v>
      </c>
      <c r="G166" s="14" t="str">
        <f ca="1">VLOOKUP(F166,Table12[[Native]:[Population4]],5,FALSE)</f>
        <v>丽水市</v>
      </c>
    </row>
    <row r="167" spans="1:7" ht="15.75" thickBot="1" x14ac:dyDescent="0.3">
      <c r="A167" t="s">
        <v>1326</v>
      </c>
      <c r="B167" s="1" t="s">
        <v>1327</v>
      </c>
      <c r="C167" s="1" t="s">
        <v>11</v>
      </c>
      <c r="D167" s="1" t="s">
        <v>1006</v>
      </c>
      <c r="E167" s="4">
        <v>4498</v>
      </c>
      <c r="F167" s="1" t="str">
        <f>VLOOKUP(D167,Table12[[Name]:[Native]],3,FALSE)</f>
        <v>龙泉市</v>
      </c>
      <c r="G167" s="14" t="str">
        <f ca="1">VLOOKUP(F167,Table12[[Native]:[Population4]],5,FALSE)</f>
        <v>丽水市</v>
      </c>
    </row>
    <row r="168" spans="1:7" ht="15.75" thickBot="1" x14ac:dyDescent="0.3">
      <c r="A168" t="s">
        <v>1328</v>
      </c>
      <c r="B168" s="1" t="s">
        <v>1329</v>
      </c>
      <c r="C168" s="1" t="s">
        <v>7</v>
      </c>
      <c r="D168" s="1" t="s">
        <v>1006</v>
      </c>
      <c r="E168" s="4">
        <v>5325</v>
      </c>
      <c r="F168" s="1" t="str">
        <f>VLOOKUP(D168,Table12[[Name]:[Native]],3,FALSE)</f>
        <v>龙泉市</v>
      </c>
      <c r="G168" s="14" t="str">
        <f ca="1">VLOOKUP(F168,Table12[[Native]:[Population4]],5,FALSE)</f>
        <v>丽水市</v>
      </c>
    </row>
    <row r="169" spans="1:7" ht="15.75" thickBot="1" x14ac:dyDescent="0.3">
      <c r="A169" t="s">
        <v>1330</v>
      </c>
      <c r="B169" s="1" t="s">
        <v>1331</v>
      </c>
      <c r="C169" s="1" t="s">
        <v>7</v>
      </c>
      <c r="D169" s="1" t="s">
        <v>1000</v>
      </c>
      <c r="E169" s="4">
        <v>1966</v>
      </c>
      <c r="F169" s="1" t="str">
        <f>VLOOKUP(D169,Table12[[Name]:[Native]],3,FALSE)</f>
        <v>松阳县</v>
      </c>
      <c r="G169" s="14" t="str">
        <f ca="1">VLOOKUP(F169,Table12[[Native]:[Population4]],5,FALSE)</f>
        <v>丽水市</v>
      </c>
    </row>
    <row r="170" spans="1:7" ht="15.75" thickBot="1" x14ac:dyDescent="0.3">
      <c r="A170" t="s">
        <v>1332</v>
      </c>
      <c r="B170" s="1" t="s">
        <v>1333</v>
      </c>
      <c r="C170" s="1" t="s">
        <v>15</v>
      </c>
      <c r="D170" s="1" t="s">
        <v>1014</v>
      </c>
      <c r="E170" s="4">
        <v>82505</v>
      </c>
      <c r="F170" s="1" t="str">
        <f>VLOOKUP(D170,Table12[[Name]:[Native]],3,FALSE)</f>
        <v>莲都区</v>
      </c>
      <c r="G170" s="14" t="str">
        <f ca="1">VLOOKUP(F170,Table12[[Native]:[Population4]],5,FALSE)</f>
        <v>丽水市</v>
      </c>
    </row>
    <row r="171" spans="1:7" ht="15.75" thickBot="1" x14ac:dyDescent="0.3">
      <c r="A171" t="s">
        <v>1334</v>
      </c>
      <c r="B171" s="3" t="s">
        <v>1335</v>
      </c>
      <c r="C171" s="3" t="s">
        <v>11</v>
      </c>
      <c r="D171" s="3" t="s">
        <v>1003</v>
      </c>
      <c r="E171" s="11">
        <v>2073</v>
      </c>
      <c r="F171" s="10" t="str">
        <f>VLOOKUP(D171,Table12[[Name]:[Native]],3,FALSE)</f>
        <v>庆元县</v>
      </c>
      <c r="G171" s="14" t="str">
        <f ca="1">VLOOKUP(F171,Table12[[Native]:[Population4]],5,FALSE)</f>
        <v>丽水市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812AC-EEE5-4B6D-8B2E-8B4A7665081E}">
  <dimension ref="A1:G156"/>
  <sheetViews>
    <sheetView topLeftCell="A131" workbookViewId="0">
      <selection activeCell="G2" sqref="A2:G156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3023</v>
      </c>
      <c r="G1" t="s">
        <v>3025</v>
      </c>
    </row>
    <row r="2" spans="1:7" ht="15.75" thickBot="1" x14ac:dyDescent="0.3">
      <c r="A2" t="s">
        <v>1336</v>
      </c>
      <c r="B2" s="1" t="s">
        <v>1337</v>
      </c>
      <c r="C2" s="1" t="s">
        <v>11</v>
      </c>
      <c r="D2" s="1" t="s">
        <v>1338</v>
      </c>
      <c r="E2" s="4">
        <v>47021</v>
      </c>
      <c r="F2" s="9" t="str">
        <f>VLOOKUP(D2,Table12[[Name]:[Native]],3,FALSE)</f>
        <v>慈溪市</v>
      </c>
      <c r="G2" s="14" t="str">
        <f ca="1">VLOOKUP(F2,Table12[[Native]:[Population4]],5,FALSE)</f>
        <v>宁波市</v>
      </c>
    </row>
    <row r="3" spans="1:7" ht="15.75" thickBot="1" x14ac:dyDescent="0.3">
      <c r="A3" t="s">
        <v>1339</v>
      </c>
      <c r="B3" s="1" t="s">
        <v>1340</v>
      </c>
      <c r="C3" s="1" t="s">
        <v>15</v>
      </c>
      <c r="D3" s="1" t="s">
        <v>1341</v>
      </c>
      <c r="E3" s="4">
        <v>36651</v>
      </c>
      <c r="F3" s="1" t="str">
        <f>VLOOKUP(D3,Table12[[Name]:[Native]],3,FALSE)</f>
        <v>北仑区</v>
      </c>
      <c r="G3" s="14" t="str">
        <f ca="1">VLOOKUP(F3,Table12[[Native]:[Population4]],5,FALSE)</f>
        <v>宁波市</v>
      </c>
    </row>
    <row r="4" spans="1:7" ht="15.75" thickBot="1" x14ac:dyDescent="0.3">
      <c r="A4" t="s">
        <v>1342</v>
      </c>
      <c r="B4" s="1" t="s">
        <v>1343</v>
      </c>
      <c r="C4" s="1" t="s">
        <v>15</v>
      </c>
      <c r="D4" s="1" t="s">
        <v>1344</v>
      </c>
      <c r="E4" s="4">
        <v>67018</v>
      </c>
      <c r="F4" s="1" t="str">
        <f>VLOOKUP(D4,Table12[[Name]:[Native]],3,FALSE)</f>
        <v>鄞州区</v>
      </c>
      <c r="G4" s="14" t="str">
        <f ca="1">VLOOKUP(F4,Table12[[Native]:[Population4]],5,FALSE)</f>
        <v>宁波市</v>
      </c>
    </row>
    <row r="5" spans="1:7" ht="15.75" thickBot="1" x14ac:dyDescent="0.3">
      <c r="A5" t="s">
        <v>1345</v>
      </c>
      <c r="B5" s="1" t="s">
        <v>1346</v>
      </c>
      <c r="C5" s="1" t="s">
        <v>15</v>
      </c>
      <c r="D5" s="1" t="s">
        <v>1338</v>
      </c>
      <c r="E5" s="4">
        <v>82511</v>
      </c>
      <c r="F5" s="1" t="str">
        <f>VLOOKUP(D5,Table12[[Name]:[Native]],3,FALSE)</f>
        <v>慈溪市</v>
      </c>
      <c r="G5" s="14" t="str">
        <f ca="1">VLOOKUP(F5,Table12[[Native]:[Population4]],5,FALSE)</f>
        <v>宁波市</v>
      </c>
    </row>
    <row r="6" spans="1:7" ht="15.75" thickBot="1" x14ac:dyDescent="0.3">
      <c r="A6" t="s">
        <v>719</v>
      </c>
      <c r="B6" s="1" t="s">
        <v>720</v>
      </c>
      <c r="C6" s="1" t="s">
        <v>15</v>
      </c>
      <c r="D6" s="1" t="s">
        <v>1347</v>
      </c>
      <c r="E6" s="4">
        <v>60568</v>
      </c>
      <c r="F6" s="1" t="str">
        <f>VLOOKUP(D6,Table12[[Name]:[Native]],3,FALSE)</f>
        <v>海曙区</v>
      </c>
      <c r="G6" s="14" t="str">
        <f ca="1">VLOOKUP(F6,Table12[[Native]:[Population4]],5,FALSE)</f>
        <v>宁波市</v>
      </c>
    </row>
    <row r="7" spans="1:7" ht="15.75" thickBot="1" x14ac:dyDescent="0.3">
      <c r="A7" t="s">
        <v>1348</v>
      </c>
      <c r="B7" s="1" t="s">
        <v>1349</v>
      </c>
      <c r="C7" s="1" t="s">
        <v>15</v>
      </c>
      <c r="D7" s="1" t="s">
        <v>1344</v>
      </c>
      <c r="E7" s="4">
        <v>48258</v>
      </c>
      <c r="F7" s="1" t="str">
        <f>VLOOKUP(D7,Table12[[Name]:[Native]],3,FALSE)</f>
        <v>鄞州区</v>
      </c>
      <c r="G7" s="14" t="str">
        <f ca="1">VLOOKUP(F7,Table12[[Native]:[Population4]],5,FALSE)</f>
        <v>宁波市</v>
      </c>
    </row>
    <row r="8" spans="1:7" ht="15.75" thickBot="1" x14ac:dyDescent="0.3">
      <c r="A8" t="s">
        <v>1350</v>
      </c>
      <c r="B8" s="1" t="s">
        <v>1351</v>
      </c>
      <c r="C8" s="1" t="s">
        <v>253</v>
      </c>
      <c r="D8" s="1" t="s">
        <v>1341</v>
      </c>
      <c r="E8" s="4">
        <v>13234</v>
      </c>
      <c r="F8" s="1" t="str">
        <f>VLOOKUP(D8,Table12[[Name]:[Native]],3,FALSE)</f>
        <v>北仑区</v>
      </c>
      <c r="G8" s="14" t="str">
        <f ca="1">VLOOKUP(F8,Table12[[Native]:[Population4]],5,FALSE)</f>
        <v>宁波市</v>
      </c>
    </row>
    <row r="9" spans="1:7" ht="15.75" thickBot="1" x14ac:dyDescent="0.3">
      <c r="A9" t="s">
        <v>1352</v>
      </c>
      <c r="B9" s="1" t="s">
        <v>1353</v>
      </c>
      <c r="C9" s="1" t="s">
        <v>15</v>
      </c>
      <c r="D9" s="1" t="s">
        <v>1341</v>
      </c>
      <c r="E9" s="4">
        <v>45883</v>
      </c>
      <c r="F9" s="1" t="str">
        <f>VLOOKUP(D9,Table12[[Name]:[Native]],3,FALSE)</f>
        <v>北仑区</v>
      </c>
      <c r="G9" s="14" t="str">
        <f ca="1">VLOOKUP(F9,Table12[[Native]:[Population4]],5,FALSE)</f>
        <v>宁波市</v>
      </c>
    </row>
    <row r="10" spans="1:7" ht="15.75" thickBot="1" x14ac:dyDescent="0.3">
      <c r="A10" t="s">
        <v>1354</v>
      </c>
      <c r="B10" s="1" t="s">
        <v>1355</v>
      </c>
      <c r="C10" s="1" t="s">
        <v>11</v>
      </c>
      <c r="D10" s="1" t="s">
        <v>1356</v>
      </c>
      <c r="E10" s="4">
        <v>19061</v>
      </c>
      <c r="F10" s="1" t="str">
        <f>VLOOKUP(D10,Table12[[Name]:[Native]],3,FALSE)</f>
        <v>宁海县</v>
      </c>
      <c r="G10" s="14" t="str">
        <f ca="1">VLOOKUP(F10,Table12[[Native]:[Population4]],5,FALSE)</f>
        <v>宁波市</v>
      </c>
    </row>
    <row r="11" spans="1:7" ht="15.75" thickBot="1" x14ac:dyDescent="0.3">
      <c r="A11" t="s">
        <v>1357</v>
      </c>
      <c r="B11" s="1" t="s">
        <v>1358</v>
      </c>
      <c r="C11" s="1" t="s">
        <v>11</v>
      </c>
      <c r="D11" s="1" t="s">
        <v>1338</v>
      </c>
      <c r="E11" s="4">
        <v>52275</v>
      </c>
      <c r="F11" s="1" t="str">
        <f>VLOOKUP(D11,Table12[[Name]:[Native]],3,FALSE)</f>
        <v>慈溪市</v>
      </c>
      <c r="G11" s="14" t="str">
        <f ca="1">VLOOKUP(F11,Table12[[Native]:[Population4]],5,FALSE)</f>
        <v>宁波市</v>
      </c>
    </row>
    <row r="12" spans="1:7" ht="15.75" thickBot="1" x14ac:dyDescent="0.3">
      <c r="A12" t="s">
        <v>1359</v>
      </c>
      <c r="B12" s="1" t="s">
        <v>1360</v>
      </c>
      <c r="C12" s="1" t="s">
        <v>11</v>
      </c>
      <c r="D12" s="1" t="s">
        <v>1356</v>
      </c>
      <c r="E12" s="4">
        <v>47977</v>
      </c>
      <c r="F12" s="1" t="str">
        <f>VLOOKUP(D12,Table12[[Name]:[Native]],3,FALSE)</f>
        <v>宁海县</v>
      </c>
      <c r="G12" s="14" t="str">
        <f ca="1">VLOOKUP(F12,Table12[[Native]:[Population4]],5,FALSE)</f>
        <v>宁波市</v>
      </c>
    </row>
    <row r="13" spans="1:7" ht="15.75" thickBot="1" x14ac:dyDescent="0.3">
      <c r="A13" t="s">
        <v>1361</v>
      </c>
      <c r="B13" s="1" t="s">
        <v>1362</v>
      </c>
      <c r="C13" s="1" t="s">
        <v>7</v>
      </c>
      <c r="D13" s="1" t="s">
        <v>1356</v>
      </c>
      <c r="E13" s="4">
        <v>14773</v>
      </c>
      <c r="F13" s="1" t="str">
        <f>VLOOKUP(D13,Table12[[Name]:[Native]],3,FALSE)</f>
        <v>宁海县</v>
      </c>
      <c r="G13" s="14" t="str">
        <f ca="1">VLOOKUP(F13,Table12[[Native]:[Population4]],5,FALSE)</f>
        <v>宁波市</v>
      </c>
    </row>
    <row r="14" spans="1:7" ht="15.75" thickBot="1" x14ac:dyDescent="0.3">
      <c r="A14" t="s">
        <v>1363</v>
      </c>
      <c r="B14" s="1" t="s">
        <v>1364</v>
      </c>
      <c r="C14" s="1" t="s">
        <v>11</v>
      </c>
      <c r="D14" s="1" t="s">
        <v>1338</v>
      </c>
      <c r="E14" s="4">
        <v>37762</v>
      </c>
      <c r="F14" s="1" t="str">
        <f>VLOOKUP(D14,Table12[[Name]:[Native]],3,FALSE)</f>
        <v>慈溪市</v>
      </c>
      <c r="G14" s="14" t="str">
        <f ca="1">VLOOKUP(F14,Table12[[Native]:[Population4]],5,FALSE)</f>
        <v>宁波市</v>
      </c>
    </row>
    <row r="15" spans="1:7" ht="15.75" thickBot="1" x14ac:dyDescent="0.3">
      <c r="A15" t="s">
        <v>1365</v>
      </c>
      <c r="B15" s="1" t="s">
        <v>1366</v>
      </c>
      <c r="C15" s="1" t="s">
        <v>15</v>
      </c>
      <c r="D15" s="1" t="s">
        <v>1367</v>
      </c>
      <c r="E15" s="4">
        <v>55027</v>
      </c>
      <c r="F15" s="1" t="str">
        <f>VLOOKUP(D15,Table12[[Name]:[Native]],3,FALSE)</f>
        <v>奉化区</v>
      </c>
      <c r="G15" s="14" t="str">
        <f ca="1">VLOOKUP(F15,Table12[[Native]:[Population4]],5,FALSE)</f>
        <v>宁波市</v>
      </c>
    </row>
    <row r="16" spans="1:7" ht="15.75" thickBot="1" x14ac:dyDescent="0.3">
      <c r="A16" t="s">
        <v>1368</v>
      </c>
      <c r="B16" s="1" t="s">
        <v>1369</v>
      </c>
      <c r="C16" s="1" t="s">
        <v>15</v>
      </c>
      <c r="D16" s="1" t="s">
        <v>1341</v>
      </c>
      <c r="E16" s="4">
        <v>17912</v>
      </c>
      <c r="F16" s="1" t="str">
        <f>VLOOKUP(D16,Table12[[Name]:[Native]],3,FALSE)</f>
        <v>北仑区</v>
      </c>
      <c r="G16" s="14" t="str">
        <f ca="1">VLOOKUP(F16,Table12[[Native]:[Population4]],5,FALSE)</f>
        <v>宁波市</v>
      </c>
    </row>
    <row r="17" spans="1:7" ht="15.75" thickBot="1" x14ac:dyDescent="0.3">
      <c r="A17" t="s">
        <v>1370</v>
      </c>
      <c r="B17" s="1" t="s">
        <v>1371</v>
      </c>
      <c r="C17" s="1" t="s">
        <v>11</v>
      </c>
      <c r="D17" s="1" t="s">
        <v>1372</v>
      </c>
      <c r="E17" s="4">
        <v>67640</v>
      </c>
      <c r="F17" s="1" t="str">
        <f>VLOOKUP(D17,Table12[[Name]:[Native]],3,FALSE)</f>
        <v>江北区</v>
      </c>
      <c r="G17" s="14" t="str">
        <f ca="1">VLOOKUP(F17,Table12[[Native]:[Population4]],5,FALSE)</f>
        <v>宁波市</v>
      </c>
    </row>
    <row r="18" spans="1:7" ht="15.75" thickBot="1" x14ac:dyDescent="0.3">
      <c r="A18" t="s">
        <v>1373</v>
      </c>
      <c r="B18" s="1" t="s">
        <v>1374</v>
      </c>
      <c r="C18" s="1" t="s">
        <v>253</v>
      </c>
      <c r="D18" s="1" t="s">
        <v>1338</v>
      </c>
      <c r="E18" s="4">
        <v>4607</v>
      </c>
      <c r="F18" s="1" t="str">
        <f>VLOOKUP(D18,Table12[[Name]:[Native]],3,FALSE)</f>
        <v>慈溪市</v>
      </c>
      <c r="G18" s="14" t="str">
        <f ca="1">VLOOKUP(F18,Table12[[Native]:[Population4]],5,FALSE)</f>
        <v>宁波市</v>
      </c>
    </row>
    <row r="19" spans="1:7" ht="15.75" thickBot="1" x14ac:dyDescent="0.3">
      <c r="A19" t="s">
        <v>1375</v>
      </c>
      <c r="B19" s="1" t="s">
        <v>1376</v>
      </c>
      <c r="C19" s="1" t="s">
        <v>253</v>
      </c>
      <c r="D19" s="1" t="s">
        <v>1338</v>
      </c>
      <c r="E19" s="4">
        <v>6</v>
      </c>
      <c r="F19" s="1" t="str">
        <f>VLOOKUP(D19,Table12[[Name]:[Native]],3,FALSE)</f>
        <v>慈溪市</v>
      </c>
      <c r="G19" s="14" t="str">
        <f ca="1">VLOOKUP(F19,Table12[[Native]:[Population4]],5,FALSE)</f>
        <v>宁波市</v>
      </c>
    </row>
    <row r="20" spans="1:7" ht="15.75" thickBot="1" x14ac:dyDescent="0.3">
      <c r="A20" t="s">
        <v>1377</v>
      </c>
      <c r="B20" s="1" t="s">
        <v>1378</v>
      </c>
      <c r="C20" s="1" t="s">
        <v>253</v>
      </c>
      <c r="D20" s="1" t="s">
        <v>1338</v>
      </c>
      <c r="E20" s="4">
        <v>667</v>
      </c>
      <c r="F20" s="1" t="str">
        <f>VLOOKUP(D20,Table12[[Name]:[Native]],3,FALSE)</f>
        <v>慈溪市</v>
      </c>
      <c r="G20" s="14" t="str">
        <f ca="1">VLOOKUP(F20,Table12[[Native]:[Population4]],5,FALSE)</f>
        <v>宁波市</v>
      </c>
    </row>
    <row r="21" spans="1:7" ht="15.75" thickBot="1" x14ac:dyDescent="0.3">
      <c r="A21" t="s">
        <v>1379</v>
      </c>
      <c r="B21" s="1" t="s">
        <v>1380</v>
      </c>
      <c r="C21" s="1" t="s">
        <v>11</v>
      </c>
      <c r="D21" s="1" t="s">
        <v>1356</v>
      </c>
      <c r="E21" s="4">
        <v>16689</v>
      </c>
      <c r="F21" s="1" t="str">
        <f>VLOOKUP(D21,Table12[[Name]:[Native]],3,FALSE)</f>
        <v>宁海县</v>
      </c>
      <c r="G21" s="14" t="str">
        <f ca="1">VLOOKUP(F21,Table12[[Native]:[Population4]],5,FALSE)</f>
        <v>宁波市</v>
      </c>
    </row>
    <row r="22" spans="1:7" ht="15.75" thickBot="1" x14ac:dyDescent="0.3">
      <c r="A22" t="s">
        <v>1381</v>
      </c>
      <c r="B22" s="1" t="s">
        <v>1382</v>
      </c>
      <c r="C22" s="1" t="s">
        <v>11</v>
      </c>
      <c r="D22" s="1" t="s">
        <v>1383</v>
      </c>
      <c r="E22" s="4">
        <v>7799</v>
      </c>
      <c r="F22" s="1" t="str">
        <f>VLOOKUP(D22,Table12[[Name]:[Native]],3,FALSE)</f>
        <v>余姚市</v>
      </c>
      <c r="G22" s="14" t="str">
        <f ca="1">VLOOKUP(F22,Table12[[Native]:[Population4]],5,FALSE)</f>
        <v>宁波市</v>
      </c>
    </row>
    <row r="23" spans="1:7" ht="15.75" thickBot="1" x14ac:dyDescent="0.3">
      <c r="A23" t="s">
        <v>1384</v>
      </c>
      <c r="B23" s="1" t="s">
        <v>1385</v>
      </c>
      <c r="C23" s="1" t="s">
        <v>15</v>
      </c>
      <c r="D23" s="1" t="s">
        <v>1386</v>
      </c>
      <c r="E23" s="4">
        <v>78998</v>
      </c>
      <c r="F23" s="1" t="str">
        <f>VLOOKUP(D23,Table12[[Name]:[Native]],3,FALSE)</f>
        <v>象山县</v>
      </c>
      <c r="G23" s="14" t="str">
        <f ca="1">VLOOKUP(F23,Table12[[Native]:[Population4]],5,FALSE)</f>
        <v>宁波市</v>
      </c>
    </row>
    <row r="24" spans="1:7" ht="15.75" thickBot="1" x14ac:dyDescent="0.3">
      <c r="A24" t="s">
        <v>1387</v>
      </c>
      <c r="B24" s="1" t="s">
        <v>1388</v>
      </c>
      <c r="C24" s="1" t="s">
        <v>15</v>
      </c>
      <c r="D24" s="1" t="s">
        <v>1386</v>
      </c>
      <c r="E24" s="4">
        <v>80490</v>
      </c>
      <c r="F24" s="1" t="str">
        <f>VLOOKUP(D24,Table12[[Name]:[Native]],3,FALSE)</f>
        <v>象山县</v>
      </c>
      <c r="G24" s="14" t="str">
        <f ca="1">VLOOKUP(F24,Table12[[Native]:[Population4]],5,FALSE)</f>
        <v>宁波市</v>
      </c>
    </row>
    <row r="25" spans="1:7" ht="15.75" thickBot="1" x14ac:dyDescent="0.3">
      <c r="A25" t="s">
        <v>1389</v>
      </c>
      <c r="B25" s="1" t="s">
        <v>1390</v>
      </c>
      <c r="C25" s="1" t="s">
        <v>15</v>
      </c>
      <c r="D25" s="1" t="s">
        <v>1341</v>
      </c>
      <c r="E25" s="4">
        <v>133564</v>
      </c>
      <c r="F25" s="1" t="str">
        <f>VLOOKUP(D25,Table12[[Name]:[Native]],3,FALSE)</f>
        <v>北仑区</v>
      </c>
      <c r="G25" s="14" t="str">
        <f ca="1">VLOOKUP(F25,Table12[[Native]:[Population4]],5,FALSE)</f>
        <v>宁波市</v>
      </c>
    </row>
    <row r="26" spans="1:7" ht="15.75" thickBot="1" x14ac:dyDescent="0.3">
      <c r="A26" t="s">
        <v>1391</v>
      </c>
      <c r="B26" s="1" t="s">
        <v>1392</v>
      </c>
      <c r="C26" s="1" t="s">
        <v>15</v>
      </c>
      <c r="D26" s="1" t="s">
        <v>1341</v>
      </c>
      <c r="E26" s="4">
        <v>39164</v>
      </c>
      <c r="F26" s="1" t="str">
        <f>VLOOKUP(D26,Table12[[Name]:[Native]],3,FALSE)</f>
        <v>北仑区</v>
      </c>
      <c r="G26" s="14" t="str">
        <f ca="1">VLOOKUP(F26,Table12[[Native]:[Population4]],5,FALSE)</f>
        <v>宁波市</v>
      </c>
    </row>
    <row r="27" spans="1:7" ht="15.75" thickBot="1" x14ac:dyDescent="0.3">
      <c r="A27" t="s">
        <v>1393</v>
      </c>
      <c r="B27" s="1" t="s">
        <v>1394</v>
      </c>
      <c r="C27" s="1" t="s">
        <v>11</v>
      </c>
      <c r="D27" s="1" t="s">
        <v>1386</v>
      </c>
      <c r="E27" s="4">
        <v>12787</v>
      </c>
      <c r="F27" s="1" t="str">
        <f>VLOOKUP(D27,Table12[[Name]:[Native]],3,FALSE)</f>
        <v>象山县</v>
      </c>
      <c r="G27" s="14" t="str">
        <f ca="1">VLOOKUP(F27,Table12[[Native]:[Population4]],5,FALSE)</f>
        <v>宁波市</v>
      </c>
    </row>
    <row r="28" spans="1:7" ht="15.75" thickBot="1" x14ac:dyDescent="0.3">
      <c r="A28" t="s">
        <v>1395</v>
      </c>
      <c r="B28" s="1" t="s">
        <v>1396</v>
      </c>
      <c r="C28" s="1" t="s">
        <v>11</v>
      </c>
      <c r="D28" s="1" t="s">
        <v>1367</v>
      </c>
      <c r="E28" s="4">
        <v>11126</v>
      </c>
      <c r="F28" s="1" t="str">
        <f>VLOOKUP(D28,Table12[[Name]:[Native]],3,FALSE)</f>
        <v>奉化区</v>
      </c>
      <c r="G28" s="14" t="str">
        <f ca="1">VLOOKUP(F28,Table12[[Native]:[Population4]],5,FALSE)</f>
        <v>宁波市</v>
      </c>
    </row>
    <row r="29" spans="1:7" ht="15.75" thickBot="1" x14ac:dyDescent="0.3">
      <c r="A29" t="s">
        <v>1397</v>
      </c>
      <c r="B29" s="1" t="s">
        <v>1398</v>
      </c>
      <c r="C29" s="1" t="s">
        <v>11</v>
      </c>
      <c r="D29" s="1" t="s">
        <v>1383</v>
      </c>
      <c r="E29" s="4">
        <v>12008</v>
      </c>
      <c r="F29" s="1" t="str">
        <f>VLOOKUP(D29,Table12[[Name]:[Native]],3,FALSE)</f>
        <v>余姚市</v>
      </c>
      <c r="G29" s="14" t="str">
        <f ca="1">VLOOKUP(F29,Table12[[Native]:[Population4]],5,FALSE)</f>
        <v>宁波市</v>
      </c>
    </row>
    <row r="30" spans="1:7" ht="15.75" thickBot="1" x14ac:dyDescent="0.3">
      <c r="A30" t="s">
        <v>1399</v>
      </c>
      <c r="B30" s="1" t="s">
        <v>1400</v>
      </c>
      <c r="C30" s="1" t="s">
        <v>11</v>
      </c>
      <c r="D30" s="1" t="s">
        <v>1386</v>
      </c>
      <c r="E30" s="4">
        <v>19938</v>
      </c>
      <c r="F30" s="1" t="str">
        <f>VLOOKUP(D30,Table12[[Name]:[Native]],3,FALSE)</f>
        <v>象山县</v>
      </c>
      <c r="G30" s="14" t="str">
        <f ca="1">VLOOKUP(F30,Table12[[Native]:[Population4]],5,FALSE)</f>
        <v>宁波市</v>
      </c>
    </row>
    <row r="31" spans="1:7" ht="15.75" thickBot="1" x14ac:dyDescent="0.3">
      <c r="A31" t="s">
        <v>1401</v>
      </c>
      <c r="B31" s="1" t="s">
        <v>1402</v>
      </c>
      <c r="C31" s="1" t="s">
        <v>15</v>
      </c>
      <c r="D31" s="1" t="s">
        <v>1383</v>
      </c>
      <c r="E31" s="4">
        <v>60205</v>
      </c>
      <c r="F31" s="1" t="str">
        <f>VLOOKUP(D31,Table12[[Name]:[Native]],3,FALSE)</f>
        <v>余姚市</v>
      </c>
      <c r="G31" s="14" t="str">
        <f ca="1">VLOOKUP(F31,Table12[[Native]:[Population4]],5,FALSE)</f>
        <v>宁波市</v>
      </c>
    </row>
    <row r="32" spans="1:7" ht="15.75" thickBot="1" x14ac:dyDescent="0.3">
      <c r="A32" t="s">
        <v>1403</v>
      </c>
      <c r="B32" s="1" t="s">
        <v>1404</v>
      </c>
      <c r="C32" s="1" t="s">
        <v>7</v>
      </c>
      <c r="D32" s="1" t="s">
        <v>1386</v>
      </c>
      <c r="E32" s="4">
        <v>17056</v>
      </c>
      <c r="F32" s="1" t="str">
        <f>VLOOKUP(D32,Table12[[Name]:[Native]],3,FALSE)</f>
        <v>象山县</v>
      </c>
      <c r="G32" s="14" t="str">
        <f ca="1">VLOOKUP(F32,Table12[[Native]:[Population4]],5,FALSE)</f>
        <v>宁波市</v>
      </c>
    </row>
    <row r="33" spans="1:7" ht="15.75" thickBot="1" x14ac:dyDescent="0.3">
      <c r="A33" t="s">
        <v>1405</v>
      </c>
      <c r="B33" s="1" t="s">
        <v>1406</v>
      </c>
      <c r="C33" s="1" t="s">
        <v>15</v>
      </c>
      <c r="D33" s="1" t="s">
        <v>1344</v>
      </c>
      <c r="E33" s="4">
        <v>8523</v>
      </c>
      <c r="F33" s="1" t="str">
        <f>VLOOKUP(D33,Table12[[Name]:[Native]],3,FALSE)</f>
        <v>鄞州区</v>
      </c>
      <c r="G33" s="14" t="str">
        <f ca="1">VLOOKUP(F33,Table12[[Native]:[Population4]],5,FALSE)</f>
        <v>宁波市</v>
      </c>
    </row>
    <row r="34" spans="1:7" ht="15.75" thickBot="1" x14ac:dyDescent="0.3">
      <c r="A34" t="s">
        <v>1407</v>
      </c>
      <c r="B34" s="1" t="s">
        <v>1408</v>
      </c>
      <c r="C34" s="1" t="s">
        <v>15</v>
      </c>
      <c r="D34" s="1" t="s">
        <v>1344</v>
      </c>
      <c r="E34" s="4">
        <v>73447</v>
      </c>
      <c r="F34" s="1" t="str">
        <f>VLOOKUP(D34,Table12[[Name]:[Native]],3,FALSE)</f>
        <v>鄞州区</v>
      </c>
      <c r="G34" s="14" t="str">
        <f ca="1">VLOOKUP(F34,Table12[[Native]:[Population4]],5,FALSE)</f>
        <v>宁波市</v>
      </c>
    </row>
    <row r="35" spans="1:7" ht="15.75" thickBot="1" x14ac:dyDescent="0.3">
      <c r="A35" t="s">
        <v>1409</v>
      </c>
      <c r="B35" s="1" t="s">
        <v>1410</v>
      </c>
      <c r="C35" s="1" t="s">
        <v>11</v>
      </c>
      <c r="D35" s="1" t="s">
        <v>1344</v>
      </c>
      <c r="E35" s="4">
        <v>66244</v>
      </c>
      <c r="F35" s="1" t="str">
        <f>VLOOKUP(D35,Table12[[Name]:[Native]],3,FALSE)</f>
        <v>鄞州区</v>
      </c>
      <c r="G35" s="14" t="str">
        <f ca="1">VLOOKUP(F35,Table12[[Native]:[Population4]],5,FALSE)</f>
        <v>宁波市</v>
      </c>
    </row>
    <row r="36" spans="1:7" ht="15.75" thickBot="1" x14ac:dyDescent="0.3">
      <c r="A36" t="s">
        <v>91</v>
      </c>
      <c r="B36" s="1" t="s">
        <v>92</v>
      </c>
      <c r="C36" s="1" t="s">
        <v>11</v>
      </c>
      <c r="D36" s="1" t="s">
        <v>1347</v>
      </c>
      <c r="E36" s="4">
        <v>35491</v>
      </c>
      <c r="F36" s="1" t="str">
        <f>VLOOKUP(D36,Table12[[Name]:[Native]],3,FALSE)</f>
        <v>海曙区</v>
      </c>
      <c r="G36" s="14" t="str">
        <f ca="1">VLOOKUP(F36,Table12[[Native]:[Population4]],5,FALSE)</f>
        <v>宁波市</v>
      </c>
    </row>
    <row r="37" spans="1:7" ht="15.75" thickBot="1" x14ac:dyDescent="0.3">
      <c r="A37" t="s">
        <v>1411</v>
      </c>
      <c r="B37" s="1" t="s">
        <v>1412</v>
      </c>
      <c r="C37" s="1" t="s">
        <v>15</v>
      </c>
      <c r="D37" s="1" t="s">
        <v>1344</v>
      </c>
      <c r="E37" s="4">
        <v>38016</v>
      </c>
      <c r="F37" s="1" t="str">
        <f>VLOOKUP(D37,Table12[[Name]:[Native]],3,FALSE)</f>
        <v>鄞州区</v>
      </c>
      <c r="G37" s="14" t="str">
        <f ca="1">VLOOKUP(F37,Table12[[Native]:[Population4]],5,FALSE)</f>
        <v>宁波市</v>
      </c>
    </row>
    <row r="38" spans="1:7" ht="15.75" thickBot="1" x14ac:dyDescent="0.3">
      <c r="A38" t="s">
        <v>1413</v>
      </c>
      <c r="B38" s="1" t="s">
        <v>1414</v>
      </c>
      <c r="C38" s="1" t="s">
        <v>11</v>
      </c>
      <c r="D38" s="1" t="s">
        <v>1344</v>
      </c>
      <c r="E38" s="4">
        <v>23949</v>
      </c>
      <c r="F38" s="1" t="str">
        <f>VLOOKUP(D38,Table12[[Name]:[Native]],3,FALSE)</f>
        <v>鄞州区</v>
      </c>
      <c r="G38" s="14" t="str">
        <f ca="1">VLOOKUP(F38,Table12[[Native]:[Population4]],5,FALSE)</f>
        <v>宁波市</v>
      </c>
    </row>
    <row r="39" spans="1:7" ht="15.75" thickBot="1" x14ac:dyDescent="0.3">
      <c r="A39" t="s">
        <v>1415</v>
      </c>
      <c r="B39" s="1" t="s">
        <v>1416</v>
      </c>
      <c r="C39" s="1" t="s">
        <v>15</v>
      </c>
      <c r="D39" s="1" t="s">
        <v>1347</v>
      </c>
      <c r="E39" s="4">
        <v>54882</v>
      </c>
      <c r="F39" s="1" t="str">
        <f>VLOOKUP(D39,Table12[[Name]:[Native]],3,FALSE)</f>
        <v>海曙区</v>
      </c>
      <c r="G39" s="14" t="str">
        <f ca="1">VLOOKUP(F39,Table12[[Native]:[Population4]],5,FALSE)</f>
        <v>宁波市</v>
      </c>
    </row>
    <row r="40" spans="1:7" ht="15.75" thickBot="1" x14ac:dyDescent="0.3">
      <c r="A40" t="s">
        <v>1417</v>
      </c>
      <c r="B40" s="1" t="s">
        <v>1418</v>
      </c>
      <c r="C40" s="1" t="s">
        <v>15</v>
      </c>
      <c r="D40" s="1" t="s">
        <v>1383</v>
      </c>
      <c r="E40" s="4">
        <v>82569</v>
      </c>
      <c r="F40" s="1" t="str">
        <f>VLOOKUP(D40,Table12[[Name]:[Native]],3,FALSE)</f>
        <v>余姚市</v>
      </c>
      <c r="G40" s="14" t="str">
        <f ca="1">VLOOKUP(F40,Table12[[Native]:[Population4]],5,FALSE)</f>
        <v>宁波市</v>
      </c>
    </row>
    <row r="41" spans="1:7" ht="15.75" thickBot="1" x14ac:dyDescent="0.3">
      <c r="A41" t="s">
        <v>1419</v>
      </c>
      <c r="B41" s="1" t="s">
        <v>1420</v>
      </c>
      <c r="C41" s="1" t="s">
        <v>11</v>
      </c>
      <c r="D41" s="1" t="s">
        <v>1338</v>
      </c>
      <c r="E41" s="4">
        <v>45828</v>
      </c>
      <c r="F41" s="1" t="str">
        <f>VLOOKUP(D41,Table12[[Name]:[Native]],3,FALSE)</f>
        <v>慈溪市</v>
      </c>
      <c r="G41" s="14" t="str">
        <f ca="1">VLOOKUP(F41,Table12[[Native]:[Population4]],5,FALSE)</f>
        <v>宁波市</v>
      </c>
    </row>
    <row r="42" spans="1:7" ht="15.75" thickBot="1" x14ac:dyDescent="0.3">
      <c r="A42" t="s">
        <v>1421</v>
      </c>
      <c r="B42" s="1" t="s">
        <v>1422</v>
      </c>
      <c r="C42" s="1" t="s">
        <v>15</v>
      </c>
      <c r="D42" s="1" t="s">
        <v>1344</v>
      </c>
      <c r="E42" s="4">
        <v>61701</v>
      </c>
      <c r="F42" s="1" t="str">
        <f>VLOOKUP(D42,Table12[[Name]:[Native]],3,FALSE)</f>
        <v>鄞州区</v>
      </c>
      <c r="G42" s="14" t="str">
        <f ca="1">VLOOKUP(F42,Table12[[Native]:[Population4]],5,FALSE)</f>
        <v>宁波市</v>
      </c>
    </row>
    <row r="43" spans="1:7" ht="15.75" thickBot="1" x14ac:dyDescent="0.3">
      <c r="A43" t="s">
        <v>1423</v>
      </c>
      <c r="B43" s="1" t="s">
        <v>1424</v>
      </c>
      <c r="C43" s="1" t="s">
        <v>11</v>
      </c>
      <c r="D43" s="1" t="s">
        <v>1347</v>
      </c>
      <c r="E43" s="4">
        <v>90598</v>
      </c>
      <c r="F43" s="1" t="str">
        <f>VLOOKUP(D43,Table12[[Name]:[Native]],3,FALSE)</f>
        <v>海曙区</v>
      </c>
      <c r="G43" s="14" t="str">
        <f ca="1">VLOOKUP(F43,Table12[[Native]:[Population4]],5,FALSE)</f>
        <v>宁波市</v>
      </c>
    </row>
    <row r="44" spans="1:7" ht="15.75" thickBot="1" x14ac:dyDescent="0.3">
      <c r="A44" t="s">
        <v>1425</v>
      </c>
      <c r="B44" s="1" t="s">
        <v>1426</v>
      </c>
      <c r="C44" s="1" t="s">
        <v>7</v>
      </c>
      <c r="D44" s="1" t="s">
        <v>1386</v>
      </c>
      <c r="E44" s="4">
        <v>16171</v>
      </c>
      <c r="F44" s="1" t="str">
        <f>VLOOKUP(D44,Table12[[Name]:[Native]],3,FALSE)</f>
        <v>象山县</v>
      </c>
      <c r="G44" s="14" t="str">
        <f ca="1">VLOOKUP(F44,Table12[[Native]:[Population4]],5,FALSE)</f>
        <v>宁波市</v>
      </c>
    </row>
    <row r="45" spans="1:7" ht="15.75" thickBot="1" x14ac:dyDescent="0.3">
      <c r="A45" t="s">
        <v>1427</v>
      </c>
      <c r="B45" s="1" t="s">
        <v>1428</v>
      </c>
      <c r="C45" s="1" t="s">
        <v>11</v>
      </c>
      <c r="D45" s="1" t="s">
        <v>1338</v>
      </c>
      <c r="E45" s="4">
        <v>152249</v>
      </c>
      <c r="F45" s="1" t="str">
        <f>VLOOKUP(D45,Table12[[Name]:[Native]],3,FALSE)</f>
        <v>慈溪市</v>
      </c>
      <c r="G45" s="14" t="str">
        <f ca="1">VLOOKUP(F45,Table12[[Native]:[Population4]],5,FALSE)</f>
        <v>宁波市</v>
      </c>
    </row>
    <row r="46" spans="1:7" ht="15.75" thickBot="1" x14ac:dyDescent="0.3">
      <c r="A46" t="s">
        <v>1429</v>
      </c>
      <c r="B46" s="1" t="s">
        <v>1430</v>
      </c>
      <c r="C46" s="1" t="s">
        <v>11</v>
      </c>
      <c r="D46" s="1" t="s">
        <v>1347</v>
      </c>
      <c r="E46" s="4">
        <v>108601</v>
      </c>
      <c r="F46" s="1" t="str">
        <f>VLOOKUP(D46,Table12[[Name]:[Native]],3,FALSE)</f>
        <v>海曙区</v>
      </c>
      <c r="G46" s="14" t="str">
        <f ca="1">VLOOKUP(F46,Table12[[Native]:[Population4]],5,FALSE)</f>
        <v>宁波市</v>
      </c>
    </row>
    <row r="47" spans="1:7" ht="15.75" thickBot="1" x14ac:dyDescent="0.3">
      <c r="A47" t="s">
        <v>1431</v>
      </c>
      <c r="B47" s="1" t="s">
        <v>1432</v>
      </c>
      <c r="C47" s="1" t="s">
        <v>15</v>
      </c>
      <c r="D47" s="1" t="s">
        <v>1347</v>
      </c>
      <c r="E47" s="4">
        <v>28862</v>
      </c>
      <c r="F47" s="1" t="str">
        <f>VLOOKUP(D47,Table12[[Name]:[Native]],3,FALSE)</f>
        <v>海曙区</v>
      </c>
      <c r="G47" s="14" t="str">
        <f ca="1">VLOOKUP(F47,Table12[[Native]:[Population4]],5,FALSE)</f>
        <v>宁波市</v>
      </c>
    </row>
    <row r="48" spans="1:7" ht="15.75" thickBot="1" x14ac:dyDescent="0.3">
      <c r="A48" t="s">
        <v>1433</v>
      </c>
      <c r="B48" s="1" t="s">
        <v>1434</v>
      </c>
      <c r="C48" s="1" t="s">
        <v>15</v>
      </c>
      <c r="D48" s="1" t="s">
        <v>1338</v>
      </c>
      <c r="E48" s="4">
        <v>72020</v>
      </c>
      <c r="F48" s="1" t="str">
        <f>VLOOKUP(D48,Table12[[Name]:[Native]],3,FALSE)</f>
        <v>慈溪市</v>
      </c>
      <c r="G48" s="14" t="str">
        <f ca="1">VLOOKUP(F48,Table12[[Native]:[Population4]],5,FALSE)</f>
        <v>宁波市</v>
      </c>
    </row>
    <row r="49" spans="1:7" ht="15.75" thickBot="1" x14ac:dyDescent="0.3">
      <c r="A49" t="s">
        <v>1435</v>
      </c>
      <c r="B49" s="1" t="s">
        <v>1436</v>
      </c>
      <c r="C49" s="1" t="s">
        <v>11</v>
      </c>
      <c r="D49" s="1" t="s">
        <v>1383</v>
      </c>
      <c r="E49" s="4">
        <v>25775</v>
      </c>
      <c r="F49" s="1" t="str">
        <f>VLOOKUP(D49,Table12[[Name]:[Native]],3,FALSE)</f>
        <v>余姚市</v>
      </c>
      <c r="G49" s="14" t="str">
        <f ca="1">VLOOKUP(F49,Table12[[Native]:[Population4]],5,FALSE)</f>
        <v>宁波市</v>
      </c>
    </row>
    <row r="50" spans="1:7" ht="15.75" thickBot="1" x14ac:dyDescent="0.3">
      <c r="A50" t="s">
        <v>1437</v>
      </c>
      <c r="B50" s="1" t="s">
        <v>1438</v>
      </c>
      <c r="C50" s="1" t="s">
        <v>11</v>
      </c>
      <c r="D50" s="1" t="s">
        <v>1338</v>
      </c>
      <c r="E50" s="4">
        <v>94391</v>
      </c>
      <c r="F50" s="1" t="str">
        <f>VLOOKUP(D50,Table12[[Name]:[Native]],3,FALSE)</f>
        <v>慈溪市</v>
      </c>
      <c r="G50" s="14" t="str">
        <f ca="1">VLOOKUP(F50,Table12[[Native]:[Population4]],5,FALSE)</f>
        <v>宁波市</v>
      </c>
    </row>
    <row r="51" spans="1:7" ht="15.75" thickBot="1" x14ac:dyDescent="0.3">
      <c r="A51" t="s">
        <v>1439</v>
      </c>
      <c r="B51" s="1" t="s">
        <v>1440</v>
      </c>
      <c r="C51" s="1" t="s">
        <v>11</v>
      </c>
      <c r="D51" s="1" t="s">
        <v>1347</v>
      </c>
      <c r="E51" s="4">
        <v>43804</v>
      </c>
      <c r="F51" s="1" t="str">
        <f>VLOOKUP(D51,Table12[[Name]:[Native]],3,FALSE)</f>
        <v>海曙区</v>
      </c>
      <c r="G51" s="14" t="str">
        <f ca="1">VLOOKUP(F51,Table12[[Native]:[Population4]],5,FALSE)</f>
        <v>宁波市</v>
      </c>
    </row>
    <row r="52" spans="1:7" ht="15.75" thickBot="1" x14ac:dyDescent="0.3">
      <c r="A52" t="s">
        <v>783</v>
      </c>
      <c r="B52" s="1" t="s">
        <v>784</v>
      </c>
      <c r="C52" s="1" t="s">
        <v>11</v>
      </c>
      <c r="D52" s="1" t="s">
        <v>1344</v>
      </c>
      <c r="E52" s="4">
        <v>40066</v>
      </c>
      <c r="F52" s="1" t="str">
        <f>VLOOKUP(D52,Table12[[Name]:[Native]],3,FALSE)</f>
        <v>鄞州区</v>
      </c>
      <c r="G52" s="14" t="str">
        <f ca="1">VLOOKUP(F52,Table12[[Native]:[Population4]],5,FALSE)</f>
        <v>宁波市</v>
      </c>
    </row>
    <row r="53" spans="1:7" ht="15.75" thickBot="1" x14ac:dyDescent="0.3">
      <c r="A53" t="s">
        <v>1441</v>
      </c>
      <c r="B53" s="1" t="s">
        <v>1442</v>
      </c>
      <c r="C53" s="1" t="s">
        <v>11</v>
      </c>
      <c r="D53" s="1" t="s">
        <v>1386</v>
      </c>
      <c r="E53" s="4">
        <v>25952</v>
      </c>
      <c r="F53" s="1" t="str">
        <f>VLOOKUP(D53,Table12[[Name]:[Native]],3,FALSE)</f>
        <v>象山县</v>
      </c>
      <c r="G53" s="14" t="str">
        <f ca="1">VLOOKUP(F53,Table12[[Native]:[Population4]],5,FALSE)</f>
        <v>宁波市</v>
      </c>
    </row>
    <row r="54" spans="1:7" ht="15.75" thickBot="1" x14ac:dyDescent="0.3">
      <c r="A54" t="s">
        <v>1443</v>
      </c>
      <c r="B54" s="1" t="s">
        <v>1444</v>
      </c>
      <c r="C54" s="1" t="s">
        <v>15</v>
      </c>
      <c r="D54" s="1" t="s">
        <v>1372</v>
      </c>
      <c r="E54" s="4">
        <v>54794</v>
      </c>
      <c r="F54" s="1" t="str">
        <f>VLOOKUP(D54,Table12[[Name]:[Native]],3,FALSE)</f>
        <v>江北区</v>
      </c>
      <c r="G54" s="14" t="str">
        <f ca="1">VLOOKUP(F54,Table12[[Native]:[Population4]],5,FALSE)</f>
        <v>宁波市</v>
      </c>
    </row>
    <row r="55" spans="1:7" ht="15.75" thickBot="1" x14ac:dyDescent="0.3">
      <c r="A55" t="s">
        <v>1445</v>
      </c>
      <c r="B55" s="1" t="s">
        <v>1446</v>
      </c>
      <c r="C55" s="1" t="s">
        <v>7</v>
      </c>
      <c r="D55" s="1" t="s">
        <v>1386</v>
      </c>
      <c r="E55" s="4">
        <v>6767</v>
      </c>
      <c r="F55" s="1" t="str">
        <f>VLOOKUP(D55,Table12[[Name]:[Native]],3,FALSE)</f>
        <v>象山县</v>
      </c>
      <c r="G55" s="14" t="str">
        <f ca="1">VLOOKUP(F55,Table12[[Native]:[Population4]],5,FALSE)</f>
        <v>宁波市</v>
      </c>
    </row>
    <row r="56" spans="1:7" ht="15.75" thickBot="1" x14ac:dyDescent="0.3">
      <c r="A56" t="s">
        <v>1447</v>
      </c>
      <c r="B56" s="1" t="s">
        <v>1448</v>
      </c>
      <c r="C56" s="1" t="s">
        <v>11</v>
      </c>
      <c r="D56" s="1" t="s">
        <v>1383</v>
      </c>
      <c r="E56" s="4">
        <v>41378</v>
      </c>
      <c r="F56" s="1" t="str">
        <f>VLOOKUP(D56,Table12[[Name]:[Native]],3,FALSE)</f>
        <v>余姚市</v>
      </c>
      <c r="G56" s="14" t="str">
        <f ca="1">VLOOKUP(F56,Table12[[Native]:[Population4]],5,FALSE)</f>
        <v>宁波市</v>
      </c>
    </row>
    <row r="57" spans="1:7" ht="15.75" thickBot="1" x14ac:dyDescent="0.3">
      <c r="A57" t="s">
        <v>1449</v>
      </c>
      <c r="B57" s="1" t="s">
        <v>1450</v>
      </c>
      <c r="C57" s="1" t="s">
        <v>11</v>
      </c>
      <c r="D57" s="1" t="s">
        <v>1356</v>
      </c>
      <c r="E57" s="4">
        <v>22542</v>
      </c>
      <c r="F57" s="1" t="str">
        <f>VLOOKUP(D57,Table12[[Name]:[Native]],3,FALSE)</f>
        <v>宁海县</v>
      </c>
      <c r="G57" s="14" t="str">
        <f ca="1">VLOOKUP(F57,Table12[[Native]:[Population4]],5,FALSE)</f>
        <v>宁波市</v>
      </c>
    </row>
    <row r="58" spans="1:7" ht="15.75" thickBot="1" x14ac:dyDescent="0.3">
      <c r="A58" t="s">
        <v>1451</v>
      </c>
      <c r="B58" s="1" t="s">
        <v>1452</v>
      </c>
      <c r="C58" s="1" t="s">
        <v>7</v>
      </c>
      <c r="D58" s="1" t="s">
        <v>1356</v>
      </c>
      <c r="E58" s="4">
        <v>11231</v>
      </c>
      <c r="F58" s="1" t="str">
        <f>VLOOKUP(D58,Table12[[Name]:[Native]],3,FALSE)</f>
        <v>宁海县</v>
      </c>
      <c r="G58" s="14" t="str">
        <f ca="1">VLOOKUP(F58,Table12[[Native]:[Population4]],5,FALSE)</f>
        <v>宁波市</v>
      </c>
    </row>
    <row r="59" spans="1:7" ht="15.75" thickBot="1" x14ac:dyDescent="0.3">
      <c r="A59" t="s">
        <v>1453</v>
      </c>
      <c r="B59" s="1" t="s">
        <v>1454</v>
      </c>
      <c r="C59" s="1" t="s">
        <v>15</v>
      </c>
      <c r="D59" s="1" t="s">
        <v>1338</v>
      </c>
      <c r="E59" s="4">
        <v>92140</v>
      </c>
      <c r="F59" s="1" t="str">
        <f>VLOOKUP(D59,Table12[[Name]:[Native]],3,FALSE)</f>
        <v>慈溪市</v>
      </c>
      <c r="G59" s="14" t="str">
        <f ca="1">VLOOKUP(F59,Table12[[Native]:[Population4]],5,FALSE)</f>
        <v>宁波市</v>
      </c>
    </row>
    <row r="60" spans="1:7" ht="15.75" thickBot="1" x14ac:dyDescent="0.3">
      <c r="A60" t="s">
        <v>1455</v>
      </c>
      <c r="B60" s="1" t="s">
        <v>1456</v>
      </c>
      <c r="C60" s="1" t="s">
        <v>15</v>
      </c>
      <c r="D60" s="1" t="s">
        <v>1367</v>
      </c>
      <c r="E60" s="4">
        <v>58580</v>
      </c>
      <c r="F60" s="1" t="str">
        <f>VLOOKUP(D60,Table12[[Name]:[Native]],3,FALSE)</f>
        <v>奉化区</v>
      </c>
      <c r="G60" s="14" t="str">
        <f ca="1">VLOOKUP(F60,Table12[[Native]:[Population4]],5,FALSE)</f>
        <v>宁波市</v>
      </c>
    </row>
    <row r="61" spans="1:7" ht="15.75" thickBot="1" x14ac:dyDescent="0.3">
      <c r="A61" t="s">
        <v>1457</v>
      </c>
      <c r="B61" s="1" t="s">
        <v>1458</v>
      </c>
      <c r="C61" s="1" t="s">
        <v>11</v>
      </c>
      <c r="D61" s="1" t="s">
        <v>1344</v>
      </c>
      <c r="E61" s="4">
        <v>100410</v>
      </c>
      <c r="F61" s="1" t="str">
        <f>VLOOKUP(D61,Table12[[Name]:[Native]],3,FALSE)</f>
        <v>鄞州区</v>
      </c>
      <c r="G61" s="14" t="str">
        <f ca="1">VLOOKUP(F61,Table12[[Native]:[Population4]],5,FALSE)</f>
        <v>宁波市</v>
      </c>
    </row>
    <row r="62" spans="1:7" ht="15.75" thickBot="1" x14ac:dyDescent="0.3">
      <c r="A62" t="s">
        <v>1459</v>
      </c>
      <c r="B62" s="1" t="s">
        <v>1460</v>
      </c>
      <c r="C62" s="1" t="s">
        <v>15</v>
      </c>
      <c r="D62" s="1" t="s">
        <v>1347</v>
      </c>
      <c r="E62" s="4">
        <v>15773</v>
      </c>
      <c r="F62" s="1" t="str">
        <f>VLOOKUP(D62,Table12[[Name]:[Native]],3,FALSE)</f>
        <v>海曙区</v>
      </c>
      <c r="G62" s="14" t="str">
        <f ca="1">VLOOKUP(F62,Table12[[Native]:[Population4]],5,FALSE)</f>
        <v>宁波市</v>
      </c>
    </row>
    <row r="63" spans="1:7" ht="15.75" thickBot="1" x14ac:dyDescent="0.3">
      <c r="A63" t="s">
        <v>1461</v>
      </c>
      <c r="B63" s="1" t="s">
        <v>1462</v>
      </c>
      <c r="C63" s="1" t="s">
        <v>15</v>
      </c>
      <c r="D63" s="1" t="s">
        <v>1463</v>
      </c>
      <c r="E63" s="4">
        <v>103000</v>
      </c>
      <c r="F63" s="1" t="str">
        <f>VLOOKUP(D63,Table12[[Name]:[Native]],3,FALSE)</f>
        <v>镇海区</v>
      </c>
      <c r="G63" s="14" t="str">
        <f ca="1">VLOOKUP(F63,Table12[[Native]:[Population4]],5,FALSE)</f>
        <v>宁波市</v>
      </c>
    </row>
    <row r="64" spans="1:7" ht="15.75" thickBot="1" x14ac:dyDescent="0.3">
      <c r="A64" t="s">
        <v>1464</v>
      </c>
      <c r="B64" s="1" t="s">
        <v>1465</v>
      </c>
      <c r="C64" s="1" t="s">
        <v>15</v>
      </c>
      <c r="D64" s="1" t="s">
        <v>1367</v>
      </c>
      <c r="E64" s="4">
        <v>97782</v>
      </c>
      <c r="F64" s="1" t="str">
        <f>VLOOKUP(D64,Table12[[Name]:[Native]],3,FALSE)</f>
        <v>奉化区</v>
      </c>
      <c r="G64" s="14" t="str">
        <f ca="1">VLOOKUP(F64,Table12[[Native]:[Population4]],5,FALSE)</f>
        <v>宁波市</v>
      </c>
    </row>
    <row r="65" spans="1:7" ht="15.75" thickBot="1" x14ac:dyDescent="0.3">
      <c r="A65" t="s">
        <v>1466</v>
      </c>
      <c r="B65" s="1" t="s">
        <v>1467</v>
      </c>
      <c r="C65" s="1" t="s">
        <v>15</v>
      </c>
      <c r="D65" s="1" t="s">
        <v>1347</v>
      </c>
      <c r="E65" s="4">
        <v>55907</v>
      </c>
      <c r="F65" s="1" t="str">
        <f>VLOOKUP(D65,Table12[[Name]:[Native]],3,FALSE)</f>
        <v>海曙区</v>
      </c>
      <c r="G65" s="14" t="str">
        <f ca="1">VLOOKUP(F65,Table12[[Native]:[Population4]],5,FALSE)</f>
        <v>宁波市</v>
      </c>
    </row>
    <row r="66" spans="1:7" ht="15.75" thickBot="1" x14ac:dyDescent="0.3">
      <c r="A66" t="s">
        <v>1468</v>
      </c>
      <c r="B66" s="1" t="s">
        <v>1469</v>
      </c>
      <c r="C66" s="1" t="s">
        <v>11</v>
      </c>
      <c r="D66" s="1" t="s">
        <v>1463</v>
      </c>
      <c r="E66" s="4">
        <v>31900</v>
      </c>
      <c r="F66" s="1" t="str">
        <f>VLOOKUP(D66,Table12[[Name]:[Native]],3,FALSE)</f>
        <v>镇海区</v>
      </c>
      <c r="G66" s="14" t="str">
        <f ca="1">VLOOKUP(F66,Table12[[Native]:[Population4]],5,FALSE)</f>
        <v>宁波市</v>
      </c>
    </row>
    <row r="67" spans="1:7" ht="15.75" thickBot="1" x14ac:dyDescent="0.3">
      <c r="A67" t="s">
        <v>1470</v>
      </c>
      <c r="B67" s="1" t="s">
        <v>1471</v>
      </c>
      <c r="C67" s="1" t="s">
        <v>15</v>
      </c>
      <c r="D67" s="1" t="s">
        <v>1386</v>
      </c>
      <c r="E67" s="4">
        <v>30454</v>
      </c>
      <c r="F67" s="1" t="str">
        <f>VLOOKUP(D67,Table12[[Name]:[Native]],3,FALSE)</f>
        <v>象山县</v>
      </c>
      <c r="G67" s="14" t="str">
        <f ca="1">VLOOKUP(F67,Table12[[Native]:[Population4]],5,FALSE)</f>
        <v>宁波市</v>
      </c>
    </row>
    <row r="68" spans="1:7" ht="15.75" thickBot="1" x14ac:dyDescent="0.3">
      <c r="A68" t="s">
        <v>1472</v>
      </c>
      <c r="B68" s="1" t="s">
        <v>1473</v>
      </c>
      <c r="C68" s="1" t="s">
        <v>15</v>
      </c>
      <c r="D68" s="1" t="s">
        <v>1338</v>
      </c>
      <c r="E68" s="4">
        <v>70201</v>
      </c>
      <c r="F68" s="1" t="str">
        <f>VLOOKUP(D68,Table12[[Name]:[Native]],3,FALSE)</f>
        <v>慈溪市</v>
      </c>
      <c r="G68" s="14" t="str">
        <f ca="1">VLOOKUP(F68,Table12[[Native]:[Population4]],5,FALSE)</f>
        <v>宁波市</v>
      </c>
    </row>
    <row r="69" spans="1:7" ht="15.75" thickBot="1" x14ac:dyDescent="0.3">
      <c r="A69" t="s">
        <v>1474</v>
      </c>
      <c r="B69" s="1" t="s">
        <v>1475</v>
      </c>
      <c r="C69" s="1" t="s">
        <v>15</v>
      </c>
      <c r="D69" s="1" t="s">
        <v>1372</v>
      </c>
      <c r="E69" s="4">
        <v>53868</v>
      </c>
      <c r="F69" s="1" t="str">
        <f>VLOOKUP(D69,Table12[[Name]:[Native]],3,FALSE)</f>
        <v>江北区</v>
      </c>
      <c r="G69" s="14" t="str">
        <f ca="1">VLOOKUP(F69,Table12[[Native]:[Population4]],5,FALSE)</f>
        <v>宁波市</v>
      </c>
    </row>
    <row r="70" spans="1:7" ht="15.75" thickBot="1" x14ac:dyDescent="0.3">
      <c r="A70" t="s">
        <v>1476</v>
      </c>
      <c r="B70" s="1" t="s">
        <v>1477</v>
      </c>
      <c r="C70" s="1" t="s">
        <v>11</v>
      </c>
      <c r="D70" s="1" t="s">
        <v>1338</v>
      </c>
      <c r="E70" s="4">
        <v>30358</v>
      </c>
      <c r="F70" s="1" t="str">
        <f>VLOOKUP(D70,Table12[[Name]:[Native]],3,FALSE)</f>
        <v>慈溪市</v>
      </c>
      <c r="G70" s="14" t="str">
        <f ca="1">VLOOKUP(F70,Table12[[Native]:[Population4]],5,FALSE)</f>
        <v>宁波市</v>
      </c>
    </row>
    <row r="71" spans="1:7" ht="15.75" thickBot="1" x14ac:dyDescent="0.3">
      <c r="A71" t="s">
        <v>1478</v>
      </c>
      <c r="B71" s="1" t="s">
        <v>1479</v>
      </c>
      <c r="C71" s="1" t="s">
        <v>15</v>
      </c>
      <c r="D71" s="1" t="s">
        <v>1383</v>
      </c>
      <c r="E71" s="4">
        <v>58246</v>
      </c>
      <c r="F71" s="1" t="str">
        <f>VLOOKUP(D71,Table12[[Name]:[Native]],3,FALSE)</f>
        <v>余姚市</v>
      </c>
      <c r="G71" s="14" t="str">
        <f ca="1">VLOOKUP(F71,Table12[[Native]:[Population4]],5,FALSE)</f>
        <v>宁波市</v>
      </c>
    </row>
    <row r="72" spans="1:7" ht="15.75" thickBot="1" x14ac:dyDescent="0.3">
      <c r="A72" t="s">
        <v>821</v>
      </c>
      <c r="B72" s="1" t="s">
        <v>822</v>
      </c>
      <c r="C72" s="1" t="s">
        <v>15</v>
      </c>
      <c r="D72" s="1" t="s">
        <v>1383</v>
      </c>
      <c r="E72" s="4">
        <v>95315</v>
      </c>
      <c r="F72" s="1" t="str">
        <f>VLOOKUP(D72,Table12[[Name]:[Native]],3,FALSE)</f>
        <v>余姚市</v>
      </c>
      <c r="G72" s="14" t="str">
        <f ca="1">VLOOKUP(F72,Table12[[Native]:[Population4]],5,FALSE)</f>
        <v>宁波市</v>
      </c>
    </row>
    <row r="73" spans="1:7" ht="15.75" thickBot="1" x14ac:dyDescent="0.3">
      <c r="A73" t="s">
        <v>1480</v>
      </c>
      <c r="B73" s="1" t="s">
        <v>1481</v>
      </c>
      <c r="C73" s="1" t="s">
        <v>11</v>
      </c>
      <c r="D73" s="1" t="s">
        <v>1383</v>
      </c>
      <c r="E73" s="4">
        <v>28536</v>
      </c>
      <c r="F73" s="1" t="str">
        <f>VLOOKUP(D73,Table12[[Name]:[Native]],3,FALSE)</f>
        <v>余姚市</v>
      </c>
      <c r="G73" s="14" t="str">
        <f ca="1">VLOOKUP(F73,Table12[[Native]:[Population4]],5,FALSE)</f>
        <v>宁波市</v>
      </c>
    </row>
    <row r="74" spans="1:7" ht="15.75" thickBot="1" x14ac:dyDescent="0.3">
      <c r="A74" t="s">
        <v>1482</v>
      </c>
      <c r="B74" s="1" t="s">
        <v>1483</v>
      </c>
      <c r="C74" s="1" t="s">
        <v>11</v>
      </c>
      <c r="D74" s="1" t="s">
        <v>1383</v>
      </c>
      <c r="E74" s="4">
        <v>45323</v>
      </c>
      <c r="F74" s="1" t="str">
        <f>VLOOKUP(D74,Table12[[Name]:[Native]],3,FALSE)</f>
        <v>余姚市</v>
      </c>
      <c r="G74" s="14" t="str">
        <f ca="1">VLOOKUP(F74,Table12[[Native]:[Population4]],5,FALSE)</f>
        <v>宁波市</v>
      </c>
    </row>
    <row r="75" spans="1:7" ht="15.75" thickBot="1" x14ac:dyDescent="0.3">
      <c r="A75" t="s">
        <v>1484</v>
      </c>
      <c r="B75" s="1" t="s">
        <v>1485</v>
      </c>
      <c r="C75" s="1" t="s">
        <v>11</v>
      </c>
      <c r="D75" s="1" t="s">
        <v>1356</v>
      </c>
      <c r="E75" s="4">
        <v>23473</v>
      </c>
      <c r="F75" s="1" t="str">
        <f>VLOOKUP(D75,Table12[[Name]:[Native]],3,FALSE)</f>
        <v>宁海县</v>
      </c>
      <c r="G75" s="14" t="str">
        <f ca="1">VLOOKUP(F75,Table12[[Native]:[Population4]],5,FALSE)</f>
        <v>宁波市</v>
      </c>
    </row>
    <row r="76" spans="1:7" ht="15.75" thickBot="1" x14ac:dyDescent="0.3">
      <c r="A76" t="s">
        <v>1486</v>
      </c>
      <c r="B76" s="1" t="s">
        <v>1487</v>
      </c>
      <c r="C76" s="1" t="s">
        <v>15</v>
      </c>
      <c r="D76" s="1" t="s">
        <v>1383</v>
      </c>
      <c r="E76" s="4">
        <v>98429</v>
      </c>
      <c r="F76" s="1" t="str">
        <f>VLOOKUP(D76,Table12[[Name]:[Native]],3,FALSE)</f>
        <v>余姚市</v>
      </c>
      <c r="G76" s="14" t="str">
        <f ca="1">VLOOKUP(F76,Table12[[Native]:[Population4]],5,FALSE)</f>
        <v>宁波市</v>
      </c>
    </row>
    <row r="77" spans="1:7" ht="15.75" thickBot="1" x14ac:dyDescent="0.3">
      <c r="A77" t="s">
        <v>1488</v>
      </c>
      <c r="B77" s="1" t="s">
        <v>1489</v>
      </c>
      <c r="C77" s="1" t="s">
        <v>7</v>
      </c>
      <c r="D77" s="1" t="s">
        <v>1347</v>
      </c>
      <c r="E77" s="4">
        <v>11582</v>
      </c>
      <c r="F77" s="1" t="str">
        <f>VLOOKUP(D77,Table12[[Name]:[Native]],3,FALSE)</f>
        <v>海曙区</v>
      </c>
      <c r="G77" s="14" t="str">
        <f ca="1">VLOOKUP(F77,Table12[[Native]:[Population4]],5,FALSE)</f>
        <v>宁波市</v>
      </c>
    </row>
    <row r="78" spans="1:7" ht="15.75" thickBot="1" x14ac:dyDescent="0.3">
      <c r="A78" t="s">
        <v>837</v>
      </c>
      <c r="B78" s="1" t="s">
        <v>838</v>
      </c>
      <c r="C78" s="1" t="s">
        <v>11</v>
      </c>
      <c r="D78" s="1" t="s">
        <v>1338</v>
      </c>
      <c r="E78" s="4">
        <v>93910</v>
      </c>
      <c r="F78" s="1" t="str">
        <f>VLOOKUP(D78,Table12[[Name]:[Native]],3,FALSE)</f>
        <v>慈溪市</v>
      </c>
      <c r="G78" s="14" t="str">
        <f ca="1">VLOOKUP(F78,Table12[[Native]:[Population4]],5,FALSE)</f>
        <v>宁波市</v>
      </c>
    </row>
    <row r="79" spans="1:7" ht="15.75" thickBot="1" x14ac:dyDescent="0.3">
      <c r="A79" t="s">
        <v>1490</v>
      </c>
      <c r="B79" s="1" t="s">
        <v>1491</v>
      </c>
      <c r="C79" s="1" t="s">
        <v>11</v>
      </c>
      <c r="D79" s="1" t="s">
        <v>1383</v>
      </c>
      <c r="E79" s="4">
        <v>46247</v>
      </c>
      <c r="F79" s="1" t="str">
        <f>VLOOKUP(D79,Table12[[Name]:[Native]],3,FALSE)</f>
        <v>余姚市</v>
      </c>
      <c r="G79" s="14" t="str">
        <f ca="1">VLOOKUP(F79,Table12[[Native]:[Population4]],5,FALSE)</f>
        <v>宁波市</v>
      </c>
    </row>
    <row r="80" spans="1:7" ht="15.75" thickBot="1" x14ac:dyDescent="0.3">
      <c r="A80" t="s">
        <v>1492</v>
      </c>
      <c r="B80" s="1" t="s">
        <v>1493</v>
      </c>
      <c r="C80" s="1" t="s">
        <v>15</v>
      </c>
      <c r="D80" s="1" t="s">
        <v>1463</v>
      </c>
      <c r="E80" s="4">
        <v>95487</v>
      </c>
      <c r="F80" s="1" t="str">
        <f>VLOOKUP(D80,Table12[[Name]:[Native]],3,FALSE)</f>
        <v>镇海区</v>
      </c>
      <c r="G80" s="14" t="str">
        <f ca="1">VLOOKUP(F80,Table12[[Native]:[Population4]],5,FALSE)</f>
        <v>宁波市</v>
      </c>
    </row>
    <row r="81" spans="1:7" ht="15.75" thickBot="1" x14ac:dyDescent="0.3">
      <c r="A81" t="s">
        <v>1494</v>
      </c>
      <c r="B81" s="1" t="s">
        <v>1495</v>
      </c>
      <c r="C81" s="1" t="s">
        <v>7</v>
      </c>
      <c r="D81" s="1" t="s">
        <v>1383</v>
      </c>
      <c r="E81" s="4">
        <v>7478</v>
      </c>
      <c r="F81" s="1" t="str">
        <f>VLOOKUP(D81,Table12[[Name]:[Native]],3,FALSE)</f>
        <v>余姚市</v>
      </c>
      <c r="G81" s="14" t="str">
        <f ca="1">VLOOKUP(F81,Table12[[Native]:[Population4]],5,FALSE)</f>
        <v>宁波市</v>
      </c>
    </row>
    <row r="82" spans="1:7" ht="15.75" thickBot="1" x14ac:dyDescent="0.3">
      <c r="A82" t="s">
        <v>1171</v>
      </c>
      <c r="B82" s="1" t="s">
        <v>1496</v>
      </c>
      <c r="C82" s="1" t="s">
        <v>7</v>
      </c>
      <c r="D82" s="1" t="s">
        <v>1386</v>
      </c>
      <c r="E82" s="4">
        <v>7638</v>
      </c>
      <c r="F82" s="1" t="str">
        <f>VLOOKUP(D82,Table12[[Name]:[Native]],3,FALSE)</f>
        <v>象山县</v>
      </c>
      <c r="G82" s="14" t="str">
        <f ca="1">VLOOKUP(F82,Table12[[Native]:[Population4]],5,FALSE)</f>
        <v>宁波市</v>
      </c>
    </row>
    <row r="83" spans="1:7" ht="15.75" thickBot="1" x14ac:dyDescent="0.3">
      <c r="A83" t="s">
        <v>1497</v>
      </c>
      <c r="B83" s="1" t="s">
        <v>1498</v>
      </c>
      <c r="C83" s="1" t="s">
        <v>11</v>
      </c>
      <c r="D83" s="1" t="s">
        <v>1383</v>
      </c>
      <c r="E83" s="4">
        <v>56345</v>
      </c>
      <c r="F83" s="1" t="str">
        <f>VLOOKUP(D83,Table12[[Name]:[Native]],3,FALSE)</f>
        <v>余姚市</v>
      </c>
      <c r="G83" s="14" t="str">
        <f ca="1">VLOOKUP(F83,Table12[[Native]:[Population4]],5,FALSE)</f>
        <v>宁波市</v>
      </c>
    </row>
    <row r="84" spans="1:7" ht="15.75" thickBot="1" x14ac:dyDescent="0.3">
      <c r="A84" t="s">
        <v>1499</v>
      </c>
      <c r="B84" s="1" t="s">
        <v>1500</v>
      </c>
      <c r="C84" s="1" t="s">
        <v>15</v>
      </c>
      <c r="D84" s="1" t="s">
        <v>1356</v>
      </c>
      <c r="E84" s="4">
        <v>34110</v>
      </c>
      <c r="F84" s="1" t="str">
        <f>VLOOKUP(D84,Table12[[Name]:[Native]],3,FALSE)</f>
        <v>宁海县</v>
      </c>
      <c r="G84" s="14" t="str">
        <f ca="1">VLOOKUP(F84,Table12[[Native]:[Population4]],5,FALSE)</f>
        <v>宁波市</v>
      </c>
    </row>
    <row r="85" spans="1:7" ht="15.75" thickBot="1" x14ac:dyDescent="0.3">
      <c r="A85" t="s">
        <v>1501</v>
      </c>
      <c r="B85" s="1" t="s">
        <v>1502</v>
      </c>
      <c r="C85" s="1" t="s">
        <v>15</v>
      </c>
      <c r="D85" s="1" t="s">
        <v>1341</v>
      </c>
      <c r="E85" s="4">
        <v>10669</v>
      </c>
      <c r="F85" s="1" t="str">
        <f>VLOOKUP(D85,Table12[[Name]:[Native]],3,FALSE)</f>
        <v>北仑区</v>
      </c>
      <c r="G85" s="14" t="str">
        <f ca="1">VLOOKUP(F85,Table12[[Native]:[Population4]],5,FALSE)</f>
        <v>宁波市</v>
      </c>
    </row>
    <row r="86" spans="1:7" ht="15.75" thickBot="1" x14ac:dyDescent="0.3">
      <c r="A86" t="s">
        <v>1503</v>
      </c>
      <c r="B86" s="1" t="s">
        <v>1504</v>
      </c>
      <c r="C86" s="1" t="s">
        <v>15</v>
      </c>
      <c r="D86" s="1" t="s">
        <v>1344</v>
      </c>
      <c r="E86" s="4">
        <v>48332</v>
      </c>
      <c r="F86" s="1" t="str">
        <f>VLOOKUP(D86,Table12[[Name]:[Native]],3,FALSE)</f>
        <v>鄞州区</v>
      </c>
      <c r="G86" s="14" t="str">
        <f ca="1">VLOOKUP(F86,Table12[[Native]:[Population4]],5,FALSE)</f>
        <v>宁波市</v>
      </c>
    </row>
    <row r="87" spans="1:7" ht="15.75" thickBot="1" x14ac:dyDescent="0.3">
      <c r="A87" t="s">
        <v>1505</v>
      </c>
      <c r="B87" s="1" t="s">
        <v>1506</v>
      </c>
      <c r="C87" s="1" t="s">
        <v>15</v>
      </c>
      <c r="D87" s="1" t="s">
        <v>1344</v>
      </c>
      <c r="E87" s="4">
        <v>49661</v>
      </c>
      <c r="F87" s="1" t="str">
        <f>VLOOKUP(D87,Table12[[Name]:[Native]],3,FALSE)</f>
        <v>鄞州区</v>
      </c>
      <c r="G87" s="14" t="str">
        <f ca="1">VLOOKUP(F87,Table12[[Native]:[Population4]],5,FALSE)</f>
        <v>宁波市</v>
      </c>
    </row>
    <row r="88" spans="1:7" ht="15.75" thickBot="1" x14ac:dyDescent="0.3">
      <c r="A88" t="s">
        <v>1507</v>
      </c>
      <c r="B88" s="1" t="s">
        <v>1508</v>
      </c>
      <c r="C88" s="1" t="s">
        <v>11</v>
      </c>
      <c r="D88" s="1" t="s">
        <v>1383</v>
      </c>
      <c r="E88" s="4">
        <v>20033</v>
      </c>
      <c r="F88" s="1" t="str">
        <f>VLOOKUP(D88,Table12[[Name]:[Native]],3,FALSE)</f>
        <v>余姚市</v>
      </c>
      <c r="G88" s="14" t="str">
        <f ca="1">VLOOKUP(F88,Table12[[Native]:[Population4]],5,FALSE)</f>
        <v>宁波市</v>
      </c>
    </row>
    <row r="89" spans="1:7" ht="15.75" thickBot="1" x14ac:dyDescent="0.3">
      <c r="A89" t="s">
        <v>1509</v>
      </c>
      <c r="B89" s="1" t="s">
        <v>1510</v>
      </c>
      <c r="C89" s="1" t="s">
        <v>15</v>
      </c>
      <c r="D89" s="1" t="s">
        <v>1347</v>
      </c>
      <c r="E89" s="4">
        <v>56931</v>
      </c>
      <c r="F89" s="1" t="str">
        <f>VLOOKUP(D89,Table12[[Name]:[Native]],3,FALSE)</f>
        <v>海曙区</v>
      </c>
      <c r="G89" s="14" t="str">
        <f ca="1">VLOOKUP(F89,Table12[[Native]:[Population4]],5,FALSE)</f>
        <v>宁波市</v>
      </c>
    </row>
    <row r="90" spans="1:7" ht="15.75" thickBot="1" x14ac:dyDescent="0.3">
      <c r="A90" s="1" t="s">
        <v>1511</v>
      </c>
      <c r="B90" s="1" t="s">
        <v>1512</v>
      </c>
      <c r="C90" s="1" t="s">
        <v>253</v>
      </c>
      <c r="D90" s="1" t="s">
        <v>1338</v>
      </c>
      <c r="E90" s="4">
        <v>51389</v>
      </c>
      <c r="F90" s="1" t="str">
        <f>VLOOKUP(D90,Table12[[Name]:[Native]],3,FALSE)</f>
        <v>慈溪市</v>
      </c>
      <c r="G90" s="14" t="str">
        <f ca="1">VLOOKUP(F90,Table12[[Native]:[Population4]],5,FALSE)</f>
        <v>宁波市</v>
      </c>
    </row>
    <row r="91" spans="1:7" ht="15.75" thickBot="1" x14ac:dyDescent="0.3">
      <c r="A91" t="s">
        <v>1513</v>
      </c>
      <c r="B91" s="1" t="s">
        <v>1514</v>
      </c>
      <c r="C91" s="1" t="s">
        <v>11</v>
      </c>
      <c r="D91" s="1" t="s">
        <v>1356</v>
      </c>
      <c r="E91" s="4">
        <v>18214</v>
      </c>
      <c r="F91" s="1" t="str">
        <f>VLOOKUP(D91,Table12[[Name]:[Native]],3,FALSE)</f>
        <v>宁海县</v>
      </c>
      <c r="G91" s="14" t="str">
        <f ca="1">VLOOKUP(F91,Table12[[Native]:[Population4]],5,FALSE)</f>
        <v>宁波市</v>
      </c>
    </row>
    <row r="92" spans="1:7" ht="15.75" thickBot="1" x14ac:dyDescent="0.3">
      <c r="A92" t="s">
        <v>1515</v>
      </c>
      <c r="B92" s="1" t="s">
        <v>1516</v>
      </c>
      <c r="C92" s="1" t="s">
        <v>11</v>
      </c>
      <c r="D92" s="1" t="s">
        <v>1386</v>
      </c>
      <c r="E92" s="4">
        <v>15744</v>
      </c>
      <c r="F92" s="1" t="str">
        <f>VLOOKUP(D92,Table12[[Name]:[Native]],3,FALSE)</f>
        <v>象山县</v>
      </c>
      <c r="G92" s="14" t="str">
        <f ca="1">VLOOKUP(F92,Table12[[Native]:[Population4]],5,FALSE)</f>
        <v>宁波市</v>
      </c>
    </row>
    <row r="93" spans="1:7" ht="15.75" thickBot="1" x14ac:dyDescent="0.3">
      <c r="A93" t="s">
        <v>1517</v>
      </c>
      <c r="B93" s="1" t="s">
        <v>1518</v>
      </c>
      <c r="C93" s="1" t="s">
        <v>11</v>
      </c>
      <c r="D93" s="1" t="s">
        <v>1356</v>
      </c>
      <c r="E93" s="4">
        <v>20030</v>
      </c>
      <c r="F93" s="1" t="str">
        <f>VLOOKUP(D93,Table12[[Name]:[Native]],3,FALSE)</f>
        <v>宁海县</v>
      </c>
      <c r="G93" s="14" t="str">
        <f ca="1">VLOOKUP(F93,Table12[[Native]:[Population4]],5,FALSE)</f>
        <v>宁波市</v>
      </c>
    </row>
    <row r="94" spans="1:7" ht="15.75" thickBot="1" x14ac:dyDescent="0.3">
      <c r="A94" t="s">
        <v>1519</v>
      </c>
      <c r="B94" s="1" t="s">
        <v>1520</v>
      </c>
      <c r="C94" s="1" t="s">
        <v>15</v>
      </c>
      <c r="D94" s="1" t="s">
        <v>1356</v>
      </c>
      <c r="E94" s="4">
        <v>20977</v>
      </c>
      <c r="F94" s="1" t="str">
        <f>VLOOKUP(D94,Table12[[Name]:[Native]],3,FALSE)</f>
        <v>宁海县</v>
      </c>
      <c r="G94" s="14" t="str">
        <f ca="1">VLOOKUP(F94,Table12[[Native]:[Population4]],5,FALSE)</f>
        <v>宁波市</v>
      </c>
    </row>
    <row r="95" spans="1:7" ht="15.75" thickBot="1" x14ac:dyDescent="0.3">
      <c r="A95" t="s">
        <v>1521</v>
      </c>
      <c r="B95" s="1" t="s">
        <v>1522</v>
      </c>
      <c r="C95" s="1" t="s">
        <v>11</v>
      </c>
      <c r="D95" s="1" t="s">
        <v>1338</v>
      </c>
      <c r="E95" s="4">
        <v>50251</v>
      </c>
      <c r="F95" s="1" t="str">
        <f>VLOOKUP(D95,Table12[[Name]:[Native]],3,FALSE)</f>
        <v>慈溪市</v>
      </c>
      <c r="G95" s="14" t="str">
        <f ca="1">VLOOKUP(F95,Table12[[Native]:[Population4]],5,FALSE)</f>
        <v>宁波市</v>
      </c>
    </row>
    <row r="96" spans="1:7" ht="15.75" thickBot="1" x14ac:dyDescent="0.3">
      <c r="A96" t="s">
        <v>1523</v>
      </c>
      <c r="B96" s="1" t="s">
        <v>1524</v>
      </c>
      <c r="C96" s="1" t="s">
        <v>15</v>
      </c>
      <c r="D96" s="1" t="s">
        <v>1341</v>
      </c>
      <c r="E96" s="4">
        <v>25187</v>
      </c>
      <c r="F96" s="1" t="str">
        <f>VLOOKUP(D96,Table12[[Name]:[Native]],3,FALSE)</f>
        <v>北仑区</v>
      </c>
      <c r="G96" s="14" t="str">
        <f ca="1">VLOOKUP(F96,Table12[[Native]:[Population4]],5,FALSE)</f>
        <v>宁波市</v>
      </c>
    </row>
    <row r="97" spans="1:7" ht="15.75" thickBot="1" x14ac:dyDescent="0.3">
      <c r="A97" t="s">
        <v>1525</v>
      </c>
      <c r="B97" s="1" t="s">
        <v>1526</v>
      </c>
      <c r="C97" s="1" t="s">
        <v>11</v>
      </c>
      <c r="D97" s="1" t="s">
        <v>1344</v>
      </c>
      <c r="E97" s="4">
        <v>72654</v>
      </c>
      <c r="F97" s="1" t="str">
        <f>VLOOKUP(D97,Table12[[Name]:[Native]],3,FALSE)</f>
        <v>鄞州区</v>
      </c>
      <c r="G97" s="14" t="str">
        <f ca="1">VLOOKUP(F97,Table12[[Native]:[Population4]],5,FALSE)</f>
        <v>宁波市</v>
      </c>
    </row>
    <row r="98" spans="1:7" ht="15.75" thickBot="1" x14ac:dyDescent="0.3">
      <c r="A98" t="s">
        <v>1527</v>
      </c>
      <c r="B98" s="1" t="s">
        <v>1528</v>
      </c>
      <c r="C98" s="1" t="s">
        <v>11</v>
      </c>
      <c r="D98" s="1" t="s">
        <v>1367</v>
      </c>
      <c r="E98" s="4">
        <v>20576</v>
      </c>
      <c r="F98" s="1" t="str">
        <f>VLOOKUP(D98,Table12[[Name]:[Native]],3,FALSE)</f>
        <v>奉化区</v>
      </c>
      <c r="G98" s="14" t="str">
        <f ca="1">VLOOKUP(F98,Table12[[Native]:[Population4]],5,FALSE)</f>
        <v>宁波市</v>
      </c>
    </row>
    <row r="99" spans="1:7" ht="15.75" thickBot="1" x14ac:dyDescent="0.3">
      <c r="A99" t="s">
        <v>1529</v>
      </c>
      <c r="B99" s="1" t="s">
        <v>1530</v>
      </c>
      <c r="C99" s="1" t="s">
        <v>11</v>
      </c>
      <c r="D99" s="1" t="s">
        <v>1356</v>
      </c>
      <c r="E99" s="4">
        <v>11140</v>
      </c>
      <c r="F99" s="1" t="str">
        <f>VLOOKUP(D99,Table12[[Name]:[Native]],3,FALSE)</f>
        <v>宁海县</v>
      </c>
      <c r="G99" s="14" t="str">
        <f ca="1">VLOOKUP(F99,Table12[[Native]:[Population4]],5,FALSE)</f>
        <v>宁波市</v>
      </c>
    </row>
    <row r="100" spans="1:7" ht="15.75" thickBot="1" x14ac:dyDescent="0.3">
      <c r="A100" t="s">
        <v>1531</v>
      </c>
      <c r="B100" s="1" t="s">
        <v>1532</v>
      </c>
      <c r="C100" s="1" t="s">
        <v>11</v>
      </c>
      <c r="D100" s="1" t="s">
        <v>1383</v>
      </c>
      <c r="E100" s="4">
        <v>32752</v>
      </c>
      <c r="F100" s="1" t="str">
        <f>VLOOKUP(D100,Table12[[Name]:[Native]],3,FALSE)</f>
        <v>余姚市</v>
      </c>
      <c r="G100" s="14" t="str">
        <f ca="1">VLOOKUP(F100,Table12[[Native]:[Population4]],5,FALSE)</f>
        <v>宁波市</v>
      </c>
    </row>
    <row r="101" spans="1:7" ht="15.75" thickBot="1" x14ac:dyDescent="0.3">
      <c r="A101" t="s">
        <v>1533</v>
      </c>
      <c r="B101" s="1" t="s">
        <v>1534</v>
      </c>
      <c r="C101" s="1" t="s">
        <v>15</v>
      </c>
      <c r="D101" s="1" t="s">
        <v>1367</v>
      </c>
      <c r="E101" s="4">
        <v>32669</v>
      </c>
      <c r="F101" s="1" t="str">
        <f>VLOOKUP(D101,Table12[[Name]:[Native]],3,FALSE)</f>
        <v>奉化区</v>
      </c>
      <c r="G101" s="14" t="str">
        <f ca="1">VLOOKUP(F101,Table12[[Native]:[Population4]],5,FALSE)</f>
        <v>宁波市</v>
      </c>
    </row>
    <row r="102" spans="1:7" ht="15.75" thickBot="1" x14ac:dyDescent="0.3">
      <c r="A102" t="s">
        <v>1535</v>
      </c>
      <c r="B102" s="1" t="s">
        <v>1536</v>
      </c>
      <c r="C102" s="1" t="s">
        <v>11</v>
      </c>
      <c r="D102" s="1" t="s">
        <v>1338</v>
      </c>
      <c r="E102" s="4">
        <v>53952</v>
      </c>
      <c r="F102" s="1" t="str">
        <f>VLOOKUP(D102,Table12[[Name]:[Native]],3,FALSE)</f>
        <v>慈溪市</v>
      </c>
      <c r="G102" s="14" t="str">
        <f ca="1">VLOOKUP(F102,Table12[[Native]:[Population4]],5,FALSE)</f>
        <v>宁波市</v>
      </c>
    </row>
    <row r="103" spans="1:7" ht="15.75" thickBot="1" x14ac:dyDescent="0.3">
      <c r="A103" t="s">
        <v>1537</v>
      </c>
      <c r="B103" s="1" t="s">
        <v>1538</v>
      </c>
      <c r="C103" s="1" t="s">
        <v>11</v>
      </c>
      <c r="D103" s="1" t="s">
        <v>1356</v>
      </c>
      <c r="E103" s="4">
        <v>30581</v>
      </c>
      <c r="F103" s="1" t="str">
        <f>VLOOKUP(D103,Table12[[Name]:[Native]],3,FALSE)</f>
        <v>宁海县</v>
      </c>
      <c r="G103" s="14" t="str">
        <f ca="1">VLOOKUP(F103,Table12[[Native]:[Population4]],5,FALSE)</f>
        <v>宁波市</v>
      </c>
    </row>
    <row r="104" spans="1:7" ht="15.75" thickBot="1" x14ac:dyDescent="0.3">
      <c r="A104" t="s">
        <v>1539</v>
      </c>
      <c r="B104" s="1" t="s">
        <v>1540</v>
      </c>
      <c r="C104" s="1" t="s">
        <v>11</v>
      </c>
      <c r="D104" s="1" t="s">
        <v>1386</v>
      </c>
      <c r="E104" s="4">
        <v>92542</v>
      </c>
      <c r="F104" s="1" t="str">
        <f>VLOOKUP(D104,Table12[[Name]:[Native]],3,FALSE)</f>
        <v>象山县</v>
      </c>
      <c r="G104" s="14" t="str">
        <f ca="1">VLOOKUP(F104,Table12[[Native]:[Population4]],5,FALSE)</f>
        <v>宁波市</v>
      </c>
    </row>
    <row r="105" spans="1:7" ht="15.75" thickBot="1" x14ac:dyDescent="0.3">
      <c r="A105" t="s">
        <v>1541</v>
      </c>
      <c r="B105" s="1" t="s">
        <v>1542</v>
      </c>
      <c r="C105" s="1" t="s">
        <v>15</v>
      </c>
      <c r="D105" s="1" t="s">
        <v>1347</v>
      </c>
      <c r="E105" s="4">
        <v>110406</v>
      </c>
      <c r="F105" s="1" t="str">
        <f>VLOOKUP(D105,Table12[[Name]:[Native]],3,FALSE)</f>
        <v>海曙区</v>
      </c>
      <c r="G105" s="14" t="str">
        <f ca="1">VLOOKUP(F105,Table12[[Native]:[Population4]],5,FALSE)</f>
        <v>宁波市</v>
      </c>
    </row>
    <row r="106" spans="1:7" ht="15.75" thickBot="1" x14ac:dyDescent="0.3">
      <c r="A106" t="s">
        <v>1543</v>
      </c>
      <c r="B106" s="1" t="s">
        <v>1544</v>
      </c>
      <c r="C106" s="1" t="s">
        <v>15</v>
      </c>
      <c r="D106" s="1" t="s">
        <v>1344</v>
      </c>
      <c r="E106" s="4">
        <v>77340</v>
      </c>
      <c r="F106" s="1" t="str">
        <f>VLOOKUP(D106,Table12[[Name]:[Native]],3,FALSE)</f>
        <v>鄞州区</v>
      </c>
      <c r="G106" s="14" t="str">
        <f ca="1">VLOOKUP(F106,Table12[[Native]:[Population4]],5,FALSE)</f>
        <v>宁波市</v>
      </c>
    </row>
    <row r="107" spans="1:7" ht="15.75" thickBot="1" x14ac:dyDescent="0.3">
      <c r="A107" t="s">
        <v>1545</v>
      </c>
      <c r="B107" s="1" t="s">
        <v>1546</v>
      </c>
      <c r="C107" s="1" t="s">
        <v>11</v>
      </c>
      <c r="D107" s="1" t="s">
        <v>1383</v>
      </c>
      <c r="E107" s="4">
        <v>78975</v>
      </c>
      <c r="F107" s="1" t="str">
        <f>VLOOKUP(D107,Table12[[Name]:[Native]],3,FALSE)</f>
        <v>余姚市</v>
      </c>
      <c r="G107" s="14" t="str">
        <f ca="1">VLOOKUP(F107,Table12[[Native]:[Population4]],5,FALSE)</f>
        <v>宁波市</v>
      </c>
    </row>
    <row r="108" spans="1:7" ht="15.75" thickBot="1" x14ac:dyDescent="0.3">
      <c r="A108" t="s">
        <v>1547</v>
      </c>
      <c r="B108" s="1" t="s">
        <v>1548</v>
      </c>
      <c r="C108" s="1" t="s">
        <v>11</v>
      </c>
      <c r="D108" s="1" t="s">
        <v>1383</v>
      </c>
      <c r="E108" s="4">
        <v>7645</v>
      </c>
      <c r="F108" s="1" t="str">
        <f>VLOOKUP(D108,Table12[[Name]:[Native]],3,FALSE)</f>
        <v>余姚市</v>
      </c>
      <c r="G108" s="14" t="str">
        <f ca="1">VLOOKUP(F108,Table12[[Native]:[Population4]],5,FALSE)</f>
        <v>宁波市</v>
      </c>
    </row>
    <row r="109" spans="1:7" ht="15.75" thickBot="1" x14ac:dyDescent="0.3">
      <c r="A109" t="s">
        <v>1549</v>
      </c>
      <c r="B109" s="1" t="s">
        <v>1550</v>
      </c>
      <c r="C109" s="1" t="s">
        <v>11</v>
      </c>
      <c r="D109" s="1" t="s">
        <v>1386</v>
      </c>
      <c r="E109" s="4">
        <v>9612</v>
      </c>
      <c r="F109" s="1" t="str">
        <f>VLOOKUP(D109,Table12[[Name]:[Native]],3,FALSE)</f>
        <v>象山县</v>
      </c>
      <c r="G109" s="14" t="str">
        <f ca="1">VLOOKUP(F109,Table12[[Native]:[Population4]],5,FALSE)</f>
        <v>宁波市</v>
      </c>
    </row>
    <row r="110" spans="1:7" ht="15.75" thickBot="1" x14ac:dyDescent="0.3">
      <c r="A110" t="s">
        <v>1551</v>
      </c>
      <c r="B110" s="1" t="s">
        <v>1552</v>
      </c>
      <c r="C110" s="1" t="s">
        <v>11</v>
      </c>
      <c r="D110" s="1" t="s">
        <v>1367</v>
      </c>
      <c r="E110" s="4">
        <v>13021</v>
      </c>
      <c r="F110" s="1" t="str">
        <f>VLOOKUP(D110,Table12[[Name]:[Native]],3,FALSE)</f>
        <v>奉化区</v>
      </c>
      <c r="G110" s="14" t="str">
        <f ca="1">VLOOKUP(F110,Table12[[Native]:[Population4]],5,FALSE)</f>
        <v>宁波市</v>
      </c>
    </row>
    <row r="111" spans="1:7" ht="15.75" thickBot="1" x14ac:dyDescent="0.3">
      <c r="A111" t="s">
        <v>1553</v>
      </c>
      <c r="B111" s="1" t="s">
        <v>1554</v>
      </c>
      <c r="C111" s="1" t="s">
        <v>11</v>
      </c>
      <c r="D111" s="1" t="s">
        <v>1344</v>
      </c>
      <c r="E111" s="4">
        <v>37049</v>
      </c>
      <c r="F111" s="1" t="str">
        <f>VLOOKUP(D111,Table12[[Name]:[Native]],3,FALSE)</f>
        <v>鄞州区</v>
      </c>
      <c r="G111" s="14" t="str">
        <f ca="1">VLOOKUP(F111,Table12[[Native]:[Population4]],5,FALSE)</f>
        <v>宁波市</v>
      </c>
    </row>
    <row r="112" spans="1:7" ht="15.75" thickBot="1" x14ac:dyDescent="0.3">
      <c r="A112" t="s">
        <v>1555</v>
      </c>
      <c r="B112" s="1" t="s">
        <v>1556</v>
      </c>
      <c r="C112" s="1" t="s">
        <v>15</v>
      </c>
      <c r="D112" s="1" t="s">
        <v>1356</v>
      </c>
      <c r="E112" s="4">
        <v>80876</v>
      </c>
      <c r="F112" s="1" t="str">
        <f>VLOOKUP(D112,Table12[[Name]:[Native]],3,FALSE)</f>
        <v>宁海县</v>
      </c>
      <c r="G112" s="14" t="str">
        <f ca="1">VLOOKUP(F112,Table12[[Native]:[Population4]],5,FALSE)</f>
        <v>宁波市</v>
      </c>
    </row>
    <row r="113" spans="1:7" ht="15.75" thickBot="1" x14ac:dyDescent="0.3">
      <c r="A113" t="s">
        <v>1557</v>
      </c>
      <c r="B113" s="1" t="s">
        <v>1558</v>
      </c>
      <c r="C113" s="1" t="s">
        <v>11</v>
      </c>
      <c r="D113" s="1" t="s">
        <v>1386</v>
      </c>
      <c r="E113" s="4">
        <v>11256</v>
      </c>
      <c r="F113" s="1" t="str">
        <f>VLOOKUP(D113,Table12[[Name]:[Native]],3,FALSE)</f>
        <v>象山县</v>
      </c>
      <c r="G113" s="14" t="str">
        <f ca="1">VLOOKUP(F113,Table12[[Native]:[Population4]],5,FALSE)</f>
        <v>宁波市</v>
      </c>
    </row>
    <row r="114" spans="1:7" ht="15.75" thickBot="1" x14ac:dyDescent="0.3">
      <c r="A114" t="s">
        <v>1559</v>
      </c>
      <c r="B114" s="1" t="s">
        <v>1560</v>
      </c>
      <c r="C114" s="1" t="s">
        <v>15</v>
      </c>
      <c r="D114" s="1" t="s">
        <v>1372</v>
      </c>
      <c r="E114" s="4">
        <v>38983</v>
      </c>
      <c r="F114" s="1" t="str">
        <f>VLOOKUP(D114,Table12[[Name]:[Native]],3,FALSE)</f>
        <v>江北区</v>
      </c>
      <c r="G114" s="14" t="str">
        <f ca="1">VLOOKUP(F114,Table12[[Native]:[Population4]],5,FALSE)</f>
        <v>宁波市</v>
      </c>
    </row>
    <row r="115" spans="1:7" ht="15.75" thickBot="1" x14ac:dyDescent="0.3">
      <c r="A115" t="s">
        <v>1561</v>
      </c>
      <c r="B115" s="1" t="s">
        <v>1562</v>
      </c>
      <c r="C115" s="1" t="s">
        <v>15</v>
      </c>
      <c r="D115" s="1" t="s">
        <v>1347</v>
      </c>
      <c r="E115" s="4">
        <v>62065</v>
      </c>
      <c r="F115" s="1" t="str">
        <f>VLOOKUP(D115,Table12[[Name]:[Native]],3,FALSE)</f>
        <v>海曙区</v>
      </c>
      <c r="G115" s="14" t="str">
        <f ca="1">VLOOKUP(F115,Table12[[Native]:[Population4]],5,FALSE)</f>
        <v>宁波市</v>
      </c>
    </row>
    <row r="116" spans="1:7" ht="15.75" thickBot="1" x14ac:dyDescent="0.3">
      <c r="A116" t="s">
        <v>1563</v>
      </c>
      <c r="B116" s="1" t="s">
        <v>1564</v>
      </c>
      <c r="C116" s="1" t="s">
        <v>15</v>
      </c>
      <c r="D116" s="1" t="s">
        <v>1372</v>
      </c>
      <c r="E116" s="4">
        <v>37104</v>
      </c>
      <c r="F116" s="1" t="str">
        <f>VLOOKUP(D116,Table12[[Name]:[Native]],3,FALSE)</f>
        <v>江北区</v>
      </c>
      <c r="G116" s="14" t="str">
        <f ca="1">VLOOKUP(F116,Table12[[Native]:[Population4]],5,FALSE)</f>
        <v>宁波市</v>
      </c>
    </row>
    <row r="117" spans="1:7" ht="15.75" thickBot="1" x14ac:dyDescent="0.3">
      <c r="A117" t="s">
        <v>1565</v>
      </c>
      <c r="B117" s="1" t="s">
        <v>1566</v>
      </c>
      <c r="C117" s="1" t="s">
        <v>11</v>
      </c>
      <c r="D117" s="1" t="s">
        <v>1344</v>
      </c>
      <c r="E117" s="4">
        <v>45354</v>
      </c>
      <c r="F117" s="1" t="str">
        <f>VLOOKUP(D117,Table12[[Name]:[Native]],3,FALSE)</f>
        <v>鄞州区</v>
      </c>
      <c r="G117" s="14" t="str">
        <f ca="1">VLOOKUP(F117,Table12[[Native]:[Population4]],5,FALSE)</f>
        <v>宁波市</v>
      </c>
    </row>
    <row r="118" spans="1:7" ht="15.75" thickBot="1" x14ac:dyDescent="0.3">
      <c r="A118" t="s">
        <v>1567</v>
      </c>
      <c r="B118" s="1" t="s">
        <v>1568</v>
      </c>
      <c r="C118" s="1" t="s">
        <v>11</v>
      </c>
      <c r="D118" s="1" t="s">
        <v>1344</v>
      </c>
      <c r="E118" s="4">
        <v>29147</v>
      </c>
      <c r="F118" s="1" t="str">
        <f>VLOOKUP(D118,Table12[[Name]:[Native]],3,FALSE)</f>
        <v>鄞州区</v>
      </c>
      <c r="G118" s="14" t="str">
        <f ca="1">VLOOKUP(F118,Table12[[Native]:[Population4]],5,FALSE)</f>
        <v>宁波市</v>
      </c>
    </row>
    <row r="119" spans="1:7" ht="15.75" thickBot="1" x14ac:dyDescent="0.3">
      <c r="A119" t="s">
        <v>1567</v>
      </c>
      <c r="B119" s="1" t="s">
        <v>1569</v>
      </c>
      <c r="C119" s="1" t="s">
        <v>11</v>
      </c>
      <c r="D119" s="1" t="s">
        <v>1386</v>
      </c>
      <c r="E119" s="4">
        <v>16454</v>
      </c>
      <c r="F119" s="1" t="str">
        <f>VLOOKUP(D119,Table12[[Name]:[Native]],3,FALSE)</f>
        <v>象山县</v>
      </c>
      <c r="G119" s="14" t="str">
        <f ca="1">VLOOKUP(F119,Table12[[Native]:[Population4]],5,FALSE)</f>
        <v>宁波市</v>
      </c>
    </row>
    <row r="120" spans="1:7" ht="15.75" thickBot="1" x14ac:dyDescent="0.3">
      <c r="A120" t="s">
        <v>1570</v>
      </c>
      <c r="B120" s="1" t="s">
        <v>1571</v>
      </c>
      <c r="C120" s="1" t="s">
        <v>11</v>
      </c>
      <c r="D120" s="1" t="s">
        <v>1383</v>
      </c>
      <c r="E120" s="4">
        <v>30364</v>
      </c>
      <c r="F120" s="1" t="str">
        <f>VLOOKUP(D120,Table12[[Name]:[Native]],3,FALSE)</f>
        <v>余姚市</v>
      </c>
      <c r="G120" s="14" t="str">
        <f ca="1">VLOOKUP(F120,Table12[[Native]:[Population4]],5,FALSE)</f>
        <v>宁波市</v>
      </c>
    </row>
    <row r="121" spans="1:7" ht="15.75" thickBot="1" x14ac:dyDescent="0.3">
      <c r="A121" t="s">
        <v>1572</v>
      </c>
      <c r="B121" s="1" t="s">
        <v>1573</v>
      </c>
      <c r="C121" s="1" t="s">
        <v>15</v>
      </c>
      <c r="D121" s="1" t="s">
        <v>1341</v>
      </c>
      <c r="E121" s="4">
        <v>94080</v>
      </c>
      <c r="F121" s="1" t="str">
        <f>VLOOKUP(D121,Table12[[Name]:[Native]],3,FALSE)</f>
        <v>北仑区</v>
      </c>
      <c r="G121" s="14" t="str">
        <f ca="1">VLOOKUP(F121,Table12[[Native]:[Population4]],5,FALSE)</f>
        <v>宁波市</v>
      </c>
    </row>
    <row r="122" spans="1:7" ht="15.75" thickBot="1" x14ac:dyDescent="0.3">
      <c r="A122" t="s">
        <v>1574</v>
      </c>
      <c r="B122" s="1" t="s">
        <v>1575</v>
      </c>
      <c r="C122" s="1" t="s">
        <v>11</v>
      </c>
      <c r="D122" s="1" t="s">
        <v>1338</v>
      </c>
      <c r="E122" s="4">
        <v>55099</v>
      </c>
      <c r="F122" s="1" t="str">
        <f>VLOOKUP(D122,Table12[[Name]:[Native]],3,FALSE)</f>
        <v>慈溪市</v>
      </c>
      <c r="G122" s="14" t="str">
        <f ca="1">VLOOKUP(F122,Table12[[Native]:[Population4]],5,FALSE)</f>
        <v>宁波市</v>
      </c>
    </row>
    <row r="123" spans="1:7" ht="15.75" thickBot="1" x14ac:dyDescent="0.3">
      <c r="A123" t="s">
        <v>1576</v>
      </c>
      <c r="B123" s="1" t="s">
        <v>1577</v>
      </c>
      <c r="C123" s="1" t="s">
        <v>7</v>
      </c>
      <c r="D123" s="1" t="s">
        <v>1386</v>
      </c>
      <c r="E123" s="4">
        <v>11473</v>
      </c>
      <c r="F123" s="1" t="str">
        <f>VLOOKUP(D123,Table12[[Name]:[Native]],3,FALSE)</f>
        <v>象山县</v>
      </c>
      <c r="G123" s="14" t="str">
        <f ca="1">VLOOKUP(F123,Table12[[Native]:[Population4]],5,FALSE)</f>
        <v>宁波市</v>
      </c>
    </row>
    <row r="124" spans="1:7" ht="15.75" thickBot="1" x14ac:dyDescent="0.3">
      <c r="A124" t="s">
        <v>1578</v>
      </c>
      <c r="B124" s="1" t="s">
        <v>1579</v>
      </c>
      <c r="C124" s="1" t="s">
        <v>15</v>
      </c>
      <c r="D124" s="1" t="s">
        <v>1367</v>
      </c>
      <c r="E124" s="4">
        <v>27172</v>
      </c>
      <c r="F124" s="1" t="str">
        <f>VLOOKUP(D124,Table12[[Name]:[Native]],3,FALSE)</f>
        <v>奉化区</v>
      </c>
      <c r="G124" s="14" t="str">
        <f ca="1">VLOOKUP(F124,Table12[[Native]:[Population4]],5,FALSE)</f>
        <v>宁波市</v>
      </c>
    </row>
    <row r="125" spans="1:7" ht="15.75" thickBot="1" x14ac:dyDescent="0.3">
      <c r="A125" t="s">
        <v>1580</v>
      </c>
      <c r="B125" s="1" t="s">
        <v>1581</v>
      </c>
      <c r="C125" s="1" t="s">
        <v>15</v>
      </c>
      <c r="D125" s="1" t="s">
        <v>1341</v>
      </c>
      <c r="E125" s="4">
        <v>45194</v>
      </c>
      <c r="F125" s="1" t="str">
        <f>VLOOKUP(D125,Table12[[Name]:[Native]],3,FALSE)</f>
        <v>北仑区</v>
      </c>
      <c r="G125" s="14" t="str">
        <f ca="1">VLOOKUP(F125,Table12[[Native]:[Population4]],5,FALSE)</f>
        <v>宁波市</v>
      </c>
    </row>
    <row r="126" spans="1:7" ht="15.75" thickBot="1" x14ac:dyDescent="0.3">
      <c r="A126" t="s">
        <v>1582</v>
      </c>
      <c r="B126" s="1" t="s">
        <v>1583</v>
      </c>
      <c r="C126" s="1" t="s">
        <v>15</v>
      </c>
      <c r="D126" s="1" t="s">
        <v>1344</v>
      </c>
      <c r="E126" s="4">
        <v>84439</v>
      </c>
      <c r="F126" s="1" t="str">
        <f>VLOOKUP(D126,Table12[[Name]:[Native]],3,FALSE)</f>
        <v>鄞州区</v>
      </c>
      <c r="G126" s="14" t="str">
        <f ca="1">VLOOKUP(F126,Table12[[Native]:[Population4]],5,FALSE)</f>
        <v>宁波市</v>
      </c>
    </row>
    <row r="127" spans="1:7" ht="15.75" thickBot="1" x14ac:dyDescent="0.3">
      <c r="A127" t="s">
        <v>1584</v>
      </c>
      <c r="B127" s="1" t="s">
        <v>1585</v>
      </c>
      <c r="C127" s="1" t="s">
        <v>11</v>
      </c>
      <c r="D127" s="1" t="s">
        <v>1356</v>
      </c>
      <c r="E127" s="4">
        <v>70754</v>
      </c>
      <c r="F127" s="1" t="str">
        <f>VLOOKUP(D127,Table12[[Name]:[Native]],3,FALSE)</f>
        <v>宁海县</v>
      </c>
      <c r="G127" s="14" t="str">
        <f ca="1">VLOOKUP(F127,Table12[[Native]:[Population4]],5,FALSE)</f>
        <v>宁波市</v>
      </c>
    </row>
    <row r="128" spans="1:7" ht="15.75" thickBot="1" x14ac:dyDescent="0.3">
      <c r="A128" t="s">
        <v>1586</v>
      </c>
      <c r="B128" s="1" t="s">
        <v>1587</v>
      </c>
      <c r="C128" s="1" t="s">
        <v>11</v>
      </c>
      <c r="D128" s="1" t="s">
        <v>1463</v>
      </c>
      <c r="E128" s="4">
        <v>41405</v>
      </c>
      <c r="F128" s="1" t="str">
        <f>VLOOKUP(D128,Table12[[Name]:[Native]],3,FALSE)</f>
        <v>镇海区</v>
      </c>
      <c r="G128" s="14" t="str">
        <f ca="1">VLOOKUP(F128,Table12[[Native]:[Population4]],5,FALSE)</f>
        <v>宁波市</v>
      </c>
    </row>
    <row r="129" spans="1:7" ht="15.75" thickBot="1" x14ac:dyDescent="0.3">
      <c r="A129" t="s">
        <v>1588</v>
      </c>
      <c r="B129" s="1" t="s">
        <v>1589</v>
      </c>
      <c r="C129" s="1" t="s">
        <v>11</v>
      </c>
      <c r="D129" s="1" t="s">
        <v>1367</v>
      </c>
      <c r="E129" s="4">
        <v>73756</v>
      </c>
      <c r="F129" s="1" t="str">
        <f>VLOOKUP(D129,Table12[[Name]:[Native]],3,FALSE)</f>
        <v>奉化区</v>
      </c>
      <c r="G129" s="14" t="str">
        <f ca="1">VLOOKUP(F129,Table12[[Native]:[Population4]],5,FALSE)</f>
        <v>宁波市</v>
      </c>
    </row>
    <row r="130" spans="1:7" ht="15.75" thickBot="1" x14ac:dyDescent="0.3">
      <c r="A130" t="s">
        <v>1590</v>
      </c>
      <c r="B130" s="1" t="s">
        <v>1591</v>
      </c>
      <c r="C130" s="1" t="s">
        <v>15</v>
      </c>
      <c r="D130" s="1" t="s">
        <v>1347</v>
      </c>
      <c r="E130" s="4">
        <v>72192</v>
      </c>
      <c r="F130" s="1" t="str">
        <f>VLOOKUP(D130,Table12[[Name]:[Native]],3,FALSE)</f>
        <v>海曙区</v>
      </c>
      <c r="G130" s="14" t="str">
        <f ca="1">VLOOKUP(F130,Table12[[Native]:[Population4]],5,FALSE)</f>
        <v>宁波市</v>
      </c>
    </row>
    <row r="131" spans="1:7" ht="15.75" thickBot="1" x14ac:dyDescent="0.3">
      <c r="A131" t="s">
        <v>1592</v>
      </c>
      <c r="B131" s="1" t="s">
        <v>1593</v>
      </c>
      <c r="C131" s="1" t="s">
        <v>15</v>
      </c>
      <c r="D131" s="1" t="s">
        <v>1344</v>
      </c>
      <c r="E131" s="4">
        <v>20024</v>
      </c>
      <c r="F131" s="1" t="str">
        <f>VLOOKUP(D131,Table12[[Name]:[Native]],3,FALSE)</f>
        <v>鄞州区</v>
      </c>
      <c r="G131" s="14" t="str">
        <f ca="1">VLOOKUP(F131,Table12[[Native]:[Population4]],5,FALSE)</f>
        <v>宁波市</v>
      </c>
    </row>
    <row r="132" spans="1:7" ht="15.75" thickBot="1" x14ac:dyDescent="0.3">
      <c r="A132" t="s">
        <v>1594</v>
      </c>
      <c r="B132" s="1" t="s">
        <v>1595</v>
      </c>
      <c r="C132" s="1" t="s">
        <v>11</v>
      </c>
      <c r="D132" s="1" t="s">
        <v>1338</v>
      </c>
      <c r="E132" s="4">
        <v>64166</v>
      </c>
      <c r="F132" s="1" t="str">
        <f>VLOOKUP(D132,Table12[[Name]:[Native]],3,FALSE)</f>
        <v>慈溪市</v>
      </c>
      <c r="G132" s="14" t="str">
        <f ca="1">VLOOKUP(F132,Table12[[Native]:[Population4]],5,FALSE)</f>
        <v>宁波市</v>
      </c>
    </row>
    <row r="133" spans="1:7" ht="15.75" thickBot="1" x14ac:dyDescent="0.3">
      <c r="A133" t="s">
        <v>1596</v>
      </c>
      <c r="B133" s="1" t="s">
        <v>1597</v>
      </c>
      <c r="C133" s="1" t="s">
        <v>11</v>
      </c>
      <c r="D133" s="1" t="s">
        <v>1386</v>
      </c>
      <c r="E133" s="4">
        <v>16207</v>
      </c>
      <c r="F133" s="1" t="str">
        <f>VLOOKUP(D133,Table12[[Name]:[Native]],3,FALSE)</f>
        <v>象山县</v>
      </c>
      <c r="G133" s="14" t="str">
        <f ca="1">VLOOKUP(F133,Table12[[Native]:[Population4]],5,FALSE)</f>
        <v>宁波市</v>
      </c>
    </row>
    <row r="134" spans="1:7" ht="15.75" thickBot="1" x14ac:dyDescent="0.3">
      <c r="A134" t="s">
        <v>1598</v>
      </c>
      <c r="B134" s="1" t="s">
        <v>1599</v>
      </c>
      <c r="C134" s="1" t="s">
        <v>15</v>
      </c>
      <c r="D134" s="1" t="s">
        <v>1341</v>
      </c>
      <c r="E134" s="4">
        <v>150729</v>
      </c>
      <c r="F134" s="1" t="str">
        <f>VLOOKUP(D134,Table12[[Name]:[Native]],3,FALSE)</f>
        <v>北仑区</v>
      </c>
      <c r="G134" s="14" t="str">
        <f ca="1">VLOOKUP(F134,Table12[[Native]:[Population4]],5,FALSE)</f>
        <v>宁波市</v>
      </c>
    </row>
    <row r="135" spans="1:7" ht="15.75" thickBot="1" x14ac:dyDescent="0.3">
      <c r="A135" t="s">
        <v>1600</v>
      </c>
      <c r="B135" s="1" t="s">
        <v>1601</v>
      </c>
      <c r="C135" s="1" t="s">
        <v>15</v>
      </c>
      <c r="D135" s="1" t="s">
        <v>1367</v>
      </c>
      <c r="E135" s="4">
        <v>39555</v>
      </c>
      <c r="F135" s="1" t="str">
        <f>VLOOKUP(D135,Table12[[Name]:[Native]],3,FALSE)</f>
        <v>奉化区</v>
      </c>
      <c r="G135" s="14" t="str">
        <f ca="1">VLOOKUP(F135,Table12[[Native]:[Population4]],5,FALSE)</f>
        <v>宁波市</v>
      </c>
    </row>
    <row r="136" spans="1:7" ht="15.75" thickBot="1" x14ac:dyDescent="0.3">
      <c r="A136" t="s">
        <v>1602</v>
      </c>
      <c r="B136" s="1" t="s">
        <v>1603</v>
      </c>
      <c r="C136" s="1" t="s">
        <v>11</v>
      </c>
      <c r="D136" s="1" t="s">
        <v>1386</v>
      </c>
      <c r="E136" s="4">
        <v>33740</v>
      </c>
      <c r="F136" s="1" t="str">
        <f>VLOOKUP(D136,Table12[[Name]:[Native]],3,FALSE)</f>
        <v>象山县</v>
      </c>
      <c r="G136" s="14" t="str">
        <f ca="1">VLOOKUP(F136,Table12[[Native]:[Population4]],5,FALSE)</f>
        <v>宁波市</v>
      </c>
    </row>
    <row r="137" spans="1:7" ht="15.75" thickBot="1" x14ac:dyDescent="0.3">
      <c r="A137" t="s">
        <v>1604</v>
      </c>
      <c r="B137" s="1" t="s">
        <v>1605</v>
      </c>
      <c r="C137" s="1" t="s">
        <v>15</v>
      </c>
      <c r="D137" s="1" t="s">
        <v>1383</v>
      </c>
      <c r="E137" s="4">
        <v>135922</v>
      </c>
      <c r="F137" s="1" t="str">
        <f>VLOOKUP(D137,Table12[[Name]:[Native]],3,FALSE)</f>
        <v>余姚市</v>
      </c>
      <c r="G137" s="14" t="str">
        <f ca="1">VLOOKUP(F137,Table12[[Native]:[Population4]],5,FALSE)</f>
        <v>宁波市</v>
      </c>
    </row>
    <row r="138" spans="1:7" ht="15.75" thickBot="1" x14ac:dyDescent="0.3">
      <c r="A138" t="s">
        <v>1606</v>
      </c>
      <c r="B138" s="1" t="s">
        <v>1607</v>
      </c>
      <c r="C138" s="1" t="s">
        <v>11</v>
      </c>
      <c r="D138" s="1" t="s">
        <v>1347</v>
      </c>
      <c r="E138" s="4">
        <v>31602</v>
      </c>
      <c r="F138" s="1" t="str">
        <f>VLOOKUP(D138,Table12[[Name]:[Native]],3,FALSE)</f>
        <v>海曙区</v>
      </c>
      <c r="G138" s="14" t="str">
        <f ca="1">VLOOKUP(F138,Table12[[Native]:[Population4]],5,FALSE)</f>
        <v>宁波市</v>
      </c>
    </row>
    <row r="139" spans="1:7" ht="15.75" thickBot="1" x14ac:dyDescent="0.3">
      <c r="A139" t="s">
        <v>1608</v>
      </c>
      <c r="B139" s="1" t="s">
        <v>1609</v>
      </c>
      <c r="C139" s="1" t="s">
        <v>11</v>
      </c>
      <c r="D139" s="1" t="s">
        <v>1356</v>
      </c>
      <c r="E139" s="4">
        <v>15279</v>
      </c>
      <c r="F139" s="1" t="str">
        <f>VLOOKUP(D139,Table12[[Name]:[Native]],3,FALSE)</f>
        <v>宁海县</v>
      </c>
      <c r="G139" s="14" t="str">
        <f ca="1">VLOOKUP(F139,Table12[[Native]:[Population4]],5,FALSE)</f>
        <v>宁波市</v>
      </c>
    </row>
    <row r="140" spans="1:7" ht="15.75" thickBot="1" x14ac:dyDescent="0.3">
      <c r="A140" t="s">
        <v>1610</v>
      </c>
      <c r="B140" s="1" t="s">
        <v>1611</v>
      </c>
      <c r="C140" s="1" t="s">
        <v>15</v>
      </c>
      <c r="D140" s="1" t="s">
        <v>1372</v>
      </c>
      <c r="E140" s="4">
        <v>30539</v>
      </c>
      <c r="F140" s="1" t="str">
        <f>VLOOKUP(D140,Table12[[Name]:[Native]],3,FALSE)</f>
        <v>江北区</v>
      </c>
      <c r="G140" s="14" t="str">
        <f ca="1">VLOOKUP(F140,Table12[[Native]:[Population4]],5,FALSE)</f>
        <v>宁波市</v>
      </c>
    </row>
    <row r="141" spans="1:7" ht="15.75" thickBot="1" x14ac:dyDescent="0.3">
      <c r="A141" t="s">
        <v>1612</v>
      </c>
      <c r="B141" s="1" t="s">
        <v>1613</v>
      </c>
      <c r="C141" s="1" t="s">
        <v>15</v>
      </c>
      <c r="D141" s="1" t="s">
        <v>1347</v>
      </c>
      <c r="E141" s="4">
        <v>22469</v>
      </c>
      <c r="F141" s="1" t="str">
        <f>VLOOKUP(D141,Table12[[Name]:[Native]],3,FALSE)</f>
        <v>海曙区</v>
      </c>
      <c r="G141" s="14" t="str">
        <f ca="1">VLOOKUP(F141,Table12[[Native]:[Population4]],5,FALSE)</f>
        <v>宁波市</v>
      </c>
    </row>
    <row r="142" spans="1:7" ht="15.75" thickBot="1" x14ac:dyDescent="0.3">
      <c r="A142" t="s">
        <v>1614</v>
      </c>
      <c r="B142" s="1" t="s">
        <v>1615</v>
      </c>
      <c r="C142" s="1" t="s">
        <v>15</v>
      </c>
      <c r="D142" s="1" t="s">
        <v>1367</v>
      </c>
      <c r="E142" s="4">
        <v>62433</v>
      </c>
      <c r="F142" s="1" t="str">
        <f>VLOOKUP(D142,Table12[[Name]:[Native]],3,FALSE)</f>
        <v>奉化区</v>
      </c>
      <c r="G142" s="14" t="str">
        <f ca="1">VLOOKUP(F142,Table12[[Native]:[Population4]],5,FALSE)</f>
        <v>宁波市</v>
      </c>
    </row>
    <row r="143" spans="1:7" ht="15.75" thickBot="1" x14ac:dyDescent="0.3">
      <c r="A143" t="s">
        <v>1616</v>
      </c>
      <c r="B143" s="1" t="s">
        <v>1617</v>
      </c>
      <c r="C143" s="1" t="s">
        <v>15</v>
      </c>
      <c r="D143" s="1" t="s">
        <v>1356</v>
      </c>
      <c r="E143" s="4">
        <v>173764</v>
      </c>
      <c r="F143" s="1" t="str">
        <f>VLOOKUP(D143,Table12[[Name]:[Native]],3,FALSE)</f>
        <v>宁海县</v>
      </c>
      <c r="G143" s="14" t="str">
        <f ca="1">VLOOKUP(F143,Table12[[Native]:[Population4]],5,FALSE)</f>
        <v>宁波市</v>
      </c>
    </row>
    <row r="144" spans="1:7" ht="15.75" thickBot="1" x14ac:dyDescent="0.3">
      <c r="A144" t="s">
        <v>1618</v>
      </c>
      <c r="B144" s="1" t="s">
        <v>1619</v>
      </c>
      <c r="C144" s="1" t="s">
        <v>7</v>
      </c>
      <c r="D144" s="1" t="s">
        <v>1356</v>
      </c>
      <c r="E144" s="4">
        <v>14603</v>
      </c>
      <c r="F144" s="1" t="str">
        <f>VLOOKUP(D144,Table12[[Name]:[Native]],3,FALSE)</f>
        <v>宁海县</v>
      </c>
      <c r="G144" s="14" t="str">
        <f ca="1">VLOOKUP(F144,Table12[[Native]:[Population4]],5,FALSE)</f>
        <v>宁波市</v>
      </c>
    </row>
    <row r="145" spans="1:7" ht="15.75" thickBot="1" x14ac:dyDescent="0.3">
      <c r="A145" t="s">
        <v>1620</v>
      </c>
      <c r="B145" s="1" t="s">
        <v>1621</v>
      </c>
      <c r="C145" s="1" t="s">
        <v>11</v>
      </c>
      <c r="D145" s="1" t="s">
        <v>1344</v>
      </c>
      <c r="E145" s="4">
        <v>42494</v>
      </c>
      <c r="F145" s="1" t="str">
        <f>VLOOKUP(D145,Table12[[Name]:[Native]],3,FALSE)</f>
        <v>鄞州区</v>
      </c>
      <c r="G145" s="14" t="str">
        <f ca="1">VLOOKUP(F145,Table12[[Native]:[Population4]],5,FALSE)</f>
        <v>宁波市</v>
      </c>
    </row>
    <row r="146" spans="1:7" ht="15.75" thickBot="1" x14ac:dyDescent="0.3">
      <c r="A146" t="s">
        <v>1622</v>
      </c>
      <c r="B146" s="1" t="s">
        <v>1623</v>
      </c>
      <c r="C146" s="1" t="s">
        <v>11</v>
      </c>
      <c r="D146" s="1" t="s">
        <v>1338</v>
      </c>
      <c r="E146" s="4">
        <v>66274</v>
      </c>
      <c r="F146" s="1" t="str">
        <f>VLOOKUP(D146,Table12[[Name]:[Native]],3,FALSE)</f>
        <v>慈溪市</v>
      </c>
      <c r="G146" s="14" t="str">
        <f ca="1">VLOOKUP(F146,Table12[[Native]:[Population4]],5,FALSE)</f>
        <v>宁波市</v>
      </c>
    </row>
    <row r="147" spans="1:7" ht="15.75" thickBot="1" x14ac:dyDescent="0.3">
      <c r="A147" t="s">
        <v>1624</v>
      </c>
      <c r="B147" s="1" t="s">
        <v>1625</v>
      </c>
      <c r="C147" s="1" t="s">
        <v>11</v>
      </c>
      <c r="D147" s="1" t="s">
        <v>1347</v>
      </c>
      <c r="E147" s="4">
        <v>19436</v>
      </c>
      <c r="F147" s="1" t="str">
        <f>VLOOKUP(D147,Table12[[Name]:[Native]],3,FALSE)</f>
        <v>海曙区</v>
      </c>
      <c r="G147" s="14" t="str">
        <f ca="1">VLOOKUP(F147,Table12[[Native]:[Population4]],5,FALSE)</f>
        <v>宁波市</v>
      </c>
    </row>
    <row r="148" spans="1:7" ht="15.75" thickBot="1" x14ac:dyDescent="0.3">
      <c r="A148" t="s">
        <v>1626</v>
      </c>
      <c r="B148" s="1" t="s">
        <v>1627</v>
      </c>
      <c r="C148" s="1" t="s">
        <v>11</v>
      </c>
      <c r="D148" s="1" t="s">
        <v>1383</v>
      </c>
      <c r="E148" s="4">
        <v>39315</v>
      </c>
      <c r="F148" s="1" t="str">
        <f>VLOOKUP(D148,Table12[[Name]:[Native]],3,FALSE)</f>
        <v>余姚市</v>
      </c>
      <c r="G148" s="14" t="str">
        <f ca="1">VLOOKUP(F148,Table12[[Native]:[Population4]],5,FALSE)</f>
        <v>宁波市</v>
      </c>
    </row>
    <row r="149" spans="1:7" ht="15.75" thickBot="1" x14ac:dyDescent="0.3">
      <c r="A149" t="s">
        <v>1628</v>
      </c>
      <c r="B149" s="1" t="s">
        <v>1629</v>
      </c>
      <c r="C149" s="1" t="s">
        <v>11</v>
      </c>
      <c r="D149" s="1" t="s">
        <v>1344</v>
      </c>
      <c r="E149" s="4">
        <v>32616</v>
      </c>
      <c r="F149" s="1" t="str">
        <f>VLOOKUP(D149,Table12[[Name]:[Native]],3,FALSE)</f>
        <v>鄞州区</v>
      </c>
      <c r="G149" s="14" t="str">
        <f ca="1">VLOOKUP(F149,Table12[[Native]:[Population4]],5,FALSE)</f>
        <v>宁波市</v>
      </c>
    </row>
    <row r="150" spans="1:7" ht="15.75" thickBot="1" x14ac:dyDescent="0.3">
      <c r="A150" t="s">
        <v>1630</v>
      </c>
      <c r="B150" s="1" t="s">
        <v>1631</v>
      </c>
      <c r="C150" s="1" t="s">
        <v>15</v>
      </c>
      <c r="D150" s="1" t="s">
        <v>1463</v>
      </c>
      <c r="E150" s="4">
        <v>81454</v>
      </c>
      <c r="F150" s="1" t="str">
        <f>VLOOKUP(D150,Table12[[Name]:[Native]],3,FALSE)</f>
        <v>镇海区</v>
      </c>
      <c r="G150" s="14" t="str">
        <f ca="1">VLOOKUP(F150,Table12[[Native]:[Population4]],5,FALSE)</f>
        <v>宁波市</v>
      </c>
    </row>
    <row r="151" spans="1:7" ht="15.75" thickBot="1" x14ac:dyDescent="0.3">
      <c r="A151" t="s">
        <v>1632</v>
      </c>
      <c r="B151" s="1" t="s">
        <v>1633</v>
      </c>
      <c r="C151" s="1" t="s">
        <v>15</v>
      </c>
      <c r="D151" s="1" t="s">
        <v>1344</v>
      </c>
      <c r="E151" s="4">
        <v>57130</v>
      </c>
      <c r="F151" s="1" t="str">
        <f>VLOOKUP(D151,Table12[[Name]:[Native]],3,FALSE)</f>
        <v>鄞州区</v>
      </c>
      <c r="G151" s="14" t="str">
        <f ca="1">VLOOKUP(F151,Table12[[Native]:[Population4]],5,FALSE)</f>
        <v>宁波市</v>
      </c>
    </row>
    <row r="152" spans="1:7" ht="15.75" thickBot="1" x14ac:dyDescent="0.3">
      <c r="A152" t="s">
        <v>1634</v>
      </c>
      <c r="B152" s="1" t="s">
        <v>1635</v>
      </c>
      <c r="C152" s="1" t="s">
        <v>15</v>
      </c>
      <c r="D152" s="1" t="s">
        <v>1344</v>
      </c>
      <c r="E152" s="4">
        <v>94547</v>
      </c>
      <c r="F152" s="1" t="str">
        <f>VLOOKUP(D152,Table12[[Name]:[Native]],3,FALSE)</f>
        <v>鄞州区</v>
      </c>
      <c r="G152" s="14" t="str">
        <f ca="1">VLOOKUP(F152,Table12[[Native]:[Population4]],5,FALSE)</f>
        <v>宁波市</v>
      </c>
    </row>
    <row r="153" spans="1:7" ht="15.75" thickBot="1" x14ac:dyDescent="0.3">
      <c r="A153" t="s">
        <v>1636</v>
      </c>
      <c r="B153" s="1" t="s">
        <v>1637</v>
      </c>
      <c r="C153" s="1" t="s">
        <v>11</v>
      </c>
      <c r="D153" s="1" t="s">
        <v>1338</v>
      </c>
      <c r="E153" s="4">
        <v>151778</v>
      </c>
      <c r="F153" s="1" t="str">
        <f>VLOOKUP(D153,Table12[[Name]:[Native]],3,FALSE)</f>
        <v>慈溪市</v>
      </c>
      <c r="G153" s="14" t="str">
        <f ca="1">VLOOKUP(F153,Table12[[Native]:[Population4]],5,FALSE)</f>
        <v>宁波市</v>
      </c>
    </row>
    <row r="154" spans="1:7" ht="15.75" thickBot="1" x14ac:dyDescent="0.3">
      <c r="A154" t="s">
        <v>1638</v>
      </c>
      <c r="B154" s="1" t="s">
        <v>1639</v>
      </c>
      <c r="C154" s="1" t="s">
        <v>15</v>
      </c>
      <c r="D154" s="1" t="s">
        <v>1372</v>
      </c>
      <c r="E154" s="4">
        <v>78314</v>
      </c>
      <c r="F154" s="1" t="str">
        <f>VLOOKUP(D154,Table12[[Name]:[Native]],3,FALSE)</f>
        <v>江北区</v>
      </c>
      <c r="G154" s="14" t="str">
        <f ca="1">VLOOKUP(F154,Table12[[Native]:[Population4]],5,FALSE)</f>
        <v>宁波市</v>
      </c>
    </row>
    <row r="155" spans="1:7" ht="15.75" thickBot="1" x14ac:dyDescent="0.3">
      <c r="A155" t="s">
        <v>1640</v>
      </c>
      <c r="B155" s="1" t="s">
        <v>1641</v>
      </c>
      <c r="C155" s="1" t="s">
        <v>15</v>
      </c>
      <c r="D155" s="1" t="s">
        <v>1463</v>
      </c>
      <c r="E155" s="4">
        <v>65254</v>
      </c>
      <c r="F155" s="1" t="str">
        <f>VLOOKUP(D155,Table12[[Name]:[Native]],3,FALSE)</f>
        <v>镇海区</v>
      </c>
      <c r="G155" s="14" t="str">
        <f ca="1">VLOOKUP(F155,Table12[[Native]:[Population4]],5,FALSE)</f>
        <v>宁波市</v>
      </c>
    </row>
    <row r="156" spans="1:7" ht="15.75" thickBot="1" x14ac:dyDescent="0.3">
      <c r="A156" t="s">
        <v>1642</v>
      </c>
      <c r="B156" s="1" t="s">
        <v>1643</v>
      </c>
      <c r="C156" s="1" t="s">
        <v>15</v>
      </c>
      <c r="D156" s="1" t="s">
        <v>1338</v>
      </c>
      <c r="E156" s="4">
        <v>93528</v>
      </c>
      <c r="F156" s="10" t="str">
        <f>VLOOKUP(D156,Table12[[Name]:[Native]],3,FALSE)</f>
        <v>慈溪市</v>
      </c>
      <c r="G156" s="14" t="str">
        <f ca="1">VLOOKUP(F156,Table12[[Native]:[Population4]],5,FALSE)</f>
        <v>宁波市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C2D39-C272-414F-B1B6-461F89FAB575}">
  <dimension ref="A1:G98"/>
  <sheetViews>
    <sheetView topLeftCell="A73" workbookViewId="0">
      <selection activeCell="G2" sqref="A2:G98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3023</v>
      </c>
      <c r="G1" t="s">
        <v>3025</v>
      </c>
    </row>
    <row r="2" spans="1:7" ht="15.75" thickBot="1" x14ac:dyDescent="0.3">
      <c r="A2" t="s">
        <v>1644</v>
      </c>
      <c r="B2" s="1" t="s">
        <v>1645</v>
      </c>
      <c r="C2" s="1" t="s">
        <v>11</v>
      </c>
      <c r="D2" s="1" t="s">
        <v>1646</v>
      </c>
      <c r="E2" s="4">
        <v>5854</v>
      </c>
      <c r="F2" s="9" t="str">
        <f>VLOOKUP(D2,Table12[[Name]:[Native]],3,FALSE)</f>
        <v>常山县</v>
      </c>
      <c r="G2" s="14" t="str">
        <f ca="1">VLOOKUP(F2,Table12[[Native]:[Population4]],5,FALSE)</f>
        <v>衢州市</v>
      </c>
    </row>
    <row r="3" spans="1:7" ht="15.75" thickBot="1" x14ac:dyDescent="0.3">
      <c r="A3" t="s">
        <v>719</v>
      </c>
      <c r="B3" s="1" t="s">
        <v>720</v>
      </c>
      <c r="C3" s="1" t="s">
        <v>15</v>
      </c>
      <c r="D3" s="1" t="s">
        <v>1647</v>
      </c>
      <c r="E3" s="4">
        <v>31518</v>
      </c>
      <c r="F3" s="1" t="str">
        <f>VLOOKUP(D3,Table12[[Name]:[Native]],3,FALSE)</f>
        <v>柯城区</v>
      </c>
      <c r="G3" s="14" t="str">
        <f ca="1">VLOOKUP(F3,Table12[[Native]:[Population4]],5,FALSE)</f>
        <v>衢州市</v>
      </c>
    </row>
    <row r="4" spans="1:7" ht="15.75" thickBot="1" x14ac:dyDescent="0.3">
      <c r="A4" t="s">
        <v>1648</v>
      </c>
      <c r="B4" s="1" t="s">
        <v>1649</v>
      </c>
      <c r="C4" s="1" t="s">
        <v>7</v>
      </c>
      <c r="D4" s="1" t="s">
        <v>1650</v>
      </c>
      <c r="E4" s="4">
        <v>3751</v>
      </c>
      <c r="F4" s="1" t="str">
        <f>VLOOKUP(D4,Table12[[Name]:[Native]],3,FALSE)</f>
        <v>江山市</v>
      </c>
      <c r="G4" s="14" t="str">
        <f ca="1">VLOOKUP(F4,Table12[[Native]:[Population4]],5,FALSE)</f>
        <v>衢州市</v>
      </c>
    </row>
    <row r="5" spans="1:7" ht="15.75" thickBot="1" x14ac:dyDescent="0.3">
      <c r="A5" t="s">
        <v>1651</v>
      </c>
      <c r="B5" s="1" t="s">
        <v>1652</v>
      </c>
      <c r="C5" s="1" t="s">
        <v>7</v>
      </c>
      <c r="D5" s="1" t="s">
        <v>1653</v>
      </c>
      <c r="E5" s="4">
        <v>7229</v>
      </c>
      <c r="F5" s="1" t="str">
        <f>VLOOKUP(D5,Table12[[Name]:[Native]],3,FALSE)</f>
        <v>开化县</v>
      </c>
      <c r="G5" s="14" t="str">
        <f ca="1">VLOOKUP(F5,Table12[[Native]:[Population4]],5,FALSE)</f>
        <v>衢州市</v>
      </c>
    </row>
    <row r="6" spans="1:7" ht="15.75" thickBot="1" x14ac:dyDescent="0.3">
      <c r="A6" t="s">
        <v>1654</v>
      </c>
      <c r="B6" s="1" t="s">
        <v>1655</v>
      </c>
      <c r="C6" s="1" t="s">
        <v>11</v>
      </c>
      <c r="D6" s="1" t="s">
        <v>1650</v>
      </c>
      <c r="E6" s="4">
        <v>11207</v>
      </c>
      <c r="F6" s="1" t="str">
        <f>VLOOKUP(D6,Table12[[Name]:[Native]],3,FALSE)</f>
        <v>江山市</v>
      </c>
      <c r="G6" s="14" t="str">
        <f ca="1">VLOOKUP(F6,Table12[[Native]:[Population4]],5,FALSE)</f>
        <v>衢州市</v>
      </c>
    </row>
    <row r="7" spans="1:7" ht="15.75" thickBot="1" x14ac:dyDescent="0.3">
      <c r="A7" t="s">
        <v>1656</v>
      </c>
      <c r="B7" s="1" t="s">
        <v>1657</v>
      </c>
      <c r="C7" s="1" t="s">
        <v>11</v>
      </c>
      <c r="D7" s="1" t="s">
        <v>1653</v>
      </c>
      <c r="E7" s="4">
        <v>20909</v>
      </c>
      <c r="F7" s="1" t="str">
        <f>VLOOKUP(D7,Table12[[Name]:[Native]],3,FALSE)</f>
        <v>开化县</v>
      </c>
      <c r="G7" s="14" t="str">
        <f ca="1">VLOOKUP(F7,Table12[[Native]:[Population4]],5,FALSE)</f>
        <v>衢州市</v>
      </c>
    </row>
    <row r="8" spans="1:7" ht="15.75" thickBot="1" x14ac:dyDescent="0.3">
      <c r="A8" t="s">
        <v>1658</v>
      </c>
      <c r="B8" s="1" t="s">
        <v>1659</v>
      </c>
      <c r="C8" s="1" t="s">
        <v>11</v>
      </c>
      <c r="D8" s="1" t="s">
        <v>1653</v>
      </c>
      <c r="E8" s="4">
        <v>9038</v>
      </c>
      <c r="F8" s="1" t="str">
        <f>VLOOKUP(D8,Table12[[Name]:[Native]],3,FALSE)</f>
        <v>开化县</v>
      </c>
      <c r="G8" s="14" t="str">
        <f ca="1">VLOOKUP(F8,Table12[[Native]:[Population4]],5,FALSE)</f>
        <v>衢州市</v>
      </c>
    </row>
    <row r="9" spans="1:7" ht="15.75" thickBot="1" x14ac:dyDescent="0.3">
      <c r="A9" t="s">
        <v>1660</v>
      </c>
      <c r="B9" s="1" t="s">
        <v>1661</v>
      </c>
      <c r="C9" s="1" t="s">
        <v>7</v>
      </c>
      <c r="D9" s="1" t="s">
        <v>1650</v>
      </c>
      <c r="E9" s="4">
        <v>4580</v>
      </c>
      <c r="F9" s="1" t="str">
        <f>VLOOKUP(D9,Table12[[Name]:[Native]],3,FALSE)</f>
        <v>江山市</v>
      </c>
      <c r="G9" s="14" t="str">
        <f ca="1">VLOOKUP(F9,Table12[[Native]:[Population4]],5,FALSE)</f>
        <v>衢州市</v>
      </c>
    </row>
    <row r="10" spans="1:7" ht="15.75" thickBot="1" x14ac:dyDescent="0.3">
      <c r="A10" t="s">
        <v>1662</v>
      </c>
      <c r="B10" s="1" t="s">
        <v>1663</v>
      </c>
      <c r="C10" s="1" t="s">
        <v>7</v>
      </c>
      <c r="D10" s="1" t="s">
        <v>1664</v>
      </c>
      <c r="E10" s="4">
        <v>5162</v>
      </c>
      <c r="F10" s="1" t="str">
        <f>VLOOKUP(D10,Table12[[Name]:[Native]],3,FALSE)</f>
        <v>龙游县</v>
      </c>
      <c r="G10" s="14" t="str">
        <f ca="1">VLOOKUP(F10,Table12[[Native]:[Population4]],5,FALSE)</f>
        <v>衢州市</v>
      </c>
    </row>
    <row r="11" spans="1:7" ht="15.75" thickBot="1" x14ac:dyDescent="0.3">
      <c r="A11" t="s">
        <v>1665</v>
      </c>
      <c r="B11" s="1" t="s">
        <v>1666</v>
      </c>
      <c r="C11" s="1" t="s">
        <v>7</v>
      </c>
      <c r="D11" s="1" t="s">
        <v>1646</v>
      </c>
      <c r="E11" s="4">
        <v>8713</v>
      </c>
      <c r="F11" s="1" t="str">
        <f>VLOOKUP(D11,Table12[[Name]:[Native]],3,FALSE)</f>
        <v>常山县</v>
      </c>
      <c r="G11" s="14" t="str">
        <f ca="1">VLOOKUP(F11,Table12[[Native]:[Population4]],5,FALSE)</f>
        <v>衢州市</v>
      </c>
    </row>
    <row r="12" spans="1:7" ht="15.75" thickBot="1" x14ac:dyDescent="0.3">
      <c r="A12" t="s">
        <v>571</v>
      </c>
      <c r="B12" s="1" t="s">
        <v>572</v>
      </c>
      <c r="C12" s="1" t="s">
        <v>11</v>
      </c>
      <c r="D12" s="1" t="s">
        <v>1650</v>
      </c>
      <c r="E12" s="4">
        <v>10292</v>
      </c>
      <c r="F12" s="1" t="str">
        <f>VLOOKUP(D12,Table12[[Name]:[Native]],3,FALSE)</f>
        <v>江山市</v>
      </c>
      <c r="G12" s="14" t="str">
        <f ca="1">VLOOKUP(F12,Table12[[Native]:[Population4]],5,FALSE)</f>
        <v>衢州市</v>
      </c>
    </row>
    <row r="13" spans="1:7" ht="15.75" thickBot="1" x14ac:dyDescent="0.3">
      <c r="A13" t="s">
        <v>1667</v>
      </c>
      <c r="B13" s="1" t="s">
        <v>1668</v>
      </c>
      <c r="C13" s="1" t="s">
        <v>7</v>
      </c>
      <c r="D13" s="1" t="s">
        <v>1653</v>
      </c>
      <c r="E13" s="4">
        <v>6476</v>
      </c>
      <c r="F13" s="1" t="str">
        <f>VLOOKUP(D13,Table12[[Name]:[Native]],3,FALSE)</f>
        <v>开化县</v>
      </c>
      <c r="G13" s="14" t="str">
        <f ca="1">VLOOKUP(F13,Table12[[Native]:[Population4]],5,FALSE)</f>
        <v>衢州市</v>
      </c>
    </row>
    <row r="14" spans="1:7" ht="15.75" thickBot="1" x14ac:dyDescent="0.3">
      <c r="A14" t="s">
        <v>1669</v>
      </c>
      <c r="B14" s="1" t="s">
        <v>1670</v>
      </c>
      <c r="C14" s="1" t="s">
        <v>11</v>
      </c>
      <c r="D14" s="1" t="s">
        <v>1671</v>
      </c>
      <c r="E14" s="4">
        <v>13086</v>
      </c>
      <c r="F14" s="1" t="str">
        <f>VLOOKUP(D14,Table12[[Name]:[Native]],3,FALSE)</f>
        <v>衢江区</v>
      </c>
      <c r="G14" s="14" t="str">
        <f ca="1">VLOOKUP(F14,Table12[[Native]:[Population4]],5,FALSE)</f>
        <v>衢州市</v>
      </c>
    </row>
    <row r="15" spans="1:7" ht="15.75" thickBot="1" x14ac:dyDescent="0.3">
      <c r="A15" t="s">
        <v>1672</v>
      </c>
      <c r="B15" s="1" t="s">
        <v>1673</v>
      </c>
      <c r="C15" s="1" t="s">
        <v>7</v>
      </c>
      <c r="D15" s="1" t="s">
        <v>1646</v>
      </c>
      <c r="E15" s="4">
        <v>8555</v>
      </c>
      <c r="F15" s="1" t="str">
        <f>VLOOKUP(D15,Table12[[Name]:[Native]],3,FALSE)</f>
        <v>常山县</v>
      </c>
      <c r="G15" s="14" t="str">
        <f ca="1">VLOOKUP(F15,Table12[[Native]:[Population4]],5,FALSE)</f>
        <v>衢州市</v>
      </c>
    </row>
    <row r="16" spans="1:7" ht="15.75" thickBot="1" x14ac:dyDescent="0.3">
      <c r="A16" t="s">
        <v>1674</v>
      </c>
      <c r="B16" s="1" t="s">
        <v>1675</v>
      </c>
      <c r="C16" s="1" t="s">
        <v>15</v>
      </c>
      <c r="D16" s="1" t="s">
        <v>1664</v>
      </c>
      <c r="E16" s="4">
        <v>35136</v>
      </c>
      <c r="F16" s="1" t="str">
        <f>VLOOKUP(D16,Table12[[Name]:[Native]],3,FALSE)</f>
        <v>龙游县</v>
      </c>
      <c r="G16" s="14" t="str">
        <f ca="1">VLOOKUP(F16,Table12[[Native]:[Population4]],5,FALSE)</f>
        <v>衢州市</v>
      </c>
    </row>
    <row r="17" spans="1:7" ht="15.75" thickBot="1" x14ac:dyDescent="0.3">
      <c r="A17" t="s">
        <v>1676</v>
      </c>
      <c r="B17" s="1" t="s">
        <v>1677</v>
      </c>
      <c r="C17" s="1" t="s">
        <v>11</v>
      </c>
      <c r="D17" s="1" t="s">
        <v>1671</v>
      </c>
      <c r="E17" s="4">
        <v>23427</v>
      </c>
      <c r="F17" s="1" t="str">
        <f>VLOOKUP(D17,Table12[[Name]:[Native]],3,FALSE)</f>
        <v>衢江区</v>
      </c>
      <c r="G17" s="14" t="str">
        <f ca="1">VLOOKUP(F17,Table12[[Native]:[Population4]],5,FALSE)</f>
        <v>衢州市</v>
      </c>
    </row>
    <row r="18" spans="1:7" ht="15.75" thickBot="1" x14ac:dyDescent="0.3">
      <c r="A18" t="s">
        <v>1678</v>
      </c>
      <c r="B18" s="1" t="s">
        <v>1679</v>
      </c>
      <c r="C18" s="1" t="s">
        <v>11</v>
      </c>
      <c r="D18" s="1" t="s">
        <v>1646</v>
      </c>
      <c r="E18" s="4">
        <v>15562</v>
      </c>
      <c r="F18" s="1" t="str">
        <f>VLOOKUP(D18,Table12[[Name]:[Native]],3,FALSE)</f>
        <v>常山县</v>
      </c>
      <c r="G18" s="14" t="str">
        <f ca="1">VLOOKUP(F18,Table12[[Native]:[Population4]],5,FALSE)</f>
        <v>衢州市</v>
      </c>
    </row>
    <row r="19" spans="1:7" ht="15.75" thickBot="1" x14ac:dyDescent="0.3">
      <c r="A19" t="s">
        <v>1680</v>
      </c>
      <c r="B19" s="1" t="s">
        <v>1681</v>
      </c>
      <c r="C19" s="1" t="s">
        <v>11</v>
      </c>
      <c r="D19" s="1" t="s">
        <v>1650</v>
      </c>
      <c r="E19" s="4">
        <v>24485</v>
      </c>
      <c r="F19" s="1" t="str">
        <f>VLOOKUP(D19,Table12[[Name]:[Native]],3,FALSE)</f>
        <v>江山市</v>
      </c>
      <c r="G19" s="14" t="str">
        <f ca="1">VLOOKUP(F19,Table12[[Native]:[Population4]],5,FALSE)</f>
        <v>衢州市</v>
      </c>
    </row>
    <row r="20" spans="1:7" ht="15.75" thickBot="1" x14ac:dyDescent="0.3">
      <c r="A20" t="s">
        <v>1682</v>
      </c>
      <c r="B20" s="1" t="s">
        <v>1683</v>
      </c>
      <c r="C20" s="1" t="s">
        <v>15</v>
      </c>
      <c r="D20" s="1" t="s">
        <v>1647</v>
      </c>
      <c r="E20" s="4">
        <v>38001</v>
      </c>
      <c r="F20" s="1" t="str">
        <f>VLOOKUP(D20,Table12[[Name]:[Native]],3,FALSE)</f>
        <v>柯城区</v>
      </c>
      <c r="G20" s="14" t="str">
        <f ca="1">VLOOKUP(F20,Table12[[Native]:[Population4]],5,FALSE)</f>
        <v>衢州市</v>
      </c>
    </row>
    <row r="21" spans="1:7" ht="15.75" thickBot="1" x14ac:dyDescent="0.3">
      <c r="A21" t="s">
        <v>1684</v>
      </c>
      <c r="B21" s="1" t="s">
        <v>1685</v>
      </c>
      <c r="C21" s="1" t="s">
        <v>15</v>
      </c>
      <c r="D21" s="1" t="s">
        <v>1671</v>
      </c>
      <c r="E21" s="4">
        <v>13614</v>
      </c>
      <c r="F21" s="1" t="str">
        <f>VLOOKUP(D21,Table12[[Name]:[Native]],3,FALSE)</f>
        <v>衢江区</v>
      </c>
      <c r="G21" s="14" t="str">
        <f ca="1">VLOOKUP(F21,Table12[[Native]:[Population4]],5,FALSE)</f>
        <v>衢州市</v>
      </c>
    </row>
    <row r="22" spans="1:7" ht="15.75" thickBot="1" x14ac:dyDescent="0.3">
      <c r="A22" t="s">
        <v>1686</v>
      </c>
      <c r="B22" s="1" t="s">
        <v>1687</v>
      </c>
      <c r="C22" s="1" t="s">
        <v>11</v>
      </c>
      <c r="D22" s="1" t="s">
        <v>1671</v>
      </c>
      <c r="E22" s="4">
        <v>48416</v>
      </c>
      <c r="F22" s="1" t="str">
        <f>VLOOKUP(D22,Table12[[Name]:[Native]],3,FALSE)</f>
        <v>衢江区</v>
      </c>
      <c r="G22" s="14" t="str">
        <f ca="1">VLOOKUP(F22,Table12[[Native]:[Population4]],5,FALSE)</f>
        <v>衢州市</v>
      </c>
    </row>
    <row r="23" spans="1:7" ht="15.75" thickBot="1" x14ac:dyDescent="0.3">
      <c r="A23" t="s">
        <v>1688</v>
      </c>
      <c r="B23" s="1" t="s">
        <v>1689</v>
      </c>
      <c r="C23" s="1" t="s">
        <v>7</v>
      </c>
      <c r="D23" s="1" t="s">
        <v>1647</v>
      </c>
      <c r="E23" s="4">
        <v>11697</v>
      </c>
      <c r="F23" s="1" t="str">
        <f>VLOOKUP(D23,Table12[[Name]:[Native]],3,FALSE)</f>
        <v>柯城区</v>
      </c>
      <c r="G23" s="14" t="str">
        <f ca="1">VLOOKUP(F23,Table12[[Native]:[Population4]],5,FALSE)</f>
        <v>衢州市</v>
      </c>
    </row>
    <row r="24" spans="1:7" ht="15.75" thickBot="1" x14ac:dyDescent="0.3">
      <c r="A24" t="s">
        <v>1690</v>
      </c>
      <c r="B24" s="1" t="s">
        <v>1691</v>
      </c>
      <c r="C24" s="1" t="s">
        <v>11</v>
      </c>
      <c r="D24" s="1" t="s">
        <v>1647</v>
      </c>
      <c r="E24" s="4">
        <v>40242</v>
      </c>
      <c r="F24" s="1" t="str">
        <f>VLOOKUP(D24,Table12[[Name]:[Native]],3,FALSE)</f>
        <v>柯城区</v>
      </c>
      <c r="G24" s="14" t="str">
        <f ca="1">VLOOKUP(F24,Table12[[Native]:[Population4]],5,FALSE)</f>
        <v>衢州市</v>
      </c>
    </row>
    <row r="25" spans="1:7" ht="15.75" thickBot="1" x14ac:dyDescent="0.3">
      <c r="A25" t="s">
        <v>1692</v>
      </c>
      <c r="B25" s="1" t="s">
        <v>1693</v>
      </c>
      <c r="C25" s="1" t="s">
        <v>11</v>
      </c>
      <c r="D25" s="1" t="s">
        <v>1650</v>
      </c>
      <c r="E25" s="4">
        <v>65900</v>
      </c>
      <c r="F25" s="1" t="str">
        <f>VLOOKUP(D25,Table12[[Name]:[Native]],3,FALSE)</f>
        <v>江山市</v>
      </c>
      <c r="G25" s="14" t="str">
        <f ca="1">VLOOKUP(F25,Table12[[Native]:[Population4]],5,FALSE)</f>
        <v>衢州市</v>
      </c>
    </row>
    <row r="26" spans="1:7" ht="15.75" thickBot="1" x14ac:dyDescent="0.3">
      <c r="A26" t="s">
        <v>1694</v>
      </c>
      <c r="B26" s="1" t="s">
        <v>1695</v>
      </c>
      <c r="C26" s="1" t="s">
        <v>15</v>
      </c>
      <c r="D26" s="1" t="s">
        <v>1647</v>
      </c>
      <c r="E26" s="4">
        <v>52954</v>
      </c>
      <c r="F26" s="1" t="str">
        <f>VLOOKUP(D26,Table12[[Name]:[Native]],3,FALSE)</f>
        <v>柯城区</v>
      </c>
      <c r="G26" s="14" t="str">
        <f ca="1">VLOOKUP(F26,Table12[[Native]:[Population4]],5,FALSE)</f>
        <v>衢州市</v>
      </c>
    </row>
    <row r="27" spans="1:7" ht="15.75" thickBot="1" x14ac:dyDescent="0.3">
      <c r="A27" t="s">
        <v>1696</v>
      </c>
      <c r="B27" s="1" t="s">
        <v>1697</v>
      </c>
      <c r="C27" s="1" t="s">
        <v>7</v>
      </c>
      <c r="D27" s="1" t="s">
        <v>1646</v>
      </c>
      <c r="E27" s="4">
        <v>9438</v>
      </c>
      <c r="F27" s="1" t="str">
        <f>VLOOKUP(D27,Table12[[Name]:[Native]],3,FALSE)</f>
        <v>常山县</v>
      </c>
      <c r="G27" s="14" t="str">
        <f ca="1">VLOOKUP(F27,Table12[[Native]:[Population4]],5,FALSE)</f>
        <v>衢州市</v>
      </c>
    </row>
    <row r="28" spans="1:7" ht="15.75" thickBot="1" x14ac:dyDescent="0.3">
      <c r="A28" t="s">
        <v>1698</v>
      </c>
      <c r="B28" s="1" t="s">
        <v>1699</v>
      </c>
      <c r="C28" s="1" t="s">
        <v>11</v>
      </c>
      <c r="D28" s="1" t="s">
        <v>1664</v>
      </c>
      <c r="E28" s="4">
        <v>24281</v>
      </c>
      <c r="F28" s="1" t="str">
        <f>VLOOKUP(D28,Table12[[Name]:[Native]],3,FALSE)</f>
        <v>龙游县</v>
      </c>
      <c r="G28" s="14" t="str">
        <f ca="1">VLOOKUP(F28,Table12[[Native]:[Population4]],5,FALSE)</f>
        <v>衢州市</v>
      </c>
    </row>
    <row r="29" spans="1:7" ht="15.75" thickBot="1" x14ac:dyDescent="0.3">
      <c r="A29" t="s">
        <v>1700</v>
      </c>
      <c r="B29" s="1" t="s">
        <v>1701</v>
      </c>
      <c r="C29" s="1" t="s">
        <v>7</v>
      </c>
      <c r="D29" s="1" t="s">
        <v>1653</v>
      </c>
      <c r="E29" s="4">
        <v>5787</v>
      </c>
      <c r="F29" s="1" t="str">
        <f>VLOOKUP(D29,Table12[[Name]:[Native]],3,FALSE)</f>
        <v>开化县</v>
      </c>
      <c r="G29" s="14" t="str">
        <f ca="1">VLOOKUP(F29,Table12[[Native]:[Population4]],5,FALSE)</f>
        <v>衢州市</v>
      </c>
    </row>
    <row r="30" spans="1:7" ht="15.75" thickBot="1" x14ac:dyDescent="0.3">
      <c r="A30" t="s">
        <v>1702</v>
      </c>
      <c r="B30" s="1" t="s">
        <v>1703</v>
      </c>
      <c r="C30" s="1" t="s">
        <v>11</v>
      </c>
      <c r="D30" s="1" t="s">
        <v>1671</v>
      </c>
      <c r="E30" s="4">
        <v>20260</v>
      </c>
      <c r="F30" s="1" t="str">
        <f>VLOOKUP(D30,Table12[[Name]:[Native]],3,FALSE)</f>
        <v>衢江区</v>
      </c>
      <c r="G30" s="14" t="str">
        <f ca="1">VLOOKUP(F30,Table12[[Native]:[Population4]],5,FALSE)</f>
        <v>衢州市</v>
      </c>
    </row>
    <row r="31" spans="1:7" ht="15.75" thickBot="1" x14ac:dyDescent="0.3">
      <c r="A31" t="s">
        <v>1704</v>
      </c>
      <c r="B31" s="1" t="s">
        <v>1705</v>
      </c>
      <c r="C31" s="1" t="s">
        <v>11</v>
      </c>
      <c r="D31" s="1" t="s">
        <v>1653</v>
      </c>
      <c r="E31" s="4">
        <v>104345</v>
      </c>
      <c r="F31" s="1" t="str">
        <f>VLOOKUP(D31,Table12[[Name]:[Native]],3,FALSE)</f>
        <v>开化县</v>
      </c>
      <c r="G31" s="14" t="str">
        <f ca="1">VLOOKUP(F31,Table12[[Native]:[Population4]],5,FALSE)</f>
        <v>衢州市</v>
      </c>
    </row>
    <row r="32" spans="1:7" ht="15.75" thickBot="1" x14ac:dyDescent="0.3">
      <c r="A32" t="s">
        <v>1706</v>
      </c>
      <c r="B32" s="1" t="s">
        <v>1707</v>
      </c>
      <c r="C32" s="1" t="s">
        <v>7</v>
      </c>
      <c r="D32" s="1" t="s">
        <v>1647</v>
      </c>
      <c r="E32" s="4">
        <v>16319</v>
      </c>
      <c r="F32" s="1" t="str">
        <f>VLOOKUP(D32,Table12[[Name]:[Native]],3,FALSE)</f>
        <v>柯城区</v>
      </c>
      <c r="G32" s="14" t="str">
        <f ca="1">VLOOKUP(F32,Table12[[Native]:[Population4]],5,FALSE)</f>
        <v>衢州市</v>
      </c>
    </row>
    <row r="33" spans="1:7" ht="15.75" thickBot="1" x14ac:dyDescent="0.3">
      <c r="A33" t="s">
        <v>1708</v>
      </c>
      <c r="B33" s="1" t="s">
        <v>1709</v>
      </c>
      <c r="C33" s="1" t="s">
        <v>7</v>
      </c>
      <c r="D33" s="1" t="s">
        <v>1671</v>
      </c>
      <c r="E33" s="4">
        <v>5966</v>
      </c>
      <c r="F33" s="1" t="str">
        <f>VLOOKUP(D33,Table12[[Name]:[Native]],3,FALSE)</f>
        <v>衢江区</v>
      </c>
      <c r="G33" s="14" t="str">
        <f ca="1">VLOOKUP(F33,Table12[[Native]:[Population4]],5,FALSE)</f>
        <v>衢州市</v>
      </c>
    </row>
    <row r="34" spans="1:7" ht="15.75" thickBot="1" x14ac:dyDescent="0.3">
      <c r="A34" t="s">
        <v>1710</v>
      </c>
      <c r="B34" s="1" t="s">
        <v>1711</v>
      </c>
      <c r="C34" s="1" t="s">
        <v>7</v>
      </c>
      <c r="D34" s="1" t="s">
        <v>1647</v>
      </c>
      <c r="E34" s="4">
        <v>12422</v>
      </c>
      <c r="F34" s="1" t="str">
        <f>VLOOKUP(D34,Table12[[Name]:[Native]],3,FALSE)</f>
        <v>柯城区</v>
      </c>
      <c r="G34" s="14" t="str">
        <f ca="1">VLOOKUP(F34,Table12[[Native]:[Population4]],5,FALSE)</f>
        <v>衢州市</v>
      </c>
    </row>
    <row r="35" spans="1:7" ht="15.75" thickBot="1" x14ac:dyDescent="0.3">
      <c r="A35" t="s">
        <v>1712</v>
      </c>
      <c r="B35" s="1" t="s">
        <v>1713</v>
      </c>
      <c r="C35" s="1" t="s">
        <v>15</v>
      </c>
      <c r="D35" s="1" t="s">
        <v>1647</v>
      </c>
      <c r="E35" s="4">
        <v>61678</v>
      </c>
      <c r="F35" s="1" t="str">
        <f>VLOOKUP(D35,Table12[[Name]:[Native]],3,FALSE)</f>
        <v>柯城区</v>
      </c>
      <c r="G35" s="14" t="str">
        <f ca="1">VLOOKUP(F35,Table12[[Native]:[Population4]],5,FALSE)</f>
        <v>衢州市</v>
      </c>
    </row>
    <row r="36" spans="1:7" ht="15.75" thickBot="1" x14ac:dyDescent="0.3">
      <c r="A36" t="s">
        <v>1714</v>
      </c>
      <c r="B36" s="1" t="s">
        <v>1715</v>
      </c>
      <c r="C36" s="1" t="s">
        <v>11</v>
      </c>
      <c r="D36" s="1" t="s">
        <v>1646</v>
      </c>
      <c r="E36" s="4">
        <v>23732</v>
      </c>
      <c r="F36" s="1" t="str">
        <f>VLOOKUP(D36,Table12[[Name]:[Native]],3,FALSE)</f>
        <v>常山县</v>
      </c>
      <c r="G36" s="14" t="str">
        <f ca="1">VLOOKUP(F36,Table12[[Native]:[Population4]],5,FALSE)</f>
        <v>衢州市</v>
      </c>
    </row>
    <row r="37" spans="1:7" ht="15.75" thickBot="1" x14ac:dyDescent="0.3">
      <c r="A37" t="s">
        <v>1716</v>
      </c>
      <c r="B37" s="1" t="s">
        <v>1717</v>
      </c>
      <c r="C37" s="1" t="s">
        <v>7</v>
      </c>
      <c r="D37" s="1" t="s">
        <v>1671</v>
      </c>
      <c r="E37" s="4">
        <v>2074</v>
      </c>
      <c r="F37" s="1" t="str">
        <f>VLOOKUP(D37,Table12[[Name]:[Native]],3,FALSE)</f>
        <v>衢江区</v>
      </c>
      <c r="G37" s="14" t="str">
        <f ca="1">VLOOKUP(F37,Table12[[Native]:[Population4]],5,FALSE)</f>
        <v>衢州市</v>
      </c>
    </row>
    <row r="38" spans="1:7" ht="15.75" thickBot="1" x14ac:dyDescent="0.3">
      <c r="A38" t="s">
        <v>1718</v>
      </c>
      <c r="B38" s="1" t="s">
        <v>1719</v>
      </c>
      <c r="C38" s="1" t="s">
        <v>11</v>
      </c>
      <c r="D38" s="1" t="s">
        <v>1671</v>
      </c>
      <c r="E38" s="4">
        <v>7994</v>
      </c>
      <c r="F38" s="1" t="str">
        <f>VLOOKUP(D38,Table12[[Name]:[Native]],3,FALSE)</f>
        <v>衢江区</v>
      </c>
      <c r="G38" s="14" t="str">
        <f ca="1">VLOOKUP(F38,Table12[[Native]:[Population4]],5,FALSE)</f>
        <v>衢州市</v>
      </c>
    </row>
    <row r="39" spans="1:7" ht="15.75" thickBot="1" x14ac:dyDescent="0.3">
      <c r="A39" t="s">
        <v>1453</v>
      </c>
      <c r="B39" s="1" t="s">
        <v>1720</v>
      </c>
      <c r="C39" s="1" t="s">
        <v>15</v>
      </c>
      <c r="D39" s="1" t="s">
        <v>1650</v>
      </c>
      <c r="E39" s="4">
        <v>84819</v>
      </c>
      <c r="F39" s="1" t="str">
        <f>VLOOKUP(D39,Table12[[Name]:[Native]],3,FALSE)</f>
        <v>江山市</v>
      </c>
      <c r="G39" s="14" t="str">
        <f ca="1">VLOOKUP(F39,Table12[[Native]:[Population4]],5,FALSE)</f>
        <v>衢州市</v>
      </c>
    </row>
    <row r="40" spans="1:7" ht="15.75" thickBot="1" x14ac:dyDescent="0.3">
      <c r="A40" t="s">
        <v>1119</v>
      </c>
      <c r="B40" s="1" t="s">
        <v>1721</v>
      </c>
      <c r="C40" s="1" t="s">
        <v>11</v>
      </c>
      <c r="D40" s="1" t="s">
        <v>1664</v>
      </c>
      <c r="E40" s="4">
        <v>42472</v>
      </c>
      <c r="F40" s="1" t="str">
        <f>VLOOKUP(D40,Table12[[Name]:[Native]],3,FALSE)</f>
        <v>龙游县</v>
      </c>
      <c r="G40" s="14" t="str">
        <f ca="1">VLOOKUP(F40,Table12[[Native]:[Population4]],5,FALSE)</f>
        <v>衢州市</v>
      </c>
    </row>
    <row r="41" spans="1:7" ht="15.75" thickBot="1" x14ac:dyDescent="0.3">
      <c r="A41" t="s">
        <v>1722</v>
      </c>
      <c r="B41" s="1" t="s">
        <v>1723</v>
      </c>
      <c r="C41" s="1" t="s">
        <v>7</v>
      </c>
      <c r="D41" s="1" t="s">
        <v>1647</v>
      </c>
      <c r="E41" s="4">
        <v>9516</v>
      </c>
      <c r="F41" s="1" t="str">
        <f>VLOOKUP(D41,Table12[[Name]:[Native]],3,FALSE)</f>
        <v>柯城区</v>
      </c>
      <c r="G41" s="14" t="str">
        <f ca="1">VLOOKUP(F41,Table12[[Native]:[Population4]],5,FALSE)</f>
        <v>衢州市</v>
      </c>
    </row>
    <row r="42" spans="1:7" ht="15.75" thickBot="1" x14ac:dyDescent="0.3">
      <c r="A42" t="s">
        <v>1724</v>
      </c>
      <c r="B42" s="1" t="s">
        <v>1725</v>
      </c>
      <c r="C42" s="1" t="s">
        <v>7</v>
      </c>
      <c r="D42" s="1" t="s">
        <v>1647</v>
      </c>
      <c r="E42" s="4">
        <v>15933</v>
      </c>
      <c r="F42" s="1" t="str">
        <f>VLOOKUP(D42,Table12[[Name]:[Native]],3,FALSE)</f>
        <v>柯城区</v>
      </c>
      <c r="G42" s="14" t="str">
        <f ca="1">VLOOKUP(F42,Table12[[Native]:[Population4]],5,FALSE)</f>
        <v>衢州市</v>
      </c>
    </row>
    <row r="43" spans="1:7" ht="15.75" thickBot="1" x14ac:dyDescent="0.3">
      <c r="A43" t="s">
        <v>1726</v>
      </c>
      <c r="B43" s="1" t="s">
        <v>1727</v>
      </c>
      <c r="C43" s="1" t="s">
        <v>7</v>
      </c>
      <c r="D43" s="1" t="s">
        <v>1671</v>
      </c>
      <c r="E43" s="4">
        <v>2086</v>
      </c>
      <c r="F43" s="1" t="str">
        <f>VLOOKUP(D43,Table12[[Name]:[Native]],3,FALSE)</f>
        <v>衢江区</v>
      </c>
      <c r="G43" s="14" t="str">
        <f ca="1">VLOOKUP(F43,Table12[[Native]:[Population4]],5,FALSE)</f>
        <v>衢州市</v>
      </c>
    </row>
    <row r="44" spans="1:7" ht="15.75" thickBot="1" x14ac:dyDescent="0.3">
      <c r="A44" t="s">
        <v>185</v>
      </c>
      <c r="B44" s="1" t="s">
        <v>186</v>
      </c>
      <c r="C44" s="1" t="s">
        <v>11</v>
      </c>
      <c r="D44" s="1" t="s">
        <v>1671</v>
      </c>
      <c r="E44" s="4">
        <v>28415</v>
      </c>
      <c r="F44" s="1" t="str">
        <f>VLOOKUP(D44,Table12[[Name]:[Native]],3,FALSE)</f>
        <v>衢江区</v>
      </c>
      <c r="G44" s="14" t="str">
        <f ca="1">VLOOKUP(F44,Table12[[Native]:[Population4]],5,FALSE)</f>
        <v>衢州市</v>
      </c>
    </row>
    <row r="45" spans="1:7" ht="15.75" thickBot="1" x14ac:dyDescent="0.3">
      <c r="A45" t="s">
        <v>1728</v>
      </c>
      <c r="B45" s="1" t="s">
        <v>1729</v>
      </c>
      <c r="C45" s="1" t="s">
        <v>7</v>
      </c>
      <c r="D45" s="1" t="s">
        <v>1671</v>
      </c>
      <c r="E45" s="4">
        <v>4661</v>
      </c>
      <c r="F45" s="1" t="str">
        <f>VLOOKUP(D45,Table12[[Name]:[Native]],3,FALSE)</f>
        <v>衢江区</v>
      </c>
      <c r="G45" s="14" t="str">
        <f ca="1">VLOOKUP(F45,Table12[[Native]:[Population4]],5,FALSE)</f>
        <v>衢州市</v>
      </c>
    </row>
    <row r="46" spans="1:7" ht="15.75" thickBot="1" x14ac:dyDescent="0.3">
      <c r="A46" t="s">
        <v>1730</v>
      </c>
      <c r="B46" s="1" t="s">
        <v>1731</v>
      </c>
      <c r="C46" s="1" t="s">
        <v>7</v>
      </c>
      <c r="D46" s="1" t="s">
        <v>1653</v>
      </c>
      <c r="E46" s="4">
        <v>8096</v>
      </c>
      <c r="F46" s="1" t="str">
        <f>VLOOKUP(D46,Table12[[Name]:[Native]],3,FALSE)</f>
        <v>开化县</v>
      </c>
      <c r="G46" s="14" t="str">
        <f ca="1">VLOOKUP(F46,Table12[[Native]:[Population4]],5,FALSE)</f>
        <v>衢州市</v>
      </c>
    </row>
    <row r="47" spans="1:7" ht="15.75" thickBot="1" x14ac:dyDescent="0.3">
      <c r="A47" t="s">
        <v>1732</v>
      </c>
      <c r="B47" s="1" t="s">
        <v>1733</v>
      </c>
      <c r="C47" s="1" t="s">
        <v>15</v>
      </c>
      <c r="D47" s="1" t="s">
        <v>1664</v>
      </c>
      <c r="E47" s="4">
        <v>88894</v>
      </c>
      <c r="F47" s="1" t="str">
        <f>VLOOKUP(D47,Table12[[Name]:[Native]],3,FALSE)</f>
        <v>龙游县</v>
      </c>
      <c r="G47" s="14" t="str">
        <f ca="1">VLOOKUP(F47,Table12[[Native]:[Population4]],5,FALSE)</f>
        <v>衢州市</v>
      </c>
    </row>
    <row r="48" spans="1:7" ht="15.75" thickBot="1" x14ac:dyDescent="0.3">
      <c r="A48" t="s">
        <v>1734</v>
      </c>
      <c r="B48" s="1" t="s">
        <v>1735</v>
      </c>
      <c r="C48" s="1" t="s">
        <v>7</v>
      </c>
      <c r="D48" s="1" t="s">
        <v>1664</v>
      </c>
      <c r="E48" s="4">
        <v>6013</v>
      </c>
      <c r="F48" s="1" t="str">
        <f>VLOOKUP(D48,Table12[[Name]:[Native]],3,FALSE)</f>
        <v>龙游县</v>
      </c>
      <c r="G48" s="14" t="str">
        <f ca="1">VLOOKUP(F48,Table12[[Native]:[Population4]],5,FALSE)</f>
        <v>衢州市</v>
      </c>
    </row>
    <row r="49" spans="1:7" ht="15.75" thickBot="1" x14ac:dyDescent="0.3">
      <c r="A49" t="s">
        <v>1736</v>
      </c>
      <c r="B49" s="1" t="s">
        <v>1737</v>
      </c>
      <c r="C49" s="1" t="s">
        <v>11</v>
      </c>
      <c r="D49" s="1" t="s">
        <v>1653</v>
      </c>
      <c r="E49" s="4">
        <v>26333</v>
      </c>
      <c r="F49" s="1" t="str">
        <f>VLOOKUP(D49,Table12[[Name]:[Native]],3,FALSE)</f>
        <v>开化县</v>
      </c>
      <c r="G49" s="14" t="str">
        <f ca="1">VLOOKUP(F49,Table12[[Native]:[Population4]],5,FALSE)</f>
        <v>衢州市</v>
      </c>
    </row>
    <row r="50" spans="1:7" ht="15.75" thickBot="1" x14ac:dyDescent="0.3">
      <c r="A50" t="s">
        <v>1738</v>
      </c>
      <c r="B50" s="1" t="s">
        <v>1739</v>
      </c>
      <c r="C50" s="1" t="s">
        <v>7</v>
      </c>
      <c r="D50" s="1" t="s">
        <v>1664</v>
      </c>
      <c r="E50" s="4">
        <v>8447</v>
      </c>
      <c r="F50" s="1" t="str">
        <f>VLOOKUP(D50,Table12[[Name]:[Native]],3,FALSE)</f>
        <v>龙游县</v>
      </c>
      <c r="G50" s="14" t="str">
        <f ca="1">VLOOKUP(F50,Table12[[Native]:[Population4]],5,FALSE)</f>
        <v>衢州市</v>
      </c>
    </row>
    <row r="51" spans="1:7" ht="15.75" thickBot="1" x14ac:dyDescent="0.3">
      <c r="A51" t="s">
        <v>1740</v>
      </c>
      <c r="B51" s="1" t="s">
        <v>1741</v>
      </c>
      <c r="C51" s="1" t="s">
        <v>7</v>
      </c>
      <c r="D51" s="1" t="s">
        <v>1664</v>
      </c>
      <c r="E51" s="4">
        <v>27576</v>
      </c>
      <c r="F51" s="1" t="str">
        <f>VLOOKUP(D51,Table12[[Name]:[Native]],3,FALSE)</f>
        <v>龙游县</v>
      </c>
      <c r="G51" s="14" t="str">
        <f ca="1">VLOOKUP(F51,Table12[[Native]:[Population4]],5,FALSE)</f>
        <v>衢州市</v>
      </c>
    </row>
    <row r="52" spans="1:7" ht="15.75" thickBot="1" x14ac:dyDescent="0.3">
      <c r="A52" t="s">
        <v>1742</v>
      </c>
      <c r="B52" s="1" t="s">
        <v>1743</v>
      </c>
      <c r="C52" s="1" t="s">
        <v>7</v>
      </c>
      <c r="D52" s="1" t="s">
        <v>1664</v>
      </c>
      <c r="E52" s="4">
        <v>7650</v>
      </c>
      <c r="F52" s="1" t="str">
        <f>VLOOKUP(D52,Table12[[Name]:[Native]],3,FALSE)</f>
        <v>龙游县</v>
      </c>
      <c r="G52" s="14" t="str">
        <f ca="1">VLOOKUP(F52,Table12[[Native]:[Population4]],5,FALSE)</f>
        <v>衢州市</v>
      </c>
    </row>
    <row r="53" spans="1:7" ht="15.75" thickBot="1" x14ac:dyDescent="0.3">
      <c r="A53" t="s">
        <v>1744</v>
      </c>
      <c r="B53" s="1" t="s">
        <v>1745</v>
      </c>
      <c r="C53" s="1" t="s">
        <v>11</v>
      </c>
      <c r="D53" s="1" t="s">
        <v>1650</v>
      </c>
      <c r="E53" s="4">
        <v>7022</v>
      </c>
      <c r="F53" s="1" t="str">
        <f>VLOOKUP(D53,Table12[[Name]:[Native]],3,FALSE)</f>
        <v>江山市</v>
      </c>
      <c r="G53" s="14" t="str">
        <f ca="1">VLOOKUP(F53,Table12[[Native]:[Population4]],5,FALSE)</f>
        <v>衢州市</v>
      </c>
    </row>
    <row r="54" spans="1:7" ht="15.75" thickBot="1" x14ac:dyDescent="0.3">
      <c r="A54" t="s">
        <v>1746</v>
      </c>
      <c r="B54" s="1" t="s">
        <v>1747</v>
      </c>
      <c r="C54" s="1" t="s">
        <v>11</v>
      </c>
      <c r="D54" s="1" t="s">
        <v>1671</v>
      </c>
      <c r="E54" s="4">
        <v>26732</v>
      </c>
      <c r="F54" s="1" t="str">
        <f>VLOOKUP(D54,Table12[[Name]:[Native]],3,FALSE)</f>
        <v>衢江区</v>
      </c>
      <c r="G54" s="14" t="str">
        <f ca="1">VLOOKUP(F54,Table12[[Native]:[Population4]],5,FALSE)</f>
        <v>衢州市</v>
      </c>
    </row>
    <row r="55" spans="1:7" ht="15.75" thickBot="1" x14ac:dyDescent="0.3">
      <c r="A55" t="s">
        <v>1185</v>
      </c>
      <c r="B55" s="1" t="s">
        <v>1186</v>
      </c>
      <c r="C55" s="1" t="s">
        <v>7</v>
      </c>
      <c r="D55" s="1" t="s">
        <v>1647</v>
      </c>
      <c r="E55" s="4">
        <v>2534</v>
      </c>
      <c r="F55" s="1" t="str">
        <f>VLOOKUP(D55,Table12[[Name]:[Native]],3,FALSE)</f>
        <v>柯城区</v>
      </c>
      <c r="G55" s="14" t="str">
        <f ca="1">VLOOKUP(F55,Table12[[Native]:[Population4]],5,FALSE)</f>
        <v>衢州市</v>
      </c>
    </row>
    <row r="56" spans="1:7" ht="15.75" thickBot="1" x14ac:dyDescent="0.3">
      <c r="A56" t="s">
        <v>1748</v>
      </c>
      <c r="B56" s="1" t="s">
        <v>1749</v>
      </c>
      <c r="C56" s="1" t="s">
        <v>15</v>
      </c>
      <c r="D56" s="1" t="s">
        <v>1650</v>
      </c>
      <c r="E56" s="4">
        <v>32796</v>
      </c>
      <c r="F56" s="1" t="str">
        <f>VLOOKUP(D56,Table12[[Name]:[Native]],3,FALSE)</f>
        <v>江山市</v>
      </c>
      <c r="G56" s="14" t="str">
        <f ca="1">VLOOKUP(F56,Table12[[Native]:[Population4]],5,FALSE)</f>
        <v>衢州市</v>
      </c>
    </row>
    <row r="57" spans="1:7" ht="15.75" thickBot="1" x14ac:dyDescent="0.3">
      <c r="A57" t="s">
        <v>1750</v>
      </c>
      <c r="B57" s="1" t="s">
        <v>1751</v>
      </c>
      <c r="C57" s="1" t="s">
        <v>11</v>
      </c>
      <c r="D57" s="1" t="s">
        <v>1646</v>
      </c>
      <c r="E57" s="4">
        <v>25097</v>
      </c>
      <c r="F57" s="1" t="str">
        <f>VLOOKUP(D57,Table12[[Name]:[Native]],3,FALSE)</f>
        <v>常山县</v>
      </c>
      <c r="G57" s="14" t="str">
        <f ca="1">VLOOKUP(F57,Table12[[Native]:[Population4]],5,FALSE)</f>
        <v>衢州市</v>
      </c>
    </row>
    <row r="58" spans="1:7" ht="15.75" thickBot="1" x14ac:dyDescent="0.3">
      <c r="A58" t="s">
        <v>1752</v>
      </c>
      <c r="B58" s="1" t="s">
        <v>1753</v>
      </c>
      <c r="C58" s="1" t="s">
        <v>11</v>
      </c>
      <c r="D58" s="1" t="s">
        <v>1646</v>
      </c>
      <c r="E58" s="4">
        <v>22276</v>
      </c>
      <c r="F58" s="1" t="str">
        <f>VLOOKUP(D58,Table12[[Name]:[Native]],3,FALSE)</f>
        <v>常山县</v>
      </c>
      <c r="G58" s="14" t="str">
        <f ca="1">VLOOKUP(F58,Table12[[Native]:[Population4]],5,FALSE)</f>
        <v>衢州市</v>
      </c>
    </row>
    <row r="59" spans="1:7" ht="15.75" thickBot="1" x14ac:dyDescent="0.3">
      <c r="A59" t="s">
        <v>1754</v>
      </c>
      <c r="B59" s="1" t="s">
        <v>1755</v>
      </c>
      <c r="C59" s="1" t="s">
        <v>11</v>
      </c>
      <c r="D59" s="1" t="s">
        <v>1653</v>
      </c>
      <c r="E59" s="4">
        <v>3790</v>
      </c>
      <c r="F59" s="1" t="str">
        <f>VLOOKUP(D59,Table12[[Name]:[Native]],3,FALSE)</f>
        <v>开化县</v>
      </c>
      <c r="G59" s="14" t="str">
        <f ca="1">VLOOKUP(F59,Table12[[Native]:[Population4]],5,FALSE)</f>
        <v>衢州市</v>
      </c>
    </row>
    <row r="60" spans="1:7" ht="15.75" thickBot="1" x14ac:dyDescent="0.3">
      <c r="A60" t="s">
        <v>1756</v>
      </c>
      <c r="B60" s="1" t="s">
        <v>1757</v>
      </c>
      <c r="C60" s="1" t="s">
        <v>11</v>
      </c>
      <c r="D60" s="1" t="s">
        <v>1671</v>
      </c>
      <c r="E60" s="4">
        <v>14714</v>
      </c>
      <c r="F60" s="1" t="str">
        <f>VLOOKUP(D60,Table12[[Name]:[Native]],3,FALSE)</f>
        <v>衢江区</v>
      </c>
      <c r="G60" s="14" t="str">
        <f ca="1">VLOOKUP(F60,Table12[[Native]:[Population4]],5,FALSE)</f>
        <v>衢州市</v>
      </c>
    </row>
    <row r="61" spans="1:7" ht="15.75" thickBot="1" x14ac:dyDescent="0.3">
      <c r="A61" t="s">
        <v>1758</v>
      </c>
      <c r="B61" s="1" t="s">
        <v>1759</v>
      </c>
      <c r="C61" s="1" t="s">
        <v>11</v>
      </c>
      <c r="D61" s="1" t="s">
        <v>1671</v>
      </c>
      <c r="E61" s="4">
        <v>22610</v>
      </c>
      <c r="F61" s="1" t="str">
        <f>VLOOKUP(D61,Table12[[Name]:[Native]],3,FALSE)</f>
        <v>衢江区</v>
      </c>
      <c r="G61" s="14" t="str">
        <f ca="1">VLOOKUP(F61,Table12[[Native]:[Population4]],5,FALSE)</f>
        <v>衢州市</v>
      </c>
    </row>
    <row r="62" spans="1:7" ht="15.75" thickBot="1" x14ac:dyDescent="0.3">
      <c r="A62" t="s">
        <v>1760</v>
      </c>
      <c r="B62" s="1" t="s">
        <v>1761</v>
      </c>
      <c r="C62" s="1" t="s">
        <v>11</v>
      </c>
      <c r="D62" s="1" t="s">
        <v>1650</v>
      </c>
      <c r="E62" s="4">
        <v>32679</v>
      </c>
      <c r="F62" s="1" t="str">
        <f>VLOOKUP(D62,Table12[[Name]:[Native]],3,FALSE)</f>
        <v>江山市</v>
      </c>
      <c r="G62" s="14" t="str">
        <f ca="1">VLOOKUP(F62,Table12[[Native]:[Population4]],5,FALSE)</f>
        <v>衢州市</v>
      </c>
    </row>
    <row r="63" spans="1:7" ht="15.75" thickBot="1" x14ac:dyDescent="0.3">
      <c r="A63" t="s">
        <v>1762</v>
      </c>
      <c r="B63" s="1" t="s">
        <v>1763</v>
      </c>
      <c r="C63" s="1" t="s">
        <v>7</v>
      </c>
      <c r="D63" s="1" t="s">
        <v>1664</v>
      </c>
      <c r="E63" s="4">
        <v>6292</v>
      </c>
      <c r="F63" s="1" t="str">
        <f>VLOOKUP(D63,Table12[[Name]:[Native]],3,FALSE)</f>
        <v>龙游县</v>
      </c>
      <c r="G63" s="14" t="str">
        <f ca="1">VLOOKUP(F63,Table12[[Native]:[Population4]],5,FALSE)</f>
        <v>衢州市</v>
      </c>
    </row>
    <row r="64" spans="1:7" ht="15.75" thickBot="1" x14ac:dyDescent="0.3">
      <c r="A64" t="s">
        <v>1764</v>
      </c>
      <c r="B64" s="1" t="s">
        <v>1765</v>
      </c>
      <c r="C64" s="1" t="s">
        <v>7</v>
      </c>
      <c r="D64" s="1" t="s">
        <v>1664</v>
      </c>
      <c r="E64" s="4">
        <v>11904</v>
      </c>
      <c r="F64" s="1" t="str">
        <f>VLOOKUP(D64,Table12[[Name]:[Native]],3,FALSE)</f>
        <v>龙游县</v>
      </c>
      <c r="G64" s="14" t="str">
        <f ca="1">VLOOKUP(F64,Table12[[Native]:[Population4]],5,FALSE)</f>
        <v>衢州市</v>
      </c>
    </row>
    <row r="65" spans="1:7" ht="15.75" thickBot="1" x14ac:dyDescent="0.3">
      <c r="A65" t="s">
        <v>1766</v>
      </c>
      <c r="B65" s="1" t="s">
        <v>1767</v>
      </c>
      <c r="C65" s="1" t="s">
        <v>11</v>
      </c>
      <c r="D65" s="1" t="s">
        <v>1647</v>
      </c>
      <c r="E65" s="4">
        <v>24489</v>
      </c>
      <c r="F65" s="1" t="str">
        <f>VLOOKUP(D65,Table12[[Name]:[Native]],3,FALSE)</f>
        <v>柯城区</v>
      </c>
      <c r="G65" s="14" t="str">
        <f ca="1">VLOOKUP(F65,Table12[[Native]:[Population4]],5,FALSE)</f>
        <v>衢州市</v>
      </c>
    </row>
    <row r="66" spans="1:7" ht="15.75" thickBot="1" x14ac:dyDescent="0.3">
      <c r="A66" t="s">
        <v>633</v>
      </c>
      <c r="B66" s="1" t="s">
        <v>634</v>
      </c>
      <c r="C66" s="1" t="s">
        <v>11</v>
      </c>
      <c r="D66" s="1" t="s">
        <v>1650</v>
      </c>
      <c r="E66" s="4">
        <v>21918</v>
      </c>
      <c r="F66" s="1" t="str">
        <f>VLOOKUP(D66,Table12[[Name]:[Native]],3,FALSE)</f>
        <v>江山市</v>
      </c>
      <c r="G66" s="14" t="str">
        <f ca="1">VLOOKUP(F66,Table12[[Native]:[Population4]],5,FALSE)</f>
        <v>衢州市</v>
      </c>
    </row>
    <row r="67" spans="1:7" ht="15.75" thickBot="1" x14ac:dyDescent="0.3">
      <c r="A67" t="s">
        <v>1768</v>
      </c>
      <c r="B67" s="1" t="s">
        <v>1769</v>
      </c>
      <c r="C67" s="1" t="s">
        <v>7</v>
      </c>
      <c r="D67" s="1" t="s">
        <v>1647</v>
      </c>
      <c r="E67" s="4">
        <v>16090</v>
      </c>
      <c r="F67" s="1" t="str">
        <f>VLOOKUP(D67,Table12[[Name]:[Native]],3,FALSE)</f>
        <v>柯城区</v>
      </c>
      <c r="G67" s="14" t="str">
        <f ca="1">VLOOKUP(F67,Table12[[Native]:[Population4]],5,FALSE)</f>
        <v>衢州市</v>
      </c>
    </row>
    <row r="68" spans="1:7" ht="15.75" thickBot="1" x14ac:dyDescent="0.3">
      <c r="A68" t="s">
        <v>1770</v>
      </c>
      <c r="B68" s="1" t="s">
        <v>1771</v>
      </c>
      <c r="C68" s="1" t="s">
        <v>15</v>
      </c>
      <c r="D68" s="1" t="s">
        <v>1647</v>
      </c>
      <c r="E68" s="4">
        <v>31158</v>
      </c>
      <c r="F68" s="1" t="str">
        <f>VLOOKUP(D68,Table12[[Name]:[Native]],3,FALSE)</f>
        <v>柯城区</v>
      </c>
      <c r="G68" s="14" t="str">
        <f ca="1">VLOOKUP(F68,Table12[[Native]:[Population4]],5,FALSE)</f>
        <v>衢州市</v>
      </c>
    </row>
    <row r="69" spans="1:7" ht="15.75" thickBot="1" x14ac:dyDescent="0.3">
      <c r="A69" t="s">
        <v>1772</v>
      </c>
      <c r="B69" s="1" t="s">
        <v>1773</v>
      </c>
      <c r="C69" s="1" t="s">
        <v>7</v>
      </c>
      <c r="D69" s="1" t="s">
        <v>1671</v>
      </c>
      <c r="E69" s="4">
        <v>2569</v>
      </c>
      <c r="F69" s="1" t="str">
        <f>VLOOKUP(D69,Table12[[Name]:[Native]],3,FALSE)</f>
        <v>衢江区</v>
      </c>
      <c r="G69" s="14" t="str">
        <f ca="1">VLOOKUP(F69,Table12[[Native]:[Population4]],5,FALSE)</f>
        <v>衢州市</v>
      </c>
    </row>
    <row r="70" spans="1:7" ht="15.75" thickBot="1" x14ac:dyDescent="0.3">
      <c r="A70" t="s">
        <v>1774</v>
      </c>
      <c r="B70" s="1" t="s">
        <v>1775</v>
      </c>
      <c r="C70" s="1" t="s">
        <v>15</v>
      </c>
      <c r="D70" s="1" t="s">
        <v>1650</v>
      </c>
      <c r="E70" s="4">
        <v>67213</v>
      </c>
      <c r="F70" s="1" t="str">
        <f>VLOOKUP(D70,Table12[[Name]:[Native]],3,FALSE)</f>
        <v>江山市</v>
      </c>
      <c r="G70" s="14" t="str">
        <f ca="1">VLOOKUP(F70,Table12[[Native]:[Population4]],5,FALSE)</f>
        <v>衢州市</v>
      </c>
    </row>
    <row r="71" spans="1:7" ht="15.75" thickBot="1" x14ac:dyDescent="0.3">
      <c r="A71" t="s">
        <v>1776</v>
      </c>
      <c r="B71" s="1" t="s">
        <v>1777</v>
      </c>
      <c r="C71" s="1" t="s">
        <v>11</v>
      </c>
      <c r="D71" s="1" t="s">
        <v>1650</v>
      </c>
      <c r="E71" s="4">
        <v>11379</v>
      </c>
      <c r="F71" s="1" t="str">
        <f>VLOOKUP(D71,Table12[[Name]:[Native]],3,FALSE)</f>
        <v>江山市</v>
      </c>
      <c r="G71" s="14" t="str">
        <f ca="1">VLOOKUP(F71,Table12[[Native]:[Population4]],5,FALSE)</f>
        <v>衢州市</v>
      </c>
    </row>
    <row r="72" spans="1:7" ht="15.75" thickBot="1" x14ac:dyDescent="0.3">
      <c r="A72" t="s">
        <v>1778</v>
      </c>
      <c r="B72" s="1" t="s">
        <v>1779</v>
      </c>
      <c r="C72" s="1" t="s">
        <v>11</v>
      </c>
      <c r="D72" s="1" t="s">
        <v>1653</v>
      </c>
      <c r="E72" s="4">
        <v>12009</v>
      </c>
      <c r="F72" s="1" t="str">
        <f>VLOOKUP(D72,Table12[[Name]:[Native]],3,FALSE)</f>
        <v>开化县</v>
      </c>
      <c r="G72" s="14" t="str">
        <f ca="1">VLOOKUP(F72,Table12[[Native]:[Population4]],5,FALSE)</f>
        <v>衢州市</v>
      </c>
    </row>
    <row r="73" spans="1:7" ht="15.75" thickBot="1" x14ac:dyDescent="0.3">
      <c r="A73" t="s">
        <v>1780</v>
      </c>
      <c r="B73" s="1" t="s">
        <v>1781</v>
      </c>
      <c r="C73" s="1" t="s">
        <v>7</v>
      </c>
      <c r="D73" s="1" t="s">
        <v>1671</v>
      </c>
      <c r="E73" s="4">
        <v>2778</v>
      </c>
      <c r="F73" s="1" t="str">
        <f>VLOOKUP(D73,Table12[[Name]:[Native]],3,FALSE)</f>
        <v>衢江区</v>
      </c>
      <c r="G73" s="14" t="str">
        <f ca="1">VLOOKUP(F73,Table12[[Native]:[Population4]],5,FALSE)</f>
        <v>衢州市</v>
      </c>
    </row>
    <row r="74" spans="1:7" ht="15.75" thickBot="1" x14ac:dyDescent="0.3">
      <c r="A74" t="s">
        <v>1782</v>
      </c>
      <c r="B74" s="1" t="s">
        <v>1783</v>
      </c>
      <c r="C74" s="1" t="s">
        <v>7</v>
      </c>
      <c r="D74" s="1" t="s">
        <v>1650</v>
      </c>
      <c r="E74" s="4">
        <v>5830</v>
      </c>
      <c r="F74" s="1" t="str">
        <f>VLOOKUP(D74,Table12[[Name]:[Native]],3,FALSE)</f>
        <v>江山市</v>
      </c>
      <c r="G74" s="14" t="str">
        <f ca="1">VLOOKUP(F74,Table12[[Native]:[Population4]],5,FALSE)</f>
        <v>衢州市</v>
      </c>
    </row>
    <row r="75" spans="1:7" ht="15.75" thickBot="1" x14ac:dyDescent="0.3">
      <c r="A75" t="s">
        <v>1784</v>
      </c>
      <c r="B75" s="1" t="s">
        <v>1785</v>
      </c>
      <c r="C75" s="1" t="s">
        <v>11</v>
      </c>
      <c r="D75" s="1" t="s">
        <v>1650</v>
      </c>
      <c r="E75" s="4">
        <v>17452</v>
      </c>
      <c r="F75" s="1" t="str">
        <f>VLOOKUP(D75,Table12[[Name]:[Native]],3,FALSE)</f>
        <v>江山市</v>
      </c>
      <c r="G75" s="14" t="str">
        <f ca="1">VLOOKUP(F75,Table12[[Native]:[Population4]],5,FALSE)</f>
        <v>衢州市</v>
      </c>
    </row>
    <row r="76" spans="1:7" ht="15.75" thickBot="1" x14ac:dyDescent="0.3">
      <c r="A76" t="s">
        <v>1786</v>
      </c>
      <c r="B76" s="1" t="s">
        <v>1787</v>
      </c>
      <c r="C76" s="1" t="s">
        <v>11</v>
      </c>
      <c r="D76" s="1" t="s">
        <v>1664</v>
      </c>
      <c r="E76" s="4">
        <v>32921</v>
      </c>
      <c r="F76" s="1" t="str">
        <f>VLOOKUP(D76,Table12[[Name]:[Native]],3,FALSE)</f>
        <v>龙游县</v>
      </c>
      <c r="G76" s="14" t="str">
        <f ca="1">VLOOKUP(F76,Table12[[Native]:[Population4]],5,FALSE)</f>
        <v>衢州市</v>
      </c>
    </row>
    <row r="77" spans="1:7" ht="15.75" thickBot="1" x14ac:dyDescent="0.3">
      <c r="A77" t="s">
        <v>1788</v>
      </c>
      <c r="B77" s="1" t="s">
        <v>1789</v>
      </c>
      <c r="C77" s="1" t="s">
        <v>15</v>
      </c>
      <c r="D77" s="1" t="s">
        <v>1646</v>
      </c>
      <c r="E77" s="4">
        <v>84775</v>
      </c>
      <c r="F77" s="1" t="str">
        <f>VLOOKUP(D77,Table12[[Name]:[Native]],3,FALSE)</f>
        <v>常山县</v>
      </c>
      <c r="G77" s="14" t="str">
        <f ca="1">VLOOKUP(F77,Table12[[Native]:[Population4]],5,FALSE)</f>
        <v>衢州市</v>
      </c>
    </row>
    <row r="78" spans="1:7" ht="15.75" thickBot="1" x14ac:dyDescent="0.3">
      <c r="A78" t="s">
        <v>1790</v>
      </c>
      <c r="B78" s="1" t="s">
        <v>1791</v>
      </c>
      <c r="C78" s="1" t="s">
        <v>11</v>
      </c>
      <c r="D78" s="1" t="s">
        <v>1653</v>
      </c>
      <c r="E78" s="4">
        <v>10323</v>
      </c>
      <c r="F78" s="1" t="str">
        <f>VLOOKUP(D78,Table12[[Name]:[Native]],3,FALSE)</f>
        <v>开化县</v>
      </c>
      <c r="G78" s="14" t="str">
        <f ca="1">VLOOKUP(F78,Table12[[Native]:[Population4]],5,FALSE)</f>
        <v>衢州市</v>
      </c>
    </row>
    <row r="79" spans="1:7" ht="15.75" thickBot="1" x14ac:dyDescent="0.3">
      <c r="A79" t="s">
        <v>1792</v>
      </c>
      <c r="B79" s="1" t="s">
        <v>1793</v>
      </c>
      <c r="C79" s="1" t="s">
        <v>7</v>
      </c>
      <c r="D79" s="1" t="s">
        <v>1646</v>
      </c>
      <c r="E79" s="4">
        <v>7410</v>
      </c>
      <c r="F79" s="1" t="str">
        <f>VLOOKUP(D79,Table12[[Name]:[Native]],3,FALSE)</f>
        <v>常山县</v>
      </c>
      <c r="G79" s="14" t="str">
        <f ca="1">VLOOKUP(F79,Table12[[Native]:[Population4]],5,FALSE)</f>
        <v>衢州市</v>
      </c>
    </row>
    <row r="80" spans="1:7" ht="15.75" thickBot="1" x14ac:dyDescent="0.3">
      <c r="A80" t="s">
        <v>1794</v>
      </c>
      <c r="B80" s="1" t="s">
        <v>1795</v>
      </c>
      <c r="C80" s="1" t="s">
        <v>7</v>
      </c>
      <c r="D80" s="1" t="s">
        <v>1647</v>
      </c>
      <c r="E80" s="4">
        <v>14140</v>
      </c>
      <c r="F80" s="1" t="str">
        <f>VLOOKUP(D80,Table12[[Name]:[Native]],3,FALSE)</f>
        <v>柯城区</v>
      </c>
      <c r="G80" s="14" t="str">
        <f ca="1">VLOOKUP(F80,Table12[[Native]:[Population4]],5,FALSE)</f>
        <v>衢州市</v>
      </c>
    </row>
    <row r="81" spans="1:7" ht="15.75" thickBot="1" x14ac:dyDescent="0.3">
      <c r="A81" t="s">
        <v>1796</v>
      </c>
      <c r="B81" s="1" t="s">
        <v>1797</v>
      </c>
      <c r="C81" s="1" t="s">
        <v>7</v>
      </c>
      <c r="D81" s="1" t="s">
        <v>1650</v>
      </c>
      <c r="E81" s="4">
        <v>13354</v>
      </c>
      <c r="F81" s="1" t="str">
        <f>VLOOKUP(D81,Table12[[Name]:[Native]],3,FALSE)</f>
        <v>江山市</v>
      </c>
      <c r="G81" s="14" t="str">
        <f ca="1">VLOOKUP(F81,Table12[[Native]:[Population4]],5,FALSE)</f>
        <v>衢州市</v>
      </c>
    </row>
    <row r="82" spans="1:7" ht="15.75" thickBot="1" x14ac:dyDescent="0.3">
      <c r="A82" t="s">
        <v>1798</v>
      </c>
      <c r="B82" s="1" t="s">
        <v>1799</v>
      </c>
      <c r="C82" s="1" t="s">
        <v>11</v>
      </c>
      <c r="D82" s="1" t="s">
        <v>1671</v>
      </c>
      <c r="E82" s="4">
        <v>10436</v>
      </c>
      <c r="F82" s="1" t="str">
        <f>VLOOKUP(D82,Table12[[Name]:[Native]],3,FALSE)</f>
        <v>衢江区</v>
      </c>
      <c r="G82" s="14" t="str">
        <f ca="1">VLOOKUP(F82,Table12[[Native]:[Population4]],5,FALSE)</f>
        <v>衢州市</v>
      </c>
    </row>
    <row r="83" spans="1:7" ht="15.75" thickBot="1" x14ac:dyDescent="0.3">
      <c r="A83" t="s">
        <v>1800</v>
      </c>
      <c r="B83" s="1" t="s">
        <v>1801</v>
      </c>
      <c r="C83" s="1" t="s">
        <v>11</v>
      </c>
      <c r="D83" s="1" t="s">
        <v>1650</v>
      </c>
      <c r="E83" s="4">
        <v>29446</v>
      </c>
      <c r="F83" s="1" t="str">
        <f>VLOOKUP(D83,Table12[[Name]:[Native]],3,FALSE)</f>
        <v>江山市</v>
      </c>
      <c r="G83" s="14" t="str">
        <f ca="1">VLOOKUP(F83,Table12[[Native]:[Population4]],5,FALSE)</f>
        <v>衢州市</v>
      </c>
    </row>
    <row r="84" spans="1:7" ht="15.75" thickBot="1" x14ac:dyDescent="0.3">
      <c r="A84" t="s">
        <v>1802</v>
      </c>
      <c r="B84" s="1" t="s">
        <v>1803</v>
      </c>
      <c r="C84" s="1" t="s">
        <v>11</v>
      </c>
      <c r="D84" s="1" t="s">
        <v>1664</v>
      </c>
      <c r="E84" s="4">
        <v>26780</v>
      </c>
      <c r="F84" s="1" t="str">
        <f>VLOOKUP(D84,Table12[[Name]:[Native]],3,FALSE)</f>
        <v>龙游县</v>
      </c>
      <c r="G84" s="14" t="str">
        <f ca="1">VLOOKUP(F84,Table12[[Native]:[Population4]],5,FALSE)</f>
        <v>衢州市</v>
      </c>
    </row>
    <row r="85" spans="1:7" ht="15.75" thickBot="1" x14ac:dyDescent="0.3">
      <c r="A85" t="s">
        <v>1588</v>
      </c>
      <c r="B85" s="1" t="s">
        <v>1589</v>
      </c>
      <c r="C85" s="1" t="s">
        <v>11</v>
      </c>
      <c r="D85" s="1" t="s">
        <v>1664</v>
      </c>
      <c r="E85" s="4">
        <v>17862</v>
      </c>
      <c r="F85" s="1" t="str">
        <f>VLOOKUP(D85,Table12[[Name]:[Native]],3,FALSE)</f>
        <v>龙游县</v>
      </c>
      <c r="G85" s="14" t="str">
        <f ca="1">VLOOKUP(F85,Table12[[Native]:[Population4]],5,FALSE)</f>
        <v>衢州市</v>
      </c>
    </row>
    <row r="86" spans="1:7" ht="15.75" thickBot="1" x14ac:dyDescent="0.3">
      <c r="A86" t="s">
        <v>1804</v>
      </c>
      <c r="B86" s="1" t="s">
        <v>1805</v>
      </c>
      <c r="C86" s="1" t="s">
        <v>15</v>
      </c>
      <c r="D86" s="1" t="s">
        <v>1647</v>
      </c>
      <c r="E86" s="4">
        <v>37335</v>
      </c>
      <c r="F86" s="1" t="str">
        <f>VLOOKUP(D86,Table12[[Name]:[Native]],3,FALSE)</f>
        <v>柯城区</v>
      </c>
      <c r="G86" s="14" t="str">
        <f ca="1">VLOOKUP(F86,Table12[[Native]:[Population4]],5,FALSE)</f>
        <v>衢州市</v>
      </c>
    </row>
    <row r="87" spans="1:7" ht="15.75" thickBot="1" x14ac:dyDescent="0.3">
      <c r="A87" t="s">
        <v>1806</v>
      </c>
      <c r="B87" s="1" t="s">
        <v>1807</v>
      </c>
      <c r="C87" s="1" t="s">
        <v>7</v>
      </c>
      <c r="D87" s="1" t="s">
        <v>1646</v>
      </c>
      <c r="E87" s="4">
        <v>8122</v>
      </c>
      <c r="F87" s="1" t="str">
        <f>VLOOKUP(D87,Table12[[Name]:[Native]],3,FALSE)</f>
        <v>常山县</v>
      </c>
      <c r="G87" s="14" t="str">
        <f ca="1">VLOOKUP(F87,Table12[[Native]:[Population4]],5,FALSE)</f>
        <v>衢州市</v>
      </c>
    </row>
    <row r="88" spans="1:7" ht="15.75" thickBot="1" x14ac:dyDescent="0.3">
      <c r="A88" t="s">
        <v>1808</v>
      </c>
      <c r="B88" s="1" t="s">
        <v>1809</v>
      </c>
      <c r="C88" s="1" t="s">
        <v>11</v>
      </c>
      <c r="D88" s="1" t="s">
        <v>1650</v>
      </c>
      <c r="E88" s="4">
        <v>16838</v>
      </c>
      <c r="F88" s="1" t="str">
        <f>VLOOKUP(D88,Table12[[Name]:[Native]],3,FALSE)</f>
        <v>江山市</v>
      </c>
      <c r="G88" s="14" t="str">
        <f ca="1">VLOOKUP(F88,Table12[[Native]:[Population4]],5,FALSE)</f>
        <v>衢州市</v>
      </c>
    </row>
    <row r="89" spans="1:7" ht="15.75" thickBot="1" x14ac:dyDescent="0.3">
      <c r="A89" t="s">
        <v>1810</v>
      </c>
      <c r="B89" s="1" t="s">
        <v>1811</v>
      </c>
      <c r="C89" s="1" t="s">
        <v>15</v>
      </c>
      <c r="D89" s="1" t="s">
        <v>1647</v>
      </c>
      <c r="E89" s="4">
        <v>48501</v>
      </c>
      <c r="F89" s="1" t="str">
        <f>VLOOKUP(D89,Table12[[Name]:[Native]],3,FALSE)</f>
        <v>柯城区</v>
      </c>
      <c r="G89" s="14" t="str">
        <f ca="1">VLOOKUP(F89,Table12[[Native]:[Population4]],5,FALSE)</f>
        <v>衢州市</v>
      </c>
    </row>
    <row r="90" spans="1:7" ht="15.75" thickBot="1" x14ac:dyDescent="0.3">
      <c r="A90" t="s">
        <v>1812</v>
      </c>
      <c r="B90" s="1" t="s">
        <v>1813</v>
      </c>
      <c r="C90" s="1" t="s">
        <v>11</v>
      </c>
      <c r="D90" s="1" t="s">
        <v>1653</v>
      </c>
      <c r="E90" s="4">
        <v>9693</v>
      </c>
      <c r="F90" s="1" t="str">
        <f>VLOOKUP(D90,Table12[[Name]:[Native]],3,FALSE)</f>
        <v>开化县</v>
      </c>
      <c r="G90" s="14" t="str">
        <f ca="1">VLOOKUP(F90,Table12[[Native]:[Population4]],5,FALSE)</f>
        <v>衢州市</v>
      </c>
    </row>
    <row r="91" spans="1:7" ht="15.75" thickBot="1" x14ac:dyDescent="0.3">
      <c r="A91" t="s">
        <v>1814</v>
      </c>
      <c r="B91" s="1" t="s">
        <v>1815</v>
      </c>
      <c r="C91" s="1" t="s">
        <v>7</v>
      </c>
      <c r="D91" s="1" t="s">
        <v>1653</v>
      </c>
      <c r="E91" s="4">
        <v>16127</v>
      </c>
      <c r="F91" s="1" t="str">
        <f>VLOOKUP(D91,Table12[[Name]:[Native]],3,FALSE)</f>
        <v>开化县</v>
      </c>
      <c r="G91" s="14" t="str">
        <f ca="1">VLOOKUP(F91,Table12[[Native]:[Population4]],5,FALSE)</f>
        <v>衢州市</v>
      </c>
    </row>
    <row r="92" spans="1:7" ht="15.75" thickBot="1" x14ac:dyDescent="0.3">
      <c r="A92" t="s">
        <v>1816</v>
      </c>
      <c r="B92" s="1" t="s">
        <v>1817</v>
      </c>
      <c r="C92" s="1" t="s">
        <v>7</v>
      </c>
      <c r="D92" s="1" t="s">
        <v>1671</v>
      </c>
      <c r="E92" s="4">
        <v>19509</v>
      </c>
      <c r="F92" s="1" t="str">
        <f>VLOOKUP(D92,Table12[[Name]:[Native]],3,FALSE)</f>
        <v>衢江区</v>
      </c>
      <c r="G92" s="14" t="str">
        <f ca="1">VLOOKUP(F92,Table12[[Native]:[Population4]],5,FALSE)</f>
        <v>衢州市</v>
      </c>
    </row>
    <row r="93" spans="1:7" ht="15.75" thickBot="1" x14ac:dyDescent="0.3">
      <c r="A93" t="s">
        <v>1818</v>
      </c>
      <c r="B93" s="1" t="s">
        <v>1309</v>
      </c>
      <c r="C93" s="1" t="s">
        <v>7</v>
      </c>
      <c r="D93" s="1" t="s">
        <v>1650</v>
      </c>
      <c r="E93" s="4">
        <v>6901</v>
      </c>
      <c r="F93" s="1" t="str">
        <f>VLOOKUP(D93,Table12[[Name]:[Native]],3,FALSE)</f>
        <v>江山市</v>
      </c>
      <c r="G93" s="14" t="str">
        <f ca="1">VLOOKUP(F93,Table12[[Native]:[Population4]],5,FALSE)</f>
        <v>衢州市</v>
      </c>
    </row>
    <row r="94" spans="1:7" ht="15.75" thickBot="1" x14ac:dyDescent="0.3">
      <c r="A94" t="s">
        <v>1819</v>
      </c>
      <c r="B94" s="1" t="s">
        <v>1820</v>
      </c>
      <c r="C94" s="1" t="s">
        <v>15</v>
      </c>
      <c r="D94" s="1" t="s">
        <v>1671</v>
      </c>
      <c r="E94" s="4">
        <v>59701</v>
      </c>
      <c r="F94" s="1" t="str">
        <f>VLOOKUP(D94,Table12[[Name]:[Native]],3,FALSE)</f>
        <v>衢江区</v>
      </c>
      <c r="G94" s="14" t="str">
        <f ca="1">VLOOKUP(F94,Table12[[Native]:[Population4]],5,FALSE)</f>
        <v>衢州市</v>
      </c>
    </row>
    <row r="95" spans="1:7" ht="15.75" thickBot="1" x14ac:dyDescent="0.3">
      <c r="A95" t="s">
        <v>1821</v>
      </c>
      <c r="B95" s="1" t="s">
        <v>1822</v>
      </c>
      <c r="C95" s="1" t="s">
        <v>11</v>
      </c>
      <c r="D95" s="1" t="s">
        <v>1664</v>
      </c>
      <c r="E95" s="4">
        <v>20990</v>
      </c>
      <c r="F95" s="1" t="str">
        <f>VLOOKUP(D95,Table12[[Name]:[Native]],3,FALSE)</f>
        <v>龙游县</v>
      </c>
      <c r="G95" s="14" t="str">
        <f ca="1">VLOOKUP(F95,Table12[[Native]:[Population4]],5,FALSE)</f>
        <v>衢州市</v>
      </c>
    </row>
    <row r="96" spans="1:7" ht="15.75" thickBot="1" x14ac:dyDescent="0.3">
      <c r="A96" t="s">
        <v>1823</v>
      </c>
      <c r="B96" s="1" t="s">
        <v>1824</v>
      </c>
      <c r="C96" s="1" t="s">
        <v>11</v>
      </c>
      <c r="D96" s="1" t="s">
        <v>1646</v>
      </c>
      <c r="E96" s="4">
        <v>21834</v>
      </c>
      <c r="F96" s="1" t="str">
        <f>VLOOKUP(D96,Table12[[Name]:[Native]],3,FALSE)</f>
        <v>常山县</v>
      </c>
      <c r="G96" s="14" t="str">
        <f ca="1">VLOOKUP(F96,Table12[[Native]:[Population4]],5,FALSE)</f>
        <v>衢州市</v>
      </c>
    </row>
    <row r="97" spans="1:7" ht="15.75" thickBot="1" x14ac:dyDescent="0.3">
      <c r="A97" t="s">
        <v>1825</v>
      </c>
      <c r="B97" s="1" t="s">
        <v>1826</v>
      </c>
      <c r="C97" s="1" t="s">
        <v>7</v>
      </c>
      <c r="D97" s="1" t="s">
        <v>1653</v>
      </c>
      <c r="E97" s="4">
        <v>4933</v>
      </c>
      <c r="F97" s="1" t="str">
        <f>VLOOKUP(D97,Table12[[Name]:[Native]],3,FALSE)</f>
        <v>开化县</v>
      </c>
      <c r="G97" s="14" t="str">
        <f ca="1">VLOOKUP(F97,Table12[[Native]:[Population4]],5,FALSE)</f>
        <v>衢州市</v>
      </c>
    </row>
    <row r="98" spans="1:7" ht="15.75" thickBot="1" x14ac:dyDescent="0.3">
      <c r="A98" t="s">
        <v>1827</v>
      </c>
      <c r="B98" s="1" t="s">
        <v>1828</v>
      </c>
      <c r="C98" s="1" t="s">
        <v>7</v>
      </c>
      <c r="D98" s="1" t="s">
        <v>1671</v>
      </c>
      <c r="E98" s="4">
        <v>12388</v>
      </c>
      <c r="F98" s="10" t="str">
        <f>VLOOKUP(D98,Table12[[Name]:[Native]],3,FALSE)</f>
        <v>衢江区</v>
      </c>
      <c r="G98" s="14" t="str">
        <f ca="1">VLOOKUP(F98,Table12[[Native]:[Population4]],5,FALSE)</f>
        <v>衢州市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DF4F0-B9E7-4226-8B19-DA211880CA42}">
  <dimension ref="A1:G109"/>
  <sheetViews>
    <sheetView topLeftCell="A84" workbookViewId="0">
      <selection activeCell="G2" sqref="A2:G109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3023</v>
      </c>
      <c r="G1" t="s">
        <v>3025</v>
      </c>
    </row>
    <row r="2" spans="1:7" ht="15.75" thickBot="1" x14ac:dyDescent="0.3">
      <c r="A2" t="s">
        <v>1829</v>
      </c>
      <c r="B2" s="1" t="s">
        <v>1830</v>
      </c>
      <c r="C2" s="1" t="s">
        <v>15</v>
      </c>
      <c r="D2" s="1" t="s">
        <v>1831</v>
      </c>
      <c r="E2" s="4">
        <v>60936</v>
      </c>
      <c r="F2" s="9" t="str">
        <f>VLOOKUP(D2,Table12[[Name]:[Native]],3,FALSE)</f>
        <v>柯桥区</v>
      </c>
      <c r="G2" s="14" t="str">
        <f ca="1">VLOOKUP(F2,Table12[[Native]:[Population4]],5,FALSE)</f>
        <v>绍兴市</v>
      </c>
    </row>
    <row r="3" spans="1:7" ht="15.75" thickBot="1" x14ac:dyDescent="0.3">
      <c r="A3" t="s">
        <v>1832</v>
      </c>
      <c r="B3" s="1" t="s">
        <v>1833</v>
      </c>
      <c r="C3" s="1" t="s">
        <v>11</v>
      </c>
      <c r="D3" s="1" t="s">
        <v>1834</v>
      </c>
      <c r="E3" s="4">
        <v>33076</v>
      </c>
      <c r="F3" s="1" t="str">
        <f>VLOOKUP(D3,Table12[[Name]:[Native]],3,FALSE)</f>
        <v>诸暨市</v>
      </c>
      <c r="G3" s="14" t="str">
        <f ca="1">VLOOKUP(F3,Table12[[Native]:[Population4]],5,FALSE)</f>
        <v>绍兴市</v>
      </c>
    </row>
    <row r="4" spans="1:7" ht="15.75" thickBot="1" x14ac:dyDescent="0.3">
      <c r="A4" t="s">
        <v>1835</v>
      </c>
      <c r="B4" s="1" t="s">
        <v>1836</v>
      </c>
      <c r="C4" s="1" t="s">
        <v>15</v>
      </c>
      <c r="D4" s="1" t="s">
        <v>1837</v>
      </c>
      <c r="E4" s="4">
        <v>148769</v>
      </c>
      <c r="F4" s="1" t="str">
        <f>VLOOKUP(D4,Table12[[Name]:[Native]],3,FALSE)</f>
        <v>上虞区</v>
      </c>
      <c r="G4" s="14" t="str">
        <f ca="1">VLOOKUP(F4,Table12[[Native]:[Population4]],5,FALSE)</f>
        <v>绍兴市</v>
      </c>
    </row>
    <row r="5" spans="1:7" ht="15.75" thickBot="1" x14ac:dyDescent="0.3">
      <c r="A5" t="s">
        <v>1838</v>
      </c>
      <c r="B5" s="1" t="s">
        <v>1839</v>
      </c>
      <c r="C5" s="1" t="s">
        <v>15</v>
      </c>
      <c r="D5" s="1" t="s">
        <v>1840</v>
      </c>
      <c r="E5" s="4">
        <v>49212</v>
      </c>
      <c r="F5" s="1" t="str">
        <f>VLOOKUP(D5,Table12[[Name]:[Native]],3,FALSE)</f>
        <v>越城区</v>
      </c>
      <c r="G5" s="14" t="str">
        <f ca="1">VLOOKUP(F5,Table12[[Native]:[Population4]],5,FALSE)</f>
        <v>绍兴市</v>
      </c>
    </row>
    <row r="6" spans="1:7" ht="15.75" thickBot="1" x14ac:dyDescent="0.3">
      <c r="A6" t="s">
        <v>1841</v>
      </c>
      <c r="B6" s="1" t="s">
        <v>1842</v>
      </c>
      <c r="C6" s="1" t="s">
        <v>15</v>
      </c>
      <c r="D6" s="1" t="s">
        <v>1837</v>
      </c>
      <c r="E6" s="4">
        <v>78652</v>
      </c>
      <c r="F6" s="1" t="str">
        <f>VLOOKUP(D6,Table12[[Name]:[Native]],3,FALSE)</f>
        <v>上虞区</v>
      </c>
      <c r="G6" s="14" t="str">
        <f ca="1">VLOOKUP(F6,Table12[[Native]:[Population4]],5,FALSE)</f>
        <v>绍兴市</v>
      </c>
    </row>
    <row r="7" spans="1:7" ht="15.75" thickBot="1" x14ac:dyDescent="0.3">
      <c r="A7" t="s">
        <v>1843</v>
      </c>
      <c r="B7" s="1" t="s">
        <v>1844</v>
      </c>
      <c r="C7" s="1" t="s">
        <v>11</v>
      </c>
      <c r="D7" s="1" t="s">
        <v>1845</v>
      </c>
      <c r="E7" s="4">
        <v>59174</v>
      </c>
      <c r="F7" s="1" t="str">
        <f>VLOOKUP(D7,Table12[[Name]:[Native]],3,FALSE)</f>
        <v>嵊州市</v>
      </c>
      <c r="G7" s="14" t="str">
        <f ca="1">VLOOKUP(F7,Table12[[Native]:[Population4]],5,FALSE)</f>
        <v>绍兴市</v>
      </c>
    </row>
    <row r="8" spans="1:7" ht="15.75" thickBot="1" x14ac:dyDescent="0.3">
      <c r="A8" t="s">
        <v>1846</v>
      </c>
      <c r="B8" s="1" t="s">
        <v>1847</v>
      </c>
      <c r="C8" s="1" t="s">
        <v>11</v>
      </c>
      <c r="D8" s="1" t="s">
        <v>1837</v>
      </c>
      <c r="E8" s="4">
        <v>12191</v>
      </c>
      <c r="F8" s="1" t="str">
        <f>VLOOKUP(D8,Table12[[Name]:[Native]],3,FALSE)</f>
        <v>上虞区</v>
      </c>
      <c r="G8" s="14" t="str">
        <f ca="1">VLOOKUP(F8,Table12[[Native]:[Population4]],5,FALSE)</f>
        <v>绍兴市</v>
      </c>
    </row>
    <row r="9" spans="1:7" ht="15.75" thickBot="1" x14ac:dyDescent="0.3">
      <c r="A9" t="s">
        <v>1848</v>
      </c>
      <c r="B9" s="1" t="s">
        <v>563</v>
      </c>
      <c r="C9" s="1" t="s">
        <v>15</v>
      </c>
      <c r="D9" s="1" t="s">
        <v>1840</v>
      </c>
      <c r="E9" s="4">
        <v>93003</v>
      </c>
      <c r="F9" s="1" t="str">
        <f>VLOOKUP(D9,Table12[[Name]:[Native]],3,FALSE)</f>
        <v>越城区</v>
      </c>
      <c r="G9" s="14" t="str">
        <f ca="1">VLOOKUP(F9,Table12[[Native]:[Population4]],5,FALSE)</f>
        <v>绍兴市</v>
      </c>
    </row>
    <row r="10" spans="1:7" ht="15.75" thickBot="1" x14ac:dyDescent="0.3">
      <c r="A10" t="s">
        <v>1849</v>
      </c>
      <c r="B10" s="1" t="s">
        <v>1850</v>
      </c>
      <c r="C10" s="1" t="s">
        <v>7</v>
      </c>
      <c r="D10" s="1" t="s">
        <v>1851</v>
      </c>
      <c r="E10" s="4">
        <v>12123</v>
      </c>
      <c r="F10" s="1" t="str">
        <f>VLOOKUP(D10,Table12[[Name]:[Native]],3,FALSE)</f>
        <v>新昌县</v>
      </c>
      <c r="G10" s="14" t="str">
        <f ca="1">VLOOKUP(F10,Table12[[Native]:[Population4]],5,FALSE)</f>
        <v>绍兴市</v>
      </c>
    </row>
    <row r="11" spans="1:7" ht="15.75" thickBot="1" x14ac:dyDescent="0.3">
      <c r="A11" t="s">
        <v>1852</v>
      </c>
      <c r="B11" s="1" t="s">
        <v>1853</v>
      </c>
      <c r="C11" s="1" t="s">
        <v>15</v>
      </c>
      <c r="D11" s="1" t="s">
        <v>1851</v>
      </c>
      <c r="E11" s="4">
        <v>30543</v>
      </c>
      <c r="F11" s="1" t="str">
        <f>VLOOKUP(D11,Table12[[Name]:[Native]],3,FALSE)</f>
        <v>新昌县</v>
      </c>
      <c r="G11" s="14" t="str">
        <f ca="1">VLOOKUP(F11,Table12[[Native]:[Population4]],5,FALSE)</f>
        <v>绍兴市</v>
      </c>
    </row>
    <row r="12" spans="1:7" ht="15.75" thickBot="1" x14ac:dyDescent="0.3">
      <c r="A12" t="s">
        <v>1854</v>
      </c>
      <c r="B12" s="1" t="s">
        <v>1855</v>
      </c>
      <c r="C12" s="1" t="s">
        <v>7</v>
      </c>
      <c r="D12" s="1" t="s">
        <v>1837</v>
      </c>
      <c r="E12" s="4">
        <v>4860</v>
      </c>
      <c r="F12" s="1" t="str">
        <f>VLOOKUP(D12,Table12[[Name]:[Native]],3,FALSE)</f>
        <v>上虞区</v>
      </c>
      <c r="G12" s="14" t="str">
        <f ca="1">VLOOKUP(F12,Table12[[Native]:[Population4]],5,FALSE)</f>
        <v>绍兴市</v>
      </c>
    </row>
    <row r="13" spans="1:7" ht="15.75" thickBot="1" x14ac:dyDescent="0.3">
      <c r="A13" t="s">
        <v>1856</v>
      </c>
      <c r="B13" s="1" t="s">
        <v>1857</v>
      </c>
      <c r="C13" s="1" t="s">
        <v>11</v>
      </c>
      <c r="D13" s="1" t="s">
        <v>1834</v>
      </c>
      <c r="E13" s="4">
        <v>12129</v>
      </c>
      <c r="F13" s="1" t="str">
        <f>VLOOKUP(D13,Table12[[Name]:[Native]],3,FALSE)</f>
        <v>诸暨市</v>
      </c>
      <c r="G13" s="14" t="str">
        <f ca="1">VLOOKUP(F13,Table12[[Native]:[Population4]],5,FALSE)</f>
        <v>绍兴市</v>
      </c>
    </row>
    <row r="14" spans="1:7" ht="15.75" thickBot="1" x14ac:dyDescent="0.3">
      <c r="A14" t="s">
        <v>1858</v>
      </c>
      <c r="B14" s="1" t="s">
        <v>1859</v>
      </c>
      <c r="C14" s="1" t="s">
        <v>11</v>
      </c>
      <c r="D14" s="1" t="s">
        <v>1845</v>
      </c>
      <c r="E14" s="4">
        <v>64387</v>
      </c>
      <c r="F14" s="1" t="str">
        <f>VLOOKUP(D14,Table12[[Name]:[Native]],3,FALSE)</f>
        <v>嵊州市</v>
      </c>
      <c r="G14" s="14" t="str">
        <f ca="1">VLOOKUP(F14,Table12[[Native]:[Population4]],5,FALSE)</f>
        <v>绍兴市</v>
      </c>
    </row>
    <row r="15" spans="1:7" ht="15.75" thickBot="1" x14ac:dyDescent="0.3">
      <c r="A15" t="s">
        <v>1860</v>
      </c>
      <c r="B15" s="1" t="s">
        <v>1861</v>
      </c>
      <c r="C15" s="1" t="s">
        <v>11</v>
      </c>
      <c r="D15" s="1" t="s">
        <v>1834</v>
      </c>
      <c r="E15" s="4">
        <v>36227</v>
      </c>
      <c r="F15" s="1" t="str">
        <f>VLOOKUP(D15,Table12[[Name]:[Native]],3,FALSE)</f>
        <v>诸暨市</v>
      </c>
      <c r="G15" s="14" t="str">
        <f ca="1">VLOOKUP(F15,Table12[[Native]:[Population4]],5,FALSE)</f>
        <v>绍兴市</v>
      </c>
    </row>
    <row r="16" spans="1:7" ht="15.75" thickBot="1" x14ac:dyDescent="0.3">
      <c r="A16" t="s">
        <v>1862</v>
      </c>
      <c r="B16" s="1" t="s">
        <v>1863</v>
      </c>
      <c r="C16" s="1" t="s">
        <v>15</v>
      </c>
      <c r="D16" s="1" t="s">
        <v>1837</v>
      </c>
      <c r="E16" s="4">
        <v>44501</v>
      </c>
      <c r="F16" s="1" t="str">
        <f>VLOOKUP(D16,Table12[[Name]:[Native]],3,FALSE)</f>
        <v>上虞区</v>
      </c>
      <c r="G16" s="14" t="str">
        <f ca="1">VLOOKUP(F16,Table12[[Native]:[Population4]],5,FALSE)</f>
        <v>绍兴市</v>
      </c>
    </row>
    <row r="17" spans="1:7" ht="15.75" thickBot="1" x14ac:dyDescent="0.3">
      <c r="A17" t="s">
        <v>1864</v>
      </c>
      <c r="B17" s="1" t="s">
        <v>1865</v>
      </c>
      <c r="C17" s="1" t="s">
        <v>15</v>
      </c>
      <c r="D17" s="1" t="s">
        <v>1834</v>
      </c>
      <c r="E17" s="4">
        <v>133961</v>
      </c>
      <c r="F17" s="1" t="str">
        <f>VLOOKUP(D17,Table12[[Name]:[Native]],3,FALSE)</f>
        <v>诸暨市</v>
      </c>
      <c r="G17" s="14" t="str">
        <f ca="1">VLOOKUP(F17,Table12[[Native]:[Population4]],5,FALSE)</f>
        <v>绍兴市</v>
      </c>
    </row>
    <row r="18" spans="1:7" ht="15.75" thickBot="1" x14ac:dyDescent="0.3">
      <c r="A18" t="s">
        <v>1866</v>
      </c>
      <c r="B18" s="1" t="s">
        <v>1867</v>
      </c>
      <c r="C18" s="1" t="s">
        <v>11</v>
      </c>
      <c r="D18" s="1" t="s">
        <v>1834</v>
      </c>
      <c r="E18" s="4">
        <v>121985</v>
      </c>
      <c r="F18" s="1" t="str">
        <f>VLOOKUP(D18,Table12[[Name]:[Native]],3,FALSE)</f>
        <v>诸暨市</v>
      </c>
      <c r="G18" s="14" t="str">
        <f ca="1">VLOOKUP(F18,Table12[[Native]:[Population4]],5,FALSE)</f>
        <v>绍兴市</v>
      </c>
    </row>
    <row r="19" spans="1:7" ht="15.75" thickBot="1" x14ac:dyDescent="0.3">
      <c r="A19" t="s">
        <v>1868</v>
      </c>
      <c r="B19" s="1" t="s">
        <v>1869</v>
      </c>
      <c r="C19" s="1" t="s">
        <v>15</v>
      </c>
      <c r="D19" s="1" t="s">
        <v>1840</v>
      </c>
      <c r="E19" s="4">
        <v>18372</v>
      </c>
      <c r="F19" s="1" t="str">
        <f>VLOOKUP(D19,Table12[[Name]:[Native]],3,FALSE)</f>
        <v>越城区</v>
      </c>
      <c r="G19" s="14" t="str">
        <f ca="1">VLOOKUP(F19,Table12[[Native]:[Population4]],5,FALSE)</f>
        <v>绍兴市</v>
      </c>
    </row>
    <row r="20" spans="1:7" ht="15.75" thickBot="1" x14ac:dyDescent="0.3">
      <c r="A20" t="s">
        <v>1870</v>
      </c>
      <c r="B20" s="1" t="s">
        <v>1871</v>
      </c>
      <c r="C20" s="1" t="s">
        <v>7</v>
      </c>
      <c r="D20" s="1" t="s">
        <v>1837</v>
      </c>
      <c r="E20" s="4">
        <v>8112</v>
      </c>
      <c r="F20" s="1" t="str">
        <f>VLOOKUP(D20,Table12[[Name]:[Native]],3,FALSE)</f>
        <v>上虞区</v>
      </c>
      <c r="G20" s="14" t="str">
        <f ca="1">VLOOKUP(F20,Table12[[Native]:[Population4]],5,FALSE)</f>
        <v>绍兴市</v>
      </c>
    </row>
    <row r="21" spans="1:7" ht="15.75" thickBot="1" x14ac:dyDescent="0.3">
      <c r="A21" t="s">
        <v>1872</v>
      </c>
      <c r="B21" s="1" t="s">
        <v>1873</v>
      </c>
      <c r="C21" s="1" t="s">
        <v>11</v>
      </c>
      <c r="D21" s="1" t="s">
        <v>1834</v>
      </c>
      <c r="E21" s="4">
        <v>23399</v>
      </c>
      <c r="F21" s="1" t="str">
        <f>VLOOKUP(D21,Table12[[Name]:[Native]],3,FALSE)</f>
        <v>诸暨市</v>
      </c>
      <c r="G21" s="14" t="str">
        <f ca="1">VLOOKUP(F21,Table12[[Native]:[Population4]],5,FALSE)</f>
        <v>绍兴市</v>
      </c>
    </row>
    <row r="22" spans="1:7" ht="15.75" thickBot="1" x14ac:dyDescent="0.3">
      <c r="A22" t="s">
        <v>1874</v>
      </c>
      <c r="B22" s="1" t="s">
        <v>1875</v>
      </c>
      <c r="C22" s="1" t="s">
        <v>15</v>
      </c>
      <c r="D22" s="1" t="s">
        <v>1837</v>
      </c>
      <c r="E22" s="4">
        <v>39659</v>
      </c>
      <c r="F22" s="1" t="str">
        <f>VLOOKUP(D22,Table12[[Name]:[Native]],3,FALSE)</f>
        <v>上虞区</v>
      </c>
      <c r="G22" s="14" t="str">
        <f ca="1">VLOOKUP(F22,Table12[[Native]:[Population4]],5,FALSE)</f>
        <v>绍兴市</v>
      </c>
    </row>
    <row r="23" spans="1:7" ht="15.75" thickBot="1" x14ac:dyDescent="0.3">
      <c r="A23" t="s">
        <v>1876</v>
      </c>
      <c r="B23" s="1" t="s">
        <v>1877</v>
      </c>
      <c r="C23" s="1" t="s">
        <v>7</v>
      </c>
      <c r="D23" s="1" t="s">
        <v>1834</v>
      </c>
      <c r="E23" s="4">
        <v>12192</v>
      </c>
      <c r="F23" s="1" t="str">
        <f>VLOOKUP(D23,Table12[[Name]:[Native]],3,FALSE)</f>
        <v>诸暨市</v>
      </c>
      <c r="G23" s="14" t="str">
        <f ca="1">VLOOKUP(F23,Table12[[Native]:[Population4]],5,FALSE)</f>
        <v>绍兴市</v>
      </c>
    </row>
    <row r="24" spans="1:7" ht="15.75" thickBot="1" x14ac:dyDescent="0.3">
      <c r="A24" t="s">
        <v>89</v>
      </c>
      <c r="B24" s="1" t="s">
        <v>90</v>
      </c>
      <c r="C24" s="1" t="s">
        <v>15</v>
      </c>
      <c r="D24" s="1" t="s">
        <v>1840</v>
      </c>
      <c r="E24" s="4">
        <v>52494</v>
      </c>
      <c r="F24" s="1" t="str">
        <f>VLOOKUP(D24,Table12[[Name]:[Native]],3,FALSE)</f>
        <v>越城区</v>
      </c>
      <c r="G24" s="14" t="str">
        <f ca="1">VLOOKUP(F24,Table12[[Native]:[Population4]],5,FALSE)</f>
        <v>绍兴市</v>
      </c>
    </row>
    <row r="25" spans="1:7" ht="15.75" thickBot="1" x14ac:dyDescent="0.3">
      <c r="A25" t="s">
        <v>1878</v>
      </c>
      <c r="B25" s="1" t="s">
        <v>1879</v>
      </c>
      <c r="C25" s="1" t="s">
        <v>7</v>
      </c>
      <c r="D25" s="1" t="s">
        <v>1851</v>
      </c>
      <c r="E25" s="4">
        <v>7933</v>
      </c>
      <c r="F25" s="1" t="str">
        <f>VLOOKUP(D25,Table12[[Name]:[Native]],3,FALSE)</f>
        <v>新昌县</v>
      </c>
      <c r="G25" s="14" t="str">
        <f ca="1">VLOOKUP(F25,Table12[[Native]:[Population4]],5,FALSE)</f>
        <v>绍兴市</v>
      </c>
    </row>
    <row r="26" spans="1:7" ht="15.75" thickBot="1" x14ac:dyDescent="0.3">
      <c r="A26" t="s">
        <v>1880</v>
      </c>
      <c r="B26" s="1" t="s">
        <v>1881</v>
      </c>
      <c r="C26" s="1" t="s">
        <v>15</v>
      </c>
      <c r="D26" s="1" t="s">
        <v>1840</v>
      </c>
      <c r="E26" s="4">
        <v>63739</v>
      </c>
      <c r="F26" s="1" t="str">
        <f>VLOOKUP(D26,Table12[[Name]:[Native]],3,FALSE)</f>
        <v>越城区</v>
      </c>
      <c r="G26" s="14" t="str">
        <f ca="1">VLOOKUP(F26,Table12[[Native]:[Population4]],5,FALSE)</f>
        <v>绍兴市</v>
      </c>
    </row>
    <row r="27" spans="1:7" ht="15.75" thickBot="1" x14ac:dyDescent="0.3">
      <c r="A27" t="s">
        <v>1882</v>
      </c>
      <c r="B27" s="1" t="s">
        <v>1883</v>
      </c>
      <c r="C27" s="1" t="s">
        <v>15</v>
      </c>
      <c r="D27" s="1" t="s">
        <v>1840</v>
      </c>
      <c r="E27" s="4">
        <v>78986</v>
      </c>
      <c r="F27" s="1" t="str">
        <f>VLOOKUP(D27,Table12[[Name]:[Native]],3,FALSE)</f>
        <v>越城区</v>
      </c>
      <c r="G27" s="14" t="str">
        <f ca="1">VLOOKUP(F27,Table12[[Native]:[Population4]],5,FALSE)</f>
        <v>绍兴市</v>
      </c>
    </row>
    <row r="28" spans="1:7" ht="15.75" thickBot="1" x14ac:dyDescent="0.3">
      <c r="A28" t="s">
        <v>1884</v>
      </c>
      <c r="B28" s="1" t="s">
        <v>1885</v>
      </c>
      <c r="C28" s="1" t="s">
        <v>11</v>
      </c>
      <c r="D28" s="1" t="s">
        <v>1837</v>
      </c>
      <c r="E28" s="4">
        <v>51764</v>
      </c>
      <c r="F28" s="1" t="str">
        <f>VLOOKUP(D28,Table12[[Name]:[Native]],3,FALSE)</f>
        <v>上虞区</v>
      </c>
      <c r="G28" s="14" t="str">
        <f ca="1">VLOOKUP(F28,Table12[[Native]:[Population4]],5,FALSE)</f>
        <v>绍兴市</v>
      </c>
    </row>
    <row r="29" spans="1:7" ht="15.75" thickBot="1" x14ac:dyDescent="0.3">
      <c r="A29" t="s">
        <v>1886</v>
      </c>
      <c r="B29" s="1" t="s">
        <v>1887</v>
      </c>
      <c r="C29" s="1" t="s">
        <v>11</v>
      </c>
      <c r="D29" s="1" t="s">
        <v>1834</v>
      </c>
      <c r="E29" s="4">
        <v>74641</v>
      </c>
      <c r="F29" s="1" t="str">
        <f>VLOOKUP(D29,Table12[[Name]:[Native]],3,FALSE)</f>
        <v>诸暨市</v>
      </c>
      <c r="G29" s="14" t="str">
        <f ca="1">VLOOKUP(F29,Table12[[Native]:[Population4]],5,FALSE)</f>
        <v>绍兴市</v>
      </c>
    </row>
    <row r="30" spans="1:7" ht="15.75" thickBot="1" x14ac:dyDescent="0.3">
      <c r="A30" t="s">
        <v>1888</v>
      </c>
      <c r="B30" s="1" t="s">
        <v>1889</v>
      </c>
      <c r="C30" s="1" t="s">
        <v>15</v>
      </c>
      <c r="D30" s="1" t="s">
        <v>1831</v>
      </c>
      <c r="E30" s="4">
        <v>56346</v>
      </c>
      <c r="F30" s="1" t="str">
        <f>VLOOKUP(D30,Table12[[Name]:[Native]],3,FALSE)</f>
        <v>柯桥区</v>
      </c>
      <c r="G30" s="14" t="str">
        <f ca="1">VLOOKUP(F30,Table12[[Native]:[Population4]],5,FALSE)</f>
        <v>绍兴市</v>
      </c>
    </row>
    <row r="31" spans="1:7" ht="15.75" thickBot="1" x14ac:dyDescent="0.3">
      <c r="A31" t="s">
        <v>1682</v>
      </c>
      <c r="B31" s="1" t="s">
        <v>1683</v>
      </c>
      <c r="C31" s="1" t="s">
        <v>15</v>
      </c>
      <c r="D31" s="1" t="s">
        <v>1840</v>
      </c>
      <c r="E31" s="4">
        <v>97690</v>
      </c>
      <c r="F31" s="1" t="str">
        <f>VLOOKUP(D31,Table12[[Name]:[Native]],3,FALSE)</f>
        <v>越城区</v>
      </c>
      <c r="G31" s="14" t="str">
        <f ca="1">VLOOKUP(F31,Table12[[Native]:[Population4]],5,FALSE)</f>
        <v>绍兴市</v>
      </c>
    </row>
    <row r="32" spans="1:7" ht="15.75" thickBot="1" x14ac:dyDescent="0.3">
      <c r="A32" t="s">
        <v>1890</v>
      </c>
      <c r="B32" s="1" t="s">
        <v>1891</v>
      </c>
      <c r="C32" s="1" t="s">
        <v>11</v>
      </c>
      <c r="D32" s="1" t="s">
        <v>1840</v>
      </c>
      <c r="E32" s="4">
        <v>19012</v>
      </c>
      <c r="F32" s="1" t="str">
        <f>VLOOKUP(D32,Table12[[Name]:[Native]],3,FALSE)</f>
        <v>越城区</v>
      </c>
      <c r="G32" s="14" t="str">
        <f ca="1">VLOOKUP(F32,Table12[[Native]:[Population4]],5,FALSE)</f>
        <v>绍兴市</v>
      </c>
    </row>
    <row r="33" spans="1:7" ht="15.75" thickBot="1" x14ac:dyDescent="0.3">
      <c r="A33" t="s">
        <v>1892</v>
      </c>
      <c r="B33" s="1" t="s">
        <v>1893</v>
      </c>
      <c r="C33" s="1" t="s">
        <v>11</v>
      </c>
      <c r="D33" s="1" t="s">
        <v>1837</v>
      </c>
      <c r="E33" s="4">
        <v>31157</v>
      </c>
      <c r="F33" s="1" t="str">
        <f>VLOOKUP(D33,Table12[[Name]:[Native]],3,FALSE)</f>
        <v>上虞区</v>
      </c>
      <c r="G33" s="14" t="str">
        <f ca="1">VLOOKUP(F33,Table12[[Native]:[Population4]],5,FALSE)</f>
        <v>绍兴市</v>
      </c>
    </row>
    <row r="34" spans="1:7" ht="15.75" thickBot="1" x14ac:dyDescent="0.3">
      <c r="A34" t="s">
        <v>1894</v>
      </c>
      <c r="B34" s="1" t="s">
        <v>1895</v>
      </c>
      <c r="C34" s="1" t="s">
        <v>11</v>
      </c>
      <c r="D34" s="1" t="s">
        <v>1845</v>
      </c>
      <c r="E34" s="4">
        <v>72345</v>
      </c>
      <c r="F34" s="1" t="str">
        <f>VLOOKUP(D34,Table12[[Name]:[Native]],3,FALSE)</f>
        <v>嵊州市</v>
      </c>
      <c r="G34" s="14" t="str">
        <f ca="1">VLOOKUP(F34,Table12[[Native]:[Population4]],5,FALSE)</f>
        <v>绍兴市</v>
      </c>
    </row>
    <row r="35" spans="1:7" ht="15.75" thickBot="1" x14ac:dyDescent="0.3">
      <c r="A35" t="s">
        <v>1896</v>
      </c>
      <c r="B35" s="1" t="s">
        <v>1897</v>
      </c>
      <c r="C35" s="1" t="s">
        <v>15</v>
      </c>
      <c r="D35" s="1" t="s">
        <v>1840</v>
      </c>
      <c r="E35" s="4">
        <v>59233</v>
      </c>
      <c r="F35" s="1" t="str">
        <f>VLOOKUP(D35,Table12[[Name]:[Native]],3,FALSE)</f>
        <v>越城区</v>
      </c>
      <c r="G35" s="14" t="str">
        <f ca="1">VLOOKUP(F35,Table12[[Native]:[Population4]],5,FALSE)</f>
        <v>绍兴市</v>
      </c>
    </row>
    <row r="36" spans="1:7" ht="15.75" thickBot="1" x14ac:dyDescent="0.3">
      <c r="A36" t="s">
        <v>1898</v>
      </c>
      <c r="B36" s="1" t="s">
        <v>1899</v>
      </c>
      <c r="C36" s="1" t="s">
        <v>7</v>
      </c>
      <c r="D36" s="1" t="s">
        <v>1845</v>
      </c>
      <c r="E36" s="4">
        <v>16260</v>
      </c>
      <c r="F36" s="1" t="str">
        <f>VLOOKUP(D36,Table12[[Name]:[Native]],3,FALSE)</f>
        <v>嵊州市</v>
      </c>
      <c r="G36" s="14" t="str">
        <f ca="1">VLOOKUP(F36,Table12[[Native]:[Population4]],5,FALSE)</f>
        <v>绍兴市</v>
      </c>
    </row>
    <row r="37" spans="1:7" ht="15.75" thickBot="1" x14ac:dyDescent="0.3">
      <c r="A37" t="s">
        <v>1900</v>
      </c>
      <c r="B37" s="1" t="s">
        <v>1901</v>
      </c>
      <c r="C37" s="1" t="s">
        <v>11</v>
      </c>
      <c r="D37" s="1" t="s">
        <v>1845</v>
      </c>
      <c r="E37" s="4">
        <v>25180</v>
      </c>
      <c r="F37" s="1" t="str">
        <f>VLOOKUP(D37,Table12[[Name]:[Native]],3,FALSE)</f>
        <v>嵊州市</v>
      </c>
      <c r="G37" s="14" t="str">
        <f ca="1">VLOOKUP(F37,Table12[[Native]:[Population4]],5,FALSE)</f>
        <v>绍兴市</v>
      </c>
    </row>
    <row r="38" spans="1:7" ht="15.75" thickBot="1" x14ac:dyDescent="0.3">
      <c r="A38" t="s">
        <v>1902</v>
      </c>
      <c r="B38" s="1" t="s">
        <v>1903</v>
      </c>
      <c r="C38" s="1" t="s">
        <v>15</v>
      </c>
      <c r="D38" s="1" t="s">
        <v>1834</v>
      </c>
      <c r="E38" s="4">
        <v>56281</v>
      </c>
      <c r="F38" s="1" t="str">
        <f>VLOOKUP(D38,Table12[[Name]:[Native]],3,FALSE)</f>
        <v>诸暨市</v>
      </c>
      <c r="G38" s="14" t="str">
        <f ca="1">VLOOKUP(F38,Table12[[Native]:[Population4]],5,FALSE)</f>
        <v>绍兴市</v>
      </c>
    </row>
    <row r="39" spans="1:7" ht="15.75" thickBot="1" x14ac:dyDescent="0.3">
      <c r="A39" t="s">
        <v>1904</v>
      </c>
      <c r="B39" s="1" t="s">
        <v>1905</v>
      </c>
      <c r="C39" s="1" t="s">
        <v>11</v>
      </c>
      <c r="D39" s="1" t="s">
        <v>1834</v>
      </c>
      <c r="E39" s="4">
        <v>28245</v>
      </c>
      <c r="F39" s="1" t="str">
        <f>VLOOKUP(D39,Table12[[Name]:[Native]],3,FALSE)</f>
        <v>诸暨市</v>
      </c>
      <c r="G39" s="14" t="str">
        <f ca="1">VLOOKUP(F39,Table12[[Native]:[Population4]],5,FALSE)</f>
        <v>绍兴市</v>
      </c>
    </row>
    <row r="40" spans="1:7" ht="15.75" thickBot="1" x14ac:dyDescent="0.3">
      <c r="A40" t="s">
        <v>1906</v>
      </c>
      <c r="B40" s="1" t="s">
        <v>1907</v>
      </c>
      <c r="C40" s="1" t="s">
        <v>11</v>
      </c>
      <c r="D40" s="1" t="s">
        <v>1845</v>
      </c>
      <c r="E40" s="4">
        <v>39927</v>
      </c>
      <c r="F40" s="1" t="str">
        <f>VLOOKUP(D40,Table12[[Name]:[Native]],3,FALSE)</f>
        <v>嵊州市</v>
      </c>
      <c r="G40" s="14" t="str">
        <f ca="1">VLOOKUP(F40,Table12[[Native]:[Population4]],5,FALSE)</f>
        <v>绍兴市</v>
      </c>
    </row>
    <row r="41" spans="1:7" ht="15.75" thickBot="1" x14ac:dyDescent="0.3">
      <c r="A41" t="s">
        <v>1908</v>
      </c>
      <c r="B41" s="1" t="s">
        <v>1909</v>
      </c>
      <c r="C41" s="1" t="s">
        <v>15</v>
      </c>
      <c r="D41" s="1" t="s">
        <v>1831</v>
      </c>
      <c r="E41" s="4">
        <v>88343</v>
      </c>
      <c r="F41" s="1" t="str">
        <f>VLOOKUP(D41,Table12[[Name]:[Native]],3,FALSE)</f>
        <v>柯桥区</v>
      </c>
      <c r="G41" s="14" t="str">
        <f ca="1">VLOOKUP(F41,Table12[[Native]:[Population4]],5,FALSE)</f>
        <v>绍兴市</v>
      </c>
    </row>
    <row r="42" spans="1:7" ht="15.75" thickBot="1" x14ac:dyDescent="0.3">
      <c r="A42" t="s">
        <v>1910</v>
      </c>
      <c r="B42" s="1" t="s">
        <v>1911</v>
      </c>
      <c r="C42" s="1" t="s">
        <v>11</v>
      </c>
      <c r="D42" s="1" t="s">
        <v>1851</v>
      </c>
      <c r="E42" s="4">
        <v>13053</v>
      </c>
      <c r="F42" s="1" t="str">
        <f>VLOOKUP(D42,Table12[[Name]:[Native]],3,FALSE)</f>
        <v>新昌县</v>
      </c>
      <c r="G42" s="14" t="str">
        <f ca="1">VLOOKUP(F42,Table12[[Native]:[Population4]],5,FALSE)</f>
        <v>绍兴市</v>
      </c>
    </row>
    <row r="43" spans="1:7" ht="15.75" thickBot="1" x14ac:dyDescent="0.3">
      <c r="A43" t="s">
        <v>1912</v>
      </c>
      <c r="B43" s="1" t="s">
        <v>1913</v>
      </c>
      <c r="C43" s="1" t="s">
        <v>15</v>
      </c>
      <c r="D43" s="1" t="s">
        <v>1831</v>
      </c>
      <c r="E43" s="4">
        <v>39477</v>
      </c>
      <c r="F43" s="1" t="str">
        <f>VLOOKUP(D43,Table12[[Name]:[Native]],3,FALSE)</f>
        <v>柯桥区</v>
      </c>
      <c r="G43" s="14" t="str">
        <f ca="1">VLOOKUP(F43,Table12[[Native]:[Population4]],5,FALSE)</f>
        <v>绍兴市</v>
      </c>
    </row>
    <row r="44" spans="1:7" ht="15.75" thickBot="1" x14ac:dyDescent="0.3">
      <c r="A44" t="s">
        <v>1914</v>
      </c>
      <c r="B44" s="1" t="s">
        <v>1915</v>
      </c>
      <c r="C44" s="1" t="s">
        <v>15</v>
      </c>
      <c r="D44" s="1" t="s">
        <v>1840</v>
      </c>
      <c r="E44" s="4">
        <v>27455</v>
      </c>
      <c r="F44" s="1" t="str">
        <f>VLOOKUP(D44,Table12[[Name]:[Native]],3,FALSE)</f>
        <v>越城区</v>
      </c>
      <c r="G44" s="14" t="str">
        <f ca="1">VLOOKUP(F44,Table12[[Native]:[Population4]],5,FALSE)</f>
        <v>绍兴市</v>
      </c>
    </row>
    <row r="45" spans="1:7" ht="15.75" thickBot="1" x14ac:dyDescent="0.3">
      <c r="A45" t="s">
        <v>1916</v>
      </c>
      <c r="B45" s="1" t="s">
        <v>1917</v>
      </c>
      <c r="C45" s="1" t="s">
        <v>11</v>
      </c>
      <c r="D45" s="1" t="s">
        <v>1831</v>
      </c>
      <c r="E45" s="4">
        <v>19923</v>
      </c>
      <c r="F45" s="1" t="str">
        <f>VLOOKUP(D45,Table12[[Name]:[Native]],3,FALSE)</f>
        <v>柯桥区</v>
      </c>
      <c r="G45" s="14" t="str">
        <f ca="1">VLOOKUP(F45,Table12[[Native]:[Population4]],5,FALSE)</f>
        <v>绍兴市</v>
      </c>
    </row>
    <row r="46" spans="1:7" ht="15.75" thickBot="1" x14ac:dyDescent="0.3">
      <c r="A46" t="s">
        <v>1918</v>
      </c>
      <c r="B46" s="1" t="s">
        <v>1919</v>
      </c>
      <c r="C46" s="1" t="s">
        <v>15</v>
      </c>
      <c r="D46" s="1" t="s">
        <v>1834</v>
      </c>
      <c r="E46" s="4">
        <v>46463</v>
      </c>
      <c r="F46" s="1" t="str">
        <f>VLOOKUP(D46,Table12[[Name]:[Native]],3,FALSE)</f>
        <v>诸暨市</v>
      </c>
      <c r="G46" s="14" t="str">
        <f ca="1">VLOOKUP(F46,Table12[[Native]:[Population4]],5,FALSE)</f>
        <v>绍兴市</v>
      </c>
    </row>
    <row r="47" spans="1:7" ht="15.75" thickBot="1" x14ac:dyDescent="0.3">
      <c r="A47" t="s">
        <v>1920</v>
      </c>
      <c r="B47" s="1" t="s">
        <v>1921</v>
      </c>
      <c r="C47" s="1" t="s">
        <v>11</v>
      </c>
      <c r="D47" s="1" t="s">
        <v>1851</v>
      </c>
      <c r="E47" s="4">
        <v>16731</v>
      </c>
      <c r="F47" s="1" t="str">
        <f>VLOOKUP(D47,Table12[[Name]:[Native]],3,FALSE)</f>
        <v>新昌县</v>
      </c>
      <c r="G47" s="14" t="str">
        <f ca="1">VLOOKUP(F47,Table12[[Native]:[Population4]],5,FALSE)</f>
        <v>绍兴市</v>
      </c>
    </row>
    <row r="48" spans="1:7" ht="15.75" thickBot="1" x14ac:dyDescent="0.3">
      <c r="A48" t="s">
        <v>1922</v>
      </c>
      <c r="B48" s="1" t="s">
        <v>1923</v>
      </c>
      <c r="C48" s="1" t="s">
        <v>11</v>
      </c>
      <c r="D48" s="1" t="s">
        <v>1845</v>
      </c>
      <c r="E48" s="4">
        <v>32157</v>
      </c>
      <c r="F48" s="1" t="str">
        <f>VLOOKUP(D48,Table12[[Name]:[Native]],3,FALSE)</f>
        <v>嵊州市</v>
      </c>
      <c r="G48" s="14" t="str">
        <f ca="1">VLOOKUP(F48,Table12[[Native]:[Population4]],5,FALSE)</f>
        <v>绍兴市</v>
      </c>
    </row>
    <row r="49" spans="1:7" ht="15.75" thickBot="1" x14ac:dyDescent="0.3">
      <c r="A49" t="s">
        <v>1924</v>
      </c>
      <c r="B49" s="1" t="s">
        <v>1925</v>
      </c>
      <c r="C49" s="1" t="s">
        <v>15</v>
      </c>
      <c r="D49" s="1" t="s">
        <v>1840</v>
      </c>
      <c r="E49" s="4">
        <v>57513</v>
      </c>
      <c r="F49" s="1" t="str">
        <f>VLOOKUP(D49,Table12[[Name]:[Native]],3,FALSE)</f>
        <v>越城区</v>
      </c>
      <c r="G49" s="14" t="str">
        <f ca="1">VLOOKUP(F49,Table12[[Native]:[Population4]],5,FALSE)</f>
        <v>绍兴市</v>
      </c>
    </row>
    <row r="50" spans="1:7" ht="15.75" thickBot="1" x14ac:dyDescent="0.3">
      <c r="A50" t="s">
        <v>1926</v>
      </c>
      <c r="B50" s="1" t="s">
        <v>1927</v>
      </c>
      <c r="C50" s="1" t="s">
        <v>15</v>
      </c>
      <c r="D50" s="1" t="s">
        <v>1840</v>
      </c>
      <c r="E50" s="4">
        <v>81048</v>
      </c>
      <c r="F50" s="1" t="str">
        <f>VLOOKUP(D50,Table12[[Name]:[Native]],3,FALSE)</f>
        <v>越城区</v>
      </c>
      <c r="G50" s="14" t="str">
        <f ca="1">VLOOKUP(F50,Table12[[Native]:[Population4]],5,FALSE)</f>
        <v>绍兴市</v>
      </c>
    </row>
    <row r="51" spans="1:7" ht="15.75" thickBot="1" x14ac:dyDescent="0.3">
      <c r="A51" t="s">
        <v>1928</v>
      </c>
      <c r="B51" s="1" t="s">
        <v>1929</v>
      </c>
      <c r="C51" s="1" t="s">
        <v>15</v>
      </c>
      <c r="D51" s="1" t="s">
        <v>1834</v>
      </c>
      <c r="E51" s="4">
        <v>249192</v>
      </c>
      <c r="F51" s="1" t="str">
        <f>VLOOKUP(D51,Table12[[Name]:[Native]],3,FALSE)</f>
        <v>诸暨市</v>
      </c>
      <c r="G51" s="14" t="str">
        <f ca="1">VLOOKUP(F51,Table12[[Native]:[Population4]],5,FALSE)</f>
        <v>绍兴市</v>
      </c>
    </row>
    <row r="52" spans="1:7" ht="15.75" thickBot="1" x14ac:dyDescent="0.3">
      <c r="A52" t="s">
        <v>1930</v>
      </c>
      <c r="B52" s="1" t="s">
        <v>1931</v>
      </c>
      <c r="C52" s="1" t="s">
        <v>15</v>
      </c>
      <c r="D52" s="1" t="s">
        <v>1831</v>
      </c>
      <c r="E52" s="4">
        <v>123230</v>
      </c>
      <c r="F52" s="1" t="str">
        <f>VLOOKUP(D52,Table12[[Name]:[Native]],3,FALSE)</f>
        <v>柯桥区</v>
      </c>
      <c r="G52" s="14" t="str">
        <f ca="1">VLOOKUP(F52,Table12[[Native]:[Population4]],5,FALSE)</f>
        <v>绍兴市</v>
      </c>
    </row>
    <row r="53" spans="1:7" ht="15.75" thickBot="1" x14ac:dyDescent="0.3">
      <c r="A53" t="s">
        <v>1932</v>
      </c>
      <c r="B53" s="1" t="s">
        <v>1933</v>
      </c>
      <c r="C53" s="1" t="s">
        <v>15</v>
      </c>
      <c r="D53" s="1" t="s">
        <v>1831</v>
      </c>
      <c r="E53" s="4">
        <v>88665</v>
      </c>
      <c r="F53" s="1" t="str">
        <f>VLOOKUP(D53,Table12[[Name]:[Native]],3,FALSE)</f>
        <v>柯桥区</v>
      </c>
      <c r="G53" s="14" t="str">
        <f ca="1">VLOOKUP(F53,Table12[[Native]:[Population4]],5,FALSE)</f>
        <v>绍兴市</v>
      </c>
    </row>
    <row r="54" spans="1:7" ht="15.75" thickBot="1" x14ac:dyDescent="0.3">
      <c r="A54" t="s">
        <v>1934</v>
      </c>
      <c r="B54" s="1" t="s">
        <v>1935</v>
      </c>
      <c r="C54" s="1" t="s">
        <v>15</v>
      </c>
      <c r="D54" s="1" t="s">
        <v>1831</v>
      </c>
      <c r="E54" s="4">
        <v>37880</v>
      </c>
      <c r="F54" s="1" t="str">
        <f>VLOOKUP(D54,Table12[[Name]:[Native]],3,FALSE)</f>
        <v>柯桥区</v>
      </c>
      <c r="G54" s="14" t="str">
        <f ca="1">VLOOKUP(F54,Table12[[Native]:[Population4]],5,FALSE)</f>
        <v>绍兴市</v>
      </c>
    </row>
    <row r="55" spans="1:7" ht="15.75" thickBot="1" x14ac:dyDescent="0.3">
      <c r="A55" t="s">
        <v>1936</v>
      </c>
      <c r="B55" s="1" t="s">
        <v>1937</v>
      </c>
      <c r="C55" s="1" t="s">
        <v>15</v>
      </c>
      <c r="D55" s="1" t="s">
        <v>1837</v>
      </c>
      <c r="E55" s="4">
        <v>26900</v>
      </c>
      <c r="F55" s="1" t="str">
        <f>VLOOKUP(D55,Table12[[Name]:[Native]],3,FALSE)</f>
        <v>上虞区</v>
      </c>
      <c r="G55" s="14" t="str">
        <f ca="1">VLOOKUP(F55,Table12[[Native]:[Population4]],5,FALSE)</f>
        <v>绍兴市</v>
      </c>
    </row>
    <row r="56" spans="1:7" ht="15.75" thickBot="1" x14ac:dyDescent="0.3">
      <c r="A56" t="s">
        <v>1938</v>
      </c>
      <c r="B56" s="1" t="s">
        <v>1939</v>
      </c>
      <c r="C56" s="1" t="s">
        <v>15</v>
      </c>
      <c r="D56" s="1" t="s">
        <v>1837</v>
      </c>
      <c r="E56" s="4">
        <v>51818</v>
      </c>
      <c r="F56" s="1" t="str">
        <f>VLOOKUP(D56,Table12[[Name]:[Native]],3,FALSE)</f>
        <v>上虞区</v>
      </c>
      <c r="G56" s="14" t="str">
        <f ca="1">VLOOKUP(F56,Table12[[Native]:[Population4]],5,FALSE)</f>
        <v>绍兴市</v>
      </c>
    </row>
    <row r="57" spans="1:7" ht="15.75" thickBot="1" x14ac:dyDescent="0.3">
      <c r="A57" t="s">
        <v>1940</v>
      </c>
      <c r="B57" s="1" t="s">
        <v>1941</v>
      </c>
      <c r="C57" s="1" t="s">
        <v>11</v>
      </c>
      <c r="D57" s="1" t="s">
        <v>1834</v>
      </c>
      <c r="E57" s="4">
        <v>7751</v>
      </c>
      <c r="F57" s="1" t="str">
        <f>VLOOKUP(D57,Table12[[Name]:[Native]],3,FALSE)</f>
        <v>诸暨市</v>
      </c>
      <c r="G57" s="14" t="str">
        <f ca="1">VLOOKUP(F57,Table12[[Native]:[Population4]],5,FALSE)</f>
        <v>绍兴市</v>
      </c>
    </row>
    <row r="58" spans="1:7" ht="15.75" thickBot="1" x14ac:dyDescent="0.3">
      <c r="A58" t="s">
        <v>1942</v>
      </c>
      <c r="B58" s="1" t="s">
        <v>1943</v>
      </c>
      <c r="C58" s="1" t="s">
        <v>7</v>
      </c>
      <c r="D58" s="1" t="s">
        <v>1837</v>
      </c>
      <c r="E58" s="4">
        <v>6904</v>
      </c>
      <c r="F58" s="1" t="str">
        <f>VLOOKUP(D58,Table12[[Name]:[Native]],3,FALSE)</f>
        <v>上虞区</v>
      </c>
      <c r="G58" s="14" t="str">
        <f ca="1">VLOOKUP(F58,Table12[[Native]:[Population4]],5,FALSE)</f>
        <v>绍兴市</v>
      </c>
    </row>
    <row r="59" spans="1:7" ht="15.75" thickBot="1" x14ac:dyDescent="0.3">
      <c r="A59" t="s">
        <v>1944</v>
      </c>
      <c r="B59" s="1" t="s">
        <v>1945</v>
      </c>
      <c r="C59" s="1" t="s">
        <v>15</v>
      </c>
      <c r="D59" s="1" t="s">
        <v>1840</v>
      </c>
      <c r="E59" s="4">
        <v>79923</v>
      </c>
      <c r="F59" s="1" t="str">
        <f>VLOOKUP(D59,Table12[[Name]:[Native]],3,FALSE)</f>
        <v>越城区</v>
      </c>
      <c r="G59" s="14" t="str">
        <f ca="1">VLOOKUP(F59,Table12[[Native]:[Population4]],5,FALSE)</f>
        <v>绍兴市</v>
      </c>
    </row>
    <row r="60" spans="1:7" ht="15.75" thickBot="1" x14ac:dyDescent="0.3">
      <c r="A60" t="s">
        <v>831</v>
      </c>
      <c r="B60" s="1" t="s">
        <v>1946</v>
      </c>
      <c r="C60" s="1" t="s">
        <v>11</v>
      </c>
      <c r="D60" s="1" t="s">
        <v>1834</v>
      </c>
      <c r="E60" s="4">
        <v>17448</v>
      </c>
      <c r="F60" s="1" t="str">
        <f>VLOOKUP(D60,Table12[[Name]:[Native]],3,FALSE)</f>
        <v>诸暨市</v>
      </c>
      <c r="G60" s="14" t="str">
        <f ca="1">VLOOKUP(F60,Table12[[Native]:[Population4]],5,FALSE)</f>
        <v>绍兴市</v>
      </c>
    </row>
    <row r="61" spans="1:7" ht="15.75" thickBot="1" x14ac:dyDescent="0.3">
      <c r="A61" t="s">
        <v>1947</v>
      </c>
      <c r="B61" s="1" t="s">
        <v>1948</v>
      </c>
      <c r="C61" s="1" t="s">
        <v>11</v>
      </c>
      <c r="D61" s="1" t="s">
        <v>1831</v>
      </c>
      <c r="E61" s="4">
        <v>23463</v>
      </c>
      <c r="F61" s="1" t="str">
        <f>VLOOKUP(D61,Table12[[Name]:[Native]],3,FALSE)</f>
        <v>柯桥区</v>
      </c>
      <c r="G61" s="14" t="str">
        <f ca="1">VLOOKUP(F61,Table12[[Native]:[Population4]],5,FALSE)</f>
        <v>绍兴市</v>
      </c>
    </row>
    <row r="62" spans="1:7" ht="15.75" thickBot="1" x14ac:dyDescent="0.3">
      <c r="A62" t="s">
        <v>217</v>
      </c>
      <c r="B62" s="1" t="s">
        <v>218</v>
      </c>
      <c r="C62" s="1" t="s">
        <v>15</v>
      </c>
      <c r="D62" s="1" t="s">
        <v>1845</v>
      </c>
      <c r="E62" s="4">
        <v>62618</v>
      </c>
      <c r="F62" s="1" t="str">
        <f>VLOOKUP(D62,Table12[[Name]:[Native]],3,FALSE)</f>
        <v>嵊州市</v>
      </c>
      <c r="G62" s="14" t="str">
        <f ca="1">VLOOKUP(F62,Table12[[Native]:[Population4]],5,FALSE)</f>
        <v>绍兴市</v>
      </c>
    </row>
    <row r="63" spans="1:7" ht="15.75" thickBot="1" x14ac:dyDescent="0.3">
      <c r="A63" t="s">
        <v>1949</v>
      </c>
      <c r="B63" s="1" t="s">
        <v>1950</v>
      </c>
      <c r="C63" s="1" t="s">
        <v>15</v>
      </c>
      <c r="D63" s="1" t="s">
        <v>1831</v>
      </c>
      <c r="E63" s="4">
        <v>72043</v>
      </c>
      <c r="F63" s="1" t="str">
        <f>VLOOKUP(D63,Table12[[Name]:[Native]],3,FALSE)</f>
        <v>柯桥区</v>
      </c>
      <c r="G63" s="14" t="str">
        <f ca="1">VLOOKUP(F63,Table12[[Native]:[Population4]],5,FALSE)</f>
        <v>绍兴市</v>
      </c>
    </row>
    <row r="64" spans="1:7" ht="15.75" thickBot="1" x14ac:dyDescent="0.3">
      <c r="A64" t="s">
        <v>845</v>
      </c>
      <c r="B64" s="1" t="s">
        <v>1951</v>
      </c>
      <c r="C64" s="1" t="s">
        <v>11</v>
      </c>
      <c r="D64" s="1" t="s">
        <v>1834</v>
      </c>
      <c r="E64" s="4">
        <v>12372</v>
      </c>
      <c r="F64" s="1" t="str">
        <f>VLOOKUP(D64,Table12[[Name]:[Native]],3,FALSE)</f>
        <v>诸暨市</v>
      </c>
      <c r="G64" s="14" t="str">
        <f ca="1">VLOOKUP(F64,Table12[[Native]:[Population4]],5,FALSE)</f>
        <v>绍兴市</v>
      </c>
    </row>
    <row r="65" spans="1:7" ht="15.75" thickBot="1" x14ac:dyDescent="0.3">
      <c r="A65" t="s">
        <v>1952</v>
      </c>
      <c r="B65" s="1" t="s">
        <v>1953</v>
      </c>
      <c r="C65" s="1" t="s">
        <v>15</v>
      </c>
      <c r="D65" s="1" t="s">
        <v>1840</v>
      </c>
      <c r="E65" s="4">
        <v>72317</v>
      </c>
      <c r="F65" s="1" t="str">
        <f>VLOOKUP(D65,Table12[[Name]:[Native]],3,FALSE)</f>
        <v>越城区</v>
      </c>
      <c r="G65" s="14" t="str">
        <f ca="1">VLOOKUP(F65,Table12[[Native]:[Population4]],5,FALSE)</f>
        <v>绍兴市</v>
      </c>
    </row>
    <row r="66" spans="1:7" ht="15.75" thickBot="1" x14ac:dyDescent="0.3">
      <c r="A66" t="s">
        <v>1954</v>
      </c>
      <c r="B66" s="1" t="s">
        <v>1955</v>
      </c>
      <c r="C66" s="1" t="s">
        <v>15</v>
      </c>
      <c r="D66" s="1" t="s">
        <v>1851</v>
      </c>
      <c r="E66" s="4">
        <v>91598</v>
      </c>
      <c r="F66" s="1" t="str">
        <f>VLOOKUP(D66,Table12[[Name]:[Native]],3,FALSE)</f>
        <v>新昌县</v>
      </c>
      <c r="G66" s="14" t="str">
        <f ca="1">VLOOKUP(F66,Table12[[Native]:[Population4]],5,FALSE)</f>
        <v>绍兴市</v>
      </c>
    </row>
    <row r="67" spans="1:7" ht="15.75" thickBot="1" x14ac:dyDescent="0.3">
      <c r="A67" t="s">
        <v>1956</v>
      </c>
      <c r="B67" s="1" t="s">
        <v>1957</v>
      </c>
      <c r="C67" s="1" t="s">
        <v>11</v>
      </c>
      <c r="D67" s="1" t="s">
        <v>1834</v>
      </c>
      <c r="E67" s="4">
        <v>42189</v>
      </c>
      <c r="F67" s="1" t="str">
        <f>VLOOKUP(D67,Table12[[Name]:[Native]],3,FALSE)</f>
        <v>诸暨市</v>
      </c>
      <c r="G67" s="14" t="str">
        <f ca="1">VLOOKUP(F67,Table12[[Native]:[Population4]],5,FALSE)</f>
        <v>绍兴市</v>
      </c>
    </row>
    <row r="68" spans="1:7" ht="15.75" thickBot="1" x14ac:dyDescent="0.3">
      <c r="A68" t="s">
        <v>1958</v>
      </c>
      <c r="B68" s="1" t="s">
        <v>1959</v>
      </c>
      <c r="C68" s="1" t="s">
        <v>11</v>
      </c>
      <c r="D68" s="1" t="s">
        <v>1831</v>
      </c>
      <c r="E68" s="4">
        <v>48263</v>
      </c>
      <c r="F68" s="1" t="str">
        <f>VLOOKUP(D68,Table12[[Name]:[Native]],3,FALSE)</f>
        <v>柯桥区</v>
      </c>
      <c r="G68" s="14" t="str">
        <f ca="1">VLOOKUP(F68,Table12[[Native]:[Population4]],5,FALSE)</f>
        <v>绍兴市</v>
      </c>
    </row>
    <row r="69" spans="1:7" ht="15.75" thickBot="1" x14ac:dyDescent="0.3">
      <c r="A69" t="s">
        <v>1960</v>
      </c>
      <c r="B69" s="1" t="s">
        <v>1961</v>
      </c>
      <c r="C69" s="1" t="s">
        <v>15</v>
      </c>
      <c r="D69" s="1" t="s">
        <v>1845</v>
      </c>
      <c r="E69" s="4">
        <v>28061</v>
      </c>
      <c r="F69" s="1" t="str">
        <f>VLOOKUP(D69,Table12[[Name]:[Native]],3,FALSE)</f>
        <v>嵊州市</v>
      </c>
      <c r="G69" s="14" t="str">
        <f ca="1">VLOOKUP(F69,Table12[[Native]:[Population4]],5,FALSE)</f>
        <v>绍兴市</v>
      </c>
    </row>
    <row r="70" spans="1:7" ht="15.75" thickBot="1" x14ac:dyDescent="0.3">
      <c r="A70" t="s">
        <v>1962</v>
      </c>
      <c r="B70" s="1" t="s">
        <v>1963</v>
      </c>
      <c r="C70" s="1" t="s">
        <v>15</v>
      </c>
      <c r="D70" s="1" t="s">
        <v>1831</v>
      </c>
      <c r="E70" s="4">
        <v>107821</v>
      </c>
      <c r="F70" s="1" t="str">
        <f>VLOOKUP(D70,Table12[[Name]:[Native]],3,FALSE)</f>
        <v>柯桥区</v>
      </c>
      <c r="G70" s="14" t="str">
        <f ca="1">VLOOKUP(F70,Table12[[Native]:[Population4]],5,FALSE)</f>
        <v>绍兴市</v>
      </c>
    </row>
    <row r="71" spans="1:7" ht="15.75" thickBot="1" x14ac:dyDescent="0.3">
      <c r="A71" t="s">
        <v>1964</v>
      </c>
      <c r="B71" s="1" t="s">
        <v>1965</v>
      </c>
      <c r="C71" s="1" t="s">
        <v>7</v>
      </c>
      <c r="D71" s="1" t="s">
        <v>1851</v>
      </c>
      <c r="E71" s="4">
        <v>7445</v>
      </c>
      <c r="F71" s="1" t="str">
        <f>VLOOKUP(D71,Table12[[Name]:[Native]],3,FALSE)</f>
        <v>新昌县</v>
      </c>
      <c r="G71" s="14" t="str">
        <f ca="1">VLOOKUP(F71,Table12[[Native]:[Population4]],5,FALSE)</f>
        <v>绍兴市</v>
      </c>
    </row>
    <row r="72" spans="1:7" ht="15.75" thickBot="1" x14ac:dyDescent="0.3">
      <c r="A72" t="s">
        <v>1966</v>
      </c>
      <c r="B72" s="1" t="s">
        <v>1967</v>
      </c>
      <c r="C72" s="1" t="s">
        <v>15</v>
      </c>
      <c r="D72" s="1" t="s">
        <v>1831</v>
      </c>
      <c r="E72" s="4">
        <v>83978</v>
      </c>
      <c r="F72" s="1" t="str">
        <f>VLOOKUP(D72,Table12[[Name]:[Native]],3,FALSE)</f>
        <v>柯桥区</v>
      </c>
      <c r="G72" s="14" t="str">
        <f ca="1">VLOOKUP(F72,Table12[[Native]:[Population4]],5,FALSE)</f>
        <v>绍兴市</v>
      </c>
    </row>
    <row r="73" spans="1:7" ht="15.75" thickBot="1" x14ac:dyDescent="0.3">
      <c r="A73" t="s">
        <v>629</v>
      </c>
      <c r="B73" s="1" t="s">
        <v>630</v>
      </c>
      <c r="C73" s="1" t="s">
        <v>15</v>
      </c>
      <c r="D73" s="1" t="s">
        <v>1851</v>
      </c>
      <c r="E73" s="4">
        <v>74923</v>
      </c>
      <c r="F73" s="1" t="str">
        <f>VLOOKUP(D73,Table12[[Name]:[Native]],3,FALSE)</f>
        <v>新昌县</v>
      </c>
      <c r="G73" s="14" t="str">
        <f ca="1">VLOOKUP(F73,Table12[[Native]:[Population4]],5,FALSE)</f>
        <v>绍兴市</v>
      </c>
    </row>
    <row r="74" spans="1:7" ht="15.75" thickBot="1" x14ac:dyDescent="0.3">
      <c r="A74" t="s">
        <v>1968</v>
      </c>
      <c r="B74" s="1" t="s">
        <v>1969</v>
      </c>
      <c r="C74" s="1" t="s">
        <v>11</v>
      </c>
      <c r="D74" s="1" t="s">
        <v>1851</v>
      </c>
      <c r="E74" s="4">
        <v>24530</v>
      </c>
      <c r="F74" s="1" t="str">
        <f>VLOOKUP(D74,Table12[[Name]:[Native]],3,FALSE)</f>
        <v>新昌县</v>
      </c>
      <c r="G74" s="14" t="str">
        <f ca="1">VLOOKUP(F74,Table12[[Native]:[Population4]],5,FALSE)</f>
        <v>绍兴市</v>
      </c>
    </row>
    <row r="75" spans="1:7" ht="15.75" thickBot="1" x14ac:dyDescent="0.3">
      <c r="A75" t="s">
        <v>885</v>
      </c>
      <c r="B75" s="1" t="s">
        <v>886</v>
      </c>
      <c r="C75" s="1" t="s">
        <v>15</v>
      </c>
      <c r="D75" s="1" t="s">
        <v>1845</v>
      </c>
      <c r="E75" s="4">
        <v>65711</v>
      </c>
      <c r="F75" s="1" t="str">
        <f>VLOOKUP(D75,Table12[[Name]:[Native]],3,FALSE)</f>
        <v>嵊州市</v>
      </c>
      <c r="G75" s="14" t="str">
        <f ca="1">VLOOKUP(F75,Table12[[Native]:[Population4]],5,FALSE)</f>
        <v>绍兴市</v>
      </c>
    </row>
    <row r="76" spans="1:7" ht="15.75" thickBot="1" x14ac:dyDescent="0.3">
      <c r="A76" t="s">
        <v>1970</v>
      </c>
      <c r="B76" s="1" t="s">
        <v>1971</v>
      </c>
      <c r="C76" s="1" t="s">
        <v>11</v>
      </c>
      <c r="D76" s="1" t="s">
        <v>1845</v>
      </c>
      <c r="E76" s="4">
        <v>38955</v>
      </c>
      <c r="F76" s="1" t="str">
        <f>VLOOKUP(D76,Table12[[Name]:[Native]],3,FALSE)</f>
        <v>嵊州市</v>
      </c>
      <c r="G76" s="14" t="str">
        <f ca="1">VLOOKUP(F76,Table12[[Native]:[Population4]],5,FALSE)</f>
        <v>绍兴市</v>
      </c>
    </row>
    <row r="77" spans="1:7" ht="15.75" thickBot="1" x14ac:dyDescent="0.3">
      <c r="A77" t="s">
        <v>1972</v>
      </c>
      <c r="B77" s="1" t="s">
        <v>1973</v>
      </c>
      <c r="C77" s="1" t="s">
        <v>11</v>
      </c>
      <c r="D77" s="1" t="s">
        <v>1837</v>
      </c>
      <c r="E77" s="4">
        <v>20717</v>
      </c>
      <c r="F77" s="1" t="str">
        <f>VLOOKUP(D77,Table12[[Name]:[Native]],3,FALSE)</f>
        <v>上虞区</v>
      </c>
      <c r="G77" s="14" t="str">
        <f ca="1">VLOOKUP(F77,Table12[[Native]:[Population4]],5,FALSE)</f>
        <v>绍兴市</v>
      </c>
    </row>
    <row r="78" spans="1:7" ht="15.75" thickBot="1" x14ac:dyDescent="0.3">
      <c r="A78" t="s">
        <v>1974</v>
      </c>
      <c r="B78" s="1" t="s">
        <v>1975</v>
      </c>
      <c r="C78" s="1" t="s">
        <v>11</v>
      </c>
      <c r="D78" s="1" t="s">
        <v>1834</v>
      </c>
      <c r="E78" s="4">
        <v>27995</v>
      </c>
      <c r="F78" s="1" t="str">
        <f>VLOOKUP(D78,Table12[[Name]:[Native]],3,FALSE)</f>
        <v>诸暨市</v>
      </c>
      <c r="G78" s="14" t="str">
        <f ca="1">VLOOKUP(F78,Table12[[Native]:[Population4]],5,FALSE)</f>
        <v>绍兴市</v>
      </c>
    </row>
    <row r="79" spans="1:7" ht="15.75" thickBot="1" x14ac:dyDescent="0.3">
      <c r="A79" t="s">
        <v>1976</v>
      </c>
      <c r="B79" s="1" t="s">
        <v>1977</v>
      </c>
      <c r="C79" s="1" t="s">
        <v>11</v>
      </c>
      <c r="D79" s="1" t="s">
        <v>1851</v>
      </c>
      <c r="E79" s="4">
        <v>8174</v>
      </c>
      <c r="F79" s="1" t="str">
        <f>VLOOKUP(D79,Table12[[Name]:[Native]],3,FALSE)</f>
        <v>新昌县</v>
      </c>
      <c r="G79" s="14" t="str">
        <f ca="1">VLOOKUP(F79,Table12[[Native]:[Population4]],5,FALSE)</f>
        <v>绍兴市</v>
      </c>
    </row>
    <row r="80" spans="1:7" ht="15.75" thickBot="1" x14ac:dyDescent="0.3">
      <c r="A80" t="s">
        <v>1978</v>
      </c>
      <c r="B80" s="1" t="s">
        <v>1979</v>
      </c>
      <c r="C80" s="1" t="s">
        <v>253</v>
      </c>
      <c r="D80" s="1" t="s">
        <v>1845</v>
      </c>
      <c r="E80" s="4">
        <v>43035</v>
      </c>
      <c r="F80" s="1" t="str">
        <f>VLOOKUP(D80,Table12[[Name]:[Native]],3,FALSE)</f>
        <v>嵊州市</v>
      </c>
      <c r="G80" s="14" t="str">
        <f ca="1">VLOOKUP(F80,Table12[[Native]:[Population4]],5,FALSE)</f>
        <v>绍兴市</v>
      </c>
    </row>
    <row r="81" spans="1:7" ht="15.75" thickBot="1" x14ac:dyDescent="0.3">
      <c r="A81" t="s">
        <v>1980</v>
      </c>
      <c r="B81" s="1" t="s">
        <v>1981</v>
      </c>
      <c r="C81" s="1" t="s">
        <v>11</v>
      </c>
      <c r="D81" s="1" t="s">
        <v>1845</v>
      </c>
      <c r="E81" s="4">
        <v>29052</v>
      </c>
      <c r="F81" s="1" t="str">
        <f>VLOOKUP(D81,Table12[[Name]:[Native]],3,FALSE)</f>
        <v>嵊州市</v>
      </c>
      <c r="G81" s="14" t="str">
        <f ca="1">VLOOKUP(F81,Table12[[Native]:[Population4]],5,FALSE)</f>
        <v>绍兴市</v>
      </c>
    </row>
    <row r="82" spans="1:7" ht="15.75" thickBot="1" x14ac:dyDescent="0.3">
      <c r="A82" t="s">
        <v>1982</v>
      </c>
      <c r="B82" s="1" t="s">
        <v>1983</v>
      </c>
      <c r="C82" s="1" t="s">
        <v>7</v>
      </c>
      <c r="D82" s="1" t="s">
        <v>1851</v>
      </c>
      <c r="E82" s="4">
        <v>8587</v>
      </c>
      <c r="F82" s="1" t="str">
        <f>VLOOKUP(D82,Table12[[Name]:[Native]],3,FALSE)</f>
        <v>新昌县</v>
      </c>
      <c r="G82" s="14" t="str">
        <f ca="1">VLOOKUP(F82,Table12[[Native]:[Population4]],5,FALSE)</f>
        <v>绍兴市</v>
      </c>
    </row>
    <row r="83" spans="1:7" ht="15.75" thickBot="1" x14ac:dyDescent="0.3">
      <c r="A83" t="s">
        <v>1984</v>
      </c>
      <c r="B83" s="1" t="s">
        <v>1985</v>
      </c>
      <c r="C83" s="1" t="s">
        <v>15</v>
      </c>
      <c r="D83" s="1" t="s">
        <v>1837</v>
      </c>
      <c r="E83" s="4">
        <v>98832</v>
      </c>
      <c r="F83" s="1" t="str">
        <f>VLOOKUP(D83,Table12[[Name]:[Native]],3,FALSE)</f>
        <v>上虞区</v>
      </c>
      <c r="G83" s="14" t="str">
        <f ca="1">VLOOKUP(F83,Table12[[Native]:[Population4]],5,FALSE)</f>
        <v>绍兴市</v>
      </c>
    </row>
    <row r="84" spans="1:7" ht="15.75" thickBot="1" x14ac:dyDescent="0.3">
      <c r="A84" t="s">
        <v>1986</v>
      </c>
      <c r="B84" s="1" t="s">
        <v>1987</v>
      </c>
      <c r="C84" s="1" t="s">
        <v>15</v>
      </c>
      <c r="D84" s="1" t="s">
        <v>1840</v>
      </c>
      <c r="E84" s="4">
        <v>29399</v>
      </c>
      <c r="F84" s="1" t="str">
        <f>VLOOKUP(D84,Table12[[Name]:[Native]],3,FALSE)</f>
        <v>越城区</v>
      </c>
      <c r="G84" s="14" t="str">
        <f ca="1">VLOOKUP(F84,Table12[[Native]:[Population4]],5,FALSE)</f>
        <v>绍兴市</v>
      </c>
    </row>
    <row r="85" spans="1:7" ht="15.75" thickBot="1" x14ac:dyDescent="0.3">
      <c r="A85" t="s">
        <v>1988</v>
      </c>
      <c r="B85" s="1" t="s">
        <v>1989</v>
      </c>
      <c r="C85" s="1" t="s">
        <v>11</v>
      </c>
      <c r="D85" s="1" t="s">
        <v>1837</v>
      </c>
      <c r="E85" s="4">
        <v>15333</v>
      </c>
      <c r="F85" s="1" t="str">
        <f>VLOOKUP(D85,Table12[[Name]:[Native]],3,FALSE)</f>
        <v>上虞区</v>
      </c>
      <c r="G85" s="14" t="str">
        <f ca="1">VLOOKUP(F85,Table12[[Native]:[Population4]],5,FALSE)</f>
        <v>绍兴市</v>
      </c>
    </row>
    <row r="86" spans="1:7" ht="15.75" thickBot="1" x14ac:dyDescent="0.3">
      <c r="A86" t="s">
        <v>1990</v>
      </c>
      <c r="B86" s="1" t="s">
        <v>1991</v>
      </c>
      <c r="C86" s="1" t="s">
        <v>15</v>
      </c>
      <c r="D86" s="1" t="s">
        <v>1840</v>
      </c>
      <c r="E86" s="4">
        <v>21685</v>
      </c>
      <c r="F86" s="1" t="str">
        <f>VLOOKUP(D86,Table12[[Name]:[Native]],3,FALSE)</f>
        <v>越城区</v>
      </c>
      <c r="G86" s="14" t="str">
        <f ca="1">VLOOKUP(F86,Table12[[Native]:[Population4]],5,FALSE)</f>
        <v>绍兴市</v>
      </c>
    </row>
    <row r="87" spans="1:7" ht="15.75" thickBot="1" x14ac:dyDescent="0.3">
      <c r="A87" t="s">
        <v>1992</v>
      </c>
      <c r="B87" s="1" t="s">
        <v>1993</v>
      </c>
      <c r="C87" s="1" t="s">
        <v>15</v>
      </c>
      <c r="D87" s="1" t="s">
        <v>1834</v>
      </c>
      <c r="E87" s="4">
        <v>80926</v>
      </c>
      <c r="F87" s="1" t="str">
        <f>VLOOKUP(D87,Table12[[Name]:[Native]],3,FALSE)</f>
        <v>诸暨市</v>
      </c>
      <c r="G87" s="14" t="str">
        <f ca="1">VLOOKUP(F87,Table12[[Native]:[Population4]],5,FALSE)</f>
        <v>绍兴市</v>
      </c>
    </row>
    <row r="88" spans="1:7" ht="15.75" thickBot="1" x14ac:dyDescent="0.3">
      <c r="A88" t="s">
        <v>1994</v>
      </c>
      <c r="B88" s="1" t="s">
        <v>1995</v>
      </c>
      <c r="C88" s="1" t="s">
        <v>15</v>
      </c>
      <c r="D88" s="1" t="s">
        <v>1840</v>
      </c>
      <c r="E88" s="4">
        <v>52851</v>
      </c>
      <c r="F88" s="1" t="str">
        <f>VLOOKUP(D88,Table12[[Name]:[Native]],3,FALSE)</f>
        <v>越城区</v>
      </c>
      <c r="G88" s="14" t="str">
        <f ca="1">VLOOKUP(F88,Table12[[Native]:[Population4]],5,FALSE)</f>
        <v>绍兴市</v>
      </c>
    </row>
    <row r="89" spans="1:7" ht="15.75" thickBot="1" x14ac:dyDescent="0.3">
      <c r="A89" t="s">
        <v>1996</v>
      </c>
      <c r="B89" s="1" t="s">
        <v>1997</v>
      </c>
      <c r="C89" s="1" t="s">
        <v>11</v>
      </c>
      <c r="D89" s="1" t="s">
        <v>1834</v>
      </c>
      <c r="E89" s="4">
        <v>13447</v>
      </c>
      <c r="F89" s="1" t="str">
        <f>VLOOKUP(D89,Table12[[Name]:[Native]],3,FALSE)</f>
        <v>诸暨市</v>
      </c>
      <c r="G89" s="14" t="str">
        <f ca="1">VLOOKUP(F89,Table12[[Native]:[Population4]],5,FALSE)</f>
        <v>绍兴市</v>
      </c>
    </row>
    <row r="90" spans="1:7" ht="15.75" thickBot="1" x14ac:dyDescent="0.3">
      <c r="A90" t="s">
        <v>1998</v>
      </c>
      <c r="B90" s="1" t="s">
        <v>1999</v>
      </c>
      <c r="C90" s="1" t="s">
        <v>11</v>
      </c>
      <c r="D90" s="1" t="s">
        <v>1831</v>
      </c>
      <c r="E90" s="4">
        <v>20239</v>
      </c>
      <c r="F90" s="1" t="str">
        <f>VLOOKUP(D90,Table12[[Name]:[Native]],3,FALSE)</f>
        <v>柯桥区</v>
      </c>
      <c r="G90" s="14" t="str">
        <f ca="1">VLOOKUP(F90,Table12[[Native]:[Population4]],5,FALSE)</f>
        <v>绍兴市</v>
      </c>
    </row>
    <row r="91" spans="1:7" ht="15.75" thickBot="1" x14ac:dyDescent="0.3">
      <c r="A91" t="s">
        <v>2000</v>
      </c>
      <c r="B91" s="1" t="s">
        <v>2001</v>
      </c>
      <c r="C91" s="1" t="s">
        <v>11</v>
      </c>
      <c r="D91" s="1" t="s">
        <v>1851</v>
      </c>
      <c r="E91" s="4">
        <v>23730</v>
      </c>
      <c r="F91" s="1" t="str">
        <f>VLOOKUP(D91,Table12[[Name]:[Native]],3,FALSE)</f>
        <v>新昌县</v>
      </c>
      <c r="G91" s="14" t="str">
        <f ca="1">VLOOKUP(F91,Table12[[Native]:[Population4]],5,FALSE)</f>
        <v>绍兴市</v>
      </c>
    </row>
    <row r="92" spans="1:7" ht="15.75" thickBot="1" x14ac:dyDescent="0.3">
      <c r="A92" t="s">
        <v>2002</v>
      </c>
      <c r="B92" s="1" t="s">
        <v>2003</v>
      </c>
      <c r="C92" s="1" t="s">
        <v>11</v>
      </c>
      <c r="D92" s="1" t="s">
        <v>1834</v>
      </c>
      <c r="E92" s="4">
        <v>12861</v>
      </c>
      <c r="F92" s="1" t="str">
        <f>VLOOKUP(D92,Table12[[Name]:[Native]],3,FALSE)</f>
        <v>诸暨市</v>
      </c>
      <c r="G92" s="14" t="str">
        <f ca="1">VLOOKUP(F92,Table12[[Native]:[Population4]],5,FALSE)</f>
        <v>绍兴市</v>
      </c>
    </row>
    <row r="93" spans="1:7" ht="15.75" thickBot="1" x14ac:dyDescent="0.3">
      <c r="A93" t="s">
        <v>2004</v>
      </c>
      <c r="B93" s="1" t="s">
        <v>2005</v>
      </c>
      <c r="C93" s="1" t="s">
        <v>11</v>
      </c>
      <c r="D93" s="1" t="s">
        <v>1837</v>
      </c>
      <c r="E93" s="4">
        <v>8255</v>
      </c>
      <c r="F93" s="1" t="str">
        <f>VLOOKUP(D93,Table12[[Name]:[Native]],3,FALSE)</f>
        <v>上虞区</v>
      </c>
      <c r="G93" s="14" t="str">
        <f ca="1">VLOOKUP(F93,Table12[[Native]:[Population4]],5,FALSE)</f>
        <v>绍兴市</v>
      </c>
    </row>
    <row r="94" spans="1:7" ht="15.75" thickBot="1" x14ac:dyDescent="0.3">
      <c r="A94" t="s">
        <v>2006</v>
      </c>
      <c r="B94" s="1" t="s">
        <v>2007</v>
      </c>
      <c r="C94" s="1" t="s">
        <v>11</v>
      </c>
      <c r="D94" s="1" t="s">
        <v>1831</v>
      </c>
      <c r="E94" s="4">
        <v>22738</v>
      </c>
      <c r="F94" s="1" t="str">
        <f>VLOOKUP(D94,Table12[[Name]:[Native]],3,FALSE)</f>
        <v>柯桥区</v>
      </c>
      <c r="G94" s="14" t="str">
        <f ca="1">VLOOKUP(F94,Table12[[Native]:[Population4]],5,FALSE)</f>
        <v>绍兴市</v>
      </c>
    </row>
    <row r="95" spans="1:7" ht="15.75" thickBot="1" x14ac:dyDescent="0.3">
      <c r="A95" t="s">
        <v>2008</v>
      </c>
      <c r="B95" s="1" t="s">
        <v>2009</v>
      </c>
      <c r="C95" s="1" t="s">
        <v>11</v>
      </c>
      <c r="D95" s="1" t="s">
        <v>1845</v>
      </c>
      <c r="E95" s="4">
        <v>10474</v>
      </c>
      <c r="F95" s="1" t="str">
        <f>VLOOKUP(D95,Table12[[Name]:[Native]],3,FALSE)</f>
        <v>嵊州市</v>
      </c>
      <c r="G95" s="14" t="str">
        <f ca="1">VLOOKUP(F95,Table12[[Native]:[Population4]],5,FALSE)</f>
        <v>绍兴市</v>
      </c>
    </row>
    <row r="96" spans="1:7" ht="15.75" thickBot="1" x14ac:dyDescent="0.3">
      <c r="A96" t="s">
        <v>2010</v>
      </c>
      <c r="B96" s="1" t="s">
        <v>2011</v>
      </c>
      <c r="C96" s="1" t="s">
        <v>11</v>
      </c>
      <c r="D96" s="1" t="s">
        <v>1851</v>
      </c>
      <c r="E96" s="4">
        <v>10633</v>
      </c>
      <c r="F96" s="1" t="str">
        <f>VLOOKUP(D96,Table12[[Name]:[Native]],3,FALSE)</f>
        <v>新昌县</v>
      </c>
      <c r="G96" s="14" t="str">
        <f ca="1">VLOOKUP(F96,Table12[[Native]:[Population4]],5,FALSE)</f>
        <v>绍兴市</v>
      </c>
    </row>
    <row r="97" spans="1:7" ht="15.75" thickBot="1" x14ac:dyDescent="0.3">
      <c r="A97" t="s">
        <v>2012</v>
      </c>
      <c r="B97" s="1" t="s">
        <v>2013</v>
      </c>
      <c r="C97" s="1" t="s">
        <v>15</v>
      </c>
      <c r="D97" s="1" t="s">
        <v>1837</v>
      </c>
      <c r="E97" s="4">
        <v>35282</v>
      </c>
      <c r="F97" s="1" t="str">
        <f>VLOOKUP(D97,Table12[[Name]:[Native]],3,FALSE)</f>
        <v>上虞区</v>
      </c>
      <c r="G97" s="14" t="str">
        <f ca="1">VLOOKUP(F97,Table12[[Native]:[Population4]],5,FALSE)</f>
        <v>绍兴市</v>
      </c>
    </row>
    <row r="98" spans="1:7" ht="15.75" thickBot="1" x14ac:dyDescent="0.3">
      <c r="A98" t="s">
        <v>2014</v>
      </c>
      <c r="B98" s="1" t="s">
        <v>2015</v>
      </c>
      <c r="C98" s="1" t="s">
        <v>11</v>
      </c>
      <c r="D98" s="1" t="s">
        <v>1845</v>
      </c>
      <c r="E98" s="4">
        <v>7648</v>
      </c>
      <c r="F98" s="1" t="str">
        <f>VLOOKUP(D98,Table12[[Name]:[Native]],3,FALSE)</f>
        <v>嵊州市</v>
      </c>
      <c r="G98" s="14" t="str">
        <f ca="1">VLOOKUP(F98,Table12[[Native]:[Population4]],5,FALSE)</f>
        <v>绍兴市</v>
      </c>
    </row>
    <row r="99" spans="1:7" ht="15.75" thickBot="1" x14ac:dyDescent="0.3">
      <c r="A99" t="s">
        <v>2016</v>
      </c>
      <c r="B99" s="1" t="s">
        <v>2017</v>
      </c>
      <c r="C99" s="1" t="s">
        <v>11</v>
      </c>
      <c r="D99" s="1" t="s">
        <v>1837</v>
      </c>
      <c r="E99" s="4">
        <v>27317</v>
      </c>
      <c r="F99" s="1" t="str">
        <f>VLOOKUP(D99,Table12[[Name]:[Native]],3,FALSE)</f>
        <v>上虞区</v>
      </c>
      <c r="G99" s="14" t="str">
        <f ca="1">VLOOKUP(F99,Table12[[Native]:[Population4]],5,FALSE)</f>
        <v>绍兴市</v>
      </c>
    </row>
    <row r="100" spans="1:7" ht="15.75" thickBot="1" x14ac:dyDescent="0.3">
      <c r="A100" t="s">
        <v>2018</v>
      </c>
      <c r="B100" s="1" t="s">
        <v>2019</v>
      </c>
      <c r="C100" s="1" t="s">
        <v>7</v>
      </c>
      <c r="D100" s="1" t="s">
        <v>1851</v>
      </c>
      <c r="E100" s="4">
        <v>8743</v>
      </c>
      <c r="F100" s="1" t="str">
        <f>VLOOKUP(D100,Table12[[Name]:[Native]],3,FALSE)</f>
        <v>新昌县</v>
      </c>
      <c r="G100" s="14" t="str">
        <f ca="1">VLOOKUP(F100,Table12[[Native]:[Population4]],5,FALSE)</f>
        <v>绍兴市</v>
      </c>
    </row>
    <row r="101" spans="1:7" ht="15.75" thickBot="1" x14ac:dyDescent="0.3">
      <c r="A101" t="s">
        <v>2020</v>
      </c>
      <c r="B101" s="1" t="s">
        <v>2021</v>
      </c>
      <c r="C101" s="1" t="s">
        <v>15</v>
      </c>
      <c r="D101" s="1" t="s">
        <v>1831</v>
      </c>
      <c r="E101" s="4">
        <v>67406</v>
      </c>
      <c r="F101" s="1" t="str">
        <f>VLOOKUP(D101,Table12[[Name]:[Native]],3,FALSE)</f>
        <v>柯桥区</v>
      </c>
      <c r="G101" s="14" t="str">
        <f ca="1">VLOOKUP(F101,Table12[[Native]:[Population4]],5,FALSE)</f>
        <v>绍兴市</v>
      </c>
    </row>
    <row r="102" spans="1:7" ht="15.75" thickBot="1" x14ac:dyDescent="0.3">
      <c r="A102" t="s">
        <v>2022</v>
      </c>
      <c r="B102" s="1" t="s">
        <v>2023</v>
      </c>
      <c r="C102" s="1" t="s">
        <v>15</v>
      </c>
      <c r="D102" s="1" t="s">
        <v>1845</v>
      </c>
      <c r="E102" s="4">
        <v>84778</v>
      </c>
      <c r="F102" s="1" t="str">
        <f>VLOOKUP(D102,Table12[[Name]:[Native]],3,FALSE)</f>
        <v>嵊州市</v>
      </c>
      <c r="G102" s="14" t="str">
        <f ca="1">VLOOKUP(F102,Table12[[Native]:[Population4]],5,FALSE)</f>
        <v>绍兴市</v>
      </c>
    </row>
    <row r="103" spans="1:7" ht="15.75" thickBot="1" x14ac:dyDescent="0.3">
      <c r="A103" t="s">
        <v>2024</v>
      </c>
      <c r="B103" s="1" t="s">
        <v>2025</v>
      </c>
      <c r="C103" s="1" t="s">
        <v>11</v>
      </c>
      <c r="D103" s="1" t="s">
        <v>1834</v>
      </c>
      <c r="E103" s="4">
        <v>47279</v>
      </c>
      <c r="F103" s="1" t="str">
        <f>VLOOKUP(D103,Table12[[Name]:[Native]],3,FALSE)</f>
        <v>诸暨市</v>
      </c>
      <c r="G103" s="14" t="str">
        <f ca="1">VLOOKUP(F103,Table12[[Native]:[Population4]],5,FALSE)</f>
        <v>绍兴市</v>
      </c>
    </row>
    <row r="104" spans="1:7" ht="15.75" thickBot="1" x14ac:dyDescent="0.3">
      <c r="A104" t="s">
        <v>2026</v>
      </c>
      <c r="B104" s="1" t="s">
        <v>2027</v>
      </c>
      <c r="C104" s="1" t="s">
        <v>11</v>
      </c>
      <c r="D104" s="1" t="s">
        <v>1834</v>
      </c>
      <c r="E104" s="4">
        <v>41209</v>
      </c>
      <c r="F104" s="1" t="str">
        <f>VLOOKUP(D104,Table12[[Name]:[Native]],3,FALSE)</f>
        <v>诸暨市</v>
      </c>
      <c r="G104" s="14" t="str">
        <f ca="1">VLOOKUP(F104,Table12[[Native]:[Population4]],5,FALSE)</f>
        <v>绍兴市</v>
      </c>
    </row>
    <row r="105" spans="1:7" ht="15.75" thickBot="1" x14ac:dyDescent="0.3">
      <c r="A105" t="s">
        <v>963</v>
      </c>
      <c r="B105" s="1" t="s">
        <v>2028</v>
      </c>
      <c r="C105" s="1" t="s">
        <v>11</v>
      </c>
      <c r="D105" s="1" t="s">
        <v>1837</v>
      </c>
      <c r="E105" s="4">
        <v>21507</v>
      </c>
      <c r="F105" s="1" t="str">
        <f>VLOOKUP(D105,Table12[[Name]:[Native]],3,FALSE)</f>
        <v>上虞区</v>
      </c>
      <c r="G105" s="14" t="str">
        <f ca="1">VLOOKUP(F105,Table12[[Native]:[Population4]],5,FALSE)</f>
        <v>绍兴市</v>
      </c>
    </row>
    <row r="106" spans="1:7" ht="15.75" thickBot="1" x14ac:dyDescent="0.3">
      <c r="A106" t="s">
        <v>2029</v>
      </c>
      <c r="B106" s="1" t="s">
        <v>2030</v>
      </c>
      <c r="C106" s="1" t="s">
        <v>11</v>
      </c>
      <c r="D106" s="1" t="s">
        <v>1837</v>
      </c>
      <c r="E106" s="4">
        <v>14091</v>
      </c>
      <c r="F106" s="1" t="str">
        <f>VLOOKUP(D106,Table12[[Name]:[Native]],3,FALSE)</f>
        <v>上虞区</v>
      </c>
      <c r="G106" s="14" t="str">
        <f ca="1">VLOOKUP(F106,Table12[[Native]:[Population4]],5,FALSE)</f>
        <v>绍兴市</v>
      </c>
    </row>
    <row r="107" spans="1:7" ht="15.75" thickBot="1" x14ac:dyDescent="0.3">
      <c r="A107" t="s">
        <v>2031</v>
      </c>
      <c r="B107" s="1" t="s">
        <v>2032</v>
      </c>
      <c r="C107" s="1" t="s">
        <v>15</v>
      </c>
      <c r="D107" s="1" t="s">
        <v>1851</v>
      </c>
      <c r="E107" s="4">
        <v>41698</v>
      </c>
      <c r="F107" s="1" t="str">
        <f>VLOOKUP(D107,Table12[[Name]:[Native]],3,FALSE)</f>
        <v>新昌县</v>
      </c>
      <c r="G107" s="14" t="str">
        <f ca="1">VLOOKUP(F107,Table12[[Native]:[Population4]],5,FALSE)</f>
        <v>绍兴市</v>
      </c>
    </row>
    <row r="108" spans="1:7" ht="15.75" thickBot="1" x14ac:dyDescent="0.3">
      <c r="A108" t="s">
        <v>2033</v>
      </c>
      <c r="B108" s="1" t="s">
        <v>2034</v>
      </c>
      <c r="C108" s="1" t="s">
        <v>11</v>
      </c>
      <c r="D108" s="1" t="s">
        <v>1837</v>
      </c>
      <c r="E108" s="4">
        <v>32791</v>
      </c>
      <c r="F108" s="1" t="str">
        <f>VLOOKUP(D108,Table12[[Name]:[Native]],3,FALSE)</f>
        <v>上虞区</v>
      </c>
      <c r="G108" s="14" t="str">
        <f ca="1">VLOOKUP(F108,Table12[[Native]:[Population4]],5,FALSE)</f>
        <v>绍兴市</v>
      </c>
    </row>
    <row r="109" spans="1:7" ht="15.75" thickBot="1" x14ac:dyDescent="0.3">
      <c r="A109" t="s">
        <v>2035</v>
      </c>
      <c r="B109" s="1" t="s">
        <v>2036</v>
      </c>
      <c r="C109" s="1" t="s">
        <v>11</v>
      </c>
      <c r="D109" s="1" t="s">
        <v>1834</v>
      </c>
      <c r="E109" s="4">
        <v>26670</v>
      </c>
      <c r="F109" s="10" t="str">
        <f>VLOOKUP(D109,Table12[[Name]:[Native]],3,FALSE)</f>
        <v>诸暨市</v>
      </c>
      <c r="G109" s="14" t="str">
        <f ca="1">VLOOKUP(F109,Table12[[Native]:[Population4]],5,FALSE)</f>
        <v>绍兴市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7C17C-55C7-4983-90DF-38DFDF474288}">
  <dimension ref="A1:G130"/>
  <sheetViews>
    <sheetView topLeftCell="A105" workbookViewId="0">
      <selection activeCell="G2" sqref="A2:G130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3023</v>
      </c>
      <c r="G1" t="s">
        <v>3025</v>
      </c>
    </row>
    <row r="2" spans="1:7" ht="15.75" thickBot="1" x14ac:dyDescent="0.3">
      <c r="A2" t="s">
        <v>2037</v>
      </c>
      <c r="B2" s="1" t="s">
        <v>2038</v>
      </c>
      <c r="C2" s="1" t="s">
        <v>7</v>
      </c>
      <c r="D2" s="1" t="s">
        <v>2039</v>
      </c>
      <c r="E2" s="4">
        <v>4829</v>
      </c>
      <c r="F2" s="9" t="str">
        <f>VLOOKUP(D2,Table12[[Name]:[Native]],3,FALSE)</f>
        <v>仙居县</v>
      </c>
      <c r="G2" s="14" t="str">
        <f ca="1">VLOOKUP(F2,Table12[[Native]:[Population4]],5,FALSE)</f>
        <v>台州市</v>
      </c>
    </row>
    <row r="3" spans="1:7" ht="15.75" thickBot="1" x14ac:dyDescent="0.3">
      <c r="A3" t="s">
        <v>2040</v>
      </c>
      <c r="B3" s="1" t="s">
        <v>2041</v>
      </c>
      <c r="C3" s="1" t="s">
        <v>15</v>
      </c>
      <c r="D3" s="1" t="s">
        <v>2039</v>
      </c>
      <c r="E3" s="4">
        <v>39055</v>
      </c>
      <c r="F3" s="1" t="str">
        <f>VLOOKUP(D3,Table12[[Name]:[Native]],3,FALSE)</f>
        <v>仙居县</v>
      </c>
      <c r="G3" s="14" t="str">
        <f ca="1">VLOOKUP(F3,Table12[[Native]:[Population4]],5,FALSE)</f>
        <v>台州市</v>
      </c>
    </row>
    <row r="4" spans="1:7" ht="15.75" thickBot="1" x14ac:dyDescent="0.3">
      <c r="A4" t="s">
        <v>2042</v>
      </c>
      <c r="B4" s="1" t="s">
        <v>2043</v>
      </c>
      <c r="C4" s="1" t="s">
        <v>11</v>
      </c>
      <c r="D4" s="1" t="s">
        <v>2044</v>
      </c>
      <c r="E4" s="4">
        <v>37348</v>
      </c>
      <c r="F4" s="1" t="str">
        <f>VLOOKUP(D4,Table12[[Name]:[Native]],3,FALSE)</f>
        <v>天台县</v>
      </c>
      <c r="G4" s="14" t="str">
        <f ca="1">VLOOKUP(F4,Table12[[Native]:[Population4]],5,FALSE)</f>
        <v>台州市</v>
      </c>
    </row>
    <row r="5" spans="1:7" ht="15.75" thickBot="1" x14ac:dyDescent="0.3">
      <c r="A5" t="s">
        <v>2045</v>
      </c>
      <c r="B5" s="1" t="s">
        <v>2046</v>
      </c>
      <c r="C5" s="1" t="s">
        <v>11</v>
      </c>
      <c r="D5" s="1" t="s">
        <v>2047</v>
      </c>
      <c r="E5" s="4">
        <v>57955</v>
      </c>
      <c r="F5" s="1" t="str">
        <f>VLOOKUP(D5,Table12[[Name]:[Native]],3,FALSE)</f>
        <v>临海市</v>
      </c>
      <c r="G5" s="14" t="str">
        <f ca="1">VLOOKUP(F5,Table12[[Native]:[Population4]],5,FALSE)</f>
        <v>台州市</v>
      </c>
    </row>
    <row r="6" spans="1:7" ht="15.75" thickBot="1" x14ac:dyDescent="0.3">
      <c r="A6" t="s">
        <v>2048</v>
      </c>
      <c r="B6" s="1" t="s">
        <v>2049</v>
      </c>
      <c r="C6" s="1" t="s">
        <v>11</v>
      </c>
      <c r="D6" s="1" t="s">
        <v>2039</v>
      </c>
      <c r="E6" s="4">
        <v>23879</v>
      </c>
      <c r="F6" s="1" t="str">
        <f>VLOOKUP(D6,Table12[[Name]:[Native]],3,FALSE)</f>
        <v>仙居县</v>
      </c>
      <c r="G6" s="14" t="str">
        <f ca="1">VLOOKUP(F6,Table12[[Native]:[Population4]],5,FALSE)</f>
        <v>台州市</v>
      </c>
    </row>
    <row r="7" spans="1:7" ht="15.75" thickBot="1" x14ac:dyDescent="0.3">
      <c r="A7" t="s">
        <v>719</v>
      </c>
      <c r="B7" s="1" t="s">
        <v>720</v>
      </c>
      <c r="C7" s="1" t="s">
        <v>15</v>
      </c>
      <c r="D7" s="1" t="s">
        <v>2050</v>
      </c>
      <c r="E7" s="4">
        <v>115058</v>
      </c>
      <c r="F7" s="1" t="str">
        <f>VLOOKUP(D7,Table12[[Name]:[Native]],3,FALSE)</f>
        <v>椒江区</v>
      </c>
      <c r="G7" s="14" t="str">
        <f ca="1">VLOOKUP(F7,Table12[[Native]:[Population4]],5,FALSE)</f>
        <v>台州市</v>
      </c>
    </row>
    <row r="8" spans="1:7" ht="15.75" thickBot="1" x14ac:dyDescent="0.3">
      <c r="A8" t="s">
        <v>2051</v>
      </c>
      <c r="B8" s="1" t="s">
        <v>2052</v>
      </c>
      <c r="C8" s="1" t="s">
        <v>15</v>
      </c>
      <c r="D8" s="1" t="s">
        <v>2053</v>
      </c>
      <c r="E8" s="4">
        <v>54189</v>
      </c>
      <c r="F8" s="1" t="str">
        <f>VLOOKUP(D8,Table12[[Name]:[Native]],3,FALSE)</f>
        <v>黄岩区</v>
      </c>
      <c r="G8" s="14" t="str">
        <f ca="1">VLOOKUP(F8,Table12[[Native]:[Population4]],5,FALSE)</f>
        <v>台州市</v>
      </c>
    </row>
    <row r="9" spans="1:7" ht="15.75" thickBot="1" x14ac:dyDescent="0.3">
      <c r="A9" t="s">
        <v>2054</v>
      </c>
      <c r="B9" s="1" t="s">
        <v>2055</v>
      </c>
      <c r="C9" s="1" t="s">
        <v>11</v>
      </c>
      <c r="D9" s="1" t="s">
        <v>2053</v>
      </c>
      <c r="E9" s="4">
        <v>22244</v>
      </c>
      <c r="F9" s="1" t="str">
        <f>VLOOKUP(D9,Table12[[Name]:[Native]],3,FALSE)</f>
        <v>黄岩区</v>
      </c>
      <c r="G9" s="14" t="str">
        <f ca="1">VLOOKUP(F9,Table12[[Native]:[Population4]],5,FALSE)</f>
        <v>台州市</v>
      </c>
    </row>
    <row r="10" spans="1:7" ht="15.75" thickBot="1" x14ac:dyDescent="0.3">
      <c r="A10" t="s">
        <v>2056</v>
      </c>
      <c r="B10" s="1" t="s">
        <v>2057</v>
      </c>
      <c r="C10" s="1" t="s">
        <v>11</v>
      </c>
      <c r="D10" s="1" t="s">
        <v>2058</v>
      </c>
      <c r="E10" s="4">
        <v>61174</v>
      </c>
      <c r="F10" s="1" t="str">
        <f>VLOOKUP(D10,Table12[[Name]:[Native]],3,FALSE)</f>
        <v>温岭市</v>
      </c>
      <c r="G10" s="14" t="str">
        <f ca="1">VLOOKUP(F10,Table12[[Native]:[Population4]],5,FALSE)</f>
        <v>台州市</v>
      </c>
    </row>
    <row r="11" spans="1:7" ht="15.75" thickBot="1" x14ac:dyDescent="0.3">
      <c r="A11" t="s">
        <v>2059</v>
      </c>
      <c r="B11" s="1" t="s">
        <v>2060</v>
      </c>
      <c r="C11" s="1" t="s">
        <v>7</v>
      </c>
      <c r="D11" s="1" t="s">
        <v>2039</v>
      </c>
      <c r="E11" s="4">
        <v>6559</v>
      </c>
      <c r="F11" s="1" t="str">
        <f>VLOOKUP(D11,Table12[[Name]:[Native]],3,FALSE)</f>
        <v>仙居县</v>
      </c>
      <c r="G11" s="14" t="str">
        <f ca="1">VLOOKUP(F11,Table12[[Native]:[Population4]],5,FALSE)</f>
        <v>台州市</v>
      </c>
    </row>
    <row r="12" spans="1:7" ht="15.75" thickBot="1" x14ac:dyDescent="0.3">
      <c r="A12" t="s">
        <v>2061</v>
      </c>
      <c r="B12" s="1" t="s">
        <v>2062</v>
      </c>
      <c r="C12" s="1" t="s">
        <v>11</v>
      </c>
      <c r="D12" s="1" t="s">
        <v>2039</v>
      </c>
      <c r="E12" s="4">
        <v>10610</v>
      </c>
      <c r="F12" s="1" t="str">
        <f>VLOOKUP(D12,Table12[[Name]:[Native]],3,FALSE)</f>
        <v>仙居县</v>
      </c>
      <c r="G12" s="14" t="str">
        <f ca="1">VLOOKUP(F12,Table12[[Native]:[Population4]],5,FALSE)</f>
        <v>台州市</v>
      </c>
    </row>
    <row r="13" spans="1:7" ht="15.75" thickBot="1" x14ac:dyDescent="0.3">
      <c r="A13" t="s">
        <v>730</v>
      </c>
      <c r="B13" s="1" t="s">
        <v>731</v>
      </c>
      <c r="C13" s="1" t="s">
        <v>15</v>
      </c>
      <c r="D13" s="1" t="s">
        <v>2058</v>
      </c>
      <c r="E13" s="4">
        <v>57775</v>
      </c>
      <c r="F13" s="1" t="str">
        <f>VLOOKUP(D13,Table12[[Name]:[Native]],3,FALSE)</f>
        <v>温岭市</v>
      </c>
      <c r="G13" s="14" t="str">
        <f ca="1">VLOOKUP(F13,Table12[[Native]:[Population4]],5,FALSE)</f>
        <v>台州市</v>
      </c>
    </row>
    <row r="14" spans="1:7" ht="15.75" thickBot="1" x14ac:dyDescent="0.3">
      <c r="A14" t="s">
        <v>732</v>
      </c>
      <c r="B14" s="1" t="s">
        <v>733</v>
      </c>
      <c r="C14" s="1" t="s">
        <v>15</v>
      </c>
      <c r="D14" s="1" t="s">
        <v>2058</v>
      </c>
      <c r="E14" s="4">
        <v>73673</v>
      </c>
      <c r="F14" s="1" t="str">
        <f>VLOOKUP(D14,Table12[[Name]:[Native]],3,FALSE)</f>
        <v>温岭市</v>
      </c>
      <c r="G14" s="14" t="str">
        <f ca="1">VLOOKUP(F14,Table12[[Native]:[Population4]],5,FALSE)</f>
        <v>台州市</v>
      </c>
    </row>
    <row r="15" spans="1:7" ht="15.75" thickBot="1" x14ac:dyDescent="0.3">
      <c r="A15" t="s">
        <v>2063</v>
      </c>
      <c r="B15" s="1" t="s">
        <v>2064</v>
      </c>
      <c r="C15" s="1" t="s">
        <v>15</v>
      </c>
      <c r="D15" s="1" t="s">
        <v>2053</v>
      </c>
      <c r="E15" s="4">
        <v>34512</v>
      </c>
      <c r="F15" s="1" t="str">
        <f>VLOOKUP(D15,Table12[[Name]:[Native]],3,FALSE)</f>
        <v>黄岩区</v>
      </c>
      <c r="G15" s="14" t="str">
        <f ca="1">VLOOKUP(F15,Table12[[Native]:[Population4]],5,FALSE)</f>
        <v>台州市</v>
      </c>
    </row>
    <row r="16" spans="1:7" ht="15.75" thickBot="1" x14ac:dyDescent="0.3">
      <c r="A16" t="s">
        <v>2065</v>
      </c>
      <c r="B16" s="1" t="s">
        <v>2066</v>
      </c>
      <c r="C16" s="1" t="s">
        <v>11</v>
      </c>
      <c r="D16" s="1" t="s">
        <v>2058</v>
      </c>
      <c r="E16" s="4">
        <v>61523</v>
      </c>
      <c r="F16" s="1" t="str">
        <f>VLOOKUP(D16,Table12[[Name]:[Native]],3,FALSE)</f>
        <v>温岭市</v>
      </c>
      <c r="G16" s="14" t="str">
        <f ca="1">VLOOKUP(F16,Table12[[Native]:[Population4]],5,FALSE)</f>
        <v>台州市</v>
      </c>
    </row>
    <row r="17" spans="1:7" ht="15.75" thickBot="1" x14ac:dyDescent="0.3">
      <c r="A17" t="s">
        <v>734</v>
      </c>
      <c r="B17" s="1" t="s">
        <v>735</v>
      </c>
      <c r="C17" s="1" t="s">
        <v>15</v>
      </c>
      <c r="D17" s="1" t="s">
        <v>2058</v>
      </c>
      <c r="E17" s="4">
        <v>37178</v>
      </c>
      <c r="F17" s="1" t="str">
        <f>VLOOKUP(D17,Table12[[Name]:[Native]],3,FALSE)</f>
        <v>温岭市</v>
      </c>
      <c r="G17" s="14" t="str">
        <f ca="1">VLOOKUP(F17,Table12[[Native]:[Population4]],5,FALSE)</f>
        <v>台州市</v>
      </c>
    </row>
    <row r="18" spans="1:7" ht="15.75" thickBot="1" x14ac:dyDescent="0.3">
      <c r="A18" t="s">
        <v>2067</v>
      </c>
      <c r="B18" s="1" t="s">
        <v>2068</v>
      </c>
      <c r="C18" s="1" t="s">
        <v>15</v>
      </c>
      <c r="D18" s="1" t="s">
        <v>2044</v>
      </c>
      <c r="E18" s="4">
        <v>93268</v>
      </c>
      <c r="F18" s="1" t="str">
        <f>VLOOKUP(D18,Table12[[Name]:[Native]],3,FALSE)</f>
        <v>天台县</v>
      </c>
      <c r="G18" s="14" t="str">
        <f ca="1">VLOOKUP(F18,Table12[[Native]:[Population4]],5,FALSE)</f>
        <v>台州市</v>
      </c>
    </row>
    <row r="19" spans="1:7" ht="15.75" thickBot="1" x14ac:dyDescent="0.3">
      <c r="A19" t="s">
        <v>2069</v>
      </c>
      <c r="B19" s="1" t="s">
        <v>2070</v>
      </c>
      <c r="C19" s="1" t="s">
        <v>11</v>
      </c>
      <c r="D19" s="1" t="s">
        <v>2071</v>
      </c>
      <c r="E19" s="4">
        <v>85047</v>
      </c>
      <c r="F19" s="1" t="str">
        <f>VLOOKUP(D19,Table12[[Name]:[Native]],3,FALSE)</f>
        <v>玉环市</v>
      </c>
      <c r="G19" s="14" t="str">
        <f ca="1">VLOOKUP(F19,Table12[[Native]:[Population4]],5,FALSE)</f>
        <v>台州市</v>
      </c>
    </row>
    <row r="20" spans="1:7" ht="15.75" thickBot="1" x14ac:dyDescent="0.3">
      <c r="A20" t="s">
        <v>748</v>
      </c>
      <c r="B20" s="1" t="s">
        <v>749</v>
      </c>
      <c r="C20" s="1" t="s">
        <v>11</v>
      </c>
      <c r="D20" s="1" t="s">
        <v>2050</v>
      </c>
      <c r="E20" s="4">
        <v>2227</v>
      </c>
      <c r="F20" s="1" t="str">
        <f>VLOOKUP(D20,Table12[[Name]:[Native]],3,FALSE)</f>
        <v>椒江区</v>
      </c>
      <c r="G20" s="14" t="str">
        <f ca="1">VLOOKUP(F20,Table12[[Native]:[Population4]],5,FALSE)</f>
        <v>台州市</v>
      </c>
    </row>
    <row r="21" spans="1:7" ht="15.75" thickBot="1" x14ac:dyDescent="0.3">
      <c r="A21" t="s">
        <v>2072</v>
      </c>
      <c r="B21" s="1" t="s">
        <v>2073</v>
      </c>
      <c r="C21" s="1" t="s">
        <v>15</v>
      </c>
      <c r="D21" s="1" t="s">
        <v>2071</v>
      </c>
      <c r="E21" s="4">
        <v>83759</v>
      </c>
      <c r="F21" s="1" t="str">
        <f>VLOOKUP(D21,Table12[[Name]:[Native]],3,FALSE)</f>
        <v>玉环市</v>
      </c>
      <c r="G21" s="14" t="str">
        <f ca="1">VLOOKUP(F21,Table12[[Native]:[Population4]],5,FALSE)</f>
        <v>台州市</v>
      </c>
    </row>
    <row r="22" spans="1:7" ht="15.75" thickBot="1" x14ac:dyDescent="0.3">
      <c r="A22" t="s">
        <v>2074</v>
      </c>
      <c r="B22" s="1" t="s">
        <v>2075</v>
      </c>
      <c r="C22" s="1" t="s">
        <v>7</v>
      </c>
      <c r="D22" s="1" t="s">
        <v>2039</v>
      </c>
      <c r="E22" s="4">
        <v>3878</v>
      </c>
      <c r="F22" s="1" t="str">
        <f>VLOOKUP(D22,Table12[[Name]:[Native]],3,FALSE)</f>
        <v>仙居县</v>
      </c>
      <c r="G22" s="14" t="str">
        <f ca="1">VLOOKUP(F22,Table12[[Native]:[Population4]],5,FALSE)</f>
        <v>台州市</v>
      </c>
    </row>
    <row r="23" spans="1:7" ht="15.75" thickBot="1" x14ac:dyDescent="0.3">
      <c r="A23" t="s">
        <v>2076</v>
      </c>
      <c r="B23" s="1" t="s">
        <v>2077</v>
      </c>
      <c r="C23" s="1" t="s">
        <v>15</v>
      </c>
      <c r="D23" s="1" t="s">
        <v>2047</v>
      </c>
      <c r="E23" s="4">
        <v>45505</v>
      </c>
      <c r="F23" s="1" t="str">
        <f>VLOOKUP(D23,Table12[[Name]:[Native]],3,FALSE)</f>
        <v>临海市</v>
      </c>
      <c r="G23" s="14" t="str">
        <f ca="1">VLOOKUP(F23,Table12[[Native]:[Population4]],5,FALSE)</f>
        <v>台州市</v>
      </c>
    </row>
    <row r="24" spans="1:7" ht="15.75" thickBot="1" x14ac:dyDescent="0.3">
      <c r="A24" t="s">
        <v>2078</v>
      </c>
      <c r="B24" s="1" t="s">
        <v>2079</v>
      </c>
      <c r="C24" s="1" t="s">
        <v>11</v>
      </c>
      <c r="D24" s="1" t="s">
        <v>2058</v>
      </c>
      <c r="E24" s="4">
        <v>163986</v>
      </c>
      <c r="F24" s="1" t="str">
        <f>VLOOKUP(D24,Table12[[Name]:[Native]],3,FALSE)</f>
        <v>温岭市</v>
      </c>
      <c r="G24" s="14" t="str">
        <f ca="1">VLOOKUP(F24,Table12[[Native]:[Population4]],5,FALSE)</f>
        <v>台州市</v>
      </c>
    </row>
    <row r="25" spans="1:7" ht="15.75" thickBot="1" x14ac:dyDescent="0.3">
      <c r="A25" t="s">
        <v>2080</v>
      </c>
      <c r="B25" s="1" t="s">
        <v>2081</v>
      </c>
      <c r="C25" s="1" t="s">
        <v>15</v>
      </c>
      <c r="D25" s="1" t="s">
        <v>2047</v>
      </c>
      <c r="E25" s="4">
        <v>97138</v>
      </c>
      <c r="F25" s="1" t="str">
        <f>VLOOKUP(D25,Table12[[Name]:[Native]],3,FALSE)</f>
        <v>临海市</v>
      </c>
      <c r="G25" s="14" t="str">
        <f ca="1">VLOOKUP(F25,Table12[[Native]:[Population4]],5,FALSE)</f>
        <v>台州市</v>
      </c>
    </row>
    <row r="26" spans="1:7" ht="15.75" thickBot="1" x14ac:dyDescent="0.3">
      <c r="A26" t="s">
        <v>2082</v>
      </c>
      <c r="B26" s="1" t="s">
        <v>2083</v>
      </c>
      <c r="C26" s="1" t="s">
        <v>7</v>
      </c>
      <c r="D26" s="1" t="s">
        <v>2039</v>
      </c>
      <c r="E26" s="4">
        <v>8021</v>
      </c>
      <c r="F26" s="1" t="str">
        <f>VLOOKUP(D26,Table12[[Name]:[Native]],3,FALSE)</f>
        <v>仙居县</v>
      </c>
      <c r="G26" s="14" t="str">
        <f ca="1">VLOOKUP(F26,Table12[[Native]:[Population4]],5,FALSE)</f>
        <v>台州市</v>
      </c>
    </row>
    <row r="27" spans="1:7" ht="15.75" thickBot="1" x14ac:dyDescent="0.3">
      <c r="A27" t="s">
        <v>758</v>
      </c>
      <c r="B27" s="1" t="s">
        <v>759</v>
      </c>
      <c r="C27" s="1" t="s">
        <v>15</v>
      </c>
      <c r="D27" s="1" t="s">
        <v>2053</v>
      </c>
      <c r="E27" s="4">
        <v>97561</v>
      </c>
      <c r="F27" s="1" t="str">
        <f>VLOOKUP(D27,Table12[[Name]:[Native]],3,FALSE)</f>
        <v>黄岩区</v>
      </c>
      <c r="G27" s="14" t="str">
        <f ca="1">VLOOKUP(F27,Table12[[Native]:[Population4]],5,FALSE)</f>
        <v>台州市</v>
      </c>
    </row>
    <row r="28" spans="1:7" ht="15.75" thickBot="1" x14ac:dyDescent="0.3">
      <c r="A28" t="s">
        <v>2084</v>
      </c>
      <c r="B28" s="1" t="s">
        <v>2085</v>
      </c>
      <c r="C28" s="1" t="s">
        <v>11</v>
      </c>
      <c r="D28" s="1" t="s">
        <v>2047</v>
      </c>
      <c r="E28" s="4">
        <v>51297</v>
      </c>
      <c r="F28" s="1" t="str">
        <f>VLOOKUP(D28,Table12[[Name]:[Native]],3,FALSE)</f>
        <v>临海市</v>
      </c>
      <c r="G28" s="14" t="str">
        <f ca="1">VLOOKUP(F28,Table12[[Native]:[Population4]],5,FALSE)</f>
        <v>台州市</v>
      </c>
    </row>
    <row r="29" spans="1:7" ht="15.75" thickBot="1" x14ac:dyDescent="0.3">
      <c r="A29" t="s">
        <v>2086</v>
      </c>
      <c r="B29" s="1" t="s">
        <v>2087</v>
      </c>
      <c r="C29" s="1" t="s">
        <v>11</v>
      </c>
      <c r="D29" s="1" t="s">
        <v>2047</v>
      </c>
      <c r="E29" s="4">
        <v>183870</v>
      </c>
      <c r="F29" s="1" t="str">
        <f>VLOOKUP(D29,Table12[[Name]:[Native]],3,FALSE)</f>
        <v>临海市</v>
      </c>
      <c r="G29" s="14" t="str">
        <f ca="1">VLOOKUP(F29,Table12[[Native]:[Population4]],5,FALSE)</f>
        <v>台州市</v>
      </c>
    </row>
    <row r="30" spans="1:7" ht="15.75" thickBot="1" x14ac:dyDescent="0.3">
      <c r="A30" t="s">
        <v>2088</v>
      </c>
      <c r="B30" s="1" t="s">
        <v>2089</v>
      </c>
      <c r="C30" s="1" t="s">
        <v>15</v>
      </c>
      <c r="D30" s="1" t="s">
        <v>2090</v>
      </c>
      <c r="E30" s="4">
        <v>78490</v>
      </c>
      <c r="F30" s="1" t="str">
        <f>VLOOKUP(D30,Table12[[Name]:[Native]],3,FALSE)</f>
        <v>路桥区</v>
      </c>
      <c r="G30" s="14" t="str">
        <f ca="1">VLOOKUP(F30,Table12[[Native]:[Population4]],5,FALSE)</f>
        <v>台州市</v>
      </c>
    </row>
    <row r="31" spans="1:7" ht="15.75" thickBot="1" x14ac:dyDescent="0.3">
      <c r="A31" t="s">
        <v>1082</v>
      </c>
      <c r="B31" s="1" t="s">
        <v>2091</v>
      </c>
      <c r="C31" s="1" t="s">
        <v>7</v>
      </c>
      <c r="D31" s="1" t="s">
        <v>2053</v>
      </c>
      <c r="E31" s="4">
        <v>4305</v>
      </c>
      <c r="F31" s="1" t="str">
        <f>VLOOKUP(D31,Table12[[Name]:[Native]],3,FALSE)</f>
        <v>黄岩区</v>
      </c>
      <c r="G31" s="14" t="str">
        <f ca="1">VLOOKUP(F31,Table12[[Native]:[Population4]],5,FALSE)</f>
        <v>台州市</v>
      </c>
    </row>
    <row r="32" spans="1:7" ht="15.75" thickBot="1" x14ac:dyDescent="0.3">
      <c r="A32" t="s">
        <v>2092</v>
      </c>
      <c r="B32" s="1" t="s">
        <v>2093</v>
      </c>
      <c r="C32" s="1" t="s">
        <v>15</v>
      </c>
      <c r="D32" s="1" t="s">
        <v>2044</v>
      </c>
      <c r="E32" s="4">
        <v>42560</v>
      </c>
      <c r="F32" s="1" t="str">
        <f>VLOOKUP(D32,Table12[[Name]:[Native]],3,FALSE)</f>
        <v>天台县</v>
      </c>
      <c r="G32" s="14" t="str">
        <f ca="1">VLOOKUP(F32,Table12[[Native]:[Population4]],5,FALSE)</f>
        <v>台州市</v>
      </c>
    </row>
    <row r="33" spans="1:7" ht="15.75" thickBot="1" x14ac:dyDescent="0.3">
      <c r="A33" t="s">
        <v>2094</v>
      </c>
      <c r="B33" s="1" t="s">
        <v>2095</v>
      </c>
      <c r="C33" s="1" t="s">
        <v>15</v>
      </c>
      <c r="D33" s="1" t="s">
        <v>2039</v>
      </c>
      <c r="E33" s="4">
        <v>51166</v>
      </c>
      <c r="F33" s="1" t="str">
        <f>VLOOKUP(D33,Table12[[Name]:[Native]],3,FALSE)</f>
        <v>仙居县</v>
      </c>
      <c r="G33" s="14" t="str">
        <f ca="1">VLOOKUP(F33,Table12[[Native]:[Population4]],5,FALSE)</f>
        <v>台州市</v>
      </c>
    </row>
    <row r="34" spans="1:7" ht="15.75" thickBot="1" x14ac:dyDescent="0.3">
      <c r="A34" t="s">
        <v>2096</v>
      </c>
      <c r="B34" s="1" t="s">
        <v>2097</v>
      </c>
      <c r="C34" s="1" t="s">
        <v>11</v>
      </c>
      <c r="D34" s="1" t="s">
        <v>2071</v>
      </c>
      <c r="E34" s="4">
        <v>21809</v>
      </c>
      <c r="F34" s="1" t="str">
        <f>VLOOKUP(D34,Table12[[Name]:[Native]],3,FALSE)</f>
        <v>玉环市</v>
      </c>
      <c r="G34" s="14" t="str">
        <f ca="1">VLOOKUP(F34,Table12[[Native]:[Population4]],5,FALSE)</f>
        <v>台州市</v>
      </c>
    </row>
    <row r="35" spans="1:7" ht="15.75" thickBot="1" x14ac:dyDescent="0.3">
      <c r="A35" t="s">
        <v>590</v>
      </c>
      <c r="B35" s="1" t="s">
        <v>591</v>
      </c>
      <c r="C35" s="1" t="s">
        <v>15</v>
      </c>
      <c r="D35" s="1" t="s">
        <v>2053</v>
      </c>
      <c r="E35" s="4">
        <v>23140</v>
      </c>
      <c r="F35" s="1" t="str">
        <f>VLOOKUP(D35,Table12[[Name]:[Native]],3,FALSE)</f>
        <v>黄岩区</v>
      </c>
      <c r="G35" s="14" t="str">
        <f ca="1">VLOOKUP(F35,Table12[[Native]:[Population4]],5,FALSE)</f>
        <v>台州市</v>
      </c>
    </row>
    <row r="36" spans="1:7" ht="15.75" thickBot="1" x14ac:dyDescent="0.3">
      <c r="A36" t="s">
        <v>2098</v>
      </c>
      <c r="B36" s="1" t="s">
        <v>2099</v>
      </c>
      <c r="C36" s="1" t="s">
        <v>7</v>
      </c>
      <c r="D36" s="1" t="s">
        <v>2039</v>
      </c>
      <c r="E36" s="4">
        <v>3459</v>
      </c>
      <c r="F36" s="1" t="str">
        <f>VLOOKUP(D36,Table12[[Name]:[Native]],3,FALSE)</f>
        <v>仙居县</v>
      </c>
      <c r="G36" s="14" t="str">
        <f ca="1">VLOOKUP(F36,Table12[[Native]:[Population4]],5,FALSE)</f>
        <v>台州市</v>
      </c>
    </row>
    <row r="37" spans="1:7" ht="15.75" thickBot="1" x14ac:dyDescent="0.3">
      <c r="A37" t="s">
        <v>2100</v>
      </c>
      <c r="B37" s="1" t="s">
        <v>2101</v>
      </c>
      <c r="C37" s="1" t="s">
        <v>11</v>
      </c>
      <c r="D37" s="1" t="s">
        <v>2039</v>
      </c>
      <c r="E37" s="4">
        <v>15986</v>
      </c>
      <c r="F37" s="1" t="str">
        <f>VLOOKUP(D37,Table12[[Name]:[Native]],3,FALSE)</f>
        <v>仙居县</v>
      </c>
      <c r="G37" s="14" t="str">
        <f ca="1">VLOOKUP(F37,Table12[[Native]:[Population4]],5,FALSE)</f>
        <v>台州市</v>
      </c>
    </row>
    <row r="38" spans="1:7" ht="15.75" thickBot="1" x14ac:dyDescent="0.3">
      <c r="A38" t="s">
        <v>2102</v>
      </c>
      <c r="B38" s="1" t="s">
        <v>2103</v>
      </c>
      <c r="C38" s="1" t="s">
        <v>15</v>
      </c>
      <c r="D38" s="1" t="s">
        <v>2047</v>
      </c>
      <c r="E38" s="4">
        <v>164758</v>
      </c>
      <c r="F38" s="1" t="str">
        <f>VLOOKUP(D38,Table12[[Name]:[Native]],3,FALSE)</f>
        <v>临海市</v>
      </c>
      <c r="G38" s="14" t="str">
        <f ca="1">VLOOKUP(F38,Table12[[Native]:[Population4]],5,FALSE)</f>
        <v>台州市</v>
      </c>
    </row>
    <row r="39" spans="1:7" ht="15.75" thickBot="1" x14ac:dyDescent="0.3">
      <c r="A39" t="s">
        <v>2104</v>
      </c>
      <c r="B39" s="1" t="s">
        <v>2105</v>
      </c>
      <c r="C39" s="1" t="s">
        <v>15</v>
      </c>
      <c r="D39" s="1" t="s">
        <v>2050</v>
      </c>
      <c r="E39" s="4">
        <v>111268</v>
      </c>
      <c r="F39" s="1" t="str">
        <f>VLOOKUP(D39,Table12[[Name]:[Native]],3,FALSE)</f>
        <v>椒江区</v>
      </c>
      <c r="G39" s="14" t="str">
        <f ca="1">VLOOKUP(F39,Table12[[Native]:[Population4]],5,FALSE)</f>
        <v>台州市</v>
      </c>
    </row>
    <row r="40" spans="1:7" ht="15.75" thickBot="1" x14ac:dyDescent="0.3">
      <c r="A40" t="s">
        <v>2106</v>
      </c>
      <c r="B40" s="1" t="s">
        <v>2107</v>
      </c>
      <c r="C40" s="1" t="s">
        <v>7</v>
      </c>
      <c r="D40" s="1" t="s">
        <v>2071</v>
      </c>
      <c r="E40" s="4">
        <v>3012</v>
      </c>
      <c r="F40" s="1" t="str">
        <f>VLOOKUP(D40,Table12[[Name]:[Native]],3,FALSE)</f>
        <v>玉环市</v>
      </c>
      <c r="G40" s="14" t="str">
        <f ca="1">VLOOKUP(F40,Table12[[Native]:[Population4]],5,FALSE)</f>
        <v>台州市</v>
      </c>
    </row>
    <row r="41" spans="1:7" ht="15.75" thickBot="1" x14ac:dyDescent="0.3">
      <c r="A41" t="s">
        <v>2108</v>
      </c>
      <c r="B41" s="1" t="s">
        <v>2109</v>
      </c>
      <c r="C41" s="1" t="s">
        <v>15</v>
      </c>
      <c r="D41" s="1" t="s">
        <v>2110</v>
      </c>
      <c r="E41" s="4">
        <v>105933</v>
      </c>
      <c r="F41" s="1" t="str">
        <f>VLOOKUP(D41,Table12[[Name]:[Native]],3,FALSE)</f>
        <v>三门县</v>
      </c>
      <c r="G41" s="14" t="str">
        <f ca="1">VLOOKUP(F41,Table12[[Native]:[Population4]],5,FALSE)</f>
        <v>台州市</v>
      </c>
    </row>
    <row r="42" spans="1:7" ht="15.75" thickBot="1" x14ac:dyDescent="0.3">
      <c r="A42" t="s">
        <v>2111</v>
      </c>
      <c r="B42" s="1" t="s">
        <v>2112</v>
      </c>
      <c r="C42" s="1" t="s">
        <v>11</v>
      </c>
      <c r="D42" s="1" t="s">
        <v>2110</v>
      </c>
      <c r="E42" s="4">
        <v>7230</v>
      </c>
      <c r="F42" s="1" t="str">
        <f>VLOOKUP(D42,Table12[[Name]:[Native]],3,FALSE)</f>
        <v>三门县</v>
      </c>
      <c r="G42" s="14" t="str">
        <f ca="1">VLOOKUP(F42,Table12[[Native]:[Population4]],5,FALSE)</f>
        <v>台州市</v>
      </c>
    </row>
    <row r="43" spans="1:7" ht="15.75" thickBot="1" x14ac:dyDescent="0.3">
      <c r="A43" t="s">
        <v>2113</v>
      </c>
      <c r="B43" s="1" t="s">
        <v>2114</v>
      </c>
      <c r="C43" s="1" t="s">
        <v>15</v>
      </c>
      <c r="D43" s="1" t="s">
        <v>2058</v>
      </c>
      <c r="E43" s="4">
        <v>79395</v>
      </c>
      <c r="F43" s="1" t="str">
        <f>VLOOKUP(D43,Table12[[Name]:[Native]],3,FALSE)</f>
        <v>温岭市</v>
      </c>
      <c r="G43" s="14" t="str">
        <f ca="1">VLOOKUP(F43,Table12[[Native]:[Population4]],5,FALSE)</f>
        <v>台州市</v>
      </c>
    </row>
    <row r="44" spans="1:7" ht="15.75" thickBot="1" x14ac:dyDescent="0.3">
      <c r="A44" t="s">
        <v>1439</v>
      </c>
      <c r="B44" s="1" t="s">
        <v>1440</v>
      </c>
      <c r="C44" s="1" t="s">
        <v>11</v>
      </c>
      <c r="D44" s="1" t="s">
        <v>2090</v>
      </c>
      <c r="E44" s="4">
        <v>40797</v>
      </c>
      <c r="F44" s="1" t="str">
        <f>VLOOKUP(D44,Table12[[Name]:[Native]],3,FALSE)</f>
        <v>路桥区</v>
      </c>
      <c r="G44" s="14" t="str">
        <f ca="1">VLOOKUP(F44,Table12[[Native]:[Population4]],5,FALSE)</f>
        <v>台州市</v>
      </c>
    </row>
    <row r="45" spans="1:7" ht="15.75" thickBot="1" x14ac:dyDescent="0.3">
      <c r="A45" t="s">
        <v>783</v>
      </c>
      <c r="B45" s="1" t="s">
        <v>784</v>
      </c>
      <c r="C45" s="1" t="s">
        <v>11</v>
      </c>
      <c r="D45" s="1" t="s">
        <v>2039</v>
      </c>
      <c r="E45" s="4">
        <v>33757</v>
      </c>
      <c r="F45" s="1" t="str">
        <f>VLOOKUP(D45,Table12[[Name]:[Native]],3,FALSE)</f>
        <v>仙居县</v>
      </c>
      <c r="G45" s="14" t="str">
        <f ca="1">VLOOKUP(F45,Table12[[Native]:[Population4]],5,FALSE)</f>
        <v>台州市</v>
      </c>
    </row>
    <row r="46" spans="1:7" ht="15.75" thickBot="1" x14ac:dyDescent="0.3">
      <c r="A46" t="s">
        <v>2115</v>
      </c>
      <c r="B46" s="1" t="s">
        <v>2116</v>
      </c>
      <c r="C46" s="1" t="s">
        <v>11</v>
      </c>
      <c r="D46" s="1" t="s">
        <v>2047</v>
      </c>
      <c r="E46" s="4">
        <v>24905</v>
      </c>
      <c r="F46" s="1" t="str">
        <f>VLOOKUP(D46,Table12[[Name]:[Native]],3,FALSE)</f>
        <v>临海市</v>
      </c>
      <c r="G46" s="14" t="str">
        <f ca="1">VLOOKUP(F46,Table12[[Native]:[Population4]],5,FALSE)</f>
        <v>台州市</v>
      </c>
    </row>
    <row r="47" spans="1:7" ht="15.75" thickBot="1" x14ac:dyDescent="0.3">
      <c r="A47" t="s">
        <v>2117</v>
      </c>
      <c r="B47" s="1" t="s">
        <v>2118</v>
      </c>
      <c r="C47" s="1" t="s">
        <v>11</v>
      </c>
      <c r="D47" s="1" t="s">
        <v>2044</v>
      </c>
      <c r="E47" s="4">
        <v>11955</v>
      </c>
      <c r="F47" s="1" t="str">
        <f>VLOOKUP(D47,Table12[[Name]:[Native]],3,FALSE)</f>
        <v>天台县</v>
      </c>
      <c r="G47" s="14" t="str">
        <f ca="1">VLOOKUP(F47,Table12[[Native]:[Population4]],5,FALSE)</f>
        <v>台州市</v>
      </c>
    </row>
    <row r="48" spans="1:7" ht="15.75" thickBot="1" x14ac:dyDescent="0.3">
      <c r="A48" t="s">
        <v>2119</v>
      </c>
      <c r="B48" s="1" t="s">
        <v>2120</v>
      </c>
      <c r="C48" s="1" t="s">
        <v>15</v>
      </c>
      <c r="D48" s="1" t="s">
        <v>2050</v>
      </c>
      <c r="E48" s="4">
        <v>73481</v>
      </c>
      <c r="F48" s="1" t="str">
        <f>VLOOKUP(D48,Table12[[Name]:[Native]],3,FALSE)</f>
        <v>椒江区</v>
      </c>
      <c r="G48" s="14" t="str">
        <f ca="1">VLOOKUP(F48,Table12[[Native]:[Population4]],5,FALSE)</f>
        <v>台州市</v>
      </c>
    </row>
    <row r="49" spans="1:7" ht="15.75" thickBot="1" x14ac:dyDescent="0.3">
      <c r="A49" t="s">
        <v>2121</v>
      </c>
      <c r="B49" s="1" t="s">
        <v>2122</v>
      </c>
      <c r="C49" s="1" t="s">
        <v>11</v>
      </c>
      <c r="D49" s="1" t="s">
        <v>2110</v>
      </c>
      <c r="E49" s="4">
        <v>15299</v>
      </c>
      <c r="F49" s="1" t="str">
        <f>VLOOKUP(D49,Table12[[Name]:[Native]],3,FALSE)</f>
        <v>三门县</v>
      </c>
      <c r="G49" s="14" t="str">
        <f ca="1">VLOOKUP(F49,Table12[[Native]:[Population4]],5,FALSE)</f>
        <v>台州市</v>
      </c>
    </row>
    <row r="50" spans="1:7" ht="15.75" thickBot="1" x14ac:dyDescent="0.3">
      <c r="A50" t="s">
        <v>2123</v>
      </c>
      <c r="B50" s="1" t="s">
        <v>2124</v>
      </c>
      <c r="C50" s="1" t="s">
        <v>11</v>
      </c>
      <c r="D50" s="1" t="s">
        <v>2047</v>
      </c>
      <c r="E50" s="4">
        <v>9388</v>
      </c>
      <c r="F50" s="1" t="str">
        <f>VLOOKUP(D50,Table12[[Name]:[Native]],3,FALSE)</f>
        <v>临海市</v>
      </c>
      <c r="G50" s="14" t="str">
        <f ca="1">VLOOKUP(F50,Table12[[Native]:[Population4]],5,FALSE)</f>
        <v>台州市</v>
      </c>
    </row>
    <row r="51" spans="1:7" ht="15.75" thickBot="1" x14ac:dyDescent="0.3">
      <c r="A51" t="s">
        <v>1455</v>
      </c>
      <c r="B51" s="1" t="s">
        <v>1456</v>
      </c>
      <c r="C51" s="1" t="s">
        <v>15</v>
      </c>
      <c r="D51" s="1" t="s">
        <v>2053</v>
      </c>
      <c r="E51" s="4">
        <v>40315</v>
      </c>
      <c r="F51" s="1" t="str">
        <f>VLOOKUP(D51,Table12[[Name]:[Native]],3,FALSE)</f>
        <v>黄岩区</v>
      </c>
      <c r="G51" s="14" t="str">
        <f ca="1">VLOOKUP(F51,Table12[[Native]:[Population4]],5,FALSE)</f>
        <v>台州市</v>
      </c>
    </row>
    <row r="52" spans="1:7" ht="15.75" thickBot="1" x14ac:dyDescent="0.3">
      <c r="A52" t="s">
        <v>809</v>
      </c>
      <c r="B52" s="1" t="s">
        <v>810</v>
      </c>
      <c r="C52" s="1" t="s">
        <v>15</v>
      </c>
      <c r="D52" s="1" t="s">
        <v>2047</v>
      </c>
      <c r="E52" s="4">
        <v>31938</v>
      </c>
      <c r="F52" s="1" t="str">
        <f>VLOOKUP(D52,Table12[[Name]:[Native]],3,FALSE)</f>
        <v>临海市</v>
      </c>
      <c r="G52" s="14" t="str">
        <f ca="1">VLOOKUP(F52,Table12[[Native]:[Population4]],5,FALSE)</f>
        <v>台州市</v>
      </c>
    </row>
    <row r="53" spans="1:7" ht="15.75" thickBot="1" x14ac:dyDescent="0.3">
      <c r="A53" t="s">
        <v>2125</v>
      </c>
      <c r="B53" s="1" t="s">
        <v>2126</v>
      </c>
      <c r="C53" s="1" t="s">
        <v>11</v>
      </c>
      <c r="D53" s="1" t="s">
        <v>2110</v>
      </c>
      <c r="E53" s="4">
        <v>49504</v>
      </c>
      <c r="F53" s="1" t="str">
        <f>VLOOKUP(D53,Table12[[Name]:[Native]],3,FALSE)</f>
        <v>三门县</v>
      </c>
      <c r="G53" s="14" t="str">
        <f ca="1">VLOOKUP(F53,Table12[[Native]:[Population4]],5,FALSE)</f>
        <v>台州市</v>
      </c>
    </row>
    <row r="54" spans="1:7" ht="15.75" thickBot="1" x14ac:dyDescent="0.3">
      <c r="A54" t="s">
        <v>2127</v>
      </c>
      <c r="B54" s="1" t="s">
        <v>2128</v>
      </c>
      <c r="C54" s="1" t="s">
        <v>253</v>
      </c>
      <c r="D54" s="1" t="s">
        <v>2050</v>
      </c>
      <c r="E54" s="4">
        <v>3070</v>
      </c>
      <c r="F54" s="1" t="str">
        <f>VLOOKUP(D54,Table12[[Name]:[Native]],3,FALSE)</f>
        <v>椒江区</v>
      </c>
      <c r="G54" s="14" t="str">
        <f ca="1">VLOOKUP(F54,Table12[[Native]:[Population4]],5,FALSE)</f>
        <v>台州市</v>
      </c>
    </row>
    <row r="55" spans="1:7" ht="15.75" thickBot="1" x14ac:dyDescent="0.3">
      <c r="A55" t="s">
        <v>2129</v>
      </c>
      <c r="B55" s="1" t="s">
        <v>2130</v>
      </c>
      <c r="C55" s="1" t="s">
        <v>15</v>
      </c>
      <c r="D55" s="1" t="s">
        <v>2050</v>
      </c>
      <c r="E55" s="4">
        <v>117912</v>
      </c>
      <c r="F55" s="1" t="str">
        <f>VLOOKUP(D55,Table12[[Name]:[Native]],3,FALSE)</f>
        <v>椒江区</v>
      </c>
      <c r="G55" s="14" t="str">
        <f ca="1">VLOOKUP(F55,Table12[[Native]:[Population4]],5,FALSE)</f>
        <v>台州市</v>
      </c>
    </row>
    <row r="56" spans="1:7" ht="15.75" thickBot="1" x14ac:dyDescent="0.3">
      <c r="A56" t="s">
        <v>2131</v>
      </c>
      <c r="B56" s="1" t="s">
        <v>2132</v>
      </c>
      <c r="C56" s="1" t="s">
        <v>11</v>
      </c>
      <c r="D56" s="1" t="s">
        <v>2044</v>
      </c>
      <c r="E56" s="4">
        <v>22039</v>
      </c>
      <c r="F56" s="1" t="str">
        <f>VLOOKUP(D56,Table12[[Name]:[Native]],3,FALSE)</f>
        <v>天台县</v>
      </c>
      <c r="G56" s="14" t="str">
        <f ca="1">VLOOKUP(F56,Table12[[Native]:[Population4]],5,FALSE)</f>
        <v>台州市</v>
      </c>
    </row>
    <row r="57" spans="1:7" ht="15.75" thickBot="1" x14ac:dyDescent="0.3">
      <c r="A57" t="s">
        <v>2133</v>
      </c>
      <c r="B57" s="1" t="s">
        <v>2134</v>
      </c>
      <c r="C57" s="1" t="s">
        <v>11</v>
      </c>
      <c r="D57" s="1" t="s">
        <v>2090</v>
      </c>
      <c r="E57" s="4">
        <v>111481</v>
      </c>
      <c r="F57" s="1" t="str">
        <f>VLOOKUP(D57,Table12[[Name]:[Native]],3,FALSE)</f>
        <v>路桥区</v>
      </c>
      <c r="G57" s="14" t="str">
        <f ca="1">VLOOKUP(F57,Table12[[Native]:[Population4]],5,FALSE)</f>
        <v>台州市</v>
      </c>
    </row>
    <row r="58" spans="1:7" ht="15.75" thickBot="1" x14ac:dyDescent="0.3">
      <c r="A58" t="s">
        <v>2135</v>
      </c>
      <c r="B58" s="1" t="s">
        <v>2136</v>
      </c>
      <c r="C58" s="1" t="s">
        <v>7</v>
      </c>
      <c r="D58" s="1" t="s">
        <v>2071</v>
      </c>
      <c r="E58" s="4">
        <v>3384</v>
      </c>
      <c r="F58" s="1" t="str">
        <f>VLOOKUP(D58,Table12[[Name]:[Native]],3,FALSE)</f>
        <v>玉环市</v>
      </c>
      <c r="G58" s="14" t="str">
        <f ca="1">VLOOKUP(F58,Table12[[Native]:[Population4]],5,FALSE)</f>
        <v>台州市</v>
      </c>
    </row>
    <row r="59" spans="1:7" ht="15.75" thickBot="1" x14ac:dyDescent="0.3">
      <c r="A59" t="s">
        <v>2137</v>
      </c>
      <c r="B59" s="1" t="s">
        <v>2138</v>
      </c>
      <c r="C59" s="1" t="s">
        <v>15</v>
      </c>
      <c r="D59" s="1" t="s">
        <v>2071</v>
      </c>
      <c r="E59" s="4">
        <v>88915</v>
      </c>
      <c r="F59" s="1" t="str">
        <f>VLOOKUP(D59,Table12[[Name]:[Native]],3,FALSE)</f>
        <v>玉环市</v>
      </c>
      <c r="G59" s="14" t="str">
        <f ca="1">VLOOKUP(F59,Table12[[Native]:[Population4]],5,FALSE)</f>
        <v>台州市</v>
      </c>
    </row>
    <row r="60" spans="1:7" ht="15.75" thickBot="1" x14ac:dyDescent="0.3">
      <c r="A60" t="s">
        <v>2139</v>
      </c>
      <c r="B60" s="1" t="s">
        <v>2140</v>
      </c>
      <c r="C60" s="1" t="s">
        <v>11</v>
      </c>
      <c r="D60" s="1" t="s">
        <v>2047</v>
      </c>
      <c r="E60" s="4">
        <v>29509</v>
      </c>
      <c r="F60" s="1" t="str">
        <f>VLOOKUP(D60,Table12[[Name]:[Native]],3,FALSE)</f>
        <v>临海市</v>
      </c>
      <c r="G60" s="14" t="str">
        <f ca="1">VLOOKUP(F60,Table12[[Native]:[Population4]],5,FALSE)</f>
        <v>台州市</v>
      </c>
    </row>
    <row r="61" spans="1:7" ht="15.75" thickBot="1" x14ac:dyDescent="0.3">
      <c r="A61" t="s">
        <v>2141</v>
      </c>
      <c r="B61" s="1" t="s">
        <v>2142</v>
      </c>
      <c r="C61" s="1" t="s">
        <v>7</v>
      </c>
      <c r="D61" s="1" t="s">
        <v>2044</v>
      </c>
      <c r="E61" s="4">
        <v>5619</v>
      </c>
      <c r="F61" s="1" t="str">
        <f>VLOOKUP(D61,Table12[[Name]:[Native]],3,FALSE)</f>
        <v>天台县</v>
      </c>
      <c r="G61" s="14" t="str">
        <f ca="1">VLOOKUP(F61,Table12[[Native]:[Population4]],5,FALSE)</f>
        <v>台州市</v>
      </c>
    </row>
    <row r="62" spans="1:7" ht="15.75" thickBot="1" x14ac:dyDescent="0.3">
      <c r="A62" t="s">
        <v>1163</v>
      </c>
      <c r="B62" s="1" t="s">
        <v>1164</v>
      </c>
      <c r="C62" s="1" t="s">
        <v>7</v>
      </c>
      <c r="D62" s="1" t="s">
        <v>2044</v>
      </c>
      <c r="E62" s="4">
        <v>3070</v>
      </c>
      <c r="F62" s="1" t="str">
        <f>VLOOKUP(D62,Table12[[Name]:[Native]],3,FALSE)</f>
        <v>天台县</v>
      </c>
      <c r="G62" s="14" t="str">
        <f ca="1">VLOOKUP(F62,Table12[[Native]:[Population4]],5,FALSE)</f>
        <v>台州市</v>
      </c>
    </row>
    <row r="63" spans="1:7" ht="15.75" thickBot="1" x14ac:dyDescent="0.3">
      <c r="A63" t="s">
        <v>2143</v>
      </c>
      <c r="B63" s="1" t="s">
        <v>2144</v>
      </c>
      <c r="C63" s="1" t="s">
        <v>11</v>
      </c>
      <c r="D63" s="1" t="s">
        <v>2071</v>
      </c>
      <c r="E63" s="4">
        <v>29720</v>
      </c>
      <c r="F63" s="1" t="str">
        <f>VLOOKUP(D63,Table12[[Name]:[Native]],3,FALSE)</f>
        <v>玉环市</v>
      </c>
      <c r="G63" s="14" t="str">
        <f ca="1">VLOOKUP(F63,Table12[[Native]:[Population4]],5,FALSE)</f>
        <v>台州市</v>
      </c>
    </row>
    <row r="64" spans="1:7" ht="15.75" thickBot="1" x14ac:dyDescent="0.3">
      <c r="A64" t="s">
        <v>2145</v>
      </c>
      <c r="B64" s="1" t="s">
        <v>2146</v>
      </c>
      <c r="C64" s="1" t="s">
        <v>15</v>
      </c>
      <c r="D64" s="1" t="s">
        <v>2090</v>
      </c>
      <c r="E64" s="4">
        <v>48281</v>
      </c>
      <c r="F64" s="1" t="str">
        <f>VLOOKUP(D64,Table12[[Name]:[Native]],3,FALSE)</f>
        <v>路桥区</v>
      </c>
      <c r="G64" s="14" t="str">
        <f ca="1">VLOOKUP(F64,Table12[[Native]:[Population4]],5,FALSE)</f>
        <v>台州市</v>
      </c>
    </row>
    <row r="65" spans="1:7" ht="15.75" thickBot="1" x14ac:dyDescent="0.3">
      <c r="A65" t="s">
        <v>2147</v>
      </c>
      <c r="B65" s="1" t="s">
        <v>2148</v>
      </c>
      <c r="C65" s="1" t="s">
        <v>15</v>
      </c>
      <c r="D65" s="1" t="s">
        <v>2090</v>
      </c>
      <c r="E65" s="4">
        <v>49312</v>
      </c>
      <c r="F65" s="1" t="str">
        <f>VLOOKUP(D65,Table12[[Name]:[Native]],3,FALSE)</f>
        <v>路桥区</v>
      </c>
      <c r="G65" s="14" t="str">
        <f ca="1">VLOOKUP(F65,Table12[[Native]:[Population4]],5,FALSE)</f>
        <v>台州市</v>
      </c>
    </row>
    <row r="66" spans="1:7" ht="15.75" thickBot="1" x14ac:dyDescent="0.3">
      <c r="A66" t="s">
        <v>2149</v>
      </c>
      <c r="B66" s="1" t="s">
        <v>2150</v>
      </c>
      <c r="C66" s="1" t="s">
        <v>15</v>
      </c>
      <c r="D66" s="1" t="s">
        <v>2090</v>
      </c>
      <c r="E66" s="4">
        <v>40636</v>
      </c>
      <c r="F66" s="1" t="str">
        <f>VLOOKUP(D66,Table12[[Name]:[Native]],3,FALSE)</f>
        <v>路桥区</v>
      </c>
      <c r="G66" s="14" t="str">
        <f ca="1">VLOOKUP(F66,Table12[[Native]:[Population4]],5,FALSE)</f>
        <v>台州市</v>
      </c>
    </row>
    <row r="67" spans="1:7" ht="15.75" thickBot="1" x14ac:dyDescent="0.3">
      <c r="A67" t="s">
        <v>2151</v>
      </c>
      <c r="B67" s="1" t="s">
        <v>2152</v>
      </c>
      <c r="C67" s="1" t="s">
        <v>11</v>
      </c>
      <c r="D67" s="1" t="s">
        <v>2071</v>
      </c>
      <c r="E67" s="4">
        <v>24438</v>
      </c>
      <c r="F67" s="1" t="str">
        <f>VLOOKUP(D67,Table12[[Name]:[Native]],3,FALSE)</f>
        <v>玉环市</v>
      </c>
      <c r="G67" s="14" t="str">
        <f ca="1">VLOOKUP(F67,Table12[[Native]:[Population4]],5,FALSE)</f>
        <v>台州市</v>
      </c>
    </row>
    <row r="68" spans="1:7" ht="15.75" thickBot="1" x14ac:dyDescent="0.3">
      <c r="A68" t="s">
        <v>2153</v>
      </c>
      <c r="B68" s="1" t="s">
        <v>2154</v>
      </c>
      <c r="C68" s="1" t="s">
        <v>15</v>
      </c>
      <c r="D68" s="1" t="s">
        <v>2090</v>
      </c>
      <c r="E68" s="4">
        <v>84539</v>
      </c>
      <c r="F68" s="1" t="str">
        <f>VLOOKUP(D68,Table12[[Name]:[Native]],3,FALSE)</f>
        <v>路桥区</v>
      </c>
      <c r="G68" s="14" t="str">
        <f ca="1">VLOOKUP(F68,Table12[[Native]:[Population4]],5,FALSE)</f>
        <v>台州市</v>
      </c>
    </row>
    <row r="69" spans="1:7" ht="15.75" thickBot="1" x14ac:dyDescent="0.3">
      <c r="A69" t="s">
        <v>2155</v>
      </c>
      <c r="B69" s="1" t="s">
        <v>2156</v>
      </c>
      <c r="C69" s="1" t="s">
        <v>7</v>
      </c>
      <c r="D69" s="1" t="s">
        <v>2053</v>
      </c>
      <c r="E69" s="4">
        <v>5745</v>
      </c>
      <c r="F69" s="1" t="str">
        <f>VLOOKUP(D69,Table12[[Name]:[Native]],3,FALSE)</f>
        <v>黄岩区</v>
      </c>
      <c r="G69" s="14" t="str">
        <f ca="1">VLOOKUP(F69,Table12[[Native]:[Population4]],5,FALSE)</f>
        <v>台州市</v>
      </c>
    </row>
    <row r="70" spans="1:7" ht="15.75" thickBot="1" x14ac:dyDescent="0.3">
      <c r="A70" t="s">
        <v>2157</v>
      </c>
      <c r="B70" s="1" t="s">
        <v>2158</v>
      </c>
      <c r="C70" s="1" t="s">
        <v>15</v>
      </c>
      <c r="D70" s="1" t="s">
        <v>2053</v>
      </c>
      <c r="E70" s="4">
        <v>31505</v>
      </c>
      <c r="F70" s="1" t="str">
        <f>VLOOKUP(D70,Table12[[Name]:[Native]],3,FALSE)</f>
        <v>黄岩区</v>
      </c>
      <c r="G70" s="14" t="str">
        <f ca="1">VLOOKUP(F70,Table12[[Native]:[Population4]],5,FALSE)</f>
        <v>台州市</v>
      </c>
    </row>
    <row r="71" spans="1:7" ht="15.75" thickBot="1" x14ac:dyDescent="0.3">
      <c r="A71" t="s">
        <v>2159</v>
      </c>
      <c r="B71" s="1" t="s">
        <v>2160</v>
      </c>
      <c r="C71" s="1" t="s">
        <v>15</v>
      </c>
      <c r="D71" s="1" t="s">
        <v>2039</v>
      </c>
      <c r="E71" s="4">
        <v>53426</v>
      </c>
      <c r="F71" s="1" t="str">
        <f>VLOOKUP(D71,Table12[[Name]:[Native]],3,FALSE)</f>
        <v>仙居县</v>
      </c>
      <c r="G71" s="14" t="str">
        <f ca="1">VLOOKUP(F71,Table12[[Native]:[Population4]],5,FALSE)</f>
        <v>台州市</v>
      </c>
    </row>
    <row r="72" spans="1:7" ht="15.75" thickBot="1" x14ac:dyDescent="0.3">
      <c r="A72" t="s">
        <v>2161</v>
      </c>
      <c r="B72" s="1" t="s">
        <v>2162</v>
      </c>
      <c r="C72" s="1" t="s">
        <v>7</v>
      </c>
      <c r="D72" s="1" t="s">
        <v>2044</v>
      </c>
      <c r="E72" s="4">
        <v>4259</v>
      </c>
      <c r="F72" s="1" t="str">
        <f>VLOOKUP(D72,Table12[[Name]:[Native]],3,FALSE)</f>
        <v>天台县</v>
      </c>
      <c r="G72" s="14" t="str">
        <f ca="1">VLOOKUP(F72,Table12[[Native]:[Population4]],5,FALSE)</f>
        <v>台州市</v>
      </c>
    </row>
    <row r="73" spans="1:7" ht="15.75" thickBot="1" x14ac:dyDescent="0.3">
      <c r="A73" t="s">
        <v>2163</v>
      </c>
      <c r="B73" s="1" t="s">
        <v>2164</v>
      </c>
      <c r="C73" s="1" t="s">
        <v>11</v>
      </c>
      <c r="D73" s="1" t="s">
        <v>2053</v>
      </c>
      <c r="E73" s="4">
        <v>23182</v>
      </c>
      <c r="F73" s="1" t="str">
        <f>VLOOKUP(D73,Table12[[Name]:[Native]],3,FALSE)</f>
        <v>黄岩区</v>
      </c>
      <c r="G73" s="14" t="str">
        <f ca="1">VLOOKUP(F73,Table12[[Native]:[Population4]],5,FALSE)</f>
        <v>台州市</v>
      </c>
    </row>
    <row r="74" spans="1:7" ht="15.75" thickBot="1" x14ac:dyDescent="0.3">
      <c r="A74" t="s">
        <v>2165</v>
      </c>
      <c r="B74" s="1" t="s">
        <v>2166</v>
      </c>
      <c r="C74" s="1" t="s">
        <v>11</v>
      </c>
      <c r="D74" s="1" t="s">
        <v>2090</v>
      </c>
      <c r="E74" s="4">
        <v>81342</v>
      </c>
      <c r="F74" s="1" t="str">
        <f>VLOOKUP(D74,Table12[[Name]:[Native]],3,FALSE)</f>
        <v>路桥区</v>
      </c>
      <c r="G74" s="14" t="str">
        <f ca="1">VLOOKUP(F74,Table12[[Native]:[Population4]],5,FALSE)</f>
        <v>台州市</v>
      </c>
    </row>
    <row r="75" spans="1:7" ht="15.75" thickBot="1" x14ac:dyDescent="0.3">
      <c r="A75" t="s">
        <v>2167</v>
      </c>
      <c r="B75" s="1" t="s">
        <v>2168</v>
      </c>
      <c r="C75" s="1" t="s">
        <v>11</v>
      </c>
      <c r="D75" s="1" t="s">
        <v>2044</v>
      </c>
      <c r="E75" s="4">
        <v>61598</v>
      </c>
      <c r="F75" s="1" t="str">
        <f>VLOOKUP(D75,Table12[[Name]:[Native]],3,FALSE)</f>
        <v>天台县</v>
      </c>
      <c r="G75" s="14" t="str">
        <f ca="1">VLOOKUP(F75,Table12[[Native]:[Population4]],5,FALSE)</f>
        <v>台州市</v>
      </c>
    </row>
    <row r="76" spans="1:7" ht="15.75" thickBot="1" x14ac:dyDescent="0.3">
      <c r="A76" t="s">
        <v>2169</v>
      </c>
      <c r="B76" s="1" t="s">
        <v>2170</v>
      </c>
      <c r="C76" s="1" t="s">
        <v>7</v>
      </c>
      <c r="D76" s="1" t="s">
        <v>2053</v>
      </c>
      <c r="E76" s="4">
        <v>3843</v>
      </c>
      <c r="F76" s="1" t="str">
        <f>VLOOKUP(D76,Table12[[Name]:[Native]],3,FALSE)</f>
        <v>黄岩区</v>
      </c>
      <c r="G76" s="14" t="str">
        <f ca="1">VLOOKUP(F76,Table12[[Native]:[Population4]],5,FALSE)</f>
        <v>台州市</v>
      </c>
    </row>
    <row r="77" spans="1:7" ht="15.75" thickBot="1" x14ac:dyDescent="0.3">
      <c r="A77" t="s">
        <v>2171</v>
      </c>
      <c r="B77" s="1" t="s">
        <v>2172</v>
      </c>
      <c r="C77" s="1" t="s">
        <v>7</v>
      </c>
      <c r="D77" s="1" t="s">
        <v>2039</v>
      </c>
      <c r="E77" s="4">
        <v>6750</v>
      </c>
      <c r="F77" s="1" t="str">
        <f>VLOOKUP(D77,Table12[[Name]:[Native]],3,FALSE)</f>
        <v>仙居县</v>
      </c>
      <c r="G77" s="14" t="str">
        <f ca="1">VLOOKUP(F77,Table12[[Native]:[Population4]],5,FALSE)</f>
        <v>台州市</v>
      </c>
    </row>
    <row r="78" spans="1:7" ht="15.75" thickBot="1" x14ac:dyDescent="0.3">
      <c r="A78" t="s">
        <v>2173</v>
      </c>
      <c r="B78" s="1" t="s">
        <v>2174</v>
      </c>
      <c r="C78" s="1" t="s">
        <v>11</v>
      </c>
      <c r="D78" s="1" t="s">
        <v>2110</v>
      </c>
      <c r="E78" s="4">
        <v>73223</v>
      </c>
      <c r="F78" s="1" t="str">
        <f>VLOOKUP(D78,Table12[[Name]:[Native]],3,FALSE)</f>
        <v>三门县</v>
      </c>
      <c r="G78" s="14" t="str">
        <f ca="1">VLOOKUP(F78,Table12[[Native]:[Population4]],5,FALSE)</f>
        <v>台州市</v>
      </c>
    </row>
    <row r="79" spans="1:7" ht="15.75" thickBot="1" x14ac:dyDescent="0.3">
      <c r="A79" t="s">
        <v>2175</v>
      </c>
      <c r="B79" s="1" t="s">
        <v>2176</v>
      </c>
      <c r="C79" s="1" t="s">
        <v>15</v>
      </c>
      <c r="D79" s="1" t="s">
        <v>2050</v>
      </c>
      <c r="E79" s="4">
        <v>45921</v>
      </c>
      <c r="F79" s="1" t="str">
        <f>VLOOKUP(D79,Table12[[Name]:[Native]],3,FALSE)</f>
        <v>椒江区</v>
      </c>
      <c r="G79" s="14" t="str">
        <f ca="1">VLOOKUP(F79,Table12[[Native]:[Population4]],5,FALSE)</f>
        <v>台州市</v>
      </c>
    </row>
    <row r="80" spans="1:7" ht="15.75" thickBot="1" x14ac:dyDescent="0.3">
      <c r="A80" t="s">
        <v>2177</v>
      </c>
      <c r="B80" s="1" t="s">
        <v>2178</v>
      </c>
      <c r="C80" s="1" t="s">
        <v>11</v>
      </c>
      <c r="D80" s="1" t="s">
        <v>2071</v>
      </c>
      <c r="E80" s="4">
        <v>71536</v>
      </c>
      <c r="F80" s="1" t="str">
        <f>VLOOKUP(D80,Table12[[Name]:[Native]],3,FALSE)</f>
        <v>玉环市</v>
      </c>
      <c r="G80" s="14" t="str">
        <f ca="1">VLOOKUP(F80,Table12[[Native]:[Population4]],5,FALSE)</f>
        <v>台州市</v>
      </c>
    </row>
    <row r="81" spans="1:7" ht="15.75" thickBot="1" x14ac:dyDescent="0.3">
      <c r="A81" t="s">
        <v>2179</v>
      </c>
      <c r="B81" s="1" t="s">
        <v>2180</v>
      </c>
      <c r="C81" s="1" t="s">
        <v>7</v>
      </c>
      <c r="D81" s="1" t="s">
        <v>2039</v>
      </c>
      <c r="E81" s="4">
        <v>7237</v>
      </c>
      <c r="F81" s="1" t="str">
        <f>VLOOKUP(D81,Table12[[Name]:[Native]],3,FALSE)</f>
        <v>仙居县</v>
      </c>
      <c r="G81" s="14" t="str">
        <f ca="1">VLOOKUP(F81,Table12[[Native]:[Population4]],5,FALSE)</f>
        <v>台州市</v>
      </c>
    </row>
    <row r="82" spans="1:7" ht="15.75" thickBot="1" x14ac:dyDescent="0.3">
      <c r="A82" t="s">
        <v>2181</v>
      </c>
      <c r="B82" s="1" t="s">
        <v>2182</v>
      </c>
      <c r="C82" s="1" t="s">
        <v>11</v>
      </c>
      <c r="D82" s="1" t="s">
        <v>2058</v>
      </c>
      <c r="E82" s="4">
        <v>111652</v>
      </c>
      <c r="F82" s="1" t="str">
        <f>VLOOKUP(D82,Table12[[Name]:[Native]],3,FALSE)</f>
        <v>温岭市</v>
      </c>
      <c r="G82" s="14" t="str">
        <f ca="1">VLOOKUP(F82,Table12[[Native]:[Population4]],5,FALSE)</f>
        <v>台州市</v>
      </c>
    </row>
    <row r="83" spans="1:7" ht="15.75" thickBot="1" x14ac:dyDescent="0.3">
      <c r="A83" t="s">
        <v>2183</v>
      </c>
      <c r="B83" s="1" t="s">
        <v>2184</v>
      </c>
      <c r="C83" s="1" t="s">
        <v>11</v>
      </c>
      <c r="D83" s="1" t="s">
        <v>2044</v>
      </c>
      <c r="E83" s="4">
        <v>19177</v>
      </c>
      <c r="F83" s="1" t="str">
        <f>VLOOKUP(D83,Table12[[Name]:[Native]],3,FALSE)</f>
        <v>天台县</v>
      </c>
      <c r="G83" s="14" t="str">
        <f ca="1">VLOOKUP(F83,Table12[[Native]:[Population4]],5,FALSE)</f>
        <v>台州市</v>
      </c>
    </row>
    <row r="84" spans="1:7" ht="15.75" thickBot="1" x14ac:dyDescent="0.3">
      <c r="A84" t="s">
        <v>2185</v>
      </c>
      <c r="B84" s="1" t="s">
        <v>2186</v>
      </c>
      <c r="C84" s="1" t="s">
        <v>15</v>
      </c>
      <c r="D84" s="1" t="s">
        <v>2050</v>
      </c>
      <c r="E84" s="4">
        <v>62463</v>
      </c>
      <c r="F84" s="1" t="str">
        <f>VLOOKUP(D84,Table12[[Name]:[Native]],3,FALSE)</f>
        <v>椒江区</v>
      </c>
      <c r="G84" s="14" t="str">
        <f ca="1">VLOOKUP(F84,Table12[[Native]:[Population4]],5,FALSE)</f>
        <v>台州市</v>
      </c>
    </row>
    <row r="85" spans="1:7" ht="15.75" thickBot="1" x14ac:dyDescent="0.3">
      <c r="A85" t="s">
        <v>2187</v>
      </c>
      <c r="B85" s="1" t="s">
        <v>2188</v>
      </c>
      <c r="C85" s="1" t="s">
        <v>7</v>
      </c>
      <c r="D85" s="1" t="s">
        <v>2044</v>
      </c>
      <c r="E85" s="4">
        <v>4649</v>
      </c>
      <c r="F85" s="1" t="str">
        <f>VLOOKUP(D85,Table12[[Name]:[Native]],3,FALSE)</f>
        <v>天台县</v>
      </c>
      <c r="G85" s="14" t="str">
        <f ca="1">VLOOKUP(F85,Table12[[Native]:[Population4]],5,FALSE)</f>
        <v>台州市</v>
      </c>
    </row>
    <row r="86" spans="1:7" ht="15.75" thickBot="1" x14ac:dyDescent="0.3">
      <c r="A86" t="s">
        <v>2189</v>
      </c>
      <c r="B86" s="1" t="s">
        <v>2190</v>
      </c>
      <c r="C86" s="1" t="s">
        <v>11</v>
      </c>
      <c r="D86" s="1" t="s">
        <v>2053</v>
      </c>
      <c r="E86" s="4">
        <v>20863</v>
      </c>
      <c r="F86" s="1" t="str">
        <f>VLOOKUP(D86,Table12[[Name]:[Native]],3,FALSE)</f>
        <v>黄岩区</v>
      </c>
      <c r="G86" s="14" t="str">
        <f ca="1">VLOOKUP(F86,Table12[[Native]:[Population4]],5,FALSE)</f>
        <v>台州市</v>
      </c>
    </row>
    <row r="87" spans="1:7" ht="15.75" thickBot="1" x14ac:dyDescent="0.3">
      <c r="A87" t="s">
        <v>2191</v>
      </c>
      <c r="B87" s="1" t="s">
        <v>2192</v>
      </c>
      <c r="C87" s="1" t="s">
        <v>15</v>
      </c>
      <c r="D87" s="1" t="s">
        <v>2110</v>
      </c>
      <c r="E87" s="4">
        <v>11420</v>
      </c>
      <c r="F87" s="1" t="str">
        <f>VLOOKUP(D87,Table12[[Name]:[Native]],3,FALSE)</f>
        <v>三门县</v>
      </c>
      <c r="G87" s="14" t="str">
        <f ca="1">VLOOKUP(F87,Table12[[Native]:[Population4]],5,FALSE)</f>
        <v>台州市</v>
      </c>
    </row>
    <row r="88" spans="1:7" ht="15.75" thickBot="1" x14ac:dyDescent="0.3">
      <c r="A88" t="s">
        <v>2193</v>
      </c>
      <c r="B88" s="1" t="s">
        <v>2194</v>
      </c>
      <c r="C88" s="1" t="s">
        <v>11</v>
      </c>
      <c r="D88" s="1" t="s">
        <v>2071</v>
      </c>
      <c r="E88" s="4">
        <v>25958</v>
      </c>
      <c r="F88" s="1" t="str">
        <f>VLOOKUP(D88,Table12[[Name]:[Native]],3,FALSE)</f>
        <v>玉环市</v>
      </c>
      <c r="G88" s="14" t="str">
        <f ca="1">VLOOKUP(F88,Table12[[Native]:[Population4]],5,FALSE)</f>
        <v>台州市</v>
      </c>
    </row>
    <row r="89" spans="1:7" ht="15.75" thickBot="1" x14ac:dyDescent="0.3">
      <c r="A89" t="s">
        <v>2195</v>
      </c>
      <c r="B89" s="1" t="s">
        <v>2196</v>
      </c>
      <c r="C89" s="1" t="s">
        <v>11</v>
      </c>
      <c r="D89" s="1" t="s">
        <v>2047</v>
      </c>
      <c r="E89" s="4">
        <v>44060</v>
      </c>
      <c r="F89" s="1" t="str">
        <f>VLOOKUP(D89,Table12[[Name]:[Native]],3,FALSE)</f>
        <v>临海市</v>
      </c>
      <c r="G89" s="14" t="str">
        <f ca="1">VLOOKUP(F89,Table12[[Native]:[Population4]],5,FALSE)</f>
        <v>台州市</v>
      </c>
    </row>
    <row r="90" spans="1:7" ht="15.75" thickBot="1" x14ac:dyDescent="0.3">
      <c r="A90" t="s">
        <v>2197</v>
      </c>
      <c r="B90" s="1" t="s">
        <v>2198</v>
      </c>
      <c r="C90" s="1" t="s">
        <v>7</v>
      </c>
      <c r="D90" s="1" t="s">
        <v>2053</v>
      </c>
      <c r="E90" s="4">
        <v>6830</v>
      </c>
      <c r="F90" s="1" t="str">
        <f>VLOOKUP(D90,Table12[[Name]:[Native]],3,FALSE)</f>
        <v>黄岩区</v>
      </c>
      <c r="G90" s="14" t="str">
        <f ca="1">VLOOKUP(F90,Table12[[Native]:[Population4]],5,FALSE)</f>
        <v>台州市</v>
      </c>
    </row>
    <row r="91" spans="1:7" ht="15.75" thickBot="1" x14ac:dyDescent="0.3">
      <c r="A91" t="s">
        <v>2199</v>
      </c>
      <c r="B91" s="1" t="s">
        <v>2200</v>
      </c>
      <c r="C91" s="1" t="s">
        <v>7</v>
      </c>
      <c r="D91" s="1" t="s">
        <v>2039</v>
      </c>
      <c r="E91" s="4">
        <v>5231</v>
      </c>
      <c r="F91" s="1" t="str">
        <f>VLOOKUP(D91,Table12[[Name]:[Native]],3,FALSE)</f>
        <v>仙居县</v>
      </c>
      <c r="G91" s="14" t="str">
        <f ca="1">VLOOKUP(F91,Table12[[Native]:[Population4]],5,FALSE)</f>
        <v>台州市</v>
      </c>
    </row>
    <row r="92" spans="1:7" ht="15.75" thickBot="1" x14ac:dyDescent="0.3">
      <c r="A92" t="s">
        <v>2201</v>
      </c>
      <c r="B92" s="1" t="s">
        <v>2202</v>
      </c>
      <c r="C92" s="1" t="s">
        <v>7</v>
      </c>
      <c r="D92" s="1" t="s">
        <v>2053</v>
      </c>
      <c r="E92" s="4">
        <v>5705</v>
      </c>
      <c r="F92" s="1" t="str">
        <f>VLOOKUP(D92,Table12[[Name]:[Native]],3,FALSE)</f>
        <v>黄岩区</v>
      </c>
      <c r="G92" s="14" t="str">
        <f ca="1">VLOOKUP(F92,Table12[[Native]:[Population4]],5,FALSE)</f>
        <v>台州市</v>
      </c>
    </row>
    <row r="93" spans="1:7" ht="15.75" thickBot="1" x14ac:dyDescent="0.3">
      <c r="A93" t="s">
        <v>2203</v>
      </c>
      <c r="B93" s="1" t="s">
        <v>2204</v>
      </c>
      <c r="C93" s="1" t="s">
        <v>15</v>
      </c>
      <c r="D93" s="1" t="s">
        <v>2047</v>
      </c>
      <c r="E93" s="4">
        <v>33773</v>
      </c>
      <c r="F93" s="1" t="str">
        <f>VLOOKUP(D93,Table12[[Name]:[Native]],3,FALSE)</f>
        <v>临海市</v>
      </c>
      <c r="G93" s="14" t="str">
        <f ca="1">VLOOKUP(F93,Table12[[Native]:[Population4]],5,FALSE)</f>
        <v>台州市</v>
      </c>
    </row>
    <row r="94" spans="1:7" ht="15.75" thickBot="1" x14ac:dyDescent="0.3">
      <c r="A94" t="s">
        <v>2205</v>
      </c>
      <c r="B94" s="1" t="s">
        <v>2206</v>
      </c>
      <c r="C94" s="1" t="s">
        <v>7</v>
      </c>
      <c r="D94" s="1" t="s">
        <v>2110</v>
      </c>
      <c r="E94" s="4">
        <v>1946</v>
      </c>
      <c r="F94" s="1" t="str">
        <f>VLOOKUP(D94,Table12[[Name]:[Native]],3,FALSE)</f>
        <v>三门县</v>
      </c>
      <c r="G94" s="14" t="str">
        <f ca="1">VLOOKUP(F94,Table12[[Native]:[Population4]],5,FALSE)</f>
        <v>台州市</v>
      </c>
    </row>
    <row r="95" spans="1:7" ht="15.75" thickBot="1" x14ac:dyDescent="0.3">
      <c r="A95" t="s">
        <v>2207</v>
      </c>
      <c r="B95" s="1" t="s">
        <v>2208</v>
      </c>
      <c r="C95" s="1" t="s">
        <v>15</v>
      </c>
      <c r="D95" s="1" t="s">
        <v>2044</v>
      </c>
      <c r="E95" s="4">
        <v>36514</v>
      </c>
      <c r="F95" s="1" t="str">
        <f>VLOOKUP(D95,Table12[[Name]:[Native]],3,FALSE)</f>
        <v>天台县</v>
      </c>
      <c r="G95" s="14" t="str">
        <f ca="1">VLOOKUP(F95,Table12[[Native]:[Population4]],5,FALSE)</f>
        <v>台州市</v>
      </c>
    </row>
    <row r="96" spans="1:7" ht="15.75" thickBot="1" x14ac:dyDescent="0.3">
      <c r="A96" t="s">
        <v>1766</v>
      </c>
      <c r="B96" s="1" t="s">
        <v>1767</v>
      </c>
      <c r="C96" s="1" t="s">
        <v>11</v>
      </c>
      <c r="D96" s="1" t="s">
        <v>2044</v>
      </c>
      <c r="E96" s="4">
        <v>6217</v>
      </c>
      <c r="F96" s="1" t="str">
        <f>VLOOKUP(D96,Table12[[Name]:[Native]],3,FALSE)</f>
        <v>天台县</v>
      </c>
      <c r="G96" s="14" t="str">
        <f ca="1">VLOOKUP(F96,Table12[[Native]:[Population4]],5,FALSE)</f>
        <v>台州市</v>
      </c>
    </row>
    <row r="97" spans="1:7" ht="15.75" thickBot="1" x14ac:dyDescent="0.3">
      <c r="A97" t="s">
        <v>2209</v>
      </c>
      <c r="B97" s="1" t="s">
        <v>2210</v>
      </c>
      <c r="C97" s="1" t="s">
        <v>11</v>
      </c>
      <c r="D97" s="1" t="s">
        <v>2058</v>
      </c>
      <c r="E97" s="4">
        <v>17674</v>
      </c>
      <c r="F97" s="1" t="str">
        <f>VLOOKUP(D97,Table12[[Name]:[Native]],3,FALSE)</f>
        <v>温岭市</v>
      </c>
      <c r="G97" s="14" t="str">
        <f ca="1">VLOOKUP(F97,Table12[[Native]:[Population4]],5,FALSE)</f>
        <v>台州市</v>
      </c>
    </row>
    <row r="98" spans="1:7" ht="15.75" thickBot="1" x14ac:dyDescent="0.3">
      <c r="A98" t="s">
        <v>1217</v>
      </c>
      <c r="B98" s="1" t="s">
        <v>1218</v>
      </c>
      <c r="C98" s="1" t="s">
        <v>11</v>
      </c>
      <c r="D98" s="1" t="s">
        <v>2058</v>
      </c>
      <c r="E98" s="4">
        <v>65770</v>
      </c>
      <c r="F98" s="1" t="str">
        <f>VLOOKUP(D98,Table12[[Name]:[Native]],3,FALSE)</f>
        <v>温岭市</v>
      </c>
      <c r="G98" s="14" t="str">
        <f ca="1">VLOOKUP(F98,Table12[[Native]:[Population4]],5,FALSE)</f>
        <v>台州市</v>
      </c>
    </row>
    <row r="99" spans="1:7" ht="15.75" thickBot="1" x14ac:dyDescent="0.3">
      <c r="A99" t="s">
        <v>2211</v>
      </c>
      <c r="B99" s="1" t="s">
        <v>2212</v>
      </c>
      <c r="C99" s="1" t="s">
        <v>7</v>
      </c>
      <c r="D99" s="1" t="s">
        <v>2039</v>
      </c>
      <c r="E99" s="4">
        <v>5771</v>
      </c>
      <c r="F99" s="1" t="str">
        <f>VLOOKUP(D99,Table12[[Name]:[Native]],3,FALSE)</f>
        <v>仙居县</v>
      </c>
      <c r="G99" s="14" t="str">
        <f ca="1">VLOOKUP(F99,Table12[[Native]:[Population4]],5,FALSE)</f>
        <v>台州市</v>
      </c>
    </row>
    <row r="100" spans="1:7" ht="15.75" thickBot="1" x14ac:dyDescent="0.3">
      <c r="A100" t="s">
        <v>2213</v>
      </c>
      <c r="B100" s="1" t="s">
        <v>2214</v>
      </c>
      <c r="C100" s="1" t="s">
        <v>11</v>
      </c>
      <c r="D100" s="1" t="s">
        <v>2058</v>
      </c>
      <c r="E100" s="4">
        <v>102259</v>
      </c>
      <c r="F100" s="1" t="str">
        <f>VLOOKUP(D100,Table12[[Name]:[Native]],3,FALSE)</f>
        <v>温岭市</v>
      </c>
      <c r="G100" s="14" t="str">
        <f ca="1">VLOOKUP(F100,Table12[[Native]:[Population4]],5,FALSE)</f>
        <v>台州市</v>
      </c>
    </row>
    <row r="101" spans="1:7" ht="15.75" thickBot="1" x14ac:dyDescent="0.3">
      <c r="A101" t="s">
        <v>2215</v>
      </c>
      <c r="B101" s="1" t="s">
        <v>2216</v>
      </c>
      <c r="C101" s="1" t="s">
        <v>15</v>
      </c>
      <c r="D101" s="1" t="s">
        <v>2058</v>
      </c>
      <c r="E101" s="4">
        <v>139696</v>
      </c>
      <c r="F101" s="1" t="str">
        <f>VLOOKUP(D101,Table12[[Name]:[Native]],3,FALSE)</f>
        <v>温岭市</v>
      </c>
      <c r="G101" s="14" t="str">
        <f ca="1">VLOOKUP(F101,Table12[[Native]:[Population4]],5,FALSE)</f>
        <v>台州市</v>
      </c>
    </row>
    <row r="102" spans="1:7" ht="15.75" thickBot="1" x14ac:dyDescent="0.3">
      <c r="A102" t="s">
        <v>2217</v>
      </c>
      <c r="B102" s="1" t="s">
        <v>2218</v>
      </c>
      <c r="C102" s="1" t="s">
        <v>11</v>
      </c>
      <c r="D102" s="1" t="s">
        <v>2044</v>
      </c>
      <c r="E102" s="4">
        <v>30362</v>
      </c>
      <c r="F102" s="1" t="str">
        <f>VLOOKUP(D102,Table12[[Name]:[Native]],3,FALSE)</f>
        <v>天台县</v>
      </c>
      <c r="G102" s="14" t="str">
        <f ca="1">VLOOKUP(F102,Table12[[Native]:[Population4]],5,FALSE)</f>
        <v>台州市</v>
      </c>
    </row>
    <row r="103" spans="1:7" ht="15.75" thickBot="1" x14ac:dyDescent="0.3">
      <c r="A103" t="s">
        <v>2219</v>
      </c>
      <c r="B103" s="1" t="s">
        <v>2220</v>
      </c>
      <c r="C103" s="1" t="s">
        <v>11</v>
      </c>
      <c r="D103" s="1" t="s">
        <v>2047</v>
      </c>
      <c r="E103" s="4">
        <v>73195</v>
      </c>
      <c r="F103" s="1" t="str">
        <f>VLOOKUP(D103,Table12[[Name]:[Native]],3,FALSE)</f>
        <v>临海市</v>
      </c>
      <c r="G103" s="14" t="str">
        <f ca="1">VLOOKUP(F103,Table12[[Native]:[Population4]],5,FALSE)</f>
        <v>台州市</v>
      </c>
    </row>
    <row r="104" spans="1:7" ht="15.75" thickBot="1" x14ac:dyDescent="0.3">
      <c r="A104" t="s">
        <v>2221</v>
      </c>
      <c r="B104" s="1" t="s">
        <v>2222</v>
      </c>
      <c r="C104" s="1" t="s">
        <v>11</v>
      </c>
      <c r="D104" s="1" t="s">
        <v>2039</v>
      </c>
      <c r="E104" s="4">
        <v>13391</v>
      </c>
      <c r="F104" s="1" t="str">
        <f>VLOOKUP(D104,Table12[[Name]:[Native]],3,FALSE)</f>
        <v>仙居县</v>
      </c>
      <c r="G104" s="14" t="str">
        <f ca="1">VLOOKUP(F104,Table12[[Native]:[Population4]],5,FALSE)</f>
        <v>台州市</v>
      </c>
    </row>
    <row r="105" spans="1:7" ht="15.75" thickBot="1" x14ac:dyDescent="0.3">
      <c r="A105" t="s">
        <v>2223</v>
      </c>
      <c r="B105" s="1" t="s">
        <v>2224</v>
      </c>
      <c r="C105" s="1" t="s">
        <v>11</v>
      </c>
      <c r="D105" s="1" t="s">
        <v>2110</v>
      </c>
      <c r="E105" s="4">
        <v>33137</v>
      </c>
      <c r="F105" s="1" t="str">
        <f>VLOOKUP(D105,Table12[[Name]:[Native]],3,FALSE)</f>
        <v>三门县</v>
      </c>
      <c r="G105" s="14" t="str">
        <f ca="1">VLOOKUP(F105,Table12[[Native]:[Population4]],5,FALSE)</f>
        <v>台州市</v>
      </c>
    </row>
    <row r="106" spans="1:7" ht="15.75" thickBot="1" x14ac:dyDescent="0.3">
      <c r="A106" t="s">
        <v>2225</v>
      </c>
      <c r="B106" s="1" t="s">
        <v>2226</v>
      </c>
      <c r="C106" s="1" t="s">
        <v>15</v>
      </c>
      <c r="D106" s="1" t="s">
        <v>2090</v>
      </c>
      <c r="E106" s="4">
        <v>42149</v>
      </c>
      <c r="F106" s="1" t="str">
        <f>VLOOKUP(D106,Table12[[Name]:[Native]],3,FALSE)</f>
        <v>路桥区</v>
      </c>
      <c r="G106" s="14" t="str">
        <f ca="1">VLOOKUP(F106,Table12[[Native]:[Population4]],5,FALSE)</f>
        <v>台州市</v>
      </c>
    </row>
    <row r="107" spans="1:7" ht="15.75" thickBot="1" x14ac:dyDescent="0.3">
      <c r="A107" t="s">
        <v>2227</v>
      </c>
      <c r="B107" s="1" t="s">
        <v>2228</v>
      </c>
      <c r="C107" s="1" t="s">
        <v>11</v>
      </c>
      <c r="D107" s="1" t="s">
        <v>2053</v>
      </c>
      <c r="E107" s="4">
        <v>31743</v>
      </c>
      <c r="F107" s="1" t="str">
        <f>VLOOKUP(D107,Table12[[Name]:[Native]],3,FALSE)</f>
        <v>黄岩区</v>
      </c>
      <c r="G107" s="14" t="str">
        <f ca="1">VLOOKUP(F107,Table12[[Native]:[Population4]],5,FALSE)</f>
        <v>台州市</v>
      </c>
    </row>
    <row r="108" spans="1:7" ht="15.75" thickBot="1" x14ac:dyDescent="0.3">
      <c r="A108" t="s">
        <v>2229</v>
      </c>
      <c r="B108" s="1" t="s">
        <v>2230</v>
      </c>
      <c r="C108" s="1" t="s">
        <v>11</v>
      </c>
      <c r="D108" s="1" t="s">
        <v>2058</v>
      </c>
      <c r="E108" s="4">
        <v>73918</v>
      </c>
      <c r="F108" s="1" t="str">
        <f>VLOOKUP(D108,Table12[[Name]:[Native]],3,FALSE)</f>
        <v>温岭市</v>
      </c>
      <c r="G108" s="14" t="str">
        <f ca="1">VLOOKUP(F108,Table12[[Native]:[Population4]],5,FALSE)</f>
        <v>台州市</v>
      </c>
    </row>
    <row r="109" spans="1:7" ht="15.75" thickBot="1" x14ac:dyDescent="0.3">
      <c r="A109" t="s">
        <v>2231</v>
      </c>
      <c r="B109" s="1" t="s">
        <v>2232</v>
      </c>
      <c r="C109" s="1" t="s">
        <v>11</v>
      </c>
      <c r="D109" s="1" t="s">
        <v>2058</v>
      </c>
      <c r="E109" s="4">
        <v>20237</v>
      </c>
      <c r="F109" s="1" t="str">
        <f>VLOOKUP(D109,Table12[[Name]:[Native]],3,FALSE)</f>
        <v>温岭市</v>
      </c>
      <c r="G109" s="14" t="str">
        <f ca="1">VLOOKUP(F109,Table12[[Native]:[Population4]],5,FALSE)</f>
        <v>台州市</v>
      </c>
    </row>
    <row r="110" spans="1:7" ht="15.75" thickBot="1" x14ac:dyDescent="0.3">
      <c r="A110" t="s">
        <v>2233</v>
      </c>
      <c r="B110" s="1" t="s">
        <v>2234</v>
      </c>
      <c r="C110" s="1" t="s">
        <v>15</v>
      </c>
      <c r="D110" s="1" t="s">
        <v>2050</v>
      </c>
      <c r="E110" s="4">
        <v>54909</v>
      </c>
      <c r="F110" s="1" t="str">
        <f>VLOOKUP(D110,Table12[[Name]:[Native]],3,FALSE)</f>
        <v>椒江区</v>
      </c>
      <c r="G110" s="14" t="str">
        <f ca="1">VLOOKUP(F110,Table12[[Native]:[Population4]],5,FALSE)</f>
        <v>台州市</v>
      </c>
    </row>
    <row r="111" spans="1:7" ht="15.75" thickBot="1" x14ac:dyDescent="0.3">
      <c r="A111" t="s">
        <v>2235</v>
      </c>
      <c r="B111" s="1" t="s">
        <v>2236</v>
      </c>
      <c r="C111" s="1" t="s">
        <v>11</v>
      </c>
      <c r="D111" s="1" t="s">
        <v>2039</v>
      </c>
      <c r="E111" s="4">
        <v>34378</v>
      </c>
      <c r="F111" s="1" t="str">
        <f>VLOOKUP(D111,Table12[[Name]:[Native]],3,FALSE)</f>
        <v>仙居县</v>
      </c>
      <c r="G111" s="14" t="str">
        <f ca="1">VLOOKUP(F111,Table12[[Native]:[Population4]],5,FALSE)</f>
        <v>台州市</v>
      </c>
    </row>
    <row r="112" spans="1:7" ht="15.75" thickBot="1" x14ac:dyDescent="0.3">
      <c r="A112" t="s">
        <v>2237</v>
      </c>
      <c r="B112" s="1" t="s">
        <v>2238</v>
      </c>
      <c r="C112" s="1" t="s">
        <v>11</v>
      </c>
      <c r="D112" s="1" t="s">
        <v>2047</v>
      </c>
      <c r="E112" s="4">
        <v>25342</v>
      </c>
      <c r="F112" s="1" t="str">
        <f>VLOOKUP(D112,Table12[[Name]:[Native]],3,FALSE)</f>
        <v>临海市</v>
      </c>
      <c r="G112" s="14" t="str">
        <f ca="1">VLOOKUP(F112,Table12[[Native]:[Population4]],5,FALSE)</f>
        <v>台州市</v>
      </c>
    </row>
    <row r="113" spans="1:7" ht="15.75" thickBot="1" x14ac:dyDescent="0.3">
      <c r="A113" t="s">
        <v>939</v>
      </c>
      <c r="B113" s="1" t="s">
        <v>940</v>
      </c>
      <c r="C113" s="1" t="s">
        <v>15</v>
      </c>
      <c r="D113" s="1" t="s">
        <v>2053</v>
      </c>
      <c r="E113" s="4">
        <v>90672</v>
      </c>
      <c r="F113" s="1" t="str">
        <f>VLOOKUP(D113,Table12[[Name]:[Native]],3,FALSE)</f>
        <v>黄岩区</v>
      </c>
      <c r="G113" s="14" t="str">
        <f ca="1">VLOOKUP(F113,Table12[[Native]:[Population4]],5,FALSE)</f>
        <v>台州市</v>
      </c>
    </row>
    <row r="114" spans="1:7" ht="15.75" thickBot="1" x14ac:dyDescent="0.3">
      <c r="A114" t="s">
        <v>2239</v>
      </c>
      <c r="B114" s="1" t="s">
        <v>2240</v>
      </c>
      <c r="C114" s="1" t="s">
        <v>7</v>
      </c>
      <c r="D114" s="1" t="s">
        <v>2039</v>
      </c>
      <c r="E114" s="4">
        <v>3609</v>
      </c>
      <c r="F114" s="1" t="str">
        <f>VLOOKUP(D114,Table12[[Name]:[Native]],3,FALSE)</f>
        <v>仙居县</v>
      </c>
      <c r="G114" s="14" t="str">
        <f ca="1">VLOOKUP(F114,Table12[[Native]:[Population4]],5,FALSE)</f>
        <v>台州市</v>
      </c>
    </row>
    <row r="115" spans="1:7" ht="15.75" thickBot="1" x14ac:dyDescent="0.3">
      <c r="A115" t="s">
        <v>2241</v>
      </c>
      <c r="B115" s="1" t="s">
        <v>2242</v>
      </c>
      <c r="C115" s="1" t="s">
        <v>11</v>
      </c>
      <c r="D115" s="1" t="s">
        <v>2058</v>
      </c>
      <c r="E115" s="4">
        <v>108326</v>
      </c>
      <c r="F115" s="1" t="str">
        <f>VLOOKUP(D115,Table12[[Name]:[Native]],3,FALSE)</f>
        <v>温岭市</v>
      </c>
      <c r="G115" s="14" t="str">
        <f ca="1">VLOOKUP(F115,Table12[[Native]:[Population4]],5,FALSE)</f>
        <v>台州市</v>
      </c>
    </row>
    <row r="116" spans="1:7" ht="15.75" thickBot="1" x14ac:dyDescent="0.3">
      <c r="A116" t="s">
        <v>2243</v>
      </c>
      <c r="B116" s="1" t="s">
        <v>2244</v>
      </c>
      <c r="C116" s="1" t="s">
        <v>15</v>
      </c>
      <c r="D116" s="1" t="s">
        <v>2053</v>
      </c>
      <c r="E116" s="4">
        <v>55718</v>
      </c>
      <c r="F116" s="1" t="str">
        <f>VLOOKUP(D116,Table12[[Name]:[Native]],3,FALSE)</f>
        <v>黄岩区</v>
      </c>
      <c r="G116" s="14" t="str">
        <f ca="1">VLOOKUP(F116,Table12[[Native]:[Population4]],5,FALSE)</f>
        <v>台州市</v>
      </c>
    </row>
    <row r="117" spans="1:7" ht="15.75" thickBot="1" x14ac:dyDescent="0.3">
      <c r="A117" t="s">
        <v>1596</v>
      </c>
      <c r="B117" s="1" t="s">
        <v>1597</v>
      </c>
      <c r="C117" s="1" t="s">
        <v>11</v>
      </c>
      <c r="D117" s="1" t="s">
        <v>2090</v>
      </c>
      <c r="E117" s="4">
        <v>39595</v>
      </c>
      <c r="F117" s="1" t="str">
        <f>VLOOKUP(D117,Table12[[Name]:[Native]],3,FALSE)</f>
        <v>路桥区</v>
      </c>
      <c r="G117" s="14" t="str">
        <f ca="1">VLOOKUP(F117,Table12[[Native]:[Population4]],5,FALSE)</f>
        <v>台州市</v>
      </c>
    </row>
    <row r="118" spans="1:7" ht="15.75" thickBot="1" x14ac:dyDescent="0.3">
      <c r="A118" t="s">
        <v>2245</v>
      </c>
      <c r="B118" s="1" t="s">
        <v>2246</v>
      </c>
      <c r="C118" s="1" t="s">
        <v>11</v>
      </c>
      <c r="D118" s="1" t="s">
        <v>2047</v>
      </c>
      <c r="E118" s="4">
        <v>17495</v>
      </c>
      <c r="F118" s="1" t="str">
        <f>VLOOKUP(D118,Table12[[Name]:[Native]],3,FALSE)</f>
        <v>临海市</v>
      </c>
      <c r="G118" s="14" t="str">
        <f ca="1">VLOOKUP(F118,Table12[[Native]:[Population4]],5,FALSE)</f>
        <v>台州市</v>
      </c>
    </row>
    <row r="119" spans="1:7" ht="15.75" thickBot="1" x14ac:dyDescent="0.3">
      <c r="A119" t="s">
        <v>2247</v>
      </c>
      <c r="B119" s="1" t="s">
        <v>2248</v>
      </c>
      <c r="C119" s="1" t="s">
        <v>11</v>
      </c>
      <c r="D119" s="1" t="s">
        <v>2047</v>
      </c>
      <c r="E119" s="4">
        <v>42462</v>
      </c>
      <c r="F119" s="1" t="str">
        <f>VLOOKUP(D119,Table12[[Name]:[Native]],3,FALSE)</f>
        <v>临海市</v>
      </c>
      <c r="G119" s="14" t="str">
        <f ca="1">VLOOKUP(F119,Table12[[Native]:[Population4]],5,FALSE)</f>
        <v>台州市</v>
      </c>
    </row>
    <row r="120" spans="1:7" ht="15.75" thickBot="1" x14ac:dyDescent="0.3">
      <c r="A120" t="s">
        <v>2249</v>
      </c>
      <c r="B120" s="1" t="s">
        <v>2250</v>
      </c>
      <c r="C120" s="1" t="s">
        <v>11</v>
      </c>
      <c r="D120" s="1" t="s">
        <v>2047</v>
      </c>
      <c r="E120" s="4">
        <v>37809</v>
      </c>
      <c r="F120" s="1" t="str">
        <f>VLOOKUP(D120,Table12[[Name]:[Native]],3,FALSE)</f>
        <v>临海市</v>
      </c>
      <c r="G120" s="14" t="str">
        <f ca="1">VLOOKUP(F120,Table12[[Native]:[Population4]],5,FALSE)</f>
        <v>台州市</v>
      </c>
    </row>
    <row r="121" spans="1:7" ht="15.75" thickBot="1" x14ac:dyDescent="0.3">
      <c r="A121" t="s">
        <v>2251</v>
      </c>
      <c r="B121" s="1" t="s">
        <v>2252</v>
      </c>
      <c r="C121" s="1" t="s">
        <v>11</v>
      </c>
      <c r="D121" s="1" t="s">
        <v>2047</v>
      </c>
      <c r="E121" s="4">
        <v>42942</v>
      </c>
      <c r="F121" s="1" t="str">
        <f>VLOOKUP(D121,Table12[[Name]:[Native]],3,FALSE)</f>
        <v>临海市</v>
      </c>
      <c r="G121" s="14" t="str">
        <f ca="1">VLOOKUP(F121,Table12[[Native]:[Population4]],5,FALSE)</f>
        <v>台州市</v>
      </c>
    </row>
    <row r="122" spans="1:7" ht="15.75" thickBot="1" x14ac:dyDescent="0.3">
      <c r="A122" t="s">
        <v>2253</v>
      </c>
      <c r="B122" s="1" t="s">
        <v>2254</v>
      </c>
      <c r="C122" s="1" t="s">
        <v>7</v>
      </c>
      <c r="D122" s="1" t="s">
        <v>2044</v>
      </c>
      <c r="E122" s="4">
        <v>4177</v>
      </c>
      <c r="F122" s="1" t="str">
        <f>VLOOKUP(D122,Table12[[Name]:[Native]],3,FALSE)</f>
        <v>天台县</v>
      </c>
      <c r="G122" s="14" t="str">
        <f ca="1">VLOOKUP(F122,Table12[[Native]:[Population4]],5,FALSE)</f>
        <v>台州市</v>
      </c>
    </row>
    <row r="123" spans="1:7" ht="15.75" thickBot="1" x14ac:dyDescent="0.3">
      <c r="A123" t="s">
        <v>2255</v>
      </c>
      <c r="B123" s="1" t="s">
        <v>2256</v>
      </c>
      <c r="C123" s="1" t="s">
        <v>11</v>
      </c>
      <c r="D123" s="1" t="s">
        <v>2047</v>
      </c>
      <c r="E123" s="4">
        <v>15472</v>
      </c>
      <c r="F123" s="1" t="str">
        <f>VLOOKUP(D123,Table12[[Name]:[Native]],3,FALSE)</f>
        <v>临海市</v>
      </c>
      <c r="G123" s="14" t="str">
        <f ca="1">VLOOKUP(F123,Table12[[Native]:[Population4]],5,FALSE)</f>
        <v>台州市</v>
      </c>
    </row>
    <row r="124" spans="1:7" ht="15.75" thickBot="1" x14ac:dyDescent="0.3">
      <c r="A124" t="s">
        <v>2257</v>
      </c>
      <c r="B124" s="1" t="s">
        <v>2258</v>
      </c>
      <c r="C124" s="1" t="s">
        <v>11</v>
      </c>
      <c r="D124" s="1" t="s">
        <v>2053</v>
      </c>
      <c r="E124" s="4">
        <v>73819</v>
      </c>
      <c r="F124" s="1" t="str">
        <f>VLOOKUP(D124,Table12[[Name]:[Native]],3,FALSE)</f>
        <v>黄岩区</v>
      </c>
      <c r="G124" s="14" t="str">
        <f ca="1">VLOOKUP(F124,Table12[[Native]:[Population4]],5,FALSE)</f>
        <v>台州市</v>
      </c>
    </row>
    <row r="125" spans="1:7" ht="15.75" thickBot="1" x14ac:dyDescent="0.3">
      <c r="A125" t="s">
        <v>2259</v>
      </c>
      <c r="B125" s="1" t="s">
        <v>2260</v>
      </c>
      <c r="C125" s="1" t="s">
        <v>15</v>
      </c>
      <c r="D125" s="1" t="s">
        <v>2071</v>
      </c>
      <c r="E125" s="4">
        <v>178768</v>
      </c>
      <c r="F125" s="1" t="str">
        <f>VLOOKUP(D125,Table12[[Name]:[Native]],3,FALSE)</f>
        <v>玉环市</v>
      </c>
      <c r="G125" s="14" t="str">
        <f ca="1">VLOOKUP(F125,Table12[[Native]:[Population4]],5,FALSE)</f>
        <v>台州市</v>
      </c>
    </row>
    <row r="126" spans="1:7" ht="15.75" thickBot="1" x14ac:dyDescent="0.3">
      <c r="A126" t="s">
        <v>2261</v>
      </c>
      <c r="B126" s="1" t="s">
        <v>2262</v>
      </c>
      <c r="C126" s="1" t="s">
        <v>7</v>
      </c>
      <c r="D126" s="1" t="s">
        <v>2053</v>
      </c>
      <c r="E126" s="4">
        <v>6232</v>
      </c>
      <c r="F126" s="1" t="str">
        <f>VLOOKUP(D126,Table12[[Name]:[Native]],3,FALSE)</f>
        <v>黄岩区</v>
      </c>
      <c r="G126" s="14" t="str">
        <f ca="1">VLOOKUP(F126,Table12[[Native]:[Population4]],5,FALSE)</f>
        <v>台州市</v>
      </c>
    </row>
    <row r="127" spans="1:7" ht="15.75" thickBot="1" x14ac:dyDescent="0.3">
      <c r="A127" t="s">
        <v>2263</v>
      </c>
      <c r="B127" s="1" t="s">
        <v>2264</v>
      </c>
      <c r="C127" s="1" t="s">
        <v>11</v>
      </c>
      <c r="D127" s="1" t="s">
        <v>2058</v>
      </c>
      <c r="E127" s="4">
        <v>192558</v>
      </c>
      <c r="F127" s="1" t="str">
        <f>VLOOKUP(D127,Table12[[Name]:[Native]],3,FALSE)</f>
        <v>温岭市</v>
      </c>
      <c r="G127" s="14" t="str">
        <f ca="1">VLOOKUP(F127,Table12[[Native]:[Population4]],5,FALSE)</f>
        <v>台州市</v>
      </c>
    </row>
    <row r="128" spans="1:7" ht="15.75" thickBot="1" x14ac:dyDescent="0.3">
      <c r="A128" t="s">
        <v>2265</v>
      </c>
      <c r="B128" s="1" t="s">
        <v>2266</v>
      </c>
      <c r="C128" s="1" t="s">
        <v>15</v>
      </c>
      <c r="D128" s="1" t="s">
        <v>2050</v>
      </c>
      <c r="E128" s="4">
        <v>67456</v>
      </c>
      <c r="F128" s="1" t="str">
        <f>VLOOKUP(D128,Table12[[Name]:[Native]],3,FALSE)</f>
        <v>椒江区</v>
      </c>
      <c r="G128" s="14" t="str">
        <f ca="1">VLOOKUP(F128,Table12[[Native]:[Population4]],5,FALSE)</f>
        <v>台州市</v>
      </c>
    </row>
    <row r="129" spans="1:7" ht="15.75" thickBot="1" x14ac:dyDescent="0.3">
      <c r="A129" t="s">
        <v>2267</v>
      </c>
      <c r="B129" s="1" t="s">
        <v>2268</v>
      </c>
      <c r="C129" s="1" t="s">
        <v>11</v>
      </c>
      <c r="D129" s="1" t="s">
        <v>2110</v>
      </c>
      <c r="E129" s="4">
        <v>31195</v>
      </c>
      <c r="F129" s="1" t="str">
        <f>VLOOKUP(D129,Table12[[Name]:[Native]],3,FALSE)</f>
        <v>三门县</v>
      </c>
      <c r="G129" s="14" t="str">
        <f ca="1">VLOOKUP(F129,Table12[[Native]:[Population4]],5,FALSE)</f>
        <v>台州市</v>
      </c>
    </row>
    <row r="130" spans="1:7" ht="15.75" thickBot="1" x14ac:dyDescent="0.3">
      <c r="A130" t="s">
        <v>2269</v>
      </c>
      <c r="B130" s="1" t="s">
        <v>2270</v>
      </c>
      <c r="C130" s="1" t="s">
        <v>11</v>
      </c>
      <c r="D130" s="1" t="s">
        <v>2039</v>
      </c>
      <c r="E130" s="4">
        <v>11684</v>
      </c>
      <c r="F130" s="10" t="str">
        <f>VLOOKUP(D130,Table12[[Name]:[Native]],3,FALSE)</f>
        <v>仙居县</v>
      </c>
      <c r="G130" s="14" t="str">
        <f ca="1">VLOOKUP(F130,Table12[[Native]:[Population4]],5,FALSE)</f>
        <v>台州市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03241-79E7-4F45-A7F3-BDB64BEB04CD}">
  <dimension ref="A1:G284"/>
  <sheetViews>
    <sheetView topLeftCell="A259" workbookViewId="0">
      <selection activeCell="G2" sqref="A2:G284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3023</v>
      </c>
      <c r="G1" t="s">
        <v>3025</v>
      </c>
    </row>
    <row r="2" spans="1:7" ht="15.75" thickBot="1" x14ac:dyDescent="0.3">
      <c r="A2" t="s">
        <v>2271</v>
      </c>
      <c r="B2" s="1" t="s">
        <v>2272</v>
      </c>
      <c r="C2" s="1" t="s">
        <v>15</v>
      </c>
      <c r="D2" s="1" t="s">
        <v>2273</v>
      </c>
      <c r="E2" s="4">
        <v>89033</v>
      </c>
      <c r="F2" s="9" t="str">
        <f>VLOOKUP(D2,Table12[[Name]:[Native]],3,FALSE)</f>
        <v>瑞安市</v>
      </c>
      <c r="G2" s="14" t="str">
        <f ca="1">VLOOKUP(F2,Table12[[Native]:[Population4]],5,FALSE)</f>
        <v>温州市</v>
      </c>
    </row>
    <row r="3" spans="1:7" ht="15.75" thickBot="1" x14ac:dyDescent="0.3">
      <c r="A3" t="s">
        <v>2274</v>
      </c>
      <c r="B3" s="1" t="s">
        <v>2275</v>
      </c>
      <c r="C3" s="1" t="s">
        <v>11</v>
      </c>
      <c r="D3" s="1" t="s">
        <v>2276</v>
      </c>
      <c r="E3" s="4">
        <v>168950</v>
      </c>
      <c r="F3" s="1" t="str">
        <f>VLOOKUP(D3,Table12[[Name]:[Native]],3,FALSE)</f>
        <v>平阳县</v>
      </c>
      <c r="G3" s="14" t="str">
        <f ca="1">VLOOKUP(F3,Table12[[Native]:[Population4]],5,FALSE)</f>
        <v>温州市</v>
      </c>
    </row>
    <row r="4" spans="1:7" ht="15.75" thickBot="1" x14ac:dyDescent="0.3">
      <c r="A4" t="s">
        <v>2277</v>
      </c>
      <c r="B4" s="1" t="s">
        <v>2278</v>
      </c>
      <c r="C4" s="1" t="s">
        <v>15</v>
      </c>
      <c r="D4" s="1" t="s">
        <v>2279</v>
      </c>
      <c r="E4" s="4">
        <v>35021</v>
      </c>
      <c r="F4" s="1" t="str">
        <f>VLOOKUP(D4,Table12[[Name]:[Native]],3,FALSE)</f>
        <v>乐清市</v>
      </c>
      <c r="G4" s="14" t="str">
        <f ca="1">VLOOKUP(F4,Table12[[Native]:[Population4]],5,FALSE)</f>
        <v>温州市</v>
      </c>
    </row>
    <row r="5" spans="1:7" ht="15.75" thickBot="1" x14ac:dyDescent="0.3">
      <c r="A5" t="s">
        <v>2280</v>
      </c>
      <c r="B5" s="1" t="s">
        <v>2281</v>
      </c>
      <c r="C5" s="1" t="s">
        <v>11</v>
      </c>
      <c r="D5" s="1" t="s">
        <v>2282</v>
      </c>
      <c r="E5" s="4">
        <v>7213</v>
      </c>
      <c r="F5" s="1" t="str">
        <f>VLOOKUP(D5,Table12[[Name]:[Native]],3,FALSE)</f>
        <v>文成县</v>
      </c>
      <c r="G5" s="14" t="str">
        <f ca="1">VLOOKUP(F5,Table12[[Native]:[Population4]],5,FALSE)</f>
        <v>温州市</v>
      </c>
    </row>
    <row r="6" spans="1:7" ht="15.75" thickBot="1" x14ac:dyDescent="0.3">
      <c r="A6" t="s">
        <v>17</v>
      </c>
      <c r="B6" s="1" t="s">
        <v>18</v>
      </c>
      <c r="C6" s="1" t="s">
        <v>11</v>
      </c>
      <c r="D6" s="1" t="s">
        <v>2283</v>
      </c>
      <c r="E6" s="4">
        <v>2710</v>
      </c>
      <c r="F6" s="1" t="str">
        <f>VLOOKUP(D6,Table12[[Name]:[Native]],3,FALSE)</f>
        <v>泰顺县</v>
      </c>
      <c r="G6" s="14" t="str">
        <f ca="1">VLOOKUP(F6,Table12[[Native]:[Population4]],5,FALSE)</f>
        <v>温州市</v>
      </c>
    </row>
    <row r="7" spans="1:7" ht="15.75" thickBot="1" x14ac:dyDescent="0.3">
      <c r="A7" t="s">
        <v>2284</v>
      </c>
      <c r="B7" s="1" t="s">
        <v>2285</v>
      </c>
      <c r="C7" s="1" t="s">
        <v>7</v>
      </c>
      <c r="D7" s="1" t="s">
        <v>2283</v>
      </c>
      <c r="E7" s="4">
        <v>2740</v>
      </c>
      <c r="F7" s="1" t="str">
        <f>VLOOKUP(D7,Table12[[Name]:[Native]],3,FALSE)</f>
        <v>泰顺县</v>
      </c>
      <c r="G7" s="14" t="str">
        <f ca="1">VLOOKUP(F7,Table12[[Native]:[Population4]],5,FALSE)</f>
        <v>温州市</v>
      </c>
    </row>
    <row r="8" spans="1:7" ht="15.75" thickBot="1" x14ac:dyDescent="0.3">
      <c r="A8" t="s">
        <v>2286</v>
      </c>
      <c r="B8" s="1" t="s">
        <v>2287</v>
      </c>
      <c r="C8" s="1" t="s">
        <v>15</v>
      </c>
      <c r="D8" s="1" t="s">
        <v>2288</v>
      </c>
      <c r="E8" s="4">
        <v>41761</v>
      </c>
      <c r="F8" s="1" t="str">
        <f>VLOOKUP(D8,Table12[[Name]:[Native]],3,FALSE)</f>
        <v>洞头区</v>
      </c>
      <c r="G8" s="14" t="str">
        <f ca="1">VLOOKUP(F8,Table12[[Native]:[Population4]],5,FALSE)</f>
        <v>温州市</v>
      </c>
    </row>
    <row r="9" spans="1:7" ht="15.75" thickBot="1" x14ac:dyDescent="0.3">
      <c r="A9" t="s">
        <v>2289</v>
      </c>
      <c r="B9" s="1" t="s">
        <v>2290</v>
      </c>
      <c r="C9" s="1" t="s">
        <v>11</v>
      </c>
      <c r="D9" s="1" t="s">
        <v>2279</v>
      </c>
      <c r="E9" s="4">
        <v>156341</v>
      </c>
      <c r="F9" s="1" t="str">
        <f>VLOOKUP(D9,Table12[[Name]:[Native]],3,FALSE)</f>
        <v>乐清市</v>
      </c>
      <c r="G9" s="14" t="str">
        <f ca="1">VLOOKUP(F9,Table12[[Native]:[Population4]],5,FALSE)</f>
        <v>温州市</v>
      </c>
    </row>
    <row r="10" spans="1:7" ht="15.75" thickBot="1" x14ac:dyDescent="0.3">
      <c r="A10" t="s">
        <v>2291</v>
      </c>
      <c r="B10" s="1" t="s">
        <v>2292</v>
      </c>
      <c r="C10" s="1" t="s">
        <v>7</v>
      </c>
      <c r="D10" s="1" t="s">
        <v>2273</v>
      </c>
      <c r="E10" s="4">
        <v>1515</v>
      </c>
      <c r="F10" s="1" t="str">
        <f>VLOOKUP(D10,Table12[[Name]:[Native]],3,FALSE)</f>
        <v>瑞安市</v>
      </c>
      <c r="G10" s="14" t="str">
        <f ca="1">VLOOKUP(F10,Table12[[Native]:[Population4]],5,FALSE)</f>
        <v>温州市</v>
      </c>
    </row>
    <row r="11" spans="1:7" ht="15.75" thickBot="1" x14ac:dyDescent="0.3">
      <c r="A11" t="s">
        <v>2293</v>
      </c>
      <c r="B11" s="1" t="s">
        <v>2294</v>
      </c>
      <c r="C11" s="1" t="s">
        <v>7</v>
      </c>
      <c r="D11" s="1" t="s">
        <v>2273</v>
      </c>
      <c r="E11" s="4">
        <v>643</v>
      </c>
      <c r="F11" s="1" t="str">
        <f>VLOOKUP(D11,Table12[[Name]:[Native]],3,FALSE)</f>
        <v>瑞安市</v>
      </c>
      <c r="G11" s="14" t="str">
        <f ca="1">VLOOKUP(F11,Table12[[Native]:[Population4]],5,FALSE)</f>
        <v>温州市</v>
      </c>
    </row>
    <row r="12" spans="1:7" ht="15.75" thickBot="1" x14ac:dyDescent="0.3">
      <c r="A12" t="s">
        <v>2295</v>
      </c>
      <c r="B12" s="1" t="s">
        <v>2296</v>
      </c>
      <c r="C12" s="1" t="s">
        <v>7</v>
      </c>
      <c r="D12" s="1" t="s">
        <v>2283</v>
      </c>
      <c r="E12" s="4">
        <v>838</v>
      </c>
      <c r="F12" s="1" t="str">
        <f>VLOOKUP(D12,Table12[[Name]:[Native]],3,FALSE)</f>
        <v>泰顺县</v>
      </c>
      <c r="G12" s="14" t="str">
        <f ca="1">VLOOKUP(F12,Table12[[Native]:[Population4]],5,FALSE)</f>
        <v>温州市</v>
      </c>
    </row>
    <row r="13" spans="1:7" ht="15.75" thickBot="1" x14ac:dyDescent="0.3">
      <c r="A13" t="s">
        <v>2297</v>
      </c>
      <c r="B13" s="1" t="s">
        <v>2298</v>
      </c>
      <c r="C13" s="1" t="s">
        <v>7</v>
      </c>
      <c r="D13" s="1" t="s">
        <v>2299</v>
      </c>
      <c r="E13" s="4">
        <v>1920</v>
      </c>
      <c r="F13" s="1" t="str">
        <f>VLOOKUP(D13,Table12[[Name]:[Native]],3,FALSE)</f>
        <v>永嘉县</v>
      </c>
      <c r="G13" s="14" t="str">
        <f ca="1">VLOOKUP(F13,Table12[[Native]:[Population4]],5,FALSE)</f>
        <v>温州市</v>
      </c>
    </row>
    <row r="14" spans="1:7" ht="15.75" thickBot="1" x14ac:dyDescent="0.3">
      <c r="A14" t="s">
        <v>2300</v>
      </c>
      <c r="B14" s="1" t="s">
        <v>2301</v>
      </c>
      <c r="C14" s="1" t="s">
        <v>11</v>
      </c>
      <c r="D14" s="1" t="s">
        <v>2299</v>
      </c>
      <c r="E14" s="4">
        <v>11604</v>
      </c>
      <c r="F14" s="1" t="str">
        <f>VLOOKUP(D14,Table12[[Name]:[Native]],3,FALSE)</f>
        <v>永嘉县</v>
      </c>
      <c r="G14" s="14" t="str">
        <f ca="1">VLOOKUP(F14,Table12[[Native]:[Population4]],5,FALSE)</f>
        <v>温州市</v>
      </c>
    </row>
    <row r="15" spans="1:7" ht="15.75" thickBot="1" x14ac:dyDescent="0.3">
      <c r="A15" t="s">
        <v>2302</v>
      </c>
      <c r="B15" s="1" t="s">
        <v>2303</v>
      </c>
      <c r="C15" s="1" t="s">
        <v>15</v>
      </c>
      <c r="D15" s="1" t="s">
        <v>2304</v>
      </c>
      <c r="E15" s="4">
        <v>133033</v>
      </c>
      <c r="F15" s="1" t="str">
        <f>VLOOKUP(D15,Table12[[Name]:[Native]],3,FALSE)</f>
        <v>鹿城区</v>
      </c>
      <c r="G15" s="14" t="str">
        <f ca="1">VLOOKUP(F15,Table12[[Native]:[Population4]],5,FALSE)</f>
        <v>温州市</v>
      </c>
    </row>
    <row r="16" spans="1:7" ht="15.75" thickBot="1" x14ac:dyDescent="0.3">
      <c r="A16" t="s">
        <v>2305</v>
      </c>
      <c r="B16" s="1" t="s">
        <v>2306</v>
      </c>
      <c r="C16" s="1" t="s">
        <v>11</v>
      </c>
      <c r="D16" s="1" t="s">
        <v>2273</v>
      </c>
      <c r="E16" s="4">
        <v>22719</v>
      </c>
      <c r="F16" s="1" t="str">
        <f>VLOOKUP(D16,Table12[[Name]:[Native]],3,FALSE)</f>
        <v>瑞安市</v>
      </c>
      <c r="G16" s="14" t="str">
        <f ca="1">VLOOKUP(F16,Table12[[Native]:[Population4]],5,FALSE)</f>
        <v>温州市</v>
      </c>
    </row>
    <row r="17" spans="1:7" ht="15.75" thickBot="1" x14ac:dyDescent="0.3">
      <c r="A17" t="s">
        <v>2307</v>
      </c>
      <c r="B17" s="1" t="s">
        <v>2308</v>
      </c>
      <c r="C17" s="1" t="s">
        <v>11</v>
      </c>
      <c r="D17" s="1" t="s">
        <v>2273</v>
      </c>
      <c r="E17" s="4">
        <v>16314</v>
      </c>
      <c r="F17" s="1" t="str">
        <f>VLOOKUP(D17,Table12[[Name]:[Native]],3,FALSE)</f>
        <v>瑞安市</v>
      </c>
      <c r="G17" s="14" t="str">
        <f ca="1">VLOOKUP(F17,Table12[[Native]:[Population4]],5,FALSE)</f>
        <v>温州市</v>
      </c>
    </row>
    <row r="18" spans="1:7" ht="15.75" thickBot="1" x14ac:dyDescent="0.3">
      <c r="A18" t="s">
        <v>2309</v>
      </c>
      <c r="B18" s="1" t="s">
        <v>2310</v>
      </c>
      <c r="C18" s="1" t="s">
        <v>7</v>
      </c>
      <c r="D18" s="1" t="s">
        <v>2311</v>
      </c>
      <c r="E18" s="4">
        <v>1032</v>
      </c>
      <c r="F18" s="1" t="str">
        <f>VLOOKUP(D18,Table12[[Name]:[Native]],3,FALSE)</f>
        <v>苍南县</v>
      </c>
      <c r="G18" s="14" t="str">
        <f ca="1">VLOOKUP(F18,Table12[[Native]:[Population4]],5,FALSE)</f>
        <v>温州市</v>
      </c>
    </row>
    <row r="19" spans="1:7" ht="15.75" thickBot="1" x14ac:dyDescent="0.3">
      <c r="A19" t="s">
        <v>2312</v>
      </c>
      <c r="B19" s="1" t="s">
        <v>2313</v>
      </c>
      <c r="C19" s="1" t="s">
        <v>7</v>
      </c>
      <c r="D19" s="1" t="s">
        <v>2273</v>
      </c>
      <c r="E19" s="4">
        <v>7227</v>
      </c>
      <c r="F19" s="1" t="str">
        <f>VLOOKUP(D19,Table12[[Name]:[Native]],3,FALSE)</f>
        <v>瑞安市</v>
      </c>
      <c r="G19" s="14" t="str">
        <f ca="1">VLOOKUP(F19,Table12[[Native]:[Population4]],5,FALSE)</f>
        <v>温州市</v>
      </c>
    </row>
    <row r="20" spans="1:7" ht="15.75" thickBot="1" x14ac:dyDescent="0.3">
      <c r="A20" t="s">
        <v>2314</v>
      </c>
      <c r="B20" s="1" t="s">
        <v>2315</v>
      </c>
      <c r="C20" s="1" t="s">
        <v>7</v>
      </c>
      <c r="D20" s="1" t="s">
        <v>2276</v>
      </c>
      <c r="E20" s="4">
        <v>1677</v>
      </c>
      <c r="F20" s="1" t="str">
        <f>VLOOKUP(D20,Table12[[Name]:[Native]],3,FALSE)</f>
        <v>平阳县</v>
      </c>
      <c r="G20" s="14" t="str">
        <f ca="1">VLOOKUP(F20,Table12[[Native]:[Population4]],5,FALSE)</f>
        <v>温州市</v>
      </c>
    </row>
    <row r="21" spans="1:7" ht="15.75" thickBot="1" x14ac:dyDescent="0.3">
      <c r="A21" t="s">
        <v>2316</v>
      </c>
      <c r="B21" s="1" t="s">
        <v>2317</v>
      </c>
      <c r="C21" s="1" t="s">
        <v>15</v>
      </c>
      <c r="D21" s="1" t="s">
        <v>2318</v>
      </c>
      <c r="E21" s="4">
        <v>76219</v>
      </c>
      <c r="F21" s="1" t="str">
        <f>VLOOKUP(D21,Table12[[Name]:[Native]],3,FALSE)</f>
        <v>瓯海区</v>
      </c>
      <c r="G21" s="14" t="str">
        <f ca="1">VLOOKUP(F21,Table12[[Native]:[Population4]],5,FALSE)</f>
        <v>温州市</v>
      </c>
    </row>
    <row r="22" spans="1:7" ht="15.75" thickBot="1" x14ac:dyDescent="0.3">
      <c r="A22" t="s">
        <v>1035</v>
      </c>
      <c r="B22" s="1" t="s">
        <v>1036</v>
      </c>
      <c r="C22" s="1" t="s">
        <v>7</v>
      </c>
      <c r="D22" s="1" t="s">
        <v>2279</v>
      </c>
      <c r="E22" s="4">
        <v>1824</v>
      </c>
      <c r="F22" s="1" t="str">
        <f>VLOOKUP(D22,Table12[[Name]:[Native]],3,FALSE)</f>
        <v>乐清市</v>
      </c>
      <c r="G22" s="14" t="str">
        <f ca="1">VLOOKUP(F22,Table12[[Native]:[Population4]],5,FALSE)</f>
        <v>温州市</v>
      </c>
    </row>
    <row r="23" spans="1:7" ht="15.75" thickBot="1" x14ac:dyDescent="0.3">
      <c r="A23" t="s">
        <v>2319</v>
      </c>
      <c r="B23" s="1" t="s">
        <v>2320</v>
      </c>
      <c r="C23" s="1" t="s">
        <v>11</v>
      </c>
      <c r="D23" s="1" t="s">
        <v>2311</v>
      </c>
      <c r="E23" s="4">
        <v>11451</v>
      </c>
      <c r="F23" s="1" t="str">
        <f>VLOOKUP(D23,Table12[[Name]:[Native]],3,FALSE)</f>
        <v>苍南县</v>
      </c>
      <c r="G23" s="14" t="str">
        <f ca="1">VLOOKUP(F23,Table12[[Native]:[Population4]],5,FALSE)</f>
        <v>温州市</v>
      </c>
    </row>
    <row r="24" spans="1:7" ht="15.75" thickBot="1" x14ac:dyDescent="0.3">
      <c r="A24" t="s">
        <v>2321</v>
      </c>
      <c r="B24" s="1" t="s">
        <v>2322</v>
      </c>
      <c r="C24" s="1" t="s">
        <v>7</v>
      </c>
      <c r="D24" s="1" t="s">
        <v>2283</v>
      </c>
      <c r="E24" s="4">
        <v>5078</v>
      </c>
      <c r="F24" s="1" t="str">
        <f>VLOOKUP(D24,Table12[[Name]:[Native]],3,FALSE)</f>
        <v>泰顺县</v>
      </c>
      <c r="G24" s="14" t="str">
        <f ca="1">VLOOKUP(F24,Table12[[Native]:[Population4]],5,FALSE)</f>
        <v>温州市</v>
      </c>
    </row>
    <row r="25" spans="1:7" ht="15.75" thickBot="1" x14ac:dyDescent="0.3">
      <c r="A25" t="s">
        <v>2323</v>
      </c>
      <c r="B25" s="1" t="s">
        <v>2324</v>
      </c>
      <c r="C25" s="1" t="s">
        <v>7</v>
      </c>
      <c r="D25" s="1" t="s">
        <v>2299</v>
      </c>
      <c r="E25" s="4">
        <v>2443</v>
      </c>
      <c r="F25" s="1" t="str">
        <f>VLOOKUP(D25,Table12[[Name]:[Native]],3,FALSE)</f>
        <v>永嘉县</v>
      </c>
      <c r="G25" s="14" t="str">
        <f ca="1">VLOOKUP(F25,Table12[[Native]:[Population4]],5,FALSE)</f>
        <v>温州市</v>
      </c>
    </row>
    <row r="26" spans="1:7" ht="15.75" thickBot="1" x14ac:dyDescent="0.3">
      <c r="A26" t="s">
        <v>2325</v>
      </c>
      <c r="B26" s="1" t="s">
        <v>2326</v>
      </c>
      <c r="C26" s="1" t="s">
        <v>7</v>
      </c>
      <c r="D26" s="1" t="s">
        <v>2311</v>
      </c>
      <c r="E26" s="4">
        <v>3283</v>
      </c>
      <c r="F26" s="1" t="str">
        <f>VLOOKUP(D26,Table12[[Name]:[Native]],3,FALSE)</f>
        <v>苍南县</v>
      </c>
      <c r="G26" s="14" t="str">
        <f ca="1">VLOOKUP(F26,Table12[[Native]:[Population4]],5,FALSE)</f>
        <v>温州市</v>
      </c>
    </row>
    <row r="27" spans="1:7" ht="15.75" thickBot="1" x14ac:dyDescent="0.3">
      <c r="A27" t="s">
        <v>2327</v>
      </c>
      <c r="B27" s="1" t="s">
        <v>2328</v>
      </c>
      <c r="C27" s="1" t="s">
        <v>11</v>
      </c>
      <c r="D27" s="1" t="s">
        <v>2279</v>
      </c>
      <c r="E27" s="4">
        <v>53201</v>
      </c>
      <c r="F27" s="1" t="str">
        <f>VLOOKUP(D27,Table12[[Name]:[Native]],3,FALSE)</f>
        <v>乐清市</v>
      </c>
      <c r="G27" s="14" t="str">
        <f ca="1">VLOOKUP(F27,Table12[[Native]:[Population4]],5,FALSE)</f>
        <v>温州市</v>
      </c>
    </row>
    <row r="28" spans="1:7" ht="15.75" thickBot="1" x14ac:dyDescent="0.3">
      <c r="A28" t="s">
        <v>2329</v>
      </c>
      <c r="B28" s="1" t="s">
        <v>2330</v>
      </c>
      <c r="C28" s="1" t="s">
        <v>11</v>
      </c>
      <c r="D28" s="1" t="s">
        <v>2288</v>
      </c>
      <c r="E28" s="4">
        <v>12857</v>
      </c>
      <c r="F28" s="1" t="str">
        <f>VLOOKUP(D28,Table12[[Name]:[Native]],3,FALSE)</f>
        <v>洞头区</v>
      </c>
      <c r="G28" s="14" t="str">
        <f ca="1">VLOOKUP(F28,Table12[[Native]:[Population4]],5,FALSE)</f>
        <v>温州市</v>
      </c>
    </row>
    <row r="29" spans="1:7" ht="15.75" thickBot="1" x14ac:dyDescent="0.3">
      <c r="A29" t="s">
        <v>2331</v>
      </c>
      <c r="B29" s="1" t="s">
        <v>2332</v>
      </c>
      <c r="C29" s="1" t="s">
        <v>7</v>
      </c>
      <c r="D29" s="1" t="s">
        <v>2273</v>
      </c>
      <c r="E29" s="4">
        <v>3267</v>
      </c>
      <c r="F29" s="1" t="str">
        <f>VLOOKUP(D29,Table12[[Name]:[Native]],3,FALSE)</f>
        <v>瑞安市</v>
      </c>
      <c r="G29" s="14" t="str">
        <f ca="1">VLOOKUP(F29,Table12[[Native]:[Population4]],5,FALSE)</f>
        <v>温州市</v>
      </c>
    </row>
    <row r="30" spans="1:7" ht="15.75" thickBot="1" x14ac:dyDescent="0.3">
      <c r="A30" t="s">
        <v>2333</v>
      </c>
      <c r="B30" s="1" t="s">
        <v>2334</v>
      </c>
      <c r="C30" s="1" t="s">
        <v>11</v>
      </c>
      <c r="D30" s="1" t="s">
        <v>2279</v>
      </c>
      <c r="E30" s="4">
        <v>31957</v>
      </c>
      <c r="F30" s="1" t="str">
        <f>VLOOKUP(D30,Table12[[Name]:[Native]],3,FALSE)</f>
        <v>乐清市</v>
      </c>
      <c r="G30" s="14" t="str">
        <f ca="1">VLOOKUP(F30,Table12[[Native]:[Population4]],5,FALSE)</f>
        <v>温州市</v>
      </c>
    </row>
    <row r="31" spans="1:7" ht="15.75" thickBot="1" x14ac:dyDescent="0.3">
      <c r="A31" t="s">
        <v>2335</v>
      </c>
      <c r="B31" s="1" t="s">
        <v>2336</v>
      </c>
      <c r="C31" s="1" t="s">
        <v>11</v>
      </c>
      <c r="D31" s="1" t="s">
        <v>2299</v>
      </c>
      <c r="E31" s="4">
        <v>12319</v>
      </c>
      <c r="F31" s="1" t="str">
        <f>VLOOKUP(D31,Table12[[Name]:[Native]],3,FALSE)</f>
        <v>永嘉县</v>
      </c>
      <c r="G31" s="14" t="str">
        <f ca="1">VLOOKUP(F31,Table12[[Native]:[Population4]],5,FALSE)</f>
        <v>温州市</v>
      </c>
    </row>
    <row r="32" spans="1:7" ht="15.75" thickBot="1" x14ac:dyDescent="0.3">
      <c r="A32" t="s">
        <v>2337</v>
      </c>
      <c r="B32" s="1" t="s">
        <v>2338</v>
      </c>
      <c r="C32" s="1" t="s">
        <v>11</v>
      </c>
      <c r="D32" s="1" t="s">
        <v>2282</v>
      </c>
      <c r="E32" s="4">
        <v>54236</v>
      </c>
      <c r="F32" s="1" t="str">
        <f>VLOOKUP(D32,Table12[[Name]:[Native]],3,FALSE)</f>
        <v>文成县</v>
      </c>
      <c r="G32" s="14" t="str">
        <f ca="1">VLOOKUP(F32,Table12[[Native]:[Population4]],5,FALSE)</f>
        <v>温州市</v>
      </c>
    </row>
    <row r="33" spans="1:7" ht="15.75" thickBot="1" x14ac:dyDescent="0.3">
      <c r="A33" t="s">
        <v>2339</v>
      </c>
      <c r="B33" s="1" t="s">
        <v>2340</v>
      </c>
      <c r="C33" s="1" t="s">
        <v>11</v>
      </c>
      <c r="D33" s="1" t="s">
        <v>2311</v>
      </c>
      <c r="E33" s="4">
        <v>7729</v>
      </c>
      <c r="F33" s="1" t="str">
        <f>VLOOKUP(D33,Table12[[Name]:[Native]],3,FALSE)</f>
        <v>苍南县</v>
      </c>
      <c r="G33" s="14" t="str">
        <f ca="1">VLOOKUP(F33,Table12[[Native]:[Population4]],5,FALSE)</f>
        <v>温州市</v>
      </c>
    </row>
    <row r="34" spans="1:7" ht="15.75" thickBot="1" x14ac:dyDescent="0.3">
      <c r="A34" s="1" t="s">
        <v>2341</v>
      </c>
      <c r="B34" s="1" t="s">
        <v>2342</v>
      </c>
      <c r="C34" s="1" t="s">
        <v>253</v>
      </c>
      <c r="D34" s="1" t="s">
        <v>2276</v>
      </c>
      <c r="E34" s="4">
        <v>3651</v>
      </c>
      <c r="F34" s="1" t="str">
        <f>VLOOKUP(D34,Table12[[Name]:[Native]],3,FALSE)</f>
        <v>平阳县</v>
      </c>
      <c r="G34" s="14" t="str">
        <f ca="1">VLOOKUP(F34,Table12[[Native]:[Population4]],5,FALSE)</f>
        <v>温州市</v>
      </c>
    </row>
    <row r="35" spans="1:7" ht="15.75" thickBot="1" x14ac:dyDescent="0.3">
      <c r="A35" t="s">
        <v>2343</v>
      </c>
      <c r="B35" s="1" t="s">
        <v>759</v>
      </c>
      <c r="C35" s="1" t="s">
        <v>15</v>
      </c>
      <c r="D35" s="1" t="s">
        <v>2299</v>
      </c>
      <c r="E35" s="4">
        <v>112180</v>
      </c>
      <c r="F35" s="1" t="str">
        <f>VLOOKUP(D35,Table12[[Name]:[Native]],3,FALSE)</f>
        <v>永嘉县</v>
      </c>
      <c r="G35" s="14" t="str">
        <f ca="1">VLOOKUP(F35,Table12[[Native]:[Population4]],5,FALSE)</f>
        <v>温州市</v>
      </c>
    </row>
    <row r="36" spans="1:7" ht="15.75" thickBot="1" x14ac:dyDescent="0.3">
      <c r="A36" t="s">
        <v>2344</v>
      </c>
      <c r="B36" s="1" t="s">
        <v>2345</v>
      </c>
      <c r="C36" s="1" t="s">
        <v>7</v>
      </c>
      <c r="D36" s="1" t="s">
        <v>2299</v>
      </c>
      <c r="E36" s="4">
        <v>5439</v>
      </c>
      <c r="F36" s="1" t="str">
        <f>VLOOKUP(D36,Table12[[Name]:[Native]],3,FALSE)</f>
        <v>永嘉县</v>
      </c>
      <c r="G36" s="14" t="str">
        <f ca="1">VLOOKUP(F36,Table12[[Native]:[Population4]],5,FALSE)</f>
        <v>温州市</v>
      </c>
    </row>
    <row r="37" spans="1:7" ht="15.75" thickBot="1" x14ac:dyDescent="0.3">
      <c r="A37" t="s">
        <v>2346</v>
      </c>
      <c r="B37" s="1" t="s">
        <v>2347</v>
      </c>
      <c r="C37" s="1" t="s">
        <v>15</v>
      </c>
      <c r="D37" s="1" t="s">
        <v>2288</v>
      </c>
      <c r="E37" s="4">
        <v>15653</v>
      </c>
      <c r="F37" s="1" t="str">
        <f>VLOOKUP(D37,Table12[[Name]:[Native]],3,FALSE)</f>
        <v>洞头区</v>
      </c>
      <c r="G37" s="14" t="str">
        <f ca="1">VLOOKUP(F37,Table12[[Native]:[Population4]],5,FALSE)</f>
        <v>温州市</v>
      </c>
    </row>
    <row r="38" spans="1:7" ht="15.75" thickBot="1" x14ac:dyDescent="0.3">
      <c r="A38" t="s">
        <v>2348</v>
      </c>
      <c r="B38" s="1" t="s">
        <v>2349</v>
      </c>
      <c r="C38" s="1" t="s">
        <v>15</v>
      </c>
      <c r="D38" s="1" t="s">
        <v>2273</v>
      </c>
      <c r="E38" s="4">
        <v>56189</v>
      </c>
      <c r="F38" s="1" t="str">
        <f>VLOOKUP(D38,Table12[[Name]:[Native]],3,FALSE)</f>
        <v>瑞安市</v>
      </c>
      <c r="G38" s="14" t="str">
        <f ca="1">VLOOKUP(F38,Table12[[Native]:[Population4]],5,FALSE)</f>
        <v>温州市</v>
      </c>
    </row>
    <row r="39" spans="1:7" ht="15.75" thickBot="1" x14ac:dyDescent="0.3">
      <c r="A39" t="s">
        <v>2350</v>
      </c>
      <c r="B39" s="1" t="s">
        <v>2351</v>
      </c>
      <c r="C39" s="1" t="s">
        <v>7</v>
      </c>
      <c r="D39" s="1" t="s">
        <v>2282</v>
      </c>
      <c r="E39" s="4">
        <v>5880</v>
      </c>
      <c r="F39" s="1" t="str">
        <f>VLOOKUP(D39,Table12[[Name]:[Native]],3,FALSE)</f>
        <v>文成县</v>
      </c>
      <c r="G39" s="14" t="str">
        <f ca="1">VLOOKUP(F39,Table12[[Native]:[Population4]],5,FALSE)</f>
        <v>温州市</v>
      </c>
    </row>
    <row r="40" spans="1:7" ht="15.75" thickBot="1" x14ac:dyDescent="0.3">
      <c r="A40" t="s">
        <v>2352</v>
      </c>
      <c r="B40" s="1" t="s">
        <v>2351</v>
      </c>
      <c r="C40" s="1" t="s">
        <v>7</v>
      </c>
      <c r="D40" s="1" t="s">
        <v>2283</v>
      </c>
      <c r="E40" s="4">
        <v>5755</v>
      </c>
      <c r="F40" s="1" t="str">
        <f>VLOOKUP(D40,Table12[[Name]:[Native]],3,FALSE)</f>
        <v>泰顺县</v>
      </c>
      <c r="G40" s="14" t="str">
        <f ca="1">VLOOKUP(F40,Table12[[Native]:[Population4]],5,FALSE)</f>
        <v>温州市</v>
      </c>
    </row>
    <row r="41" spans="1:7" ht="15.75" thickBot="1" x14ac:dyDescent="0.3">
      <c r="A41" t="s">
        <v>2353</v>
      </c>
      <c r="B41" s="1" t="s">
        <v>2354</v>
      </c>
      <c r="C41" s="1" t="s">
        <v>7</v>
      </c>
      <c r="D41" s="1" t="s">
        <v>2273</v>
      </c>
      <c r="E41" s="4">
        <v>3933</v>
      </c>
      <c r="F41" s="1" t="str">
        <f>VLOOKUP(D41,Table12[[Name]:[Native]],3,FALSE)</f>
        <v>瑞安市</v>
      </c>
      <c r="G41" s="14" t="str">
        <f ca="1">VLOOKUP(F41,Table12[[Native]:[Population4]],5,FALSE)</f>
        <v>温州市</v>
      </c>
    </row>
    <row r="42" spans="1:7" ht="15.75" thickBot="1" x14ac:dyDescent="0.3">
      <c r="A42" t="s">
        <v>2355</v>
      </c>
      <c r="B42" s="1" t="s">
        <v>2356</v>
      </c>
      <c r="C42" s="1" t="s">
        <v>7</v>
      </c>
      <c r="D42" s="1" t="s">
        <v>2299</v>
      </c>
      <c r="E42" s="4">
        <v>2515</v>
      </c>
      <c r="F42" s="1" t="str">
        <f>VLOOKUP(D42,Table12[[Name]:[Native]],3,FALSE)</f>
        <v>永嘉县</v>
      </c>
      <c r="G42" s="14" t="str">
        <f ca="1">VLOOKUP(F42,Table12[[Native]:[Population4]],5,FALSE)</f>
        <v>温州市</v>
      </c>
    </row>
    <row r="43" spans="1:7" ht="15.75" thickBot="1" x14ac:dyDescent="0.3">
      <c r="A43" t="s">
        <v>2357</v>
      </c>
      <c r="B43" s="1" t="s">
        <v>2358</v>
      </c>
      <c r="C43" s="1" t="s">
        <v>11</v>
      </c>
      <c r="D43" s="1" t="s">
        <v>2282</v>
      </c>
      <c r="E43" s="4">
        <v>6784</v>
      </c>
      <c r="F43" s="1" t="str">
        <f>VLOOKUP(D43,Table12[[Name]:[Native]],3,FALSE)</f>
        <v>文成县</v>
      </c>
      <c r="G43" s="14" t="str">
        <f ca="1">VLOOKUP(F43,Table12[[Native]:[Population4]],5,FALSE)</f>
        <v>温州市</v>
      </c>
    </row>
    <row r="44" spans="1:7" ht="15.75" thickBot="1" x14ac:dyDescent="0.3">
      <c r="A44" t="s">
        <v>2359</v>
      </c>
      <c r="B44" s="1" t="s">
        <v>2360</v>
      </c>
      <c r="C44" s="1" t="s">
        <v>7</v>
      </c>
      <c r="D44" s="1" t="s">
        <v>2273</v>
      </c>
      <c r="E44" s="4">
        <v>6243</v>
      </c>
      <c r="F44" s="1" t="str">
        <f>VLOOKUP(D44,Table12[[Name]:[Native]],3,FALSE)</f>
        <v>瑞安市</v>
      </c>
      <c r="G44" s="14" t="str">
        <f ca="1">VLOOKUP(F44,Table12[[Native]:[Population4]],5,FALSE)</f>
        <v>温州市</v>
      </c>
    </row>
    <row r="45" spans="1:7" ht="15.75" thickBot="1" x14ac:dyDescent="0.3">
      <c r="A45" t="s">
        <v>2361</v>
      </c>
      <c r="B45" s="1" t="s">
        <v>2362</v>
      </c>
      <c r="C45" s="1" t="s">
        <v>11</v>
      </c>
      <c r="D45" s="1" t="s">
        <v>2311</v>
      </c>
      <c r="E45" s="4">
        <v>28416</v>
      </c>
      <c r="F45" s="1" t="str">
        <f>VLOOKUP(D45,Table12[[Name]:[Native]],3,FALSE)</f>
        <v>苍南县</v>
      </c>
      <c r="G45" s="14" t="str">
        <f ca="1">VLOOKUP(F45,Table12[[Native]:[Population4]],5,FALSE)</f>
        <v>温州市</v>
      </c>
    </row>
    <row r="46" spans="1:7" ht="15.75" thickBot="1" x14ac:dyDescent="0.3">
      <c r="A46" t="s">
        <v>2363</v>
      </c>
      <c r="B46" s="1" t="s">
        <v>2364</v>
      </c>
      <c r="C46" s="1" t="s">
        <v>15</v>
      </c>
      <c r="D46" s="1" t="s">
        <v>2273</v>
      </c>
      <c r="E46" s="4">
        <v>130776</v>
      </c>
      <c r="F46" s="1" t="str">
        <f>VLOOKUP(D46,Table12[[Name]:[Native]],3,FALSE)</f>
        <v>瑞安市</v>
      </c>
      <c r="G46" s="14" t="str">
        <f ca="1">VLOOKUP(F46,Table12[[Native]:[Population4]],5,FALSE)</f>
        <v>温州市</v>
      </c>
    </row>
    <row r="47" spans="1:7" ht="15.75" thickBot="1" x14ac:dyDescent="0.3">
      <c r="A47" t="s">
        <v>2365</v>
      </c>
      <c r="B47" s="1" t="s">
        <v>2366</v>
      </c>
      <c r="C47" s="1" t="s">
        <v>7</v>
      </c>
      <c r="D47" s="1" t="s">
        <v>2276</v>
      </c>
      <c r="E47" s="4">
        <v>8639</v>
      </c>
      <c r="F47" s="1" t="str">
        <f>VLOOKUP(D47,Table12[[Name]:[Native]],3,FALSE)</f>
        <v>平阳县</v>
      </c>
      <c r="G47" s="14" t="str">
        <f ca="1">VLOOKUP(F47,Table12[[Native]:[Population4]],5,FALSE)</f>
        <v>温州市</v>
      </c>
    </row>
    <row r="48" spans="1:7" ht="15.75" thickBot="1" x14ac:dyDescent="0.3">
      <c r="A48" t="s">
        <v>2367</v>
      </c>
      <c r="B48" s="1" t="s">
        <v>2368</v>
      </c>
      <c r="C48" s="1" t="s">
        <v>7</v>
      </c>
      <c r="D48" s="1" t="s">
        <v>2311</v>
      </c>
      <c r="E48" s="4">
        <v>9326</v>
      </c>
      <c r="F48" s="1" t="str">
        <f>VLOOKUP(D48,Table12[[Name]:[Native]],3,FALSE)</f>
        <v>苍南县</v>
      </c>
      <c r="G48" s="14" t="str">
        <f ca="1">VLOOKUP(F48,Table12[[Native]:[Population4]],5,FALSE)</f>
        <v>温州市</v>
      </c>
    </row>
    <row r="49" spans="1:7" ht="15.75" thickBot="1" x14ac:dyDescent="0.3">
      <c r="A49" t="s">
        <v>2369</v>
      </c>
      <c r="B49" s="1" t="s">
        <v>2370</v>
      </c>
      <c r="C49" s="1" t="s">
        <v>7</v>
      </c>
      <c r="D49" s="1" t="s">
        <v>2273</v>
      </c>
      <c r="E49" s="4">
        <v>2880</v>
      </c>
      <c r="F49" s="1" t="str">
        <f>VLOOKUP(D49,Table12[[Name]:[Native]],3,FALSE)</f>
        <v>瑞安市</v>
      </c>
      <c r="G49" s="14" t="str">
        <f ca="1">VLOOKUP(F49,Table12[[Native]:[Population4]],5,FALSE)</f>
        <v>温州市</v>
      </c>
    </row>
    <row r="50" spans="1:7" ht="15.75" thickBot="1" x14ac:dyDescent="0.3">
      <c r="A50" t="s">
        <v>2371</v>
      </c>
      <c r="B50" s="1" t="s">
        <v>2372</v>
      </c>
      <c r="C50" s="1" t="s">
        <v>11</v>
      </c>
      <c r="D50" s="1" t="s">
        <v>2299</v>
      </c>
      <c r="E50" s="4">
        <v>16574</v>
      </c>
      <c r="F50" s="1" t="str">
        <f>VLOOKUP(D50,Table12[[Name]:[Native]],3,FALSE)</f>
        <v>永嘉县</v>
      </c>
      <c r="G50" s="14" t="str">
        <f ca="1">VLOOKUP(F50,Table12[[Native]:[Population4]],5,FALSE)</f>
        <v>温州市</v>
      </c>
    </row>
    <row r="51" spans="1:7" ht="15.75" thickBot="1" x14ac:dyDescent="0.3">
      <c r="A51" t="s">
        <v>2373</v>
      </c>
      <c r="B51" s="1" t="s">
        <v>2374</v>
      </c>
      <c r="C51" s="1" t="s">
        <v>7</v>
      </c>
      <c r="D51" s="1" t="s">
        <v>2283</v>
      </c>
      <c r="E51" s="4">
        <v>387</v>
      </c>
      <c r="F51" s="1" t="str">
        <f>VLOOKUP(D51,Table12[[Name]:[Native]],3,FALSE)</f>
        <v>泰顺县</v>
      </c>
      <c r="G51" s="14" t="str">
        <f ca="1">VLOOKUP(F51,Table12[[Native]:[Population4]],5,FALSE)</f>
        <v>温州市</v>
      </c>
    </row>
    <row r="52" spans="1:7" ht="15.75" thickBot="1" x14ac:dyDescent="0.3">
      <c r="A52" t="s">
        <v>2375</v>
      </c>
      <c r="B52" s="1" t="s">
        <v>2376</v>
      </c>
      <c r="C52" s="1" t="s">
        <v>7</v>
      </c>
      <c r="D52" s="1" t="s">
        <v>2283</v>
      </c>
      <c r="E52" s="4">
        <v>1338</v>
      </c>
      <c r="F52" s="1" t="str">
        <f>VLOOKUP(D52,Table12[[Name]:[Native]],3,FALSE)</f>
        <v>泰顺县</v>
      </c>
      <c r="G52" s="14" t="str">
        <f ca="1">VLOOKUP(F52,Table12[[Native]:[Population4]],5,FALSE)</f>
        <v>温州市</v>
      </c>
    </row>
    <row r="53" spans="1:7" ht="15.75" thickBot="1" x14ac:dyDescent="0.3">
      <c r="A53" t="s">
        <v>2377</v>
      </c>
      <c r="B53" s="1" t="s">
        <v>2378</v>
      </c>
      <c r="C53" s="1" t="s">
        <v>11</v>
      </c>
      <c r="D53" s="1" t="s">
        <v>2276</v>
      </c>
      <c r="E53" s="4">
        <v>11925</v>
      </c>
      <c r="F53" s="1" t="str">
        <f>VLOOKUP(D53,Table12[[Name]:[Native]],3,FALSE)</f>
        <v>平阳县</v>
      </c>
      <c r="G53" s="14" t="str">
        <f ca="1">VLOOKUP(F53,Table12[[Native]:[Population4]],5,FALSE)</f>
        <v>温州市</v>
      </c>
    </row>
    <row r="54" spans="1:7" ht="15.75" thickBot="1" x14ac:dyDescent="0.3">
      <c r="A54" t="s">
        <v>2379</v>
      </c>
      <c r="B54" s="1" t="s">
        <v>2380</v>
      </c>
      <c r="C54" s="1" t="s">
        <v>7</v>
      </c>
      <c r="D54" s="1" t="s">
        <v>2311</v>
      </c>
      <c r="E54" s="4">
        <v>2103</v>
      </c>
      <c r="F54" s="1" t="str">
        <f>VLOOKUP(D54,Table12[[Name]:[Native]],3,FALSE)</f>
        <v>苍南县</v>
      </c>
      <c r="G54" s="14" t="str">
        <f ca="1">VLOOKUP(F54,Table12[[Native]:[Population4]],5,FALSE)</f>
        <v>温州市</v>
      </c>
    </row>
    <row r="55" spans="1:7" ht="15.75" thickBot="1" x14ac:dyDescent="0.3">
      <c r="A55" t="s">
        <v>2381</v>
      </c>
      <c r="B55" s="1" t="s">
        <v>2382</v>
      </c>
      <c r="C55" s="1" t="s">
        <v>7</v>
      </c>
      <c r="D55" s="1" t="s">
        <v>2283</v>
      </c>
      <c r="E55" s="4">
        <v>4825</v>
      </c>
      <c r="F55" s="1" t="str">
        <f>VLOOKUP(D55,Table12[[Name]:[Native]],3,FALSE)</f>
        <v>泰顺县</v>
      </c>
      <c r="G55" s="14" t="str">
        <f ca="1">VLOOKUP(F55,Table12[[Native]:[Population4]],5,FALSE)</f>
        <v>温州市</v>
      </c>
    </row>
    <row r="56" spans="1:7" ht="15.75" thickBot="1" x14ac:dyDescent="0.3">
      <c r="A56" t="s">
        <v>2383</v>
      </c>
      <c r="B56" s="1" t="s">
        <v>2384</v>
      </c>
      <c r="C56" s="1" t="s">
        <v>7</v>
      </c>
      <c r="D56" s="1" t="s">
        <v>2282</v>
      </c>
      <c r="E56" s="4">
        <v>2954</v>
      </c>
      <c r="F56" s="1" t="str">
        <f>VLOOKUP(D56,Table12[[Name]:[Native]],3,FALSE)</f>
        <v>文成县</v>
      </c>
      <c r="G56" s="14" t="str">
        <f ca="1">VLOOKUP(F56,Table12[[Native]:[Population4]],5,FALSE)</f>
        <v>温州市</v>
      </c>
    </row>
    <row r="57" spans="1:7" ht="15.75" thickBot="1" x14ac:dyDescent="0.3">
      <c r="A57" t="s">
        <v>2385</v>
      </c>
      <c r="B57" s="1" t="s">
        <v>2386</v>
      </c>
      <c r="C57" s="1" t="s">
        <v>11</v>
      </c>
      <c r="D57" s="1" t="s">
        <v>2279</v>
      </c>
      <c r="E57" s="4">
        <v>25758</v>
      </c>
      <c r="F57" s="1" t="str">
        <f>VLOOKUP(D57,Table12[[Name]:[Native]],3,FALSE)</f>
        <v>乐清市</v>
      </c>
      <c r="G57" s="14" t="str">
        <f ca="1">VLOOKUP(F57,Table12[[Native]:[Population4]],5,FALSE)</f>
        <v>温州市</v>
      </c>
    </row>
    <row r="58" spans="1:7" ht="15.75" thickBot="1" x14ac:dyDescent="0.3">
      <c r="A58" t="s">
        <v>2387</v>
      </c>
      <c r="B58" s="1" t="s">
        <v>2388</v>
      </c>
      <c r="C58" s="1" t="s">
        <v>7</v>
      </c>
      <c r="D58" s="1" t="s">
        <v>2279</v>
      </c>
      <c r="E58" s="4">
        <v>1923</v>
      </c>
      <c r="F58" s="1" t="str">
        <f>VLOOKUP(D58,Table12[[Name]:[Native]],3,FALSE)</f>
        <v>乐清市</v>
      </c>
      <c r="G58" s="14" t="str">
        <f ca="1">VLOOKUP(F58,Table12[[Native]:[Population4]],5,FALSE)</f>
        <v>温州市</v>
      </c>
    </row>
    <row r="59" spans="1:7" ht="15.75" thickBot="1" x14ac:dyDescent="0.3">
      <c r="A59" t="s">
        <v>2389</v>
      </c>
      <c r="B59" s="1" t="s">
        <v>2390</v>
      </c>
      <c r="C59" s="1" t="s">
        <v>11</v>
      </c>
      <c r="D59" s="1" t="s">
        <v>2273</v>
      </c>
      <c r="E59" s="4">
        <v>8977</v>
      </c>
      <c r="F59" s="1" t="str">
        <f>VLOOKUP(D59,Table12[[Name]:[Native]],3,FALSE)</f>
        <v>瑞安市</v>
      </c>
      <c r="G59" s="14" t="str">
        <f ca="1">VLOOKUP(F59,Table12[[Native]:[Population4]],5,FALSE)</f>
        <v>温州市</v>
      </c>
    </row>
    <row r="60" spans="1:7" ht="15.75" thickBot="1" x14ac:dyDescent="0.3">
      <c r="A60" t="s">
        <v>2391</v>
      </c>
      <c r="B60" s="1" t="s">
        <v>2392</v>
      </c>
      <c r="C60" s="1" t="s">
        <v>7</v>
      </c>
      <c r="D60" s="1" t="s">
        <v>2282</v>
      </c>
      <c r="E60" s="4">
        <v>2113</v>
      </c>
      <c r="F60" s="1" t="str">
        <f>VLOOKUP(D60,Table12[[Name]:[Native]],3,FALSE)</f>
        <v>文成县</v>
      </c>
      <c r="G60" s="14" t="str">
        <f ca="1">VLOOKUP(F60,Table12[[Native]:[Population4]],5,FALSE)</f>
        <v>温州市</v>
      </c>
    </row>
    <row r="61" spans="1:7" ht="15.75" thickBot="1" x14ac:dyDescent="0.3">
      <c r="A61" t="s">
        <v>2393</v>
      </c>
      <c r="B61" s="1" t="s">
        <v>2394</v>
      </c>
      <c r="C61" s="1" t="s">
        <v>15</v>
      </c>
      <c r="D61" s="1" t="s">
        <v>2304</v>
      </c>
      <c r="E61" s="4">
        <v>63863</v>
      </c>
      <c r="F61" s="1" t="str">
        <f>VLOOKUP(D61,Table12[[Name]:[Native]],3,FALSE)</f>
        <v>鹿城区</v>
      </c>
      <c r="G61" s="14" t="str">
        <f ca="1">VLOOKUP(F61,Table12[[Native]:[Population4]],5,FALSE)</f>
        <v>温州市</v>
      </c>
    </row>
    <row r="62" spans="1:7" ht="15.75" thickBot="1" x14ac:dyDescent="0.3">
      <c r="A62" t="s">
        <v>2395</v>
      </c>
      <c r="B62" s="1" t="s">
        <v>2396</v>
      </c>
      <c r="C62" s="1" t="s">
        <v>11</v>
      </c>
      <c r="D62" s="1" t="s">
        <v>2311</v>
      </c>
      <c r="E62" s="4">
        <v>20738</v>
      </c>
      <c r="F62" s="1" t="str">
        <f>VLOOKUP(D62,Table12[[Name]:[Native]],3,FALSE)</f>
        <v>苍南县</v>
      </c>
      <c r="G62" s="14" t="str">
        <f ca="1">VLOOKUP(F62,Table12[[Native]:[Population4]],5,FALSE)</f>
        <v>温州市</v>
      </c>
    </row>
    <row r="63" spans="1:7" ht="15.75" thickBot="1" x14ac:dyDescent="0.3">
      <c r="A63" t="s">
        <v>2397</v>
      </c>
      <c r="B63" s="1" t="s">
        <v>2398</v>
      </c>
      <c r="C63" s="1" t="s">
        <v>7</v>
      </c>
      <c r="D63" s="1" t="s">
        <v>2273</v>
      </c>
      <c r="E63" s="4">
        <v>1164</v>
      </c>
      <c r="F63" s="1" t="str">
        <f>VLOOKUP(D63,Table12[[Name]:[Native]],3,FALSE)</f>
        <v>瑞安市</v>
      </c>
      <c r="G63" s="14" t="str">
        <f ca="1">VLOOKUP(F63,Table12[[Native]:[Population4]],5,FALSE)</f>
        <v>温州市</v>
      </c>
    </row>
    <row r="64" spans="1:7" ht="15.75" thickBot="1" x14ac:dyDescent="0.3">
      <c r="A64" t="s">
        <v>2399</v>
      </c>
      <c r="B64" s="1" t="s">
        <v>2400</v>
      </c>
      <c r="C64" s="1" t="s">
        <v>11</v>
      </c>
      <c r="D64" s="1" t="s">
        <v>2283</v>
      </c>
      <c r="E64" s="4">
        <v>5568</v>
      </c>
      <c r="F64" s="1" t="str">
        <f>VLOOKUP(D64,Table12[[Name]:[Native]],3,FALSE)</f>
        <v>泰顺县</v>
      </c>
      <c r="G64" s="14" t="str">
        <f ca="1">VLOOKUP(F64,Table12[[Native]:[Population4]],5,FALSE)</f>
        <v>温州市</v>
      </c>
    </row>
    <row r="65" spans="1:7" ht="15.75" thickBot="1" x14ac:dyDescent="0.3">
      <c r="A65" t="s">
        <v>2401</v>
      </c>
      <c r="B65" s="1" t="s">
        <v>2402</v>
      </c>
      <c r="C65" s="1" t="s">
        <v>7</v>
      </c>
      <c r="D65" s="1" t="s">
        <v>2282</v>
      </c>
      <c r="E65" s="4">
        <v>2249</v>
      </c>
      <c r="F65" s="1" t="str">
        <f>VLOOKUP(D65,Table12[[Name]:[Native]],3,FALSE)</f>
        <v>文成县</v>
      </c>
      <c r="G65" s="14" t="str">
        <f ca="1">VLOOKUP(F65,Table12[[Native]:[Population4]],5,FALSE)</f>
        <v>温州市</v>
      </c>
    </row>
    <row r="66" spans="1:7" ht="15.75" thickBot="1" x14ac:dyDescent="0.3">
      <c r="A66" t="s">
        <v>2403</v>
      </c>
      <c r="B66" s="1" t="s">
        <v>2404</v>
      </c>
      <c r="C66" s="1" t="s">
        <v>15</v>
      </c>
      <c r="D66" s="1" t="s">
        <v>2318</v>
      </c>
      <c r="E66" s="4">
        <v>122982</v>
      </c>
      <c r="F66" s="1" t="str">
        <f>VLOOKUP(D66,Table12[[Name]:[Native]],3,FALSE)</f>
        <v>瓯海区</v>
      </c>
      <c r="G66" s="14" t="str">
        <f ca="1">VLOOKUP(F66,Table12[[Native]:[Population4]],5,FALSE)</f>
        <v>温州市</v>
      </c>
    </row>
    <row r="67" spans="1:7" ht="15.75" thickBot="1" x14ac:dyDescent="0.3">
      <c r="A67" t="s">
        <v>2405</v>
      </c>
      <c r="B67" s="1" t="s">
        <v>2406</v>
      </c>
      <c r="C67" s="1" t="s">
        <v>15</v>
      </c>
      <c r="D67" s="1" t="s">
        <v>2407</v>
      </c>
      <c r="E67" s="4">
        <v>70014</v>
      </c>
      <c r="F67" s="1" t="str">
        <f>VLOOKUP(D67,Table12[[Name]:[Native]],3,FALSE)</f>
        <v>龙湾区</v>
      </c>
      <c r="G67" s="14" t="str">
        <f ca="1">VLOOKUP(F67,Table12[[Native]:[Population4]],5,FALSE)</f>
        <v>温州市</v>
      </c>
    </row>
    <row r="68" spans="1:7" ht="15.75" thickBot="1" x14ac:dyDescent="0.3">
      <c r="A68" t="s">
        <v>2408</v>
      </c>
      <c r="B68" s="1" t="s">
        <v>2409</v>
      </c>
      <c r="C68" s="1" t="s">
        <v>15</v>
      </c>
      <c r="D68" s="1" t="s">
        <v>2407</v>
      </c>
      <c r="E68" s="4">
        <v>52157</v>
      </c>
      <c r="F68" s="1" t="str">
        <f>VLOOKUP(D68,Table12[[Name]:[Native]],3,FALSE)</f>
        <v>龙湾区</v>
      </c>
      <c r="G68" s="14" t="str">
        <f ca="1">VLOOKUP(F68,Table12[[Native]:[Population4]],5,FALSE)</f>
        <v>温州市</v>
      </c>
    </row>
    <row r="69" spans="1:7" ht="15.75" thickBot="1" x14ac:dyDescent="0.3">
      <c r="A69" t="s">
        <v>2410</v>
      </c>
      <c r="B69" s="1" t="s">
        <v>2411</v>
      </c>
      <c r="C69" s="1" t="s">
        <v>7</v>
      </c>
      <c r="D69" s="1" t="s">
        <v>2283</v>
      </c>
      <c r="E69" s="4">
        <v>2897</v>
      </c>
      <c r="F69" s="1" t="str">
        <f>VLOOKUP(D69,Table12[[Name]:[Native]],3,FALSE)</f>
        <v>泰顺县</v>
      </c>
      <c r="G69" s="14" t="str">
        <f ca="1">VLOOKUP(F69,Table12[[Native]:[Population4]],5,FALSE)</f>
        <v>温州市</v>
      </c>
    </row>
    <row r="70" spans="1:7" ht="15.75" thickBot="1" x14ac:dyDescent="0.3">
      <c r="A70" t="s">
        <v>2412</v>
      </c>
      <c r="B70" s="1" t="s">
        <v>2413</v>
      </c>
      <c r="C70" s="1" t="s">
        <v>11</v>
      </c>
      <c r="D70" s="1" t="s">
        <v>2299</v>
      </c>
      <c r="E70" s="4">
        <v>5669</v>
      </c>
      <c r="F70" s="1" t="str">
        <f>VLOOKUP(D70,Table12[[Name]:[Native]],3,FALSE)</f>
        <v>永嘉县</v>
      </c>
      <c r="G70" s="14" t="str">
        <f ca="1">VLOOKUP(F70,Table12[[Native]:[Population4]],5,FALSE)</f>
        <v>温州市</v>
      </c>
    </row>
    <row r="71" spans="1:7" ht="15.75" thickBot="1" x14ac:dyDescent="0.3">
      <c r="A71" t="s">
        <v>2414</v>
      </c>
      <c r="B71" s="1" t="s">
        <v>2415</v>
      </c>
      <c r="C71" s="1" t="s">
        <v>11</v>
      </c>
      <c r="D71" s="1" t="s">
        <v>2276</v>
      </c>
      <c r="E71" s="4">
        <v>15651</v>
      </c>
      <c r="F71" s="1" t="str">
        <f>VLOOKUP(D71,Table12[[Name]:[Native]],3,FALSE)</f>
        <v>平阳县</v>
      </c>
      <c r="G71" s="14" t="str">
        <f ca="1">VLOOKUP(F71,Table12[[Native]:[Population4]],5,FALSE)</f>
        <v>温州市</v>
      </c>
    </row>
    <row r="72" spans="1:7" ht="15.75" thickBot="1" x14ac:dyDescent="0.3">
      <c r="A72" t="s">
        <v>455</v>
      </c>
      <c r="B72" s="1" t="s">
        <v>2416</v>
      </c>
      <c r="C72" s="1" t="s">
        <v>11</v>
      </c>
      <c r="D72" s="1" t="s">
        <v>2279</v>
      </c>
      <c r="E72" s="4">
        <v>156717</v>
      </c>
      <c r="F72" s="1" t="str">
        <f>VLOOKUP(D72,Table12[[Name]:[Native]],3,FALSE)</f>
        <v>乐清市</v>
      </c>
      <c r="G72" s="14" t="str">
        <f ca="1">VLOOKUP(F72,Table12[[Native]:[Population4]],5,FALSE)</f>
        <v>温州市</v>
      </c>
    </row>
    <row r="73" spans="1:7" ht="15.75" thickBot="1" x14ac:dyDescent="0.3">
      <c r="A73" t="s">
        <v>2417</v>
      </c>
      <c r="B73" s="1" t="s">
        <v>2418</v>
      </c>
      <c r="C73" s="1" t="s">
        <v>11</v>
      </c>
      <c r="D73" s="1" t="s">
        <v>2276</v>
      </c>
      <c r="E73" s="4">
        <v>4188</v>
      </c>
      <c r="F73" s="1" t="str">
        <f>VLOOKUP(D73,Table12[[Name]:[Native]],3,FALSE)</f>
        <v>平阳县</v>
      </c>
      <c r="G73" s="14" t="str">
        <f ca="1">VLOOKUP(F73,Table12[[Native]:[Population4]],5,FALSE)</f>
        <v>温州市</v>
      </c>
    </row>
    <row r="74" spans="1:7" ht="15.75" thickBot="1" x14ac:dyDescent="0.3">
      <c r="A74" t="s">
        <v>2419</v>
      </c>
      <c r="B74" s="1" t="s">
        <v>2420</v>
      </c>
      <c r="C74" s="1" t="s">
        <v>11</v>
      </c>
      <c r="D74" s="1" t="s">
        <v>2279</v>
      </c>
      <c r="E74" s="4">
        <v>36546</v>
      </c>
      <c r="F74" s="1" t="str">
        <f>VLOOKUP(D74,Table12[[Name]:[Native]],3,FALSE)</f>
        <v>乐清市</v>
      </c>
      <c r="G74" s="14" t="str">
        <f ca="1">VLOOKUP(F74,Table12[[Native]:[Population4]],5,FALSE)</f>
        <v>温州市</v>
      </c>
    </row>
    <row r="75" spans="1:7" ht="15.75" thickBot="1" x14ac:dyDescent="0.3">
      <c r="A75" t="s">
        <v>2421</v>
      </c>
      <c r="B75" s="1" t="s">
        <v>2422</v>
      </c>
      <c r="C75" s="1" t="s">
        <v>7</v>
      </c>
      <c r="D75" s="1" t="s">
        <v>2282</v>
      </c>
      <c r="E75" s="4">
        <v>691</v>
      </c>
      <c r="F75" s="1" t="str">
        <f>VLOOKUP(D75,Table12[[Name]:[Native]],3,FALSE)</f>
        <v>文成县</v>
      </c>
      <c r="G75" s="14" t="str">
        <f ca="1">VLOOKUP(F75,Table12[[Native]:[Population4]],5,FALSE)</f>
        <v>温州市</v>
      </c>
    </row>
    <row r="76" spans="1:7" ht="15.75" thickBot="1" x14ac:dyDescent="0.3">
      <c r="A76" t="s">
        <v>2423</v>
      </c>
      <c r="B76" s="1" t="s">
        <v>2424</v>
      </c>
      <c r="C76" s="1" t="s">
        <v>7</v>
      </c>
      <c r="D76" s="1" t="s">
        <v>2299</v>
      </c>
      <c r="E76" s="4">
        <v>3509</v>
      </c>
      <c r="F76" s="1" t="str">
        <f>VLOOKUP(D76,Table12[[Name]:[Native]],3,FALSE)</f>
        <v>永嘉县</v>
      </c>
      <c r="G76" s="14" t="str">
        <f ca="1">VLOOKUP(F76,Table12[[Native]:[Population4]],5,FALSE)</f>
        <v>温州市</v>
      </c>
    </row>
    <row r="77" spans="1:7" ht="15.75" thickBot="1" x14ac:dyDescent="0.3">
      <c r="A77" t="s">
        <v>2425</v>
      </c>
      <c r="B77" s="1" t="s">
        <v>2426</v>
      </c>
      <c r="C77" s="1" t="s">
        <v>7</v>
      </c>
      <c r="D77" s="1" t="s">
        <v>2283</v>
      </c>
      <c r="E77" s="4">
        <v>772</v>
      </c>
      <c r="F77" s="1" t="str">
        <f>VLOOKUP(D77,Table12[[Name]:[Native]],3,FALSE)</f>
        <v>泰顺县</v>
      </c>
      <c r="G77" s="14" t="str">
        <f ca="1">VLOOKUP(F77,Table12[[Native]:[Population4]],5,FALSE)</f>
        <v>温州市</v>
      </c>
    </row>
    <row r="78" spans="1:7" ht="15.75" thickBot="1" x14ac:dyDescent="0.3">
      <c r="A78" t="s">
        <v>2427</v>
      </c>
      <c r="B78" s="1" t="s">
        <v>2428</v>
      </c>
      <c r="C78" s="1" t="s">
        <v>11</v>
      </c>
      <c r="D78" s="1" t="s">
        <v>2282</v>
      </c>
      <c r="E78" s="4">
        <v>10879</v>
      </c>
      <c r="F78" s="1" t="str">
        <f>VLOOKUP(D78,Table12[[Name]:[Native]],3,FALSE)</f>
        <v>文成县</v>
      </c>
      <c r="G78" s="14" t="str">
        <f ca="1">VLOOKUP(F78,Table12[[Native]:[Population4]],5,FALSE)</f>
        <v>温州市</v>
      </c>
    </row>
    <row r="79" spans="1:7" ht="15.75" thickBot="1" x14ac:dyDescent="0.3">
      <c r="A79" t="s">
        <v>2429</v>
      </c>
      <c r="B79" s="1" t="s">
        <v>2430</v>
      </c>
      <c r="C79" s="1" t="s">
        <v>7</v>
      </c>
      <c r="D79" s="1" t="s">
        <v>2299</v>
      </c>
      <c r="E79" s="4">
        <v>8084</v>
      </c>
      <c r="F79" s="1" t="str">
        <f>VLOOKUP(D79,Table12[[Name]:[Native]],3,FALSE)</f>
        <v>永嘉县</v>
      </c>
      <c r="G79" s="14" t="str">
        <f ca="1">VLOOKUP(F79,Table12[[Native]:[Population4]],5,FALSE)</f>
        <v>温州市</v>
      </c>
    </row>
    <row r="80" spans="1:7" ht="15.75" thickBot="1" x14ac:dyDescent="0.3">
      <c r="A80" t="s">
        <v>2431</v>
      </c>
      <c r="B80" s="1" t="s">
        <v>2432</v>
      </c>
      <c r="C80" s="1" t="s">
        <v>11</v>
      </c>
      <c r="D80" s="1" t="s">
        <v>2273</v>
      </c>
      <c r="E80" s="4">
        <v>22121</v>
      </c>
      <c r="F80" s="1" t="str">
        <f>VLOOKUP(D80,Table12[[Name]:[Native]],3,FALSE)</f>
        <v>瑞安市</v>
      </c>
      <c r="G80" s="14" t="str">
        <f ca="1">VLOOKUP(F80,Table12[[Native]:[Population4]],5,FALSE)</f>
        <v>温州市</v>
      </c>
    </row>
    <row r="81" spans="1:7" ht="15.75" thickBot="1" x14ac:dyDescent="0.3">
      <c r="A81" t="s">
        <v>2433</v>
      </c>
      <c r="B81" s="1" t="s">
        <v>2434</v>
      </c>
      <c r="C81" s="1" t="s">
        <v>11</v>
      </c>
      <c r="D81" s="1" t="s">
        <v>2279</v>
      </c>
      <c r="E81" s="4">
        <v>12353</v>
      </c>
      <c r="F81" s="1" t="str">
        <f>VLOOKUP(D81,Table12[[Name]:[Native]],3,FALSE)</f>
        <v>乐清市</v>
      </c>
      <c r="G81" s="14" t="str">
        <f ca="1">VLOOKUP(F81,Table12[[Native]:[Population4]],5,FALSE)</f>
        <v>温州市</v>
      </c>
    </row>
    <row r="82" spans="1:7" ht="15.75" thickBot="1" x14ac:dyDescent="0.3">
      <c r="A82" t="s">
        <v>2435</v>
      </c>
      <c r="B82" s="1" t="s">
        <v>2436</v>
      </c>
      <c r="C82" s="1" t="s">
        <v>7</v>
      </c>
      <c r="D82" s="1" t="s">
        <v>2299</v>
      </c>
      <c r="E82" s="4">
        <v>3685</v>
      </c>
      <c r="F82" s="1" t="str">
        <f>VLOOKUP(D82,Table12[[Name]:[Native]],3,FALSE)</f>
        <v>永嘉县</v>
      </c>
      <c r="G82" s="14" t="str">
        <f ca="1">VLOOKUP(F82,Table12[[Native]:[Population4]],5,FALSE)</f>
        <v>温州市</v>
      </c>
    </row>
    <row r="83" spans="1:7" ht="15.75" thickBot="1" x14ac:dyDescent="0.3">
      <c r="A83" t="s">
        <v>2437</v>
      </c>
      <c r="B83" s="1" t="s">
        <v>2438</v>
      </c>
      <c r="C83" s="1" t="s">
        <v>7</v>
      </c>
      <c r="D83" s="1" t="s">
        <v>2273</v>
      </c>
      <c r="E83" s="4">
        <v>3941</v>
      </c>
      <c r="F83" s="1" t="str">
        <f>VLOOKUP(D83,Table12[[Name]:[Native]],3,FALSE)</f>
        <v>瑞安市</v>
      </c>
      <c r="G83" s="14" t="str">
        <f ca="1">VLOOKUP(F83,Table12[[Native]:[Population4]],5,FALSE)</f>
        <v>温州市</v>
      </c>
    </row>
    <row r="84" spans="1:7" ht="15.75" thickBot="1" x14ac:dyDescent="0.3">
      <c r="A84" t="s">
        <v>2439</v>
      </c>
      <c r="B84" s="1" t="s">
        <v>2440</v>
      </c>
      <c r="C84" s="1" t="s">
        <v>7</v>
      </c>
      <c r="D84" s="1" t="s">
        <v>2273</v>
      </c>
      <c r="E84" s="4">
        <v>10369</v>
      </c>
      <c r="F84" s="1" t="str">
        <f>VLOOKUP(D84,Table12[[Name]:[Native]],3,FALSE)</f>
        <v>瑞安市</v>
      </c>
      <c r="G84" s="14" t="str">
        <f ca="1">VLOOKUP(F84,Table12[[Native]:[Population4]],5,FALSE)</f>
        <v>温州市</v>
      </c>
    </row>
    <row r="85" spans="1:7" ht="15.75" thickBot="1" x14ac:dyDescent="0.3">
      <c r="A85" t="s">
        <v>2441</v>
      </c>
      <c r="B85" s="1" t="s">
        <v>2442</v>
      </c>
      <c r="C85" s="1" t="s">
        <v>15</v>
      </c>
      <c r="D85" s="1" t="s">
        <v>2318</v>
      </c>
      <c r="E85" s="4">
        <v>38079</v>
      </c>
      <c r="F85" s="1" t="str">
        <f>VLOOKUP(D85,Table12[[Name]:[Native]],3,FALSE)</f>
        <v>瓯海区</v>
      </c>
      <c r="G85" s="14" t="str">
        <f ca="1">VLOOKUP(F85,Table12[[Native]:[Population4]],5,FALSE)</f>
        <v>温州市</v>
      </c>
    </row>
    <row r="86" spans="1:7" ht="15.75" thickBot="1" x14ac:dyDescent="0.3">
      <c r="A86" t="s">
        <v>2443</v>
      </c>
      <c r="B86" s="1" t="s">
        <v>2444</v>
      </c>
      <c r="C86" s="1" t="s">
        <v>15</v>
      </c>
      <c r="D86" s="1" t="s">
        <v>2273</v>
      </c>
      <c r="E86" s="4">
        <v>67776</v>
      </c>
      <c r="F86" s="1" t="str">
        <f>VLOOKUP(D86,Table12[[Name]:[Native]],3,FALSE)</f>
        <v>瑞安市</v>
      </c>
      <c r="G86" s="14" t="str">
        <f ca="1">VLOOKUP(F86,Table12[[Native]:[Population4]],5,FALSE)</f>
        <v>温州市</v>
      </c>
    </row>
    <row r="87" spans="1:7" ht="15.75" thickBot="1" x14ac:dyDescent="0.3">
      <c r="A87" t="s">
        <v>2445</v>
      </c>
      <c r="B87" s="1" t="s">
        <v>2446</v>
      </c>
      <c r="C87" s="1" t="s">
        <v>7</v>
      </c>
      <c r="D87" s="1" t="s">
        <v>2282</v>
      </c>
      <c r="E87" s="4">
        <v>1297</v>
      </c>
      <c r="F87" s="1" t="str">
        <f>VLOOKUP(D87,Table12[[Name]:[Native]],3,FALSE)</f>
        <v>文成县</v>
      </c>
      <c r="G87" s="14" t="str">
        <f ca="1">VLOOKUP(F87,Table12[[Native]:[Population4]],5,FALSE)</f>
        <v>温州市</v>
      </c>
    </row>
    <row r="88" spans="1:7" ht="15.75" thickBot="1" x14ac:dyDescent="0.3">
      <c r="A88" t="s">
        <v>2447</v>
      </c>
      <c r="B88" s="1" t="s">
        <v>2448</v>
      </c>
      <c r="C88" s="1" t="s">
        <v>11</v>
      </c>
      <c r="D88" s="1" t="s">
        <v>2311</v>
      </c>
      <c r="E88" s="4">
        <v>85669</v>
      </c>
      <c r="F88" s="1" t="str">
        <f>VLOOKUP(D88,Table12[[Name]:[Native]],3,FALSE)</f>
        <v>苍南县</v>
      </c>
      <c r="G88" s="14" t="str">
        <f ca="1">VLOOKUP(F88,Table12[[Native]:[Population4]],5,FALSE)</f>
        <v>温州市</v>
      </c>
    </row>
    <row r="89" spans="1:7" ht="15.75" thickBot="1" x14ac:dyDescent="0.3">
      <c r="A89" t="s">
        <v>2449</v>
      </c>
      <c r="B89" s="1" t="s">
        <v>2450</v>
      </c>
      <c r="C89" s="1" t="s">
        <v>7</v>
      </c>
      <c r="D89" s="1" t="s">
        <v>2282</v>
      </c>
      <c r="E89" s="4">
        <v>2295</v>
      </c>
      <c r="F89" s="1" t="str">
        <f>VLOOKUP(D89,Table12[[Name]:[Native]],3,FALSE)</f>
        <v>文成县</v>
      </c>
      <c r="G89" s="14" t="str">
        <f ca="1">VLOOKUP(F89,Table12[[Native]:[Population4]],5,FALSE)</f>
        <v>温州市</v>
      </c>
    </row>
    <row r="90" spans="1:7" ht="15.75" thickBot="1" x14ac:dyDescent="0.3">
      <c r="A90" t="s">
        <v>2451</v>
      </c>
      <c r="B90" s="1" t="s">
        <v>2452</v>
      </c>
      <c r="C90" s="1" t="s">
        <v>7</v>
      </c>
      <c r="D90" s="1" t="s">
        <v>2282</v>
      </c>
      <c r="E90" s="4">
        <v>2551</v>
      </c>
      <c r="F90" s="1" t="str">
        <f>VLOOKUP(D90,Table12[[Name]:[Native]],3,FALSE)</f>
        <v>文成县</v>
      </c>
      <c r="G90" s="14" t="str">
        <f ca="1">VLOOKUP(F90,Table12[[Native]:[Population4]],5,FALSE)</f>
        <v>温州市</v>
      </c>
    </row>
    <row r="91" spans="1:7" ht="15.75" thickBot="1" x14ac:dyDescent="0.3">
      <c r="A91" t="s">
        <v>2453</v>
      </c>
      <c r="B91" s="1" t="s">
        <v>2454</v>
      </c>
      <c r="C91" s="1" t="s">
        <v>7</v>
      </c>
      <c r="D91" s="1" t="s">
        <v>2283</v>
      </c>
      <c r="E91" s="4">
        <v>3387</v>
      </c>
      <c r="F91" s="1" t="str">
        <f>VLOOKUP(D91,Table12[[Name]:[Native]],3,FALSE)</f>
        <v>泰顺县</v>
      </c>
      <c r="G91" s="14" t="str">
        <f ca="1">VLOOKUP(F91,Table12[[Native]:[Population4]],5,FALSE)</f>
        <v>温州市</v>
      </c>
    </row>
    <row r="92" spans="1:7" ht="15.75" thickBot="1" x14ac:dyDescent="0.3">
      <c r="A92" t="s">
        <v>2455</v>
      </c>
      <c r="B92" s="1" t="s">
        <v>2456</v>
      </c>
      <c r="C92" s="1" t="s">
        <v>15</v>
      </c>
      <c r="D92" s="1" t="s">
        <v>2318</v>
      </c>
      <c r="E92" s="4">
        <v>52428</v>
      </c>
      <c r="F92" s="1" t="str">
        <f>VLOOKUP(D92,Table12[[Name]:[Native]],3,FALSE)</f>
        <v>瓯海区</v>
      </c>
      <c r="G92" s="14" t="str">
        <f ca="1">VLOOKUP(F92,Table12[[Native]:[Population4]],5,FALSE)</f>
        <v>温州市</v>
      </c>
    </row>
    <row r="93" spans="1:7" ht="15.75" thickBot="1" x14ac:dyDescent="0.3">
      <c r="A93" t="s">
        <v>2457</v>
      </c>
      <c r="B93" s="1" t="s">
        <v>2458</v>
      </c>
      <c r="C93" s="1" t="s">
        <v>11</v>
      </c>
      <c r="D93" s="1" t="s">
        <v>2311</v>
      </c>
      <c r="E93" s="4">
        <v>8875</v>
      </c>
      <c r="F93" s="1" t="str">
        <f>VLOOKUP(D93,Table12[[Name]:[Native]],3,FALSE)</f>
        <v>苍南县</v>
      </c>
      <c r="G93" s="14" t="str">
        <f ca="1">VLOOKUP(F93,Table12[[Native]:[Population4]],5,FALSE)</f>
        <v>温州市</v>
      </c>
    </row>
    <row r="94" spans="1:7" ht="15.75" thickBot="1" x14ac:dyDescent="0.3">
      <c r="A94" t="s">
        <v>2459</v>
      </c>
      <c r="B94" s="1" t="s">
        <v>2460</v>
      </c>
      <c r="C94" s="1" t="s">
        <v>11</v>
      </c>
      <c r="D94" s="1" t="s">
        <v>2282</v>
      </c>
      <c r="E94" s="4">
        <v>10858</v>
      </c>
      <c r="F94" s="1" t="str">
        <f>VLOOKUP(D94,Table12[[Name]:[Native]],3,FALSE)</f>
        <v>文成县</v>
      </c>
      <c r="G94" s="14" t="str">
        <f ca="1">VLOOKUP(F94,Table12[[Native]:[Population4]],5,FALSE)</f>
        <v>温州市</v>
      </c>
    </row>
    <row r="95" spans="1:7" ht="15.75" thickBot="1" x14ac:dyDescent="0.3">
      <c r="A95" t="s">
        <v>2461</v>
      </c>
      <c r="B95" s="1" t="s">
        <v>2462</v>
      </c>
      <c r="C95" s="1" t="s">
        <v>7</v>
      </c>
      <c r="D95" s="1" t="s">
        <v>2299</v>
      </c>
      <c r="E95" s="4">
        <v>5665</v>
      </c>
      <c r="F95" s="1" t="str">
        <f>VLOOKUP(D95,Table12[[Name]:[Native]],3,FALSE)</f>
        <v>永嘉县</v>
      </c>
      <c r="G95" s="14" t="str">
        <f ca="1">VLOOKUP(F95,Table12[[Native]:[Population4]],5,FALSE)</f>
        <v>温州市</v>
      </c>
    </row>
    <row r="96" spans="1:7" ht="15.75" thickBot="1" x14ac:dyDescent="0.3">
      <c r="A96" t="s">
        <v>2463</v>
      </c>
      <c r="B96" s="1" t="s">
        <v>2464</v>
      </c>
      <c r="C96" s="1" t="s">
        <v>11</v>
      </c>
      <c r="D96" s="1" t="s">
        <v>2276</v>
      </c>
      <c r="E96" s="4">
        <v>121472</v>
      </c>
      <c r="F96" s="1" t="str">
        <f>VLOOKUP(D96,Table12[[Name]:[Native]],3,FALSE)</f>
        <v>平阳县</v>
      </c>
      <c r="G96" s="14" t="str">
        <f ca="1">VLOOKUP(F96,Table12[[Native]:[Population4]],5,FALSE)</f>
        <v>温州市</v>
      </c>
    </row>
    <row r="97" spans="1:7" ht="15.75" thickBot="1" x14ac:dyDescent="0.3">
      <c r="A97" t="s">
        <v>2465</v>
      </c>
      <c r="B97" s="1" t="s">
        <v>2466</v>
      </c>
      <c r="C97" s="1" t="s">
        <v>7</v>
      </c>
      <c r="D97" s="1" t="s">
        <v>2311</v>
      </c>
      <c r="E97" s="4">
        <v>6769</v>
      </c>
      <c r="F97" s="1" t="str">
        <f>VLOOKUP(D97,Table12[[Name]:[Native]],3,FALSE)</f>
        <v>苍南县</v>
      </c>
      <c r="G97" s="14" t="str">
        <f ca="1">VLOOKUP(F97,Table12[[Native]:[Population4]],5,FALSE)</f>
        <v>温州市</v>
      </c>
    </row>
    <row r="98" spans="1:7" ht="15.75" thickBot="1" x14ac:dyDescent="0.3">
      <c r="A98" t="s">
        <v>2467</v>
      </c>
      <c r="B98" s="1" t="s">
        <v>2468</v>
      </c>
      <c r="C98" s="1" t="s">
        <v>15</v>
      </c>
      <c r="D98" s="1" t="s">
        <v>2279</v>
      </c>
      <c r="E98" s="4">
        <v>237447</v>
      </c>
      <c r="F98" s="1" t="str">
        <f>VLOOKUP(D98,Table12[[Name]:[Native]],3,FALSE)</f>
        <v>乐清市</v>
      </c>
      <c r="G98" s="14" t="str">
        <f ca="1">VLOOKUP(F98,Table12[[Native]:[Population4]],5,FALSE)</f>
        <v>温州市</v>
      </c>
    </row>
    <row r="99" spans="1:7" ht="15.75" thickBot="1" x14ac:dyDescent="0.3">
      <c r="A99" t="s">
        <v>2469</v>
      </c>
      <c r="B99" s="1" t="s">
        <v>2470</v>
      </c>
      <c r="C99" s="1" t="s">
        <v>7</v>
      </c>
      <c r="D99" s="1" t="s">
        <v>2283</v>
      </c>
      <c r="E99" s="4">
        <v>2162</v>
      </c>
      <c r="F99" s="1" t="str">
        <f>VLOOKUP(D99,Table12[[Name]:[Native]],3,FALSE)</f>
        <v>泰顺县</v>
      </c>
      <c r="G99" s="14" t="str">
        <f ca="1">VLOOKUP(F99,Table12[[Native]:[Population4]],5,FALSE)</f>
        <v>温州市</v>
      </c>
    </row>
    <row r="100" spans="1:7" ht="15.75" thickBot="1" x14ac:dyDescent="0.3">
      <c r="A100" t="s">
        <v>2471</v>
      </c>
      <c r="B100" s="1" t="s">
        <v>2472</v>
      </c>
      <c r="C100" s="1" t="s">
        <v>15</v>
      </c>
      <c r="D100" s="1" t="s">
        <v>2318</v>
      </c>
      <c r="E100" s="4">
        <v>34976</v>
      </c>
      <c r="F100" s="1" t="str">
        <f>VLOOKUP(D100,Table12[[Name]:[Native]],3,FALSE)</f>
        <v>瓯海区</v>
      </c>
      <c r="G100" s="14" t="str">
        <f ca="1">VLOOKUP(F100,Table12[[Native]:[Population4]],5,FALSE)</f>
        <v>温州市</v>
      </c>
    </row>
    <row r="101" spans="1:7" ht="15.75" thickBot="1" x14ac:dyDescent="0.3">
      <c r="A101" t="s">
        <v>2473</v>
      </c>
      <c r="B101" s="1" t="s">
        <v>2474</v>
      </c>
      <c r="C101" s="1" t="s">
        <v>7</v>
      </c>
      <c r="D101" s="1" t="s">
        <v>2283</v>
      </c>
      <c r="E101" s="4">
        <v>1802</v>
      </c>
      <c r="F101" s="1" t="str">
        <f>VLOOKUP(D101,Table12[[Name]:[Native]],3,FALSE)</f>
        <v>泰顺县</v>
      </c>
      <c r="G101" s="14" t="str">
        <f ca="1">VLOOKUP(F101,Table12[[Native]:[Population4]],5,FALSE)</f>
        <v>温州市</v>
      </c>
    </row>
    <row r="102" spans="1:7" ht="15.75" thickBot="1" x14ac:dyDescent="0.3">
      <c r="A102" t="s">
        <v>2475</v>
      </c>
      <c r="B102" s="1" t="s">
        <v>2476</v>
      </c>
      <c r="C102" s="1" t="s">
        <v>7</v>
      </c>
      <c r="D102" s="1" t="s">
        <v>2279</v>
      </c>
      <c r="E102" s="4">
        <v>4988</v>
      </c>
      <c r="F102" s="1" t="str">
        <f>VLOOKUP(D102,Table12[[Name]:[Native]],3,FALSE)</f>
        <v>乐清市</v>
      </c>
      <c r="G102" s="14" t="str">
        <f ca="1">VLOOKUP(F102,Table12[[Native]:[Population4]],5,FALSE)</f>
        <v>温州市</v>
      </c>
    </row>
    <row r="103" spans="1:7" ht="15.75" thickBot="1" x14ac:dyDescent="0.3">
      <c r="A103" t="s">
        <v>2477</v>
      </c>
      <c r="B103" s="1" t="s">
        <v>2478</v>
      </c>
      <c r="C103" s="1" t="s">
        <v>7</v>
      </c>
      <c r="D103" s="1" t="s">
        <v>2282</v>
      </c>
      <c r="E103" s="4">
        <v>870</v>
      </c>
      <c r="F103" s="1" t="str">
        <f>VLOOKUP(D103,Table12[[Name]:[Native]],3,FALSE)</f>
        <v>文成县</v>
      </c>
      <c r="G103" s="14" t="str">
        <f ca="1">VLOOKUP(F103,Table12[[Native]:[Population4]],5,FALSE)</f>
        <v>温州市</v>
      </c>
    </row>
    <row r="104" spans="1:7" ht="15.75" thickBot="1" x14ac:dyDescent="0.3">
      <c r="A104" t="s">
        <v>2479</v>
      </c>
      <c r="B104" s="1" t="s">
        <v>2480</v>
      </c>
      <c r="C104" s="1" t="s">
        <v>15</v>
      </c>
      <c r="D104" s="1" t="s">
        <v>2288</v>
      </c>
      <c r="E104" s="4">
        <v>21564</v>
      </c>
      <c r="F104" s="1" t="str">
        <f>VLOOKUP(D104,Table12[[Name]:[Native]],3,FALSE)</f>
        <v>洞头区</v>
      </c>
      <c r="G104" s="14" t="str">
        <f ca="1">VLOOKUP(F104,Table12[[Native]:[Population4]],5,FALSE)</f>
        <v>温州市</v>
      </c>
    </row>
    <row r="105" spans="1:7" ht="15.75" thickBot="1" x14ac:dyDescent="0.3">
      <c r="A105" t="s">
        <v>1155</v>
      </c>
      <c r="B105" s="1" t="s">
        <v>1156</v>
      </c>
      <c r="C105" s="1" t="s">
        <v>7</v>
      </c>
      <c r="D105" s="1" t="s">
        <v>2299</v>
      </c>
      <c r="E105" s="4">
        <v>4249</v>
      </c>
      <c r="F105" s="1" t="str">
        <f>VLOOKUP(D105,Table12[[Name]:[Native]],3,FALSE)</f>
        <v>永嘉县</v>
      </c>
      <c r="G105" s="14" t="str">
        <f ca="1">VLOOKUP(F105,Table12[[Native]:[Population4]],5,FALSE)</f>
        <v>温州市</v>
      </c>
    </row>
    <row r="106" spans="1:7" ht="15.75" thickBot="1" x14ac:dyDescent="0.3">
      <c r="A106" t="s">
        <v>2481</v>
      </c>
      <c r="B106" s="1" t="s">
        <v>2482</v>
      </c>
      <c r="C106" s="1" t="s">
        <v>11</v>
      </c>
      <c r="D106" s="1" t="s">
        <v>2311</v>
      </c>
      <c r="E106" s="4">
        <v>260052</v>
      </c>
      <c r="F106" s="1" t="str">
        <f>VLOOKUP(D106,Table12[[Name]:[Native]],3,FALSE)</f>
        <v>苍南县</v>
      </c>
      <c r="G106" s="14" t="str">
        <f ca="1">VLOOKUP(F106,Table12[[Native]:[Population4]],5,FALSE)</f>
        <v>温州市</v>
      </c>
    </row>
    <row r="107" spans="1:7" ht="15.75" thickBot="1" x14ac:dyDescent="0.3">
      <c r="A107" t="s">
        <v>2483</v>
      </c>
      <c r="B107" s="1" t="s">
        <v>2484</v>
      </c>
      <c r="C107" s="1" t="s">
        <v>7</v>
      </c>
      <c r="D107" s="1" t="s">
        <v>2273</v>
      </c>
      <c r="E107" s="4">
        <v>8433</v>
      </c>
      <c r="F107" s="1" t="str">
        <f>VLOOKUP(D107,Table12[[Name]:[Native]],3,FALSE)</f>
        <v>瑞安市</v>
      </c>
      <c r="G107" s="14" t="str">
        <f ca="1">VLOOKUP(F107,Table12[[Native]:[Population4]],5,FALSE)</f>
        <v>温州市</v>
      </c>
    </row>
    <row r="108" spans="1:7" ht="15.75" thickBot="1" x14ac:dyDescent="0.3">
      <c r="A108" t="s">
        <v>2485</v>
      </c>
      <c r="B108" s="1" t="s">
        <v>2486</v>
      </c>
      <c r="C108" s="1" t="s">
        <v>7</v>
      </c>
      <c r="D108" s="1" t="s">
        <v>2283</v>
      </c>
      <c r="E108" s="4">
        <v>5085</v>
      </c>
      <c r="F108" s="1" t="str">
        <f>VLOOKUP(D108,Table12[[Name]:[Native]],3,FALSE)</f>
        <v>泰顺县</v>
      </c>
      <c r="G108" s="14" t="str">
        <f ca="1">VLOOKUP(F108,Table12[[Native]:[Population4]],5,FALSE)</f>
        <v>温州市</v>
      </c>
    </row>
    <row r="109" spans="1:7" ht="15.75" thickBot="1" x14ac:dyDescent="0.3">
      <c r="A109" t="s">
        <v>2487</v>
      </c>
      <c r="B109" s="1" t="s">
        <v>2488</v>
      </c>
      <c r="C109" s="1" t="s">
        <v>11</v>
      </c>
      <c r="D109" s="1" t="s">
        <v>2279</v>
      </c>
      <c r="E109" s="4">
        <v>219380</v>
      </c>
      <c r="F109" s="1" t="str">
        <f>VLOOKUP(D109,Table12[[Name]:[Native]],3,FALSE)</f>
        <v>乐清市</v>
      </c>
      <c r="G109" s="14" t="str">
        <f ca="1">VLOOKUP(F109,Table12[[Native]:[Population4]],5,FALSE)</f>
        <v>温州市</v>
      </c>
    </row>
    <row r="110" spans="1:7" ht="15.75" thickBot="1" x14ac:dyDescent="0.3">
      <c r="A110" t="s">
        <v>2489</v>
      </c>
      <c r="B110" s="1" t="s">
        <v>2490</v>
      </c>
      <c r="C110" s="1" t="s">
        <v>7</v>
      </c>
      <c r="D110" s="1" t="s">
        <v>2299</v>
      </c>
      <c r="E110" s="4">
        <v>6056</v>
      </c>
      <c r="F110" s="1" t="str">
        <f>VLOOKUP(D110,Table12[[Name]:[Native]],3,FALSE)</f>
        <v>永嘉县</v>
      </c>
      <c r="G110" s="14" t="str">
        <f ca="1">VLOOKUP(F110,Table12[[Native]:[Population4]],5,FALSE)</f>
        <v>温州市</v>
      </c>
    </row>
    <row r="111" spans="1:7" ht="15.75" thickBot="1" x14ac:dyDescent="0.3">
      <c r="A111" t="s">
        <v>2491</v>
      </c>
      <c r="B111" s="1" t="s">
        <v>2492</v>
      </c>
      <c r="C111" s="1" t="s">
        <v>7</v>
      </c>
      <c r="D111" s="1" t="s">
        <v>2282</v>
      </c>
      <c r="E111" s="4">
        <v>1623</v>
      </c>
      <c r="F111" s="1" t="str">
        <f>VLOOKUP(D111,Table12[[Name]:[Native]],3,FALSE)</f>
        <v>文成县</v>
      </c>
      <c r="G111" s="14" t="str">
        <f ca="1">VLOOKUP(F111,Table12[[Native]:[Population4]],5,FALSE)</f>
        <v>温州市</v>
      </c>
    </row>
    <row r="112" spans="1:7" ht="15.75" thickBot="1" x14ac:dyDescent="0.3">
      <c r="A112" t="s">
        <v>2493</v>
      </c>
      <c r="B112" s="1" t="s">
        <v>2494</v>
      </c>
      <c r="C112" s="1" t="s">
        <v>7</v>
      </c>
      <c r="D112" s="1" t="s">
        <v>2282</v>
      </c>
      <c r="E112" s="4">
        <v>7240</v>
      </c>
      <c r="F112" s="1" t="str">
        <f>VLOOKUP(D112,Table12[[Name]:[Native]],3,FALSE)</f>
        <v>文成县</v>
      </c>
      <c r="G112" s="14" t="str">
        <f ca="1">VLOOKUP(F112,Table12[[Native]:[Population4]],5,FALSE)</f>
        <v>温州市</v>
      </c>
    </row>
    <row r="113" spans="1:7" ht="15.75" thickBot="1" x14ac:dyDescent="0.3">
      <c r="A113" t="s">
        <v>2495</v>
      </c>
      <c r="B113" s="1" t="s">
        <v>2496</v>
      </c>
      <c r="C113" s="1" t="s">
        <v>2497</v>
      </c>
      <c r="D113" s="1" t="s">
        <v>2498</v>
      </c>
      <c r="E113" s="4">
        <v>396000</v>
      </c>
      <c r="F113" s="1" t="str">
        <f>VLOOKUP(D113,Table12[[Name]:[Native]],3,FALSE)</f>
        <v>龙港市</v>
      </c>
      <c r="G113" s="14" t="str">
        <f ca="1">VLOOKUP(F113,Table12[[Native]:[Population4]],5,FALSE)</f>
        <v>温州市</v>
      </c>
    </row>
    <row r="114" spans="1:7" ht="15.75" thickBot="1" x14ac:dyDescent="0.3">
      <c r="A114" t="s">
        <v>2499</v>
      </c>
      <c r="B114" s="1" t="s">
        <v>2500</v>
      </c>
      <c r="C114" s="1" t="s">
        <v>11</v>
      </c>
      <c r="D114" s="1" t="s">
        <v>2273</v>
      </c>
      <c r="E114" s="4">
        <v>9609</v>
      </c>
      <c r="F114" s="1" t="str">
        <f>VLOOKUP(D114,Table12[[Name]:[Native]],3,FALSE)</f>
        <v>瑞安市</v>
      </c>
      <c r="G114" s="14" t="str">
        <f ca="1">VLOOKUP(F114,Table12[[Native]:[Population4]],5,FALSE)</f>
        <v>温州市</v>
      </c>
    </row>
    <row r="115" spans="1:7" ht="15.75" thickBot="1" x14ac:dyDescent="0.3">
      <c r="A115" t="s">
        <v>2501</v>
      </c>
      <c r="B115" s="1" t="s">
        <v>2502</v>
      </c>
      <c r="C115" s="1" t="s">
        <v>7</v>
      </c>
      <c r="D115" s="1" t="s">
        <v>2311</v>
      </c>
      <c r="E115" s="4">
        <v>4267</v>
      </c>
      <c r="F115" s="1" t="str">
        <f>VLOOKUP(D115,Table12[[Name]:[Native]],3,FALSE)</f>
        <v>苍南县</v>
      </c>
      <c r="G115" s="14" t="str">
        <f ca="1">VLOOKUP(F115,Table12[[Native]:[Population4]],5,FALSE)</f>
        <v>温州市</v>
      </c>
    </row>
    <row r="116" spans="1:7" ht="15.75" thickBot="1" x14ac:dyDescent="0.3">
      <c r="A116" t="s">
        <v>2503</v>
      </c>
      <c r="B116" s="1" t="s">
        <v>2504</v>
      </c>
      <c r="C116" s="1" t="s">
        <v>7</v>
      </c>
      <c r="D116" s="1" t="s">
        <v>2276</v>
      </c>
      <c r="E116" s="4">
        <v>874</v>
      </c>
      <c r="F116" s="1" t="str">
        <f>VLOOKUP(D116,Table12[[Name]:[Native]],3,FALSE)</f>
        <v>平阳县</v>
      </c>
      <c r="G116" s="14" t="str">
        <f ca="1">VLOOKUP(F116,Table12[[Native]:[Population4]],5,FALSE)</f>
        <v>温州市</v>
      </c>
    </row>
    <row r="117" spans="1:7" ht="15.75" thickBot="1" x14ac:dyDescent="0.3">
      <c r="A117" t="s">
        <v>2505</v>
      </c>
      <c r="B117" s="1" t="s">
        <v>2506</v>
      </c>
      <c r="C117" s="1" t="s">
        <v>7</v>
      </c>
      <c r="D117" s="1" t="s">
        <v>2279</v>
      </c>
      <c r="E117" s="4">
        <v>5205</v>
      </c>
      <c r="F117" s="1" t="str">
        <f>VLOOKUP(D117,Table12[[Name]:[Native]],3,FALSE)</f>
        <v>乐清市</v>
      </c>
      <c r="G117" s="14" t="str">
        <f ca="1">VLOOKUP(F117,Table12[[Native]:[Population4]],5,FALSE)</f>
        <v>温州市</v>
      </c>
    </row>
    <row r="118" spans="1:7" ht="15.75" thickBot="1" x14ac:dyDescent="0.3">
      <c r="A118" t="s">
        <v>2507</v>
      </c>
      <c r="B118" s="1" t="s">
        <v>2508</v>
      </c>
      <c r="C118" s="1" t="s">
        <v>15</v>
      </c>
      <c r="D118" s="1" t="s">
        <v>2318</v>
      </c>
      <c r="E118" s="4">
        <v>93151</v>
      </c>
      <c r="F118" s="1" t="str">
        <f>VLOOKUP(D118,Table12[[Name]:[Native]],3,FALSE)</f>
        <v>瓯海区</v>
      </c>
      <c r="G118" s="14" t="str">
        <f ca="1">VLOOKUP(F118,Table12[[Native]:[Population4]],5,FALSE)</f>
        <v>温州市</v>
      </c>
    </row>
    <row r="119" spans="1:7" ht="15.75" thickBot="1" x14ac:dyDescent="0.3">
      <c r="A119" t="s">
        <v>2509</v>
      </c>
      <c r="B119" s="1" t="s">
        <v>2510</v>
      </c>
      <c r="C119" s="1" t="s">
        <v>7</v>
      </c>
      <c r="D119" s="1" t="s">
        <v>2273</v>
      </c>
      <c r="E119" s="4">
        <v>7288</v>
      </c>
      <c r="F119" s="1" t="str">
        <f>VLOOKUP(D119,Table12[[Name]:[Native]],3,FALSE)</f>
        <v>瑞安市</v>
      </c>
      <c r="G119" s="14" t="str">
        <f ca="1">VLOOKUP(F119,Table12[[Native]:[Population4]],5,FALSE)</f>
        <v>温州市</v>
      </c>
    </row>
    <row r="120" spans="1:7" ht="15.75" thickBot="1" x14ac:dyDescent="0.3">
      <c r="A120" t="s">
        <v>2511</v>
      </c>
      <c r="B120" s="1" t="s">
        <v>2512</v>
      </c>
      <c r="C120" s="1" t="s">
        <v>11</v>
      </c>
      <c r="D120" s="1" t="s">
        <v>2283</v>
      </c>
      <c r="E120" s="4">
        <v>61651</v>
      </c>
      <c r="F120" s="1" t="str">
        <f>VLOOKUP(D120,Table12[[Name]:[Native]],3,FALSE)</f>
        <v>泰顺县</v>
      </c>
      <c r="G120" s="14" t="str">
        <f ca="1">VLOOKUP(F120,Table12[[Native]:[Population4]],5,FALSE)</f>
        <v>温州市</v>
      </c>
    </row>
    <row r="121" spans="1:7" ht="15.75" thickBot="1" x14ac:dyDescent="0.3">
      <c r="A121" t="s">
        <v>2513</v>
      </c>
      <c r="B121" s="1" t="s">
        <v>2514</v>
      </c>
      <c r="C121" s="1" t="s">
        <v>7</v>
      </c>
      <c r="D121" s="1" t="s">
        <v>2288</v>
      </c>
      <c r="E121" s="4">
        <v>5904</v>
      </c>
      <c r="F121" s="1" t="str">
        <f>VLOOKUP(D121,Table12[[Name]:[Native]],3,FALSE)</f>
        <v>洞头区</v>
      </c>
      <c r="G121" s="14" t="str">
        <f ca="1">VLOOKUP(F121,Table12[[Native]:[Population4]],5,FALSE)</f>
        <v>温州市</v>
      </c>
    </row>
    <row r="122" spans="1:7" ht="15.75" thickBot="1" x14ac:dyDescent="0.3">
      <c r="A122" t="s">
        <v>2515</v>
      </c>
      <c r="B122" s="1" t="s">
        <v>2516</v>
      </c>
      <c r="C122" s="1" t="s">
        <v>11</v>
      </c>
      <c r="D122" s="1" t="s">
        <v>2276</v>
      </c>
      <c r="E122" s="4">
        <v>33396</v>
      </c>
      <c r="F122" s="1" t="str">
        <f>VLOOKUP(D122,Table12[[Name]:[Native]],3,FALSE)</f>
        <v>平阳县</v>
      </c>
      <c r="G122" s="14" t="str">
        <f ca="1">VLOOKUP(F122,Table12[[Native]:[Population4]],5,FALSE)</f>
        <v>温州市</v>
      </c>
    </row>
    <row r="123" spans="1:7" ht="15.75" thickBot="1" x14ac:dyDescent="0.3">
      <c r="A123" t="s">
        <v>2517</v>
      </c>
      <c r="B123" s="1" t="s">
        <v>2518</v>
      </c>
      <c r="C123" s="1" t="s">
        <v>11</v>
      </c>
      <c r="D123" s="1" t="s">
        <v>2273</v>
      </c>
      <c r="E123" s="4">
        <v>54977</v>
      </c>
      <c r="F123" s="1" t="str">
        <f>VLOOKUP(D123,Table12[[Name]:[Native]],3,FALSE)</f>
        <v>瑞安市</v>
      </c>
      <c r="G123" s="14" t="str">
        <f ca="1">VLOOKUP(F123,Table12[[Native]:[Population4]],5,FALSE)</f>
        <v>温州市</v>
      </c>
    </row>
    <row r="124" spans="1:7" ht="15.75" thickBot="1" x14ac:dyDescent="0.3">
      <c r="A124" t="s">
        <v>2519</v>
      </c>
      <c r="B124" s="1" t="s">
        <v>2520</v>
      </c>
      <c r="C124" s="1" t="s">
        <v>11</v>
      </c>
      <c r="D124" s="1" t="s">
        <v>2311</v>
      </c>
      <c r="E124" s="4">
        <v>21982</v>
      </c>
      <c r="F124" s="1" t="str">
        <f>VLOOKUP(D124,Table12[[Name]:[Native]],3,FALSE)</f>
        <v>苍南县</v>
      </c>
      <c r="G124" s="14" t="str">
        <f ca="1">VLOOKUP(F124,Table12[[Native]:[Population4]],5,FALSE)</f>
        <v>温州市</v>
      </c>
    </row>
    <row r="125" spans="1:7" ht="15.75" thickBot="1" x14ac:dyDescent="0.3">
      <c r="A125" t="s">
        <v>2521</v>
      </c>
      <c r="B125" s="1" t="s">
        <v>2522</v>
      </c>
      <c r="C125" s="1" t="s">
        <v>7</v>
      </c>
      <c r="D125" s="1" t="s">
        <v>2276</v>
      </c>
      <c r="E125" s="4">
        <v>9195</v>
      </c>
      <c r="F125" s="1" t="str">
        <f>VLOOKUP(D125,Table12[[Name]:[Native]],3,FALSE)</f>
        <v>平阳县</v>
      </c>
      <c r="G125" s="14" t="str">
        <f ca="1">VLOOKUP(F125,Table12[[Native]:[Population4]],5,FALSE)</f>
        <v>温州市</v>
      </c>
    </row>
    <row r="126" spans="1:7" ht="15.75" thickBot="1" x14ac:dyDescent="0.3">
      <c r="A126" t="s">
        <v>2523</v>
      </c>
      <c r="B126" s="1" t="s">
        <v>2524</v>
      </c>
      <c r="C126" s="1" t="s">
        <v>7</v>
      </c>
      <c r="D126" s="1" t="s">
        <v>2276</v>
      </c>
      <c r="E126" s="4">
        <v>6498</v>
      </c>
      <c r="F126" s="1" t="str">
        <f>VLOOKUP(D126,Table12[[Name]:[Native]],3,FALSE)</f>
        <v>平阳县</v>
      </c>
      <c r="G126" s="14" t="str">
        <f ca="1">VLOOKUP(F126,Table12[[Native]:[Population4]],5,FALSE)</f>
        <v>温州市</v>
      </c>
    </row>
    <row r="127" spans="1:7" ht="15.75" thickBot="1" x14ac:dyDescent="0.3">
      <c r="A127" t="s">
        <v>2525</v>
      </c>
      <c r="B127" s="1" t="s">
        <v>2526</v>
      </c>
      <c r="C127" s="1" t="s">
        <v>7</v>
      </c>
      <c r="D127" s="1" t="s">
        <v>2273</v>
      </c>
      <c r="E127" s="4">
        <v>12458</v>
      </c>
      <c r="F127" s="1" t="str">
        <f>VLOOKUP(D127,Table12[[Name]:[Native]],3,FALSE)</f>
        <v>瑞安市</v>
      </c>
      <c r="G127" s="14" t="str">
        <f ca="1">VLOOKUP(F127,Table12[[Native]:[Population4]],5,FALSE)</f>
        <v>温州市</v>
      </c>
    </row>
    <row r="128" spans="1:7" ht="15.75" thickBot="1" x14ac:dyDescent="0.3">
      <c r="A128" t="s">
        <v>2527</v>
      </c>
      <c r="B128" s="1" t="s">
        <v>2528</v>
      </c>
      <c r="C128" s="1" t="s">
        <v>7</v>
      </c>
      <c r="D128" s="1" t="s">
        <v>2299</v>
      </c>
      <c r="E128" s="4">
        <v>4818</v>
      </c>
      <c r="F128" s="1" t="str">
        <f>VLOOKUP(D128,Table12[[Name]:[Native]],3,FALSE)</f>
        <v>永嘉县</v>
      </c>
      <c r="G128" s="14" t="str">
        <f ca="1">VLOOKUP(F128,Table12[[Native]:[Population4]],5,FALSE)</f>
        <v>温州市</v>
      </c>
    </row>
    <row r="129" spans="1:7" ht="15.75" thickBot="1" x14ac:dyDescent="0.3">
      <c r="A129" t="s">
        <v>2529</v>
      </c>
      <c r="B129" s="1" t="s">
        <v>2530</v>
      </c>
      <c r="C129" s="1" t="s">
        <v>15</v>
      </c>
      <c r="D129" s="1" t="s">
        <v>2318</v>
      </c>
      <c r="E129" s="4">
        <v>58673</v>
      </c>
      <c r="F129" s="1" t="str">
        <f>VLOOKUP(D129,Table12[[Name]:[Native]],3,FALSE)</f>
        <v>瓯海区</v>
      </c>
      <c r="G129" s="14" t="str">
        <f ca="1">VLOOKUP(F129,Table12[[Native]:[Population4]],5,FALSE)</f>
        <v>温州市</v>
      </c>
    </row>
    <row r="130" spans="1:7" ht="15.75" thickBot="1" x14ac:dyDescent="0.3">
      <c r="A130" t="s">
        <v>2531</v>
      </c>
      <c r="B130" s="1" t="s">
        <v>2532</v>
      </c>
      <c r="C130" s="1" t="s">
        <v>15</v>
      </c>
      <c r="D130" s="1" t="s">
        <v>2304</v>
      </c>
      <c r="E130" s="4">
        <v>223798</v>
      </c>
      <c r="F130" s="1" t="str">
        <f>VLOOKUP(D130,Table12[[Name]:[Native]],3,FALSE)</f>
        <v>鹿城区</v>
      </c>
      <c r="G130" s="14" t="str">
        <f ca="1">VLOOKUP(F130,Table12[[Native]:[Population4]],5,FALSE)</f>
        <v>温州市</v>
      </c>
    </row>
    <row r="131" spans="1:7" ht="15.75" thickBot="1" x14ac:dyDescent="0.3">
      <c r="A131" t="s">
        <v>2533</v>
      </c>
      <c r="B131" s="1" t="s">
        <v>2534</v>
      </c>
      <c r="C131" s="1" t="s">
        <v>7</v>
      </c>
      <c r="D131" s="1" t="s">
        <v>2276</v>
      </c>
      <c r="E131" s="4">
        <v>12257</v>
      </c>
      <c r="F131" s="1" t="str">
        <f>VLOOKUP(D131,Table12[[Name]:[Native]],3,FALSE)</f>
        <v>平阳县</v>
      </c>
      <c r="G131" s="14" t="str">
        <f ca="1">VLOOKUP(F131,Table12[[Native]:[Population4]],5,FALSE)</f>
        <v>温州市</v>
      </c>
    </row>
    <row r="132" spans="1:7" ht="15.75" thickBot="1" x14ac:dyDescent="0.3">
      <c r="A132" t="s">
        <v>2535</v>
      </c>
      <c r="B132" s="1" t="s">
        <v>2536</v>
      </c>
      <c r="C132" s="1" t="s">
        <v>11</v>
      </c>
      <c r="D132" s="1" t="s">
        <v>2276</v>
      </c>
      <c r="E132" s="4">
        <v>1176</v>
      </c>
      <c r="F132" s="1" t="str">
        <f>VLOOKUP(D132,Table12[[Name]:[Native]],3,FALSE)</f>
        <v>平阳县</v>
      </c>
      <c r="G132" s="14" t="str">
        <f ca="1">VLOOKUP(F132,Table12[[Native]:[Population4]],5,FALSE)</f>
        <v>温州市</v>
      </c>
    </row>
    <row r="133" spans="1:7" ht="15.75" thickBot="1" x14ac:dyDescent="0.3">
      <c r="A133" t="s">
        <v>2537</v>
      </c>
      <c r="B133" s="1" t="s">
        <v>2538</v>
      </c>
      <c r="C133" s="1" t="s">
        <v>11</v>
      </c>
      <c r="D133" s="1" t="s">
        <v>2311</v>
      </c>
      <c r="E133" s="4">
        <v>8401</v>
      </c>
      <c r="F133" s="1" t="str">
        <f>VLOOKUP(D133,Table12[[Name]:[Native]],3,FALSE)</f>
        <v>苍南县</v>
      </c>
      <c r="G133" s="14" t="str">
        <f ca="1">VLOOKUP(F133,Table12[[Native]:[Population4]],5,FALSE)</f>
        <v>温州市</v>
      </c>
    </row>
    <row r="134" spans="1:7" ht="15.75" thickBot="1" x14ac:dyDescent="0.3">
      <c r="A134" t="s">
        <v>2539</v>
      </c>
      <c r="B134" s="1" t="s">
        <v>2540</v>
      </c>
      <c r="C134" s="1" t="s">
        <v>11</v>
      </c>
      <c r="D134" s="1" t="s">
        <v>2279</v>
      </c>
      <c r="E134" s="4">
        <v>19413</v>
      </c>
      <c r="F134" s="1" t="str">
        <f>VLOOKUP(D134,Table12[[Name]:[Native]],3,FALSE)</f>
        <v>乐清市</v>
      </c>
      <c r="G134" s="14" t="str">
        <f ca="1">VLOOKUP(F134,Table12[[Native]:[Population4]],5,FALSE)</f>
        <v>温州市</v>
      </c>
    </row>
    <row r="135" spans="1:7" ht="15.75" thickBot="1" x14ac:dyDescent="0.3">
      <c r="A135" t="s">
        <v>2541</v>
      </c>
      <c r="B135" s="1" t="s">
        <v>2542</v>
      </c>
      <c r="C135" s="1" t="s">
        <v>11</v>
      </c>
      <c r="D135" s="1" t="s">
        <v>2282</v>
      </c>
      <c r="E135" s="4">
        <v>15411</v>
      </c>
      <c r="F135" s="1" t="str">
        <f>VLOOKUP(D135,Table12[[Name]:[Native]],3,FALSE)</f>
        <v>文成县</v>
      </c>
      <c r="G135" s="14" t="str">
        <f ca="1">VLOOKUP(F135,Table12[[Native]:[Population4]],5,FALSE)</f>
        <v>温州市</v>
      </c>
    </row>
    <row r="136" spans="1:7" ht="15.75" thickBot="1" x14ac:dyDescent="0.3">
      <c r="A136" t="s">
        <v>2543</v>
      </c>
      <c r="B136" s="1" t="s">
        <v>2544</v>
      </c>
      <c r="C136" s="1" t="s">
        <v>11</v>
      </c>
      <c r="D136" s="1" t="s">
        <v>2276</v>
      </c>
      <c r="E136" s="4">
        <v>17096</v>
      </c>
      <c r="F136" s="1" t="str">
        <f>VLOOKUP(D136,Table12[[Name]:[Native]],3,FALSE)</f>
        <v>平阳县</v>
      </c>
      <c r="G136" s="14" t="str">
        <f ca="1">VLOOKUP(F136,Table12[[Native]:[Population4]],5,FALSE)</f>
        <v>温州市</v>
      </c>
    </row>
    <row r="137" spans="1:7" ht="15.75" thickBot="1" x14ac:dyDescent="0.3">
      <c r="A137" t="s">
        <v>2545</v>
      </c>
      <c r="B137" s="1" t="s">
        <v>2546</v>
      </c>
      <c r="C137" s="1" t="s">
        <v>7</v>
      </c>
      <c r="D137" s="1" t="s">
        <v>2283</v>
      </c>
      <c r="E137" s="4">
        <v>3597</v>
      </c>
      <c r="F137" s="1" t="str">
        <f>VLOOKUP(D137,Table12[[Name]:[Native]],3,FALSE)</f>
        <v>泰顺县</v>
      </c>
      <c r="G137" s="14" t="str">
        <f ca="1">VLOOKUP(F137,Table12[[Native]:[Population4]],5,FALSE)</f>
        <v>温州市</v>
      </c>
    </row>
    <row r="138" spans="1:7" ht="15.75" thickBot="1" x14ac:dyDescent="0.3">
      <c r="A138" t="s">
        <v>2547</v>
      </c>
      <c r="B138" s="1" t="s">
        <v>2548</v>
      </c>
      <c r="C138" s="1" t="s">
        <v>11</v>
      </c>
      <c r="D138" s="1" t="s">
        <v>2279</v>
      </c>
      <c r="E138" s="4">
        <v>15573</v>
      </c>
      <c r="F138" s="1" t="str">
        <f>VLOOKUP(D138,Table12[[Name]:[Native]],3,FALSE)</f>
        <v>乐清市</v>
      </c>
      <c r="G138" s="14" t="str">
        <f ca="1">VLOOKUP(F138,Table12[[Native]:[Population4]],5,FALSE)</f>
        <v>温州市</v>
      </c>
    </row>
    <row r="139" spans="1:7" ht="15.75" thickBot="1" x14ac:dyDescent="0.3">
      <c r="A139" t="s">
        <v>2549</v>
      </c>
      <c r="B139" s="1" t="s">
        <v>2550</v>
      </c>
      <c r="C139" s="1" t="s">
        <v>7</v>
      </c>
      <c r="D139" s="1" t="s">
        <v>2276</v>
      </c>
      <c r="E139" s="4">
        <v>10181</v>
      </c>
      <c r="F139" s="1" t="str">
        <f>VLOOKUP(D139,Table12[[Name]:[Native]],3,FALSE)</f>
        <v>平阳县</v>
      </c>
      <c r="G139" s="14" t="str">
        <f ca="1">VLOOKUP(F139,Table12[[Native]:[Population4]],5,FALSE)</f>
        <v>温州市</v>
      </c>
    </row>
    <row r="140" spans="1:7" ht="15.75" thickBot="1" x14ac:dyDescent="0.3">
      <c r="A140" t="s">
        <v>2551</v>
      </c>
      <c r="B140" s="1" t="s">
        <v>2552</v>
      </c>
      <c r="C140" s="1" t="s">
        <v>7</v>
      </c>
      <c r="D140" s="1" t="s">
        <v>2273</v>
      </c>
      <c r="E140" s="4">
        <v>3836</v>
      </c>
      <c r="F140" s="1" t="str">
        <f>VLOOKUP(D140,Table12[[Name]:[Native]],3,FALSE)</f>
        <v>瑞安市</v>
      </c>
      <c r="G140" s="14" t="str">
        <f ca="1">VLOOKUP(F140,Table12[[Native]:[Population4]],5,FALSE)</f>
        <v>温州市</v>
      </c>
    </row>
    <row r="141" spans="1:7" ht="15.75" thickBot="1" x14ac:dyDescent="0.3">
      <c r="A141" t="s">
        <v>2553</v>
      </c>
      <c r="B141" s="1" t="s">
        <v>2554</v>
      </c>
      <c r="C141" s="1" t="s">
        <v>15</v>
      </c>
      <c r="D141" s="1" t="s">
        <v>2288</v>
      </c>
      <c r="E141" s="4">
        <v>7274</v>
      </c>
      <c r="F141" s="1" t="str">
        <f>VLOOKUP(D141,Table12[[Name]:[Native]],3,FALSE)</f>
        <v>洞头区</v>
      </c>
      <c r="G141" s="14" t="str">
        <f ca="1">VLOOKUP(F141,Table12[[Native]:[Population4]],5,FALSE)</f>
        <v>温州市</v>
      </c>
    </row>
    <row r="142" spans="1:7" ht="15.75" thickBot="1" x14ac:dyDescent="0.3">
      <c r="A142" t="s">
        <v>2555</v>
      </c>
      <c r="B142" s="1" t="s">
        <v>2556</v>
      </c>
      <c r="C142" s="1" t="s">
        <v>15</v>
      </c>
      <c r="D142" s="1" t="s">
        <v>2299</v>
      </c>
      <c r="E142" s="4">
        <v>311917</v>
      </c>
      <c r="F142" s="1" t="str">
        <f>VLOOKUP(D142,Table12[[Name]:[Native]],3,FALSE)</f>
        <v>永嘉县</v>
      </c>
      <c r="G142" s="14" t="str">
        <f ca="1">VLOOKUP(F142,Table12[[Native]:[Population4]],5,FALSE)</f>
        <v>温州市</v>
      </c>
    </row>
    <row r="143" spans="1:7" ht="15.75" thickBot="1" x14ac:dyDescent="0.3">
      <c r="A143" t="s">
        <v>2557</v>
      </c>
      <c r="B143" s="1" t="s">
        <v>2558</v>
      </c>
      <c r="C143" s="1" t="s">
        <v>15</v>
      </c>
      <c r="D143" s="1" t="s">
        <v>2273</v>
      </c>
      <c r="E143" s="4">
        <v>21146</v>
      </c>
      <c r="F143" s="1" t="str">
        <f>VLOOKUP(D143,Table12[[Name]:[Native]],3,FALSE)</f>
        <v>瑞安市</v>
      </c>
      <c r="G143" s="14" t="str">
        <f ca="1">VLOOKUP(F143,Table12[[Native]:[Population4]],5,FALSE)</f>
        <v>温州市</v>
      </c>
    </row>
    <row r="144" spans="1:7" ht="15.75" thickBot="1" x14ac:dyDescent="0.3">
      <c r="A144" t="s">
        <v>2559</v>
      </c>
      <c r="B144" s="1" t="s">
        <v>2560</v>
      </c>
      <c r="C144" s="1" t="s">
        <v>7</v>
      </c>
      <c r="D144" s="1" t="s">
        <v>2299</v>
      </c>
      <c r="E144" s="4">
        <v>3350</v>
      </c>
      <c r="F144" s="1" t="str">
        <f>VLOOKUP(D144,Table12[[Name]:[Native]],3,FALSE)</f>
        <v>永嘉县</v>
      </c>
      <c r="G144" s="14" t="str">
        <f ca="1">VLOOKUP(F144,Table12[[Native]:[Population4]],5,FALSE)</f>
        <v>温州市</v>
      </c>
    </row>
    <row r="145" spans="1:7" ht="15.75" thickBot="1" x14ac:dyDescent="0.3">
      <c r="A145" t="s">
        <v>2561</v>
      </c>
      <c r="B145" s="1" t="s">
        <v>2562</v>
      </c>
      <c r="C145" s="1" t="s">
        <v>15</v>
      </c>
      <c r="D145" s="1" t="s">
        <v>2318</v>
      </c>
      <c r="E145" s="4">
        <v>73379</v>
      </c>
      <c r="F145" s="1" t="str">
        <f>VLOOKUP(D145,Table12[[Name]:[Native]],3,FALSE)</f>
        <v>瓯海区</v>
      </c>
      <c r="G145" s="14" t="str">
        <f ca="1">VLOOKUP(F145,Table12[[Native]:[Population4]],5,FALSE)</f>
        <v>温州市</v>
      </c>
    </row>
    <row r="146" spans="1:7" ht="15.75" thickBot="1" x14ac:dyDescent="0.3">
      <c r="A146" t="s">
        <v>2563</v>
      </c>
      <c r="B146" s="1" t="s">
        <v>2564</v>
      </c>
      <c r="C146" s="1" t="s">
        <v>11</v>
      </c>
      <c r="D146" s="1" t="s">
        <v>2279</v>
      </c>
      <c r="E146" s="4">
        <v>21050</v>
      </c>
      <c r="F146" s="1" t="str">
        <f>VLOOKUP(D146,Table12[[Name]:[Native]],3,FALSE)</f>
        <v>乐清市</v>
      </c>
      <c r="G146" s="14" t="str">
        <f ca="1">VLOOKUP(F146,Table12[[Native]:[Population4]],5,FALSE)</f>
        <v>温州市</v>
      </c>
    </row>
    <row r="147" spans="1:7" ht="15.75" thickBot="1" x14ac:dyDescent="0.3">
      <c r="A147" t="s">
        <v>2565</v>
      </c>
      <c r="B147" s="1" t="s">
        <v>2566</v>
      </c>
      <c r="C147" s="1" t="s">
        <v>11</v>
      </c>
      <c r="D147" s="1" t="s">
        <v>2283</v>
      </c>
      <c r="E147" s="4">
        <v>7810</v>
      </c>
      <c r="F147" s="1" t="str">
        <f>VLOOKUP(D147,Table12[[Name]:[Native]],3,FALSE)</f>
        <v>泰顺县</v>
      </c>
      <c r="G147" s="14" t="str">
        <f ca="1">VLOOKUP(F147,Table12[[Native]:[Population4]],5,FALSE)</f>
        <v>温州市</v>
      </c>
    </row>
    <row r="148" spans="1:7" ht="15.75" thickBot="1" x14ac:dyDescent="0.3">
      <c r="A148" t="s">
        <v>2567</v>
      </c>
      <c r="B148" s="1" t="s">
        <v>2568</v>
      </c>
      <c r="C148" s="1" t="s">
        <v>7</v>
      </c>
      <c r="D148" s="1" t="s">
        <v>2282</v>
      </c>
      <c r="E148" s="4">
        <v>3077</v>
      </c>
      <c r="F148" s="1" t="str">
        <f>VLOOKUP(D148,Table12[[Name]:[Native]],3,FALSE)</f>
        <v>文成县</v>
      </c>
      <c r="G148" s="14" t="str">
        <f ca="1">VLOOKUP(F148,Table12[[Native]:[Population4]],5,FALSE)</f>
        <v>温州市</v>
      </c>
    </row>
    <row r="149" spans="1:7" ht="15.75" thickBot="1" x14ac:dyDescent="0.3">
      <c r="A149" t="s">
        <v>2569</v>
      </c>
      <c r="B149" s="1" t="s">
        <v>2570</v>
      </c>
      <c r="C149" s="1" t="s">
        <v>11</v>
      </c>
      <c r="D149" s="1" t="s">
        <v>2273</v>
      </c>
      <c r="E149" s="4">
        <v>11385</v>
      </c>
      <c r="F149" s="1" t="str">
        <f>VLOOKUP(D149,Table12[[Name]:[Native]],3,FALSE)</f>
        <v>瑞安市</v>
      </c>
      <c r="G149" s="14" t="str">
        <f ca="1">VLOOKUP(F149,Table12[[Native]:[Population4]],5,FALSE)</f>
        <v>温州市</v>
      </c>
    </row>
    <row r="150" spans="1:7" ht="15.75" thickBot="1" x14ac:dyDescent="0.3">
      <c r="A150" t="s">
        <v>2571</v>
      </c>
      <c r="B150" s="1" t="s">
        <v>2572</v>
      </c>
      <c r="C150" s="1" t="s">
        <v>7</v>
      </c>
      <c r="D150" s="1" t="s">
        <v>2311</v>
      </c>
      <c r="E150" s="4">
        <v>3525</v>
      </c>
      <c r="F150" s="1" t="str">
        <f>VLOOKUP(D150,Table12[[Name]:[Native]],3,FALSE)</f>
        <v>苍南县</v>
      </c>
      <c r="G150" s="14" t="str">
        <f ca="1">VLOOKUP(F150,Table12[[Native]:[Population4]],5,FALSE)</f>
        <v>温州市</v>
      </c>
    </row>
    <row r="151" spans="1:7" ht="15.75" thickBot="1" x14ac:dyDescent="0.3">
      <c r="A151" t="s">
        <v>2573</v>
      </c>
      <c r="B151" s="1" t="s">
        <v>2574</v>
      </c>
      <c r="C151" s="1" t="s">
        <v>11</v>
      </c>
      <c r="D151" s="1" t="s">
        <v>2279</v>
      </c>
      <c r="E151" s="4">
        <v>26657</v>
      </c>
      <c r="F151" s="1" t="str">
        <f>VLOOKUP(D151,Table12[[Name]:[Native]],3,FALSE)</f>
        <v>乐清市</v>
      </c>
      <c r="G151" s="14" t="str">
        <f ca="1">VLOOKUP(F151,Table12[[Native]:[Population4]],5,FALSE)</f>
        <v>温州市</v>
      </c>
    </row>
    <row r="152" spans="1:7" ht="15.75" thickBot="1" x14ac:dyDescent="0.3">
      <c r="A152" t="s">
        <v>2575</v>
      </c>
      <c r="B152" s="1" t="s">
        <v>2576</v>
      </c>
      <c r="C152" s="1" t="s">
        <v>7</v>
      </c>
      <c r="D152" s="1" t="s">
        <v>2311</v>
      </c>
      <c r="E152" s="4">
        <v>8701</v>
      </c>
      <c r="F152" s="1" t="str">
        <f>VLOOKUP(D152,Table12[[Name]:[Native]],3,FALSE)</f>
        <v>苍南县</v>
      </c>
      <c r="G152" s="14" t="str">
        <f ca="1">VLOOKUP(F152,Table12[[Native]:[Population4]],5,FALSE)</f>
        <v>温州市</v>
      </c>
    </row>
    <row r="153" spans="1:7" ht="15.75" thickBot="1" x14ac:dyDescent="0.3">
      <c r="A153" t="s">
        <v>2577</v>
      </c>
      <c r="B153" s="1" t="s">
        <v>2578</v>
      </c>
      <c r="C153" s="1" t="s">
        <v>15</v>
      </c>
      <c r="D153" s="1" t="s">
        <v>2304</v>
      </c>
      <c r="E153" s="4">
        <v>92944</v>
      </c>
      <c r="F153" s="1" t="str">
        <f>VLOOKUP(D153,Table12[[Name]:[Native]],3,FALSE)</f>
        <v>鹿城区</v>
      </c>
      <c r="G153" s="14" t="str">
        <f ca="1">VLOOKUP(F153,Table12[[Native]:[Population4]],5,FALSE)</f>
        <v>温州市</v>
      </c>
    </row>
    <row r="154" spans="1:7" ht="15.75" thickBot="1" x14ac:dyDescent="0.3">
      <c r="A154" t="s">
        <v>2579</v>
      </c>
      <c r="B154" s="1" t="s">
        <v>2580</v>
      </c>
      <c r="C154" s="1" t="s">
        <v>15</v>
      </c>
      <c r="D154" s="1" t="s">
        <v>2407</v>
      </c>
      <c r="E154" s="4">
        <v>67466</v>
      </c>
      <c r="F154" s="1" t="str">
        <f>VLOOKUP(D154,Table12[[Name]:[Native]],3,FALSE)</f>
        <v>龙湾区</v>
      </c>
      <c r="G154" s="14" t="str">
        <f ca="1">VLOOKUP(F154,Table12[[Native]:[Population4]],5,FALSE)</f>
        <v>温州市</v>
      </c>
    </row>
    <row r="155" spans="1:7" ht="15.75" thickBot="1" x14ac:dyDescent="0.3">
      <c r="A155" t="s">
        <v>865</v>
      </c>
      <c r="B155" s="1" t="s">
        <v>2581</v>
      </c>
      <c r="C155" s="1" t="s">
        <v>11</v>
      </c>
      <c r="D155" s="1" t="s">
        <v>2276</v>
      </c>
      <c r="E155" s="4">
        <v>16180</v>
      </c>
      <c r="F155" s="1" t="str">
        <f>VLOOKUP(D155,Table12[[Name]:[Native]],3,FALSE)</f>
        <v>平阳县</v>
      </c>
      <c r="G155" s="14" t="str">
        <f ca="1">VLOOKUP(F155,Table12[[Native]:[Population4]],5,FALSE)</f>
        <v>温州市</v>
      </c>
    </row>
    <row r="156" spans="1:7" ht="15.75" thickBot="1" x14ac:dyDescent="0.3">
      <c r="A156" t="s">
        <v>2582</v>
      </c>
      <c r="B156" s="1" t="s">
        <v>2583</v>
      </c>
      <c r="C156" s="1" t="s">
        <v>11</v>
      </c>
      <c r="D156" s="1" t="s">
        <v>2311</v>
      </c>
      <c r="E156" s="4">
        <v>72000</v>
      </c>
      <c r="F156" s="1" t="str">
        <f>VLOOKUP(D156,Table12[[Name]:[Native]],3,FALSE)</f>
        <v>苍南县</v>
      </c>
      <c r="G156" s="14" t="str">
        <f ca="1">VLOOKUP(F156,Table12[[Native]:[Population4]],5,FALSE)</f>
        <v>温州市</v>
      </c>
    </row>
    <row r="157" spans="1:7" ht="15.75" thickBot="1" x14ac:dyDescent="0.3">
      <c r="A157" t="s">
        <v>2584</v>
      </c>
      <c r="B157" s="1" t="s">
        <v>2585</v>
      </c>
      <c r="C157" s="1" t="s">
        <v>11</v>
      </c>
      <c r="D157" s="1" t="s">
        <v>2311</v>
      </c>
      <c r="E157" s="4">
        <v>32379</v>
      </c>
      <c r="F157" s="1" t="str">
        <f>VLOOKUP(D157,Table12[[Name]:[Native]],3,FALSE)</f>
        <v>苍南县</v>
      </c>
      <c r="G157" s="14" t="str">
        <f ca="1">VLOOKUP(F157,Table12[[Native]:[Population4]],5,FALSE)</f>
        <v>温州市</v>
      </c>
    </row>
    <row r="158" spans="1:7" ht="15.75" thickBot="1" x14ac:dyDescent="0.3">
      <c r="A158" t="s">
        <v>1521</v>
      </c>
      <c r="B158" s="1" t="s">
        <v>1522</v>
      </c>
      <c r="C158" s="1" t="s">
        <v>11</v>
      </c>
      <c r="D158" s="1" t="s">
        <v>2299</v>
      </c>
      <c r="E158" s="4">
        <v>74839</v>
      </c>
      <c r="F158" s="1" t="str">
        <f>VLOOKUP(D158,Table12[[Name]:[Native]],3,FALSE)</f>
        <v>永嘉县</v>
      </c>
      <c r="G158" s="14" t="str">
        <f ca="1">VLOOKUP(F158,Table12[[Native]:[Population4]],5,FALSE)</f>
        <v>温州市</v>
      </c>
    </row>
    <row r="159" spans="1:7" ht="15.75" thickBot="1" x14ac:dyDescent="0.3">
      <c r="A159" t="s">
        <v>2586</v>
      </c>
      <c r="B159" s="1" t="s">
        <v>2587</v>
      </c>
      <c r="C159" s="1" t="s">
        <v>11</v>
      </c>
      <c r="D159" s="1" t="s">
        <v>2299</v>
      </c>
      <c r="E159" s="4">
        <v>37904</v>
      </c>
      <c r="F159" s="1" t="str">
        <f>VLOOKUP(D159,Table12[[Name]:[Native]],3,FALSE)</f>
        <v>永嘉县</v>
      </c>
      <c r="G159" s="14" t="str">
        <f ca="1">VLOOKUP(F159,Table12[[Native]:[Population4]],5,FALSE)</f>
        <v>温州市</v>
      </c>
    </row>
    <row r="160" spans="1:7" ht="15.75" thickBot="1" x14ac:dyDescent="0.3">
      <c r="A160" t="s">
        <v>2588</v>
      </c>
      <c r="B160" s="1" t="s">
        <v>2589</v>
      </c>
      <c r="C160" s="1" t="s">
        <v>15</v>
      </c>
      <c r="D160" s="1" t="s">
        <v>2304</v>
      </c>
      <c r="E160" s="4">
        <v>10797</v>
      </c>
      <c r="F160" s="1" t="str">
        <f>VLOOKUP(D160,Table12[[Name]:[Native]],3,FALSE)</f>
        <v>鹿城区</v>
      </c>
      <c r="G160" s="14" t="str">
        <f ca="1">VLOOKUP(F160,Table12[[Native]:[Population4]],5,FALSE)</f>
        <v>温州市</v>
      </c>
    </row>
    <row r="161" spans="1:7" ht="15.75" thickBot="1" x14ac:dyDescent="0.3">
      <c r="A161" t="s">
        <v>2590</v>
      </c>
      <c r="B161" s="1" t="s">
        <v>2591</v>
      </c>
      <c r="C161" s="1" t="s">
        <v>11</v>
      </c>
      <c r="D161" s="1" t="s">
        <v>2279</v>
      </c>
      <c r="E161" s="4">
        <v>27814</v>
      </c>
      <c r="F161" s="1" t="str">
        <f>VLOOKUP(D161,Table12[[Name]:[Native]],3,FALSE)</f>
        <v>乐清市</v>
      </c>
      <c r="G161" s="14" t="str">
        <f ca="1">VLOOKUP(F161,Table12[[Native]:[Population4]],5,FALSE)</f>
        <v>温州市</v>
      </c>
    </row>
    <row r="162" spans="1:7" ht="15.75" thickBot="1" x14ac:dyDescent="0.3">
      <c r="A162" t="s">
        <v>2592</v>
      </c>
      <c r="B162" s="1" t="s">
        <v>2593</v>
      </c>
      <c r="C162" s="1" t="s">
        <v>11</v>
      </c>
      <c r="D162" s="1" t="s">
        <v>2279</v>
      </c>
      <c r="E162" s="4">
        <v>34860</v>
      </c>
      <c r="F162" s="1" t="str">
        <f>VLOOKUP(D162,Table12[[Name]:[Native]],3,FALSE)</f>
        <v>乐清市</v>
      </c>
      <c r="G162" s="14" t="str">
        <f ca="1">VLOOKUP(F162,Table12[[Native]:[Population4]],5,FALSE)</f>
        <v>温州市</v>
      </c>
    </row>
    <row r="163" spans="1:7" ht="15.75" thickBot="1" x14ac:dyDescent="0.3">
      <c r="A163" t="s">
        <v>2594</v>
      </c>
      <c r="B163" s="1" t="s">
        <v>2595</v>
      </c>
      <c r="C163" s="1" t="s">
        <v>7</v>
      </c>
      <c r="D163" s="1" t="s">
        <v>2276</v>
      </c>
      <c r="E163" s="4">
        <v>4658</v>
      </c>
      <c r="F163" s="1" t="str">
        <f>VLOOKUP(D163,Table12[[Name]:[Native]],3,FALSE)</f>
        <v>平阳县</v>
      </c>
      <c r="G163" s="14" t="str">
        <f ca="1">VLOOKUP(F163,Table12[[Native]:[Population4]],5,FALSE)</f>
        <v>温州市</v>
      </c>
    </row>
    <row r="164" spans="1:7" ht="15.75" thickBot="1" x14ac:dyDescent="0.3">
      <c r="A164" t="s">
        <v>2596</v>
      </c>
      <c r="B164" s="1" t="s">
        <v>2597</v>
      </c>
      <c r="C164" s="1" t="s">
        <v>7</v>
      </c>
      <c r="D164" s="1" t="s">
        <v>2299</v>
      </c>
      <c r="E164" s="4">
        <v>8031</v>
      </c>
      <c r="F164" s="1" t="str">
        <f>VLOOKUP(D164,Table12[[Name]:[Native]],3,FALSE)</f>
        <v>永嘉县</v>
      </c>
      <c r="G164" s="14" t="str">
        <f ca="1">VLOOKUP(F164,Table12[[Native]:[Population4]],5,FALSE)</f>
        <v>温州市</v>
      </c>
    </row>
    <row r="165" spans="1:7" ht="15.75" thickBot="1" x14ac:dyDescent="0.3">
      <c r="A165" t="s">
        <v>2598</v>
      </c>
      <c r="B165" s="1" t="s">
        <v>2599</v>
      </c>
      <c r="C165" s="1" t="s">
        <v>11</v>
      </c>
      <c r="D165" s="1" t="s">
        <v>2283</v>
      </c>
      <c r="E165" s="4">
        <v>15593</v>
      </c>
      <c r="F165" s="1" t="str">
        <f>VLOOKUP(D165,Table12[[Name]:[Native]],3,FALSE)</f>
        <v>泰顺县</v>
      </c>
      <c r="G165" s="14" t="str">
        <f ca="1">VLOOKUP(F165,Table12[[Native]:[Population4]],5,FALSE)</f>
        <v>温州市</v>
      </c>
    </row>
    <row r="166" spans="1:7" ht="15.75" thickBot="1" x14ac:dyDescent="0.3">
      <c r="A166" t="s">
        <v>2600</v>
      </c>
      <c r="B166" s="1" t="s">
        <v>2601</v>
      </c>
      <c r="C166" s="1" t="s">
        <v>15</v>
      </c>
      <c r="D166" s="1" t="s">
        <v>2318</v>
      </c>
      <c r="E166" s="4">
        <v>41705</v>
      </c>
      <c r="F166" s="1" t="str">
        <f>VLOOKUP(D166,Table12[[Name]:[Native]],3,FALSE)</f>
        <v>瓯海区</v>
      </c>
      <c r="G166" s="14" t="str">
        <f ca="1">VLOOKUP(F166,Table12[[Native]:[Population4]],5,FALSE)</f>
        <v>温州市</v>
      </c>
    </row>
    <row r="167" spans="1:7" ht="15.75" thickBot="1" x14ac:dyDescent="0.3">
      <c r="A167" t="s">
        <v>2602</v>
      </c>
      <c r="B167" s="1" t="s">
        <v>2603</v>
      </c>
      <c r="C167" s="1" t="s">
        <v>15</v>
      </c>
      <c r="D167" s="1" t="s">
        <v>2407</v>
      </c>
      <c r="E167" s="4">
        <v>63041</v>
      </c>
      <c r="F167" s="1" t="str">
        <f>VLOOKUP(D167,Table12[[Name]:[Native]],3,FALSE)</f>
        <v>龙湾区</v>
      </c>
      <c r="G167" s="14" t="str">
        <f ca="1">VLOOKUP(F167,Table12[[Native]:[Population4]],5,FALSE)</f>
        <v>温州市</v>
      </c>
    </row>
    <row r="168" spans="1:7" ht="15.75" thickBot="1" x14ac:dyDescent="0.3">
      <c r="A168" t="s">
        <v>2604</v>
      </c>
      <c r="B168" s="1" t="s">
        <v>2605</v>
      </c>
      <c r="C168" s="1" t="s">
        <v>7</v>
      </c>
      <c r="D168" s="1" t="s">
        <v>2282</v>
      </c>
      <c r="E168" s="4">
        <v>1849</v>
      </c>
      <c r="F168" s="1" t="str">
        <f>VLOOKUP(D168,Table12[[Name]:[Native]],3,FALSE)</f>
        <v>文成县</v>
      </c>
      <c r="G168" s="14" t="str">
        <f ca="1">VLOOKUP(F168,Table12[[Native]:[Population4]],5,FALSE)</f>
        <v>温州市</v>
      </c>
    </row>
    <row r="169" spans="1:7" ht="15.75" thickBot="1" x14ac:dyDescent="0.3">
      <c r="A169" t="s">
        <v>2606</v>
      </c>
      <c r="B169" s="1" t="s">
        <v>2607</v>
      </c>
      <c r="C169" s="1" t="s">
        <v>15</v>
      </c>
      <c r="D169" s="1" t="s">
        <v>2273</v>
      </c>
      <c r="E169" s="4">
        <v>68206</v>
      </c>
      <c r="F169" s="1" t="str">
        <f>VLOOKUP(D169,Table12[[Name]:[Native]],3,FALSE)</f>
        <v>瑞安市</v>
      </c>
      <c r="G169" s="14" t="str">
        <f ca="1">VLOOKUP(F169,Table12[[Native]:[Population4]],5,FALSE)</f>
        <v>温州市</v>
      </c>
    </row>
    <row r="170" spans="1:7" ht="15.75" thickBot="1" x14ac:dyDescent="0.3">
      <c r="A170" t="s">
        <v>2608</v>
      </c>
      <c r="B170" s="1" t="s">
        <v>2609</v>
      </c>
      <c r="C170" s="1" t="s">
        <v>7</v>
      </c>
      <c r="D170" s="1" t="s">
        <v>2299</v>
      </c>
      <c r="E170" s="4">
        <v>2924</v>
      </c>
      <c r="F170" s="1" t="str">
        <f>VLOOKUP(D170,Table12[[Name]:[Native]],3,FALSE)</f>
        <v>永嘉县</v>
      </c>
      <c r="G170" s="14" t="str">
        <f ca="1">VLOOKUP(F170,Table12[[Native]:[Population4]],5,FALSE)</f>
        <v>温州市</v>
      </c>
    </row>
    <row r="171" spans="1:7" ht="15.75" thickBot="1" x14ac:dyDescent="0.3">
      <c r="A171" t="s">
        <v>2610</v>
      </c>
      <c r="B171" s="1" t="s">
        <v>2611</v>
      </c>
      <c r="C171" s="1" t="s">
        <v>11</v>
      </c>
      <c r="D171" s="1" t="s">
        <v>2276</v>
      </c>
      <c r="E171" s="4">
        <v>17308</v>
      </c>
      <c r="F171" s="1" t="str">
        <f>VLOOKUP(D171,Table12[[Name]:[Native]],3,FALSE)</f>
        <v>平阳县</v>
      </c>
      <c r="G171" s="14" t="str">
        <f ca="1">VLOOKUP(F171,Table12[[Native]:[Population4]],5,FALSE)</f>
        <v>温州市</v>
      </c>
    </row>
    <row r="172" spans="1:7" ht="15.75" thickBot="1" x14ac:dyDescent="0.3">
      <c r="A172" t="s">
        <v>2612</v>
      </c>
      <c r="B172" s="1" t="s">
        <v>2613</v>
      </c>
      <c r="C172" s="1" t="s">
        <v>11</v>
      </c>
      <c r="D172" s="1" t="s">
        <v>2282</v>
      </c>
      <c r="E172" s="4">
        <v>18361</v>
      </c>
      <c r="F172" s="1" t="str">
        <f>VLOOKUP(D172,Table12[[Name]:[Native]],3,FALSE)</f>
        <v>文成县</v>
      </c>
      <c r="G172" s="14" t="str">
        <f ca="1">VLOOKUP(F172,Table12[[Native]:[Population4]],5,FALSE)</f>
        <v>温州市</v>
      </c>
    </row>
    <row r="173" spans="1:7" ht="15.75" thickBot="1" x14ac:dyDescent="0.3">
      <c r="A173" t="s">
        <v>2614</v>
      </c>
      <c r="B173" s="1" t="s">
        <v>2615</v>
      </c>
      <c r="C173" s="1" t="s">
        <v>11</v>
      </c>
      <c r="D173" s="1" t="s">
        <v>2299</v>
      </c>
      <c r="E173" s="4">
        <v>12435</v>
      </c>
      <c r="F173" s="1" t="str">
        <f>VLOOKUP(D173,Table12[[Name]:[Native]],3,FALSE)</f>
        <v>永嘉县</v>
      </c>
      <c r="G173" s="14" t="str">
        <f ca="1">VLOOKUP(F173,Table12[[Native]:[Population4]],5,FALSE)</f>
        <v>温州市</v>
      </c>
    </row>
    <row r="174" spans="1:7" ht="15.75" thickBot="1" x14ac:dyDescent="0.3">
      <c r="A174" t="s">
        <v>2616</v>
      </c>
      <c r="B174" s="1" t="s">
        <v>2617</v>
      </c>
      <c r="C174" s="1" t="s">
        <v>15</v>
      </c>
      <c r="D174" s="1" t="s">
        <v>2279</v>
      </c>
      <c r="E174" s="4">
        <v>43779</v>
      </c>
      <c r="F174" s="1" t="str">
        <f>VLOOKUP(D174,Table12[[Name]:[Native]],3,FALSE)</f>
        <v>乐清市</v>
      </c>
      <c r="G174" s="14" t="str">
        <f ca="1">VLOOKUP(F174,Table12[[Native]:[Population4]],5,FALSE)</f>
        <v>温州市</v>
      </c>
    </row>
    <row r="175" spans="1:7" ht="15.75" thickBot="1" x14ac:dyDescent="0.3">
      <c r="A175" t="s">
        <v>2618</v>
      </c>
      <c r="B175" s="1" t="s">
        <v>2619</v>
      </c>
      <c r="C175" s="1" t="s">
        <v>7</v>
      </c>
      <c r="D175" s="1" t="s">
        <v>2311</v>
      </c>
      <c r="E175" s="4">
        <v>6387</v>
      </c>
      <c r="F175" s="1" t="str">
        <f>VLOOKUP(D175,Table12[[Name]:[Native]],3,FALSE)</f>
        <v>苍南县</v>
      </c>
      <c r="G175" s="14" t="str">
        <f ca="1">VLOOKUP(F175,Table12[[Native]:[Population4]],5,FALSE)</f>
        <v>温州市</v>
      </c>
    </row>
    <row r="176" spans="1:7" ht="15.75" thickBot="1" x14ac:dyDescent="0.3">
      <c r="A176" t="s">
        <v>2620</v>
      </c>
      <c r="B176" s="1" t="s">
        <v>2621</v>
      </c>
      <c r="C176" s="1" t="s">
        <v>7</v>
      </c>
      <c r="D176" s="1" t="s">
        <v>2299</v>
      </c>
      <c r="E176" s="4">
        <v>3262</v>
      </c>
      <c r="F176" s="1" t="str">
        <f>VLOOKUP(D176,Table12[[Name]:[Native]],3,FALSE)</f>
        <v>永嘉县</v>
      </c>
      <c r="G176" s="14" t="str">
        <f ca="1">VLOOKUP(F176,Table12[[Native]:[Population4]],5,FALSE)</f>
        <v>温州市</v>
      </c>
    </row>
    <row r="177" spans="1:7" ht="15.75" thickBot="1" x14ac:dyDescent="0.3">
      <c r="A177" t="s">
        <v>2622</v>
      </c>
      <c r="B177" s="1" t="s">
        <v>2623</v>
      </c>
      <c r="C177" s="1" t="s">
        <v>7</v>
      </c>
      <c r="D177" s="1" t="s">
        <v>2282</v>
      </c>
      <c r="E177" s="4">
        <v>1881</v>
      </c>
      <c r="F177" s="1" t="str">
        <f>VLOOKUP(D177,Table12[[Name]:[Native]],3,FALSE)</f>
        <v>文成县</v>
      </c>
      <c r="G177" s="14" t="str">
        <f ca="1">VLOOKUP(F177,Table12[[Native]:[Population4]],5,FALSE)</f>
        <v>温州市</v>
      </c>
    </row>
    <row r="178" spans="1:7" ht="15.75" thickBot="1" x14ac:dyDescent="0.3">
      <c r="A178" t="s">
        <v>2624</v>
      </c>
      <c r="B178" s="1" t="s">
        <v>2625</v>
      </c>
      <c r="C178" s="1" t="s">
        <v>11</v>
      </c>
      <c r="D178" s="1" t="s">
        <v>2283</v>
      </c>
      <c r="E178" s="4">
        <v>13932</v>
      </c>
      <c r="F178" s="1" t="str">
        <f>VLOOKUP(D178,Table12[[Name]:[Native]],3,FALSE)</f>
        <v>泰顺县</v>
      </c>
      <c r="G178" s="14" t="str">
        <f ca="1">VLOOKUP(F178,Table12[[Native]:[Population4]],5,FALSE)</f>
        <v>温州市</v>
      </c>
    </row>
    <row r="179" spans="1:7" ht="15.75" thickBot="1" x14ac:dyDescent="0.3">
      <c r="A179" t="s">
        <v>2626</v>
      </c>
      <c r="B179" s="1" t="s">
        <v>2627</v>
      </c>
      <c r="C179" s="1" t="s">
        <v>7</v>
      </c>
      <c r="D179" s="1" t="s">
        <v>2282</v>
      </c>
      <c r="E179" s="4">
        <v>3532</v>
      </c>
      <c r="F179" s="1" t="str">
        <f>VLOOKUP(D179,Table12[[Name]:[Native]],3,FALSE)</f>
        <v>文成县</v>
      </c>
      <c r="G179" s="14" t="str">
        <f ca="1">VLOOKUP(F179,Table12[[Native]:[Population4]],5,FALSE)</f>
        <v>温州市</v>
      </c>
    </row>
    <row r="180" spans="1:7" ht="15.75" thickBot="1" x14ac:dyDescent="0.3">
      <c r="A180" t="s">
        <v>897</v>
      </c>
      <c r="B180" s="1" t="s">
        <v>898</v>
      </c>
      <c r="C180" s="1" t="s">
        <v>7</v>
      </c>
      <c r="D180" s="1" t="s">
        <v>2279</v>
      </c>
      <c r="E180" s="4">
        <v>14230</v>
      </c>
      <c r="F180" s="1" t="str">
        <f>VLOOKUP(D180,Table12[[Name]:[Native]],3,FALSE)</f>
        <v>乐清市</v>
      </c>
      <c r="G180" s="14" t="str">
        <f ca="1">VLOOKUP(F180,Table12[[Native]:[Population4]],5,FALSE)</f>
        <v>温州市</v>
      </c>
    </row>
    <row r="181" spans="1:7" ht="15.75" thickBot="1" x14ac:dyDescent="0.3">
      <c r="A181" t="s">
        <v>2628</v>
      </c>
      <c r="B181" s="1" t="s">
        <v>2629</v>
      </c>
      <c r="C181" s="1" t="s">
        <v>7</v>
      </c>
      <c r="D181" s="1" t="s">
        <v>2282</v>
      </c>
      <c r="E181" s="4">
        <v>3290</v>
      </c>
      <c r="F181" s="1" t="str">
        <f>VLOOKUP(D181,Table12[[Name]:[Native]],3,FALSE)</f>
        <v>文成县</v>
      </c>
      <c r="G181" s="14" t="str">
        <f ca="1">VLOOKUP(F181,Table12[[Native]:[Population4]],5,FALSE)</f>
        <v>温州市</v>
      </c>
    </row>
    <row r="182" spans="1:7" ht="15.75" thickBot="1" x14ac:dyDescent="0.3">
      <c r="A182" t="s">
        <v>2630</v>
      </c>
      <c r="B182" s="1" t="s">
        <v>2631</v>
      </c>
      <c r="C182" s="1" t="s">
        <v>15</v>
      </c>
      <c r="D182" s="1" t="s">
        <v>2304</v>
      </c>
      <c r="E182" s="4">
        <v>312747</v>
      </c>
      <c r="F182" s="1" t="str">
        <f>VLOOKUP(D182,Table12[[Name]:[Native]],3,FALSE)</f>
        <v>鹿城区</v>
      </c>
      <c r="G182" s="14" t="str">
        <f ca="1">VLOOKUP(F182,Table12[[Native]:[Population4]],5,FALSE)</f>
        <v>温州市</v>
      </c>
    </row>
    <row r="183" spans="1:7" ht="15.75" thickBot="1" x14ac:dyDescent="0.3">
      <c r="A183" t="s">
        <v>2632</v>
      </c>
      <c r="B183" s="1" t="s">
        <v>2633</v>
      </c>
      <c r="C183" s="1" t="s">
        <v>11</v>
      </c>
      <c r="D183" s="1" t="s">
        <v>2276</v>
      </c>
      <c r="E183" s="4">
        <v>100489</v>
      </c>
      <c r="F183" s="1" t="str">
        <f>VLOOKUP(D183,Table12[[Name]:[Native]],3,FALSE)</f>
        <v>平阳县</v>
      </c>
      <c r="G183" s="14" t="str">
        <f ca="1">VLOOKUP(F183,Table12[[Native]:[Population4]],5,FALSE)</f>
        <v>温州市</v>
      </c>
    </row>
    <row r="184" spans="1:7" ht="15.75" thickBot="1" x14ac:dyDescent="0.3">
      <c r="A184" t="s">
        <v>2634</v>
      </c>
      <c r="B184" s="1" t="s">
        <v>2635</v>
      </c>
      <c r="C184" s="1" t="s">
        <v>7</v>
      </c>
      <c r="D184" s="1" t="s">
        <v>2273</v>
      </c>
      <c r="E184" s="4">
        <v>4848</v>
      </c>
      <c r="F184" s="1" t="str">
        <f>VLOOKUP(D184,Table12[[Name]:[Native]],3,FALSE)</f>
        <v>瑞安市</v>
      </c>
      <c r="G184" s="14" t="str">
        <f ca="1">VLOOKUP(F184,Table12[[Native]:[Population4]],5,FALSE)</f>
        <v>温州市</v>
      </c>
    </row>
    <row r="185" spans="1:7" ht="15.75" thickBot="1" x14ac:dyDescent="0.3">
      <c r="A185" t="s">
        <v>2636</v>
      </c>
      <c r="B185" s="1" t="s">
        <v>2637</v>
      </c>
      <c r="C185" s="1" t="s">
        <v>11</v>
      </c>
      <c r="D185" s="1" t="s">
        <v>2276</v>
      </c>
      <c r="E185" s="4">
        <v>5403</v>
      </c>
      <c r="F185" s="1" t="str">
        <f>VLOOKUP(D185,Table12[[Name]:[Native]],3,FALSE)</f>
        <v>平阳县</v>
      </c>
      <c r="G185" s="14" t="str">
        <f ca="1">VLOOKUP(F185,Table12[[Native]:[Population4]],5,FALSE)</f>
        <v>温州市</v>
      </c>
    </row>
    <row r="186" spans="1:7" ht="15.75" thickBot="1" x14ac:dyDescent="0.3">
      <c r="A186" t="s">
        <v>1225</v>
      </c>
      <c r="B186" s="1" t="s">
        <v>1226</v>
      </c>
      <c r="C186" s="1" t="s">
        <v>7</v>
      </c>
      <c r="D186" s="1" t="s">
        <v>2279</v>
      </c>
      <c r="E186" s="4">
        <v>8743</v>
      </c>
      <c r="F186" s="1" t="str">
        <f>VLOOKUP(D186,Table12[[Name]:[Native]],3,FALSE)</f>
        <v>乐清市</v>
      </c>
      <c r="G186" s="14" t="str">
        <f ca="1">VLOOKUP(F186,Table12[[Native]:[Population4]],5,FALSE)</f>
        <v>温州市</v>
      </c>
    </row>
    <row r="187" spans="1:7" ht="15.75" thickBot="1" x14ac:dyDescent="0.3">
      <c r="A187" t="s">
        <v>2638</v>
      </c>
      <c r="B187" s="1" t="s">
        <v>2639</v>
      </c>
      <c r="C187" s="1" t="s">
        <v>253</v>
      </c>
      <c r="D187" s="1" t="s">
        <v>2299</v>
      </c>
      <c r="E187" s="4">
        <v>90</v>
      </c>
      <c r="F187" s="1" t="str">
        <f>VLOOKUP(D187,Table12[[Name]:[Native]],3,FALSE)</f>
        <v>永嘉县</v>
      </c>
      <c r="G187" s="14" t="str">
        <f ca="1">VLOOKUP(F187,Table12[[Native]:[Population4]],5,FALSE)</f>
        <v>温州市</v>
      </c>
    </row>
    <row r="188" spans="1:7" ht="15.75" thickBot="1" x14ac:dyDescent="0.3">
      <c r="A188" t="s">
        <v>2640</v>
      </c>
      <c r="B188" s="1" t="s">
        <v>2641</v>
      </c>
      <c r="C188" s="1" t="s">
        <v>11</v>
      </c>
      <c r="D188" s="1" t="s">
        <v>2283</v>
      </c>
      <c r="E188" s="4">
        <v>10471</v>
      </c>
      <c r="F188" s="1" t="str">
        <f>VLOOKUP(D188,Table12[[Name]:[Native]],3,FALSE)</f>
        <v>泰顺县</v>
      </c>
      <c r="G188" s="14" t="str">
        <f ca="1">VLOOKUP(F188,Table12[[Native]:[Population4]],5,FALSE)</f>
        <v>温州市</v>
      </c>
    </row>
    <row r="189" spans="1:7" ht="15.75" thickBot="1" x14ac:dyDescent="0.3">
      <c r="A189" t="s">
        <v>2642</v>
      </c>
      <c r="B189" s="1" t="s">
        <v>2643</v>
      </c>
      <c r="C189" s="1" t="s">
        <v>11</v>
      </c>
      <c r="D189" s="1" t="s">
        <v>2283</v>
      </c>
      <c r="E189" s="4">
        <v>11523</v>
      </c>
      <c r="F189" s="1" t="str">
        <f>VLOOKUP(D189,Table12[[Name]:[Native]],3,FALSE)</f>
        <v>泰顺县</v>
      </c>
      <c r="G189" s="14" t="str">
        <f ca="1">VLOOKUP(F189,Table12[[Native]:[Population4]],5,FALSE)</f>
        <v>温州市</v>
      </c>
    </row>
    <row r="190" spans="1:7" ht="15.75" thickBot="1" x14ac:dyDescent="0.3">
      <c r="A190" t="s">
        <v>2644</v>
      </c>
      <c r="B190" s="1" t="s">
        <v>2645</v>
      </c>
      <c r="C190" s="1" t="s">
        <v>11</v>
      </c>
      <c r="D190" s="1" t="s">
        <v>2276</v>
      </c>
      <c r="E190" s="4">
        <v>12881</v>
      </c>
      <c r="F190" s="1" t="str">
        <f>VLOOKUP(D190,Table12[[Name]:[Native]],3,FALSE)</f>
        <v>平阳县</v>
      </c>
      <c r="G190" s="14" t="str">
        <f ca="1">VLOOKUP(F190,Table12[[Native]:[Population4]],5,FALSE)</f>
        <v>温州市</v>
      </c>
    </row>
    <row r="191" spans="1:7" ht="15.75" thickBot="1" x14ac:dyDescent="0.3">
      <c r="A191" t="s">
        <v>2646</v>
      </c>
      <c r="B191" s="1" t="s">
        <v>2647</v>
      </c>
      <c r="C191" s="1" t="s">
        <v>15</v>
      </c>
      <c r="D191" s="1" t="s">
        <v>2304</v>
      </c>
      <c r="E191" s="4">
        <v>104825</v>
      </c>
      <c r="F191" s="1" t="str">
        <f>VLOOKUP(D191,Table12[[Name]:[Native]],3,FALSE)</f>
        <v>鹿城区</v>
      </c>
      <c r="G191" s="14" t="str">
        <f ca="1">VLOOKUP(F191,Table12[[Native]:[Population4]],5,FALSE)</f>
        <v>温州市</v>
      </c>
    </row>
    <row r="192" spans="1:7" ht="15.75" thickBot="1" x14ac:dyDescent="0.3">
      <c r="A192" t="s">
        <v>2648</v>
      </c>
      <c r="B192" s="1" t="s">
        <v>2649</v>
      </c>
      <c r="C192" s="1" t="s">
        <v>7</v>
      </c>
      <c r="D192" s="1" t="s">
        <v>2283</v>
      </c>
      <c r="E192" s="4">
        <v>3048</v>
      </c>
      <c r="F192" s="1" t="str">
        <f>VLOOKUP(D192,Table12[[Name]:[Native]],3,FALSE)</f>
        <v>泰顺县</v>
      </c>
      <c r="G192" s="14" t="str">
        <f ca="1">VLOOKUP(F192,Table12[[Native]:[Population4]],5,FALSE)</f>
        <v>温州市</v>
      </c>
    </row>
    <row r="193" spans="1:7" ht="15.75" thickBot="1" x14ac:dyDescent="0.3">
      <c r="A193" t="s">
        <v>2650</v>
      </c>
      <c r="B193" s="1" t="s">
        <v>2651</v>
      </c>
      <c r="C193" s="1" t="s">
        <v>11</v>
      </c>
      <c r="D193" s="1" t="s">
        <v>2273</v>
      </c>
      <c r="E193" s="4">
        <v>312080</v>
      </c>
      <c r="F193" s="1" t="str">
        <f>VLOOKUP(D193,Table12[[Name]:[Native]],3,FALSE)</f>
        <v>瑞安市</v>
      </c>
      <c r="G193" s="14" t="str">
        <f ca="1">VLOOKUP(F193,Table12[[Native]:[Population4]],5,FALSE)</f>
        <v>温州市</v>
      </c>
    </row>
    <row r="194" spans="1:7" ht="15.75" thickBot="1" x14ac:dyDescent="0.3">
      <c r="A194" t="s">
        <v>2652</v>
      </c>
      <c r="B194" s="1" t="s">
        <v>2653</v>
      </c>
      <c r="C194" s="1" t="s">
        <v>11</v>
      </c>
      <c r="D194" s="1" t="s">
        <v>2273</v>
      </c>
      <c r="E194" s="4">
        <v>32454</v>
      </c>
      <c r="F194" s="1" t="str">
        <f>VLOOKUP(D194,Table12[[Name]:[Native]],3,FALSE)</f>
        <v>瑞安市</v>
      </c>
      <c r="G194" s="14" t="str">
        <f ca="1">VLOOKUP(F194,Table12[[Native]:[Population4]],5,FALSE)</f>
        <v>温州市</v>
      </c>
    </row>
    <row r="195" spans="1:7" ht="15.75" thickBot="1" x14ac:dyDescent="0.3">
      <c r="A195" t="s">
        <v>2654</v>
      </c>
      <c r="B195" s="1" t="s">
        <v>2655</v>
      </c>
      <c r="C195" s="1" t="s">
        <v>11</v>
      </c>
      <c r="D195" s="1" t="s">
        <v>2276</v>
      </c>
      <c r="E195" s="4">
        <v>36721</v>
      </c>
      <c r="F195" s="1" t="str">
        <f>VLOOKUP(D195,Table12[[Name]:[Native]],3,FALSE)</f>
        <v>平阳县</v>
      </c>
      <c r="G195" s="14" t="str">
        <f ca="1">VLOOKUP(F195,Table12[[Native]:[Population4]],5,FALSE)</f>
        <v>温州市</v>
      </c>
    </row>
    <row r="196" spans="1:7" ht="15.75" thickBot="1" x14ac:dyDescent="0.3">
      <c r="A196" t="s">
        <v>2656</v>
      </c>
      <c r="B196" s="1" t="s">
        <v>2657</v>
      </c>
      <c r="C196" s="1" t="s">
        <v>11</v>
      </c>
      <c r="D196" s="1" t="s">
        <v>2304</v>
      </c>
      <c r="E196" s="4">
        <v>82312</v>
      </c>
      <c r="F196" s="1" t="str">
        <f>VLOOKUP(D196,Table12[[Name]:[Native]],3,FALSE)</f>
        <v>鹿城区</v>
      </c>
      <c r="G196" s="14" t="str">
        <f ca="1">VLOOKUP(F196,Table12[[Native]:[Population4]],5,FALSE)</f>
        <v>温州市</v>
      </c>
    </row>
    <row r="197" spans="1:7" ht="15.75" thickBot="1" x14ac:dyDescent="0.3">
      <c r="A197" t="s">
        <v>2658</v>
      </c>
      <c r="B197" s="1" t="s">
        <v>2659</v>
      </c>
      <c r="C197" s="1" t="s">
        <v>7</v>
      </c>
      <c r="D197" s="1" t="s">
        <v>2311</v>
      </c>
      <c r="E197" s="4">
        <v>3808</v>
      </c>
      <c r="F197" s="1" t="str">
        <f>VLOOKUP(D197,Table12[[Name]:[Native]],3,FALSE)</f>
        <v>苍南县</v>
      </c>
      <c r="G197" s="14" t="str">
        <f ca="1">VLOOKUP(F197,Table12[[Native]:[Population4]],5,FALSE)</f>
        <v>温州市</v>
      </c>
    </row>
    <row r="198" spans="1:7" ht="15.75" thickBot="1" x14ac:dyDescent="0.3">
      <c r="A198" t="s">
        <v>2660</v>
      </c>
      <c r="B198" s="1" t="s">
        <v>2661</v>
      </c>
      <c r="C198" s="1" t="s">
        <v>15</v>
      </c>
      <c r="D198" s="1" t="s">
        <v>2279</v>
      </c>
      <c r="E198" s="4">
        <v>19647</v>
      </c>
      <c r="F198" s="1" t="str">
        <f>VLOOKUP(D198,Table12[[Name]:[Native]],3,FALSE)</f>
        <v>乐清市</v>
      </c>
      <c r="G198" s="14" t="str">
        <f ca="1">VLOOKUP(F198,Table12[[Native]:[Population4]],5,FALSE)</f>
        <v>温州市</v>
      </c>
    </row>
    <row r="199" spans="1:7" ht="15.75" thickBot="1" x14ac:dyDescent="0.3">
      <c r="A199" t="s">
        <v>2662</v>
      </c>
      <c r="B199" s="1" t="s">
        <v>2663</v>
      </c>
      <c r="C199" s="1" t="s">
        <v>15</v>
      </c>
      <c r="D199" s="1" t="s">
        <v>2407</v>
      </c>
      <c r="E199" s="4">
        <v>51790</v>
      </c>
      <c r="F199" s="1" t="str">
        <f>VLOOKUP(D199,Table12[[Name]:[Native]],3,FALSE)</f>
        <v>龙湾区</v>
      </c>
      <c r="G199" s="14" t="str">
        <f ca="1">VLOOKUP(F199,Table12[[Native]:[Population4]],5,FALSE)</f>
        <v>温州市</v>
      </c>
    </row>
    <row r="200" spans="1:7" ht="15.75" thickBot="1" x14ac:dyDescent="0.3">
      <c r="A200" t="s">
        <v>2664</v>
      </c>
      <c r="B200" s="1" t="s">
        <v>2665</v>
      </c>
      <c r="C200" s="1" t="s">
        <v>15</v>
      </c>
      <c r="D200" s="1" t="s">
        <v>2273</v>
      </c>
      <c r="E200" s="4">
        <v>73476</v>
      </c>
      <c r="F200" s="1" t="str">
        <f>VLOOKUP(D200,Table12[[Name]:[Native]],3,FALSE)</f>
        <v>瑞安市</v>
      </c>
      <c r="G200" s="14" t="str">
        <f ca="1">VLOOKUP(F200,Table12[[Native]:[Population4]],5,FALSE)</f>
        <v>温州市</v>
      </c>
    </row>
    <row r="201" spans="1:7" ht="15.75" thickBot="1" x14ac:dyDescent="0.3">
      <c r="A201" t="s">
        <v>2666</v>
      </c>
      <c r="B201" s="1" t="s">
        <v>2667</v>
      </c>
      <c r="C201" s="1" t="s">
        <v>11</v>
      </c>
      <c r="D201" s="1" t="s">
        <v>2273</v>
      </c>
      <c r="E201" s="4">
        <v>23421</v>
      </c>
      <c r="F201" s="1" t="str">
        <f>VLOOKUP(D201,Table12[[Name]:[Native]],3,FALSE)</f>
        <v>瑞安市</v>
      </c>
      <c r="G201" s="14" t="str">
        <f ca="1">VLOOKUP(F201,Table12[[Native]:[Population4]],5,FALSE)</f>
        <v>温州市</v>
      </c>
    </row>
    <row r="202" spans="1:7" ht="15.75" thickBot="1" x14ac:dyDescent="0.3">
      <c r="A202" t="s">
        <v>2668</v>
      </c>
      <c r="B202" s="1" t="s">
        <v>2669</v>
      </c>
      <c r="C202" s="1" t="s">
        <v>11</v>
      </c>
      <c r="D202" s="1" t="s">
        <v>2311</v>
      </c>
      <c r="E202" s="4">
        <v>32220</v>
      </c>
      <c r="F202" s="1" t="str">
        <f>VLOOKUP(D202,Table12[[Name]:[Native]],3,FALSE)</f>
        <v>苍南县</v>
      </c>
      <c r="G202" s="14" t="str">
        <f ca="1">VLOOKUP(F202,Table12[[Native]:[Population4]],5,FALSE)</f>
        <v>温州市</v>
      </c>
    </row>
    <row r="203" spans="1:7" ht="15.75" thickBot="1" x14ac:dyDescent="0.3">
      <c r="A203" t="s">
        <v>2670</v>
      </c>
      <c r="B203" s="1" t="s">
        <v>2671</v>
      </c>
      <c r="C203" s="1" t="s">
        <v>7</v>
      </c>
      <c r="D203" s="1" t="s">
        <v>2283</v>
      </c>
      <c r="E203" s="4">
        <v>2055</v>
      </c>
      <c r="F203" s="1" t="str">
        <f>VLOOKUP(D203,Table12[[Name]:[Native]],3,FALSE)</f>
        <v>泰顺县</v>
      </c>
      <c r="G203" s="14" t="str">
        <f ca="1">VLOOKUP(F203,Table12[[Native]:[Population4]],5,FALSE)</f>
        <v>温州市</v>
      </c>
    </row>
    <row r="204" spans="1:7" ht="15.75" thickBot="1" x14ac:dyDescent="0.3">
      <c r="A204" t="s">
        <v>2672</v>
      </c>
      <c r="B204" s="1" t="s">
        <v>2673</v>
      </c>
      <c r="C204" s="1" t="s">
        <v>11</v>
      </c>
      <c r="D204" s="1" t="s">
        <v>2276</v>
      </c>
      <c r="E204" s="4">
        <v>52937</v>
      </c>
      <c r="F204" s="1" t="str">
        <f>VLOOKUP(D204,Table12[[Name]:[Native]],3,FALSE)</f>
        <v>平阳县</v>
      </c>
      <c r="G204" s="14" t="str">
        <f ca="1">VLOOKUP(F204,Table12[[Native]:[Population4]],5,FALSE)</f>
        <v>温州市</v>
      </c>
    </row>
    <row r="205" spans="1:7" ht="15.75" thickBot="1" x14ac:dyDescent="0.3">
      <c r="A205" t="s">
        <v>2674</v>
      </c>
      <c r="B205" s="1" t="s">
        <v>2675</v>
      </c>
      <c r="C205" s="1" t="s">
        <v>7</v>
      </c>
      <c r="D205" s="1" t="s">
        <v>2276</v>
      </c>
      <c r="E205" s="4">
        <v>1622</v>
      </c>
      <c r="F205" s="1" t="str">
        <f>VLOOKUP(D205,Table12[[Name]:[Native]],3,FALSE)</f>
        <v>平阳县</v>
      </c>
      <c r="G205" s="14" t="str">
        <f ca="1">VLOOKUP(F205,Table12[[Native]:[Population4]],5,FALSE)</f>
        <v>温州市</v>
      </c>
    </row>
    <row r="206" spans="1:7" ht="15.75" thickBot="1" x14ac:dyDescent="0.3">
      <c r="A206" t="s">
        <v>2676</v>
      </c>
      <c r="B206" s="1" t="s">
        <v>2677</v>
      </c>
      <c r="C206" s="1" t="s">
        <v>7</v>
      </c>
      <c r="D206" s="1" t="s">
        <v>2283</v>
      </c>
      <c r="E206" s="4">
        <v>2675</v>
      </c>
      <c r="F206" s="1" t="str">
        <f>VLOOKUP(D206,Table12[[Name]:[Native]],3,FALSE)</f>
        <v>泰顺县</v>
      </c>
      <c r="G206" s="14" t="str">
        <f ca="1">VLOOKUP(F206,Table12[[Native]:[Population4]],5,FALSE)</f>
        <v>温州市</v>
      </c>
    </row>
    <row r="207" spans="1:7" ht="15.75" thickBot="1" x14ac:dyDescent="0.3">
      <c r="A207" t="s">
        <v>2678</v>
      </c>
      <c r="B207" s="1" t="s">
        <v>2679</v>
      </c>
      <c r="C207" s="1" t="s">
        <v>15</v>
      </c>
      <c r="D207" s="1" t="s">
        <v>2279</v>
      </c>
      <c r="E207" s="4">
        <v>56887</v>
      </c>
      <c r="F207" s="1" t="str">
        <f>VLOOKUP(D207,Table12[[Name]:[Native]],3,FALSE)</f>
        <v>乐清市</v>
      </c>
      <c r="G207" s="14" t="str">
        <f ca="1">VLOOKUP(F207,Table12[[Native]:[Population4]],5,FALSE)</f>
        <v>温州市</v>
      </c>
    </row>
    <row r="208" spans="1:7" ht="15.75" thickBot="1" x14ac:dyDescent="0.3">
      <c r="A208" t="s">
        <v>2680</v>
      </c>
      <c r="B208" s="1" t="s">
        <v>2681</v>
      </c>
      <c r="C208" s="1" t="s">
        <v>253</v>
      </c>
      <c r="D208" s="1" t="s">
        <v>2407</v>
      </c>
      <c r="E208" s="4">
        <v>84896</v>
      </c>
      <c r="F208" s="1" t="str">
        <f>VLOOKUP(D208,Table12[[Name]:[Native]],3,FALSE)</f>
        <v>龙湾区</v>
      </c>
      <c r="G208" s="14" t="str">
        <f ca="1">VLOOKUP(F208,Table12[[Native]:[Population4]],5,FALSE)</f>
        <v>温州市</v>
      </c>
    </row>
    <row r="209" spans="1:7" ht="15.75" thickBot="1" x14ac:dyDescent="0.3">
      <c r="A209" t="s">
        <v>2682</v>
      </c>
      <c r="B209" s="1" t="s">
        <v>2683</v>
      </c>
      <c r="C209" s="1" t="s">
        <v>7</v>
      </c>
      <c r="D209" s="1" t="s">
        <v>2311</v>
      </c>
      <c r="E209" s="4">
        <v>5812</v>
      </c>
      <c r="F209" s="1" t="str">
        <f>VLOOKUP(D209,Table12[[Name]:[Native]],3,FALSE)</f>
        <v>苍南县</v>
      </c>
      <c r="G209" s="14" t="str">
        <f ca="1">VLOOKUP(F209,Table12[[Native]:[Population4]],5,FALSE)</f>
        <v>温州市</v>
      </c>
    </row>
    <row r="210" spans="1:7" ht="15.75" thickBot="1" x14ac:dyDescent="0.3">
      <c r="A210" t="s">
        <v>2684</v>
      </c>
      <c r="B210" s="1" t="s">
        <v>2685</v>
      </c>
      <c r="C210" s="1" t="s">
        <v>15</v>
      </c>
      <c r="D210" s="1" t="s">
        <v>2304</v>
      </c>
      <c r="E210" s="4">
        <v>204999</v>
      </c>
      <c r="F210" s="1" t="str">
        <f>VLOOKUP(D210,Table12[[Name]:[Native]],3,FALSE)</f>
        <v>鹿城区</v>
      </c>
      <c r="G210" s="14" t="str">
        <f ca="1">VLOOKUP(F210,Table12[[Native]:[Population4]],5,FALSE)</f>
        <v>温州市</v>
      </c>
    </row>
    <row r="211" spans="1:7" ht="15.75" thickBot="1" x14ac:dyDescent="0.3">
      <c r="A211" t="s">
        <v>2686</v>
      </c>
      <c r="B211" s="1" t="s">
        <v>2687</v>
      </c>
      <c r="C211" s="1" t="s">
        <v>15</v>
      </c>
      <c r="D211" s="1" t="s">
        <v>2299</v>
      </c>
      <c r="E211" s="4">
        <v>42780</v>
      </c>
      <c r="F211" s="1" t="str">
        <f>VLOOKUP(D211,Table12[[Name]:[Native]],3,FALSE)</f>
        <v>永嘉县</v>
      </c>
      <c r="G211" s="14" t="str">
        <f ca="1">VLOOKUP(F211,Table12[[Native]:[Population4]],5,FALSE)</f>
        <v>温州市</v>
      </c>
    </row>
    <row r="212" spans="1:7" ht="15.75" thickBot="1" x14ac:dyDescent="0.3">
      <c r="A212" s="1" t="s">
        <v>2688</v>
      </c>
      <c r="B212" s="1" t="s">
        <v>2689</v>
      </c>
      <c r="C212" s="1" t="s">
        <v>7</v>
      </c>
      <c r="D212" s="1" t="s">
        <v>2299</v>
      </c>
      <c r="E212" s="4">
        <v>5063</v>
      </c>
      <c r="F212" s="1" t="str">
        <f>VLOOKUP(D212,Table12[[Name]:[Native]],3,FALSE)</f>
        <v>永嘉县</v>
      </c>
      <c r="G212" s="14" t="str">
        <f ca="1">VLOOKUP(F212,Table12[[Native]:[Population4]],5,FALSE)</f>
        <v>温州市</v>
      </c>
    </row>
    <row r="213" spans="1:7" ht="15.75" thickBot="1" x14ac:dyDescent="0.3">
      <c r="A213" t="s">
        <v>2690</v>
      </c>
      <c r="B213" s="1" t="s">
        <v>2691</v>
      </c>
      <c r="C213" s="1" t="s">
        <v>15</v>
      </c>
      <c r="D213" s="1" t="s">
        <v>2318</v>
      </c>
      <c r="E213" s="4">
        <v>223735</v>
      </c>
      <c r="F213" s="1" t="str">
        <f>VLOOKUP(D213,Table12[[Name]:[Native]],3,FALSE)</f>
        <v>瓯海区</v>
      </c>
      <c r="G213" s="14" t="str">
        <f ca="1">VLOOKUP(F213,Table12[[Native]:[Population4]],5,FALSE)</f>
        <v>温州市</v>
      </c>
    </row>
    <row r="214" spans="1:7" ht="15.75" thickBot="1" x14ac:dyDescent="0.3">
      <c r="A214" t="s">
        <v>2692</v>
      </c>
      <c r="B214" s="1" t="s">
        <v>2693</v>
      </c>
      <c r="C214" s="1" t="s">
        <v>7</v>
      </c>
      <c r="D214" s="1" t="s">
        <v>2276</v>
      </c>
      <c r="E214" s="4">
        <v>1431</v>
      </c>
      <c r="F214" s="1" t="str">
        <f>VLOOKUP(D214,Table12[[Name]:[Native]],3,FALSE)</f>
        <v>平阳县</v>
      </c>
      <c r="G214" s="14" t="str">
        <f ca="1">VLOOKUP(F214,Table12[[Native]:[Population4]],5,FALSE)</f>
        <v>温州市</v>
      </c>
    </row>
    <row r="215" spans="1:7" ht="15.75" thickBot="1" x14ac:dyDescent="0.3">
      <c r="A215" t="s">
        <v>2694</v>
      </c>
      <c r="B215" s="1" t="s">
        <v>2695</v>
      </c>
      <c r="C215" s="1" t="s">
        <v>253</v>
      </c>
      <c r="D215" s="1" t="s">
        <v>2283</v>
      </c>
      <c r="E215" s="4">
        <v>22</v>
      </c>
      <c r="F215" s="1" t="str">
        <f>VLOOKUP(D215,Table12[[Name]:[Native]],3,FALSE)</f>
        <v>泰顺县</v>
      </c>
      <c r="G215" s="14" t="str">
        <f ca="1">VLOOKUP(F215,Table12[[Native]:[Population4]],5,FALSE)</f>
        <v>温州市</v>
      </c>
    </row>
    <row r="216" spans="1:7" ht="15.75" thickBot="1" x14ac:dyDescent="0.3">
      <c r="A216" t="s">
        <v>2696</v>
      </c>
      <c r="B216" s="1" t="s">
        <v>2697</v>
      </c>
      <c r="C216" s="1" t="s">
        <v>11</v>
      </c>
      <c r="D216" s="1" t="s">
        <v>2311</v>
      </c>
      <c r="E216" s="4">
        <v>13796</v>
      </c>
      <c r="F216" s="1" t="str">
        <f>VLOOKUP(D216,Table12[[Name]:[Native]],3,FALSE)</f>
        <v>苍南县</v>
      </c>
      <c r="G216" s="14" t="str">
        <f ca="1">VLOOKUP(F216,Table12[[Native]:[Population4]],5,FALSE)</f>
        <v>温州市</v>
      </c>
    </row>
    <row r="217" spans="1:7" ht="15.75" thickBot="1" x14ac:dyDescent="0.3">
      <c r="A217" t="s">
        <v>2698</v>
      </c>
      <c r="B217" s="1" t="s">
        <v>2699</v>
      </c>
      <c r="C217" s="1" t="s">
        <v>7</v>
      </c>
      <c r="D217" s="1" t="s">
        <v>2283</v>
      </c>
      <c r="E217" s="4">
        <v>5432</v>
      </c>
      <c r="F217" s="1" t="str">
        <f>VLOOKUP(D217,Table12[[Name]:[Native]],3,FALSE)</f>
        <v>泰顺县</v>
      </c>
      <c r="G217" s="14" t="str">
        <f ca="1">VLOOKUP(F217,Table12[[Native]:[Population4]],5,FALSE)</f>
        <v>温州市</v>
      </c>
    </row>
    <row r="218" spans="1:7" ht="15.75" thickBot="1" x14ac:dyDescent="0.3">
      <c r="A218" t="s">
        <v>2700</v>
      </c>
      <c r="B218" s="1" t="s">
        <v>2701</v>
      </c>
      <c r="C218" s="1" t="s">
        <v>7</v>
      </c>
      <c r="D218" s="1" t="s">
        <v>2299</v>
      </c>
      <c r="E218" s="4">
        <v>1679</v>
      </c>
      <c r="F218" s="1" t="str">
        <f>VLOOKUP(D218,Table12[[Name]:[Native]],3,FALSE)</f>
        <v>永嘉县</v>
      </c>
      <c r="G218" s="14" t="str">
        <f ca="1">VLOOKUP(F218,Table12[[Native]:[Population4]],5,FALSE)</f>
        <v>温州市</v>
      </c>
    </row>
    <row r="219" spans="1:7" ht="15.75" thickBot="1" x14ac:dyDescent="0.3">
      <c r="A219" t="s">
        <v>2702</v>
      </c>
      <c r="B219" s="1" t="s">
        <v>2703</v>
      </c>
      <c r="C219" s="1" t="s">
        <v>11</v>
      </c>
      <c r="D219" s="1" t="s">
        <v>2279</v>
      </c>
      <c r="E219" s="4">
        <v>42715</v>
      </c>
      <c r="F219" s="1" t="str">
        <f>VLOOKUP(D219,Table12[[Name]:[Native]],3,FALSE)</f>
        <v>乐清市</v>
      </c>
      <c r="G219" s="14" t="str">
        <f ca="1">VLOOKUP(F219,Table12[[Native]:[Population4]],5,FALSE)</f>
        <v>温州市</v>
      </c>
    </row>
    <row r="220" spans="1:7" ht="15.75" thickBot="1" x14ac:dyDescent="0.3">
      <c r="A220" t="s">
        <v>2704</v>
      </c>
      <c r="B220" s="1" t="s">
        <v>2705</v>
      </c>
      <c r="C220" s="1" t="s">
        <v>15</v>
      </c>
      <c r="D220" s="1" t="s">
        <v>2273</v>
      </c>
      <c r="E220" s="4">
        <v>87529</v>
      </c>
      <c r="F220" s="1" t="str">
        <f>VLOOKUP(D220,Table12[[Name]:[Native]],3,FALSE)</f>
        <v>瑞安市</v>
      </c>
      <c r="G220" s="14" t="str">
        <f ca="1">VLOOKUP(F220,Table12[[Native]:[Population4]],5,FALSE)</f>
        <v>温州市</v>
      </c>
    </row>
    <row r="221" spans="1:7" ht="15.75" thickBot="1" x14ac:dyDescent="0.3">
      <c r="A221" t="s">
        <v>2706</v>
      </c>
      <c r="B221" s="1" t="s">
        <v>2707</v>
      </c>
      <c r="C221" s="1" t="s">
        <v>7</v>
      </c>
      <c r="D221" s="1" t="s">
        <v>2311</v>
      </c>
      <c r="E221" s="4">
        <v>9945</v>
      </c>
      <c r="F221" s="1" t="str">
        <f>VLOOKUP(D221,Table12[[Name]:[Native]],3,FALSE)</f>
        <v>苍南县</v>
      </c>
      <c r="G221" s="14" t="str">
        <f ca="1">VLOOKUP(F221,Table12[[Native]:[Population4]],5,FALSE)</f>
        <v>温州市</v>
      </c>
    </row>
    <row r="222" spans="1:7" ht="15.75" thickBot="1" x14ac:dyDescent="0.3">
      <c r="A222" s="1" t="s">
        <v>2708</v>
      </c>
      <c r="B222" s="1" t="s">
        <v>2709</v>
      </c>
      <c r="C222" s="1" t="s">
        <v>253</v>
      </c>
      <c r="D222" s="1" t="s">
        <v>2311</v>
      </c>
      <c r="E222" s="4">
        <v>193</v>
      </c>
      <c r="F222" s="1" t="str">
        <f>VLOOKUP(D222,Table12[[Name]:[Native]],3,FALSE)</f>
        <v>苍南县</v>
      </c>
      <c r="G222" s="14" t="str">
        <f ca="1">VLOOKUP(F222,Table12[[Native]:[Population4]],5,FALSE)</f>
        <v>温州市</v>
      </c>
    </row>
    <row r="223" spans="1:7" ht="15.75" thickBot="1" x14ac:dyDescent="0.3">
      <c r="A223" t="s">
        <v>2710</v>
      </c>
      <c r="B223" s="1" t="s">
        <v>2711</v>
      </c>
      <c r="C223" s="1" t="s">
        <v>7</v>
      </c>
      <c r="D223" s="1" t="s">
        <v>2283</v>
      </c>
      <c r="E223" s="4">
        <v>2290</v>
      </c>
      <c r="F223" s="1" t="str">
        <f>VLOOKUP(D223,Table12[[Name]:[Native]],3,FALSE)</f>
        <v>泰顺县</v>
      </c>
      <c r="G223" s="14" t="str">
        <f ca="1">VLOOKUP(F223,Table12[[Native]:[Population4]],5,FALSE)</f>
        <v>温州市</v>
      </c>
    </row>
    <row r="224" spans="1:7" ht="15.75" thickBot="1" x14ac:dyDescent="0.3">
      <c r="A224" t="s">
        <v>2712</v>
      </c>
      <c r="B224" s="1" t="s">
        <v>2713</v>
      </c>
      <c r="C224" s="1" t="s">
        <v>253</v>
      </c>
      <c r="D224" s="1" t="s">
        <v>2299</v>
      </c>
      <c r="E224" s="4">
        <v>1938</v>
      </c>
      <c r="F224" s="1" t="str">
        <f>VLOOKUP(D224,Table12[[Name]:[Native]],3,FALSE)</f>
        <v>永嘉县</v>
      </c>
      <c r="G224" s="14" t="str">
        <f ca="1">VLOOKUP(F224,Table12[[Native]:[Population4]],5,FALSE)</f>
        <v>温州市</v>
      </c>
    </row>
    <row r="225" spans="1:7" ht="15.75" thickBot="1" x14ac:dyDescent="0.3">
      <c r="A225" t="s">
        <v>2714</v>
      </c>
      <c r="B225" s="1" t="s">
        <v>2715</v>
      </c>
      <c r="C225" s="1" t="s">
        <v>11</v>
      </c>
      <c r="D225" s="1" t="s">
        <v>2279</v>
      </c>
      <c r="E225" s="4">
        <v>14459</v>
      </c>
      <c r="F225" s="1" t="str">
        <f>VLOOKUP(D225,Table12[[Name]:[Native]],3,FALSE)</f>
        <v>乐清市</v>
      </c>
      <c r="G225" s="14" t="str">
        <f ca="1">VLOOKUP(F225,Table12[[Native]:[Population4]],5,FALSE)</f>
        <v>温州市</v>
      </c>
    </row>
    <row r="226" spans="1:7" ht="15.75" thickBot="1" x14ac:dyDescent="0.3">
      <c r="A226" t="s">
        <v>2716</v>
      </c>
      <c r="B226" s="1" t="s">
        <v>2717</v>
      </c>
      <c r="C226" s="1" t="s">
        <v>15</v>
      </c>
      <c r="D226" s="1" t="s">
        <v>2318</v>
      </c>
      <c r="E226" s="4">
        <v>60983</v>
      </c>
      <c r="F226" s="1" t="str">
        <f>VLOOKUP(D226,Table12[[Name]:[Native]],3,FALSE)</f>
        <v>瓯海区</v>
      </c>
      <c r="G226" s="14" t="str">
        <f ca="1">VLOOKUP(F226,Table12[[Native]:[Population4]],5,FALSE)</f>
        <v>温州市</v>
      </c>
    </row>
    <row r="227" spans="1:7" ht="15.75" thickBot="1" x14ac:dyDescent="0.3">
      <c r="A227" t="s">
        <v>2718</v>
      </c>
      <c r="B227" s="1" t="s">
        <v>2719</v>
      </c>
      <c r="C227" s="1" t="s">
        <v>11</v>
      </c>
      <c r="D227" s="1" t="s">
        <v>2283</v>
      </c>
      <c r="E227" s="4">
        <v>10740</v>
      </c>
      <c r="F227" s="1" t="str">
        <f>VLOOKUP(D227,Table12[[Name]:[Native]],3,FALSE)</f>
        <v>泰顺县</v>
      </c>
      <c r="G227" s="14" t="str">
        <f ca="1">VLOOKUP(F227,Table12[[Native]:[Population4]],5,FALSE)</f>
        <v>温州市</v>
      </c>
    </row>
    <row r="228" spans="1:7" ht="15.75" thickBot="1" x14ac:dyDescent="0.3">
      <c r="A228" t="s">
        <v>2720</v>
      </c>
      <c r="B228" s="1" t="s">
        <v>2721</v>
      </c>
      <c r="C228" s="1" t="s">
        <v>11</v>
      </c>
      <c r="D228" s="1" t="s">
        <v>2276</v>
      </c>
      <c r="E228" s="4">
        <v>65237</v>
      </c>
      <c r="F228" s="1" t="str">
        <f>VLOOKUP(D228,Table12[[Name]:[Native]],3,FALSE)</f>
        <v>平阳县</v>
      </c>
      <c r="G228" s="14" t="str">
        <f ca="1">VLOOKUP(F228,Table12[[Native]:[Population4]],5,FALSE)</f>
        <v>温州市</v>
      </c>
    </row>
    <row r="229" spans="1:7" ht="15.75" thickBot="1" x14ac:dyDescent="0.3">
      <c r="A229" t="s">
        <v>2722</v>
      </c>
      <c r="B229" s="1" t="s">
        <v>2723</v>
      </c>
      <c r="C229" s="1" t="s">
        <v>7</v>
      </c>
      <c r="D229" s="1" t="s">
        <v>2276</v>
      </c>
      <c r="E229" s="4">
        <v>5495</v>
      </c>
      <c r="F229" s="1" t="str">
        <f>VLOOKUP(D229,Table12[[Name]:[Native]],3,FALSE)</f>
        <v>平阳县</v>
      </c>
      <c r="G229" s="14" t="str">
        <f ca="1">VLOOKUP(F229,Table12[[Native]:[Population4]],5,FALSE)</f>
        <v>温州市</v>
      </c>
    </row>
    <row r="230" spans="1:7" ht="15.75" thickBot="1" x14ac:dyDescent="0.3">
      <c r="A230" t="s">
        <v>2724</v>
      </c>
      <c r="B230" s="1" t="s">
        <v>2725</v>
      </c>
      <c r="C230" s="1" t="s">
        <v>7</v>
      </c>
      <c r="D230" s="1" t="s">
        <v>2299</v>
      </c>
      <c r="E230" s="4">
        <v>2106</v>
      </c>
      <c r="F230" s="1" t="str">
        <f>VLOOKUP(D230,Table12[[Name]:[Native]],3,FALSE)</f>
        <v>永嘉县</v>
      </c>
      <c r="G230" s="14" t="str">
        <f ca="1">VLOOKUP(F230,Table12[[Native]:[Population4]],5,FALSE)</f>
        <v>温州市</v>
      </c>
    </row>
    <row r="231" spans="1:7" ht="15.75" thickBot="1" x14ac:dyDescent="0.3">
      <c r="A231" t="s">
        <v>2726</v>
      </c>
      <c r="B231" s="1" t="s">
        <v>2727</v>
      </c>
      <c r="C231" s="1" t="s">
        <v>7</v>
      </c>
      <c r="D231" s="1" t="s">
        <v>2282</v>
      </c>
      <c r="E231" s="4">
        <v>714</v>
      </c>
      <c r="F231" s="1" t="str">
        <f>VLOOKUP(D231,Table12[[Name]:[Native]],3,FALSE)</f>
        <v>文成县</v>
      </c>
      <c r="G231" s="14" t="str">
        <f ca="1">VLOOKUP(F231,Table12[[Native]:[Population4]],5,FALSE)</f>
        <v>温州市</v>
      </c>
    </row>
    <row r="232" spans="1:7" ht="15.75" thickBot="1" x14ac:dyDescent="0.3">
      <c r="A232" t="s">
        <v>2728</v>
      </c>
      <c r="B232" s="1" t="s">
        <v>2729</v>
      </c>
      <c r="C232" s="1" t="s">
        <v>11</v>
      </c>
      <c r="D232" s="1" t="s">
        <v>2282</v>
      </c>
      <c r="E232" s="4">
        <v>6679</v>
      </c>
      <c r="F232" s="1" t="str">
        <f>VLOOKUP(D232,Table12[[Name]:[Native]],3,FALSE)</f>
        <v>文成县</v>
      </c>
      <c r="G232" s="14" t="str">
        <f ca="1">VLOOKUP(F232,Table12[[Native]:[Population4]],5,FALSE)</f>
        <v>温州市</v>
      </c>
    </row>
    <row r="233" spans="1:7" ht="15.75" thickBot="1" x14ac:dyDescent="0.3">
      <c r="A233" t="s">
        <v>2730</v>
      </c>
      <c r="B233" s="1" t="s">
        <v>2731</v>
      </c>
      <c r="C233" s="1" t="s">
        <v>7</v>
      </c>
      <c r="D233" s="1" t="s">
        <v>2299</v>
      </c>
      <c r="E233" s="4">
        <v>4261</v>
      </c>
      <c r="F233" s="1" t="str">
        <f>VLOOKUP(D233,Table12[[Name]:[Native]],3,FALSE)</f>
        <v>永嘉县</v>
      </c>
      <c r="G233" s="14" t="str">
        <f ca="1">VLOOKUP(F233,Table12[[Native]:[Population4]],5,FALSE)</f>
        <v>温州市</v>
      </c>
    </row>
    <row r="234" spans="1:7" ht="15.75" thickBot="1" x14ac:dyDescent="0.3">
      <c r="A234" t="s">
        <v>2732</v>
      </c>
      <c r="B234" s="1" t="s">
        <v>2733</v>
      </c>
      <c r="C234" s="1" t="s">
        <v>7</v>
      </c>
      <c r="D234" s="1" t="s">
        <v>2311</v>
      </c>
      <c r="E234" s="4">
        <v>15219</v>
      </c>
      <c r="F234" s="1" t="str">
        <f>VLOOKUP(D234,Table12[[Name]:[Native]],3,FALSE)</f>
        <v>苍南县</v>
      </c>
      <c r="G234" s="14" t="str">
        <f ca="1">VLOOKUP(F234,Table12[[Native]:[Population4]],5,FALSE)</f>
        <v>温州市</v>
      </c>
    </row>
    <row r="235" spans="1:7" ht="15.75" thickBot="1" x14ac:dyDescent="0.3">
      <c r="A235" t="s">
        <v>663</v>
      </c>
      <c r="B235" s="1" t="s">
        <v>2734</v>
      </c>
      <c r="C235" s="1" t="s">
        <v>15</v>
      </c>
      <c r="D235" s="1" t="s">
        <v>2273</v>
      </c>
      <c r="E235" s="4">
        <v>149087</v>
      </c>
      <c r="F235" s="1" t="str">
        <f>VLOOKUP(D235,Table12[[Name]:[Native]],3,FALSE)</f>
        <v>瑞安市</v>
      </c>
      <c r="G235" s="14" t="str">
        <f ca="1">VLOOKUP(F235,Table12[[Native]:[Population4]],5,FALSE)</f>
        <v>温州市</v>
      </c>
    </row>
    <row r="236" spans="1:7" ht="15.75" thickBot="1" x14ac:dyDescent="0.3">
      <c r="A236" t="s">
        <v>2735</v>
      </c>
      <c r="B236" s="1" t="s">
        <v>2736</v>
      </c>
      <c r="C236" s="1" t="s">
        <v>7</v>
      </c>
      <c r="D236" s="1" t="s">
        <v>2283</v>
      </c>
      <c r="E236" s="4">
        <v>3482</v>
      </c>
      <c r="F236" s="1" t="str">
        <f>VLOOKUP(D236,Table12[[Name]:[Native]],3,FALSE)</f>
        <v>泰顺县</v>
      </c>
      <c r="G236" s="14" t="str">
        <f ca="1">VLOOKUP(F236,Table12[[Native]:[Population4]],5,FALSE)</f>
        <v>温州市</v>
      </c>
    </row>
    <row r="237" spans="1:7" ht="15.75" thickBot="1" x14ac:dyDescent="0.3">
      <c r="A237" t="s">
        <v>2737</v>
      </c>
      <c r="B237" s="1" t="s">
        <v>2738</v>
      </c>
      <c r="C237" s="1" t="s">
        <v>15</v>
      </c>
      <c r="D237" s="1" t="s">
        <v>2318</v>
      </c>
      <c r="E237" s="4">
        <v>93531</v>
      </c>
      <c r="F237" s="1" t="str">
        <f>VLOOKUP(D237,Table12[[Name]:[Native]],3,FALSE)</f>
        <v>瓯海区</v>
      </c>
      <c r="G237" s="14" t="str">
        <f ca="1">VLOOKUP(F237,Table12[[Native]:[Population4]],5,FALSE)</f>
        <v>温州市</v>
      </c>
    </row>
    <row r="238" spans="1:7" ht="15.75" thickBot="1" x14ac:dyDescent="0.3">
      <c r="A238" t="s">
        <v>2739</v>
      </c>
      <c r="B238" s="1" t="s">
        <v>2740</v>
      </c>
      <c r="C238" s="1" t="s">
        <v>7</v>
      </c>
      <c r="D238" s="1" t="s">
        <v>2276</v>
      </c>
      <c r="E238" s="4">
        <v>4417</v>
      </c>
      <c r="F238" s="1" t="str">
        <f>VLOOKUP(D238,Table12[[Name]:[Native]],3,FALSE)</f>
        <v>平阳县</v>
      </c>
      <c r="G238" s="14" t="str">
        <f ca="1">VLOOKUP(F238,Table12[[Native]:[Population4]],5,FALSE)</f>
        <v>温州市</v>
      </c>
    </row>
    <row r="239" spans="1:7" ht="15.75" thickBot="1" x14ac:dyDescent="0.3">
      <c r="A239" t="s">
        <v>2741</v>
      </c>
      <c r="B239" s="1" t="s">
        <v>2742</v>
      </c>
      <c r="C239" s="1" t="s">
        <v>7</v>
      </c>
      <c r="D239" s="1" t="s">
        <v>2299</v>
      </c>
      <c r="E239" s="4">
        <v>2701</v>
      </c>
      <c r="F239" s="1" t="str">
        <f>VLOOKUP(D239,Table12[[Name]:[Native]],3,FALSE)</f>
        <v>永嘉县</v>
      </c>
      <c r="G239" s="14" t="str">
        <f ca="1">VLOOKUP(F239,Table12[[Native]:[Population4]],5,FALSE)</f>
        <v>温州市</v>
      </c>
    </row>
    <row r="240" spans="1:7" ht="15.75" thickBot="1" x14ac:dyDescent="0.3">
      <c r="A240" t="s">
        <v>2743</v>
      </c>
      <c r="B240" s="1" t="s">
        <v>2744</v>
      </c>
      <c r="C240" s="1" t="s">
        <v>7</v>
      </c>
      <c r="D240" s="1" t="s">
        <v>2299</v>
      </c>
      <c r="E240" s="4">
        <v>15540</v>
      </c>
      <c r="F240" s="1" t="str">
        <f>VLOOKUP(D240,Table12[[Name]:[Native]],3,FALSE)</f>
        <v>永嘉县</v>
      </c>
      <c r="G240" s="14" t="str">
        <f ca="1">VLOOKUP(F240,Table12[[Native]:[Population4]],5,FALSE)</f>
        <v>温州市</v>
      </c>
    </row>
    <row r="241" spans="1:7" ht="15.75" thickBot="1" x14ac:dyDescent="0.3">
      <c r="A241" t="s">
        <v>2745</v>
      </c>
      <c r="B241" s="1" t="s">
        <v>2746</v>
      </c>
      <c r="C241" s="1" t="s">
        <v>11</v>
      </c>
      <c r="D241" s="1" t="s">
        <v>2283</v>
      </c>
      <c r="E241" s="4">
        <v>4368</v>
      </c>
      <c r="F241" s="1" t="str">
        <f>VLOOKUP(D241,Table12[[Name]:[Native]],3,FALSE)</f>
        <v>泰顺县</v>
      </c>
      <c r="G241" s="14" t="str">
        <f ca="1">VLOOKUP(F241,Table12[[Native]:[Population4]],5,FALSE)</f>
        <v>温州市</v>
      </c>
    </row>
    <row r="242" spans="1:7" ht="15.75" thickBot="1" x14ac:dyDescent="0.3">
      <c r="A242" t="s">
        <v>2747</v>
      </c>
      <c r="B242" s="1" t="s">
        <v>2748</v>
      </c>
      <c r="C242" s="1" t="s">
        <v>7</v>
      </c>
      <c r="D242" s="1" t="s">
        <v>2299</v>
      </c>
      <c r="E242" s="4">
        <v>3725</v>
      </c>
      <c r="F242" s="1" t="str">
        <f>VLOOKUP(D242,Table12[[Name]:[Native]],3,FALSE)</f>
        <v>永嘉县</v>
      </c>
      <c r="G242" s="14" t="str">
        <f ca="1">VLOOKUP(F242,Table12[[Native]:[Population4]],5,FALSE)</f>
        <v>温州市</v>
      </c>
    </row>
    <row r="243" spans="1:7" ht="15.75" thickBot="1" x14ac:dyDescent="0.3">
      <c r="A243" t="s">
        <v>2749</v>
      </c>
      <c r="B243" s="1" t="s">
        <v>2750</v>
      </c>
      <c r="C243" s="1" t="s">
        <v>7</v>
      </c>
      <c r="D243" s="1" t="s">
        <v>2299</v>
      </c>
      <c r="E243" s="4">
        <v>4987</v>
      </c>
      <c r="F243" s="1" t="str">
        <f>VLOOKUP(D243,Table12[[Name]:[Native]],3,FALSE)</f>
        <v>永嘉县</v>
      </c>
      <c r="G243" s="14" t="str">
        <f ca="1">VLOOKUP(F243,Table12[[Native]:[Population4]],5,FALSE)</f>
        <v>温州市</v>
      </c>
    </row>
    <row r="244" spans="1:7" ht="15.75" thickBot="1" x14ac:dyDescent="0.3">
      <c r="A244" t="s">
        <v>2751</v>
      </c>
      <c r="B244" s="1" t="s">
        <v>2752</v>
      </c>
      <c r="C244" s="1" t="s">
        <v>11</v>
      </c>
      <c r="D244" s="1" t="s">
        <v>2282</v>
      </c>
      <c r="E244" s="4">
        <v>2351</v>
      </c>
      <c r="F244" s="1" t="str">
        <f>VLOOKUP(D244,Table12[[Name]:[Native]],3,FALSE)</f>
        <v>文成县</v>
      </c>
      <c r="G244" s="14" t="str">
        <f ca="1">VLOOKUP(F244,Table12[[Native]:[Population4]],5,FALSE)</f>
        <v>温州市</v>
      </c>
    </row>
    <row r="245" spans="1:7" ht="15.75" thickBot="1" x14ac:dyDescent="0.3">
      <c r="A245" t="s">
        <v>2753</v>
      </c>
      <c r="B245" s="1" t="s">
        <v>2754</v>
      </c>
      <c r="C245" s="1" t="s">
        <v>7</v>
      </c>
      <c r="D245" s="1" t="s">
        <v>2283</v>
      </c>
      <c r="E245" s="4">
        <v>5092</v>
      </c>
      <c r="F245" s="1" t="str">
        <f>VLOOKUP(D245,Table12[[Name]:[Native]],3,FALSE)</f>
        <v>泰顺县</v>
      </c>
      <c r="G245" s="14" t="str">
        <f ca="1">VLOOKUP(F245,Table12[[Native]:[Population4]],5,FALSE)</f>
        <v>温州市</v>
      </c>
    </row>
    <row r="246" spans="1:7" ht="15.75" thickBot="1" x14ac:dyDescent="0.3">
      <c r="A246" t="s">
        <v>2755</v>
      </c>
      <c r="B246" s="1" t="s">
        <v>2756</v>
      </c>
      <c r="C246" s="1" t="s">
        <v>11</v>
      </c>
      <c r="D246" s="1" t="s">
        <v>2299</v>
      </c>
      <c r="E246" s="4">
        <v>8226</v>
      </c>
      <c r="F246" s="1" t="str">
        <f>VLOOKUP(D246,Table12[[Name]:[Native]],3,FALSE)</f>
        <v>永嘉县</v>
      </c>
      <c r="G246" s="14" t="str">
        <f ca="1">VLOOKUP(F246,Table12[[Native]:[Population4]],5,FALSE)</f>
        <v>温州市</v>
      </c>
    </row>
    <row r="247" spans="1:7" ht="15.75" thickBot="1" x14ac:dyDescent="0.3">
      <c r="A247" t="s">
        <v>2757</v>
      </c>
      <c r="B247" s="1" t="s">
        <v>2758</v>
      </c>
      <c r="C247" s="1" t="s">
        <v>11</v>
      </c>
      <c r="D247" s="1" t="s">
        <v>2279</v>
      </c>
      <c r="E247" s="4">
        <v>41652</v>
      </c>
      <c r="F247" s="1" t="str">
        <f>VLOOKUP(D247,Table12[[Name]:[Native]],3,FALSE)</f>
        <v>乐清市</v>
      </c>
      <c r="G247" s="14" t="str">
        <f ca="1">VLOOKUP(F247,Table12[[Native]:[Population4]],5,FALSE)</f>
        <v>温州市</v>
      </c>
    </row>
    <row r="248" spans="1:7" ht="15.75" thickBot="1" x14ac:dyDescent="0.3">
      <c r="A248" t="s">
        <v>2759</v>
      </c>
      <c r="B248" s="1" t="s">
        <v>2760</v>
      </c>
      <c r="C248" s="1" t="s">
        <v>7</v>
      </c>
      <c r="D248" s="1" t="s">
        <v>2282</v>
      </c>
      <c r="E248" s="4">
        <v>1866</v>
      </c>
      <c r="F248" s="1" t="str">
        <f>VLOOKUP(D248,Table12[[Name]:[Native]],3,FALSE)</f>
        <v>文成县</v>
      </c>
      <c r="G248" s="14" t="str">
        <f ca="1">VLOOKUP(F248,Table12[[Native]:[Population4]],5,FALSE)</f>
        <v>温州市</v>
      </c>
    </row>
    <row r="249" spans="1:7" ht="15.75" thickBot="1" x14ac:dyDescent="0.3">
      <c r="A249" t="s">
        <v>2761</v>
      </c>
      <c r="B249" s="1" t="s">
        <v>2762</v>
      </c>
      <c r="C249" s="1" t="s">
        <v>7</v>
      </c>
      <c r="D249" s="1" t="s">
        <v>2283</v>
      </c>
      <c r="E249" s="4">
        <v>2963</v>
      </c>
      <c r="F249" s="1" t="str">
        <f>VLOOKUP(D249,Table12[[Name]:[Native]],3,FALSE)</f>
        <v>泰顺县</v>
      </c>
      <c r="G249" s="14" t="str">
        <f ca="1">VLOOKUP(F249,Table12[[Native]:[Population4]],5,FALSE)</f>
        <v>温州市</v>
      </c>
    </row>
    <row r="250" spans="1:7" ht="15.75" thickBot="1" x14ac:dyDescent="0.3">
      <c r="A250" t="s">
        <v>2763</v>
      </c>
      <c r="B250" s="1" t="s">
        <v>2764</v>
      </c>
      <c r="C250" s="1" t="s">
        <v>15</v>
      </c>
      <c r="D250" s="1" t="s">
        <v>2304</v>
      </c>
      <c r="E250" s="4">
        <v>63948</v>
      </c>
      <c r="F250" s="1" t="str">
        <f>VLOOKUP(D250,Table12[[Name]:[Native]],3,FALSE)</f>
        <v>鹿城区</v>
      </c>
      <c r="G250" s="14" t="str">
        <f ca="1">VLOOKUP(F250,Table12[[Native]:[Population4]],5,FALSE)</f>
        <v>温州市</v>
      </c>
    </row>
    <row r="251" spans="1:7" ht="15.75" thickBot="1" x14ac:dyDescent="0.3">
      <c r="A251" t="s">
        <v>2765</v>
      </c>
      <c r="B251" s="1" t="s">
        <v>2766</v>
      </c>
      <c r="C251" s="1" t="s">
        <v>7</v>
      </c>
      <c r="D251" s="1" t="s">
        <v>2279</v>
      </c>
      <c r="E251" s="4">
        <v>8210</v>
      </c>
      <c r="F251" s="1" t="str">
        <f>VLOOKUP(D251,Table12[[Name]:[Native]],3,FALSE)</f>
        <v>乐清市</v>
      </c>
      <c r="G251" s="14" t="str">
        <f ca="1">VLOOKUP(F251,Table12[[Native]:[Population4]],5,FALSE)</f>
        <v>温州市</v>
      </c>
    </row>
    <row r="252" spans="1:7" ht="15.75" thickBot="1" x14ac:dyDescent="0.3">
      <c r="A252" t="s">
        <v>2767</v>
      </c>
      <c r="B252" s="1" t="s">
        <v>2768</v>
      </c>
      <c r="C252" s="1" t="s">
        <v>11</v>
      </c>
      <c r="D252" s="1" t="s">
        <v>2311</v>
      </c>
      <c r="E252" s="4">
        <v>9855</v>
      </c>
      <c r="F252" s="1" t="str">
        <f>VLOOKUP(D252,Table12[[Name]:[Native]],3,FALSE)</f>
        <v>苍南县</v>
      </c>
      <c r="G252" s="14" t="str">
        <f ca="1">VLOOKUP(F252,Table12[[Native]:[Population4]],5,FALSE)</f>
        <v>温州市</v>
      </c>
    </row>
    <row r="253" spans="1:7" ht="15.75" thickBot="1" x14ac:dyDescent="0.3">
      <c r="A253" t="s">
        <v>2769</v>
      </c>
      <c r="B253" s="1" t="s">
        <v>2770</v>
      </c>
      <c r="C253" s="1" t="s">
        <v>11</v>
      </c>
      <c r="D253" s="1" t="s">
        <v>2299</v>
      </c>
      <c r="E253" s="4">
        <v>5535</v>
      </c>
      <c r="F253" s="1" t="str">
        <f>VLOOKUP(D253,Table12[[Name]:[Native]],3,FALSE)</f>
        <v>永嘉县</v>
      </c>
      <c r="G253" s="14" t="str">
        <f ca="1">VLOOKUP(F253,Table12[[Native]:[Population4]],5,FALSE)</f>
        <v>温州市</v>
      </c>
    </row>
    <row r="254" spans="1:7" ht="15.75" thickBot="1" x14ac:dyDescent="0.3">
      <c r="A254" t="s">
        <v>2771</v>
      </c>
      <c r="B254" s="1" t="s">
        <v>2772</v>
      </c>
      <c r="C254" s="1" t="s">
        <v>11</v>
      </c>
      <c r="D254" s="1" t="s">
        <v>2311</v>
      </c>
      <c r="E254" s="4">
        <v>7575</v>
      </c>
      <c r="F254" s="1" t="str">
        <f>VLOOKUP(D254,Table12[[Name]:[Native]],3,FALSE)</f>
        <v>苍南县</v>
      </c>
      <c r="G254" s="14" t="str">
        <f ca="1">VLOOKUP(F254,Table12[[Native]:[Population4]],5,FALSE)</f>
        <v>温州市</v>
      </c>
    </row>
    <row r="255" spans="1:7" ht="15.75" thickBot="1" x14ac:dyDescent="0.3">
      <c r="A255" t="s">
        <v>959</v>
      </c>
      <c r="B255" s="1" t="s">
        <v>960</v>
      </c>
      <c r="C255" s="1" t="s">
        <v>11</v>
      </c>
      <c r="D255" s="1" t="s">
        <v>2299</v>
      </c>
      <c r="E255" s="4">
        <v>22690</v>
      </c>
      <c r="F255" s="1" t="str">
        <f>VLOOKUP(D255,Table12[[Name]:[Native]],3,FALSE)</f>
        <v>永嘉县</v>
      </c>
      <c r="G255" s="14" t="str">
        <f ca="1">VLOOKUP(F255,Table12[[Native]:[Population4]],5,FALSE)</f>
        <v>温州市</v>
      </c>
    </row>
    <row r="256" spans="1:7" ht="15.75" thickBot="1" x14ac:dyDescent="0.3">
      <c r="A256" t="s">
        <v>2773</v>
      </c>
      <c r="B256" s="1" t="s">
        <v>2774</v>
      </c>
      <c r="C256" s="1" t="s">
        <v>15</v>
      </c>
      <c r="D256" s="1" t="s">
        <v>2407</v>
      </c>
      <c r="E256" s="4">
        <v>72148</v>
      </c>
      <c r="F256" s="1" t="str">
        <f>VLOOKUP(D256,Table12[[Name]:[Native]],3,FALSE)</f>
        <v>龙湾区</v>
      </c>
      <c r="G256" s="14" t="str">
        <f ca="1">VLOOKUP(F256,Table12[[Native]:[Population4]],5,FALSE)</f>
        <v>温州市</v>
      </c>
    </row>
    <row r="257" spans="1:7" ht="15.75" thickBot="1" x14ac:dyDescent="0.3">
      <c r="A257" t="s">
        <v>2775</v>
      </c>
      <c r="B257" s="1" t="s">
        <v>2776</v>
      </c>
      <c r="C257" s="1" t="s">
        <v>11</v>
      </c>
      <c r="D257" s="1" t="s">
        <v>2283</v>
      </c>
      <c r="E257" s="4">
        <v>14095</v>
      </c>
      <c r="F257" s="1" t="str">
        <f>VLOOKUP(D257,Table12[[Name]:[Native]],3,FALSE)</f>
        <v>泰顺县</v>
      </c>
      <c r="G257" s="14" t="str">
        <f ca="1">VLOOKUP(F257,Table12[[Native]:[Population4]],5,FALSE)</f>
        <v>温州市</v>
      </c>
    </row>
    <row r="258" spans="1:7" ht="15.75" thickBot="1" x14ac:dyDescent="0.3">
      <c r="A258" t="s">
        <v>2777</v>
      </c>
      <c r="B258" s="1" t="s">
        <v>2778</v>
      </c>
      <c r="C258" s="1" t="s">
        <v>7</v>
      </c>
      <c r="D258" s="1" t="s">
        <v>2299</v>
      </c>
      <c r="E258" s="4">
        <v>2093</v>
      </c>
      <c r="F258" s="1" t="str">
        <f>VLOOKUP(D258,Table12[[Name]:[Native]],3,FALSE)</f>
        <v>永嘉县</v>
      </c>
      <c r="G258" s="14" t="str">
        <f ca="1">VLOOKUP(F258,Table12[[Native]:[Population4]],5,FALSE)</f>
        <v>温州市</v>
      </c>
    </row>
    <row r="259" spans="1:7" ht="15.75" thickBot="1" x14ac:dyDescent="0.3">
      <c r="A259" t="s">
        <v>2779</v>
      </c>
      <c r="B259" s="1" t="s">
        <v>2780</v>
      </c>
      <c r="C259" s="1" t="s">
        <v>7</v>
      </c>
      <c r="D259" s="1" t="s">
        <v>2273</v>
      </c>
      <c r="E259" s="4">
        <v>2995</v>
      </c>
      <c r="F259" s="1" t="str">
        <f>VLOOKUP(D259,Table12[[Name]:[Native]],3,FALSE)</f>
        <v>瑞安市</v>
      </c>
      <c r="G259" s="14" t="str">
        <f ca="1">VLOOKUP(F259,Table12[[Native]:[Population4]],5,FALSE)</f>
        <v>温州市</v>
      </c>
    </row>
    <row r="260" spans="1:7" ht="15.75" thickBot="1" x14ac:dyDescent="0.3">
      <c r="A260" t="s">
        <v>2781</v>
      </c>
      <c r="B260" s="1" t="s">
        <v>2782</v>
      </c>
      <c r="C260" s="1" t="s">
        <v>11</v>
      </c>
      <c r="D260" s="1" t="s">
        <v>2311</v>
      </c>
      <c r="E260" s="4">
        <v>56008</v>
      </c>
      <c r="F260" s="1" t="str">
        <f>VLOOKUP(D260,Table12[[Name]:[Native]],3,FALSE)</f>
        <v>苍南县</v>
      </c>
      <c r="G260" s="14" t="str">
        <f ca="1">VLOOKUP(F260,Table12[[Native]:[Population4]],5,FALSE)</f>
        <v>温州市</v>
      </c>
    </row>
    <row r="261" spans="1:7" ht="15.75" thickBot="1" x14ac:dyDescent="0.3">
      <c r="A261" t="s">
        <v>2783</v>
      </c>
      <c r="B261" s="1" t="s">
        <v>2784</v>
      </c>
      <c r="C261" s="1" t="s">
        <v>7</v>
      </c>
      <c r="D261" s="1" t="s">
        <v>2273</v>
      </c>
      <c r="E261" s="4">
        <v>6435</v>
      </c>
      <c r="F261" s="1" t="str">
        <f>VLOOKUP(D261,Table12[[Name]:[Native]],3,FALSE)</f>
        <v>瑞安市</v>
      </c>
      <c r="G261" s="14" t="str">
        <f ca="1">VLOOKUP(F261,Table12[[Native]:[Population4]],5,FALSE)</f>
        <v>温州市</v>
      </c>
    </row>
    <row r="262" spans="1:7" ht="15.75" thickBot="1" x14ac:dyDescent="0.3">
      <c r="A262" t="s">
        <v>2785</v>
      </c>
      <c r="B262" s="1" t="s">
        <v>2786</v>
      </c>
      <c r="C262" s="1" t="s">
        <v>15</v>
      </c>
      <c r="D262" s="1" t="s">
        <v>2407</v>
      </c>
      <c r="E262" s="4">
        <v>52798</v>
      </c>
      <c r="F262" s="1" t="str">
        <f>VLOOKUP(D262,Table12[[Name]:[Native]],3,FALSE)</f>
        <v>龙湾区</v>
      </c>
      <c r="G262" s="14" t="str">
        <f ca="1">VLOOKUP(F262,Table12[[Native]:[Population4]],5,FALSE)</f>
        <v>温州市</v>
      </c>
    </row>
    <row r="263" spans="1:7" ht="15.75" thickBot="1" x14ac:dyDescent="0.3">
      <c r="A263" t="s">
        <v>2787</v>
      </c>
      <c r="B263" s="1" t="s">
        <v>2788</v>
      </c>
      <c r="C263" s="1" t="s">
        <v>15</v>
      </c>
      <c r="D263" s="1" t="s">
        <v>2407</v>
      </c>
      <c r="E263" s="4">
        <v>128374</v>
      </c>
      <c r="F263" s="1" t="str">
        <f>VLOOKUP(D263,Table12[[Name]:[Native]],3,FALSE)</f>
        <v>龙湾区</v>
      </c>
      <c r="G263" s="14" t="str">
        <f ca="1">VLOOKUP(F263,Table12[[Native]:[Population4]],5,FALSE)</f>
        <v>温州市</v>
      </c>
    </row>
    <row r="264" spans="1:7" ht="15.75" thickBot="1" x14ac:dyDescent="0.3">
      <c r="A264" t="s">
        <v>2789</v>
      </c>
      <c r="B264" s="1" t="s">
        <v>2790</v>
      </c>
      <c r="C264" s="1" t="s">
        <v>15</v>
      </c>
      <c r="D264" s="1" t="s">
        <v>2288</v>
      </c>
      <c r="E264" s="4">
        <v>4234</v>
      </c>
      <c r="F264" s="1" t="str">
        <f>VLOOKUP(D264,Table12[[Name]:[Native]],3,FALSE)</f>
        <v>洞头区</v>
      </c>
      <c r="G264" s="14" t="str">
        <f ca="1">VLOOKUP(F264,Table12[[Native]:[Population4]],5,FALSE)</f>
        <v>温州市</v>
      </c>
    </row>
    <row r="265" spans="1:7" ht="15.75" thickBot="1" x14ac:dyDescent="0.3">
      <c r="A265" t="s">
        <v>2791</v>
      </c>
      <c r="B265" s="1" t="s">
        <v>2792</v>
      </c>
      <c r="C265" s="1" t="s">
        <v>7</v>
      </c>
      <c r="D265" s="1" t="s">
        <v>2283</v>
      </c>
      <c r="E265" s="4">
        <v>3305</v>
      </c>
      <c r="F265" s="1" t="str">
        <f>VLOOKUP(D265,Table12[[Name]:[Native]],3,FALSE)</f>
        <v>泰顺县</v>
      </c>
      <c r="G265" s="14" t="str">
        <f ca="1">VLOOKUP(F265,Table12[[Native]:[Population4]],5,FALSE)</f>
        <v>温州市</v>
      </c>
    </row>
    <row r="266" spans="1:7" ht="15.75" thickBot="1" x14ac:dyDescent="0.3">
      <c r="A266" t="s">
        <v>2793</v>
      </c>
      <c r="B266" s="1" t="s">
        <v>2794</v>
      </c>
      <c r="C266" s="1" t="s">
        <v>15</v>
      </c>
      <c r="D266" s="1" t="s">
        <v>2273</v>
      </c>
      <c r="E266" s="4">
        <v>79917</v>
      </c>
      <c r="F266" s="1" t="str">
        <f>VLOOKUP(D266,Table12[[Name]:[Native]],3,FALSE)</f>
        <v>瑞安市</v>
      </c>
      <c r="G266" s="14" t="str">
        <f ca="1">VLOOKUP(F266,Table12[[Native]:[Population4]],5,FALSE)</f>
        <v>温州市</v>
      </c>
    </row>
    <row r="267" spans="1:7" ht="15.75" thickBot="1" x14ac:dyDescent="0.3">
      <c r="A267" t="s">
        <v>2795</v>
      </c>
      <c r="B267" s="1" t="s">
        <v>2796</v>
      </c>
      <c r="C267" s="1" t="s">
        <v>11</v>
      </c>
      <c r="D267" s="1" t="s">
        <v>2282</v>
      </c>
      <c r="E267" s="4">
        <v>12807</v>
      </c>
      <c r="F267" s="1" t="str">
        <f>VLOOKUP(D267,Table12[[Name]:[Native]],3,FALSE)</f>
        <v>文成县</v>
      </c>
      <c r="G267" s="14" t="str">
        <f ca="1">VLOOKUP(F267,Table12[[Native]:[Population4]],5,FALSE)</f>
        <v>温州市</v>
      </c>
    </row>
    <row r="268" spans="1:7" ht="15.75" thickBot="1" x14ac:dyDescent="0.3">
      <c r="A268" t="s">
        <v>2797</v>
      </c>
      <c r="B268" s="1" t="s">
        <v>2798</v>
      </c>
      <c r="C268" s="1" t="s">
        <v>7</v>
      </c>
      <c r="D268" s="1" t="s">
        <v>2311</v>
      </c>
      <c r="E268" s="4">
        <v>4183</v>
      </c>
      <c r="F268" s="1" t="str">
        <f>VLOOKUP(D268,Table12[[Name]:[Native]],3,FALSE)</f>
        <v>苍南县</v>
      </c>
      <c r="G268" s="14" t="str">
        <f ca="1">VLOOKUP(F268,Table12[[Native]:[Population4]],5,FALSE)</f>
        <v>温州市</v>
      </c>
    </row>
    <row r="269" spans="1:7" ht="15.75" thickBot="1" x14ac:dyDescent="0.3">
      <c r="A269" t="s">
        <v>2799</v>
      </c>
      <c r="B269" s="1" t="s">
        <v>2800</v>
      </c>
      <c r="C269" s="1" t="s">
        <v>7</v>
      </c>
      <c r="D269" s="1" t="s">
        <v>2282</v>
      </c>
      <c r="E269" s="4">
        <v>1004</v>
      </c>
      <c r="F269" s="1" t="str">
        <f>VLOOKUP(D269,Table12[[Name]:[Native]],3,FALSE)</f>
        <v>文成县</v>
      </c>
      <c r="G269" s="14" t="str">
        <f ca="1">VLOOKUP(F269,Table12[[Native]:[Population4]],5,FALSE)</f>
        <v>温州市</v>
      </c>
    </row>
    <row r="270" spans="1:7" ht="15.75" thickBot="1" x14ac:dyDescent="0.3">
      <c r="A270" t="s">
        <v>2801</v>
      </c>
      <c r="B270" s="1" t="s">
        <v>2802</v>
      </c>
      <c r="C270" s="1" t="s">
        <v>11</v>
      </c>
      <c r="D270" s="1" t="s">
        <v>2276</v>
      </c>
      <c r="E270" s="4">
        <v>10059</v>
      </c>
      <c r="F270" s="1" t="str">
        <f>VLOOKUP(D270,Table12[[Name]:[Native]],3,FALSE)</f>
        <v>平阳县</v>
      </c>
      <c r="G270" s="14" t="str">
        <f ca="1">VLOOKUP(F270,Table12[[Native]:[Population4]],5,FALSE)</f>
        <v>温州市</v>
      </c>
    </row>
    <row r="271" spans="1:7" ht="15.75" thickBot="1" x14ac:dyDescent="0.3">
      <c r="A271" t="s">
        <v>2803</v>
      </c>
      <c r="B271" s="1" t="s">
        <v>2804</v>
      </c>
      <c r="C271" s="1" t="s">
        <v>11</v>
      </c>
      <c r="D271" s="1" t="s">
        <v>2311</v>
      </c>
      <c r="E271" s="4">
        <v>21591</v>
      </c>
      <c r="F271" s="1" t="str">
        <f>VLOOKUP(D271,Table12[[Name]:[Native]],3,FALSE)</f>
        <v>苍南县</v>
      </c>
      <c r="G271" s="14" t="str">
        <f ca="1">VLOOKUP(F271,Table12[[Native]:[Population4]],5,FALSE)</f>
        <v>温州市</v>
      </c>
    </row>
    <row r="272" spans="1:7" ht="15.75" thickBot="1" x14ac:dyDescent="0.3">
      <c r="A272" t="s">
        <v>2805</v>
      </c>
      <c r="B272" s="1" t="s">
        <v>2806</v>
      </c>
      <c r="C272" s="1" t="s">
        <v>11</v>
      </c>
      <c r="D272" s="1" t="s">
        <v>2318</v>
      </c>
      <c r="E272" s="4">
        <v>27029</v>
      </c>
      <c r="F272" s="1" t="str">
        <f>VLOOKUP(D272,Table12[[Name]:[Native]],3,FALSE)</f>
        <v>瓯海区</v>
      </c>
      <c r="G272" s="14" t="str">
        <f ca="1">VLOOKUP(F272,Table12[[Native]:[Population4]],5,FALSE)</f>
        <v>温州市</v>
      </c>
    </row>
    <row r="273" spans="1:7" ht="15.75" thickBot="1" x14ac:dyDescent="0.3">
      <c r="A273" t="s">
        <v>2807</v>
      </c>
      <c r="B273" s="1" t="s">
        <v>2808</v>
      </c>
      <c r="C273" s="1" t="s">
        <v>7</v>
      </c>
      <c r="D273" s="1" t="s">
        <v>2282</v>
      </c>
      <c r="E273" s="4">
        <v>6928</v>
      </c>
      <c r="F273" s="1" t="str">
        <f>VLOOKUP(D273,Table12[[Name]:[Native]],3,FALSE)</f>
        <v>文成县</v>
      </c>
      <c r="G273" s="14" t="str">
        <f ca="1">VLOOKUP(F273,Table12[[Native]:[Population4]],5,FALSE)</f>
        <v>温州市</v>
      </c>
    </row>
    <row r="274" spans="1:7" ht="15.75" thickBot="1" x14ac:dyDescent="0.3">
      <c r="A274" t="s">
        <v>1312</v>
      </c>
      <c r="B274" s="1" t="s">
        <v>2809</v>
      </c>
      <c r="C274" s="1" t="s">
        <v>7</v>
      </c>
      <c r="D274" s="1" t="s">
        <v>2299</v>
      </c>
      <c r="E274" s="4">
        <v>4292</v>
      </c>
      <c r="F274" s="1" t="str">
        <f>VLOOKUP(D274,Table12[[Name]:[Native]],3,FALSE)</f>
        <v>永嘉县</v>
      </c>
      <c r="G274" s="14" t="str">
        <f ca="1">VLOOKUP(F274,Table12[[Native]:[Population4]],5,FALSE)</f>
        <v>温州市</v>
      </c>
    </row>
    <row r="275" spans="1:7" ht="15.75" thickBot="1" x14ac:dyDescent="0.3">
      <c r="A275" t="s">
        <v>2810</v>
      </c>
      <c r="B275" s="1" t="s">
        <v>2811</v>
      </c>
      <c r="C275" s="1" t="s">
        <v>7</v>
      </c>
      <c r="D275" s="1" t="s">
        <v>2279</v>
      </c>
      <c r="E275" s="4">
        <v>5698</v>
      </c>
      <c r="F275" s="1" t="str">
        <f>VLOOKUP(D275,Table12[[Name]:[Native]],3,FALSE)</f>
        <v>乐清市</v>
      </c>
      <c r="G275" s="14" t="str">
        <f ca="1">VLOOKUP(F275,Table12[[Native]:[Population4]],5,FALSE)</f>
        <v>温州市</v>
      </c>
    </row>
    <row r="276" spans="1:7" ht="15.75" thickBot="1" x14ac:dyDescent="0.3">
      <c r="A276" t="s">
        <v>2812</v>
      </c>
      <c r="B276" s="1" t="s">
        <v>2813</v>
      </c>
      <c r="C276" s="1" t="s">
        <v>253</v>
      </c>
      <c r="D276" s="1" t="s">
        <v>2299</v>
      </c>
      <c r="E276" s="4">
        <v>57</v>
      </c>
      <c r="F276" s="1" t="str">
        <f>VLOOKUP(D276,Table12[[Name]:[Native]],3,FALSE)</f>
        <v>永嘉县</v>
      </c>
      <c r="G276" s="14" t="str">
        <f ca="1">VLOOKUP(F276,Table12[[Native]:[Population4]],5,FALSE)</f>
        <v>温州市</v>
      </c>
    </row>
    <row r="277" spans="1:7" ht="15.75" thickBot="1" x14ac:dyDescent="0.3">
      <c r="A277" t="s">
        <v>2814</v>
      </c>
      <c r="B277" s="1" t="s">
        <v>2815</v>
      </c>
      <c r="C277" s="1" t="s">
        <v>7</v>
      </c>
      <c r="D277" s="1" t="s">
        <v>2279</v>
      </c>
      <c r="E277" s="4">
        <v>9284</v>
      </c>
      <c r="F277" s="1" t="str">
        <f>VLOOKUP(D277,Table12[[Name]:[Native]],3,FALSE)</f>
        <v>乐清市</v>
      </c>
      <c r="G277" s="14" t="str">
        <f ca="1">VLOOKUP(F277,Table12[[Native]:[Population4]],5,FALSE)</f>
        <v>温州市</v>
      </c>
    </row>
    <row r="278" spans="1:7" ht="15.75" thickBot="1" x14ac:dyDescent="0.3">
      <c r="A278" t="s">
        <v>2816</v>
      </c>
      <c r="B278" s="1" t="s">
        <v>2817</v>
      </c>
      <c r="C278" s="1" t="s">
        <v>7</v>
      </c>
      <c r="D278" s="1" t="s">
        <v>2311</v>
      </c>
      <c r="E278" s="4">
        <v>5353</v>
      </c>
      <c r="F278" s="1" t="str">
        <f>VLOOKUP(D278,Table12[[Name]:[Native]],3,FALSE)</f>
        <v>苍南县</v>
      </c>
      <c r="G278" s="14" t="str">
        <f ca="1">VLOOKUP(F278,Table12[[Native]:[Population4]],5,FALSE)</f>
        <v>温州市</v>
      </c>
    </row>
    <row r="279" spans="1:7" ht="15.75" thickBot="1" x14ac:dyDescent="0.3">
      <c r="A279" t="s">
        <v>2818</v>
      </c>
      <c r="B279" s="1" t="s">
        <v>2819</v>
      </c>
      <c r="C279" s="1" t="s">
        <v>7</v>
      </c>
      <c r="D279" s="1" t="s">
        <v>2283</v>
      </c>
      <c r="E279" s="4">
        <v>2928</v>
      </c>
      <c r="F279" s="1" t="str">
        <f>VLOOKUP(D279,Table12[[Name]:[Native]],3,FALSE)</f>
        <v>泰顺县</v>
      </c>
      <c r="G279" s="14" t="str">
        <f ca="1">VLOOKUP(F279,Table12[[Native]:[Population4]],5,FALSE)</f>
        <v>温州市</v>
      </c>
    </row>
    <row r="280" spans="1:7" ht="15.75" thickBot="1" x14ac:dyDescent="0.3">
      <c r="A280" t="s">
        <v>2820</v>
      </c>
      <c r="B280" s="1" t="s">
        <v>2821</v>
      </c>
      <c r="C280" s="1" t="s">
        <v>11</v>
      </c>
      <c r="D280" s="1" t="s">
        <v>2282</v>
      </c>
      <c r="E280" s="4">
        <v>9084</v>
      </c>
      <c r="F280" s="1" t="str">
        <f>VLOOKUP(D280,Table12[[Name]:[Native]],3,FALSE)</f>
        <v>文成县</v>
      </c>
      <c r="G280" s="14" t="str">
        <f ca="1">VLOOKUP(F280,Table12[[Native]:[Population4]],5,FALSE)</f>
        <v>温州市</v>
      </c>
    </row>
    <row r="281" spans="1:7" ht="15.75" thickBot="1" x14ac:dyDescent="0.3">
      <c r="A281" t="s">
        <v>2822</v>
      </c>
      <c r="B281" s="1" t="s">
        <v>2823</v>
      </c>
      <c r="C281" s="1" t="s">
        <v>7</v>
      </c>
      <c r="D281" s="1" t="s">
        <v>2282</v>
      </c>
      <c r="E281" s="4">
        <v>1905</v>
      </c>
      <c r="F281" s="1" t="str">
        <f>VLOOKUP(D281,Table12[[Name]:[Native]],3,FALSE)</f>
        <v>文成县</v>
      </c>
      <c r="G281" s="14" t="str">
        <f ca="1">VLOOKUP(F281,Table12[[Native]:[Population4]],5,FALSE)</f>
        <v>温州市</v>
      </c>
    </row>
    <row r="282" spans="1:7" ht="15.75" thickBot="1" x14ac:dyDescent="0.3">
      <c r="A282" t="s">
        <v>2824</v>
      </c>
      <c r="B282" s="1" t="s">
        <v>2825</v>
      </c>
      <c r="C282" s="1" t="s">
        <v>15</v>
      </c>
      <c r="D282" s="1" t="s">
        <v>2407</v>
      </c>
      <c r="E282" s="4">
        <v>85055</v>
      </c>
      <c r="F282" s="1" t="str">
        <f>VLOOKUP(D282,Table12[[Name]:[Native]],3,FALSE)</f>
        <v>龙湾区</v>
      </c>
      <c r="G282" s="14" t="str">
        <f ca="1">VLOOKUP(F282,Table12[[Native]:[Population4]],5,FALSE)</f>
        <v>温州市</v>
      </c>
    </row>
    <row r="283" spans="1:7" ht="15.75" thickBot="1" x14ac:dyDescent="0.3">
      <c r="A283" t="s">
        <v>2826</v>
      </c>
      <c r="B283" s="1" t="s">
        <v>2827</v>
      </c>
      <c r="C283" s="1" t="s">
        <v>7</v>
      </c>
      <c r="D283" s="1" t="s">
        <v>2283</v>
      </c>
      <c r="E283" s="4">
        <v>1027</v>
      </c>
      <c r="F283" s="1" t="str">
        <f>VLOOKUP(D283,Table12[[Name]:[Native]],3,FALSE)</f>
        <v>泰顺县</v>
      </c>
      <c r="G283" s="14" t="str">
        <f ca="1">VLOOKUP(F283,Table12[[Native]:[Population4]],5,FALSE)</f>
        <v>温州市</v>
      </c>
    </row>
    <row r="284" spans="1:7" ht="15.75" thickBot="1" x14ac:dyDescent="0.3">
      <c r="A284" t="s">
        <v>2828</v>
      </c>
      <c r="B284" s="1" t="s">
        <v>2829</v>
      </c>
      <c r="C284" s="1" t="s">
        <v>7</v>
      </c>
      <c r="D284" s="1" t="s">
        <v>2282</v>
      </c>
      <c r="E284" s="4">
        <v>1605</v>
      </c>
      <c r="F284" s="10" t="str">
        <f>VLOOKUP(D284,Table12[[Name]:[Native]],3,FALSE)</f>
        <v>文成县</v>
      </c>
      <c r="G284" s="14" t="str">
        <f ca="1">VLOOKUP(F284,Table12[[Native]:[Population4]],5,FALSE)</f>
        <v>温州市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CD7E0-A0D2-4853-A757-D1D3394CB060}">
  <dimension ref="A1:G37"/>
  <sheetViews>
    <sheetView topLeftCell="A12" workbookViewId="0">
      <selection activeCell="G2" sqref="A2:G37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3023</v>
      </c>
      <c r="G1" t="s">
        <v>3025</v>
      </c>
    </row>
    <row r="2" spans="1:7" ht="15.75" thickBot="1" x14ac:dyDescent="0.3">
      <c r="A2" t="s">
        <v>2830</v>
      </c>
      <c r="B2" s="1" t="s">
        <v>2831</v>
      </c>
      <c r="C2" s="1" t="s">
        <v>11</v>
      </c>
      <c r="D2" s="1" t="s">
        <v>2832</v>
      </c>
      <c r="E2" s="4">
        <v>40411</v>
      </c>
      <c r="F2" s="9" t="str">
        <f>VLOOKUP(D2,Table12[[Name]:[Native]],3,FALSE)</f>
        <v>定海区</v>
      </c>
      <c r="G2" s="14" t="str">
        <f ca="1">VLOOKUP(F2,Table12[[Native]:[Population4]],5,FALSE)</f>
        <v>舟山市</v>
      </c>
    </row>
    <row r="3" spans="1:7" ht="15.75" thickBot="1" x14ac:dyDescent="0.3">
      <c r="A3" t="s">
        <v>2833</v>
      </c>
      <c r="B3" s="1" t="s">
        <v>2834</v>
      </c>
      <c r="C3" s="1" t="s">
        <v>11</v>
      </c>
      <c r="D3" s="1" t="s">
        <v>2835</v>
      </c>
      <c r="E3" s="4">
        <v>38919</v>
      </c>
      <c r="F3" s="1" t="str">
        <f>VLOOKUP(D3,Table12[[Name]:[Native]],3,FALSE)</f>
        <v>嵊泗县</v>
      </c>
      <c r="G3" s="14" t="str">
        <f ca="1">VLOOKUP(F3,Table12[[Native]:[Population4]],5,FALSE)</f>
        <v>舟山市</v>
      </c>
    </row>
    <row r="4" spans="1:7" ht="15.75" thickBot="1" x14ac:dyDescent="0.3">
      <c r="A4" t="s">
        <v>2836</v>
      </c>
      <c r="B4" s="1" t="s">
        <v>2837</v>
      </c>
      <c r="C4" s="1" t="s">
        <v>15</v>
      </c>
      <c r="D4" s="1" t="s">
        <v>2832</v>
      </c>
      <c r="E4" s="4">
        <v>18219</v>
      </c>
      <c r="F4" s="1" t="str">
        <f>VLOOKUP(D4,Table12[[Name]:[Native]],3,FALSE)</f>
        <v>定海区</v>
      </c>
      <c r="G4" s="14" t="str">
        <f ca="1">VLOOKUP(F4,Table12[[Native]:[Population4]],5,FALSE)</f>
        <v>舟山市</v>
      </c>
    </row>
    <row r="5" spans="1:7" ht="15.75" thickBot="1" x14ac:dyDescent="0.3">
      <c r="A5" t="s">
        <v>2838</v>
      </c>
      <c r="B5" s="1" t="s">
        <v>2839</v>
      </c>
      <c r="C5" s="1" t="s">
        <v>15</v>
      </c>
      <c r="D5" s="1" t="s">
        <v>2832</v>
      </c>
      <c r="E5" s="4">
        <v>31561</v>
      </c>
      <c r="F5" s="1" t="str">
        <f>VLOOKUP(D5,Table12[[Name]:[Native]],3,FALSE)</f>
        <v>定海区</v>
      </c>
      <c r="G5" s="14" t="str">
        <f ca="1">VLOOKUP(F5,Table12[[Native]:[Population4]],5,FALSE)</f>
        <v>舟山市</v>
      </c>
    </row>
    <row r="6" spans="1:7" ht="15.75" thickBot="1" x14ac:dyDescent="0.3">
      <c r="A6" t="s">
        <v>2840</v>
      </c>
      <c r="B6" s="1" t="s">
        <v>2841</v>
      </c>
      <c r="C6" s="1" t="s">
        <v>11</v>
      </c>
      <c r="D6" s="1" t="s">
        <v>2842</v>
      </c>
      <c r="E6" s="4">
        <v>21500</v>
      </c>
      <c r="F6" s="1" t="str">
        <f>VLOOKUP(D6,Table12[[Name]:[Native]],3,FALSE)</f>
        <v>岱山县</v>
      </c>
      <c r="G6" s="14" t="str">
        <f ca="1">VLOOKUP(F6,Table12[[Native]:[Population4]],5,FALSE)</f>
        <v>舟山市</v>
      </c>
    </row>
    <row r="7" spans="1:7" ht="15.75" thickBot="1" x14ac:dyDescent="0.3">
      <c r="A7" t="s">
        <v>732</v>
      </c>
      <c r="B7" s="1" t="s">
        <v>733</v>
      </c>
      <c r="C7" s="1" t="s">
        <v>15</v>
      </c>
      <c r="D7" s="1" t="s">
        <v>2832</v>
      </c>
      <c r="E7" s="4">
        <v>115494</v>
      </c>
      <c r="F7" s="1" t="str">
        <f>VLOOKUP(D7,Table12[[Name]:[Native]],3,FALSE)</f>
        <v>定海区</v>
      </c>
      <c r="G7" s="14" t="str">
        <f ca="1">VLOOKUP(F7,Table12[[Native]:[Population4]],5,FALSE)</f>
        <v>舟山市</v>
      </c>
    </row>
    <row r="8" spans="1:7" ht="15.75" thickBot="1" x14ac:dyDescent="0.3">
      <c r="A8" t="s">
        <v>2843</v>
      </c>
      <c r="B8" s="1" t="s">
        <v>2844</v>
      </c>
      <c r="C8" s="1" t="s">
        <v>11</v>
      </c>
      <c r="D8" s="1" t="s">
        <v>2842</v>
      </c>
      <c r="E8" s="4">
        <v>8468</v>
      </c>
      <c r="F8" s="1" t="str">
        <f>VLOOKUP(D8,Table12[[Name]:[Native]],3,FALSE)</f>
        <v>岱山县</v>
      </c>
      <c r="G8" s="14" t="str">
        <f ca="1">VLOOKUP(F8,Table12[[Native]:[Population4]],5,FALSE)</f>
        <v>舟山市</v>
      </c>
    </row>
    <row r="9" spans="1:7" ht="15.75" thickBot="1" x14ac:dyDescent="0.3">
      <c r="A9" t="s">
        <v>432</v>
      </c>
      <c r="B9" s="1" t="s">
        <v>2845</v>
      </c>
      <c r="C9" s="1" t="s">
        <v>11</v>
      </c>
      <c r="D9" s="1" t="s">
        <v>2842</v>
      </c>
      <c r="E9" s="4">
        <v>12138</v>
      </c>
      <c r="F9" s="1" t="str">
        <f>VLOOKUP(D9,Table12[[Name]:[Native]],3,FALSE)</f>
        <v>岱山县</v>
      </c>
      <c r="G9" s="14" t="str">
        <f ca="1">VLOOKUP(F9,Table12[[Native]:[Population4]],5,FALSE)</f>
        <v>舟山市</v>
      </c>
    </row>
    <row r="10" spans="1:7" ht="15.75" thickBot="1" x14ac:dyDescent="0.3">
      <c r="A10" t="s">
        <v>2846</v>
      </c>
      <c r="B10" s="1" t="s">
        <v>2847</v>
      </c>
      <c r="C10" s="1" t="s">
        <v>15</v>
      </c>
      <c r="D10" s="1" t="s">
        <v>2848</v>
      </c>
      <c r="E10" s="4">
        <v>83929</v>
      </c>
      <c r="F10" s="1" t="str">
        <f>VLOOKUP(D10,Table12[[Name]:[Native]],3,FALSE)</f>
        <v>普陀区</v>
      </c>
      <c r="G10" s="14" t="str">
        <f ca="1">VLOOKUP(F10,Table12[[Native]:[Population4]],5,FALSE)</f>
        <v>舟山市</v>
      </c>
    </row>
    <row r="11" spans="1:7" ht="15.75" thickBot="1" x14ac:dyDescent="0.3">
      <c r="A11" t="s">
        <v>2849</v>
      </c>
      <c r="B11" s="1" t="s">
        <v>2850</v>
      </c>
      <c r="C11" s="1" t="s">
        <v>11</v>
      </c>
      <c r="D11" s="1" t="s">
        <v>2848</v>
      </c>
      <c r="E11" s="4">
        <v>1506</v>
      </c>
      <c r="F11" s="1" t="str">
        <f>VLOOKUP(D11,Table12[[Name]:[Native]],3,FALSE)</f>
        <v>普陀区</v>
      </c>
      <c r="G11" s="14" t="str">
        <f ca="1">VLOOKUP(F11,Table12[[Native]:[Population4]],5,FALSE)</f>
        <v>舟山市</v>
      </c>
    </row>
    <row r="12" spans="1:7" ht="15.75" thickBot="1" x14ac:dyDescent="0.3">
      <c r="A12" t="s">
        <v>2851</v>
      </c>
      <c r="B12" s="1" t="s">
        <v>2852</v>
      </c>
      <c r="C12" s="1" t="s">
        <v>11</v>
      </c>
      <c r="D12" s="1" t="s">
        <v>2842</v>
      </c>
      <c r="E12" s="4">
        <v>15297</v>
      </c>
      <c r="F12" s="1" t="str">
        <f>VLOOKUP(D12,Table12[[Name]:[Native]],3,FALSE)</f>
        <v>岱山县</v>
      </c>
      <c r="G12" s="14" t="str">
        <f ca="1">VLOOKUP(F12,Table12[[Native]:[Population4]],5,FALSE)</f>
        <v>舟山市</v>
      </c>
    </row>
    <row r="13" spans="1:7" ht="15.75" thickBot="1" x14ac:dyDescent="0.3">
      <c r="A13" t="s">
        <v>2853</v>
      </c>
      <c r="B13" s="1" t="s">
        <v>2854</v>
      </c>
      <c r="C13" s="1" t="s">
        <v>11</v>
      </c>
      <c r="D13" s="1" t="s">
        <v>2832</v>
      </c>
      <c r="E13" s="4">
        <v>12241</v>
      </c>
      <c r="F13" s="1" t="str">
        <f>VLOOKUP(D13,Table12[[Name]:[Native]],3,FALSE)</f>
        <v>定海区</v>
      </c>
      <c r="G13" s="14" t="str">
        <f ca="1">VLOOKUP(F13,Table12[[Native]:[Population4]],5,FALSE)</f>
        <v>舟山市</v>
      </c>
    </row>
    <row r="14" spans="1:7" ht="15.75" thickBot="1" x14ac:dyDescent="0.3">
      <c r="A14" t="s">
        <v>2855</v>
      </c>
      <c r="B14" s="1" t="s">
        <v>2856</v>
      </c>
      <c r="C14" s="1" t="s">
        <v>11</v>
      </c>
      <c r="D14" s="1" t="s">
        <v>2842</v>
      </c>
      <c r="E14" s="4">
        <v>81439</v>
      </c>
      <c r="F14" s="1" t="str">
        <f>VLOOKUP(D14,Table12[[Name]:[Native]],3,FALSE)</f>
        <v>岱山县</v>
      </c>
      <c r="G14" s="14" t="str">
        <f ca="1">VLOOKUP(F14,Table12[[Native]:[Population4]],5,FALSE)</f>
        <v>舟山市</v>
      </c>
    </row>
    <row r="15" spans="1:7" ht="15.75" thickBot="1" x14ac:dyDescent="0.3">
      <c r="A15" t="s">
        <v>2857</v>
      </c>
      <c r="B15" s="1" t="s">
        <v>2858</v>
      </c>
      <c r="C15" s="1" t="s">
        <v>7</v>
      </c>
      <c r="D15" s="1" t="s">
        <v>2835</v>
      </c>
      <c r="E15" s="4">
        <v>7611</v>
      </c>
      <c r="F15" s="1" t="str">
        <f>VLOOKUP(D15,Table12[[Name]:[Native]],3,FALSE)</f>
        <v>嵊泗县</v>
      </c>
      <c r="G15" s="14" t="str">
        <f ca="1">VLOOKUP(F15,Table12[[Native]:[Population4]],5,FALSE)</f>
        <v>舟山市</v>
      </c>
    </row>
    <row r="16" spans="1:7" ht="15.75" thickBot="1" x14ac:dyDescent="0.3">
      <c r="A16" t="s">
        <v>2859</v>
      </c>
      <c r="B16" s="1" t="s">
        <v>2860</v>
      </c>
      <c r="C16" s="1" t="s">
        <v>7</v>
      </c>
      <c r="D16" s="1" t="s">
        <v>2835</v>
      </c>
      <c r="E16" s="4">
        <v>7041</v>
      </c>
      <c r="F16" s="1" t="str">
        <f>VLOOKUP(D16,Table12[[Name]:[Native]],3,FALSE)</f>
        <v>嵊泗县</v>
      </c>
      <c r="G16" s="14" t="str">
        <f ca="1">VLOOKUP(F16,Table12[[Native]:[Population4]],5,FALSE)</f>
        <v>舟山市</v>
      </c>
    </row>
    <row r="17" spans="1:7" ht="15.75" thickBot="1" x14ac:dyDescent="0.3">
      <c r="A17" t="s">
        <v>2861</v>
      </c>
      <c r="B17" s="1" t="s">
        <v>2862</v>
      </c>
      <c r="C17" s="1" t="s">
        <v>7</v>
      </c>
      <c r="D17" s="1" t="s">
        <v>2835</v>
      </c>
      <c r="E17" s="4">
        <v>977</v>
      </c>
      <c r="F17" s="1" t="str">
        <f>VLOOKUP(D17,Table12[[Name]:[Native]],3,FALSE)</f>
        <v>嵊泗县</v>
      </c>
      <c r="G17" s="14" t="str">
        <f ca="1">VLOOKUP(F17,Table12[[Native]:[Population4]],5,FALSE)</f>
        <v>舟山市</v>
      </c>
    </row>
    <row r="18" spans="1:7" ht="15.75" thickBot="1" x14ac:dyDescent="0.3">
      <c r="A18" t="s">
        <v>2863</v>
      </c>
      <c r="B18" s="1" t="s">
        <v>2864</v>
      </c>
      <c r="C18" s="1" t="s">
        <v>15</v>
      </c>
      <c r="D18" s="1" t="s">
        <v>2832</v>
      </c>
      <c r="E18" s="4">
        <v>30049</v>
      </c>
      <c r="F18" s="1" t="str">
        <f>VLOOKUP(D18,Table12[[Name]:[Native]],3,FALSE)</f>
        <v>定海区</v>
      </c>
      <c r="G18" s="14" t="str">
        <f ca="1">VLOOKUP(F18,Table12[[Native]:[Population4]],5,FALSE)</f>
        <v>舟山市</v>
      </c>
    </row>
    <row r="19" spans="1:7" ht="15.75" thickBot="1" x14ac:dyDescent="0.3">
      <c r="A19" t="s">
        <v>2865</v>
      </c>
      <c r="B19" s="1" t="s">
        <v>616</v>
      </c>
      <c r="C19" s="1" t="s">
        <v>15</v>
      </c>
      <c r="D19" s="1" t="s">
        <v>2832</v>
      </c>
      <c r="E19" s="4">
        <v>53025</v>
      </c>
      <c r="F19" s="1" t="str">
        <f>VLOOKUP(D19,Table12[[Name]:[Native]],3,FALSE)</f>
        <v>定海区</v>
      </c>
      <c r="G19" s="14" t="str">
        <f ca="1">VLOOKUP(F19,Table12[[Native]:[Population4]],5,FALSE)</f>
        <v>舟山市</v>
      </c>
    </row>
    <row r="20" spans="1:7" ht="15.75" thickBot="1" x14ac:dyDescent="0.3">
      <c r="A20" t="s">
        <v>2866</v>
      </c>
      <c r="B20" s="1" t="s">
        <v>2867</v>
      </c>
      <c r="C20" s="1" t="s">
        <v>11</v>
      </c>
      <c r="D20" s="1" t="s">
        <v>2832</v>
      </c>
      <c r="E20" s="4">
        <v>38106</v>
      </c>
      <c r="F20" s="1" t="str">
        <f>VLOOKUP(D20,Table12[[Name]:[Native]],3,FALSE)</f>
        <v>定海区</v>
      </c>
      <c r="G20" s="14" t="str">
        <f ca="1">VLOOKUP(F20,Table12[[Native]:[Population4]],5,FALSE)</f>
        <v>舟山市</v>
      </c>
    </row>
    <row r="21" spans="1:7" ht="15.75" thickBot="1" x14ac:dyDescent="0.3">
      <c r="A21" t="s">
        <v>2868</v>
      </c>
      <c r="B21" s="1" t="s">
        <v>2869</v>
      </c>
      <c r="C21" s="1" t="s">
        <v>15</v>
      </c>
      <c r="D21" s="1" t="s">
        <v>2832</v>
      </c>
      <c r="E21" s="4">
        <v>55897</v>
      </c>
      <c r="F21" s="1" t="str">
        <f>VLOOKUP(D21,Table12[[Name]:[Native]],3,FALSE)</f>
        <v>定海区</v>
      </c>
      <c r="G21" s="14" t="str">
        <f ca="1">VLOOKUP(F21,Table12[[Native]:[Population4]],5,FALSE)</f>
        <v>舟山市</v>
      </c>
    </row>
    <row r="22" spans="1:7" ht="15.75" thickBot="1" x14ac:dyDescent="0.3">
      <c r="A22" t="s">
        <v>2870</v>
      </c>
      <c r="B22" s="1" t="s">
        <v>2871</v>
      </c>
      <c r="C22" s="1" t="s">
        <v>11</v>
      </c>
      <c r="D22" s="1" t="s">
        <v>2848</v>
      </c>
      <c r="E22" s="4">
        <v>61325</v>
      </c>
      <c r="F22" s="1" t="str">
        <f>VLOOKUP(D22,Table12[[Name]:[Native]],3,FALSE)</f>
        <v>普陀区</v>
      </c>
      <c r="G22" s="14" t="str">
        <f ca="1">VLOOKUP(F22,Table12[[Native]:[Population4]],5,FALSE)</f>
        <v>舟山市</v>
      </c>
    </row>
    <row r="23" spans="1:7" ht="15.75" thickBot="1" x14ac:dyDescent="0.3">
      <c r="A23" t="s">
        <v>2872</v>
      </c>
      <c r="B23" s="1" t="s">
        <v>2873</v>
      </c>
      <c r="C23" s="1" t="s">
        <v>15</v>
      </c>
      <c r="D23" s="1" t="s">
        <v>2832</v>
      </c>
      <c r="E23" s="4">
        <v>10929</v>
      </c>
      <c r="F23" s="1" t="str">
        <f>VLOOKUP(D23,Table12[[Name]:[Native]],3,FALSE)</f>
        <v>定海区</v>
      </c>
      <c r="G23" s="14" t="str">
        <f ca="1">VLOOKUP(F23,Table12[[Native]:[Population4]],5,FALSE)</f>
        <v>舟山市</v>
      </c>
    </row>
    <row r="24" spans="1:7" ht="15.75" thickBot="1" x14ac:dyDescent="0.3">
      <c r="A24" t="s">
        <v>2874</v>
      </c>
      <c r="B24" s="1" t="s">
        <v>2875</v>
      </c>
      <c r="C24" s="1" t="s">
        <v>11</v>
      </c>
      <c r="D24" s="1" t="s">
        <v>2848</v>
      </c>
      <c r="E24" s="4">
        <v>10411</v>
      </c>
      <c r="F24" s="1" t="str">
        <f>VLOOKUP(D24,Table12[[Name]:[Native]],3,FALSE)</f>
        <v>普陀区</v>
      </c>
      <c r="G24" s="14" t="str">
        <f ca="1">VLOOKUP(F24,Table12[[Native]:[Population4]],5,FALSE)</f>
        <v>舟山市</v>
      </c>
    </row>
    <row r="25" spans="1:7" ht="15.75" thickBot="1" x14ac:dyDescent="0.3">
      <c r="A25" t="s">
        <v>2876</v>
      </c>
      <c r="B25" s="1" t="s">
        <v>2877</v>
      </c>
      <c r="C25" s="1" t="s">
        <v>11</v>
      </c>
      <c r="D25" s="1" t="s">
        <v>2842</v>
      </c>
      <c r="E25" s="4">
        <v>53216</v>
      </c>
      <c r="F25" s="1" t="str">
        <f>VLOOKUP(D25,Table12[[Name]:[Native]],3,FALSE)</f>
        <v>岱山县</v>
      </c>
      <c r="G25" s="14" t="str">
        <f ca="1">VLOOKUP(F25,Table12[[Native]:[Population4]],5,FALSE)</f>
        <v>舟山市</v>
      </c>
    </row>
    <row r="26" spans="1:7" ht="15.75" thickBot="1" x14ac:dyDescent="0.3">
      <c r="A26" t="s">
        <v>1535</v>
      </c>
      <c r="B26" s="1" t="s">
        <v>2878</v>
      </c>
      <c r="C26" s="1" t="s">
        <v>11</v>
      </c>
      <c r="D26" s="1" t="s">
        <v>2835</v>
      </c>
      <c r="E26" s="4">
        <v>8509</v>
      </c>
      <c r="F26" s="1" t="str">
        <f>VLOOKUP(D26,Table12[[Name]:[Native]],3,FALSE)</f>
        <v>嵊泗县</v>
      </c>
      <c r="G26" s="14" t="str">
        <f ca="1">VLOOKUP(F26,Table12[[Native]:[Population4]],5,FALSE)</f>
        <v>舟山市</v>
      </c>
    </row>
    <row r="27" spans="1:7" ht="15.75" thickBot="1" x14ac:dyDescent="0.3">
      <c r="A27" t="s">
        <v>2879</v>
      </c>
      <c r="B27" s="1" t="s">
        <v>2880</v>
      </c>
      <c r="C27" s="1" t="s">
        <v>15</v>
      </c>
      <c r="D27" s="1" t="s">
        <v>2848</v>
      </c>
      <c r="E27" s="4">
        <v>148610</v>
      </c>
      <c r="F27" s="1" t="str">
        <f>VLOOKUP(D27,Table12[[Name]:[Native]],3,FALSE)</f>
        <v>普陀区</v>
      </c>
      <c r="G27" s="14" t="str">
        <f ca="1">VLOOKUP(F27,Table12[[Native]:[Population4]],5,FALSE)</f>
        <v>舟山市</v>
      </c>
    </row>
    <row r="28" spans="1:7" ht="15.75" thickBot="1" x14ac:dyDescent="0.3">
      <c r="A28" t="s">
        <v>2881</v>
      </c>
      <c r="B28" s="1" t="s">
        <v>2882</v>
      </c>
      <c r="C28" s="1" t="s">
        <v>15</v>
      </c>
      <c r="D28" s="1" t="s">
        <v>2832</v>
      </c>
      <c r="E28" s="4">
        <v>14976</v>
      </c>
      <c r="F28" s="1" t="str">
        <f>VLOOKUP(D28,Table12[[Name]:[Native]],3,FALSE)</f>
        <v>定海区</v>
      </c>
      <c r="G28" s="14" t="str">
        <f ca="1">VLOOKUP(F28,Table12[[Native]:[Population4]],5,FALSE)</f>
        <v>舟山市</v>
      </c>
    </row>
    <row r="29" spans="1:7" ht="15.75" thickBot="1" x14ac:dyDescent="0.3">
      <c r="A29" t="s">
        <v>2883</v>
      </c>
      <c r="B29" s="1" t="s">
        <v>2884</v>
      </c>
      <c r="C29" s="1" t="s">
        <v>11</v>
      </c>
      <c r="D29" s="1" t="s">
        <v>2848</v>
      </c>
      <c r="E29" s="4">
        <v>10867</v>
      </c>
      <c r="F29" s="1" t="str">
        <f>VLOOKUP(D29,Table12[[Name]:[Native]],3,FALSE)</f>
        <v>普陀区</v>
      </c>
      <c r="G29" s="14" t="str">
        <f ca="1">VLOOKUP(F29,Table12[[Native]:[Population4]],5,FALSE)</f>
        <v>舟山市</v>
      </c>
    </row>
    <row r="30" spans="1:7" ht="15.75" thickBot="1" x14ac:dyDescent="0.3">
      <c r="A30" t="s">
        <v>2885</v>
      </c>
      <c r="B30" s="1" t="s">
        <v>2886</v>
      </c>
      <c r="C30" s="1" t="s">
        <v>7</v>
      </c>
      <c r="D30" s="1" t="s">
        <v>2835</v>
      </c>
      <c r="E30" s="4">
        <v>3319</v>
      </c>
      <c r="F30" s="1" t="str">
        <f>VLOOKUP(D30,Table12[[Name]:[Native]],3,FALSE)</f>
        <v>嵊泗县</v>
      </c>
      <c r="G30" s="14" t="str">
        <f ca="1">VLOOKUP(F30,Table12[[Native]:[Population4]],5,FALSE)</f>
        <v>舟山市</v>
      </c>
    </row>
    <row r="31" spans="1:7" ht="15.75" thickBot="1" x14ac:dyDescent="0.3">
      <c r="A31" t="s">
        <v>2887</v>
      </c>
      <c r="B31" s="1" t="s">
        <v>2888</v>
      </c>
      <c r="C31" s="1" t="s">
        <v>15</v>
      </c>
      <c r="D31" s="1" t="s">
        <v>2832</v>
      </c>
      <c r="E31" s="4">
        <v>15193</v>
      </c>
      <c r="F31" s="1" t="str">
        <f>VLOOKUP(D31,Table12[[Name]:[Native]],3,FALSE)</f>
        <v>定海区</v>
      </c>
      <c r="G31" s="14" t="str">
        <f ca="1">VLOOKUP(F31,Table12[[Native]:[Population4]],5,FALSE)</f>
        <v>舟山市</v>
      </c>
    </row>
    <row r="32" spans="1:7" ht="15.75" thickBot="1" x14ac:dyDescent="0.3">
      <c r="A32" t="s">
        <v>2889</v>
      </c>
      <c r="B32" s="1" t="s">
        <v>2890</v>
      </c>
      <c r="C32" s="1" t="s">
        <v>11</v>
      </c>
      <c r="D32" s="1" t="s">
        <v>2848</v>
      </c>
      <c r="E32" s="4">
        <v>13111</v>
      </c>
      <c r="F32" s="1" t="str">
        <f>VLOOKUP(D32,Table12[[Name]:[Native]],3,FALSE)</f>
        <v>普陀区</v>
      </c>
      <c r="G32" s="14" t="str">
        <f ca="1">VLOOKUP(F32,Table12[[Native]:[Population4]],5,FALSE)</f>
        <v>舟山市</v>
      </c>
    </row>
    <row r="33" spans="1:7" ht="15.75" thickBot="1" x14ac:dyDescent="0.3">
      <c r="A33" t="s">
        <v>2891</v>
      </c>
      <c r="B33" s="1" t="s">
        <v>2892</v>
      </c>
      <c r="C33" s="1" t="s">
        <v>7</v>
      </c>
      <c r="D33" s="1" t="s">
        <v>2842</v>
      </c>
      <c r="E33" s="4">
        <v>10106</v>
      </c>
      <c r="F33" s="1" t="str">
        <f>VLOOKUP(D33,Table12[[Name]:[Native]],3,FALSE)</f>
        <v>岱山县</v>
      </c>
      <c r="G33" s="14" t="str">
        <f ca="1">VLOOKUP(F33,Table12[[Native]:[Population4]],5,FALSE)</f>
        <v>舟山市</v>
      </c>
    </row>
    <row r="34" spans="1:7" ht="15.75" thickBot="1" x14ac:dyDescent="0.3">
      <c r="A34" t="s">
        <v>2893</v>
      </c>
      <c r="B34" s="1" t="s">
        <v>2894</v>
      </c>
      <c r="C34" s="1" t="s">
        <v>15</v>
      </c>
      <c r="D34" s="1" t="s">
        <v>2832</v>
      </c>
      <c r="E34" s="4">
        <v>28083</v>
      </c>
      <c r="F34" s="1" t="str">
        <f>VLOOKUP(D34,Table12[[Name]:[Native]],3,FALSE)</f>
        <v>定海区</v>
      </c>
      <c r="G34" s="14" t="str">
        <f ca="1">VLOOKUP(F34,Table12[[Native]:[Population4]],5,FALSE)</f>
        <v>舟山市</v>
      </c>
    </row>
    <row r="35" spans="1:7" ht="15.75" thickBot="1" x14ac:dyDescent="0.3">
      <c r="A35" t="s">
        <v>2895</v>
      </c>
      <c r="B35" s="1" t="s">
        <v>2896</v>
      </c>
      <c r="C35" s="1" t="s">
        <v>11</v>
      </c>
      <c r="D35" s="1" t="s">
        <v>2835</v>
      </c>
      <c r="E35" s="4">
        <v>9732</v>
      </c>
      <c r="F35" s="1" t="str">
        <f>VLOOKUP(D35,Table12[[Name]:[Native]],3,FALSE)</f>
        <v>嵊泗县</v>
      </c>
      <c r="G35" s="14" t="str">
        <f ca="1">VLOOKUP(F35,Table12[[Native]:[Population4]],5,FALSE)</f>
        <v>舟山市</v>
      </c>
    </row>
    <row r="36" spans="1:7" ht="15.75" thickBot="1" x14ac:dyDescent="0.3">
      <c r="A36" t="s">
        <v>2897</v>
      </c>
      <c r="B36" s="1" t="s">
        <v>2898</v>
      </c>
      <c r="C36" s="1" t="s">
        <v>15</v>
      </c>
      <c r="D36" s="1" t="s">
        <v>2848</v>
      </c>
      <c r="E36" s="4">
        <v>20057</v>
      </c>
      <c r="F36" s="1" t="str">
        <f>VLOOKUP(D36,Table12[[Name]:[Native]],3,FALSE)</f>
        <v>普陀区</v>
      </c>
      <c r="G36" s="14" t="str">
        <f ca="1">VLOOKUP(F36,Table12[[Native]:[Population4]],5,FALSE)</f>
        <v>舟山市</v>
      </c>
    </row>
    <row r="37" spans="1:7" ht="15.75" thickBot="1" x14ac:dyDescent="0.3">
      <c r="A37" t="s">
        <v>2899</v>
      </c>
      <c r="B37" s="1" t="s">
        <v>2900</v>
      </c>
      <c r="C37" s="1" t="s">
        <v>15</v>
      </c>
      <c r="D37" s="1" t="s">
        <v>2848</v>
      </c>
      <c r="E37" s="4">
        <v>28989</v>
      </c>
      <c r="F37" s="10" t="str">
        <f>VLOOKUP(D37,Table12[[Name]:[Native]],3,FALSE)</f>
        <v>普陀区</v>
      </c>
      <c r="G37" s="14" t="str">
        <f ca="1">VLOOKUP(F37,Table12[[Native]:[Population4]],5,FALSE)</f>
        <v>舟山市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180FC-CEBE-4FA0-8D3D-44DC7FC1C1F2}">
  <dimension ref="A1:P1459"/>
  <sheetViews>
    <sheetView tabSelected="1" workbookViewId="0">
      <selection activeCell="P2" sqref="P2:P1459"/>
    </sheetView>
  </sheetViews>
  <sheetFormatPr defaultRowHeight="15" x14ac:dyDescent="0.25"/>
  <cols>
    <col min="1" max="9" width="11.28515625" customWidth="1"/>
  </cols>
  <sheetData>
    <row r="1" spans="1:16" x14ac:dyDescent="0.25">
      <c r="A1" t="s">
        <v>3023</v>
      </c>
      <c r="B1" t="s">
        <v>3033</v>
      </c>
      <c r="C1" t="s">
        <v>3636</v>
      </c>
      <c r="D1" t="s">
        <v>3025</v>
      </c>
      <c r="E1" t="s">
        <v>3026</v>
      </c>
      <c r="F1" t="s">
        <v>3027</v>
      </c>
      <c r="G1" t="s">
        <v>3028</v>
      </c>
      <c r="H1" t="s">
        <v>3029</v>
      </c>
      <c r="I1" t="s">
        <v>3030</v>
      </c>
      <c r="J1" t="s">
        <v>3031</v>
      </c>
      <c r="K1" t="s">
        <v>3032</v>
      </c>
      <c r="L1" t="s">
        <v>3637</v>
      </c>
      <c r="M1" t="s">
        <v>3638</v>
      </c>
      <c r="N1" t="s">
        <v>3639</v>
      </c>
      <c r="O1" t="s">
        <v>5091</v>
      </c>
      <c r="P1" t="s">
        <v>5092</v>
      </c>
    </row>
    <row r="2" spans="1:16" hidden="1" x14ac:dyDescent="0.25">
      <c r="A2" t="s">
        <v>420</v>
      </c>
      <c r="B2" t="str">
        <f>IF(COUNTIF(A:A,A2)&gt;1,_xlfn.CONCAT(A2," (",N2,")"),A2)</f>
        <v>Àishān Jiēdào</v>
      </c>
      <c r="C2" t="str">
        <f>IF(COUNTIF(B:B,B2)&gt;1,_xlfn.CONCAT(A2," (",M2,")"),B2)</f>
        <v>Àishān Jiēdào</v>
      </c>
      <c r="D2" t="s">
        <v>421</v>
      </c>
      <c r="E2" t="s">
        <v>15</v>
      </c>
      <c r="F2" t="str">
        <f>_xlfn.CONCAT(D2,", ",H2,", ",I2,", ","浙江省")</f>
        <v>爱山街道, 吴兴区, 湖州市, 浙江省</v>
      </c>
      <c r="G2">
        <v>15318</v>
      </c>
      <c r="H2" t="s">
        <v>2927</v>
      </c>
      <c r="I2" t="s">
        <v>2922</v>
      </c>
      <c r="J2">
        <f>VLOOKUP(F2,[1]!china_towns_second__2[[Column1]:[Y]],3,FALSE)</f>
        <v>30.869387810645801</v>
      </c>
      <c r="K2">
        <f>VLOOKUP(F2,[1]!china_towns_second__2[[Column1]:[Y]],2,FALSE)</f>
        <v>120.08990249999999</v>
      </c>
      <c r="L2" t="s">
        <v>3640</v>
      </c>
      <c r="M2" t="str">
        <f>VLOOKUP(H2,CHOOSE({1,2},Table12[Native],Table12[Name]),2,0)</f>
        <v>Wúxīng Qū</v>
      </c>
      <c r="N2" s="15" t="str">
        <f>VLOOKUP(I2,CHOOSE({1,2},Table12[Native],Table12[Name]),2,0)</f>
        <v>Húzhōu Shì</v>
      </c>
      <c r="O2" s="15" t="str">
        <f t="shared" ref="O2:O65" si="0">_xlfn.CONCAT(L2," (",N2,")")</f>
        <v>Aishan Jiedao (Húzhōu Shì)</v>
      </c>
      <c r="P2" s="15" t="str">
        <f t="shared" ref="P2:P65" si="1">IF(COUNTIF(O:O,O2)&gt;1,_xlfn.CONCAT(L2," (",M2,")"),O2)</f>
        <v>Aishan Jiedao (Húzhōu Shì)</v>
      </c>
    </row>
    <row r="3" spans="1:16" hidden="1" x14ac:dyDescent="0.25">
      <c r="A3" t="s">
        <v>1829</v>
      </c>
      <c r="B3" t="str">
        <f>IF(COUNTIF(A:A,A3)&gt;1,_xlfn.CONCAT(A3," (",N3,")"),A3)</f>
        <v>Ānchāng Jiēdào</v>
      </c>
      <c r="C3" t="str">
        <f>IF(COUNTIF(B:B,B3)&gt;1,_xlfn.CONCAT(A3," (",M3,")"),B3)</f>
        <v>Ānchāng Jiēdào</v>
      </c>
      <c r="D3" t="s">
        <v>1830</v>
      </c>
      <c r="E3" t="s">
        <v>15</v>
      </c>
      <c r="F3" t="str">
        <f>_xlfn.CONCAT(D3,", ",H3,", ",I3,", ","浙江省")</f>
        <v>安昌街道, 柯桥区, 绍兴市, 浙江省</v>
      </c>
      <c r="G3">
        <v>60936</v>
      </c>
      <c r="H3" t="s">
        <v>2982</v>
      </c>
      <c r="I3" t="s">
        <v>2981</v>
      </c>
      <c r="J3" t="e">
        <f>VLOOKUP(F3,[1]!china_towns_second__2[[Column1]:[Y]],3,FALSE)</f>
        <v>#N/A</v>
      </c>
      <c r="K3" t="e">
        <f>VLOOKUP(F3,[1]!china_towns_second__2[[Column1]:[Y]],2,FALSE)</f>
        <v>#N/A</v>
      </c>
      <c r="L3" t="s">
        <v>3641</v>
      </c>
      <c r="M3" t="str">
        <f>VLOOKUP(H3,CHOOSE({1,2},Table12[Native],Table12[Name]),2,0)</f>
        <v>Kēqiáo Qū</v>
      </c>
      <c r="N3" s="15" t="str">
        <f>VLOOKUP(I3,CHOOSE({1,2},Table12[Native],Table12[Name]),2,0)</f>
        <v>Shàoxīng Shì</v>
      </c>
      <c r="O3" s="15" t="str">
        <f t="shared" si="0"/>
        <v>Anchang Jiedao (Shàoxīng Shì)</v>
      </c>
      <c r="P3" s="15" t="str">
        <f t="shared" si="1"/>
        <v>Anchang Jiedao (Shàoxīng Shì)</v>
      </c>
    </row>
    <row r="4" spans="1:16" hidden="1" x14ac:dyDescent="0.25">
      <c r="A4" t="s">
        <v>701</v>
      </c>
      <c r="B4" t="str">
        <f>IF(COUNTIF(A:A,A4)&gt;1,_xlfn.CONCAT(A4," (",N4,")"),A4)</f>
        <v>Āndì Zhèn</v>
      </c>
      <c r="C4" t="str">
        <f>IF(COUNTIF(B:B,B4)&gt;1,_xlfn.CONCAT(A4," (",M4,")"),B4)</f>
        <v>Āndì Zhèn</v>
      </c>
      <c r="D4" t="s">
        <v>702</v>
      </c>
      <c r="E4" t="s">
        <v>11</v>
      </c>
      <c r="F4" t="str">
        <f>_xlfn.CONCAT(D4,", ",H4,", ",I4,", ","浙江省")</f>
        <v>安地镇, 婺城区, 金华市, 浙江省</v>
      </c>
      <c r="G4">
        <v>9822</v>
      </c>
      <c r="H4" t="s">
        <v>2944</v>
      </c>
      <c r="I4" t="s">
        <v>2938</v>
      </c>
      <c r="J4">
        <f>VLOOKUP(F4,[1]!china_towns_second__2[[Column1]:[Y]],3,FALSE)</f>
        <v>28.932183005289001</v>
      </c>
      <c r="K4">
        <f>VLOOKUP(F4,[1]!china_towns_second__2[[Column1]:[Y]],2,FALSE)</f>
        <v>119.61829659999999</v>
      </c>
      <c r="L4" t="s">
        <v>3642</v>
      </c>
      <c r="M4" t="str">
        <f>VLOOKUP(H4,CHOOSE({1,2},Table12[Native],Table12[Name]),2,0)</f>
        <v>Wùchéng Qū</v>
      </c>
      <c r="N4" s="15" t="str">
        <f>VLOOKUP(I4,CHOOSE({1,2},Table12[Native],Table12[Name]),2,0)</f>
        <v>Jīnhuá Shì</v>
      </c>
      <c r="O4" s="15" t="str">
        <f t="shared" si="0"/>
        <v>Andi Zhen (Jīnhuá Shì)</v>
      </c>
      <c r="P4" s="15" t="str">
        <f t="shared" si="1"/>
        <v>Andi Zhen (Jīnhuá Shì)</v>
      </c>
    </row>
    <row r="5" spans="1:16" hidden="1" x14ac:dyDescent="0.25">
      <c r="A5" t="s">
        <v>1336</v>
      </c>
      <c r="B5" t="str">
        <f>IF(COUNTIF(A:A,A5)&gt;1,_xlfn.CONCAT(A5," (",N5,")"),A5)</f>
        <v>Āndōng Zhèn</v>
      </c>
      <c r="C5" t="str">
        <f>IF(COUNTIF(B:B,B5)&gt;1,_xlfn.CONCAT(A5," (",M5,")"),B5)</f>
        <v>Āndōng Zhèn</v>
      </c>
      <c r="D5" t="s">
        <v>1337</v>
      </c>
      <c r="E5" t="s">
        <v>11</v>
      </c>
      <c r="F5" t="str">
        <f>_xlfn.CONCAT(D5,", ",H5,", ",I5,", ","浙江省")</f>
        <v>庵东镇, 慈溪市, 宁波市, 浙江省</v>
      </c>
      <c r="G5">
        <v>47021</v>
      </c>
      <c r="H5" t="s">
        <v>2963</v>
      </c>
      <c r="I5" t="s">
        <v>2961</v>
      </c>
      <c r="J5">
        <f>VLOOKUP(F5,[1]!china_towns_second__2[[Column1]:[Y]],3,FALSE)</f>
        <v>30.338462522272501</v>
      </c>
      <c r="K5">
        <f>VLOOKUP(F5,[1]!china_towns_second__2[[Column1]:[Y]],2,FALSE)</f>
        <v>121.19800360000001</v>
      </c>
      <c r="L5" t="s">
        <v>3643</v>
      </c>
      <c r="M5" t="str">
        <f>VLOOKUP(H5,CHOOSE({1,2},Table12[Native],Table12[Name]),2,0)</f>
        <v>Cíxī Shì</v>
      </c>
      <c r="N5" s="15" t="str">
        <f>VLOOKUP(I5,CHOOSE({1,2},Table12[Native],Table12[Name]),2,0)</f>
        <v>Níngbō Shì</v>
      </c>
      <c r="O5" s="15" t="str">
        <f t="shared" si="0"/>
        <v>Andong Zhen (Níngbō Shì)</v>
      </c>
      <c r="P5" s="15" t="str">
        <f t="shared" si="1"/>
        <v>Andong Zhen (Níngbō Shì)</v>
      </c>
    </row>
    <row r="6" spans="1:16" hidden="1" x14ac:dyDescent="0.25">
      <c r="A6" t="s">
        <v>1832</v>
      </c>
      <c r="B6" t="str">
        <f>IF(COUNTIF(A:A,A6)&gt;1,_xlfn.CONCAT(A6," (",N6,")"),A6)</f>
        <v>Ānhuá Zhèn</v>
      </c>
      <c r="C6" t="str">
        <f>IF(COUNTIF(B:B,B6)&gt;1,_xlfn.CONCAT(A6," (",M6,")"),B6)</f>
        <v>Ānhuá Zhèn</v>
      </c>
      <c r="D6" t="s">
        <v>1833</v>
      </c>
      <c r="E6" t="s">
        <v>11</v>
      </c>
      <c r="F6" t="str">
        <f>_xlfn.CONCAT(D6,", ",H6,", ",I6,", ","浙江省")</f>
        <v>安华镇, 诸暨市, 绍兴市, 浙江省</v>
      </c>
      <c r="G6">
        <v>33076</v>
      </c>
      <c r="H6" t="s">
        <v>2987</v>
      </c>
      <c r="I6" t="s">
        <v>2981</v>
      </c>
      <c r="J6">
        <f>VLOOKUP(F6,[1]!china_towns_second__2[[Column1]:[Y]],3,FALSE)</f>
        <v>29.538916262197699</v>
      </c>
      <c r="K6">
        <f>VLOOKUP(F6,[1]!china_towns_second__2[[Column1]:[Y]],2,FALSE)</f>
        <v>120.1292748</v>
      </c>
      <c r="L6" t="s">
        <v>3644</v>
      </c>
      <c r="M6" t="str">
        <f>VLOOKUP(H6,CHOOSE({1,2},Table12[Native],Table12[Name]),2,0)</f>
        <v>Zhūjì Shì</v>
      </c>
      <c r="N6" s="15" t="str">
        <f>VLOOKUP(I6,CHOOSE({1,2},Table12[Native],Table12[Name]),2,0)</f>
        <v>Shàoxīng Shì</v>
      </c>
      <c r="O6" s="15" t="str">
        <f t="shared" si="0"/>
        <v>Anhua Zhen (Shàoxīng Shì)</v>
      </c>
      <c r="P6" s="15" t="str">
        <f t="shared" si="1"/>
        <v>Anhua Zhen (Shàoxīng Shì)</v>
      </c>
    </row>
    <row r="7" spans="1:16" hidden="1" x14ac:dyDescent="0.25">
      <c r="A7" t="s">
        <v>995</v>
      </c>
      <c r="B7" t="str">
        <f>IF(COUNTIF(A:A,A7)&gt;1,_xlfn.CONCAT(A7," (",N7,")"),A7)</f>
        <v>Ānkŏu Xiāng</v>
      </c>
      <c r="C7" t="str">
        <f>IF(COUNTIF(B:B,B7)&gt;1,_xlfn.CONCAT(A7," (",M7,")"),B7)</f>
        <v>Ānkŏu Xiāng</v>
      </c>
      <c r="D7" t="s">
        <v>996</v>
      </c>
      <c r="E7" t="s">
        <v>7</v>
      </c>
      <c r="F7" t="str">
        <f>_xlfn.CONCAT(D7,", ",H7,", ",I7,", ","浙江省")</f>
        <v>垵口乡, 遂昌县, 丽水市, 浙江省</v>
      </c>
      <c r="G7">
        <v>4402</v>
      </c>
      <c r="H7" t="s">
        <v>2958</v>
      </c>
      <c r="I7" t="s">
        <v>2949</v>
      </c>
      <c r="J7" t="e">
        <f>VLOOKUP(F7,[1]!china_towns_second__2[[Column1]:[Y]],3,FALSE)</f>
        <v>#N/A</v>
      </c>
      <c r="K7" t="e">
        <f>VLOOKUP(F7,[1]!china_towns_second__2[[Column1]:[Y]],2,FALSE)</f>
        <v>#N/A</v>
      </c>
      <c r="L7" t="s">
        <v>3645</v>
      </c>
      <c r="M7" t="str">
        <f>VLOOKUP(H7,CHOOSE({1,2},Table12[Native],Table12[Name]),2,0)</f>
        <v>Suìchāng Xiàn</v>
      </c>
      <c r="N7" s="15" t="str">
        <f>VLOOKUP(I7,CHOOSE({1,2},Table12[Native],Table12[Name]),2,0)</f>
        <v>Lìshuĭ Shì</v>
      </c>
      <c r="O7" s="15" t="str">
        <f t="shared" si="0"/>
        <v>Ankou Xiang (Lìshuĭ Shì)</v>
      </c>
      <c r="P7" s="15" t="str">
        <f t="shared" si="1"/>
        <v>Ankou Xiang (Lìshuĭ Shì)</v>
      </c>
    </row>
    <row r="8" spans="1:16" hidden="1" x14ac:dyDescent="0.25">
      <c r="A8" t="s">
        <v>2037</v>
      </c>
      <c r="B8" t="str">
        <f>IF(COUNTIF(A:A,A8)&gt;1,_xlfn.CONCAT(A8," (",N8,")"),A8)</f>
        <v>Ānlĭng Xiāng</v>
      </c>
      <c r="C8" t="str">
        <f>IF(COUNTIF(B:B,B8)&gt;1,_xlfn.CONCAT(A8," (",M8,")"),B8)</f>
        <v>Ānlĭng Xiāng</v>
      </c>
      <c r="D8" t="s">
        <v>2038</v>
      </c>
      <c r="E8" t="s">
        <v>7</v>
      </c>
      <c r="F8" t="str">
        <f>_xlfn.CONCAT(D8,", ",H8,", ",I8,", ","浙江省")</f>
        <v>安岭乡, 仙居县, 台州市, 浙江省</v>
      </c>
      <c r="G8">
        <v>4829</v>
      </c>
      <c r="H8" t="s">
        <v>2997</v>
      </c>
      <c r="I8" t="s">
        <v>2989</v>
      </c>
      <c r="J8" t="e">
        <f>VLOOKUP(F8,[1]!china_towns_second__2[[Column1]:[Y]],3,FALSE)</f>
        <v>#N/A</v>
      </c>
      <c r="K8" t="e">
        <f>VLOOKUP(F8,[1]!china_towns_second__2[[Column1]:[Y]],2,FALSE)</f>
        <v>#N/A</v>
      </c>
      <c r="L8" t="s">
        <v>3646</v>
      </c>
      <c r="M8" t="str">
        <f>VLOOKUP(H8,CHOOSE({1,2},Table12[Native],Table12[Name]),2,0)</f>
        <v>Xiānjū Xiàn</v>
      </c>
      <c r="N8" s="15" t="str">
        <f>VLOOKUP(I8,CHOOSE({1,2},Table12[Native],Table12[Name]),2,0)</f>
        <v>Táizhōu Shì</v>
      </c>
      <c r="O8" s="15" t="str">
        <f t="shared" si="0"/>
        <v>Anling Xiang (Táizhōu Shì)</v>
      </c>
      <c r="P8" s="15" t="str">
        <f t="shared" si="1"/>
        <v>Anling Xiang (Táizhōu Shì)</v>
      </c>
    </row>
    <row r="9" spans="1:16" hidden="1" x14ac:dyDescent="0.25">
      <c r="A9" t="s">
        <v>998</v>
      </c>
      <c r="B9" t="str">
        <f>IF(COUNTIF(A:A,A9)&gt;1,_xlfn.CONCAT(A9," (",N9,")"),A9)</f>
        <v>Ānmín Xiāng</v>
      </c>
      <c r="C9" t="str">
        <f>IF(COUNTIF(B:B,B9)&gt;1,_xlfn.CONCAT(A9," (",M9,")"),B9)</f>
        <v>Ānmín Xiāng</v>
      </c>
      <c r="D9" t="s">
        <v>999</v>
      </c>
      <c r="E9" t="s">
        <v>7</v>
      </c>
      <c r="F9" t="str">
        <f>_xlfn.CONCAT(D9,", ",H9,", ",I9,", ","浙江省")</f>
        <v>安民乡, 松阳县, 丽水市, 浙江省</v>
      </c>
      <c r="G9">
        <v>1955</v>
      </c>
      <c r="H9" t="s">
        <v>2957</v>
      </c>
      <c r="I9" t="s">
        <v>2949</v>
      </c>
      <c r="J9" t="e">
        <f>VLOOKUP(F9,[1]!china_towns_second__2[[Column1]:[Y]],3,FALSE)</f>
        <v>#N/A</v>
      </c>
      <c r="K9" t="e">
        <f>VLOOKUP(F9,[1]!china_towns_second__2[[Column1]:[Y]],2,FALSE)</f>
        <v>#N/A</v>
      </c>
      <c r="L9" t="s">
        <v>3647</v>
      </c>
      <c r="M9" t="str">
        <f>VLOOKUP(H9,CHOOSE({1,2},Table12[Native],Table12[Name]),2,0)</f>
        <v>Sōngyáng Xiàn</v>
      </c>
      <c r="N9" s="15" t="str">
        <f>VLOOKUP(I9,CHOOSE({1,2},Table12[Native],Table12[Name]),2,0)</f>
        <v>Lìshuĭ Shì</v>
      </c>
      <c r="O9" s="15" t="str">
        <f t="shared" si="0"/>
        <v>Anmin Xiang (Lìshuĭ Shì)</v>
      </c>
      <c r="P9" s="15" t="str">
        <f t="shared" si="1"/>
        <v>Anmin Xiang (Lìshuĭ Shì)</v>
      </c>
    </row>
    <row r="10" spans="1:16" hidden="1" x14ac:dyDescent="0.25">
      <c r="A10" t="s">
        <v>1001</v>
      </c>
      <c r="B10" t="str">
        <f>IF(COUNTIF(A:A,A10)&gt;1,_xlfn.CONCAT(A10," (",N10,")"),A10)</f>
        <v>Ānnán Xiāng</v>
      </c>
      <c r="C10" t="str">
        <f>IF(COUNTIF(B:B,B10)&gt;1,_xlfn.CONCAT(A10," (",M10,")"),B10)</f>
        <v>Ānnán Xiāng</v>
      </c>
      <c r="D10" t="s">
        <v>1002</v>
      </c>
      <c r="E10" t="s">
        <v>7</v>
      </c>
      <c r="F10" t="str">
        <f>_xlfn.CONCAT(D10,", ",H10,", ",I10,", ","浙江省")</f>
        <v>安南乡, 庆元县, 丽水市, 浙江省</v>
      </c>
      <c r="G10">
        <v>4590</v>
      </c>
      <c r="H10" t="s">
        <v>2956</v>
      </c>
      <c r="I10" t="s">
        <v>2949</v>
      </c>
      <c r="J10" t="e">
        <f>VLOOKUP(F10,[1]!china_towns_second__2[[Column1]:[Y]],3,FALSE)</f>
        <v>#N/A</v>
      </c>
      <c r="K10" t="e">
        <f>VLOOKUP(F10,[1]!china_towns_second__2[[Column1]:[Y]],2,FALSE)</f>
        <v>#N/A</v>
      </c>
      <c r="L10" t="s">
        <v>3648</v>
      </c>
      <c r="M10" t="str">
        <f>VLOOKUP(H10,CHOOSE({1,2},Table12[Native],Table12[Name]),2,0)</f>
        <v>Qìngyuán Xiàn</v>
      </c>
      <c r="N10" s="15" t="str">
        <f>VLOOKUP(I10,CHOOSE({1,2},Table12[Native],Table12[Name]),2,0)</f>
        <v>Lìshuĭ Shì</v>
      </c>
      <c r="O10" s="15" t="str">
        <f t="shared" si="0"/>
        <v>Annan Xiang (Lìshuĭ Shì)</v>
      </c>
      <c r="P10" s="15" t="str">
        <f t="shared" si="1"/>
        <v>Annan Xiang (Lìshuĭ Shì)</v>
      </c>
    </row>
    <row r="11" spans="1:16" hidden="1" x14ac:dyDescent="0.25">
      <c r="A11" t="s">
        <v>1004</v>
      </c>
      <c r="B11" t="str">
        <f>IF(COUNTIF(A:A,A11)&gt;1,_xlfn.CONCAT(A11," (",N11,")"),A11)</f>
        <v>Ānrén Zhèn</v>
      </c>
      <c r="C11" t="str">
        <f>IF(COUNTIF(B:B,B11)&gt;1,_xlfn.CONCAT(A11," (",M11,")"),B11)</f>
        <v>Ānrén Zhèn</v>
      </c>
      <c r="D11" t="s">
        <v>1005</v>
      </c>
      <c r="E11" t="s">
        <v>11</v>
      </c>
      <c r="F11" t="str">
        <f>_xlfn.CONCAT(D11,", ",H11,", ",I11,", ","浙江省")</f>
        <v>安仁镇, 龙泉市, 丽水市, 浙江省</v>
      </c>
      <c r="G11">
        <v>14669</v>
      </c>
      <c r="H11" t="s">
        <v>2954</v>
      </c>
      <c r="I11" t="s">
        <v>2949</v>
      </c>
      <c r="J11">
        <f>VLOOKUP(F11,[1]!china_towns_second__2[[Column1]:[Y]],3,FALSE)</f>
        <v>28.059618487582998</v>
      </c>
      <c r="K11">
        <f>VLOOKUP(F11,[1]!china_towns_second__2[[Column1]:[Y]],2,FALSE)</f>
        <v>119.3236529</v>
      </c>
      <c r="L11" t="s">
        <v>3649</v>
      </c>
      <c r="M11" t="str">
        <f>VLOOKUP(H11,CHOOSE({1,2},Table12[Native],Table12[Name]),2,0)</f>
        <v>Lóngquán Shì</v>
      </c>
      <c r="N11" s="15" t="str">
        <f>VLOOKUP(I11,CHOOSE({1,2},Table12[Native],Table12[Name]),2,0)</f>
        <v>Lìshuĭ Shì</v>
      </c>
      <c r="O11" s="15" t="str">
        <f t="shared" si="0"/>
        <v>Anren Zhen (Lìshuĭ Shì)</v>
      </c>
      <c r="P11" s="15" t="str">
        <f t="shared" si="1"/>
        <v>Anren Zhen (Lìshuĭ Shì)</v>
      </c>
    </row>
    <row r="12" spans="1:16" hidden="1" x14ac:dyDescent="0.25">
      <c r="A12" t="s">
        <v>704</v>
      </c>
      <c r="B12" t="str">
        <f>IF(COUNTIF(A:A,A12)&gt;1,_xlfn.CONCAT(A12," (",N12,")"),A12)</f>
        <v>Ānwén Jiēdào</v>
      </c>
      <c r="C12" t="str">
        <f>IF(COUNTIF(B:B,B12)&gt;1,_xlfn.CONCAT(A12," (",M12,")"),B12)</f>
        <v>Ānwén Jiēdào</v>
      </c>
      <c r="D12" t="s">
        <v>705</v>
      </c>
      <c r="E12" t="s">
        <v>15</v>
      </c>
      <c r="F12" t="str">
        <f>_xlfn.CONCAT(D12,", ",H12,", ",I12,", ","浙江省")</f>
        <v>安文街道, 磐安县, 金华市, 浙江省</v>
      </c>
      <c r="G12">
        <v>47795</v>
      </c>
      <c r="H12" t="s">
        <v>2942</v>
      </c>
      <c r="I12" t="s">
        <v>2938</v>
      </c>
      <c r="J12" t="e">
        <f>VLOOKUP(F12,[1]!china_towns_second__2[[Column1]:[Y]],3,FALSE)</f>
        <v>#N/A</v>
      </c>
      <c r="K12" t="e">
        <f>VLOOKUP(F12,[1]!china_towns_second__2[[Column1]:[Y]],2,FALSE)</f>
        <v>#N/A</v>
      </c>
      <c r="L12" t="s">
        <v>3650</v>
      </c>
      <c r="M12" t="str">
        <f>VLOOKUP(H12,CHOOSE({1,2},Table12[Native],Table12[Name]),2,0)</f>
        <v>Pán'ān Xiàn</v>
      </c>
      <c r="N12" s="15" t="str">
        <f>VLOOKUP(I12,CHOOSE({1,2},Table12[Native],Table12[Name]),2,0)</f>
        <v>Jīnhuá Shì</v>
      </c>
      <c r="O12" s="15" t="str">
        <f t="shared" si="0"/>
        <v>Anwen Jiedao (Jīnhuá Shì)</v>
      </c>
      <c r="P12" s="15" t="str">
        <f t="shared" si="1"/>
        <v>Anwen Jiedao (Jīnhuá Shì)</v>
      </c>
    </row>
    <row r="13" spans="1:16" hidden="1" x14ac:dyDescent="0.25">
      <c r="A13" t="s">
        <v>1007</v>
      </c>
      <c r="B13" t="str">
        <f>IF(COUNTIF(A:A,A13)&gt;1,_xlfn.CONCAT(A13," (",N13,")"),A13)</f>
        <v>Ānxī Shēzú Xiāng</v>
      </c>
      <c r="C13" t="str">
        <f>IF(COUNTIF(B:B,B13)&gt;1,_xlfn.CONCAT(A13," (",M13,")"),B13)</f>
        <v>Ānxī Shēzú Xiāng</v>
      </c>
      <c r="D13" t="s">
        <v>1008</v>
      </c>
      <c r="E13" t="s">
        <v>7</v>
      </c>
      <c r="F13" t="str">
        <f>_xlfn.CONCAT(D13,", ",H13,", ",I13,", ","浙江省")</f>
        <v>安溪畲族乡, 云和县, 丽水市, 浙江省</v>
      </c>
      <c r="G13">
        <v>1642</v>
      </c>
      <c r="H13" t="s">
        <v>2959</v>
      </c>
      <c r="I13" t="s">
        <v>2949</v>
      </c>
      <c r="J13" t="e">
        <f>VLOOKUP(F13,[1]!china_towns_second__2[[Column1]:[Y]],3,FALSE)</f>
        <v>#N/A</v>
      </c>
      <c r="K13" t="e">
        <f>VLOOKUP(F13,[1]!china_towns_second__2[[Column1]:[Y]],2,FALSE)</f>
        <v>#N/A</v>
      </c>
      <c r="L13" t="s">
        <v>3651</v>
      </c>
      <c r="M13" t="str">
        <f>VLOOKUP(H13,CHOOSE({1,2},Table12[Native],Table12[Name]),2,0)</f>
        <v>Yúnhé Xiàn</v>
      </c>
      <c r="N13" s="15" t="str">
        <f>VLOOKUP(I13,CHOOSE({1,2},Table12[Native],Table12[Name]),2,0)</f>
        <v>Lìshuĭ Shì</v>
      </c>
      <c r="O13" s="15" t="str">
        <f t="shared" si="0"/>
        <v>Anxi Shezu Xiang (Lìshuĭ Shì)</v>
      </c>
      <c r="P13" s="15" t="str">
        <f t="shared" si="1"/>
        <v>Anxi Shezu Xiang (Lìshuĭ Shì)</v>
      </c>
    </row>
    <row r="14" spans="1:16" hidden="1" x14ac:dyDescent="0.25">
      <c r="A14" t="s">
        <v>2271</v>
      </c>
      <c r="B14" t="str">
        <f>IF(COUNTIF(A:A,A14)&gt;1,_xlfn.CONCAT(A14," (",N14,")"),A14)</f>
        <v>Ānyáng Jiēdào</v>
      </c>
      <c r="C14" t="str">
        <f>IF(COUNTIF(B:B,B14)&gt;1,_xlfn.CONCAT(A14," (",M14,")"),B14)</f>
        <v>Ānyáng Jiēdào</v>
      </c>
      <c r="D14" t="s">
        <v>2272</v>
      </c>
      <c r="E14" t="s">
        <v>15</v>
      </c>
      <c r="F14" t="str">
        <f>_xlfn.CONCAT(D14,", ",H14,", ",I14,", ","浙江省")</f>
        <v>安阳街道, 瑞安市, 温州市, 浙江省</v>
      </c>
      <c r="G14">
        <v>89033</v>
      </c>
      <c r="H14" t="s">
        <v>3007</v>
      </c>
      <c r="I14" t="s">
        <v>3000</v>
      </c>
      <c r="J14">
        <f>VLOOKUP(F14,[1]!china_towns_second__2[[Column1]:[Y]],3,FALSE)</f>
        <v>27.789379224528599</v>
      </c>
      <c r="K14">
        <f>VLOOKUP(F14,[1]!china_towns_second__2[[Column1]:[Y]],2,FALSE)</f>
        <v>120.6529482</v>
      </c>
      <c r="L14" t="s">
        <v>3652</v>
      </c>
      <c r="M14" t="str">
        <f>VLOOKUP(H14,CHOOSE({1,2},Table12[Native],Table12[Name]),2,0)</f>
        <v>Ruì'ān Shì</v>
      </c>
      <c r="N14" s="15" t="str">
        <f>VLOOKUP(I14,CHOOSE({1,2},Table12[Native],Table12[Name]),2,0)</f>
        <v>Wēnzhōu Shì</v>
      </c>
      <c r="O14" s="15" t="str">
        <f t="shared" si="0"/>
        <v>Anyang Jiedao (Wēnzhōu Shì)</v>
      </c>
      <c r="P14" s="15" t="str">
        <f t="shared" si="1"/>
        <v>Anyang Jiedao (Wēnzhōu Shì)</v>
      </c>
    </row>
    <row r="15" spans="1:16" hidden="1" x14ac:dyDescent="0.25">
      <c r="A15" t="s">
        <v>5</v>
      </c>
      <c r="B15" t="str">
        <f>IF(COUNTIF(A:A,A15)&gt;1,_xlfn.CONCAT(A15," (",N15,")"),A15)</f>
        <v>Ānyáng Xiāng</v>
      </c>
      <c r="C15" t="str">
        <f>IF(COUNTIF(B:B,B15)&gt;1,_xlfn.CONCAT(A15," (",M15,")"),B15)</f>
        <v>Ānyáng Xiāng</v>
      </c>
      <c r="D15" t="s">
        <v>6</v>
      </c>
      <c r="E15" t="s">
        <v>7</v>
      </c>
      <c r="F15" t="str">
        <f>_xlfn.CONCAT(D15,", ",H15,", ",I15,", ","浙江省")</f>
        <v>安阳乡, 淳安县, 杭州市, 浙江省</v>
      </c>
      <c r="G15">
        <v>6882</v>
      </c>
      <c r="H15" t="s">
        <v>2907</v>
      </c>
      <c r="I15" t="s">
        <v>2903</v>
      </c>
      <c r="J15" t="e">
        <f>VLOOKUP(F15,[1]!china_towns_second__2[[Column1]:[Y]],3,FALSE)</f>
        <v>#N/A</v>
      </c>
      <c r="K15" t="e">
        <f>VLOOKUP(F15,[1]!china_towns_second__2[[Column1]:[Y]],2,FALSE)</f>
        <v>#N/A</v>
      </c>
      <c r="L15" t="s">
        <v>3653</v>
      </c>
      <c r="M15" t="str">
        <f>VLOOKUP(H15,CHOOSE({1,2},Table12[Native],Table12[Name]),2,0)</f>
        <v>Chún'ān Xiàn</v>
      </c>
      <c r="N15" s="15" t="str">
        <f>VLOOKUP(I15,CHOOSE({1,2},Table12[Native],Table12[Name]),2,0)</f>
        <v>Hángzhōu Shì</v>
      </c>
      <c r="O15" s="15" t="str">
        <f t="shared" si="0"/>
        <v>Anyang Xiang (Hángzhōu Shì)</v>
      </c>
      <c r="P15" s="15" t="str">
        <f t="shared" si="1"/>
        <v>Anyang Xiang (Hángzhōu Shì)</v>
      </c>
    </row>
    <row r="16" spans="1:16" hidden="1" x14ac:dyDescent="0.25">
      <c r="A16" t="s">
        <v>2040</v>
      </c>
      <c r="B16" t="str">
        <f>IF(COUNTIF(A:A,A16)&gt;1,_xlfn.CONCAT(A16," (",N16,")"),A16)</f>
        <v>Ānzhōu Jiēdào</v>
      </c>
      <c r="C16" t="str">
        <f>IF(COUNTIF(B:B,B16)&gt;1,_xlfn.CONCAT(A16," (",M16,")"),B16)</f>
        <v>Ānzhōu Jiēdào</v>
      </c>
      <c r="D16" t="s">
        <v>2041</v>
      </c>
      <c r="E16" t="s">
        <v>15</v>
      </c>
      <c r="F16" t="str">
        <f>_xlfn.CONCAT(D16,", ",H16,", ",I16,", ","浙江省")</f>
        <v>安洲街道, 仙居县, 台州市, 浙江省</v>
      </c>
      <c r="G16">
        <v>39055</v>
      </c>
      <c r="H16" t="s">
        <v>2997</v>
      </c>
      <c r="I16" t="s">
        <v>2989</v>
      </c>
      <c r="J16">
        <f>VLOOKUP(F16,[1]!china_towns_second__2[[Column1]:[Y]],3,FALSE)</f>
        <v>28.8841076474117</v>
      </c>
      <c r="K16">
        <f>VLOOKUP(F16,[1]!china_towns_second__2[[Column1]:[Y]],2,FALSE)</f>
        <v>120.6831835</v>
      </c>
      <c r="L16" t="s">
        <v>3654</v>
      </c>
      <c r="M16" t="str">
        <f>VLOOKUP(H16,CHOOSE({1,2},Table12[Native],Table12[Name]),2,0)</f>
        <v>Xiānjū Xiàn</v>
      </c>
      <c r="N16" s="15" t="str">
        <f>VLOOKUP(I16,CHOOSE({1,2},Table12[Native],Table12[Name]),2,0)</f>
        <v>Táizhōu Shì</v>
      </c>
      <c r="O16" s="15" t="str">
        <f t="shared" si="0"/>
        <v>Anzhou Jiedao (Táizhōu Shì)</v>
      </c>
      <c r="P16" s="15" t="str">
        <f t="shared" si="1"/>
        <v>Anzhou Jiedao (Táizhōu Shì)</v>
      </c>
    </row>
    <row r="17" spans="1:16" hidden="1" x14ac:dyDescent="0.25">
      <c r="A17" t="s">
        <v>2274</v>
      </c>
      <c r="B17" t="str">
        <f>IF(COUNTIF(A:A,A17)&gt;1,_xlfn.CONCAT(A17," (",N17,")"),A17)</f>
        <v>Áojiāng Zhèn</v>
      </c>
      <c r="C17" t="str">
        <f>IF(COUNTIF(B:B,B17)&gt;1,_xlfn.CONCAT(A17," (",M17,")"),B17)</f>
        <v>Áojiāng Zhèn</v>
      </c>
      <c r="D17" t="s">
        <v>2275</v>
      </c>
      <c r="E17" t="s">
        <v>11</v>
      </c>
      <c r="F17" t="str">
        <f>_xlfn.CONCAT(D17,", ",H17,", ",I17,", ","浙江省")</f>
        <v>鳌江镇, 平阳县, 温州市, 浙江省</v>
      </c>
      <c r="G17">
        <v>168950</v>
      </c>
      <c r="H17" t="s">
        <v>3006</v>
      </c>
      <c r="I17" t="s">
        <v>3000</v>
      </c>
      <c r="J17">
        <f>VLOOKUP(F17,[1]!china_towns_second__2[[Column1]:[Y]],3,FALSE)</f>
        <v>27.617948645518101</v>
      </c>
      <c r="K17">
        <f>VLOOKUP(F17,[1]!china_towns_second__2[[Column1]:[Y]],2,FALSE)</f>
        <v>120.5768826</v>
      </c>
      <c r="L17" t="s">
        <v>3655</v>
      </c>
      <c r="M17" t="str">
        <f>VLOOKUP(H17,CHOOSE({1,2},Table12[Native],Table12[Name]),2,0)</f>
        <v>Píngyáng Xiàn</v>
      </c>
      <c r="N17" s="15" t="str">
        <f>VLOOKUP(I17,CHOOSE({1,2},Table12[Native],Table12[Name]),2,0)</f>
        <v>Wēnzhōu Shì</v>
      </c>
      <c r="O17" s="15" t="str">
        <f t="shared" si="0"/>
        <v>Aojiang Zhen (Wēnzhōu Shì)</v>
      </c>
      <c r="P17" s="15" t="str">
        <f t="shared" si="1"/>
        <v>Aojiang Zhen (Wēnzhōu Shì)</v>
      </c>
    </row>
    <row r="18" spans="1:16" hidden="1" x14ac:dyDescent="0.25">
      <c r="A18" t="s">
        <v>1010</v>
      </c>
      <c r="B18" t="str">
        <f>IF(COUNTIF(A:A,A18)&gt;1,_xlfn.CONCAT(A18," (",N18,")"),A18)</f>
        <v>Bādū Zhèn</v>
      </c>
      <c r="C18" t="str">
        <f>IF(COUNTIF(B:B,B18)&gt;1,_xlfn.CONCAT(A18," (",M18,")"),B18)</f>
        <v>Bādū Zhèn</v>
      </c>
      <c r="D18" t="s">
        <v>1011</v>
      </c>
      <c r="E18" t="s">
        <v>11</v>
      </c>
      <c r="F18" t="str">
        <f>_xlfn.CONCAT(D18,", ",H18,", ",I18,", ","浙江省")</f>
        <v>八都镇, 龙泉市, 丽水市, 浙江省</v>
      </c>
      <c r="G18">
        <v>19877</v>
      </c>
      <c r="H18" t="s">
        <v>2954</v>
      </c>
      <c r="I18" t="s">
        <v>2949</v>
      </c>
      <c r="J18">
        <f>VLOOKUP(F18,[1]!china_towns_second__2[[Column1]:[Y]],3,FALSE)</f>
        <v>27.988109658404401</v>
      </c>
      <c r="K18">
        <f>VLOOKUP(F18,[1]!china_towns_second__2[[Column1]:[Y]],2,FALSE)</f>
        <v>118.9610742</v>
      </c>
      <c r="L18" t="s">
        <v>3656</v>
      </c>
      <c r="M18" t="str">
        <f>VLOOKUP(H18,CHOOSE({1,2},Table12[Native],Table12[Name]),2,0)</f>
        <v>Lóngquán Shì</v>
      </c>
      <c r="N18" s="15" t="str">
        <f>VLOOKUP(I18,CHOOSE({1,2},Table12[Native],Table12[Name]),2,0)</f>
        <v>Lìshuĭ Shì</v>
      </c>
      <c r="O18" s="15" t="str">
        <f t="shared" si="0"/>
        <v>Badu Zhen (Lìshuĭ Shì)</v>
      </c>
      <c r="P18" s="15" t="str">
        <f t="shared" si="1"/>
        <v>Badu Zhen (Lìshuĭ Shì)</v>
      </c>
    </row>
    <row r="19" spans="1:16" hidden="1" x14ac:dyDescent="0.25">
      <c r="A19" t="s">
        <v>551</v>
      </c>
      <c r="B19" t="str">
        <f>IF(COUNTIF(A:A,A19)&gt;1,_xlfn.CONCAT(A19," (",N19,")"),A19)</f>
        <v>Băibù Zhèn</v>
      </c>
      <c r="C19" t="str">
        <f>IF(COUNTIF(B:B,B19)&gt;1,_xlfn.CONCAT(A19," (",M19,")"),B19)</f>
        <v>Băibù Zhèn</v>
      </c>
      <c r="D19" t="s">
        <v>552</v>
      </c>
      <c r="E19" t="s">
        <v>11</v>
      </c>
      <c r="F19" t="str">
        <f>_xlfn.CONCAT(D19,", ",H19,", ",I19,", ","浙江省")</f>
        <v>百步镇, 海盐县, 嘉兴市, 浙江省</v>
      </c>
      <c r="G19">
        <v>35433</v>
      </c>
      <c r="H19" t="s">
        <v>2931</v>
      </c>
      <c r="I19" t="s">
        <v>2929</v>
      </c>
      <c r="J19">
        <f>VLOOKUP(F19,[1]!china_towns_second__2[[Column1]:[Y]],3,FALSE)</f>
        <v>30.567009548699598</v>
      </c>
      <c r="K19">
        <f>VLOOKUP(F19,[1]!china_towns_second__2[[Column1]:[Y]],2,FALSE)</f>
        <v>120.7666048</v>
      </c>
      <c r="L19" t="s">
        <v>3657</v>
      </c>
      <c r="M19" t="str">
        <f>VLOOKUP(H19,CHOOSE({1,2},Table12[Native],Table12[Name]),2,0)</f>
        <v>Hăiyán Xiàn</v>
      </c>
      <c r="N19" s="15" t="str">
        <f>VLOOKUP(I19,CHOOSE({1,2},Table12[Native],Table12[Name]),2,0)</f>
        <v>Jiāxīng Shì</v>
      </c>
      <c r="O19" s="15" t="str">
        <f t="shared" si="0"/>
        <v>Baibu Zhen (Jiāxīng Shì)</v>
      </c>
      <c r="P19" s="15" t="str">
        <f t="shared" si="1"/>
        <v>Baibu Zhen (Jiāxīng Shì)</v>
      </c>
    </row>
    <row r="20" spans="1:16" hidden="1" x14ac:dyDescent="0.25">
      <c r="A20" t="s">
        <v>1339</v>
      </c>
      <c r="B20" t="str">
        <f>IF(COUNTIF(A:A,A20)&gt;1,_xlfn.CONCAT(A20," (",N20,")"),A20)</f>
        <v>Báifēng Jiēdào</v>
      </c>
      <c r="C20" t="str">
        <f>IF(COUNTIF(B:B,B20)&gt;1,_xlfn.CONCAT(A20," (",M20,")"),B20)</f>
        <v>Báifēng Jiēdào</v>
      </c>
      <c r="D20" t="s">
        <v>1340</v>
      </c>
      <c r="E20" t="s">
        <v>15</v>
      </c>
      <c r="F20" t="str">
        <f>_xlfn.CONCAT(D20,", ",H20,", ",I20,", ","浙江省")</f>
        <v>白峰街道, 北仑区, 宁波市, 浙江省</v>
      </c>
      <c r="G20">
        <v>36651</v>
      </c>
      <c r="H20" t="s">
        <v>2962</v>
      </c>
      <c r="I20" t="s">
        <v>2961</v>
      </c>
      <c r="J20" t="e">
        <f>VLOOKUP(F20,[1]!china_towns_second__2[[Column1]:[Y]],3,FALSE)</f>
        <v>#N/A</v>
      </c>
      <c r="K20" t="e">
        <f>VLOOKUP(F20,[1]!china_towns_second__2[[Column1]:[Y]],2,FALSE)</f>
        <v>#N/A</v>
      </c>
      <c r="L20" t="s">
        <v>3658</v>
      </c>
      <c r="M20" t="str">
        <f>VLOOKUP(H20,CHOOSE({1,2},Table12[Native],Table12[Name]),2,0)</f>
        <v>Bĕilún Qū</v>
      </c>
      <c r="N20" s="15" t="str">
        <f>VLOOKUP(I20,CHOOSE({1,2},Table12[Native],Table12[Name]),2,0)</f>
        <v>Níngbō Shì</v>
      </c>
      <c r="O20" s="15" t="str">
        <f t="shared" si="0"/>
        <v>Baifeng Jiedao (Níngbō Shì)</v>
      </c>
      <c r="P20" s="15" t="str">
        <f t="shared" si="1"/>
        <v>Baifeng Jiedao (Níngbō Shì)</v>
      </c>
    </row>
    <row r="21" spans="1:16" hidden="1" x14ac:dyDescent="0.25">
      <c r="A21" t="s">
        <v>1835</v>
      </c>
      <c r="B21" t="str">
        <f>IF(COUNTIF(A:A,A21)&gt;1,_xlfn.CONCAT(A21," (",N21,")"),A21)</f>
        <v>Băiguān Jiēdào</v>
      </c>
      <c r="C21" t="str">
        <f>IF(COUNTIF(B:B,B21)&gt;1,_xlfn.CONCAT(A21," (",M21,")"),B21)</f>
        <v>Băiguān Jiēdào</v>
      </c>
      <c r="D21" t="s">
        <v>1836</v>
      </c>
      <c r="E21" t="s">
        <v>15</v>
      </c>
      <c r="F21" t="str">
        <f>_xlfn.CONCAT(D21,", ",H21,", ",I21,", ","浙江省")</f>
        <v>百官街道, 上虞区, 绍兴市, 浙江省</v>
      </c>
      <c r="G21">
        <v>148769</v>
      </c>
      <c r="H21" t="s">
        <v>2983</v>
      </c>
      <c r="I21" t="s">
        <v>2981</v>
      </c>
      <c r="J21">
        <f>VLOOKUP(F21,[1]!china_towns_second__2[[Column1]:[Y]],3,FALSE)</f>
        <v>30.035717165072199</v>
      </c>
      <c r="K21">
        <f>VLOOKUP(F21,[1]!china_towns_second__2[[Column1]:[Y]],2,FALSE)</f>
        <v>120.88089239999999</v>
      </c>
      <c r="L21" t="s">
        <v>3659</v>
      </c>
      <c r="M21" t="str">
        <f>VLOOKUP(H21,CHOOSE({1,2},Table12[Native],Table12[Name]),2,0)</f>
        <v>Shàngyú Qū</v>
      </c>
      <c r="N21" s="15" t="str">
        <f>VLOOKUP(I21,CHOOSE({1,2},Table12[Native],Table12[Name]),2,0)</f>
        <v>Shàoxīng Shì</v>
      </c>
      <c r="O21" s="15" t="str">
        <f t="shared" si="0"/>
        <v>Baiguan Jiedao (Shàoxīng Shì)</v>
      </c>
      <c r="P21" s="15" t="str">
        <f t="shared" si="1"/>
        <v>Baiguan Jiedao (Shàoxīng Shì)</v>
      </c>
    </row>
    <row r="22" spans="1:16" hidden="1" x14ac:dyDescent="0.25">
      <c r="A22" t="s">
        <v>1342</v>
      </c>
      <c r="B22" t="str">
        <f>IF(COUNTIF(A:A,A22)&gt;1,_xlfn.CONCAT(A22," (",N22,")"),A22)</f>
        <v>Báihè Jiēdào</v>
      </c>
      <c r="C22" t="str">
        <f>IF(COUNTIF(B:B,B22)&gt;1,_xlfn.CONCAT(A22," (",M22,")"),B22)</f>
        <v>Báihè Jiēdào</v>
      </c>
      <c r="D22" t="s">
        <v>1343</v>
      </c>
      <c r="E22" t="s">
        <v>15</v>
      </c>
      <c r="F22" t="str">
        <f>_xlfn.CONCAT(D22,", ",H22,", ",I22,", ","浙江省")</f>
        <v>白鹤街道, 鄞州区, 宁波市, 浙江省</v>
      </c>
      <c r="G22">
        <v>67018</v>
      </c>
      <c r="H22" t="s">
        <v>2969</v>
      </c>
      <c r="I22" t="s">
        <v>2961</v>
      </c>
      <c r="J22" t="e">
        <f>VLOOKUP(F22,[1]!china_towns_second__2[[Column1]:[Y]],3,FALSE)</f>
        <v>#N/A</v>
      </c>
      <c r="K22" t="e">
        <f>VLOOKUP(F22,[1]!china_towns_second__2[[Column1]:[Y]],2,FALSE)</f>
        <v>#N/A</v>
      </c>
      <c r="L22" t="s">
        <v>3660</v>
      </c>
      <c r="M22" t="str">
        <f>VLOOKUP(H22,CHOOSE({1,2},Table12[Native],Table12[Name]),2,0)</f>
        <v>Yínzhōu Qū</v>
      </c>
      <c r="N22" s="15" t="str">
        <f>VLOOKUP(I22,CHOOSE({1,2},Table12[Native],Table12[Name]),2,0)</f>
        <v>Níngbō Shì</v>
      </c>
      <c r="O22" s="15" t="str">
        <f t="shared" si="0"/>
        <v>Baihe Jiedao (Níngbō Shì)</v>
      </c>
      <c r="P22" s="15" t="str">
        <f t="shared" si="1"/>
        <v>Baihe Jiedao (Níngbō Shì)</v>
      </c>
    </row>
    <row r="23" spans="1:16" hidden="1" x14ac:dyDescent="0.25">
      <c r="A23" t="s">
        <v>2042</v>
      </c>
      <c r="B23" t="str">
        <f>IF(COUNTIF(A:A,A23)&gt;1,_xlfn.CONCAT(A23," (",N23,")"),A23)</f>
        <v>Báihè Zhèn</v>
      </c>
      <c r="C23" t="str">
        <f>IF(COUNTIF(B:B,B23)&gt;1,_xlfn.CONCAT(A23," (",M23,")"),B23)</f>
        <v>Báihè Zhèn</v>
      </c>
      <c r="D23" t="s">
        <v>2043</v>
      </c>
      <c r="E23" t="s">
        <v>11</v>
      </c>
      <c r="F23" t="str">
        <f>_xlfn.CONCAT(D23,", ",H23,", ",I23,", ","浙江省")</f>
        <v>白鹤镇, 天台县, 台州市, 浙江省</v>
      </c>
      <c r="G23">
        <v>37348</v>
      </c>
      <c r="H23" t="s">
        <v>2995</v>
      </c>
      <c r="I23" t="s">
        <v>2989</v>
      </c>
      <c r="J23">
        <f>VLOOKUP(F23,[1]!china_towns_second__2[[Column1]:[Y]],3,FALSE)</f>
        <v>29.247321039455802</v>
      </c>
      <c r="K23">
        <f>VLOOKUP(F23,[1]!china_towns_second__2[[Column1]:[Y]],2,FALSE)</f>
        <v>120.9546793</v>
      </c>
      <c r="L23" t="s">
        <v>3661</v>
      </c>
      <c r="M23" t="str">
        <f>VLOOKUP(H23,CHOOSE({1,2},Table12[Native],Table12[Name]),2,0)</f>
        <v>Tiāntái Xiàn</v>
      </c>
      <c r="N23" s="15" t="str">
        <f>VLOOKUP(I23,CHOOSE({1,2},Table12[Native],Table12[Name]),2,0)</f>
        <v>Táizhōu Shì</v>
      </c>
      <c r="O23" s="15" t="str">
        <f t="shared" si="0"/>
        <v>Baihe Zhen (Táizhōu Shì)</v>
      </c>
      <c r="P23" s="15" t="str">
        <f t="shared" si="1"/>
        <v>Baihe Zhen (Táizhōu Shì)</v>
      </c>
    </row>
    <row r="24" spans="1:16" hidden="1" x14ac:dyDescent="0.25">
      <c r="A24" t="s">
        <v>9</v>
      </c>
      <c r="B24" t="str">
        <f>IF(COUNTIF(A:A,A24)&gt;1,_xlfn.CONCAT(A24," (",N24,")"),A24)</f>
        <v>Băijiāng Zhèn</v>
      </c>
      <c r="C24" t="str">
        <f>IF(COUNTIF(B:B,B24)&gt;1,_xlfn.CONCAT(A24," (",M24,")"),B24)</f>
        <v>Băijiāng Zhèn</v>
      </c>
      <c r="D24" t="s">
        <v>10</v>
      </c>
      <c r="E24" t="s">
        <v>11</v>
      </c>
      <c r="F24" t="str">
        <f>_xlfn.CONCAT(D24,", ",H24,", ",I24,", ","浙江省")</f>
        <v>百江镇, 桐庐县, 杭州市, 浙江省</v>
      </c>
      <c r="G24">
        <v>12233</v>
      </c>
      <c r="H24" t="s">
        <v>2916</v>
      </c>
      <c r="I24" t="s">
        <v>2903</v>
      </c>
      <c r="J24">
        <f>VLOOKUP(F24,[1]!china_towns_second__2[[Column1]:[Y]],3,FALSE)</f>
        <v>29.821798659049598</v>
      </c>
      <c r="K24">
        <f>VLOOKUP(F24,[1]!china_towns_second__2[[Column1]:[Y]],2,FALSE)</f>
        <v>119.3191053</v>
      </c>
      <c r="L24" t="s">
        <v>3662</v>
      </c>
      <c r="M24" t="str">
        <f>VLOOKUP(H24,CHOOSE({1,2},Table12[Native],Table12[Name]),2,0)</f>
        <v>Tónglú Xiàn</v>
      </c>
      <c r="N24" s="15" t="str">
        <f>VLOOKUP(I24,CHOOSE({1,2},Table12[Native],Table12[Name]),2,0)</f>
        <v>Hángzhōu Shì</v>
      </c>
      <c r="O24" s="15" t="str">
        <f t="shared" si="0"/>
        <v>Baijiang Zhen (Hángzhōu Shì)</v>
      </c>
      <c r="P24" s="15" t="str">
        <f t="shared" si="1"/>
        <v>Baijiang Zhen (Hángzhōu Shì)</v>
      </c>
    </row>
    <row r="25" spans="1:16" hidden="1" x14ac:dyDescent="0.25">
      <c r="A25" t="s">
        <v>707</v>
      </c>
      <c r="B25" t="str">
        <f>IF(COUNTIF(A:A,A25)&gt;1,_xlfn.CONCAT(A25," (",N25,")"),A25)</f>
        <v>Báilóngqiáo Zhèn</v>
      </c>
      <c r="C25" t="str">
        <f>IF(COUNTIF(B:B,B25)&gt;1,_xlfn.CONCAT(A25," (",M25,")"),B25)</f>
        <v>Báilóngqiáo Zhèn</v>
      </c>
      <c r="D25" t="s">
        <v>708</v>
      </c>
      <c r="E25" t="s">
        <v>11</v>
      </c>
      <c r="F25" t="str">
        <f>_xlfn.CONCAT(D25,", ",H25,", ",I25,", ","浙江省")</f>
        <v>白龙桥镇, 婺城区, 金华市, 浙江省</v>
      </c>
      <c r="G25">
        <v>63570</v>
      </c>
      <c r="H25" t="s">
        <v>2944</v>
      </c>
      <c r="I25" t="s">
        <v>2938</v>
      </c>
      <c r="J25">
        <f>VLOOKUP(F25,[1]!china_towns_second__2[[Column1]:[Y]],3,FALSE)</f>
        <v>29.080255733291501</v>
      </c>
      <c r="K25">
        <f>VLOOKUP(F25,[1]!china_towns_second__2[[Column1]:[Y]],2,FALSE)</f>
        <v>119.5298713</v>
      </c>
      <c r="L25" t="s">
        <v>3663</v>
      </c>
      <c r="M25" t="str">
        <f>VLOOKUP(H25,CHOOSE({1,2},Table12[Native],Table12[Name]),2,0)</f>
        <v>Wùchéng Qū</v>
      </c>
      <c r="N25" s="15" t="str">
        <f>VLOOKUP(I25,CHOOSE({1,2},Table12[Native],Table12[Name]),2,0)</f>
        <v>Jīnhuá Shì</v>
      </c>
      <c r="O25" s="15" t="str">
        <f t="shared" si="0"/>
        <v>Bailongqiao Zhen (Jīnhuá Shì)</v>
      </c>
      <c r="P25" s="15" t="str">
        <f t="shared" si="1"/>
        <v>Bailongqiao Zhen (Jīnhuá Shì)</v>
      </c>
    </row>
    <row r="26" spans="1:16" hidden="1" x14ac:dyDescent="0.25">
      <c r="A26" t="s">
        <v>709</v>
      </c>
      <c r="B26" t="str">
        <f>IF(COUNTIF(A:A,A26)&gt;1,_xlfn.CONCAT(A26," (",N26,")"),A26)</f>
        <v>Báimă Zhèn</v>
      </c>
      <c r="C26" t="str">
        <f>IF(COUNTIF(B:B,B26)&gt;1,_xlfn.CONCAT(A26," (",M26,")"),B26)</f>
        <v>Báimă Zhèn</v>
      </c>
      <c r="D26" t="s">
        <v>710</v>
      </c>
      <c r="E26" t="s">
        <v>11</v>
      </c>
      <c r="F26" t="str">
        <f>_xlfn.CONCAT(D26,", ",H26,", ",I26,", ","浙江省")</f>
        <v>白马镇, 浦江县, 金华市, 浙江省</v>
      </c>
      <c r="G26">
        <v>23409</v>
      </c>
      <c r="H26" t="s">
        <v>2943</v>
      </c>
      <c r="I26" t="s">
        <v>2938</v>
      </c>
      <c r="J26">
        <f>VLOOKUP(F26,[1]!china_towns_second__2[[Column1]:[Y]],3,FALSE)</f>
        <v>29.531606300160298</v>
      </c>
      <c r="K26">
        <f>VLOOKUP(F26,[1]!china_towns_second__2[[Column1]:[Y]],2,FALSE)</f>
        <v>120.0326323</v>
      </c>
      <c r="L26" t="s">
        <v>3664</v>
      </c>
      <c r="M26" t="str">
        <f>VLOOKUP(H26,CHOOSE({1,2},Table12[Native],Table12[Name]),2,0)</f>
        <v>Pŭjiāng Xiàn</v>
      </c>
      <c r="N26" s="15" t="str">
        <f>VLOOKUP(I26,CHOOSE({1,2},Table12[Native],Table12[Name]),2,0)</f>
        <v>Jīnhuá Shì</v>
      </c>
      <c r="O26" s="15" t="str">
        <f t="shared" si="0"/>
        <v>Baima Zhen (Jīnhuá Shì)</v>
      </c>
      <c r="P26" s="15" t="str">
        <f t="shared" si="1"/>
        <v>Baima Zhen (Jīnhuá Shì)</v>
      </c>
    </row>
    <row r="27" spans="1:16" hidden="1" x14ac:dyDescent="0.25">
      <c r="A27" t="s">
        <v>712</v>
      </c>
      <c r="B27" t="str">
        <f>IF(COUNTIF(A:A,A27)&gt;1,_xlfn.CONCAT(A27," (",N27,")"),A27)</f>
        <v>Báimŭ Xiāng</v>
      </c>
      <c r="C27" t="str">
        <f>IF(COUNTIF(B:B,B27)&gt;1,_xlfn.CONCAT(A27," (",M27,")"),B27)</f>
        <v>Báimŭ Xiāng</v>
      </c>
      <c r="D27" t="s">
        <v>713</v>
      </c>
      <c r="E27" t="s">
        <v>7</v>
      </c>
      <c r="F27" t="str">
        <f>_xlfn.CONCAT(D27,", ",H27,", ",I27,", ","浙江省")</f>
        <v>白姆乡, 武义县, 金华市, 浙江省</v>
      </c>
      <c r="G27">
        <v>6936</v>
      </c>
      <c r="H27" t="s">
        <v>2945</v>
      </c>
      <c r="I27" t="s">
        <v>2938</v>
      </c>
      <c r="J27" t="e">
        <f>VLOOKUP(F27,[1]!china_towns_second__2[[Column1]:[Y]],3,FALSE)</f>
        <v>#N/A</v>
      </c>
      <c r="K27" t="e">
        <f>VLOOKUP(F27,[1]!china_towns_second__2[[Column1]:[Y]],2,FALSE)</f>
        <v>#N/A</v>
      </c>
      <c r="L27" t="s">
        <v>3665</v>
      </c>
      <c r="M27" t="str">
        <f>VLOOKUP(H27,CHOOSE({1,2},Table12[Native],Table12[Name]),2,0)</f>
        <v>Wŭyì Xiàn</v>
      </c>
      <c r="N27" s="15" t="str">
        <f>VLOOKUP(I27,CHOOSE({1,2},Table12[Native],Table12[Name]),2,0)</f>
        <v>Jīnhuá Shì</v>
      </c>
      <c r="O27" s="15" t="str">
        <f t="shared" si="0"/>
        <v>Baimu Xiang (Jīnhuá Shì)</v>
      </c>
      <c r="P27" s="15" t="str">
        <f t="shared" si="1"/>
        <v>Baimu Xiang (Jīnhuá Shì)</v>
      </c>
    </row>
    <row r="28" spans="1:16" hidden="1" x14ac:dyDescent="0.25">
      <c r="A28" t="s">
        <v>2830</v>
      </c>
      <c r="B28" t="str">
        <f>IF(COUNTIF(A:A,A28)&gt;1,_xlfn.CONCAT(A28," (",N28,")"),A28)</f>
        <v>Báiquán Zhèn [incl. Bĕichán Xiāng]</v>
      </c>
      <c r="C28" t="str">
        <f>IF(COUNTIF(B:B,B28)&gt;1,_xlfn.CONCAT(A28," (",M28,")"),B28)</f>
        <v>Báiquán Zhèn [incl. Bĕichán Xiāng]</v>
      </c>
      <c r="D28" t="s">
        <v>2831</v>
      </c>
      <c r="E28" t="s">
        <v>11</v>
      </c>
      <c r="F28" t="str">
        <f>_xlfn.CONCAT(D28,", ",H28,", ",I28,", ","浙江省")</f>
        <v>白泉镇, 定海区, 舟山市, 浙江省</v>
      </c>
      <c r="G28">
        <v>40411</v>
      </c>
      <c r="H28" t="s">
        <v>3015</v>
      </c>
      <c r="I28" t="s">
        <v>3013</v>
      </c>
      <c r="J28">
        <f>VLOOKUP(F28,[1]!china_towns_second__2[[Column1]:[Y]],3,FALSE)</f>
        <v>30.068318516588199</v>
      </c>
      <c r="K28">
        <f>VLOOKUP(F28,[1]!china_towns_second__2[[Column1]:[Y]],2,FALSE)</f>
        <v>122.1847203</v>
      </c>
      <c r="L28" t="s">
        <v>3666</v>
      </c>
      <c r="M28" t="str">
        <f>VLOOKUP(H28,CHOOSE({1,2},Table12[Native],Table12[Name]),2,0)</f>
        <v>Dìnghăi Qū</v>
      </c>
      <c r="N28" s="15" t="str">
        <f>VLOOKUP(I28,CHOOSE({1,2},Table12[Native],Table12[Name]),2,0)</f>
        <v>Zhōushān Shì</v>
      </c>
      <c r="O28" s="15" t="str">
        <f t="shared" si="0"/>
        <v>Baiquan Zhen [incl. Beichan Xiang] (Zhōushān Shì)</v>
      </c>
      <c r="P28" s="15" t="str">
        <f t="shared" si="1"/>
        <v>Baiquan Zhen [incl. Beichan Xiang] (Zhōushān Shì)</v>
      </c>
    </row>
    <row r="29" spans="1:16" hidden="1" x14ac:dyDescent="0.25">
      <c r="A29" t="s">
        <v>1345</v>
      </c>
      <c r="B29" t="str">
        <f>IF(COUNTIF(A:A,A29)&gt;1,_xlfn.CONCAT(A29," (",N29,")"),A29)</f>
        <v>Báishālù Jiēdào</v>
      </c>
      <c r="C29" t="str">
        <f>IF(COUNTIF(B:B,B29)&gt;1,_xlfn.CONCAT(A29," (",M29,")"),B29)</f>
        <v>Báishālù Jiēdào</v>
      </c>
      <c r="D29" t="s">
        <v>1346</v>
      </c>
      <c r="E29" t="s">
        <v>15</v>
      </c>
      <c r="F29" t="str">
        <f>_xlfn.CONCAT(D29,", ",H29,", ",I29,", ","浙江省")</f>
        <v>白沙路街道, 慈溪市, 宁波市, 浙江省</v>
      </c>
      <c r="G29">
        <v>82511</v>
      </c>
      <c r="H29" t="s">
        <v>2963</v>
      </c>
      <c r="I29" t="s">
        <v>2961</v>
      </c>
      <c r="J29">
        <f>VLOOKUP(F29,[1]!china_towns_second__2[[Column1]:[Y]],3,FALSE)</f>
        <v>30.181032510763998</v>
      </c>
      <c r="K29">
        <f>VLOOKUP(F29,[1]!china_towns_second__2[[Column1]:[Y]],2,FALSE)</f>
        <v>121.2815986</v>
      </c>
      <c r="L29" t="s">
        <v>3667</v>
      </c>
      <c r="M29" t="str">
        <f>VLOOKUP(H29,CHOOSE({1,2},Table12[Native],Table12[Name]),2,0)</f>
        <v>Cíxī Shì</v>
      </c>
      <c r="N29" s="15" t="str">
        <f>VLOOKUP(I29,CHOOSE({1,2},Table12[Native],Table12[Name]),2,0)</f>
        <v>Níngbō Shì</v>
      </c>
      <c r="O29" s="15" t="str">
        <f t="shared" si="0"/>
        <v>Baishalu Jiedao (Níngbō Shì)</v>
      </c>
      <c r="P29" s="15" t="str">
        <f t="shared" si="1"/>
        <v>Baishalu Jiedao (Níngbō Shì)</v>
      </c>
    </row>
    <row r="30" spans="1:16" hidden="1" x14ac:dyDescent="0.25">
      <c r="A30" t="s">
        <v>1012</v>
      </c>
      <c r="B30" t="str">
        <f>IF(COUNTIF(A:A,A30)&gt;1,_xlfn.CONCAT(A30," (",N30,")"),A30)</f>
        <v>Băishānzŭ Zhèn [incl. Héhú Xiāng]</v>
      </c>
      <c r="C30" t="str">
        <f>IF(COUNTIF(B:B,B30)&gt;1,_xlfn.CONCAT(A30," (",M30,")"),B30)</f>
        <v>Băishānzŭ Zhèn [incl. Héhú Xiāng]</v>
      </c>
      <c r="D30" t="s">
        <v>1013</v>
      </c>
      <c r="E30" t="s">
        <v>11</v>
      </c>
      <c r="F30" t="str">
        <f>_xlfn.CONCAT(D30,", ",H30,", ",I30,", ","浙江省")</f>
        <v>百山祖镇, 庆元县, 丽水市, 浙江省</v>
      </c>
      <c r="G30">
        <v>2522</v>
      </c>
      <c r="H30" t="s">
        <v>2956</v>
      </c>
      <c r="I30" t="s">
        <v>2949</v>
      </c>
      <c r="J30">
        <f>VLOOKUP(F30,[1]!china_towns_second__2[[Column1]:[Y]],3,FALSE)</f>
        <v>27.760131697574302</v>
      </c>
      <c r="K30">
        <f>VLOOKUP(F30,[1]!china_towns_second__2[[Column1]:[Y]],2,FALSE)</f>
        <v>119.2190889</v>
      </c>
      <c r="L30" t="s">
        <v>3668</v>
      </c>
      <c r="M30" t="str">
        <f>VLOOKUP(H30,CHOOSE({1,2},Table12[Native],Table12[Name]),2,0)</f>
        <v>Qìngyuán Xiàn</v>
      </c>
      <c r="N30" s="15" t="str">
        <f>VLOOKUP(I30,CHOOSE({1,2},Table12[Native],Table12[Name]),2,0)</f>
        <v>Lìshuĭ Shì</v>
      </c>
      <c r="O30" s="15" t="str">
        <f t="shared" si="0"/>
        <v>Baishanzu Zhen [incl. Hehu Xiang] (Lìshuĭ Shì)</v>
      </c>
      <c r="P30" s="15" t="str">
        <f t="shared" si="1"/>
        <v>Baishanzu Zhen [incl. Hehu Xiang] (Lìshuĭ Shì)</v>
      </c>
    </row>
    <row r="31" spans="1:16" hidden="1" x14ac:dyDescent="0.25">
      <c r="A31" t="s">
        <v>715</v>
      </c>
      <c r="B31" t="str">
        <f>IF(COUNTIF(A:A,A31)&gt;1,_xlfn.CONCAT(A31," (",N31,")"),A31)</f>
        <v>Bǎishè Xiāng</v>
      </c>
      <c r="C31" t="str">
        <f>IF(COUNTIF(B:B,B31)&gt;1,_xlfn.CONCAT(A31," (",M31,")"),B31)</f>
        <v>Bǎishè Xiāng</v>
      </c>
      <c r="D31" t="s">
        <v>716</v>
      </c>
      <c r="E31" t="s">
        <v>7</v>
      </c>
      <c r="F31" t="str">
        <f>_xlfn.CONCAT(D31,", ",H31,", ",I31,", ","浙江省")</f>
        <v>柏社乡, 兰溪市, 金华市, 浙江省</v>
      </c>
      <c r="G31">
        <v>19715</v>
      </c>
      <c r="H31" t="s">
        <v>2941</v>
      </c>
      <c r="I31" t="s">
        <v>2938</v>
      </c>
      <c r="J31" t="e">
        <f>VLOOKUP(F31,[1]!china_towns_second__2[[Column1]:[Y]],3,FALSE)</f>
        <v>#N/A</v>
      </c>
      <c r="K31" t="e">
        <f>VLOOKUP(F31,[1]!china_towns_second__2[[Column1]:[Y]],2,FALSE)</f>
        <v>#N/A</v>
      </c>
      <c r="L31" t="s">
        <v>3669</v>
      </c>
      <c r="M31" t="str">
        <f>VLOOKUP(H31,CHOOSE({1,2},Table12[Native],Table12[Name]),2,0)</f>
        <v>Lánxī Shì</v>
      </c>
      <c r="N31" s="15" t="str">
        <f>VLOOKUP(I31,CHOOSE({1,2},Table12[Native],Table12[Name]),2,0)</f>
        <v>Jīnhuá Shì</v>
      </c>
      <c r="O31" s="15" t="str">
        <f t="shared" si="0"/>
        <v>Baishe Xiang (Jīnhuá Shì)</v>
      </c>
      <c r="P31" s="15" t="str">
        <f t="shared" si="1"/>
        <v>Baishe Xiang (Jīnhuá Shì)</v>
      </c>
    </row>
    <row r="32" spans="1:16" hidden="1" x14ac:dyDescent="0.25">
      <c r="A32" t="s">
        <v>2277</v>
      </c>
      <c r="B32" t="str">
        <f>IF(COUNTIF(A:A,A32)&gt;1,_xlfn.CONCAT(A32," (",N32,")"),A32)</f>
        <v>Báishí Jiēdào</v>
      </c>
      <c r="C32" t="str">
        <f>IF(COUNTIF(B:B,B32)&gt;1,_xlfn.CONCAT(A32," (",M32,")"),B32)</f>
        <v>Báishí Jiēdào</v>
      </c>
      <c r="D32" t="s">
        <v>2278</v>
      </c>
      <c r="E32" t="s">
        <v>15</v>
      </c>
      <c r="F32" t="str">
        <f>_xlfn.CONCAT(D32,", ",H32,", ",I32,", ","浙江省")</f>
        <v>白石街道, 乐清市, 温州市, 浙江省</v>
      </c>
      <c r="G32">
        <v>35021</v>
      </c>
      <c r="H32" t="s">
        <v>3011</v>
      </c>
      <c r="I32" t="s">
        <v>3000</v>
      </c>
      <c r="J32">
        <f>VLOOKUP(F32,[1]!china_towns_second__2[[Column1]:[Y]],3,FALSE)</f>
        <v>28.116643600150699</v>
      </c>
      <c r="K32">
        <f>VLOOKUP(F32,[1]!china_towns_second__2[[Column1]:[Y]],2,FALSE)</f>
        <v>120.8601019</v>
      </c>
      <c r="L32" t="s">
        <v>3670</v>
      </c>
      <c r="M32" t="str">
        <f>VLOOKUP(H32,CHOOSE({1,2},Table12[Native],Table12[Name]),2,0)</f>
        <v>Yuèqīng Shì</v>
      </c>
      <c r="N32" s="15" t="str">
        <f>VLOOKUP(I32,CHOOSE({1,2},Table12[Native],Table12[Name]),2,0)</f>
        <v>Wēnzhōu Shì</v>
      </c>
      <c r="O32" s="15" t="str">
        <f t="shared" si="0"/>
        <v>Baishi Jiedao (Wēnzhōu Shì)</v>
      </c>
      <c r="P32" s="15" t="str">
        <f t="shared" si="1"/>
        <v>Baishi Jiedao (Wēnzhōu Shì)</v>
      </c>
    </row>
    <row r="33" spans="1:16" hidden="1" x14ac:dyDescent="0.25">
      <c r="A33" t="s">
        <v>1644</v>
      </c>
      <c r="B33" t="str">
        <f>IF(COUNTIF(A:A,A33)&gt;1,_xlfn.CONCAT(A33," (",N33,")"),A33)</f>
        <v>Báishí Zhèn</v>
      </c>
      <c r="C33" t="str">
        <f>IF(COUNTIF(B:B,B33)&gt;1,_xlfn.CONCAT(A33," (",M33,")"),B33)</f>
        <v>Báishí Zhèn</v>
      </c>
      <c r="D33" t="s">
        <v>1645</v>
      </c>
      <c r="E33" t="s">
        <v>11</v>
      </c>
      <c r="F33" t="str">
        <f>_xlfn.CONCAT(D33,", ",H33,", ",I33,", ","浙江省")</f>
        <v>白石镇, 常山县, 衢州市, 浙江省</v>
      </c>
      <c r="G33">
        <v>5854</v>
      </c>
      <c r="H33" t="s">
        <v>2974</v>
      </c>
      <c r="I33" t="s">
        <v>2973</v>
      </c>
      <c r="J33">
        <f>VLOOKUP(F33,[1]!china_towns_second__2[[Column1]:[Y]],3,FALSE)</f>
        <v>28.816581968569199</v>
      </c>
      <c r="K33">
        <f>VLOOKUP(F33,[1]!china_towns_second__2[[Column1]:[Y]],2,FALSE)</f>
        <v>118.41212090000001</v>
      </c>
      <c r="L33" t="s">
        <v>3671</v>
      </c>
      <c r="M33" t="str">
        <f>VLOOKUP(H33,CHOOSE({1,2},Table12[Native],Table12[Name]),2,0)</f>
        <v>Chángshān Xiàn</v>
      </c>
      <c r="N33" s="15" t="str">
        <f>VLOOKUP(I33,CHOOSE({1,2},Table12[Native],Table12[Name]),2,0)</f>
        <v>Qúzhōu Shì</v>
      </c>
      <c r="O33" s="15" t="str">
        <f t="shared" si="0"/>
        <v>Baishi Zhen (Qúzhōu Shì)</v>
      </c>
      <c r="P33" s="15" t="str">
        <f t="shared" si="1"/>
        <v>Baishi Zhen (Qúzhōu Shì)</v>
      </c>
    </row>
    <row r="34" spans="1:16" hidden="1" x14ac:dyDescent="0.25">
      <c r="A34" t="s">
        <v>2045</v>
      </c>
      <c r="B34" t="str">
        <f>IF(COUNTIF(A:A,A34)&gt;1,_xlfn.CONCAT(A34," (",N34,")"),A34)</f>
        <v>Báishuĭyáng Zhèn</v>
      </c>
      <c r="C34" t="str">
        <f>IF(COUNTIF(B:B,B34)&gt;1,_xlfn.CONCAT(A34," (",M34,")"),B34)</f>
        <v>Báishuĭyáng Zhèn</v>
      </c>
      <c r="D34" t="s">
        <v>2046</v>
      </c>
      <c r="E34" t="s">
        <v>11</v>
      </c>
      <c r="F34" t="str">
        <f>_xlfn.CONCAT(D34,", ",H34,", ",I34,", ","浙江省")</f>
        <v>白水洋镇, 临海市, 台州市, 浙江省</v>
      </c>
      <c r="G34">
        <v>57955</v>
      </c>
      <c r="H34" t="s">
        <v>2992</v>
      </c>
      <c r="I34" t="s">
        <v>2989</v>
      </c>
      <c r="J34">
        <f>VLOOKUP(F34,[1]!china_towns_second__2[[Column1]:[Y]],3,FALSE)</f>
        <v>28.958030276053702</v>
      </c>
      <c r="K34">
        <f>VLOOKUP(F34,[1]!china_towns_second__2[[Column1]:[Y]],2,FALSE)</f>
        <v>120.9285943</v>
      </c>
      <c r="L34" t="s">
        <v>3672</v>
      </c>
      <c r="M34" t="str">
        <f>VLOOKUP(H34,CHOOSE({1,2},Table12[Native],Table12[Name]),2,0)</f>
        <v>Línhăi Shì</v>
      </c>
      <c r="N34" s="15" t="str">
        <f>VLOOKUP(I34,CHOOSE({1,2},Table12[Native],Table12[Name]),2,0)</f>
        <v>Táizhōu Shì</v>
      </c>
      <c r="O34" s="15" t="str">
        <f t="shared" si="0"/>
        <v>Baishuiyang Zhen (Táizhōu Shì)</v>
      </c>
      <c r="P34" s="15" t="str">
        <f t="shared" si="1"/>
        <v>Baishuiyang Zhen (Táizhōu Shì)</v>
      </c>
    </row>
    <row r="35" spans="1:16" hidden="1" x14ac:dyDescent="0.25">
      <c r="A35" t="s">
        <v>2048</v>
      </c>
      <c r="B35" t="str">
        <f>IF(COUNTIF(A:A,A35)&gt;1,_xlfn.CONCAT(A35," (",N35,")"),A35)</f>
        <v>Báită Zhèn</v>
      </c>
      <c r="C35" t="str">
        <f>IF(COUNTIF(B:B,B35)&gt;1,_xlfn.CONCAT(A35," (",M35,")"),B35)</f>
        <v>Báită Zhèn</v>
      </c>
      <c r="D35" t="s">
        <v>2049</v>
      </c>
      <c r="E35" t="s">
        <v>11</v>
      </c>
      <c r="F35" t="str">
        <f>_xlfn.CONCAT(D35,", ",H35,", ",I35,", ","浙江省")</f>
        <v>白塔镇, 仙居县, 台州市, 浙江省</v>
      </c>
      <c r="G35">
        <v>23879</v>
      </c>
      <c r="H35" t="s">
        <v>2997</v>
      </c>
      <c r="I35" t="s">
        <v>2989</v>
      </c>
      <c r="J35">
        <f>VLOOKUP(F35,[1]!china_towns_second__2[[Column1]:[Y]],3,FALSE)</f>
        <v>28.747255155131601</v>
      </c>
      <c r="K35">
        <f>VLOOKUP(F35,[1]!china_towns_second__2[[Column1]:[Y]],2,FALSE)</f>
        <v>120.60359990000001</v>
      </c>
      <c r="L35" t="s">
        <v>3673</v>
      </c>
      <c r="M35" t="str">
        <f>VLOOKUP(H35,CHOOSE({1,2},Table12[Native],Table12[Name]),2,0)</f>
        <v>Xiānjū Xiàn</v>
      </c>
      <c r="N35" s="15" t="str">
        <f>VLOOKUP(I35,CHOOSE({1,2},Table12[Native],Table12[Name]),2,0)</f>
        <v>Táizhōu Shì</v>
      </c>
      <c r="O35" s="15" t="str">
        <f t="shared" si="0"/>
        <v>Baita Zhen (Táizhōu Shì)</v>
      </c>
      <c r="P35" s="15" t="str">
        <f t="shared" si="1"/>
        <v>Baita Zhen (Táizhōu Shì)</v>
      </c>
    </row>
    <row r="36" spans="1:16" hidden="1" x14ac:dyDescent="0.25">
      <c r="A36" t="s">
        <v>13</v>
      </c>
      <c r="B36" t="str">
        <f>IF(COUNTIF(A:A,A36)&gt;1,_xlfn.CONCAT(A36," (",N36,")"),A36)</f>
        <v>Báiyáng Jiēdào (Hángzhōu Shì)</v>
      </c>
      <c r="C36" t="str">
        <f>IF(COUNTIF(B:B,B36)&gt;1,_xlfn.CONCAT(A36," (",M36,")"),B36)</f>
        <v>Báiyáng Jiēdào (Hángzhōu Shì)</v>
      </c>
      <c r="D36" t="s">
        <v>14</v>
      </c>
      <c r="E36" t="s">
        <v>15</v>
      </c>
      <c r="F36" t="str">
        <f>_xlfn.CONCAT(D36,", ",H36,", ",I36,", ","浙江省")</f>
        <v>白杨街道, 钱塘区, 杭州市, 浙江省</v>
      </c>
      <c r="G36">
        <v>210218</v>
      </c>
      <c r="H36" t="s">
        <v>2914</v>
      </c>
      <c r="I36" t="s">
        <v>2903</v>
      </c>
      <c r="J36" t="e">
        <f>VLOOKUP(F36,[1]!china_towns_second__2[[Column1]:[Y]],3,FALSE)</f>
        <v>#N/A</v>
      </c>
      <c r="K36" t="e">
        <f>VLOOKUP(F36,[1]!china_towns_second__2[[Column1]:[Y]],2,FALSE)</f>
        <v>#N/A</v>
      </c>
      <c r="L36" t="s">
        <v>3674</v>
      </c>
      <c r="M36" t="str">
        <f>VLOOKUP(H36,CHOOSE({1,2},Table12[Native],Table12[Name]),2,0)</f>
        <v>Qiántáng Qū</v>
      </c>
      <c r="N36" s="15" t="str">
        <f>VLOOKUP(I36,CHOOSE({1,2},Table12[Native],Table12[Name]),2,0)</f>
        <v>Hángzhōu Shì</v>
      </c>
      <c r="O36" s="15" t="str">
        <f t="shared" si="0"/>
        <v>Baiyang Jiedao (Hangzhou Shi) (Hángzhōu Shì)</v>
      </c>
      <c r="P36" s="15" t="str">
        <f t="shared" si="1"/>
        <v>Baiyang Jiedao (Hangzhou Shi) (Hángzhōu Shì)</v>
      </c>
    </row>
    <row r="37" spans="1:16" hidden="1" x14ac:dyDescent="0.25">
      <c r="A37" t="s">
        <v>13</v>
      </c>
      <c r="B37" t="str">
        <f>IF(COUNTIF(A:A,A37)&gt;1,_xlfn.CONCAT(A37," (",N37,")"),A37)</f>
        <v>Báiyáng Jiēdào (Jīnhuá Shì)</v>
      </c>
      <c r="C37" t="str">
        <f>IF(COUNTIF(B:B,B37)&gt;1,_xlfn.CONCAT(A37," (",M37,")"),B37)</f>
        <v>Báiyáng Jiēdào (Jīnhuá Shì)</v>
      </c>
      <c r="D37" t="s">
        <v>718</v>
      </c>
      <c r="E37" t="s">
        <v>15</v>
      </c>
      <c r="F37" t="str">
        <f>_xlfn.CONCAT(D37,", ",H37,", ",I37,", ","浙江省")</f>
        <v>白洋街道, 武义县, 金华市, 浙江省</v>
      </c>
      <c r="G37">
        <v>63842</v>
      </c>
      <c r="H37" t="s">
        <v>2945</v>
      </c>
      <c r="I37" t="s">
        <v>2938</v>
      </c>
      <c r="J37">
        <f>VLOOKUP(F37,[1]!china_towns_second__2[[Column1]:[Y]],3,FALSE)</f>
        <v>28.9499159056415</v>
      </c>
      <c r="K37">
        <f>VLOOKUP(F37,[1]!china_towns_second__2[[Column1]:[Y]],2,FALSE)</f>
        <v>119.8325596</v>
      </c>
      <c r="L37" t="s">
        <v>3675</v>
      </c>
      <c r="M37" t="str">
        <f>VLOOKUP(H37,CHOOSE({1,2},Table12[Native],Table12[Name]),2,0)</f>
        <v>Wŭyì Xiàn</v>
      </c>
      <c r="N37" s="15" t="str">
        <f>VLOOKUP(I37,CHOOSE({1,2},Table12[Native],Table12[Name]),2,0)</f>
        <v>Jīnhuá Shì</v>
      </c>
      <c r="O37" s="15" t="str">
        <f t="shared" si="0"/>
        <v>Baiyang Jiedao (Jinhua Shi) (Jīnhuá Shì)</v>
      </c>
      <c r="P37" s="15" t="str">
        <f t="shared" si="1"/>
        <v>Baiyang Jiedao (Jinhua Shi) (Jīnhuá Shì)</v>
      </c>
    </row>
    <row r="38" spans="1:16" hidden="1" x14ac:dyDescent="0.25">
      <c r="A38" t="s">
        <v>719</v>
      </c>
      <c r="B38" t="str">
        <f>IF(COUNTIF(A:A,A38)&gt;1,_xlfn.CONCAT(A38," (",N38,")"),A38)</f>
        <v>Báiyún Jiēdào (Jīnhuá Shì)</v>
      </c>
      <c r="C38" t="str">
        <f>IF(COUNTIF(B:B,B38)&gt;1,_xlfn.CONCAT(A38," (",M38,")"),B38)</f>
        <v>Báiyún Jiēdào (Jīnhuá Shì)</v>
      </c>
      <c r="D38" t="s">
        <v>720</v>
      </c>
      <c r="E38" t="s">
        <v>15</v>
      </c>
      <c r="F38" t="str">
        <f>_xlfn.CONCAT(D38,", ",H38,", ",I38,", ","浙江省")</f>
        <v>白云街道, 东阳市, 金华市, 浙江省</v>
      </c>
      <c r="G38">
        <v>91382</v>
      </c>
      <c r="H38" t="s">
        <v>2939</v>
      </c>
      <c r="I38" t="s">
        <v>2938</v>
      </c>
      <c r="J38">
        <f>VLOOKUP(F38,[1]!china_towns_second__2[[Column1]:[Y]],3,FALSE)</f>
        <v>29.274540983331899</v>
      </c>
      <c r="K38">
        <f>VLOOKUP(F38,[1]!china_towns_second__2[[Column1]:[Y]],2,FALSE)</f>
        <v>120.1821582</v>
      </c>
      <c r="L38" t="s">
        <v>3676</v>
      </c>
      <c r="M38" t="str">
        <f>VLOOKUP(H38,CHOOSE({1,2},Table12[Native],Table12[Name]),2,0)</f>
        <v>Dōngyáng Shì</v>
      </c>
      <c r="N38" s="15" t="str">
        <f>VLOOKUP(I38,CHOOSE({1,2},Table12[Native],Table12[Name]),2,0)</f>
        <v>Jīnhuá Shì</v>
      </c>
      <c r="O38" s="15" t="str">
        <f t="shared" si="0"/>
        <v>Baiyun Jiedao (Jinhua Shi) (Jīnhuá Shì)</v>
      </c>
      <c r="P38" s="15" t="str">
        <f t="shared" si="1"/>
        <v>Baiyun Jiedao (Jinhua Shi) (Jīnhuá Shì)</v>
      </c>
    </row>
    <row r="39" spans="1:16" hidden="1" x14ac:dyDescent="0.25">
      <c r="A39" t="s">
        <v>719</v>
      </c>
      <c r="B39" t="str">
        <f>IF(COUNTIF(A:A,A39)&gt;1,_xlfn.CONCAT(A39," (",N39,")"),A39)</f>
        <v>Báiyún Jiēdào (Lìshuĭ Shì)</v>
      </c>
      <c r="C39" t="str">
        <f>IF(COUNTIF(B:B,B39)&gt;1,_xlfn.CONCAT(A39," (",M39,")"),B39)</f>
        <v>Báiyún Jiēdào (Lìshuĭ Shì)</v>
      </c>
      <c r="D39" t="s">
        <v>720</v>
      </c>
      <c r="E39" t="s">
        <v>15</v>
      </c>
      <c r="F39" t="str">
        <f>_xlfn.CONCAT(D39,", ",H39,", ",I39,", ","浙江省")</f>
        <v>白云街道, 莲都区, 丽水市, 浙江省</v>
      </c>
      <c r="G39">
        <v>73684</v>
      </c>
      <c r="H39" t="s">
        <v>2953</v>
      </c>
      <c r="I39" t="s">
        <v>2949</v>
      </c>
      <c r="J39">
        <f>VLOOKUP(F39,[1]!china_towns_second__2[[Column1]:[Y]],3,FALSE)</f>
        <v>28.4708196485211</v>
      </c>
      <c r="K39">
        <f>VLOOKUP(F39,[1]!china_towns_second__2[[Column1]:[Y]],2,FALSE)</f>
        <v>119.89915499999999</v>
      </c>
      <c r="L39" t="s">
        <v>3677</v>
      </c>
      <c r="M39" t="str">
        <f>VLOOKUP(H39,CHOOSE({1,2},Table12[Native],Table12[Name]),2,0)</f>
        <v>Liándū Qū</v>
      </c>
      <c r="N39" s="15" t="str">
        <f>VLOOKUP(I39,CHOOSE({1,2},Table12[Native],Table12[Name]),2,0)</f>
        <v>Lìshuĭ Shì</v>
      </c>
      <c r="O39" s="15" t="str">
        <f t="shared" si="0"/>
        <v>Baiyun Jiedao (Lishui Shi) (Lìshuĭ Shì)</v>
      </c>
      <c r="P39" s="15" t="str">
        <f t="shared" si="1"/>
        <v>Baiyun Jiedao (Lishui Shi) (Lìshuĭ Shì)</v>
      </c>
    </row>
    <row r="40" spans="1:16" hidden="1" x14ac:dyDescent="0.25">
      <c r="A40" t="s">
        <v>719</v>
      </c>
      <c r="B40" t="str">
        <f>IF(COUNTIF(A:A,A40)&gt;1,_xlfn.CONCAT(A40," (",N40,")"),A40)</f>
        <v>Báiyún Jiēdào (Níngbō Shì)</v>
      </c>
      <c r="C40" t="str">
        <f>IF(COUNTIF(B:B,B40)&gt;1,_xlfn.CONCAT(A40," (",M40,")"),B40)</f>
        <v>Báiyún Jiēdào (Níngbō Shì)</v>
      </c>
      <c r="D40" t="s">
        <v>720</v>
      </c>
      <c r="E40" t="s">
        <v>15</v>
      </c>
      <c r="F40" t="str">
        <f>_xlfn.CONCAT(D40,", ",H40,", ",I40,", ","浙江省")</f>
        <v>白云街道, 海曙区, 宁波市, 浙江省</v>
      </c>
      <c r="G40">
        <v>60568</v>
      </c>
      <c r="H40" t="s">
        <v>2965</v>
      </c>
      <c r="I40" t="s">
        <v>2961</v>
      </c>
      <c r="J40">
        <f>VLOOKUP(F40,[1]!china_towns_second__2[[Column1]:[Y]],3,FALSE)</f>
        <v>29.872050469044201</v>
      </c>
      <c r="K40">
        <f>VLOOKUP(F40,[1]!china_towns_second__2[[Column1]:[Y]],2,FALSE)</f>
        <v>121.5157299</v>
      </c>
      <c r="L40" t="s">
        <v>3678</v>
      </c>
      <c r="M40" t="str">
        <f>VLOOKUP(H40,CHOOSE({1,2},Table12[Native],Table12[Name]),2,0)</f>
        <v>Hăishŭ Qū</v>
      </c>
      <c r="N40" s="15" t="str">
        <f>VLOOKUP(I40,CHOOSE({1,2},Table12[Native],Table12[Name]),2,0)</f>
        <v>Níngbō Shì</v>
      </c>
      <c r="O40" s="15" t="str">
        <f t="shared" si="0"/>
        <v>Baiyun Jiedao (Ningbo Shi) (Níngbō Shì)</v>
      </c>
      <c r="P40" s="15" t="str">
        <f t="shared" si="1"/>
        <v>Baiyun Jiedao (Ningbo Shi) (Níngbō Shì)</v>
      </c>
    </row>
    <row r="41" spans="1:16" hidden="1" x14ac:dyDescent="0.25">
      <c r="A41" t="s">
        <v>719</v>
      </c>
      <c r="B41" t="str">
        <f>IF(COUNTIF(A:A,A41)&gt;1,_xlfn.CONCAT(A41," (",N41,")"),A41)</f>
        <v>Báiyún Jiēdào (Qúzhōu Shì)</v>
      </c>
      <c r="C41" t="str">
        <f>IF(COUNTIF(B:B,B41)&gt;1,_xlfn.CONCAT(A41," (",M41,")"),B41)</f>
        <v>Báiyún Jiēdào (Qúzhōu Shì)</v>
      </c>
      <c r="D41" t="s">
        <v>720</v>
      </c>
      <c r="E41" t="s">
        <v>15</v>
      </c>
      <c r="F41" t="str">
        <f>_xlfn.CONCAT(D41,", ",H41,", ",I41,", ","浙江省")</f>
        <v>白云街道, 柯城区, 衢州市, 浙江省</v>
      </c>
      <c r="G41">
        <v>31518</v>
      </c>
      <c r="H41" t="s">
        <v>2977</v>
      </c>
      <c r="I41" t="s">
        <v>2973</v>
      </c>
      <c r="J41">
        <f>VLOOKUP(F41,[1]!china_towns_second__2[[Column1]:[Y]],3,FALSE)</f>
        <v>28.9691630039652</v>
      </c>
      <c r="K41">
        <f>VLOOKUP(F41,[1]!china_towns_second__2[[Column1]:[Y]],2,FALSE)</f>
        <v>118.84425280000001</v>
      </c>
      <c r="L41" t="s">
        <v>3679</v>
      </c>
      <c r="M41" t="str">
        <f>VLOOKUP(H41,CHOOSE({1,2},Table12[Native],Table12[Name]),2,0)</f>
        <v>Kēchéng Qū</v>
      </c>
      <c r="N41" s="15" t="str">
        <f>VLOOKUP(I41,CHOOSE({1,2},Table12[Native],Table12[Name]),2,0)</f>
        <v>Qúzhōu Shì</v>
      </c>
      <c r="O41" s="15" t="str">
        <f t="shared" si="0"/>
        <v>Baiyun Jiedao (Quzhou Shi) (Qúzhōu Shì)</v>
      </c>
      <c r="P41" s="15" t="str">
        <f t="shared" si="1"/>
        <v>Baiyun Jiedao (Quzhou Shi) (Qúzhōu Shì)</v>
      </c>
    </row>
    <row r="42" spans="1:16" hidden="1" x14ac:dyDescent="0.25">
      <c r="A42" t="s">
        <v>719</v>
      </c>
      <c r="B42" t="str">
        <f>IF(COUNTIF(A:A,A42)&gt;1,_xlfn.CONCAT(A42," (",N42,")"),A42)</f>
        <v>Báiyún Jiēdào (Táizhōu Shì)</v>
      </c>
      <c r="C42" t="str">
        <f>IF(COUNTIF(B:B,B42)&gt;1,_xlfn.CONCAT(A42," (",M42,")"),B42)</f>
        <v>Báiyún Jiēdào (Táizhōu Shì)</v>
      </c>
      <c r="D42" t="s">
        <v>720</v>
      </c>
      <c r="E42" t="s">
        <v>15</v>
      </c>
      <c r="F42" t="str">
        <f>_xlfn.CONCAT(D42,", ",H42,", ",I42,", ","浙江省")</f>
        <v>白云街道, 椒江区, 台州市, 浙江省</v>
      </c>
      <c r="G42">
        <v>115058</v>
      </c>
      <c r="H42" t="s">
        <v>2991</v>
      </c>
      <c r="I42" t="s">
        <v>2989</v>
      </c>
      <c r="J42">
        <f>VLOOKUP(F42,[1]!china_towns_second__2[[Column1]:[Y]],3,FALSE)</f>
        <v>28.657203433801399</v>
      </c>
      <c r="K42">
        <f>VLOOKUP(F42,[1]!china_towns_second__2[[Column1]:[Y]],2,FALSE)</f>
        <v>121.420827</v>
      </c>
      <c r="L42" t="s">
        <v>3680</v>
      </c>
      <c r="M42" t="str">
        <f>VLOOKUP(H42,CHOOSE({1,2},Table12[Native],Table12[Name]),2,0)</f>
        <v>Jiāojiāng Qū</v>
      </c>
      <c r="N42" s="15" t="str">
        <f>VLOOKUP(I42,CHOOSE({1,2},Table12[Native],Table12[Name]),2,0)</f>
        <v>Táizhōu Shì</v>
      </c>
      <c r="O42" s="15" t="str">
        <f t="shared" si="0"/>
        <v>Baiyun Jiedao (Taizhou Shi) (Táizhōu Shì)</v>
      </c>
      <c r="P42" s="15" t="str">
        <f t="shared" si="1"/>
        <v>Baiyun Jiedao (Taizhou Shi) (Táizhōu Shì)</v>
      </c>
    </row>
    <row r="43" spans="1:16" hidden="1" x14ac:dyDescent="0.25">
      <c r="A43" t="s">
        <v>1348</v>
      </c>
      <c r="B43" t="str">
        <f>IF(COUNTIF(A:A,A43)&gt;1,_xlfn.CONCAT(A43," (",N43,")"),A43)</f>
        <v>Băizhàng Jiēdào</v>
      </c>
      <c r="C43" t="str">
        <f>IF(COUNTIF(B:B,B43)&gt;1,_xlfn.CONCAT(A43," (",M43,")"),B43)</f>
        <v>Băizhàng Jiēdào</v>
      </c>
      <c r="D43" t="s">
        <v>1349</v>
      </c>
      <c r="E43" t="s">
        <v>15</v>
      </c>
      <c r="F43" t="str">
        <f>_xlfn.CONCAT(D43,", ",H43,", ",I43,", ","浙江省")</f>
        <v>百丈街道, 鄞州区, 宁波市, 浙江省</v>
      </c>
      <c r="G43">
        <v>48258</v>
      </c>
      <c r="H43" t="s">
        <v>2969</v>
      </c>
      <c r="I43" t="s">
        <v>2961</v>
      </c>
      <c r="J43" t="e">
        <f>VLOOKUP(F43,[1]!china_towns_second__2[[Column1]:[Y]],3,FALSE)</f>
        <v>#N/A</v>
      </c>
      <c r="K43" t="e">
        <f>VLOOKUP(F43,[1]!china_towns_second__2[[Column1]:[Y]],2,FALSE)</f>
        <v>#N/A</v>
      </c>
      <c r="L43" t="s">
        <v>3681</v>
      </c>
      <c r="M43" t="str">
        <f>VLOOKUP(H43,CHOOSE({1,2},Table12[Native],Table12[Name]),2,0)</f>
        <v>Yínzhōu Qū</v>
      </c>
      <c r="N43" s="15" t="str">
        <f>VLOOKUP(I43,CHOOSE({1,2},Table12[Native],Table12[Name]),2,0)</f>
        <v>Níngbō Shì</v>
      </c>
      <c r="O43" s="15" t="str">
        <f t="shared" si="0"/>
        <v>Baizhang Jiedao (Níngbō Shì)</v>
      </c>
      <c r="P43" s="15" t="str">
        <f t="shared" si="1"/>
        <v>Baizhang Jiedao (Níngbō Shì)</v>
      </c>
    </row>
    <row r="44" spans="1:16" hidden="1" x14ac:dyDescent="0.25">
      <c r="A44" t="s">
        <v>17</v>
      </c>
      <c r="B44" t="str">
        <f>IF(COUNTIF(A:A,A44)&gt;1,_xlfn.CONCAT(A44," (",N44,")"),A44)</f>
        <v>Băizhàng Zhèn (Hángzhōu Shì)</v>
      </c>
      <c r="C44" t="str">
        <f>IF(COUNTIF(B:B,B44)&gt;1,_xlfn.CONCAT(A44," (",M44,")"),B44)</f>
        <v>Băizhàng Zhèn (Hángzhōu Shì)</v>
      </c>
      <c r="D44" t="s">
        <v>18</v>
      </c>
      <c r="E44" t="s">
        <v>11</v>
      </c>
      <c r="F44" t="str">
        <f>_xlfn.CONCAT(D44,", ",H44,", ",I44,", ","浙江省")</f>
        <v>百丈镇, 余杭区, 杭州市, 浙江省</v>
      </c>
      <c r="G44">
        <v>9557</v>
      </c>
      <c r="H44" t="s">
        <v>2919</v>
      </c>
      <c r="I44" t="s">
        <v>2903</v>
      </c>
      <c r="J44">
        <f>VLOOKUP(F44,[1]!china_towns_second__2[[Column1]:[Y]],3,FALSE)</f>
        <v>30.517953045255901</v>
      </c>
      <c r="K44">
        <f>VLOOKUP(F44,[1]!china_towns_second__2[[Column1]:[Y]],2,FALSE)</f>
        <v>119.7373024</v>
      </c>
      <c r="L44" t="s">
        <v>3682</v>
      </c>
      <c r="M44" t="str">
        <f>VLOOKUP(H44,CHOOSE({1,2},Table12[Native],Table12[Name]),2,0)</f>
        <v>Yúháng Qū</v>
      </c>
      <c r="N44" s="15" t="str">
        <f>VLOOKUP(I44,CHOOSE({1,2},Table12[Native],Table12[Name]),2,0)</f>
        <v>Hángzhōu Shì</v>
      </c>
      <c r="O44" s="15" t="str">
        <f t="shared" si="0"/>
        <v>Baizhang Zhen (Hangzhou Shi) (Hángzhōu Shì)</v>
      </c>
      <c r="P44" s="15" t="str">
        <f t="shared" si="1"/>
        <v>Baizhang Zhen (Hangzhou Shi) (Hángzhōu Shì)</v>
      </c>
    </row>
    <row r="45" spans="1:16" hidden="1" x14ac:dyDescent="0.25">
      <c r="A45" t="s">
        <v>17</v>
      </c>
      <c r="B45" t="str">
        <f>IF(COUNTIF(A:A,A45)&gt;1,_xlfn.CONCAT(A45," (",N45,")"),A45)</f>
        <v>Băizhàng Zhèn (Wēnzhōu Shì)</v>
      </c>
      <c r="C45" t="str">
        <f>IF(COUNTIF(B:B,B45)&gt;1,_xlfn.CONCAT(A45," (",M45,")"),B45)</f>
        <v>Băizhàng Zhèn (Wēnzhōu Shì)</v>
      </c>
      <c r="D45" t="s">
        <v>18</v>
      </c>
      <c r="E45" t="s">
        <v>11</v>
      </c>
      <c r="F45" t="str">
        <f>_xlfn.CONCAT(D45,", ",H45,", ",I45,", ","浙江省")</f>
        <v>百丈镇, 泰顺县, 温州市, 浙江省</v>
      </c>
      <c r="G45">
        <v>2710</v>
      </c>
      <c r="H45" t="s">
        <v>3008</v>
      </c>
      <c r="I45" t="s">
        <v>3000</v>
      </c>
      <c r="J45">
        <f>VLOOKUP(F45,[1]!china_towns_second__2[[Column1]:[Y]],3,FALSE)</f>
        <v>27.6390204792161</v>
      </c>
      <c r="K45">
        <f>VLOOKUP(F45,[1]!china_towns_second__2[[Column1]:[Y]],2,FALSE)</f>
        <v>119.8760867</v>
      </c>
      <c r="L45" t="s">
        <v>3683</v>
      </c>
      <c r="M45" t="str">
        <f>VLOOKUP(H45,CHOOSE({1,2},Table12[Native],Table12[Name]),2,0)</f>
        <v>Tàishùn Xiàn</v>
      </c>
      <c r="N45" s="15" t="str">
        <f>VLOOKUP(I45,CHOOSE({1,2},Table12[Native],Table12[Name]),2,0)</f>
        <v>Wēnzhōu Shì</v>
      </c>
      <c r="O45" s="15" t="str">
        <f t="shared" si="0"/>
        <v>Baizhang Zhen (Wenzhou Shi) (Wēnzhōu Shì)</v>
      </c>
      <c r="P45" s="15" t="str">
        <f t="shared" si="1"/>
        <v>Baizhang Zhen (Wenzhou Shi) (Wēnzhōu Shì)</v>
      </c>
    </row>
    <row r="46" spans="1:16" hidden="1" x14ac:dyDescent="0.25">
      <c r="A46" t="s">
        <v>2280</v>
      </c>
      <c r="B46" t="str">
        <f>IF(COUNTIF(A:A,A46)&gt;1,_xlfn.CONCAT(A46," (",N46,")"),A46)</f>
        <v>Băizhàngjì Zhèn</v>
      </c>
      <c r="C46" t="str">
        <f>IF(COUNTIF(B:B,B46)&gt;1,_xlfn.CONCAT(A46," (",M46,")"),B46)</f>
        <v>Băizhàngjì Zhèn</v>
      </c>
      <c r="D46" t="s">
        <v>2281</v>
      </c>
      <c r="E46" t="s">
        <v>11</v>
      </c>
      <c r="F46" t="str">
        <f>_xlfn.CONCAT(D46,", ",H46,", ",I46,", ","浙江省")</f>
        <v>百丈漈镇, 文成县, 温州市, 浙江省</v>
      </c>
      <c r="G46">
        <v>7213</v>
      </c>
      <c r="H46" t="s">
        <v>3009</v>
      </c>
      <c r="I46" t="s">
        <v>3000</v>
      </c>
      <c r="J46">
        <f>VLOOKUP(F46,[1]!china_towns_second__2[[Column1]:[Y]],3,FALSE)</f>
        <v>27.8575972846279</v>
      </c>
      <c r="K46">
        <f>VLOOKUP(F46,[1]!china_towns_second__2[[Column1]:[Y]],2,FALSE)</f>
        <v>120.0230751</v>
      </c>
      <c r="L46" t="s">
        <v>3684</v>
      </c>
      <c r="M46" t="str">
        <f>VLOOKUP(H46,CHOOSE({1,2},Table12[Native],Table12[Name]),2,0)</f>
        <v>Wénchéng Xiàn</v>
      </c>
      <c r="N46" s="15" t="str">
        <f>VLOOKUP(I46,CHOOSE({1,2},Table12[Native],Table12[Name]),2,0)</f>
        <v>Wēnzhōu Shì</v>
      </c>
      <c r="O46" s="15" t="str">
        <f t="shared" si="0"/>
        <v>Baizhangji Zhen (Wēnzhōu Shì)</v>
      </c>
      <c r="P46" s="15" t="str">
        <f t="shared" si="1"/>
        <v>Baizhangji Zhen (Wēnzhōu Shì)</v>
      </c>
    </row>
    <row r="47" spans="1:16" hidden="1" x14ac:dyDescent="0.25">
      <c r="A47" t="s">
        <v>423</v>
      </c>
      <c r="B47" t="str">
        <f>IF(COUNTIF(A:A,A47)&gt;1,_xlfn.CONCAT(A47," (",N47,")"),A47)</f>
        <v>Bālĭdiàn Zhèn</v>
      </c>
      <c r="C47" t="str">
        <f>IF(COUNTIF(B:B,B47)&gt;1,_xlfn.CONCAT(A47," (",M47,")"),B47)</f>
        <v>Bālĭdiàn Zhèn</v>
      </c>
      <c r="D47" t="s">
        <v>424</v>
      </c>
      <c r="E47" t="s">
        <v>11</v>
      </c>
      <c r="F47" t="str">
        <f>_xlfn.CONCAT(D47,", ",H47,", ",I47,", ","浙江省")</f>
        <v>八里店镇, 吴兴区, 湖州市, 浙江省</v>
      </c>
      <c r="G47">
        <v>62833</v>
      </c>
      <c r="H47" t="s">
        <v>2927</v>
      </c>
      <c r="I47" t="s">
        <v>2922</v>
      </c>
      <c r="J47">
        <f>VLOOKUP(F47,[1]!china_towns_second__2[[Column1]:[Y]],3,FALSE)</f>
        <v>30.867622406771599</v>
      </c>
      <c r="K47">
        <f>VLOOKUP(F47,[1]!china_towns_second__2[[Column1]:[Y]],2,FALSE)</f>
        <v>120.1819618</v>
      </c>
      <c r="L47" t="s">
        <v>3685</v>
      </c>
      <c r="M47" t="str">
        <f>VLOOKUP(H47,CHOOSE({1,2},Table12[Native],Table12[Name]),2,0)</f>
        <v>Wúxīng Qū</v>
      </c>
      <c r="N47" s="15" t="str">
        <f>VLOOKUP(I47,CHOOSE({1,2},Table12[Native],Table12[Name]),2,0)</f>
        <v>Húzhōu Shì</v>
      </c>
      <c r="O47" s="15" t="str">
        <f t="shared" si="0"/>
        <v>Balidian Zhen (Húzhōu Shì)</v>
      </c>
      <c r="P47" s="15" t="str">
        <f t="shared" si="1"/>
        <v>Balidian Zhen (Húzhōu Shì)</v>
      </c>
    </row>
    <row r="48" spans="1:16" hidden="1" x14ac:dyDescent="0.25">
      <c r="A48" t="s">
        <v>1015</v>
      </c>
      <c r="B48" t="str">
        <f>IF(COUNTIF(A:A,A48)&gt;1,_xlfn.CONCAT(A48," (",N48,")"),A48)</f>
        <v>Bănqiáo Shēzú Xiāng</v>
      </c>
      <c r="C48" t="str">
        <f>IF(COUNTIF(B:B,B48)&gt;1,_xlfn.CONCAT(A48," (",M48,")"),B48)</f>
        <v>Bănqiáo Shēzú Xiāng</v>
      </c>
      <c r="D48" t="s">
        <v>1016</v>
      </c>
      <c r="E48" t="s">
        <v>7</v>
      </c>
      <c r="F48" t="str">
        <f>_xlfn.CONCAT(D48,", ",H48,", ",I48,", ","浙江省")</f>
        <v>板桥畲族乡, 松阳县, 丽水市, 浙江省</v>
      </c>
      <c r="G48">
        <v>2799</v>
      </c>
      <c r="H48" t="s">
        <v>2957</v>
      </c>
      <c r="I48" t="s">
        <v>2949</v>
      </c>
      <c r="J48" t="e">
        <f>VLOOKUP(F48,[1]!china_towns_second__2[[Column1]:[Y]],3,FALSE)</f>
        <v>#N/A</v>
      </c>
      <c r="K48" t="e">
        <f>VLOOKUP(F48,[1]!china_towns_second__2[[Column1]:[Y]],2,FALSE)</f>
        <v>#N/A</v>
      </c>
      <c r="L48" t="s">
        <v>3686</v>
      </c>
      <c r="M48" t="str">
        <f>VLOOKUP(H48,CHOOSE({1,2},Table12[Native],Table12[Name]),2,0)</f>
        <v>Sōngyáng Xiàn</v>
      </c>
      <c r="N48" s="15" t="str">
        <f>VLOOKUP(I48,CHOOSE({1,2},Table12[Native],Table12[Name]),2,0)</f>
        <v>Lìshuĭ Shì</v>
      </c>
      <c r="O48" s="15" t="str">
        <f t="shared" si="0"/>
        <v>Banqiao Shezu Xiang (Lìshuĭ Shì)</v>
      </c>
      <c r="P48" s="15" t="str">
        <f t="shared" si="1"/>
        <v>Banqiao Shezu Xiang (Lìshuĭ Shì)</v>
      </c>
    </row>
    <row r="49" spans="1:16" hidden="1" x14ac:dyDescent="0.25">
      <c r="A49" t="s">
        <v>20</v>
      </c>
      <c r="B49" t="str">
        <f>IF(COUNTIF(A:A,A49)&gt;1,_xlfn.CONCAT(A49," (",N49,")"),A49)</f>
        <v>Bănqiáo Zhèn [incl. Sānkŏu Zhèn]</v>
      </c>
      <c r="C49" t="str">
        <f>IF(COUNTIF(B:B,B49)&gt;1,_xlfn.CONCAT(A49," (",M49,")"),B49)</f>
        <v>Bănqiáo Zhèn [incl. Sānkŏu Zhèn]</v>
      </c>
      <c r="D49" t="s">
        <v>21</v>
      </c>
      <c r="E49" t="s">
        <v>11</v>
      </c>
      <c r="F49" t="str">
        <f>_xlfn.CONCAT(D49,", ",H49,", ",I49,", ","浙江省")</f>
        <v>板桥镇, 临安区, 杭州市, 浙江省</v>
      </c>
      <c r="G49">
        <v>20510</v>
      </c>
      <c r="H49" t="s">
        <v>2911</v>
      </c>
      <c r="I49" t="s">
        <v>2903</v>
      </c>
      <c r="J49">
        <f>VLOOKUP(F49,[1]!china_towns_second__2[[Column1]:[Y]],3,FALSE)</f>
        <v>30.1483885869701</v>
      </c>
      <c r="K49">
        <f>VLOOKUP(F49,[1]!china_towns_second__2[[Column1]:[Y]],2,FALSE)</f>
        <v>119.7642956</v>
      </c>
      <c r="L49" t="s">
        <v>3687</v>
      </c>
      <c r="M49" t="str">
        <f>VLOOKUP(H49,CHOOSE({1,2},Table12[Native],Table12[Name]),2,0)</f>
        <v>Lín'ān Qū</v>
      </c>
      <c r="N49" s="15" t="str">
        <f>VLOOKUP(I49,CHOOSE({1,2},Table12[Native],Table12[Name]),2,0)</f>
        <v>Hángzhōu Shì</v>
      </c>
      <c r="O49" s="15" t="str">
        <f t="shared" si="0"/>
        <v>Banqiao Zhen [incl. Sankou Zhen] (Hángzhōu Shì)</v>
      </c>
      <c r="P49" s="15" t="str">
        <f t="shared" si="1"/>
        <v>Banqiao Zhen [incl. Sankou Zhen] (Hángzhōu Shì)</v>
      </c>
    </row>
    <row r="50" spans="1:16" hidden="1" x14ac:dyDescent="0.25">
      <c r="A50" t="s">
        <v>23</v>
      </c>
      <c r="B50" t="str">
        <f>IF(COUNTIF(A:A,A50)&gt;1,_xlfn.CONCAT(A50," (",N50,")"),A50)</f>
        <v>Bànshān Jiēdào</v>
      </c>
      <c r="C50" t="str">
        <f>IF(COUNTIF(B:B,B50)&gt;1,_xlfn.CONCAT(A50," (",M50,")"),B50)</f>
        <v>Bànshān Jiēdào</v>
      </c>
      <c r="D50" t="s">
        <v>24</v>
      </c>
      <c r="E50" t="s">
        <v>15</v>
      </c>
      <c r="F50" t="str">
        <f>_xlfn.CONCAT(D50,", ",H50,", ",I50,", ","浙江省")</f>
        <v>半山街道, 拱墅区, 杭州市, 浙江省</v>
      </c>
      <c r="G50">
        <v>51607</v>
      </c>
      <c r="H50" t="s">
        <v>2909</v>
      </c>
      <c r="I50" t="s">
        <v>2903</v>
      </c>
      <c r="J50">
        <f>VLOOKUP(F50,[1]!china_towns_second__2[[Column1]:[Y]],3,FALSE)</f>
        <v>30.368340917370599</v>
      </c>
      <c r="K50">
        <f>VLOOKUP(F50,[1]!china_towns_second__2[[Column1]:[Y]],2,FALSE)</f>
        <v>120.1838034</v>
      </c>
      <c r="L50" t="s">
        <v>3688</v>
      </c>
      <c r="M50" t="str">
        <f>VLOOKUP(H50,CHOOSE({1,2},Table12[Native],Table12[Name]),2,0)</f>
        <v>Gŏngshù Qū</v>
      </c>
      <c r="N50" s="15" t="str">
        <f>VLOOKUP(I50,CHOOSE({1,2},Table12[Native],Table12[Name]),2,0)</f>
        <v>Hángzhōu Shì</v>
      </c>
      <c r="O50" s="15" t="str">
        <f t="shared" si="0"/>
        <v>Banshan Jiedao (Hángzhōu Shì)</v>
      </c>
      <c r="P50" s="15" t="str">
        <f t="shared" si="1"/>
        <v>Banshan Jiedao (Hángzhōu Shì)</v>
      </c>
    </row>
    <row r="51" spans="1:16" hidden="1" x14ac:dyDescent="0.25">
      <c r="A51" t="s">
        <v>1648</v>
      </c>
      <c r="B51" t="str">
        <f>IF(COUNTIF(A:A,A51)&gt;1,_xlfn.CONCAT(A51," (",N51,")"),A51)</f>
        <v>Băo'ān Xiāng</v>
      </c>
      <c r="C51" t="str">
        <f>IF(COUNTIF(B:B,B51)&gt;1,_xlfn.CONCAT(A51," (",M51,")"),B51)</f>
        <v>Băo'ān Xiāng</v>
      </c>
      <c r="D51" t="s">
        <v>1649</v>
      </c>
      <c r="E51" t="s">
        <v>7</v>
      </c>
      <c r="F51" t="str">
        <f>_xlfn.CONCAT(D51,", ",H51,", ",I51,", ","浙江省")</f>
        <v>保安乡, 江山市, 衢州市, 浙江省</v>
      </c>
      <c r="G51">
        <v>3751</v>
      </c>
      <c r="H51" t="s">
        <v>2975</v>
      </c>
      <c r="I51" t="s">
        <v>2973</v>
      </c>
      <c r="J51" t="e">
        <f>VLOOKUP(F51,[1]!china_towns_second__2[[Column1]:[Y]],3,FALSE)</f>
        <v>#N/A</v>
      </c>
      <c r="K51" t="e">
        <f>VLOOKUP(F51,[1]!china_towns_second__2[[Column1]:[Y]],2,FALSE)</f>
        <v>#N/A</v>
      </c>
      <c r="L51" t="s">
        <v>3689</v>
      </c>
      <c r="M51" t="str">
        <f>VLOOKUP(H51,CHOOSE({1,2},Table12[Native],Table12[Name]),2,0)</f>
        <v>Jiāngshān Shì</v>
      </c>
      <c r="N51" s="15" t="str">
        <f>VLOOKUP(I51,CHOOSE({1,2},Table12[Native],Table12[Name]),2,0)</f>
        <v>Qúzhōu Shì</v>
      </c>
      <c r="O51" s="15" t="str">
        <f t="shared" si="0"/>
        <v>Bao'an Xiang (Qúzhōu Shì)</v>
      </c>
      <c r="P51" s="15" t="str">
        <f t="shared" si="1"/>
        <v>Bao'an Xiang (Qúzhōu Shì)</v>
      </c>
    </row>
    <row r="52" spans="1:16" hidden="1" x14ac:dyDescent="0.25">
      <c r="A52" t="s">
        <v>425</v>
      </c>
      <c r="B52" t="str">
        <f>IF(COUNTIF(A:A,A52)&gt;1,_xlfn.CONCAT(A52," (",N52,")"),A52)</f>
        <v>Bàofú Zhèn</v>
      </c>
      <c r="C52" t="str">
        <f>IF(COUNTIF(B:B,B52)&gt;1,_xlfn.CONCAT(A52," (",M52,")"),B52)</f>
        <v>Bàofú Zhèn</v>
      </c>
      <c r="D52" t="s">
        <v>426</v>
      </c>
      <c r="E52" t="s">
        <v>11</v>
      </c>
      <c r="F52" t="str">
        <f>_xlfn.CONCAT(D52,", ",H52,", ",I52,", ","浙江省")</f>
        <v>报福镇, 安吉县, 湖州市, 浙江省</v>
      </c>
      <c r="G52">
        <v>13701</v>
      </c>
      <c r="H52" t="s">
        <v>2923</v>
      </c>
      <c r="I52" t="s">
        <v>2922</v>
      </c>
      <c r="J52">
        <f>VLOOKUP(F52,[1]!china_towns_second__2[[Column1]:[Y]],3,FALSE)</f>
        <v>30.4741018935187</v>
      </c>
      <c r="K52">
        <f>VLOOKUP(F52,[1]!china_towns_second__2[[Column1]:[Y]],2,FALSE)</f>
        <v>119.47457489999999</v>
      </c>
      <c r="L52" t="s">
        <v>3690</v>
      </c>
      <c r="M52" t="str">
        <f>VLOOKUP(H52,CHOOSE({1,2},Table12[Native],Table12[Name]),2,0)</f>
        <v>Ānjí Xiàn</v>
      </c>
      <c r="N52" s="15" t="str">
        <f>VLOOKUP(I52,CHOOSE({1,2},Table12[Native],Table12[Name]),2,0)</f>
        <v>Húzhōu Shì</v>
      </c>
      <c r="O52" s="15" t="str">
        <f t="shared" si="0"/>
        <v>Baofu Zhen (Húzhōu Shì)</v>
      </c>
      <c r="P52" s="15" t="str">
        <f t="shared" si="1"/>
        <v>Baofu Zhen (Húzhōu Shì)</v>
      </c>
    </row>
    <row r="53" spans="1:16" hidden="1" x14ac:dyDescent="0.25">
      <c r="A53" t="s">
        <v>1350</v>
      </c>
      <c r="B53" t="str">
        <f>IF(COUNTIF(A:A,A53)&gt;1,_xlfn.CONCAT(A53," (",N53,")"),A53)</f>
        <v>Băoshuìqū</v>
      </c>
      <c r="C53" t="str">
        <f>IF(COUNTIF(B:B,B53)&gt;1,_xlfn.CONCAT(A53," (",M53,")"),B53)</f>
        <v>Băoshuìqū</v>
      </c>
      <c r="D53" t="s">
        <v>1351</v>
      </c>
      <c r="E53" t="s">
        <v>253</v>
      </c>
      <c r="F53" t="str">
        <f>_xlfn.CONCAT(D53,", ",H53,", ",I53,", ","浙江省")</f>
        <v>保税区, 北仑区, 宁波市, 浙江省</v>
      </c>
      <c r="G53">
        <v>13234</v>
      </c>
      <c r="H53" t="s">
        <v>2962</v>
      </c>
      <c r="I53" t="s">
        <v>2961</v>
      </c>
      <c r="J53">
        <f>VLOOKUP(F53,[1]!china_towns_second__2[[Column1]:[Y]],3,FALSE)</f>
        <v>29.912940306991398</v>
      </c>
      <c r="K53">
        <f>VLOOKUP(F53,[1]!china_towns_second__2[[Column1]:[Y]],2,FALSE)</f>
        <v>121.7952863</v>
      </c>
      <c r="L53" t="s">
        <v>3691</v>
      </c>
      <c r="M53" t="str">
        <f>VLOOKUP(H53,CHOOSE({1,2},Table12[Native],Table12[Name]),2,0)</f>
        <v>Bĕilún Qū</v>
      </c>
      <c r="N53" s="15" t="str">
        <f>VLOOKUP(I53,CHOOSE({1,2},Table12[Native],Table12[Name]),2,0)</f>
        <v>Níngbō Shì</v>
      </c>
      <c r="O53" s="15" t="str">
        <f t="shared" si="0"/>
        <v>Baoshuiqu (Níngbō Shì)</v>
      </c>
      <c r="P53" s="15" t="str">
        <f t="shared" si="1"/>
        <v>Baoshuiqu (Níngbō Shì)</v>
      </c>
    </row>
    <row r="54" spans="1:16" hidden="1" x14ac:dyDescent="0.25">
      <c r="A54" t="s">
        <v>1017</v>
      </c>
      <c r="B54" t="str">
        <f>IF(COUNTIF(A:A,A54)&gt;1,_xlfn.CONCAT(A54," (",N54,")"),A54)</f>
        <v>Băoxī Xiāng</v>
      </c>
      <c r="C54" t="str">
        <f>IF(COUNTIF(B:B,B54)&gt;1,_xlfn.CONCAT(A54," (",M54,")"),B54)</f>
        <v>Băoxī Xiāng</v>
      </c>
      <c r="D54" t="s">
        <v>1018</v>
      </c>
      <c r="E54" t="s">
        <v>7</v>
      </c>
      <c r="F54" t="str">
        <f>_xlfn.CONCAT(D54,", ",H54,", ",I54,", ","浙江省")</f>
        <v>宝溪乡, 龙泉市, 丽水市, 浙江省</v>
      </c>
      <c r="G54">
        <v>4325</v>
      </c>
      <c r="H54" t="s">
        <v>2954</v>
      </c>
      <c r="I54" t="s">
        <v>2949</v>
      </c>
      <c r="J54" t="e">
        <f>VLOOKUP(F54,[1]!china_towns_second__2[[Column1]:[Y]],3,FALSE)</f>
        <v>#N/A</v>
      </c>
      <c r="K54" t="e">
        <f>VLOOKUP(F54,[1]!china_towns_second__2[[Column1]:[Y]],2,FALSE)</f>
        <v>#N/A</v>
      </c>
      <c r="L54" t="s">
        <v>3692</v>
      </c>
      <c r="M54" t="str">
        <f>VLOOKUP(H54,CHOOSE({1,2},Table12[Native],Table12[Name]),2,0)</f>
        <v>Lóngquán Shì</v>
      </c>
      <c r="N54" s="15" t="str">
        <f>VLOOKUP(I54,CHOOSE({1,2},Table12[Native],Table12[Name]),2,0)</f>
        <v>Lìshuĭ Shì</v>
      </c>
      <c r="O54" s="15" t="str">
        <f t="shared" si="0"/>
        <v>Baoxi Xiang (Lìshuĭ Shì)</v>
      </c>
      <c r="P54" s="15" t="str">
        <f t="shared" si="1"/>
        <v>Baoxi Xiang (Lìshuĭ Shì)</v>
      </c>
    </row>
    <row r="55" spans="1:16" hidden="1" x14ac:dyDescent="0.25">
      <c r="A55" t="s">
        <v>2284</v>
      </c>
      <c r="B55" t="str">
        <f>IF(COUNTIF(A:A,A55)&gt;1,_xlfn.CONCAT(A55," (",N55,")"),A55)</f>
        <v>Bāoyáng Xiāng</v>
      </c>
      <c r="C55" t="str">
        <f>IF(COUNTIF(B:B,B55)&gt;1,_xlfn.CONCAT(A55," (",M55,")"),B55)</f>
        <v>Bāoyáng Xiāng</v>
      </c>
      <c r="D55" t="s">
        <v>2285</v>
      </c>
      <c r="E55" t="s">
        <v>7</v>
      </c>
      <c r="F55" t="str">
        <f>_xlfn.CONCAT(D55,", ",H55,", ",I55,", ","浙江省")</f>
        <v>包垟乡, 泰顺县, 温州市, 浙江省</v>
      </c>
      <c r="G55">
        <v>2740</v>
      </c>
      <c r="H55" t="s">
        <v>3008</v>
      </c>
      <c r="I55" t="s">
        <v>3000</v>
      </c>
      <c r="J55" t="e">
        <f>VLOOKUP(F55,[1]!china_towns_second__2[[Column1]:[Y]],3,FALSE)</f>
        <v>#N/A</v>
      </c>
      <c r="K55" t="e">
        <f>VLOOKUP(F55,[1]!china_towns_second__2[[Column1]:[Y]],2,FALSE)</f>
        <v>#N/A</v>
      </c>
      <c r="L55" t="s">
        <v>3693</v>
      </c>
      <c r="M55" t="str">
        <f>VLOOKUP(H55,CHOOSE({1,2},Table12[Native],Table12[Name]),2,0)</f>
        <v>Tàishùn Xiàn</v>
      </c>
      <c r="N55" s="15" t="str">
        <f>VLOOKUP(I55,CHOOSE({1,2},Table12[Native],Table12[Name]),2,0)</f>
        <v>Wēnzhōu Shì</v>
      </c>
      <c r="O55" s="15" t="str">
        <f t="shared" si="0"/>
        <v>Baoyang Xiang (Wēnzhōu Shì)</v>
      </c>
      <c r="P55" s="15" t="str">
        <f t="shared" si="1"/>
        <v>Baoyang Xiang (Wēnzhōu Shì)</v>
      </c>
    </row>
    <row r="56" spans="1:16" hidden="1" x14ac:dyDescent="0.25">
      <c r="A56" t="s">
        <v>2286</v>
      </c>
      <c r="B56" t="str">
        <f>IF(COUNTIF(A:A,A56)&gt;1,_xlfn.CONCAT(A56," (",N56,")"),A56)</f>
        <v>Bĕi'ào Jiēdào</v>
      </c>
      <c r="C56" t="str">
        <f>IF(COUNTIF(B:B,B56)&gt;1,_xlfn.CONCAT(A56," (",M56,")"),B56)</f>
        <v>Bĕi'ào Jiēdào</v>
      </c>
      <c r="D56" t="s">
        <v>2287</v>
      </c>
      <c r="E56" t="s">
        <v>15</v>
      </c>
      <c r="F56" t="str">
        <f>_xlfn.CONCAT(D56,", ",H56,", ",I56,", ","浙江省")</f>
        <v>北岙街道, 洞头区, 温州市, 浙江省</v>
      </c>
      <c r="G56">
        <v>41761</v>
      </c>
      <c r="H56" t="s">
        <v>3002</v>
      </c>
      <c r="I56" t="s">
        <v>3000</v>
      </c>
      <c r="J56">
        <f>VLOOKUP(F56,[1]!china_towns_second__2[[Column1]:[Y]],3,FALSE)</f>
        <v>27.847171938902399</v>
      </c>
      <c r="K56">
        <f>VLOOKUP(F56,[1]!china_towns_second__2[[Column1]:[Y]],2,FALSE)</f>
        <v>121.1384518</v>
      </c>
      <c r="L56" t="s">
        <v>3694</v>
      </c>
      <c r="M56" t="str">
        <f>VLOOKUP(H56,CHOOSE({1,2},Table12[Native],Table12[Name]),2,0)</f>
        <v>Dòngtóu Qū</v>
      </c>
      <c r="N56" s="15" t="str">
        <f>VLOOKUP(I56,CHOOSE({1,2},Table12[Native],Table12[Name]),2,0)</f>
        <v>Wēnzhōu Shì</v>
      </c>
      <c r="O56" s="15" t="str">
        <f t="shared" si="0"/>
        <v>Bei'ao Jiedao (Wēnzhōu Shì)</v>
      </c>
      <c r="P56" s="15" t="str">
        <f t="shared" si="1"/>
        <v>Bei'ao Jiedao (Wēnzhōu Shì)</v>
      </c>
    </row>
    <row r="57" spans="1:16" hidden="1" x14ac:dyDescent="0.25">
      <c r="A57" t="s">
        <v>2289</v>
      </c>
      <c r="B57" t="str">
        <f>IF(COUNTIF(A:A,A57)&gt;1,_xlfn.CONCAT(A57," (",N57,")"),A57)</f>
        <v>Bĕibáixiàng Zhèn</v>
      </c>
      <c r="C57" t="str">
        <f>IF(COUNTIF(B:B,B57)&gt;1,_xlfn.CONCAT(A57," (",M57,")"),B57)</f>
        <v>Bĕibáixiàng Zhèn</v>
      </c>
      <c r="D57" t="s">
        <v>2290</v>
      </c>
      <c r="E57" t="s">
        <v>11</v>
      </c>
      <c r="F57" t="str">
        <f>_xlfn.CONCAT(D57,", ",H57,", ",I57,", ","浙江省")</f>
        <v>北白象镇, 乐清市, 温州市, 浙江省</v>
      </c>
      <c r="G57">
        <v>156341</v>
      </c>
      <c r="H57" t="s">
        <v>3011</v>
      </c>
      <c r="I57" t="s">
        <v>3000</v>
      </c>
      <c r="J57">
        <f>VLOOKUP(F57,[1]!china_towns_second__2[[Column1]:[Y]],3,FALSE)</f>
        <v>28.031618422039202</v>
      </c>
      <c r="K57">
        <f>VLOOKUP(F57,[1]!china_towns_second__2[[Column1]:[Y]],2,FALSE)</f>
        <v>120.8327815</v>
      </c>
      <c r="L57" t="s">
        <v>3695</v>
      </c>
      <c r="M57" t="str">
        <f>VLOOKUP(H57,CHOOSE({1,2},Table12[Native],Table12[Name]),2,0)</f>
        <v>Yuèqīng Shì</v>
      </c>
      <c r="N57" s="15" t="str">
        <f>VLOOKUP(I57,CHOOSE({1,2},Table12[Native],Table12[Name]),2,0)</f>
        <v>Wēnzhōu Shì</v>
      </c>
      <c r="O57" s="15" t="str">
        <f t="shared" si="0"/>
        <v>Beibaixiang Zhen (Wēnzhōu Shì)</v>
      </c>
      <c r="P57" s="15" t="str">
        <f t="shared" si="1"/>
        <v>Beibaixiang Zhen (Wēnzhōu Shì)</v>
      </c>
    </row>
    <row r="58" spans="1:16" hidden="1" x14ac:dyDescent="0.25">
      <c r="A58" t="s">
        <v>2051</v>
      </c>
      <c r="B58" t="str">
        <f>IF(COUNTIF(A:A,A58)&gt;1,_xlfn.CONCAT(A58," (",N58,")"),A58)</f>
        <v>Bĕichéng Jiēdào</v>
      </c>
      <c r="C58" t="str">
        <f>IF(COUNTIF(B:B,B58)&gt;1,_xlfn.CONCAT(A58," (",M58,")"),B58)</f>
        <v>Bĕichéng Jiēdào</v>
      </c>
      <c r="D58" t="s">
        <v>2052</v>
      </c>
      <c r="E58" t="s">
        <v>15</v>
      </c>
      <c r="F58" t="str">
        <f>_xlfn.CONCAT(D58,", ",H58,", ",I58,", ","浙江省")</f>
        <v>北城街道, 黄岩区, 台州市, 浙江省</v>
      </c>
      <c r="G58">
        <v>54189</v>
      </c>
      <c r="H58" t="s">
        <v>2990</v>
      </c>
      <c r="I58" t="s">
        <v>2989</v>
      </c>
      <c r="J58">
        <f>VLOOKUP(F58,[1]!china_towns_second__2[[Column1]:[Y]],3,FALSE)</f>
        <v>28.686848517878499</v>
      </c>
      <c r="K58">
        <f>VLOOKUP(F58,[1]!china_towns_second__2[[Column1]:[Y]],2,FALSE)</f>
        <v>121.2566023</v>
      </c>
      <c r="L58" t="s">
        <v>3696</v>
      </c>
      <c r="M58" t="str">
        <f>VLOOKUP(H58,CHOOSE({1,2},Table12[Native],Table12[Name]),2,0)</f>
        <v>Huángyán Qū</v>
      </c>
      <c r="N58" s="15" t="str">
        <f>VLOOKUP(I58,CHOOSE({1,2},Table12[Native],Table12[Name]),2,0)</f>
        <v>Táizhōu Shì</v>
      </c>
      <c r="O58" s="15" t="str">
        <f t="shared" si="0"/>
        <v>Beicheng Jiedao (Táizhōu Shì)</v>
      </c>
      <c r="P58" s="15" t="str">
        <f t="shared" si="1"/>
        <v>Beicheng Jiedao (Táizhōu Shì)</v>
      </c>
    </row>
    <row r="59" spans="1:16" hidden="1" x14ac:dyDescent="0.25">
      <c r="A59" t="s">
        <v>26</v>
      </c>
      <c r="B59" t="str">
        <f>IF(COUNTIF(A:A,A59)&gt;1,_xlfn.CONCAT(A59," (",N59,")"),A59)</f>
        <v>Bĕigān Jiēdào</v>
      </c>
      <c r="C59" t="str">
        <f>IF(COUNTIF(B:B,B59)&gt;1,_xlfn.CONCAT(A59," (",M59,")"),B59)</f>
        <v>Bĕigān Jiēdào</v>
      </c>
      <c r="D59" t="s">
        <v>27</v>
      </c>
      <c r="E59" t="s">
        <v>15</v>
      </c>
      <c r="F59" t="str">
        <f>_xlfn.CONCAT(D59,", ",H59,", ",I59,", ","浙江省")</f>
        <v>北干街道, 萧山区, 杭州市, 浙江省</v>
      </c>
      <c r="G59">
        <v>97098</v>
      </c>
      <c r="H59" t="s">
        <v>2917</v>
      </c>
      <c r="I59" t="s">
        <v>2903</v>
      </c>
      <c r="J59">
        <f>VLOOKUP(F59,[1]!china_towns_second__2[[Column1]:[Y]],3,FALSE)</f>
        <v>30.189848221523</v>
      </c>
      <c r="K59">
        <f>VLOOKUP(F59,[1]!china_towns_second__2[[Column1]:[Y]],2,FALSE)</f>
        <v>120.2557209</v>
      </c>
      <c r="L59" t="s">
        <v>3697</v>
      </c>
      <c r="M59" t="str">
        <f>VLOOKUP(H59,CHOOSE({1,2},Table12[Native],Table12[Name]),2,0)</f>
        <v>Xiāoshān Qū</v>
      </c>
      <c r="N59" s="15" t="str">
        <f>VLOOKUP(I59,CHOOSE({1,2},Table12[Native],Table12[Name]),2,0)</f>
        <v>Hángzhōu Shì</v>
      </c>
      <c r="O59" s="15" t="str">
        <f t="shared" si="0"/>
        <v>Beigan Jiedao (Hángzhōu Shì)</v>
      </c>
      <c r="P59" s="15" t="str">
        <f t="shared" si="1"/>
        <v>Beigan Jiedao (Hángzhōu Shì)</v>
      </c>
    </row>
    <row r="60" spans="1:16" hidden="1" x14ac:dyDescent="0.25">
      <c r="A60" t="s">
        <v>1838</v>
      </c>
      <c r="B60" t="str">
        <f>IF(COUNTIF(A:A,A60)&gt;1,_xlfn.CONCAT(A60," (",N60,")"),A60)</f>
        <v>Bĕihăi Jiēdào</v>
      </c>
      <c r="C60" t="str">
        <f>IF(COUNTIF(B:B,B60)&gt;1,_xlfn.CONCAT(A60," (",M60,")"),B60)</f>
        <v>Bĕihăi Jiēdào</v>
      </c>
      <c r="D60" t="s">
        <v>1839</v>
      </c>
      <c r="E60" t="s">
        <v>15</v>
      </c>
      <c r="F60" t="str">
        <f>_xlfn.CONCAT(D60,", ",H60,", ",I60,", ","浙江省")</f>
        <v>北海街道, 越城区, 绍兴市, 浙江省</v>
      </c>
      <c r="G60">
        <v>49212</v>
      </c>
      <c r="H60" t="s">
        <v>2986</v>
      </c>
      <c r="I60" t="s">
        <v>2981</v>
      </c>
      <c r="J60">
        <f>VLOOKUP(F60,[1]!china_towns_second__2[[Column1]:[Y]],3,FALSE)</f>
        <v>30.0172038207985</v>
      </c>
      <c r="K60">
        <f>VLOOKUP(F60,[1]!china_towns_second__2[[Column1]:[Y]],2,FALSE)</f>
        <v>120.55924349999999</v>
      </c>
      <c r="L60" t="s">
        <v>3698</v>
      </c>
      <c r="M60" t="str">
        <f>VLOOKUP(H60,CHOOSE({1,2},Table12[Native],Table12[Name]),2,0)</f>
        <v>Yuèchéng Qū</v>
      </c>
      <c r="N60" s="15" t="str">
        <f>VLOOKUP(I60,CHOOSE({1,2},Table12[Native],Table12[Name]),2,0)</f>
        <v>Shàoxīng Shì</v>
      </c>
      <c r="O60" s="15" t="str">
        <f t="shared" si="0"/>
        <v>Beihai Jiedao (Shàoxīng Shì)</v>
      </c>
      <c r="P60" s="15" t="str">
        <f t="shared" si="1"/>
        <v>Beihai Jiedao (Shàoxīng Shì)</v>
      </c>
    </row>
    <row r="61" spans="1:16" hidden="1" x14ac:dyDescent="0.25">
      <c r="A61" t="s">
        <v>2291</v>
      </c>
      <c r="B61" t="str">
        <f>IF(COUNTIF(A:A,A61)&gt;1,_xlfn.CONCAT(A61," (",N61,")"),A61)</f>
        <v>Bĕijĭ Xiāng [→ Dōngshān Jiēdào]</v>
      </c>
      <c r="C61" t="str">
        <f>IF(COUNTIF(B:B,B61)&gt;1,_xlfn.CONCAT(A61," (",M61,")"),B61)</f>
        <v>Bĕijĭ Xiāng [→ Dōngshān Jiēdào]</v>
      </c>
      <c r="D61" t="s">
        <v>2292</v>
      </c>
      <c r="E61" t="s">
        <v>7</v>
      </c>
      <c r="F61" t="str">
        <f>_xlfn.CONCAT(D61,", ",H61,", ",I61,", ","浙江省")</f>
        <v>北麂乡, 瑞安市, 温州市, 浙江省</v>
      </c>
      <c r="G61">
        <v>1515</v>
      </c>
      <c r="H61" t="s">
        <v>3007</v>
      </c>
      <c r="I61" t="s">
        <v>3000</v>
      </c>
      <c r="J61" t="e">
        <f>VLOOKUP(F61,[1]!china_towns_second__2[[Column1]:[Y]],3,FALSE)</f>
        <v>#N/A</v>
      </c>
      <c r="K61" t="e">
        <f>VLOOKUP(F61,[1]!china_towns_second__2[[Column1]:[Y]],2,FALSE)</f>
        <v>#N/A</v>
      </c>
      <c r="L61" t="s">
        <v>3699</v>
      </c>
      <c r="M61" t="str">
        <f>VLOOKUP(H61,CHOOSE({1,2},Table12[Native],Table12[Name]),2,0)</f>
        <v>Ruì'ān Shì</v>
      </c>
      <c r="N61" s="15" t="str">
        <f>VLOOKUP(I61,CHOOSE({1,2},Table12[Native],Table12[Name]),2,0)</f>
        <v>Wēnzhōu Shì</v>
      </c>
      <c r="O61" s="15" t="str">
        <f t="shared" si="0"/>
        <v>Beiji Xiang [→ Dongshan Jiedao] (Wēnzhōu Shì)</v>
      </c>
      <c r="P61" s="15" t="str">
        <f t="shared" si="1"/>
        <v>Beiji Xiang [→ Dongshan Jiedao] (Wēnzhōu Shì)</v>
      </c>
    </row>
    <row r="62" spans="1:16" hidden="1" x14ac:dyDescent="0.25">
      <c r="A62" t="s">
        <v>1019</v>
      </c>
      <c r="B62" t="str">
        <f>IF(COUNTIF(A:A,A62)&gt;1,_xlfn.CONCAT(A62," (",N62,")"),A62)</f>
        <v>Bĕijiè Zhèn</v>
      </c>
      <c r="C62" t="str">
        <f>IF(COUNTIF(B:B,B62)&gt;1,_xlfn.CONCAT(A62," (",M62,")"),B62)</f>
        <v>Bĕijiè Zhèn</v>
      </c>
      <c r="D62" t="s">
        <v>1020</v>
      </c>
      <c r="E62" t="s">
        <v>11</v>
      </c>
      <c r="F62" t="str">
        <f>_xlfn.CONCAT(D62,", ",H62,", ",I62,", ","浙江省")</f>
        <v>北界镇, 遂昌县, 丽水市, 浙江省</v>
      </c>
      <c r="G62">
        <v>6630</v>
      </c>
      <c r="H62" t="s">
        <v>2958</v>
      </c>
      <c r="I62" t="s">
        <v>2949</v>
      </c>
      <c r="J62">
        <f>VLOOKUP(F62,[1]!china_towns_second__2[[Column1]:[Y]],3,FALSE)</f>
        <v>28.7629886089262</v>
      </c>
      <c r="K62">
        <f>VLOOKUP(F62,[1]!china_towns_second__2[[Column1]:[Y]],2,FALSE)</f>
        <v>119.24966000000001</v>
      </c>
      <c r="L62" t="s">
        <v>3700</v>
      </c>
      <c r="M62" t="str">
        <f>VLOOKUP(H62,CHOOSE({1,2},Table12[Native],Table12[Name]),2,0)</f>
        <v>Suìchāng Xiàn</v>
      </c>
      <c r="N62" s="15" t="str">
        <f>VLOOKUP(I62,CHOOSE({1,2},Table12[Native],Table12[Name]),2,0)</f>
        <v>Lìshuĭ Shì</v>
      </c>
      <c r="O62" s="15" t="str">
        <f t="shared" si="0"/>
        <v>Beijie Zhen (Lìshuĭ Shì)</v>
      </c>
      <c r="P62" s="15" t="str">
        <f t="shared" si="1"/>
        <v>Beijie Zhen (Lìshuĭ Shì)</v>
      </c>
    </row>
    <row r="63" spans="1:16" hidden="1" x14ac:dyDescent="0.25">
      <c r="A63" t="s">
        <v>2293</v>
      </c>
      <c r="B63" t="str">
        <f>IF(COUNTIF(A:A,A63)&gt;1,_xlfn.CONCAT(A63," (",N63,")"),A63)</f>
        <v>Bĕilóng Xiāng</v>
      </c>
      <c r="C63" t="str">
        <f>IF(COUNTIF(B:B,B63)&gt;1,_xlfn.CONCAT(A63," (",M63,")"),B63)</f>
        <v>Bĕilóng Xiāng</v>
      </c>
      <c r="D63" t="s">
        <v>2294</v>
      </c>
      <c r="E63" t="s">
        <v>7</v>
      </c>
      <c r="F63" t="str">
        <f>_xlfn.CONCAT(D63,", ",H63,", ",I63,", ","浙江省")</f>
        <v>北龙乡, 瑞安市, 温州市, 浙江省</v>
      </c>
      <c r="G63">
        <v>643</v>
      </c>
      <c r="H63" t="s">
        <v>3007</v>
      </c>
      <c r="I63" t="s">
        <v>3000</v>
      </c>
      <c r="J63" t="e">
        <f>VLOOKUP(F63,[1]!china_towns_second__2[[Column1]:[Y]],3,FALSE)</f>
        <v>#N/A</v>
      </c>
      <c r="K63" t="e">
        <f>VLOOKUP(F63,[1]!china_towns_second__2[[Column1]:[Y]],2,FALSE)</f>
        <v>#N/A</v>
      </c>
      <c r="L63" t="s">
        <v>3701</v>
      </c>
      <c r="M63" t="str">
        <f>VLOOKUP(H63,CHOOSE({1,2},Table12[Native],Table12[Name]),2,0)</f>
        <v>Ruì'ān Shì</v>
      </c>
      <c r="N63" s="15" t="str">
        <f>VLOOKUP(I63,CHOOSE({1,2},Table12[Native],Table12[Name]),2,0)</f>
        <v>Wēnzhōu Shì</v>
      </c>
      <c r="O63" s="15" t="str">
        <f t="shared" si="0"/>
        <v>Beilong Xiang (Wēnzhōu Shì)</v>
      </c>
      <c r="P63" s="15" t="str">
        <f t="shared" si="1"/>
        <v>Beilong Xiang (Wēnzhōu Shì)</v>
      </c>
    </row>
    <row r="64" spans="1:16" hidden="1" x14ac:dyDescent="0.25">
      <c r="A64" t="s">
        <v>2295</v>
      </c>
      <c r="B64" t="str">
        <f>IF(COUNTIF(A:A,A64)&gt;1,_xlfn.CONCAT(A64," (",N64,")"),A64)</f>
        <v>Bēipái Xiāng</v>
      </c>
      <c r="C64" t="str">
        <f>IF(COUNTIF(B:B,B64)&gt;1,_xlfn.CONCAT(A64," (",M64,")"),B64)</f>
        <v>Bēipái Xiāng</v>
      </c>
      <c r="D64" t="s">
        <v>2296</v>
      </c>
      <c r="E64" t="s">
        <v>7</v>
      </c>
      <c r="F64" t="str">
        <f>_xlfn.CONCAT(D64,", ",H64,", ",I64,", ","浙江省")</f>
        <v>碑排乡, 泰顺县, 温州市, 浙江省</v>
      </c>
      <c r="G64">
        <v>838</v>
      </c>
      <c r="H64" t="s">
        <v>3008</v>
      </c>
      <c r="I64" t="s">
        <v>3000</v>
      </c>
      <c r="J64" t="e">
        <f>VLOOKUP(F64,[1]!china_towns_second__2[[Column1]:[Y]],3,FALSE)</f>
        <v>#N/A</v>
      </c>
      <c r="K64" t="e">
        <f>VLOOKUP(F64,[1]!china_towns_second__2[[Column1]:[Y]],2,FALSE)</f>
        <v>#N/A</v>
      </c>
      <c r="L64" t="s">
        <v>3702</v>
      </c>
      <c r="M64" t="str">
        <f>VLOOKUP(H64,CHOOSE({1,2},Table12[Native],Table12[Name]),2,0)</f>
        <v>Tàishùn Xiàn</v>
      </c>
      <c r="N64" s="15" t="str">
        <f>VLOOKUP(I64,CHOOSE({1,2},Table12[Native],Table12[Name]),2,0)</f>
        <v>Wēnzhōu Shì</v>
      </c>
      <c r="O64" s="15" t="str">
        <f t="shared" si="0"/>
        <v>Beipai Xiang (Wēnzhōu Shì)</v>
      </c>
      <c r="P64" s="15" t="str">
        <f t="shared" si="1"/>
        <v>Beipai Xiang (Wēnzhōu Shì)</v>
      </c>
    </row>
    <row r="65" spans="1:16" hidden="1" x14ac:dyDescent="0.25">
      <c r="A65" t="s">
        <v>29</v>
      </c>
      <c r="B65" t="str">
        <f>IF(COUNTIF(A:A,A65)&gt;1,_xlfn.CONCAT(A65," (",N65,")"),A65)</f>
        <v>Bĕishān Jiēdào</v>
      </c>
      <c r="C65" t="str">
        <f>IF(COUNTIF(B:B,B65)&gt;1,_xlfn.CONCAT(A65," (",M65,")"),B65)</f>
        <v>Bĕishān Jiēdào</v>
      </c>
      <c r="D65" t="s">
        <v>30</v>
      </c>
      <c r="E65" t="s">
        <v>15</v>
      </c>
      <c r="F65" t="str">
        <f>_xlfn.CONCAT(D65,", ",H65,", ",I65,", ","浙江省")</f>
        <v>北山街道, 西湖区, 杭州市, 浙江省</v>
      </c>
      <c r="G65">
        <v>29159</v>
      </c>
      <c r="H65" t="s">
        <v>2918</v>
      </c>
      <c r="I65" t="s">
        <v>2903</v>
      </c>
      <c r="J65">
        <f>VLOOKUP(F65,[1]!china_towns_second__2[[Column1]:[Y]],3,FALSE)</f>
        <v>30.266635446307099</v>
      </c>
      <c r="K65">
        <f>VLOOKUP(F65,[1]!china_towns_second__2[[Column1]:[Y]],2,FALSE)</f>
        <v>120.1405087</v>
      </c>
      <c r="L65" t="s">
        <v>3703</v>
      </c>
      <c r="M65" t="str">
        <f>VLOOKUP(H65,CHOOSE({1,2},Table12[Native],Table12[Name]),2,0)</f>
        <v>Xīhú Qū</v>
      </c>
      <c r="N65" s="15" t="str">
        <f>VLOOKUP(I65,CHOOSE({1,2},Table12[Native],Table12[Name]),2,0)</f>
        <v>Hángzhōu Shì</v>
      </c>
      <c r="O65" s="15" t="str">
        <f t="shared" si="0"/>
        <v>Beishan Jiedao (Hángzhōu Shì)</v>
      </c>
      <c r="P65" s="15" t="str">
        <f t="shared" si="1"/>
        <v>Beishan Jiedao (Hángzhōu Shì)</v>
      </c>
    </row>
    <row r="66" spans="1:16" hidden="1" x14ac:dyDescent="0.25">
      <c r="A66" t="s">
        <v>1021</v>
      </c>
      <c r="B66" t="str">
        <f>IF(COUNTIF(A:A,A66)&gt;1,_xlfn.CONCAT(A66," (",N66,")"),A66)</f>
        <v>Bĕishān Zhèn [incl. Lĭnggēn Xiāng]</v>
      </c>
      <c r="C66" t="str">
        <f>IF(COUNTIF(B:B,B66)&gt;1,_xlfn.CONCAT(A66," (",M66,")"),B66)</f>
        <v>Bĕishān Zhèn [incl. Lĭnggēn Xiāng]</v>
      </c>
      <c r="D66" t="s">
        <v>1022</v>
      </c>
      <c r="E66" t="s">
        <v>11</v>
      </c>
      <c r="F66" t="str">
        <f>_xlfn.CONCAT(D66,", ",H66,", ",I66,", ","浙江省")</f>
        <v>北山镇, 青田县, 丽水市, 浙江省</v>
      </c>
      <c r="G66">
        <v>3234</v>
      </c>
      <c r="H66" t="s">
        <v>2955</v>
      </c>
      <c r="I66" t="s">
        <v>2949</v>
      </c>
      <c r="J66">
        <f>VLOOKUP(F66,[1]!china_towns_second__2[[Column1]:[Y]],3,FALSE)</f>
        <v>28.068737700257</v>
      </c>
      <c r="K66">
        <f>VLOOKUP(F66,[1]!china_towns_second__2[[Column1]:[Y]],2,FALSE)</f>
        <v>119.9899187</v>
      </c>
      <c r="L66" t="s">
        <v>3704</v>
      </c>
      <c r="M66" t="str">
        <f>VLOOKUP(H66,CHOOSE({1,2},Table12[Native],Table12[Name]),2,0)</f>
        <v>Qīngtián Xiàn</v>
      </c>
      <c r="N66" s="15" t="str">
        <f>VLOOKUP(I66,CHOOSE({1,2},Table12[Native],Table12[Name]),2,0)</f>
        <v>Lìshuĭ Shì</v>
      </c>
      <c r="O66" s="15" t="str">
        <f t="shared" ref="O66:O129" si="2">_xlfn.CONCAT(L66," (",N66,")")</f>
        <v>Beishan Zhen [incl. Linggen Xiang] (Lìshuĭ Shì)</v>
      </c>
      <c r="P66" s="15" t="str">
        <f t="shared" ref="P66:P129" si="3">IF(COUNTIF(O:O,O66)&gt;1,_xlfn.CONCAT(L66," (",M66,")"),O66)</f>
        <v>Beishan Zhen [incl. Linggen Xiang] (Lìshuĭ Shì)</v>
      </c>
    </row>
    <row r="67" spans="1:16" hidden="1" x14ac:dyDescent="0.25">
      <c r="A67" t="s">
        <v>2054</v>
      </c>
      <c r="B67" t="str">
        <f>IF(COUNTIF(A:A,A67)&gt;1,_xlfn.CONCAT(A67," (",N67,")"),A67)</f>
        <v>Bĕiyáng Zhèn</v>
      </c>
      <c r="C67" t="str">
        <f>IF(COUNTIF(B:B,B67)&gt;1,_xlfn.CONCAT(A67," (",M67,")"),B67)</f>
        <v>Bĕiyáng Zhèn</v>
      </c>
      <c r="D67" t="s">
        <v>2055</v>
      </c>
      <c r="E67" t="s">
        <v>11</v>
      </c>
      <c r="F67" t="str">
        <f>_xlfn.CONCAT(D67,", ",H67,", ",I67,", ","浙江省")</f>
        <v>北洋镇, 黄岩区, 台州市, 浙江省</v>
      </c>
      <c r="G67">
        <v>22244</v>
      </c>
      <c r="H67" t="s">
        <v>2990</v>
      </c>
      <c r="I67" t="s">
        <v>2989</v>
      </c>
      <c r="J67">
        <f>VLOOKUP(F67,[1]!china_towns_second__2[[Column1]:[Y]],3,FALSE)</f>
        <v>28.629387496813099</v>
      </c>
      <c r="K67">
        <f>VLOOKUP(F67,[1]!china_towns_second__2[[Column1]:[Y]],2,FALSE)</f>
        <v>121.0762179</v>
      </c>
      <c r="L67" t="s">
        <v>3705</v>
      </c>
      <c r="M67" t="str">
        <f>VLOOKUP(H67,CHOOSE({1,2},Table12[Native],Table12[Name]),2,0)</f>
        <v>Huángyán Qū</v>
      </c>
      <c r="N67" s="15" t="str">
        <f>VLOOKUP(I67,CHOOSE({1,2},Table12[Native],Table12[Name]),2,0)</f>
        <v>Táizhōu Shì</v>
      </c>
      <c r="O67" s="15" t="str">
        <f t="shared" si="2"/>
        <v>Beiyang Zhen (Táizhōu Shì)</v>
      </c>
      <c r="P67" s="15" t="str">
        <f t="shared" si="3"/>
        <v>Beiyang Zhen (Táizhōu Shì)</v>
      </c>
    </row>
    <row r="68" spans="1:16" hidden="1" x14ac:dyDescent="0.25">
      <c r="A68" t="s">
        <v>722</v>
      </c>
      <c r="B68" t="str">
        <f>IF(COUNTIF(A:A,A68)&gt;1,_xlfn.CONCAT(A68," (",N68,")"),A68)</f>
        <v>Bĕiyuàn Jiēdào</v>
      </c>
      <c r="C68" t="str">
        <f>IF(COUNTIF(B:B,B68)&gt;1,_xlfn.CONCAT(A68," (",M68,")"),B68)</f>
        <v>Bĕiyuàn Jiēdào</v>
      </c>
      <c r="D68" t="s">
        <v>723</v>
      </c>
      <c r="E68" t="s">
        <v>15</v>
      </c>
      <c r="F68" t="str">
        <f>_xlfn.CONCAT(D68,", ",H68,", ",I68,", ","浙江省")</f>
        <v>北苑街道, 义乌市, 金华市, 浙江省</v>
      </c>
      <c r="G68">
        <v>130237</v>
      </c>
      <c r="H68" t="s">
        <v>2946</v>
      </c>
      <c r="I68" t="s">
        <v>2938</v>
      </c>
      <c r="J68">
        <f>VLOOKUP(F68,[1]!china_towns_second__2[[Column1]:[Y]],3,FALSE)</f>
        <v>29.332217539242599</v>
      </c>
      <c r="K68">
        <f>VLOOKUP(F68,[1]!china_towns_second__2[[Column1]:[Y]],2,FALSE)</f>
        <v>120.0352094</v>
      </c>
      <c r="L68" t="s">
        <v>3706</v>
      </c>
      <c r="M68" t="str">
        <f>VLOOKUP(H68,CHOOSE({1,2},Table12[Native],Table12[Name]),2,0)</f>
        <v>Yìwū Shì</v>
      </c>
      <c r="N68" s="15" t="str">
        <f>VLOOKUP(I68,CHOOSE({1,2},Table12[Native],Table12[Name]),2,0)</f>
        <v>Jīnhuá Shì</v>
      </c>
      <c r="O68" s="15" t="str">
        <f t="shared" si="2"/>
        <v>Beiyuan Jiedao (Jīnhuá Shì)</v>
      </c>
      <c r="P68" s="15" t="str">
        <f t="shared" si="3"/>
        <v>Beiyuan Jiedao (Jīnhuá Shì)</v>
      </c>
    </row>
    <row r="69" spans="1:16" hidden="1" x14ac:dyDescent="0.25">
      <c r="A69" t="s">
        <v>2297</v>
      </c>
      <c r="B69" t="str">
        <f>IF(COUNTIF(A:A,A69)&gt;1,_xlfn.CONCAT(A69," (",N69,")"),A69)</f>
        <v>Biăoshān Xiāng</v>
      </c>
      <c r="C69" t="str">
        <f>IF(COUNTIF(B:B,B69)&gt;1,_xlfn.CONCAT(A69," (",M69,")"),B69)</f>
        <v>Biăoshān Xiāng</v>
      </c>
      <c r="D69" t="s">
        <v>2298</v>
      </c>
      <c r="E69" t="s">
        <v>7</v>
      </c>
      <c r="F69" t="str">
        <f>_xlfn.CONCAT(D69,", ",H69,", ",I69,", ","浙江省")</f>
        <v>表山乡, 永嘉县, 温州市, 浙江省</v>
      </c>
      <c r="G69">
        <v>1920</v>
      </c>
      <c r="H69" t="s">
        <v>3010</v>
      </c>
      <c r="I69" t="s">
        <v>3000</v>
      </c>
      <c r="J69" t="e">
        <f>VLOOKUP(F69,[1]!china_towns_second__2[[Column1]:[Y]],3,FALSE)</f>
        <v>#N/A</v>
      </c>
      <c r="K69" t="e">
        <f>VLOOKUP(F69,[1]!china_towns_second__2[[Column1]:[Y]],2,FALSE)</f>
        <v>#N/A</v>
      </c>
      <c r="L69" t="s">
        <v>3707</v>
      </c>
      <c r="M69" t="str">
        <f>VLOOKUP(H69,CHOOSE({1,2},Table12[Native],Table12[Name]),2,0)</f>
        <v>Yŏngjiā Xiàn</v>
      </c>
      <c r="N69" s="15" t="str">
        <f>VLOOKUP(I69,CHOOSE({1,2},Table12[Native],Table12[Name]),2,0)</f>
        <v>Wēnzhōu Shì</v>
      </c>
      <c r="O69" s="15" t="str">
        <f t="shared" si="2"/>
        <v>Biaoshan Xiang (Wēnzhōu Shì)</v>
      </c>
      <c r="P69" s="15" t="str">
        <f t="shared" si="3"/>
        <v>Biaoshan Xiang (Wēnzhōu Shì)</v>
      </c>
    </row>
    <row r="70" spans="1:16" hidden="1" x14ac:dyDescent="0.25">
      <c r="A70" t="s">
        <v>1024</v>
      </c>
      <c r="B70" t="str">
        <f>IF(COUNTIF(A:A,A70)&gt;1,_xlfn.CONCAT(A70," (",N70,")"),A70)</f>
        <v>Biāoxī Xiāng</v>
      </c>
      <c r="C70" t="str">
        <f>IF(COUNTIF(B:B,B70)&gt;1,_xlfn.CONCAT(A70," (",M70,")"),B70)</f>
        <v>Biāoxī Xiāng</v>
      </c>
      <c r="D70" t="s">
        <v>1025</v>
      </c>
      <c r="E70" t="s">
        <v>7</v>
      </c>
      <c r="F70" t="str">
        <f>_xlfn.CONCAT(D70,", ",H70,", ",I70,", ","浙江省")</f>
        <v>标溪乡, 景宁畲族自治县, 丽水市, 浙江省</v>
      </c>
      <c r="G70">
        <v>1675</v>
      </c>
      <c r="H70" t="s">
        <v>2951</v>
      </c>
      <c r="I70" t="s">
        <v>2949</v>
      </c>
      <c r="J70" t="e">
        <f>VLOOKUP(F70,[1]!china_towns_second__2[[Column1]:[Y]],3,FALSE)</f>
        <v>#N/A</v>
      </c>
      <c r="K70" t="e">
        <f>VLOOKUP(F70,[1]!china_towns_second__2[[Column1]:[Y]],2,FALSE)</f>
        <v>#N/A</v>
      </c>
      <c r="L70" t="s">
        <v>3708</v>
      </c>
      <c r="M70" t="str">
        <f>VLOOKUP(H70,CHOOSE({1,2},Table12[Native],Table12[Name]),2,0)</f>
        <v>Jĭngníng Shēzú Zìzhìxiàn</v>
      </c>
      <c r="N70" s="15" t="str">
        <f>VLOOKUP(I70,CHOOSE({1,2},Table12[Native],Table12[Name]),2,0)</f>
        <v>Lìshuĭ Shì</v>
      </c>
      <c r="O70" s="15" t="str">
        <f t="shared" si="2"/>
        <v>Biaoxi Xiang (Lìshuĭ Shì)</v>
      </c>
      <c r="P70" s="15" t="str">
        <f t="shared" si="3"/>
        <v>Biaoxi Xiang (Lìshuĭ Shì)</v>
      </c>
    </row>
    <row r="71" spans="1:16" hidden="1" x14ac:dyDescent="0.25">
      <c r="A71" t="s">
        <v>1027</v>
      </c>
      <c r="B71" t="str">
        <f>IF(COUNTIF(A:A,A71)&gt;1,_xlfn.CONCAT(A71," (",N71,")"),A71)</f>
        <v>Bìhú Zhèn [incl. Gāoxī Xiāng]</v>
      </c>
      <c r="C71" t="str">
        <f>IF(COUNTIF(B:B,B71)&gt;1,_xlfn.CONCAT(A71," (",M71,")"),B71)</f>
        <v>Bìhú Zhèn [incl. Gāoxī Xiāng]</v>
      </c>
      <c r="D71" t="s">
        <v>1028</v>
      </c>
      <c r="E71" t="s">
        <v>11</v>
      </c>
      <c r="F71" t="str">
        <f>_xlfn.CONCAT(D71,", ",H71,", ",I71,", ","浙江省")</f>
        <v>碧湖镇, 莲都区, 丽水市, 浙江省</v>
      </c>
      <c r="G71">
        <v>45957</v>
      </c>
      <c r="H71" t="s">
        <v>2953</v>
      </c>
      <c r="I71" t="s">
        <v>2949</v>
      </c>
      <c r="J71">
        <f>VLOOKUP(F71,[1]!china_towns_second__2[[Column1]:[Y]],3,FALSE)</f>
        <v>28.366656045224001</v>
      </c>
      <c r="K71">
        <f>VLOOKUP(F71,[1]!china_towns_second__2[[Column1]:[Y]],2,FALSE)</f>
        <v>119.7648372</v>
      </c>
      <c r="L71" t="s">
        <v>3709</v>
      </c>
      <c r="M71" t="str">
        <f>VLOOKUP(H71,CHOOSE({1,2},Table12[Native],Table12[Name]),2,0)</f>
        <v>Liándū Qū</v>
      </c>
      <c r="N71" s="15" t="str">
        <f>VLOOKUP(I71,CHOOSE({1,2},Table12[Native],Table12[Name]),2,0)</f>
        <v>Lìshuĭ Shì</v>
      </c>
      <c r="O71" s="15" t="str">
        <f t="shared" si="2"/>
        <v>Bihu Zhen [incl. Gaoxi Xiang] (Lìshuĭ Shì)</v>
      </c>
      <c r="P71" s="15" t="str">
        <f t="shared" si="3"/>
        <v>Bihu Zhen [incl. Gaoxi Xiang] (Lìshuĭ Shì)</v>
      </c>
    </row>
    <row r="72" spans="1:16" hidden="1" x14ac:dyDescent="0.25">
      <c r="A72" t="s">
        <v>2300</v>
      </c>
      <c r="B72" t="str">
        <f>IF(COUNTIF(A:A,A72)&gt;1,_xlfn.CONCAT(A72," (",N72,")"),A72)</f>
        <v>Bìlián Zhèn</v>
      </c>
      <c r="C72" t="str">
        <f>IF(COUNTIF(B:B,B72)&gt;1,_xlfn.CONCAT(A72," (",M72,")"),B72)</f>
        <v>Bìlián Zhèn</v>
      </c>
      <c r="D72" t="s">
        <v>2301</v>
      </c>
      <c r="E72" t="s">
        <v>11</v>
      </c>
      <c r="F72" t="str">
        <f>_xlfn.CONCAT(D72,", ",H72,", ",I72,", ","浙江省")</f>
        <v>碧莲镇, 永嘉县, 温州市, 浙江省</v>
      </c>
      <c r="G72">
        <v>11604</v>
      </c>
      <c r="H72" t="s">
        <v>3010</v>
      </c>
      <c r="I72" t="s">
        <v>3000</v>
      </c>
      <c r="J72">
        <f>VLOOKUP(F72,[1]!china_towns_second__2[[Column1]:[Y]],3,FALSE)</f>
        <v>28.384140627066401</v>
      </c>
      <c r="K72">
        <f>VLOOKUP(F72,[1]!china_towns_second__2[[Column1]:[Y]],2,FALSE)</f>
        <v>120.5368165</v>
      </c>
      <c r="L72" t="s">
        <v>3710</v>
      </c>
      <c r="M72" t="str">
        <f>VLOOKUP(H72,CHOOSE({1,2},Table12[Native],Table12[Name]),2,0)</f>
        <v>Yŏngjiā Xiàn</v>
      </c>
      <c r="N72" s="15" t="str">
        <f>VLOOKUP(I72,CHOOSE({1,2},Table12[Native],Table12[Name]),2,0)</f>
        <v>Wēnzhōu Shì</v>
      </c>
      <c r="O72" s="15" t="str">
        <f t="shared" si="2"/>
        <v>Bilian Zhen (Wēnzhōu Shì)</v>
      </c>
      <c r="P72" s="15" t="str">
        <f t="shared" si="3"/>
        <v>Bilian Zhen (Wēnzhōu Shì)</v>
      </c>
    </row>
    <row r="73" spans="1:16" hidden="1" x14ac:dyDescent="0.25">
      <c r="A73" t="s">
        <v>2056</v>
      </c>
      <c r="B73" t="str">
        <f>IF(COUNTIF(A:A,A73)&gt;1,_xlfn.CONCAT(A73," (",N73,")"),A73)</f>
        <v>Bīnhăi Zhèn</v>
      </c>
      <c r="C73" t="str">
        <f>IF(COUNTIF(B:B,B73)&gt;1,_xlfn.CONCAT(A73," (",M73,")"),B73)</f>
        <v>Bīnhăi Zhèn</v>
      </c>
      <c r="D73" t="s">
        <v>2057</v>
      </c>
      <c r="E73" t="s">
        <v>11</v>
      </c>
      <c r="F73" t="str">
        <f>_xlfn.CONCAT(D73,", ",H73,", ",I73,", ","浙江省")</f>
        <v>滨海镇, 温岭市, 台州市, 浙江省</v>
      </c>
      <c r="G73">
        <v>61174</v>
      </c>
      <c r="H73" t="s">
        <v>2996</v>
      </c>
      <c r="I73" t="s">
        <v>2989</v>
      </c>
      <c r="J73">
        <f>VLOOKUP(F73,[1]!china_towns_second__2[[Column1]:[Y]],3,FALSE)</f>
        <v>28.470554150818199</v>
      </c>
      <c r="K73">
        <f>VLOOKUP(F73,[1]!china_towns_second__2[[Column1]:[Y]],2,FALSE)</f>
        <v>121.5403141</v>
      </c>
      <c r="L73" t="s">
        <v>3711</v>
      </c>
      <c r="M73" t="str">
        <f>VLOOKUP(H73,CHOOSE({1,2},Table12[Native],Table12[Name]),2,0)</f>
        <v>Wēnlĭng Shì</v>
      </c>
      <c r="N73" s="15" t="str">
        <f>VLOOKUP(I73,CHOOSE({1,2},Table12[Native],Table12[Name]),2,0)</f>
        <v>Táizhōu Shì</v>
      </c>
      <c r="O73" s="15" t="str">
        <f t="shared" si="2"/>
        <v>Binhai Zhen (Táizhōu Shì)</v>
      </c>
      <c r="P73" s="15" t="str">
        <f t="shared" si="3"/>
        <v>Binhai Zhen (Táizhōu Shì)</v>
      </c>
    </row>
    <row r="74" spans="1:16" hidden="1" x14ac:dyDescent="0.25">
      <c r="A74" t="s">
        <v>428</v>
      </c>
      <c r="B74" t="str">
        <f>IF(COUNTIF(A:A,A74)&gt;1,_xlfn.CONCAT(A74," (",N74,")"),A74)</f>
        <v>Bīnhú Jiēdào</v>
      </c>
      <c r="C74" t="str">
        <f>IF(COUNTIF(B:B,B74)&gt;1,_xlfn.CONCAT(A74," (",M74,")"),B74)</f>
        <v>Bīnhú Jiēdào</v>
      </c>
      <c r="D74" t="s">
        <v>429</v>
      </c>
      <c r="E74" t="s">
        <v>15</v>
      </c>
      <c r="F74" t="str">
        <f>_xlfn.CONCAT(D74,", ",H74,", ",I74,", ","浙江省")</f>
        <v>滨湖街道, 吴兴区, 湖州市, 浙江省</v>
      </c>
      <c r="G74">
        <v>12533</v>
      </c>
      <c r="H74" t="s">
        <v>2927</v>
      </c>
      <c r="I74" t="s">
        <v>2922</v>
      </c>
      <c r="J74">
        <f>VLOOKUP(F74,[1]!china_towns_second__2[[Column1]:[Y]],3,FALSE)</f>
        <v>30.934247667864799</v>
      </c>
      <c r="K74">
        <f>VLOOKUP(F74,[1]!china_towns_second__2[[Column1]:[Y]],2,FALSE)</f>
        <v>120.1111971</v>
      </c>
      <c r="L74" t="s">
        <v>3712</v>
      </c>
      <c r="M74" t="str">
        <f>VLOOKUP(H74,CHOOSE({1,2},Table12[Native],Table12[Name]),2,0)</f>
        <v>Wúxīng Qū</v>
      </c>
      <c r="N74" s="15" t="str">
        <f>VLOOKUP(I74,CHOOSE({1,2},Table12[Native],Table12[Name]),2,0)</f>
        <v>Húzhōu Shì</v>
      </c>
      <c r="O74" s="15" t="str">
        <f t="shared" si="2"/>
        <v>Binhu Jiedao (Húzhōu Shì)</v>
      </c>
      <c r="P74" s="15" t="str">
        <f t="shared" si="3"/>
        <v>Binhu Jiedao (Húzhōu Shì)</v>
      </c>
    </row>
    <row r="75" spans="1:16" hidden="1" x14ac:dyDescent="0.25">
      <c r="A75" t="s">
        <v>2302</v>
      </c>
      <c r="B75" t="str">
        <f>IF(COUNTIF(A:A,A75)&gt;1,_xlfn.CONCAT(A75," (",N75,")"),A75)</f>
        <v>Bīnjiāng Jiēdào [incl. Hóngdiàn Jiēdào, Límíng Jiēdào]</v>
      </c>
      <c r="C75" t="str">
        <f>IF(COUNTIF(B:B,B75)&gt;1,_xlfn.CONCAT(A75," (",M75,")"),B75)</f>
        <v>Bīnjiāng Jiēdào [incl. Hóngdiàn Jiēdào, Límíng Jiēdào]</v>
      </c>
      <c r="D75" t="s">
        <v>2303</v>
      </c>
      <c r="E75" t="s">
        <v>15</v>
      </c>
      <c r="F75" t="str">
        <f>_xlfn.CONCAT(D75,", ",H75,", ",I75,", ","浙江省")</f>
        <v>滨江街道, 鹿城区, 温州市, 浙江省</v>
      </c>
      <c r="G75">
        <v>133033</v>
      </c>
      <c r="H75" t="s">
        <v>3004</v>
      </c>
      <c r="I75" t="s">
        <v>3000</v>
      </c>
      <c r="J75">
        <f>VLOOKUP(F75,[1]!china_towns_second__2[[Column1]:[Y]],3,FALSE)</f>
        <v>28.012999268601199</v>
      </c>
      <c r="K75">
        <f>VLOOKUP(F75,[1]!china_towns_second__2[[Column1]:[Y]],2,FALSE)</f>
        <v>120.7051167</v>
      </c>
      <c r="L75" t="s">
        <v>3713</v>
      </c>
      <c r="M75" t="str">
        <f>VLOOKUP(H75,CHOOSE({1,2},Table12[Native],Table12[Name]),2,0)</f>
        <v>Lùchéng Qū</v>
      </c>
      <c r="N75" s="15" t="str">
        <f>VLOOKUP(I75,CHOOSE({1,2},Table12[Native],Table12[Name]),2,0)</f>
        <v>Wēnzhōu Shì</v>
      </c>
      <c r="O75" s="15" t="str">
        <f t="shared" si="2"/>
        <v>Binjiang Jiedao [incl. Hongdian Jiedao, Liming Jiedao] (Wēnzhōu Shì)</v>
      </c>
      <c r="P75" s="15" t="str">
        <f t="shared" si="3"/>
        <v>Binjiang Jiedao [incl. Hongdian Jiedao, Liming Jiedao] (Wēnzhōu Shì)</v>
      </c>
    </row>
    <row r="76" spans="1:16" hidden="1" x14ac:dyDescent="0.25">
      <c r="A76" t="s">
        <v>2305</v>
      </c>
      <c r="B76" t="str">
        <f>IF(COUNTIF(A:A,A76)&gt;1,_xlfn.CONCAT(A76," (",N76,")"),A76)</f>
        <v>Bìshān Zhèn</v>
      </c>
      <c r="C76" t="str">
        <f>IF(COUNTIF(B:B,B76)&gt;1,_xlfn.CONCAT(A76," (",M76,")"),B76)</f>
        <v>Bìshān Zhèn</v>
      </c>
      <c r="D76" t="s">
        <v>2306</v>
      </c>
      <c r="E76" t="s">
        <v>11</v>
      </c>
      <c r="F76" t="str">
        <f>_xlfn.CONCAT(D76,", ",H76,", ",I76,", ","浙江省")</f>
        <v>碧山镇, 瑞安市, 温州市, 浙江省</v>
      </c>
      <c r="G76">
        <v>22719</v>
      </c>
      <c r="H76" t="s">
        <v>3007</v>
      </c>
      <c r="I76" t="s">
        <v>3000</v>
      </c>
      <c r="J76">
        <f>VLOOKUP(F76,[1]!china_towns_second__2[[Column1]:[Y]],3,FALSE)</f>
        <v>27.8263626</v>
      </c>
      <c r="K76">
        <f>VLOOKUP(F76,[1]!china_towns_second__2[[Column1]:[Y]],2,FALSE)</f>
        <v>120.5346322</v>
      </c>
      <c r="L76" t="s">
        <v>3714</v>
      </c>
      <c r="M76" t="str">
        <f>VLOOKUP(H76,CHOOSE({1,2},Table12[Native],Table12[Name]),2,0)</f>
        <v>Ruì'ān Shì</v>
      </c>
      <c r="N76" s="15" t="str">
        <f>VLOOKUP(I76,CHOOSE({1,2},Table12[Native],Table12[Name]),2,0)</f>
        <v>Wēnzhōu Shì</v>
      </c>
      <c r="O76" s="15" t="str">
        <f t="shared" si="2"/>
        <v>Bishan Zhen (Wēnzhōu Shì)</v>
      </c>
      <c r="P76" s="15" t="str">
        <f t="shared" si="3"/>
        <v>Bishan Zhen (Wēnzhōu Shì)</v>
      </c>
    </row>
    <row r="77" spans="1:16" hidden="1" x14ac:dyDescent="0.25">
      <c r="A77" t="s">
        <v>1029</v>
      </c>
      <c r="B77" t="str">
        <f>IF(COUNTIF(A:A,A77)&gt;1,_xlfn.CONCAT(A77," (",N77,")"),A77)</f>
        <v>Bóhăi Zhèn</v>
      </c>
      <c r="C77" t="str">
        <f>IF(COUNTIF(B:B,B77)&gt;1,_xlfn.CONCAT(A77," (",M77,")"),B77)</f>
        <v>Bóhăi Zhèn</v>
      </c>
      <c r="D77" t="s">
        <v>1030</v>
      </c>
      <c r="E77" t="s">
        <v>11</v>
      </c>
      <c r="F77" t="str">
        <f>_xlfn.CONCAT(D77,", ",H77,", ",I77,", ","浙江省")</f>
        <v>渤海镇, 景宁畲族自治县, 丽水市, 浙江省</v>
      </c>
      <c r="G77">
        <v>1840</v>
      </c>
      <c r="H77" t="s">
        <v>2951</v>
      </c>
      <c r="I77" t="s">
        <v>2949</v>
      </c>
      <c r="J77">
        <f>VLOOKUP(F77,[1]!china_towns_second__2[[Column1]:[Y]],3,FALSE)</f>
        <v>28.0323855344249</v>
      </c>
      <c r="K77">
        <f>VLOOKUP(F77,[1]!china_towns_second__2[[Column1]:[Y]],2,FALSE)</f>
        <v>119.8104355</v>
      </c>
      <c r="L77" t="s">
        <v>3715</v>
      </c>
      <c r="M77" t="str">
        <f>VLOOKUP(H77,CHOOSE({1,2},Table12[Native],Table12[Name]),2,0)</f>
        <v>Jĭngníng Shēzú Zìzhìxiàn</v>
      </c>
      <c r="N77" s="15" t="str">
        <f>VLOOKUP(I77,CHOOSE({1,2},Table12[Native],Table12[Name]),2,0)</f>
        <v>Lìshuĭ Shì</v>
      </c>
      <c r="O77" s="15" t="str">
        <f t="shared" si="2"/>
        <v>Bohai Zhen (Lìshuĭ Shì)</v>
      </c>
      <c r="P77" s="15" t="str">
        <f t="shared" si="3"/>
        <v>Bohai Zhen (Lìshuĭ Shì)</v>
      </c>
    </row>
    <row r="78" spans="1:16" hidden="1" x14ac:dyDescent="0.25">
      <c r="A78" t="s">
        <v>2059</v>
      </c>
      <c r="B78" t="str">
        <f>IF(COUNTIF(A:A,A78)&gt;1,_xlfn.CONCAT(A78," (",N78,")"),A78)</f>
        <v>Bùlù Xiāng</v>
      </c>
      <c r="C78" t="str">
        <f>IF(COUNTIF(B:B,B78)&gt;1,_xlfn.CONCAT(A78," (",M78,")"),B78)</f>
        <v>Bùlù Xiāng</v>
      </c>
      <c r="D78" t="s">
        <v>2060</v>
      </c>
      <c r="E78" t="s">
        <v>7</v>
      </c>
      <c r="F78" t="str">
        <f>_xlfn.CONCAT(D78,", ",H78,", ",I78,", ","浙江省")</f>
        <v>步路乡, 仙居县, 台州市, 浙江省</v>
      </c>
      <c r="G78">
        <v>6559</v>
      </c>
      <c r="H78" t="s">
        <v>2997</v>
      </c>
      <c r="I78" t="s">
        <v>2989</v>
      </c>
      <c r="J78" t="e">
        <f>VLOOKUP(F78,[1]!china_towns_second__2[[Column1]:[Y]],3,FALSE)</f>
        <v>#N/A</v>
      </c>
      <c r="K78" t="e">
        <f>VLOOKUP(F78,[1]!china_towns_second__2[[Column1]:[Y]],2,FALSE)</f>
        <v>#N/A</v>
      </c>
      <c r="L78" t="s">
        <v>3716</v>
      </c>
      <c r="M78" t="str">
        <f>VLOOKUP(H78,CHOOSE({1,2},Table12[Native],Table12[Name]),2,0)</f>
        <v>Xiānjū Xiàn</v>
      </c>
      <c r="N78" s="15" t="str">
        <f>VLOOKUP(I78,CHOOSE({1,2},Table12[Native],Table12[Name]),2,0)</f>
        <v>Táizhōu Shì</v>
      </c>
      <c r="O78" s="15" t="str">
        <f t="shared" si="2"/>
        <v>Bulu Xiang (Táizhōu Shì)</v>
      </c>
      <c r="P78" s="15" t="str">
        <f t="shared" si="3"/>
        <v>Bulu Xiang (Táizhōu Shì)</v>
      </c>
    </row>
    <row r="79" spans="1:16" hidden="1" x14ac:dyDescent="0.25">
      <c r="A79" t="s">
        <v>2061</v>
      </c>
      <c r="B79" t="str">
        <f>IF(COUNTIF(A:A,A79)&gt;1,_xlfn.CONCAT(A79," (",N79,")"),A79)</f>
        <v>Bùtóu Zhèn</v>
      </c>
      <c r="C79" t="str">
        <f>IF(COUNTIF(B:B,B79)&gt;1,_xlfn.CONCAT(A79," (",M79,")"),B79)</f>
        <v>Bùtóu Zhèn</v>
      </c>
      <c r="D79" t="s">
        <v>2062</v>
      </c>
      <c r="E79" t="s">
        <v>11</v>
      </c>
      <c r="F79" t="str">
        <f>_xlfn.CONCAT(D79,", ",H79,", ",I79,", ","浙江省")</f>
        <v>埠头镇, 仙居县, 台州市, 浙江省</v>
      </c>
      <c r="G79">
        <v>10610</v>
      </c>
      <c r="H79" t="s">
        <v>2997</v>
      </c>
      <c r="I79" t="s">
        <v>2989</v>
      </c>
      <c r="J79">
        <f>VLOOKUP(F79,[1]!china_towns_second__2[[Column1]:[Y]],3,FALSE)</f>
        <v>28.822437613496401</v>
      </c>
      <c r="K79">
        <f>VLOOKUP(F79,[1]!china_towns_second__2[[Column1]:[Y]],2,FALSE)</f>
        <v>120.5398088</v>
      </c>
      <c r="L79" t="s">
        <v>3717</v>
      </c>
      <c r="M79" t="str">
        <f>VLOOKUP(H79,CHOOSE({1,2},Table12[Native],Table12[Name]),2,0)</f>
        <v>Xiānjū Xiàn</v>
      </c>
      <c r="N79" s="15" t="str">
        <f>VLOOKUP(I79,CHOOSE({1,2},Table12[Native],Table12[Name]),2,0)</f>
        <v>Táizhōu Shì</v>
      </c>
      <c r="O79" s="15" t="str">
        <f t="shared" si="2"/>
        <v>Butou Zhen (Táizhōu Shì)</v>
      </c>
      <c r="P79" s="15" t="str">
        <f t="shared" si="3"/>
        <v>Butou Zhen (Táizhōu Shì)</v>
      </c>
    </row>
    <row r="80" spans="1:16" hidden="1" x14ac:dyDescent="0.25">
      <c r="A80" t="s">
        <v>32</v>
      </c>
      <c r="B80" t="str">
        <f>IF(COUNTIF(A:A,A80)&gt;1,_xlfn.CONCAT(A80," (",N80,")"),A80)</f>
        <v>Căihé Jiēdào</v>
      </c>
      <c r="C80" t="str">
        <f>IF(COUNTIF(B:B,B80)&gt;1,_xlfn.CONCAT(A80," (",M80,")"),B80)</f>
        <v>Căihé Jiēdào</v>
      </c>
      <c r="D80" t="s">
        <v>33</v>
      </c>
      <c r="E80" t="s">
        <v>15</v>
      </c>
      <c r="F80" t="str">
        <f>_xlfn.CONCAT(D80,", ",H80,", ",I80,", ","浙江省")</f>
        <v>采荷街道, 上城区, 杭州市, 浙江省</v>
      </c>
      <c r="G80">
        <v>89419</v>
      </c>
      <c r="H80" t="s">
        <v>2915</v>
      </c>
      <c r="I80" t="s">
        <v>2903</v>
      </c>
      <c r="J80" t="e">
        <f>VLOOKUP(F80,[1]!china_towns_second__2[[Column1]:[Y]],3,FALSE)</f>
        <v>#N/A</v>
      </c>
      <c r="K80" t="e">
        <f>VLOOKUP(F80,[1]!china_towns_second__2[[Column1]:[Y]],2,FALSE)</f>
        <v>#N/A</v>
      </c>
      <c r="L80" t="s">
        <v>3718</v>
      </c>
      <c r="M80" t="str">
        <f>VLOOKUP(H80,CHOOSE({1,2},Table12[Native],Table12[Name]),2,0)</f>
        <v>Shàngchéng Qū</v>
      </c>
      <c r="N80" s="15" t="str">
        <f>VLOOKUP(I80,CHOOSE({1,2},Table12[Native],Table12[Name]),2,0)</f>
        <v>Hángzhōu Shì</v>
      </c>
      <c r="O80" s="15" t="str">
        <f t="shared" si="2"/>
        <v>Caihe Jiedao (Hángzhōu Shì)</v>
      </c>
      <c r="P80" s="15" t="str">
        <f t="shared" si="3"/>
        <v>Caihe Jiedao (Hángzhōu Shì)</v>
      </c>
    </row>
    <row r="81" spans="1:16" hidden="1" x14ac:dyDescent="0.25">
      <c r="A81" t="s">
        <v>1031</v>
      </c>
      <c r="B81" t="str">
        <f>IF(COUNTIF(A:A,A81)&gt;1,_xlfn.CONCAT(A81," (",N81,")"),A81)</f>
        <v>Càiyuán Xiāng</v>
      </c>
      <c r="C81" t="str">
        <f>IF(COUNTIF(B:B,B81)&gt;1,_xlfn.CONCAT(A81," (",M81,")"),B81)</f>
        <v>Càiyuán Xiāng</v>
      </c>
      <c r="D81" t="s">
        <v>1032</v>
      </c>
      <c r="E81" t="s">
        <v>7</v>
      </c>
      <c r="F81" t="str">
        <f>_xlfn.CONCAT(D81,", ",H81,", ",I81,", ","浙江省")</f>
        <v>蔡源乡, 遂昌县, 丽水市, 浙江省</v>
      </c>
      <c r="G81">
        <v>2017</v>
      </c>
      <c r="H81" t="s">
        <v>2958</v>
      </c>
      <c r="I81" t="s">
        <v>2949</v>
      </c>
      <c r="J81" t="e">
        <f>VLOOKUP(F81,[1]!china_towns_second__2[[Column1]:[Y]],3,FALSE)</f>
        <v>#N/A</v>
      </c>
      <c r="K81" t="e">
        <f>VLOOKUP(F81,[1]!china_towns_second__2[[Column1]:[Y]],2,FALSE)</f>
        <v>#N/A</v>
      </c>
      <c r="L81" t="s">
        <v>3719</v>
      </c>
      <c r="M81" t="str">
        <f>VLOOKUP(H81,CHOOSE({1,2},Table12[Native],Table12[Name]),2,0)</f>
        <v>Suìchāng Xiàn</v>
      </c>
      <c r="N81" s="15" t="str">
        <f>VLOOKUP(I81,CHOOSE({1,2},Table12[Native],Table12[Name]),2,0)</f>
        <v>Lìshuĭ Shì</v>
      </c>
      <c r="O81" s="15" t="str">
        <f t="shared" si="2"/>
        <v>Caiyuan Xiang (Lìshuĭ Shì)</v>
      </c>
      <c r="P81" s="15" t="str">
        <f t="shared" si="3"/>
        <v>Caiyuan Xiang (Lìshuĭ Shì)</v>
      </c>
    </row>
    <row r="82" spans="1:16" hidden="1" x14ac:dyDescent="0.25">
      <c r="A82" t="s">
        <v>2833</v>
      </c>
      <c r="B82" t="str">
        <f>IF(COUNTIF(A:A,A82)&gt;1,_xlfn.CONCAT(A82," (",N82,")"),A82)</f>
        <v>Càiyuán Zhèn</v>
      </c>
      <c r="C82" t="str">
        <f>IF(COUNTIF(B:B,B82)&gt;1,_xlfn.CONCAT(A82," (",M82,")"),B82)</f>
        <v>Càiyuán Zhèn</v>
      </c>
      <c r="D82" t="s">
        <v>2834</v>
      </c>
      <c r="E82" t="s">
        <v>11</v>
      </c>
      <c r="F82" t="str">
        <f>_xlfn.CONCAT(D82,", ",H82,", ",I82,", ","浙江省")</f>
        <v>菜园镇, 嵊泗县, 舟山市, 浙江省</v>
      </c>
      <c r="G82">
        <v>38919</v>
      </c>
      <c r="H82" t="s">
        <v>3017</v>
      </c>
      <c r="I82" t="s">
        <v>3013</v>
      </c>
      <c r="J82">
        <f>VLOOKUP(F82,[1]!china_towns_second__2[[Column1]:[Y]],3,FALSE)</f>
        <v>30.721602685967099</v>
      </c>
      <c r="K82">
        <f>VLOOKUP(F82,[1]!china_towns_second__2[[Column1]:[Y]],2,FALSE)</f>
        <v>122.4583313</v>
      </c>
      <c r="L82" t="s">
        <v>3720</v>
      </c>
      <c r="M82" t="str">
        <f>VLOOKUP(H82,CHOOSE({1,2},Table12[Native],Table12[Name]),2,0)</f>
        <v>Shèngsì Xiàn</v>
      </c>
      <c r="N82" s="15" t="str">
        <f>VLOOKUP(I82,CHOOSE({1,2},Table12[Native],Table12[Name]),2,0)</f>
        <v>Zhōushān Shì</v>
      </c>
      <c r="O82" s="15" t="str">
        <f t="shared" si="2"/>
        <v>Caiyuan Zhen (Zhōushān Shì)</v>
      </c>
      <c r="P82" s="15" t="str">
        <f t="shared" si="3"/>
        <v>Caiyuan Zhen (Zhōushān Shì)</v>
      </c>
    </row>
    <row r="83" spans="1:16" hidden="1" x14ac:dyDescent="0.25">
      <c r="A83" t="s">
        <v>35</v>
      </c>
      <c r="B83" t="str">
        <f>IF(COUNTIF(A:A,A83)&gt;1,_xlfn.CONCAT(A83," (",N83,")"),A83)</f>
        <v>Cāngqián Jiēdào</v>
      </c>
      <c r="C83" t="str">
        <f>IF(COUNTIF(B:B,B83)&gt;1,_xlfn.CONCAT(A83," (",M83,")"),B83)</f>
        <v>Cāngqián Jiēdào</v>
      </c>
      <c r="D83" t="s">
        <v>36</v>
      </c>
      <c r="E83" t="s">
        <v>15</v>
      </c>
      <c r="F83" t="str">
        <f>_xlfn.CONCAT(D83,", ",H83,", ",I83,", ","浙江省")</f>
        <v>仓前街道, 余杭区, 杭州市, 浙江省</v>
      </c>
      <c r="G83">
        <v>34352</v>
      </c>
      <c r="H83" t="s">
        <v>2919</v>
      </c>
      <c r="I83" t="s">
        <v>2903</v>
      </c>
      <c r="J83">
        <f>VLOOKUP(F83,[1]!china_towns_second__2[[Column1]:[Y]],3,FALSE)</f>
        <v>30.3040490979457</v>
      </c>
      <c r="K83">
        <f>VLOOKUP(F83,[1]!china_towns_second__2[[Column1]:[Y]],2,FALSE)</f>
        <v>119.9781871</v>
      </c>
      <c r="L83" t="s">
        <v>3721</v>
      </c>
      <c r="M83" t="str">
        <f>VLOOKUP(H83,CHOOSE({1,2},Table12[Native],Table12[Name]),2,0)</f>
        <v>Yúháng Qū</v>
      </c>
      <c r="N83" s="15" t="str">
        <f>VLOOKUP(I83,CHOOSE({1,2},Table12[Native],Table12[Name]),2,0)</f>
        <v>Hángzhōu Shì</v>
      </c>
      <c r="O83" s="15" t="str">
        <f t="shared" si="2"/>
        <v>Cangqian Jiedao (Hángzhōu Shì)</v>
      </c>
      <c r="P83" s="15" t="str">
        <f t="shared" si="3"/>
        <v>Cangqian Jiedao (Hángzhōu Shì)</v>
      </c>
    </row>
    <row r="84" spans="1:16" hidden="1" x14ac:dyDescent="0.25">
      <c r="A84" t="s">
        <v>2307</v>
      </c>
      <c r="B84" t="str">
        <f>IF(COUNTIF(A:A,A84)&gt;1,_xlfn.CONCAT(A84," (",N84,")"),A84)</f>
        <v>Cáocūn Zhèn [→ Măyŭ Zhèn]</v>
      </c>
      <c r="C84" t="str">
        <f>IF(COUNTIF(B:B,B84)&gt;1,_xlfn.CONCAT(A84," (",M84,")"),B84)</f>
        <v>Cáocūn Zhèn [→ Măyŭ Zhèn]</v>
      </c>
      <c r="D84" t="s">
        <v>2308</v>
      </c>
      <c r="E84" t="s">
        <v>11</v>
      </c>
      <c r="F84" t="str">
        <f>_xlfn.CONCAT(D84,", ",H84,", ",I84,", ","浙江省")</f>
        <v>曹村镇, 瑞安市, 温州市, 浙江省</v>
      </c>
      <c r="G84">
        <v>16314</v>
      </c>
      <c r="H84" t="s">
        <v>3007</v>
      </c>
      <c r="I84" t="s">
        <v>3000</v>
      </c>
      <c r="J84">
        <f>VLOOKUP(F84,[1]!china_towns_second__2[[Column1]:[Y]],3,FALSE)</f>
        <v>27.713100000000001</v>
      </c>
      <c r="K84">
        <f>VLOOKUP(F84,[1]!china_towns_second__2[[Column1]:[Y]],2,FALSE)</f>
        <v>120.4556</v>
      </c>
      <c r="L84" t="s">
        <v>3722</v>
      </c>
      <c r="M84" t="str">
        <f>VLOOKUP(H84,CHOOSE({1,2},Table12[Native],Table12[Name]),2,0)</f>
        <v>Ruì'ān Shì</v>
      </c>
      <c r="N84" s="15" t="str">
        <f>VLOOKUP(I84,CHOOSE({1,2},Table12[Native],Table12[Name]),2,0)</f>
        <v>Wēnzhōu Shì</v>
      </c>
      <c r="O84" s="15" t="str">
        <f t="shared" si="2"/>
        <v>Caocun Zhen [→ Mayu Zhen] (Wēnzhōu Shì)</v>
      </c>
      <c r="P84" s="15" t="str">
        <f t="shared" si="3"/>
        <v>Caocun Zhen [→ Mayu Zhen] (Wēnzhōu Shì)</v>
      </c>
    </row>
    <row r="85" spans="1:16" hidden="1" x14ac:dyDescent="0.25">
      <c r="A85" t="s">
        <v>1841</v>
      </c>
      <c r="B85" t="str">
        <f>IF(COUNTIF(A:A,A85)&gt;1,_xlfn.CONCAT(A85," (",N85,")"),A85)</f>
        <v>Cáo'é Jiēdào</v>
      </c>
      <c r="C85" t="str">
        <f>IF(COUNTIF(B:B,B85)&gt;1,_xlfn.CONCAT(A85," (",M85,")"),B85)</f>
        <v>Cáo'é Jiēdào</v>
      </c>
      <c r="D85" t="s">
        <v>1842</v>
      </c>
      <c r="E85" t="s">
        <v>15</v>
      </c>
      <c r="F85" t="str">
        <f>_xlfn.CONCAT(D85,", ",H85,", ",I85,", ","浙江省")</f>
        <v>曹娥街道, 上虞区, 绍兴市, 浙江省</v>
      </c>
      <c r="G85">
        <v>78652</v>
      </c>
      <c r="H85" t="s">
        <v>2983</v>
      </c>
      <c r="I85" t="s">
        <v>2981</v>
      </c>
      <c r="J85">
        <f>VLOOKUP(F85,[1]!china_towns_second__2[[Column1]:[Y]],3,FALSE)</f>
        <v>29.993657988615801</v>
      </c>
      <c r="K85">
        <f>VLOOKUP(F85,[1]!china_towns_second__2[[Column1]:[Y]],2,FALSE)</f>
        <v>120.8451347</v>
      </c>
      <c r="L85" t="s">
        <v>3723</v>
      </c>
      <c r="M85" t="str">
        <f>VLOOKUP(H85,CHOOSE({1,2},Table12[Native],Table12[Name]),2,0)</f>
        <v>Shàngyú Qū</v>
      </c>
      <c r="N85" s="15" t="str">
        <f>VLOOKUP(I85,CHOOSE({1,2},Table12[Native],Table12[Name]),2,0)</f>
        <v>Shàoxīng Shì</v>
      </c>
      <c r="O85" s="15" t="str">
        <f t="shared" si="2"/>
        <v>Cao'e Jiedao (Shàoxīng Shì)</v>
      </c>
      <c r="P85" s="15" t="str">
        <f t="shared" si="3"/>
        <v>Cao'e Jiedao (Shàoxīng Shì)</v>
      </c>
    </row>
    <row r="86" spans="1:16" hidden="1" x14ac:dyDescent="0.25">
      <c r="A86" t="s">
        <v>554</v>
      </c>
      <c r="B86" t="str">
        <f>IF(COUNTIF(A:A,A86)&gt;1,_xlfn.CONCAT(A86," (",N86,")"),A86)</f>
        <v>Cáoqiáo Jiēdào</v>
      </c>
      <c r="C86" t="str">
        <f>IF(COUNTIF(B:B,B86)&gt;1,_xlfn.CONCAT(A86," (",M86,")"),B86)</f>
        <v>Cáoqiáo Jiēdào</v>
      </c>
      <c r="D86" t="s">
        <v>555</v>
      </c>
      <c r="E86" t="s">
        <v>15</v>
      </c>
      <c r="F86" t="str">
        <f>_xlfn.CONCAT(D86,", ",H86,", ",I86,", ","浙江省")</f>
        <v>曹桥街道, 平湖市, 嘉兴市, 浙江省</v>
      </c>
      <c r="G86">
        <v>36034</v>
      </c>
      <c r="H86" t="s">
        <v>2934</v>
      </c>
      <c r="I86" t="s">
        <v>2929</v>
      </c>
      <c r="J86">
        <f>VLOOKUP(F86,[1]!china_towns_second__2[[Column1]:[Y]],3,FALSE)</f>
        <v>30.663800089267301</v>
      </c>
      <c r="K86">
        <f>VLOOKUP(F86,[1]!china_towns_second__2[[Column1]:[Y]],2,FALSE)</f>
        <v>120.97752869999999</v>
      </c>
      <c r="L86" t="s">
        <v>3724</v>
      </c>
      <c r="M86" t="str">
        <f>VLOOKUP(H86,CHOOSE({1,2},Table12[Native],Table12[Name]),2,0)</f>
        <v>Pínghú Shì</v>
      </c>
      <c r="N86" s="15" t="str">
        <f>VLOOKUP(I86,CHOOSE({1,2},Table12[Native],Table12[Name]),2,0)</f>
        <v>Jiāxīng Shì</v>
      </c>
      <c r="O86" s="15" t="str">
        <f t="shared" si="2"/>
        <v>Caoqiao Jiedao (Jiāxīng Shì)</v>
      </c>
      <c r="P86" s="15" t="str">
        <f t="shared" si="3"/>
        <v>Caoqiao Jiedao (Jiāxīng Shì)</v>
      </c>
    </row>
    <row r="87" spans="1:16" hidden="1" x14ac:dyDescent="0.25">
      <c r="A87" t="s">
        <v>725</v>
      </c>
      <c r="B87" t="str">
        <f>IF(COUNTIF(A:A,A87)&gt;1,_xlfn.CONCAT(A87," (",N87,")"),A87)</f>
        <v>Cáozhái Zhèn</v>
      </c>
      <c r="C87" t="str">
        <f>IF(COUNTIF(B:B,B87)&gt;1,_xlfn.CONCAT(A87," (",M87,")"),B87)</f>
        <v>Cáozhái Zhèn</v>
      </c>
      <c r="D87" t="s">
        <v>726</v>
      </c>
      <c r="E87" t="s">
        <v>11</v>
      </c>
      <c r="F87" t="str">
        <f>_xlfn.CONCAT(D87,", ",H87,", ",I87,", ","浙江省")</f>
        <v>曹宅镇, 金东区, 金华市, 浙江省</v>
      </c>
      <c r="G87">
        <v>34899</v>
      </c>
      <c r="H87" t="s">
        <v>2940</v>
      </c>
      <c r="I87" t="s">
        <v>2938</v>
      </c>
      <c r="J87">
        <f>VLOOKUP(F87,[1]!china_towns_second__2[[Column1]:[Y]],3,FALSE)</f>
        <v>29.210282792447</v>
      </c>
      <c r="K87">
        <f>VLOOKUP(F87,[1]!china_towns_second__2[[Column1]:[Y]],2,FALSE)</f>
        <v>119.7570795</v>
      </c>
      <c r="L87" t="s">
        <v>3725</v>
      </c>
      <c r="M87" t="str">
        <f>VLOOKUP(H87,CHOOSE({1,2},Table12[Native],Table12[Name]),2,0)</f>
        <v>Jīndōng Qū</v>
      </c>
      <c r="N87" s="15" t="str">
        <f>VLOOKUP(I87,CHOOSE({1,2},Table12[Native],Table12[Name]),2,0)</f>
        <v>Jīnhuá Shì</v>
      </c>
      <c r="O87" s="15" t="str">
        <f t="shared" si="2"/>
        <v>Caozhai Zhen (Jīnhuá Shì)</v>
      </c>
      <c r="P87" s="15" t="str">
        <f t="shared" si="3"/>
        <v>Caozhai Zhen (Jīnhuá Shì)</v>
      </c>
    </row>
    <row r="88" spans="1:16" hidden="1" x14ac:dyDescent="0.25">
      <c r="A88" t="s">
        <v>2836</v>
      </c>
      <c r="B88" t="str">
        <f>IF(COUNTIF(A:A,A88)&gt;1,_xlfn.CONCAT(A88," (",N88,")"),A88)</f>
        <v>Céngăng Jiēdào [incl. Cèzi Xiāng]</v>
      </c>
      <c r="C88" t="str">
        <f>IF(COUNTIF(B:B,B88)&gt;1,_xlfn.CONCAT(A88," (",M88,")"),B88)</f>
        <v>Céngăng Jiēdào [incl. Cèzi Xiāng]</v>
      </c>
      <c r="D88" t="s">
        <v>2837</v>
      </c>
      <c r="E88" t="s">
        <v>15</v>
      </c>
      <c r="F88" t="str">
        <f>_xlfn.CONCAT(D88,", ",H88,", ",I88,", ","浙江省")</f>
        <v>岑港街道, 定海区, 舟山市, 浙江省</v>
      </c>
      <c r="G88">
        <v>18219</v>
      </c>
      <c r="H88" t="s">
        <v>3015</v>
      </c>
      <c r="I88" t="s">
        <v>3013</v>
      </c>
      <c r="J88">
        <f>VLOOKUP(F88,[1]!china_towns_second__2[[Column1]:[Y]],3,FALSE)</f>
        <v>30.1142318761935</v>
      </c>
      <c r="K88">
        <f>VLOOKUP(F88,[1]!china_towns_second__2[[Column1]:[Y]],2,FALSE)</f>
        <v>121.9723626</v>
      </c>
      <c r="L88" t="s">
        <v>3726</v>
      </c>
      <c r="M88" t="str">
        <f>VLOOKUP(H88,CHOOSE({1,2},Table12[Native],Table12[Name]),2,0)</f>
        <v>Dìnghăi Qū</v>
      </c>
      <c r="N88" s="15" t="str">
        <f>VLOOKUP(I88,CHOOSE({1,2},Table12[Native],Table12[Name]),2,0)</f>
        <v>Zhōushān Shì</v>
      </c>
      <c r="O88" s="15" t="str">
        <f t="shared" si="2"/>
        <v>Cengang Jiedao [incl. Cezi Xiang] (Zhōushān Shì)</v>
      </c>
      <c r="P88" s="15" t="str">
        <f t="shared" si="3"/>
        <v>Cengang Jiedao [incl. Cezi Xiang] (Zhōushān Shì)</v>
      </c>
    </row>
    <row r="89" spans="1:16" hidden="1" x14ac:dyDescent="0.25">
      <c r="A89" t="s">
        <v>1352</v>
      </c>
      <c r="B89" t="str">
        <f>IF(COUNTIF(A:A,A89)&gt;1,_xlfn.CONCAT(A89," (",N89,")"),A89)</f>
        <v>Cháiqiáo Jiēdào</v>
      </c>
      <c r="C89" t="str">
        <f>IF(COUNTIF(B:B,B89)&gt;1,_xlfn.CONCAT(A89," (",M89,")"),B89)</f>
        <v>Cháiqiáo Jiēdào</v>
      </c>
      <c r="D89" t="s">
        <v>1353</v>
      </c>
      <c r="E89" t="s">
        <v>15</v>
      </c>
      <c r="F89" t="str">
        <f>_xlfn.CONCAT(D89,", ",H89,", ",I89,", ","浙江省")</f>
        <v>柴桥街道, 北仑区, 宁波市, 浙江省</v>
      </c>
      <c r="G89">
        <v>45883</v>
      </c>
      <c r="H89" t="s">
        <v>2962</v>
      </c>
      <c r="I89" t="s">
        <v>2961</v>
      </c>
      <c r="J89">
        <f>VLOOKUP(F89,[1]!china_towns_second__2[[Column1]:[Y]],3,FALSE)</f>
        <v>29.854200484965201</v>
      </c>
      <c r="K89">
        <f>VLOOKUP(F89,[1]!china_towns_second__2[[Column1]:[Y]],2,FALSE)</f>
        <v>121.91032970000001</v>
      </c>
      <c r="L89" t="s">
        <v>3727</v>
      </c>
      <c r="M89" t="str">
        <f>VLOOKUP(H89,CHOOSE({1,2},Table12[Native],Table12[Name]),2,0)</f>
        <v>Bĕilún Qū</v>
      </c>
      <c r="N89" s="15" t="str">
        <f>VLOOKUP(I89,CHOOSE({1,2},Table12[Native],Table12[Name]),2,0)</f>
        <v>Níngbō Shì</v>
      </c>
      <c r="O89" s="15" t="str">
        <f t="shared" si="2"/>
        <v>Chaiqiao Jiedao (Níngbō Shì)</v>
      </c>
      <c r="P89" s="15" t="str">
        <f t="shared" si="3"/>
        <v>Chaiqiao Jiedao (Níngbō Shì)</v>
      </c>
    </row>
    <row r="90" spans="1:16" hidden="1" x14ac:dyDescent="0.25">
      <c r="A90" t="s">
        <v>1354</v>
      </c>
      <c r="B90" t="str">
        <f>IF(COUNTIF(A:A,A90)&gt;1,_xlfn.CONCAT(A90," (",N90,")"),A90)</f>
        <v>Chàlù Zhèn</v>
      </c>
      <c r="C90" t="str">
        <f>IF(COUNTIF(B:B,B90)&gt;1,_xlfn.CONCAT(A90," (",M90,")"),B90)</f>
        <v>Chàlù Zhèn</v>
      </c>
      <c r="D90" t="s">
        <v>1355</v>
      </c>
      <c r="E90" t="s">
        <v>11</v>
      </c>
      <c r="F90" t="str">
        <f>_xlfn.CONCAT(D90,", ",H90,", ",I90,", ","浙江省")</f>
        <v>岔路镇, 宁海县, 宁波市, 浙江省</v>
      </c>
      <c r="G90">
        <v>19061</v>
      </c>
      <c r="H90" t="s">
        <v>2967</v>
      </c>
      <c r="I90" t="s">
        <v>2961</v>
      </c>
      <c r="J90">
        <f>VLOOKUP(F90,[1]!china_towns_second__2[[Column1]:[Y]],3,FALSE)</f>
        <v>29.212421971724002</v>
      </c>
      <c r="K90">
        <f>VLOOKUP(F90,[1]!china_towns_second__2[[Column1]:[Y]],2,FALSE)</f>
        <v>121.260893</v>
      </c>
      <c r="L90" t="s">
        <v>3728</v>
      </c>
      <c r="M90" t="str">
        <f>VLOOKUP(H90,CHOOSE({1,2},Table12[Native],Table12[Name]),2,0)</f>
        <v>Nínghăi Xiàn</v>
      </c>
      <c r="N90" s="15" t="str">
        <f>VLOOKUP(I90,CHOOSE({1,2},Table12[Native],Table12[Name]),2,0)</f>
        <v>Níngbō Shì</v>
      </c>
      <c r="O90" s="15" t="str">
        <f t="shared" si="2"/>
        <v>Chalu Zhen (Níngbō Shì)</v>
      </c>
      <c r="P90" s="15" t="str">
        <f t="shared" si="3"/>
        <v>Chalu Zhen (Níngbō Shì)</v>
      </c>
    </row>
    <row r="91" spans="1:16" hidden="1" x14ac:dyDescent="0.25">
      <c r="A91" t="s">
        <v>37</v>
      </c>
      <c r="B91" t="str">
        <f>IF(COUNTIF(A:A,A91)&gt;1,_xlfn.CONCAT(A91," (",N91,")"),A91)</f>
        <v>Cháng'ān Zhèn (Hángzhōu Shì)</v>
      </c>
      <c r="C91" t="str">
        <f>IF(COUNTIF(B:B,B91)&gt;1,_xlfn.CONCAT(A91," (",M91,")"),B91)</f>
        <v>Cháng'ān Zhèn (Hángzhōu Shì)</v>
      </c>
      <c r="D91" t="s">
        <v>38</v>
      </c>
      <c r="E91" t="s">
        <v>11</v>
      </c>
      <c r="F91" t="str">
        <f>_xlfn.CONCAT(D91,", ",H91,", ",I91,", ","浙江省")</f>
        <v>常安镇, 富阳区, 杭州市, 浙江省</v>
      </c>
      <c r="G91">
        <v>15052</v>
      </c>
      <c r="H91" t="s">
        <v>2908</v>
      </c>
      <c r="I91" t="s">
        <v>2903</v>
      </c>
      <c r="J91">
        <f>VLOOKUP(F91,[1]!china_towns_second__2[[Column1]:[Y]],3,FALSE)</f>
        <v>29.859659867658301</v>
      </c>
      <c r="K91">
        <f>VLOOKUP(F91,[1]!china_towns_second__2[[Column1]:[Y]],2,FALSE)</f>
        <v>119.90530630000001</v>
      </c>
      <c r="L91" t="s">
        <v>3729</v>
      </c>
      <c r="M91" t="str">
        <f>VLOOKUP(H91,CHOOSE({1,2},Table12[Native],Table12[Name]),2,0)</f>
        <v>Fùyáng Qū</v>
      </c>
      <c r="N91" s="15" t="str">
        <f>VLOOKUP(I91,CHOOSE({1,2},Table12[Native],Table12[Name]),2,0)</f>
        <v>Hángzhōu Shì</v>
      </c>
      <c r="O91" s="15" t="str">
        <f t="shared" si="2"/>
        <v>Chang'an Zhen (Hangzhou Shi) (Hángzhōu Shì)</v>
      </c>
      <c r="P91" s="15" t="str">
        <f t="shared" si="3"/>
        <v>Chang'an Zhen (Hangzhou Shi) (Hángzhōu Shì)</v>
      </c>
    </row>
    <row r="92" spans="1:16" hidden="1" x14ac:dyDescent="0.25">
      <c r="A92" t="s">
        <v>37</v>
      </c>
      <c r="B92" t="str">
        <f>IF(COUNTIF(A:A,A92)&gt;1,_xlfn.CONCAT(A92," (",N92,")"),A92)</f>
        <v>Cháng'ān Zhèn (Jiāxīng Shì)</v>
      </c>
      <c r="C92" t="str">
        <f>IF(COUNTIF(B:B,B92)&gt;1,_xlfn.CONCAT(A92," (",M92,")"),B92)</f>
        <v>Cháng'ān Zhèn (Jiāxīng Shì)</v>
      </c>
      <c r="D92" t="s">
        <v>557</v>
      </c>
      <c r="E92" t="s">
        <v>11</v>
      </c>
      <c r="F92" t="str">
        <f>_xlfn.CONCAT(D92,", ",H92,", ",I92,", ","浙江省")</f>
        <v>长安镇, 海宁市, 嘉兴市, 浙江省</v>
      </c>
      <c r="G92">
        <v>110352</v>
      </c>
      <c r="H92" t="s">
        <v>2930</v>
      </c>
      <c r="I92" t="s">
        <v>2929</v>
      </c>
      <c r="J92">
        <f>VLOOKUP(F92,[1]!china_towns_second__2[[Column1]:[Y]],3,FALSE)</f>
        <v>30.4210437897449</v>
      </c>
      <c r="K92">
        <f>VLOOKUP(F92,[1]!china_towns_second__2[[Column1]:[Y]],2,FALSE)</f>
        <v>120.4313484</v>
      </c>
      <c r="L92" t="s">
        <v>3730</v>
      </c>
      <c r="M92" t="str">
        <f>VLOOKUP(H92,CHOOSE({1,2},Table12[Native],Table12[Name]),2,0)</f>
        <v>Hăiníng Shì</v>
      </c>
      <c r="N92" s="15" t="str">
        <f>VLOOKUP(I92,CHOOSE({1,2},Table12[Native],Table12[Name]),2,0)</f>
        <v>Jiāxīng Shì</v>
      </c>
      <c r="O92" s="15" t="str">
        <f t="shared" si="2"/>
        <v>Chang'an Zhen (Jiaxing Shi) (Jiāxīng Shì)</v>
      </c>
      <c r="P92" s="15" t="str">
        <f t="shared" si="3"/>
        <v>Chang'an Zhen (Jiaxing Shi) (Jiāxīng Shì)</v>
      </c>
    </row>
    <row r="93" spans="1:16" hidden="1" x14ac:dyDescent="0.25">
      <c r="A93" t="s">
        <v>2309</v>
      </c>
      <c r="B93" t="str">
        <f>IF(COUNTIF(A:A,A93)&gt;1,_xlfn.CONCAT(A93," (",N93,")"),A93)</f>
        <v>Chāngchán Xiāng</v>
      </c>
      <c r="C93" t="str">
        <f>IF(COUNTIF(B:B,B93)&gt;1,_xlfn.CONCAT(A93," (",M93,")"),B93)</f>
        <v>Chāngchán Xiāng</v>
      </c>
      <c r="D93" t="s">
        <v>2310</v>
      </c>
      <c r="E93" t="s">
        <v>7</v>
      </c>
      <c r="F93" t="str">
        <f>_xlfn.CONCAT(D93,", ",H93,", ",I93,", ","浙江省")</f>
        <v>昌禅乡, 苍南县, 温州市, 浙江省</v>
      </c>
      <c r="G93">
        <v>1032</v>
      </c>
      <c r="H93" t="s">
        <v>3001</v>
      </c>
      <c r="I93" t="s">
        <v>3000</v>
      </c>
      <c r="J93" t="e">
        <f>VLOOKUP(F93,[1]!china_towns_second__2[[Column1]:[Y]],3,FALSE)</f>
        <v>#N/A</v>
      </c>
      <c r="K93" t="e">
        <f>VLOOKUP(F93,[1]!china_towns_second__2[[Column1]:[Y]],2,FALSE)</f>
        <v>#N/A</v>
      </c>
      <c r="L93" t="s">
        <v>3731</v>
      </c>
      <c r="M93" t="str">
        <f>VLOOKUP(H93,CHOOSE({1,2},Table12[Native],Table12[Name]),2,0)</f>
        <v>Cāngnán Xiàn</v>
      </c>
      <c r="N93" s="15" t="str">
        <f>VLOOKUP(I93,CHOOSE({1,2},Table12[Native],Table12[Name]),2,0)</f>
        <v>Wēnzhōu Shì</v>
      </c>
      <c r="O93" s="15" t="str">
        <f t="shared" si="2"/>
        <v>Changchan Xiang (Wēnzhōu Shì)</v>
      </c>
      <c r="P93" s="15" t="str">
        <f t="shared" si="3"/>
        <v>Changchan Xiang (Wēnzhōu Shì)</v>
      </c>
    </row>
    <row r="94" spans="1:16" hidden="1" x14ac:dyDescent="0.25">
      <c r="A94" t="s">
        <v>2838</v>
      </c>
      <c r="B94" t="str">
        <f>IF(COUNTIF(A:A,A94)&gt;1,_xlfn.CONCAT(A94," (",N94,")"),A94)</f>
        <v>Chāngguó Jiēdào</v>
      </c>
      <c r="C94" t="str">
        <f>IF(COUNTIF(B:B,B94)&gt;1,_xlfn.CONCAT(A94," (",M94,")"),B94)</f>
        <v>Chāngguó Jiēdào</v>
      </c>
      <c r="D94" t="s">
        <v>2839</v>
      </c>
      <c r="E94" t="s">
        <v>15</v>
      </c>
      <c r="F94" t="str">
        <f>_xlfn.CONCAT(D94,", ",H94,", ",I94,", ","浙江省")</f>
        <v>昌国街道, 定海区, 舟山市, 浙江省</v>
      </c>
      <c r="G94">
        <v>31561</v>
      </c>
      <c r="H94" t="s">
        <v>3015</v>
      </c>
      <c r="I94" t="s">
        <v>3013</v>
      </c>
      <c r="J94">
        <f>VLOOKUP(F94,[1]!china_towns_second__2[[Column1]:[Y]],3,FALSE)</f>
        <v>30.041581003831201</v>
      </c>
      <c r="K94">
        <f>VLOOKUP(F94,[1]!china_towns_second__2[[Column1]:[Y]],2,FALSE)</f>
        <v>122.10251289999999</v>
      </c>
      <c r="L94" t="s">
        <v>3732</v>
      </c>
      <c r="M94" t="str">
        <f>VLOOKUP(H94,CHOOSE({1,2},Table12[Native],Table12[Name]),2,0)</f>
        <v>Dìnghăi Qū</v>
      </c>
      <c r="N94" s="15" t="str">
        <f>VLOOKUP(I94,CHOOSE({1,2},Table12[Native],Table12[Name]),2,0)</f>
        <v>Zhōushān Shì</v>
      </c>
      <c r="O94" s="15" t="str">
        <f t="shared" si="2"/>
        <v>Changguo Jiedao (Zhōushān Shì)</v>
      </c>
      <c r="P94" s="15" t="str">
        <f t="shared" si="3"/>
        <v>Changguo Jiedao (Zhōushān Shì)</v>
      </c>
    </row>
    <row r="95" spans="1:16" hidden="1" x14ac:dyDescent="0.25">
      <c r="A95" t="s">
        <v>40</v>
      </c>
      <c r="B95" t="str">
        <f>IF(COUNTIF(A:A,A95)&gt;1,_xlfn.CONCAT(A95," (",N95,")"),A95)</f>
        <v>Chánghé Jiēdào</v>
      </c>
      <c r="C95" t="str">
        <f>IF(COUNTIF(B:B,B95)&gt;1,_xlfn.CONCAT(A95," (",M95,")"),B95)</f>
        <v>Chánghé Jiēdào</v>
      </c>
      <c r="D95" t="s">
        <v>41</v>
      </c>
      <c r="E95" t="s">
        <v>15</v>
      </c>
      <c r="F95" t="str">
        <f>_xlfn.CONCAT(D95,", ",H95,", ",I95,", ","浙江省")</f>
        <v>长河街道, 滨江区, 杭州市, 浙江省</v>
      </c>
      <c r="G95">
        <v>106759</v>
      </c>
      <c r="H95" t="s">
        <v>2905</v>
      </c>
      <c r="I95" t="s">
        <v>2903</v>
      </c>
      <c r="J95">
        <f>VLOOKUP(F95,[1]!china_towns_second__2[[Column1]:[Y]],3,FALSE)</f>
        <v>30.180451492639602</v>
      </c>
      <c r="K95">
        <f>VLOOKUP(F95,[1]!china_towns_second__2[[Column1]:[Y]],2,FALSE)</f>
        <v>120.19104539999999</v>
      </c>
      <c r="L95" t="s">
        <v>3733</v>
      </c>
      <c r="M95" t="str">
        <f>VLOOKUP(H95,CHOOSE({1,2},Table12[Native],Table12[Name]),2,0)</f>
        <v>Bīnjiāng Qū</v>
      </c>
      <c r="N95" s="15" t="str">
        <f>VLOOKUP(I95,CHOOSE({1,2},Table12[Native],Table12[Name]),2,0)</f>
        <v>Hángzhōu Shì</v>
      </c>
      <c r="O95" s="15" t="str">
        <f t="shared" si="2"/>
        <v>Changhe Jiedao (Hángzhōu Shì)</v>
      </c>
      <c r="P95" s="15" t="str">
        <f t="shared" si="3"/>
        <v>Changhe Jiedao (Hángzhōu Shì)</v>
      </c>
    </row>
    <row r="96" spans="1:16" hidden="1" x14ac:dyDescent="0.25">
      <c r="A96" t="s">
        <v>1357</v>
      </c>
      <c r="B96" t="str">
        <f>IF(COUNTIF(A:A,A96)&gt;1,_xlfn.CONCAT(A96," (",N96,")"),A96)</f>
        <v>Chánghé Zhèn</v>
      </c>
      <c r="C96" t="str">
        <f>IF(COUNTIF(B:B,B96)&gt;1,_xlfn.CONCAT(A96," (",M96,")"),B96)</f>
        <v>Chánghé Zhèn</v>
      </c>
      <c r="D96" t="s">
        <v>1358</v>
      </c>
      <c r="E96" t="s">
        <v>11</v>
      </c>
      <c r="F96" t="str">
        <f>_xlfn.CONCAT(D96,", ",H96,", ",I96,", ","浙江省")</f>
        <v>长河镇, 慈溪市, 宁波市, 浙江省</v>
      </c>
      <c r="G96">
        <v>52275</v>
      </c>
      <c r="H96" t="s">
        <v>2963</v>
      </c>
      <c r="I96" t="s">
        <v>2961</v>
      </c>
      <c r="J96">
        <f>VLOOKUP(F96,[1]!china_towns_second__2[[Column1]:[Y]],3,FALSE)</f>
        <v>30.2449181466332</v>
      </c>
      <c r="K96">
        <f>VLOOKUP(F96,[1]!china_towns_second__2[[Column1]:[Y]],2,FALSE)</f>
        <v>121.1753961</v>
      </c>
      <c r="L96" t="s">
        <v>3734</v>
      </c>
      <c r="M96" t="str">
        <f>VLOOKUP(H96,CHOOSE({1,2},Table12[Native],Table12[Name]),2,0)</f>
        <v>Cíxī Shì</v>
      </c>
      <c r="N96" s="15" t="str">
        <f>VLOOKUP(I96,CHOOSE({1,2},Table12[Native],Table12[Name]),2,0)</f>
        <v>Níngbō Shì</v>
      </c>
      <c r="O96" s="15" t="str">
        <f t="shared" si="2"/>
        <v>Changhe Zhen (Níngbō Shì)</v>
      </c>
      <c r="P96" s="15" t="str">
        <f t="shared" si="3"/>
        <v>Changhe Zhen (Níngbō Shì)</v>
      </c>
    </row>
    <row r="97" spans="1:16" hidden="1" x14ac:dyDescent="0.25">
      <c r="A97" t="s">
        <v>1651</v>
      </c>
      <c r="B97" t="str">
        <f>IF(COUNTIF(A:A,A97)&gt;1,_xlfn.CONCAT(A97," (",N97,")"),A97)</f>
        <v>Chánghóng Xiāng</v>
      </c>
      <c r="C97" t="str">
        <f>IF(COUNTIF(B:B,B97)&gt;1,_xlfn.CONCAT(A97," (",M97,")"),B97)</f>
        <v>Chánghóng Xiāng</v>
      </c>
      <c r="D97" t="s">
        <v>1652</v>
      </c>
      <c r="E97" t="s">
        <v>7</v>
      </c>
      <c r="F97" t="str">
        <f>_xlfn.CONCAT(D97,", ",H97,", ",I97,", ","浙江省")</f>
        <v>长虹乡, 开化县, 衢州市, 浙江省</v>
      </c>
      <c r="G97">
        <v>7229</v>
      </c>
      <c r="H97" t="s">
        <v>2976</v>
      </c>
      <c r="I97" t="s">
        <v>2973</v>
      </c>
      <c r="J97" t="e">
        <f>VLOOKUP(F97,[1]!china_towns_second__2[[Column1]:[Y]],3,FALSE)</f>
        <v>#N/A</v>
      </c>
      <c r="K97" t="e">
        <f>VLOOKUP(F97,[1]!china_towns_second__2[[Column1]:[Y]],2,FALSE)</f>
        <v>#N/A</v>
      </c>
      <c r="L97" t="s">
        <v>3735</v>
      </c>
      <c r="M97" t="str">
        <f>VLOOKUP(H97,CHOOSE({1,2},Table12[Native],Table12[Name]),2,0)</f>
        <v>Kāihuà Xiàn</v>
      </c>
      <c r="N97" s="15" t="str">
        <f>VLOOKUP(I97,CHOOSE({1,2},Table12[Native],Table12[Name]),2,0)</f>
        <v>Qúzhōu Shì</v>
      </c>
      <c r="O97" s="15" t="str">
        <f t="shared" si="2"/>
        <v>Changhong Xiang (Qúzhōu Shì)</v>
      </c>
      <c r="P97" s="15" t="str">
        <f t="shared" si="3"/>
        <v>Changhong Xiang (Qúzhōu Shì)</v>
      </c>
    </row>
    <row r="98" spans="1:16" hidden="1" x14ac:dyDescent="0.25">
      <c r="A98" t="s">
        <v>43</v>
      </c>
      <c r="B98" t="str">
        <f>IF(COUNTIF(A:A,A98)&gt;1,_xlfn.CONCAT(A98," (",N98,")"),A98)</f>
        <v>Chānghuà Zhèn</v>
      </c>
      <c r="C98" t="str">
        <f>IF(COUNTIF(B:B,B98)&gt;1,_xlfn.CONCAT(A98," (",M98,")"),B98)</f>
        <v>Chānghuà Zhèn</v>
      </c>
      <c r="D98" t="s">
        <v>44</v>
      </c>
      <c r="E98" t="s">
        <v>11</v>
      </c>
      <c r="F98" t="str">
        <f>_xlfn.CONCAT(D98,", ",H98,", ",I98,", ","浙江省")</f>
        <v>昌化镇, 临安区, 杭州市, 浙江省</v>
      </c>
      <c r="G98">
        <v>22609</v>
      </c>
      <c r="H98" t="s">
        <v>2911</v>
      </c>
      <c r="I98" t="s">
        <v>2903</v>
      </c>
      <c r="J98">
        <f>VLOOKUP(F98,[1]!china_towns_second__2[[Column1]:[Y]],3,FALSE)</f>
        <v>30.220837303902499</v>
      </c>
      <c r="K98">
        <f>VLOOKUP(F98,[1]!china_towns_second__2[[Column1]:[Y]],2,FALSE)</f>
        <v>119.1886538</v>
      </c>
      <c r="L98" t="s">
        <v>3736</v>
      </c>
      <c r="M98" t="str">
        <f>VLOOKUP(H98,CHOOSE({1,2},Table12[Native],Table12[Name]),2,0)</f>
        <v>Lín'ān Qū</v>
      </c>
      <c r="N98" s="15" t="str">
        <f>VLOOKUP(I98,CHOOSE({1,2},Table12[Native],Table12[Name]),2,0)</f>
        <v>Hángzhōu Shì</v>
      </c>
      <c r="O98" s="15" t="str">
        <f t="shared" si="2"/>
        <v>Changhua Zhen (Hángzhōu Shì)</v>
      </c>
      <c r="P98" s="15" t="str">
        <f t="shared" si="3"/>
        <v>Changhua Zhen (Hángzhōu Shì)</v>
      </c>
    </row>
    <row r="99" spans="1:16" hidden="1" x14ac:dyDescent="0.25">
      <c r="A99" t="s">
        <v>1359</v>
      </c>
      <c r="B99" t="str">
        <f>IF(COUNTIF(A:A,A99)&gt;1,_xlfn.CONCAT(A99," (",N99,")"),A99)</f>
        <v>Chángjiē Zhèn</v>
      </c>
      <c r="C99" t="str">
        <f>IF(COUNTIF(B:B,B99)&gt;1,_xlfn.CONCAT(A99," (",M99,")"),B99)</f>
        <v>Chángjiē Zhèn</v>
      </c>
      <c r="D99" t="s">
        <v>1360</v>
      </c>
      <c r="E99" t="s">
        <v>11</v>
      </c>
      <c r="F99" t="str">
        <f>_xlfn.CONCAT(D99,", ",H99,", ",I99,", ","浙江省")</f>
        <v>长街镇, 宁海县, 宁波市, 浙江省</v>
      </c>
      <c r="G99">
        <v>47977</v>
      </c>
      <c r="H99" t="s">
        <v>2967</v>
      </c>
      <c r="I99" t="s">
        <v>2961</v>
      </c>
      <c r="J99">
        <f>VLOOKUP(F99,[1]!china_towns_second__2[[Column1]:[Y]],3,FALSE)</f>
        <v>29.220175420550301</v>
      </c>
      <c r="K99">
        <f>VLOOKUP(F99,[1]!china_towns_second__2[[Column1]:[Y]],2,FALSE)</f>
        <v>121.71417099999999</v>
      </c>
      <c r="L99" t="s">
        <v>3737</v>
      </c>
      <c r="M99" t="str">
        <f>VLOOKUP(H99,CHOOSE({1,2},Table12[Native],Table12[Name]),2,0)</f>
        <v>Nínghăi Xiàn</v>
      </c>
      <c r="N99" s="15" t="str">
        <f>VLOOKUP(I99,CHOOSE({1,2},Table12[Native],Table12[Name]),2,0)</f>
        <v>Níngbō Shì</v>
      </c>
      <c r="O99" s="15" t="str">
        <f t="shared" si="2"/>
        <v>Changjie Zhen (Níngbō Shì)</v>
      </c>
      <c r="P99" s="15" t="str">
        <f t="shared" si="3"/>
        <v>Changjie Zhen (Níngbō Shì)</v>
      </c>
    </row>
    <row r="100" spans="1:16" hidden="1" x14ac:dyDescent="0.25">
      <c r="A100" t="s">
        <v>45</v>
      </c>
      <c r="B100" t="str">
        <f>IF(COUNTIF(A:A,A100)&gt;1,_xlfn.CONCAT(A100," (",N100,")"),A100)</f>
        <v>Chăngkŏu Zhèn</v>
      </c>
      <c r="C100" t="str">
        <f>IF(COUNTIF(B:B,B100)&gt;1,_xlfn.CONCAT(A100," (",M100,")"),B100)</f>
        <v>Chăngkŏu Zhèn</v>
      </c>
      <c r="D100" t="s">
        <v>46</v>
      </c>
      <c r="E100" t="s">
        <v>11</v>
      </c>
      <c r="F100" t="str">
        <f>_xlfn.CONCAT(D100,", ",H100,", ",I100,", ","浙江省")</f>
        <v>场口镇, 富阳区, 杭州市, 浙江省</v>
      </c>
      <c r="G100">
        <v>29709</v>
      </c>
      <c r="H100" t="s">
        <v>2908</v>
      </c>
      <c r="I100" t="s">
        <v>2903</v>
      </c>
      <c r="J100">
        <f>VLOOKUP(F100,[1]!china_towns_second__2[[Column1]:[Y]],3,FALSE)</f>
        <v>29.901582019768401</v>
      </c>
      <c r="K100">
        <f>VLOOKUP(F100,[1]!china_towns_second__2[[Column1]:[Y]],2,FALSE)</f>
        <v>119.86166679999999</v>
      </c>
      <c r="L100" t="s">
        <v>3738</v>
      </c>
      <c r="M100" t="str">
        <f>VLOOKUP(H100,CHOOSE({1,2},Table12[Native],Table12[Name]),2,0)</f>
        <v>Fùyáng Qū</v>
      </c>
      <c r="N100" s="15" t="str">
        <f>VLOOKUP(I100,CHOOSE({1,2},Table12[Native],Table12[Name]),2,0)</f>
        <v>Hángzhōu Shì</v>
      </c>
      <c r="O100" s="15" t="str">
        <f t="shared" si="2"/>
        <v>Changkou Zhen (Hángzhōu Shì)</v>
      </c>
      <c r="P100" s="15" t="str">
        <f t="shared" si="3"/>
        <v>Changkou Zhen (Hángzhōu Shì)</v>
      </c>
    </row>
    <row r="101" spans="1:16" hidden="1" x14ac:dyDescent="0.25">
      <c r="A101" t="s">
        <v>1843</v>
      </c>
      <c r="B101" t="str">
        <f>IF(COUNTIF(A:A,A101)&gt;1,_xlfn.CONCAT(A101," (",N101,")"),A101)</f>
        <v>Chánglè Zhèn</v>
      </c>
      <c r="C101" t="str">
        <f>IF(COUNTIF(B:B,B101)&gt;1,_xlfn.CONCAT(A101," (",M101,")"),B101)</f>
        <v>Chánglè Zhèn</v>
      </c>
      <c r="D101" t="s">
        <v>1844</v>
      </c>
      <c r="E101" t="s">
        <v>11</v>
      </c>
      <c r="F101" t="str">
        <f>_xlfn.CONCAT(D101,", ",H101,", ",I101,", ","浙江省")</f>
        <v>长乐镇, 嵊州市, 绍兴市, 浙江省</v>
      </c>
      <c r="G101">
        <v>59174</v>
      </c>
      <c r="H101" t="s">
        <v>2984</v>
      </c>
      <c r="I101" t="s">
        <v>2981</v>
      </c>
      <c r="J101">
        <f>VLOOKUP(F101,[1]!china_towns_second__2[[Column1]:[Y]],3,FALSE)</f>
        <v>29.470027181902498</v>
      </c>
      <c r="K101">
        <f>VLOOKUP(F101,[1]!china_towns_second__2[[Column1]:[Y]],2,FALSE)</f>
        <v>120.5687325</v>
      </c>
      <c r="L101" t="s">
        <v>3739</v>
      </c>
      <c r="M101" t="str">
        <f>VLOOKUP(H101,CHOOSE({1,2},Table12[Native],Table12[Name]),2,0)</f>
        <v>Shèngzhōu Shì</v>
      </c>
      <c r="N101" s="15" t="str">
        <f>VLOOKUP(I101,CHOOSE({1,2},Table12[Native],Table12[Name]),2,0)</f>
        <v>Shàoxīng Shì</v>
      </c>
      <c r="O101" s="15" t="str">
        <f t="shared" si="2"/>
        <v>Changle Zhen (Shàoxīng Shì)</v>
      </c>
      <c r="P101" s="15" t="str">
        <f t="shared" si="3"/>
        <v>Changle Zhen (Shàoxīng Shì)</v>
      </c>
    </row>
    <row r="102" spans="1:16" hidden="1" x14ac:dyDescent="0.25">
      <c r="A102" t="s">
        <v>47</v>
      </c>
      <c r="B102" t="str">
        <f>IF(COUNTIF(A:A,A102)&gt;1,_xlfn.CONCAT(A102," (",N102,")"),A102)</f>
        <v>Chánglǜ Zhèn</v>
      </c>
      <c r="C102" t="str">
        <f>IF(COUNTIF(B:B,B102)&gt;1,_xlfn.CONCAT(A102," (",M102,")"),B102)</f>
        <v>Chánglǜ Zhèn</v>
      </c>
      <c r="D102" t="s">
        <v>48</v>
      </c>
      <c r="E102" t="s">
        <v>11</v>
      </c>
      <c r="F102" t="str">
        <f>_xlfn.CONCAT(D102,", ",H102,", ",I102,", ","浙江省")</f>
        <v>常绿镇, 富阳区, 杭州市, 浙江省</v>
      </c>
      <c r="G102">
        <v>9819</v>
      </c>
      <c r="H102" t="s">
        <v>2908</v>
      </c>
      <c r="I102" t="s">
        <v>2903</v>
      </c>
      <c r="J102">
        <f>VLOOKUP(F102,[1]!china_towns_second__2[[Column1]:[Y]],3,FALSE)</f>
        <v>29.852893209143399</v>
      </c>
      <c r="K102">
        <f>VLOOKUP(F102,[1]!china_towns_second__2[[Column1]:[Y]],2,FALSE)</f>
        <v>120.05593450000001</v>
      </c>
      <c r="L102" t="s">
        <v>3740</v>
      </c>
      <c r="M102" t="str">
        <f>VLOOKUP(H102,CHOOSE({1,2},Table12[Native],Table12[Name]),2,0)</f>
        <v>Fùyáng Qū</v>
      </c>
      <c r="N102" s="15" t="str">
        <f>VLOOKUP(I102,CHOOSE({1,2},Table12[Native],Table12[Name]),2,0)</f>
        <v>Hángzhōu Shì</v>
      </c>
      <c r="O102" s="15" t="str">
        <f t="shared" si="2"/>
        <v>Changlu Zhen (Hángzhōu Shì)</v>
      </c>
      <c r="P102" s="15" t="str">
        <f t="shared" si="3"/>
        <v>Changlu Zhen (Hángzhōu Shì)</v>
      </c>
    </row>
    <row r="103" spans="1:16" hidden="1" x14ac:dyDescent="0.25">
      <c r="A103" t="s">
        <v>49</v>
      </c>
      <c r="B103" t="str">
        <f>IF(COUNTIF(A:A,A103)&gt;1,_xlfn.CONCAT(A103," (",N103,")"),A103)</f>
        <v>Chángqìng Jiēdào</v>
      </c>
      <c r="C103" t="str">
        <f>IF(COUNTIF(B:B,B103)&gt;1,_xlfn.CONCAT(A103," (",M103,")"),B103)</f>
        <v>Chángqìng Jiēdào</v>
      </c>
      <c r="D103" t="s">
        <v>50</v>
      </c>
      <c r="E103" t="s">
        <v>15</v>
      </c>
      <c r="F103" t="str">
        <f>_xlfn.CONCAT(D103,", ",H103,", ",I103,", ","浙江省")</f>
        <v>长庆街道, 拱墅区, 杭州市, 浙江省</v>
      </c>
      <c r="G103">
        <v>45343</v>
      </c>
      <c r="H103" t="s">
        <v>2909</v>
      </c>
      <c r="I103" t="s">
        <v>2903</v>
      </c>
      <c r="J103" t="e">
        <f>VLOOKUP(F103,[1]!china_towns_second__2[[Column1]:[Y]],3,FALSE)</f>
        <v>#N/A</v>
      </c>
      <c r="K103" t="e">
        <f>VLOOKUP(F103,[1]!china_towns_second__2[[Column1]:[Y]],2,FALSE)</f>
        <v>#N/A</v>
      </c>
      <c r="L103" t="s">
        <v>3741</v>
      </c>
      <c r="M103" t="str">
        <f>VLOOKUP(H103,CHOOSE({1,2},Table12[Native],Table12[Name]),2,0)</f>
        <v>Gŏngshù Qū</v>
      </c>
      <c r="N103" s="15" t="str">
        <f>VLOOKUP(I103,CHOOSE({1,2},Table12[Native],Table12[Name]),2,0)</f>
        <v>Hángzhōu Shì</v>
      </c>
      <c r="O103" s="15" t="str">
        <f t="shared" si="2"/>
        <v>Changqing Jiedao (Hángzhōu Shì)</v>
      </c>
      <c r="P103" s="15" t="str">
        <f t="shared" si="3"/>
        <v>Changqing Jiedao (Hángzhōu Shì)</v>
      </c>
    </row>
    <row r="104" spans="1:16" hidden="1" x14ac:dyDescent="0.25">
      <c r="A104" t="s">
        <v>728</v>
      </c>
      <c r="B104" t="str">
        <f>IF(COUNTIF(A:A,A104)&gt;1,_xlfn.CONCAT(A104," (",N104,")"),A104)</f>
        <v>Chángshān Xiāng</v>
      </c>
      <c r="C104" t="str">
        <f>IF(COUNTIF(B:B,B104)&gt;1,_xlfn.CONCAT(A104," (",M104,")"),B104)</f>
        <v>Chángshān Xiāng</v>
      </c>
      <c r="D104" t="s">
        <v>729</v>
      </c>
      <c r="E104" t="s">
        <v>7</v>
      </c>
      <c r="F104" t="str">
        <f>_xlfn.CONCAT(D104,", ",H104,", ",I104,", ","浙江省")</f>
        <v>长山乡, 婺城区, 金华市, 浙江省</v>
      </c>
      <c r="G104">
        <v>9283</v>
      </c>
      <c r="H104" t="s">
        <v>2944</v>
      </c>
      <c r="I104" t="s">
        <v>2938</v>
      </c>
      <c r="J104" t="e">
        <f>VLOOKUP(F104,[1]!china_towns_second__2[[Column1]:[Y]],3,FALSE)</f>
        <v>#N/A</v>
      </c>
      <c r="K104" t="e">
        <f>VLOOKUP(F104,[1]!china_towns_second__2[[Column1]:[Y]],2,FALSE)</f>
        <v>#N/A</v>
      </c>
      <c r="L104" t="s">
        <v>3742</v>
      </c>
      <c r="M104" t="str">
        <f>VLOOKUP(H104,CHOOSE({1,2},Table12[Native],Table12[Name]),2,0)</f>
        <v>Wùchéng Qū</v>
      </c>
      <c r="N104" s="15" t="str">
        <f>VLOOKUP(I104,CHOOSE({1,2},Table12[Native],Table12[Name]),2,0)</f>
        <v>Jīnhuá Shì</v>
      </c>
      <c r="O104" s="15" t="str">
        <f t="shared" si="2"/>
        <v>Changshan Xiang (Jīnhuá Shì)</v>
      </c>
      <c r="P104" s="15" t="str">
        <f t="shared" si="3"/>
        <v>Changshan Xiang (Jīnhuá Shì)</v>
      </c>
    </row>
    <row r="105" spans="1:16" hidden="1" x14ac:dyDescent="0.25">
      <c r="A105" t="s">
        <v>559</v>
      </c>
      <c r="B105" t="str">
        <f>IF(COUNTIF(A:A,A105)&gt;1,_xlfn.CONCAT(A105," (",N105,")"),A105)</f>
        <v>Chángshuĭ Jiēdào [in: Jiāxīng Economic and Technological Development Zone]</v>
      </c>
      <c r="C105" t="str">
        <f>IF(COUNTIF(B:B,B105)&gt;1,_xlfn.CONCAT(A105," (",M105,")"),B105)</f>
        <v>Chángshuĭ Jiēdào [in: Jiāxīng Economic and Technological Development Zone]</v>
      </c>
      <c r="D105" t="s">
        <v>560</v>
      </c>
      <c r="E105" t="s">
        <v>15</v>
      </c>
      <c r="F105" t="str">
        <f>_xlfn.CONCAT(D105,", ",H105,", ",I105,", ","浙江省")</f>
        <v>长水街道, 南湖区, 嘉兴市, 浙江省</v>
      </c>
      <c r="G105">
        <v>32379</v>
      </c>
      <c r="H105" t="s">
        <v>2933</v>
      </c>
      <c r="I105" t="s">
        <v>2929</v>
      </c>
      <c r="J105">
        <f>VLOOKUP(F105,[1]!china_towns_second__2[[Column1]:[Y]],3,FALSE)</f>
        <v>30.7088301511147</v>
      </c>
      <c r="K105">
        <f>VLOOKUP(F105,[1]!china_towns_second__2[[Column1]:[Y]],2,FALSE)</f>
        <v>120.77032130000001</v>
      </c>
      <c r="L105" t="s">
        <v>3743</v>
      </c>
      <c r="M105" t="str">
        <f>VLOOKUP(H105,CHOOSE({1,2},Table12[Native],Table12[Name]),2,0)</f>
        <v>Nánhú Qū</v>
      </c>
      <c r="N105" s="15" t="str">
        <f>VLOOKUP(I105,CHOOSE({1,2},Table12[Native],Table12[Name]),2,0)</f>
        <v>Jiāxīng Shì</v>
      </c>
      <c r="O105" s="15" t="str">
        <f t="shared" si="2"/>
        <v>Changshui Jiedao [in: Jiaxing Economic and Technological Development Zone] (Jiāxīng Shì)</v>
      </c>
      <c r="P105" s="15" t="str">
        <f t="shared" si="3"/>
        <v>Changshui Jiedao [in: Jiaxing Economic and Technological Development Zone] (Jiāxīng Shì)</v>
      </c>
    </row>
    <row r="106" spans="1:16" hidden="1" x14ac:dyDescent="0.25">
      <c r="A106" t="s">
        <v>1654</v>
      </c>
      <c r="B106" t="str">
        <f>IF(COUNTIF(A:A,A106)&gt;1,_xlfn.CONCAT(A106," (",N106,")"),A106)</f>
        <v>Chángtái Zhèn</v>
      </c>
      <c r="C106" t="str">
        <f>IF(COUNTIF(B:B,B106)&gt;1,_xlfn.CONCAT(A106," (",M106,")"),B106)</f>
        <v>Chángtái Zhèn</v>
      </c>
      <c r="D106" t="s">
        <v>1655</v>
      </c>
      <c r="E106" t="s">
        <v>11</v>
      </c>
      <c r="F106" t="str">
        <f>_xlfn.CONCAT(D106,", ",H106,", ",I106,", ","浙江省")</f>
        <v>长台镇, 江山市, 衢州市, 浙江省</v>
      </c>
      <c r="G106">
        <v>11207</v>
      </c>
      <c r="H106" t="s">
        <v>2975</v>
      </c>
      <c r="I106" t="s">
        <v>2973</v>
      </c>
      <c r="J106">
        <f>VLOOKUP(F106,[1]!china_towns_second__2[[Column1]:[Y]],3,FALSE)</f>
        <v>28.604702033390801</v>
      </c>
      <c r="K106">
        <f>VLOOKUP(F106,[1]!china_towns_second__2[[Column1]:[Y]],2,FALSE)</f>
        <v>118.6460534</v>
      </c>
      <c r="L106" t="s">
        <v>3744</v>
      </c>
      <c r="M106" t="str">
        <f>VLOOKUP(H106,CHOOSE({1,2},Table12[Native],Table12[Name]),2,0)</f>
        <v>Jiāngshān Shì</v>
      </c>
      <c r="N106" s="15" t="str">
        <f>VLOOKUP(I106,CHOOSE({1,2},Table12[Native],Table12[Name]),2,0)</f>
        <v>Qúzhōu Shì</v>
      </c>
      <c r="O106" s="15" t="str">
        <f t="shared" si="2"/>
        <v>Changtai Zhen (Qúzhōu Shì)</v>
      </c>
      <c r="P106" s="15" t="str">
        <f t="shared" si="3"/>
        <v>Changtai Zhen (Qúzhōu Shì)</v>
      </c>
    </row>
    <row r="107" spans="1:16" hidden="1" x14ac:dyDescent="0.25">
      <c r="A107" t="s">
        <v>1846</v>
      </c>
      <c r="B107" t="str">
        <f>IF(COUNTIF(A:A,A107)&gt;1,_xlfn.CONCAT(A107," (",N107,")"),A107)</f>
        <v>Chángtáng Zhèn</v>
      </c>
      <c r="C107" t="str">
        <f>IF(COUNTIF(B:B,B107)&gt;1,_xlfn.CONCAT(A107," (",M107,")"),B107)</f>
        <v>Chángtáng Zhèn</v>
      </c>
      <c r="D107" t="s">
        <v>1847</v>
      </c>
      <c r="E107" t="s">
        <v>11</v>
      </c>
      <c r="F107" t="str">
        <f>_xlfn.CONCAT(D107,", ",H107,", ",I107,", ","浙江省")</f>
        <v>长塘镇, 上虞区, 绍兴市, 浙江省</v>
      </c>
      <c r="G107">
        <v>12191</v>
      </c>
      <c r="H107" t="s">
        <v>2983</v>
      </c>
      <c r="I107" t="s">
        <v>2981</v>
      </c>
      <c r="J107">
        <f>VLOOKUP(F107,[1]!china_towns_second__2[[Column1]:[Y]],3,FALSE)</f>
        <v>29.940216679413702</v>
      </c>
      <c r="K107">
        <f>VLOOKUP(F107,[1]!china_towns_second__2[[Column1]:[Y]],2,FALSE)</f>
        <v>120.7901067</v>
      </c>
      <c r="L107" t="s">
        <v>3745</v>
      </c>
      <c r="M107" t="str">
        <f>VLOOKUP(H107,CHOOSE({1,2},Table12[Native],Table12[Name]),2,0)</f>
        <v>Shàngyú Qū</v>
      </c>
      <c r="N107" s="15" t="str">
        <f>VLOOKUP(I107,CHOOSE({1,2},Table12[Native],Table12[Name]),2,0)</f>
        <v>Shàoxīng Shì</v>
      </c>
      <c r="O107" s="15" t="str">
        <f t="shared" si="2"/>
        <v>Changtang Zhen (Shàoxīng Shì)</v>
      </c>
      <c r="P107" s="15" t="str">
        <f t="shared" si="3"/>
        <v>Changtang Zhen (Shàoxīng Shì)</v>
      </c>
    </row>
    <row r="108" spans="1:16" hidden="1" x14ac:dyDescent="0.25">
      <c r="A108" t="s">
        <v>2840</v>
      </c>
      <c r="B108" t="str">
        <f>IF(COUNTIF(A:A,A108)&gt;1,_xlfn.CONCAT(A108," (",N108,")"),A108)</f>
        <v>Chángtú Zhèn</v>
      </c>
      <c r="C108" t="str">
        <f>IF(COUNTIF(B:B,B108)&gt;1,_xlfn.CONCAT(A108," (",M108,")"),B108)</f>
        <v>Chángtú Zhèn</v>
      </c>
      <c r="D108" t="s">
        <v>2841</v>
      </c>
      <c r="E108" t="s">
        <v>11</v>
      </c>
      <c r="F108" t="str">
        <f>_xlfn.CONCAT(D108,", ",H108,", ",I108,", ","浙江省")</f>
        <v>长涂镇, 岱山县, 舟山市, 浙江省</v>
      </c>
      <c r="G108">
        <v>21500</v>
      </c>
      <c r="H108" t="s">
        <v>3014</v>
      </c>
      <c r="I108" t="s">
        <v>3013</v>
      </c>
      <c r="J108">
        <f>VLOOKUP(F108,[1]!china_towns_second__2[[Column1]:[Y]],3,FALSE)</f>
        <v>30.251412594351901</v>
      </c>
      <c r="K108">
        <f>VLOOKUP(F108,[1]!china_towns_second__2[[Column1]:[Y]],2,FALSE)</f>
        <v>122.3471825</v>
      </c>
      <c r="L108" t="s">
        <v>3746</v>
      </c>
      <c r="M108" t="str">
        <f>VLOOKUP(H108,CHOOSE({1,2},Table12[Native],Table12[Name]),2,0)</f>
        <v>Dàishān Xiàn</v>
      </c>
      <c r="N108" s="15" t="str">
        <f>VLOOKUP(I108,CHOOSE({1,2},Table12[Native],Table12[Name]),2,0)</f>
        <v>Zhōushān Shì</v>
      </c>
      <c r="O108" s="15" t="str">
        <f t="shared" si="2"/>
        <v>Changtu Zhen (Zhōushān Shì)</v>
      </c>
      <c r="P108" s="15" t="str">
        <f t="shared" si="3"/>
        <v>Changtu Zhen (Zhōushān Shì)</v>
      </c>
    </row>
    <row r="109" spans="1:16" hidden="1" x14ac:dyDescent="0.25">
      <c r="A109" t="s">
        <v>51</v>
      </c>
      <c r="B109" t="str">
        <f>IF(COUNTIF(A:A,A109)&gt;1,_xlfn.CONCAT(A109," (",N109,")"),A109)</f>
        <v>Cháohuī Jiēdào</v>
      </c>
      <c r="C109" t="str">
        <f>IF(COUNTIF(B:B,B109)&gt;1,_xlfn.CONCAT(A109," (",M109,")"),B109)</f>
        <v>Cháohuī Jiēdào</v>
      </c>
      <c r="D109" t="s">
        <v>52</v>
      </c>
      <c r="E109" t="s">
        <v>15</v>
      </c>
      <c r="F109" t="str">
        <f>_xlfn.CONCAT(D109,", ",H109,", ",I109,", ","浙江省")</f>
        <v>朝晖街道, 拱墅区, 杭州市, 浙江省</v>
      </c>
      <c r="G109">
        <v>82221</v>
      </c>
      <c r="H109" t="s">
        <v>2909</v>
      </c>
      <c r="I109" t="s">
        <v>2903</v>
      </c>
      <c r="J109" t="e">
        <f>VLOOKUP(F109,[1]!china_towns_second__2[[Column1]:[Y]],3,FALSE)</f>
        <v>#N/A</v>
      </c>
      <c r="K109" t="e">
        <f>VLOOKUP(F109,[1]!china_towns_second__2[[Column1]:[Y]],2,FALSE)</f>
        <v>#N/A</v>
      </c>
      <c r="L109" t="s">
        <v>3747</v>
      </c>
      <c r="M109" t="str">
        <f>VLOOKUP(H109,CHOOSE({1,2},Table12[Native],Table12[Name]),2,0)</f>
        <v>Gŏngshù Qū</v>
      </c>
      <c r="N109" s="15" t="str">
        <f>VLOOKUP(I109,CHOOSE({1,2},Table12[Native],Table12[Name]),2,0)</f>
        <v>Hángzhōu Shì</v>
      </c>
      <c r="O109" s="15" t="str">
        <f t="shared" si="2"/>
        <v>Chaohui Jiedao (Hángzhōu Shì)</v>
      </c>
      <c r="P109" s="15" t="str">
        <f t="shared" si="3"/>
        <v>Chaohui Jiedao (Hángzhōu Shì)</v>
      </c>
    </row>
    <row r="110" spans="1:16" hidden="1" x14ac:dyDescent="0.25">
      <c r="A110" t="s">
        <v>2312</v>
      </c>
      <c r="B110" t="str">
        <f>IF(COUNTIF(A:A,A110)&gt;1,_xlfn.CONCAT(A110," (",N110,")"),A110)</f>
        <v>Cháojī Xiāng</v>
      </c>
      <c r="C110" t="str">
        <f>IF(COUNTIF(B:B,B110)&gt;1,_xlfn.CONCAT(A110," (",M110,")"),B110)</f>
        <v>Cháojī Xiāng</v>
      </c>
      <c r="D110" t="s">
        <v>2313</v>
      </c>
      <c r="E110" t="s">
        <v>7</v>
      </c>
      <c r="F110" t="str">
        <f>_xlfn.CONCAT(D110,", ",H110,", ",I110,", ","浙江省")</f>
        <v>潮基乡, 瑞安市, 温州市, 浙江省</v>
      </c>
      <c r="G110">
        <v>7227</v>
      </c>
      <c r="H110" t="s">
        <v>3007</v>
      </c>
      <c r="I110" t="s">
        <v>3000</v>
      </c>
      <c r="J110" t="e">
        <f>VLOOKUP(F110,[1]!china_towns_second__2[[Column1]:[Y]],3,FALSE)</f>
        <v>#N/A</v>
      </c>
      <c r="K110" t="e">
        <f>VLOOKUP(F110,[1]!china_towns_second__2[[Column1]:[Y]],2,FALSE)</f>
        <v>#N/A</v>
      </c>
      <c r="L110" t="s">
        <v>3748</v>
      </c>
      <c r="M110" t="str">
        <f>VLOOKUP(H110,CHOOSE({1,2},Table12[Native],Table12[Name]),2,0)</f>
        <v>Ruì'ān Shì</v>
      </c>
      <c r="N110" s="15" t="str">
        <f>VLOOKUP(I110,CHOOSE({1,2},Table12[Native],Table12[Name]),2,0)</f>
        <v>Wēnzhōu Shì</v>
      </c>
      <c r="O110" s="15" t="str">
        <f t="shared" si="2"/>
        <v>Chaoji Xiang (Wēnzhōu Shì)</v>
      </c>
      <c r="P110" s="15" t="str">
        <f t="shared" si="3"/>
        <v>Chaoji Xiang (Wēnzhōu Shì)</v>
      </c>
    </row>
    <row r="111" spans="1:16" hidden="1" x14ac:dyDescent="0.25">
      <c r="A111" t="s">
        <v>53</v>
      </c>
      <c r="B111" t="str">
        <f>IF(COUNTIF(A:A,A111)&gt;1,_xlfn.CONCAT(A111," (",N111,")"),A111)</f>
        <v>Cháomíng Jiēdào</v>
      </c>
      <c r="C111" t="str">
        <f>IF(COUNTIF(B:B,B111)&gt;1,_xlfn.CONCAT(A111," (",M111,")"),B111)</f>
        <v>Cháomíng Jiēdào</v>
      </c>
      <c r="D111" t="s">
        <v>54</v>
      </c>
      <c r="E111" t="s">
        <v>15</v>
      </c>
      <c r="F111" t="str">
        <f>_xlfn.CONCAT(D111,", ",H111,", ",I111,", ","浙江省")</f>
        <v>潮鸣街道, 拱墅区, 杭州市, 浙江省</v>
      </c>
      <c r="G111">
        <v>58035</v>
      </c>
      <c r="H111" t="s">
        <v>2909</v>
      </c>
      <c r="I111" t="s">
        <v>2903</v>
      </c>
      <c r="J111" t="e">
        <f>VLOOKUP(F111,[1]!china_towns_second__2[[Column1]:[Y]],3,FALSE)</f>
        <v>#N/A</v>
      </c>
      <c r="K111" t="e">
        <f>VLOOKUP(F111,[1]!china_towns_second__2[[Column1]:[Y]],2,FALSE)</f>
        <v>#N/A</v>
      </c>
      <c r="L111" t="s">
        <v>3749</v>
      </c>
      <c r="M111" t="str">
        <f>VLOOKUP(H111,CHOOSE({1,2},Table12[Native],Table12[Name]),2,0)</f>
        <v>Gŏngshù Qū</v>
      </c>
      <c r="N111" s="15" t="str">
        <f>VLOOKUP(I111,CHOOSE({1,2},Table12[Native],Table12[Name]),2,0)</f>
        <v>Hángzhōu Shì</v>
      </c>
      <c r="O111" s="15" t="str">
        <f t="shared" si="2"/>
        <v>Chaoming Jiedao (Hángzhōu Shì)</v>
      </c>
      <c r="P111" s="15" t="str">
        <f t="shared" si="3"/>
        <v>Chaoming Jiedao (Hángzhōu Shì)</v>
      </c>
    </row>
    <row r="112" spans="1:16" hidden="1" x14ac:dyDescent="0.25">
      <c r="A112" t="s">
        <v>430</v>
      </c>
      <c r="B112" t="str">
        <f>IF(COUNTIF(A:A,A112)&gt;1,_xlfn.CONCAT(A112," (",N112,")"),A112)</f>
        <v>Cháoyáng Jiēdào</v>
      </c>
      <c r="C112" t="str">
        <f>IF(COUNTIF(B:B,B112)&gt;1,_xlfn.CONCAT(A112," (",M112,")"),B112)</f>
        <v>Cháoyáng Jiēdào</v>
      </c>
      <c r="D112" t="s">
        <v>431</v>
      </c>
      <c r="E112" t="s">
        <v>15</v>
      </c>
      <c r="F112" t="str">
        <f>_xlfn.CONCAT(D112,", ",H112,", ",I112,", ","浙江省")</f>
        <v>朝阳街道, 吴兴区, 湖州市, 浙江省</v>
      </c>
      <c r="G112">
        <v>38630</v>
      </c>
      <c r="H112" t="s">
        <v>2927</v>
      </c>
      <c r="I112" t="s">
        <v>2922</v>
      </c>
      <c r="J112">
        <f>VLOOKUP(F112,[1]!china_towns_second__2[[Column1]:[Y]],3,FALSE)</f>
        <v>30.8559337604507</v>
      </c>
      <c r="K112">
        <f>VLOOKUP(F112,[1]!china_towns_second__2[[Column1]:[Y]],2,FALSE)</f>
        <v>120.0970904</v>
      </c>
      <c r="L112" t="s">
        <v>3750</v>
      </c>
      <c r="M112" t="str">
        <f>VLOOKUP(H112,CHOOSE({1,2},Table12[Native],Table12[Name]),2,0)</f>
        <v>Wúxīng Qū</v>
      </c>
      <c r="N112" s="15" t="str">
        <f>VLOOKUP(I112,CHOOSE({1,2},Table12[Native],Table12[Name]),2,0)</f>
        <v>Húzhōu Shì</v>
      </c>
      <c r="O112" s="15" t="str">
        <f t="shared" si="2"/>
        <v>Chaoyang Jiedao (Húzhōu Shì)</v>
      </c>
      <c r="P112" s="15" t="str">
        <f t="shared" si="3"/>
        <v>Chaoyang Jiedao (Húzhōu Shì)</v>
      </c>
    </row>
    <row r="113" spans="1:16" hidden="1" x14ac:dyDescent="0.25">
      <c r="A113" t="s">
        <v>2314</v>
      </c>
      <c r="B113" t="str">
        <f>IF(COUNTIF(A:A,A113)&gt;1,_xlfn.CONCAT(A113," (",N113,")"),A113)</f>
        <v>Cháoyáng Xiāng</v>
      </c>
      <c r="C113" t="str">
        <f>IF(COUNTIF(B:B,B113)&gt;1,_xlfn.CONCAT(A113," (",M113,")"),B113)</f>
        <v>Cháoyáng Xiāng</v>
      </c>
      <c r="D113" t="s">
        <v>2315</v>
      </c>
      <c r="E113" t="s">
        <v>7</v>
      </c>
      <c r="F113" t="str">
        <f>_xlfn.CONCAT(D113,", ",H113,", ",I113,", ","浙江省")</f>
        <v>朝阳乡, 平阳县, 温州市, 浙江省</v>
      </c>
      <c r="G113">
        <v>1677</v>
      </c>
      <c r="H113" t="s">
        <v>3006</v>
      </c>
      <c r="I113" t="s">
        <v>3000</v>
      </c>
      <c r="J113" t="e">
        <f>VLOOKUP(F113,[1]!china_towns_second__2[[Column1]:[Y]],3,FALSE)</f>
        <v>#N/A</v>
      </c>
      <c r="K113" t="e">
        <f>VLOOKUP(F113,[1]!china_towns_second__2[[Column1]:[Y]],2,FALSE)</f>
        <v>#N/A</v>
      </c>
      <c r="L113" t="s">
        <v>3751</v>
      </c>
      <c r="M113" t="str">
        <f>VLOOKUP(H113,CHOOSE({1,2},Table12[Native],Table12[Name]),2,0)</f>
        <v>Píngyáng Xiàn</v>
      </c>
      <c r="N113" s="15" t="str">
        <f>VLOOKUP(I113,CHOOSE({1,2},Table12[Native],Table12[Name]),2,0)</f>
        <v>Wēnzhōu Shì</v>
      </c>
      <c r="O113" s="15" t="str">
        <f t="shared" si="2"/>
        <v>Chaoyang Xiang (Wēnzhōu Shì)</v>
      </c>
      <c r="P113" s="15" t="str">
        <f t="shared" si="3"/>
        <v>Chaoyang Xiang (Wēnzhōu Shì)</v>
      </c>
    </row>
    <row r="114" spans="1:16" hidden="1" x14ac:dyDescent="0.25">
      <c r="A114" t="s">
        <v>2316</v>
      </c>
      <c r="B114" t="str">
        <f>IF(COUNTIF(A:A,A114)&gt;1,_xlfn.CONCAT(A114," (",N114,")"),A114)</f>
        <v>Cháshān Jiēdào</v>
      </c>
      <c r="C114" t="str">
        <f>IF(COUNTIF(B:B,B114)&gt;1,_xlfn.CONCAT(A114," (",M114,")"),B114)</f>
        <v>Cháshān Jiēdào</v>
      </c>
      <c r="D114" t="s">
        <v>2317</v>
      </c>
      <c r="E114" t="s">
        <v>15</v>
      </c>
      <c r="F114" t="str">
        <f>_xlfn.CONCAT(D114,", ",H114,", ",I114,", ","浙江省")</f>
        <v>茶山街道, 瓯海区, 温州市, 浙江省</v>
      </c>
      <c r="G114">
        <v>76219</v>
      </c>
      <c r="H114" t="s">
        <v>3005</v>
      </c>
      <c r="I114" t="s">
        <v>3000</v>
      </c>
      <c r="J114">
        <f>VLOOKUP(F114,[1]!china_towns_second__2[[Column1]:[Y]],3,FALSE)</f>
        <v>27.917470630265299</v>
      </c>
      <c r="K114">
        <f>VLOOKUP(F114,[1]!china_towns_second__2[[Column1]:[Y]],2,FALSE)</f>
        <v>120.71132009999999</v>
      </c>
      <c r="L114" t="s">
        <v>3752</v>
      </c>
      <c r="M114" t="str">
        <f>VLOOKUP(H114,CHOOSE({1,2},Table12[Native],Table12[Name]),2,0)</f>
        <v>Ōuhăi Qū</v>
      </c>
      <c r="N114" s="15" t="str">
        <f>VLOOKUP(I114,CHOOSE({1,2},Table12[Native],Table12[Name]),2,0)</f>
        <v>Wēnzhōu Shì</v>
      </c>
      <c r="O114" s="15" t="str">
        <f t="shared" si="2"/>
        <v>Chashan Jiedao (Wēnzhōu Shì)</v>
      </c>
      <c r="P114" s="15" t="str">
        <f t="shared" si="3"/>
        <v>Chashan Jiedao (Wēnzhōu Shì)</v>
      </c>
    </row>
    <row r="115" spans="1:16" hidden="1" x14ac:dyDescent="0.25">
      <c r="A115" t="s">
        <v>1033</v>
      </c>
      <c r="B115" t="str">
        <f>IF(COUNTIF(A:A,A115)&gt;1,_xlfn.CONCAT(A115," (",N115,")"),A115)</f>
        <v>Chátián Zhèn</v>
      </c>
      <c r="C115" t="str">
        <f>IF(COUNTIF(B:B,B115)&gt;1,_xlfn.CONCAT(A115," (",M115,")"),B115)</f>
        <v>Chátián Zhèn</v>
      </c>
      <c r="D115" t="s">
        <v>1034</v>
      </c>
      <c r="E115" t="s">
        <v>11</v>
      </c>
      <c r="F115" t="str">
        <f>_xlfn.CONCAT(D115,", ",H115,", ",I115,", ","浙江省")</f>
        <v>查田镇, 龙泉市, 丽水市, 浙江省</v>
      </c>
      <c r="G115">
        <v>10790</v>
      </c>
      <c r="H115" t="s">
        <v>2954</v>
      </c>
      <c r="I115" t="s">
        <v>2949</v>
      </c>
      <c r="J115">
        <f>VLOOKUP(F115,[1]!china_towns_second__2[[Column1]:[Y]],3,FALSE)</f>
        <v>27.909916900518699</v>
      </c>
      <c r="K115">
        <f>VLOOKUP(F115,[1]!china_towns_second__2[[Column1]:[Y]],2,FALSE)</f>
        <v>119.0133922</v>
      </c>
      <c r="L115" t="s">
        <v>3753</v>
      </c>
      <c r="M115" t="str">
        <f>VLOOKUP(H115,CHOOSE({1,2},Table12[Native],Table12[Name]),2,0)</f>
        <v>Lóngquán Shì</v>
      </c>
      <c r="N115" s="15" t="str">
        <f>VLOOKUP(I115,CHOOSE({1,2},Table12[Native],Table12[Name]),2,0)</f>
        <v>Lìshuĭ Shì</v>
      </c>
      <c r="O115" s="15" t="str">
        <f t="shared" si="2"/>
        <v>Chatian Zhen (Lìshuĭ Shì)</v>
      </c>
      <c r="P115" s="15" t="str">
        <f t="shared" si="3"/>
        <v>Chatian Zhen (Lìshuĭ Shì)</v>
      </c>
    </row>
    <row r="116" spans="1:16" hidden="1" x14ac:dyDescent="0.25">
      <c r="A116" t="s">
        <v>1361</v>
      </c>
      <c r="B116" t="str">
        <f>IF(COUNTIF(A:A,A116)&gt;1,_xlfn.CONCAT(A116," (",N116,")"),A116)</f>
        <v>Cháyuàn Xiāng</v>
      </c>
      <c r="C116" t="str">
        <f>IF(COUNTIF(B:B,B116)&gt;1,_xlfn.CONCAT(A116," (",M116,")"),B116)</f>
        <v>Cháyuàn Xiāng</v>
      </c>
      <c r="D116" t="s">
        <v>1362</v>
      </c>
      <c r="E116" t="s">
        <v>7</v>
      </c>
      <c r="F116" t="str">
        <f>_xlfn.CONCAT(D116,", ",H116,", ",I116,", ","浙江省")</f>
        <v>茶院乡, 宁海县, 宁波市, 浙江省</v>
      </c>
      <c r="G116">
        <v>14773</v>
      </c>
      <c r="H116" t="s">
        <v>2967</v>
      </c>
      <c r="I116" t="s">
        <v>2961</v>
      </c>
      <c r="J116" t="e">
        <f>VLOOKUP(F116,[1]!china_towns_second__2[[Column1]:[Y]],3,FALSE)</f>
        <v>#N/A</v>
      </c>
      <c r="K116" t="e">
        <f>VLOOKUP(F116,[1]!china_towns_second__2[[Column1]:[Y]],2,FALSE)</f>
        <v>#N/A</v>
      </c>
      <c r="L116" t="s">
        <v>3754</v>
      </c>
      <c r="M116" t="str">
        <f>VLOOKUP(H116,CHOOSE({1,2},Table12[Native],Table12[Name]),2,0)</f>
        <v>Nínghăi Xiàn</v>
      </c>
      <c r="N116" s="15" t="str">
        <f>VLOOKUP(I116,CHOOSE({1,2},Table12[Native],Table12[Name]),2,0)</f>
        <v>Níngbō Shì</v>
      </c>
      <c r="O116" s="15" t="str">
        <f t="shared" si="2"/>
        <v>Chayuan Xiang (Níngbō Shì)</v>
      </c>
      <c r="P116" s="15" t="str">
        <f t="shared" si="3"/>
        <v>Chayuan Xiang (Níngbō Shì)</v>
      </c>
    </row>
    <row r="117" spans="1:16" hidden="1" x14ac:dyDescent="0.25">
      <c r="A117" t="s">
        <v>730</v>
      </c>
      <c r="B117" t="str">
        <f>IF(COUNTIF(A:A,A117)&gt;1,_xlfn.CONCAT(A117," (",N117,")"),A117)</f>
        <v>Chéngbĕi Jiēdào (Jīnhuá Shì)</v>
      </c>
      <c r="C117" t="str">
        <f>IF(COUNTIF(B:B,B117)&gt;1,_xlfn.CONCAT(A117," (",M117,")"),B117)</f>
        <v>Chéngbĕi Jiēdào (Jīnhuá Shì)</v>
      </c>
      <c r="D117" t="s">
        <v>731</v>
      </c>
      <c r="E117" t="s">
        <v>15</v>
      </c>
      <c r="F117" t="str">
        <f>_xlfn.CONCAT(D117,", ",H117,", ",I117,", ","浙江省")</f>
        <v>城北街道, 婺城区, 金华市, 浙江省</v>
      </c>
      <c r="G117">
        <v>67480</v>
      </c>
      <c r="H117" t="s">
        <v>2944</v>
      </c>
      <c r="I117" t="s">
        <v>2938</v>
      </c>
      <c r="J117">
        <f>VLOOKUP(F117,[1]!china_towns_second__2[[Column1]:[Y]],3,FALSE)</f>
        <v>29.113520123280601</v>
      </c>
      <c r="K117">
        <f>VLOOKUP(F117,[1]!china_towns_second__2[[Column1]:[Y]],2,FALSE)</f>
        <v>119.6348076</v>
      </c>
      <c r="L117" t="s">
        <v>3755</v>
      </c>
      <c r="M117" t="str">
        <f>VLOOKUP(H117,CHOOSE({1,2},Table12[Native],Table12[Name]),2,0)</f>
        <v>Wùchéng Qū</v>
      </c>
      <c r="N117" s="15" t="str">
        <f>VLOOKUP(I117,CHOOSE({1,2},Table12[Native],Table12[Name]),2,0)</f>
        <v>Jīnhuá Shì</v>
      </c>
      <c r="O117" s="15" t="str">
        <f t="shared" si="2"/>
        <v>Chengbei Jiedao (Jinhua Shi) (Jīnhuá Shì)</v>
      </c>
      <c r="P117" s="15" t="str">
        <f t="shared" si="3"/>
        <v>Chengbei Jiedao (Jinhua Shi) (Jīnhuá Shì)</v>
      </c>
    </row>
    <row r="118" spans="1:16" hidden="1" x14ac:dyDescent="0.25">
      <c r="A118" t="s">
        <v>730</v>
      </c>
      <c r="B118" t="str">
        <f>IF(COUNTIF(A:A,A118)&gt;1,_xlfn.CONCAT(A118," (",N118,")"),A118)</f>
        <v>Chéngbĕi Jiēdào (Táizhōu Shì)</v>
      </c>
      <c r="C118" t="str">
        <f>IF(COUNTIF(B:B,B118)&gt;1,_xlfn.CONCAT(A118," (",M118,")"),B118)</f>
        <v>Chéngbĕi Jiēdào (Táizhōu Shì)</v>
      </c>
      <c r="D118" t="s">
        <v>731</v>
      </c>
      <c r="E118" t="s">
        <v>15</v>
      </c>
      <c r="F118" t="str">
        <f>_xlfn.CONCAT(D118,", ",H118,", ",I118,", ","浙江省")</f>
        <v>城北街道, 温岭市, 台州市, 浙江省</v>
      </c>
      <c r="G118">
        <v>57775</v>
      </c>
      <c r="H118" t="s">
        <v>2996</v>
      </c>
      <c r="I118" t="s">
        <v>2989</v>
      </c>
      <c r="J118">
        <f>VLOOKUP(F118,[1]!china_towns_second__2[[Column1]:[Y]],3,FALSE)</f>
        <v>28.447512176735</v>
      </c>
      <c r="K118">
        <f>VLOOKUP(F118,[1]!china_towns_second__2[[Column1]:[Y]],2,FALSE)</f>
        <v>121.3839308</v>
      </c>
      <c r="L118" t="s">
        <v>3756</v>
      </c>
      <c r="M118" t="str">
        <f>VLOOKUP(H118,CHOOSE({1,2},Table12[Native],Table12[Name]),2,0)</f>
        <v>Wēnlĭng Shì</v>
      </c>
      <c r="N118" s="15" t="str">
        <f>VLOOKUP(I118,CHOOSE({1,2},Table12[Native],Table12[Name]),2,0)</f>
        <v>Táizhōu Shì</v>
      </c>
      <c r="O118" s="15" t="str">
        <f t="shared" si="2"/>
        <v>Chengbei Jiedao (Taizhou Shi) (Táizhōu Shì)</v>
      </c>
      <c r="P118" s="15" t="str">
        <f t="shared" si="3"/>
        <v>Chengbei Jiedao (Taizhou Shi) (Táizhōu Shì)</v>
      </c>
    </row>
    <row r="119" spans="1:16" hidden="1" x14ac:dyDescent="0.25">
      <c r="A119" t="s">
        <v>1035</v>
      </c>
      <c r="B119" t="str">
        <f>IF(COUNTIF(A:A,A119)&gt;1,_xlfn.CONCAT(A119," (",N119,")"),A119)</f>
        <v>Chéngbĕi Xiāng (Lìshuĭ Shì)</v>
      </c>
      <c r="C119" t="str">
        <f>IF(COUNTIF(B:B,B119)&gt;1,_xlfn.CONCAT(A119," (",M119,")"),B119)</f>
        <v>Chéngbĕi Xiāng (Lìshuĭ Shì)</v>
      </c>
      <c r="D119" t="s">
        <v>1036</v>
      </c>
      <c r="E119" t="s">
        <v>7</v>
      </c>
      <c r="F119" t="str">
        <f>_xlfn.CONCAT(D119,", ",H119,", ",I119,", ","浙江省")</f>
        <v>城北乡, 龙泉市, 丽水市, 浙江省</v>
      </c>
      <c r="G119">
        <v>5362</v>
      </c>
      <c r="H119" t="s">
        <v>2954</v>
      </c>
      <c r="I119" t="s">
        <v>2949</v>
      </c>
      <c r="J119" t="e">
        <f>VLOOKUP(F119,[1]!china_towns_second__2[[Column1]:[Y]],3,FALSE)</f>
        <v>#N/A</v>
      </c>
      <c r="K119" t="e">
        <f>VLOOKUP(F119,[1]!china_towns_second__2[[Column1]:[Y]],2,FALSE)</f>
        <v>#N/A</v>
      </c>
      <c r="L119" t="s">
        <v>3757</v>
      </c>
      <c r="M119" t="str">
        <f>VLOOKUP(H119,CHOOSE({1,2},Table12[Native],Table12[Name]),2,0)</f>
        <v>Lóngquán Shì</v>
      </c>
      <c r="N119" s="15" t="str">
        <f>VLOOKUP(I119,CHOOSE({1,2},Table12[Native],Table12[Name]),2,0)</f>
        <v>Lìshuĭ Shì</v>
      </c>
      <c r="O119" s="15" t="str">
        <f t="shared" si="2"/>
        <v>Chengbei Xiang (Lishui Shi) (Lìshuĭ Shì)</v>
      </c>
      <c r="P119" s="15" t="str">
        <f t="shared" si="3"/>
        <v>Chengbei Xiang (Lishui Shi) (Lìshuĭ Shì)</v>
      </c>
    </row>
    <row r="120" spans="1:16" hidden="1" x14ac:dyDescent="0.25">
      <c r="A120" t="s">
        <v>1035</v>
      </c>
      <c r="B120" t="str">
        <f>IF(COUNTIF(A:A,A120)&gt;1,_xlfn.CONCAT(A120," (",N120,")"),A120)</f>
        <v>Chéngbĕi Xiāng (Wēnzhōu Shì)</v>
      </c>
      <c r="C120" t="str">
        <f>IF(COUNTIF(B:B,B120)&gt;1,_xlfn.CONCAT(A120," (",M120,")"),B120)</f>
        <v>Chéngbĕi Xiāng (Wēnzhōu Shì)</v>
      </c>
      <c r="D120" t="s">
        <v>1036</v>
      </c>
      <c r="E120" t="s">
        <v>7</v>
      </c>
      <c r="F120" t="str">
        <f>_xlfn.CONCAT(D120,", ",H120,", ",I120,", ","浙江省")</f>
        <v>城北乡, 乐清市, 温州市, 浙江省</v>
      </c>
      <c r="G120">
        <v>1824</v>
      </c>
      <c r="H120" t="s">
        <v>3011</v>
      </c>
      <c r="I120" t="s">
        <v>3000</v>
      </c>
      <c r="J120" t="e">
        <f>VLOOKUP(F120,[1]!china_towns_second__2[[Column1]:[Y]],3,FALSE)</f>
        <v>#N/A</v>
      </c>
      <c r="K120" t="e">
        <f>VLOOKUP(F120,[1]!china_towns_second__2[[Column1]:[Y]],2,FALSE)</f>
        <v>#N/A</v>
      </c>
      <c r="L120" t="s">
        <v>3758</v>
      </c>
      <c r="M120" t="str">
        <f>VLOOKUP(H120,CHOOSE({1,2},Table12[Native],Table12[Name]),2,0)</f>
        <v>Yuèqīng Shì</v>
      </c>
      <c r="N120" s="15" t="str">
        <f>VLOOKUP(I120,CHOOSE({1,2},Table12[Native],Table12[Name]),2,0)</f>
        <v>Wēnzhōu Shì</v>
      </c>
      <c r="O120" s="15" t="str">
        <f t="shared" si="2"/>
        <v>Chengbei Xiang (Wenzhou Shi) (Wēnzhōu Shì)</v>
      </c>
      <c r="P120" s="15" t="str">
        <f t="shared" si="3"/>
        <v>Chengbei Xiang (Wenzhou Shi) (Wēnzhōu Shì)</v>
      </c>
    </row>
    <row r="121" spans="1:16" hidden="1" x14ac:dyDescent="0.25">
      <c r="A121" t="s">
        <v>732</v>
      </c>
      <c r="B121" t="str">
        <f>IF(COUNTIF(A:A,A121)&gt;1,_xlfn.CONCAT(A121," (",N121,")"),A121)</f>
        <v>Chéngdōng Jiēdào (Jīnhuá Shì)</v>
      </c>
      <c r="C121" t="str">
        <f>IF(COUNTIF(B:B,B121)&gt;1,_xlfn.CONCAT(A121," (",M121,")"),B121)</f>
        <v>Chéngdōng Jiēdào (Wùchéng Qū)</v>
      </c>
      <c r="D121" t="s">
        <v>733</v>
      </c>
      <c r="E121" t="s">
        <v>15</v>
      </c>
      <c r="F121" t="str">
        <f>_xlfn.CONCAT(D121,", ",H121,", ",I121,", ","浙江省")</f>
        <v>城东街道, 婺城区, 金华市, 浙江省</v>
      </c>
      <c r="G121">
        <v>32674</v>
      </c>
      <c r="H121" t="s">
        <v>2944</v>
      </c>
      <c r="I121" t="s">
        <v>2938</v>
      </c>
      <c r="J121">
        <f>VLOOKUP(F121,[1]!china_towns_second__2[[Column1]:[Y]],3,FALSE)</f>
        <v>29.107045396467502</v>
      </c>
      <c r="K121">
        <f>VLOOKUP(F121,[1]!china_towns_second__2[[Column1]:[Y]],2,FALSE)</f>
        <v>119.66425889999999</v>
      </c>
      <c r="L121" t="s">
        <v>3759</v>
      </c>
      <c r="M121" t="str">
        <f>VLOOKUP(H121,CHOOSE({1,2},Table12[Native],Table12[Name]),2,0)</f>
        <v>Wùchéng Qū</v>
      </c>
      <c r="N121" s="15" t="str">
        <f>VLOOKUP(I121,CHOOSE({1,2},Table12[Native],Table12[Name]),2,0)</f>
        <v>Jīnhuá Shì</v>
      </c>
      <c r="O121" s="15" t="str">
        <f t="shared" si="2"/>
        <v>Chengdong Jiedao (Wucheng Qu) (Jīnhuá Shì)</v>
      </c>
      <c r="P121" s="15" t="str">
        <f t="shared" si="3"/>
        <v>Chengdong Jiedao (Wucheng Qu) (Jīnhuá Shì)</v>
      </c>
    </row>
    <row r="122" spans="1:16" hidden="1" x14ac:dyDescent="0.25">
      <c r="A122" t="s">
        <v>732</v>
      </c>
      <c r="B122" t="str">
        <f>IF(COUNTIF(A:A,A122)&gt;1,_xlfn.CONCAT(A122," (",N122,")"),A122)</f>
        <v>Chéngdōng Jiēdào (Jīnhuá Shì)</v>
      </c>
      <c r="C122" t="str">
        <f>IF(COUNTIF(B:B,B122)&gt;1,_xlfn.CONCAT(A122," (",M122,")"),B122)</f>
        <v>Chéngdōng Jiēdào (Dōngyáng Shì)</v>
      </c>
      <c r="D122" t="s">
        <v>733</v>
      </c>
      <c r="E122" t="s">
        <v>15</v>
      </c>
      <c r="F122" t="str">
        <f>_xlfn.CONCAT(D122,", ",H122,", ",I122,", ","浙江省")</f>
        <v>城东街道, 东阳市, 金华市, 浙江省</v>
      </c>
      <c r="G122">
        <v>35902</v>
      </c>
      <c r="H122" t="s">
        <v>2939</v>
      </c>
      <c r="I122" t="s">
        <v>2938</v>
      </c>
      <c r="J122">
        <f>VLOOKUP(F122,[1]!china_towns_second__2[[Column1]:[Y]],3,FALSE)</f>
        <v>29.246502468288899</v>
      </c>
      <c r="K122">
        <f>VLOOKUP(F122,[1]!china_towns_second__2[[Column1]:[Y]],2,FALSE)</f>
        <v>120.3159745</v>
      </c>
      <c r="L122" t="s">
        <v>3760</v>
      </c>
      <c r="M122" t="str">
        <f>VLOOKUP(H122,CHOOSE({1,2},Table12[Native],Table12[Name]),2,0)</f>
        <v>Dōngyáng Shì</v>
      </c>
      <c r="N122" s="15" t="str">
        <f>VLOOKUP(I122,CHOOSE({1,2},Table12[Native],Table12[Name]),2,0)</f>
        <v>Jīnhuá Shì</v>
      </c>
      <c r="O122" s="15" t="str">
        <f t="shared" si="2"/>
        <v>Chengdong Jiedao (Dongyang Shi) (Jīnhuá Shì)</v>
      </c>
      <c r="P122" s="15" t="str">
        <f t="shared" si="3"/>
        <v>Chengdong Jiedao (Dongyang Shi) (Jīnhuá Shì)</v>
      </c>
    </row>
    <row r="123" spans="1:16" hidden="1" x14ac:dyDescent="0.25">
      <c r="A123" t="s">
        <v>732</v>
      </c>
      <c r="B123" t="str">
        <f>IF(COUNTIF(A:A,A123)&gt;1,_xlfn.CONCAT(A123," (",N123,")"),A123)</f>
        <v>Chéngdōng Jiēdào (Táizhōu Shì)</v>
      </c>
      <c r="C123" t="str">
        <f>IF(COUNTIF(B:B,B123)&gt;1,_xlfn.CONCAT(A123," (",M123,")"),B123)</f>
        <v>Chéngdōng Jiēdào (Táizhōu Shì)</v>
      </c>
      <c r="D123" t="s">
        <v>733</v>
      </c>
      <c r="E123" t="s">
        <v>15</v>
      </c>
      <c r="F123" t="str">
        <f>_xlfn.CONCAT(D123,", ",H123,", ",I123,", ","浙江省")</f>
        <v>城东街道, 温岭市, 台州市, 浙江省</v>
      </c>
      <c r="G123">
        <v>73673</v>
      </c>
      <c r="H123" t="s">
        <v>2996</v>
      </c>
      <c r="I123" t="s">
        <v>2989</v>
      </c>
      <c r="J123">
        <f>VLOOKUP(F123,[1]!china_towns_second__2[[Column1]:[Y]],3,FALSE)</f>
        <v>28.404361921934399</v>
      </c>
      <c r="K123">
        <f>VLOOKUP(F123,[1]!china_towns_second__2[[Column1]:[Y]],2,FALSE)</f>
        <v>121.4018777</v>
      </c>
      <c r="L123" t="s">
        <v>3761</v>
      </c>
      <c r="M123" t="str">
        <f>VLOOKUP(H123,CHOOSE({1,2},Table12[Native],Table12[Name]),2,0)</f>
        <v>Wēnlĭng Shì</v>
      </c>
      <c r="N123" s="15" t="str">
        <f>VLOOKUP(I123,CHOOSE({1,2},Table12[Native],Table12[Name]),2,0)</f>
        <v>Táizhōu Shì</v>
      </c>
      <c r="O123" s="15" t="str">
        <f t="shared" si="2"/>
        <v>Chengdong Jiedao (Taizhou Shi) (Táizhōu Shì)</v>
      </c>
      <c r="P123" s="15" t="str">
        <f t="shared" si="3"/>
        <v>Chengdong Jiedao (Taizhou Shi) (Táizhōu Shì)</v>
      </c>
    </row>
    <row r="124" spans="1:16" hidden="1" x14ac:dyDescent="0.25">
      <c r="A124" t="s">
        <v>732</v>
      </c>
      <c r="B124" t="str">
        <f>IF(COUNTIF(A:A,A124)&gt;1,_xlfn.CONCAT(A124," (",N124,")"),A124)</f>
        <v>Chéngdōng Jiēdào (Zhōushān Shì)</v>
      </c>
      <c r="C124" t="str">
        <f>IF(COUNTIF(B:B,B124)&gt;1,_xlfn.CONCAT(A124," (",M124,")"),B124)</f>
        <v>Chéngdōng Jiēdào (Zhōushān Shì)</v>
      </c>
      <c r="D124" t="s">
        <v>733</v>
      </c>
      <c r="E124" t="s">
        <v>15</v>
      </c>
      <c r="F124" t="str">
        <f>_xlfn.CONCAT(D124,", ",H124,", ",I124,", ","浙江省")</f>
        <v>城东街道, 定海区, 舟山市, 浙江省</v>
      </c>
      <c r="G124">
        <v>115494</v>
      </c>
      <c r="H124" t="s">
        <v>3015</v>
      </c>
      <c r="I124" t="s">
        <v>3013</v>
      </c>
      <c r="J124">
        <f>VLOOKUP(F124,[1]!china_towns_second__2[[Column1]:[Y]],3,FALSE)</f>
        <v>30.023096857611499</v>
      </c>
      <c r="K124">
        <f>VLOOKUP(F124,[1]!china_towns_second__2[[Column1]:[Y]],2,FALSE)</f>
        <v>122.1290702</v>
      </c>
      <c r="L124" t="s">
        <v>3762</v>
      </c>
      <c r="M124" t="str">
        <f>VLOOKUP(H124,CHOOSE({1,2},Table12[Native],Table12[Name]),2,0)</f>
        <v>Dìnghăi Qū</v>
      </c>
      <c r="N124" s="15" t="str">
        <f>VLOOKUP(I124,CHOOSE({1,2},Table12[Native],Table12[Name]),2,0)</f>
        <v>Zhōushān Shì</v>
      </c>
      <c r="O124" s="15" t="str">
        <f t="shared" si="2"/>
        <v>Chengdong Jiedao (Zhoushan Shi) (Zhōushān Shì)</v>
      </c>
      <c r="P124" s="15" t="str">
        <f t="shared" si="3"/>
        <v>Chengdong Jiedao (Zhoushan Shi) (Zhōushān Shì)</v>
      </c>
    </row>
    <row r="125" spans="1:16" hidden="1" x14ac:dyDescent="0.25">
      <c r="A125" t="s">
        <v>2063</v>
      </c>
      <c r="B125" t="str">
        <f>IF(COUNTIF(A:A,A125)&gt;1,_xlfn.CONCAT(A125," (",N125,")"),A125)</f>
        <v>Chéngjiāng Jiēdào</v>
      </c>
      <c r="C125" t="str">
        <f>IF(COUNTIF(B:B,B125)&gt;1,_xlfn.CONCAT(A125," (",M125,")"),B125)</f>
        <v>Chéngjiāng Jiēdào</v>
      </c>
      <c r="D125" t="s">
        <v>2064</v>
      </c>
      <c r="E125" t="s">
        <v>15</v>
      </c>
      <c r="F125" t="str">
        <f>_xlfn.CONCAT(D125,", ",H125,", ",I125,", ","浙江省")</f>
        <v>澄江街道, 黄岩区, 台州市, 浙江省</v>
      </c>
      <c r="G125">
        <v>34512</v>
      </c>
      <c r="H125" t="s">
        <v>2990</v>
      </c>
      <c r="I125" t="s">
        <v>2989</v>
      </c>
      <c r="J125">
        <f>VLOOKUP(F125,[1]!china_towns_second__2[[Column1]:[Y]],3,FALSE)</f>
        <v>28.615794334475101</v>
      </c>
      <c r="K125">
        <f>VLOOKUP(F125,[1]!china_towns_second__2[[Column1]:[Y]],2,FALSE)</f>
        <v>121.1789466</v>
      </c>
      <c r="L125" t="s">
        <v>3763</v>
      </c>
      <c r="M125" t="str">
        <f>VLOOKUP(H125,CHOOSE({1,2},Table12[Native],Table12[Name]),2,0)</f>
        <v>Huángyán Qū</v>
      </c>
      <c r="N125" s="15" t="str">
        <f>VLOOKUP(I125,CHOOSE({1,2},Table12[Native],Table12[Name]),2,0)</f>
        <v>Táizhōu Shì</v>
      </c>
      <c r="O125" s="15" t="str">
        <f t="shared" si="2"/>
        <v>Chengjiang Jiedao (Táizhōu Shì)</v>
      </c>
      <c r="P125" s="15" t="str">
        <f t="shared" si="3"/>
        <v>Chengjiang Jiedao (Táizhōu Shì)</v>
      </c>
    </row>
    <row r="126" spans="1:16" hidden="1" x14ac:dyDescent="0.25">
      <c r="A126" t="s">
        <v>1848</v>
      </c>
      <c r="B126" t="str">
        <f>IF(COUNTIF(A:A,A126)&gt;1,_xlfn.CONCAT(A126," (",N126,")"),A126)</f>
        <v>Chéngnán Jiēdào</v>
      </c>
      <c r="C126" t="str">
        <f>IF(COUNTIF(B:B,B126)&gt;1,_xlfn.CONCAT(A126," (",M126,")"),B126)</f>
        <v>Chéngnán Jiēdào</v>
      </c>
      <c r="D126" t="s">
        <v>563</v>
      </c>
      <c r="E126" t="s">
        <v>15</v>
      </c>
      <c r="F126" t="str">
        <f>_xlfn.CONCAT(D126,", ",H126,", ",I126,", ","浙江省")</f>
        <v>城南街道, 越城区, 绍兴市, 浙江省</v>
      </c>
      <c r="G126">
        <v>93003</v>
      </c>
      <c r="H126" t="s">
        <v>2986</v>
      </c>
      <c r="I126" t="s">
        <v>2981</v>
      </c>
      <c r="J126">
        <f>VLOOKUP(F126,[1]!china_towns_second__2[[Column1]:[Y]],3,FALSE)</f>
        <v>29.964582640448501</v>
      </c>
      <c r="K126">
        <f>VLOOKUP(F126,[1]!china_towns_second__2[[Column1]:[Y]],2,FALSE)</f>
        <v>120.5790892</v>
      </c>
      <c r="L126" t="s">
        <v>3764</v>
      </c>
      <c r="M126" t="str">
        <f>VLOOKUP(H126,CHOOSE({1,2},Table12[Native],Table12[Name]),2,0)</f>
        <v>Yuèchéng Qū</v>
      </c>
      <c r="N126" s="15" t="str">
        <f>VLOOKUP(I126,CHOOSE({1,2},Table12[Native],Table12[Name]),2,0)</f>
        <v>Shàoxīng Shì</v>
      </c>
      <c r="O126" s="15" t="str">
        <f t="shared" si="2"/>
        <v>Chengnan Jiedao (Shàoxīng Shì)</v>
      </c>
      <c r="P126" s="15" t="str">
        <f t="shared" si="3"/>
        <v>Chengnan Jiedao (Shàoxīng Shì)</v>
      </c>
    </row>
    <row r="127" spans="1:16" hidden="1" x14ac:dyDescent="0.25">
      <c r="A127" t="s">
        <v>562</v>
      </c>
      <c r="B127" t="str">
        <f>IF(COUNTIF(A:A,A127)&gt;1,_xlfn.CONCAT(A127," (",N127,")"),A127)</f>
        <v>Chéngnán Jiēdào [in: Jiāxīng Economic and Technological Development Zone]</v>
      </c>
      <c r="C127" t="str">
        <f>IF(COUNTIF(B:B,B127)&gt;1,_xlfn.CONCAT(A127," (",M127,")"),B127)</f>
        <v>Chéngnán Jiēdào [in: Jiāxīng Economic and Technological Development Zone]</v>
      </c>
      <c r="D127" t="s">
        <v>563</v>
      </c>
      <c r="E127" t="s">
        <v>15</v>
      </c>
      <c r="F127" t="str">
        <f>_xlfn.CONCAT(D127,", ",H127,", ",I127,", ","浙江省")</f>
        <v>城南街道, 南湖区, 嘉兴市, 浙江省</v>
      </c>
      <c r="G127">
        <v>54990</v>
      </c>
      <c r="H127" t="s">
        <v>2933</v>
      </c>
      <c r="I127" t="s">
        <v>2929</v>
      </c>
      <c r="J127">
        <f>VLOOKUP(F127,[1]!china_towns_second__2[[Column1]:[Y]],3,FALSE)</f>
        <v>30.72432942851</v>
      </c>
      <c r="K127">
        <f>VLOOKUP(F127,[1]!china_towns_second__2[[Column1]:[Y]],2,FALSE)</f>
        <v>120.7030223</v>
      </c>
      <c r="L127" t="s">
        <v>3765</v>
      </c>
      <c r="M127" t="str">
        <f>VLOOKUP(H127,CHOOSE({1,2},Table12[Native],Table12[Name]),2,0)</f>
        <v>Nánhú Qū</v>
      </c>
      <c r="N127" s="15" t="str">
        <f>VLOOKUP(I127,CHOOSE({1,2},Table12[Native],Table12[Name]),2,0)</f>
        <v>Jiāxīng Shì</v>
      </c>
      <c r="O127" s="15" t="str">
        <f t="shared" si="2"/>
        <v>Chengnan Jiedao [in: Jiaxing Economic and Technological Development Zone] (Jiāxīng Shì)</v>
      </c>
      <c r="P127" s="15" t="str">
        <f t="shared" si="3"/>
        <v>Chengnan Jiedao [in: Jiaxing Economic and Technological Development Zone] (Jiāxīng Shì)</v>
      </c>
    </row>
    <row r="128" spans="1:16" hidden="1" x14ac:dyDescent="0.25">
      <c r="A128" t="s">
        <v>1849</v>
      </c>
      <c r="B128" t="str">
        <f>IF(COUNTIF(A:A,A128)&gt;1,_xlfn.CONCAT(A128," (",N128,")"),A128)</f>
        <v>Chéngnán Xiāng</v>
      </c>
      <c r="C128" t="str">
        <f>IF(COUNTIF(B:B,B128)&gt;1,_xlfn.CONCAT(A128," (",M128,")"),B128)</f>
        <v>Chéngnán Xiāng</v>
      </c>
      <c r="D128" t="s">
        <v>1850</v>
      </c>
      <c r="E128" t="s">
        <v>7</v>
      </c>
      <c r="F128" t="str">
        <f>_xlfn.CONCAT(D128,", ",H128,", ",I128,", ","浙江省")</f>
        <v>城南乡, 新昌县, 绍兴市, 浙江省</v>
      </c>
      <c r="G128">
        <v>12123</v>
      </c>
      <c r="H128" t="s">
        <v>2985</v>
      </c>
      <c r="I128" t="s">
        <v>2981</v>
      </c>
      <c r="J128" t="e">
        <f>VLOOKUP(F128,[1]!china_towns_second__2[[Column1]:[Y]],3,FALSE)</f>
        <v>#N/A</v>
      </c>
      <c r="K128" t="e">
        <f>VLOOKUP(F128,[1]!china_towns_second__2[[Column1]:[Y]],2,FALSE)</f>
        <v>#N/A</v>
      </c>
      <c r="L128" t="s">
        <v>3766</v>
      </c>
      <c r="M128" t="str">
        <f>VLOOKUP(H128,CHOOSE({1,2},Table12[Native],Table12[Name]),2,0)</f>
        <v>Xīnchāng Xiàn</v>
      </c>
      <c r="N128" s="15" t="str">
        <f>VLOOKUP(I128,CHOOSE({1,2},Table12[Native],Table12[Name]),2,0)</f>
        <v>Shàoxīng Shì</v>
      </c>
      <c r="O128" s="15" t="str">
        <f t="shared" si="2"/>
        <v>Chengnan Xiang (Shàoxīng Shì)</v>
      </c>
      <c r="P128" s="15" t="str">
        <f t="shared" si="3"/>
        <v>Chengnan Xiang (Shàoxīng Shì)</v>
      </c>
    </row>
    <row r="129" spans="1:16" hidden="1" x14ac:dyDescent="0.25">
      <c r="A129" t="s">
        <v>2065</v>
      </c>
      <c r="B129" t="str">
        <f>IF(COUNTIF(A:A,A129)&gt;1,_xlfn.CONCAT(A129," (",N129,")"),A129)</f>
        <v>Chéngnán Zhèn</v>
      </c>
      <c r="C129" t="str">
        <f>IF(COUNTIF(B:B,B129)&gt;1,_xlfn.CONCAT(A129," (",M129,")"),B129)</f>
        <v>Chéngnán Zhèn</v>
      </c>
      <c r="D129" t="s">
        <v>2066</v>
      </c>
      <c r="E129" t="s">
        <v>11</v>
      </c>
      <c r="F129" t="str">
        <f>_xlfn.CONCAT(D129,", ",H129,", ",I129,", ","浙江省")</f>
        <v>城南镇, 温岭市, 台州市, 浙江省</v>
      </c>
      <c r="G129">
        <v>61523</v>
      </c>
      <c r="H129" t="s">
        <v>2996</v>
      </c>
      <c r="I129" t="s">
        <v>2989</v>
      </c>
      <c r="J129">
        <f>VLOOKUP(F129,[1]!china_towns_second__2[[Column1]:[Y]],3,FALSE)</f>
        <v>28.305742248204499</v>
      </c>
      <c r="K129">
        <f>VLOOKUP(F129,[1]!china_towns_second__2[[Column1]:[Y]],2,FALSE)</f>
        <v>121.38377800000001</v>
      </c>
      <c r="L129" t="s">
        <v>3767</v>
      </c>
      <c r="M129" t="str">
        <f>VLOOKUP(H129,CHOOSE({1,2},Table12[Native],Table12[Name]),2,0)</f>
        <v>Wēnlĭng Shì</v>
      </c>
      <c r="N129" s="15" t="str">
        <f>VLOOKUP(I129,CHOOSE({1,2},Table12[Native],Table12[Name]),2,0)</f>
        <v>Táizhōu Shì</v>
      </c>
      <c r="O129" s="15" t="str">
        <f t="shared" si="2"/>
        <v>Chengnan Zhen (Táizhōu Shì)</v>
      </c>
      <c r="P129" s="15" t="str">
        <f t="shared" si="3"/>
        <v>Chengnan Zhen (Táizhōu Shì)</v>
      </c>
    </row>
    <row r="130" spans="1:16" hidden="1" x14ac:dyDescent="0.25">
      <c r="A130" t="s">
        <v>1852</v>
      </c>
      <c r="B130" t="str">
        <f>IF(COUNTIF(A:A,A130)&gt;1,_xlfn.CONCAT(A130," (",N130,")"),A130)</f>
        <v>Chéngtán Jiēdào [incl. Méizhŭ Zhèn]</v>
      </c>
      <c r="C130" t="str">
        <f>IF(COUNTIF(B:B,B130)&gt;1,_xlfn.CONCAT(A130," (",M130,")"),B130)</f>
        <v>Chéngtán Jiēdào [incl. Méizhŭ Zhèn]</v>
      </c>
      <c r="D130" t="s">
        <v>1853</v>
      </c>
      <c r="E130" t="s">
        <v>15</v>
      </c>
      <c r="F130" t="str">
        <f>_xlfn.CONCAT(D130,", ",H130,", ",I130,", ","浙江省")</f>
        <v>澄潭街道, 新昌县, 绍兴市, 浙江省</v>
      </c>
      <c r="G130">
        <v>30543</v>
      </c>
      <c r="H130" t="s">
        <v>2985</v>
      </c>
      <c r="I130" t="s">
        <v>2981</v>
      </c>
      <c r="J130" t="e">
        <f>VLOOKUP(F130,[1]!china_towns_second__2[[Column1]:[Y]],3,FALSE)</f>
        <v>#N/A</v>
      </c>
      <c r="K130" t="e">
        <f>VLOOKUP(F130,[1]!china_towns_second__2[[Column1]:[Y]],2,FALSE)</f>
        <v>#N/A</v>
      </c>
      <c r="L130" t="s">
        <v>3768</v>
      </c>
      <c r="M130" t="str">
        <f>VLOOKUP(H130,CHOOSE({1,2},Table12[Native],Table12[Name]),2,0)</f>
        <v>Xīnchāng Xiàn</v>
      </c>
      <c r="N130" s="15" t="str">
        <f>VLOOKUP(I130,CHOOSE({1,2},Table12[Native],Table12[Name]),2,0)</f>
        <v>Shàoxīng Shì</v>
      </c>
      <c r="O130" s="15" t="str">
        <f t="shared" ref="O130:O193" si="4">_xlfn.CONCAT(L130," (",N130,")")</f>
        <v>Chengtan Jiedao [incl. Meizhu Zhen] (Shàoxīng Shì)</v>
      </c>
      <c r="P130" s="15" t="str">
        <f t="shared" ref="P130:P193" si="5">IF(COUNTIF(O:O,O130)&gt;1,_xlfn.CONCAT(L130," (",M130,")"),O130)</f>
        <v>Chengtan Jiedao [incl. Meizhu Zhen] (Shàoxīng Shì)</v>
      </c>
    </row>
    <row r="131" spans="1:16" hidden="1" x14ac:dyDescent="0.25">
      <c r="A131" t="s">
        <v>734</v>
      </c>
      <c r="B131" t="str">
        <f>IF(COUNTIF(A:A,A131)&gt;1,_xlfn.CONCAT(A131," (",N131,")"),A131)</f>
        <v>Chéngxī Jiēdào (Jīnhuá Shì)</v>
      </c>
      <c r="C131" t="str">
        <f>IF(COUNTIF(B:B,B131)&gt;1,_xlfn.CONCAT(A131," (",M131,")"),B131)</f>
        <v>Chéngxī Jiēdào (Wùchéng Qū)</v>
      </c>
      <c r="D131" t="s">
        <v>735</v>
      </c>
      <c r="E131" t="s">
        <v>15</v>
      </c>
      <c r="F131" t="str">
        <f>_xlfn.CONCAT(D131,", ",H131,", ",I131,", ","浙江省")</f>
        <v>城西街道, 婺城区, 金华市, 浙江省</v>
      </c>
      <c r="G131">
        <v>24490</v>
      </c>
      <c r="H131" t="s">
        <v>2944</v>
      </c>
      <c r="I131" t="s">
        <v>2938</v>
      </c>
      <c r="J131">
        <f>VLOOKUP(F131,[1]!china_towns_second__2[[Column1]:[Y]],3,FALSE)</f>
        <v>29.097604707348498</v>
      </c>
      <c r="K131">
        <f>VLOOKUP(F131,[1]!china_towns_second__2[[Column1]:[Y]],2,FALSE)</f>
        <v>119.6254543</v>
      </c>
      <c r="L131" t="s">
        <v>3769</v>
      </c>
      <c r="M131" t="str">
        <f>VLOOKUP(H131,CHOOSE({1,2},Table12[Native],Table12[Name]),2,0)</f>
        <v>Wùchéng Qū</v>
      </c>
      <c r="N131" s="15" t="str">
        <f>VLOOKUP(I131,CHOOSE({1,2},Table12[Native],Table12[Name]),2,0)</f>
        <v>Jīnhuá Shì</v>
      </c>
      <c r="O131" s="15" t="str">
        <f t="shared" si="4"/>
        <v>Chengxi Jiedao (Wucheng Qu) (Jīnhuá Shì)</v>
      </c>
      <c r="P131" s="15" t="str">
        <f t="shared" si="5"/>
        <v>Chengxi Jiedao (Wucheng Qu) (Jīnhuá Shì)</v>
      </c>
    </row>
    <row r="132" spans="1:16" hidden="1" x14ac:dyDescent="0.25">
      <c r="A132" t="s">
        <v>734</v>
      </c>
      <c r="B132" t="str">
        <f>IF(COUNTIF(A:A,A132)&gt;1,_xlfn.CONCAT(A132," (",N132,")"),A132)</f>
        <v>Chéngxī Jiēdào (Jīnhuá Shì)</v>
      </c>
      <c r="C132" t="str">
        <f>IF(COUNTIF(B:B,B132)&gt;1,_xlfn.CONCAT(A132," (",M132,")"),B132)</f>
        <v>Chéngxī Jiēdào (Yìwū Shì)</v>
      </c>
      <c r="D132" t="s">
        <v>735</v>
      </c>
      <c r="E132" t="s">
        <v>15</v>
      </c>
      <c r="F132" t="str">
        <f>_xlfn.CONCAT(D132,", ",H132,", ",I132,", ","浙江省")</f>
        <v>城西街道, 义乌市, 金华市, 浙江省</v>
      </c>
      <c r="G132">
        <v>52581</v>
      </c>
      <c r="H132" t="s">
        <v>2946</v>
      </c>
      <c r="I132" t="s">
        <v>2938</v>
      </c>
      <c r="J132">
        <f>VLOOKUP(F132,[1]!china_towns_second__2[[Column1]:[Y]],3,FALSE)</f>
        <v>29.3235377758247</v>
      </c>
      <c r="K132">
        <f>VLOOKUP(F132,[1]!china_towns_second__2[[Column1]:[Y]],2,FALSE)</f>
        <v>119.9645068</v>
      </c>
      <c r="L132" t="s">
        <v>3770</v>
      </c>
      <c r="M132" t="str">
        <f>VLOOKUP(H132,CHOOSE({1,2},Table12[Native],Table12[Name]),2,0)</f>
        <v>Yìwū Shì</v>
      </c>
      <c r="N132" s="15" t="str">
        <f>VLOOKUP(I132,CHOOSE({1,2},Table12[Native],Table12[Name]),2,0)</f>
        <v>Jīnhuá Shì</v>
      </c>
      <c r="O132" s="15" t="str">
        <f t="shared" si="4"/>
        <v>Chengxi Jiedao (Yiwu Shi) (Jīnhuá Shì)</v>
      </c>
      <c r="P132" s="15" t="str">
        <f t="shared" si="5"/>
        <v>Chengxi Jiedao (Yiwu Shi) (Jīnhuá Shì)</v>
      </c>
    </row>
    <row r="133" spans="1:16" hidden="1" x14ac:dyDescent="0.25">
      <c r="A133" t="s">
        <v>734</v>
      </c>
      <c r="B133" t="str">
        <f>IF(COUNTIF(A:A,A133)&gt;1,_xlfn.CONCAT(A133," (",N133,")"),A133)</f>
        <v>Chéngxī Jiēdào (Táizhōu Shì)</v>
      </c>
      <c r="C133" t="str">
        <f>IF(COUNTIF(B:B,B133)&gt;1,_xlfn.CONCAT(A133," (",M133,")"),B133)</f>
        <v>Chéngxī Jiēdào (Táizhōu Shì)</v>
      </c>
      <c r="D133" t="s">
        <v>735</v>
      </c>
      <c r="E133" t="s">
        <v>15</v>
      </c>
      <c r="F133" t="str">
        <f>_xlfn.CONCAT(D133,", ",H133,", ",I133,", ","浙江省")</f>
        <v>城西街道, 温岭市, 台州市, 浙江省</v>
      </c>
      <c r="G133">
        <v>37178</v>
      </c>
      <c r="H133" t="s">
        <v>2996</v>
      </c>
      <c r="I133" t="s">
        <v>2989</v>
      </c>
      <c r="J133">
        <f>VLOOKUP(F133,[1]!china_towns_second__2[[Column1]:[Y]],3,FALSE)</f>
        <v>28.390506762198498</v>
      </c>
      <c r="K133">
        <f>VLOOKUP(F133,[1]!china_towns_second__2[[Column1]:[Y]],2,FALSE)</f>
        <v>121.34105409999999</v>
      </c>
      <c r="L133" t="s">
        <v>3771</v>
      </c>
      <c r="M133" t="str">
        <f>VLOOKUP(H133,CHOOSE({1,2},Table12[Native],Table12[Name]),2,0)</f>
        <v>Wēnlĭng Shì</v>
      </c>
      <c r="N133" s="15" t="str">
        <f>VLOOKUP(I133,CHOOSE({1,2},Table12[Native],Table12[Name]),2,0)</f>
        <v>Táizhōu Shì</v>
      </c>
      <c r="O133" s="15" t="str">
        <f t="shared" si="4"/>
        <v>Chengxi Jiedao (Taizhou Shi) (Táizhōu Shì)</v>
      </c>
      <c r="P133" s="15" t="str">
        <f t="shared" si="5"/>
        <v>Chengxi Jiedao (Taizhou Shi) (Táizhōu Shì)</v>
      </c>
    </row>
    <row r="134" spans="1:16" hidden="1" x14ac:dyDescent="0.25">
      <c r="A134" t="s">
        <v>55</v>
      </c>
      <c r="B134" t="str">
        <f>IF(COUNTIF(A:A,A134)&gt;1,_xlfn.CONCAT(A134," (",N134,")"),A134)</f>
        <v>Chéngxiāng Jiēdào</v>
      </c>
      <c r="C134" t="str">
        <f>IF(COUNTIF(B:B,B134)&gt;1,_xlfn.CONCAT(A134," (",M134,")"),B134)</f>
        <v>Chéngxiāng Jiēdào</v>
      </c>
      <c r="D134" t="s">
        <v>56</v>
      </c>
      <c r="E134" t="s">
        <v>15</v>
      </c>
      <c r="F134" t="str">
        <f>_xlfn.CONCAT(D134,", ",H134,", ",I134,", ","浙江省")</f>
        <v>城厢街道, 萧山区, 杭州市, 浙江省</v>
      </c>
      <c r="G134">
        <v>148588</v>
      </c>
      <c r="H134" t="s">
        <v>2917</v>
      </c>
      <c r="I134" t="s">
        <v>2903</v>
      </c>
      <c r="J134">
        <f>VLOOKUP(F134,[1]!china_towns_second__2[[Column1]:[Y]],3,FALSE)</f>
        <v>30.166695699567299</v>
      </c>
      <c r="K134">
        <f>VLOOKUP(F134,[1]!china_towns_second__2[[Column1]:[Y]],2,FALSE)</f>
        <v>120.24877290000001</v>
      </c>
      <c r="L134" t="s">
        <v>3772</v>
      </c>
      <c r="M134" t="str">
        <f>VLOOKUP(H134,CHOOSE({1,2},Table12[Native],Table12[Name]),2,0)</f>
        <v>Xiāoshān Qū</v>
      </c>
      <c r="N134" s="15" t="str">
        <f>VLOOKUP(I134,CHOOSE({1,2},Table12[Native],Table12[Name]),2,0)</f>
        <v>Hángzhōu Shì</v>
      </c>
      <c r="O134" s="15" t="str">
        <f t="shared" si="4"/>
        <v>Chengxiang Jiedao (Hángzhōu Shì)</v>
      </c>
      <c r="P134" s="15" t="str">
        <f t="shared" si="5"/>
        <v>Chengxiang Jiedao (Hángzhōu Shì)</v>
      </c>
    </row>
    <row r="135" spans="1:16" hidden="1" x14ac:dyDescent="0.25">
      <c r="A135" t="s">
        <v>1037</v>
      </c>
      <c r="B135" t="str">
        <f>IF(COUNTIF(A:A,A135)&gt;1,_xlfn.CONCAT(A135," (",N135,")"),A135)</f>
        <v>Chéngzhào Xiāng</v>
      </c>
      <c r="C135" t="str">
        <f>IF(COUNTIF(B:B,B135)&gt;1,_xlfn.CONCAT(A135," (",M135,")"),B135)</f>
        <v>Chéngzhào Xiāng</v>
      </c>
      <c r="D135" t="s">
        <v>1038</v>
      </c>
      <c r="E135" t="s">
        <v>7</v>
      </c>
      <c r="F135" t="str">
        <f>_xlfn.CONCAT(D135,", ",H135,", ",I135,", ","浙江省")</f>
        <v>澄照乡, 景宁畲族自治县, 丽水市, 浙江省</v>
      </c>
      <c r="G135">
        <v>3979</v>
      </c>
      <c r="H135" t="s">
        <v>2951</v>
      </c>
      <c r="I135" t="s">
        <v>2949</v>
      </c>
      <c r="J135" t="e">
        <f>VLOOKUP(F135,[1]!china_towns_second__2[[Column1]:[Y]],3,FALSE)</f>
        <v>#N/A</v>
      </c>
      <c r="K135" t="e">
        <f>VLOOKUP(F135,[1]!china_towns_second__2[[Column1]:[Y]],2,FALSE)</f>
        <v>#N/A</v>
      </c>
      <c r="L135" t="s">
        <v>3773</v>
      </c>
      <c r="M135" t="str">
        <f>VLOOKUP(H135,CHOOSE({1,2},Table12[Native],Table12[Name]),2,0)</f>
        <v>Jĭngníng Shēzú Zìzhìxiàn</v>
      </c>
      <c r="N135" s="15" t="str">
        <f>VLOOKUP(I135,CHOOSE({1,2},Table12[Native],Table12[Name]),2,0)</f>
        <v>Lìshuĭ Shì</v>
      </c>
      <c r="O135" s="15" t="str">
        <f t="shared" si="4"/>
        <v>Chengzhao Xiang (Lìshuĭ Shì)</v>
      </c>
      <c r="P135" s="15" t="str">
        <f t="shared" si="5"/>
        <v>Chengzhao Xiang (Lìshuĭ Shì)</v>
      </c>
    </row>
    <row r="136" spans="1:16" hidden="1" x14ac:dyDescent="0.25">
      <c r="A136" t="s">
        <v>736</v>
      </c>
      <c r="B136" t="str">
        <f>IF(COUNTIF(A:A,A136)&gt;1,_xlfn.CONCAT(A136," (",N136,")"),A136)</f>
        <v>Chéngzhōng Jiēdào</v>
      </c>
      <c r="C136" t="str">
        <f>IF(COUNTIF(B:B,B136)&gt;1,_xlfn.CONCAT(A136," (",M136,")"),B136)</f>
        <v>Chéngzhōng Jiēdào</v>
      </c>
      <c r="D136" t="s">
        <v>737</v>
      </c>
      <c r="E136" t="s">
        <v>15</v>
      </c>
      <c r="F136" t="str">
        <f>_xlfn.CONCAT(D136,", ",H136,", ",I136,", ","浙江省")</f>
        <v>城中街道, 婺城区, 金华市, 浙江省</v>
      </c>
      <c r="G136">
        <v>20559</v>
      </c>
      <c r="H136" t="s">
        <v>2944</v>
      </c>
      <c r="I136" t="s">
        <v>2938</v>
      </c>
      <c r="J136">
        <f>VLOOKUP(F136,[1]!china_towns_second__2[[Column1]:[Y]],3,FALSE)</f>
        <v>29.106840399758699</v>
      </c>
      <c r="K136">
        <f>VLOOKUP(F136,[1]!china_towns_second__2[[Column1]:[Y]],2,FALSE)</f>
        <v>119.6512283</v>
      </c>
      <c r="L136" t="s">
        <v>3774</v>
      </c>
      <c r="M136" t="str">
        <f>VLOOKUP(H136,CHOOSE({1,2},Table12[Native],Table12[Name]),2,0)</f>
        <v>Wùchéng Qū</v>
      </c>
      <c r="N136" s="15" t="str">
        <f>VLOOKUP(I136,CHOOSE({1,2},Table12[Native],Table12[Name]),2,0)</f>
        <v>Jīnhuá Shì</v>
      </c>
      <c r="O136" s="15" t="str">
        <f t="shared" si="4"/>
        <v>Chengzhong Jiedao (Jīnhuá Shì)</v>
      </c>
      <c r="P136" s="15" t="str">
        <f t="shared" si="5"/>
        <v>Chengzhong Jiedao (Jīnhuá Shì)</v>
      </c>
    </row>
    <row r="137" spans="1:16" hidden="1" x14ac:dyDescent="0.25">
      <c r="A137" t="s">
        <v>1854</v>
      </c>
      <c r="B137" t="str">
        <f>IF(COUNTIF(A:A,A137)&gt;1,_xlfn.CONCAT(A137," (",N137,")"),A137)</f>
        <v>Chénxī Xiāng</v>
      </c>
      <c r="C137" t="str">
        <f>IF(COUNTIF(B:B,B137)&gt;1,_xlfn.CONCAT(A137," (",M137,")"),B137)</f>
        <v>Chénxī Xiāng</v>
      </c>
      <c r="D137" t="s">
        <v>1855</v>
      </c>
      <c r="E137" t="s">
        <v>7</v>
      </c>
      <c r="F137" t="str">
        <f>_xlfn.CONCAT(D137,", ",H137,", ",I137,", ","浙江省")</f>
        <v>陈溪乡, 上虞区, 绍兴市, 浙江省</v>
      </c>
      <c r="G137">
        <v>4860</v>
      </c>
      <c r="H137" t="s">
        <v>2983</v>
      </c>
      <c r="I137" t="s">
        <v>2981</v>
      </c>
      <c r="J137" t="e">
        <f>VLOOKUP(F137,[1]!china_towns_second__2[[Column1]:[Y]],3,FALSE)</f>
        <v>#N/A</v>
      </c>
      <c r="K137" t="e">
        <f>VLOOKUP(F137,[1]!china_towns_second__2[[Column1]:[Y]],2,FALSE)</f>
        <v>#N/A</v>
      </c>
      <c r="L137" t="s">
        <v>3775</v>
      </c>
      <c r="M137" t="str">
        <f>VLOOKUP(H137,CHOOSE({1,2},Table12[Native],Table12[Name]),2,0)</f>
        <v>Shàngyú Qū</v>
      </c>
      <c r="N137" s="15" t="str">
        <f>VLOOKUP(I137,CHOOSE({1,2},Table12[Native],Table12[Name]),2,0)</f>
        <v>Shàoxīng Shì</v>
      </c>
      <c r="O137" s="15" t="str">
        <f t="shared" si="4"/>
        <v>Chenxi Xiang (Shàoxīng Shì)</v>
      </c>
      <c r="P137" s="15" t="str">
        <f t="shared" si="5"/>
        <v>Chenxi Xiang (Shàoxīng Shì)</v>
      </c>
    </row>
    <row r="138" spans="1:16" hidden="1" x14ac:dyDescent="0.25">
      <c r="A138" t="s">
        <v>1856</v>
      </c>
      <c r="B138" t="str">
        <f>IF(COUNTIF(A:A,A138)&gt;1,_xlfn.CONCAT(A138," (",N138,")"),A138)</f>
        <v>Chénzhái Zhèn</v>
      </c>
      <c r="C138" t="str">
        <f>IF(COUNTIF(B:B,B138)&gt;1,_xlfn.CONCAT(A138," (",M138,")"),B138)</f>
        <v>Chénzhái Zhèn</v>
      </c>
      <c r="D138" t="s">
        <v>1857</v>
      </c>
      <c r="E138" t="s">
        <v>11</v>
      </c>
      <c r="F138" t="str">
        <f>_xlfn.CONCAT(D138,", ",H138,", ",I138,", ","浙江省")</f>
        <v>陈宅镇, 诸暨市, 绍兴市, 浙江省</v>
      </c>
      <c r="G138">
        <v>12129</v>
      </c>
      <c r="H138" t="s">
        <v>2987</v>
      </c>
      <c r="I138" t="s">
        <v>2981</v>
      </c>
      <c r="J138">
        <f>VLOOKUP(F138,[1]!china_towns_second__2[[Column1]:[Y]],3,FALSE)</f>
        <v>29.488012797868802</v>
      </c>
      <c r="K138">
        <f>VLOOKUP(F138,[1]!china_towns_second__2[[Column1]:[Y]],2,FALSE)</f>
        <v>120.3560152</v>
      </c>
      <c r="L138" t="s">
        <v>3776</v>
      </c>
      <c r="M138" t="str">
        <f>VLOOKUP(H138,CHOOSE({1,2},Table12[Native],Table12[Name]),2,0)</f>
        <v>Zhūjì Shì</v>
      </c>
      <c r="N138" s="15" t="str">
        <f>VLOOKUP(I138,CHOOSE({1,2},Table12[Native],Table12[Name]),2,0)</f>
        <v>Shàoxīng Shì</v>
      </c>
      <c r="O138" s="15" t="str">
        <f t="shared" si="4"/>
        <v>Chenzhai Zhen (Shàoxīng Shì)</v>
      </c>
      <c r="P138" s="15" t="str">
        <f t="shared" si="5"/>
        <v>Chenzhai Zhen (Shàoxīng Shì)</v>
      </c>
    </row>
    <row r="139" spans="1:16" hidden="1" x14ac:dyDescent="0.25">
      <c r="A139" t="s">
        <v>738</v>
      </c>
      <c r="B139" t="str">
        <f>IF(COUNTIF(A:A,A139)&gt;1,_xlfn.CONCAT(A139," (",N139,")"),A139)</f>
        <v>Chì'àn Zhèn</v>
      </c>
      <c r="C139" t="str">
        <f>IF(COUNTIF(B:B,B139)&gt;1,_xlfn.CONCAT(A139," (",M139,")"),B139)</f>
        <v>Chì'àn Zhèn</v>
      </c>
      <c r="D139" t="s">
        <v>739</v>
      </c>
      <c r="E139" t="s">
        <v>11</v>
      </c>
      <c r="F139" t="str">
        <f>_xlfn.CONCAT(D139,", ",H139,", ",I139,", ","浙江省")</f>
        <v>赤岸镇, 义乌市, 金华市, 浙江省</v>
      </c>
      <c r="G139">
        <v>31495</v>
      </c>
      <c r="H139" t="s">
        <v>2946</v>
      </c>
      <c r="I139" t="s">
        <v>2938</v>
      </c>
      <c r="J139">
        <f>VLOOKUP(F139,[1]!china_towns_second__2[[Column1]:[Y]],3,FALSE)</f>
        <v>29.1057422928092</v>
      </c>
      <c r="K139">
        <f>VLOOKUP(F139,[1]!china_towns_second__2[[Column1]:[Y]],2,FALSE)</f>
        <v>120.0022476</v>
      </c>
      <c r="L139" t="s">
        <v>3777</v>
      </c>
      <c r="M139" t="str">
        <f>VLOOKUP(H139,CHOOSE({1,2},Table12[Native],Table12[Name]),2,0)</f>
        <v>Yìwū Shì</v>
      </c>
      <c r="N139" s="15" t="str">
        <f>VLOOKUP(I139,CHOOSE({1,2},Table12[Native],Table12[Name]),2,0)</f>
        <v>Jīnhuá Shì</v>
      </c>
      <c r="O139" s="15" t="str">
        <f t="shared" si="4"/>
        <v>Chi'an Zhen (Jīnhuá Shì)</v>
      </c>
      <c r="P139" s="15" t="str">
        <f t="shared" si="5"/>
        <v>Chi'an Zhen (Jīnhuá Shì)</v>
      </c>
    </row>
    <row r="140" spans="1:16" hidden="1" x14ac:dyDescent="0.25">
      <c r="A140" t="s">
        <v>2067</v>
      </c>
      <c r="B140" t="str">
        <f>IF(COUNTIF(A:A,A140)&gt;1,_xlfn.CONCAT(A140," (",N140,")"),A140)</f>
        <v>Chìchéng Jiēdào</v>
      </c>
      <c r="C140" t="str">
        <f>IF(COUNTIF(B:B,B140)&gt;1,_xlfn.CONCAT(A140," (",M140,")"),B140)</f>
        <v>Chìchéng Jiēdào</v>
      </c>
      <c r="D140" t="s">
        <v>2068</v>
      </c>
      <c r="E140" t="s">
        <v>15</v>
      </c>
      <c r="F140" t="str">
        <f>_xlfn.CONCAT(D140,", ",H140,", ",I140,", ","浙江省")</f>
        <v>赤城街道, 天台县, 台州市, 浙江省</v>
      </c>
      <c r="G140">
        <v>93268</v>
      </c>
      <c r="H140" t="s">
        <v>2995</v>
      </c>
      <c r="I140" t="s">
        <v>2989</v>
      </c>
      <c r="J140">
        <f>VLOOKUP(F140,[1]!china_towns_second__2[[Column1]:[Y]],3,FALSE)</f>
        <v>29.171754060787901</v>
      </c>
      <c r="K140">
        <f>VLOOKUP(F140,[1]!china_towns_second__2[[Column1]:[Y]],2,FALSE)</f>
        <v>121.04259759999999</v>
      </c>
      <c r="L140" t="s">
        <v>3778</v>
      </c>
      <c r="M140" t="str">
        <f>VLOOKUP(H140,CHOOSE({1,2},Table12[Native],Table12[Name]),2,0)</f>
        <v>Tiāntái Xiàn</v>
      </c>
      <c r="N140" s="15" t="str">
        <f>VLOOKUP(I140,CHOOSE({1,2},Table12[Native],Table12[Name]),2,0)</f>
        <v>Táizhōu Shì</v>
      </c>
      <c r="O140" s="15" t="str">
        <f t="shared" si="4"/>
        <v>Chicheng Jiedao (Táizhōu Shì)</v>
      </c>
      <c r="P140" s="15" t="str">
        <f t="shared" si="5"/>
        <v>Chicheng Jiedao (Táizhōu Shì)</v>
      </c>
    </row>
    <row r="141" spans="1:16" hidden="1" x14ac:dyDescent="0.25">
      <c r="A141" t="s">
        <v>1656</v>
      </c>
      <c r="B141" t="str">
        <f>IF(COUNTIF(A:A,A141)&gt;1,_xlfn.CONCAT(A141," (",N141,")"),A141)</f>
        <v>Chíhuái Zhèn [incl. Zhāngwān Xiāng]</v>
      </c>
      <c r="C141" t="str">
        <f>IF(COUNTIF(B:B,B141)&gt;1,_xlfn.CONCAT(A141," (",M141,")"),B141)</f>
        <v>Chíhuái Zhèn [incl. Zhāngwān Xiāng]</v>
      </c>
      <c r="D141" t="s">
        <v>1657</v>
      </c>
      <c r="E141" t="s">
        <v>11</v>
      </c>
      <c r="F141" t="str">
        <f>_xlfn.CONCAT(D141,", ",H141,", ",I141,", ","浙江省")</f>
        <v>池淮镇, 开化县, 衢州市, 浙江省</v>
      </c>
      <c r="G141">
        <v>20909</v>
      </c>
      <c r="H141" t="s">
        <v>2976</v>
      </c>
      <c r="I141" t="s">
        <v>2973</v>
      </c>
      <c r="J141">
        <f>VLOOKUP(F141,[1]!china_towns_second__2[[Column1]:[Y]],3,FALSE)</f>
        <v>29.109826264820502</v>
      </c>
      <c r="K141">
        <f>VLOOKUP(F141,[1]!china_towns_second__2[[Column1]:[Y]],2,FALSE)</f>
        <v>118.2865949</v>
      </c>
      <c r="L141" t="s">
        <v>3779</v>
      </c>
      <c r="M141" t="str">
        <f>VLOOKUP(H141,CHOOSE({1,2},Table12[Native],Table12[Name]),2,0)</f>
        <v>Kāihuà Xiàn</v>
      </c>
      <c r="N141" s="15" t="str">
        <f>VLOOKUP(I141,CHOOSE({1,2},Table12[Native],Table12[Name]),2,0)</f>
        <v>Qúzhōu Shì</v>
      </c>
      <c r="O141" s="15" t="str">
        <f t="shared" si="4"/>
        <v>Chihuai Zhen [incl. Zhangwan Xiang] (Qúzhōu Shì)</v>
      </c>
      <c r="P141" s="15" t="str">
        <f t="shared" si="5"/>
        <v>Chihuai Zhen [incl. Zhangwan Xiang] (Qúzhōu Shì)</v>
      </c>
    </row>
    <row r="142" spans="1:16" hidden="1" x14ac:dyDescent="0.25">
      <c r="A142" t="s">
        <v>1039</v>
      </c>
      <c r="B142" t="str">
        <f>IF(COUNTIF(A:A,A142)&gt;1,_xlfn.CONCAT(A142," (",N142,")"),A142)</f>
        <v>Chìshí Xiāng</v>
      </c>
      <c r="C142" t="str">
        <f>IF(COUNTIF(B:B,B142)&gt;1,_xlfn.CONCAT(A142," (",M142,")"),B142)</f>
        <v>Chìshí Xiāng</v>
      </c>
      <c r="D142" t="s">
        <v>1040</v>
      </c>
      <c r="E142" t="s">
        <v>7</v>
      </c>
      <c r="F142" t="str">
        <f>_xlfn.CONCAT(D142,", ",H142,", ",I142,", ","浙江省")</f>
        <v>赤石乡, 云和县, 丽水市, 浙江省</v>
      </c>
      <c r="G142">
        <v>2239</v>
      </c>
      <c r="H142" t="s">
        <v>2959</v>
      </c>
      <c r="I142" t="s">
        <v>2949</v>
      </c>
      <c r="J142" t="e">
        <f>VLOOKUP(F142,[1]!china_towns_second__2[[Column1]:[Y]],3,FALSE)</f>
        <v>#N/A</v>
      </c>
      <c r="K142" t="e">
        <f>VLOOKUP(F142,[1]!china_towns_second__2[[Column1]:[Y]],2,FALSE)</f>
        <v>#N/A</v>
      </c>
      <c r="L142" t="s">
        <v>3780</v>
      </c>
      <c r="M142" t="str">
        <f>VLOOKUP(H142,CHOOSE({1,2},Table12[Native],Table12[Name]),2,0)</f>
        <v>Yúnhé Xiàn</v>
      </c>
      <c r="N142" s="15" t="str">
        <f>VLOOKUP(I142,CHOOSE({1,2},Table12[Native],Table12[Name]),2,0)</f>
        <v>Lìshuĭ Shì</v>
      </c>
      <c r="O142" s="15" t="str">
        <f t="shared" si="4"/>
        <v>Chishi Xiang (Lìshuĭ Shì)</v>
      </c>
      <c r="P142" s="15" t="str">
        <f t="shared" si="5"/>
        <v>Chishi Xiang (Lìshuĭ Shì)</v>
      </c>
    </row>
    <row r="143" spans="1:16" hidden="1" x14ac:dyDescent="0.25">
      <c r="A143" t="s">
        <v>1041</v>
      </c>
      <c r="B143" t="str">
        <f>IF(COUNTIF(A:A,A143)&gt;1,_xlfn.CONCAT(A143," (",N143,")"),A143)</f>
        <v>Chìshòu Xiāng</v>
      </c>
      <c r="C143" t="str">
        <f>IF(COUNTIF(B:B,B143)&gt;1,_xlfn.CONCAT(A143," (",M143,")"),B143)</f>
        <v>Chìshòu Xiāng</v>
      </c>
      <c r="D143" t="s">
        <v>1042</v>
      </c>
      <c r="E143" t="s">
        <v>7</v>
      </c>
      <c r="F143" t="str">
        <f>_xlfn.CONCAT(D143,", ",H143,", ",I143,", ","浙江省")</f>
        <v>赤寿乡, 松阳县, 丽水市, 浙江省</v>
      </c>
      <c r="G143">
        <v>8335</v>
      </c>
      <c r="H143" t="s">
        <v>2957</v>
      </c>
      <c r="I143" t="s">
        <v>2949</v>
      </c>
      <c r="J143" t="e">
        <f>VLOOKUP(F143,[1]!china_towns_second__2[[Column1]:[Y]],3,FALSE)</f>
        <v>#N/A</v>
      </c>
      <c r="K143" t="e">
        <f>VLOOKUP(F143,[1]!china_towns_second__2[[Column1]:[Y]],2,FALSE)</f>
        <v>#N/A</v>
      </c>
      <c r="L143" t="s">
        <v>3781</v>
      </c>
      <c r="M143" t="str">
        <f>VLOOKUP(H143,CHOOSE({1,2},Table12[Native],Table12[Name]),2,0)</f>
        <v>Sōngyáng Xiàn</v>
      </c>
      <c r="N143" s="15" t="str">
        <f>VLOOKUP(I143,CHOOSE({1,2},Table12[Native],Table12[Name]),2,0)</f>
        <v>Lìshuĭ Shì</v>
      </c>
      <c r="O143" s="15" t="str">
        <f t="shared" si="4"/>
        <v>Chishou Xiang (Lìshuĭ Shì)</v>
      </c>
      <c r="P143" s="15" t="str">
        <f t="shared" si="5"/>
        <v>Chishou Xiang (Lìshuĭ Shì)</v>
      </c>
    </row>
    <row r="144" spans="1:16" hidden="1" x14ac:dyDescent="0.25">
      <c r="A144" t="s">
        <v>740</v>
      </c>
      <c r="B144" t="str">
        <f>IF(COUNTIF(A:A,A144)&gt;1,_xlfn.CONCAT(A144," (",N144,")"),A144)</f>
        <v>Chìsōng Zhèn</v>
      </c>
      <c r="C144" t="str">
        <f>IF(COUNTIF(B:B,B144)&gt;1,_xlfn.CONCAT(A144," (",M144,")"),B144)</f>
        <v>Chìsōng Zhèn</v>
      </c>
      <c r="D144" t="s">
        <v>741</v>
      </c>
      <c r="E144" t="s">
        <v>11</v>
      </c>
      <c r="F144" t="str">
        <f>_xlfn.CONCAT(D144,", ",H144,", ",I144,", ","浙江省")</f>
        <v>赤松镇, 金东区, 金华市, 浙江省</v>
      </c>
      <c r="G144">
        <v>24581</v>
      </c>
      <c r="H144" t="s">
        <v>2940</v>
      </c>
      <c r="I144" t="s">
        <v>2938</v>
      </c>
      <c r="J144">
        <f>VLOOKUP(F144,[1]!china_towns_second__2[[Column1]:[Y]],3,FALSE)</f>
        <v>29.1775395820145</v>
      </c>
      <c r="K144">
        <f>VLOOKUP(F144,[1]!china_towns_second__2[[Column1]:[Y]],2,FALSE)</f>
        <v>119.69352600000001</v>
      </c>
      <c r="L144" t="s">
        <v>3782</v>
      </c>
      <c r="M144" t="str">
        <f>VLOOKUP(H144,CHOOSE({1,2},Table12[Native],Table12[Name]),2,0)</f>
        <v>Jīndōng Qū</v>
      </c>
      <c r="N144" s="15" t="str">
        <f>VLOOKUP(I144,CHOOSE({1,2},Table12[Native],Table12[Name]),2,0)</f>
        <v>Jīnhuá Shì</v>
      </c>
      <c r="O144" s="15" t="str">
        <f t="shared" si="4"/>
        <v>Chisong Zhen (Jīnhuá Shì)</v>
      </c>
      <c r="P144" s="15" t="str">
        <f t="shared" si="5"/>
        <v>Chisong Zhen (Jīnhuá Shì)</v>
      </c>
    </row>
    <row r="145" spans="1:16" hidden="1" x14ac:dyDescent="0.25">
      <c r="A145" t="s">
        <v>742</v>
      </c>
      <c r="B145" t="str">
        <f>IF(COUNTIF(A:A,A145)&gt;1,_xlfn.CONCAT(A145," (",N145,")"),A145)</f>
        <v>Chìxī Jiēdào</v>
      </c>
      <c r="C145" t="str">
        <f>IF(COUNTIF(B:B,B145)&gt;1,_xlfn.CONCAT(A145," (",M145,")"),B145)</f>
        <v>Chìxī Jiēdào</v>
      </c>
      <c r="D145" t="s">
        <v>743</v>
      </c>
      <c r="E145" t="s">
        <v>15</v>
      </c>
      <c r="F145" t="str">
        <f>_xlfn.CONCAT(D145,", ",H145,", ",I145,", ","浙江省")</f>
        <v>赤溪街道, 兰溪市, 金华市, 浙江省</v>
      </c>
      <c r="G145">
        <v>13958</v>
      </c>
      <c r="H145" t="s">
        <v>2941</v>
      </c>
      <c r="I145" t="s">
        <v>2938</v>
      </c>
      <c r="J145">
        <f>VLOOKUP(F145,[1]!china_towns_second__2[[Column1]:[Y]],3,FALSE)</f>
        <v>29.1868169436225</v>
      </c>
      <c r="K145">
        <f>VLOOKUP(F145,[1]!china_towns_second__2[[Column1]:[Y]],2,FALSE)</f>
        <v>119.3813833</v>
      </c>
      <c r="L145" t="s">
        <v>3783</v>
      </c>
      <c r="M145" t="str">
        <f>VLOOKUP(H145,CHOOSE({1,2},Table12[Native],Table12[Name]),2,0)</f>
        <v>Lánxī Shì</v>
      </c>
      <c r="N145" s="15" t="str">
        <f>VLOOKUP(I145,CHOOSE({1,2},Table12[Native],Table12[Name]),2,0)</f>
        <v>Jīnhuá Shì</v>
      </c>
      <c r="O145" s="15" t="str">
        <f t="shared" si="4"/>
        <v>Chixi Jiedao (Jīnhuá Shì)</v>
      </c>
      <c r="P145" s="15" t="str">
        <f t="shared" si="5"/>
        <v>Chixi Jiedao (Jīnhuá Shì)</v>
      </c>
    </row>
    <row r="146" spans="1:16" hidden="1" x14ac:dyDescent="0.25">
      <c r="A146" t="s">
        <v>2319</v>
      </c>
      <c r="B146" t="str">
        <f>IF(COUNTIF(A:A,A146)&gt;1,_xlfn.CONCAT(A146," (",N146,")"),A146)</f>
        <v>Chìxī Zhèn</v>
      </c>
      <c r="C146" t="str">
        <f>IF(COUNTIF(B:B,B146)&gt;1,_xlfn.CONCAT(A146," (",M146,")"),B146)</f>
        <v>Chìxī Zhèn</v>
      </c>
      <c r="D146" t="s">
        <v>2320</v>
      </c>
      <c r="E146" t="s">
        <v>11</v>
      </c>
      <c r="F146" t="str">
        <f>_xlfn.CONCAT(D146,", ",H146,", ",I146,", ","浙江省")</f>
        <v>赤溪镇, 苍南县, 温州市, 浙江省</v>
      </c>
      <c r="G146">
        <v>11451</v>
      </c>
      <c r="H146" t="s">
        <v>3001</v>
      </c>
      <c r="I146" t="s">
        <v>3000</v>
      </c>
      <c r="J146">
        <f>VLOOKUP(F146,[1]!china_towns_second__2[[Column1]:[Y]],3,FALSE)</f>
        <v>27.353697271151901</v>
      </c>
      <c r="K146">
        <f>VLOOKUP(F146,[1]!china_towns_second__2[[Column1]:[Y]],2,FALSE)</f>
        <v>120.5332532</v>
      </c>
      <c r="L146" t="s">
        <v>3784</v>
      </c>
      <c r="M146" t="str">
        <f>VLOOKUP(H146,CHOOSE({1,2},Table12[Native],Table12[Name]),2,0)</f>
        <v>Cāngnán Xiàn</v>
      </c>
      <c r="N146" s="15" t="str">
        <f>VLOOKUP(I146,CHOOSE({1,2},Table12[Native],Table12[Name]),2,0)</f>
        <v>Wēnzhōu Shì</v>
      </c>
      <c r="O146" s="15" t="str">
        <f t="shared" si="4"/>
        <v>Chixi Zhen (Wēnzhōu Shì)</v>
      </c>
      <c r="P146" s="15" t="str">
        <f t="shared" si="5"/>
        <v>Chixi Zhen (Wēnzhōu Shì)</v>
      </c>
    </row>
    <row r="147" spans="1:16" hidden="1" x14ac:dyDescent="0.25">
      <c r="A147" t="s">
        <v>564</v>
      </c>
      <c r="B147" t="str">
        <f>IF(COUNTIF(A:A,A147)&gt;1,_xlfn.CONCAT(A147," (",N147,")"),A147)</f>
        <v>Chóngfú Zhèn</v>
      </c>
      <c r="C147" t="str">
        <f>IF(COUNTIF(B:B,B147)&gt;1,_xlfn.CONCAT(A147," (",M147,")"),B147)</f>
        <v>Chóngfú Zhèn</v>
      </c>
      <c r="D147" t="s">
        <v>565</v>
      </c>
      <c r="E147" t="s">
        <v>11</v>
      </c>
      <c r="F147" t="str">
        <f>_xlfn.CONCAT(D147,", ",H147,", ",I147,", ","浙江省")</f>
        <v>崇福镇, 桐乡市, 嘉兴市, 浙江省</v>
      </c>
      <c r="G147">
        <v>112060</v>
      </c>
      <c r="H147" t="s">
        <v>2935</v>
      </c>
      <c r="I147" t="s">
        <v>2929</v>
      </c>
      <c r="J147">
        <f>VLOOKUP(F147,[1]!china_towns_second__2[[Column1]:[Y]],3,FALSE)</f>
        <v>30.531133885146598</v>
      </c>
      <c r="K147">
        <f>VLOOKUP(F147,[1]!china_towns_second__2[[Column1]:[Y]],2,FALSE)</f>
        <v>120.4361652</v>
      </c>
      <c r="L147" t="s">
        <v>3785</v>
      </c>
      <c r="M147" t="str">
        <f>VLOOKUP(H147,CHOOSE({1,2},Table12[Native],Table12[Name]),2,0)</f>
        <v>Tóngxiāng Shì</v>
      </c>
      <c r="N147" s="15" t="str">
        <f>VLOOKUP(I147,CHOOSE({1,2},Table12[Native],Table12[Name]),2,0)</f>
        <v>Jiāxīng Shì</v>
      </c>
      <c r="O147" s="15" t="str">
        <f t="shared" si="4"/>
        <v>Chongfu Zhen (Jiāxīng Shì)</v>
      </c>
      <c r="P147" s="15" t="str">
        <f t="shared" si="5"/>
        <v>Chongfu Zhen (Jiāxīng Shì)</v>
      </c>
    </row>
    <row r="148" spans="1:16" hidden="1" x14ac:dyDescent="0.25">
      <c r="A148" t="s">
        <v>1858</v>
      </c>
      <c r="B148" t="str">
        <f>IF(COUNTIF(A:A,A148)&gt;1,_xlfn.CONCAT(A148," (",N148,")"),A148)</f>
        <v>Chóngrén Zhèn</v>
      </c>
      <c r="C148" t="str">
        <f>IF(COUNTIF(B:B,B148)&gt;1,_xlfn.CONCAT(A148," (",M148,")"),B148)</f>
        <v>Chóngrén Zhèn</v>
      </c>
      <c r="D148" t="s">
        <v>1859</v>
      </c>
      <c r="E148" t="s">
        <v>11</v>
      </c>
      <c r="F148" t="str">
        <f>_xlfn.CONCAT(D148,", ",H148,", ",I148,", ","浙江省")</f>
        <v>崇仁镇, 嵊州市, 绍兴市, 浙江省</v>
      </c>
      <c r="G148">
        <v>64387</v>
      </c>
      <c r="H148" t="s">
        <v>2984</v>
      </c>
      <c r="I148" t="s">
        <v>2981</v>
      </c>
      <c r="J148">
        <f>VLOOKUP(F148,[1]!china_towns_second__2[[Column1]:[Y]],3,FALSE)</f>
        <v>29.631196910823899</v>
      </c>
      <c r="K148">
        <f>VLOOKUP(F148,[1]!china_towns_second__2[[Column1]:[Y]],2,FALSE)</f>
        <v>120.69880360000001</v>
      </c>
      <c r="L148" t="s">
        <v>3786</v>
      </c>
      <c r="M148" t="str">
        <f>VLOOKUP(H148,CHOOSE({1,2},Table12[Native],Table12[Name]),2,0)</f>
        <v>Shèngzhōu Shì</v>
      </c>
      <c r="N148" s="15" t="str">
        <f>VLOOKUP(I148,CHOOSE({1,2},Table12[Native],Table12[Name]),2,0)</f>
        <v>Shàoxīng Shì</v>
      </c>
      <c r="O148" s="15" t="str">
        <f t="shared" si="4"/>
        <v>Chongren Zhen (Shàoxīng Shì)</v>
      </c>
      <c r="P148" s="15" t="str">
        <f t="shared" si="5"/>
        <v>Chongren Zhen (Shàoxīng Shì)</v>
      </c>
    </row>
    <row r="149" spans="1:16" hidden="1" x14ac:dyDescent="0.25">
      <c r="A149" t="s">
        <v>1363</v>
      </c>
      <c r="B149" t="str">
        <f>IF(COUNTIF(A:A,A149)&gt;1,_xlfn.CONCAT(A149," (",N149,")"),A149)</f>
        <v>Chóngshòu Zhèn</v>
      </c>
      <c r="C149" t="str">
        <f>IF(COUNTIF(B:B,B149)&gt;1,_xlfn.CONCAT(A149," (",M149,")"),B149)</f>
        <v>Chóngshòu Zhèn</v>
      </c>
      <c r="D149" t="s">
        <v>1364</v>
      </c>
      <c r="E149" t="s">
        <v>11</v>
      </c>
      <c r="F149" t="str">
        <f>_xlfn.CONCAT(D149,", ",H149,", ",I149,", ","浙江省")</f>
        <v>崇寿镇, 慈溪市, 宁波市, 浙江省</v>
      </c>
      <c r="G149">
        <v>37762</v>
      </c>
      <c r="H149" t="s">
        <v>2963</v>
      </c>
      <c r="I149" t="s">
        <v>2961</v>
      </c>
      <c r="J149">
        <f>VLOOKUP(F149,[1]!china_towns_second__2[[Column1]:[Y]],3,FALSE)</f>
        <v>30.270719772831502</v>
      </c>
      <c r="K149">
        <f>VLOOKUP(F149,[1]!china_towns_second__2[[Column1]:[Y]],2,FALSE)</f>
        <v>121.26773439999999</v>
      </c>
      <c r="L149" t="s">
        <v>3787</v>
      </c>
      <c r="M149" t="str">
        <f>VLOOKUP(H149,CHOOSE({1,2},Table12[Native],Table12[Name]),2,0)</f>
        <v>Cíxī Shì</v>
      </c>
      <c r="N149" s="15" t="str">
        <f>VLOOKUP(I149,CHOOSE({1,2},Table12[Native],Table12[Name]),2,0)</f>
        <v>Níngbō Shì</v>
      </c>
      <c r="O149" s="15" t="str">
        <f t="shared" si="4"/>
        <v>Chongshou Zhen (Níngbō Shì)</v>
      </c>
      <c r="P149" s="15" t="str">
        <f t="shared" si="5"/>
        <v>Chongshou Zhen (Níngbō Shì)</v>
      </c>
    </row>
    <row r="150" spans="1:16" hidden="1" x14ac:dyDescent="0.25">
      <c r="A150" t="s">
        <v>1043</v>
      </c>
      <c r="B150" t="str">
        <f>IF(COUNTIF(A:A,A150)&gt;1,_xlfn.CONCAT(A150," (",N150,")"),A150)</f>
        <v>Chóngtóu Zhèn</v>
      </c>
      <c r="C150" t="str">
        <f>IF(COUNTIF(B:B,B150)&gt;1,_xlfn.CONCAT(A150," (",M150,")"),B150)</f>
        <v>Chóngtóu Zhèn</v>
      </c>
      <c r="D150" t="s">
        <v>1044</v>
      </c>
      <c r="E150" t="s">
        <v>11</v>
      </c>
      <c r="F150" t="str">
        <f>_xlfn.CONCAT(D150,", ",H150,", ",I150,", ","浙江省")</f>
        <v>崇头镇, 云和县, 丽水市, 浙江省</v>
      </c>
      <c r="G150">
        <v>6333</v>
      </c>
      <c r="H150" t="s">
        <v>2959</v>
      </c>
      <c r="I150" t="s">
        <v>2949</v>
      </c>
      <c r="J150">
        <f>VLOOKUP(F150,[1]!china_towns_second__2[[Column1]:[Y]],3,FALSE)</f>
        <v>27.999777958164699</v>
      </c>
      <c r="K150">
        <f>VLOOKUP(F150,[1]!china_towns_second__2[[Column1]:[Y]],2,FALSE)</f>
        <v>119.44654079999999</v>
      </c>
      <c r="L150" t="s">
        <v>3788</v>
      </c>
      <c r="M150" t="str">
        <f>VLOOKUP(H150,CHOOSE({1,2},Table12[Native],Table12[Name]),2,0)</f>
        <v>Yúnhé Xiàn</v>
      </c>
      <c r="N150" s="15" t="str">
        <f>VLOOKUP(I150,CHOOSE({1,2},Table12[Native],Table12[Name]),2,0)</f>
        <v>Lìshuĭ Shì</v>
      </c>
      <c r="O150" s="15" t="str">
        <f t="shared" si="4"/>
        <v>Chongtou Zhen (Lìshuĭ Shì)</v>
      </c>
      <c r="P150" s="15" t="str">
        <f t="shared" si="5"/>
        <v>Chongtou Zhen (Lìshuĭ Shì)</v>
      </c>
    </row>
    <row r="151" spans="1:16" hidden="1" x14ac:dyDescent="0.25">
      <c r="A151" t="s">
        <v>57</v>
      </c>
      <c r="B151" t="str">
        <f>IF(COUNTIF(A:A,A151)&gt;1,_xlfn.CONCAT(A151," (",N151,")"),A151)</f>
        <v>Chóngxián Jiēdào</v>
      </c>
      <c r="C151" t="str">
        <f>IF(COUNTIF(B:B,B151)&gt;1,_xlfn.CONCAT(A151," (",M151,")"),B151)</f>
        <v>Chóngxián Jiēdào</v>
      </c>
      <c r="D151" t="s">
        <v>58</v>
      </c>
      <c r="E151" t="s">
        <v>15</v>
      </c>
      <c r="F151" t="str">
        <f>_xlfn.CONCAT(D151,", ",H151,", ",I151,", ","浙江省")</f>
        <v>崇贤街道, 临平区, 杭州市, 浙江省</v>
      </c>
      <c r="G151">
        <v>53706</v>
      </c>
      <c r="H151" t="s">
        <v>2912</v>
      </c>
      <c r="I151" t="s">
        <v>2903</v>
      </c>
      <c r="J151" t="e">
        <f>VLOOKUP(F151,[1]!china_towns_second__2[[Column1]:[Y]],3,FALSE)</f>
        <v>#N/A</v>
      </c>
      <c r="K151" t="e">
        <f>VLOOKUP(F151,[1]!china_towns_second__2[[Column1]:[Y]],2,FALSE)</f>
        <v>#N/A</v>
      </c>
      <c r="L151" t="s">
        <v>3789</v>
      </c>
      <c r="M151" t="str">
        <f>VLOOKUP(H151,CHOOSE({1,2},Table12[Native],Table12[Name]),2,0)</f>
        <v>Línpíng Qū</v>
      </c>
      <c r="N151" s="15" t="str">
        <f>VLOOKUP(I151,CHOOSE({1,2},Table12[Native],Table12[Name]),2,0)</f>
        <v>Hángzhōu Shì</v>
      </c>
      <c r="O151" s="15" t="str">
        <f t="shared" si="4"/>
        <v>Chongxian Jiedao (Hángzhōu Shì)</v>
      </c>
      <c r="P151" s="15" t="str">
        <f t="shared" si="5"/>
        <v>Chongxian Jiedao (Hángzhōu Shì)</v>
      </c>
    </row>
    <row r="152" spans="1:16" hidden="1" x14ac:dyDescent="0.25">
      <c r="A152" t="s">
        <v>744</v>
      </c>
      <c r="B152" t="str">
        <f>IF(COUNTIF(A:A,A152)&gt;1,_xlfn.CONCAT(A152," (",N152,")"),A152)</f>
        <v>Chóuchéng Jiēdào</v>
      </c>
      <c r="C152" t="str">
        <f>IF(COUNTIF(B:B,B152)&gt;1,_xlfn.CONCAT(A152," (",M152,")"),B152)</f>
        <v>Chóuchéng Jiēdào</v>
      </c>
      <c r="D152" t="s">
        <v>745</v>
      </c>
      <c r="E152" t="s">
        <v>15</v>
      </c>
      <c r="F152" t="str">
        <f>_xlfn.CONCAT(D152,", ",H152,", ",I152,", ","浙江省")</f>
        <v>稠城街道, 义乌市, 金华市, 浙江省</v>
      </c>
      <c r="G152">
        <v>208984</v>
      </c>
      <c r="H152" t="s">
        <v>2946</v>
      </c>
      <c r="I152" t="s">
        <v>2938</v>
      </c>
      <c r="J152">
        <f>VLOOKUP(F152,[1]!china_towns_second__2[[Column1]:[Y]],3,FALSE)</f>
        <v>29.3494981714407</v>
      </c>
      <c r="K152">
        <f>VLOOKUP(F152,[1]!china_towns_second__2[[Column1]:[Y]],2,FALSE)</f>
        <v>120.107359</v>
      </c>
      <c r="L152" t="s">
        <v>3790</v>
      </c>
      <c r="M152" t="str">
        <f>VLOOKUP(H152,CHOOSE({1,2},Table12[Native],Table12[Name]),2,0)</f>
        <v>Yìwū Shì</v>
      </c>
      <c r="N152" s="15" t="str">
        <f>VLOOKUP(I152,CHOOSE({1,2},Table12[Native],Table12[Name]),2,0)</f>
        <v>Jīnhuá Shì</v>
      </c>
      <c r="O152" s="15" t="str">
        <f t="shared" si="4"/>
        <v>Choucheng Jiedao (Jīnhuá Shì)</v>
      </c>
      <c r="P152" s="15" t="str">
        <f t="shared" si="5"/>
        <v>Choucheng Jiedao (Jīnhuá Shì)</v>
      </c>
    </row>
    <row r="153" spans="1:16" hidden="1" x14ac:dyDescent="0.25">
      <c r="A153" t="s">
        <v>746</v>
      </c>
      <c r="B153" t="str">
        <f>IF(COUNTIF(A:A,A153)&gt;1,_xlfn.CONCAT(A153," (",N153,")"),A153)</f>
        <v>Chóujiāng Jiēdào</v>
      </c>
      <c r="C153" t="str">
        <f>IF(COUNTIF(B:B,B153)&gt;1,_xlfn.CONCAT(A153," (",M153,")"),B153)</f>
        <v>Chóujiāng Jiēdào</v>
      </c>
      <c r="D153" t="s">
        <v>747</v>
      </c>
      <c r="E153" t="s">
        <v>15</v>
      </c>
      <c r="F153" t="str">
        <f>_xlfn.CONCAT(D153,", ",H153,", ",I153,", ","浙江省")</f>
        <v>稠江街道, 义乌市, 金华市, 浙江省</v>
      </c>
      <c r="G153">
        <v>125668</v>
      </c>
      <c r="H153" t="s">
        <v>2946</v>
      </c>
      <c r="I153" t="s">
        <v>2938</v>
      </c>
      <c r="J153">
        <f>VLOOKUP(F153,[1]!china_towns_second__2[[Column1]:[Y]],3,FALSE)</f>
        <v>29.275528114316302</v>
      </c>
      <c r="K153">
        <f>VLOOKUP(F153,[1]!china_towns_second__2[[Column1]:[Y]],2,FALSE)</f>
        <v>120.01665610000001</v>
      </c>
      <c r="L153" t="s">
        <v>3791</v>
      </c>
      <c r="M153" t="str">
        <f>VLOOKUP(H153,CHOOSE({1,2},Table12[Native],Table12[Name]),2,0)</f>
        <v>Yìwū Shì</v>
      </c>
      <c r="N153" s="15" t="str">
        <f>VLOOKUP(I153,CHOOSE({1,2},Table12[Native],Table12[Name]),2,0)</f>
        <v>Jīnhuá Shì</v>
      </c>
      <c r="O153" s="15" t="str">
        <f t="shared" si="4"/>
        <v>Choujiang Jiedao (Jīnhuá Shì)</v>
      </c>
      <c r="P153" s="15" t="str">
        <f t="shared" si="5"/>
        <v>Choujiang Jiedao (Jīnhuá Shì)</v>
      </c>
    </row>
    <row r="154" spans="1:16" hidden="1" x14ac:dyDescent="0.25">
      <c r="A154" t="s">
        <v>1045</v>
      </c>
      <c r="B154" t="str">
        <f>IF(COUNTIF(A:A,A154)&gt;1,_xlfn.CONCAT(A154," (",N154,")"),A154)</f>
        <v>Chuánliáo Zhèn</v>
      </c>
      <c r="C154" t="str">
        <f>IF(COUNTIF(B:B,B154)&gt;1,_xlfn.CONCAT(A154," (",M154,")"),B154)</f>
        <v>Chuánliáo Zhèn</v>
      </c>
      <c r="D154" t="s">
        <v>1046</v>
      </c>
      <c r="E154" t="s">
        <v>11</v>
      </c>
      <c r="F154" t="str">
        <f>_xlfn.CONCAT(D154,", ",H154,", ",I154,", ","浙江省")</f>
        <v>船寮镇, 青田县, 丽水市, 浙江省</v>
      </c>
      <c r="G154">
        <v>26602</v>
      </c>
      <c r="H154" t="s">
        <v>2955</v>
      </c>
      <c r="I154" t="s">
        <v>2949</v>
      </c>
      <c r="J154">
        <f>VLOOKUP(F154,[1]!china_towns_second__2[[Column1]:[Y]],3,FALSE)</f>
        <v>28.263213644879201</v>
      </c>
      <c r="K154">
        <f>VLOOKUP(F154,[1]!china_towns_second__2[[Column1]:[Y]],2,FALSE)</f>
        <v>120.2044255</v>
      </c>
      <c r="L154" t="s">
        <v>3792</v>
      </c>
      <c r="M154" t="str">
        <f>VLOOKUP(H154,CHOOSE({1,2},Table12[Native],Table12[Name]),2,0)</f>
        <v>Qīngtián Xiàn</v>
      </c>
      <c r="N154" s="15" t="str">
        <f>VLOOKUP(I154,CHOOSE({1,2},Table12[Native],Table12[Name]),2,0)</f>
        <v>Lìshuĭ Shì</v>
      </c>
      <c r="O154" s="15" t="str">
        <f t="shared" si="4"/>
        <v>Chuanliao Zhen (Lìshuĭ Shì)</v>
      </c>
      <c r="P154" s="15" t="str">
        <f t="shared" si="5"/>
        <v>Chuanliao Zhen (Lìshuĭ Shì)</v>
      </c>
    </row>
    <row r="155" spans="1:16" hidden="1" x14ac:dyDescent="0.25">
      <c r="A155" t="s">
        <v>2069</v>
      </c>
      <c r="B155" t="str">
        <f>IF(COUNTIF(A:A,A155)&gt;1,_xlfn.CONCAT(A155," (",N155,")"),A155)</f>
        <v>Chŭmén Zhèn</v>
      </c>
      <c r="C155" t="str">
        <f>IF(COUNTIF(B:B,B155)&gt;1,_xlfn.CONCAT(A155," (",M155,")"),B155)</f>
        <v>Chŭmén Zhèn</v>
      </c>
      <c r="D155" t="s">
        <v>2070</v>
      </c>
      <c r="E155" t="s">
        <v>11</v>
      </c>
      <c r="F155" t="str">
        <f>_xlfn.CONCAT(D155,", ",H155,", ",I155,", ","浙江省")</f>
        <v>楚门镇, 玉环市, 台州市, 浙江省</v>
      </c>
      <c r="G155">
        <v>85047</v>
      </c>
      <c r="H155" t="s">
        <v>2998</v>
      </c>
      <c r="I155" t="s">
        <v>2989</v>
      </c>
      <c r="J155">
        <f>VLOOKUP(F155,[1]!china_towns_second__2[[Column1]:[Y]],3,FALSE)</f>
        <v>28.229803709869898</v>
      </c>
      <c r="K155">
        <f>VLOOKUP(F155,[1]!china_towns_second__2[[Column1]:[Y]],2,FALSE)</f>
        <v>121.3050345</v>
      </c>
      <c r="L155" t="s">
        <v>3793</v>
      </c>
      <c r="M155" t="str">
        <f>VLOOKUP(H155,CHOOSE({1,2},Table12[Native],Table12[Name]),2,0)</f>
        <v>Yùhuán Shì</v>
      </c>
      <c r="N155" s="15" t="str">
        <f>VLOOKUP(I155,CHOOSE({1,2},Table12[Native],Table12[Name]),2,0)</f>
        <v>Táizhōu Shì</v>
      </c>
      <c r="O155" s="15" t="str">
        <f t="shared" si="4"/>
        <v>Chumen Zhen (Táizhōu Shì)</v>
      </c>
      <c r="P155" s="15" t="str">
        <f t="shared" si="5"/>
        <v>Chumen Zhen (Táizhōu Shì)</v>
      </c>
    </row>
    <row r="156" spans="1:16" hidden="1" x14ac:dyDescent="0.25">
      <c r="A156" t="s">
        <v>1365</v>
      </c>
      <c r="B156" t="str">
        <f>IF(COUNTIF(A:A,A156)&gt;1,_xlfn.CONCAT(A156," (",N156,")"),A156)</f>
        <v>Chúnhú Jiēdào</v>
      </c>
      <c r="C156" t="str">
        <f>IF(COUNTIF(B:B,B156)&gt;1,_xlfn.CONCAT(A156," (",M156,")"),B156)</f>
        <v>Chúnhú Jiēdào</v>
      </c>
      <c r="D156" t="s">
        <v>1366</v>
      </c>
      <c r="E156" t="s">
        <v>15</v>
      </c>
      <c r="F156" t="str">
        <f>_xlfn.CONCAT(D156,", ",H156,", ",I156,", ","浙江省")</f>
        <v>莼湖街道, 奉化区, 宁波市, 浙江省</v>
      </c>
      <c r="G156">
        <v>55027</v>
      </c>
      <c r="H156" t="s">
        <v>2964</v>
      </c>
      <c r="I156" t="s">
        <v>2961</v>
      </c>
      <c r="J156" t="e">
        <f>VLOOKUP(F156,[1]!china_towns_second__2[[Column1]:[Y]],3,FALSE)</f>
        <v>#N/A</v>
      </c>
      <c r="K156" t="e">
        <f>VLOOKUP(F156,[1]!china_towns_second__2[[Column1]:[Y]],2,FALSE)</f>
        <v>#N/A</v>
      </c>
      <c r="L156" t="s">
        <v>3794</v>
      </c>
      <c r="M156" t="str">
        <f>VLOOKUP(H156,CHOOSE({1,2},Table12[Native],Table12[Name]),2,0)</f>
        <v>Fènghuà Qū</v>
      </c>
      <c r="N156" s="15" t="str">
        <f>VLOOKUP(I156,CHOOSE({1,2},Table12[Native],Table12[Name]),2,0)</f>
        <v>Níngbō Shì</v>
      </c>
      <c r="O156" s="15" t="str">
        <f t="shared" si="4"/>
        <v>Chunhu Jiedao (Níngbō Shì)</v>
      </c>
      <c r="P156" s="15" t="str">
        <f t="shared" si="5"/>
        <v>Chunhu Jiedao (Níngbō Shì)</v>
      </c>
    </row>
    <row r="157" spans="1:16" hidden="1" x14ac:dyDescent="0.25">
      <c r="A157" t="s">
        <v>62</v>
      </c>
      <c r="B157" t="str">
        <f>IF(COUNTIF(A:A,A157)&gt;1,_xlfn.CONCAT(A157," (",N157,")"),A157)</f>
        <v>Chūnjiàn Xiāng</v>
      </c>
      <c r="C157" t="str">
        <f>IF(COUNTIF(B:B,B157)&gt;1,_xlfn.CONCAT(A157," (",M157,")"),B157)</f>
        <v>Chūnjiàn Xiāng</v>
      </c>
      <c r="D157" t="s">
        <v>63</v>
      </c>
      <c r="E157" t="s">
        <v>7</v>
      </c>
      <c r="F157" t="str">
        <f>_xlfn.CONCAT(D157,", ",H157,", ",I157,", ","浙江省")</f>
        <v>春建乡, 富阳区, 杭州市, 浙江省</v>
      </c>
      <c r="G157">
        <v>6429</v>
      </c>
      <c r="H157" t="s">
        <v>2908</v>
      </c>
      <c r="I157" t="s">
        <v>2903</v>
      </c>
      <c r="J157" t="e">
        <f>VLOOKUP(F157,[1]!china_towns_second__2[[Column1]:[Y]],3,FALSE)</f>
        <v>#N/A</v>
      </c>
      <c r="K157" t="e">
        <f>VLOOKUP(F157,[1]!china_towns_second__2[[Column1]:[Y]],2,FALSE)</f>
        <v>#N/A</v>
      </c>
      <c r="L157" t="s">
        <v>3795</v>
      </c>
      <c r="M157" t="str">
        <f>VLOOKUP(H157,CHOOSE({1,2},Table12[Native],Table12[Name]),2,0)</f>
        <v>Fùyáng Qū</v>
      </c>
      <c r="N157" s="15" t="str">
        <f>VLOOKUP(I157,CHOOSE({1,2},Table12[Native],Table12[Name]),2,0)</f>
        <v>Hángzhōu Shì</v>
      </c>
      <c r="O157" s="15" t="str">
        <f t="shared" si="4"/>
        <v>Chunjian Xiang (Hángzhōu Shì)</v>
      </c>
      <c r="P157" s="15" t="str">
        <f t="shared" si="5"/>
        <v>Chunjian Xiang (Hángzhōu Shì)</v>
      </c>
    </row>
    <row r="158" spans="1:16" hidden="1" x14ac:dyDescent="0.25">
      <c r="A158" t="s">
        <v>60</v>
      </c>
      <c r="B158" t="str">
        <f>IF(COUNTIF(A:A,A158)&gt;1,_xlfn.CONCAT(A158," (",N158,")"),A158)</f>
        <v>Chūnjiāng Jiēdào</v>
      </c>
      <c r="C158" t="str">
        <f>IF(COUNTIF(B:B,B158)&gt;1,_xlfn.CONCAT(A158," (",M158,")"),B158)</f>
        <v>Chūnjiāng Jiēdào</v>
      </c>
      <c r="D158" t="s">
        <v>61</v>
      </c>
      <c r="E158" t="s">
        <v>15</v>
      </c>
      <c r="F158" t="str">
        <f>_xlfn.CONCAT(D158,", ",H158,", ",I158,", ","浙江省")</f>
        <v>春江街道, 富阳区, 杭州市, 浙江省</v>
      </c>
      <c r="G158">
        <v>49266</v>
      </c>
      <c r="H158" t="s">
        <v>2908</v>
      </c>
      <c r="I158" t="s">
        <v>2903</v>
      </c>
      <c r="J158">
        <f>VLOOKUP(F158,[1]!china_towns_second__2[[Column1]:[Y]],3,FALSE)</f>
        <v>30.004114885398099</v>
      </c>
      <c r="K158">
        <f>VLOOKUP(F158,[1]!china_towns_second__2[[Column1]:[Y]],2,FALSE)</f>
        <v>119.95794909999999</v>
      </c>
      <c r="L158" t="s">
        <v>3796</v>
      </c>
      <c r="M158" t="str">
        <f>VLOOKUP(H158,CHOOSE({1,2},Table12[Native],Table12[Name]),2,0)</f>
        <v>Fùyáng Qū</v>
      </c>
      <c r="N158" s="15" t="str">
        <f>VLOOKUP(I158,CHOOSE({1,2},Table12[Native],Table12[Name]),2,0)</f>
        <v>Hángzhōu Shì</v>
      </c>
      <c r="O158" s="15" t="str">
        <f t="shared" si="4"/>
        <v>Chunjiang Jiedao (Hángzhōu Shì)</v>
      </c>
      <c r="P158" s="15" t="str">
        <f t="shared" si="5"/>
        <v>Chunjiang Jiedao (Hángzhōu Shì)</v>
      </c>
    </row>
    <row r="159" spans="1:16" hidden="1" x14ac:dyDescent="0.25">
      <c r="A159" t="s">
        <v>1368</v>
      </c>
      <c r="B159" t="str">
        <f>IF(COUNTIF(A:A,A159)&gt;1,_xlfn.CONCAT(A159," (",N159,")"),A159)</f>
        <v>Chūnxiăo Jiēdào</v>
      </c>
      <c r="C159" t="str">
        <f>IF(COUNTIF(B:B,B159)&gt;1,_xlfn.CONCAT(A159," (",M159,")"),B159)</f>
        <v>Chūnxiăo Jiēdào</v>
      </c>
      <c r="D159" t="s">
        <v>1369</v>
      </c>
      <c r="E159" t="s">
        <v>15</v>
      </c>
      <c r="F159" t="str">
        <f>_xlfn.CONCAT(D159,", ",H159,", ",I159,", ","浙江省")</f>
        <v>春晓街道, 北仑区, 宁波市, 浙江省</v>
      </c>
      <c r="G159">
        <v>17912</v>
      </c>
      <c r="H159" t="s">
        <v>2962</v>
      </c>
      <c r="I159" t="s">
        <v>2961</v>
      </c>
      <c r="J159" t="e">
        <f>VLOOKUP(F159,[1]!china_towns_second__2[[Column1]:[Y]],3,FALSE)</f>
        <v>#N/A</v>
      </c>
      <c r="K159" t="e">
        <f>VLOOKUP(F159,[1]!china_towns_second__2[[Column1]:[Y]],2,FALSE)</f>
        <v>#N/A</v>
      </c>
      <c r="L159" t="s">
        <v>3797</v>
      </c>
      <c r="M159" t="str">
        <f>VLOOKUP(H159,CHOOSE({1,2},Table12[Native],Table12[Name]),2,0)</f>
        <v>Bĕilún Qū</v>
      </c>
      <c r="N159" s="15" t="str">
        <f>VLOOKUP(I159,CHOOSE({1,2},Table12[Native],Table12[Name]),2,0)</f>
        <v>Níngbō Shì</v>
      </c>
      <c r="O159" s="15" t="str">
        <f t="shared" si="4"/>
        <v>Chunxiao Jiedao (Níngbō Shì)</v>
      </c>
      <c r="P159" s="15" t="str">
        <f t="shared" si="5"/>
        <v>Chunxiao Jiedao (Níngbō Shì)</v>
      </c>
    </row>
    <row r="160" spans="1:16" hidden="1" x14ac:dyDescent="0.25">
      <c r="A160" t="s">
        <v>1370</v>
      </c>
      <c r="B160" t="str">
        <f>IF(COUNTIF(A:A,A160)&gt;1,_xlfn.CONCAT(A160," (",N160,")"),A160)</f>
        <v>Cíchéng Zhèn</v>
      </c>
      <c r="C160" t="str">
        <f>IF(COUNTIF(B:B,B160)&gt;1,_xlfn.CONCAT(A160," (",M160,")"),B160)</f>
        <v>Cíchéng Zhèn</v>
      </c>
      <c r="D160" t="s">
        <v>1371</v>
      </c>
      <c r="E160" t="s">
        <v>11</v>
      </c>
      <c r="F160" t="str">
        <f>_xlfn.CONCAT(D160,", ",H160,", ",I160,", ","浙江省")</f>
        <v>慈城镇, 江北区, 宁波市, 浙江省</v>
      </c>
      <c r="G160">
        <v>67640</v>
      </c>
      <c r="H160" t="s">
        <v>2966</v>
      </c>
      <c r="I160" t="s">
        <v>2961</v>
      </c>
      <c r="J160">
        <f>VLOOKUP(F160,[1]!china_towns_second__2[[Column1]:[Y]],3,FALSE)</f>
        <v>29.991371583112201</v>
      </c>
      <c r="K160">
        <f>VLOOKUP(F160,[1]!china_towns_second__2[[Column1]:[Y]],2,FALSE)</f>
        <v>121.43386700000001</v>
      </c>
      <c r="L160" t="s">
        <v>3798</v>
      </c>
      <c r="M160" t="str">
        <f>VLOOKUP(H160,CHOOSE({1,2},Table12[Native],Table12[Name]),2,0)</f>
        <v>Jiāngbĕi Qū</v>
      </c>
      <c r="N160" s="15" t="str">
        <f>VLOOKUP(I160,CHOOSE({1,2},Table12[Native],Table12[Name]),2,0)</f>
        <v>Níngbō Shì</v>
      </c>
      <c r="O160" s="15" t="str">
        <f t="shared" si="4"/>
        <v>Cicheng Zhen (Níngbō Shì)</v>
      </c>
      <c r="P160" s="15" t="str">
        <f t="shared" si="5"/>
        <v>Cicheng Zhen (Níngbō Shì)</v>
      </c>
    </row>
    <row r="161" spans="1:16" hidden="1" x14ac:dyDescent="0.25">
      <c r="A161" t="s">
        <v>1373</v>
      </c>
      <c r="B161" t="str">
        <f>IF(COUNTIF(A:A,A161)&gt;1,_xlfn.CONCAT(A161," (",N161,")"),A161)</f>
        <v>Cídōng Gōngyèqū</v>
      </c>
      <c r="C161" t="str">
        <f>IF(COUNTIF(B:B,B161)&gt;1,_xlfn.CONCAT(A161," (",M161,")"),B161)</f>
        <v>Cídōng Gōngyèqū</v>
      </c>
      <c r="D161" t="s">
        <v>1374</v>
      </c>
      <c r="E161" t="s">
        <v>253</v>
      </c>
      <c r="F161" t="str">
        <f>_xlfn.CONCAT(D161,", ",H161,", ",I161,", ","浙江省")</f>
        <v>慈东工业区, 慈溪市, 宁波市, 浙江省</v>
      </c>
      <c r="G161">
        <v>4607</v>
      </c>
      <c r="H161" t="s">
        <v>2963</v>
      </c>
      <c r="I161" t="s">
        <v>2961</v>
      </c>
      <c r="J161">
        <f>VLOOKUP(F161,[1]!china_towns_second__2[[Column1]:[Y]],3,FALSE)</f>
        <v>30.1189826919362</v>
      </c>
      <c r="K161">
        <f>VLOOKUP(F161,[1]!china_towns_second__2[[Column1]:[Y]],2,FALSE)</f>
        <v>121.57826439999999</v>
      </c>
      <c r="L161" t="s">
        <v>3799</v>
      </c>
      <c r="M161" t="str">
        <f>VLOOKUP(H161,CHOOSE({1,2},Table12[Native],Table12[Name]),2,0)</f>
        <v>Cíxī Shì</v>
      </c>
      <c r="N161" s="15" t="str">
        <f>VLOOKUP(I161,CHOOSE({1,2},Table12[Native],Table12[Name]),2,0)</f>
        <v>Níngbō Shì</v>
      </c>
      <c r="O161" s="15" t="str">
        <f t="shared" si="4"/>
        <v>Cidong Gongyequ (Níngbō Shì)</v>
      </c>
      <c r="P161" s="15" t="str">
        <f t="shared" si="5"/>
        <v>Cidong Gongyequ (Níngbō Shì)</v>
      </c>
    </row>
    <row r="162" spans="1:16" hidden="1" x14ac:dyDescent="0.25">
      <c r="A162" t="s">
        <v>1860</v>
      </c>
      <c r="B162" t="str">
        <f>IF(COUNTIF(A:A,A162)&gt;1,_xlfn.CONCAT(A162," (",N162,")"),A162)</f>
        <v>Cìwù Zhèn</v>
      </c>
      <c r="C162" t="str">
        <f>IF(COUNTIF(B:B,B162)&gt;1,_xlfn.CONCAT(A162," (",M162,")"),B162)</f>
        <v>Cìwù Zhèn</v>
      </c>
      <c r="D162" t="s">
        <v>1861</v>
      </c>
      <c r="E162" t="s">
        <v>11</v>
      </c>
      <c r="F162" t="str">
        <f>_xlfn.CONCAT(D162,", ",H162,", ",I162,", ","浙江省")</f>
        <v>次坞镇, 诸暨市, 绍兴市, 浙江省</v>
      </c>
      <c r="G162">
        <v>36227</v>
      </c>
      <c r="H162" t="s">
        <v>2987</v>
      </c>
      <c r="I162" t="s">
        <v>2981</v>
      </c>
      <c r="J162">
        <f>VLOOKUP(F162,[1]!china_towns_second__2[[Column1]:[Y]],3,FALSE)</f>
        <v>29.8907027393489</v>
      </c>
      <c r="K162">
        <f>VLOOKUP(F162,[1]!china_towns_second__2[[Column1]:[Y]],2,FALSE)</f>
        <v>120.19609629999999</v>
      </c>
      <c r="L162" t="s">
        <v>3800</v>
      </c>
      <c r="M162" t="str">
        <f>VLOOKUP(H162,CHOOSE({1,2},Table12[Native],Table12[Name]),2,0)</f>
        <v>Zhūjì Shì</v>
      </c>
      <c r="N162" s="15" t="str">
        <f>VLOOKUP(I162,CHOOSE({1,2},Table12[Native],Table12[Name]),2,0)</f>
        <v>Shàoxīng Shì</v>
      </c>
      <c r="O162" s="15" t="str">
        <f t="shared" si="4"/>
        <v>Ciwu Zhen (Shàoxīng Shì)</v>
      </c>
      <c r="P162" s="15" t="str">
        <f t="shared" si="5"/>
        <v>Ciwu Zhen (Shàoxīng Shì)</v>
      </c>
    </row>
    <row r="163" spans="1:16" hidden="1" x14ac:dyDescent="0.25">
      <c r="A163" t="s">
        <v>1375</v>
      </c>
      <c r="B163" t="str">
        <f>IF(COUNTIF(A:A,A163)&gt;1,_xlfn.CONCAT(A163," (",N163,")"),A163)</f>
        <v>Cíxī Shì Línchăng</v>
      </c>
      <c r="C163" t="str">
        <f>IF(COUNTIF(B:B,B163)&gt;1,_xlfn.CONCAT(A163," (",M163,")"),B163)</f>
        <v>Cíxī Shì Línchăng</v>
      </c>
      <c r="D163" t="s">
        <v>1376</v>
      </c>
      <c r="E163" t="s">
        <v>253</v>
      </c>
      <c r="F163" t="str">
        <f>_xlfn.CONCAT(D163,", ",H163,", ",I163,", ","浙江省")</f>
        <v>慈溪市林场, 慈溪市, 宁波市, 浙江省</v>
      </c>
      <c r="G163">
        <v>6</v>
      </c>
      <c r="H163" t="s">
        <v>2963</v>
      </c>
      <c r="I163" t="s">
        <v>2961</v>
      </c>
      <c r="J163">
        <f>VLOOKUP(F163,[1]!china_towns_second__2[[Column1]:[Y]],3,FALSE)</f>
        <v>30.0846515491729</v>
      </c>
      <c r="K163">
        <f>VLOOKUP(F163,[1]!china_towns_second__2[[Column1]:[Y]],2,FALSE)</f>
        <v>121.340221</v>
      </c>
      <c r="L163" t="s">
        <v>3801</v>
      </c>
      <c r="M163" t="str">
        <f>VLOOKUP(H163,CHOOSE({1,2},Table12[Native],Table12[Name]),2,0)</f>
        <v>Cíxī Shì</v>
      </c>
      <c r="N163" s="15" t="str">
        <f>VLOOKUP(I163,CHOOSE({1,2},Table12[Native],Table12[Name]),2,0)</f>
        <v>Níngbō Shì</v>
      </c>
      <c r="O163" s="15" t="str">
        <f t="shared" si="4"/>
        <v>Cixi Shi Linchang (Níngbō Shì)</v>
      </c>
      <c r="P163" s="15" t="str">
        <f t="shared" si="5"/>
        <v>Cixi Shi Linchang (Níngbō Shì)</v>
      </c>
    </row>
    <row r="164" spans="1:16" hidden="1" x14ac:dyDescent="0.25">
      <c r="A164" t="s">
        <v>1377</v>
      </c>
      <c r="B164" t="str">
        <f>IF(COUNTIF(A:A,A164)&gt;1,_xlfn.CONCAT(A164," (",N164,")"),A164)</f>
        <v>Cíxī Shì Nóngkĕn Chăng</v>
      </c>
      <c r="C164" t="str">
        <f>IF(COUNTIF(B:B,B164)&gt;1,_xlfn.CONCAT(A164," (",M164,")"),B164)</f>
        <v>Cíxī Shì Nóngkĕn Chăng</v>
      </c>
      <c r="D164" t="s">
        <v>1378</v>
      </c>
      <c r="E164" t="s">
        <v>253</v>
      </c>
      <c r="F164" t="str">
        <f>_xlfn.CONCAT(D164,", ",H164,", ",I164,", ","浙江省")</f>
        <v>慈溪市农垦场, 慈溪市, 宁波市, 浙江省</v>
      </c>
      <c r="G164">
        <v>667</v>
      </c>
      <c r="H164" t="s">
        <v>2963</v>
      </c>
      <c r="I164" t="s">
        <v>2961</v>
      </c>
      <c r="J164">
        <f>VLOOKUP(F164,[1]!china_towns_second__2[[Column1]:[Y]],3,FALSE)</f>
        <v>30.270901731098299</v>
      </c>
      <c r="K164">
        <f>VLOOKUP(F164,[1]!china_towns_second__2[[Column1]:[Y]],2,FALSE)</f>
        <v>121.1041488</v>
      </c>
      <c r="L164" t="s">
        <v>3802</v>
      </c>
      <c r="M164" t="str">
        <f>VLOOKUP(H164,CHOOSE({1,2},Table12[Native],Table12[Name]),2,0)</f>
        <v>Cíxī Shì</v>
      </c>
      <c r="N164" s="15" t="str">
        <f>VLOOKUP(I164,CHOOSE({1,2},Table12[Native],Table12[Name]),2,0)</f>
        <v>Níngbō Shì</v>
      </c>
      <c r="O164" s="15" t="str">
        <f t="shared" si="4"/>
        <v>Cixi Shi Nongken Chang (Níngbō Shì)</v>
      </c>
      <c r="P164" s="15" t="str">
        <f t="shared" si="5"/>
        <v>Cixi Shi Nongken Chang (Níngbō Shì)</v>
      </c>
    </row>
    <row r="165" spans="1:16" hidden="1" x14ac:dyDescent="0.25">
      <c r="A165" t="s">
        <v>64</v>
      </c>
      <c r="B165" t="str">
        <f>IF(COUNTIF(A:A,A165)&gt;1,_xlfn.CONCAT(A165," (",N165,")"),A165)</f>
        <v>Cuìyuàn Jiēdào</v>
      </c>
      <c r="C165" t="str">
        <f>IF(COUNTIF(B:B,B165)&gt;1,_xlfn.CONCAT(A165," (",M165,")"),B165)</f>
        <v>Cuìyuàn Jiēdào</v>
      </c>
      <c r="D165" t="s">
        <v>65</v>
      </c>
      <c r="E165" t="s">
        <v>15</v>
      </c>
      <c r="F165" t="str">
        <f>_xlfn.CONCAT(D165,", ",H165,", ",I165,", ","浙江省")</f>
        <v>翠苑街道, 西湖区, 杭州市, 浙江省</v>
      </c>
      <c r="G165">
        <v>86267</v>
      </c>
      <c r="H165" t="s">
        <v>2918</v>
      </c>
      <c r="I165" t="s">
        <v>2903</v>
      </c>
      <c r="J165">
        <f>VLOOKUP(F165,[1]!china_towns_second__2[[Column1]:[Y]],3,FALSE)</f>
        <v>30.284931953230299</v>
      </c>
      <c r="K165">
        <f>VLOOKUP(F165,[1]!china_towns_second__2[[Column1]:[Y]],2,FALSE)</f>
        <v>120.1225859</v>
      </c>
      <c r="L165" t="s">
        <v>3803</v>
      </c>
      <c r="M165" t="str">
        <f>VLOOKUP(H165,CHOOSE({1,2},Table12[Native],Table12[Name]),2,0)</f>
        <v>Xīhú Qū</v>
      </c>
      <c r="N165" s="15" t="str">
        <f>VLOOKUP(I165,CHOOSE({1,2},Table12[Native],Table12[Name]),2,0)</f>
        <v>Hángzhōu Shì</v>
      </c>
      <c r="O165" s="15" t="str">
        <f t="shared" si="4"/>
        <v>Cuiyuan Jiedao (Hángzhōu Shì)</v>
      </c>
      <c r="P165" s="15" t="str">
        <f t="shared" si="5"/>
        <v>Cuiyuan Jiedao (Hángzhōu Shì)</v>
      </c>
    </row>
    <row r="166" spans="1:16" hidden="1" x14ac:dyDescent="0.25">
      <c r="A166" t="s">
        <v>1658</v>
      </c>
      <c r="B166" t="str">
        <f>IF(COUNTIF(A:A,A166)&gt;1,_xlfn.CONCAT(A166," (",N166,")"),A166)</f>
        <v>Cūntóu Zhèn</v>
      </c>
      <c r="C166" t="str">
        <f>IF(COUNTIF(B:B,B166)&gt;1,_xlfn.CONCAT(A166," (",M166,")"),B166)</f>
        <v>Cūntóu Zhèn</v>
      </c>
      <c r="D166" t="s">
        <v>1659</v>
      </c>
      <c r="E166" t="s">
        <v>11</v>
      </c>
      <c r="F166" t="str">
        <f>_xlfn.CONCAT(D166,", ",H166,", ",I166,", ","浙江省")</f>
        <v>村头镇, 开化县, 衢州市, 浙江省</v>
      </c>
      <c r="G166">
        <v>9038</v>
      </c>
      <c r="H166" t="s">
        <v>2976</v>
      </c>
      <c r="I166" t="s">
        <v>2973</v>
      </c>
      <c r="J166">
        <f>VLOOKUP(F166,[1]!china_towns_second__2[[Column1]:[Y]],3,FALSE)</f>
        <v>29.2858238363293</v>
      </c>
      <c r="K166">
        <f>VLOOKUP(F166,[1]!china_towns_second__2[[Column1]:[Y]],2,FALSE)</f>
        <v>118.49067290000001</v>
      </c>
      <c r="L166" t="s">
        <v>3804</v>
      </c>
      <c r="M166" t="str">
        <f>VLOOKUP(H166,CHOOSE({1,2},Table12[Native],Table12[Name]),2,0)</f>
        <v>Kāihuà Xiàn</v>
      </c>
      <c r="N166" s="15" t="str">
        <f>VLOOKUP(I166,CHOOSE({1,2},Table12[Native],Table12[Name]),2,0)</f>
        <v>Qúzhōu Shì</v>
      </c>
      <c r="O166" s="15" t="str">
        <f t="shared" si="4"/>
        <v>Cuntou Zhen (Qúzhōu Shì)</v>
      </c>
      <c r="P166" s="15" t="str">
        <f t="shared" si="5"/>
        <v>Cuntou Zhen (Qúzhōu Shì)</v>
      </c>
    </row>
    <row r="167" spans="1:16" hidden="1" x14ac:dyDescent="0.25">
      <c r="A167" t="s">
        <v>2321</v>
      </c>
      <c r="B167" t="str">
        <f>IF(COUNTIF(A:A,A167)&gt;1,_xlfn.CONCAT(A167," (",N167,")"),A167)</f>
        <v>Dà'ān Xiāng [→ Sānkuí Zhèn]</v>
      </c>
      <c r="C167" t="str">
        <f>IF(COUNTIF(B:B,B167)&gt;1,_xlfn.CONCAT(A167," (",M167,")"),B167)</f>
        <v>Dà'ān Xiāng [→ Sānkuí Zhèn]</v>
      </c>
      <c r="D167" t="s">
        <v>2322</v>
      </c>
      <c r="E167" t="s">
        <v>7</v>
      </c>
      <c r="F167" t="str">
        <f>_xlfn.CONCAT(D167,", ",H167,", ",I167,", ","浙江省")</f>
        <v>大安乡, 泰顺县, 温州市, 浙江省</v>
      </c>
      <c r="G167">
        <v>5078</v>
      </c>
      <c r="H167" t="s">
        <v>3008</v>
      </c>
      <c r="I167" t="s">
        <v>3000</v>
      </c>
      <c r="J167" t="e">
        <f>VLOOKUP(F167,[1]!china_towns_second__2[[Column1]:[Y]],3,FALSE)</f>
        <v>#N/A</v>
      </c>
      <c r="K167" t="e">
        <f>VLOOKUP(F167,[1]!china_towns_second__2[[Column1]:[Y]],2,FALSE)</f>
        <v>#N/A</v>
      </c>
      <c r="L167" t="s">
        <v>3805</v>
      </c>
      <c r="M167" t="str">
        <f>VLOOKUP(H167,CHOOSE({1,2},Table12[Native],Table12[Name]),2,0)</f>
        <v>Tàishùn Xiàn</v>
      </c>
      <c r="N167" s="15" t="str">
        <f>VLOOKUP(I167,CHOOSE({1,2},Table12[Native],Table12[Name]),2,0)</f>
        <v>Wēnzhōu Shì</v>
      </c>
      <c r="O167" s="15" t="str">
        <f t="shared" si="4"/>
        <v>Da'an Xiang [→ Sankui Zhen] (Wēnzhōu Shì)</v>
      </c>
      <c r="P167" s="15" t="str">
        <f t="shared" si="5"/>
        <v>Da'an Xiang [→ Sankui Zhen] (Wēnzhōu Shì)</v>
      </c>
    </row>
    <row r="168" spans="1:16" hidden="1" x14ac:dyDescent="0.25">
      <c r="A168" t="s">
        <v>2323</v>
      </c>
      <c r="B168" t="str">
        <f>IF(COUNTIF(A:A,A168)&gt;1,_xlfn.CONCAT(A168," (",N168,")"),A168)</f>
        <v>Dà'ào Xiāng</v>
      </c>
      <c r="C168" t="str">
        <f>IF(COUNTIF(B:B,B168)&gt;1,_xlfn.CONCAT(A168," (",M168,")"),B168)</f>
        <v>Dà'ào Xiāng</v>
      </c>
      <c r="D168" t="s">
        <v>2324</v>
      </c>
      <c r="E168" t="s">
        <v>7</v>
      </c>
      <c r="F168" t="str">
        <f>_xlfn.CONCAT(D168,", ",H168,", ",I168,", ","浙江省")</f>
        <v>大岙乡, 永嘉县, 温州市, 浙江省</v>
      </c>
      <c r="G168">
        <v>2443</v>
      </c>
      <c r="H168" t="s">
        <v>3010</v>
      </c>
      <c r="I168" t="s">
        <v>3000</v>
      </c>
      <c r="J168" t="e">
        <f>VLOOKUP(F168,[1]!china_towns_second__2[[Column1]:[Y]],3,FALSE)</f>
        <v>#N/A</v>
      </c>
      <c r="K168" t="e">
        <f>VLOOKUP(F168,[1]!china_towns_second__2[[Column1]:[Y]],2,FALSE)</f>
        <v>#N/A</v>
      </c>
      <c r="L168" t="s">
        <v>3806</v>
      </c>
      <c r="M168" t="str">
        <f>VLOOKUP(H168,CHOOSE({1,2},Table12[Native],Table12[Name]),2,0)</f>
        <v>Yŏngjiā Xiàn</v>
      </c>
      <c r="N168" s="15" t="str">
        <f>VLOOKUP(I168,CHOOSE({1,2},Table12[Native],Table12[Name]),2,0)</f>
        <v>Wēnzhōu Shì</v>
      </c>
      <c r="O168" s="15" t="str">
        <f t="shared" si="4"/>
        <v>Da'ao Xiang (Wēnzhōu Shì)</v>
      </c>
      <c r="P168" s="15" t="str">
        <f t="shared" si="5"/>
        <v>Da'ao Xiang (Wēnzhōu Shì)</v>
      </c>
    </row>
    <row r="169" spans="1:16" hidden="1" x14ac:dyDescent="0.25">
      <c r="A169" t="s">
        <v>1660</v>
      </c>
      <c r="B169" t="str">
        <f>IF(COUNTIF(A:A,A169)&gt;1,_xlfn.CONCAT(A169," (",N169,")"),A169)</f>
        <v>Dàchén Xiāng</v>
      </c>
      <c r="C169" t="str">
        <f>IF(COUNTIF(B:B,B169)&gt;1,_xlfn.CONCAT(A169," (",M169,")"),B169)</f>
        <v>Dàchén Xiāng</v>
      </c>
      <c r="D169" t="s">
        <v>1661</v>
      </c>
      <c r="E169" t="s">
        <v>7</v>
      </c>
      <c r="F169" t="str">
        <f>_xlfn.CONCAT(D169,", ",H169,", ",I169,", ","浙江省")</f>
        <v>大陈乡, 江山市, 衢州市, 浙江省</v>
      </c>
      <c r="G169">
        <v>4580</v>
      </c>
      <c r="H169" t="s">
        <v>2975</v>
      </c>
      <c r="I169" t="s">
        <v>2973</v>
      </c>
      <c r="J169" t="e">
        <f>VLOOKUP(F169,[1]!china_towns_second__2[[Column1]:[Y]],3,FALSE)</f>
        <v>#N/A</v>
      </c>
      <c r="K169" t="e">
        <f>VLOOKUP(F169,[1]!china_towns_second__2[[Column1]:[Y]],2,FALSE)</f>
        <v>#N/A</v>
      </c>
      <c r="L169" t="s">
        <v>3807</v>
      </c>
      <c r="M169" t="str">
        <f>VLOOKUP(H169,CHOOSE({1,2},Table12[Native],Table12[Name]),2,0)</f>
        <v>Jiāngshān Shì</v>
      </c>
      <c r="N169" s="15" t="str">
        <f>VLOOKUP(I169,CHOOSE({1,2},Table12[Native],Table12[Name]),2,0)</f>
        <v>Qúzhōu Shì</v>
      </c>
      <c r="O169" s="15" t="str">
        <f t="shared" si="4"/>
        <v>Dachen Xiang (Qúzhōu Shì)</v>
      </c>
      <c r="P169" s="15" t="str">
        <f t="shared" si="5"/>
        <v>Dachen Xiang (Qúzhōu Shì)</v>
      </c>
    </row>
    <row r="170" spans="1:16" hidden="1" x14ac:dyDescent="0.25">
      <c r="A170" t="s">
        <v>748</v>
      </c>
      <c r="B170" t="str">
        <f>IF(COUNTIF(A:A,A170)&gt;1,_xlfn.CONCAT(A170," (",N170,")"),A170)</f>
        <v>Dàchén Zhèn (Jīnhuá Shì)</v>
      </c>
      <c r="C170" t="str">
        <f>IF(COUNTIF(B:B,B170)&gt;1,_xlfn.CONCAT(A170," (",M170,")"),B170)</f>
        <v>Dàchén Zhèn (Jīnhuá Shì)</v>
      </c>
      <c r="D170" t="s">
        <v>749</v>
      </c>
      <c r="E170" t="s">
        <v>11</v>
      </c>
      <c r="F170" t="str">
        <f>_xlfn.CONCAT(D170,", ",H170,", ",I170,", ","浙江省")</f>
        <v>大陈镇, 义乌市, 金华市, 浙江省</v>
      </c>
      <c r="G170">
        <v>49696</v>
      </c>
      <c r="H170" t="s">
        <v>2946</v>
      </c>
      <c r="I170" t="s">
        <v>2938</v>
      </c>
      <c r="J170">
        <f>VLOOKUP(F170,[1]!china_towns_second__2[[Column1]:[Y]],3,FALSE)</f>
        <v>29.4832192864428</v>
      </c>
      <c r="K170">
        <f>VLOOKUP(F170,[1]!china_towns_second__2[[Column1]:[Y]],2,FALSE)</f>
        <v>120.1746405</v>
      </c>
      <c r="L170" t="s">
        <v>3808</v>
      </c>
      <c r="M170" t="str">
        <f>VLOOKUP(H170,CHOOSE({1,2},Table12[Native],Table12[Name]),2,0)</f>
        <v>Yìwū Shì</v>
      </c>
      <c r="N170" s="15" t="str">
        <f>VLOOKUP(I170,CHOOSE({1,2},Table12[Native],Table12[Name]),2,0)</f>
        <v>Jīnhuá Shì</v>
      </c>
      <c r="O170" s="15" t="str">
        <f t="shared" si="4"/>
        <v>Dachen Zhen (Jinhua Shi) (Jīnhuá Shì)</v>
      </c>
      <c r="P170" s="15" t="str">
        <f t="shared" si="5"/>
        <v>Dachen Zhen (Jinhua Shi) (Jīnhuá Shì)</v>
      </c>
    </row>
    <row r="171" spans="1:16" hidden="1" x14ac:dyDescent="0.25">
      <c r="A171" t="s">
        <v>748</v>
      </c>
      <c r="B171" t="str">
        <f>IF(COUNTIF(A:A,A171)&gt;1,_xlfn.CONCAT(A171," (",N171,")"),A171)</f>
        <v>Dàchén Zhèn (Táizhōu Shì)</v>
      </c>
      <c r="C171" t="str">
        <f>IF(COUNTIF(B:B,B171)&gt;1,_xlfn.CONCAT(A171," (",M171,")"),B171)</f>
        <v>Dàchén Zhèn (Táizhōu Shì)</v>
      </c>
      <c r="D171" t="s">
        <v>749</v>
      </c>
      <c r="E171" t="s">
        <v>11</v>
      </c>
      <c r="F171" t="str">
        <f>_xlfn.CONCAT(D171,", ",H171,", ",I171,", ","浙江省")</f>
        <v>大陈镇, 椒江区, 台州市, 浙江省</v>
      </c>
      <c r="G171">
        <v>2227</v>
      </c>
      <c r="H171" t="s">
        <v>2991</v>
      </c>
      <c r="I171" t="s">
        <v>2989</v>
      </c>
      <c r="J171">
        <f>VLOOKUP(F171,[1]!china_towns_second__2[[Column1]:[Y]],3,FALSE)</f>
        <v>28.533939569015399</v>
      </c>
      <c r="K171">
        <f>VLOOKUP(F171,[1]!china_towns_second__2[[Column1]:[Y]],2,FALSE)</f>
        <v>121.79249729999999</v>
      </c>
      <c r="L171" t="s">
        <v>3809</v>
      </c>
      <c r="M171" t="str">
        <f>VLOOKUP(H171,CHOOSE({1,2},Table12[Native],Table12[Name]),2,0)</f>
        <v>Jiāojiāng Qū</v>
      </c>
      <c r="N171" s="15" t="str">
        <f>VLOOKUP(I171,CHOOSE({1,2},Table12[Native],Table12[Name]),2,0)</f>
        <v>Táizhōu Shì</v>
      </c>
      <c r="O171" s="15" t="str">
        <f t="shared" si="4"/>
        <v>Dachen Zhen (Taizhou Shi) (Táizhōu Shì)</v>
      </c>
      <c r="P171" s="15" t="str">
        <f t="shared" si="5"/>
        <v>Dachen Zhen (Taizhou Shi) (Táizhōu Shì)</v>
      </c>
    </row>
    <row r="172" spans="1:16" hidden="1" x14ac:dyDescent="0.25">
      <c r="A172" t="s">
        <v>66</v>
      </c>
      <c r="B172" t="str">
        <f>IF(COUNTIF(A:A,A172)&gt;1,_xlfn.CONCAT(A172," (",N172,")"),A172)</f>
        <v>Dàcíyán Zhèn</v>
      </c>
      <c r="C172" t="str">
        <f>IF(COUNTIF(B:B,B172)&gt;1,_xlfn.CONCAT(A172," (",M172,")"),B172)</f>
        <v>Dàcíyán Zhèn</v>
      </c>
      <c r="D172" t="s">
        <v>67</v>
      </c>
      <c r="E172" t="s">
        <v>11</v>
      </c>
      <c r="F172" t="str">
        <f>_xlfn.CONCAT(D172,", ",H172,", ",I172,", ","浙江省")</f>
        <v>大慈岩镇, 建德市, 杭州市, 浙江省</v>
      </c>
      <c r="G172">
        <v>13583</v>
      </c>
      <c r="H172" t="s">
        <v>2910</v>
      </c>
      <c r="I172" t="s">
        <v>2903</v>
      </c>
      <c r="J172">
        <f>VLOOKUP(F172,[1]!china_towns_second__2[[Column1]:[Y]],3,FALSE)</f>
        <v>29.317912966399501</v>
      </c>
      <c r="K172">
        <f>VLOOKUP(F172,[1]!china_towns_second__2[[Column1]:[Y]],2,FALSE)</f>
        <v>119.28945179999999</v>
      </c>
      <c r="L172" t="s">
        <v>3810</v>
      </c>
      <c r="M172" t="str">
        <f>VLOOKUP(H172,CHOOSE({1,2},Table12[Native],Table12[Name]),2,0)</f>
        <v>Jiàndé Shì</v>
      </c>
      <c r="N172" s="15" t="str">
        <f>VLOOKUP(I172,CHOOSE({1,2},Table12[Native],Table12[Name]),2,0)</f>
        <v>Hángzhōu Shì</v>
      </c>
      <c r="O172" s="15" t="str">
        <f t="shared" si="4"/>
        <v>Daciyan Zhen (Hángzhōu Shì)</v>
      </c>
      <c r="P172" s="15" t="str">
        <f t="shared" si="5"/>
        <v>Daciyan Zhen (Hángzhōu Shì)</v>
      </c>
    </row>
    <row r="173" spans="1:16" hidden="1" x14ac:dyDescent="0.25">
      <c r="A173" t="s">
        <v>1047</v>
      </c>
      <c r="B173" t="str">
        <f>IF(COUNTIF(A:A,A173)&gt;1,_xlfn.CONCAT(A173," (",N173,")"),A173)</f>
        <v>Dàdì Xiāng</v>
      </c>
      <c r="C173" t="str">
        <f>IF(COUNTIF(B:B,B173)&gt;1,_xlfn.CONCAT(A173," (",M173,")"),B173)</f>
        <v>Dàdì Xiāng</v>
      </c>
      <c r="D173" t="s">
        <v>1048</v>
      </c>
      <c r="E173" t="s">
        <v>7</v>
      </c>
      <c r="F173" t="str">
        <f>_xlfn.CONCAT(D173,", ",H173,", ",I173,", ","浙江省")</f>
        <v>大地乡, 景宁畲族自治县, 丽水市, 浙江省</v>
      </c>
      <c r="G173">
        <v>1905</v>
      </c>
      <c r="H173" t="s">
        <v>2951</v>
      </c>
      <c r="I173" t="s">
        <v>2949</v>
      </c>
      <c r="J173" t="e">
        <f>VLOOKUP(F173,[1]!china_towns_second__2[[Column1]:[Y]],3,FALSE)</f>
        <v>#N/A</v>
      </c>
      <c r="K173" t="e">
        <f>VLOOKUP(F173,[1]!china_towns_second__2[[Column1]:[Y]],2,FALSE)</f>
        <v>#N/A</v>
      </c>
      <c r="L173" t="s">
        <v>3811</v>
      </c>
      <c r="M173" t="str">
        <f>VLOOKUP(H173,CHOOSE({1,2},Table12[Native],Table12[Name]),2,0)</f>
        <v>Jĭngníng Shēzú Zìzhìxiàn</v>
      </c>
      <c r="N173" s="15" t="str">
        <f>VLOOKUP(I173,CHOOSE({1,2},Table12[Native],Table12[Name]),2,0)</f>
        <v>Lìshuĭ Shì</v>
      </c>
      <c r="O173" s="15" t="str">
        <f t="shared" si="4"/>
        <v>Dadi Xiang (Lìshuĭ Shì)</v>
      </c>
      <c r="P173" s="15" t="str">
        <f t="shared" si="5"/>
        <v>Dadi Xiang (Lìshuĭ Shì)</v>
      </c>
    </row>
    <row r="174" spans="1:16" hidden="1" x14ac:dyDescent="0.25">
      <c r="A174" t="s">
        <v>1049</v>
      </c>
      <c r="B174" t="str">
        <f>IF(COUNTIF(A:A,A174)&gt;1,_xlfn.CONCAT(A174," (",N174,")"),A174)</f>
        <v>Dàdōngbà Zhèn</v>
      </c>
      <c r="C174" t="str">
        <f>IF(COUNTIF(B:B,B174)&gt;1,_xlfn.CONCAT(A174," (",M174,")"),B174)</f>
        <v>Dàdōngbà Zhèn</v>
      </c>
      <c r="D174" t="s">
        <v>1050</v>
      </c>
      <c r="E174" t="s">
        <v>11</v>
      </c>
      <c r="F174" t="str">
        <f>_xlfn.CONCAT(D174,", ",H174,", ",I174,", ","浙江省")</f>
        <v>大东坝镇, 松阳县, 丽水市, 浙江省</v>
      </c>
      <c r="G174">
        <v>9961</v>
      </c>
      <c r="H174" t="s">
        <v>2957</v>
      </c>
      <c r="I174" t="s">
        <v>2949</v>
      </c>
      <c r="J174">
        <f>VLOOKUP(F174,[1]!china_towns_second__2[[Column1]:[Y]],3,FALSE)</f>
        <v>28.318087082639401</v>
      </c>
      <c r="K174">
        <f>VLOOKUP(F174,[1]!china_towns_second__2[[Column1]:[Y]],2,FALSE)</f>
        <v>119.4575885</v>
      </c>
      <c r="L174" t="s">
        <v>3812</v>
      </c>
      <c r="M174" t="str">
        <f>VLOOKUP(H174,CHOOSE({1,2},Table12[Native],Table12[Name]),2,0)</f>
        <v>Sōngyáng Xiàn</v>
      </c>
      <c r="N174" s="15" t="str">
        <f>VLOOKUP(I174,CHOOSE({1,2},Table12[Native],Table12[Name]),2,0)</f>
        <v>Lìshuĭ Shì</v>
      </c>
      <c r="O174" s="15" t="str">
        <f t="shared" si="4"/>
        <v>Dadongba Zhen (Lìshuĭ Shì)</v>
      </c>
      <c r="P174" s="15" t="str">
        <f t="shared" si="5"/>
        <v>Dadongba Zhen (Lìshuĭ Shì)</v>
      </c>
    </row>
    <row r="175" spans="1:16" hidden="1" x14ac:dyDescent="0.25">
      <c r="A175" t="s">
        <v>750</v>
      </c>
      <c r="B175" t="str">
        <f>IF(COUNTIF(A:A,A175)&gt;1,_xlfn.CONCAT(A175," (",N175,")"),A175)</f>
        <v>Dàfàn Xiāng</v>
      </c>
      <c r="C175" t="str">
        <f>IF(COUNTIF(B:B,B175)&gt;1,_xlfn.CONCAT(A175," (",M175,")"),B175)</f>
        <v>Dàfàn Xiāng</v>
      </c>
      <c r="D175" t="s">
        <v>751</v>
      </c>
      <c r="E175" t="s">
        <v>7</v>
      </c>
      <c r="F175" t="str">
        <f>_xlfn.CONCAT(D175,", ",H175,", ",I175,", ","浙江省")</f>
        <v>大畈乡, 浦江县, 金华市, 浙江省</v>
      </c>
      <c r="G175">
        <v>6897</v>
      </c>
      <c r="H175" t="s">
        <v>2943</v>
      </c>
      <c r="I175" t="s">
        <v>2938</v>
      </c>
      <c r="J175" t="e">
        <f>VLOOKUP(F175,[1]!china_towns_second__2[[Column1]:[Y]],3,FALSE)</f>
        <v>#N/A</v>
      </c>
      <c r="K175" t="e">
        <f>VLOOKUP(F175,[1]!china_towns_second__2[[Column1]:[Y]],2,FALSE)</f>
        <v>#N/A</v>
      </c>
      <c r="L175" t="s">
        <v>3813</v>
      </c>
      <c r="M175" t="str">
        <f>VLOOKUP(H175,CHOOSE({1,2},Table12[Native],Table12[Name]),2,0)</f>
        <v>Pŭjiāng Xiàn</v>
      </c>
      <c r="N175" s="15" t="str">
        <f>VLOOKUP(I175,CHOOSE({1,2},Table12[Native],Table12[Name]),2,0)</f>
        <v>Jīnhuá Shì</v>
      </c>
      <c r="O175" s="15" t="str">
        <f t="shared" si="4"/>
        <v>Dafan Xiang (Jīnhuá Shì)</v>
      </c>
      <c r="P175" s="15" t="str">
        <f t="shared" si="5"/>
        <v>Dafan Xiang (Jīnhuá Shì)</v>
      </c>
    </row>
    <row r="176" spans="1:16" hidden="1" x14ac:dyDescent="0.25">
      <c r="A176" t="s">
        <v>1051</v>
      </c>
      <c r="B176" t="str">
        <f>IF(COUNTIF(A:A,A176)&gt;1,_xlfn.CONCAT(A176," (",N176,")"),A176)</f>
        <v>Dàgăngtóu Zhèn</v>
      </c>
      <c r="C176" t="str">
        <f>IF(COUNTIF(B:B,B176)&gt;1,_xlfn.CONCAT(A176," (",M176,")"),B176)</f>
        <v>Dàgăngtóu Zhèn</v>
      </c>
      <c r="D176" t="s">
        <v>1052</v>
      </c>
      <c r="E176" t="s">
        <v>11</v>
      </c>
      <c r="F176" t="str">
        <f>_xlfn.CONCAT(D176,", ",H176,", ",I176,", ","浙江省")</f>
        <v>大港头镇, 莲都区, 丽水市, 浙江省</v>
      </c>
      <c r="G176">
        <v>8541</v>
      </c>
      <c r="H176" t="s">
        <v>2953</v>
      </c>
      <c r="I176" t="s">
        <v>2949</v>
      </c>
      <c r="J176">
        <f>VLOOKUP(F176,[1]!china_towns_second__2[[Column1]:[Y]],3,FALSE)</f>
        <v>28.274941621351399</v>
      </c>
      <c r="K176">
        <f>VLOOKUP(F176,[1]!china_towns_second__2[[Column1]:[Y]],2,FALSE)</f>
        <v>119.73935830000001</v>
      </c>
      <c r="L176" t="s">
        <v>3814</v>
      </c>
      <c r="M176" t="str">
        <f>VLOOKUP(H176,CHOOSE({1,2},Table12[Native],Table12[Name]),2,0)</f>
        <v>Liándū Qū</v>
      </c>
      <c r="N176" s="15" t="str">
        <f>VLOOKUP(I176,CHOOSE({1,2},Table12[Native],Table12[Name]),2,0)</f>
        <v>Lìshuĭ Shì</v>
      </c>
      <c r="O176" s="15" t="str">
        <f t="shared" si="4"/>
        <v>Dagangtou Zhen (Lìshuĭ Shì)</v>
      </c>
      <c r="P176" s="15" t="str">
        <f t="shared" si="5"/>
        <v>Dagangtou Zhen (Lìshuĭ Shì)</v>
      </c>
    </row>
    <row r="177" spans="1:16" hidden="1" x14ac:dyDescent="0.25">
      <c r="A177" t="s">
        <v>69</v>
      </c>
      <c r="B177" t="str">
        <f>IF(COUNTIF(A:A,A177)&gt;1,_xlfn.CONCAT(A177," (",N177,")"),A177)</f>
        <v>Dàguān Jiēdào</v>
      </c>
      <c r="C177" t="str">
        <f>IF(COUNTIF(B:B,B177)&gt;1,_xlfn.CONCAT(A177," (",M177,")"),B177)</f>
        <v>Dàguān Jiēdào</v>
      </c>
      <c r="D177" t="s">
        <v>70</v>
      </c>
      <c r="E177" t="s">
        <v>15</v>
      </c>
      <c r="F177" t="str">
        <f>_xlfn.CONCAT(D177,", ",H177,", ",I177,", ","浙江省")</f>
        <v>大关街道, 拱墅区, 杭州市, 浙江省</v>
      </c>
      <c r="G177">
        <v>51933</v>
      </c>
      <c r="H177" t="s">
        <v>2909</v>
      </c>
      <c r="I177" t="s">
        <v>2903</v>
      </c>
      <c r="J177">
        <f>VLOOKUP(F177,[1]!china_towns_second__2[[Column1]:[Y]],3,FALSE)</f>
        <v>30.304377880797901</v>
      </c>
      <c r="K177">
        <f>VLOOKUP(F177,[1]!china_towns_second__2[[Column1]:[Y]],2,FALSE)</f>
        <v>120.1532852</v>
      </c>
      <c r="L177" t="s">
        <v>3815</v>
      </c>
      <c r="M177" t="str">
        <f>VLOOKUP(H177,CHOOSE({1,2},Table12[Native],Table12[Name]),2,0)</f>
        <v>Gŏngshù Qū</v>
      </c>
      <c r="N177" s="15" t="str">
        <f>VLOOKUP(I177,CHOOSE({1,2},Table12[Native],Table12[Name]),2,0)</f>
        <v>Hángzhōu Shì</v>
      </c>
      <c r="O177" s="15" t="str">
        <f t="shared" si="4"/>
        <v>Daguan Jiedao (Hángzhōu Shì)</v>
      </c>
      <c r="P177" s="15" t="str">
        <f t="shared" si="5"/>
        <v>Daguan Jiedao (Hángzhōu Shì)</v>
      </c>
    </row>
    <row r="178" spans="1:16" hidden="1" x14ac:dyDescent="0.25">
      <c r="A178" t="s">
        <v>71</v>
      </c>
      <c r="B178" t="str">
        <f>IF(COUNTIF(A:A,A178)&gt;1,_xlfn.CONCAT(A178," (",N178,")"),A178)</f>
        <v>Dàicūn Zhèn</v>
      </c>
      <c r="C178" t="str">
        <f>IF(COUNTIF(B:B,B178)&gt;1,_xlfn.CONCAT(A178," (",M178,")"),B178)</f>
        <v>Dàicūn Zhèn</v>
      </c>
      <c r="D178" t="s">
        <v>72</v>
      </c>
      <c r="E178" t="s">
        <v>11</v>
      </c>
      <c r="F178" t="str">
        <f>_xlfn.CONCAT(D178,", ",H178,", ",I178,", ","浙江省")</f>
        <v>戴村镇, 萧山区, 杭州市, 浙江省</v>
      </c>
      <c r="G178">
        <v>38902</v>
      </c>
      <c r="H178" t="s">
        <v>2917</v>
      </c>
      <c r="I178" t="s">
        <v>2903</v>
      </c>
      <c r="J178">
        <f>VLOOKUP(F178,[1]!china_towns_second__2[[Column1]:[Y]],3,FALSE)</f>
        <v>30.0005187541548</v>
      </c>
      <c r="K178">
        <f>VLOOKUP(F178,[1]!china_towns_second__2[[Column1]:[Y]],2,FALSE)</f>
        <v>120.1580946</v>
      </c>
      <c r="L178" t="s">
        <v>3816</v>
      </c>
      <c r="M178" t="str">
        <f>VLOOKUP(H178,CHOOSE({1,2},Table12[Native],Table12[Name]),2,0)</f>
        <v>Xiāoshān Qū</v>
      </c>
      <c r="N178" s="15" t="str">
        <f>VLOOKUP(I178,CHOOSE({1,2},Table12[Native],Table12[Name]),2,0)</f>
        <v>Hángzhōu Shì</v>
      </c>
      <c r="O178" s="15" t="str">
        <f t="shared" si="4"/>
        <v>Daicun Zhen (Hángzhōu Shì)</v>
      </c>
      <c r="P178" s="15" t="str">
        <f t="shared" si="5"/>
        <v>Daicun Zhen (Hángzhōu Shì)</v>
      </c>
    </row>
    <row r="179" spans="1:16" hidden="1" x14ac:dyDescent="0.25">
      <c r="A179" t="s">
        <v>2843</v>
      </c>
      <c r="B179" t="str">
        <f>IF(COUNTIF(A:A,A179)&gt;1,_xlfn.CONCAT(A179," (",N179,")"),A179)</f>
        <v>Dàidōng Zhèn</v>
      </c>
      <c r="C179" t="str">
        <f>IF(COUNTIF(B:B,B179)&gt;1,_xlfn.CONCAT(A179," (",M179,")"),B179)</f>
        <v>Dàidōng Zhèn</v>
      </c>
      <c r="D179" t="s">
        <v>2844</v>
      </c>
      <c r="E179" t="s">
        <v>11</v>
      </c>
      <c r="F179" t="str">
        <f>_xlfn.CONCAT(D179,", ",H179,", ",I179,", ","浙江省")</f>
        <v>岱东镇, 岱山县, 舟山市, 浙江省</v>
      </c>
      <c r="G179">
        <v>8468</v>
      </c>
      <c r="H179" t="s">
        <v>3014</v>
      </c>
      <c r="I179" t="s">
        <v>3013</v>
      </c>
      <c r="J179">
        <f>VLOOKUP(F179,[1]!china_towns_second__2[[Column1]:[Y]],3,FALSE)</f>
        <v>30.301791733901801</v>
      </c>
      <c r="K179">
        <f>VLOOKUP(F179,[1]!china_towns_second__2[[Column1]:[Y]],2,FALSE)</f>
        <v>122.2041935</v>
      </c>
      <c r="L179" t="s">
        <v>3817</v>
      </c>
      <c r="M179" t="str">
        <f>VLOOKUP(H179,CHOOSE({1,2},Table12[Native],Table12[Name]),2,0)</f>
        <v>Dàishān Xiàn</v>
      </c>
      <c r="N179" s="15" t="str">
        <f>VLOOKUP(I179,CHOOSE({1,2},Table12[Native],Table12[Name]),2,0)</f>
        <v>Zhōushān Shì</v>
      </c>
      <c r="O179" s="15" t="str">
        <f t="shared" si="4"/>
        <v>Daidong Zhen (Zhōushān Shì)</v>
      </c>
      <c r="P179" s="15" t="str">
        <f t="shared" si="5"/>
        <v>Daidong Zhen (Zhōushān Shì)</v>
      </c>
    </row>
    <row r="180" spans="1:16" hidden="1" x14ac:dyDescent="0.25">
      <c r="A180" t="s">
        <v>2325</v>
      </c>
      <c r="B180" t="str">
        <f>IF(COUNTIF(A:A,A180)&gt;1,_xlfn.CONCAT(A180," (",N180,")"),A180)</f>
        <v>Dàilĭng Shēzú Xiāng</v>
      </c>
      <c r="C180" t="str">
        <f>IF(COUNTIF(B:B,B180)&gt;1,_xlfn.CONCAT(A180," (",M180,")"),B180)</f>
        <v>Dàilĭng Shēzú Xiāng</v>
      </c>
      <c r="D180" t="s">
        <v>2326</v>
      </c>
      <c r="E180" t="s">
        <v>7</v>
      </c>
      <c r="F180" t="str">
        <f>_xlfn.CONCAT(D180,", ",H180,", ",I180,", ","浙江省")</f>
        <v>岱岭畲族乡, 苍南县, 温州市, 浙江省</v>
      </c>
      <c r="G180">
        <v>3283</v>
      </c>
      <c r="H180" t="s">
        <v>3001</v>
      </c>
      <c r="I180" t="s">
        <v>3000</v>
      </c>
      <c r="J180" t="e">
        <f>VLOOKUP(F180,[1]!china_towns_second__2[[Column1]:[Y]],3,FALSE)</f>
        <v>#N/A</v>
      </c>
      <c r="K180" t="e">
        <f>VLOOKUP(F180,[1]!china_towns_second__2[[Column1]:[Y]],2,FALSE)</f>
        <v>#N/A</v>
      </c>
      <c r="L180" t="s">
        <v>3818</v>
      </c>
      <c r="M180" t="str">
        <f>VLOOKUP(H180,CHOOSE({1,2},Table12[Native],Table12[Name]),2,0)</f>
        <v>Cāngnán Xiàn</v>
      </c>
      <c r="N180" s="15" t="str">
        <f>VLOOKUP(I180,CHOOSE({1,2},Table12[Native],Table12[Name]),2,0)</f>
        <v>Wēnzhōu Shì</v>
      </c>
      <c r="O180" s="15" t="str">
        <f t="shared" si="4"/>
        <v>Dailing Shezu Xiang (Wēnzhōu Shì)</v>
      </c>
      <c r="P180" s="15" t="str">
        <f t="shared" si="5"/>
        <v>Dailing Shezu Xiang (Wēnzhōu Shì)</v>
      </c>
    </row>
    <row r="181" spans="1:16" hidden="1" x14ac:dyDescent="0.25">
      <c r="A181" t="s">
        <v>432</v>
      </c>
      <c r="B181" t="str">
        <f>IF(COUNTIF(A:A,A181)&gt;1,_xlfn.CONCAT(A181," (",N181,")"),A181)</f>
        <v>Dàixī Zhèn (Húzhōu Shì)</v>
      </c>
      <c r="C181" t="str">
        <f>IF(COUNTIF(B:B,B181)&gt;1,_xlfn.CONCAT(A181," (",M181,")"),B181)</f>
        <v>Dàixī Zhèn (Húzhōu Shì)</v>
      </c>
      <c r="D181" t="s">
        <v>433</v>
      </c>
      <c r="E181" t="s">
        <v>11</v>
      </c>
      <c r="F181" t="str">
        <f>_xlfn.CONCAT(D181,", ",H181,", ",I181,", ","浙江省")</f>
        <v>埭溪镇, 吴兴区, 湖州市, 浙江省</v>
      </c>
      <c r="G181">
        <v>34047</v>
      </c>
      <c r="H181" t="s">
        <v>2927</v>
      </c>
      <c r="I181" t="s">
        <v>2922</v>
      </c>
      <c r="J181">
        <f>VLOOKUP(F181,[1]!china_towns_second__2[[Column1]:[Y]],3,FALSE)</f>
        <v>30.676481456177498</v>
      </c>
      <c r="K181">
        <f>VLOOKUP(F181,[1]!china_towns_second__2[[Column1]:[Y]],2,FALSE)</f>
        <v>119.96314580000001</v>
      </c>
      <c r="L181" t="s">
        <v>3819</v>
      </c>
      <c r="M181" t="str">
        <f>VLOOKUP(H181,CHOOSE({1,2},Table12[Native],Table12[Name]),2,0)</f>
        <v>Wúxīng Qū</v>
      </c>
      <c r="N181" s="15" t="str">
        <f>VLOOKUP(I181,CHOOSE({1,2},Table12[Native],Table12[Name]),2,0)</f>
        <v>Húzhōu Shì</v>
      </c>
      <c r="O181" s="15" t="str">
        <f t="shared" si="4"/>
        <v>Daixi Zhen (Huzhou Shi) (Húzhōu Shì)</v>
      </c>
      <c r="P181" s="15" t="str">
        <f t="shared" si="5"/>
        <v>Daixi Zhen (Huzhou Shi) (Húzhōu Shì)</v>
      </c>
    </row>
    <row r="182" spans="1:16" hidden="1" x14ac:dyDescent="0.25">
      <c r="A182" t="s">
        <v>432</v>
      </c>
      <c r="B182" t="str">
        <f>IF(COUNTIF(A:A,A182)&gt;1,_xlfn.CONCAT(A182," (",N182,")"),A182)</f>
        <v>Dàixī Zhèn (Zhōushān Shì)</v>
      </c>
      <c r="C182" t="str">
        <f>IF(COUNTIF(B:B,B182)&gt;1,_xlfn.CONCAT(A182," (",M182,")"),B182)</f>
        <v>Dàixī Zhèn (Zhōushān Shì)</v>
      </c>
      <c r="D182" t="s">
        <v>2845</v>
      </c>
      <c r="E182" t="s">
        <v>11</v>
      </c>
      <c r="F182" t="str">
        <f>_xlfn.CONCAT(D182,", ",H182,", ",I182,", ","浙江省")</f>
        <v>岱西镇, 岱山县, 舟山市, 浙江省</v>
      </c>
      <c r="G182">
        <v>12138</v>
      </c>
      <c r="H182" t="s">
        <v>3014</v>
      </c>
      <c r="I182" t="s">
        <v>3013</v>
      </c>
      <c r="J182">
        <f>VLOOKUP(F182,[1]!china_towns_second__2[[Column1]:[Y]],3,FALSE)</f>
        <v>30.2918359558129</v>
      </c>
      <c r="K182">
        <f>VLOOKUP(F182,[1]!china_towns_second__2[[Column1]:[Y]],2,FALSE)</f>
        <v>122.1078504</v>
      </c>
      <c r="L182" t="s">
        <v>3820</v>
      </c>
      <c r="M182" t="str">
        <f>VLOOKUP(H182,CHOOSE({1,2},Table12[Native],Table12[Name]),2,0)</f>
        <v>Dàishān Xiàn</v>
      </c>
      <c r="N182" s="15" t="str">
        <f>VLOOKUP(I182,CHOOSE({1,2},Table12[Native],Table12[Name]),2,0)</f>
        <v>Zhōushān Shì</v>
      </c>
      <c r="O182" s="15" t="str">
        <f t="shared" si="4"/>
        <v>Daixi Zhen (Zhoushan Shi) (Zhōushān Shì)</v>
      </c>
      <c r="P182" s="15" t="str">
        <f t="shared" si="5"/>
        <v>Daixi Zhen (Zhoushan Shi) (Zhōushān Shì)</v>
      </c>
    </row>
    <row r="183" spans="1:16" hidden="1" x14ac:dyDescent="0.25">
      <c r="A183" t="s">
        <v>1053</v>
      </c>
      <c r="B183" t="str">
        <f>IF(COUNTIF(A:A,A183)&gt;1,_xlfn.CONCAT(A183," (",N183,")"),A183)</f>
        <v>Dàjì Xiāng</v>
      </c>
      <c r="C183" t="str">
        <f>IF(COUNTIF(B:B,B183)&gt;1,_xlfn.CONCAT(A183," (",M183,")"),B183)</f>
        <v>Dàjì Xiāng</v>
      </c>
      <c r="D183" t="s">
        <v>1054</v>
      </c>
      <c r="E183" t="s">
        <v>7</v>
      </c>
      <c r="F183" t="str">
        <f>_xlfn.CONCAT(D183,", ",H183,", ",I183,", ","浙江省")</f>
        <v>大漈乡, 景宁畲族自治县, 丽水市, 浙江省</v>
      </c>
      <c r="G183">
        <v>2129</v>
      </c>
      <c r="H183" t="s">
        <v>2951</v>
      </c>
      <c r="I183" t="s">
        <v>2949</v>
      </c>
      <c r="J183" t="e">
        <f>VLOOKUP(F183,[1]!china_towns_second__2[[Column1]:[Y]],3,FALSE)</f>
        <v>#N/A</v>
      </c>
      <c r="K183" t="e">
        <f>VLOOKUP(F183,[1]!china_towns_second__2[[Column1]:[Y]],2,FALSE)</f>
        <v>#N/A</v>
      </c>
      <c r="L183" t="s">
        <v>3821</v>
      </c>
      <c r="M183" t="str">
        <f>VLOOKUP(H183,CHOOSE({1,2},Table12[Native],Table12[Name]),2,0)</f>
        <v>Jĭngníng Shēzú Zìzhìxiàn</v>
      </c>
      <c r="N183" s="15" t="str">
        <f>VLOOKUP(I183,CHOOSE({1,2},Table12[Native],Table12[Name]),2,0)</f>
        <v>Lìshuĭ Shì</v>
      </c>
      <c r="O183" s="15" t="str">
        <f t="shared" si="4"/>
        <v>Daji Xiang (Lìshuĭ Shì)</v>
      </c>
      <c r="P183" s="15" t="str">
        <f t="shared" si="5"/>
        <v>Daji Xiang (Lìshuĭ Shì)</v>
      </c>
    </row>
    <row r="184" spans="1:16" hidden="1" x14ac:dyDescent="0.25">
      <c r="A184" t="s">
        <v>1379</v>
      </c>
      <c r="B184" t="str">
        <f>IF(COUNTIF(A:A,A184)&gt;1,_xlfn.CONCAT(A184," (",N184,")"),A184)</f>
        <v>Dàjiāhé Zhèn</v>
      </c>
      <c r="C184" t="str">
        <f>IF(COUNTIF(B:B,B184)&gt;1,_xlfn.CONCAT(A184," (",M184,")"),B184)</f>
        <v>Dàjiāhé Zhèn</v>
      </c>
      <c r="D184" t="s">
        <v>1380</v>
      </c>
      <c r="E184" t="s">
        <v>11</v>
      </c>
      <c r="F184" t="str">
        <f>_xlfn.CONCAT(D184,", ",H184,", ",I184,", ","浙江省")</f>
        <v>大佳何镇, 宁海县, 宁波市, 浙江省</v>
      </c>
      <c r="G184">
        <v>16689</v>
      </c>
      <c r="H184" t="s">
        <v>2967</v>
      </c>
      <c r="I184" t="s">
        <v>2961</v>
      </c>
      <c r="J184">
        <f>VLOOKUP(F184,[1]!china_towns_second__2[[Column1]:[Y]],3,FALSE)</f>
        <v>29.426134008026899</v>
      </c>
      <c r="K184">
        <f>VLOOKUP(F184,[1]!china_towns_second__2[[Column1]:[Y]],2,FALSE)</f>
        <v>121.57873379999999</v>
      </c>
      <c r="L184" t="s">
        <v>3822</v>
      </c>
      <c r="M184" t="str">
        <f>VLOOKUP(H184,CHOOSE({1,2},Table12[Native],Table12[Name]),2,0)</f>
        <v>Nínghăi Xiàn</v>
      </c>
      <c r="N184" s="15" t="str">
        <f>VLOOKUP(I184,CHOOSE({1,2},Table12[Native],Table12[Name]),2,0)</f>
        <v>Níngbō Shì</v>
      </c>
      <c r="O184" s="15" t="str">
        <f t="shared" si="4"/>
        <v>Dajiahe Zhen (Níngbō Shì)</v>
      </c>
      <c r="P184" s="15" t="str">
        <f t="shared" si="5"/>
        <v>Dajiahe Zhen (Níngbō Shì)</v>
      </c>
    </row>
    <row r="185" spans="1:16" hidden="1" x14ac:dyDescent="0.25">
      <c r="A185" t="s">
        <v>1662</v>
      </c>
      <c r="B185" t="str">
        <f>IF(COUNTIF(A:A,A185)&gt;1,_xlfn.CONCAT(A185," (",N185,")"),A185)</f>
        <v>Dàjiē Xiāng</v>
      </c>
      <c r="C185" t="str">
        <f>IF(COUNTIF(B:B,B185)&gt;1,_xlfn.CONCAT(A185," (",M185,")"),B185)</f>
        <v>Dàjiē Xiāng</v>
      </c>
      <c r="D185" t="s">
        <v>1663</v>
      </c>
      <c r="E185" t="s">
        <v>7</v>
      </c>
      <c r="F185" t="str">
        <f>_xlfn.CONCAT(D185,", ",H185,", ",I185,", ","浙江省")</f>
        <v>大街乡, 龙游县, 衢州市, 浙江省</v>
      </c>
      <c r="G185">
        <v>5162</v>
      </c>
      <c r="H185" t="s">
        <v>2978</v>
      </c>
      <c r="I185" t="s">
        <v>2973</v>
      </c>
      <c r="J185" t="e">
        <f>VLOOKUP(F185,[1]!china_towns_second__2[[Column1]:[Y]],3,FALSE)</f>
        <v>#N/A</v>
      </c>
      <c r="K185" t="e">
        <f>VLOOKUP(F185,[1]!china_towns_second__2[[Column1]:[Y]],2,FALSE)</f>
        <v>#N/A</v>
      </c>
      <c r="L185" t="s">
        <v>3823</v>
      </c>
      <c r="M185" t="str">
        <f>VLOOKUP(H185,CHOOSE({1,2},Table12[Native],Table12[Name]),2,0)</f>
        <v>Lóngyóu Xiàn</v>
      </c>
      <c r="N185" s="15" t="str">
        <f>VLOOKUP(I185,CHOOSE({1,2},Table12[Native],Table12[Name]),2,0)</f>
        <v>Qúzhōu Shì</v>
      </c>
      <c r="O185" s="15" t="str">
        <f t="shared" si="4"/>
        <v>Dajie Xiang (Qúzhōu Shì)</v>
      </c>
      <c r="P185" s="15" t="str">
        <f t="shared" si="5"/>
        <v>Dajie Xiang (Qúzhōu Shì)</v>
      </c>
    </row>
    <row r="186" spans="1:16" hidden="1" x14ac:dyDescent="0.25">
      <c r="A186" t="s">
        <v>2327</v>
      </c>
      <c r="B186" t="str">
        <f>IF(COUNTIF(A:A,A186)&gt;1,_xlfn.CONCAT(A186," (",N186,")"),A186)</f>
        <v>Dàjīng Zhèn</v>
      </c>
      <c r="C186" t="str">
        <f>IF(COUNTIF(B:B,B186)&gt;1,_xlfn.CONCAT(A186," (",M186,")"),B186)</f>
        <v>Dàjīng Zhèn</v>
      </c>
      <c r="D186" t="s">
        <v>2328</v>
      </c>
      <c r="E186" t="s">
        <v>11</v>
      </c>
      <c r="F186" t="str">
        <f>_xlfn.CONCAT(D186,", ",H186,", ",I186,", ","浙江省")</f>
        <v>大荆镇, 乐清市, 温州市, 浙江省</v>
      </c>
      <c r="G186">
        <v>53201</v>
      </c>
      <c r="H186" t="s">
        <v>3011</v>
      </c>
      <c r="I186" t="s">
        <v>3000</v>
      </c>
      <c r="J186">
        <f>VLOOKUP(F186,[1]!china_towns_second__2[[Column1]:[Y]],3,FALSE)</f>
        <v>28.445928847672398</v>
      </c>
      <c r="K186">
        <f>VLOOKUP(F186,[1]!china_towns_second__2[[Column1]:[Y]],2,FALSE)</f>
        <v>121.1444983</v>
      </c>
      <c r="L186" t="s">
        <v>3824</v>
      </c>
      <c r="M186" t="str">
        <f>VLOOKUP(H186,CHOOSE({1,2},Table12[Native],Table12[Name]),2,0)</f>
        <v>Yuèqīng Shì</v>
      </c>
      <c r="N186" s="15" t="str">
        <f>VLOOKUP(I186,CHOOSE({1,2},Table12[Native],Table12[Name]),2,0)</f>
        <v>Wēnzhōu Shì</v>
      </c>
      <c r="O186" s="15" t="str">
        <f t="shared" si="4"/>
        <v>Dajing Zhen (Wēnzhōu Shì)</v>
      </c>
      <c r="P186" s="15" t="str">
        <f t="shared" si="5"/>
        <v>Dajing Zhen (Wēnzhōu Shì)</v>
      </c>
    </row>
    <row r="187" spans="1:16" hidden="1" x14ac:dyDescent="0.25">
      <c r="A187" t="s">
        <v>1055</v>
      </c>
      <c r="B187" t="str">
        <f>IF(COUNTIF(A:A,A187)&gt;1,_xlfn.CONCAT(A187," (",N187,")"),A187)</f>
        <v>Dàjūn Xiāng</v>
      </c>
      <c r="C187" t="str">
        <f>IF(COUNTIF(B:B,B187)&gt;1,_xlfn.CONCAT(A187," (",M187,")"),B187)</f>
        <v>Dàjūn Xiāng</v>
      </c>
      <c r="D187" t="s">
        <v>1056</v>
      </c>
      <c r="E187" t="s">
        <v>7</v>
      </c>
      <c r="F187" t="str">
        <f>_xlfn.CONCAT(D187,", ",H187,", ",I187,", ","浙江省")</f>
        <v>大均乡, 景宁畲族自治县, 丽水市, 浙江省</v>
      </c>
      <c r="G187">
        <v>2102</v>
      </c>
      <c r="H187" t="s">
        <v>2951</v>
      </c>
      <c r="I187" t="s">
        <v>2949</v>
      </c>
      <c r="J187" t="e">
        <f>VLOOKUP(F187,[1]!china_towns_second__2[[Column1]:[Y]],3,FALSE)</f>
        <v>#N/A</v>
      </c>
      <c r="K187" t="e">
        <f>VLOOKUP(F187,[1]!china_towns_second__2[[Column1]:[Y]],2,FALSE)</f>
        <v>#N/A</v>
      </c>
      <c r="L187" t="s">
        <v>3825</v>
      </c>
      <c r="M187" t="str">
        <f>VLOOKUP(H187,CHOOSE({1,2},Table12[Native],Table12[Name]),2,0)</f>
        <v>Jĭngníng Shēzú Zìzhìxiàn</v>
      </c>
      <c r="N187" s="15" t="str">
        <f>VLOOKUP(I187,CHOOSE({1,2},Table12[Native],Table12[Name]),2,0)</f>
        <v>Lìshuĭ Shì</v>
      </c>
      <c r="O187" s="15" t="str">
        <f t="shared" si="4"/>
        <v>Dajun Xiang (Lìshuĭ Shì)</v>
      </c>
      <c r="P187" s="15" t="str">
        <f t="shared" si="5"/>
        <v>Dajun Xiang (Lìshuĭ Shì)</v>
      </c>
    </row>
    <row r="188" spans="1:16" hidden="1" x14ac:dyDescent="0.25">
      <c r="A188" t="s">
        <v>1381</v>
      </c>
      <c r="B188" t="str">
        <f>IF(COUNTIF(A:A,A188)&gt;1,_xlfn.CONCAT(A188," (",N188,")"),A188)</f>
        <v>Dàlán Zhèn</v>
      </c>
      <c r="C188" t="str">
        <f>IF(COUNTIF(B:B,B188)&gt;1,_xlfn.CONCAT(A188," (",M188,")"),B188)</f>
        <v>Dàlán Zhèn</v>
      </c>
      <c r="D188" t="s">
        <v>1382</v>
      </c>
      <c r="E188" t="s">
        <v>11</v>
      </c>
      <c r="F188" t="str">
        <f>_xlfn.CONCAT(D188,", ",H188,", ",I188,", ","浙江省")</f>
        <v>大岚镇, 余姚市, 宁波市, 浙江省</v>
      </c>
      <c r="G188">
        <v>7799</v>
      </c>
      <c r="H188" t="s">
        <v>2970</v>
      </c>
      <c r="I188" t="s">
        <v>2961</v>
      </c>
      <c r="J188">
        <f>VLOOKUP(F188,[1]!china_towns_second__2[[Column1]:[Y]],3,FALSE)</f>
        <v>29.807963704512499</v>
      </c>
      <c r="K188">
        <f>VLOOKUP(F188,[1]!china_towns_second__2[[Column1]:[Y]],2,FALSE)</f>
        <v>121.12864639999999</v>
      </c>
      <c r="L188" t="s">
        <v>3826</v>
      </c>
      <c r="M188" t="str">
        <f>VLOOKUP(H188,CHOOSE({1,2},Table12[Native],Table12[Name]),2,0)</f>
        <v>Yúyáo Shì</v>
      </c>
      <c r="N188" s="15" t="str">
        <f>VLOOKUP(I188,CHOOSE({1,2},Table12[Native],Table12[Name]),2,0)</f>
        <v>Níngbō Shì</v>
      </c>
      <c r="O188" s="15" t="str">
        <f t="shared" si="4"/>
        <v>Dalan Zhen (Níngbō Shì)</v>
      </c>
      <c r="P188" s="15" t="str">
        <f t="shared" si="5"/>
        <v>Dalan Zhen (Níngbō Shì)</v>
      </c>
    </row>
    <row r="189" spans="1:16" hidden="1" x14ac:dyDescent="0.25">
      <c r="A189" t="s">
        <v>567</v>
      </c>
      <c r="B189" t="str">
        <f>IF(COUNTIF(A:A,A189)&gt;1,_xlfn.CONCAT(A189," (",N189,")"),A189)</f>
        <v>Dàmá Zhèn</v>
      </c>
      <c r="C189" t="str">
        <f>IF(COUNTIF(B:B,B189)&gt;1,_xlfn.CONCAT(A189," (",M189,")"),B189)</f>
        <v>Dàmá Zhèn</v>
      </c>
      <c r="D189" t="s">
        <v>568</v>
      </c>
      <c r="E189" t="s">
        <v>11</v>
      </c>
      <c r="F189" t="str">
        <f>_xlfn.CONCAT(D189,", ",H189,", ",I189,", ","浙江省")</f>
        <v>大麻镇, 桐乡市, 嘉兴市, 浙江省</v>
      </c>
      <c r="G189">
        <v>35357</v>
      </c>
      <c r="H189" t="s">
        <v>2935</v>
      </c>
      <c r="I189" t="s">
        <v>2929</v>
      </c>
      <c r="J189">
        <f>VLOOKUP(F189,[1]!china_towns_second__2[[Column1]:[Y]],3,FALSE)</f>
        <v>30.507726547841699</v>
      </c>
      <c r="K189">
        <f>VLOOKUP(F189,[1]!china_towns_second__2[[Column1]:[Y]],2,FALSE)</f>
        <v>120.3441529</v>
      </c>
      <c r="L189" t="s">
        <v>3827</v>
      </c>
      <c r="M189" t="str">
        <f>VLOOKUP(H189,CHOOSE({1,2},Table12[Native],Table12[Name]),2,0)</f>
        <v>Tóngxiāng Shì</v>
      </c>
      <c r="N189" s="15" t="str">
        <f>VLOOKUP(I189,CHOOSE({1,2},Table12[Native],Table12[Name]),2,0)</f>
        <v>Jiāxīng Shì</v>
      </c>
      <c r="O189" s="15" t="str">
        <f t="shared" si="4"/>
        <v>Dama Zhen (Jiāxīng Shì)</v>
      </c>
      <c r="P189" s="15" t="str">
        <f t="shared" si="5"/>
        <v>Dama Zhen (Jiāxīng Shì)</v>
      </c>
    </row>
    <row r="190" spans="1:16" hidden="1" x14ac:dyDescent="0.25">
      <c r="A190" t="s">
        <v>2072</v>
      </c>
      <c r="B190" t="str">
        <f>IF(COUNTIF(A:A,A190)&gt;1,_xlfn.CONCAT(A190," (",N190,")"),A190)</f>
        <v>Dàmàiyŭ Jiēdào</v>
      </c>
      <c r="C190" t="str">
        <f>IF(COUNTIF(B:B,B190)&gt;1,_xlfn.CONCAT(A190," (",M190,")"),B190)</f>
        <v>Dàmàiyŭ Jiēdào</v>
      </c>
      <c r="D190" t="s">
        <v>2073</v>
      </c>
      <c r="E190" t="s">
        <v>15</v>
      </c>
      <c r="F190" t="str">
        <f>_xlfn.CONCAT(D190,", ",H190,", ",I190,", ","浙江省")</f>
        <v>大麦屿街道, 玉环市, 台州市, 浙江省</v>
      </c>
      <c r="G190">
        <v>83759</v>
      </c>
      <c r="H190" t="s">
        <v>2998</v>
      </c>
      <c r="I190" t="s">
        <v>2989</v>
      </c>
      <c r="J190">
        <f>VLOOKUP(F190,[1]!china_towns_second__2[[Column1]:[Y]],3,FALSE)</f>
        <v>28.085264322517201</v>
      </c>
      <c r="K190">
        <f>VLOOKUP(F190,[1]!china_towns_second__2[[Column1]:[Y]],2,FALSE)</f>
        <v>121.16853930000001</v>
      </c>
      <c r="L190" t="s">
        <v>3828</v>
      </c>
      <c r="M190" t="str">
        <f>VLOOKUP(H190,CHOOSE({1,2},Table12[Native],Table12[Name]),2,0)</f>
        <v>Yùhuán Shì</v>
      </c>
      <c r="N190" s="15" t="str">
        <f>VLOOKUP(I190,CHOOSE({1,2},Table12[Native],Table12[Name]),2,0)</f>
        <v>Táizhōu Shì</v>
      </c>
      <c r="O190" s="15" t="str">
        <f t="shared" si="4"/>
        <v>Damaiyu Jiedao (Táizhōu Shì)</v>
      </c>
      <c r="P190" s="15" t="str">
        <f t="shared" si="5"/>
        <v>Damaiyu Jiedao (Táizhōu Shì)</v>
      </c>
    </row>
    <row r="191" spans="1:16" hidden="1" x14ac:dyDescent="0.25">
      <c r="A191" t="s">
        <v>2329</v>
      </c>
      <c r="B191" t="str">
        <f>IF(COUNTIF(A:A,A191)&gt;1,_xlfn.CONCAT(A191," (",N191,")"),A191)</f>
        <v>Dàmén Zhèn</v>
      </c>
      <c r="C191" t="str">
        <f>IF(COUNTIF(B:B,B191)&gt;1,_xlfn.CONCAT(A191," (",M191,")"),B191)</f>
        <v>Dàmén Zhèn</v>
      </c>
      <c r="D191" t="s">
        <v>2330</v>
      </c>
      <c r="E191" t="s">
        <v>11</v>
      </c>
      <c r="F191" t="str">
        <f>_xlfn.CONCAT(D191,", ",H191,", ",I191,", ","浙江省")</f>
        <v>大门镇, 洞头区, 温州市, 浙江省</v>
      </c>
      <c r="G191">
        <v>12857</v>
      </c>
      <c r="H191" t="s">
        <v>3002</v>
      </c>
      <c r="I191" t="s">
        <v>3000</v>
      </c>
      <c r="J191">
        <f>VLOOKUP(F191,[1]!china_towns_second__2[[Column1]:[Y]],3,FALSE)</f>
        <v>27.969103446921199</v>
      </c>
      <c r="K191">
        <f>VLOOKUP(F191,[1]!china_towns_second__2[[Column1]:[Y]],2,FALSE)</f>
        <v>121.07891480000001</v>
      </c>
      <c r="L191" t="s">
        <v>3829</v>
      </c>
      <c r="M191" t="str">
        <f>VLOOKUP(H191,CHOOSE({1,2},Table12[Native],Table12[Name]),2,0)</f>
        <v>Dòngtóu Qū</v>
      </c>
      <c r="N191" s="15" t="str">
        <f>VLOOKUP(I191,CHOOSE({1,2},Table12[Native],Table12[Name]),2,0)</f>
        <v>Wēnzhōu Shì</v>
      </c>
      <c r="O191" s="15" t="str">
        <f t="shared" si="4"/>
        <v>Damen Zhen (Wēnzhōu Shì)</v>
      </c>
      <c r="P191" s="15" t="str">
        <f t="shared" si="5"/>
        <v>Damen Zhen (Wēnzhōu Shì)</v>
      </c>
    </row>
    <row r="192" spans="1:16" hidden="1" x14ac:dyDescent="0.25">
      <c r="A192" t="s">
        <v>2331</v>
      </c>
      <c r="B192" t="str">
        <f>IF(COUNTIF(A:A,A192)&gt;1,_xlfn.CONCAT(A192," (",N192,")"),A192)</f>
        <v>Dànán Xiāng</v>
      </c>
      <c r="C192" t="str">
        <f>IF(COUNTIF(B:B,B192)&gt;1,_xlfn.CONCAT(A192," (",M192,")"),B192)</f>
        <v>Dànán Xiāng</v>
      </c>
      <c r="D192" t="s">
        <v>2332</v>
      </c>
      <c r="E192" t="s">
        <v>7</v>
      </c>
      <c r="F192" t="str">
        <f>_xlfn.CONCAT(D192,", ",H192,", ",I192,", ","浙江省")</f>
        <v>大南乡, 瑞安市, 温州市, 浙江省</v>
      </c>
      <c r="G192">
        <v>3267</v>
      </c>
      <c r="H192" t="s">
        <v>3007</v>
      </c>
      <c r="I192" t="s">
        <v>3000</v>
      </c>
      <c r="J192" t="e">
        <f>VLOOKUP(F192,[1]!china_towns_second__2[[Column1]:[Y]],3,FALSE)</f>
        <v>#N/A</v>
      </c>
      <c r="K192" t="e">
        <f>VLOOKUP(F192,[1]!china_towns_second__2[[Column1]:[Y]],2,FALSE)</f>
        <v>#N/A</v>
      </c>
      <c r="L192" t="s">
        <v>3830</v>
      </c>
      <c r="M192" t="str">
        <f>VLOOKUP(H192,CHOOSE({1,2},Table12[Native],Table12[Name]),2,0)</f>
        <v>Ruì'ān Shì</v>
      </c>
      <c r="N192" s="15" t="str">
        <f>VLOOKUP(I192,CHOOSE({1,2},Table12[Native],Table12[Name]),2,0)</f>
        <v>Wēnzhōu Shì</v>
      </c>
      <c r="O192" s="15" t="str">
        <f t="shared" si="4"/>
        <v>Danan Xiang (Wēnzhōu Shì)</v>
      </c>
      <c r="P192" s="15" t="str">
        <f t="shared" si="5"/>
        <v>Danan Xiang (Wēnzhōu Shì)</v>
      </c>
    </row>
    <row r="193" spans="1:16" hidden="1" x14ac:dyDescent="0.25">
      <c r="A193" t="s">
        <v>1384</v>
      </c>
      <c r="B193" t="str">
        <f>IF(COUNTIF(A:A,A193)&gt;1,_xlfn.CONCAT(A193," (",N193,")"),A193)</f>
        <v>Dāndōng Jiēdào</v>
      </c>
      <c r="C193" t="str">
        <f>IF(COUNTIF(B:B,B193)&gt;1,_xlfn.CONCAT(A193," (",M193,")"),B193)</f>
        <v>Dāndōng Jiēdào</v>
      </c>
      <c r="D193" t="s">
        <v>1385</v>
      </c>
      <c r="E193" t="s">
        <v>15</v>
      </c>
      <c r="F193" t="str">
        <f>_xlfn.CONCAT(D193,", ",H193,", ",I193,", ","浙江省")</f>
        <v>丹东街道, 象山县, 宁波市, 浙江省</v>
      </c>
      <c r="G193">
        <v>78998</v>
      </c>
      <c r="H193" t="s">
        <v>2968</v>
      </c>
      <c r="I193" t="s">
        <v>2961</v>
      </c>
      <c r="J193">
        <f>VLOOKUP(F193,[1]!china_towns_second__2[[Column1]:[Y]],3,FALSE)</f>
        <v>29.452186991612201</v>
      </c>
      <c r="K193">
        <f>VLOOKUP(F193,[1]!china_towns_second__2[[Column1]:[Y]],2,FALSE)</f>
        <v>121.9532681</v>
      </c>
      <c r="L193" t="s">
        <v>3831</v>
      </c>
      <c r="M193" t="str">
        <f>VLOOKUP(H193,CHOOSE({1,2},Table12[Native],Table12[Name]),2,0)</f>
        <v>Xiàngshān Xiàn</v>
      </c>
      <c r="N193" s="15" t="str">
        <f>VLOOKUP(I193,CHOOSE({1,2},Table12[Native],Table12[Name]),2,0)</f>
        <v>Níngbō Shì</v>
      </c>
      <c r="O193" s="15" t="str">
        <f t="shared" si="4"/>
        <v>Dandong Jiedao (Níngbō Shì)</v>
      </c>
      <c r="P193" s="15" t="str">
        <f t="shared" si="5"/>
        <v>Dandong Jiedao (Níngbō Shì)</v>
      </c>
    </row>
    <row r="194" spans="1:16" hidden="1" x14ac:dyDescent="0.25">
      <c r="A194" t="s">
        <v>569</v>
      </c>
      <c r="B194" t="str">
        <f>IF(COUNTIF(A:A,A194)&gt;1,_xlfn.CONCAT(A194," (",N194,")"),A194)</f>
        <v>Dānghú Jiēdào</v>
      </c>
      <c r="C194" t="str">
        <f>IF(COUNTIF(B:B,B194)&gt;1,_xlfn.CONCAT(A194," (",M194,")"),B194)</f>
        <v>Dānghú Jiēdào</v>
      </c>
      <c r="D194" t="s">
        <v>570</v>
      </c>
      <c r="E194" t="s">
        <v>15</v>
      </c>
      <c r="F194" t="str">
        <f>_xlfn.CONCAT(D194,", ",H194,", ",I194,", ","浙江省")</f>
        <v>当湖街道, 平湖市, 嘉兴市, 浙江省</v>
      </c>
      <c r="G194">
        <v>151626</v>
      </c>
      <c r="H194" t="s">
        <v>2934</v>
      </c>
      <c r="I194" t="s">
        <v>2929</v>
      </c>
      <c r="J194">
        <f>VLOOKUP(F194,[1]!china_towns_second__2[[Column1]:[Y]],3,FALSE)</f>
        <v>30.680910046484701</v>
      </c>
      <c r="K194">
        <f>VLOOKUP(F194,[1]!china_towns_second__2[[Column1]:[Y]],2,FALSE)</f>
        <v>121.0291064</v>
      </c>
      <c r="L194" t="s">
        <v>3832</v>
      </c>
      <c r="M194" t="str">
        <f>VLOOKUP(H194,CHOOSE({1,2},Table12[Native],Table12[Name]),2,0)</f>
        <v>Pínghú Shì</v>
      </c>
      <c r="N194" s="15" t="str">
        <f>VLOOKUP(I194,CHOOSE({1,2},Table12[Native],Table12[Name]),2,0)</f>
        <v>Jiāxīng Shì</v>
      </c>
      <c r="O194" s="15" t="str">
        <f t="shared" ref="O194:O257" si="6">_xlfn.CONCAT(L194," (",N194,")")</f>
        <v>Danghu Jiedao (Jiāxīng Shì)</v>
      </c>
      <c r="P194" s="15" t="str">
        <f t="shared" ref="P194:P257" si="7">IF(COUNTIF(O:O,O194)&gt;1,_xlfn.CONCAT(L194," (",M194,")"),O194)</f>
        <v>Danghu Jiedao (Jiāxīng Shì)</v>
      </c>
    </row>
    <row r="195" spans="1:16" hidden="1" x14ac:dyDescent="0.25">
      <c r="A195" t="s">
        <v>73</v>
      </c>
      <c r="B195" t="str">
        <f>IF(COUNTIF(A:A,A195)&gt;1,_xlfn.CONCAT(A195," (",N195,")"),A195)</f>
        <v>Dăngwān Zhèn</v>
      </c>
      <c r="C195" t="str">
        <f>IF(COUNTIF(B:B,B195)&gt;1,_xlfn.CONCAT(A195," (",M195,")"),B195)</f>
        <v>Dăngwān Zhèn</v>
      </c>
      <c r="D195" t="s">
        <v>74</v>
      </c>
      <c r="E195" t="s">
        <v>11</v>
      </c>
      <c r="F195" t="str">
        <f>_xlfn.CONCAT(D195,", ",H195,", ",I195,", ","浙江省")</f>
        <v>党湾镇, 萧山区, 杭州市, 浙江省</v>
      </c>
      <c r="G195">
        <v>43385</v>
      </c>
      <c r="H195" t="s">
        <v>2917</v>
      </c>
      <c r="I195" t="s">
        <v>2903</v>
      </c>
      <c r="J195">
        <f>VLOOKUP(F195,[1]!china_towns_second__2[[Column1]:[Y]],3,FALSE)</f>
        <v>30.231229942291598</v>
      </c>
      <c r="K195">
        <f>VLOOKUP(F195,[1]!china_towns_second__2[[Column1]:[Y]],2,FALSE)</f>
        <v>120.53816809999999</v>
      </c>
      <c r="L195" t="s">
        <v>3833</v>
      </c>
      <c r="M195" t="str">
        <f>VLOOKUP(H195,CHOOSE({1,2},Table12[Native],Table12[Name]),2,0)</f>
        <v>Xiāoshān Qū</v>
      </c>
      <c r="N195" s="15" t="str">
        <f>VLOOKUP(I195,CHOOSE({1,2},Table12[Native],Table12[Name]),2,0)</f>
        <v>Hángzhōu Shì</v>
      </c>
      <c r="O195" s="15" t="str">
        <f t="shared" si="6"/>
        <v>Dangwan Zhen (Hángzhōu Shì)</v>
      </c>
      <c r="P195" s="15" t="str">
        <f t="shared" si="7"/>
        <v>Dangwan Zhen (Hángzhōu Shì)</v>
      </c>
    </row>
    <row r="196" spans="1:16" hidden="1" x14ac:dyDescent="0.25">
      <c r="A196" t="s">
        <v>1387</v>
      </c>
      <c r="B196" t="str">
        <f>IF(COUNTIF(A:A,A196)&gt;1,_xlfn.CONCAT(A196," (",N196,")"),A196)</f>
        <v>Dānxī Jiēdào</v>
      </c>
      <c r="C196" t="str">
        <f>IF(COUNTIF(B:B,B196)&gt;1,_xlfn.CONCAT(A196," (",M196,")"),B196)</f>
        <v>Dānxī Jiēdào</v>
      </c>
      <c r="D196" t="s">
        <v>1388</v>
      </c>
      <c r="E196" t="s">
        <v>15</v>
      </c>
      <c r="F196" t="str">
        <f>_xlfn.CONCAT(D196,", ",H196,", ",I196,", ","浙江省")</f>
        <v>丹西街道, 象山县, 宁波市, 浙江省</v>
      </c>
      <c r="G196">
        <v>80490</v>
      </c>
      <c r="H196" t="s">
        <v>2968</v>
      </c>
      <c r="I196" t="s">
        <v>2961</v>
      </c>
      <c r="J196">
        <f>VLOOKUP(F196,[1]!china_towns_second__2[[Column1]:[Y]],3,FALSE)</f>
        <v>29.443277138554901</v>
      </c>
      <c r="K196">
        <f>VLOOKUP(F196,[1]!china_towns_second__2[[Column1]:[Y]],2,FALSE)</f>
        <v>121.8714774</v>
      </c>
      <c r="L196" t="s">
        <v>3834</v>
      </c>
      <c r="M196" t="str">
        <f>VLOOKUP(H196,CHOOSE({1,2},Table12[Native],Table12[Name]),2,0)</f>
        <v>Xiàngshān Xiàn</v>
      </c>
      <c r="N196" s="15" t="str">
        <f>VLOOKUP(I196,CHOOSE({1,2},Table12[Native],Table12[Name]),2,0)</f>
        <v>Níngbō Shì</v>
      </c>
      <c r="O196" s="15" t="str">
        <f t="shared" si="6"/>
        <v>Danxi Jiedao (Níngbō Shì)</v>
      </c>
      <c r="P196" s="15" t="str">
        <f t="shared" si="7"/>
        <v>Danxi Jiedao (Níngbō Shì)</v>
      </c>
    </row>
    <row r="197" spans="1:16" hidden="1" x14ac:dyDescent="0.25">
      <c r="A197" t="s">
        <v>2333</v>
      </c>
      <c r="B197" t="str">
        <f>IF(COUNTIF(A:A,A197)&gt;1,_xlfn.CONCAT(A197," (",N197,")"),A197)</f>
        <v>Dànxī Zhèn</v>
      </c>
      <c r="C197" t="str">
        <f>IF(COUNTIF(B:B,B197)&gt;1,_xlfn.CONCAT(A197," (",M197,")"),B197)</f>
        <v>Dànxī Zhèn</v>
      </c>
      <c r="D197" t="s">
        <v>2334</v>
      </c>
      <c r="E197" t="s">
        <v>11</v>
      </c>
      <c r="F197" t="str">
        <f>_xlfn.CONCAT(D197,", ",H197,", ",I197,", ","浙江省")</f>
        <v>淡溪镇, 乐清市, 温州市, 浙江省</v>
      </c>
      <c r="G197">
        <v>31957</v>
      </c>
      <c r="H197" t="s">
        <v>3011</v>
      </c>
      <c r="I197" t="s">
        <v>3000</v>
      </c>
      <c r="J197">
        <f>VLOOKUP(F197,[1]!china_towns_second__2[[Column1]:[Y]],3,FALSE)</f>
        <v>28.225011012301501</v>
      </c>
      <c r="K197">
        <f>VLOOKUP(F197,[1]!china_towns_second__2[[Column1]:[Y]],2,FALSE)</f>
        <v>120.9422734</v>
      </c>
      <c r="L197" t="s">
        <v>3835</v>
      </c>
      <c r="M197" t="str">
        <f>VLOOKUP(H197,CHOOSE({1,2},Table12[Native],Table12[Name]),2,0)</f>
        <v>Yuèqīng Shì</v>
      </c>
      <c r="N197" s="15" t="str">
        <f>VLOOKUP(I197,CHOOSE({1,2},Table12[Native],Table12[Name]),2,0)</f>
        <v>Wēnzhōu Shì</v>
      </c>
      <c r="O197" s="15" t="str">
        <f t="shared" si="6"/>
        <v>Danxi Zhen (Wēnzhōu Shì)</v>
      </c>
      <c r="P197" s="15" t="str">
        <f t="shared" si="7"/>
        <v>Danxi Zhen (Wēnzhōu Shì)</v>
      </c>
    </row>
    <row r="198" spans="1:16" hidden="1" x14ac:dyDescent="0.25">
      <c r="A198" t="s">
        <v>2074</v>
      </c>
      <c r="B198" t="str">
        <f>IF(COUNTIF(A:A,A198)&gt;1,_xlfn.CONCAT(A198," (",N198,")"),A198)</f>
        <v>Dànzhú Xiāng</v>
      </c>
      <c r="C198" t="str">
        <f>IF(COUNTIF(B:B,B198)&gt;1,_xlfn.CONCAT(A198," (",M198,")"),B198)</f>
        <v>Dànzhú Xiāng</v>
      </c>
      <c r="D198" t="s">
        <v>2075</v>
      </c>
      <c r="E198" t="s">
        <v>7</v>
      </c>
      <c r="F198" t="str">
        <f>_xlfn.CONCAT(D198,", ",H198,", ",I198,", ","浙江省")</f>
        <v>淡竹乡, 仙居县, 台州市, 浙江省</v>
      </c>
      <c r="G198">
        <v>3878</v>
      </c>
      <c r="H198" t="s">
        <v>2997</v>
      </c>
      <c r="I198" t="s">
        <v>2989</v>
      </c>
      <c r="J198" t="e">
        <f>VLOOKUP(F198,[1]!china_towns_second__2[[Column1]:[Y]],3,FALSE)</f>
        <v>#N/A</v>
      </c>
      <c r="K198" t="e">
        <f>VLOOKUP(F198,[1]!china_towns_second__2[[Column1]:[Y]],2,FALSE)</f>
        <v>#N/A</v>
      </c>
      <c r="L198" t="s">
        <v>3836</v>
      </c>
      <c r="M198" t="str">
        <f>VLOOKUP(H198,CHOOSE({1,2},Table12[Native],Table12[Name]),2,0)</f>
        <v>Xiānjū Xiàn</v>
      </c>
      <c r="N198" s="15" t="str">
        <f>VLOOKUP(I198,CHOOSE({1,2},Table12[Native],Table12[Name]),2,0)</f>
        <v>Táizhōu Shì</v>
      </c>
      <c r="O198" s="15" t="str">
        <f t="shared" si="6"/>
        <v>Danzhu Xiang (Táizhōu Shì)</v>
      </c>
      <c r="P198" s="15" t="str">
        <f t="shared" si="7"/>
        <v>Danzhu Xiang (Táizhōu Shì)</v>
      </c>
    </row>
    <row r="199" spans="1:16" hidden="1" x14ac:dyDescent="0.25">
      <c r="A199" t="s">
        <v>434</v>
      </c>
      <c r="B199" t="str">
        <f>IF(COUNTIF(A:A,A199)&gt;1,_xlfn.CONCAT(A199," (",N199,")"),A199)</f>
        <v>Dàochăng Xiāng</v>
      </c>
      <c r="C199" t="str">
        <f>IF(COUNTIF(B:B,B199)&gt;1,_xlfn.CONCAT(A199," (",M199,")"),B199)</f>
        <v>Dàochăng Xiāng</v>
      </c>
      <c r="D199" t="s">
        <v>435</v>
      </c>
      <c r="E199" t="s">
        <v>7</v>
      </c>
      <c r="F199" t="str">
        <f>_xlfn.CONCAT(D199,", ",H199,", ",I199,", ","浙江省")</f>
        <v>道场乡, 吴兴区, 湖州市, 浙江省</v>
      </c>
      <c r="G199">
        <v>20564</v>
      </c>
      <c r="H199" t="s">
        <v>2927</v>
      </c>
      <c r="I199" t="s">
        <v>2922</v>
      </c>
      <c r="J199" t="e">
        <f>VLOOKUP(F199,[1]!china_towns_second__2[[Column1]:[Y]],3,FALSE)</f>
        <v>#N/A</v>
      </c>
      <c r="K199" t="e">
        <f>VLOOKUP(F199,[1]!china_towns_second__2[[Column1]:[Y]],2,FALSE)</f>
        <v>#N/A</v>
      </c>
      <c r="L199" t="s">
        <v>3837</v>
      </c>
      <c r="M199" t="str">
        <f>VLOOKUP(H199,CHOOSE({1,2},Table12[Native],Table12[Name]),2,0)</f>
        <v>Wúxīng Qū</v>
      </c>
      <c r="N199" s="15" t="str">
        <f>VLOOKUP(I199,CHOOSE({1,2},Table12[Native],Table12[Name]),2,0)</f>
        <v>Húzhōu Shì</v>
      </c>
      <c r="O199" s="15" t="str">
        <f t="shared" si="6"/>
        <v>Daochang Xiang (Húzhōu Shì)</v>
      </c>
      <c r="P199" s="15" t="str">
        <f t="shared" si="7"/>
        <v>Daochang Xiang (Húzhōu Shì)</v>
      </c>
    </row>
    <row r="200" spans="1:16" hidden="1" x14ac:dyDescent="0.25">
      <c r="A200" t="s">
        <v>75</v>
      </c>
      <c r="B200" t="str">
        <f>IF(COUNTIF(A:A,A200)&gt;1,_xlfn.CONCAT(A200," (",N200,")"),A200)</f>
        <v>Dăoshí Zhèn</v>
      </c>
      <c r="C200" t="str">
        <f>IF(COUNTIF(B:B,B200)&gt;1,_xlfn.CONCAT(A200," (",M200,")"),B200)</f>
        <v>Dăoshí Zhèn</v>
      </c>
      <c r="D200" t="s">
        <v>76</v>
      </c>
      <c r="E200" t="s">
        <v>11</v>
      </c>
      <c r="F200" t="str">
        <f>_xlfn.CONCAT(D200,", ",H200,", ",I200,", ","浙江省")</f>
        <v>岛石镇, 临安区, 杭州市, 浙江省</v>
      </c>
      <c r="G200">
        <v>16394</v>
      </c>
      <c r="H200" t="s">
        <v>2911</v>
      </c>
      <c r="I200" t="s">
        <v>2903</v>
      </c>
      <c r="J200">
        <f>VLOOKUP(F200,[1]!china_towns_second__2[[Column1]:[Y]],3,FALSE)</f>
        <v>30.288044491713599</v>
      </c>
      <c r="K200">
        <f>VLOOKUP(F200,[1]!china_towns_second__2[[Column1]:[Y]],2,FALSE)</f>
        <v>118.93699429999999</v>
      </c>
      <c r="L200" t="s">
        <v>3838</v>
      </c>
      <c r="M200" t="str">
        <f>VLOOKUP(H200,CHOOSE({1,2},Table12[Native],Table12[Name]),2,0)</f>
        <v>Lín'ān Qū</v>
      </c>
      <c r="N200" s="15" t="str">
        <f>VLOOKUP(I200,CHOOSE({1,2},Table12[Native],Table12[Name]),2,0)</f>
        <v>Hángzhōu Shì</v>
      </c>
      <c r="O200" s="15" t="str">
        <f t="shared" si="6"/>
        <v>Daoshi Zhen (Hángzhōu Shì)</v>
      </c>
      <c r="P200" s="15" t="str">
        <f t="shared" si="7"/>
        <v>Daoshi Zhen (Hángzhōu Shì)</v>
      </c>
    </row>
    <row r="201" spans="1:16" hidden="1" x14ac:dyDescent="0.25">
      <c r="A201" t="s">
        <v>1057</v>
      </c>
      <c r="B201" t="str">
        <f>IF(COUNTIF(A:A,A201)&gt;1,_xlfn.CONCAT(A201," (",N201,")"),A201)</f>
        <v>Dàotài Xiāng</v>
      </c>
      <c r="C201" t="str">
        <f>IF(COUNTIF(B:B,B201)&gt;1,_xlfn.CONCAT(A201," (",M201,")"),B201)</f>
        <v>Dàotài Xiāng</v>
      </c>
      <c r="D201" t="s">
        <v>1058</v>
      </c>
      <c r="E201" t="s">
        <v>7</v>
      </c>
      <c r="F201" t="str">
        <f>_xlfn.CONCAT(D201,", ",H201,", ",I201,", ","浙江省")</f>
        <v>道太乡, 龙泉市, 丽水市, 浙江省</v>
      </c>
      <c r="G201">
        <v>6260</v>
      </c>
      <c r="H201" t="s">
        <v>2954</v>
      </c>
      <c r="I201" t="s">
        <v>2949</v>
      </c>
      <c r="J201" t="e">
        <f>VLOOKUP(F201,[1]!china_towns_second__2[[Column1]:[Y]],3,FALSE)</f>
        <v>#N/A</v>
      </c>
      <c r="K201" t="e">
        <f>VLOOKUP(F201,[1]!china_towns_second__2[[Column1]:[Y]],2,FALSE)</f>
        <v>#N/A</v>
      </c>
      <c r="L201" t="s">
        <v>3839</v>
      </c>
      <c r="M201" t="str">
        <f>VLOOKUP(H201,CHOOSE({1,2},Table12[Native],Table12[Name]),2,0)</f>
        <v>Lóngquán Shì</v>
      </c>
      <c r="N201" s="15" t="str">
        <f>VLOOKUP(I201,CHOOSE({1,2},Table12[Native],Table12[Name]),2,0)</f>
        <v>Lìshuĭ Shì</v>
      </c>
      <c r="O201" s="15" t="str">
        <f t="shared" si="6"/>
        <v>Daotai Xiang (Lìshuĭ Shì)</v>
      </c>
      <c r="P201" s="15" t="str">
        <f t="shared" si="7"/>
        <v>Daotai Xiang (Lìshuĭ Shì)</v>
      </c>
    </row>
    <row r="202" spans="1:16" hidden="1" x14ac:dyDescent="0.25">
      <c r="A202" t="s">
        <v>1862</v>
      </c>
      <c r="B202" t="str">
        <f>IF(COUNTIF(A:A,A202)&gt;1,_xlfn.CONCAT(A202," (",N202,")"),A202)</f>
        <v>Dàoxū Jiēdào</v>
      </c>
      <c r="C202" t="str">
        <f>IF(COUNTIF(B:B,B202)&gt;1,_xlfn.CONCAT(A202," (",M202,")"),B202)</f>
        <v>Dàoxū Jiēdào</v>
      </c>
      <c r="D202" t="s">
        <v>1863</v>
      </c>
      <c r="E202" t="s">
        <v>15</v>
      </c>
      <c r="F202" t="str">
        <f>_xlfn.CONCAT(D202,", ",H202,", ",I202,", ","浙江省")</f>
        <v>道墟街道, 上虞区, 绍兴市, 浙江省</v>
      </c>
      <c r="G202">
        <v>44501</v>
      </c>
      <c r="H202" t="s">
        <v>2983</v>
      </c>
      <c r="I202" t="s">
        <v>2981</v>
      </c>
      <c r="J202" t="e">
        <f>VLOOKUP(F202,[1]!china_towns_second__2[[Column1]:[Y]],3,FALSE)</f>
        <v>#N/A</v>
      </c>
      <c r="K202" t="e">
        <f>VLOOKUP(F202,[1]!china_towns_second__2[[Column1]:[Y]],2,FALSE)</f>
        <v>#N/A</v>
      </c>
      <c r="L202" t="s">
        <v>3840</v>
      </c>
      <c r="M202" t="str">
        <f>VLOOKUP(H202,CHOOSE({1,2},Table12[Native],Table12[Name]),2,0)</f>
        <v>Shàngyú Qū</v>
      </c>
      <c r="N202" s="15" t="str">
        <f>VLOOKUP(I202,CHOOSE({1,2},Table12[Native],Table12[Name]),2,0)</f>
        <v>Shàoxīng Shì</v>
      </c>
      <c r="O202" s="15" t="str">
        <f t="shared" si="6"/>
        <v>Daoxu Jiedao (Shàoxīng Shì)</v>
      </c>
      <c r="P202" s="15" t="str">
        <f t="shared" si="7"/>
        <v>Daoxu Jiedao (Shàoxīng Shì)</v>
      </c>
    </row>
    <row r="203" spans="1:16" hidden="1" x14ac:dyDescent="0.25">
      <c r="A203" t="s">
        <v>752</v>
      </c>
      <c r="B203" t="str">
        <f>IF(COUNTIF(A:A,A203)&gt;1,_xlfn.CONCAT(A203," (",N203,")"),A203)</f>
        <v>Dàpán Zhèn</v>
      </c>
      <c r="C203" t="str">
        <f>IF(COUNTIF(B:B,B203)&gt;1,_xlfn.CONCAT(A203," (",M203,")"),B203)</f>
        <v>Dàpán Zhèn</v>
      </c>
      <c r="D203" t="s">
        <v>753</v>
      </c>
      <c r="E203" t="s">
        <v>11</v>
      </c>
      <c r="F203" t="str">
        <f>_xlfn.CONCAT(D203,", ",H203,", ",I203,", ","浙江省")</f>
        <v>大盘镇, 磐安县, 金华市, 浙江省</v>
      </c>
      <c r="G203">
        <v>5040</v>
      </c>
      <c r="H203" t="s">
        <v>2942</v>
      </c>
      <c r="I203" t="s">
        <v>2938</v>
      </c>
      <c r="J203">
        <f>VLOOKUP(F203,[1]!china_towns_second__2[[Column1]:[Y]],3,FALSE)</f>
        <v>28.999418941759899</v>
      </c>
      <c r="K203">
        <f>VLOOKUP(F203,[1]!china_towns_second__2[[Column1]:[Y]],2,FALSE)</f>
        <v>120.5675694</v>
      </c>
      <c r="L203" t="s">
        <v>3841</v>
      </c>
      <c r="M203" t="str">
        <f>VLOOKUP(H203,CHOOSE({1,2},Table12[Native],Table12[Name]),2,0)</f>
        <v>Pán'ān Xiàn</v>
      </c>
      <c r="N203" s="15" t="str">
        <f>VLOOKUP(I203,CHOOSE({1,2},Table12[Native],Table12[Name]),2,0)</f>
        <v>Jīnhuá Shì</v>
      </c>
      <c r="O203" s="15" t="str">
        <f t="shared" si="6"/>
        <v>Dapan Zhen (Jīnhuá Shì)</v>
      </c>
      <c r="P203" s="15" t="str">
        <f t="shared" si="7"/>
        <v>Dapan Zhen (Jīnhuá Shì)</v>
      </c>
    </row>
    <row r="204" spans="1:16" hidden="1" x14ac:dyDescent="0.25">
      <c r="A204" t="s">
        <v>1389</v>
      </c>
      <c r="B204" t="str">
        <f>IF(COUNTIF(A:A,A204)&gt;1,_xlfn.CONCAT(A204," (",N204,")"),A204)</f>
        <v>Dàqì Jiēdào</v>
      </c>
      <c r="C204" t="str">
        <f>IF(COUNTIF(B:B,B204)&gt;1,_xlfn.CONCAT(A204," (",M204,")"),B204)</f>
        <v>Dàqì Jiēdào</v>
      </c>
      <c r="D204" t="s">
        <v>1390</v>
      </c>
      <c r="E204" t="s">
        <v>15</v>
      </c>
      <c r="F204" t="str">
        <f>_xlfn.CONCAT(D204,", ",H204,", ",I204,", ","浙江省")</f>
        <v>大碶街道, 北仑区, 宁波市, 浙江省</v>
      </c>
      <c r="G204">
        <v>133564</v>
      </c>
      <c r="H204" t="s">
        <v>2962</v>
      </c>
      <c r="I204" t="s">
        <v>2961</v>
      </c>
      <c r="J204">
        <f>VLOOKUP(F204,[1]!china_towns_second__2[[Column1]:[Y]],3,FALSE)</f>
        <v>29.8574803184495</v>
      </c>
      <c r="K204">
        <f>VLOOKUP(F204,[1]!china_towns_second__2[[Column1]:[Y]],2,FALSE)</f>
        <v>121.7984515</v>
      </c>
      <c r="L204" t="s">
        <v>3842</v>
      </c>
      <c r="M204" t="str">
        <f>VLOOKUP(H204,CHOOSE({1,2},Table12[Native],Table12[Name]),2,0)</f>
        <v>Bĕilún Qū</v>
      </c>
      <c r="N204" s="15" t="str">
        <f>VLOOKUP(I204,CHOOSE({1,2},Table12[Native],Table12[Name]),2,0)</f>
        <v>Níngbō Shì</v>
      </c>
      <c r="O204" s="15" t="str">
        <f t="shared" si="6"/>
        <v>Daqi Jiedao (Níngbō Shì)</v>
      </c>
      <c r="P204" s="15" t="str">
        <f t="shared" si="7"/>
        <v>Daqi Jiedao (Níngbō Shì)</v>
      </c>
    </row>
    <row r="205" spans="1:16" hidden="1" x14ac:dyDescent="0.25">
      <c r="A205" t="s">
        <v>571</v>
      </c>
      <c r="B205" t="str">
        <f>IF(COUNTIF(A:A,A205)&gt;1,_xlfn.CONCAT(A205," (",N205,")"),A205)</f>
        <v>Dàqiáo Zhèn (Jiāxīng Shì)</v>
      </c>
      <c r="C205" t="str">
        <f>IF(COUNTIF(B:B,B205)&gt;1,_xlfn.CONCAT(A205," (",M205,")"),B205)</f>
        <v>Dàqiáo Zhèn (Jiāxīng Shì)</v>
      </c>
      <c r="D205" t="s">
        <v>572</v>
      </c>
      <c r="E205" t="s">
        <v>11</v>
      </c>
      <c r="F205" t="str">
        <f>_xlfn.CONCAT(D205,", ",H205,", ",I205,", ","浙江省")</f>
        <v>大桥镇, 南湖区, 嘉兴市, 浙江省</v>
      </c>
      <c r="G205">
        <v>57192</v>
      </c>
      <c r="H205" t="s">
        <v>2933</v>
      </c>
      <c r="I205" t="s">
        <v>2929</v>
      </c>
      <c r="J205">
        <f>VLOOKUP(F205,[1]!china_towns_second__2[[Column1]:[Y]],3,FALSE)</f>
        <v>30.7496117444616</v>
      </c>
      <c r="K205">
        <f>VLOOKUP(F205,[1]!china_towns_second__2[[Column1]:[Y]],2,FALSE)</f>
        <v>120.8831653</v>
      </c>
      <c r="L205" t="s">
        <v>3843</v>
      </c>
      <c r="M205" t="str">
        <f>VLOOKUP(H205,CHOOSE({1,2},Table12[Native],Table12[Name]),2,0)</f>
        <v>Nánhú Qū</v>
      </c>
      <c r="N205" s="15" t="str">
        <f>VLOOKUP(I205,CHOOSE({1,2},Table12[Native],Table12[Name]),2,0)</f>
        <v>Jiāxīng Shì</v>
      </c>
      <c r="O205" s="15" t="str">
        <f t="shared" si="6"/>
        <v>Daqiao Zhen (Jiaxing Shi) (Jiāxīng Shì)</v>
      </c>
      <c r="P205" s="15" t="str">
        <f t="shared" si="7"/>
        <v>Daqiao Zhen (Jiaxing Shi) (Jiāxīng Shì)</v>
      </c>
    </row>
    <row r="206" spans="1:16" hidden="1" x14ac:dyDescent="0.25">
      <c r="A206" t="s">
        <v>571</v>
      </c>
      <c r="B206" t="str">
        <f>IF(COUNTIF(A:A,A206)&gt;1,_xlfn.CONCAT(A206," (",N206,")"),A206)</f>
        <v>Dàqiáo Zhèn (Qúzhōu Shì)</v>
      </c>
      <c r="C206" t="str">
        <f>IF(COUNTIF(B:B,B206)&gt;1,_xlfn.CONCAT(A206," (",M206,")"),B206)</f>
        <v>Dàqiáo Zhèn (Qúzhōu Shì)</v>
      </c>
      <c r="D206" t="s">
        <v>572</v>
      </c>
      <c r="E206" t="s">
        <v>11</v>
      </c>
      <c r="F206" t="str">
        <f>_xlfn.CONCAT(D206,", ",H206,", ",I206,", ","浙江省")</f>
        <v>大桥镇, 江山市, 衢州市, 浙江省</v>
      </c>
      <c r="G206">
        <v>10292</v>
      </c>
      <c r="H206" t="s">
        <v>2975</v>
      </c>
      <c r="I206" t="s">
        <v>2973</v>
      </c>
      <c r="J206">
        <f>VLOOKUP(F206,[1]!china_towns_second__2[[Column1]:[Y]],3,FALSE)</f>
        <v>28.7418421857449</v>
      </c>
      <c r="K206">
        <f>VLOOKUP(F206,[1]!china_towns_second__2[[Column1]:[Y]],2,FALSE)</f>
        <v>118.4252537</v>
      </c>
      <c r="L206" t="s">
        <v>3844</v>
      </c>
      <c r="M206" t="str">
        <f>VLOOKUP(H206,CHOOSE({1,2},Table12[Native],Table12[Name]),2,0)</f>
        <v>Jiāngshān Shì</v>
      </c>
      <c r="N206" s="15" t="str">
        <f>VLOOKUP(I206,CHOOSE({1,2},Table12[Native],Table12[Name]),2,0)</f>
        <v>Qúzhōu Shì</v>
      </c>
      <c r="O206" s="15" t="str">
        <f t="shared" si="6"/>
        <v>Daqiao Zhen (Quzhou Shi) (Qúzhōu Shì)</v>
      </c>
      <c r="P206" s="15" t="str">
        <f t="shared" si="7"/>
        <v>Daqiao Zhen (Quzhou Shi) (Qúzhōu Shì)</v>
      </c>
    </row>
    <row r="207" spans="1:16" hidden="1" x14ac:dyDescent="0.25">
      <c r="A207" t="s">
        <v>1665</v>
      </c>
      <c r="B207" t="str">
        <f>IF(COUNTIF(A:A,A207)&gt;1,_xlfn.CONCAT(A207," (",N207,")"),A207)</f>
        <v>Dàqiáotóu Xiāng</v>
      </c>
      <c r="C207" t="str">
        <f>IF(COUNTIF(B:B,B207)&gt;1,_xlfn.CONCAT(A207," (",M207,")"),B207)</f>
        <v>Dàqiáotóu Xiāng</v>
      </c>
      <c r="D207" t="s">
        <v>1666</v>
      </c>
      <c r="E207" t="s">
        <v>7</v>
      </c>
      <c r="F207" t="str">
        <f>_xlfn.CONCAT(D207,", ",H207,", ",I207,", ","浙江省")</f>
        <v>大桥头乡, 常山县, 衢州市, 浙江省</v>
      </c>
      <c r="G207">
        <v>8713</v>
      </c>
      <c r="H207" t="s">
        <v>2974</v>
      </c>
      <c r="I207" t="s">
        <v>2973</v>
      </c>
      <c r="J207" t="e">
        <f>VLOOKUP(F207,[1]!china_towns_second__2[[Column1]:[Y]],3,FALSE)</f>
        <v>#N/A</v>
      </c>
      <c r="K207" t="e">
        <f>VLOOKUP(F207,[1]!china_towns_second__2[[Column1]:[Y]],2,FALSE)</f>
        <v>#N/A</v>
      </c>
      <c r="L207" t="s">
        <v>3845</v>
      </c>
      <c r="M207" t="str">
        <f>VLOOKUP(H207,CHOOSE({1,2},Table12[Native],Table12[Name]),2,0)</f>
        <v>Chángshān Xiàn</v>
      </c>
      <c r="N207" s="15" t="str">
        <f>VLOOKUP(I207,CHOOSE({1,2},Table12[Native],Table12[Name]),2,0)</f>
        <v>Qúzhōu Shì</v>
      </c>
      <c r="O207" s="15" t="str">
        <f t="shared" si="6"/>
        <v>Daqiaotou Xiang (Qúzhōu Shì)</v>
      </c>
      <c r="P207" s="15" t="str">
        <f t="shared" si="7"/>
        <v>Daqiaotou Xiang (Qúzhōu Shì)</v>
      </c>
    </row>
    <row r="208" spans="1:16" hidden="1" x14ac:dyDescent="0.25">
      <c r="A208" t="s">
        <v>2335</v>
      </c>
      <c r="B208" t="str">
        <f>IF(COUNTIF(A:A,A208)&gt;1,_xlfn.CONCAT(A208," (",N208,")"),A208)</f>
        <v>Dàruòyán Zhèn</v>
      </c>
      <c r="C208" t="str">
        <f>IF(COUNTIF(B:B,B208)&gt;1,_xlfn.CONCAT(A208," (",M208,")"),B208)</f>
        <v>Dàruòyán Zhèn</v>
      </c>
      <c r="D208" t="s">
        <v>2336</v>
      </c>
      <c r="E208" t="s">
        <v>11</v>
      </c>
      <c r="F208" t="str">
        <f>_xlfn.CONCAT(D208,", ",H208,", ",I208,", ","浙江省")</f>
        <v>大若岩镇, 永嘉县, 温州市, 浙江省</v>
      </c>
      <c r="G208">
        <v>12319</v>
      </c>
      <c r="H208" t="s">
        <v>3010</v>
      </c>
      <c r="I208" t="s">
        <v>3000</v>
      </c>
      <c r="J208">
        <f>VLOOKUP(F208,[1]!china_towns_second__2[[Column1]:[Y]],3,FALSE)</f>
        <v>28.2901156808834</v>
      </c>
      <c r="K208">
        <f>VLOOKUP(F208,[1]!china_towns_second__2[[Column1]:[Y]],2,FALSE)</f>
        <v>120.637199</v>
      </c>
      <c r="L208" t="s">
        <v>3846</v>
      </c>
      <c r="M208" t="str">
        <f>VLOOKUP(H208,CHOOSE({1,2},Table12[Native],Table12[Name]),2,0)</f>
        <v>Yŏngjiā Xiàn</v>
      </c>
      <c r="N208" s="15" t="str">
        <f>VLOOKUP(I208,CHOOSE({1,2},Table12[Native],Table12[Name]),2,0)</f>
        <v>Wēnzhōu Shì</v>
      </c>
      <c r="O208" s="15" t="str">
        <f t="shared" si="6"/>
        <v>Daruoyan Zhen (Wēnzhōu Shì)</v>
      </c>
      <c r="P208" s="15" t="str">
        <f t="shared" si="7"/>
        <v>Daruoyan Zhen (Wēnzhōu Shì)</v>
      </c>
    </row>
    <row r="209" spans="1:16" hidden="1" x14ac:dyDescent="0.25">
      <c r="A209" t="s">
        <v>77</v>
      </c>
      <c r="B209" t="str">
        <f>IF(COUNTIF(A:A,A209)&gt;1,_xlfn.CONCAT(A209," (",N209,")"),A209)</f>
        <v>Dàshù Zhèn</v>
      </c>
      <c r="C209" t="str">
        <f>IF(COUNTIF(B:B,B209)&gt;1,_xlfn.CONCAT(A209," (",M209,")"),B209)</f>
        <v>Dàshù Zhèn</v>
      </c>
      <c r="D209" t="s">
        <v>78</v>
      </c>
      <c r="E209" t="s">
        <v>11</v>
      </c>
      <c r="F209" t="str">
        <f>_xlfn.CONCAT(D209,", ",H209,", ",I209,", ","浙江省")</f>
        <v>大墅镇, 淳安县, 杭州市, 浙江省</v>
      </c>
      <c r="G209">
        <v>9241</v>
      </c>
      <c r="H209" t="s">
        <v>2907</v>
      </c>
      <c r="I209" t="s">
        <v>2903</v>
      </c>
      <c r="J209">
        <f>VLOOKUP(F209,[1]!china_towns_second__2[[Column1]:[Y]],3,FALSE)</f>
        <v>29.379829924233999</v>
      </c>
      <c r="K209">
        <f>VLOOKUP(F209,[1]!china_towns_second__2[[Column1]:[Y]],2,FALSE)</f>
        <v>118.7747495</v>
      </c>
      <c r="L209" t="s">
        <v>3847</v>
      </c>
      <c r="M209" t="str">
        <f>VLOOKUP(H209,CHOOSE({1,2},Table12[Native],Table12[Name]),2,0)</f>
        <v>Chún'ān Xiàn</v>
      </c>
      <c r="N209" s="15" t="str">
        <f>VLOOKUP(I209,CHOOSE({1,2},Table12[Native],Table12[Name]),2,0)</f>
        <v>Hángzhōu Shì</v>
      </c>
      <c r="O209" s="15" t="str">
        <f t="shared" si="6"/>
        <v>Dashu Zhen (Hángzhōu Shì)</v>
      </c>
      <c r="P209" s="15" t="str">
        <f t="shared" si="7"/>
        <v>Dashu Zhen (Hángzhōu Shì)</v>
      </c>
    </row>
    <row r="210" spans="1:16" hidden="1" x14ac:dyDescent="0.25">
      <c r="A210" t="s">
        <v>1864</v>
      </c>
      <c r="B210" t="str">
        <f>IF(COUNTIF(A:A,A210)&gt;1,_xlfn.CONCAT(A210," (",N210,")"),A210)</f>
        <v>Dàtáng Jiēdào [incl. Căotă Zhèn]</v>
      </c>
      <c r="C210" t="str">
        <f>IF(COUNTIF(B:B,B210)&gt;1,_xlfn.CONCAT(A210," (",M210,")"),B210)</f>
        <v>Dàtáng Jiēdào [incl. Căotă Zhèn]</v>
      </c>
      <c r="D210" t="s">
        <v>1865</v>
      </c>
      <c r="E210" t="s">
        <v>15</v>
      </c>
      <c r="F210" t="str">
        <f>_xlfn.CONCAT(D210,", ",H210,", ",I210,", ","浙江省")</f>
        <v>大唐街道, 诸暨市, 绍兴市, 浙江省</v>
      </c>
      <c r="G210">
        <v>133961</v>
      </c>
      <c r="H210" t="s">
        <v>2987</v>
      </c>
      <c r="I210" t="s">
        <v>2981</v>
      </c>
      <c r="J210" t="e">
        <f>VLOOKUP(F210,[1]!china_towns_second__2[[Column1]:[Y]],3,FALSE)</f>
        <v>#N/A</v>
      </c>
      <c r="K210" t="e">
        <f>VLOOKUP(F210,[1]!china_towns_second__2[[Column1]:[Y]],2,FALSE)</f>
        <v>#N/A</v>
      </c>
      <c r="L210" t="s">
        <v>3848</v>
      </c>
      <c r="M210" t="str">
        <f>VLOOKUP(H210,CHOOSE({1,2},Table12[Native],Table12[Name]),2,0)</f>
        <v>Zhūjì Shì</v>
      </c>
      <c r="N210" s="15" t="str">
        <f>VLOOKUP(I210,CHOOSE({1,2},Table12[Native],Table12[Name]),2,0)</f>
        <v>Shàoxīng Shì</v>
      </c>
      <c r="O210" s="15" t="str">
        <f t="shared" si="6"/>
        <v>Datang Jiedao [incl. Caota Zhen] (Shàoxīng Shì)</v>
      </c>
      <c r="P210" s="15" t="str">
        <f t="shared" si="7"/>
        <v>Datang Jiedao [incl. Caota Zhen] (Shàoxīng Shì)</v>
      </c>
    </row>
    <row r="211" spans="1:16" hidden="1" x14ac:dyDescent="0.25">
      <c r="A211" t="s">
        <v>2076</v>
      </c>
      <c r="B211" t="str">
        <f>IF(COUNTIF(A:A,A211)&gt;1,_xlfn.CONCAT(A211," (",N211,")"),A211)</f>
        <v>Dàtián Jiēdào</v>
      </c>
      <c r="C211" t="str">
        <f>IF(COUNTIF(B:B,B211)&gt;1,_xlfn.CONCAT(A211," (",M211,")"),B211)</f>
        <v>Dàtián Jiēdào</v>
      </c>
      <c r="D211" t="s">
        <v>2077</v>
      </c>
      <c r="E211" t="s">
        <v>15</v>
      </c>
      <c r="F211" t="str">
        <f>_xlfn.CONCAT(D211,", ",H211,", ",I211,", ","浙江省")</f>
        <v>大田街道, 临海市, 台州市, 浙江省</v>
      </c>
      <c r="G211">
        <v>45505</v>
      </c>
      <c r="H211" t="s">
        <v>2992</v>
      </c>
      <c r="I211" t="s">
        <v>2989</v>
      </c>
      <c r="J211">
        <f>VLOOKUP(F211,[1]!china_towns_second__2[[Column1]:[Y]],3,FALSE)</f>
        <v>28.932490197657</v>
      </c>
      <c r="K211">
        <f>VLOOKUP(F211,[1]!china_towns_second__2[[Column1]:[Y]],2,FALSE)</f>
        <v>121.1776282</v>
      </c>
      <c r="L211" t="s">
        <v>3849</v>
      </c>
      <c r="M211" t="str">
        <f>VLOOKUP(H211,CHOOSE({1,2},Table12[Native],Table12[Name]),2,0)</f>
        <v>Línhăi Shì</v>
      </c>
      <c r="N211" s="15" t="str">
        <f>VLOOKUP(I211,CHOOSE({1,2},Table12[Native],Table12[Name]),2,0)</f>
        <v>Táizhōu Shì</v>
      </c>
      <c r="O211" s="15" t="str">
        <f t="shared" si="6"/>
        <v>Datian Jiedao (Táizhōu Shì)</v>
      </c>
      <c r="P211" s="15" t="str">
        <f t="shared" si="7"/>
        <v>Datian Jiedao (Táizhōu Shì)</v>
      </c>
    </row>
    <row r="212" spans="1:16" hidden="1" x14ac:dyDescent="0.25">
      <c r="A212" t="s">
        <v>754</v>
      </c>
      <c r="B212" t="str">
        <f>IF(COUNTIF(A:A,A212)&gt;1,_xlfn.CONCAT(A212," (",N212,")"),A212)</f>
        <v>Dàtián Xiāng</v>
      </c>
      <c r="C212" t="str">
        <f>IF(COUNTIF(B:B,B212)&gt;1,_xlfn.CONCAT(A212," (",M212,")"),B212)</f>
        <v>Dàtián Xiāng</v>
      </c>
      <c r="D212" t="s">
        <v>755</v>
      </c>
      <c r="E212" t="s">
        <v>7</v>
      </c>
      <c r="F212" t="str">
        <f>_xlfn.CONCAT(D212,", ",H212,", ",I212,", ","浙江省")</f>
        <v>大田乡, 武义县, 金华市, 浙江省</v>
      </c>
      <c r="G212">
        <v>6736</v>
      </c>
      <c r="H212" t="s">
        <v>2945</v>
      </c>
      <c r="I212" t="s">
        <v>2938</v>
      </c>
      <c r="J212" t="e">
        <f>VLOOKUP(F212,[1]!china_towns_second__2[[Column1]:[Y]],3,FALSE)</f>
        <v>#N/A</v>
      </c>
      <c r="K212" t="e">
        <f>VLOOKUP(F212,[1]!china_towns_second__2[[Column1]:[Y]],2,FALSE)</f>
        <v>#N/A</v>
      </c>
      <c r="L212" t="s">
        <v>3850</v>
      </c>
      <c r="M212" t="str">
        <f>VLOOKUP(H212,CHOOSE({1,2},Table12[Native],Table12[Name]),2,0)</f>
        <v>Wŭyì Xiàn</v>
      </c>
      <c r="N212" s="15" t="str">
        <f>VLOOKUP(I212,CHOOSE({1,2},Table12[Native],Table12[Name]),2,0)</f>
        <v>Jīnhuá Shì</v>
      </c>
      <c r="O212" s="15" t="str">
        <f t="shared" si="6"/>
        <v>Datian Xiang (Jīnhuá Shì)</v>
      </c>
      <c r="P212" s="15" t="str">
        <f t="shared" si="7"/>
        <v>Datian Xiang (Jīnhuá Shì)</v>
      </c>
    </row>
    <row r="213" spans="1:16" hidden="1" x14ac:dyDescent="0.25">
      <c r="A213" t="s">
        <v>79</v>
      </c>
      <c r="B213" t="str">
        <f>IF(COUNTIF(A:A,A213)&gt;1,_xlfn.CONCAT(A213," (",N213,")"),A213)</f>
        <v>Dàtóng Zhèn</v>
      </c>
      <c r="C213" t="str">
        <f>IF(COUNTIF(B:B,B213)&gt;1,_xlfn.CONCAT(A213," (",M213,")"),B213)</f>
        <v>Dàtóng Zhèn</v>
      </c>
      <c r="D213" t="s">
        <v>80</v>
      </c>
      <c r="E213" t="s">
        <v>11</v>
      </c>
      <c r="F213" t="str">
        <f>_xlfn.CONCAT(D213,", ",H213,", ",I213,", ","浙江省")</f>
        <v>大同镇, 建德市, 杭州市, 浙江省</v>
      </c>
      <c r="G213">
        <v>36783</v>
      </c>
      <c r="H213" t="s">
        <v>2910</v>
      </c>
      <c r="I213" t="s">
        <v>2903</v>
      </c>
      <c r="J213">
        <f>VLOOKUP(F213,[1]!china_towns_second__2[[Column1]:[Y]],3,FALSE)</f>
        <v>29.2856949514657</v>
      </c>
      <c r="K213">
        <f>VLOOKUP(F213,[1]!china_towns_second__2[[Column1]:[Y]],2,FALSE)</f>
        <v>119.06770659999999</v>
      </c>
      <c r="L213" t="s">
        <v>3851</v>
      </c>
      <c r="M213" t="str">
        <f>VLOOKUP(H213,CHOOSE({1,2},Table12[Native],Table12[Name]),2,0)</f>
        <v>Jiàndé Shì</v>
      </c>
      <c r="N213" s="15" t="str">
        <f>VLOOKUP(I213,CHOOSE({1,2},Table12[Native],Table12[Name]),2,0)</f>
        <v>Hángzhōu Shì</v>
      </c>
      <c r="O213" s="15" t="str">
        <f t="shared" si="6"/>
        <v>Datong Zhen (Hángzhōu Shì)</v>
      </c>
      <c r="P213" s="15" t="str">
        <f t="shared" si="7"/>
        <v>Datong Zhen (Hángzhōu Shì)</v>
      </c>
    </row>
    <row r="214" spans="1:16" hidden="1" x14ac:dyDescent="0.25">
      <c r="A214" t="s">
        <v>1059</v>
      </c>
      <c r="B214" t="str">
        <f>IF(COUNTIF(A:A,A214)&gt;1,_xlfn.CONCAT(A214," (",N214,")"),A214)</f>
        <v>Dàwān Xiāng</v>
      </c>
      <c r="C214" t="str">
        <f>IF(COUNTIF(B:B,B214)&gt;1,_xlfn.CONCAT(A214," (",M214,")"),B214)</f>
        <v>Dàwān Xiāng</v>
      </c>
      <c r="D214" t="s">
        <v>1060</v>
      </c>
      <c r="E214" t="s">
        <v>7</v>
      </c>
      <c r="F214" t="str">
        <f>_xlfn.CONCAT(D214,", ",H214,", ",I214,", ","浙江省")</f>
        <v>大湾乡, 云和县, 丽水市, 浙江省</v>
      </c>
      <c r="G214">
        <v>963</v>
      </c>
      <c r="H214" t="s">
        <v>2959</v>
      </c>
      <c r="I214" t="s">
        <v>2949</v>
      </c>
      <c r="J214" t="e">
        <f>VLOOKUP(F214,[1]!china_towns_second__2[[Column1]:[Y]],3,FALSE)</f>
        <v>#N/A</v>
      </c>
      <c r="K214" t="e">
        <f>VLOOKUP(F214,[1]!china_towns_second__2[[Column1]:[Y]],2,FALSE)</f>
        <v>#N/A</v>
      </c>
      <c r="L214" t="s">
        <v>3852</v>
      </c>
      <c r="M214" t="str">
        <f>VLOOKUP(H214,CHOOSE({1,2},Table12[Native],Table12[Name]),2,0)</f>
        <v>Yúnhé Xiàn</v>
      </c>
      <c r="N214" s="15" t="str">
        <f>VLOOKUP(I214,CHOOSE({1,2},Table12[Native],Table12[Name]),2,0)</f>
        <v>Lìshuĭ Shì</v>
      </c>
      <c r="O214" s="15" t="str">
        <f t="shared" si="6"/>
        <v>Dawan Xiang (Lìshuĭ Shì)</v>
      </c>
      <c r="P214" s="15" t="str">
        <f t="shared" si="7"/>
        <v>Dawan Xiang (Lìshuĭ Shì)</v>
      </c>
    </row>
    <row r="215" spans="1:16" hidden="1" x14ac:dyDescent="0.25">
      <c r="A215" t="s">
        <v>2078</v>
      </c>
      <c r="B215" t="str">
        <f>IF(COUNTIF(A:A,A215)&gt;1,_xlfn.CONCAT(A215," (",N215,")"),A215)</f>
        <v>Dàxī Zhèn</v>
      </c>
      <c r="C215" t="str">
        <f>IF(COUNTIF(B:B,B215)&gt;1,_xlfn.CONCAT(A215," (",M215,")"),B215)</f>
        <v>Dàxī Zhèn</v>
      </c>
      <c r="D215" t="s">
        <v>2079</v>
      </c>
      <c r="E215" t="s">
        <v>11</v>
      </c>
      <c r="F215" t="str">
        <f>_xlfn.CONCAT(D215,", ",H215,", ",I215,", ","浙江省")</f>
        <v>大溪镇, 温岭市, 台州市, 浙江省</v>
      </c>
      <c r="G215">
        <v>163986</v>
      </c>
      <c r="H215" t="s">
        <v>2996</v>
      </c>
      <c r="I215" t="s">
        <v>2989</v>
      </c>
      <c r="J215">
        <f>VLOOKUP(F215,[1]!china_towns_second__2[[Column1]:[Y]],3,FALSE)</f>
        <v>28.472940294758999</v>
      </c>
      <c r="K215">
        <f>VLOOKUP(F215,[1]!china_towns_second__2[[Column1]:[Y]],2,FALSE)</f>
        <v>121.2553618</v>
      </c>
      <c r="L215" t="s">
        <v>3853</v>
      </c>
      <c r="M215" t="str">
        <f>VLOOKUP(H215,CHOOSE({1,2},Table12[Native],Table12[Name]),2,0)</f>
        <v>Wēnlĭng Shì</v>
      </c>
      <c r="N215" s="15" t="str">
        <f>VLOOKUP(I215,CHOOSE({1,2},Table12[Native],Table12[Name]),2,0)</f>
        <v>Táizhōu Shì</v>
      </c>
      <c r="O215" s="15" t="str">
        <f t="shared" si="6"/>
        <v>Daxi Zhen (Táizhōu Shì)</v>
      </c>
      <c r="P215" s="15" t="str">
        <f t="shared" si="7"/>
        <v>Daxi Zhen (Táizhōu Shì)</v>
      </c>
    </row>
    <row r="216" spans="1:16" hidden="1" x14ac:dyDescent="0.25">
      <c r="A216" t="s">
        <v>81</v>
      </c>
      <c r="B216" t="str">
        <f>IF(COUNTIF(A:A,A216)&gt;1,_xlfn.CONCAT(A216," (",N216,")"),A216)</f>
        <v>Dàxiágŭ Zhèn</v>
      </c>
      <c r="C216" t="str">
        <f>IF(COUNTIF(B:B,B216)&gt;1,_xlfn.CONCAT(A216," (",M216,")"),B216)</f>
        <v>Dàxiágŭ Zhèn</v>
      </c>
      <c r="D216" t="s">
        <v>82</v>
      </c>
      <c r="E216" t="s">
        <v>11</v>
      </c>
      <c r="F216" t="str">
        <f>_xlfn.CONCAT(D216,", ",H216,", ",I216,", ","浙江省")</f>
        <v>大峡谷镇, 临安区, 杭州市, 浙江省</v>
      </c>
      <c r="G216">
        <v>9899</v>
      </c>
      <c r="H216" t="s">
        <v>2911</v>
      </c>
      <c r="I216" t="s">
        <v>2903</v>
      </c>
      <c r="J216">
        <f>VLOOKUP(F216,[1]!china_towns_second__2[[Column1]:[Y]],3,FALSE)</f>
        <v>30.2576711</v>
      </c>
      <c r="K216">
        <f>VLOOKUP(F216,[1]!china_towns_second__2[[Column1]:[Y]],2,FALSE)</f>
        <v>119.0705332</v>
      </c>
      <c r="L216" t="s">
        <v>3854</v>
      </c>
      <c r="M216" t="str">
        <f>VLOOKUP(H216,CHOOSE({1,2},Table12[Native],Table12[Name]),2,0)</f>
        <v>Lín'ān Qū</v>
      </c>
      <c r="N216" s="15" t="str">
        <f>VLOOKUP(I216,CHOOSE({1,2},Table12[Native],Table12[Name]),2,0)</f>
        <v>Hángzhōu Shì</v>
      </c>
      <c r="O216" s="15" t="str">
        <f t="shared" si="6"/>
        <v>Daxiagu Zhen (Hángzhōu Shì)</v>
      </c>
      <c r="P216" s="15" t="str">
        <f t="shared" si="7"/>
        <v>Daxiagu Zhen (Hángzhōu Shì)</v>
      </c>
    </row>
    <row r="217" spans="1:16" hidden="1" x14ac:dyDescent="0.25">
      <c r="A217" t="s">
        <v>1667</v>
      </c>
      <c r="B217" t="str">
        <f>IF(COUNTIF(A:A,A217)&gt;1,_xlfn.CONCAT(A217," (",N217,")"),A217)</f>
        <v>Dàxībiān Xiāng</v>
      </c>
      <c r="C217" t="str">
        <f>IF(COUNTIF(B:B,B217)&gt;1,_xlfn.CONCAT(A217," (",M217,")"),B217)</f>
        <v>Dàxībiān Xiāng</v>
      </c>
      <c r="D217" t="s">
        <v>1668</v>
      </c>
      <c r="E217" t="s">
        <v>7</v>
      </c>
      <c r="F217" t="str">
        <f>_xlfn.CONCAT(D217,", ",H217,", ",I217,", ","浙江省")</f>
        <v>大溪边乡, 开化县, 衢州市, 浙江省</v>
      </c>
      <c r="G217">
        <v>6476</v>
      </c>
      <c r="H217" t="s">
        <v>2976</v>
      </c>
      <c r="I217" t="s">
        <v>2973</v>
      </c>
      <c r="J217" t="e">
        <f>VLOOKUP(F217,[1]!china_towns_second__2[[Column1]:[Y]],3,FALSE)</f>
        <v>#N/A</v>
      </c>
      <c r="K217" t="e">
        <f>VLOOKUP(F217,[1]!china_towns_second__2[[Column1]:[Y]],2,FALSE)</f>
        <v>#N/A</v>
      </c>
      <c r="L217" t="s">
        <v>3855</v>
      </c>
      <c r="M217" t="str">
        <f>VLOOKUP(H217,CHOOSE({1,2},Table12[Native],Table12[Name]),2,0)</f>
        <v>Kāihuà Xiàn</v>
      </c>
      <c r="N217" s="15" t="str">
        <f>VLOOKUP(I217,CHOOSE({1,2},Table12[Native],Table12[Name]),2,0)</f>
        <v>Qúzhōu Shì</v>
      </c>
      <c r="O217" s="15" t="str">
        <f t="shared" si="6"/>
        <v>Daxibian Xiang (Qúzhōu Shì)</v>
      </c>
      <c r="P217" s="15" t="str">
        <f t="shared" si="7"/>
        <v>Daxibian Xiang (Qúzhōu Shì)</v>
      </c>
    </row>
    <row r="218" spans="1:16" hidden="1" x14ac:dyDescent="0.25">
      <c r="A218" t="s">
        <v>1391</v>
      </c>
      <c r="B218" t="str">
        <f>IF(COUNTIF(A:A,A218)&gt;1,_xlfn.CONCAT(A218," (",N218,")"),A218)</f>
        <v>Dàxiè Jiēdào</v>
      </c>
      <c r="C218" t="str">
        <f>IF(COUNTIF(B:B,B218)&gt;1,_xlfn.CONCAT(A218," (",M218,")"),B218)</f>
        <v>Dàxiè Jiēdào</v>
      </c>
      <c r="D218" t="s">
        <v>1392</v>
      </c>
      <c r="E218" t="s">
        <v>15</v>
      </c>
      <c r="F218" t="str">
        <f>_xlfn.CONCAT(D218,", ",H218,", ",I218,", ","浙江省")</f>
        <v>大榭街道, 北仑区, 宁波市, 浙江省</v>
      </c>
      <c r="G218">
        <v>39164</v>
      </c>
      <c r="H218" t="s">
        <v>2962</v>
      </c>
      <c r="I218" t="s">
        <v>2961</v>
      </c>
      <c r="J218">
        <f>VLOOKUP(F218,[1]!china_towns_second__2[[Column1]:[Y]],3,FALSE)</f>
        <v>29.9206247854437</v>
      </c>
      <c r="K218">
        <f>VLOOKUP(F218,[1]!china_towns_second__2[[Column1]:[Y]],2,FALSE)</f>
        <v>121.96339810000001</v>
      </c>
      <c r="L218" t="s">
        <v>3856</v>
      </c>
      <c r="M218" t="str">
        <f>VLOOKUP(H218,CHOOSE({1,2},Table12[Native],Table12[Name]),2,0)</f>
        <v>Bĕilún Qū</v>
      </c>
      <c r="N218" s="15" t="str">
        <f>VLOOKUP(I218,CHOOSE({1,2},Table12[Native],Table12[Name]),2,0)</f>
        <v>Níngbō Shì</v>
      </c>
      <c r="O218" s="15" t="str">
        <f t="shared" si="6"/>
        <v>Daxie Jiedao (Níngbō Shì)</v>
      </c>
      <c r="P218" s="15" t="str">
        <f t="shared" si="7"/>
        <v>Daxie Jiedao (Níngbō Shì)</v>
      </c>
    </row>
    <row r="219" spans="1:16" hidden="1" x14ac:dyDescent="0.25">
      <c r="A219" t="s">
        <v>756</v>
      </c>
      <c r="B219" t="str">
        <f>IF(COUNTIF(A:A,A219)&gt;1,_xlfn.CONCAT(A219," (",N219,")"),A219)</f>
        <v>Dàxīkŏu Xiāng</v>
      </c>
      <c r="C219" t="str">
        <f>IF(COUNTIF(B:B,B219)&gt;1,_xlfn.CONCAT(A219," (",M219,")"),B219)</f>
        <v>Dàxīkŏu Xiāng</v>
      </c>
      <c r="D219" t="s">
        <v>757</v>
      </c>
      <c r="E219" t="s">
        <v>7</v>
      </c>
      <c r="F219" t="str">
        <f>_xlfn.CONCAT(D219,", ",H219,", ",I219,", ","浙江省")</f>
        <v>大溪口乡, 武义县, 金华市, 浙江省</v>
      </c>
      <c r="G219">
        <v>1908</v>
      </c>
      <c r="H219" t="s">
        <v>2945</v>
      </c>
      <c r="I219" t="s">
        <v>2938</v>
      </c>
      <c r="J219" t="e">
        <f>VLOOKUP(F219,[1]!china_towns_second__2[[Column1]:[Y]],3,FALSE)</f>
        <v>#N/A</v>
      </c>
      <c r="K219" t="e">
        <f>VLOOKUP(F219,[1]!china_towns_second__2[[Column1]:[Y]],2,FALSE)</f>
        <v>#N/A</v>
      </c>
      <c r="L219" t="s">
        <v>3857</v>
      </c>
      <c r="M219" t="str">
        <f>VLOOKUP(H219,CHOOSE({1,2},Table12[Native],Table12[Name]),2,0)</f>
        <v>Wŭyì Xiàn</v>
      </c>
      <c r="N219" s="15" t="str">
        <f>VLOOKUP(I219,CHOOSE({1,2},Table12[Native],Table12[Name]),2,0)</f>
        <v>Jīnhuá Shì</v>
      </c>
      <c r="O219" s="15" t="str">
        <f t="shared" si="6"/>
        <v>Daxikou Xiang (Jīnhuá Shì)</v>
      </c>
      <c r="P219" s="15" t="str">
        <f t="shared" si="7"/>
        <v>Daxikou Xiang (Jīnhuá Shì)</v>
      </c>
    </row>
    <row r="220" spans="1:16" hidden="1" x14ac:dyDescent="0.25">
      <c r="A220" t="s">
        <v>1393</v>
      </c>
      <c r="B220" t="str">
        <f>IF(COUNTIF(A:A,A220)&gt;1,_xlfn.CONCAT(A220," (",N220,")"),A220)</f>
        <v>Dàxú Zhèn</v>
      </c>
      <c r="C220" t="str">
        <f>IF(COUNTIF(B:B,B220)&gt;1,_xlfn.CONCAT(A220," (",M220,")"),B220)</f>
        <v>Dàxú Zhèn</v>
      </c>
      <c r="D220" t="s">
        <v>1394</v>
      </c>
      <c r="E220" t="s">
        <v>11</v>
      </c>
      <c r="F220" t="str">
        <f>_xlfn.CONCAT(D220,", ",H220,", ",I220,", ","浙江省")</f>
        <v>大徐镇, 象山县, 宁波市, 浙江省</v>
      </c>
      <c r="G220">
        <v>12787</v>
      </c>
      <c r="H220" t="s">
        <v>2968</v>
      </c>
      <c r="I220" t="s">
        <v>2961</v>
      </c>
      <c r="J220">
        <f>VLOOKUP(F220,[1]!china_towns_second__2[[Column1]:[Y]],3,FALSE)</f>
        <v>29.527038842640199</v>
      </c>
      <c r="K220">
        <f>VLOOKUP(F220,[1]!china_towns_second__2[[Column1]:[Y]],2,FALSE)</f>
        <v>121.8799578</v>
      </c>
      <c r="L220" t="s">
        <v>3858</v>
      </c>
      <c r="M220" t="str">
        <f>VLOOKUP(H220,CHOOSE({1,2},Table12[Native],Table12[Name]),2,0)</f>
        <v>Xiàngshān Xiàn</v>
      </c>
      <c r="N220" s="15" t="str">
        <f>VLOOKUP(I220,CHOOSE({1,2},Table12[Native],Table12[Name]),2,0)</f>
        <v>Níngbō Shì</v>
      </c>
      <c r="O220" s="15" t="str">
        <f t="shared" si="6"/>
        <v>Daxu Zhen (Níngbō Shì)</v>
      </c>
      <c r="P220" s="15" t="str">
        <f t="shared" si="7"/>
        <v>Daxu Zhen (Níngbō Shì)</v>
      </c>
    </row>
    <row r="221" spans="1:16" hidden="1" x14ac:dyDescent="0.25">
      <c r="A221" t="s">
        <v>2337</v>
      </c>
      <c r="B221" t="str">
        <f>IF(COUNTIF(A:A,A221)&gt;1,_xlfn.CONCAT(A221," (",N221,")"),A221)</f>
        <v>Dàxué Zhèn</v>
      </c>
      <c r="C221" t="str">
        <f>IF(COUNTIF(B:B,B221)&gt;1,_xlfn.CONCAT(A221," (",M221,")"),B221)</f>
        <v>Dàxué Zhèn</v>
      </c>
      <c r="D221" t="s">
        <v>2338</v>
      </c>
      <c r="E221" t="s">
        <v>11</v>
      </c>
      <c r="F221" t="str">
        <f>_xlfn.CONCAT(D221,", ",H221,", ",I221,", ","浙江省")</f>
        <v>大峃镇, 文成县, 温州市, 浙江省</v>
      </c>
      <c r="G221">
        <v>54236</v>
      </c>
      <c r="H221" t="s">
        <v>3009</v>
      </c>
      <c r="I221" t="s">
        <v>3000</v>
      </c>
      <c r="J221">
        <f>VLOOKUP(F221,[1]!china_towns_second__2[[Column1]:[Y]],3,FALSE)</f>
        <v>27.8020787364635</v>
      </c>
      <c r="K221">
        <f>VLOOKUP(F221,[1]!china_towns_second__2[[Column1]:[Y]],2,FALSE)</f>
        <v>120.0922966</v>
      </c>
      <c r="L221" t="s">
        <v>3859</v>
      </c>
      <c r="M221" t="str">
        <f>VLOOKUP(H221,CHOOSE({1,2},Table12[Native],Table12[Name]),2,0)</f>
        <v>Wénchéng Xiàn</v>
      </c>
      <c r="N221" s="15" t="str">
        <f>VLOOKUP(I221,CHOOSE({1,2},Table12[Native],Table12[Name]),2,0)</f>
        <v>Wēnzhōu Shì</v>
      </c>
      <c r="O221" s="15" t="str">
        <f t="shared" si="6"/>
        <v>Daxue Zhen (Wēnzhōu Shì)</v>
      </c>
      <c r="P221" s="15" t="str">
        <f t="shared" si="7"/>
        <v>Daxue Zhen (Wēnzhōu Shì)</v>
      </c>
    </row>
    <row r="222" spans="1:16" hidden="1" x14ac:dyDescent="0.25">
      <c r="A222" t="s">
        <v>1395</v>
      </c>
      <c r="B222" t="str">
        <f>IF(COUNTIF(A:A,A222)&gt;1,_xlfn.CONCAT(A222," (",N222,")"),A222)</f>
        <v>Dàyàn Zhèn</v>
      </c>
      <c r="C222" t="str">
        <f>IF(COUNTIF(B:B,B222)&gt;1,_xlfn.CONCAT(A222," (",M222,")"),B222)</f>
        <v>Dàyàn Zhèn</v>
      </c>
      <c r="D222" t="s">
        <v>1396</v>
      </c>
      <c r="E222" t="s">
        <v>11</v>
      </c>
      <c r="F222" t="str">
        <f>_xlfn.CONCAT(D222,", ",H222,", ",I222,", ","浙江省")</f>
        <v>大堰镇, 奉化区, 宁波市, 浙江省</v>
      </c>
      <c r="G222">
        <v>11126</v>
      </c>
      <c r="H222" t="s">
        <v>2964</v>
      </c>
      <c r="I222" t="s">
        <v>2961</v>
      </c>
      <c r="J222">
        <f>VLOOKUP(F222,[1]!china_towns_second__2[[Column1]:[Y]],3,FALSE)</f>
        <v>29.503286086373599</v>
      </c>
      <c r="K222">
        <f>VLOOKUP(F222,[1]!china_towns_second__2[[Column1]:[Y]],2,FALSE)</f>
        <v>121.26728249999999</v>
      </c>
      <c r="L222" t="s">
        <v>3860</v>
      </c>
      <c r="M222" t="str">
        <f>VLOOKUP(H222,CHOOSE({1,2},Table12[Native],Table12[Name]),2,0)</f>
        <v>Fènghuà Qū</v>
      </c>
      <c r="N222" s="15" t="str">
        <f>VLOOKUP(I222,CHOOSE({1,2},Table12[Native],Table12[Name]),2,0)</f>
        <v>Níngbō Shì</v>
      </c>
      <c r="O222" s="15" t="str">
        <f t="shared" si="6"/>
        <v>Dayan Zhen (Níngbō Shì)</v>
      </c>
      <c r="P222" s="15" t="str">
        <f t="shared" si="7"/>
        <v>Dayan Zhen (Níngbō Shì)</v>
      </c>
    </row>
    <row r="223" spans="1:16" hidden="1" x14ac:dyDescent="0.25">
      <c r="A223" t="s">
        <v>2080</v>
      </c>
      <c r="B223" t="str">
        <f>IF(COUNTIF(A:A,A223)&gt;1,_xlfn.CONCAT(A223," (",N223,")"),A223)</f>
        <v>Dàyáng Jiēdào</v>
      </c>
      <c r="C223" t="str">
        <f>IF(COUNTIF(B:B,B223)&gt;1,_xlfn.CONCAT(A223," (",M223,")"),B223)</f>
        <v>Dàyáng Jiēdào</v>
      </c>
      <c r="D223" t="s">
        <v>2081</v>
      </c>
      <c r="E223" t="s">
        <v>15</v>
      </c>
      <c r="F223" t="str">
        <f>_xlfn.CONCAT(D223,", ",H223,", ",I223,", ","浙江省")</f>
        <v>大洋街道, 临海市, 台州市, 浙江省</v>
      </c>
      <c r="G223">
        <v>97138</v>
      </c>
      <c r="H223" t="s">
        <v>2992</v>
      </c>
      <c r="I223" t="s">
        <v>2989</v>
      </c>
      <c r="J223">
        <f>VLOOKUP(F223,[1]!china_towns_second__2[[Column1]:[Y]],3,FALSE)</f>
        <v>28.885433089833899</v>
      </c>
      <c r="K223">
        <f>VLOOKUP(F223,[1]!china_towns_second__2[[Column1]:[Y]],2,FALSE)</f>
        <v>121.1649149</v>
      </c>
      <c r="L223" t="s">
        <v>3861</v>
      </c>
      <c r="M223" t="str">
        <f>VLOOKUP(H223,CHOOSE({1,2},Table12[Native],Table12[Name]),2,0)</f>
        <v>Línhăi Shì</v>
      </c>
      <c r="N223" s="15" t="str">
        <f>VLOOKUP(I223,CHOOSE({1,2},Table12[Native],Table12[Name]),2,0)</f>
        <v>Táizhōu Shì</v>
      </c>
      <c r="O223" s="15" t="str">
        <f t="shared" si="6"/>
        <v>Dayang Jiedao (Táizhōu Shì)</v>
      </c>
      <c r="P223" s="15" t="str">
        <f t="shared" si="7"/>
        <v>Dayang Jiedao (Táizhōu Shì)</v>
      </c>
    </row>
    <row r="224" spans="1:16" hidden="1" x14ac:dyDescent="0.25">
      <c r="A224" t="s">
        <v>83</v>
      </c>
      <c r="B224" t="str">
        <f>IF(COUNTIF(A:A,A224)&gt;1,_xlfn.CONCAT(A224," (",N224,")"),A224)</f>
        <v>Dàyáng Zhèn (Hángzhōu Shì)</v>
      </c>
      <c r="C224" t="str">
        <f>IF(COUNTIF(B:B,B224)&gt;1,_xlfn.CONCAT(A224," (",M224,")"),B224)</f>
        <v>Dàyáng Zhèn (Hángzhōu Shì)</v>
      </c>
      <c r="D224" t="s">
        <v>84</v>
      </c>
      <c r="E224" t="s">
        <v>11</v>
      </c>
      <c r="F224" t="str">
        <f>_xlfn.CONCAT(D224,", ",H224,", ",I224,", ","浙江省")</f>
        <v>大洋镇, 建德市, 杭州市, 浙江省</v>
      </c>
      <c r="G224">
        <v>23567</v>
      </c>
      <c r="H224" t="s">
        <v>2910</v>
      </c>
      <c r="I224" t="s">
        <v>2903</v>
      </c>
      <c r="J224">
        <f>VLOOKUP(F224,[1]!china_towns_second__2[[Column1]:[Y]],3,FALSE)</f>
        <v>29.421078322805698</v>
      </c>
      <c r="K224">
        <f>VLOOKUP(F224,[1]!china_towns_second__2[[Column1]:[Y]],2,FALSE)</f>
        <v>119.5009618</v>
      </c>
      <c r="L224" t="s">
        <v>3862</v>
      </c>
      <c r="M224" t="str">
        <f>VLOOKUP(H224,CHOOSE({1,2},Table12[Native],Table12[Name]),2,0)</f>
        <v>Jiàndé Shì</v>
      </c>
      <c r="N224" s="15" t="str">
        <f>VLOOKUP(I224,CHOOSE({1,2},Table12[Native],Table12[Name]),2,0)</f>
        <v>Hángzhōu Shì</v>
      </c>
      <c r="O224" s="15" t="str">
        <f t="shared" si="6"/>
        <v>Dayang Zhen (Hangzhou Shi) (Hángzhōu Shì)</v>
      </c>
      <c r="P224" s="15" t="str">
        <f t="shared" si="7"/>
        <v>Dayang Zhen (Hangzhou Shi) (Hángzhōu Shì)</v>
      </c>
    </row>
    <row r="225" spans="1:16" hidden="1" x14ac:dyDescent="0.25">
      <c r="A225" t="s">
        <v>83</v>
      </c>
      <c r="B225" t="str">
        <f>IF(COUNTIF(A:A,A225)&gt;1,_xlfn.CONCAT(A225," (",N225,")"),A225)</f>
        <v>Dàyáng Zhèn (Lìshuĭ Shì)</v>
      </c>
      <c r="C225" t="str">
        <f>IF(COUNTIF(B:B,B225)&gt;1,_xlfn.CONCAT(A225," (",M225,")"),B225)</f>
        <v>Dàyáng Zhèn (Lìshuĭ Shì)</v>
      </c>
      <c r="D225" t="s">
        <v>84</v>
      </c>
      <c r="E225" t="s">
        <v>11</v>
      </c>
      <c r="F225" t="str">
        <f>_xlfn.CONCAT(D225,", ",H225,", ",I225,", ","浙江省")</f>
        <v>大洋镇, 缙云县, 丽水市, 浙江省</v>
      </c>
      <c r="G225">
        <v>8859</v>
      </c>
      <c r="H225" t="s">
        <v>2952</v>
      </c>
      <c r="I225" t="s">
        <v>2949</v>
      </c>
      <c r="J225">
        <f>VLOOKUP(F225,[1]!china_towns_second__2[[Column1]:[Y]],3,FALSE)</f>
        <v>28.481545127238899</v>
      </c>
      <c r="K225">
        <f>VLOOKUP(F225,[1]!china_towns_second__2[[Column1]:[Y]],2,FALSE)</f>
        <v>120.281655</v>
      </c>
      <c r="L225" t="s">
        <v>3863</v>
      </c>
      <c r="M225" t="str">
        <f>VLOOKUP(H225,CHOOSE({1,2},Table12[Native],Table12[Name]),2,0)</f>
        <v>Jìnyún Xiàn</v>
      </c>
      <c r="N225" s="15" t="str">
        <f>VLOOKUP(I225,CHOOSE({1,2},Table12[Native],Table12[Name]),2,0)</f>
        <v>Lìshuĭ Shì</v>
      </c>
      <c r="O225" s="15" t="str">
        <f t="shared" si="6"/>
        <v>Dayang Zhen (Lishui Shi) (Lìshuĭ Shì)</v>
      </c>
      <c r="P225" s="15" t="str">
        <f t="shared" si="7"/>
        <v>Dayang Zhen (Lishui Shi) (Lìshuĭ Shì)</v>
      </c>
    </row>
    <row r="226" spans="1:16" hidden="1" x14ac:dyDescent="0.25">
      <c r="A226" t="s">
        <v>1397</v>
      </c>
      <c r="B226" t="str">
        <f>IF(COUNTIF(A:A,A226)&gt;1,_xlfn.CONCAT(A226," (",N226,")"),A226)</f>
        <v>Dàyĭn Zhèn</v>
      </c>
      <c r="C226" t="str">
        <f>IF(COUNTIF(B:B,B226)&gt;1,_xlfn.CONCAT(A226," (",M226,")"),B226)</f>
        <v>Dàyĭn Zhèn</v>
      </c>
      <c r="D226" t="s">
        <v>1398</v>
      </c>
      <c r="E226" t="s">
        <v>11</v>
      </c>
      <c r="F226" t="str">
        <f>_xlfn.CONCAT(D226,", ",H226,", ",I226,", ","浙江省")</f>
        <v>大隐镇, 余姚市, 宁波市, 浙江省</v>
      </c>
      <c r="G226">
        <v>12008</v>
      </c>
      <c r="H226" t="s">
        <v>2970</v>
      </c>
      <c r="I226" t="s">
        <v>2961</v>
      </c>
      <c r="J226">
        <f>VLOOKUP(F226,[1]!china_towns_second__2[[Column1]:[Y]],3,FALSE)</f>
        <v>29.925841629594501</v>
      </c>
      <c r="K226">
        <f>VLOOKUP(F226,[1]!china_towns_second__2[[Column1]:[Y]],2,FALSE)</f>
        <v>121.3402184</v>
      </c>
      <c r="L226" t="s">
        <v>3864</v>
      </c>
      <c r="M226" t="str">
        <f>VLOOKUP(H226,CHOOSE({1,2},Table12[Native],Table12[Name]),2,0)</f>
        <v>Yúyáo Shì</v>
      </c>
      <c r="N226" s="15" t="str">
        <f>VLOOKUP(I226,CHOOSE({1,2},Table12[Native],Table12[Name]),2,0)</f>
        <v>Níngbō Shì</v>
      </c>
      <c r="O226" s="15" t="str">
        <f t="shared" si="6"/>
        <v>Dayin Zhen (Níngbō Shì)</v>
      </c>
      <c r="P226" s="15" t="str">
        <f t="shared" si="7"/>
        <v>Dayin Zhen (Níngbō Shì)</v>
      </c>
    </row>
    <row r="227" spans="1:16" hidden="1" x14ac:dyDescent="0.25">
      <c r="A227" t="s">
        <v>2339</v>
      </c>
      <c r="B227" t="str">
        <f>IF(COUNTIF(A:A,A227)&gt;1,_xlfn.CONCAT(A227," (",N227,")"),A227)</f>
        <v>Dàyú Zhèn [→ Jīnxiāng Zhèn]</v>
      </c>
      <c r="C227" t="str">
        <f>IF(COUNTIF(B:B,B227)&gt;1,_xlfn.CONCAT(A227," (",M227,")"),B227)</f>
        <v>Dàyú Zhèn [→ Jīnxiāng Zhèn]</v>
      </c>
      <c r="D227" t="s">
        <v>2340</v>
      </c>
      <c r="E227" t="s">
        <v>11</v>
      </c>
      <c r="F227" t="str">
        <f>_xlfn.CONCAT(D227,", ",H227,", ",I227,", ","浙江省")</f>
        <v>大渔镇, 苍南县, 温州市, 浙江省</v>
      </c>
      <c r="G227">
        <v>7729</v>
      </c>
      <c r="H227" t="s">
        <v>3001</v>
      </c>
      <c r="I227" t="s">
        <v>3000</v>
      </c>
      <c r="J227">
        <f>VLOOKUP(F227,[1]!china_towns_second__2[[Column1]:[Y]],3,FALSE)</f>
        <v>27.391649699999999</v>
      </c>
      <c r="K227">
        <f>VLOOKUP(F227,[1]!china_towns_second__2[[Column1]:[Y]],2,FALSE)</f>
        <v>120.6000459</v>
      </c>
      <c r="L227" t="s">
        <v>3865</v>
      </c>
      <c r="M227" t="str">
        <f>VLOOKUP(H227,CHOOSE({1,2},Table12[Native],Table12[Name]),2,0)</f>
        <v>Cāngnán Xiàn</v>
      </c>
      <c r="N227" s="15" t="str">
        <f>VLOOKUP(I227,CHOOSE({1,2},Table12[Native],Table12[Name]),2,0)</f>
        <v>Wēnzhōu Shì</v>
      </c>
      <c r="O227" s="15" t="str">
        <f t="shared" si="6"/>
        <v>Dayu Zhen [→ Jinxiang Zhen] (Wēnzhōu Shì)</v>
      </c>
      <c r="P227" s="15" t="str">
        <f t="shared" si="7"/>
        <v>Dayu Zhen [→ Jinxiang Zhen] (Wēnzhōu Shì)</v>
      </c>
    </row>
    <row r="228" spans="1:16" hidden="1" x14ac:dyDescent="0.25">
      <c r="A228" t="s">
        <v>1062</v>
      </c>
      <c r="B228" t="str">
        <f>IF(COUNTIF(A:A,A228)&gt;1,_xlfn.CONCAT(A228," (",N228,")"),A228)</f>
        <v>Dàyuán Xiāng</v>
      </c>
      <c r="C228" t="str">
        <f>IF(COUNTIF(B:B,B228)&gt;1,_xlfn.CONCAT(A228," (",M228,")"),B228)</f>
        <v>Dàyuán Xiāng</v>
      </c>
      <c r="D228" t="s">
        <v>1063</v>
      </c>
      <c r="E228" t="s">
        <v>7</v>
      </c>
      <c r="F228" t="str">
        <f>_xlfn.CONCAT(D228,", ",H228,", ",I228,", ","浙江省")</f>
        <v>大源乡, 云和县, 丽水市, 浙江省</v>
      </c>
      <c r="G228">
        <v>970</v>
      </c>
      <c r="H228" t="s">
        <v>2959</v>
      </c>
      <c r="I228" t="s">
        <v>2949</v>
      </c>
      <c r="J228" t="e">
        <f>VLOOKUP(F228,[1]!china_towns_second__2[[Column1]:[Y]],3,FALSE)</f>
        <v>#N/A</v>
      </c>
      <c r="K228" t="e">
        <f>VLOOKUP(F228,[1]!china_towns_second__2[[Column1]:[Y]],2,FALSE)</f>
        <v>#N/A</v>
      </c>
      <c r="L228" t="s">
        <v>3866</v>
      </c>
      <c r="M228" t="str">
        <f>VLOOKUP(H228,CHOOSE({1,2},Table12[Native],Table12[Name]),2,0)</f>
        <v>Yúnhé Xiàn</v>
      </c>
      <c r="N228" s="15" t="str">
        <f>VLOOKUP(I228,CHOOSE({1,2},Table12[Native],Table12[Name]),2,0)</f>
        <v>Lìshuĭ Shì</v>
      </c>
      <c r="O228" s="15" t="str">
        <f t="shared" si="6"/>
        <v>Dayuan Xiang (Lìshuĭ Shì)</v>
      </c>
      <c r="P228" s="15" t="str">
        <f t="shared" si="7"/>
        <v>Dayuan Xiang (Lìshuĭ Shì)</v>
      </c>
    </row>
    <row r="229" spans="1:16" hidden="1" x14ac:dyDescent="0.25">
      <c r="A229" t="s">
        <v>85</v>
      </c>
      <c r="B229" t="str">
        <f>IF(COUNTIF(A:A,A229)&gt;1,_xlfn.CONCAT(A229," (",N229,")"),A229)</f>
        <v>Dàyuán Zhèn (Hángzhōu Shì)</v>
      </c>
      <c r="C229" t="str">
        <f>IF(COUNTIF(B:B,B229)&gt;1,_xlfn.CONCAT(A229," (",M229,")"),B229)</f>
        <v>Dàyuán Zhèn (Hángzhōu Shì)</v>
      </c>
      <c r="D229" t="s">
        <v>86</v>
      </c>
      <c r="E229" t="s">
        <v>11</v>
      </c>
      <c r="F229" t="str">
        <f>_xlfn.CONCAT(D229,", ",H229,", ",I229,", ","浙江省")</f>
        <v>大源镇, 富阳区, 杭州市, 浙江省</v>
      </c>
      <c r="G229">
        <v>35231</v>
      </c>
      <c r="H229" t="s">
        <v>2908</v>
      </c>
      <c r="I229" t="s">
        <v>2903</v>
      </c>
      <c r="J229">
        <f>VLOOKUP(F229,[1]!china_towns_second__2[[Column1]:[Y]],3,FALSE)</f>
        <v>29.944647818660801</v>
      </c>
      <c r="K229">
        <f>VLOOKUP(F229,[1]!china_towns_second__2[[Column1]:[Y]],2,FALSE)</f>
        <v>120.021805</v>
      </c>
      <c r="L229" t="s">
        <v>3867</v>
      </c>
      <c r="M229" t="str">
        <f>VLOOKUP(H229,CHOOSE({1,2},Table12[Native],Table12[Name]),2,0)</f>
        <v>Fùyáng Qū</v>
      </c>
      <c r="N229" s="15" t="str">
        <f>VLOOKUP(I229,CHOOSE({1,2},Table12[Native],Table12[Name]),2,0)</f>
        <v>Hángzhōu Shì</v>
      </c>
      <c r="O229" s="15" t="str">
        <f t="shared" si="6"/>
        <v>Dayuan Zhen (Hangzhou Shi) (Hángzhōu Shì)</v>
      </c>
      <c r="P229" s="15" t="str">
        <f t="shared" si="7"/>
        <v>Dayuan Zhen (Hangzhou Shi) (Hángzhōu Shì)</v>
      </c>
    </row>
    <row r="230" spans="1:16" hidden="1" x14ac:dyDescent="0.25">
      <c r="A230" t="s">
        <v>85</v>
      </c>
      <c r="B230" t="str">
        <f>IF(COUNTIF(A:A,A230)&gt;1,_xlfn.CONCAT(A230," (",N230,")"),A230)</f>
        <v>Dàyuán Zhèn (Lìshuĭ Shì)</v>
      </c>
      <c r="C230" t="str">
        <f>IF(COUNTIF(B:B,B230)&gt;1,_xlfn.CONCAT(A230," (",M230,")"),B230)</f>
        <v>Dàyuán Zhèn (Lìshuĭ Shì)</v>
      </c>
      <c r="D230" t="s">
        <v>86</v>
      </c>
      <c r="E230" t="s">
        <v>11</v>
      </c>
      <c r="F230" t="str">
        <f>_xlfn.CONCAT(D230,", ",H230,", ",I230,", ","浙江省")</f>
        <v>大源镇, 缙云县, 丽水市, 浙江省</v>
      </c>
      <c r="G230">
        <v>9570</v>
      </c>
      <c r="H230" t="s">
        <v>2952</v>
      </c>
      <c r="I230" t="s">
        <v>2949</v>
      </c>
      <c r="J230">
        <f>VLOOKUP(F230,[1]!china_towns_second__2[[Column1]:[Y]],3,FALSE)</f>
        <v>28.606853990301801</v>
      </c>
      <c r="K230">
        <f>VLOOKUP(F230,[1]!china_towns_second__2[[Column1]:[Y]],2,FALSE)</f>
        <v>120.3166406</v>
      </c>
      <c r="L230" t="s">
        <v>3868</v>
      </c>
      <c r="M230" t="str">
        <f>VLOOKUP(H230,CHOOSE({1,2},Table12[Native],Table12[Name]),2,0)</f>
        <v>Jìnyún Xiàn</v>
      </c>
      <c r="N230" s="15" t="str">
        <f>VLOOKUP(I230,CHOOSE({1,2},Table12[Native],Table12[Name]),2,0)</f>
        <v>Lìshuĭ Shì</v>
      </c>
      <c r="O230" s="15" t="str">
        <f t="shared" si="6"/>
        <v>Dayuan Zhen (Lishui Shi) (Lìshuĭ Shì)</v>
      </c>
      <c r="P230" s="15" t="str">
        <f t="shared" si="7"/>
        <v>Dayuan Zhen (Lishui Shi) (Lìshuĭ Shì)</v>
      </c>
    </row>
    <row r="231" spans="1:16" hidden="1" x14ac:dyDescent="0.25">
      <c r="A231" t="s">
        <v>573</v>
      </c>
      <c r="B231" t="str">
        <f>IF(COUNTIF(A:A,A231)&gt;1,_xlfn.CONCAT(A231," (",N231,")"),A231)</f>
        <v>Dàyún Zhèn</v>
      </c>
      <c r="C231" t="str">
        <f>IF(COUNTIF(B:B,B231)&gt;1,_xlfn.CONCAT(A231," (",M231,")"),B231)</f>
        <v>Dàyún Zhèn</v>
      </c>
      <c r="D231" t="s">
        <v>574</v>
      </c>
      <c r="E231" t="s">
        <v>11</v>
      </c>
      <c r="F231" t="str">
        <f>_xlfn.CONCAT(D231,", ",H231,", ",I231,", ","浙江省")</f>
        <v>大云镇, 嘉善县, 嘉兴市, 浙江省</v>
      </c>
      <c r="G231">
        <v>23428</v>
      </c>
      <c r="H231" t="s">
        <v>2932</v>
      </c>
      <c r="I231" t="s">
        <v>2929</v>
      </c>
      <c r="J231">
        <f>VLOOKUP(F231,[1]!china_towns_second__2[[Column1]:[Y]],3,FALSE)</f>
        <v>30.795539156956</v>
      </c>
      <c r="K231">
        <f>VLOOKUP(F231,[1]!china_towns_second__2[[Column1]:[Y]],2,FALSE)</f>
        <v>120.94982760000001</v>
      </c>
      <c r="L231" t="s">
        <v>3869</v>
      </c>
      <c r="M231" t="str">
        <f>VLOOKUP(H231,CHOOSE({1,2},Table12[Native],Table12[Name]),2,0)</f>
        <v>Jiāshàn Xiàn</v>
      </c>
      <c r="N231" s="15" t="str">
        <f>VLOOKUP(I231,CHOOSE({1,2},Table12[Native],Table12[Name]),2,0)</f>
        <v>Jiāxīng Shì</v>
      </c>
      <c r="O231" s="15" t="str">
        <f t="shared" si="6"/>
        <v>Dayun Zhen (Jiāxīng Shì)</v>
      </c>
      <c r="P231" s="15" t="str">
        <f t="shared" si="7"/>
        <v>Dayun Zhen (Jiāxīng Shì)</v>
      </c>
    </row>
    <row r="232" spans="1:16" hidden="1" x14ac:dyDescent="0.25">
      <c r="A232" t="s">
        <v>2082</v>
      </c>
      <c r="B232" t="str">
        <f>IF(COUNTIF(A:A,A232)&gt;1,_xlfn.CONCAT(A232," (",N232,")"),A232)</f>
        <v>Dàzhàn Xiāng</v>
      </c>
      <c r="C232" t="str">
        <f>IF(COUNTIF(B:B,B232)&gt;1,_xlfn.CONCAT(A232," (",M232,")"),B232)</f>
        <v>Dàzhàn Xiāng</v>
      </c>
      <c r="D232" t="s">
        <v>2083</v>
      </c>
      <c r="E232" t="s">
        <v>7</v>
      </c>
      <c r="F232" t="str">
        <f>_xlfn.CONCAT(D232,", ",H232,", ",I232,", ","浙江省")</f>
        <v>大战乡, 仙居县, 台州市, 浙江省</v>
      </c>
      <c r="G232">
        <v>8021</v>
      </c>
      <c r="H232" t="s">
        <v>2997</v>
      </c>
      <c r="I232" t="s">
        <v>2989</v>
      </c>
      <c r="J232" t="e">
        <f>VLOOKUP(F232,[1]!china_towns_second__2[[Column1]:[Y]],3,FALSE)</f>
        <v>#N/A</v>
      </c>
      <c r="K232" t="e">
        <f>VLOOKUP(F232,[1]!china_towns_second__2[[Column1]:[Y]],2,FALSE)</f>
        <v>#N/A</v>
      </c>
      <c r="L232" t="s">
        <v>3870</v>
      </c>
      <c r="M232" t="str">
        <f>VLOOKUP(H232,CHOOSE({1,2},Table12[Native],Table12[Name]),2,0)</f>
        <v>Xiānjū Xiàn</v>
      </c>
      <c r="N232" s="15" t="str">
        <f>VLOOKUP(I232,CHOOSE({1,2},Table12[Native],Table12[Name]),2,0)</f>
        <v>Táizhōu Shì</v>
      </c>
      <c r="O232" s="15" t="str">
        <f t="shared" si="6"/>
        <v>Dazhan Xiang (Táizhōu Shì)</v>
      </c>
      <c r="P232" s="15" t="str">
        <f t="shared" si="7"/>
        <v>Dazhan Xiang (Táizhōu Shì)</v>
      </c>
    </row>
    <row r="233" spans="1:16" hidden="1" x14ac:dyDescent="0.25">
      <c r="A233" t="s">
        <v>1064</v>
      </c>
      <c r="B233" t="str">
        <f>IF(COUNTIF(A:A,A233)&gt;1,_xlfn.CONCAT(A233," (",N233,")"),A233)</f>
        <v>Dàzhè Zhèn</v>
      </c>
      <c r="C233" t="str">
        <f>IF(COUNTIF(B:B,B233)&gt;1,_xlfn.CONCAT(A233," (",M233,")"),B233)</f>
        <v>Dàzhè Zhèn</v>
      </c>
      <c r="D233" t="s">
        <v>1065</v>
      </c>
      <c r="E233" t="s">
        <v>11</v>
      </c>
      <c r="F233" t="str">
        <f>_xlfn.CONCAT(D233,", ",H233,", ",I233,", ","浙江省")</f>
        <v>大柘镇, 遂昌县, 丽水市, 浙江省</v>
      </c>
      <c r="G233">
        <v>12733</v>
      </c>
      <c r="H233" t="s">
        <v>2958</v>
      </c>
      <c r="I233" t="s">
        <v>2949</v>
      </c>
      <c r="J233">
        <f>VLOOKUP(F233,[1]!china_towns_second__2[[Column1]:[Y]],3,FALSE)</f>
        <v>28.528370893561402</v>
      </c>
      <c r="K233">
        <f>VLOOKUP(F233,[1]!china_towns_second__2[[Column1]:[Y]],2,FALSE)</f>
        <v>119.1121023</v>
      </c>
      <c r="L233" t="s">
        <v>3871</v>
      </c>
      <c r="M233" t="str">
        <f>VLOOKUP(H233,CHOOSE({1,2},Table12[Native],Table12[Name]),2,0)</f>
        <v>Suìchāng Xiàn</v>
      </c>
      <c r="N233" s="15" t="str">
        <f>VLOOKUP(I233,CHOOSE({1,2},Table12[Native],Table12[Name]),2,0)</f>
        <v>Lìshuĭ Shì</v>
      </c>
      <c r="O233" s="15" t="str">
        <f t="shared" si="6"/>
        <v>Dazhe Zhen (Lìshuĭ Shì)</v>
      </c>
      <c r="P233" s="15" t="str">
        <f t="shared" si="7"/>
        <v>Dazhe Zhen (Lìshuĭ Shì)</v>
      </c>
    </row>
    <row r="234" spans="1:16" hidden="1" x14ac:dyDescent="0.25">
      <c r="A234" t="s">
        <v>1669</v>
      </c>
      <c r="B234" t="str">
        <f>IF(COUNTIF(A:A,A234)&gt;1,_xlfn.CONCAT(A234," (",N234,")"),A234)</f>
        <v>Dàzhōu Zhèn</v>
      </c>
      <c r="C234" t="str">
        <f>IF(COUNTIF(B:B,B234)&gt;1,_xlfn.CONCAT(A234," (",M234,")"),B234)</f>
        <v>Dàzhōu Zhèn</v>
      </c>
      <c r="D234" t="s">
        <v>1670</v>
      </c>
      <c r="E234" t="s">
        <v>11</v>
      </c>
      <c r="F234" t="str">
        <f>_xlfn.CONCAT(D234,", ",H234,", ",I234,", ","浙江省")</f>
        <v>大洲镇, 衢江区, 衢州市, 浙江省</v>
      </c>
      <c r="G234">
        <v>13086</v>
      </c>
      <c r="H234" t="s">
        <v>2979</v>
      </c>
      <c r="I234" t="s">
        <v>2973</v>
      </c>
      <c r="J234">
        <f>VLOOKUP(F234,[1]!china_towns_second__2[[Column1]:[Y]],3,FALSE)</f>
        <v>28.814554282992798</v>
      </c>
      <c r="K234">
        <f>VLOOKUP(F234,[1]!china_towns_second__2[[Column1]:[Y]],2,FALSE)</f>
        <v>119.01557099999999</v>
      </c>
      <c r="L234" t="s">
        <v>3872</v>
      </c>
      <c r="M234" t="str">
        <f>VLOOKUP(H234,CHOOSE({1,2},Table12[Native],Table12[Name]),2,0)</f>
        <v>Qújiāng Qū</v>
      </c>
      <c r="N234" s="15" t="str">
        <f>VLOOKUP(I234,CHOOSE({1,2},Table12[Native],Table12[Name]),2,0)</f>
        <v>Qúzhōu Shì</v>
      </c>
      <c r="O234" s="15" t="str">
        <f t="shared" si="6"/>
        <v>Dazhou Zhen (Qúzhōu Shì)</v>
      </c>
      <c r="P234" s="15" t="str">
        <f t="shared" si="7"/>
        <v>Dazhou Zhen (Qúzhōu Shì)</v>
      </c>
    </row>
    <row r="235" spans="1:16" hidden="1" x14ac:dyDescent="0.25">
      <c r="A235" t="s">
        <v>436</v>
      </c>
      <c r="B235" t="str">
        <f>IF(COUNTIF(A:A,A235)&gt;1,_xlfn.CONCAT(A235," (",N235,")"),A235)</f>
        <v>Déqīng Jīngjì Kāifāqū</v>
      </c>
      <c r="C235" t="str">
        <f>IF(COUNTIF(B:B,B235)&gt;1,_xlfn.CONCAT(A235," (",M235,")"),B235)</f>
        <v>Déqīng Jīngjì Kāifāqū</v>
      </c>
      <c r="D235" t="s">
        <v>437</v>
      </c>
      <c r="E235" t="s">
        <v>253</v>
      </c>
      <c r="F235" t="str">
        <f>_xlfn.CONCAT(D235,", ",H235,", ",I235,", ","浙江省")</f>
        <v>德清经济开发区, 德清县, 湖州市, 浙江省</v>
      </c>
      <c r="G235">
        <v>26289</v>
      </c>
      <c r="H235" t="s">
        <v>2925</v>
      </c>
      <c r="I235" t="s">
        <v>2922</v>
      </c>
      <c r="J235" t="e">
        <f>VLOOKUP(F235,[1]!china_towns_second__2[[Column1]:[Y]],3,FALSE)</f>
        <v>#N/A</v>
      </c>
      <c r="K235" t="e">
        <f>VLOOKUP(F235,[1]!china_towns_second__2[[Column1]:[Y]],2,FALSE)</f>
        <v>#N/A</v>
      </c>
      <c r="L235" t="s">
        <v>3873</v>
      </c>
      <c r="M235" t="str">
        <f>VLOOKUP(H235,CHOOSE({1,2},Table12[Native],Table12[Name]),2,0)</f>
        <v>Déqīng Xiàn</v>
      </c>
      <c r="N235" s="15" t="str">
        <f>VLOOKUP(I235,CHOOSE({1,2},Table12[Native],Table12[Name]),2,0)</f>
        <v>Húzhōu Shì</v>
      </c>
      <c r="O235" s="15" t="str">
        <f t="shared" si="6"/>
        <v>Deqing Jingji Kaifaqu (Húzhōu Shì)</v>
      </c>
      <c r="P235" s="15" t="str">
        <f t="shared" si="7"/>
        <v>Deqing Jingji Kaifaqu (Húzhōu Shì)</v>
      </c>
    </row>
    <row r="236" spans="1:16" hidden="1" x14ac:dyDescent="0.25">
      <c r="A236" t="s">
        <v>1866</v>
      </c>
      <c r="B236" t="str">
        <f>IF(COUNTIF(A:A,A236)&gt;1,_xlfn.CONCAT(A236," (",N236,")"),A236)</f>
        <v>Diànkŏu Zhèn [incl. Ruănshì Zhèn]</v>
      </c>
      <c r="C236" t="str">
        <f>IF(COUNTIF(B:B,B236)&gt;1,_xlfn.CONCAT(A236," (",M236,")"),B236)</f>
        <v>Diànkŏu Zhèn [incl. Ruănshì Zhèn]</v>
      </c>
      <c r="D236" t="s">
        <v>1867</v>
      </c>
      <c r="E236" t="s">
        <v>11</v>
      </c>
      <c r="F236" t="str">
        <f>_xlfn.CONCAT(D236,", ",H236,", ",I236,", ","浙江省")</f>
        <v>店口镇, 诸暨市, 绍兴市, 浙江省</v>
      </c>
      <c r="G236">
        <v>121985</v>
      </c>
      <c r="H236" t="s">
        <v>2987</v>
      </c>
      <c r="I236" t="s">
        <v>2981</v>
      </c>
      <c r="J236">
        <f>VLOOKUP(F236,[1]!china_towns_second__2[[Column1]:[Y]],3,FALSE)</f>
        <v>29.919088050970299</v>
      </c>
      <c r="K236">
        <f>VLOOKUP(F236,[1]!china_towns_second__2[[Column1]:[Y]],2,FALSE)</f>
        <v>120.33132019999999</v>
      </c>
      <c r="L236" t="s">
        <v>3874</v>
      </c>
      <c r="M236" t="str">
        <f>VLOOKUP(H236,CHOOSE({1,2},Table12[Native],Table12[Name]),2,0)</f>
        <v>Zhūjì Shì</v>
      </c>
      <c r="N236" s="15" t="str">
        <f>VLOOKUP(I236,CHOOSE({1,2},Table12[Native],Table12[Name]),2,0)</f>
        <v>Shàoxīng Shì</v>
      </c>
      <c r="O236" s="15" t="str">
        <f t="shared" si="6"/>
        <v>Diankou Zhen [incl. Ruanshi Zhen] (Shàoxīng Shì)</v>
      </c>
      <c r="P236" s="15" t="str">
        <f t="shared" si="7"/>
        <v>Diankou Zhen [incl. Ruanshi Zhen] (Shàoxīng Shì)</v>
      </c>
    </row>
    <row r="237" spans="1:16" hidden="1" x14ac:dyDescent="0.25">
      <c r="A237" t="s">
        <v>1868</v>
      </c>
      <c r="B237" t="str">
        <f>IF(COUNTIF(A:A,A237)&gt;1,_xlfn.CONCAT(A237," (",N237,")"),A237)</f>
        <v>Dídàng Jiēdào</v>
      </c>
      <c r="C237" t="str">
        <f>IF(COUNTIF(B:B,B237)&gt;1,_xlfn.CONCAT(A237," (",M237,")"),B237)</f>
        <v>Dídàng Jiēdào</v>
      </c>
      <c r="D237" t="s">
        <v>1869</v>
      </c>
      <c r="E237" t="s">
        <v>15</v>
      </c>
      <c r="F237" t="str">
        <f>_xlfn.CONCAT(D237,", ",H237,", ",I237,", ","浙江省")</f>
        <v>迪荡街道, 越城区, 绍兴市, 浙江省</v>
      </c>
      <c r="G237">
        <v>18372</v>
      </c>
      <c r="H237" t="s">
        <v>2986</v>
      </c>
      <c r="I237" t="s">
        <v>2981</v>
      </c>
      <c r="J237">
        <f>VLOOKUP(F237,[1]!china_towns_second__2[[Column1]:[Y]],3,FALSE)</f>
        <v>30.007752257175401</v>
      </c>
      <c r="K237">
        <f>VLOOKUP(F237,[1]!china_towns_second__2[[Column1]:[Y]],2,FALSE)</f>
        <v>120.60680189999999</v>
      </c>
      <c r="L237" t="s">
        <v>3875</v>
      </c>
      <c r="M237" t="str">
        <f>VLOOKUP(H237,CHOOSE({1,2},Table12[Native],Table12[Name]),2,0)</f>
        <v>Yuèchéng Qū</v>
      </c>
      <c r="N237" s="15" t="str">
        <f>VLOOKUP(I237,CHOOSE({1,2},Table12[Native],Table12[Name]),2,0)</f>
        <v>Shàoxīng Shì</v>
      </c>
      <c r="O237" s="15" t="str">
        <f t="shared" si="6"/>
        <v>Didang Jiedao (Shàoxīng Shì)</v>
      </c>
      <c r="P237" s="15" t="str">
        <f t="shared" si="7"/>
        <v>Didang Jiedao (Shàoxīng Shì)</v>
      </c>
    </row>
    <row r="238" spans="1:16" hidden="1" x14ac:dyDescent="0.25">
      <c r="A238" t="s">
        <v>87</v>
      </c>
      <c r="B238" t="str">
        <f>IF(COUNTIF(A:A,A238)&gt;1,_xlfn.CONCAT(A238," (",N238,")"),A238)</f>
        <v>Dīnglán Jiēdào [← Dīngqiáo Zhèn]</v>
      </c>
      <c r="C238" t="str">
        <f>IF(COUNTIF(B:B,B238)&gt;1,_xlfn.CONCAT(A238," (",M238,")"),B238)</f>
        <v>Dīnglán Jiēdào [← Dīngqiáo Zhèn]</v>
      </c>
      <c r="D238" t="s">
        <v>88</v>
      </c>
      <c r="E238" t="s">
        <v>15</v>
      </c>
      <c r="F238" t="str">
        <f>_xlfn.CONCAT(D238,", ",H238,", ",I238,", ","浙江省")</f>
        <v>丁兰街道, 上城区, 杭州市, 浙江省</v>
      </c>
      <c r="G238">
        <v>34377</v>
      </c>
      <c r="H238" t="s">
        <v>2915</v>
      </c>
      <c r="I238" t="s">
        <v>2903</v>
      </c>
      <c r="J238" t="e">
        <f>VLOOKUP(F238,[1]!china_towns_second__2[[Column1]:[Y]],3,FALSE)</f>
        <v>#N/A</v>
      </c>
      <c r="K238" t="e">
        <f>VLOOKUP(F238,[1]!china_towns_second__2[[Column1]:[Y]],2,FALSE)</f>
        <v>#N/A</v>
      </c>
      <c r="L238" t="s">
        <v>3876</v>
      </c>
      <c r="M238" t="str">
        <f>VLOOKUP(H238,CHOOSE({1,2},Table12[Native],Table12[Name]),2,0)</f>
        <v>Shàngchéng Qū</v>
      </c>
      <c r="N238" s="15" t="str">
        <f>VLOOKUP(I238,CHOOSE({1,2},Table12[Native],Table12[Name]),2,0)</f>
        <v>Hángzhōu Shì</v>
      </c>
      <c r="O238" s="15" t="str">
        <f t="shared" si="6"/>
        <v>Dinglan Jiedao [← Dingqiao Zhen] (Hángzhōu Shì)</v>
      </c>
      <c r="P238" s="15" t="str">
        <f t="shared" si="7"/>
        <v>Dinglan Jiedao [← Dingqiao Zhen] (Hángzhōu Shì)</v>
      </c>
    </row>
    <row r="239" spans="1:16" hidden="1" x14ac:dyDescent="0.25">
      <c r="A239" t="s">
        <v>576</v>
      </c>
      <c r="B239" t="str">
        <f>IF(COUNTIF(A:A,A239)&gt;1,_xlfn.CONCAT(A239," (",N239,")"),A239)</f>
        <v>Dīngqiáo Zhèn</v>
      </c>
      <c r="C239" t="str">
        <f>IF(COUNTIF(B:B,B239)&gt;1,_xlfn.CONCAT(A239," (",M239,")"),B239)</f>
        <v>Dīngqiáo Zhèn</v>
      </c>
      <c r="D239" t="s">
        <v>577</v>
      </c>
      <c r="E239" t="s">
        <v>11</v>
      </c>
      <c r="F239" t="str">
        <f>_xlfn.CONCAT(D239,", ",H239,", ",I239,", ","浙江省")</f>
        <v>丁桥镇, 海宁市, 嘉兴市, 浙江省</v>
      </c>
      <c r="G239">
        <v>45954</v>
      </c>
      <c r="H239" t="s">
        <v>2930</v>
      </c>
      <c r="I239" t="s">
        <v>2929</v>
      </c>
      <c r="J239">
        <f>VLOOKUP(F239,[1]!china_towns_second__2[[Column1]:[Y]],3,FALSE)</f>
        <v>30.414938599979799</v>
      </c>
      <c r="K239">
        <f>VLOOKUP(F239,[1]!china_towns_second__2[[Column1]:[Y]],2,FALSE)</f>
        <v>120.6623096</v>
      </c>
      <c r="L239" t="s">
        <v>3877</v>
      </c>
      <c r="M239" t="str">
        <f>VLOOKUP(H239,CHOOSE({1,2},Table12[Native],Table12[Name]),2,0)</f>
        <v>Hăiníng Shì</v>
      </c>
      <c r="N239" s="15" t="str">
        <f>VLOOKUP(I239,CHOOSE({1,2},Table12[Native],Table12[Name]),2,0)</f>
        <v>Jiāxīng Shì</v>
      </c>
      <c r="O239" s="15" t="str">
        <f t="shared" si="6"/>
        <v>Dingqiao Zhen (Jiāxīng Shì)</v>
      </c>
      <c r="P239" s="15" t="str">
        <f t="shared" si="7"/>
        <v>Dingqiao Zhen (Jiāxīng Shì)</v>
      </c>
    </row>
    <row r="240" spans="1:16" hidden="1" x14ac:dyDescent="0.25">
      <c r="A240" t="s">
        <v>1399</v>
      </c>
      <c r="B240" t="str">
        <f>IF(COUNTIF(A:A,A240)&gt;1,_xlfn.CONCAT(A240," (",N240,")"),A240)</f>
        <v>Dìngtáng Zhèn</v>
      </c>
      <c r="C240" t="str">
        <f>IF(COUNTIF(B:B,B240)&gt;1,_xlfn.CONCAT(A240," (",M240,")"),B240)</f>
        <v>Dìngtáng Zhèn</v>
      </c>
      <c r="D240" t="s">
        <v>1400</v>
      </c>
      <c r="E240" t="s">
        <v>11</v>
      </c>
      <c r="F240" t="str">
        <f>_xlfn.CONCAT(D240,", ",H240,", ",I240,", ","浙江省")</f>
        <v>定塘镇, 象山县, 宁波市, 浙江省</v>
      </c>
      <c r="G240">
        <v>19938</v>
      </c>
      <c r="H240" t="s">
        <v>2968</v>
      </c>
      <c r="I240" t="s">
        <v>2961</v>
      </c>
      <c r="J240">
        <f>VLOOKUP(F240,[1]!china_towns_second__2[[Column1]:[Y]],3,FALSE)</f>
        <v>29.2464908734934</v>
      </c>
      <c r="K240">
        <f>VLOOKUP(F240,[1]!china_towns_second__2[[Column1]:[Y]],2,FALSE)</f>
        <v>121.8439443</v>
      </c>
      <c r="L240" t="s">
        <v>3878</v>
      </c>
      <c r="M240" t="str">
        <f>VLOOKUP(H240,CHOOSE({1,2},Table12[Native],Table12[Name]),2,0)</f>
        <v>Xiàngshān Xiàn</v>
      </c>
      <c r="N240" s="15" t="str">
        <f>VLOOKUP(I240,CHOOSE({1,2},Table12[Native],Table12[Name]),2,0)</f>
        <v>Níngbō Shì</v>
      </c>
      <c r="O240" s="15" t="str">
        <f t="shared" si="6"/>
        <v>Dingtang Zhen (Níngbō Shì)</v>
      </c>
      <c r="P240" s="15" t="str">
        <f t="shared" si="7"/>
        <v>Dingtang Zhen (Níngbō Shì)</v>
      </c>
    </row>
    <row r="241" spans="1:16" hidden="1" x14ac:dyDescent="0.25">
      <c r="A241" t="s">
        <v>1870</v>
      </c>
      <c r="B241" t="str">
        <f>IF(COUNTIF(A:A,A241)&gt;1,_xlfn.CONCAT(A241," (",N241,")"),A241)</f>
        <v>Dīngzhái Xiāng</v>
      </c>
      <c r="C241" t="str">
        <f>IF(COUNTIF(B:B,B241)&gt;1,_xlfn.CONCAT(A241," (",M241,")"),B241)</f>
        <v>Dīngzhái Xiāng</v>
      </c>
      <c r="D241" t="s">
        <v>1871</v>
      </c>
      <c r="E241" t="s">
        <v>7</v>
      </c>
      <c r="F241" t="str">
        <f>_xlfn.CONCAT(D241,", ",H241,", ",I241,", ","浙江省")</f>
        <v>丁宅乡, 上虞区, 绍兴市, 浙江省</v>
      </c>
      <c r="G241">
        <v>8112</v>
      </c>
      <c r="H241" t="s">
        <v>2983</v>
      </c>
      <c r="I241" t="s">
        <v>2981</v>
      </c>
      <c r="J241" t="e">
        <f>VLOOKUP(F241,[1]!china_towns_second__2[[Column1]:[Y]],3,FALSE)</f>
        <v>#N/A</v>
      </c>
      <c r="K241" t="e">
        <f>VLOOKUP(F241,[1]!china_towns_second__2[[Column1]:[Y]],2,FALSE)</f>
        <v>#N/A</v>
      </c>
      <c r="L241" t="s">
        <v>3879</v>
      </c>
      <c r="M241" t="str">
        <f>VLOOKUP(H241,CHOOSE({1,2},Table12[Native],Table12[Name]),2,0)</f>
        <v>Shàngyú Qū</v>
      </c>
      <c r="N241" s="15" t="str">
        <f>VLOOKUP(I241,CHOOSE({1,2},Table12[Native],Table12[Name]),2,0)</f>
        <v>Shàoxīng Shì</v>
      </c>
      <c r="O241" s="15" t="str">
        <f t="shared" si="6"/>
        <v>Dingzhai Xiang (Shàoxīng Shì)</v>
      </c>
      <c r="P241" s="15" t="str">
        <f t="shared" si="7"/>
        <v>Dingzhai Xiang (Shàoxīng Shì)</v>
      </c>
    </row>
    <row r="242" spans="1:16" hidden="1" x14ac:dyDescent="0.25">
      <c r="A242" t="s">
        <v>439</v>
      </c>
      <c r="B242" t="str">
        <f>IF(COUNTIF(A:A,A242)&gt;1,_xlfn.CONCAT(A242," (",N242,")"),A242)</f>
        <v>Dìpū Jiēdào</v>
      </c>
      <c r="C242" t="str">
        <f>IF(COUNTIF(B:B,B242)&gt;1,_xlfn.CONCAT(A242," (",M242,")"),B242)</f>
        <v>Dìpū Jiēdào</v>
      </c>
      <c r="D242" t="s">
        <v>440</v>
      </c>
      <c r="E242" t="s">
        <v>15</v>
      </c>
      <c r="F242" t="str">
        <f>_xlfn.CONCAT(D242,", ",H242,", ",I242,", ","浙江省")</f>
        <v>递铺街道, 安吉县, 湖州市, 浙江省</v>
      </c>
      <c r="G242">
        <v>204360</v>
      </c>
      <c r="H242" t="s">
        <v>2923</v>
      </c>
      <c r="I242" t="s">
        <v>2922</v>
      </c>
      <c r="J242" t="e">
        <f>VLOOKUP(F242,[1]!china_towns_second__2[[Column1]:[Y]],3,FALSE)</f>
        <v>#N/A</v>
      </c>
      <c r="K242" t="e">
        <f>VLOOKUP(F242,[1]!china_towns_second__2[[Column1]:[Y]],2,FALSE)</f>
        <v>#N/A</v>
      </c>
      <c r="L242" t="s">
        <v>3880</v>
      </c>
      <c r="M242" t="str">
        <f>VLOOKUP(H242,CHOOSE({1,2},Table12[Native],Table12[Name]),2,0)</f>
        <v>Ānjí Xiàn</v>
      </c>
      <c r="N242" s="15" t="str">
        <f>VLOOKUP(I242,CHOOSE({1,2},Table12[Native],Table12[Name]),2,0)</f>
        <v>Húzhōu Shì</v>
      </c>
      <c r="O242" s="15" t="str">
        <f t="shared" si="6"/>
        <v>Dipu Jiedao (Húzhōu Shì)</v>
      </c>
      <c r="P242" s="15" t="str">
        <f t="shared" si="7"/>
        <v>Dipu Jiedao (Húzhōu Shì)</v>
      </c>
    </row>
    <row r="243" spans="1:16" hidden="1" x14ac:dyDescent="0.25">
      <c r="A243" t="s">
        <v>1401</v>
      </c>
      <c r="B243" t="str">
        <f>IF(COUNTIF(A:A,A243)&gt;1,_xlfn.CONCAT(A243," (",N243,")"),A243)</f>
        <v>Dītáng Jiēdào</v>
      </c>
      <c r="C243" t="str">
        <f>IF(COUNTIF(B:B,B243)&gt;1,_xlfn.CONCAT(A243," (",M243,")"),B243)</f>
        <v>Dītáng Jiēdào</v>
      </c>
      <c r="D243" t="s">
        <v>1402</v>
      </c>
      <c r="E243" t="s">
        <v>15</v>
      </c>
      <c r="F243" t="str">
        <f>_xlfn.CONCAT(D243,", ",H243,", ",I243,", ","浙江省")</f>
        <v>低塘街道, 余姚市, 宁波市, 浙江省</v>
      </c>
      <c r="G243">
        <v>60205</v>
      </c>
      <c r="H243" t="s">
        <v>2970</v>
      </c>
      <c r="I243" t="s">
        <v>2961</v>
      </c>
      <c r="J243">
        <f>VLOOKUP(F243,[1]!china_towns_second__2[[Column1]:[Y]],3,FALSE)</f>
        <v>30.147275417903099</v>
      </c>
      <c r="K243">
        <f>VLOOKUP(F243,[1]!china_towns_second__2[[Column1]:[Y]],2,FALSE)</f>
        <v>121.17294219999999</v>
      </c>
      <c r="L243" t="s">
        <v>3881</v>
      </c>
      <c r="M243" t="str">
        <f>VLOOKUP(H243,CHOOSE({1,2},Table12[Native],Table12[Name]),2,0)</f>
        <v>Yúyáo Shì</v>
      </c>
      <c r="N243" s="15" t="str">
        <f>VLOOKUP(I243,CHOOSE({1,2},Table12[Native],Table12[Name]),2,0)</f>
        <v>Níngbō Shì</v>
      </c>
      <c r="O243" s="15" t="str">
        <f t="shared" si="6"/>
        <v>Ditang Jiedao (Níngbō Shì)</v>
      </c>
      <c r="P243" s="15" t="str">
        <f t="shared" si="7"/>
        <v>Ditang Jiedao (Níngbō Shì)</v>
      </c>
    </row>
    <row r="244" spans="1:16" hidden="1" x14ac:dyDescent="0.25">
      <c r="A244" t="s">
        <v>2341</v>
      </c>
      <c r="B244" t="str">
        <f>IF(COUNTIF(A:A,A244)&gt;1,_xlfn.CONCAT(A244," (",N244,")"),A244)</f>
        <v>Dìyī Nóngchăng</v>
      </c>
      <c r="C244" t="str">
        <f>IF(COUNTIF(B:B,B244)&gt;1,_xlfn.CONCAT(A244," (",M244,")"),B244)</f>
        <v>Dìyī Nóngchăng</v>
      </c>
      <c r="D244" t="s">
        <v>2342</v>
      </c>
      <c r="E244" t="s">
        <v>253</v>
      </c>
      <c r="F244" t="str">
        <f>_xlfn.CONCAT(D244,", ",H244,", ",I244,", ","浙江省")</f>
        <v>第一农场, 平阳县, 温州市, 浙江省</v>
      </c>
      <c r="G244">
        <v>3651</v>
      </c>
      <c r="H244" t="s">
        <v>3006</v>
      </c>
      <c r="I244" t="s">
        <v>3000</v>
      </c>
      <c r="J244" t="e">
        <f>VLOOKUP(F244,[1]!china_towns_second__2[[Column1]:[Y]],3,FALSE)</f>
        <v>#N/A</v>
      </c>
      <c r="K244" t="e">
        <f>VLOOKUP(F244,[1]!china_towns_second__2[[Column1]:[Y]],2,FALSE)</f>
        <v>#N/A</v>
      </c>
      <c r="L244" t="s">
        <v>3882</v>
      </c>
      <c r="M244" t="str">
        <f>VLOOKUP(H244,CHOOSE({1,2},Table12[Native],Table12[Name]),2,0)</f>
        <v>Píngyáng Xiàn</v>
      </c>
      <c r="N244" s="15" t="str">
        <f>VLOOKUP(I244,CHOOSE({1,2},Table12[Native],Table12[Name]),2,0)</f>
        <v>Wēnzhōu Shì</v>
      </c>
      <c r="O244" s="15" t="str">
        <f t="shared" si="6"/>
        <v>Diyi Nongchang (Wēnzhōu Shì)</v>
      </c>
      <c r="P244" s="15" t="str">
        <f t="shared" si="7"/>
        <v>Diyi Nongchang (Wēnzhōu Shì)</v>
      </c>
    </row>
    <row r="245" spans="1:16" hidden="1" x14ac:dyDescent="0.25">
      <c r="A245" t="s">
        <v>1672</v>
      </c>
      <c r="B245" t="str">
        <f>IF(COUNTIF(A:A,A245)&gt;1,_xlfn.CONCAT(A245," (",N245,")"),A245)</f>
        <v>Dōng'àn Xiāng</v>
      </c>
      <c r="C245" t="str">
        <f>IF(COUNTIF(B:B,B245)&gt;1,_xlfn.CONCAT(A245," (",M245,")"),B245)</f>
        <v>Dōng'àn Xiāng</v>
      </c>
      <c r="D245" t="s">
        <v>1673</v>
      </c>
      <c r="E245" t="s">
        <v>7</v>
      </c>
      <c r="F245" t="str">
        <f>_xlfn.CONCAT(D245,", ",H245,", ",I245,", ","浙江省")</f>
        <v>东案乡, 常山县, 衢州市, 浙江省</v>
      </c>
      <c r="G245">
        <v>8555</v>
      </c>
      <c r="H245" t="s">
        <v>2974</v>
      </c>
      <c r="I245" t="s">
        <v>2973</v>
      </c>
      <c r="J245" t="e">
        <f>VLOOKUP(F245,[1]!china_towns_second__2[[Column1]:[Y]],3,FALSE)</f>
        <v>#N/A</v>
      </c>
      <c r="K245" t="e">
        <f>VLOOKUP(F245,[1]!china_towns_second__2[[Column1]:[Y]],2,FALSE)</f>
        <v>#N/A</v>
      </c>
      <c r="L245" t="s">
        <v>3883</v>
      </c>
      <c r="M245" t="str">
        <f>VLOOKUP(H245,CHOOSE({1,2},Table12[Native],Table12[Name]),2,0)</f>
        <v>Chángshān Xiàn</v>
      </c>
      <c r="N245" s="15" t="str">
        <f>VLOOKUP(I245,CHOOSE({1,2},Table12[Native],Table12[Name]),2,0)</f>
        <v>Qúzhōu Shì</v>
      </c>
      <c r="O245" s="15" t="str">
        <f t="shared" si="6"/>
        <v>Dong'an Xiang (Qúzhōu Shì)</v>
      </c>
      <c r="P245" s="15" t="str">
        <f t="shared" si="7"/>
        <v>Dong'an Xiang (Qúzhōu Shì)</v>
      </c>
    </row>
    <row r="246" spans="1:16" hidden="1" x14ac:dyDescent="0.25">
      <c r="A246" t="s">
        <v>1872</v>
      </c>
      <c r="B246" t="str">
        <f>IF(COUNTIF(A:A,A246)&gt;1,_xlfn.CONCAT(A246," (",N246,")"),A246)</f>
        <v>Dōngbáihú Zhèn</v>
      </c>
      <c r="C246" t="str">
        <f>IF(COUNTIF(B:B,B246)&gt;1,_xlfn.CONCAT(A246," (",M246,")"),B246)</f>
        <v>Dōngbáihú Zhèn</v>
      </c>
      <c r="D246" t="s">
        <v>1873</v>
      </c>
      <c r="E246" t="s">
        <v>11</v>
      </c>
      <c r="F246" t="str">
        <f>_xlfn.CONCAT(D246,", ",H246,", ",I246,", ","浙江省")</f>
        <v>东白湖镇, 诸暨市, 绍兴市, 浙江省</v>
      </c>
      <c r="G246">
        <v>23399</v>
      </c>
      <c r="H246" t="s">
        <v>2987</v>
      </c>
      <c r="I246" t="s">
        <v>2981</v>
      </c>
      <c r="J246">
        <f>VLOOKUP(F246,[1]!china_towns_second__2[[Column1]:[Y]],3,FALSE)</f>
        <v>29.572353196077401</v>
      </c>
      <c r="K246">
        <f>VLOOKUP(F246,[1]!china_towns_second__2[[Column1]:[Y]],2,FALSE)</f>
        <v>120.4421225</v>
      </c>
      <c r="L246" t="s">
        <v>3884</v>
      </c>
      <c r="M246" t="str">
        <f>VLOOKUP(H246,CHOOSE({1,2},Table12[Native],Table12[Name]),2,0)</f>
        <v>Zhūjì Shì</v>
      </c>
      <c r="N246" s="15" t="str">
        <f>VLOOKUP(I246,CHOOSE({1,2},Table12[Native],Table12[Name]),2,0)</f>
        <v>Shàoxīng Shì</v>
      </c>
      <c r="O246" s="15" t="str">
        <f t="shared" si="6"/>
        <v>Dongbaihu Zhen (Shàoxīng Shì)</v>
      </c>
      <c r="P246" s="15" t="str">
        <f t="shared" si="7"/>
        <v>Dongbaihu Zhen (Shàoxīng Shì)</v>
      </c>
    </row>
    <row r="247" spans="1:16" hidden="1" x14ac:dyDescent="0.25">
      <c r="A247" t="s">
        <v>1403</v>
      </c>
      <c r="B247" t="str">
        <f>IF(COUNTIF(A:A,A247)&gt;1,_xlfn.CONCAT(A247," (",N247,")"),A247)</f>
        <v>Dōngchén Xiāng</v>
      </c>
      <c r="C247" t="str">
        <f>IF(COUNTIF(B:B,B247)&gt;1,_xlfn.CONCAT(A247," (",M247,")"),B247)</f>
        <v>Dōngchén Xiāng</v>
      </c>
      <c r="D247" t="s">
        <v>1404</v>
      </c>
      <c r="E247" t="s">
        <v>7</v>
      </c>
      <c r="F247" t="str">
        <f>_xlfn.CONCAT(D247,", ",H247,", ",I247,", ","浙江省")</f>
        <v>东陈乡, 象山县, 宁波市, 浙江省</v>
      </c>
      <c r="G247">
        <v>17056</v>
      </c>
      <c r="H247" t="s">
        <v>2968</v>
      </c>
      <c r="I247" t="s">
        <v>2961</v>
      </c>
      <c r="J247" t="e">
        <f>VLOOKUP(F247,[1]!china_towns_second__2[[Column1]:[Y]],3,FALSE)</f>
        <v>#N/A</v>
      </c>
      <c r="K247" t="e">
        <f>VLOOKUP(F247,[1]!china_towns_second__2[[Column1]:[Y]],2,FALSE)</f>
        <v>#N/A</v>
      </c>
      <c r="L247" t="s">
        <v>3885</v>
      </c>
      <c r="M247" t="str">
        <f>VLOOKUP(H247,CHOOSE({1,2},Table12[Native],Table12[Name]),2,0)</f>
        <v>Xiàngshān Xiàn</v>
      </c>
      <c r="N247" s="15" t="str">
        <f>VLOOKUP(I247,CHOOSE({1,2},Table12[Native],Table12[Name]),2,0)</f>
        <v>Níngbō Shì</v>
      </c>
      <c r="O247" s="15" t="str">
        <f t="shared" si="6"/>
        <v>Dongchen Xiang (Níngbō Shì)</v>
      </c>
      <c r="P247" s="15" t="str">
        <f t="shared" si="7"/>
        <v>Dongchen Xiang (Níngbō Shì)</v>
      </c>
    </row>
    <row r="248" spans="1:16" hidden="1" x14ac:dyDescent="0.25">
      <c r="A248" t="s">
        <v>758</v>
      </c>
      <c r="B248" t="str">
        <f>IF(COUNTIF(A:A,A248)&gt;1,_xlfn.CONCAT(A248," (",N248,")"),A248)</f>
        <v>Dōngchéng Jiēdào (Jīnhuá Shì)</v>
      </c>
      <c r="C248" t="str">
        <f>IF(COUNTIF(B:B,B248)&gt;1,_xlfn.CONCAT(A248," (",M248,")"),B248)</f>
        <v>Dōngchéng Jiēdào (Jīnhuá Shì)</v>
      </c>
      <c r="D248" t="s">
        <v>759</v>
      </c>
      <c r="E248" t="s">
        <v>15</v>
      </c>
      <c r="F248" t="str">
        <f>_xlfn.CONCAT(D248,", ",H248,", ",I248,", ","浙江省")</f>
        <v>东城街道, 永康市, 金华市, 浙江省</v>
      </c>
      <c r="G248">
        <v>154493</v>
      </c>
      <c r="H248" t="s">
        <v>2947</v>
      </c>
      <c r="I248" t="s">
        <v>2938</v>
      </c>
      <c r="J248">
        <f>VLOOKUP(F248,[1]!china_towns_second__2[[Column1]:[Y]],3,FALSE)</f>
        <v>28.915245585169401</v>
      </c>
      <c r="K248">
        <f>VLOOKUP(F248,[1]!china_towns_second__2[[Column1]:[Y]],2,FALSE)</f>
        <v>120.0679521</v>
      </c>
      <c r="L248" t="s">
        <v>3886</v>
      </c>
      <c r="M248" t="str">
        <f>VLOOKUP(H248,CHOOSE({1,2},Table12[Native],Table12[Name]),2,0)</f>
        <v>Yŏngkāng Shì</v>
      </c>
      <c r="N248" s="15" t="str">
        <f>VLOOKUP(I248,CHOOSE({1,2},Table12[Native],Table12[Name]),2,0)</f>
        <v>Jīnhuá Shì</v>
      </c>
      <c r="O248" s="15" t="str">
        <f t="shared" si="6"/>
        <v>Dongcheng Jiedao (Jinhua Shi) (Jīnhuá Shì)</v>
      </c>
      <c r="P248" s="15" t="str">
        <f t="shared" si="7"/>
        <v>Dongcheng Jiedao (Jinhua Shi) (Jīnhuá Shì)</v>
      </c>
    </row>
    <row r="249" spans="1:16" hidden="1" x14ac:dyDescent="0.25">
      <c r="A249" t="s">
        <v>758</v>
      </c>
      <c r="B249" t="str">
        <f>IF(COUNTIF(A:A,A249)&gt;1,_xlfn.CONCAT(A249," (",N249,")"),A249)</f>
        <v>Dōngchéng Jiēdào (Táizhōu Shì)</v>
      </c>
      <c r="C249" t="str">
        <f>IF(COUNTIF(B:B,B249)&gt;1,_xlfn.CONCAT(A249," (",M249,")"),B249)</f>
        <v>Dōngchéng Jiēdào (Táizhōu Shì)</v>
      </c>
      <c r="D249" t="s">
        <v>759</v>
      </c>
      <c r="E249" t="s">
        <v>15</v>
      </c>
      <c r="F249" t="str">
        <f>_xlfn.CONCAT(D249,", ",H249,", ",I249,", ","浙江省")</f>
        <v>东城街道, 黄岩区, 台州市, 浙江省</v>
      </c>
      <c r="G249">
        <v>97561</v>
      </c>
      <c r="H249" t="s">
        <v>2990</v>
      </c>
      <c r="I249" t="s">
        <v>2989</v>
      </c>
      <c r="J249">
        <f>VLOOKUP(F249,[1]!china_towns_second__2[[Column1]:[Y]],3,FALSE)</f>
        <v>28.6567978068447</v>
      </c>
      <c r="K249">
        <f>VLOOKUP(F249,[1]!china_towns_second__2[[Column1]:[Y]],2,FALSE)</f>
        <v>121.2786715</v>
      </c>
      <c r="L249" t="s">
        <v>3887</v>
      </c>
      <c r="M249" t="str">
        <f>VLOOKUP(H249,CHOOSE({1,2},Table12[Native],Table12[Name]),2,0)</f>
        <v>Huángyán Qū</v>
      </c>
      <c r="N249" s="15" t="str">
        <f>VLOOKUP(I249,CHOOSE({1,2},Table12[Native],Table12[Name]),2,0)</f>
        <v>Táizhōu Shì</v>
      </c>
      <c r="O249" s="15" t="str">
        <f t="shared" si="6"/>
        <v>Dongcheng Jiedao (Taizhou Shi) (Táizhōu Shì)</v>
      </c>
      <c r="P249" s="15" t="str">
        <f t="shared" si="7"/>
        <v>Dongcheng Jiedao (Taizhou Shi) (Táizhōu Shì)</v>
      </c>
    </row>
    <row r="250" spans="1:16" hidden="1" x14ac:dyDescent="0.25">
      <c r="A250" t="s">
        <v>2343</v>
      </c>
      <c r="B250" t="str">
        <f>IF(COUNTIF(A:A,A250)&gt;1,_xlfn.CONCAT(A250," (",N250,")"),A250)</f>
        <v>Dōngchéng Jiēdào [Shàngtáng Zhèn; incl. Běichéng Jiēdào, Nánchéng Jiēdào]</v>
      </c>
      <c r="C250" t="str">
        <f>IF(COUNTIF(B:B,B250)&gt;1,_xlfn.CONCAT(A250," (",M250,")"),B250)</f>
        <v>Dōngchéng Jiēdào [Shàngtáng Zhèn; incl. Běichéng Jiēdào, Nánchéng Jiēdào]</v>
      </c>
      <c r="D250" t="s">
        <v>759</v>
      </c>
      <c r="E250" t="s">
        <v>15</v>
      </c>
      <c r="F250" t="str">
        <f>_xlfn.CONCAT(D250,", ",H250,", ",I250,", ","浙江省")</f>
        <v>东城街道, 永嘉县, 温州市, 浙江省</v>
      </c>
      <c r="G250">
        <v>112180</v>
      </c>
      <c r="H250" t="s">
        <v>3010</v>
      </c>
      <c r="I250" t="s">
        <v>3000</v>
      </c>
      <c r="J250">
        <f>VLOOKUP(F250,[1]!china_towns_second__2[[Column1]:[Y]],3,FALSE)</f>
        <v>28.1827593422937</v>
      </c>
      <c r="K250">
        <f>VLOOKUP(F250,[1]!china_towns_second__2[[Column1]:[Y]],2,FALSE)</f>
        <v>120.8008329</v>
      </c>
      <c r="L250" t="s">
        <v>3888</v>
      </c>
      <c r="M250" t="str">
        <f>VLOOKUP(H250,CHOOSE({1,2},Table12[Native],Table12[Name]),2,0)</f>
        <v>Yŏngjiā Xiàn</v>
      </c>
      <c r="N250" s="15" t="str">
        <f>VLOOKUP(I250,CHOOSE({1,2},Table12[Native],Table12[Name]),2,0)</f>
        <v>Wēnzhōu Shì</v>
      </c>
      <c r="O250" s="15" t="str">
        <f t="shared" si="6"/>
        <v>Dongcheng Jiedao [Shangtang Zhen; incl. Beicheng Jiedao, Nancheng Jiedao] (Wēnzhōu Shì)</v>
      </c>
      <c r="P250" s="15" t="str">
        <f t="shared" si="7"/>
        <v>Dongcheng Jiedao [Shangtang Zhen; incl. Beicheng Jiedao, Nancheng Jiedao] (Wēnzhōu Shì)</v>
      </c>
    </row>
    <row r="251" spans="1:16" hidden="1" x14ac:dyDescent="0.25">
      <c r="A251" t="s">
        <v>2084</v>
      </c>
      <c r="B251" t="str">
        <f>IF(COUNTIF(A:A,A251)&gt;1,_xlfn.CONCAT(A251," (",N251,")"),A251)</f>
        <v>Dōngchéng Zhèn</v>
      </c>
      <c r="C251" t="str">
        <f>IF(COUNTIF(B:B,B251)&gt;1,_xlfn.CONCAT(A251," (",M251,")"),B251)</f>
        <v>Dōngchéng Zhèn</v>
      </c>
      <c r="D251" t="s">
        <v>2085</v>
      </c>
      <c r="E251" t="s">
        <v>11</v>
      </c>
      <c r="F251" t="str">
        <f>_xlfn.CONCAT(D251,", ",H251,", ",I251,", ","浙江省")</f>
        <v>东塍镇, 临海市, 台州市, 浙江省</v>
      </c>
      <c r="G251">
        <v>51297</v>
      </c>
      <c r="H251" t="s">
        <v>2992</v>
      </c>
      <c r="I251" t="s">
        <v>2989</v>
      </c>
      <c r="J251">
        <f>VLOOKUP(F251,[1]!china_towns_second__2[[Column1]:[Y]],3,FALSE)</f>
        <v>28.938751468945501</v>
      </c>
      <c r="K251">
        <f>VLOOKUP(F251,[1]!china_towns_second__2[[Column1]:[Y]],2,FALSE)</f>
        <v>121.3141506</v>
      </c>
      <c r="L251" t="s">
        <v>3889</v>
      </c>
      <c r="M251" t="str">
        <f>VLOOKUP(H251,CHOOSE({1,2},Table12[Native],Table12[Name]),2,0)</f>
        <v>Línhăi Shì</v>
      </c>
      <c r="N251" s="15" t="str">
        <f>VLOOKUP(I251,CHOOSE({1,2},Table12[Native],Table12[Name]),2,0)</f>
        <v>Táizhōu Shì</v>
      </c>
      <c r="O251" s="15" t="str">
        <f t="shared" si="6"/>
        <v>Dongcheng Zhen (Táizhōu Shì)</v>
      </c>
      <c r="P251" s="15" t="str">
        <f t="shared" si="7"/>
        <v>Dongcheng Zhen (Táizhōu Shì)</v>
      </c>
    </row>
    <row r="252" spans="1:16" hidden="1" x14ac:dyDescent="0.25">
      <c r="A252" t="s">
        <v>1066</v>
      </c>
      <c r="B252" t="str">
        <f>IF(COUNTIF(A:A,A252)&gt;1,_xlfn.CONCAT(A252," (",N252,")"),A252)</f>
        <v>Dōngdù Zhèn</v>
      </c>
      <c r="C252" t="str">
        <f>IF(COUNTIF(B:B,B252)&gt;1,_xlfn.CONCAT(A252," (",M252,")"),B252)</f>
        <v>Dōngdù Zhèn</v>
      </c>
      <c r="D252" t="s">
        <v>1067</v>
      </c>
      <c r="E252" t="s">
        <v>11</v>
      </c>
      <c r="F252" t="str">
        <f>_xlfn.CONCAT(D252,", ",H252,", ",I252,", ","浙江省")</f>
        <v>东渡镇, 缙云县, 丽水市, 浙江省</v>
      </c>
      <c r="G252">
        <v>24974</v>
      </c>
      <c r="H252" t="s">
        <v>2952</v>
      </c>
      <c r="I252" t="s">
        <v>2949</v>
      </c>
      <c r="J252">
        <f>VLOOKUP(F252,[1]!china_towns_second__2[[Column1]:[Y]],3,FALSE)</f>
        <v>28.594913857977701</v>
      </c>
      <c r="K252">
        <f>VLOOKUP(F252,[1]!china_towns_second__2[[Column1]:[Y]],2,FALSE)</f>
        <v>120.06407470000001</v>
      </c>
      <c r="L252" t="s">
        <v>3890</v>
      </c>
      <c r="M252" t="str">
        <f>VLOOKUP(H252,CHOOSE({1,2},Table12[Native],Table12[Name]),2,0)</f>
        <v>Jìnyún Xiàn</v>
      </c>
      <c r="N252" s="15" t="str">
        <f>VLOOKUP(I252,CHOOSE({1,2},Table12[Native],Table12[Name]),2,0)</f>
        <v>Lìshuĭ Shì</v>
      </c>
      <c r="O252" s="15" t="str">
        <f t="shared" si="6"/>
        <v>Dongdu Zhen (Lìshuĭ Shì)</v>
      </c>
      <c r="P252" s="15" t="str">
        <f t="shared" si="7"/>
        <v>Dongdu Zhen (Lìshuĭ Shì)</v>
      </c>
    </row>
    <row r="253" spans="1:16" hidden="1" x14ac:dyDescent="0.25">
      <c r="A253" t="s">
        <v>1068</v>
      </c>
      <c r="B253" t="str">
        <f>IF(COUNTIF(A:A,A253)&gt;1,_xlfn.CONCAT(A253," (",N253,")"),A253)</f>
        <v>Dōngfāng Zhèn</v>
      </c>
      <c r="C253" t="str">
        <f>IF(COUNTIF(B:B,B253)&gt;1,_xlfn.CONCAT(A253," (",M253,")"),B253)</f>
        <v>Dōngfāng Zhèn</v>
      </c>
      <c r="D253" t="s">
        <v>1069</v>
      </c>
      <c r="E253" t="s">
        <v>11</v>
      </c>
      <c r="F253" t="str">
        <f>_xlfn.CONCAT(D253,", ",H253,", ",I253,", ","浙江省")</f>
        <v>东方镇, 缙云县, 丽水市, 浙江省</v>
      </c>
      <c r="G253">
        <v>17577</v>
      </c>
      <c r="H253" t="s">
        <v>2952</v>
      </c>
      <c r="I253" t="s">
        <v>2949</v>
      </c>
      <c r="J253">
        <f>VLOOKUP(F253,[1]!china_towns_second__2[[Column1]:[Y]],3,FALSE)</f>
        <v>28.747143661526</v>
      </c>
      <c r="K253">
        <f>VLOOKUP(F253,[1]!china_towns_second__2[[Column1]:[Y]],2,FALSE)</f>
        <v>120.1866442</v>
      </c>
      <c r="L253" t="s">
        <v>3891</v>
      </c>
      <c r="M253" t="str">
        <f>VLOOKUP(H253,CHOOSE({1,2},Table12[Native],Table12[Name]),2,0)</f>
        <v>Jìnyún Xiàn</v>
      </c>
      <c r="N253" s="15" t="str">
        <f>VLOOKUP(I253,CHOOSE({1,2},Table12[Native],Table12[Name]),2,0)</f>
        <v>Lìshuĭ Shì</v>
      </c>
      <c r="O253" s="15" t="str">
        <f t="shared" si="6"/>
        <v>Dongfang Zhen (Lìshuĭ Shì)</v>
      </c>
      <c r="P253" s="15" t="str">
        <f t="shared" si="7"/>
        <v>Dongfang Zhen (Lìshuĭ Shì)</v>
      </c>
    </row>
    <row r="254" spans="1:16" hidden="1" x14ac:dyDescent="0.25">
      <c r="A254" t="s">
        <v>2846</v>
      </c>
      <c r="B254" t="str">
        <f>IF(COUNTIF(A:A,A254)&gt;1,_xlfn.CONCAT(A254," (",N254,")"),A254)</f>
        <v>Dōnggăng Jiēdào [incl. Gōushān Jiēdào]</v>
      </c>
      <c r="C254" t="str">
        <f>IF(COUNTIF(B:B,B254)&gt;1,_xlfn.CONCAT(A254," (",M254,")"),B254)</f>
        <v>Dōnggăng Jiēdào [incl. Gōushān Jiēdào]</v>
      </c>
      <c r="D254" t="s">
        <v>2847</v>
      </c>
      <c r="E254" t="s">
        <v>15</v>
      </c>
      <c r="F254" t="str">
        <f>_xlfn.CONCAT(D254,", ",H254,", ",I254,", ","浙江省")</f>
        <v>东港街道, 普陀区, 舟山市, 浙江省</v>
      </c>
      <c r="G254">
        <v>83929</v>
      </c>
      <c r="H254" t="s">
        <v>3016</v>
      </c>
      <c r="I254" t="s">
        <v>3013</v>
      </c>
      <c r="J254">
        <f>VLOOKUP(F254,[1]!china_towns_second__2[[Column1]:[Y]],3,FALSE)</f>
        <v>29.9928582548776</v>
      </c>
      <c r="K254">
        <f>VLOOKUP(F254,[1]!china_towns_second__2[[Column1]:[Y]],2,FALSE)</f>
        <v>122.2936167</v>
      </c>
      <c r="L254" t="s">
        <v>3892</v>
      </c>
      <c r="M254" t="str">
        <f>VLOOKUP(H254,CHOOSE({1,2},Table12[Native],Table12[Name]),2,0)</f>
        <v>Pŭtuó Qū</v>
      </c>
      <c r="N254" s="15" t="str">
        <f>VLOOKUP(I254,CHOOSE({1,2},Table12[Native],Table12[Name]),2,0)</f>
        <v>Zhōushān Shì</v>
      </c>
      <c r="O254" s="15" t="str">
        <f t="shared" si="6"/>
        <v>Donggang Jiedao [incl. Goushan Jiedao] (Zhōushān Shì)</v>
      </c>
      <c r="P254" s="15" t="str">
        <f t="shared" si="7"/>
        <v>Donggang Jiedao [incl. Goushan Jiedao] (Zhōushān Shì)</v>
      </c>
    </row>
    <row r="255" spans="1:16" hidden="1" x14ac:dyDescent="0.25">
      <c r="A255" t="s">
        <v>2344</v>
      </c>
      <c r="B255" t="str">
        <f>IF(COUNTIF(A:A,A255)&gt;1,_xlfn.CONCAT(A255," (",N255,")"),A255)</f>
        <v>Dōnggāo Xiāng</v>
      </c>
      <c r="C255" t="str">
        <f>IF(COUNTIF(B:B,B255)&gt;1,_xlfn.CONCAT(A255," (",M255,")"),B255)</f>
        <v>Dōnggāo Xiāng</v>
      </c>
      <c r="D255" t="s">
        <v>2345</v>
      </c>
      <c r="E255" t="s">
        <v>7</v>
      </c>
      <c r="F255" t="str">
        <f>_xlfn.CONCAT(D255,", ",H255,", ",I255,", ","浙江省")</f>
        <v>东皋乡, 永嘉县, 温州市, 浙江省</v>
      </c>
      <c r="G255">
        <v>5439</v>
      </c>
      <c r="H255" t="s">
        <v>3010</v>
      </c>
      <c r="I255" t="s">
        <v>3000</v>
      </c>
      <c r="J255" t="e">
        <f>VLOOKUP(F255,[1]!china_towns_second__2[[Column1]:[Y]],3,FALSE)</f>
        <v>#N/A</v>
      </c>
      <c r="K255" t="e">
        <f>VLOOKUP(F255,[1]!china_towns_second__2[[Column1]:[Y]],2,FALSE)</f>
        <v>#N/A</v>
      </c>
      <c r="L255" t="s">
        <v>3893</v>
      </c>
      <c r="M255" t="str">
        <f>VLOOKUP(H255,CHOOSE({1,2},Table12[Native],Table12[Name]),2,0)</f>
        <v>Yŏngjiā Xiàn</v>
      </c>
      <c r="N255" s="15" t="str">
        <f>VLOOKUP(I255,CHOOSE({1,2},Table12[Native],Table12[Name]),2,0)</f>
        <v>Wēnzhōu Shì</v>
      </c>
      <c r="O255" s="15" t="str">
        <f t="shared" si="6"/>
        <v>Donggao Xiang (Wēnzhōu Shì)</v>
      </c>
      <c r="P255" s="15" t="str">
        <f t="shared" si="7"/>
        <v>Donggao Xiang (Wēnzhōu Shì)</v>
      </c>
    </row>
    <row r="256" spans="1:16" hidden="1" x14ac:dyDescent="0.25">
      <c r="A256" t="s">
        <v>1874</v>
      </c>
      <c r="B256" t="str">
        <f>IF(COUNTIF(A:A,A256)&gt;1,_xlfn.CONCAT(A256," (",N256,")"),A256)</f>
        <v>Dōngguān Jiēdào</v>
      </c>
      <c r="C256" t="str">
        <f>IF(COUNTIF(B:B,B256)&gt;1,_xlfn.CONCAT(A256," (",M256,")"),B256)</f>
        <v>Dōngguān Jiēdào</v>
      </c>
      <c r="D256" t="s">
        <v>1875</v>
      </c>
      <c r="E256" t="s">
        <v>15</v>
      </c>
      <c r="F256" t="str">
        <f>_xlfn.CONCAT(D256,", ",H256,", ",I256,", ","浙江省")</f>
        <v>东关街道, 上虞区, 绍兴市, 浙江省</v>
      </c>
      <c r="G256">
        <v>39659</v>
      </c>
      <c r="H256" t="s">
        <v>2983</v>
      </c>
      <c r="I256" t="s">
        <v>2981</v>
      </c>
      <c r="J256">
        <f>VLOOKUP(F256,[1]!china_towns_second__2[[Column1]:[Y]],3,FALSE)</f>
        <v>29.995338717007101</v>
      </c>
      <c r="K256">
        <f>VLOOKUP(F256,[1]!china_towns_second__2[[Column1]:[Y]],2,FALSE)</f>
        <v>120.80319710000001</v>
      </c>
      <c r="L256" t="s">
        <v>3894</v>
      </c>
      <c r="M256" t="str">
        <f>VLOOKUP(H256,CHOOSE({1,2},Table12[Native],Table12[Name]),2,0)</f>
        <v>Shàngyú Qū</v>
      </c>
      <c r="N256" s="15" t="str">
        <f>VLOOKUP(I256,CHOOSE({1,2},Table12[Native],Table12[Name]),2,0)</f>
        <v>Shàoxīng Shì</v>
      </c>
      <c r="O256" s="15" t="str">
        <f t="shared" si="6"/>
        <v>Dongguan Jiedao (Shàoxīng Shì)</v>
      </c>
      <c r="P256" s="15" t="str">
        <f t="shared" si="7"/>
        <v>Dongguan Jiedao (Shàoxīng Shì)</v>
      </c>
    </row>
    <row r="257" spans="1:16" hidden="1" x14ac:dyDescent="0.25">
      <c r="A257" t="s">
        <v>1876</v>
      </c>
      <c r="B257" t="str">
        <f>IF(COUNTIF(A:A,A257)&gt;1,_xlfn.CONCAT(A257," (",N257,")"),A257)</f>
        <v>Dōnghé Xiāng</v>
      </c>
      <c r="C257" t="str">
        <f>IF(COUNTIF(B:B,B257)&gt;1,_xlfn.CONCAT(A257," (",M257,")"),B257)</f>
        <v>Dōnghé Xiāng</v>
      </c>
      <c r="D257" t="s">
        <v>1877</v>
      </c>
      <c r="E257" t="s">
        <v>7</v>
      </c>
      <c r="F257" t="str">
        <f>_xlfn.CONCAT(D257,", ",H257,", ",I257,", ","浙江省")</f>
        <v>东和乡, 诸暨市, 绍兴市, 浙江省</v>
      </c>
      <c r="G257">
        <v>12192</v>
      </c>
      <c r="H257" t="s">
        <v>2987</v>
      </c>
      <c r="I257" t="s">
        <v>2981</v>
      </c>
      <c r="J257" t="e">
        <f>VLOOKUP(F257,[1]!china_towns_second__2[[Column1]:[Y]],3,FALSE)</f>
        <v>#N/A</v>
      </c>
      <c r="K257" t="e">
        <f>VLOOKUP(F257,[1]!china_towns_second__2[[Column1]:[Y]],2,FALSE)</f>
        <v>#N/A</v>
      </c>
      <c r="L257" t="s">
        <v>3895</v>
      </c>
      <c r="M257" t="str">
        <f>VLOOKUP(H257,CHOOSE({1,2},Table12[Native],Table12[Name]),2,0)</f>
        <v>Zhūjì Shì</v>
      </c>
      <c r="N257" s="15" t="str">
        <f>VLOOKUP(I257,CHOOSE({1,2},Table12[Native],Table12[Name]),2,0)</f>
        <v>Shàoxīng Shì</v>
      </c>
      <c r="O257" s="15" t="str">
        <f t="shared" si="6"/>
        <v>Donghe Xiang (Shàoxīng Shì)</v>
      </c>
      <c r="P257" s="15" t="str">
        <f t="shared" si="7"/>
        <v>Donghe Xiang (Shàoxīng Shì)</v>
      </c>
    </row>
    <row r="258" spans="1:16" hidden="1" x14ac:dyDescent="0.25">
      <c r="A258" t="s">
        <v>89</v>
      </c>
      <c r="B258" t="str">
        <f>IF(COUNTIF(A:A,A258)&gt;1,_xlfn.CONCAT(A258," (",N258,")"),A258)</f>
        <v>Dōnghú Jiēdào (Hángzhōu Shì)</v>
      </c>
      <c r="C258" t="str">
        <f>IF(COUNTIF(B:B,B258)&gt;1,_xlfn.CONCAT(A258," (",M258,")"),B258)</f>
        <v>Dōnghú Jiēdào (Hángzhōu Shì)</v>
      </c>
      <c r="D258" t="s">
        <v>90</v>
      </c>
      <c r="E258" t="s">
        <v>15</v>
      </c>
      <c r="F258" t="str">
        <f>_xlfn.CONCAT(D258,", ",H258,", ",I258,", ","浙江省")</f>
        <v>东湖街道, 临平区, 杭州市, 浙江省</v>
      </c>
      <c r="G258">
        <v>47388</v>
      </c>
      <c r="H258" t="s">
        <v>2912</v>
      </c>
      <c r="I258" t="s">
        <v>2903</v>
      </c>
      <c r="J258" t="e">
        <f>VLOOKUP(F258,[1]!china_towns_second__2[[Column1]:[Y]],3,FALSE)</f>
        <v>#N/A</v>
      </c>
      <c r="K258" t="e">
        <f>VLOOKUP(F258,[1]!china_towns_second__2[[Column1]:[Y]],2,FALSE)</f>
        <v>#N/A</v>
      </c>
      <c r="L258" t="s">
        <v>3896</v>
      </c>
      <c r="M258" t="str">
        <f>VLOOKUP(H258,CHOOSE({1,2},Table12[Native],Table12[Name]),2,0)</f>
        <v>Línpíng Qū</v>
      </c>
      <c r="N258" s="15" t="str">
        <f>VLOOKUP(I258,CHOOSE({1,2},Table12[Native],Table12[Name]),2,0)</f>
        <v>Hángzhōu Shì</v>
      </c>
      <c r="O258" s="15" t="str">
        <f t="shared" ref="O258:O321" si="8">_xlfn.CONCAT(L258," (",N258,")")</f>
        <v>Donghu Jiedao (Hangzhou Shi) (Hángzhōu Shì)</v>
      </c>
      <c r="P258" s="15" t="str">
        <f t="shared" ref="P258:P321" si="9">IF(COUNTIF(O:O,O258)&gt;1,_xlfn.CONCAT(L258," (",M258,")"),O258)</f>
        <v>Donghu Jiedao (Hangzhou Shi) (Hángzhōu Shì)</v>
      </c>
    </row>
    <row r="259" spans="1:16" hidden="1" x14ac:dyDescent="0.25">
      <c r="A259" t="s">
        <v>89</v>
      </c>
      <c r="B259" t="str">
        <f>IF(COUNTIF(A:A,A259)&gt;1,_xlfn.CONCAT(A259," (",N259,")"),A259)</f>
        <v>Dōnghú Jiēdào (Shàoxīng Shì)</v>
      </c>
      <c r="C259" t="str">
        <f>IF(COUNTIF(B:B,B259)&gt;1,_xlfn.CONCAT(A259," (",M259,")"),B259)</f>
        <v>Dōnghú Jiēdào (Shàoxīng Shì)</v>
      </c>
      <c r="D259" t="s">
        <v>90</v>
      </c>
      <c r="E259" t="s">
        <v>15</v>
      </c>
      <c r="F259" t="str">
        <f>_xlfn.CONCAT(D259,", ",H259,", ",I259,", ","浙江省")</f>
        <v>东湖街道, 越城区, 绍兴市, 浙江省</v>
      </c>
      <c r="G259">
        <v>52494</v>
      </c>
      <c r="H259" t="s">
        <v>2986</v>
      </c>
      <c r="I259" t="s">
        <v>2981</v>
      </c>
      <c r="J259" t="e">
        <f>VLOOKUP(F259,[1]!china_towns_second__2[[Column1]:[Y]],3,FALSE)</f>
        <v>#N/A</v>
      </c>
      <c r="K259" t="e">
        <f>VLOOKUP(F259,[1]!china_towns_second__2[[Column1]:[Y]],2,FALSE)</f>
        <v>#N/A</v>
      </c>
      <c r="L259" t="s">
        <v>3897</v>
      </c>
      <c r="M259" t="str">
        <f>VLOOKUP(H259,CHOOSE({1,2},Table12[Native],Table12[Name]),2,0)</f>
        <v>Yuèchéng Qū</v>
      </c>
      <c r="N259" s="15" t="str">
        <f>VLOOKUP(I259,CHOOSE({1,2},Table12[Native],Table12[Name]),2,0)</f>
        <v>Shàoxīng Shì</v>
      </c>
      <c r="O259" s="15" t="str">
        <f t="shared" si="8"/>
        <v>Donghu Jiedao (Shaoxing Shi) (Shàoxīng Shì)</v>
      </c>
      <c r="P259" s="15" t="str">
        <f t="shared" si="9"/>
        <v>Donghu Jiedao (Shaoxing Shi) (Shàoxīng Shì)</v>
      </c>
    </row>
    <row r="260" spans="1:16" hidden="1" x14ac:dyDescent="0.25">
      <c r="A260" t="s">
        <v>1674</v>
      </c>
      <c r="B260" t="str">
        <f>IF(COUNTIF(A:A,A260)&gt;1,_xlfn.CONCAT(A260," (",N260,")"),A260)</f>
        <v>Dōnghuá Jiēdào</v>
      </c>
      <c r="C260" t="str">
        <f>IF(COUNTIF(B:B,B260)&gt;1,_xlfn.CONCAT(A260," (",M260,")"),B260)</f>
        <v>Dōnghuá Jiēdào</v>
      </c>
      <c r="D260" t="s">
        <v>1675</v>
      </c>
      <c r="E260" t="s">
        <v>15</v>
      </c>
      <c r="F260" t="str">
        <f>_xlfn.CONCAT(D260,", ",H260,", ",I260,", ","浙江省")</f>
        <v>东华街道, 龙游县, 衢州市, 浙江省</v>
      </c>
      <c r="G260">
        <v>35136</v>
      </c>
      <c r="H260" t="s">
        <v>2978</v>
      </c>
      <c r="I260" t="s">
        <v>2973</v>
      </c>
      <c r="J260">
        <f>VLOOKUP(F260,[1]!china_towns_second__2[[Column1]:[Y]],3,FALSE)</f>
        <v>29.000503211421002</v>
      </c>
      <c r="K260">
        <f>VLOOKUP(F260,[1]!china_towns_second__2[[Column1]:[Y]],2,FALSE)</f>
        <v>119.2039644</v>
      </c>
      <c r="L260" t="s">
        <v>3898</v>
      </c>
      <c r="M260" t="str">
        <f>VLOOKUP(H260,CHOOSE({1,2},Table12[Native],Table12[Name]),2,0)</f>
        <v>Lóngyóu Xiàn</v>
      </c>
      <c r="N260" s="15" t="str">
        <f>VLOOKUP(I260,CHOOSE({1,2},Table12[Native],Table12[Name]),2,0)</f>
        <v>Qúzhōu Shì</v>
      </c>
      <c r="O260" s="15" t="str">
        <f t="shared" si="8"/>
        <v>Donghua Jiedao (Qúzhōu Shì)</v>
      </c>
      <c r="P260" s="15" t="str">
        <f t="shared" si="9"/>
        <v>Donghua Jiedao (Qúzhōu Shì)</v>
      </c>
    </row>
    <row r="261" spans="1:16" hidden="1" x14ac:dyDescent="0.25">
      <c r="A261" t="s">
        <v>2849</v>
      </c>
      <c r="B261" t="str">
        <f>IF(COUNTIF(A:A,A261)&gt;1,_xlfn.CONCAT(A261," (",N261,")"),A261)</f>
        <v>Dōngjí Zhèn</v>
      </c>
      <c r="C261" t="str">
        <f>IF(COUNTIF(B:B,B261)&gt;1,_xlfn.CONCAT(A261," (",M261,")"),B261)</f>
        <v>Dōngjí Zhèn</v>
      </c>
      <c r="D261" t="s">
        <v>2850</v>
      </c>
      <c r="E261" t="s">
        <v>11</v>
      </c>
      <c r="F261" t="str">
        <f>_xlfn.CONCAT(D261,", ",H261,", ",I261,", ","浙江省")</f>
        <v>东极镇, 普陀区, 舟山市, 浙江省</v>
      </c>
      <c r="G261">
        <v>1506</v>
      </c>
      <c r="H261" t="s">
        <v>3016</v>
      </c>
      <c r="I261" t="s">
        <v>3013</v>
      </c>
      <c r="J261">
        <f>VLOOKUP(F261,[1]!china_towns_second__2[[Column1]:[Y]],3,FALSE)</f>
        <v>30.179826817219499</v>
      </c>
      <c r="K261">
        <f>VLOOKUP(F261,[1]!china_towns_second__2[[Column1]:[Y]],2,FALSE)</f>
        <v>122.7030601</v>
      </c>
      <c r="L261" t="s">
        <v>3899</v>
      </c>
      <c r="M261" t="str">
        <f>VLOOKUP(H261,CHOOSE({1,2},Table12[Native],Table12[Name]),2,0)</f>
        <v>Pŭtuó Qū</v>
      </c>
      <c r="N261" s="15" t="str">
        <f>VLOOKUP(I261,CHOOSE({1,2},Table12[Native],Table12[Name]),2,0)</f>
        <v>Zhōushān Shì</v>
      </c>
      <c r="O261" s="15" t="str">
        <f t="shared" si="8"/>
        <v>Dongji Zhen (Zhōushān Shì)</v>
      </c>
      <c r="P261" s="15" t="str">
        <f t="shared" si="9"/>
        <v>Dongji Zhen (Zhōushān Shì)</v>
      </c>
    </row>
    <row r="262" spans="1:16" hidden="1" x14ac:dyDescent="0.25">
      <c r="A262" t="s">
        <v>1405</v>
      </c>
      <c r="B262" t="str">
        <f>IF(COUNTIF(A:A,A262)&gt;1,_xlfn.CONCAT(A262," (",N262,")"),A262)</f>
        <v>Dōngjiāo Jiēdào</v>
      </c>
      <c r="C262" t="str">
        <f>IF(COUNTIF(B:B,B262)&gt;1,_xlfn.CONCAT(A262," (",M262,")"),B262)</f>
        <v>Dōngjiāo Jiēdào</v>
      </c>
      <c r="D262" t="s">
        <v>1406</v>
      </c>
      <c r="E262" t="s">
        <v>15</v>
      </c>
      <c r="F262" t="str">
        <f>_xlfn.CONCAT(D262,", ",H262,", ",I262,", ","浙江省")</f>
        <v>东郊街道, 鄞州区, 宁波市, 浙江省</v>
      </c>
      <c r="G262">
        <v>8523</v>
      </c>
      <c r="H262" t="s">
        <v>2969</v>
      </c>
      <c r="I262" t="s">
        <v>2961</v>
      </c>
      <c r="J262" t="e">
        <f>VLOOKUP(F262,[1]!china_towns_second__2[[Column1]:[Y]],3,FALSE)</f>
        <v>#N/A</v>
      </c>
      <c r="K262" t="e">
        <f>VLOOKUP(F262,[1]!china_towns_second__2[[Column1]:[Y]],2,FALSE)</f>
        <v>#N/A</v>
      </c>
      <c r="L262" t="s">
        <v>3900</v>
      </c>
      <c r="M262" t="str">
        <f>VLOOKUP(H262,CHOOSE({1,2},Table12[Native],Table12[Name]),2,0)</f>
        <v>Yínzhōu Qū</v>
      </c>
      <c r="N262" s="15" t="str">
        <f>VLOOKUP(I262,CHOOSE({1,2},Table12[Native],Table12[Name]),2,0)</f>
        <v>Níngbō Shì</v>
      </c>
      <c r="O262" s="15" t="str">
        <f t="shared" si="8"/>
        <v>Dongjiao Jiedao (Níngbō Shì)</v>
      </c>
      <c r="P262" s="15" t="str">
        <f t="shared" si="9"/>
        <v>Dongjiao Jiedao (Níngbō Shì)</v>
      </c>
    </row>
    <row r="263" spans="1:16" hidden="1" x14ac:dyDescent="0.25">
      <c r="A263" t="s">
        <v>1070</v>
      </c>
      <c r="B263" t="str">
        <f>IF(COUNTIF(A:A,A263)&gt;1,_xlfn.CONCAT(A263," (",N263,")"),A263)</f>
        <v>Dōngkēng Zhèn</v>
      </c>
      <c r="C263" t="str">
        <f>IF(COUNTIF(B:B,B263)&gt;1,_xlfn.CONCAT(A263," (",M263,")"),B263)</f>
        <v>Dōngkēng Zhèn</v>
      </c>
      <c r="D263" t="s">
        <v>1071</v>
      </c>
      <c r="E263" t="s">
        <v>11</v>
      </c>
      <c r="F263" t="str">
        <f>_xlfn.CONCAT(D263,", ",H263,", ",I263,", ","浙江省")</f>
        <v>东坑镇, 景宁畲族自治县, 丽水市, 浙江省</v>
      </c>
      <c r="G263">
        <v>5723</v>
      </c>
      <c r="H263" t="s">
        <v>2951</v>
      </c>
      <c r="I263" t="s">
        <v>2949</v>
      </c>
      <c r="J263">
        <f>VLOOKUP(F263,[1]!china_towns_second__2[[Column1]:[Y]],3,FALSE)</f>
        <v>27.836003256646801</v>
      </c>
      <c r="K263">
        <f>VLOOKUP(F263,[1]!china_towns_second__2[[Column1]:[Y]],2,FALSE)</f>
        <v>119.69956759999999</v>
      </c>
      <c r="L263" t="s">
        <v>3901</v>
      </c>
      <c r="M263" t="str">
        <f>VLOOKUP(H263,CHOOSE({1,2},Table12[Native],Table12[Name]),2,0)</f>
        <v>Jĭngníng Shēzú Zìzhìxiàn</v>
      </c>
      <c r="N263" s="15" t="str">
        <f>VLOOKUP(I263,CHOOSE({1,2},Table12[Native],Table12[Name]),2,0)</f>
        <v>Lìshuĭ Shì</v>
      </c>
      <c r="O263" s="15" t="str">
        <f t="shared" si="8"/>
        <v>Dongkeng Zhen (Lìshuĭ Shì)</v>
      </c>
      <c r="P263" s="15" t="str">
        <f t="shared" si="9"/>
        <v>Dongkeng Zhen (Lìshuĭ Shì)</v>
      </c>
    </row>
    <row r="264" spans="1:16" hidden="1" x14ac:dyDescent="0.25">
      <c r="A264" t="s">
        <v>441</v>
      </c>
      <c r="B264" t="str">
        <f>IF(COUNTIF(A:A,A264)&gt;1,_xlfn.CONCAT(A264," (",N264,")"),A264)</f>
        <v>Dōnglín Zhèn</v>
      </c>
      <c r="C264" t="str">
        <f>IF(COUNTIF(B:B,B264)&gt;1,_xlfn.CONCAT(A264," (",M264,")"),B264)</f>
        <v>Dōnglín Zhèn</v>
      </c>
      <c r="D264" t="s">
        <v>442</v>
      </c>
      <c r="E264" t="s">
        <v>11</v>
      </c>
      <c r="F264" t="str">
        <f>_xlfn.CONCAT(D264,", ",H264,", ",I264,", ","浙江省")</f>
        <v>东林镇, 吴兴区, 湖州市, 浙江省</v>
      </c>
      <c r="G264">
        <v>29825</v>
      </c>
      <c r="H264" t="s">
        <v>2927</v>
      </c>
      <c r="I264" t="s">
        <v>2922</v>
      </c>
      <c r="J264">
        <f>VLOOKUP(F264,[1]!china_towns_second__2[[Column1]:[Y]],3,FALSE)</f>
        <v>30.6911400684508</v>
      </c>
      <c r="K264">
        <f>VLOOKUP(F264,[1]!china_towns_second__2[[Column1]:[Y]],2,FALSE)</f>
        <v>120.0828204</v>
      </c>
      <c r="L264" t="s">
        <v>3902</v>
      </c>
      <c r="M264" t="str">
        <f>VLOOKUP(H264,CHOOSE({1,2},Table12[Native],Table12[Name]),2,0)</f>
        <v>Wúxīng Qū</v>
      </c>
      <c r="N264" s="15" t="str">
        <f>VLOOKUP(I264,CHOOSE({1,2},Table12[Native],Table12[Name]),2,0)</f>
        <v>Húzhōu Shì</v>
      </c>
      <c r="O264" s="15" t="str">
        <f t="shared" si="8"/>
        <v>Donglin Zhen (Húzhōu Shì)</v>
      </c>
      <c r="P264" s="15" t="str">
        <f t="shared" si="9"/>
        <v>Donglin Zhen (Húzhōu Shì)</v>
      </c>
    </row>
    <row r="265" spans="1:16" hidden="1" x14ac:dyDescent="0.25">
      <c r="A265" t="s">
        <v>1407</v>
      </c>
      <c r="B265" t="str">
        <f>IF(COUNTIF(A:A,A265)&gt;1,_xlfn.CONCAT(A265," (",N265,")"),A265)</f>
        <v>Dōngliŭ Jiēdào</v>
      </c>
      <c r="C265" t="str">
        <f>IF(COUNTIF(B:B,B265)&gt;1,_xlfn.CONCAT(A265," (",M265,")"),B265)</f>
        <v>Dōngliŭ Jiēdào</v>
      </c>
      <c r="D265" t="s">
        <v>1408</v>
      </c>
      <c r="E265" t="s">
        <v>15</v>
      </c>
      <c r="F265" t="str">
        <f>_xlfn.CONCAT(D265,", ",H265,", ",I265,", ","浙江省")</f>
        <v>东柳街道, 鄞州区, 宁波市, 浙江省</v>
      </c>
      <c r="G265">
        <v>73447</v>
      </c>
      <c r="H265" t="s">
        <v>2969</v>
      </c>
      <c r="I265" t="s">
        <v>2961</v>
      </c>
      <c r="J265" t="e">
        <f>VLOOKUP(F265,[1]!china_towns_second__2[[Column1]:[Y]],3,FALSE)</f>
        <v>#N/A</v>
      </c>
      <c r="K265" t="e">
        <f>VLOOKUP(F265,[1]!china_towns_second__2[[Column1]:[Y]],2,FALSE)</f>
        <v>#N/A</v>
      </c>
      <c r="L265" t="s">
        <v>3903</v>
      </c>
      <c r="M265" t="str">
        <f>VLOOKUP(H265,CHOOSE({1,2},Table12[Native],Table12[Name]),2,0)</f>
        <v>Yínzhōu Qū</v>
      </c>
      <c r="N265" s="15" t="str">
        <f>VLOOKUP(I265,CHOOSE({1,2},Table12[Native],Table12[Name]),2,0)</f>
        <v>Níngbō Shì</v>
      </c>
      <c r="O265" s="15" t="str">
        <f t="shared" si="8"/>
        <v>Dongliu Jiedao (Níngbō Shì)</v>
      </c>
      <c r="P265" s="15" t="str">
        <f t="shared" si="9"/>
        <v>Dongliu Jiedao (Níngbō Shì)</v>
      </c>
    </row>
    <row r="266" spans="1:16" hidden="1" x14ac:dyDescent="0.25">
      <c r="A266" t="s">
        <v>1878</v>
      </c>
      <c r="B266" t="str">
        <f>IF(COUNTIF(A:A,A266)&gt;1,_xlfn.CONCAT(A266," (",N266,")"),A266)</f>
        <v>Dōngmíng Xiāng</v>
      </c>
      <c r="C266" t="str">
        <f>IF(COUNTIF(B:B,B266)&gt;1,_xlfn.CONCAT(A266," (",M266,")"),B266)</f>
        <v>Dōngmíng Xiāng</v>
      </c>
      <c r="D266" t="s">
        <v>1879</v>
      </c>
      <c r="E266" t="s">
        <v>7</v>
      </c>
      <c r="F266" t="str">
        <f>_xlfn.CONCAT(D266,", ",H266,", ",I266,", ","浙江省")</f>
        <v>东茗乡, 新昌县, 绍兴市, 浙江省</v>
      </c>
      <c r="G266">
        <v>7933</v>
      </c>
      <c r="H266" t="s">
        <v>2985</v>
      </c>
      <c r="I266" t="s">
        <v>2981</v>
      </c>
      <c r="J266" t="e">
        <f>VLOOKUP(F266,[1]!china_towns_second__2[[Column1]:[Y]],3,FALSE)</f>
        <v>#N/A</v>
      </c>
      <c r="K266" t="e">
        <f>VLOOKUP(F266,[1]!china_towns_second__2[[Column1]:[Y]],2,FALSE)</f>
        <v>#N/A</v>
      </c>
      <c r="L266" t="s">
        <v>3904</v>
      </c>
      <c r="M266" t="str">
        <f>VLOOKUP(H266,CHOOSE({1,2},Table12[Native],Table12[Name]),2,0)</f>
        <v>Xīnchāng Xiàn</v>
      </c>
      <c r="N266" s="15" t="str">
        <f>VLOOKUP(I266,CHOOSE({1,2},Table12[Native],Table12[Name]),2,0)</f>
        <v>Shàoxīng Shì</v>
      </c>
      <c r="O266" s="15" t="str">
        <f t="shared" si="8"/>
        <v>Dongming Xiang (Shàoxīng Shì)</v>
      </c>
      <c r="P266" s="15" t="str">
        <f t="shared" si="9"/>
        <v>Dongming Xiang (Shàoxīng Shì)</v>
      </c>
    </row>
    <row r="267" spans="1:16" hidden="1" x14ac:dyDescent="0.25">
      <c r="A267" t="s">
        <v>2346</v>
      </c>
      <c r="B267" t="str">
        <f>IF(COUNTIF(A:A,A267)&gt;1,_xlfn.CONCAT(A267," (",N267,")"),A267)</f>
        <v>Dōngpíng Jiēdào</v>
      </c>
      <c r="C267" t="str">
        <f>IF(COUNTIF(B:B,B267)&gt;1,_xlfn.CONCAT(A267," (",M267,")"),B267)</f>
        <v>Dōngpíng Jiēdào</v>
      </c>
      <c r="D267" t="s">
        <v>2347</v>
      </c>
      <c r="E267" t="s">
        <v>15</v>
      </c>
      <c r="F267" t="str">
        <f>_xlfn.CONCAT(D267,", ",H267,", ",I267,", ","浙江省")</f>
        <v>东屏街道, 洞头区, 温州市, 浙江省</v>
      </c>
      <c r="G267">
        <v>15653</v>
      </c>
      <c r="H267" t="s">
        <v>3002</v>
      </c>
      <c r="I267" t="s">
        <v>3000</v>
      </c>
      <c r="J267">
        <f>VLOOKUP(F267,[1]!china_towns_second__2[[Column1]:[Y]],3,FALSE)</f>
        <v>27.805894277275801</v>
      </c>
      <c r="K267">
        <f>VLOOKUP(F267,[1]!china_towns_second__2[[Column1]:[Y]],2,FALSE)</f>
        <v>121.148641</v>
      </c>
      <c r="L267" t="s">
        <v>3905</v>
      </c>
      <c r="M267" t="str">
        <f>VLOOKUP(H267,CHOOSE({1,2},Table12[Native],Table12[Name]),2,0)</f>
        <v>Dòngtóu Qū</v>
      </c>
      <c r="N267" s="15" t="str">
        <f>VLOOKUP(I267,CHOOSE({1,2},Table12[Native],Table12[Name]),2,0)</f>
        <v>Wēnzhōu Shì</v>
      </c>
      <c r="O267" s="15" t="str">
        <f t="shared" si="8"/>
        <v>Dongping Jiedao (Wēnzhōu Shì)</v>
      </c>
      <c r="P267" s="15" t="str">
        <f t="shared" si="9"/>
        <v>Dongping Jiedao (Wēnzhōu Shì)</v>
      </c>
    </row>
    <row r="268" spans="1:16" hidden="1" x14ac:dyDescent="0.25">
      <c r="A268" t="s">
        <v>1880</v>
      </c>
      <c r="B268" t="str">
        <f>IF(COUNTIF(A:A,A268)&gt;1,_xlfn.CONCAT(A268," (",N268,")"),A268)</f>
        <v>Dōngpŭ Jiēdào</v>
      </c>
      <c r="C268" t="str">
        <f>IF(COUNTIF(B:B,B268)&gt;1,_xlfn.CONCAT(A268," (",M268,")"),B268)</f>
        <v>Dōngpŭ Jiēdào</v>
      </c>
      <c r="D268" t="s">
        <v>1881</v>
      </c>
      <c r="E268" t="s">
        <v>15</v>
      </c>
      <c r="F268" t="str">
        <f>_xlfn.CONCAT(D268,", ",H268,", ",I268,", ","浙江省")</f>
        <v>东浦街道, 越城区, 绍兴市, 浙江省</v>
      </c>
      <c r="G268">
        <v>63739</v>
      </c>
      <c r="H268" t="s">
        <v>2986</v>
      </c>
      <c r="I268" t="s">
        <v>2981</v>
      </c>
      <c r="J268" t="e">
        <f>VLOOKUP(F268,[1]!china_towns_second__2[[Column1]:[Y]],3,FALSE)</f>
        <v>#N/A</v>
      </c>
      <c r="K268" t="e">
        <f>VLOOKUP(F268,[1]!china_towns_second__2[[Column1]:[Y]],2,FALSE)</f>
        <v>#N/A</v>
      </c>
      <c r="L268" t="s">
        <v>3906</v>
      </c>
      <c r="M268" t="str">
        <f>VLOOKUP(H268,CHOOSE({1,2},Table12[Native],Table12[Name]),2,0)</f>
        <v>Yuèchéng Qū</v>
      </c>
      <c r="N268" s="15" t="str">
        <f>VLOOKUP(I268,CHOOSE({1,2},Table12[Native],Table12[Name]),2,0)</f>
        <v>Shàoxīng Shì</v>
      </c>
      <c r="O268" s="15" t="str">
        <f t="shared" si="8"/>
        <v>Dongpu Jiedao (Shàoxīng Shì)</v>
      </c>
      <c r="P268" s="15" t="str">
        <f t="shared" si="9"/>
        <v>Dongpu Jiedao (Shàoxīng Shì)</v>
      </c>
    </row>
    <row r="269" spans="1:16" hidden="1" x14ac:dyDescent="0.25">
      <c r="A269" t="s">
        <v>1409</v>
      </c>
      <c r="B269" t="str">
        <f>IF(COUNTIF(A:A,A269)&gt;1,_xlfn.CONCAT(A269," (",N269,")"),A269)</f>
        <v>Dōngqiánhú Zhèn</v>
      </c>
      <c r="C269" t="str">
        <f>IF(COUNTIF(B:B,B269)&gt;1,_xlfn.CONCAT(A269," (",M269,")"),B269)</f>
        <v>Dōngqiánhú Zhèn</v>
      </c>
      <c r="D269" t="s">
        <v>1410</v>
      </c>
      <c r="E269" t="s">
        <v>11</v>
      </c>
      <c r="F269" t="str">
        <f>_xlfn.CONCAT(D269,", ",H269,", ",I269,", ","浙江省")</f>
        <v>东钱湖镇, 鄞州区, 宁波市, 浙江省</v>
      </c>
      <c r="G269">
        <v>66244</v>
      </c>
      <c r="H269" t="s">
        <v>2969</v>
      </c>
      <c r="I269" t="s">
        <v>2961</v>
      </c>
      <c r="J269">
        <f>VLOOKUP(F269,[1]!china_towns_second__2[[Column1]:[Y]],3,FALSE)</f>
        <v>29.759195835948301</v>
      </c>
      <c r="K269">
        <f>VLOOKUP(F269,[1]!china_towns_second__2[[Column1]:[Y]],2,FALSE)</f>
        <v>121.67294920000001</v>
      </c>
      <c r="L269" t="s">
        <v>3907</v>
      </c>
      <c r="M269" t="str">
        <f>VLOOKUP(H269,CHOOSE({1,2},Table12[Native],Table12[Name]),2,0)</f>
        <v>Yínzhōu Qū</v>
      </c>
      <c r="N269" s="15" t="str">
        <f>VLOOKUP(I269,CHOOSE({1,2},Table12[Native],Table12[Name]),2,0)</f>
        <v>Níngbō Shì</v>
      </c>
      <c r="O269" s="15" t="str">
        <f t="shared" si="8"/>
        <v>Dongqianhu Zhen (Níngbō Shì)</v>
      </c>
      <c r="P269" s="15" t="str">
        <f t="shared" si="9"/>
        <v>Dongqianhu Zhen (Níngbō Shì)</v>
      </c>
    </row>
    <row r="270" spans="1:16" hidden="1" x14ac:dyDescent="0.25">
      <c r="A270" t="s">
        <v>91</v>
      </c>
      <c r="B270" t="str">
        <f>IF(COUNTIF(A:A,A270)&gt;1,_xlfn.CONCAT(A270," (",N270,")"),A270)</f>
        <v>Dòngqiáo Zhèn (Hángzhōu Shì)</v>
      </c>
      <c r="C270" t="str">
        <f>IF(COUNTIF(B:B,B270)&gt;1,_xlfn.CONCAT(A270," (",M270,")"),B270)</f>
        <v>Dòngqiáo Zhèn (Hángzhōu Shì)</v>
      </c>
      <c r="D270" t="s">
        <v>92</v>
      </c>
      <c r="E270" t="s">
        <v>11</v>
      </c>
      <c r="F270" t="str">
        <f>_xlfn.CONCAT(D270,", ",H270,", ",I270,", ","浙江省")</f>
        <v>洞桥镇, 富阳区, 杭州市, 浙江省</v>
      </c>
      <c r="G270">
        <v>15573</v>
      </c>
      <c r="H270" t="s">
        <v>2908</v>
      </c>
      <c r="I270" t="s">
        <v>2903</v>
      </c>
      <c r="J270">
        <f>VLOOKUP(F270,[1]!china_towns_second__2[[Column1]:[Y]],3,FALSE)</f>
        <v>30.052149451572099</v>
      </c>
      <c r="K270">
        <f>VLOOKUP(F270,[1]!china_towns_second__2[[Column1]:[Y]],2,FALSE)</f>
        <v>119.59120919999999</v>
      </c>
      <c r="L270" t="s">
        <v>3908</v>
      </c>
      <c r="M270" t="str">
        <f>VLOOKUP(H270,CHOOSE({1,2},Table12[Native],Table12[Name]),2,0)</f>
        <v>Fùyáng Qū</v>
      </c>
      <c r="N270" s="15" t="str">
        <f>VLOOKUP(I270,CHOOSE({1,2},Table12[Native],Table12[Name]),2,0)</f>
        <v>Hángzhōu Shì</v>
      </c>
      <c r="O270" s="15" t="str">
        <f t="shared" si="8"/>
        <v>Dongqiao Zhen (Hangzhou Shi) (Hángzhōu Shì)</v>
      </c>
      <c r="P270" s="15" t="str">
        <f t="shared" si="9"/>
        <v>Dongqiao Zhen (Hangzhou Shi) (Hángzhōu Shì)</v>
      </c>
    </row>
    <row r="271" spans="1:16" hidden="1" x14ac:dyDescent="0.25">
      <c r="A271" t="s">
        <v>91</v>
      </c>
      <c r="B271" t="str">
        <f>IF(COUNTIF(A:A,A271)&gt;1,_xlfn.CONCAT(A271," (",N271,")"),A271)</f>
        <v>Dòngqiáo Zhèn (Níngbō Shì)</v>
      </c>
      <c r="C271" t="str">
        <f>IF(COUNTIF(B:B,B271)&gt;1,_xlfn.CONCAT(A271," (",M271,")"),B271)</f>
        <v>Dòngqiáo Zhèn (Níngbō Shì)</v>
      </c>
      <c r="D271" t="s">
        <v>92</v>
      </c>
      <c r="E271" t="s">
        <v>11</v>
      </c>
      <c r="F271" t="str">
        <f>_xlfn.CONCAT(D271,", ",H271,", ",I271,", ","浙江省")</f>
        <v>洞桥镇, 海曙区, 宁波市, 浙江省</v>
      </c>
      <c r="G271">
        <v>35491</v>
      </c>
      <c r="H271" t="s">
        <v>2965</v>
      </c>
      <c r="I271" t="s">
        <v>2961</v>
      </c>
      <c r="J271">
        <f>VLOOKUP(F271,[1]!china_towns_second__2[[Column1]:[Y]],3,FALSE)</f>
        <v>29.7726442842126</v>
      </c>
      <c r="K271">
        <f>VLOOKUP(F271,[1]!china_towns_second__2[[Column1]:[Y]],2,FALSE)</f>
        <v>121.40100649999999</v>
      </c>
      <c r="L271" t="s">
        <v>3909</v>
      </c>
      <c r="M271" t="str">
        <f>VLOOKUP(H271,CHOOSE({1,2},Table12[Native],Table12[Name]),2,0)</f>
        <v>Hăishŭ Qū</v>
      </c>
      <c r="N271" s="15" t="str">
        <f>VLOOKUP(I271,CHOOSE({1,2},Table12[Native],Table12[Name]),2,0)</f>
        <v>Níngbō Shì</v>
      </c>
      <c r="O271" s="15" t="str">
        <f t="shared" si="8"/>
        <v>Dongqiao Zhen (Ningbo Shi) (Níngbō Shì)</v>
      </c>
      <c r="P271" s="15" t="str">
        <f t="shared" si="9"/>
        <v>Dongqiao Zhen (Ningbo Shi) (Níngbō Shì)</v>
      </c>
    </row>
    <row r="272" spans="1:16" hidden="1" x14ac:dyDescent="0.25">
      <c r="A272" t="s">
        <v>2851</v>
      </c>
      <c r="B272" t="str">
        <f>IF(COUNTIF(A:A,A272)&gt;1,_xlfn.CONCAT(A272," (",N272,")"),A272)</f>
        <v>Dōngshā Zhèn</v>
      </c>
      <c r="C272" t="str">
        <f>IF(COUNTIF(B:B,B272)&gt;1,_xlfn.CONCAT(A272," (",M272,")"),B272)</f>
        <v>Dōngshā Zhèn</v>
      </c>
      <c r="D272" t="s">
        <v>2852</v>
      </c>
      <c r="E272" t="s">
        <v>11</v>
      </c>
      <c r="F272" t="str">
        <f>_xlfn.CONCAT(D272,", ",H272,", ",I272,", ","浙江省")</f>
        <v>东沙镇, 岱山县, 舟山市, 浙江省</v>
      </c>
      <c r="G272">
        <v>15297</v>
      </c>
      <c r="H272" t="s">
        <v>3014</v>
      </c>
      <c r="I272" t="s">
        <v>3013</v>
      </c>
      <c r="J272">
        <f>VLOOKUP(F272,[1]!china_towns_second__2[[Column1]:[Y]],3,FALSE)</f>
        <v>30.315755991816498</v>
      </c>
      <c r="K272">
        <f>VLOOKUP(F272,[1]!china_towns_second__2[[Column1]:[Y]],2,FALSE)</f>
        <v>122.1661517</v>
      </c>
      <c r="L272" t="s">
        <v>3910</v>
      </c>
      <c r="M272" t="str">
        <f>VLOOKUP(H272,CHOOSE({1,2},Table12[Native],Table12[Name]),2,0)</f>
        <v>Dàishān Xiàn</v>
      </c>
      <c r="N272" s="15" t="str">
        <f>VLOOKUP(I272,CHOOSE({1,2},Table12[Native],Table12[Name]),2,0)</f>
        <v>Zhōushān Shì</v>
      </c>
      <c r="O272" s="15" t="str">
        <f t="shared" si="8"/>
        <v>Dongsha Zhen (Zhōushān Shì)</v>
      </c>
      <c r="P272" s="15" t="str">
        <f t="shared" si="9"/>
        <v>Dongsha Zhen (Zhōushān Shì)</v>
      </c>
    </row>
    <row r="273" spans="1:16" hidden="1" x14ac:dyDescent="0.25">
      <c r="A273" t="s">
        <v>2348</v>
      </c>
      <c r="B273" t="str">
        <f>IF(COUNTIF(A:A,A273)&gt;1,_xlfn.CONCAT(A273," (",N273,")"),A273)</f>
        <v>Dōngshān Jiēdào</v>
      </c>
      <c r="C273" t="str">
        <f>IF(COUNTIF(B:B,B273)&gt;1,_xlfn.CONCAT(A273," (",M273,")"),B273)</f>
        <v>Dōngshān Jiēdào</v>
      </c>
      <c r="D273" t="s">
        <v>2349</v>
      </c>
      <c r="E273" t="s">
        <v>15</v>
      </c>
      <c r="F273" t="str">
        <f>_xlfn.CONCAT(D273,", ",H273,", ",I273,", ","浙江省")</f>
        <v>东山街道, 瑞安市, 温州市, 浙江省</v>
      </c>
      <c r="G273">
        <v>56189</v>
      </c>
      <c r="H273" t="s">
        <v>3007</v>
      </c>
      <c r="I273" t="s">
        <v>3000</v>
      </c>
      <c r="J273">
        <f>VLOOKUP(F273,[1]!china_towns_second__2[[Column1]:[Y]],3,FALSE)</f>
        <v>27.700015649451402</v>
      </c>
      <c r="K273">
        <f>VLOOKUP(F273,[1]!china_towns_second__2[[Column1]:[Y]],2,FALSE)</f>
        <v>120.83983569999999</v>
      </c>
      <c r="L273" t="s">
        <v>3911</v>
      </c>
      <c r="M273" t="str">
        <f>VLOOKUP(H273,CHOOSE({1,2},Table12[Native],Table12[Name]),2,0)</f>
        <v>Ruì'ān Shì</v>
      </c>
      <c r="N273" s="15" t="str">
        <f>VLOOKUP(I273,CHOOSE({1,2},Table12[Native],Table12[Name]),2,0)</f>
        <v>Wēnzhōu Shì</v>
      </c>
      <c r="O273" s="15" t="str">
        <f t="shared" si="8"/>
        <v>Dongshan Jiedao (Wēnzhōu Shì)</v>
      </c>
      <c r="P273" s="15" t="str">
        <f t="shared" si="9"/>
        <v>Dongshan Jiedao (Wēnzhōu Shì)</v>
      </c>
    </row>
    <row r="274" spans="1:16" hidden="1" x14ac:dyDescent="0.25">
      <c r="A274" t="s">
        <v>1411</v>
      </c>
      <c r="B274" t="str">
        <f>IF(COUNTIF(A:A,A274)&gt;1,_xlfn.CONCAT(A274," (",N274,")"),A274)</f>
        <v>Dōngshèng Jiēdào</v>
      </c>
      <c r="C274" t="str">
        <f>IF(COUNTIF(B:B,B274)&gt;1,_xlfn.CONCAT(A274," (",M274,")"),B274)</f>
        <v>Dōngshèng Jiēdào</v>
      </c>
      <c r="D274" t="s">
        <v>1412</v>
      </c>
      <c r="E274" t="s">
        <v>15</v>
      </c>
      <c r="F274" t="str">
        <f>_xlfn.CONCAT(D274,", ",H274,", ",I274,", ","浙江省")</f>
        <v>东胜街道, 鄞州区, 宁波市, 浙江省</v>
      </c>
      <c r="G274">
        <v>38016</v>
      </c>
      <c r="H274" t="s">
        <v>2969</v>
      </c>
      <c r="I274" t="s">
        <v>2961</v>
      </c>
      <c r="J274" t="e">
        <f>VLOOKUP(F274,[1]!china_towns_second__2[[Column1]:[Y]],3,FALSE)</f>
        <v>#N/A</v>
      </c>
      <c r="K274" t="e">
        <f>VLOOKUP(F274,[1]!china_towns_second__2[[Column1]:[Y]],2,FALSE)</f>
        <v>#N/A</v>
      </c>
      <c r="L274" t="s">
        <v>3912</v>
      </c>
      <c r="M274" t="str">
        <f>VLOOKUP(H274,CHOOSE({1,2},Table12[Native],Table12[Name]),2,0)</f>
        <v>Yínzhōu Qū</v>
      </c>
      <c r="N274" s="15" t="str">
        <f>VLOOKUP(I274,CHOOSE({1,2},Table12[Native],Table12[Name]),2,0)</f>
        <v>Níngbō Shì</v>
      </c>
      <c r="O274" s="15" t="str">
        <f t="shared" si="8"/>
        <v>Dongsheng Jiedao (Níngbō Shì)</v>
      </c>
      <c r="P274" s="15" t="str">
        <f t="shared" si="9"/>
        <v>Dongsheng Jiedao (Níngbō Shì)</v>
      </c>
    </row>
    <row r="275" spans="1:16" hidden="1" x14ac:dyDescent="0.25">
      <c r="A275" t="s">
        <v>1413</v>
      </c>
      <c r="B275" t="str">
        <f>IF(COUNTIF(A:A,A275)&gt;1,_xlfn.CONCAT(A275," (",N275,")"),A275)</f>
        <v>Dōngwú Zhèn</v>
      </c>
      <c r="C275" t="str">
        <f>IF(COUNTIF(B:B,B275)&gt;1,_xlfn.CONCAT(A275," (",M275,")"),B275)</f>
        <v>Dōngwú Zhèn</v>
      </c>
      <c r="D275" t="s">
        <v>1414</v>
      </c>
      <c r="E275" t="s">
        <v>11</v>
      </c>
      <c r="F275" t="str">
        <f>_xlfn.CONCAT(D275,", ",H275,", ",I275,", ","浙江省")</f>
        <v>东吴镇, 鄞州区, 宁波市, 浙江省</v>
      </c>
      <c r="G275">
        <v>23949</v>
      </c>
      <c r="H275" t="s">
        <v>2969</v>
      </c>
      <c r="I275" t="s">
        <v>2961</v>
      </c>
      <c r="J275">
        <f>VLOOKUP(F275,[1]!china_towns_second__2[[Column1]:[Y]],3,FALSE)</f>
        <v>29.789286709921299</v>
      </c>
      <c r="K275">
        <f>VLOOKUP(F275,[1]!china_towns_second__2[[Column1]:[Y]],2,FALSE)</f>
        <v>121.7576152</v>
      </c>
      <c r="L275" t="s">
        <v>3913</v>
      </c>
      <c r="M275" t="str">
        <f>VLOOKUP(H275,CHOOSE({1,2},Table12[Native],Table12[Name]),2,0)</f>
        <v>Yínzhōu Qū</v>
      </c>
      <c r="N275" s="15" t="str">
        <f>VLOOKUP(I275,CHOOSE({1,2},Table12[Native],Table12[Name]),2,0)</f>
        <v>Níngbō Shì</v>
      </c>
      <c r="O275" s="15" t="str">
        <f t="shared" si="8"/>
        <v>Dongwu Zhen (Níngbō Shì)</v>
      </c>
      <c r="P275" s="15" t="str">
        <f t="shared" si="9"/>
        <v>Dongwu Zhen (Níngbō Shì)</v>
      </c>
    </row>
    <row r="276" spans="1:16" hidden="1" x14ac:dyDescent="0.25">
      <c r="A276" t="s">
        <v>2350</v>
      </c>
      <c r="B276" t="str">
        <f>IF(COUNTIF(A:A,A276)&gt;1,_xlfn.CONCAT(A276," (",N276,")"),A276)</f>
        <v>Dōngxī Xiāng</v>
      </c>
      <c r="C276" t="str">
        <f>IF(COUNTIF(B:B,B276)&gt;1,_xlfn.CONCAT(A276," (",M276,")"),B276)</f>
        <v>Dōngxī Xiāng</v>
      </c>
      <c r="D276" t="s">
        <v>2351</v>
      </c>
      <c r="E276" t="s">
        <v>7</v>
      </c>
      <c r="F276" t="str">
        <f>_xlfn.CONCAT(D276,", ",H276,", ",I276,", ","浙江省")</f>
        <v>东溪乡, 文成县, 温州市, 浙江省</v>
      </c>
      <c r="G276">
        <v>5880</v>
      </c>
      <c r="H276" t="s">
        <v>3009</v>
      </c>
      <c r="I276" t="s">
        <v>3000</v>
      </c>
      <c r="J276" t="e">
        <f>VLOOKUP(F276,[1]!china_towns_second__2[[Column1]:[Y]],3,FALSE)</f>
        <v>#N/A</v>
      </c>
      <c r="K276" t="e">
        <f>VLOOKUP(F276,[1]!china_towns_second__2[[Column1]:[Y]],2,FALSE)</f>
        <v>#N/A</v>
      </c>
      <c r="L276" t="s">
        <v>3914</v>
      </c>
      <c r="M276" t="str">
        <f>VLOOKUP(H276,CHOOSE({1,2},Table12[Native],Table12[Name]),2,0)</f>
        <v>Wénchéng Xiàn</v>
      </c>
      <c r="N276" s="15" t="str">
        <f>VLOOKUP(I276,CHOOSE({1,2},Table12[Native],Table12[Name]),2,0)</f>
        <v>Wēnzhōu Shì</v>
      </c>
      <c r="O276" s="15" t="str">
        <f t="shared" si="8"/>
        <v>Dongxi Xiang (Wēnzhōu Shì)</v>
      </c>
      <c r="P276" s="15" t="str">
        <f t="shared" si="9"/>
        <v>Dongxi Xiang (Wēnzhōu Shì)</v>
      </c>
    </row>
    <row r="277" spans="1:16" hidden="1" x14ac:dyDescent="0.25">
      <c r="A277" t="s">
        <v>2352</v>
      </c>
      <c r="B277" t="str">
        <f>IF(COUNTIF(A:A,A277)&gt;1,_xlfn.CONCAT(A277," (",N277,")"),A277)</f>
        <v>Dōngxī Xiāng [→ Sìxī Zhèn]</v>
      </c>
      <c r="C277" t="str">
        <f>IF(COUNTIF(B:B,B277)&gt;1,_xlfn.CONCAT(A277," (",M277,")"),B277)</f>
        <v>Dōngxī Xiāng [→ Sìxī Zhèn]</v>
      </c>
      <c r="D277" t="s">
        <v>2351</v>
      </c>
      <c r="E277" t="s">
        <v>7</v>
      </c>
      <c r="F277" t="str">
        <f>_xlfn.CONCAT(D277,", ",H277,", ",I277,", ","浙江省")</f>
        <v>东溪乡, 泰顺县, 温州市, 浙江省</v>
      </c>
      <c r="G277">
        <v>5755</v>
      </c>
      <c r="H277" t="s">
        <v>3008</v>
      </c>
      <c r="I277" t="s">
        <v>3000</v>
      </c>
      <c r="J277" t="e">
        <f>VLOOKUP(F277,[1]!china_towns_second__2[[Column1]:[Y]],3,FALSE)</f>
        <v>#N/A</v>
      </c>
      <c r="K277" t="e">
        <f>VLOOKUP(F277,[1]!china_towns_second__2[[Column1]:[Y]],2,FALSE)</f>
        <v>#N/A</v>
      </c>
      <c r="L277" t="s">
        <v>3915</v>
      </c>
      <c r="M277" t="str">
        <f>VLOOKUP(H277,CHOOSE({1,2},Table12[Native],Table12[Name]),2,0)</f>
        <v>Tàishùn Xiàn</v>
      </c>
      <c r="N277" s="15" t="str">
        <f>VLOOKUP(I277,CHOOSE({1,2},Table12[Native],Table12[Name]),2,0)</f>
        <v>Wēnzhōu Shì</v>
      </c>
      <c r="O277" s="15" t="str">
        <f t="shared" si="8"/>
        <v>Dongxi Xiang [→ Sixi Zhen] (Wēnzhōu Shì)</v>
      </c>
      <c r="P277" s="15" t="str">
        <f t="shared" si="9"/>
        <v>Dongxi Xiang [→ Sixi Zhen] (Wēnzhōu Shì)</v>
      </c>
    </row>
    <row r="278" spans="1:16" hidden="1" x14ac:dyDescent="0.25">
      <c r="A278" t="s">
        <v>761</v>
      </c>
      <c r="B278" t="str">
        <f>IF(COUNTIF(A:A,A278)&gt;1,_xlfn.CONCAT(A278," (",N278,")"),A278)</f>
        <v>Dōngxiào Jiēdào</v>
      </c>
      <c r="C278" t="str">
        <f>IF(COUNTIF(B:B,B278)&gt;1,_xlfn.CONCAT(A278," (",M278,")"),B278)</f>
        <v>Dōngxiào Jiēdào</v>
      </c>
      <c r="D278" t="s">
        <v>762</v>
      </c>
      <c r="E278" t="s">
        <v>15</v>
      </c>
      <c r="F278" t="str">
        <f>_xlfn.CONCAT(D278,", ",H278,", ",I278,", ","浙江省")</f>
        <v>东孝街道, 金东区, 金华市, 浙江省</v>
      </c>
      <c r="G278">
        <v>33039</v>
      </c>
      <c r="H278" t="s">
        <v>2940</v>
      </c>
      <c r="I278" t="s">
        <v>2938</v>
      </c>
      <c r="J278">
        <f>VLOOKUP(F278,[1]!china_towns_second__2[[Column1]:[Y]],3,FALSE)</f>
        <v>29.122132839063301</v>
      </c>
      <c r="K278">
        <f>VLOOKUP(F278,[1]!china_towns_second__2[[Column1]:[Y]],2,FALSE)</f>
        <v>119.71065950000001</v>
      </c>
      <c r="L278" t="s">
        <v>3916</v>
      </c>
      <c r="M278" t="str">
        <f>VLOOKUP(H278,CHOOSE({1,2},Table12[Native],Table12[Name]),2,0)</f>
        <v>Jīndōng Qū</v>
      </c>
      <c r="N278" s="15" t="str">
        <f>VLOOKUP(I278,CHOOSE({1,2},Table12[Native],Table12[Name]),2,0)</f>
        <v>Jīnhuá Shì</v>
      </c>
      <c r="O278" s="15" t="str">
        <f t="shared" si="8"/>
        <v>Dongxiao Jiedao (Jīnhuá Shì)</v>
      </c>
      <c r="P278" s="15" t="str">
        <f t="shared" si="9"/>
        <v>Dongxiao Jiedao (Jīnhuá Shì)</v>
      </c>
    </row>
    <row r="279" spans="1:16" hidden="1" x14ac:dyDescent="0.25">
      <c r="A279" t="s">
        <v>93</v>
      </c>
      <c r="B279" t="str">
        <f>IF(COUNTIF(A:A,A279)&gt;1,_xlfn.CONCAT(A279," (",N279,")"),A279)</f>
        <v>Dōngxīn Jiēdào</v>
      </c>
      <c r="C279" t="str">
        <f>IF(COUNTIF(B:B,B279)&gt;1,_xlfn.CONCAT(A279," (",M279,")"),B279)</f>
        <v>Dōngxīn Jiēdào</v>
      </c>
      <c r="D279" t="s">
        <v>94</v>
      </c>
      <c r="E279" t="s">
        <v>15</v>
      </c>
      <c r="F279" t="str">
        <f>_xlfn.CONCAT(D279,", ",H279,", ",I279,", ","浙江省")</f>
        <v>东新街道, 拱墅区, 杭州市, 浙江省</v>
      </c>
      <c r="G279">
        <v>118576</v>
      </c>
      <c r="H279" t="s">
        <v>2909</v>
      </c>
      <c r="I279" t="s">
        <v>2903</v>
      </c>
      <c r="J279" t="e">
        <f>VLOOKUP(F279,[1]!china_towns_second__2[[Column1]:[Y]],3,FALSE)</f>
        <v>#N/A</v>
      </c>
      <c r="K279" t="e">
        <f>VLOOKUP(F279,[1]!china_towns_second__2[[Column1]:[Y]],2,FALSE)</f>
        <v>#N/A</v>
      </c>
      <c r="L279" t="s">
        <v>3917</v>
      </c>
      <c r="M279" t="str">
        <f>VLOOKUP(H279,CHOOSE({1,2},Table12[Native],Table12[Name]),2,0)</f>
        <v>Gŏngshù Qū</v>
      </c>
      <c r="N279" s="15" t="str">
        <f>VLOOKUP(I279,CHOOSE({1,2},Table12[Native],Table12[Name]),2,0)</f>
        <v>Hángzhōu Shì</v>
      </c>
      <c r="O279" s="15" t="str">
        <f t="shared" si="8"/>
        <v>Dongxin Jiedao (Hángzhōu Shì)</v>
      </c>
      <c r="P279" s="15" t="str">
        <f t="shared" si="9"/>
        <v>Dongxin Jiedao (Hángzhōu Shì)</v>
      </c>
    </row>
    <row r="280" spans="1:16" hidden="1" x14ac:dyDescent="0.25">
      <c r="A280" t="s">
        <v>2353</v>
      </c>
      <c r="B280" t="str">
        <f>IF(COUNTIF(A:A,A280)&gt;1,_xlfn.CONCAT(A280," (",N280,")"),A280)</f>
        <v>Dōngyán Xiāng</v>
      </c>
      <c r="C280" t="str">
        <f>IF(COUNTIF(B:B,B280)&gt;1,_xlfn.CONCAT(A280," (",M280,")"),B280)</f>
        <v>Dōngyán Xiāng</v>
      </c>
      <c r="D280" t="s">
        <v>2354</v>
      </c>
      <c r="E280" t="s">
        <v>7</v>
      </c>
      <c r="F280" t="str">
        <f>_xlfn.CONCAT(D280,", ",H280,", ",I280,", ","浙江省")</f>
        <v>东岩乡, 瑞安市, 温州市, 浙江省</v>
      </c>
      <c r="G280">
        <v>3933</v>
      </c>
      <c r="H280" t="s">
        <v>3007</v>
      </c>
      <c r="I280" t="s">
        <v>3000</v>
      </c>
      <c r="J280" t="e">
        <f>VLOOKUP(F280,[1]!china_towns_second__2[[Column1]:[Y]],3,FALSE)</f>
        <v>#N/A</v>
      </c>
      <c r="K280" t="e">
        <f>VLOOKUP(F280,[1]!china_towns_second__2[[Column1]:[Y]],2,FALSE)</f>
        <v>#N/A</v>
      </c>
      <c r="L280" t="s">
        <v>3918</v>
      </c>
      <c r="M280" t="str">
        <f>VLOOKUP(H280,CHOOSE({1,2},Table12[Native],Table12[Name]),2,0)</f>
        <v>Ruì'ān Shì</v>
      </c>
      <c r="N280" s="15" t="str">
        <f>VLOOKUP(I280,CHOOSE({1,2},Table12[Native],Table12[Name]),2,0)</f>
        <v>Wēnzhōu Shì</v>
      </c>
      <c r="O280" s="15" t="str">
        <f t="shared" si="8"/>
        <v>Dongyan Xiang (Wēnzhōu Shì)</v>
      </c>
      <c r="P280" s="15" t="str">
        <f t="shared" si="9"/>
        <v>Dongyan Xiang (Wēnzhōu Shì)</v>
      </c>
    </row>
    <row r="281" spans="1:16" hidden="1" x14ac:dyDescent="0.25">
      <c r="A281" t="s">
        <v>763</v>
      </c>
      <c r="B281" t="str">
        <f>IF(COUNTIF(A:A,A281)&gt;1,_xlfn.CONCAT(A281," (",N281,")"),A281)</f>
        <v>Dōngyángjiāng Zhèn</v>
      </c>
      <c r="C281" t="str">
        <f>IF(COUNTIF(B:B,B281)&gt;1,_xlfn.CONCAT(A281," (",M281,")"),B281)</f>
        <v>Dōngyángjiāng Zhèn</v>
      </c>
      <c r="D281" t="s">
        <v>764</v>
      </c>
      <c r="E281" t="s">
        <v>11</v>
      </c>
      <c r="F281" t="str">
        <f>_xlfn.CONCAT(D281,", ",H281,", ",I281,", ","浙江省")</f>
        <v>东阳江镇, 东阳市, 金华市, 浙江省</v>
      </c>
      <c r="G281">
        <v>13247</v>
      </c>
      <c r="H281" t="s">
        <v>2939</v>
      </c>
      <c r="I281" t="s">
        <v>2938</v>
      </c>
      <c r="J281">
        <f>VLOOKUP(F281,[1]!china_towns_second__2[[Column1]:[Y]],3,FALSE)</f>
        <v>29.2136237633168</v>
      </c>
      <c r="K281">
        <f>VLOOKUP(F281,[1]!china_towns_second__2[[Column1]:[Y]],2,FALSE)</f>
        <v>120.49765290000001</v>
      </c>
      <c r="L281" t="s">
        <v>3919</v>
      </c>
      <c r="M281" t="str">
        <f>VLOOKUP(H281,CHOOSE({1,2},Table12[Native],Table12[Name]),2,0)</f>
        <v>Dōngyáng Shì</v>
      </c>
      <c r="N281" s="15" t="str">
        <f>VLOOKUP(I281,CHOOSE({1,2},Table12[Native],Table12[Name]),2,0)</f>
        <v>Jīnhuá Shì</v>
      </c>
      <c r="O281" s="15" t="str">
        <f t="shared" si="8"/>
        <v>Dongyangjiang Zhen (Jīnhuá Shì)</v>
      </c>
      <c r="P281" s="15" t="str">
        <f t="shared" si="9"/>
        <v>Dongyangjiang Zhen (Jīnhuá Shì)</v>
      </c>
    </row>
    <row r="282" spans="1:16" hidden="1" x14ac:dyDescent="0.25">
      <c r="A282" t="s">
        <v>1072</v>
      </c>
      <c r="B282" t="str">
        <f>IF(COUNTIF(A:A,A282)&gt;1,_xlfn.CONCAT(A282," (",N282,")"),A282)</f>
        <v>Dōngyuán Zhèn</v>
      </c>
      <c r="C282" t="str">
        <f>IF(COUNTIF(B:B,B282)&gt;1,_xlfn.CONCAT(A282," (",M282,")"),B282)</f>
        <v>Dōngyuán Zhèn</v>
      </c>
      <c r="D282" t="s">
        <v>1073</v>
      </c>
      <c r="E282" t="s">
        <v>11</v>
      </c>
      <c r="F282" t="str">
        <f>_xlfn.CONCAT(D282,", ",H282,", ",I282,", ","浙江省")</f>
        <v>东源镇, 青田县, 丽水市, 浙江省</v>
      </c>
      <c r="G282">
        <v>12572</v>
      </c>
      <c r="H282" t="s">
        <v>2955</v>
      </c>
      <c r="I282" t="s">
        <v>2949</v>
      </c>
      <c r="J282">
        <f>VLOOKUP(F282,[1]!china_towns_second__2[[Column1]:[Y]],3,FALSE)</f>
        <v>28.3335824392598</v>
      </c>
      <c r="K282">
        <f>VLOOKUP(F282,[1]!china_towns_second__2[[Column1]:[Y]],2,FALSE)</f>
        <v>120.2670944</v>
      </c>
      <c r="L282" t="s">
        <v>3920</v>
      </c>
      <c r="M282" t="str">
        <f>VLOOKUP(H282,CHOOSE({1,2},Table12[Native],Table12[Name]),2,0)</f>
        <v>Qīngtián Xiàn</v>
      </c>
      <c r="N282" s="15" t="str">
        <f>VLOOKUP(I282,CHOOSE({1,2},Table12[Native],Table12[Name]),2,0)</f>
        <v>Lìshuĭ Shì</v>
      </c>
      <c r="O282" s="15" t="str">
        <f t="shared" si="8"/>
        <v>Dongyuan Zhen (Lìshuĭ Shì)</v>
      </c>
      <c r="P282" s="15" t="str">
        <f t="shared" si="9"/>
        <v>Dongyuan Zhen (Lìshuĭ Shì)</v>
      </c>
    </row>
    <row r="283" spans="1:16" hidden="1" x14ac:dyDescent="0.25">
      <c r="A283" t="s">
        <v>578</v>
      </c>
      <c r="B283" t="str">
        <f>IF(COUNTIF(A:A,A283)&gt;1,_xlfn.CONCAT(A283," (",N283,")"),A283)</f>
        <v>Dōngzhà Jiēdào</v>
      </c>
      <c r="C283" t="str">
        <f>IF(COUNTIF(B:B,B283)&gt;1,_xlfn.CONCAT(A283," (",M283,")"),B283)</f>
        <v>Dōngzhà Jiēdào</v>
      </c>
      <c r="D283" t="s">
        <v>579</v>
      </c>
      <c r="E283" t="s">
        <v>15</v>
      </c>
      <c r="F283" t="str">
        <f>_xlfn.CONCAT(D283,", ",H283,", ",I283,", ","浙江省")</f>
        <v>东栅街道, 南湖区, 嘉兴市, 浙江省</v>
      </c>
      <c r="G283">
        <v>37945</v>
      </c>
      <c r="H283" t="s">
        <v>2933</v>
      </c>
      <c r="I283" t="s">
        <v>2929</v>
      </c>
      <c r="J283">
        <f>VLOOKUP(F283,[1]!china_towns_second__2[[Column1]:[Y]],3,FALSE)</f>
        <v>30.7589906459581</v>
      </c>
      <c r="K283">
        <f>VLOOKUP(F283,[1]!china_towns_second__2[[Column1]:[Y]],2,FALSE)</f>
        <v>120.80009769999999</v>
      </c>
      <c r="L283" t="s">
        <v>3921</v>
      </c>
      <c r="M283" t="str">
        <f>VLOOKUP(H283,CHOOSE({1,2},Table12[Native],Table12[Name]),2,0)</f>
        <v>Nánhú Qū</v>
      </c>
      <c r="N283" s="15" t="str">
        <f>VLOOKUP(I283,CHOOSE({1,2},Table12[Native],Table12[Name]),2,0)</f>
        <v>Jiāxīng Shì</v>
      </c>
      <c r="O283" s="15" t="str">
        <f t="shared" si="8"/>
        <v>Dongzha Jiedao (Jiāxīng Shì)</v>
      </c>
      <c r="P283" s="15" t="str">
        <f t="shared" si="9"/>
        <v>Dongzha Jiedao (Jiāxīng Shì)</v>
      </c>
    </row>
    <row r="284" spans="1:16" hidden="1" x14ac:dyDescent="0.25">
      <c r="A284" t="s">
        <v>95</v>
      </c>
      <c r="B284" t="str">
        <f>IF(COUNTIF(A:A,A284)&gt;1,_xlfn.CONCAT(A284," (",N284,")"),A284)</f>
        <v>Dōngzhōu Jiēdào</v>
      </c>
      <c r="C284" t="str">
        <f>IF(COUNTIF(B:B,B284)&gt;1,_xlfn.CONCAT(A284," (",M284,")"),B284)</f>
        <v>Dōngzhōu Jiēdào</v>
      </c>
      <c r="D284" t="s">
        <v>96</v>
      </c>
      <c r="E284" t="s">
        <v>15</v>
      </c>
      <c r="F284" t="str">
        <f>_xlfn.CONCAT(D284,", ",H284,", ",I284,", ","浙江省")</f>
        <v>东洲街道, 富阳区, 杭州市, 浙江省</v>
      </c>
      <c r="G284">
        <v>45715</v>
      </c>
      <c r="H284" t="s">
        <v>2908</v>
      </c>
      <c r="I284" t="s">
        <v>2903</v>
      </c>
      <c r="J284">
        <f>VLOOKUP(F284,[1]!china_towns_second__2[[Column1]:[Y]],3,FALSE)</f>
        <v>30.0757722974347</v>
      </c>
      <c r="K284">
        <f>VLOOKUP(F284,[1]!china_towns_second__2[[Column1]:[Y]],2,FALSE)</f>
        <v>120.0239455</v>
      </c>
      <c r="L284" t="s">
        <v>3922</v>
      </c>
      <c r="M284" t="str">
        <f>VLOOKUP(H284,CHOOSE({1,2},Table12[Native],Table12[Name]),2,0)</f>
        <v>Fùyáng Qū</v>
      </c>
      <c r="N284" s="15" t="str">
        <f>VLOOKUP(I284,CHOOSE({1,2},Table12[Native],Table12[Name]),2,0)</f>
        <v>Hángzhōu Shì</v>
      </c>
      <c r="O284" s="15" t="str">
        <f t="shared" si="8"/>
        <v>Dongzhou Jiedao (Hángzhōu Shì)</v>
      </c>
      <c r="P284" s="15" t="str">
        <f t="shared" si="9"/>
        <v>Dongzhou Jiedao (Hángzhōu Shì)</v>
      </c>
    </row>
    <row r="285" spans="1:16" hidden="1" x14ac:dyDescent="0.25">
      <c r="A285" t="s">
        <v>1882</v>
      </c>
      <c r="B285" t="str">
        <f>IF(COUNTIF(A:A,A285)&gt;1,_xlfn.CONCAT(A285," (",N285,")"),A285)</f>
        <v>Dòumén Jiēdào</v>
      </c>
      <c r="C285" t="str">
        <f>IF(COUNTIF(B:B,B285)&gt;1,_xlfn.CONCAT(A285," (",M285,")"),B285)</f>
        <v>Dòumén Jiēdào</v>
      </c>
      <c r="D285" t="s">
        <v>1883</v>
      </c>
      <c r="E285" t="s">
        <v>15</v>
      </c>
      <c r="F285" t="str">
        <f>_xlfn.CONCAT(D285,", ",H285,", ",I285,", ","浙江省")</f>
        <v>斗门街道, 越城区, 绍兴市, 浙江省</v>
      </c>
      <c r="G285">
        <v>78986</v>
      </c>
      <c r="H285" t="s">
        <v>2986</v>
      </c>
      <c r="I285" t="s">
        <v>2981</v>
      </c>
      <c r="J285" t="e">
        <f>VLOOKUP(F285,[1]!china_towns_second__2[[Column1]:[Y]],3,FALSE)</f>
        <v>#N/A</v>
      </c>
      <c r="K285" t="e">
        <f>VLOOKUP(F285,[1]!china_towns_second__2[[Column1]:[Y]],2,FALSE)</f>
        <v>#N/A</v>
      </c>
      <c r="L285" t="s">
        <v>3923</v>
      </c>
      <c r="M285" t="str">
        <f>VLOOKUP(H285,CHOOSE({1,2},Table12[Native],Table12[Name]),2,0)</f>
        <v>Yuèchéng Qū</v>
      </c>
      <c r="N285" s="15" t="str">
        <f>VLOOKUP(I285,CHOOSE({1,2},Table12[Native],Table12[Name]),2,0)</f>
        <v>Shàoxīng Shì</v>
      </c>
      <c r="O285" s="15" t="str">
        <f t="shared" si="8"/>
        <v>Doumen Jiedao (Shàoxīng Shì)</v>
      </c>
      <c r="P285" s="15" t="str">
        <f t="shared" si="9"/>
        <v>Doumen Jiedao (Shàoxīng Shì)</v>
      </c>
    </row>
    <row r="286" spans="1:16" hidden="1" x14ac:dyDescent="0.25">
      <c r="A286" t="s">
        <v>2355</v>
      </c>
      <c r="B286" t="str">
        <f>IF(COUNTIF(A:A,A286)&gt;1,_xlfn.CONCAT(A286," (",N286,")"),A286)</f>
        <v>Dŏumén Xiāng</v>
      </c>
      <c r="C286" t="str">
        <f>IF(COUNTIF(B:B,B286)&gt;1,_xlfn.CONCAT(A286," (",M286,")"),B286)</f>
        <v>Dŏumén Xiāng</v>
      </c>
      <c r="D286" t="s">
        <v>2356</v>
      </c>
      <c r="E286" t="s">
        <v>7</v>
      </c>
      <c r="F286" t="str">
        <f>_xlfn.CONCAT(D286,", ",H286,", ",I286,", ","浙江省")</f>
        <v>陡门乡, 永嘉县, 温州市, 浙江省</v>
      </c>
      <c r="G286">
        <v>2515</v>
      </c>
      <c r="H286" t="s">
        <v>3010</v>
      </c>
      <c r="I286" t="s">
        <v>3000</v>
      </c>
      <c r="J286" t="e">
        <f>VLOOKUP(F286,[1]!china_towns_second__2[[Column1]:[Y]],3,FALSE)</f>
        <v>#N/A</v>
      </c>
      <c r="K286" t="e">
        <f>VLOOKUP(F286,[1]!china_towns_second__2[[Column1]:[Y]],2,FALSE)</f>
        <v>#N/A</v>
      </c>
      <c r="L286" t="s">
        <v>3924</v>
      </c>
      <c r="M286" t="str">
        <f>VLOOKUP(H286,CHOOSE({1,2},Table12[Native],Table12[Name]),2,0)</f>
        <v>Yŏngjiā Xiàn</v>
      </c>
      <c r="N286" s="15" t="str">
        <f>VLOOKUP(I286,CHOOSE({1,2},Table12[Native],Table12[Name]),2,0)</f>
        <v>Wēnzhōu Shì</v>
      </c>
      <c r="O286" s="15" t="str">
        <f t="shared" si="8"/>
        <v>Doumen Xiang (Wēnzhōu Shì)</v>
      </c>
      <c r="P286" s="15" t="str">
        <f t="shared" si="9"/>
        <v>Doumen Xiang (Wēnzhōu Shì)</v>
      </c>
    </row>
    <row r="287" spans="1:16" hidden="1" x14ac:dyDescent="0.25">
      <c r="A287" t="s">
        <v>1415</v>
      </c>
      <c r="B287" t="str">
        <f>IF(COUNTIF(A:A,A287)&gt;1,_xlfn.CONCAT(A287," (",N287,")"),A287)</f>
        <v>Duàntáng Jiēdào</v>
      </c>
      <c r="C287" t="str">
        <f>IF(COUNTIF(B:B,B287)&gt;1,_xlfn.CONCAT(A287," (",M287,")"),B287)</f>
        <v>Duàntáng Jiēdào</v>
      </c>
      <c r="D287" t="s">
        <v>1416</v>
      </c>
      <c r="E287" t="s">
        <v>15</v>
      </c>
      <c r="F287" t="str">
        <f>_xlfn.CONCAT(D287,", ",H287,", ",I287,", ","浙江省")</f>
        <v>段塘街道, 海曙区, 宁波市, 浙江省</v>
      </c>
      <c r="G287">
        <v>54882</v>
      </c>
      <c r="H287" t="s">
        <v>2965</v>
      </c>
      <c r="I287" t="s">
        <v>2961</v>
      </c>
      <c r="J287">
        <f>VLOOKUP(F287,[1]!china_towns_second__2[[Column1]:[Y]],3,FALSE)</f>
        <v>29.846704375928699</v>
      </c>
      <c r="K287">
        <f>VLOOKUP(F287,[1]!china_towns_second__2[[Column1]:[Y]],2,FALSE)</f>
        <v>121.5181958</v>
      </c>
      <c r="L287" t="s">
        <v>3925</v>
      </c>
      <c r="M287" t="str">
        <f>VLOOKUP(H287,CHOOSE({1,2},Table12[Native],Table12[Name]),2,0)</f>
        <v>Hăishŭ Qū</v>
      </c>
      <c r="N287" s="15" t="str">
        <f>VLOOKUP(I287,CHOOSE({1,2},Table12[Native],Table12[Name]),2,0)</f>
        <v>Níngbō Shì</v>
      </c>
      <c r="O287" s="15" t="str">
        <f t="shared" si="8"/>
        <v>Duantang Jiedao (Níngbō Shì)</v>
      </c>
      <c r="P287" s="15" t="str">
        <f t="shared" si="9"/>
        <v>Duantang Jiedao (Níngbō Shì)</v>
      </c>
    </row>
    <row r="288" spans="1:16" hidden="1" x14ac:dyDescent="0.25">
      <c r="A288" t="s">
        <v>765</v>
      </c>
      <c r="B288" t="str">
        <f>IF(COUNTIF(A:A,A288)&gt;1,_xlfn.CONCAT(A288," (",N288,")"),A288)</f>
        <v>Duōhú Jiēdào</v>
      </c>
      <c r="C288" t="str">
        <f>IF(COUNTIF(B:B,B288)&gt;1,_xlfn.CONCAT(A288," (",M288,")"),B288)</f>
        <v>Duōhú Jiēdào</v>
      </c>
      <c r="D288" t="s">
        <v>766</v>
      </c>
      <c r="E288" t="s">
        <v>15</v>
      </c>
      <c r="F288" t="str">
        <f>_xlfn.CONCAT(D288,", ",H288,", ",I288,", ","浙江省")</f>
        <v>多湖街道, 金东区, 金华市, 浙江省</v>
      </c>
      <c r="G288">
        <v>40530</v>
      </c>
      <c r="H288" t="s">
        <v>2940</v>
      </c>
      <c r="I288" t="s">
        <v>2938</v>
      </c>
      <c r="J288">
        <f>VLOOKUP(F288,[1]!china_towns_second__2[[Column1]:[Y]],3,FALSE)</f>
        <v>29.081634894128399</v>
      </c>
      <c r="K288">
        <f>VLOOKUP(F288,[1]!china_towns_second__2[[Column1]:[Y]],2,FALSE)</f>
        <v>119.69438270000001</v>
      </c>
      <c r="L288" t="s">
        <v>3926</v>
      </c>
      <c r="M288" t="str">
        <f>VLOOKUP(H288,CHOOSE({1,2},Table12[Native],Table12[Name]),2,0)</f>
        <v>Jīndōng Qū</v>
      </c>
      <c r="N288" s="15" t="str">
        <f>VLOOKUP(I288,CHOOSE({1,2},Table12[Native],Table12[Name]),2,0)</f>
        <v>Jīnhuá Shì</v>
      </c>
      <c r="O288" s="15" t="str">
        <f t="shared" si="8"/>
        <v>Duohu Jiedao (Jīnhuá Shì)</v>
      </c>
      <c r="P288" s="15" t="str">
        <f t="shared" si="9"/>
        <v>Duohu Jiedao (Jīnhuá Shì)</v>
      </c>
    </row>
    <row r="289" spans="1:16" hidden="1" x14ac:dyDescent="0.25">
      <c r="A289" t="s">
        <v>2086</v>
      </c>
      <c r="B289" t="str">
        <f>IF(COUNTIF(A:A,A289)&gt;1,_xlfn.CONCAT(A289," (",N289,")"),A289)</f>
        <v>Dùqiáo Zhèn</v>
      </c>
      <c r="C289" t="str">
        <f>IF(COUNTIF(B:B,B289)&gt;1,_xlfn.CONCAT(A289," (",M289,")"),B289)</f>
        <v>Dùqiáo Zhèn</v>
      </c>
      <c r="D289" t="s">
        <v>2087</v>
      </c>
      <c r="E289" t="s">
        <v>11</v>
      </c>
      <c r="F289" t="str">
        <f>_xlfn.CONCAT(D289,", ",H289,", ",I289,", ","浙江省")</f>
        <v>杜桥镇, 临海市, 台州市, 浙江省</v>
      </c>
      <c r="G289">
        <v>183870</v>
      </c>
      <c r="H289" t="s">
        <v>2992</v>
      </c>
      <c r="I289" t="s">
        <v>2989</v>
      </c>
      <c r="J289">
        <f>VLOOKUP(F289,[1]!china_towns_second__2[[Column1]:[Y]],3,FALSE)</f>
        <v>28.761382185532401</v>
      </c>
      <c r="K289">
        <f>VLOOKUP(F289,[1]!china_towns_second__2[[Column1]:[Y]],2,FALSE)</f>
        <v>121.4984773</v>
      </c>
      <c r="L289" t="s">
        <v>3927</v>
      </c>
      <c r="M289" t="str">
        <f>VLOOKUP(H289,CHOOSE({1,2},Table12[Native],Table12[Name]),2,0)</f>
        <v>Línhăi Shì</v>
      </c>
      <c r="N289" s="15" t="str">
        <f>VLOOKUP(I289,CHOOSE({1,2},Table12[Native],Table12[Name]),2,0)</f>
        <v>Táizhōu Shì</v>
      </c>
      <c r="O289" s="15" t="str">
        <f t="shared" si="8"/>
        <v>Duqiao Zhen (Táizhōu Shì)</v>
      </c>
      <c r="P289" s="15" t="str">
        <f t="shared" si="9"/>
        <v>Duqiao Zhen (Táizhōu Shì)</v>
      </c>
    </row>
    <row r="290" spans="1:16" hidden="1" x14ac:dyDescent="0.25">
      <c r="A290" t="s">
        <v>580</v>
      </c>
      <c r="B290" t="str">
        <f>IF(COUNTIF(A:A,A290)&gt;1,_xlfn.CONCAT(A290," (",N290,")"),A290)</f>
        <v>Dúshāngăng Zhèn</v>
      </c>
      <c r="C290" t="str">
        <f>IF(COUNTIF(B:B,B290)&gt;1,_xlfn.CONCAT(A290," (",M290,")"),B290)</f>
        <v>Dúshāngăng Zhèn</v>
      </c>
      <c r="D290" t="s">
        <v>581</v>
      </c>
      <c r="E290" t="s">
        <v>11</v>
      </c>
      <c r="F290" t="str">
        <f>_xlfn.CONCAT(D290,", ",H290,", ",I290,", ","浙江省")</f>
        <v>独山港镇, 平湖市, 嘉兴市, 浙江省</v>
      </c>
      <c r="G290">
        <v>105643</v>
      </c>
      <c r="H290" t="s">
        <v>2934</v>
      </c>
      <c r="I290" t="s">
        <v>2929</v>
      </c>
      <c r="J290">
        <f>VLOOKUP(F290,[1]!china_towns_second__2[[Column1]:[Y]],3,FALSE)</f>
        <v>30.684385650210402</v>
      </c>
      <c r="K290">
        <f>VLOOKUP(F290,[1]!china_towns_second__2[[Column1]:[Y]],2,FALSE)</f>
        <v>121.18497480000001</v>
      </c>
      <c r="L290" t="s">
        <v>3928</v>
      </c>
      <c r="M290" t="str">
        <f>VLOOKUP(H290,CHOOSE({1,2},Table12[Native],Table12[Name]),2,0)</f>
        <v>Pínghú Shì</v>
      </c>
      <c r="N290" s="15" t="str">
        <f>VLOOKUP(I290,CHOOSE({1,2},Table12[Native],Table12[Name]),2,0)</f>
        <v>Jiāxīng Shì</v>
      </c>
      <c r="O290" s="15" t="str">
        <f t="shared" si="8"/>
        <v>Dushangang Zhen (Jiāxīng Shì)</v>
      </c>
      <c r="P290" s="15" t="str">
        <f t="shared" si="9"/>
        <v>Dushangang Zhen (Jiāxīng Shì)</v>
      </c>
    </row>
    <row r="291" spans="1:16" hidden="1" x14ac:dyDescent="0.25">
      <c r="A291" t="s">
        <v>1676</v>
      </c>
      <c r="B291" t="str">
        <f>IF(COUNTIF(A:A,A291)&gt;1,_xlfn.CONCAT(A291," (",N291,")"),A291)</f>
        <v>Dùzé Zhèn</v>
      </c>
      <c r="C291" t="str">
        <f>IF(COUNTIF(B:B,B291)&gt;1,_xlfn.CONCAT(A291," (",M291,")"),B291)</f>
        <v>Dùzé Zhèn</v>
      </c>
      <c r="D291" t="s">
        <v>1677</v>
      </c>
      <c r="E291" t="s">
        <v>11</v>
      </c>
      <c r="F291" t="str">
        <f>_xlfn.CONCAT(D291,", ",H291,", ",I291,", ","浙江省")</f>
        <v>杜泽镇, 衢江区, 衢州市, 浙江省</v>
      </c>
      <c r="G291">
        <v>23427</v>
      </c>
      <c r="H291" t="s">
        <v>2979</v>
      </c>
      <c r="I291" t="s">
        <v>2973</v>
      </c>
      <c r="J291">
        <f>VLOOKUP(F291,[1]!china_towns_second__2[[Column1]:[Y]],3,FALSE)</f>
        <v>29.142018116269298</v>
      </c>
      <c r="K291">
        <f>VLOOKUP(F291,[1]!china_towns_second__2[[Column1]:[Y]],2,FALSE)</f>
        <v>118.9270312</v>
      </c>
      <c r="L291" t="s">
        <v>3929</v>
      </c>
      <c r="M291" t="str">
        <f>VLOOKUP(H291,CHOOSE({1,2},Table12[Native],Table12[Name]),2,0)</f>
        <v>Qújiāng Qū</v>
      </c>
      <c r="N291" s="15" t="str">
        <f>VLOOKUP(I291,CHOOSE({1,2},Table12[Native],Table12[Name]),2,0)</f>
        <v>Qúzhōu Shì</v>
      </c>
      <c r="O291" s="15" t="str">
        <f t="shared" si="8"/>
        <v>Duze Zhen (Qúzhōu Shì)</v>
      </c>
      <c r="P291" s="15" t="str">
        <f t="shared" si="9"/>
        <v>Duze Zhen (Qúzhōu Shì)</v>
      </c>
    </row>
    <row r="292" spans="1:16" hidden="1" x14ac:dyDescent="0.25">
      <c r="A292" t="s">
        <v>2357</v>
      </c>
      <c r="B292" t="str">
        <f>IF(COUNTIF(A:A,A292)&gt;1,_xlfn.CONCAT(A292," (",N292,")"),A292)</f>
        <v>Èryuán Zhèn [→ Băizhàngjì Zhèn]</v>
      </c>
      <c r="C292" t="str">
        <f>IF(COUNTIF(B:B,B292)&gt;1,_xlfn.CONCAT(A292," (",M292,")"),B292)</f>
        <v>Èryuán Zhèn [→ Băizhàngjì Zhèn]</v>
      </c>
      <c r="D292" t="s">
        <v>2358</v>
      </c>
      <c r="E292" t="s">
        <v>11</v>
      </c>
      <c r="F292" t="str">
        <f>_xlfn.CONCAT(D292,", ",H292,", ",I292,", ","浙江省")</f>
        <v>二源镇, 文成县, 温州市, 浙江省</v>
      </c>
      <c r="G292">
        <v>6784</v>
      </c>
      <c r="H292" t="s">
        <v>3009</v>
      </c>
      <c r="I292" t="s">
        <v>3000</v>
      </c>
      <c r="J292">
        <f>VLOOKUP(F292,[1]!china_towns_second__2[[Column1]:[Y]],3,FALSE)</f>
        <v>27.882300000000001</v>
      </c>
      <c r="K292">
        <f>VLOOKUP(F292,[1]!china_towns_second__2[[Column1]:[Y]],2,FALSE)</f>
        <v>120.02549999999999</v>
      </c>
      <c r="L292" t="s">
        <v>3930</v>
      </c>
      <c r="M292" t="str">
        <f>VLOOKUP(H292,CHOOSE({1,2},Table12[Native],Table12[Name]),2,0)</f>
        <v>Wénchéng Xiàn</v>
      </c>
      <c r="N292" s="15" t="str">
        <f>VLOOKUP(I292,CHOOSE({1,2},Table12[Native],Table12[Name]),2,0)</f>
        <v>Wēnzhōu Shì</v>
      </c>
      <c r="O292" s="15" t="str">
        <f t="shared" si="8"/>
        <v>Eryuan Zhen [→ Baizhangji Zhen] (Wēnzhōu Shì)</v>
      </c>
      <c r="P292" s="15" t="str">
        <f t="shared" si="9"/>
        <v>Eryuan Zhen [→ Baizhangji Zhen] (Wēnzhōu Shì)</v>
      </c>
    </row>
    <row r="293" spans="1:16" hidden="1" x14ac:dyDescent="0.25">
      <c r="A293" t="s">
        <v>97</v>
      </c>
      <c r="B293" t="str">
        <f>IF(COUNTIF(A:A,A293)&gt;1,_xlfn.CONCAT(A293," (",N293,")"),A293)</f>
        <v>Éshān Shēzú Xiāng</v>
      </c>
      <c r="C293" t="str">
        <f>IF(COUNTIF(B:B,B293)&gt;1,_xlfn.CONCAT(A293," (",M293,")"),B293)</f>
        <v>Éshān Shēzú Xiāng</v>
      </c>
      <c r="D293" t="s">
        <v>98</v>
      </c>
      <c r="E293" t="s">
        <v>7</v>
      </c>
      <c r="F293" t="str">
        <f>_xlfn.CONCAT(D293,", ",H293,", ",I293,", ","浙江省")</f>
        <v>莪山畲族乡, 桐庐县, 杭州市, 浙江省</v>
      </c>
      <c r="G293">
        <v>7394</v>
      </c>
      <c r="H293" t="s">
        <v>2916</v>
      </c>
      <c r="I293" t="s">
        <v>2903</v>
      </c>
      <c r="J293" t="e">
        <f>VLOOKUP(F293,[1]!china_towns_second__2[[Column1]:[Y]],3,FALSE)</f>
        <v>#N/A</v>
      </c>
      <c r="K293" t="e">
        <f>VLOOKUP(F293,[1]!china_towns_second__2[[Column1]:[Y]],2,FALSE)</f>
        <v>#N/A</v>
      </c>
      <c r="L293" t="s">
        <v>3931</v>
      </c>
      <c r="M293" t="str">
        <f>VLOOKUP(H293,CHOOSE({1,2},Table12[Native],Table12[Name]),2,0)</f>
        <v>Tónglú Xiàn</v>
      </c>
      <c r="N293" s="15" t="str">
        <f>VLOOKUP(I293,CHOOSE({1,2},Table12[Native],Table12[Name]),2,0)</f>
        <v>Hángzhōu Shì</v>
      </c>
      <c r="O293" s="15" t="str">
        <f t="shared" si="8"/>
        <v>Eshan Shezu Xiang (Hángzhōu Shì)</v>
      </c>
      <c r="P293" s="15" t="str">
        <f t="shared" si="9"/>
        <v>Eshan Shezu Xiang (Hángzhōu Shì)</v>
      </c>
    </row>
    <row r="294" spans="1:16" hidden="1" x14ac:dyDescent="0.25">
      <c r="A294" t="s">
        <v>1678</v>
      </c>
      <c r="B294" t="str">
        <f>IF(COUNTIF(A:A,A294)&gt;1,_xlfn.CONCAT(A294," (",N294,")"),A294)</f>
        <v>Fāngcūn Zhèn [incl. Xīnqiáo Xiāng]</v>
      </c>
      <c r="C294" t="str">
        <f>IF(COUNTIF(B:B,B294)&gt;1,_xlfn.CONCAT(A294," (",M294,")"),B294)</f>
        <v>Fāngcūn Zhèn [incl. Xīnqiáo Xiāng]</v>
      </c>
      <c r="D294" t="s">
        <v>1679</v>
      </c>
      <c r="E294" t="s">
        <v>11</v>
      </c>
      <c r="F294" t="str">
        <f>_xlfn.CONCAT(D294,", ",H294,", ",I294,", ","浙江省")</f>
        <v>芳村镇, 常山县, 衢州市, 浙江省</v>
      </c>
      <c r="G294">
        <v>15562</v>
      </c>
      <c r="H294" t="s">
        <v>2974</v>
      </c>
      <c r="I294" t="s">
        <v>2973</v>
      </c>
      <c r="J294">
        <f>VLOOKUP(F294,[1]!china_towns_second__2[[Column1]:[Y]],3,FALSE)</f>
        <v>29.116701297685101</v>
      </c>
      <c r="K294">
        <f>VLOOKUP(F294,[1]!china_towns_second__2[[Column1]:[Y]],2,FALSE)</f>
        <v>118.6671096</v>
      </c>
      <c r="L294" t="s">
        <v>3932</v>
      </c>
      <c r="M294" t="str">
        <f>VLOOKUP(H294,CHOOSE({1,2},Table12[Native],Table12[Name]),2,0)</f>
        <v>Chángshān Xiàn</v>
      </c>
      <c r="N294" s="15" t="str">
        <f>VLOOKUP(I294,CHOOSE({1,2},Table12[Native],Table12[Name]),2,0)</f>
        <v>Qúzhōu Shì</v>
      </c>
      <c r="O294" s="15" t="str">
        <f t="shared" si="8"/>
        <v>Fangcun Zhen [incl. Xinqiao Xiang] (Qúzhōu Shì)</v>
      </c>
      <c r="P294" s="15" t="str">
        <f t="shared" si="9"/>
        <v>Fangcun Zhen [incl. Xinqiao Xiang] (Qúzhōu Shì)</v>
      </c>
    </row>
    <row r="295" spans="1:16" hidden="1" x14ac:dyDescent="0.25">
      <c r="A295" t="s">
        <v>767</v>
      </c>
      <c r="B295" t="str">
        <f>IF(COUNTIF(A:A,A295)&gt;1,_xlfn.CONCAT(A295," (",N295,")"),A295)</f>
        <v>Fāngqián Zhèn</v>
      </c>
      <c r="C295" t="str">
        <f>IF(COUNTIF(B:B,B295)&gt;1,_xlfn.CONCAT(A295," (",M295,")"),B295)</f>
        <v>Fāngqián Zhèn</v>
      </c>
      <c r="D295" t="s">
        <v>768</v>
      </c>
      <c r="E295" t="s">
        <v>11</v>
      </c>
      <c r="F295" t="str">
        <f>_xlfn.CONCAT(D295,", ",H295,", ",I295,", ","浙江省")</f>
        <v>方前镇, 磐安县, 金华市, 浙江省</v>
      </c>
      <c r="G295">
        <v>8664</v>
      </c>
      <c r="H295" t="s">
        <v>2942</v>
      </c>
      <c r="I295" t="s">
        <v>2938</v>
      </c>
      <c r="J295">
        <f>VLOOKUP(F295,[1]!china_towns_second__2[[Column1]:[Y]],3,FALSE)</f>
        <v>29.032105966595999</v>
      </c>
      <c r="K295">
        <f>VLOOKUP(F295,[1]!china_towns_second__2[[Column1]:[Y]],2,FALSE)</f>
        <v>120.6571738</v>
      </c>
      <c r="L295" t="s">
        <v>3933</v>
      </c>
      <c r="M295" t="str">
        <f>VLOOKUP(H295,CHOOSE({1,2},Table12[Native],Table12[Name]),2,0)</f>
        <v>Pán'ān Xiàn</v>
      </c>
      <c r="N295" s="15" t="str">
        <f>VLOOKUP(I295,CHOOSE({1,2},Table12[Native],Table12[Name]),2,0)</f>
        <v>Jīnhuá Shì</v>
      </c>
      <c r="O295" s="15" t="str">
        <f t="shared" si="8"/>
        <v>Fangqian Zhen (Jīnhuá Shì)</v>
      </c>
      <c r="P295" s="15" t="str">
        <f t="shared" si="9"/>
        <v>Fangqian Zhen (Jīnhuá Shì)</v>
      </c>
    </row>
    <row r="296" spans="1:16" hidden="1" x14ac:dyDescent="0.25">
      <c r="A296" t="s">
        <v>1074</v>
      </c>
      <c r="B296" t="str">
        <f>IF(COUNTIF(A:A,A296)&gt;1,_xlfn.CONCAT(A296," (",N296,")"),A296)</f>
        <v>Fāngshān Xiāng</v>
      </c>
      <c r="C296" t="str">
        <f>IF(COUNTIF(B:B,B296)&gt;1,_xlfn.CONCAT(A296," (",M296,")"),B296)</f>
        <v>Fāngshān Xiāng</v>
      </c>
      <c r="D296" t="s">
        <v>1075</v>
      </c>
      <c r="E296" t="s">
        <v>7</v>
      </c>
      <c r="F296" t="str">
        <f>_xlfn.CONCAT(D296,", ",H296,", ",I296,", ","浙江省")</f>
        <v>方山乡, 青田县, 丽水市, 浙江省</v>
      </c>
      <c r="G296">
        <v>3682</v>
      </c>
      <c r="H296" t="s">
        <v>2955</v>
      </c>
      <c r="I296" t="s">
        <v>2949</v>
      </c>
      <c r="J296" t="e">
        <f>VLOOKUP(F296,[1]!china_towns_second__2[[Column1]:[Y]],3,FALSE)</f>
        <v>#N/A</v>
      </c>
      <c r="K296" t="e">
        <f>VLOOKUP(F296,[1]!china_towns_second__2[[Column1]:[Y]],2,FALSE)</f>
        <v>#N/A</v>
      </c>
      <c r="L296" t="s">
        <v>3934</v>
      </c>
      <c r="M296" t="str">
        <f>VLOOKUP(H296,CHOOSE({1,2},Table12[Native],Table12[Name]),2,0)</f>
        <v>Qīngtián Xiàn</v>
      </c>
      <c r="N296" s="15" t="str">
        <f>VLOOKUP(I296,CHOOSE({1,2},Table12[Native],Table12[Name]),2,0)</f>
        <v>Lìshuĭ Shì</v>
      </c>
      <c r="O296" s="15" t="str">
        <f t="shared" si="8"/>
        <v>Fangshan Xiang (Lìshuĭ Shì)</v>
      </c>
      <c r="P296" s="15" t="str">
        <f t="shared" si="9"/>
        <v>Fangshan Xiang (Lìshuĭ Shì)</v>
      </c>
    </row>
    <row r="297" spans="1:16" hidden="1" x14ac:dyDescent="0.25">
      <c r="A297" t="s">
        <v>1076</v>
      </c>
      <c r="B297" t="str">
        <f>IF(COUNTIF(A:A,A297)&gt;1,_xlfn.CONCAT(A297," (",N297,")"),A297)</f>
        <v>Fāngxī Xiāng</v>
      </c>
      <c r="C297" t="str">
        <f>IF(COUNTIF(B:B,B297)&gt;1,_xlfn.CONCAT(A297," (",M297,")"),B297)</f>
        <v>Fāngxī Xiāng</v>
      </c>
      <c r="D297" t="s">
        <v>1077</v>
      </c>
      <c r="E297" t="s">
        <v>7</v>
      </c>
      <c r="F297" t="str">
        <f>_xlfn.CONCAT(D297,", ",H297,", ",I297,", ","浙江省")</f>
        <v>方溪乡, 缙云县, 丽水市, 浙江省</v>
      </c>
      <c r="G297">
        <v>1830</v>
      </c>
      <c r="H297" t="s">
        <v>2952</v>
      </c>
      <c r="I297" t="s">
        <v>2949</v>
      </c>
      <c r="J297" t="e">
        <f>VLOOKUP(F297,[1]!china_towns_second__2[[Column1]:[Y]],3,FALSE)</f>
        <v>#N/A</v>
      </c>
      <c r="K297" t="e">
        <f>VLOOKUP(F297,[1]!china_towns_second__2[[Column1]:[Y]],2,FALSE)</f>
        <v>#N/A</v>
      </c>
      <c r="L297" t="s">
        <v>3935</v>
      </c>
      <c r="M297" t="str">
        <f>VLOOKUP(H297,CHOOSE({1,2},Table12[Native],Table12[Name]),2,0)</f>
        <v>Jìnyún Xiàn</v>
      </c>
      <c r="N297" s="15" t="str">
        <f>VLOOKUP(I297,CHOOSE({1,2},Table12[Native],Table12[Name]),2,0)</f>
        <v>Lìshuĭ Shì</v>
      </c>
      <c r="O297" s="15" t="str">
        <f t="shared" si="8"/>
        <v>Fangxi Xiang (Lìshuĭ Shì)</v>
      </c>
      <c r="P297" s="15" t="str">
        <f t="shared" si="9"/>
        <v>Fangxi Xiang (Lìshuĭ Shì)</v>
      </c>
    </row>
    <row r="298" spans="1:16" hidden="1" x14ac:dyDescent="0.25">
      <c r="A298" t="s">
        <v>769</v>
      </c>
      <c r="B298" t="str">
        <f>IF(COUNTIF(A:A,A298)&gt;1,_xlfn.CONCAT(A298," (",N298,")"),A298)</f>
        <v>Fāngyán Zhèn</v>
      </c>
      <c r="C298" t="str">
        <f>IF(COUNTIF(B:B,B298)&gt;1,_xlfn.CONCAT(A298," (",M298,")"),B298)</f>
        <v>Fāngyán Zhèn</v>
      </c>
      <c r="D298" t="s">
        <v>770</v>
      </c>
      <c r="E298" t="s">
        <v>11</v>
      </c>
      <c r="F298" t="str">
        <f>_xlfn.CONCAT(D298,", ",H298,", ",I298,", ","浙江省")</f>
        <v>方岩镇, 永康市, 金华市, 浙江省</v>
      </c>
      <c r="G298">
        <v>24625</v>
      </c>
      <c r="H298" t="s">
        <v>2947</v>
      </c>
      <c r="I298" t="s">
        <v>2938</v>
      </c>
      <c r="J298">
        <f>VLOOKUP(F298,[1]!china_towns_second__2[[Column1]:[Y]],3,FALSE)</f>
        <v>28.913184089867801</v>
      </c>
      <c r="K298">
        <f>VLOOKUP(F298,[1]!china_towns_second__2[[Column1]:[Y]],2,FALSE)</f>
        <v>120.1990187</v>
      </c>
      <c r="L298" t="s">
        <v>3936</v>
      </c>
      <c r="M298" t="str">
        <f>VLOOKUP(H298,CHOOSE({1,2},Table12[Native],Table12[Name]),2,0)</f>
        <v>Yŏngkāng Shì</v>
      </c>
      <c r="N298" s="15" t="str">
        <f>VLOOKUP(I298,CHOOSE({1,2},Table12[Native],Table12[Name]),2,0)</f>
        <v>Jīnhuá Shì</v>
      </c>
      <c r="O298" s="15" t="str">
        <f t="shared" si="8"/>
        <v>Fangyan Zhen (Jīnhuá Shì)</v>
      </c>
      <c r="P298" s="15" t="str">
        <f t="shared" si="9"/>
        <v>Fangyan Zhen (Jīnhuá Shì)</v>
      </c>
    </row>
    <row r="299" spans="1:16" hidden="1" x14ac:dyDescent="0.25">
      <c r="A299" t="s">
        <v>2359</v>
      </c>
      <c r="B299" t="str">
        <f>IF(COUNTIF(A:A,A299)&gt;1,_xlfn.CONCAT(A299," (",N299,")"),A299)</f>
        <v>Fāngzhuāng Xiāng [→ Húlĭng Zhèn]</v>
      </c>
      <c r="C299" t="str">
        <f>IF(COUNTIF(B:B,B299)&gt;1,_xlfn.CONCAT(A299," (",M299,")"),B299)</f>
        <v>Fāngzhuāng Xiāng [→ Húlĭng Zhèn]</v>
      </c>
      <c r="D299" t="s">
        <v>2360</v>
      </c>
      <c r="E299" t="s">
        <v>7</v>
      </c>
      <c r="F299" t="str">
        <f>_xlfn.CONCAT(D299,", ",H299,", ",I299,", ","浙江省")</f>
        <v>芳庄乡, 瑞安市, 温州市, 浙江省</v>
      </c>
      <c r="G299">
        <v>6243</v>
      </c>
      <c r="H299" t="s">
        <v>3007</v>
      </c>
      <c r="I299" t="s">
        <v>3000</v>
      </c>
      <c r="J299" t="e">
        <f>VLOOKUP(F299,[1]!china_towns_second__2[[Column1]:[Y]],3,FALSE)</f>
        <v>#N/A</v>
      </c>
      <c r="K299" t="e">
        <f>VLOOKUP(F299,[1]!china_towns_second__2[[Column1]:[Y]],2,FALSE)</f>
        <v>#N/A</v>
      </c>
      <c r="L299" t="s">
        <v>3937</v>
      </c>
      <c r="M299" t="str">
        <f>VLOOKUP(H299,CHOOSE({1,2},Table12[Native],Table12[Name]),2,0)</f>
        <v>Ruì'ān Shì</v>
      </c>
      <c r="N299" s="15" t="str">
        <f>VLOOKUP(I299,CHOOSE({1,2},Table12[Native],Table12[Name]),2,0)</f>
        <v>Wēnzhōu Shì</v>
      </c>
      <c r="O299" s="15" t="str">
        <f t="shared" si="8"/>
        <v>Fangzhuang Xiang [→ Huling Zhen] (Wēnzhōu Shì)</v>
      </c>
      <c r="P299" s="15" t="str">
        <f t="shared" si="9"/>
        <v>Fangzhuang Xiang [→ Huling Zhen] (Wēnzhōu Shì)</v>
      </c>
    </row>
    <row r="300" spans="1:16" hidden="1" x14ac:dyDescent="0.25">
      <c r="A300" t="s">
        <v>2361</v>
      </c>
      <c r="B300" t="str">
        <f>IF(COUNTIF(A:A,A300)&gt;1,_xlfn.CONCAT(A300," (",N300,")"),A300)</f>
        <v>Fánshān Zhèn</v>
      </c>
      <c r="C300" t="str">
        <f>IF(COUNTIF(B:B,B300)&gt;1,_xlfn.CONCAT(A300," (",M300,")"),B300)</f>
        <v>Fánshān Zhèn</v>
      </c>
      <c r="D300" t="s">
        <v>2362</v>
      </c>
      <c r="E300" t="s">
        <v>11</v>
      </c>
      <c r="F300" t="str">
        <f>_xlfn.CONCAT(D300,", ",H300,", ",I300,", ","浙江省")</f>
        <v>矾山镇, 苍南县, 温州市, 浙江省</v>
      </c>
      <c r="G300">
        <v>28416</v>
      </c>
      <c r="H300" t="s">
        <v>3001</v>
      </c>
      <c r="I300" t="s">
        <v>3000</v>
      </c>
      <c r="J300">
        <f>VLOOKUP(F300,[1]!china_towns_second__2[[Column1]:[Y]],3,FALSE)</f>
        <v>27.364833130832899</v>
      </c>
      <c r="K300">
        <f>VLOOKUP(F300,[1]!china_towns_second__2[[Column1]:[Y]],2,FALSE)</f>
        <v>120.41305560000001</v>
      </c>
      <c r="L300" t="s">
        <v>3938</v>
      </c>
      <c r="M300" t="str">
        <f>VLOOKUP(H300,CHOOSE({1,2},Table12[Native],Table12[Name]),2,0)</f>
        <v>Cāngnán Xiàn</v>
      </c>
      <c r="N300" s="15" t="str">
        <f>VLOOKUP(I300,CHOOSE({1,2},Table12[Native],Table12[Name]),2,0)</f>
        <v>Wēnzhōu Shì</v>
      </c>
      <c r="O300" s="15" t="str">
        <f t="shared" si="8"/>
        <v>Fanshan Zhen (Wēnzhōu Shì)</v>
      </c>
      <c r="P300" s="15" t="str">
        <f t="shared" si="9"/>
        <v>Fanshan Zhen (Wēnzhōu Shì)</v>
      </c>
    </row>
    <row r="301" spans="1:16" hidden="1" x14ac:dyDescent="0.25">
      <c r="A301" t="s">
        <v>443</v>
      </c>
      <c r="B301" t="str">
        <f>IF(COUNTIF(A:A,A301)&gt;1,_xlfn.CONCAT(A301," (",N301,")"),A301)</f>
        <v>Fēiyīng Jiēdào</v>
      </c>
      <c r="C301" t="str">
        <f>IF(COUNTIF(B:B,B301)&gt;1,_xlfn.CONCAT(A301," (",M301,")"),B301)</f>
        <v>Fēiyīng Jiēdào</v>
      </c>
      <c r="D301" t="s">
        <v>444</v>
      </c>
      <c r="E301" t="s">
        <v>15</v>
      </c>
      <c r="F301" t="str">
        <f>_xlfn.CONCAT(D301,", ",H301,", ",I301,", ","浙江省")</f>
        <v>飞英街道, 吴兴区, 湖州市, 浙江省</v>
      </c>
      <c r="G301">
        <v>31621</v>
      </c>
      <c r="H301" t="s">
        <v>2927</v>
      </c>
      <c r="I301" t="s">
        <v>2922</v>
      </c>
      <c r="J301">
        <f>VLOOKUP(F301,[1]!china_towns_second__2[[Column1]:[Y]],3,FALSE)</f>
        <v>30.870560539526</v>
      </c>
      <c r="K301">
        <f>VLOOKUP(F301,[1]!china_towns_second__2[[Column1]:[Y]],2,FALSE)</f>
        <v>120.10970399999999</v>
      </c>
      <c r="L301" t="s">
        <v>3939</v>
      </c>
      <c r="M301" t="str">
        <f>VLOOKUP(H301,CHOOSE({1,2},Table12[Native],Table12[Name]),2,0)</f>
        <v>Wúxīng Qū</v>
      </c>
      <c r="N301" s="15" t="str">
        <f>VLOOKUP(I301,CHOOSE({1,2},Table12[Native],Table12[Name]),2,0)</f>
        <v>Húzhōu Shì</v>
      </c>
      <c r="O301" s="15" t="str">
        <f t="shared" si="8"/>
        <v>Feiying Jiedao (Húzhōu Shì)</v>
      </c>
      <c r="P301" s="15" t="str">
        <f t="shared" si="9"/>
        <v>Feiying Jiedao (Húzhōu Shì)</v>
      </c>
    </row>
    <row r="302" spans="1:16" hidden="1" x14ac:dyDescent="0.25">
      <c r="A302" t="s">
        <v>2363</v>
      </c>
      <c r="B302" t="str">
        <f>IF(COUNTIF(A:A,A302)&gt;1,_xlfn.CONCAT(A302," (",N302,")"),A302)</f>
        <v>Fēiyún Jiēdào</v>
      </c>
      <c r="C302" t="str">
        <f>IF(COUNTIF(B:B,B302)&gt;1,_xlfn.CONCAT(A302," (",M302,")"),B302)</f>
        <v>Fēiyún Jiēdào</v>
      </c>
      <c r="D302" t="s">
        <v>2364</v>
      </c>
      <c r="E302" t="s">
        <v>15</v>
      </c>
      <c r="F302" t="str">
        <f>_xlfn.CONCAT(D302,", ",H302,", ",I302,", ","浙江省")</f>
        <v>飞云街道, 瑞安市, 温州市, 浙江省</v>
      </c>
      <c r="G302">
        <v>130776</v>
      </c>
      <c r="H302" t="s">
        <v>3007</v>
      </c>
      <c r="I302" t="s">
        <v>3000</v>
      </c>
      <c r="J302">
        <f>VLOOKUP(F302,[1]!china_towns_second__2[[Column1]:[Y]],3,FALSE)</f>
        <v>27.778015927420299</v>
      </c>
      <c r="K302">
        <f>VLOOKUP(F302,[1]!china_towns_second__2[[Column1]:[Y]],2,FALSE)</f>
        <v>120.5904041</v>
      </c>
      <c r="L302" t="s">
        <v>3940</v>
      </c>
      <c r="M302" t="str">
        <f>VLOOKUP(H302,CHOOSE({1,2},Table12[Native],Table12[Name]),2,0)</f>
        <v>Ruì'ān Shì</v>
      </c>
      <c r="N302" s="15" t="str">
        <f>VLOOKUP(I302,CHOOSE({1,2},Table12[Native],Table12[Name]),2,0)</f>
        <v>Wēnzhōu Shì</v>
      </c>
      <c r="O302" s="15" t="str">
        <f t="shared" si="8"/>
        <v>Feiyun Jiedao (Wēnzhōu Shì)</v>
      </c>
      <c r="P302" s="15" t="str">
        <f t="shared" si="9"/>
        <v>Feiyun Jiedao (Wēnzhōu Shì)</v>
      </c>
    </row>
    <row r="303" spans="1:16" hidden="1" x14ac:dyDescent="0.25">
      <c r="A303" t="s">
        <v>2365</v>
      </c>
      <c r="B303" t="str">
        <f>IF(COUNTIF(A:A,A303)&gt;1,_xlfn.CONCAT(A303," (",N303,")"),A303)</f>
        <v>Fèngcháo Xiāng</v>
      </c>
      <c r="C303" t="str">
        <f>IF(COUNTIF(B:B,B303)&gt;1,_xlfn.CONCAT(A303," (",M303,")"),B303)</f>
        <v>Fèngcháo Xiāng</v>
      </c>
      <c r="D303" t="s">
        <v>2366</v>
      </c>
      <c r="E303" t="s">
        <v>7</v>
      </c>
      <c r="F303" t="str">
        <f>_xlfn.CONCAT(D303,", ",H303,", ",I303,", ","浙江省")</f>
        <v>凤巢乡, 平阳县, 温州市, 浙江省</v>
      </c>
      <c r="G303">
        <v>8639</v>
      </c>
      <c r="H303" t="s">
        <v>3006</v>
      </c>
      <c r="I303" t="s">
        <v>3000</v>
      </c>
      <c r="J303" t="e">
        <f>VLOOKUP(F303,[1]!china_towns_second__2[[Column1]:[Y]],3,FALSE)</f>
        <v>#N/A</v>
      </c>
      <c r="K303" t="e">
        <f>VLOOKUP(F303,[1]!china_towns_second__2[[Column1]:[Y]],2,FALSE)</f>
        <v>#N/A</v>
      </c>
      <c r="L303" t="s">
        <v>3941</v>
      </c>
      <c r="M303" t="str">
        <f>VLOOKUP(H303,CHOOSE({1,2},Table12[Native],Table12[Name]),2,0)</f>
        <v>Píngyáng Xiàn</v>
      </c>
      <c r="N303" s="15" t="str">
        <f>VLOOKUP(I303,CHOOSE({1,2},Table12[Native],Table12[Name]),2,0)</f>
        <v>Wēnzhōu Shì</v>
      </c>
      <c r="O303" s="15" t="str">
        <f t="shared" si="8"/>
        <v>Fengchao Xiang (Wēnzhōu Shì)</v>
      </c>
      <c r="P303" s="15" t="str">
        <f t="shared" si="9"/>
        <v>Fengchao Xiang (Wēnzhōu Shì)</v>
      </c>
    </row>
    <row r="304" spans="1:16" hidden="1" x14ac:dyDescent="0.25">
      <c r="A304" t="s">
        <v>2367</v>
      </c>
      <c r="B304" t="str">
        <f>IF(COUNTIF(A:A,A304)&gt;1,_xlfn.CONCAT(A304," (",N304,")"),A304)</f>
        <v>Fèngchí Xiāng</v>
      </c>
      <c r="C304" t="str">
        <f>IF(COUNTIF(B:B,B304)&gt;1,_xlfn.CONCAT(A304," (",M304,")"),B304)</f>
        <v>Fèngchí Xiāng</v>
      </c>
      <c r="D304" t="s">
        <v>2368</v>
      </c>
      <c r="E304" t="s">
        <v>7</v>
      </c>
      <c r="F304" t="str">
        <f>_xlfn.CONCAT(D304,", ",H304,", ",I304,", ","浙江省")</f>
        <v>凤池乡, 苍南县, 温州市, 浙江省</v>
      </c>
      <c r="G304">
        <v>9326</v>
      </c>
      <c r="H304" t="s">
        <v>3001</v>
      </c>
      <c r="I304" t="s">
        <v>3000</v>
      </c>
      <c r="J304" t="e">
        <f>VLOOKUP(F304,[1]!china_towns_second__2[[Column1]:[Y]],3,FALSE)</f>
        <v>#N/A</v>
      </c>
      <c r="K304" t="e">
        <f>VLOOKUP(F304,[1]!china_towns_second__2[[Column1]:[Y]],2,FALSE)</f>
        <v>#N/A</v>
      </c>
      <c r="L304" t="s">
        <v>3942</v>
      </c>
      <c r="M304" t="str">
        <f>VLOOKUP(H304,CHOOSE({1,2},Table12[Native],Table12[Name]),2,0)</f>
        <v>Cāngnán Xiàn</v>
      </c>
      <c r="N304" s="15" t="str">
        <f>VLOOKUP(I304,CHOOSE({1,2},Table12[Native],Table12[Name]),2,0)</f>
        <v>Wēnzhōu Shì</v>
      </c>
      <c r="O304" s="15" t="str">
        <f t="shared" si="8"/>
        <v>Fengchi Xiang (Wēnzhōu Shì)</v>
      </c>
      <c r="P304" s="15" t="str">
        <f t="shared" si="9"/>
        <v>Fengchi Xiang (Wēnzhōu Shì)</v>
      </c>
    </row>
    <row r="305" spans="1:16" hidden="1" x14ac:dyDescent="0.25">
      <c r="A305" t="s">
        <v>99</v>
      </c>
      <c r="B305" t="str">
        <f>IF(COUNTIF(A:A,A305)&gt;1,_xlfn.CONCAT(A305," (",N305,")"),A305)</f>
        <v>Fèngchuān Jiēdào</v>
      </c>
      <c r="C305" t="str">
        <f>IF(COUNTIF(B:B,B305)&gt;1,_xlfn.CONCAT(A305," (",M305,")"),B305)</f>
        <v>Fèngchuān Jiēdào</v>
      </c>
      <c r="D305" t="s">
        <v>100</v>
      </c>
      <c r="E305" t="s">
        <v>15</v>
      </c>
      <c r="F305" t="str">
        <f>_xlfn.CONCAT(D305,", ",H305,", ",I305,", ","浙江省")</f>
        <v>凤川街道, 桐庐县, 杭州市, 浙江省</v>
      </c>
      <c r="G305">
        <v>15309</v>
      </c>
      <c r="H305" t="s">
        <v>2916</v>
      </c>
      <c r="I305" t="s">
        <v>2903</v>
      </c>
      <c r="J305">
        <f>VLOOKUP(F305,[1]!china_towns_second__2[[Column1]:[Y]],3,FALSE)</f>
        <v>29.7490674959408</v>
      </c>
      <c r="K305">
        <f>VLOOKUP(F305,[1]!china_towns_second__2[[Column1]:[Y]],2,FALSE)</f>
        <v>119.7987667</v>
      </c>
      <c r="L305" t="s">
        <v>3943</v>
      </c>
      <c r="M305" t="str">
        <f>VLOOKUP(H305,CHOOSE({1,2},Table12[Native],Table12[Name]),2,0)</f>
        <v>Tónglú Xiàn</v>
      </c>
      <c r="N305" s="15" t="str">
        <f>VLOOKUP(I305,CHOOSE({1,2},Table12[Native],Table12[Name]),2,0)</f>
        <v>Hángzhōu Shì</v>
      </c>
      <c r="O305" s="15" t="str">
        <f t="shared" si="8"/>
        <v>Fengchuan Jiedao (Hángzhōu Shì)</v>
      </c>
      <c r="P305" s="15" t="str">
        <f t="shared" si="9"/>
        <v>Fengchuan Jiedao (Hángzhōu Shì)</v>
      </c>
    </row>
    <row r="306" spans="1:16" hidden="1" x14ac:dyDescent="0.25">
      <c r="A306" t="s">
        <v>445</v>
      </c>
      <c r="B306" t="str">
        <f>IF(COUNTIF(A:A,A306)&gt;1,_xlfn.CONCAT(A306," (",N306,")"),A306)</f>
        <v>Fènghuáng Jiēdào</v>
      </c>
      <c r="C306" t="str">
        <f>IF(COUNTIF(B:B,B306)&gt;1,_xlfn.CONCAT(A306," (",M306,")"),B306)</f>
        <v>Fènghuáng Jiēdào</v>
      </c>
      <c r="D306" t="s">
        <v>446</v>
      </c>
      <c r="E306" t="s">
        <v>15</v>
      </c>
      <c r="F306" t="str">
        <f>_xlfn.CONCAT(D306,", ",H306,", ",I306,", ","浙江省")</f>
        <v>凤凰街道, 吴兴区, 湖州市, 浙江省</v>
      </c>
      <c r="G306">
        <v>55342</v>
      </c>
      <c r="H306" t="s">
        <v>2927</v>
      </c>
      <c r="I306" t="s">
        <v>2922</v>
      </c>
      <c r="J306">
        <f>VLOOKUP(F306,[1]!china_towns_second__2[[Column1]:[Y]],3,FALSE)</f>
        <v>30.881029975214201</v>
      </c>
      <c r="K306">
        <f>VLOOKUP(F306,[1]!china_towns_second__2[[Column1]:[Y]],2,FALSE)</f>
        <v>120.08131969999999</v>
      </c>
      <c r="L306" t="s">
        <v>3944</v>
      </c>
      <c r="M306" t="str">
        <f>VLOOKUP(H306,CHOOSE({1,2},Table12[Native],Table12[Name]),2,0)</f>
        <v>Wúxīng Qū</v>
      </c>
      <c r="N306" s="15" t="str">
        <f>VLOOKUP(I306,CHOOSE({1,2},Table12[Native],Table12[Name]),2,0)</f>
        <v>Húzhōu Shì</v>
      </c>
      <c r="O306" s="15" t="str">
        <f t="shared" si="8"/>
        <v>Fenghuang Jiedao (Húzhōu Shì)</v>
      </c>
      <c r="P306" s="15" t="str">
        <f t="shared" si="9"/>
        <v>Fenghuang Jiedao (Húzhōu Shì)</v>
      </c>
    </row>
    <row r="307" spans="1:16" hidden="1" x14ac:dyDescent="0.25">
      <c r="A307" t="s">
        <v>1884</v>
      </c>
      <c r="B307" t="str">
        <f>IF(COUNTIF(A:A,A307)&gt;1,_xlfn.CONCAT(A307," (",N307,")"),A307)</f>
        <v>Fēnghuì Zhèn</v>
      </c>
      <c r="C307" t="str">
        <f>IF(COUNTIF(B:B,B307)&gt;1,_xlfn.CONCAT(A307," (",M307,")"),B307)</f>
        <v>Fēnghuì Zhèn</v>
      </c>
      <c r="D307" t="s">
        <v>1885</v>
      </c>
      <c r="E307" t="s">
        <v>11</v>
      </c>
      <c r="F307" t="str">
        <f>_xlfn.CONCAT(D307,", ",H307,", ",I307,", ","浙江省")</f>
        <v>丰惠镇, 上虞区, 绍兴市, 浙江省</v>
      </c>
      <c r="G307">
        <v>51764</v>
      </c>
      <c r="H307" t="s">
        <v>2983</v>
      </c>
      <c r="I307" t="s">
        <v>2981</v>
      </c>
      <c r="J307">
        <f>VLOOKUP(F307,[1]!china_towns_second__2[[Column1]:[Y]],3,FALSE)</f>
        <v>29.944093865450402</v>
      </c>
      <c r="K307">
        <f>VLOOKUP(F307,[1]!china_towns_second__2[[Column1]:[Y]],2,FALSE)</f>
        <v>120.9684632</v>
      </c>
      <c r="L307" t="s">
        <v>3945</v>
      </c>
      <c r="M307" t="str">
        <f>VLOOKUP(H307,CHOOSE({1,2},Table12[Native],Table12[Name]),2,0)</f>
        <v>Shàngyú Qū</v>
      </c>
      <c r="N307" s="15" t="str">
        <f>VLOOKUP(I307,CHOOSE({1,2},Table12[Native],Table12[Name]),2,0)</f>
        <v>Shàoxīng Shì</v>
      </c>
      <c r="O307" s="15" t="str">
        <f t="shared" si="8"/>
        <v>Fenghui Zhen (Shàoxīng Shì)</v>
      </c>
      <c r="P307" s="15" t="str">
        <f t="shared" si="9"/>
        <v>Fenghui Zhen (Shàoxīng Shì)</v>
      </c>
    </row>
    <row r="308" spans="1:16" hidden="1" x14ac:dyDescent="0.25">
      <c r="A308" t="s">
        <v>2088</v>
      </c>
      <c r="B308" t="str">
        <f>IF(COUNTIF(A:A,A308)&gt;1,_xlfn.CONCAT(A308," (",N308,")"),A308)</f>
        <v>Fēngjiāng Jiēdào</v>
      </c>
      <c r="C308" t="str">
        <f>IF(COUNTIF(B:B,B308)&gt;1,_xlfn.CONCAT(A308," (",M308,")"),B308)</f>
        <v>Fēngjiāng Jiēdào</v>
      </c>
      <c r="D308" t="s">
        <v>2089</v>
      </c>
      <c r="E308" t="s">
        <v>15</v>
      </c>
      <c r="F308" t="str">
        <f>_xlfn.CONCAT(D308,", ",H308,", ",I308,", ","浙江省")</f>
        <v>峰江街道, 路桥区, 台州市, 浙江省</v>
      </c>
      <c r="G308">
        <v>78490</v>
      </c>
      <c r="H308" t="s">
        <v>2993</v>
      </c>
      <c r="I308" t="s">
        <v>2989</v>
      </c>
      <c r="J308">
        <f>VLOOKUP(F308,[1]!china_towns_second__2[[Column1]:[Y]],3,FALSE)</f>
        <v>28.533187491987</v>
      </c>
      <c r="K308">
        <f>VLOOKUP(F308,[1]!china_towns_second__2[[Column1]:[Y]],2,FALSE)</f>
        <v>121.36913850000001</v>
      </c>
      <c r="L308" t="s">
        <v>3946</v>
      </c>
      <c r="M308" t="str">
        <f>VLOOKUP(H308,CHOOSE({1,2},Table12[Native],Table12[Name]),2,0)</f>
        <v>Lùqiáo Qū</v>
      </c>
      <c r="N308" s="15" t="str">
        <f>VLOOKUP(I308,CHOOSE({1,2},Table12[Native],Table12[Name]),2,0)</f>
        <v>Táizhōu Shì</v>
      </c>
      <c r="O308" s="15" t="str">
        <f t="shared" si="8"/>
        <v>Fengjiang Jiedao (Táizhōu Shì)</v>
      </c>
      <c r="P308" s="15" t="str">
        <f t="shared" si="9"/>
        <v>Fengjiang Jiedao (Táizhōu Shì)</v>
      </c>
    </row>
    <row r="309" spans="1:16" x14ac:dyDescent="0.25">
      <c r="A309" t="s">
        <v>1680</v>
      </c>
      <c r="B309" t="str">
        <f>IF(COUNTIF(A:A,A309)&gt;1,_xlfn.CONCAT(A309," (",N309,")"),A309)</f>
        <v>Fènglín Zhèn</v>
      </c>
      <c r="C309" t="str">
        <f>IF(COUNTIF(B:B,B309)&gt;1,_xlfn.CONCAT(A309," (",M309,")"),B309)</f>
        <v>Fènglín Zhèn</v>
      </c>
      <c r="D309" t="s">
        <v>1681</v>
      </c>
      <c r="E309" t="s">
        <v>11</v>
      </c>
      <c r="F309" t="str">
        <f>_xlfn.CONCAT(D309,", ",H309,", ",I309,", ","浙江省")</f>
        <v>凤林镇, 江山市, 衢州市, 浙江省</v>
      </c>
      <c r="G309">
        <v>24485</v>
      </c>
      <c r="H309" t="s">
        <v>2975</v>
      </c>
      <c r="I309" t="s">
        <v>2973</v>
      </c>
      <c r="J309">
        <f>VLOOKUP(F309,[1]!china_towns_second__2[[Column1]:[Y]],3,FALSE)</f>
        <v>28.531256483399201</v>
      </c>
      <c r="K309">
        <f>VLOOKUP(F309,[1]!china_towns_second__2[[Column1]:[Y]],2,FALSE)</f>
        <v>118.47285840000001</v>
      </c>
      <c r="L309" t="s">
        <v>3947</v>
      </c>
      <c r="M309" t="str">
        <f>VLOOKUP(H309,CHOOSE({1,2},Table12[Native],Table12[Name]),2,0)</f>
        <v>Jiāngshān Shì</v>
      </c>
      <c r="N309" s="15" t="str">
        <f>VLOOKUP(I309,CHOOSE({1,2},Table12[Native],Table12[Name]),2,0)</f>
        <v>Qúzhōu Shì</v>
      </c>
      <c r="O309" s="15" t="str">
        <f t="shared" si="8"/>
        <v>Fenglin Zhen (Qúzhōu Shì)</v>
      </c>
      <c r="P309" s="15" t="str">
        <f t="shared" si="9"/>
        <v>Fenglin Zhen (Qúzhōu Shì)</v>
      </c>
    </row>
    <row r="310" spans="1:16" x14ac:dyDescent="0.25">
      <c r="A310" t="s">
        <v>2371</v>
      </c>
      <c r="B310" t="str">
        <f>IF(COUNTIF(A:A,A310)&gt;1,_xlfn.CONCAT(A310," (",N310,")"),A310)</f>
        <v>Fēnglín Zhèn</v>
      </c>
      <c r="C310" t="str">
        <f>IF(COUNTIF(B:B,B310)&gt;1,_xlfn.CONCAT(A310," (",M310,")"),B310)</f>
        <v>Fēnglín Zhèn</v>
      </c>
      <c r="D310" t="s">
        <v>2372</v>
      </c>
      <c r="E310" t="s">
        <v>11</v>
      </c>
      <c r="F310" t="str">
        <f>_xlfn.CONCAT(D310,", ",H310,", ",I310,", ","浙江省")</f>
        <v>枫林镇, 永嘉县, 温州市, 浙江省</v>
      </c>
      <c r="G310">
        <v>16574</v>
      </c>
      <c r="H310" t="s">
        <v>3010</v>
      </c>
      <c r="I310" t="s">
        <v>3000</v>
      </c>
      <c r="J310">
        <f>VLOOKUP(F310,[1]!china_towns_second__2[[Column1]:[Y]],3,FALSE)</f>
        <v>28.317434691099201</v>
      </c>
      <c r="K310">
        <f>VLOOKUP(F310,[1]!china_towns_second__2[[Column1]:[Y]],2,FALSE)</f>
        <v>120.8020425</v>
      </c>
      <c r="L310" t="s">
        <v>3947</v>
      </c>
      <c r="M310" t="str">
        <f>VLOOKUP(H310,CHOOSE({1,2},Table12[Native],Table12[Name]),2,0)</f>
        <v>Yŏngjiā Xiàn</v>
      </c>
      <c r="N310" s="15" t="str">
        <f>VLOOKUP(I310,CHOOSE({1,2},Table12[Native],Table12[Name]),2,0)</f>
        <v>Wēnzhōu Shì</v>
      </c>
      <c r="O310" s="15" t="str">
        <f t="shared" si="8"/>
        <v>Fenglin Zhen (Wēnzhōu Shì)</v>
      </c>
      <c r="P310" s="15" t="str">
        <f t="shared" si="9"/>
        <v>Fenglin Zhen (Wēnzhōu Shì)</v>
      </c>
    </row>
    <row r="311" spans="1:16" hidden="1" x14ac:dyDescent="0.25">
      <c r="A311" t="s">
        <v>2369</v>
      </c>
      <c r="B311" t="str">
        <f>IF(COUNTIF(A:A,A311)&gt;1,_xlfn.CONCAT(A311," (",N311,")"),A311)</f>
        <v>Fēnglĭng Xiāng</v>
      </c>
      <c r="C311" t="str">
        <f>IF(COUNTIF(B:B,B311)&gt;1,_xlfn.CONCAT(A311," (",M311,")"),B311)</f>
        <v>Fēnglĭng Xiāng</v>
      </c>
      <c r="D311" t="s">
        <v>2370</v>
      </c>
      <c r="E311" t="s">
        <v>7</v>
      </c>
      <c r="F311" t="str">
        <f>_xlfn.CONCAT(D311,", ",H311,", ",I311,", ","浙江省")</f>
        <v>枫岭乡, 瑞安市, 温州市, 浙江省</v>
      </c>
      <c r="G311">
        <v>2880</v>
      </c>
      <c r="H311" t="s">
        <v>3007</v>
      </c>
      <c r="I311" t="s">
        <v>3000</v>
      </c>
      <c r="J311" t="e">
        <f>VLOOKUP(F311,[1]!china_towns_second__2[[Column1]:[Y]],3,FALSE)</f>
        <v>#N/A</v>
      </c>
      <c r="K311" t="e">
        <f>VLOOKUP(F311,[1]!china_towns_second__2[[Column1]:[Y]],2,FALSE)</f>
        <v>#N/A</v>
      </c>
      <c r="L311" t="s">
        <v>3948</v>
      </c>
      <c r="M311" t="str">
        <f>VLOOKUP(H311,CHOOSE({1,2},Table12[Native],Table12[Name]),2,0)</f>
        <v>Ruì'ān Shì</v>
      </c>
      <c r="N311" s="15" t="str">
        <f>VLOOKUP(I311,CHOOSE({1,2},Table12[Native],Table12[Name]),2,0)</f>
        <v>Wēnzhōu Shì</v>
      </c>
      <c r="O311" s="15" t="str">
        <f t="shared" si="8"/>
        <v>Fengling Xiang (Wēnzhōu Shì)</v>
      </c>
      <c r="P311" s="15" t="str">
        <f t="shared" si="9"/>
        <v>Fengling Xiang (Wēnzhōu Shì)</v>
      </c>
    </row>
    <row r="312" spans="1:16" hidden="1" x14ac:dyDescent="0.25">
      <c r="A312" t="s">
        <v>2373</v>
      </c>
      <c r="B312" t="str">
        <f>IF(COUNTIF(A:A,A312)&gt;1,_xlfn.CONCAT(A312," (",N312,")"),A312)</f>
        <v>Fēngmén Xiāng</v>
      </c>
      <c r="C312" t="str">
        <f>IF(COUNTIF(B:B,B312)&gt;1,_xlfn.CONCAT(A312," (",M312,")"),B312)</f>
        <v>Fēngmén Xiāng</v>
      </c>
      <c r="D312" t="s">
        <v>2374</v>
      </c>
      <c r="E312" t="s">
        <v>7</v>
      </c>
      <c r="F312" t="str">
        <f>_xlfn.CONCAT(D312,", ",H312,", ",I312,", ","浙江省")</f>
        <v>峰门乡, 泰顺县, 温州市, 浙江省</v>
      </c>
      <c r="G312">
        <v>387</v>
      </c>
      <c r="H312" t="s">
        <v>3008</v>
      </c>
      <c r="I312" t="s">
        <v>3000</v>
      </c>
      <c r="J312" t="e">
        <f>VLOOKUP(F312,[1]!china_towns_second__2[[Column1]:[Y]],3,FALSE)</f>
        <v>#N/A</v>
      </c>
      <c r="K312" t="e">
        <f>VLOOKUP(F312,[1]!china_towns_second__2[[Column1]:[Y]],2,FALSE)</f>
        <v>#N/A</v>
      </c>
      <c r="L312" t="s">
        <v>3949</v>
      </c>
      <c r="M312" t="str">
        <f>VLOOKUP(H312,CHOOSE({1,2},Table12[Native],Table12[Name]),2,0)</f>
        <v>Tàishùn Xiàn</v>
      </c>
      <c r="N312" s="15" t="str">
        <f>VLOOKUP(I312,CHOOSE({1,2},Table12[Native],Table12[Name]),2,0)</f>
        <v>Wēnzhōu Shì</v>
      </c>
      <c r="O312" s="15" t="str">
        <f t="shared" si="8"/>
        <v>Fengmen Xiang (Wēnzhōu Shì)</v>
      </c>
      <c r="P312" s="15" t="str">
        <f t="shared" si="9"/>
        <v>Fengmen Xiang (Wēnzhōu Shì)</v>
      </c>
    </row>
    <row r="313" spans="1:16" hidden="1" x14ac:dyDescent="0.25">
      <c r="A313" t="s">
        <v>582</v>
      </c>
      <c r="B313" t="str">
        <f>IF(COUNTIF(A:A,A313)&gt;1,_xlfn.CONCAT(A313," (",N313,")"),A313)</f>
        <v>Fèngmíng Jiēdào</v>
      </c>
      <c r="C313" t="str">
        <f>IF(COUNTIF(B:B,B313)&gt;1,_xlfn.CONCAT(A313," (",M313,")"),B313)</f>
        <v>Fèngmíng Jiēdào</v>
      </c>
      <c r="D313" t="s">
        <v>583</v>
      </c>
      <c r="E313" t="s">
        <v>15</v>
      </c>
      <c r="F313" t="str">
        <f>_xlfn.CONCAT(D313,", ",H313,", ",I313,", ","浙江省")</f>
        <v>凤鸣街道, 桐乡市, 嘉兴市, 浙江省</v>
      </c>
      <c r="G313">
        <v>55061</v>
      </c>
      <c r="H313" t="s">
        <v>2935</v>
      </c>
      <c r="I313" t="s">
        <v>2929</v>
      </c>
      <c r="J313">
        <f>VLOOKUP(F313,[1]!china_towns_second__2[[Column1]:[Y]],3,FALSE)</f>
        <v>30.585629039755201</v>
      </c>
      <c r="K313">
        <f>VLOOKUP(F313,[1]!china_towns_second__2[[Column1]:[Y]],2,FALSE)</f>
        <v>120.4981851</v>
      </c>
      <c r="L313" t="s">
        <v>3950</v>
      </c>
      <c r="M313" t="str">
        <f>VLOOKUP(H313,CHOOSE({1,2},Table12[Native],Table12[Name]),2,0)</f>
        <v>Tóngxiāng Shì</v>
      </c>
      <c r="N313" s="15" t="str">
        <f>VLOOKUP(I313,CHOOSE({1,2},Table12[Native],Table12[Name]),2,0)</f>
        <v>Jiāxīng Shì</v>
      </c>
      <c r="O313" s="15" t="str">
        <f t="shared" si="8"/>
        <v>Fengming Jiedao (Jiāxīng Shì)</v>
      </c>
      <c r="P313" s="15" t="str">
        <f t="shared" si="9"/>
        <v>Fengming Jiedao (Jiāxīng Shì)</v>
      </c>
    </row>
    <row r="314" spans="1:16" hidden="1" x14ac:dyDescent="0.25">
      <c r="A314" t="s">
        <v>1078</v>
      </c>
      <c r="B314" t="str">
        <f>IF(COUNTIF(A:A,A314)&gt;1,_xlfn.CONCAT(A314," (",N314,")"),A314)</f>
        <v>Fēngpíng Xiāng</v>
      </c>
      <c r="C314" t="str">
        <f>IF(COUNTIF(B:B,B314)&gt;1,_xlfn.CONCAT(A314," (",M314,")"),B314)</f>
        <v>Fēngpíng Xiāng</v>
      </c>
      <c r="D314" t="s">
        <v>1079</v>
      </c>
      <c r="E314" t="s">
        <v>7</v>
      </c>
      <c r="F314" t="str">
        <f>_xlfn.CONCAT(D314,", ",H314,", ",I314,", ","浙江省")</f>
        <v>枫坪乡, 松阳县, 丽水市, 浙江省</v>
      </c>
      <c r="G314">
        <v>5322</v>
      </c>
      <c r="H314" t="s">
        <v>2957</v>
      </c>
      <c r="I314" t="s">
        <v>2949</v>
      </c>
      <c r="J314" t="e">
        <f>VLOOKUP(F314,[1]!china_towns_second__2[[Column1]:[Y]],3,FALSE)</f>
        <v>#N/A</v>
      </c>
      <c r="K314" t="e">
        <f>VLOOKUP(F314,[1]!china_towns_second__2[[Column1]:[Y]],2,FALSE)</f>
        <v>#N/A</v>
      </c>
      <c r="L314" t="s">
        <v>3951</v>
      </c>
      <c r="M314" t="str">
        <f>VLOOKUP(H314,CHOOSE({1,2},Table12[Native],Table12[Name]),2,0)</f>
        <v>Sōngyáng Xiàn</v>
      </c>
      <c r="N314" s="15" t="str">
        <f>VLOOKUP(I314,CHOOSE({1,2},Table12[Native],Table12[Name]),2,0)</f>
        <v>Lìshuĭ Shì</v>
      </c>
      <c r="O314" s="15" t="str">
        <f t="shared" si="8"/>
        <v>Fengping Xiang (Lìshuĭ Shì)</v>
      </c>
      <c r="P314" s="15" t="str">
        <f t="shared" si="9"/>
        <v>Fengping Xiang (Lìshuĭ Shì)</v>
      </c>
    </row>
    <row r="315" spans="1:16" x14ac:dyDescent="0.25">
      <c r="A315" t="s">
        <v>584</v>
      </c>
      <c r="B315" t="str">
        <f>IF(COUNTIF(A:A,A315)&gt;1,_xlfn.CONCAT(A315," (",N315,")"),A315)</f>
        <v>Fèngqiáo Zhèn</v>
      </c>
      <c r="C315" t="str">
        <f>IF(COUNTIF(B:B,B315)&gt;1,_xlfn.CONCAT(A315," (",M315,")"),B315)</f>
        <v>Fèngqiáo Zhèn</v>
      </c>
      <c r="D315" t="s">
        <v>585</v>
      </c>
      <c r="E315" t="s">
        <v>11</v>
      </c>
      <c r="F315" t="str">
        <f>_xlfn.CONCAT(D315,", ",H315,", ",I315,", ","浙江省")</f>
        <v>凤桥镇, 南湖区, 嘉兴市, 浙江省</v>
      </c>
      <c r="G315">
        <v>48057</v>
      </c>
      <c r="H315" t="s">
        <v>2933</v>
      </c>
      <c r="I315" t="s">
        <v>2929</v>
      </c>
      <c r="J315">
        <f>VLOOKUP(F315,[1]!china_towns_second__2[[Column1]:[Y]],3,FALSE)</f>
        <v>30.6483838183911</v>
      </c>
      <c r="K315">
        <f>VLOOKUP(F315,[1]!china_towns_second__2[[Column1]:[Y]],2,FALSE)</f>
        <v>120.8717527</v>
      </c>
      <c r="L315" t="s">
        <v>3952</v>
      </c>
      <c r="M315" t="str">
        <f>VLOOKUP(H315,CHOOSE({1,2},Table12[Native],Table12[Name]),2,0)</f>
        <v>Nánhú Qū</v>
      </c>
      <c r="N315" s="15" t="str">
        <f>VLOOKUP(I315,CHOOSE({1,2},Table12[Native],Table12[Name]),2,0)</f>
        <v>Jiāxīng Shì</v>
      </c>
      <c r="O315" s="15" t="str">
        <f t="shared" si="8"/>
        <v>Fengqiao Zhen (Jiāxīng Shì)</v>
      </c>
      <c r="P315" s="15" t="str">
        <f t="shared" si="9"/>
        <v>Fengqiao Zhen (Jiāxīng Shì)</v>
      </c>
    </row>
    <row r="316" spans="1:16" x14ac:dyDescent="0.25">
      <c r="A316" t="s">
        <v>1886</v>
      </c>
      <c r="B316" t="str">
        <f>IF(COUNTIF(A:A,A316)&gt;1,_xlfn.CONCAT(A316," (",N316,")"),A316)</f>
        <v>Fēngqiáo Zhèn</v>
      </c>
      <c r="C316" t="str">
        <f>IF(COUNTIF(B:B,B316)&gt;1,_xlfn.CONCAT(A316," (",M316,")"),B316)</f>
        <v>Fēngqiáo Zhèn</v>
      </c>
      <c r="D316" t="s">
        <v>1887</v>
      </c>
      <c r="E316" t="s">
        <v>11</v>
      </c>
      <c r="F316" t="str">
        <f>_xlfn.CONCAT(D316,", ",H316,", ",I316,", ","浙江省")</f>
        <v>枫桥镇, 诸暨市, 绍兴市, 浙江省</v>
      </c>
      <c r="G316">
        <v>74641</v>
      </c>
      <c r="H316" t="s">
        <v>2987</v>
      </c>
      <c r="I316" t="s">
        <v>2981</v>
      </c>
      <c r="J316">
        <f>VLOOKUP(F316,[1]!china_towns_second__2[[Column1]:[Y]],3,FALSE)</f>
        <v>29.797385477127602</v>
      </c>
      <c r="K316">
        <f>VLOOKUP(F316,[1]!china_towns_second__2[[Column1]:[Y]],2,FALSE)</f>
        <v>120.4287344</v>
      </c>
      <c r="L316" t="s">
        <v>3952</v>
      </c>
      <c r="M316" t="str">
        <f>VLOOKUP(H316,CHOOSE({1,2},Table12[Native],Table12[Name]),2,0)</f>
        <v>Zhūjì Shì</v>
      </c>
      <c r="N316" s="15" t="str">
        <f>VLOOKUP(I316,CHOOSE({1,2},Table12[Native],Table12[Name]),2,0)</f>
        <v>Shàoxīng Shì</v>
      </c>
      <c r="O316" s="15" t="str">
        <f t="shared" si="8"/>
        <v>Fengqiao Zhen (Shàoxīng Shì)</v>
      </c>
      <c r="P316" s="15" t="str">
        <f t="shared" si="9"/>
        <v>Fengqiao Zhen (Shàoxīng Shì)</v>
      </c>
    </row>
    <row r="317" spans="1:16" hidden="1" x14ac:dyDescent="0.25">
      <c r="A317" t="s">
        <v>1417</v>
      </c>
      <c r="B317" t="str">
        <f>IF(COUNTIF(A:A,A317)&gt;1,_xlfn.CONCAT(A317," (",N317,")"),A317)</f>
        <v>Fèngshān Jiēdào</v>
      </c>
      <c r="C317" t="str">
        <f>IF(COUNTIF(B:B,B317)&gt;1,_xlfn.CONCAT(A317," (",M317,")"),B317)</f>
        <v>Fèngshān Jiēdào</v>
      </c>
      <c r="D317" t="s">
        <v>1418</v>
      </c>
      <c r="E317" t="s">
        <v>15</v>
      </c>
      <c r="F317" t="str">
        <f>_xlfn.CONCAT(D317,", ",H317,", ",I317,", ","浙江省")</f>
        <v>凤山街道, 余姚市, 宁波市, 浙江省</v>
      </c>
      <c r="G317">
        <v>82569</v>
      </c>
      <c r="H317" t="s">
        <v>2970</v>
      </c>
      <c r="I317" t="s">
        <v>2961</v>
      </c>
      <c r="J317">
        <f>VLOOKUP(F317,[1]!china_towns_second__2[[Column1]:[Y]],3,FALSE)</f>
        <v>30.0647473918328</v>
      </c>
      <c r="K317">
        <f>VLOOKUP(F317,[1]!china_towns_second__2[[Column1]:[Y]],2,FALSE)</f>
        <v>121.18851909999999</v>
      </c>
      <c r="L317" t="s">
        <v>3953</v>
      </c>
      <c r="M317" t="str">
        <f>VLOOKUP(H317,CHOOSE({1,2},Table12[Native],Table12[Name]),2,0)</f>
        <v>Yúyáo Shì</v>
      </c>
      <c r="N317" s="15" t="str">
        <f>VLOOKUP(I317,CHOOSE({1,2},Table12[Native],Table12[Name]),2,0)</f>
        <v>Níngbō Shì</v>
      </c>
      <c r="O317" s="15" t="str">
        <f t="shared" si="8"/>
        <v>Fengshan Jiedao (Níngbō Shì)</v>
      </c>
      <c r="P317" s="15" t="str">
        <f t="shared" si="9"/>
        <v>Fengshan Jiedao (Níngbō Shì)</v>
      </c>
    </row>
    <row r="318" spans="1:16" hidden="1" x14ac:dyDescent="0.25">
      <c r="A318" t="s">
        <v>101</v>
      </c>
      <c r="B318" t="str">
        <f>IF(COUNTIF(A:A,A318)&gt;1,_xlfn.CONCAT(A318," (",N318,")"),A318)</f>
        <v>Fēngshùlĭng Zhèn</v>
      </c>
      <c r="C318" t="str">
        <f>IF(COUNTIF(B:B,B318)&gt;1,_xlfn.CONCAT(A318," (",M318,")"),B318)</f>
        <v>Fēngshùlĭng Zhèn</v>
      </c>
      <c r="D318" t="s">
        <v>102</v>
      </c>
      <c r="E318" t="s">
        <v>11</v>
      </c>
      <c r="F318" t="str">
        <f>_xlfn.CONCAT(D318,", ",H318,", ",I318,", ","浙江省")</f>
        <v>枫树岭镇, 淳安县, 杭州市, 浙江省</v>
      </c>
      <c r="G318">
        <v>11354</v>
      </c>
      <c r="H318" t="s">
        <v>2907</v>
      </c>
      <c r="I318" t="s">
        <v>2903</v>
      </c>
      <c r="J318">
        <f>VLOOKUP(F318,[1]!china_towns_second__2[[Column1]:[Y]],3,FALSE)</f>
        <v>29.295574685756801</v>
      </c>
      <c r="K318">
        <f>VLOOKUP(F318,[1]!china_towns_second__2[[Column1]:[Y]],2,FALSE)</f>
        <v>118.6774834</v>
      </c>
      <c r="L318" t="s">
        <v>3954</v>
      </c>
      <c r="M318" t="str">
        <f>VLOOKUP(H318,CHOOSE({1,2},Table12[Native],Table12[Name]),2,0)</f>
        <v>Chún'ān Xiàn</v>
      </c>
      <c r="N318" s="15" t="str">
        <f>VLOOKUP(I318,CHOOSE({1,2},Table12[Native],Table12[Name]),2,0)</f>
        <v>Hángzhōu Shì</v>
      </c>
      <c r="O318" s="15" t="str">
        <f t="shared" si="8"/>
        <v>Fengshuling Zhen (Hángzhōu Shì)</v>
      </c>
      <c r="P318" s="15" t="str">
        <f t="shared" si="9"/>
        <v>Fengshuling Zhen (Hángzhōu Shì)</v>
      </c>
    </row>
    <row r="319" spans="1:16" hidden="1" x14ac:dyDescent="0.25">
      <c r="A319" t="s">
        <v>2375</v>
      </c>
      <c r="B319" t="str">
        <f>IF(COUNTIF(A:A,A319)&gt;1,_xlfn.CONCAT(A319," (",N319,")"),A319)</f>
        <v>Fēngwén Xiāng</v>
      </c>
      <c r="C319" t="str">
        <f>IF(COUNTIF(B:B,B319)&gt;1,_xlfn.CONCAT(A319," (",M319,")"),B319)</f>
        <v>Fēngwén Xiāng</v>
      </c>
      <c r="D319" t="s">
        <v>2376</v>
      </c>
      <c r="E319" t="s">
        <v>7</v>
      </c>
      <c r="F319" t="str">
        <f>_xlfn.CONCAT(D319,", ",H319,", ",I319,", ","浙江省")</f>
        <v>峰文乡, 泰顺县, 温州市, 浙江省</v>
      </c>
      <c r="G319">
        <v>1338</v>
      </c>
      <c r="H319" t="s">
        <v>3008</v>
      </c>
      <c r="I319" t="s">
        <v>3000</v>
      </c>
      <c r="J319" t="e">
        <f>VLOOKUP(F319,[1]!china_towns_second__2[[Column1]:[Y]],3,FALSE)</f>
        <v>#N/A</v>
      </c>
      <c r="K319" t="e">
        <f>VLOOKUP(F319,[1]!china_towns_second__2[[Column1]:[Y]],2,FALSE)</f>
        <v>#N/A</v>
      </c>
      <c r="L319" t="s">
        <v>3955</v>
      </c>
      <c r="M319" t="str">
        <f>VLOOKUP(H319,CHOOSE({1,2},Table12[Native],Table12[Name]),2,0)</f>
        <v>Tàishùn Xiàn</v>
      </c>
      <c r="N319" s="15" t="str">
        <f>VLOOKUP(I319,CHOOSE({1,2},Table12[Native],Table12[Name]),2,0)</f>
        <v>Wēnzhōu Shì</v>
      </c>
      <c r="O319" s="15" t="str">
        <f t="shared" si="8"/>
        <v>Fengwen Xiang (Wēnzhōu Shì)</v>
      </c>
      <c r="P319" s="15" t="str">
        <f t="shared" si="9"/>
        <v>Fengwen Xiang (Wēnzhōu Shì)</v>
      </c>
    </row>
    <row r="320" spans="1:16" hidden="1" x14ac:dyDescent="0.25">
      <c r="A320" t="s">
        <v>2377</v>
      </c>
      <c r="B320" t="str">
        <f>IF(COUNTIF(A:A,A320)&gt;1,_xlfn.CONCAT(A320," (",N320,")"),A320)</f>
        <v>Fèngwò Zhèn [→ Shuĭtóu Zhèn]</v>
      </c>
      <c r="C320" t="str">
        <f>IF(COUNTIF(B:B,B320)&gt;1,_xlfn.CONCAT(A320," (",M320,")"),B320)</f>
        <v>Fèngwò Zhèn [→ Shuĭtóu Zhèn]</v>
      </c>
      <c r="D320" t="s">
        <v>2378</v>
      </c>
      <c r="E320" t="s">
        <v>11</v>
      </c>
      <c r="F320" t="str">
        <f>_xlfn.CONCAT(D320,", ",H320,", ",I320,", ","浙江省")</f>
        <v>凤卧镇, 平阳县, 温州市, 浙江省</v>
      </c>
      <c r="G320">
        <v>11925</v>
      </c>
      <c r="H320" t="s">
        <v>3006</v>
      </c>
      <c r="I320" t="s">
        <v>3000</v>
      </c>
      <c r="J320">
        <f>VLOOKUP(F320,[1]!china_towns_second__2[[Column1]:[Y]],3,FALSE)</f>
        <v>27.677099999999999</v>
      </c>
      <c r="K320">
        <f>VLOOKUP(F320,[1]!china_towns_second__2[[Column1]:[Y]],2,FALSE)</f>
        <v>120.28279999999999</v>
      </c>
      <c r="L320" t="s">
        <v>3956</v>
      </c>
      <c r="M320" t="str">
        <f>VLOOKUP(H320,CHOOSE({1,2},Table12[Native],Table12[Name]),2,0)</f>
        <v>Píngyáng Xiàn</v>
      </c>
      <c r="N320" s="15" t="str">
        <f>VLOOKUP(I320,CHOOSE({1,2},Table12[Native],Table12[Name]),2,0)</f>
        <v>Wēnzhōu Shì</v>
      </c>
      <c r="O320" s="15" t="str">
        <f t="shared" si="8"/>
        <v>Fengwo Zhen [→ Shuitou Zhen] (Wēnzhōu Shì)</v>
      </c>
      <c r="P320" s="15" t="str">
        <f t="shared" si="9"/>
        <v>Fengwo Zhen [→ Shuitou Zhen] (Wēnzhōu Shì)</v>
      </c>
    </row>
    <row r="321" spans="1:16" hidden="1" x14ac:dyDescent="0.25">
      <c r="A321" t="s">
        <v>2379</v>
      </c>
      <c r="B321" t="str">
        <f>IF(COUNTIF(A:A,A321)&gt;1,_xlfn.CONCAT(A321," (",N321,")"),A321)</f>
        <v>Fèngyáng Shēzú Xiāng</v>
      </c>
      <c r="C321" t="str">
        <f>IF(COUNTIF(B:B,B321)&gt;1,_xlfn.CONCAT(A321," (",M321,")"),B321)</f>
        <v>Fèngyáng Shēzú Xiāng</v>
      </c>
      <c r="D321" t="s">
        <v>2380</v>
      </c>
      <c r="E321" t="s">
        <v>7</v>
      </c>
      <c r="F321" t="str">
        <f>_xlfn.CONCAT(D321,", ",H321,", ",I321,", ","浙江省")</f>
        <v>凤阳畲族乡, 苍南县, 温州市, 浙江省</v>
      </c>
      <c r="G321">
        <v>2103</v>
      </c>
      <c r="H321" t="s">
        <v>3001</v>
      </c>
      <c r="I321" t="s">
        <v>3000</v>
      </c>
      <c r="J321" t="e">
        <f>VLOOKUP(F321,[1]!china_towns_second__2[[Column1]:[Y]],3,FALSE)</f>
        <v>#N/A</v>
      </c>
      <c r="K321" t="e">
        <f>VLOOKUP(F321,[1]!china_towns_second__2[[Column1]:[Y]],2,FALSE)</f>
        <v>#N/A</v>
      </c>
      <c r="L321" t="s">
        <v>3957</v>
      </c>
      <c r="M321" t="str">
        <f>VLOOKUP(H321,CHOOSE({1,2},Table12[Native],Table12[Name]),2,0)</f>
        <v>Cāngnán Xiàn</v>
      </c>
      <c r="N321" s="15" t="str">
        <f>VLOOKUP(I321,CHOOSE({1,2},Table12[Native],Table12[Name]),2,0)</f>
        <v>Wēnzhōu Shì</v>
      </c>
      <c r="O321" s="15" t="str">
        <f t="shared" si="8"/>
        <v>Fengyang Shezu Xiang (Wēnzhōu Shì)</v>
      </c>
      <c r="P321" s="15" t="str">
        <f t="shared" si="9"/>
        <v>Fengyang Shezu Xiang (Wēnzhōu Shì)</v>
      </c>
    </row>
    <row r="322" spans="1:16" hidden="1" x14ac:dyDescent="0.25">
      <c r="A322" t="s">
        <v>2381</v>
      </c>
      <c r="B322" t="str">
        <f>IF(COUNTIF(A:A,A322)&gt;1,_xlfn.CONCAT(A322," (",N322,")"),A322)</f>
        <v>Fèngyáng Xiāng</v>
      </c>
      <c r="C322" t="str">
        <f>IF(COUNTIF(B:B,B322)&gt;1,_xlfn.CONCAT(A322," (",M322,")"),B322)</f>
        <v>Fèngyáng Xiāng</v>
      </c>
      <c r="D322" t="s">
        <v>2382</v>
      </c>
      <c r="E322" t="s">
        <v>7</v>
      </c>
      <c r="F322" t="str">
        <f>_xlfn.CONCAT(D322,", ",H322,", ",I322,", ","浙江省")</f>
        <v>凤垟乡, 泰顺县, 温州市, 浙江省</v>
      </c>
      <c r="G322">
        <v>4825</v>
      </c>
      <c r="H322" t="s">
        <v>3008</v>
      </c>
      <c r="I322" t="s">
        <v>3000</v>
      </c>
      <c r="J322" t="e">
        <f>VLOOKUP(F322,[1]!china_towns_second__2[[Column1]:[Y]],3,FALSE)</f>
        <v>#N/A</v>
      </c>
      <c r="K322" t="e">
        <f>VLOOKUP(F322,[1]!china_towns_second__2[[Column1]:[Y]],2,FALSE)</f>
        <v>#N/A</v>
      </c>
      <c r="L322" t="s">
        <v>3958</v>
      </c>
      <c r="M322" t="str">
        <f>VLOOKUP(H322,CHOOSE({1,2},Table12[Native],Table12[Name]),2,0)</f>
        <v>Tàishùn Xiàn</v>
      </c>
      <c r="N322" s="15" t="str">
        <f>VLOOKUP(I322,CHOOSE({1,2},Table12[Native],Table12[Name]),2,0)</f>
        <v>Wēnzhōu Shì</v>
      </c>
      <c r="O322" s="15" t="str">
        <f t="shared" ref="O322:O385" si="10">_xlfn.CONCAT(L322," (",N322,")")</f>
        <v>Fengyang Xiang (Wēnzhōu Shì)</v>
      </c>
      <c r="P322" s="15" t="str">
        <f t="shared" ref="P322:P385" si="11">IF(COUNTIF(O:O,O322)&gt;1,_xlfn.CONCAT(L322," (",M322,")"),O322)</f>
        <v>Fengyang Xiang (Wēnzhōu Shì)</v>
      </c>
    </row>
    <row r="323" spans="1:16" hidden="1" x14ac:dyDescent="0.25">
      <c r="A323" t="s">
        <v>1080</v>
      </c>
      <c r="B323" t="str">
        <f>IF(COUNTIF(A:A,A323)&gt;1,_xlfn.CONCAT(A323," (",N323,")"),A323)</f>
        <v>Fēngyuán Xiāng</v>
      </c>
      <c r="C323" t="str">
        <f>IF(COUNTIF(B:B,B323)&gt;1,_xlfn.CONCAT(A323," (",M323,")"),B323)</f>
        <v>Fēngyuán Xiāng</v>
      </c>
      <c r="D323" t="s">
        <v>1081</v>
      </c>
      <c r="E323" t="s">
        <v>7</v>
      </c>
      <c r="F323" t="str">
        <f>_xlfn.CONCAT(D323,", ",H323,", ",I323,", ","浙江省")</f>
        <v>峰源乡, 莲都区, 丽水市, 浙江省</v>
      </c>
      <c r="G323">
        <v>2972</v>
      </c>
      <c r="H323" t="s">
        <v>2953</v>
      </c>
      <c r="I323" t="s">
        <v>2949</v>
      </c>
      <c r="J323" t="e">
        <f>VLOOKUP(F323,[1]!china_towns_second__2[[Column1]:[Y]],3,FALSE)</f>
        <v>#N/A</v>
      </c>
      <c r="K323" t="e">
        <f>VLOOKUP(F323,[1]!china_towns_second__2[[Column1]:[Y]],2,FALSE)</f>
        <v>#N/A</v>
      </c>
      <c r="L323" t="s">
        <v>3959</v>
      </c>
      <c r="M323" t="str">
        <f>VLOOKUP(H323,CHOOSE({1,2},Table12[Native],Table12[Name]),2,0)</f>
        <v>Liándū Qū</v>
      </c>
      <c r="N323" s="15" t="str">
        <f>VLOOKUP(I323,CHOOSE({1,2},Table12[Native],Table12[Name]),2,0)</f>
        <v>Lìshuĭ Shì</v>
      </c>
      <c r="O323" s="15" t="str">
        <f t="shared" si="10"/>
        <v>Fengyuan Xiang (Lìshuĭ Shì)</v>
      </c>
      <c r="P323" s="15" t="str">
        <f t="shared" si="11"/>
        <v>Fengyuan Xiang (Lìshuĭ Shì)</v>
      </c>
    </row>
    <row r="324" spans="1:16" hidden="1" x14ac:dyDescent="0.25">
      <c r="A324" t="s">
        <v>103</v>
      </c>
      <c r="B324" t="str">
        <f>IF(COUNTIF(A:A,A324)&gt;1,_xlfn.CONCAT(A324," (",N324,")"),A324)</f>
        <v>Fénkŏu Zhèn</v>
      </c>
      <c r="C324" t="str">
        <f>IF(COUNTIF(B:B,B324)&gt;1,_xlfn.CONCAT(A324," (",M324,")"),B324)</f>
        <v>Fénkŏu Zhèn</v>
      </c>
      <c r="D324" t="s">
        <v>104</v>
      </c>
      <c r="E324" t="s">
        <v>11</v>
      </c>
      <c r="F324" t="str">
        <f>_xlfn.CONCAT(D324,", ",H324,", ",I324,", ","浙江省")</f>
        <v>汾口镇, 淳安县, 杭州市, 浙江省</v>
      </c>
      <c r="G324">
        <v>38588</v>
      </c>
      <c r="H324" t="s">
        <v>2907</v>
      </c>
      <c r="I324" t="s">
        <v>2903</v>
      </c>
      <c r="J324">
        <f>VLOOKUP(F324,[1]!china_towns_second__2[[Column1]:[Y]],3,FALSE)</f>
        <v>29.421273505259801</v>
      </c>
      <c r="K324">
        <f>VLOOKUP(F324,[1]!china_towns_second__2[[Column1]:[Y]],2,FALSE)</f>
        <v>118.5628095</v>
      </c>
      <c r="L324" t="s">
        <v>3960</v>
      </c>
      <c r="M324" t="str">
        <f>VLOOKUP(H324,CHOOSE({1,2},Table12[Native],Table12[Name]),2,0)</f>
        <v>Chún'ān Xiàn</v>
      </c>
      <c r="N324" s="15" t="str">
        <f>VLOOKUP(I324,CHOOSE({1,2},Table12[Native],Table12[Name]),2,0)</f>
        <v>Hángzhōu Shì</v>
      </c>
      <c r="O324" s="15" t="str">
        <f t="shared" si="10"/>
        <v>Fenkou Zhen (Hángzhōu Shì)</v>
      </c>
      <c r="P324" s="15" t="str">
        <f t="shared" si="11"/>
        <v>Fenkou Zhen (Hángzhōu Shì)</v>
      </c>
    </row>
    <row r="325" spans="1:16" hidden="1" x14ac:dyDescent="0.25">
      <c r="A325" t="s">
        <v>105</v>
      </c>
      <c r="B325" t="str">
        <f>IF(COUNTIF(A:A,A325)&gt;1,_xlfn.CONCAT(A325," (",N325,")"),A325)</f>
        <v>Fēnshuĭ Zhèn</v>
      </c>
      <c r="C325" t="str">
        <f>IF(COUNTIF(B:B,B325)&gt;1,_xlfn.CONCAT(A325," (",M325,")"),B325)</f>
        <v>Fēnshuĭ Zhèn</v>
      </c>
      <c r="D325" t="s">
        <v>106</v>
      </c>
      <c r="E325" t="s">
        <v>11</v>
      </c>
      <c r="F325" t="str">
        <f>_xlfn.CONCAT(D325,", ",H325,", ",I325,", ","浙江省")</f>
        <v>分水镇, 桐庐县, 杭州市, 浙江省</v>
      </c>
      <c r="G325">
        <v>55049</v>
      </c>
      <c r="H325" t="s">
        <v>2916</v>
      </c>
      <c r="I325" t="s">
        <v>2903</v>
      </c>
      <c r="J325">
        <f>VLOOKUP(F325,[1]!china_towns_second__2[[Column1]:[Y]],3,FALSE)</f>
        <v>29.964409388463199</v>
      </c>
      <c r="K325">
        <f>VLOOKUP(F325,[1]!china_towns_second__2[[Column1]:[Y]],2,FALSE)</f>
        <v>119.4140172</v>
      </c>
      <c r="L325" t="s">
        <v>3961</v>
      </c>
      <c r="M325" t="str">
        <f>VLOOKUP(H325,CHOOSE({1,2},Table12[Native],Table12[Name]),2,0)</f>
        <v>Tónglú Xiàn</v>
      </c>
      <c r="N325" s="15" t="str">
        <f>VLOOKUP(I325,CHOOSE({1,2},Table12[Native],Table12[Name]),2,0)</f>
        <v>Hángzhōu Shì</v>
      </c>
      <c r="O325" s="15" t="str">
        <f t="shared" si="10"/>
        <v>Fenshui Zhen (Hángzhōu Shì)</v>
      </c>
      <c r="P325" s="15" t="str">
        <f t="shared" si="11"/>
        <v>Fenshui Zhen (Hángzhōu Shì)</v>
      </c>
    </row>
    <row r="326" spans="1:16" hidden="1" x14ac:dyDescent="0.25">
      <c r="A326" t="s">
        <v>771</v>
      </c>
      <c r="B326" t="str">
        <f>IF(COUNTIF(A:A,A326)&gt;1,_xlfn.CONCAT(A326," (",N326,")"),A326)</f>
        <v>Fótáng Zhèn</v>
      </c>
      <c r="C326" t="str">
        <f>IF(COUNTIF(B:B,B326)&gt;1,_xlfn.CONCAT(A326," (",M326,")"),B326)</f>
        <v>Fótáng Zhèn</v>
      </c>
      <c r="D326" t="s">
        <v>772</v>
      </c>
      <c r="E326" t="s">
        <v>11</v>
      </c>
      <c r="F326" t="str">
        <f>_xlfn.CONCAT(D326,", ",H326,", ",I326,", ","浙江省")</f>
        <v>佛堂镇, 义乌市, 金华市, 浙江省</v>
      </c>
      <c r="G326">
        <v>115571</v>
      </c>
      <c r="H326" t="s">
        <v>2946</v>
      </c>
      <c r="I326" t="s">
        <v>2938</v>
      </c>
      <c r="J326">
        <f>VLOOKUP(F326,[1]!china_towns_second__2[[Column1]:[Y]],3,FALSE)</f>
        <v>29.192453559505498</v>
      </c>
      <c r="K326">
        <f>VLOOKUP(F326,[1]!china_towns_second__2[[Column1]:[Y]],2,FALSE)</f>
        <v>120.0227132</v>
      </c>
      <c r="L326" t="s">
        <v>3962</v>
      </c>
      <c r="M326" t="str">
        <f>VLOOKUP(H326,CHOOSE({1,2},Table12[Native],Table12[Name]),2,0)</f>
        <v>Yìwū Shì</v>
      </c>
      <c r="N326" s="15" t="str">
        <f>VLOOKUP(I326,CHOOSE({1,2},Table12[Native],Table12[Name]),2,0)</f>
        <v>Jīnhuá Shì</v>
      </c>
      <c r="O326" s="15" t="str">
        <f t="shared" si="10"/>
        <v>Fotang Zhen (Jīnhuá Shì)</v>
      </c>
      <c r="P326" s="15" t="str">
        <f t="shared" si="11"/>
        <v>Fotang Zhen (Jīnhuá Shì)</v>
      </c>
    </row>
    <row r="327" spans="1:16" hidden="1" x14ac:dyDescent="0.25">
      <c r="A327" t="s">
        <v>2383</v>
      </c>
      <c r="B327" t="str">
        <f>IF(COUNTIF(A:A,A327)&gt;1,_xlfn.CONCAT(A327," (",N327,")"),A327)</f>
        <v>Fù'ào Xiāng</v>
      </c>
      <c r="C327" t="str">
        <f>IF(COUNTIF(B:B,B327)&gt;1,_xlfn.CONCAT(A327," (",M327,")"),B327)</f>
        <v>Fù'ào Xiāng</v>
      </c>
      <c r="D327" t="s">
        <v>2384</v>
      </c>
      <c r="E327" t="s">
        <v>7</v>
      </c>
      <c r="F327" t="str">
        <f>_xlfn.CONCAT(D327,", ",H327,", ",I327,", ","浙江省")</f>
        <v>富岙乡, 文成县, 温州市, 浙江省</v>
      </c>
      <c r="G327">
        <v>2954</v>
      </c>
      <c r="H327" t="s">
        <v>3009</v>
      </c>
      <c r="I327" t="s">
        <v>3000</v>
      </c>
      <c r="J327" t="e">
        <f>VLOOKUP(F327,[1]!china_towns_second__2[[Column1]:[Y]],3,FALSE)</f>
        <v>#N/A</v>
      </c>
      <c r="K327" t="e">
        <f>VLOOKUP(F327,[1]!china_towns_second__2[[Column1]:[Y]],2,FALSE)</f>
        <v>#N/A</v>
      </c>
      <c r="L327" t="s">
        <v>3963</v>
      </c>
      <c r="M327" t="str">
        <f>VLOOKUP(H327,CHOOSE({1,2},Table12[Native],Table12[Name]),2,0)</f>
        <v>Wénchéng Xiàn</v>
      </c>
      <c r="N327" s="15" t="str">
        <f>VLOOKUP(I327,CHOOSE({1,2},Table12[Native],Table12[Name]),2,0)</f>
        <v>Wēnzhōu Shì</v>
      </c>
      <c r="O327" s="15" t="str">
        <f t="shared" si="10"/>
        <v>Fu'ao Xiang (Wēnzhōu Shì)</v>
      </c>
      <c r="P327" s="15" t="str">
        <f t="shared" si="11"/>
        <v>Fu'ao Xiang (Wēnzhōu Shì)</v>
      </c>
    </row>
    <row r="328" spans="1:16" hidden="1" x14ac:dyDescent="0.25">
      <c r="A328" t="s">
        <v>109</v>
      </c>
      <c r="B328" t="str">
        <f>IF(COUNTIF(A:A,A328)&gt;1,_xlfn.CONCAT(A328," (",N328,")"),A328)</f>
        <v>Fùchūn Jiēdào</v>
      </c>
      <c r="C328" t="str">
        <f>IF(COUNTIF(B:B,B328)&gt;1,_xlfn.CONCAT(A328," (",M328,")"),B328)</f>
        <v>Fùchūn Jiēdào</v>
      </c>
      <c r="D328" t="s">
        <v>110</v>
      </c>
      <c r="E328" t="s">
        <v>15</v>
      </c>
      <c r="F328" t="str">
        <f>_xlfn.CONCAT(D328,", ",H328,", ",I328,", ","浙江省")</f>
        <v>富春街道, 富阳区, 杭州市, 浙江省</v>
      </c>
      <c r="G328">
        <v>217180</v>
      </c>
      <c r="H328" t="s">
        <v>2908</v>
      </c>
      <c r="I328" t="s">
        <v>2903</v>
      </c>
      <c r="J328">
        <f>VLOOKUP(F328,[1]!china_towns_second__2[[Column1]:[Y]],3,FALSE)</f>
        <v>30.052648349329299</v>
      </c>
      <c r="K328">
        <f>VLOOKUP(F328,[1]!china_towns_second__2[[Column1]:[Y]],2,FALSE)</f>
        <v>119.88360729999999</v>
      </c>
      <c r="L328" t="s">
        <v>3964</v>
      </c>
      <c r="M328" t="str">
        <f>VLOOKUP(H328,CHOOSE({1,2},Table12[Native],Table12[Name]),2,0)</f>
        <v>Fùyáng Qū</v>
      </c>
      <c r="N328" s="15" t="str">
        <f>VLOOKUP(I328,CHOOSE({1,2},Table12[Native],Table12[Name]),2,0)</f>
        <v>Hángzhōu Shì</v>
      </c>
      <c r="O328" s="15" t="str">
        <f t="shared" si="10"/>
        <v>Fuchun Jiedao (Hángzhōu Shì)</v>
      </c>
      <c r="P328" s="15" t="str">
        <f t="shared" si="11"/>
        <v>Fuchun Jiedao (Hángzhōu Shì)</v>
      </c>
    </row>
    <row r="329" spans="1:16" hidden="1" x14ac:dyDescent="0.25">
      <c r="A329" t="s">
        <v>107</v>
      </c>
      <c r="B329" t="str">
        <f>IF(COUNTIF(A:A,A329)&gt;1,_xlfn.CONCAT(A329," (",N329,")"),A329)</f>
        <v>Fùchūnjiāng Zhèn</v>
      </c>
      <c r="C329" t="str">
        <f>IF(COUNTIF(B:B,B329)&gt;1,_xlfn.CONCAT(A329," (",M329,")"),B329)</f>
        <v>Fùchūnjiāng Zhèn</v>
      </c>
      <c r="D329" t="s">
        <v>108</v>
      </c>
      <c r="E329" t="s">
        <v>11</v>
      </c>
      <c r="F329" t="str">
        <f>_xlfn.CONCAT(D329,", ",H329,", ",I329,", ","浙江省")</f>
        <v>富春江镇, 桐庐县, 杭州市, 浙江省</v>
      </c>
      <c r="G329">
        <v>25859</v>
      </c>
      <c r="H329" t="s">
        <v>2916</v>
      </c>
      <c r="I329" t="s">
        <v>2903</v>
      </c>
      <c r="J329">
        <f>VLOOKUP(F329,[1]!china_towns_second__2[[Column1]:[Y]],3,FALSE)</f>
        <v>29.684361076844301</v>
      </c>
      <c r="K329">
        <f>VLOOKUP(F329,[1]!china_towns_second__2[[Column1]:[Y]],2,FALSE)</f>
        <v>119.683862</v>
      </c>
      <c r="L329" t="s">
        <v>3965</v>
      </c>
      <c r="M329" t="str">
        <f>VLOOKUP(H329,CHOOSE({1,2},Table12[Native],Table12[Name]),2,0)</f>
        <v>Tónglú Xiàn</v>
      </c>
      <c r="N329" s="15" t="str">
        <f>VLOOKUP(I329,CHOOSE({1,2},Table12[Native],Table12[Name]),2,0)</f>
        <v>Hángzhōu Shì</v>
      </c>
      <c r="O329" s="15" t="str">
        <f t="shared" si="10"/>
        <v>Fuchunjiang Zhen (Hángzhōu Shì)</v>
      </c>
      <c r="P329" s="15" t="str">
        <f t="shared" si="11"/>
        <v>Fuchunjiang Zhen (Hángzhōu Shì)</v>
      </c>
    </row>
    <row r="330" spans="1:16" hidden="1" x14ac:dyDescent="0.25">
      <c r="A330" t="s">
        <v>773</v>
      </c>
      <c r="B330" t="str">
        <f>IF(COUNTIF(A:A,A330)&gt;1,_xlfn.CONCAT(A330," (",N330,")"),A330)</f>
        <v>Fùcūn Zhèn</v>
      </c>
      <c r="C330" t="str">
        <f>IF(COUNTIF(B:B,B330)&gt;1,_xlfn.CONCAT(A330," (",M330,")"),B330)</f>
        <v>Fùcūn Zhèn</v>
      </c>
      <c r="D330" t="s">
        <v>774</v>
      </c>
      <c r="E330" t="s">
        <v>11</v>
      </c>
      <c r="F330" t="str">
        <f>_xlfn.CONCAT(D330,", ",H330,", ",I330,", ","浙江省")</f>
        <v>傅村镇, 金东区, 金华市, 浙江省</v>
      </c>
      <c r="G330">
        <v>30144</v>
      </c>
      <c r="H330" t="s">
        <v>2940</v>
      </c>
      <c r="I330" t="s">
        <v>2938</v>
      </c>
      <c r="J330">
        <f>VLOOKUP(F330,[1]!china_towns_second__2[[Column1]:[Y]],3,FALSE)</f>
        <v>29.241661602663601</v>
      </c>
      <c r="K330">
        <f>VLOOKUP(F330,[1]!china_towns_second__2[[Column1]:[Y]],2,FALSE)</f>
        <v>119.8808289</v>
      </c>
      <c r="L330" t="s">
        <v>3966</v>
      </c>
      <c r="M330" t="str">
        <f>VLOOKUP(H330,CHOOSE({1,2},Table12[Native],Table12[Name]),2,0)</f>
        <v>Jīndōng Qū</v>
      </c>
      <c r="N330" s="15" t="str">
        <f>VLOOKUP(I330,CHOOSE({1,2},Table12[Native],Table12[Name]),2,0)</f>
        <v>Jīnhuá Shì</v>
      </c>
      <c r="O330" s="15" t="str">
        <f t="shared" si="10"/>
        <v>Fucun Zhen (Jīnhuá Shì)</v>
      </c>
      <c r="P330" s="15" t="str">
        <f t="shared" si="11"/>
        <v>Fucun Zhen (Jīnhuá Shì)</v>
      </c>
    </row>
    <row r="331" spans="1:16" hidden="1" x14ac:dyDescent="0.25">
      <c r="A331" t="s">
        <v>1419</v>
      </c>
      <c r="B331" t="str">
        <f>IF(COUNTIF(A:A,A331)&gt;1,_xlfn.CONCAT(A331," (",N331,")"),A331)</f>
        <v>Fùhăi Zhèn</v>
      </c>
      <c r="C331" t="str">
        <f>IF(COUNTIF(B:B,B331)&gt;1,_xlfn.CONCAT(A331," (",M331,")"),B331)</f>
        <v>Fùhăi Zhèn</v>
      </c>
      <c r="D331" t="s">
        <v>1420</v>
      </c>
      <c r="E331" t="s">
        <v>11</v>
      </c>
      <c r="F331" t="str">
        <f>_xlfn.CONCAT(D331,", ",H331,", ",I331,", ","浙江省")</f>
        <v>附海镇, 慈溪市, 宁波市, 浙江省</v>
      </c>
      <c r="G331">
        <v>45828</v>
      </c>
      <c r="H331" t="s">
        <v>2963</v>
      </c>
      <c r="I331" t="s">
        <v>2961</v>
      </c>
      <c r="J331">
        <f>VLOOKUP(F331,[1]!china_towns_second__2[[Column1]:[Y]],3,FALSE)</f>
        <v>30.237741836330599</v>
      </c>
      <c r="K331">
        <f>VLOOKUP(F331,[1]!china_towns_second__2[[Column1]:[Y]],2,FALSE)</f>
        <v>121.42461299999999</v>
      </c>
      <c r="L331" t="s">
        <v>3967</v>
      </c>
      <c r="M331" t="str">
        <f>VLOOKUP(H331,CHOOSE({1,2},Table12[Native],Table12[Name]),2,0)</f>
        <v>Cíxī Shì</v>
      </c>
      <c r="N331" s="15" t="str">
        <f>VLOOKUP(I331,CHOOSE({1,2},Table12[Native],Table12[Name]),2,0)</f>
        <v>Níngbō Shì</v>
      </c>
      <c r="O331" s="15" t="str">
        <f t="shared" si="10"/>
        <v>Fuhai Zhen (Níngbō Shì)</v>
      </c>
      <c r="P331" s="15" t="str">
        <f t="shared" si="11"/>
        <v>Fuhai Zhen (Níngbō Shì)</v>
      </c>
    </row>
    <row r="332" spans="1:16" hidden="1" x14ac:dyDescent="0.25">
      <c r="A332" t="s">
        <v>1421</v>
      </c>
      <c r="B332" t="str">
        <f>IF(COUNTIF(A:A,A332)&gt;1,_xlfn.CONCAT(A332," (",N332,")"),A332)</f>
        <v>Fúmíng Jiēdào</v>
      </c>
      <c r="C332" t="str">
        <f>IF(COUNTIF(B:B,B332)&gt;1,_xlfn.CONCAT(A332," (",M332,")"),B332)</f>
        <v>Fúmíng Jiēdào</v>
      </c>
      <c r="D332" t="s">
        <v>1422</v>
      </c>
      <c r="E332" t="s">
        <v>15</v>
      </c>
      <c r="F332" t="str">
        <f>_xlfn.CONCAT(D332,", ",H332,", ",I332,", ","浙江省")</f>
        <v>福明街道, 鄞州区, 宁波市, 浙江省</v>
      </c>
      <c r="G332">
        <v>61701</v>
      </c>
      <c r="H332" t="s">
        <v>2969</v>
      </c>
      <c r="I332" t="s">
        <v>2961</v>
      </c>
      <c r="J332" t="e">
        <f>VLOOKUP(F332,[1]!china_towns_second__2[[Column1]:[Y]],3,FALSE)</f>
        <v>#N/A</v>
      </c>
      <c r="K332" t="e">
        <f>VLOOKUP(F332,[1]!china_towns_second__2[[Column1]:[Y]],2,FALSE)</f>
        <v>#N/A</v>
      </c>
      <c r="L332" t="s">
        <v>3968</v>
      </c>
      <c r="M332" t="str">
        <f>VLOOKUP(H332,CHOOSE({1,2},Table12[Native],Table12[Name]),2,0)</f>
        <v>Yínzhōu Qū</v>
      </c>
      <c r="N332" s="15" t="str">
        <f>VLOOKUP(I332,CHOOSE({1,2},Table12[Native],Table12[Name]),2,0)</f>
        <v>Níngbō Shì</v>
      </c>
      <c r="O332" s="15" t="str">
        <f t="shared" si="10"/>
        <v>Fuming Jiedao (Níngbō Shì)</v>
      </c>
      <c r="P332" s="15" t="str">
        <f t="shared" si="11"/>
        <v>Fuming Jiedao (Níngbō Shì)</v>
      </c>
    </row>
    <row r="333" spans="1:16" hidden="1" x14ac:dyDescent="0.25">
      <c r="A333" t="s">
        <v>1888</v>
      </c>
      <c r="B333" t="str">
        <f>IF(COUNTIF(A:A,A333)&gt;1,_xlfn.CONCAT(A333," (",N333,")"),A333)</f>
        <v>Fúquán Jiēdào</v>
      </c>
      <c r="C333" t="str">
        <f>IF(COUNTIF(B:B,B333)&gt;1,_xlfn.CONCAT(A333," (",M333,")"),B333)</f>
        <v>Fúquán Jiēdào</v>
      </c>
      <c r="D333" t="s">
        <v>1889</v>
      </c>
      <c r="E333" t="s">
        <v>15</v>
      </c>
      <c r="F333" t="str">
        <f>_xlfn.CONCAT(D333,", ",H333,", ",I333,", ","浙江省")</f>
        <v>福全街道, 柯桥区, 绍兴市, 浙江省</v>
      </c>
      <c r="G333">
        <v>56346</v>
      </c>
      <c r="H333" t="s">
        <v>2982</v>
      </c>
      <c r="I333" t="s">
        <v>2981</v>
      </c>
      <c r="J333" t="e">
        <f>VLOOKUP(F333,[1]!china_towns_second__2[[Column1]:[Y]],3,FALSE)</f>
        <v>#N/A</v>
      </c>
      <c r="K333" t="e">
        <f>VLOOKUP(F333,[1]!china_towns_second__2[[Column1]:[Y]],2,FALSE)</f>
        <v>#N/A</v>
      </c>
      <c r="L333" t="s">
        <v>3969</v>
      </c>
      <c r="M333" t="str">
        <f>VLOOKUP(H333,CHOOSE({1,2},Table12[Native],Table12[Name]),2,0)</f>
        <v>Kēqiáo Qū</v>
      </c>
      <c r="N333" s="15" t="str">
        <f>VLOOKUP(I333,CHOOSE({1,2},Table12[Native],Table12[Name]),2,0)</f>
        <v>Shàoxīng Shì</v>
      </c>
      <c r="O333" s="15" t="str">
        <f t="shared" si="10"/>
        <v>Fuquan Jiedao (Shàoxīng Shì)</v>
      </c>
      <c r="P333" s="15" t="str">
        <f t="shared" si="11"/>
        <v>Fuquan Jiedao (Shàoxīng Shì)</v>
      </c>
    </row>
    <row r="334" spans="1:16" hidden="1" x14ac:dyDescent="0.25">
      <c r="A334" t="s">
        <v>2385</v>
      </c>
      <c r="B334" t="str">
        <f>IF(COUNTIF(A:A,A334)&gt;1,_xlfn.CONCAT(A334," (",N334,")"),A334)</f>
        <v>Fúróng Zhèn</v>
      </c>
      <c r="C334" t="str">
        <f>IF(COUNTIF(B:B,B334)&gt;1,_xlfn.CONCAT(A334," (",M334,")"),B334)</f>
        <v>Fúróng Zhèn</v>
      </c>
      <c r="D334" t="s">
        <v>2386</v>
      </c>
      <c r="E334" t="s">
        <v>11</v>
      </c>
      <c r="F334" t="str">
        <f>_xlfn.CONCAT(D334,", ",H334,", ",I334,", ","浙江省")</f>
        <v>芙蓉镇, 乐清市, 温州市, 浙江省</v>
      </c>
      <c r="G334">
        <v>25758</v>
      </c>
      <c r="H334" t="s">
        <v>3011</v>
      </c>
      <c r="I334" t="s">
        <v>3000</v>
      </c>
      <c r="J334">
        <f>VLOOKUP(F334,[1]!china_towns_second__2[[Column1]:[Y]],3,FALSE)</f>
        <v>28.3099198736669</v>
      </c>
      <c r="K334">
        <f>VLOOKUP(F334,[1]!china_towns_second__2[[Column1]:[Y]],2,FALSE)</f>
        <v>120.97940199999999</v>
      </c>
      <c r="L334" t="s">
        <v>3970</v>
      </c>
      <c r="M334" t="str">
        <f>VLOOKUP(H334,CHOOSE({1,2},Table12[Native],Table12[Name]),2,0)</f>
        <v>Yuèqīng Shì</v>
      </c>
      <c r="N334" s="15" t="str">
        <f>VLOOKUP(I334,CHOOSE({1,2},Table12[Native],Table12[Name]),2,0)</f>
        <v>Wēnzhōu Shì</v>
      </c>
      <c r="O334" s="15" t="str">
        <f t="shared" si="10"/>
        <v>Furong Zhen (Wēnzhōu Shì)</v>
      </c>
      <c r="P334" s="15" t="str">
        <f t="shared" si="11"/>
        <v>Furong Zhen (Wēnzhōu Shì)</v>
      </c>
    </row>
    <row r="335" spans="1:16" hidden="1" x14ac:dyDescent="0.25">
      <c r="A335" t="s">
        <v>1682</v>
      </c>
      <c r="B335" t="str">
        <f>IF(COUNTIF(A:A,A335)&gt;1,_xlfn.CONCAT(A335," (",N335,")"),A335)</f>
        <v>Fŭshān Jiēdào (Qúzhōu Shì)</v>
      </c>
      <c r="C335" t="str">
        <f>IF(COUNTIF(B:B,B335)&gt;1,_xlfn.CONCAT(A335," (",M335,")"),B335)</f>
        <v>Fŭshān Jiēdào (Qúzhōu Shì)</v>
      </c>
      <c r="D335" t="s">
        <v>1683</v>
      </c>
      <c r="E335" t="s">
        <v>15</v>
      </c>
      <c r="F335" t="str">
        <f>_xlfn.CONCAT(D335,", ",H335,", ",I335,", ","浙江省")</f>
        <v>府山街道, 柯城区, 衢州市, 浙江省</v>
      </c>
      <c r="G335">
        <v>38001</v>
      </c>
      <c r="H335" t="s">
        <v>2977</v>
      </c>
      <c r="I335" t="s">
        <v>2973</v>
      </c>
      <c r="J335">
        <f>VLOOKUP(F335,[1]!china_towns_second__2[[Column1]:[Y]],3,FALSE)</f>
        <v>28.960871542830901</v>
      </c>
      <c r="K335">
        <f>VLOOKUP(F335,[1]!china_towns_second__2[[Column1]:[Y]],2,FALSE)</f>
        <v>118.8681965</v>
      </c>
      <c r="L335" t="s">
        <v>3971</v>
      </c>
      <c r="M335" t="str">
        <f>VLOOKUP(H335,CHOOSE({1,2},Table12[Native],Table12[Name]),2,0)</f>
        <v>Kēchéng Qū</v>
      </c>
      <c r="N335" s="15" t="str">
        <f>VLOOKUP(I335,CHOOSE({1,2},Table12[Native],Table12[Name]),2,0)</f>
        <v>Qúzhōu Shì</v>
      </c>
      <c r="O335" s="15" t="str">
        <f t="shared" si="10"/>
        <v>Fushan Jiedao (Quzhou Shi) (Qúzhōu Shì)</v>
      </c>
      <c r="P335" s="15" t="str">
        <f t="shared" si="11"/>
        <v>Fushan Jiedao (Quzhou Shi) (Qúzhōu Shì)</v>
      </c>
    </row>
    <row r="336" spans="1:16" hidden="1" x14ac:dyDescent="0.25">
      <c r="A336" t="s">
        <v>1682</v>
      </c>
      <c r="B336" t="str">
        <f>IF(COUNTIF(A:A,A336)&gt;1,_xlfn.CONCAT(A336," (",N336,")"),A336)</f>
        <v>Fŭshān Jiēdào (Shàoxīng Shì)</v>
      </c>
      <c r="C336" t="str">
        <f>IF(COUNTIF(B:B,B336)&gt;1,_xlfn.CONCAT(A336," (",M336,")"),B336)</f>
        <v>Fŭshān Jiēdào (Shàoxīng Shì)</v>
      </c>
      <c r="D336" t="s">
        <v>1683</v>
      </c>
      <c r="E336" t="s">
        <v>15</v>
      </c>
      <c r="F336" t="str">
        <f>_xlfn.CONCAT(D336,", ",H336,", ",I336,", ","浙江省")</f>
        <v>府山街道, 越城区, 绍兴市, 浙江省</v>
      </c>
      <c r="G336">
        <v>97690</v>
      </c>
      <c r="H336" t="s">
        <v>2986</v>
      </c>
      <c r="I336" t="s">
        <v>2981</v>
      </c>
      <c r="J336">
        <f>VLOOKUP(F336,[1]!china_towns_second__2[[Column1]:[Y]],3,FALSE)</f>
        <v>29.9903559044822</v>
      </c>
      <c r="K336">
        <f>VLOOKUP(F336,[1]!china_towns_second__2[[Column1]:[Y]],2,FALSE)</f>
        <v>120.5547267</v>
      </c>
      <c r="L336" t="s">
        <v>3972</v>
      </c>
      <c r="M336" t="str">
        <f>VLOOKUP(H336,CHOOSE({1,2},Table12[Native],Table12[Name]),2,0)</f>
        <v>Yuèchéng Qū</v>
      </c>
      <c r="N336" s="15" t="str">
        <f>VLOOKUP(I336,CHOOSE({1,2},Table12[Native],Table12[Name]),2,0)</f>
        <v>Shàoxīng Shì</v>
      </c>
      <c r="O336" s="15" t="str">
        <f t="shared" si="10"/>
        <v>Fushan Jiedao (Shaoxing Shi) (Shàoxīng Shì)</v>
      </c>
      <c r="P336" s="15" t="str">
        <f t="shared" si="11"/>
        <v>Fushan Jiedao (Shaoxing Shi) (Shàoxīng Shì)</v>
      </c>
    </row>
    <row r="337" spans="1:16" hidden="1" x14ac:dyDescent="0.25">
      <c r="A337" t="s">
        <v>1082</v>
      </c>
      <c r="B337" t="str">
        <f>IF(COUNTIF(A:A,A337)&gt;1,_xlfn.CONCAT(A337," (",N337,")"),A337)</f>
        <v>Fùshān Xiāng (Lìshuĭ Shì)</v>
      </c>
      <c r="C337" t="str">
        <f>IF(COUNTIF(B:B,B337)&gt;1,_xlfn.CONCAT(A337," (",M337,")"),B337)</f>
        <v>Fùshān Xiāng (Lìshuĭ Shì)</v>
      </c>
      <c r="D337" t="s">
        <v>1083</v>
      </c>
      <c r="E337" t="s">
        <v>7</v>
      </c>
      <c r="F337" t="str">
        <f>_xlfn.CONCAT(D337,", ",H337,", ",I337,", ","浙江省")</f>
        <v>阜山乡, 青田县, 丽水市, 浙江省</v>
      </c>
      <c r="G337">
        <v>5585</v>
      </c>
      <c r="H337" t="s">
        <v>2955</v>
      </c>
      <c r="I337" t="s">
        <v>2949</v>
      </c>
      <c r="J337" t="e">
        <f>VLOOKUP(F337,[1]!china_towns_second__2[[Column1]:[Y]],3,FALSE)</f>
        <v>#N/A</v>
      </c>
      <c r="K337" t="e">
        <f>VLOOKUP(F337,[1]!china_towns_second__2[[Column1]:[Y]],2,FALSE)</f>
        <v>#N/A</v>
      </c>
      <c r="L337" t="s">
        <v>3973</v>
      </c>
      <c r="M337" t="str">
        <f>VLOOKUP(H337,CHOOSE({1,2},Table12[Native],Table12[Name]),2,0)</f>
        <v>Qīngtián Xiàn</v>
      </c>
      <c r="N337" s="15" t="str">
        <f>VLOOKUP(I337,CHOOSE({1,2},Table12[Native],Table12[Name]),2,0)</f>
        <v>Lìshuĭ Shì</v>
      </c>
      <c r="O337" s="15" t="str">
        <f t="shared" si="10"/>
        <v>Fushan Xiang (Lishui Shi) (Lìshuĭ Shì)</v>
      </c>
      <c r="P337" s="15" t="str">
        <f t="shared" si="11"/>
        <v>Fushan Xiang (Lishui Shi) (Lìshuĭ Shì)</v>
      </c>
    </row>
    <row r="338" spans="1:16" hidden="1" x14ac:dyDescent="0.25">
      <c r="A338" t="s">
        <v>1082</v>
      </c>
      <c r="B338" t="str">
        <f>IF(COUNTIF(A:A,A338)&gt;1,_xlfn.CONCAT(A338," (",N338,")"),A338)</f>
        <v>Fùshān Xiāng (Táizhōu Shì)</v>
      </c>
      <c r="C338" t="str">
        <f>IF(COUNTIF(B:B,B338)&gt;1,_xlfn.CONCAT(A338," (",M338,")"),B338)</f>
        <v>Fùshān Xiāng (Táizhōu Shì)</v>
      </c>
      <c r="D338" t="s">
        <v>2091</v>
      </c>
      <c r="E338" t="s">
        <v>7</v>
      </c>
      <c r="F338" t="str">
        <f>_xlfn.CONCAT(D338,", ",H338,", ",I338,", ","浙江省")</f>
        <v>富山乡, 黄岩区, 台州市, 浙江省</v>
      </c>
      <c r="G338">
        <v>4305</v>
      </c>
      <c r="H338" t="s">
        <v>2990</v>
      </c>
      <c r="I338" t="s">
        <v>2989</v>
      </c>
      <c r="J338" t="e">
        <f>VLOOKUP(F338,[1]!china_towns_second__2[[Column1]:[Y]],3,FALSE)</f>
        <v>#N/A</v>
      </c>
      <c r="K338" t="e">
        <f>VLOOKUP(F338,[1]!china_towns_second__2[[Column1]:[Y]],2,FALSE)</f>
        <v>#N/A</v>
      </c>
      <c r="L338" t="s">
        <v>3974</v>
      </c>
      <c r="M338" t="str">
        <f>VLOOKUP(H338,CHOOSE({1,2},Table12[Native],Table12[Name]),2,0)</f>
        <v>Huángyán Qū</v>
      </c>
      <c r="N338" s="15" t="str">
        <f>VLOOKUP(I338,CHOOSE({1,2},Table12[Native],Table12[Name]),2,0)</f>
        <v>Táizhōu Shì</v>
      </c>
      <c r="O338" s="15" t="str">
        <f t="shared" si="10"/>
        <v>Fushan Xiang (Taizhou Shi) (Táizhōu Shì)</v>
      </c>
      <c r="P338" s="15" t="str">
        <f t="shared" si="11"/>
        <v>Fushan Xiang (Taizhou Shi) (Táizhōu Shì)</v>
      </c>
    </row>
    <row r="339" spans="1:16" hidden="1" x14ac:dyDescent="0.25">
      <c r="A339" t="s">
        <v>1890</v>
      </c>
      <c r="B339" t="str">
        <f>IF(COUNTIF(A:A,A339)&gt;1,_xlfn.CONCAT(A339," (",N339,")"),A339)</f>
        <v>Fùshèng Zhèn</v>
      </c>
      <c r="C339" t="str">
        <f>IF(COUNTIF(B:B,B339)&gt;1,_xlfn.CONCAT(A339," (",M339,")"),B339)</f>
        <v>Fùshèng Zhèn</v>
      </c>
      <c r="D339" t="s">
        <v>1891</v>
      </c>
      <c r="E339" t="s">
        <v>11</v>
      </c>
      <c r="F339" t="str">
        <f>_xlfn.CONCAT(D339,", ",H339,", ",I339,", ","浙江省")</f>
        <v>富盛镇, 越城区, 绍兴市, 浙江省</v>
      </c>
      <c r="G339">
        <v>19012</v>
      </c>
      <c r="H339" t="s">
        <v>2986</v>
      </c>
      <c r="I339" t="s">
        <v>2981</v>
      </c>
      <c r="J339">
        <f>VLOOKUP(F339,[1]!china_towns_second__2[[Column1]:[Y]],3,FALSE)</f>
        <v>29.93468910919</v>
      </c>
      <c r="K339">
        <f>VLOOKUP(F339,[1]!china_towns_second__2[[Column1]:[Y]],2,FALSE)</f>
        <v>120.7308769</v>
      </c>
      <c r="L339" t="s">
        <v>3975</v>
      </c>
      <c r="M339" t="str">
        <f>VLOOKUP(H339,CHOOSE({1,2},Table12[Native],Table12[Name]),2,0)</f>
        <v>Yuèchéng Qū</v>
      </c>
      <c r="N339" s="15" t="str">
        <f>VLOOKUP(I339,CHOOSE({1,2},Table12[Native],Table12[Name]),2,0)</f>
        <v>Shàoxīng Shì</v>
      </c>
      <c r="O339" s="15" t="str">
        <f t="shared" si="10"/>
        <v>Fusheng Zhen (Shàoxīng Shì)</v>
      </c>
      <c r="P339" s="15" t="str">
        <f t="shared" si="11"/>
        <v>Fusheng Zhen (Shàoxīng Shì)</v>
      </c>
    </row>
    <row r="340" spans="1:16" hidden="1" x14ac:dyDescent="0.25">
      <c r="A340" t="s">
        <v>1684</v>
      </c>
      <c r="B340" t="str">
        <f>IF(COUNTIF(A:A,A340)&gt;1,_xlfn.CONCAT(A340," (",N340,")"),A340)</f>
        <v>Fúshí Jiēdào</v>
      </c>
      <c r="C340" t="str">
        <f>IF(COUNTIF(B:B,B340)&gt;1,_xlfn.CONCAT(A340," (",M340,")"),B340)</f>
        <v>Fúshí Jiēdào</v>
      </c>
      <c r="D340" t="s">
        <v>1685</v>
      </c>
      <c r="E340" t="s">
        <v>15</v>
      </c>
      <c r="F340" t="str">
        <f>_xlfn.CONCAT(D340,", ",H340,", ",I340,", ","浙江省")</f>
        <v>浮石街道, 衢江区, 衢州市, 浙江省</v>
      </c>
      <c r="G340">
        <v>13614</v>
      </c>
      <c r="H340" t="s">
        <v>2979</v>
      </c>
      <c r="I340" t="s">
        <v>2973</v>
      </c>
      <c r="J340">
        <f>VLOOKUP(F340,[1]!china_towns_second__2[[Column1]:[Y]],3,FALSE)</f>
        <v>29.000966575552301</v>
      </c>
      <c r="K340">
        <f>VLOOKUP(F340,[1]!china_towns_second__2[[Column1]:[Y]],2,FALSE)</f>
        <v>118.90538239999999</v>
      </c>
      <c r="L340" t="s">
        <v>3976</v>
      </c>
      <c r="M340" t="str">
        <f>VLOOKUP(H340,CHOOSE({1,2},Table12[Native],Table12[Name]),2,0)</f>
        <v>Qújiāng Qū</v>
      </c>
      <c r="N340" s="15" t="str">
        <f>VLOOKUP(I340,CHOOSE({1,2},Table12[Native],Table12[Name]),2,0)</f>
        <v>Qúzhōu Shì</v>
      </c>
      <c r="O340" s="15" t="str">
        <f t="shared" si="10"/>
        <v>Fushi Jiedao (Qúzhōu Shì)</v>
      </c>
      <c r="P340" s="15" t="str">
        <f t="shared" si="11"/>
        <v>Fushi Jiedao (Qúzhōu Shì)</v>
      </c>
    </row>
    <row r="341" spans="1:16" hidden="1" x14ac:dyDescent="0.25">
      <c r="A341" t="s">
        <v>111</v>
      </c>
      <c r="B341" t="str">
        <f>IF(COUNTIF(A:A,A341)&gt;1,_xlfn.CONCAT(A341," (",N341,")"),A341)</f>
        <v>Fùwén Xiāng</v>
      </c>
      <c r="C341" t="str">
        <f>IF(COUNTIF(B:B,B341)&gt;1,_xlfn.CONCAT(A341," (",M341,")"),B341)</f>
        <v>Fùwén Xiāng</v>
      </c>
      <c r="D341" t="s">
        <v>112</v>
      </c>
      <c r="E341" t="s">
        <v>7</v>
      </c>
      <c r="F341" t="str">
        <f>_xlfn.CONCAT(D341,", ",H341,", ",I341,", ","浙江省")</f>
        <v>富文乡, 淳安县, 杭州市, 浙江省</v>
      </c>
      <c r="G341">
        <v>4769</v>
      </c>
      <c r="H341" t="s">
        <v>2907</v>
      </c>
      <c r="I341" t="s">
        <v>2903</v>
      </c>
      <c r="J341" t="e">
        <f>VLOOKUP(F341,[1]!china_towns_second__2[[Column1]:[Y]],3,FALSE)</f>
        <v>#N/A</v>
      </c>
      <c r="K341" t="e">
        <f>VLOOKUP(F341,[1]!china_towns_second__2[[Column1]:[Y]],2,FALSE)</f>
        <v>#N/A</v>
      </c>
      <c r="L341" t="s">
        <v>3977</v>
      </c>
      <c r="M341" t="str">
        <f>VLOOKUP(H341,CHOOSE({1,2},Table12[Native],Table12[Name]),2,0)</f>
        <v>Chún'ān Xiàn</v>
      </c>
      <c r="N341" s="15" t="str">
        <f>VLOOKUP(I341,CHOOSE({1,2},Table12[Native],Table12[Name]),2,0)</f>
        <v>Hángzhōu Shì</v>
      </c>
      <c r="O341" s="15" t="str">
        <f t="shared" si="10"/>
        <v>Fuwen Xiang (Hángzhōu Shì)</v>
      </c>
      <c r="P341" s="15" t="str">
        <f t="shared" si="11"/>
        <v>Fuwen Xiang (Hángzhōu Shì)</v>
      </c>
    </row>
    <row r="342" spans="1:16" hidden="1" x14ac:dyDescent="0.25">
      <c r="A342" t="s">
        <v>2092</v>
      </c>
      <c r="B342" t="str">
        <f>IF(COUNTIF(A:A,A342)&gt;1,_xlfn.CONCAT(A342," (",N342,")"),A342)</f>
        <v>Fúxī Jiēdào</v>
      </c>
      <c r="C342" t="str">
        <f>IF(COUNTIF(B:B,B342)&gt;1,_xlfn.CONCAT(A342," (",M342,")"),B342)</f>
        <v>Fúxī Jiēdào</v>
      </c>
      <c r="D342" t="s">
        <v>2093</v>
      </c>
      <c r="E342" t="s">
        <v>15</v>
      </c>
      <c r="F342" t="str">
        <f>_xlfn.CONCAT(D342,", ",H342,", ",I342,", ","浙江省")</f>
        <v>福溪街道, 天台县, 台州市, 浙江省</v>
      </c>
      <c r="G342">
        <v>42560</v>
      </c>
      <c r="H342" t="s">
        <v>2995</v>
      </c>
      <c r="I342" t="s">
        <v>2989</v>
      </c>
      <c r="J342">
        <f>VLOOKUP(F342,[1]!china_towns_second__2[[Column1]:[Y]],3,FALSE)</f>
        <v>29.087595978272301</v>
      </c>
      <c r="K342">
        <f>VLOOKUP(F342,[1]!china_towns_second__2[[Column1]:[Y]],2,FALSE)</f>
        <v>121.0311514</v>
      </c>
      <c r="L342" t="s">
        <v>3978</v>
      </c>
      <c r="M342" t="str">
        <f>VLOOKUP(H342,CHOOSE({1,2},Table12[Native],Table12[Name]),2,0)</f>
        <v>Tiāntái Xiàn</v>
      </c>
      <c r="N342" s="15" t="str">
        <f>VLOOKUP(I342,CHOOSE({1,2},Table12[Native],Table12[Name]),2,0)</f>
        <v>Táizhōu Shì</v>
      </c>
      <c r="O342" s="15" t="str">
        <f t="shared" si="10"/>
        <v>Fuxi Jiedao (Táizhōu Shì)</v>
      </c>
      <c r="P342" s="15" t="str">
        <f t="shared" si="11"/>
        <v>Fuxi Jiedao (Táizhōu Shì)</v>
      </c>
    </row>
    <row r="343" spans="1:16" hidden="1" x14ac:dyDescent="0.25">
      <c r="A343" t="s">
        <v>2387</v>
      </c>
      <c r="B343" t="str">
        <f>IF(COUNTIF(A:A,A343)&gt;1,_xlfn.CONCAT(A343," (",N343,")"),A343)</f>
        <v>Fúxī Xiāng</v>
      </c>
      <c r="C343" t="str">
        <f>IF(COUNTIF(B:B,B343)&gt;1,_xlfn.CONCAT(A343," (",M343,")"),B343)</f>
        <v>Fúxī Xiāng</v>
      </c>
      <c r="D343" t="s">
        <v>2388</v>
      </c>
      <c r="E343" t="s">
        <v>7</v>
      </c>
      <c r="F343" t="str">
        <f>_xlfn.CONCAT(D343,", ",H343,", ",I343,", ","浙江省")</f>
        <v>福溪乡, 乐清市, 温州市, 浙江省</v>
      </c>
      <c r="G343">
        <v>1923</v>
      </c>
      <c r="H343" t="s">
        <v>3011</v>
      </c>
      <c r="I343" t="s">
        <v>3000</v>
      </c>
      <c r="J343" t="e">
        <f>VLOOKUP(F343,[1]!china_towns_second__2[[Column1]:[Y]],3,FALSE)</f>
        <v>#N/A</v>
      </c>
      <c r="K343" t="e">
        <f>VLOOKUP(F343,[1]!china_towns_second__2[[Column1]:[Y]],2,FALSE)</f>
        <v>#N/A</v>
      </c>
      <c r="L343" t="s">
        <v>3979</v>
      </c>
      <c r="M343" t="str">
        <f>VLOOKUP(H343,CHOOSE({1,2},Table12[Native],Table12[Name]),2,0)</f>
        <v>Yuèqīng Shì</v>
      </c>
      <c r="N343" s="15" t="str">
        <f>VLOOKUP(I343,CHOOSE({1,2},Table12[Native],Table12[Name]),2,0)</f>
        <v>Wēnzhōu Shì</v>
      </c>
      <c r="O343" s="15" t="str">
        <f t="shared" si="10"/>
        <v>Fuxi Xiang (Wēnzhōu Shì)</v>
      </c>
      <c r="P343" s="15" t="str">
        <f t="shared" si="11"/>
        <v>Fuxi Xiang (Wēnzhōu Shì)</v>
      </c>
    </row>
    <row r="344" spans="1:16" hidden="1" x14ac:dyDescent="0.25">
      <c r="A344" t="s">
        <v>2094</v>
      </c>
      <c r="B344" t="str">
        <f>IF(COUNTIF(A:A,A344)&gt;1,_xlfn.CONCAT(A344," (",N344,")"),A344)</f>
        <v>Fúyīng Jiēdào</v>
      </c>
      <c r="C344" t="str">
        <f>IF(COUNTIF(B:B,B344)&gt;1,_xlfn.CONCAT(A344," (",M344,")"),B344)</f>
        <v>Fúyīng Jiēdào</v>
      </c>
      <c r="D344" t="s">
        <v>2095</v>
      </c>
      <c r="E344" t="s">
        <v>15</v>
      </c>
      <c r="F344" t="str">
        <f>_xlfn.CONCAT(D344,", ",H344,", ",I344,", ","浙江省")</f>
        <v>福应街道, 仙居县, 台州市, 浙江省</v>
      </c>
      <c r="G344">
        <v>51166</v>
      </c>
      <c r="H344" t="s">
        <v>2997</v>
      </c>
      <c r="I344" t="s">
        <v>2989</v>
      </c>
      <c r="J344">
        <f>VLOOKUP(F344,[1]!china_towns_second__2[[Column1]:[Y]],3,FALSE)</f>
        <v>28.9005419829974</v>
      </c>
      <c r="K344">
        <f>VLOOKUP(F344,[1]!china_towns_second__2[[Column1]:[Y]],2,FALSE)</f>
        <v>120.7818669</v>
      </c>
      <c r="L344" t="s">
        <v>3980</v>
      </c>
      <c r="M344" t="str">
        <f>VLOOKUP(H344,CHOOSE({1,2},Table12[Native],Table12[Name]),2,0)</f>
        <v>Xiānjū Xiàn</v>
      </c>
      <c r="N344" s="15" t="str">
        <f>VLOOKUP(I344,CHOOSE({1,2},Table12[Native],Table12[Name]),2,0)</f>
        <v>Táizhōu Shì</v>
      </c>
      <c r="O344" s="15" t="str">
        <f t="shared" si="10"/>
        <v>Fuying Jiedao (Táizhōu Shì)</v>
      </c>
      <c r="P344" s="15" t="str">
        <f t="shared" si="11"/>
        <v>Fuying Jiedao (Táizhōu Shì)</v>
      </c>
    </row>
    <row r="345" spans="1:16" hidden="1" x14ac:dyDescent="0.25">
      <c r="A345" t="s">
        <v>1892</v>
      </c>
      <c r="B345" t="str">
        <f>IF(COUNTIF(A:A,A345)&gt;1,_xlfn.CONCAT(A345," (",N345,")"),A345)</f>
        <v>Gàibĕi Zhèn</v>
      </c>
      <c r="C345" t="str">
        <f>IF(COUNTIF(B:B,B345)&gt;1,_xlfn.CONCAT(A345," (",M345,")"),B345)</f>
        <v>Gàibĕi Zhèn</v>
      </c>
      <c r="D345" t="s">
        <v>1893</v>
      </c>
      <c r="E345" t="s">
        <v>11</v>
      </c>
      <c r="F345" t="str">
        <f>_xlfn.CONCAT(D345,", ",H345,", ",I345,", ","浙江省")</f>
        <v>盖北镇, 上虞区, 绍兴市, 浙江省</v>
      </c>
      <c r="G345">
        <v>31157</v>
      </c>
      <c r="H345" t="s">
        <v>2983</v>
      </c>
      <c r="I345" t="s">
        <v>2981</v>
      </c>
      <c r="J345">
        <f>VLOOKUP(F345,[1]!china_towns_second__2[[Column1]:[Y]],3,FALSE)</f>
        <v>30.197223542392798</v>
      </c>
      <c r="K345">
        <f>VLOOKUP(F345,[1]!china_towns_second__2[[Column1]:[Y]],2,FALSE)</f>
        <v>120.84550369999999</v>
      </c>
      <c r="L345" t="s">
        <v>3981</v>
      </c>
      <c r="M345" t="str">
        <f>VLOOKUP(H345,CHOOSE({1,2},Table12[Native],Table12[Name]),2,0)</f>
        <v>Shàngyú Qū</v>
      </c>
      <c r="N345" s="15" t="str">
        <f>VLOOKUP(I345,CHOOSE({1,2},Table12[Native],Table12[Name]),2,0)</f>
        <v>Shàoxīng Shì</v>
      </c>
      <c r="O345" s="15" t="str">
        <f t="shared" si="10"/>
        <v>Gaibei Zhen (Shàoxīng Shì)</v>
      </c>
      <c r="P345" s="15" t="str">
        <f t="shared" si="11"/>
        <v>Gaibei Zhen (Shàoxīng Shì)</v>
      </c>
    </row>
    <row r="346" spans="1:16" hidden="1" x14ac:dyDescent="0.25">
      <c r="A346" t="s">
        <v>2096</v>
      </c>
      <c r="B346" t="str">
        <f>IF(COUNTIF(A:A,A346)&gt;1,_xlfn.CONCAT(A346," (",N346,")"),A346)</f>
        <v>Gānjiāng Zhèn</v>
      </c>
      <c r="C346" t="str">
        <f>IF(COUNTIF(B:B,B346)&gt;1,_xlfn.CONCAT(A346," (",M346,")"),B346)</f>
        <v>Gānjiāng Zhèn</v>
      </c>
      <c r="D346" t="s">
        <v>2097</v>
      </c>
      <c r="E346" t="s">
        <v>11</v>
      </c>
      <c r="F346" t="str">
        <f>_xlfn.CONCAT(D346,", ",H346,", ",I346,", ","浙江省")</f>
        <v>干江镇, 玉环市, 台州市, 浙江省</v>
      </c>
      <c r="G346">
        <v>21809</v>
      </c>
      <c r="H346" t="s">
        <v>2998</v>
      </c>
      <c r="I346" t="s">
        <v>2989</v>
      </c>
      <c r="J346">
        <f>VLOOKUP(F346,[1]!china_towns_second__2[[Column1]:[Y]],3,FALSE)</f>
        <v>28.1666654565913</v>
      </c>
      <c r="K346">
        <f>VLOOKUP(F346,[1]!china_towns_second__2[[Column1]:[Y]],2,FALSE)</f>
        <v>121.35476850000001</v>
      </c>
      <c r="L346" t="s">
        <v>3982</v>
      </c>
      <c r="M346" t="str">
        <f>VLOOKUP(H346,CHOOSE({1,2},Table12[Native],Table12[Name]),2,0)</f>
        <v>Yùhuán Shì</v>
      </c>
      <c r="N346" s="15" t="str">
        <f>VLOOKUP(I346,CHOOSE({1,2},Table12[Native],Table12[Name]),2,0)</f>
        <v>Táizhōu Shì</v>
      </c>
      <c r="O346" s="15" t="str">
        <f t="shared" si="10"/>
        <v>Ganjiang Zhen (Táizhōu Shì)</v>
      </c>
      <c r="P346" s="15" t="str">
        <f t="shared" si="11"/>
        <v>Ganjiang Zhen (Táizhōu Shì)</v>
      </c>
    </row>
    <row r="347" spans="1:16" hidden="1" x14ac:dyDescent="0.25">
      <c r="A347" t="s">
        <v>2853</v>
      </c>
      <c r="B347" t="str">
        <f>IF(COUNTIF(A:A,A347)&gt;1,_xlfn.CONCAT(A347," (",N347,")"),A347)</f>
        <v>Gānlăn Zhèn</v>
      </c>
      <c r="C347" t="str">
        <f>IF(COUNTIF(B:B,B347)&gt;1,_xlfn.CONCAT(A347," (",M347,")"),B347)</f>
        <v>Gānlăn Zhèn</v>
      </c>
      <c r="D347" t="s">
        <v>2854</v>
      </c>
      <c r="E347" t="s">
        <v>11</v>
      </c>
      <c r="F347" t="str">
        <f>_xlfn.CONCAT(D347,", ",H347,", ",I347,", ","浙江省")</f>
        <v>干览镇, 定海区, 舟山市, 浙江省</v>
      </c>
      <c r="G347">
        <v>12241</v>
      </c>
      <c r="H347" t="s">
        <v>3015</v>
      </c>
      <c r="I347" t="s">
        <v>3013</v>
      </c>
      <c r="J347">
        <f>VLOOKUP(F347,[1]!china_towns_second__2[[Column1]:[Y]],3,FALSE)</f>
        <v>30.106329297962699</v>
      </c>
      <c r="K347">
        <f>VLOOKUP(F347,[1]!china_towns_second__2[[Column1]:[Y]],2,FALSE)</f>
        <v>122.12951630000001</v>
      </c>
      <c r="L347" t="s">
        <v>3983</v>
      </c>
      <c r="M347" t="str">
        <f>VLOOKUP(H347,CHOOSE({1,2},Table12[Native],Table12[Name]),2,0)</f>
        <v>Dìnghăi Qū</v>
      </c>
      <c r="N347" s="15" t="str">
        <f>VLOOKUP(I347,CHOOSE({1,2},Table12[Native],Table12[Name]),2,0)</f>
        <v>Zhōushān Shì</v>
      </c>
      <c r="O347" s="15" t="str">
        <f t="shared" si="10"/>
        <v>Ganlan Zhen (Zhōushān Shì)</v>
      </c>
      <c r="P347" s="15" t="str">
        <f t="shared" si="11"/>
        <v>Ganlan Zhen (Zhōushān Shì)</v>
      </c>
    </row>
    <row r="348" spans="1:16" hidden="1" x14ac:dyDescent="0.25">
      <c r="A348" t="s">
        <v>1894</v>
      </c>
      <c r="B348" t="str">
        <f>IF(COUNTIF(A:A,A348)&gt;1,_xlfn.CONCAT(A348," (",N348,")"),A348)</f>
        <v>Gānlín Zhèn</v>
      </c>
      <c r="C348" t="str">
        <f>IF(COUNTIF(B:B,B348)&gt;1,_xlfn.CONCAT(A348," (",M348,")"),B348)</f>
        <v>Gānlín Zhèn</v>
      </c>
      <c r="D348" t="s">
        <v>1895</v>
      </c>
      <c r="E348" t="s">
        <v>11</v>
      </c>
      <c r="F348" t="str">
        <f>_xlfn.CONCAT(D348,", ",H348,", ",I348,", ","浙江省")</f>
        <v>甘霖镇, 嵊州市, 绍兴市, 浙江省</v>
      </c>
      <c r="G348">
        <v>72345</v>
      </c>
      <c r="H348" t="s">
        <v>2984</v>
      </c>
      <c r="I348" t="s">
        <v>2981</v>
      </c>
      <c r="J348">
        <f>VLOOKUP(F348,[1]!china_towns_second__2[[Column1]:[Y]],3,FALSE)</f>
        <v>29.500575060012402</v>
      </c>
      <c r="K348">
        <f>VLOOKUP(F348,[1]!china_towns_second__2[[Column1]:[Y]],2,FALSE)</f>
        <v>120.72154829999999</v>
      </c>
      <c r="L348" t="s">
        <v>3984</v>
      </c>
      <c r="M348" t="str">
        <f>VLOOKUP(H348,CHOOSE({1,2},Table12[Native],Table12[Name]),2,0)</f>
        <v>Shèngzhōu Shì</v>
      </c>
      <c r="N348" s="15" t="str">
        <f>VLOOKUP(I348,CHOOSE({1,2},Table12[Native],Table12[Name]),2,0)</f>
        <v>Shàoxīng Shì</v>
      </c>
      <c r="O348" s="15" t="str">
        <f t="shared" si="10"/>
        <v>Ganlin Zhen (Shàoxīng Shì)</v>
      </c>
      <c r="P348" s="15" t="str">
        <f t="shared" si="11"/>
        <v>Ganlin Zhen (Shàoxīng Shì)</v>
      </c>
    </row>
    <row r="349" spans="1:16" hidden="1" x14ac:dyDescent="0.25">
      <c r="A349" t="s">
        <v>586</v>
      </c>
      <c r="B349" t="str">
        <f>IF(COUNTIF(A:A,A349)&gt;1,_xlfn.CONCAT(A349," (",N349,")"),A349)</f>
        <v>Gănpŭ Zhèn</v>
      </c>
      <c r="C349" t="str">
        <f>IF(COUNTIF(B:B,B349)&gt;1,_xlfn.CONCAT(A349," (",M349,")"),B349)</f>
        <v>Gănpŭ Zhèn</v>
      </c>
      <c r="D349" t="s">
        <v>587</v>
      </c>
      <c r="E349" t="s">
        <v>11</v>
      </c>
      <c r="F349" t="str">
        <f>_xlfn.CONCAT(D349,", ",H349,", ",I349,", ","浙江省")</f>
        <v>澉浦镇, 海盐县, 嘉兴市, 浙江省</v>
      </c>
      <c r="G349">
        <v>31786</v>
      </c>
      <c r="H349" t="s">
        <v>2931</v>
      </c>
      <c r="I349" t="s">
        <v>2929</v>
      </c>
      <c r="J349">
        <f>VLOOKUP(F349,[1]!china_towns_second__2[[Column1]:[Y]],3,FALSE)</f>
        <v>30.351947800444901</v>
      </c>
      <c r="K349">
        <f>VLOOKUP(F349,[1]!china_towns_second__2[[Column1]:[Y]],2,FALSE)</f>
        <v>120.88529629999999</v>
      </c>
      <c r="L349" t="s">
        <v>3985</v>
      </c>
      <c r="M349" t="str">
        <f>VLOOKUP(H349,CHOOSE({1,2},Table12[Native],Table12[Name]),2,0)</f>
        <v>Hăiyán Xiàn</v>
      </c>
      <c r="N349" s="15" t="str">
        <f>VLOOKUP(I349,CHOOSE({1,2},Table12[Native],Table12[Name]),2,0)</f>
        <v>Jiāxīng Shì</v>
      </c>
      <c r="O349" s="15" t="str">
        <f t="shared" si="10"/>
        <v>Ganpu Zhen (Jiāxīng Shì)</v>
      </c>
      <c r="P349" s="15" t="str">
        <f t="shared" si="11"/>
        <v>Ganpu Zhen (Jiāxīng Shì)</v>
      </c>
    </row>
    <row r="350" spans="1:16" hidden="1" x14ac:dyDescent="0.25">
      <c r="A350" t="s">
        <v>588</v>
      </c>
      <c r="B350" t="str">
        <f>IF(COUNTIF(A:A,A350)&gt;1,_xlfn.CONCAT(A350," (",N350,")"),A350)</f>
        <v>Gānyáo Zhèn</v>
      </c>
      <c r="C350" t="str">
        <f>IF(COUNTIF(B:B,B350)&gt;1,_xlfn.CONCAT(A350," (",M350,")"),B350)</f>
        <v>Gānyáo Zhèn</v>
      </c>
      <c r="D350" t="s">
        <v>589</v>
      </c>
      <c r="E350" t="s">
        <v>11</v>
      </c>
      <c r="F350" t="str">
        <f>_xlfn.CONCAT(D350,", ",H350,", ",I350,", ","浙江省")</f>
        <v>干窑镇, 嘉善县, 嘉兴市, 浙江省</v>
      </c>
      <c r="G350">
        <v>36092</v>
      </c>
      <c r="H350" t="s">
        <v>2932</v>
      </c>
      <c r="I350" t="s">
        <v>2929</v>
      </c>
      <c r="J350">
        <f>VLOOKUP(F350,[1]!china_towns_second__2[[Column1]:[Y]],3,FALSE)</f>
        <v>30.903350757738501</v>
      </c>
      <c r="K350">
        <f>VLOOKUP(F350,[1]!china_towns_second__2[[Column1]:[Y]],2,FALSE)</f>
        <v>120.89390299999999</v>
      </c>
      <c r="L350" t="s">
        <v>3986</v>
      </c>
      <c r="M350" t="str">
        <f>VLOOKUP(H350,CHOOSE({1,2},Table12[Native],Table12[Name]),2,0)</f>
        <v>Jiāshàn Xiàn</v>
      </c>
      <c r="N350" s="15" t="str">
        <f>VLOOKUP(I350,CHOOSE({1,2},Table12[Native],Table12[Name]),2,0)</f>
        <v>Jiāxīng Shì</v>
      </c>
      <c r="O350" s="15" t="str">
        <f t="shared" si="10"/>
        <v>Ganyao Zhen (Jiāxīng Shì)</v>
      </c>
      <c r="P350" s="15" t="str">
        <f t="shared" si="11"/>
        <v>Ganyao Zhen (Jiāxīng Shì)</v>
      </c>
    </row>
    <row r="351" spans="1:16" hidden="1" x14ac:dyDescent="0.25">
      <c r="A351" t="s">
        <v>1896</v>
      </c>
      <c r="B351" t="str">
        <f>IF(COUNTIF(A:A,A351)&gt;1,_xlfn.CONCAT(A351," (",N351,")"),A351)</f>
        <v>Gāobù Jiēdào</v>
      </c>
      <c r="C351" t="str">
        <f>IF(COUNTIF(B:B,B351)&gt;1,_xlfn.CONCAT(A351," (",M351,")"),B351)</f>
        <v>Gāobù Jiēdào</v>
      </c>
      <c r="D351" t="s">
        <v>1897</v>
      </c>
      <c r="E351" t="s">
        <v>15</v>
      </c>
      <c r="F351" t="str">
        <f>_xlfn.CONCAT(D351,", ",H351,", ",I351,", ","浙江省")</f>
        <v>皋埠街道, 越城区, 绍兴市, 浙江省</v>
      </c>
      <c r="G351">
        <v>59233</v>
      </c>
      <c r="H351" t="s">
        <v>2986</v>
      </c>
      <c r="I351" t="s">
        <v>2981</v>
      </c>
      <c r="J351" t="e">
        <f>VLOOKUP(F351,[1]!china_towns_second__2[[Column1]:[Y]],3,FALSE)</f>
        <v>#N/A</v>
      </c>
      <c r="K351" t="e">
        <f>VLOOKUP(F351,[1]!china_towns_second__2[[Column1]:[Y]],2,FALSE)</f>
        <v>#N/A</v>
      </c>
      <c r="L351" t="s">
        <v>3987</v>
      </c>
      <c r="M351" t="str">
        <f>VLOOKUP(H351,CHOOSE({1,2},Table12[Native],Table12[Name]),2,0)</f>
        <v>Yuèchéng Qū</v>
      </c>
      <c r="N351" s="15" t="str">
        <f>VLOOKUP(I351,CHOOSE({1,2},Table12[Native],Table12[Name]),2,0)</f>
        <v>Shàoxīng Shì</v>
      </c>
      <c r="O351" s="15" t="str">
        <f t="shared" si="10"/>
        <v>Gaobu Jiedao (Shàoxīng Shì)</v>
      </c>
      <c r="P351" s="15" t="str">
        <f t="shared" si="11"/>
        <v>Gaobu Jiedao (Shàoxīng Shì)</v>
      </c>
    </row>
    <row r="352" spans="1:16" hidden="1" x14ac:dyDescent="0.25">
      <c r="A352" t="s">
        <v>113</v>
      </c>
      <c r="B352" t="str">
        <f>IF(COUNTIF(A:A,A352)&gt;1,_xlfn.CONCAT(A352," (",N352,")"),A352)</f>
        <v>Gāohóng Zhèn</v>
      </c>
      <c r="C352" t="str">
        <f>IF(COUNTIF(B:B,B352)&gt;1,_xlfn.CONCAT(A352," (",M352,")"),B352)</f>
        <v>Gāohóng Zhèn</v>
      </c>
      <c r="D352" t="s">
        <v>114</v>
      </c>
      <c r="E352" t="s">
        <v>11</v>
      </c>
      <c r="F352" t="str">
        <f>_xlfn.CONCAT(D352,", ",H352,", ",I352,", ","浙江省")</f>
        <v>高虹镇, 临安区, 杭州市, 浙江省</v>
      </c>
      <c r="G352">
        <v>29028</v>
      </c>
      <c r="H352" t="s">
        <v>2911</v>
      </c>
      <c r="I352" t="s">
        <v>2903</v>
      </c>
      <c r="J352">
        <f>VLOOKUP(F352,[1]!china_towns_second__2[[Column1]:[Y]],3,FALSE)</f>
        <v>30.355953667742799</v>
      </c>
      <c r="K352">
        <f>VLOOKUP(F352,[1]!china_towns_second__2[[Column1]:[Y]],2,FALSE)</f>
        <v>119.6665067</v>
      </c>
      <c r="L352" t="s">
        <v>3988</v>
      </c>
      <c r="M352" t="str">
        <f>VLOOKUP(H352,CHOOSE({1,2},Table12[Native],Table12[Name]),2,0)</f>
        <v>Lín'ān Qū</v>
      </c>
      <c r="N352" s="15" t="str">
        <f>VLOOKUP(I352,CHOOSE({1,2},Table12[Native],Table12[Name]),2,0)</f>
        <v>Hángzhōu Shì</v>
      </c>
      <c r="O352" s="15" t="str">
        <f t="shared" si="10"/>
        <v>Gaohong Zhen (Hángzhōu Shì)</v>
      </c>
      <c r="P352" s="15" t="str">
        <f t="shared" si="11"/>
        <v>Gaohong Zhen (Hángzhōu Shì)</v>
      </c>
    </row>
    <row r="353" spans="1:16" hidden="1" x14ac:dyDescent="0.25">
      <c r="A353" t="s">
        <v>1084</v>
      </c>
      <c r="B353" t="str">
        <f>IF(COUNTIF(A:A,A353)&gt;1,_xlfn.CONCAT(A353," (",N353,")"),A353)</f>
        <v>Gāohú Zhèn</v>
      </c>
      <c r="C353" t="str">
        <f>IF(COUNTIF(B:B,B353)&gt;1,_xlfn.CONCAT(A353," (",M353,")"),B353)</f>
        <v>Gāohú Zhèn</v>
      </c>
      <c r="D353" t="s">
        <v>1085</v>
      </c>
      <c r="E353" t="s">
        <v>11</v>
      </c>
      <c r="F353" t="str">
        <f>_xlfn.CONCAT(D353,", ",H353,", ",I353,", ","浙江省")</f>
        <v>高湖镇, 青田县, 丽水市, 浙江省</v>
      </c>
      <c r="G353">
        <v>10725</v>
      </c>
      <c r="H353" t="s">
        <v>2955</v>
      </c>
      <c r="I353" t="s">
        <v>2949</v>
      </c>
      <c r="J353">
        <f>VLOOKUP(F353,[1]!china_towns_second__2[[Column1]:[Y]],3,FALSE)</f>
        <v>28.369605391278501</v>
      </c>
      <c r="K353">
        <f>VLOOKUP(F353,[1]!china_towns_second__2[[Column1]:[Y]],2,FALSE)</f>
        <v>120.221254</v>
      </c>
      <c r="L353" t="s">
        <v>3989</v>
      </c>
      <c r="M353" t="str">
        <f>VLOOKUP(H353,CHOOSE({1,2},Table12[Native],Table12[Name]),2,0)</f>
        <v>Qīngtián Xiàn</v>
      </c>
      <c r="N353" s="15" t="str">
        <f>VLOOKUP(I353,CHOOSE({1,2},Table12[Native],Table12[Name]),2,0)</f>
        <v>Lìshuĭ Shì</v>
      </c>
      <c r="O353" s="15" t="str">
        <f t="shared" si="10"/>
        <v>Gaohu Zhen (Lìshuĭ Shì)</v>
      </c>
      <c r="P353" s="15" t="str">
        <f t="shared" si="11"/>
        <v>Gaohu Zhen (Lìshuĭ Shì)</v>
      </c>
    </row>
    <row r="354" spans="1:16" hidden="1" x14ac:dyDescent="0.25">
      <c r="A354" t="s">
        <v>1686</v>
      </c>
      <c r="B354" t="str">
        <f>IF(COUNTIF(A:A,A354)&gt;1,_xlfn.CONCAT(A354," (",N354,")"),A354)</f>
        <v>Gāojiā Zhèn</v>
      </c>
      <c r="C354" t="str">
        <f>IF(COUNTIF(B:B,B354)&gt;1,_xlfn.CONCAT(A354," (",M354,")"),B354)</f>
        <v>Gāojiā Zhèn</v>
      </c>
      <c r="D354" t="s">
        <v>1687</v>
      </c>
      <c r="E354" t="s">
        <v>11</v>
      </c>
      <c r="F354" t="str">
        <f>_xlfn.CONCAT(D354,", ",H354,", ",I354,", ","浙江省")</f>
        <v>高家镇, 衢江区, 衢州市, 浙江省</v>
      </c>
      <c r="G354">
        <v>48416</v>
      </c>
      <c r="H354" t="s">
        <v>2979</v>
      </c>
      <c r="I354" t="s">
        <v>2973</v>
      </c>
      <c r="J354">
        <f>VLOOKUP(F354,[1]!china_towns_second__2[[Column1]:[Y]],3,FALSE)</f>
        <v>28.9680584240337</v>
      </c>
      <c r="K354">
        <f>VLOOKUP(F354,[1]!china_towns_second__2[[Column1]:[Y]],2,FALSE)</f>
        <v>119.01189050000001</v>
      </c>
      <c r="L354" t="s">
        <v>3990</v>
      </c>
      <c r="M354" t="str">
        <f>VLOOKUP(H354,CHOOSE({1,2},Table12[Native],Table12[Name]),2,0)</f>
        <v>Qújiāng Qū</v>
      </c>
      <c r="N354" s="15" t="str">
        <f>VLOOKUP(I354,CHOOSE({1,2},Table12[Native],Table12[Name]),2,0)</f>
        <v>Qúzhōu Shì</v>
      </c>
      <c r="O354" s="15" t="str">
        <f t="shared" si="10"/>
        <v>Gaojia Zhen (Qúzhōu Shì)</v>
      </c>
      <c r="P354" s="15" t="str">
        <f t="shared" si="11"/>
        <v>Gaojia Zhen (Qúzhōu Shì)</v>
      </c>
    </row>
    <row r="355" spans="1:16" hidden="1" x14ac:dyDescent="0.25">
      <c r="A355" t="s">
        <v>2389</v>
      </c>
      <c r="B355" t="str">
        <f>IF(COUNTIF(A:A,A355)&gt;1,_xlfn.CONCAT(A355," (",N355,")"),A355)</f>
        <v>Gāolóu Zhèn</v>
      </c>
      <c r="C355" t="str">
        <f>IF(COUNTIF(B:B,B355)&gt;1,_xlfn.CONCAT(A355," (",M355,")"),B355)</f>
        <v>Gāolóu Zhèn</v>
      </c>
      <c r="D355" t="s">
        <v>2390</v>
      </c>
      <c r="E355" t="s">
        <v>11</v>
      </c>
      <c r="F355" t="str">
        <f>_xlfn.CONCAT(D355,", ",H355,", ",I355,", ","浙江省")</f>
        <v>高楼镇, 瑞安市, 温州市, 浙江省</v>
      </c>
      <c r="G355">
        <v>8977</v>
      </c>
      <c r="H355" t="s">
        <v>3007</v>
      </c>
      <c r="I355" t="s">
        <v>3000</v>
      </c>
      <c r="J355">
        <f>VLOOKUP(F355,[1]!china_towns_second__2[[Column1]:[Y]],3,FALSE)</f>
        <v>27.813358567941599</v>
      </c>
      <c r="K355">
        <f>VLOOKUP(F355,[1]!china_towns_second__2[[Column1]:[Y]],2,FALSE)</f>
        <v>120.27718830000001</v>
      </c>
      <c r="L355" t="s">
        <v>3991</v>
      </c>
      <c r="M355" t="str">
        <f>VLOOKUP(H355,CHOOSE({1,2},Table12[Native],Table12[Name]),2,0)</f>
        <v>Ruì'ān Shì</v>
      </c>
      <c r="N355" s="15" t="str">
        <f>VLOOKUP(I355,CHOOSE({1,2},Table12[Native],Table12[Name]),2,0)</f>
        <v>Wēnzhōu Shì</v>
      </c>
      <c r="O355" s="15" t="str">
        <f t="shared" si="10"/>
        <v>Gaolou Zhen (Wēnzhōu Shì)</v>
      </c>
      <c r="P355" s="15" t="str">
        <f t="shared" si="11"/>
        <v>Gaolou Zhen (Wēnzhōu Shì)</v>
      </c>
    </row>
    <row r="356" spans="1:16" hidden="1" x14ac:dyDescent="0.25">
      <c r="A356" t="s">
        <v>1086</v>
      </c>
      <c r="B356" t="str">
        <f>IF(COUNTIF(A:A,A356)&gt;1,_xlfn.CONCAT(A356," (",N356,")"),A356)</f>
        <v>Gāopíng Xiāng</v>
      </c>
      <c r="C356" t="str">
        <f>IF(COUNTIF(B:B,B356)&gt;1,_xlfn.CONCAT(A356," (",M356,")"),B356)</f>
        <v>Gāopíng Xiāng</v>
      </c>
      <c r="D356" t="s">
        <v>1087</v>
      </c>
      <c r="E356" t="s">
        <v>7</v>
      </c>
      <c r="F356" t="str">
        <f>_xlfn.CONCAT(D356,", ",H356,", ",I356,", ","浙江省")</f>
        <v>高坪乡, 遂昌县, 丽水市, 浙江省</v>
      </c>
      <c r="G356">
        <v>3895</v>
      </c>
      <c r="H356" t="s">
        <v>2958</v>
      </c>
      <c r="I356" t="s">
        <v>2949</v>
      </c>
      <c r="J356" t="e">
        <f>VLOOKUP(F356,[1]!china_towns_second__2[[Column1]:[Y]],3,FALSE)</f>
        <v>#N/A</v>
      </c>
      <c r="K356" t="e">
        <f>VLOOKUP(F356,[1]!china_towns_second__2[[Column1]:[Y]],2,FALSE)</f>
        <v>#N/A</v>
      </c>
      <c r="L356" t="s">
        <v>3992</v>
      </c>
      <c r="M356" t="str">
        <f>VLOOKUP(H356,CHOOSE({1,2},Table12[Native],Table12[Name]),2,0)</f>
        <v>Suìchāng Xiàn</v>
      </c>
      <c r="N356" s="15" t="str">
        <f>VLOOKUP(I356,CHOOSE({1,2},Table12[Native],Table12[Name]),2,0)</f>
        <v>Lìshuĭ Shì</v>
      </c>
      <c r="O356" s="15" t="str">
        <f t="shared" si="10"/>
        <v>Gaoping Xiang (Lìshuĭ Shì)</v>
      </c>
      <c r="P356" s="15" t="str">
        <f t="shared" si="11"/>
        <v>Gaoping Xiang (Lìshuĭ Shì)</v>
      </c>
    </row>
    <row r="357" spans="1:16" hidden="1" x14ac:dyDescent="0.25">
      <c r="A357" t="s">
        <v>590</v>
      </c>
      <c r="B357" t="str">
        <f>IF(COUNTIF(A:A,A357)&gt;1,_xlfn.CONCAT(A357," (",N357,")"),A357)</f>
        <v>Gāoqiáo Jiēdào (Jiāxīng Shì)</v>
      </c>
      <c r="C357" t="str">
        <f>IF(COUNTIF(B:B,B357)&gt;1,_xlfn.CONCAT(A357," (",M357,")"),B357)</f>
        <v>Gāoqiáo Jiēdào (Jiāxīng Shì)</v>
      </c>
      <c r="D357" t="s">
        <v>591</v>
      </c>
      <c r="E357" t="s">
        <v>15</v>
      </c>
      <c r="F357" t="str">
        <f>_xlfn.CONCAT(D357,", ",H357,", ",I357,", ","浙江省")</f>
        <v>高桥街道, 桐乡市, 嘉兴市, 浙江省</v>
      </c>
      <c r="G357">
        <v>41800</v>
      </c>
      <c r="H357" t="s">
        <v>2935</v>
      </c>
      <c r="I357" t="s">
        <v>2929</v>
      </c>
      <c r="J357" t="e">
        <f>VLOOKUP(F357,[1]!china_towns_second__2[[Column1]:[Y]],3,FALSE)</f>
        <v>#N/A</v>
      </c>
      <c r="K357" t="e">
        <f>VLOOKUP(F357,[1]!china_towns_second__2[[Column1]:[Y]],2,FALSE)</f>
        <v>#N/A</v>
      </c>
      <c r="L357" t="s">
        <v>3993</v>
      </c>
      <c r="M357" t="str">
        <f>VLOOKUP(H357,CHOOSE({1,2},Table12[Native],Table12[Name]),2,0)</f>
        <v>Tóngxiāng Shì</v>
      </c>
      <c r="N357" s="15" t="str">
        <f>VLOOKUP(I357,CHOOSE({1,2},Table12[Native],Table12[Name]),2,0)</f>
        <v>Jiāxīng Shì</v>
      </c>
      <c r="O357" s="15" t="str">
        <f t="shared" si="10"/>
        <v>Gaoqiao Jiedao (Jiaxing Shi) (Jiāxīng Shì)</v>
      </c>
      <c r="P357" s="15" t="str">
        <f t="shared" si="11"/>
        <v>Gaoqiao Jiedao (Jiaxing Shi) (Jiāxīng Shì)</v>
      </c>
    </row>
    <row r="358" spans="1:16" hidden="1" x14ac:dyDescent="0.25">
      <c r="A358" t="s">
        <v>590</v>
      </c>
      <c r="B358" t="str">
        <f>IF(COUNTIF(A:A,A358)&gt;1,_xlfn.CONCAT(A358," (",N358,")"),A358)</f>
        <v>Gāoqiáo Jiēdào (Táizhōu Shì)</v>
      </c>
      <c r="C358" t="str">
        <f>IF(COUNTIF(B:B,B358)&gt;1,_xlfn.CONCAT(A358," (",M358,")"),B358)</f>
        <v>Gāoqiáo Jiēdào (Táizhōu Shì)</v>
      </c>
      <c r="D358" t="s">
        <v>591</v>
      </c>
      <c r="E358" t="s">
        <v>15</v>
      </c>
      <c r="F358" t="str">
        <f>_xlfn.CONCAT(D358,", ",H358,", ",I358,", ","浙江省")</f>
        <v>高桥街道, 黄岩区, 台州市, 浙江省</v>
      </c>
      <c r="G358">
        <v>23140</v>
      </c>
      <c r="H358" t="s">
        <v>2990</v>
      </c>
      <c r="I358" t="s">
        <v>2989</v>
      </c>
      <c r="J358">
        <f>VLOOKUP(F358,[1]!china_towns_second__2[[Column1]:[Y]],3,FALSE)</f>
        <v>28.592646351985799</v>
      </c>
      <c r="K358">
        <f>VLOOKUP(F358,[1]!china_towns_second__2[[Column1]:[Y]],2,FALSE)</f>
        <v>121.2204495</v>
      </c>
      <c r="L358" t="s">
        <v>3994</v>
      </c>
      <c r="M358" t="str">
        <f>VLOOKUP(H358,CHOOSE({1,2},Table12[Native],Table12[Name]),2,0)</f>
        <v>Huángyán Qū</v>
      </c>
      <c r="N358" s="15" t="str">
        <f>VLOOKUP(I358,CHOOSE({1,2},Table12[Native],Table12[Name]),2,0)</f>
        <v>Táizhōu Shì</v>
      </c>
      <c r="O358" s="15" t="str">
        <f t="shared" si="10"/>
        <v>Gaoqiao Jiedao (Taizhou Shi) (Táizhōu Shì)</v>
      </c>
      <c r="P358" s="15" t="str">
        <f t="shared" si="11"/>
        <v>Gaoqiao Jiedao (Taizhou Shi) (Táizhōu Shì)</v>
      </c>
    </row>
    <row r="359" spans="1:16" hidden="1" x14ac:dyDescent="0.25">
      <c r="A359" t="s">
        <v>1423</v>
      </c>
      <c r="B359" t="str">
        <f>IF(COUNTIF(A:A,A359)&gt;1,_xlfn.CONCAT(A359," (",N359,")"),A359)</f>
        <v>Gāoqiáo Zhèn</v>
      </c>
      <c r="C359" t="str">
        <f>IF(COUNTIF(B:B,B359)&gt;1,_xlfn.CONCAT(A359," (",M359,")"),B359)</f>
        <v>Gāoqiáo Zhèn</v>
      </c>
      <c r="D359" t="s">
        <v>1424</v>
      </c>
      <c r="E359" t="s">
        <v>11</v>
      </c>
      <c r="F359" t="str">
        <f>_xlfn.CONCAT(D359,", ",H359,", ",I359,", ","浙江省")</f>
        <v>高桥镇, 海曙区, 宁波市, 浙江省</v>
      </c>
      <c r="G359">
        <v>90598</v>
      </c>
      <c r="H359" t="s">
        <v>2965</v>
      </c>
      <c r="I359" t="s">
        <v>2961</v>
      </c>
      <c r="J359">
        <f>VLOOKUP(F359,[1]!china_towns_second__2[[Column1]:[Y]],3,FALSE)</f>
        <v>29.910075184714199</v>
      </c>
      <c r="K359">
        <f>VLOOKUP(F359,[1]!china_towns_second__2[[Column1]:[Y]],2,FALSE)</f>
        <v>121.4450623</v>
      </c>
      <c r="L359" t="s">
        <v>3995</v>
      </c>
      <c r="M359" t="str">
        <f>VLOOKUP(H359,CHOOSE({1,2},Table12[Native],Table12[Name]),2,0)</f>
        <v>Hăishŭ Qū</v>
      </c>
      <c r="N359" s="15" t="str">
        <f>VLOOKUP(I359,CHOOSE({1,2},Table12[Native],Table12[Name]),2,0)</f>
        <v>Níngbō Shì</v>
      </c>
      <c r="O359" s="15" t="str">
        <f t="shared" si="10"/>
        <v>Gaoqiao Zhen (Níngbō Shì)</v>
      </c>
      <c r="P359" s="15" t="str">
        <f t="shared" si="11"/>
        <v>Gaoqiao Zhen (Níngbō Shì)</v>
      </c>
    </row>
    <row r="360" spans="1:16" hidden="1" x14ac:dyDescent="0.25">
      <c r="A360" t="s">
        <v>1088</v>
      </c>
      <c r="B360" t="str">
        <f>IF(COUNTIF(A:A,A360)&gt;1,_xlfn.CONCAT(A360," (",N360,")"),A360)</f>
        <v>Gāoshì Xiāng</v>
      </c>
      <c r="C360" t="str">
        <f>IF(COUNTIF(B:B,B360)&gt;1,_xlfn.CONCAT(A360," (",M360,")"),B360)</f>
        <v>Gāoshì Xiāng</v>
      </c>
      <c r="D360" t="s">
        <v>1089</v>
      </c>
      <c r="E360" t="s">
        <v>7</v>
      </c>
      <c r="F360" t="str">
        <f>_xlfn.CONCAT(D360,", ",H360,", ",I360,", ","浙江省")</f>
        <v>高市乡, 青田县, 丽水市, 浙江省</v>
      </c>
      <c r="G360">
        <v>3371</v>
      </c>
      <c r="H360" t="s">
        <v>2955</v>
      </c>
      <c r="I360" t="s">
        <v>2949</v>
      </c>
      <c r="J360" t="e">
        <f>VLOOKUP(F360,[1]!china_towns_second__2[[Column1]:[Y]],3,FALSE)</f>
        <v>#N/A</v>
      </c>
      <c r="K360" t="e">
        <f>VLOOKUP(F360,[1]!china_towns_second__2[[Column1]:[Y]],2,FALSE)</f>
        <v>#N/A</v>
      </c>
      <c r="L360" t="s">
        <v>3996</v>
      </c>
      <c r="M360" t="str">
        <f>VLOOKUP(H360,CHOOSE({1,2},Table12[Native],Table12[Name]),2,0)</f>
        <v>Qīngtián Xiàn</v>
      </c>
      <c r="N360" s="15" t="str">
        <f>VLOOKUP(I360,CHOOSE({1,2},Table12[Native],Table12[Name]),2,0)</f>
        <v>Lìshuĭ Shì</v>
      </c>
      <c r="O360" s="15" t="str">
        <f t="shared" si="10"/>
        <v>Gaoshi Xiang (Lìshuĭ Shì)</v>
      </c>
      <c r="P360" s="15" t="str">
        <f t="shared" si="11"/>
        <v>Gaoshi Xiang (Lìshuĭ Shì)</v>
      </c>
    </row>
    <row r="361" spans="1:16" hidden="1" x14ac:dyDescent="0.25">
      <c r="A361" t="s">
        <v>1425</v>
      </c>
      <c r="B361" t="str">
        <f>IF(COUNTIF(A:A,A361)&gt;1,_xlfn.CONCAT(A361," (",N361,")"),A361)</f>
        <v>Gāotángdăo Xiāng</v>
      </c>
      <c r="C361" t="str">
        <f>IF(COUNTIF(B:B,B361)&gt;1,_xlfn.CONCAT(A361," (",M361,")"),B361)</f>
        <v>Gāotángdăo Xiāng</v>
      </c>
      <c r="D361" t="s">
        <v>1426</v>
      </c>
      <c r="E361" t="s">
        <v>7</v>
      </c>
      <c r="F361" t="str">
        <f>_xlfn.CONCAT(D361,", ",H361,", ",I361,", ","浙江省")</f>
        <v>高塘岛乡, 象山县, 宁波市, 浙江省</v>
      </c>
      <c r="G361">
        <v>16171</v>
      </c>
      <c r="H361" t="s">
        <v>2968</v>
      </c>
      <c r="I361" t="s">
        <v>2961</v>
      </c>
      <c r="J361" t="e">
        <f>VLOOKUP(F361,[1]!china_towns_second__2[[Column1]:[Y]],3,FALSE)</f>
        <v>#N/A</v>
      </c>
      <c r="K361" t="e">
        <f>VLOOKUP(F361,[1]!china_towns_second__2[[Column1]:[Y]],2,FALSE)</f>
        <v>#N/A</v>
      </c>
      <c r="L361" t="s">
        <v>3997</v>
      </c>
      <c r="M361" t="str">
        <f>VLOOKUP(H361,CHOOSE({1,2},Table12[Native],Table12[Name]),2,0)</f>
        <v>Xiàngshān Xiàn</v>
      </c>
      <c r="N361" s="15" t="str">
        <f>VLOOKUP(I361,CHOOSE({1,2},Table12[Native],Table12[Name]),2,0)</f>
        <v>Níngbō Shì</v>
      </c>
      <c r="O361" s="15" t="str">
        <f t="shared" si="10"/>
        <v>Gaotangdao Xiang (Níngbō Shì)</v>
      </c>
      <c r="P361" s="15" t="str">
        <f t="shared" si="11"/>
        <v>Gaotangdao Xiang (Níngbō Shì)</v>
      </c>
    </row>
    <row r="362" spans="1:16" hidden="1" x14ac:dyDescent="0.25">
      <c r="A362" t="s">
        <v>2855</v>
      </c>
      <c r="B362" t="str">
        <f>IF(COUNTIF(A:A,A362)&gt;1,_xlfn.CONCAT(A362," (",N362,")"),A362)</f>
        <v>Gāotíng Zhèn</v>
      </c>
      <c r="C362" t="str">
        <f>IF(COUNTIF(B:B,B362)&gt;1,_xlfn.CONCAT(A362," (",M362,")"),B362)</f>
        <v>Gāotíng Zhèn</v>
      </c>
      <c r="D362" t="s">
        <v>2856</v>
      </c>
      <c r="E362" t="s">
        <v>11</v>
      </c>
      <c r="F362" t="str">
        <f>_xlfn.CONCAT(D362,", ",H362,", ",I362,", ","浙江省")</f>
        <v>高亭镇, 岱山县, 舟山市, 浙江省</v>
      </c>
      <c r="G362">
        <v>81439</v>
      </c>
      <c r="H362" t="s">
        <v>3014</v>
      </c>
      <c r="I362" t="s">
        <v>3013</v>
      </c>
      <c r="J362">
        <f>VLOOKUP(F362,[1]!china_towns_second__2[[Column1]:[Y]],3,FALSE)</f>
        <v>30.266738016783801</v>
      </c>
      <c r="K362">
        <f>VLOOKUP(F362,[1]!china_towns_second__2[[Column1]:[Y]],2,FALSE)</f>
        <v>122.13943260000001</v>
      </c>
      <c r="L362" t="s">
        <v>3998</v>
      </c>
      <c r="M362" t="str">
        <f>VLOOKUP(H362,CHOOSE({1,2},Table12[Native],Table12[Name]),2,0)</f>
        <v>Dàishān Xiàn</v>
      </c>
      <c r="N362" s="15" t="str">
        <f>VLOOKUP(I362,CHOOSE({1,2},Table12[Native],Table12[Name]),2,0)</f>
        <v>Zhōushān Shì</v>
      </c>
      <c r="O362" s="15" t="str">
        <f t="shared" si="10"/>
        <v>Gaoting Zhen (Zhōushān Shì)</v>
      </c>
      <c r="P362" s="15" t="str">
        <f t="shared" si="11"/>
        <v>Gaoting Zhen (Zhōushān Shì)</v>
      </c>
    </row>
    <row r="363" spans="1:16" hidden="1" x14ac:dyDescent="0.25">
      <c r="A363" t="s">
        <v>592</v>
      </c>
      <c r="B363" t="str">
        <f>IF(COUNTIF(A:A,A363)&gt;1,_xlfn.CONCAT(A363," (",N363,")"),A363)</f>
        <v>Gāozhào Jiēdào</v>
      </c>
      <c r="C363" t="str">
        <f>IF(COUNTIF(B:B,B363)&gt;1,_xlfn.CONCAT(A363," (",M363,")"),B363)</f>
        <v>Gāozhào Jiēdào</v>
      </c>
      <c r="D363" t="s">
        <v>593</v>
      </c>
      <c r="E363" t="s">
        <v>15</v>
      </c>
      <c r="F363" t="str">
        <f>_xlfn.CONCAT(D363,", ",H363,", ",I363,", ","浙江省")</f>
        <v>高照街道, 秀洲区, 嘉兴市, 浙江省</v>
      </c>
      <c r="G363">
        <v>45333</v>
      </c>
      <c r="H363" t="s">
        <v>2936</v>
      </c>
      <c r="I363" t="s">
        <v>2929</v>
      </c>
      <c r="J363">
        <f>VLOOKUP(F363,[1]!china_towns_second__2[[Column1]:[Y]],3,FALSE)</f>
        <v>30.758008641529301</v>
      </c>
      <c r="K363">
        <f>VLOOKUP(F363,[1]!china_towns_second__2[[Column1]:[Y]],2,FALSE)</f>
        <v>120.6599911</v>
      </c>
      <c r="L363" t="s">
        <v>3999</v>
      </c>
      <c r="M363" t="str">
        <f>VLOOKUP(H363,CHOOSE({1,2},Table12[Native],Table12[Name]),2,0)</f>
        <v>Xiùzhōu Qū</v>
      </c>
      <c r="N363" s="15" t="str">
        <f>VLOOKUP(I363,CHOOSE({1,2},Table12[Native],Table12[Name]),2,0)</f>
        <v>Jiāxīng Shì</v>
      </c>
      <c r="O363" s="15" t="str">
        <f t="shared" si="10"/>
        <v>Gaozhao Jiedao (Jiāxīng Shì)</v>
      </c>
      <c r="P363" s="15" t="str">
        <f t="shared" si="11"/>
        <v>Gaozhao Jiedao (Jiāxīng Shì)</v>
      </c>
    </row>
    <row r="364" spans="1:16" hidden="1" x14ac:dyDescent="0.25">
      <c r="A364" t="s">
        <v>115</v>
      </c>
      <c r="B364" t="str">
        <f>IF(COUNTIF(A:A,A364)&gt;1,_xlfn.CONCAT(A364," (",N364,")"),A364)</f>
        <v>Gènglóu Jiēdào</v>
      </c>
      <c r="C364" t="str">
        <f>IF(COUNTIF(B:B,B364)&gt;1,_xlfn.CONCAT(A364," (",M364,")"),B364)</f>
        <v>Gènglóu Jiēdào</v>
      </c>
      <c r="D364" t="s">
        <v>116</v>
      </c>
      <c r="E364" t="s">
        <v>15</v>
      </c>
      <c r="F364" t="str">
        <f>_xlfn.CONCAT(D364,", ",H364,", ",I364,", ","浙江省")</f>
        <v>更楼街道, 建德市, 杭州市, 浙江省</v>
      </c>
      <c r="G364">
        <v>19377</v>
      </c>
      <c r="H364" t="s">
        <v>2910</v>
      </c>
      <c r="I364" t="s">
        <v>2903</v>
      </c>
      <c r="J364">
        <f>VLOOKUP(F364,[1]!china_towns_second__2[[Column1]:[Y]],3,FALSE)</f>
        <v>29.4218081477689</v>
      </c>
      <c r="K364">
        <f>VLOOKUP(F364,[1]!china_towns_second__2[[Column1]:[Y]],2,FALSE)</f>
        <v>119.2762456</v>
      </c>
      <c r="L364" t="s">
        <v>4000</v>
      </c>
      <c r="M364" t="str">
        <f>VLOOKUP(H364,CHOOSE({1,2},Table12[Native],Table12[Name]),2,0)</f>
        <v>Jiàndé Shì</v>
      </c>
      <c r="N364" s="15" t="str">
        <f>VLOOKUP(I364,CHOOSE({1,2},Table12[Native],Table12[Name]),2,0)</f>
        <v>Hángzhōu Shì</v>
      </c>
      <c r="O364" s="15" t="str">
        <f t="shared" si="10"/>
        <v>Genglou Jiedao (Hángzhōu Shì)</v>
      </c>
      <c r="P364" s="15" t="str">
        <f t="shared" si="11"/>
        <v>Genglou Jiedao (Hángzhōu Shì)</v>
      </c>
    </row>
    <row r="365" spans="1:16" hidden="1" x14ac:dyDescent="0.25">
      <c r="A365" t="s">
        <v>775</v>
      </c>
      <c r="B365" t="str">
        <f>IF(COUNTIF(A:A,A365)&gt;1,_xlfn.CONCAT(A365," (",N365,")"),A365)</f>
        <v>Gēshān Zhèn</v>
      </c>
      <c r="C365" t="str">
        <f>IF(COUNTIF(B:B,B365)&gt;1,_xlfn.CONCAT(A365," (",M365,")"),B365)</f>
        <v>Gēshān Zhèn</v>
      </c>
      <c r="D365" t="s">
        <v>776</v>
      </c>
      <c r="E365" t="s">
        <v>11</v>
      </c>
      <c r="F365" t="str">
        <f>_xlfn.CONCAT(D365,", ",H365,", ",I365,", ","浙江省")</f>
        <v>歌山镇, 东阳市, 金华市, 浙江省</v>
      </c>
      <c r="G365">
        <v>29788</v>
      </c>
      <c r="H365" t="s">
        <v>2939</v>
      </c>
      <c r="I365" t="s">
        <v>2938</v>
      </c>
      <c r="J365">
        <f>VLOOKUP(F365,[1]!china_towns_second__2[[Column1]:[Y]],3,FALSE)</f>
        <v>29.2770360088575</v>
      </c>
      <c r="K365">
        <f>VLOOKUP(F365,[1]!china_towns_second__2[[Column1]:[Y]],2,FALSE)</f>
        <v>120.4082081</v>
      </c>
      <c r="L365" t="s">
        <v>4001</v>
      </c>
      <c r="M365" t="str">
        <f>VLOOKUP(H365,CHOOSE({1,2},Table12[Native],Table12[Name]),2,0)</f>
        <v>Dōngyáng Shì</v>
      </c>
      <c r="N365" s="15" t="str">
        <f>VLOOKUP(I365,CHOOSE({1,2},Table12[Native],Table12[Name]),2,0)</f>
        <v>Jīnhuá Shì</v>
      </c>
      <c r="O365" s="15" t="str">
        <f t="shared" si="10"/>
        <v>Geshan Zhen (Jīnhuá Shì)</v>
      </c>
      <c r="P365" s="15" t="str">
        <f t="shared" si="11"/>
        <v>Geshan Zhen (Jīnhuá Shì)</v>
      </c>
    </row>
    <row r="366" spans="1:16" hidden="1" x14ac:dyDescent="0.25">
      <c r="A366" t="s">
        <v>117</v>
      </c>
      <c r="B366" t="str">
        <f>IF(COUNTIF(A:A,A366)&gt;1,_xlfn.CONCAT(A366," (",N366,")"),A366)</f>
        <v>Gŏngchénqiáo Jiēdào</v>
      </c>
      <c r="C366" t="str">
        <f>IF(COUNTIF(B:B,B366)&gt;1,_xlfn.CONCAT(A366," (",M366,")"),B366)</f>
        <v>Gŏngchénqiáo Jiēdào</v>
      </c>
      <c r="D366" t="s">
        <v>118</v>
      </c>
      <c r="E366" t="s">
        <v>15</v>
      </c>
      <c r="F366" t="str">
        <f>_xlfn.CONCAT(D366,", ",H366,", ",I366,", ","浙江省")</f>
        <v>拱宸桥街道, 拱墅区, 杭州市, 浙江省</v>
      </c>
      <c r="G366">
        <v>48004</v>
      </c>
      <c r="H366" t="s">
        <v>2909</v>
      </c>
      <c r="I366" t="s">
        <v>2903</v>
      </c>
      <c r="J366">
        <f>VLOOKUP(F366,[1]!china_towns_second__2[[Column1]:[Y]],3,FALSE)</f>
        <v>30.3219448162031</v>
      </c>
      <c r="K366">
        <f>VLOOKUP(F366,[1]!china_towns_second__2[[Column1]:[Y]],2,FALSE)</f>
        <v>120.1345682</v>
      </c>
      <c r="L366" t="s">
        <v>4002</v>
      </c>
      <c r="M366" t="str">
        <f>VLOOKUP(H366,CHOOSE({1,2},Table12[Native],Table12[Name]),2,0)</f>
        <v>Gŏngshù Qū</v>
      </c>
      <c r="N366" s="15" t="str">
        <f>VLOOKUP(I366,CHOOSE({1,2},Table12[Native],Table12[Name]),2,0)</f>
        <v>Hángzhōu Shì</v>
      </c>
      <c r="O366" s="15" t="str">
        <f t="shared" si="10"/>
        <v>Gongchenqiao Jiedao (Hángzhōu Shì)</v>
      </c>
      <c r="P366" s="15" t="str">
        <f t="shared" si="11"/>
        <v>Gongchenqiao Jiedao (Hángzhōu Shì)</v>
      </c>
    </row>
    <row r="367" spans="1:16" hidden="1" x14ac:dyDescent="0.25">
      <c r="A367" t="s">
        <v>2391</v>
      </c>
      <c r="B367" t="str">
        <f>IF(COUNTIF(A:A,A367)&gt;1,_xlfn.CONCAT(A367," (",N367,")"),A367)</f>
        <v>Gōngyáng Xiāng [→ Xuékŏu Zhèn]</v>
      </c>
      <c r="C367" t="str">
        <f>IF(COUNTIF(B:B,B367)&gt;1,_xlfn.CONCAT(A367," (",M367,")"),B367)</f>
        <v>Gōngyáng Xiāng [→ Xuékŏu Zhèn]</v>
      </c>
      <c r="D367" t="s">
        <v>2392</v>
      </c>
      <c r="E367" t="s">
        <v>7</v>
      </c>
      <c r="F367" t="str">
        <f>_xlfn.CONCAT(D367,", ",H367,", ",I367,", ","浙江省")</f>
        <v>公阳乡, 文成县, 温州市, 浙江省</v>
      </c>
      <c r="G367">
        <v>2113</v>
      </c>
      <c r="H367" t="s">
        <v>3009</v>
      </c>
      <c r="I367" t="s">
        <v>3000</v>
      </c>
      <c r="J367" t="e">
        <f>VLOOKUP(F367,[1]!china_towns_second__2[[Column1]:[Y]],3,FALSE)</f>
        <v>#N/A</v>
      </c>
      <c r="K367" t="e">
        <f>VLOOKUP(F367,[1]!china_towns_second__2[[Column1]:[Y]],2,FALSE)</f>
        <v>#N/A</v>
      </c>
      <c r="L367" t="s">
        <v>4003</v>
      </c>
      <c r="M367" t="str">
        <f>VLOOKUP(H367,CHOOSE({1,2},Table12[Native],Table12[Name]),2,0)</f>
        <v>Wénchéng Xiàn</v>
      </c>
      <c r="N367" s="15" t="str">
        <f>VLOOKUP(I367,CHOOSE({1,2},Table12[Native],Table12[Name]),2,0)</f>
        <v>Wēnzhōu Shì</v>
      </c>
      <c r="O367" s="15" t="str">
        <f t="shared" si="10"/>
        <v>Gongyang Xiang [→ Xuekou Zhen] (Wēnzhōu Shì)</v>
      </c>
      <c r="P367" s="15" t="str">
        <f t="shared" si="11"/>
        <v>Gongyang Xiang [→ Xuekou Zhen] (Wēnzhōu Shì)</v>
      </c>
    </row>
    <row r="368" spans="1:16" hidden="1" x14ac:dyDescent="0.25">
      <c r="A368" t="s">
        <v>2857</v>
      </c>
      <c r="B368" t="str">
        <f>IF(COUNTIF(A:A,A368)&gt;1,_xlfn.CONCAT(A368," (",N368,")"),A368)</f>
        <v>Gŏuqĭ Xiāng</v>
      </c>
      <c r="C368" t="str">
        <f>IF(COUNTIF(B:B,B368)&gt;1,_xlfn.CONCAT(A368," (",M368,")"),B368)</f>
        <v>Gŏuqĭ Xiāng</v>
      </c>
      <c r="D368" t="s">
        <v>2858</v>
      </c>
      <c r="E368" t="s">
        <v>7</v>
      </c>
      <c r="F368" t="str">
        <f>_xlfn.CONCAT(D368,", ",H368,", ",I368,", ","浙江省")</f>
        <v>枸杞乡, 嵊泗县, 舟山市, 浙江省</v>
      </c>
      <c r="G368">
        <v>7611</v>
      </c>
      <c r="H368" t="s">
        <v>3017</v>
      </c>
      <c r="I368" t="s">
        <v>3013</v>
      </c>
      <c r="J368" t="e">
        <f>VLOOKUP(F368,[1]!china_towns_second__2[[Column1]:[Y]],3,FALSE)</f>
        <v>#N/A</v>
      </c>
      <c r="K368" t="e">
        <f>VLOOKUP(F368,[1]!china_towns_second__2[[Column1]:[Y]],2,FALSE)</f>
        <v>#N/A</v>
      </c>
      <c r="L368" t="s">
        <v>4004</v>
      </c>
      <c r="M368" t="str">
        <f>VLOOKUP(H368,CHOOSE({1,2},Table12[Native],Table12[Name]),2,0)</f>
        <v>Shèngsì Xiàn</v>
      </c>
      <c r="N368" s="15" t="str">
        <f>VLOOKUP(I368,CHOOSE({1,2},Table12[Native],Table12[Name]),2,0)</f>
        <v>Zhōushān Shì</v>
      </c>
      <c r="O368" s="15" t="str">
        <f t="shared" si="10"/>
        <v>Gouqi Xiang (Zhōushān Shì)</v>
      </c>
      <c r="P368" s="15" t="str">
        <f t="shared" si="11"/>
        <v>Gouqi Xiang (Zhōushān Shì)</v>
      </c>
    </row>
    <row r="369" spans="1:16" hidden="1" x14ac:dyDescent="0.25">
      <c r="A369" t="s">
        <v>1688</v>
      </c>
      <c r="B369" t="str">
        <f>IF(COUNTIF(A:A,A369)&gt;1,_xlfn.CONCAT(A369," (",N369,")"),A369)</f>
        <v>Gōuxī Xiāng</v>
      </c>
      <c r="C369" t="str">
        <f>IF(COUNTIF(B:B,B369)&gt;1,_xlfn.CONCAT(A369," (",M369,")"),B369)</f>
        <v>Gōuxī Xiāng</v>
      </c>
      <c r="D369" t="s">
        <v>1689</v>
      </c>
      <c r="E369" t="s">
        <v>7</v>
      </c>
      <c r="F369" t="str">
        <f>_xlfn.CONCAT(D369,", ",H369,", ",I369,", ","浙江省")</f>
        <v>沟溪乡, 柯城区, 衢州市, 浙江省</v>
      </c>
      <c r="G369">
        <v>11697</v>
      </c>
      <c r="H369" t="s">
        <v>2977</v>
      </c>
      <c r="I369" t="s">
        <v>2973</v>
      </c>
      <c r="J369" t="e">
        <f>VLOOKUP(F369,[1]!china_towns_second__2[[Column1]:[Y]],3,FALSE)</f>
        <v>#N/A</v>
      </c>
      <c r="K369" t="e">
        <f>VLOOKUP(F369,[1]!china_towns_second__2[[Column1]:[Y]],2,FALSE)</f>
        <v>#N/A</v>
      </c>
      <c r="L369" t="s">
        <v>4005</v>
      </c>
      <c r="M369" t="str">
        <f>VLOOKUP(H369,CHOOSE({1,2},Table12[Native],Table12[Name]),2,0)</f>
        <v>Kēchéng Qū</v>
      </c>
      <c r="N369" s="15" t="str">
        <f>VLOOKUP(I369,CHOOSE({1,2},Table12[Native],Table12[Name]),2,0)</f>
        <v>Qúzhōu Shì</v>
      </c>
      <c r="O369" s="15" t="str">
        <f t="shared" si="10"/>
        <v>Gouxi Xiang (Qúzhōu Shì)</v>
      </c>
      <c r="P369" s="15" t="str">
        <f t="shared" si="11"/>
        <v>Gouxi Xiang (Qúzhōu Shì)</v>
      </c>
    </row>
    <row r="370" spans="1:16" hidden="1" x14ac:dyDescent="0.25">
      <c r="A370" t="s">
        <v>119</v>
      </c>
      <c r="B370" t="str">
        <f>IF(COUNTIF(A:A,A370)&gt;1,_xlfn.CONCAT(A370," (",N370,")"),A370)</f>
        <v>Guālì Zhèn [incl. Kănshān Zhèn, Dăngshān Zhèn]</v>
      </c>
      <c r="C370" t="str">
        <f>IF(COUNTIF(B:B,B370)&gt;1,_xlfn.CONCAT(A370," (",M370,")"),B370)</f>
        <v>Guālì Zhèn [incl. Kănshān Zhèn, Dăngshān Zhèn]</v>
      </c>
      <c r="D370" t="s">
        <v>120</v>
      </c>
      <c r="E370" t="s">
        <v>11</v>
      </c>
      <c r="F370" t="str">
        <f>_xlfn.CONCAT(D370,", ",H370,", ",I370,", ","浙江省")</f>
        <v>瓜沥镇, 萧山区, 杭州市, 浙江省</v>
      </c>
      <c r="G370">
        <v>191429</v>
      </c>
      <c r="H370" t="s">
        <v>2917</v>
      </c>
      <c r="I370" t="s">
        <v>2903</v>
      </c>
      <c r="J370">
        <f>VLOOKUP(F370,[1]!china_towns_second__2[[Column1]:[Y]],3,FALSE)</f>
        <v>30.1926559222679</v>
      </c>
      <c r="K370">
        <f>VLOOKUP(F370,[1]!china_towns_second__2[[Column1]:[Y]],2,FALSE)</f>
        <v>120.462209</v>
      </c>
      <c r="L370" t="s">
        <v>4006</v>
      </c>
      <c r="M370" t="str">
        <f>VLOOKUP(H370,CHOOSE({1,2},Table12[Native],Table12[Name]),2,0)</f>
        <v>Xiāoshān Qū</v>
      </c>
      <c r="N370" s="15" t="str">
        <f>VLOOKUP(I370,CHOOSE({1,2},Table12[Native],Table12[Name]),2,0)</f>
        <v>Hángzhōu Shì</v>
      </c>
      <c r="O370" s="15" t="str">
        <f t="shared" si="10"/>
        <v>Guali Zhen [incl. Kanshan Zhen, Dangshan Zhen] (Hángzhōu Shì)</v>
      </c>
      <c r="P370" s="15" t="str">
        <f t="shared" si="11"/>
        <v>Guali Zhen [incl. Kanshan Zhen, Dangshan Zhen] (Hángzhōu Shì)</v>
      </c>
    </row>
    <row r="371" spans="1:16" hidden="1" x14ac:dyDescent="0.25">
      <c r="A371" t="s">
        <v>595</v>
      </c>
      <c r="B371" t="str">
        <f>IF(COUNTIF(A:A,A371)&gt;1,_xlfn.CONCAT(A371," (",N371,")"),A371)</f>
        <v>Guăngchén Zhèn</v>
      </c>
      <c r="C371" t="str">
        <f>IF(COUNTIF(B:B,B371)&gt;1,_xlfn.CONCAT(A371," (",M371,")"),B371)</f>
        <v>Guăngchén Zhèn</v>
      </c>
      <c r="D371" t="s">
        <v>596</v>
      </c>
      <c r="E371" t="s">
        <v>11</v>
      </c>
      <c r="F371" t="str">
        <f>_xlfn.CONCAT(D371,", ",H371,", ",I371,", ","浙江省")</f>
        <v>广陈镇, 平湖市, 嘉兴市, 浙江省</v>
      </c>
      <c r="G371">
        <v>39509</v>
      </c>
      <c r="H371" t="s">
        <v>2934</v>
      </c>
      <c r="I371" t="s">
        <v>2929</v>
      </c>
      <c r="J371">
        <f>VLOOKUP(F371,[1]!china_towns_second__2[[Column1]:[Y]],3,FALSE)</f>
        <v>30.751835959852102</v>
      </c>
      <c r="K371">
        <f>VLOOKUP(F371,[1]!china_towns_second__2[[Column1]:[Y]],2,FALSE)</f>
        <v>121.11416819999999</v>
      </c>
      <c r="L371" t="s">
        <v>4007</v>
      </c>
      <c r="M371" t="str">
        <f>VLOOKUP(H371,CHOOSE({1,2},Table12[Native],Table12[Name]),2,0)</f>
        <v>Pínghú Shì</v>
      </c>
      <c r="N371" s="15" t="str">
        <f>VLOOKUP(I371,CHOOSE({1,2},Table12[Native],Table12[Name]),2,0)</f>
        <v>Jiāxīng Shì</v>
      </c>
      <c r="O371" s="15" t="str">
        <f t="shared" si="10"/>
        <v>Guangchen Zhen (Jiāxīng Shì)</v>
      </c>
      <c r="P371" s="15" t="str">
        <f t="shared" si="11"/>
        <v>Guangchen Zhen (Jiāxīng Shì)</v>
      </c>
    </row>
    <row r="372" spans="1:16" hidden="1" x14ac:dyDescent="0.25">
      <c r="A372" t="s">
        <v>2098</v>
      </c>
      <c r="B372" t="str">
        <f>IF(COUNTIF(A:A,A372)&gt;1,_xlfn.CONCAT(A372," (",N372,")"),A372)</f>
        <v>Guăngdù Xiāng</v>
      </c>
      <c r="C372" t="str">
        <f>IF(COUNTIF(B:B,B372)&gt;1,_xlfn.CONCAT(A372," (",M372,")"),B372)</f>
        <v>Guăngdù Xiāng</v>
      </c>
      <c r="D372" t="s">
        <v>2099</v>
      </c>
      <c r="E372" t="s">
        <v>7</v>
      </c>
      <c r="F372" t="str">
        <f>_xlfn.CONCAT(D372,", ",H372,", ",I372,", ","浙江省")</f>
        <v>广度乡, 仙居县, 台州市, 浙江省</v>
      </c>
      <c r="G372">
        <v>3459</v>
      </c>
      <c r="H372" t="s">
        <v>2997</v>
      </c>
      <c r="I372" t="s">
        <v>2989</v>
      </c>
      <c r="J372" t="e">
        <f>VLOOKUP(F372,[1]!china_towns_second__2[[Column1]:[Y]],3,FALSE)</f>
        <v>#N/A</v>
      </c>
      <c r="K372" t="e">
        <f>VLOOKUP(F372,[1]!china_towns_second__2[[Column1]:[Y]],2,FALSE)</f>
        <v>#N/A</v>
      </c>
      <c r="L372" t="s">
        <v>4008</v>
      </c>
      <c r="M372" t="str">
        <f>VLOOKUP(H372,CHOOSE({1,2},Table12[Native],Table12[Name]),2,0)</f>
        <v>Xiānjū Xiàn</v>
      </c>
      <c r="N372" s="15" t="str">
        <f>VLOOKUP(I372,CHOOSE({1,2},Table12[Native],Table12[Name]),2,0)</f>
        <v>Táizhōu Shì</v>
      </c>
      <c r="O372" s="15" t="str">
        <f t="shared" si="10"/>
        <v>Guangdu Xiang (Táizhōu Shì)</v>
      </c>
      <c r="P372" s="15" t="str">
        <f t="shared" si="11"/>
        <v>Guangdu Xiang (Táizhōu Shì)</v>
      </c>
    </row>
    <row r="373" spans="1:16" hidden="1" x14ac:dyDescent="0.25">
      <c r="A373" t="s">
        <v>2393</v>
      </c>
      <c r="B373" t="str">
        <f>IF(COUNTIF(A:A,A373)&gt;1,_xlfn.CONCAT(A373," (",N373,")"),A373)</f>
        <v>Guănghuà Jiēdào [→ Sōngtái Jiēdào]</v>
      </c>
      <c r="C373" t="str">
        <f>IF(COUNTIF(B:B,B373)&gt;1,_xlfn.CONCAT(A373," (",M373,")"),B373)</f>
        <v>Guănghuà Jiēdào [→ Sōngtái Jiēdào]</v>
      </c>
      <c r="D373" t="s">
        <v>2394</v>
      </c>
      <c r="E373" t="s">
        <v>15</v>
      </c>
      <c r="F373" t="str">
        <f>_xlfn.CONCAT(D373,", ",H373,", ",I373,", ","浙江省")</f>
        <v>广化街道, 鹿城区, 温州市, 浙江省</v>
      </c>
      <c r="G373">
        <v>63863</v>
      </c>
      <c r="H373" t="s">
        <v>3004</v>
      </c>
      <c r="I373" t="s">
        <v>3000</v>
      </c>
      <c r="J373" t="e">
        <f>VLOOKUP(F373,[1]!china_towns_second__2[[Column1]:[Y]],3,FALSE)</f>
        <v>#N/A</v>
      </c>
      <c r="K373" t="e">
        <f>VLOOKUP(F373,[1]!china_towns_second__2[[Column1]:[Y]],2,FALSE)</f>
        <v>#N/A</v>
      </c>
      <c r="L373" t="s">
        <v>4009</v>
      </c>
      <c r="M373" t="str">
        <f>VLOOKUP(H373,CHOOSE({1,2},Table12[Native],Table12[Name]),2,0)</f>
        <v>Lùchéng Qū</v>
      </c>
      <c r="N373" s="15" t="str">
        <f>VLOOKUP(I373,CHOOSE({1,2},Table12[Native],Table12[Name]),2,0)</f>
        <v>Wēnzhōu Shì</v>
      </c>
      <c r="O373" s="15" t="str">
        <f t="shared" si="10"/>
        <v>Guanghua Jiedao [→ Songtai Jiedao] (Wēnzhōu Shì)</v>
      </c>
      <c r="P373" s="15" t="str">
        <f t="shared" si="11"/>
        <v>Guanghua Jiedao [→ Songtai Jiedao] (Wēnzhōu Shì)</v>
      </c>
    </row>
    <row r="374" spans="1:16" hidden="1" x14ac:dyDescent="0.25">
      <c r="A374" t="s">
        <v>1427</v>
      </c>
      <c r="B374" t="str">
        <f>IF(COUNTIF(A:A,A374)&gt;1,_xlfn.CONCAT(A374," (",N374,")"),A374)</f>
        <v>Guānhăiwèi Zhèn</v>
      </c>
      <c r="C374" t="str">
        <f>IF(COUNTIF(B:B,B374)&gt;1,_xlfn.CONCAT(A374," (",M374,")"),B374)</f>
        <v>Guānhăiwèi Zhèn</v>
      </c>
      <c r="D374" t="s">
        <v>1428</v>
      </c>
      <c r="E374" t="s">
        <v>11</v>
      </c>
      <c r="F374" t="str">
        <f>_xlfn.CONCAT(D374,", ",H374,", ",I374,", ","浙江省")</f>
        <v>观海卫镇, 慈溪市, 宁波市, 浙江省</v>
      </c>
      <c r="G374">
        <v>152249</v>
      </c>
      <c r="H374" t="s">
        <v>2963</v>
      </c>
      <c r="I374" t="s">
        <v>2961</v>
      </c>
      <c r="J374">
        <f>VLOOKUP(F374,[1]!china_towns_second__2[[Column1]:[Y]],3,FALSE)</f>
        <v>30.170035461954502</v>
      </c>
      <c r="K374">
        <f>VLOOKUP(F374,[1]!china_towns_second__2[[Column1]:[Y]],2,FALSE)</f>
        <v>121.4359721</v>
      </c>
      <c r="L374" t="s">
        <v>4010</v>
      </c>
      <c r="M374" t="str">
        <f>VLOOKUP(H374,CHOOSE({1,2},Table12[Native],Table12[Name]),2,0)</f>
        <v>Cíxī Shì</v>
      </c>
      <c r="N374" s="15" t="str">
        <f>VLOOKUP(I374,CHOOSE({1,2},Table12[Native],Table12[Name]),2,0)</f>
        <v>Níngbō Shì</v>
      </c>
      <c r="O374" s="15" t="str">
        <f t="shared" si="10"/>
        <v>Guanhaiwei Zhen (Níngbō Shì)</v>
      </c>
      <c r="P374" s="15" t="str">
        <f t="shared" si="11"/>
        <v>Guanhaiwei Zhen (Níngbō Shì)</v>
      </c>
    </row>
    <row r="375" spans="1:16" hidden="1" x14ac:dyDescent="0.25">
      <c r="A375" t="s">
        <v>2100</v>
      </c>
      <c r="B375" t="str">
        <f>IF(COUNTIF(A:A,A375)&gt;1,_xlfn.CONCAT(A375," (",N375,")"),A375)</f>
        <v>Guānlù Zhèn</v>
      </c>
      <c r="C375" t="str">
        <f>IF(COUNTIF(B:B,B375)&gt;1,_xlfn.CONCAT(A375," (",M375,")"),B375)</f>
        <v>Guānlù Zhèn</v>
      </c>
      <c r="D375" t="s">
        <v>2101</v>
      </c>
      <c r="E375" t="s">
        <v>11</v>
      </c>
      <c r="F375" t="str">
        <f>_xlfn.CONCAT(D375,", ",H375,", ",I375,", ","浙江省")</f>
        <v>官路镇, 仙居县, 台州市, 浙江省</v>
      </c>
      <c r="G375">
        <v>15986</v>
      </c>
      <c r="H375" t="s">
        <v>2997</v>
      </c>
      <c r="I375" t="s">
        <v>2989</v>
      </c>
      <c r="J375">
        <f>VLOOKUP(F375,[1]!china_towns_second__2[[Column1]:[Y]],3,FALSE)</f>
        <v>28.8508156476226</v>
      </c>
      <c r="K375">
        <f>VLOOKUP(F375,[1]!china_towns_second__2[[Column1]:[Y]],2,FALSE)</f>
        <v>120.6370048</v>
      </c>
      <c r="L375" t="s">
        <v>4011</v>
      </c>
      <c r="M375" t="str">
        <f>VLOOKUP(H375,CHOOSE({1,2},Table12[Native],Table12[Name]),2,0)</f>
        <v>Xiānjū Xiàn</v>
      </c>
      <c r="N375" s="15" t="str">
        <f>VLOOKUP(I375,CHOOSE({1,2},Table12[Native],Table12[Name]),2,0)</f>
        <v>Táizhōu Shì</v>
      </c>
      <c r="O375" s="15" t="str">
        <f t="shared" si="10"/>
        <v>Guanlu Zhen (Táizhōu Shì)</v>
      </c>
      <c r="P375" s="15" t="str">
        <f t="shared" si="11"/>
        <v>Guanlu Zhen (Táizhōu Shì)</v>
      </c>
    </row>
    <row r="376" spans="1:16" hidden="1" x14ac:dyDescent="0.25">
      <c r="A376" t="s">
        <v>2395</v>
      </c>
      <c r="B376" t="str">
        <f>IF(COUNTIF(A:A,A376)&gt;1,_xlfn.CONCAT(A376," (",N376,")"),A376)</f>
        <v>Guānmĕi Zhèn</v>
      </c>
      <c r="C376" t="str">
        <f>IF(COUNTIF(B:B,B376)&gt;1,_xlfn.CONCAT(A376," (",M376,")"),B376)</f>
        <v>Guānmĕi Zhèn</v>
      </c>
      <c r="D376" t="s">
        <v>2396</v>
      </c>
      <c r="E376" t="s">
        <v>11</v>
      </c>
      <c r="F376" t="str">
        <f>_xlfn.CONCAT(D376,", ",H376,", ",I376,", ","浙江省")</f>
        <v>观美镇, 苍南县, 温州市, 浙江省</v>
      </c>
      <c r="G376">
        <v>20738</v>
      </c>
      <c r="H376" t="s">
        <v>3001</v>
      </c>
      <c r="I376" t="s">
        <v>3000</v>
      </c>
      <c r="J376">
        <f>VLOOKUP(F376,[1]!china_towns_second__2[[Column1]:[Y]],3,FALSE)</f>
        <v>27.465389299999998</v>
      </c>
      <c r="K376">
        <f>VLOOKUP(F376,[1]!china_towns_second__2[[Column1]:[Y]],2,FALSE)</f>
        <v>120.3603423</v>
      </c>
      <c r="L376" t="s">
        <v>4012</v>
      </c>
      <c r="M376" t="str">
        <f>VLOOKUP(H376,CHOOSE({1,2},Table12[Native],Table12[Name]),2,0)</f>
        <v>Cāngnán Xiàn</v>
      </c>
      <c r="N376" s="15" t="str">
        <f>VLOOKUP(I376,CHOOSE({1,2},Table12[Native],Table12[Name]),2,0)</f>
        <v>Wēnzhōu Shì</v>
      </c>
      <c r="O376" s="15" t="str">
        <f t="shared" si="10"/>
        <v>Guanmei Zhen (Wēnzhōu Shì)</v>
      </c>
      <c r="P376" s="15" t="str">
        <f t="shared" si="11"/>
        <v>Guanmei Zhen (Wēnzhōu Shì)</v>
      </c>
    </row>
    <row r="377" spans="1:16" hidden="1" x14ac:dyDescent="0.25">
      <c r="A377" t="s">
        <v>1090</v>
      </c>
      <c r="B377" t="str">
        <f>IF(COUNTIF(A:A,A377)&gt;1,_xlfn.CONCAT(A377," (",N377,")"),A377)</f>
        <v>Guāntáng Xiāng</v>
      </c>
      <c r="C377" t="str">
        <f>IF(COUNTIF(B:B,B377)&gt;1,_xlfn.CONCAT(A377," (",M377,")"),B377)</f>
        <v>Guāntáng Xiāng</v>
      </c>
      <c r="D377" t="s">
        <v>1091</v>
      </c>
      <c r="E377" t="s">
        <v>7</v>
      </c>
      <c r="F377" t="str">
        <f>_xlfn.CONCAT(D377,", ",H377,", ",I377,", ","浙江省")</f>
        <v>官塘乡, 庆元县, 丽水市, 浙江省</v>
      </c>
      <c r="G377">
        <v>1039</v>
      </c>
      <c r="H377" t="s">
        <v>2956</v>
      </c>
      <c r="I377" t="s">
        <v>2949</v>
      </c>
      <c r="J377" t="e">
        <f>VLOOKUP(F377,[1]!china_towns_second__2[[Column1]:[Y]],3,FALSE)</f>
        <v>#N/A</v>
      </c>
      <c r="K377" t="e">
        <f>VLOOKUP(F377,[1]!china_towns_second__2[[Column1]:[Y]],2,FALSE)</f>
        <v>#N/A</v>
      </c>
      <c r="L377" t="s">
        <v>4013</v>
      </c>
      <c r="M377" t="str">
        <f>VLOOKUP(H377,CHOOSE({1,2},Table12[Native],Table12[Name]),2,0)</f>
        <v>Qìngyuán Xiàn</v>
      </c>
      <c r="N377" s="15" t="str">
        <f>VLOOKUP(I377,CHOOSE({1,2},Table12[Native],Table12[Name]),2,0)</f>
        <v>Lìshuĭ Shì</v>
      </c>
      <c r="O377" s="15" t="str">
        <f t="shared" si="10"/>
        <v>Guantang Xiang (Lìshuĭ Shì)</v>
      </c>
      <c r="P377" s="15" t="str">
        <f t="shared" si="11"/>
        <v>Guantang Xiang (Lìshuĭ Shì)</v>
      </c>
    </row>
    <row r="378" spans="1:16" hidden="1" x14ac:dyDescent="0.25">
      <c r="A378" t="s">
        <v>2102</v>
      </c>
      <c r="B378" t="str">
        <f>IF(COUNTIF(A:A,A378)&gt;1,_xlfn.CONCAT(A378," (",N378,")"),A378)</f>
        <v>Gŭchéng Jiēdào</v>
      </c>
      <c r="C378" t="str">
        <f>IF(COUNTIF(B:B,B378)&gt;1,_xlfn.CONCAT(A378," (",M378,")"),B378)</f>
        <v>Gŭchéng Jiēdào</v>
      </c>
      <c r="D378" t="s">
        <v>2103</v>
      </c>
      <c r="E378" t="s">
        <v>15</v>
      </c>
      <c r="F378" t="str">
        <f>_xlfn.CONCAT(D378,", ",H378,", ",I378,", ","浙江省")</f>
        <v>古城街道, 临海市, 台州市, 浙江省</v>
      </c>
      <c r="G378">
        <v>164758</v>
      </c>
      <c r="H378" t="s">
        <v>2992</v>
      </c>
      <c r="I378" t="s">
        <v>2989</v>
      </c>
      <c r="J378">
        <f>VLOOKUP(F378,[1]!china_towns_second__2[[Column1]:[Y]],3,FALSE)</f>
        <v>28.858723278444799</v>
      </c>
      <c r="K378">
        <f>VLOOKUP(F378,[1]!china_towns_second__2[[Column1]:[Y]],2,FALSE)</f>
        <v>121.10250980000001</v>
      </c>
      <c r="L378" t="s">
        <v>4014</v>
      </c>
      <c r="M378" t="str">
        <f>VLOOKUP(H378,CHOOSE({1,2},Table12[Native],Table12[Name]),2,0)</f>
        <v>Línhăi Shì</v>
      </c>
      <c r="N378" s="15" t="str">
        <f>VLOOKUP(I378,CHOOSE({1,2},Table12[Native],Table12[Name]),2,0)</f>
        <v>Táizhōu Shì</v>
      </c>
      <c r="O378" s="15" t="str">
        <f t="shared" si="10"/>
        <v>Gucheng Jiedao (Táizhōu Shì)</v>
      </c>
      <c r="P378" s="15" t="str">
        <f t="shared" si="11"/>
        <v>Gucheng Jiedao (Táizhōu Shì)</v>
      </c>
    </row>
    <row r="379" spans="1:16" hidden="1" x14ac:dyDescent="0.25">
      <c r="A379" t="s">
        <v>121</v>
      </c>
      <c r="B379" t="str">
        <f>IF(COUNTIF(A:A,A379)&gt;1,_xlfn.CONCAT(A379," (",N379,")"),A379)</f>
        <v>Gŭdàng Jiēdào</v>
      </c>
      <c r="C379" t="str">
        <f>IF(COUNTIF(B:B,B379)&gt;1,_xlfn.CONCAT(A379," (",M379,")"),B379)</f>
        <v>Gŭdàng Jiēdào</v>
      </c>
      <c r="D379" t="s">
        <v>122</v>
      </c>
      <c r="E379" t="s">
        <v>15</v>
      </c>
      <c r="F379" t="str">
        <f>_xlfn.CONCAT(D379,", ",H379,", ",I379,", ","浙江省")</f>
        <v>古荡街道, 西湖区, 杭州市, 浙江省</v>
      </c>
      <c r="G379">
        <v>67349</v>
      </c>
      <c r="H379" t="s">
        <v>2918</v>
      </c>
      <c r="I379" t="s">
        <v>2903</v>
      </c>
      <c r="J379">
        <f>VLOOKUP(F379,[1]!china_towns_second__2[[Column1]:[Y]],3,FALSE)</f>
        <v>30.277952647172601</v>
      </c>
      <c r="K379">
        <f>VLOOKUP(F379,[1]!china_towns_second__2[[Column1]:[Y]],2,FALSE)</f>
        <v>120.1056686</v>
      </c>
      <c r="L379" t="s">
        <v>4015</v>
      </c>
      <c r="M379" t="str">
        <f>VLOOKUP(H379,CHOOSE({1,2},Table12[Native],Table12[Name]),2,0)</f>
        <v>Xīhú Qū</v>
      </c>
      <c r="N379" s="15" t="str">
        <f>VLOOKUP(I379,CHOOSE({1,2},Table12[Native],Table12[Name]),2,0)</f>
        <v>Hángzhōu Shì</v>
      </c>
      <c r="O379" s="15" t="str">
        <f t="shared" si="10"/>
        <v>Gudang Jiedao (Hángzhōu Shì)</v>
      </c>
      <c r="P379" s="15" t="str">
        <f t="shared" si="11"/>
        <v>Gudang Jiedao (Hángzhōu Shì)</v>
      </c>
    </row>
    <row r="380" spans="1:16" hidden="1" x14ac:dyDescent="0.25">
      <c r="A380" t="s">
        <v>1092</v>
      </c>
      <c r="B380" t="str">
        <f>IF(COUNTIF(A:A,A380)&gt;1,_xlfn.CONCAT(A380," (",N380,")"),A380)</f>
        <v>Guì'ào Xiāng</v>
      </c>
      <c r="C380" t="str">
        <f>IF(COUNTIF(B:B,B380)&gt;1,_xlfn.CONCAT(A380," (",M380,")"),B380)</f>
        <v>Guì'ào Xiāng</v>
      </c>
      <c r="D380" t="s">
        <v>1093</v>
      </c>
      <c r="E380" t="s">
        <v>7</v>
      </c>
      <c r="F380" t="str">
        <f>_xlfn.CONCAT(D380,", ",H380,", ",I380,", ","浙江省")</f>
        <v>贵岙乡, 青田县, 丽水市, 浙江省</v>
      </c>
      <c r="G380">
        <v>1613</v>
      </c>
      <c r="H380" t="s">
        <v>2955</v>
      </c>
      <c r="I380" t="s">
        <v>2949</v>
      </c>
      <c r="J380" t="e">
        <f>VLOOKUP(F380,[1]!china_towns_second__2[[Column1]:[Y]],3,FALSE)</f>
        <v>#N/A</v>
      </c>
      <c r="K380" t="e">
        <f>VLOOKUP(F380,[1]!china_towns_second__2[[Column1]:[Y]],2,FALSE)</f>
        <v>#N/A</v>
      </c>
      <c r="L380" t="s">
        <v>4016</v>
      </c>
      <c r="M380" t="str">
        <f>VLOOKUP(H380,CHOOSE({1,2},Table12[Native],Table12[Name]),2,0)</f>
        <v>Qīngtián Xiàn</v>
      </c>
      <c r="N380" s="15" t="str">
        <f>VLOOKUP(I380,CHOOSE({1,2},Table12[Native],Table12[Name]),2,0)</f>
        <v>Lìshuĭ Shì</v>
      </c>
      <c r="O380" s="15" t="str">
        <f t="shared" si="10"/>
        <v>Gui'ao Xiang (Lìshuĭ Shì)</v>
      </c>
      <c r="P380" s="15" t="str">
        <f t="shared" si="11"/>
        <v>Gui'ao Xiang (Lìshuĭ Shì)</v>
      </c>
    </row>
    <row r="381" spans="1:16" hidden="1" x14ac:dyDescent="0.25">
      <c r="A381" t="s">
        <v>2397</v>
      </c>
      <c r="B381" t="str">
        <f>IF(COUNTIF(A:A,A381)&gt;1,_xlfn.CONCAT(A381," (",N381,")"),A381)</f>
        <v>Guìfēng Xiāng</v>
      </c>
      <c r="C381" t="str">
        <f>IF(COUNTIF(B:B,B381)&gt;1,_xlfn.CONCAT(A381," (",M381,")"),B381)</f>
        <v>Guìfēng Xiāng</v>
      </c>
      <c r="D381" t="s">
        <v>2398</v>
      </c>
      <c r="E381" t="s">
        <v>7</v>
      </c>
      <c r="F381" t="str">
        <f>_xlfn.CONCAT(D381,", ",H381,", ",I381,", ","浙江省")</f>
        <v>桂峰乡, 瑞安市, 温州市, 浙江省</v>
      </c>
      <c r="G381">
        <v>1164</v>
      </c>
      <c r="H381" t="s">
        <v>3007</v>
      </c>
      <c r="I381" t="s">
        <v>3000</v>
      </c>
      <c r="J381" t="e">
        <f>VLOOKUP(F381,[1]!china_towns_second__2[[Column1]:[Y]],3,FALSE)</f>
        <v>#N/A</v>
      </c>
      <c r="K381" t="e">
        <f>VLOOKUP(F381,[1]!china_towns_second__2[[Column1]:[Y]],2,FALSE)</f>
        <v>#N/A</v>
      </c>
      <c r="L381" t="s">
        <v>4017</v>
      </c>
      <c r="M381" t="str">
        <f>VLOOKUP(H381,CHOOSE({1,2},Table12[Native],Table12[Name]),2,0)</f>
        <v>Ruì'ān Shì</v>
      </c>
      <c r="N381" s="15" t="str">
        <f>VLOOKUP(I381,CHOOSE({1,2},Table12[Native],Table12[Name]),2,0)</f>
        <v>Wēnzhōu Shì</v>
      </c>
      <c r="O381" s="15" t="str">
        <f t="shared" si="10"/>
        <v>Guifeng Xiang (Wēnzhōu Shì)</v>
      </c>
      <c r="P381" s="15" t="str">
        <f t="shared" si="11"/>
        <v>Guifeng Xiang (Wēnzhōu Shì)</v>
      </c>
    </row>
    <row r="382" spans="1:16" hidden="1" x14ac:dyDescent="0.25">
      <c r="A382" t="s">
        <v>2399</v>
      </c>
      <c r="B382" t="str">
        <f>IF(COUNTIF(A:A,A382)&gt;1,_xlfn.CONCAT(A382," (",N382,")"),A382)</f>
        <v>Guīhú Zhèn [→ Shìyáng Zhèn]</v>
      </c>
      <c r="C382" t="str">
        <f>IF(COUNTIF(B:B,B382)&gt;1,_xlfn.CONCAT(A382," (",M382,")"),B382)</f>
        <v>Guīhú Zhèn [→ Shìyáng Zhèn]</v>
      </c>
      <c r="D382" t="s">
        <v>2400</v>
      </c>
      <c r="E382" t="s">
        <v>11</v>
      </c>
      <c r="F382" t="str">
        <f>_xlfn.CONCAT(D382,", ",H382,", ",I382,", ","浙江省")</f>
        <v>龟湖镇, 泰顺县, 温州市, 浙江省</v>
      </c>
      <c r="G382">
        <v>5568</v>
      </c>
      <c r="H382" t="s">
        <v>3008</v>
      </c>
      <c r="I382" t="s">
        <v>3000</v>
      </c>
      <c r="J382">
        <f>VLOOKUP(F382,[1]!china_towns_second__2[[Column1]:[Y]],3,FALSE)</f>
        <v>27.3202</v>
      </c>
      <c r="K382">
        <f>VLOOKUP(F382,[1]!china_towns_second__2[[Column1]:[Y]],2,FALSE)</f>
        <v>119.809</v>
      </c>
      <c r="L382" t="s">
        <v>4018</v>
      </c>
      <c r="M382" t="str">
        <f>VLOOKUP(H382,CHOOSE({1,2},Table12[Native],Table12[Name]),2,0)</f>
        <v>Tàishùn Xiàn</v>
      </c>
      <c r="N382" s="15" t="str">
        <f>VLOOKUP(I382,CHOOSE({1,2},Table12[Native],Table12[Name]),2,0)</f>
        <v>Wēnzhōu Shì</v>
      </c>
      <c r="O382" s="15" t="str">
        <f t="shared" si="10"/>
        <v>Guihu Zhen [→ Shiyang Zhen] (Wēnzhōu Shì)</v>
      </c>
      <c r="P382" s="15" t="str">
        <f t="shared" si="11"/>
        <v>Guihu Zhen [→ Shiyang Zhen] (Wēnzhōu Shì)</v>
      </c>
    </row>
    <row r="383" spans="1:16" hidden="1" x14ac:dyDescent="0.25">
      <c r="A383" t="s">
        <v>1898</v>
      </c>
      <c r="B383" t="str">
        <f>IF(COUNTIF(A:A,A383)&gt;1,_xlfn.CONCAT(A383," (",N383,")"),A383)</f>
        <v>Guìmén Xiāng [incl. Lĭnán Xiāng]</v>
      </c>
      <c r="C383" t="str">
        <f>IF(COUNTIF(B:B,B383)&gt;1,_xlfn.CONCAT(A383," (",M383,")"),B383)</f>
        <v>Guìmén Xiāng [incl. Lĭnán Xiāng]</v>
      </c>
      <c r="D383" t="s">
        <v>1899</v>
      </c>
      <c r="E383" t="s">
        <v>7</v>
      </c>
      <c r="F383" t="str">
        <f>_xlfn.CONCAT(D383,", ",H383,", ",I383,", ","浙江省")</f>
        <v>贵门乡, 嵊州市, 绍兴市, 浙江省</v>
      </c>
      <c r="G383">
        <v>16260</v>
      </c>
      <c r="H383" t="s">
        <v>2984</v>
      </c>
      <c r="I383" t="s">
        <v>2981</v>
      </c>
      <c r="J383" t="e">
        <f>VLOOKUP(F383,[1]!china_towns_second__2[[Column1]:[Y]],3,FALSE)</f>
        <v>#N/A</v>
      </c>
      <c r="K383" t="e">
        <f>VLOOKUP(F383,[1]!china_towns_second__2[[Column1]:[Y]],2,FALSE)</f>
        <v>#N/A</v>
      </c>
      <c r="L383" t="s">
        <v>4019</v>
      </c>
      <c r="M383" t="str">
        <f>VLOOKUP(H383,CHOOSE({1,2},Table12[Native],Table12[Name]),2,0)</f>
        <v>Shèngzhōu Shì</v>
      </c>
      <c r="N383" s="15" t="str">
        <f>VLOOKUP(I383,CHOOSE({1,2},Table12[Native],Table12[Name]),2,0)</f>
        <v>Shàoxīng Shì</v>
      </c>
      <c r="O383" s="15" t="str">
        <f t="shared" si="10"/>
        <v>Guimen Xiang [incl. Linan Xiang] (Shàoxīng Shì)</v>
      </c>
      <c r="P383" s="15" t="str">
        <f t="shared" si="11"/>
        <v>Guimen Xiang [incl. Linan Xiang] (Shàoxīng Shì)</v>
      </c>
    </row>
    <row r="384" spans="1:16" hidden="1" x14ac:dyDescent="0.25">
      <c r="A384" t="s">
        <v>2401</v>
      </c>
      <c r="B384" t="str">
        <f>IF(COUNTIF(A:A,A384)&gt;1,_xlfn.CONCAT(A384," (",N384,")"),A384)</f>
        <v>Guìshān Xiāng [→ Shānxī Zhèn]</v>
      </c>
      <c r="C384" t="str">
        <f>IF(COUNTIF(B:B,B384)&gt;1,_xlfn.CONCAT(A384," (",M384,")"),B384)</f>
        <v>Guìshān Xiāng [→ Shānxī Zhèn]</v>
      </c>
      <c r="D384" t="s">
        <v>2402</v>
      </c>
      <c r="E384" t="s">
        <v>7</v>
      </c>
      <c r="F384" t="str">
        <f>_xlfn.CONCAT(D384,", ",H384,", ",I384,", ","浙江省")</f>
        <v>桂山乡, 文成县, 温州市, 浙江省</v>
      </c>
      <c r="G384">
        <v>2249</v>
      </c>
      <c r="H384" t="s">
        <v>3009</v>
      </c>
      <c r="I384" t="s">
        <v>3000</v>
      </c>
      <c r="J384" t="e">
        <f>VLOOKUP(F384,[1]!china_towns_second__2[[Column1]:[Y]],3,FALSE)</f>
        <v>#N/A</v>
      </c>
      <c r="K384" t="e">
        <f>VLOOKUP(F384,[1]!china_towns_second__2[[Column1]:[Y]],2,FALSE)</f>
        <v>#N/A</v>
      </c>
      <c r="L384" t="s">
        <v>4020</v>
      </c>
      <c r="M384" t="str">
        <f>VLOOKUP(H384,CHOOSE({1,2},Table12[Native],Table12[Name]),2,0)</f>
        <v>Wénchéng Xiàn</v>
      </c>
      <c r="N384" s="15" t="str">
        <f>VLOOKUP(I384,CHOOSE({1,2},Table12[Native],Table12[Name]),2,0)</f>
        <v>Wēnzhōu Shì</v>
      </c>
      <c r="O384" s="15" t="str">
        <f t="shared" si="10"/>
        <v>Guishan Xiang [→ Shanxi Zhen] (Wēnzhōu Shì)</v>
      </c>
      <c r="P384" s="15" t="str">
        <f t="shared" si="11"/>
        <v>Guishan Xiang [→ Shanxi Zhen] (Wēnzhōu Shì)</v>
      </c>
    </row>
    <row r="385" spans="1:16" hidden="1" x14ac:dyDescent="0.25">
      <c r="A385" t="s">
        <v>1900</v>
      </c>
      <c r="B385" t="str">
        <f>IF(COUNTIF(A:A,A385)&gt;1,_xlfn.CONCAT(A385," (",N385,")"),A385)</f>
        <v>Gŭlái Zhèn [incl. Zhúxī Xiāng, Wángyuàn Xiāng]</v>
      </c>
      <c r="C385" t="str">
        <f>IF(COUNTIF(B:B,B385)&gt;1,_xlfn.CONCAT(A385," (",M385,")"),B385)</f>
        <v>Gŭlái Zhèn [incl. Zhúxī Xiāng, Wángyuàn Xiāng]</v>
      </c>
      <c r="D385" t="s">
        <v>1901</v>
      </c>
      <c r="E385" t="s">
        <v>11</v>
      </c>
      <c r="F385" t="str">
        <f>_xlfn.CONCAT(D385,", ",H385,", ",I385,", ","浙江省")</f>
        <v>谷来镇, 嵊州市, 绍兴市, 浙江省</v>
      </c>
      <c r="G385">
        <v>25180</v>
      </c>
      <c r="H385" t="s">
        <v>2984</v>
      </c>
      <c r="I385" t="s">
        <v>2981</v>
      </c>
      <c r="J385">
        <f>VLOOKUP(F385,[1]!china_towns_second__2[[Column1]:[Y]],3,FALSE)</f>
        <v>29.696780748916701</v>
      </c>
      <c r="K385">
        <f>VLOOKUP(F385,[1]!china_towns_second__2[[Column1]:[Y]],2,FALSE)</f>
        <v>120.6158385</v>
      </c>
      <c r="L385" t="s">
        <v>4021</v>
      </c>
      <c r="M385" t="str">
        <f>VLOOKUP(H385,CHOOSE({1,2},Table12[Native],Table12[Name]),2,0)</f>
        <v>Shèngzhōu Shì</v>
      </c>
      <c r="N385" s="15" t="str">
        <f>VLOOKUP(I385,CHOOSE({1,2},Table12[Native],Table12[Name]),2,0)</f>
        <v>Shàoxīng Shì</v>
      </c>
      <c r="O385" s="15" t="str">
        <f t="shared" si="10"/>
        <v>Gulai Zhen [incl. Zhuxi Xiang, Wangyuan Xiang] (Shàoxīng Shì)</v>
      </c>
      <c r="P385" s="15" t="str">
        <f t="shared" si="11"/>
        <v>Gulai Zhen [incl. Zhuxi Xiang, Wangyuan Xiang] (Shàoxīng Shì)</v>
      </c>
    </row>
    <row r="386" spans="1:16" hidden="1" x14ac:dyDescent="0.25">
      <c r="A386" t="s">
        <v>1429</v>
      </c>
      <c r="B386" t="str">
        <f>IF(COUNTIF(A:A,A386)&gt;1,_xlfn.CONCAT(A386," (",N386,")"),A386)</f>
        <v>Gŭlín Zhèn</v>
      </c>
      <c r="C386" t="str">
        <f>IF(COUNTIF(B:B,B386)&gt;1,_xlfn.CONCAT(A386," (",M386,")"),B386)</f>
        <v>Gŭlín Zhèn</v>
      </c>
      <c r="D386" t="s">
        <v>1430</v>
      </c>
      <c r="E386" t="s">
        <v>11</v>
      </c>
      <c r="F386" t="str">
        <f>_xlfn.CONCAT(D386,", ",H386,", ",I386,", ","浙江省")</f>
        <v>古林镇, 海曙区, 宁波市, 浙江省</v>
      </c>
      <c r="G386">
        <v>108601</v>
      </c>
      <c r="H386" t="s">
        <v>2965</v>
      </c>
      <c r="I386" t="s">
        <v>2961</v>
      </c>
      <c r="J386">
        <f>VLOOKUP(F386,[1]!china_towns_second__2[[Column1]:[Y]],3,FALSE)</f>
        <v>29.8321746699533</v>
      </c>
      <c r="K386">
        <f>VLOOKUP(F386,[1]!china_towns_second__2[[Column1]:[Y]],2,FALSE)</f>
        <v>121.4415924</v>
      </c>
      <c r="L386" t="s">
        <v>4022</v>
      </c>
      <c r="M386" t="str">
        <f>VLOOKUP(H386,CHOOSE({1,2},Table12[Native],Table12[Name]),2,0)</f>
        <v>Hăishŭ Qū</v>
      </c>
      <c r="N386" s="15" t="str">
        <f>VLOOKUP(I386,CHOOSE({1,2},Table12[Native],Table12[Name]),2,0)</f>
        <v>Níngbō Shì</v>
      </c>
      <c r="O386" s="15" t="str">
        <f t="shared" ref="O386:O449" si="12">_xlfn.CONCAT(L386," (",N386,")")</f>
        <v>Gulin Zhen (Níngbō Shì)</v>
      </c>
      <c r="P386" s="15" t="str">
        <f t="shared" ref="P386:P449" si="13">IF(COUNTIF(O:O,O386)&gt;1,_xlfn.CONCAT(L386," (",M386,")"),O386)</f>
        <v>Gulin Zhen (Níngbō Shì)</v>
      </c>
    </row>
    <row r="387" spans="1:16" hidden="1" x14ac:dyDescent="0.25">
      <c r="A387" t="s">
        <v>1431</v>
      </c>
      <c r="B387" t="str">
        <f>IF(COUNTIF(A:A,A387)&gt;1,_xlfn.CONCAT(A387," (",N387,")"),A387)</f>
        <v>Gŭlóu Jiēdào</v>
      </c>
      <c r="C387" t="str">
        <f>IF(COUNTIF(B:B,B387)&gt;1,_xlfn.CONCAT(A387," (",M387,")"),B387)</f>
        <v>Gŭlóu Jiēdào</v>
      </c>
      <c r="D387" t="s">
        <v>1432</v>
      </c>
      <c r="E387" t="s">
        <v>15</v>
      </c>
      <c r="F387" t="str">
        <f>_xlfn.CONCAT(D387,", ",H387,", ",I387,", ","浙江省")</f>
        <v>鼓楼街道, 海曙区, 宁波市, 浙江省</v>
      </c>
      <c r="G387">
        <v>28862</v>
      </c>
      <c r="H387" t="s">
        <v>2965</v>
      </c>
      <c r="I387" t="s">
        <v>2961</v>
      </c>
      <c r="J387">
        <f>VLOOKUP(F387,[1]!china_towns_second__2[[Column1]:[Y]],3,FALSE)</f>
        <v>29.8801905899447</v>
      </c>
      <c r="K387">
        <f>VLOOKUP(F387,[1]!china_towns_second__2[[Column1]:[Y]],2,FALSE)</f>
        <v>121.54442109999999</v>
      </c>
      <c r="L387" t="s">
        <v>4023</v>
      </c>
      <c r="M387" t="str">
        <f>VLOOKUP(H387,CHOOSE({1,2},Table12[Native],Table12[Name]),2,0)</f>
        <v>Hăishŭ Qū</v>
      </c>
      <c r="N387" s="15" t="str">
        <f>VLOOKUP(I387,CHOOSE({1,2},Table12[Native],Table12[Name]),2,0)</f>
        <v>Níngbō Shì</v>
      </c>
      <c r="O387" s="15" t="str">
        <f t="shared" si="12"/>
        <v>Gulou Jiedao (Níngbō Shì)</v>
      </c>
      <c r="P387" s="15" t="str">
        <f t="shared" si="13"/>
        <v>Gulou Jiedao (Níngbō Shì)</v>
      </c>
    </row>
    <row r="388" spans="1:16" hidden="1" x14ac:dyDescent="0.25">
      <c r="A388" t="s">
        <v>2403</v>
      </c>
      <c r="B388" t="str">
        <f>IF(COUNTIF(A:A,A388)&gt;1,_xlfn.CONCAT(A388," (",N388,")"),A388)</f>
        <v>Guōxī Jiēdào</v>
      </c>
      <c r="C388" t="str">
        <f>IF(COUNTIF(B:B,B388)&gt;1,_xlfn.CONCAT(A388," (",M388,")"),B388)</f>
        <v>Guōxī Jiēdào</v>
      </c>
      <c r="D388" t="s">
        <v>2404</v>
      </c>
      <c r="E388" t="s">
        <v>15</v>
      </c>
      <c r="F388" t="str">
        <f>_xlfn.CONCAT(D388,", ",H388,", ",I388,", ","浙江省")</f>
        <v>郭溪街道, 瓯海区, 温州市, 浙江省</v>
      </c>
      <c r="G388">
        <v>122982</v>
      </c>
      <c r="H388" t="s">
        <v>3005</v>
      </c>
      <c r="I388" t="s">
        <v>3000</v>
      </c>
      <c r="J388">
        <f>VLOOKUP(F388,[1]!china_towns_second__2[[Column1]:[Y]],3,FALSE)</f>
        <v>28.005687309781301</v>
      </c>
      <c r="K388">
        <f>VLOOKUP(F388,[1]!china_towns_second__2[[Column1]:[Y]],2,FALSE)</f>
        <v>120.545839</v>
      </c>
      <c r="L388" t="s">
        <v>4024</v>
      </c>
      <c r="M388" t="str">
        <f>VLOOKUP(H388,CHOOSE({1,2},Table12[Native],Table12[Name]),2,0)</f>
        <v>Ōuhăi Qū</v>
      </c>
      <c r="N388" s="15" t="str">
        <f>VLOOKUP(I388,CHOOSE({1,2},Table12[Native],Table12[Name]),2,0)</f>
        <v>Wēnzhōu Shì</v>
      </c>
      <c r="O388" s="15" t="str">
        <f t="shared" si="12"/>
        <v>Guoxi Jiedao (Wēnzhōu Shì)</v>
      </c>
      <c r="P388" s="15" t="str">
        <f t="shared" si="13"/>
        <v>Guoxi Jiedao (Wēnzhōu Shì)</v>
      </c>
    </row>
    <row r="389" spans="1:16" hidden="1" x14ac:dyDescent="0.25">
      <c r="A389" t="s">
        <v>777</v>
      </c>
      <c r="B389" t="str">
        <f>IF(COUNTIF(A:A,A389)&gt;1,_xlfn.CONCAT(A389," (",N389,")"),A389)</f>
        <v>Gŭshān Zhèn</v>
      </c>
      <c r="C389" t="str">
        <f>IF(COUNTIF(B:B,B389)&gt;1,_xlfn.CONCAT(A389," (",M389,")"),B389)</f>
        <v>Gŭshān Zhèn</v>
      </c>
      <c r="D389" t="s">
        <v>778</v>
      </c>
      <c r="E389" t="s">
        <v>11</v>
      </c>
      <c r="F389" t="str">
        <f>_xlfn.CONCAT(D389,", ",H389,", ",I389,", ","浙江省")</f>
        <v>古山镇, 永康市, 金华市, 浙江省</v>
      </c>
      <c r="G389">
        <v>60674</v>
      </c>
      <c r="H389" t="s">
        <v>2947</v>
      </c>
      <c r="I389" t="s">
        <v>2938</v>
      </c>
      <c r="J389">
        <f>VLOOKUP(F389,[1]!china_towns_second__2[[Column1]:[Y]],3,FALSE)</f>
        <v>28.982197055940802</v>
      </c>
      <c r="K389">
        <f>VLOOKUP(F389,[1]!china_towns_second__2[[Column1]:[Y]],2,FALSE)</f>
        <v>120.1699237</v>
      </c>
      <c r="L389" t="s">
        <v>4025</v>
      </c>
      <c r="M389" t="str">
        <f>VLOOKUP(H389,CHOOSE({1,2},Table12[Native],Table12[Name]),2,0)</f>
        <v>Yŏngkāng Shì</v>
      </c>
      <c r="N389" s="15" t="str">
        <f>VLOOKUP(I389,CHOOSE({1,2},Table12[Native],Table12[Name]),2,0)</f>
        <v>Jīnhuá Shì</v>
      </c>
      <c r="O389" s="15" t="str">
        <f t="shared" si="12"/>
        <v>Gushan Zhen (Jīnhuá Shì)</v>
      </c>
      <c r="P389" s="15" t="str">
        <f t="shared" si="13"/>
        <v>Gushan Zhen (Jīnhuá Shì)</v>
      </c>
    </row>
    <row r="390" spans="1:16" hidden="1" x14ac:dyDescent="0.25">
      <c r="A390" t="s">
        <v>1094</v>
      </c>
      <c r="B390" t="str">
        <f>IF(COUNTIF(A:A,A390)&gt;1,_xlfn.CONCAT(A390," (",N390,")"),A390)</f>
        <v>Gŭshì Zhèn</v>
      </c>
      <c r="C390" t="str">
        <f>IF(COUNTIF(B:B,B390)&gt;1,_xlfn.CONCAT(A390," (",M390,")"),B390)</f>
        <v>Gŭshì Zhèn</v>
      </c>
      <c r="D390" t="s">
        <v>1095</v>
      </c>
      <c r="E390" t="s">
        <v>11</v>
      </c>
      <c r="F390" t="str">
        <f>_xlfn.CONCAT(D390,", ",H390,", ",I390,", ","浙江省")</f>
        <v>古市镇, 松阳县, 丽水市, 浙江省</v>
      </c>
      <c r="G390">
        <v>20229</v>
      </c>
      <c r="H390" t="s">
        <v>2957</v>
      </c>
      <c r="I390" t="s">
        <v>2949</v>
      </c>
      <c r="J390">
        <f>VLOOKUP(F390,[1]!china_towns_second__2[[Column1]:[Y]],3,FALSE)</f>
        <v>28.529813392426998</v>
      </c>
      <c r="K390">
        <f>VLOOKUP(F390,[1]!china_towns_second__2[[Column1]:[Y]],2,FALSE)</f>
        <v>119.4297672</v>
      </c>
      <c r="L390" t="s">
        <v>4026</v>
      </c>
      <c r="M390" t="str">
        <f>VLOOKUP(H390,CHOOSE({1,2},Table12[Native],Table12[Name]),2,0)</f>
        <v>Sōngyáng Xiàn</v>
      </c>
      <c r="N390" s="15" t="str">
        <f>VLOOKUP(I390,CHOOSE({1,2},Table12[Native],Table12[Name]),2,0)</f>
        <v>Lìshuĭ Shì</v>
      </c>
      <c r="O390" s="15" t="str">
        <f t="shared" si="12"/>
        <v>Gushi Zhen (Lìshuĭ Shì)</v>
      </c>
      <c r="P390" s="15" t="str">
        <f t="shared" si="13"/>
        <v>Gushi Zhen (Lìshuĭ Shì)</v>
      </c>
    </row>
    <row r="391" spans="1:16" hidden="1" x14ac:dyDescent="0.25">
      <c r="A391" t="s">
        <v>1433</v>
      </c>
      <c r="B391" t="str">
        <f>IF(COUNTIF(A:A,A391)&gt;1,_xlfn.CONCAT(A391," (",N391,")"),A391)</f>
        <v>Gŭtáng Jiēdào</v>
      </c>
      <c r="C391" t="str">
        <f>IF(COUNTIF(B:B,B391)&gt;1,_xlfn.CONCAT(A391," (",M391,")"),B391)</f>
        <v>Gŭtáng Jiēdào</v>
      </c>
      <c r="D391" t="s">
        <v>1434</v>
      </c>
      <c r="E391" t="s">
        <v>15</v>
      </c>
      <c r="F391" t="str">
        <f>_xlfn.CONCAT(D391,", ",H391,", ",I391,", ","浙江省")</f>
        <v>古塘街道, 慈溪市, 宁波市, 浙江省</v>
      </c>
      <c r="G391">
        <v>72020</v>
      </c>
      <c r="H391" t="s">
        <v>2963</v>
      </c>
      <c r="I391" t="s">
        <v>2961</v>
      </c>
      <c r="J391">
        <f>VLOOKUP(F391,[1]!china_towns_second__2[[Column1]:[Y]],3,FALSE)</f>
        <v>30.1960131313086</v>
      </c>
      <c r="K391">
        <f>VLOOKUP(F391,[1]!china_towns_second__2[[Column1]:[Y]],2,FALSE)</f>
        <v>121.2547301</v>
      </c>
      <c r="L391" t="s">
        <v>4027</v>
      </c>
      <c r="M391" t="str">
        <f>VLOOKUP(H391,CHOOSE({1,2},Table12[Native],Table12[Name]),2,0)</f>
        <v>Cíxī Shì</v>
      </c>
      <c r="N391" s="15" t="str">
        <f>VLOOKUP(I391,CHOOSE({1,2},Table12[Native],Table12[Name]),2,0)</f>
        <v>Níngbō Shì</v>
      </c>
      <c r="O391" s="15" t="str">
        <f t="shared" si="12"/>
        <v>Gutang Jiedao (Níngbō Shì)</v>
      </c>
      <c r="P391" s="15" t="str">
        <f t="shared" si="13"/>
        <v>Gutang Jiedao (Níngbō Shì)</v>
      </c>
    </row>
    <row r="392" spans="1:16" hidden="1" x14ac:dyDescent="0.25">
      <c r="A392" t="s">
        <v>2405</v>
      </c>
      <c r="B392" t="str">
        <f>IF(COUNTIF(A:A,A392)&gt;1,_xlfn.CONCAT(A392," (",N392,")"),A392)</f>
        <v>Hăibīn Jiēdào</v>
      </c>
      <c r="C392" t="str">
        <f>IF(COUNTIF(B:B,B392)&gt;1,_xlfn.CONCAT(A392," (",M392,")"),B392)</f>
        <v>Hăibīn Jiēdào</v>
      </c>
      <c r="D392" t="s">
        <v>2406</v>
      </c>
      <c r="E392" t="s">
        <v>15</v>
      </c>
      <c r="F392" t="str">
        <f>_xlfn.CONCAT(D392,", ",H392,", ",I392,", ","浙江省")</f>
        <v>海滨街道, 龙湾区, 温州市, 浙江省</v>
      </c>
      <c r="G392">
        <v>70014</v>
      </c>
      <c r="H392" t="s">
        <v>3003</v>
      </c>
      <c r="I392" t="s">
        <v>3000</v>
      </c>
      <c r="J392">
        <f>VLOOKUP(F392,[1]!china_towns_second__2[[Column1]:[Y]],3,FALSE)</f>
        <v>27.913802854376499</v>
      </c>
      <c r="K392">
        <f>VLOOKUP(F392,[1]!china_towns_second__2[[Column1]:[Y]],2,FALSE)</f>
        <v>120.8808172</v>
      </c>
      <c r="L392" t="s">
        <v>4028</v>
      </c>
      <c r="M392" t="str">
        <f>VLOOKUP(H392,CHOOSE({1,2},Table12[Native],Table12[Name]),2,0)</f>
        <v>Lóngwān Qū</v>
      </c>
      <c r="N392" s="15" t="str">
        <f>VLOOKUP(I392,CHOOSE({1,2},Table12[Native],Table12[Name]),2,0)</f>
        <v>Wēnzhōu Shì</v>
      </c>
      <c r="O392" s="15" t="str">
        <f t="shared" si="12"/>
        <v>Haibin Jiedao (Wēnzhōu Shì)</v>
      </c>
      <c r="P392" s="15" t="str">
        <f t="shared" si="13"/>
        <v>Haibin Jiedao (Wēnzhōu Shì)</v>
      </c>
    </row>
    <row r="393" spans="1:16" hidden="1" x14ac:dyDescent="0.25">
      <c r="A393" t="s">
        <v>597</v>
      </c>
      <c r="B393" t="str">
        <f>IF(COUNTIF(A:A,A393)&gt;1,_xlfn.CONCAT(A393," (",N393,")"),A393)</f>
        <v>Hăichāng Jiēdào</v>
      </c>
      <c r="C393" t="str">
        <f>IF(COUNTIF(B:B,B393)&gt;1,_xlfn.CONCAT(A393," (",M393,")"),B393)</f>
        <v>Hăichāng Jiēdào</v>
      </c>
      <c r="D393" t="s">
        <v>598</v>
      </c>
      <c r="E393" t="s">
        <v>15</v>
      </c>
      <c r="F393" t="str">
        <f>_xlfn.CONCAT(D393,", ",H393,", ",I393,", ","浙江省")</f>
        <v>海昌街道, 海宁市, 嘉兴市, 浙江省</v>
      </c>
      <c r="G393">
        <v>72496</v>
      </c>
      <c r="H393" t="s">
        <v>2930</v>
      </c>
      <c r="I393" t="s">
        <v>2929</v>
      </c>
      <c r="J393">
        <f>VLOOKUP(F393,[1]!china_towns_second__2[[Column1]:[Y]],3,FALSE)</f>
        <v>30.5545318828791</v>
      </c>
      <c r="K393">
        <f>VLOOKUP(F393,[1]!china_towns_second__2[[Column1]:[Y]],2,FALSE)</f>
        <v>120.6933131</v>
      </c>
      <c r="L393" t="s">
        <v>4029</v>
      </c>
      <c r="M393" t="str">
        <f>VLOOKUP(H393,CHOOSE({1,2},Table12[Native],Table12[Name]),2,0)</f>
        <v>Hăiníng Shì</v>
      </c>
      <c r="N393" s="15" t="str">
        <f>VLOOKUP(I393,CHOOSE({1,2},Table12[Native],Table12[Name]),2,0)</f>
        <v>Jiāxīng Shì</v>
      </c>
      <c r="O393" s="15" t="str">
        <f t="shared" si="12"/>
        <v>Haichang Jiedao (Jiāxīng Shì)</v>
      </c>
      <c r="P393" s="15" t="str">
        <f t="shared" si="13"/>
        <v>Haichang Jiedao (Jiāxīng Shì)</v>
      </c>
    </row>
    <row r="394" spans="1:16" hidden="1" x14ac:dyDescent="0.25">
      <c r="A394" t="s">
        <v>2408</v>
      </c>
      <c r="B394" t="str">
        <f>IF(COUNTIF(A:A,A394)&gt;1,_xlfn.CONCAT(A394," (",N394,")"),A394)</f>
        <v>Hăichéng Jiēdào</v>
      </c>
      <c r="C394" t="str">
        <f>IF(COUNTIF(B:B,B394)&gt;1,_xlfn.CONCAT(A394," (",M394,")"),B394)</f>
        <v>Hăichéng Jiēdào</v>
      </c>
      <c r="D394" t="s">
        <v>2409</v>
      </c>
      <c r="E394" t="s">
        <v>15</v>
      </c>
      <c r="F394" t="str">
        <f>_xlfn.CONCAT(D394,", ",H394,", ",I394,", ","浙江省")</f>
        <v>海城街道, 龙湾区, 温州市, 浙江省</v>
      </c>
      <c r="G394">
        <v>52157</v>
      </c>
      <c r="H394" t="s">
        <v>3003</v>
      </c>
      <c r="I394" t="s">
        <v>3000</v>
      </c>
      <c r="J394">
        <f>VLOOKUP(F394,[1]!china_towns_second__2[[Column1]:[Y]],3,FALSE)</f>
        <v>27.822584129764198</v>
      </c>
      <c r="K394">
        <f>VLOOKUP(F394,[1]!china_towns_second__2[[Column1]:[Y]],2,FALSE)</f>
        <v>120.7784829</v>
      </c>
      <c r="L394" t="s">
        <v>4030</v>
      </c>
      <c r="M394" t="str">
        <f>VLOOKUP(H394,CHOOSE({1,2},Table12[Native],Table12[Name]),2,0)</f>
        <v>Lóngwān Qū</v>
      </c>
      <c r="N394" s="15" t="str">
        <f>VLOOKUP(I394,CHOOSE({1,2},Table12[Native],Table12[Name]),2,0)</f>
        <v>Wēnzhōu Shì</v>
      </c>
      <c r="O394" s="15" t="str">
        <f t="shared" si="12"/>
        <v>Haicheng Jiedao (Wēnzhōu Shì)</v>
      </c>
      <c r="P394" s="15" t="str">
        <f t="shared" si="13"/>
        <v>Haicheng Jiedao (Wēnzhōu Shì)</v>
      </c>
    </row>
    <row r="395" spans="1:16" hidden="1" x14ac:dyDescent="0.25">
      <c r="A395" t="s">
        <v>1096</v>
      </c>
      <c r="B395" t="str">
        <f>IF(COUNTIF(A:A,A395)&gt;1,_xlfn.CONCAT(A395," (",N395,")"),A395)</f>
        <v>Hăikŏu Zhèn</v>
      </c>
      <c r="C395" t="str">
        <f>IF(COUNTIF(B:B,B395)&gt;1,_xlfn.CONCAT(A395," (",M395,")"),B395)</f>
        <v>Hăikŏu Zhèn</v>
      </c>
      <c r="D395" t="s">
        <v>1097</v>
      </c>
      <c r="E395" t="s">
        <v>11</v>
      </c>
      <c r="F395" t="str">
        <f>_xlfn.CONCAT(D395,", ",H395,", ",I395,", ","浙江省")</f>
        <v>海口镇, 青田县, 丽水市, 浙江省</v>
      </c>
      <c r="G395">
        <v>10368</v>
      </c>
      <c r="H395" t="s">
        <v>2955</v>
      </c>
      <c r="I395" t="s">
        <v>2949</v>
      </c>
      <c r="J395">
        <f>VLOOKUP(F395,[1]!china_towns_second__2[[Column1]:[Y]],3,FALSE)</f>
        <v>28.312844857600702</v>
      </c>
      <c r="K395">
        <f>VLOOKUP(F395,[1]!china_towns_second__2[[Column1]:[Y]],2,FALSE)</f>
        <v>120.0833595</v>
      </c>
      <c r="L395" t="s">
        <v>4031</v>
      </c>
      <c r="M395" t="str">
        <f>VLOOKUP(H395,CHOOSE({1,2},Table12[Native],Table12[Name]),2,0)</f>
        <v>Qīngtián Xiàn</v>
      </c>
      <c r="N395" s="15" t="str">
        <f>VLOOKUP(I395,CHOOSE({1,2},Table12[Native],Table12[Name]),2,0)</f>
        <v>Lìshuĭ Shì</v>
      </c>
      <c r="O395" s="15" t="str">
        <f t="shared" si="12"/>
        <v>Haikou Zhen (Lìshuĭ Shì)</v>
      </c>
      <c r="P395" s="15" t="str">
        <f t="shared" si="13"/>
        <v>Haikou Zhen (Lìshuĭ Shì)</v>
      </c>
    </row>
    <row r="396" spans="1:16" hidden="1" x14ac:dyDescent="0.25">
      <c r="A396" t="s">
        <v>2104</v>
      </c>
      <c r="B396" t="str">
        <f>IF(COUNTIF(A:A,A396)&gt;1,_xlfn.CONCAT(A396," (",N396,")"),A396)</f>
        <v>Hăimén Jiēdào</v>
      </c>
      <c r="C396" t="str">
        <f>IF(COUNTIF(B:B,B396)&gt;1,_xlfn.CONCAT(A396," (",M396,")"),B396)</f>
        <v>Hăimén Jiēdào</v>
      </c>
      <c r="D396" t="s">
        <v>2105</v>
      </c>
      <c r="E396" t="s">
        <v>15</v>
      </c>
      <c r="F396" t="str">
        <f>_xlfn.CONCAT(D396,", ",H396,", ",I396,", ","浙江省")</f>
        <v>海门街道, 椒江区, 台州市, 浙江省</v>
      </c>
      <c r="G396">
        <v>111268</v>
      </c>
      <c r="H396" t="s">
        <v>2991</v>
      </c>
      <c r="I396" t="s">
        <v>2989</v>
      </c>
      <c r="J396">
        <f>VLOOKUP(F396,[1]!china_towns_second__2[[Column1]:[Y]],3,FALSE)</f>
        <v>28.6677780009366</v>
      </c>
      <c r="K396">
        <f>VLOOKUP(F396,[1]!china_towns_second__2[[Column1]:[Y]],2,FALSE)</f>
        <v>121.4725821</v>
      </c>
      <c r="L396" t="s">
        <v>4032</v>
      </c>
      <c r="M396" t="str">
        <f>VLOOKUP(H396,CHOOSE({1,2},Table12[Native],Table12[Name]),2,0)</f>
        <v>Jiāojiāng Qū</v>
      </c>
      <c r="N396" s="15" t="str">
        <f>VLOOKUP(I396,CHOOSE({1,2},Table12[Native],Table12[Name]),2,0)</f>
        <v>Táizhōu Shì</v>
      </c>
      <c r="O396" s="15" t="str">
        <f t="shared" si="12"/>
        <v>Haimen Jiedao (Táizhōu Shì)</v>
      </c>
      <c r="P396" s="15" t="str">
        <f t="shared" si="13"/>
        <v>Haimen Jiedao (Táizhōu Shì)</v>
      </c>
    </row>
    <row r="397" spans="1:16" hidden="1" x14ac:dyDescent="0.25">
      <c r="A397" t="s">
        <v>2106</v>
      </c>
      <c r="B397" t="str">
        <f>IF(COUNTIF(A:A,A397)&gt;1,_xlfn.CONCAT(A397," (",N397,")"),A397)</f>
        <v>Hăishān Xiāng</v>
      </c>
      <c r="C397" t="str">
        <f>IF(COUNTIF(B:B,B397)&gt;1,_xlfn.CONCAT(A397," (",M397,")"),B397)</f>
        <v>Hăishān Xiāng</v>
      </c>
      <c r="D397" t="s">
        <v>2107</v>
      </c>
      <c r="E397" t="s">
        <v>7</v>
      </c>
      <c r="F397" t="str">
        <f>_xlfn.CONCAT(D397,", ",H397,", ",I397,", ","浙江省")</f>
        <v>海山乡, 玉环市, 台州市, 浙江省</v>
      </c>
      <c r="G397">
        <v>3012</v>
      </c>
      <c r="H397" t="s">
        <v>2998</v>
      </c>
      <c r="I397" t="s">
        <v>2989</v>
      </c>
      <c r="J397" t="e">
        <f>VLOOKUP(F397,[1]!china_towns_second__2[[Column1]:[Y]],3,FALSE)</f>
        <v>#N/A</v>
      </c>
      <c r="K397" t="e">
        <f>VLOOKUP(F397,[1]!china_towns_second__2[[Column1]:[Y]],2,FALSE)</f>
        <v>#N/A</v>
      </c>
      <c r="L397" t="s">
        <v>4033</v>
      </c>
      <c r="M397" t="str">
        <f>VLOOKUP(H397,CHOOSE({1,2},Table12[Native],Table12[Name]),2,0)</f>
        <v>Yùhuán Shì</v>
      </c>
      <c r="N397" s="15" t="str">
        <f>VLOOKUP(I397,CHOOSE({1,2},Table12[Native],Table12[Name]),2,0)</f>
        <v>Táizhōu Shì</v>
      </c>
      <c r="O397" s="15" t="str">
        <f t="shared" si="12"/>
        <v>Haishan Xiang (Táizhōu Shì)</v>
      </c>
      <c r="P397" s="15" t="str">
        <f t="shared" si="13"/>
        <v>Haishan Xiang (Táizhōu Shì)</v>
      </c>
    </row>
    <row r="398" spans="1:16" hidden="1" x14ac:dyDescent="0.25">
      <c r="A398" t="s">
        <v>1098</v>
      </c>
      <c r="B398" t="str">
        <f>IF(COUNTIF(A:A,A398)&gt;1,_xlfn.CONCAT(A398," (",N398,")"),A398)</f>
        <v>Hăixī Xiāng</v>
      </c>
      <c r="C398" t="str">
        <f>IF(COUNTIF(B:B,B398)&gt;1,_xlfn.CONCAT(A398," (",M398,")"),B398)</f>
        <v>Hăixī Xiāng</v>
      </c>
      <c r="D398" t="s">
        <v>1099</v>
      </c>
      <c r="E398" t="s">
        <v>7</v>
      </c>
      <c r="F398" t="str">
        <f>_xlfn.CONCAT(D398,", ",H398,", ",I398,", ","浙江省")</f>
        <v>海溪乡, 青田县, 丽水市, 浙江省</v>
      </c>
      <c r="G398">
        <v>4392</v>
      </c>
      <c r="H398" t="s">
        <v>2955</v>
      </c>
      <c r="I398" t="s">
        <v>2949</v>
      </c>
      <c r="J398" t="e">
        <f>VLOOKUP(F398,[1]!china_towns_second__2[[Column1]:[Y]],3,FALSE)</f>
        <v>#N/A</v>
      </c>
      <c r="K398" t="e">
        <f>VLOOKUP(F398,[1]!china_towns_second__2[[Column1]:[Y]],2,FALSE)</f>
        <v>#N/A</v>
      </c>
      <c r="L398" t="s">
        <v>4034</v>
      </c>
      <c r="M398" t="str">
        <f>VLOOKUP(H398,CHOOSE({1,2},Table12[Native],Table12[Name]),2,0)</f>
        <v>Qīngtián Xiàn</v>
      </c>
      <c r="N398" s="15" t="str">
        <f>VLOOKUP(I398,CHOOSE({1,2},Table12[Native],Table12[Name]),2,0)</f>
        <v>Lìshuĭ Shì</v>
      </c>
      <c r="O398" s="15" t="str">
        <f t="shared" si="12"/>
        <v>Haixi Xiang (Lìshuĭ Shì)</v>
      </c>
      <c r="P398" s="15" t="str">
        <f t="shared" si="13"/>
        <v>Haixi Xiang (Lìshuĭ Shì)</v>
      </c>
    </row>
    <row r="399" spans="1:16" hidden="1" x14ac:dyDescent="0.25">
      <c r="A399" t="s">
        <v>2108</v>
      </c>
      <c r="B399" t="str">
        <f>IF(COUNTIF(A:A,A399)&gt;1,_xlfn.CONCAT(A399," (",N399,")"),A399)</f>
        <v>Hăiyóu Jiēdào</v>
      </c>
      <c r="C399" t="str">
        <f>IF(COUNTIF(B:B,B399)&gt;1,_xlfn.CONCAT(A399," (",M399,")"),B399)</f>
        <v>Hăiyóu Jiēdào</v>
      </c>
      <c r="D399" t="s">
        <v>2109</v>
      </c>
      <c r="E399" t="s">
        <v>15</v>
      </c>
      <c r="F399" t="str">
        <f>_xlfn.CONCAT(D399,", ",H399,", ",I399,", ","浙江省")</f>
        <v>海游街道, 三门县, 台州市, 浙江省</v>
      </c>
      <c r="G399">
        <v>105933</v>
      </c>
      <c r="H399" t="s">
        <v>2994</v>
      </c>
      <c r="I399" t="s">
        <v>2989</v>
      </c>
      <c r="J399" t="e">
        <f>VLOOKUP(F399,[1]!china_towns_second__2[[Column1]:[Y]],3,FALSE)</f>
        <v>#N/A</v>
      </c>
      <c r="K399" t="e">
        <f>VLOOKUP(F399,[1]!china_towns_second__2[[Column1]:[Y]],2,FALSE)</f>
        <v>#N/A</v>
      </c>
      <c r="L399" t="s">
        <v>4035</v>
      </c>
      <c r="M399" t="str">
        <f>VLOOKUP(H399,CHOOSE({1,2},Table12[Native],Table12[Name]),2,0)</f>
        <v>Sānmén Xiàn</v>
      </c>
      <c r="N399" s="15" t="str">
        <f>VLOOKUP(I399,CHOOSE({1,2},Table12[Native],Table12[Name]),2,0)</f>
        <v>Táizhōu Shì</v>
      </c>
      <c r="O399" s="15" t="str">
        <f t="shared" si="12"/>
        <v>Haiyou Jiedao (Táizhōu Shì)</v>
      </c>
      <c r="P399" s="15" t="str">
        <f t="shared" si="13"/>
        <v>Haiyou Jiedao (Táizhōu Shì)</v>
      </c>
    </row>
    <row r="400" spans="1:16" hidden="1" x14ac:dyDescent="0.25">
      <c r="A400" t="s">
        <v>599</v>
      </c>
      <c r="B400" t="str">
        <f>IF(COUNTIF(A:A,A400)&gt;1,_xlfn.CONCAT(A400," (",N400,")"),A400)</f>
        <v>Hăizhōu Jiēdào</v>
      </c>
      <c r="C400" t="str">
        <f>IF(COUNTIF(B:B,B400)&gt;1,_xlfn.CONCAT(A400," (",M400,")"),B400)</f>
        <v>Hăizhōu Jiēdào</v>
      </c>
      <c r="D400" t="s">
        <v>600</v>
      </c>
      <c r="E400" t="s">
        <v>15</v>
      </c>
      <c r="F400" t="str">
        <f>_xlfn.CONCAT(D400,", ",H400,", ",I400,", ","浙江省")</f>
        <v>海洲街道, 海宁市, 嘉兴市, 浙江省</v>
      </c>
      <c r="G400">
        <v>79683</v>
      </c>
      <c r="H400" t="s">
        <v>2930</v>
      </c>
      <c r="I400" t="s">
        <v>2929</v>
      </c>
      <c r="J400">
        <f>VLOOKUP(F400,[1]!china_towns_second__2[[Column1]:[Y]],3,FALSE)</f>
        <v>30.507233928041799</v>
      </c>
      <c r="K400">
        <f>VLOOKUP(F400,[1]!china_towns_second__2[[Column1]:[Y]],2,FALSE)</f>
        <v>120.66408269999999</v>
      </c>
      <c r="L400" t="s">
        <v>4036</v>
      </c>
      <c r="M400" t="str">
        <f>VLOOKUP(H400,CHOOSE({1,2},Table12[Native],Table12[Name]),2,0)</f>
        <v>Hăiníng Shì</v>
      </c>
      <c r="N400" s="15" t="str">
        <f>VLOOKUP(I400,CHOOSE({1,2},Table12[Native],Table12[Name]),2,0)</f>
        <v>Jiāxīng Shì</v>
      </c>
      <c r="O400" s="15" t="str">
        <f t="shared" si="12"/>
        <v>Haizhou Jiedao (Jiāxīng Shì)</v>
      </c>
      <c r="P400" s="15" t="str">
        <f t="shared" si="13"/>
        <v>Haizhou Jiedao (Jiāxīng Shì)</v>
      </c>
    </row>
    <row r="401" spans="1:16" hidden="1" x14ac:dyDescent="0.25">
      <c r="A401" t="s">
        <v>1690</v>
      </c>
      <c r="B401" t="str">
        <f>IF(COUNTIF(A:A,A401)&gt;1,_xlfn.CONCAT(A401," (",N401,")"),A401)</f>
        <v>Hángbù Zhèn</v>
      </c>
      <c r="C401" t="str">
        <f>IF(COUNTIF(B:B,B401)&gt;1,_xlfn.CONCAT(A401," (",M401,")"),B401)</f>
        <v>Hángbù Zhèn</v>
      </c>
      <c r="D401" t="s">
        <v>1691</v>
      </c>
      <c r="E401" t="s">
        <v>11</v>
      </c>
      <c r="F401" t="str">
        <f>_xlfn.CONCAT(D401,", ",H401,", ",I401,", ","浙江省")</f>
        <v>航埠镇, 柯城区, 衢州市, 浙江省</v>
      </c>
      <c r="G401">
        <v>40242</v>
      </c>
      <c r="H401" t="s">
        <v>2977</v>
      </c>
      <c r="I401" t="s">
        <v>2973</v>
      </c>
      <c r="J401">
        <f>VLOOKUP(F401,[1]!china_towns_second__2[[Column1]:[Y]],3,FALSE)</f>
        <v>28.938935008813502</v>
      </c>
      <c r="K401">
        <f>VLOOKUP(F401,[1]!china_towns_second__2[[Column1]:[Y]],2,FALSE)</f>
        <v>118.7671227</v>
      </c>
      <c r="L401" t="s">
        <v>4037</v>
      </c>
      <c r="M401" t="str">
        <f>VLOOKUP(H401,CHOOSE({1,2},Table12[Native],Table12[Name]),2,0)</f>
        <v>Kēchéng Qū</v>
      </c>
      <c r="N401" s="15" t="str">
        <f>VLOOKUP(I401,CHOOSE({1,2},Table12[Native],Table12[Name]),2,0)</f>
        <v>Qúzhōu Shì</v>
      </c>
      <c r="O401" s="15" t="str">
        <f t="shared" si="12"/>
        <v>Hangbu Zhen (Qúzhōu Shì)</v>
      </c>
      <c r="P401" s="15" t="str">
        <f t="shared" si="13"/>
        <v>Hangbu Zhen (Qúzhōu Shì)</v>
      </c>
    </row>
    <row r="402" spans="1:16" hidden="1" x14ac:dyDescent="0.25">
      <c r="A402" t="s">
        <v>447</v>
      </c>
      <c r="B402" t="str">
        <f>IF(COUNTIF(A:A,A402)&gt;1,_xlfn.CONCAT(A402," (",N402,")"),A402)</f>
        <v>Hánggāi Zhèn</v>
      </c>
      <c r="C402" t="str">
        <f>IF(COUNTIF(B:B,B402)&gt;1,_xlfn.CONCAT(A402," (",M402,")"),B402)</f>
        <v>Hánggāi Zhèn</v>
      </c>
      <c r="D402" t="s">
        <v>448</v>
      </c>
      <c r="E402" t="s">
        <v>11</v>
      </c>
      <c r="F402" t="str">
        <f>_xlfn.CONCAT(D402,", ",H402,", ",I402,", ","浙江省")</f>
        <v>杭垓镇, 安吉县, 湖州市, 浙江省</v>
      </c>
      <c r="G402">
        <v>27407</v>
      </c>
      <c r="H402" t="s">
        <v>2923</v>
      </c>
      <c r="I402" t="s">
        <v>2922</v>
      </c>
      <c r="J402">
        <f>VLOOKUP(F402,[1]!china_towns_second__2[[Column1]:[Y]],3,FALSE)</f>
        <v>30.583861006422101</v>
      </c>
      <c r="K402">
        <f>VLOOKUP(F402,[1]!china_towns_second__2[[Column1]:[Y]],2,FALSE)</f>
        <v>119.3473003</v>
      </c>
      <c r="L402" t="s">
        <v>4038</v>
      </c>
      <c r="M402" t="str">
        <f>VLOOKUP(H402,CHOOSE({1,2},Table12[Native],Table12[Name]),2,0)</f>
        <v>Ānjí Xiàn</v>
      </c>
      <c r="N402" s="15" t="str">
        <f>VLOOKUP(I402,CHOOSE({1,2},Table12[Native],Table12[Name]),2,0)</f>
        <v>Húzhōu Shì</v>
      </c>
      <c r="O402" s="15" t="str">
        <f t="shared" si="12"/>
        <v>Hanggai Zhen (Húzhōu Shì)</v>
      </c>
      <c r="P402" s="15" t="str">
        <f t="shared" si="13"/>
        <v>Hanggai Zhen (Húzhōu Shì)</v>
      </c>
    </row>
    <row r="403" spans="1:16" hidden="1" x14ac:dyDescent="0.25">
      <c r="A403" t="s">
        <v>779</v>
      </c>
      <c r="B403" t="str">
        <f>IF(COUNTIF(A:A,A403)&gt;1,_xlfn.CONCAT(A403," (",N403,")"),A403)</f>
        <v>Hángpíng Zhèn</v>
      </c>
      <c r="C403" t="str">
        <f>IF(COUNTIF(B:B,B403)&gt;1,_xlfn.CONCAT(A403," (",M403,")"),B403)</f>
        <v>Hángpíng Zhèn</v>
      </c>
      <c r="D403" t="s">
        <v>780</v>
      </c>
      <c r="E403" t="s">
        <v>11</v>
      </c>
      <c r="F403" t="str">
        <f>_xlfn.CONCAT(D403,", ",H403,", ",I403,", ","浙江省")</f>
        <v>杭坪镇, 浦江县, 金华市, 浙江省</v>
      </c>
      <c r="G403">
        <v>11400</v>
      </c>
      <c r="H403" t="s">
        <v>2943</v>
      </c>
      <c r="I403" t="s">
        <v>2938</v>
      </c>
      <c r="J403">
        <f>VLOOKUP(F403,[1]!china_towns_second__2[[Column1]:[Y]],3,FALSE)</f>
        <v>29.524855138961399</v>
      </c>
      <c r="K403">
        <f>VLOOKUP(F403,[1]!china_towns_second__2[[Column1]:[Y]],2,FALSE)</f>
        <v>119.79274460000001</v>
      </c>
      <c r="L403" t="s">
        <v>4039</v>
      </c>
      <c r="M403" t="str">
        <f>VLOOKUP(H403,CHOOSE({1,2},Table12[Native],Table12[Name]),2,0)</f>
        <v>Pŭjiāng Xiàn</v>
      </c>
      <c r="N403" s="15" t="str">
        <f>VLOOKUP(I403,CHOOSE({1,2},Table12[Native],Table12[Name]),2,0)</f>
        <v>Jīnhuá Shì</v>
      </c>
      <c r="O403" s="15" t="str">
        <f t="shared" si="12"/>
        <v>Hangping Zhen (Jīnhuá Shì)</v>
      </c>
      <c r="P403" s="15" t="str">
        <f t="shared" si="13"/>
        <v>Hangping Zhen (Jīnhuá Shì)</v>
      </c>
    </row>
    <row r="404" spans="1:16" hidden="1" x14ac:dyDescent="0.25">
      <c r="A404" t="s">
        <v>123</v>
      </c>
      <c r="B404" t="str">
        <f>IF(COUNTIF(A:A,A404)&gt;1,_xlfn.CONCAT(A404," (",N404,")"),A404)</f>
        <v>Hángtóu Zhèn</v>
      </c>
      <c r="C404" t="str">
        <f>IF(COUNTIF(B:B,B404)&gt;1,_xlfn.CONCAT(A404," (",M404,")"),B404)</f>
        <v>Hángtóu Zhèn</v>
      </c>
      <c r="D404" t="s">
        <v>124</v>
      </c>
      <c r="E404" t="s">
        <v>11</v>
      </c>
      <c r="F404" t="str">
        <f>_xlfn.CONCAT(D404,", ",H404,", ",I404,", ","浙江省")</f>
        <v>航头镇, 建德市, 杭州市, 浙江省</v>
      </c>
      <c r="G404">
        <v>23913</v>
      </c>
      <c r="H404" t="s">
        <v>2910</v>
      </c>
      <c r="I404" t="s">
        <v>2903</v>
      </c>
      <c r="J404">
        <f>VLOOKUP(F404,[1]!china_towns_second__2[[Column1]:[Y]],3,FALSE)</f>
        <v>29.322088604801898</v>
      </c>
      <c r="K404">
        <f>VLOOKUP(F404,[1]!china_towns_second__2[[Column1]:[Y]],2,FALSE)</f>
        <v>119.1389296</v>
      </c>
      <c r="L404" t="s">
        <v>4040</v>
      </c>
      <c r="M404" t="str">
        <f>VLOOKUP(H404,CHOOSE({1,2},Table12[Native],Table12[Name]),2,0)</f>
        <v>Jiàndé Shì</v>
      </c>
      <c r="N404" s="15" t="str">
        <f>VLOOKUP(I404,CHOOSE({1,2},Table12[Native],Table12[Name]),2,0)</f>
        <v>Hángzhōu Shì</v>
      </c>
      <c r="O404" s="15" t="str">
        <f t="shared" si="12"/>
        <v>Hangtou Zhen (Hángzhōu Shì)</v>
      </c>
      <c r="P404" s="15" t="str">
        <f t="shared" si="13"/>
        <v>Hangtou Zhen (Hángzhōu Shì)</v>
      </c>
    </row>
    <row r="405" spans="1:16" hidden="1" x14ac:dyDescent="0.25">
      <c r="A405" t="s">
        <v>1100</v>
      </c>
      <c r="B405" t="str">
        <f>IF(COUNTIF(A:A,A405)&gt;1,_xlfn.CONCAT(A405," (",N405,")"),A405)</f>
        <v>Hèchéng Jiēdào [incl. Ōunán Jiēdào, Yóuzhú Jiēdào]</v>
      </c>
      <c r="C405" t="str">
        <f>IF(COUNTIF(B:B,B405)&gt;1,_xlfn.CONCAT(A405," (",M405,")"),B405)</f>
        <v>Hèchéng Jiēdào [incl. Ōunán Jiēdào, Yóuzhú Jiēdào]</v>
      </c>
      <c r="D405" t="s">
        <v>1101</v>
      </c>
      <c r="E405" t="s">
        <v>15</v>
      </c>
      <c r="F405" t="str">
        <f>_xlfn.CONCAT(D405,", ",H405,", ",I405,", ","浙江省")</f>
        <v>鹤城街道, 青田县, 丽水市, 浙江省</v>
      </c>
      <c r="G405">
        <v>109586</v>
      </c>
      <c r="H405" t="s">
        <v>2955</v>
      </c>
      <c r="I405" t="s">
        <v>2949</v>
      </c>
      <c r="J405">
        <f>VLOOKUP(F405,[1]!china_towns_second__2[[Column1]:[Y]],3,FALSE)</f>
        <v>28.163731487323499</v>
      </c>
      <c r="K405">
        <f>VLOOKUP(F405,[1]!china_towns_second__2[[Column1]:[Y]],2,FALSE)</f>
        <v>120.298806</v>
      </c>
      <c r="L405" t="s">
        <v>4041</v>
      </c>
      <c r="M405" t="str">
        <f>VLOOKUP(H405,CHOOSE({1,2},Table12[Native],Table12[Name]),2,0)</f>
        <v>Qīngtián Xiàn</v>
      </c>
      <c r="N405" s="15" t="str">
        <f>VLOOKUP(I405,CHOOSE({1,2},Table12[Native],Table12[Name]),2,0)</f>
        <v>Lìshuĭ Shì</v>
      </c>
      <c r="O405" s="15" t="str">
        <f t="shared" si="12"/>
        <v>Hecheng Jiedao [incl. Ounan Jiedao, Youzhu Jiedao] (Lìshuĭ Shì)</v>
      </c>
      <c r="P405" s="15" t="str">
        <f t="shared" si="13"/>
        <v>Hecheng Jiedao [incl. Ounan Jiedao, Youzhu Jiedao] (Lìshuĭ Shì)</v>
      </c>
    </row>
    <row r="406" spans="1:16" hidden="1" x14ac:dyDescent="0.25">
      <c r="A406" t="s">
        <v>125</v>
      </c>
      <c r="B406" t="str">
        <f>IF(COUNTIF(A:A,A406)&gt;1,_xlfn.CONCAT(A406," (",N406,")"),A406)</f>
        <v>Hécūn Xiāng</v>
      </c>
      <c r="C406" t="str">
        <f>IF(COUNTIF(B:B,B406)&gt;1,_xlfn.CONCAT(A406," (",M406,")"),B406)</f>
        <v>Hécūn Xiāng</v>
      </c>
      <c r="D406" t="s">
        <v>126</v>
      </c>
      <c r="E406" t="s">
        <v>7</v>
      </c>
      <c r="F406" t="str">
        <f>_xlfn.CONCAT(D406,", ",H406,", ",I406,", ","浙江省")</f>
        <v>合村乡, 桐庐县, 杭州市, 浙江省</v>
      </c>
      <c r="G406">
        <v>5794</v>
      </c>
      <c r="H406" t="s">
        <v>2916</v>
      </c>
      <c r="I406" t="s">
        <v>2903</v>
      </c>
      <c r="J406" t="e">
        <f>VLOOKUP(F406,[1]!china_towns_second__2[[Column1]:[Y]],3,FALSE)</f>
        <v>#N/A</v>
      </c>
      <c r="K406" t="e">
        <f>VLOOKUP(F406,[1]!china_towns_second__2[[Column1]:[Y]],2,FALSE)</f>
        <v>#N/A</v>
      </c>
      <c r="L406" t="s">
        <v>4042</v>
      </c>
      <c r="M406" t="str">
        <f>VLOOKUP(H406,CHOOSE({1,2},Table12[Native],Table12[Name]),2,0)</f>
        <v>Tónglú Xiàn</v>
      </c>
      <c r="N406" s="15" t="str">
        <f>VLOOKUP(I406,CHOOSE({1,2},Table12[Native],Table12[Name]),2,0)</f>
        <v>Hángzhōu Shì</v>
      </c>
      <c r="O406" s="15" t="str">
        <f t="shared" si="12"/>
        <v>Hecun Xiang (Hángzhōu Shì)</v>
      </c>
      <c r="P406" s="15" t="str">
        <f t="shared" si="13"/>
        <v>Hecun Xiang (Hángzhōu Shì)</v>
      </c>
    </row>
    <row r="407" spans="1:16" hidden="1" x14ac:dyDescent="0.25">
      <c r="A407" t="s">
        <v>1692</v>
      </c>
      <c r="B407" t="str">
        <f>IF(COUNTIF(A:A,A407)&gt;1,_xlfn.CONCAT(A407," (",N407,")"),A407)</f>
        <v>Hècūn Zhèn [incl. Yūtóu Zhèn]</v>
      </c>
      <c r="C407" t="str">
        <f>IF(COUNTIF(B:B,B407)&gt;1,_xlfn.CONCAT(A407," (",M407,")"),B407)</f>
        <v>Hècūn Zhèn [incl. Yūtóu Zhèn]</v>
      </c>
      <c r="D407" t="s">
        <v>1693</v>
      </c>
      <c r="E407" t="s">
        <v>11</v>
      </c>
      <c r="F407" t="str">
        <f>_xlfn.CONCAT(D407,", ",H407,", ",I407,", ","浙江省")</f>
        <v>贺村镇, 江山市, 衢州市, 浙江省</v>
      </c>
      <c r="G407">
        <v>65900</v>
      </c>
      <c r="H407" t="s">
        <v>2975</v>
      </c>
      <c r="I407" t="s">
        <v>2973</v>
      </c>
      <c r="J407">
        <f>VLOOKUP(F407,[1]!china_towns_second__2[[Column1]:[Y]],3,FALSE)</f>
        <v>28.6415808059065</v>
      </c>
      <c r="K407">
        <f>VLOOKUP(F407,[1]!china_towns_second__2[[Column1]:[Y]],2,FALSE)</f>
        <v>118.503112</v>
      </c>
      <c r="L407" t="s">
        <v>4043</v>
      </c>
      <c r="M407" t="str">
        <f>VLOOKUP(H407,CHOOSE({1,2},Table12[Native],Table12[Name]),2,0)</f>
        <v>Jiāngshān Shì</v>
      </c>
      <c r="N407" s="15" t="str">
        <f>VLOOKUP(I407,CHOOSE({1,2},Table12[Native],Table12[Name]),2,0)</f>
        <v>Qúzhōu Shì</v>
      </c>
      <c r="O407" s="15" t="str">
        <f t="shared" si="12"/>
        <v>Hecun Zhen [incl. Yutou Zhen] (Qúzhōu Shì)</v>
      </c>
      <c r="P407" s="15" t="str">
        <f t="shared" si="13"/>
        <v>Hecun Zhen [incl. Yutou Zhen] (Qúzhōu Shì)</v>
      </c>
    </row>
    <row r="408" spans="1:16" hidden="1" x14ac:dyDescent="0.25">
      <c r="A408" t="s">
        <v>1102</v>
      </c>
      <c r="B408" t="str">
        <f>IF(COUNTIF(A:A,A408)&gt;1,_xlfn.CONCAT(A408," (",N408,")"),A408)</f>
        <v>Hédì Zhèn</v>
      </c>
      <c r="C408" t="str">
        <f>IF(COUNTIF(B:B,B408)&gt;1,_xlfn.CONCAT(A408," (",M408,")"),B408)</f>
        <v>Hédì Zhèn</v>
      </c>
      <c r="D408" t="s">
        <v>1103</v>
      </c>
      <c r="E408" t="s">
        <v>11</v>
      </c>
      <c r="F408" t="str">
        <f>_xlfn.CONCAT(D408,", ",H408,", ",I408,", ","浙江省")</f>
        <v>荷地镇, 庆元县, 丽水市, 浙江省</v>
      </c>
      <c r="G408">
        <v>3702</v>
      </c>
      <c r="H408" t="s">
        <v>2956</v>
      </c>
      <c r="I408" t="s">
        <v>2949</v>
      </c>
      <c r="J408">
        <f>VLOOKUP(F408,[1]!china_towns_second__2[[Column1]:[Y]],3,FALSE)</f>
        <v>27.586051679194799</v>
      </c>
      <c r="K408">
        <f>VLOOKUP(F408,[1]!china_towns_second__2[[Column1]:[Y]],2,FALSE)</f>
        <v>119.29639640000001</v>
      </c>
      <c r="L408" t="s">
        <v>4044</v>
      </c>
      <c r="M408" t="str">
        <f>VLOOKUP(H408,CHOOSE({1,2},Table12[Native],Table12[Name]),2,0)</f>
        <v>Qìngyuán Xiàn</v>
      </c>
      <c r="N408" s="15" t="str">
        <f>VLOOKUP(I408,CHOOSE({1,2},Table12[Native],Table12[Name]),2,0)</f>
        <v>Lìshuĭ Shì</v>
      </c>
      <c r="O408" s="15" t="str">
        <f t="shared" si="12"/>
        <v>Hedi Zhen (Lìshuĭ Shì)</v>
      </c>
      <c r="P408" s="15" t="str">
        <f t="shared" si="13"/>
        <v>Hedi Zhen (Lìshuĭ Shì)</v>
      </c>
    </row>
    <row r="409" spans="1:16" hidden="1" x14ac:dyDescent="0.25">
      <c r="A409" t="s">
        <v>449</v>
      </c>
      <c r="B409" t="str">
        <f>IF(COUNTIF(A:A,A409)&gt;1,_xlfn.CONCAT(A409," (",N409,")"),A409)</f>
        <v>Héfú Zhèn</v>
      </c>
      <c r="C409" t="str">
        <f>IF(COUNTIF(B:B,B409)&gt;1,_xlfn.CONCAT(A409," (",M409,")"),B409)</f>
        <v>Héfú Zhèn</v>
      </c>
      <c r="D409" t="s">
        <v>450</v>
      </c>
      <c r="E409" t="s">
        <v>11</v>
      </c>
      <c r="F409" t="str">
        <f>_xlfn.CONCAT(D409,", ",H409,", ",I409,", ","浙江省")</f>
        <v>和孚镇, 南浔区, 湖州市, 浙江省</v>
      </c>
      <c r="G409">
        <v>47515</v>
      </c>
      <c r="H409" t="s">
        <v>2926</v>
      </c>
      <c r="I409" t="s">
        <v>2922</v>
      </c>
      <c r="J409">
        <f>VLOOKUP(F409,[1]!china_towns_second__2[[Column1]:[Y]],3,FALSE)</f>
        <v>30.776340890609699</v>
      </c>
      <c r="K409">
        <f>VLOOKUP(F409,[1]!china_towns_second__2[[Column1]:[Y]],2,FALSE)</f>
        <v>120.19117780000001</v>
      </c>
      <c r="L409" t="s">
        <v>4045</v>
      </c>
      <c r="M409" t="str">
        <f>VLOOKUP(H409,CHOOSE({1,2},Table12[Native],Table12[Name]),2,0)</f>
        <v>Nánxún Qū</v>
      </c>
      <c r="N409" s="15" t="str">
        <f>VLOOKUP(I409,CHOOSE({1,2},Table12[Native],Table12[Name]),2,0)</f>
        <v>Húzhōu Shì</v>
      </c>
      <c r="O409" s="15" t="str">
        <f t="shared" si="12"/>
        <v>Hefu Zhen (Húzhōu Shì)</v>
      </c>
      <c r="P409" s="15" t="str">
        <f t="shared" si="13"/>
        <v>Hefu Zhen (Húzhōu Shì)</v>
      </c>
    </row>
    <row r="410" spans="1:16" hidden="1" x14ac:dyDescent="0.25">
      <c r="A410" t="s">
        <v>1694</v>
      </c>
      <c r="B410" t="str">
        <f>IF(COUNTIF(A:A,A410)&gt;1,_xlfn.CONCAT(A410," (",N410,")"),A410)</f>
        <v>Héhuā Jiēdào</v>
      </c>
      <c r="C410" t="str">
        <f>IF(COUNTIF(B:B,B410)&gt;1,_xlfn.CONCAT(A410," (",M410,")"),B410)</f>
        <v>Héhuā Jiēdào</v>
      </c>
      <c r="D410" t="s">
        <v>1695</v>
      </c>
      <c r="E410" t="s">
        <v>15</v>
      </c>
      <c r="F410" t="str">
        <f>_xlfn.CONCAT(D410,", ",H410,", ",I410,", ","浙江省")</f>
        <v>荷花街道, 柯城区, 衢州市, 浙江省</v>
      </c>
      <c r="G410">
        <v>52954</v>
      </c>
      <c r="H410" t="s">
        <v>2977</v>
      </c>
      <c r="I410" t="s">
        <v>2973</v>
      </c>
      <c r="J410">
        <f>VLOOKUP(F410,[1]!china_towns_second__2[[Column1]:[Y]],3,FALSE)</f>
        <v>28.942514908082</v>
      </c>
      <c r="K410">
        <f>VLOOKUP(F410,[1]!china_towns_second__2[[Column1]:[Y]],2,FALSE)</f>
        <v>118.869604</v>
      </c>
      <c r="L410" t="s">
        <v>4046</v>
      </c>
      <c r="M410" t="str">
        <f>VLOOKUP(H410,CHOOSE({1,2},Table12[Native],Table12[Name]),2,0)</f>
        <v>Kēchéng Qū</v>
      </c>
      <c r="N410" s="15" t="str">
        <f>VLOOKUP(I410,CHOOSE({1,2},Table12[Native],Table12[Name]),2,0)</f>
        <v>Qúzhōu Shì</v>
      </c>
      <c r="O410" s="15" t="str">
        <f t="shared" si="12"/>
        <v>Hehua Jiedao (Qúzhōu Shì)</v>
      </c>
      <c r="P410" s="15" t="str">
        <f t="shared" si="13"/>
        <v>Hehua Jiedao (Qúzhōu Shì)</v>
      </c>
    </row>
    <row r="411" spans="1:16" hidden="1" x14ac:dyDescent="0.25">
      <c r="A411" t="s">
        <v>1696</v>
      </c>
      <c r="B411" t="str">
        <f>IF(COUNTIF(A:A,A411)&gt;1,_xlfn.CONCAT(A411," (",N411,")"),A411)</f>
        <v>Héjiā Xiāng</v>
      </c>
      <c r="C411" t="str">
        <f>IF(COUNTIF(B:B,B411)&gt;1,_xlfn.CONCAT(A411," (",M411,")"),B411)</f>
        <v>Héjiā Xiāng</v>
      </c>
      <c r="D411" t="s">
        <v>1697</v>
      </c>
      <c r="E411" t="s">
        <v>7</v>
      </c>
      <c r="F411" t="str">
        <f>_xlfn.CONCAT(D411,", ",H411,", ",I411,", ","浙江省")</f>
        <v>何家乡, 常山县, 衢州市, 浙江省</v>
      </c>
      <c r="G411">
        <v>9438</v>
      </c>
      <c r="H411" t="s">
        <v>2974</v>
      </c>
      <c r="I411" t="s">
        <v>2973</v>
      </c>
      <c r="J411" t="e">
        <f>VLOOKUP(F411,[1]!china_towns_second__2[[Column1]:[Y]],3,FALSE)</f>
        <v>#N/A</v>
      </c>
      <c r="K411" t="e">
        <f>VLOOKUP(F411,[1]!china_towns_second__2[[Column1]:[Y]],2,FALSE)</f>
        <v>#N/A</v>
      </c>
      <c r="L411" t="s">
        <v>4047</v>
      </c>
      <c r="M411" t="str">
        <f>VLOOKUP(H411,CHOOSE({1,2},Table12[Native],Table12[Name]),2,0)</f>
        <v>Chángshān Xiàn</v>
      </c>
      <c r="N411" s="15" t="str">
        <f>VLOOKUP(I411,CHOOSE({1,2},Table12[Native],Table12[Name]),2,0)</f>
        <v>Qúzhōu Shì</v>
      </c>
      <c r="O411" s="15" t="str">
        <f t="shared" si="12"/>
        <v>Hejia Xiang (Qúzhōu Shì)</v>
      </c>
      <c r="P411" s="15" t="str">
        <f t="shared" si="13"/>
        <v>Hejia Xiang (Qúzhōu Shì)</v>
      </c>
    </row>
    <row r="412" spans="1:16" hidden="1" x14ac:dyDescent="0.25">
      <c r="A412" t="s">
        <v>127</v>
      </c>
      <c r="B412" t="str">
        <f>IF(COUNTIF(A:A,A412)&gt;1,_xlfn.CONCAT(A412," (",N412,")"),A412)</f>
        <v>Hémù Jiēdào</v>
      </c>
      <c r="C412" t="str">
        <f>IF(COUNTIF(B:B,B412)&gt;1,_xlfn.CONCAT(A412," (",M412,")"),B412)</f>
        <v>Hémù Jiēdào</v>
      </c>
      <c r="D412" t="s">
        <v>128</v>
      </c>
      <c r="E412" t="s">
        <v>15</v>
      </c>
      <c r="F412" t="str">
        <f>_xlfn.CONCAT(D412,", ",H412,", ",I412,", ","浙江省")</f>
        <v>和睦街道, 拱墅区, 杭州市, 浙江省</v>
      </c>
      <c r="G412">
        <v>24805</v>
      </c>
      <c r="H412" t="s">
        <v>2909</v>
      </c>
      <c r="I412" t="s">
        <v>2903</v>
      </c>
      <c r="J412">
        <f>VLOOKUP(F412,[1]!china_towns_second__2[[Column1]:[Y]],3,FALSE)</f>
        <v>30.314628808197501</v>
      </c>
      <c r="K412">
        <f>VLOOKUP(F412,[1]!china_towns_second__2[[Column1]:[Y]],2,FALSE)</f>
        <v>120.1177868</v>
      </c>
      <c r="L412" t="s">
        <v>4048</v>
      </c>
      <c r="M412" t="str">
        <f>VLOOKUP(H412,CHOOSE({1,2},Table12[Native],Table12[Name]),2,0)</f>
        <v>Gŏngshù Qū</v>
      </c>
      <c r="N412" s="15" t="str">
        <f>VLOOKUP(I412,CHOOSE({1,2},Table12[Native],Table12[Name]),2,0)</f>
        <v>Hángzhōu Shì</v>
      </c>
      <c r="O412" s="15" t="str">
        <f t="shared" si="12"/>
        <v>Hemu Jiedao (Hángzhōu Shì)</v>
      </c>
      <c r="P412" s="15" t="str">
        <f t="shared" si="13"/>
        <v>Hemu Jiedao (Hángzhōu Shì)</v>
      </c>
    </row>
    <row r="413" spans="1:16" hidden="1" x14ac:dyDescent="0.25">
      <c r="A413" t="s">
        <v>1435</v>
      </c>
      <c r="B413" t="str">
        <f>IF(COUNTIF(A:A,A413)&gt;1,_xlfn.CONCAT(A413," (",N413,")"),A413)</f>
        <v>Hémŭdù Zhèn</v>
      </c>
      <c r="C413" t="str">
        <f>IF(COUNTIF(B:B,B413)&gt;1,_xlfn.CONCAT(A413," (",M413,")"),B413)</f>
        <v>Hémŭdù Zhèn</v>
      </c>
      <c r="D413" t="s">
        <v>1436</v>
      </c>
      <c r="E413" t="s">
        <v>11</v>
      </c>
      <c r="F413" t="str">
        <f>_xlfn.CONCAT(D413,", ",H413,", ",I413,", ","浙江省")</f>
        <v>河姆渡镇, 余姚市, 宁波市, 浙江省</v>
      </c>
      <c r="G413">
        <v>25775</v>
      </c>
      <c r="H413" t="s">
        <v>2970</v>
      </c>
      <c r="I413" t="s">
        <v>2961</v>
      </c>
      <c r="J413">
        <f>VLOOKUP(F413,[1]!china_towns_second__2[[Column1]:[Y]],3,FALSE)</f>
        <v>29.965883287596</v>
      </c>
      <c r="K413">
        <f>VLOOKUP(F413,[1]!china_towns_second__2[[Column1]:[Y]],2,FALSE)</f>
        <v>121.3154377</v>
      </c>
      <c r="L413" t="s">
        <v>4049</v>
      </c>
      <c r="M413" t="str">
        <f>VLOOKUP(H413,CHOOSE({1,2},Table12[Native],Table12[Name]),2,0)</f>
        <v>Yúyáo Shì</v>
      </c>
      <c r="N413" s="15" t="str">
        <f>VLOOKUP(I413,CHOOSE({1,2},Table12[Native],Table12[Name]),2,0)</f>
        <v>Níngbō Shì</v>
      </c>
      <c r="O413" s="15" t="str">
        <f t="shared" si="12"/>
        <v>Hemudu Zhen (Níngbō Shì)</v>
      </c>
      <c r="P413" s="15" t="str">
        <f t="shared" si="13"/>
        <v>Hemudu Zhen (Níngbō Shì)</v>
      </c>
    </row>
    <row r="414" spans="1:16" hidden="1" x14ac:dyDescent="0.25">
      <c r="A414" t="s">
        <v>129</v>
      </c>
      <c r="B414" t="str">
        <f>IF(COUNTIF(A:A,A414)&gt;1,_xlfn.CONCAT(A414," (",N414,")"),A414)</f>
        <v>Héngcūn Zhèn</v>
      </c>
      <c r="C414" t="str">
        <f>IF(COUNTIF(B:B,B414)&gt;1,_xlfn.CONCAT(A414," (",M414,")"),B414)</f>
        <v>Héngcūn Zhèn</v>
      </c>
      <c r="D414" t="s">
        <v>130</v>
      </c>
      <c r="E414" t="s">
        <v>11</v>
      </c>
      <c r="F414" t="str">
        <f>_xlfn.CONCAT(D414,", ",H414,", ",I414,", ","浙江省")</f>
        <v>横村镇, 桐庐县, 杭州市, 浙江省</v>
      </c>
      <c r="G414">
        <v>46086</v>
      </c>
      <c r="H414" t="s">
        <v>2916</v>
      </c>
      <c r="I414" t="s">
        <v>2903</v>
      </c>
      <c r="J414">
        <f>VLOOKUP(F414,[1]!china_towns_second__2[[Column1]:[Y]],3,FALSE)</f>
        <v>29.863938392390502</v>
      </c>
      <c r="K414">
        <f>VLOOKUP(F414,[1]!china_towns_second__2[[Column1]:[Y]],2,FALSE)</f>
        <v>119.6016118</v>
      </c>
      <c r="L414" t="s">
        <v>4050</v>
      </c>
      <c r="M414" t="str">
        <f>VLOOKUP(H414,CHOOSE({1,2},Table12[Native],Table12[Name]),2,0)</f>
        <v>Tónglú Xiàn</v>
      </c>
      <c r="N414" s="15" t="str">
        <f>VLOOKUP(I414,CHOOSE({1,2},Table12[Native],Table12[Name]),2,0)</f>
        <v>Hángzhōu Shì</v>
      </c>
      <c r="O414" s="15" t="str">
        <f t="shared" si="12"/>
        <v>Hengcun Zhen (Hángzhōu Shì)</v>
      </c>
      <c r="P414" s="15" t="str">
        <f t="shared" si="13"/>
        <v>Hengcun Zhen (Hángzhōu Shì)</v>
      </c>
    </row>
    <row r="415" spans="1:16" hidden="1" x14ac:dyDescent="0.25">
      <c r="A415" t="s">
        <v>781</v>
      </c>
      <c r="B415" t="str">
        <f>IF(COUNTIF(A:A,A415)&gt;1,_xlfn.CONCAT(A415," (",N415,")"),A415)</f>
        <v>Héngdiàn Zhèn</v>
      </c>
      <c r="C415" t="str">
        <f>IF(COUNTIF(B:B,B415)&gt;1,_xlfn.CONCAT(A415," (",M415,")"),B415)</f>
        <v>Héngdiàn Zhèn</v>
      </c>
      <c r="D415" t="s">
        <v>782</v>
      </c>
      <c r="E415" t="s">
        <v>11</v>
      </c>
      <c r="F415" t="str">
        <f>_xlfn.CONCAT(D415,", ",H415,", ",I415,", ","浙江省")</f>
        <v>横店镇, 东阳市, 金华市, 浙江省</v>
      </c>
      <c r="G415">
        <v>108216</v>
      </c>
      <c r="H415" t="s">
        <v>2939</v>
      </c>
      <c r="I415" t="s">
        <v>2938</v>
      </c>
      <c r="J415">
        <f>VLOOKUP(F415,[1]!china_towns_second__2[[Column1]:[Y]],3,FALSE)</f>
        <v>29.159041453916899</v>
      </c>
      <c r="K415">
        <f>VLOOKUP(F415,[1]!china_towns_second__2[[Column1]:[Y]],2,FALSE)</f>
        <v>120.304282</v>
      </c>
      <c r="L415" t="s">
        <v>4051</v>
      </c>
      <c r="M415" t="str">
        <f>VLOOKUP(H415,CHOOSE({1,2},Table12[Native],Table12[Name]),2,0)</f>
        <v>Dōngyáng Shì</v>
      </c>
      <c r="N415" s="15" t="str">
        <f>VLOOKUP(I415,CHOOSE({1,2},Table12[Native],Table12[Name]),2,0)</f>
        <v>Jīnhuá Shì</v>
      </c>
      <c r="O415" s="15" t="str">
        <f t="shared" si="12"/>
        <v>Hengdian Zhen (Jīnhuá Shì)</v>
      </c>
      <c r="P415" s="15" t="str">
        <f t="shared" si="13"/>
        <v>Hengdian Zhen (Jīnhuá Shì)</v>
      </c>
    </row>
    <row r="416" spans="1:16" hidden="1" x14ac:dyDescent="0.25">
      <c r="A416" t="s">
        <v>2111</v>
      </c>
      <c r="B416" t="str">
        <f>IF(COUNTIF(A:A,A416)&gt;1,_xlfn.CONCAT(A416," (",N416,")"),A416)</f>
        <v>Héngdù Zhèn</v>
      </c>
      <c r="C416" t="str">
        <f>IF(COUNTIF(B:B,B416)&gt;1,_xlfn.CONCAT(A416," (",M416,")"),B416)</f>
        <v>Héngdù Zhèn</v>
      </c>
      <c r="D416" t="s">
        <v>2112</v>
      </c>
      <c r="E416" t="s">
        <v>11</v>
      </c>
      <c r="F416" t="str">
        <f>_xlfn.CONCAT(D416,", ",H416,", ",I416,", ","浙江省")</f>
        <v>横渡镇, 三门县, 台州市, 浙江省</v>
      </c>
      <c r="G416">
        <v>7230</v>
      </c>
      <c r="H416" t="s">
        <v>2994</v>
      </c>
      <c r="I416" t="s">
        <v>2989</v>
      </c>
      <c r="J416">
        <f>VLOOKUP(F416,[1]!china_towns_second__2[[Column1]:[Y]],3,FALSE)</f>
        <v>29.0010320627681</v>
      </c>
      <c r="K416">
        <f>VLOOKUP(F416,[1]!china_towns_second__2[[Column1]:[Y]],2,FALSE)</f>
        <v>121.4788959</v>
      </c>
      <c r="L416" t="s">
        <v>4052</v>
      </c>
      <c r="M416" t="str">
        <f>VLOOKUP(H416,CHOOSE({1,2},Table12[Native],Table12[Name]),2,0)</f>
        <v>Sānmén Xiàn</v>
      </c>
      <c r="N416" s="15" t="str">
        <f>VLOOKUP(I416,CHOOSE({1,2},Table12[Native],Table12[Name]),2,0)</f>
        <v>Táizhōu Shì</v>
      </c>
      <c r="O416" s="15" t="str">
        <f t="shared" si="12"/>
        <v>Hengdu Zhen (Táizhōu Shì)</v>
      </c>
      <c r="P416" s="15" t="str">
        <f t="shared" si="13"/>
        <v>Hengdu Zhen (Táizhōu Shì)</v>
      </c>
    </row>
    <row r="417" spans="1:16" hidden="1" x14ac:dyDescent="0.25">
      <c r="A417" t="s">
        <v>2113</v>
      </c>
      <c r="B417" t="str">
        <f>IF(COUNTIF(A:A,A417)&gt;1,_xlfn.CONCAT(A417," (",N417,")"),A417)</f>
        <v>Héngfēng Jiēdào</v>
      </c>
      <c r="C417" t="str">
        <f>IF(COUNTIF(B:B,B417)&gt;1,_xlfn.CONCAT(A417," (",M417,")"),B417)</f>
        <v>Héngfēng Jiēdào</v>
      </c>
      <c r="D417" t="s">
        <v>2114</v>
      </c>
      <c r="E417" t="s">
        <v>15</v>
      </c>
      <c r="F417" t="str">
        <f>_xlfn.CONCAT(D417,", ",H417,", ",I417,", ","浙江省")</f>
        <v>横峰街道, 温岭市, 台州市, 浙江省</v>
      </c>
      <c r="G417">
        <v>79395</v>
      </c>
      <c r="H417" t="s">
        <v>2996</v>
      </c>
      <c r="I417" t="s">
        <v>2989</v>
      </c>
      <c r="J417">
        <f>VLOOKUP(F417,[1]!china_towns_second__2[[Column1]:[Y]],3,FALSE)</f>
        <v>28.432329434216101</v>
      </c>
      <c r="K417">
        <f>VLOOKUP(F417,[1]!china_towns_second__2[[Column1]:[Y]],2,FALSE)</f>
        <v>121.3432494</v>
      </c>
      <c r="L417" t="s">
        <v>4053</v>
      </c>
      <c r="M417" t="str">
        <f>VLOOKUP(H417,CHOOSE({1,2},Table12[Native],Table12[Name]),2,0)</f>
        <v>Wēnlĭng Shì</v>
      </c>
      <c r="N417" s="15" t="str">
        <f>VLOOKUP(I417,CHOOSE({1,2},Table12[Native],Table12[Name]),2,0)</f>
        <v>Táizhōu Shì</v>
      </c>
      <c r="O417" s="15" t="str">
        <f t="shared" si="12"/>
        <v>Hengfeng Jiedao (Táizhōu Shì)</v>
      </c>
      <c r="P417" s="15" t="str">
        <f t="shared" si="13"/>
        <v>Hengfeng Jiedao (Táizhōu Shì)</v>
      </c>
    </row>
    <row r="418" spans="1:16" hidden="1" x14ac:dyDescent="0.25">
      <c r="A418" t="s">
        <v>1437</v>
      </c>
      <c r="B418" t="str">
        <f>IF(COUNTIF(A:A,A418)&gt;1,_xlfn.CONCAT(A418," (",N418,")"),A418)</f>
        <v>Hénghé Zhèn</v>
      </c>
      <c r="C418" t="str">
        <f>IF(COUNTIF(B:B,B418)&gt;1,_xlfn.CONCAT(A418," (",M418,")"),B418)</f>
        <v>Hénghé Zhèn</v>
      </c>
      <c r="D418" t="s">
        <v>1438</v>
      </c>
      <c r="E418" t="s">
        <v>11</v>
      </c>
      <c r="F418" t="str">
        <f>_xlfn.CONCAT(D418,", ",H418,", ",I418,", ","浙江省")</f>
        <v>横河镇, 慈溪市, 宁波市, 浙江省</v>
      </c>
      <c r="G418">
        <v>94391</v>
      </c>
      <c r="H418" t="s">
        <v>2963</v>
      </c>
      <c r="I418" t="s">
        <v>2961</v>
      </c>
      <c r="J418">
        <f>VLOOKUP(F418,[1]!china_towns_second__2[[Column1]:[Y]],3,FALSE)</f>
        <v>30.1114083275666</v>
      </c>
      <c r="K418">
        <f>VLOOKUP(F418,[1]!china_towns_second__2[[Column1]:[Y]],2,FALSE)</f>
        <v>121.2384819</v>
      </c>
      <c r="L418" t="s">
        <v>4054</v>
      </c>
      <c r="M418" t="str">
        <f>VLOOKUP(H418,CHOOSE({1,2},Table12[Native],Table12[Name]),2,0)</f>
        <v>Cíxī Shì</v>
      </c>
      <c r="N418" s="15" t="str">
        <f>VLOOKUP(I418,CHOOSE({1,2},Table12[Native],Table12[Name]),2,0)</f>
        <v>Níngbō Shì</v>
      </c>
      <c r="O418" s="15" t="str">
        <f t="shared" si="12"/>
        <v>Henghe Zhen (Níngbō Shì)</v>
      </c>
      <c r="P418" s="15" t="str">
        <f t="shared" si="13"/>
        <v>Henghe Zhen (Níngbō Shì)</v>
      </c>
    </row>
    <row r="419" spans="1:16" hidden="1" x14ac:dyDescent="0.25">
      <c r="A419" t="s">
        <v>1439</v>
      </c>
      <c r="B419" t="str">
        <f>IF(COUNTIF(A:A,A419)&gt;1,_xlfn.CONCAT(A419," (",N419,")"),A419)</f>
        <v>Héngjiē Zhèn (Níngbō Shì)</v>
      </c>
      <c r="C419" t="str">
        <f>IF(COUNTIF(B:B,B419)&gt;1,_xlfn.CONCAT(A419," (",M419,")"),B419)</f>
        <v>Héngjiē Zhèn (Níngbō Shì)</v>
      </c>
      <c r="D419" t="s">
        <v>1440</v>
      </c>
      <c r="E419" t="s">
        <v>11</v>
      </c>
      <c r="F419" t="str">
        <f>_xlfn.CONCAT(D419,", ",H419,", ",I419,", ","浙江省")</f>
        <v>横街镇, 海曙区, 宁波市, 浙江省</v>
      </c>
      <c r="G419">
        <v>43804</v>
      </c>
      <c r="H419" t="s">
        <v>2965</v>
      </c>
      <c r="I419" t="s">
        <v>2961</v>
      </c>
      <c r="J419">
        <f>VLOOKUP(F419,[1]!china_towns_second__2[[Column1]:[Y]],3,FALSE)</f>
        <v>29.869741734334699</v>
      </c>
      <c r="K419">
        <f>VLOOKUP(F419,[1]!china_towns_second__2[[Column1]:[Y]],2,FALSE)</f>
        <v>121.3319444</v>
      </c>
      <c r="L419" t="s">
        <v>4055</v>
      </c>
      <c r="M419" t="str">
        <f>VLOOKUP(H419,CHOOSE({1,2},Table12[Native],Table12[Name]),2,0)</f>
        <v>Hăishŭ Qū</v>
      </c>
      <c r="N419" s="15" t="str">
        <f>VLOOKUP(I419,CHOOSE({1,2},Table12[Native],Table12[Name]),2,0)</f>
        <v>Níngbō Shì</v>
      </c>
      <c r="O419" s="15" t="str">
        <f t="shared" si="12"/>
        <v>Hengjie Zhen (Ningbo Shi) (Níngbō Shì)</v>
      </c>
      <c r="P419" s="15" t="str">
        <f t="shared" si="13"/>
        <v>Hengjie Zhen (Ningbo Shi) (Níngbō Shì)</v>
      </c>
    </row>
    <row r="420" spans="1:16" hidden="1" x14ac:dyDescent="0.25">
      <c r="A420" t="s">
        <v>1439</v>
      </c>
      <c r="B420" t="str">
        <f>IF(COUNTIF(A:A,A420)&gt;1,_xlfn.CONCAT(A420," (",N420,")"),A420)</f>
        <v>Héngjiē Zhèn (Táizhōu Shì)</v>
      </c>
      <c r="C420" t="str">
        <f>IF(COUNTIF(B:B,B420)&gt;1,_xlfn.CONCAT(A420," (",M420,")"),B420)</f>
        <v>Héngjiē Zhèn (Táizhōu Shì)</v>
      </c>
      <c r="D420" t="s">
        <v>1440</v>
      </c>
      <c r="E420" t="s">
        <v>11</v>
      </c>
      <c r="F420" t="str">
        <f>_xlfn.CONCAT(D420,", ",H420,", ",I420,", ","浙江省")</f>
        <v>横街镇, 路桥区, 台州市, 浙江省</v>
      </c>
      <c r="G420">
        <v>40797</v>
      </c>
      <c r="H420" t="s">
        <v>2993</v>
      </c>
      <c r="I420" t="s">
        <v>2989</v>
      </c>
      <c r="J420">
        <f>VLOOKUP(F420,[1]!china_towns_second__2[[Column1]:[Y]],3,FALSE)</f>
        <v>28.538098285068099</v>
      </c>
      <c r="K420">
        <f>VLOOKUP(F420,[1]!china_towns_second__2[[Column1]:[Y]],2,FALSE)</f>
        <v>121.4374656</v>
      </c>
      <c r="L420" t="s">
        <v>4056</v>
      </c>
      <c r="M420" t="str">
        <f>VLOOKUP(H420,CHOOSE({1,2},Table12[Native],Table12[Name]),2,0)</f>
        <v>Lùqiáo Qū</v>
      </c>
      <c r="N420" s="15" t="str">
        <f>VLOOKUP(I420,CHOOSE({1,2},Table12[Native],Table12[Name]),2,0)</f>
        <v>Táizhōu Shì</v>
      </c>
      <c r="O420" s="15" t="str">
        <f t="shared" si="12"/>
        <v>Hengjie Zhen (Taizhou Shi) (Táizhōu Shì)</v>
      </c>
      <c r="P420" s="15" t="str">
        <f t="shared" si="13"/>
        <v>Hengjie Zhen (Taizhou Shi) (Táizhōu Shì)</v>
      </c>
    </row>
    <row r="421" spans="1:16" hidden="1" x14ac:dyDescent="0.25">
      <c r="A421" t="s">
        <v>2410</v>
      </c>
      <c r="B421" t="str">
        <f>IF(COUNTIF(A:A,A421)&gt;1,_xlfn.CONCAT(A421," (",N421,")"),A421)</f>
        <v>Héngkēng Xiāng</v>
      </c>
      <c r="C421" t="str">
        <f>IF(COUNTIF(B:B,B421)&gt;1,_xlfn.CONCAT(A421," (",M421,")"),B421)</f>
        <v>Héngkēng Xiāng</v>
      </c>
      <c r="D421" t="s">
        <v>2411</v>
      </c>
      <c r="E421" t="s">
        <v>7</v>
      </c>
      <c r="F421" t="str">
        <f>_xlfn.CONCAT(D421,", ",H421,", ",I421,", ","浙江省")</f>
        <v>横坑乡, 泰顺县, 温州市, 浙江省</v>
      </c>
      <c r="G421">
        <v>2897</v>
      </c>
      <c r="H421" t="s">
        <v>3008</v>
      </c>
      <c r="I421" t="s">
        <v>3000</v>
      </c>
      <c r="J421" t="e">
        <f>VLOOKUP(F421,[1]!china_towns_second__2[[Column1]:[Y]],3,FALSE)</f>
        <v>#N/A</v>
      </c>
      <c r="K421" t="e">
        <f>VLOOKUP(F421,[1]!china_towns_second__2[[Column1]:[Y]],2,FALSE)</f>
        <v>#N/A</v>
      </c>
      <c r="L421" t="s">
        <v>4057</v>
      </c>
      <c r="M421" t="str">
        <f>VLOOKUP(H421,CHOOSE({1,2},Table12[Native],Table12[Name]),2,0)</f>
        <v>Tàishùn Xiàn</v>
      </c>
      <c r="N421" s="15" t="str">
        <f>VLOOKUP(I421,CHOOSE({1,2},Table12[Native],Table12[Name]),2,0)</f>
        <v>Wēnzhōu Shì</v>
      </c>
      <c r="O421" s="15" t="str">
        <f t="shared" si="12"/>
        <v>Hengkeng Xiang (Wēnzhōu Shì)</v>
      </c>
      <c r="P421" s="15" t="str">
        <f t="shared" si="13"/>
        <v>Hengkeng Xiang (Wēnzhōu Shì)</v>
      </c>
    </row>
    <row r="422" spans="1:16" hidden="1" x14ac:dyDescent="0.25">
      <c r="A422" t="s">
        <v>131</v>
      </c>
      <c r="B422" t="str">
        <f>IF(COUNTIF(A:A,A422)&gt;1,_xlfn.CONCAT(A422," (",N422,")"),A422)</f>
        <v>Hénglù Xiāng</v>
      </c>
      <c r="C422" t="str">
        <f>IF(COUNTIF(B:B,B422)&gt;1,_xlfn.CONCAT(A422," (",M422,")"),B422)</f>
        <v>Hénglù Xiāng</v>
      </c>
      <c r="D422" t="s">
        <v>132</v>
      </c>
      <c r="E422" t="s">
        <v>7</v>
      </c>
      <c r="F422" t="str">
        <f>_xlfn.CONCAT(D422,", ",H422,", ",I422,", ","浙江省")</f>
        <v>横路乡, 临安区, 杭州市, 浙江省</v>
      </c>
      <c r="G422">
        <v>7547</v>
      </c>
      <c r="H422" t="s">
        <v>2911</v>
      </c>
      <c r="I422" t="s">
        <v>2903</v>
      </c>
      <c r="J422" t="e">
        <f>VLOOKUP(F422,[1]!china_towns_second__2[[Column1]:[Y]],3,FALSE)</f>
        <v>#N/A</v>
      </c>
      <c r="K422" t="e">
        <f>VLOOKUP(F422,[1]!china_towns_second__2[[Column1]:[Y]],2,FALSE)</f>
        <v>#N/A</v>
      </c>
      <c r="L422" t="s">
        <v>4058</v>
      </c>
      <c r="M422" t="str">
        <f>VLOOKUP(H422,CHOOSE({1,2},Table12[Native],Table12[Name]),2,0)</f>
        <v>Lín'ān Qū</v>
      </c>
      <c r="N422" s="15" t="str">
        <f>VLOOKUP(I422,CHOOSE({1,2},Table12[Native],Table12[Name]),2,0)</f>
        <v>Hángzhōu Shì</v>
      </c>
      <c r="O422" s="15" t="str">
        <f t="shared" si="12"/>
        <v>Henglu Xiang (Hángzhōu Shì)</v>
      </c>
      <c r="P422" s="15" t="str">
        <f t="shared" si="13"/>
        <v>Henglu Xiang (Hángzhōu Shì)</v>
      </c>
    </row>
    <row r="423" spans="1:16" hidden="1" x14ac:dyDescent="0.25">
      <c r="A423" t="s">
        <v>1698</v>
      </c>
      <c r="B423" t="str">
        <f>IF(COUNTIF(A:A,A423)&gt;1,_xlfn.CONCAT(A423," (",N423,")"),A423)</f>
        <v>Héngshān Zhèn</v>
      </c>
      <c r="C423" t="str">
        <f>IF(COUNTIF(B:B,B423)&gt;1,_xlfn.CONCAT(A423," (",M423,")"),B423)</f>
        <v>Héngshān Zhèn</v>
      </c>
      <c r="D423" t="s">
        <v>1699</v>
      </c>
      <c r="E423" t="s">
        <v>11</v>
      </c>
      <c r="F423" t="str">
        <f>_xlfn.CONCAT(D423,", ",H423,", ",I423,", ","浙江省")</f>
        <v>横山镇, 龙游县, 衢州市, 浙江省</v>
      </c>
      <c r="G423">
        <v>24281</v>
      </c>
      <c r="H423" t="s">
        <v>2978</v>
      </c>
      <c r="I423" t="s">
        <v>2973</v>
      </c>
      <c r="J423">
        <f>VLOOKUP(F423,[1]!china_towns_second__2[[Column1]:[Y]],3,FALSE)</f>
        <v>29.211590041015501</v>
      </c>
      <c r="K423">
        <f>VLOOKUP(F423,[1]!china_towns_second__2[[Column1]:[Y]],2,FALSE)</f>
        <v>119.1977448</v>
      </c>
      <c r="L423" t="s">
        <v>4059</v>
      </c>
      <c r="M423" t="str">
        <f>VLOOKUP(H423,CHOOSE({1,2},Table12[Native],Table12[Name]),2,0)</f>
        <v>Lóngyóu Xiàn</v>
      </c>
      <c r="N423" s="15" t="str">
        <f>VLOOKUP(I423,CHOOSE({1,2},Table12[Native],Table12[Name]),2,0)</f>
        <v>Qúzhōu Shì</v>
      </c>
      <c r="O423" s="15" t="str">
        <f t="shared" si="12"/>
        <v>Hengshan Zhen (Qúzhōu Shì)</v>
      </c>
      <c r="P423" s="15" t="str">
        <f t="shared" si="13"/>
        <v>Hengshan Zhen (Qúzhōu Shì)</v>
      </c>
    </row>
    <row r="424" spans="1:16" hidden="1" x14ac:dyDescent="0.25">
      <c r="A424" t="s">
        <v>783</v>
      </c>
      <c r="B424" t="str">
        <f>IF(COUNTIF(A:A,A424)&gt;1,_xlfn.CONCAT(A424," (",N424,")"),A424)</f>
        <v>Héngxī Zhèn (Jīnhuá Shì)</v>
      </c>
      <c r="C424" t="str">
        <f>IF(COUNTIF(B:B,B424)&gt;1,_xlfn.CONCAT(A424," (",M424,")"),B424)</f>
        <v>Héngxī Zhèn (Jīnhuá Shì)</v>
      </c>
      <c r="D424" t="s">
        <v>784</v>
      </c>
      <c r="E424" t="s">
        <v>11</v>
      </c>
      <c r="F424" t="str">
        <f>_xlfn.CONCAT(D424,", ",H424,", ",I424,", ","浙江省")</f>
        <v>横溪镇, 兰溪市, 金华市, 浙江省</v>
      </c>
      <c r="G424">
        <v>22774</v>
      </c>
      <c r="H424" t="s">
        <v>2941</v>
      </c>
      <c r="I424" t="s">
        <v>2938</v>
      </c>
      <c r="J424">
        <f>VLOOKUP(F424,[1]!china_towns_second__2[[Column1]:[Y]],3,FALSE)</f>
        <v>29.365298008406899</v>
      </c>
      <c r="K424">
        <f>VLOOKUP(F424,[1]!china_towns_second__2[[Column1]:[Y]],2,FALSE)</f>
        <v>119.826612</v>
      </c>
      <c r="L424" t="s">
        <v>4060</v>
      </c>
      <c r="M424" t="str">
        <f>VLOOKUP(H424,CHOOSE({1,2},Table12[Native],Table12[Name]),2,0)</f>
        <v>Lánxī Shì</v>
      </c>
      <c r="N424" s="15" t="str">
        <f>VLOOKUP(I424,CHOOSE({1,2},Table12[Native],Table12[Name]),2,0)</f>
        <v>Jīnhuá Shì</v>
      </c>
      <c r="O424" s="15" t="str">
        <f t="shared" si="12"/>
        <v>Hengxi Zhen (Jinhua Shi) (Jīnhuá Shì)</v>
      </c>
      <c r="P424" s="15" t="str">
        <f t="shared" si="13"/>
        <v>Hengxi Zhen (Jinhua Shi) (Jīnhuá Shì)</v>
      </c>
    </row>
    <row r="425" spans="1:16" hidden="1" x14ac:dyDescent="0.25">
      <c r="A425" t="s">
        <v>783</v>
      </c>
      <c r="B425" t="str">
        <f>IF(COUNTIF(A:A,A425)&gt;1,_xlfn.CONCAT(A425," (",N425,")"),A425)</f>
        <v>Héngxī Zhèn (Níngbō Shì)</v>
      </c>
      <c r="C425" t="str">
        <f>IF(COUNTIF(B:B,B425)&gt;1,_xlfn.CONCAT(A425," (",M425,")"),B425)</f>
        <v>Héngxī Zhèn (Níngbō Shì)</v>
      </c>
      <c r="D425" t="s">
        <v>784</v>
      </c>
      <c r="E425" t="s">
        <v>11</v>
      </c>
      <c r="F425" t="str">
        <f>_xlfn.CONCAT(D425,", ",H425,", ",I425,", ","浙江省")</f>
        <v>横溪镇, 鄞州区, 宁波市, 浙江省</v>
      </c>
      <c r="G425">
        <v>40066</v>
      </c>
      <c r="H425" t="s">
        <v>2969</v>
      </c>
      <c r="I425" t="s">
        <v>2961</v>
      </c>
      <c r="J425">
        <f>VLOOKUP(F425,[1]!china_towns_second__2[[Column1]:[Y]],3,FALSE)</f>
        <v>29.6822844924313</v>
      </c>
      <c r="K425">
        <f>VLOOKUP(F425,[1]!china_towns_second__2[[Column1]:[Y]],2,FALSE)</f>
        <v>121.60458319999999</v>
      </c>
      <c r="L425" t="s">
        <v>4061</v>
      </c>
      <c r="M425" t="str">
        <f>VLOOKUP(H425,CHOOSE({1,2},Table12[Native],Table12[Name]),2,0)</f>
        <v>Yínzhōu Qū</v>
      </c>
      <c r="N425" s="15" t="str">
        <f>VLOOKUP(I425,CHOOSE({1,2},Table12[Native],Table12[Name]),2,0)</f>
        <v>Níngbō Shì</v>
      </c>
      <c r="O425" s="15" t="str">
        <f t="shared" si="12"/>
        <v>Hengxi Zhen (Ningbo Shi) (Níngbō Shì)</v>
      </c>
      <c r="P425" s="15" t="str">
        <f t="shared" si="13"/>
        <v>Hengxi Zhen (Ningbo Shi) (Níngbō Shì)</v>
      </c>
    </row>
    <row r="426" spans="1:16" hidden="1" x14ac:dyDescent="0.25">
      <c r="A426" t="s">
        <v>783</v>
      </c>
      <c r="B426" t="str">
        <f>IF(COUNTIF(A:A,A426)&gt;1,_xlfn.CONCAT(A426," (",N426,")"),A426)</f>
        <v>Héngxī Zhèn (Táizhōu Shì)</v>
      </c>
      <c r="C426" t="str">
        <f>IF(COUNTIF(B:B,B426)&gt;1,_xlfn.CONCAT(A426," (",M426,")"),B426)</f>
        <v>Héngxī Zhèn (Táizhōu Shì)</v>
      </c>
      <c r="D426" t="s">
        <v>784</v>
      </c>
      <c r="E426" t="s">
        <v>11</v>
      </c>
      <c r="F426" t="str">
        <f>_xlfn.CONCAT(D426,", ",H426,", ",I426,", ","浙江省")</f>
        <v>横溪镇, 仙居县, 台州市, 浙江省</v>
      </c>
      <c r="G426">
        <v>33757</v>
      </c>
      <c r="H426" t="s">
        <v>2997</v>
      </c>
      <c r="I426" t="s">
        <v>2989</v>
      </c>
      <c r="J426">
        <f>VLOOKUP(F426,[1]!china_towns_second__2[[Column1]:[Y]],3,FALSE)</f>
        <v>28.725218296115401</v>
      </c>
      <c r="K426">
        <f>VLOOKUP(F426,[1]!china_towns_second__2[[Column1]:[Y]],2,FALSE)</f>
        <v>120.44686350000001</v>
      </c>
      <c r="L426" t="s">
        <v>4062</v>
      </c>
      <c r="M426" t="str">
        <f>VLOOKUP(H426,CHOOSE({1,2},Table12[Native],Table12[Name]),2,0)</f>
        <v>Xiānjū Xiàn</v>
      </c>
      <c r="N426" s="15" t="str">
        <f>VLOOKUP(I426,CHOOSE({1,2},Table12[Native],Table12[Name]),2,0)</f>
        <v>Táizhōu Shì</v>
      </c>
      <c r="O426" s="15" t="str">
        <f t="shared" si="12"/>
        <v>Hengxi Zhen (Taizhou Shi) (Táizhōu Shì)</v>
      </c>
      <c r="P426" s="15" t="str">
        <f t="shared" si="13"/>
        <v>Hengxi Zhen (Taizhou Shi) (Táizhōu Shì)</v>
      </c>
    </row>
    <row r="427" spans="1:16" hidden="1" x14ac:dyDescent="0.25">
      <c r="A427" t="s">
        <v>452</v>
      </c>
      <c r="B427" t="str">
        <f>IF(COUNTIF(A:A,A427)&gt;1,_xlfn.CONCAT(A427," (",N427,")"),A427)</f>
        <v>Hépíng Zhèn [incl. Wúshān Xiāng]</v>
      </c>
      <c r="C427" t="str">
        <f>IF(COUNTIF(B:B,B427)&gt;1,_xlfn.CONCAT(A427," (",M427,")"),B427)</f>
        <v>Hépíng Zhèn [incl. Wúshān Xiāng]</v>
      </c>
      <c r="D427" t="s">
        <v>453</v>
      </c>
      <c r="E427" t="s">
        <v>11</v>
      </c>
      <c r="F427" t="str">
        <f>_xlfn.CONCAT(D427,", ",H427,", ",I427,", ","浙江省")</f>
        <v>和平镇, 长兴县, 湖州市, 浙江省</v>
      </c>
      <c r="G427">
        <v>49008</v>
      </c>
      <c r="H427" t="s">
        <v>2924</v>
      </c>
      <c r="I427" t="s">
        <v>2922</v>
      </c>
      <c r="J427">
        <f>VLOOKUP(F427,[1]!china_towns_second__2[[Column1]:[Y]],3,FALSE)</f>
        <v>30.806795595964001</v>
      </c>
      <c r="K427">
        <f>VLOOKUP(F427,[1]!china_towns_second__2[[Column1]:[Y]],2,FALSE)</f>
        <v>119.8826177</v>
      </c>
      <c r="L427" t="s">
        <v>4063</v>
      </c>
      <c r="M427" t="str">
        <f>VLOOKUP(H427,CHOOSE({1,2},Table12[Native],Table12[Name]),2,0)</f>
        <v>Chángxīng Xiàn</v>
      </c>
      <c r="N427" s="15" t="str">
        <f>VLOOKUP(I427,CHOOSE({1,2},Table12[Native],Table12[Name]),2,0)</f>
        <v>Húzhōu Shì</v>
      </c>
      <c r="O427" s="15" t="str">
        <f t="shared" si="12"/>
        <v>Heping Zhen [incl. Wushan Xiang] (Húzhōu Shì)</v>
      </c>
      <c r="P427" s="15" t="str">
        <f t="shared" si="13"/>
        <v>Heping Zhen [incl. Wushan Xiang] (Húzhōu Shì)</v>
      </c>
    </row>
    <row r="428" spans="1:16" hidden="1" x14ac:dyDescent="0.25">
      <c r="A428" t="s">
        <v>1441</v>
      </c>
      <c r="B428" t="str">
        <f>IF(COUNTIF(A:A,A428)&gt;1,_xlfn.CONCAT(A428," (",N428,")"),A428)</f>
        <v>Hèpŭ Zhèn</v>
      </c>
      <c r="C428" t="str">
        <f>IF(COUNTIF(B:B,B428)&gt;1,_xlfn.CONCAT(A428," (",M428,")"),B428)</f>
        <v>Hèpŭ Zhèn</v>
      </c>
      <c r="D428" t="s">
        <v>1442</v>
      </c>
      <c r="E428" t="s">
        <v>11</v>
      </c>
      <c r="F428" t="str">
        <f>_xlfn.CONCAT(D428,", ",H428,", ",I428,", ","浙江省")</f>
        <v>鹤浦镇, 象山县, 宁波市, 浙江省</v>
      </c>
      <c r="G428">
        <v>25952</v>
      </c>
      <c r="H428" t="s">
        <v>2968</v>
      </c>
      <c r="I428" t="s">
        <v>2961</v>
      </c>
      <c r="J428">
        <f>VLOOKUP(F428,[1]!china_towns_second__2[[Column1]:[Y]],3,FALSE)</f>
        <v>29.117536089558499</v>
      </c>
      <c r="K428">
        <f>VLOOKUP(F428,[1]!china_towns_second__2[[Column1]:[Y]],2,FALSE)</f>
        <v>121.93861099999999</v>
      </c>
      <c r="L428" t="s">
        <v>4064</v>
      </c>
      <c r="M428" t="str">
        <f>VLOOKUP(H428,CHOOSE({1,2},Table12[Native],Table12[Name]),2,0)</f>
        <v>Xiàngshān Xiàn</v>
      </c>
      <c r="N428" s="15" t="str">
        <f>VLOOKUP(I428,CHOOSE({1,2},Table12[Native],Table12[Name]),2,0)</f>
        <v>Níngbō Shì</v>
      </c>
      <c r="O428" s="15" t="str">
        <f t="shared" si="12"/>
        <v>Hepu Zhen (Níngbō Shì)</v>
      </c>
      <c r="P428" s="15" t="str">
        <f t="shared" si="13"/>
        <v>Hepu Zhen (Níngbō Shì)</v>
      </c>
    </row>
    <row r="429" spans="1:16" hidden="1" x14ac:dyDescent="0.25">
      <c r="A429" t="s">
        <v>133</v>
      </c>
      <c r="B429" t="str">
        <f>IF(COUNTIF(A:A,A429)&gt;1,_xlfn.CONCAT(A429," (",N429,")"),A429)</f>
        <v>Héqiáo Zhèn</v>
      </c>
      <c r="C429" t="str">
        <f>IF(COUNTIF(B:B,B429)&gt;1,_xlfn.CONCAT(A429," (",M429,")"),B429)</f>
        <v>Héqiáo Zhèn</v>
      </c>
      <c r="D429" t="s">
        <v>134</v>
      </c>
      <c r="E429" t="s">
        <v>11</v>
      </c>
      <c r="F429" t="str">
        <f>_xlfn.CONCAT(D429,", ",H429,", ",I429,", ","浙江省")</f>
        <v>河桥镇, 临安区, 杭州市, 浙江省</v>
      </c>
      <c r="G429">
        <v>12049</v>
      </c>
      <c r="H429" t="s">
        <v>2911</v>
      </c>
      <c r="I429" t="s">
        <v>2903</v>
      </c>
      <c r="J429">
        <f>VLOOKUP(F429,[1]!china_towns_second__2[[Column1]:[Y]],3,FALSE)</f>
        <v>30.096920392051501</v>
      </c>
      <c r="K429">
        <f>VLOOKUP(F429,[1]!china_towns_second__2[[Column1]:[Y]],2,FALSE)</f>
        <v>119.17091790000001</v>
      </c>
      <c r="L429" t="s">
        <v>4065</v>
      </c>
      <c r="M429" t="str">
        <f>VLOOKUP(H429,CHOOSE({1,2},Table12[Native],Table12[Name]),2,0)</f>
        <v>Lín'ān Qū</v>
      </c>
      <c r="N429" s="15" t="str">
        <f>VLOOKUP(I429,CHOOSE({1,2},Table12[Native],Table12[Name]),2,0)</f>
        <v>Hángzhōu Shì</v>
      </c>
      <c r="O429" s="15" t="str">
        <f t="shared" si="12"/>
        <v>Heqiao Zhen (Hángzhōu Shì)</v>
      </c>
      <c r="P429" s="15" t="str">
        <f t="shared" si="13"/>
        <v>Heqiao Zhen (Hángzhōu Shì)</v>
      </c>
    </row>
    <row r="430" spans="1:16" hidden="1" x14ac:dyDescent="0.25">
      <c r="A430" t="s">
        <v>601</v>
      </c>
      <c r="B430" t="str">
        <f>IF(COUNTIF(A:A,A430)&gt;1,_xlfn.CONCAT(A430," (",N430,")"),A430)</f>
        <v>Héshān Zhèn</v>
      </c>
      <c r="C430" t="str">
        <f>IF(COUNTIF(B:B,B430)&gt;1,_xlfn.CONCAT(A430," (",M430,")"),B430)</f>
        <v>Héshān Zhèn</v>
      </c>
      <c r="D430" t="s">
        <v>602</v>
      </c>
      <c r="E430" t="s">
        <v>11</v>
      </c>
      <c r="F430" t="str">
        <f>_xlfn.CONCAT(D430,", ",H430,", ",I430,", ","浙江省")</f>
        <v>河山镇, 桐乡市, 嘉兴市, 浙江省</v>
      </c>
      <c r="G430">
        <v>28191</v>
      </c>
      <c r="H430" t="s">
        <v>2935</v>
      </c>
      <c r="I430" t="s">
        <v>2929</v>
      </c>
      <c r="J430">
        <f>VLOOKUP(F430,[1]!china_towns_second__2[[Column1]:[Y]],3,FALSE)</f>
        <v>30.638696746441301</v>
      </c>
      <c r="K430">
        <f>VLOOKUP(F430,[1]!china_towns_second__2[[Column1]:[Y]],2,FALSE)</f>
        <v>120.3761569</v>
      </c>
      <c r="L430" t="s">
        <v>4066</v>
      </c>
      <c r="M430" t="str">
        <f>VLOOKUP(H430,CHOOSE({1,2},Table12[Native],Table12[Name]),2,0)</f>
        <v>Tóngxiāng Shì</v>
      </c>
      <c r="N430" s="15" t="str">
        <f>VLOOKUP(I430,CHOOSE({1,2},Table12[Native],Table12[Name]),2,0)</f>
        <v>Jiāxīng Shì</v>
      </c>
      <c r="O430" s="15" t="str">
        <f t="shared" si="12"/>
        <v>Heshan Zhen (Jiāxīng Shì)</v>
      </c>
      <c r="P430" s="15" t="str">
        <f t="shared" si="13"/>
        <v>Heshan Zhen (Jiāxīng Shì)</v>
      </c>
    </row>
    <row r="431" spans="1:16" hidden="1" x14ac:dyDescent="0.25">
      <c r="A431" t="s">
        <v>135</v>
      </c>
      <c r="B431" t="str">
        <f>IF(COUNTIF(A:A,A431)&gt;1,_xlfn.CONCAT(A431," (",N431,")"),A431)</f>
        <v>Héshàng Zhèn</v>
      </c>
      <c r="C431" t="str">
        <f>IF(COUNTIF(B:B,B431)&gt;1,_xlfn.CONCAT(A431," (",M431,")"),B431)</f>
        <v>Héshàng Zhèn</v>
      </c>
      <c r="D431" t="s">
        <v>136</v>
      </c>
      <c r="E431" t="s">
        <v>11</v>
      </c>
      <c r="F431" t="str">
        <f>_xlfn.CONCAT(D431,", ",H431,", ",I431,", ","浙江省")</f>
        <v>河上镇, 萧山区, 杭州市, 浙江省</v>
      </c>
      <c r="G431">
        <v>29914</v>
      </c>
      <c r="H431" t="s">
        <v>2917</v>
      </c>
      <c r="I431" t="s">
        <v>2903</v>
      </c>
      <c r="J431">
        <f>VLOOKUP(F431,[1]!china_towns_second__2[[Column1]:[Y]],3,FALSE)</f>
        <v>29.951850487052099</v>
      </c>
      <c r="K431">
        <f>VLOOKUP(F431,[1]!china_towns_second__2[[Column1]:[Y]],2,FALSE)</f>
        <v>120.1681928</v>
      </c>
      <c r="L431" t="s">
        <v>4067</v>
      </c>
      <c r="M431" t="str">
        <f>VLOOKUP(H431,CHOOSE({1,2},Table12[Native],Table12[Name]),2,0)</f>
        <v>Xiāoshān Qū</v>
      </c>
      <c r="N431" s="15" t="str">
        <f>VLOOKUP(I431,CHOOSE({1,2},Table12[Native],Table12[Name]),2,0)</f>
        <v>Hángzhōu Shì</v>
      </c>
      <c r="O431" s="15" t="str">
        <f t="shared" si="12"/>
        <v>Heshang Zhen (Hángzhōu Shì)</v>
      </c>
      <c r="P431" s="15" t="str">
        <f t="shared" si="13"/>
        <v>Heshang Zhen (Hángzhōu Shì)</v>
      </c>
    </row>
    <row r="432" spans="1:16" hidden="1" x14ac:dyDescent="0.25">
      <c r="A432" t="s">
        <v>2412</v>
      </c>
      <c r="B432" t="str">
        <f>IF(COUNTIF(A:A,A432)&gt;1,_xlfn.CONCAT(A432," (",N432,")"),A432)</f>
        <v>Hèshèng Zhèn</v>
      </c>
      <c r="C432" t="str">
        <f>IF(COUNTIF(B:B,B432)&gt;1,_xlfn.CONCAT(A432," (",M432,")"),B432)</f>
        <v>Hèshèng Zhèn</v>
      </c>
      <c r="D432" t="s">
        <v>2413</v>
      </c>
      <c r="E432" t="s">
        <v>11</v>
      </c>
      <c r="F432" t="str">
        <f>_xlfn.CONCAT(D432,", ",H432,", ",I432,", ","浙江省")</f>
        <v>鹤盛镇, 永嘉县, 温州市, 浙江省</v>
      </c>
      <c r="G432">
        <v>5669</v>
      </c>
      <c r="H432" t="s">
        <v>3010</v>
      </c>
      <c r="I432" t="s">
        <v>3000</v>
      </c>
      <c r="J432">
        <f>VLOOKUP(F432,[1]!china_towns_second__2[[Column1]:[Y]],3,FALSE)</f>
        <v>28.413061155887402</v>
      </c>
      <c r="K432">
        <f>VLOOKUP(F432,[1]!china_towns_second__2[[Column1]:[Y]],2,FALSE)</f>
        <v>120.884021</v>
      </c>
      <c r="L432" t="s">
        <v>4068</v>
      </c>
      <c r="M432" t="str">
        <f>VLOOKUP(H432,CHOOSE({1,2},Table12[Native],Table12[Name]),2,0)</f>
        <v>Yŏngjiā Xiàn</v>
      </c>
      <c r="N432" s="15" t="str">
        <f>VLOOKUP(I432,CHOOSE({1,2},Table12[Native],Table12[Name]),2,0)</f>
        <v>Wēnzhōu Shì</v>
      </c>
      <c r="O432" s="15" t="str">
        <f t="shared" si="12"/>
        <v>Hesheng Zhen (Wēnzhōu Shì)</v>
      </c>
      <c r="P432" s="15" t="str">
        <f t="shared" si="13"/>
        <v>Hesheng Zhen (Wēnzhōu Shì)</v>
      </c>
    </row>
    <row r="433" spans="1:16" hidden="1" x14ac:dyDescent="0.25">
      <c r="A433" t="s">
        <v>1700</v>
      </c>
      <c r="B433" t="str">
        <f>IF(COUNTIF(A:A,A433)&gt;1,_xlfn.CONCAT(A433," (",N433,")"),A433)</f>
        <v>Hétián Xiāng</v>
      </c>
      <c r="C433" t="str">
        <f>IF(COUNTIF(B:B,B433)&gt;1,_xlfn.CONCAT(A433," (",M433,")"),B433)</f>
        <v>Hétián Xiāng</v>
      </c>
      <c r="D433" t="s">
        <v>1701</v>
      </c>
      <c r="E433" t="s">
        <v>7</v>
      </c>
      <c r="F433" t="str">
        <f>_xlfn.CONCAT(D433,", ",H433,", ",I433,", ","浙江省")</f>
        <v>何田乡, 开化县, 衢州市, 浙江省</v>
      </c>
      <c r="G433">
        <v>5787</v>
      </c>
      <c r="H433" t="s">
        <v>2976</v>
      </c>
      <c r="I433" t="s">
        <v>2973</v>
      </c>
      <c r="J433" t="e">
        <f>VLOOKUP(F433,[1]!china_towns_second__2[[Column1]:[Y]],3,FALSE)</f>
        <v>#N/A</v>
      </c>
      <c r="K433" t="e">
        <f>VLOOKUP(F433,[1]!china_towns_second__2[[Column1]:[Y]],2,FALSE)</f>
        <v>#N/A</v>
      </c>
      <c r="L433" t="s">
        <v>4069</v>
      </c>
      <c r="M433" t="str">
        <f>VLOOKUP(H433,CHOOSE({1,2},Table12[Native],Table12[Name]),2,0)</f>
        <v>Kāihuà Xiàn</v>
      </c>
      <c r="N433" s="15" t="str">
        <f>VLOOKUP(I433,CHOOSE({1,2},Table12[Native],Table12[Name]),2,0)</f>
        <v>Qúzhōu Shì</v>
      </c>
      <c r="O433" s="15" t="str">
        <f t="shared" si="12"/>
        <v>Hetian Xiang (Qúzhōu Shì)</v>
      </c>
      <c r="P433" s="15" t="str">
        <f t="shared" si="13"/>
        <v>Hetian Xiang (Qúzhōu Shì)</v>
      </c>
    </row>
    <row r="434" spans="1:16" hidden="1" x14ac:dyDescent="0.25">
      <c r="A434" t="s">
        <v>2115</v>
      </c>
      <c r="B434" t="str">
        <f>IF(COUNTIF(A:A,A434)&gt;1,_xlfn.CONCAT(A434," (",N434,")"),A434)</f>
        <v>Hétóu Zhèn</v>
      </c>
      <c r="C434" t="str">
        <f>IF(COUNTIF(B:B,B434)&gt;1,_xlfn.CONCAT(A434," (",M434,")"),B434)</f>
        <v>Hétóu Zhèn</v>
      </c>
      <c r="D434" t="s">
        <v>2116</v>
      </c>
      <c r="E434" t="s">
        <v>11</v>
      </c>
      <c r="F434" t="str">
        <f>_xlfn.CONCAT(D434,", ",H434,", ",I434,", ","浙江省")</f>
        <v>河头镇, 临海市, 台州市, 浙江省</v>
      </c>
      <c r="G434">
        <v>24905</v>
      </c>
      <c r="H434" t="s">
        <v>2992</v>
      </c>
      <c r="I434" t="s">
        <v>2989</v>
      </c>
      <c r="J434">
        <f>VLOOKUP(F434,[1]!china_towns_second__2[[Column1]:[Y]],3,FALSE)</f>
        <v>29.016196990002399</v>
      </c>
      <c r="K434">
        <f>VLOOKUP(F434,[1]!china_towns_second__2[[Column1]:[Y]],2,FALSE)</f>
        <v>121.1037481</v>
      </c>
      <c r="L434" t="s">
        <v>4070</v>
      </c>
      <c r="M434" t="str">
        <f>VLOOKUP(H434,CHOOSE({1,2},Table12[Native],Table12[Name]),2,0)</f>
        <v>Línhăi Shì</v>
      </c>
      <c r="N434" s="15" t="str">
        <f>VLOOKUP(I434,CHOOSE({1,2},Table12[Native],Table12[Name]),2,0)</f>
        <v>Táizhōu Shì</v>
      </c>
      <c r="O434" s="15" t="str">
        <f t="shared" si="12"/>
        <v>Hetou Zhen (Táizhōu Shì)</v>
      </c>
      <c r="P434" s="15" t="str">
        <f t="shared" si="13"/>
        <v>Hetou Zhen (Táizhōu Shì)</v>
      </c>
    </row>
    <row r="435" spans="1:16" hidden="1" x14ac:dyDescent="0.25">
      <c r="A435" t="s">
        <v>1104</v>
      </c>
      <c r="B435" t="str">
        <f>IF(COUNTIF(A:A,A435)&gt;1,_xlfn.CONCAT(A435," (",N435,")"),A435)</f>
        <v>Hèxī Jiēdào [incl. Hóngxīng Jiēdào]</v>
      </c>
      <c r="C435" t="str">
        <f>IF(COUNTIF(B:B,B435)&gt;1,_xlfn.CONCAT(A435," (",M435,")"),B435)</f>
        <v>Hèxī Jiēdào [incl. Hóngxīng Jiēdào]</v>
      </c>
      <c r="D435" t="s">
        <v>1105</v>
      </c>
      <c r="E435" t="s">
        <v>15</v>
      </c>
      <c r="F435" t="str">
        <f>_xlfn.CONCAT(D435,", ",H435,", ",I435,", ","浙江省")</f>
        <v>鹤溪街道, 景宁畲族自治县, 丽水市, 浙江省</v>
      </c>
      <c r="G435">
        <v>58673</v>
      </c>
      <c r="H435" t="s">
        <v>2951</v>
      </c>
      <c r="I435" t="s">
        <v>2949</v>
      </c>
      <c r="J435">
        <f>VLOOKUP(F435,[1]!china_towns_second__2[[Column1]:[Y]],3,FALSE)</f>
        <v>27.954166337341</v>
      </c>
      <c r="K435">
        <f>VLOOKUP(F435,[1]!china_towns_second__2[[Column1]:[Y]],2,FALSE)</f>
        <v>119.67157349999999</v>
      </c>
      <c r="L435" t="s">
        <v>4071</v>
      </c>
      <c r="M435" t="str">
        <f>VLOOKUP(H435,CHOOSE({1,2},Table12[Native],Table12[Name]),2,0)</f>
        <v>Jĭngníng Shēzú Zìzhìxiàn</v>
      </c>
      <c r="N435" s="15" t="str">
        <f>VLOOKUP(I435,CHOOSE({1,2},Table12[Native],Table12[Name]),2,0)</f>
        <v>Lìshuĭ Shì</v>
      </c>
      <c r="O435" s="15" t="str">
        <f t="shared" si="12"/>
        <v>Hexi Jiedao [incl. Hongxing Jiedao] (Lìshuĭ Shì)</v>
      </c>
      <c r="P435" s="15" t="str">
        <f t="shared" si="13"/>
        <v>Hexi Jiedao [incl. Hongxing Jiedao] (Lìshuĭ Shì)</v>
      </c>
    </row>
    <row r="436" spans="1:16" hidden="1" x14ac:dyDescent="0.25">
      <c r="A436" t="s">
        <v>2414</v>
      </c>
      <c r="B436" t="str">
        <f>IF(COUNTIF(A:A,A436)&gt;1,_xlfn.CONCAT(A436," (",N436,")"),A436)</f>
        <v>Hèxī Zhèn</v>
      </c>
      <c r="C436" t="str">
        <f>IF(COUNTIF(B:B,B436)&gt;1,_xlfn.CONCAT(A436," (",M436,")"),B436)</f>
        <v>Hèxī Zhèn</v>
      </c>
      <c r="D436" t="s">
        <v>2415</v>
      </c>
      <c r="E436" t="s">
        <v>11</v>
      </c>
      <c r="F436" t="str">
        <f>_xlfn.CONCAT(D436,", ",H436,", ",I436,", ","浙江省")</f>
        <v>鹤溪镇, 平阳县, 温州市, 浙江省</v>
      </c>
      <c r="G436">
        <v>15651</v>
      </c>
      <c r="H436" t="s">
        <v>3006</v>
      </c>
      <c r="I436" t="s">
        <v>3000</v>
      </c>
      <c r="J436">
        <f>VLOOKUP(F436,[1]!china_towns_second__2[[Column1]:[Y]],3,FALSE)</f>
        <v>27.656600000000001</v>
      </c>
      <c r="K436">
        <f>VLOOKUP(F436,[1]!china_towns_second__2[[Column1]:[Y]],2,FALSE)</f>
        <v>120.3809</v>
      </c>
      <c r="L436" t="s">
        <v>4072</v>
      </c>
      <c r="M436" t="str">
        <f>VLOOKUP(H436,CHOOSE({1,2},Table12[Native],Table12[Name]),2,0)</f>
        <v>Píngyáng Xiàn</v>
      </c>
      <c r="N436" s="15" t="str">
        <f>VLOOKUP(I436,CHOOSE({1,2},Table12[Native],Table12[Name]),2,0)</f>
        <v>Wēnzhōu Shì</v>
      </c>
      <c r="O436" s="15" t="str">
        <f t="shared" si="12"/>
        <v>Hexi Zhen (Wēnzhōu Shì)</v>
      </c>
      <c r="P436" s="15" t="str">
        <f t="shared" si="13"/>
        <v>Hexi Zhen (Wēnzhōu Shì)</v>
      </c>
    </row>
    <row r="437" spans="1:16" hidden="1" x14ac:dyDescent="0.25">
      <c r="A437" t="s">
        <v>137</v>
      </c>
      <c r="B437" t="str">
        <f>IF(COUNTIF(A:A,A437)&gt;1,_xlfn.CONCAT(A437," (",N437,")"),A437)</f>
        <v>Hézhuāng Jiēdào</v>
      </c>
      <c r="C437" t="str">
        <f>IF(COUNTIF(B:B,B437)&gt;1,_xlfn.CONCAT(A437," (",M437,")"),B437)</f>
        <v>Hézhuāng Jiēdào</v>
      </c>
      <c r="D437" t="s">
        <v>138</v>
      </c>
      <c r="E437" t="s">
        <v>15</v>
      </c>
      <c r="F437" t="str">
        <f>_xlfn.CONCAT(D437,", ",H437,", ",I437,", ","浙江省")</f>
        <v>河庄街道, 钱塘区, 杭州市, 浙江省</v>
      </c>
      <c r="G437">
        <v>48047</v>
      </c>
      <c r="H437" t="s">
        <v>2914</v>
      </c>
      <c r="I437" t="s">
        <v>2903</v>
      </c>
      <c r="J437" t="e">
        <f>VLOOKUP(F437,[1]!china_towns_second__2[[Column1]:[Y]],3,FALSE)</f>
        <v>#N/A</v>
      </c>
      <c r="K437" t="e">
        <f>VLOOKUP(F437,[1]!china_towns_second__2[[Column1]:[Y]],2,FALSE)</f>
        <v>#N/A</v>
      </c>
      <c r="L437" t="s">
        <v>4073</v>
      </c>
      <c r="M437" t="str">
        <f>VLOOKUP(H437,CHOOSE({1,2},Table12[Native],Table12[Name]),2,0)</f>
        <v>Qiántáng Qū</v>
      </c>
      <c r="N437" s="15" t="str">
        <f>VLOOKUP(I437,CHOOSE({1,2},Table12[Native],Table12[Name]),2,0)</f>
        <v>Hángzhōu Shì</v>
      </c>
      <c r="O437" s="15" t="str">
        <f t="shared" si="12"/>
        <v>Hezhuang Jiedao (Hángzhōu Shì)</v>
      </c>
      <c r="P437" s="15" t="str">
        <f t="shared" si="13"/>
        <v>Hezhuang Jiedao (Hángzhōu Shì)</v>
      </c>
    </row>
    <row r="438" spans="1:16" hidden="1" x14ac:dyDescent="0.25">
      <c r="A438" t="s">
        <v>2117</v>
      </c>
      <c r="B438" t="str">
        <f>IF(COUNTIF(A:A,A438)&gt;1,_xlfn.CONCAT(A438," (",N438,")"),A438)</f>
        <v>Hóngchóu Zhèn</v>
      </c>
      <c r="C438" t="str">
        <f>IF(COUNTIF(B:B,B438)&gt;1,_xlfn.CONCAT(A438," (",M438,")"),B438)</f>
        <v>Hóngchóu Zhèn</v>
      </c>
      <c r="D438" t="s">
        <v>2118</v>
      </c>
      <c r="E438" t="s">
        <v>11</v>
      </c>
      <c r="F438" t="str">
        <f>_xlfn.CONCAT(D438,", ",H438,", ",I438,", ","浙江省")</f>
        <v>洪畴镇, 天台县, 台州市, 浙江省</v>
      </c>
      <c r="G438">
        <v>11955</v>
      </c>
      <c r="H438" t="s">
        <v>2995</v>
      </c>
      <c r="I438" t="s">
        <v>2989</v>
      </c>
      <c r="J438">
        <f>VLOOKUP(F438,[1]!china_towns_second__2[[Column1]:[Y]],3,FALSE)</f>
        <v>29.071682229977501</v>
      </c>
      <c r="K438">
        <f>VLOOKUP(F438,[1]!china_towns_second__2[[Column1]:[Y]],2,FALSE)</f>
        <v>121.20653179999999</v>
      </c>
      <c r="L438" t="s">
        <v>4074</v>
      </c>
      <c r="M438" t="str">
        <f>VLOOKUP(H438,CHOOSE({1,2},Table12[Native],Table12[Name]),2,0)</f>
        <v>Tiāntái Xiàn</v>
      </c>
      <c r="N438" s="15" t="str">
        <f>VLOOKUP(I438,CHOOSE({1,2},Table12[Native],Table12[Name]),2,0)</f>
        <v>Táizhōu Shì</v>
      </c>
      <c r="O438" s="15" t="str">
        <f t="shared" si="12"/>
        <v>Hongchou Zhen (Táizhōu Shì)</v>
      </c>
      <c r="P438" s="15" t="str">
        <f t="shared" si="13"/>
        <v>Hongchou Zhen (Táizhōu Shì)</v>
      </c>
    </row>
    <row r="439" spans="1:16" hidden="1" x14ac:dyDescent="0.25">
      <c r="A439" t="s">
        <v>603</v>
      </c>
      <c r="B439" t="str">
        <f>IF(COUNTIF(A:A,A439)&gt;1,_xlfn.CONCAT(A439," (",N439,")"),A439)</f>
        <v>Hónghé Zhèn</v>
      </c>
      <c r="C439" t="str">
        <f>IF(COUNTIF(B:B,B439)&gt;1,_xlfn.CONCAT(A439," (",M439,")"),B439)</f>
        <v>Hónghé Zhèn</v>
      </c>
      <c r="D439" t="s">
        <v>604</v>
      </c>
      <c r="E439" t="s">
        <v>11</v>
      </c>
      <c r="F439" t="str">
        <f>_xlfn.CONCAT(D439,", ",H439,", ",I439,", ","浙江省")</f>
        <v>洪合镇, 秀洲区, 嘉兴市, 浙江省</v>
      </c>
      <c r="G439">
        <v>69499</v>
      </c>
      <c r="H439" t="s">
        <v>2936</v>
      </c>
      <c r="I439" t="s">
        <v>2929</v>
      </c>
      <c r="J439">
        <f>VLOOKUP(F439,[1]!china_towns_second__2[[Column1]:[Y]],3,FALSE)</f>
        <v>30.677998152831499</v>
      </c>
      <c r="K439">
        <f>VLOOKUP(F439,[1]!china_towns_second__2[[Column1]:[Y]],2,FALSE)</f>
        <v>120.65787400000001</v>
      </c>
      <c r="L439" t="s">
        <v>4075</v>
      </c>
      <c r="M439" t="str">
        <f>VLOOKUP(H439,CHOOSE({1,2},Table12[Native],Table12[Name]),2,0)</f>
        <v>Xiùzhōu Qū</v>
      </c>
      <c r="N439" s="15" t="str">
        <f>VLOOKUP(I439,CHOOSE({1,2},Table12[Native],Table12[Name]),2,0)</f>
        <v>Jiāxīng Shì</v>
      </c>
      <c r="O439" s="15" t="str">
        <f t="shared" si="12"/>
        <v>Honghe Zhen (Jiāxīng Shì)</v>
      </c>
      <c r="P439" s="15" t="str">
        <f t="shared" si="13"/>
        <v>Honghe Zhen (Jiāxīng Shì)</v>
      </c>
    </row>
    <row r="440" spans="1:16" hidden="1" x14ac:dyDescent="0.25">
      <c r="A440" t="s">
        <v>2119</v>
      </c>
      <c r="B440" t="str">
        <f>IF(COUNTIF(A:A,A440)&gt;1,_xlfn.CONCAT(A440," (",N440,")"),A440)</f>
        <v>Hóngjiā Jiēdào</v>
      </c>
      <c r="C440" t="str">
        <f>IF(COUNTIF(B:B,B440)&gt;1,_xlfn.CONCAT(A440," (",M440,")"),B440)</f>
        <v>Hóngjiā Jiēdào</v>
      </c>
      <c r="D440" t="s">
        <v>2120</v>
      </c>
      <c r="E440" t="s">
        <v>15</v>
      </c>
      <c r="F440" t="str">
        <f>_xlfn.CONCAT(D440,", ",H440,", ",I440,", ","浙江省")</f>
        <v>洪家街道, 椒江区, 台州市, 浙江省</v>
      </c>
      <c r="G440">
        <v>73481</v>
      </c>
      <c r="H440" t="s">
        <v>2991</v>
      </c>
      <c r="I440" t="s">
        <v>2989</v>
      </c>
      <c r="J440">
        <f>VLOOKUP(F440,[1]!china_towns_second__2[[Column1]:[Y]],3,FALSE)</f>
        <v>28.6102640170451</v>
      </c>
      <c r="K440">
        <f>VLOOKUP(F440,[1]!china_towns_second__2[[Column1]:[Y]],2,FALSE)</f>
        <v>121.39798759999999</v>
      </c>
      <c r="L440" t="s">
        <v>4076</v>
      </c>
      <c r="M440" t="str">
        <f>VLOOKUP(H440,CHOOSE({1,2},Table12[Native],Table12[Name]),2,0)</f>
        <v>Jiāojiāng Qū</v>
      </c>
      <c r="N440" s="15" t="str">
        <f>VLOOKUP(I440,CHOOSE({1,2},Table12[Native],Table12[Name]),2,0)</f>
        <v>Táizhōu Shì</v>
      </c>
      <c r="O440" s="15" t="str">
        <f t="shared" si="12"/>
        <v>Hongjia Jiedao (Táizhōu Shì)</v>
      </c>
      <c r="P440" s="15" t="str">
        <f t="shared" si="13"/>
        <v>Hongjia Jiedao (Táizhōu Shì)</v>
      </c>
    </row>
    <row r="441" spans="1:16" hidden="1" x14ac:dyDescent="0.25">
      <c r="A441" t="s">
        <v>455</v>
      </c>
      <c r="B441" t="str">
        <f>IF(COUNTIF(A:A,A441)&gt;1,_xlfn.CONCAT(A441," (",N441,")"),A441)</f>
        <v>Hóngqiáo Zhèn (Húzhōu Shì)</v>
      </c>
      <c r="C441" t="str">
        <f>IF(COUNTIF(B:B,B441)&gt;1,_xlfn.CONCAT(A441," (",M441,")"),B441)</f>
        <v>Hóngqiáo Zhèn (Húzhōu Shì)</v>
      </c>
      <c r="D441" t="s">
        <v>456</v>
      </c>
      <c r="E441" t="s">
        <v>11</v>
      </c>
      <c r="F441" t="str">
        <f>_xlfn.CONCAT(D441,", ",H441,", ",I441,", ","浙江省")</f>
        <v>洪桥镇, 长兴县, 湖州市, 浙江省</v>
      </c>
      <c r="G441">
        <v>38804</v>
      </c>
      <c r="H441" t="s">
        <v>2924</v>
      </c>
      <c r="I441" t="s">
        <v>2922</v>
      </c>
      <c r="J441">
        <f>VLOOKUP(F441,[1]!china_towns_second__2[[Column1]:[Y]],3,FALSE)</f>
        <v>30.978361410258401</v>
      </c>
      <c r="K441">
        <f>VLOOKUP(F441,[1]!china_towns_second__2[[Column1]:[Y]],2,FALSE)</f>
        <v>120.0289769</v>
      </c>
      <c r="L441" t="s">
        <v>4077</v>
      </c>
      <c r="M441" t="str">
        <f>VLOOKUP(H441,CHOOSE({1,2},Table12[Native],Table12[Name]),2,0)</f>
        <v>Chángxīng Xiàn</v>
      </c>
      <c r="N441" s="15" t="str">
        <f>VLOOKUP(I441,CHOOSE({1,2},Table12[Native],Table12[Name]),2,0)</f>
        <v>Húzhōu Shì</v>
      </c>
      <c r="O441" s="15" t="str">
        <f t="shared" si="12"/>
        <v>Hongqiao Zhen (Huzhou Shi) (Húzhōu Shì)</v>
      </c>
      <c r="P441" s="15" t="str">
        <f t="shared" si="13"/>
        <v>Hongqiao Zhen (Huzhou Shi) (Húzhōu Shì)</v>
      </c>
    </row>
    <row r="442" spans="1:16" hidden="1" x14ac:dyDescent="0.25">
      <c r="A442" t="s">
        <v>455</v>
      </c>
      <c r="B442" t="str">
        <f>IF(COUNTIF(A:A,A442)&gt;1,_xlfn.CONCAT(A442," (",N442,")"),A442)</f>
        <v>Hóngqiáo Zhèn (Wēnzhōu Shì)</v>
      </c>
      <c r="C442" t="str">
        <f>IF(COUNTIF(B:B,B442)&gt;1,_xlfn.CONCAT(A442," (",M442,")"),B442)</f>
        <v>Hóngqiáo Zhèn (Wēnzhōu Shì)</v>
      </c>
      <c r="D442" t="s">
        <v>2416</v>
      </c>
      <c r="E442" t="s">
        <v>11</v>
      </c>
      <c r="F442" t="str">
        <f>_xlfn.CONCAT(D442,", ",H442,", ",I442,", ","浙江省")</f>
        <v>虹桥镇, 乐清市, 温州市, 浙江省</v>
      </c>
      <c r="G442">
        <v>156717</v>
      </c>
      <c r="H442" t="s">
        <v>3011</v>
      </c>
      <c r="I442" t="s">
        <v>3000</v>
      </c>
      <c r="J442">
        <f>VLOOKUP(F442,[1]!china_towns_second__2[[Column1]:[Y]],3,FALSE)</f>
        <v>28.2011558473775</v>
      </c>
      <c r="K442">
        <f>VLOOKUP(F442,[1]!china_towns_second__2[[Column1]:[Y]],2,FALSE)</f>
        <v>121.0668237</v>
      </c>
      <c r="L442" t="s">
        <v>4078</v>
      </c>
      <c r="M442" t="str">
        <f>VLOOKUP(H442,CHOOSE({1,2},Table12[Native],Table12[Name]),2,0)</f>
        <v>Yuèqīng Shì</v>
      </c>
      <c r="N442" s="15" t="str">
        <f>VLOOKUP(I442,CHOOSE({1,2},Table12[Native],Table12[Name]),2,0)</f>
        <v>Wēnzhōu Shì</v>
      </c>
      <c r="O442" s="15" t="str">
        <f t="shared" si="12"/>
        <v>Hongqiao Zhen (Wenzhou Shi) (Wēnzhōu Shì)</v>
      </c>
      <c r="P442" s="15" t="str">
        <f t="shared" si="13"/>
        <v>Hongqiao Zhen (Wenzhou Shi) (Wēnzhōu Shì)</v>
      </c>
    </row>
    <row r="443" spans="1:16" hidden="1" x14ac:dyDescent="0.25">
      <c r="A443" t="s">
        <v>1443</v>
      </c>
      <c r="B443" t="str">
        <f>IF(COUNTIF(A:A,A443)&gt;1,_xlfn.CONCAT(A443," (",N443,")"),A443)</f>
        <v>Hóngtáng Jiēdào</v>
      </c>
      <c r="C443" t="str">
        <f>IF(COUNTIF(B:B,B443)&gt;1,_xlfn.CONCAT(A443," (",M443,")"),B443)</f>
        <v>Hóngtáng Jiēdào</v>
      </c>
      <c r="D443" t="s">
        <v>1444</v>
      </c>
      <c r="E443" t="s">
        <v>15</v>
      </c>
      <c r="F443" t="str">
        <f>_xlfn.CONCAT(D443,", ",H443,", ",I443,", ","浙江省")</f>
        <v>洪塘街道, 江北区, 宁波市, 浙江省</v>
      </c>
      <c r="G443">
        <v>54794</v>
      </c>
      <c r="H443" t="s">
        <v>2966</v>
      </c>
      <c r="I443" t="s">
        <v>2961</v>
      </c>
      <c r="J443">
        <f>VLOOKUP(F443,[1]!china_towns_second__2[[Column1]:[Y]],3,FALSE)</f>
        <v>29.9462289938776</v>
      </c>
      <c r="K443">
        <f>VLOOKUP(F443,[1]!china_towns_second__2[[Column1]:[Y]],2,FALSE)</f>
        <v>121.4898891</v>
      </c>
      <c r="L443" t="s">
        <v>4079</v>
      </c>
      <c r="M443" t="str">
        <f>VLOOKUP(H443,CHOOSE({1,2},Table12[Native],Table12[Name]),2,0)</f>
        <v>Jiāngbĕi Qū</v>
      </c>
      <c r="N443" s="15" t="str">
        <f>VLOOKUP(I443,CHOOSE({1,2},Table12[Native],Table12[Name]),2,0)</f>
        <v>Níngbō Shì</v>
      </c>
      <c r="O443" s="15" t="str">
        <f t="shared" si="12"/>
        <v>Hongtang Jiedao (Níngbō Shì)</v>
      </c>
      <c r="P443" s="15" t="str">
        <f t="shared" si="13"/>
        <v>Hongtang Jiedao (Níngbō Shì)</v>
      </c>
    </row>
    <row r="444" spans="1:16" hidden="1" x14ac:dyDescent="0.25">
      <c r="A444" t="s">
        <v>457</v>
      </c>
      <c r="B444" t="str">
        <f>IF(COUNTIF(A:A,A444)&gt;1,_xlfn.CONCAT(A444," (",N444,")"),A444)</f>
        <v>Hóngxīngqiáo Zhèn</v>
      </c>
      <c r="C444" t="str">
        <f>IF(COUNTIF(B:B,B444)&gt;1,_xlfn.CONCAT(A444," (",M444,")"),B444)</f>
        <v>Hóngxīngqiáo Zhèn</v>
      </c>
      <c r="D444" t="s">
        <v>458</v>
      </c>
      <c r="E444" t="s">
        <v>11</v>
      </c>
      <c r="F444" t="str">
        <f>_xlfn.CONCAT(D444,", ",H444,", ",I444,", ","浙江省")</f>
        <v>虹星桥镇, 长兴县, 湖州市, 浙江省</v>
      </c>
      <c r="G444">
        <v>32803</v>
      </c>
      <c r="H444" t="s">
        <v>2924</v>
      </c>
      <c r="I444" t="s">
        <v>2922</v>
      </c>
      <c r="J444">
        <f>VLOOKUP(F444,[1]!china_towns_second__2[[Column1]:[Y]],3,FALSE)</f>
        <v>30.908256622705402</v>
      </c>
      <c r="K444">
        <f>VLOOKUP(F444,[1]!china_towns_second__2[[Column1]:[Y]],2,FALSE)</f>
        <v>119.8525968</v>
      </c>
      <c r="L444" t="s">
        <v>4080</v>
      </c>
      <c r="M444" t="str">
        <f>VLOOKUP(H444,CHOOSE({1,2},Table12[Native],Table12[Name]),2,0)</f>
        <v>Chángxīng Xiàn</v>
      </c>
      <c r="N444" s="15" t="str">
        <f>VLOOKUP(I444,CHOOSE({1,2},Table12[Native],Table12[Name]),2,0)</f>
        <v>Húzhōu Shì</v>
      </c>
      <c r="O444" s="15" t="str">
        <f t="shared" si="12"/>
        <v>Hongxingqiao Zhen (Húzhōu Shì)</v>
      </c>
      <c r="P444" s="15" t="str">
        <f t="shared" si="13"/>
        <v>Hongxingqiao Zhen (Húzhōu Shì)</v>
      </c>
    </row>
    <row r="445" spans="1:16" hidden="1" x14ac:dyDescent="0.25">
      <c r="A445" t="s">
        <v>1702</v>
      </c>
      <c r="B445" t="str">
        <f>IF(COUNTIF(A:A,A445)&gt;1,_xlfn.CONCAT(A445," (",N445,")"),A445)</f>
        <v>Hòuxī Zhèn</v>
      </c>
      <c r="C445" t="str">
        <f>IF(COUNTIF(B:B,B445)&gt;1,_xlfn.CONCAT(A445," (",M445,")"),B445)</f>
        <v>Hòuxī Zhèn</v>
      </c>
      <c r="D445" t="s">
        <v>1703</v>
      </c>
      <c r="E445" t="s">
        <v>11</v>
      </c>
      <c r="F445" t="str">
        <f>_xlfn.CONCAT(D445,", ",H445,", ",I445,", ","浙江省")</f>
        <v>后溪镇, 衢江区, 衢州市, 浙江省</v>
      </c>
      <c r="G445">
        <v>20260</v>
      </c>
      <c r="H445" t="s">
        <v>2979</v>
      </c>
      <c r="I445" t="s">
        <v>2973</v>
      </c>
      <c r="J445">
        <f>VLOOKUP(F445,[1]!china_towns_second__2[[Column1]:[Y]],3,FALSE)</f>
        <v>28.8240619025336</v>
      </c>
      <c r="K445">
        <f>VLOOKUP(F445,[1]!china_towns_second__2[[Column1]:[Y]],2,FALSE)</f>
        <v>118.7818018</v>
      </c>
      <c r="L445" t="s">
        <v>4081</v>
      </c>
      <c r="M445" t="str">
        <f>VLOOKUP(H445,CHOOSE({1,2},Table12[Native],Table12[Name]),2,0)</f>
        <v>Qújiāng Qū</v>
      </c>
      <c r="N445" s="15" t="str">
        <f>VLOOKUP(I445,CHOOSE({1,2},Table12[Native],Table12[Name]),2,0)</f>
        <v>Qúzhōu Shì</v>
      </c>
      <c r="O445" s="15" t="str">
        <f t="shared" si="12"/>
        <v>Houxi Zhen (Qúzhōu Shì)</v>
      </c>
      <c r="P445" s="15" t="str">
        <f t="shared" si="13"/>
        <v>Houxi Zhen (Qúzhōu Shì)</v>
      </c>
    </row>
    <row r="446" spans="1:16" hidden="1" x14ac:dyDescent="0.25">
      <c r="A446" t="s">
        <v>785</v>
      </c>
      <c r="B446" t="str">
        <f>IF(COUNTIF(A:A,A446)&gt;1,_xlfn.CONCAT(A446," (",N446,")"),A446)</f>
        <v>Hòuzhái Jiēdào</v>
      </c>
      <c r="C446" t="str">
        <f>IF(COUNTIF(B:B,B446)&gt;1,_xlfn.CONCAT(A446," (",M446,")"),B446)</f>
        <v>Hòuzhái Jiēdào</v>
      </c>
      <c r="D446" t="s">
        <v>786</v>
      </c>
      <c r="E446" t="s">
        <v>15</v>
      </c>
      <c r="F446" t="str">
        <f>_xlfn.CONCAT(D446,", ",H446,", ",I446,", ","浙江省")</f>
        <v>后宅街道, 义乌市, 金华市, 浙江省</v>
      </c>
      <c r="G446">
        <v>75641</v>
      </c>
      <c r="H446" t="s">
        <v>2946</v>
      </c>
      <c r="I446" t="s">
        <v>2938</v>
      </c>
      <c r="J446">
        <f>VLOOKUP(F446,[1]!china_towns_second__2[[Column1]:[Y]],3,FALSE)</f>
        <v>29.387608436435801</v>
      </c>
      <c r="K446">
        <f>VLOOKUP(F446,[1]!china_towns_second__2[[Column1]:[Y]],2,FALSE)</f>
        <v>120.04342029999999</v>
      </c>
      <c r="L446" t="s">
        <v>4082</v>
      </c>
      <c r="M446" t="str">
        <f>VLOOKUP(H446,CHOOSE({1,2},Table12[Native],Table12[Name]),2,0)</f>
        <v>Yìwū Shì</v>
      </c>
      <c r="N446" s="15" t="str">
        <f>VLOOKUP(I446,CHOOSE({1,2},Table12[Native],Table12[Name]),2,0)</f>
        <v>Jīnhuá Shì</v>
      </c>
      <c r="O446" s="15" t="str">
        <f t="shared" si="12"/>
        <v>Houzhai Jiedao (Jīnhuá Shì)</v>
      </c>
      <c r="P446" s="15" t="str">
        <f t="shared" si="13"/>
        <v>Houzhai Jiedao (Jīnhuá Shì)</v>
      </c>
    </row>
    <row r="447" spans="1:16" hidden="1" x14ac:dyDescent="0.25">
      <c r="A447" t="s">
        <v>1704</v>
      </c>
      <c r="B447" t="str">
        <f>IF(COUNTIF(A:A,A447)&gt;1,_xlfn.CONCAT(A447," (",N447,")"),A447)</f>
        <v>Huábù Zhèn [incl. Chéngguān Zhèn, Jīncūn Xiāng]</v>
      </c>
      <c r="C447" t="str">
        <f>IF(COUNTIF(B:B,B447)&gt;1,_xlfn.CONCAT(A447," (",M447,")"),B447)</f>
        <v>Huábù Zhèn [incl. Chéngguān Zhèn, Jīncūn Xiāng]</v>
      </c>
      <c r="D447" t="s">
        <v>1705</v>
      </c>
      <c r="E447" t="s">
        <v>11</v>
      </c>
      <c r="F447" t="str">
        <f>_xlfn.CONCAT(D447,", ",H447,", ",I447,", ","浙江省")</f>
        <v>华埠镇, 开化县, 衢州市, 浙江省</v>
      </c>
      <c r="G447">
        <v>104345</v>
      </c>
      <c r="H447" t="s">
        <v>2976</v>
      </c>
      <c r="I447" t="s">
        <v>2973</v>
      </c>
      <c r="J447">
        <f>VLOOKUP(F447,[1]!china_towns_second__2[[Column1]:[Y]],3,FALSE)</f>
        <v>29.0138547280132</v>
      </c>
      <c r="K447">
        <f>VLOOKUP(F447,[1]!china_towns_second__2[[Column1]:[Y]],2,FALSE)</f>
        <v>118.3698223</v>
      </c>
      <c r="L447" t="s">
        <v>4083</v>
      </c>
      <c r="M447" t="str">
        <f>VLOOKUP(H447,CHOOSE({1,2},Table12[Native],Table12[Name]),2,0)</f>
        <v>Kāihuà Xiàn</v>
      </c>
      <c r="N447" s="15" t="str">
        <f>VLOOKUP(I447,CHOOSE({1,2},Table12[Native],Table12[Name]),2,0)</f>
        <v>Qúzhōu Shì</v>
      </c>
      <c r="O447" s="15" t="str">
        <f t="shared" si="12"/>
        <v>Huabu Zhen [incl. Chengguan Zhen, Jincun Xiang] (Qúzhōu Shì)</v>
      </c>
      <c r="P447" s="15" t="str">
        <f t="shared" si="13"/>
        <v>Huabu Zhen [incl. Chengguan Zhen, Jincun Xiang] (Qúzhōu Shì)</v>
      </c>
    </row>
    <row r="448" spans="1:16" hidden="1" x14ac:dyDescent="0.25">
      <c r="A448" t="s">
        <v>2417</v>
      </c>
      <c r="B448" t="str">
        <f>IF(COUNTIF(A:A,A448)&gt;1,_xlfn.CONCAT(A448," (",N448,")"),A448)</f>
        <v>Huáixī Zhèn [→ Shānmén Zhèn]</v>
      </c>
      <c r="C448" t="str">
        <f>IF(COUNTIF(B:B,B448)&gt;1,_xlfn.CONCAT(A448," (",M448,")"),B448)</f>
        <v>Huáixī Zhèn [→ Shānmén Zhèn]</v>
      </c>
      <c r="D448" t="s">
        <v>2418</v>
      </c>
      <c r="E448" t="s">
        <v>11</v>
      </c>
      <c r="F448" t="str">
        <f>_xlfn.CONCAT(D448,", ",H448,", ",I448,", ","浙江省")</f>
        <v>怀溪镇, 平阳县, 温州市, 浙江省</v>
      </c>
      <c r="G448">
        <v>4188</v>
      </c>
      <c r="H448" t="s">
        <v>3006</v>
      </c>
      <c r="I448" t="s">
        <v>3000</v>
      </c>
      <c r="J448">
        <f>VLOOKUP(F448,[1]!china_towns_second__2[[Column1]:[Y]],3,FALSE)</f>
        <v>27.6542241</v>
      </c>
      <c r="K448">
        <f>VLOOKUP(F448,[1]!china_towns_second__2[[Column1]:[Y]],2,FALSE)</f>
        <v>120.1938844</v>
      </c>
      <c r="L448" t="s">
        <v>4084</v>
      </c>
      <c r="M448" t="str">
        <f>VLOOKUP(H448,CHOOSE({1,2},Table12[Native],Table12[Name]),2,0)</f>
        <v>Píngyáng Xiàn</v>
      </c>
      <c r="N448" s="15" t="str">
        <f>VLOOKUP(I448,CHOOSE({1,2},Table12[Native],Table12[Name]),2,0)</f>
        <v>Wēnzhōu Shì</v>
      </c>
      <c r="O448" s="15" t="str">
        <f t="shared" si="12"/>
        <v>Huaixi Zhen [→ Shanmen Zhen] (Wēnzhōu Shì)</v>
      </c>
      <c r="P448" s="15" t="str">
        <f t="shared" si="13"/>
        <v>Huaixi Zhen [→ Shanmen Zhen] (Wēnzhōu Shì)</v>
      </c>
    </row>
    <row r="449" spans="1:16" hidden="1" x14ac:dyDescent="0.25">
      <c r="A449" t="s">
        <v>787</v>
      </c>
      <c r="B449" t="str">
        <f>IF(COUNTIF(A:A,A449)&gt;1,_xlfn.CONCAT(A449," (",N449,")"),A449)</f>
        <v>Huājiē Zhèn</v>
      </c>
      <c r="C449" t="str">
        <f>IF(COUNTIF(B:B,B449)&gt;1,_xlfn.CONCAT(A449," (",M449,")"),B449)</f>
        <v>Huājiē Zhèn</v>
      </c>
      <c r="D449" t="s">
        <v>788</v>
      </c>
      <c r="E449" t="s">
        <v>11</v>
      </c>
      <c r="F449" t="str">
        <f>_xlfn.CONCAT(D449,", ",H449,", ",I449,", ","浙江省")</f>
        <v>花街镇, 永康市, 金华市, 浙江省</v>
      </c>
      <c r="G449">
        <v>27236</v>
      </c>
      <c r="H449" t="s">
        <v>2947</v>
      </c>
      <c r="I449" t="s">
        <v>2938</v>
      </c>
      <c r="J449">
        <f>VLOOKUP(F449,[1]!china_towns_second__2[[Column1]:[Y]],3,FALSE)</f>
        <v>28.992382681722901</v>
      </c>
      <c r="K449">
        <f>VLOOKUP(F449,[1]!china_towns_second__2[[Column1]:[Y]],2,FALSE)</f>
        <v>119.9467293</v>
      </c>
      <c r="L449" t="s">
        <v>4085</v>
      </c>
      <c r="M449" t="str">
        <f>VLOOKUP(H449,CHOOSE({1,2},Table12[Native],Table12[Name]),2,0)</f>
        <v>Yŏngkāng Shì</v>
      </c>
      <c r="N449" s="15" t="str">
        <f>VLOOKUP(I449,CHOOSE({1,2},Table12[Native],Table12[Name]),2,0)</f>
        <v>Jīnhuá Shì</v>
      </c>
      <c r="O449" s="15" t="str">
        <f t="shared" si="12"/>
        <v>Huajie Zhen (Jīnhuá Shì)</v>
      </c>
      <c r="P449" s="15" t="str">
        <f t="shared" si="13"/>
        <v>Huajie Zhen (Jīnhuá Shì)</v>
      </c>
    </row>
    <row r="450" spans="1:16" hidden="1" x14ac:dyDescent="0.25">
      <c r="A450" t="s">
        <v>1902</v>
      </c>
      <c r="B450" t="str">
        <f>IF(COUNTIF(A:A,A450)&gt;1,_xlfn.CONCAT(A450," (",N450,")"),A450)</f>
        <v>Huàndōng Jiēdào</v>
      </c>
      <c r="C450" t="str">
        <f>IF(COUNTIF(B:B,B450)&gt;1,_xlfn.CONCAT(A450," (",M450,")"),B450)</f>
        <v>Huàndōng Jiēdào</v>
      </c>
      <c r="D450" t="s">
        <v>1903</v>
      </c>
      <c r="E450" t="s">
        <v>15</v>
      </c>
      <c r="F450" t="str">
        <f>_xlfn.CONCAT(D450,", ",H450,", ",I450,", ","浙江省")</f>
        <v>浣东街道, 诸暨市, 绍兴市, 浙江省</v>
      </c>
      <c r="G450">
        <v>56281</v>
      </c>
      <c r="H450" t="s">
        <v>2987</v>
      </c>
      <c r="I450" t="s">
        <v>2981</v>
      </c>
      <c r="J450">
        <f>VLOOKUP(F450,[1]!china_towns_second__2[[Column1]:[Y]],3,FALSE)</f>
        <v>29.732862388067399</v>
      </c>
      <c r="K450">
        <f>VLOOKUP(F450,[1]!china_towns_second__2[[Column1]:[Y]],2,FALSE)</f>
        <v>120.3174715</v>
      </c>
      <c r="L450" t="s">
        <v>4086</v>
      </c>
      <c r="M450" t="str">
        <f>VLOOKUP(H450,CHOOSE({1,2},Table12[Native],Table12[Name]),2,0)</f>
        <v>Zhūjì Shì</v>
      </c>
      <c r="N450" s="15" t="str">
        <f>VLOOKUP(I450,CHOOSE({1,2},Table12[Native],Table12[Name]),2,0)</f>
        <v>Shàoxīng Shì</v>
      </c>
      <c r="O450" s="15" t="str">
        <f t="shared" ref="O450:O513" si="14">_xlfn.CONCAT(L450," (",N450,")")</f>
        <v>Huandong Jiedao (Shàoxīng Shì)</v>
      </c>
      <c r="P450" s="15" t="str">
        <f t="shared" ref="P450:P513" si="15">IF(COUNTIF(O:O,O450)&gt;1,_xlfn.CONCAT(L450," (",M450,")"),O450)</f>
        <v>Huandong Jiedao (Shàoxīng Shì)</v>
      </c>
    </row>
    <row r="451" spans="1:16" hidden="1" x14ac:dyDescent="0.25">
      <c r="A451" t="s">
        <v>1445</v>
      </c>
      <c r="B451" t="str">
        <f>IF(COUNTIF(A:A,A451)&gt;1,_xlfn.CONCAT(A451," (",N451,")"),A451)</f>
        <v>Huángbì'ào Xiāng</v>
      </c>
      <c r="C451" t="str">
        <f>IF(COUNTIF(B:B,B451)&gt;1,_xlfn.CONCAT(A451," (",M451,")"),B451)</f>
        <v>Huángbì'ào Xiāng</v>
      </c>
      <c r="D451" t="s">
        <v>1446</v>
      </c>
      <c r="E451" t="s">
        <v>7</v>
      </c>
      <c r="F451" t="str">
        <f>_xlfn.CONCAT(D451,", ",H451,", ",I451,", ","浙江省")</f>
        <v>黄避岙乡, 象山县, 宁波市, 浙江省</v>
      </c>
      <c r="G451">
        <v>6767</v>
      </c>
      <c r="H451" t="s">
        <v>2968</v>
      </c>
      <c r="I451" t="s">
        <v>2961</v>
      </c>
      <c r="J451" t="e">
        <f>VLOOKUP(F451,[1]!china_towns_second__2[[Column1]:[Y]],3,FALSE)</f>
        <v>#N/A</v>
      </c>
      <c r="K451" t="e">
        <f>VLOOKUP(F451,[1]!china_towns_second__2[[Column1]:[Y]],2,FALSE)</f>
        <v>#N/A</v>
      </c>
      <c r="L451" t="s">
        <v>4087</v>
      </c>
      <c r="M451" t="str">
        <f>VLOOKUP(H451,CHOOSE({1,2},Table12[Native],Table12[Name]),2,0)</f>
        <v>Xiàngshān Xiàn</v>
      </c>
      <c r="N451" s="15" t="str">
        <f>VLOOKUP(I451,CHOOSE({1,2},Table12[Native],Table12[Name]),2,0)</f>
        <v>Níngbō Shì</v>
      </c>
      <c r="O451" s="15" t="str">
        <f t="shared" si="14"/>
        <v>Huangbi'ao Xiang (Níngbō Shì)</v>
      </c>
      <c r="P451" s="15" t="str">
        <f t="shared" si="15"/>
        <v>Huangbi'ao Xiang (Níngbō Shì)</v>
      </c>
    </row>
    <row r="452" spans="1:16" hidden="1" x14ac:dyDescent="0.25">
      <c r="A452" t="s">
        <v>1106</v>
      </c>
      <c r="B452" t="str">
        <f>IF(COUNTIF(A:A,A452)&gt;1,_xlfn.CONCAT(A452," (",N452,")"),A452)</f>
        <v>Huángcūn Xiāng</v>
      </c>
      <c r="C452" t="str">
        <f>IF(COUNTIF(B:B,B452)&gt;1,_xlfn.CONCAT(A452," (",M452,")"),B452)</f>
        <v>Huángcūn Xiāng</v>
      </c>
      <c r="D452" t="s">
        <v>1107</v>
      </c>
      <c r="E452" t="s">
        <v>7</v>
      </c>
      <c r="F452" t="str">
        <f>_xlfn.CONCAT(D452,", ",H452,", ",I452,", ","浙江省")</f>
        <v>黄村乡, 莲都区, 丽水市, 浙江省</v>
      </c>
      <c r="G452">
        <v>5342</v>
      </c>
      <c r="H452" t="s">
        <v>2953</v>
      </c>
      <c r="I452" t="s">
        <v>2949</v>
      </c>
      <c r="J452" t="e">
        <f>VLOOKUP(F452,[1]!china_towns_second__2[[Column1]:[Y]],3,FALSE)</f>
        <v>#N/A</v>
      </c>
      <c r="K452" t="e">
        <f>VLOOKUP(F452,[1]!china_towns_second__2[[Column1]:[Y]],2,FALSE)</f>
        <v>#N/A</v>
      </c>
      <c r="L452" t="s">
        <v>4088</v>
      </c>
      <c r="M452" t="str">
        <f>VLOOKUP(H452,CHOOSE({1,2},Table12[Native],Table12[Name]),2,0)</f>
        <v>Liándū Qū</v>
      </c>
      <c r="N452" s="15" t="str">
        <f>VLOOKUP(I452,CHOOSE({1,2},Table12[Native],Table12[Name]),2,0)</f>
        <v>Lìshuĭ Shì</v>
      </c>
      <c r="O452" s="15" t="str">
        <f t="shared" si="14"/>
        <v>Huangcun Xiang (Lìshuĭ Shì)</v>
      </c>
      <c r="P452" s="15" t="str">
        <f t="shared" si="15"/>
        <v>Huangcun Xiang (Lìshuĭ Shì)</v>
      </c>
    </row>
    <row r="453" spans="1:16" hidden="1" x14ac:dyDescent="0.25">
      <c r="A453" t="s">
        <v>789</v>
      </c>
      <c r="B453" t="str">
        <f>IF(COUNTIF(A:A,A453)&gt;1,_xlfn.CONCAT(A453," (",N453,")"),A453)</f>
        <v>Huángdiàn Zhèn</v>
      </c>
      <c r="C453" t="str">
        <f>IF(COUNTIF(B:B,B453)&gt;1,_xlfn.CONCAT(A453," (",M453,")"),B453)</f>
        <v>Huángdiàn Zhèn</v>
      </c>
      <c r="D453" t="s">
        <v>790</v>
      </c>
      <c r="E453" t="s">
        <v>11</v>
      </c>
      <c r="F453" t="str">
        <f>_xlfn.CONCAT(D453,", ",H453,", ",I453,", ","浙江省")</f>
        <v>黄店镇, 兰溪市, 金华市, 浙江省</v>
      </c>
      <c r="G453">
        <v>26274</v>
      </c>
      <c r="H453" t="s">
        <v>2941</v>
      </c>
      <c r="I453" t="s">
        <v>2938</v>
      </c>
      <c r="J453">
        <f>VLOOKUP(F453,[1]!china_towns_second__2[[Column1]:[Y]],3,FALSE)</f>
        <v>29.361018938347101</v>
      </c>
      <c r="K453">
        <f>VLOOKUP(F453,[1]!china_towns_second__2[[Column1]:[Y]],2,FALSE)</f>
        <v>119.3915386</v>
      </c>
      <c r="L453" t="s">
        <v>4089</v>
      </c>
      <c r="M453" t="str">
        <f>VLOOKUP(H453,CHOOSE({1,2},Table12[Native],Table12[Name]),2,0)</f>
        <v>Lánxī Shì</v>
      </c>
      <c r="N453" s="15" t="str">
        <f>VLOOKUP(I453,CHOOSE({1,2},Table12[Native],Table12[Name]),2,0)</f>
        <v>Jīnhuá Shì</v>
      </c>
      <c r="O453" s="15" t="str">
        <f t="shared" si="14"/>
        <v>Huangdian Zhen (Jīnhuá Shì)</v>
      </c>
      <c r="P453" s="15" t="str">
        <f t="shared" si="15"/>
        <v>Huangdian Zhen (Jīnhuá Shì)</v>
      </c>
    </row>
    <row r="454" spans="1:16" hidden="1" x14ac:dyDescent="0.25">
      <c r="A454" t="s">
        <v>139</v>
      </c>
      <c r="B454" t="str">
        <f>IF(COUNTIF(A:A,A454)&gt;1,_xlfn.CONCAT(A454," (",N454,")"),A454)</f>
        <v>Huánghú Zhèn</v>
      </c>
      <c r="C454" t="str">
        <f>IF(COUNTIF(B:B,B454)&gt;1,_xlfn.CONCAT(A454," (",M454,")"),B454)</f>
        <v>Huánghú Zhèn</v>
      </c>
      <c r="D454" t="s">
        <v>140</v>
      </c>
      <c r="E454" t="s">
        <v>11</v>
      </c>
      <c r="F454" t="str">
        <f>_xlfn.CONCAT(D454,", ",H454,", ",I454,", ","浙江省")</f>
        <v>黄湖镇, 余杭区, 杭州市, 浙江省</v>
      </c>
      <c r="G454">
        <v>12112</v>
      </c>
      <c r="H454" t="s">
        <v>2919</v>
      </c>
      <c r="I454" t="s">
        <v>2903</v>
      </c>
      <c r="J454">
        <f>VLOOKUP(F454,[1]!china_towns_second__2[[Column1]:[Y]],3,FALSE)</f>
        <v>30.468700800240601</v>
      </c>
      <c r="K454">
        <f>VLOOKUP(F454,[1]!china_towns_second__2[[Column1]:[Y]],2,FALSE)</f>
        <v>119.8185829</v>
      </c>
      <c r="L454" t="s">
        <v>4090</v>
      </c>
      <c r="M454" t="str">
        <f>VLOOKUP(H454,CHOOSE({1,2},Table12[Native],Table12[Name]),2,0)</f>
        <v>Yúháng Qū</v>
      </c>
      <c r="N454" s="15" t="str">
        <f>VLOOKUP(I454,CHOOSE({1,2},Table12[Native],Table12[Name]),2,0)</f>
        <v>Hángzhōu Shì</v>
      </c>
      <c r="O454" s="15" t="str">
        <f t="shared" si="14"/>
        <v>Huanghu Zhen (Hángzhōu Shì)</v>
      </c>
      <c r="P454" s="15" t="str">
        <f t="shared" si="15"/>
        <v>Huanghu Zhen (Hángzhōu Shì)</v>
      </c>
    </row>
    <row r="455" spans="1:16" hidden="1" x14ac:dyDescent="0.25">
      <c r="A455" t="s">
        <v>2419</v>
      </c>
      <c r="B455" t="str">
        <f>IF(COUNTIF(A:A,A455)&gt;1,_xlfn.CONCAT(A455," (",N455,")"),A455)</f>
        <v>Huánghuá Zhèn</v>
      </c>
      <c r="C455" t="str">
        <f>IF(COUNTIF(B:B,B455)&gt;1,_xlfn.CONCAT(A455," (",M455,")"),B455)</f>
        <v>Huánghuá Zhèn</v>
      </c>
      <c r="D455" t="s">
        <v>2420</v>
      </c>
      <c r="E455" t="s">
        <v>11</v>
      </c>
      <c r="F455" t="str">
        <f>_xlfn.CONCAT(D455,", ",H455,", ",I455,", ","浙江省")</f>
        <v>黄华镇, 乐清市, 温州市, 浙江省</v>
      </c>
      <c r="G455">
        <v>36546</v>
      </c>
      <c r="H455" t="s">
        <v>3011</v>
      </c>
      <c r="I455" t="s">
        <v>3000</v>
      </c>
      <c r="J455">
        <f>VLOOKUP(F455,[1]!china_towns_second__2[[Column1]:[Y]],3,FALSE)</f>
        <v>27.994800000000001</v>
      </c>
      <c r="K455">
        <f>VLOOKUP(F455,[1]!china_towns_second__2[[Column1]:[Y]],2,FALSE)</f>
        <v>120.9402</v>
      </c>
      <c r="L455" t="s">
        <v>4091</v>
      </c>
      <c r="M455" t="str">
        <f>VLOOKUP(H455,CHOOSE({1,2},Table12[Native],Table12[Name]),2,0)</f>
        <v>Yuèqīng Shì</v>
      </c>
      <c r="N455" s="15" t="str">
        <f>VLOOKUP(I455,CHOOSE({1,2},Table12[Native],Table12[Name]),2,0)</f>
        <v>Wēnzhōu Shì</v>
      </c>
      <c r="O455" s="15" t="str">
        <f t="shared" si="14"/>
        <v>Huanghua Zhen (Wēnzhōu Shì)</v>
      </c>
      <c r="P455" s="15" t="str">
        <f t="shared" si="15"/>
        <v>Huanghua Zhen (Wēnzhōu Shì)</v>
      </c>
    </row>
    <row r="456" spans="1:16" hidden="1" x14ac:dyDescent="0.25">
      <c r="A456" t="s">
        <v>1706</v>
      </c>
      <c r="B456" t="str">
        <f>IF(COUNTIF(A:A,A456)&gt;1,_xlfn.CONCAT(A456," (",N456,")"),A456)</f>
        <v>Huángjiā Xiāng</v>
      </c>
      <c r="C456" t="str">
        <f>IF(COUNTIF(B:B,B456)&gt;1,_xlfn.CONCAT(A456," (",M456,")"),B456)</f>
        <v>Huángjiā Xiāng</v>
      </c>
      <c r="D456" t="s">
        <v>1707</v>
      </c>
      <c r="E456" t="s">
        <v>7</v>
      </c>
      <c r="F456" t="str">
        <f>_xlfn.CONCAT(D456,", ",H456,", ",I456,", ","浙江省")</f>
        <v>黄家乡, 柯城区, 衢州市, 浙江省</v>
      </c>
      <c r="G456">
        <v>16319</v>
      </c>
      <c r="H456" t="s">
        <v>2977</v>
      </c>
      <c r="I456" t="s">
        <v>2973</v>
      </c>
      <c r="J456" t="e">
        <f>VLOOKUP(F456,[1]!china_towns_second__2[[Column1]:[Y]],3,FALSE)</f>
        <v>#N/A</v>
      </c>
      <c r="K456" t="e">
        <f>VLOOKUP(F456,[1]!china_towns_second__2[[Column1]:[Y]],2,FALSE)</f>
        <v>#N/A</v>
      </c>
      <c r="L456" t="s">
        <v>4092</v>
      </c>
      <c r="M456" t="str">
        <f>VLOOKUP(H456,CHOOSE({1,2},Table12[Native],Table12[Name]),2,0)</f>
        <v>Kēchéng Qū</v>
      </c>
      <c r="N456" s="15" t="str">
        <f>VLOOKUP(I456,CHOOSE({1,2},Table12[Native],Table12[Name]),2,0)</f>
        <v>Qúzhōu Shì</v>
      </c>
      <c r="O456" s="15" t="str">
        <f t="shared" si="14"/>
        <v>Huangjia Xiang (Qúzhōu Shì)</v>
      </c>
      <c r="P456" s="15" t="str">
        <f t="shared" si="15"/>
        <v>Huangjia Xiang (Qúzhōu Shì)</v>
      </c>
    </row>
    <row r="457" spans="1:16" hidden="1" x14ac:dyDescent="0.25">
      <c r="A457" t="s">
        <v>1447</v>
      </c>
      <c r="B457" t="str">
        <f>IF(COUNTIF(A:A,A457)&gt;1,_xlfn.CONCAT(A457," (",N457,")"),A457)</f>
        <v>Huángjiābù Zhèn</v>
      </c>
      <c r="C457" t="str">
        <f>IF(COUNTIF(B:B,B457)&gt;1,_xlfn.CONCAT(A457," (",M457,")"),B457)</f>
        <v>Huángjiābù Zhèn</v>
      </c>
      <c r="D457" t="s">
        <v>1448</v>
      </c>
      <c r="E457" t="s">
        <v>11</v>
      </c>
      <c r="F457" t="str">
        <f>_xlfn.CONCAT(D457,", ",H457,", ",I457,", ","浙江省")</f>
        <v>黄家埠镇, 余姚市, 宁波市, 浙江省</v>
      </c>
      <c r="G457">
        <v>41378</v>
      </c>
      <c r="H457" t="s">
        <v>2970</v>
      </c>
      <c r="I457" t="s">
        <v>2961</v>
      </c>
      <c r="J457">
        <f>VLOOKUP(F457,[1]!china_towns_second__2[[Column1]:[Y]],3,FALSE)</f>
        <v>30.129877029357502</v>
      </c>
      <c r="K457">
        <f>VLOOKUP(F457,[1]!china_towns_second__2[[Column1]:[Y]],2,FALSE)</f>
        <v>120.9558131</v>
      </c>
      <c r="L457" t="s">
        <v>4093</v>
      </c>
      <c r="M457" t="str">
        <f>VLOOKUP(H457,CHOOSE({1,2},Table12[Native],Table12[Name]),2,0)</f>
        <v>Yúyáo Shì</v>
      </c>
      <c r="N457" s="15" t="str">
        <f>VLOOKUP(I457,CHOOSE({1,2},Table12[Native],Table12[Name]),2,0)</f>
        <v>Níngbō Shì</v>
      </c>
      <c r="O457" s="15" t="str">
        <f t="shared" si="14"/>
        <v>Huangjiabu Zhen (Níngbō Shì)</v>
      </c>
      <c r="P457" s="15" t="str">
        <f t="shared" si="15"/>
        <v>Huangjiabu Zhen (Níngbō Shì)</v>
      </c>
    </row>
    <row r="458" spans="1:16" hidden="1" x14ac:dyDescent="0.25">
      <c r="A458" t="s">
        <v>2421</v>
      </c>
      <c r="B458" t="str">
        <f>IF(COUNTIF(A:A,A458)&gt;1,_xlfn.CONCAT(A458," (",N458,")"),A458)</f>
        <v>Huángliáo Xiāng</v>
      </c>
      <c r="C458" t="str">
        <f>IF(COUNTIF(B:B,B458)&gt;1,_xlfn.CONCAT(A458," (",M458,")"),B458)</f>
        <v>Huángliáo Xiāng</v>
      </c>
      <c r="D458" t="s">
        <v>2422</v>
      </c>
      <c r="E458" t="s">
        <v>7</v>
      </c>
      <c r="F458" t="str">
        <f>_xlfn.CONCAT(D458,", ",H458,", ",I458,", ","浙江省")</f>
        <v>黄寮乡, 文成县, 温州市, 浙江省</v>
      </c>
      <c r="G458">
        <v>691</v>
      </c>
      <c r="H458" t="s">
        <v>3009</v>
      </c>
      <c r="I458" t="s">
        <v>3000</v>
      </c>
      <c r="J458" t="e">
        <f>VLOOKUP(F458,[1]!china_towns_second__2[[Column1]:[Y]],3,FALSE)</f>
        <v>#N/A</v>
      </c>
      <c r="K458" t="e">
        <f>VLOOKUP(F458,[1]!china_towns_second__2[[Column1]:[Y]],2,FALSE)</f>
        <v>#N/A</v>
      </c>
      <c r="L458" t="s">
        <v>4094</v>
      </c>
      <c r="M458" t="str">
        <f>VLOOKUP(H458,CHOOSE({1,2},Table12[Native],Table12[Name]),2,0)</f>
        <v>Wénchéng Xiàn</v>
      </c>
      <c r="N458" s="15" t="str">
        <f>VLOOKUP(I458,CHOOSE({1,2},Table12[Native],Table12[Name]),2,0)</f>
        <v>Wēnzhōu Shì</v>
      </c>
      <c r="O458" s="15" t="str">
        <f t="shared" si="14"/>
        <v>Huangliao Xiang (Wēnzhōu Shì)</v>
      </c>
      <c r="P458" s="15" t="str">
        <f t="shared" si="15"/>
        <v>Huangliao Xiang (Wēnzhōu Shì)</v>
      </c>
    </row>
    <row r="459" spans="1:16" hidden="1" x14ac:dyDescent="0.25">
      <c r="A459" t="s">
        <v>2859</v>
      </c>
      <c r="B459" t="str">
        <f>IF(COUNTIF(A:A,A459)&gt;1,_xlfn.CONCAT(A459," (",N459,")"),A459)</f>
        <v>Huánglóng Xiāng</v>
      </c>
      <c r="C459" t="str">
        <f>IF(COUNTIF(B:B,B459)&gt;1,_xlfn.CONCAT(A459," (",M459,")"),B459)</f>
        <v>Huánglóng Xiāng</v>
      </c>
      <c r="D459" t="s">
        <v>2860</v>
      </c>
      <c r="E459" t="s">
        <v>7</v>
      </c>
      <c r="F459" t="str">
        <f>_xlfn.CONCAT(D459,", ",H459,", ",I459,", ","浙江省")</f>
        <v>黄龙乡, 嵊泗县, 舟山市, 浙江省</v>
      </c>
      <c r="G459">
        <v>7041</v>
      </c>
      <c r="H459" t="s">
        <v>3017</v>
      </c>
      <c r="I459" t="s">
        <v>3013</v>
      </c>
      <c r="J459" t="e">
        <f>VLOOKUP(F459,[1]!china_towns_second__2[[Column1]:[Y]],3,FALSE)</f>
        <v>#N/A</v>
      </c>
      <c r="K459" t="e">
        <f>VLOOKUP(F459,[1]!china_towns_second__2[[Column1]:[Y]],2,FALSE)</f>
        <v>#N/A</v>
      </c>
      <c r="L459" t="s">
        <v>4095</v>
      </c>
      <c r="M459" t="str">
        <f>VLOOKUP(H459,CHOOSE({1,2},Table12[Native],Table12[Name]),2,0)</f>
        <v>Shèngsì Xiàn</v>
      </c>
      <c r="N459" s="15" t="str">
        <f>VLOOKUP(I459,CHOOSE({1,2},Table12[Native],Table12[Name]),2,0)</f>
        <v>Zhōushān Shì</v>
      </c>
      <c r="O459" s="15" t="str">
        <f t="shared" si="14"/>
        <v>Huanglong Xiang (Zhōushān Shì)</v>
      </c>
      <c r="P459" s="15" t="str">
        <f t="shared" si="15"/>
        <v>Huanglong Xiang (Zhōushān Shì)</v>
      </c>
    </row>
    <row r="460" spans="1:16" hidden="1" x14ac:dyDescent="0.25">
      <c r="A460" t="s">
        <v>2423</v>
      </c>
      <c r="B460" t="str">
        <f>IF(COUNTIF(A:A,A460)&gt;1,_xlfn.CONCAT(A460," (",N460,")"),A460)</f>
        <v>Huángnán Xiāng</v>
      </c>
      <c r="C460" t="str">
        <f>IF(COUNTIF(B:B,B460)&gt;1,_xlfn.CONCAT(A460," (",M460,")"),B460)</f>
        <v>Huángnán Xiāng</v>
      </c>
      <c r="D460" t="s">
        <v>2424</v>
      </c>
      <c r="E460" t="s">
        <v>7</v>
      </c>
      <c r="F460" t="str">
        <f>_xlfn.CONCAT(D460,", ",H460,", ",I460,", ","浙江省")</f>
        <v>黄南乡, 永嘉县, 温州市, 浙江省</v>
      </c>
      <c r="G460">
        <v>3509</v>
      </c>
      <c r="H460" t="s">
        <v>3010</v>
      </c>
      <c r="I460" t="s">
        <v>3000</v>
      </c>
      <c r="J460" t="e">
        <f>VLOOKUP(F460,[1]!china_towns_second__2[[Column1]:[Y]],3,FALSE)</f>
        <v>#N/A</v>
      </c>
      <c r="K460" t="e">
        <f>VLOOKUP(F460,[1]!china_towns_second__2[[Column1]:[Y]],2,FALSE)</f>
        <v>#N/A</v>
      </c>
      <c r="L460" t="s">
        <v>4096</v>
      </c>
      <c r="M460" t="str">
        <f>VLOOKUP(H460,CHOOSE({1,2},Table12[Native],Table12[Name]),2,0)</f>
        <v>Yŏngjiā Xiàn</v>
      </c>
      <c r="N460" s="15" t="str">
        <f>VLOOKUP(I460,CHOOSE({1,2},Table12[Native],Table12[Name]),2,0)</f>
        <v>Wēnzhōu Shì</v>
      </c>
      <c r="O460" s="15" t="str">
        <f t="shared" si="14"/>
        <v>Huangnan Xiang (Wēnzhōu Shì)</v>
      </c>
      <c r="P460" s="15" t="str">
        <f t="shared" si="15"/>
        <v>Huangnan Xiang (Wēnzhōu Shì)</v>
      </c>
    </row>
    <row r="461" spans="1:16" hidden="1" x14ac:dyDescent="0.25">
      <c r="A461" t="s">
        <v>2425</v>
      </c>
      <c r="B461" t="str">
        <f>IF(COUNTIF(A:A,A461)&gt;1,_xlfn.CONCAT(A461," (",N461,")"),A461)</f>
        <v>Huángqiáo Xiāng</v>
      </c>
      <c r="C461" t="str">
        <f>IF(COUNTIF(B:B,B461)&gt;1,_xlfn.CONCAT(A461," (",M461,")"),B461)</f>
        <v>Huángqiáo Xiāng</v>
      </c>
      <c r="D461" t="s">
        <v>2426</v>
      </c>
      <c r="E461" t="s">
        <v>7</v>
      </c>
      <c r="F461" t="str">
        <f>_xlfn.CONCAT(D461,", ",H461,", ",I461,", ","浙江省")</f>
        <v>黄桥乡, 泰顺县, 温州市, 浙江省</v>
      </c>
      <c r="G461">
        <v>772</v>
      </c>
      <c r="H461" t="s">
        <v>3008</v>
      </c>
      <c r="I461" t="s">
        <v>3000</v>
      </c>
      <c r="J461" t="e">
        <f>VLOOKUP(F461,[1]!china_towns_second__2[[Column1]:[Y]],3,FALSE)</f>
        <v>#N/A</v>
      </c>
      <c r="K461" t="e">
        <f>VLOOKUP(F461,[1]!china_towns_second__2[[Column1]:[Y]],2,FALSE)</f>
        <v>#N/A</v>
      </c>
      <c r="L461" t="s">
        <v>4097</v>
      </c>
      <c r="M461" t="str">
        <f>VLOOKUP(H461,CHOOSE({1,2},Table12[Native],Table12[Name]),2,0)</f>
        <v>Tàishùn Xiàn</v>
      </c>
      <c r="N461" s="15" t="str">
        <f>VLOOKUP(I461,CHOOSE({1,2},Table12[Native],Table12[Name]),2,0)</f>
        <v>Wēnzhōu Shì</v>
      </c>
      <c r="O461" s="15" t="str">
        <f t="shared" si="14"/>
        <v>Huangqiao Xiang (Wēnzhōu Shì)</v>
      </c>
      <c r="P461" s="15" t="str">
        <f t="shared" si="15"/>
        <v>Huangqiao Xiang (Wēnzhōu Shì)</v>
      </c>
    </row>
    <row r="462" spans="1:16" hidden="1" x14ac:dyDescent="0.25">
      <c r="A462" t="s">
        <v>1904</v>
      </c>
      <c r="B462" t="str">
        <f>IF(COUNTIF(A:A,A462)&gt;1,_xlfn.CONCAT(A462," (",N462,")"),A462)</f>
        <v>Huángshān Zhèn</v>
      </c>
      <c r="C462" t="str">
        <f>IF(COUNTIF(B:B,B462)&gt;1,_xlfn.CONCAT(A462," (",M462,")"),B462)</f>
        <v>Huángshān Zhèn</v>
      </c>
      <c r="D462" t="s">
        <v>1905</v>
      </c>
      <c r="E462" t="s">
        <v>11</v>
      </c>
      <c r="F462" t="str">
        <f>_xlfn.CONCAT(D462,", ",H462,", ",I462,", ","浙江省")</f>
        <v>璜山镇, 诸暨市, 绍兴市, 浙江省</v>
      </c>
      <c r="G462">
        <v>28245</v>
      </c>
      <c r="H462" t="s">
        <v>2987</v>
      </c>
      <c r="I462" t="s">
        <v>2981</v>
      </c>
      <c r="J462">
        <f>VLOOKUP(F462,[1]!china_towns_second__2[[Column1]:[Y]],3,FALSE)</f>
        <v>29.532485622718301</v>
      </c>
      <c r="K462">
        <f>VLOOKUP(F462,[1]!china_towns_second__2[[Column1]:[Y]],2,FALSE)</f>
        <v>120.29845</v>
      </c>
      <c r="L462" t="s">
        <v>4098</v>
      </c>
      <c r="M462" t="str">
        <f>VLOOKUP(H462,CHOOSE({1,2},Table12[Native],Table12[Name]),2,0)</f>
        <v>Zhūjì Shì</v>
      </c>
      <c r="N462" s="15" t="str">
        <f>VLOOKUP(I462,CHOOSE({1,2},Table12[Native],Table12[Name]),2,0)</f>
        <v>Shàoxīng Shì</v>
      </c>
      <c r="O462" s="15" t="str">
        <f t="shared" si="14"/>
        <v>Huangshan Zhen (Shàoxīng Shì)</v>
      </c>
      <c r="P462" s="15" t="str">
        <f t="shared" si="15"/>
        <v>Huangshan Zhen (Shàoxīng Shì)</v>
      </c>
    </row>
    <row r="463" spans="1:16" hidden="1" x14ac:dyDescent="0.25">
      <c r="A463" t="s">
        <v>1108</v>
      </c>
      <c r="B463" t="str">
        <f>IF(COUNTIF(A:A,A463)&gt;1,_xlfn.CONCAT(A463," (",N463,")"),A463)</f>
        <v>Huángshāyāo Zhèn</v>
      </c>
      <c r="C463" t="str">
        <f>IF(COUNTIF(B:B,B463)&gt;1,_xlfn.CONCAT(A463," (",M463,")"),B463)</f>
        <v>Huángshāyāo Zhèn</v>
      </c>
      <c r="D463" t="s">
        <v>1109</v>
      </c>
      <c r="E463" t="s">
        <v>11</v>
      </c>
      <c r="F463" t="str">
        <f>_xlfn.CONCAT(D463,", ",H463,", ",I463,", ","浙江省")</f>
        <v>黄沙腰镇, 遂昌县, 丽水市, 浙江省</v>
      </c>
      <c r="G463">
        <v>4442</v>
      </c>
      <c r="H463" t="s">
        <v>2958</v>
      </c>
      <c r="I463" t="s">
        <v>2949</v>
      </c>
      <c r="J463">
        <f>VLOOKUP(F463,[1]!china_towns_second__2[[Column1]:[Y]],3,FALSE)</f>
        <v>28.4324727685445</v>
      </c>
      <c r="K463">
        <f>VLOOKUP(F463,[1]!china_towns_second__2[[Column1]:[Y]],2,FALSE)</f>
        <v>118.8635171</v>
      </c>
      <c r="L463" t="s">
        <v>4099</v>
      </c>
      <c r="M463" t="str">
        <f>VLOOKUP(H463,CHOOSE({1,2},Table12[Native],Table12[Name]),2,0)</f>
        <v>Suìchāng Xiàn</v>
      </c>
      <c r="N463" s="15" t="str">
        <f>VLOOKUP(I463,CHOOSE({1,2},Table12[Native],Table12[Name]),2,0)</f>
        <v>Lìshuĭ Shì</v>
      </c>
      <c r="O463" s="15" t="str">
        <f t="shared" si="14"/>
        <v>Huangshayao Zhen (Lìshuĭ Shì)</v>
      </c>
      <c r="P463" s="15" t="str">
        <f t="shared" si="15"/>
        <v>Huangshayao Zhen (Lìshuĭ Shì)</v>
      </c>
    </row>
    <row r="464" spans="1:16" x14ac:dyDescent="0.25">
      <c r="A464" t="s">
        <v>1449</v>
      </c>
      <c r="B464" t="str">
        <f>IF(COUNTIF(A:A,A464)&gt;1,_xlfn.CONCAT(A464," (",N464,")"),A464)</f>
        <v>Huángtán Zhèn</v>
      </c>
      <c r="C464" t="str">
        <f>IF(COUNTIF(B:B,B464)&gt;1,_xlfn.CONCAT(A464," (",M464,")"),B464)</f>
        <v>Huángtán Zhèn</v>
      </c>
      <c r="D464" t="s">
        <v>1450</v>
      </c>
      <c r="E464" t="s">
        <v>11</v>
      </c>
      <c r="F464" t="str">
        <f>_xlfn.CONCAT(D464,", ",H464,", ",I464,", ","浙江省")</f>
        <v>黄坛镇, 宁海县, 宁波市, 浙江省</v>
      </c>
      <c r="G464">
        <v>22542</v>
      </c>
      <c r="H464" t="s">
        <v>2967</v>
      </c>
      <c r="I464" t="s">
        <v>2961</v>
      </c>
      <c r="J464">
        <f>VLOOKUP(F464,[1]!china_towns_second__2[[Column1]:[Y]],3,FALSE)</f>
        <v>29.2983071566094</v>
      </c>
      <c r="K464">
        <f>VLOOKUP(F464,[1]!china_towns_second__2[[Column1]:[Y]],2,FALSE)</f>
        <v>121.2719963</v>
      </c>
      <c r="L464" t="s">
        <v>4100</v>
      </c>
      <c r="M464" t="str">
        <f>VLOOKUP(H464,CHOOSE({1,2},Table12[Native],Table12[Name]),2,0)</f>
        <v>Nínghăi Xiàn</v>
      </c>
      <c r="N464" s="15" t="str">
        <f>VLOOKUP(I464,CHOOSE({1,2},Table12[Native],Table12[Name]),2,0)</f>
        <v>Níngbō Shì</v>
      </c>
      <c r="O464" s="15" t="str">
        <f t="shared" si="14"/>
        <v>Huangtan Zhen (Níngbō Shì)</v>
      </c>
      <c r="P464" s="15" t="str">
        <f t="shared" si="15"/>
        <v>Huangtan Zhen (Níngbō Shì)</v>
      </c>
    </row>
    <row r="465" spans="1:16" x14ac:dyDescent="0.25">
      <c r="A465" t="s">
        <v>2427</v>
      </c>
      <c r="B465" t="str">
        <f>IF(COUNTIF(A:A,A465)&gt;1,_xlfn.CONCAT(A465," (",N465,")"),A465)</f>
        <v>Huángtăn Zhèn</v>
      </c>
      <c r="C465" t="str">
        <f>IF(COUNTIF(B:B,B465)&gt;1,_xlfn.CONCAT(A465," (",M465,")"),B465)</f>
        <v>Huángtăn Zhèn</v>
      </c>
      <c r="D465" t="s">
        <v>2428</v>
      </c>
      <c r="E465" t="s">
        <v>11</v>
      </c>
      <c r="F465" t="str">
        <f>_xlfn.CONCAT(D465,", ",H465,", ",I465,", ","浙江省")</f>
        <v>黄坦镇, 文成县, 温州市, 浙江省</v>
      </c>
      <c r="G465">
        <v>10879</v>
      </c>
      <c r="H465" t="s">
        <v>3009</v>
      </c>
      <c r="I465" t="s">
        <v>3000</v>
      </c>
      <c r="J465">
        <f>VLOOKUP(F465,[1]!china_towns_second__2[[Column1]:[Y]],3,FALSE)</f>
        <v>27.746362868202301</v>
      </c>
      <c r="K465">
        <f>VLOOKUP(F465,[1]!china_towns_second__2[[Column1]:[Y]],2,FALSE)</f>
        <v>119.9431651</v>
      </c>
      <c r="L465" t="s">
        <v>4100</v>
      </c>
      <c r="M465" t="str">
        <f>VLOOKUP(H465,CHOOSE({1,2},Table12[Native],Table12[Name]),2,0)</f>
        <v>Wénchéng Xiàn</v>
      </c>
      <c r="N465" s="15" t="str">
        <f>VLOOKUP(I465,CHOOSE({1,2},Table12[Native],Table12[Name]),2,0)</f>
        <v>Wēnzhōu Shì</v>
      </c>
      <c r="O465" s="15" t="str">
        <f t="shared" si="14"/>
        <v>Huangtan Zhen (Wēnzhōu Shì)</v>
      </c>
      <c r="P465" s="15" t="str">
        <f t="shared" si="15"/>
        <v>Huangtan Zhen (Wēnzhōu Shì)</v>
      </c>
    </row>
    <row r="466" spans="1:16" hidden="1" x14ac:dyDescent="0.25">
      <c r="A466" t="s">
        <v>1708</v>
      </c>
      <c r="B466" t="str">
        <f>IF(COUNTIF(A:A,A466)&gt;1,_xlfn.CONCAT(A466," (",N466,")"),A466)</f>
        <v>Huángtánkŏu Xiāng</v>
      </c>
      <c r="C466" t="str">
        <f>IF(COUNTIF(B:B,B466)&gt;1,_xlfn.CONCAT(A466," (",M466,")"),B466)</f>
        <v>Huángtánkŏu Xiāng</v>
      </c>
      <c r="D466" t="s">
        <v>1709</v>
      </c>
      <c r="E466" t="s">
        <v>7</v>
      </c>
      <c r="F466" t="str">
        <f>_xlfn.CONCAT(D466,", ",H466,", ",I466,", ","浙江省")</f>
        <v>黄坛口乡, 衢江区, 衢州市, 浙江省</v>
      </c>
      <c r="G466">
        <v>5966</v>
      </c>
      <c r="H466" t="s">
        <v>2979</v>
      </c>
      <c r="I466" t="s">
        <v>2973</v>
      </c>
      <c r="J466" t="e">
        <f>VLOOKUP(F466,[1]!china_towns_second__2[[Column1]:[Y]],3,FALSE)</f>
        <v>#N/A</v>
      </c>
      <c r="K466" t="e">
        <f>VLOOKUP(F466,[1]!china_towns_second__2[[Column1]:[Y]],2,FALSE)</f>
        <v>#N/A</v>
      </c>
      <c r="L466" t="s">
        <v>4101</v>
      </c>
      <c r="M466" t="str">
        <f>VLOOKUP(H466,CHOOSE({1,2},Table12[Native],Table12[Name]),2,0)</f>
        <v>Qújiāng Qū</v>
      </c>
      <c r="N466" s="15" t="str">
        <f>VLOOKUP(I466,CHOOSE({1,2},Table12[Native],Table12[Name]),2,0)</f>
        <v>Qúzhōu Shì</v>
      </c>
      <c r="O466" s="15" t="str">
        <f t="shared" si="14"/>
        <v>Huangtankou Xiang (Qúzhōu Shì)</v>
      </c>
      <c r="P466" s="15" t="str">
        <f t="shared" si="15"/>
        <v>Huangtankou Xiang (Qúzhōu Shì)</v>
      </c>
    </row>
    <row r="467" spans="1:16" hidden="1" x14ac:dyDescent="0.25">
      <c r="A467" t="s">
        <v>1110</v>
      </c>
      <c r="B467" t="str">
        <f>IF(COUNTIF(A:A,A467)&gt;1,_xlfn.CONCAT(A467," (",N467,")"),A467)</f>
        <v>Huángtián Zhèn</v>
      </c>
      <c r="C467" t="str">
        <f>IF(COUNTIF(B:B,B467)&gt;1,_xlfn.CONCAT(A467," (",M467,")"),B467)</f>
        <v>Huángtián Zhèn</v>
      </c>
      <c r="D467" t="s">
        <v>1111</v>
      </c>
      <c r="E467" t="s">
        <v>11</v>
      </c>
      <c r="F467" t="str">
        <f>_xlfn.CONCAT(D467,", ",H467,", ",I467,", ","浙江省")</f>
        <v>黄田镇, 庆元县, 丽水市, 浙江省</v>
      </c>
      <c r="G467">
        <v>11072</v>
      </c>
      <c r="H467" t="s">
        <v>2956</v>
      </c>
      <c r="I467" t="s">
        <v>2949</v>
      </c>
      <c r="J467">
        <f>VLOOKUP(F467,[1]!china_towns_second__2[[Column1]:[Y]],3,FALSE)</f>
        <v>27.792351534840101</v>
      </c>
      <c r="K467">
        <f>VLOOKUP(F467,[1]!china_towns_second__2[[Column1]:[Y]],2,FALSE)</f>
        <v>118.9034276</v>
      </c>
      <c r="L467" t="s">
        <v>4102</v>
      </c>
      <c r="M467" t="str">
        <f>VLOOKUP(H467,CHOOSE({1,2},Table12[Native],Table12[Name]),2,0)</f>
        <v>Qìngyuán Xiàn</v>
      </c>
      <c r="N467" s="15" t="str">
        <f>VLOOKUP(I467,CHOOSE({1,2},Table12[Native],Table12[Name]),2,0)</f>
        <v>Lìshuĭ Shì</v>
      </c>
      <c r="O467" s="15" t="str">
        <f t="shared" si="14"/>
        <v>Huangtian Zhen (Lìshuĭ Shì)</v>
      </c>
      <c r="P467" s="15" t="str">
        <f t="shared" si="15"/>
        <v>Huangtian Zhen (Lìshuĭ Shì)</v>
      </c>
    </row>
    <row r="468" spans="1:16" hidden="1" x14ac:dyDescent="0.25">
      <c r="A468" t="s">
        <v>605</v>
      </c>
      <c r="B468" t="str">
        <f>IF(COUNTIF(A:A,A468)&gt;1,_xlfn.CONCAT(A468," (",N468,")"),A468)</f>
        <v>Huángwān Zhèn</v>
      </c>
      <c r="C468" t="str">
        <f>IF(COUNTIF(B:B,B468)&gt;1,_xlfn.CONCAT(A468," (",M468,")"),B468)</f>
        <v>Huángwān Zhèn</v>
      </c>
      <c r="D468" t="s">
        <v>606</v>
      </c>
      <c r="E468" t="s">
        <v>11</v>
      </c>
      <c r="F468" t="str">
        <f>_xlfn.CONCAT(D468,", ",H468,", ",I468,", ","浙江省")</f>
        <v>黄湾镇, 海宁市, 嘉兴市, 浙江省</v>
      </c>
      <c r="G468">
        <v>22212</v>
      </c>
      <c r="H468" t="s">
        <v>2930</v>
      </c>
      <c r="I468" t="s">
        <v>2929</v>
      </c>
      <c r="J468">
        <f>VLOOKUP(F468,[1]!china_towns_second__2[[Column1]:[Y]],3,FALSE)</f>
        <v>30.329624728597398</v>
      </c>
      <c r="K468">
        <f>VLOOKUP(F468,[1]!china_towns_second__2[[Column1]:[Y]],2,FALSE)</f>
        <v>120.7734609</v>
      </c>
      <c r="L468" t="s">
        <v>4103</v>
      </c>
      <c r="M468" t="str">
        <f>VLOOKUP(H468,CHOOSE({1,2},Table12[Native],Table12[Name]),2,0)</f>
        <v>Hăiníng Shì</v>
      </c>
      <c r="N468" s="15" t="str">
        <f>VLOOKUP(I468,CHOOSE({1,2},Table12[Native],Table12[Name]),2,0)</f>
        <v>Jiāxīng Shì</v>
      </c>
      <c r="O468" s="15" t="str">
        <f t="shared" si="14"/>
        <v>Huangwan Zhen (Jiāxīng Shì)</v>
      </c>
      <c r="P468" s="15" t="str">
        <f t="shared" si="15"/>
        <v>Huangwan Zhen (Jiāxīng Shì)</v>
      </c>
    </row>
    <row r="469" spans="1:16" hidden="1" x14ac:dyDescent="0.25">
      <c r="A469" t="s">
        <v>1112</v>
      </c>
      <c r="B469" t="str">
        <f>IF(COUNTIF(A:A,A469)&gt;1,_xlfn.CONCAT(A469," (",N469,")"),A469)</f>
        <v>Huángyáng Xiāng</v>
      </c>
      <c r="C469" t="str">
        <f>IF(COUNTIF(B:B,B469)&gt;1,_xlfn.CONCAT(A469," (",M469,")"),B469)</f>
        <v>Huángyáng Xiāng</v>
      </c>
      <c r="D469" t="s">
        <v>1113</v>
      </c>
      <c r="E469" t="s">
        <v>7</v>
      </c>
      <c r="F469" t="str">
        <f>_xlfn.CONCAT(D469,", ",H469,", ",I469,", ","浙江省")</f>
        <v>黄垟乡, 青田县, 丽水市, 浙江省</v>
      </c>
      <c r="G469">
        <v>2783</v>
      </c>
      <c r="H469" t="s">
        <v>2955</v>
      </c>
      <c r="I469" t="s">
        <v>2949</v>
      </c>
      <c r="J469" t="e">
        <f>VLOOKUP(F469,[1]!china_towns_second__2[[Column1]:[Y]],3,FALSE)</f>
        <v>#N/A</v>
      </c>
      <c r="K469" t="e">
        <f>VLOOKUP(F469,[1]!china_towns_second__2[[Column1]:[Y]],2,FALSE)</f>
        <v>#N/A</v>
      </c>
      <c r="L469" t="s">
        <v>4104</v>
      </c>
      <c r="M469" t="str">
        <f>VLOOKUP(H469,CHOOSE({1,2},Table12[Native],Table12[Name]),2,0)</f>
        <v>Qīngtián Xiàn</v>
      </c>
      <c r="N469" s="15" t="str">
        <f>VLOOKUP(I469,CHOOSE({1,2},Table12[Native],Table12[Name]),2,0)</f>
        <v>Lìshuĭ Shì</v>
      </c>
      <c r="O469" s="15" t="str">
        <f t="shared" si="14"/>
        <v>Huangyang Xiang (Lìshuĭ Shì)</v>
      </c>
      <c r="P469" s="15" t="str">
        <f t="shared" si="15"/>
        <v>Huangyang Xiang (Lìshuĭ Shì)</v>
      </c>
    </row>
    <row r="470" spans="1:16" hidden="1" x14ac:dyDescent="0.25">
      <c r="A470" t="s">
        <v>1114</v>
      </c>
      <c r="B470" t="str">
        <f>IF(COUNTIF(A:A,A470)&gt;1,_xlfn.CONCAT(A470," (",N470,")"),A470)</f>
        <v>Huángyuán Xiāng</v>
      </c>
      <c r="C470" t="str">
        <f>IF(COUNTIF(B:B,B470)&gt;1,_xlfn.CONCAT(A470," (",M470,")"),B470)</f>
        <v>Huángyuán Xiāng</v>
      </c>
      <c r="D470" t="s">
        <v>1115</v>
      </c>
      <c r="E470" t="s">
        <v>7</v>
      </c>
      <c r="F470" t="str">
        <f>_xlfn.CONCAT(D470,", ",H470,", ",I470,", ","浙江省")</f>
        <v>黄源乡, 云和县, 丽水市, 浙江省</v>
      </c>
      <c r="G470">
        <v>3323</v>
      </c>
      <c r="H470" t="s">
        <v>2959</v>
      </c>
      <c r="I470" t="s">
        <v>2949</v>
      </c>
      <c r="J470" t="e">
        <f>VLOOKUP(F470,[1]!china_towns_second__2[[Column1]:[Y]],3,FALSE)</f>
        <v>#N/A</v>
      </c>
      <c r="K470" t="e">
        <f>VLOOKUP(F470,[1]!china_towns_second__2[[Column1]:[Y]],2,FALSE)</f>
        <v>#N/A</v>
      </c>
      <c r="L470" t="s">
        <v>4105</v>
      </c>
      <c r="M470" t="str">
        <f>VLOOKUP(H470,CHOOSE({1,2},Table12[Native],Table12[Name]),2,0)</f>
        <v>Yúnhé Xiàn</v>
      </c>
      <c r="N470" s="15" t="str">
        <f>VLOOKUP(I470,CHOOSE({1,2},Table12[Native],Table12[Name]),2,0)</f>
        <v>Lìshuĭ Shì</v>
      </c>
      <c r="O470" s="15" t="str">
        <f t="shared" si="14"/>
        <v>Huangyuan Xiang (Lìshuĭ Shì)</v>
      </c>
      <c r="P470" s="15" t="str">
        <f t="shared" si="15"/>
        <v>Huangyuan Xiang (Lìshuĭ Shì)</v>
      </c>
    </row>
    <row r="471" spans="1:16" hidden="1" x14ac:dyDescent="0.25">
      <c r="A471" t="s">
        <v>1906</v>
      </c>
      <c r="B471" t="str">
        <f>IF(COUNTIF(A:A,A471)&gt;1,_xlfn.CONCAT(A471," (",N471,")"),A471)</f>
        <v>Huángzé Zhèn</v>
      </c>
      <c r="C471" t="str">
        <f>IF(COUNTIF(B:B,B471)&gt;1,_xlfn.CONCAT(A471," (",M471,")"),B471)</f>
        <v>Huángzé Zhèn</v>
      </c>
      <c r="D471" t="s">
        <v>1907</v>
      </c>
      <c r="E471" t="s">
        <v>11</v>
      </c>
      <c r="F471" t="str">
        <f>_xlfn.CONCAT(D471,", ",H471,", ",I471,", ","浙江省")</f>
        <v>黄泽镇, 嵊州市, 绍兴市, 浙江省</v>
      </c>
      <c r="G471">
        <v>39927</v>
      </c>
      <c r="H471" t="s">
        <v>2984</v>
      </c>
      <c r="I471" t="s">
        <v>2981</v>
      </c>
      <c r="J471">
        <f>VLOOKUP(F471,[1]!china_towns_second__2[[Column1]:[Y]],3,FALSE)</f>
        <v>29.6024073847693</v>
      </c>
      <c r="K471">
        <f>VLOOKUP(F471,[1]!china_towns_second__2[[Column1]:[Y]],2,FALSE)</f>
        <v>120.9512127</v>
      </c>
      <c r="L471" t="s">
        <v>4106</v>
      </c>
      <c r="M471" t="str">
        <f>VLOOKUP(H471,CHOOSE({1,2},Table12[Native],Table12[Name]),2,0)</f>
        <v>Shèngzhōu Shì</v>
      </c>
      <c r="N471" s="15" t="str">
        <f>VLOOKUP(I471,CHOOSE({1,2},Table12[Native],Table12[Name]),2,0)</f>
        <v>Shàoxīng Shì</v>
      </c>
      <c r="O471" s="15" t="str">
        <f t="shared" si="14"/>
        <v>Huangze Zhen (Shàoxīng Shì)</v>
      </c>
      <c r="P471" s="15" t="str">
        <f t="shared" si="15"/>
        <v>Huangze Zhen (Shàoxīng Shì)</v>
      </c>
    </row>
    <row r="472" spans="1:16" hidden="1" x14ac:dyDescent="0.25">
      <c r="A472" t="s">
        <v>791</v>
      </c>
      <c r="B472" t="str">
        <f>IF(COUNTIF(A:A,A472)&gt;1,_xlfn.CONCAT(A472," (",N472,")"),A472)</f>
        <v>Huángzhái Zhèn</v>
      </c>
      <c r="C472" t="str">
        <f>IF(COUNTIF(B:B,B472)&gt;1,_xlfn.CONCAT(A472," (",M472,")"),B472)</f>
        <v>Huángzhái Zhèn</v>
      </c>
      <c r="D472" t="s">
        <v>792</v>
      </c>
      <c r="E472" t="s">
        <v>11</v>
      </c>
      <c r="F472" t="str">
        <f>_xlfn.CONCAT(D472,", ",H472,", ",I472,", ","浙江省")</f>
        <v>黄宅镇, 浦江县, 金华市, 浙江省</v>
      </c>
      <c r="G472">
        <v>70803</v>
      </c>
      <c r="H472" t="s">
        <v>2943</v>
      </c>
      <c r="I472" t="s">
        <v>2938</v>
      </c>
      <c r="J472">
        <f>VLOOKUP(F472,[1]!china_towns_second__2[[Column1]:[Y]],3,FALSE)</f>
        <v>29.431384985646901</v>
      </c>
      <c r="K472">
        <f>VLOOKUP(F472,[1]!china_towns_second__2[[Column1]:[Y]],2,FALSE)</f>
        <v>119.9992622</v>
      </c>
      <c r="L472" t="s">
        <v>4107</v>
      </c>
      <c r="M472" t="str">
        <f>VLOOKUP(H472,CHOOSE({1,2},Table12[Native],Table12[Name]),2,0)</f>
        <v>Pŭjiāng Xiàn</v>
      </c>
      <c r="N472" s="15" t="str">
        <f>VLOOKUP(I472,CHOOSE({1,2},Table12[Native],Table12[Name]),2,0)</f>
        <v>Jīnhuá Shì</v>
      </c>
      <c r="O472" s="15" t="str">
        <f t="shared" si="14"/>
        <v>Huangzhai Zhen (Jīnhuá Shì)</v>
      </c>
      <c r="P472" s="15" t="str">
        <f t="shared" si="15"/>
        <v>Huangzhai Zhen (Jīnhuá Shì)</v>
      </c>
    </row>
    <row r="473" spans="1:16" hidden="1" x14ac:dyDescent="0.25">
      <c r="A473" t="s">
        <v>2861</v>
      </c>
      <c r="B473" t="str">
        <f>IF(COUNTIF(A:A,A473)&gt;1,_xlfn.CONCAT(A473," (",N473,")"),A473)</f>
        <v>Huāniăo Xiāng</v>
      </c>
      <c r="C473" t="str">
        <f>IF(COUNTIF(B:B,B473)&gt;1,_xlfn.CONCAT(A473," (",M473,")"),B473)</f>
        <v>Huāniăo Xiāng</v>
      </c>
      <c r="D473" t="s">
        <v>2862</v>
      </c>
      <c r="E473" t="s">
        <v>7</v>
      </c>
      <c r="F473" t="str">
        <f>_xlfn.CONCAT(D473,", ",H473,", ",I473,", ","浙江省")</f>
        <v>花鸟乡, 嵊泗县, 舟山市, 浙江省</v>
      </c>
      <c r="G473">
        <v>977</v>
      </c>
      <c r="H473" t="s">
        <v>3017</v>
      </c>
      <c r="I473" t="s">
        <v>3013</v>
      </c>
      <c r="J473" t="e">
        <f>VLOOKUP(F473,[1]!china_towns_second__2[[Column1]:[Y]],3,FALSE)</f>
        <v>#N/A</v>
      </c>
      <c r="K473" t="e">
        <f>VLOOKUP(F473,[1]!china_towns_second__2[[Column1]:[Y]],2,FALSE)</f>
        <v>#N/A</v>
      </c>
      <c r="L473" t="s">
        <v>4108</v>
      </c>
      <c r="M473" t="str">
        <f>VLOOKUP(H473,CHOOSE({1,2},Table12[Native],Table12[Name]),2,0)</f>
        <v>Shèngsì Xiàn</v>
      </c>
      <c r="N473" s="15" t="str">
        <f>VLOOKUP(I473,CHOOSE({1,2},Table12[Native],Table12[Name]),2,0)</f>
        <v>Zhōushān Shì</v>
      </c>
      <c r="O473" s="15" t="str">
        <f t="shared" si="14"/>
        <v>Huaniao Xiang (Zhōushān Shì)</v>
      </c>
      <c r="P473" s="15" t="str">
        <f t="shared" si="15"/>
        <v>Huaniao Xiang (Zhōushān Shì)</v>
      </c>
    </row>
    <row r="474" spans="1:16" hidden="1" x14ac:dyDescent="0.25">
      <c r="A474" t="s">
        <v>2863</v>
      </c>
      <c r="B474" t="str">
        <f>IF(COUNTIF(A:A,A474)&gt;1,_xlfn.CONCAT(A474," (",N474,")"),A474)</f>
        <v>Huánnán Jiēdào</v>
      </c>
      <c r="C474" t="str">
        <f>IF(COUNTIF(B:B,B474)&gt;1,_xlfn.CONCAT(A474," (",M474,")"),B474)</f>
        <v>Huánnán Jiēdào</v>
      </c>
      <c r="D474" t="s">
        <v>2864</v>
      </c>
      <c r="E474" t="s">
        <v>15</v>
      </c>
      <c r="F474" t="str">
        <f>_xlfn.CONCAT(D474,", ",H474,", ",I474,", ","浙江省")</f>
        <v>环南街道, 定海区, 舟山市, 浙江省</v>
      </c>
      <c r="G474">
        <v>30049</v>
      </c>
      <c r="H474" t="s">
        <v>3015</v>
      </c>
      <c r="I474" t="s">
        <v>3013</v>
      </c>
      <c r="J474">
        <f>VLOOKUP(F474,[1]!china_towns_second__2[[Column1]:[Y]],3,FALSE)</f>
        <v>29.972502312862702</v>
      </c>
      <c r="K474">
        <f>VLOOKUP(F474,[1]!china_towns_second__2[[Column1]:[Y]],2,FALSE)</f>
        <v>122.0760035</v>
      </c>
      <c r="L474" t="s">
        <v>4109</v>
      </c>
      <c r="M474" t="str">
        <f>VLOOKUP(H474,CHOOSE({1,2},Table12[Native],Table12[Name]),2,0)</f>
        <v>Dìnghăi Qū</v>
      </c>
      <c r="N474" s="15" t="str">
        <f>VLOOKUP(I474,CHOOSE({1,2},Table12[Native],Table12[Name]),2,0)</f>
        <v>Zhōushān Shì</v>
      </c>
      <c r="O474" s="15" t="str">
        <f t="shared" si="14"/>
        <v>Huannan Jiedao (Zhōushān Shì)</v>
      </c>
      <c r="P474" s="15" t="str">
        <f t="shared" si="15"/>
        <v>Huannan Jiedao (Zhōushān Shì)</v>
      </c>
    </row>
    <row r="475" spans="1:16" hidden="1" x14ac:dyDescent="0.25">
      <c r="A475" t="s">
        <v>141</v>
      </c>
      <c r="B475" t="str">
        <f>IF(COUNTIF(A:A,A475)&gt;1,_xlfn.CONCAT(A475," (",N475,")"),A475)</f>
        <v>Huánshān Xiāng</v>
      </c>
      <c r="C475" t="str">
        <f>IF(COUNTIF(B:B,B475)&gt;1,_xlfn.CONCAT(A475," (",M475,")"),B475)</f>
        <v>Huánshān Xiāng</v>
      </c>
      <c r="D475" t="s">
        <v>142</v>
      </c>
      <c r="E475" t="s">
        <v>7</v>
      </c>
      <c r="F475" t="str">
        <f>_xlfn.CONCAT(D475,", ",H475,", ",I475,", ","浙江省")</f>
        <v>环山乡, 富阳区, 杭州市, 浙江省</v>
      </c>
      <c r="G475">
        <v>10814</v>
      </c>
      <c r="H475" t="s">
        <v>2908</v>
      </c>
      <c r="I475" t="s">
        <v>2903</v>
      </c>
      <c r="J475" t="e">
        <f>VLOOKUP(F475,[1]!china_towns_second__2[[Column1]:[Y]],3,FALSE)</f>
        <v>#N/A</v>
      </c>
      <c r="K475" t="e">
        <f>VLOOKUP(F475,[1]!china_towns_second__2[[Column1]:[Y]],2,FALSE)</f>
        <v>#N/A</v>
      </c>
      <c r="L475" t="s">
        <v>4110</v>
      </c>
      <c r="M475" t="str">
        <f>VLOOKUP(H475,CHOOSE({1,2},Table12[Native],Table12[Name]),2,0)</f>
        <v>Fùyáng Qū</v>
      </c>
      <c r="N475" s="15" t="str">
        <f>VLOOKUP(I475,CHOOSE({1,2},Table12[Native],Table12[Name]),2,0)</f>
        <v>Hángzhōu Shì</v>
      </c>
      <c r="O475" s="15" t="str">
        <f t="shared" si="14"/>
        <v>Huanshan Xiang (Hángzhōu Shì)</v>
      </c>
      <c r="P475" s="15" t="str">
        <f t="shared" si="15"/>
        <v>Huanshan Xiang (Hángzhōu Shì)</v>
      </c>
    </row>
    <row r="476" spans="1:16" hidden="1" x14ac:dyDescent="0.25">
      <c r="A476" t="s">
        <v>459</v>
      </c>
      <c r="B476" t="str">
        <f>IF(COUNTIF(A:A,A476)&gt;1,_xlfn.CONCAT(A476," (",N476,")"),A476)</f>
        <v>Huánzhŭ Jiēdào</v>
      </c>
      <c r="C476" t="str">
        <f>IF(COUNTIF(B:B,B476)&gt;1,_xlfn.CONCAT(A476," (",M476,")"),B476)</f>
        <v>Huánzhŭ Jiēdào</v>
      </c>
      <c r="D476" t="s">
        <v>460</v>
      </c>
      <c r="E476" t="s">
        <v>15</v>
      </c>
      <c r="F476" t="str">
        <f>_xlfn.CONCAT(D476,", ",H476,", ",I476,", ","浙江省")</f>
        <v>环渚街道, 吴兴区, 湖州市, 浙江省</v>
      </c>
      <c r="G476">
        <v>41068</v>
      </c>
      <c r="H476" t="s">
        <v>2927</v>
      </c>
      <c r="I476" t="s">
        <v>2922</v>
      </c>
      <c r="J476">
        <f>VLOOKUP(F476,[1]!china_towns_second__2[[Column1]:[Y]],3,FALSE)</f>
        <v>30.898461324306901</v>
      </c>
      <c r="K476">
        <f>VLOOKUP(F476,[1]!china_towns_second__2[[Column1]:[Y]],2,FALSE)</f>
        <v>120.1265564</v>
      </c>
      <c r="L476" t="s">
        <v>4111</v>
      </c>
      <c r="M476" t="str">
        <f>VLOOKUP(H476,CHOOSE({1,2},Table12[Native],Table12[Name]),2,0)</f>
        <v>Wúxīng Qū</v>
      </c>
      <c r="N476" s="15" t="str">
        <f>VLOOKUP(I476,CHOOSE({1,2},Table12[Native],Table12[Name]),2,0)</f>
        <v>Húzhōu Shì</v>
      </c>
      <c r="O476" s="15" t="str">
        <f t="shared" si="14"/>
        <v>Huanzhu Jiedao (Húzhōu Shì)</v>
      </c>
      <c r="P476" s="15" t="str">
        <f t="shared" si="15"/>
        <v>Huanzhu Jiedao (Húzhōu Shì)</v>
      </c>
    </row>
    <row r="477" spans="1:16" hidden="1" x14ac:dyDescent="0.25">
      <c r="A477" t="s">
        <v>793</v>
      </c>
      <c r="B477" t="str">
        <f>IF(COUNTIF(A:A,A477)&gt;1,_xlfn.CONCAT(A477," (",N477,")"),A477)</f>
        <v>Huāqiáo Xiāng</v>
      </c>
      <c r="C477" t="str">
        <f>IF(COUNTIF(B:B,B477)&gt;1,_xlfn.CONCAT(A477," (",M477,")"),B477)</f>
        <v>Huāqiáo Xiāng</v>
      </c>
      <c r="D477" t="s">
        <v>794</v>
      </c>
      <c r="E477" t="s">
        <v>7</v>
      </c>
      <c r="F477" t="str">
        <f>_xlfn.CONCAT(D477,", ",H477,", ",I477,", ","浙江省")</f>
        <v>花桥乡, 浦江县, 金华市, 浙江省</v>
      </c>
      <c r="G477">
        <v>4681</v>
      </c>
      <c r="H477" t="s">
        <v>2943</v>
      </c>
      <c r="I477" t="s">
        <v>2938</v>
      </c>
      <c r="J477" t="e">
        <f>VLOOKUP(F477,[1]!china_towns_second__2[[Column1]:[Y]],3,FALSE)</f>
        <v>#N/A</v>
      </c>
      <c r="K477" t="e">
        <f>VLOOKUP(F477,[1]!china_towns_second__2[[Column1]:[Y]],2,FALSE)</f>
        <v>#N/A</v>
      </c>
      <c r="L477" t="s">
        <v>4112</v>
      </c>
      <c r="M477" t="str">
        <f>VLOOKUP(H477,CHOOSE({1,2},Table12[Native],Table12[Name]),2,0)</f>
        <v>Pŭjiāng Xiàn</v>
      </c>
      <c r="N477" s="15" t="str">
        <f>VLOOKUP(I477,CHOOSE({1,2},Table12[Native],Table12[Name]),2,0)</f>
        <v>Jīnhuá Shì</v>
      </c>
      <c r="O477" s="15" t="str">
        <f t="shared" si="14"/>
        <v>Huaqiao Xiang (Jīnhuá Shì)</v>
      </c>
      <c r="P477" s="15" t="str">
        <f t="shared" si="15"/>
        <v>Huaqiao Xiang (Jīnhuá Shì)</v>
      </c>
    </row>
    <row r="478" spans="1:16" hidden="1" x14ac:dyDescent="0.25">
      <c r="A478" t="s">
        <v>2121</v>
      </c>
      <c r="B478" t="str">
        <f>IF(COUNTIF(A:A,A478)&gt;1,_xlfn.CONCAT(A478," (",N478,")"),A478)</f>
        <v>Huāqiáo Zhèn</v>
      </c>
      <c r="C478" t="str">
        <f>IF(COUNTIF(B:B,B478)&gt;1,_xlfn.CONCAT(A478," (",M478,")"),B478)</f>
        <v>Huāqiáo Zhèn</v>
      </c>
      <c r="D478" t="s">
        <v>2122</v>
      </c>
      <c r="E478" t="s">
        <v>11</v>
      </c>
      <c r="F478" t="str">
        <f>_xlfn.CONCAT(D478,", ",H478,", ",I478,", ","浙江省")</f>
        <v>花桥镇, 三门县, 台州市, 浙江省</v>
      </c>
      <c r="G478">
        <v>15299</v>
      </c>
      <c r="H478" t="s">
        <v>2994</v>
      </c>
      <c r="I478" t="s">
        <v>2989</v>
      </c>
      <c r="J478">
        <f>VLOOKUP(F478,[1]!china_towns_second__2[[Column1]:[Y]],3,FALSE)</f>
        <v>28.927146440903901</v>
      </c>
      <c r="K478">
        <f>VLOOKUP(F478,[1]!china_towns_second__2[[Column1]:[Y]],2,FALSE)</f>
        <v>121.49484750000001</v>
      </c>
      <c r="L478" t="s">
        <v>4113</v>
      </c>
      <c r="M478" t="str">
        <f>VLOOKUP(H478,CHOOSE({1,2},Table12[Native],Table12[Name]),2,0)</f>
        <v>Sānmén Xiàn</v>
      </c>
      <c r="N478" s="15" t="str">
        <f>VLOOKUP(I478,CHOOSE({1,2},Table12[Native],Table12[Name]),2,0)</f>
        <v>Táizhōu Shì</v>
      </c>
      <c r="O478" s="15" t="str">
        <f t="shared" si="14"/>
        <v>Huaqiao Zhen (Táizhōu Shì)</v>
      </c>
      <c r="P478" s="15" t="str">
        <f t="shared" si="15"/>
        <v>Huaqiao Zhen (Táizhōu Shì)</v>
      </c>
    </row>
    <row r="479" spans="1:16" hidden="1" x14ac:dyDescent="0.25">
      <c r="A479" t="s">
        <v>1908</v>
      </c>
      <c r="B479" t="str">
        <f>IF(COUNTIF(A:A,A479)&gt;1,_xlfn.CONCAT(A479," (",N479,")"),A479)</f>
        <v>Huáshè Jiēdào</v>
      </c>
      <c r="C479" t="str">
        <f>IF(COUNTIF(B:B,B479)&gt;1,_xlfn.CONCAT(A479," (",M479,")"),B479)</f>
        <v>Huáshè Jiēdào</v>
      </c>
      <c r="D479" t="s">
        <v>1909</v>
      </c>
      <c r="E479" t="s">
        <v>15</v>
      </c>
      <c r="F479" t="str">
        <f>_xlfn.CONCAT(D479,", ",H479,", ",I479,", ","浙江省")</f>
        <v>华舍街道, 柯桥区, 绍兴市, 浙江省</v>
      </c>
      <c r="G479">
        <v>88343</v>
      </c>
      <c r="H479" t="s">
        <v>2982</v>
      </c>
      <c r="I479" t="s">
        <v>2981</v>
      </c>
      <c r="J479">
        <f>VLOOKUP(F479,[1]!china_towns_second__2[[Column1]:[Y]],3,FALSE)</f>
        <v>30.105460234667898</v>
      </c>
      <c r="K479">
        <f>VLOOKUP(F479,[1]!china_towns_second__2[[Column1]:[Y]],2,FALSE)</f>
        <v>120.47237680000001</v>
      </c>
      <c r="L479" t="s">
        <v>4114</v>
      </c>
      <c r="M479" t="str">
        <f>VLOOKUP(H479,CHOOSE({1,2},Table12[Native],Table12[Name]),2,0)</f>
        <v>Kēqiáo Qū</v>
      </c>
      <c r="N479" s="15" t="str">
        <f>VLOOKUP(I479,CHOOSE({1,2},Table12[Native],Table12[Name]),2,0)</f>
        <v>Shàoxīng Shì</v>
      </c>
      <c r="O479" s="15" t="str">
        <f t="shared" si="14"/>
        <v>Huashe Jiedao (Shàoxīng Shì)</v>
      </c>
      <c r="P479" s="15" t="str">
        <f t="shared" si="15"/>
        <v>Huashe Jiedao (Shàoxīng Shì)</v>
      </c>
    </row>
    <row r="480" spans="1:16" hidden="1" x14ac:dyDescent="0.25">
      <c r="A480" t="s">
        <v>1710</v>
      </c>
      <c r="B480" t="str">
        <f>IF(COUNTIF(A:A,A480)&gt;1,_xlfn.CONCAT(A480," (",N480,")"),A480)</f>
        <v>Huáshù Xiāng</v>
      </c>
      <c r="C480" t="str">
        <f>IF(COUNTIF(B:B,B480)&gt;1,_xlfn.CONCAT(A480," (",M480,")"),B480)</f>
        <v>Huáshù Xiāng</v>
      </c>
      <c r="D480" t="s">
        <v>1711</v>
      </c>
      <c r="E480" t="s">
        <v>7</v>
      </c>
      <c r="F480" t="str">
        <f>_xlfn.CONCAT(D480,", ",H480,", ",I480,", ","浙江省")</f>
        <v>华墅乡, 柯城区, 衢州市, 浙江省</v>
      </c>
      <c r="G480">
        <v>12422</v>
      </c>
      <c r="H480" t="s">
        <v>2977</v>
      </c>
      <c r="I480" t="s">
        <v>2973</v>
      </c>
      <c r="J480" t="e">
        <f>VLOOKUP(F480,[1]!china_towns_second__2[[Column1]:[Y]],3,FALSE)</f>
        <v>#N/A</v>
      </c>
      <c r="K480" t="e">
        <f>VLOOKUP(F480,[1]!china_towns_second__2[[Column1]:[Y]],2,FALSE)</f>
        <v>#N/A</v>
      </c>
      <c r="L480" t="s">
        <v>4115</v>
      </c>
      <c r="M480" t="str">
        <f>VLOOKUP(H480,CHOOSE({1,2},Table12[Native],Table12[Name]),2,0)</f>
        <v>Kēchéng Qū</v>
      </c>
      <c r="N480" s="15" t="str">
        <f>VLOOKUP(I480,CHOOSE({1,2},Table12[Native],Table12[Name]),2,0)</f>
        <v>Qúzhōu Shì</v>
      </c>
      <c r="O480" s="15" t="str">
        <f t="shared" si="14"/>
        <v>Huashu Xiang (Qúzhōu Shì)</v>
      </c>
      <c r="P480" s="15" t="str">
        <f t="shared" si="15"/>
        <v>Huashu Xiang (Qúzhōu Shì)</v>
      </c>
    </row>
    <row r="481" spans="1:16" hidden="1" x14ac:dyDescent="0.25">
      <c r="A481" t="s">
        <v>795</v>
      </c>
      <c r="B481" t="str">
        <f>IF(COUNTIF(A:A,A481)&gt;1,_xlfn.CONCAT(A481," (",N481,")"),A481)</f>
        <v>Huàshuĭ Zhèn</v>
      </c>
      <c r="C481" t="str">
        <f>IF(COUNTIF(B:B,B481)&gt;1,_xlfn.CONCAT(A481," (",M481,")"),B481)</f>
        <v>Huàshuĭ Zhèn</v>
      </c>
      <c r="D481" t="s">
        <v>796</v>
      </c>
      <c r="E481" t="s">
        <v>11</v>
      </c>
      <c r="F481" t="str">
        <f>_xlfn.CONCAT(D481,", ",H481,", ",I481,", ","浙江省")</f>
        <v>画水镇, 东阳市, 金华市, 浙江省</v>
      </c>
      <c r="G481">
        <v>46158</v>
      </c>
      <c r="H481" t="s">
        <v>2939</v>
      </c>
      <c r="I481" t="s">
        <v>2938</v>
      </c>
      <c r="J481">
        <f>VLOOKUP(F481,[1]!china_towns_second__2[[Column1]:[Y]],3,FALSE)</f>
        <v>29.170123978243101</v>
      </c>
      <c r="K481">
        <f>VLOOKUP(F481,[1]!china_towns_second__2[[Column1]:[Y]],2,FALSE)</f>
        <v>120.13497340000001</v>
      </c>
      <c r="L481" t="s">
        <v>4116</v>
      </c>
      <c r="M481" t="str">
        <f>VLOOKUP(H481,CHOOSE({1,2},Table12[Native],Table12[Name]),2,0)</f>
        <v>Dōngyáng Shì</v>
      </c>
      <c r="N481" s="15" t="str">
        <f>VLOOKUP(I481,CHOOSE({1,2},Table12[Native],Table12[Name]),2,0)</f>
        <v>Jīnhuá Shì</v>
      </c>
      <c r="O481" s="15" t="str">
        <f t="shared" si="14"/>
        <v>Huashui Zhen (Jīnhuá Shì)</v>
      </c>
      <c r="P481" s="15" t="str">
        <f t="shared" si="15"/>
        <v>Huashui Zhen (Jīnhuá Shì)</v>
      </c>
    </row>
    <row r="482" spans="1:16" hidden="1" x14ac:dyDescent="0.25">
      <c r="A482" t="s">
        <v>2429</v>
      </c>
      <c r="B482" t="str">
        <f>IF(COUNTIF(A:A,A482)&gt;1,_xlfn.CONCAT(A482," (",N482,")"),A482)</f>
        <v>Huātăn Xiāng</v>
      </c>
      <c r="C482" t="str">
        <f>IF(COUNTIF(B:B,B482)&gt;1,_xlfn.CONCAT(A482," (",M482,")"),B482)</f>
        <v>Huātăn Xiāng</v>
      </c>
      <c r="D482" t="s">
        <v>2430</v>
      </c>
      <c r="E482" t="s">
        <v>7</v>
      </c>
      <c r="F482" t="str">
        <f>_xlfn.CONCAT(D482,", ",H482,", ",I482,", ","浙江省")</f>
        <v>花坦乡, 永嘉县, 温州市, 浙江省</v>
      </c>
      <c r="G482">
        <v>8084</v>
      </c>
      <c r="H482" t="s">
        <v>3010</v>
      </c>
      <c r="I482" t="s">
        <v>3000</v>
      </c>
      <c r="J482" t="e">
        <f>VLOOKUP(F482,[1]!china_towns_second__2[[Column1]:[Y]],3,FALSE)</f>
        <v>#N/A</v>
      </c>
      <c r="K482" t="e">
        <f>VLOOKUP(F482,[1]!china_towns_second__2[[Column1]:[Y]],2,FALSE)</f>
        <v>#N/A</v>
      </c>
      <c r="L482" t="s">
        <v>4117</v>
      </c>
      <c r="M482" t="str">
        <f>VLOOKUP(H482,CHOOSE({1,2},Table12[Native],Table12[Name]),2,0)</f>
        <v>Yŏngjiā Xiàn</v>
      </c>
      <c r="N482" s="15" t="str">
        <f>VLOOKUP(I482,CHOOSE({1,2},Table12[Native],Table12[Name]),2,0)</f>
        <v>Wēnzhōu Shì</v>
      </c>
      <c r="O482" s="15" t="str">
        <f t="shared" si="14"/>
        <v>Huatan Xiang (Wēnzhōu Shì)</v>
      </c>
      <c r="P482" s="15" t="str">
        <f t="shared" si="15"/>
        <v>Huatan Xiang (Wēnzhōu Shì)</v>
      </c>
    </row>
    <row r="483" spans="1:16" hidden="1" x14ac:dyDescent="0.25">
      <c r="A483" t="s">
        <v>1712</v>
      </c>
      <c r="B483" t="str">
        <f>IF(COUNTIF(A:A,A483)&gt;1,_xlfn.CONCAT(A483," (",N483,")"),A483)</f>
        <v>Huāyuán Jiēdào</v>
      </c>
      <c r="C483" t="str">
        <f>IF(COUNTIF(B:B,B483)&gt;1,_xlfn.CONCAT(A483," (",M483,")"),B483)</f>
        <v>Huāyuán Jiēdào</v>
      </c>
      <c r="D483" t="s">
        <v>1713</v>
      </c>
      <c r="E483" t="s">
        <v>15</v>
      </c>
      <c r="F483" t="str">
        <f>_xlfn.CONCAT(D483,", ",H483,", ",I483,", ","浙江省")</f>
        <v>花园街道, 柯城区, 衢州市, 浙江省</v>
      </c>
      <c r="G483">
        <v>61678</v>
      </c>
      <c r="H483" t="s">
        <v>2977</v>
      </c>
      <c r="I483" t="s">
        <v>2973</v>
      </c>
      <c r="J483">
        <f>VLOOKUP(F483,[1]!china_towns_second__2[[Column1]:[Y]],3,FALSE)</f>
        <v>28.905881536105301</v>
      </c>
      <c r="K483">
        <f>VLOOKUP(F483,[1]!china_towns_second__2[[Column1]:[Y]],2,FALSE)</f>
        <v>118.8939555</v>
      </c>
      <c r="L483" t="s">
        <v>4118</v>
      </c>
      <c r="M483" t="str">
        <f>VLOOKUP(H483,CHOOSE({1,2},Table12[Native],Table12[Name]),2,0)</f>
        <v>Kēchéng Qū</v>
      </c>
      <c r="N483" s="15" t="str">
        <f>VLOOKUP(I483,CHOOSE({1,2},Table12[Native],Table12[Name]),2,0)</f>
        <v>Qúzhōu Shì</v>
      </c>
      <c r="O483" s="15" t="str">
        <f t="shared" si="14"/>
        <v>Huayuan Jiedao (Qúzhōu Shì)</v>
      </c>
      <c r="P483" s="15" t="str">
        <f t="shared" si="15"/>
        <v>Huayuan Jiedao (Qúzhōu Shì)</v>
      </c>
    </row>
    <row r="484" spans="1:16" hidden="1" x14ac:dyDescent="0.25">
      <c r="A484" t="s">
        <v>143</v>
      </c>
      <c r="B484" t="str">
        <f>IF(COUNTIF(A:A,A484)&gt;1,_xlfn.CONCAT(A484," (",N484,")"),A484)</f>
        <v>Húbīn Jiēdào</v>
      </c>
      <c r="C484" t="str">
        <f>IF(COUNTIF(B:B,B484)&gt;1,_xlfn.CONCAT(A484," (",M484,")"),B484)</f>
        <v>Húbīn Jiēdào</v>
      </c>
      <c r="D484" t="s">
        <v>144</v>
      </c>
      <c r="E484" t="s">
        <v>15</v>
      </c>
      <c r="F484" t="str">
        <f>_xlfn.CONCAT(D484,", ",H484,", ",I484,", ","浙江省")</f>
        <v>湖滨街道, 上城区, 杭州市, 浙江省</v>
      </c>
      <c r="G484">
        <v>22939</v>
      </c>
      <c r="H484" t="s">
        <v>2915</v>
      </c>
      <c r="I484" t="s">
        <v>2903</v>
      </c>
      <c r="J484">
        <f>VLOOKUP(F484,[1]!china_towns_second__2[[Column1]:[Y]],3,FALSE)</f>
        <v>30.2544642740204</v>
      </c>
      <c r="K484">
        <f>VLOOKUP(F484,[1]!china_towns_second__2[[Column1]:[Y]],2,FALSE)</f>
        <v>120.16119689999999</v>
      </c>
      <c r="L484" t="s">
        <v>4119</v>
      </c>
      <c r="M484" t="str">
        <f>VLOOKUP(H484,CHOOSE({1,2},Table12[Native],Table12[Name]),2,0)</f>
        <v>Shàngchéng Qū</v>
      </c>
      <c r="N484" s="15" t="str">
        <f>VLOOKUP(I484,CHOOSE({1,2},Table12[Native],Table12[Name]),2,0)</f>
        <v>Hángzhōu Shì</v>
      </c>
      <c r="O484" s="15" t="str">
        <f t="shared" si="14"/>
        <v>Hubin Jiedao (Hángzhōu Shì)</v>
      </c>
      <c r="P484" s="15" t="str">
        <f t="shared" si="15"/>
        <v>Hubin Jiedao (Hángzhōu Shì)</v>
      </c>
    </row>
    <row r="485" spans="1:16" hidden="1" x14ac:dyDescent="0.25">
      <c r="A485" t="s">
        <v>1451</v>
      </c>
      <c r="B485" t="str">
        <f>IF(COUNTIF(A:A,A485)&gt;1,_xlfn.CONCAT(A485," (",N485,")"),A485)</f>
        <v>Húchén Xiāng</v>
      </c>
      <c r="C485" t="str">
        <f>IF(COUNTIF(B:B,B485)&gt;1,_xlfn.CONCAT(A485," (",M485,")"),B485)</f>
        <v>Húchén Xiāng</v>
      </c>
      <c r="D485" t="s">
        <v>1452</v>
      </c>
      <c r="E485" t="s">
        <v>7</v>
      </c>
      <c r="F485" t="str">
        <f>_xlfn.CONCAT(D485,", ",H485,", ",I485,", ","浙江省")</f>
        <v>胡陈乡, 宁海县, 宁波市, 浙江省</v>
      </c>
      <c r="G485">
        <v>11231</v>
      </c>
      <c r="H485" t="s">
        <v>2967</v>
      </c>
      <c r="I485" t="s">
        <v>2961</v>
      </c>
      <c r="J485" t="e">
        <f>VLOOKUP(F485,[1]!china_towns_second__2[[Column1]:[Y]],3,FALSE)</f>
        <v>#N/A</v>
      </c>
      <c r="K485" t="e">
        <f>VLOOKUP(F485,[1]!china_towns_second__2[[Column1]:[Y]],2,FALSE)</f>
        <v>#N/A</v>
      </c>
      <c r="L485" t="s">
        <v>4120</v>
      </c>
      <c r="M485" t="str">
        <f>VLOOKUP(H485,CHOOSE({1,2},Table12[Native],Table12[Name]),2,0)</f>
        <v>Nínghăi Xiàn</v>
      </c>
      <c r="N485" s="15" t="str">
        <f>VLOOKUP(I485,CHOOSE({1,2},Table12[Native],Table12[Name]),2,0)</f>
        <v>Níngbō Shì</v>
      </c>
      <c r="O485" s="15" t="str">
        <f t="shared" si="14"/>
        <v>Huchen Xiang (Níngbō Shì)</v>
      </c>
      <c r="P485" s="15" t="str">
        <f t="shared" si="15"/>
        <v>Huchen Xiang (Níngbō Shì)</v>
      </c>
    </row>
    <row r="486" spans="1:16" hidden="1" x14ac:dyDescent="0.25">
      <c r="A486" t="s">
        <v>1714</v>
      </c>
      <c r="B486" t="str">
        <f>IF(COUNTIF(A:A,A486)&gt;1,_xlfn.CONCAT(A486," (",N486,")"),A486)</f>
        <v>Huībù Zhèn [incl. Sòngfàn Xiāng]</v>
      </c>
      <c r="C486" t="str">
        <f>IF(COUNTIF(B:B,B486)&gt;1,_xlfn.CONCAT(A486," (",M486,")"),B486)</f>
        <v>Huībù Zhèn [incl. Sòngfàn Xiāng]</v>
      </c>
      <c r="D486" t="s">
        <v>1715</v>
      </c>
      <c r="E486" t="s">
        <v>11</v>
      </c>
      <c r="F486" t="str">
        <f>_xlfn.CONCAT(D486,", ",H486,", ",I486,", ","浙江省")</f>
        <v>辉埠镇, 常山县, 衢州市, 浙江省</v>
      </c>
      <c r="G486">
        <v>23732</v>
      </c>
      <c r="H486" t="s">
        <v>2974</v>
      </c>
      <c r="I486" t="s">
        <v>2973</v>
      </c>
      <c r="J486">
        <f>VLOOKUP(F486,[1]!china_towns_second__2[[Column1]:[Y]],3,FALSE)</f>
        <v>28.997674873205799</v>
      </c>
      <c r="K486">
        <f>VLOOKUP(F486,[1]!china_towns_second__2[[Column1]:[Y]],2,FALSE)</f>
        <v>118.5041805</v>
      </c>
      <c r="L486" t="s">
        <v>4121</v>
      </c>
      <c r="M486" t="str">
        <f>VLOOKUP(H486,CHOOSE({1,2},Table12[Native],Table12[Name]),2,0)</f>
        <v>Chángshān Xiàn</v>
      </c>
      <c r="N486" s="15" t="str">
        <f>VLOOKUP(I486,CHOOSE({1,2},Table12[Native],Table12[Name]),2,0)</f>
        <v>Qúzhōu Shì</v>
      </c>
      <c r="O486" s="15" t="str">
        <f t="shared" si="14"/>
        <v>Huibu Zhen [incl. Songfan Xiang] (Qúzhōu Shì)</v>
      </c>
      <c r="P486" s="15" t="str">
        <f t="shared" si="15"/>
        <v>Huibu Zhen [incl. Songfan Xiang] (Qúzhōu Shì)</v>
      </c>
    </row>
    <row r="487" spans="1:16" hidden="1" x14ac:dyDescent="0.25">
      <c r="A487" t="s">
        <v>607</v>
      </c>
      <c r="B487" t="str">
        <f>IF(COUNTIF(A:A,A487)&gt;1,_xlfn.CONCAT(A487," (",N487,")"),A487)</f>
        <v>Huìmín Jiēdào</v>
      </c>
      <c r="C487" t="str">
        <f>IF(COUNTIF(B:B,B487)&gt;1,_xlfn.CONCAT(A487," (",M487,")"),B487)</f>
        <v>Huìmín Jiēdào</v>
      </c>
      <c r="D487" t="s">
        <v>608</v>
      </c>
      <c r="E487" t="s">
        <v>15</v>
      </c>
      <c r="F487" t="str">
        <f>_xlfn.CONCAT(D487,", ",H487,", ",I487,", ","浙江省")</f>
        <v>惠民街道, 嘉善县, 嘉兴市, 浙江省</v>
      </c>
      <c r="G487">
        <v>61049</v>
      </c>
      <c r="H487" t="s">
        <v>2932</v>
      </c>
      <c r="I487" t="s">
        <v>2929</v>
      </c>
      <c r="J487">
        <f>VLOOKUP(F487,[1]!china_towns_second__2[[Column1]:[Y]],3,FALSE)</f>
        <v>30.838191714402299</v>
      </c>
      <c r="K487">
        <f>VLOOKUP(F487,[1]!china_towns_second__2[[Column1]:[Y]],2,FALSE)</f>
        <v>120.98476119999999</v>
      </c>
      <c r="L487" t="s">
        <v>4122</v>
      </c>
      <c r="M487" t="str">
        <f>VLOOKUP(H487,CHOOSE({1,2},Table12[Native],Table12[Name]),2,0)</f>
        <v>Jiāshàn Xiàn</v>
      </c>
      <c r="N487" s="15" t="str">
        <f>VLOOKUP(I487,CHOOSE({1,2},Table12[Native],Table12[Name]),2,0)</f>
        <v>Jiāxīng Shì</v>
      </c>
      <c r="O487" s="15" t="str">
        <f t="shared" si="14"/>
        <v>Huimin Jiedao (Jiāxīng Shì)</v>
      </c>
      <c r="P487" s="15" t="str">
        <f t="shared" si="15"/>
        <v>Huimin Jiedao (Jiāxīng Shì)</v>
      </c>
    </row>
    <row r="488" spans="1:16" hidden="1" x14ac:dyDescent="0.25">
      <c r="A488" t="s">
        <v>1716</v>
      </c>
      <c r="B488" t="str">
        <f>IF(COUNTIF(A:A,A488)&gt;1,_xlfn.CONCAT(A488," (",N488,")"),A488)</f>
        <v>Huīpíng Xiāng</v>
      </c>
      <c r="C488" t="str">
        <f>IF(COUNTIF(B:B,B488)&gt;1,_xlfn.CONCAT(A488," (",M488,")"),B488)</f>
        <v>Huīpíng Xiāng</v>
      </c>
      <c r="D488" t="s">
        <v>1717</v>
      </c>
      <c r="E488" t="s">
        <v>7</v>
      </c>
      <c r="F488" t="str">
        <f>_xlfn.CONCAT(D488,", ",H488,", ",I488,", ","浙江省")</f>
        <v>灰坪乡, 衢江区, 衢州市, 浙江省</v>
      </c>
      <c r="G488">
        <v>2074</v>
      </c>
      <c r="H488" t="s">
        <v>2979</v>
      </c>
      <c r="I488" t="s">
        <v>2973</v>
      </c>
      <c r="J488" t="e">
        <f>VLOOKUP(F488,[1]!china_towns_second__2[[Column1]:[Y]],3,FALSE)</f>
        <v>#N/A</v>
      </c>
      <c r="K488" t="e">
        <f>VLOOKUP(F488,[1]!china_towns_second__2[[Column1]:[Y]],2,FALSE)</f>
        <v>#N/A</v>
      </c>
      <c r="L488" t="s">
        <v>4123</v>
      </c>
      <c r="M488" t="str">
        <f>VLOOKUP(H488,CHOOSE({1,2},Table12[Native],Table12[Name]),2,0)</f>
        <v>Qújiāng Qū</v>
      </c>
      <c r="N488" s="15" t="str">
        <f>VLOOKUP(I488,CHOOSE({1,2},Table12[Native],Table12[Name]),2,0)</f>
        <v>Qúzhōu Shì</v>
      </c>
      <c r="O488" s="15" t="str">
        <f t="shared" si="14"/>
        <v>Huiping Xiang (Qúzhōu Shì)</v>
      </c>
      <c r="P488" s="15" t="str">
        <f t="shared" si="15"/>
        <v>Huiping Xiang (Qúzhōu Shì)</v>
      </c>
    </row>
    <row r="489" spans="1:16" hidden="1" x14ac:dyDescent="0.25">
      <c r="A489" t="s">
        <v>1910</v>
      </c>
      <c r="B489" t="str">
        <f>IF(COUNTIF(A:A,A489)&gt;1,_xlfn.CONCAT(A489," (",N489,")"),A489)</f>
        <v>Huíshān Zhèn</v>
      </c>
      <c r="C489" t="str">
        <f>IF(COUNTIF(B:B,B489)&gt;1,_xlfn.CONCAT(A489," (",M489,")"),B489)</f>
        <v>Huíshān Zhèn</v>
      </c>
      <c r="D489" t="s">
        <v>1911</v>
      </c>
      <c r="E489" t="s">
        <v>11</v>
      </c>
      <c r="F489" t="str">
        <f>_xlfn.CONCAT(D489,", ",H489,", ",I489,", ","浙江省")</f>
        <v>回山镇, 新昌县, 绍兴市, 浙江省</v>
      </c>
      <c r="G489">
        <v>13053</v>
      </c>
      <c r="H489" t="s">
        <v>2985</v>
      </c>
      <c r="I489" t="s">
        <v>2981</v>
      </c>
      <c r="J489">
        <f>VLOOKUP(F489,[1]!china_towns_second__2[[Column1]:[Y]],3,FALSE)</f>
        <v>29.270885064350001</v>
      </c>
      <c r="K489">
        <f>VLOOKUP(F489,[1]!china_towns_second__2[[Column1]:[Y]],2,FALSE)</f>
        <v>120.8123452</v>
      </c>
      <c r="L489" t="s">
        <v>4124</v>
      </c>
      <c r="M489" t="str">
        <f>VLOOKUP(H489,CHOOSE({1,2},Table12[Native],Table12[Name]),2,0)</f>
        <v>Xīnchāng Xiàn</v>
      </c>
      <c r="N489" s="15" t="str">
        <f>VLOOKUP(I489,CHOOSE({1,2},Table12[Native],Table12[Name]),2,0)</f>
        <v>Shàoxīng Shì</v>
      </c>
      <c r="O489" s="15" t="str">
        <f t="shared" si="14"/>
        <v>Huishan Zhen (Shàoxīng Shì)</v>
      </c>
      <c r="P489" s="15" t="str">
        <f t="shared" si="15"/>
        <v>Huishan Zhen (Shàoxīng Shì)</v>
      </c>
    </row>
    <row r="490" spans="1:16" hidden="1" x14ac:dyDescent="0.25">
      <c r="A490" t="s">
        <v>2123</v>
      </c>
      <c r="B490" t="str">
        <f>IF(COUNTIF(A:A,A490)&gt;1,_xlfn.CONCAT(A490," (",N490,")"),A490)</f>
        <v>Huìxī Zhèn</v>
      </c>
      <c r="C490" t="str">
        <f>IF(COUNTIF(B:B,B490)&gt;1,_xlfn.CONCAT(A490," (",M490,")"),B490)</f>
        <v>Huìxī Zhèn</v>
      </c>
      <c r="D490" t="s">
        <v>2124</v>
      </c>
      <c r="E490" t="s">
        <v>11</v>
      </c>
      <c r="F490" t="str">
        <f>_xlfn.CONCAT(D490,", ",H490,", ",I490,", ","浙江省")</f>
        <v>汇溪镇, 临海市, 台州市, 浙江省</v>
      </c>
      <c r="G490">
        <v>9388</v>
      </c>
      <c r="H490" t="s">
        <v>2992</v>
      </c>
      <c r="I490" t="s">
        <v>2989</v>
      </c>
      <c r="J490">
        <f>VLOOKUP(F490,[1]!china_towns_second__2[[Column1]:[Y]],3,FALSE)</f>
        <v>28.990360824123499</v>
      </c>
      <c r="K490">
        <f>VLOOKUP(F490,[1]!china_towns_second__2[[Column1]:[Y]],2,FALSE)</f>
        <v>121.20081</v>
      </c>
      <c r="L490" t="s">
        <v>4125</v>
      </c>
      <c r="M490" t="str">
        <f>VLOOKUP(H490,CHOOSE({1,2},Table12[Native],Table12[Name]),2,0)</f>
        <v>Línhăi Shì</v>
      </c>
      <c r="N490" s="15" t="str">
        <f>VLOOKUP(I490,CHOOSE({1,2},Table12[Native],Table12[Name]),2,0)</f>
        <v>Táizhōu Shì</v>
      </c>
      <c r="O490" s="15" t="str">
        <f t="shared" si="14"/>
        <v>Huixi Zhen (Táizhōu Shì)</v>
      </c>
      <c r="P490" s="15" t="str">
        <f t="shared" si="15"/>
        <v>Huixi Zhen (Táizhōu Shì)</v>
      </c>
    </row>
    <row r="491" spans="1:16" hidden="1" x14ac:dyDescent="0.25">
      <c r="A491" t="s">
        <v>2431</v>
      </c>
      <c r="B491" t="str">
        <f>IF(COUNTIF(A:A,A491)&gt;1,_xlfn.CONCAT(A491," (",N491,")"),A491)</f>
        <v>Húlĭng Zhèn</v>
      </c>
      <c r="C491" t="str">
        <f>IF(COUNTIF(B:B,B491)&gt;1,_xlfn.CONCAT(A491," (",M491,")"),B491)</f>
        <v>Húlĭng Zhèn</v>
      </c>
      <c r="D491" t="s">
        <v>2432</v>
      </c>
      <c r="E491" t="s">
        <v>11</v>
      </c>
      <c r="F491" t="str">
        <f>_xlfn.CONCAT(D491,", ",H491,", ",I491,", ","浙江省")</f>
        <v>湖岭镇, 瑞安市, 温州市, 浙江省</v>
      </c>
      <c r="G491">
        <v>22121</v>
      </c>
      <c r="H491" t="s">
        <v>3007</v>
      </c>
      <c r="I491" t="s">
        <v>3000</v>
      </c>
      <c r="J491">
        <f>VLOOKUP(F491,[1]!china_towns_second__2[[Column1]:[Y]],3,FALSE)</f>
        <v>27.920348892003101</v>
      </c>
      <c r="K491">
        <f>VLOOKUP(F491,[1]!china_towns_second__2[[Column1]:[Y]],2,FALSE)</f>
        <v>120.37673839999999</v>
      </c>
      <c r="L491" t="s">
        <v>4126</v>
      </c>
      <c r="M491" t="str">
        <f>VLOOKUP(H491,CHOOSE({1,2},Table12[Native],Table12[Name]),2,0)</f>
        <v>Ruì'ān Shì</v>
      </c>
      <c r="N491" s="15" t="str">
        <f>VLOOKUP(I491,CHOOSE({1,2},Table12[Native],Table12[Name]),2,0)</f>
        <v>Wēnzhōu Shì</v>
      </c>
      <c r="O491" s="15" t="str">
        <f t="shared" si="14"/>
        <v>Huling Zhen (Wēnzhōu Shì)</v>
      </c>
      <c r="P491" s="15" t="str">
        <f t="shared" si="15"/>
        <v>Huling Zhen (Wēnzhōu Shì)</v>
      </c>
    </row>
    <row r="492" spans="1:16" hidden="1" x14ac:dyDescent="0.25">
      <c r="A492" t="s">
        <v>797</v>
      </c>
      <c r="B492" t="str">
        <f>IF(COUNTIF(A:A,A492)&gt;1,_xlfn.CONCAT(A492," (",N492,")"),A492)</f>
        <v>Hŭlù Zhèn</v>
      </c>
      <c r="C492" t="str">
        <f>IF(COUNTIF(B:B,B492)&gt;1,_xlfn.CONCAT(A492," (",M492,")"),B492)</f>
        <v>Hŭlù Zhèn</v>
      </c>
      <c r="D492" t="s">
        <v>798</v>
      </c>
      <c r="E492" t="s">
        <v>11</v>
      </c>
      <c r="F492" t="str">
        <f>_xlfn.CONCAT(D492,", ",H492,", ",I492,", ","浙江省")</f>
        <v>虎鹿镇, 东阳市, 金华市, 浙江省</v>
      </c>
      <c r="G492">
        <v>20079</v>
      </c>
      <c r="H492" t="s">
        <v>2939</v>
      </c>
      <c r="I492" t="s">
        <v>2938</v>
      </c>
      <c r="J492">
        <f>VLOOKUP(F492,[1]!china_towns_second__2[[Column1]:[Y]],3,FALSE)</f>
        <v>29.423920779992201</v>
      </c>
      <c r="K492">
        <f>VLOOKUP(F492,[1]!china_towns_second__2[[Column1]:[Y]],2,FALSE)</f>
        <v>120.4571909</v>
      </c>
      <c r="L492" t="s">
        <v>4127</v>
      </c>
      <c r="M492" t="str">
        <f>VLOOKUP(H492,CHOOSE({1,2},Table12[Native],Table12[Name]),2,0)</f>
        <v>Dōngyáng Shì</v>
      </c>
      <c r="N492" s="15" t="str">
        <f>VLOOKUP(I492,CHOOSE({1,2},Table12[Native],Table12[Name]),2,0)</f>
        <v>Jīnhuá Shì</v>
      </c>
      <c r="O492" s="15" t="str">
        <f t="shared" si="14"/>
        <v>Hulu Zhen (Jīnhuá Shì)</v>
      </c>
      <c r="P492" s="15" t="str">
        <f t="shared" si="15"/>
        <v>Hulu Zhen (Jīnhuá Shì)</v>
      </c>
    </row>
    <row r="493" spans="1:16" hidden="1" x14ac:dyDescent="0.25">
      <c r="A493" t="s">
        <v>1718</v>
      </c>
      <c r="B493" t="str">
        <f>IF(COUNTIF(A:A,A493)&gt;1,_xlfn.CONCAT(A493," (",N493,")"),A493)</f>
        <v>Húnán Zhèn</v>
      </c>
      <c r="C493" t="str">
        <f>IF(COUNTIF(B:B,B493)&gt;1,_xlfn.CONCAT(A493," (",M493,")"),B493)</f>
        <v>Húnán Zhèn</v>
      </c>
      <c r="D493" t="s">
        <v>1719</v>
      </c>
      <c r="E493" t="s">
        <v>11</v>
      </c>
      <c r="F493" t="str">
        <f>_xlfn.CONCAT(D493,", ",H493,", ",I493,", ","浙江省")</f>
        <v>湖南镇, 衢江区, 衢州市, 浙江省</v>
      </c>
      <c r="G493">
        <v>7994</v>
      </c>
      <c r="H493" t="s">
        <v>2979</v>
      </c>
      <c r="I493" t="s">
        <v>2973</v>
      </c>
      <c r="J493">
        <f>VLOOKUP(F493,[1]!china_towns_second__2[[Column1]:[Y]],3,FALSE)</f>
        <v>28.7343697250773</v>
      </c>
      <c r="K493">
        <f>VLOOKUP(F493,[1]!china_towns_second__2[[Column1]:[Y]],2,FALSE)</f>
        <v>118.835409</v>
      </c>
      <c r="L493" t="s">
        <v>4128</v>
      </c>
      <c r="M493" t="str">
        <f>VLOOKUP(H493,CHOOSE({1,2},Table12[Native],Table12[Name]),2,0)</f>
        <v>Qújiāng Qū</v>
      </c>
      <c r="N493" s="15" t="str">
        <f>VLOOKUP(I493,CHOOSE({1,2},Table12[Native],Table12[Name]),2,0)</f>
        <v>Qúzhōu Shì</v>
      </c>
      <c r="O493" s="15" t="str">
        <f t="shared" si="14"/>
        <v>Hunan Zhen (Qúzhōu Shì)</v>
      </c>
      <c r="P493" s="15" t="str">
        <f t="shared" si="15"/>
        <v>Hunan Zhen (Qúzhōu Shì)</v>
      </c>
    </row>
    <row r="494" spans="1:16" hidden="1" x14ac:dyDescent="0.25">
      <c r="A494" t="s">
        <v>799</v>
      </c>
      <c r="B494" t="str">
        <f>IF(COUNTIF(A:A,A494)&gt;1,_xlfn.CONCAT(A494," (",N494,")"),A494)</f>
        <v>Húshān Jiēdào</v>
      </c>
      <c r="C494" t="str">
        <f>IF(COUNTIF(B:B,B494)&gt;1,_xlfn.CONCAT(A494," (",M494,")"),B494)</f>
        <v>Húshān Jiēdào</v>
      </c>
      <c r="D494" t="s">
        <v>800</v>
      </c>
      <c r="E494" t="s">
        <v>15</v>
      </c>
      <c r="F494" t="str">
        <f>_xlfn.CONCAT(D494,", ",H494,", ",I494,", ","浙江省")</f>
        <v>壶山街道, 武义县, 金华市, 浙江省</v>
      </c>
      <c r="G494">
        <v>49716</v>
      </c>
      <c r="H494" t="s">
        <v>2945</v>
      </c>
      <c r="I494" t="s">
        <v>2938</v>
      </c>
      <c r="J494">
        <f>VLOOKUP(F494,[1]!china_towns_second__2[[Column1]:[Y]],3,FALSE)</f>
        <v>28.862591587895</v>
      </c>
      <c r="K494">
        <f>VLOOKUP(F494,[1]!china_towns_second__2[[Column1]:[Y]],2,FALSE)</f>
        <v>119.7123088</v>
      </c>
      <c r="L494" t="s">
        <v>4129</v>
      </c>
      <c r="M494" t="str">
        <f>VLOOKUP(H494,CHOOSE({1,2},Table12[Native],Table12[Name]),2,0)</f>
        <v>Wŭyì Xiàn</v>
      </c>
      <c r="N494" s="15" t="str">
        <f>VLOOKUP(I494,CHOOSE({1,2},Table12[Native],Table12[Name]),2,0)</f>
        <v>Jīnhuá Shì</v>
      </c>
      <c r="O494" s="15" t="str">
        <f t="shared" si="14"/>
        <v>Hushan Jiedao (Jīnhuá Shì)</v>
      </c>
      <c r="P494" s="15" t="str">
        <f t="shared" si="15"/>
        <v>Hushan Jiedao (Jīnhuá Shì)</v>
      </c>
    </row>
    <row r="495" spans="1:16" hidden="1" x14ac:dyDescent="0.25">
      <c r="A495" t="s">
        <v>1453</v>
      </c>
      <c r="B495" t="str">
        <f>IF(COUNTIF(A:A,A495)&gt;1,_xlfn.CONCAT(A495," (",N495,")"),A495)</f>
        <v>Hŭshān Jiēdào (Níngbō Shì)</v>
      </c>
      <c r="C495" t="str">
        <f>IF(COUNTIF(B:B,B495)&gt;1,_xlfn.CONCAT(A495," (",M495,")"),B495)</f>
        <v>Hŭshān Jiēdào (Níngbō Shì)</v>
      </c>
      <c r="D495" t="s">
        <v>1454</v>
      </c>
      <c r="E495" t="s">
        <v>15</v>
      </c>
      <c r="F495" t="str">
        <f>_xlfn.CONCAT(D495,", ",H495,", ",I495,", ","浙江省")</f>
        <v>浒山街道, 慈溪市, 宁波市, 浙江省</v>
      </c>
      <c r="G495">
        <v>92140</v>
      </c>
      <c r="H495" t="s">
        <v>2963</v>
      </c>
      <c r="I495" t="s">
        <v>2961</v>
      </c>
      <c r="J495">
        <f>VLOOKUP(F495,[1]!china_towns_second__2[[Column1]:[Y]],3,FALSE)</f>
        <v>30.165961524872898</v>
      </c>
      <c r="K495">
        <f>VLOOKUP(F495,[1]!china_towns_second__2[[Column1]:[Y]],2,FALSE)</f>
        <v>121.2395159</v>
      </c>
      <c r="L495" t="s">
        <v>4130</v>
      </c>
      <c r="M495" t="str">
        <f>VLOOKUP(H495,CHOOSE({1,2},Table12[Native],Table12[Name]),2,0)</f>
        <v>Cíxī Shì</v>
      </c>
      <c r="N495" s="15" t="str">
        <f>VLOOKUP(I495,CHOOSE({1,2},Table12[Native],Table12[Name]),2,0)</f>
        <v>Níngbō Shì</v>
      </c>
      <c r="O495" s="15" t="str">
        <f t="shared" si="14"/>
        <v>Hushan Jiedao (Ningbo Shi) (Níngbō Shì)</v>
      </c>
      <c r="P495" s="15" t="str">
        <f t="shared" si="15"/>
        <v>Hushan Jiedao (Ningbo Shi) (Níngbō Shì)</v>
      </c>
    </row>
    <row r="496" spans="1:16" hidden="1" x14ac:dyDescent="0.25">
      <c r="A496" t="s">
        <v>1453</v>
      </c>
      <c r="B496" t="str">
        <f>IF(COUNTIF(A:A,A496)&gt;1,_xlfn.CONCAT(A496," (",N496,")"),A496)</f>
        <v>Hŭshān Jiēdào (Qúzhōu Shì)</v>
      </c>
      <c r="C496" t="str">
        <f>IF(COUNTIF(B:B,B496)&gt;1,_xlfn.CONCAT(A496," (",M496,")"),B496)</f>
        <v>Hŭshān Jiēdào (Qúzhōu Shì)</v>
      </c>
      <c r="D496" t="s">
        <v>1720</v>
      </c>
      <c r="E496" t="s">
        <v>15</v>
      </c>
      <c r="F496" t="str">
        <f>_xlfn.CONCAT(D496,", ",H496,", ",I496,", ","浙江省")</f>
        <v>虎山街道, 江山市, 衢州市, 浙江省</v>
      </c>
      <c r="G496">
        <v>84819</v>
      </c>
      <c r="H496" t="s">
        <v>2975</v>
      </c>
      <c r="I496" t="s">
        <v>2973</v>
      </c>
      <c r="J496">
        <f>VLOOKUP(F496,[1]!china_towns_second__2[[Column1]:[Y]],3,FALSE)</f>
        <v>28.7336391473021</v>
      </c>
      <c r="K496">
        <f>VLOOKUP(F496,[1]!china_towns_second__2[[Column1]:[Y]],2,FALSE)</f>
        <v>118.5822362</v>
      </c>
      <c r="L496" t="s">
        <v>4131</v>
      </c>
      <c r="M496" t="str">
        <f>VLOOKUP(H496,CHOOSE({1,2},Table12[Native],Table12[Name]),2,0)</f>
        <v>Jiāngshān Shì</v>
      </c>
      <c r="N496" s="15" t="str">
        <f>VLOOKUP(I496,CHOOSE({1,2},Table12[Native],Table12[Name]),2,0)</f>
        <v>Qúzhōu Shì</v>
      </c>
      <c r="O496" s="15" t="str">
        <f t="shared" si="14"/>
        <v>Hushan Jiedao (Quzhou Shi) (Qúzhōu Shì)</v>
      </c>
      <c r="P496" s="15" t="str">
        <f t="shared" si="15"/>
        <v>Hushan Jiedao (Quzhou Shi) (Qúzhōu Shì)</v>
      </c>
    </row>
    <row r="497" spans="1:16" hidden="1" x14ac:dyDescent="0.25">
      <c r="A497" t="s">
        <v>1116</v>
      </c>
      <c r="B497" t="str">
        <f>IF(COUNTIF(A:A,A497)&gt;1,_xlfn.CONCAT(A497," (",N497,")"),A497)</f>
        <v>Húshān Xiāng</v>
      </c>
      <c r="C497" t="str">
        <f>IF(COUNTIF(B:B,B497)&gt;1,_xlfn.CONCAT(A497," (",M497,")"),B497)</f>
        <v>Húshān Xiāng</v>
      </c>
      <c r="D497" t="s">
        <v>1117</v>
      </c>
      <c r="E497" t="s">
        <v>7</v>
      </c>
      <c r="F497" t="str">
        <f>_xlfn.CONCAT(D497,", ",H497,", ",I497,", ","浙江省")</f>
        <v>湖山乡, 遂昌县, 丽水市, 浙江省</v>
      </c>
      <c r="G497">
        <v>6855</v>
      </c>
      <c r="H497" t="s">
        <v>2958</v>
      </c>
      <c r="I497" t="s">
        <v>2949</v>
      </c>
      <c r="J497" t="e">
        <f>VLOOKUP(F497,[1]!china_towns_second__2[[Column1]:[Y]],3,FALSE)</f>
        <v>#N/A</v>
      </c>
      <c r="K497" t="e">
        <f>VLOOKUP(F497,[1]!china_towns_second__2[[Column1]:[Y]],2,FALSE)</f>
        <v>#N/A</v>
      </c>
      <c r="L497" t="s">
        <v>4132</v>
      </c>
      <c r="M497" t="str">
        <f>VLOOKUP(H497,CHOOSE({1,2},Table12[Native],Table12[Name]),2,0)</f>
        <v>Suìchāng Xiàn</v>
      </c>
      <c r="N497" s="15" t="str">
        <f>VLOOKUP(I497,CHOOSE({1,2},Table12[Native],Table12[Name]),2,0)</f>
        <v>Lìshuĭ Shì</v>
      </c>
      <c r="O497" s="15" t="str">
        <f t="shared" si="14"/>
        <v>Hushan Xiang (Lìshuĭ Shì)</v>
      </c>
      <c r="P497" s="15" t="str">
        <f t="shared" si="15"/>
        <v>Hushan Xiang (Lìshuĭ Shì)</v>
      </c>
    </row>
    <row r="498" spans="1:16" hidden="1" x14ac:dyDescent="0.25">
      <c r="A498" t="s">
        <v>145</v>
      </c>
      <c r="B498" t="str">
        <f>IF(COUNTIF(A:A,A498)&gt;1,_xlfn.CONCAT(A498," (",N498,")"),A498)</f>
        <v>Húshù Jiēdào</v>
      </c>
      <c r="C498" t="str">
        <f>IF(COUNTIF(B:B,B498)&gt;1,_xlfn.CONCAT(A498," (",M498,")"),B498)</f>
        <v>Húshù Jiēdào</v>
      </c>
      <c r="D498" t="s">
        <v>146</v>
      </c>
      <c r="E498" t="s">
        <v>15</v>
      </c>
      <c r="F498" t="str">
        <f>_xlfn.CONCAT(D498,", ",H498,", ",I498,", ","浙江省")</f>
        <v>湖墅街道, 拱墅区, 杭州市, 浙江省</v>
      </c>
      <c r="G498">
        <v>35892</v>
      </c>
      <c r="H498" t="s">
        <v>2909</v>
      </c>
      <c r="I498" t="s">
        <v>2903</v>
      </c>
      <c r="J498">
        <f>VLOOKUP(F498,[1]!china_towns_second__2[[Column1]:[Y]],3,FALSE)</f>
        <v>30.299728615661898</v>
      </c>
      <c r="K498">
        <f>VLOOKUP(F498,[1]!china_towns_second__2[[Column1]:[Y]],2,FALSE)</f>
        <v>120.1421868</v>
      </c>
      <c r="L498" t="s">
        <v>4133</v>
      </c>
      <c r="M498" t="str">
        <f>VLOOKUP(H498,CHOOSE({1,2},Table12[Native],Table12[Name]),2,0)</f>
        <v>Gŏngshù Qū</v>
      </c>
      <c r="N498" s="15" t="str">
        <f>VLOOKUP(I498,CHOOSE({1,2},Table12[Native],Table12[Name]),2,0)</f>
        <v>Hángzhōu Shì</v>
      </c>
      <c r="O498" s="15" t="str">
        <f t="shared" si="14"/>
        <v>Hushu Jiedao (Hángzhōu Shì)</v>
      </c>
      <c r="P498" s="15" t="str">
        <f t="shared" si="15"/>
        <v>Hushu Jiedao (Hángzhōu Shì)</v>
      </c>
    </row>
    <row r="499" spans="1:16" hidden="1" x14ac:dyDescent="0.25">
      <c r="A499" t="s">
        <v>1912</v>
      </c>
      <c r="B499" t="str">
        <f>IF(COUNTIF(A:A,A499)&gt;1,_xlfn.CONCAT(A499," (",N499,")"),A499)</f>
        <v>Hútáng Jiēdào</v>
      </c>
      <c r="C499" t="str">
        <f>IF(COUNTIF(B:B,B499)&gt;1,_xlfn.CONCAT(A499," (",M499,")"),B499)</f>
        <v>Hútáng Jiēdào</v>
      </c>
      <c r="D499" t="s">
        <v>1913</v>
      </c>
      <c r="E499" t="s">
        <v>15</v>
      </c>
      <c r="F499" t="str">
        <f>_xlfn.CONCAT(D499,", ",H499,", ",I499,", ","浙江省")</f>
        <v>湖塘街道, 柯桥区, 绍兴市, 浙江省</v>
      </c>
      <c r="G499">
        <v>39477</v>
      </c>
      <c r="H499" t="s">
        <v>2982</v>
      </c>
      <c r="I499" t="s">
        <v>2981</v>
      </c>
      <c r="J499">
        <f>VLOOKUP(F499,[1]!china_towns_second__2[[Column1]:[Y]],3,FALSE)</f>
        <v>30.027581275939198</v>
      </c>
      <c r="K499">
        <f>VLOOKUP(F499,[1]!china_towns_second__2[[Column1]:[Y]],2,FALSE)</f>
        <v>120.4129483</v>
      </c>
      <c r="L499" t="s">
        <v>4134</v>
      </c>
      <c r="M499" t="str">
        <f>VLOOKUP(H499,CHOOSE({1,2},Table12[Native],Table12[Name]),2,0)</f>
        <v>Kēqiáo Qū</v>
      </c>
      <c r="N499" s="15" t="str">
        <f>VLOOKUP(I499,CHOOSE({1,2},Table12[Native],Table12[Name]),2,0)</f>
        <v>Shàoxīng Shì</v>
      </c>
      <c r="O499" s="15" t="str">
        <f t="shared" si="14"/>
        <v>Hutang Jiedao (Shàoxīng Shì)</v>
      </c>
      <c r="P499" s="15" t="str">
        <f t="shared" si="15"/>
        <v>Hutang Jiedao (Shàoxīng Shì)</v>
      </c>
    </row>
    <row r="500" spans="1:16" hidden="1" x14ac:dyDescent="0.25">
      <c r="A500" t="s">
        <v>2433</v>
      </c>
      <c r="B500" t="str">
        <f>IF(COUNTIF(A:A,A500)&gt;1,_xlfn.CONCAT(A500," (",N500,")"),A500)</f>
        <v>Húwù Zhèn [→ Dàjīng Zhèn]</v>
      </c>
      <c r="C500" t="str">
        <f>IF(COUNTIF(B:B,B500)&gt;1,_xlfn.CONCAT(A500," (",M500,")"),B500)</f>
        <v>Húwù Zhèn [→ Dàjīng Zhèn]</v>
      </c>
      <c r="D500" t="s">
        <v>2434</v>
      </c>
      <c r="E500" t="s">
        <v>11</v>
      </c>
      <c r="F500" t="str">
        <f>_xlfn.CONCAT(D500,", ",H500,", ",I500,", ","浙江省")</f>
        <v>湖雾镇, 乐清市, 温州市, 浙江省</v>
      </c>
      <c r="G500">
        <v>12353</v>
      </c>
      <c r="H500" t="s">
        <v>3011</v>
      </c>
      <c r="I500" t="s">
        <v>3000</v>
      </c>
      <c r="J500">
        <f>VLOOKUP(F500,[1]!china_towns_second__2[[Column1]:[Y]],3,FALSE)</f>
        <v>28.3973209</v>
      </c>
      <c r="K500">
        <f>VLOOKUP(F500,[1]!china_towns_second__2[[Column1]:[Y]],2,FALSE)</f>
        <v>121.2024965</v>
      </c>
      <c r="L500" t="s">
        <v>4135</v>
      </c>
      <c r="M500" t="str">
        <f>VLOOKUP(H500,CHOOSE({1,2},Table12[Native],Table12[Name]),2,0)</f>
        <v>Yuèqīng Shì</v>
      </c>
      <c r="N500" s="15" t="str">
        <f>VLOOKUP(I500,CHOOSE({1,2},Table12[Native],Table12[Name]),2,0)</f>
        <v>Wēnzhōu Shì</v>
      </c>
      <c r="O500" s="15" t="str">
        <f t="shared" si="14"/>
        <v>Huwu Zhen [→ Dajing Zhen] (Wēnzhōu Shì)</v>
      </c>
      <c r="P500" s="15" t="str">
        <f t="shared" si="15"/>
        <v>Huwu Zhen [→ Dajing Zhen] (Wēnzhōu Shì)</v>
      </c>
    </row>
    <row r="501" spans="1:16" hidden="1" x14ac:dyDescent="0.25">
      <c r="A501" t="s">
        <v>801</v>
      </c>
      <c r="B501" t="str">
        <f>IF(COUNTIF(A:A,A501)&gt;1,_xlfn.CONCAT(A501," (",N501,")"),A501)</f>
        <v>Húxī Zhèn</v>
      </c>
      <c r="C501" t="str">
        <f>IF(COUNTIF(B:B,B501)&gt;1,_xlfn.CONCAT(A501," (",M501,")"),B501)</f>
        <v>Húxī Zhèn</v>
      </c>
      <c r="D501" t="s">
        <v>802</v>
      </c>
      <c r="E501" t="s">
        <v>11</v>
      </c>
      <c r="F501" t="str">
        <f>_xlfn.CONCAT(D501,", ",H501,", ",I501,", ","浙江省")</f>
        <v>湖溪镇, 东阳市, 金华市, 浙江省</v>
      </c>
      <c r="G501">
        <v>33234</v>
      </c>
      <c r="H501" t="s">
        <v>2939</v>
      </c>
      <c r="I501" t="s">
        <v>2938</v>
      </c>
      <c r="J501">
        <f>VLOOKUP(F501,[1]!china_towns_second__2[[Column1]:[Y]],3,FALSE)</f>
        <v>29.185241033226198</v>
      </c>
      <c r="K501">
        <f>VLOOKUP(F501,[1]!china_towns_second__2[[Column1]:[Y]],2,FALSE)</f>
        <v>120.4028991</v>
      </c>
      <c r="L501" t="s">
        <v>4136</v>
      </c>
      <c r="M501" t="str">
        <f>VLOOKUP(H501,CHOOSE({1,2},Table12[Native],Table12[Name]),2,0)</f>
        <v>Dōngyáng Shì</v>
      </c>
      <c r="N501" s="15" t="str">
        <f>VLOOKUP(I501,CHOOSE({1,2},Table12[Native],Table12[Name]),2,0)</f>
        <v>Jīnhuá Shì</v>
      </c>
      <c r="O501" s="15" t="str">
        <f t="shared" si="14"/>
        <v>Huxi Zhen (Jīnhuá Shì)</v>
      </c>
      <c r="P501" s="15" t="str">
        <f t="shared" si="15"/>
        <v>Huxi Zhen (Jīnhuá Shì)</v>
      </c>
    </row>
    <row r="502" spans="1:16" hidden="1" x14ac:dyDescent="0.25">
      <c r="A502" t="s">
        <v>147</v>
      </c>
      <c r="B502" t="str">
        <f>IF(COUNTIF(A:A,A502)&gt;1,_xlfn.CONCAT(A502," (",N502,")"),A502)</f>
        <v>Húyuán Xiāng (Hángzhōu Shì)</v>
      </c>
      <c r="C502" t="str">
        <f>IF(COUNTIF(B:B,B502)&gt;1,_xlfn.CONCAT(A502," (",M502,")"),B502)</f>
        <v>Húyuán Xiāng (Hángzhōu Shì)</v>
      </c>
      <c r="D502" t="s">
        <v>148</v>
      </c>
      <c r="E502" t="s">
        <v>7</v>
      </c>
      <c r="F502" t="str">
        <f>_xlfn.CONCAT(D502,", ",H502,", ",I502,", ","浙江省")</f>
        <v>湖源乡, 富阳区, 杭州市, 浙江省</v>
      </c>
      <c r="G502">
        <v>5784</v>
      </c>
      <c r="H502" t="s">
        <v>2908</v>
      </c>
      <c r="I502" t="s">
        <v>2903</v>
      </c>
      <c r="J502" t="e">
        <f>VLOOKUP(F502,[1]!china_towns_second__2[[Column1]:[Y]],3,FALSE)</f>
        <v>#N/A</v>
      </c>
      <c r="K502" t="e">
        <f>VLOOKUP(F502,[1]!china_towns_second__2[[Column1]:[Y]],2,FALSE)</f>
        <v>#N/A</v>
      </c>
      <c r="L502" t="s">
        <v>4137</v>
      </c>
      <c r="M502" t="str">
        <f>VLOOKUP(H502,CHOOSE({1,2},Table12[Native],Table12[Name]),2,0)</f>
        <v>Fùyáng Qū</v>
      </c>
      <c r="N502" s="15" t="str">
        <f>VLOOKUP(I502,CHOOSE({1,2},Table12[Native],Table12[Name]),2,0)</f>
        <v>Hángzhōu Shì</v>
      </c>
      <c r="O502" s="15" t="str">
        <f t="shared" si="14"/>
        <v>Huyuan Xiang (Hangzhou Shi) (Hángzhōu Shì)</v>
      </c>
      <c r="P502" s="15" t="str">
        <f t="shared" si="15"/>
        <v>Huyuan Xiang (Hangzhou Shi) (Hángzhōu Shì)</v>
      </c>
    </row>
    <row r="503" spans="1:16" hidden="1" x14ac:dyDescent="0.25">
      <c r="A503" t="s">
        <v>147</v>
      </c>
      <c r="B503" t="str">
        <f>IF(COUNTIF(A:A,A503)&gt;1,_xlfn.CONCAT(A503," (",N503,")"),A503)</f>
        <v>Húyuán Xiāng (Lìshuĭ Shì)</v>
      </c>
      <c r="C503" t="str">
        <f>IF(COUNTIF(B:B,B503)&gt;1,_xlfn.CONCAT(A503," (",M503,")"),B503)</f>
        <v>Húyuán Xiāng (Lìshuĭ Shì)</v>
      </c>
      <c r="D503" t="s">
        <v>1118</v>
      </c>
      <c r="E503" t="s">
        <v>7</v>
      </c>
      <c r="F503" t="str">
        <f>_xlfn.CONCAT(D503,", ",H503,", ",I503,", ","浙江省")</f>
        <v>胡源乡, 缙云县, 丽水市, 浙江省</v>
      </c>
      <c r="G503">
        <v>6832</v>
      </c>
      <c r="H503" t="s">
        <v>2952</v>
      </c>
      <c r="I503" t="s">
        <v>2949</v>
      </c>
      <c r="J503" t="e">
        <f>VLOOKUP(F503,[1]!china_towns_second__2[[Column1]:[Y]],3,FALSE)</f>
        <v>#N/A</v>
      </c>
      <c r="K503" t="e">
        <f>VLOOKUP(F503,[1]!china_towns_second__2[[Column1]:[Y]],2,FALSE)</f>
        <v>#N/A</v>
      </c>
      <c r="L503" t="s">
        <v>4138</v>
      </c>
      <c r="M503" t="str">
        <f>VLOOKUP(H503,CHOOSE({1,2},Table12[Native],Table12[Name]),2,0)</f>
        <v>Jìnyún Xiàn</v>
      </c>
      <c r="N503" s="15" t="str">
        <f>VLOOKUP(I503,CHOOSE({1,2},Table12[Native],Table12[Name]),2,0)</f>
        <v>Lìshuĭ Shì</v>
      </c>
      <c r="O503" s="15" t="str">
        <f t="shared" si="14"/>
        <v>Huyuan Xiang (Lishui Shi) (Lìshuĭ Shì)</v>
      </c>
      <c r="P503" s="15" t="str">
        <f t="shared" si="15"/>
        <v>Huyuan Xiang (Lishui Shi) (Lìshuĭ Shì)</v>
      </c>
    </row>
    <row r="504" spans="1:16" hidden="1" x14ac:dyDescent="0.25">
      <c r="A504" t="s">
        <v>1119</v>
      </c>
      <c r="B504" t="str">
        <f>IF(COUNTIF(A:A,A504)&gt;1,_xlfn.CONCAT(A504," (",N504,")"),A504)</f>
        <v>Húzhèn Zhèn (Lìshuĭ Shì)</v>
      </c>
      <c r="C504" t="str">
        <f>IF(COUNTIF(B:B,B504)&gt;1,_xlfn.CONCAT(A504," (",M504,")"),B504)</f>
        <v>Húzhèn Zhèn (Lìshuĭ Shì)</v>
      </c>
      <c r="D504" t="s">
        <v>1120</v>
      </c>
      <c r="E504" t="s">
        <v>11</v>
      </c>
      <c r="F504" t="str">
        <f>_xlfn.CONCAT(D504,", ",H504,", ",I504,", ","浙江省")</f>
        <v>壶镇镇, 缙云县, 丽水市, 浙江省</v>
      </c>
      <c r="G504">
        <v>79527</v>
      </c>
      <c r="H504" t="s">
        <v>2952</v>
      </c>
      <c r="I504" t="s">
        <v>2949</v>
      </c>
      <c r="J504">
        <f>VLOOKUP(F504,[1]!china_towns_second__2[[Column1]:[Y]],3,FALSE)</f>
        <v>28.8308228377443</v>
      </c>
      <c r="K504">
        <f>VLOOKUP(F504,[1]!china_towns_second__2[[Column1]:[Y]],2,FALSE)</f>
        <v>120.3004327</v>
      </c>
      <c r="L504" t="s">
        <v>4139</v>
      </c>
      <c r="M504" t="str">
        <f>VLOOKUP(H504,CHOOSE({1,2},Table12[Native],Table12[Name]),2,0)</f>
        <v>Jìnyún Xiàn</v>
      </c>
      <c r="N504" s="15" t="str">
        <f>VLOOKUP(I504,CHOOSE({1,2},Table12[Native],Table12[Name]),2,0)</f>
        <v>Lìshuĭ Shì</v>
      </c>
      <c r="O504" s="15" t="str">
        <f t="shared" si="14"/>
        <v>Huzhen Zhen (Lishui Shi) (Lìshuĭ Shì)</v>
      </c>
      <c r="P504" s="15" t="str">
        <f t="shared" si="15"/>
        <v>Huzhen Zhen (Lishui Shi) (Lìshuĭ Shì)</v>
      </c>
    </row>
    <row r="505" spans="1:16" hidden="1" x14ac:dyDescent="0.25">
      <c r="A505" t="s">
        <v>1119</v>
      </c>
      <c r="B505" t="str">
        <f>IF(COUNTIF(A:A,A505)&gt;1,_xlfn.CONCAT(A505," (",N505,")"),A505)</f>
        <v>Húzhèn Zhèn (Qúzhōu Shì)</v>
      </c>
      <c r="C505" t="str">
        <f>IF(COUNTIF(B:B,B505)&gt;1,_xlfn.CONCAT(A505," (",M505,")"),B505)</f>
        <v>Húzhèn Zhèn (Qúzhōu Shì)</v>
      </c>
      <c r="D505" t="s">
        <v>1721</v>
      </c>
      <c r="E505" t="s">
        <v>11</v>
      </c>
      <c r="F505" t="str">
        <f>_xlfn.CONCAT(D505,", ",H505,", ",I505,", ","浙江省")</f>
        <v>湖镇镇, 龙游县, 衢州市, 浙江省</v>
      </c>
      <c r="G505">
        <v>42472</v>
      </c>
      <c r="H505" t="s">
        <v>2978</v>
      </c>
      <c r="I505" t="s">
        <v>2973</v>
      </c>
      <c r="J505">
        <f>VLOOKUP(F505,[1]!china_towns_second__2[[Column1]:[Y]],3,FALSE)</f>
        <v>29.042528037611</v>
      </c>
      <c r="K505">
        <f>VLOOKUP(F505,[1]!china_towns_second__2[[Column1]:[Y]],2,FALSE)</f>
        <v>119.2687925</v>
      </c>
      <c r="L505" t="s">
        <v>4140</v>
      </c>
      <c r="M505" t="str">
        <f>VLOOKUP(H505,CHOOSE({1,2},Table12[Native],Table12[Name]),2,0)</f>
        <v>Lóngyóu Xiàn</v>
      </c>
      <c r="N505" s="15" t="str">
        <f>VLOOKUP(I505,CHOOSE({1,2},Table12[Native],Table12[Name]),2,0)</f>
        <v>Qúzhōu Shì</v>
      </c>
      <c r="O505" s="15" t="str">
        <f t="shared" si="14"/>
        <v>Huzhen Zhen (Quzhou Shi) (Qúzhōu Shì)</v>
      </c>
      <c r="P505" s="15" t="str">
        <f t="shared" si="15"/>
        <v>Huzhen Zhen (Quzhou Shi) (Qúzhōu Shì)</v>
      </c>
    </row>
    <row r="506" spans="1:16" hidden="1" x14ac:dyDescent="0.25">
      <c r="A506" t="s">
        <v>609</v>
      </c>
      <c r="B506" t="str">
        <f>IF(COUNTIF(A:A,A506)&gt;1,_xlfn.CONCAT(A506," (",N506,")"),A506)</f>
        <v>Jiābĕi Jiēdào [in: Jiāxīng Economic and Technological Development Zone]</v>
      </c>
      <c r="C506" t="str">
        <f>IF(COUNTIF(B:B,B506)&gt;1,_xlfn.CONCAT(A506," (",M506,")"),B506)</f>
        <v>Jiābĕi Jiēdào [in: Jiāxīng Economic and Technological Development Zone]</v>
      </c>
      <c r="D506" t="s">
        <v>610</v>
      </c>
      <c r="E506" t="s">
        <v>15</v>
      </c>
      <c r="F506" t="str">
        <f>_xlfn.CONCAT(D506,", ",H506,", ",I506,", ","浙江省")</f>
        <v>嘉北街道, 秀洲区, 嘉兴市, 浙江省</v>
      </c>
      <c r="G506">
        <v>67657</v>
      </c>
      <c r="H506" t="s">
        <v>2936</v>
      </c>
      <c r="I506" t="s">
        <v>2929</v>
      </c>
      <c r="J506">
        <f>VLOOKUP(F506,[1]!china_towns_second__2[[Column1]:[Y]],3,FALSE)</f>
        <v>30.7856032211746</v>
      </c>
      <c r="K506">
        <f>VLOOKUP(F506,[1]!china_towns_second__2[[Column1]:[Y]],2,FALSE)</f>
        <v>120.7216071</v>
      </c>
      <c r="L506" t="s">
        <v>4141</v>
      </c>
      <c r="M506" t="str">
        <f>VLOOKUP(H506,CHOOSE({1,2},Table12[Native],Table12[Name]),2,0)</f>
        <v>Xiùzhōu Qū</v>
      </c>
      <c r="N506" s="15" t="str">
        <f>VLOOKUP(I506,CHOOSE({1,2},Table12[Native],Table12[Name]),2,0)</f>
        <v>Jiāxīng Shì</v>
      </c>
      <c r="O506" s="15" t="str">
        <f t="shared" si="14"/>
        <v>Jiabei Jiedao [in: Jiaxing Economic and Technological Development Zone] (Jiāxīng Shì)</v>
      </c>
      <c r="P506" s="15" t="str">
        <f t="shared" si="15"/>
        <v>Jiabei Jiedao [in: Jiaxing Economic and Technological Development Zone] (Jiāxīng Shì)</v>
      </c>
    </row>
    <row r="507" spans="1:16" hidden="1" x14ac:dyDescent="0.25">
      <c r="A507" t="s">
        <v>1121</v>
      </c>
      <c r="B507" t="str">
        <f>IF(COUNTIF(A:A,A507)&gt;1,_xlfn.CONCAT(A507," (",N507,")"),A507)</f>
        <v>Jiādì Xiāng</v>
      </c>
      <c r="C507" t="str">
        <f>IF(COUNTIF(B:B,B507)&gt;1,_xlfn.CONCAT(A507," (",M507,")"),B507)</f>
        <v>Jiādì Xiāng</v>
      </c>
      <c r="D507" t="s">
        <v>1122</v>
      </c>
      <c r="E507" t="s">
        <v>7</v>
      </c>
      <c r="F507" t="str">
        <f>_xlfn.CONCAT(D507,", ",H507,", ",I507,", ","浙江省")</f>
        <v>家地乡, 景宁畲族自治县, 丽水市, 浙江省</v>
      </c>
      <c r="G507">
        <v>831</v>
      </c>
      <c r="H507" t="s">
        <v>2951</v>
      </c>
      <c r="I507" t="s">
        <v>2949</v>
      </c>
      <c r="J507" t="e">
        <f>VLOOKUP(F507,[1]!china_towns_second__2[[Column1]:[Y]],3,FALSE)</f>
        <v>#N/A</v>
      </c>
      <c r="K507" t="e">
        <f>VLOOKUP(F507,[1]!china_towns_second__2[[Column1]:[Y]],2,FALSE)</f>
        <v>#N/A</v>
      </c>
      <c r="L507" t="s">
        <v>4142</v>
      </c>
      <c r="M507" t="str">
        <f>VLOOKUP(H507,CHOOSE({1,2},Table12[Native],Table12[Name]),2,0)</f>
        <v>Jĭngníng Shēzú Zìzhìxiàn</v>
      </c>
      <c r="N507" s="15" t="str">
        <f>VLOOKUP(I507,CHOOSE({1,2},Table12[Native],Table12[Name]),2,0)</f>
        <v>Lìshuĭ Shì</v>
      </c>
      <c r="O507" s="15" t="str">
        <f t="shared" si="14"/>
        <v>Jiadi Xiang (Lìshuĭ Shì)</v>
      </c>
      <c r="P507" s="15" t="str">
        <f t="shared" si="15"/>
        <v>Jiadi Xiang (Lìshuĭ Shì)</v>
      </c>
    </row>
    <row r="508" spans="1:16" hidden="1" x14ac:dyDescent="0.25">
      <c r="A508" t="s">
        <v>1123</v>
      </c>
      <c r="B508" t="str">
        <f>IF(COUNTIF(A:A,A508)&gt;1,_xlfn.CONCAT(A508," (",N508,")"),A508)</f>
        <v>Jiànchí Jiēdào [→ parts: Shídáshí Jiēdào]</v>
      </c>
      <c r="C508" t="str">
        <f>IF(COUNTIF(B:B,B508)&gt;1,_xlfn.CONCAT(A508," (",M508,")"),B508)</f>
        <v>Jiànchí Jiēdào [→ parts: Shídáshí Jiēdào]</v>
      </c>
      <c r="D508" t="s">
        <v>1124</v>
      </c>
      <c r="E508" t="s">
        <v>15</v>
      </c>
      <c r="F508" t="str">
        <f>_xlfn.CONCAT(D508,", ",H508,", ",I508,", ","浙江省")</f>
        <v>剑池街道, 龙泉市, 丽水市, 浙江省</v>
      </c>
      <c r="G508">
        <v>45726</v>
      </c>
      <c r="H508" t="s">
        <v>2954</v>
      </c>
      <c r="I508" t="s">
        <v>2949</v>
      </c>
      <c r="J508">
        <f>VLOOKUP(F508,[1]!china_towns_second__2[[Column1]:[Y]],3,FALSE)</f>
        <v>28.051092432534499</v>
      </c>
      <c r="K508">
        <f>VLOOKUP(F508,[1]!china_towns_second__2[[Column1]:[Y]],2,FALSE)</f>
        <v>119.13355989999999</v>
      </c>
      <c r="L508" t="s">
        <v>4143</v>
      </c>
      <c r="M508" t="str">
        <f>VLOOKUP(H508,CHOOSE({1,2},Table12[Native],Table12[Name]),2,0)</f>
        <v>Lóngquán Shì</v>
      </c>
      <c r="N508" s="15" t="str">
        <f>VLOOKUP(I508,CHOOSE({1,2},Table12[Native],Table12[Name]),2,0)</f>
        <v>Lìshuĭ Shì</v>
      </c>
      <c r="O508" s="15" t="str">
        <f t="shared" si="14"/>
        <v>Jianchi Jiedao [→ parts: Shidashi Jiedao] (Lìshuĭ Shì)</v>
      </c>
      <c r="P508" s="15" t="str">
        <f t="shared" si="15"/>
        <v>Jianchi Jiedao [→ parts: Shidashi Jiedao] (Lìshuĭ Shì)</v>
      </c>
    </row>
    <row r="509" spans="1:16" hidden="1" x14ac:dyDescent="0.25">
      <c r="A509" t="s">
        <v>803</v>
      </c>
      <c r="B509" t="str">
        <f>IF(COUNTIF(A:A,A509)&gt;1,_xlfn.CONCAT(A509," (",N509,")"),A509)</f>
        <v>Jiāngbĕi Jiēdào</v>
      </c>
      <c r="C509" t="str">
        <f>IF(COUNTIF(B:B,B509)&gt;1,_xlfn.CONCAT(A509," (",M509,")"),B509)</f>
        <v>Jiāngbĕi Jiēdào</v>
      </c>
      <c r="D509" t="s">
        <v>804</v>
      </c>
      <c r="E509" t="s">
        <v>15</v>
      </c>
      <c r="F509" t="str">
        <f>_xlfn.CONCAT(D509,", ",H509,", ",I509,", ","浙江省")</f>
        <v>江北街道, 东阳市, 金华市, 浙江省</v>
      </c>
      <c r="G509">
        <v>63810</v>
      </c>
      <c r="H509" t="s">
        <v>2939</v>
      </c>
      <c r="I509" t="s">
        <v>2938</v>
      </c>
      <c r="J509">
        <f>VLOOKUP(F509,[1]!china_towns_second__2[[Column1]:[Y]],3,FALSE)</f>
        <v>29.3279955507004</v>
      </c>
      <c r="K509">
        <f>VLOOKUP(F509,[1]!china_towns_second__2[[Column1]:[Y]],2,FALSE)</f>
        <v>120.2576784</v>
      </c>
      <c r="L509" t="s">
        <v>4144</v>
      </c>
      <c r="M509" t="str">
        <f>VLOOKUP(H509,CHOOSE({1,2},Table12[Native],Table12[Name]),2,0)</f>
        <v>Dōngyáng Shì</v>
      </c>
      <c r="N509" s="15" t="str">
        <f>VLOOKUP(I509,CHOOSE({1,2},Table12[Native],Table12[Name]),2,0)</f>
        <v>Jīnhuá Shì</v>
      </c>
      <c r="O509" s="15" t="str">
        <f t="shared" si="14"/>
        <v>Jiangbei Jiedao (Jīnhuá Shì)</v>
      </c>
      <c r="P509" s="15" t="str">
        <f t="shared" si="15"/>
        <v>Jiangbei Jiedao (Jīnhuá Shì)</v>
      </c>
    </row>
    <row r="510" spans="1:16" hidden="1" x14ac:dyDescent="0.25">
      <c r="A510" t="s">
        <v>149</v>
      </c>
      <c r="B510" t="str">
        <f>IF(COUNTIF(A:A,A510)&gt;1,_xlfn.CONCAT(A510," (",N510,")"),A510)</f>
        <v>Jiăngcūn Jiēdào</v>
      </c>
      <c r="C510" t="str">
        <f>IF(COUNTIF(B:B,B510)&gt;1,_xlfn.CONCAT(A510," (",M510,")"),B510)</f>
        <v>Jiăngcūn Jiēdào</v>
      </c>
      <c r="D510" t="s">
        <v>150</v>
      </c>
      <c r="E510" t="s">
        <v>15</v>
      </c>
      <c r="F510" t="str">
        <f>_xlfn.CONCAT(D510,", ",H510,", ",I510,", ","浙江省")</f>
        <v>蒋村街道, 西湖区, 杭州市, 浙江省</v>
      </c>
      <c r="G510">
        <v>29272</v>
      </c>
      <c r="H510" t="s">
        <v>2918</v>
      </c>
      <c r="I510" t="s">
        <v>2903</v>
      </c>
      <c r="J510">
        <f>VLOOKUP(F510,[1]!china_towns_second__2[[Column1]:[Y]],3,FALSE)</f>
        <v>30.278878824191999</v>
      </c>
      <c r="K510">
        <f>VLOOKUP(F510,[1]!china_towns_second__2[[Column1]:[Y]],2,FALSE)</f>
        <v>120.06615770000001</v>
      </c>
      <c r="L510" t="s">
        <v>4145</v>
      </c>
      <c r="M510" t="str">
        <f>VLOOKUP(H510,CHOOSE({1,2},Table12[Native],Table12[Name]),2,0)</f>
        <v>Xīhú Qū</v>
      </c>
      <c r="N510" s="15" t="str">
        <f>VLOOKUP(I510,CHOOSE({1,2},Table12[Native],Table12[Name]),2,0)</f>
        <v>Hángzhōu Shì</v>
      </c>
      <c r="O510" s="15" t="str">
        <f t="shared" si="14"/>
        <v>Jiangcun Jiedao (Hángzhōu Shì)</v>
      </c>
      <c r="P510" s="15" t="str">
        <f t="shared" si="15"/>
        <v>Jiangcun Jiedao (Hángzhōu Shì)</v>
      </c>
    </row>
    <row r="511" spans="1:16" hidden="1" x14ac:dyDescent="0.25">
      <c r="A511" t="s">
        <v>805</v>
      </c>
      <c r="B511" t="str">
        <f>IF(COUNTIF(A:A,A511)&gt;1,_xlfn.CONCAT(A511," (",N511,")"),A511)</f>
        <v>Jiāngdōng Jiēdào</v>
      </c>
      <c r="C511" t="str">
        <f>IF(COUNTIF(B:B,B511)&gt;1,_xlfn.CONCAT(A511," (",M511,")"),B511)</f>
        <v>Jiāngdōng Jiēdào</v>
      </c>
      <c r="D511" t="s">
        <v>806</v>
      </c>
      <c r="E511" t="s">
        <v>15</v>
      </c>
      <c r="F511" t="str">
        <f>_xlfn.CONCAT(D511,", ",H511,", ",I511,", ","浙江省")</f>
        <v>江东街道, 义乌市, 金华市, 浙江省</v>
      </c>
      <c r="G511">
        <v>171106</v>
      </c>
      <c r="H511" t="s">
        <v>2946</v>
      </c>
      <c r="I511" t="s">
        <v>2938</v>
      </c>
      <c r="J511">
        <f>VLOOKUP(F511,[1]!china_towns_second__2[[Column1]:[Y]],3,FALSE)</f>
        <v>29.276793607096</v>
      </c>
      <c r="K511">
        <f>VLOOKUP(F511,[1]!china_towns_second__2[[Column1]:[Y]],2,FALSE)</f>
        <v>120.10138689999999</v>
      </c>
      <c r="L511" t="s">
        <v>4146</v>
      </c>
      <c r="M511" t="str">
        <f>VLOOKUP(H511,CHOOSE({1,2},Table12[Native],Table12[Name]),2,0)</f>
        <v>Yìwū Shì</v>
      </c>
      <c r="N511" s="15" t="str">
        <f>VLOOKUP(I511,CHOOSE({1,2},Table12[Native],Table12[Name]),2,0)</f>
        <v>Jīnhuá Shì</v>
      </c>
      <c r="O511" s="15" t="str">
        <f t="shared" si="14"/>
        <v>Jiangdong Jiedao (Jīnhuá Shì)</v>
      </c>
      <c r="P511" s="15" t="str">
        <f t="shared" si="15"/>
        <v>Jiangdong Jiedao (Jīnhuá Shì)</v>
      </c>
    </row>
    <row r="512" spans="1:16" hidden="1" x14ac:dyDescent="0.25">
      <c r="A512" t="s">
        <v>807</v>
      </c>
      <c r="B512" t="str">
        <f>IF(COUNTIF(A:A,A512)&gt;1,_xlfn.CONCAT(A512," (",N512,")"),A512)</f>
        <v>Jiāngdōng Zhèn</v>
      </c>
      <c r="C512" t="str">
        <f>IF(COUNTIF(B:B,B512)&gt;1,_xlfn.CONCAT(A512," (",M512,")"),B512)</f>
        <v>Jiāngdōng Zhèn</v>
      </c>
      <c r="D512" t="s">
        <v>808</v>
      </c>
      <c r="E512" t="s">
        <v>11</v>
      </c>
      <c r="F512" t="str">
        <f>_xlfn.CONCAT(D512,", ",H512,", ",I512,", ","浙江省")</f>
        <v>江东镇, 金东区, 金华市, 浙江省</v>
      </c>
      <c r="G512">
        <v>9948</v>
      </c>
      <c r="H512" t="s">
        <v>2940</v>
      </c>
      <c r="I512" t="s">
        <v>2938</v>
      </c>
      <c r="J512">
        <f>VLOOKUP(F512,[1]!china_towns_second__2[[Column1]:[Y]],3,FALSE)</f>
        <v>29.038049051601998</v>
      </c>
      <c r="K512">
        <f>VLOOKUP(F512,[1]!china_towns_second__2[[Column1]:[Y]],2,FALSE)</f>
        <v>119.7413287</v>
      </c>
      <c r="L512" t="s">
        <v>4147</v>
      </c>
      <c r="M512" t="str">
        <f>VLOOKUP(H512,CHOOSE({1,2},Table12[Native],Table12[Name]),2,0)</f>
        <v>Jīndōng Qū</v>
      </c>
      <c r="N512" s="15" t="str">
        <f>VLOOKUP(I512,CHOOSE({1,2},Table12[Native],Table12[Name]),2,0)</f>
        <v>Jīnhuá Shì</v>
      </c>
      <c r="O512" s="15" t="str">
        <f t="shared" si="14"/>
        <v>Jiangdong Zhen (Jīnhuá Shì)</v>
      </c>
      <c r="P512" s="15" t="str">
        <f t="shared" si="15"/>
        <v>Jiangdong Zhen (Jīnhuá Shì)</v>
      </c>
    </row>
    <row r="513" spans="1:16" hidden="1" x14ac:dyDescent="0.25">
      <c r="A513" t="s">
        <v>1125</v>
      </c>
      <c r="B513" t="str">
        <f>IF(COUNTIF(A:A,A513)&gt;1,_xlfn.CONCAT(A513," (",N513,")"),A513)</f>
        <v>Jiānggēn Xiāng</v>
      </c>
      <c r="C513" t="str">
        <f>IF(COUNTIF(B:B,B513)&gt;1,_xlfn.CONCAT(A513," (",M513,")"),B513)</f>
        <v>Jiānggēn Xiāng</v>
      </c>
      <c r="D513" t="s">
        <v>1126</v>
      </c>
      <c r="E513" t="s">
        <v>7</v>
      </c>
      <c r="F513" t="str">
        <f>_xlfn.CONCAT(D513,", ",H513,", ",I513,", ","浙江省")</f>
        <v>江根乡, 庆元县, 丽水市, 浙江省</v>
      </c>
      <c r="G513">
        <v>1888</v>
      </c>
      <c r="H513" t="s">
        <v>2956</v>
      </c>
      <c r="I513" t="s">
        <v>2949</v>
      </c>
      <c r="J513" t="e">
        <f>VLOOKUP(F513,[1]!china_towns_second__2[[Column1]:[Y]],3,FALSE)</f>
        <v>#N/A</v>
      </c>
      <c r="K513" t="e">
        <f>VLOOKUP(F513,[1]!china_towns_second__2[[Column1]:[Y]],2,FALSE)</f>
        <v>#N/A</v>
      </c>
      <c r="L513" t="s">
        <v>4148</v>
      </c>
      <c r="M513" t="str">
        <f>VLOOKUP(H513,CHOOSE({1,2},Table12[Native],Table12[Name]),2,0)</f>
        <v>Qìngyuán Xiàn</v>
      </c>
      <c r="N513" s="15" t="str">
        <f>VLOOKUP(I513,CHOOSE({1,2},Table12[Native],Table12[Name]),2,0)</f>
        <v>Lìshuĭ Shì</v>
      </c>
      <c r="O513" s="15" t="str">
        <f t="shared" si="14"/>
        <v>Jianggen Xiang (Lìshuĭ Shì)</v>
      </c>
      <c r="P513" s="15" t="str">
        <f t="shared" si="15"/>
        <v>Jianggen Xiang (Lìshuĭ Shì)</v>
      </c>
    </row>
    <row r="514" spans="1:16" hidden="1" x14ac:dyDescent="0.25">
      <c r="A514" t="s">
        <v>151</v>
      </c>
      <c r="B514" t="str">
        <f>IF(COUNTIF(A:A,A514)&gt;1,_xlfn.CONCAT(A514," (",N514,")"),A514)</f>
        <v>Jiāngjiā Zhèn</v>
      </c>
      <c r="C514" t="str">
        <f>IF(COUNTIF(B:B,B514)&gt;1,_xlfn.CONCAT(A514," (",M514,")"),B514)</f>
        <v>Jiāngjiā Zhèn</v>
      </c>
      <c r="D514" t="s">
        <v>152</v>
      </c>
      <c r="E514" t="s">
        <v>11</v>
      </c>
      <c r="F514" t="str">
        <f>_xlfn.CONCAT(D514,", ",H514,", ",I514,", ","浙江省")</f>
        <v>姜家镇, 淳安县, 杭州市, 浙江省</v>
      </c>
      <c r="G514">
        <v>14809</v>
      </c>
      <c r="H514" t="s">
        <v>2907</v>
      </c>
      <c r="I514" t="s">
        <v>2903</v>
      </c>
      <c r="J514">
        <f>VLOOKUP(F514,[1]!china_towns_second__2[[Column1]:[Y]],3,FALSE)</f>
        <v>29.532949461528599</v>
      </c>
      <c r="K514">
        <f>VLOOKUP(F514,[1]!china_towns_second__2[[Column1]:[Y]],2,FALSE)</f>
        <v>118.65250880000001</v>
      </c>
      <c r="L514" t="s">
        <v>4149</v>
      </c>
      <c r="M514" t="str">
        <f>VLOOKUP(H514,CHOOSE({1,2},Table12[Native],Table12[Name]),2,0)</f>
        <v>Chún'ān Xiàn</v>
      </c>
      <c r="N514" s="15" t="str">
        <f>VLOOKUP(I514,CHOOSE({1,2},Table12[Native],Table12[Name]),2,0)</f>
        <v>Hángzhōu Shì</v>
      </c>
      <c r="O514" s="15" t="str">
        <f t="shared" ref="O514:O577" si="16">_xlfn.CONCAT(L514," (",N514,")")</f>
        <v>Jiangjia Zhen (Hángzhōu Shì)</v>
      </c>
      <c r="P514" s="15" t="str">
        <f t="shared" ref="P514:P577" si="17">IF(COUNTIF(O:O,O514)&gt;1,_xlfn.CONCAT(L514," (",M514,")"),O514)</f>
        <v>Jiangjia Zhen (Hángzhōu Shì)</v>
      </c>
    </row>
    <row r="515" spans="1:16" hidden="1" x14ac:dyDescent="0.25">
      <c r="A515" t="s">
        <v>1722</v>
      </c>
      <c r="B515" t="str">
        <f>IF(COUNTIF(A:A,A515)&gt;1,_xlfn.CONCAT(A515," (",N515,")"),A515)</f>
        <v>Jiāngjiāshān Xiāng</v>
      </c>
      <c r="C515" t="str">
        <f>IF(COUNTIF(B:B,B515)&gt;1,_xlfn.CONCAT(A515," (",M515,")"),B515)</f>
        <v>Jiāngjiāshān Xiāng</v>
      </c>
      <c r="D515" t="s">
        <v>1723</v>
      </c>
      <c r="E515" t="s">
        <v>7</v>
      </c>
      <c r="F515" t="str">
        <f>_xlfn.CONCAT(D515,", ",H515,", ",I515,", ","浙江省")</f>
        <v>姜家山乡, 柯城区, 衢州市, 浙江省</v>
      </c>
      <c r="G515">
        <v>9516</v>
      </c>
      <c r="H515" t="s">
        <v>2977</v>
      </c>
      <c r="I515" t="s">
        <v>2973</v>
      </c>
      <c r="J515" t="e">
        <f>VLOOKUP(F515,[1]!china_towns_second__2[[Column1]:[Y]],3,FALSE)</f>
        <v>#N/A</v>
      </c>
      <c r="K515" t="e">
        <f>VLOOKUP(F515,[1]!china_towns_second__2[[Column1]:[Y]],2,FALSE)</f>
        <v>#N/A</v>
      </c>
      <c r="L515" t="s">
        <v>4150</v>
      </c>
      <c r="M515" t="str">
        <f>VLOOKUP(H515,CHOOSE({1,2},Table12[Native],Table12[Name]),2,0)</f>
        <v>Kēchéng Qū</v>
      </c>
      <c r="N515" s="15" t="str">
        <f>VLOOKUP(I515,CHOOSE({1,2},Table12[Native],Table12[Name]),2,0)</f>
        <v>Qúzhōu Shì</v>
      </c>
      <c r="O515" s="15" t="str">
        <f t="shared" si="16"/>
        <v>Jiangjiashan Xiang (Qúzhōu Shì)</v>
      </c>
      <c r="P515" s="15" t="str">
        <f t="shared" si="17"/>
        <v>Jiangjiashan Xiang (Qúzhōu Shì)</v>
      </c>
    </row>
    <row r="516" spans="1:16" hidden="1" x14ac:dyDescent="0.25">
      <c r="A516" t="s">
        <v>1455</v>
      </c>
      <c r="B516" t="str">
        <f>IF(COUNTIF(A:A,A516)&gt;1,_xlfn.CONCAT(A516," (",N516,")"),A516)</f>
        <v>Jiāngkŏu Jiēdào (Níngbō Shì)</v>
      </c>
      <c r="C516" t="str">
        <f>IF(COUNTIF(B:B,B516)&gt;1,_xlfn.CONCAT(A516," (",M516,")"),B516)</f>
        <v>Jiāngkŏu Jiēdào (Níngbō Shì)</v>
      </c>
      <c r="D516" t="s">
        <v>1456</v>
      </c>
      <c r="E516" t="s">
        <v>15</v>
      </c>
      <c r="F516" t="str">
        <f>_xlfn.CONCAT(D516,", ",H516,", ",I516,", ","浙江省")</f>
        <v>江口街道, 奉化区, 宁波市, 浙江省</v>
      </c>
      <c r="G516">
        <v>58580</v>
      </c>
      <c r="H516" t="s">
        <v>2964</v>
      </c>
      <c r="I516" t="s">
        <v>2961</v>
      </c>
      <c r="J516">
        <f>VLOOKUP(F516,[1]!china_towns_second__2[[Column1]:[Y]],3,FALSE)</f>
        <v>29.727637232655798</v>
      </c>
      <c r="K516">
        <f>VLOOKUP(F516,[1]!china_towns_second__2[[Column1]:[Y]],2,FALSE)</f>
        <v>121.4320017</v>
      </c>
      <c r="L516" t="s">
        <v>4151</v>
      </c>
      <c r="M516" t="str">
        <f>VLOOKUP(H516,CHOOSE({1,2},Table12[Native],Table12[Name]),2,0)</f>
        <v>Fènghuà Qū</v>
      </c>
      <c r="N516" s="15" t="str">
        <f>VLOOKUP(I516,CHOOSE({1,2},Table12[Native],Table12[Name]),2,0)</f>
        <v>Níngbō Shì</v>
      </c>
      <c r="O516" s="15" t="str">
        <f t="shared" si="16"/>
        <v>Jiangkou Jiedao (Ningbo Shi) (Níngbō Shì)</v>
      </c>
      <c r="P516" s="15" t="str">
        <f t="shared" si="17"/>
        <v>Jiangkou Jiedao (Ningbo Shi) (Níngbō Shì)</v>
      </c>
    </row>
    <row r="517" spans="1:16" hidden="1" x14ac:dyDescent="0.25">
      <c r="A517" t="s">
        <v>1455</v>
      </c>
      <c r="B517" t="str">
        <f>IF(COUNTIF(A:A,A517)&gt;1,_xlfn.CONCAT(A517," (",N517,")"),A517)</f>
        <v>Jiāngkŏu Jiēdào (Táizhōu Shì)</v>
      </c>
      <c r="C517" t="str">
        <f>IF(COUNTIF(B:B,B517)&gt;1,_xlfn.CONCAT(A517," (",M517,")"),B517)</f>
        <v>Jiāngkŏu Jiēdào (Táizhōu Shì)</v>
      </c>
      <c r="D517" t="s">
        <v>1456</v>
      </c>
      <c r="E517" t="s">
        <v>15</v>
      </c>
      <c r="F517" t="str">
        <f>_xlfn.CONCAT(D517,", ",H517,", ",I517,", ","浙江省")</f>
        <v>江口街道, 黄岩区, 台州市, 浙江省</v>
      </c>
      <c r="G517">
        <v>40315</v>
      </c>
      <c r="H517" t="s">
        <v>2990</v>
      </c>
      <c r="I517" t="s">
        <v>2989</v>
      </c>
      <c r="J517">
        <f>VLOOKUP(F517,[1]!china_towns_second__2[[Column1]:[Y]],3,FALSE)</f>
        <v>28.6648238461094</v>
      </c>
      <c r="K517">
        <f>VLOOKUP(F517,[1]!china_towns_second__2[[Column1]:[Y]],2,FALSE)</f>
        <v>121.3260916</v>
      </c>
      <c r="L517" t="s">
        <v>4152</v>
      </c>
      <c r="M517" t="str">
        <f>VLOOKUP(H517,CHOOSE({1,2},Table12[Native],Table12[Name]),2,0)</f>
        <v>Huángyán Qū</v>
      </c>
      <c r="N517" s="15" t="str">
        <f>VLOOKUP(I517,CHOOSE({1,2},Table12[Native],Table12[Name]),2,0)</f>
        <v>Táizhōu Shì</v>
      </c>
      <c r="O517" s="15" t="str">
        <f t="shared" si="16"/>
        <v>Jiangkou Jiedao (Taizhou Shi) (Táizhōu Shì)</v>
      </c>
      <c r="P517" s="15" t="str">
        <f t="shared" si="17"/>
        <v>Jiangkou Jiedao (Taizhou Shi) (Táizhōu Shì)</v>
      </c>
    </row>
    <row r="518" spans="1:16" hidden="1" x14ac:dyDescent="0.25">
      <c r="A518" t="s">
        <v>809</v>
      </c>
      <c r="B518" t="str">
        <f>IF(COUNTIF(A:A,A518)&gt;1,_xlfn.CONCAT(A518," (",N518,")"),A518)</f>
        <v>Jiāngnán Jiēdào (Jīnhuá Shì)</v>
      </c>
      <c r="C518" t="str">
        <f>IF(COUNTIF(B:B,B518)&gt;1,_xlfn.CONCAT(A518," (",M518,")"),B518)</f>
        <v>Jiāngnán Jiēdào (Wùchéng Qū)</v>
      </c>
      <c r="D518" t="s">
        <v>810</v>
      </c>
      <c r="E518" t="s">
        <v>15</v>
      </c>
      <c r="F518" t="str">
        <f>_xlfn.CONCAT(D518,", ",H518,", ",I518,", ","浙江省")</f>
        <v>江南街道, 婺城区, 金华市, 浙江省</v>
      </c>
      <c r="G518">
        <v>37096</v>
      </c>
      <c r="H518" t="s">
        <v>2944</v>
      </c>
      <c r="I518" t="s">
        <v>2938</v>
      </c>
      <c r="J518">
        <f>VLOOKUP(F518,[1]!china_towns_second__2[[Column1]:[Y]],3,FALSE)</f>
        <v>29.093667786903801</v>
      </c>
      <c r="K518">
        <f>VLOOKUP(F518,[1]!china_towns_second__2[[Column1]:[Y]],2,FALSE)</f>
        <v>119.6463005</v>
      </c>
      <c r="L518" t="s">
        <v>4153</v>
      </c>
      <c r="M518" t="str">
        <f>VLOOKUP(H518,CHOOSE({1,2},Table12[Native],Table12[Name]),2,0)</f>
        <v>Wùchéng Qū</v>
      </c>
      <c r="N518" s="15" t="str">
        <f>VLOOKUP(I518,CHOOSE({1,2},Table12[Native],Table12[Name]),2,0)</f>
        <v>Jīnhuá Shì</v>
      </c>
      <c r="O518" s="15" t="str">
        <f t="shared" si="16"/>
        <v>Jiangnan Jiedao (Wucheng Qu) (Jīnhuá Shì)</v>
      </c>
      <c r="P518" s="15" t="str">
        <f t="shared" si="17"/>
        <v>Jiangnan Jiedao (Wucheng Qu) (Jīnhuá Shì)</v>
      </c>
    </row>
    <row r="519" spans="1:16" hidden="1" x14ac:dyDescent="0.25">
      <c r="A519" t="s">
        <v>809</v>
      </c>
      <c r="B519" t="str">
        <f>IF(COUNTIF(A:A,A519)&gt;1,_xlfn.CONCAT(A519," (",N519,")"),A519)</f>
        <v>Jiāngnán Jiēdào (Jīnhuá Shì)</v>
      </c>
      <c r="C519" t="str">
        <f>IF(COUNTIF(B:B,B519)&gt;1,_xlfn.CONCAT(A519," (",M519,")"),B519)</f>
        <v>Jiāngnán Jiēdào (Yŏngkāng Shì)</v>
      </c>
      <c r="D519" t="s">
        <v>810</v>
      </c>
      <c r="E519" t="s">
        <v>15</v>
      </c>
      <c r="F519" t="str">
        <f>_xlfn.CONCAT(D519,", ",H519,", ",I519,", ","浙江省")</f>
        <v>江南街道, 永康市, 金华市, 浙江省</v>
      </c>
      <c r="G519">
        <v>72881</v>
      </c>
      <c r="H519" t="s">
        <v>2947</v>
      </c>
      <c r="I519" t="s">
        <v>2938</v>
      </c>
      <c r="J519">
        <f>VLOOKUP(F519,[1]!china_towns_second__2[[Column1]:[Y]],3,FALSE)</f>
        <v>28.843241282171402</v>
      </c>
      <c r="K519">
        <f>VLOOKUP(F519,[1]!china_towns_second__2[[Column1]:[Y]],2,FALSE)</f>
        <v>120.00148299999999</v>
      </c>
      <c r="L519" t="s">
        <v>4154</v>
      </c>
      <c r="M519" t="str">
        <f>VLOOKUP(H519,CHOOSE({1,2},Table12[Native],Table12[Name]),2,0)</f>
        <v>Yŏngkāng Shì</v>
      </c>
      <c r="N519" s="15" t="str">
        <f>VLOOKUP(I519,CHOOSE({1,2},Table12[Native],Table12[Name]),2,0)</f>
        <v>Jīnhuá Shì</v>
      </c>
      <c r="O519" s="15" t="str">
        <f t="shared" si="16"/>
        <v>Jiangnan Jiedao (Yongkang Shi) (Jīnhuá Shì)</v>
      </c>
      <c r="P519" s="15" t="str">
        <f t="shared" si="17"/>
        <v>Jiangnan Jiedao (Yongkang Shi) (Jīnhuá Shì)</v>
      </c>
    </row>
    <row r="520" spans="1:16" hidden="1" x14ac:dyDescent="0.25">
      <c r="A520" t="s">
        <v>809</v>
      </c>
      <c r="B520" t="str">
        <f>IF(COUNTIF(A:A,A520)&gt;1,_xlfn.CONCAT(A520," (",N520,")"),A520)</f>
        <v>Jiāngnán Jiēdào (Táizhōu Shì)</v>
      </c>
      <c r="C520" t="str">
        <f>IF(COUNTIF(B:B,B520)&gt;1,_xlfn.CONCAT(A520," (",M520,")"),B520)</f>
        <v>Jiāngnán Jiēdào (Táizhōu Shì)</v>
      </c>
      <c r="D520" t="s">
        <v>810</v>
      </c>
      <c r="E520" t="s">
        <v>15</v>
      </c>
      <c r="F520" t="str">
        <f>_xlfn.CONCAT(D520,", ",H520,", ",I520,", ","浙江省")</f>
        <v>江南街道, 临海市, 台州市, 浙江省</v>
      </c>
      <c r="G520">
        <v>31938</v>
      </c>
      <c r="H520" t="s">
        <v>2992</v>
      </c>
      <c r="I520" t="s">
        <v>2989</v>
      </c>
      <c r="J520">
        <f>VLOOKUP(F520,[1]!china_towns_second__2[[Column1]:[Y]],3,FALSE)</f>
        <v>28.790946447140598</v>
      </c>
      <c r="K520">
        <f>VLOOKUP(F520,[1]!china_towns_second__2[[Column1]:[Y]],2,FALSE)</f>
        <v>121.09614670000001</v>
      </c>
      <c r="L520" t="s">
        <v>4155</v>
      </c>
      <c r="M520" t="str">
        <f>VLOOKUP(H520,CHOOSE({1,2},Table12[Native],Table12[Name]),2,0)</f>
        <v>Línhăi Shì</v>
      </c>
      <c r="N520" s="15" t="str">
        <f>VLOOKUP(I520,CHOOSE({1,2},Table12[Native],Table12[Name]),2,0)</f>
        <v>Táizhōu Shì</v>
      </c>
      <c r="O520" s="15" t="str">
        <f t="shared" si="16"/>
        <v>Jiangnan Jiedao (Taizhou Shi) (Táizhōu Shì)</v>
      </c>
      <c r="P520" s="15" t="str">
        <f t="shared" si="17"/>
        <v>Jiangnan Jiedao (Taizhou Shi) (Táizhōu Shì)</v>
      </c>
    </row>
    <row r="521" spans="1:16" hidden="1" x14ac:dyDescent="0.25">
      <c r="A521" t="s">
        <v>153</v>
      </c>
      <c r="B521" t="str">
        <f>IF(COUNTIF(A:A,A521)&gt;1,_xlfn.CONCAT(A521," (",N521,")"),A521)</f>
        <v>Jiāngnán Zhèn</v>
      </c>
      <c r="C521" t="str">
        <f>IF(COUNTIF(B:B,B521)&gt;1,_xlfn.CONCAT(A521," (",M521,")"),B521)</f>
        <v>Jiāngnán Zhèn</v>
      </c>
      <c r="D521" t="s">
        <v>154</v>
      </c>
      <c r="E521" t="s">
        <v>11</v>
      </c>
      <c r="F521" t="str">
        <f>_xlfn.CONCAT(D521,", ",H521,", ",I521,", ","浙江省")</f>
        <v>江南镇, 桐庐县, 杭州市, 浙江省</v>
      </c>
      <c r="G521">
        <v>38245</v>
      </c>
      <c r="H521" t="s">
        <v>2916</v>
      </c>
      <c r="I521" t="s">
        <v>2903</v>
      </c>
      <c r="J521">
        <f>VLOOKUP(F521,[1]!china_towns_second__2[[Column1]:[Y]],3,FALSE)</f>
        <v>29.836657920361901</v>
      </c>
      <c r="K521">
        <f>VLOOKUP(F521,[1]!china_towns_second__2[[Column1]:[Y]],2,FALSE)</f>
        <v>119.8124005</v>
      </c>
      <c r="L521" t="s">
        <v>4156</v>
      </c>
      <c r="M521" t="str">
        <f>VLOOKUP(H521,CHOOSE({1,2},Table12[Native],Table12[Name]),2,0)</f>
        <v>Tónglú Xiàn</v>
      </c>
      <c r="N521" s="15" t="str">
        <f>VLOOKUP(I521,CHOOSE({1,2},Table12[Native],Table12[Name]),2,0)</f>
        <v>Hángzhōu Shì</v>
      </c>
      <c r="O521" s="15" t="str">
        <f t="shared" si="16"/>
        <v>Jiangnan Zhen (Hángzhōu Shì)</v>
      </c>
      <c r="P521" s="15" t="str">
        <f t="shared" si="17"/>
        <v>Jiangnan Zhen (Hángzhōu Shì)</v>
      </c>
    </row>
    <row r="522" spans="1:16" hidden="1" x14ac:dyDescent="0.25">
      <c r="A522" t="s">
        <v>1457</v>
      </c>
      <c r="B522" t="str">
        <f>IF(COUNTIF(A:A,A522)&gt;1,_xlfn.CONCAT(A522," (",N522,")"),A522)</f>
        <v>Jiāngshān Zhèn</v>
      </c>
      <c r="C522" t="str">
        <f>IF(COUNTIF(B:B,B522)&gt;1,_xlfn.CONCAT(A522," (",M522,")"),B522)</f>
        <v>Jiāngshān Zhèn</v>
      </c>
      <c r="D522" t="s">
        <v>1458</v>
      </c>
      <c r="E522" t="s">
        <v>11</v>
      </c>
      <c r="F522" t="str">
        <f>_xlfn.CONCAT(D522,", ",H522,", ",I522,", ","浙江省")</f>
        <v>姜山镇, 鄞州区, 宁波市, 浙江省</v>
      </c>
      <c r="G522">
        <v>100410</v>
      </c>
      <c r="H522" t="s">
        <v>2969</v>
      </c>
      <c r="I522" t="s">
        <v>2961</v>
      </c>
      <c r="J522">
        <f>VLOOKUP(F522,[1]!china_towns_second__2[[Column1]:[Y]],3,FALSE)</f>
        <v>29.748784677930601</v>
      </c>
      <c r="K522">
        <f>VLOOKUP(F522,[1]!china_towns_second__2[[Column1]:[Y]],2,FALSE)</f>
        <v>121.515728</v>
      </c>
      <c r="L522" t="s">
        <v>4157</v>
      </c>
      <c r="M522" t="str">
        <f>VLOOKUP(H522,CHOOSE({1,2},Table12[Native],Table12[Name]),2,0)</f>
        <v>Yínzhōu Qū</v>
      </c>
      <c r="N522" s="15" t="str">
        <f>VLOOKUP(I522,CHOOSE({1,2},Table12[Native],Table12[Name]),2,0)</f>
        <v>Níngbō Shì</v>
      </c>
      <c r="O522" s="15" t="str">
        <f t="shared" si="16"/>
        <v>Jiangshan Zhen (Níngbō Shì)</v>
      </c>
      <c r="P522" s="15" t="str">
        <f t="shared" si="17"/>
        <v>Jiangshan Zhen (Níngbō Shì)</v>
      </c>
    </row>
    <row r="523" spans="1:16" hidden="1" x14ac:dyDescent="0.25">
      <c r="A523" t="s">
        <v>811</v>
      </c>
      <c r="B523" t="str">
        <f>IF(COUNTIF(A:A,A523)&gt;1,_xlfn.CONCAT(A523," (",N523,")"),A523)</f>
        <v>Jiăngtáng Zhèn</v>
      </c>
      <c r="C523" t="str">
        <f>IF(COUNTIF(B:B,B523)&gt;1,_xlfn.CONCAT(A523," (",M523,")"),B523)</f>
        <v>Jiăngtáng Zhèn</v>
      </c>
      <c r="D523" t="s">
        <v>812</v>
      </c>
      <c r="E523" t="s">
        <v>11</v>
      </c>
      <c r="F523" t="str">
        <f>_xlfn.CONCAT(D523,", ",H523,", ",I523,", ","浙江省")</f>
        <v>蒋堂镇, 婺城区, 金华市, 浙江省</v>
      </c>
      <c r="G523">
        <v>18702</v>
      </c>
      <c r="H523" t="s">
        <v>2944</v>
      </c>
      <c r="I523" t="s">
        <v>2938</v>
      </c>
      <c r="J523">
        <f>VLOOKUP(F523,[1]!china_towns_second__2[[Column1]:[Y]],3,FALSE)</f>
        <v>29.063269882512898</v>
      </c>
      <c r="K523">
        <f>VLOOKUP(F523,[1]!china_towns_second__2[[Column1]:[Y]],2,FALSE)</f>
        <v>119.44895510000001</v>
      </c>
      <c r="L523" t="s">
        <v>4158</v>
      </c>
      <c r="M523" t="str">
        <f>VLOOKUP(H523,CHOOSE({1,2},Table12[Native],Table12[Name]),2,0)</f>
        <v>Wùchéng Qū</v>
      </c>
      <c r="N523" s="15" t="str">
        <f>VLOOKUP(I523,CHOOSE({1,2},Table12[Native],Table12[Name]),2,0)</f>
        <v>Jīnhuá Shì</v>
      </c>
      <c r="O523" s="15" t="str">
        <f t="shared" si="16"/>
        <v>Jiangtang Zhen (Jīnhuá Shì)</v>
      </c>
      <c r="P523" s="15" t="str">
        <f t="shared" si="17"/>
        <v>Jiangtang Zhen (Jīnhuá Shì)</v>
      </c>
    </row>
    <row r="524" spans="1:16" hidden="1" x14ac:dyDescent="0.25">
      <c r="A524" t="s">
        <v>1459</v>
      </c>
      <c r="B524" t="str">
        <f>IF(COUNTIF(A:A,A524)&gt;1,_xlfn.CONCAT(A524," (",N524,")"),A524)</f>
        <v>Jiāngxià Jiēdào</v>
      </c>
      <c r="C524" t="str">
        <f>IF(COUNTIF(B:B,B524)&gt;1,_xlfn.CONCAT(A524," (",M524,")"),B524)</f>
        <v>Jiāngxià Jiēdào</v>
      </c>
      <c r="D524" t="s">
        <v>1460</v>
      </c>
      <c r="E524" t="s">
        <v>15</v>
      </c>
      <c r="F524" t="str">
        <f>_xlfn.CONCAT(D524,", ",H524,", ",I524,", ","浙江省")</f>
        <v>江厦街道, 海曙区, 宁波市, 浙江省</v>
      </c>
      <c r="G524">
        <v>15773</v>
      </c>
      <c r="H524" t="s">
        <v>2965</v>
      </c>
      <c r="I524" t="s">
        <v>2961</v>
      </c>
      <c r="J524">
        <f>VLOOKUP(F524,[1]!china_towns_second__2[[Column1]:[Y]],3,FALSE)</f>
        <v>29.868561942946101</v>
      </c>
      <c r="K524">
        <f>VLOOKUP(F524,[1]!china_towns_second__2[[Column1]:[Y]],2,FALSE)</f>
        <v>121.5496072</v>
      </c>
      <c r="L524" t="s">
        <v>4159</v>
      </c>
      <c r="M524" t="str">
        <f>VLOOKUP(H524,CHOOSE({1,2},Table12[Native],Table12[Name]),2,0)</f>
        <v>Hăishŭ Qū</v>
      </c>
      <c r="N524" s="15" t="str">
        <f>VLOOKUP(I524,CHOOSE({1,2},Table12[Native],Table12[Name]),2,0)</f>
        <v>Níngbō Shì</v>
      </c>
      <c r="O524" s="15" t="str">
        <f t="shared" si="16"/>
        <v>Jiangxia Jiedao (Níngbō Shì)</v>
      </c>
      <c r="P524" s="15" t="str">
        <f t="shared" si="17"/>
        <v>Jiangxia Jiedao (Níngbō Shì)</v>
      </c>
    </row>
    <row r="525" spans="1:16" hidden="1" x14ac:dyDescent="0.25">
      <c r="A525" t="s">
        <v>1914</v>
      </c>
      <c r="B525" t="str">
        <f>IF(COUNTIF(A:A,A525)&gt;1,_xlfn.CONCAT(A525," (",N525,")"),A525)</f>
        <v>Jiànhú Jiēdào</v>
      </c>
      <c r="C525" t="str">
        <f>IF(COUNTIF(B:B,B525)&gt;1,_xlfn.CONCAT(A525," (",M525,")"),B525)</f>
        <v>Jiànhú Jiēdào</v>
      </c>
      <c r="D525" t="s">
        <v>1915</v>
      </c>
      <c r="E525" t="s">
        <v>15</v>
      </c>
      <c r="F525" t="str">
        <f>_xlfn.CONCAT(D525,", ",H525,", ",I525,", ","浙江省")</f>
        <v>鉴湖街道, 越城区, 绍兴市, 浙江省</v>
      </c>
      <c r="G525">
        <v>27455</v>
      </c>
      <c r="H525" t="s">
        <v>2986</v>
      </c>
      <c r="I525" t="s">
        <v>2981</v>
      </c>
      <c r="J525" t="e">
        <f>VLOOKUP(F525,[1]!china_towns_second__2[[Column1]:[Y]],3,FALSE)</f>
        <v>#N/A</v>
      </c>
      <c r="K525" t="e">
        <f>VLOOKUP(F525,[1]!china_towns_second__2[[Column1]:[Y]],2,FALSE)</f>
        <v>#N/A</v>
      </c>
      <c r="L525" t="s">
        <v>4160</v>
      </c>
      <c r="M525" t="str">
        <f>VLOOKUP(H525,CHOOSE({1,2},Table12[Native],Table12[Name]),2,0)</f>
        <v>Yuèchéng Qū</v>
      </c>
      <c r="N525" s="15" t="str">
        <f>VLOOKUP(I525,CHOOSE({1,2},Table12[Native],Table12[Name]),2,0)</f>
        <v>Shàoxīng Shì</v>
      </c>
      <c r="O525" s="15" t="str">
        <f t="shared" si="16"/>
        <v>Jianhu Jiedao (Shàoxīng Shì)</v>
      </c>
      <c r="P525" s="15" t="str">
        <f t="shared" si="17"/>
        <v>Jianhu Jiedao (Shàoxīng Shì)</v>
      </c>
    </row>
    <row r="526" spans="1:16" hidden="1" x14ac:dyDescent="0.25">
      <c r="A526" t="s">
        <v>155</v>
      </c>
      <c r="B526" t="str">
        <f>IF(COUNTIF(A:A,A526)&gt;1,_xlfn.CONCAT(A526," (",N526,")"),A526)</f>
        <v>Jiănqiáo Jiēdào</v>
      </c>
      <c r="C526" t="str">
        <f>IF(COUNTIF(B:B,B526)&gt;1,_xlfn.CONCAT(A526," (",M526,")"),B526)</f>
        <v>Jiănqiáo Jiēdào</v>
      </c>
      <c r="D526" t="s">
        <v>156</v>
      </c>
      <c r="E526" t="s">
        <v>15</v>
      </c>
      <c r="F526" t="str">
        <f>_xlfn.CONCAT(D526,", ",H526,", ",I526,", ","浙江省")</f>
        <v>笕桥街道, 上城区, 杭州市, 浙江省</v>
      </c>
      <c r="G526">
        <v>91654</v>
      </c>
      <c r="H526" t="s">
        <v>2915</v>
      </c>
      <c r="I526" t="s">
        <v>2903</v>
      </c>
      <c r="J526" t="e">
        <f>VLOOKUP(F526,[1]!china_towns_second__2[[Column1]:[Y]],3,FALSE)</f>
        <v>#N/A</v>
      </c>
      <c r="K526" t="e">
        <f>VLOOKUP(F526,[1]!china_towns_second__2[[Column1]:[Y]],2,FALSE)</f>
        <v>#N/A</v>
      </c>
      <c r="L526" t="s">
        <v>4161</v>
      </c>
      <c r="M526" t="str">
        <f>VLOOKUP(H526,CHOOSE({1,2},Table12[Native],Table12[Name]),2,0)</f>
        <v>Shàngchéng Qū</v>
      </c>
      <c r="N526" s="15" t="str">
        <f>VLOOKUP(I526,CHOOSE({1,2},Table12[Native],Table12[Name]),2,0)</f>
        <v>Hángzhōu Shì</v>
      </c>
      <c r="O526" s="15" t="str">
        <f t="shared" si="16"/>
        <v>Jianqiao Jiedao (Hángzhōu Shì)</v>
      </c>
      <c r="P526" s="15" t="str">
        <f t="shared" si="17"/>
        <v>Jianqiao Jiedao (Hángzhōu Shì)</v>
      </c>
    </row>
    <row r="527" spans="1:16" hidden="1" x14ac:dyDescent="0.25">
      <c r="A527" t="s">
        <v>611</v>
      </c>
      <c r="B527" t="str">
        <f>IF(COUNTIF(A:A,A527)&gt;1,_xlfn.CONCAT(A527," (",N527,")"),A527)</f>
        <v>Jiānshān Xīnqū</v>
      </c>
      <c r="C527" t="str">
        <f>IF(COUNTIF(B:B,B527)&gt;1,_xlfn.CONCAT(A527," (",M527,")"),B527)</f>
        <v>Jiānshān Xīnqū</v>
      </c>
      <c r="D527" t="s">
        <v>612</v>
      </c>
      <c r="E527" t="s">
        <v>253</v>
      </c>
      <c r="F527" t="str">
        <f>_xlfn.CONCAT(D527,", ",H527,", ",I527,", ","浙江省")</f>
        <v>尖山新区, 海宁市, 嘉兴市, 浙江省</v>
      </c>
      <c r="G527">
        <v>4818</v>
      </c>
      <c r="H527" t="s">
        <v>2930</v>
      </c>
      <c r="I527" t="s">
        <v>2929</v>
      </c>
      <c r="J527" t="e">
        <f>VLOOKUP(F527,[1]!china_towns_second__2[[Column1]:[Y]],3,FALSE)</f>
        <v>#N/A</v>
      </c>
      <c r="K527" t="e">
        <f>VLOOKUP(F527,[1]!china_towns_second__2[[Column1]:[Y]],2,FALSE)</f>
        <v>#N/A</v>
      </c>
      <c r="L527" t="s">
        <v>4162</v>
      </c>
      <c r="M527" t="str">
        <f>VLOOKUP(H527,CHOOSE({1,2},Table12[Native],Table12[Name]),2,0)</f>
        <v>Hăiníng Shì</v>
      </c>
      <c r="N527" s="15" t="str">
        <f>VLOOKUP(I527,CHOOSE({1,2},Table12[Native],Table12[Name]),2,0)</f>
        <v>Jiāxīng Shì</v>
      </c>
      <c r="O527" s="15" t="str">
        <f t="shared" si="16"/>
        <v>Jianshan Xinqu (Jiāxīng Shì)</v>
      </c>
      <c r="P527" s="15" t="str">
        <f t="shared" si="17"/>
        <v>Jianshan Xinqu (Jiāxīng Shì)</v>
      </c>
    </row>
    <row r="528" spans="1:16" hidden="1" x14ac:dyDescent="0.25">
      <c r="A528" t="s">
        <v>813</v>
      </c>
      <c r="B528" t="str">
        <f>IF(COUNTIF(A:A,A528)&gt;1,_xlfn.CONCAT(A528," (",N528,")"),A528)</f>
        <v>Jiānshān Zhèn [incl. Húzhái Xiāng, Wàncāng Xiāng]</v>
      </c>
      <c r="C528" t="str">
        <f>IF(COUNTIF(B:B,B528)&gt;1,_xlfn.CONCAT(A528," (",M528,")"),B528)</f>
        <v>Jiānshān Zhèn [incl. Húzhái Xiāng, Wàncāng Xiāng]</v>
      </c>
      <c r="D528" t="s">
        <v>814</v>
      </c>
      <c r="E528" t="s">
        <v>11</v>
      </c>
      <c r="F528" t="str">
        <f>_xlfn.CONCAT(D528,", ",H528,", ",I528,", ","浙江省")</f>
        <v>尖山镇, 磐安县, 金华市, 浙江省</v>
      </c>
      <c r="G528">
        <v>28444</v>
      </c>
      <c r="H528" t="s">
        <v>2942</v>
      </c>
      <c r="I528" t="s">
        <v>2938</v>
      </c>
      <c r="J528">
        <f>VLOOKUP(F528,[1]!china_towns_second__2[[Column1]:[Y]],3,FALSE)</f>
        <v>29.227714049700399</v>
      </c>
      <c r="K528">
        <f>VLOOKUP(F528,[1]!china_towns_second__2[[Column1]:[Y]],2,FALSE)</f>
        <v>120.72749589999999</v>
      </c>
      <c r="L528" t="s">
        <v>4163</v>
      </c>
      <c r="M528" t="str">
        <f>VLOOKUP(H528,CHOOSE({1,2},Table12[Native],Table12[Name]),2,0)</f>
        <v>Pán'ān Xiàn</v>
      </c>
      <c r="N528" s="15" t="str">
        <f>VLOOKUP(I528,CHOOSE({1,2},Table12[Native],Table12[Name]),2,0)</f>
        <v>Jīnhuá Shì</v>
      </c>
      <c r="O528" s="15" t="str">
        <f t="shared" si="16"/>
        <v>Jianshan Zhen [incl. Huzhai Xiang, Wancang Xiang] (Jīnhuá Shì)</v>
      </c>
      <c r="P528" s="15" t="str">
        <f t="shared" si="17"/>
        <v>Jianshan Zhen [incl. Huzhai Xiang, Wancang Xiang] (Jīnhuá Shì)</v>
      </c>
    </row>
    <row r="529" spans="1:16" hidden="1" x14ac:dyDescent="0.25">
      <c r="A529" t="s">
        <v>613</v>
      </c>
      <c r="B529" t="str">
        <f>IF(COUNTIF(A:A,A529)&gt;1,_xlfn.CONCAT(A529," (",N529,")"),A529)</f>
        <v>Jiànshè Jiēdào</v>
      </c>
      <c r="C529" t="str">
        <f>IF(COUNTIF(B:B,B529)&gt;1,_xlfn.CONCAT(A529," (",M529,")"),B529)</f>
        <v>Jiànshè Jiēdào</v>
      </c>
      <c r="D529" t="s">
        <v>614</v>
      </c>
      <c r="E529" t="s">
        <v>15</v>
      </c>
      <c r="F529" t="str">
        <f>_xlfn.CONCAT(D529,", ",H529,", ",I529,", ","浙江省")</f>
        <v>建设街道, 南湖区, 嘉兴市, 浙江省</v>
      </c>
      <c r="G529">
        <v>31553</v>
      </c>
      <c r="H529" t="s">
        <v>2933</v>
      </c>
      <c r="I529" t="s">
        <v>2929</v>
      </c>
      <c r="J529">
        <f>VLOOKUP(F529,[1]!china_towns_second__2[[Column1]:[Y]],3,FALSE)</f>
        <v>30.7634349236003</v>
      </c>
      <c r="K529">
        <f>VLOOKUP(F529,[1]!china_towns_second__2[[Column1]:[Y]],2,FALSE)</f>
        <v>120.7461315</v>
      </c>
      <c r="L529" t="s">
        <v>4164</v>
      </c>
      <c r="M529" t="str">
        <f>VLOOKUP(H529,CHOOSE({1,2},Table12[Native],Table12[Name]),2,0)</f>
        <v>Nánhú Qū</v>
      </c>
      <c r="N529" s="15" t="str">
        <f>VLOOKUP(I529,CHOOSE({1,2},Table12[Native],Table12[Name]),2,0)</f>
        <v>Jiāxīng Shì</v>
      </c>
      <c r="O529" s="15" t="str">
        <f t="shared" si="16"/>
        <v>Jianshe Jiedao (Jiāxīng Shì)</v>
      </c>
      <c r="P529" s="15" t="str">
        <f t="shared" si="17"/>
        <v>Jianshe Jiedao (Jiāxīng Shì)</v>
      </c>
    </row>
    <row r="530" spans="1:16" hidden="1" x14ac:dyDescent="0.25">
      <c r="A530" t="s">
        <v>2125</v>
      </c>
      <c r="B530" t="str">
        <f>IF(COUNTIF(A:A,A530)&gt;1,_xlfn.CONCAT(A530," (",N530,")"),A530)</f>
        <v>Jiàntiào Zhèn [incl. Liù'áo Zhèn]</v>
      </c>
      <c r="C530" t="str">
        <f>IF(COUNTIF(B:B,B530)&gt;1,_xlfn.CONCAT(A530," (",M530,")"),B530)</f>
        <v>Jiàntiào Zhèn [incl. Liù'áo Zhèn]</v>
      </c>
      <c r="D530" t="s">
        <v>2126</v>
      </c>
      <c r="E530" t="s">
        <v>11</v>
      </c>
      <c r="F530" t="str">
        <f>_xlfn.CONCAT(D530,", ",H530,", ",I530,", ","浙江省")</f>
        <v>健跳镇, 三门县, 台州市, 浙江省</v>
      </c>
      <c r="G530">
        <v>49504</v>
      </c>
      <c r="H530" t="s">
        <v>2994</v>
      </c>
      <c r="I530" t="s">
        <v>2989</v>
      </c>
      <c r="J530">
        <f>VLOOKUP(F530,[1]!china_towns_second__2[[Column1]:[Y]],3,FALSE)</f>
        <v>29.0344930730889</v>
      </c>
      <c r="K530">
        <f>VLOOKUP(F530,[1]!china_towns_second__2[[Column1]:[Y]],2,FALSE)</f>
        <v>121.6121954</v>
      </c>
      <c r="L530" t="s">
        <v>4165</v>
      </c>
      <c r="M530" t="str">
        <f>VLOOKUP(H530,CHOOSE({1,2},Table12[Native],Table12[Name]),2,0)</f>
        <v>Sānmén Xiàn</v>
      </c>
      <c r="N530" s="15" t="str">
        <f>VLOOKUP(I530,CHOOSE({1,2},Table12[Native],Table12[Name]),2,0)</f>
        <v>Táizhōu Shì</v>
      </c>
      <c r="O530" s="15" t="str">
        <f t="shared" si="16"/>
        <v>Jiantiao Zhen [incl. Liu'ao Zhen] (Táizhōu Shì)</v>
      </c>
      <c r="P530" s="15" t="str">
        <f t="shared" si="17"/>
        <v>Jiantiao Zhen [incl. Liu'ao Zhen] (Táizhōu Shì)</v>
      </c>
    </row>
    <row r="531" spans="1:16" hidden="1" x14ac:dyDescent="0.25">
      <c r="A531" t="s">
        <v>1461</v>
      </c>
      <c r="B531" t="str">
        <f>IF(COUNTIF(A:A,A531)&gt;1,_xlfn.CONCAT(A531," (",N531,")"),A531)</f>
        <v>Jiāochuān Jiēdào</v>
      </c>
      <c r="C531" t="str">
        <f>IF(COUNTIF(B:B,B531)&gt;1,_xlfn.CONCAT(A531," (",M531,")"),B531)</f>
        <v>Jiāochuān Jiēdào</v>
      </c>
      <c r="D531" t="s">
        <v>1462</v>
      </c>
      <c r="E531" t="s">
        <v>15</v>
      </c>
      <c r="F531" t="str">
        <f>_xlfn.CONCAT(D531,", ",H531,", ",I531,", ","浙江省")</f>
        <v>蛟川街道, 镇海区, 宁波市, 浙江省</v>
      </c>
      <c r="G531">
        <v>103000</v>
      </c>
      <c r="H531" t="s">
        <v>2971</v>
      </c>
      <c r="I531" t="s">
        <v>2961</v>
      </c>
      <c r="J531">
        <f>VLOOKUP(F531,[1]!china_towns_second__2[[Column1]:[Y]],3,FALSE)</f>
        <v>29.968690619445901</v>
      </c>
      <c r="K531">
        <f>VLOOKUP(F531,[1]!china_towns_second__2[[Column1]:[Y]],2,FALSE)</f>
        <v>121.67161950000001</v>
      </c>
      <c r="L531" t="s">
        <v>4166</v>
      </c>
      <c r="M531" t="str">
        <f>VLOOKUP(H531,CHOOSE({1,2},Table12[Native],Table12[Name]),2,0)</f>
        <v>Zhènhăi Qū</v>
      </c>
      <c r="N531" s="15" t="str">
        <f>VLOOKUP(I531,CHOOSE({1,2},Table12[Native],Table12[Name]),2,0)</f>
        <v>Níngbō Shì</v>
      </c>
      <c r="O531" s="15" t="str">
        <f t="shared" si="16"/>
        <v>Jiaochuan Jiedao (Níngbō Shì)</v>
      </c>
      <c r="P531" s="15" t="str">
        <f t="shared" si="17"/>
        <v>Jiaochuan Jiedao (Níngbō Shì)</v>
      </c>
    </row>
    <row r="532" spans="1:16" hidden="1" x14ac:dyDescent="0.25">
      <c r="A532" t="s">
        <v>815</v>
      </c>
      <c r="B532" t="str">
        <f>IF(COUNTIF(A:A,A532)&gt;1,_xlfn.CONCAT(A532," (",N532,")"),A532)</f>
        <v>Jiāodào Zhèn</v>
      </c>
      <c r="C532" t="str">
        <f>IF(COUNTIF(B:B,B532)&gt;1,_xlfn.CONCAT(A532," (",M532,")"),B532)</f>
        <v>Jiāodào Zhèn</v>
      </c>
      <c r="D532" t="s">
        <v>816</v>
      </c>
      <c r="E532" t="s">
        <v>11</v>
      </c>
      <c r="F532" t="str">
        <f>_xlfn.CONCAT(D532,", ",H532,", ",I532,", ","浙江省")</f>
        <v>茭道镇, 武义县, 金华市, 浙江省</v>
      </c>
      <c r="G532">
        <v>12599</v>
      </c>
      <c r="H532" t="s">
        <v>2945</v>
      </c>
      <c r="I532" t="s">
        <v>2938</v>
      </c>
      <c r="J532">
        <f>VLOOKUP(F532,[1]!china_towns_second__2[[Column1]:[Y]],3,FALSE)</f>
        <v>29.001685060823</v>
      </c>
      <c r="K532">
        <f>VLOOKUP(F532,[1]!china_towns_second__2[[Column1]:[Y]],2,FALSE)</f>
        <v>119.88468570000001</v>
      </c>
      <c r="L532" t="s">
        <v>4167</v>
      </c>
      <c r="M532" t="str">
        <f>VLOOKUP(H532,CHOOSE({1,2},Table12[Native],Table12[Name]),2,0)</f>
        <v>Wŭyì Xiàn</v>
      </c>
      <c r="N532" s="15" t="str">
        <f>VLOOKUP(I532,CHOOSE({1,2},Table12[Native],Table12[Name]),2,0)</f>
        <v>Jīnhuá Shì</v>
      </c>
      <c r="O532" s="15" t="str">
        <f t="shared" si="16"/>
        <v>Jiaodao Zhen (Jīnhuá Shì)</v>
      </c>
      <c r="P532" s="15" t="str">
        <f t="shared" si="17"/>
        <v>Jiaodao Zhen (Jīnhuá Shì)</v>
      </c>
    </row>
    <row r="533" spans="1:16" hidden="1" x14ac:dyDescent="0.25">
      <c r="A533" t="s">
        <v>2127</v>
      </c>
      <c r="B533" t="str">
        <f>IF(COUNTIF(A:A,A533)&gt;1,_xlfn.CONCAT(A533," (",N533,")"),A533)</f>
        <v>Jiāojiāng Nóngchăng</v>
      </c>
      <c r="C533" t="str">
        <f>IF(COUNTIF(B:B,B533)&gt;1,_xlfn.CONCAT(A533," (",M533,")"),B533)</f>
        <v>Jiāojiāng Nóngchăng</v>
      </c>
      <c r="D533" t="s">
        <v>2128</v>
      </c>
      <c r="E533" t="s">
        <v>253</v>
      </c>
      <c r="F533" t="str">
        <f>_xlfn.CONCAT(D533,", ",H533,", ",I533,", ","浙江省")</f>
        <v>椒江农场, 椒江区, 台州市, 浙江省</v>
      </c>
      <c r="G533">
        <v>3070</v>
      </c>
      <c r="H533" t="s">
        <v>2991</v>
      </c>
      <c r="I533" t="s">
        <v>2989</v>
      </c>
      <c r="J533">
        <f>VLOOKUP(F533,[1]!china_towns_second__2[[Column1]:[Y]],3,FALSE)</f>
        <v>28.619563368291502</v>
      </c>
      <c r="K533">
        <f>VLOOKUP(F533,[1]!china_towns_second__2[[Column1]:[Y]],2,FALSE)</f>
        <v>121.50171109999999</v>
      </c>
      <c r="L533" t="s">
        <v>4168</v>
      </c>
      <c r="M533" t="str">
        <f>VLOOKUP(H533,CHOOSE({1,2},Table12[Native],Table12[Name]),2,0)</f>
        <v>Jiāojiāng Qū</v>
      </c>
      <c r="N533" s="15" t="str">
        <f>VLOOKUP(I533,CHOOSE({1,2},Table12[Native],Table12[Name]),2,0)</f>
        <v>Táizhōu Shì</v>
      </c>
      <c r="O533" s="15" t="str">
        <f t="shared" si="16"/>
        <v>Jiaojiang Nongchang (Táizhōu Shì)</v>
      </c>
      <c r="P533" s="15" t="str">
        <f t="shared" si="17"/>
        <v>Jiaojiang Nongchang (Táizhōu Shì)</v>
      </c>
    </row>
    <row r="534" spans="1:16" hidden="1" x14ac:dyDescent="0.25">
      <c r="A534" t="s">
        <v>1127</v>
      </c>
      <c r="B534" t="str">
        <f>IF(COUNTIF(A:A,A534)&gt;1,_xlfn.CONCAT(A534," (",N534,")"),A534)</f>
        <v>Jiāotān Xiāng</v>
      </c>
      <c r="C534" t="str">
        <f>IF(COUNTIF(B:B,B534)&gt;1,_xlfn.CONCAT(A534," (",M534,")"),B534)</f>
        <v>Jiāotān Xiāng</v>
      </c>
      <c r="D534" t="s">
        <v>1128</v>
      </c>
      <c r="E534" t="s">
        <v>7</v>
      </c>
      <c r="F534" t="str">
        <f>_xlfn.CONCAT(D534,", ",H534,", ",I534,", ","浙江省")</f>
        <v>焦滩乡, 遂昌县, 丽水市, 浙江省</v>
      </c>
      <c r="G534">
        <v>2148</v>
      </c>
      <c r="H534" t="s">
        <v>2958</v>
      </c>
      <c r="I534" t="s">
        <v>2949</v>
      </c>
      <c r="J534" t="e">
        <f>VLOOKUP(F534,[1]!china_towns_second__2[[Column1]:[Y]],3,FALSE)</f>
        <v>#N/A</v>
      </c>
      <c r="K534" t="e">
        <f>VLOOKUP(F534,[1]!china_towns_second__2[[Column1]:[Y]],2,FALSE)</f>
        <v>#N/A</v>
      </c>
      <c r="L534" t="s">
        <v>4169</v>
      </c>
      <c r="M534" t="str">
        <f>VLOOKUP(H534,CHOOSE({1,2},Table12[Native],Table12[Name]),2,0)</f>
        <v>Suìchāng Xiàn</v>
      </c>
      <c r="N534" s="15" t="str">
        <f>VLOOKUP(I534,CHOOSE({1,2},Table12[Native],Table12[Name]),2,0)</f>
        <v>Lìshuĭ Shì</v>
      </c>
      <c r="O534" s="15" t="str">
        <f t="shared" si="16"/>
        <v>Jiaotan Xiang (Lìshuĭ Shì)</v>
      </c>
      <c r="P534" s="15" t="str">
        <f t="shared" si="17"/>
        <v>Jiaotan Xiang (Lìshuĭ Shì)</v>
      </c>
    </row>
    <row r="535" spans="1:16" hidden="1" x14ac:dyDescent="0.25">
      <c r="A535" t="s">
        <v>461</v>
      </c>
      <c r="B535" t="str">
        <f>IF(COUNTIF(A:A,A535)&gt;1,_xlfn.CONCAT(A535," (",N535,")"),A535)</f>
        <v>Jiāpŭ Zhèn</v>
      </c>
      <c r="C535" t="str">
        <f>IF(COUNTIF(B:B,B535)&gt;1,_xlfn.CONCAT(A535," (",M535,")"),B535)</f>
        <v>Jiāpŭ Zhèn</v>
      </c>
      <c r="D535" t="s">
        <v>462</v>
      </c>
      <c r="E535" t="s">
        <v>11</v>
      </c>
      <c r="F535" t="str">
        <f>_xlfn.CONCAT(D535,", ",H535,", ",I535,", ","浙江省")</f>
        <v>夹浦镇, 长兴县, 湖州市, 浙江省</v>
      </c>
      <c r="G535">
        <v>29963</v>
      </c>
      <c r="H535" t="s">
        <v>2924</v>
      </c>
      <c r="I535" t="s">
        <v>2922</v>
      </c>
      <c r="J535">
        <f>VLOOKUP(F535,[1]!china_towns_second__2[[Column1]:[Y]],3,FALSE)</f>
        <v>31.125559827418101</v>
      </c>
      <c r="K535">
        <f>VLOOKUP(F535,[1]!china_towns_second__2[[Column1]:[Y]],2,FALSE)</f>
        <v>119.9049593</v>
      </c>
      <c r="L535" t="s">
        <v>4170</v>
      </c>
      <c r="M535" t="str">
        <f>VLOOKUP(H535,CHOOSE({1,2},Table12[Native],Table12[Name]),2,0)</f>
        <v>Chángxīng Xiàn</v>
      </c>
      <c r="N535" s="15" t="str">
        <f>VLOOKUP(I535,CHOOSE({1,2},Table12[Native],Table12[Name]),2,0)</f>
        <v>Húzhōu Shì</v>
      </c>
      <c r="O535" s="15" t="str">
        <f t="shared" si="16"/>
        <v>Jiapu Zhen (Húzhōu Shì)</v>
      </c>
      <c r="P535" s="15" t="str">
        <f t="shared" si="17"/>
        <v>Jiapu Zhen (Húzhōu Shì)</v>
      </c>
    </row>
    <row r="536" spans="1:16" hidden="1" x14ac:dyDescent="0.25">
      <c r="A536" t="s">
        <v>2129</v>
      </c>
      <c r="B536" t="str">
        <f>IF(COUNTIF(A:A,A536)&gt;1,_xlfn.CONCAT(A536," (",N536,")"),A536)</f>
        <v>Jiāzhĭ Jiēdào</v>
      </c>
      <c r="C536" t="str">
        <f>IF(COUNTIF(B:B,B536)&gt;1,_xlfn.CONCAT(A536," (",M536,")"),B536)</f>
        <v>Jiāzhĭ Jiēdào</v>
      </c>
      <c r="D536" t="s">
        <v>2130</v>
      </c>
      <c r="E536" t="s">
        <v>15</v>
      </c>
      <c r="F536" t="str">
        <f>_xlfn.CONCAT(D536,", ",H536,", ",I536,", ","浙江省")</f>
        <v>葭沚街道, 椒江区, 台州市, 浙江省</v>
      </c>
      <c r="G536">
        <v>117912</v>
      </c>
      <c r="H536" t="s">
        <v>2991</v>
      </c>
      <c r="I536" t="s">
        <v>2989</v>
      </c>
      <c r="J536">
        <f>VLOOKUP(F536,[1]!china_towns_second__2[[Column1]:[Y]],3,FALSE)</f>
        <v>28.6630352948252</v>
      </c>
      <c r="K536">
        <f>VLOOKUP(F536,[1]!china_towns_second__2[[Column1]:[Y]],2,FALSE)</f>
        <v>121.3812575</v>
      </c>
      <c r="L536" t="s">
        <v>4171</v>
      </c>
      <c r="M536" t="str">
        <f>VLOOKUP(H536,CHOOSE({1,2},Table12[Native],Table12[Name]),2,0)</f>
        <v>Jiāojiāng Qū</v>
      </c>
      <c r="N536" s="15" t="str">
        <f>VLOOKUP(I536,CHOOSE({1,2},Table12[Native],Table12[Name]),2,0)</f>
        <v>Táizhōu Shì</v>
      </c>
      <c r="O536" s="15" t="str">
        <f t="shared" si="16"/>
        <v>Jiazhi Jiedao (Táizhōu Shì)</v>
      </c>
      <c r="P536" s="15" t="str">
        <f t="shared" si="17"/>
        <v>Jiazhi Jiedao (Táizhōu Shì)</v>
      </c>
    </row>
    <row r="537" spans="1:16" hidden="1" x14ac:dyDescent="0.25">
      <c r="A537" t="s">
        <v>1916</v>
      </c>
      <c r="B537" t="str">
        <f>IF(COUNTIF(A:A,A537)&gt;1,_xlfn.CONCAT(A537," (",N537,")"),A537)</f>
        <v>Jīdōng Zhèn</v>
      </c>
      <c r="C537" t="str">
        <f>IF(COUNTIF(B:B,B537)&gt;1,_xlfn.CONCAT(A537," (",M537,")"),B537)</f>
        <v>Jīdōng Zhèn</v>
      </c>
      <c r="D537" t="s">
        <v>1917</v>
      </c>
      <c r="E537" t="s">
        <v>11</v>
      </c>
      <c r="F537" t="str">
        <f>_xlfn.CONCAT(D537,", ",H537,", ",I537,", ","浙江省")</f>
        <v>稽东镇, 柯桥区, 绍兴市, 浙江省</v>
      </c>
      <c r="G537">
        <v>19923</v>
      </c>
      <c r="H537" t="s">
        <v>2982</v>
      </c>
      <c r="I537" t="s">
        <v>2981</v>
      </c>
      <c r="J537">
        <f>VLOOKUP(F537,[1]!china_towns_second__2[[Column1]:[Y]],3,FALSE)</f>
        <v>29.771504034766199</v>
      </c>
      <c r="K537">
        <f>VLOOKUP(F537,[1]!china_towns_second__2[[Column1]:[Y]],2,FALSE)</f>
        <v>120.57057639999999</v>
      </c>
      <c r="L537" t="s">
        <v>4172</v>
      </c>
      <c r="M537" t="str">
        <f>VLOOKUP(H537,CHOOSE({1,2},Table12[Native],Table12[Name]),2,0)</f>
        <v>Kēqiáo Qū</v>
      </c>
      <c r="N537" s="15" t="str">
        <f>VLOOKUP(I537,CHOOSE({1,2},Table12[Native],Table12[Name]),2,0)</f>
        <v>Shàoxīng Shì</v>
      </c>
      <c r="O537" s="15" t="str">
        <f t="shared" si="16"/>
        <v>Jidong Zhen (Shàoxīng Shì)</v>
      </c>
      <c r="P537" s="15" t="str">
        <f t="shared" si="17"/>
        <v>Jidong Zhen (Shàoxīng Shì)</v>
      </c>
    </row>
    <row r="538" spans="1:16" hidden="1" x14ac:dyDescent="0.25">
      <c r="A538" t="s">
        <v>615</v>
      </c>
      <c r="B538" t="str">
        <f>IF(COUNTIF(A:A,A538)&gt;1,_xlfn.CONCAT(A538," (",N538,")"),A538)</f>
        <v>Jiĕfàng Jiēdào</v>
      </c>
      <c r="C538" t="str">
        <f>IF(COUNTIF(B:B,B538)&gt;1,_xlfn.CONCAT(A538," (",M538,")"),B538)</f>
        <v>Jiĕfàng Jiēdào</v>
      </c>
      <c r="D538" t="s">
        <v>616</v>
      </c>
      <c r="E538" t="s">
        <v>15</v>
      </c>
      <c r="F538" t="str">
        <f>_xlfn.CONCAT(D538,", ",H538,", ",I538,", ","浙江省")</f>
        <v>解放街道, 南湖区, 嘉兴市, 浙江省</v>
      </c>
      <c r="G538">
        <v>29348</v>
      </c>
      <c r="H538" t="s">
        <v>2933</v>
      </c>
      <c r="I538" t="s">
        <v>2929</v>
      </c>
      <c r="J538">
        <f>VLOOKUP(F538,[1]!china_towns_second__2[[Column1]:[Y]],3,FALSE)</f>
        <v>30.777343934325</v>
      </c>
      <c r="K538">
        <f>VLOOKUP(F538,[1]!china_towns_second__2[[Column1]:[Y]],2,FALSE)</f>
        <v>120.7608278</v>
      </c>
      <c r="L538" t="s">
        <v>4173</v>
      </c>
      <c r="M538" t="str">
        <f>VLOOKUP(H538,CHOOSE({1,2},Table12[Native],Table12[Name]),2,0)</f>
        <v>Nánhú Qū</v>
      </c>
      <c r="N538" s="15" t="str">
        <f>VLOOKUP(I538,CHOOSE({1,2},Table12[Native],Table12[Name]),2,0)</f>
        <v>Jiāxīng Shì</v>
      </c>
      <c r="O538" s="15" t="str">
        <f t="shared" si="16"/>
        <v>Jiefang Jiedao (Jiāxīng Shì)</v>
      </c>
      <c r="P538" s="15" t="str">
        <f t="shared" si="17"/>
        <v>Jiefang Jiedao (Jiāxīng Shì)</v>
      </c>
    </row>
    <row r="539" spans="1:16" hidden="1" x14ac:dyDescent="0.25">
      <c r="A539" t="s">
        <v>2865</v>
      </c>
      <c r="B539" t="str">
        <f>IF(COUNTIF(A:A,A539)&gt;1,_xlfn.CONCAT(A539," (",N539,")"),A539)</f>
        <v>Jiĕfàng Jiēdào [→ Chāngguó Jiēdào, Huánnán Jiēdào]</v>
      </c>
      <c r="C539" t="str">
        <f>IF(COUNTIF(B:B,B539)&gt;1,_xlfn.CONCAT(A539," (",M539,")"),B539)</f>
        <v>Jiĕfàng Jiēdào [→ Chāngguó Jiēdào, Huánnán Jiēdào]</v>
      </c>
      <c r="D539" t="s">
        <v>616</v>
      </c>
      <c r="E539" t="s">
        <v>15</v>
      </c>
      <c r="F539" t="str">
        <f>_xlfn.CONCAT(D539,", ",H539,", ",I539,", ","浙江省")</f>
        <v>解放街道, 定海区, 舟山市, 浙江省</v>
      </c>
      <c r="G539">
        <v>53025</v>
      </c>
      <c r="H539" t="s">
        <v>3015</v>
      </c>
      <c r="I539" t="s">
        <v>3013</v>
      </c>
      <c r="J539" t="e">
        <f>VLOOKUP(F539,[1]!china_towns_second__2[[Column1]:[Y]],3,FALSE)</f>
        <v>#N/A</v>
      </c>
      <c r="K539" t="e">
        <f>VLOOKUP(F539,[1]!china_towns_second__2[[Column1]:[Y]],2,FALSE)</f>
        <v>#N/A</v>
      </c>
      <c r="L539" t="s">
        <v>4174</v>
      </c>
      <c r="M539" t="str">
        <f>VLOOKUP(H539,CHOOSE({1,2},Table12[Native],Table12[Name]),2,0)</f>
        <v>Dìnghăi Qū</v>
      </c>
      <c r="N539" s="15" t="str">
        <f>VLOOKUP(I539,CHOOSE({1,2},Table12[Native],Table12[Name]),2,0)</f>
        <v>Zhōushān Shì</v>
      </c>
      <c r="O539" s="15" t="str">
        <f t="shared" si="16"/>
        <v>Jiefang Jiedao [→ Changguo Jiedao, Huannan Jiedao] (Zhōushān Shì)</v>
      </c>
      <c r="P539" s="15" t="str">
        <f t="shared" si="17"/>
        <v>Jiefang Jiedao [→ Changguo Jiedao, Huannan Jiedao] (Zhōushān Shì)</v>
      </c>
    </row>
    <row r="540" spans="1:16" hidden="1" x14ac:dyDescent="0.25">
      <c r="A540" t="s">
        <v>2435</v>
      </c>
      <c r="B540" t="str">
        <f>IF(COUNTIF(A:A,A540)&gt;1,_xlfn.CONCAT(A540," (",N540,")"),A540)</f>
        <v>Jièkēng Xiāng [→ Xùnzhái Zhèn]</v>
      </c>
      <c r="C540" t="str">
        <f>IF(COUNTIF(B:B,B540)&gt;1,_xlfn.CONCAT(A540," (",M540,")"),B540)</f>
        <v>Jièkēng Xiāng [→ Xùnzhái Zhèn]</v>
      </c>
      <c r="D540" t="s">
        <v>2436</v>
      </c>
      <c r="E540" t="s">
        <v>7</v>
      </c>
      <c r="F540" t="str">
        <f>_xlfn.CONCAT(D540,", ",H540,", ",I540,", ","浙江省")</f>
        <v>界坑乡, 永嘉县, 温州市, 浙江省</v>
      </c>
      <c r="G540">
        <v>3685</v>
      </c>
      <c r="H540" t="s">
        <v>3010</v>
      </c>
      <c r="I540" t="s">
        <v>3000</v>
      </c>
      <c r="J540" t="e">
        <f>VLOOKUP(F540,[1]!china_towns_second__2[[Column1]:[Y]],3,FALSE)</f>
        <v>#N/A</v>
      </c>
      <c r="K540" t="e">
        <f>VLOOKUP(F540,[1]!china_towns_second__2[[Column1]:[Y]],2,FALSE)</f>
        <v>#N/A</v>
      </c>
      <c r="L540" t="s">
        <v>4175</v>
      </c>
      <c r="M540" t="str">
        <f>VLOOKUP(H540,CHOOSE({1,2},Table12[Native],Table12[Name]),2,0)</f>
        <v>Yŏngjiā Xiàn</v>
      </c>
      <c r="N540" s="15" t="str">
        <f>VLOOKUP(I540,CHOOSE({1,2},Table12[Native],Table12[Name]),2,0)</f>
        <v>Wēnzhōu Shì</v>
      </c>
      <c r="O540" s="15" t="str">
        <f t="shared" si="16"/>
        <v>Jiekeng Xiang [→ Xunzhai Zhen] (Wēnzhōu Shì)</v>
      </c>
      <c r="P540" s="15" t="str">
        <f t="shared" si="17"/>
        <v>Jiekeng Xiang [→ Xunzhai Zhen] (Wēnzhōu Shì)</v>
      </c>
    </row>
    <row r="541" spans="1:16" hidden="1" x14ac:dyDescent="0.25">
      <c r="A541" t="s">
        <v>157</v>
      </c>
      <c r="B541" t="str">
        <f>IF(COUNTIF(A:A,A541)&gt;1,_xlfn.CONCAT(A541," (",N541,")"),A541)</f>
        <v>Jièshŏu Xiāng</v>
      </c>
      <c r="C541" t="str">
        <f>IF(COUNTIF(B:B,B541)&gt;1,_xlfn.CONCAT(A541," (",M541,")"),B541)</f>
        <v>Jièshŏu Xiāng</v>
      </c>
      <c r="D541" t="s">
        <v>158</v>
      </c>
      <c r="E541" t="s">
        <v>7</v>
      </c>
      <c r="F541" t="str">
        <f>_xlfn.CONCAT(D541,", ",H541,", ",I541,", ","浙江省")</f>
        <v>界首乡, 淳安县, 杭州市, 浙江省</v>
      </c>
      <c r="G541">
        <v>5154</v>
      </c>
      <c r="H541" t="s">
        <v>2907</v>
      </c>
      <c r="I541" t="s">
        <v>2903</v>
      </c>
      <c r="J541" t="e">
        <f>VLOOKUP(F541,[1]!china_towns_second__2[[Column1]:[Y]],3,FALSE)</f>
        <v>#N/A</v>
      </c>
      <c r="K541" t="e">
        <f>VLOOKUP(F541,[1]!china_towns_second__2[[Column1]:[Y]],2,FALSE)</f>
        <v>#N/A</v>
      </c>
      <c r="L541" t="s">
        <v>4176</v>
      </c>
      <c r="M541" t="str">
        <f>VLOOKUP(H541,CHOOSE({1,2},Table12[Native],Table12[Name]),2,0)</f>
        <v>Chún'ān Xiàn</v>
      </c>
      <c r="N541" s="15" t="str">
        <f>VLOOKUP(I541,CHOOSE({1,2},Table12[Native],Table12[Name]),2,0)</f>
        <v>Hángzhōu Shì</v>
      </c>
      <c r="O541" s="15" t="str">
        <f t="shared" si="16"/>
        <v>Jieshou Xiang (Hángzhōu Shì)</v>
      </c>
      <c r="P541" s="15" t="str">
        <f t="shared" si="17"/>
        <v>Jieshou Xiang (Hángzhōu Shì)</v>
      </c>
    </row>
    <row r="542" spans="1:16" hidden="1" x14ac:dyDescent="0.25">
      <c r="A542" t="s">
        <v>2131</v>
      </c>
      <c r="B542" t="str">
        <f>IF(COUNTIF(A:A,A542)&gt;1,_xlfn.CONCAT(A542," (",N542,")"),A542)</f>
        <v>Jiētóu Zhèn</v>
      </c>
      <c r="C542" t="str">
        <f>IF(COUNTIF(B:B,B542)&gt;1,_xlfn.CONCAT(A542," (",M542,")"),B542)</f>
        <v>Jiētóu Zhèn</v>
      </c>
      <c r="D542" t="s">
        <v>2132</v>
      </c>
      <c r="E542" t="s">
        <v>11</v>
      </c>
      <c r="F542" t="str">
        <f>_xlfn.CONCAT(D542,", ",H542,", ",I542,", ","浙江省")</f>
        <v>街头镇, 天台县, 台州市, 浙江省</v>
      </c>
      <c r="G542">
        <v>22039</v>
      </c>
      <c r="H542" t="s">
        <v>2995</v>
      </c>
      <c r="I542" t="s">
        <v>2989</v>
      </c>
      <c r="J542">
        <f>VLOOKUP(F542,[1]!china_towns_second__2[[Column1]:[Y]],3,FALSE)</f>
        <v>29.075397031390999</v>
      </c>
      <c r="K542">
        <f>VLOOKUP(F542,[1]!china_towns_second__2[[Column1]:[Y]],2,FALSE)</f>
        <v>120.77512849999999</v>
      </c>
      <c r="L542" t="s">
        <v>4177</v>
      </c>
      <c r="M542" t="str">
        <f>VLOOKUP(H542,CHOOSE({1,2},Table12[Native],Table12[Name]),2,0)</f>
        <v>Tiāntái Xiàn</v>
      </c>
      <c r="N542" s="15" t="str">
        <f>VLOOKUP(I542,CHOOSE({1,2},Table12[Native],Table12[Name]),2,0)</f>
        <v>Táizhōu Shì</v>
      </c>
      <c r="O542" s="15" t="str">
        <f t="shared" si="16"/>
        <v>Jietou Zhen (Táizhōu Shì)</v>
      </c>
      <c r="P542" s="15" t="str">
        <f t="shared" si="17"/>
        <v>Jietou Zhen (Táizhōu Shì)</v>
      </c>
    </row>
    <row r="543" spans="1:16" hidden="1" x14ac:dyDescent="0.25">
      <c r="A543" t="s">
        <v>1918</v>
      </c>
      <c r="B543" t="str">
        <f>IF(COUNTIF(A:A,A543)&gt;1,_xlfn.CONCAT(A543," (",N543,")"),A543)</f>
        <v>Jìnán Jiēdào [incl. Wángjiājĭng Zhèn, Jiētíng Zhèn]</v>
      </c>
      <c r="C543" t="str">
        <f>IF(COUNTIF(B:B,B543)&gt;1,_xlfn.CONCAT(A543," (",M543,")"),B543)</f>
        <v>Jìnán Jiēdào [incl. Wángjiājĭng Zhèn, Jiētíng Zhèn]</v>
      </c>
      <c r="D543" t="s">
        <v>1919</v>
      </c>
      <c r="E543" t="s">
        <v>15</v>
      </c>
      <c r="F543" t="str">
        <f>_xlfn.CONCAT(D543,", ",H543,", ",I543,", ","浙江省")</f>
        <v>暨南街道, 诸暨市, 绍兴市, 浙江省</v>
      </c>
      <c r="G543">
        <v>46463</v>
      </c>
      <c r="H543" t="s">
        <v>2987</v>
      </c>
      <c r="I543" t="s">
        <v>2981</v>
      </c>
      <c r="J543" t="e">
        <f>VLOOKUP(F543,[1]!china_towns_second__2[[Column1]:[Y]],3,FALSE)</f>
        <v>#N/A</v>
      </c>
      <c r="K543" t="e">
        <f>VLOOKUP(F543,[1]!china_towns_second__2[[Column1]:[Y]],2,FALSE)</f>
        <v>#N/A</v>
      </c>
      <c r="L543" t="s">
        <v>4178</v>
      </c>
      <c r="M543" t="str">
        <f>VLOOKUP(H543,CHOOSE({1,2},Table12[Native],Table12[Name]),2,0)</f>
        <v>Zhūjì Shì</v>
      </c>
      <c r="N543" s="15" t="str">
        <f>VLOOKUP(I543,CHOOSE({1,2},Table12[Native],Table12[Name]),2,0)</f>
        <v>Shàoxīng Shì</v>
      </c>
      <c r="O543" s="15" t="str">
        <f t="shared" si="16"/>
        <v>Jinan Jiedao [incl. Wangjiajing Zhen, Jieting Zhen] (Shàoxīng Shì)</v>
      </c>
      <c r="P543" s="15" t="str">
        <f t="shared" si="17"/>
        <v>Jinan Jiedao [incl. Wangjiajing Zhen, Jieting Zhen] (Shàoxīng Shì)</v>
      </c>
    </row>
    <row r="544" spans="1:16" hidden="1" x14ac:dyDescent="0.25">
      <c r="A544" t="s">
        <v>159</v>
      </c>
      <c r="B544" t="str">
        <f>IF(COUNTIF(A:A,A544)&gt;1,_xlfn.CONCAT(A544," (",N544,")"),A544)</f>
        <v>Jĭnchéng Jiēdào</v>
      </c>
      <c r="C544" t="str">
        <f>IF(COUNTIF(B:B,B544)&gt;1,_xlfn.CONCAT(A544," (",M544,")"),B544)</f>
        <v>Jĭnchéng Jiēdào</v>
      </c>
      <c r="D544" t="s">
        <v>160</v>
      </c>
      <c r="E544" t="s">
        <v>15</v>
      </c>
      <c r="F544" t="str">
        <f>_xlfn.CONCAT(D544,", ",H544,", ",I544,", ","浙江省")</f>
        <v>锦城街道, 临安区, 杭州市, 浙江省</v>
      </c>
      <c r="G544">
        <v>176909</v>
      </c>
      <c r="H544" t="s">
        <v>2911</v>
      </c>
      <c r="I544" t="s">
        <v>2903</v>
      </c>
      <c r="J544">
        <f>VLOOKUP(F544,[1]!china_towns_second__2[[Column1]:[Y]],3,FALSE)</f>
        <v>30.237787749469501</v>
      </c>
      <c r="K544">
        <f>VLOOKUP(F544,[1]!china_towns_second__2[[Column1]:[Y]],2,FALSE)</f>
        <v>119.67024720000001</v>
      </c>
      <c r="L544" t="s">
        <v>4179</v>
      </c>
      <c r="M544" t="str">
        <f>VLOOKUP(H544,CHOOSE({1,2},Table12[Native],Table12[Name]),2,0)</f>
        <v>Lín'ān Qū</v>
      </c>
      <c r="N544" s="15" t="str">
        <f>VLOOKUP(I544,CHOOSE({1,2},Table12[Native],Table12[Name]),2,0)</f>
        <v>Hángzhōu Shì</v>
      </c>
      <c r="O544" s="15" t="str">
        <f t="shared" si="16"/>
        <v>Jincheng Jiedao (Hángzhōu Shì)</v>
      </c>
      <c r="P544" s="15" t="str">
        <f t="shared" si="17"/>
        <v>Jincheng Jiedao (Hángzhōu Shì)</v>
      </c>
    </row>
    <row r="545" spans="1:16" hidden="1" x14ac:dyDescent="0.25">
      <c r="A545" t="s">
        <v>2437</v>
      </c>
      <c r="B545" t="str">
        <f>IF(COUNTIF(A:A,A545)&gt;1,_xlfn.CONCAT(A545," (",N545,")"),A545)</f>
        <v>Jīnchuān Xiāng</v>
      </c>
      <c r="C545" t="str">
        <f>IF(COUNTIF(B:B,B545)&gt;1,_xlfn.CONCAT(A545," (",M545,")"),B545)</f>
        <v>Jīnchuān Xiāng</v>
      </c>
      <c r="D545" t="s">
        <v>2438</v>
      </c>
      <c r="E545" t="s">
        <v>7</v>
      </c>
      <c r="F545" t="str">
        <f>_xlfn.CONCAT(D545,", ",H545,", ",I545,", ","浙江省")</f>
        <v>金川乡, 瑞安市, 温州市, 浙江省</v>
      </c>
      <c r="G545">
        <v>3941</v>
      </c>
      <c r="H545" t="s">
        <v>3007</v>
      </c>
      <c r="I545" t="s">
        <v>3000</v>
      </c>
      <c r="J545" t="e">
        <f>VLOOKUP(F545,[1]!china_towns_second__2[[Column1]:[Y]],3,FALSE)</f>
        <v>#N/A</v>
      </c>
      <c r="K545" t="e">
        <f>VLOOKUP(F545,[1]!china_towns_second__2[[Column1]:[Y]],2,FALSE)</f>
        <v>#N/A</v>
      </c>
      <c r="L545" t="s">
        <v>4180</v>
      </c>
      <c r="M545" t="str">
        <f>VLOOKUP(H545,CHOOSE({1,2},Table12[Native],Table12[Name]),2,0)</f>
        <v>Ruì'ān Shì</v>
      </c>
      <c r="N545" s="15" t="str">
        <f>VLOOKUP(I545,CHOOSE({1,2},Table12[Native],Table12[Name]),2,0)</f>
        <v>Wēnzhōu Shì</v>
      </c>
      <c r="O545" s="15" t="str">
        <f t="shared" si="16"/>
        <v>Jinchuan Xiang (Wēnzhōu Shì)</v>
      </c>
      <c r="P545" s="15" t="str">
        <f t="shared" si="17"/>
        <v>Jinchuan Xiang (Wēnzhōu Shì)</v>
      </c>
    </row>
    <row r="546" spans="1:16" hidden="1" x14ac:dyDescent="0.25">
      <c r="A546" t="s">
        <v>161</v>
      </c>
      <c r="B546" t="str">
        <f>IF(COUNTIF(A:A,A546)&gt;1,_xlfn.CONCAT(A546," (",N546,")"),A546)</f>
        <v>Jīnfēng Xiāng</v>
      </c>
      <c r="C546" t="str">
        <f>IF(COUNTIF(B:B,B546)&gt;1,_xlfn.CONCAT(A546," (",M546,")"),B546)</f>
        <v>Jīnfēng Xiāng</v>
      </c>
      <c r="D546" t="s">
        <v>162</v>
      </c>
      <c r="E546" t="s">
        <v>7</v>
      </c>
      <c r="F546" t="str">
        <f>_xlfn.CONCAT(D546,", ",H546,", ",I546,", ","浙江省")</f>
        <v>金峰乡, 淳安县, 杭州市, 浙江省</v>
      </c>
      <c r="G546">
        <v>2664</v>
      </c>
      <c r="H546" t="s">
        <v>2907</v>
      </c>
      <c r="I546" t="s">
        <v>2903</v>
      </c>
      <c r="J546" t="e">
        <f>VLOOKUP(F546,[1]!china_towns_second__2[[Column1]:[Y]],3,FALSE)</f>
        <v>#N/A</v>
      </c>
      <c r="K546" t="e">
        <f>VLOOKUP(F546,[1]!china_towns_second__2[[Column1]:[Y]],2,FALSE)</f>
        <v>#N/A</v>
      </c>
      <c r="L546" t="s">
        <v>4181</v>
      </c>
      <c r="M546" t="str">
        <f>VLOOKUP(H546,CHOOSE({1,2},Table12[Native],Table12[Name]),2,0)</f>
        <v>Chún'ān Xiàn</v>
      </c>
      <c r="N546" s="15" t="str">
        <f>VLOOKUP(I546,CHOOSE({1,2},Table12[Native],Table12[Name]),2,0)</f>
        <v>Hángzhōu Shì</v>
      </c>
      <c r="O546" s="15" t="str">
        <f t="shared" si="16"/>
        <v>Jinfeng Xiang (Hángzhōu Shì)</v>
      </c>
      <c r="P546" s="15" t="str">
        <f t="shared" si="17"/>
        <v>Jinfeng Xiang (Hángzhōu Shì)</v>
      </c>
    </row>
    <row r="547" spans="1:16" hidden="1" x14ac:dyDescent="0.25">
      <c r="A547" t="s">
        <v>2439</v>
      </c>
      <c r="B547" t="str">
        <f>IF(COUNTIF(A:A,A547)&gt;1,_xlfn.CONCAT(A547," (",N547,")"),A547)</f>
        <v>Jīnggŭ Xiāng</v>
      </c>
      <c r="C547" t="str">
        <f>IF(COUNTIF(B:B,B547)&gt;1,_xlfn.CONCAT(A547," (",M547,")"),B547)</f>
        <v>Jīnggŭ Xiāng</v>
      </c>
      <c r="D547" t="s">
        <v>2440</v>
      </c>
      <c r="E547" t="s">
        <v>7</v>
      </c>
      <c r="F547" t="str">
        <f>_xlfn.CONCAT(D547,", ",H547,", ",I547,", ","浙江省")</f>
        <v>荆谷乡, 瑞安市, 温州市, 浙江省</v>
      </c>
      <c r="G547">
        <v>10369</v>
      </c>
      <c r="H547" t="s">
        <v>3007</v>
      </c>
      <c r="I547" t="s">
        <v>3000</v>
      </c>
      <c r="J547" t="e">
        <f>VLOOKUP(F547,[1]!china_towns_second__2[[Column1]:[Y]],3,FALSE)</f>
        <v>#N/A</v>
      </c>
      <c r="K547" t="e">
        <f>VLOOKUP(F547,[1]!china_towns_second__2[[Column1]:[Y]],2,FALSE)</f>
        <v>#N/A</v>
      </c>
      <c r="L547" t="s">
        <v>4182</v>
      </c>
      <c r="M547" t="str">
        <f>VLOOKUP(H547,CHOOSE({1,2},Table12[Native],Table12[Name]),2,0)</f>
        <v>Ruì'ān Shì</v>
      </c>
      <c r="N547" s="15" t="str">
        <f>VLOOKUP(I547,CHOOSE({1,2},Table12[Native],Table12[Name]),2,0)</f>
        <v>Wēnzhōu Shì</v>
      </c>
      <c r="O547" s="15" t="str">
        <f t="shared" si="16"/>
        <v>Jinggu Xiang (Wēnzhōu Shì)</v>
      </c>
      <c r="P547" s="15" t="str">
        <f t="shared" si="17"/>
        <v>Jinggu Xiang (Wēnzhōu Shì)</v>
      </c>
    </row>
    <row r="548" spans="1:16" hidden="1" x14ac:dyDescent="0.25">
      <c r="A548" t="s">
        <v>163</v>
      </c>
      <c r="B548" t="str">
        <f>IF(COUNTIF(A:A,A548)&gt;1,_xlfn.CONCAT(A548," (",N548,")"),A548)</f>
        <v>Jìngjiāng Jiēdào</v>
      </c>
      <c r="C548" t="str">
        <f>IF(COUNTIF(B:B,B548)&gt;1,_xlfn.CONCAT(A548," (",M548,")"),B548)</f>
        <v>Jìngjiāng Jiēdào</v>
      </c>
      <c r="D548" t="s">
        <v>164</v>
      </c>
      <c r="E548" t="s">
        <v>15</v>
      </c>
      <c r="F548" t="str">
        <f>_xlfn.CONCAT(D548,", ",H548,", ",I548,", ","浙江省")</f>
        <v>靖江街道, 萧山区, 杭州市, 浙江省</v>
      </c>
      <c r="G548">
        <v>41601</v>
      </c>
      <c r="H548" t="s">
        <v>2917</v>
      </c>
      <c r="I548" t="s">
        <v>2903</v>
      </c>
      <c r="J548">
        <f>VLOOKUP(F548,[1]!china_towns_second__2[[Column1]:[Y]],3,FALSE)</f>
        <v>30.2371529854477</v>
      </c>
      <c r="K548">
        <f>VLOOKUP(F548,[1]!china_towns_second__2[[Column1]:[Y]],2,FALSE)</f>
        <v>120.4711582</v>
      </c>
      <c r="L548" t="s">
        <v>4183</v>
      </c>
      <c r="M548" t="str">
        <f>VLOOKUP(H548,CHOOSE({1,2},Table12[Native],Table12[Name]),2,0)</f>
        <v>Xiāoshān Qū</v>
      </c>
      <c r="N548" s="15" t="str">
        <f>VLOOKUP(I548,CHOOSE({1,2},Table12[Native],Table12[Name]),2,0)</f>
        <v>Hángzhōu Shì</v>
      </c>
      <c r="O548" s="15" t="str">
        <f t="shared" si="16"/>
        <v>Jingjiang Jiedao (Hángzhōu Shì)</v>
      </c>
      <c r="P548" s="15" t="str">
        <f t="shared" si="17"/>
        <v>Jingjiang Jiedao (Hángzhōu Shì)</v>
      </c>
    </row>
    <row r="549" spans="1:16" hidden="1" x14ac:dyDescent="0.25">
      <c r="A549" t="s">
        <v>1920</v>
      </c>
      <c r="B549" t="str">
        <f>IF(COUNTIF(A:A,A549)&gt;1,_xlfn.CONCAT(A549," (",N549,")"),A549)</f>
        <v>Jìnglĭng Zhèn</v>
      </c>
      <c r="C549" t="str">
        <f>IF(COUNTIF(B:B,B549)&gt;1,_xlfn.CONCAT(A549," (",M549,")"),B549)</f>
        <v>Jìnglĭng Zhèn</v>
      </c>
      <c r="D549" t="s">
        <v>1921</v>
      </c>
      <c r="E549" t="s">
        <v>11</v>
      </c>
      <c r="F549" t="str">
        <f>_xlfn.CONCAT(D549,", ",H549,", ",I549,", ","浙江省")</f>
        <v>镜岭镇, 新昌县, 绍兴市, 浙江省</v>
      </c>
      <c r="G549">
        <v>16731</v>
      </c>
      <c r="H549" t="s">
        <v>2985</v>
      </c>
      <c r="I549" t="s">
        <v>2981</v>
      </c>
      <c r="J549">
        <f>VLOOKUP(F549,[1]!china_towns_second__2[[Column1]:[Y]],3,FALSE)</f>
        <v>29.349030498286101</v>
      </c>
      <c r="K549">
        <f>VLOOKUP(F549,[1]!china_towns_second__2[[Column1]:[Y]],2,FALSE)</f>
        <v>120.7606318</v>
      </c>
      <c r="L549" t="s">
        <v>4184</v>
      </c>
      <c r="M549" t="str">
        <f>VLOOKUP(H549,CHOOSE({1,2},Table12[Native],Table12[Name]),2,0)</f>
        <v>Xīnchāng Xiàn</v>
      </c>
      <c r="N549" s="15" t="str">
        <f>VLOOKUP(I549,CHOOSE({1,2},Table12[Native],Table12[Name]),2,0)</f>
        <v>Shàoxīng Shì</v>
      </c>
      <c r="O549" s="15" t="str">
        <f t="shared" si="16"/>
        <v>Jingling Zhen (Shàoxīng Shì)</v>
      </c>
      <c r="P549" s="15" t="str">
        <f t="shared" si="17"/>
        <v>Jingling Zhen (Shàoxīng Shì)</v>
      </c>
    </row>
    <row r="550" spans="1:16" hidden="1" x14ac:dyDescent="0.25">
      <c r="A550" t="s">
        <v>1129</v>
      </c>
      <c r="B550" t="str">
        <f>IF(COUNTIF(A:A,A550)&gt;1,_xlfn.CONCAT(A550," (",N550,")"),A550)</f>
        <v>Jĭngnán Xiāng</v>
      </c>
      <c r="C550" t="str">
        <f>IF(COUNTIF(B:B,B550)&gt;1,_xlfn.CONCAT(A550," (",M550,")"),B550)</f>
        <v>Jĭngnán Xiāng</v>
      </c>
      <c r="D550" t="s">
        <v>1130</v>
      </c>
      <c r="E550" t="s">
        <v>7</v>
      </c>
      <c r="F550" t="str">
        <f>_xlfn.CONCAT(D550,", ",H550,", ",I550,", ","浙江省")</f>
        <v>景南乡, 景宁畲族自治县, 丽水市, 浙江省</v>
      </c>
      <c r="G550">
        <v>2689</v>
      </c>
      <c r="H550" t="s">
        <v>2951</v>
      </c>
      <c r="I550" t="s">
        <v>2949</v>
      </c>
      <c r="J550" t="e">
        <f>VLOOKUP(F550,[1]!china_towns_second__2[[Column1]:[Y]],3,FALSE)</f>
        <v>#N/A</v>
      </c>
      <c r="K550" t="e">
        <f>VLOOKUP(F550,[1]!china_towns_second__2[[Column1]:[Y]],2,FALSE)</f>
        <v>#N/A</v>
      </c>
      <c r="L550" t="s">
        <v>4185</v>
      </c>
      <c r="M550" t="str">
        <f>VLOOKUP(H550,CHOOSE({1,2},Table12[Native],Table12[Name]),2,0)</f>
        <v>Jĭngníng Shēzú Zìzhìxiàn</v>
      </c>
      <c r="N550" s="15" t="str">
        <f>VLOOKUP(I550,CHOOSE({1,2},Table12[Native],Table12[Name]),2,0)</f>
        <v>Lìshuĭ Shì</v>
      </c>
      <c r="O550" s="15" t="str">
        <f t="shared" si="16"/>
        <v>Jingnan Xiang (Lìshuĭ Shì)</v>
      </c>
      <c r="P550" s="15" t="str">
        <f t="shared" si="17"/>
        <v>Jingnan Xiang (Lìshuĭ Shì)</v>
      </c>
    </row>
    <row r="551" spans="1:16" hidden="1" x14ac:dyDescent="0.25">
      <c r="A551" t="s">
        <v>2441</v>
      </c>
      <c r="B551" t="str">
        <f>IF(COUNTIF(A:A,A551)&gt;1,_xlfn.CONCAT(A551," (",N551,")"),A551)</f>
        <v>Jĭngshān Jiēdào</v>
      </c>
      <c r="C551" t="str">
        <f>IF(COUNTIF(B:B,B551)&gt;1,_xlfn.CONCAT(A551," (",M551,")"),B551)</f>
        <v>Jĭngshān Jiēdào</v>
      </c>
      <c r="D551" t="s">
        <v>2442</v>
      </c>
      <c r="E551" t="s">
        <v>15</v>
      </c>
      <c r="F551" t="str">
        <f>_xlfn.CONCAT(D551,", ",H551,", ",I551,", ","浙江省")</f>
        <v>景山街道, 瓯海区, 温州市, 浙江省</v>
      </c>
      <c r="G551">
        <v>38079</v>
      </c>
      <c r="H551" t="s">
        <v>3005</v>
      </c>
      <c r="I551" t="s">
        <v>3000</v>
      </c>
      <c r="J551">
        <f>VLOOKUP(F551,[1]!china_towns_second__2[[Column1]:[Y]],3,FALSE)</f>
        <v>28.000258760779801</v>
      </c>
      <c r="K551">
        <f>VLOOKUP(F551,[1]!china_towns_second__2[[Column1]:[Y]],2,FALSE)</f>
        <v>120.6304164</v>
      </c>
      <c r="L551" t="s">
        <v>4186</v>
      </c>
      <c r="M551" t="str">
        <f>VLOOKUP(H551,CHOOSE({1,2},Table12[Native],Table12[Name]),2,0)</f>
        <v>Ōuhăi Qū</v>
      </c>
      <c r="N551" s="15" t="str">
        <f>VLOOKUP(I551,CHOOSE({1,2},Table12[Native],Table12[Name]),2,0)</f>
        <v>Wēnzhōu Shì</v>
      </c>
      <c r="O551" s="15" t="str">
        <f t="shared" si="16"/>
        <v>Jingshan Jiedao (Wēnzhōu Shì)</v>
      </c>
      <c r="P551" s="15" t="str">
        <f t="shared" si="17"/>
        <v>Jingshan Jiedao (Wēnzhōu Shì)</v>
      </c>
    </row>
    <row r="552" spans="1:16" hidden="1" x14ac:dyDescent="0.25">
      <c r="A552" t="s">
        <v>165</v>
      </c>
      <c r="B552" t="str">
        <f>IF(COUNTIF(A:A,A552)&gt;1,_xlfn.CONCAT(A552," (",N552,")"),A552)</f>
        <v>Jìngshān Zhèn</v>
      </c>
      <c r="C552" t="str">
        <f>IF(COUNTIF(B:B,B552)&gt;1,_xlfn.CONCAT(A552," (",M552,")"),B552)</f>
        <v>Jìngshān Zhèn</v>
      </c>
      <c r="D552" t="s">
        <v>166</v>
      </c>
      <c r="E552" t="s">
        <v>11</v>
      </c>
      <c r="F552" t="str">
        <f>_xlfn.CONCAT(D552,", ",H552,", ",I552,", ","浙江省")</f>
        <v>径山镇, 余杭区, 杭州市, 浙江省</v>
      </c>
      <c r="G552">
        <v>33408</v>
      </c>
      <c r="H552" t="s">
        <v>2919</v>
      </c>
      <c r="I552" t="s">
        <v>2903</v>
      </c>
      <c r="J552">
        <f>VLOOKUP(F552,[1]!china_towns_second__2[[Column1]:[Y]],3,FALSE)</f>
        <v>30.373256413442</v>
      </c>
      <c r="K552">
        <f>VLOOKUP(F552,[1]!china_towns_second__2[[Column1]:[Y]],2,FALSE)</f>
        <v>119.8301549</v>
      </c>
      <c r="L552" t="s">
        <v>4187</v>
      </c>
      <c r="M552" t="str">
        <f>VLOOKUP(H552,CHOOSE({1,2},Table12[Native],Table12[Name]),2,0)</f>
        <v>Yúháng Qū</v>
      </c>
      <c r="N552" s="15" t="str">
        <f>VLOOKUP(I552,CHOOSE({1,2},Table12[Native],Table12[Name]),2,0)</f>
        <v>Hángzhōu Shì</v>
      </c>
      <c r="O552" s="15" t="str">
        <f t="shared" si="16"/>
        <v>Jingshan Zhen (Hángzhōu Shì)</v>
      </c>
      <c r="P552" s="15" t="str">
        <f t="shared" si="17"/>
        <v>Jingshan Zhen (Hángzhōu Shì)</v>
      </c>
    </row>
    <row r="553" spans="1:16" hidden="1" x14ac:dyDescent="0.25">
      <c r="A553" t="s">
        <v>2443</v>
      </c>
      <c r="B553" t="str">
        <f>IF(COUNTIF(A:A,A553)&gt;1,_xlfn.CONCAT(A553," (",N553,")"),A553)</f>
        <v>Jĭnhú Jiēdào</v>
      </c>
      <c r="C553" t="str">
        <f>IF(COUNTIF(B:B,B553)&gt;1,_xlfn.CONCAT(A553," (",M553,")"),B553)</f>
        <v>Jĭnhú Jiēdào</v>
      </c>
      <c r="D553" t="s">
        <v>2444</v>
      </c>
      <c r="E553" t="s">
        <v>15</v>
      </c>
      <c r="F553" t="str">
        <f>_xlfn.CONCAT(D553,", ",H553,", ",I553,", ","浙江省")</f>
        <v>锦湖街道, 瑞安市, 温州市, 浙江省</v>
      </c>
      <c r="G553">
        <v>67776</v>
      </c>
      <c r="H553" t="s">
        <v>3007</v>
      </c>
      <c r="I553" t="s">
        <v>3000</v>
      </c>
      <c r="J553">
        <f>VLOOKUP(F553,[1]!china_towns_second__2[[Column1]:[Y]],3,FALSE)</f>
        <v>27.8298195896175</v>
      </c>
      <c r="K553">
        <f>VLOOKUP(F553,[1]!china_towns_second__2[[Column1]:[Y]],2,FALSE)</f>
        <v>120.60564119999999</v>
      </c>
      <c r="L553" t="s">
        <v>4188</v>
      </c>
      <c r="M553" t="str">
        <f>VLOOKUP(H553,CHOOSE({1,2},Table12[Native],Table12[Name]),2,0)</f>
        <v>Ruì'ān Shì</v>
      </c>
      <c r="N553" s="15" t="str">
        <f>VLOOKUP(I553,CHOOSE({1,2},Table12[Native],Table12[Name]),2,0)</f>
        <v>Wēnzhōu Shì</v>
      </c>
      <c r="O553" s="15" t="str">
        <f t="shared" si="16"/>
        <v>Jinhu Jiedao (Wēnzhōu Shì)</v>
      </c>
      <c r="P553" s="15" t="str">
        <f t="shared" si="17"/>
        <v>Jinhu Jiedao (Wēnzhōu Shì)</v>
      </c>
    </row>
    <row r="554" spans="1:16" hidden="1" x14ac:dyDescent="0.25">
      <c r="A554" t="s">
        <v>167</v>
      </c>
      <c r="B554" t="str">
        <f>IF(COUNTIF(A:A,A554)&gt;1,_xlfn.CONCAT(A554," (",N554,")"),A554)</f>
        <v>Jìnhuà Zhèn</v>
      </c>
      <c r="C554" t="str">
        <f>IF(COUNTIF(B:B,B554)&gt;1,_xlfn.CONCAT(A554," (",M554,")"),B554)</f>
        <v>Jìnhuà Zhèn</v>
      </c>
      <c r="D554" t="s">
        <v>168</v>
      </c>
      <c r="E554" t="s">
        <v>11</v>
      </c>
      <c r="F554" t="str">
        <f>_xlfn.CONCAT(D554,", ",H554,", ",I554,", ","浙江省")</f>
        <v>进化镇, 萧山区, 杭州市, 浙江省</v>
      </c>
      <c r="G554">
        <v>46401</v>
      </c>
      <c r="H554" t="s">
        <v>2917</v>
      </c>
      <c r="I554" t="s">
        <v>2903</v>
      </c>
      <c r="J554">
        <f>VLOOKUP(F554,[1]!china_towns_second__2[[Column1]:[Y]],3,FALSE)</f>
        <v>29.998092585332198</v>
      </c>
      <c r="K554">
        <f>VLOOKUP(F554,[1]!china_towns_second__2[[Column1]:[Y]],2,FALSE)</f>
        <v>120.3053815</v>
      </c>
      <c r="L554" t="s">
        <v>4189</v>
      </c>
      <c r="M554" t="str">
        <f>VLOOKUP(H554,CHOOSE({1,2},Table12[Native],Table12[Name]),2,0)</f>
        <v>Xiāoshān Qū</v>
      </c>
      <c r="N554" s="15" t="str">
        <f>VLOOKUP(I554,CHOOSE({1,2},Table12[Native],Table12[Name]),2,0)</f>
        <v>Hángzhōu Shì</v>
      </c>
      <c r="O554" s="15" t="str">
        <f t="shared" si="16"/>
        <v>Jinhua Zhen (Hángzhōu Shì)</v>
      </c>
      <c r="P554" s="15" t="str">
        <f t="shared" si="17"/>
        <v>Jinhua Zhen (Hángzhōu Shì)</v>
      </c>
    </row>
    <row r="555" spans="1:16" hidden="1" x14ac:dyDescent="0.25">
      <c r="A555" t="s">
        <v>2445</v>
      </c>
      <c r="B555" t="str">
        <f>IF(COUNTIF(A:A,A555)&gt;1,_xlfn.CONCAT(A555," (",N555,")"),A555)</f>
        <v>Jīnlú Xiāng</v>
      </c>
      <c r="C555" t="str">
        <f>IF(COUNTIF(B:B,B555)&gt;1,_xlfn.CONCAT(A555," (",M555,")"),B555)</f>
        <v>Jīnlú Xiāng</v>
      </c>
      <c r="D555" t="s">
        <v>2446</v>
      </c>
      <c r="E555" t="s">
        <v>7</v>
      </c>
      <c r="F555" t="str">
        <f>_xlfn.CONCAT(D555,", ",H555,", ",I555,", ","浙江省")</f>
        <v>金炉乡, 文成县, 温州市, 浙江省</v>
      </c>
      <c r="G555">
        <v>1297</v>
      </c>
      <c r="H555" t="s">
        <v>3009</v>
      </c>
      <c r="I555" t="s">
        <v>3000</v>
      </c>
      <c r="J555" t="e">
        <f>VLOOKUP(F555,[1]!china_towns_second__2[[Column1]:[Y]],3,FALSE)</f>
        <v>#N/A</v>
      </c>
      <c r="K555" t="e">
        <f>VLOOKUP(F555,[1]!china_towns_second__2[[Column1]:[Y]],2,FALSE)</f>
        <v>#N/A</v>
      </c>
      <c r="L555" t="s">
        <v>4190</v>
      </c>
      <c r="M555" t="str">
        <f>VLOOKUP(H555,CHOOSE({1,2},Table12[Native],Table12[Name]),2,0)</f>
        <v>Wénchéng Xiàn</v>
      </c>
      <c r="N555" s="15" t="str">
        <f>VLOOKUP(I555,CHOOSE({1,2},Table12[Native],Table12[Name]),2,0)</f>
        <v>Wēnzhōu Shì</v>
      </c>
      <c r="O555" s="15" t="str">
        <f t="shared" si="16"/>
        <v>Jinlu Xiang (Wēnzhōu Shì)</v>
      </c>
      <c r="P555" s="15" t="str">
        <f t="shared" si="17"/>
        <v>Jinlu Xiang (Wēnzhōu Shì)</v>
      </c>
    </row>
    <row r="556" spans="1:16" hidden="1" x14ac:dyDescent="0.25">
      <c r="A556" t="s">
        <v>169</v>
      </c>
      <c r="B556" t="str">
        <f>IF(COUNTIF(A:A,A556)&gt;1,_xlfn.CONCAT(A556," (",N556,")"),A556)</f>
        <v>Jĭnnán Jiēdào</v>
      </c>
      <c r="C556" t="str">
        <f>IF(COUNTIF(B:B,B556)&gt;1,_xlfn.CONCAT(A556," (",M556,")"),B556)</f>
        <v>Jĭnnán Jiēdào</v>
      </c>
      <c r="D556" t="s">
        <v>170</v>
      </c>
      <c r="E556" t="s">
        <v>15</v>
      </c>
      <c r="F556" t="str">
        <f>_xlfn.CONCAT(D556,", ",H556,", ",I556,", ","浙江省")</f>
        <v>锦南街道, 临安区, 杭州市, 浙江省</v>
      </c>
      <c r="G556">
        <v>17034</v>
      </c>
      <c r="H556" t="s">
        <v>2911</v>
      </c>
      <c r="I556" t="s">
        <v>2903</v>
      </c>
      <c r="J556">
        <f>VLOOKUP(F556,[1]!china_towns_second__2[[Column1]:[Y]],3,FALSE)</f>
        <v>30.178014578291599</v>
      </c>
      <c r="K556">
        <f>VLOOKUP(F556,[1]!china_towns_second__2[[Column1]:[Y]],2,FALSE)</f>
        <v>119.71258709999999</v>
      </c>
      <c r="L556" t="s">
        <v>4191</v>
      </c>
      <c r="M556" t="str">
        <f>VLOOKUP(H556,CHOOSE({1,2},Table12[Native],Table12[Name]),2,0)</f>
        <v>Lín'ān Qū</v>
      </c>
      <c r="N556" s="15" t="str">
        <f>VLOOKUP(I556,CHOOSE({1,2},Table12[Native],Table12[Name]),2,0)</f>
        <v>Hángzhōu Shì</v>
      </c>
      <c r="O556" s="15" t="str">
        <f t="shared" si="16"/>
        <v>Jinnan Jiedao (Hángzhōu Shì)</v>
      </c>
      <c r="P556" s="15" t="str">
        <f t="shared" si="17"/>
        <v>Jinnan Jiedao (Hángzhōu Shì)</v>
      </c>
    </row>
    <row r="557" spans="1:16" hidden="1" x14ac:dyDescent="0.25">
      <c r="A557" t="s">
        <v>1464</v>
      </c>
      <c r="B557" t="str">
        <f>IF(COUNTIF(A:A,A557)&gt;1,_xlfn.CONCAT(A557," (",N557,")"),A557)</f>
        <v>Jĭnpíng Jiēdào</v>
      </c>
      <c r="C557" t="str">
        <f>IF(COUNTIF(B:B,B557)&gt;1,_xlfn.CONCAT(A557," (",M557,")"),B557)</f>
        <v>Jĭnpíng Jiēdào</v>
      </c>
      <c r="D557" t="s">
        <v>1465</v>
      </c>
      <c r="E557" t="s">
        <v>15</v>
      </c>
      <c r="F557" t="str">
        <f>_xlfn.CONCAT(D557,", ",H557,", ",I557,", ","浙江省")</f>
        <v>锦屏街道, 奉化区, 宁波市, 浙江省</v>
      </c>
      <c r="G557">
        <v>97782</v>
      </c>
      <c r="H557" t="s">
        <v>2964</v>
      </c>
      <c r="I557" t="s">
        <v>2961</v>
      </c>
      <c r="J557">
        <f>VLOOKUP(F557,[1]!china_towns_second__2[[Column1]:[Y]],3,FALSE)</f>
        <v>29.6598053957856</v>
      </c>
      <c r="K557">
        <f>VLOOKUP(F557,[1]!china_towns_second__2[[Column1]:[Y]],2,FALSE)</f>
        <v>121.38335480000001</v>
      </c>
      <c r="L557" t="s">
        <v>4192</v>
      </c>
      <c r="M557" t="str">
        <f>VLOOKUP(H557,CHOOSE({1,2},Table12[Native],Table12[Name]),2,0)</f>
        <v>Fènghuà Qū</v>
      </c>
      <c r="N557" s="15" t="str">
        <f>VLOOKUP(I557,CHOOSE({1,2},Table12[Native],Table12[Name]),2,0)</f>
        <v>Níngbō Shì</v>
      </c>
      <c r="O557" s="15" t="str">
        <f t="shared" si="16"/>
        <v>Jinping Jiedao (Níngbō Shì)</v>
      </c>
      <c r="P557" s="15" t="str">
        <f t="shared" si="17"/>
        <v>Jinping Jiedao (Níngbō Shì)</v>
      </c>
    </row>
    <row r="558" spans="1:16" hidden="1" x14ac:dyDescent="0.25">
      <c r="A558" t="s">
        <v>2133</v>
      </c>
      <c r="B558" t="str">
        <f>IF(COUNTIF(A:A,A558)&gt;1,_xlfn.CONCAT(A558," (",N558,")"),A558)</f>
        <v>Jīnqīng Zhèn</v>
      </c>
      <c r="C558" t="str">
        <f>IF(COUNTIF(B:B,B558)&gt;1,_xlfn.CONCAT(A558," (",M558,")"),B558)</f>
        <v>Jīnqīng Zhèn</v>
      </c>
      <c r="D558" t="s">
        <v>2134</v>
      </c>
      <c r="E558" t="s">
        <v>11</v>
      </c>
      <c r="F558" t="str">
        <f>_xlfn.CONCAT(D558,", ",H558,", ",I558,", ","浙江省")</f>
        <v>金清镇, 路桥区, 台州市, 浙江省</v>
      </c>
      <c r="G558">
        <v>111481</v>
      </c>
      <c r="H558" t="s">
        <v>2993</v>
      </c>
      <c r="I558" t="s">
        <v>2989</v>
      </c>
      <c r="J558">
        <f>VLOOKUP(F558,[1]!china_towns_second__2[[Column1]:[Y]],3,FALSE)</f>
        <v>28.507682323992899</v>
      </c>
      <c r="K558">
        <f>VLOOKUP(F558,[1]!china_towns_second__2[[Column1]:[Y]],2,FALSE)</f>
        <v>121.5708683</v>
      </c>
      <c r="L558" t="s">
        <v>4193</v>
      </c>
      <c r="M558" t="str">
        <f>VLOOKUP(H558,CHOOSE({1,2},Table12[Native],Table12[Name]),2,0)</f>
        <v>Lùqiáo Qū</v>
      </c>
      <c r="N558" s="15" t="str">
        <f>VLOOKUP(I558,CHOOSE({1,2},Table12[Native],Table12[Name]),2,0)</f>
        <v>Táizhōu Shì</v>
      </c>
      <c r="O558" s="15" t="str">
        <f t="shared" si="16"/>
        <v>Jinqing Zhen (Táizhōu Shì)</v>
      </c>
      <c r="P558" s="15" t="str">
        <f t="shared" si="17"/>
        <v>Jinqing Zhen (Táizhōu Shì)</v>
      </c>
    </row>
    <row r="559" spans="1:16" hidden="1" x14ac:dyDescent="0.25">
      <c r="A559" t="s">
        <v>1131</v>
      </c>
      <c r="B559" t="str">
        <f>IF(COUNTIF(A:A,A559)&gt;1,_xlfn.CONCAT(A559," (",N559,")"),A559)</f>
        <v>Jĭnshuĭtān Zhèn</v>
      </c>
      <c r="C559" t="str">
        <f>IF(COUNTIF(B:B,B559)&gt;1,_xlfn.CONCAT(A559," (",M559,")"),B559)</f>
        <v>Jĭnshuĭtān Zhèn</v>
      </c>
      <c r="D559" t="s">
        <v>1132</v>
      </c>
      <c r="E559" t="s">
        <v>11</v>
      </c>
      <c r="F559" t="str">
        <f>_xlfn.CONCAT(D559,", ",H559,", ",I559,", ","浙江省")</f>
        <v>紧水滩镇, 云和县, 丽水市, 浙江省</v>
      </c>
      <c r="G559">
        <v>1562</v>
      </c>
      <c r="H559" t="s">
        <v>2959</v>
      </c>
      <c r="I559" t="s">
        <v>2949</v>
      </c>
      <c r="J559">
        <f>VLOOKUP(F559,[1]!china_towns_second__2[[Column1]:[Y]],3,FALSE)</f>
        <v>28.2153485327146</v>
      </c>
      <c r="K559">
        <f>VLOOKUP(F559,[1]!china_towns_second__2[[Column1]:[Y]],2,FALSE)</f>
        <v>119.50942329999999</v>
      </c>
      <c r="L559" t="s">
        <v>4194</v>
      </c>
      <c r="M559" t="str">
        <f>VLOOKUP(H559,CHOOSE({1,2},Table12[Native],Table12[Name]),2,0)</f>
        <v>Yúnhé Xiàn</v>
      </c>
      <c r="N559" s="15" t="str">
        <f>VLOOKUP(I559,CHOOSE({1,2},Table12[Native],Table12[Name]),2,0)</f>
        <v>Lìshuĭ Shì</v>
      </c>
      <c r="O559" s="15" t="str">
        <f t="shared" si="16"/>
        <v>Jinshuitan Zhen (Lìshuĭ Shì)</v>
      </c>
      <c r="P559" s="15" t="str">
        <f t="shared" si="17"/>
        <v>Jinshuitan Zhen (Lìshuĭ Shì)</v>
      </c>
    </row>
    <row r="560" spans="1:16" hidden="1" x14ac:dyDescent="0.25">
      <c r="A560" t="s">
        <v>2866</v>
      </c>
      <c r="B560" t="str">
        <f>IF(COUNTIF(A:A,A560)&gt;1,_xlfn.CONCAT(A560," (",N560,")"),A560)</f>
        <v>Jīntáng Zhèn</v>
      </c>
      <c r="C560" t="str">
        <f>IF(COUNTIF(B:B,B560)&gt;1,_xlfn.CONCAT(A560," (",M560,")"),B560)</f>
        <v>Jīntáng Zhèn</v>
      </c>
      <c r="D560" t="s">
        <v>2867</v>
      </c>
      <c r="E560" t="s">
        <v>11</v>
      </c>
      <c r="F560" t="str">
        <f>_xlfn.CONCAT(D560,", ",H560,", ",I560,", ","浙江省")</f>
        <v>金塘镇, 定海区, 舟山市, 浙江省</v>
      </c>
      <c r="G560">
        <v>38106</v>
      </c>
      <c r="H560" t="s">
        <v>3015</v>
      </c>
      <c r="I560" t="s">
        <v>3013</v>
      </c>
      <c r="J560">
        <f>VLOOKUP(F560,[1]!china_towns_second__2[[Column1]:[Y]],3,FALSE)</f>
        <v>30.0297304676679</v>
      </c>
      <c r="K560">
        <f>VLOOKUP(F560,[1]!china_towns_second__2[[Column1]:[Y]],2,FALSE)</f>
        <v>121.87565480000001</v>
      </c>
      <c r="L560" t="s">
        <v>4195</v>
      </c>
      <c r="M560" t="str">
        <f>VLOOKUP(H560,CHOOSE({1,2},Table12[Native],Table12[Name]),2,0)</f>
        <v>Dìnghăi Qū</v>
      </c>
      <c r="N560" s="15" t="str">
        <f>VLOOKUP(I560,CHOOSE({1,2},Table12[Native],Table12[Name]),2,0)</f>
        <v>Zhōushān Shì</v>
      </c>
      <c r="O560" s="15" t="str">
        <f t="shared" si="16"/>
        <v>Jintang Zhen (Zhōushān Shì)</v>
      </c>
      <c r="P560" s="15" t="str">
        <f t="shared" si="17"/>
        <v>Jintang Zhen (Zhōushān Shì)</v>
      </c>
    </row>
    <row r="561" spans="1:16" hidden="1" x14ac:dyDescent="0.25">
      <c r="A561" t="s">
        <v>1922</v>
      </c>
      <c r="B561" t="str">
        <f>IF(COUNTIF(A:A,A561)&gt;1,_xlfn.CONCAT(A561," (",N561,")"),A561)</f>
        <v>Jīntíng Zhèn [incl. Bĕizhāng Zhèn]</v>
      </c>
      <c r="C561" t="str">
        <f>IF(COUNTIF(B:B,B561)&gt;1,_xlfn.CONCAT(A561," (",M561,")"),B561)</f>
        <v>Jīntíng Zhèn [incl. Bĕizhāng Zhèn]</v>
      </c>
      <c r="D561" t="s">
        <v>1923</v>
      </c>
      <c r="E561" t="s">
        <v>11</v>
      </c>
      <c r="F561" t="str">
        <f>_xlfn.CONCAT(D561,", ",H561,", ",I561,", ","浙江省")</f>
        <v>金庭镇, 嵊州市, 绍兴市, 浙江省</v>
      </c>
      <c r="G561">
        <v>32157</v>
      </c>
      <c r="H561" t="s">
        <v>2984</v>
      </c>
      <c r="I561" t="s">
        <v>2981</v>
      </c>
      <c r="J561">
        <f>VLOOKUP(F561,[1]!china_towns_second__2[[Column1]:[Y]],3,FALSE)</f>
        <v>29.5590064564513</v>
      </c>
      <c r="K561">
        <f>VLOOKUP(F561,[1]!china_towns_second__2[[Column1]:[Y]],2,FALSE)</f>
        <v>121.0443357</v>
      </c>
      <c r="L561" t="s">
        <v>4196</v>
      </c>
      <c r="M561" t="str">
        <f>VLOOKUP(H561,CHOOSE({1,2},Table12[Native],Table12[Name]),2,0)</f>
        <v>Shèngzhōu Shì</v>
      </c>
      <c r="N561" s="15" t="str">
        <f>VLOOKUP(I561,CHOOSE({1,2},Table12[Native],Table12[Name]),2,0)</f>
        <v>Shàoxīng Shì</v>
      </c>
      <c r="O561" s="15" t="str">
        <f t="shared" si="16"/>
        <v>Jinting Zhen [incl. Beizhang Zhen] (Shàoxīng Shì)</v>
      </c>
      <c r="P561" s="15" t="str">
        <f t="shared" si="17"/>
        <v>Jinting Zhen [incl. Beizhang Zhen] (Shàoxīng Shì)</v>
      </c>
    </row>
    <row r="562" spans="1:16" hidden="1" x14ac:dyDescent="0.25">
      <c r="A562" t="s">
        <v>1133</v>
      </c>
      <c r="B562" t="str">
        <f>IF(COUNTIF(A:A,A562)&gt;1,_xlfn.CONCAT(A562," (",N562,")"),A562)</f>
        <v>Jĭnxī Zhèn</v>
      </c>
      <c r="C562" t="str">
        <f>IF(COUNTIF(B:B,B562)&gt;1,_xlfn.CONCAT(A562," (",M562,")"),B562)</f>
        <v>Jĭnxī Zhèn</v>
      </c>
      <c r="D562" t="s">
        <v>1134</v>
      </c>
      <c r="E562" t="s">
        <v>11</v>
      </c>
      <c r="F562" t="str">
        <f>_xlfn.CONCAT(D562,", ",H562,", ",I562,", ","浙江省")</f>
        <v>锦溪镇, 龙泉市, 丽水市, 浙江省</v>
      </c>
      <c r="G562">
        <v>7472</v>
      </c>
      <c r="H562" t="s">
        <v>2954</v>
      </c>
      <c r="I562" t="s">
        <v>2949</v>
      </c>
      <c r="J562">
        <f>VLOOKUP(F562,[1]!china_towns_second__2[[Column1]:[Y]],3,FALSE)</f>
        <v>28.111445517792198</v>
      </c>
      <c r="K562">
        <f>VLOOKUP(F562,[1]!china_towns_second__2[[Column1]:[Y]],2,FALSE)</f>
        <v>118.9576579</v>
      </c>
      <c r="L562" t="s">
        <v>4197</v>
      </c>
      <c r="M562" t="str">
        <f>VLOOKUP(H562,CHOOSE({1,2},Table12[Native],Table12[Name]),2,0)</f>
        <v>Lóngquán Shì</v>
      </c>
      <c r="N562" s="15" t="str">
        <f>VLOOKUP(I562,CHOOSE({1,2},Table12[Native],Table12[Name]),2,0)</f>
        <v>Lìshuĭ Shì</v>
      </c>
      <c r="O562" s="15" t="str">
        <f t="shared" si="16"/>
        <v>Jinxi Zhen (Lìshuĭ Shì)</v>
      </c>
      <c r="P562" s="15" t="str">
        <f t="shared" si="17"/>
        <v>Jinxi Zhen (Lìshuĭ Shì)</v>
      </c>
    </row>
    <row r="563" spans="1:16" hidden="1" x14ac:dyDescent="0.25">
      <c r="A563" t="s">
        <v>2447</v>
      </c>
      <c r="B563" t="str">
        <f>IF(COUNTIF(A:A,A563)&gt;1,_xlfn.CONCAT(A563," (",N563,")"),A563)</f>
        <v>Jīnxiāng Zhèn</v>
      </c>
      <c r="C563" t="str">
        <f>IF(COUNTIF(B:B,B563)&gt;1,_xlfn.CONCAT(A563," (",M563,")"),B563)</f>
        <v>Jīnxiāng Zhèn</v>
      </c>
      <c r="D563" t="s">
        <v>2448</v>
      </c>
      <c r="E563" t="s">
        <v>11</v>
      </c>
      <c r="F563" t="str">
        <f>_xlfn.CONCAT(D563,", ",H563,", ",I563,", ","浙江省")</f>
        <v>金乡镇, 苍南县, 温州市, 浙江省</v>
      </c>
      <c r="G563">
        <v>85669</v>
      </c>
      <c r="H563" t="s">
        <v>3001</v>
      </c>
      <c r="I563" t="s">
        <v>3000</v>
      </c>
      <c r="J563">
        <f>VLOOKUP(F563,[1]!china_towns_second__2[[Column1]:[Y]],3,FALSE)</f>
        <v>27.422049488474499</v>
      </c>
      <c r="K563">
        <f>VLOOKUP(F563,[1]!china_towns_second__2[[Column1]:[Y]],2,FALSE)</f>
        <v>120.62943799999999</v>
      </c>
      <c r="L563" t="s">
        <v>4198</v>
      </c>
      <c r="M563" t="str">
        <f>VLOOKUP(H563,CHOOSE({1,2},Table12[Native],Table12[Name]),2,0)</f>
        <v>Cāngnán Xiàn</v>
      </c>
      <c r="N563" s="15" t="str">
        <f>VLOOKUP(I563,CHOOSE({1,2},Table12[Native],Table12[Name]),2,0)</f>
        <v>Wēnzhōu Shì</v>
      </c>
      <c r="O563" s="15" t="str">
        <f t="shared" si="16"/>
        <v>Jinxiang Zhen (Wēnzhōu Shì)</v>
      </c>
      <c r="P563" s="15" t="str">
        <f t="shared" si="17"/>
        <v>Jinxiang Zhen (Wēnzhōu Shì)</v>
      </c>
    </row>
    <row r="564" spans="1:16" hidden="1" x14ac:dyDescent="0.25">
      <c r="A564" t="s">
        <v>2449</v>
      </c>
      <c r="B564" t="str">
        <f>IF(COUNTIF(A:A,A564)&gt;1,_xlfn.CONCAT(A564," (",N564,")"),A564)</f>
        <v>Jīnxīng Xiāng</v>
      </c>
      <c r="C564" t="str">
        <f>IF(COUNTIF(B:B,B564)&gt;1,_xlfn.CONCAT(A564," (",M564,")"),B564)</f>
        <v>Jīnxīng Xiāng</v>
      </c>
      <c r="D564" t="s">
        <v>2450</v>
      </c>
      <c r="E564" t="s">
        <v>7</v>
      </c>
      <c r="F564" t="str">
        <f>_xlfn.CONCAT(D564,", ",H564,", ",I564,", ","浙江省")</f>
        <v>金星乡, 文成县, 温州市, 浙江省</v>
      </c>
      <c r="G564">
        <v>2295</v>
      </c>
      <c r="H564" t="s">
        <v>3009</v>
      </c>
      <c r="I564" t="s">
        <v>3000</v>
      </c>
      <c r="J564" t="e">
        <f>VLOOKUP(F564,[1]!china_towns_second__2[[Column1]:[Y]],3,FALSE)</f>
        <v>#N/A</v>
      </c>
      <c r="K564" t="e">
        <f>VLOOKUP(F564,[1]!china_towns_second__2[[Column1]:[Y]],2,FALSE)</f>
        <v>#N/A</v>
      </c>
      <c r="L564" t="s">
        <v>4199</v>
      </c>
      <c r="M564" t="str">
        <f>VLOOKUP(H564,CHOOSE({1,2},Table12[Native],Table12[Name]),2,0)</f>
        <v>Wénchéng Xiàn</v>
      </c>
      <c r="N564" s="15" t="str">
        <f>VLOOKUP(I564,CHOOSE({1,2},Table12[Native],Table12[Name]),2,0)</f>
        <v>Wēnzhōu Shì</v>
      </c>
      <c r="O564" s="15" t="str">
        <f t="shared" si="16"/>
        <v>Jinxing Xiang (Wēnzhōu Shì)</v>
      </c>
      <c r="P564" s="15" t="str">
        <f t="shared" si="17"/>
        <v>Jinxing Xiang (Wēnzhōu Shì)</v>
      </c>
    </row>
    <row r="565" spans="1:16" hidden="1" x14ac:dyDescent="0.25">
      <c r="A565" t="s">
        <v>2451</v>
      </c>
      <c r="B565" t="str">
        <f>IF(COUNTIF(A:A,A565)&gt;1,_xlfn.CONCAT(A565," (",N565,")"),A565)</f>
        <v>Jīnyáng Xiāng</v>
      </c>
      <c r="C565" t="str">
        <f>IF(COUNTIF(B:B,B565)&gt;1,_xlfn.CONCAT(A565," (",M565,")"),B565)</f>
        <v>Jīnyáng Xiāng</v>
      </c>
      <c r="D565" t="s">
        <v>2452</v>
      </c>
      <c r="E565" t="s">
        <v>7</v>
      </c>
      <c r="F565" t="str">
        <f>_xlfn.CONCAT(D565,", ",H565,", ",I565,", ","浙江省")</f>
        <v>金垟乡, 文成县, 温州市, 浙江省</v>
      </c>
      <c r="G565">
        <v>2551</v>
      </c>
      <c r="H565" t="s">
        <v>3009</v>
      </c>
      <c r="I565" t="s">
        <v>3000</v>
      </c>
      <c r="J565" t="e">
        <f>VLOOKUP(F565,[1]!china_towns_second__2[[Column1]:[Y]],3,FALSE)</f>
        <v>#N/A</v>
      </c>
      <c r="K565" t="e">
        <f>VLOOKUP(F565,[1]!china_towns_second__2[[Column1]:[Y]],2,FALSE)</f>
        <v>#N/A</v>
      </c>
      <c r="L565" t="s">
        <v>4200</v>
      </c>
      <c r="M565" t="str">
        <f>VLOOKUP(H565,CHOOSE({1,2},Table12[Native],Table12[Name]),2,0)</f>
        <v>Wénchéng Xiàn</v>
      </c>
      <c r="N565" s="15" t="str">
        <f>VLOOKUP(I565,CHOOSE({1,2},Table12[Native],Table12[Name]),2,0)</f>
        <v>Wēnzhōu Shì</v>
      </c>
      <c r="O565" s="15" t="str">
        <f t="shared" si="16"/>
        <v>Jinyang Xiang (Wēnzhōu Shì)</v>
      </c>
      <c r="P565" s="15" t="str">
        <f t="shared" si="17"/>
        <v>Jinyang Xiang (Wēnzhōu Shì)</v>
      </c>
    </row>
    <row r="566" spans="1:16" hidden="1" x14ac:dyDescent="0.25">
      <c r="A566" t="s">
        <v>1135</v>
      </c>
      <c r="B566" t="str">
        <f>IF(COUNTIF(A:A,A566)&gt;1,_xlfn.CONCAT(A566," (",N566,")"),A566)</f>
        <v>Jīnzhú Zhèn</v>
      </c>
      <c r="C566" t="str">
        <f>IF(COUNTIF(B:B,B566)&gt;1,_xlfn.CONCAT(A566," (",M566,")"),B566)</f>
        <v>Jīnzhú Zhèn</v>
      </c>
      <c r="D566" t="s">
        <v>1136</v>
      </c>
      <c r="E566" t="s">
        <v>11</v>
      </c>
      <c r="F566" t="str">
        <f>_xlfn.CONCAT(D566,", ",H566,", ",I566,", ","浙江省")</f>
        <v>金竹镇, 遂昌县, 丽水市, 浙江省</v>
      </c>
      <c r="G566">
        <v>9687</v>
      </c>
      <c r="H566" t="s">
        <v>2958</v>
      </c>
      <c r="I566" t="s">
        <v>2949</v>
      </c>
      <c r="J566">
        <f>VLOOKUP(F566,[1]!china_towns_second__2[[Column1]:[Y]],3,FALSE)</f>
        <v>28.632082950259498</v>
      </c>
      <c r="K566">
        <f>VLOOKUP(F566,[1]!china_towns_second__2[[Column1]:[Y]],2,FALSE)</f>
        <v>119.05879299999999</v>
      </c>
      <c r="L566" t="s">
        <v>4201</v>
      </c>
      <c r="M566" t="str">
        <f>VLOOKUP(H566,CHOOSE({1,2},Table12[Native],Table12[Name]),2,0)</f>
        <v>Suìchāng Xiàn</v>
      </c>
      <c r="N566" s="15" t="str">
        <f>VLOOKUP(I566,CHOOSE({1,2},Table12[Native],Table12[Name]),2,0)</f>
        <v>Lìshuĭ Shì</v>
      </c>
      <c r="O566" s="15" t="str">
        <f t="shared" si="16"/>
        <v>Jinzhu Zhen (Lìshuĭ Shì)</v>
      </c>
      <c r="P566" s="15" t="str">
        <f t="shared" si="17"/>
        <v>Jinzhu Zhen (Lìshuĭ Shì)</v>
      </c>
    </row>
    <row r="567" spans="1:16" hidden="1" x14ac:dyDescent="0.25">
      <c r="A567" t="s">
        <v>1924</v>
      </c>
      <c r="B567" t="str">
        <f>IF(COUNTIF(A:A,A567)&gt;1,_xlfn.CONCAT(A567," (",N567,")"),A567)</f>
        <v>Jíshān Jiēdào</v>
      </c>
      <c r="C567" t="str">
        <f>IF(COUNTIF(B:B,B567)&gt;1,_xlfn.CONCAT(A567," (",M567,")"),B567)</f>
        <v>Jíshān Jiēdào</v>
      </c>
      <c r="D567" t="s">
        <v>1925</v>
      </c>
      <c r="E567" t="s">
        <v>15</v>
      </c>
      <c r="F567" t="str">
        <f>_xlfn.CONCAT(D567,", ",H567,", ",I567,", ","浙江省")</f>
        <v>蕺山街道, 越城区, 绍兴市, 浙江省</v>
      </c>
      <c r="G567">
        <v>57513</v>
      </c>
      <c r="H567" t="s">
        <v>2986</v>
      </c>
      <c r="I567" t="s">
        <v>2981</v>
      </c>
      <c r="J567">
        <f>VLOOKUP(F567,[1]!china_towns_second__2[[Column1]:[Y]],3,FALSE)</f>
        <v>30.0146085578236</v>
      </c>
      <c r="K567">
        <f>VLOOKUP(F567,[1]!china_towns_second__2[[Column1]:[Y]],2,FALSE)</f>
        <v>120.58874590000001</v>
      </c>
      <c r="L567" t="s">
        <v>4202</v>
      </c>
      <c r="M567" t="str">
        <f>VLOOKUP(H567,CHOOSE({1,2},Table12[Native],Table12[Name]),2,0)</f>
        <v>Yuèchéng Qū</v>
      </c>
      <c r="N567" s="15" t="str">
        <f>VLOOKUP(I567,CHOOSE({1,2},Table12[Native],Table12[Name]),2,0)</f>
        <v>Shàoxīng Shì</v>
      </c>
      <c r="O567" s="15" t="str">
        <f t="shared" si="16"/>
        <v>Jishan Jiedao (Shàoxīng Shì)</v>
      </c>
      <c r="P567" s="15" t="str">
        <f t="shared" si="17"/>
        <v>Jishan Jiedao (Yuèchéng Qū)</v>
      </c>
    </row>
    <row r="568" spans="1:16" hidden="1" x14ac:dyDescent="0.25">
      <c r="A568" t="s">
        <v>1926</v>
      </c>
      <c r="B568" t="str">
        <f>IF(COUNTIF(A:A,A568)&gt;1,_xlfn.CONCAT(A568," (",N568,")"),A568)</f>
        <v>Jīshān Jiēdào</v>
      </c>
      <c r="C568" t="str">
        <f>IF(COUNTIF(B:B,B568)&gt;1,_xlfn.CONCAT(A568," (",M568,")"),B568)</f>
        <v>Jīshān Jiēdào</v>
      </c>
      <c r="D568" t="s">
        <v>1927</v>
      </c>
      <c r="E568" t="s">
        <v>15</v>
      </c>
      <c r="F568" t="str">
        <f>_xlfn.CONCAT(D568,", ",H568,", ",I568,", ","浙江省")</f>
        <v>稽山街道, 越城区, 绍兴市, 浙江省</v>
      </c>
      <c r="G568">
        <v>81048</v>
      </c>
      <c r="H568" t="s">
        <v>2986</v>
      </c>
      <c r="I568" t="s">
        <v>2981</v>
      </c>
      <c r="J568">
        <f>VLOOKUP(F568,[1]!china_towns_second__2[[Column1]:[Y]],3,FALSE)</f>
        <v>29.9719501647055</v>
      </c>
      <c r="K568">
        <f>VLOOKUP(F568,[1]!china_towns_second__2[[Column1]:[Y]],2,FALSE)</f>
        <v>120.6147335</v>
      </c>
      <c r="L568" t="s">
        <v>4202</v>
      </c>
      <c r="M568" t="str">
        <f>VLOOKUP(H568,CHOOSE({1,2},Table12[Native],Table12[Name]),2,0)</f>
        <v>Yuèchéng Qū</v>
      </c>
      <c r="N568" s="15" t="str">
        <f>VLOOKUP(I568,CHOOSE({1,2},Table12[Native],Table12[Name]),2,0)</f>
        <v>Shàoxīng Shì</v>
      </c>
      <c r="O568" s="15" t="str">
        <f t="shared" si="16"/>
        <v>Jishan Jiedao (Shàoxīng Shì)</v>
      </c>
      <c r="P568" s="15" t="str">
        <f t="shared" si="17"/>
        <v>Jishan Jiedao (Yuèchéng Qū)</v>
      </c>
    </row>
    <row r="569" spans="1:16" hidden="1" x14ac:dyDescent="0.25">
      <c r="A569" t="s">
        <v>2135</v>
      </c>
      <c r="B569" t="str">
        <f>IF(COUNTIF(A:A,A569)&gt;1,_xlfn.CONCAT(A569," (",N569,")"),A569)</f>
        <v>Jīshān Xiāng</v>
      </c>
      <c r="C569" t="str">
        <f>IF(COUNTIF(B:B,B569)&gt;1,_xlfn.CONCAT(A569," (",M569,")"),B569)</f>
        <v>Jīshān Xiāng</v>
      </c>
      <c r="D569" t="s">
        <v>2136</v>
      </c>
      <c r="E569" t="s">
        <v>7</v>
      </c>
      <c r="F569" t="str">
        <f>_xlfn.CONCAT(D569,", ",H569,", ",I569,", ","浙江省")</f>
        <v>鸡山乡, 玉环市, 台州市, 浙江省</v>
      </c>
      <c r="G569">
        <v>3384</v>
      </c>
      <c r="H569" t="s">
        <v>2998</v>
      </c>
      <c r="I569" t="s">
        <v>2989</v>
      </c>
      <c r="J569" t="e">
        <f>VLOOKUP(F569,[1]!china_towns_second__2[[Column1]:[Y]],3,FALSE)</f>
        <v>#N/A</v>
      </c>
      <c r="K569" t="e">
        <f>VLOOKUP(F569,[1]!china_towns_second__2[[Column1]:[Y]],2,FALSE)</f>
        <v>#N/A</v>
      </c>
      <c r="L569" t="s">
        <v>4203</v>
      </c>
      <c r="M569" t="str">
        <f>VLOOKUP(H569,CHOOSE({1,2},Table12[Native],Table12[Name]),2,0)</f>
        <v>Yùhuán Shì</v>
      </c>
      <c r="N569" s="15" t="str">
        <f>VLOOKUP(I569,CHOOSE({1,2},Table12[Native],Table12[Name]),2,0)</f>
        <v>Táizhōu Shì</v>
      </c>
      <c r="O569" s="15" t="str">
        <f t="shared" si="16"/>
        <v>Jishan Xiang (Táizhōu Shì)</v>
      </c>
      <c r="P569" s="15" t="str">
        <f t="shared" si="17"/>
        <v>Jishan Xiang (Táizhōu Shì)</v>
      </c>
    </row>
    <row r="570" spans="1:16" hidden="1" x14ac:dyDescent="0.25">
      <c r="A570" t="s">
        <v>1466</v>
      </c>
      <c r="B570" t="str">
        <f>IF(COUNTIF(A:A,A570)&gt;1,_xlfn.CONCAT(A570," (",N570,")"),A570)</f>
        <v>Jíshìgăng Jiēdào</v>
      </c>
      <c r="C570" t="str">
        <f>IF(COUNTIF(B:B,B570)&gt;1,_xlfn.CONCAT(A570," (",M570,")"),B570)</f>
        <v>Jíshìgăng Jiēdào</v>
      </c>
      <c r="D570" t="s">
        <v>1467</v>
      </c>
      <c r="E570" t="s">
        <v>15</v>
      </c>
      <c r="F570" t="str">
        <f>_xlfn.CONCAT(D570,", ",H570,", ",I570,", ","浙江省")</f>
        <v>集仕街道, 海曙区, 宁波市, 浙江省</v>
      </c>
      <c r="G570">
        <v>55907</v>
      </c>
      <c r="H570" t="s">
        <v>2965</v>
      </c>
      <c r="I570" t="s">
        <v>2961</v>
      </c>
      <c r="J570" t="e">
        <f>VLOOKUP(F570,[1]!china_towns_second__2[[Column1]:[Y]],3,FALSE)</f>
        <v>#N/A</v>
      </c>
      <c r="K570" t="e">
        <f>VLOOKUP(F570,[1]!china_towns_second__2[[Column1]:[Y]],2,FALSE)</f>
        <v>#N/A</v>
      </c>
      <c r="L570" t="s">
        <v>4204</v>
      </c>
      <c r="M570" t="str">
        <f>VLOOKUP(H570,CHOOSE({1,2},Table12[Native],Table12[Name]),2,0)</f>
        <v>Hăishŭ Qū</v>
      </c>
      <c r="N570" s="15" t="str">
        <f>VLOOKUP(I570,CHOOSE({1,2},Table12[Native],Table12[Name]),2,0)</f>
        <v>Níngbō Shì</v>
      </c>
      <c r="O570" s="15" t="str">
        <f t="shared" si="16"/>
        <v>Jishigang Jiedao (Níngbō Shì)</v>
      </c>
      <c r="P570" s="15" t="str">
        <f t="shared" si="17"/>
        <v>Jishigang Jiedao (Níngbō Shì)</v>
      </c>
    </row>
    <row r="571" spans="1:16" hidden="1" x14ac:dyDescent="0.25">
      <c r="A571" t="s">
        <v>171</v>
      </c>
      <c r="B571" t="str">
        <f>IF(COUNTIF(A:A,A571)&gt;1,_xlfn.CONCAT(A571," (",N571,")"),A571)</f>
        <v>Jiŭbăo Jiēdào</v>
      </c>
      <c r="C571" t="str">
        <f>IF(COUNTIF(B:B,B571)&gt;1,_xlfn.CONCAT(A571," (",M571,")"),B571)</f>
        <v>Jiŭbăo Jiēdào</v>
      </c>
      <c r="D571" t="s">
        <v>172</v>
      </c>
      <c r="E571" t="s">
        <v>15</v>
      </c>
      <c r="F571" t="str">
        <f>_xlfn.CONCAT(D571,", ",H571,", ",I571,", ","浙江省")</f>
        <v>九堡街道, 上城区, 杭州市, 浙江省</v>
      </c>
      <c r="G571">
        <v>107616</v>
      </c>
      <c r="H571" t="s">
        <v>2915</v>
      </c>
      <c r="I571" t="s">
        <v>2903</v>
      </c>
      <c r="J571" t="e">
        <f>VLOOKUP(F571,[1]!china_towns_second__2[[Column1]:[Y]],3,FALSE)</f>
        <v>#N/A</v>
      </c>
      <c r="K571" t="e">
        <f>VLOOKUP(F571,[1]!china_towns_second__2[[Column1]:[Y]],2,FALSE)</f>
        <v>#N/A</v>
      </c>
      <c r="L571" t="s">
        <v>4205</v>
      </c>
      <c r="M571" t="str">
        <f>VLOOKUP(H571,CHOOSE({1,2},Table12[Native],Table12[Name]),2,0)</f>
        <v>Shàngchéng Qū</v>
      </c>
      <c r="N571" s="15" t="str">
        <f>VLOOKUP(I571,CHOOSE({1,2},Table12[Native],Table12[Name]),2,0)</f>
        <v>Hángzhōu Shì</v>
      </c>
      <c r="O571" s="15" t="str">
        <f t="shared" si="16"/>
        <v>Jiubao Jiedao (Hángzhōu Shì)</v>
      </c>
      <c r="P571" s="15" t="str">
        <f t="shared" si="17"/>
        <v>Jiubao Jiedao (Hángzhōu Shì)</v>
      </c>
    </row>
    <row r="572" spans="1:16" hidden="1" x14ac:dyDescent="0.25">
      <c r="A572" t="s">
        <v>2453</v>
      </c>
      <c r="B572" t="str">
        <f>IF(COUNTIF(A:A,A572)&gt;1,_xlfn.CONCAT(A572," (",N572,")"),A572)</f>
        <v>Jiŭfēng Xiāng</v>
      </c>
      <c r="C572" t="str">
        <f>IF(COUNTIF(B:B,B572)&gt;1,_xlfn.CONCAT(A572," (",M572,")"),B572)</f>
        <v>Jiŭfēng Xiāng</v>
      </c>
      <c r="D572" t="s">
        <v>2454</v>
      </c>
      <c r="E572" t="s">
        <v>7</v>
      </c>
      <c r="F572" t="str">
        <f>_xlfn.CONCAT(D572,", ",H572,", ",I572,", ","浙江省")</f>
        <v>九峰乡, 泰顺县, 温州市, 浙江省</v>
      </c>
      <c r="G572">
        <v>3387</v>
      </c>
      <c r="H572" t="s">
        <v>3008</v>
      </c>
      <c r="I572" t="s">
        <v>3000</v>
      </c>
      <c r="J572" t="e">
        <f>VLOOKUP(F572,[1]!china_towns_second__2[[Column1]:[Y]],3,FALSE)</f>
        <v>#N/A</v>
      </c>
      <c r="K572" t="e">
        <f>VLOOKUP(F572,[1]!china_towns_second__2[[Column1]:[Y]],2,FALSE)</f>
        <v>#N/A</v>
      </c>
      <c r="L572" t="s">
        <v>4206</v>
      </c>
      <c r="M572" t="str">
        <f>VLOOKUP(H572,CHOOSE({1,2},Table12[Native],Table12[Name]),2,0)</f>
        <v>Tàishùn Xiàn</v>
      </c>
      <c r="N572" s="15" t="str">
        <f>VLOOKUP(I572,CHOOSE({1,2},Table12[Native],Table12[Name]),2,0)</f>
        <v>Wēnzhōu Shì</v>
      </c>
      <c r="O572" s="15" t="str">
        <f t="shared" si="16"/>
        <v>Jiufeng Xiang (Wēnzhōu Shì)</v>
      </c>
      <c r="P572" s="15" t="str">
        <f t="shared" si="17"/>
        <v>Jiufeng Xiang (Wēnzhōu Shì)</v>
      </c>
    </row>
    <row r="573" spans="1:16" hidden="1" x14ac:dyDescent="0.25">
      <c r="A573" t="s">
        <v>463</v>
      </c>
      <c r="B573" t="str">
        <f>IF(COUNTIF(A:A,A573)&gt;1,_xlfn.CONCAT(A573," (",N573,")"),A573)</f>
        <v>Jiùguăn Zhèn</v>
      </c>
      <c r="C573" t="str">
        <f>IF(COUNTIF(B:B,B573)&gt;1,_xlfn.CONCAT(A573," (",M573,")"),B573)</f>
        <v>Jiùguăn Zhèn</v>
      </c>
      <c r="D573" t="s">
        <v>464</v>
      </c>
      <c r="E573" t="s">
        <v>11</v>
      </c>
      <c r="F573" t="str">
        <f>_xlfn.CONCAT(D573,", ",H573,", ",I573,", ","浙江省")</f>
        <v>旧馆镇, 南浔区, 湖州市, 浙江省</v>
      </c>
      <c r="G573">
        <v>24696</v>
      </c>
      <c r="H573" t="s">
        <v>2926</v>
      </c>
      <c r="I573" t="s">
        <v>2922</v>
      </c>
      <c r="J573">
        <f>VLOOKUP(F573,[1]!china_towns_second__2[[Column1]:[Y]],3,FALSE)</f>
        <v>30.822814808484999</v>
      </c>
      <c r="K573">
        <f>VLOOKUP(F573,[1]!china_towns_second__2[[Column1]:[Y]],2,FALSE)</f>
        <v>120.2656417</v>
      </c>
      <c r="L573" t="s">
        <v>4207</v>
      </c>
      <c r="M573" t="str">
        <f>VLOOKUP(H573,CHOOSE({1,2},Table12[Native],Table12[Name]),2,0)</f>
        <v>Nánxún Qū</v>
      </c>
      <c r="N573" s="15" t="str">
        <f>VLOOKUP(I573,CHOOSE({1,2},Table12[Native],Table12[Name]),2,0)</f>
        <v>Húzhōu Shì</v>
      </c>
      <c r="O573" s="15" t="str">
        <f t="shared" si="16"/>
        <v>Jiuguan Zhen (Húzhōu Shì)</v>
      </c>
      <c r="P573" s="15" t="str">
        <f t="shared" si="17"/>
        <v>Jiuguan Zhen (Húzhōu Shì)</v>
      </c>
    </row>
    <row r="574" spans="1:16" hidden="1" x14ac:dyDescent="0.25">
      <c r="A574" t="s">
        <v>817</v>
      </c>
      <c r="B574" t="str">
        <f>IF(COUNTIF(A:A,A574)&gt;1,_xlfn.CONCAT(A574," (",N574,")"),A574)</f>
        <v>Jiŭhé Xiāng</v>
      </c>
      <c r="C574" t="str">
        <f>IF(COUNTIF(B:B,B574)&gt;1,_xlfn.CONCAT(A574," (",M574,")"),B574)</f>
        <v>Jiŭhé Xiāng</v>
      </c>
      <c r="D574" t="s">
        <v>818</v>
      </c>
      <c r="E574" t="s">
        <v>7</v>
      </c>
      <c r="F574" t="str">
        <f>_xlfn.CONCAT(D574,", ",H574,", ",I574,", ","浙江省")</f>
        <v>九和乡, 磐安县, 金华市, 浙江省</v>
      </c>
      <c r="G574">
        <v>3763</v>
      </c>
      <c r="H574" t="s">
        <v>2942</v>
      </c>
      <c r="I574" t="s">
        <v>2938</v>
      </c>
      <c r="J574" t="e">
        <f>VLOOKUP(F574,[1]!china_towns_second__2[[Column1]:[Y]],3,FALSE)</f>
        <v>#N/A</v>
      </c>
      <c r="K574" t="e">
        <f>VLOOKUP(F574,[1]!china_towns_second__2[[Column1]:[Y]],2,FALSE)</f>
        <v>#N/A</v>
      </c>
      <c r="L574" t="s">
        <v>4208</v>
      </c>
      <c r="M574" t="str">
        <f>VLOOKUP(H574,CHOOSE({1,2},Table12[Native],Table12[Name]),2,0)</f>
        <v>Pán'ān Xiàn</v>
      </c>
      <c r="N574" s="15" t="str">
        <f>VLOOKUP(I574,CHOOSE({1,2},Table12[Native],Table12[Name]),2,0)</f>
        <v>Jīnhuá Shì</v>
      </c>
      <c r="O574" s="15" t="str">
        <f t="shared" si="16"/>
        <v>Jiuhe Xiang (Jīnhuá Shì)</v>
      </c>
      <c r="P574" s="15" t="str">
        <f t="shared" si="17"/>
        <v>Jiuhe Xiang (Jīnhuá Shì)</v>
      </c>
    </row>
    <row r="575" spans="1:16" hidden="1" x14ac:dyDescent="0.25">
      <c r="A575" t="s">
        <v>1724</v>
      </c>
      <c r="B575" t="str">
        <f>IF(COUNTIF(A:A,A575)&gt;1,_xlfn.CONCAT(A575," (",N575,")"),A575)</f>
        <v>Jiŭhuá Xiāng</v>
      </c>
      <c r="C575" t="str">
        <f>IF(COUNTIF(B:B,B575)&gt;1,_xlfn.CONCAT(A575," (",M575,")"),B575)</f>
        <v>Jiŭhuá Xiāng</v>
      </c>
      <c r="D575" t="s">
        <v>1725</v>
      </c>
      <c r="E575" t="s">
        <v>7</v>
      </c>
      <c r="F575" t="str">
        <f>_xlfn.CONCAT(D575,", ",H575,", ",I575,", ","浙江省")</f>
        <v>九华乡, 柯城区, 衢州市, 浙江省</v>
      </c>
      <c r="G575">
        <v>15933</v>
      </c>
      <c r="H575" t="s">
        <v>2977</v>
      </c>
      <c r="I575" t="s">
        <v>2973</v>
      </c>
      <c r="J575" t="e">
        <f>VLOOKUP(F575,[1]!china_towns_second__2[[Column1]:[Y]],3,FALSE)</f>
        <v>#N/A</v>
      </c>
      <c r="K575" t="e">
        <f>VLOOKUP(F575,[1]!china_towns_second__2[[Column1]:[Y]],2,FALSE)</f>
        <v>#N/A</v>
      </c>
      <c r="L575" t="s">
        <v>4209</v>
      </c>
      <c r="M575" t="str">
        <f>VLOOKUP(H575,CHOOSE({1,2},Table12[Native],Table12[Name]),2,0)</f>
        <v>Kēchéng Qū</v>
      </c>
      <c r="N575" s="15" t="str">
        <f>VLOOKUP(I575,CHOOSE({1,2},Table12[Native],Table12[Name]),2,0)</f>
        <v>Qúzhōu Shì</v>
      </c>
      <c r="O575" s="15" t="str">
        <f t="shared" si="16"/>
        <v>Jiuhua Xiang (Qúzhōu Shì)</v>
      </c>
      <c r="P575" s="15" t="str">
        <f t="shared" si="17"/>
        <v>Jiuhua Xiang (Qúzhōu Shì)</v>
      </c>
    </row>
    <row r="576" spans="1:16" hidden="1" x14ac:dyDescent="0.25">
      <c r="A576" t="s">
        <v>173</v>
      </c>
      <c r="B576" t="str">
        <f>IF(COUNTIF(A:A,A576)&gt;1,_xlfn.CONCAT(A576," (",N576,")"),A576)</f>
        <v>Jiūkēng Xiāng</v>
      </c>
      <c r="C576" t="str">
        <f>IF(COUNTIF(B:B,B576)&gt;1,_xlfn.CONCAT(A576," (",M576,")"),B576)</f>
        <v>Jiūkēng Xiāng</v>
      </c>
      <c r="D576" t="s">
        <v>174</v>
      </c>
      <c r="E576" t="s">
        <v>7</v>
      </c>
      <c r="F576" t="str">
        <f>_xlfn.CONCAT(D576,", ",H576,", ",I576,", ","浙江省")</f>
        <v>鸠坑乡, 淳安县, 杭州市, 浙江省</v>
      </c>
      <c r="G576">
        <v>4796</v>
      </c>
      <c r="H576" t="s">
        <v>2907</v>
      </c>
      <c r="I576" t="s">
        <v>2903</v>
      </c>
      <c r="J576" t="e">
        <f>VLOOKUP(F576,[1]!china_towns_second__2[[Column1]:[Y]],3,FALSE)</f>
        <v>#N/A</v>
      </c>
      <c r="K576" t="e">
        <f>VLOOKUP(F576,[1]!china_towns_second__2[[Column1]:[Y]],2,FALSE)</f>
        <v>#N/A</v>
      </c>
      <c r="L576" t="s">
        <v>4210</v>
      </c>
      <c r="M576" t="str">
        <f>VLOOKUP(H576,CHOOSE({1,2},Table12[Native],Table12[Name]),2,0)</f>
        <v>Chún'ān Xiàn</v>
      </c>
      <c r="N576" s="15" t="str">
        <f>VLOOKUP(I576,CHOOSE({1,2},Table12[Native],Table12[Name]),2,0)</f>
        <v>Hángzhōu Shì</v>
      </c>
      <c r="O576" s="15" t="str">
        <f t="shared" si="16"/>
        <v>Jiukeng Xiang (Hángzhōu Shì)</v>
      </c>
      <c r="P576" s="15" t="str">
        <f t="shared" si="17"/>
        <v>Jiukeng Xiang (Hángzhōu Shì)</v>
      </c>
    </row>
    <row r="577" spans="1:16" hidden="1" x14ac:dyDescent="0.25">
      <c r="A577" t="s">
        <v>1137</v>
      </c>
      <c r="B577" t="str">
        <f>IF(COUNTIF(A:A,A577)&gt;1,_xlfn.CONCAT(A577," (",N577,")"),A577)</f>
        <v>Jiŭlóng Xiāng</v>
      </c>
      <c r="C577" t="str">
        <f>IF(COUNTIF(B:B,B577)&gt;1,_xlfn.CONCAT(A577," (",M577,")"),B577)</f>
        <v>Jiŭlóng Xiāng</v>
      </c>
      <c r="D577" t="s">
        <v>1138</v>
      </c>
      <c r="E577" t="s">
        <v>7</v>
      </c>
      <c r="F577" t="str">
        <f>_xlfn.CONCAT(D577,", ",H577,", ",I577,", ","浙江省")</f>
        <v>九龙乡, 景宁畲族自治县, 丽水市, 浙江省</v>
      </c>
      <c r="G577">
        <v>3348</v>
      </c>
      <c r="H577" t="s">
        <v>2951</v>
      </c>
      <c r="I577" t="s">
        <v>2949</v>
      </c>
      <c r="J577" t="e">
        <f>VLOOKUP(F577,[1]!china_towns_second__2[[Column1]:[Y]],3,FALSE)</f>
        <v>#N/A</v>
      </c>
      <c r="K577" t="e">
        <f>VLOOKUP(F577,[1]!china_towns_second__2[[Column1]:[Y]],2,FALSE)</f>
        <v>#N/A</v>
      </c>
      <c r="L577" t="s">
        <v>4211</v>
      </c>
      <c r="M577" t="str">
        <f>VLOOKUP(H577,CHOOSE({1,2},Table12[Native],Table12[Name]),2,0)</f>
        <v>Jĭngníng Shēzú Zìzhìxiàn</v>
      </c>
      <c r="N577" s="15" t="str">
        <f>VLOOKUP(I577,CHOOSE({1,2},Table12[Native],Table12[Name]),2,0)</f>
        <v>Lìshuĭ Shì</v>
      </c>
      <c r="O577" s="15" t="str">
        <f t="shared" si="16"/>
        <v>Jiulong Xiang (Lìshuĭ Shì)</v>
      </c>
      <c r="P577" s="15" t="str">
        <f t="shared" si="17"/>
        <v>Jiulong Xiang (Lìshuĭ Shì)</v>
      </c>
    </row>
    <row r="578" spans="1:16" hidden="1" x14ac:dyDescent="0.25">
      <c r="A578" t="s">
        <v>1468</v>
      </c>
      <c r="B578" t="str">
        <f>IF(COUNTIF(A:A,A578)&gt;1,_xlfn.CONCAT(A578," (",N578,")"),A578)</f>
        <v>Jiŭlónghú Zhèn</v>
      </c>
      <c r="C578" t="str">
        <f>IF(COUNTIF(B:B,B578)&gt;1,_xlfn.CONCAT(A578," (",M578,")"),B578)</f>
        <v>Jiŭlónghú Zhèn</v>
      </c>
      <c r="D578" t="s">
        <v>1469</v>
      </c>
      <c r="E578" t="s">
        <v>11</v>
      </c>
      <c r="F578" t="str">
        <f>_xlfn.CONCAT(D578,", ",H578,", ",I578,", ","浙江省")</f>
        <v>九龙湖镇, 镇海区, 宁波市, 浙江省</v>
      </c>
      <c r="G578">
        <v>31900</v>
      </c>
      <c r="H578" t="s">
        <v>2971</v>
      </c>
      <c r="I578" t="s">
        <v>2961</v>
      </c>
      <c r="J578">
        <f>VLOOKUP(F578,[1]!china_towns_second__2[[Column1]:[Y]],3,FALSE)</f>
        <v>30.0220555884435</v>
      </c>
      <c r="K578">
        <f>VLOOKUP(F578,[1]!china_towns_second__2[[Column1]:[Y]],2,FALSE)</f>
        <v>121.5211626</v>
      </c>
      <c r="L578" t="s">
        <v>4212</v>
      </c>
      <c r="M578" t="str">
        <f>VLOOKUP(H578,CHOOSE({1,2},Table12[Native],Table12[Name]),2,0)</f>
        <v>Zhènhăi Qū</v>
      </c>
      <c r="N578" s="15" t="str">
        <f>VLOOKUP(I578,CHOOSE({1,2},Table12[Native],Table12[Name]),2,0)</f>
        <v>Níngbō Shì</v>
      </c>
      <c r="O578" s="15" t="str">
        <f t="shared" ref="O578:O641" si="18">_xlfn.CONCAT(L578," (",N578,")")</f>
        <v>Jiulonghu Zhen (Níngbō Shì)</v>
      </c>
      <c r="P578" s="15" t="str">
        <f t="shared" ref="P578:P641" si="19">IF(COUNTIF(O:O,O578)&gt;1,_xlfn.CONCAT(L578," (",M578,")"),O578)</f>
        <v>Jiulonghu Zhen (Níngbō Shì)</v>
      </c>
    </row>
    <row r="579" spans="1:16" hidden="1" x14ac:dyDescent="0.25">
      <c r="A579" t="s">
        <v>175</v>
      </c>
      <c r="B579" t="str">
        <f>IF(COUNTIF(A:A,A579)&gt;1,_xlfn.CONCAT(A579," (",N579,")"),A579)</f>
        <v>Jiùxiàn Jiēdào</v>
      </c>
      <c r="C579" t="str">
        <f>IF(COUNTIF(B:B,B579)&gt;1,_xlfn.CONCAT(A579," (",M579,")"),B579)</f>
        <v>Jiùxiàn Jiēdào</v>
      </c>
      <c r="D579" t="s">
        <v>176</v>
      </c>
      <c r="E579" t="s">
        <v>15</v>
      </c>
      <c r="F579" t="str">
        <f>_xlfn.CONCAT(D579,", ",H579,", ",I579,", ","浙江省")</f>
        <v>旧县街道, 桐庐县, 杭州市, 浙江省</v>
      </c>
      <c r="G579">
        <v>8568</v>
      </c>
      <c r="H579" t="s">
        <v>2916</v>
      </c>
      <c r="I579" t="s">
        <v>2903</v>
      </c>
      <c r="J579">
        <f>VLOOKUP(F579,[1]!china_towns_second__2[[Column1]:[Y]],3,FALSE)</f>
        <v>29.7857175029148</v>
      </c>
      <c r="K579">
        <f>VLOOKUP(F579,[1]!china_towns_second__2[[Column1]:[Y]],2,FALSE)</f>
        <v>119.60651559999999</v>
      </c>
      <c r="L579" t="s">
        <v>4213</v>
      </c>
      <c r="M579" t="str">
        <f>VLOOKUP(H579,CHOOSE({1,2},Table12[Native],Table12[Name]),2,0)</f>
        <v>Tónglú Xiàn</v>
      </c>
      <c r="N579" s="15" t="str">
        <f>VLOOKUP(I579,CHOOSE({1,2},Table12[Native],Table12[Name]),2,0)</f>
        <v>Hángzhōu Shì</v>
      </c>
      <c r="O579" s="15" t="str">
        <f t="shared" si="18"/>
        <v>Jiuxian Jiedao (Hángzhōu Shì)</v>
      </c>
      <c r="P579" s="15" t="str">
        <f t="shared" si="19"/>
        <v>Jiuxian Jiedao (Hángzhōu Shì)</v>
      </c>
    </row>
    <row r="580" spans="1:16" hidden="1" x14ac:dyDescent="0.25">
      <c r="A580" t="s">
        <v>1928</v>
      </c>
      <c r="B580" t="str">
        <f>IF(COUNTIF(A:A,A580)&gt;1,_xlfn.CONCAT(A580," (",N580,")"),A580)</f>
        <v>Jìyáng Jiēdào</v>
      </c>
      <c r="C580" t="str">
        <f>IF(COUNTIF(B:B,B580)&gt;1,_xlfn.CONCAT(A580," (",M580,")"),B580)</f>
        <v>Jìyáng Jiēdào</v>
      </c>
      <c r="D580" t="s">
        <v>1929</v>
      </c>
      <c r="E580" t="s">
        <v>15</v>
      </c>
      <c r="F580" t="str">
        <f>_xlfn.CONCAT(D580,", ",H580,", ",I580,", ","浙江省")</f>
        <v>暨阳街道, 诸暨市, 绍兴市, 浙江省</v>
      </c>
      <c r="G580">
        <v>249192</v>
      </c>
      <c r="H580" t="s">
        <v>2987</v>
      </c>
      <c r="I580" t="s">
        <v>2981</v>
      </c>
      <c r="J580">
        <f>VLOOKUP(F580,[1]!china_towns_second__2[[Column1]:[Y]],3,FALSE)</f>
        <v>29.7070954370386</v>
      </c>
      <c r="K580">
        <f>VLOOKUP(F580,[1]!china_towns_second__2[[Column1]:[Y]],2,FALSE)</f>
        <v>120.24294089999999</v>
      </c>
      <c r="L580" t="s">
        <v>4214</v>
      </c>
      <c r="M580" t="str">
        <f>VLOOKUP(H580,CHOOSE({1,2},Table12[Native],Table12[Name]),2,0)</f>
        <v>Zhūjì Shì</v>
      </c>
      <c r="N580" s="15" t="str">
        <f>VLOOKUP(I580,CHOOSE({1,2},Table12[Native],Table12[Name]),2,0)</f>
        <v>Shàoxīng Shì</v>
      </c>
      <c r="O580" s="15" t="str">
        <f t="shared" si="18"/>
        <v>Jiyang Jiedao (Shàoxīng Shì)</v>
      </c>
      <c r="P580" s="15" t="str">
        <f t="shared" si="19"/>
        <v>Jiyang Jiedao (Shàoxīng Shì)</v>
      </c>
    </row>
    <row r="581" spans="1:16" hidden="1" x14ac:dyDescent="0.25">
      <c r="A581" t="s">
        <v>1139</v>
      </c>
      <c r="B581" t="str">
        <f>IF(COUNTIF(A:A,A581)&gt;1,_xlfn.CONCAT(A581," (",N581,")"),A581)</f>
        <v>Jìzhái Xiāng</v>
      </c>
      <c r="C581" t="str">
        <f>IF(COUNTIF(B:B,B581)&gt;1,_xlfn.CONCAT(A581," (",M581,")"),B581)</f>
        <v>Jìzhái Xiāng</v>
      </c>
      <c r="D581" t="s">
        <v>1140</v>
      </c>
      <c r="E581" t="s">
        <v>7</v>
      </c>
      <c r="F581" t="str">
        <f>_xlfn.CONCAT(D581,", ",H581,", ",I581,", ","浙江省")</f>
        <v>季宅乡, 青田县, 丽水市, 浙江省</v>
      </c>
      <c r="G581">
        <v>7099</v>
      </c>
      <c r="H581" t="s">
        <v>2955</v>
      </c>
      <c r="I581" t="s">
        <v>2949</v>
      </c>
      <c r="J581" t="e">
        <f>VLOOKUP(F581,[1]!china_towns_second__2[[Column1]:[Y]],3,FALSE)</f>
        <v>#N/A</v>
      </c>
      <c r="K581" t="e">
        <f>VLOOKUP(F581,[1]!china_towns_second__2[[Column1]:[Y]],2,FALSE)</f>
        <v>#N/A</v>
      </c>
      <c r="L581" t="s">
        <v>4215</v>
      </c>
      <c r="M581" t="str">
        <f>VLOOKUP(H581,CHOOSE({1,2},Table12[Native],Table12[Name]),2,0)</f>
        <v>Qīngtián Xiàn</v>
      </c>
      <c r="N581" s="15" t="str">
        <f>VLOOKUP(I581,CHOOSE({1,2},Table12[Native],Table12[Name]),2,0)</f>
        <v>Lìshuĭ Shì</v>
      </c>
      <c r="O581" s="15" t="str">
        <f t="shared" si="18"/>
        <v>Jizhai Xiang (Lìshuĭ Shì)</v>
      </c>
      <c r="P581" s="15" t="str">
        <f t="shared" si="19"/>
        <v>Jizhai Xiang (Lìshuĭ Shì)</v>
      </c>
    </row>
    <row r="582" spans="1:16" hidden="1" x14ac:dyDescent="0.25">
      <c r="A582" t="s">
        <v>1726</v>
      </c>
      <c r="B582" t="str">
        <f>IF(COUNTIF(A:A,A582)&gt;1,_xlfn.CONCAT(A582," (",N582,")"),A582)</f>
        <v>Jŭcūn Xiāng</v>
      </c>
      <c r="C582" t="str">
        <f>IF(COUNTIF(B:B,B582)&gt;1,_xlfn.CONCAT(A582," (",M582,")"),B582)</f>
        <v>Jŭcūn Xiāng</v>
      </c>
      <c r="D582" t="s">
        <v>1727</v>
      </c>
      <c r="E582" t="s">
        <v>7</v>
      </c>
      <c r="F582" t="str">
        <f>_xlfn.CONCAT(D582,", ",H582,", ",I582,", ","浙江省")</f>
        <v>举村乡, 衢江区, 衢州市, 浙江省</v>
      </c>
      <c r="G582">
        <v>2086</v>
      </c>
      <c r="H582" t="s">
        <v>2979</v>
      </c>
      <c r="I582" t="s">
        <v>2973</v>
      </c>
      <c r="J582" t="e">
        <f>VLOOKUP(F582,[1]!china_towns_second__2[[Column1]:[Y]],3,FALSE)</f>
        <v>#N/A</v>
      </c>
      <c r="K582" t="e">
        <f>VLOOKUP(F582,[1]!china_towns_second__2[[Column1]:[Y]],2,FALSE)</f>
        <v>#N/A</v>
      </c>
      <c r="L582" t="s">
        <v>4216</v>
      </c>
      <c r="M582" t="str">
        <f>VLOOKUP(H582,CHOOSE({1,2},Table12[Native],Table12[Name]),2,0)</f>
        <v>Qújiāng Qū</v>
      </c>
      <c r="N582" s="15" t="str">
        <f>VLOOKUP(I582,CHOOSE({1,2},Table12[Native],Table12[Name]),2,0)</f>
        <v>Qúzhōu Shì</v>
      </c>
      <c r="O582" s="15" t="str">
        <f t="shared" si="18"/>
        <v>Jucun Xiang (Qúzhōu Shì)</v>
      </c>
      <c r="P582" s="15" t="str">
        <f t="shared" si="19"/>
        <v>Jucun Xiang (Qúzhōu Shì)</v>
      </c>
    </row>
    <row r="583" spans="1:16" hidden="1" x14ac:dyDescent="0.25">
      <c r="A583" t="s">
        <v>1470</v>
      </c>
      <c r="B583" t="str">
        <f>IF(COUNTIF(A:A,A583)&gt;1,_xlfn.CONCAT(A583," (",N583,")"),A583)</f>
        <v>Juéxī Jiēdào</v>
      </c>
      <c r="C583" t="str">
        <f>IF(COUNTIF(B:B,B583)&gt;1,_xlfn.CONCAT(A583," (",M583,")"),B583)</f>
        <v>Juéxī Jiēdào</v>
      </c>
      <c r="D583" t="s">
        <v>1471</v>
      </c>
      <c r="E583" t="s">
        <v>15</v>
      </c>
      <c r="F583" t="str">
        <f>_xlfn.CONCAT(D583,", ",H583,", ",I583,", ","浙江省")</f>
        <v>爵溪街道, 象山县, 宁波市, 浙江省</v>
      </c>
      <c r="G583">
        <v>30454</v>
      </c>
      <c r="H583" t="s">
        <v>2968</v>
      </c>
      <c r="I583" t="s">
        <v>2961</v>
      </c>
      <c r="J583">
        <f>VLOOKUP(F583,[1]!china_towns_second__2[[Column1]:[Y]],3,FALSE)</f>
        <v>29.4850564237776</v>
      </c>
      <c r="K583">
        <f>VLOOKUP(F583,[1]!china_towns_second__2[[Column1]:[Y]],2,FALSE)</f>
        <v>121.9667194</v>
      </c>
      <c r="L583" t="s">
        <v>4217</v>
      </c>
      <c r="M583" t="str">
        <f>VLOOKUP(H583,CHOOSE({1,2},Table12[Native],Table12[Name]),2,0)</f>
        <v>Xiàngshān Xiàn</v>
      </c>
      <c r="N583" s="15" t="str">
        <f>VLOOKUP(I583,CHOOSE({1,2},Table12[Native],Table12[Name]),2,0)</f>
        <v>Níngbō Shì</v>
      </c>
      <c r="O583" s="15" t="str">
        <f t="shared" si="18"/>
        <v>Juexi Jiedao (Níngbō Shì)</v>
      </c>
      <c r="P583" s="15" t="str">
        <f t="shared" si="19"/>
        <v>Juexi Jiedao (Níngbō Shì)</v>
      </c>
    </row>
    <row r="584" spans="1:16" hidden="1" x14ac:dyDescent="0.25">
      <c r="A584" t="s">
        <v>1141</v>
      </c>
      <c r="B584" t="str">
        <f>IF(COUNTIF(A:A,A584)&gt;1,_xlfn.CONCAT(A584," (",N584,")"),A584)</f>
        <v>Jùpŭ Xiāng</v>
      </c>
      <c r="C584" t="str">
        <f>IF(COUNTIF(B:B,B584)&gt;1,_xlfn.CONCAT(A584," (",M584,")"),B584)</f>
        <v>Jùpŭ Xiāng</v>
      </c>
      <c r="D584" t="s">
        <v>1142</v>
      </c>
      <c r="E584" t="s">
        <v>7</v>
      </c>
      <c r="F584" t="str">
        <f>_xlfn.CONCAT(D584,", ",H584,", ",I584,", ","浙江省")</f>
        <v>巨浦乡, 青田县, 丽水市, 浙江省</v>
      </c>
      <c r="G584">
        <v>2624</v>
      </c>
      <c r="H584" t="s">
        <v>2955</v>
      </c>
      <c r="I584" t="s">
        <v>2949</v>
      </c>
      <c r="J584" t="e">
        <f>VLOOKUP(F584,[1]!china_towns_second__2[[Column1]:[Y]],3,FALSE)</f>
        <v>#N/A</v>
      </c>
      <c r="K584" t="e">
        <f>VLOOKUP(F584,[1]!china_towns_second__2[[Column1]:[Y]],2,FALSE)</f>
        <v>#N/A</v>
      </c>
      <c r="L584" t="s">
        <v>4218</v>
      </c>
      <c r="M584" t="str">
        <f>VLOOKUP(H584,CHOOSE({1,2},Table12[Native],Table12[Name]),2,0)</f>
        <v>Qīngtián Xiàn</v>
      </c>
      <c r="N584" s="15" t="str">
        <f>VLOOKUP(I584,CHOOSE({1,2},Table12[Native],Table12[Name]),2,0)</f>
        <v>Lìshuĭ Shì</v>
      </c>
      <c r="O584" s="15" t="str">
        <f t="shared" si="18"/>
        <v>Jupu Xiang (Lìshuĭ Shì)</v>
      </c>
      <c r="P584" s="15" t="str">
        <f t="shared" si="19"/>
        <v>Jupu Xiang (Lìshuĭ Shì)</v>
      </c>
    </row>
    <row r="585" spans="1:16" hidden="1" x14ac:dyDescent="0.25">
      <c r="A585" t="s">
        <v>1143</v>
      </c>
      <c r="B585" t="str">
        <f>IF(COUNTIF(A:A,A585)&gt;1,_xlfn.CONCAT(A585," (",N585,")"),A585)</f>
        <v>Jŭshuĭ Xiāng</v>
      </c>
      <c r="C585" t="str">
        <f>IF(COUNTIF(B:B,B585)&gt;1,_xlfn.CONCAT(A585," (",M585,")"),B585)</f>
        <v>Jŭshuĭ Xiāng</v>
      </c>
      <c r="D585" t="s">
        <v>1144</v>
      </c>
      <c r="E585" t="s">
        <v>7</v>
      </c>
      <c r="F585" t="str">
        <f>_xlfn.CONCAT(D585,", ",H585,", ",I585,", ","浙江省")</f>
        <v>举水乡, 庆元县, 丽水市, 浙江省</v>
      </c>
      <c r="G585">
        <v>1821</v>
      </c>
      <c r="H585" t="s">
        <v>2956</v>
      </c>
      <c r="I585" t="s">
        <v>2949</v>
      </c>
      <c r="J585" t="e">
        <f>VLOOKUP(F585,[1]!china_towns_second__2[[Column1]:[Y]],3,FALSE)</f>
        <v>#N/A</v>
      </c>
      <c r="K585" t="e">
        <f>VLOOKUP(F585,[1]!china_towns_second__2[[Column1]:[Y]],2,FALSE)</f>
        <v>#N/A</v>
      </c>
      <c r="L585" t="s">
        <v>4219</v>
      </c>
      <c r="M585" t="str">
        <f>VLOOKUP(H585,CHOOSE({1,2},Table12[Native],Table12[Name]),2,0)</f>
        <v>Qìngyuán Xiàn</v>
      </c>
      <c r="N585" s="15" t="str">
        <f>VLOOKUP(I585,CHOOSE({1,2},Table12[Native],Table12[Name]),2,0)</f>
        <v>Lìshuĭ Shì</v>
      </c>
      <c r="O585" s="15" t="str">
        <f t="shared" si="18"/>
        <v>Jushui Xiang (Lìshuĭ Shì)</v>
      </c>
      <c r="P585" s="15" t="str">
        <f t="shared" si="19"/>
        <v>Jushui Xiang (Lìshuĭ Shì)</v>
      </c>
    </row>
    <row r="586" spans="1:16" hidden="1" x14ac:dyDescent="0.25">
      <c r="A586" t="s">
        <v>2455</v>
      </c>
      <c r="B586" t="str">
        <f>IF(COUNTIF(A:A,A586)&gt;1,_xlfn.CONCAT(A586," (",N586,")"),A586)</f>
        <v>Jùxī Jiēdào</v>
      </c>
      <c r="C586" t="str">
        <f>IF(COUNTIF(B:B,B586)&gt;1,_xlfn.CONCAT(A586," (",M586,")"),B586)</f>
        <v>Jùxī Jiēdào</v>
      </c>
      <c r="D586" t="s">
        <v>2456</v>
      </c>
      <c r="E586" t="s">
        <v>15</v>
      </c>
      <c r="F586" t="str">
        <f>_xlfn.CONCAT(D586,", ",H586,", ",I586,", ","浙江省")</f>
        <v>瞿溪街道, 瓯海区, 温州市, 浙江省</v>
      </c>
      <c r="G586">
        <v>52428</v>
      </c>
      <c r="H586" t="s">
        <v>3005</v>
      </c>
      <c r="I586" t="s">
        <v>3000</v>
      </c>
      <c r="J586">
        <f>VLOOKUP(F586,[1]!china_towns_second__2[[Column1]:[Y]],3,FALSE)</f>
        <v>27.977122973979501</v>
      </c>
      <c r="K586">
        <f>VLOOKUP(F586,[1]!china_towns_second__2[[Column1]:[Y]],2,FALSE)</f>
        <v>120.50892640000001</v>
      </c>
      <c r="L586" t="s">
        <v>4220</v>
      </c>
      <c r="M586" t="str">
        <f>VLOOKUP(H586,CHOOSE({1,2},Table12[Native],Table12[Name]),2,0)</f>
        <v>Ōuhăi Qū</v>
      </c>
      <c r="N586" s="15" t="str">
        <f>VLOOKUP(I586,CHOOSE({1,2},Table12[Native],Table12[Name]),2,0)</f>
        <v>Wēnzhōu Shì</v>
      </c>
      <c r="O586" s="15" t="str">
        <f t="shared" si="18"/>
        <v>Juxi Jiedao (Wēnzhōu Shì)</v>
      </c>
      <c r="P586" s="15" t="str">
        <f t="shared" si="19"/>
        <v>Juxi Jiedao (Wēnzhōu Shì)</v>
      </c>
    </row>
    <row r="587" spans="1:16" hidden="1" x14ac:dyDescent="0.25">
      <c r="A587" t="s">
        <v>2457</v>
      </c>
      <c r="B587" t="str">
        <f>IF(COUNTIF(A:A,A587)&gt;1,_xlfn.CONCAT(A587," (",N587,")"),A587)</f>
        <v>Jŭxī Zhèn [→ Qiáodūn Zhèn]</v>
      </c>
      <c r="C587" t="str">
        <f>IF(COUNTIF(B:B,B587)&gt;1,_xlfn.CONCAT(A587," (",M587,")"),B587)</f>
        <v>Jŭxī Zhèn [→ Qiáodūn Zhèn]</v>
      </c>
      <c r="D587" t="s">
        <v>2458</v>
      </c>
      <c r="E587" t="s">
        <v>11</v>
      </c>
      <c r="F587" t="str">
        <f>_xlfn.CONCAT(D587,", ",H587,", ",I587,", ","浙江省")</f>
        <v>莒溪镇, 苍南县, 温州市, 浙江省</v>
      </c>
      <c r="G587">
        <v>8875</v>
      </c>
      <c r="H587" t="s">
        <v>3001</v>
      </c>
      <c r="I587" t="s">
        <v>3000</v>
      </c>
      <c r="J587">
        <f>VLOOKUP(F587,[1]!china_towns_second__2[[Column1]:[Y]],3,FALSE)</f>
        <v>27.5048742</v>
      </c>
      <c r="K587">
        <f>VLOOKUP(F587,[1]!china_towns_second__2[[Column1]:[Y]],2,FALSE)</f>
        <v>120.1904619</v>
      </c>
      <c r="L587" t="s">
        <v>4221</v>
      </c>
      <c r="M587" t="str">
        <f>VLOOKUP(H587,CHOOSE({1,2},Table12[Native],Table12[Name]),2,0)</f>
        <v>Cāngnán Xiàn</v>
      </c>
      <c r="N587" s="15" t="str">
        <f>VLOOKUP(I587,CHOOSE({1,2},Table12[Native],Table12[Name]),2,0)</f>
        <v>Wēnzhōu Shì</v>
      </c>
      <c r="O587" s="15" t="str">
        <f t="shared" si="18"/>
        <v>Juxi Zhen [→ Qiaodun Zhen] (Wēnzhōu Shì)</v>
      </c>
      <c r="P587" s="15" t="str">
        <f t="shared" si="19"/>
        <v>Juxi Zhen [→ Qiaodun Zhen] (Wēnzhōu Shì)</v>
      </c>
    </row>
    <row r="588" spans="1:16" hidden="1" x14ac:dyDescent="0.25">
      <c r="A588" t="s">
        <v>2459</v>
      </c>
      <c r="B588" t="str">
        <f>IF(COUNTIF(A:A,A588)&gt;1,_xlfn.CONCAT(A588," (",N588,")"),A588)</f>
        <v>Jùyŭ Zhèn</v>
      </c>
      <c r="C588" t="str">
        <f>IF(COUNTIF(B:B,B588)&gt;1,_xlfn.CONCAT(A588," (",M588,")"),B588)</f>
        <v>Jùyŭ Zhèn</v>
      </c>
      <c r="D588" t="s">
        <v>2460</v>
      </c>
      <c r="E588" t="s">
        <v>11</v>
      </c>
      <c r="F588" t="str">
        <f>_xlfn.CONCAT(D588,", ",H588,", ",I588,", ","浙江省")</f>
        <v>巨屿镇, 文成县, 温州市, 浙江省</v>
      </c>
      <c r="G588">
        <v>10858</v>
      </c>
      <c r="H588" t="s">
        <v>3009</v>
      </c>
      <c r="I588" t="s">
        <v>3000</v>
      </c>
      <c r="J588">
        <f>VLOOKUP(F588,[1]!china_towns_second__2[[Column1]:[Y]],3,FALSE)</f>
        <v>27.7097060016721</v>
      </c>
      <c r="K588">
        <f>VLOOKUP(F588,[1]!china_towns_second__2[[Column1]:[Y]],2,FALSE)</f>
        <v>120.0890362</v>
      </c>
      <c r="L588" t="s">
        <v>4222</v>
      </c>
      <c r="M588" t="str">
        <f>VLOOKUP(H588,CHOOSE({1,2},Table12[Native],Table12[Name]),2,0)</f>
        <v>Wénchéng Xiàn</v>
      </c>
      <c r="N588" s="15" t="str">
        <f>VLOOKUP(I588,CHOOSE({1,2},Table12[Native],Table12[Name]),2,0)</f>
        <v>Wēnzhōu Shì</v>
      </c>
      <c r="O588" s="15" t="str">
        <f t="shared" si="18"/>
        <v>Juyu Zhen (Wēnzhōu Shì)</v>
      </c>
      <c r="P588" s="15" t="str">
        <f t="shared" si="19"/>
        <v>Juyu Zhen (Wēnzhōu Shì)</v>
      </c>
    </row>
    <row r="589" spans="1:16" hidden="1" x14ac:dyDescent="0.25">
      <c r="A589" t="s">
        <v>465</v>
      </c>
      <c r="B589" t="str">
        <f>IF(COUNTIF(A:A,A589)&gt;1,_xlfn.CONCAT(A589," (",N589,")"),A589)</f>
        <v>Kāifāqū</v>
      </c>
      <c r="C589" t="str">
        <f>IF(COUNTIF(B:B,B589)&gt;1,_xlfn.CONCAT(A589," (",M589,")"),B589)</f>
        <v>Kāifāqū</v>
      </c>
      <c r="D589" t="s">
        <v>466</v>
      </c>
      <c r="E589" t="s">
        <v>253</v>
      </c>
      <c r="F589" t="str">
        <f>_xlfn.CONCAT(D589,", ",H589,", ",I589,", ","浙江省")</f>
        <v>开发区, 南浔区, 湖州市, 浙江省</v>
      </c>
      <c r="G589">
        <v>51198</v>
      </c>
      <c r="H589" t="s">
        <v>2926</v>
      </c>
      <c r="I589" t="s">
        <v>2922</v>
      </c>
      <c r="J589" t="e">
        <f>VLOOKUP(F589,[1]!china_towns_second__2[[Column1]:[Y]],3,FALSE)</f>
        <v>#N/A</v>
      </c>
      <c r="K589" t="e">
        <f>VLOOKUP(F589,[1]!china_towns_second__2[[Column1]:[Y]],2,FALSE)</f>
        <v>#N/A</v>
      </c>
      <c r="L589" t="s">
        <v>4223</v>
      </c>
      <c r="M589" t="str">
        <f>VLOOKUP(H589,CHOOSE({1,2},Table12[Native],Table12[Name]),2,0)</f>
        <v>Nánxún Qū</v>
      </c>
      <c r="N589" s="15" t="str">
        <f>VLOOKUP(I589,CHOOSE({1,2},Table12[Native],Table12[Name]),2,0)</f>
        <v>Húzhōu Shì</v>
      </c>
      <c r="O589" s="15" t="str">
        <f t="shared" si="18"/>
        <v>Kaifaqu (Húzhōu Shì)</v>
      </c>
      <c r="P589" s="15" t="str">
        <f t="shared" si="19"/>
        <v>Kaifaqu (Húzhōu Shì)</v>
      </c>
    </row>
    <row r="590" spans="1:16" hidden="1" x14ac:dyDescent="0.25">
      <c r="A590" t="s">
        <v>177</v>
      </c>
      <c r="B590" t="str">
        <f>IF(COUNTIF(A:A,A590)&gt;1,_xlfn.CONCAT(A590," (",N590,")"),A590)</f>
        <v>Kăixuán Jiēdào</v>
      </c>
      <c r="C590" t="str">
        <f>IF(COUNTIF(B:B,B590)&gt;1,_xlfn.CONCAT(A590," (",M590,")"),B590)</f>
        <v>Kăixuán Jiēdào</v>
      </c>
      <c r="D590" t="s">
        <v>178</v>
      </c>
      <c r="E590" t="s">
        <v>15</v>
      </c>
      <c r="F590" t="str">
        <f>_xlfn.CONCAT(D590,", ",H590,", ",I590,", ","浙江省")</f>
        <v>凯旋街道, 上城区, 杭州市, 浙江省</v>
      </c>
      <c r="G590">
        <v>68612</v>
      </c>
      <c r="H590" t="s">
        <v>2915</v>
      </c>
      <c r="I590" t="s">
        <v>2903</v>
      </c>
      <c r="J590" t="e">
        <f>VLOOKUP(F590,[1]!china_towns_second__2[[Column1]:[Y]],3,FALSE)</f>
        <v>#N/A</v>
      </c>
      <c r="K590" t="e">
        <f>VLOOKUP(F590,[1]!china_towns_second__2[[Column1]:[Y]],2,FALSE)</f>
        <v>#N/A</v>
      </c>
      <c r="L590" t="s">
        <v>4224</v>
      </c>
      <c r="M590" t="str">
        <f>VLOOKUP(H590,CHOOSE({1,2},Table12[Native],Table12[Name]),2,0)</f>
        <v>Shàngchéng Qū</v>
      </c>
      <c r="N590" s="15" t="str">
        <f>VLOOKUP(I590,CHOOSE({1,2},Table12[Native],Table12[Name]),2,0)</f>
        <v>Hángzhōu Shì</v>
      </c>
      <c r="O590" s="15" t="str">
        <f t="shared" si="18"/>
        <v>Kaixuan Jiedao (Hángzhōu Shì)</v>
      </c>
      <c r="P590" s="15" t="str">
        <f t="shared" si="19"/>
        <v>Kaixuan Jiedao (Hángzhōu Shì)</v>
      </c>
    </row>
    <row r="591" spans="1:16" hidden="1" x14ac:dyDescent="0.25">
      <c r="A591" t="s">
        <v>1472</v>
      </c>
      <c r="B591" t="str">
        <f>IF(COUNTIF(A:A,A591)&gt;1,_xlfn.CONCAT(A591," (",N591,")"),A591)</f>
        <v>Kăndūn Jiēdào</v>
      </c>
      <c r="C591" t="str">
        <f>IF(COUNTIF(B:B,B591)&gt;1,_xlfn.CONCAT(A591," (",M591,")"),B591)</f>
        <v>Kăndūn Jiēdào</v>
      </c>
      <c r="D591" t="s">
        <v>1473</v>
      </c>
      <c r="E591" t="s">
        <v>15</v>
      </c>
      <c r="F591" t="str">
        <f>_xlfn.CONCAT(D591,", ",H591,", ",I591,", ","浙江省")</f>
        <v>坎墩街道, 慈溪市, 宁波市, 浙江省</v>
      </c>
      <c r="G591">
        <v>70201</v>
      </c>
      <c r="H591" t="s">
        <v>2963</v>
      </c>
      <c r="I591" t="s">
        <v>2961</v>
      </c>
      <c r="J591">
        <f>VLOOKUP(F591,[1]!china_towns_second__2[[Column1]:[Y]],3,FALSE)</f>
        <v>30.2369098140807</v>
      </c>
      <c r="K591">
        <f>VLOOKUP(F591,[1]!china_towns_second__2[[Column1]:[Y]],2,FALSE)</f>
        <v>121.2613259</v>
      </c>
      <c r="L591" t="s">
        <v>4225</v>
      </c>
      <c r="M591" t="str">
        <f>VLOOKUP(H591,CHOOSE({1,2},Table12[Native],Table12[Name]),2,0)</f>
        <v>Cíxī Shì</v>
      </c>
      <c r="N591" s="15" t="str">
        <f>VLOOKUP(I591,CHOOSE({1,2},Table12[Native],Table12[Name]),2,0)</f>
        <v>Níngbō Shì</v>
      </c>
      <c r="O591" s="15" t="str">
        <f t="shared" si="18"/>
        <v>Kandun Jiedao (Níngbō Shì)</v>
      </c>
      <c r="P591" s="15" t="str">
        <f t="shared" si="19"/>
        <v>Kandun Jiedao (Níngbō Shì)</v>
      </c>
    </row>
    <row r="592" spans="1:16" hidden="1" x14ac:dyDescent="0.25">
      <c r="A592" t="s">
        <v>179</v>
      </c>
      <c r="B592" t="str">
        <f>IF(COUNTIF(A:A,A592)&gt;1,_xlfn.CONCAT(A592," (",N592,")"),A592)</f>
        <v>Kāngqiáo Jiēdào</v>
      </c>
      <c r="C592" t="str">
        <f>IF(COUNTIF(B:B,B592)&gt;1,_xlfn.CONCAT(A592," (",M592,")"),B592)</f>
        <v>Kāngqiáo Jiēdào</v>
      </c>
      <c r="D592" t="s">
        <v>180</v>
      </c>
      <c r="E592" t="s">
        <v>15</v>
      </c>
      <c r="F592" t="str">
        <f>_xlfn.CONCAT(D592,", ",H592,", ",I592,", ","浙江省")</f>
        <v>康桥街道, 拱墅区, 杭州市, 浙江省</v>
      </c>
      <c r="G592">
        <v>42100</v>
      </c>
      <c r="H592" t="s">
        <v>2909</v>
      </c>
      <c r="I592" t="s">
        <v>2903</v>
      </c>
      <c r="J592">
        <f>VLOOKUP(F592,[1]!china_towns_second__2[[Column1]:[Y]],3,FALSE)</f>
        <v>30.364214264888702</v>
      </c>
      <c r="K592">
        <f>VLOOKUP(F592,[1]!china_towns_second__2[[Column1]:[Y]],2,FALSE)</f>
        <v>120.14221569999999</v>
      </c>
      <c r="L592" t="s">
        <v>4226</v>
      </c>
      <c r="M592" t="str">
        <f>VLOOKUP(H592,CHOOSE({1,2},Table12[Native],Table12[Name]),2,0)</f>
        <v>Gŏngshù Qū</v>
      </c>
      <c r="N592" s="15" t="str">
        <f>VLOOKUP(I592,CHOOSE({1,2},Table12[Native],Table12[Name]),2,0)</f>
        <v>Hángzhōu Shì</v>
      </c>
      <c r="O592" s="15" t="str">
        <f t="shared" si="18"/>
        <v>Kangqiao Jiedao (Hángzhōu Shì)</v>
      </c>
      <c r="P592" s="15" t="str">
        <f t="shared" si="19"/>
        <v>Kangqiao Jiedao (Hángzhōu Shì)</v>
      </c>
    </row>
    <row r="593" spans="1:16" hidden="1" x14ac:dyDescent="0.25">
      <c r="A593" t="s">
        <v>467</v>
      </c>
      <c r="B593" t="str">
        <f>IF(COUNTIF(A:A,A593)&gt;1,_xlfn.CONCAT(A593," (",N593,")"),A593)</f>
        <v>Kāngshān Jiēdào</v>
      </c>
      <c r="C593" t="str">
        <f>IF(COUNTIF(B:B,B593)&gt;1,_xlfn.CONCAT(A593," (",M593,")"),B593)</f>
        <v>Kāngshān Jiēdào</v>
      </c>
      <c r="D593" t="s">
        <v>468</v>
      </c>
      <c r="E593" t="s">
        <v>15</v>
      </c>
      <c r="F593" t="str">
        <f>_xlfn.CONCAT(D593,", ",H593,", ",I593,", ","浙江省")</f>
        <v>康山街道, 吴兴区, 湖州市, 浙江省</v>
      </c>
      <c r="G593">
        <v>22362</v>
      </c>
      <c r="H593" t="s">
        <v>2927</v>
      </c>
      <c r="I593" t="s">
        <v>2922</v>
      </c>
      <c r="J593">
        <f>VLOOKUP(F593,[1]!china_towns_second__2[[Column1]:[Y]],3,FALSE)</f>
        <v>30.827344025841199</v>
      </c>
      <c r="K593">
        <f>VLOOKUP(F593,[1]!china_towns_second__2[[Column1]:[Y]],2,FALSE)</f>
        <v>120.05327440000001</v>
      </c>
      <c r="L593" t="s">
        <v>4227</v>
      </c>
      <c r="M593" t="str">
        <f>VLOOKUP(H593,CHOOSE({1,2},Table12[Native],Table12[Name]),2,0)</f>
        <v>Wúxīng Qū</v>
      </c>
      <c r="N593" s="15" t="str">
        <f>VLOOKUP(I593,CHOOSE({1,2},Table12[Native],Table12[Name]),2,0)</f>
        <v>Húzhōu Shì</v>
      </c>
      <c r="O593" s="15" t="str">
        <f t="shared" si="18"/>
        <v>Kangshan Jiedao (Húzhōu Shì)</v>
      </c>
      <c r="P593" s="15" t="str">
        <f t="shared" si="19"/>
        <v>Kangshan Jiedao (Húzhōu Shì)</v>
      </c>
    </row>
    <row r="594" spans="1:16" hidden="1" x14ac:dyDescent="0.25">
      <c r="A594" t="s">
        <v>2137</v>
      </c>
      <c r="B594" t="str">
        <f>IF(COUNTIF(A:A,A594)&gt;1,_xlfn.CONCAT(A594," (",N594,")"),A594)</f>
        <v>Kănmén Jiēdào</v>
      </c>
      <c r="C594" t="str">
        <f>IF(COUNTIF(B:B,B594)&gt;1,_xlfn.CONCAT(A594," (",M594,")"),B594)</f>
        <v>Kănmén Jiēdào</v>
      </c>
      <c r="D594" t="s">
        <v>2138</v>
      </c>
      <c r="E594" t="s">
        <v>15</v>
      </c>
      <c r="F594" t="str">
        <f>_xlfn.CONCAT(D594,", ",H594,", ",I594,", ","浙江省")</f>
        <v>坎门街道, 玉环市, 台州市, 浙江省</v>
      </c>
      <c r="G594">
        <v>88915</v>
      </c>
      <c r="H594" t="s">
        <v>2998</v>
      </c>
      <c r="I594" t="s">
        <v>2989</v>
      </c>
      <c r="J594">
        <f>VLOOKUP(F594,[1]!china_towns_second__2[[Column1]:[Y]],3,FALSE)</f>
        <v>28.079106726590901</v>
      </c>
      <c r="K594">
        <f>VLOOKUP(F594,[1]!china_towns_second__2[[Column1]:[Y]],2,FALSE)</f>
        <v>121.2607234</v>
      </c>
      <c r="L594" t="s">
        <v>4228</v>
      </c>
      <c r="M594" t="str">
        <f>VLOOKUP(H594,CHOOSE({1,2},Table12[Native],Table12[Name]),2,0)</f>
        <v>Yùhuán Shì</v>
      </c>
      <c r="N594" s="15" t="str">
        <f>VLOOKUP(I594,CHOOSE({1,2},Table12[Native],Table12[Name]),2,0)</f>
        <v>Táizhōu Shì</v>
      </c>
      <c r="O594" s="15" t="str">
        <f t="shared" si="18"/>
        <v>Kanmen Jiedao (Táizhōu Shì)</v>
      </c>
      <c r="P594" s="15" t="str">
        <f t="shared" si="19"/>
        <v>Kanmen Jiedao (Táizhōu Shì)</v>
      </c>
    </row>
    <row r="595" spans="1:16" hidden="1" x14ac:dyDescent="0.25">
      <c r="A595" t="s">
        <v>1930</v>
      </c>
      <c r="B595" t="str">
        <f>IF(COUNTIF(A:A,A595)&gt;1,_xlfn.CONCAT(A595," (",N595,")"),A595)</f>
        <v>Kēqiáo Jiēdào</v>
      </c>
      <c r="C595" t="str">
        <f>IF(COUNTIF(B:B,B595)&gt;1,_xlfn.CONCAT(A595," (",M595,")"),B595)</f>
        <v>Kēqiáo Jiēdào</v>
      </c>
      <c r="D595" t="s">
        <v>1931</v>
      </c>
      <c r="E595" t="s">
        <v>15</v>
      </c>
      <c r="F595" t="str">
        <f>_xlfn.CONCAT(D595,", ",H595,", ",I595,", ","浙江省")</f>
        <v>柯桥街道, 柯桥区, 绍兴市, 浙江省</v>
      </c>
      <c r="G595">
        <v>123230</v>
      </c>
      <c r="H595" t="s">
        <v>2982</v>
      </c>
      <c r="I595" t="s">
        <v>2981</v>
      </c>
      <c r="J595">
        <f>VLOOKUP(F595,[1]!china_towns_second__2[[Column1]:[Y]],3,FALSE)</f>
        <v>30.075428734770401</v>
      </c>
      <c r="K595">
        <f>VLOOKUP(F595,[1]!china_towns_second__2[[Column1]:[Y]],2,FALSE)</f>
        <v>120.49331100000001</v>
      </c>
      <c r="L595" t="s">
        <v>4229</v>
      </c>
      <c r="M595" t="str">
        <f>VLOOKUP(H595,CHOOSE({1,2},Table12[Native],Table12[Name]),2,0)</f>
        <v>Kēqiáo Qū</v>
      </c>
      <c r="N595" s="15" t="str">
        <f>VLOOKUP(I595,CHOOSE({1,2},Table12[Native],Table12[Name]),2,0)</f>
        <v>Shàoxīng Shì</v>
      </c>
      <c r="O595" s="15" t="str">
        <f t="shared" si="18"/>
        <v>Keqiao Jiedao (Shàoxīng Shì)</v>
      </c>
      <c r="P595" s="15" t="str">
        <f t="shared" si="19"/>
        <v>Keqiao Jiedao (Shàoxīng Shì)</v>
      </c>
    </row>
    <row r="596" spans="1:16" hidden="1" x14ac:dyDescent="0.25">
      <c r="A596" t="s">
        <v>1932</v>
      </c>
      <c r="B596" t="str">
        <f>IF(COUNTIF(A:A,A596)&gt;1,_xlfn.CONCAT(A596," (",N596,")"),A596)</f>
        <v>Kēyán Jiēdào</v>
      </c>
      <c r="C596" t="str">
        <f>IF(COUNTIF(B:B,B596)&gt;1,_xlfn.CONCAT(A596," (",M596,")"),B596)</f>
        <v>Kēyán Jiēdào</v>
      </c>
      <c r="D596" t="s">
        <v>1933</v>
      </c>
      <c r="E596" t="s">
        <v>15</v>
      </c>
      <c r="F596" t="str">
        <f>_xlfn.CONCAT(D596,", ",H596,", ",I596,", ","浙江省")</f>
        <v>柯岩街道, 柯桥区, 绍兴市, 浙江省</v>
      </c>
      <c r="G596">
        <v>88665</v>
      </c>
      <c r="H596" t="s">
        <v>2982</v>
      </c>
      <c r="I596" t="s">
        <v>2981</v>
      </c>
      <c r="J596">
        <f>VLOOKUP(F596,[1]!china_towns_second__2[[Column1]:[Y]],3,FALSE)</f>
        <v>30.043297763483899</v>
      </c>
      <c r="K596">
        <f>VLOOKUP(F596,[1]!china_towns_second__2[[Column1]:[Y]],2,FALSE)</f>
        <v>120.4650906</v>
      </c>
      <c r="L596" t="s">
        <v>4230</v>
      </c>
      <c r="M596" t="str">
        <f>VLOOKUP(H596,CHOOSE({1,2},Table12[Native],Table12[Name]),2,0)</f>
        <v>Kēqiáo Qū</v>
      </c>
      <c r="N596" s="15" t="str">
        <f>VLOOKUP(I596,CHOOSE({1,2},Table12[Native],Table12[Name]),2,0)</f>
        <v>Shàoxīng Shì</v>
      </c>
      <c r="O596" s="15" t="str">
        <f t="shared" si="18"/>
        <v>Keyan Jiedao (Shàoxīng Shì)</v>
      </c>
      <c r="P596" s="15" t="str">
        <f t="shared" si="19"/>
        <v>Keyan Jiedao (Shàoxīng Shì)</v>
      </c>
    </row>
    <row r="597" spans="1:16" hidden="1" x14ac:dyDescent="0.25">
      <c r="A597" t="s">
        <v>1474</v>
      </c>
      <c r="B597" t="str">
        <f>IF(COUNTIF(A:A,A597)&gt;1,_xlfn.CONCAT(A597," (",N597,")"),A597)</f>
        <v>Kŏngpŭ Jiēdào</v>
      </c>
      <c r="C597" t="str">
        <f>IF(COUNTIF(B:B,B597)&gt;1,_xlfn.CONCAT(A597," (",M597,")"),B597)</f>
        <v>Kŏngpŭ Jiēdào</v>
      </c>
      <c r="D597" t="s">
        <v>1475</v>
      </c>
      <c r="E597" t="s">
        <v>15</v>
      </c>
      <c r="F597" t="str">
        <f>_xlfn.CONCAT(D597,", ",H597,", ",I597,", ","浙江省")</f>
        <v>孔浦街道, 江北区, 宁波市, 浙江省</v>
      </c>
      <c r="G597">
        <v>53868</v>
      </c>
      <c r="H597" t="s">
        <v>2966</v>
      </c>
      <c r="I597" t="s">
        <v>2961</v>
      </c>
      <c r="J597">
        <f>VLOOKUP(F597,[1]!china_towns_second__2[[Column1]:[Y]],3,FALSE)</f>
        <v>29.908486860926899</v>
      </c>
      <c r="K597">
        <f>VLOOKUP(F597,[1]!china_towns_second__2[[Column1]:[Y]],2,FALSE)</f>
        <v>121.6105281</v>
      </c>
      <c r="L597" t="s">
        <v>4231</v>
      </c>
      <c r="M597" t="str">
        <f>VLOOKUP(H597,CHOOSE({1,2},Table12[Native],Table12[Name]),2,0)</f>
        <v>Jiāngbĕi Qū</v>
      </c>
      <c r="N597" s="15" t="str">
        <f>VLOOKUP(I597,CHOOSE({1,2},Table12[Native],Table12[Name]),2,0)</f>
        <v>Níngbō Shì</v>
      </c>
      <c r="O597" s="15" t="str">
        <f t="shared" si="18"/>
        <v>Kongpu Jiedao (Níngbō Shì)</v>
      </c>
      <c r="P597" s="15" t="str">
        <f t="shared" si="19"/>
        <v>Kongpu Jiedao (Níngbō Shì)</v>
      </c>
    </row>
    <row r="598" spans="1:16" hidden="1" x14ac:dyDescent="0.25">
      <c r="A598" t="s">
        <v>1476</v>
      </c>
      <c r="B598" t="str">
        <f>IF(COUNTIF(A:A,A598)&gt;1,_xlfn.CONCAT(A598," (",N598,")"),A598)</f>
        <v>Kuāngyàn Zhèn</v>
      </c>
      <c r="C598" t="str">
        <f>IF(COUNTIF(B:B,B598)&gt;1,_xlfn.CONCAT(A598," (",M598,")"),B598)</f>
        <v>Kuāngyàn Zhèn</v>
      </c>
      <c r="D598" t="s">
        <v>1477</v>
      </c>
      <c r="E598" t="s">
        <v>11</v>
      </c>
      <c r="F598" t="str">
        <f>_xlfn.CONCAT(D598,", ",H598,", ",I598,", ","浙江省")</f>
        <v>匡堰镇, 慈溪市, 宁波市, 浙江省</v>
      </c>
      <c r="G598">
        <v>30358</v>
      </c>
      <c r="H598" t="s">
        <v>2963</v>
      </c>
      <c r="I598" t="s">
        <v>2961</v>
      </c>
      <c r="J598">
        <f>VLOOKUP(F598,[1]!china_towns_second__2[[Column1]:[Y]],3,FALSE)</f>
        <v>30.119322685709601</v>
      </c>
      <c r="K598">
        <f>VLOOKUP(F598,[1]!china_towns_second__2[[Column1]:[Y]],2,FALSE)</f>
        <v>121.3103115</v>
      </c>
      <c r="L598" t="s">
        <v>4232</v>
      </c>
      <c r="M598" t="str">
        <f>VLOOKUP(H598,CHOOSE({1,2},Table12[Native],Table12[Name]),2,0)</f>
        <v>Cíxī Shì</v>
      </c>
      <c r="N598" s="15" t="str">
        <f>VLOOKUP(I598,CHOOSE({1,2},Table12[Native],Table12[Name]),2,0)</f>
        <v>Níngbō Shì</v>
      </c>
      <c r="O598" s="15" t="str">
        <f t="shared" si="18"/>
        <v>Kuangyan Zhen (Níngbō Shì)</v>
      </c>
      <c r="P598" s="15" t="str">
        <f t="shared" si="19"/>
        <v>Kuangyan Zhen (Níngbō Shì)</v>
      </c>
    </row>
    <row r="599" spans="1:16" hidden="1" x14ac:dyDescent="0.25">
      <c r="A599" t="s">
        <v>2461</v>
      </c>
      <c r="B599" t="str">
        <f>IF(COUNTIF(A:A,A599)&gt;1,_xlfn.CONCAT(A599," (",N599,")"),A599)</f>
        <v>Kūnyáng Xiāng</v>
      </c>
      <c r="C599" t="str">
        <f>IF(COUNTIF(B:B,B599)&gt;1,_xlfn.CONCAT(A599," (",M599,")"),B599)</f>
        <v>Kūnyáng Xiāng</v>
      </c>
      <c r="D599" t="s">
        <v>2462</v>
      </c>
      <c r="E599" t="s">
        <v>7</v>
      </c>
      <c r="F599" t="str">
        <f>_xlfn.CONCAT(D599,", ",H599,", ",I599,", ","浙江省")</f>
        <v>昆阳乡, 永嘉县, 温州市, 浙江省</v>
      </c>
      <c r="G599">
        <v>5665</v>
      </c>
      <c r="H599" t="s">
        <v>3010</v>
      </c>
      <c r="I599" t="s">
        <v>3000</v>
      </c>
      <c r="J599" t="e">
        <f>VLOOKUP(F599,[1]!china_towns_second__2[[Column1]:[Y]],3,FALSE)</f>
        <v>#N/A</v>
      </c>
      <c r="K599" t="e">
        <f>VLOOKUP(F599,[1]!china_towns_second__2[[Column1]:[Y]],2,FALSE)</f>
        <v>#N/A</v>
      </c>
      <c r="L599" t="s">
        <v>4233</v>
      </c>
      <c r="M599" t="str">
        <f>VLOOKUP(H599,CHOOSE({1,2},Table12[Native],Table12[Name]),2,0)</f>
        <v>Yŏngjiā Xiàn</v>
      </c>
      <c r="N599" s="15" t="str">
        <f>VLOOKUP(I599,CHOOSE({1,2},Table12[Native],Table12[Name]),2,0)</f>
        <v>Wēnzhōu Shì</v>
      </c>
      <c r="O599" s="15" t="str">
        <f t="shared" si="18"/>
        <v>Kunyang Xiang (Wēnzhōu Shì)</v>
      </c>
      <c r="P599" s="15" t="str">
        <f t="shared" si="19"/>
        <v>Kunyang Xiang (Wēnzhōu Shì)</v>
      </c>
    </row>
    <row r="600" spans="1:16" hidden="1" x14ac:dyDescent="0.25">
      <c r="A600" t="s">
        <v>2463</v>
      </c>
      <c r="B600" t="str">
        <f>IF(COUNTIF(A:A,A600)&gt;1,_xlfn.CONCAT(A600," (",N600,")"),A600)</f>
        <v>Kūnyáng Zhèn</v>
      </c>
      <c r="C600" t="str">
        <f>IF(COUNTIF(B:B,B600)&gt;1,_xlfn.CONCAT(A600," (",M600,")"),B600)</f>
        <v>Kūnyáng Zhèn</v>
      </c>
      <c r="D600" t="s">
        <v>2464</v>
      </c>
      <c r="E600" t="s">
        <v>11</v>
      </c>
      <c r="F600" t="str">
        <f>_xlfn.CONCAT(D600,", ",H600,", ",I600,", ","浙江省")</f>
        <v>昆阳镇, 平阳县, 温州市, 浙江省</v>
      </c>
      <c r="G600">
        <v>121472</v>
      </c>
      <c r="H600" t="s">
        <v>3006</v>
      </c>
      <c r="I600" t="s">
        <v>3000</v>
      </c>
      <c r="J600">
        <f>VLOOKUP(F600,[1]!china_towns_second__2[[Column1]:[Y]],3,FALSE)</f>
        <v>27.6847447782127</v>
      </c>
      <c r="K600">
        <f>VLOOKUP(F600,[1]!china_towns_second__2[[Column1]:[Y]],2,FALSE)</f>
        <v>120.5423569</v>
      </c>
      <c r="L600" t="s">
        <v>4234</v>
      </c>
      <c r="M600" t="str">
        <f>VLOOKUP(H600,CHOOSE({1,2},Table12[Native],Table12[Name]),2,0)</f>
        <v>Píngyáng Xiàn</v>
      </c>
      <c r="N600" s="15" t="str">
        <f>VLOOKUP(I600,CHOOSE({1,2},Table12[Native],Table12[Name]),2,0)</f>
        <v>Wēnzhōu Shì</v>
      </c>
      <c r="O600" s="15" t="str">
        <f t="shared" si="18"/>
        <v>Kunyang Zhen (Wēnzhōu Shì)</v>
      </c>
      <c r="P600" s="15" t="str">
        <f t="shared" si="19"/>
        <v>Kunyang Zhen (Wēnzhōu Shì)</v>
      </c>
    </row>
    <row r="601" spans="1:16" hidden="1" x14ac:dyDescent="0.25">
      <c r="A601" t="s">
        <v>2139</v>
      </c>
      <c r="B601" t="str">
        <f>IF(COUNTIF(A:A,A601)&gt;1,_xlfn.CONCAT(A601," (",N601,")"),A601)</f>
        <v>Kuòcāng Zhèn</v>
      </c>
      <c r="C601" t="str">
        <f>IF(COUNTIF(B:B,B601)&gt;1,_xlfn.CONCAT(A601," (",M601,")"),B601)</f>
        <v>Kuòcāng Zhèn</v>
      </c>
      <c r="D601" t="s">
        <v>2140</v>
      </c>
      <c r="E601" t="s">
        <v>11</v>
      </c>
      <c r="F601" t="str">
        <f>_xlfn.CONCAT(D601,", ",H601,", ",I601,", ","浙江省")</f>
        <v>括苍镇, 临海市, 台州市, 浙江省</v>
      </c>
      <c r="G601">
        <v>29509</v>
      </c>
      <c r="H601" t="s">
        <v>2992</v>
      </c>
      <c r="I601" t="s">
        <v>2989</v>
      </c>
      <c r="J601">
        <f>VLOOKUP(F601,[1]!china_towns_second__2[[Column1]:[Y]],3,FALSE)</f>
        <v>28.8192572769054</v>
      </c>
      <c r="K601">
        <f>VLOOKUP(F601,[1]!china_towns_second__2[[Column1]:[Y]],2,FALSE)</f>
        <v>120.9685341</v>
      </c>
      <c r="L601" t="s">
        <v>4235</v>
      </c>
      <c r="M601" t="str">
        <f>VLOOKUP(H601,CHOOSE({1,2},Table12[Native],Table12[Name]),2,0)</f>
        <v>Línhăi Shì</v>
      </c>
      <c r="N601" s="15" t="str">
        <f>VLOOKUP(I601,CHOOSE({1,2},Table12[Native],Table12[Name]),2,0)</f>
        <v>Táizhōu Shì</v>
      </c>
      <c r="O601" s="15" t="str">
        <f t="shared" si="18"/>
        <v>Kuocang Zhen (Táizhōu Shì)</v>
      </c>
      <c r="P601" s="15" t="str">
        <f t="shared" si="19"/>
        <v>Kuocang Zhen (Táizhōu Shì)</v>
      </c>
    </row>
    <row r="602" spans="1:16" hidden="1" x14ac:dyDescent="0.25">
      <c r="A602" t="s">
        <v>2465</v>
      </c>
      <c r="B602" t="str">
        <f>IF(COUNTIF(A:A,A602)&gt;1,_xlfn.CONCAT(A602," (",N602,")"),A602)</f>
        <v>Kuòshān Xiāng</v>
      </c>
      <c r="C602" t="str">
        <f>IF(COUNTIF(B:B,B602)&gt;1,_xlfn.CONCAT(A602," (",M602,")"),B602)</f>
        <v>Kuòshān Xiāng</v>
      </c>
      <c r="D602" t="s">
        <v>2466</v>
      </c>
      <c r="E602" t="s">
        <v>7</v>
      </c>
      <c r="F602" t="str">
        <f>_xlfn.CONCAT(D602,", ",H602,", ",I602,", ","浙江省")</f>
        <v>括山乡, 苍南县, 温州市, 浙江省</v>
      </c>
      <c r="G602">
        <v>6769</v>
      </c>
      <c r="H602" t="s">
        <v>3001</v>
      </c>
      <c r="I602" t="s">
        <v>3000</v>
      </c>
      <c r="J602" t="e">
        <f>VLOOKUP(F602,[1]!china_towns_second__2[[Column1]:[Y]],3,FALSE)</f>
        <v>#N/A</v>
      </c>
      <c r="K602" t="e">
        <f>VLOOKUP(F602,[1]!china_towns_second__2[[Column1]:[Y]],2,FALSE)</f>
        <v>#N/A</v>
      </c>
      <c r="L602" t="s">
        <v>4236</v>
      </c>
      <c r="M602" t="str">
        <f>VLOOKUP(H602,CHOOSE({1,2},Table12[Native],Table12[Name]),2,0)</f>
        <v>Cāngnán Xiàn</v>
      </c>
      <c r="N602" s="15" t="str">
        <f>VLOOKUP(I602,CHOOSE({1,2},Table12[Native],Table12[Name]),2,0)</f>
        <v>Wēnzhōu Shì</v>
      </c>
      <c r="O602" s="15" t="str">
        <f t="shared" si="18"/>
        <v>Kuoshan Xiang (Wēnzhōu Shì)</v>
      </c>
      <c r="P602" s="15" t="str">
        <f t="shared" si="19"/>
        <v>Kuoshan Xiang (Wēnzhōu Shì)</v>
      </c>
    </row>
    <row r="603" spans="1:16" hidden="1" x14ac:dyDescent="0.25">
      <c r="A603" t="s">
        <v>1145</v>
      </c>
      <c r="B603" t="str">
        <f>IF(COUNTIF(A:A,A603)&gt;1,_xlfn.CONCAT(A603," (",N603,")"),A603)</f>
        <v>Làkŏu Zhèn</v>
      </c>
      <c r="C603" t="str">
        <f>IF(COUNTIF(B:B,B603)&gt;1,_xlfn.CONCAT(A603," (",M603,")"),B603)</f>
        <v>Làkŏu Zhèn</v>
      </c>
      <c r="D603" t="s">
        <v>1146</v>
      </c>
      <c r="E603" t="s">
        <v>11</v>
      </c>
      <c r="F603" t="str">
        <f>_xlfn.CONCAT(D603,", ",H603,", ",I603,", ","浙江省")</f>
        <v>腊口镇, 青田县, 丽水市, 浙江省</v>
      </c>
      <c r="G603">
        <v>14016</v>
      </c>
      <c r="H603" t="s">
        <v>2955</v>
      </c>
      <c r="I603" t="s">
        <v>2949</v>
      </c>
      <c r="J603">
        <f>VLOOKUP(F603,[1]!china_towns_second__2[[Column1]:[Y]],3,FALSE)</f>
        <v>28.359005920473599</v>
      </c>
      <c r="K603">
        <f>VLOOKUP(F603,[1]!china_towns_second__2[[Column1]:[Y]],2,FALSE)</f>
        <v>119.9503057</v>
      </c>
      <c r="L603" t="s">
        <v>4237</v>
      </c>
      <c r="M603" t="str">
        <f>VLOOKUP(H603,CHOOSE({1,2},Table12[Native],Table12[Name]),2,0)</f>
        <v>Qīngtián Xiàn</v>
      </c>
      <c r="N603" s="15" t="str">
        <f>VLOOKUP(I603,CHOOSE({1,2},Table12[Native],Table12[Name]),2,0)</f>
        <v>Lìshuĭ Shì</v>
      </c>
      <c r="O603" s="15" t="str">
        <f t="shared" si="18"/>
        <v>Lakou Zhen (Lìshuĭ Shì)</v>
      </c>
      <c r="P603" s="15" t="str">
        <f t="shared" si="19"/>
        <v>Lakou Zhen (Lìshuĭ Shì)</v>
      </c>
    </row>
    <row r="604" spans="1:16" hidden="1" x14ac:dyDescent="0.25">
      <c r="A604" t="s">
        <v>181</v>
      </c>
      <c r="B604" t="str">
        <f>IF(COUNTIF(A:A,A604)&gt;1,_xlfn.CONCAT(A604," (",N604,")"),A604)</f>
        <v>Làngchuān Xiāng</v>
      </c>
      <c r="C604" t="str">
        <f>IF(COUNTIF(B:B,B604)&gt;1,_xlfn.CONCAT(A604," (",M604,")"),B604)</f>
        <v>Làngchuān Xiāng</v>
      </c>
      <c r="D604" t="s">
        <v>182</v>
      </c>
      <c r="E604" t="s">
        <v>7</v>
      </c>
      <c r="F604" t="str">
        <f>_xlfn.CONCAT(D604,", ",H604,", ",I604,", ","浙江省")</f>
        <v>浪川乡, 淳安县, 杭州市, 浙江省</v>
      </c>
      <c r="G604">
        <v>10941</v>
      </c>
      <c r="H604" t="s">
        <v>2907</v>
      </c>
      <c r="I604" t="s">
        <v>2903</v>
      </c>
      <c r="J604" t="e">
        <f>VLOOKUP(F604,[1]!china_towns_second__2[[Column1]:[Y]],3,FALSE)</f>
        <v>#N/A</v>
      </c>
      <c r="K604" t="e">
        <f>VLOOKUP(F604,[1]!china_towns_second__2[[Column1]:[Y]],2,FALSE)</f>
        <v>#N/A</v>
      </c>
      <c r="L604" t="s">
        <v>4238</v>
      </c>
      <c r="M604" t="str">
        <f>VLOOKUP(H604,CHOOSE({1,2},Table12[Native],Table12[Name]),2,0)</f>
        <v>Chún'ān Xiàn</v>
      </c>
      <c r="N604" s="15" t="str">
        <f>VLOOKUP(I604,CHOOSE({1,2},Table12[Native],Table12[Name]),2,0)</f>
        <v>Hángzhōu Shì</v>
      </c>
      <c r="O604" s="15" t="str">
        <f t="shared" si="18"/>
        <v>Langchuan Xiang (Hángzhōu Shì)</v>
      </c>
      <c r="P604" s="15" t="str">
        <f t="shared" si="19"/>
        <v>Langchuan Xiang (Hángzhōu Shì)</v>
      </c>
    </row>
    <row r="605" spans="1:16" hidden="1" x14ac:dyDescent="0.25">
      <c r="A605" t="s">
        <v>1478</v>
      </c>
      <c r="B605" t="str">
        <f>IF(COUNTIF(A:A,A605)&gt;1,_xlfn.CONCAT(A605," (",N605,")"),A605)</f>
        <v>Lăngxiá Jiēdào</v>
      </c>
      <c r="C605" t="str">
        <f>IF(COUNTIF(B:B,B605)&gt;1,_xlfn.CONCAT(A605," (",M605,")"),B605)</f>
        <v>Lăngxiá Jiēdào</v>
      </c>
      <c r="D605" t="s">
        <v>1479</v>
      </c>
      <c r="E605" t="s">
        <v>15</v>
      </c>
      <c r="F605" t="str">
        <f>_xlfn.CONCAT(D605,", ",H605,", ",I605,", ","浙江省")</f>
        <v>朗霞街道, 余姚市, 宁波市, 浙江省</v>
      </c>
      <c r="G605">
        <v>58246</v>
      </c>
      <c r="H605" t="s">
        <v>2970</v>
      </c>
      <c r="I605" t="s">
        <v>2961</v>
      </c>
      <c r="J605">
        <f>VLOOKUP(F605,[1]!china_towns_second__2[[Column1]:[Y]],3,FALSE)</f>
        <v>30.148721728264601</v>
      </c>
      <c r="K605">
        <f>VLOOKUP(F605,[1]!china_towns_second__2[[Column1]:[Y]],2,FALSE)</f>
        <v>121.1012314</v>
      </c>
      <c r="L605" t="s">
        <v>4239</v>
      </c>
      <c r="M605" t="str">
        <f>VLOOKUP(H605,CHOOSE({1,2},Table12[Native],Table12[Name]),2,0)</f>
        <v>Yúyáo Shì</v>
      </c>
      <c r="N605" s="15" t="str">
        <f>VLOOKUP(I605,CHOOSE({1,2},Table12[Native],Table12[Name]),2,0)</f>
        <v>Níngbō Shì</v>
      </c>
      <c r="O605" s="15" t="str">
        <f t="shared" si="18"/>
        <v>Langxia Jiedao (Níngbō Shì)</v>
      </c>
      <c r="P605" s="15" t="str">
        <f t="shared" si="19"/>
        <v>Langxia Jiedao (Níngbō Shì)</v>
      </c>
    </row>
    <row r="606" spans="1:16" hidden="1" x14ac:dyDescent="0.25">
      <c r="A606" t="s">
        <v>819</v>
      </c>
      <c r="B606" t="str">
        <f>IF(COUNTIF(A:A,A606)&gt;1,_xlfn.CONCAT(A606," (",N606,")"),A606)</f>
        <v>Lángyá Zhèn</v>
      </c>
      <c r="C606" t="str">
        <f>IF(COUNTIF(B:B,B606)&gt;1,_xlfn.CONCAT(A606," (",M606,")"),B606)</f>
        <v>Lángyá Zhèn</v>
      </c>
      <c r="D606" t="s">
        <v>820</v>
      </c>
      <c r="E606" t="s">
        <v>11</v>
      </c>
      <c r="F606" t="str">
        <f>_xlfn.CONCAT(D606,", ",H606,", ",I606,", ","浙江省")</f>
        <v>琅琊镇, 婺城区, 金华市, 浙江省</v>
      </c>
      <c r="G606">
        <v>14633</v>
      </c>
      <c r="H606" t="s">
        <v>2944</v>
      </c>
      <c r="I606" t="s">
        <v>2938</v>
      </c>
      <c r="J606">
        <f>VLOOKUP(F606,[1]!china_towns_second__2[[Column1]:[Y]],3,FALSE)</f>
        <v>28.980367526611001</v>
      </c>
      <c r="K606">
        <f>VLOOKUP(F606,[1]!china_towns_second__2[[Column1]:[Y]],2,FALSE)</f>
        <v>119.4738368</v>
      </c>
      <c r="L606" t="s">
        <v>4240</v>
      </c>
      <c r="M606" t="str">
        <f>VLOOKUP(H606,CHOOSE({1,2},Table12[Native],Table12[Name]),2,0)</f>
        <v>Wùchéng Qū</v>
      </c>
      <c r="N606" s="15" t="str">
        <f>VLOOKUP(I606,CHOOSE({1,2},Table12[Native],Table12[Name]),2,0)</f>
        <v>Jīnhuá Shì</v>
      </c>
      <c r="O606" s="15" t="str">
        <f t="shared" si="18"/>
        <v>Langya Zhen (Jīnhuá Shì)</v>
      </c>
      <c r="P606" s="15" t="str">
        <f t="shared" si="19"/>
        <v>Langya Zhen (Jīnhuá Shì)</v>
      </c>
    </row>
    <row r="607" spans="1:16" hidden="1" x14ac:dyDescent="0.25">
      <c r="A607" t="s">
        <v>821</v>
      </c>
      <c r="B607" t="str">
        <f>IF(COUNTIF(A:A,A607)&gt;1,_xlfn.CONCAT(A607," (",N607,")"),A607)</f>
        <v>Lánjiāng Jiēdào (Jīnhuá Shì)</v>
      </c>
      <c r="C607" t="str">
        <f>IF(COUNTIF(B:B,B607)&gt;1,_xlfn.CONCAT(A607," (",M607,")"),B607)</f>
        <v>Lánjiāng Jiēdào (Jīnhuá Shì)</v>
      </c>
      <c r="D607" t="s">
        <v>822</v>
      </c>
      <c r="E607" t="s">
        <v>15</v>
      </c>
      <c r="F607" t="str">
        <f>_xlfn.CONCAT(D607,", ",H607,", ",I607,", ","浙江省")</f>
        <v>兰江街道, 兰溪市, 金华市, 浙江省</v>
      </c>
      <c r="G607">
        <v>116951</v>
      </c>
      <c r="H607" t="s">
        <v>2941</v>
      </c>
      <c r="I607" t="s">
        <v>2938</v>
      </c>
      <c r="J607">
        <f>VLOOKUP(F607,[1]!china_towns_second__2[[Column1]:[Y]],3,FALSE)</f>
        <v>29.232887112878199</v>
      </c>
      <c r="K607">
        <f>VLOOKUP(F607,[1]!china_towns_second__2[[Column1]:[Y]],2,FALSE)</f>
        <v>119.4144076</v>
      </c>
      <c r="L607" t="s">
        <v>4241</v>
      </c>
      <c r="M607" t="str">
        <f>VLOOKUP(H607,CHOOSE({1,2},Table12[Native],Table12[Name]),2,0)</f>
        <v>Lánxī Shì</v>
      </c>
      <c r="N607" s="15" t="str">
        <f>VLOOKUP(I607,CHOOSE({1,2},Table12[Native],Table12[Name]),2,0)</f>
        <v>Jīnhuá Shì</v>
      </c>
      <c r="O607" s="15" t="str">
        <f t="shared" si="18"/>
        <v>Lanjiang Jiedao (Jinhua Shi) (Jīnhuá Shì)</v>
      </c>
      <c r="P607" s="15" t="str">
        <f t="shared" si="19"/>
        <v>Lanjiang Jiedao (Jinhua Shi) (Jīnhuá Shì)</v>
      </c>
    </row>
    <row r="608" spans="1:16" hidden="1" x14ac:dyDescent="0.25">
      <c r="A608" t="s">
        <v>821</v>
      </c>
      <c r="B608" t="str">
        <f>IF(COUNTIF(A:A,A608)&gt;1,_xlfn.CONCAT(A608," (",N608,")"),A608)</f>
        <v>Lánjiāng Jiēdào (Níngbō Shì)</v>
      </c>
      <c r="C608" t="str">
        <f>IF(COUNTIF(B:B,B608)&gt;1,_xlfn.CONCAT(A608," (",M608,")"),B608)</f>
        <v>Lánjiāng Jiēdào (Níngbō Shì)</v>
      </c>
      <c r="D608" t="s">
        <v>822</v>
      </c>
      <c r="E608" t="s">
        <v>15</v>
      </c>
      <c r="F608" t="str">
        <f>_xlfn.CONCAT(D608,", ",H608,", ",I608,", ","浙江省")</f>
        <v>兰江街道, 余姚市, 宁波市, 浙江省</v>
      </c>
      <c r="G608">
        <v>95315</v>
      </c>
      <c r="H608" t="s">
        <v>2970</v>
      </c>
      <c r="I608" t="s">
        <v>2961</v>
      </c>
      <c r="J608">
        <f>VLOOKUP(F608,[1]!china_towns_second__2[[Column1]:[Y]],3,FALSE)</f>
        <v>30.016457565893599</v>
      </c>
      <c r="K608">
        <f>VLOOKUP(F608,[1]!china_towns_second__2[[Column1]:[Y]],2,FALSE)</f>
        <v>121.0989407</v>
      </c>
      <c r="L608" t="s">
        <v>4242</v>
      </c>
      <c r="M608" t="str">
        <f>VLOOKUP(H608,CHOOSE({1,2},Table12[Native],Table12[Name]),2,0)</f>
        <v>Yúyáo Shì</v>
      </c>
      <c r="N608" s="15" t="str">
        <f>VLOOKUP(I608,CHOOSE({1,2},Table12[Native],Table12[Name]),2,0)</f>
        <v>Níngbō Shì</v>
      </c>
      <c r="O608" s="15" t="str">
        <f t="shared" si="18"/>
        <v>Lanjiang Jiedao (Ningbo Shi) (Níngbō Shì)</v>
      </c>
      <c r="P608" s="15" t="str">
        <f t="shared" si="19"/>
        <v>Lanjiang Jiedao (Ningbo Shi) (Níngbō Shì)</v>
      </c>
    </row>
    <row r="609" spans="1:16" hidden="1" x14ac:dyDescent="0.25">
      <c r="A609" t="s">
        <v>1147</v>
      </c>
      <c r="B609" t="str">
        <f>IF(COUNTIF(A:A,A609)&gt;1,_xlfn.CONCAT(A609," (",N609,")"),A609)</f>
        <v>Lánjù Xiāng</v>
      </c>
      <c r="C609" t="str">
        <f>IF(COUNTIF(B:B,B609)&gt;1,_xlfn.CONCAT(A609," (",M609,")"),B609)</f>
        <v>Lánjù Xiāng</v>
      </c>
      <c r="D609" t="s">
        <v>1148</v>
      </c>
      <c r="E609" t="s">
        <v>7</v>
      </c>
      <c r="F609" t="str">
        <f>_xlfn.CONCAT(D609,", ",H609,", ",I609,", ","浙江省")</f>
        <v>兰巨乡, 龙泉市, 丽水市, 浙江省</v>
      </c>
      <c r="G609">
        <v>9396</v>
      </c>
      <c r="H609" t="s">
        <v>2954</v>
      </c>
      <c r="I609" t="s">
        <v>2949</v>
      </c>
      <c r="J609" t="e">
        <f>VLOOKUP(F609,[1]!china_towns_second__2[[Column1]:[Y]],3,FALSE)</f>
        <v>#N/A</v>
      </c>
      <c r="K609" t="e">
        <f>VLOOKUP(F609,[1]!china_towns_second__2[[Column1]:[Y]],2,FALSE)</f>
        <v>#N/A</v>
      </c>
      <c r="L609" t="s">
        <v>4243</v>
      </c>
      <c r="M609" t="str">
        <f>VLOOKUP(H609,CHOOSE({1,2},Table12[Native],Table12[Name]),2,0)</f>
        <v>Lóngquán Shì</v>
      </c>
      <c r="N609" s="15" t="str">
        <f>VLOOKUP(I609,CHOOSE({1,2},Table12[Native],Table12[Name]),2,0)</f>
        <v>Lìshuĭ Shì</v>
      </c>
      <c r="O609" s="15" t="str">
        <f t="shared" si="18"/>
        <v>Lanju Xiang (Lìshuĭ Shì)</v>
      </c>
      <c r="P609" s="15" t="str">
        <f t="shared" si="19"/>
        <v>Lanju Xiang (Lìshuĭ Shì)</v>
      </c>
    </row>
    <row r="610" spans="1:16" hidden="1" x14ac:dyDescent="0.25">
      <c r="A610" t="s">
        <v>1934</v>
      </c>
      <c r="B610" t="str">
        <f>IF(COUNTIF(A:A,A610)&gt;1,_xlfn.CONCAT(A610," (",N610,")"),A610)</f>
        <v>Lántíng Jiēdào</v>
      </c>
      <c r="C610" t="str">
        <f>IF(COUNTIF(B:B,B610)&gt;1,_xlfn.CONCAT(A610," (",M610,")"),B610)</f>
        <v>Lántíng Jiēdào</v>
      </c>
      <c r="D610" t="s">
        <v>1935</v>
      </c>
      <c r="E610" t="s">
        <v>15</v>
      </c>
      <c r="F610" t="str">
        <f>_xlfn.CONCAT(D610,", ",H610,", ",I610,", ","浙江省")</f>
        <v>兰亭街道, 柯桥区, 绍兴市, 浙江省</v>
      </c>
      <c r="G610">
        <v>37880</v>
      </c>
      <c r="H610" t="s">
        <v>2982</v>
      </c>
      <c r="I610" t="s">
        <v>2981</v>
      </c>
      <c r="J610" t="e">
        <f>VLOOKUP(F610,[1]!china_towns_second__2[[Column1]:[Y]],3,FALSE)</f>
        <v>#N/A</v>
      </c>
      <c r="K610" t="e">
        <f>VLOOKUP(F610,[1]!china_towns_second__2[[Column1]:[Y]],2,FALSE)</f>
        <v>#N/A</v>
      </c>
      <c r="L610" t="s">
        <v>4244</v>
      </c>
      <c r="M610" t="str">
        <f>VLOOKUP(H610,CHOOSE({1,2},Table12[Native],Table12[Name]),2,0)</f>
        <v>Kēqiáo Qū</v>
      </c>
      <c r="N610" s="15" t="str">
        <f>VLOOKUP(I610,CHOOSE({1,2},Table12[Native],Table12[Name]),2,0)</f>
        <v>Shàoxīng Shì</v>
      </c>
      <c r="O610" s="15" t="str">
        <f t="shared" si="18"/>
        <v>Lanting Jiedao (Shàoxīng Shì)</v>
      </c>
      <c r="P610" s="15" t="str">
        <f t="shared" si="19"/>
        <v>Lanting Jiedao (Shàoxīng Shì)</v>
      </c>
    </row>
    <row r="611" spans="1:16" hidden="1" x14ac:dyDescent="0.25">
      <c r="A611" t="s">
        <v>1149</v>
      </c>
      <c r="B611" t="str">
        <f>IF(COUNTIF(A:A,A611)&gt;1,_xlfn.CONCAT(A611," (",N611,")"),A611)</f>
        <v>Lăozhú Shēzú Zhèn</v>
      </c>
      <c r="C611" t="str">
        <f>IF(COUNTIF(B:B,B611)&gt;1,_xlfn.CONCAT(A611," (",M611,")"),B611)</f>
        <v>Lăozhú Shēzú Zhèn</v>
      </c>
      <c r="D611" t="s">
        <v>1150</v>
      </c>
      <c r="E611" t="s">
        <v>11</v>
      </c>
      <c r="F611" t="str">
        <f>_xlfn.CONCAT(D611,", ",H611,", ",I611,", ","浙江省")</f>
        <v>老竹畲族镇, 莲都区, 丽水市, 浙江省</v>
      </c>
      <c r="G611">
        <v>8875</v>
      </c>
      <c r="H611" t="s">
        <v>2953</v>
      </c>
      <c r="I611" t="s">
        <v>2949</v>
      </c>
      <c r="J611">
        <f>VLOOKUP(F611,[1]!china_towns_second__2[[Column1]:[Y]],3,FALSE)</f>
        <v>28.532263299576499</v>
      </c>
      <c r="K611">
        <f>VLOOKUP(F611,[1]!china_towns_second__2[[Column1]:[Y]],2,FALSE)</f>
        <v>119.7550105</v>
      </c>
      <c r="L611" t="s">
        <v>4245</v>
      </c>
      <c r="M611" t="str">
        <f>VLOOKUP(H611,CHOOSE({1,2},Table12[Native],Table12[Name]),2,0)</f>
        <v>Liándū Qū</v>
      </c>
      <c r="N611" s="15" t="str">
        <f>VLOOKUP(I611,CHOOSE({1,2},Table12[Native],Table12[Name]),2,0)</f>
        <v>Lìshuĭ Shì</v>
      </c>
      <c r="O611" s="15" t="str">
        <f t="shared" si="18"/>
        <v>Laozhu Shezu Zhen (Lìshuĭ Shì)</v>
      </c>
      <c r="P611" s="15" t="str">
        <f t="shared" si="19"/>
        <v>Laozhu Shezu Zhen (Lìshuĭ Shì)</v>
      </c>
    </row>
    <row r="612" spans="1:16" hidden="1" x14ac:dyDescent="0.25">
      <c r="A612" t="s">
        <v>2467</v>
      </c>
      <c r="B612" t="str">
        <f>IF(COUNTIF(A:A,A612)&gt;1,_xlfn.CONCAT(A612," (",N612,")"),A612)</f>
        <v>Lèchéng Jiēdào</v>
      </c>
      <c r="C612" t="str">
        <f>IF(COUNTIF(B:B,B612)&gt;1,_xlfn.CONCAT(A612," (",M612,")"),B612)</f>
        <v>Lèchéng Jiēdào</v>
      </c>
      <c r="D612" t="s">
        <v>2468</v>
      </c>
      <c r="E612" t="s">
        <v>15</v>
      </c>
      <c r="F612" t="str">
        <f>_xlfn.CONCAT(D612,", ",H612,", ",I612,", ","浙江省")</f>
        <v>乐成街道, 乐清市, 温州市, 浙江省</v>
      </c>
      <c r="G612">
        <v>237447</v>
      </c>
      <c r="H612" t="s">
        <v>3011</v>
      </c>
      <c r="I612" t="s">
        <v>3000</v>
      </c>
      <c r="J612">
        <f>VLOOKUP(F612,[1]!china_towns_second__2[[Column1]:[Y]],3,FALSE)</f>
        <v>28.145383419967601</v>
      </c>
      <c r="K612">
        <f>VLOOKUP(F612,[1]!china_towns_second__2[[Column1]:[Y]],2,FALSE)</f>
        <v>120.9142439</v>
      </c>
      <c r="L612" t="s">
        <v>4246</v>
      </c>
      <c r="M612" t="str">
        <f>VLOOKUP(H612,CHOOSE({1,2},Table12[Native],Table12[Name]),2,0)</f>
        <v>Yuèqīng Shì</v>
      </c>
      <c r="N612" s="15" t="str">
        <f>VLOOKUP(I612,CHOOSE({1,2},Table12[Native],Table12[Name]),2,0)</f>
        <v>Wēnzhōu Shì</v>
      </c>
      <c r="O612" s="15" t="str">
        <f t="shared" si="18"/>
        <v>Lecheng Jiedao (Wēnzhōu Shì)</v>
      </c>
      <c r="P612" s="15" t="str">
        <f t="shared" si="19"/>
        <v>Lecheng Jiedao (Wēnzhōu Shì)</v>
      </c>
    </row>
    <row r="613" spans="1:16" hidden="1" x14ac:dyDescent="0.25">
      <c r="A613" t="s">
        <v>469</v>
      </c>
      <c r="B613" t="str">
        <f>IF(COUNTIF(A:A,A613)&gt;1,_xlfn.CONCAT(A613," (",N613,")"),A613)</f>
        <v>Léidiàn Zhèn</v>
      </c>
      <c r="C613" t="str">
        <f>IF(COUNTIF(B:B,B613)&gt;1,_xlfn.CONCAT(A613," (",M613,")"),B613)</f>
        <v>Léidiàn Zhèn</v>
      </c>
      <c r="D613" t="s">
        <v>470</v>
      </c>
      <c r="E613" t="s">
        <v>11</v>
      </c>
      <c r="F613" t="str">
        <f>_xlfn.CONCAT(D613,", ",H613,", ",I613,", ","浙江省")</f>
        <v>雷甸镇, 德清县, 湖州市, 浙江省</v>
      </c>
      <c r="G613">
        <v>36652</v>
      </c>
      <c r="H613" t="s">
        <v>2925</v>
      </c>
      <c r="I613" t="s">
        <v>2922</v>
      </c>
      <c r="J613">
        <f>VLOOKUP(F613,[1]!china_towns_second__2[[Column1]:[Y]],3,FALSE)</f>
        <v>30.5083155645064</v>
      </c>
      <c r="K613">
        <f>VLOOKUP(F613,[1]!china_towns_second__2[[Column1]:[Y]],2,FALSE)</f>
        <v>120.1415442</v>
      </c>
      <c r="L613" t="s">
        <v>4247</v>
      </c>
      <c r="M613" t="str">
        <f>VLOOKUP(H613,CHOOSE({1,2},Table12[Native],Table12[Name]),2,0)</f>
        <v>Déqīng Xiàn</v>
      </c>
      <c r="N613" s="15" t="str">
        <f>VLOOKUP(I613,CHOOSE({1,2},Table12[Native],Table12[Name]),2,0)</f>
        <v>Húzhōu Shì</v>
      </c>
      <c r="O613" s="15" t="str">
        <f t="shared" si="18"/>
        <v>Leidian Zhen (Húzhōu Shì)</v>
      </c>
      <c r="P613" s="15" t="str">
        <f t="shared" si="19"/>
        <v>Leidian Zhen (Húzhōu Shì)</v>
      </c>
    </row>
    <row r="614" spans="1:16" hidden="1" x14ac:dyDescent="0.25">
      <c r="A614" t="s">
        <v>2141</v>
      </c>
      <c r="B614" t="str">
        <f>IF(COUNTIF(A:A,A614)&gt;1,_xlfn.CONCAT(A614," (",N614,")"),A614)</f>
        <v>Léifēng Xiāng</v>
      </c>
      <c r="C614" t="str">
        <f>IF(COUNTIF(B:B,B614)&gt;1,_xlfn.CONCAT(A614," (",M614,")"),B614)</f>
        <v>Léifēng Xiāng</v>
      </c>
      <c r="D614" t="s">
        <v>2142</v>
      </c>
      <c r="E614" t="s">
        <v>7</v>
      </c>
      <c r="F614" t="str">
        <f>_xlfn.CONCAT(D614,", ",H614,", ",I614,", ","浙江省")</f>
        <v>雷峰乡, 天台县, 台州市, 浙江省</v>
      </c>
      <c r="G614">
        <v>5619</v>
      </c>
      <c r="H614" t="s">
        <v>2995</v>
      </c>
      <c r="I614" t="s">
        <v>2989</v>
      </c>
      <c r="J614" t="e">
        <f>VLOOKUP(F614,[1]!china_towns_second__2[[Column1]:[Y]],3,FALSE)</f>
        <v>#N/A</v>
      </c>
      <c r="K614" t="e">
        <f>VLOOKUP(F614,[1]!china_towns_second__2[[Column1]:[Y]],2,FALSE)</f>
        <v>#N/A</v>
      </c>
      <c r="L614" t="s">
        <v>4248</v>
      </c>
      <c r="M614" t="str">
        <f>VLOOKUP(H614,CHOOSE({1,2},Table12[Native],Table12[Name]),2,0)</f>
        <v>Tiāntái Xiàn</v>
      </c>
      <c r="N614" s="15" t="str">
        <f>VLOOKUP(I614,CHOOSE({1,2},Table12[Native],Table12[Name]),2,0)</f>
        <v>Táizhōu Shì</v>
      </c>
      <c r="O614" s="15" t="str">
        <f t="shared" si="18"/>
        <v>Leifeng Xiang (Táizhōu Shì)</v>
      </c>
      <c r="P614" s="15" t="str">
        <f t="shared" si="19"/>
        <v>Leifeng Xiang (Táizhōu Shì)</v>
      </c>
    </row>
    <row r="615" spans="1:16" hidden="1" x14ac:dyDescent="0.25">
      <c r="A615" t="s">
        <v>823</v>
      </c>
      <c r="B615" t="str">
        <f>IF(COUNTIF(A:A,A615)&gt;1,_xlfn.CONCAT(A615," (",N615,")"),A615)</f>
        <v>Lĕngshuĭ Zhèn</v>
      </c>
      <c r="C615" t="str">
        <f>IF(COUNTIF(B:B,B615)&gt;1,_xlfn.CONCAT(A615," (",M615,")"),B615)</f>
        <v>Lĕngshuĭ Zhèn</v>
      </c>
      <c r="D615" t="s">
        <v>824</v>
      </c>
      <c r="E615" t="s">
        <v>11</v>
      </c>
      <c r="F615" t="str">
        <f>_xlfn.CONCAT(D615,", ",H615,", ",I615,", ","浙江省")</f>
        <v>冷水镇, 磐安县, 金华市, 浙江省</v>
      </c>
      <c r="G615">
        <v>7308</v>
      </c>
      <c r="H615" t="s">
        <v>2942</v>
      </c>
      <c r="I615" t="s">
        <v>2938</v>
      </c>
      <c r="J615">
        <f>VLOOKUP(F615,[1]!china_towns_second__2[[Column1]:[Y]],3,FALSE)</f>
        <v>28.903238667597801</v>
      </c>
      <c r="K615">
        <f>VLOOKUP(F615,[1]!china_towns_second__2[[Column1]:[Y]],2,FALSE)</f>
        <v>120.3356409</v>
      </c>
      <c r="L615" t="s">
        <v>4249</v>
      </c>
      <c r="M615" t="str">
        <f>VLOOKUP(H615,CHOOSE({1,2},Table12[Native],Table12[Name]),2,0)</f>
        <v>Pán'ān Xiàn</v>
      </c>
      <c r="N615" s="15" t="str">
        <f>VLOOKUP(I615,CHOOSE({1,2},Table12[Native],Table12[Name]),2,0)</f>
        <v>Jīnhuá Shì</v>
      </c>
      <c r="O615" s="15" t="str">
        <f t="shared" si="18"/>
        <v>Lengshui Zhen (Jīnhuá Shì)</v>
      </c>
      <c r="P615" s="15" t="str">
        <f t="shared" si="19"/>
        <v>Lengshui Zhen (Jīnhuá Shì)</v>
      </c>
    </row>
    <row r="616" spans="1:16" hidden="1" x14ac:dyDescent="0.25">
      <c r="A616" t="s">
        <v>1151</v>
      </c>
      <c r="B616" t="str">
        <f>IF(COUNTIF(A:A,A616)&gt;1,_xlfn.CONCAT(A616," (",N616,")"),A616)</f>
        <v>Liánchéng Jiēdào</v>
      </c>
      <c r="C616" t="str">
        <f>IF(COUNTIF(B:B,B616)&gt;1,_xlfn.CONCAT(A616," (",M616,")"),B616)</f>
        <v>Liánchéng Jiēdào</v>
      </c>
      <c r="D616" t="s">
        <v>1152</v>
      </c>
      <c r="E616" t="s">
        <v>15</v>
      </c>
      <c r="F616" t="str">
        <f>_xlfn.CONCAT(D616,", ",H616,", ",I616,", ","浙江省")</f>
        <v>联城街道, 莲都区, 丽水市, 浙江省</v>
      </c>
      <c r="G616">
        <v>11300</v>
      </c>
      <c r="H616" t="s">
        <v>2953</v>
      </c>
      <c r="I616" t="s">
        <v>2949</v>
      </c>
      <c r="J616">
        <f>VLOOKUP(F616,[1]!china_towns_second__2[[Column1]:[Y]],3,FALSE)</f>
        <v>28.476768023866899</v>
      </c>
      <c r="K616">
        <f>VLOOKUP(F616,[1]!china_towns_second__2[[Column1]:[Y]],2,FALSE)</f>
        <v>119.8147475</v>
      </c>
      <c r="L616" t="s">
        <v>4250</v>
      </c>
      <c r="M616" t="str">
        <f>VLOOKUP(H616,CHOOSE({1,2},Table12[Native],Table12[Name]),2,0)</f>
        <v>Liándū Qū</v>
      </c>
      <c r="N616" s="15" t="str">
        <f>VLOOKUP(I616,CHOOSE({1,2},Table12[Native],Table12[Name]),2,0)</f>
        <v>Lìshuĭ Shì</v>
      </c>
      <c r="O616" s="15" t="str">
        <f t="shared" si="18"/>
        <v>Liancheng Jiedao (Lìshuĭ Shì)</v>
      </c>
      <c r="P616" s="15" t="str">
        <f t="shared" si="19"/>
        <v>Liancheng Jiedao (Lìshuĭ Shì)</v>
      </c>
    </row>
    <row r="617" spans="1:16" hidden="1" x14ac:dyDescent="0.25">
      <c r="A617" t="s">
        <v>1936</v>
      </c>
      <c r="B617" t="str">
        <f>IF(COUNTIF(A:A,A617)&gt;1,_xlfn.CONCAT(A617," (",N617,")"),A617)</f>
        <v>Liánghú Jiēdào</v>
      </c>
      <c r="C617" t="str">
        <f>IF(COUNTIF(B:B,B617)&gt;1,_xlfn.CONCAT(A617," (",M617,")"),B617)</f>
        <v>Liánghú Jiēdào</v>
      </c>
      <c r="D617" t="s">
        <v>1937</v>
      </c>
      <c r="E617" t="s">
        <v>15</v>
      </c>
      <c r="F617" t="str">
        <f>_xlfn.CONCAT(D617,", ",H617,", ",I617,", ","浙江省")</f>
        <v>梁湖街道, 上虞区, 绍兴市, 浙江省</v>
      </c>
      <c r="G617">
        <v>26900</v>
      </c>
      <c r="H617" t="s">
        <v>2983</v>
      </c>
      <c r="I617" t="s">
        <v>2981</v>
      </c>
      <c r="J617" t="e">
        <f>VLOOKUP(F617,[1]!china_towns_second__2[[Column1]:[Y]],3,FALSE)</f>
        <v>#N/A</v>
      </c>
      <c r="K617" t="e">
        <f>VLOOKUP(F617,[1]!china_towns_second__2[[Column1]:[Y]],2,FALSE)</f>
        <v>#N/A</v>
      </c>
      <c r="L617" t="s">
        <v>4251</v>
      </c>
      <c r="M617" t="str">
        <f>VLOOKUP(H617,CHOOSE({1,2},Table12[Native],Table12[Name]),2,0)</f>
        <v>Shàngyú Qū</v>
      </c>
      <c r="N617" s="15" t="str">
        <f>VLOOKUP(I617,CHOOSE({1,2},Table12[Native],Table12[Name]),2,0)</f>
        <v>Shàoxīng Shì</v>
      </c>
      <c r="O617" s="15" t="str">
        <f t="shared" si="18"/>
        <v>Lianghu Jiedao (Shàoxīng Shì)</v>
      </c>
      <c r="P617" s="15" t="str">
        <f t="shared" si="19"/>
        <v>Lianghu Jiedao (Shàoxīng Shì)</v>
      </c>
    </row>
    <row r="618" spans="1:16" hidden="1" x14ac:dyDescent="0.25">
      <c r="A618" t="s">
        <v>1480</v>
      </c>
      <c r="B618" t="str">
        <f>IF(COUNTIF(A:A,A618)&gt;1,_xlfn.CONCAT(A618," (",N618,")"),A618)</f>
        <v>Liángnòng Zhèn</v>
      </c>
      <c r="C618" t="str">
        <f>IF(COUNTIF(B:B,B618)&gt;1,_xlfn.CONCAT(A618," (",M618,")"),B618)</f>
        <v>Liángnòng Zhèn</v>
      </c>
      <c r="D618" t="s">
        <v>1481</v>
      </c>
      <c r="E618" t="s">
        <v>11</v>
      </c>
      <c r="F618" t="str">
        <f>_xlfn.CONCAT(D618,", ",H618,", ",I618,", ","浙江省")</f>
        <v>梁弄镇, 余姚市, 宁波市, 浙江省</v>
      </c>
      <c r="G618">
        <v>28536</v>
      </c>
      <c r="H618" t="s">
        <v>2970</v>
      </c>
      <c r="I618" t="s">
        <v>2961</v>
      </c>
      <c r="J618">
        <f>VLOOKUP(F618,[1]!china_towns_second__2[[Column1]:[Y]],3,FALSE)</f>
        <v>29.9085641062956</v>
      </c>
      <c r="K618">
        <f>VLOOKUP(F618,[1]!china_towns_second__2[[Column1]:[Y]],2,FALSE)</f>
        <v>121.07105230000001</v>
      </c>
      <c r="L618" t="s">
        <v>4252</v>
      </c>
      <c r="M618" t="str">
        <f>VLOOKUP(H618,CHOOSE({1,2},Table12[Native],Table12[Name]),2,0)</f>
        <v>Yúyáo Shì</v>
      </c>
      <c r="N618" s="15" t="str">
        <f>VLOOKUP(I618,CHOOSE({1,2},Table12[Native],Table12[Name]),2,0)</f>
        <v>Níngbō Shì</v>
      </c>
      <c r="O618" s="15" t="str">
        <f t="shared" si="18"/>
        <v>Liangnong Zhen (Níngbō Shì)</v>
      </c>
      <c r="P618" s="15" t="str">
        <f t="shared" si="19"/>
        <v>Liangnong Zhen (Níngbō Shì)</v>
      </c>
    </row>
    <row r="619" spans="1:16" hidden="1" x14ac:dyDescent="0.25">
      <c r="A619" t="s">
        <v>183</v>
      </c>
      <c r="B619" t="str">
        <f>IF(COUNTIF(A:A,A619)&gt;1,_xlfn.CONCAT(A619," (",N619,")"),A619)</f>
        <v>Liángzhŭ Jiēdào</v>
      </c>
      <c r="C619" t="str">
        <f>IF(COUNTIF(B:B,B619)&gt;1,_xlfn.CONCAT(A619," (",M619,")"),B619)</f>
        <v>Liángzhŭ Jiēdào</v>
      </c>
      <c r="D619" t="s">
        <v>184</v>
      </c>
      <c r="E619" t="s">
        <v>15</v>
      </c>
      <c r="F619" t="str">
        <f>_xlfn.CONCAT(D619,", ",H619,", ",I619,", ","浙江省")</f>
        <v>良渚街道, 余杭区, 杭州市, 浙江省</v>
      </c>
      <c r="G619">
        <v>148946</v>
      </c>
      <c r="H619" t="s">
        <v>2919</v>
      </c>
      <c r="I619" t="s">
        <v>2903</v>
      </c>
      <c r="J619">
        <f>VLOOKUP(F619,[1]!china_towns_second__2[[Column1]:[Y]],3,FALSE)</f>
        <v>30.383038852739801</v>
      </c>
      <c r="K619">
        <f>VLOOKUP(F619,[1]!china_towns_second__2[[Column1]:[Y]],2,FALSE)</f>
        <v>120.04286329999999</v>
      </c>
      <c r="L619" t="s">
        <v>4253</v>
      </c>
      <c r="M619" t="str">
        <f>VLOOKUP(H619,CHOOSE({1,2},Table12[Native],Table12[Name]),2,0)</f>
        <v>Yúháng Qū</v>
      </c>
      <c r="N619" s="15" t="str">
        <f>VLOOKUP(I619,CHOOSE({1,2},Table12[Native],Table12[Name]),2,0)</f>
        <v>Hángzhōu Shì</v>
      </c>
      <c r="O619" s="15" t="str">
        <f t="shared" si="18"/>
        <v>Liangzhu Jiedao (Hángzhōu Shì)</v>
      </c>
      <c r="P619" s="15" t="str">
        <f t="shared" si="19"/>
        <v>Liangzhu Jiedao (Hángzhōu Shì)</v>
      </c>
    </row>
    <row r="620" spans="1:16" hidden="1" x14ac:dyDescent="0.25">
      <c r="A620" t="s">
        <v>185</v>
      </c>
      <c r="B620" t="str">
        <f>IF(COUNTIF(A:A,A620)&gt;1,_xlfn.CONCAT(A620," (",N620,")"),A620)</f>
        <v>Liánhuā Zhèn (Hángzhōu Shì)</v>
      </c>
      <c r="C620" t="str">
        <f>IF(COUNTIF(B:B,B620)&gt;1,_xlfn.CONCAT(A620," (",M620,")"),B620)</f>
        <v>Liánhuā Zhèn (Hángzhōu Shì)</v>
      </c>
      <c r="D620" t="s">
        <v>186</v>
      </c>
      <c r="E620" t="s">
        <v>11</v>
      </c>
      <c r="F620" t="str">
        <f>_xlfn.CONCAT(D620,", ",H620,", ",I620,", ","浙江省")</f>
        <v>莲花镇, 建德市, 杭州市, 浙江省</v>
      </c>
      <c r="G620">
        <v>7988</v>
      </c>
      <c r="H620" t="s">
        <v>2910</v>
      </c>
      <c r="I620" t="s">
        <v>2903</v>
      </c>
      <c r="J620">
        <f>VLOOKUP(F620,[1]!china_towns_second__2[[Column1]:[Y]],3,FALSE)</f>
        <v>29.601412619551599</v>
      </c>
      <c r="K620">
        <f>VLOOKUP(F620,[1]!china_towns_second__2[[Column1]:[Y]],2,FALSE)</f>
        <v>119.2937433</v>
      </c>
      <c r="L620" t="s">
        <v>4254</v>
      </c>
      <c r="M620" t="str">
        <f>VLOOKUP(H620,CHOOSE({1,2},Table12[Native],Table12[Name]),2,0)</f>
        <v>Jiàndé Shì</v>
      </c>
      <c r="N620" s="15" t="str">
        <f>VLOOKUP(I620,CHOOSE({1,2},Table12[Native],Table12[Name]),2,0)</f>
        <v>Hángzhōu Shì</v>
      </c>
      <c r="O620" s="15" t="str">
        <f t="shared" si="18"/>
        <v>Lianhua Zhen (Hangzhou Shi) (Hángzhōu Shì)</v>
      </c>
      <c r="P620" s="15" t="str">
        <f t="shared" si="19"/>
        <v>Lianhua Zhen (Hangzhou Shi) (Hángzhōu Shì)</v>
      </c>
    </row>
    <row r="621" spans="1:16" hidden="1" x14ac:dyDescent="0.25">
      <c r="A621" t="s">
        <v>185</v>
      </c>
      <c r="B621" t="str">
        <f>IF(COUNTIF(A:A,A621)&gt;1,_xlfn.CONCAT(A621," (",N621,")"),A621)</f>
        <v>Liánhuā Zhèn (Qúzhōu Shì)</v>
      </c>
      <c r="C621" t="str">
        <f>IF(COUNTIF(B:B,B621)&gt;1,_xlfn.CONCAT(A621," (",M621,")"),B621)</f>
        <v>Liánhuā Zhèn (Qúzhōu Shì)</v>
      </c>
      <c r="D621" t="s">
        <v>186</v>
      </c>
      <c r="E621" t="s">
        <v>11</v>
      </c>
      <c r="F621" t="str">
        <f>_xlfn.CONCAT(D621,", ",H621,", ",I621,", ","浙江省")</f>
        <v>莲花镇, 衢江区, 衢州市, 浙江省</v>
      </c>
      <c r="G621">
        <v>28415</v>
      </c>
      <c r="H621" t="s">
        <v>2979</v>
      </c>
      <c r="I621" t="s">
        <v>2973</v>
      </c>
      <c r="J621">
        <f>VLOOKUP(F621,[1]!china_towns_second__2[[Column1]:[Y]],3,FALSE)</f>
        <v>29.098727048621502</v>
      </c>
      <c r="K621">
        <f>VLOOKUP(F621,[1]!china_towns_second__2[[Column1]:[Y]],2,FALSE)</f>
        <v>119.02741210000001</v>
      </c>
      <c r="L621" t="s">
        <v>4255</v>
      </c>
      <c r="M621" t="str">
        <f>VLOOKUP(H621,CHOOSE({1,2},Table12[Native],Table12[Name]),2,0)</f>
        <v>Qújiāng Qū</v>
      </c>
      <c r="N621" s="15" t="str">
        <f>VLOOKUP(I621,CHOOSE({1,2},Table12[Native],Table12[Name]),2,0)</f>
        <v>Qúzhōu Shì</v>
      </c>
      <c r="O621" s="15" t="str">
        <f t="shared" si="18"/>
        <v>Lianhua Zhen (Quzhou Shi) (Qúzhōu Shì)</v>
      </c>
      <c r="P621" s="15" t="str">
        <f t="shared" si="19"/>
        <v>Lianhua Zhen (Quzhou Shi) (Qúzhōu Shì)</v>
      </c>
    </row>
    <row r="622" spans="1:16" hidden="1" x14ac:dyDescent="0.25">
      <c r="A622" t="s">
        <v>471</v>
      </c>
      <c r="B622" t="str">
        <f>IF(COUNTIF(A:A,A622)&gt;1,_xlfn.CONCAT(A622," (",N622,")"),A622)</f>
        <v>Liànshì Zhèn</v>
      </c>
      <c r="C622" t="str">
        <f>IF(COUNTIF(B:B,B622)&gt;1,_xlfn.CONCAT(A622," (",M622,")"),B622)</f>
        <v>Liànshì Zhèn</v>
      </c>
      <c r="D622" t="s">
        <v>472</v>
      </c>
      <c r="E622" t="s">
        <v>11</v>
      </c>
      <c r="F622" t="str">
        <f>_xlfn.CONCAT(D622,", ",H622,", ",I622,", ","浙江省")</f>
        <v>练市镇, 南浔区, 湖州市, 浙江省</v>
      </c>
      <c r="G622">
        <v>87255</v>
      </c>
      <c r="H622" t="s">
        <v>2926</v>
      </c>
      <c r="I622" t="s">
        <v>2922</v>
      </c>
      <c r="J622">
        <f>VLOOKUP(F622,[1]!china_towns_second__2[[Column1]:[Y]],3,FALSE)</f>
        <v>30.7265843875455</v>
      </c>
      <c r="K622">
        <f>VLOOKUP(F622,[1]!china_towns_second__2[[Column1]:[Y]],2,FALSE)</f>
        <v>120.40564689999999</v>
      </c>
      <c r="L622" t="s">
        <v>4256</v>
      </c>
      <c r="M622" t="str">
        <f>VLOOKUP(H622,CHOOSE({1,2},Table12[Native],Table12[Name]),2,0)</f>
        <v>Nánxún Qū</v>
      </c>
      <c r="N622" s="15" t="str">
        <f>VLOOKUP(I622,CHOOSE({1,2},Table12[Native],Table12[Name]),2,0)</f>
        <v>Húzhōu Shì</v>
      </c>
      <c r="O622" s="15" t="str">
        <f t="shared" si="18"/>
        <v>Lianshi Zhen (Húzhōu Shì)</v>
      </c>
      <c r="P622" s="15" t="str">
        <f t="shared" si="19"/>
        <v>Lianshi Zhen (Húzhōu Shì)</v>
      </c>
    </row>
    <row r="623" spans="1:16" hidden="1" x14ac:dyDescent="0.25">
      <c r="A623" t="s">
        <v>2469</v>
      </c>
      <c r="B623" t="str">
        <f>IF(COUNTIF(A:A,A623)&gt;1,_xlfn.CONCAT(A623," (",N623,")"),A623)</f>
        <v>Liányún Xiāng</v>
      </c>
      <c r="C623" t="str">
        <f>IF(COUNTIF(B:B,B623)&gt;1,_xlfn.CONCAT(A623," (",M623,")"),B623)</f>
        <v>Liányún Xiāng</v>
      </c>
      <c r="D623" t="s">
        <v>2470</v>
      </c>
      <c r="E623" t="s">
        <v>7</v>
      </c>
      <c r="F623" t="str">
        <f>_xlfn.CONCAT(D623,", ",H623,", ",I623,", ","浙江省")</f>
        <v>联云乡, 泰顺县, 温州市, 浙江省</v>
      </c>
      <c r="G623">
        <v>2162</v>
      </c>
      <c r="H623" t="s">
        <v>3008</v>
      </c>
      <c r="I623" t="s">
        <v>3000</v>
      </c>
      <c r="J623" t="e">
        <f>VLOOKUP(F623,[1]!china_towns_second__2[[Column1]:[Y]],3,FALSE)</f>
        <v>#N/A</v>
      </c>
      <c r="K623" t="e">
        <f>VLOOKUP(F623,[1]!china_towns_second__2[[Column1]:[Y]],2,FALSE)</f>
        <v>#N/A</v>
      </c>
      <c r="L623" t="s">
        <v>4257</v>
      </c>
      <c r="M623" t="str">
        <f>VLOOKUP(H623,CHOOSE({1,2},Table12[Native],Table12[Name]),2,0)</f>
        <v>Tàishùn Xiàn</v>
      </c>
      <c r="N623" s="15" t="str">
        <f>VLOOKUP(I623,CHOOSE({1,2},Table12[Native],Table12[Name]),2,0)</f>
        <v>Wēnzhōu Shì</v>
      </c>
      <c r="O623" s="15" t="str">
        <f t="shared" si="18"/>
        <v>Lianyun Xiang (Wēnzhōu Shì)</v>
      </c>
      <c r="P623" s="15" t="str">
        <f t="shared" si="19"/>
        <v>Lianyun Xiang (Wēnzhōu Shì)</v>
      </c>
    </row>
    <row r="624" spans="1:16" hidden="1" x14ac:dyDescent="0.25">
      <c r="A624" t="s">
        <v>1153</v>
      </c>
      <c r="B624" t="str">
        <f>IF(COUNTIF(A:A,A624)&gt;1,_xlfn.CONCAT(A624," (",N624,")"),A624)</f>
        <v>Liánzhú Xiāng</v>
      </c>
      <c r="C624" t="str">
        <f>IF(COUNTIF(B:B,B624)&gt;1,_xlfn.CONCAT(A624," (",M624,")"),B624)</f>
        <v>Liánzhú Xiāng</v>
      </c>
      <c r="D624" t="s">
        <v>1154</v>
      </c>
      <c r="E624" t="s">
        <v>7</v>
      </c>
      <c r="F624" t="str">
        <f>_xlfn.CONCAT(D624,", ",H624,", ",I624,", ","浙江省")</f>
        <v>濂竹乡, 遂昌县, 丽水市, 浙江省</v>
      </c>
      <c r="G624">
        <v>2267</v>
      </c>
      <c r="H624" t="s">
        <v>2958</v>
      </c>
      <c r="I624" t="s">
        <v>2949</v>
      </c>
      <c r="J624" t="e">
        <f>VLOOKUP(F624,[1]!china_towns_second__2[[Column1]:[Y]],3,FALSE)</f>
        <v>#N/A</v>
      </c>
      <c r="K624" t="e">
        <f>VLOOKUP(F624,[1]!china_towns_second__2[[Column1]:[Y]],2,FALSE)</f>
        <v>#N/A</v>
      </c>
      <c r="L624" t="s">
        <v>4258</v>
      </c>
      <c r="M624" t="str">
        <f>VLOOKUP(H624,CHOOSE({1,2},Table12[Native],Table12[Name]),2,0)</f>
        <v>Suìchāng Xiàn</v>
      </c>
      <c r="N624" s="15" t="str">
        <f>VLOOKUP(I624,CHOOSE({1,2},Table12[Native],Table12[Name]),2,0)</f>
        <v>Lìshuĭ Shì</v>
      </c>
      <c r="O624" s="15" t="str">
        <f t="shared" si="18"/>
        <v>Lianzhu Xiang (Lìshuĭ Shì)</v>
      </c>
      <c r="P624" s="15" t="str">
        <f t="shared" si="19"/>
        <v>Lianzhu Xiang (Lìshuĭ Shì)</v>
      </c>
    </row>
    <row r="625" spans="1:16" hidden="1" x14ac:dyDescent="0.25">
      <c r="A625" t="s">
        <v>2471</v>
      </c>
      <c r="B625" t="str">
        <f>IF(COUNTIF(A:A,A625)&gt;1,_xlfn.CONCAT(A625," (",N625,")"),A625)</f>
        <v>Lì'ào Jiēdào</v>
      </c>
      <c r="C625" t="str">
        <f>IF(COUNTIF(B:B,B625)&gt;1,_xlfn.CONCAT(A625," (",M625,")"),B625)</f>
        <v>Lì'ào Jiēdào</v>
      </c>
      <c r="D625" t="s">
        <v>2472</v>
      </c>
      <c r="E625" t="s">
        <v>15</v>
      </c>
      <c r="F625" t="str">
        <f>_xlfn.CONCAT(D625,", ",H625,", ",I625,", ","浙江省")</f>
        <v>丽岙街道, 瓯海区, 温州市, 浙江省</v>
      </c>
      <c r="G625">
        <v>34976</v>
      </c>
      <c r="H625" t="s">
        <v>3005</v>
      </c>
      <c r="I625" t="s">
        <v>3000</v>
      </c>
      <c r="J625">
        <f>VLOOKUP(F625,[1]!china_towns_second__2[[Column1]:[Y]],3,FALSE)</f>
        <v>27.903877950588502</v>
      </c>
      <c r="K625">
        <f>VLOOKUP(F625,[1]!china_towns_second__2[[Column1]:[Y]],2,FALSE)</f>
        <v>120.6310577</v>
      </c>
      <c r="L625" t="s">
        <v>4259</v>
      </c>
      <c r="M625" t="str">
        <f>VLOOKUP(H625,CHOOSE({1,2},Table12[Native],Table12[Name]),2,0)</f>
        <v>Ōuhăi Qū</v>
      </c>
      <c r="N625" s="15" t="str">
        <f>VLOOKUP(I625,CHOOSE({1,2},Table12[Native],Table12[Name]),2,0)</f>
        <v>Wēnzhōu Shì</v>
      </c>
      <c r="O625" s="15" t="str">
        <f t="shared" si="18"/>
        <v>Li'ao Jiedao (Wēnzhōu Shì)</v>
      </c>
      <c r="P625" s="15" t="str">
        <f t="shared" si="19"/>
        <v>Li'ao Jiedao (Wēnzhōu Shì)</v>
      </c>
    </row>
    <row r="626" spans="1:16" hidden="1" x14ac:dyDescent="0.25">
      <c r="A626" t="s">
        <v>1938</v>
      </c>
      <c r="B626" t="str">
        <f>IF(COUNTIF(A:A,A626)&gt;1,_xlfn.CONCAT(A626," (",N626,")"),A626)</f>
        <v>Lìhăi Jiēdào</v>
      </c>
      <c r="C626" t="str">
        <f>IF(COUNTIF(B:B,B626)&gt;1,_xlfn.CONCAT(A626," (",M626,")"),B626)</f>
        <v>Lìhăi Jiēdào</v>
      </c>
      <c r="D626" t="s">
        <v>1939</v>
      </c>
      <c r="E626" t="s">
        <v>15</v>
      </c>
      <c r="F626" t="str">
        <f>_xlfn.CONCAT(D626,", ",H626,", ",I626,", ","浙江省")</f>
        <v>沥海街道, 上虞区, 绍兴市, 浙江省</v>
      </c>
      <c r="G626">
        <v>51818</v>
      </c>
      <c r="H626" t="s">
        <v>2983</v>
      </c>
      <c r="I626" t="s">
        <v>2981</v>
      </c>
      <c r="J626" t="e">
        <f>VLOOKUP(F626,[1]!china_towns_second__2[[Column1]:[Y]],3,FALSE)</f>
        <v>#N/A</v>
      </c>
      <c r="K626" t="e">
        <f>VLOOKUP(F626,[1]!china_towns_second__2[[Column1]:[Y]],2,FALSE)</f>
        <v>#N/A</v>
      </c>
      <c r="L626" t="s">
        <v>4260</v>
      </c>
      <c r="M626" t="str">
        <f>VLOOKUP(H626,CHOOSE({1,2},Table12[Native],Table12[Name]),2,0)</f>
        <v>Shàngyú Qū</v>
      </c>
      <c r="N626" s="15" t="str">
        <f>VLOOKUP(I626,CHOOSE({1,2},Table12[Native],Table12[Name]),2,0)</f>
        <v>Shàoxīng Shì</v>
      </c>
      <c r="O626" s="15" t="str">
        <f t="shared" si="18"/>
        <v>Lihai Jiedao (Shàoxīng Shì)</v>
      </c>
      <c r="P626" s="15" t="str">
        <f t="shared" si="19"/>
        <v>Lihai Jiedao (Shàoxīng Shì)</v>
      </c>
    </row>
    <row r="627" spans="1:16" hidden="1" x14ac:dyDescent="0.25">
      <c r="A627" t="s">
        <v>187</v>
      </c>
      <c r="B627" t="str">
        <f>IF(COUNTIF(A:A,A627)&gt;1,_xlfn.CONCAT(A627," (",N627,")"),A627)</f>
        <v>Lĭjiā Zhèn</v>
      </c>
      <c r="C627" t="str">
        <f>IF(COUNTIF(B:B,B627)&gt;1,_xlfn.CONCAT(A627," (",M627,")"),B627)</f>
        <v>Lĭjiā Zhèn</v>
      </c>
      <c r="D627" t="s">
        <v>188</v>
      </c>
      <c r="E627" t="s">
        <v>11</v>
      </c>
      <c r="F627" t="str">
        <f>_xlfn.CONCAT(D627,", ",H627,", ",I627,", ","浙江省")</f>
        <v>李家镇, 建德市, 杭州市, 浙江省</v>
      </c>
      <c r="G627">
        <v>13953</v>
      </c>
      <c r="H627" t="s">
        <v>2910</v>
      </c>
      <c r="I627" t="s">
        <v>2903</v>
      </c>
      <c r="J627">
        <f>VLOOKUP(F627,[1]!china_towns_second__2[[Column1]:[Y]],3,FALSE)</f>
        <v>29.325454222637099</v>
      </c>
      <c r="K627">
        <f>VLOOKUP(F627,[1]!china_towns_second__2[[Column1]:[Y]],2,FALSE)</f>
        <v>118.9833915</v>
      </c>
      <c r="L627" t="s">
        <v>4261</v>
      </c>
      <c r="M627" t="str">
        <f>VLOOKUP(H627,CHOOSE({1,2},Table12[Native],Table12[Name]),2,0)</f>
        <v>Jiàndé Shì</v>
      </c>
      <c r="N627" s="15" t="str">
        <f>VLOOKUP(I627,CHOOSE({1,2},Table12[Native],Table12[Name]),2,0)</f>
        <v>Hángzhōu Shì</v>
      </c>
      <c r="O627" s="15" t="str">
        <f t="shared" si="18"/>
        <v>Lijia Zhen (Hángzhōu Shì)</v>
      </c>
      <c r="P627" s="15" t="str">
        <f t="shared" si="19"/>
        <v>Lijia Zhen (Hángzhōu Shì)</v>
      </c>
    </row>
    <row r="628" spans="1:16" hidden="1" x14ac:dyDescent="0.25">
      <c r="A628" t="s">
        <v>473</v>
      </c>
      <c r="B628" t="str">
        <f>IF(COUNTIF(A:A,A628)&gt;1,_xlfn.CONCAT(A628," (",N628,")"),A628)</f>
        <v>Lĭjiāxiàng Zhèn</v>
      </c>
      <c r="C628" t="str">
        <f>IF(COUNTIF(B:B,B628)&gt;1,_xlfn.CONCAT(A628," (",M628,")"),B628)</f>
        <v>Lĭjiāxiàng Zhèn</v>
      </c>
      <c r="D628" t="s">
        <v>474</v>
      </c>
      <c r="E628" t="s">
        <v>11</v>
      </c>
      <c r="F628" t="str">
        <f>_xlfn.CONCAT(D628,", ",H628,", ",I628,", ","浙江省")</f>
        <v>李家巷镇, 长兴县, 湖州市, 浙江省</v>
      </c>
      <c r="G628">
        <v>28648</v>
      </c>
      <c r="H628" t="s">
        <v>2924</v>
      </c>
      <c r="I628" t="s">
        <v>2922</v>
      </c>
      <c r="J628">
        <f>VLOOKUP(F628,[1]!china_towns_second__2[[Column1]:[Y]],3,FALSE)</f>
        <v>30.9539381414838</v>
      </c>
      <c r="K628">
        <f>VLOOKUP(F628,[1]!china_towns_second__2[[Column1]:[Y]],2,FALSE)</f>
        <v>119.96275180000001</v>
      </c>
      <c r="L628" t="s">
        <v>4262</v>
      </c>
      <c r="M628" t="str">
        <f>VLOOKUP(H628,CHOOSE({1,2},Table12[Native],Table12[Name]),2,0)</f>
        <v>Chángxīng Xiàn</v>
      </c>
      <c r="N628" s="15" t="str">
        <f>VLOOKUP(I628,CHOOSE({1,2},Table12[Native],Table12[Name]),2,0)</f>
        <v>Húzhōu Shì</v>
      </c>
      <c r="O628" s="15" t="str">
        <f t="shared" si="18"/>
        <v>Lijiaxiang Zhen (Húzhōu Shì)</v>
      </c>
      <c r="P628" s="15" t="str">
        <f t="shared" si="19"/>
        <v>Lijiaxiang Zhen (Húzhōu Shì)</v>
      </c>
    </row>
    <row r="629" spans="1:16" hidden="1" x14ac:dyDescent="0.25">
      <c r="A629" t="s">
        <v>2868</v>
      </c>
      <c r="B629" t="str">
        <f>IF(COUNTIF(A:A,A629)&gt;1,_xlfn.CONCAT(A629," (",N629,")"),A629)</f>
        <v>Línchéng Jiēdào</v>
      </c>
      <c r="C629" t="str">
        <f>IF(COUNTIF(B:B,B629)&gt;1,_xlfn.CONCAT(A629," (",M629,")"),B629)</f>
        <v>Línchéng Jiēdào</v>
      </c>
      <c r="D629" t="s">
        <v>2869</v>
      </c>
      <c r="E629" t="s">
        <v>15</v>
      </c>
      <c r="F629" t="str">
        <f>_xlfn.CONCAT(D629,", ",H629,", ",I629,", ","浙江省")</f>
        <v>临城街道, 定海区, 舟山市, 浙江省</v>
      </c>
      <c r="G629">
        <v>55897</v>
      </c>
      <c r="H629" t="s">
        <v>3015</v>
      </c>
      <c r="I629" t="s">
        <v>3013</v>
      </c>
      <c r="J629">
        <f>VLOOKUP(F629,[1]!china_towns_second__2[[Column1]:[Y]],3,FALSE)</f>
        <v>29.996342987681199</v>
      </c>
      <c r="K629">
        <f>VLOOKUP(F629,[1]!china_towns_second__2[[Column1]:[Y]],2,FALSE)</f>
        <v>122.1851897</v>
      </c>
      <c r="L629" t="s">
        <v>4263</v>
      </c>
      <c r="M629" t="str">
        <f>VLOOKUP(H629,CHOOSE({1,2},Table12[Native],Table12[Name]),2,0)</f>
        <v>Dìnghăi Qū</v>
      </c>
      <c r="N629" s="15" t="str">
        <f>VLOOKUP(I629,CHOOSE({1,2},Table12[Native],Table12[Name]),2,0)</f>
        <v>Zhōushān Shì</v>
      </c>
      <c r="O629" s="15" t="str">
        <f t="shared" si="18"/>
        <v>Lincheng Jiedao (Zhōushān Shì)</v>
      </c>
      <c r="P629" s="15" t="str">
        <f t="shared" si="19"/>
        <v>Lincheng Jiedao (Zhōushān Shì)</v>
      </c>
    </row>
    <row r="630" spans="1:16" hidden="1" x14ac:dyDescent="0.25">
      <c r="A630" t="s">
        <v>475</v>
      </c>
      <c r="B630" t="str">
        <f>IF(COUNTIF(A:A,A630)&gt;1,_xlfn.CONCAT(A630," (",N630,")"),A630)</f>
        <v>Línchéng Zhèn</v>
      </c>
      <c r="C630" t="str">
        <f>IF(COUNTIF(B:B,B630)&gt;1,_xlfn.CONCAT(A630," (",M630,")"),B630)</f>
        <v>Línchéng Zhèn</v>
      </c>
      <c r="D630" t="s">
        <v>476</v>
      </c>
      <c r="E630" t="s">
        <v>11</v>
      </c>
      <c r="F630" t="str">
        <f>_xlfn.CONCAT(D630,", ",H630,", ",I630,", ","浙江省")</f>
        <v>林城镇, 长兴县, 湖州市, 浙江省</v>
      </c>
      <c r="G630">
        <v>47012</v>
      </c>
      <c r="H630" t="s">
        <v>2924</v>
      </c>
      <c r="I630" t="s">
        <v>2922</v>
      </c>
      <c r="J630">
        <f>VLOOKUP(F630,[1]!china_towns_second__2[[Column1]:[Y]],3,FALSE)</f>
        <v>30.9327006930728</v>
      </c>
      <c r="K630">
        <f>VLOOKUP(F630,[1]!china_towns_second__2[[Column1]:[Y]],2,FALSE)</f>
        <v>119.7606892</v>
      </c>
      <c r="L630" t="s">
        <v>4264</v>
      </c>
      <c r="M630" t="str">
        <f>VLOOKUP(H630,CHOOSE({1,2},Table12[Native],Table12[Name]),2,0)</f>
        <v>Chángxīng Xiàn</v>
      </c>
      <c r="N630" s="15" t="str">
        <f>VLOOKUP(I630,CHOOSE({1,2},Table12[Native],Table12[Name]),2,0)</f>
        <v>Húzhōu Shì</v>
      </c>
      <c r="O630" s="15" t="str">
        <f t="shared" si="18"/>
        <v>Lincheng Zhen (Húzhōu Shì)</v>
      </c>
      <c r="P630" s="15" t="str">
        <f t="shared" si="19"/>
        <v>Lincheng Zhen (Húzhōu Shì)</v>
      </c>
    </row>
    <row r="631" spans="1:16" hidden="1" x14ac:dyDescent="0.25">
      <c r="A631" t="s">
        <v>617</v>
      </c>
      <c r="B631" t="str">
        <f>IF(COUNTIF(A:A,A631)&gt;1,_xlfn.CONCAT(A631," (",N631,")"),A631)</f>
        <v>Líndài Zhèn</v>
      </c>
      <c r="C631" t="str">
        <f>IF(COUNTIF(B:B,B631)&gt;1,_xlfn.CONCAT(A631," (",M631,")"),B631)</f>
        <v>Líndài Zhèn</v>
      </c>
      <c r="D631" t="s">
        <v>618</v>
      </c>
      <c r="E631" t="s">
        <v>11</v>
      </c>
      <c r="F631" t="str">
        <f>_xlfn.CONCAT(D631,", ",H631,", ",I631,", ","浙江省")</f>
        <v>林埭镇, 平湖市, 嘉兴市, 浙江省</v>
      </c>
      <c r="G631">
        <v>37828</v>
      </c>
      <c r="H631" t="s">
        <v>2934</v>
      </c>
      <c r="I631" t="s">
        <v>2929</v>
      </c>
      <c r="J631">
        <f>VLOOKUP(F631,[1]!china_towns_second__2[[Column1]:[Y]],3,FALSE)</f>
        <v>30.678751729640702</v>
      </c>
      <c r="K631">
        <f>VLOOKUP(F631,[1]!china_towns_second__2[[Column1]:[Y]],2,FALSE)</f>
        <v>121.0885703</v>
      </c>
      <c r="L631" t="s">
        <v>4265</v>
      </c>
      <c r="M631" t="str">
        <f>VLOOKUP(H631,CHOOSE({1,2},Table12[Native],Table12[Name]),2,0)</f>
        <v>Pínghú Shì</v>
      </c>
      <c r="N631" s="15" t="str">
        <f>VLOOKUP(I631,CHOOSE({1,2},Table12[Native],Table12[Name]),2,0)</f>
        <v>Jiāxīng Shì</v>
      </c>
      <c r="O631" s="15" t="str">
        <f t="shared" si="18"/>
        <v>Lindai Zhen (Jiāxīng Shì)</v>
      </c>
      <c r="P631" s="15" t="str">
        <f t="shared" si="19"/>
        <v>Lindai Zhen (Jiāxīng Shì)</v>
      </c>
    </row>
    <row r="632" spans="1:16" hidden="1" x14ac:dyDescent="0.25">
      <c r="A632" t="s">
        <v>2473</v>
      </c>
      <c r="B632" t="str">
        <f>IF(COUNTIF(A:A,A632)&gt;1,_xlfn.CONCAT(A632," (",N632,")"),A632)</f>
        <v>Lĭngbĕi Xiāng</v>
      </c>
      <c r="C632" t="str">
        <f>IF(COUNTIF(B:B,B632)&gt;1,_xlfn.CONCAT(A632," (",M632,")"),B632)</f>
        <v>Lĭngbĕi Xiāng</v>
      </c>
      <c r="D632" t="s">
        <v>2474</v>
      </c>
      <c r="E632" t="s">
        <v>7</v>
      </c>
      <c r="F632" t="str">
        <f>_xlfn.CONCAT(D632,", ",H632,", ",I632,", ","浙江省")</f>
        <v>岭北乡, 泰顺县, 温州市, 浙江省</v>
      </c>
      <c r="G632">
        <v>1802</v>
      </c>
      <c r="H632" t="s">
        <v>3008</v>
      </c>
      <c r="I632" t="s">
        <v>3000</v>
      </c>
      <c r="J632" t="e">
        <f>VLOOKUP(F632,[1]!china_towns_second__2[[Column1]:[Y]],3,FALSE)</f>
        <v>#N/A</v>
      </c>
      <c r="K632" t="e">
        <f>VLOOKUP(F632,[1]!china_towns_second__2[[Column1]:[Y]],2,FALSE)</f>
        <v>#N/A</v>
      </c>
      <c r="L632" t="s">
        <v>4266</v>
      </c>
      <c r="M632" t="str">
        <f>VLOOKUP(H632,CHOOSE({1,2},Table12[Native],Table12[Name]),2,0)</f>
        <v>Tàishùn Xiàn</v>
      </c>
      <c r="N632" s="15" t="str">
        <f>VLOOKUP(I632,CHOOSE({1,2},Table12[Native],Table12[Name]),2,0)</f>
        <v>Wēnzhōu Shì</v>
      </c>
      <c r="O632" s="15" t="str">
        <f t="shared" si="18"/>
        <v>Lingbei Xiang (Wēnzhōu Shì)</v>
      </c>
      <c r="P632" s="15" t="str">
        <f t="shared" si="19"/>
        <v>Lingbei Xiang (Wēnzhōu Shì)</v>
      </c>
    </row>
    <row r="633" spans="1:16" hidden="1" x14ac:dyDescent="0.25">
      <c r="A633" t="s">
        <v>1940</v>
      </c>
      <c r="B633" t="str">
        <f>IF(COUNTIF(A:A,A633)&gt;1,_xlfn.CONCAT(A633," (",N633,")"),A633)</f>
        <v>Lĭngbĕi Zhèn</v>
      </c>
      <c r="C633" t="str">
        <f>IF(COUNTIF(B:B,B633)&gt;1,_xlfn.CONCAT(A633," (",M633,")"),B633)</f>
        <v>Lĭngbĕi Zhèn</v>
      </c>
      <c r="D633" t="s">
        <v>1941</v>
      </c>
      <c r="E633" t="s">
        <v>11</v>
      </c>
      <c r="F633" t="str">
        <f>_xlfn.CONCAT(D633,", ",H633,", ",I633,", ","浙江省")</f>
        <v>岭北镇, 诸暨市, 绍兴市, 浙江省</v>
      </c>
      <c r="G633">
        <v>7751</v>
      </c>
      <c r="H633" t="s">
        <v>2987</v>
      </c>
      <c r="I633" t="s">
        <v>2981</v>
      </c>
      <c r="J633">
        <f>VLOOKUP(F633,[1]!china_towns_second__2[[Column1]:[Y]],3,FALSE)</f>
        <v>29.410967977476101</v>
      </c>
      <c r="K633">
        <f>VLOOKUP(F633,[1]!china_towns_second__2[[Column1]:[Y]],2,FALSE)</f>
        <v>120.3037899</v>
      </c>
      <c r="L633" t="s">
        <v>4267</v>
      </c>
      <c r="M633" t="str">
        <f>VLOOKUP(H633,CHOOSE({1,2},Table12[Native],Table12[Name]),2,0)</f>
        <v>Zhūjì Shì</v>
      </c>
      <c r="N633" s="15" t="str">
        <f>VLOOKUP(I633,CHOOSE({1,2},Table12[Native],Table12[Name]),2,0)</f>
        <v>Shàoxīng Shì</v>
      </c>
      <c r="O633" s="15" t="str">
        <f t="shared" si="18"/>
        <v>Lingbei Zhen (Shàoxīng Shì)</v>
      </c>
      <c r="P633" s="15" t="str">
        <f t="shared" si="19"/>
        <v>Lingbei Zhen (Shàoxīng Shì)</v>
      </c>
    </row>
    <row r="634" spans="1:16" hidden="1" x14ac:dyDescent="0.25">
      <c r="A634" t="s">
        <v>2475</v>
      </c>
      <c r="B634" t="str">
        <f>IF(COUNTIF(A:A,A634)&gt;1,_xlfn.CONCAT(A634," (",N634,")"),A634)</f>
        <v>Lĭngdĭ Xiāng [→ Fúróng Zhèn]</v>
      </c>
      <c r="C634" t="str">
        <f>IF(COUNTIF(B:B,B634)&gt;1,_xlfn.CONCAT(A634," (",M634,")"),B634)</f>
        <v>Lĭngdĭ Xiāng [→ Fúróng Zhèn]</v>
      </c>
      <c r="D634" t="s">
        <v>2476</v>
      </c>
      <c r="E634" t="s">
        <v>7</v>
      </c>
      <c r="F634" t="str">
        <f>_xlfn.CONCAT(D634,", ",H634,", ",I634,", ","浙江省")</f>
        <v>岭底乡, 乐清市, 温州市, 浙江省</v>
      </c>
      <c r="G634">
        <v>4988</v>
      </c>
      <c r="H634" t="s">
        <v>3011</v>
      </c>
      <c r="I634" t="s">
        <v>3000</v>
      </c>
      <c r="J634" t="e">
        <f>VLOOKUP(F634,[1]!china_towns_second__2[[Column1]:[Y]],3,FALSE)</f>
        <v>#N/A</v>
      </c>
      <c r="K634" t="e">
        <f>VLOOKUP(F634,[1]!china_towns_second__2[[Column1]:[Y]],2,FALSE)</f>
        <v>#N/A</v>
      </c>
      <c r="L634" t="s">
        <v>4268</v>
      </c>
      <c r="M634" t="str">
        <f>VLOOKUP(H634,CHOOSE({1,2},Table12[Native],Table12[Name]),2,0)</f>
        <v>Yuèqīng Shì</v>
      </c>
      <c r="N634" s="15" t="str">
        <f>VLOOKUP(I634,CHOOSE({1,2},Table12[Native],Table12[Name]),2,0)</f>
        <v>Wēnzhōu Shì</v>
      </c>
      <c r="O634" s="15" t="str">
        <f t="shared" si="18"/>
        <v>Lingdi Xiang [→ Furong Zhen] (Wēnzhōu Shì)</v>
      </c>
      <c r="P634" s="15" t="str">
        <f t="shared" si="19"/>
        <v>Lingdi Xiang [→ Furong Zhen] (Wēnzhōu Shì)</v>
      </c>
    </row>
    <row r="635" spans="1:16" hidden="1" x14ac:dyDescent="0.25">
      <c r="A635" t="s">
        <v>825</v>
      </c>
      <c r="B635" t="str">
        <f>IF(COUNTIF(A:A,A635)&gt;1,_xlfn.CONCAT(A635," (",N635,")"),A635)</f>
        <v>Língdòng Xiāng</v>
      </c>
      <c r="C635" t="str">
        <f>IF(COUNTIF(B:B,B635)&gt;1,_xlfn.CONCAT(A635," (",M635,")"),B635)</f>
        <v>Língdòng Xiāng</v>
      </c>
      <c r="D635" t="s">
        <v>826</v>
      </c>
      <c r="E635" t="s">
        <v>7</v>
      </c>
      <c r="F635" t="str">
        <f>_xlfn.CONCAT(D635,", ",H635,", ",I635,", ","浙江省")</f>
        <v>灵洞乡, 兰溪市, 金华市, 浙江省</v>
      </c>
      <c r="G635">
        <v>17971</v>
      </c>
      <c r="H635" t="s">
        <v>2941</v>
      </c>
      <c r="I635" t="s">
        <v>2938</v>
      </c>
      <c r="J635" t="e">
        <f>VLOOKUP(F635,[1]!china_towns_second__2[[Column1]:[Y]],3,FALSE)</f>
        <v>#N/A</v>
      </c>
      <c r="K635" t="e">
        <f>VLOOKUP(F635,[1]!china_towns_second__2[[Column1]:[Y]],2,FALSE)</f>
        <v>#N/A</v>
      </c>
      <c r="L635" t="s">
        <v>4269</v>
      </c>
      <c r="M635" t="str">
        <f>VLOOKUP(H635,CHOOSE({1,2},Table12[Native],Table12[Name]),2,0)</f>
        <v>Lánxī Shì</v>
      </c>
      <c r="N635" s="15" t="str">
        <f>VLOOKUP(I635,CHOOSE({1,2},Table12[Native],Table12[Name]),2,0)</f>
        <v>Jīnhuá Shì</v>
      </c>
      <c r="O635" s="15" t="str">
        <f t="shared" si="18"/>
        <v>Lingdong Xiang (Jīnhuá Shì)</v>
      </c>
      <c r="P635" s="15" t="str">
        <f t="shared" si="19"/>
        <v>Lingdong Xiang (Jīnhuá Shì)</v>
      </c>
    </row>
    <row r="636" spans="1:16" hidden="1" x14ac:dyDescent="0.25">
      <c r="A636" t="s">
        <v>2477</v>
      </c>
      <c r="B636" t="str">
        <f>IF(COUNTIF(A:A,A636)&gt;1,_xlfn.CONCAT(A636," (",N636,")"),A636)</f>
        <v>Lĭnghòu Xiāng</v>
      </c>
      <c r="C636" t="str">
        <f>IF(COUNTIF(B:B,B636)&gt;1,_xlfn.CONCAT(A636," (",M636,")"),B636)</f>
        <v>Lĭnghòu Xiāng</v>
      </c>
      <c r="D636" t="s">
        <v>2478</v>
      </c>
      <c r="E636" t="s">
        <v>7</v>
      </c>
      <c r="F636" t="str">
        <f>_xlfn.CONCAT(D636,", ",H636,", ",I636,", ","浙江省")</f>
        <v>岭后乡, 文成县, 温州市, 浙江省</v>
      </c>
      <c r="G636">
        <v>870</v>
      </c>
      <c r="H636" t="s">
        <v>3009</v>
      </c>
      <c r="I636" t="s">
        <v>3000</v>
      </c>
      <c r="J636" t="e">
        <f>VLOOKUP(F636,[1]!china_towns_second__2[[Column1]:[Y]],3,FALSE)</f>
        <v>#N/A</v>
      </c>
      <c r="K636" t="e">
        <f>VLOOKUP(F636,[1]!china_towns_second__2[[Column1]:[Y]],2,FALSE)</f>
        <v>#N/A</v>
      </c>
      <c r="L636" t="s">
        <v>4270</v>
      </c>
      <c r="M636" t="str">
        <f>VLOOKUP(H636,CHOOSE({1,2},Table12[Native],Table12[Name]),2,0)</f>
        <v>Wénchéng Xiàn</v>
      </c>
      <c r="N636" s="15" t="str">
        <f>VLOOKUP(I636,CHOOSE({1,2},Table12[Native],Table12[Name]),2,0)</f>
        <v>Wēnzhōu Shì</v>
      </c>
      <c r="O636" s="15" t="str">
        <f t="shared" si="18"/>
        <v>Linghou Xiang (Wēnzhōu Shì)</v>
      </c>
      <c r="P636" s="15" t="str">
        <f t="shared" si="19"/>
        <v>Linghou Xiang (Wēnzhōu Shì)</v>
      </c>
    </row>
    <row r="637" spans="1:16" hidden="1" x14ac:dyDescent="0.25">
      <c r="A637" t="s">
        <v>477</v>
      </c>
      <c r="B637" t="str">
        <f>IF(COUNTIF(A:A,A637)&gt;1,_xlfn.CONCAT(A637," (",N637,")"),A637)</f>
        <v>Línghú Zhèn</v>
      </c>
      <c r="C637" t="str">
        <f>IF(COUNTIF(B:B,B637)&gt;1,_xlfn.CONCAT(A637," (",M637,")"),B637)</f>
        <v>Línghú Zhèn</v>
      </c>
      <c r="D637" t="s">
        <v>478</v>
      </c>
      <c r="E637" t="s">
        <v>11</v>
      </c>
      <c r="F637" t="str">
        <f>_xlfn.CONCAT(D637,", ",H637,", ",I637,", ","浙江省")</f>
        <v>菱湖镇, 南浔区, 湖州市, 浙江省</v>
      </c>
      <c r="G637">
        <v>63471</v>
      </c>
      <c r="H637" t="s">
        <v>2926</v>
      </c>
      <c r="I637" t="s">
        <v>2922</v>
      </c>
      <c r="J637">
        <f>VLOOKUP(F637,[1]!china_towns_second__2[[Column1]:[Y]],3,FALSE)</f>
        <v>30.724473632287999</v>
      </c>
      <c r="K637">
        <f>VLOOKUP(F637,[1]!china_towns_second__2[[Column1]:[Y]],2,FALSE)</f>
        <v>120.1583942</v>
      </c>
      <c r="L637" t="s">
        <v>4271</v>
      </c>
      <c r="M637" t="str">
        <f>VLOOKUP(H637,CHOOSE({1,2},Table12[Native],Table12[Name]),2,0)</f>
        <v>Nánxún Qū</v>
      </c>
      <c r="N637" s="15" t="str">
        <f>VLOOKUP(I637,CHOOSE({1,2},Table12[Native],Table12[Name]),2,0)</f>
        <v>Húzhōu Shì</v>
      </c>
      <c r="O637" s="15" t="str">
        <f t="shared" si="18"/>
        <v>Linghu Zhen (Húzhōu Shì)</v>
      </c>
      <c r="P637" s="15" t="str">
        <f t="shared" si="19"/>
        <v>Linghu Zhen (Húzhōu Shì)</v>
      </c>
    </row>
    <row r="638" spans="1:16" hidden="1" x14ac:dyDescent="0.25">
      <c r="A638" t="s">
        <v>2479</v>
      </c>
      <c r="B638" t="str">
        <f>IF(COUNTIF(A:A,A638)&gt;1,_xlfn.CONCAT(A638," (",N638,")"),A638)</f>
        <v>Língkūn Jiēdào [Ōu Jiāngkǒu Xīnqū]</v>
      </c>
      <c r="C638" t="str">
        <f>IF(COUNTIF(B:B,B638)&gt;1,_xlfn.CONCAT(A638," (",M638,")"),B638)</f>
        <v>Língkūn Jiēdào [Ōu Jiāngkǒu Xīnqū]</v>
      </c>
      <c r="D638" t="s">
        <v>2480</v>
      </c>
      <c r="E638" t="s">
        <v>15</v>
      </c>
      <c r="F638" t="str">
        <f>_xlfn.CONCAT(D638,", ",H638,", ",I638,", ","浙江省")</f>
        <v>灵昆街道, 洞头区, 温州市, 浙江省</v>
      </c>
      <c r="G638">
        <v>21564</v>
      </c>
      <c r="H638" t="s">
        <v>3002</v>
      </c>
      <c r="I638" t="s">
        <v>3000</v>
      </c>
      <c r="J638" t="e">
        <f>VLOOKUP(F638,[1]!china_towns_second__2[[Column1]:[Y]],3,FALSE)</f>
        <v>#N/A</v>
      </c>
      <c r="K638" t="e">
        <f>VLOOKUP(F638,[1]!china_towns_second__2[[Column1]:[Y]],2,FALSE)</f>
        <v>#N/A</v>
      </c>
      <c r="L638" t="s">
        <v>4272</v>
      </c>
      <c r="M638" t="str">
        <f>VLOOKUP(H638,CHOOSE({1,2},Table12[Native],Table12[Name]),2,0)</f>
        <v>Dòngtóu Qū</v>
      </c>
      <c r="N638" s="15" t="str">
        <f>VLOOKUP(I638,CHOOSE({1,2},Table12[Native],Table12[Name]),2,0)</f>
        <v>Wēnzhōu Shì</v>
      </c>
      <c r="O638" s="15" t="str">
        <f t="shared" si="18"/>
        <v>Lingkun Jiedao [Ou Jiangkou Xinqu] (Wēnzhōu Shì)</v>
      </c>
      <c r="P638" s="15" t="str">
        <f t="shared" si="19"/>
        <v>Lingkun Jiedao [Ou Jiangkou Xinqu] (Wēnzhōu Shì)</v>
      </c>
    </row>
    <row r="639" spans="1:16" hidden="1" x14ac:dyDescent="0.25">
      <c r="A639" t="s">
        <v>189</v>
      </c>
      <c r="B639" t="str">
        <f>IF(COUNTIF(A:A,A639)&gt;1,_xlfn.CONCAT(A639," (",N639,")"),A639)</f>
        <v>Línglóng Jiēdào</v>
      </c>
      <c r="C639" t="str">
        <f>IF(COUNTIF(B:B,B639)&gt;1,_xlfn.CONCAT(A639," (",M639,")"),B639)</f>
        <v>Línglóng Jiēdào</v>
      </c>
      <c r="D639" t="s">
        <v>190</v>
      </c>
      <c r="E639" t="s">
        <v>15</v>
      </c>
      <c r="F639" t="str">
        <f>_xlfn.CONCAT(D639,", ",H639,", ",I639,", ","浙江省")</f>
        <v>玲珑街道, 临安区, 杭州市, 浙江省</v>
      </c>
      <c r="G639">
        <v>33251</v>
      </c>
      <c r="H639" t="s">
        <v>2911</v>
      </c>
      <c r="I639" t="s">
        <v>2903</v>
      </c>
      <c r="J639">
        <f>VLOOKUP(F639,[1]!china_towns_second__2[[Column1]:[Y]],3,FALSE)</f>
        <v>30.185119159598599</v>
      </c>
      <c r="K639">
        <f>VLOOKUP(F639,[1]!china_towns_second__2[[Column1]:[Y]],2,FALSE)</f>
        <v>119.63111139999999</v>
      </c>
      <c r="L639" t="s">
        <v>4273</v>
      </c>
      <c r="M639" t="str">
        <f>VLOOKUP(H639,CHOOSE({1,2},Table12[Native],Table12[Name]),2,0)</f>
        <v>Lín'ān Qū</v>
      </c>
      <c r="N639" s="15" t="str">
        <f>VLOOKUP(I639,CHOOSE({1,2},Table12[Native],Table12[Name]),2,0)</f>
        <v>Hángzhōu Shì</v>
      </c>
      <c r="O639" s="15" t="str">
        <f t="shared" si="18"/>
        <v>Linglong Jiedao (Hángzhōu Shì)</v>
      </c>
      <c r="P639" s="15" t="str">
        <f t="shared" si="19"/>
        <v>Linglong Jiedao (Hángzhōu Shì)</v>
      </c>
    </row>
    <row r="640" spans="1:16" hidden="1" x14ac:dyDescent="0.25">
      <c r="A640" t="s">
        <v>1942</v>
      </c>
      <c r="B640" t="str">
        <f>IF(COUNTIF(A:A,A640)&gt;1,_xlfn.CONCAT(A640," (",N640,")"),A640)</f>
        <v>Lĭngnán Xiāng</v>
      </c>
      <c r="C640" t="str">
        <f>IF(COUNTIF(B:B,B640)&gt;1,_xlfn.CONCAT(A640," (",M640,")"),B640)</f>
        <v>Lĭngnán Xiāng</v>
      </c>
      <c r="D640" t="s">
        <v>1943</v>
      </c>
      <c r="E640" t="s">
        <v>7</v>
      </c>
      <c r="F640" t="str">
        <f>_xlfn.CONCAT(D640,", ",H640,", ",I640,", ","浙江省")</f>
        <v>岭南乡, 上虞区, 绍兴市, 浙江省</v>
      </c>
      <c r="G640">
        <v>6904</v>
      </c>
      <c r="H640" t="s">
        <v>2983</v>
      </c>
      <c r="I640" t="s">
        <v>2981</v>
      </c>
      <c r="J640" t="e">
        <f>VLOOKUP(F640,[1]!china_towns_second__2[[Column1]:[Y]],3,FALSE)</f>
        <v>#N/A</v>
      </c>
      <c r="K640" t="e">
        <f>VLOOKUP(F640,[1]!china_towns_second__2[[Column1]:[Y]],2,FALSE)</f>
        <v>#N/A</v>
      </c>
      <c r="L640" t="s">
        <v>4274</v>
      </c>
      <c r="M640" t="str">
        <f>VLOOKUP(H640,CHOOSE({1,2},Table12[Native],Table12[Name]),2,0)</f>
        <v>Shàngyú Qū</v>
      </c>
      <c r="N640" s="15" t="str">
        <f>VLOOKUP(I640,CHOOSE({1,2},Table12[Native],Table12[Name]),2,0)</f>
        <v>Shàoxīng Shì</v>
      </c>
      <c r="O640" s="15" t="str">
        <f t="shared" si="18"/>
        <v>Lingnan Xiang (Shàoxīng Shì)</v>
      </c>
      <c r="P640" s="15" t="str">
        <f t="shared" si="19"/>
        <v>Lingnan Xiang (Shàoxīng Shì)</v>
      </c>
    </row>
    <row r="641" spans="1:16" hidden="1" x14ac:dyDescent="0.25">
      <c r="A641" t="s">
        <v>191</v>
      </c>
      <c r="B641" t="str">
        <f>IF(COUNTIF(A:A,A641)&gt;1,_xlfn.CONCAT(A641," (",N641,")"),A641)</f>
        <v>Língqiáo Zhèn</v>
      </c>
      <c r="C641" t="str">
        <f>IF(COUNTIF(B:B,B641)&gt;1,_xlfn.CONCAT(A641," (",M641,")"),B641)</f>
        <v>Língqiáo Zhèn</v>
      </c>
      <c r="D641" t="s">
        <v>192</v>
      </c>
      <c r="E641" t="s">
        <v>11</v>
      </c>
      <c r="F641" t="str">
        <f>_xlfn.CONCAT(D641,", ",H641,", ",I641,", ","浙江省")</f>
        <v>灵桥镇, 富阳区, 杭州市, 浙江省</v>
      </c>
      <c r="G641">
        <v>28181</v>
      </c>
      <c r="H641" t="s">
        <v>2908</v>
      </c>
      <c r="I641" t="s">
        <v>2903</v>
      </c>
      <c r="J641">
        <f>VLOOKUP(F641,[1]!china_towns_second__2[[Column1]:[Y]],3,FALSE)</f>
        <v>29.993631791117</v>
      </c>
      <c r="K641">
        <f>VLOOKUP(F641,[1]!china_towns_second__2[[Column1]:[Y]],2,FALSE)</f>
        <v>120.0499947</v>
      </c>
      <c r="L641" t="s">
        <v>4275</v>
      </c>
      <c r="M641" t="str">
        <f>VLOOKUP(H641,CHOOSE({1,2},Table12[Native],Table12[Name]),2,0)</f>
        <v>Fùyáng Qū</v>
      </c>
      <c r="N641" s="15" t="str">
        <f>VLOOKUP(I641,CHOOSE({1,2},Table12[Native],Table12[Name]),2,0)</f>
        <v>Hángzhōu Shì</v>
      </c>
      <c r="O641" s="15" t="str">
        <f t="shared" si="18"/>
        <v>Lingqiao Zhen (Hángzhōu Shì)</v>
      </c>
      <c r="P641" s="15" t="str">
        <f t="shared" si="19"/>
        <v>Lingqiao Zhen (Hángzhōu Shì)</v>
      </c>
    </row>
    <row r="642" spans="1:16" hidden="1" x14ac:dyDescent="0.25">
      <c r="A642" t="s">
        <v>827</v>
      </c>
      <c r="B642" t="str">
        <f>IF(COUNTIF(A:A,A642)&gt;1,_xlfn.CONCAT(A642," (",N642,")"),A642)</f>
        <v>Lĭngshàng Xiāng</v>
      </c>
      <c r="C642" t="str">
        <f>IF(COUNTIF(B:B,B642)&gt;1,_xlfn.CONCAT(A642," (",M642,")"),B642)</f>
        <v>Lĭngshàng Xiāng</v>
      </c>
      <c r="D642" t="s">
        <v>828</v>
      </c>
      <c r="E642" t="s">
        <v>7</v>
      </c>
      <c r="F642" t="str">
        <f>_xlfn.CONCAT(D642,", ",H642,", ",I642,", ","浙江省")</f>
        <v>岭上乡, 婺城区, 金华市, 浙江省</v>
      </c>
      <c r="G642">
        <v>4306</v>
      </c>
      <c r="H642" t="s">
        <v>2944</v>
      </c>
      <c r="I642" t="s">
        <v>2938</v>
      </c>
      <c r="J642" t="e">
        <f>VLOOKUP(F642,[1]!china_towns_second__2[[Column1]:[Y]],3,FALSE)</f>
        <v>#N/A</v>
      </c>
      <c r="K642" t="e">
        <f>VLOOKUP(F642,[1]!china_towns_second__2[[Column1]:[Y]],2,FALSE)</f>
        <v>#N/A</v>
      </c>
      <c r="L642" t="s">
        <v>4276</v>
      </c>
      <c r="M642" t="str">
        <f>VLOOKUP(H642,CHOOSE({1,2},Table12[Native],Table12[Name]),2,0)</f>
        <v>Wùchéng Qū</v>
      </c>
      <c r="N642" s="15" t="str">
        <f>VLOOKUP(I642,CHOOSE({1,2},Table12[Native],Table12[Name]),2,0)</f>
        <v>Jīnhuá Shì</v>
      </c>
      <c r="O642" s="15" t="str">
        <f t="shared" ref="O642:O705" si="20">_xlfn.CONCAT(L642," (",N642,")")</f>
        <v>Lingshang Xiang (Jīnhuá Shì)</v>
      </c>
      <c r="P642" s="15" t="str">
        <f t="shared" ref="P642:P705" si="21">IF(COUNTIF(O:O,O642)&gt;1,_xlfn.CONCAT(L642," (",M642,")"),O642)</f>
        <v>Lingshang Xiang (Jīnhuá Shì)</v>
      </c>
    </row>
    <row r="643" spans="1:16" hidden="1" x14ac:dyDescent="0.25">
      <c r="A643" t="s">
        <v>1155</v>
      </c>
      <c r="B643" t="str">
        <f>IF(COUNTIF(A:A,A643)&gt;1,_xlfn.CONCAT(A643," (",N643,")"),A643)</f>
        <v>Lĭngtóu Xiāng (Lìshuĭ Shì)</v>
      </c>
      <c r="C643" t="str">
        <f>IF(COUNTIF(B:B,B643)&gt;1,_xlfn.CONCAT(A643," (",M643,")"),B643)</f>
        <v>Lĭngtóu Xiāng (Lìshuĭ Shì)</v>
      </c>
      <c r="D643" t="s">
        <v>1156</v>
      </c>
      <c r="E643" t="s">
        <v>7</v>
      </c>
      <c r="F643" t="str">
        <f>_xlfn.CONCAT(D643,", ",H643,", ",I643,", ","浙江省")</f>
        <v>岭头乡, 庆元县, 丽水市, 浙江省</v>
      </c>
      <c r="G643">
        <v>2569</v>
      </c>
      <c r="H643" t="s">
        <v>2956</v>
      </c>
      <c r="I643" t="s">
        <v>2949</v>
      </c>
      <c r="J643" t="e">
        <f>VLOOKUP(F643,[1]!china_towns_second__2[[Column1]:[Y]],3,FALSE)</f>
        <v>#N/A</v>
      </c>
      <c r="K643" t="e">
        <f>VLOOKUP(F643,[1]!china_towns_second__2[[Column1]:[Y]],2,FALSE)</f>
        <v>#N/A</v>
      </c>
      <c r="L643" t="s">
        <v>4277</v>
      </c>
      <c r="M643" t="str">
        <f>VLOOKUP(H643,CHOOSE({1,2},Table12[Native],Table12[Name]),2,0)</f>
        <v>Qìngyuán Xiàn</v>
      </c>
      <c r="N643" s="15" t="str">
        <f>VLOOKUP(I643,CHOOSE({1,2},Table12[Native],Table12[Name]),2,0)</f>
        <v>Lìshuĭ Shì</v>
      </c>
      <c r="O643" s="15" t="str">
        <f t="shared" si="20"/>
        <v>Lingtou Xiang (Lishui Shi) (Lìshuĭ Shì)</v>
      </c>
      <c r="P643" s="15" t="str">
        <f t="shared" si="21"/>
        <v>Lingtou Xiang (Lishui Shi) (Lìshuĭ Shì)</v>
      </c>
    </row>
    <row r="644" spans="1:16" hidden="1" x14ac:dyDescent="0.25">
      <c r="A644" t="s">
        <v>1155</v>
      </c>
      <c r="B644" t="str">
        <f>IF(COUNTIF(A:A,A644)&gt;1,_xlfn.CONCAT(A644," (",N644,")"),A644)</f>
        <v>Lĭngtóu Xiāng (Wēnzhōu Shì)</v>
      </c>
      <c r="C644" t="str">
        <f>IF(COUNTIF(B:B,B644)&gt;1,_xlfn.CONCAT(A644," (",M644,")"),B644)</f>
        <v>Lĭngtóu Xiāng (Wēnzhōu Shì)</v>
      </c>
      <c r="D644" t="s">
        <v>1156</v>
      </c>
      <c r="E644" t="s">
        <v>7</v>
      </c>
      <c r="F644" t="str">
        <f>_xlfn.CONCAT(D644,", ",H644,", ",I644,", ","浙江省")</f>
        <v>岭头乡, 永嘉县, 温州市, 浙江省</v>
      </c>
      <c r="G644">
        <v>4249</v>
      </c>
      <c r="H644" t="s">
        <v>3010</v>
      </c>
      <c r="I644" t="s">
        <v>3000</v>
      </c>
      <c r="J644" t="e">
        <f>VLOOKUP(F644,[1]!china_towns_second__2[[Column1]:[Y]],3,FALSE)</f>
        <v>#N/A</v>
      </c>
      <c r="K644" t="e">
        <f>VLOOKUP(F644,[1]!china_towns_second__2[[Column1]:[Y]],2,FALSE)</f>
        <v>#N/A</v>
      </c>
      <c r="L644" t="s">
        <v>4278</v>
      </c>
      <c r="M644" t="str">
        <f>VLOOKUP(H644,CHOOSE({1,2},Table12[Native],Table12[Name]),2,0)</f>
        <v>Yŏngjiā Xiàn</v>
      </c>
      <c r="N644" s="15" t="str">
        <f>VLOOKUP(I644,CHOOSE({1,2},Table12[Native],Table12[Name]),2,0)</f>
        <v>Wēnzhōu Shì</v>
      </c>
      <c r="O644" s="15" t="str">
        <f t="shared" si="20"/>
        <v>Lingtou Xiang (Wenzhou Shi) (Wēnzhōu Shì)</v>
      </c>
      <c r="P644" s="15" t="str">
        <f t="shared" si="21"/>
        <v>Lingtou Xiang (Wenzhou Shi) (Wēnzhōu Shì)</v>
      </c>
    </row>
    <row r="645" spans="1:16" hidden="1" x14ac:dyDescent="0.25">
      <c r="A645" t="s">
        <v>2481</v>
      </c>
      <c r="B645" t="str">
        <f>IF(COUNTIF(A:A,A645)&gt;1,_xlfn.CONCAT(A645," (",N645,")"),A645)</f>
        <v>Língxī Zhèn</v>
      </c>
      <c r="C645" t="str">
        <f>IF(COUNTIF(B:B,B645)&gt;1,_xlfn.CONCAT(A645," (",M645,")"),B645)</f>
        <v>Língxī Zhèn</v>
      </c>
      <c r="D645" t="s">
        <v>2482</v>
      </c>
      <c r="E645" t="s">
        <v>11</v>
      </c>
      <c r="F645" t="str">
        <f>_xlfn.CONCAT(D645,", ",H645,", ",I645,", ","浙江省")</f>
        <v>灵溪镇, 苍南县, 温州市, 浙江省</v>
      </c>
      <c r="G645">
        <v>260052</v>
      </c>
      <c r="H645" t="s">
        <v>3001</v>
      </c>
      <c r="I645" t="s">
        <v>3000</v>
      </c>
      <c r="J645">
        <f>VLOOKUP(F645,[1]!china_towns_second__2[[Column1]:[Y]],3,FALSE)</f>
        <v>27.4990887041718</v>
      </c>
      <c r="K645">
        <f>VLOOKUP(F645,[1]!china_towns_second__2[[Column1]:[Y]],2,FALSE)</f>
        <v>120.3841833</v>
      </c>
      <c r="L645" t="s">
        <v>4279</v>
      </c>
      <c r="M645" t="str">
        <f>VLOOKUP(H645,CHOOSE({1,2},Table12[Native],Table12[Name]),2,0)</f>
        <v>Cāngnán Xiàn</v>
      </c>
      <c r="N645" s="15" t="str">
        <f>VLOOKUP(I645,CHOOSE({1,2},Table12[Native],Table12[Name]),2,0)</f>
        <v>Wēnzhōu Shì</v>
      </c>
      <c r="O645" s="15" t="str">
        <f t="shared" si="20"/>
        <v>Lingxi Zhen (Wēnzhōu Shì)</v>
      </c>
      <c r="P645" s="15" t="str">
        <f t="shared" si="21"/>
        <v>Lingxi Zhen (Wēnzhōu Shì)</v>
      </c>
    </row>
    <row r="646" spans="1:16" hidden="1" x14ac:dyDescent="0.25">
      <c r="A646" t="s">
        <v>829</v>
      </c>
      <c r="B646" t="str">
        <f>IF(COUNTIF(A:A,A646)&gt;1,_xlfn.CONCAT(A646," (",N646,")"),A646)</f>
        <v>Lĭngxià Zhèn</v>
      </c>
      <c r="C646" t="str">
        <f>IF(COUNTIF(B:B,B646)&gt;1,_xlfn.CONCAT(A646," (",M646,")"),B646)</f>
        <v>Lĭngxià Zhèn</v>
      </c>
      <c r="D646" t="s">
        <v>830</v>
      </c>
      <c r="E646" t="s">
        <v>11</v>
      </c>
      <c r="F646" t="str">
        <f>_xlfn.CONCAT(D646,", ",H646,", ",I646,", ","浙江省")</f>
        <v>岭下镇, 金东区, 金华市, 浙江省</v>
      </c>
      <c r="G646">
        <v>11697</v>
      </c>
      <c r="H646" t="s">
        <v>2940</v>
      </c>
      <c r="I646" t="s">
        <v>2938</v>
      </c>
      <c r="J646">
        <f>VLOOKUP(F646,[1]!china_towns_second__2[[Column1]:[Y]],3,FALSE)</f>
        <v>29.044031255460901</v>
      </c>
      <c r="K646">
        <f>VLOOKUP(F646,[1]!china_towns_second__2[[Column1]:[Y]],2,FALSE)</f>
        <v>119.8056989</v>
      </c>
      <c r="L646" t="s">
        <v>4280</v>
      </c>
      <c r="M646" t="str">
        <f>VLOOKUP(H646,CHOOSE({1,2},Table12[Native],Table12[Name]),2,0)</f>
        <v>Jīndōng Qū</v>
      </c>
      <c r="N646" s="15" t="str">
        <f>VLOOKUP(I646,CHOOSE({1,2},Table12[Native],Table12[Name]),2,0)</f>
        <v>Jīnhuá Shì</v>
      </c>
      <c r="O646" s="15" t="str">
        <f t="shared" si="20"/>
        <v>Lingxia Zhen (Jīnhuá Shì)</v>
      </c>
      <c r="P646" s="15" t="str">
        <f t="shared" si="21"/>
        <v>Lingxia Zhen (Jīnhuá Shì)</v>
      </c>
    </row>
    <row r="647" spans="1:16" hidden="1" x14ac:dyDescent="0.25">
      <c r="A647" t="s">
        <v>1728</v>
      </c>
      <c r="B647" t="str">
        <f>IF(COUNTIF(A:A,A647)&gt;1,_xlfn.CONCAT(A647," (",N647,")"),A647)</f>
        <v>Lĭngyáng Xiāng</v>
      </c>
      <c r="C647" t="str">
        <f>IF(COUNTIF(B:B,B647)&gt;1,_xlfn.CONCAT(A647," (",M647,")"),B647)</f>
        <v>Lĭngyáng Xiāng</v>
      </c>
      <c r="D647" t="s">
        <v>1729</v>
      </c>
      <c r="E647" t="s">
        <v>7</v>
      </c>
      <c r="F647" t="str">
        <f>_xlfn.CONCAT(D647,", ",H647,", ",I647,", ","浙江省")</f>
        <v>岭洋乡, 衢江区, 衢州市, 浙江省</v>
      </c>
      <c r="G647">
        <v>4661</v>
      </c>
      <c r="H647" t="s">
        <v>2979</v>
      </c>
      <c r="I647" t="s">
        <v>2973</v>
      </c>
      <c r="J647" t="e">
        <f>VLOOKUP(F647,[1]!china_towns_second__2[[Column1]:[Y]],3,FALSE)</f>
        <v>#N/A</v>
      </c>
      <c r="K647" t="e">
        <f>VLOOKUP(F647,[1]!china_towns_second__2[[Column1]:[Y]],2,FALSE)</f>
        <v>#N/A</v>
      </c>
      <c r="L647" t="s">
        <v>4281</v>
      </c>
      <c r="M647" t="str">
        <f>VLOOKUP(H647,CHOOSE({1,2},Table12[Native],Table12[Name]),2,0)</f>
        <v>Qújiāng Qū</v>
      </c>
      <c r="N647" s="15" t="str">
        <f>VLOOKUP(I647,CHOOSE({1,2},Table12[Native],Table12[Name]),2,0)</f>
        <v>Qúzhōu Shì</v>
      </c>
      <c r="O647" s="15" t="str">
        <f t="shared" si="20"/>
        <v>Lingyang Xiang (Qúzhōu Shì)</v>
      </c>
      <c r="P647" s="15" t="str">
        <f t="shared" si="21"/>
        <v>Lingyang Xiang (Qúzhōu Shì)</v>
      </c>
    </row>
    <row r="648" spans="1:16" hidden="1" x14ac:dyDescent="0.25">
      <c r="A648" t="s">
        <v>193</v>
      </c>
      <c r="B648" t="str">
        <f>IF(COUNTIF(A:A,A648)&gt;1,_xlfn.CONCAT(A648," (",N648,")"),A648)</f>
        <v>Língyĭn Jiēdào</v>
      </c>
      <c r="C648" t="str">
        <f>IF(COUNTIF(B:B,B648)&gt;1,_xlfn.CONCAT(A648," (",M648,")"),B648)</f>
        <v>Língyĭn Jiēdào</v>
      </c>
      <c r="D648" t="s">
        <v>194</v>
      </c>
      <c r="E648" t="s">
        <v>15</v>
      </c>
      <c r="F648" t="str">
        <f>_xlfn.CONCAT(D648,", ",H648,", ",I648,", ","浙江省")</f>
        <v>灵隐街道, 西湖区, 杭州市, 浙江省</v>
      </c>
      <c r="G648">
        <v>46070</v>
      </c>
      <c r="H648" t="s">
        <v>2918</v>
      </c>
      <c r="I648" t="s">
        <v>2903</v>
      </c>
      <c r="J648">
        <f>VLOOKUP(F648,[1]!china_towns_second__2[[Column1]:[Y]],3,FALSE)</f>
        <v>30.262034170011901</v>
      </c>
      <c r="K648">
        <f>VLOOKUP(F648,[1]!china_towns_second__2[[Column1]:[Y]],2,FALSE)</f>
        <v>120.1181406</v>
      </c>
      <c r="L648" t="s">
        <v>4282</v>
      </c>
      <c r="M648" t="str">
        <f>VLOOKUP(H648,CHOOSE({1,2},Table12[Native],Table12[Name]),2,0)</f>
        <v>Xīhú Qū</v>
      </c>
      <c r="N648" s="15" t="str">
        <f>VLOOKUP(I648,CHOOSE({1,2},Table12[Native],Table12[Name]),2,0)</f>
        <v>Hángzhōu Shì</v>
      </c>
      <c r="O648" s="15" t="str">
        <f t="shared" si="20"/>
        <v>Lingyin Jiedao (Hángzhōu Shì)</v>
      </c>
      <c r="P648" s="15" t="str">
        <f t="shared" si="21"/>
        <v>Lingyin Jiedao (Hángzhōu Shì)</v>
      </c>
    </row>
    <row r="649" spans="1:16" hidden="1" x14ac:dyDescent="0.25">
      <c r="A649" t="s">
        <v>1944</v>
      </c>
      <c r="B649" t="str">
        <f>IF(COUNTIF(A:A,A649)&gt;1,_xlfn.CONCAT(A649," (",N649,")"),A649)</f>
        <v>Língzhī Jiēdào</v>
      </c>
      <c r="C649" t="str">
        <f>IF(COUNTIF(B:B,B649)&gt;1,_xlfn.CONCAT(A649," (",M649,")"),B649)</f>
        <v>Língzhī Jiēdào</v>
      </c>
      <c r="D649" t="s">
        <v>1945</v>
      </c>
      <c r="E649" t="s">
        <v>15</v>
      </c>
      <c r="F649" t="str">
        <f>_xlfn.CONCAT(D649,", ",H649,", ",I649,", ","浙江省")</f>
        <v>灵芝街道, 越城区, 绍兴市, 浙江省</v>
      </c>
      <c r="G649">
        <v>79923</v>
      </c>
      <c r="H649" t="s">
        <v>2986</v>
      </c>
      <c r="I649" t="s">
        <v>2981</v>
      </c>
      <c r="J649" t="e">
        <f>VLOOKUP(F649,[1]!china_towns_second__2[[Column1]:[Y]],3,FALSE)</f>
        <v>#N/A</v>
      </c>
      <c r="K649" t="e">
        <f>VLOOKUP(F649,[1]!china_towns_second__2[[Column1]:[Y]],2,FALSE)</f>
        <v>#N/A</v>
      </c>
      <c r="L649" t="s">
        <v>4283</v>
      </c>
      <c r="M649" t="str">
        <f>VLOOKUP(H649,CHOOSE({1,2},Table12[Native],Table12[Name]),2,0)</f>
        <v>Yuèchéng Qū</v>
      </c>
      <c r="N649" s="15" t="str">
        <f>VLOOKUP(I649,CHOOSE({1,2},Table12[Native],Table12[Name]),2,0)</f>
        <v>Shàoxīng Shì</v>
      </c>
      <c r="O649" s="15" t="str">
        <f t="shared" si="20"/>
        <v>Lingzhi Jiedao (Shàoxīng Shì)</v>
      </c>
      <c r="P649" s="15" t="str">
        <f t="shared" si="21"/>
        <v>Lingzhi Jiedao (Shàoxīng Shì)</v>
      </c>
    </row>
    <row r="650" spans="1:16" hidden="1" x14ac:dyDescent="0.25">
      <c r="A650" t="s">
        <v>195</v>
      </c>
      <c r="B650" t="str">
        <f>IF(COUNTIF(A:A,A650)&gt;1,_xlfn.CONCAT(A650," (",N650,")"),A650)</f>
        <v>Línjiāng Jiēdào</v>
      </c>
      <c r="C650" t="str">
        <f>IF(COUNTIF(B:B,B650)&gt;1,_xlfn.CONCAT(A650," (",M650,")"),B650)</f>
        <v>Línjiāng Jiēdào</v>
      </c>
      <c r="D650" t="s">
        <v>196</v>
      </c>
      <c r="E650" t="s">
        <v>15</v>
      </c>
      <c r="F650" t="str">
        <f>_xlfn.CONCAT(D650,", ",H650,", ",I650,", ","浙江省")</f>
        <v>临江街道, 钱塘区, 杭州市, 浙江省</v>
      </c>
      <c r="G650">
        <v>11259</v>
      </c>
      <c r="H650" t="s">
        <v>2914</v>
      </c>
      <c r="I650" t="s">
        <v>2903</v>
      </c>
      <c r="J650" t="e">
        <f>VLOOKUP(F650,[1]!china_towns_second__2[[Column1]:[Y]],3,FALSE)</f>
        <v>#N/A</v>
      </c>
      <c r="K650" t="e">
        <f>VLOOKUP(F650,[1]!china_towns_second__2[[Column1]:[Y]],2,FALSE)</f>
        <v>#N/A</v>
      </c>
      <c r="L650" t="s">
        <v>4284</v>
      </c>
      <c r="M650" t="str">
        <f>VLOOKUP(H650,CHOOSE({1,2},Table12[Native],Table12[Name]),2,0)</f>
        <v>Qiántáng Qū</v>
      </c>
      <c r="N650" s="15" t="str">
        <f>VLOOKUP(I650,CHOOSE({1,2},Table12[Native],Table12[Name]),2,0)</f>
        <v>Hángzhōu Shì</v>
      </c>
      <c r="O650" s="15" t="str">
        <f t="shared" si="20"/>
        <v>Linjiang Jiedao (Hángzhōu Shì)</v>
      </c>
      <c r="P650" s="15" t="str">
        <f t="shared" si="21"/>
        <v>Linjiang Jiedao (Hángzhōu Shì)</v>
      </c>
    </row>
    <row r="651" spans="1:16" hidden="1" x14ac:dyDescent="0.25">
      <c r="A651" t="s">
        <v>197</v>
      </c>
      <c r="B651" t="str">
        <f>IF(COUNTIF(A:A,A651)&gt;1,_xlfn.CONCAT(A651," (",N651,")"),A651)</f>
        <v>Línpíng Jiēdào</v>
      </c>
      <c r="C651" t="str">
        <f>IF(COUNTIF(B:B,B651)&gt;1,_xlfn.CONCAT(A651," (",M651,")"),B651)</f>
        <v>Línpíng Jiēdào</v>
      </c>
      <c r="D651" t="s">
        <v>198</v>
      </c>
      <c r="E651" t="s">
        <v>15</v>
      </c>
      <c r="F651" t="str">
        <f>_xlfn.CONCAT(D651,", ",H651,", ",I651,", ","浙江省")</f>
        <v>临平街道, 临平区, 杭州市, 浙江省</v>
      </c>
      <c r="G651">
        <v>33352</v>
      </c>
      <c r="H651" t="s">
        <v>2912</v>
      </c>
      <c r="I651" t="s">
        <v>2903</v>
      </c>
      <c r="J651" t="e">
        <f>VLOOKUP(F651,[1]!china_towns_second__2[[Column1]:[Y]],3,FALSE)</f>
        <v>#N/A</v>
      </c>
      <c r="K651" t="e">
        <f>VLOOKUP(F651,[1]!china_towns_second__2[[Column1]:[Y]],2,FALSE)</f>
        <v>#N/A</v>
      </c>
      <c r="L651" t="s">
        <v>4285</v>
      </c>
      <c r="M651" t="str">
        <f>VLOOKUP(H651,CHOOSE({1,2},Table12[Native],Table12[Name]),2,0)</f>
        <v>Línpíng Qū</v>
      </c>
      <c r="N651" s="15" t="str">
        <f>VLOOKUP(I651,CHOOSE({1,2},Table12[Native],Table12[Name]),2,0)</f>
        <v>Hángzhōu Shì</v>
      </c>
      <c r="O651" s="15" t="str">
        <f t="shared" si="20"/>
        <v>Linping Jiedao (Hángzhōu Shì)</v>
      </c>
      <c r="P651" s="15" t="str">
        <f t="shared" si="21"/>
        <v>Linping Jiedao (Hángzhōu Shì)</v>
      </c>
    </row>
    <row r="652" spans="1:16" hidden="1" x14ac:dyDescent="0.25">
      <c r="A652" t="s">
        <v>199</v>
      </c>
      <c r="B652" t="str">
        <f>IF(COUNTIF(A:A,A652)&gt;1,_xlfn.CONCAT(A652," (",N652,")"),A652)</f>
        <v>Línpŭ Zhèn</v>
      </c>
      <c r="C652" t="str">
        <f>IF(COUNTIF(B:B,B652)&gt;1,_xlfn.CONCAT(A652," (",M652,")"),B652)</f>
        <v>Línpŭ Zhèn</v>
      </c>
      <c r="D652" t="s">
        <v>200</v>
      </c>
      <c r="E652" t="s">
        <v>11</v>
      </c>
      <c r="F652" t="str">
        <f>_xlfn.CONCAT(D652,", ",H652,", ",I652,", ","浙江省")</f>
        <v>临浦镇, 萧山区, 杭州市, 浙江省</v>
      </c>
      <c r="G652">
        <v>60355</v>
      </c>
      <c r="H652" t="s">
        <v>2917</v>
      </c>
      <c r="I652" t="s">
        <v>2903</v>
      </c>
      <c r="J652">
        <f>VLOOKUP(F652,[1]!china_towns_second__2[[Column1]:[Y]],3,FALSE)</f>
        <v>30.047852671557798</v>
      </c>
      <c r="K652">
        <f>VLOOKUP(F652,[1]!china_towns_second__2[[Column1]:[Y]],2,FALSE)</f>
        <v>120.2406</v>
      </c>
      <c r="L652" t="s">
        <v>4286</v>
      </c>
      <c r="M652" t="str">
        <f>VLOOKUP(H652,CHOOSE({1,2},Table12[Native],Table12[Name]),2,0)</f>
        <v>Xiāoshān Qū</v>
      </c>
      <c r="N652" s="15" t="str">
        <f>VLOOKUP(I652,CHOOSE({1,2},Table12[Native],Table12[Name]),2,0)</f>
        <v>Hángzhōu Shì</v>
      </c>
      <c r="O652" s="15" t="str">
        <f t="shared" si="20"/>
        <v>Linpu Zhen (Hángzhōu Shì)</v>
      </c>
      <c r="P652" s="15" t="str">
        <f t="shared" si="21"/>
        <v>Linpu Zhen (Hángzhōu Shì)</v>
      </c>
    </row>
    <row r="653" spans="1:16" hidden="1" x14ac:dyDescent="0.25">
      <c r="A653" t="s">
        <v>201</v>
      </c>
      <c r="B653" t="str">
        <f>IF(COUNTIF(A:A,A653)&gt;1,_xlfn.CONCAT(A653," (",N653,")"),A653)</f>
        <v>Línqí Zhèn</v>
      </c>
      <c r="C653" t="str">
        <f>IF(COUNTIF(B:B,B653)&gt;1,_xlfn.CONCAT(A653," (",M653,")"),B653)</f>
        <v>Línqí Zhèn</v>
      </c>
      <c r="D653" t="s">
        <v>202</v>
      </c>
      <c r="E653" t="s">
        <v>11</v>
      </c>
      <c r="F653" t="str">
        <f>_xlfn.CONCAT(D653,", ",H653,", ",I653,", ","浙江省")</f>
        <v>临岐镇, 淳安县, 杭州市, 浙江省</v>
      </c>
      <c r="G653">
        <v>13698</v>
      </c>
      <c r="H653" t="s">
        <v>2907</v>
      </c>
      <c r="I653" t="s">
        <v>2903</v>
      </c>
      <c r="J653">
        <f>VLOOKUP(F653,[1]!china_towns_second__2[[Column1]:[Y]],3,FALSE)</f>
        <v>29.8790503977736</v>
      </c>
      <c r="K653">
        <f>VLOOKUP(F653,[1]!china_towns_second__2[[Column1]:[Y]],2,FALSE)</f>
        <v>119.1364835</v>
      </c>
      <c r="L653" t="s">
        <v>4287</v>
      </c>
      <c r="M653" t="str">
        <f>VLOOKUP(H653,CHOOSE({1,2},Table12[Native],Table12[Name]),2,0)</f>
        <v>Chún'ān Xiàn</v>
      </c>
      <c r="N653" s="15" t="str">
        <f>VLOOKUP(I653,CHOOSE({1,2},Table12[Native],Table12[Name]),2,0)</f>
        <v>Hángzhōu Shì</v>
      </c>
      <c r="O653" s="15" t="str">
        <f t="shared" si="20"/>
        <v>Linqi Zhen (Hángzhōu Shì)</v>
      </c>
      <c r="P653" s="15" t="str">
        <f t="shared" si="21"/>
        <v>Linqi Zhen (Hángzhōu Shì)</v>
      </c>
    </row>
    <row r="654" spans="1:16" hidden="1" x14ac:dyDescent="0.25">
      <c r="A654" t="s">
        <v>1730</v>
      </c>
      <c r="B654" t="str">
        <f>IF(COUNTIF(A:A,A654)&gt;1,_xlfn.CONCAT(A654," (",N654,")"),A654)</f>
        <v>Línshān Xiāng</v>
      </c>
      <c r="C654" t="str">
        <f>IF(COUNTIF(B:B,B654)&gt;1,_xlfn.CONCAT(A654," (",M654,")"),B654)</f>
        <v>Línshān Xiāng</v>
      </c>
      <c r="D654" t="s">
        <v>1731</v>
      </c>
      <c r="E654" t="s">
        <v>7</v>
      </c>
      <c r="F654" t="str">
        <f>_xlfn.CONCAT(D654,", ",H654,", ",I654,", ","浙江省")</f>
        <v>林山乡, 开化县, 衢州市, 浙江省</v>
      </c>
      <c r="G654">
        <v>8096</v>
      </c>
      <c r="H654" t="s">
        <v>2976</v>
      </c>
      <c r="I654" t="s">
        <v>2973</v>
      </c>
      <c r="J654" t="e">
        <f>VLOOKUP(F654,[1]!china_towns_second__2[[Column1]:[Y]],3,FALSE)</f>
        <v>#N/A</v>
      </c>
      <c r="K654" t="e">
        <f>VLOOKUP(F654,[1]!china_towns_second__2[[Column1]:[Y]],2,FALSE)</f>
        <v>#N/A</v>
      </c>
      <c r="L654" t="s">
        <v>4288</v>
      </c>
      <c r="M654" t="str">
        <f>VLOOKUP(H654,CHOOSE({1,2},Table12[Native],Table12[Name]),2,0)</f>
        <v>Kāihuà Xiàn</v>
      </c>
      <c r="N654" s="15" t="str">
        <f>VLOOKUP(I654,CHOOSE({1,2},Table12[Native],Table12[Name]),2,0)</f>
        <v>Qúzhōu Shì</v>
      </c>
      <c r="O654" s="15" t="str">
        <f t="shared" si="20"/>
        <v>Linshan Xiang (Qúzhōu Shì)</v>
      </c>
      <c r="P654" s="15" t="str">
        <f t="shared" si="21"/>
        <v>Linshan Xiang (Qúzhōu Shì)</v>
      </c>
    </row>
    <row r="655" spans="1:16" hidden="1" x14ac:dyDescent="0.25">
      <c r="A655" t="s">
        <v>1482</v>
      </c>
      <c r="B655" t="str">
        <f>IF(COUNTIF(A:A,A655)&gt;1,_xlfn.CONCAT(A655," (",N655,")"),A655)</f>
        <v>Línshān Zhèn</v>
      </c>
      <c r="C655" t="str">
        <f>IF(COUNTIF(B:B,B655)&gt;1,_xlfn.CONCAT(A655," (",M655,")"),B655)</f>
        <v>Línshān Zhèn</v>
      </c>
      <c r="D655" t="s">
        <v>1483</v>
      </c>
      <c r="E655" t="s">
        <v>11</v>
      </c>
      <c r="F655" t="str">
        <f>_xlfn.CONCAT(D655,", ",H655,", ",I655,", ","浙江省")</f>
        <v>临山镇, 余姚市, 宁波市, 浙江省</v>
      </c>
      <c r="G655">
        <v>45323</v>
      </c>
      <c r="H655" t="s">
        <v>2970</v>
      </c>
      <c r="I655" t="s">
        <v>2961</v>
      </c>
      <c r="J655">
        <f>VLOOKUP(F655,[1]!china_towns_second__2[[Column1]:[Y]],3,FALSE)</f>
        <v>30.156111642443499</v>
      </c>
      <c r="K655">
        <f>VLOOKUP(F655,[1]!china_towns_second__2[[Column1]:[Y]],2,FALSE)</f>
        <v>120.98564090000001</v>
      </c>
      <c r="L655" t="s">
        <v>4289</v>
      </c>
      <c r="M655" t="str">
        <f>VLOOKUP(H655,CHOOSE({1,2},Table12[Native],Table12[Name]),2,0)</f>
        <v>Yúyáo Shì</v>
      </c>
      <c r="N655" s="15" t="str">
        <f>VLOOKUP(I655,CHOOSE({1,2},Table12[Native],Table12[Name]),2,0)</f>
        <v>Níngbō Shì</v>
      </c>
      <c r="O655" s="15" t="str">
        <f t="shared" si="20"/>
        <v>Linshan Zhen (Níngbō Shì)</v>
      </c>
      <c r="P655" s="15" t="str">
        <f t="shared" si="21"/>
        <v>Linshan Zhen (Níngbō Shì)</v>
      </c>
    </row>
    <row r="656" spans="1:16" hidden="1" x14ac:dyDescent="0.25">
      <c r="A656" t="s">
        <v>2483</v>
      </c>
      <c r="B656" t="str">
        <f>IF(COUNTIF(A:A,A656)&gt;1,_xlfn.CONCAT(A656," (",N656,")"),A656)</f>
        <v>Línxī Xiāng</v>
      </c>
      <c r="C656" t="str">
        <f>IF(COUNTIF(B:B,B656)&gt;1,_xlfn.CONCAT(A656," (",M656,")"),B656)</f>
        <v>Línxī Xiāng</v>
      </c>
      <c r="D656" t="s">
        <v>2484</v>
      </c>
      <c r="E656" t="s">
        <v>7</v>
      </c>
      <c r="F656" t="str">
        <f>_xlfn.CONCAT(D656,", ",H656,", ",I656,", ","浙江省")</f>
        <v>林溪乡, 瑞安市, 温州市, 浙江省</v>
      </c>
      <c r="G656">
        <v>8433</v>
      </c>
      <c r="H656" t="s">
        <v>3007</v>
      </c>
      <c r="I656" t="s">
        <v>3000</v>
      </c>
      <c r="J656" t="e">
        <f>VLOOKUP(F656,[1]!china_towns_second__2[[Column1]:[Y]],3,FALSE)</f>
        <v>#N/A</v>
      </c>
      <c r="K656" t="e">
        <f>VLOOKUP(F656,[1]!china_towns_second__2[[Column1]:[Y]],2,FALSE)</f>
        <v>#N/A</v>
      </c>
      <c r="L656" t="s">
        <v>4290</v>
      </c>
      <c r="M656" t="str">
        <f>VLOOKUP(H656,CHOOSE({1,2},Table12[Native],Table12[Name]),2,0)</f>
        <v>Ruì'ān Shì</v>
      </c>
      <c r="N656" s="15" t="str">
        <f>VLOOKUP(I656,CHOOSE({1,2},Table12[Native],Table12[Name]),2,0)</f>
        <v>Wēnzhōu Shì</v>
      </c>
      <c r="O656" s="15" t="str">
        <f t="shared" si="20"/>
        <v>Linxi Xiang (Wēnzhōu Shì)</v>
      </c>
      <c r="P656" s="15" t="str">
        <f t="shared" si="21"/>
        <v>Linxi Xiang (Wēnzhōu Shì)</v>
      </c>
    </row>
    <row r="657" spans="1:16" hidden="1" x14ac:dyDescent="0.25">
      <c r="A657" t="s">
        <v>831</v>
      </c>
      <c r="B657" t="str">
        <f>IF(COUNTIF(A:A,A657)&gt;1,_xlfn.CONCAT(A657," (",N657,")"),A657)</f>
        <v>Lĭpŭ Zhèn (Jīnhuá Shì)</v>
      </c>
      <c r="C657" t="str">
        <f>IF(COUNTIF(B:B,B657)&gt;1,_xlfn.CONCAT(A657," (",M657,")"),B657)</f>
        <v>Lĭpŭ Zhèn (Jīnhuá Shì)</v>
      </c>
      <c r="D657" t="s">
        <v>832</v>
      </c>
      <c r="E657" t="s">
        <v>11</v>
      </c>
      <c r="F657" t="str">
        <f>_xlfn.CONCAT(D657,", ",H657,", ",I657,", ","浙江省")</f>
        <v>澧浦镇, 金东区, 金华市, 浙江省</v>
      </c>
      <c r="G657">
        <v>26731</v>
      </c>
      <c r="H657" t="s">
        <v>2940</v>
      </c>
      <c r="I657" t="s">
        <v>2938</v>
      </c>
      <c r="J657">
        <f>VLOOKUP(F657,[1]!china_towns_second__2[[Column1]:[Y]],3,FALSE)</f>
        <v>29.093309265850198</v>
      </c>
      <c r="K657">
        <f>VLOOKUP(F657,[1]!china_towns_second__2[[Column1]:[Y]],2,FALSE)</f>
        <v>119.8288051</v>
      </c>
      <c r="L657" t="s">
        <v>4291</v>
      </c>
      <c r="M657" t="str">
        <f>VLOOKUP(H657,CHOOSE({1,2},Table12[Native],Table12[Name]),2,0)</f>
        <v>Jīndōng Qū</v>
      </c>
      <c r="N657" s="15" t="str">
        <f>VLOOKUP(I657,CHOOSE({1,2},Table12[Native],Table12[Name]),2,0)</f>
        <v>Jīnhuá Shì</v>
      </c>
      <c r="O657" s="15" t="str">
        <f t="shared" si="20"/>
        <v>Lipu Zhen (Jinhua Shi) (Jīnhuá Shì)</v>
      </c>
      <c r="P657" s="15" t="str">
        <f t="shared" si="21"/>
        <v>Lipu Zhen (Jinhua Shi) (Jīnhuá Shì)</v>
      </c>
    </row>
    <row r="658" spans="1:16" hidden="1" x14ac:dyDescent="0.25">
      <c r="A658" t="s">
        <v>831</v>
      </c>
      <c r="B658" t="str">
        <f>IF(COUNTIF(A:A,A658)&gt;1,_xlfn.CONCAT(A658," (",N658,")"),A658)</f>
        <v>Lĭpŭ Zhèn (Shàoxīng Shì)</v>
      </c>
      <c r="C658" t="str">
        <f>IF(COUNTIF(B:B,B658)&gt;1,_xlfn.CONCAT(A658," (",M658,")"),B658)</f>
        <v>Lĭpŭ Zhèn (Shàoxīng Shì)</v>
      </c>
      <c r="D658" t="s">
        <v>1946</v>
      </c>
      <c r="E658" t="s">
        <v>11</v>
      </c>
      <c r="F658" t="str">
        <f>_xlfn.CONCAT(D658,", ",H658,", ",I658,", ","浙江省")</f>
        <v>浬浦镇, 诸暨市, 绍兴市, 浙江省</v>
      </c>
      <c r="G658">
        <v>17448</v>
      </c>
      <c r="H658" t="s">
        <v>2987</v>
      </c>
      <c r="I658" t="s">
        <v>2981</v>
      </c>
      <c r="J658">
        <f>VLOOKUP(F658,[1]!china_towns_second__2[[Column1]:[Y]],3,FALSE)</f>
        <v>29.6258928873327</v>
      </c>
      <c r="K658">
        <f>VLOOKUP(F658,[1]!china_towns_second__2[[Column1]:[Y]],2,FALSE)</f>
        <v>120.358283</v>
      </c>
      <c r="L658" t="s">
        <v>4292</v>
      </c>
      <c r="M658" t="str">
        <f>VLOOKUP(H658,CHOOSE({1,2},Table12[Native],Table12[Name]),2,0)</f>
        <v>Zhūjì Shì</v>
      </c>
      <c r="N658" s="15" t="str">
        <f>VLOOKUP(I658,CHOOSE({1,2},Table12[Native],Table12[Name]),2,0)</f>
        <v>Shàoxīng Shì</v>
      </c>
      <c r="O658" s="15" t="str">
        <f t="shared" si="20"/>
        <v>Lipu Zhen (Shaoxing Shi) (Shàoxīng Shì)</v>
      </c>
      <c r="P658" s="15" t="str">
        <f t="shared" si="21"/>
        <v>Lipu Zhen (Shaoxing Shi) (Shàoxīng Shì)</v>
      </c>
    </row>
    <row r="659" spans="1:16" hidden="1" x14ac:dyDescent="0.25">
      <c r="A659" t="s">
        <v>205</v>
      </c>
      <c r="B659" t="str">
        <f>IF(COUNTIF(A:A,A659)&gt;1,_xlfn.CONCAT(A659," (",N659,")"),A659)</f>
        <v>Lĭshān Zhèn</v>
      </c>
      <c r="C659" t="str">
        <f>IF(COUNTIF(B:B,B659)&gt;1,_xlfn.CONCAT(A659," (",M659,")"),B659)</f>
        <v>Lĭshān Zhèn</v>
      </c>
      <c r="D659" t="s">
        <v>206</v>
      </c>
      <c r="E659" t="s">
        <v>11</v>
      </c>
      <c r="F659" t="str">
        <f>_xlfn.CONCAT(D659,", ",H659,", ",I659,", ","浙江省")</f>
        <v>里山镇, 富阳区, 杭州市, 浙江省</v>
      </c>
      <c r="G659">
        <v>8062</v>
      </c>
      <c r="H659" t="s">
        <v>2908</v>
      </c>
      <c r="I659" t="s">
        <v>2903</v>
      </c>
      <c r="J659">
        <f>VLOOKUP(F659,[1]!china_towns_second__2[[Column1]:[Y]],3,FALSE)</f>
        <v>30.024590793577499</v>
      </c>
      <c r="K659">
        <f>VLOOKUP(F659,[1]!china_towns_second__2[[Column1]:[Y]],2,FALSE)</f>
        <v>120.0749556</v>
      </c>
      <c r="L659" t="s">
        <v>4293</v>
      </c>
      <c r="M659" t="str">
        <f>VLOOKUP(H659,CHOOSE({1,2},Table12[Native],Table12[Name]),2,0)</f>
        <v>Fùyáng Qū</v>
      </c>
      <c r="N659" s="15" t="str">
        <f>VLOOKUP(I659,CHOOSE({1,2},Table12[Native],Table12[Name]),2,0)</f>
        <v>Hángzhōu Shì</v>
      </c>
      <c r="O659" s="15" t="str">
        <f t="shared" si="20"/>
        <v>Lishan Zhen (Hángzhōu Shì)</v>
      </c>
      <c r="P659" s="15" t="str">
        <f t="shared" si="21"/>
        <v>Lishan Zhen (Hángzhōu Shì)</v>
      </c>
    </row>
    <row r="660" spans="1:16" hidden="1" x14ac:dyDescent="0.25">
      <c r="A660" t="s">
        <v>203</v>
      </c>
      <c r="B660" t="str">
        <f>IF(COUNTIF(A:A,A660)&gt;1,_xlfn.CONCAT(A660," (",N660,")"),A660)</f>
        <v>Lĭshāng Xiāng</v>
      </c>
      <c r="C660" t="str">
        <f>IF(COUNTIF(B:B,B660)&gt;1,_xlfn.CONCAT(A660," (",M660,")"),B660)</f>
        <v>Lĭshāng Xiāng</v>
      </c>
      <c r="D660" t="s">
        <v>204</v>
      </c>
      <c r="E660" t="s">
        <v>7</v>
      </c>
      <c r="F660" t="str">
        <f>_xlfn.CONCAT(D660,", ",H660,", ",I660,", ","浙江省")</f>
        <v>里商乡, 淳安县, 杭州市, 浙江省</v>
      </c>
      <c r="G660">
        <v>6934</v>
      </c>
      <c r="H660" t="s">
        <v>2907</v>
      </c>
      <c r="I660" t="s">
        <v>2903</v>
      </c>
      <c r="J660" t="e">
        <f>VLOOKUP(F660,[1]!china_towns_second__2[[Column1]:[Y]],3,FALSE)</f>
        <v>#N/A</v>
      </c>
      <c r="K660" t="e">
        <f>VLOOKUP(F660,[1]!china_towns_second__2[[Column1]:[Y]],2,FALSE)</f>
        <v>#N/A</v>
      </c>
      <c r="L660" t="s">
        <v>4294</v>
      </c>
      <c r="M660" t="str">
        <f>VLOOKUP(H660,CHOOSE({1,2},Table12[Native],Table12[Name]),2,0)</f>
        <v>Chún'ān Xiàn</v>
      </c>
      <c r="N660" s="15" t="str">
        <f>VLOOKUP(I660,CHOOSE({1,2},Table12[Native],Table12[Name]),2,0)</f>
        <v>Hángzhōu Shì</v>
      </c>
      <c r="O660" s="15" t="str">
        <f t="shared" si="20"/>
        <v>Lishang Xiang (Hángzhōu Shì)</v>
      </c>
      <c r="P660" s="15" t="str">
        <f t="shared" si="21"/>
        <v>Lishang Xiang (Hángzhōu Shì)</v>
      </c>
    </row>
    <row r="661" spans="1:16" hidden="1" x14ac:dyDescent="0.25">
      <c r="A661" t="s">
        <v>833</v>
      </c>
      <c r="B661" t="str">
        <f>IF(COUNTIF(A:A,A661)&gt;1,_xlfn.CONCAT(A661," (",N661,")"),A661)</f>
        <v>Liŭchéng Shēzú Zhèn</v>
      </c>
      <c r="C661" t="str">
        <f>IF(COUNTIF(B:B,B661)&gt;1,_xlfn.CONCAT(A661," (",M661,")"),B661)</f>
        <v>Liŭchéng Shēzú Zhèn</v>
      </c>
      <c r="D661" t="s">
        <v>834</v>
      </c>
      <c r="E661" t="s">
        <v>11</v>
      </c>
      <c r="F661" t="str">
        <f>_xlfn.CONCAT(D661,", ",H661,", ",I661,", ","浙江省")</f>
        <v>柳城畲族镇, 武义县, 金华市, 浙江省</v>
      </c>
      <c r="G661">
        <v>20515</v>
      </c>
      <c r="H661" t="s">
        <v>2945</v>
      </c>
      <c r="I661" t="s">
        <v>2938</v>
      </c>
      <c r="J661">
        <f>VLOOKUP(F661,[1]!china_towns_second__2[[Column1]:[Y]],3,FALSE)</f>
        <v>28.615349144992202</v>
      </c>
      <c r="K661">
        <f>VLOOKUP(F661,[1]!china_towns_second__2[[Column1]:[Y]],2,FALSE)</f>
        <v>119.5830847</v>
      </c>
      <c r="L661" t="s">
        <v>4295</v>
      </c>
      <c r="M661" t="str">
        <f>VLOOKUP(H661,CHOOSE({1,2},Table12[Native],Table12[Name]),2,0)</f>
        <v>Wŭyì Xiàn</v>
      </c>
      <c r="N661" s="15" t="str">
        <f>VLOOKUP(I661,CHOOSE({1,2},Table12[Native],Table12[Name]),2,0)</f>
        <v>Jīnhuá Shì</v>
      </c>
      <c r="O661" s="15" t="str">
        <f t="shared" si="20"/>
        <v>Liucheng Shezu Zhen (Jīnhuá Shì)</v>
      </c>
      <c r="P661" s="15" t="str">
        <f t="shared" si="21"/>
        <v>Liucheng Shezu Zhen (Jīnhuá Shì)</v>
      </c>
    </row>
    <row r="662" spans="1:16" hidden="1" x14ac:dyDescent="0.25">
      <c r="A662" t="s">
        <v>2485</v>
      </c>
      <c r="B662" t="str">
        <f>IF(COUNTIF(A:A,A662)&gt;1,_xlfn.CONCAT(A662," (",N662,")"),A662)</f>
        <v>Liŭfēng Xiāng [→ Yăyáng Zhèn]</v>
      </c>
      <c r="C662" t="str">
        <f>IF(COUNTIF(B:B,B662)&gt;1,_xlfn.CONCAT(A662," (",M662,")"),B662)</f>
        <v>Liŭfēng Xiāng [→ Yăyáng Zhèn]</v>
      </c>
      <c r="D662" t="s">
        <v>2486</v>
      </c>
      <c r="E662" t="s">
        <v>7</v>
      </c>
      <c r="F662" t="str">
        <f>_xlfn.CONCAT(D662,", ",H662,", ",I662,", ","浙江省")</f>
        <v>柳峰乡, 泰顺县, 温州市, 浙江省</v>
      </c>
      <c r="G662">
        <v>5085</v>
      </c>
      <c r="H662" t="s">
        <v>3008</v>
      </c>
      <c r="I662" t="s">
        <v>3000</v>
      </c>
      <c r="J662" t="e">
        <f>VLOOKUP(F662,[1]!china_towns_second__2[[Column1]:[Y]],3,FALSE)</f>
        <v>#N/A</v>
      </c>
      <c r="K662" t="e">
        <f>VLOOKUP(F662,[1]!china_towns_second__2[[Column1]:[Y]],2,FALSE)</f>
        <v>#N/A</v>
      </c>
      <c r="L662" t="s">
        <v>4296</v>
      </c>
      <c r="M662" t="str">
        <f>VLOOKUP(H662,CHOOSE({1,2},Table12[Native],Table12[Name]),2,0)</f>
        <v>Tàishùn Xiàn</v>
      </c>
      <c r="N662" s="15" t="str">
        <f>VLOOKUP(I662,CHOOSE({1,2},Table12[Native],Table12[Name]),2,0)</f>
        <v>Wēnzhōu Shì</v>
      </c>
      <c r="O662" s="15" t="str">
        <f t="shared" si="20"/>
        <v>Liufeng Xiang [→ Yayang Zhen] (Wēnzhōu Shì)</v>
      </c>
      <c r="P662" s="15" t="str">
        <f t="shared" si="21"/>
        <v>Liufeng Xiang [→ Yayang Zhen] (Wēnzhōu Shì)</v>
      </c>
    </row>
    <row r="663" spans="1:16" hidden="1" x14ac:dyDescent="0.25">
      <c r="A663" t="s">
        <v>2870</v>
      </c>
      <c r="B663" t="str">
        <f>IF(COUNTIF(A:A,A663)&gt;1,_xlfn.CONCAT(A663," (",N663,")"),A663)</f>
        <v>Liùhéng Zhèn</v>
      </c>
      <c r="C663" t="str">
        <f>IF(COUNTIF(B:B,B663)&gt;1,_xlfn.CONCAT(A663," (",M663,")"),B663)</f>
        <v>Liùhéng Zhèn</v>
      </c>
      <c r="D663" t="s">
        <v>2871</v>
      </c>
      <c r="E663" t="s">
        <v>11</v>
      </c>
      <c r="F663" t="str">
        <f>_xlfn.CONCAT(D663,", ",H663,", ",I663,", ","浙江省")</f>
        <v>六横镇, 普陀区, 舟山市, 浙江省</v>
      </c>
      <c r="G663">
        <v>61325</v>
      </c>
      <c r="H663" t="s">
        <v>3016</v>
      </c>
      <c r="I663" t="s">
        <v>3013</v>
      </c>
      <c r="J663">
        <f>VLOOKUP(F663,[1]!china_towns_second__2[[Column1]:[Y]],3,FALSE)</f>
        <v>29.720597133331001</v>
      </c>
      <c r="K663">
        <f>VLOOKUP(F663,[1]!china_towns_second__2[[Column1]:[Y]],2,FALSE)</f>
        <v>122.131562</v>
      </c>
      <c r="L663" t="s">
        <v>4297</v>
      </c>
      <c r="M663" t="str">
        <f>VLOOKUP(H663,CHOOSE({1,2},Table12[Native],Table12[Name]),2,0)</f>
        <v>Pŭtuó Qū</v>
      </c>
      <c r="N663" s="15" t="str">
        <f>VLOOKUP(I663,CHOOSE({1,2},Table12[Native],Table12[Name]),2,0)</f>
        <v>Zhōushān Shì</v>
      </c>
      <c r="O663" s="15" t="str">
        <f t="shared" si="20"/>
        <v>Liuheng Zhen (Zhōushān Shì)</v>
      </c>
      <c r="P663" s="15" t="str">
        <f t="shared" si="21"/>
        <v>Liuheng Zhen (Zhōushān Shì)</v>
      </c>
    </row>
    <row r="664" spans="1:16" hidden="1" x14ac:dyDescent="0.25">
      <c r="A664" t="s">
        <v>835</v>
      </c>
      <c r="B664" t="str">
        <f>IF(COUNTIF(A:A,A664)&gt;1,_xlfn.CONCAT(A664," (",N664,")"),A664)</f>
        <v>Liùshí Jiēdào</v>
      </c>
      <c r="C664" t="str">
        <f>IF(COUNTIF(B:B,B664)&gt;1,_xlfn.CONCAT(A664," (",M664,")"),B664)</f>
        <v>Liùshí Jiēdào</v>
      </c>
      <c r="D664" t="s">
        <v>836</v>
      </c>
      <c r="E664" t="s">
        <v>15</v>
      </c>
      <c r="F664" t="str">
        <f>_xlfn.CONCAT(D664,", ",H664,", ",I664,", ","浙江省")</f>
        <v>六石街道, 东阳市, 金华市, 浙江省</v>
      </c>
      <c r="G664">
        <v>29859</v>
      </c>
      <c r="H664" t="s">
        <v>2939</v>
      </c>
      <c r="I664" t="s">
        <v>2938</v>
      </c>
      <c r="J664">
        <f>VLOOKUP(F664,[1]!china_towns_second__2[[Column1]:[Y]],3,FALSE)</f>
        <v>29.332954094284201</v>
      </c>
      <c r="K664">
        <f>VLOOKUP(F664,[1]!china_towns_second__2[[Column1]:[Y]],2,FALSE)</f>
        <v>120.3390733</v>
      </c>
      <c r="L664" t="s">
        <v>4298</v>
      </c>
      <c r="M664" t="str">
        <f>VLOOKUP(H664,CHOOSE({1,2},Table12[Native],Table12[Name]),2,0)</f>
        <v>Dōngyáng Shì</v>
      </c>
      <c r="N664" s="15" t="str">
        <f>VLOOKUP(I664,CHOOSE({1,2},Table12[Native],Table12[Name]),2,0)</f>
        <v>Jīnhuá Shì</v>
      </c>
      <c r="O664" s="15" t="str">
        <f t="shared" si="20"/>
        <v>Liushi Jiedao (Jīnhuá Shì)</v>
      </c>
      <c r="P664" s="15" t="str">
        <f t="shared" si="21"/>
        <v>Liushi Jiedao (Jīnhuá Shì)</v>
      </c>
    </row>
    <row r="665" spans="1:16" hidden="1" x14ac:dyDescent="0.25">
      <c r="A665" t="s">
        <v>2487</v>
      </c>
      <c r="B665" t="str">
        <f>IF(COUNTIF(A:A,A665)&gt;1,_xlfn.CONCAT(A665," (",N665,")"),A665)</f>
        <v>Liŭshì Zhèn</v>
      </c>
      <c r="C665" t="str">
        <f>IF(COUNTIF(B:B,B665)&gt;1,_xlfn.CONCAT(A665," (",M665,")"),B665)</f>
        <v>Liŭshì Zhèn</v>
      </c>
      <c r="D665" t="s">
        <v>2488</v>
      </c>
      <c r="E665" t="s">
        <v>11</v>
      </c>
      <c r="F665" t="str">
        <f>_xlfn.CONCAT(D665,", ",H665,", ",I665,", ","浙江省")</f>
        <v>柳市镇, 乐清市, 温州市, 浙江省</v>
      </c>
      <c r="G665">
        <v>219380</v>
      </c>
      <c r="H665" t="s">
        <v>3011</v>
      </c>
      <c r="I665" t="s">
        <v>3000</v>
      </c>
      <c r="J665">
        <f>VLOOKUP(F665,[1]!china_towns_second__2[[Column1]:[Y]],3,FALSE)</f>
        <v>28.0296511620286</v>
      </c>
      <c r="K665">
        <f>VLOOKUP(F665,[1]!china_towns_second__2[[Column1]:[Y]],2,FALSE)</f>
        <v>120.92139520000001</v>
      </c>
      <c r="L665" t="s">
        <v>4299</v>
      </c>
      <c r="M665" t="str">
        <f>VLOOKUP(H665,CHOOSE({1,2},Table12[Native],Table12[Name]),2,0)</f>
        <v>Yuèqīng Shì</v>
      </c>
      <c r="N665" s="15" t="str">
        <f>VLOOKUP(I665,CHOOSE({1,2},Table12[Native],Table12[Name]),2,0)</f>
        <v>Wēnzhōu Shì</v>
      </c>
      <c r="O665" s="15" t="str">
        <f t="shared" si="20"/>
        <v>Liushi Zhen (Wēnzhōu Shì)</v>
      </c>
      <c r="P665" s="15" t="str">
        <f t="shared" si="21"/>
        <v>Liushi Zhen (Wēnzhōu Shì)</v>
      </c>
    </row>
    <row r="666" spans="1:16" hidden="1" x14ac:dyDescent="0.25">
      <c r="A666" t="s">
        <v>207</v>
      </c>
      <c r="B666" t="str">
        <f>IF(COUNTIF(A:A,A666)&gt;1,_xlfn.CONCAT(A666," (",N666,")"),A666)</f>
        <v>Liúxià Jiēdào</v>
      </c>
      <c r="C666" t="str">
        <f>IF(COUNTIF(B:B,B666)&gt;1,_xlfn.CONCAT(A666," (",M666,")"),B666)</f>
        <v>Liúxià Jiēdào</v>
      </c>
      <c r="D666" t="s">
        <v>208</v>
      </c>
      <c r="E666" t="s">
        <v>15</v>
      </c>
      <c r="F666" t="str">
        <f>_xlfn.CONCAT(D666,", ",H666,", ",I666,", ","浙江省")</f>
        <v>留下街道, 西湖区, 杭州市, 浙江省</v>
      </c>
      <c r="G666">
        <v>95779</v>
      </c>
      <c r="H666" t="s">
        <v>2918</v>
      </c>
      <c r="I666" t="s">
        <v>2903</v>
      </c>
      <c r="J666">
        <f>VLOOKUP(F666,[1]!china_towns_second__2[[Column1]:[Y]],3,FALSE)</f>
        <v>30.232857951114099</v>
      </c>
      <c r="K666">
        <f>VLOOKUP(F666,[1]!china_towns_second__2[[Column1]:[Y]],2,FALSE)</f>
        <v>120.0530673</v>
      </c>
      <c r="L666" t="s">
        <v>4300</v>
      </c>
      <c r="M666" t="str">
        <f>VLOOKUP(H666,CHOOSE({1,2},Table12[Native],Table12[Name]),2,0)</f>
        <v>Xīhú Qū</v>
      </c>
      <c r="N666" s="15" t="str">
        <f>VLOOKUP(I666,CHOOSE({1,2},Table12[Native],Table12[Name]),2,0)</f>
        <v>Hángzhōu Shì</v>
      </c>
      <c r="O666" s="15" t="str">
        <f t="shared" si="20"/>
        <v>Liuxia Jiedao (Hángzhōu Shì)</v>
      </c>
      <c r="P666" s="15" t="str">
        <f t="shared" si="21"/>
        <v>Liuxia Jiedao (Hángzhōu Shì)</v>
      </c>
    </row>
    <row r="667" spans="1:16" hidden="1" x14ac:dyDescent="0.25">
      <c r="A667" t="s">
        <v>2489</v>
      </c>
      <c r="B667" t="str">
        <f>IF(COUNTIF(A:A,A667)&gt;1,_xlfn.CONCAT(A667," (",N667,")"),A667)</f>
        <v>Lĭxī Xiāng</v>
      </c>
      <c r="C667" t="str">
        <f>IF(COUNTIF(B:B,B667)&gt;1,_xlfn.CONCAT(A667," (",M667,")"),B667)</f>
        <v>Lĭxī Xiāng</v>
      </c>
      <c r="D667" t="s">
        <v>2490</v>
      </c>
      <c r="E667" t="s">
        <v>7</v>
      </c>
      <c r="F667" t="str">
        <f>_xlfn.CONCAT(D667,", ",H667,", ",I667,", ","浙江省")</f>
        <v>鲤溪乡, 永嘉县, 温州市, 浙江省</v>
      </c>
      <c r="G667">
        <v>6056</v>
      </c>
      <c r="H667" t="s">
        <v>3010</v>
      </c>
      <c r="I667" t="s">
        <v>3000</v>
      </c>
      <c r="J667" t="e">
        <f>VLOOKUP(F667,[1]!china_towns_second__2[[Column1]:[Y]],3,FALSE)</f>
        <v>#N/A</v>
      </c>
      <c r="K667" t="e">
        <f>VLOOKUP(F667,[1]!china_towns_second__2[[Column1]:[Y]],2,FALSE)</f>
        <v>#N/A</v>
      </c>
      <c r="L667" t="s">
        <v>4301</v>
      </c>
      <c r="M667" t="str">
        <f>VLOOKUP(H667,CHOOSE({1,2},Table12[Native],Table12[Name]),2,0)</f>
        <v>Yŏngjiā Xiàn</v>
      </c>
      <c r="N667" s="15" t="str">
        <f>VLOOKUP(I667,CHOOSE({1,2},Table12[Native],Table12[Name]),2,0)</f>
        <v>Wēnzhōu Shì</v>
      </c>
      <c r="O667" s="15" t="str">
        <f t="shared" si="20"/>
        <v>Lixi Xiang (Wēnzhōu Shì)</v>
      </c>
      <c r="P667" s="15" t="str">
        <f t="shared" si="21"/>
        <v>Lixi Xiang (Wēnzhōu Shì)</v>
      </c>
    </row>
    <row r="668" spans="1:16" hidden="1" x14ac:dyDescent="0.25">
      <c r="A668" t="s">
        <v>1157</v>
      </c>
      <c r="B668" t="str">
        <f>IF(COUNTIF(A:A,A668)&gt;1,_xlfn.CONCAT(A668," (",N668,")"),A668)</f>
        <v>Lìxīn Shēzú Xiāng</v>
      </c>
      <c r="C668" t="str">
        <f>IF(COUNTIF(B:B,B668)&gt;1,_xlfn.CONCAT(A668," (",M668,")"),B668)</f>
        <v>Lìxīn Shēzú Xiāng</v>
      </c>
      <c r="D668" t="s">
        <v>1158</v>
      </c>
      <c r="E668" t="s">
        <v>7</v>
      </c>
      <c r="F668" t="str">
        <f>_xlfn.CONCAT(D668,", ",H668,", ",I668,", ","浙江省")</f>
        <v>丽新畲族乡, 莲都区, 丽水市, 浙江省</v>
      </c>
      <c r="G668">
        <v>5347</v>
      </c>
      <c r="H668" t="s">
        <v>2953</v>
      </c>
      <c r="I668" t="s">
        <v>2949</v>
      </c>
      <c r="J668" t="e">
        <f>VLOOKUP(F668,[1]!china_towns_second__2[[Column1]:[Y]],3,FALSE)</f>
        <v>#N/A</v>
      </c>
      <c r="K668" t="e">
        <f>VLOOKUP(F668,[1]!china_towns_second__2[[Column1]:[Y]],2,FALSE)</f>
        <v>#N/A</v>
      </c>
      <c r="L668" t="s">
        <v>4302</v>
      </c>
      <c r="M668" t="str">
        <f>VLOOKUP(H668,CHOOSE({1,2},Table12[Native],Table12[Name]),2,0)</f>
        <v>Liándū Qū</v>
      </c>
      <c r="N668" s="15" t="str">
        <f>VLOOKUP(I668,CHOOSE({1,2},Table12[Native],Table12[Name]),2,0)</f>
        <v>Lìshuĭ Shì</v>
      </c>
      <c r="O668" s="15" t="str">
        <f t="shared" si="20"/>
        <v>Lixin Shezu Xiang (Lìshuĭ Shì)</v>
      </c>
      <c r="P668" s="15" t="str">
        <f t="shared" si="21"/>
        <v>Lixin Shezu Xiang (Lìshuĭ Shì)</v>
      </c>
    </row>
    <row r="669" spans="1:16" hidden="1" x14ac:dyDescent="0.25">
      <c r="A669" t="s">
        <v>2491</v>
      </c>
      <c r="B669" t="str">
        <f>IF(COUNTIF(A:A,A669)&gt;1,_xlfn.CONCAT(A669," (",N669,")"),A669)</f>
        <v>Lĭyáng Xiāng</v>
      </c>
      <c r="C669" t="str">
        <f>IF(COUNTIF(B:B,B669)&gt;1,_xlfn.CONCAT(A669," (",M669,")"),B669)</f>
        <v>Lĭyáng Xiāng</v>
      </c>
      <c r="D669" t="s">
        <v>2492</v>
      </c>
      <c r="E669" t="s">
        <v>7</v>
      </c>
      <c r="F669" t="str">
        <f>_xlfn.CONCAT(D669,", ",H669,", ",I669,", ","浙江省")</f>
        <v>里阳乡, 文成县, 温州市, 浙江省</v>
      </c>
      <c r="G669">
        <v>1623</v>
      </c>
      <c r="H669" t="s">
        <v>3009</v>
      </c>
      <c r="I669" t="s">
        <v>3000</v>
      </c>
      <c r="J669" t="e">
        <f>VLOOKUP(F669,[1]!china_towns_second__2[[Column1]:[Y]],3,FALSE)</f>
        <v>#N/A</v>
      </c>
      <c r="K669" t="e">
        <f>VLOOKUP(F669,[1]!china_towns_second__2[[Column1]:[Y]],2,FALSE)</f>
        <v>#N/A</v>
      </c>
      <c r="L669" t="s">
        <v>4303</v>
      </c>
      <c r="M669" t="str">
        <f>VLOOKUP(H669,CHOOSE({1,2},Table12[Native],Table12[Name]),2,0)</f>
        <v>Wénchéng Xiàn</v>
      </c>
      <c r="N669" s="15" t="str">
        <f>VLOOKUP(I669,CHOOSE({1,2},Table12[Native],Table12[Name]),2,0)</f>
        <v>Wēnzhōu Shì</v>
      </c>
      <c r="O669" s="15" t="str">
        <f t="shared" si="20"/>
        <v>Liyang Xiang (Wēnzhōu Shì)</v>
      </c>
      <c r="P669" s="15" t="str">
        <f t="shared" si="21"/>
        <v>Liyang Xiang (Wēnzhōu Shì)</v>
      </c>
    </row>
    <row r="670" spans="1:16" hidden="1" x14ac:dyDescent="0.25">
      <c r="A670" t="s">
        <v>1484</v>
      </c>
      <c r="B670" t="str">
        <f>IF(COUNTIF(A:A,A670)&gt;1,_xlfn.CONCAT(A670," (",N670,")"),A670)</f>
        <v>Lìyáng Zhèn</v>
      </c>
      <c r="C670" t="str">
        <f>IF(COUNTIF(B:B,B670)&gt;1,_xlfn.CONCAT(A670," (",M670,")"),B670)</f>
        <v>Lìyáng Zhèn</v>
      </c>
      <c r="D670" t="s">
        <v>1485</v>
      </c>
      <c r="E670" t="s">
        <v>11</v>
      </c>
      <c r="F670" t="str">
        <f>_xlfn.CONCAT(D670,", ",H670,", ",I670,", ","浙江省")</f>
        <v>力洋镇, 宁海县, 宁波市, 浙江省</v>
      </c>
      <c r="G670">
        <v>23473</v>
      </c>
      <c r="H670" t="s">
        <v>2967</v>
      </c>
      <c r="I670" t="s">
        <v>2961</v>
      </c>
      <c r="J670">
        <f>VLOOKUP(F670,[1]!china_towns_second__2[[Column1]:[Y]],3,FALSE)</f>
        <v>29.306797630729001</v>
      </c>
      <c r="K670">
        <f>VLOOKUP(F670,[1]!china_towns_second__2[[Column1]:[Y]],2,FALSE)</f>
        <v>121.6264255</v>
      </c>
      <c r="L670" t="s">
        <v>4304</v>
      </c>
      <c r="M670" t="str">
        <f>VLOOKUP(H670,CHOOSE({1,2},Table12[Native],Table12[Name]),2,0)</f>
        <v>Nínghăi Xiàn</v>
      </c>
      <c r="N670" s="15" t="str">
        <f>VLOOKUP(I670,CHOOSE({1,2},Table12[Native],Table12[Name]),2,0)</f>
        <v>Níngbō Shì</v>
      </c>
      <c r="O670" s="15" t="str">
        <f t="shared" si="20"/>
        <v>Liyang Zhen (Níngbō Shì)</v>
      </c>
      <c r="P670" s="15" t="str">
        <f t="shared" si="21"/>
        <v>Liyang Zhen (Níngbō Shì)</v>
      </c>
    </row>
    <row r="671" spans="1:16" hidden="1" x14ac:dyDescent="0.25">
      <c r="A671" t="s">
        <v>1486</v>
      </c>
      <c r="B671" t="str">
        <f>IF(COUNTIF(A:A,A671)&gt;1,_xlfn.CONCAT(A671," (",N671,")"),A671)</f>
        <v>Lízhōu Jiēdào</v>
      </c>
      <c r="C671" t="str">
        <f>IF(COUNTIF(B:B,B671)&gt;1,_xlfn.CONCAT(A671," (",M671,")"),B671)</f>
        <v>Lízhōu Jiēdào</v>
      </c>
      <c r="D671" t="s">
        <v>1487</v>
      </c>
      <c r="E671" t="s">
        <v>15</v>
      </c>
      <c r="F671" t="str">
        <f>_xlfn.CONCAT(D671,", ",H671,", ",I671,", ","浙江省")</f>
        <v>梨洲街道, 余姚市, 宁波市, 浙江省</v>
      </c>
      <c r="G671">
        <v>98429</v>
      </c>
      <c r="H671" t="s">
        <v>2970</v>
      </c>
      <c r="I671" t="s">
        <v>2961</v>
      </c>
      <c r="J671">
        <f>VLOOKUP(F671,[1]!china_towns_second__2[[Column1]:[Y]],3,FALSE)</f>
        <v>29.974791926970401</v>
      </c>
      <c r="K671">
        <f>VLOOKUP(F671,[1]!china_towns_second__2[[Column1]:[Y]],2,FALSE)</f>
        <v>121.1579292</v>
      </c>
      <c r="L671" t="s">
        <v>4305</v>
      </c>
      <c r="M671" t="str">
        <f>VLOOKUP(H671,CHOOSE({1,2},Table12[Native],Table12[Name]),2,0)</f>
        <v>Yúyáo Shì</v>
      </c>
      <c r="N671" s="15" t="str">
        <f>VLOOKUP(I671,CHOOSE({1,2},Table12[Native],Table12[Name]),2,0)</f>
        <v>Níngbō Shì</v>
      </c>
      <c r="O671" s="15" t="str">
        <f t="shared" si="20"/>
        <v>Lizhou Jiedao (Níngbō Shì)</v>
      </c>
      <c r="P671" s="15" t="str">
        <f t="shared" si="21"/>
        <v>Lizhou Jiedao (Níngbō Shì)</v>
      </c>
    </row>
    <row r="672" spans="1:16" hidden="1" x14ac:dyDescent="0.25">
      <c r="A672" t="s">
        <v>1947</v>
      </c>
      <c r="B672" t="str">
        <f>IF(COUNTIF(A:A,A672)&gt;1,_xlfn.CONCAT(A672," (",N672,")"),A672)</f>
        <v>Lízhŭ Zhèn</v>
      </c>
      <c r="C672" t="str">
        <f>IF(COUNTIF(B:B,B672)&gt;1,_xlfn.CONCAT(A672," (",M672,")"),B672)</f>
        <v>Lízhŭ Zhèn</v>
      </c>
      <c r="D672" t="s">
        <v>1948</v>
      </c>
      <c r="E672" t="s">
        <v>11</v>
      </c>
      <c r="F672" t="str">
        <f>_xlfn.CONCAT(D672,", ",H672,", ",I672,", ","浙江省")</f>
        <v>漓渚镇, 柯桥区, 绍兴市, 浙江省</v>
      </c>
      <c r="G672">
        <v>23463</v>
      </c>
      <c r="H672" t="s">
        <v>2982</v>
      </c>
      <c r="I672" t="s">
        <v>2981</v>
      </c>
      <c r="J672">
        <f>VLOOKUP(F672,[1]!china_towns_second__2[[Column1]:[Y]],3,FALSE)</f>
        <v>29.954755731055599</v>
      </c>
      <c r="K672">
        <f>VLOOKUP(F672,[1]!china_towns_second__2[[Column1]:[Y]],2,FALSE)</f>
        <v>120.4364685</v>
      </c>
      <c r="L672" t="s">
        <v>4306</v>
      </c>
      <c r="M672" t="str">
        <f>VLOOKUP(H672,CHOOSE({1,2},Table12[Native],Table12[Name]),2,0)</f>
        <v>Kēqiáo Qū</v>
      </c>
      <c r="N672" s="15" t="str">
        <f>VLOOKUP(I672,CHOOSE({1,2},Table12[Native],Table12[Name]),2,0)</f>
        <v>Shàoxīng Shì</v>
      </c>
      <c r="O672" s="15" t="str">
        <f t="shared" si="20"/>
        <v>Lizhu Zhen (Shàoxīng Shì)</v>
      </c>
      <c r="P672" s="15" t="str">
        <f t="shared" si="21"/>
        <v>Lizhu Zhen (Shàoxīng Shì)</v>
      </c>
    </row>
    <row r="673" spans="1:16" hidden="1" x14ac:dyDescent="0.25">
      <c r="A673" t="s">
        <v>2493</v>
      </c>
      <c r="B673" t="str">
        <f>IF(COUNTIF(A:A,A673)&gt;1,_xlfn.CONCAT(A673," (",N673,")"),A673)</f>
        <v>Lóngchuān Xiāng</v>
      </c>
      <c r="C673" t="str">
        <f>IF(COUNTIF(B:B,B673)&gt;1,_xlfn.CONCAT(A673," (",M673,")"),B673)</f>
        <v>Lóngchuān Xiāng</v>
      </c>
      <c r="D673" t="s">
        <v>2494</v>
      </c>
      <c r="E673" t="s">
        <v>7</v>
      </c>
      <c r="F673" t="str">
        <f>_xlfn.CONCAT(D673,", ",H673,", ",I673,", ","浙江省")</f>
        <v>龙川乡, 文成县, 温州市, 浙江省</v>
      </c>
      <c r="G673">
        <v>7240</v>
      </c>
      <c r="H673" t="s">
        <v>3009</v>
      </c>
      <c r="I673" t="s">
        <v>3000</v>
      </c>
      <c r="J673" t="e">
        <f>VLOOKUP(F673,[1]!china_towns_second__2[[Column1]:[Y]],3,FALSE)</f>
        <v>#N/A</v>
      </c>
      <c r="K673" t="e">
        <f>VLOOKUP(F673,[1]!china_towns_second__2[[Column1]:[Y]],2,FALSE)</f>
        <v>#N/A</v>
      </c>
      <c r="L673" t="s">
        <v>4307</v>
      </c>
      <c r="M673" t="str">
        <f>VLOOKUP(H673,CHOOSE({1,2},Table12[Native],Table12[Name]),2,0)</f>
        <v>Wénchéng Xiàn</v>
      </c>
      <c r="N673" s="15" t="str">
        <f>VLOOKUP(I673,CHOOSE({1,2},Table12[Native],Table12[Name]),2,0)</f>
        <v>Wēnzhōu Shì</v>
      </c>
      <c r="O673" s="15" t="str">
        <f t="shared" si="20"/>
        <v>Longchuan Xiang (Wēnzhōu Shì)</v>
      </c>
      <c r="P673" s="15" t="str">
        <f t="shared" si="21"/>
        <v>Longchuan Xiang (Wēnzhōu Shì)</v>
      </c>
    </row>
    <row r="674" spans="1:16" hidden="1" x14ac:dyDescent="0.25">
      <c r="A674" t="s">
        <v>2495</v>
      </c>
      <c r="B674" t="str">
        <f>IF(COUNTIF(A:A,A674)&gt;1,_xlfn.CONCAT(A674," (",N674,")"),A674)</f>
        <v>Lónggăng Shì [incl. Lúpŭ Zhèn, Pācáo Zhèn, Yúnyán Xiāng]</v>
      </c>
      <c r="C674" t="str">
        <f>IF(COUNTIF(B:B,B674)&gt;1,_xlfn.CONCAT(A674," (",M674,")"),B674)</f>
        <v>Lónggăng Shì [incl. Lúpŭ Zhèn, Pācáo Zhèn, Yúnyán Xiāng]</v>
      </c>
      <c r="D674" t="s">
        <v>2496</v>
      </c>
      <c r="E674" t="s">
        <v>2497</v>
      </c>
      <c r="F674" t="str">
        <f>_xlfn.CONCAT(D674,", ",H674,", ",I674,", ","浙江省")</f>
        <v>龙港市, 龙港市, 温州市, 浙江省</v>
      </c>
      <c r="G674">
        <v>396000</v>
      </c>
      <c r="H674" t="s">
        <v>2496</v>
      </c>
      <c r="I674" t="s">
        <v>3000</v>
      </c>
      <c r="J674">
        <f>VLOOKUP(F674,[1]!china_towns_second__2[[Column1]:[Y]],3,FALSE)</f>
        <v>27.536079039336599</v>
      </c>
      <c r="K674">
        <f>VLOOKUP(F674,[1]!china_towns_second__2[[Column1]:[Y]],2,FALSE)</f>
        <v>120.5744042</v>
      </c>
      <c r="L674" t="s">
        <v>4308</v>
      </c>
      <c r="M674" t="str">
        <f>VLOOKUP(H674,CHOOSE({1,2},Table12[Native],Table12[Name]),2,0)</f>
        <v>Lónggǎng Shì</v>
      </c>
      <c r="N674" s="15" t="str">
        <f>VLOOKUP(I674,CHOOSE({1,2},Table12[Native],Table12[Name]),2,0)</f>
        <v>Wēnzhōu Shì</v>
      </c>
      <c r="O674" s="15" t="str">
        <f t="shared" si="20"/>
        <v>Longgang Shi [incl. Lupu Zhen, Pacao Zhen, Yunyan Xiang] (Wēnzhōu Shì)</v>
      </c>
      <c r="P674" s="15" t="str">
        <f t="shared" si="21"/>
        <v>Longgang Shi [incl. Lupu Zhen, Pacao Zhen, Yunyan Xiang] (Wēnzhōu Shì)</v>
      </c>
    </row>
    <row r="675" spans="1:16" hidden="1" x14ac:dyDescent="0.25">
      <c r="A675" t="s">
        <v>209</v>
      </c>
      <c r="B675" t="str">
        <f>IF(COUNTIF(A:A,A675)&gt;1,_xlfn.CONCAT(A675," (",N675,")"),A675)</f>
        <v>Lónggăng Zhèn</v>
      </c>
      <c r="C675" t="str">
        <f>IF(COUNTIF(B:B,B675)&gt;1,_xlfn.CONCAT(A675," (",M675,")"),B675)</f>
        <v>Lónggăng Zhèn</v>
      </c>
      <c r="D675" t="s">
        <v>210</v>
      </c>
      <c r="E675" t="s">
        <v>11</v>
      </c>
      <c r="F675" t="str">
        <f>_xlfn.CONCAT(D675,", ",H675,", ",I675,", ","浙江省")</f>
        <v>龙岗镇, 临安区, 杭州市, 浙江省</v>
      </c>
      <c r="G675">
        <v>9077</v>
      </c>
      <c r="H675" t="s">
        <v>2911</v>
      </c>
      <c r="I675" t="s">
        <v>2903</v>
      </c>
      <c r="J675">
        <f>VLOOKUP(F675,[1]!china_towns_second__2[[Column1]:[Y]],3,FALSE)</f>
        <v>30.227388096040499</v>
      </c>
      <c r="K675">
        <f>VLOOKUP(F675,[1]!china_towns_second__2[[Column1]:[Y]],2,FALSE)</f>
        <v>119.04927379999999</v>
      </c>
      <c r="L675" t="s">
        <v>4309</v>
      </c>
      <c r="M675" t="str">
        <f>VLOOKUP(H675,CHOOSE({1,2},Table12[Native],Table12[Name]),2,0)</f>
        <v>Lín'ān Qū</v>
      </c>
      <c r="N675" s="15" t="str">
        <f>VLOOKUP(I675,CHOOSE({1,2},Table12[Native],Table12[Name]),2,0)</f>
        <v>Hángzhōu Shì</v>
      </c>
      <c r="O675" s="15" t="str">
        <f t="shared" si="20"/>
        <v>Longgang Zhen (Hángzhōu Shì)</v>
      </c>
      <c r="P675" s="15" t="str">
        <f t="shared" si="21"/>
        <v>Longgang Zhen (Hángzhōu Shì)</v>
      </c>
    </row>
    <row r="676" spans="1:16" hidden="1" x14ac:dyDescent="0.25">
      <c r="A676" t="s">
        <v>1159</v>
      </c>
      <c r="B676" t="str">
        <f>IF(COUNTIF(A:A,A676)&gt;1,_xlfn.CONCAT(A676," (",N676,")"),A676)</f>
        <v>Lónggōng Xiāng</v>
      </c>
      <c r="C676" t="str">
        <f>IF(COUNTIF(B:B,B676)&gt;1,_xlfn.CONCAT(A676," (",M676,")"),B676)</f>
        <v>Lónggōng Xiāng</v>
      </c>
      <c r="D676" t="s">
        <v>1160</v>
      </c>
      <c r="E676" t="s">
        <v>7</v>
      </c>
      <c r="F676" t="str">
        <f>_xlfn.CONCAT(D676,", ",H676,", ",I676,", ","浙江省")</f>
        <v>隆宫乡, 庆元县, 丽水市, 浙江省</v>
      </c>
      <c r="G676">
        <v>4845</v>
      </c>
      <c r="H676" t="s">
        <v>2956</v>
      </c>
      <c r="I676" t="s">
        <v>2949</v>
      </c>
      <c r="J676" t="e">
        <f>VLOOKUP(F676,[1]!china_towns_second__2[[Column1]:[Y]],3,FALSE)</f>
        <v>#N/A</v>
      </c>
      <c r="K676" t="e">
        <f>VLOOKUP(F676,[1]!china_towns_second__2[[Column1]:[Y]],2,FALSE)</f>
        <v>#N/A</v>
      </c>
      <c r="L676" t="s">
        <v>4310</v>
      </c>
      <c r="M676" t="str">
        <f>VLOOKUP(H676,CHOOSE({1,2},Table12[Native],Table12[Name]),2,0)</f>
        <v>Qìngyuán Xiàn</v>
      </c>
      <c r="N676" s="15" t="str">
        <f>VLOOKUP(I676,CHOOSE({1,2},Table12[Native],Table12[Name]),2,0)</f>
        <v>Lìshuĭ Shì</v>
      </c>
      <c r="O676" s="15" t="str">
        <f t="shared" si="20"/>
        <v>Longgong Xiang (Lìshuĭ Shì)</v>
      </c>
      <c r="P676" s="15" t="str">
        <f t="shared" si="21"/>
        <v>Longgong Xiang (Lìshuĭ Shì)</v>
      </c>
    </row>
    <row r="677" spans="1:16" hidden="1" x14ac:dyDescent="0.25">
      <c r="A677" t="s">
        <v>1488</v>
      </c>
      <c r="B677" t="str">
        <f>IF(COUNTIF(A:A,A677)&gt;1,_xlfn.CONCAT(A677," (",N677,")"),A677)</f>
        <v>Lóngguān Xiāng</v>
      </c>
      <c r="C677" t="str">
        <f>IF(COUNTIF(B:B,B677)&gt;1,_xlfn.CONCAT(A677," (",M677,")"),B677)</f>
        <v>Lóngguān Xiāng</v>
      </c>
      <c r="D677" t="s">
        <v>1489</v>
      </c>
      <c r="E677" t="s">
        <v>7</v>
      </c>
      <c r="F677" t="str">
        <f>_xlfn.CONCAT(D677,", ",H677,", ",I677,", ","浙江省")</f>
        <v>龙观乡, 海曙区, 宁波市, 浙江省</v>
      </c>
      <c r="G677">
        <v>11582</v>
      </c>
      <c r="H677" t="s">
        <v>2965</v>
      </c>
      <c r="I677" t="s">
        <v>2961</v>
      </c>
      <c r="J677" t="e">
        <f>VLOOKUP(F677,[1]!china_towns_second__2[[Column1]:[Y]],3,FALSE)</f>
        <v>#N/A</v>
      </c>
      <c r="K677" t="e">
        <f>VLOOKUP(F677,[1]!china_towns_second__2[[Column1]:[Y]],2,FALSE)</f>
        <v>#N/A</v>
      </c>
      <c r="L677" t="s">
        <v>4311</v>
      </c>
      <c r="M677" t="str">
        <f>VLOOKUP(H677,CHOOSE({1,2},Table12[Native],Table12[Name]),2,0)</f>
        <v>Hăishŭ Qū</v>
      </c>
      <c r="N677" s="15" t="str">
        <f>VLOOKUP(I677,CHOOSE({1,2},Table12[Native],Table12[Name]),2,0)</f>
        <v>Níngbō Shì</v>
      </c>
      <c r="O677" s="15" t="str">
        <f t="shared" si="20"/>
        <v>Longguan Xiang (Níngbō Shì)</v>
      </c>
      <c r="P677" s="15" t="str">
        <f t="shared" si="21"/>
        <v>Longguan Xiang (Níngbō Shì)</v>
      </c>
    </row>
    <row r="678" spans="1:16" hidden="1" x14ac:dyDescent="0.25">
      <c r="A678" t="s">
        <v>2499</v>
      </c>
      <c r="B678" t="str">
        <f>IF(COUNTIF(A:A,A678)&gt;1,_xlfn.CONCAT(A678," (",N678,")"),A678)</f>
        <v>Lónghú Zhèn</v>
      </c>
      <c r="C678" t="str">
        <f>IF(COUNTIF(B:B,B678)&gt;1,_xlfn.CONCAT(A678," (",M678,")"),B678)</f>
        <v>Lónghú Zhèn</v>
      </c>
      <c r="D678" t="s">
        <v>2500</v>
      </c>
      <c r="E678" t="s">
        <v>11</v>
      </c>
      <c r="F678" t="str">
        <f>_xlfn.CONCAT(D678,", ",H678,", ",I678,", ","浙江省")</f>
        <v>龙湖镇, 瑞安市, 温州市, 浙江省</v>
      </c>
      <c r="G678">
        <v>9609</v>
      </c>
      <c r="H678" t="s">
        <v>3007</v>
      </c>
      <c r="I678" t="s">
        <v>3000</v>
      </c>
      <c r="J678">
        <f>VLOOKUP(F678,[1]!china_towns_second__2[[Column1]:[Y]],3,FALSE)</f>
        <v>27.751000000000001</v>
      </c>
      <c r="K678">
        <f>VLOOKUP(F678,[1]!china_towns_second__2[[Column1]:[Y]],2,FALSE)</f>
        <v>120.3587</v>
      </c>
      <c r="L678" t="s">
        <v>4312</v>
      </c>
      <c r="M678" t="str">
        <f>VLOOKUP(H678,CHOOSE({1,2},Table12[Native],Table12[Name]),2,0)</f>
        <v>Ruì'ān Shì</v>
      </c>
      <c r="N678" s="15" t="str">
        <f>VLOOKUP(I678,CHOOSE({1,2},Table12[Native],Table12[Name]),2,0)</f>
        <v>Wēnzhōu Shì</v>
      </c>
      <c r="O678" s="15" t="str">
        <f t="shared" si="20"/>
        <v>Longhu Zhen (Wēnzhōu Shì)</v>
      </c>
      <c r="P678" s="15" t="str">
        <f t="shared" si="21"/>
        <v>Longhu Zhen (Wēnzhōu Shì)</v>
      </c>
    </row>
    <row r="679" spans="1:16" hidden="1" x14ac:dyDescent="0.25">
      <c r="A679" t="s">
        <v>211</v>
      </c>
      <c r="B679" t="str">
        <f>IF(COUNTIF(A:A,A679)&gt;1,_xlfn.CONCAT(A679," (",N679,")"),A679)</f>
        <v>Lóngmén Zhèn</v>
      </c>
      <c r="C679" t="str">
        <f>IF(COUNTIF(B:B,B679)&gt;1,_xlfn.CONCAT(A679," (",M679,")"),B679)</f>
        <v>Lóngmén Zhèn</v>
      </c>
      <c r="D679" t="s">
        <v>212</v>
      </c>
      <c r="E679" t="s">
        <v>11</v>
      </c>
      <c r="F679" t="str">
        <f>_xlfn.CONCAT(D679,", ",H679,", ",I679,", ","浙江省")</f>
        <v>龙门镇, 富阳区, 杭州市, 浙江省</v>
      </c>
      <c r="G679">
        <v>4664</v>
      </c>
      <c r="H679" t="s">
        <v>2908</v>
      </c>
      <c r="I679" t="s">
        <v>2903</v>
      </c>
      <c r="J679">
        <f>VLOOKUP(F679,[1]!china_towns_second__2[[Column1]:[Y]],3,FALSE)</f>
        <v>29.888441107228399</v>
      </c>
      <c r="K679">
        <f>VLOOKUP(F679,[1]!china_towns_second__2[[Column1]:[Y]],2,FALSE)</f>
        <v>119.9513336</v>
      </c>
      <c r="L679" t="s">
        <v>4313</v>
      </c>
      <c r="M679" t="str">
        <f>VLOOKUP(H679,CHOOSE({1,2},Table12[Native],Table12[Name]),2,0)</f>
        <v>Fùyáng Qū</v>
      </c>
      <c r="N679" s="15" t="str">
        <f>VLOOKUP(I679,CHOOSE({1,2},Table12[Native],Table12[Name]),2,0)</f>
        <v>Hángzhōu Shì</v>
      </c>
      <c r="O679" s="15" t="str">
        <f t="shared" si="20"/>
        <v>Longmen Zhen (Hángzhōu Shì)</v>
      </c>
      <c r="P679" s="15" t="str">
        <f t="shared" si="21"/>
        <v>Longmen Zhen (Hángzhōu Shì)</v>
      </c>
    </row>
    <row r="680" spans="1:16" hidden="1" x14ac:dyDescent="0.25">
      <c r="A680" t="s">
        <v>1161</v>
      </c>
      <c r="B680" t="str">
        <f>IF(COUNTIF(A:A,A680)&gt;1,_xlfn.CONCAT(A680," (",N680,")"),A680)</f>
        <v>Lóngnán Xiāng</v>
      </c>
      <c r="C680" t="str">
        <f>IF(COUNTIF(B:B,B680)&gt;1,_xlfn.CONCAT(A680," (",M680,")"),B680)</f>
        <v>Lóngnán Xiāng</v>
      </c>
      <c r="D680" t="s">
        <v>1162</v>
      </c>
      <c r="E680" t="s">
        <v>7</v>
      </c>
      <c r="F680" t="str">
        <f>_xlfn.CONCAT(D680,", ",H680,", ",I680,", ","浙江省")</f>
        <v>龙南乡, 龙泉市, 丽水市, 浙江省</v>
      </c>
      <c r="G680">
        <v>6475</v>
      </c>
      <c r="H680" t="s">
        <v>2954</v>
      </c>
      <c r="I680" t="s">
        <v>2949</v>
      </c>
      <c r="J680" t="e">
        <f>VLOOKUP(F680,[1]!china_towns_second__2[[Column1]:[Y]],3,FALSE)</f>
        <v>#N/A</v>
      </c>
      <c r="K680" t="e">
        <f>VLOOKUP(F680,[1]!china_towns_second__2[[Column1]:[Y]],2,FALSE)</f>
        <v>#N/A</v>
      </c>
      <c r="L680" t="s">
        <v>4314</v>
      </c>
      <c r="M680" t="str">
        <f>VLOOKUP(H680,CHOOSE({1,2},Table12[Native],Table12[Name]),2,0)</f>
        <v>Lóngquán Shì</v>
      </c>
      <c r="N680" s="15" t="str">
        <f>VLOOKUP(I680,CHOOSE({1,2},Table12[Native],Table12[Name]),2,0)</f>
        <v>Lìshuĭ Shì</v>
      </c>
      <c r="O680" s="15" t="str">
        <f t="shared" si="20"/>
        <v>Longnan Xiang (Lìshuĭ Shì)</v>
      </c>
      <c r="P680" s="15" t="str">
        <f t="shared" si="21"/>
        <v>Longnan Xiang (Lìshuĭ Shì)</v>
      </c>
    </row>
    <row r="681" spans="1:16" hidden="1" x14ac:dyDescent="0.25">
      <c r="A681" t="s">
        <v>479</v>
      </c>
      <c r="B681" t="str">
        <f>IF(COUNTIF(A:A,A681)&gt;1,_xlfn.CONCAT(A681," (",N681,")"),A681)</f>
        <v>Lóngquán Jiēdào</v>
      </c>
      <c r="C681" t="str">
        <f>IF(COUNTIF(B:B,B681)&gt;1,_xlfn.CONCAT(A681," (",M681,")"),B681)</f>
        <v>Lóngquán Jiēdào</v>
      </c>
      <c r="D681" t="s">
        <v>480</v>
      </c>
      <c r="E681" t="s">
        <v>15</v>
      </c>
      <c r="F681" t="str">
        <f>_xlfn.CONCAT(D681,", ",H681,", ",I681,", ","浙江省")</f>
        <v>龙泉街道, 吴兴区, 湖州市, 浙江省</v>
      </c>
      <c r="G681">
        <v>62788</v>
      </c>
      <c r="H681" t="s">
        <v>2927</v>
      </c>
      <c r="I681" t="s">
        <v>2922</v>
      </c>
      <c r="J681">
        <f>VLOOKUP(F681,[1]!china_towns_second__2[[Column1]:[Y]],3,FALSE)</f>
        <v>30.879566545442302</v>
      </c>
      <c r="K681">
        <f>VLOOKUP(F681,[1]!china_towns_second__2[[Column1]:[Y]],2,FALSE)</f>
        <v>120.11519010000001</v>
      </c>
      <c r="L681" t="s">
        <v>4315</v>
      </c>
      <c r="M681" t="str">
        <f>VLOOKUP(H681,CHOOSE({1,2},Table12[Native],Table12[Name]),2,0)</f>
        <v>Wúxīng Qū</v>
      </c>
      <c r="N681" s="15" t="str">
        <f>VLOOKUP(I681,CHOOSE({1,2},Table12[Native],Table12[Name]),2,0)</f>
        <v>Húzhōu Shì</v>
      </c>
      <c r="O681" s="15" t="str">
        <f t="shared" si="20"/>
        <v>Longquan Jiedao (Húzhōu Shì)</v>
      </c>
      <c r="P681" s="15" t="str">
        <f t="shared" si="21"/>
        <v>Longquan Jiedao (Húzhōu Shì)</v>
      </c>
    </row>
    <row r="682" spans="1:16" hidden="1" x14ac:dyDescent="0.25">
      <c r="A682" t="s">
        <v>2501</v>
      </c>
      <c r="B682" t="str">
        <f>IF(COUNTIF(A:A,A682)&gt;1,_xlfn.CONCAT(A682," (",N682,")"),A682)</f>
        <v>Lóngshā Xiāng</v>
      </c>
      <c r="C682" t="str">
        <f>IF(COUNTIF(B:B,B682)&gt;1,_xlfn.CONCAT(A682," (",M682,")"),B682)</f>
        <v>Lóngshā Xiāng</v>
      </c>
      <c r="D682" t="s">
        <v>2502</v>
      </c>
      <c r="E682" t="s">
        <v>7</v>
      </c>
      <c r="F682" t="str">
        <f>_xlfn.CONCAT(D682,", ",H682,", ",I682,", ","浙江省")</f>
        <v>龙沙乡, 苍南县, 温州市, 浙江省</v>
      </c>
      <c r="G682">
        <v>4267</v>
      </c>
      <c r="H682" t="s">
        <v>3001</v>
      </c>
      <c r="I682" t="s">
        <v>3000</v>
      </c>
      <c r="J682" t="e">
        <f>VLOOKUP(F682,[1]!china_towns_second__2[[Column1]:[Y]],3,FALSE)</f>
        <v>#N/A</v>
      </c>
      <c r="K682" t="e">
        <f>VLOOKUP(F682,[1]!china_towns_second__2[[Column1]:[Y]],2,FALSE)</f>
        <v>#N/A</v>
      </c>
      <c r="L682" t="s">
        <v>4316</v>
      </c>
      <c r="M682" t="str">
        <f>VLOOKUP(H682,CHOOSE({1,2},Table12[Native],Table12[Name]),2,0)</f>
        <v>Cāngnán Xiàn</v>
      </c>
      <c r="N682" s="15" t="str">
        <f>VLOOKUP(I682,CHOOSE({1,2},Table12[Native],Table12[Name]),2,0)</f>
        <v>Wēnzhōu Shì</v>
      </c>
      <c r="O682" s="15" t="str">
        <f t="shared" si="20"/>
        <v>Longsha Xiang (Wēnzhōu Shì)</v>
      </c>
      <c r="P682" s="15" t="str">
        <f t="shared" si="21"/>
        <v>Longsha Xiang (Wēnzhōu Shì)</v>
      </c>
    </row>
    <row r="683" spans="1:16" hidden="1" x14ac:dyDescent="0.25">
      <c r="A683" t="s">
        <v>837</v>
      </c>
      <c r="B683" t="str">
        <f>IF(COUNTIF(A:A,A683)&gt;1,_xlfn.CONCAT(A683," (",N683,")"),A683)</f>
        <v>Lóngshān Zhèn (Jīnhuá Shì)</v>
      </c>
      <c r="C683" t="str">
        <f>IF(COUNTIF(B:B,B683)&gt;1,_xlfn.CONCAT(A683," (",M683,")"),B683)</f>
        <v>Lóngshān Zhèn (Jīnhuá Shì)</v>
      </c>
      <c r="D683" t="s">
        <v>838</v>
      </c>
      <c r="E683" t="s">
        <v>11</v>
      </c>
      <c r="F683" t="str">
        <f>_xlfn.CONCAT(D683,", ",H683,", ",I683,", ","浙江省")</f>
        <v>龙山镇, 永康市, 金华市, 浙江省</v>
      </c>
      <c r="G683">
        <v>37127</v>
      </c>
      <c r="H683" t="s">
        <v>2947</v>
      </c>
      <c r="I683" t="s">
        <v>2938</v>
      </c>
      <c r="J683">
        <f>VLOOKUP(F683,[1]!china_towns_second__2[[Column1]:[Y]],3,FALSE)</f>
        <v>29.036158755092401</v>
      </c>
      <c r="K683">
        <f>VLOOKUP(F683,[1]!china_towns_second__2[[Column1]:[Y]],2,FALSE)</f>
        <v>120.19357340000001</v>
      </c>
      <c r="L683" t="s">
        <v>4317</v>
      </c>
      <c r="M683" t="str">
        <f>VLOOKUP(H683,CHOOSE({1,2},Table12[Native],Table12[Name]),2,0)</f>
        <v>Yŏngkāng Shì</v>
      </c>
      <c r="N683" s="15" t="str">
        <f>VLOOKUP(I683,CHOOSE({1,2},Table12[Native],Table12[Name]),2,0)</f>
        <v>Jīnhuá Shì</v>
      </c>
      <c r="O683" s="15" t="str">
        <f t="shared" si="20"/>
        <v>Longshan Zhen (Jinhua Shi) (Jīnhuá Shì)</v>
      </c>
      <c r="P683" s="15" t="str">
        <f t="shared" si="21"/>
        <v>Longshan Zhen (Jinhua Shi) (Jīnhuá Shì)</v>
      </c>
    </row>
    <row r="684" spans="1:16" hidden="1" x14ac:dyDescent="0.25">
      <c r="A684" t="s">
        <v>837</v>
      </c>
      <c r="B684" t="str">
        <f>IF(COUNTIF(A:A,A684)&gt;1,_xlfn.CONCAT(A684," (",N684,")"),A684)</f>
        <v>Lóngshān Zhèn (Níngbō Shì)</v>
      </c>
      <c r="C684" t="str">
        <f>IF(COUNTIF(B:B,B684)&gt;1,_xlfn.CONCAT(A684," (",M684,")"),B684)</f>
        <v>Lóngshān Zhèn (Níngbō Shì)</v>
      </c>
      <c r="D684" t="s">
        <v>838</v>
      </c>
      <c r="E684" t="s">
        <v>11</v>
      </c>
      <c r="F684" t="str">
        <f>_xlfn.CONCAT(D684,", ",H684,", ",I684,", ","浙江省")</f>
        <v>龙山镇, 慈溪市, 宁波市, 浙江省</v>
      </c>
      <c r="G684">
        <v>93910</v>
      </c>
      <c r="H684" t="s">
        <v>2963</v>
      </c>
      <c r="I684" t="s">
        <v>2961</v>
      </c>
      <c r="J684">
        <f>VLOOKUP(F684,[1]!china_towns_second__2[[Column1]:[Y]],3,FALSE)</f>
        <v>30.091039815648202</v>
      </c>
      <c r="K684">
        <f>VLOOKUP(F684,[1]!china_towns_second__2[[Column1]:[Y]],2,FALSE)</f>
        <v>121.5226127</v>
      </c>
      <c r="L684" t="s">
        <v>4318</v>
      </c>
      <c r="M684" t="str">
        <f>VLOOKUP(H684,CHOOSE({1,2},Table12[Native],Table12[Name]),2,0)</f>
        <v>Cíxī Shì</v>
      </c>
      <c r="N684" s="15" t="str">
        <f>VLOOKUP(I684,CHOOSE({1,2},Table12[Native],Table12[Name]),2,0)</f>
        <v>Níngbō Shì</v>
      </c>
      <c r="O684" s="15" t="str">
        <f t="shared" si="20"/>
        <v>Longshan Zhen (Ningbo Shi) (Níngbō Shì)</v>
      </c>
      <c r="P684" s="15" t="str">
        <f t="shared" si="21"/>
        <v>Longshan Zhen (Ningbo Shi) (Níngbō Shì)</v>
      </c>
    </row>
    <row r="685" spans="1:16" hidden="1" x14ac:dyDescent="0.25">
      <c r="A685" t="s">
        <v>2503</v>
      </c>
      <c r="B685" t="str">
        <f>IF(COUNTIF(A:A,A685)&gt;1,_xlfn.CONCAT(A685," (",N685,")"),A685)</f>
        <v>Lóngwĕi Xiāng</v>
      </c>
      <c r="C685" t="str">
        <f>IF(COUNTIF(B:B,B685)&gt;1,_xlfn.CONCAT(A685," (",M685,")"),B685)</f>
        <v>Lóngwĕi Xiāng</v>
      </c>
      <c r="D685" t="s">
        <v>2504</v>
      </c>
      <c r="E685" t="s">
        <v>7</v>
      </c>
      <c r="F685" t="str">
        <f>_xlfn.CONCAT(D685,", ",H685,", ",I685,", ","浙江省")</f>
        <v>龙尾乡, 平阳县, 温州市, 浙江省</v>
      </c>
      <c r="G685">
        <v>874</v>
      </c>
      <c r="H685" t="s">
        <v>3006</v>
      </c>
      <c r="I685" t="s">
        <v>3000</v>
      </c>
      <c r="J685" t="e">
        <f>VLOOKUP(F685,[1]!china_towns_second__2[[Column1]:[Y]],3,FALSE)</f>
        <v>#N/A</v>
      </c>
      <c r="K685" t="e">
        <f>VLOOKUP(F685,[1]!china_towns_second__2[[Column1]:[Y]],2,FALSE)</f>
        <v>#N/A</v>
      </c>
      <c r="L685" t="s">
        <v>4319</v>
      </c>
      <c r="M685" t="str">
        <f>VLOOKUP(H685,CHOOSE({1,2},Table12[Native],Table12[Name]),2,0)</f>
        <v>Píngyáng Xiàn</v>
      </c>
      <c r="N685" s="15" t="str">
        <f>VLOOKUP(I685,CHOOSE({1,2},Table12[Native],Table12[Name]),2,0)</f>
        <v>Wēnzhōu Shì</v>
      </c>
      <c r="O685" s="15" t="str">
        <f t="shared" si="20"/>
        <v>Longwei Xiang (Wēnzhōu Shì)</v>
      </c>
      <c r="P685" s="15" t="str">
        <f t="shared" si="21"/>
        <v>Longwei Xiang (Wēnzhōu Shì)</v>
      </c>
    </row>
    <row r="686" spans="1:16" hidden="1" x14ac:dyDescent="0.25">
      <c r="A686" t="s">
        <v>1163</v>
      </c>
      <c r="B686" t="str">
        <f>IF(COUNTIF(A:A,A686)&gt;1,_xlfn.CONCAT(A686," (",N686,")"),A686)</f>
        <v>Lóngxī Xiāng (Lìshuĭ Shì)</v>
      </c>
      <c r="C686" t="str">
        <f>IF(COUNTIF(B:B,B686)&gt;1,_xlfn.CONCAT(A686," (",M686,")"),B686)</f>
        <v>Lóngxī Xiāng (Lìshuĭ Shì)</v>
      </c>
      <c r="D686" t="s">
        <v>1164</v>
      </c>
      <c r="E686" t="s">
        <v>7</v>
      </c>
      <c r="F686" t="str">
        <f>_xlfn.CONCAT(D686,", ",H686,", ",I686,", ","浙江省")</f>
        <v>龙溪乡, 庆元县, 丽水市, 浙江省</v>
      </c>
      <c r="G686">
        <v>870</v>
      </c>
      <c r="H686" t="s">
        <v>2956</v>
      </c>
      <c r="I686" t="s">
        <v>2949</v>
      </c>
      <c r="J686" t="e">
        <f>VLOOKUP(F686,[1]!china_towns_second__2[[Column1]:[Y]],3,FALSE)</f>
        <v>#N/A</v>
      </c>
      <c r="K686" t="e">
        <f>VLOOKUP(F686,[1]!china_towns_second__2[[Column1]:[Y]],2,FALSE)</f>
        <v>#N/A</v>
      </c>
      <c r="L686" t="s">
        <v>4320</v>
      </c>
      <c r="M686" t="str">
        <f>VLOOKUP(H686,CHOOSE({1,2},Table12[Native],Table12[Name]),2,0)</f>
        <v>Qìngyuán Xiàn</v>
      </c>
      <c r="N686" s="15" t="str">
        <f>VLOOKUP(I686,CHOOSE({1,2},Table12[Native],Table12[Name]),2,0)</f>
        <v>Lìshuĭ Shì</v>
      </c>
      <c r="O686" s="15" t="str">
        <f t="shared" si="20"/>
        <v>Longxi Xiang (Lishui Shi) (Lìshuĭ Shì)</v>
      </c>
      <c r="P686" s="15" t="str">
        <f t="shared" si="21"/>
        <v>Longxi Xiang (Lishui Shi) (Lìshuĭ Shì)</v>
      </c>
    </row>
    <row r="687" spans="1:16" hidden="1" x14ac:dyDescent="0.25">
      <c r="A687" t="s">
        <v>1163</v>
      </c>
      <c r="B687" t="str">
        <f>IF(COUNTIF(A:A,A687)&gt;1,_xlfn.CONCAT(A687," (",N687,")"),A687)</f>
        <v>Lóngxī Xiāng (Táizhōu Shì)</v>
      </c>
      <c r="C687" t="str">
        <f>IF(COUNTIF(B:B,B687)&gt;1,_xlfn.CONCAT(A687," (",M687,")"),B687)</f>
        <v>Lóngxī Xiāng (Táizhōu Shì)</v>
      </c>
      <c r="D687" t="s">
        <v>1164</v>
      </c>
      <c r="E687" t="s">
        <v>7</v>
      </c>
      <c r="F687" t="str">
        <f>_xlfn.CONCAT(D687,", ",H687,", ",I687,", ","浙江省")</f>
        <v>龙溪乡, 天台县, 台州市, 浙江省</v>
      </c>
      <c r="G687">
        <v>3070</v>
      </c>
      <c r="H687" t="s">
        <v>2995</v>
      </c>
      <c r="I687" t="s">
        <v>2989</v>
      </c>
      <c r="J687" t="e">
        <f>VLOOKUP(F687,[1]!china_towns_second__2[[Column1]:[Y]],3,FALSE)</f>
        <v>#N/A</v>
      </c>
      <c r="K687" t="e">
        <f>VLOOKUP(F687,[1]!china_towns_second__2[[Column1]:[Y]],2,FALSE)</f>
        <v>#N/A</v>
      </c>
      <c r="L687" t="s">
        <v>4321</v>
      </c>
      <c r="M687" t="str">
        <f>VLOOKUP(H687,CHOOSE({1,2},Table12[Native],Table12[Name]),2,0)</f>
        <v>Tiāntái Xiàn</v>
      </c>
      <c r="N687" s="15" t="str">
        <f>VLOOKUP(I687,CHOOSE({1,2},Table12[Native],Table12[Name]),2,0)</f>
        <v>Táizhōu Shì</v>
      </c>
      <c r="O687" s="15" t="str">
        <f t="shared" si="20"/>
        <v>Longxi Xiang (Taizhou Shi) (Táizhōu Shì)</v>
      </c>
      <c r="P687" s="15" t="str">
        <f t="shared" si="21"/>
        <v>Longxi Xiang (Taizhou Shi) (Táizhōu Shì)</v>
      </c>
    </row>
    <row r="688" spans="1:16" hidden="1" x14ac:dyDescent="0.25">
      <c r="A688" t="s">
        <v>2505</v>
      </c>
      <c r="B688" t="str">
        <f>IF(COUNTIF(A:A,A688)&gt;1,_xlfn.CONCAT(A688," (",N688,")"),A688)</f>
        <v>Lóngxī Xiāng [→ Xiānxī Zhèn]</v>
      </c>
      <c r="C688" t="str">
        <f>IF(COUNTIF(B:B,B688)&gt;1,_xlfn.CONCAT(A688," (",M688,")"),B688)</f>
        <v>Lóngxī Xiāng [→ Xiānxī Zhèn]</v>
      </c>
      <c r="D688" t="s">
        <v>2506</v>
      </c>
      <c r="E688" t="s">
        <v>7</v>
      </c>
      <c r="F688" t="str">
        <f>_xlfn.CONCAT(D688,", ",H688,", ",I688,", ","浙江省")</f>
        <v>龙西乡, 乐清市, 温州市, 浙江省</v>
      </c>
      <c r="G688">
        <v>5205</v>
      </c>
      <c r="H688" t="s">
        <v>3011</v>
      </c>
      <c r="I688" t="s">
        <v>3000</v>
      </c>
      <c r="J688" t="e">
        <f>VLOOKUP(F688,[1]!china_towns_second__2[[Column1]:[Y]],3,FALSE)</f>
        <v>#N/A</v>
      </c>
      <c r="K688" t="e">
        <f>VLOOKUP(F688,[1]!china_towns_second__2[[Column1]:[Y]],2,FALSE)</f>
        <v>#N/A</v>
      </c>
      <c r="L688" t="s">
        <v>4322</v>
      </c>
      <c r="M688" t="str">
        <f>VLOOKUP(H688,CHOOSE({1,2},Table12[Native],Table12[Name]),2,0)</f>
        <v>Yuèqīng Shì</v>
      </c>
      <c r="N688" s="15" t="str">
        <f>VLOOKUP(I688,CHOOSE({1,2},Table12[Native],Table12[Name]),2,0)</f>
        <v>Wēnzhōu Shì</v>
      </c>
      <c r="O688" s="15" t="str">
        <f t="shared" si="20"/>
        <v>Longxi Xiang [→ Xianxi Zhen] (Wēnzhōu Shì)</v>
      </c>
      <c r="P688" s="15" t="str">
        <f t="shared" si="21"/>
        <v>Longxi Xiang [→ Xianxi Zhen] (Wēnzhōu Shì)</v>
      </c>
    </row>
    <row r="689" spans="1:16" hidden="1" x14ac:dyDescent="0.25">
      <c r="A689" t="s">
        <v>2143</v>
      </c>
      <c r="B689" t="str">
        <f>IF(COUNTIF(A:A,A689)&gt;1,_xlfn.CONCAT(A689," (",N689,")"),A689)</f>
        <v>Lóngxī Zhèn</v>
      </c>
      <c r="C689" t="str">
        <f>IF(COUNTIF(B:B,B689)&gt;1,_xlfn.CONCAT(A689," (",M689,")"),B689)</f>
        <v>Lóngxī Zhèn</v>
      </c>
      <c r="D689" t="s">
        <v>2144</v>
      </c>
      <c r="E689" t="s">
        <v>11</v>
      </c>
      <c r="F689" t="str">
        <f>_xlfn.CONCAT(D689,", ",H689,", ",I689,", ","浙江省")</f>
        <v>龙溪镇, 玉环市, 台州市, 浙江省</v>
      </c>
      <c r="G689">
        <v>29720</v>
      </c>
      <c r="H689" t="s">
        <v>2998</v>
      </c>
      <c r="I689" t="s">
        <v>2989</v>
      </c>
      <c r="J689">
        <f>VLOOKUP(F689,[1]!china_towns_second__2[[Column1]:[Y]],3,FALSE)</f>
        <v>28.192432097414699</v>
      </c>
      <c r="K689">
        <f>VLOOKUP(F689,[1]!china_towns_second__2[[Column1]:[Y]],2,FALSE)</f>
        <v>121.3191088</v>
      </c>
      <c r="L689" t="s">
        <v>4323</v>
      </c>
      <c r="M689" t="str">
        <f>VLOOKUP(H689,CHOOSE({1,2},Table12[Native],Table12[Name]),2,0)</f>
        <v>Yùhuán Shì</v>
      </c>
      <c r="N689" s="15" t="str">
        <f>VLOOKUP(I689,CHOOSE({1,2},Table12[Native],Table12[Name]),2,0)</f>
        <v>Táizhōu Shì</v>
      </c>
      <c r="O689" s="15" t="str">
        <f t="shared" si="20"/>
        <v>Longxi Zhen (Táizhōu Shì)</v>
      </c>
      <c r="P689" s="15" t="str">
        <f t="shared" si="21"/>
        <v>Longxi Zhen (Táizhōu Shì)</v>
      </c>
    </row>
    <row r="690" spans="1:16" hidden="1" x14ac:dyDescent="0.25">
      <c r="A690" t="s">
        <v>1165</v>
      </c>
      <c r="B690" t="str">
        <f>IF(COUNTIF(A:A,A690)&gt;1,_xlfn.CONCAT(A690," (",N690,")"),A690)</f>
        <v>Lóngyáng Xiāng</v>
      </c>
      <c r="C690" t="str">
        <f>IF(COUNTIF(B:B,B690)&gt;1,_xlfn.CONCAT(A690," (",M690,")"),B690)</f>
        <v>Lóngyáng Xiāng</v>
      </c>
      <c r="D690" t="s">
        <v>1166</v>
      </c>
      <c r="E690" t="s">
        <v>7</v>
      </c>
      <c r="F690" t="str">
        <f>_xlfn.CONCAT(D690,", ",H690,", ",I690,", ","浙江省")</f>
        <v>龙洋乡, 遂昌县, 丽水市, 浙江省</v>
      </c>
      <c r="G690">
        <v>2847</v>
      </c>
      <c r="H690" t="s">
        <v>2958</v>
      </c>
      <c r="I690" t="s">
        <v>2949</v>
      </c>
      <c r="J690" t="e">
        <f>VLOOKUP(F690,[1]!china_towns_second__2[[Column1]:[Y]],3,FALSE)</f>
        <v>#N/A</v>
      </c>
      <c r="K690" t="e">
        <f>VLOOKUP(F690,[1]!china_towns_second__2[[Column1]:[Y]],2,FALSE)</f>
        <v>#N/A</v>
      </c>
      <c r="L690" t="s">
        <v>4324</v>
      </c>
      <c r="M690" t="str">
        <f>VLOOKUP(H690,CHOOSE({1,2},Table12[Native],Table12[Name]),2,0)</f>
        <v>Suìchāng Xiàn</v>
      </c>
      <c r="N690" s="15" t="str">
        <f>VLOOKUP(I690,CHOOSE({1,2},Table12[Native],Table12[Name]),2,0)</f>
        <v>Lìshuĭ Shì</v>
      </c>
      <c r="O690" s="15" t="str">
        <f t="shared" si="20"/>
        <v>Longyang Xiang (Lìshuĭ Shì)</v>
      </c>
      <c r="P690" s="15" t="str">
        <f t="shared" si="21"/>
        <v>Longyang Xiang (Lìshuĭ Shì)</v>
      </c>
    </row>
    <row r="691" spans="1:16" hidden="1" x14ac:dyDescent="0.25">
      <c r="A691" t="s">
        <v>1167</v>
      </c>
      <c r="B691" t="str">
        <f>IF(COUNTIF(A:A,A691)&gt;1,_xlfn.CONCAT(A691," (",N691,")"),A691)</f>
        <v>Lóngyuān Jiēdào</v>
      </c>
      <c r="C691" t="str">
        <f>IF(COUNTIF(B:B,B691)&gt;1,_xlfn.CONCAT(A691," (",M691,")"),B691)</f>
        <v>Lóngyuān Jiēdào</v>
      </c>
      <c r="D691" t="s">
        <v>1168</v>
      </c>
      <c r="E691" t="s">
        <v>15</v>
      </c>
      <c r="F691" t="str">
        <f>_xlfn.CONCAT(D691,", ",H691,", ",I691,", ","浙江省")</f>
        <v>龙渊街道, 龙泉市, 丽水市, 浙江省</v>
      </c>
      <c r="G691">
        <v>41919</v>
      </c>
      <c r="H691" t="s">
        <v>2954</v>
      </c>
      <c r="I691" t="s">
        <v>2949</v>
      </c>
      <c r="J691">
        <f>VLOOKUP(F691,[1]!china_towns_second__2[[Column1]:[Y]],3,FALSE)</f>
        <v>28.122792303870298</v>
      </c>
      <c r="K691">
        <f>VLOOKUP(F691,[1]!china_towns_second__2[[Column1]:[Y]],2,FALSE)</f>
        <v>119.1454383</v>
      </c>
      <c r="L691" t="s">
        <v>4325</v>
      </c>
      <c r="M691" t="str">
        <f>VLOOKUP(H691,CHOOSE({1,2},Table12[Native],Table12[Name]),2,0)</f>
        <v>Lóngquán Shì</v>
      </c>
      <c r="N691" s="15" t="str">
        <f>VLOOKUP(I691,CHOOSE({1,2},Table12[Native],Table12[Name]),2,0)</f>
        <v>Lìshuĭ Shì</v>
      </c>
      <c r="O691" s="15" t="str">
        <f t="shared" si="20"/>
        <v>Longyuan Jiedao (Lìshuĭ Shì)</v>
      </c>
      <c r="P691" s="15" t="str">
        <f t="shared" si="21"/>
        <v>Longyuan Jiedao (Lìshuĭ Shì)</v>
      </c>
    </row>
    <row r="692" spans="1:16" hidden="1" x14ac:dyDescent="0.25">
      <c r="A692" t="s">
        <v>1732</v>
      </c>
      <c r="B692" t="str">
        <f>IF(COUNTIF(A:A,A692)&gt;1,_xlfn.CONCAT(A692," (",N692,")"),A692)</f>
        <v>Lóngzhōu Jiēdào</v>
      </c>
      <c r="C692" t="str">
        <f>IF(COUNTIF(B:B,B692)&gt;1,_xlfn.CONCAT(A692," (",M692,")"),B692)</f>
        <v>Lóngzhōu Jiēdào</v>
      </c>
      <c r="D692" t="s">
        <v>1733</v>
      </c>
      <c r="E692" t="s">
        <v>15</v>
      </c>
      <c r="F692" t="str">
        <f>_xlfn.CONCAT(D692,", ",H692,", ",I692,", ","浙江省")</f>
        <v>龙洲街道, 龙游县, 衢州市, 浙江省</v>
      </c>
      <c r="G692">
        <v>88894</v>
      </c>
      <c r="H692" t="s">
        <v>2978</v>
      </c>
      <c r="I692" t="s">
        <v>2973</v>
      </c>
      <c r="J692">
        <f>VLOOKUP(F692,[1]!china_towns_second__2[[Column1]:[Y]],3,FALSE)</f>
        <v>28.977285124621599</v>
      </c>
      <c r="K692">
        <f>VLOOKUP(F692,[1]!china_towns_second__2[[Column1]:[Y]],2,FALSE)</f>
        <v>119.1546168</v>
      </c>
      <c r="L692" t="s">
        <v>4326</v>
      </c>
      <c r="M692" t="str">
        <f>VLOOKUP(H692,CHOOSE({1,2},Table12[Native],Table12[Name]),2,0)</f>
        <v>Lóngyóu Xiàn</v>
      </c>
      <c r="N692" s="15" t="str">
        <f>VLOOKUP(I692,CHOOSE({1,2},Table12[Native],Table12[Name]),2,0)</f>
        <v>Qúzhōu Shì</v>
      </c>
      <c r="O692" s="15" t="str">
        <f t="shared" si="20"/>
        <v>Longzhou Jiedao (Qúzhōu Shì)</v>
      </c>
      <c r="P692" s="15" t="str">
        <f t="shared" si="21"/>
        <v>Longzhou Jiedao (Qúzhōu Shì)</v>
      </c>
    </row>
    <row r="693" spans="1:16" hidden="1" x14ac:dyDescent="0.25">
      <c r="A693" t="s">
        <v>2507</v>
      </c>
      <c r="B693" t="str">
        <f>IF(COUNTIF(A:A,A693)&gt;1,_xlfn.CONCAT(A693," (",N693,")"),A693)</f>
        <v>Lóuqiáo Jiēdào</v>
      </c>
      <c r="C693" t="str">
        <f>IF(COUNTIF(B:B,B693)&gt;1,_xlfn.CONCAT(A693," (",M693,")"),B693)</f>
        <v>Lóuqiáo Jiēdào</v>
      </c>
      <c r="D693" t="s">
        <v>2508</v>
      </c>
      <c r="E693" t="s">
        <v>15</v>
      </c>
      <c r="F693" t="str">
        <f>_xlfn.CONCAT(D693,", ",H693,", ",I693,", ","浙江省")</f>
        <v>娄桥街道, 瓯海区, 温州市, 浙江省</v>
      </c>
      <c r="G693">
        <v>93151</v>
      </c>
      <c r="H693" t="s">
        <v>3005</v>
      </c>
      <c r="I693" t="s">
        <v>3000</v>
      </c>
      <c r="J693">
        <f>VLOOKUP(F693,[1]!china_towns_second__2[[Column1]:[Y]],3,FALSE)</f>
        <v>27.958152483775901</v>
      </c>
      <c r="K693">
        <f>VLOOKUP(F693,[1]!china_towns_second__2[[Column1]:[Y]],2,FALSE)</f>
        <v>120.60808040000001</v>
      </c>
      <c r="L693" t="s">
        <v>4327</v>
      </c>
      <c r="M693" t="str">
        <f>VLOOKUP(H693,CHOOSE({1,2},Table12[Native],Table12[Name]),2,0)</f>
        <v>Ōuhăi Qū</v>
      </c>
      <c r="N693" s="15" t="str">
        <f>VLOOKUP(I693,CHOOSE({1,2},Table12[Native],Table12[Name]),2,0)</f>
        <v>Wēnzhōu Shì</v>
      </c>
      <c r="O693" s="15" t="str">
        <f t="shared" si="20"/>
        <v>Louqiao Jiedao (Wēnzhōu Shì)</v>
      </c>
      <c r="P693" s="15" t="str">
        <f t="shared" si="21"/>
        <v>Louqiao Jiedao (Wēnzhōu Shì)</v>
      </c>
    </row>
    <row r="694" spans="1:16" hidden="1" x14ac:dyDescent="0.25">
      <c r="A694" t="s">
        <v>213</v>
      </c>
      <c r="B694" t="str">
        <f>IF(COUNTIF(A:A,A694)&gt;1,_xlfn.CONCAT(A694," (",N694,")"),A694)</f>
        <v>Lóută Zhèn</v>
      </c>
      <c r="C694" t="str">
        <f>IF(COUNTIF(B:B,B694)&gt;1,_xlfn.CONCAT(A694," (",M694,")"),B694)</f>
        <v>Lóută Zhèn</v>
      </c>
      <c r="D694" t="s">
        <v>214</v>
      </c>
      <c r="E694" t="s">
        <v>11</v>
      </c>
      <c r="F694" t="str">
        <f>_xlfn.CONCAT(D694,", ",H694,", ",I694,", ","浙江省")</f>
        <v>楼塔镇, 萧山区, 杭州市, 浙江省</v>
      </c>
      <c r="G694">
        <v>23614</v>
      </c>
      <c r="H694" t="s">
        <v>2917</v>
      </c>
      <c r="I694" t="s">
        <v>2903</v>
      </c>
      <c r="J694">
        <f>VLOOKUP(F694,[1]!china_towns_second__2[[Column1]:[Y]],3,FALSE)</f>
        <v>29.8956385317388</v>
      </c>
      <c r="K694">
        <f>VLOOKUP(F694,[1]!china_towns_second__2[[Column1]:[Y]],2,FALSE)</f>
        <v>120.1110848</v>
      </c>
      <c r="L694" t="s">
        <v>4328</v>
      </c>
      <c r="M694" t="str">
        <f>VLOOKUP(H694,CHOOSE({1,2},Table12[Native],Table12[Name]),2,0)</f>
        <v>Xiāoshān Qū</v>
      </c>
      <c r="N694" s="15" t="str">
        <f>VLOOKUP(I694,CHOOSE({1,2},Table12[Native],Table12[Name]),2,0)</f>
        <v>Hángzhōu Shì</v>
      </c>
      <c r="O694" s="15" t="str">
        <f t="shared" si="20"/>
        <v>Louta Zhen (Hángzhōu Shì)</v>
      </c>
      <c r="P694" s="15" t="str">
        <f t="shared" si="21"/>
        <v>Louta Zhen (Hángzhōu Shì)</v>
      </c>
    </row>
    <row r="695" spans="1:16" hidden="1" x14ac:dyDescent="0.25">
      <c r="A695" t="s">
        <v>2145</v>
      </c>
      <c r="B695" t="str">
        <f>IF(COUNTIF(A:A,A695)&gt;1,_xlfn.CONCAT(A695," (",N695,")"),A695)</f>
        <v>Lùbĕi Jiēdào</v>
      </c>
      <c r="C695" t="str">
        <f>IF(COUNTIF(B:B,B695)&gt;1,_xlfn.CONCAT(A695," (",M695,")"),B695)</f>
        <v>Lùbĕi Jiēdào</v>
      </c>
      <c r="D695" t="s">
        <v>2146</v>
      </c>
      <c r="E695" t="s">
        <v>15</v>
      </c>
      <c r="F695" t="str">
        <f>_xlfn.CONCAT(D695,", ",H695,", ",I695,", ","浙江省")</f>
        <v>路北街道, 路桥区, 台州市, 浙江省</v>
      </c>
      <c r="G695">
        <v>48281</v>
      </c>
      <c r="H695" t="s">
        <v>2993</v>
      </c>
      <c r="I695" t="s">
        <v>2989</v>
      </c>
      <c r="J695">
        <f>VLOOKUP(F695,[1]!china_towns_second__2[[Column1]:[Y]],3,FALSE)</f>
        <v>28.593155516549299</v>
      </c>
      <c r="K695">
        <f>VLOOKUP(F695,[1]!china_towns_second__2[[Column1]:[Y]],2,FALSE)</f>
        <v>121.358863</v>
      </c>
      <c r="L695" t="s">
        <v>4329</v>
      </c>
      <c r="M695" t="str">
        <f>VLOOKUP(H695,CHOOSE({1,2},Table12[Native],Table12[Name]),2,0)</f>
        <v>Lùqiáo Qū</v>
      </c>
      <c r="N695" s="15" t="str">
        <f>VLOOKUP(I695,CHOOSE({1,2},Table12[Native],Table12[Name]),2,0)</f>
        <v>Táizhōu Shì</v>
      </c>
      <c r="O695" s="15" t="str">
        <f t="shared" si="20"/>
        <v>Lubei Jiedao (Táizhōu Shì)</v>
      </c>
      <c r="P695" s="15" t="str">
        <f t="shared" si="21"/>
        <v>Lubei Jiedao (Táizhōu Shì)</v>
      </c>
    </row>
    <row r="696" spans="1:16" hidden="1" x14ac:dyDescent="0.25">
      <c r="A696" t="s">
        <v>1490</v>
      </c>
      <c r="B696" t="str">
        <f>IF(COUNTIF(A:A,A696)&gt;1,_xlfn.CONCAT(A696," (",N696,")"),A696)</f>
        <v>Lùbù Zhèn</v>
      </c>
      <c r="C696" t="str">
        <f>IF(COUNTIF(B:B,B696)&gt;1,_xlfn.CONCAT(A696," (",M696,")"),B696)</f>
        <v>Lùbù Zhèn</v>
      </c>
      <c r="D696" t="s">
        <v>1491</v>
      </c>
      <c r="E696" t="s">
        <v>11</v>
      </c>
      <c r="F696" t="str">
        <f>_xlfn.CONCAT(D696,", ",H696,", ",I696,", ","浙江省")</f>
        <v>陆埠镇, 余姚市, 宁波市, 浙江省</v>
      </c>
      <c r="G696">
        <v>46247</v>
      </c>
      <c r="H696" t="s">
        <v>2970</v>
      </c>
      <c r="I696" t="s">
        <v>2961</v>
      </c>
      <c r="J696">
        <f>VLOOKUP(F696,[1]!china_towns_second__2[[Column1]:[Y]],3,FALSE)</f>
        <v>29.948415021140899</v>
      </c>
      <c r="K696">
        <f>VLOOKUP(F696,[1]!china_towns_second__2[[Column1]:[Y]],2,FALSE)</f>
        <v>121.23323379999999</v>
      </c>
      <c r="L696" t="s">
        <v>4330</v>
      </c>
      <c r="M696" t="str">
        <f>VLOOKUP(H696,CHOOSE({1,2},Table12[Native],Table12[Name]),2,0)</f>
        <v>Yúyáo Shì</v>
      </c>
      <c r="N696" s="15" t="str">
        <f>VLOOKUP(I696,CHOOSE({1,2},Table12[Native],Table12[Name]),2,0)</f>
        <v>Níngbō Shì</v>
      </c>
      <c r="O696" s="15" t="str">
        <f t="shared" si="20"/>
        <v>Lubu Zhen (Níngbō Shì)</v>
      </c>
      <c r="P696" s="15" t="str">
        <f t="shared" si="21"/>
        <v>Lubu Zhen (Níngbō Shì)</v>
      </c>
    </row>
    <row r="697" spans="1:16" hidden="1" x14ac:dyDescent="0.25">
      <c r="A697" t="s">
        <v>1169</v>
      </c>
      <c r="B697" t="str">
        <f>IF(COUNTIF(A:A,A697)&gt;1,_xlfn.CONCAT(A697," (",N697,")"),A697)</f>
        <v>Lúcí Xiāng</v>
      </c>
      <c r="C697" t="str">
        <f>IF(COUNTIF(B:B,B697)&gt;1,_xlfn.CONCAT(A697," (",M697,")"),B697)</f>
        <v>Lúcí Xiāng</v>
      </c>
      <c r="D697" t="s">
        <v>1170</v>
      </c>
      <c r="E697" t="s">
        <v>7</v>
      </c>
      <c r="F697" t="str">
        <f>_xlfn.CONCAT(D697,", ",H697,", ",I697,", ","浙江省")</f>
        <v>鸬鹚乡, 景宁畲族自治县, 丽水市, 浙江省</v>
      </c>
      <c r="G697">
        <v>1998</v>
      </c>
      <c r="H697" t="s">
        <v>2951</v>
      </c>
      <c r="I697" t="s">
        <v>2949</v>
      </c>
      <c r="J697" t="e">
        <f>VLOOKUP(F697,[1]!china_towns_second__2[[Column1]:[Y]],3,FALSE)</f>
        <v>#N/A</v>
      </c>
      <c r="K697" t="e">
        <f>VLOOKUP(F697,[1]!china_towns_second__2[[Column1]:[Y]],2,FALSE)</f>
        <v>#N/A</v>
      </c>
      <c r="L697" t="s">
        <v>4331</v>
      </c>
      <c r="M697" t="str">
        <f>VLOOKUP(H697,CHOOSE({1,2},Table12[Native],Table12[Name]),2,0)</f>
        <v>Jĭngníng Shēzú Zìzhìxiàn</v>
      </c>
      <c r="N697" s="15" t="str">
        <f>VLOOKUP(I697,CHOOSE({1,2},Table12[Native],Table12[Name]),2,0)</f>
        <v>Lìshuĭ Shì</v>
      </c>
      <c r="O697" s="15" t="str">
        <f t="shared" si="20"/>
        <v>Luci Xiang (Lìshuĭ Shì)</v>
      </c>
      <c r="P697" s="15" t="str">
        <f t="shared" si="21"/>
        <v>Luci Xiang (Lìshuĭ Shì)</v>
      </c>
    </row>
    <row r="698" spans="1:16" hidden="1" x14ac:dyDescent="0.25">
      <c r="A698" t="s">
        <v>2509</v>
      </c>
      <c r="B698" t="str">
        <f>IF(COUNTIF(A:A,A698)&gt;1,_xlfn.CONCAT(A698," (",N698,")"),A698)</f>
        <v>Lùmù Xiāng</v>
      </c>
      <c r="C698" t="str">
        <f>IF(COUNTIF(B:B,B698)&gt;1,_xlfn.CONCAT(A698," (",M698,")"),B698)</f>
        <v>Lùmù Xiāng</v>
      </c>
      <c r="D698" t="s">
        <v>2510</v>
      </c>
      <c r="E698" t="s">
        <v>7</v>
      </c>
      <c r="F698" t="str">
        <f>_xlfn.CONCAT(D698,", ",H698,", ",I698,", ","浙江省")</f>
        <v>鹿木乡, 瑞安市, 温州市, 浙江省</v>
      </c>
      <c r="G698">
        <v>7288</v>
      </c>
      <c r="H698" t="s">
        <v>3007</v>
      </c>
      <c r="I698" t="s">
        <v>3000</v>
      </c>
      <c r="J698" t="e">
        <f>VLOOKUP(F698,[1]!china_towns_second__2[[Column1]:[Y]],3,FALSE)</f>
        <v>#N/A</v>
      </c>
      <c r="K698" t="e">
        <f>VLOOKUP(F698,[1]!china_towns_second__2[[Column1]:[Y]],2,FALSE)</f>
        <v>#N/A</v>
      </c>
      <c r="L698" t="s">
        <v>4332</v>
      </c>
      <c r="M698" t="str">
        <f>VLOOKUP(H698,CHOOSE({1,2},Table12[Native],Table12[Name]),2,0)</f>
        <v>Ruì'ān Shì</v>
      </c>
      <c r="N698" s="15" t="str">
        <f>VLOOKUP(I698,CHOOSE({1,2},Table12[Native],Table12[Name]),2,0)</f>
        <v>Wēnzhōu Shì</v>
      </c>
      <c r="O698" s="15" t="str">
        <f t="shared" si="20"/>
        <v>Lumu Xiang (Wēnzhōu Shì)</v>
      </c>
      <c r="P698" s="15" t="str">
        <f t="shared" si="21"/>
        <v>Lumu Xiang (Wēnzhōu Shì)</v>
      </c>
    </row>
    <row r="699" spans="1:16" hidden="1" x14ac:dyDescent="0.25">
      <c r="A699" t="s">
        <v>2147</v>
      </c>
      <c r="B699" t="str">
        <f>IF(COUNTIF(A:A,A699)&gt;1,_xlfn.CONCAT(A699," (",N699,")"),A699)</f>
        <v>Lùnán Jiēdào</v>
      </c>
      <c r="C699" t="str">
        <f>IF(COUNTIF(B:B,B699)&gt;1,_xlfn.CONCAT(A699," (",M699,")"),B699)</f>
        <v>Lùnán Jiēdào</v>
      </c>
      <c r="D699" t="s">
        <v>2148</v>
      </c>
      <c r="E699" t="s">
        <v>15</v>
      </c>
      <c r="F699" t="str">
        <f>_xlfn.CONCAT(D699,", ",H699,", ",I699,", ","浙江省")</f>
        <v>路南街道, 路桥区, 台州市, 浙江省</v>
      </c>
      <c r="G699">
        <v>49312</v>
      </c>
      <c r="H699" t="s">
        <v>2993</v>
      </c>
      <c r="I699" t="s">
        <v>2989</v>
      </c>
      <c r="J699">
        <f>VLOOKUP(F699,[1]!china_towns_second__2[[Column1]:[Y]],3,FALSE)</f>
        <v>28.56701006566</v>
      </c>
      <c r="K699">
        <f>VLOOKUP(F699,[1]!china_towns_second__2[[Column1]:[Y]],2,FALSE)</f>
        <v>121.4061131</v>
      </c>
      <c r="L699" t="s">
        <v>4333</v>
      </c>
      <c r="M699" t="str">
        <f>VLOOKUP(H699,CHOOSE({1,2},Table12[Native],Table12[Name]),2,0)</f>
        <v>Lùqiáo Qū</v>
      </c>
      <c r="N699" s="15" t="str">
        <f>VLOOKUP(I699,CHOOSE({1,2},Table12[Native],Table12[Name]),2,0)</f>
        <v>Táizhōu Shì</v>
      </c>
      <c r="O699" s="15" t="str">
        <f t="shared" si="20"/>
        <v>Lunan Jiedao (Táizhōu Shì)</v>
      </c>
      <c r="P699" s="15" t="str">
        <f t="shared" si="21"/>
        <v>Lunan Jiedao (Táizhōu Shì)</v>
      </c>
    </row>
    <row r="700" spans="1:16" hidden="1" x14ac:dyDescent="0.25">
      <c r="A700" t="s">
        <v>215</v>
      </c>
      <c r="B700" t="str">
        <f>IF(COUNTIF(A:A,A700)&gt;1,_xlfn.CONCAT(A700," (",N700,")"),A700)</f>
        <v>Lúniăo Zhèn</v>
      </c>
      <c r="C700" t="str">
        <f>IF(COUNTIF(B:B,B700)&gt;1,_xlfn.CONCAT(A700," (",M700,")"),B700)</f>
        <v>Lúniăo Zhèn</v>
      </c>
      <c r="D700" t="s">
        <v>216</v>
      </c>
      <c r="E700" t="s">
        <v>11</v>
      </c>
      <c r="F700" t="str">
        <f>_xlfn.CONCAT(D700,", ",H700,", ",I700,", ","浙江省")</f>
        <v>鸬鸟镇, 余杭区, 杭州市, 浙江省</v>
      </c>
      <c r="G700">
        <v>10445</v>
      </c>
      <c r="H700" t="s">
        <v>2919</v>
      </c>
      <c r="I700" t="s">
        <v>2903</v>
      </c>
      <c r="J700">
        <f>VLOOKUP(F700,[1]!china_towns_second__2[[Column1]:[Y]],3,FALSE)</f>
        <v>30.439434522077001</v>
      </c>
      <c r="K700">
        <f>VLOOKUP(F700,[1]!china_towns_second__2[[Column1]:[Y]],2,FALSE)</f>
        <v>119.73074149999999</v>
      </c>
      <c r="L700" t="s">
        <v>4334</v>
      </c>
      <c r="M700" t="str">
        <f>VLOOKUP(H700,CHOOSE({1,2},Table12[Native],Table12[Name]),2,0)</f>
        <v>Yúháng Qū</v>
      </c>
      <c r="N700" s="15" t="str">
        <f>VLOOKUP(I700,CHOOSE({1,2},Table12[Native],Table12[Name]),2,0)</f>
        <v>Hángzhōu Shì</v>
      </c>
      <c r="O700" s="15" t="str">
        <f t="shared" si="20"/>
        <v>Luniao Zhen (Hángzhōu Shì)</v>
      </c>
      <c r="P700" s="15" t="str">
        <f t="shared" si="21"/>
        <v>Luniao Zhen (Hángzhōu Shì)</v>
      </c>
    </row>
    <row r="701" spans="1:16" hidden="1" x14ac:dyDescent="0.25">
      <c r="A701" t="s">
        <v>839</v>
      </c>
      <c r="B701" t="str">
        <f>IF(COUNTIF(A:A,A701)&gt;1,_xlfn.CONCAT(A701," (",N701,")"),A701)</f>
        <v>Luóbù Zhèn</v>
      </c>
      <c r="C701" t="str">
        <f>IF(COUNTIF(B:B,B701)&gt;1,_xlfn.CONCAT(A701," (",M701,")"),B701)</f>
        <v>Luóbù Zhèn</v>
      </c>
      <c r="D701" t="s">
        <v>840</v>
      </c>
      <c r="E701" t="s">
        <v>11</v>
      </c>
      <c r="F701" t="str">
        <f>_xlfn.CONCAT(D701,", ",H701,", ",I701,", ","浙江省")</f>
        <v>罗埠镇, 婺城区, 金华市, 浙江省</v>
      </c>
      <c r="G701">
        <v>26762</v>
      </c>
      <c r="H701" t="s">
        <v>2944</v>
      </c>
      <c r="I701" t="s">
        <v>2938</v>
      </c>
      <c r="J701">
        <f>VLOOKUP(F701,[1]!china_towns_second__2[[Column1]:[Y]],3,FALSE)</f>
        <v>29.1080451532364</v>
      </c>
      <c r="K701">
        <f>VLOOKUP(F701,[1]!china_towns_second__2[[Column1]:[Y]],2,FALSE)</f>
        <v>119.3965195</v>
      </c>
      <c r="L701" t="s">
        <v>4335</v>
      </c>
      <c r="M701" t="str">
        <f>VLOOKUP(H701,CHOOSE({1,2},Table12[Native],Table12[Name]),2,0)</f>
        <v>Wùchéng Qū</v>
      </c>
      <c r="N701" s="15" t="str">
        <f>VLOOKUP(I701,CHOOSE({1,2},Table12[Native],Table12[Name]),2,0)</f>
        <v>Jīnhuá Shì</v>
      </c>
      <c r="O701" s="15" t="str">
        <f t="shared" si="20"/>
        <v>Luobu Zhen (Jīnhuá Shì)</v>
      </c>
      <c r="P701" s="15" t="str">
        <f t="shared" si="21"/>
        <v>Luobu Zhen (Jīnhuá Shì)</v>
      </c>
    </row>
    <row r="702" spans="1:16" hidden="1" x14ac:dyDescent="0.25">
      <c r="A702" t="s">
        <v>841</v>
      </c>
      <c r="B702" t="str">
        <f>IF(COUNTIF(A:A,A702)&gt;1,_xlfn.CONCAT(A702," (",N702,")"),A702)</f>
        <v>Luódiàn Zhèn</v>
      </c>
      <c r="C702" t="str">
        <f>IF(COUNTIF(B:B,B702)&gt;1,_xlfn.CONCAT(A702," (",M702,")"),B702)</f>
        <v>Luódiàn Zhèn</v>
      </c>
      <c r="D702" t="s">
        <v>842</v>
      </c>
      <c r="E702" t="s">
        <v>11</v>
      </c>
      <c r="F702" t="str">
        <f>_xlfn.CONCAT(D702,", ",H702,", ",I702,", ","浙江省")</f>
        <v>罗店镇, 婺城区, 金华市, 浙江省</v>
      </c>
      <c r="G702">
        <v>20065</v>
      </c>
      <c r="H702" t="s">
        <v>2944</v>
      </c>
      <c r="I702" t="s">
        <v>2938</v>
      </c>
      <c r="J702">
        <f>VLOOKUP(F702,[1]!china_towns_second__2[[Column1]:[Y]],3,FALSE)</f>
        <v>29.1864363486707</v>
      </c>
      <c r="K702">
        <f>VLOOKUP(F702,[1]!china_towns_second__2[[Column1]:[Y]],2,FALSE)</f>
        <v>119.62678270000001</v>
      </c>
      <c r="L702" t="s">
        <v>4336</v>
      </c>
      <c r="M702" t="str">
        <f>VLOOKUP(H702,CHOOSE({1,2},Table12[Native],Table12[Name]),2,0)</f>
        <v>Wùchéng Qū</v>
      </c>
      <c r="N702" s="15" t="str">
        <f>VLOOKUP(I702,CHOOSE({1,2},Table12[Native],Table12[Name]),2,0)</f>
        <v>Jīnhuá Shì</v>
      </c>
      <c r="O702" s="15" t="str">
        <f t="shared" si="20"/>
        <v>Luodian Zhen (Jīnhuá Shì)</v>
      </c>
      <c r="P702" s="15" t="str">
        <f t="shared" si="21"/>
        <v>Luodian Zhen (Jīnhuá Shì)</v>
      </c>
    </row>
    <row r="703" spans="1:16" hidden="1" x14ac:dyDescent="0.25">
      <c r="A703" t="s">
        <v>1734</v>
      </c>
      <c r="B703" t="str">
        <f>IF(COUNTIF(A:A,A703)&gt;1,_xlfn.CONCAT(A703," (",N703,")"),A703)</f>
        <v>Luójiā Xiāng</v>
      </c>
      <c r="C703" t="str">
        <f>IF(COUNTIF(B:B,B703)&gt;1,_xlfn.CONCAT(A703," (",M703,")"),B703)</f>
        <v>Luójiā Xiāng</v>
      </c>
      <c r="D703" t="s">
        <v>1735</v>
      </c>
      <c r="E703" t="s">
        <v>7</v>
      </c>
      <c r="F703" t="str">
        <f>_xlfn.CONCAT(D703,", ",H703,", ",I703,", ","浙江省")</f>
        <v>罗家乡, 龙游县, 衢州市, 浙江省</v>
      </c>
      <c r="G703">
        <v>6013</v>
      </c>
      <c r="H703" t="s">
        <v>2978</v>
      </c>
      <c r="I703" t="s">
        <v>2973</v>
      </c>
      <c r="J703" t="e">
        <f>VLOOKUP(F703,[1]!china_towns_second__2[[Column1]:[Y]],3,FALSE)</f>
        <v>#N/A</v>
      </c>
      <c r="K703" t="e">
        <f>VLOOKUP(F703,[1]!china_towns_second__2[[Column1]:[Y]],2,FALSE)</f>
        <v>#N/A</v>
      </c>
      <c r="L703" t="s">
        <v>4337</v>
      </c>
      <c r="M703" t="str">
        <f>VLOOKUP(H703,CHOOSE({1,2},Table12[Native],Table12[Name]),2,0)</f>
        <v>Lóngyóu Xiàn</v>
      </c>
      <c r="N703" s="15" t="str">
        <f>VLOOKUP(I703,CHOOSE({1,2},Table12[Native],Table12[Name]),2,0)</f>
        <v>Qúzhōu Shì</v>
      </c>
      <c r="O703" s="15" t="str">
        <f t="shared" si="20"/>
        <v>Luojia Xiang (Qúzhōu Shì)</v>
      </c>
      <c r="P703" s="15" t="str">
        <f t="shared" si="21"/>
        <v>Luojia Xiang (Qúzhōu Shì)</v>
      </c>
    </row>
    <row r="704" spans="1:16" hidden="1" x14ac:dyDescent="0.25">
      <c r="A704" t="s">
        <v>481</v>
      </c>
      <c r="B704" t="str">
        <f>IF(COUNTIF(A:A,A704)&gt;1,_xlfn.CONCAT(A704," (",N704,")"),A704)</f>
        <v>Luòshè Zhèn</v>
      </c>
      <c r="C704" t="str">
        <f>IF(COUNTIF(B:B,B704)&gt;1,_xlfn.CONCAT(A704," (",M704,")"),B704)</f>
        <v>Luòshè Zhèn</v>
      </c>
      <c r="D704" t="s">
        <v>482</v>
      </c>
      <c r="E704" t="s">
        <v>11</v>
      </c>
      <c r="F704" t="str">
        <f>_xlfn.CONCAT(D704,", ",H704,", ",I704,", ","浙江省")</f>
        <v>洛舍镇, 德清县, 湖州市, 浙江省</v>
      </c>
      <c r="G704">
        <v>22827</v>
      </c>
      <c r="H704" t="s">
        <v>2925</v>
      </c>
      <c r="I704" t="s">
        <v>2922</v>
      </c>
      <c r="J704">
        <f>VLOOKUP(F704,[1]!china_towns_second__2[[Column1]:[Y]],3,FALSE)</f>
        <v>30.621466408464901</v>
      </c>
      <c r="K704">
        <f>VLOOKUP(F704,[1]!china_towns_second__2[[Column1]:[Y]],2,FALSE)</f>
        <v>120.07995390000001</v>
      </c>
      <c r="L704" t="s">
        <v>4338</v>
      </c>
      <c r="M704" t="str">
        <f>VLOOKUP(H704,CHOOSE({1,2},Table12[Native],Table12[Name]),2,0)</f>
        <v>Déqīng Xiàn</v>
      </c>
      <c r="N704" s="15" t="str">
        <f>VLOOKUP(I704,CHOOSE({1,2},Table12[Native],Table12[Name]),2,0)</f>
        <v>Húzhōu Shì</v>
      </c>
      <c r="O704" s="15" t="str">
        <f t="shared" si="20"/>
        <v>Luoshe Zhen (Húzhōu Shì)</v>
      </c>
      <c r="P704" s="15" t="str">
        <f t="shared" si="21"/>
        <v>Luoshe Zhen (Húzhōu Shì)</v>
      </c>
    </row>
    <row r="705" spans="1:16" hidden="1" x14ac:dyDescent="0.25">
      <c r="A705" t="s">
        <v>1492</v>
      </c>
      <c r="B705" t="str">
        <f>IF(COUNTIF(A:A,A705)&gt;1,_xlfn.CONCAT(A705," (",N705,")"),A705)</f>
        <v>Luòtuó Jiēdào</v>
      </c>
      <c r="C705" t="str">
        <f>IF(COUNTIF(B:B,B705)&gt;1,_xlfn.CONCAT(A705," (",M705,")"),B705)</f>
        <v>Luòtuó Jiēdào</v>
      </c>
      <c r="D705" t="s">
        <v>1493</v>
      </c>
      <c r="E705" t="s">
        <v>15</v>
      </c>
      <c r="F705" t="str">
        <f>_xlfn.CONCAT(D705,", ",H705,", ",I705,", ","浙江省")</f>
        <v>骆驼街道, 镇海区, 宁波市, 浙江省</v>
      </c>
      <c r="G705">
        <v>95487</v>
      </c>
      <c r="H705" t="s">
        <v>2971</v>
      </c>
      <c r="I705" t="s">
        <v>2961</v>
      </c>
      <c r="J705">
        <f>VLOOKUP(F705,[1]!china_towns_second__2[[Column1]:[Y]],3,FALSE)</f>
        <v>29.978990972444901</v>
      </c>
      <c r="K705">
        <f>VLOOKUP(F705,[1]!china_towns_second__2[[Column1]:[Y]],2,FALSE)</f>
        <v>121.5919859</v>
      </c>
      <c r="L705" t="s">
        <v>4339</v>
      </c>
      <c r="M705" t="str">
        <f>VLOOKUP(H705,CHOOSE({1,2},Table12[Native],Table12[Name]),2,0)</f>
        <v>Zhènhăi Qū</v>
      </c>
      <c r="N705" s="15" t="str">
        <f>VLOOKUP(I705,CHOOSE({1,2},Table12[Native],Table12[Name]),2,0)</f>
        <v>Níngbō Shì</v>
      </c>
      <c r="O705" s="15" t="str">
        <f t="shared" si="20"/>
        <v>Luotuo Jiedao (Níngbō Shì)</v>
      </c>
      <c r="P705" s="15" t="str">
        <f t="shared" si="21"/>
        <v>Luotuo Jiedao (Níngbō Shì)</v>
      </c>
    </row>
    <row r="706" spans="1:16" hidden="1" x14ac:dyDescent="0.25">
      <c r="A706" t="s">
        <v>619</v>
      </c>
      <c r="B706" t="str">
        <f>IF(COUNTIF(A:A,A706)&gt;1,_xlfn.CONCAT(A706," (",N706,")"),A706)</f>
        <v>Luóxīng Jiēdào</v>
      </c>
      <c r="C706" t="str">
        <f>IF(COUNTIF(B:B,B706)&gt;1,_xlfn.CONCAT(A706," (",M706,")"),B706)</f>
        <v>Luóxīng Jiēdào</v>
      </c>
      <c r="D706" t="s">
        <v>620</v>
      </c>
      <c r="E706" t="s">
        <v>15</v>
      </c>
      <c r="F706" t="str">
        <f>_xlfn.CONCAT(D706,", ",H706,", ",I706,", ","浙江省")</f>
        <v>罗星街道, 嘉善县, 嘉兴市, 浙江省</v>
      </c>
      <c r="G706">
        <v>75473</v>
      </c>
      <c r="H706" t="s">
        <v>2932</v>
      </c>
      <c r="I706" t="s">
        <v>2929</v>
      </c>
      <c r="J706">
        <f>VLOOKUP(F706,[1]!china_towns_second__2[[Column1]:[Y]],3,FALSE)</f>
        <v>30.813061454895202</v>
      </c>
      <c r="K706">
        <f>VLOOKUP(F706,[1]!china_towns_second__2[[Column1]:[Y]],2,FALSE)</f>
        <v>120.89652030000001</v>
      </c>
      <c r="L706" t="s">
        <v>4340</v>
      </c>
      <c r="M706" t="str">
        <f>VLOOKUP(H706,CHOOSE({1,2},Table12[Native],Table12[Name]),2,0)</f>
        <v>Jiāshàn Xiàn</v>
      </c>
      <c r="N706" s="15" t="str">
        <f>VLOOKUP(I706,CHOOSE({1,2},Table12[Native],Table12[Name]),2,0)</f>
        <v>Jiāxīng Shì</v>
      </c>
      <c r="O706" s="15" t="str">
        <f t="shared" ref="O706:O769" si="22">_xlfn.CONCAT(L706," (",N706,")")</f>
        <v>Luoxing Jiedao (Jiāxīng Shì)</v>
      </c>
      <c r="P706" s="15" t="str">
        <f t="shared" ref="P706:P769" si="23">IF(COUNTIF(O:O,O706)&gt;1,_xlfn.CONCAT(L706," (",M706,")"),O706)</f>
        <v>Luoxing Jiedao (Jiāxīng Shì)</v>
      </c>
    </row>
    <row r="707" spans="1:16" hidden="1" x14ac:dyDescent="0.25">
      <c r="A707" t="s">
        <v>2149</v>
      </c>
      <c r="B707" t="str">
        <f>IF(COUNTIF(A:A,A707)&gt;1,_xlfn.CONCAT(A707," (",N707,")"),A707)</f>
        <v>Luóyáng Jiēdào</v>
      </c>
      <c r="C707" t="str">
        <f>IF(COUNTIF(B:B,B707)&gt;1,_xlfn.CONCAT(A707," (",M707,")"),B707)</f>
        <v>Luóyáng Jiēdào</v>
      </c>
      <c r="D707" t="s">
        <v>2150</v>
      </c>
      <c r="E707" t="s">
        <v>15</v>
      </c>
      <c r="F707" t="str">
        <f>_xlfn.CONCAT(D707,", ",H707,", ",I707,", ","浙江省")</f>
        <v>螺洋街道, 路桥区, 台州市, 浙江省</v>
      </c>
      <c r="G707">
        <v>40636</v>
      </c>
      <c r="H707" t="s">
        <v>2993</v>
      </c>
      <c r="I707" t="s">
        <v>2989</v>
      </c>
      <c r="J707">
        <f>VLOOKUP(F707,[1]!china_towns_second__2[[Column1]:[Y]],3,FALSE)</f>
        <v>28.5608744766771</v>
      </c>
      <c r="K707">
        <f>VLOOKUP(F707,[1]!china_towns_second__2[[Column1]:[Y]],2,FALSE)</f>
        <v>121.3273241</v>
      </c>
      <c r="L707" t="s">
        <v>4341</v>
      </c>
      <c r="M707" t="str">
        <f>VLOOKUP(H707,CHOOSE({1,2},Table12[Native],Table12[Name]),2,0)</f>
        <v>Lùqiáo Qū</v>
      </c>
      <c r="N707" s="15" t="str">
        <f>VLOOKUP(I707,CHOOSE({1,2},Table12[Native],Table12[Name]),2,0)</f>
        <v>Táizhōu Shì</v>
      </c>
      <c r="O707" s="15" t="str">
        <f t="shared" si="22"/>
        <v>Luoyang Jiedao (Táizhōu Shì)</v>
      </c>
      <c r="P707" s="15" t="str">
        <f t="shared" si="23"/>
        <v>Luoyang Jiedao (Táizhōu Shì)</v>
      </c>
    </row>
    <row r="708" spans="1:16" hidden="1" x14ac:dyDescent="0.25">
      <c r="A708" t="s">
        <v>2511</v>
      </c>
      <c r="B708" t="str">
        <f>IF(COUNTIF(A:A,A708)&gt;1,_xlfn.CONCAT(A708," (",N708,")"),A708)</f>
        <v>Luóyáng Zhèn</v>
      </c>
      <c r="C708" t="str">
        <f>IF(COUNTIF(B:B,B708)&gt;1,_xlfn.CONCAT(A708," (",M708,")"),B708)</f>
        <v>Luóyáng Zhèn</v>
      </c>
      <c r="D708" t="s">
        <v>2512</v>
      </c>
      <c r="E708" t="s">
        <v>11</v>
      </c>
      <c r="F708" t="str">
        <f>_xlfn.CONCAT(D708,", ",H708,", ",I708,", ","浙江省")</f>
        <v>罗阳镇, 泰顺县, 温州市, 浙江省</v>
      </c>
      <c r="G708">
        <v>61651</v>
      </c>
      <c r="H708" t="s">
        <v>3008</v>
      </c>
      <c r="I708" t="s">
        <v>3000</v>
      </c>
      <c r="J708">
        <f>VLOOKUP(F708,[1]!china_towns_second__2[[Column1]:[Y]],3,FALSE)</f>
        <v>27.545478742021899</v>
      </c>
      <c r="K708">
        <f>VLOOKUP(F708,[1]!china_towns_second__2[[Column1]:[Y]],2,FALSE)</f>
        <v>119.7412987</v>
      </c>
      <c r="L708" t="s">
        <v>4342</v>
      </c>
      <c r="M708" t="str">
        <f>VLOOKUP(H708,CHOOSE({1,2},Table12[Native],Table12[Name]),2,0)</f>
        <v>Tàishùn Xiàn</v>
      </c>
      <c r="N708" s="15" t="str">
        <f>VLOOKUP(I708,CHOOSE({1,2},Table12[Native],Table12[Name]),2,0)</f>
        <v>Wēnzhōu Shì</v>
      </c>
      <c r="O708" s="15" t="str">
        <f t="shared" si="22"/>
        <v>Luoyang Zhen (Wēnzhōu Shì)</v>
      </c>
      <c r="P708" s="15" t="str">
        <f t="shared" si="23"/>
        <v>Luoyang Zhen (Wēnzhōu Shì)</v>
      </c>
    </row>
    <row r="709" spans="1:16" hidden="1" x14ac:dyDescent="0.25">
      <c r="A709" t="s">
        <v>2151</v>
      </c>
      <c r="B709" t="str">
        <f>IF(COUNTIF(A:A,A709)&gt;1,_xlfn.CONCAT(A709," (",N709,")"),A709)</f>
        <v>Lúpŭ Zhèn</v>
      </c>
      <c r="C709" t="str">
        <f>IF(COUNTIF(B:B,B709)&gt;1,_xlfn.CONCAT(A709," (",M709,")"),B709)</f>
        <v>Lúpŭ Zhèn</v>
      </c>
      <c r="D709" t="s">
        <v>2152</v>
      </c>
      <c r="E709" t="s">
        <v>11</v>
      </c>
      <c r="F709" t="str">
        <f>_xlfn.CONCAT(D709,", ",H709,", ",I709,", ","浙江省")</f>
        <v>芦浦镇, 玉环市, 台州市, 浙江省</v>
      </c>
      <c r="G709">
        <v>24438</v>
      </c>
      <c r="H709" t="s">
        <v>2998</v>
      </c>
      <c r="I709" t="s">
        <v>2989</v>
      </c>
      <c r="J709">
        <f>VLOOKUP(F709,[1]!china_towns_second__2[[Column1]:[Y]],3,FALSE)</f>
        <v>28.1990085722455</v>
      </c>
      <c r="K709">
        <f>VLOOKUP(F709,[1]!china_towns_second__2[[Column1]:[Y]],2,FALSE)</f>
        <v>121.2439043</v>
      </c>
      <c r="L709" t="s">
        <v>4343</v>
      </c>
      <c r="M709" t="str">
        <f>VLOOKUP(H709,CHOOSE({1,2},Table12[Native],Table12[Name]),2,0)</f>
        <v>Yùhuán Shì</v>
      </c>
      <c r="N709" s="15" t="str">
        <f>VLOOKUP(I709,CHOOSE({1,2},Table12[Native],Table12[Name]),2,0)</f>
        <v>Táizhōu Shì</v>
      </c>
      <c r="O709" s="15" t="str">
        <f t="shared" si="22"/>
        <v>Lupu Zhen (Táizhōu Shì)</v>
      </c>
      <c r="P709" s="15" t="str">
        <f t="shared" si="23"/>
        <v>Lupu Zhen (Táizhōu Shì)</v>
      </c>
    </row>
    <row r="710" spans="1:16" hidden="1" x14ac:dyDescent="0.25">
      <c r="A710" t="s">
        <v>2153</v>
      </c>
      <c r="B710" t="str">
        <f>IF(COUNTIF(A:A,A710)&gt;1,_xlfn.CONCAT(A710," (",N710,")"),A710)</f>
        <v>Lùqiáo Jiēdào</v>
      </c>
      <c r="C710" t="str">
        <f>IF(COUNTIF(B:B,B710)&gt;1,_xlfn.CONCAT(A710," (",M710,")"),B710)</f>
        <v>Lùqiáo Jiēdào</v>
      </c>
      <c r="D710" t="s">
        <v>2154</v>
      </c>
      <c r="E710" t="s">
        <v>15</v>
      </c>
      <c r="F710" t="str">
        <f>_xlfn.CONCAT(D710,", ",H710,", ",I710,", ","浙江省")</f>
        <v>路桥街道, 路桥区, 台州市, 浙江省</v>
      </c>
      <c r="G710">
        <v>84539</v>
      </c>
      <c r="H710" t="s">
        <v>2993</v>
      </c>
      <c r="I710" t="s">
        <v>2989</v>
      </c>
      <c r="J710">
        <f>VLOOKUP(F710,[1]!china_towns_second__2[[Column1]:[Y]],3,FALSE)</f>
        <v>28.576016450773</v>
      </c>
      <c r="K710">
        <f>VLOOKUP(F710,[1]!china_towns_second__2[[Column1]:[Y]],2,FALSE)</f>
        <v>121.3768118</v>
      </c>
      <c r="L710" t="s">
        <v>4344</v>
      </c>
      <c r="M710" t="str">
        <f>VLOOKUP(H710,CHOOSE({1,2},Table12[Native],Table12[Name]),2,0)</f>
        <v>Lùqiáo Qū</v>
      </c>
      <c r="N710" s="15" t="str">
        <f>VLOOKUP(I710,CHOOSE({1,2},Table12[Native],Table12[Name]),2,0)</f>
        <v>Táizhōu Shì</v>
      </c>
      <c r="O710" s="15" t="str">
        <f t="shared" si="22"/>
        <v>Luqiao Jiedao (Táizhōu Shì)</v>
      </c>
      <c r="P710" s="15" t="str">
        <f t="shared" si="23"/>
        <v>Luqiao Jiedao (Táizhōu Shì)</v>
      </c>
    </row>
    <row r="711" spans="1:16" hidden="1" x14ac:dyDescent="0.25">
      <c r="A711" t="s">
        <v>217</v>
      </c>
      <c r="B711" t="str">
        <f>IF(COUNTIF(A:A,A711)&gt;1,_xlfn.CONCAT(A711," (",N711,")"),A711)</f>
        <v>Lùshān Jiēdào (Hángzhōu Shì)</v>
      </c>
      <c r="C711" t="str">
        <f>IF(COUNTIF(B:B,B711)&gt;1,_xlfn.CONCAT(A711," (",M711,")"),B711)</f>
        <v>Lùshān Jiēdào (Hángzhōu Shì)</v>
      </c>
      <c r="D711" t="s">
        <v>218</v>
      </c>
      <c r="E711" t="s">
        <v>15</v>
      </c>
      <c r="F711" t="str">
        <f>_xlfn.CONCAT(D711,", ",H711,", ",I711,", ","浙江省")</f>
        <v>鹿山街道, 富阳区, 杭州市, 浙江省</v>
      </c>
      <c r="G711">
        <v>25263</v>
      </c>
      <c r="H711" t="s">
        <v>2908</v>
      </c>
      <c r="I711" t="s">
        <v>2903</v>
      </c>
      <c r="J711">
        <f>VLOOKUP(F711,[1]!china_towns_second__2[[Column1]:[Y]],3,FALSE)</f>
        <v>29.9935536031523</v>
      </c>
      <c r="K711">
        <f>VLOOKUP(F711,[1]!china_towns_second__2[[Column1]:[Y]],2,FALSE)</f>
        <v>119.8744665</v>
      </c>
      <c r="L711" t="s">
        <v>4345</v>
      </c>
      <c r="M711" t="str">
        <f>VLOOKUP(H711,CHOOSE({1,2},Table12[Native],Table12[Name]),2,0)</f>
        <v>Fùyáng Qū</v>
      </c>
      <c r="N711" s="15" t="str">
        <f>VLOOKUP(I711,CHOOSE({1,2},Table12[Native],Table12[Name]),2,0)</f>
        <v>Hángzhōu Shì</v>
      </c>
      <c r="O711" s="15" t="str">
        <f t="shared" si="22"/>
        <v>Lushan Jiedao (Hangzhou Shi) (Hángzhōu Shì)</v>
      </c>
      <c r="P711" s="15" t="str">
        <f t="shared" si="23"/>
        <v>Lushan Jiedao (Hangzhou Shi) (Hángzhōu Shì)</v>
      </c>
    </row>
    <row r="712" spans="1:16" hidden="1" x14ac:dyDescent="0.25">
      <c r="A712" t="s">
        <v>217</v>
      </c>
      <c r="B712" t="str">
        <f>IF(COUNTIF(A:A,A712)&gt;1,_xlfn.CONCAT(A712," (",N712,")"),A712)</f>
        <v>Lùshān Jiēdào (Shàoxīng Shì)</v>
      </c>
      <c r="C712" t="str">
        <f>IF(COUNTIF(B:B,B712)&gt;1,_xlfn.CONCAT(A712," (",M712,")"),B712)</f>
        <v>Lùshān Jiēdào (Shàoxīng Shì)</v>
      </c>
      <c r="D712" t="s">
        <v>218</v>
      </c>
      <c r="E712" t="s">
        <v>15</v>
      </c>
      <c r="F712" t="str">
        <f>_xlfn.CONCAT(D712,", ",H712,", ",I712,", ","浙江省")</f>
        <v>鹿山街道, 嵊州市, 绍兴市, 浙江省</v>
      </c>
      <c r="G712">
        <v>62618</v>
      </c>
      <c r="H712" t="s">
        <v>2984</v>
      </c>
      <c r="I712" t="s">
        <v>2981</v>
      </c>
      <c r="J712">
        <f>VLOOKUP(F712,[1]!china_towns_second__2[[Column1]:[Y]],3,FALSE)</f>
        <v>29.571787490694799</v>
      </c>
      <c r="K712">
        <f>VLOOKUP(F712,[1]!china_towns_second__2[[Column1]:[Y]],2,FALSE)</f>
        <v>120.7816375</v>
      </c>
      <c r="L712" t="s">
        <v>4346</v>
      </c>
      <c r="M712" t="str">
        <f>VLOOKUP(H712,CHOOSE({1,2},Table12[Native],Table12[Name]),2,0)</f>
        <v>Shèngzhōu Shì</v>
      </c>
      <c r="N712" s="15" t="str">
        <f>VLOOKUP(I712,CHOOSE({1,2},Table12[Native],Table12[Name]),2,0)</f>
        <v>Shàoxīng Shì</v>
      </c>
      <c r="O712" s="15" t="str">
        <f t="shared" si="22"/>
        <v>Lushan Jiedao (Shaoxing Shi) (Shàoxīng Shì)</v>
      </c>
      <c r="P712" s="15" t="str">
        <f t="shared" si="23"/>
        <v>Lushan Jiedao (Shaoxing Shi) (Shàoxīng Shì)</v>
      </c>
    </row>
    <row r="713" spans="1:16" hidden="1" x14ac:dyDescent="0.25">
      <c r="A713" t="s">
        <v>483</v>
      </c>
      <c r="B713" t="str">
        <f>IF(COUNTIF(A:A,A713)&gt;1,_xlfn.CONCAT(A713," (",N713,")"),A713)</f>
        <v>Lǚshān Xiāng</v>
      </c>
      <c r="C713" t="str">
        <f>IF(COUNTIF(B:B,B713)&gt;1,_xlfn.CONCAT(A713," (",M713,")"),B713)</f>
        <v>Lǚshān Xiāng</v>
      </c>
      <c r="D713" t="s">
        <v>484</v>
      </c>
      <c r="E713" t="s">
        <v>7</v>
      </c>
      <c r="F713" t="str">
        <f>_xlfn.CONCAT(D713,", ",H713,", ",I713,", ","浙江省")</f>
        <v>吕山乡, 长兴县, 湖州市, 浙江省</v>
      </c>
      <c r="G713">
        <v>18311</v>
      </c>
      <c r="H713" t="s">
        <v>2924</v>
      </c>
      <c r="I713" t="s">
        <v>2922</v>
      </c>
      <c r="J713" t="e">
        <f>VLOOKUP(F713,[1]!china_towns_second__2[[Column1]:[Y]],3,FALSE)</f>
        <v>#N/A</v>
      </c>
      <c r="K713" t="e">
        <f>VLOOKUP(F713,[1]!china_towns_second__2[[Column1]:[Y]],2,FALSE)</f>
        <v>#N/A</v>
      </c>
      <c r="L713" t="s">
        <v>4347</v>
      </c>
      <c r="M713" t="str">
        <f>VLOOKUP(H713,CHOOSE({1,2},Table12[Native],Table12[Name]),2,0)</f>
        <v>Chángxīng Xiàn</v>
      </c>
      <c r="N713" s="15" t="str">
        <f>VLOOKUP(I713,CHOOSE({1,2},Table12[Native],Table12[Name]),2,0)</f>
        <v>Húzhōu Shì</v>
      </c>
      <c r="O713" s="15" t="str">
        <f t="shared" si="22"/>
        <v>Lushan Xiang (Húzhōu Shì)</v>
      </c>
      <c r="P713" s="15" t="str">
        <f t="shared" si="23"/>
        <v>Lushan Xiang (Húzhōu Shì)</v>
      </c>
    </row>
    <row r="714" spans="1:16" hidden="1" x14ac:dyDescent="0.25">
      <c r="A714" t="s">
        <v>843</v>
      </c>
      <c r="B714" t="str">
        <f>IF(COUNTIF(A:A,A714)&gt;1,_xlfn.CONCAT(A714," (",N714,")"),A714)</f>
        <v>Lǚtăn Zhèn</v>
      </c>
      <c r="C714" t="str">
        <f>IF(COUNTIF(B:B,B714)&gt;1,_xlfn.CONCAT(A714," (",M714,")"),B714)</f>
        <v>Lǚtăn Zhèn</v>
      </c>
      <c r="D714" t="s">
        <v>844</v>
      </c>
      <c r="E714" t="s">
        <v>11</v>
      </c>
      <c r="F714" t="str">
        <f>_xlfn.CONCAT(D714,", ",H714,", ",I714,", ","浙江省")</f>
        <v>履坦镇, 武义县, 金华市, 浙江省</v>
      </c>
      <c r="G714">
        <v>12746</v>
      </c>
      <c r="H714" t="s">
        <v>2945</v>
      </c>
      <c r="I714" t="s">
        <v>2938</v>
      </c>
      <c r="J714">
        <f>VLOOKUP(F714,[1]!china_towns_second__2[[Column1]:[Y]],3,FALSE)</f>
        <v>28.9404410801361</v>
      </c>
      <c r="K714">
        <f>VLOOKUP(F714,[1]!china_towns_second__2[[Column1]:[Y]],2,FALSE)</f>
        <v>119.7650914</v>
      </c>
      <c r="L714" t="s">
        <v>4348</v>
      </c>
      <c r="M714" t="str">
        <f>VLOOKUP(H714,CHOOSE({1,2},Table12[Native],Table12[Name]),2,0)</f>
        <v>Wŭyì Xiàn</v>
      </c>
      <c r="N714" s="15" t="str">
        <f>VLOOKUP(I714,CHOOSE({1,2},Table12[Native],Table12[Name]),2,0)</f>
        <v>Jīnhuá Shì</v>
      </c>
      <c r="O714" s="15" t="str">
        <f t="shared" si="22"/>
        <v>Lutan Zhen (Jīnhuá Shì)</v>
      </c>
      <c r="P714" s="15" t="str">
        <f t="shared" si="23"/>
        <v>Lutan Zhen (Jīnhuá Shì)</v>
      </c>
    </row>
    <row r="715" spans="1:16" hidden="1" x14ac:dyDescent="0.25">
      <c r="A715" t="s">
        <v>1494</v>
      </c>
      <c r="B715" t="str">
        <f>IF(COUNTIF(A:A,A715)&gt;1,_xlfn.CONCAT(A715," (",N715,")"),A715)</f>
        <v>Lùtíng Xiāng</v>
      </c>
      <c r="C715" t="str">
        <f>IF(COUNTIF(B:B,B715)&gt;1,_xlfn.CONCAT(A715," (",M715,")"),B715)</f>
        <v>Lùtíng Xiāng</v>
      </c>
      <c r="D715" t="s">
        <v>1495</v>
      </c>
      <c r="E715" t="s">
        <v>7</v>
      </c>
      <c r="F715" t="str">
        <f>_xlfn.CONCAT(D715,", ",H715,", ",I715,", ","浙江省")</f>
        <v>鹿亭乡, 余姚市, 宁波市, 浙江省</v>
      </c>
      <c r="G715">
        <v>7478</v>
      </c>
      <c r="H715" t="s">
        <v>2970</v>
      </c>
      <c r="I715" t="s">
        <v>2961</v>
      </c>
      <c r="J715" t="e">
        <f>VLOOKUP(F715,[1]!china_towns_second__2[[Column1]:[Y]],3,FALSE)</f>
        <v>#N/A</v>
      </c>
      <c r="K715" t="e">
        <f>VLOOKUP(F715,[1]!china_towns_second__2[[Column1]:[Y]],2,FALSE)</f>
        <v>#N/A</v>
      </c>
      <c r="L715" t="s">
        <v>4349</v>
      </c>
      <c r="M715" t="str">
        <f>VLOOKUP(H715,CHOOSE({1,2},Table12[Native],Table12[Name]),2,0)</f>
        <v>Yúyáo Shì</v>
      </c>
      <c r="N715" s="15" t="str">
        <f>VLOOKUP(I715,CHOOSE({1,2},Table12[Native],Table12[Name]),2,0)</f>
        <v>Níngbō Shì</v>
      </c>
      <c r="O715" s="15" t="str">
        <f t="shared" si="22"/>
        <v>Luting Xiang (Níngbō Shì)</v>
      </c>
      <c r="P715" s="15" t="str">
        <f t="shared" si="23"/>
        <v>Luting Xiang (Níngbō Shì)</v>
      </c>
    </row>
    <row r="716" spans="1:16" hidden="1" x14ac:dyDescent="0.25">
      <c r="A716" t="s">
        <v>2513</v>
      </c>
      <c r="B716" t="str">
        <f>IF(COUNTIF(A:A,A716)&gt;1,_xlfn.CONCAT(A716," (",N716,")"),A716)</f>
        <v>Lùxī Xiāng</v>
      </c>
      <c r="C716" t="str">
        <f>IF(COUNTIF(B:B,B716)&gt;1,_xlfn.CONCAT(A716," (",M716,")"),B716)</f>
        <v>Lùxī Xiāng</v>
      </c>
      <c r="D716" t="s">
        <v>2514</v>
      </c>
      <c r="E716" t="s">
        <v>7</v>
      </c>
      <c r="F716" t="str">
        <f>_xlfn.CONCAT(D716,", ",H716,", ",I716,", ","浙江省")</f>
        <v>鹿西乡, 洞头区, 温州市, 浙江省</v>
      </c>
      <c r="G716">
        <v>5904</v>
      </c>
      <c r="H716" t="s">
        <v>3002</v>
      </c>
      <c r="I716" t="s">
        <v>3000</v>
      </c>
      <c r="J716" t="e">
        <f>VLOOKUP(F716,[1]!china_towns_second__2[[Column1]:[Y]],3,FALSE)</f>
        <v>#N/A</v>
      </c>
      <c r="K716" t="e">
        <f>VLOOKUP(F716,[1]!china_towns_second__2[[Column1]:[Y]],2,FALSE)</f>
        <v>#N/A</v>
      </c>
      <c r="L716" t="s">
        <v>4350</v>
      </c>
      <c r="M716" t="str">
        <f>VLOOKUP(H716,CHOOSE({1,2},Table12[Native],Table12[Name]),2,0)</f>
        <v>Dòngtóu Qū</v>
      </c>
      <c r="N716" s="15" t="str">
        <f>VLOOKUP(I716,CHOOSE({1,2},Table12[Native],Table12[Name]),2,0)</f>
        <v>Wēnzhōu Shì</v>
      </c>
      <c r="O716" s="15" t="str">
        <f t="shared" si="22"/>
        <v>Luxi Xiang (Wēnzhōu Shì)</v>
      </c>
      <c r="P716" s="15" t="str">
        <f t="shared" si="23"/>
        <v>Luxi Xiang (Wēnzhōu Shì)</v>
      </c>
    </row>
    <row r="717" spans="1:16" hidden="1" x14ac:dyDescent="0.25">
      <c r="A717" t="s">
        <v>219</v>
      </c>
      <c r="B717" t="str">
        <f>IF(COUNTIF(A:A,A717)&gt;1,_xlfn.CONCAT(A717," (",N717,")"),A717)</f>
        <v>Lùzhŭ Zhèn</v>
      </c>
      <c r="C717" t="str">
        <f>IF(COUNTIF(B:B,B717)&gt;1,_xlfn.CONCAT(A717," (",M717,")"),B717)</f>
        <v>Lùzhŭ Zhèn</v>
      </c>
      <c r="D717" t="s">
        <v>220</v>
      </c>
      <c r="E717" t="s">
        <v>11</v>
      </c>
      <c r="F717" t="str">
        <f>_xlfn.CONCAT(D717,", ",H717,", ",I717,", ","浙江省")</f>
        <v>渌渚镇, 富阳区, 杭州市, 浙江省</v>
      </c>
      <c r="G717">
        <v>12453</v>
      </c>
      <c r="H717" t="s">
        <v>2908</v>
      </c>
      <c r="I717" t="s">
        <v>2903</v>
      </c>
      <c r="J717">
        <f>VLOOKUP(F717,[1]!china_towns_second__2[[Column1]:[Y]],3,FALSE)</f>
        <v>29.909129737026198</v>
      </c>
      <c r="K717">
        <f>VLOOKUP(F717,[1]!china_towns_second__2[[Column1]:[Y]],2,FALSE)</f>
        <v>119.7389816</v>
      </c>
      <c r="L717" t="s">
        <v>4351</v>
      </c>
      <c r="M717" t="str">
        <f>VLOOKUP(H717,CHOOSE({1,2},Table12[Native],Table12[Name]),2,0)</f>
        <v>Fùyáng Qū</v>
      </c>
      <c r="N717" s="15" t="str">
        <f>VLOOKUP(I717,CHOOSE({1,2},Table12[Native],Table12[Name]),2,0)</f>
        <v>Hángzhōu Shì</v>
      </c>
      <c r="O717" s="15" t="str">
        <f t="shared" si="22"/>
        <v>Luzhu Zhen (Hángzhōu Shì)</v>
      </c>
      <c r="P717" s="15" t="str">
        <f t="shared" si="23"/>
        <v>Luzhu Zhen (Hángzhōu Shì)</v>
      </c>
    </row>
    <row r="718" spans="1:16" hidden="1" x14ac:dyDescent="0.25">
      <c r="A718" t="s">
        <v>1949</v>
      </c>
      <c r="B718" t="str">
        <f>IF(COUNTIF(A:A,A718)&gt;1,_xlfn.CONCAT(A718," (",N718,")"),A718)</f>
        <v>Mă'ān Jiēdào</v>
      </c>
      <c r="C718" t="str">
        <f>IF(COUNTIF(B:B,B718)&gt;1,_xlfn.CONCAT(A718," (",M718,")"),B718)</f>
        <v>Mă'ān Jiēdào</v>
      </c>
      <c r="D718" t="s">
        <v>1950</v>
      </c>
      <c r="E718" t="s">
        <v>15</v>
      </c>
      <c r="F718" t="str">
        <f>_xlfn.CONCAT(D718,", ",H718,", ",I718,", ","浙江省")</f>
        <v>马鞍街道, 柯桥区, 绍兴市, 浙江省</v>
      </c>
      <c r="G718">
        <v>72043</v>
      </c>
      <c r="H718" t="s">
        <v>2982</v>
      </c>
      <c r="I718" t="s">
        <v>2981</v>
      </c>
      <c r="J718" t="e">
        <f>VLOOKUP(F718,[1]!china_towns_second__2[[Column1]:[Y]],3,FALSE)</f>
        <v>#N/A</v>
      </c>
      <c r="K718" t="e">
        <f>VLOOKUP(F718,[1]!china_towns_second__2[[Column1]:[Y]],2,FALSE)</f>
        <v>#N/A</v>
      </c>
      <c r="L718" t="s">
        <v>4352</v>
      </c>
      <c r="M718" t="str">
        <f>VLOOKUP(H718,CHOOSE({1,2},Table12[Native],Table12[Name]),2,0)</f>
        <v>Kēqiáo Qū</v>
      </c>
      <c r="N718" s="15" t="str">
        <f>VLOOKUP(I718,CHOOSE({1,2},Table12[Native],Table12[Name]),2,0)</f>
        <v>Shàoxīng Shì</v>
      </c>
      <c r="O718" s="15" t="str">
        <f t="shared" si="22"/>
        <v>Ma'an Jiedao (Shàoxīng Shì)</v>
      </c>
      <c r="P718" s="15" t="str">
        <f t="shared" si="23"/>
        <v>Ma'an Jiedao (Shàoxīng Shì)</v>
      </c>
    </row>
    <row r="719" spans="1:16" hidden="1" x14ac:dyDescent="0.25">
      <c r="A719" t="s">
        <v>2872</v>
      </c>
      <c r="B719" t="str">
        <f>IF(COUNTIF(A:A,A719)&gt;1,_xlfn.CONCAT(A719," (",N719,")"),A719)</f>
        <v>Mă'ào Jiēdào</v>
      </c>
      <c r="C719" t="str">
        <f>IF(COUNTIF(B:B,B719)&gt;1,_xlfn.CONCAT(A719," (",M719,")"),B719)</f>
        <v>Mă'ào Jiēdào</v>
      </c>
      <c r="D719" t="s">
        <v>2873</v>
      </c>
      <c r="E719" t="s">
        <v>15</v>
      </c>
      <c r="F719" t="str">
        <f>_xlfn.CONCAT(D719,", ",H719,", ",I719,", ","浙江省")</f>
        <v>马岙街道, 定海区, 舟山市, 浙江省</v>
      </c>
      <c r="G719">
        <v>10929</v>
      </c>
      <c r="H719" t="s">
        <v>3015</v>
      </c>
      <c r="I719" t="s">
        <v>3013</v>
      </c>
      <c r="J719">
        <f>VLOOKUP(F719,[1]!china_towns_second__2[[Column1]:[Y]],3,FALSE)</f>
        <v>30.1261508476194</v>
      </c>
      <c r="K719">
        <f>VLOOKUP(F719,[1]!china_towns_second__2[[Column1]:[Y]],2,FALSE)</f>
        <v>122.0939814</v>
      </c>
      <c r="L719" t="s">
        <v>4353</v>
      </c>
      <c r="M719" t="str">
        <f>VLOOKUP(H719,CHOOSE({1,2},Table12[Native],Table12[Name]),2,0)</f>
        <v>Dìnghăi Qū</v>
      </c>
      <c r="N719" s="15" t="str">
        <f>VLOOKUP(I719,CHOOSE({1,2},Table12[Native],Table12[Name]),2,0)</f>
        <v>Zhōushān Shì</v>
      </c>
      <c r="O719" s="15" t="str">
        <f t="shared" si="22"/>
        <v>Ma'ao Jiedao (Zhōushān Shì)</v>
      </c>
      <c r="P719" s="15" t="str">
        <f t="shared" si="23"/>
        <v>Ma'ao Jiedao (Zhōushān Shì)</v>
      </c>
    </row>
    <row r="720" spans="1:16" hidden="1" x14ac:dyDescent="0.25">
      <c r="A720" t="s">
        <v>2515</v>
      </c>
      <c r="B720" t="str">
        <f>IF(COUNTIF(A:A,A720)&gt;1,_xlfn.CONCAT(A720," (",N720,")"),A720)</f>
        <v>Mábù Zhèn [→ Xiāojiāng Zhèn]</v>
      </c>
      <c r="C720" t="str">
        <f>IF(COUNTIF(B:B,B720)&gt;1,_xlfn.CONCAT(A720," (",M720,")"),B720)</f>
        <v>Mábù Zhèn [→ Xiāojiāng Zhèn]</v>
      </c>
      <c r="D720" t="s">
        <v>2516</v>
      </c>
      <c r="E720" t="s">
        <v>11</v>
      </c>
      <c r="F720" t="str">
        <f>_xlfn.CONCAT(D720,", ",H720,", ",I720,", ","浙江省")</f>
        <v>麻步镇, 平阳县, 温州市, 浙江省</v>
      </c>
      <c r="G720">
        <v>33396</v>
      </c>
      <c r="H720" t="s">
        <v>3006</v>
      </c>
      <c r="I720" t="s">
        <v>3000</v>
      </c>
      <c r="J720">
        <f>VLOOKUP(F720,[1]!china_towns_second__2[[Column1]:[Y]],3,FALSE)</f>
        <v>27.589300000000001</v>
      </c>
      <c r="K720">
        <f>VLOOKUP(F720,[1]!china_towns_second__2[[Column1]:[Y]],2,FALSE)</f>
        <v>120.4109</v>
      </c>
      <c r="L720" t="s">
        <v>4354</v>
      </c>
      <c r="M720" t="str">
        <f>VLOOKUP(H720,CHOOSE({1,2},Table12[Native],Table12[Name]),2,0)</f>
        <v>Píngyáng Xiàn</v>
      </c>
      <c r="N720" s="15" t="str">
        <f>VLOOKUP(I720,CHOOSE({1,2},Table12[Native],Table12[Name]),2,0)</f>
        <v>Wēnzhōu Shì</v>
      </c>
      <c r="O720" s="15" t="str">
        <f t="shared" si="22"/>
        <v>Mabu Zhen [→ Xiaojiang Zhen] (Wēnzhōu Shì)</v>
      </c>
      <c r="P720" s="15" t="str">
        <f t="shared" si="23"/>
        <v>Mabu Zhen [→ Xiaojiang Zhen] (Wēnzhōu Shì)</v>
      </c>
    </row>
    <row r="721" spans="1:16" hidden="1" x14ac:dyDescent="0.25">
      <c r="A721" t="s">
        <v>845</v>
      </c>
      <c r="B721" t="str">
        <f>IF(COUNTIF(A:A,A721)&gt;1,_xlfn.CONCAT(A721," (",N721,")"),A721)</f>
        <v>Măjiàn Zhèn (Jīnhuá Shì)</v>
      </c>
      <c r="C721" t="str">
        <f>IF(COUNTIF(B:B,B721)&gt;1,_xlfn.CONCAT(A721," (",M721,")"),B721)</f>
        <v>Măjiàn Zhèn (Jīnhuá Shì)</v>
      </c>
      <c r="D721" t="s">
        <v>846</v>
      </c>
      <c r="E721" t="s">
        <v>11</v>
      </c>
      <c r="F721" t="str">
        <f>_xlfn.CONCAT(D721,", ",H721,", ",I721,", ","浙江省")</f>
        <v>马涧镇, 兰溪市, 金华市, 浙江省</v>
      </c>
      <c r="G721">
        <v>38159</v>
      </c>
      <c r="H721" t="s">
        <v>2941</v>
      </c>
      <c r="I721" t="s">
        <v>2938</v>
      </c>
      <c r="J721">
        <f>VLOOKUP(F721,[1]!china_towns_second__2[[Column1]:[Y]],3,FALSE)</f>
        <v>29.295274422604699</v>
      </c>
      <c r="K721">
        <f>VLOOKUP(F721,[1]!china_towns_second__2[[Column1]:[Y]],2,FALSE)</f>
        <v>119.62458479999999</v>
      </c>
      <c r="L721" t="s">
        <v>4355</v>
      </c>
      <c r="M721" t="str">
        <f>VLOOKUP(H721,CHOOSE({1,2},Table12[Native],Table12[Name]),2,0)</f>
        <v>Lánxī Shì</v>
      </c>
      <c r="N721" s="15" t="str">
        <f>VLOOKUP(I721,CHOOSE({1,2},Table12[Native],Table12[Name]),2,0)</f>
        <v>Jīnhuá Shì</v>
      </c>
      <c r="O721" s="15" t="str">
        <f t="shared" si="22"/>
        <v>Majian Zhen (Jinhua Shi) (Jīnhuá Shì)</v>
      </c>
      <c r="P721" s="15" t="str">
        <f t="shared" si="23"/>
        <v>Majian Zhen (Jinhua Shi) (Jīnhuá Shì)</v>
      </c>
    </row>
    <row r="722" spans="1:16" hidden="1" x14ac:dyDescent="0.25">
      <c r="A722" t="s">
        <v>845</v>
      </c>
      <c r="B722" t="str">
        <f>IF(COUNTIF(A:A,A722)&gt;1,_xlfn.CONCAT(A722," (",N722,")"),A722)</f>
        <v>Măjiàn Zhèn (Shàoxīng Shì)</v>
      </c>
      <c r="C722" t="str">
        <f>IF(COUNTIF(B:B,B722)&gt;1,_xlfn.CONCAT(A722," (",M722,")"),B722)</f>
        <v>Măjiàn Zhèn (Shàoxīng Shì)</v>
      </c>
      <c r="D722" t="s">
        <v>1951</v>
      </c>
      <c r="E722" t="s">
        <v>11</v>
      </c>
      <c r="F722" t="str">
        <f>_xlfn.CONCAT(D722,", ",H722,", ",I722,", ","浙江省")</f>
        <v>马剑镇, 诸暨市, 绍兴市, 浙江省</v>
      </c>
      <c r="G722">
        <v>12372</v>
      </c>
      <c r="H722" t="s">
        <v>2987</v>
      </c>
      <c r="I722" t="s">
        <v>2981</v>
      </c>
      <c r="J722">
        <f>VLOOKUP(F722,[1]!china_towns_second__2[[Column1]:[Y]],3,FALSE)</f>
        <v>29.7217689611774</v>
      </c>
      <c r="K722">
        <f>VLOOKUP(F722,[1]!china_towns_second__2[[Column1]:[Y]],2,FALSE)</f>
        <v>119.9820086</v>
      </c>
      <c r="L722" t="s">
        <v>4356</v>
      </c>
      <c r="M722" t="str">
        <f>VLOOKUP(H722,CHOOSE({1,2},Table12[Native],Table12[Name]),2,0)</f>
        <v>Zhūjì Shì</v>
      </c>
      <c r="N722" s="15" t="str">
        <f>VLOOKUP(I722,CHOOSE({1,2},Table12[Native],Table12[Name]),2,0)</f>
        <v>Shàoxīng Shì</v>
      </c>
      <c r="O722" s="15" t="str">
        <f t="shared" si="22"/>
        <v>Majian Zhen (Shaoxing Shi) (Shàoxīng Shì)</v>
      </c>
      <c r="P722" s="15" t="str">
        <f t="shared" si="23"/>
        <v>Majian Zhen (Shaoxing Shi) (Shàoxīng Shì)</v>
      </c>
    </row>
    <row r="723" spans="1:16" hidden="1" x14ac:dyDescent="0.25">
      <c r="A723" t="s">
        <v>1736</v>
      </c>
      <c r="B723" t="str">
        <f>IF(COUNTIF(A:A,A723)&gt;1,_xlfn.CONCAT(A723," (",N723,")"),A723)</f>
        <v>Măjīn Zhèn [incl. Tángwù Xiāng]</v>
      </c>
      <c r="C723" t="str">
        <f>IF(COUNTIF(B:B,B723)&gt;1,_xlfn.CONCAT(A723," (",M723,")"),B723)</f>
        <v>Măjīn Zhèn [incl. Tángwù Xiāng]</v>
      </c>
      <c r="D723" t="s">
        <v>1737</v>
      </c>
      <c r="E723" t="s">
        <v>11</v>
      </c>
      <c r="F723" t="str">
        <f>_xlfn.CONCAT(D723,", ",H723,", ",I723,", ","浙江省")</f>
        <v>马金镇, 开化县, 衢州市, 浙江省</v>
      </c>
      <c r="G723">
        <v>26333</v>
      </c>
      <c r="H723" t="s">
        <v>2976</v>
      </c>
      <c r="I723" t="s">
        <v>2973</v>
      </c>
      <c r="J723">
        <f>VLOOKUP(F723,[1]!china_towns_second__2[[Column1]:[Y]],3,FALSE)</f>
        <v>29.323191856690801</v>
      </c>
      <c r="K723">
        <f>VLOOKUP(F723,[1]!china_towns_second__2[[Column1]:[Y]],2,FALSE)</f>
        <v>118.3898827</v>
      </c>
      <c r="L723" t="s">
        <v>4357</v>
      </c>
      <c r="M723" t="str">
        <f>VLOOKUP(H723,CHOOSE({1,2},Table12[Native],Table12[Name]),2,0)</f>
        <v>Kāihuà Xiàn</v>
      </c>
      <c r="N723" s="15" t="str">
        <f>VLOOKUP(I723,CHOOSE({1,2},Table12[Native],Table12[Name]),2,0)</f>
        <v>Qúzhōu Shì</v>
      </c>
      <c r="O723" s="15" t="str">
        <f t="shared" si="22"/>
        <v>Majin Zhen [incl. Tangwu Xiang] (Qúzhōu Shì)</v>
      </c>
      <c r="P723" s="15" t="str">
        <f t="shared" si="23"/>
        <v>Majin Zhen [incl. Tangwu Xiang] (Qúzhōu Shì)</v>
      </c>
    </row>
    <row r="724" spans="1:16" hidden="1" x14ac:dyDescent="0.25">
      <c r="A724" t="s">
        <v>2155</v>
      </c>
      <c r="B724" t="str">
        <f>IF(COUNTIF(A:A,A724)&gt;1,_xlfn.CONCAT(A724," (",N724,")"),A724)</f>
        <v>Máoshē Xiāng</v>
      </c>
      <c r="C724" t="str">
        <f>IF(COUNTIF(B:B,B724)&gt;1,_xlfn.CONCAT(A724," (",M724,")"),B724)</f>
        <v>Máoshē Xiāng</v>
      </c>
      <c r="D724" t="s">
        <v>2156</v>
      </c>
      <c r="E724" t="s">
        <v>7</v>
      </c>
      <c r="F724" t="str">
        <f>_xlfn.CONCAT(D724,", ",H724,", ",I724,", ","浙江省")</f>
        <v>茅畲乡, 黄岩区, 台州市, 浙江省</v>
      </c>
      <c r="G724">
        <v>5745</v>
      </c>
      <c r="H724" t="s">
        <v>2990</v>
      </c>
      <c r="I724" t="s">
        <v>2989</v>
      </c>
      <c r="J724" t="e">
        <f>VLOOKUP(F724,[1]!china_towns_second__2[[Column1]:[Y]],3,FALSE)</f>
        <v>#N/A</v>
      </c>
      <c r="K724" t="e">
        <f>VLOOKUP(F724,[1]!china_towns_second__2[[Column1]:[Y]],2,FALSE)</f>
        <v>#N/A</v>
      </c>
      <c r="L724" t="s">
        <v>4358</v>
      </c>
      <c r="M724" t="str">
        <f>VLOOKUP(H724,CHOOSE({1,2},Table12[Native],Table12[Name]),2,0)</f>
        <v>Huángyán Qū</v>
      </c>
      <c r="N724" s="15" t="str">
        <f>VLOOKUP(I724,CHOOSE({1,2},Table12[Native],Table12[Name]),2,0)</f>
        <v>Táizhōu Shì</v>
      </c>
      <c r="O724" s="15" t="str">
        <f t="shared" si="22"/>
        <v>Maoshe Xiang (Táizhōu Shì)</v>
      </c>
      <c r="P724" s="15" t="str">
        <f t="shared" si="23"/>
        <v>Maoshe Xiang (Táizhōu Shì)</v>
      </c>
    </row>
    <row r="725" spans="1:16" hidden="1" x14ac:dyDescent="0.25">
      <c r="A725" t="s">
        <v>1171</v>
      </c>
      <c r="B725" t="str">
        <f>IF(COUNTIF(A:A,A725)&gt;1,_xlfn.CONCAT(A725," (",N725,")"),A725)</f>
        <v>Máoyáng Xiāng (Lìshuĭ Shì)</v>
      </c>
      <c r="C725" t="str">
        <f>IF(COUNTIF(B:B,B725)&gt;1,_xlfn.CONCAT(A725," (",M725,")"),B725)</f>
        <v>Máoyáng Xiāng (Lìshuĭ Shì)</v>
      </c>
      <c r="D725" t="s">
        <v>1172</v>
      </c>
      <c r="E725" t="s">
        <v>7</v>
      </c>
      <c r="F725" t="str">
        <f>_xlfn.CONCAT(D725,", ",H725,", ",I725,", ","浙江省")</f>
        <v>毛垟乡, 景宁畲族自治县, 丽水市, 浙江省</v>
      </c>
      <c r="G725">
        <v>1552</v>
      </c>
      <c r="H725" t="s">
        <v>2951</v>
      </c>
      <c r="I725" t="s">
        <v>2949</v>
      </c>
      <c r="J725" t="e">
        <f>VLOOKUP(F725,[1]!china_towns_second__2[[Column1]:[Y]],3,FALSE)</f>
        <v>#N/A</v>
      </c>
      <c r="K725" t="e">
        <f>VLOOKUP(F725,[1]!china_towns_second__2[[Column1]:[Y]],2,FALSE)</f>
        <v>#N/A</v>
      </c>
      <c r="L725" t="s">
        <v>4359</v>
      </c>
      <c r="M725" t="str">
        <f>VLOOKUP(H725,CHOOSE({1,2},Table12[Native],Table12[Name]),2,0)</f>
        <v>Jĭngníng Shēzú Zìzhìxiàn</v>
      </c>
      <c r="N725" s="15" t="str">
        <f>VLOOKUP(I725,CHOOSE({1,2},Table12[Native],Table12[Name]),2,0)</f>
        <v>Lìshuĭ Shì</v>
      </c>
      <c r="O725" s="15" t="str">
        <f t="shared" si="22"/>
        <v>Maoyang Xiang (Lishui Shi) (Lìshuĭ Shì)</v>
      </c>
      <c r="P725" s="15" t="str">
        <f t="shared" si="23"/>
        <v>Maoyang Xiang (Lishui Shi) (Lìshuĭ Shì)</v>
      </c>
    </row>
    <row r="726" spans="1:16" hidden="1" x14ac:dyDescent="0.25">
      <c r="A726" t="s">
        <v>1171</v>
      </c>
      <c r="B726" t="str">
        <f>IF(COUNTIF(A:A,A726)&gt;1,_xlfn.CONCAT(A726," (",N726,")"),A726)</f>
        <v>Máoyáng Xiāng (Níngbō Shì)</v>
      </c>
      <c r="C726" t="str">
        <f>IF(COUNTIF(B:B,B726)&gt;1,_xlfn.CONCAT(A726," (",M726,")"),B726)</f>
        <v>Máoyáng Xiāng (Níngbō Shì)</v>
      </c>
      <c r="D726" t="s">
        <v>1496</v>
      </c>
      <c r="E726" t="s">
        <v>7</v>
      </c>
      <c r="F726" t="str">
        <f>_xlfn.CONCAT(D726,", ",H726,", ",I726,", ","浙江省")</f>
        <v>茅洋乡, 象山县, 宁波市, 浙江省</v>
      </c>
      <c r="G726">
        <v>7638</v>
      </c>
      <c r="H726" t="s">
        <v>2968</v>
      </c>
      <c r="I726" t="s">
        <v>2961</v>
      </c>
      <c r="J726" t="e">
        <f>VLOOKUP(F726,[1]!china_towns_second__2[[Column1]:[Y]],3,FALSE)</f>
        <v>#N/A</v>
      </c>
      <c r="K726" t="e">
        <f>VLOOKUP(F726,[1]!china_towns_second__2[[Column1]:[Y]],2,FALSE)</f>
        <v>#N/A</v>
      </c>
      <c r="L726" t="s">
        <v>4360</v>
      </c>
      <c r="M726" t="str">
        <f>VLOOKUP(H726,CHOOSE({1,2},Table12[Native],Table12[Name]),2,0)</f>
        <v>Xiàngshān Xiàn</v>
      </c>
      <c r="N726" s="15" t="str">
        <f>VLOOKUP(I726,CHOOSE({1,2},Table12[Native],Table12[Name]),2,0)</f>
        <v>Níngbō Shì</v>
      </c>
      <c r="O726" s="15" t="str">
        <f t="shared" si="22"/>
        <v>Maoyang Xiang (Ningbo Shi) (Níngbō Shì)</v>
      </c>
      <c r="P726" s="15" t="str">
        <f t="shared" si="23"/>
        <v>Maoyang Xiang (Ningbo Shi) (Níngbō Shì)</v>
      </c>
    </row>
    <row r="727" spans="1:16" hidden="1" x14ac:dyDescent="0.25">
      <c r="A727" t="s">
        <v>621</v>
      </c>
      <c r="B727" t="str">
        <f>IF(COUNTIF(A:A,A727)&gt;1,_xlfn.CONCAT(A727," (",N727,")"),A727)</f>
        <v>Măqiáo Jiēdào</v>
      </c>
      <c r="C727" t="str">
        <f>IF(COUNTIF(B:B,B727)&gt;1,_xlfn.CONCAT(A727," (",M727,")"),B727)</f>
        <v>Măqiáo Jiēdào</v>
      </c>
      <c r="D727" t="s">
        <v>622</v>
      </c>
      <c r="E727" t="s">
        <v>15</v>
      </c>
      <c r="F727" t="str">
        <f>_xlfn.CONCAT(D727,", ",H727,", ",I727,", ","浙江省")</f>
        <v>马桥街道, 海宁市, 嘉兴市, 浙江省</v>
      </c>
      <c r="G727">
        <v>37189</v>
      </c>
      <c r="H727" t="s">
        <v>2930</v>
      </c>
      <c r="I727" t="s">
        <v>2929</v>
      </c>
      <c r="J727">
        <f>VLOOKUP(F727,[1]!china_towns_second__2[[Column1]:[Y]],3,FALSE)</f>
        <v>30.462867876583999</v>
      </c>
      <c r="K727">
        <f>VLOOKUP(F727,[1]!china_towns_second__2[[Column1]:[Y]],2,FALSE)</f>
        <v>120.7016893</v>
      </c>
      <c r="L727" t="s">
        <v>4361</v>
      </c>
      <c r="M727" t="str">
        <f>VLOOKUP(H727,CHOOSE({1,2},Table12[Native],Table12[Name]),2,0)</f>
        <v>Hăiníng Shì</v>
      </c>
      <c r="N727" s="15" t="str">
        <f>VLOOKUP(I727,CHOOSE({1,2},Table12[Native],Table12[Name]),2,0)</f>
        <v>Jiāxīng Shì</v>
      </c>
      <c r="O727" s="15" t="str">
        <f t="shared" si="22"/>
        <v>Maqiao Jiedao (Jiāxīng Shì)</v>
      </c>
      <c r="P727" s="15" t="str">
        <f t="shared" si="23"/>
        <v>Maqiao Jiedao (Jiāxīng Shì)</v>
      </c>
    </row>
    <row r="728" spans="1:16" hidden="1" x14ac:dyDescent="0.25">
      <c r="A728" t="s">
        <v>1952</v>
      </c>
      <c r="B728" t="str">
        <f>IF(COUNTIF(A:A,A728)&gt;1,_xlfn.CONCAT(A728," (",N728,")"),A728)</f>
        <v>Măshān Jiēdào</v>
      </c>
      <c r="C728" t="str">
        <f>IF(COUNTIF(B:B,B728)&gt;1,_xlfn.CONCAT(A728," (",M728,")"),B728)</f>
        <v>Măshān Jiēdào</v>
      </c>
      <c r="D728" t="s">
        <v>1953</v>
      </c>
      <c r="E728" t="s">
        <v>15</v>
      </c>
      <c r="F728" t="str">
        <f>_xlfn.CONCAT(D728,", ",H728,", ",I728,", ","浙江省")</f>
        <v>马山街道, 越城区, 绍兴市, 浙江省</v>
      </c>
      <c r="G728">
        <v>72317</v>
      </c>
      <c r="H728" t="s">
        <v>2986</v>
      </c>
      <c r="I728" t="s">
        <v>2981</v>
      </c>
      <c r="J728" t="e">
        <f>VLOOKUP(F728,[1]!china_towns_second__2[[Column1]:[Y]],3,FALSE)</f>
        <v>#N/A</v>
      </c>
      <c r="K728" t="e">
        <f>VLOOKUP(F728,[1]!china_towns_second__2[[Column1]:[Y]],2,FALSE)</f>
        <v>#N/A</v>
      </c>
      <c r="L728" t="s">
        <v>4362</v>
      </c>
      <c r="M728" t="str">
        <f>VLOOKUP(H728,CHOOSE({1,2},Table12[Native],Table12[Name]),2,0)</f>
        <v>Yuèchéng Qū</v>
      </c>
      <c r="N728" s="15" t="str">
        <f>VLOOKUP(I728,CHOOSE({1,2},Table12[Native],Table12[Name]),2,0)</f>
        <v>Shàoxīng Shì</v>
      </c>
      <c r="O728" s="15" t="str">
        <f t="shared" si="22"/>
        <v>Mashan Jiedao (Shàoxīng Shì)</v>
      </c>
      <c r="P728" s="15" t="str">
        <f t="shared" si="23"/>
        <v>Mashan Jiedao (Shàoxīng Shì)</v>
      </c>
    </row>
    <row r="729" spans="1:16" hidden="1" x14ac:dyDescent="0.25">
      <c r="A729" t="s">
        <v>221</v>
      </c>
      <c r="B729" t="str">
        <f>IF(COUNTIF(A:A,A729)&gt;1,_xlfn.CONCAT(A729," (",N729,")"),A729)</f>
        <v>Măxiào Xiāng</v>
      </c>
      <c r="C729" t="str">
        <f>IF(COUNTIF(B:B,B729)&gt;1,_xlfn.CONCAT(A729," (",M729,")"),B729)</f>
        <v>Măxiào Xiāng</v>
      </c>
      <c r="D729" t="s">
        <v>222</v>
      </c>
      <c r="E729" t="s">
        <v>7</v>
      </c>
      <c r="F729" t="str">
        <f>_xlfn.CONCAT(D729,", ",H729,", ",I729,", ","浙江省")</f>
        <v>马啸乡, 临安区, 杭州市, 浙江省</v>
      </c>
      <c r="G729">
        <v>7909</v>
      </c>
      <c r="H729" t="s">
        <v>2911</v>
      </c>
      <c r="I729" t="s">
        <v>2903</v>
      </c>
      <c r="J729" t="e">
        <f>VLOOKUP(F729,[1]!china_towns_second__2[[Column1]:[Y]],3,FALSE)</f>
        <v>#N/A</v>
      </c>
      <c r="K729" t="e">
        <f>VLOOKUP(F729,[1]!china_towns_second__2[[Column1]:[Y]],2,FALSE)</f>
        <v>#N/A</v>
      </c>
      <c r="L729" t="s">
        <v>4363</v>
      </c>
      <c r="M729" t="str">
        <f>VLOOKUP(H729,CHOOSE({1,2},Table12[Native],Table12[Name]),2,0)</f>
        <v>Lín'ān Qū</v>
      </c>
      <c r="N729" s="15" t="str">
        <f>VLOOKUP(I729,CHOOSE({1,2},Table12[Native],Table12[Name]),2,0)</f>
        <v>Hángzhōu Shì</v>
      </c>
      <c r="O729" s="15" t="str">
        <f t="shared" si="22"/>
        <v>Maxiao Xiang (Hángzhōu Shì)</v>
      </c>
      <c r="P729" s="15" t="str">
        <f t="shared" si="23"/>
        <v>Maxiao Xiang (Hángzhōu Shì)</v>
      </c>
    </row>
    <row r="730" spans="1:16" hidden="1" x14ac:dyDescent="0.25">
      <c r="A730" t="s">
        <v>2517</v>
      </c>
      <c r="B730" t="str">
        <f>IF(COUNTIF(A:A,A730)&gt;1,_xlfn.CONCAT(A730," (",N730,")"),A730)</f>
        <v>Măyŭ Zhèn</v>
      </c>
      <c r="C730" t="str">
        <f>IF(COUNTIF(B:B,B730)&gt;1,_xlfn.CONCAT(A730," (",M730,")"),B730)</f>
        <v>Măyŭ Zhèn</v>
      </c>
      <c r="D730" t="s">
        <v>2518</v>
      </c>
      <c r="E730" t="s">
        <v>11</v>
      </c>
      <c r="F730" t="str">
        <f>_xlfn.CONCAT(D730,", ",H730,", ",I730,", ","浙江省")</f>
        <v>马屿镇, 瑞安市, 温州市, 浙江省</v>
      </c>
      <c r="G730">
        <v>54977</v>
      </c>
      <c r="H730" t="s">
        <v>3007</v>
      </c>
      <c r="I730" t="s">
        <v>3000</v>
      </c>
      <c r="J730">
        <f>VLOOKUP(F730,[1]!china_towns_second__2[[Column1]:[Y]],3,FALSE)</f>
        <v>27.764072336134198</v>
      </c>
      <c r="K730">
        <f>VLOOKUP(F730,[1]!china_towns_second__2[[Column1]:[Y]],2,FALSE)</f>
        <v>120.4273171</v>
      </c>
      <c r="L730" t="s">
        <v>4364</v>
      </c>
      <c r="M730" t="str">
        <f>VLOOKUP(H730,CHOOSE({1,2},Table12[Native],Table12[Name]),2,0)</f>
        <v>Ruì'ān Shì</v>
      </c>
      <c r="N730" s="15" t="str">
        <f>VLOOKUP(I730,CHOOSE({1,2},Table12[Native],Table12[Name]),2,0)</f>
        <v>Wēnzhōu Shì</v>
      </c>
      <c r="O730" s="15" t="str">
        <f t="shared" si="22"/>
        <v>Mayu Zhen (Wēnzhōu Shì)</v>
      </c>
      <c r="P730" s="15" t="str">
        <f t="shared" si="23"/>
        <v>Mayu Zhen (Wēnzhōu Shì)</v>
      </c>
    </row>
    <row r="731" spans="1:16" hidden="1" x14ac:dyDescent="0.25">
      <c r="A731" t="s">
        <v>847</v>
      </c>
      <c r="B731" t="str">
        <f>IF(COUNTIF(A:A,A731)&gt;1,_xlfn.CONCAT(A731," (",N731,")"),A731)</f>
        <v>Măzhái Zhèn</v>
      </c>
      <c r="C731" t="str">
        <f>IF(COUNTIF(B:B,B731)&gt;1,_xlfn.CONCAT(A731," (",M731,")"),B731)</f>
        <v>Măzhái Zhèn</v>
      </c>
      <c r="D731" t="s">
        <v>848</v>
      </c>
      <c r="E731" t="s">
        <v>11</v>
      </c>
      <c r="F731" t="str">
        <f>_xlfn.CONCAT(D731,", ",H731,", ",I731,", ","浙江省")</f>
        <v>马宅镇, 东阳市, 金华市, 浙江省</v>
      </c>
      <c r="G731">
        <v>16702</v>
      </c>
      <c r="H731" t="s">
        <v>2939</v>
      </c>
      <c r="I731" t="s">
        <v>2938</v>
      </c>
      <c r="J731">
        <f>VLOOKUP(F731,[1]!china_towns_second__2[[Column1]:[Y]],3,FALSE)</f>
        <v>29.106444275522499</v>
      </c>
      <c r="K731">
        <f>VLOOKUP(F731,[1]!china_towns_second__2[[Column1]:[Y]],2,FALSE)</f>
        <v>120.40217149999999</v>
      </c>
      <c r="L731" t="s">
        <v>4365</v>
      </c>
      <c r="M731" t="str">
        <f>VLOOKUP(H731,CHOOSE({1,2},Table12[Native],Table12[Name]),2,0)</f>
        <v>Dōngyáng Shì</v>
      </c>
      <c r="N731" s="15" t="str">
        <f>VLOOKUP(I731,CHOOSE({1,2},Table12[Native],Table12[Name]),2,0)</f>
        <v>Jīnhuá Shì</v>
      </c>
      <c r="O731" s="15" t="str">
        <f t="shared" si="22"/>
        <v>Mazhai Zhen (Jīnhuá Shì)</v>
      </c>
      <c r="P731" s="15" t="str">
        <f t="shared" si="23"/>
        <v>Mazhai Zhen (Jīnhuá Shì)</v>
      </c>
    </row>
    <row r="732" spans="1:16" hidden="1" x14ac:dyDescent="0.25">
      <c r="A732" t="s">
        <v>2519</v>
      </c>
      <c r="B732" t="str">
        <f>IF(COUNTIF(A:A,A732)&gt;1,_xlfn.CONCAT(A732," (",N732,")"),A732)</f>
        <v>Măzhàn Zhèn</v>
      </c>
      <c r="C732" t="str">
        <f>IF(COUNTIF(B:B,B732)&gt;1,_xlfn.CONCAT(A732," (",M732,")"),B732)</f>
        <v>Măzhàn Zhèn</v>
      </c>
      <c r="D732" t="s">
        <v>2520</v>
      </c>
      <c r="E732" t="s">
        <v>11</v>
      </c>
      <c r="F732" t="str">
        <f>_xlfn.CONCAT(D732,", ",H732,", ",I732,", ","浙江省")</f>
        <v>马站镇, 苍南县, 温州市, 浙江省</v>
      </c>
      <c r="G732">
        <v>21982</v>
      </c>
      <c r="H732" t="s">
        <v>3001</v>
      </c>
      <c r="I732" t="s">
        <v>3000</v>
      </c>
      <c r="J732">
        <f>VLOOKUP(F732,[1]!china_towns_second__2[[Column1]:[Y]],3,FALSE)</f>
        <v>27.2227580279142</v>
      </c>
      <c r="K732">
        <f>VLOOKUP(F732,[1]!china_towns_second__2[[Column1]:[Y]],2,FALSE)</f>
        <v>120.48657919999999</v>
      </c>
      <c r="L732" t="s">
        <v>4366</v>
      </c>
      <c r="M732" t="str">
        <f>VLOOKUP(H732,CHOOSE({1,2},Table12[Native],Table12[Name]),2,0)</f>
        <v>Cāngnán Xiàn</v>
      </c>
      <c r="N732" s="15" t="str">
        <f>VLOOKUP(I732,CHOOSE({1,2},Table12[Native],Table12[Name]),2,0)</f>
        <v>Wēnzhōu Shì</v>
      </c>
      <c r="O732" s="15" t="str">
        <f t="shared" si="22"/>
        <v>Mazhan Zhen (Wēnzhōu Shì)</v>
      </c>
      <c r="P732" s="15" t="str">
        <f t="shared" si="23"/>
        <v>Mazhan Zhen (Wēnzhōu Shì)</v>
      </c>
    </row>
    <row r="733" spans="1:16" hidden="1" x14ac:dyDescent="0.25">
      <c r="A733" t="s">
        <v>1497</v>
      </c>
      <c r="B733" t="str">
        <f>IF(COUNTIF(A:A,A733)&gt;1,_xlfn.CONCAT(A733," (",N733,")"),A733)</f>
        <v>Măzhŭ Zhèn</v>
      </c>
      <c r="C733" t="str">
        <f>IF(COUNTIF(B:B,B733)&gt;1,_xlfn.CONCAT(A733," (",M733,")"),B733)</f>
        <v>Măzhŭ Zhèn</v>
      </c>
      <c r="D733" t="s">
        <v>1498</v>
      </c>
      <c r="E733" t="s">
        <v>11</v>
      </c>
      <c r="F733" t="str">
        <f>_xlfn.CONCAT(D733,", ",H733,", ",I733,", ","浙江省")</f>
        <v>马渚镇, 余姚市, 宁波市, 浙江省</v>
      </c>
      <c r="G733">
        <v>56345</v>
      </c>
      <c r="H733" t="s">
        <v>2970</v>
      </c>
      <c r="I733" t="s">
        <v>2961</v>
      </c>
      <c r="J733">
        <f>VLOOKUP(F733,[1]!china_towns_second__2[[Column1]:[Y]],3,FALSE)</f>
        <v>30.074100078906898</v>
      </c>
      <c r="K733">
        <f>VLOOKUP(F733,[1]!china_towns_second__2[[Column1]:[Y]],2,FALSE)</f>
        <v>121.0495847</v>
      </c>
      <c r="L733" t="s">
        <v>4367</v>
      </c>
      <c r="M733" t="str">
        <f>VLOOKUP(H733,CHOOSE({1,2},Table12[Native],Table12[Name]),2,0)</f>
        <v>Yúyáo Shì</v>
      </c>
      <c r="N733" s="15" t="str">
        <f>VLOOKUP(I733,CHOOSE({1,2},Table12[Native],Table12[Name]),2,0)</f>
        <v>Níngbō Shì</v>
      </c>
      <c r="O733" s="15" t="str">
        <f t="shared" si="22"/>
        <v>Mazhu Zhen (Níngbō Shì)</v>
      </c>
      <c r="P733" s="15" t="str">
        <f t="shared" si="23"/>
        <v>Mazhu Zhen (Níngbō Shì)</v>
      </c>
    </row>
    <row r="734" spans="1:16" hidden="1" x14ac:dyDescent="0.25">
      <c r="A734" t="s">
        <v>223</v>
      </c>
      <c r="B734" t="str">
        <f>IF(COUNTIF(A:A,A734)&gt;1,_xlfn.CONCAT(A734," (",N734,")"),A734)</f>
        <v>Méichéng Zhèn</v>
      </c>
      <c r="C734" t="str">
        <f>IF(COUNTIF(B:B,B734)&gt;1,_xlfn.CONCAT(A734," (",M734,")"),B734)</f>
        <v>Méichéng Zhèn</v>
      </c>
      <c r="D734" t="s">
        <v>224</v>
      </c>
      <c r="E734" t="s">
        <v>11</v>
      </c>
      <c r="F734" t="str">
        <f>_xlfn.CONCAT(D734,", ",H734,", ",I734,", ","浙江省")</f>
        <v>梅城镇, 建德市, 杭州市, 浙江省</v>
      </c>
      <c r="G734">
        <v>40356</v>
      </c>
      <c r="H734" t="s">
        <v>2910</v>
      </c>
      <c r="I734" t="s">
        <v>2903</v>
      </c>
      <c r="J734">
        <f>VLOOKUP(F734,[1]!china_towns_second__2[[Column1]:[Y]],3,FALSE)</f>
        <v>29.512989867411701</v>
      </c>
      <c r="K734">
        <f>VLOOKUP(F734,[1]!china_towns_second__2[[Column1]:[Y]],2,FALSE)</f>
        <v>119.5267643</v>
      </c>
      <c r="L734" t="s">
        <v>4368</v>
      </c>
      <c r="M734" t="str">
        <f>VLOOKUP(H734,CHOOSE({1,2},Table12[Native],Table12[Name]),2,0)</f>
        <v>Jiàndé Shì</v>
      </c>
      <c r="N734" s="15" t="str">
        <f>VLOOKUP(I734,CHOOSE({1,2},Table12[Native],Table12[Name]),2,0)</f>
        <v>Hángzhōu Shì</v>
      </c>
      <c r="O734" s="15" t="str">
        <f t="shared" si="22"/>
        <v>Meicheng Zhen (Hángzhōu Shì)</v>
      </c>
      <c r="P734" s="15" t="str">
        <f t="shared" si="23"/>
        <v>Meicheng Zhen (Hángzhōu Shì)</v>
      </c>
    </row>
    <row r="735" spans="1:16" hidden="1" x14ac:dyDescent="0.25">
      <c r="A735" t="s">
        <v>849</v>
      </c>
      <c r="B735" t="str">
        <f>IF(COUNTIF(A:A,A735)&gt;1,_xlfn.CONCAT(A735," (",N735,")"),A735)</f>
        <v>Méijiāng Zhèn</v>
      </c>
      <c r="C735" t="str">
        <f>IF(COUNTIF(B:B,B735)&gt;1,_xlfn.CONCAT(A735," (",M735,")"),B735)</f>
        <v>Méijiāng Zhèn</v>
      </c>
      <c r="D735" t="s">
        <v>850</v>
      </c>
      <c r="E735" t="s">
        <v>11</v>
      </c>
      <c r="F735" t="str">
        <f>_xlfn.CONCAT(D735,", ",H735,", ",I735,", ","浙江省")</f>
        <v>梅江镇, 兰溪市, 金华市, 浙江省</v>
      </c>
      <c r="G735">
        <v>30818</v>
      </c>
      <c r="H735" t="s">
        <v>2941</v>
      </c>
      <c r="I735" t="s">
        <v>2938</v>
      </c>
      <c r="J735">
        <f>VLOOKUP(F735,[1]!china_towns_second__2[[Column1]:[Y]],3,FALSE)</f>
        <v>29.323201544313601</v>
      </c>
      <c r="K735">
        <f>VLOOKUP(F735,[1]!china_towns_second__2[[Column1]:[Y]],2,FALSE)</f>
        <v>119.73780530000001</v>
      </c>
      <c r="L735" t="s">
        <v>4369</v>
      </c>
      <c r="M735" t="str">
        <f>VLOOKUP(H735,CHOOSE({1,2},Table12[Native],Table12[Name]),2,0)</f>
        <v>Lánxī Shì</v>
      </c>
      <c r="N735" s="15" t="str">
        <f>VLOOKUP(I735,CHOOSE({1,2},Table12[Native],Table12[Name]),2,0)</f>
        <v>Jīnhuá Shì</v>
      </c>
      <c r="O735" s="15" t="str">
        <f t="shared" si="22"/>
        <v>Meijiang Zhen (Jīnhuá Shì)</v>
      </c>
      <c r="P735" s="15" t="str">
        <f t="shared" si="23"/>
        <v>Meijiang Zhen (Jīnhuá Shì)</v>
      </c>
    </row>
    <row r="736" spans="1:16" hidden="1" x14ac:dyDescent="0.25">
      <c r="A736" t="s">
        <v>1499</v>
      </c>
      <c r="B736" t="str">
        <f>IF(COUNTIF(A:A,A736)&gt;1,_xlfn.CONCAT(A736," (",N736,")"),A736)</f>
        <v>Méilín Jiēdào</v>
      </c>
      <c r="C736" t="str">
        <f>IF(COUNTIF(B:B,B736)&gt;1,_xlfn.CONCAT(A736," (",M736,")"),B736)</f>
        <v>Méilín Jiēdào</v>
      </c>
      <c r="D736" t="s">
        <v>1500</v>
      </c>
      <c r="E736" t="s">
        <v>15</v>
      </c>
      <c r="F736" t="str">
        <f>_xlfn.CONCAT(D736,", ",H736,", ",I736,", ","浙江省")</f>
        <v>梅林街道, 宁海县, 宁波市, 浙江省</v>
      </c>
      <c r="G736">
        <v>34110</v>
      </c>
      <c r="H736" t="s">
        <v>2967</v>
      </c>
      <c r="I736" t="s">
        <v>2961</v>
      </c>
      <c r="J736">
        <f>VLOOKUP(F736,[1]!china_towns_second__2[[Column1]:[Y]],3,FALSE)</f>
        <v>29.383651790342199</v>
      </c>
      <c r="K736">
        <f>VLOOKUP(F736,[1]!china_towns_second__2[[Column1]:[Y]],2,FALSE)</f>
        <v>121.40209230000001</v>
      </c>
      <c r="L736" t="s">
        <v>4370</v>
      </c>
      <c r="M736" t="str">
        <f>VLOOKUP(H736,CHOOSE({1,2},Table12[Native],Table12[Name]),2,0)</f>
        <v>Nínghăi Xiàn</v>
      </c>
      <c r="N736" s="15" t="str">
        <f>VLOOKUP(I736,CHOOSE({1,2},Table12[Native],Table12[Name]),2,0)</f>
        <v>Níngbō Shì</v>
      </c>
      <c r="O736" s="15" t="str">
        <f t="shared" si="22"/>
        <v>Meilin Jiedao (Níngbō Shì)</v>
      </c>
      <c r="P736" s="15" t="str">
        <f t="shared" si="23"/>
        <v>Meilin Jiedao (Níngbō Shì)</v>
      </c>
    </row>
    <row r="737" spans="1:16" hidden="1" x14ac:dyDescent="0.25">
      <c r="A737" t="s">
        <v>1173</v>
      </c>
      <c r="B737" t="str">
        <f>IF(COUNTIF(A:A,A737)&gt;1,_xlfn.CONCAT(A737," (",N737,")"),A737)</f>
        <v>Méiqí Xiāng</v>
      </c>
      <c r="C737" t="str">
        <f>IF(COUNTIF(B:B,B737)&gt;1,_xlfn.CONCAT(A737," (",M737,")"),B737)</f>
        <v>Méiqí Xiāng</v>
      </c>
      <c r="D737" t="s">
        <v>1174</v>
      </c>
      <c r="E737" t="s">
        <v>7</v>
      </c>
      <c r="F737" t="str">
        <f>_xlfn.CONCAT(D737,", ",H737,", ",I737,", ","浙江省")</f>
        <v>梅岐乡, 景宁畲族自治县, 丽水市, 浙江省</v>
      </c>
      <c r="G737">
        <v>1232</v>
      </c>
      <c r="H737" t="s">
        <v>2951</v>
      </c>
      <c r="I737" t="s">
        <v>2949</v>
      </c>
      <c r="J737" t="e">
        <f>VLOOKUP(F737,[1]!china_towns_second__2[[Column1]:[Y]],3,FALSE)</f>
        <v>#N/A</v>
      </c>
      <c r="K737" t="e">
        <f>VLOOKUP(F737,[1]!china_towns_second__2[[Column1]:[Y]],2,FALSE)</f>
        <v>#N/A</v>
      </c>
      <c r="L737" t="s">
        <v>4371</v>
      </c>
      <c r="M737" t="str">
        <f>VLOOKUP(H737,CHOOSE({1,2},Table12[Native],Table12[Name]),2,0)</f>
        <v>Jĭngníng Shēzú Zìzhìxiàn</v>
      </c>
      <c r="N737" s="15" t="str">
        <f>VLOOKUP(I737,CHOOSE({1,2},Table12[Native],Table12[Name]),2,0)</f>
        <v>Lìshuĭ Shì</v>
      </c>
      <c r="O737" s="15" t="str">
        <f t="shared" si="22"/>
        <v>Meiqi Xiang (Lìshuĭ Shì)</v>
      </c>
      <c r="P737" s="15" t="str">
        <f t="shared" si="23"/>
        <v>Meiqi Xiang (Lìshuĭ Shì)</v>
      </c>
    </row>
    <row r="738" spans="1:16" hidden="1" x14ac:dyDescent="0.25">
      <c r="A738" t="s">
        <v>1501</v>
      </c>
      <c r="B738" t="str">
        <f>IF(COUNTIF(A:A,A738)&gt;1,_xlfn.CONCAT(A738," (",N738,")"),A738)</f>
        <v>Méishān Jiēdào</v>
      </c>
      <c r="C738" t="str">
        <f>IF(COUNTIF(B:B,B738)&gt;1,_xlfn.CONCAT(A738," (",M738,")"),B738)</f>
        <v>Méishān Jiēdào</v>
      </c>
      <c r="D738" t="s">
        <v>1502</v>
      </c>
      <c r="E738" t="s">
        <v>15</v>
      </c>
      <c r="F738" t="str">
        <f>_xlfn.CONCAT(D738,", ",H738,", ",I738,", ","浙江省")</f>
        <v>梅山街道, 北仑区, 宁波市, 浙江省</v>
      </c>
      <c r="G738">
        <v>10669</v>
      </c>
      <c r="H738" t="s">
        <v>2962</v>
      </c>
      <c r="I738" t="s">
        <v>2961</v>
      </c>
      <c r="J738" t="e">
        <f>VLOOKUP(F738,[1]!china_towns_second__2[[Column1]:[Y]],3,FALSE)</f>
        <v>#N/A</v>
      </c>
      <c r="K738" t="e">
        <f>VLOOKUP(F738,[1]!china_towns_second__2[[Column1]:[Y]],2,FALSE)</f>
        <v>#N/A</v>
      </c>
      <c r="L738" t="s">
        <v>4372</v>
      </c>
      <c r="M738" t="str">
        <f>VLOOKUP(H738,CHOOSE({1,2},Table12[Native],Table12[Name]),2,0)</f>
        <v>Bĕilún Qū</v>
      </c>
      <c r="N738" s="15" t="str">
        <f>VLOOKUP(I738,CHOOSE({1,2},Table12[Native],Table12[Name]),2,0)</f>
        <v>Níngbō Shì</v>
      </c>
      <c r="O738" s="15" t="str">
        <f t="shared" si="22"/>
        <v>Meishan Jiedao (Níngbō Shì)</v>
      </c>
      <c r="P738" s="15" t="str">
        <f t="shared" si="23"/>
        <v>Meishan Jiedao (Níngbō Shì)</v>
      </c>
    </row>
    <row r="739" spans="1:16" hidden="1" x14ac:dyDescent="0.25">
      <c r="A739" t="s">
        <v>485</v>
      </c>
      <c r="B739" t="str">
        <f>IF(COUNTIF(A:A,A739)&gt;1,_xlfn.CONCAT(A739," (",N739,")"),A739)</f>
        <v>Méishān Zhèn [incl. Báixiàn Xiāng, Huáikăn Xiāng]</v>
      </c>
      <c r="C739" t="str">
        <f>IF(COUNTIF(B:B,B739)&gt;1,_xlfn.CONCAT(A739," (",M739,")"),B739)</f>
        <v>Méishān Zhèn [incl. Báixiàn Xiāng, Huáikăn Xiāng]</v>
      </c>
      <c r="D739" t="s">
        <v>486</v>
      </c>
      <c r="E739" t="s">
        <v>11</v>
      </c>
      <c r="F739" t="str">
        <f>_xlfn.CONCAT(D739,", ",H739,", ",I739,", ","浙江省")</f>
        <v>煤山镇, 长兴县, 湖州市, 浙江省</v>
      </c>
      <c r="G739">
        <v>43410</v>
      </c>
      <c r="H739" t="s">
        <v>2924</v>
      </c>
      <c r="I739" t="s">
        <v>2922</v>
      </c>
      <c r="J739">
        <f>VLOOKUP(F739,[1]!china_towns_second__2[[Column1]:[Y]],3,FALSE)</f>
        <v>31.124384848761501</v>
      </c>
      <c r="K739">
        <f>VLOOKUP(F739,[1]!china_towns_second__2[[Column1]:[Y]],2,FALSE)</f>
        <v>119.74224649999999</v>
      </c>
      <c r="L739" t="s">
        <v>4373</v>
      </c>
      <c r="M739" t="str">
        <f>VLOOKUP(H739,CHOOSE({1,2},Table12[Native],Table12[Name]),2,0)</f>
        <v>Chángxīng Xiàn</v>
      </c>
      <c r="N739" s="15" t="str">
        <f>VLOOKUP(I739,CHOOSE({1,2},Table12[Native],Table12[Name]),2,0)</f>
        <v>Húzhōu Shì</v>
      </c>
      <c r="O739" s="15" t="str">
        <f t="shared" si="22"/>
        <v>Meishan Zhen [incl. Baixian Xiang, Huaikan Xiang] (Húzhōu Shì)</v>
      </c>
      <c r="P739" s="15" t="str">
        <f t="shared" si="23"/>
        <v>Meishan Zhen [incl. Baixian Xiang, Huaikan Xiang] (Húzhōu Shì)</v>
      </c>
    </row>
    <row r="740" spans="1:16" hidden="1" x14ac:dyDescent="0.25">
      <c r="A740" t="s">
        <v>2521</v>
      </c>
      <c r="B740" t="str">
        <f>IF(COUNTIF(A:A,A740)&gt;1,_xlfn.CONCAT(A740," (",N740,")"),A740)</f>
        <v>Méixī Xiāng</v>
      </c>
      <c r="C740" t="str">
        <f>IF(COUNTIF(B:B,B740)&gt;1,_xlfn.CONCAT(A740," (",M740,")"),B740)</f>
        <v>Méixī Xiāng</v>
      </c>
      <c r="D740" t="s">
        <v>2522</v>
      </c>
      <c r="E740" t="s">
        <v>7</v>
      </c>
      <c r="F740" t="str">
        <f>_xlfn.CONCAT(D740,", ",H740,", ",I740,", ","浙江省")</f>
        <v>梅溪乡, 平阳县, 温州市, 浙江省</v>
      </c>
      <c r="G740">
        <v>9195</v>
      </c>
      <c r="H740" t="s">
        <v>3006</v>
      </c>
      <c r="I740" t="s">
        <v>3000</v>
      </c>
      <c r="J740" t="e">
        <f>VLOOKUP(F740,[1]!china_towns_second__2[[Column1]:[Y]],3,FALSE)</f>
        <v>#N/A</v>
      </c>
      <c r="K740" t="e">
        <f>VLOOKUP(F740,[1]!china_towns_second__2[[Column1]:[Y]],2,FALSE)</f>
        <v>#N/A</v>
      </c>
      <c r="L740" t="s">
        <v>4374</v>
      </c>
      <c r="M740" t="str">
        <f>VLOOKUP(H740,CHOOSE({1,2},Table12[Native],Table12[Name]),2,0)</f>
        <v>Píngyáng Xiàn</v>
      </c>
      <c r="N740" s="15" t="str">
        <f>VLOOKUP(I740,CHOOSE({1,2},Table12[Native],Table12[Name]),2,0)</f>
        <v>Wēnzhōu Shì</v>
      </c>
      <c r="O740" s="15" t="str">
        <f t="shared" si="22"/>
        <v>Meixi Xiang (Wēnzhōu Shì)</v>
      </c>
      <c r="P740" s="15" t="str">
        <f t="shared" si="23"/>
        <v>Meixi Xiang (Wēnzhōu Shì)</v>
      </c>
    </row>
    <row r="741" spans="1:16" hidden="1" x14ac:dyDescent="0.25">
      <c r="A741" t="s">
        <v>487</v>
      </c>
      <c r="B741" t="str">
        <f>IF(COUNTIF(A:A,A741)&gt;1,_xlfn.CONCAT(A741," (",N741,")"),A741)</f>
        <v>Méixī Zhèn [incl. Kūntóng Xiāng]</v>
      </c>
      <c r="C741" t="str">
        <f>IF(COUNTIF(B:B,B741)&gt;1,_xlfn.CONCAT(A741," (",M741,")"),B741)</f>
        <v>Méixī Zhèn [incl. Kūntóng Xiāng]</v>
      </c>
      <c r="D741" t="s">
        <v>488</v>
      </c>
      <c r="E741" t="s">
        <v>11</v>
      </c>
      <c r="F741" t="str">
        <f>_xlfn.CONCAT(D741,", ",H741,", ",I741,", ","浙江省")</f>
        <v>梅溪镇, 安吉县, 湖州市, 浙江省</v>
      </c>
      <c r="G741">
        <v>55099</v>
      </c>
      <c r="H741" t="s">
        <v>2923</v>
      </c>
      <c r="I741" t="s">
        <v>2922</v>
      </c>
      <c r="J741">
        <f>VLOOKUP(F741,[1]!china_towns_second__2[[Column1]:[Y]],3,FALSE)</f>
        <v>30.764772618355899</v>
      </c>
      <c r="K741">
        <f>VLOOKUP(F741,[1]!china_towns_second__2[[Column1]:[Y]],2,FALSE)</f>
        <v>119.7860517</v>
      </c>
      <c r="L741" t="s">
        <v>4375</v>
      </c>
      <c r="M741" t="str">
        <f>VLOOKUP(H741,CHOOSE({1,2},Table12[Native],Table12[Name]),2,0)</f>
        <v>Ānjí Xiàn</v>
      </c>
      <c r="N741" s="15" t="str">
        <f>VLOOKUP(I741,CHOOSE({1,2},Table12[Native],Table12[Name]),2,0)</f>
        <v>Húzhōu Shì</v>
      </c>
      <c r="O741" s="15" t="str">
        <f t="shared" si="22"/>
        <v>Meixi Zhen [incl. Kuntong Xiang] (Húzhōu Shì)</v>
      </c>
      <c r="P741" s="15" t="str">
        <f t="shared" si="23"/>
        <v>Meixi Zhen [incl. Kuntong Xiang] (Húzhōu Shì)</v>
      </c>
    </row>
    <row r="742" spans="1:16" hidden="1" x14ac:dyDescent="0.25">
      <c r="A742" t="s">
        <v>1503</v>
      </c>
      <c r="B742" t="str">
        <f>IF(COUNTIF(A:A,A742)&gt;1,_xlfn.CONCAT(A742," (",N742,")"),A742)</f>
        <v>Méixū Jiēdào</v>
      </c>
      <c r="C742" t="str">
        <f>IF(COUNTIF(B:B,B742)&gt;1,_xlfn.CONCAT(A742," (",M742,")"),B742)</f>
        <v>Méixū Jiēdào</v>
      </c>
      <c r="D742" t="s">
        <v>1504</v>
      </c>
      <c r="E742" t="s">
        <v>15</v>
      </c>
      <c r="F742" t="str">
        <f>_xlfn.CONCAT(D742,", ",H742,", ",I742,", ","浙江省")</f>
        <v>梅墟街道, 鄞州区, 宁波市, 浙江省</v>
      </c>
      <c r="G742">
        <v>48332</v>
      </c>
      <c r="H742" t="s">
        <v>2969</v>
      </c>
      <c r="I742" t="s">
        <v>2961</v>
      </c>
      <c r="J742">
        <f>VLOOKUP(F742,[1]!china_towns_second__2[[Column1]:[Y]],3,FALSE)</f>
        <v>29.888379090290002</v>
      </c>
      <c r="K742">
        <f>VLOOKUP(F742,[1]!china_towns_second__2[[Column1]:[Y]],2,FALSE)</f>
        <v>121.6426398</v>
      </c>
      <c r="L742" t="s">
        <v>4376</v>
      </c>
      <c r="M742" t="str">
        <f>VLOOKUP(H742,CHOOSE({1,2},Table12[Native],Table12[Name]),2,0)</f>
        <v>Yínzhōu Qū</v>
      </c>
      <c r="N742" s="15" t="str">
        <f>VLOOKUP(I742,CHOOSE({1,2},Table12[Native],Table12[Name]),2,0)</f>
        <v>Níngbō Shì</v>
      </c>
      <c r="O742" s="15" t="str">
        <f t="shared" si="22"/>
        <v>Meixu Jiedao (Níngbō Shì)</v>
      </c>
      <c r="P742" s="15" t="str">
        <f t="shared" si="23"/>
        <v>Meixu Jiedao (Níngbō Shì)</v>
      </c>
    </row>
    <row r="743" spans="1:16" hidden="1" x14ac:dyDescent="0.25">
      <c r="A743" t="s">
        <v>2525</v>
      </c>
      <c r="B743" t="str">
        <f>IF(COUNTIF(A:A,A743)&gt;1,_xlfn.CONCAT(A743," (",N743,")"),A743)</f>
        <v>Méiyŭ Xiāng</v>
      </c>
      <c r="C743" t="str">
        <f>IF(COUNTIF(B:B,B743)&gt;1,_xlfn.CONCAT(A743," (",M743,")"),B743)</f>
        <v>Méiyŭ Xiāng</v>
      </c>
      <c r="D743" t="s">
        <v>2526</v>
      </c>
      <c r="E743" t="s">
        <v>7</v>
      </c>
      <c r="F743" t="str">
        <f>_xlfn.CONCAT(D743,", ",H743,", ",I743,", ","浙江省")</f>
        <v>梅屿乡, 瑞安市, 温州市, 浙江省</v>
      </c>
      <c r="G743">
        <v>12458</v>
      </c>
      <c r="H743" t="s">
        <v>3007</v>
      </c>
      <c r="I743" t="s">
        <v>3000</v>
      </c>
      <c r="J743" t="e">
        <f>VLOOKUP(F743,[1]!china_towns_second__2[[Column1]:[Y]],3,FALSE)</f>
        <v>#N/A</v>
      </c>
      <c r="K743" t="e">
        <f>VLOOKUP(F743,[1]!china_towns_second__2[[Column1]:[Y]],2,FALSE)</f>
        <v>#N/A</v>
      </c>
      <c r="L743" t="s">
        <v>4377</v>
      </c>
      <c r="M743" t="str">
        <f>VLOOKUP(H743,CHOOSE({1,2},Table12[Native],Table12[Name]),2,0)</f>
        <v>Ruì'ān Shì</v>
      </c>
      <c r="N743" s="15" t="str">
        <f>VLOOKUP(I743,CHOOSE({1,2},Table12[Native],Table12[Name]),2,0)</f>
        <v>Wēnzhōu Shì</v>
      </c>
      <c r="O743" s="15" t="str">
        <f t="shared" si="22"/>
        <v>Meiyu Xiang (Wēnzhōu Shì)</v>
      </c>
      <c r="P743" s="15" t="str">
        <f t="shared" si="23"/>
        <v>Meiyu Xiang (Wēnzhōu Shì)</v>
      </c>
    </row>
    <row r="744" spans="1:16" hidden="1" x14ac:dyDescent="0.25">
      <c r="A744" t="s">
        <v>2523</v>
      </c>
      <c r="B744" t="str">
        <f>IF(COUNTIF(A:A,A744)&gt;1,_xlfn.CONCAT(A744," (",N744,")"),A744)</f>
        <v>Méiyuán Xiāng</v>
      </c>
      <c r="C744" t="str">
        <f>IF(COUNTIF(B:B,B744)&gt;1,_xlfn.CONCAT(A744," (",M744,")"),B744)</f>
        <v>Méiyuán Xiāng</v>
      </c>
      <c r="D744" t="s">
        <v>2524</v>
      </c>
      <c r="E744" t="s">
        <v>7</v>
      </c>
      <c r="F744" t="str">
        <f>_xlfn.CONCAT(D744,", ",H744,", ",I744,", ","浙江省")</f>
        <v>梅源乡, 平阳县, 温州市, 浙江省</v>
      </c>
      <c r="G744">
        <v>6498</v>
      </c>
      <c r="H744" t="s">
        <v>3006</v>
      </c>
      <c r="I744" t="s">
        <v>3000</v>
      </c>
      <c r="J744" t="e">
        <f>VLOOKUP(F744,[1]!china_towns_second__2[[Column1]:[Y]],3,FALSE)</f>
        <v>#N/A</v>
      </c>
      <c r="K744" t="e">
        <f>VLOOKUP(F744,[1]!china_towns_second__2[[Column1]:[Y]],2,FALSE)</f>
        <v>#N/A</v>
      </c>
      <c r="L744" t="s">
        <v>4378</v>
      </c>
      <c r="M744" t="str">
        <f>VLOOKUP(H744,CHOOSE({1,2},Table12[Native],Table12[Name]),2,0)</f>
        <v>Píngyáng Xiàn</v>
      </c>
      <c r="N744" s="15" t="str">
        <f>VLOOKUP(I744,CHOOSE({1,2},Table12[Native],Table12[Name]),2,0)</f>
        <v>Wēnzhōu Shì</v>
      </c>
      <c r="O744" s="15" t="str">
        <f t="shared" si="22"/>
        <v>Meiyuan Xiang (Wēnzhōu Shì)</v>
      </c>
      <c r="P744" s="15" t="str">
        <f t="shared" si="23"/>
        <v>Meiyuan Xiang (Wēnzhōu Shì)</v>
      </c>
    </row>
    <row r="745" spans="1:16" hidden="1" x14ac:dyDescent="0.25">
      <c r="A745" t="s">
        <v>1175</v>
      </c>
      <c r="B745" t="str">
        <f>IF(COUNTIF(A:A,A745)&gt;1,_xlfn.CONCAT(A745," (",N745,")"),A745)</f>
        <v>Miàogāo Jiēdào</v>
      </c>
      <c r="C745" t="str">
        <f>IF(COUNTIF(B:B,B745)&gt;1,_xlfn.CONCAT(A745," (",M745,")"),B745)</f>
        <v>Miàogāo Jiēdào</v>
      </c>
      <c r="D745" t="s">
        <v>1176</v>
      </c>
      <c r="E745" t="s">
        <v>15</v>
      </c>
      <c r="F745" t="str">
        <f>_xlfn.CONCAT(D745,", ",H745,", ",I745,", ","浙江省")</f>
        <v>妙高街道, 遂昌县, 丽水市, 浙江省</v>
      </c>
      <c r="G745">
        <v>71699</v>
      </c>
      <c r="H745" t="s">
        <v>2958</v>
      </c>
      <c r="I745" t="s">
        <v>2949</v>
      </c>
      <c r="J745">
        <f>VLOOKUP(F745,[1]!china_towns_second__2[[Column1]:[Y]],3,FALSE)</f>
        <v>28.586419982397199</v>
      </c>
      <c r="K745">
        <f>VLOOKUP(F745,[1]!china_towns_second__2[[Column1]:[Y]],2,FALSE)</f>
        <v>119.2672419</v>
      </c>
      <c r="L745" t="s">
        <v>4379</v>
      </c>
      <c r="M745" t="str">
        <f>VLOOKUP(H745,CHOOSE({1,2},Table12[Native],Table12[Name]),2,0)</f>
        <v>Suìchāng Xiàn</v>
      </c>
      <c r="N745" s="15" t="str">
        <f>VLOOKUP(I745,CHOOSE({1,2},Table12[Native],Table12[Name]),2,0)</f>
        <v>Lìshuĭ Shì</v>
      </c>
      <c r="O745" s="15" t="str">
        <f t="shared" si="22"/>
        <v>Miaogao Jiedao (Lìshuĭ Shì)</v>
      </c>
      <c r="P745" s="15" t="str">
        <f t="shared" si="23"/>
        <v>Miaogao Jiedao (Lìshuĭ Shì)</v>
      </c>
    </row>
    <row r="746" spans="1:16" hidden="1" x14ac:dyDescent="0.25">
      <c r="A746" t="s">
        <v>489</v>
      </c>
      <c r="B746" t="str">
        <f>IF(COUNTIF(A:A,A746)&gt;1,_xlfn.CONCAT(A746," (",N746,")"),A746)</f>
        <v>Miàoxī Zhèn</v>
      </c>
      <c r="C746" t="str">
        <f>IF(COUNTIF(B:B,B746)&gt;1,_xlfn.CONCAT(A746," (",M746,")"),B746)</f>
        <v>Miàoxī Zhèn</v>
      </c>
      <c r="D746" t="s">
        <v>490</v>
      </c>
      <c r="E746" t="s">
        <v>11</v>
      </c>
      <c r="F746" t="str">
        <f>_xlfn.CONCAT(D746,", ",H746,", ",I746,", ","浙江省")</f>
        <v>妙西镇, 吴兴区, 湖州市, 浙江省</v>
      </c>
      <c r="G746">
        <v>14723</v>
      </c>
      <c r="H746" t="s">
        <v>2927</v>
      </c>
      <c r="I746" t="s">
        <v>2922</v>
      </c>
      <c r="J746">
        <f>VLOOKUP(F746,[1]!china_towns_second__2[[Column1]:[Y]],3,FALSE)</f>
        <v>30.7869435993635</v>
      </c>
      <c r="K746">
        <f>VLOOKUP(F746,[1]!china_towns_second__2[[Column1]:[Y]],2,FALSE)</f>
        <v>119.9853375</v>
      </c>
      <c r="L746" t="s">
        <v>4380</v>
      </c>
      <c r="M746" t="str">
        <f>VLOOKUP(H746,CHOOSE({1,2},Table12[Native],Table12[Name]),2,0)</f>
        <v>Wúxīng Qū</v>
      </c>
      <c r="N746" s="15" t="str">
        <f>VLOOKUP(I746,CHOOSE({1,2},Table12[Native],Table12[Name]),2,0)</f>
        <v>Húzhōu Shì</v>
      </c>
      <c r="O746" s="15" t="str">
        <f t="shared" si="22"/>
        <v>Miaoxi Zhen (Húzhōu Shì)</v>
      </c>
      <c r="P746" s="15" t="str">
        <f t="shared" si="23"/>
        <v>Miaoxi Zhen (Húzhōu Shì)</v>
      </c>
    </row>
    <row r="747" spans="1:16" hidden="1" x14ac:dyDescent="0.25">
      <c r="A747" t="s">
        <v>1738</v>
      </c>
      <c r="B747" t="str">
        <f>IF(COUNTIF(A:A,A747)&gt;1,_xlfn.CONCAT(A747," (",N747,")"),A747)</f>
        <v>Miàoxià Xiāng</v>
      </c>
      <c r="C747" t="str">
        <f>IF(COUNTIF(B:B,B747)&gt;1,_xlfn.CONCAT(A747," (",M747,")"),B747)</f>
        <v>Miàoxià Xiāng</v>
      </c>
      <c r="D747" t="s">
        <v>1739</v>
      </c>
      <c r="E747" t="s">
        <v>7</v>
      </c>
      <c r="F747" t="str">
        <f>_xlfn.CONCAT(D747,", ",H747,", ",I747,", ","浙江省")</f>
        <v>庙下乡, 龙游县, 衢州市, 浙江省</v>
      </c>
      <c r="G747">
        <v>8447</v>
      </c>
      <c r="H747" t="s">
        <v>2978</v>
      </c>
      <c r="I747" t="s">
        <v>2973</v>
      </c>
      <c r="J747" t="e">
        <f>VLOOKUP(F747,[1]!china_towns_second__2[[Column1]:[Y]],3,FALSE)</f>
        <v>#N/A</v>
      </c>
      <c r="K747" t="e">
        <f>VLOOKUP(F747,[1]!china_towns_second__2[[Column1]:[Y]],2,FALSE)</f>
        <v>#N/A</v>
      </c>
      <c r="L747" t="s">
        <v>4381</v>
      </c>
      <c r="M747" t="str">
        <f>VLOOKUP(H747,CHOOSE({1,2},Table12[Native],Table12[Name]),2,0)</f>
        <v>Lóngyóu Xiàn</v>
      </c>
      <c r="N747" s="15" t="str">
        <f>VLOOKUP(I747,CHOOSE({1,2},Table12[Native],Table12[Name]),2,0)</f>
        <v>Qúzhōu Shì</v>
      </c>
      <c r="O747" s="15" t="str">
        <f t="shared" si="22"/>
        <v>Miaoxia Xiang (Qúzhōu Shì)</v>
      </c>
      <c r="P747" s="15" t="str">
        <f t="shared" si="23"/>
        <v>Miaoxia Xiang (Qúzhōu Shì)</v>
      </c>
    </row>
    <row r="748" spans="1:16" hidden="1" x14ac:dyDescent="0.25">
      <c r="A748" t="s">
        <v>2527</v>
      </c>
      <c r="B748" t="str">
        <f>IF(COUNTIF(A:A,A748)&gt;1,_xlfn.CONCAT(A748," (",N748,")"),A748)</f>
        <v>Míng'ào Xiāng [→ Qiáoxià Zhèn]</v>
      </c>
      <c r="C748" t="str">
        <f>IF(COUNTIF(B:B,B748)&gt;1,_xlfn.CONCAT(A748," (",M748,")"),B748)</f>
        <v>Míng'ào Xiāng [→ Qiáoxià Zhèn]</v>
      </c>
      <c r="D748" t="s">
        <v>2528</v>
      </c>
      <c r="E748" t="s">
        <v>7</v>
      </c>
      <c r="F748" t="str">
        <f>_xlfn.CONCAT(D748,", ",H748,", ",I748,", ","浙江省")</f>
        <v>茗岙乡, 永嘉县, 温州市, 浙江省</v>
      </c>
      <c r="G748">
        <v>4818</v>
      </c>
      <c r="H748" t="s">
        <v>3010</v>
      </c>
      <c r="I748" t="s">
        <v>3000</v>
      </c>
      <c r="J748" t="e">
        <f>VLOOKUP(F748,[1]!china_towns_second__2[[Column1]:[Y]],3,FALSE)</f>
        <v>#N/A</v>
      </c>
      <c r="K748" t="e">
        <f>VLOOKUP(F748,[1]!china_towns_second__2[[Column1]:[Y]],2,FALSE)</f>
        <v>#N/A</v>
      </c>
      <c r="L748" t="s">
        <v>4382</v>
      </c>
      <c r="M748" t="str">
        <f>VLOOKUP(H748,CHOOSE({1,2},Table12[Native],Table12[Name]),2,0)</f>
        <v>Yŏngjiā Xiàn</v>
      </c>
      <c r="N748" s="15" t="str">
        <f>VLOOKUP(I748,CHOOSE({1,2},Table12[Native],Table12[Name]),2,0)</f>
        <v>Wēnzhōu Shì</v>
      </c>
      <c r="O748" s="15" t="str">
        <f t="shared" si="22"/>
        <v>Ming'ao Xiang [→ Qiaoxia Zhen] (Wēnzhōu Shì)</v>
      </c>
      <c r="P748" s="15" t="str">
        <f t="shared" si="23"/>
        <v>Ming'ao Xiang [→ Qiaoxia Zhen] (Wēnzhōu Shì)</v>
      </c>
    </row>
    <row r="749" spans="1:16" hidden="1" x14ac:dyDescent="0.25">
      <c r="A749" t="s">
        <v>1505</v>
      </c>
      <c r="B749" t="str">
        <f>IF(COUNTIF(A:A,A749)&gt;1,_xlfn.CONCAT(A749," (",N749,")"),A749)</f>
        <v>Mínglóu Jiēdào</v>
      </c>
      <c r="C749" t="str">
        <f>IF(COUNTIF(B:B,B749)&gt;1,_xlfn.CONCAT(A749," (",M749,")"),B749)</f>
        <v>Mínglóu Jiēdào</v>
      </c>
      <c r="D749" t="s">
        <v>1506</v>
      </c>
      <c r="E749" t="s">
        <v>15</v>
      </c>
      <c r="F749" t="str">
        <f>_xlfn.CONCAT(D749,", ",H749,", ",I749,", ","浙江省")</f>
        <v>明楼街道, 鄞州区, 宁波市, 浙江省</v>
      </c>
      <c r="G749">
        <v>49661</v>
      </c>
      <c r="H749" t="s">
        <v>2969</v>
      </c>
      <c r="I749" t="s">
        <v>2961</v>
      </c>
      <c r="J749" t="e">
        <f>VLOOKUP(F749,[1]!china_towns_second__2[[Column1]:[Y]],3,FALSE)</f>
        <v>#N/A</v>
      </c>
      <c r="K749" t="e">
        <f>VLOOKUP(F749,[1]!china_towns_second__2[[Column1]:[Y]],2,FALSE)</f>
        <v>#N/A</v>
      </c>
      <c r="L749" t="s">
        <v>4383</v>
      </c>
      <c r="M749" t="str">
        <f>VLOOKUP(H749,CHOOSE({1,2},Table12[Native],Table12[Name]),2,0)</f>
        <v>Yínzhōu Qū</v>
      </c>
      <c r="N749" s="15" t="str">
        <f>VLOOKUP(I749,CHOOSE({1,2},Table12[Native],Table12[Name]),2,0)</f>
        <v>Níngbō Shì</v>
      </c>
      <c r="O749" s="15" t="str">
        <f t="shared" si="22"/>
        <v>Minglou Jiedao (Níngbō Shì)</v>
      </c>
      <c r="P749" s="15" t="str">
        <f t="shared" si="23"/>
        <v>Minglou Jiedao (Níngbō Shì)</v>
      </c>
    </row>
    <row r="750" spans="1:16" hidden="1" x14ac:dyDescent="0.25">
      <c r="A750" t="s">
        <v>225</v>
      </c>
      <c r="B750" t="str">
        <f>IF(COUNTIF(A:A,A750)&gt;1,_xlfn.CONCAT(A750," (",N750,")"),A750)</f>
        <v>Mĭshìxiàng Jiēdào</v>
      </c>
      <c r="C750" t="str">
        <f>IF(COUNTIF(B:B,B750)&gt;1,_xlfn.CONCAT(A750," (",M750,")"),B750)</f>
        <v>Mĭshìxiàng Jiēdào</v>
      </c>
      <c r="D750" t="s">
        <v>226</v>
      </c>
      <c r="E750" t="s">
        <v>15</v>
      </c>
      <c r="F750" t="str">
        <f>_xlfn.CONCAT(D750,", ",H750,", ",I750,", ","浙江省")</f>
        <v>米市巷街道, 拱墅区, 杭州市, 浙江省</v>
      </c>
      <c r="G750">
        <v>43540</v>
      </c>
      <c r="H750" t="s">
        <v>2909</v>
      </c>
      <c r="I750" t="s">
        <v>2903</v>
      </c>
      <c r="J750">
        <f>VLOOKUP(F750,[1]!china_towns_second__2[[Column1]:[Y]],3,FALSE)</f>
        <v>30.2848749404593</v>
      </c>
      <c r="K750">
        <f>VLOOKUP(F750,[1]!china_towns_second__2[[Column1]:[Y]],2,FALSE)</f>
        <v>120.14929189999999</v>
      </c>
      <c r="L750" t="s">
        <v>4384</v>
      </c>
      <c r="M750" t="str">
        <f>VLOOKUP(H750,CHOOSE({1,2},Table12[Native],Table12[Name]),2,0)</f>
        <v>Gŏngshù Qū</v>
      </c>
      <c r="N750" s="15" t="str">
        <f>VLOOKUP(I750,CHOOSE({1,2},Table12[Native],Table12[Name]),2,0)</f>
        <v>Hángzhōu Shì</v>
      </c>
      <c r="O750" s="15" t="str">
        <f t="shared" si="22"/>
        <v>Mishixiang Jiedao (Hángzhōu Shì)</v>
      </c>
      <c r="P750" s="15" t="str">
        <f t="shared" si="23"/>
        <v>Mishixiang Jiedao (Hángzhōu Shì)</v>
      </c>
    </row>
    <row r="751" spans="1:16" hidden="1" x14ac:dyDescent="0.25">
      <c r="A751" t="s">
        <v>491</v>
      </c>
      <c r="B751" t="str">
        <f>IF(COUNTIF(A:A,A751)&gt;1,_xlfn.CONCAT(A751," (",N751,")"),A751)</f>
        <v>Mògānshān Zhèn [incl. Fátóu Xiāng]</v>
      </c>
      <c r="C751" t="str">
        <f>IF(COUNTIF(B:B,B751)&gt;1,_xlfn.CONCAT(A751," (",M751,")"),B751)</f>
        <v>Mògānshān Zhèn [incl. Fátóu Xiāng]</v>
      </c>
      <c r="D751" t="s">
        <v>492</v>
      </c>
      <c r="E751" t="s">
        <v>11</v>
      </c>
      <c r="F751" t="str">
        <f>_xlfn.CONCAT(D751,", ",H751,", ",I751,", ","浙江省")</f>
        <v>莫干山镇, 德清县, 湖州市, 浙江省</v>
      </c>
      <c r="G751">
        <v>21552</v>
      </c>
      <c r="H751" t="s">
        <v>2925</v>
      </c>
      <c r="I751" t="s">
        <v>2922</v>
      </c>
      <c r="J751">
        <f>VLOOKUP(F751,[1]!china_towns_second__2[[Column1]:[Y]],3,FALSE)</f>
        <v>30.625579041208901</v>
      </c>
      <c r="K751">
        <f>VLOOKUP(F751,[1]!china_towns_second__2[[Column1]:[Y]],2,FALSE)</f>
        <v>119.8749545</v>
      </c>
      <c r="L751" t="s">
        <v>4385</v>
      </c>
      <c r="M751" t="str">
        <f>VLOOKUP(H751,CHOOSE({1,2},Table12[Native],Table12[Name]),2,0)</f>
        <v>Déqīng Xiàn</v>
      </c>
      <c r="N751" s="15" t="str">
        <f>VLOOKUP(I751,CHOOSE({1,2},Table12[Native],Table12[Name]),2,0)</f>
        <v>Húzhōu Shì</v>
      </c>
      <c r="O751" s="15" t="str">
        <f t="shared" si="22"/>
        <v>Moganshan Zhen [incl. Fatou Xiang] (Húzhōu Shì)</v>
      </c>
      <c r="P751" s="15" t="str">
        <f t="shared" si="23"/>
        <v>Moganshan Zhen [incl. Fatou Xiang] (Húzhōu Shì)</v>
      </c>
    </row>
    <row r="752" spans="1:16" hidden="1" x14ac:dyDescent="0.25">
      <c r="A752" t="s">
        <v>1740</v>
      </c>
      <c r="B752" t="str">
        <f>IF(COUNTIF(A:A,A752)&gt;1,_xlfn.CONCAT(A752," (",N752,")"),A752)</f>
        <v>Móhuán Xiāng</v>
      </c>
      <c r="C752" t="str">
        <f>IF(COUNTIF(B:B,B752)&gt;1,_xlfn.CONCAT(A752," (",M752,")"),B752)</f>
        <v>Móhuán Xiāng</v>
      </c>
      <c r="D752" t="s">
        <v>1741</v>
      </c>
      <c r="E752" t="s">
        <v>7</v>
      </c>
      <c r="F752" t="str">
        <f>_xlfn.CONCAT(D752,", ",H752,", ",I752,", ","浙江省")</f>
        <v>模环乡, 龙游县, 衢州市, 浙江省</v>
      </c>
      <c r="G752">
        <v>27576</v>
      </c>
      <c r="H752" t="s">
        <v>2978</v>
      </c>
      <c r="I752" t="s">
        <v>2973</v>
      </c>
      <c r="J752" t="e">
        <f>VLOOKUP(F752,[1]!china_towns_second__2[[Column1]:[Y]],3,FALSE)</f>
        <v>#N/A</v>
      </c>
      <c r="K752" t="e">
        <f>VLOOKUP(F752,[1]!china_towns_second__2[[Column1]:[Y]],2,FALSE)</f>
        <v>#N/A</v>
      </c>
      <c r="L752" t="s">
        <v>4386</v>
      </c>
      <c r="M752" t="str">
        <f>VLOOKUP(H752,CHOOSE({1,2},Table12[Native],Table12[Name]),2,0)</f>
        <v>Lóngyóu Xiàn</v>
      </c>
      <c r="N752" s="15" t="str">
        <f>VLOOKUP(I752,CHOOSE({1,2},Table12[Native],Table12[Name]),2,0)</f>
        <v>Qúzhōu Shì</v>
      </c>
      <c r="O752" s="15" t="str">
        <f t="shared" si="22"/>
        <v>Mohuan Xiang (Qúzhōu Shì)</v>
      </c>
      <c r="P752" s="15" t="str">
        <f t="shared" si="23"/>
        <v>Mohuan Xiang (Qúzhōu Shì)</v>
      </c>
    </row>
    <row r="753" spans="1:16" hidden="1" x14ac:dyDescent="0.25">
      <c r="A753" t="s">
        <v>1507</v>
      </c>
      <c r="B753" t="str">
        <f>IF(COUNTIF(A:A,A753)&gt;1,_xlfn.CONCAT(A753," (",N753,")"),A753)</f>
        <v>Móushān Zhèn</v>
      </c>
      <c r="C753" t="str">
        <f>IF(COUNTIF(B:B,B753)&gt;1,_xlfn.CONCAT(A753," (",M753,")"),B753)</f>
        <v>Móushān Zhèn</v>
      </c>
      <c r="D753" t="s">
        <v>1508</v>
      </c>
      <c r="E753" t="s">
        <v>11</v>
      </c>
      <c r="F753" t="str">
        <f>_xlfn.CONCAT(D753,", ",H753,", ",I753,", ","浙江省")</f>
        <v>牟山镇, 余姚市, 宁波市, 浙江省</v>
      </c>
      <c r="G753">
        <v>20033</v>
      </c>
      <c r="H753" t="s">
        <v>2970</v>
      </c>
      <c r="I753" t="s">
        <v>2961</v>
      </c>
      <c r="J753">
        <f>VLOOKUP(F753,[1]!china_towns_second__2[[Column1]:[Y]],3,FALSE)</f>
        <v>30.0658688816306</v>
      </c>
      <c r="K753">
        <f>VLOOKUP(F753,[1]!china_towns_second__2[[Column1]:[Y]],2,FALSE)</f>
        <v>121.00373860000001</v>
      </c>
      <c r="L753" t="s">
        <v>4387</v>
      </c>
      <c r="M753" t="str">
        <f>VLOOKUP(H753,CHOOSE({1,2},Table12[Native],Table12[Name]),2,0)</f>
        <v>Yúyáo Shì</v>
      </c>
      <c r="N753" s="15" t="str">
        <f>VLOOKUP(I753,CHOOSE({1,2},Table12[Native],Table12[Name]),2,0)</f>
        <v>Níngbō Shì</v>
      </c>
      <c r="O753" s="15" t="str">
        <f t="shared" si="22"/>
        <v>Moushan Zhen (Níngbō Shì)</v>
      </c>
      <c r="P753" s="15" t="str">
        <f t="shared" si="23"/>
        <v>Moushan Zhen (Níngbō Shì)</v>
      </c>
    </row>
    <row r="754" spans="1:16" hidden="1" x14ac:dyDescent="0.25">
      <c r="A754" t="s">
        <v>1742</v>
      </c>
      <c r="B754" t="str">
        <f>IF(COUNTIF(A:A,A754)&gt;1,_xlfn.CONCAT(A754," (",N754,")"),A754)</f>
        <v>Mùchén Shēzú Xiāng</v>
      </c>
      <c r="C754" t="str">
        <f>IF(COUNTIF(B:B,B754)&gt;1,_xlfn.CONCAT(A754," (",M754,")"),B754)</f>
        <v>Mùchén Shēzú Xiāng</v>
      </c>
      <c r="D754" t="s">
        <v>1743</v>
      </c>
      <c r="E754" t="s">
        <v>7</v>
      </c>
      <c r="F754" t="str">
        <f>_xlfn.CONCAT(D754,", ",H754,", ",I754,", ","浙江省")</f>
        <v>沐尘畲族乡, 龙游县, 衢州市, 浙江省</v>
      </c>
      <c r="G754">
        <v>7650</v>
      </c>
      <c r="H754" t="s">
        <v>2978</v>
      </c>
      <c r="I754" t="s">
        <v>2973</v>
      </c>
      <c r="J754" t="e">
        <f>VLOOKUP(F754,[1]!china_towns_second__2[[Column1]:[Y]],3,FALSE)</f>
        <v>#N/A</v>
      </c>
      <c r="K754" t="e">
        <f>VLOOKUP(F754,[1]!china_towns_second__2[[Column1]:[Y]],2,FALSE)</f>
        <v>#N/A</v>
      </c>
      <c r="L754" t="s">
        <v>4388</v>
      </c>
      <c r="M754" t="str">
        <f>VLOOKUP(H754,CHOOSE({1,2},Table12[Native],Table12[Name]),2,0)</f>
        <v>Lóngyóu Xiàn</v>
      </c>
      <c r="N754" s="15" t="str">
        <f>VLOOKUP(I754,CHOOSE({1,2},Table12[Native],Table12[Name]),2,0)</f>
        <v>Qúzhōu Shì</v>
      </c>
      <c r="O754" s="15" t="str">
        <f t="shared" si="22"/>
        <v>Muchen Shezu Xiang (Qúzhōu Shì)</v>
      </c>
      <c r="P754" s="15" t="str">
        <f t="shared" si="23"/>
        <v>Muchen Shezu Xiang (Qúzhōu Shì)</v>
      </c>
    </row>
    <row r="755" spans="1:16" hidden="1" x14ac:dyDescent="0.25">
      <c r="A755" t="s">
        <v>2529</v>
      </c>
      <c r="B755" t="str">
        <f>IF(COUNTIF(A:A,A755)&gt;1,_xlfn.CONCAT(A755," (",N755,")"),A755)</f>
        <v>Nánbáixiàng Jiēdào</v>
      </c>
      <c r="C755" t="str">
        <f>IF(COUNTIF(B:B,B755)&gt;1,_xlfn.CONCAT(A755," (",M755,")"),B755)</f>
        <v>Nánbáixiàng Jiēdào</v>
      </c>
      <c r="D755" t="s">
        <v>2530</v>
      </c>
      <c r="E755" t="s">
        <v>15</v>
      </c>
      <c r="F755" t="str">
        <f>_xlfn.CONCAT(D755,", ",H755,", ",I755,", ","浙江省")</f>
        <v>南白象街道, 瓯海区, 温州市, 浙江省</v>
      </c>
      <c r="G755">
        <v>58673</v>
      </c>
      <c r="H755" t="s">
        <v>3005</v>
      </c>
      <c r="I755" t="s">
        <v>3000</v>
      </c>
      <c r="J755">
        <f>VLOOKUP(F755,[1]!china_towns_second__2[[Column1]:[Y]],3,FALSE)</f>
        <v>27.9397368265643</v>
      </c>
      <c r="K755">
        <f>VLOOKUP(F755,[1]!china_towns_second__2[[Column1]:[Y]],2,FALSE)</f>
        <v>120.67601980000001</v>
      </c>
      <c r="L755" t="s">
        <v>4389</v>
      </c>
      <c r="M755" t="str">
        <f>VLOOKUP(H755,CHOOSE({1,2},Table12[Native],Table12[Name]),2,0)</f>
        <v>Ōuhăi Qū</v>
      </c>
      <c r="N755" s="15" t="str">
        <f>VLOOKUP(I755,CHOOSE({1,2},Table12[Native],Table12[Name]),2,0)</f>
        <v>Wēnzhōu Shì</v>
      </c>
      <c r="O755" s="15" t="str">
        <f t="shared" si="22"/>
        <v>Nanbaixiang Jiedao (Wēnzhōu Shì)</v>
      </c>
      <c r="P755" s="15" t="str">
        <f t="shared" si="23"/>
        <v>Nanbaixiang Jiedao (Wēnzhōu Shì)</v>
      </c>
    </row>
    <row r="756" spans="1:16" hidden="1" x14ac:dyDescent="0.25">
      <c r="A756" t="s">
        <v>2157</v>
      </c>
      <c r="B756" t="str">
        <f>IF(COUNTIF(A:A,A756)&gt;1,_xlfn.CONCAT(A756," (",N756,")"),A756)</f>
        <v>Nánchéng Jiēdào</v>
      </c>
      <c r="C756" t="str">
        <f>IF(COUNTIF(B:B,B756)&gt;1,_xlfn.CONCAT(A756," (",M756,")"),B756)</f>
        <v>Nánchéng Jiēdào</v>
      </c>
      <c r="D756" t="s">
        <v>2158</v>
      </c>
      <c r="E756" t="s">
        <v>15</v>
      </c>
      <c r="F756" t="str">
        <f>_xlfn.CONCAT(D756,", ",H756,", ",I756,", ","浙江省")</f>
        <v>南城街道, 黄岩区, 台州市, 浙江省</v>
      </c>
      <c r="G756">
        <v>31505</v>
      </c>
      <c r="H756" t="s">
        <v>2990</v>
      </c>
      <c r="I756" t="s">
        <v>2989</v>
      </c>
      <c r="J756">
        <f>VLOOKUP(F756,[1]!china_towns_second__2[[Column1]:[Y]],3,FALSE)</f>
        <v>28.6082860666763</v>
      </c>
      <c r="K756">
        <f>VLOOKUP(F756,[1]!china_towns_second__2[[Column1]:[Y]],2,FALSE)</f>
        <v>121.2740628</v>
      </c>
      <c r="L756" t="s">
        <v>4390</v>
      </c>
      <c r="M756" t="str">
        <f>VLOOKUP(H756,CHOOSE({1,2},Table12[Native],Table12[Name]),2,0)</f>
        <v>Huángyán Qū</v>
      </c>
      <c r="N756" s="15" t="str">
        <f>VLOOKUP(I756,CHOOSE({1,2},Table12[Native],Table12[Name]),2,0)</f>
        <v>Táizhōu Shì</v>
      </c>
      <c r="O756" s="15" t="str">
        <f t="shared" si="22"/>
        <v>Nancheng Jiedao (Táizhōu Shì)</v>
      </c>
      <c r="P756" s="15" t="str">
        <f t="shared" si="23"/>
        <v>Nancheng Jiedao (Táizhōu Shì)</v>
      </c>
    </row>
    <row r="757" spans="1:16" hidden="1" x14ac:dyDescent="0.25">
      <c r="A757" t="s">
        <v>2159</v>
      </c>
      <c r="B757" t="str">
        <f>IF(COUNTIF(A:A,A757)&gt;1,_xlfn.CONCAT(A757," (",N757,")"),A757)</f>
        <v>Nánfēng Jiēdào</v>
      </c>
      <c r="C757" t="str">
        <f>IF(COUNTIF(B:B,B757)&gt;1,_xlfn.CONCAT(A757," (",M757,")"),B757)</f>
        <v>Nánfēng Jiēdào</v>
      </c>
      <c r="D757" t="s">
        <v>2160</v>
      </c>
      <c r="E757" t="s">
        <v>15</v>
      </c>
      <c r="F757" t="str">
        <f>_xlfn.CONCAT(D757,", ",H757,", ",I757,", ","浙江省")</f>
        <v>南峰街道, 仙居县, 台州市, 浙江省</v>
      </c>
      <c r="G757">
        <v>53426</v>
      </c>
      <c r="H757" t="s">
        <v>2997</v>
      </c>
      <c r="I757" t="s">
        <v>2989</v>
      </c>
      <c r="J757">
        <f>VLOOKUP(F757,[1]!china_towns_second__2[[Column1]:[Y]],3,FALSE)</f>
        <v>28.830244592326</v>
      </c>
      <c r="K757">
        <f>VLOOKUP(F757,[1]!china_towns_second__2[[Column1]:[Y]],2,FALSE)</f>
        <v>120.73966729999999</v>
      </c>
      <c r="L757" t="s">
        <v>4391</v>
      </c>
      <c r="M757" t="str">
        <f>VLOOKUP(H757,CHOOSE({1,2},Table12[Native],Table12[Name]),2,0)</f>
        <v>Xiānjū Xiàn</v>
      </c>
      <c r="N757" s="15" t="str">
        <f>VLOOKUP(I757,CHOOSE({1,2},Table12[Native],Table12[Name]),2,0)</f>
        <v>Táizhōu Shì</v>
      </c>
      <c r="O757" s="15" t="str">
        <f t="shared" si="22"/>
        <v>Nanfeng Jiedao (Táizhōu Shì)</v>
      </c>
      <c r="P757" s="15" t="str">
        <f t="shared" si="23"/>
        <v>Nanfeng Jiedao (Táizhōu Shì)</v>
      </c>
    </row>
    <row r="758" spans="1:16" hidden="1" x14ac:dyDescent="0.25">
      <c r="A758" t="s">
        <v>623</v>
      </c>
      <c r="B758" t="str">
        <f>IF(COUNTIF(A:A,A758)&gt;1,_xlfn.CONCAT(A758," (",N758,")"),A758)</f>
        <v>Nánhú Jiēdào</v>
      </c>
      <c r="C758" t="str">
        <f>IF(COUNTIF(B:B,B758)&gt;1,_xlfn.CONCAT(A758," (",M758,")"),B758)</f>
        <v>Nánhú Jiēdào</v>
      </c>
      <c r="D758" t="s">
        <v>624</v>
      </c>
      <c r="E758" t="s">
        <v>15</v>
      </c>
      <c r="F758" t="str">
        <f>_xlfn.CONCAT(D758,", ",H758,", ",I758,", ","浙江省")</f>
        <v>南湖街道, 南湖区, 嘉兴市, 浙江省</v>
      </c>
      <c r="G758">
        <v>65477</v>
      </c>
      <c r="H758" t="s">
        <v>2933</v>
      </c>
      <c r="I758" t="s">
        <v>2929</v>
      </c>
      <c r="J758">
        <f>VLOOKUP(F758,[1]!china_towns_second__2[[Column1]:[Y]],3,FALSE)</f>
        <v>30.754822913210099</v>
      </c>
      <c r="K758">
        <f>VLOOKUP(F758,[1]!china_towns_second__2[[Column1]:[Y]],2,FALSE)</f>
        <v>120.7630444</v>
      </c>
      <c r="L758" t="s">
        <v>4392</v>
      </c>
      <c r="M758" t="str">
        <f>VLOOKUP(H758,CHOOSE({1,2},Table12[Native],Table12[Name]),2,0)</f>
        <v>Nánhú Qū</v>
      </c>
      <c r="N758" s="15" t="str">
        <f>VLOOKUP(I758,CHOOSE({1,2},Table12[Native],Table12[Name]),2,0)</f>
        <v>Jiāxīng Shì</v>
      </c>
      <c r="O758" s="15" t="str">
        <f t="shared" si="22"/>
        <v>Nanhu Jiedao (Jiāxīng Shì)</v>
      </c>
      <c r="P758" s="15" t="str">
        <f t="shared" si="23"/>
        <v>Nanhu Jiedao (Jiāxīng Shì)</v>
      </c>
    </row>
    <row r="759" spans="1:16" hidden="1" x14ac:dyDescent="0.25">
      <c r="A759" t="s">
        <v>2533</v>
      </c>
      <c r="B759" t="str">
        <f>IF(COUNTIF(A:A,A759)&gt;1,_xlfn.CONCAT(A759," (",N759,")"),A759)</f>
        <v>Nánhú Xiāng</v>
      </c>
      <c r="C759" t="str">
        <f>IF(COUNTIF(B:B,B759)&gt;1,_xlfn.CONCAT(A759," (",M759,")"),B759)</f>
        <v>Nánhú Xiāng</v>
      </c>
      <c r="D759" t="s">
        <v>2534</v>
      </c>
      <c r="E759" t="s">
        <v>7</v>
      </c>
      <c r="F759" t="str">
        <f>_xlfn.CONCAT(D759,", ",H759,", ",I759,", ","浙江省")</f>
        <v>南湖乡, 平阳县, 温州市, 浙江省</v>
      </c>
      <c r="G759">
        <v>12257</v>
      </c>
      <c r="H759" t="s">
        <v>3006</v>
      </c>
      <c r="I759" t="s">
        <v>3000</v>
      </c>
      <c r="J759" t="e">
        <f>VLOOKUP(F759,[1]!china_towns_second__2[[Column1]:[Y]],3,FALSE)</f>
        <v>#N/A</v>
      </c>
      <c r="K759" t="e">
        <f>VLOOKUP(F759,[1]!china_towns_second__2[[Column1]:[Y]],2,FALSE)</f>
        <v>#N/A</v>
      </c>
      <c r="L759" t="s">
        <v>4393</v>
      </c>
      <c r="M759" t="str">
        <f>VLOOKUP(H759,CHOOSE({1,2},Table12[Native],Table12[Name]),2,0)</f>
        <v>Píngyáng Xiàn</v>
      </c>
      <c r="N759" s="15" t="str">
        <f>VLOOKUP(I759,CHOOSE({1,2},Table12[Native],Table12[Name]),2,0)</f>
        <v>Wēnzhōu Shì</v>
      </c>
      <c r="O759" s="15" t="str">
        <f t="shared" si="22"/>
        <v>Nanhu Xiang (Wēnzhōu Shì)</v>
      </c>
      <c r="P759" s="15" t="str">
        <f t="shared" si="23"/>
        <v>Nanhu Xiang (Wēnzhōu Shì)</v>
      </c>
    </row>
    <row r="760" spans="1:16" hidden="1" x14ac:dyDescent="0.25">
      <c r="A760" t="s">
        <v>2531</v>
      </c>
      <c r="B760" t="str">
        <f>IF(COUNTIF(A:A,A760)&gt;1,_xlfn.CONCAT(A760," (",N760,")"),A760)</f>
        <v>Nánhuì Jiēdào [incl. Nánjiāo Xiāng, Nánpŭ Jiēdào, Xiùshān Jiēdào]</v>
      </c>
      <c r="C760" t="str">
        <f>IF(COUNTIF(B:B,B760)&gt;1,_xlfn.CONCAT(A760," (",M760,")"),B760)</f>
        <v>Nánhuì Jiēdào [incl. Nánjiāo Xiāng, Nánpŭ Jiēdào, Xiùshān Jiēdào]</v>
      </c>
      <c r="D760" t="s">
        <v>2532</v>
      </c>
      <c r="E760" t="s">
        <v>15</v>
      </c>
      <c r="F760" t="str">
        <f>_xlfn.CONCAT(D760,", ",H760,", ",I760,", ","浙江省")</f>
        <v>南汇街道, 鹿城区, 温州市, 浙江省</v>
      </c>
      <c r="G760">
        <v>223798</v>
      </c>
      <c r="H760" t="s">
        <v>3004</v>
      </c>
      <c r="I760" t="s">
        <v>3000</v>
      </c>
      <c r="J760">
        <f>VLOOKUP(F760,[1]!china_towns_second__2[[Column1]:[Y]],3,FALSE)</f>
        <v>27.990505627622099</v>
      </c>
      <c r="K760">
        <f>VLOOKUP(F760,[1]!china_towns_second__2[[Column1]:[Y]],2,FALSE)</f>
        <v>120.6725223</v>
      </c>
      <c r="L760" t="s">
        <v>4394</v>
      </c>
      <c r="M760" t="str">
        <f>VLOOKUP(H760,CHOOSE({1,2},Table12[Native],Table12[Name]),2,0)</f>
        <v>Lùchéng Qū</v>
      </c>
      <c r="N760" s="15" t="str">
        <f>VLOOKUP(I760,CHOOSE({1,2},Table12[Native],Table12[Name]),2,0)</f>
        <v>Wēnzhōu Shì</v>
      </c>
      <c r="O760" s="15" t="str">
        <f t="shared" si="22"/>
        <v>Nanhui Jiedao [incl. Nanjiao Xiang, Nanpu Jiedao, Xiushan Jiedao] (Wēnzhōu Shì)</v>
      </c>
      <c r="P760" s="15" t="str">
        <f t="shared" si="23"/>
        <v>Nanhui Jiedao [incl. Nanjiao Xiang, Nanpu Jiedao, Xiushan Jiedao] (Wēnzhōu Shì)</v>
      </c>
    </row>
    <row r="761" spans="1:16" hidden="1" x14ac:dyDescent="0.25">
      <c r="A761" t="s">
        <v>2535</v>
      </c>
      <c r="B761" t="str">
        <f>IF(COUNTIF(A:A,A761)&gt;1,_xlfn.CONCAT(A761," (",N761,")"),A761)</f>
        <v>Nánjĭ Zhèn [→ Áojiāng Zhèn]</v>
      </c>
      <c r="C761" t="str">
        <f>IF(COUNTIF(B:B,B761)&gt;1,_xlfn.CONCAT(A761," (",M761,")"),B761)</f>
        <v>Nánjĭ Zhèn [→ Áojiāng Zhèn]</v>
      </c>
      <c r="D761" t="s">
        <v>2536</v>
      </c>
      <c r="E761" t="s">
        <v>11</v>
      </c>
      <c r="F761" t="str">
        <f>_xlfn.CONCAT(D761,", ",H761,", ",I761,", ","浙江省")</f>
        <v>南麂镇, 平阳县, 温州市, 浙江省</v>
      </c>
      <c r="G761">
        <v>1176</v>
      </c>
      <c r="H761" t="s">
        <v>3006</v>
      </c>
      <c r="I761" t="s">
        <v>3000</v>
      </c>
      <c r="J761">
        <f>VLOOKUP(F761,[1]!china_towns_second__2[[Column1]:[Y]],3,FALSE)</f>
        <v>27.467578799999998</v>
      </c>
      <c r="K761">
        <f>VLOOKUP(F761,[1]!china_towns_second__2[[Column1]:[Y]],2,FALSE)</f>
        <v>121.0660422</v>
      </c>
      <c r="L761" t="s">
        <v>4395</v>
      </c>
      <c r="M761" t="str">
        <f>VLOOKUP(H761,CHOOSE({1,2},Table12[Native],Table12[Name]),2,0)</f>
        <v>Píngyáng Xiàn</v>
      </c>
      <c r="N761" s="15" t="str">
        <f>VLOOKUP(I761,CHOOSE({1,2},Table12[Native],Table12[Name]),2,0)</f>
        <v>Wēnzhōu Shì</v>
      </c>
      <c r="O761" s="15" t="str">
        <f t="shared" si="22"/>
        <v>Nanji Zhen [→ Aojiang Zhen] (Wēnzhōu Shì)</v>
      </c>
      <c r="P761" s="15" t="str">
        <f t="shared" si="23"/>
        <v>Nanji Zhen [→ Aojiang Zhen] (Wēnzhōu Shì)</v>
      </c>
    </row>
    <row r="762" spans="1:16" hidden="1" x14ac:dyDescent="0.25">
      <c r="A762" t="s">
        <v>851</v>
      </c>
      <c r="B762" t="str">
        <f>IF(COUNTIF(A:A,A762)&gt;1,_xlfn.CONCAT(A762," (",N762,")"),A762)</f>
        <v>Nánmă Zhèn</v>
      </c>
      <c r="C762" t="str">
        <f>IF(COUNTIF(B:B,B762)&gt;1,_xlfn.CONCAT(A762," (",M762,")"),B762)</f>
        <v>Nánmă Zhèn</v>
      </c>
      <c r="D762" t="s">
        <v>852</v>
      </c>
      <c r="E762" t="s">
        <v>11</v>
      </c>
      <c r="F762" t="str">
        <f>_xlfn.CONCAT(D762,", ",H762,", ",I762,", ","浙江省")</f>
        <v>南马镇, 东阳市, 金华市, 浙江省</v>
      </c>
      <c r="G762">
        <v>62121</v>
      </c>
      <c r="H762" t="s">
        <v>2939</v>
      </c>
      <c r="I762" t="s">
        <v>2938</v>
      </c>
      <c r="J762">
        <f>VLOOKUP(F762,[1]!china_towns_second__2[[Column1]:[Y]],3,FALSE)</f>
        <v>29.093516593175</v>
      </c>
      <c r="K762">
        <f>VLOOKUP(F762,[1]!china_towns_second__2[[Column1]:[Y]],2,FALSE)</f>
        <v>120.2198946</v>
      </c>
      <c r="L762" t="s">
        <v>4396</v>
      </c>
      <c r="M762" t="str">
        <f>VLOOKUP(H762,CHOOSE({1,2},Table12[Native],Table12[Name]),2,0)</f>
        <v>Dōngyáng Shì</v>
      </c>
      <c r="N762" s="15" t="str">
        <f>VLOOKUP(I762,CHOOSE({1,2},Table12[Native],Table12[Name]),2,0)</f>
        <v>Jīnhuá Shì</v>
      </c>
      <c r="O762" s="15" t="str">
        <f t="shared" si="22"/>
        <v>Nanma Zhen (Jīnhuá Shì)</v>
      </c>
      <c r="P762" s="15" t="str">
        <f t="shared" si="23"/>
        <v>Nanma Zhen (Jīnhuá Shì)</v>
      </c>
    </row>
    <row r="763" spans="1:16" hidden="1" x14ac:dyDescent="0.25">
      <c r="A763" t="s">
        <v>1509</v>
      </c>
      <c r="B763" t="str">
        <f>IF(COUNTIF(A:A,A763)&gt;1,_xlfn.CONCAT(A763," (",N763,")"),A763)</f>
        <v>Nánmén Jiēdào</v>
      </c>
      <c r="C763" t="str">
        <f>IF(COUNTIF(B:B,B763)&gt;1,_xlfn.CONCAT(A763," (",M763,")"),B763)</f>
        <v>Nánmén Jiēdào</v>
      </c>
      <c r="D763" t="s">
        <v>1510</v>
      </c>
      <c r="E763" t="s">
        <v>15</v>
      </c>
      <c r="F763" t="str">
        <f>_xlfn.CONCAT(D763,", ",H763,", ",I763,", ","浙江省")</f>
        <v>南门街道, 海曙区, 宁波市, 浙江省</v>
      </c>
      <c r="G763">
        <v>56931</v>
      </c>
      <c r="H763" t="s">
        <v>2965</v>
      </c>
      <c r="I763" t="s">
        <v>2961</v>
      </c>
      <c r="J763">
        <f>VLOOKUP(F763,[1]!china_towns_second__2[[Column1]:[Y]],3,FALSE)</f>
        <v>29.8643284615233</v>
      </c>
      <c r="K763">
        <f>VLOOKUP(F763,[1]!china_towns_second__2[[Column1]:[Y]],2,FALSE)</f>
        <v>121.53285</v>
      </c>
      <c r="L763" t="s">
        <v>4397</v>
      </c>
      <c r="M763" t="str">
        <f>VLOOKUP(H763,CHOOSE({1,2},Table12[Native],Table12[Name]),2,0)</f>
        <v>Hăishŭ Qū</v>
      </c>
      <c r="N763" s="15" t="str">
        <f>VLOOKUP(I763,CHOOSE({1,2},Table12[Native],Table12[Name]),2,0)</f>
        <v>Níngbō Shì</v>
      </c>
      <c r="O763" s="15" t="str">
        <f t="shared" si="22"/>
        <v>Nanmen Jiedao (Níngbō Shì)</v>
      </c>
      <c r="P763" s="15" t="str">
        <f t="shared" si="23"/>
        <v>Nanmen Jiedao (Níngbō Shì)</v>
      </c>
    </row>
    <row r="764" spans="1:16" hidden="1" x14ac:dyDescent="0.25">
      <c r="A764" t="s">
        <v>1954</v>
      </c>
      <c r="B764" t="str">
        <f>IF(COUNTIF(A:A,A764)&gt;1,_xlfn.CONCAT(A764," (",N764,")"),A764)</f>
        <v>Nánmíng Jiēdào</v>
      </c>
      <c r="C764" t="str">
        <f>IF(COUNTIF(B:B,B764)&gt;1,_xlfn.CONCAT(A764," (",M764,")"),B764)</f>
        <v>Nánmíng Jiēdào</v>
      </c>
      <c r="D764" t="s">
        <v>1955</v>
      </c>
      <c r="E764" t="s">
        <v>15</v>
      </c>
      <c r="F764" t="str">
        <f>_xlfn.CONCAT(D764,", ",H764,", ",I764,", ","浙江省")</f>
        <v>南明街道, 新昌县, 绍兴市, 浙江省</v>
      </c>
      <c r="G764">
        <v>91598</v>
      </c>
      <c r="H764" t="s">
        <v>2985</v>
      </c>
      <c r="I764" t="s">
        <v>2981</v>
      </c>
      <c r="J764">
        <f>VLOOKUP(F764,[1]!china_towns_second__2[[Column1]:[Y]],3,FALSE)</f>
        <v>29.454264441248199</v>
      </c>
      <c r="K764">
        <f>VLOOKUP(F764,[1]!china_towns_second__2[[Column1]:[Y]],2,FALSE)</f>
        <v>120.9329932</v>
      </c>
      <c r="L764" t="s">
        <v>4398</v>
      </c>
      <c r="M764" t="str">
        <f>VLOOKUP(H764,CHOOSE({1,2},Table12[Native],Table12[Name]),2,0)</f>
        <v>Xīnchāng Xiàn</v>
      </c>
      <c r="N764" s="15" t="str">
        <f>VLOOKUP(I764,CHOOSE({1,2},Table12[Native],Table12[Name]),2,0)</f>
        <v>Shàoxīng Shì</v>
      </c>
      <c r="O764" s="15" t="str">
        <f t="shared" si="22"/>
        <v>Nanming Jiedao (Shàoxīng Shì)</v>
      </c>
      <c r="P764" s="15" t="str">
        <f t="shared" si="23"/>
        <v>Nanming Jiedao (Shàoxīng Shì)</v>
      </c>
    </row>
    <row r="765" spans="1:16" hidden="1" x14ac:dyDescent="0.25">
      <c r="A765" t="s">
        <v>1177</v>
      </c>
      <c r="B765" t="str">
        <f>IF(COUNTIF(A:A,A765)&gt;1,_xlfn.CONCAT(A765," (",N765,")"),A765)</f>
        <v>Nánmíngshān Jiēdào [incl. Shuĭgé Jiēdào, Fùlĭng Jiēdào]</v>
      </c>
      <c r="C765" t="str">
        <f>IF(COUNTIF(B:B,B765)&gt;1,_xlfn.CONCAT(A765," (",M765,")"),B765)</f>
        <v>Nánmíngshān Jiēdào [incl. Shuĭgé Jiēdào, Fùlĭng Jiēdào]</v>
      </c>
      <c r="D765" t="s">
        <v>1178</v>
      </c>
      <c r="E765" t="s">
        <v>15</v>
      </c>
      <c r="F765" t="str">
        <f>_xlfn.CONCAT(D765,", ",H765,", ",I765,", ","浙江省")</f>
        <v>南明山街道, 莲都区, 丽水市, 浙江省</v>
      </c>
      <c r="G765">
        <v>56574</v>
      </c>
      <c r="H765" t="s">
        <v>2953</v>
      </c>
      <c r="I765" t="s">
        <v>2949</v>
      </c>
      <c r="J765" t="e">
        <f>VLOOKUP(F765,[1]!china_towns_second__2[[Column1]:[Y]],3,FALSE)</f>
        <v>#N/A</v>
      </c>
      <c r="K765" t="e">
        <f>VLOOKUP(F765,[1]!china_towns_second__2[[Column1]:[Y]],2,FALSE)</f>
        <v>#N/A</v>
      </c>
      <c r="L765" t="s">
        <v>4399</v>
      </c>
      <c r="M765" t="str">
        <f>VLOOKUP(H765,CHOOSE({1,2},Table12[Native],Table12[Name]),2,0)</f>
        <v>Liándū Qū</v>
      </c>
      <c r="N765" s="15" t="str">
        <f>VLOOKUP(I765,CHOOSE({1,2},Table12[Native],Table12[Name]),2,0)</f>
        <v>Lìshuĭ Shì</v>
      </c>
      <c r="O765" s="15" t="str">
        <f t="shared" si="22"/>
        <v>Nanmingshan Jiedao [incl. Shuige Jiedao, Fuling Jiedao] (Lìshuĭ Shì)</v>
      </c>
      <c r="P765" s="15" t="str">
        <f t="shared" si="23"/>
        <v>Nanmingshan Jiedao [incl. Shuige Jiedao, Fuling Jiedao] (Lìshuĭ Shì)</v>
      </c>
    </row>
    <row r="766" spans="1:16" hidden="1" x14ac:dyDescent="0.25">
      <c r="A766" t="s">
        <v>2161</v>
      </c>
      <c r="B766" t="str">
        <f>IF(COUNTIF(A:A,A766)&gt;1,_xlfn.CONCAT(A766," (",N766,")"),A766)</f>
        <v>Nánpíng Xiāng</v>
      </c>
      <c r="C766" t="str">
        <f>IF(COUNTIF(B:B,B766)&gt;1,_xlfn.CONCAT(A766," (",M766,")"),B766)</f>
        <v>Nánpíng Xiāng</v>
      </c>
      <c r="D766" t="s">
        <v>2162</v>
      </c>
      <c r="E766" t="s">
        <v>7</v>
      </c>
      <c r="F766" t="str">
        <f>_xlfn.CONCAT(D766,", ",H766,", ",I766,", ","浙江省")</f>
        <v>南屏乡, 天台县, 台州市, 浙江省</v>
      </c>
      <c r="G766">
        <v>4259</v>
      </c>
      <c r="H766" t="s">
        <v>2995</v>
      </c>
      <c r="I766" t="s">
        <v>2989</v>
      </c>
      <c r="J766" t="e">
        <f>VLOOKUP(F766,[1]!china_towns_second__2[[Column1]:[Y]],3,FALSE)</f>
        <v>#N/A</v>
      </c>
      <c r="K766" t="e">
        <f>VLOOKUP(F766,[1]!china_towns_second__2[[Column1]:[Y]],2,FALSE)</f>
        <v>#N/A</v>
      </c>
      <c r="L766" t="s">
        <v>4400</v>
      </c>
      <c r="M766" t="str">
        <f>VLOOKUP(H766,CHOOSE({1,2},Table12[Native],Table12[Name]),2,0)</f>
        <v>Tiāntái Xiàn</v>
      </c>
      <c r="N766" s="15" t="str">
        <f>VLOOKUP(I766,CHOOSE({1,2},Table12[Native],Table12[Name]),2,0)</f>
        <v>Táizhōu Shì</v>
      </c>
      <c r="O766" s="15" t="str">
        <f t="shared" si="22"/>
        <v>Nanping Xiang (Táizhōu Shì)</v>
      </c>
      <c r="P766" s="15" t="str">
        <f t="shared" si="23"/>
        <v>Nanping Xiang (Táizhōu Shì)</v>
      </c>
    </row>
    <row r="767" spans="1:16" hidden="1" x14ac:dyDescent="0.25">
      <c r="A767" t="s">
        <v>853</v>
      </c>
      <c r="B767" t="str">
        <f>IF(COUNTIF(A:A,A767)&gt;1,_xlfn.CONCAT(A767," (",N767,")"),A767)</f>
        <v>Nánshì Jiēdào</v>
      </c>
      <c r="C767" t="str">
        <f>IF(COUNTIF(B:B,B767)&gt;1,_xlfn.CONCAT(A767," (",M767,")"),B767)</f>
        <v>Nánshì Jiēdào</v>
      </c>
      <c r="D767" t="s">
        <v>854</v>
      </c>
      <c r="E767" t="s">
        <v>15</v>
      </c>
      <c r="F767" t="str">
        <f>_xlfn.CONCAT(D767,", ",H767,", ",I767,", ","浙江省")</f>
        <v>南市街道, 东阳市, 金华市, 浙江省</v>
      </c>
      <c r="G767">
        <v>39501</v>
      </c>
      <c r="H767" t="s">
        <v>2939</v>
      </c>
      <c r="I767" t="s">
        <v>2938</v>
      </c>
      <c r="J767">
        <f>VLOOKUP(F767,[1]!china_towns_second__2[[Column1]:[Y]],3,FALSE)</f>
        <v>29.191150091150799</v>
      </c>
      <c r="K767">
        <f>VLOOKUP(F767,[1]!china_towns_second__2[[Column1]:[Y]],2,FALSE)</f>
        <v>120.2213301</v>
      </c>
      <c r="L767" t="s">
        <v>4401</v>
      </c>
      <c r="M767" t="str">
        <f>VLOOKUP(H767,CHOOSE({1,2},Table12[Native],Table12[Name]),2,0)</f>
        <v>Dōngyáng Shì</v>
      </c>
      <c r="N767" s="15" t="str">
        <f>VLOOKUP(I767,CHOOSE({1,2},Table12[Native],Table12[Name]),2,0)</f>
        <v>Jīnhuá Shì</v>
      </c>
      <c r="O767" s="15" t="str">
        <f t="shared" si="22"/>
        <v>Nanshi Jiedao (Jīnhuá Shì)</v>
      </c>
      <c r="P767" s="15" t="str">
        <f t="shared" si="23"/>
        <v>Nanshi Jiedao (Jīnhuá Shì)</v>
      </c>
    </row>
    <row r="768" spans="1:16" hidden="1" x14ac:dyDescent="0.25">
      <c r="A768" t="s">
        <v>2537</v>
      </c>
      <c r="B768" t="str">
        <f>IF(COUNTIF(A:A,A768)&gt;1,_xlfn.CONCAT(A768," (",N768,")"),A768)</f>
        <v>Nánsòng Zhèn [→ Fánshān Zhèn]</v>
      </c>
      <c r="C768" t="str">
        <f>IF(COUNTIF(B:B,B768)&gt;1,_xlfn.CONCAT(A768," (",M768,")"),B768)</f>
        <v>Nánsòng Zhèn [→ Fánshān Zhèn]</v>
      </c>
      <c r="D768" t="s">
        <v>2538</v>
      </c>
      <c r="E768" t="s">
        <v>11</v>
      </c>
      <c r="F768" t="str">
        <f>_xlfn.CONCAT(D768,", ",H768,", ",I768,", ","浙江省")</f>
        <v>南宋镇, 苍南县, 温州市, 浙江省</v>
      </c>
      <c r="G768">
        <v>8401</v>
      </c>
      <c r="H768" t="s">
        <v>3001</v>
      </c>
      <c r="I768" t="s">
        <v>3000</v>
      </c>
      <c r="J768">
        <f>VLOOKUP(F768,[1]!china_towns_second__2[[Column1]:[Y]],3,FALSE)</f>
        <v>27.388372799999999</v>
      </c>
      <c r="K768">
        <f>VLOOKUP(F768,[1]!china_towns_second__2[[Column1]:[Y]],2,FALSE)</f>
        <v>120.3887951</v>
      </c>
      <c r="L768" t="s">
        <v>4402</v>
      </c>
      <c r="M768" t="str">
        <f>VLOOKUP(H768,CHOOSE({1,2},Table12[Native],Table12[Name]),2,0)</f>
        <v>Cāngnán Xiàn</v>
      </c>
      <c r="N768" s="15" t="str">
        <f>VLOOKUP(I768,CHOOSE({1,2},Table12[Native],Table12[Name]),2,0)</f>
        <v>Wēnzhōu Shì</v>
      </c>
      <c r="O768" s="15" t="str">
        <f t="shared" si="22"/>
        <v>Nansong Zhen [→ Fanshan Zhen] (Wēnzhōu Shì)</v>
      </c>
      <c r="P768" s="15" t="str">
        <f t="shared" si="23"/>
        <v>Nansong Zhen [→ Fanshan Zhen] (Wēnzhōu Shì)</v>
      </c>
    </row>
    <row r="769" spans="1:16" hidden="1" x14ac:dyDescent="0.25">
      <c r="A769" t="s">
        <v>2539</v>
      </c>
      <c r="B769" t="str">
        <f>IF(COUNTIF(A:A,A769)&gt;1,_xlfn.CONCAT(A769," (",N769,")"),A769)</f>
        <v>Nántáng Zhèn [→ Qīngjiāng Zhèn]</v>
      </c>
      <c r="C769" t="str">
        <f>IF(COUNTIF(B:B,B769)&gt;1,_xlfn.CONCAT(A769," (",M769,")"),B769)</f>
        <v>Nántáng Zhèn [→ Qīngjiāng Zhèn]</v>
      </c>
      <c r="D769" t="s">
        <v>2540</v>
      </c>
      <c r="E769" t="s">
        <v>11</v>
      </c>
      <c r="F769" t="str">
        <f>_xlfn.CONCAT(D769,", ",H769,", ",I769,", ","浙江省")</f>
        <v>南塘镇, 乐清市, 温州市, 浙江省</v>
      </c>
      <c r="G769">
        <v>19413</v>
      </c>
      <c r="H769" t="s">
        <v>3011</v>
      </c>
      <c r="I769" t="s">
        <v>3000</v>
      </c>
      <c r="J769">
        <f>VLOOKUP(F769,[1]!china_towns_second__2[[Column1]:[Y]],3,FALSE)</f>
        <v>28.246479000000001</v>
      </c>
      <c r="K769">
        <f>VLOOKUP(F769,[1]!china_towns_second__2[[Column1]:[Y]],2,FALSE)</f>
        <v>121.108345</v>
      </c>
      <c r="L769" t="s">
        <v>4403</v>
      </c>
      <c r="M769" t="str">
        <f>VLOOKUP(H769,CHOOSE({1,2},Table12[Native],Table12[Name]),2,0)</f>
        <v>Yuèqīng Shì</v>
      </c>
      <c r="N769" s="15" t="str">
        <f>VLOOKUP(I769,CHOOSE({1,2},Table12[Native],Table12[Name]),2,0)</f>
        <v>Wēnzhōu Shì</v>
      </c>
      <c r="O769" s="15" t="str">
        <f t="shared" si="22"/>
        <v>Nantang Zhen [→ Qingjiang Zhen] (Wēnzhōu Shì)</v>
      </c>
      <c r="P769" s="15" t="str">
        <f t="shared" si="23"/>
        <v>Nantang Zhen [→ Qingjiang Zhen] (Wēnzhōu Shì)</v>
      </c>
    </row>
    <row r="770" spans="1:16" hidden="1" x14ac:dyDescent="0.25">
      <c r="A770" t="s">
        <v>2541</v>
      </c>
      <c r="B770" t="str">
        <f>IF(COUNTIF(A:A,A770)&gt;1,_xlfn.CONCAT(A770," (",N770,")"),A770)</f>
        <v>Nántián Zhèn</v>
      </c>
      <c r="C770" t="str">
        <f>IF(COUNTIF(B:B,B770)&gt;1,_xlfn.CONCAT(A770," (",M770,")"),B770)</f>
        <v>Nántián Zhèn</v>
      </c>
      <c r="D770" t="s">
        <v>2542</v>
      </c>
      <c r="E770" t="s">
        <v>11</v>
      </c>
      <c r="F770" t="str">
        <f>_xlfn.CONCAT(D770,", ",H770,", ",I770,", ","浙江省")</f>
        <v>南田镇, 文成县, 温州市, 浙江省</v>
      </c>
      <c r="G770">
        <v>15411</v>
      </c>
      <c r="H770" t="s">
        <v>3009</v>
      </c>
      <c r="I770" t="s">
        <v>3000</v>
      </c>
      <c r="J770">
        <f>VLOOKUP(F770,[1]!china_towns_second__2[[Column1]:[Y]],3,FALSE)</f>
        <v>27.9243744526221</v>
      </c>
      <c r="K770">
        <f>VLOOKUP(F770,[1]!china_towns_second__2[[Column1]:[Y]],2,FALSE)</f>
        <v>119.95156830000001</v>
      </c>
      <c r="L770" t="s">
        <v>4404</v>
      </c>
      <c r="M770" t="str">
        <f>VLOOKUP(H770,CHOOSE({1,2},Table12[Native],Table12[Name]),2,0)</f>
        <v>Wénchéng Xiàn</v>
      </c>
      <c r="N770" s="15" t="str">
        <f>VLOOKUP(I770,CHOOSE({1,2},Table12[Native],Table12[Name]),2,0)</f>
        <v>Wēnzhōu Shì</v>
      </c>
      <c r="O770" s="15" t="str">
        <f t="shared" ref="O770:O833" si="24">_xlfn.CONCAT(L770," (",N770,")")</f>
        <v>Nantian Zhen (Wēnzhōu Shì)</v>
      </c>
      <c r="P770" s="15" t="str">
        <f t="shared" ref="P770:P833" si="25">IF(COUNTIF(O:O,O770)&gt;1,_xlfn.CONCAT(L770," (",M770,")"),O770)</f>
        <v>Nantian Zhen (Wēnzhōu Shì)</v>
      </c>
    </row>
    <row r="771" spans="1:16" hidden="1" x14ac:dyDescent="0.25">
      <c r="A771" t="s">
        <v>227</v>
      </c>
      <c r="B771" t="str">
        <f>IF(COUNTIF(A:A,A771)&gt;1,_xlfn.CONCAT(A771," (",N771,")"),A771)</f>
        <v>Nánxīng Jiēdào</v>
      </c>
      <c r="C771" t="str">
        <f>IF(COUNTIF(B:B,B771)&gt;1,_xlfn.CONCAT(A771," (",M771,")"),B771)</f>
        <v>Nánxīng Jiēdào</v>
      </c>
      <c r="D771" t="s">
        <v>228</v>
      </c>
      <c r="E771" t="s">
        <v>15</v>
      </c>
      <c r="F771" t="str">
        <f>_xlfn.CONCAT(D771,", ",H771,", ",I771,", ","浙江省")</f>
        <v>南星街道, 上城区, 杭州市, 浙江省</v>
      </c>
      <c r="G771">
        <v>47967</v>
      </c>
      <c r="H771" t="s">
        <v>2915</v>
      </c>
      <c r="I771" t="s">
        <v>2903</v>
      </c>
      <c r="J771">
        <f>VLOOKUP(F771,[1]!china_towns_second__2[[Column1]:[Y]],3,FALSE)</f>
        <v>30.211887181551699</v>
      </c>
      <c r="K771">
        <f>VLOOKUP(F771,[1]!china_towns_second__2[[Column1]:[Y]],2,FALSE)</f>
        <v>120.1545414</v>
      </c>
      <c r="L771" t="s">
        <v>4405</v>
      </c>
      <c r="M771" t="str">
        <f>VLOOKUP(H771,CHOOSE({1,2},Table12[Native],Table12[Name]),2,0)</f>
        <v>Shàngchéng Qū</v>
      </c>
      <c r="N771" s="15" t="str">
        <f>VLOOKUP(I771,CHOOSE({1,2},Table12[Native],Table12[Name]),2,0)</f>
        <v>Hángzhōu Shì</v>
      </c>
      <c r="O771" s="15" t="str">
        <f t="shared" si="24"/>
        <v>Nanxing Jiedao (Hángzhōu Shì)</v>
      </c>
      <c r="P771" s="15" t="str">
        <f t="shared" si="25"/>
        <v>Nanxing Jiedao (Hángzhōu Shì)</v>
      </c>
    </row>
    <row r="772" spans="1:16" hidden="1" x14ac:dyDescent="0.25">
      <c r="A772" t="s">
        <v>493</v>
      </c>
      <c r="B772" t="str">
        <f>IF(COUNTIF(A:A,A772)&gt;1,_xlfn.CONCAT(A772," (",N772,")"),A772)</f>
        <v>Nánxún Zhèn</v>
      </c>
      <c r="C772" t="str">
        <f>IF(COUNTIF(B:B,B772)&gt;1,_xlfn.CONCAT(A772," (",M772,")"),B772)</f>
        <v>Nánxún Zhèn</v>
      </c>
      <c r="D772" t="s">
        <v>494</v>
      </c>
      <c r="E772" t="s">
        <v>11</v>
      </c>
      <c r="F772" t="str">
        <f>_xlfn.CONCAT(D772,", ",H772,", ",I772,", ","浙江省")</f>
        <v>南浔镇, 南浔区, 湖州市, 浙江省</v>
      </c>
      <c r="G772">
        <v>126872</v>
      </c>
      <c r="H772" t="s">
        <v>2926</v>
      </c>
      <c r="I772" t="s">
        <v>2922</v>
      </c>
      <c r="J772">
        <f>VLOOKUP(F772,[1]!china_towns_second__2[[Column1]:[Y]],3,FALSE)</f>
        <v>30.836128105611301</v>
      </c>
      <c r="K772">
        <f>VLOOKUP(F772,[1]!china_towns_second__2[[Column1]:[Y]],2,FALSE)</f>
        <v>120.40326949999999</v>
      </c>
      <c r="L772" t="s">
        <v>4406</v>
      </c>
      <c r="M772" t="str">
        <f>VLOOKUP(H772,CHOOSE({1,2},Table12[Native],Table12[Name]),2,0)</f>
        <v>Nánxún Qū</v>
      </c>
      <c r="N772" s="15" t="str">
        <f>VLOOKUP(I772,CHOOSE({1,2},Table12[Native],Table12[Name]),2,0)</f>
        <v>Húzhōu Shì</v>
      </c>
      <c r="O772" s="15" t="str">
        <f t="shared" si="24"/>
        <v>Nanxun Zhen (Húzhōu Shì)</v>
      </c>
      <c r="P772" s="15" t="str">
        <f t="shared" si="25"/>
        <v>Nanxun Zhen (Húzhōu Shì)</v>
      </c>
    </row>
    <row r="773" spans="1:16" hidden="1" x14ac:dyDescent="0.25">
      <c r="A773" t="s">
        <v>2543</v>
      </c>
      <c r="B773" t="str">
        <f>IF(COUNTIF(A:A,A773)&gt;1,_xlfn.CONCAT(A773," (",N773,")"),A773)</f>
        <v>Nányàn Zhèn</v>
      </c>
      <c r="C773" t="str">
        <f>IF(COUNTIF(B:B,B773)&gt;1,_xlfn.CONCAT(A773," (",M773,")"),B773)</f>
        <v>Nányàn Zhèn</v>
      </c>
      <c r="D773" t="s">
        <v>2544</v>
      </c>
      <c r="E773" t="s">
        <v>11</v>
      </c>
      <c r="F773" t="str">
        <f>_xlfn.CONCAT(D773,", ",H773,", ",I773,", ","浙江省")</f>
        <v>南雁镇, 平阳县, 温州市, 浙江省</v>
      </c>
      <c r="G773">
        <v>17096</v>
      </c>
      <c r="H773" t="s">
        <v>3006</v>
      </c>
      <c r="I773" t="s">
        <v>3000</v>
      </c>
      <c r="J773">
        <f>VLOOKUP(F773,[1]!china_towns_second__2[[Column1]:[Y]],3,FALSE)</f>
        <v>27.5997508207174</v>
      </c>
      <c r="K773">
        <f>VLOOKUP(F773,[1]!china_towns_second__2[[Column1]:[Y]],2,FALSE)</f>
        <v>120.2414093</v>
      </c>
      <c r="L773" t="s">
        <v>4407</v>
      </c>
      <c r="M773" t="str">
        <f>VLOOKUP(H773,CHOOSE({1,2},Table12[Native],Table12[Name]),2,0)</f>
        <v>Píngyáng Xiàn</v>
      </c>
      <c r="N773" s="15" t="str">
        <f>VLOOKUP(I773,CHOOSE({1,2},Table12[Native],Table12[Name]),2,0)</f>
        <v>Wēnzhōu Shì</v>
      </c>
      <c r="O773" s="15" t="str">
        <f t="shared" si="24"/>
        <v>Nanyan Zhen (Wēnzhōu Shì)</v>
      </c>
      <c r="P773" s="15" t="str">
        <f t="shared" si="25"/>
        <v>Nanyan Zhen (Wēnzhōu Shì)</v>
      </c>
    </row>
    <row r="774" spans="1:16" hidden="1" x14ac:dyDescent="0.25">
      <c r="A774" t="s">
        <v>229</v>
      </c>
      <c r="B774" t="str">
        <f>IF(COUNTIF(A:A,A774)&gt;1,_xlfn.CONCAT(A774," (",N774,")"),A774)</f>
        <v>Nányáng Jiēdào</v>
      </c>
      <c r="C774" t="str">
        <f>IF(COUNTIF(B:B,B774)&gt;1,_xlfn.CONCAT(A774," (",M774,")"),B774)</f>
        <v>Nányáng Jiēdào</v>
      </c>
      <c r="D774" t="s">
        <v>230</v>
      </c>
      <c r="E774" t="s">
        <v>15</v>
      </c>
      <c r="F774" t="str">
        <f>_xlfn.CONCAT(D774,", ",H774,", ",I774,", ","浙江省")</f>
        <v>南阳街道, 萧山区, 杭州市, 浙江省</v>
      </c>
      <c r="G774">
        <v>52464</v>
      </c>
      <c r="H774" t="s">
        <v>2917</v>
      </c>
      <c r="I774" t="s">
        <v>2903</v>
      </c>
      <c r="J774">
        <f>VLOOKUP(F774,[1]!china_towns_second__2[[Column1]:[Y]],3,FALSE)</f>
        <v>30.267436313885899</v>
      </c>
      <c r="K774">
        <f>VLOOKUP(F774,[1]!china_towns_second__2[[Column1]:[Y]],2,FALSE)</f>
        <v>120.4189587</v>
      </c>
      <c r="L774" t="s">
        <v>4408</v>
      </c>
      <c r="M774" t="str">
        <f>VLOOKUP(H774,CHOOSE({1,2},Table12[Native],Table12[Name]),2,0)</f>
        <v>Xiāoshān Qū</v>
      </c>
      <c r="N774" s="15" t="str">
        <f>VLOOKUP(I774,CHOOSE({1,2},Table12[Native],Table12[Name]),2,0)</f>
        <v>Hángzhōu Shì</v>
      </c>
      <c r="O774" s="15" t="str">
        <f t="shared" si="24"/>
        <v>Nanyang Jiedao (Hángzhōu Shì)</v>
      </c>
      <c r="P774" s="15" t="str">
        <f t="shared" si="25"/>
        <v>Nanyang Jiedao (Hángzhōu Shì)</v>
      </c>
    </row>
    <row r="775" spans="1:16" hidden="1" x14ac:dyDescent="0.25">
      <c r="A775" t="s">
        <v>231</v>
      </c>
      <c r="B775" t="str">
        <f>IF(COUNTIF(A:A,A775)&gt;1,_xlfn.CONCAT(A775," (",N775,")"),A775)</f>
        <v>Nányuàn Jiēdào</v>
      </c>
      <c r="C775" t="str">
        <f>IF(COUNTIF(B:B,B775)&gt;1,_xlfn.CONCAT(A775," (",M775,")"),B775)</f>
        <v>Nányuàn Jiēdào</v>
      </c>
      <c r="D775" t="s">
        <v>232</v>
      </c>
      <c r="E775" t="s">
        <v>15</v>
      </c>
      <c r="F775" t="str">
        <f>_xlfn.CONCAT(D775,", ",H775,", ",I775,", ","浙江省")</f>
        <v>南苑街道, 临平区, 杭州市, 浙江省</v>
      </c>
      <c r="G775">
        <v>82255</v>
      </c>
      <c r="H775" t="s">
        <v>2912</v>
      </c>
      <c r="I775" t="s">
        <v>2903</v>
      </c>
      <c r="J775" t="e">
        <f>VLOOKUP(F775,[1]!china_towns_second__2[[Column1]:[Y]],3,FALSE)</f>
        <v>#N/A</v>
      </c>
      <c r="K775" t="e">
        <f>VLOOKUP(F775,[1]!china_towns_second__2[[Column1]:[Y]],2,FALSE)</f>
        <v>#N/A</v>
      </c>
      <c r="L775" t="s">
        <v>4409</v>
      </c>
      <c r="M775" t="str">
        <f>VLOOKUP(H775,CHOOSE({1,2},Table12[Native],Table12[Name]),2,0)</f>
        <v>Línpíng Qū</v>
      </c>
      <c r="N775" s="15" t="str">
        <f>VLOOKUP(I775,CHOOSE({1,2},Table12[Native],Table12[Name]),2,0)</f>
        <v>Hángzhōu Shì</v>
      </c>
      <c r="O775" s="15" t="str">
        <f t="shared" si="24"/>
        <v>Nanyuan Jiedao (Hángzhōu Shì)</v>
      </c>
      <c r="P775" s="15" t="str">
        <f t="shared" si="25"/>
        <v>Nanyuan Jiedao (Hángzhōu Shì)</v>
      </c>
    </row>
    <row r="776" spans="1:16" hidden="1" x14ac:dyDescent="0.25">
      <c r="A776" t="s">
        <v>2545</v>
      </c>
      <c r="B776" t="str">
        <f>IF(COUNTIF(A:A,A776)&gt;1,_xlfn.CONCAT(A776," (",N776,")"),A776)</f>
        <v>Nányuàn Xiāng</v>
      </c>
      <c r="C776" t="str">
        <f>IF(COUNTIF(B:B,B776)&gt;1,_xlfn.CONCAT(A776," (",M776,")"),B776)</f>
        <v>Nányuàn Xiāng</v>
      </c>
      <c r="D776" t="s">
        <v>2546</v>
      </c>
      <c r="E776" t="s">
        <v>7</v>
      </c>
      <c r="F776" t="str">
        <f>_xlfn.CONCAT(D776,", ",H776,", ",I776,", ","浙江省")</f>
        <v>南院乡, 泰顺县, 温州市, 浙江省</v>
      </c>
      <c r="G776">
        <v>3597</v>
      </c>
      <c r="H776" t="s">
        <v>3008</v>
      </c>
      <c r="I776" t="s">
        <v>3000</v>
      </c>
      <c r="J776" t="e">
        <f>VLOOKUP(F776,[1]!china_towns_second__2[[Column1]:[Y]],3,FALSE)</f>
        <v>#N/A</v>
      </c>
      <c r="K776" t="e">
        <f>VLOOKUP(F776,[1]!china_towns_second__2[[Column1]:[Y]],2,FALSE)</f>
        <v>#N/A</v>
      </c>
      <c r="L776" t="s">
        <v>4410</v>
      </c>
      <c r="M776" t="str">
        <f>VLOOKUP(H776,CHOOSE({1,2},Table12[Native],Table12[Name]),2,0)</f>
        <v>Tàishùn Xiàn</v>
      </c>
      <c r="N776" s="15" t="str">
        <f>VLOOKUP(I776,CHOOSE({1,2},Table12[Native],Table12[Name]),2,0)</f>
        <v>Wēnzhōu Shì</v>
      </c>
      <c r="O776" s="15" t="str">
        <f t="shared" si="24"/>
        <v>Nanyuan Xiang (Wēnzhōu Shì)</v>
      </c>
      <c r="P776" s="15" t="str">
        <f t="shared" si="25"/>
        <v>Nanyuan Xiang (Wēnzhōu Shì)</v>
      </c>
    </row>
    <row r="777" spans="1:16" hidden="1" x14ac:dyDescent="0.25">
      <c r="A777" t="s">
        <v>2547</v>
      </c>
      <c r="B777" t="str">
        <f>IF(COUNTIF(A:A,A777)&gt;1,_xlfn.CONCAT(A777," (",N777,")"),A777)</f>
        <v>Nányuè Zhèn [→ Hóngqiáo Zhèn]</v>
      </c>
      <c r="C777" t="str">
        <f>IF(COUNTIF(B:B,B777)&gt;1,_xlfn.CONCAT(A777," (",M777,")"),B777)</f>
        <v>Nányuè Zhèn [→ Hóngqiáo Zhèn]</v>
      </c>
      <c r="D777" t="s">
        <v>2548</v>
      </c>
      <c r="E777" t="s">
        <v>11</v>
      </c>
      <c r="F777" t="str">
        <f>_xlfn.CONCAT(D777,", ",H777,", ",I777,", ","浙江省")</f>
        <v>南岳镇, 乐清市, 温州市, 浙江省</v>
      </c>
      <c r="G777">
        <v>15573</v>
      </c>
      <c r="H777" t="s">
        <v>3011</v>
      </c>
      <c r="I777" t="s">
        <v>3000</v>
      </c>
      <c r="J777">
        <f>VLOOKUP(F777,[1]!china_towns_second__2[[Column1]:[Y]],3,FALSE)</f>
        <v>28.186202000000002</v>
      </c>
      <c r="K777">
        <f>VLOOKUP(F777,[1]!china_towns_second__2[[Column1]:[Y]],2,FALSE)</f>
        <v>121.079818</v>
      </c>
      <c r="L777" t="s">
        <v>4411</v>
      </c>
      <c r="M777" t="str">
        <f>VLOOKUP(H777,CHOOSE({1,2},Table12[Native],Table12[Name]),2,0)</f>
        <v>Yuèqīng Shì</v>
      </c>
      <c r="N777" s="15" t="str">
        <f>VLOOKUP(I777,CHOOSE({1,2},Table12[Native],Table12[Name]),2,0)</f>
        <v>Wēnzhōu Shì</v>
      </c>
      <c r="O777" s="15" t="str">
        <f t="shared" si="24"/>
        <v>Nanyue Zhen [→ Hongqiao Zhen] (Wēnzhōu Shì)</v>
      </c>
      <c r="P777" s="15" t="str">
        <f t="shared" si="25"/>
        <v>Nanyue Zhen [→ Hongqiao Zhen] (Wēnzhōu Shì)</v>
      </c>
    </row>
    <row r="778" spans="1:16" hidden="1" x14ac:dyDescent="0.25">
      <c r="A778" t="s">
        <v>2549</v>
      </c>
      <c r="B778" t="str">
        <f>IF(COUNTIF(A:A,A778)&gt;1,_xlfn.CONCAT(A778," (",N778,")"),A778)</f>
        <v>Nàocūn Xiāng [→ Shuĭtóu Zhèn]</v>
      </c>
      <c r="C778" t="str">
        <f>IF(COUNTIF(B:B,B778)&gt;1,_xlfn.CONCAT(A778," (",M778,")"),B778)</f>
        <v>Nàocūn Xiāng [→ Shuĭtóu Zhèn]</v>
      </c>
      <c r="D778" t="s">
        <v>2550</v>
      </c>
      <c r="E778" t="s">
        <v>7</v>
      </c>
      <c r="F778" t="str">
        <f>_xlfn.CONCAT(D778,", ",H778,", ",I778,", ","浙江省")</f>
        <v>闹村乡, 平阳县, 温州市, 浙江省</v>
      </c>
      <c r="G778">
        <v>10181</v>
      </c>
      <c r="H778" t="s">
        <v>3006</v>
      </c>
      <c r="I778" t="s">
        <v>3000</v>
      </c>
      <c r="J778" t="e">
        <f>VLOOKUP(F778,[1]!china_towns_second__2[[Column1]:[Y]],3,FALSE)</f>
        <v>#N/A</v>
      </c>
      <c r="K778" t="e">
        <f>VLOOKUP(F778,[1]!china_towns_second__2[[Column1]:[Y]],2,FALSE)</f>
        <v>#N/A</v>
      </c>
      <c r="L778" t="s">
        <v>4412</v>
      </c>
      <c r="M778" t="str">
        <f>VLOOKUP(H778,CHOOSE({1,2},Table12[Native],Table12[Name]),2,0)</f>
        <v>Píngyáng Xiàn</v>
      </c>
      <c r="N778" s="15" t="str">
        <f>VLOOKUP(I778,CHOOSE({1,2},Table12[Native],Table12[Name]),2,0)</f>
        <v>Wēnzhōu Shì</v>
      </c>
      <c r="O778" s="15" t="str">
        <f t="shared" si="24"/>
        <v>Naocun Xiang [→ Shuitou Zhen] (Wēnzhōu Shì)</v>
      </c>
      <c r="P778" s="15" t="str">
        <f t="shared" si="25"/>
        <v>Naocun Xiang [→ Shuitou Zhen] (Wēnzhōu Shì)</v>
      </c>
    </row>
    <row r="779" spans="1:16" hidden="1" x14ac:dyDescent="0.25">
      <c r="A779" t="s">
        <v>1744</v>
      </c>
      <c r="B779" t="str">
        <f>IF(COUNTIF(A:A,A779)&gt;1,_xlfn.CONCAT(A779," (",N779,")"),A779)</f>
        <v>Niànbādū Zhèn</v>
      </c>
      <c r="C779" t="str">
        <f>IF(COUNTIF(B:B,B779)&gt;1,_xlfn.CONCAT(A779," (",M779,")"),B779)</f>
        <v>Niànbādū Zhèn</v>
      </c>
      <c r="D779" t="s">
        <v>1745</v>
      </c>
      <c r="E779" t="s">
        <v>11</v>
      </c>
      <c r="F779" t="str">
        <f>_xlfn.CONCAT(D779,", ",H779,", ",I779,", ","浙江省")</f>
        <v>廿八都镇, 江山市, 衢州市, 浙江省</v>
      </c>
      <c r="G779">
        <v>7022</v>
      </c>
      <c r="H779" t="s">
        <v>2975</v>
      </c>
      <c r="I779" t="s">
        <v>2973</v>
      </c>
      <c r="J779">
        <f>VLOOKUP(F779,[1]!china_towns_second__2[[Column1]:[Y]],3,FALSE)</f>
        <v>28.318331428641699</v>
      </c>
      <c r="K779">
        <f>VLOOKUP(F779,[1]!china_towns_second__2[[Column1]:[Y]],2,FALSE)</f>
        <v>118.5592419</v>
      </c>
      <c r="L779" t="s">
        <v>4413</v>
      </c>
      <c r="M779" t="str">
        <f>VLOOKUP(H779,CHOOSE({1,2},Table12[Native],Table12[Name]),2,0)</f>
        <v>Jiāngshān Shì</v>
      </c>
      <c r="N779" s="15" t="str">
        <f>VLOOKUP(I779,CHOOSE({1,2},Table12[Native],Table12[Name]),2,0)</f>
        <v>Qúzhōu Shì</v>
      </c>
      <c r="O779" s="15" t="str">
        <f t="shared" si="24"/>
        <v>Nianbadu Zhen (Qúzhōu Shì)</v>
      </c>
      <c r="P779" s="15" t="str">
        <f t="shared" si="25"/>
        <v>Nianbadu Zhen (Qúzhōu Shì)</v>
      </c>
    </row>
    <row r="780" spans="1:16" hidden="1" x14ac:dyDescent="0.25">
      <c r="A780" t="s">
        <v>1746</v>
      </c>
      <c r="B780" t="str">
        <f>IF(COUNTIF(A:A,A780)&gt;1,_xlfn.CONCAT(A780," (",N780,")"),A780)</f>
        <v>Niànlĭ Zhèn</v>
      </c>
      <c r="C780" t="str">
        <f>IF(COUNTIF(B:B,B780)&gt;1,_xlfn.CONCAT(A780," (",M780,")"),B780)</f>
        <v>Niànlĭ Zhèn</v>
      </c>
      <c r="D780" t="s">
        <v>1747</v>
      </c>
      <c r="E780" t="s">
        <v>11</v>
      </c>
      <c r="F780" t="str">
        <f>_xlfn.CONCAT(D780,", ",H780,", ",I780,", ","浙江省")</f>
        <v>廿里镇, 衢江区, 衢州市, 浙江省</v>
      </c>
      <c r="G780">
        <v>26732</v>
      </c>
      <c r="H780" t="s">
        <v>2979</v>
      </c>
      <c r="I780" t="s">
        <v>2973</v>
      </c>
      <c r="J780">
        <f>VLOOKUP(F780,[1]!china_towns_second__2[[Column1]:[Y]],3,FALSE)</f>
        <v>28.858522065473</v>
      </c>
      <c r="K780">
        <f>VLOOKUP(F780,[1]!china_towns_second__2[[Column1]:[Y]],2,FALSE)</f>
        <v>118.8343017</v>
      </c>
      <c r="L780" t="s">
        <v>4414</v>
      </c>
      <c r="M780" t="str">
        <f>VLOOKUP(H780,CHOOSE({1,2},Table12[Native],Table12[Name]),2,0)</f>
        <v>Qújiāng Qū</v>
      </c>
      <c r="N780" s="15" t="str">
        <f>VLOOKUP(I780,CHOOSE({1,2},Table12[Native],Table12[Name]),2,0)</f>
        <v>Qúzhōu Shì</v>
      </c>
      <c r="O780" s="15" t="str">
        <f t="shared" si="24"/>
        <v>Nianli Zhen (Qúzhōu Shì)</v>
      </c>
      <c r="P780" s="15" t="str">
        <f t="shared" si="25"/>
        <v>Nianli Zhen (Qúzhōu Shì)</v>
      </c>
    </row>
    <row r="781" spans="1:16" hidden="1" x14ac:dyDescent="0.25">
      <c r="A781" t="s">
        <v>855</v>
      </c>
      <c r="B781" t="str">
        <f>IF(COUNTIF(A:A,A781)&gt;1,_xlfn.CONCAT(A781," (",N781,")"),A781)</f>
        <v>Niànsānlĭ Jiēdào</v>
      </c>
      <c r="C781" t="str">
        <f>IF(COUNTIF(B:B,B781)&gt;1,_xlfn.CONCAT(A781," (",M781,")"),B781)</f>
        <v>Niànsānlĭ Jiēdào</v>
      </c>
      <c r="D781" t="s">
        <v>856</v>
      </c>
      <c r="E781" t="s">
        <v>15</v>
      </c>
      <c r="F781" t="str">
        <f>_xlfn.CONCAT(D781,", ",H781,", ",I781,", ","浙江省")</f>
        <v>廿三里街道, 义乌市, 金华市, 浙江省</v>
      </c>
      <c r="G781">
        <v>84980</v>
      </c>
      <c r="H781" t="s">
        <v>2946</v>
      </c>
      <c r="I781" t="s">
        <v>2938</v>
      </c>
      <c r="J781">
        <f>VLOOKUP(F781,[1]!china_towns_second__2[[Column1]:[Y]],3,FALSE)</f>
        <v>29.360570854530799</v>
      </c>
      <c r="K781">
        <f>VLOOKUP(F781,[1]!china_towns_second__2[[Column1]:[Y]],2,FALSE)</f>
        <v>120.19625000000001</v>
      </c>
      <c r="L781" t="s">
        <v>4415</v>
      </c>
      <c r="M781" t="str">
        <f>VLOOKUP(H781,CHOOSE({1,2},Table12[Native],Table12[Name]),2,0)</f>
        <v>Yìwū Shì</v>
      </c>
      <c r="N781" s="15" t="str">
        <f>VLOOKUP(I781,CHOOSE({1,2},Table12[Native],Table12[Name]),2,0)</f>
        <v>Jīnhuá Shì</v>
      </c>
      <c r="O781" s="15" t="str">
        <f t="shared" si="24"/>
        <v>Niansanli Jiedao (Jīnhuá Shì)</v>
      </c>
      <c r="P781" s="15" t="str">
        <f t="shared" si="25"/>
        <v>Niansanli Jiedao (Jīnhuá Shì)</v>
      </c>
    </row>
    <row r="782" spans="1:16" hidden="1" x14ac:dyDescent="0.25">
      <c r="A782" t="s">
        <v>1511</v>
      </c>
      <c r="B782" t="str">
        <f>IF(COUNTIF(A:A,A782)&gt;1,_xlfn.CONCAT(A782," (",N782,")"),A782)</f>
        <v>Níngbō Hángshăo Bŭwān Xīnqū</v>
      </c>
      <c r="C782" t="str">
        <f>IF(COUNTIF(B:B,B782)&gt;1,_xlfn.CONCAT(A782," (",M782,")"),B782)</f>
        <v>Níngbō Hángshăo Bŭwān Xīnqū</v>
      </c>
      <c r="D782" t="s">
        <v>1512</v>
      </c>
      <c r="E782" t="s">
        <v>253</v>
      </c>
      <c r="F782" t="str">
        <f>_xlfn.CONCAT(D782,", ",H782,", ",I782,", ","浙江省")</f>
        <v>宁波杭少卜湾新区, 慈溪市, 宁波市, 浙江省</v>
      </c>
      <c r="G782">
        <v>51389</v>
      </c>
      <c r="H782" t="s">
        <v>2963</v>
      </c>
      <c r="I782" t="s">
        <v>2961</v>
      </c>
      <c r="J782" t="e">
        <f>VLOOKUP(F782,[1]!china_towns_second__2[[Column1]:[Y]],3,FALSE)</f>
        <v>#N/A</v>
      </c>
      <c r="K782" t="e">
        <f>VLOOKUP(F782,[1]!china_towns_second__2[[Column1]:[Y]],2,FALSE)</f>
        <v>#N/A</v>
      </c>
      <c r="L782" t="s">
        <v>4416</v>
      </c>
      <c r="M782" t="str">
        <f>VLOOKUP(H782,CHOOSE({1,2},Table12[Native],Table12[Name]),2,0)</f>
        <v>Cíxī Shì</v>
      </c>
      <c r="N782" s="15" t="str">
        <f>VLOOKUP(I782,CHOOSE({1,2},Table12[Native],Table12[Name]),2,0)</f>
        <v>Níngbō Shì</v>
      </c>
      <c r="O782" s="15" t="str">
        <f t="shared" si="24"/>
        <v>Ningbo Hangshao Buwan Xinqu (Níngbō Shì)</v>
      </c>
      <c r="P782" s="15" t="str">
        <f t="shared" si="25"/>
        <v>Ningbo Hangshao Buwan Xinqu (Níngbō Shì)</v>
      </c>
    </row>
    <row r="783" spans="1:16" hidden="1" x14ac:dyDescent="0.25">
      <c r="A783" t="s">
        <v>233</v>
      </c>
      <c r="B783" t="str">
        <f>IF(COUNTIF(A:A,A783)&gt;1,_xlfn.CONCAT(A783," (",N783,")"),A783)</f>
        <v>Níngwéi Jiēdào</v>
      </c>
      <c r="C783" t="str">
        <f>IF(COUNTIF(B:B,B783)&gt;1,_xlfn.CONCAT(A783," (",M783,")"),B783)</f>
        <v>Níngwéi Jiēdào</v>
      </c>
      <c r="D783" t="s">
        <v>234</v>
      </c>
      <c r="E783" t="s">
        <v>15</v>
      </c>
      <c r="F783" t="str">
        <f>_xlfn.CONCAT(D783,", ",H783,", ",I783,", ","浙江省")</f>
        <v>宁围街道, 萧山区, 杭州市, 浙江省</v>
      </c>
      <c r="G783">
        <v>58650</v>
      </c>
      <c r="H783" t="s">
        <v>2917</v>
      </c>
      <c r="I783" t="s">
        <v>2903</v>
      </c>
      <c r="J783" t="e">
        <f>VLOOKUP(F783,[1]!china_towns_second__2[[Column1]:[Y]],3,FALSE)</f>
        <v>#N/A</v>
      </c>
      <c r="K783" t="e">
        <f>VLOOKUP(F783,[1]!china_towns_second__2[[Column1]:[Y]],2,FALSE)</f>
        <v>#N/A</v>
      </c>
      <c r="L783" t="s">
        <v>4417</v>
      </c>
      <c r="M783" t="str">
        <f>VLOOKUP(H783,CHOOSE({1,2},Table12[Native],Table12[Name]),2,0)</f>
        <v>Xiāoshān Qū</v>
      </c>
      <c r="N783" s="15" t="str">
        <f>VLOOKUP(I783,CHOOSE({1,2},Table12[Native],Table12[Name]),2,0)</f>
        <v>Hángzhōu Shì</v>
      </c>
      <c r="O783" s="15" t="str">
        <f t="shared" si="24"/>
        <v>Ningwei Jiedao (Hángzhōu Shì)</v>
      </c>
      <c r="P783" s="15" t="str">
        <f t="shared" si="25"/>
        <v>Ningwei Jiedao (Hángzhōu Shì)</v>
      </c>
    </row>
    <row r="784" spans="1:16" hidden="1" x14ac:dyDescent="0.25">
      <c r="A784" t="s">
        <v>2163</v>
      </c>
      <c r="B784" t="str">
        <f>IF(COUNTIF(A:A,A784)&gt;1,_xlfn.CONCAT(A784," (",N784,")"),A784)</f>
        <v>Níngxī Zhèn</v>
      </c>
      <c r="C784" t="str">
        <f>IF(COUNTIF(B:B,B784)&gt;1,_xlfn.CONCAT(A784," (",M784,")"),B784)</f>
        <v>Níngxī Zhèn</v>
      </c>
      <c r="D784" t="s">
        <v>2164</v>
      </c>
      <c r="E784" t="s">
        <v>11</v>
      </c>
      <c r="F784" t="str">
        <f>_xlfn.CONCAT(D784,", ",H784,", ",I784,", ","浙江省")</f>
        <v>宁溪镇, 黄岩区, 台州市, 浙江省</v>
      </c>
      <c r="G784">
        <v>23182</v>
      </c>
      <c r="H784" t="s">
        <v>2990</v>
      </c>
      <c r="I784" t="s">
        <v>2989</v>
      </c>
      <c r="J784">
        <f>VLOOKUP(F784,[1]!china_towns_second__2[[Column1]:[Y]],3,FALSE)</f>
        <v>28.580947744012601</v>
      </c>
      <c r="K784">
        <f>VLOOKUP(F784,[1]!china_towns_second__2[[Column1]:[Y]],2,FALSE)</f>
        <v>120.9529296</v>
      </c>
      <c r="L784" t="s">
        <v>4418</v>
      </c>
      <c r="M784" t="str">
        <f>VLOOKUP(H784,CHOOSE({1,2},Table12[Native],Table12[Name]),2,0)</f>
        <v>Huángyán Qū</v>
      </c>
      <c r="N784" s="15" t="str">
        <f>VLOOKUP(I784,CHOOSE({1,2},Table12[Native],Table12[Name]),2,0)</f>
        <v>Táizhōu Shì</v>
      </c>
      <c r="O784" s="15" t="str">
        <f t="shared" si="24"/>
        <v>Ningxi Zhen (Táizhōu Shì)</v>
      </c>
      <c r="P784" s="15" t="str">
        <f t="shared" si="25"/>
        <v>Ningxi Zhen (Táizhōu Shì)</v>
      </c>
    </row>
    <row r="785" spans="1:16" hidden="1" x14ac:dyDescent="0.25">
      <c r="A785" t="s">
        <v>2551</v>
      </c>
      <c r="B785" t="str">
        <f>IF(COUNTIF(A:A,A785)&gt;1,_xlfn.CONCAT(A785," (",N785,")"),A785)</f>
        <v>Níngyì Xiāng</v>
      </c>
      <c r="C785" t="str">
        <f>IF(COUNTIF(B:B,B785)&gt;1,_xlfn.CONCAT(A785," (",M785,")"),B785)</f>
        <v>Níngyì Xiāng</v>
      </c>
      <c r="D785" t="s">
        <v>2552</v>
      </c>
      <c r="E785" t="s">
        <v>7</v>
      </c>
      <c r="F785" t="str">
        <f>_xlfn.CONCAT(D785,", ",H785,", ",I785,", ","浙江省")</f>
        <v>宁益乡, 瑞安市, 温州市, 浙江省</v>
      </c>
      <c r="G785">
        <v>3836</v>
      </c>
      <c r="H785" t="s">
        <v>3007</v>
      </c>
      <c r="I785" t="s">
        <v>3000</v>
      </c>
      <c r="J785" t="e">
        <f>VLOOKUP(F785,[1]!china_towns_second__2[[Column1]:[Y]],3,FALSE)</f>
        <v>#N/A</v>
      </c>
      <c r="K785" t="e">
        <f>VLOOKUP(F785,[1]!china_towns_second__2[[Column1]:[Y]],2,FALSE)</f>
        <v>#N/A</v>
      </c>
      <c r="L785" t="s">
        <v>4419</v>
      </c>
      <c r="M785" t="str">
        <f>VLOOKUP(H785,CHOOSE({1,2},Table12[Native],Table12[Name]),2,0)</f>
        <v>Ruì'ān Shì</v>
      </c>
      <c r="N785" s="15" t="str">
        <f>VLOOKUP(I785,CHOOSE({1,2},Table12[Native],Table12[Name]),2,0)</f>
        <v>Wēnzhōu Shì</v>
      </c>
      <c r="O785" s="15" t="str">
        <f t="shared" si="24"/>
        <v>Ningyi Xiang (Wēnzhōu Shì)</v>
      </c>
      <c r="P785" s="15" t="str">
        <f t="shared" si="25"/>
        <v>Ningyi Xiang (Wēnzhōu Shì)</v>
      </c>
    </row>
    <row r="786" spans="1:16" hidden="1" x14ac:dyDescent="0.25">
      <c r="A786" t="s">
        <v>2553</v>
      </c>
      <c r="B786" t="str">
        <f>IF(COUNTIF(A:A,A786)&gt;1,_xlfn.CONCAT(A786," (",N786,")"),A786)</f>
        <v>Níyŭ Jiēdào</v>
      </c>
      <c r="C786" t="str">
        <f>IF(COUNTIF(B:B,B786)&gt;1,_xlfn.CONCAT(A786," (",M786,")"),B786)</f>
        <v>Níyŭ Jiēdào</v>
      </c>
      <c r="D786" t="s">
        <v>2554</v>
      </c>
      <c r="E786" t="s">
        <v>15</v>
      </c>
      <c r="F786" t="str">
        <f>_xlfn.CONCAT(D786,", ",H786,", ",I786,", ","浙江省")</f>
        <v>霓屿街道, 洞头区, 温州市, 浙江省</v>
      </c>
      <c r="G786">
        <v>7274</v>
      </c>
      <c r="H786" t="s">
        <v>3002</v>
      </c>
      <c r="I786" t="s">
        <v>3000</v>
      </c>
      <c r="J786">
        <f>VLOOKUP(F786,[1]!china_towns_second__2[[Column1]:[Y]],3,FALSE)</f>
        <v>27.883405669199899</v>
      </c>
      <c r="K786">
        <f>VLOOKUP(F786,[1]!china_towns_second__2[[Column1]:[Y]],2,FALSE)</f>
        <v>121.0255836</v>
      </c>
      <c r="L786" t="s">
        <v>4420</v>
      </c>
      <c r="M786" t="str">
        <f>VLOOKUP(H786,CHOOSE({1,2},Table12[Native],Table12[Name]),2,0)</f>
        <v>Dòngtóu Qū</v>
      </c>
      <c r="N786" s="15" t="str">
        <f>VLOOKUP(I786,CHOOSE({1,2},Table12[Native],Table12[Name]),2,0)</f>
        <v>Wēnzhōu Shì</v>
      </c>
      <c r="O786" s="15" t="str">
        <f t="shared" si="24"/>
        <v>Niyu Jiedao (Wēnzhōu Shì)</v>
      </c>
      <c r="P786" s="15" t="str">
        <f t="shared" si="25"/>
        <v>Niyu Jiedao (Wēnzhōu Shì)</v>
      </c>
    </row>
    <row r="787" spans="1:16" hidden="1" x14ac:dyDescent="0.25">
      <c r="A787" t="s">
        <v>857</v>
      </c>
      <c r="B787" t="str">
        <f>IF(COUNTIF(A:A,A787)&gt;1,_xlfn.CONCAT(A787," (",N787,")"),A787)</f>
        <v>Nǚbù Jiēdào</v>
      </c>
      <c r="C787" t="str">
        <f>IF(COUNTIF(B:B,B787)&gt;1,_xlfn.CONCAT(A787," (",M787,")"),B787)</f>
        <v>Nǚbù Jiēdào</v>
      </c>
      <c r="D787" t="s">
        <v>858</v>
      </c>
      <c r="E787" t="s">
        <v>15</v>
      </c>
      <c r="F787" t="str">
        <f>_xlfn.CONCAT(D787,", ",H787,", ",I787,", ","浙江省")</f>
        <v>女埠街道, 兰溪市, 金华市, 浙江省</v>
      </c>
      <c r="G787">
        <v>30277</v>
      </c>
      <c r="H787" t="s">
        <v>2941</v>
      </c>
      <c r="I787" t="s">
        <v>2938</v>
      </c>
      <c r="J787">
        <f>VLOOKUP(F787,[1]!china_towns_second__2[[Column1]:[Y]],3,FALSE)</f>
        <v>29.308098723747801</v>
      </c>
      <c r="K787">
        <f>VLOOKUP(F787,[1]!china_towns_second__2[[Column1]:[Y]],2,FALSE)</f>
        <v>119.46274029999999</v>
      </c>
      <c r="L787" t="s">
        <v>4421</v>
      </c>
      <c r="M787" t="str">
        <f>VLOOKUP(H787,CHOOSE({1,2},Table12[Native],Table12[Name]),2,0)</f>
        <v>Lánxī Shì</v>
      </c>
      <c r="N787" s="15" t="str">
        <f>VLOOKUP(I787,CHOOSE({1,2},Table12[Native],Table12[Name]),2,0)</f>
        <v>Jīnhuá Shì</v>
      </c>
      <c r="O787" s="15" t="str">
        <f t="shared" si="24"/>
        <v>Nubu Jiedao (Jīnhuá Shì)</v>
      </c>
      <c r="P787" s="15" t="str">
        <f t="shared" si="25"/>
        <v>Nubu Jiedao (Jīnhuá Shì)</v>
      </c>
    </row>
    <row r="788" spans="1:16" hidden="1" x14ac:dyDescent="0.25">
      <c r="A788" t="s">
        <v>2555</v>
      </c>
      <c r="B788" t="str">
        <f>IF(COUNTIF(A:A,A788)&gt;1,_xlfn.CONCAT(A788," (",N788,")"),A788)</f>
        <v>Ōubĕi Jiēdào</v>
      </c>
      <c r="C788" t="str">
        <f>IF(COUNTIF(B:B,B788)&gt;1,_xlfn.CONCAT(A788," (",M788,")"),B788)</f>
        <v>Ōubĕi Jiēdào</v>
      </c>
      <c r="D788" t="s">
        <v>2556</v>
      </c>
      <c r="E788" t="s">
        <v>15</v>
      </c>
      <c r="F788" t="str">
        <f>_xlfn.CONCAT(D788,", ",H788,", ",I788,", ","浙江省")</f>
        <v>瓯北街道, 永嘉县, 温州市, 浙江省</v>
      </c>
      <c r="G788">
        <v>311917</v>
      </c>
      <c r="H788" t="s">
        <v>3010</v>
      </c>
      <c r="I788" t="s">
        <v>3000</v>
      </c>
      <c r="J788" t="e">
        <f>VLOOKUP(F788,[1]!china_towns_second__2[[Column1]:[Y]],3,FALSE)</f>
        <v>#N/A</v>
      </c>
      <c r="K788" t="e">
        <f>VLOOKUP(F788,[1]!china_towns_second__2[[Column1]:[Y]],2,FALSE)</f>
        <v>#N/A</v>
      </c>
      <c r="L788" t="s">
        <v>4422</v>
      </c>
      <c r="M788" t="str">
        <f>VLOOKUP(H788,CHOOSE({1,2},Table12[Native],Table12[Name]),2,0)</f>
        <v>Yŏngjiā Xiàn</v>
      </c>
      <c r="N788" s="15" t="str">
        <f>VLOOKUP(I788,CHOOSE({1,2},Table12[Native],Table12[Name]),2,0)</f>
        <v>Wēnzhōu Shì</v>
      </c>
      <c r="O788" s="15" t="str">
        <f t="shared" si="24"/>
        <v>Oubei Jiedao (Wēnzhōu Shì)</v>
      </c>
      <c r="P788" s="15" t="str">
        <f t="shared" si="25"/>
        <v>Oubei Jiedao (Wēnzhōu Shì)</v>
      </c>
    </row>
    <row r="789" spans="1:16" hidden="1" x14ac:dyDescent="0.25">
      <c r="A789" t="s">
        <v>1956</v>
      </c>
      <c r="B789" t="str">
        <f>IF(COUNTIF(A:A,A789)&gt;1,_xlfn.CONCAT(A789," (",N789,")"),A789)</f>
        <v>Páitóu Zhèn</v>
      </c>
      <c r="C789" t="str">
        <f>IF(COUNTIF(B:B,B789)&gt;1,_xlfn.CONCAT(A789," (",M789,")"),B789)</f>
        <v>Páitóu Zhèn</v>
      </c>
      <c r="D789" t="s">
        <v>1957</v>
      </c>
      <c r="E789" t="s">
        <v>11</v>
      </c>
      <c r="F789" t="str">
        <f>_xlfn.CONCAT(D789,", ",H789,", ",I789,", ","浙江省")</f>
        <v>牌头镇, 诸暨市, 绍兴市, 浙江省</v>
      </c>
      <c r="G789">
        <v>42189</v>
      </c>
      <c r="H789" t="s">
        <v>2987</v>
      </c>
      <c r="I789" t="s">
        <v>2981</v>
      </c>
      <c r="J789">
        <f>VLOOKUP(F789,[1]!china_towns_second__2[[Column1]:[Y]],3,FALSE)</f>
        <v>29.594866506679001</v>
      </c>
      <c r="K789">
        <f>VLOOKUP(F789,[1]!china_towns_second__2[[Column1]:[Y]],2,FALSE)</f>
        <v>120.1651449</v>
      </c>
      <c r="L789" t="s">
        <v>4423</v>
      </c>
      <c r="M789" t="str">
        <f>VLOOKUP(H789,CHOOSE({1,2},Table12[Native],Table12[Name]),2,0)</f>
        <v>Zhūjì Shì</v>
      </c>
      <c r="N789" s="15" t="str">
        <f>VLOOKUP(I789,CHOOSE({1,2},Table12[Native],Table12[Name]),2,0)</f>
        <v>Shàoxīng Shì</v>
      </c>
      <c r="O789" s="15" t="str">
        <f t="shared" si="24"/>
        <v>Paitou Zhen (Shàoxīng Shì)</v>
      </c>
      <c r="P789" s="15" t="str">
        <f t="shared" si="25"/>
        <v>Paitou Zhen (Shàoxīng Shì)</v>
      </c>
    </row>
    <row r="790" spans="1:16" hidden="1" x14ac:dyDescent="0.25">
      <c r="A790" t="s">
        <v>2557</v>
      </c>
      <c r="B790" t="str">
        <f>IF(COUNTIF(A:A,A790)&gt;1,_xlfn.CONCAT(A790," (",N790,")"),A790)</f>
        <v>Pāndài Jiēdào [→ Jĭnhú Jiēdào]</v>
      </c>
      <c r="C790" t="str">
        <f>IF(COUNTIF(B:B,B790)&gt;1,_xlfn.CONCAT(A790," (",M790,")"),B790)</f>
        <v>Pāndài Jiēdào [→ Jĭnhú Jiēdào]</v>
      </c>
      <c r="D790" t="s">
        <v>2558</v>
      </c>
      <c r="E790" t="s">
        <v>15</v>
      </c>
      <c r="F790" t="str">
        <f>_xlfn.CONCAT(D790,", ",H790,", ",I790,", ","浙江省")</f>
        <v>潘岱街道, 瑞安市, 温州市, 浙江省</v>
      </c>
      <c r="G790">
        <v>21146</v>
      </c>
      <c r="H790" t="s">
        <v>3007</v>
      </c>
      <c r="I790" t="s">
        <v>3000</v>
      </c>
      <c r="J790" t="e">
        <f>VLOOKUP(F790,[1]!china_towns_second__2[[Column1]:[Y]],3,FALSE)</f>
        <v>#N/A</v>
      </c>
      <c r="K790" t="e">
        <f>VLOOKUP(F790,[1]!china_towns_second__2[[Column1]:[Y]],2,FALSE)</f>
        <v>#N/A</v>
      </c>
      <c r="L790" t="s">
        <v>4424</v>
      </c>
      <c r="M790" t="str">
        <f>VLOOKUP(H790,CHOOSE({1,2},Table12[Native],Table12[Name]),2,0)</f>
        <v>Ruì'ān Shì</v>
      </c>
      <c r="N790" s="15" t="str">
        <f>VLOOKUP(I790,CHOOSE({1,2},Table12[Native],Table12[Name]),2,0)</f>
        <v>Wēnzhōu Shì</v>
      </c>
      <c r="O790" s="15" t="str">
        <f t="shared" si="24"/>
        <v>Pandai Jiedao [→ Jinhu Jiedao] (Wēnzhōu Shì)</v>
      </c>
      <c r="P790" s="15" t="str">
        <f t="shared" si="25"/>
        <v>Pandai Jiedao [→ Jinhu Jiedao] (Wēnzhōu Shì)</v>
      </c>
    </row>
    <row r="791" spans="1:16" hidden="1" x14ac:dyDescent="0.25">
      <c r="A791" t="s">
        <v>859</v>
      </c>
      <c r="B791" t="str">
        <f>IF(COUNTIF(A:A,A791)&gt;1,_xlfn.CONCAT(A791," (",N791,")"),A791)</f>
        <v>Pánfēng Xiāng [incl. Gāo'èr Xiāng, Wéixīn Xiāng]</v>
      </c>
      <c r="C791" t="str">
        <f>IF(COUNTIF(B:B,B791)&gt;1,_xlfn.CONCAT(A791," (",M791,")"),B791)</f>
        <v>Pánfēng Xiāng [incl. Gāo'èr Xiāng, Wéixīn Xiāng]</v>
      </c>
      <c r="D791" t="s">
        <v>860</v>
      </c>
      <c r="E791" t="s">
        <v>7</v>
      </c>
      <c r="F791" t="str">
        <f>_xlfn.CONCAT(D791,", ",H791,", ",I791,", ","浙江省")</f>
        <v>盘峰乡, 磐安县, 金华市, 浙江省</v>
      </c>
      <c r="G791">
        <v>4732</v>
      </c>
      <c r="H791" t="s">
        <v>2942</v>
      </c>
      <c r="I791" t="s">
        <v>2938</v>
      </c>
      <c r="J791" t="e">
        <f>VLOOKUP(F791,[1]!china_towns_second__2[[Column1]:[Y]],3,FALSE)</f>
        <v>#N/A</v>
      </c>
      <c r="K791" t="e">
        <f>VLOOKUP(F791,[1]!china_towns_second__2[[Column1]:[Y]],2,FALSE)</f>
        <v>#N/A</v>
      </c>
      <c r="L791" t="s">
        <v>4425</v>
      </c>
      <c r="M791" t="str">
        <f>VLOOKUP(H791,CHOOSE({1,2},Table12[Native],Table12[Name]),2,0)</f>
        <v>Pán'ān Xiàn</v>
      </c>
      <c r="N791" s="15" t="str">
        <f>VLOOKUP(I791,CHOOSE({1,2},Table12[Native],Table12[Name]),2,0)</f>
        <v>Jīnhuá Shì</v>
      </c>
      <c r="O791" s="15" t="str">
        <f t="shared" si="24"/>
        <v>Panfeng Xiang [incl. Gao'er Xiang, Weixin Xiang] (Jīnhuá Shì)</v>
      </c>
      <c r="P791" s="15" t="str">
        <f t="shared" si="25"/>
        <v>Panfeng Xiang [incl. Gao'er Xiang, Weixin Xiang] (Jīnhuá Shì)</v>
      </c>
    </row>
    <row r="792" spans="1:16" hidden="1" x14ac:dyDescent="0.25">
      <c r="A792" t="s">
        <v>2559</v>
      </c>
      <c r="B792" t="str">
        <f>IF(COUNTIF(A:A,A792)&gt;1,_xlfn.CONCAT(A792," (",N792,")"),A792)</f>
        <v>Pānkēng Xiāng</v>
      </c>
      <c r="C792" t="str">
        <f>IF(COUNTIF(B:B,B792)&gt;1,_xlfn.CONCAT(A792," (",M792,")"),B792)</f>
        <v>Pānkēng Xiāng</v>
      </c>
      <c r="D792" t="s">
        <v>2560</v>
      </c>
      <c r="E792" t="s">
        <v>7</v>
      </c>
      <c r="F792" t="str">
        <f>_xlfn.CONCAT(D792,", ",H792,", ",I792,", ","浙江省")</f>
        <v>潘坑乡, 永嘉县, 温州市, 浙江省</v>
      </c>
      <c r="G792">
        <v>3350</v>
      </c>
      <c r="H792" t="s">
        <v>3010</v>
      </c>
      <c r="I792" t="s">
        <v>3000</v>
      </c>
      <c r="J792" t="e">
        <f>VLOOKUP(F792,[1]!china_towns_second__2[[Column1]:[Y]],3,FALSE)</f>
        <v>#N/A</v>
      </c>
      <c r="K792" t="e">
        <f>VLOOKUP(F792,[1]!china_towns_second__2[[Column1]:[Y]],2,FALSE)</f>
        <v>#N/A</v>
      </c>
      <c r="L792" t="s">
        <v>4426</v>
      </c>
      <c r="M792" t="str">
        <f>VLOOKUP(H792,CHOOSE({1,2},Table12[Native],Table12[Name]),2,0)</f>
        <v>Yŏngjiā Xiàn</v>
      </c>
      <c r="N792" s="15" t="str">
        <f>VLOOKUP(I792,CHOOSE({1,2},Table12[Native],Table12[Name]),2,0)</f>
        <v>Wēnzhōu Shì</v>
      </c>
      <c r="O792" s="15" t="str">
        <f t="shared" si="24"/>
        <v>Pankeng Xiang (Wēnzhōu Shì)</v>
      </c>
      <c r="P792" s="15" t="str">
        <f t="shared" si="25"/>
        <v>Pankeng Xiang (Wēnzhōu Shì)</v>
      </c>
    </row>
    <row r="793" spans="1:16" hidden="1" x14ac:dyDescent="0.25">
      <c r="A793" t="s">
        <v>2561</v>
      </c>
      <c r="B793" t="str">
        <f>IF(COUNTIF(A:A,A793)&gt;1,_xlfn.CONCAT(A793," (",N793,")"),A793)</f>
        <v>Pānqiáo Jiēdào</v>
      </c>
      <c r="C793" t="str">
        <f>IF(COUNTIF(B:B,B793)&gt;1,_xlfn.CONCAT(A793," (",M793,")"),B793)</f>
        <v>Pānqiáo Jiēdào</v>
      </c>
      <c r="D793" t="s">
        <v>2562</v>
      </c>
      <c r="E793" t="s">
        <v>15</v>
      </c>
      <c r="F793" t="str">
        <f>_xlfn.CONCAT(D793,", ",H793,", ",I793,", ","浙江省")</f>
        <v>潘桥街道, 瓯海区, 温州市, 浙江省</v>
      </c>
      <c r="G793">
        <v>73379</v>
      </c>
      <c r="H793" t="s">
        <v>3005</v>
      </c>
      <c r="I793" t="s">
        <v>3000</v>
      </c>
      <c r="J793">
        <f>VLOOKUP(F793,[1]!china_towns_second__2[[Column1]:[Y]],3,FALSE)</f>
        <v>27.935271234000901</v>
      </c>
      <c r="K793">
        <f>VLOOKUP(F793,[1]!china_towns_second__2[[Column1]:[Y]],2,FALSE)</f>
        <v>120.5537154</v>
      </c>
      <c r="L793" t="s">
        <v>4427</v>
      </c>
      <c r="M793" t="str">
        <f>VLOOKUP(H793,CHOOSE({1,2},Table12[Native],Table12[Name]),2,0)</f>
        <v>Ōuhăi Qū</v>
      </c>
      <c r="N793" s="15" t="str">
        <f>VLOOKUP(I793,CHOOSE({1,2},Table12[Native],Table12[Name]),2,0)</f>
        <v>Wēnzhōu Shì</v>
      </c>
      <c r="O793" s="15" t="str">
        <f t="shared" si="24"/>
        <v>Panqiao Jiedao (Wēnzhōu Shì)</v>
      </c>
      <c r="P793" s="15" t="str">
        <f t="shared" si="25"/>
        <v>Panqiao Jiedao (Wēnzhōu Shì)</v>
      </c>
    </row>
    <row r="794" spans="1:16" hidden="1" x14ac:dyDescent="0.25">
      <c r="A794" t="s">
        <v>2563</v>
      </c>
      <c r="B794" t="str">
        <f>IF(COUNTIF(A:A,A794)&gt;1,_xlfn.CONCAT(A794," (",N794,")"),A794)</f>
        <v>Pánshí Zhèn [→ Bĕibáixiàng Zhèn]</v>
      </c>
      <c r="C794" t="str">
        <f>IF(COUNTIF(B:B,B794)&gt;1,_xlfn.CONCAT(A794," (",M794,")"),B794)</f>
        <v>Pánshí Zhèn [→ Bĕibáixiàng Zhèn]</v>
      </c>
      <c r="D794" t="s">
        <v>2564</v>
      </c>
      <c r="E794" t="s">
        <v>11</v>
      </c>
      <c r="F794" t="str">
        <f>_xlfn.CONCAT(D794,", ",H794,", ",I794,", ","浙江省")</f>
        <v>磐石镇, 乐清市, 温州市, 浙江省</v>
      </c>
      <c r="G794">
        <v>21050</v>
      </c>
      <c r="H794" t="s">
        <v>3011</v>
      </c>
      <c r="I794" t="s">
        <v>3000</v>
      </c>
      <c r="J794">
        <f>VLOOKUP(F794,[1]!china_towns_second__2[[Column1]:[Y]],3,FALSE)</f>
        <v>27.997938999999999</v>
      </c>
      <c r="K794">
        <f>VLOOKUP(F794,[1]!china_towns_second__2[[Column1]:[Y]],2,FALSE)</f>
        <v>120.8246201</v>
      </c>
      <c r="L794" t="s">
        <v>4428</v>
      </c>
      <c r="M794" t="str">
        <f>VLOOKUP(H794,CHOOSE({1,2},Table12[Native],Table12[Name]),2,0)</f>
        <v>Yuèqīng Shì</v>
      </c>
      <c r="N794" s="15" t="str">
        <f>VLOOKUP(I794,CHOOSE({1,2},Table12[Native],Table12[Name]),2,0)</f>
        <v>Wēnzhōu Shì</v>
      </c>
      <c r="O794" s="15" t="str">
        <f t="shared" si="24"/>
        <v>Panshi Zhen [→ Beibaixiang Zhen] (Wēnzhōu Shì)</v>
      </c>
      <c r="P794" s="15" t="str">
        <f t="shared" si="25"/>
        <v>Panshi Zhen [→ Beibaixiang Zhen] (Wēnzhōu Shì)</v>
      </c>
    </row>
    <row r="795" spans="1:16" hidden="1" x14ac:dyDescent="0.25">
      <c r="A795" t="s">
        <v>235</v>
      </c>
      <c r="B795" t="str">
        <f>IF(COUNTIF(A:A,A795)&gt;1,_xlfn.CONCAT(A795," (",N795,")"),A795)</f>
        <v>Péngbù Jiēdào</v>
      </c>
      <c r="C795" t="str">
        <f>IF(COUNTIF(B:B,B795)&gt;1,_xlfn.CONCAT(A795," (",M795,")"),B795)</f>
        <v>Péngbù Jiēdào</v>
      </c>
      <c r="D795" t="s">
        <v>236</v>
      </c>
      <c r="E795" t="s">
        <v>15</v>
      </c>
      <c r="F795" t="str">
        <f>_xlfn.CONCAT(D795,", ",H795,", ",I795,", ","浙江省")</f>
        <v>彭埠街道, 上城区, 杭州市, 浙江省</v>
      </c>
      <c r="G795">
        <v>150972</v>
      </c>
      <c r="H795" t="s">
        <v>2915</v>
      </c>
      <c r="I795" t="s">
        <v>2903</v>
      </c>
      <c r="J795" t="e">
        <f>VLOOKUP(F795,[1]!china_towns_second__2[[Column1]:[Y]],3,FALSE)</f>
        <v>#N/A</v>
      </c>
      <c r="K795" t="e">
        <f>VLOOKUP(F795,[1]!china_towns_second__2[[Column1]:[Y]],2,FALSE)</f>
        <v>#N/A</v>
      </c>
      <c r="L795" t="s">
        <v>4429</v>
      </c>
      <c r="M795" t="str">
        <f>VLOOKUP(H795,CHOOSE({1,2},Table12[Native],Table12[Name]),2,0)</f>
        <v>Shàngchéng Qū</v>
      </c>
      <c r="N795" s="15" t="str">
        <f>VLOOKUP(I795,CHOOSE({1,2},Table12[Native],Table12[Name]),2,0)</f>
        <v>Hángzhōu Shì</v>
      </c>
      <c r="O795" s="15" t="str">
        <f t="shared" si="24"/>
        <v>Pengbu Jiedao (Hángzhōu Shì)</v>
      </c>
      <c r="P795" s="15" t="str">
        <f t="shared" si="25"/>
        <v>Pengbu Jiedao (Hángzhōu Shì)</v>
      </c>
    </row>
    <row r="796" spans="1:16" hidden="1" x14ac:dyDescent="0.25">
      <c r="A796" t="s">
        <v>2165</v>
      </c>
      <c r="B796" t="str">
        <f>IF(COUNTIF(A:A,A796)&gt;1,_xlfn.CONCAT(A796," (",N796,")"),A796)</f>
        <v>Péngjiē Zhèn</v>
      </c>
      <c r="C796" t="str">
        <f>IF(COUNTIF(B:B,B796)&gt;1,_xlfn.CONCAT(A796," (",M796,")"),B796)</f>
        <v>Péngjiē Zhèn</v>
      </c>
      <c r="D796" t="s">
        <v>2166</v>
      </c>
      <c r="E796" t="s">
        <v>11</v>
      </c>
      <c r="F796" t="str">
        <f>_xlfn.CONCAT(D796,", ",H796,", ",I796,", ","浙江省")</f>
        <v>蓬街镇, 路桥区, 台州市, 浙江省</v>
      </c>
      <c r="G796">
        <v>81342</v>
      </c>
      <c r="H796" t="s">
        <v>2993</v>
      </c>
      <c r="I796" t="s">
        <v>2989</v>
      </c>
      <c r="J796">
        <f>VLOOKUP(F796,[1]!china_towns_second__2[[Column1]:[Y]],3,FALSE)</f>
        <v>28.5593731546114</v>
      </c>
      <c r="K796">
        <f>VLOOKUP(F796,[1]!china_towns_second__2[[Column1]:[Y]],2,FALSE)</f>
        <v>121.48979110000001</v>
      </c>
      <c r="L796" t="s">
        <v>4430</v>
      </c>
      <c r="M796" t="str">
        <f>VLOOKUP(H796,CHOOSE({1,2},Table12[Native],Table12[Name]),2,0)</f>
        <v>Lùqiáo Qū</v>
      </c>
      <c r="N796" s="15" t="str">
        <f>VLOOKUP(I796,CHOOSE({1,2},Table12[Native],Table12[Name]),2,0)</f>
        <v>Táizhōu Shì</v>
      </c>
      <c r="O796" s="15" t="str">
        <f t="shared" si="24"/>
        <v>Pengjie Zhen (Táizhōu Shì)</v>
      </c>
      <c r="P796" s="15" t="str">
        <f t="shared" si="25"/>
        <v>Pengjie Zhen (Táizhōu Shì)</v>
      </c>
    </row>
    <row r="797" spans="1:16" hidden="1" x14ac:dyDescent="0.25">
      <c r="A797" t="s">
        <v>2565</v>
      </c>
      <c r="B797" t="str">
        <f>IF(COUNTIF(A:A,A797)&gt;1,_xlfn.CONCAT(A797," (",N797,")"),A797)</f>
        <v>Péngxī Zhèn</v>
      </c>
      <c r="C797" t="str">
        <f>IF(COUNTIF(B:B,B797)&gt;1,_xlfn.CONCAT(A797," (",M797,")"),B797)</f>
        <v>Péngxī Zhèn</v>
      </c>
      <c r="D797" t="s">
        <v>2566</v>
      </c>
      <c r="E797" t="s">
        <v>11</v>
      </c>
      <c r="F797" t="str">
        <f>_xlfn.CONCAT(D797,", ",H797,", ",I797,", ","浙江省")</f>
        <v>彭溪镇, 泰顺县, 温州市, 浙江省</v>
      </c>
      <c r="G797">
        <v>7810</v>
      </c>
      <c r="H797" t="s">
        <v>3008</v>
      </c>
      <c r="I797" t="s">
        <v>3000</v>
      </c>
      <c r="J797">
        <f>VLOOKUP(F797,[1]!china_towns_second__2[[Column1]:[Y]],3,FALSE)</f>
        <v>27.451865298486499</v>
      </c>
      <c r="K797">
        <f>VLOOKUP(F797,[1]!china_towns_second__2[[Column1]:[Y]],2,FALSE)</f>
        <v>120.1556393</v>
      </c>
      <c r="L797" t="s">
        <v>4431</v>
      </c>
      <c r="M797" t="str">
        <f>VLOOKUP(H797,CHOOSE({1,2},Table12[Native],Table12[Name]),2,0)</f>
        <v>Tàishùn Xiàn</v>
      </c>
      <c r="N797" s="15" t="str">
        <f>VLOOKUP(I797,CHOOSE({1,2},Table12[Native],Table12[Name]),2,0)</f>
        <v>Wēnzhōu Shì</v>
      </c>
      <c r="O797" s="15" t="str">
        <f t="shared" si="24"/>
        <v>Pengxi Zhen (Wēnzhōu Shì)</v>
      </c>
      <c r="P797" s="15" t="str">
        <f t="shared" si="25"/>
        <v>Pengxi Zhen (Wēnzhōu Shì)</v>
      </c>
    </row>
    <row r="798" spans="1:16" hidden="1" x14ac:dyDescent="0.25">
      <c r="A798" t="s">
        <v>1179</v>
      </c>
      <c r="B798" t="str">
        <f>IF(COUNTIF(A:A,A798)&gt;1,_xlfn.CONCAT(A798," (",N798,")"),A798)</f>
        <v>Píngdū Jiēdào</v>
      </c>
      <c r="C798" t="str">
        <f>IF(COUNTIF(B:B,B798)&gt;1,_xlfn.CONCAT(A798," (",M798,")"),B798)</f>
        <v>Píngdū Jiēdào</v>
      </c>
      <c r="D798" t="s">
        <v>1180</v>
      </c>
      <c r="E798" t="s">
        <v>15</v>
      </c>
      <c r="F798" t="str">
        <f>_xlfn.CONCAT(D798,", ",H798,", ",I798,", ","浙江省")</f>
        <v>屏都街道, 庆元县, 丽水市, 浙江省</v>
      </c>
      <c r="G798">
        <v>8972</v>
      </c>
      <c r="H798" t="s">
        <v>2956</v>
      </c>
      <c r="I798" t="s">
        <v>2949</v>
      </c>
      <c r="J798">
        <f>VLOOKUP(F798,[1]!china_towns_second__2[[Column1]:[Y]],3,FALSE)</f>
        <v>27.585907596268498</v>
      </c>
      <c r="K798">
        <f>VLOOKUP(F798,[1]!china_towns_second__2[[Column1]:[Y]],2,FALSE)</f>
        <v>118.93698430000001</v>
      </c>
      <c r="L798" t="s">
        <v>4432</v>
      </c>
      <c r="M798" t="str">
        <f>VLOOKUP(H798,CHOOSE({1,2},Table12[Native],Table12[Name]),2,0)</f>
        <v>Qìngyuán Xiàn</v>
      </c>
      <c r="N798" s="15" t="str">
        <f>VLOOKUP(I798,CHOOSE({1,2},Table12[Native],Table12[Name]),2,0)</f>
        <v>Lìshuĭ Shì</v>
      </c>
      <c r="O798" s="15" t="str">
        <f t="shared" si="24"/>
        <v>Pingdu Jiedao (Lìshuĭ Shì)</v>
      </c>
      <c r="P798" s="15" t="str">
        <f t="shared" si="25"/>
        <v>Pingdu Jiedao (Lìshuĭ Shì)</v>
      </c>
    </row>
    <row r="799" spans="1:16" hidden="1" x14ac:dyDescent="0.25">
      <c r="A799" t="s">
        <v>2567</v>
      </c>
      <c r="B799" t="str">
        <f>IF(COUNTIF(A:A,A799)&gt;1,_xlfn.CONCAT(A799," (",N799,")"),A799)</f>
        <v>Pínghé Xiāng [→ Xuékŏu Zhèn]</v>
      </c>
      <c r="C799" t="str">
        <f>IF(COUNTIF(B:B,B799)&gt;1,_xlfn.CONCAT(A799," (",M799,")"),B799)</f>
        <v>Pínghé Xiāng [→ Xuékŏu Zhèn]</v>
      </c>
      <c r="D799" t="s">
        <v>2568</v>
      </c>
      <c r="E799" t="s">
        <v>7</v>
      </c>
      <c r="F799" t="str">
        <f>_xlfn.CONCAT(D799,", ",H799,", ",I799,", ","浙江省")</f>
        <v>平和乡, 文成县, 温州市, 浙江省</v>
      </c>
      <c r="G799">
        <v>3077</v>
      </c>
      <c r="H799" t="s">
        <v>3009</v>
      </c>
      <c r="I799" t="s">
        <v>3000</v>
      </c>
      <c r="J799" t="e">
        <f>VLOOKUP(F799,[1]!china_towns_second__2[[Column1]:[Y]],3,FALSE)</f>
        <v>#N/A</v>
      </c>
      <c r="K799" t="e">
        <f>VLOOKUP(F799,[1]!china_towns_second__2[[Column1]:[Y]],2,FALSE)</f>
        <v>#N/A</v>
      </c>
      <c r="L799" t="s">
        <v>4433</v>
      </c>
      <c r="M799" t="str">
        <f>VLOOKUP(H799,CHOOSE({1,2},Table12[Native],Table12[Name]),2,0)</f>
        <v>Wénchéng Xiàn</v>
      </c>
      <c r="N799" s="15" t="str">
        <f>VLOOKUP(I799,CHOOSE({1,2},Table12[Native],Table12[Name]),2,0)</f>
        <v>Wēnzhōu Shì</v>
      </c>
      <c r="O799" s="15" t="str">
        <f t="shared" si="24"/>
        <v>Pinghe Xiang [→ Xuekou Zhen] (Wēnzhōu Shì)</v>
      </c>
      <c r="P799" s="15" t="str">
        <f t="shared" si="25"/>
        <v>Pinghe Xiang [→ Xuekou Zhen] (Wēnzhōu Shì)</v>
      </c>
    </row>
    <row r="800" spans="1:16" hidden="1" x14ac:dyDescent="0.25">
      <c r="A800" t="s">
        <v>237</v>
      </c>
      <c r="B800" t="str">
        <f>IF(COUNTIF(A:A,A800)&gt;1,_xlfn.CONCAT(A800," (",N800,")"),A800)</f>
        <v>Píngmén Xiāng</v>
      </c>
      <c r="C800" t="str">
        <f>IF(COUNTIF(B:B,B800)&gt;1,_xlfn.CONCAT(A800," (",M800,")"),B800)</f>
        <v>Píngmén Xiāng</v>
      </c>
      <c r="D800" t="s">
        <v>238</v>
      </c>
      <c r="E800" t="s">
        <v>7</v>
      </c>
      <c r="F800" t="str">
        <f>_xlfn.CONCAT(D800,", ",H800,", ",I800,", ","浙江省")</f>
        <v>屏门乡, 淳安县, 杭州市, 浙江省</v>
      </c>
      <c r="G800">
        <v>8793</v>
      </c>
      <c r="H800" t="s">
        <v>2907</v>
      </c>
      <c r="I800" t="s">
        <v>2903</v>
      </c>
      <c r="J800" t="e">
        <f>VLOOKUP(F800,[1]!china_towns_second__2[[Column1]:[Y]],3,FALSE)</f>
        <v>#N/A</v>
      </c>
      <c r="K800" t="e">
        <f>VLOOKUP(F800,[1]!china_towns_second__2[[Column1]:[Y]],2,FALSE)</f>
        <v>#N/A</v>
      </c>
      <c r="L800" t="s">
        <v>4434</v>
      </c>
      <c r="M800" t="str">
        <f>VLOOKUP(H800,CHOOSE({1,2},Table12[Native],Table12[Name]),2,0)</f>
        <v>Chún'ān Xiàn</v>
      </c>
      <c r="N800" s="15" t="str">
        <f>VLOOKUP(I800,CHOOSE({1,2},Table12[Native],Table12[Name]),2,0)</f>
        <v>Hángzhōu Shì</v>
      </c>
      <c r="O800" s="15" t="str">
        <f t="shared" si="24"/>
        <v>Pingmen Xiang (Hángzhōu Shì)</v>
      </c>
      <c r="P800" s="15" t="str">
        <f t="shared" si="25"/>
        <v>Pingmen Xiang (Hángzhōu Shì)</v>
      </c>
    </row>
    <row r="801" spans="1:16" hidden="1" x14ac:dyDescent="0.25">
      <c r="A801" t="s">
        <v>1181</v>
      </c>
      <c r="B801" t="str">
        <f>IF(COUNTIF(A:A,A801)&gt;1,_xlfn.CONCAT(A801," (",N801,")"),A801)</f>
        <v>Píngnán Zhèn</v>
      </c>
      <c r="C801" t="str">
        <f>IF(COUNTIF(B:B,B801)&gt;1,_xlfn.CONCAT(A801," (",M801,")"),B801)</f>
        <v>Píngnán Zhèn</v>
      </c>
      <c r="D801" t="s">
        <v>1182</v>
      </c>
      <c r="E801" t="s">
        <v>11</v>
      </c>
      <c r="F801" t="str">
        <f>_xlfn.CONCAT(D801,", ",H801,", ",I801,", ","浙江省")</f>
        <v>屏南镇, 龙泉市, 丽水市, 浙江省</v>
      </c>
      <c r="G801">
        <v>2871</v>
      </c>
      <c r="H801" t="s">
        <v>2954</v>
      </c>
      <c r="I801" t="s">
        <v>2949</v>
      </c>
      <c r="J801">
        <f>VLOOKUP(F801,[1]!china_towns_second__2[[Column1]:[Y]],3,FALSE)</f>
        <v>27.8216186254093</v>
      </c>
      <c r="K801">
        <f>VLOOKUP(F801,[1]!china_towns_second__2[[Column1]:[Y]],2,FALSE)</f>
        <v>119.10388589999999</v>
      </c>
      <c r="L801" t="s">
        <v>4435</v>
      </c>
      <c r="M801" t="str">
        <f>VLOOKUP(H801,CHOOSE({1,2},Table12[Native],Table12[Name]),2,0)</f>
        <v>Lóngquán Shì</v>
      </c>
      <c r="N801" s="15" t="str">
        <f>VLOOKUP(I801,CHOOSE({1,2},Table12[Native],Table12[Name]),2,0)</f>
        <v>Lìshuĭ Shì</v>
      </c>
      <c r="O801" s="15" t="str">
        <f t="shared" si="24"/>
        <v>Pingnan Zhen (Lìshuĭ Shì)</v>
      </c>
      <c r="P801" s="15" t="str">
        <f t="shared" si="25"/>
        <v>Pingnan Zhen (Lìshuĭ Shì)</v>
      </c>
    </row>
    <row r="802" spans="1:16" hidden="1" x14ac:dyDescent="0.25">
      <c r="A802" t="s">
        <v>2167</v>
      </c>
      <c r="B802" t="str">
        <f>IF(COUNTIF(A:A,A802)&gt;1,_xlfn.CONCAT(A802," (",N802,")"),A802)</f>
        <v>Píngqiáo Zhèn</v>
      </c>
      <c r="C802" t="str">
        <f>IF(COUNTIF(B:B,B802)&gt;1,_xlfn.CONCAT(A802," (",M802,")"),B802)</f>
        <v>Píngqiáo Zhèn</v>
      </c>
      <c r="D802" t="s">
        <v>2168</v>
      </c>
      <c r="E802" t="s">
        <v>11</v>
      </c>
      <c r="F802" t="str">
        <f>_xlfn.CONCAT(D802,", ",H802,", ",I802,", ","浙江省")</f>
        <v>平桥镇, 天台县, 台州市, 浙江省</v>
      </c>
      <c r="G802">
        <v>61598</v>
      </c>
      <c r="H802" t="s">
        <v>2995</v>
      </c>
      <c r="I802" t="s">
        <v>2989</v>
      </c>
      <c r="J802">
        <f>VLOOKUP(F802,[1]!china_towns_second__2[[Column1]:[Y]],3,FALSE)</f>
        <v>29.161723785303799</v>
      </c>
      <c r="K802">
        <f>VLOOKUP(F802,[1]!china_towns_second__2[[Column1]:[Y]],2,FALSE)</f>
        <v>120.8469273</v>
      </c>
      <c r="L802" t="s">
        <v>4436</v>
      </c>
      <c r="M802" t="str">
        <f>VLOOKUP(H802,CHOOSE({1,2},Table12[Native],Table12[Name]),2,0)</f>
        <v>Tiāntái Xiàn</v>
      </c>
      <c r="N802" s="15" t="str">
        <f>VLOOKUP(I802,CHOOSE({1,2},Table12[Native],Table12[Name]),2,0)</f>
        <v>Táizhōu Shì</v>
      </c>
      <c r="O802" s="15" t="str">
        <f t="shared" si="24"/>
        <v>Pingqiao Zhen (Táizhōu Shì)</v>
      </c>
      <c r="P802" s="15" t="str">
        <f t="shared" si="25"/>
        <v>Pingqiao Zhen (Táizhōu Shì)</v>
      </c>
    </row>
    <row r="803" spans="1:16" hidden="1" x14ac:dyDescent="0.25">
      <c r="A803" t="s">
        <v>1958</v>
      </c>
      <c r="B803" t="str">
        <f>IF(COUNTIF(A:A,A803)&gt;1,_xlfn.CONCAT(A803," (",N803,")"),A803)</f>
        <v>Píngshuĭ Zhèn</v>
      </c>
      <c r="C803" t="str">
        <f>IF(COUNTIF(B:B,B803)&gt;1,_xlfn.CONCAT(A803," (",M803,")"),B803)</f>
        <v>Píngshuĭ Zhèn</v>
      </c>
      <c r="D803" t="s">
        <v>1959</v>
      </c>
      <c r="E803" t="s">
        <v>11</v>
      </c>
      <c r="F803" t="str">
        <f>_xlfn.CONCAT(D803,", ",H803,", ",I803,", ","浙江省")</f>
        <v>平水镇, 柯桥区, 绍兴市, 浙江省</v>
      </c>
      <c r="G803">
        <v>48263</v>
      </c>
      <c r="H803" t="s">
        <v>2982</v>
      </c>
      <c r="I803" t="s">
        <v>2981</v>
      </c>
      <c r="J803">
        <f>VLOOKUP(F803,[1]!china_towns_second__2[[Column1]:[Y]],3,FALSE)</f>
        <v>29.871408785699501</v>
      </c>
      <c r="K803">
        <f>VLOOKUP(F803,[1]!china_towns_second__2[[Column1]:[Y]],2,FALSE)</f>
        <v>120.62403310000001</v>
      </c>
      <c r="L803" t="s">
        <v>4437</v>
      </c>
      <c r="M803" t="str">
        <f>VLOOKUP(H803,CHOOSE({1,2},Table12[Native],Table12[Name]),2,0)</f>
        <v>Kēqiáo Qū</v>
      </c>
      <c r="N803" s="15" t="str">
        <f>VLOOKUP(I803,CHOOSE({1,2},Table12[Native],Table12[Name]),2,0)</f>
        <v>Shàoxīng Shì</v>
      </c>
      <c r="O803" s="15" t="str">
        <f t="shared" si="24"/>
        <v>Pingshui Zhen (Shàoxīng Shì)</v>
      </c>
      <c r="P803" s="15" t="str">
        <f t="shared" si="25"/>
        <v>Pingshui Zhen (Shàoxīng Shì)</v>
      </c>
    </row>
    <row r="804" spans="1:16" hidden="1" x14ac:dyDescent="0.25">
      <c r="A804" t="s">
        <v>2169</v>
      </c>
      <c r="B804" t="str">
        <f>IF(COUNTIF(A:A,A804)&gt;1,_xlfn.CONCAT(A804," (",N804,")"),A804)</f>
        <v>Píngtián Xiāng</v>
      </c>
      <c r="C804" t="str">
        <f>IF(COUNTIF(B:B,B804)&gt;1,_xlfn.CONCAT(A804," (",M804,")"),B804)</f>
        <v>Píngtián Xiāng</v>
      </c>
      <c r="D804" t="s">
        <v>2170</v>
      </c>
      <c r="E804" t="s">
        <v>7</v>
      </c>
      <c r="F804" t="str">
        <f>_xlfn.CONCAT(D804,", ",H804,", ",I804,", ","浙江省")</f>
        <v>平田乡, 黄岩区, 台州市, 浙江省</v>
      </c>
      <c r="G804">
        <v>3843</v>
      </c>
      <c r="H804" t="s">
        <v>2990</v>
      </c>
      <c r="I804" t="s">
        <v>2989</v>
      </c>
      <c r="J804" t="e">
        <f>VLOOKUP(F804,[1]!china_towns_second__2[[Column1]:[Y]],3,FALSE)</f>
        <v>#N/A</v>
      </c>
      <c r="K804" t="e">
        <f>VLOOKUP(F804,[1]!china_towns_second__2[[Column1]:[Y]],2,FALSE)</f>
        <v>#N/A</v>
      </c>
      <c r="L804" t="s">
        <v>4438</v>
      </c>
      <c r="M804" t="str">
        <f>VLOOKUP(H804,CHOOSE({1,2},Table12[Native],Table12[Name]),2,0)</f>
        <v>Huángyán Qū</v>
      </c>
      <c r="N804" s="15" t="str">
        <f>VLOOKUP(I804,CHOOSE({1,2},Table12[Native],Table12[Name]),2,0)</f>
        <v>Táizhōu Shì</v>
      </c>
      <c r="O804" s="15" t="str">
        <f t="shared" si="24"/>
        <v>Pingtian Xiang (Táizhōu Shì)</v>
      </c>
      <c r="P804" s="15" t="str">
        <f t="shared" si="25"/>
        <v>Pingtian Xiang (Táizhōu Shì)</v>
      </c>
    </row>
    <row r="805" spans="1:16" hidden="1" x14ac:dyDescent="0.25">
      <c r="A805" t="s">
        <v>2569</v>
      </c>
      <c r="B805" t="str">
        <f>IF(COUNTIF(A:A,A805)&gt;1,_xlfn.CONCAT(A805," (",N805,")"),A805)</f>
        <v>Píngyángkēng Zhèn [→ Gāolóu Zhèn]</v>
      </c>
      <c r="C805" t="str">
        <f>IF(COUNTIF(B:B,B805)&gt;1,_xlfn.CONCAT(A805," (",M805,")"),B805)</f>
        <v>Píngyángkēng Zhèn [→ Gāolóu Zhèn]</v>
      </c>
      <c r="D805" t="s">
        <v>2570</v>
      </c>
      <c r="E805" t="s">
        <v>11</v>
      </c>
      <c r="F805" t="str">
        <f>_xlfn.CONCAT(D805,", ",H805,", ",I805,", ","浙江省")</f>
        <v>平阳坑镇, 瑞安市, 温州市, 浙江省</v>
      </c>
      <c r="G805">
        <v>11385</v>
      </c>
      <c r="H805" t="s">
        <v>3007</v>
      </c>
      <c r="I805" t="s">
        <v>3000</v>
      </c>
      <c r="J805">
        <f>VLOOKUP(F805,[1]!china_towns_second__2[[Column1]:[Y]],3,FALSE)</f>
        <v>27.7502</v>
      </c>
      <c r="K805">
        <f>VLOOKUP(F805,[1]!china_towns_second__2[[Column1]:[Y]],2,FALSE)</f>
        <v>120.3733</v>
      </c>
      <c r="L805" t="s">
        <v>4439</v>
      </c>
      <c r="M805" t="str">
        <f>VLOOKUP(H805,CHOOSE({1,2},Table12[Native],Table12[Name]),2,0)</f>
        <v>Ruì'ān Shì</v>
      </c>
      <c r="N805" s="15" t="str">
        <f>VLOOKUP(I805,CHOOSE({1,2},Table12[Native],Table12[Name]),2,0)</f>
        <v>Wēnzhōu Shì</v>
      </c>
      <c r="O805" s="15" t="str">
        <f t="shared" si="24"/>
        <v>Pingyangkeng Zhen [→ Gaolou Zhen] (Wēnzhōu Shì)</v>
      </c>
      <c r="P805" s="15" t="str">
        <f t="shared" si="25"/>
        <v>Pingyangkeng Zhen [→ Gaolou Zhen] (Wēnzhōu Shì)</v>
      </c>
    </row>
    <row r="806" spans="1:16" hidden="1" x14ac:dyDescent="0.25">
      <c r="A806" t="s">
        <v>239</v>
      </c>
      <c r="B806" t="str">
        <f>IF(COUNTIF(A:A,A806)&gt;1,_xlfn.CONCAT(A806," (",N806,")"),A806)</f>
        <v>Píngyáo Zhèn</v>
      </c>
      <c r="C806" t="str">
        <f>IF(COUNTIF(B:B,B806)&gt;1,_xlfn.CONCAT(A806," (",M806,")"),B806)</f>
        <v>Píngyáo Zhèn</v>
      </c>
      <c r="D806" t="s">
        <v>240</v>
      </c>
      <c r="E806" t="s">
        <v>11</v>
      </c>
      <c r="F806" t="str">
        <f>_xlfn.CONCAT(D806,", ",H806,", ",I806,", ","浙江省")</f>
        <v>瓶窑镇, 余杭区, 杭州市, 浙江省</v>
      </c>
      <c r="G806">
        <v>58496</v>
      </c>
      <c r="H806" t="s">
        <v>2919</v>
      </c>
      <c r="I806" t="s">
        <v>2903</v>
      </c>
      <c r="J806">
        <f>VLOOKUP(F806,[1]!china_towns_second__2[[Column1]:[Y]],3,FALSE)</f>
        <v>30.405173896197201</v>
      </c>
      <c r="K806">
        <f>VLOOKUP(F806,[1]!china_towns_second__2[[Column1]:[Y]],2,FALSE)</f>
        <v>119.9297464</v>
      </c>
      <c r="L806" t="s">
        <v>4440</v>
      </c>
      <c r="M806" t="str">
        <f>VLOOKUP(H806,CHOOSE({1,2},Table12[Native],Table12[Name]),2,0)</f>
        <v>Yúháng Qū</v>
      </c>
      <c r="N806" s="15" t="str">
        <f>VLOOKUP(I806,CHOOSE({1,2},Table12[Native],Table12[Name]),2,0)</f>
        <v>Hángzhōu Shì</v>
      </c>
      <c r="O806" s="15" t="str">
        <f t="shared" si="24"/>
        <v>Pingyao Zhen (Hángzhōu Shì)</v>
      </c>
      <c r="P806" s="15" t="str">
        <f t="shared" si="25"/>
        <v>Pingyao Zhen (Hángzhōu Shì)</v>
      </c>
    </row>
    <row r="807" spans="1:16" hidden="1" x14ac:dyDescent="0.25">
      <c r="A807" t="s">
        <v>2171</v>
      </c>
      <c r="B807" t="str">
        <f>IF(COUNTIF(A:A,A807)&gt;1,_xlfn.CONCAT(A807," (",N807,")"),A807)</f>
        <v>Pótān Xiāng</v>
      </c>
      <c r="C807" t="str">
        <f>IF(COUNTIF(B:B,B807)&gt;1,_xlfn.CONCAT(A807," (",M807,")"),B807)</f>
        <v>Pótān Xiāng</v>
      </c>
      <c r="D807" t="s">
        <v>2172</v>
      </c>
      <c r="E807" t="s">
        <v>7</v>
      </c>
      <c r="F807" t="str">
        <f>_xlfn.CONCAT(D807,", ",H807,", ",I807,", ","浙江省")</f>
        <v>皤滩乡, 仙居县, 台州市, 浙江省</v>
      </c>
      <c r="G807">
        <v>6750</v>
      </c>
      <c r="H807" t="s">
        <v>2997</v>
      </c>
      <c r="I807" t="s">
        <v>2989</v>
      </c>
      <c r="J807" t="e">
        <f>VLOOKUP(F807,[1]!china_towns_second__2[[Column1]:[Y]],3,FALSE)</f>
        <v>#N/A</v>
      </c>
      <c r="K807" t="e">
        <f>VLOOKUP(F807,[1]!china_towns_second__2[[Column1]:[Y]],2,FALSE)</f>
        <v>#N/A</v>
      </c>
      <c r="L807" t="s">
        <v>4441</v>
      </c>
      <c r="M807" t="str">
        <f>VLOOKUP(H807,CHOOSE({1,2},Table12[Native],Table12[Name]),2,0)</f>
        <v>Xiānjū Xiàn</v>
      </c>
      <c r="N807" s="15" t="str">
        <f>VLOOKUP(I807,CHOOSE({1,2},Table12[Native],Table12[Name]),2,0)</f>
        <v>Táizhōu Shì</v>
      </c>
      <c r="O807" s="15" t="str">
        <f t="shared" si="24"/>
        <v>Potan Xiang (Táizhōu Shì)</v>
      </c>
      <c r="P807" s="15" t="str">
        <f t="shared" si="25"/>
        <v>Potan Xiang (Táizhōu Shì)</v>
      </c>
    </row>
    <row r="808" spans="1:16" hidden="1" x14ac:dyDescent="0.25">
      <c r="A808" t="s">
        <v>2173</v>
      </c>
      <c r="B808" t="str">
        <f>IF(COUNTIF(A:A,A808)&gt;1,_xlfn.CONCAT(A808," (",N808,")"),A808)</f>
        <v>Pǔbàgǎng Zhèn [incl. Lĭpŭ Zhèn, Sìlín Xiāng, Xiăoxióng Zhèn, Yánchì Xiāng]</v>
      </c>
      <c r="C808" t="str">
        <f>IF(COUNTIF(B:B,B808)&gt;1,_xlfn.CONCAT(A808," (",M808,")"),B808)</f>
        <v>Pǔbàgǎng Zhèn [incl. Lĭpŭ Zhèn, Sìlín Xiāng, Xiăoxióng Zhèn, Yánchì Xiāng]</v>
      </c>
      <c r="D808" t="s">
        <v>2174</v>
      </c>
      <c r="E808" t="s">
        <v>11</v>
      </c>
      <c r="F808" t="str">
        <f>_xlfn.CONCAT(D808,", ",H808,", ",I808,", ","浙江省")</f>
        <v>浦坝港镇, 三门县, 台州市, 浙江省</v>
      </c>
      <c r="G808">
        <v>73223</v>
      </c>
      <c r="H808" t="s">
        <v>2994</v>
      </c>
      <c r="I808" t="s">
        <v>2989</v>
      </c>
      <c r="J808">
        <f>VLOOKUP(F808,[1]!china_towns_second__2[[Column1]:[Y]],3,FALSE)</f>
        <v>28.978387517824501</v>
      </c>
      <c r="K808">
        <f>VLOOKUP(F808,[1]!china_towns_second__2[[Column1]:[Y]],2,FALSE)</f>
        <v>121.62432389999999</v>
      </c>
      <c r="L808" t="s">
        <v>4442</v>
      </c>
      <c r="M808" t="str">
        <f>VLOOKUP(H808,CHOOSE({1,2},Table12[Native],Table12[Name]),2,0)</f>
        <v>Sānmén Xiàn</v>
      </c>
      <c r="N808" s="15" t="str">
        <f>VLOOKUP(I808,CHOOSE({1,2},Table12[Native],Table12[Name]),2,0)</f>
        <v>Táizhōu Shì</v>
      </c>
      <c r="O808" s="15" t="str">
        <f t="shared" si="24"/>
        <v>Pubagang Zhen [incl. Lipu Zhen, Silin Xiang, Xiaoxiong Zhen, Yanchi Xiang] (Táizhōu Shì)</v>
      </c>
      <c r="P808" s="15" t="str">
        <f t="shared" si="25"/>
        <v>Pubagang Zhen [incl. Lipu Zhen, Silin Xiang, Xiaoxiong Zhen, Yanchi Xiang] (Táizhōu Shì)</v>
      </c>
    </row>
    <row r="809" spans="1:16" hidden="1" x14ac:dyDescent="0.25">
      <c r="A809" t="s">
        <v>2571</v>
      </c>
      <c r="B809" t="str">
        <f>IF(COUNTIF(A:A,A809)&gt;1,_xlfn.CONCAT(A809," (",N809,")"),A809)</f>
        <v>Púchéng Xiāng</v>
      </c>
      <c r="C809" t="str">
        <f>IF(COUNTIF(B:B,B809)&gt;1,_xlfn.CONCAT(A809," (",M809,")"),B809)</f>
        <v>Púchéng Xiāng</v>
      </c>
      <c r="D809" t="s">
        <v>2572</v>
      </c>
      <c r="E809" t="s">
        <v>7</v>
      </c>
      <c r="F809" t="str">
        <f>_xlfn.CONCAT(D809,", ",H809,", ",I809,", ","浙江省")</f>
        <v>蒲城乡, 苍南县, 温州市, 浙江省</v>
      </c>
      <c r="G809">
        <v>3525</v>
      </c>
      <c r="H809" t="s">
        <v>3001</v>
      </c>
      <c r="I809" t="s">
        <v>3000</v>
      </c>
      <c r="J809" t="e">
        <f>VLOOKUP(F809,[1]!china_towns_second__2[[Column1]:[Y]],3,FALSE)</f>
        <v>#N/A</v>
      </c>
      <c r="K809" t="e">
        <f>VLOOKUP(F809,[1]!china_towns_second__2[[Column1]:[Y]],2,FALSE)</f>
        <v>#N/A</v>
      </c>
      <c r="L809" t="s">
        <v>4443</v>
      </c>
      <c r="M809" t="str">
        <f>VLOOKUP(H809,CHOOSE({1,2},Table12[Native],Table12[Name]),2,0)</f>
        <v>Cāngnán Xiàn</v>
      </c>
      <c r="N809" s="15" t="str">
        <f>VLOOKUP(I809,CHOOSE({1,2},Table12[Native],Table12[Name]),2,0)</f>
        <v>Wēnzhōu Shì</v>
      </c>
      <c r="O809" s="15" t="str">
        <f t="shared" si="24"/>
        <v>Pucheng Xiang (Wēnzhōu Shì)</v>
      </c>
      <c r="P809" s="15" t="str">
        <f t="shared" si="25"/>
        <v>Pucheng Xiang (Wēnzhōu Shì)</v>
      </c>
    </row>
    <row r="810" spans="1:16" hidden="1" x14ac:dyDescent="0.25">
      <c r="A810" t="s">
        <v>1960</v>
      </c>
      <c r="B810" t="str">
        <f>IF(COUNTIF(A:A,A810)&gt;1,_xlfn.CONCAT(A810," (",N810,")"),A810)</f>
        <v>Pŭkŏu Jiēdào</v>
      </c>
      <c r="C810" t="str">
        <f>IF(COUNTIF(B:B,B810)&gt;1,_xlfn.CONCAT(A810," (",M810,")"),B810)</f>
        <v>Pŭkŏu Jiēdào</v>
      </c>
      <c r="D810" t="s">
        <v>1961</v>
      </c>
      <c r="E810" t="s">
        <v>15</v>
      </c>
      <c r="F810" t="str">
        <f>_xlfn.CONCAT(D810,", ",H810,", ",I810,", ","浙江省")</f>
        <v>浦口街道, 嵊州市, 绍兴市, 浙江省</v>
      </c>
      <c r="G810">
        <v>28061</v>
      </c>
      <c r="H810" t="s">
        <v>2984</v>
      </c>
      <c r="I810" t="s">
        <v>2981</v>
      </c>
      <c r="J810">
        <f>VLOOKUP(F810,[1]!china_towns_second__2[[Column1]:[Y]],3,FALSE)</f>
        <v>29.641520154323299</v>
      </c>
      <c r="K810">
        <f>VLOOKUP(F810,[1]!china_towns_second__2[[Column1]:[Y]],2,FALSE)</f>
        <v>120.87981499999999</v>
      </c>
      <c r="L810" t="s">
        <v>4444</v>
      </c>
      <c r="M810" t="str">
        <f>VLOOKUP(H810,CHOOSE({1,2},Table12[Native],Table12[Name]),2,0)</f>
        <v>Shèngzhōu Shì</v>
      </c>
      <c r="N810" s="15" t="str">
        <f>VLOOKUP(I810,CHOOSE({1,2},Table12[Native],Table12[Name]),2,0)</f>
        <v>Shàoxīng Shì</v>
      </c>
      <c r="O810" s="15" t="str">
        <f t="shared" si="24"/>
        <v>Pukou Jiedao (Shàoxīng Shì)</v>
      </c>
      <c r="P810" s="15" t="str">
        <f t="shared" si="25"/>
        <v>Pukou Jiedao (Shàoxīng Shì)</v>
      </c>
    </row>
    <row r="811" spans="1:16" hidden="1" x14ac:dyDescent="0.25">
      <c r="A811" t="s">
        <v>861</v>
      </c>
      <c r="B811" t="str">
        <f>IF(COUNTIF(A:A,A811)&gt;1,_xlfn.CONCAT(A811," (",N811,")"),A811)</f>
        <v>Pŭnán Jiēdào</v>
      </c>
      <c r="C811" t="str">
        <f>IF(COUNTIF(B:B,B811)&gt;1,_xlfn.CONCAT(A811," (",M811,")"),B811)</f>
        <v>Pŭnán Jiēdào</v>
      </c>
      <c r="D811" t="s">
        <v>862</v>
      </c>
      <c r="E811" t="s">
        <v>15</v>
      </c>
      <c r="F811" t="str">
        <f>_xlfn.CONCAT(D811,", ",H811,", ",I811,", ","浙江省")</f>
        <v>浦南街道, 浦江县, 金华市, 浙江省</v>
      </c>
      <c r="G811">
        <v>52953</v>
      </c>
      <c r="H811" t="s">
        <v>2943</v>
      </c>
      <c r="I811" t="s">
        <v>2938</v>
      </c>
      <c r="J811">
        <f>VLOOKUP(F811,[1]!china_towns_second__2[[Column1]:[Y]],3,FALSE)</f>
        <v>29.408141923120699</v>
      </c>
      <c r="K811">
        <f>VLOOKUP(F811,[1]!china_towns_second__2[[Column1]:[Y]],2,FALSE)</f>
        <v>119.9220194</v>
      </c>
      <c r="L811" t="s">
        <v>4445</v>
      </c>
      <c r="M811" t="str">
        <f>VLOOKUP(H811,CHOOSE({1,2},Table12[Native],Table12[Name]),2,0)</f>
        <v>Pŭjiāng Xiàn</v>
      </c>
      <c r="N811" s="15" t="str">
        <f>VLOOKUP(I811,CHOOSE({1,2},Table12[Native],Table12[Name]),2,0)</f>
        <v>Jīnhuá Shì</v>
      </c>
      <c r="O811" s="15" t="str">
        <f t="shared" si="24"/>
        <v>Punan Jiedao (Jīnhuá Shì)</v>
      </c>
      <c r="P811" s="15" t="str">
        <f t="shared" si="25"/>
        <v>Punan Jiedao (Jīnhuá Shì)</v>
      </c>
    </row>
    <row r="812" spans="1:16" hidden="1" x14ac:dyDescent="0.25">
      <c r="A812" t="s">
        <v>2573</v>
      </c>
      <c r="B812" t="str">
        <f>IF(COUNTIF(A:A,A812)&gt;1,_xlfn.CONCAT(A812," (",N812,")"),A812)</f>
        <v>Púqí Zhèn [→ Hóngqiáo Zhèn]</v>
      </c>
      <c r="C812" t="str">
        <f>IF(COUNTIF(B:B,B812)&gt;1,_xlfn.CONCAT(A812," (",M812,")"),B812)</f>
        <v>Púqí Zhèn [→ Hóngqiáo Zhèn]</v>
      </c>
      <c r="D812" t="s">
        <v>2574</v>
      </c>
      <c r="E812" t="s">
        <v>11</v>
      </c>
      <c r="F812" t="str">
        <f>_xlfn.CONCAT(D812,", ",H812,", ",I812,", ","浙江省")</f>
        <v>蒲岐镇, 乐清市, 温州市, 浙江省</v>
      </c>
      <c r="G812">
        <v>26657</v>
      </c>
      <c r="H812" t="s">
        <v>3011</v>
      </c>
      <c r="I812" t="s">
        <v>3000</v>
      </c>
      <c r="J812">
        <f>VLOOKUP(F812,[1]!china_towns_second__2[[Column1]:[Y]],3,FALSE)</f>
        <v>28.166573</v>
      </c>
      <c r="K812">
        <f>VLOOKUP(F812,[1]!china_towns_second__2[[Column1]:[Y]],2,FALSE)</f>
        <v>121.05215699999999</v>
      </c>
      <c r="L812" t="s">
        <v>4446</v>
      </c>
      <c r="M812" t="str">
        <f>VLOOKUP(H812,CHOOSE({1,2},Table12[Native],Table12[Name]),2,0)</f>
        <v>Yuèqīng Shì</v>
      </c>
      <c r="N812" s="15" t="str">
        <f>VLOOKUP(I812,CHOOSE({1,2},Table12[Native],Table12[Name]),2,0)</f>
        <v>Wēnzhōu Shì</v>
      </c>
      <c r="O812" s="15" t="str">
        <f t="shared" si="24"/>
        <v>Puqi Zhen [→ Hongqiao Zhen] (Wēnzhōu Shì)</v>
      </c>
      <c r="P812" s="15" t="str">
        <f t="shared" si="25"/>
        <v>Puqi Zhen [→ Hongqiao Zhen] (Wēnzhōu Shì)</v>
      </c>
    </row>
    <row r="813" spans="1:16" hidden="1" x14ac:dyDescent="0.25">
      <c r="A813" t="s">
        <v>2575</v>
      </c>
      <c r="B813" t="str">
        <f>IF(COUNTIF(A:A,A813)&gt;1,_xlfn.CONCAT(A813," (",N813,")"),A813)</f>
        <v>Pŭtíng Xiāng</v>
      </c>
      <c r="C813" t="str">
        <f>IF(COUNTIF(B:B,B813)&gt;1,_xlfn.CONCAT(A813," (",M813,")"),B813)</f>
        <v>Pŭtíng Xiāng</v>
      </c>
      <c r="D813" t="s">
        <v>2576</v>
      </c>
      <c r="E813" t="s">
        <v>7</v>
      </c>
      <c r="F813" t="str">
        <f>_xlfn.CONCAT(D813,", ",H813,", ",I813,", ","浙江省")</f>
        <v>浦亭乡, 苍南县, 温州市, 浙江省</v>
      </c>
      <c r="G813">
        <v>8701</v>
      </c>
      <c r="H813" t="s">
        <v>3001</v>
      </c>
      <c r="I813" t="s">
        <v>3000</v>
      </c>
      <c r="J813" t="e">
        <f>VLOOKUP(F813,[1]!china_towns_second__2[[Column1]:[Y]],3,FALSE)</f>
        <v>#N/A</v>
      </c>
      <c r="K813" t="e">
        <f>VLOOKUP(F813,[1]!china_towns_second__2[[Column1]:[Y]],2,FALSE)</f>
        <v>#N/A</v>
      </c>
      <c r="L813" t="s">
        <v>4447</v>
      </c>
      <c r="M813" t="str">
        <f>VLOOKUP(H813,CHOOSE({1,2},Table12[Native],Table12[Name]),2,0)</f>
        <v>Cāngnán Xiàn</v>
      </c>
      <c r="N813" s="15" t="str">
        <f>VLOOKUP(I813,CHOOSE({1,2},Table12[Native],Table12[Name]),2,0)</f>
        <v>Wēnzhōu Shì</v>
      </c>
      <c r="O813" s="15" t="str">
        <f t="shared" si="24"/>
        <v>Puting Xiang (Wēnzhōu Shì)</v>
      </c>
      <c r="P813" s="15" t="str">
        <f t="shared" si="25"/>
        <v>Puting Xiang (Wēnzhōu Shì)</v>
      </c>
    </row>
    <row r="814" spans="1:16" hidden="1" x14ac:dyDescent="0.25">
      <c r="A814" t="s">
        <v>2874</v>
      </c>
      <c r="B814" t="str">
        <f>IF(COUNTIF(A:A,A814)&gt;1,_xlfn.CONCAT(A814," (",N814,")"),A814)</f>
        <v>Pŭtuóshān Zhèn</v>
      </c>
      <c r="C814" t="str">
        <f>IF(COUNTIF(B:B,B814)&gt;1,_xlfn.CONCAT(A814," (",M814,")"),B814)</f>
        <v>Pŭtuóshān Zhèn</v>
      </c>
      <c r="D814" t="s">
        <v>2875</v>
      </c>
      <c r="E814" t="s">
        <v>11</v>
      </c>
      <c r="F814" t="str">
        <f>_xlfn.CONCAT(D814,", ",H814,", ",I814,", ","浙江省")</f>
        <v>普陀山镇, 普陀区, 舟山市, 浙江省</v>
      </c>
      <c r="G814">
        <v>10411</v>
      </c>
      <c r="H814" t="s">
        <v>3016</v>
      </c>
      <c r="I814" t="s">
        <v>3013</v>
      </c>
      <c r="J814">
        <f>VLOOKUP(F814,[1]!china_towns_second__2[[Column1]:[Y]],3,FALSE)</f>
        <v>30.0029273623054</v>
      </c>
      <c r="K814">
        <f>VLOOKUP(F814,[1]!china_towns_second__2[[Column1]:[Y]],2,FALSE)</f>
        <v>122.3876281</v>
      </c>
      <c r="L814" t="s">
        <v>4448</v>
      </c>
      <c r="M814" t="str">
        <f>VLOOKUP(H814,CHOOSE({1,2},Table12[Native],Table12[Name]),2,0)</f>
        <v>Pŭtuó Qū</v>
      </c>
      <c r="N814" s="15" t="str">
        <f>VLOOKUP(I814,CHOOSE({1,2},Table12[Native],Table12[Name]),2,0)</f>
        <v>Zhōushān Shì</v>
      </c>
      <c r="O814" s="15" t="str">
        <f t="shared" si="24"/>
        <v>Putuoshan Zhen (Zhōushān Shì)</v>
      </c>
      <c r="P814" s="15" t="str">
        <f t="shared" si="25"/>
        <v>Putuoshan Zhen (Zhōushān Shì)</v>
      </c>
    </row>
    <row r="815" spans="1:16" hidden="1" x14ac:dyDescent="0.25">
      <c r="A815" t="s">
        <v>2577</v>
      </c>
      <c r="B815" t="str">
        <f>IF(COUNTIF(A:A,A815)&gt;1,_xlfn.CONCAT(A815," (",N815,")"),A815)</f>
        <v>Púxiéshì Jiēdào [→ Bīnjiāng Jiēdào]</v>
      </c>
      <c r="C815" t="str">
        <f>IF(COUNTIF(B:B,B815)&gt;1,_xlfn.CONCAT(A815," (",M815,")"),B815)</f>
        <v>Púxiéshì Jiēdào [→ Bīnjiāng Jiēdào]</v>
      </c>
      <c r="D815" t="s">
        <v>2578</v>
      </c>
      <c r="E815" t="s">
        <v>15</v>
      </c>
      <c r="F815" t="str">
        <f>_xlfn.CONCAT(D815,", ",H815,", ",I815,", ","浙江省")</f>
        <v>蒲鞋市街道, 鹿城区, 温州市, 浙江省</v>
      </c>
      <c r="G815">
        <v>92944</v>
      </c>
      <c r="H815" t="s">
        <v>3004</v>
      </c>
      <c r="I815" t="s">
        <v>3000</v>
      </c>
      <c r="J815" t="e">
        <f>VLOOKUP(F815,[1]!china_towns_second__2[[Column1]:[Y]],3,FALSE)</f>
        <v>#N/A</v>
      </c>
      <c r="K815" t="e">
        <f>VLOOKUP(F815,[1]!china_towns_second__2[[Column1]:[Y]],2,FALSE)</f>
        <v>#N/A</v>
      </c>
      <c r="L815" t="s">
        <v>4449</v>
      </c>
      <c r="M815" t="str">
        <f>VLOOKUP(H815,CHOOSE({1,2},Table12[Native],Table12[Name]),2,0)</f>
        <v>Lùchéng Qū</v>
      </c>
      <c r="N815" s="15" t="str">
        <f>VLOOKUP(I815,CHOOSE({1,2},Table12[Native],Table12[Name]),2,0)</f>
        <v>Wēnzhōu Shì</v>
      </c>
      <c r="O815" s="15" t="str">
        <f t="shared" si="24"/>
        <v>Puxieshi Jiedao [→ Binjiang Jiedao] (Wēnzhōu Shì)</v>
      </c>
      <c r="P815" s="15" t="str">
        <f t="shared" si="25"/>
        <v>Puxieshi Jiedao [→ Binjiang Jiedao] (Wēnzhōu Shì)</v>
      </c>
    </row>
    <row r="816" spans="1:16" hidden="1" x14ac:dyDescent="0.25">
      <c r="A816" t="s">
        <v>243</v>
      </c>
      <c r="B816" t="str">
        <f>IF(COUNTIF(A:A,A816)&gt;1,_xlfn.CONCAT(A816," (",N816,")"),A816)</f>
        <v>Pŭyán Jiēdào</v>
      </c>
      <c r="C816" t="str">
        <f>IF(COUNTIF(B:B,B816)&gt;1,_xlfn.CONCAT(A816," (",M816,")"),B816)</f>
        <v>Pŭyán Jiēdào</v>
      </c>
      <c r="D816" t="s">
        <v>244</v>
      </c>
      <c r="E816" t="s">
        <v>15</v>
      </c>
      <c r="F816" t="str">
        <f>_xlfn.CONCAT(D816,", ",H816,", ",I816,", ","浙江省")</f>
        <v>浦沿街道, 滨江区, 杭州市, 浙江省</v>
      </c>
      <c r="G816">
        <v>151833</v>
      </c>
      <c r="H816" t="s">
        <v>2905</v>
      </c>
      <c r="I816" t="s">
        <v>2903</v>
      </c>
      <c r="J816">
        <f>VLOOKUP(F816,[1]!china_towns_second__2[[Column1]:[Y]],3,FALSE)</f>
        <v>30.172101598919198</v>
      </c>
      <c r="K816">
        <f>VLOOKUP(F816,[1]!china_towns_second__2[[Column1]:[Y]],2,FALSE)</f>
        <v>120.1460855</v>
      </c>
      <c r="L816" t="s">
        <v>4450</v>
      </c>
      <c r="M816" t="str">
        <f>VLOOKUP(H816,CHOOSE({1,2},Table12[Native],Table12[Name]),2,0)</f>
        <v>Bīnjiāng Qū</v>
      </c>
      <c r="N816" s="15" t="str">
        <f>VLOOKUP(I816,CHOOSE({1,2},Table12[Native],Table12[Name]),2,0)</f>
        <v>Hángzhōu Shì</v>
      </c>
      <c r="O816" s="15" t="str">
        <f t="shared" si="24"/>
        <v>Puyan Jiedao (Hángzhōu Shì)</v>
      </c>
      <c r="P816" s="15" t="str">
        <f t="shared" si="25"/>
        <v>Puyan Jiedao (Hángzhōu Shì)</v>
      </c>
    </row>
    <row r="817" spans="1:16" hidden="1" x14ac:dyDescent="0.25">
      <c r="A817" t="s">
        <v>863</v>
      </c>
      <c r="B817" t="str">
        <f>IF(COUNTIF(A:A,A817)&gt;1,_xlfn.CONCAT(A817," (",N817,")"),A817)</f>
        <v>Pŭyáng Jiēdào</v>
      </c>
      <c r="C817" t="str">
        <f>IF(COUNTIF(B:B,B817)&gt;1,_xlfn.CONCAT(A817," (",M817,")"),B817)</f>
        <v>Pŭyáng Jiēdào</v>
      </c>
      <c r="D817" t="s">
        <v>864</v>
      </c>
      <c r="E817" t="s">
        <v>15</v>
      </c>
      <c r="F817" t="str">
        <f>_xlfn.CONCAT(D817,", ",H817,", ",I817,", ","浙江省")</f>
        <v>浦阳街道, 浦江县, 金华市, 浙江省</v>
      </c>
      <c r="G817">
        <v>97852</v>
      </c>
      <c r="H817" t="s">
        <v>2943</v>
      </c>
      <c r="I817" t="s">
        <v>2938</v>
      </c>
      <c r="J817">
        <f>VLOOKUP(F817,[1]!china_towns_second__2[[Column1]:[Y]],3,FALSE)</f>
        <v>29.4630823938307</v>
      </c>
      <c r="K817">
        <f>VLOOKUP(F817,[1]!china_towns_second__2[[Column1]:[Y]],2,FALSE)</f>
        <v>119.86620069999999</v>
      </c>
      <c r="L817" t="s">
        <v>4451</v>
      </c>
      <c r="M817" t="str">
        <f>VLOOKUP(H817,CHOOSE({1,2},Table12[Native],Table12[Name]),2,0)</f>
        <v>Pŭjiāng Xiàn</v>
      </c>
      <c r="N817" s="15" t="str">
        <f>VLOOKUP(I817,CHOOSE({1,2},Table12[Native],Table12[Name]),2,0)</f>
        <v>Jīnhuá Shì</v>
      </c>
      <c r="O817" s="15" t="str">
        <f t="shared" si="24"/>
        <v>Puyang Jiedao (Jīnhuá Shì)</v>
      </c>
      <c r="P817" s="15" t="str">
        <f t="shared" si="25"/>
        <v>Puyang Jiedao (Jīnhuá Shì)</v>
      </c>
    </row>
    <row r="818" spans="1:16" hidden="1" x14ac:dyDescent="0.25">
      <c r="A818" t="s">
        <v>241</v>
      </c>
      <c r="B818" t="str">
        <f>IF(COUNTIF(A:A,A818)&gt;1,_xlfn.CONCAT(A818," (",N818,")"),A818)</f>
        <v>Pŭyáng Zhèn</v>
      </c>
      <c r="C818" t="str">
        <f>IF(COUNTIF(B:B,B818)&gt;1,_xlfn.CONCAT(A818," (",M818,")"),B818)</f>
        <v>Pŭyáng Zhèn</v>
      </c>
      <c r="D818" t="s">
        <v>242</v>
      </c>
      <c r="E818" t="s">
        <v>11</v>
      </c>
      <c r="F818" t="str">
        <f>_xlfn.CONCAT(D818,", ",H818,", ",I818,", ","浙江省")</f>
        <v>浦阳镇, 萧山区, 杭州市, 浙江省</v>
      </c>
      <c r="G818">
        <v>37696</v>
      </c>
      <c r="H818" t="s">
        <v>2917</v>
      </c>
      <c r="I818" t="s">
        <v>2903</v>
      </c>
      <c r="J818">
        <f>VLOOKUP(F818,[1]!china_towns_second__2[[Column1]:[Y]],3,FALSE)</f>
        <v>29.966506805036602</v>
      </c>
      <c r="K818">
        <f>VLOOKUP(F818,[1]!china_towns_second__2[[Column1]:[Y]],2,FALSE)</f>
        <v>120.24959990000001</v>
      </c>
      <c r="L818" t="s">
        <v>4452</v>
      </c>
      <c r="M818" t="str">
        <f>VLOOKUP(H818,CHOOSE({1,2},Table12[Native],Table12[Name]),2,0)</f>
        <v>Xiāoshān Qū</v>
      </c>
      <c r="N818" s="15" t="str">
        <f>VLOOKUP(I818,CHOOSE({1,2},Table12[Native],Table12[Name]),2,0)</f>
        <v>Hángzhōu Shì</v>
      </c>
      <c r="O818" s="15" t="str">
        <f t="shared" si="24"/>
        <v>Puyang Zhen (Hángzhōu Shì)</v>
      </c>
      <c r="P818" s="15" t="str">
        <f t="shared" si="25"/>
        <v>Puyang Zhen (Hángzhōu Shì)</v>
      </c>
    </row>
    <row r="819" spans="1:16" hidden="1" x14ac:dyDescent="0.25">
      <c r="A819" t="s">
        <v>625</v>
      </c>
      <c r="B819" t="str">
        <f>IF(COUNTIF(A:A,A819)&gt;1,_xlfn.CONCAT(A819," (",N819,")"),A819)</f>
        <v>Púyuàn Zhèn</v>
      </c>
      <c r="C819" t="str">
        <f>IF(COUNTIF(B:B,B819)&gt;1,_xlfn.CONCAT(A819," (",M819,")"),B819)</f>
        <v>Púyuàn Zhèn</v>
      </c>
      <c r="D819" t="s">
        <v>626</v>
      </c>
      <c r="E819" t="s">
        <v>11</v>
      </c>
      <c r="F819" t="str">
        <f>_xlfn.CONCAT(D819,", ",H819,", ",I819,", ","浙江省")</f>
        <v>濮院镇, 桐乡市, 嘉兴市, 浙江省</v>
      </c>
      <c r="G819">
        <v>95327</v>
      </c>
      <c r="H819" t="s">
        <v>2935</v>
      </c>
      <c r="I819" t="s">
        <v>2929</v>
      </c>
      <c r="J819">
        <f>VLOOKUP(F819,[1]!china_towns_second__2[[Column1]:[Y]],3,FALSE)</f>
        <v>30.690674867060999</v>
      </c>
      <c r="K819">
        <f>VLOOKUP(F819,[1]!china_towns_second__2[[Column1]:[Y]],2,FALSE)</f>
        <v>120.5857424</v>
      </c>
      <c r="L819" t="s">
        <v>4453</v>
      </c>
      <c r="M819" t="str">
        <f>VLOOKUP(H819,CHOOSE({1,2},Table12[Native],Table12[Name]),2,0)</f>
        <v>Tóngxiāng Shì</v>
      </c>
      <c r="N819" s="15" t="str">
        <f>VLOOKUP(I819,CHOOSE({1,2},Table12[Native],Table12[Name]),2,0)</f>
        <v>Jiāxīng Shì</v>
      </c>
      <c r="O819" s="15" t="str">
        <f t="shared" si="24"/>
        <v>Puyuan Zhen (Jiāxīng Shì)</v>
      </c>
      <c r="P819" s="15" t="str">
        <f t="shared" si="25"/>
        <v>Puyuan Zhen (Jiāxīng Shì)</v>
      </c>
    </row>
    <row r="820" spans="1:16" hidden="1" x14ac:dyDescent="0.25">
      <c r="A820" t="s">
        <v>2579</v>
      </c>
      <c r="B820" t="str">
        <f>IF(COUNTIF(A:A,A820)&gt;1,_xlfn.CONCAT(A820," (",N820,")"),A820)</f>
        <v>Púzhōu Jiēdào</v>
      </c>
      <c r="C820" t="str">
        <f>IF(COUNTIF(B:B,B820)&gt;1,_xlfn.CONCAT(A820," (",M820,")"),B820)</f>
        <v>Púzhōu Jiēdào</v>
      </c>
      <c r="D820" t="s">
        <v>2580</v>
      </c>
      <c r="E820" t="s">
        <v>15</v>
      </c>
      <c r="F820" t="str">
        <f>_xlfn.CONCAT(D820,", ",H820,", ",I820,", ","浙江省")</f>
        <v>蒲州街道, 龙湾区, 温州市, 浙江省</v>
      </c>
      <c r="G820">
        <v>67466</v>
      </c>
      <c r="H820" t="s">
        <v>3003</v>
      </c>
      <c r="I820" t="s">
        <v>3000</v>
      </c>
      <c r="J820">
        <f>VLOOKUP(F820,[1]!china_towns_second__2[[Column1]:[Y]],3,FALSE)</f>
        <v>27.9814043744293</v>
      </c>
      <c r="K820">
        <f>VLOOKUP(F820,[1]!china_towns_second__2[[Column1]:[Y]],2,FALSE)</f>
        <v>120.72901090000001</v>
      </c>
      <c r="L820" t="s">
        <v>4454</v>
      </c>
      <c r="M820" t="str">
        <f>VLOOKUP(H820,CHOOSE({1,2},Table12[Native],Table12[Name]),2,0)</f>
        <v>Lóngwān Qū</v>
      </c>
      <c r="N820" s="15" t="str">
        <f>VLOOKUP(I820,CHOOSE({1,2},Table12[Native],Table12[Name]),2,0)</f>
        <v>Wēnzhōu Shì</v>
      </c>
      <c r="O820" s="15" t="str">
        <f t="shared" si="24"/>
        <v>Puzhou Jiedao (Wēnzhōu Shì)</v>
      </c>
      <c r="P820" s="15" t="str">
        <f t="shared" si="25"/>
        <v>Puzhou Jiedao (Wēnzhōu Shì)</v>
      </c>
    </row>
    <row r="821" spans="1:16" hidden="1" x14ac:dyDescent="0.25">
      <c r="A821" t="s">
        <v>865</v>
      </c>
      <c r="B821" t="str">
        <f>IF(COUNTIF(A:A,A821)&gt;1,_xlfn.CONCAT(A821," (",N821,")"),A821)</f>
        <v>Qiáncāng Zhèn (Jīnhuá Shì)</v>
      </c>
      <c r="C821" t="str">
        <f>IF(COUNTIF(B:B,B821)&gt;1,_xlfn.CONCAT(A821," (",M821,")"),B821)</f>
        <v>Qiáncāng Zhèn (Jīnhuá Shì)</v>
      </c>
      <c r="D821" t="s">
        <v>866</v>
      </c>
      <c r="E821" t="s">
        <v>11</v>
      </c>
      <c r="F821" t="str">
        <f>_xlfn.CONCAT(D821,", ",H821,", ",I821,", ","浙江省")</f>
        <v>前仓镇, 永康市, 金华市, 浙江省</v>
      </c>
      <c r="G821">
        <v>22433</v>
      </c>
      <c r="H821" t="s">
        <v>2947</v>
      </c>
      <c r="I821" t="s">
        <v>2938</v>
      </c>
      <c r="J821">
        <f>VLOOKUP(F821,[1]!china_towns_second__2[[Column1]:[Y]],3,FALSE)</f>
        <v>28.798328760131501</v>
      </c>
      <c r="K821">
        <f>VLOOKUP(F821,[1]!china_towns_second__2[[Column1]:[Y]],2,FALSE)</f>
        <v>120.0732375</v>
      </c>
      <c r="L821" t="s">
        <v>4455</v>
      </c>
      <c r="M821" t="str">
        <f>VLOOKUP(H821,CHOOSE({1,2},Table12[Native],Table12[Name]),2,0)</f>
        <v>Yŏngkāng Shì</v>
      </c>
      <c r="N821" s="15" t="str">
        <f>VLOOKUP(I821,CHOOSE({1,2},Table12[Native],Table12[Name]),2,0)</f>
        <v>Jīnhuá Shì</v>
      </c>
      <c r="O821" s="15" t="str">
        <f t="shared" si="24"/>
        <v>Qiancang Zhen (Jinhua Shi) (Jīnhuá Shì)</v>
      </c>
      <c r="P821" s="15" t="str">
        <f t="shared" si="25"/>
        <v>Qiancang Zhen (Jinhua Shi) (Jīnhuá Shì)</v>
      </c>
    </row>
    <row r="822" spans="1:16" hidden="1" x14ac:dyDescent="0.25">
      <c r="A822" t="s">
        <v>865</v>
      </c>
      <c r="B822" t="str">
        <f>IF(COUNTIF(A:A,A822)&gt;1,_xlfn.CONCAT(A822," (",N822,")"),A822)</f>
        <v>Qiáncāng Zhèn (Wēnzhōu Shì)</v>
      </c>
      <c r="C822" t="str">
        <f>IF(COUNTIF(B:B,B822)&gt;1,_xlfn.CONCAT(A822," (",M822,")"),B822)</f>
        <v>Qiáncāng Zhèn (Wēnzhōu Shì)</v>
      </c>
      <c r="D822" t="s">
        <v>2581</v>
      </c>
      <c r="E822" t="s">
        <v>11</v>
      </c>
      <c r="F822" t="str">
        <f>_xlfn.CONCAT(D822,", ",H822,", ",I822,", ","浙江省")</f>
        <v>钱仓镇, 平阳县, 温州市, 浙江省</v>
      </c>
      <c r="G822">
        <v>16180</v>
      </c>
      <c r="H822" t="s">
        <v>3006</v>
      </c>
      <c r="I822" t="s">
        <v>3000</v>
      </c>
      <c r="J822">
        <f>VLOOKUP(F822,[1]!china_towns_second__2[[Column1]:[Y]],3,FALSE)</f>
        <v>27.583100000000002</v>
      </c>
      <c r="K822">
        <f>VLOOKUP(F822,[1]!china_towns_second__2[[Column1]:[Y]],2,FALSE)</f>
        <v>120.5044</v>
      </c>
      <c r="L822" t="s">
        <v>4456</v>
      </c>
      <c r="M822" t="str">
        <f>VLOOKUP(H822,CHOOSE({1,2},Table12[Native],Table12[Name]),2,0)</f>
        <v>Píngyáng Xiàn</v>
      </c>
      <c r="N822" s="15" t="str">
        <f>VLOOKUP(I822,CHOOSE({1,2},Table12[Native],Table12[Name]),2,0)</f>
        <v>Wēnzhōu Shì</v>
      </c>
      <c r="O822" s="15" t="str">
        <f t="shared" si="24"/>
        <v>Qiancang Zhen (Wenzhou Shi) (Wēnzhōu Shì)</v>
      </c>
      <c r="P822" s="15" t="str">
        <f t="shared" si="25"/>
        <v>Qiancang Zhen (Wenzhou Shi) (Wēnzhōu Shì)</v>
      </c>
    </row>
    <row r="823" spans="1:16" hidden="1" x14ac:dyDescent="0.25">
      <c r="A823" t="s">
        <v>245</v>
      </c>
      <c r="B823" t="str">
        <f>IF(COUNTIF(A:A,A823)&gt;1,_xlfn.CONCAT(A823," (",N823,")"),A823)</f>
        <v>Qiánchuān Zhèn [incl. Lèpíng Xiāng]</v>
      </c>
      <c r="C823" t="str">
        <f>IF(COUNTIF(B:B,B823)&gt;1,_xlfn.CONCAT(A823," (",M823,")"),B823)</f>
        <v>Qiánchuān Zhèn [incl. Lèpíng Xiāng]</v>
      </c>
      <c r="D823" t="s">
        <v>246</v>
      </c>
      <c r="E823" t="s">
        <v>11</v>
      </c>
      <c r="F823" t="str">
        <f>_xlfn.CONCAT(D823,", ",H823,", ",I823,", ","浙江省")</f>
        <v>潜川镇, 临安区, 杭州市, 浙江省</v>
      </c>
      <c r="G823">
        <v>16965</v>
      </c>
      <c r="H823" t="s">
        <v>2911</v>
      </c>
      <c r="I823" t="s">
        <v>2903</v>
      </c>
      <c r="J823">
        <f>VLOOKUP(F823,[1]!china_towns_second__2[[Column1]:[Y]],3,FALSE)</f>
        <v>30.057611250920399</v>
      </c>
      <c r="K823">
        <f>VLOOKUP(F823,[1]!china_towns_second__2[[Column1]:[Y]],2,FALSE)</f>
        <v>119.36316050000001</v>
      </c>
      <c r="L823" t="s">
        <v>4457</v>
      </c>
      <c r="M823" t="str">
        <f>VLOOKUP(H823,CHOOSE({1,2},Table12[Native],Table12[Name]),2,0)</f>
        <v>Lín'ān Qū</v>
      </c>
      <c r="N823" s="15" t="str">
        <f>VLOOKUP(I823,CHOOSE({1,2},Table12[Native],Table12[Name]),2,0)</f>
        <v>Hángzhōu Shì</v>
      </c>
      <c r="O823" s="15" t="str">
        <f t="shared" si="24"/>
        <v>Qianchuan Zhen [incl. Leping Xiang] (Hángzhōu Shì)</v>
      </c>
      <c r="P823" s="15" t="str">
        <f t="shared" si="25"/>
        <v>Qianchuan Zhen [incl. Leping Xiang] (Hángzhōu Shì)</v>
      </c>
    </row>
    <row r="824" spans="1:16" hidden="1" x14ac:dyDescent="0.25">
      <c r="A824" t="s">
        <v>247</v>
      </c>
      <c r="B824" t="str">
        <f>IF(COUNTIF(A:A,A824)&gt;1,_xlfn.CONCAT(A824," (",N824,")"),A824)</f>
        <v>Qiāndăohú Zhèn</v>
      </c>
      <c r="C824" t="str">
        <f>IF(COUNTIF(B:B,B824)&gt;1,_xlfn.CONCAT(A824," (",M824,")"),B824)</f>
        <v>Qiāndăohú Zhèn</v>
      </c>
      <c r="D824" t="s">
        <v>248</v>
      </c>
      <c r="E824" t="s">
        <v>11</v>
      </c>
      <c r="F824" t="str">
        <f>_xlfn.CONCAT(D824,", ",H824,", ",I824,", ","浙江省")</f>
        <v>千岛湖镇, 淳安县, 杭州市, 浙江省</v>
      </c>
      <c r="G824">
        <v>103396</v>
      </c>
      <c r="H824" t="s">
        <v>2907</v>
      </c>
      <c r="I824" t="s">
        <v>2903</v>
      </c>
      <c r="J824">
        <f>VLOOKUP(F824,[1]!china_towns_second__2[[Column1]:[Y]],3,FALSE)</f>
        <v>29.6090357207609</v>
      </c>
      <c r="K824">
        <f>VLOOKUP(F824,[1]!china_towns_second__2[[Column1]:[Y]],2,FALSE)</f>
        <v>119.1007425</v>
      </c>
      <c r="L824" t="s">
        <v>4458</v>
      </c>
      <c r="M824" t="str">
        <f>VLOOKUP(H824,CHOOSE({1,2},Table12[Native],Table12[Name]),2,0)</f>
        <v>Chún'ān Xiàn</v>
      </c>
      <c r="N824" s="15" t="str">
        <f>VLOOKUP(I824,CHOOSE({1,2},Table12[Native],Table12[Name]),2,0)</f>
        <v>Hángzhōu Shì</v>
      </c>
      <c r="O824" s="15" t="str">
        <f t="shared" si="24"/>
        <v>Qiandaohu Zhen (Hángzhōu Shì)</v>
      </c>
      <c r="P824" s="15" t="str">
        <f t="shared" si="25"/>
        <v>Qiandaohu Zhen (Hángzhōu Shì)</v>
      </c>
    </row>
    <row r="825" spans="1:16" hidden="1" x14ac:dyDescent="0.25">
      <c r="A825" t="s">
        <v>1513</v>
      </c>
      <c r="B825" t="str">
        <f>IF(COUNTIF(A:A,A825)&gt;1,_xlfn.CONCAT(A825," (",N825,")"),A825)</f>
        <v>Qiángjiāo Zhèn</v>
      </c>
      <c r="C825" t="str">
        <f>IF(COUNTIF(B:B,B825)&gt;1,_xlfn.CONCAT(A825," (",M825,")"),B825)</f>
        <v>Qiángjiāo Zhèn</v>
      </c>
      <c r="D825" t="s">
        <v>1514</v>
      </c>
      <c r="E825" t="s">
        <v>11</v>
      </c>
      <c r="F825" t="str">
        <f>_xlfn.CONCAT(D825,", ",H825,", ",I825,", ","浙江省")</f>
        <v>强蛟镇, 宁海县, 宁波市, 浙江省</v>
      </c>
      <c r="G825">
        <v>18214</v>
      </c>
      <c r="H825" t="s">
        <v>2967</v>
      </c>
      <c r="I825" t="s">
        <v>2961</v>
      </c>
      <c r="J825">
        <f>VLOOKUP(F825,[1]!china_towns_second__2[[Column1]:[Y]],3,FALSE)</f>
        <v>29.469539730493398</v>
      </c>
      <c r="K825">
        <f>VLOOKUP(F825,[1]!china_towns_second__2[[Column1]:[Y]],2,FALSE)</f>
        <v>121.5268221</v>
      </c>
      <c r="L825" t="s">
        <v>4459</v>
      </c>
      <c r="M825" t="str">
        <f>VLOOKUP(H825,CHOOSE({1,2},Table12[Native],Table12[Name]),2,0)</f>
        <v>Nínghăi Xiàn</v>
      </c>
      <c r="N825" s="15" t="str">
        <f>VLOOKUP(I825,CHOOSE({1,2},Table12[Native],Table12[Name]),2,0)</f>
        <v>Níngbō Shì</v>
      </c>
      <c r="O825" s="15" t="str">
        <f t="shared" si="24"/>
        <v>Qiangjiao Zhen (Níngbō Shì)</v>
      </c>
      <c r="P825" s="15" t="str">
        <f t="shared" si="25"/>
        <v>Qiangjiao Zhen (Níngbō Shì)</v>
      </c>
    </row>
    <row r="826" spans="1:16" hidden="1" x14ac:dyDescent="0.25">
      <c r="A826" t="s">
        <v>1515</v>
      </c>
      <c r="B826" t="str">
        <f>IF(COUNTIF(A:A,A826)&gt;1,_xlfn.CONCAT(A826," (",N826,")"),A826)</f>
        <v>Qiángtóu Zhèn</v>
      </c>
      <c r="C826" t="str">
        <f>IF(COUNTIF(B:B,B826)&gt;1,_xlfn.CONCAT(A826," (",M826,")"),B826)</f>
        <v>Qiángtóu Zhèn</v>
      </c>
      <c r="D826" t="s">
        <v>1516</v>
      </c>
      <c r="E826" t="s">
        <v>11</v>
      </c>
      <c r="F826" t="str">
        <f>_xlfn.CONCAT(D826,", ",H826,", ",I826,", ","浙江省")</f>
        <v>墙头镇, 象山县, 宁波市, 浙江省</v>
      </c>
      <c r="G826">
        <v>15744</v>
      </c>
      <c r="H826" t="s">
        <v>2968</v>
      </c>
      <c r="I826" t="s">
        <v>2961</v>
      </c>
      <c r="J826">
        <f>VLOOKUP(F826,[1]!china_towns_second__2[[Column1]:[Y]],3,FALSE)</f>
        <v>29.486483179110301</v>
      </c>
      <c r="K826">
        <f>VLOOKUP(F826,[1]!china_towns_second__2[[Column1]:[Y]],2,FALSE)</f>
        <v>121.79831179999999</v>
      </c>
      <c r="L826" t="s">
        <v>4460</v>
      </c>
      <c r="M826" t="str">
        <f>VLOOKUP(H826,CHOOSE({1,2},Table12[Native],Table12[Name]),2,0)</f>
        <v>Xiàngshān Xiàn</v>
      </c>
      <c r="N826" s="15" t="str">
        <f>VLOOKUP(I826,CHOOSE({1,2},Table12[Native],Table12[Name]),2,0)</f>
        <v>Níngbō Shì</v>
      </c>
      <c r="O826" s="15" t="str">
        <f t="shared" si="24"/>
        <v>Qiangtou Zhen (Níngbō Shì)</v>
      </c>
      <c r="P826" s="15" t="str">
        <f t="shared" si="25"/>
        <v>Qiangtou Zhen (Níngbō Shì)</v>
      </c>
    </row>
    <row r="827" spans="1:16" hidden="1" x14ac:dyDescent="0.25">
      <c r="A827" t="s">
        <v>249</v>
      </c>
      <c r="B827" t="str">
        <f>IF(COUNTIF(A:A,A827)&gt;1,_xlfn.CONCAT(A827," (",N827,")"),A827)</f>
        <v>Qiānhóng Xiāng</v>
      </c>
      <c r="C827" t="str">
        <f>IF(COUNTIF(B:B,B827)&gt;1,_xlfn.CONCAT(A827," (",M827,")"),B827)</f>
        <v>Qiānhóng Xiāng</v>
      </c>
      <c r="D827" t="s">
        <v>250</v>
      </c>
      <c r="E827" t="s">
        <v>7</v>
      </c>
      <c r="F827" t="str">
        <f>_xlfn.CONCAT(D827,", ",H827,", ",I827,", ","浙江省")</f>
        <v>千洪乡, 临安区, 杭州市, 浙江省</v>
      </c>
      <c r="G827">
        <v>4489</v>
      </c>
      <c r="H827" t="s">
        <v>2911</v>
      </c>
      <c r="I827" t="s">
        <v>2903</v>
      </c>
      <c r="J827" t="e">
        <f>VLOOKUP(F827,[1]!china_towns_second__2[[Column1]:[Y]],3,FALSE)</f>
        <v>#N/A</v>
      </c>
      <c r="K827" t="e">
        <f>VLOOKUP(F827,[1]!china_towns_second__2[[Column1]:[Y]],2,FALSE)</f>
        <v>#N/A</v>
      </c>
      <c r="L827" t="s">
        <v>4461</v>
      </c>
      <c r="M827" t="str">
        <f>VLOOKUP(H827,CHOOSE({1,2},Table12[Native],Table12[Name]),2,0)</f>
        <v>Lín'ān Qū</v>
      </c>
      <c r="N827" s="15" t="str">
        <f>VLOOKUP(I827,CHOOSE({1,2},Table12[Native],Table12[Name]),2,0)</f>
        <v>Hángzhōu Shì</v>
      </c>
      <c r="O827" s="15" t="str">
        <f t="shared" si="24"/>
        <v>Qianhong Xiang (Hángzhōu Shì)</v>
      </c>
      <c r="P827" s="15" t="str">
        <f t="shared" si="25"/>
        <v>Qianhong Xiang (Hángzhōu Shì)</v>
      </c>
    </row>
    <row r="828" spans="1:16" hidden="1" x14ac:dyDescent="0.25">
      <c r="A828" t="s">
        <v>251</v>
      </c>
      <c r="B828" t="str">
        <f>IF(COUNTIF(A:A,A828)&gt;1,_xlfn.CONCAT(A828," (",N828,")"),A828)</f>
        <v>Qiánjiāng Jīngjì Kāifāqū Tángnán</v>
      </c>
      <c r="C828" t="str">
        <f>IF(COUNTIF(B:B,B828)&gt;1,_xlfn.CONCAT(A828," (",M828,")"),B828)</f>
        <v>Qiánjiāng Jīngjì Kāifāqū Tángnán</v>
      </c>
      <c r="D828" t="s">
        <v>252</v>
      </c>
      <c r="E828" t="s">
        <v>253</v>
      </c>
      <c r="F828" t="str">
        <f>_xlfn.CONCAT(D828,", ",H828,", ",I828,", ","浙江省")</f>
        <v>钱江经济开发区塘南办事处, 临平区, 杭州市, 浙江省</v>
      </c>
      <c r="G828">
        <v>19061</v>
      </c>
      <c r="H828" t="s">
        <v>2912</v>
      </c>
      <c r="I828" t="s">
        <v>2903</v>
      </c>
      <c r="J828" t="e">
        <f>VLOOKUP(F828,[1]!china_towns_second__2[[Column1]:[Y]],3,FALSE)</f>
        <v>#N/A</v>
      </c>
      <c r="K828" t="e">
        <f>VLOOKUP(F828,[1]!china_towns_second__2[[Column1]:[Y]],2,FALSE)</f>
        <v>#N/A</v>
      </c>
      <c r="L828" t="s">
        <v>4462</v>
      </c>
      <c r="M828" t="str">
        <f>VLOOKUP(H828,CHOOSE({1,2},Table12[Native],Table12[Name]),2,0)</f>
        <v>Línpíng Qū</v>
      </c>
      <c r="N828" s="15" t="str">
        <f>VLOOKUP(I828,CHOOSE({1,2},Table12[Native],Table12[Name]),2,0)</f>
        <v>Hángzhōu Shì</v>
      </c>
      <c r="O828" s="15" t="str">
        <f t="shared" si="24"/>
        <v>Qianjiang Jingji Kaifaqu Tangnan (Hángzhōu Shì)</v>
      </c>
      <c r="P828" s="15" t="str">
        <f t="shared" si="25"/>
        <v>Qianjiang Jingji Kaifaqu Tangnan (Hángzhōu Shì)</v>
      </c>
    </row>
    <row r="829" spans="1:16" hidden="1" x14ac:dyDescent="0.25">
      <c r="A829" t="s">
        <v>254</v>
      </c>
      <c r="B829" t="str">
        <f>IF(COUNTIF(A:A,A829)&gt;1,_xlfn.CONCAT(A829," (",N829,")"),A829)</f>
        <v>Qiánjìn Jiēdào</v>
      </c>
      <c r="C829" t="str">
        <f>IF(COUNTIF(B:B,B829)&gt;1,_xlfn.CONCAT(A829," (",M829,")"),B829)</f>
        <v>Qiánjìn Jiēdào</v>
      </c>
      <c r="D829" t="s">
        <v>255</v>
      </c>
      <c r="E829" t="s">
        <v>15</v>
      </c>
      <c r="F829" t="str">
        <f>_xlfn.CONCAT(D829,", ",H829,", ",I829,", ","浙江省")</f>
        <v>前进街道, 钱塘区, 杭州市, 浙江省</v>
      </c>
      <c r="G829">
        <v>10653</v>
      </c>
      <c r="H829" t="s">
        <v>2914</v>
      </c>
      <c r="I829" t="s">
        <v>2903</v>
      </c>
      <c r="J829" t="e">
        <f>VLOOKUP(F829,[1]!china_towns_second__2[[Column1]:[Y]],3,FALSE)</f>
        <v>#N/A</v>
      </c>
      <c r="K829" t="e">
        <f>VLOOKUP(F829,[1]!china_towns_second__2[[Column1]:[Y]],2,FALSE)</f>
        <v>#N/A</v>
      </c>
      <c r="L829" t="s">
        <v>4463</v>
      </c>
      <c r="M829" t="str">
        <f>VLOOKUP(H829,CHOOSE({1,2},Table12[Native],Table12[Name]),2,0)</f>
        <v>Qiántáng Qū</v>
      </c>
      <c r="N829" s="15" t="str">
        <f>VLOOKUP(I829,CHOOSE({1,2},Table12[Native],Table12[Name]),2,0)</f>
        <v>Hángzhōu Shì</v>
      </c>
      <c r="O829" s="15" t="str">
        <f t="shared" si="24"/>
        <v>Qianjin Jiedao (Hángzhōu Shì)</v>
      </c>
      <c r="P829" s="15" t="str">
        <f t="shared" si="25"/>
        <v>Qianjin Jiedao (Hángzhōu Shì)</v>
      </c>
    </row>
    <row r="830" spans="1:16" hidden="1" x14ac:dyDescent="0.25">
      <c r="A830" t="s">
        <v>495</v>
      </c>
      <c r="B830" t="str">
        <f>IF(COUNTIF(A:A,A830)&gt;1,_xlfn.CONCAT(A830," (",N830,")"),A830)</f>
        <v>Qiānjīn Zhèn</v>
      </c>
      <c r="C830" t="str">
        <f>IF(COUNTIF(B:B,B830)&gt;1,_xlfn.CONCAT(A830," (",M830,")"),B830)</f>
        <v>Qiānjīn Zhèn</v>
      </c>
      <c r="D830" t="s">
        <v>496</v>
      </c>
      <c r="E830" t="s">
        <v>11</v>
      </c>
      <c r="F830" t="str">
        <f>_xlfn.CONCAT(D830,", ",H830,", ",I830,", ","浙江省")</f>
        <v>千金镇, 南浔区, 湖州市, 浙江省</v>
      </c>
      <c r="G830">
        <v>18630</v>
      </c>
      <c r="H830" t="s">
        <v>2926</v>
      </c>
      <c r="I830" t="s">
        <v>2922</v>
      </c>
      <c r="J830">
        <f>VLOOKUP(F830,[1]!china_towns_second__2[[Column1]:[Y]],3,FALSE)</f>
        <v>30.6665999415684</v>
      </c>
      <c r="K830">
        <f>VLOOKUP(F830,[1]!china_towns_second__2[[Column1]:[Y]],2,FALSE)</f>
        <v>120.24145609999999</v>
      </c>
      <c r="L830" t="s">
        <v>4464</v>
      </c>
      <c r="M830" t="str">
        <f>VLOOKUP(H830,CHOOSE({1,2},Table12[Native],Table12[Name]),2,0)</f>
        <v>Nánxún Qū</v>
      </c>
      <c r="N830" s="15" t="str">
        <f>VLOOKUP(I830,CHOOSE({1,2},Table12[Native],Table12[Name]),2,0)</f>
        <v>Húzhōu Shì</v>
      </c>
      <c r="O830" s="15" t="str">
        <f t="shared" si="24"/>
        <v>Qianjin Zhen (Húzhōu Shì)</v>
      </c>
      <c r="P830" s="15" t="str">
        <f t="shared" si="25"/>
        <v>Qianjin Zhen (Húzhōu Shì)</v>
      </c>
    </row>
    <row r="831" spans="1:16" hidden="1" x14ac:dyDescent="0.25">
      <c r="A831" t="s">
        <v>2582</v>
      </c>
      <c r="B831" t="str">
        <f>IF(COUNTIF(A:A,A831)&gt;1,_xlfn.CONCAT(A831," (",N831,")"),A831)</f>
        <v>Qiánkù Zhèn</v>
      </c>
      <c r="C831" t="str">
        <f>IF(COUNTIF(B:B,B831)&gt;1,_xlfn.CONCAT(A831," (",M831,")"),B831)</f>
        <v>Qiánkù Zhèn</v>
      </c>
      <c r="D831" t="s">
        <v>2583</v>
      </c>
      <c r="E831" t="s">
        <v>11</v>
      </c>
      <c r="F831" t="str">
        <f>_xlfn.CONCAT(D831,", ",H831,", ",I831,", ","浙江省")</f>
        <v>钱库镇, 苍南县, 温州市, 浙江省</v>
      </c>
      <c r="G831">
        <v>72000</v>
      </c>
      <c r="H831" t="s">
        <v>3001</v>
      </c>
      <c r="I831" t="s">
        <v>3000</v>
      </c>
      <c r="J831">
        <f>VLOOKUP(F831,[1]!china_towns_second__2[[Column1]:[Y]],3,FALSE)</f>
        <v>27.4649191607026</v>
      </c>
      <c r="K831">
        <f>VLOOKUP(F831,[1]!china_towns_second__2[[Column1]:[Y]],2,FALSE)</f>
        <v>120.5414086</v>
      </c>
      <c r="L831" t="s">
        <v>4465</v>
      </c>
      <c r="M831" t="str">
        <f>VLOOKUP(H831,CHOOSE({1,2},Table12[Native],Table12[Name]),2,0)</f>
        <v>Cāngnán Xiàn</v>
      </c>
      <c r="N831" s="15" t="str">
        <f>VLOOKUP(I831,CHOOSE({1,2},Table12[Native],Table12[Name]),2,0)</f>
        <v>Wēnzhōu Shì</v>
      </c>
      <c r="O831" s="15" t="str">
        <f t="shared" si="24"/>
        <v>Qianku Zhen (Wēnzhōu Shì)</v>
      </c>
      <c r="P831" s="15" t="str">
        <f t="shared" si="25"/>
        <v>Qianku Zhen (Wēnzhōu Shì)</v>
      </c>
    </row>
    <row r="832" spans="1:16" hidden="1" x14ac:dyDescent="0.25">
      <c r="A832" t="s">
        <v>1183</v>
      </c>
      <c r="B832" t="str">
        <f>IF(COUNTIF(A:A,A832)&gt;1,_xlfn.CONCAT(A832," (",N832,")"),A832)</f>
        <v>Qiánlù Xiāng</v>
      </c>
      <c r="C832" t="str">
        <f>IF(COUNTIF(B:B,B832)&gt;1,_xlfn.CONCAT(A832," (",M832,")"),B832)</f>
        <v>Qiánlù Xiāng</v>
      </c>
      <c r="D832" t="s">
        <v>1184</v>
      </c>
      <c r="E832" t="s">
        <v>7</v>
      </c>
      <c r="F832" t="str">
        <f>_xlfn.CONCAT(D832,", ",H832,", ",I832,", ","浙江省")</f>
        <v>前路乡, 缙云县, 丽水市, 浙江省</v>
      </c>
      <c r="G832">
        <v>4979</v>
      </c>
      <c r="H832" t="s">
        <v>2952</v>
      </c>
      <c r="I832" t="s">
        <v>2949</v>
      </c>
      <c r="J832" t="e">
        <f>VLOOKUP(F832,[1]!china_towns_second__2[[Column1]:[Y]],3,FALSE)</f>
        <v>#N/A</v>
      </c>
      <c r="K832" t="e">
        <f>VLOOKUP(F832,[1]!china_towns_second__2[[Column1]:[Y]],2,FALSE)</f>
        <v>#N/A</v>
      </c>
      <c r="L832" t="s">
        <v>4466</v>
      </c>
      <c r="M832" t="str">
        <f>VLOOKUP(H832,CHOOSE({1,2},Table12[Native],Table12[Name]),2,0)</f>
        <v>Jìnyún Xiàn</v>
      </c>
      <c r="N832" s="15" t="str">
        <f>VLOOKUP(I832,CHOOSE({1,2},Table12[Native],Table12[Name]),2,0)</f>
        <v>Lìshuĭ Shì</v>
      </c>
      <c r="O832" s="15" t="str">
        <f t="shared" si="24"/>
        <v>Qianlu Xiang (Lìshuĭ Shì)</v>
      </c>
      <c r="P832" s="15" t="str">
        <f t="shared" si="25"/>
        <v>Qianlu Xiang (Lìshuĭ Shì)</v>
      </c>
    </row>
    <row r="833" spans="1:16" hidden="1" x14ac:dyDescent="0.25">
      <c r="A833" t="s">
        <v>1962</v>
      </c>
      <c r="B833" t="str">
        <f>IF(COUNTIF(A:A,A833)&gt;1,_xlfn.CONCAT(A833," (",N833,")"),A833)</f>
        <v>Qiánqīng Jiēdào</v>
      </c>
      <c r="C833" t="str">
        <f>IF(COUNTIF(B:B,B833)&gt;1,_xlfn.CONCAT(A833," (",M833,")"),B833)</f>
        <v>Qiánqīng Jiēdào</v>
      </c>
      <c r="D833" t="s">
        <v>1963</v>
      </c>
      <c r="E833" t="s">
        <v>15</v>
      </c>
      <c r="F833" t="str">
        <f>_xlfn.CONCAT(D833,", ",H833,", ",I833,", ","浙江省")</f>
        <v>钱清街道, 柯桥区, 绍兴市, 浙江省</v>
      </c>
      <c r="G833">
        <v>107821</v>
      </c>
      <c r="H833" t="s">
        <v>2982</v>
      </c>
      <c r="I833" t="s">
        <v>2981</v>
      </c>
      <c r="J833" t="e">
        <f>VLOOKUP(F833,[1]!china_towns_second__2[[Column1]:[Y]],3,FALSE)</f>
        <v>#N/A</v>
      </c>
      <c r="K833" t="e">
        <f>VLOOKUP(F833,[1]!china_towns_second__2[[Column1]:[Y]],2,FALSE)</f>
        <v>#N/A</v>
      </c>
      <c r="L833" t="s">
        <v>4467</v>
      </c>
      <c r="M833" t="str">
        <f>VLOOKUP(H833,CHOOSE({1,2},Table12[Native],Table12[Name]),2,0)</f>
        <v>Kēqiáo Qū</v>
      </c>
      <c r="N833" s="15" t="str">
        <f>VLOOKUP(I833,CHOOSE({1,2},Table12[Native],Table12[Name]),2,0)</f>
        <v>Shàoxīng Shì</v>
      </c>
      <c r="O833" s="15" t="str">
        <f t="shared" si="24"/>
        <v>Qianqing Jiedao (Shàoxīng Shì)</v>
      </c>
      <c r="P833" s="15" t="str">
        <f t="shared" si="25"/>
        <v>Qianqing Jiedao (Shàoxīng Shì)</v>
      </c>
    </row>
    <row r="834" spans="1:16" hidden="1" x14ac:dyDescent="0.25">
      <c r="A834" t="s">
        <v>2175</v>
      </c>
      <c r="B834" t="str">
        <f>IF(COUNTIF(A:A,A834)&gt;1,_xlfn.CONCAT(A834," (",N834,")"),A834)</f>
        <v>Qiánsuŏ Jiēdào</v>
      </c>
      <c r="C834" t="str">
        <f>IF(COUNTIF(B:B,B834)&gt;1,_xlfn.CONCAT(A834," (",M834,")"),B834)</f>
        <v>Qiánsuŏ Jiēdào</v>
      </c>
      <c r="D834" t="s">
        <v>2176</v>
      </c>
      <c r="E834" t="s">
        <v>15</v>
      </c>
      <c r="F834" t="str">
        <f>_xlfn.CONCAT(D834,", ",H834,", ",I834,", ","浙江省")</f>
        <v>前所街道, 椒江区, 台州市, 浙江省</v>
      </c>
      <c r="G834">
        <v>45921</v>
      </c>
      <c r="H834" t="s">
        <v>2991</v>
      </c>
      <c r="I834" t="s">
        <v>2989</v>
      </c>
      <c r="J834">
        <f>VLOOKUP(F834,[1]!china_towns_second__2[[Column1]:[Y]],3,FALSE)</f>
        <v>28.7048464523034</v>
      </c>
      <c r="K834">
        <f>VLOOKUP(F834,[1]!china_towns_second__2[[Column1]:[Y]],2,FALSE)</f>
        <v>121.4810435</v>
      </c>
      <c r="L834" t="s">
        <v>4468</v>
      </c>
      <c r="M834" t="str">
        <f>VLOOKUP(H834,CHOOSE({1,2},Table12[Native],Table12[Name]),2,0)</f>
        <v>Jiāojiāng Qū</v>
      </c>
      <c r="N834" s="15" t="str">
        <f>VLOOKUP(I834,CHOOSE({1,2},Table12[Native],Table12[Name]),2,0)</f>
        <v>Táizhōu Shì</v>
      </c>
      <c r="O834" s="15" t="str">
        <f t="shared" ref="O834:O897" si="26">_xlfn.CONCAT(L834," (",N834,")")</f>
        <v>Qiansuo Jiedao (Táizhōu Shì)</v>
      </c>
      <c r="P834" s="15" t="str">
        <f t="shared" ref="P834:P897" si="27">IF(COUNTIF(O:O,O834)&gt;1,_xlfn.CONCAT(L834," (",M834,")"),O834)</f>
        <v>Qiansuo Jiedao (Táizhōu Shì)</v>
      </c>
    </row>
    <row r="835" spans="1:16" hidden="1" x14ac:dyDescent="0.25">
      <c r="A835" t="s">
        <v>256</v>
      </c>
      <c r="B835" t="str">
        <f>IF(COUNTIF(A:A,A835)&gt;1,_xlfn.CONCAT(A835," (",N835,")"),A835)</f>
        <v>Qiántán Zhèn</v>
      </c>
      <c r="C835" t="str">
        <f>IF(COUNTIF(B:B,B835)&gt;1,_xlfn.CONCAT(A835," (",M835,")"),B835)</f>
        <v>Qiántán Zhèn</v>
      </c>
      <c r="D835" t="s">
        <v>257</v>
      </c>
      <c r="E835" t="s">
        <v>11</v>
      </c>
      <c r="F835" t="str">
        <f>_xlfn.CONCAT(D835,", ",H835,", ",I835,", ","浙江省")</f>
        <v>乾潭镇, 建德市, 杭州市, 浙江省</v>
      </c>
      <c r="G835">
        <v>41220</v>
      </c>
      <c r="H835" t="s">
        <v>2910</v>
      </c>
      <c r="I835" t="s">
        <v>2903</v>
      </c>
      <c r="J835">
        <f>VLOOKUP(F835,[1]!china_towns_second__2[[Column1]:[Y]],3,FALSE)</f>
        <v>29.648600213956001</v>
      </c>
      <c r="K835">
        <f>VLOOKUP(F835,[1]!china_towns_second__2[[Column1]:[Y]],2,FALSE)</f>
        <v>119.5499071</v>
      </c>
      <c r="L835" t="s">
        <v>4469</v>
      </c>
      <c r="M835" t="str">
        <f>VLOOKUP(H835,CHOOSE({1,2},Table12[Native],Table12[Name]),2,0)</f>
        <v>Jiàndé Shì</v>
      </c>
      <c r="N835" s="15" t="str">
        <f>VLOOKUP(I835,CHOOSE({1,2},Table12[Native],Table12[Name]),2,0)</f>
        <v>Hángzhōu Shì</v>
      </c>
      <c r="O835" s="15" t="str">
        <f t="shared" si="26"/>
        <v>Qiantan Zhen (Hángzhōu Shì)</v>
      </c>
      <c r="P835" s="15" t="str">
        <f t="shared" si="27"/>
        <v>Qiantan Zhen (Hángzhōu Shì)</v>
      </c>
    </row>
    <row r="836" spans="1:16" hidden="1" x14ac:dyDescent="0.25">
      <c r="A836" t="s">
        <v>1517</v>
      </c>
      <c r="B836" t="str">
        <f>IF(COUNTIF(A:A,A836)&gt;1,_xlfn.CONCAT(A836," (",N836,")"),A836)</f>
        <v>Qiántóng Zhèn</v>
      </c>
      <c r="C836" t="str">
        <f>IF(COUNTIF(B:B,B836)&gt;1,_xlfn.CONCAT(A836," (",M836,")"),B836)</f>
        <v>Qiántóng Zhèn</v>
      </c>
      <c r="D836" t="s">
        <v>1518</v>
      </c>
      <c r="E836" t="s">
        <v>11</v>
      </c>
      <c r="F836" t="str">
        <f>_xlfn.CONCAT(D836,", ",H836,", ",I836,", ","浙江省")</f>
        <v>前童镇, 宁海县, 宁波市, 浙江省</v>
      </c>
      <c r="G836">
        <v>20030</v>
      </c>
      <c r="H836" t="s">
        <v>2967</v>
      </c>
      <c r="I836" t="s">
        <v>2961</v>
      </c>
      <c r="J836">
        <f>VLOOKUP(F836,[1]!china_towns_second__2[[Column1]:[Y]],3,FALSE)</f>
        <v>29.239637346624601</v>
      </c>
      <c r="K836">
        <f>VLOOKUP(F836,[1]!china_towns_second__2[[Column1]:[Y]],2,FALSE)</f>
        <v>121.3441868</v>
      </c>
      <c r="L836" t="s">
        <v>4470</v>
      </c>
      <c r="M836" t="str">
        <f>VLOOKUP(H836,CHOOSE({1,2},Table12[Native],Table12[Name]),2,0)</f>
        <v>Nínghăi Xiàn</v>
      </c>
      <c r="N836" s="15" t="str">
        <f>VLOOKUP(I836,CHOOSE({1,2},Table12[Native],Table12[Name]),2,0)</f>
        <v>Níngbō Shì</v>
      </c>
      <c r="O836" s="15" t="str">
        <f t="shared" si="26"/>
        <v>Qiantong Zhen (Níngbō Shì)</v>
      </c>
      <c r="P836" s="15" t="str">
        <f t="shared" si="27"/>
        <v>Qiantong Zhen (Níngbō Shì)</v>
      </c>
    </row>
    <row r="837" spans="1:16" hidden="1" x14ac:dyDescent="0.25">
      <c r="A837" t="s">
        <v>867</v>
      </c>
      <c r="B837" t="str">
        <f>IF(COUNTIF(A:A,A837)&gt;1,_xlfn.CONCAT(A837," (",N837,")"),A837)</f>
        <v>Qiánwú Xiāng</v>
      </c>
      <c r="C837" t="str">
        <f>IF(COUNTIF(B:B,B837)&gt;1,_xlfn.CONCAT(A837," (",M837,")"),B837)</f>
        <v>Qiánwú Xiāng</v>
      </c>
      <c r="D837" t="s">
        <v>868</v>
      </c>
      <c r="E837" t="s">
        <v>7</v>
      </c>
      <c r="F837" t="str">
        <f>_xlfn.CONCAT(D837,", ",H837,", ",I837,", ","浙江省")</f>
        <v>前吴乡, 浦江县, 金华市, 浙江省</v>
      </c>
      <c r="G837">
        <v>9273</v>
      </c>
      <c r="H837" t="s">
        <v>2943</v>
      </c>
      <c r="I837" t="s">
        <v>2938</v>
      </c>
      <c r="J837" t="e">
        <f>VLOOKUP(F837,[1]!china_towns_second__2[[Column1]:[Y]],3,FALSE)</f>
        <v>#N/A</v>
      </c>
      <c r="K837" t="e">
        <f>VLOOKUP(F837,[1]!china_towns_second__2[[Column1]:[Y]],2,FALSE)</f>
        <v>#N/A</v>
      </c>
      <c r="L837" t="s">
        <v>4471</v>
      </c>
      <c r="M837" t="str">
        <f>VLOOKUP(H837,CHOOSE({1,2},Table12[Native],Table12[Name]),2,0)</f>
        <v>Pŭjiāng Xiàn</v>
      </c>
      <c r="N837" s="15" t="str">
        <f>VLOOKUP(I837,CHOOSE({1,2},Table12[Native],Table12[Name]),2,0)</f>
        <v>Jīnhuá Shì</v>
      </c>
      <c r="O837" s="15" t="str">
        <f t="shared" si="26"/>
        <v>Qianwu Xiang (Jīnhuá Shì)</v>
      </c>
      <c r="P837" s="15" t="str">
        <f t="shared" si="27"/>
        <v>Qianwu Xiang (Jīnhuá Shì)</v>
      </c>
    </row>
    <row r="838" spans="1:16" hidden="1" x14ac:dyDescent="0.25">
      <c r="A838" t="s">
        <v>871</v>
      </c>
      <c r="B838" t="str">
        <f>IF(COUNTIF(A:A,A838)&gt;1,_xlfn.CONCAT(A838," (",N838,")"),A838)</f>
        <v>Qiánxī Xiāng</v>
      </c>
      <c r="C838" t="str">
        <f>IF(COUNTIF(B:B,B838)&gt;1,_xlfn.CONCAT(A838," (",M838,")"),B838)</f>
        <v>Qiánxī Xiāng</v>
      </c>
      <c r="D838" t="s">
        <v>872</v>
      </c>
      <c r="E838" t="s">
        <v>7</v>
      </c>
      <c r="F838" t="str">
        <f>_xlfn.CONCAT(D838,", ",H838,", ",I838,", ","浙江省")</f>
        <v>乾西乡, 婺城区, 金华市, 浙江省</v>
      </c>
      <c r="G838">
        <v>27576</v>
      </c>
      <c r="H838" t="s">
        <v>2944</v>
      </c>
      <c r="I838" t="s">
        <v>2938</v>
      </c>
      <c r="J838" t="e">
        <f>VLOOKUP(F838,[1]!china_towns_second__2[[Column1]:[Y]],3,FALSE)</f>
        <v>#N/A</v>
      </c>
      <c r="K838" t="e">
        <f>VLOOKUP(F838,[1]!china_towns_second__2[[Column1]:[Y]],2,FALSE)</f>
        <v>#N/A</v>
      </c>
      <c r="L838" t="s">
        <v>4472</v>
      </c>
      <c r="M838" t="str">
        <f>VLOOKUP(H838,CHOOSE({1,2},Table12[Native],Table12[Name]),2,0)</f>
        <v>Wùchéng Qū</v>
      </c>
      <c r="N838" s="15" t="str">
        <f>VLOOKUP(I838,CHOOSE({1,2},Table12[Native],Table12[Name]),2,0)</f>
        <v>Jīnhuá Shì</v>
      </c>
      <c r="O838" s="15" t="str">
        <f t="shared" si="26"/>
        <v>Qianxi Xiang (Jīnhuá Shì)</v>
      </c>
      <c r="P838" s="15" t="str">
        <f t="shared" si="27"/>
        <v>Qianxi Xiang (Jīnhuá Shì)</v>
      </c>
    </row>
    <row r="839" spans="1:16" hidden="1" x14ac:dyDescent="0.25">
      <c r="A839" t="s">
        <v>869</v>
      </c>
      <c r="B839" t="str">
        <f>IF(COUNTIF(A:A,A839)&gt;1,_xlfn.CONCAT(A839," (",N839,")"),A839)</f>
        <v>Qiānxiáng Zhèn</v>
      </c>
      <c r="C839" t="str">
        <f>IF(COUNTIF(B:B,B839)&gt;1,_xlfn.CONCAT(A839," (",M839,")"),B839)</f>
        <v>Qiānxiáng Zhèn</v>
      </c>
      <c r="D839" t="s">
        <v>870</v>
      </c>
      <c r="E839" t="s">
        <v>11</v>
      </c>
      <c r="F839" t="str">
        <f>_xlfn.CONCAT(D839,", ",H839,", ",I839,", ","浙江省")</f>
        <v>千祥镇, 东阳市, 金华市, 浙江省</v>
      </c>
      <c r="G839">
        <v>38963</v>
      </c>
      <c r="H839" t="s">
        <v>2939</v>
      </c>
      <c r="I839" t="s">
        <v>2938</v>
      </c>
      <c r="J839">
        <f>VLOOKUP(F839,[1]!china_towns_second__2[[Column1]:[Y]],3,FALSE)</f>
        <v>29.0321009103574</v>
      </c>
      <c r="K839">
        <f>VLOOKUP(F839,[1]!china_towns_second__2[[Column1]:[Y]],2,FALSE)</f>
        <v>120.3332774</v>
      </c>
      <c r="L839" t="s">
        <v>4473</v>
      </c>
      <c r="M839" t="str">
        <f>VLOOKUP(H839,CHOOSE({1,2},Table12[Native],Table12[Name]),2,0)</f>
        <v>Dōngyáng Shì</v>
      </c>
      <c r="N839" s="15" t="str">
        <f>VLOOKUP(I839,CHOOSE({1,2},Table12[Native],Table12[Name]),2,0)</f>
        <v>Jīnhuá Shì</v>
      </c>
      <c r="O839" s="15" t="str">
        <f t="shared" si="26"/>
        <v>Qianxiang Zhen (Jīnhuá Shì)</v>
      </c>
      <c r="P839" s="15" t="str">
        <f t="shared" si="27"/>
        <v>Qianxiang Zhen (Jīnhuá Shì)</v>
      </c>
    </row>
    <row r="840" spans="1:16" hidden="1" x14ac:dyDescent="0.25">
      <c r="A840" t="s">
        <v>497</v>
      </c>
      <c r="B840" t="str">
        <f>IF(COUNTIF(A:A,A840)&gt;1,_xlfn.CONCAT(A840," (",N840,")"),A840)</f>
        <v>Qiányuán Zhèn</v>
      </c>
      <c r="C840" t="str">
        <f>IF(COUNTIF(B:B,B840)&gt;1,_xlfn.CONCAT(A840," (",M840,")"),B840)</f>
        <v>Qiányuán Zhèn</v>
      </c>
      <c r="D840" t="s">
        <v>498</v>
      </c>
      <c r="E840" t="s">
        <v>11</v>
      </c>
      <c r="F840" t="str">
        <f>_xlfn.CONCAT(D840,", ",H840,", ",I840,", ","浙江省")</f>
        <v>乾元镇, 德清县, 湖州市, 浙江省</v>
      </c>
      <c r="G840">
        <v>48479</v>
      </c>
      <c r="H840" t="s">
        <v>2925</v>
      </c>
      <c r="I840" t="s">
        <v>2922</v>
      </c>
      <c r="J840">
        <f>VLOOKUP(F840,[1]!china_towns_second__2[[Column1]:[Y]],3,FALSE)</f>
        <v>30.554783700713401</v>
      </c>
      <c r="K840">
        <f>VLOOKUP(F840,[1]!china_towns_second__2[[Column1]:[Y]],2,FALSE)</f>
        <v>120.0833935</v>
      </c>
      <c r="L840" t="s">
        <v>4474</v>
      </c>
      <c r="M840" t="str">
        <f>VLOOKUP(H840,CHOOSE({1,2},Table12[Native],Table12[Name]),2,0)</f>
        <v>Déqīng Xiàn</v>
      </c>
      <c r="N840" s="15" t="str">
        <f>VLOOKUP(I840,CHOOSE({1,2},Table12[Native],Table12[Name]),2,0)</f>
        <v>Húzhōu Shì</v>
      </c>
      <c r="O840" s="15" t="str">
        <f t="shared" si="26"/>
        <v>Qianyuan Zhen (Húzhōu Shì)</v>
      </c>
      <c r="P840" s="15" t="str">
        <f t="shared" si="27"/>
        <v>Qianyuan Zhen (Húzhōu Shì)</v>
      </c>
    </row>
    <row r="841" spans="1:16" hidden="1" x14ac:dyDescent="0.25">
      <c r="A841" t="s">
        <v>2584</v>
      </c>
      <c r="B841" t="str">
        <f>IF(COUNTIF(A:A,A841)&gt;1,_xlfn.CONCAT(A841," (",N841,")"),A841)</f>
        <v>Qiáodūn Zhèn</v>
      </c>
      <c r="C841" t="str">
        <f>IF(COUNTIF(B:B,B841)&gt;1,_xlfn.CONCAT(A841," (",M841,")"),B841)</f>
        <v>Qiáodūn Zhèn</v>
      </c>
      <c r="D841" t="s">
        <v>2585</v>
      </c>
      <c r="E841" t="s">
        <v>11</v>
      </c>
      <c r="F841" t="str">
        <f>_xlfn.CONCAT(D841,", ",H841,", ",I841,", ","浙江省")</f>
        <v>桥墩镇, 苍南县, 温州市, 浙江省</v>
      </c>
      <c r="G841">
        <v>32379</v>
      </c>
      <c r="H841" t="s">
        <v>3001</v>
      </c>
      <c r="I841" t="s">
        <v>3000</v>
      </c>
      <c r="J841">
        <f>VLOOKUP(F841,[1]!china_towns_second__2[[Column1]:[Y]],3,FALSE)</f>
        <v>27.4852708079294</v>
      </c>
      <c r="K841">
        <f>VLOOKUP(F841,[1]!china_towns_second__2[[Column1]:[Y]],2,FALSE)</f>
        <v>120.240495</v>
      </c>
      <c r="L841" t="s">
        <v>4475</v>
      </c>
      <c r="M841" t="str">
        <f>VLOOKUP(H841,CHOOSE({1,2},Table12[Native],Table12[Name]),2,0)</f>
        <v>Cāngnán Xiàn</v>
      </c>
      <c r="N841" s="15" t="str">
        <f>VLOOKUP(I841,CHOOSE({1,2},Table12[Native],Table12[Name]),2,0)</f>
        <v>Wēnzhōu Shì</v>
      </c>
      <c r="O841" s="15" t="str">
        <f t="shared" si="26"/>
        <v>Qiaodun Zhen (Wēnzhōu Shì)</v>
      </c>
      <c r="P841" s="15" t="str">
        <f t="shared" si="27"/>
        <v>Qiaodun Zhen (Wēnzhōu Shì)</v>
      </c>
    </row>
    <row r="842" spans="1:16" hidden="1" x14ac:dyDescent="0.25">
      <c r="A842" t="s">
        <v>258</v>
      </c>
      <c r="B842" t="str">
        <f>IF(COUNTIF(A:A,A842)&gt;1,_xlfn.CONCAT(A842," (",N842,")"),A842)</f>
        <v>Qiáosī Jiēdào</v>
      </c>
      <c r="C842" t="str">
        <f>IF(COUNTIF(B:B,B842)&gt;1,_xlfn.CONCAT(A842," (",M842,")"),B842)</f>
        <v>Qiáosī Jiēdào</v>
      </c>
      <c r="D842" t="s">
        <v>259</v>
      </c>
      <c r="E842" t="s">
        <v>15</v>
      </c>
      <c r="F842" t="str">
        <f>_xlfn.CONCAT(D842,", ",H842,", ",I842,", ","浙江省")</f>
        <v>乔司街道, 临平区, 杭州市, 浙江省</v>
      </c>
      <c r="G842">
        <v>103911</v>
      </c>
      <c r="H842" t="s">
        <v>2912</v>
      </c>
      <c r="I842" t="s">
        <v>2903</v>
      </c>
      <c r="J842" t="e">
        <f>VLOOKUP(F842,[1]!china_towns_second__2[[Column1]:[Y]],3,FALSE)</f>
        <v>#N/A</v>
      </c>
      <c r="K842" t="e">
        <f>VLOOKUP(F842,[1]!china_towns_second__2[[Column1]:[Y]],2,FALSE)</f>
        <v>#N/A</v>
      </c>
      <c r="L842" t="s">
        <v>4476</v>
      </c>
      <c r="M842" t="str">
        <f>VLOOKUP(H842,CHOOSE({1,2},Table12[Native],Table12[Name]),2,0)</f>
        <v>Línpíng Qū</v>
      </c>
      <c r="N842" s="15" t="str">
        <f>VLOOKUP(I842,CHOOSE({1,2},Table12[Native],Table12[Name]),2,0)</f>
        <v>Hángzhōu Shì</v>
      </c>
      <c r="O842" s="15" t="str">
        <f t="shared" si="26"/>
        <v>Qiaosi Jiedao (Hángzhōu Shì)</v>
      </c>
      <c r="P842" s="15" t="str">
        <f t="shared" si="27"/>
        <v>Qiaosi Jiedao (Hángzhōu Shì)</v>
      </c>
    </row>
    <row r="843" spans="1:16" hidden="1" x14ac:dyDescent="0.25">
      <c r="A843" t="s">
        <v>1521</v>
      </c>
      <c r="B843" t="str">
        <f>IF(COUNTIF(A:A,A843)&gt;1,_xlfn.CONCAT(A843," (",N843,")"),A843)</f>
        <v>Qiáotóu Zhèn (Níngbō Shì)</v>
      </c>
      <c r="C843" t="str">
        <f>IF(COUNTIF(B:B,B843)&gt;1,_xlfn.CONCAT(A843," (",M843,")"),B843)</f>
        <v>Qiáotóu Zhèn (Níngbō Shì)</v>
      </c>
      <c r="D843" t="s">
        <v>1522</v>
      </c>
      <c r="E843" t="s">
        <v>11</v>
      </c>
      <c r="F843" t="str">
        <f>_xlfn.CONCAT(D843,", ",H843,", ",I843,", ","浙江省")</f>
        <v>桥头镇, 慈溪市, 宁波市, 浙江省</v>
      </c>
      <c r="G843">
        <v>50251</v>
      </c>
      <c r="H843" t="s">
        <v>2963</v>
      </c>
      <c r="I843" t="s">
        <v>2961</v>
      </c>
      <c r="J843">
        <f>VLOOKUP(F843,[1]!china_towns_second__2[[Column1]:[Y]],3,FALSE)</f>
        <v>30.1604025747111</v>
      </c>
      <c r="K843">
        <f>VLOOKUP(F843,[1]!china_towns_second__2[[Column1]:[Y]],2,FALSE)</f>
        <v>121.35046560000001</v>
      </c>
      <c r="L843" t="s">
        <v>4477</v>
      </c>
      <c r="M843" t="str">
        <f>VLOOKUP(H843,CHOOSE({1,2},Table12[Native],Table12[Name]),2,0)</f>
        <v>Cíxī Shì</v>
      </c>
      <c r="N843" s="15" t="str">
        <f>VLOOKUP(I843,CHOOSE({1,2},Table12[Native],Table12[Name]),2,0)</f>
        <v>Níngbō Shì</v>
      </c>
      <c r="O843" s="15" t="str">
        <f t="shared" si="26"/>
        <v>Qiaotou Zhen (Ningbo Shi) (Níngbō Shì)</v>
      </c>
      <c r="P843" s="15" t="str">
        <f t="shared" si="27"/>
        <v>Qiaotou Zhen (Ningbo Shi) (Níngbō Shì)</v>
      </c>
    </row>
    <row r="844" spans="1:16" hidden="1" x14ac:dyDescent="0.25">
      <c r="A844" t="s">
        <v>1521</v>
      </c>
      <c r="B844" t="str">
        <f>IF(COUNTIF(A:A,A844)&gt;1,_xlfn.CONCAT(A844," (",N844,")"),A844)</f>
        <v>Qiáotóu Zhèn (Wēnzhōu Shì)</v>
      </c>
      <c r="C844" t="str">
        <f>IF(COUNTIF(B:B,B844)&gt;1,_xlfn.CONCAT(A844," (",M844,")"),B844)</f>
        <v>Qiáotóu Zhèn (Wēnzhōu Shì)</v>
      </c>
      <c r="D844" t="s">
        <v>1522</v>
      </c>
      <c r="E844" t="s">
        <v>11</v>
      </c>
      <c r="F844" t="str">
        <f>_xlfn.CONCAT(D844,", ",H844,", ",I844,", ","浙江省")</f>
        <v>桥头镇, 永嘉县, 温州市, 浙江省</v>
      </c>
      <c r="G844">
        <v>74839</v>
      </c>
      <c r="H844" t="s">
        <v>3010</v>
      </c>
      <c r="I844" t="s">
        <v>3000</v>
      </c>
      <c r="J844">
        <f>VLOOKUP(F844,[1]!china_towns_second__2[[Column1]:[Y]],3,FALSE)</f>
        <v>28.184203952433101</v>
      </c>
      <c r="K844">
        <f>VLOOKUP(F844,[1]!china_towns_second__2[[Column1]:[Y]],2,FALSE)</f>
        <v>120.4673334</v>
      </c>
      <c r="L844" t="s">
        <v>4478</v>
      </c>
      <c r="M844" t="str">
        <f>VLOOKUP(H844,CHOOSE({1,2},Table12[Native],Table12[Name]),2,0)</f>
        <v>Yŏngjiā Xiàn</v>
      </c>
      <c r="N844" s="15" t="str">
        <f>VLOOKUP(I844,CHOOSE({1,2},Table12[Native],Table12[Name]),2,0)</f>
        <v>Wēnzhōu Shì</v>
      </c>
      <c r="O844" s="15" t="str">
        <f t="shared" si="26"/>
        <v>Qiaotou Zhen (Wenzhou Shi) (Wēnzhōu Shì)</v>
      </c>
      <c r="P844" s="15" t="str">
        <f t="shared" si="27"/>
        <v>Qiaotou Zhen (Wenzhou Shi) (Wēnzhōu Shì)</v>
      </c>
    </row>
    <row r="845" spans="1:16" hidden="1" x14ac:dyDescent="0.25">
      <c r="A845" t="s">
        <v>1519</v>
      </c>
      <c r="B845" t="str">
        <f>IF(COUNTIF(A:A,A845)&gt;1,_xlfn.CONCAT(A845," (",N845,")"),A845)</f>
        <v>Qiáotóuhú Jiēdào</v>
      </c>
      <c r="C845" t="str">
        <f>IF(COUNTIF(B:B,B845)&gt;1,_xlfn.CONCAT(A845," (",M845,")"),B845)</f>
        <v>Qiáotóuhú Jiēdào</v>
      </c>
      <c r="D845" t="s">
        <v>1520</v>
      </c>
      <c r="E845" t="s">
        <v>15</v>
      </c>
      <c r="F845" t="str">
        <f>_xlfn.CONCAT(D845,", ",H845,", ",I845,", ","浙江省")</f>
        <v>桥头胡街道, 宁海县, 宁波市, 浙江省</v>
      </c>
      <c r="G845">
        <v>20977</v>
      </c>
      <c r="H845" t="s">
        <v>2967</v>
      </c>
      <c r="I845" t="s">
        <v>2961</v>
      </c>
      <c r="J845">
        <f>VLOOKUP(F845,[1]!china_towns_second__2[[Column1]:[Y]],3,FALSE)</f>
        <v>29.3924586569008</v>
      </c>
      <c r="K845">
        <f>VLOOKUP(F845,[1]!china_towns_second__2[[Column1]:[Y]],2,FALSE)</f>
        <v>121.5087128</v>
      </c>
      <c r="L845" t="s">
        <v>4479</v>
      </c>
      <c r="M845" t="str">
        <f>VLOOKUP(H845,CHOOSE({1,2},Table12[Native],Table12[Name]),2,0)</f>
        <v>Nínghăi Xiàn</v>
      </c>
      <c r="N845" s="15" t="str">
        <f>VLOOKUP(I845,CHOOSE({1,2},Table12[Native],Table12[Name]),2,0)</f>
        <v>Níngbō Shì</v>
      </c>
      <c r="O845" s="15" t="str">
        <f t="shared" si="26"/>
        <v>Qiaotouhu Jiedao (Níngbō Shì)</v>
      </c>
      <c r="P845" s="15" t="str">
        <f t="shared" si="27"/>
        <v>Qiaotouhu Jiedao (Níngbō Shì)</v>
      </c>
    </row>
    <row r="846" spans="1:16" hidden="1" x14ac:dyDescent="0.25">
      <c r="A846" t="s">
        <v>2586</v>
      </c>
      <c r="B846" t="str">
        <f>IF(COUNTIF(A:A,A846)&gt;1,_xlfn.CONCAT(A846," (",N846,")"),A846)</f>
        <v>Qiáoxià Zhèn</v>
      </c>
      <c r="C846" t="str">
        <f>IF(COUNTIF(B:B,B846)&gt;1,_xlfn.CONCAT(A846," (",M846,")"),B846)</f>
        <v>Qiáoxià Zhèn</v>
      </c>
      <c r="D846" t="s">
        <v>2587</v>
      </c>
      <c r="E846" t="s">
        <v>11</v>
      </c>
      <c r="F846" t="str">
        <f>_xlfn.CONCAT(D846,", ",H846,", ",I846,", ","浙江省")</f>
        <v>桥下镇, 永嘉县, 温州市, 浙江省</v>
      </c>
      <c r="G846">
        <v>37904</v>
      </c>
      <c r="H846" t="s">
        <v>3010</v>
      </c>
      <c r="I846" t="s">
        <v>3000</v>
      </c>
      <c r="J846">
        <f>VLOOKUP(F846,[1]!china_towns_second__2[[Column1]:[Y]],3,FALSE)</f>
        <v>28.219037205584701</v>
      </c>
      <c r="K846">
        <f>VLOOKUP(F846,[1]!china_towns_second__2[[Column1]:[Y]],2,FALSE)</f>
        <v>120.5403254</v>
      </c>
      <c r="L846" t="s">
        <v>4480</v>
      </c>
      <c r="M846" t="str">
        <f>VLOOKUP(H846,CHOOSE({1,2},Table12[Native],Table12[Name]),2,0)</f>
        <v>Yŏngjiā Xiàn</v>
      </c>
      <c r="N846" s="15" t="str">
        <f>VLOOKUP(I846,CHOOSE({1,2},Table12[Native],Table12[Name]),2,0)</f>
        <v>Wēnzhōu Shì</v>
      </c>
      <c r="O846" s="15" t="str">
        <f t="shared" si="26"/>
        <v>Qiaoxia Zhen (Wēnzhōu Shì)</v>
      </c>
      <c r="P846" s="15" t="str">
        <f t="shared" si="27"/>
        <v>Qiaoxia Zhen (Wēnzhōu Shì)</v>
      </c>
    </row>
    <row r="847" spans="1:16" hidden="1" x14ac:dyDescent="0.25">
      <c r="A847" t="s">
        <v>1964</v>
      </c>
      <c r="B847" t="str">
        <f>IF(COUNTIF(A:A,A847)&gt;1,_xlfn.CONCAT(A847," (",N847,")"),A847)</f>
        <v>Qiăoyīng Xiāng</v>
      </c>
      <c r="C847" t="str">
        <f>IF(COUNTIF(B:B,B847)&gt;1,_xlfn.CONCAT(A847," (",M847,")"),B847)</f>
        <v>Qiăoyīng Xiāng</v>
      </c>
      <c r="D847" t="s">
        <v>1965</v>
      </c>
      <c r="E847" t="s">
        <v>7</v>
      </c>
      <c r="F847" t="str">
        <f>_xlfn.CONCAT(D847,", ",H847,", ",I847,", ","浙江省")</f>
        <v>巧英乡, 新昌县, 绍兴市, 浙江省</v>
      </c>
      <c r="G847">
        <v>7445</v>
      </c>
      <c r="H847" t="s">
        <v>2985</v>
      </c>
      <c r="I847" t="s">
        <v>2981</v>
      </c>
      <c r="J847" t="e">
        <f>VLOOKUP(F847,[1]!china_towns_second__2[[Column1]:[Y]],3,FALSE)</f>
        <v>#N/A</v>
      </c>
      <c r="K847" t="e">
        <f>VLOOKUP(F847,[1]!china_towns_second__2[[Column1]:[Y]],2,FALSE)</f>
        <v>#N/A</v>
      </c>
      <c r="L847" t="s">
        <v>4481</v>
      </c>
      <c r="M847" t="str">
        <f>VLOOKUP(H847,CHOOSE({1,2},Table12[Native],Table12[Name]),2,0)</f>
        <v>Xīnchāng Xiàn</v>
      </c>
      <c r="N847" s="15" t="str">
        <f>VLOOKUP(I847,CHOOSE({1,2},Table12[Native],Table12[Name]),2,0)</f>
        <v>Shàoxīng Shì</v>
      </c>
      <c r="O847" s="15" t="str">
        <f t="shared" si="26"/>
        <v>Qiaoying Xiang (Shàoxīng Shì)</v>
      </c>
      <c r="P847" s="15" t="str">
        <f t="shared" si="27"/>
        <v>Qiaoying Xiang (Shàoxīng Shì)</v>
      </c>
    </row>
    <row r="848" spans="1:16" hidden="1" x14ac:dyDescent="0.25">
      <c r="A848" t="s">
        <v>2588</v>
      </c>
      <c r="B848" t="str">
        <f>IF(COUNTIF(A:A,A848)&gt;1,_xlfn.CONCAT(A848," (",N848,")"),A848)</f>
        <v>Qīdū Jiēdào</v>
      </c>
      <c r="C848" t="str">
        <f>IF(COUNTIF(B:B,B848)&gt;1,_xlfn.CONCAT(A848," (",M848,")"),B848)</f>
        <v>Qīdū Jiēdào</v>
      </c>
      <c r="D848" t="s">
        <v>2589</v>
      </c>
      <c r="E848" t="s">
        <v>15</v>
      </c>
      <c r="F848" t="str">
        <f>_xlfn.CONCAT(D848,", ",H848,", ",I848,", ","浙江省")</f>
        <v>七都街道, 鹿城区, 温州市, 浙江省</v>
      </c>
      <c r="G848">
        <v>10797</v>
      </c>
      <c r="H848" t="s">
        <v>3004</v>
      </c>
      <c r="I848" t="s">
        <v>3000</v>
      </c>
      <c r="J848">
        <f>VLOOKUP(F848,[1]!china_towns_second__2[[Column1]:[Y]],3,FALSE)</f>
        <v>28.001963996501299</v>
      </c>
      <c r="K848">
        <f>VLOOKUP(F848,[1]!china_towns_second__2[[Column1]:[Y]],2,FALSE)</f>
        <v>120.7656351</v>
      </c>
      <c r="L848" t="s">
        <v>4482</v>
      </c>
      <c r="M848" t="str">
        <f>VLOOKUP(H848,CHOOSE({1,2},Table12[Native],Table12[Name]),2,0)</f>
        <v>Lùchéng Qū</v>
      </c>
      <c r="N848" s="15" t="str">
        <f>VLOOKUP(I848,CHOOSE({1,2},Table12[Native],Table12[Name]),2,0)</f>
        <v>Wēnzhōu Shì</v>
      </c>
      <c r="O848" s="15" t="str">
        <f t="shared" si="26"/>
        <v>Qidu Jiedao (Wēnzhōu Shì)</v>
      </c>
      <c r="P848" s="15" t="str">
        <f t="shared" si="27"/>
        <v>Qidu Jiedao (Wēnzhōu Shì)</v>
      </c>
    </row>
    <row r="849" spans="1:16" hidden="1" x14ac:dyDescent="0.25">
      <c r="A849" t="s">
        <v>1523</v>
      </c>
      <c r="B849" t="str">
        <f>IF(COUNTIF(A:A,A849)&gt;1,_xlfn.CONCAT(A849," (",N849,")"),A849)</f>
        <v>Qījiāshān Jiēdào</v>
      </c>
      <c r="C849" t="str">
        <f>IF(COUNTIF(B:B,B849)&gt;1,_xlfn.CONCAT(A849," (",M849,")"),B849)</f>
        <v>Qījiāshān Jiēdào</v>
      </c>
      <c r="D849" t="s">
        <v>1524</v>
      </c>
      <c r="E849" t="s">
        <v>15</v>
      </c>
      <c r="F849" t="str">
        <f>_xlfn.CONCAT(D849,", ",H849,", ",I849,", ","浙江省")</f>
        <v>戚家山街道, 北仑区, 宁波市, 浙江省</v>
      </c>
      <c r="G849">
        <v>25187</v>
      </c>
      <c r="H849" t="s">
        <v>2962</v>
      </c>
      <c r="I849" t="s">
        <v>2961</v>
      </c>
      <c r="J849">
        <f>VLOOKUP(F849,[1]!china_towns_second__2[[Column1]:[Y]],3,FALSE)</f>
        <v>29.964725420755101</v>
      </c>
      <c r="K849">
        <f>VLOOKUP(F849,[1]!china_towns_second__2[[Column1]:[Y]],2,FALSE)</f>
        <v>121.7683564</v>
      </c>
      <c r="L849" t="s">
        <v>4483</v>
      </c>
      <c r="M849" t="str">
        <f>VLOOKUP(H849,CHOOSE({1,2},Table12[Native],Table12[Name]),2,0)</f>
        <v>Bĕilún Qū</v>
      </c>
      <c r="N849" s="15" t="str">
        <f>VLOOKUP(I849,CHOOSE({1,2},Table12[Native],Table12[Name]),2,0)</f>
        <v>Níngbō Shì</v>
      </c>
      <c r="O849" s="15" t="str">
        <f t="shared" si="26"/>
        <v>Qijiashan Jiedao (Níngbō Shì)</v>
      </c>
      <c r="P849" s="15" t="str">
        <f t="shared" si="27"/>
        <v>Qijiashan Jiedao (Níngbō Shì)</v>
      </c>
    </row>
    <row r="850" spans="1:16" hidden="1" x14ac:dyDescent="0.25">
      <c r="A850" t="s">
        <v>1185</v>
      </c>
      <c r="B850" t="str">
        <f>IF(COUNTIF(A:A,A850)&gt;1,_xlfn.CONCAT(A850," (",N850,")"),A850)</f>
        <v>Qīlĭ Xiāng (Lìshuĭ Shì)</v>
      </c>
      <c r="C850" t="str">
        <f>IF(COUNTIF(B:B,B850)&gt;1,_xlfn.CONCAT(A850," (",M850,")"),B850)</f>
        <v>Qīlĭ Xiāng (Lìshuĭ Shì)</v>
      </c>
      <c r="D850" t="s">
        <v>1186</v>
      </c>
      <c r="E850" t="s">
        <v>7</v>
      </c>
      <c r="F850" t="str">
        <f>_xlfn.CONCAT(D850,", ",H850,", ",I850,", ","浙江省")</f>
        <v>七里乡, 缙云县, 丽水市, 浙江省</v>
      </c>
      <c r="G850">
        <v>12157</v>
      </c>
      <c r="H850" t="s">
        <v>2952</v>
      </c>
      <c r="I850" t="s">
        <v>2949</v>
      </c>
      <c r="J850" t="e">
        <f>VLOOKUP(F850,[1]!china_towns_second__2[[Column1]:[Y]],3,FALSE)</f>
        <v>#N/A</v>
      </c>
      <c r="K850" t="e">
        <f>VLOOKUP(F850,[1]!china_towns_second__2[[Column1]:[Y]],2,FALSE)</f>
        <v>#N/A</v>
      </c>
      <c r="L850" t="s">
        <v>4484</v>
      </c>
      <c r="M850" t="str">
        <f>VLOOKUP(H850,CHOOSE({1,2},Table12[Native],Table12[Name]),2,0)</f>
        <v>Jìnyún Xiàn</v>
      </c>
      <c r="N850" s="15" t="str">
        <f>VLOOKUP(I850,CHOOSE({1,2},Table12[Native],Table12[Name]),2,0)</f>
        <v>Lìshuĭ Shì</v>
      </c>
      <c r="O850" s="15" t="str">
        <f t="shared" si="26"/>
        <v>Qili Xiang (Lishui Shi) (Lìshuĭ Shì)</v>
      </c>
      <c r="P850" s="15" t="str">
        <f t="shared" si="27"/>
        <v>Qili Xiang (Lishui Shi) (Lìshuĭ Shì)</v>
      </c>
    </row>
    <row r="851" spans="1:16" hidden="1" x14ac:dyDescent="0.25">
      <c r="A851" t="s">
        <v>1185</v>
      </c>
      <c r="B851" t="str">
        <f>IF(COUNTIF(A:A,A851)&gt;1,_xlfn.CONCAT(A851," (",N851,")"),A851)</f>
        <v>Qīlĭ Xiāng (Qúzhōu Shì)</v>
      </c>
      <c r="C851" t="str">
        <f>IF(COUNTIF(B:B,B851)&gt;1,_xlfn.CONCAT(A851," (",M851,")"),B851)</f>
        <v>Qīlĭ Xiāng (Qúzhōu Shì)</v>
      </c>
      <c r="D851" t="s">
        <v>1186</v>
      </c>
      <c r="E851" t="s">
        <v>7</v>
      </c>
      <c r="F851" t="str">
        <f>_xlfn.CONCAT(D851,", ",H851,", ",I851,", ","浙江省")</f>
        <v>七里乡, 柯城区, 衢州市, 浙江省</v>
      </c>
      <c r="G851">
        <v>2534</v>
      </c>
      <c r="H851" t="s">
        <v>2977</v>
      </c>
      <c r="I851" t="s">
        <v>2973</v>
      </c>
      <c r="J851" t="e">
        <f>VLOOKUP(F851,[1]!china_towns_second__2[[Column1]:[Y]],3,FALSE)</f>
        <v>#N/A</v>
      </c>
      <c r="K851" t="e">
        <f>VLOOKUP(F851,[1]!china_towns_second__2[[Column1]:[Y]],2,FALSE)</f>
        <v>#N/A</v>
      </c>
      <c r="L851" t="s">
        <v>4485</v>
      </c>
      <c r="M851" t="str">
        <f>VLOOKUP(H851,CHOOSE({1,2},Table12[Native],Table12[Name]),2,0)</f>
        <v>Kēchéng Qū</v>
      </c>
      <c r="N851" s="15" t="str">
        <f>VLOOKUP(I851,CHOOSE({1,2},Table12[Native],Table12[Name]),2,0)</f>
        <v>Qúzhōu Shì</v>
      </c>
      <c r="O851" s="15" t="str">
        <f t="shared" si="26"/>
        <v>Qili Xiang (Quzhou Shi) (Qúzhōu Shì)</v>
      </c>
      <c r="P851" s="15" t="str">
        <f t="shared" si="27"/>
        <v>Qili Xiang (Quzhou Shi) (Qúzhōu Shì)</v>
      </c>
    </row>
    <row r="852" spans="1:16" hidden="1" x14ac:dyDescent="0.25">
      <c r="A852" t="s">
        <v>2590</v>
      </c>
      <c r="B852" t="str">
        <f>IF(COUNTIF(A:A,A852)&gt;1,_xlfn.CONCAT(A852," (",N852,")"),A852)</f>
        <v>Qīlĭgăng Zhèn</v>
      </c>
      <c r="C852" t="str">
        <f>IF(COUNTIF(B:B,B852)&gt;1,_xlfn.CONCAT(A852," (",M852,")"),B852)</f>
        <v>Qīlĭgăng Zhèn</v>
      </c>
      <c r="D852" t="s">
        <v>2591</v>
      </c>
      <c r="E852" t="s">
        <v>11</v>
      </c>
      <c r="F852" t="str">
        <f>_xlfn.CONCAT(D852,", ",H852,", ",I852,", ","浙江省")</f>
        <v>七里港镇, 乐清市, 温州市, 浙江省</v>
      </c>
      <c r="G852">
        <v>27814</v>
      </c>
      <c r="H852" t="s">
        <v>3011</v>
      </c>
      <c r="I852" t="s">
        <v>3000</v>
      </c>
      <c r="J852">
        <f>VLOOKUP(F852,[1]!china_towns_second__2[[Column1]:[Y]],3,FALSE)</f>
        <v>28.002600000000001</v>
      </c>
      <c r="K852">
        <f>VLOOKUP(F852,[1]!china_towns_second__2[[Column1]:[Y]],2,FALSE)</f>
        <v>120.8793</v>
      </c>
      <c r="L852" t="s">
        <v>4486</v>
      </c>
      <c r="M852" t="str">
        <f>VLOOKUP(H852,CHOOSE({1,2},Table12[Native],Table12[Name]),2,0)</f>
        <v>Yuèqīng Shì</v>
      </c>
      <c r="N852" s="15" t="str">
        <f>VLOOKUP(I852,CHOOSE({1,2},Table12[Native],Table12[Name]),2,0)</f>
        <v>Wēnzhōu Shì</v>
      </c>
      <c r="O852" s="15" t="str">
        <f t="shared" si="26"/>
        <v>Qiligang Zhen (Wēnzhōu Shì)</v>
      </c>
      <c r="P852" s="15" t="str">
        <f t="shared" si="27"/>
        <v>Qiligang Zhen (Wēnzhōu Shì)</v>
      </c>
    </row>
    <row r="853" spans="1:16" hidden="1" x14ac:dyDescent="0.25">
      <c r="A853" t="s">
        <v>260</v>
      </c>
      <c r="B853" t="str">
        <f>IF(COUNTIF(A:A,A853)&gt;1,_xlfn.CONCAT(A853," (",N853,")"),A853)</f>
        <v>Qīngbō Jiēdào</v>
      </c>
      <c r="C853" t="str">
        <f>IF(COUNTIF(B:B,B853)&gt;1,_xlfn.CONCAT(A853," (",M853,")"),B853)</f>
        <v>Qīngbō Jiēdào</v>
      </c>
      <c r="D853" t="s">
        <v>261</v>
      </c>
      <c r="E853" t="s">
        <v>15</v>
      </c>
      <c r="F853" t="str">
        <f>_xlfn.CONCAT(D853,", ",H853,", ",I853,", ","浙江省")</f>
        <v>清波街道, 上城区, 杭州市, 浙江省</v>
      </c>
      <c r="G853">
        <v>25142</v>
      </c>
      <c r="H853" t="s">
        <v>2915</v>
      </c>
      <c r="I853" t="s">
        <v>2903</v>
      </c>
      <c r="J853">
        <f>VLOOKUP(F853,[1]!china_towns_second__2[[Column1]:[Y]],3,FALSE)</f>
        <v>30.241228112018799</v>
      </c>
      <c r="K853">
        <f>VLOOKUP(F853,[1]!china_towns_second__2[[Column1]:[Y]],2,FALSE)</f>
        <v>120.1581697</v>
      </c>
      <c r="L853" t="s">
        <v>4487</v>
      </c>
      <c r="M853" t="str">
        <f>VLOOKUP(H853,CHOOSE({1,2},Table12[Native],Table12[Name]),2,0)</f>
        <v>Shàngchéng Qū</v>
      </c>
      <c r="N853" s="15" t="str">
        <f>VLOOKUP(I853,CHOOSE({1,2},Table12[Native],Table12[Name]),2,0)</f>
        <v>Hángzhōu Shì</v>
      </c>
      <c r="O853" s="15" t="str">
        <f t="shared" si="26"/>
        <v>Qingbo Jiedao (Hángzhōu Shì)</v>
      </c>
      <c r="P853" s="15" t="str">
        <f t="shared" si="27"/>
        <v>Qingbo Jiedao (Hángzhōu Shì)</v>
      </c>
    </row>
    <row r="854" spans="1:16" hidden="1" x14ac:dyDescent="0.25">
      <c r="A854" t="s">
        <v>2177</v>
      </c>
      <c r="B854" t="str">
        <f>IF(COUNTIF(A:A,A854)&gt;1,_xlfn.CONCAT(A854," (",N854,")"),A854)</f>
        <v>Qīnggăng Zhèn</v>
      </c>
      <c r="C854" t="str">
        <f>IF(COUNTIF(B:B,B854)&gt;1,_xlfn.CONCAT(A854," (",M854,")"),B854)</f>
        <v>Qīnggăng Zhèn</v>
      </c>
      <c r="D854" t="s">
        <v>2178</v>
      </c>
      <c r="E854" t="s">
        <v>11</v>
      </c>
      <c r="F854" t="str">
        <f>_xlfn.CONCAT(D854,", ",H854,", ",I854,", ","浙江省")</f>
        <v>清港镇, 玉环市, 台州市, 浙江省</v>
      </c>
      <c r="G854">
        <v>71536</v>
      </c>
      <c r="H854" t="s">
        <v>2998</v>
      </c>
      <c r="I854" t="s">
        <v>2989</v>
      </c>
      <c r="J854">
        <f>VLOOKUP(F854,[1]!china_towns_second__2[[Column1]:[Y]],3,FALSE)</f>
        <v>28.266603791270001</v>
      </c>
      <c r="K854">
        <f>VLOOKUP(F854,[1]!china_towns_second__2[[Column1]:[Y]],2,FALSE)</f>
        <v>121.28650829999999</v>
      </c>
      <c r="L854" t="s">
        <v>4488</v>
      </c>
      <c r="M854" t="str">
        <f>VLOOKUP(H854,CHOOSE({1,2},Table12[Native],Table12[Name]),2,0)</f>
        <v>Yùhuán Shì</v>
      </c>
      <c r="N854" s="15" t="str">
        <f>VLOOKUP(I854,CHOOSE({1,2},Table12[Native],Table12[Name]),2,0)</f>
        <v>Táizhōu Shì</v>
      </c>
      <c r="O854" s="15" t="str">
        <f t="shared" si="26"/>
        <v>Qinggang Zhen (Táizhōu Shì)</v>
      </c>
      <c r="P854" s="15" t="str">
        <f t="shared" si="27"/>
        <v>Qinggang Zhen (Táizhōu Shì)</v>
      </c>
    </row>
    <row r="855" spans="1:16" hidden="1" x14ac:dyDescent="0.25">
      <c r="A855" t="s">
        <v>1748</v>
      </c>
      <c r="B855" t="str">
        <f>IF(COUNTIF(A:A,A855)&gt;1,_xlfn.CONCAT(A855," (",N855,")"),A855)</f>
        <v>Qīnghú Jiēdào</v>
      </c>
      <c r="C855" t="str">
        <f>IF(COUNTIF(B:B,B855)&gt;1,_xlfn.CONCAT(A855," (",M855,")"),B855)</f>
        <v>Qīnghú Jiēdào</v>
      </c>
      <c r="D855" t="s">
        <v>1749</v>
      </c>
      <c r="E855" t="s">
        <v>15</v>
      </c>
      <c r="F855" t="str">
        <f>_xlfn.CONCAT(D855,", ",H855,", ",I855,", ","浙江省")</f>
        <v>清湖街道, 江山市, 衢州市, 浙江省</v>
      </c>
      <c r="G855">
        <v>32796</v>
      </c>
      <c r="H855" t="s">
        <v>2975</v>
      </c>
      <c r="I855" t="s">
        <v>2973</v>
      </c>
      <c r="J855" t="e">
        <f>VLOOKUP(F855,[1]!china_towns_second__2[[Column1]:[Y]],3,FALSE)</f>
        <v>#N/A</v>
      </c>
      <c r="K855" t="e">
        <f>VLOOKUP(F855,[1]!china_towns_second__2[[Column1]:[Y]],2,FALSE)</f>
        <v>#N/A</v>
      </c>
      <c r="L855" t="s">
        <v>4489</v>
      </c>
      <c r="M855" t="str">
        <f>VLOOKUP(H855,CHOOSE({1,2},Table12[Native],Table12[Name]),2,0)</f>
        <v>Jiāngshān Shì</v>
      </c>
      <c r="N855" s="15" t="str">
        <f>VLOOKUP(I855,CHOOSE({1,2},Table12[Native],Table12[Name]),2,0)</f>
        <v>Qúzhōu Shì</v>
      </c>
      <c r="O855" s="15" t="str">
        <f t="shared" si="26"/>
        <v>Qinghu Jiedao (Qúzhōu Shì)</v>
      </c>
      <c r="P855" s="15" t="str">
        <f t="shared" si="27"/>
        <v>Qinghu Jiedao (Qúzhōu Shì)</v>
      </c>
    </row>
    <row r="856" spans="1:16" hidden="1" x14ac:dyDescent="0.25">
      <c r="A856" t="s">
        <v>2592</v>
      </c>
      <c r="B856" t="str">
        <f>IF(COUNTIF(A:A,A856)&gt;1,_xlfn.CONCAT(A856," (",N856,")"),A856)</f>
        <v>Qīngjiāng Zhèn</v>
      </c>
      <c r="C856" t="str">
        <f>IF(COUNTIF(B:B,B856)&gt;1,_xlfn.CONCAT(A856," (",M856,")"),B856)</f>
        <v>Qīngjiāng Zhèn</v>
      </c>
      <c r="D856" t="s">
        <v>2593</v>
      </c>
      <c r="E856" t="s">
        <v>11</v>
      </c>
      <c r="F856" t="str">
        <f>_xlfn.CONCAT(D856,", ",H856,", ",I856,", ","浙江省")</f>
        <v>清江镇, 乐清市, 温州市, 浙江省</v>
      </c>
      <c r="G856">
        <v>34860</v>
      </c>
      <c r="H856" t="s">
        <v>3011</v>
      </c>
      <c r="I856" t="s">
        <v>3000</v>
      </c>
      <c r="J856">
        <f>VLOOKUP(F856,[1]!china_towns_second__2[[Column1]:[Y]],3,FALSE)</f>
        <v>28.272648896748599</v>
      </c>
      <c r="K856">
        <f>VLOOKUP(F856,[1]!china_towns_second__2[[Column1]:[Y]],2,FALSE)</f>
        <v>121.11412989999999</v>
      </c>
      <c r="L856" t="s">
        <v>4490</v>
      </c>
      <c r="M856" t="str">
        <f>VLOOKUP(H856,CHOOSE({1,2},Table12[Native],Table12[Name]),2,0)</f>
        <v>Yuèqīng Shì</v>
      </c>
      <c r="N856" s="15" t="str">
        <f>VLOOKUP(I856,CHOOSE({1,2},Table12[Native],Table12[Name]),2,0)</f>
        <v>Wēnzhōu Shì</v>
      </c>
      <c r="O856" s="15" t="str">
        <f t="shared" si="26"/>
        <v>Qingjiang Zhen (Wēnzhōu Shì)</v>
      </c>
      <c r="P856" s="15" t="str">
        <f t="shared" si="27"/>
        <v>Qingjiang Zhen (Wēnzhōu Shì)</v>
      </c>
    </row>
    <row r="857" spans="1:16" hidden="1" x14ac:dyDescent="0.25">
      <c r="A857" t="s">
        <v>2594</v>
      </c>
      <c r="B857" t="str">
        <f>IF(COUNTIF(A:A,A857)&gt;1,_xlfn.CONCAT(A857," (",N857,")"),A857)</f>
        <v>Qīngjiē Shēzú Xiāng</v>
      </c>
      <c r="C857" t="str">
        <f>IF(COUNTIF(B:B,B857)&gt;1,_xlfn.CONCAT(A857," (",M857,")"),B857)</f>
        <v>Qīngjiē Shēzú Xiāng</v>
      </c>
      <c r="D857" t="s">
        <v>2595</v>
      </c>
      <c r="E857" t="s">
        <v>7</v>
      </c>
      <c r="F857" t="str">
        <f>_xlfn.CONCAT(D857,", ",H857,", ",I857,", ","浙江省")</f>
        <v>青街畲族乡, 平阳县, 温州市, 浙江省</v>
      </c>
      <c r="G857">
        <v>4658</v>
      </c>
      <c r="H857" t="s">
        <v>3006</v>
      </c>
      <c r="I857" t="s">
        <v>3000</v>
      </c>
      <c r="J857" t="e">
        <f>VLOOKUP(F857,[1]!china_towns_second__2[[Column1]:[Y]],3,FALSE)</f>
        <v>#N/A</v>
      </c>
      <c r="K857" t="e">
        <f>VLOOKUP(F857,[1]!china_towns_second__2[[Column1]:[Y]],2,FALSE)</f>
        <v>#N/A</v>
      </c>
      <c r="L857" t="s">
        <v>4491</v>
      </c>
      <c r="M857" t="str">
        <f>VLOOKUP(H857,CHOOSE({1,2},Table12[Native],Table12[Name]),2,0)</f>
        <v>Píngyáng Xiàn</v>
      </c>
      <c r="N857" s="15" t="str">
        <f>VLOOKUP(I857,CHOOSE({1,2},Table12[Native],Table12[Name]),2,0)</f>
        <v>Wēnzhōu Shì</v>
      </c>
      <c r="O857" s="15" t="str">
        <f t="shared" si="26"/>
        <v>Qingjie Shezu Xiang (Wēnzhōu Shì)</v>
      </c>
      <c r="P857" s="15" t="str">
        <f t="shared" si="27"/>
        <v>Qingjie Shezu Xiang (Wēnzhōu Shì)</v>
      </c>
    </row>
    <row r="858" spans="1:16" hidden="1" x14ac:dyDescent="0.25">
      <c r="A858" t="s">
        <v>262</v>
      </c>
      <c r="B858" t="str">
        <f>IF(COUNTIF(A:A,A858)&gt;1,_xlfn.CONCAT(A858," (",N858,")"),A858)</f>
        <v>Qīngliángfēng Zhèn</v>
      </c>
      <c r="C858" t="str">
        <f>IF(COUNTIF(B:B,B858)&gt;1,_xlfn.CONCAT(A858," (",M858,")"),B858)</f>
        <v>Qīngliángfēng Zhèn</v>
      </c>
      <c r="D858" t="s">
        <v>263</v>
      </c>
      <c r="E858" t="s">
        <v>11</v>
      </c>
      <c r="F858" t="str">
        <f>_xlfn.CONCAT(D858,", ",H858,", ",I858,", ","浙江省")</f>
        <v>清凉峰镇, 临安区, 杭州市, 浙江省</v>
      </c>
      <c r="G858">
        <v>16910</v>
      </c>
      <c r="H858" t="s">
        <v>2911</v>
      </c>
      <c r="I858" t="s">
        <v>2903</v>
      </c>
      <c r="J858">
        <f>VLOOKUP(F858,[1]!china_towns_second__2[[Column1]:[Y]],3,FALSE)</f>
        <v>30.1112385726558</v>
      </c>
      <c r="K858">
        <f>VLOOKUP(F858,[1]!china_towns_second__2[[Column1]:[Y]],2,FALSE)</f>
        <v>118.96011</v>
      </c>
      <c r="L858" t="s">
        <v>4492</v>
      </c>
      <c r="M858" t="str">
        <f>VLOOKUP(H858,CHOOSE({1,2},Table12[Native],Table12[Name]),2,0)</f>
        <v>Lín'ān Qū</v>
      </c>
      <c r="N858" s="15" t="str">
        <f>VLOOKUP(I858,CHOOSE({1,2},Table12[Native],Table12[Name]),2,0)</f>
        <v>Hángzhōu Shì</v>
      </c>
      <c r="O858" s="15" t="str">
        <f t="shared" si="26"/>
        <v>Qingliangfeng Zhen (Hángzhōu Shì)</v>
      </c>
      <c r="P858" s="15" t="str">
        <f t="shared" si="27"/>
        <v>Qingliangfeng Zhen (Hángzhōu Shì)</v>
      </c>
    </row>
    <row r="859" spans="1:16" hidden="1" x14ac:dyDescent="0.25">
      <c r="A859" t="s">
        <v>264</v>
      </c>
      <c r="B859" t="str">
        <f>IF(COUNTIF(A:A,A859)&gt;1,_xlfn.CONCAT(A859," (",N859,")"),A859)</f>
        <v>Qīngshānhú Jiēdào [incl. Héngfàn Zhèn]</v>
      </c>
      <c r="C859" t="str">
        <f>IF(COUNTIF(B:B,B859)&gt;1,_xlfn.CONCAT(A859," (",M859,")"),B859)</f>
        <v>Qīngshānhú Jiēdào [incl. Héngfàn Zhèn]</v>
      </c>
      <c r="D859" t="s">
        <v>265</v>
      </c>
      <c r="E859" t="s">
        <v>15</v>
      </c>
      <c r="F859" t="str">
        <f>_xlfn.CONCAT(D859,", ",H859,", ",I859,", ","浙江省")</f>
        <v>青山湖街道, 临安区, 杭州市, 浙江省</v>
      </c>
      <c r="G859">
        <v>45325</v>
      </c>
      <c r="H859" t="s">
        <v>2911</v>
      </c>
      <c r="I859" t="s">
        <v>2903</v>
      </c>
      <c r="J859">
        <f>VLOOKUP(F859,[1]!china_towns_second__2[[Column1]:[Y]],3,FALSE)</f>
        <v>30.301649196391502</v>
      </c>
      <c r="K859">
        <f>VLOOKUP(F859,[1]!china_towns_second__2[[Column1]:[Y]],2,FALSE)</f>
        <v>119.7800755</v>
      </c>
      <c r="L859" t="s">
        <v>4493</v>
      </c>
      <c r="M859" t="str">
        <f>VLOOKUP(H859,CHOOSE({1,2},Table12[Native],Table12[Name]),2,0)</f>
        <v>Lín'ān Qū</v>
      </c>
      <c r="N859" s="15" t="str">
        <f>VLOOKUP(I859,CHOOSE({1,2},Table12[Native],Table12[Name]),2,0)</f>
        <v>Hángzhōu Shì</v>
      </c>
      <c r="O859" s="15" t="str">
        <f t="shared" si="26"/>
        <v>Qingshanhu Jiedao [incl. Hengfan Zhen] (Hángzhōu Shì)</v>
      </c>
      <c r="P859" s="15" t="str">
        <f t="shared" si="27"/>
        <v>Qingshanhu Jiedao [incl. Hengfan Zhen] (Hángzhōu Shì)</v>
      </c>
    </row>
    <row r="860" spans="1:16" hidden="1" x14ac:dyDescent="0.25">
      <c r="A860" t="s">
        <v>1750</v>
      </c>
      <c r="B860" t="str">
        <f>IF(COUNTIF(A:A,A860)&gt;1,_xlfn.CONCAT(A860," (",N860,")"),A860)</f>
        <v>Qīngshí Zhèn</v>
      </c>
      <c r="C860" t="str">
        <f>IF(COUNTIF(B:B,B860)&gt;1,_xlfn.CONCAT(A860," (",M860,")"),B860)</f>
        <v>Qīngshí Zhèn</v>
      </c>
      <c r="D860" t="s">
        <v>1751</v>
      </c>
      <c r="E860" t="s">
        <v>11</v>
      </c>
      <c r="F860" t="str">
        <f>_xlfn.CONCAT(D860,", ",H860,", ",I860,", ","浙江省")</f>
        <v>青石镇, 常山县, 衢州市, 浙江省</v>
      </c>
      <c r="G860">
        <v>25097</v>
      </c>
      <c r="H860" t="s">
        <v>2974</v>
      </c>
      <c r="I860" t="s">
        <v>2973</v>
      </c>
      <c r="J860">
        <f>VLOOKUP(F860,[1]!china_towns_second__2[[Column1]:[Y]],3,FALSE)</f>
        <v>28.897081522968701</v>
      </c>
      <c r="K860">
        <f>VLOOKUP(F860,[1]!china_towns_second__2[[Column1]:[Y]],2,FALSE)</f>
        <v>118.60035929999999</v>
      </c>
      <c r="L860" t="s">
        <v>4494</v>
      </c>
      <c r="M860" t="str">
        <f>VLOOKUP(H860,CHOOSE({1,2},Table12[Native],Table12[Name]),2,0)</f>
        <v>Chángshān Xiàn</v>
      </c>
      <c r="N860" s="15" t="str">
        <f>VLOOKUP(I860,CHOOSE({1,2},Table12[Native],Table12[Name]),2,0)</f>
        <v>Qúzhōu Shì</v>
      </c>
      <c r="O860" s="15" t="str">
        <f t="shared" si="26"/>
        <v>Qingshi Zhen (Qúzhōu Shì)</v>
      </c>
      <c r="P860" s="15" t="str">
        <f t="shared" si="27"/>
        <v>Qingshi Zhen (Qúzhōu Shì)</v>
      </c>
    </row>
    <row r="861" spans="1:16" hidden="1" x14ac:dyDescent="0.25">
      <c r="A861" t="s">
        <v>627</v>
      </c>
      <c r="B861" t="str">
        <f>IF(COUNTIF(A:A,A861)&gt;1,_xlfn.CONCAT(A861," (",N861,")"),A861)</f>
        <v>Qínshān Jiēdào</v>
      </c>
      <c r="C861" t="str">
        <f>IF(COUNTIF(B:B,B861)&gt;1,_xlfn.CONCAT(A861," (",M861,")"),B861)</f>
        <v>Qínshān Jiēdào</v>
      </c>
      <c r="D861" t="s">
        <v>628</v>
      </c>
      <c r="E861" t="s">
        <v>15</v>
      </c>
      <c r="F861" t="str">
        <f>_xlfn.CONCAT(D861,", ",H861,", ",I861,", ","浙江省")</f>
        <v>秦山街道, 海盐县, 嘉兴市, 浙江省</v>
      </c>
      <c r="G861">
        <v>36746</v>
      </c>
      <c r="H861" t="s">
        <v>2931</v>
      </c>
      <c r="I861" t="s">
        <v>2929</v>
      </c>
      <c r="J861">
        <f>VLOOKUP(F861,[1]!china_towns_second__2[[Column1]:[Y]],3,FALSE)</f>
        <v>30.4139331844681</v>
      </c>
      <c r="K861">
        <f>VLOOKUP(F861,[1]!china_towns_second__2[[Column1]:[Y]],2,FALSE)</f>
        <v>120.9826752</v>
      </c>
      <c r="L861" t="s">
        <v>4495</v>
      </c>
      <c r="M861" t="str">
        <f>VLOOKUP(H861,CHOOSE({1,2},Table12[Native],Table12[Name]),2,0)</f>
        <v>Hăiyán Xiàn</v>
      </c>
      <c r="N861" s="15" t="str">
        <f>VLOOKUP(I861,CHOOSE({1,2},Table12[Native],Table12[Name]),2,0)</f>
        <v>Jiāxīng Shì</v>
      </c>
      <c r="O861" s="15" t="str">
        <f t="shared" si="26"/>
        <v>Qinshan Jiedao (Jiāxīng Shì)</v>
      </c>
      <c r="P861" s="15" t="str">
        <f t="shared" si="27"/>
        <v>Qinshan Jiedao (Jiāxīng Shì)</v>
      </c>
    </row>
    <row r="862" spans="1:16" hidden="1" x14ac:dyDescent="0.25">
      <c r="A862" t="s">
        <v>266</v>
      </c>
      <c r="B862" t="str">
        <f>IF(COUNTIF(A:A,A862)&gt;1,_xlfn.CONCAT(A862," (",N862,")"),A862)</f>
        <v>Qīntáng Xiāng</v>
      </c>
      <c r="C862" t="str">
        <f>IF(COUNTIF(B:B,B862)&gt;1,_xlfn.CONCAT(A862," (",M862,")"),B862)</f>
        <v>Qīntáng Xiāng</v>
      </c>
      <c r="D862" t="s">
        <v>267</v>
      </c>
      <c r="E862" t="s">
        <v>7</v>
      </c>
      <c r="F862" t="str">
        <f>_xlfn.CONCAT(D862,", ",H862,", ",I862,", ","浙江省")</f>
        <v>钦堂乡, 建德市, 杭州市, 浙江省</v>
      </c>
      <c r="G862">
        <v>7344</v>
      </c>
      <c r="H862" t="s">
        <v>2910</v>
      </c>
      <c r="I862" t="s">
        <v>2903</v>
      </c>
      <c r="J862" t="e">
        <f>VLOOKUP(F862,[1]!china_towns_second__2[[Column1]:[Y]],3,FALSE)</f>
        <v>#N/A</v>
      </c>
      <c r="K862" t="e">
        <f>VLOOKUP(F862,[1]!china_towns_second__2[[Column1]:[Y]],2,FALSE)</f>
        <v>#N/A</v>
      </c>
      <c r="L862" t="s">
        <v>4496</v>
      </c>
      <c r="M862" t="str">
        <f>VLOOKUP(H862,CHOOSE({1,2},Table12[Native],Table12[Name]),2,0)</f>
        <v>Jiàndé Shì</v>
      </c>
      <c r="N862" s="15" t="str">
        <f>VLOOKUP(I862,CHOOSE({1,2},Table12[Native],Table12[Name]),2,0)</f>
        <v>Hángzhōu Shì</v>
      </c>
      <c r="O862" s="15" t="str">
        <f t="shared" si="26"/>
        <v>Qintang Xiang (Hángzhōu Shì)</v>
      </c>
      <c r="P862" s="15" t="str">
        <f t="shared" si="27"/>
        <v>Qintang Xiang (Hángzhōu Shì)</v>
      </c>
    </row>
    <row r="863" spans="1:16" hidden="1" x14ac:dyDescent="0.25">
      <c r="A863" t="s">
        <v>1525</v>
      </c>
      <c r="B863" t="str">
        <f>IF(COUNTIF(A:A,A863)&gt;1,_xlfn.CONCAT(A863," (",N863,")"),A863)</f>
        <v>Qiū'ài Zhèn</v>
      </c>
      <c r="C863" t="str">
        <f>IF(COUNTIF(B:B,B863)&gt;1,_xlfn.CONCAT(A863," (",M863,")"),B863)</f>
        <v>Qiū'ài Zhèn</v>
      </c>
      <c r="D863" t="s">
        <v>1526</v>
      </c>
      <c r="E863" t="s">
        <v>11</v>
      </c>
      <c r="F863" t="str">
        <f>_xlfn.CONCAT(D863,", ",H863,", ",I863,", ","浙江省")</f>
        <v>邱隘镇, 鄞州区, 宁波市, 浙江省</v>
      </c>
      <c r="G863">
        <v>72654</v>
      </c>
      <c r="H863" t="s">
        <v>2969</v>
      </c>
      <c r="I863" t="s">
        <v>2961</v>
      </c>
      <c r="J863">
        <f>VLOOKUP(F863,[1]!china_towns_second__2[[Column1]:[Y]],3,FALSE)</f>
        <v>29.841610452547101</v>
      </c>
      <c r="K863">
        <f>VLOOKUP(F863,[1]!china_towns_second__2[[Column1]:[Y]],2,FALSE)</f>
        <v>121.6351605</v>
      </c>
      <c r="L863" t="s">
        <v>4497</v>
      </c>
      <c r="M863" t="str">
        <f>VLOOKUP(H863,CHOOSE({1,2},Table12[Native],Table12[Name]),2,0)</f>
        <v>Yínzhōu Qū</v>
      </c>
      <c r="N863" s="15" t="str">
        <f>VLOOKUP(I863,CHOOSE({1,2},Table12[Native],Table12[Name]),2,0)</f>
        <v>Níngbō Shì</v>
      </c>
      <c r="O863" s="15" t="str">
        <f t="shared" si="26"/>
        <v>Qiu'ai Zhen (Níngbō Shì)</v>
      </c>
      <c r="P863" s="15" t="str">
        <f t="shared" si="27"/>
        <v>Qiu'ai Zhen (Níngbō Shì)</v>
      </c>
    </row>
    <row r="864" spans="1:16" hidden="1" x14ac:dyDescent="0.25">
      <c r="A864" t="s">
        <v>873</v>
      </c>
      <c r="B864" t="str">
        <f>IF(COUNTIF(A:A,A864)&gt;1,_xlfn.CONCAT(A864," (",N864,")"),A864)</f>
        <v>Qiūbīn Jiēdào</v>
      </c>
      <c r="C864" t="str">
        <f>IF(COUNTIF(B:B,B864)&gt;1,_xlfn.CONCAT(A864," (",M864,")"),B864)</f>
        <v>Qiūbīn Jiēdào</v>
      </c>
      <c r="D864" t="s">
        <v>874</v>
      </c>
      <c r="E864" t="s">
        <v>15</v>
      </c>
      <c r="F864" t="str">
        <f>_xlfn.CONCAT(D864,", ",H864,", ",I864,", ","浙江省")</f>
        <v>秋滨街道, 婺城区, 金华市, 浙江省</v>
      </c>
      <c r="G864">
        <v>55894</v>
      </c>
      <c r="H864" t="s">
        <v>2944</v>
      </c>
      <c r="I864" t="s">
        <v>2938</v>
      </c>
      <c r="J864">
        <f>VLOOKUP(F864,[1]!china_towns_second__2[[Column1]:[Y]],3,FALSE)</f>
        <v>29.0568158910954</v>
      </c>
      <c r="K864">
        <f>VLOOKUP(F864,[1]!china_towns_second__2[[Column1]:[Y]],2,FALSE)</f>
        <v>119.6026299</v>
      </c>
      <c r="L864" t="s">
        <v>4498</v>
      </c>
      <c r="M864" t="str">
        <f>VLOOKUP(H864,CHOOSE({1,2},Table12[Native],Table12[Name]),2,0)</f>
        <v>Wùchéng Qū</v>
      </c>
      <c r="N864" s="15" t="str">
        <f>VLOOKUP(I864,CHOOSE({1,2},Table12[Native],Table12[Name]),2,0)</f>
        <v>Jīnhuá Shì</v>
      </c>
      <c r="O864" s="15" t="str">
        <f t="shared" si="26"/>
        <v>Qiubin Jiedao (Jīnhuá Shì)</v>
      </c>
      <c r="P864" s="15" t="str">
        <f t="shared" si="27"/>
        <v>Qiubin Jiedao (Jīnhuá Shì)</v>
      </c>
    </row>
    <row r="865" spans="1:16" hidden="1" x14ac:dyDescent="0.25">
      <c r="A865" t="s">
        <v>1752</v>
      </c>
      <c r="B865" t="str">
        <f>IF(COUNTIF(A:A,A865)&gt;1,_xlfn.CONCAT(A865," (",N865,")"),A865)</f>
        <v>Qiúchuān Zhèn</v>
      </c>
      <c r="C865" t="str">
        <f>IF(COUNTIF(B:B,B865)&gt;1,_xlfn.CONCAT(A865," (",M865,")"),B865)</f>
        <v>Qiúchuān Zhèn</v>
      </c>
      <c r="D865" t="s">
        <v>1753</v>
      </c>
      <c r="E865" t="s">
        <v>11</v>
      </c>
      <c r="F865" t="str">
        <f>_xlfn.CONCAT(D865,", ",H865,", ",I865,", ","浙江省")</f>
        <v>球川镇, 常山县, 衢州市, 浙江省</v>
      </c>
      <c r="G865">
        <v>22276</v>
      </c>
      <c r="H865" t="s">
        <v>2974</v>
      </c>
      <c r="I865" t="s">
        <v>2973</v>
      </c>
      <c r="J865">
        <f>VLOOKUP(F865,[1]!china_towns_second__2[[Column1]:[Y]],3,FALSE)</f>
        <v>28.874977052174099</v>
      </c>
      <c r="K865">
        <f>VLOOKUP(F865,[1]!china_towns_second__2[[Column1]:[Y]],2,FALSE)</f>
        <v>118.3386059</v>
      </c>
      <c r="L865" t="s">
        <v>4499</v>
      </c>
      <c r="M865" t="str">
        <f>VLOOKUP(H865,CHOOSE({1,2},Table12[Native],Table12[Name]),2,0)</f>
        <v>Chángshān Xiàn</v>
      </c>
      <c r="N865" s="15" t="str">
        <f>VLOOKUP(I865,CHOOSE({1,2},Table12[Native],Table12[Name]),2,0)</f>
        <v>Qúzhōu Shì</v>
      </c>
      <c r="O865" s="15" t="str">
        <f t="shared" si="26"/>
        <v>Qiuchuan Zhen (Qúzhōu Shì)</v>
      </c>
      <c r="P865" s="15" t="str">
        <f t="shared" si="27"/>
        <v>Qiuchuan Zhen (Qúzhōu Shì)</v>
      </c>
    </row>
    <row r="866" spans="1:16" hidden="1" x14ac:dyDescent="0.25">
      <c r="A866" t="s">
        <v>1527</v>
      </c>
      <c r="B866" t="str">
        <f>IF(COUNTIF(A:A,A866)&gt;1,_xlfn.CONCAT(A866," (",N866,")"),A866)</f>
        <v>Qiúcūn Zhèn</v>
      </c>
      <c r="C866" t="str">
        <f>IF(COUNTIF(B:B,B866)&gt;1,_xlfn.CONCAT(A866," (",M866,")"),B866)</f>
        <v>Qiúcūn Zhèn</v>
      </c>
      <c r="D866" t="s">
        <v>1528</v>
      </c>
      <c r="E866" t="s">
        <v>11</v>
      </c>
      <c r="F866" t="str">
        <f>_xlfn.CONCAT(D866,", ",H866,", ",I866,", ","浙江省")</f>
        <v>裘村镇, 奉化区, 宁波市, 浙江省</v>
      </c>
      <c r="G866">
        <v>20576</v>
      </c>
      <c r="H866" t="s">
        <v>2964</v>
      </c>
      <c r="I866" t="s">
        <v>2961</v>
      </c>
      <c r="J866">
        <f>VLOOKUP(F866,[1]!china_towns_second__2[[Column1]:[Y]],3,FALSE)</f>
        <v>29.573220287262501</v>
      </c>
      <c r="K866">
        <f>VLOOKUP(F866,[1]!china_towns_second__2[[Column1]:[Y]],2,FALSE)</f>
        <v>121.6283815</v>
      </c>
      <c r="L866" t="s">
        <v>4500</v>
      </c>
      <c r="M866" t="str">
        <f>VLOOKUP(H866,CHOOSE({1,2},Table12[Native],Table12[Name]),2,0)</f>
        <v>Fènghuà Qū</v>
      </c>
      <c r="N866" s="15" t="str">
        <f>VLOOKUP(I866,CHOOSE({1,2},Table12[Native],Table12[Name]),2,0)</f>
        <v>Níngbō Shì</v>
      </c>
      <c r="O866" s="15" t="str">
        <f t="shared" si="26"/>
        <v>Qiucun Zhen (Níngbō Shì)</v>
      </c>
      <c r="P866" s="15" t="str">
        <f t="shared" si="27"/>
        <v>Qiucun Zhen (Níngbō Shì)</v>
      </c>
    </row>
    <row r="867" spans="1:16" hidden="1" x14ac:dyDescent="0.25">
      <c r="A867" t="s">
        <v>1187</v>
      </c>
      <c r="B867" t="str">
        <f>IF(COUNTIF(A:A,A867)&gt;1,_xlfn.CONCAT(A867," (",N867,")"),A867)</f>
        <v>Qiūlú Xiāng</v>
      </c>
      <c r="C867" t="str">
        <f>IF(COUNTIF(B:B,B867)&gt;1,_xlfn.CONCAT(A867," (",M867,")"),B867)</f>
        <v>Qiūlú Xiāng</v>
      </c>
      <c r="D867" t="s">
        <v>1188</v>
      </c>
      <c r="E867" t="s">
        <v>7</v>
      </c>
      <c r="F867" t="str">
        <f>_xlfn.CONCAT(D867,", ",H867,", ",I867,", ","浙江省")</f>
        <v>秋炉乡, 景宁畲族自治县, 丽水市, 浙江省</v>
      </c>
      <c r="G867">
        <v>1246</v>
      </c>
      <c r="H867" t="s">
        <v>2951</v>
      </c>
      <c r="I867" t="s">
        <v>2949</v>
      </c>
      <c r="J867" t="e">
        <f>VLOOKUP(F867,[1]!china_towns_second__2[[Column1]:[Y]],3,FALSE)</f>
        <v>#N/A</v>
      </c>
      <c r="K867" t="e">
        <f>VLOOKUP(F867,[1]!china_towns_second__2[[Column1]:[Y]],2,FALSE)</f>
        <v>#N/A</v>
      </c>
      <c r="L867" t="s">
        <v>4501</v>
      </c>
      <c r="M867" t="str">
        <f>VLOOKUP(H867,CHOOSE({1,2},Table12[Native],Table12[Name]),2,0)</f>
        <v>Jĭngníng Shēzú Zìzhìxiàn</v>
      </c>
      <c r="N867" s="15" t="str">
        <f>VLOOKUP(I867,CHOOSE({1,2},Table12[Native],Table12[Name]),2,0)</f>
        <v>Lìshuĭ Shì</v>
      </c>
      <c r="O867" s="15" t="str">
        <f t="shared" si="26"/>
        <v>Qiulu Xiang (Lìshuĭ Shì)</v>
      </c>
      <c r="P867" s="15" t="str">
        <f t="shared" si="27"/>
        <v>Qiulu Xiang (Lìshuĭ Shì)</v>
      </c>
    </row>
    <row r="868" spans="1:16" hidden="1" x14ac:dyDescent="0.25">
      <c r="A868" t="s">
        <v>2179</v>
      </c>
      <c r="B868" t="str">
        <f>IF(COUNTIF(A:A,A868)&gt;1,_xlfn.CONCAT(A868," (",N868,")"),A868)</f>
        <v>Qiūshān Xiāng</v>
      </c>
      <c r="C868" t="str">
        <f>IF(COUNTIF(B:B,B868)&gt;1,_xlfn.CONCAT(A868," (",M868,")"),B868)</f>
        <v>Qiūshān Xiāng</v>
      </c>
      <c r="D868" t="s">
        <v>2180</v>
      </c>
      <c r="E868" t="s">
        <v>7</v>
      </c>
      <c r="F868" t="str">
        <f>_xlfn.CONCAT(D868,", ",H868,", ",I868,", ","浙江省")</f>
        <v>湫山乡, 仙居县, 台州市, 浙江省</v>
      </c>
      <c r="G868">
        <v>7237</v>
      </c>
      <c r="H868" t="s">
        <v>2997</v>
      </c>
      <c r="I868" t="s">
        <v>2989</v>
      </c>
      <c r="J868" t="e">
        <f>VLOOKUP(F868,[1]!china_towns_second__2[[Column1]:[Y]],3,FALSE)</f>
        <v>#N/A</v>
      </c>
      <c r="K868" t="e">
        <f>VLOOKUP(F868,[1]!china_towns_second__2[[Column1]:[Y]],2,FALSE)</f>
        <v>#N/A</v>
      </c>
      <c r="L868" t="s">
        <v>4502</v>
      </c>
      <c r="M868" t="str">
        <f>VLOOKUP(H868,CHOOSE({1,2},Table12[Native],Table12[Name]),2,0)</f>
        <v>Xiānjū Xiàn</v>
      </c>
      <c r="N868" s="15" t="str">
        <f>VLOOKUP(I868,CHOOSE({1,2},Table12[Native],Table12[Name]),2,0)</f>
        <v>Táizhōu Shì</v>
      </c>
      <c r="O868" s="15" t="str">
        <f t="shared" si="26"/>
        <v>Qiushan Xiang (Táizhōu Shì)</v>
      </c>
      <c r="P868" s="15" t="str">
        <f t="shared" si="27"/>
        <v>Qiushan Xiang (Táizhōu Shì)</v>
      </c>
    </row>
    <row r="869" spans="1:16" hidden="1" x14ac:dyDescent="0.25">
      <c r="A869" t="s">
        <v>1754</v>
      </c>
      <c r="B869" t="str">
        <f>IF(COUNTIF(A:A,A869)&gt;1,_xlfn.CONCAT(A869," (",N869,")"),A869)</f>
        <v>Qíxī Zhèn</v>
      </c>
      <c r="C869" t="str">
        <f>IF(COUNTIF(B:B,B869)&gt;1,_xlfn.CONCAT(A869," (",M869,")"),B869)</f>
        <v>Qíxī Zhèn</v>
      </c>
      <c r="D869" t="s">
        <v>1755</v>
      </c>
      <c r="E869" t="s">
        <v>11</v>
      </c>
      <c r="F869" t="str">
        <f>_xlfn.CONCAT(D869,", ",H869,", ",I869,", ","浙江省")</f>
        <v>齐溪镇, 开化县, 衢州市, 浙江省</v>
      </c>
      <c r="G869">
        <v>3790</v>
      </c>
      <c r="H869" t="s">
        <v>2976</v>
      </c>
      <c r="I869" t="s">
        <v>2973</v>
      </c>
      <c r="J869">
        <f>VLOOKUP(F869,[1]!china_towns_second__2[[Column1]:[Y]],3,FALSE)</f>
        <v>29.4176795776878</v>
      </c>
      <c r="K869">
        <f>VLOOKUP(F869,[1]!china_towns_second__2[[Column1]:[Y]],2,FALSE)</f>
        <v>118.3090797</v>
      </c>
      <c r="L869" t="s">
        <v>4503</v>
      </c>
      <c r="M869" t="str">
        <f>VLOOKUP(H869,CHOOSE({1,2},Table12[Native],Table12[Name]),2,0)</f>
        <v>Kāihuà Xiàn</v>
      </c>
      <c r="N869" s="15" t="str">
        <f>VLOOKUP(I869,CHOOSE({1,2},Table12[Native],Table12[Name]),2,0)</f>
        <v>Qúzhōu Shì</v>
      </c>
      <c r="O869" s="15" t="str">
        <f t="shared" si="26"/>
        <v>Qixi Zhen (Qúzhōu Shì)</v>
      </c>
      <c r="P869" s="15" t="str">
        <f t="shared" si="27"/>
        <v>Qixi Zhen (Qúzhōu Shì)</v>
      </c>
    </row>
    <row r="870" spans="1:16" hidden="1" x14ac:dyDescent="0.25">
      <c r="A870" t="s">
        <v>1966</v>
      </c>
      <c r="B870" t="str">
        <f>IF(COUNTIF(A:A,A870)&gt;1,_xlfn.CONCAT(A870," (",N870,")"),A870)</f>
        <v>Qíxián Jiēdào</v>
      </c>
      <c r="C870" t="str">
        <f>IF(COUNTIF(B:B,B870)&gt;1,_xlfn.CONCAT(A870," (",M870,")"),B870)</f>
        <v>Qíxián Jiēdào</v>
      </c>
      <c r="D870" t="s">
        <v>1967</v>
      </c>
      <c r="E870" t="s">
        <v>15</v>
      </c>
      <c r="F870" t="str">
        <f>_xlfn.CONCAT(D870,", ",H870,", ",I870,", ","浙江省")</f>
        <v>齐贤街道, 柯桥区, 绍兴市, 浙江省</v>
      </c>
      <c r="G870">
        <v>83978</v>
      </c>
      <c r="H870" t="s">
        <v>2982</v>
      </c>
      <c r="I870" t="s">
        <v>2981</v>
      </c>
      <c r="J870" t="e">
        <f>VLOOKUP(F870,[1]!china_towns_second__2[[Column1]:[Y]],3,FALSE)</f>
        <v>#N/A</v>
      </c>
      <c r="K870" t="e">
        <f>VLOOKUP(F870,[1]!china_towns_second__2[[Column1]:[Y]],2,FALSE)</f>
        <v>#N/A</v>
      </c>
      <c r="L870" t="s">
        <v>4504</v>
      </c>
      <c r="M870" t="str">
        <f>VLOOKUP(H870,CHOOSE({1,2},Table12[Native],Table12[Name]),2,0)</f>
        <v>Kēqiáo Qū</v>
      </c>
      <c r="N870" s="15" t="str">
        <f>VLOOKUP(I870,CHOOSE({1,2},Table12[Native],Table12[Name]),2,0)</f>
        <v>Shàoxīng Shì</v>
      </c>
      <c r="O870" s="15" t="str">
        <f t="shared" si="26"/>
        <v>Qixian Jiedao (Shàoxīng Shì)</v>
      </c>
      <c r="P870" s="15" t="str">
        <f t="shared" si="27"/>
        <v>Qixian Jiedao (Shàoxīng Shì)</v>
      </c>
    </row>
    <row r="871" spans="1:16" hidden="1" x14ac:dyDescent="0.25">
      <c r="A871" t="s">
        <v>629</v>
      </c>
      <c r="B871" t="str">
        <f>IF(COUNTIF(A:A,A871)&gt;1,_xlfn.CONCAT(A871," (",N871,")"),A871)</f>
        <v>Qīxīng Jiēdào (Jiāxīng Shì)</v>
      </c>
      <c r="C871" t="str">
        <f>IF(COUNTIF(B:B,B871)&gt;1,_xlfn.CONCAT(A871," (",M871,")"),B871)</f>
        <v>Qīxīng Jiēdào (Jiāxīng Shì)</v>
      </c>
      <c r="D871" t="s">
        <v>630</v>
      </c>
      <c r="E871" t="s">
        <v>15</v>
      </c>
      <c r="F871" t="str">
        <f>_xlfn.CONCAT(D871,", ",H871,", ",I871,", ","浙江省")</f>
        <v>七星街道, 南湖区, 嘉兴市, 浙江省</v>
      </c>
      <c r="G871">
        <v>24819</v>
      </c>
      <c r="H871" t="s">
        <v>2933</v>
      </c>
      <c r="I871" t="s">
        <v>2929</v>
      </c>
      <c r="J871" t="e">
        <f>VLOOKUP(F871,[1]!china_towns_second__2[[Column1]:[Y]],3,FALSE)</f>
        <v>#N/A</v>
      </c>
      <c r="K871" t="e">
        <f>VLOOKUP(F871,[1]!china_towns_second__2[[Column1]:[Y]],2,FALSE)</f>
        <v>#N/A</v>
      </c>
      <c r="L871" t="s">
        <v>4505</v>
      </c>
      <c r="M871" t="str">
        <f>VLOOKUP(H871,CHOOSE({1,2},Table12[Native],Table12[Name]),2,0)</f>
        <v>Nánhú Qū</v>
      </c>
      <c r="N871" s="15" t="str">
        <f>VLOOKUP(I871,CHOOSE({1,2},Table12[Native],Table12[Name]),2,0)</f>
        <v>Jiāxīng Shì</v>
      </c>
      <c r="O871" s="15" t="str">
        <f t="shared" si="26"/>
        <v>Qixing Jiedao (Jiaxing Shi) (Jiāxīng Shì)</v>
      </c>
      <c r="P871" s="15" t="str">
        <f t="shared" si="27"/>
        <v>Qixing Jiedao (Jiaxing Shi) (Jiāxīng Shì)</v>
      </c>
    </row>
    <row r="872" spans="1:16" hidden="1" x14ac:dyDescent="0.25">
      <c r="A872" t="s">
        <v>629</v>
      </c>
      <c r="B872" t="str">
        <f>IF(COUNTIF(A:A,A872)&gt;1,_xlfn.CONCAT(A872," (",N872,")"),A872)</f>
        <v>Qīxīng Jiēdào (Shàoxīng Shì)</v>
      </c>
      <c r="C872" t="str">
        <f>IF(COUNTIF(B:B,B872)&gt;1,_xlfn.CONCAT(A872," (",M872,")"),B872)</f>
        <v>Qīxīng Jiēdào (Shàoxīng Shì)</v>
      </c>
      <c r="D872" t="s">
        <v>630</v>
      </c>
      <c r="E872" t="s">
        <v>15</v>
      </c>
      <c r="F872" t="str">
        <f>_xlfn.CONCAT(D872,", ",H872,", ",I872,", ","浙江省")</f>
        <v>七星街道, 新昌县, 绍兴市, 浙江省</v>
      </c>
      <c r="G872">
        <v>74923</v>
      </c>
      <c r="H872" t="s">
        <v>2985</v>
      </c>
      <c r="I872" t="s">
        <v>2981</v>
      </c>
      <c r="J872">
        <f>VLOOKUP(F872,[1]!china_towns_second__2[[Column1]:[Y]],3,FALSE)</f>
        <v>29.504818507564099</v>
      </c>
      <c r="K872">
        <f>VLOOKUP(F872,[1]!china_towns_second__2[[Column1]:[Y]],2,FALSE)</f>
        <v>120.8624944</v>
      </c>
      <c r="L872" t="s">
        <v>4506</v>
      </c>
      <c r="M872" t="str">
        <f>VLOOKUP(H872,CHOOSE({1,2},Table12[Native],Table12[Name]),2,0)</f>
        <v>Xīnchāng Xiàn</v>
      </c>
      <c r="N872" s="15" t="str">
        <f>VLOOKUP(I872,CHOOSE({1,2},Table12[Native],Table12[Name]),2,0)</f>
        <v>Shàoxīng Shì</v>
      </c>
      <c r="O872" s="15" t="str">
        <f t="shared" si="26"/>
        <v>Qixing Jiedao (Shaoxing Shi) (Shàoxīng Shì)</v>
      </c>
      <c r="P872" s="15" t="str">
        <f t="shared" si="27"/>
        <v>Qixing Jiedao (Shaoxing Shi) (Shàoxīng Shì)</v>
      </c>
    </row>
    <row r="873" spans="1:16" hidden="1" x14ac:dyDescent="0.25">
      <c r="A873" t="s">
        <v>1756</v>
      </c>
      <c r="B873" t="str">
        <f>IF(COUNTIF(A:A,A873)&gt;1,_xlfn.CONCAT(A873," (",N873,")"),A873)</f>
        <v>Quánwàng Zhèn</v>
      </c>
      <c r="C873" t="str">
        <f>IF(COUNTIF(B:B,B873)&gt;1,_xlfn.CONCAT(A873," (",M873,")"),B873)</f>
        <v>Quánwàng Zhèn</v>
      </c>
      <c r="D873" t="s">
        <v>1757</v>
      </c>
      <c r="E873" t="s">
        <v>11</v>
      </c>
      <c r="F873" t="str">
        <f>_xlfn.CONCAT(D873,", ",H873,", ",I873,", ","浙江省")</f>
        <v>全旺镇, 衢江区, 衢州市, 浙江省</v>
      </c>
      <c r="G873">
        <v>14714</v>
      </c>
      <c r="H873" t="s">
        <v>2979</v>
      </c>
      <c r="I873" t="s">
        <v>2973</v>
      </c>
      <c r="J873">
        <f>VLOOKUP(F873,[1]!china_towns_second__2[[Column1]:[Y]],3,FALSE)</f>
        <v>28.8986785162726</v>
      </c>
      <c r="K873">
        <f>VLOOKUP(F873,[1]!china_towns_second__2[[Column1]:[Y]],2,FALSE)</f>
        <v>119.0671911</v>
      </c>
      <c r="L873" t="s">
        <v>4507</v>
      </c>
      <c r="M873" t="str">
        <f>VLOOKUP(H873,CHOOSE({1,2},Table12[Native],Table12[Name]),2,0)</f>
        <v>Qújiāng Qū</v>
      </c>
      <c r="N873" s="15" t="str">
        <f>VLOOKUP(I873,CHOOSE({1,2},Table12[Native],Table12[Name]),2,0)</f>
        <v>Qúzhōu Shì</v>
      </c>
      <c r="O873" s="15" t="str">
        <f t="shared" si="26"/>
        <v>Quanwang Zhen (Qúzhōu Shì)</v>
      </c>
      <c r="P873" s="15" t="str">
        <f t="shared" si="27"/>
        <v>Quanwang Zhen (Qúzhōu Shì)</v>
      </c>
    </row>
    <row r="874" spans="1:16" hidden="1" x14ac:dyDescent="0.25">
      <c r="A874" t="s">
        <v>875</v>
      </c>
      <c r="B874" t="str">
        <f>IF(COUNTIF(A:A,A874)&gt;1,_xlfn.CONCAT(A874," (",N874,")"),A874)</f>
        <v>Quánxī Zhèn</v>
      </c>
      <c r="C874" t="str">
        <f>IF(COUNTIF(B:B,B874)&gt;1,_xlfn.CONCAT(A874," (",M874,")"),B874)</f>
        <v>Quánxī Zhèn</v>
      </c>
      <c r="D874" t="s">
        <v>876</v>
      </c>
      <c r="E874" t="s">
        <v>11</v>
      </c>
      <c r="F874" t="str">
        <f>_xlfn.CONCAT(D874,", ",H874,", ",I874,", ","浙江省")</f>
        <v>泉溪镇, 武义县, 金华市, 浙江省</v>
      </c>
      <c r="G874">
        <v>31871</v>
      </c>
      <c r="H874" t="s">
        <v>2945</v>
      </c>
      <c r="I874" t="s">
        <v>2938</v>
      </c>
      <c r="J874">
        <f>VLOOKUP(F874,[1]!china_towns_second__2[[Column1]:[Y]],3,FALSE)</f>
        <v>28.8341002504072</v>
      </c>
      <c r="K874">
        <f>VLOOKUP(F874,[1]!china_towns_second__2[[Column1]:[Y]],2,FALSE)</f>
        <v>119.88412460000001</v>
      </c>
      <c r="L874" t="s">
        <v>4508</v>
      </c>
      <c r="M874" t="str">
        <f>VLOOKUP(H874,CHOOSE({1,2},Table12[Native],Table12[Name]),2,0)</f>
        <v>Wŭyì Xiàn</v>
      </c>
      <c r="N874" s="15" t="str">
        <f>VLOOKUP(I874,CHOOSE({1,2},Table12[Native],Table12[Name]),2,0)</f>
        <v>Jīnhuá Shì</v>
      </c>
      <c r="O874" s="15" t="str">
        <f t="shared" si="26"/>
        <v>Quanxi Zhen (Jīnhuá Shì)</v>
      </c>
      <c r="P874" s="15" t="str">
        <f t="shared" si="27"/>
        <v>Quanxi Zhen (Jīnhuá Shì)</v>
      </c>
    </row>
    <row r="875" spans="1:16" hidden="1" x14ac:dyDescent="0.25">
      <c r="A875" t="s">
        <v>2596</v>
      </c>
      <c r="B875" t="str">
        <f>IF(COUNTIF(A:A,A875)&gt;1,_xlfn.CONCAT(A875," (",N875,")"),A875)</f>
        <v>Qúkŏu Xiāng</v>
      </c>
      <c r="C875" t="str">
        <f>IF(COUNTIF(B:B,B875)&gt;1,_xlfn.CONCAT(A875," (",M875,")"),B875)</f>
        <v>Qúkŏu Xiāng</v>
      </c>
      <c r="D875" t="s">
        <v>2597</v>
      </c>
      <c r="E875" t="s">
        <v>7</v>
      </c>
      <c r="F875" t="str">
        <f>_xlfn.CONCAT(D875,", ",H875,", ",I875,", ","浙江省")</f>
        <v>渠口乡, 永嘉县, 温州市, 浙江省</v>
      </c>
      <c r="G875">
        <v>8031</v>
      </c>
      <c r="H875" t="s">
        <v>3010</v>
      </c>
      <c r="I875" t="s">
        <v>3000</v>
      </c>
      <c r="J875" t="e">
        <f>VLOOKUP(F875,[1]!china_towns_second__2[[Column1]:[Y]],3,FALSE)</f>
        <v>#N/A</v>
      </c>
      <c r="K875" t="e">
        <f>VLOOKUP(F875,[1]!china_towns_second__2[[Column1]:[Y]],2,FALSE)</f>
        <v>#N/A</v>
      </c>
      <c r="L875" t="s">
        <v>4509</v>
      </c>
      <c r="M875" t="str">
        <f>VLOOKUP(H875,CHOOSE({1,2},Table12[Native],Table12[Name]),2,0)</f>
        <v>Yŏngjiā Xiàn</v>
      </c>
      <c r="N875" s="15" t="str">
        <f>VLOOKUP(I875,CHOOSE({1,2},Table12[Native],Table12[Name]),2,0)</f>
        <v>Wēnzhōu Shì</v>
      </c>
      <c r="O875" s="15" t="str">
        <f t="shared" si="26"/>
        <v>Qukou Xiang (Wēnzhōu Shì)</v>
      </c>
      <c r="P875" s="15" t="str">
        <f t="shared" si="27"/>
        <v>Qukou Xiang (Wēnzhōu Shì)</v>
      </c>
    </row>
    <row r="876" spans="1:16" hidden="1" x14ac:dyDescent="0.25">
      <c r="A876" t="s">
        <v>2876</v>
      </c>
      <c r="B876" t="str">
        <f>IF(COUNTIF(A:A,A876)&gt;1,_xlfn.CONCAT(A876," (",N876,")"),A876)</f>
        <v>Qúshān Zhèn</v>
      </c>
      <c r="C876" t="str">
        <f>IF(COUNTIF(B:B,B876)&gt;1,_xlfn.CONCAT(A876," (",M876,")"),B876)</f>
        <v>Qúshān Zhèn</v>
      </c>
      <c r="D876" t="s">
        <v>2877</v>
      </c>
      <c r="E876" t="s">
        <v>11</v>
      </c>
      <c r="F876" t="str">
        <f>_xlfn.CONCAT(D876,", ",H876,", ",I876,", ","浙江省")</f>
        <v>衢山镇, 岱山县, 舟山市, 浙江省</v>
      </c>
      <c r="G876">
        <v>53216</v>
      </c>
      <c r="H876" t="s">
        <v>3014</v>
      </c>
      <c r="I876" t="s">
        <v>3013</v>
      </c>
      <c r="J876">
        <f>VLOOKUP(F876,[1]!china_towns_second__2[[Column1]:[Y]],3,FALSE)</f>
        <v>30.449905607104199</v>
      </c>
      <c r="K876">
        <f>VLOOKUP(F876,[1]!china_towns_second__2[[Column1]:[Y]],2,FALSE)</f>
        <v>122.3519629</v>
      </c>
      <c r="L876" t="s">
        <v>4510</v>
      </c>
      <c r="M876" t="str">
        <f>VLOOKUP(H876,CHOOSE({1,2},Table12[Native],Table12[Name]),2,0)</f>
        <v>Dàishān Xiàn</v>
      </c>
      <c r="N876" s="15" t="str">
        <f>VLOOKUP(I876,CHOOSE({1,2},Table12[Native],Table12[Name]),2,0)</f>
        <v>Zhōushān Shì</v>
      </c>
      <c r="O876" s="15" t="str">
        <f t="shared" si="26"/>
        <v>Qushan Zhen (Zhōushān Shì)</v>
      </c>
      <c r="P876" s="15" t="str">
        <f t="shared" si="27"/>
        <v>Qushan Zhen (Zhōushān Shì)</v>
      </c>
    </row>
    <row r="877" spans="1:16" hidden="1" x14ac:dyDescent="0.25">
      <c r="A877" t="s">
        <v>877</v>
      </c>
      <c r="B877" t="str">
        <f>IF(COUNTIF(A:A,A877)&gt;1,_xlfn.CONCAT(A877," (",N877,")"),A877)</f>
        <v>Rénchuān Zhèn</v>
      </c>
      <c r="C877" t="str">
        <f>IF(COUNTIF(B:B,B877)&gt;1,_xlfn.CONCAT(A877," (",M877,")"),B877)</f>
        <v>Rénchuān Zhèn</v>
      </c>
      <c r="D877" t="s">
        <v>878</v>
      </c>
      <c r="E877" t="s">
        <v>11</v>
      </c>
      <c r="F877" t="str">
        <f>_xlfn.CONCAT(D877,", ",H877,", ",I877,", ","浙江省")</f>
        <v>仁川镇, 磐安县, 金华市, 浙江省</v>
      </c>
      <c r="G877">
        <v>9348</v>
      </c>
      <c r="H877" t="s">
        <v>2942</v>
      </c>
      <c r="I877" t="s">
        <v>2938</v>
      </c>
      <c r="J877">
        <f>VLOOKUP(F877,[1]!china_towns_second__2[[Column1]:[Y]],3,FALSE)</f>
        <v>28.880953470363</v>
      </c>
      <c r="K877">
        <f>VLOOKUP(F877,[1]!china_towns_second__2[[Column1]:[Y]],2,FALSE)</f>
        <v>120.42685849999999</v>
      </c>
      <c r="L877" t="s">
        <v>4511</v>
      </c>
      <c r="M877" t="str">
        <f>VLOOKUP(H877,CHOOSE({1,2},Table12[Native],Table12[Name]),2,0)</f>
        <v>Pán'ān Xiàn</v>
      </c>
      <c r="N877" s="15" t="str">
        <f>VLOOKUP(I877,CHOOSE({1,2},Table12[Native],Table12[Name]),2,0)</f>
        <v>Jīnhuá Shì</v>
      </c>
      <c r="O877" s="15" t="str">
        <f t="shared" si="26"/>
        <v>Renchuan Zhen (Jīnhuá Shì)</v>
      </c>
      <c r="P877" s="15" t="str">
        <f t="shared" si="27"/>
        <v>Renchuan Zhen (Jīnhuá Shì)</v>
      </c>
    </row>
    <row r="878" spans="1:16" hidden="1" x14ac:dyDescent="0.25">
      <c r="A878" t="s">
        <v>1189</v>
      </c>
      <c r="B878" t="str">
        <f>IF(COUNTIF(A:A,A878)&gt;1,_xlfn.CONCAT(A878," (",N878,")"),A878)</f>
        <v>Réngōng Xiāng</v>
      </c>
      <c r="C878" t="str">
        <f>IF(COUNTIF(B:B,B878)&gt;1,_xlfn.CONCAT(A878," (",M878,")"),B878)</f>
        <v>Réngōng Xiāng</v>
      </c>
      <c r="D878" t="s">
        <v>1190</v>
      </c>
      <c r="E878" t="s">
        <v>7</v>
      </c>
      <c r="F878" t="str">
        <f>_xlfn.CONCAT(D878,", ",H878,", ",I878,", ","浙江省")</f>
        <v>仁宫乡, 青田县, 丽水市, 浙江省</v>
      </c>
      <c r="G878">
        <v>4724</v>
      </c>
      <c r="H878" t="s">
        <v>2955</v>
      </c>
      <c r="I878" t="s">
        <v>2949</v>
      </c>
      <c r="J878" t="e">
        <f>VLOOKUP(F878,[1]!china_towns_second__2[[Column1]:[Y]],3,FALSE)</f>
        <v>#N/A</v>
      </c>
      <c r="K878" t="e">
        <f>VLOOKUP(F878,[1]!china_towns_second__2[[Column1]:[Y]],2,FALSE)</f>
        <v>#N/A</v>
      </c>
      <c r="L878" t="s">
        <v>4512</v>
      </c>
      <c r="M878" t="str">
        <f>VLOOKUP(H878,CHOOSE({1,2},Table12[Native],Table12[Name]),2,0)</f>
        <v>Qīngtián Xiàn</v>
      </c>
      <c r="N878" s="15" t="str">
        <f>VLOOKUP(I878,CHOOSE({1,2},Table12[Native],Table12[Name]),2,0)</f>
        <v>Lìshuĭ Shì</v>
      </c>
      <c r="O878" s="15" t="str">
        <f t="shared" si="26"/>
        <v>Rengong Xiang (Lìshuĭ Shì)</v>
      </c>
      <c r="P878" s="15" t="str">
        <f t="shared" si="27"/>
        <v>Rengong Xiang (Lìshuĭ Shì)</v>
      </c>
    </row>
    <row r="879" spans="1:16" hidden="1" x14ac:dyDescent="0.25">
      <c r="A879" t="s">
        <v>268</v>
      </c>
      <c r="B879" t="str">
        <f>IF(COUNTIF(A:A,A879)&gt;1,_xlfn.CONCAT(A879," (",N879,")"),A879)</f>
        <v>Rénhé Jiēdào</v>
      </c>
      <c r="C879" t="str">
        <f>IF(COUNTIF(B:B,B879)&gt;1,_xlfn.CONCAT(A879," (",M879,")"),B879)</f>
        <v>Rénhé Jiēdào</v>
      </c>
      <c r="D879" t="s">
        <v>269</v>
      </c>
      <c r="E879" t="s">
        <v>15</v>
      </c>
      <c r="F879" t="str">
        <f>_xlfn.CONCAT(D879,", ",H879,", ",I879,", ","浙江省")</f>
        <v>仁和街道, 余杭区, 杭州市, 浙江省</v>
      </c>
      <c r="G879">
        <v>65207</v>
      </c>
      <c r="H879" t="s">
        <v>2919</v>
      </c>
      <c r="I879" t="s">
        <v>2903</v>
      </c>
      <c r="J879">
        <f>VLOOKUP(F879,[1]!china_towns_second__2[[Column1]:[Y]],3,FALSE)</f>
        <v>30.445273967084301</v>
      </c>
      <c r="K879">
        <f>VLOOKUP(F879,[1]!china_towns_second__2[[Column1]:[Y]],2,FALSE)</f>
        <v>120.0973559</v>
      </c>
      <c r="L879" t="s">
        <v>4513</v>
      </c>
      <c r="M879" t="str">
        <f>VLOOKUP(H879,CHOOSE({1,2},Table12[Native],Table12[Name]),2,0)</f>
        <v>Yúháng Qū</v>
      </c>
      <c r="N879" s="15" t="str">
        <f>VLOOKUP(I879,CHOOSE({1,2},Table12[Native],Table12[Name]),2,0)</f>
        <v>Hángzhōu Shì</v>
      </c>
      <c r="O879" s="15" t="str">
        <f t="shared" si="26"/>
        <v>Renhe Jiedao (Hángzhōu Shì)</v>
      </c>
      <c r="P879" s="15" t="str">
        <f t="shared" si="27"/>
        <v>Renhe Jiedao (Hángzhōu Shì)</v>
      </c>
    </row>
    <row r="880" spans="1:16" hidden="1" x14ac:dyDescent="0.25">
      <c r="A880" t="s">
        <v>499</v>
      </c>
      <c r="B880" t="str">
        <f>IF(COUNTIF(A:A,A880)&gt;1,_xlfn.CONCAT(A880," (",N880,")"),A880)</f>
        <v>Rénhuángshān Jiēdào</v>
      </c>
      <c r="C880" t="str">
        <f>IF(COUNTIF(B:B,B880)&gt;1,_xlfn.CONCAT(A880," (",M880,")"),B880)</f>
        <v>Rénhuángshān Jiēdào</v>
      </c>
      <c r="D880" t="s">
        <v>500</v>
      </c>
      <c r="E880" t="s">
        <v>15</v>
      </c>
      <c r="F880" t="str">
        <f>_xlfn.CONCAT(D880,", ",H880,", ",I880,", ","浙江省")</f>
        <v>仁皇山街道, 吴兴区, 湖州市, 浙江省</v>
      </c>
      <c r="G880">
        <v>30888</v>
      </c>
      <c r="H880" t="s">
        <v>2927</v>
      </c>
      <c r="I880" t="s">
        <v>2922</v>
      </c>
      <c r="J880">
        <f>VLOOKUP(F880,[1]!china_towns_second__2[[Column1]:[Y]],3,FALSE)</f>
        <v>30.911914908246001</v>
      </c>
      <c r="K880">
        <f>VLOOKUP(F880,[1]!china_towns_second__2[[Column1]:[Y]],2,FALSE)</f>
        <v>120.0786488</v>
      </c>
      <c r="L880" t="s">
        <v>4514</v>
      </c>
      <c r="M880" t="str">
        <f>VLOOKUP(H880,CHOOSE({1,2},Table12[Native],Table12[Name]),2,0)</f>
        <v>Wúxīng Qū</v>
      </c>
      <c r="N880" s="15" t="str">
        <f>VLOOKUP(I880,CHOOSE({1,2},Table12[Native],Table12[Name]),2,0)</f>
        <v>Húzhōu Shì</v>
      </c>
      <c r="O880" s="15" t="str">
        <f t="shared" si="26"/>
        <v>Renhuangshan Jiedao (Húzhōu Shì)</v>
      </c>
      <c r="P880" s="15" t="str">
        <f t="shared" si="27"/>
        <v>Renhuangshan Jiedao (Húzhōu Shì)</v>
      </c>
    </row>
    <row r="881" spans="1:16" hidden="1" x14ac:dyDescent="0.25">
      <c r="A881" t="s">
        <v>1191</v>
      </c>
      <c r="B881" t="str">
        <f>IF(COUNTIF(A:A,A881)&gt;1,_xlfn.CONCAT(A881," (",N881,")"),A881)</f>
        <v>Rénzhuāng Zhèn</v>
      </c>
      <c r="C881" t="str">
        <f>IF(COUNTIF(B:B,B881)&gt;1,_xlfn.CONCAT(A881," (",M881,")"),B881)</f>
        <v>Rénzhuāng Zhèn</v>
      </c>
      <c r="D881" t="s">
        <v>1192</v>
      </c>
      <c r="E881" t="s">
        <v>11</v>
      </c>
      <c r="F881" t="str">
        <f>_xlfn.CONCAT(D881,", ",H881,", ",I881,", ","浙江省")</f>
        <v>仁庄镇, 青田县, 丽水市, 浙江省</v>
      </c>
      <c r="G881">
        <v>5432</v>
      </c>
      <c r="H881" t="s">
        <v>2955</v>
      </c>
      <c r="I881" t="s">
        <v>2949</v>
      </c>
      <c r="J881">
        <f>VLOOKUP(F881,[1]!china_towns_second__2[[Column1]:[Y]],3,FALSE)</f>
        <v>28.030673098446702</v>
      </c>
      <c r="K881">
        <f>VLOOKUP(F881,[1]!china_towns_second__2[[Column1]:[Y]],2,FALSE)</f>
        <v>120.23535750000001</v>
      </c>
      <c r="L881" t="s">
        <v>4515</v>
      </c>
      <c r="M881" t="str">
        <f>VLOOKUP(H881,CHOOSE({1,2},Table12[Native],Table12[Name]),2,0)</f>
        <v>Qīngtián Xiàn</v>
      </c>
      <c r="N881" s="15" t="str">
        <f>VLOOKUP(I881,CHOOSE({1,2},Table12[Native],Table12[Name]),2,0)</f>
        <v>Lìshuĭ Shì</v>
      </c>
      <c r="O881" s="15" t="str">
        <f t="shared" si="26"/>
        <v>Renzhuang Zhen (Lìshuĭ Shì)</v>
      </c>
      <c r="P881" s="15" t="str">
        <f t="shared" si="27"/>
        <v>Renzhuang Zhen (Lìshuĭ Shì)</v>
      </c>
    </row>
    <row r="882" spans="1:16" hidden="1" x14ac:dyDescent="0.25">
      <c r="A882" t="s">
        <v>1193</v>
      </c>
      <c r="B882" t="str">
        <f>IF(COUNTIF(A:A,A882)&gt;1,_xlfn.CONCAT(A882," (",N882,")"),A882)</f>
        <v>Róngjiāng Xiāng</v>
      </c>
      <c r="C882" t="str">
        <f>IF(COUNTIF(B:B,B882)&gt;1,_xlfn.CONCAT(A882," (",M882,")"),B882)</f>
        <v>Róngjiāng Xiāng</v>
      </c>
      <c r="D882" t="s">
        <v>1194</v>
      </c>
      <c r="E882" t="s">
        <v>7</v>
      </c>
      <c r="F882" t="str">
        <f>_xlfn.CONCAT(D882,", ",H882,", ",I882,", ","浙江省")</f>
        <v>溶江乡, 缙云县, 丽水市, 浙江省</v>
      </c>
      <c r="G882">
        <v>6971</v>
      </c>
      <c r="H882" t="s">
        <v>2952</v>
      </c>
      <c r="I882" t="s">
        <v>2949</v>
      </c>
      <c r="J882" t="e">
        <f>VLOOKUP(F882,[1]!china_towns_second__2[[Column1]:[Y]],3,FALSE)</f>
        <v>#N/A</v>
      </c>
      <c r="K882" t="e">
        <f>VLOOKUP(F882,[1]!china_towns_second__2[[Column1]:[Y]],2,FALSE)</f>
        <v>#N/A</v>
      </c>
      <c r="L882" t="s">
        <v>4516</v>
      </c>
      <c r="M882" t="str">
        <f>VLOOKUP(H882,CHOOSE({1,2},Table12[Native],Table12[Name]),2,0)</f>
        <v>Jìnyún Xiàn</v>
      </c>
      <c r="N882" s="15" t="str">
        <f>VLOOKUP(I882,CHOOSE({1,2},Table12[Native],Table12[Name]),2,0)</f>
        <v>Lìshuĭ Shì</v>
      </c>
      <c r="O882" s="15" t="str">
        <f t="shared" si="26"/>
        <v>Rongjiang Xiang (Lìshuĭ Shì)</v>
      </c>
      <c r="P882" s="15" t="str">
        <f t="shared" si="27"/>
        <v>Rongjiang Xiang (Lìshuĭ Shì)</v>
      </c>
    </row>
    <row r="883" spans="1:16" hidden="1" x14ac:dyDescent="0.25">
      <c r="A883" t="s">
        <v>1968</v>
      </c>
      <c r="B883" t="str">
        <f>IF(COUNTIF(A:A,A883)&gt;1,_xlfn.CONCAT(A883," (",N883,")"),A883)</f>
        <v>Rú'ào Zhèn</v>
      </c>
      <c r="C883" t="str">
        <f>IF(COUNTIF(B:B,B883)&gt;1,_xlfn.CONCAT(A883," (",M883,")"),B883)</f>
        <v>Rú'ào Zhèn</v>
      </c>
      <c r="D883" t="s">
        <v>1969</v>
      </c>
      <c r="E883" t="s">
        <v>11</v>
      </c>
      <c r="F883" t="str">
        <f>_xlfn.CONCAT(D883,", ",H883,", ",I883,", ","浙江省")</f>
        <v>儒岙镇, 新昌县, 绍兴市, 浙江省</v>
      </c>
      <c r="G883">
        <v>24530</v>
      </c>
      <c r="H883" t="s">
        <v>2985</v>
      </c>
      <c r="I883" t="s">
        <v>2981</v>
      </c>
      <c r="J883">
        <f>VLOOKUP(F883,[1]!china_towns_second__2[[Column1]:[Y]],3,FALSE)</f>
        <v>29.335667593455401</v>
      </c>
      <c r="K883">
        <f>VLOOKUP(F883,[1]!china_towns_second__2[[Column1]:[Y]],2,FALSE)</f>
        <v>120.9375441</v>
      </c>
      <c r="L883" t="s">
        <v>4517</v>
      </c>
      <c r="M883" t="str">
        <f>VLOOKUP(H883,CHOOSE({1,2},Table12[Native],Table12[Name]),2,0)</f>
        <v>Xīnchāng Xiàn</v>
      </c>
      <c r="N883" s="15" t="str">
        <f>VLOOKUP(I883,CHOOSE({1,2},Table12[Native],Table12[Name]),2,0)</f>
        <v>Shàoxīng Shì</v>
      </c>
      <c r="O883" s="15" t="str">
        <f t="shared" si="26"/>
        <v>Ru'ao Zhen (Shàoxīng Shì)</v>
      </c>
      <c r="P883" s="15" t="str">
        <f t="shared" si="27"/>
        <v>Ru'ao Zhen (Shàoxīng Shì)</v>
      </c>
    </row>
    <row r="884" spans="1:16" hidden="1" x14ac:dyDescent="0.25">
      <c r="A884" t="s">
        <v>2181</v>
      </c>
      <c r="B884" t="str">
        <f>IF(COUNTIF(A:A,A884)&gt;1,_xlfn.CONCAT(A884," (",N884,")"),A884)</f>
        <v>Ruòhéng Zhèn</v>
      </c>
      <c r="C884" t="str">
        <f>IF(COUNTIF(B:B,B884)&gt;1,_xlfn.CONCAT(A884," (",M884,")"),B884)</f>
        <v>Ruòhéng Zhèn</v>
      </c>
      <c r="D884" t="s">
        <v>2182</v>
      </c>
      <c r="E884" t="s">
        <v>11</v>
      </c>
      <c r="F884" t="str">
        <f>_xlfn.CONCAT(D884,", ",H884,", ",I884,", ","浙江省")</f>
        <v>箬横镇, 温岭市, 台州市, 浙江省</v>
      </c>
      <c r="G884">
        <v>111652</v>
      </c>
      <c r="H884" t="s">
        <v>2996</v>
      </c>
      <c r="I884" t="s">
        <v>2989</v>
      </c>
      <c r="J884">
        <f>VLOOKUP(F884,[1]!china_towns_second__2[[Column1]:[Y]],3,FALSE)</f>
        <v>28.381621385613499</v>
      </c>
      <c r="K884">
        <f>VLOOKUP(F884,[1]!china_towns_second__2[[Column1]:[Y]],2,FALSE)</f>
        <v>121.5141433</v>
      </c>
      <c r="L884" t="s">
        <v>4518</v>
      </c>
      <c r="M884" t="str">
        <f>VLOOKUP(H884,CHOOSE({1,2},Table12[Native],Table12[Name]),2,0)</f>
        <v>Wēnlĭng Shì</v>
      </c>
      <c r="N884" s="15" t="str">
        <f>VLOOKUP(I884,CHOOSE({1,2},Table12[Native],Table12[Name]),2,0)</f>
        <v>Táizhōu Shì</v>
      </c>
      <c r="O884" s="15" t="str">
        <f t="shared" si="26"/>
        <v>Ruoheng Zhen (Táizhōu Shì)</v>
      </c>
      <c r="P884" s="15" t="str">
        <f t="shared" si="27"/>
        <v>Ruoheng Zhen (Táizhōu Shì)</v>
      </c>
    </row>
    <row r="885" spans="1:16" hidden="1" x14ac:dyDescent="0.25">
      <c r="A885" t="s">
        <v>879</v>
      </c>
      <c r="B885" t="str">
        <f>IF(COUNTIF(A:A,A885)&gt;1,_xlfn.CONCAT(A885," (",N885,")"),A885)</f>
        <v>Ruòyáng Xiāng</v>
      </c>
      <c r="C885" t="str">
        <f>IF(COUNTIF(B:B,B885)&gt;1,_xlfn.CONCAT(A885," (",M885,")"),B885)</f>
        <v>Ruòyáng Xiāng</v>
      </c>
      <c r="D885" t="s">
        <v>880</v>
      </c>
      <c r="E885" t="s">
        <v>7</v>
      </c>
      <c r="F885" t="str">
        <f>_xlfn.CONCAT(D885,", ",H885,", ",I885,", ","浙江省")</f>
        <v>箬阳乡, 婺城区, 金华市, 浙江省</v>
      </c>
      <c r="G885">
        <v>2124</v>
      </c>
      <c r="H885" t="s">
        <v>2944</v>
      </c>
      <c r="I885" t="s">
        <v>2938</v>
      </c>
      <c r="J885" t="e">
        <f>VLOOKUP(F885,[1]!china_towns_second__2[[Column1]:[Y]],3,FALSE)</f>
        <v>#N/A</v>
      </c>
      <c r="K885" t="e">
        <f>VLOOKUP(F885,[1]!china_towns_second__2[[Column1]:[Y]],2,FALSE)</f>
        <v>#N/A</v>
      </c>
      <c r="L885" t="s">
        <v>4519</v>
      </c>
      <c r="M885" t="str">
        <f>VLOOKUP(H885,CHOOSE({1,2},Table12[Native],Table12[Name]),2,0)</f>
        <v>Wùchéng Qū</v>
      </c>
      <c r="N885" s="15" t="str">
        <f>VLOOKUP(I885,CHOOSE({1,2},Table12[Native],Table12[Name]),2,0)</f>
        <v>Jīnhuá Shì</v>
      </c>
      <c r="O885" s="15" t="str">
        <f t="shared" si="26"/>
        <v>Ruoyang Xiang (Jīnhuá Shì)</v>
      </c>
      <c r="P885" s="15" t="str">
        <f t="shared" si="27"/>
        <v>Ruoyang Xiang (Jīnhuá Shì)</v>
      </c>
    </row>
    <row r="886" spans="1:16" hidden="1" x14ac:dyDescent="0.25">
      <c r="A886" t="s">
        <v>881</v>
      </c>
      <c r="B886" t="str">
        <f>IF(COUNTIF(A:A,A886)&gt;1,_xlfn.CONCAT(A886," (",N886,")"),A886)</f>
        <v>Sāndān Xiāng</v>
      </c>
      <c r="C886" t="str">
        <f>IF(COUNTIF(B:B,B886)&gt;1,_xlfn.CONCAT(A886," (",M886,")"),B886)</f>
        <v>Sāndān Xiāng</v>
      </c>
      <c r="D886" t="s">
        <v>882</v>
      </c>
      <c r="E886" t="s">
        <v>7</v>
      </c>
      <c r="F886" t="str">
        <f>_xlfn.CONCAT(D886,", ",H886,", ",I886,", ","浙江省")</f>
        <v>三单乡, 东阳市, 金华市, 浙江省</v>
      </c>
      <c r="G886">
        <v>8017</v>
      </c>
      <c r="H886" t="s">
        <v>2939</v>
      </c>
      <c r="I886" t="s">
        <v>2938</v>
      </c>
      <c r="J886" t="e">
        <f>VLOOKUP(F886,[1]!china_towns_second__2[[Column1]:[Y]],3,FALSE)</f>
        <v>#N/A</v>
      </c>
      <c r="K886" t="e">
        <f>VLOOKUP(F886,[1]!china_towns_second__2[[Column1]:[Y]],2,FALSE)</f>
        <v>#N/A</v>
      </c>
      <c r="L886" t="s">
        <v>4520</v>
      </c>
      <c r="M886" t="str">
        <f>VLOOKUP(H886,CHOOSE({1,2},Table12[Native],Table12[Name]),2,0)</f>
        <v>Dōngyáng Shì</v>
      </c>
      <c r="N886" s="15" t="str">
        <f>VLOOKUP(I886,CHOOSE({1,2},Table12[Native],Table12[Name]),2,0)</f>
        <v>Jīnhuá Shì</v>
      </c>
      <c r="O886" s="15" t="str">
        <f t="shared" si="26"/>
        <v>Sandan Xiang (Jīnhuá Shì)</v>
      </c>
      <c r="P886" s="15" t="str">
        <f t="shared" si="27"/>
        <v>Sandan Xiang (Jīnhuá Shì)</v>
      </c>
    </row>
    <row r="887" spans="1:16" hidden="1" x14ac:dyDescent="0.25">
      <c r="A887" t="s">
        <v>1195</v>
      </c>
      <c r="B887" t="str">
        <f>IF(COUNTIF(A:A,A887)&gt;1,_xlfn.CONCAT(A887," (",N887,")"),A887)</f>
        <v>Sāndū Xiāng</v>
      </c>
      <c r="C887" t="str">
        <f>IF(COUNTIF(B:B,B887)&gt;1,_xlfn.CONCAT(A887," (",M887,")"),B887)</f>
        <v>Sāndū Xiāng</v>
      </c>
      <c r="D887" t="s">
        <v>1196</v>
      </c>
      <c r="E887" t="s">
        <v>7</v>
      </c>
      <c r="F887" t="str">
        <f>_xlfn.CONCAT(D887,", ",H887,", ",I887,", ","浙江省")</f>
        <v>三都乡, 松阳县, 丽水市, 浙江省</v>
      </c>
      <c r="G887">
        <v>2496</v>
      </c>
      <c r="H887" t="s">
        <v>2957</v>
      </c>
      <c r="I887" t="s">
        <v>2949</v>
      </c>
      <c r="J887" t="e">
        <f>VLOOKUP(F887,[1]!china_towns_second__2[[Column1]:[Y]],3,FALSE)</f>
        <v>#N/A</v>
      </c>
      <c r="K887" t="e">
        <f>VLOOKUP(F887,[1]!china_towns_second__2[[Column1]:[Y]],2,FALSE)</f>
        <v>#N/A</v>
      </c>
      <c r="L887" t="s">
        <v>4521</v>
      </c>
      <c r="M887" t="str">
        <f>VLOOKUP(H887,CHOOSE({1,2},Table12[Native],Table12[Name]),2,0)</f>
        <v>Sōngyáng Xiàn</v>
      </c>
      <c r="N887" s="15" t="str">
        <f>VLOOKUP(I887,CHOOSE({1,2},Table12[Native],Table12[Name]),2,0)</f>
        <v>Lìshuĭ Shì</v>
      </c>
      <c r="O887" s="15" t="str">
        <f t="shared" si="26"/>
        <v>Sandu Xiang (Lìshuĭ Shì)</v>
      </c>
      <c r="P887" s="15" t="str">
        <f t="shared" si="27"/>
        <v>Sandu Xiang (Lìshuĭ Shì)</v>
      </c>
    </row>
    <row r="888" spans="1:16" hidden="1" x14ac:dyDescent="0.25">
      <c r="A888" t="s">
        <v>272</v>
      </c>
      <c r="B888" t="str">
        <f>IF(COUNTIF(A:A,A888)&gt;1,_xlfn.CONCAT(A888," (",N888,")"),A888)</f>
        <v>Sāndū Zhèn</v>
      </c>
      <c r="C888" t="str">
        <f>IF(COUNTIF(B:B,B888)&gt;1,_xlfn.CONCAT(A888," (",M888,")"),B888)</f>
        <v>Sāndū Zhèn</v>
      </c>
      <c r="D888" t="s">
        <v>273</v>
      </c>
      <c r="E888" t="s">
        <v>11</v>
      </c>
      <c r="F888" t="str">
        <f>_xlfn.CONCAT(D888,", ",H888,", ",I888,", ","浙江省")</f>
        <v>三都镇, 建德市, 杭州市, 浙江省</v>
      </c>
      <c r="G888">
        <v>18356</v>
      </c>
      <c r="H888" t="s">
        <v>2910</v>
      </c>
      <c r="I888" t="s">
        <v>2903</v>
      </c>
      <c r="J888">
        <f>VLOOKUP(F888,[1]!china_towns_second__2[[Column1]:[Y]],3,FALSE)</f>
        <v>29.513564767503699</v>
      </c>
      <c r="K888">
        <f>VLOOKUP(F888,[1]!china_towns_second__2[[Column1]:[Y]],2,FALSE)</f>
        <v>119.6335777</v>
      </c>
      <c r="L888" t="s">
        <v>4522</v>
      </c>
      <c r="M888" t="str">
        <f>VLOOKUP(H888,CHOOSE({1,2},Table12[Native],Table12[Name]),2,0)</f>
        <v>Jiàndé Shì</v>
      </c>
      <c r="N888" s="15" t="str">
        <f>VLOOKUP(I888,CHOOSE({1,2},Table12[Native],Table12[Name]),2,0)</f>
        <v>Hángzhōu Shì</v>
      </c>
      <c r="O888" s="15" t="str">
        <f t="shared" si="26"/>
        <v>Sandu Zhen (Hángzhōu Shì)</v>
      </c>
      <c r="P888" s="15" t="str">
        <f t="shared" si="27"/>
        <v>Sandu Zhen (Hángzhōu Shì)</v>
      </c>
    </row>
    <row r="889" spans="1:16" hidden="1" x14ac:dyDescent="0.25">
      <c r="A889" t="s">
        <v>270</v>
      </c>
      <c r="B889" t="str">
        <f>IF(COUNTIF(A:A,A889)&gt;1,_xlfn.CONCAT(A889," (",N889,")"),A889)</f>
        <v>Sāndūn Zhèn</v>
      </c>
      <c r="C889" t="str">
        <f>IF(COUNTIF(B:B,B889)&gt;1,_xlfn.CONCAT(A889," (",M889,")"),B889)</f>
        <v>Sāndūn Zhèn</v>
      </c>
      <c r="D889" t="s">
        <v>271</v>
      </c>
      <c r="E889" t="s">
        <v>11</v>
      </c>
      <c r="F889" t="str">
        <f>_xlfn.CONCAT(D889,", ",H889,", ",I889,", ","浙江省")</f>
        <v>三墩镇, 西湖区, 杭州市, 浙江省</v>
      </c>
      <c r="G889">
        <v>132631</v>
      </c>
      <c r="H889" t="s">
        <v>2918</v>
      </c>
      <c r="I889" t="s">
        <v>2903</v>
      </c>
      <c r="J889">
        <f>VLOOKUP(F889,[1]!china_towns_second__2[[Column1]:[Y]],3,FALSE)</f>
        <v>30.324330932456899</v>
      </c>
      <c r="K889">
        <f>VLOOKUP(F889,[1]!china_towns_second__2[[Column1]:[Y]],2,FALSE)</f>
        <v>120.0559059</v>
      </c>
      <c r="L889" t="s">
        <v>4523</v>
      </c>
      <c r="M889" t="str">
        <f>VLOOKUP(H889,CHOOSE({1,2},Table12[Native],Table12[Name]),2,0)</f>
        <v>Xīhú Qū</v>
      </c>
      <c r="N889" s="15" t="str">
        <f>VLOOKUP(I889,CHOOSE({1,2},Table12[Native],Table12[Name]),2,0)</f>
        <v>Hángzhōu Shì</v>
      </c>
      <c r="O889" s="15" t="str">
        <f t="shared" si="26"/>
        <v>Sandun Zhen (Hángzhōu Shì)</v>
      </c>
      <c r="P889" s="15" t="str">
        <f t="shared" si="27"/>
        <v>Sandun Zhen (Hángzhōu Shì)</v>
      </c>
    </row>
    <row r="890" spans="1:16" hidden="1" x14ac:dyDescent="0.25">
      <c r="A890" t="s">
        <v>883</v>
      </c>
      <c r="B890" t="str">
        <f>IF(COUNTIF(A:A,A890)&gt;1,_xlfn.CONCAT(A890," (",N890,")"),A890)</f>
        <v>Sāngăng Xiāng</v>
      </c>
      <c r="C890" t="str">
        <f>IF(COUNTIF(B:B,B890)&gt;1,_xlfn.CONCAT(A890," (",M890,")"),B890)</f>
        <v>Sāngăng Xiāng</v>
      </c>
      <c r="D890" t="s">
        <v>884</v>
      </c>
      <c r="E890" t="s">
        <v>7</v>
      </c>
      <c r="F890" t="str">
        <f>_xlfn.CONCAT(D890,", ",H890,", ",I890,", ","浙江省")</f>
        <v>三港乡, 武义县, 金华市, 浙江省</v>
      </c>
      <c r="G890">
        <v>2076</v>
      </c>
      <c r="H890" t="s">
        <v>2945</v>
      </c>
      <c r="I890" t="s">
        <v>2938</v>
      </c>
      <c r="J890" t="e">
        <f>VLOOKUP(F890,[1]!china_towns_second__2[[Column1]:[Y]],3,FALSE)</f>
        <v>#N/A</v>
      </c>
      <c r="K890" t="e">
        <f>VLOOKUP(F890,[1]!china_towns_second__2[[Column1]:[Y]],2,FALSE)</f>
        <v>#N/A</v>
      </c>
      <c r="L890" t="s">
        <v>4524</v>
      </c>
      <c r="M890" t="str">
        <f>VLOOKUP(H890,CHOOSE({1,2},Table12[Native],Table12[Name]),2,0)</f>
        <v>Wŭyì Xiàn</v>
      </c>
      <c r="N890" s="15" t="str">
        <f>VLOOKUP(I890,CHOOSE({1,2},Table12[Native],Table12[Name]),2,0)</f>
        <v>Jīnhuá Shì</v>
      </c>
      <c r="O890" s="15" t="str">
        <f t="shared" si="26"/>
        <v>Sangang Xiang (Jīnhuá Shì)</v>
      </c>
      <c r="P890" s="15" t="str">
        <f t="shared" si="27"/>
        <v>Sangang Xiang (Jīnhuá Shì)</v>
      </c>
    </row>
    <row r="891" spans="1:16" hidden="1" x14ac:dyDescent="0.25">
      <c r="A891" t="s">
        <v>1529</v>
      </c>
      <c r="B891" t="str">
        <f>IF(COUNTIF(A:A,A891)&gt;1,_xlfn.CONCAT(A891," (",N891,")"),A891)</f>
        <v>Sāngzhōu Zhèn</v>
      </c>
      <c r="C891" t="str">
        <f>IF(COUNTIF(B:B,B891)&gt;1,_xlfn.CONCAT(A891," (",M891,")"),B891)</f>
        <v>Sāngzhōu Zhèn</v>
      </c>
      <c r="D891" t="s">
        <v>1530</v>
      </c>
      <c r="E891" t="s">
        <v>11</v>
      </c>
      <c r="F891" t="str">
        <f>_xlfn.CONCAT(D891,", ",H891,", ",I891,", ","浙江省")</f>
        <v>桑洲镇, 宁海县, 宁波市, 浙江省</v>
      </c>
      <c r="G891">
        <v>11140</v>
      </c>
      <c r="H891" t="s">
        <v>2967</v>
      </c>
      <c r="I891" t="s">
        <v>2961</v>
      </c>
      <c r="J891">
        <f>VLOOKUP(F891,[1]!china_towns_second__2[[Column1]:[Y]],3,FALSE)</f>
        <v>29.145741071701099</v>
      </c>
      <c r="K891">
        <f>VLOOKUP(F891,[1]!china_towns_second__2[[Column1]:[Y]],2,FALSE)</f>
        <v>121.30359919999999</v>
      </c>
      <c r="L891" t="s">
        <v>4525</v>
      </c>
      <c r="M891" t="str">
        <f>VLOOKUP(H891,CHOOSE({1,2},Table12[Native],Table12[Name]),2,0)</f>
        <v>Nínghăi Xiàn</v>
      </c>
      <c r="N891" s="15" t="str">
        <f>VLOOKUP(I891,CHOOSE({1,2},Table12[Native],Table12[Name]),2,0)</f>
        <v>Níngbō Shì</v>
      </c>
      <c r="O891" s="15" t="str">
        <f t="shared" si="26"/>
        <v>Sangzhou Zhen (Níngbō Shì)</v>
      </c>
      <c r="P891" s="15" t="str">
        <f t="shared" si="27"/>
        <v>Sangzhou Zhen (Níngbō Shì)</v>
      </c>
    </row>
    <row r="892" spans="1:16" hidden="1" x14ac:dyDescent="0.25">
      <c r="A892" t="s">
        <v>2183</v>
      </c>
      <c r="B892" t="str">
        <f>IF(COUNTIF(A:A,A892)&gt;1,_xlfn.CONCAT(A892," (",N892,")"),A892)</f>
        <v>Sānhé Zhèn</v>
      </c>
      <c r="C892" t="str">
        <f>IF(COUNTIF(B:B,B892)&gt;1,_xlfn.CONCAT(A892," (",M892,")"),B892)</f>
        <v>Sānhé Zhèn</v>
      </c>
      <c r="D892" t="s">
        <v>2184</v>
      </c>
      <c r="E892" t="s">
        <v>11</v>
      </c>
      <c r="F892" t="str">
        <f>_xlfn.CONCAT(D892,", ",H892,", ",I892,", ","浙江省")</f>
        <v>三合镇, 天台县, 台州市, 浙江省</v>
      </c>
      <c r="G892">
        <v>19177</v>
      </c>
      <c r="H892" t="s">
        <v>2995</v>
      </c>
      <c r="I892" t="s">
        <v>2989</v>
      </c>
      <c r="J892">
        <f>VLOOKUP(F892,[1]!china_towns_second__2[[Column1]:[Y]],3,FALSE)</f>
        <v>29.085910423787801</v>
      </c>
      <c r="K892">
        <f>VLOOKUP(F892,[1]!china_towns_second__2[[Column1]:[Y]],2,FALSE)</f>
        <v>121.15485820000001</v>
      </c>
      <c r="L892" t="s">
        <v>4526</v>
      </c>
      <c r="M892" t="str">
        <f>VLOOKUP(H892,CHOOSE({1,2},Table12[Native],Table12[Name]),2,0)</f>
        <v>Tiāntái Xiàn</v>
      </c>
      <c r="N892" s="15" t="str">
        <f>VLOOKUP(I892,CHOOSE({1,2},Table12[Native],Table12[Name]),2,0)</f>
        <v>Táizhōu Shì</v>
      </c>
      <c r="O892" s="15" t="str">
        <f t="shared" si="26"/>
        <v>Sanhe Zhen (Táizhōu Shì)</v>
      </c>
      <c r="P892" s="15" t="str">
        <f t="shared" si="27"/>
        <v>Sanhe Zhen (Táizhōu Shì)</v>
      </c>
    </row>
    <row r="893" spans="1:16" hidden="1" x14ac:dyDescent="0.25">
      <c r="A893" t="s">
        <v>2185</v>
      </c>
      <c r="B893" t="str">
        <f>IF(COUNTIF(A:A,A893)&gt;1,_xlfn.CONCAT(A893," (",N893,")"),A893)</f>
        <v>Sānjiă Jiēdào [incl. Bīnhǎi Qōngyè Qū]</v>
      </c>
      <c r="C893" t="str">
        <f>IF(COUNTIF(B:B,B893)&gt;1,_xlfn.CONCAT(A893," (",M893,")"),B893)</f>
        <v>Sānjiă Jiēdào [incl. Bīnhǎi Qōngyè Qū]</v>
      </c>
      <c r="D893" t="s">
        <v>2186</v>
      </c>
      <c r="E893" t="s">
        <v>15</v>
      </c>
      <c r="F893" t="str">
        <f>_xlfn.CONCAT(D893,", ",H893,", ",I893,", ","浙江省")</f>
        <v>三甲街道, 椒江区, 台州市, 浙江省</v>
      </c>
      <c r="G893">
        <v>62463</v>
      </c>
      <c r="H893" t="s">
        <v>2991</v>
      </c>
      <c r="I893" t="s">
        <v>2989</v>
      </c>
      <c r="J893">
        <f>VLOOKUP(F893,[1]!china_towns_second__2[[Column1]:[Y]],3,FALSE)</f>
        <v>28.624404890052901</v>
      </c>
      <c r="K893">
        <f>VLOOKUP(F893,[1]!china_towns_second__2[[Column1]:[Y]],2,FALSE)</f>
        <v>121.4988048</v>
      </c>
      <c r="L893" t="s">
        <v>4527</v>
      </c>
      <c r="M893" t="str">
        <f>VLOOKUP(H893,CHOOSE({1,2},Table12[Native],Table12[Name]),2,0)</f>
        <v>Jiāojiāng Qū</v>
      </c>
      <c r="N893" s="15" t="str">
        <f>VLOOKUP(I893,CHOOSE({1,2},Table12[Native],Table12[Name]),2,0)</f>
        <v>Táizhōu Shì</v>
      </c>
      <c r="O893" s="15" t="str">
        <f t="shared" si="26"/>
        <v>Sanjia Jiedao [incl. Binhai Qongye Qu] (Táizhōu Shì)</v>
      </c>
      <c r="P893" s="15" t="str">
        <f t="shared" si="27"/>
        <v>Sanjia Jiedao [incl. Binhai Qongye Qu] (Táizhōu Shì)</v>
      </c>
    </row>
    <row r="894" spans="1:16" hidden="1" x14ac:dyDescent="0.25">
      <c r="A894" t="s">
        <v>885</v>
      </c>
      <c r="B894" t="str">
        <f>IF(COUNTIF(A:A,A894)&gt;1,_xlfn.CONCAT(A894," (",N894,")"),A894)</f>
        <v>Sānjiāng Jiēdào (Jīnhuá Shì)</v>
      </c>
      <c r="C894" t="str">
        <f>IF(COUNTIF(B:B,B894)&gt;1,_xlfn.CONCAT(A894," (",M894,")"),B894)</f>
        <v>Sānjiāng Jiēdào (Jīnhuá Shì)</v>
      </c>
      <c r="D894" t="s">
        <v>886</v>
      </c>
      <c r="E894" t="s">
        <v>15</v>
      </c>
      <c r="F894" t="str">
        <f>_xlfn.CONCAT(D894,", ",H894,", ",I894,", ","浙江省")</f>
        <v>三江街道, 婺城区, 金华市, 浙江省</v>
      </c>
      <c r="G894">
        <v>103938</v>
      </c>
      <c r="H894" t="s">
        <v>2944</v>
      </c>
      <c r="I894" t="s">
        <v>2938</v>
      </c>
      <c r="J894">
        <f>VLOOKUP(F894,[1]!china_towns_second__2[[Column1]:[Y]],3,FALSE)</f>
        <v>29.075642638885501</v>
      </c>
      <c r="K894">
        <f>VLOOKUP(F894,[1]!china_towns_second__2[[Column1]:[Y]],2,FALSE)</f>
        <v>119.6558627</v>
      </c>
      <c r="L894" t="s">
        <v>4528</v>
      </c>
      <c r="M894" t="str">
        <f>VLOOKUP(H894,CHOOSE({1,2},Table12[Native],Table12[Name]),2,0)</f>
        <v>Wùchéng Qū</v>
      </c>
      <c r="N894" s="15" t="str">
        <f>VLOOKUP(I894,CHOOSE({1,2},Table12[Native],Table12[Name]),2,0)</f>
        <v>Jīnhuá Shì</v>
      </c>
      <c r="O894" s="15" t="str">
        <f t="shared" si="26"/>
        <v>Sanjiang Jiedao (Jinhua Shi) (Jīnhuá Shì)</v>
      </c>
      <c r="P894" s="15" t="str">
        <f t="shared" si="27"/>
        <v>Sanjiang Jiedao (Jinhua Shi) (Jīnhuá Shì)</v>
      </c>
    </row>
    <row r="895" spans="1:16" hidden="1" x14ac:dyDescent="0.25">
      <c r="A895" t="s">
        <v>885</v>
      </c>
      <c r="B895" t="str">
        <f>IF(COUNTIF(A:A,A895)&gt;1,_xlfn.CONCAT(A895," (",N895,")"),A895)</f>
        <v>Sānjiāng Jiēdào (Shàoxīng Shì)</v>
      </c>
      <c r="C895" t="str">
        <f>IF(COUNTIF(B:B,B895)&gt;1,_xlfn.CONCAT(A895," (",M895,")"),B895)</f>
        <v>Sānjiāng Jiēdào (Shàoxīng Shì)</v>
      </c>
      <c r="D895" t="s">
        <v>886</v>
      </c>
      <c r="E895" t="s">
        <v>15</v>
      </c>
      <c r="F895" t="str">
        <f>_xlfn.CONCAT(D895,", ",H895,", ",I895,", ","浙江省")</f>
        <v>三江街道, 嵊州市, 绍兴市, 浙江省</v>
      </c>
      <c r="G895">
        <v>65711</v>
      </c>
      <c r="H895" t="s">
        <v>2984</v>
      </c>
      <c r="I895" t="s">
        <v>2981</v>
      </c>
      <c r="J895">
        <f>VLOOKUP(F895,[1]!china_towns_second__2[[Column1]:[Y]],3,FALSE)</f>
        <v>29.5543279718942</v>
      </c>
      <c r="K895">
        <f>VLOOKUP(F895,[1]!china_towns_second__2[[Column1]:[Y]],2,FALSE)</f>
        <v>120.8296677</v>
      </c>
      <c r="L895" t="s">
        <v>4529</v>
      </c>
      <c r="M895" t="str">
        <f>VLOOKUP(H895,CHOOSE({1,2},Table12[Native],Table12[Name]),2,0)</f>
        <v>Shèngzhōu Shì</v>
      </c>
      <c r="N895" s="15" t="str">
        <f>VLOOKUP(I895,CHOOSE({1,2},Table12[Native],Table12[Name]),2,0)</f>
        <v>Shàoxīng Shì</v>
      </c>
      <c r="O895" s="15" t="str">
        <f t="shared" si="26"/>
        <v>Sanjiang Jiedao (Shaoxing Shi) (Shàoxīng Shì)</v>
      </c>
      <c r="P895" s="15" t="str">
        <f t="shared" si="27"/>
        <v>Sanjiang Jiedao (Shaoxing Shi) (Shàoxīng Shì)</v>
      </c>
    </row>
    <row r="896" spans="1:16" hidden="1" x14ac:dyDescent="0.25">
      <c r="A896" t="s">
        <v>1970</v>
      </c>
      <c r="B896" t="str">
        <f>IF(COUNTIF(A:A,A896)&gt;1,_xlfn.CONCAT(A896," (",N896,")"),A896)</f>
        <v>Sānjiè Zhèn</v>
      </c>
      <c r="C896" t="str">
        <f>IF(COUNTIF(B:B,B896)&gt;1,_xlfn.CONCAT(A896," (",M896,")"),B896)</f>
        <v>Sānjiè Zhèn</v>
      </c>
      <c r="D896" t="s">
        <v>1971</v>
      </c>
      <c r="E896" t="s">
        <v>11</v>
      </c>
      <c r="F896" t="str">
        <f>_xlfn.CONCAT(D896,", ",H896,", ",I896,", ","浙江省")</f>
        <v>三界镇, 嵊州市, 绍兴市, 浙江省</v>
      </c>
      <c r="G896">
        <v>38955</v>
      </c>
      <c r="H896" t="s">
        <v>2984</v>
      </c>
      <c r="I896" t="s">
        <v>2981</v>
      </c>
      <c r="J896">
        <f>VLOOKUP(F896,[1]!china_towns_second__2[[Column1]:[Y]],3,FALSE)</f>
        <v>29.756199639036499</v>
      </c>
      <c r="K896">
        <f>VLOOKUP(F896,[1]!china_towns_second__2[[Column1]:[Y]],2,FALSE)</f>
        <v>120.8044562</v>
      </c>
      <c r="L896" t="s">
        <v>4530</v>
      </c>
      <c r="M896" t="str">
        <f>VLOOKUP(H896,CHOOSE({1,2},Table12[Native],Table12[Name]),2,0)</f>
        <v>Shèngzhōu Shì</v>
      </c>
      <c r="N896" s="15" t="str">
        <f>VLOOKUP(I896,CHOOSE({1,2},Table12[Native],Table12[Name]),2,0)</f>
        <v>Shàoxīng Shì</v>
      </c>
      <c r="O896" s="15" t="str">
        <f t="shared" si="26"/>
        <v>Sanjie Zhen (Shàoxīng Shì)</v>
      </c>
      <c r="P896" s="15" t="str">
        <f t="shared" si="27"/>
        <v>Sanjie Zhen (Shàoxīng Shì)</v>
      </c>
    </row>
    <row r="897" spans="1:16" hidden="1" x14ac:dyDescent="0.25">
      <c r="A897" t="s">
        <v>2598</v>
      </c>
      <c r="B897" t="str">
        <f>IF(COUNTIF(A:A,A897)&gt;1,_xlfn.CONCAT(A897," (",N897,")"),A897)</f>
        <v>Sānkuí Zhèn</v>
      </c>
      <c r="C897" t="str">
        <f>IF(COUNTIF(B:B,B897)&gt;1,_xlfn.CONCAT(A897," (",M897,")"),B897)</f>
        <v>Sānkuí Zhèn</v>
      </c>
      <c r="D897" t="s">
        <v>2599</v>
      </c>
      <c r="E897" t="s">
        <v>11</v>
      </c>
      <c r="F897" t="str">
        <f>_xlfn.CONCAT(D897,", ",H897,", ",I897,", ","浙江省")</f>
        <v>三魁镇, 泰顺县, 温州市, 浙江省</v>
      </c>
      <c r="G897">
        <v>15593</v>
      </c>
      <c r="H897" t="s">
        <v>3008</v>
      </c>
      <c r="I897" t="s">
        <v>3000</v>
      </c>
      <c r="J897">
        <f>VLOOKUP(F897,[1]!china_towns_second__2[[Column1]:[Y]],3,FALSE)</f>
        <v>27.440394595549702</v>
      </c>
      <c r="K897">
        <f>VLOOKUP(F897,[1]!china_towns_second__2[[Column1]:[Y]],2,FALSE)</f>
        <v>119.8611178</v>
      </c>
      <c r="L897" t="s">
        <v>4531</v>
      </c>
      <c r="M897" t="str">
        <f>VLOOKUP(H897,CHOOSE({1,2},Table12[Native],Table12[Name]),2,0)</f>
        <v>Tàishùn Xiàn</v>
      </c>
      <c r="N897" s="15" t="str">
        <f>VLOOKUP(I897,CHOOSE({1,2},Table12[Native],Table12[Name]),2,0)</f>
        <v>Wēnzhōu Shì</v>
      </c>
      <c r="O897" s="15" t="str">
        <f t="shared" si="26"/>
        <v>Sankui Zhen (Wēnzhōu Shì)</v>
      </c>
      <c r="P897" s="15" t="str">
        <f t="shared" si="27"/>
        <v>Sankui Zhen (Wēnzhōu Shì)</v>
      </c>
    </row>
    <row r="898" spans="1:16" hidden="1" x14ac:dyDescent="0.25">
      <c r="A898" t="s">
        <v>1531</v>
      </c>
      <c r="B898" t="str">
        <f>IF(COUNTIF(A:A,A898)&gt;1,_xlfn.CONCAT(A898," (",N898,")"),A898)</f>
        <v>Sānqīshì Zhèn</v>
      </c>
      <c r="C898" t="str">
        <f>IF(COUNTIF(B:B,B898)&gt;1,_xlfn.CONCAT(A898," (",M898,")"),B898)</f>
        <v>Sānqīshì Zhèn</v>
      </c>
      <c r="D898" t="s">
        <v>1532</v>
      </c>
      <c r="E898" t="s">
        <v>11</v>
      </c>
      <c r="F898" t="str">
        <f>_xlfn.CONCAT(D898,", ",H898,", ",I898,", ","浙江省")</f>
        <v>三七市镇, 余姚市, 宁波市, 浙江省</v>
      </c>
      <c r="G898">
        <v>32752</v>
      </c>
      <c r="H898" t="s">
        <v>2970</v>
      </c>
      <c r="I898" t="s">
        <v>2961</v>
      </c>
      <c r="J898">
        <f>VLOOKUP(F898,[1]!china_towns_second__2[[Column1]:[Y]],3,FALSE)</f>
        <v>30.032515788072502</v>
      </c>
      <c r="K898">
        <f>VLOOKUP(F898,[1]!china_towns_second__2[[Column1]:[Y]],2,FALSE)</f>
        <v>121.35967410000001</v>
      </c>
      <c r="L898" t="s">
        <v>4532</v>
      </c>
      <c r="M898" t="str">
        <f>VLOOKUP(H898,CHOOSE({1,2},Table12[Native],Table12[Name]),2,0)</f>
        <v>Yúyáo Shì</v>
      </c>
      <c r="N898" s="15" t="str">
        <f>VLOOKUP(I898,CHOOSE({1,2},Table12[Native],Table12[Name]),2,0)</f>
        <v>Níngbō Shì</v>
      </c>
      <c r="O898" s="15" t="str">
        <f t="shared" ref="O898:O961" si="28">_xlfn.CONCAT(L898," (",N898,")")</f>
        <v>Sanqishi Zhen (Níngbō Shì)</v>
      </c>
      <c r="P898" s="15" t="str">
        <f t="shared" ref="P898:P961" si="29">IF(COUNTIF(O:O,O898)&gt;1,_xlfn.CONCAT(L898," (",M898,")"),O898)</f>
        <v>Sanqishi Zhen (Níngbō Shì)</v>
      </c>
    </row>
    <row r="899" spans="1:16" hidden="1" x14ac:dyDescent="0.25">
      <c r="A899" t="s">
        <v>1197</v>
      </c>
      <c r="B899" t="str">
        <f>IF(COUNTIF(A:A,A899)&gt;1,_xlfn.CONCAT(A899," (",N899,")"),A899)</f>
        <v>Sānrén Shēzú Xiāng</v>
      </c>
      <c r="C899" t="str">
        <f>IF(COUNTIF(B:B,B899)&gt;1,_xlfn.CONCAT(A899," (",M899,")"),B899)</f>
        <v>Sānrén Shēzú Xiāng</v>
      </c>
      <c r="D899" t="s">
        <v>1198</v>
      </c>
      <c r="E899" t="s">
        <v>7</v>
      </c>
      <c r="F899" t="str">
        <f>_xlfn.CONCAT(D899,", ",H899,", ",I899,", ","浙江省")</f>
        <v>三仁畲族乡, 遂昌县, 丽水市, 浙江省</v>
      </c>
      <c r="G899">
        <v>7079</v>
      </c>
      <c r="H899" t="s">
        <v>2958</v>
      </c>
      <c r="I899" t="s">
        <v>2949</v>
      </c>
      <c r="J899" t="e">
        <f>VLOOKUP(F899,[1]!china_towns_second__2[[Column1]:[Y]],3,FALSE)</f>
        <v>#N/A</v>
      </c>
      <c r="K899" t="e">
        <f>VLOOKUP(F899,[1]!china_towns_second__2[[Column1]:[Y]],2,FALSE)</f>
        <v>#N/A</v>
      </c>
      <c r="L899" t="s">
        <v>4533</v>
      </c>
      <c r="M899" t="str">
        <f>VLOOKUP(H899,CHOOSE({1,2},Table12[Native],Table12[Name]),2,0)</f>
        <v>Suìchāng Xiàn</v>
      </c>
      <c r="N899" s="15" t="str">
        <f>VLOOKUP(I899,CHOOSE({1,2},Table12[Native],Table12[Name]),2,0)</f>
        <v>Lìshuĭ Shì</v>
      </c>
      <c r="O899" s="15" t="str">
        <f t="shared" si="28"/>
        <v>Sanren Shezu Xiang (Lìshuĭ Shì)</v>
      </c>
      <c r="P899" s="15" t="str">
        <f t="shared" si="29"/>
        <v>Sanren Shezu Xiang (Lìshuĭ Shì)</v>
      </c>
    </row>
    <row r="900" spans="1:16" hidden="1" x14ac:dyDescent="0.25">
      <c r="A900" t="s">
        <v>1201</v>
      </c>
      <c r="B900" t="str">
        <f>IF(COUNTIF(A:A,A900)&gt;1,_xlfn.CONCAT(A900," (",N900,")"),A900)</f>
        <v>Sānxī Xiāng</v>
      </c>
      <c r="C900" t="str">
        <f>IF(COUNTIF(B:B,B900)&gt;1,_xlfn.CONCAT(A900," (",M900,")"),B900)</f>
        <v>Sānxī Xiāng</v>
      </c>
      <c r="D900" t="s">
        <v>1202</v>
      </c>
      <c r="E900" t="s">
        <v>7</v>
      </c>
      <c r="F900" t="str">
        <f>_xlfn.CONCAT(D900,", ",H900,", ",I900,", ","浙江省")</f>
        <v>三溪乡, 缙云县, 丽水市, 浙江省</v>
      </c>
      <c r="G900">
        <v>3514</v>
      </c>
      <c r="H900" t="s">
        <v>2952</v>
      </c>
      <c r="I900" t="s">
        <v>2949</v>
      </c>
      <c r="J900" t="e">
        <f>VLOOKUP(F900,[1]!china_towns_second__2[[Column1]:[Y]],3,FALSE)</f>
        <v>#N/A</v>
      </c>
      <c r="K900" t="e">
        <f>VLOOKUP(F900,[1]!china_towns_second__2[[Column1]:[Y]],2,FALSE)</f>
        <v>#N/A</v>
      </c>
      <c r="L900" t="s">
        <v>4534</v>
      </c>
      <c r="M900" t="str">
        <f>VLOOKUP(H900,CHOOSE({1,2},Table12[Native],Table12[Name]),2,0)</f>
        <v>Jìnyún Xiàn</v>
      </c>
      <c r="N900" s="15" t="str">
        <f>VLOOKUP(I900,CHOOSE({1,2},Table12[Native],Table12[Name]),2,0)</f>
        <v>Lìshuĭ Shì</v>
      </c>
      <c r="O900" s="15" t="str">
        <f t="shared" si="28"/>
        <v>Sanxi Xiang (Lìshuĭ Shì)</v>
      </c>
      <c r="P900" s="15" t="str">
        <f t="shared" si="29"/>
        <v>Sanxi Xiang (Lìshuĭ Shì)</v>
      </c>
    </row>
    <row r="901" spans="1:16" hidden="1" x14ac:dyDescent="0.25">
      <c r="A901" t="s">
        <v>1199</v>
      </c>
      <c r="B901" t="str">
        <f>IF(COUNTIF(A:A,A901)&gt;1,_xlfn.CONCAT(A901," (",N901,")"),A901)</f>
        <v>Sānxīkǒu Jiēdào [Shíxī Xiāng]</v>
      </c>
      <c r="C901" t="str">
        <f>IF(COUNTIF(B:B,B901)&gt;1,_xlfn.CONCAT(A901," (",M901,")"),B901)</f>
        <v>Sānxīkǒu Jiēdào [Shíxī Xiāng]</v>
      </c>
      <c r="D901" t="s">
        <v>1200</v>
      </c>
      <c r="E901" t="s">
        <v>15</v>
      </c>
      <c r="F901" t="str">
        <f>_xlfn.CONCAT(D901,", ",H901,", ",I901,", ","浙江省")</f>
        <v>三溪口街道, 青田县, 丽水市, 浙江省</v>
      </c>
      <c r="G901">
        <v>3151</v>
      </c>
      <c r="H901" t="s">
        <v>2955</v>
      </c>
      <c r="I901" t="s">
        <v>2949</v>
      </c>
      <c r="J901" t="e">
        <f>VLOOKUP(F901,[1]!china_towns_second__2[[Column1]:[Y]],3,FALSE)</f>
        <v>#N/A</v>
      </c>
      <c r="K901" t="e">
        <f>VLOOKUP(F901,[1]!china_towns_second__2[[Column1]:[Y]],2,FALSE)</f>
        <v>#N/A</v>
      </c>
      <c r="L901" t="s">
        <v>4535</v>
      </c>
      <c r="M901" t="str">
        <f>VLOOKUP(H901,CHOOSE({1,2},Table12[Native],Table12[Name]),2,0)</f>
        <v>Qīngtián Xiàn</v>
      </c>
      <c r="N901" s="15" t="str">
        <f>VLOOKUP(I901,CHOOSE({1,2},Table12[Native],Table12[Name]),2,0)</f>
        <v>Lìshuĭ Shì</v>
      </c>
      <c r="O901" s="15" t="str">
        <f t="shared" si="28"/>
        <v>Sanxikou Jiedao [Shixi Xiang] (Lìshuĭ Shì)</v>
      </c>
      <c r="P901" s="15" t="str">
        <f t="shared" si="29"/>
        <v>Sanxikou Jiedao [Shixi Xiang] (Lìshuĭ Shì)</v>
      </c>
    </row>
    <row r="902" spans="1:16" hidden="1" x14ac:dyDescent="0.25">
      <c r="A902" t="s">
        <v>2600</v>
      </c>
      <c r="B902" t="str">
        <f>IF(COUNTIF(A:A,A902)&gt;1,_xlfn.CONCAT(A902," (",N902,")"),A902)</f>
        <v>Sānyáng Jiēdào</v>
      </c>
      <c r="C902" t="str">
        <f>IF(COUNTIF(B:B,B902)&gt;1,_xlfn.CONCAT(A902," (",M902,")"),B902)</f>
        <v>Sānyáng Jiēdào</v>
      </c>
      <c r="D902" t="s">
        <v>2601</v>
      </c>
      <c r="E902" t="s">
        <v>15</v>
      </c>
      <c r="F902" t="str">
        <f>_xlfn.CONCAT(D902,", ",H902,", ",I902,", ","浙江省")</f>
        <v>三垟街道, 瓯海区, 温州市, 浙江省</v>
      </c>
      <c r="G902">
        <v>41705</v>
      </c>
      <c r="H902" t="s">
        <v>3005</v>
      </c>
      <c r="I902" t="s">
        <v>3000</v>
      </c>
      <c r="J902">
        <f>VLOOKUP(F902,[1]!china_towns_second__2[[Column1]:[Y]],3,FALSE)</f>
        <v>27.961581170850799</v>
      </c>
      <c r="K902">
        <f>VLOOKUP(F902,[1]!china_towns_second__2[[Column1]:[Y]],2,FALSE)</f>
        <v>120.7056094</v>
      </c>
      <c r="L902" t="s">
        <v>4536</v>
      </c>
      <c r="M902" t="str">
        <f>VLOOKUP(H902,CHOOSE({1,2},Table12[Native],Table12[Name]),2,0)</f>
        <v>Ōuhăi Qū</v>
      </c>
      <c r="N902" s="15" t="str">
        <f>VLOOKUP(I902,CHOOSE({1,2},Table12[Native],Table12[Name]),2,0)</f>
        <v>Wēnzhōu Shì</v>
      </c>
      <c r="O902" s="15" t="str">
        <f t="shared" si="28"/>
        <v>Sanyang Jiedao (Wēnzhōu Shì)</v>
      </c>
      <c r="P902" s="15" t="str">
        <f t="shared" si="29"/>
        <v>Sanyang Jiedao (Wēnzhōu Shì)</v>
      </c>
    </row>
    <row r="903" spans="1:16" hidden="1" x14ac:dyDescent="0.25">
      <c r="A903" t="s">
        <v>2187</v>
      </c>
      <c r="B903" t="str">
        <f>IF(COUNTIF(A:A,A903)&gt;1,_xlfn.CONCAT(A903," (",N903,")"),A903)</f>
        <v>Sānzhōu Xiāng</v>
      </c>
      <c r="C903" t="str">
        <f>IF(COUNTIF(B:B,B903)&gt;1,_xlfn.CONCAT(A903," (",M903,")"),B903)</f>
        <v>Sānzhōu Xiāng</v>
      </c>
      <c r="D903" t="s">
        <v>2188</v>
      </c>
      <c r="E903" t="s">
        <v>7</v>
      </c>
      <c r="F903" t="str">
        <f>_xlfn.CONCAT(D903,", ",H903,", ",I903,", ","浙江省")</f>
        <v>三州乡, 天台县, 台州市, 浙江省</v>
      </c>
      <c r="G903">
        <v>4649</v>
      </c>
      <c r="H903" t="s">
        <v>2995</v>
      </c>
      <c r="I903" t="s">
        <v>2989</v>
      </c>
      <c r="J903" t="e">
        <f>VLOOKUP(F903,[1]!china_towns_second__2[[Column1]:[Y]],3,FALSE)</f>
        <v>#N/A</v>
      </c>
      <c r="K903" t="e">
        <f>VLOOKUP(F903,[1]!china_towns_second__2[[Column1]:[Y]],2,FALSE)</f>
        <v>#N/A</v>
      </c>
      <c r="L903" t="s">
        <v>4537</v>
      </c>
      <c r="M903" t="str">
        <f>VLOOKUP(H903,CHOOSE({1,2},Table12[Native],Table12[Name]),2,0)</f>
        <v>Tiāntái Xiàn</v>
      </c>
      <c r="N903" s="15" t="str">
        <f>VLOOKUP(I903,CHOOSE({1,2},Table12[Native],Table12[Name]),2,0)</f>
        <v>Táizhōu Shì</v>
      </c>
      <c r="O903" s="15" t="str">
        <f t="shared" si="28"/>
        <v>Sanzhou Xiang (Táizhōu Shì)</v>
      </c>
      <c r="P903" s="15" t="str">
        <f t="shared" si="29"/>
        <v>Sanzhou Xiang (Táizhōu Shì)</v>
      </c>
    </row>
    <row r="904" spans="1:16" hidden="1" x14ac:dyDescent="0.25">
      <c r="A904" t="s">
        <v>2189</v>
      </c>
      <c r="B904" t="str">
        <f>IF(COUNTIF(A:A,A904)&gt;1,_xlfn.CONCAT(A904," (",N904,")"),A904)</f>
        <v>Shābù Zhèn</v>
      </c>
      <c r="C904" t="str">
        <f>IF(COUNTIF(B:B,B904)&gt;1,_xlfn.CONCAT(A904," (",M904,")"),B904)</f>
        <v>Shābù Zhèn</v>
      </c>
      <c r="D904" t="s">
        <v>2190</v>
      </c>
      <c r="E904" t="s">
        <v>11</v>
      </c>
      <c r="F904" t="str">
        <f>_xlfn.CONCAT(D904,", ",H904,", ",I904,", ","浙江省")</f>
        <v>沙埠镇, 黄岩区, 台州市, 浙江省</v>
      </c>
      <c r="G904">
        <v>20863</v>
      </c>
      <c r="H904" t="s">
        <v>2990</v>
      </c>
      <c r="I904" t="s">
        <v>2989</v>
      </c>
      <c r="J904">
        <f>VLOOKUP(F904,[1]!china_towns_second__2[[Column1]:[Y]],3,FALSE)</f>
        <v>28.555962923336999</v>
      </c>
      <c r="K904">
        <f>VLOOKUP(F904,[1]!china_towns_second__2[[Column1]:[Y]],2,FALSE)</f>
        <v>121.1697782</v>
      </c>
      <c r="L904" t="s">
        <v>4538</v>
      </c>
      <c r="M904" t="str">
        <f>VLOOKUP(H904,CHOOSE({1,2},Table12[Native],Table12[Name]),2,0)</f>
        <v>Huángyán Qū</v>
      </c>
      <c r="N904" s="15" t="str">
        <f>VLOOKUP(I904,CHOOSE({1,2},Table12[Native],Table12[Name]),2,0)</f>
        <v>Táizhōu Shì</v>
      </c>
      <c r="O904" s="15" t="str">
        <f t="shared" si="28"/>
        <v>Shabu Zhen (Táizhōu Shì)</v>
      </c>
      <c r="P904" s="15" t="str">
        <f t="shared" si="29"/>
        <v>Shabu Zhen (Táizhōu Shì)</v>
      </c>
    </row>
    <row r="905" spans="1:16" hidden="1" x14ac:dyDescent="0.25">
      <c r="A905" t="s">
        <v>2602</v>
      </c>
      <c r="B905" t="str">
        <f>IF(COUNTIF(A:A,A905)&gt;1,_xlfn.CONCAT(A905," (",N905,")"),A905)</f>
        <v>Shāchéng Jiēdào [incl. Xīnghǎi Jiēdào (parts)]</v>
      </c>
      <c r="C905" t="str">
        <f>IF(COUNTIF(B:B,B905)&gt;1,_xlfn.CONCAT(A905," (",M905,")"),B905)</f>
        <v>Shāchéng Jiēdào [incl. Xīnghǎi Jiēdào (parts)]</v>
      </c>
      <c r="D905" t="s">
        <v>2603</v>
      </c>
      <c r="E905" t="s">
        <v>15</v>
      </c>
      <c r="F905" t="str">
        <f>_xlfn.CONCAT(D905,", ",H905,", ",I905,", ","浙江省")</f>
        <v>沙城街道, 龙湾区, 温州市, 浙江省</v>
      </c>
      <c r="G905">
        <v>63041</v>
      </c>
      <c r="H905" t="s">
        <v>3003</v>
      </c>
      <c r="I905" t="s">
        <v>3000</v>
      </c>
      <c r="J905">
        <f>VLOOKUP(F905,[1]!china_towns_second__2[[Column1]:[Y]],3,FALSE)</f>
        <v>27.856430921261701</v>
      </c>
      <c r="K905">
        <f>VLOOKUP(F905,[1]!china_towns_second__2[[Column1]:[Y]],2,FALSE)</f>
        <v>120.81580750000001</v>
      </c>
      <c r="L905" t="s">
        <v>4539</v>
      </c>
      <c r="M905" t="str">
        <f>VLOOKUP(H905,CHOOSE({1,2},Table12[Native],Table12[Name]),2,0)</f>
        <v>Lóngwān Qū</v>
      </c>
      <c r="N905" s="15" t="str">
        <f>VLOOKUP(I905,CHOOSE({1,2},Table12[Native],Table12[Name]),2,0)</f>
        <v>Wēnzhōu Shì</v>
      </c>
      <c r="O905" s="15" t="str">
        <f t="shared" si="28"/>
        <v>Shacheng Jiedao [incl. Xinghai Jiedao (parts)] (Wēnzhōu Shì)</v>
      </c>
      <c r="P905" s="15" t="str">
        <f t="shared" si="29"/>
        <v>Shacheng Jiedao [incl. Xinghai Jiedao (parts)] (Wēnzhōu Shì)</v>
      </c>
    </row>
    <row r="906" spans="1:16" hidden="1" x14ac:dyDescent="0.25">
      <c r="A906" t="s">
        <v>887</v>
      </c>
      <c r="B906" t="str">
        <f>IF(COUNTIF(A:A,A906)&gt;1,_xlfn.CONCAT(A906," (",N906,")"),A906)</f>
        <v>Shāfàn Xiāng</v>
      </c>
      <c r="C906" t="str">
        <f>IF(COUNTIF(B:B,B906)&gt;1,_xlfn.CONCAT(A906," (",M906,")"),B906)</f>
        <v>Shāfàn Xiāng</v>
      </c>
      <c r="D906" t="s">
        <v>888</v>
      </c>
      <c r="E906" t="s">
        <v>7</v>
      </c>
      <c r="F906" t="str">
        <f>_xlfn.CONCAT(D906,", ",H906,", ",I906,", ","浙江省")</f>
        <v>沙畈乡, 婺城区, 金华市, 浙江省</v>
      </c>
      <c r="G906">
        <v>7458</v>
      </c>
      <c r="H906" t="s">
        <v>2944</v>
      </c>
      <c r="I906" t="s">
        <v>2938</v>
      </c>
      <c r="J906" t="e">
        <f>VLOOKUP(F906,[1]!china_towns_second__2[[Column1]:[Y]],3,FALSE)</f>
        <v>#N/A</v>
      </c>
      <c r="K906" t="e">
        <f>VLOOKUP(F906,[1]!china_towns_second__2[[Column1]:[Y]],2,FALSE)</f>
        <v>#N/A</v>
      </c>
      <c r="L906" t="s">
        <v>4540</v>
      </c>
      <c r="M906" t="str">
        <f>VLOOKUP(H906,CHOOSE({1,2},Table12[Native],Table12[Name]),2,0)</f>
        <v>Wùchéng Qū</v>
      </c>
      <c r="N906" s="15" t="str">
        <f>VLOOKUP(I906,CHOOSE({1,2},Table12[Native],Table12[Name]),2,0)</f>
        <v>Jīnhuá Shì</v>
      </c>
      <c r="O906" s="15" t="str">
        <f t="shared" si="28"/>
        <v>Shafan Xiang (Jīnhuá Shì)</v>
      </c>
      <c r="P906" s="15" t="str">
        <f t="shared" si="29"/>
        <v>Shafan Xiang (Jīnhuá Shì)</v>
      </c>
    </row>
    <row r="907" spans="1:16" hidden="1" x14ac:dyDescent="0.25">
      <c r="A907" t="s">
        <v>2191</v>
      </c>
      <c r="B907" t="str">
        <f>IF(COUNTIF(A:A,A907)&gt;1,_xlfn.CONCAT(A907," (",N907,")"),A907)</f>
        <v>Shāliŭ Jiēdào</v>
      </c>
      <c r="C907" t="str">
        <f>IF(COUNTIF(B:B,B907)&gt;1,_xlfn.CONCAT(A907," (",M907,")"),B907)</f>
        <v>Shāliŭ Jiēdào</v>
      </c>
      <c r="D907" t="s">
        <v>2192</v>
      </c>
      <c r="E907" t="s">
        <v>15</v>
      </c>
      <c r="F907" t="str">
        <f>_xlfn.CONCAT(D907,", ",H907,", ",I907,", ","浙江省")</f>
        <v>沙柳街道, 三门县, 台州市, 浙江省</v>
      </c>
      <c r="G907">
        <v>11420</v>
      </c>
      <c r="H907" t="s">
        <v>2994</v>
      </c>
      <c r="I907" t="s">
        <v>2989</v>
      </c>
      <c r="J907" t="e">
        <f>VLOOKUP(F907,[1]!china_towns_second__2[[Column1]:[Y]],3,FALSE)</f>
        <v>#N/A</v>
      </c>
      <c r="K907" t="e">
        <f>VLOOKUP(F907,[1]!china_towns_second__2[[Column1]:[Y]],2,FALSE)</f>
        <v>#N/A</v>
      </c>
      <c r="L907" t="s">
        <v>4541</v>
      </c>
      <c r="M907" t="str">
        <f>VLOOKUP(H907,CHOOSE({1,2},Table12[Native],Table12[Name]),2,0)</f>
        <v>Sānmén Xiàn</v>
      </c>
      <c r="N907" s="15" t="str">
        <f>VLOOKUP(I907,CHOOSE({1,2},Table12[Native],Table12[Name]),2,0)</f>
        <v>Táizhōu Shì</v>
      </c>
      <c r="O907" s="15" t="str">
        <f t="shared" si="28"/>
        <v>Shaliu Jiedao (Táizhōu Shì)</v>
      </c>
      <c r="P907" s="15" t="str">
        <f t="shared" si="29"/>
        <v>Shaliu Jiedao (Táizhōu Shì)</v>
      </c>
    </row>
    <row r="908" spans="1:16" hidden="1" x14ac:dyDescent="0.25">
      <c r="A908" t="s">
        <v>2193</v>
      </c>
      <c r="B908" t="str">
        <f>IF(COUNTIF(A:A,A908)&gt;1,_xlfn.CONCAT(A908," (",N908,")"),A908)</f>
        <v>Shāmén Zhèn</v>
      </c>
      <c r="C908" t="str">
        <f>IF(COUNTIF(B:B,B908)&gt;1,_xlfn.CONCAT(A908," (",M908,")"),B908)</f>
        <v>Shāmén Zhèn</v>
      </c>
      <c r="D908" t="s">
        <v>2194</v>
      </c>
      <c r="E908" t="s">
        <v>11</v>
      </c>
      <c r="F908" t="str">
        <f>_xlfn.CONCAT(D908,", ",H908,", ",I908,", ","浙江省")</f>
        <v>沙门镇, 玉环市, 台州市, 浙江省</v>
      </c>
      <c r="G908">
        <v>25958</v>
      </c>
      <c r="H908" t="s">
        <v>2998</v>
      </c>
      <c r="I908" t="s">
        <v>2989</v>
      </c>
      <c r="J908">
        <f>VLOOKUP(F908,[1]!china_towns_second__2[[Column1]:[Y]],3,FALSE)</f>
        <v>28.238238778006799</v>
      </c>
      <c r="K908">
        <f>VLOOKUP(F908,[1]!china_towns_second__2[[Column1]:[Y]],2,FALSE)</f>
        <v>121.38839900000001</v>
      </c>
      <c r="L908" t="s">
        <v>4542</v>
      </c>
      <c r="M908" t="str">
        <f>VLOOKUP(H908,CHOOSE({1,2},Table12[Native],Table12[Name]),2,0)</f>
        <v>Yùhuán Shì</v>
      </c>
      <c r="N908" s="15" t="str">
        <f>VLOOKUP(I908,CHOOSE({1,2},Table12[Native],Table12[Name]),2,0)</f>
        <v>Táizhōu Shì</v>
      </c>
      <c r="O908" s="15" t="str">
        <f t="shared" si="28"/>
        <v>Shamen Zhen (Táizhōu Shì)</v>
      </c>
      <c r="P908" s="15" t="str">
        <f t="shared" si="29"/>
        <v>Shamen Zhen (Táizhōu Shì)</v>
      </c>
    </row>
    <row r="909" spans="1:16" hidden="1" x14ac:dyDescent="0.25">
      <c r="A909" t="s">
        <v>501</v>
      </c>
      <c r="B909" t="str">
        <f>IF(COUNTIF(A:A,A909)&gt;1,_xlfn.CONCAT(A909," (",N909,")"),A909)</f>
        <v>Shānchuān Xiāng</v>
      </c>
      <c r="C909" t="str">
        <f>IF(COUNTIF(B:B,B909)&gt;1,_xlfn.CONCAT(A909," (",M909,")"),B909)</f>
        <v>Shānchuān Xiāng</v>
      </c>
      <c r="D909" t="s">
        <v>502</v>
      </c>
      <c r="E909" t="s">
        <v>7</v>
      </c>
      <c r="F909" t="str">
        <f>_xlfn.CONCAT(D909,", ",H909,", ",I909,", ","浙江省")</f>
        <v>山川乡, 安吉县, 湖州市, 浙江省</v>
      </c>
      <c r="G909">
        <v>3873</v>
      </c>
      <c r="H909" t="s">
        <v>2923</v>
      </c>
      <c r="I909" t="s">
        <v>2922</v>
      </c>
      <c r="J909" t="e">
        <f>VLOOKUP(F909,[1]!china_towns_second__2[[Column1]:[Y]],3,FALSE)</f>
        <v>#N/A</v>
      </c>
      <c r="K909" t="e">
        <f>VLOOKUP(F909,[1]!china_towns_second__2[[Column1]:[Y]],2,FALSE)</f>
        <v>#N/A</v>
      </c>
      <c r="L909" t="s">
        <v>4543</v>
      </c>
      <c r="M909" t="str">
        <f>VLOOKUP(H909,CHOOSE({1,2},Table12[Native],Table12[Name]),2,0)</f>
        <v>Ānjí Xiàn</v>
      </c>
      <c r="N909" s="15" t="str">
        <f>VLOOKUP(I909,CHOOSE({1,2},Table12[Native],Table12[Name]),2,0)</f>
        <v>Húzhōu Shì</v>
      </c>
      <c r="O909" s="15" t="str">
        <f t="shared" si="28"/>
        <v>Shanchuan Xiang (Húzhōu Shì)</v>
      </c>
      <c r="P909" s="15" t="str">
        <f t="shared" si="29"/>
        <v>Shanchuan Xiang (Húzhōu Shì)</v>
      </c>
    </row>
    <row r="910" spans="1:16" hidden="1" x14ac:dyDescent="0.25">
      <c r="A910" t="s">
        <v>1758</v>
      </c>
      <c r="B910" t="str">
        <f>IF(COUNTIF(A:A,A910)&gt;1,_xlfn.CONCAT(A910," (",N910,")"),A910)</f>
        <v>Shàngfāng Zhèn</v>
      </c>
      <c r="C910" t="str">
        <f>IF(COUNTIF(B:B,B910)&gt;1,_xlfn.CONCAT(A910," (",M910,")"),B910)</f>
        <v>Shàngfāng Zhèn</v>
      </c>
      <c r="D910" t="s">
        <v>1759</v>
      </c>
      <c r="E910" t="s">
        <v>11</v>
      </c>
      <c r="F910" t="str">
        <f>_xlfn.CONCAT(D910,", ",H910,", ",I910,", ","浙江省")</f>
        <v>上方镇, 衢江区, 衢州市, 浙江省</v>
      </c>
      <c r="G910">
        <v>22610</v>
      </c>
      <c r="H910" t="s">
        <v>2979</v>
      </c>
      <c r="I910" t="s">
        <v>2973</v>
      </c>
      <c r="J910">
        <f>VLOOKUP(F910,[1]!china_towns_second__2[[Column1]:[Y]],3,FALSE)</f>
        <v>29.2572704425477</v>
      </c>
      <c r="K910">
        <f>VLOOKUP(F910,[1]!china_towns_second__2[[Column1]:[Y]],2,FALSE)</f>
        <v>118.9137169</v>
      </c>
      <c r="L910" t="s">
        <v>4544</v>
      </c>
      <c r="M910" t="str">
        <f>VLOOKUP(H910,CHOOSE({1,2},Table12[Native],Table12[Name]),2,0)</f>
        <v>Qújiāng Qū</v>
      </c>
      <c r="N910" s="15" t="str">
        <f>VLOOKUP(I910,CHOOSE({1,2},Table12[Native],Table12[Name]),2,0)</f>
        <v>Qúzhōu Shì</v>
      </c>
      <c r="O910" s="15" t="str">
        <f t="shared" si="28"/>
        <v>Shangfang Zhen (Qúzhōu Shì)</v>
      </c>
      <c r="P910" s="15" t="str">
        <f t="shared" si="29"/>
        <v>Shangfang Zhen (Qúzhōu Shì)</v>
      </c>
    </row>
    <row r="911" spans="1:16" hidden="1" x14ac:dyDescent="0.25">
      <c r="A911" t="s">
        <v>274</v>
      </c>
      <c r="B911" t="str">
        <f>IF(COUNTIF(A:A,A911)&gt;1,_xlfn.CONCAT(A911," (",N911,")"),A911)</f>
        <v>Shàngguān Xiāng</v>
      </c>
      <c r="C911" t="str">
        <f>IF(COUNTIF(B:B,B911)&gt;1,_xlfn.CONCAT(A911," (",M911,")"),B911)</f>
        <v>Shàngguān Xiāng</v>
      </c>
      <c r="D911" t="s">
        <v>275</v>
      </c>
      <c r="E911" t="s">
        <v>7</v>
      </c>
      <c r="F911" t="str">
        <f>_xlfn.CONCAT(D911,", ",H911,", ",I911,", ","浙江省")</f>
        <v>上官乡, 富阳区, 杭州市, 浙江省</v>
      </c>
      <c r="G911">
        <v>9411</v>
      </c>
      <c r="H911" t="s">
        <v>2908</v>
      </c>
      <c r="I911" t="s">
        <v>2903</v>
      </c>
      <c r="J911" t="e">
        <f>VLOOKUP(F911,[1]!china_towns_second__2[[Column1]:[Y]],3,FALSE)</f>
        <v>#N/A</v>
      </c>
      <c r="K911" t="e">
        <f>VLOOKUP(F911,[1]!china_towns_second__2[[Column1]:[Y]],2,FALSE)</f>
        <v>#N/A</v>
      </c>
      <c r="L911" t="s">
        <v>4545</v>
      </c>
      <c r="M911" t="str">
        <f>VLOOKUP(H911,CHOOSE({1,2},Table12[Native],Table12[Name]),2,0)</f>
        <v>Fùyáng Qū</v>
      </c>
      <c r="N911" s="15" t="str">
        <f>VLOOKUP(I911,CHOOSE({1,2},Table12[Native],Table12[Name]),2,0)</f>
        <v>Hángzhōu Shì</v>
      </c>
      <c r="O911" s="15" t="str">
        <f t="shared" si="28"/>
        <v>Shangguan Xiang (Hángzhōu Shì)</v>
      </c>
      <c r="P911" s="15" t="str">
        <f t="shared" si="29"/>
        <v>Shangguan Xiang (Hángzhōu Shì)</v>
      </c>
    </row>
    <row r="912" spans="1:16" hidden="1" x14ac:dyDescent="0.25">
      <c r="A912" t="s">
        <v>891</v>
      </c>
      <c r="B912" t="str">
        <f>IF(COUNTIF(A:A,A912)&gt;1,_xlfn.CONCAT(A912," (",N912,")"),A912)</f>
        <v>Shànghú Zhèn</v>
      </c>
      <c r="C912" t="str">
        <f>IF(COUNTIF(B:B,B912)&gt;1,_xlfn.CONCAT(A912," (",M912,")"),B912)</f>
        <v>Shànghú Zhèn</v>
      </c>
      <c r="D912" t="s">
        <v>892</v>
      </c>
      <c r="E912" t="s">
        <v>11</v>
      </c>
      <c r="F912" t="str">
        <f>_xlfn.CONCAT(D912,", ",H912,", ",I912,", ","浙江省")</f>
        <v>尚湖镇, 磐安县, 金华市, 浙江省</v>
      </c>
      <c r="G912">
        <v>13856</v>
      </c>
      <c r="H912" t="s">
        <v>2942</v>
      </c>
      <c r="I912" t="s">
        <v>2938</v>
      </c>
      <c r="J912">
        <f>VLOOKUP(F912,[1]!china_towns_second__2[[Column1]:[Y]],3,FALSE)</f>
        <v>29.125897307925701</v>
      </c>
      <c r="K912">
        <f>VLOOKUP(F912,[1]!china_towns_second__2[[Column1]:[Y]],2,FALSE)</f>
        <v>120.6507087</v>
      </c>
      <c r="L912" t="s">
        <v>4546</v>
      </c>
      <c r="M912" t="str">
        <f>VLOOKUP(H912,CHOOSE({1,2},Table12[Native],Table12[Name]),2,0)</f>
        <v>Pán'ān Xiàn</v>
      </c>
      <c r="N912" s="15" t="str">
        <f>VLOOKUP(I912,CHOOSE({1,2},Table12[Native],Table12[Name]),2,0)</f>
        <v>Jīnhuá Shì</v>
      </c>
      <c r="O912" s="15" t="str">
        <f t="shared" si="28"/>
        <v>Shanghu Zhen (Jīnhuá Shì)</v>
      </c>
      <c r="P912" s="15" t="str">
        <f t="shared" si="29"/>
        <v>Shanghu Zhen (Jīnhuá Shì)</v>
      </c>
    </row>
    <row r="913" spans="1:16" hidden="1" x14ac:dyDescent="0.25">
      <c r="A913" t="s">
        <v>889</v>
      </c>
      <c r="B913" t="str">
        <f>IF(COUNTIF(A:A,A913)&gt;1,_xlfn.CONCAT(A913," (",N913,")"),A913)</f>
        <v>Shànghuá Jiēdào</v>
      </c>
      <c r="C913" t="str">
        <f>IF(COUNTIF(B:B,B913)&gt;1,_xlfn.CONCAT(A913," (",M913,")"),B913)</f>
        <v>Shànghuá Jiēdào</v>
      </c>
      <c r="D913" t="s">
        <v>890</v>
      </c>
      <c r="E913" t="s">
        <v>15</v>
      </c>
      <c r="F913" t="str">
        <f>_xlfn.CONCAT(D913,", ",H913,", ",I913,", ","浙江省")</f>
        <v>上华街道, 兰溪市, 金华市, 浙江省</v>
      </c>
      <c r="G913">
        <v>37112</v>
      </c>
      <c r="H913" t="s">
        <v>2941</v>
      </c>
      <c r="I913" t="s">
        <v>2938</v>
      </c>
      <c r="J913">
        <f>VLOOKUP(F913,[1]!china_towns_second__2[[Column1]:[Y]],3,FALSE)</f>
        <v>29.149203344095401</v>
      </c>
      <c r="K913">
        <f>VLOOKUP(F913,[1]!china_towns_second__2[[Column1]:[Y]],2,FALSE)</f>
        <v>119.4672812</v>
      </c>
      <c r="L913" t="s">
        <v>4547</v>
      </c>
      <c r="M913" t="str">
        <f>VLOOKUP(H913,CHOOSE({1,2},Table12[Native],Table12[Name]),2,0)</f>
        <v>Lánxī Shì</v>
      </c>
      <c r="N913" s="15" t="str">
        <f>VLOOKUP(I913,CHOOSE({1,2},Table12[Native],Table12[Name]),2,0)</f>
        <v>Jīnhuá Shì</v>
      </c>
      <c r="O913" s="15" t="str">
        <f t="shared" si="28"/>
        <v>Shanghua Jiedao (Jīnhuá Shì)</v>
      </c>
      <c r="P913" s="15" t="str">
        <f t="shared" si="29"/>
        <v>Shanghua Jiedao (Jīnhuá Shì)</v>
      </c>
    </row>
    <row r="914" spans="1:16" hidden="1" x14ac:dyDescent="0.25">
      <c r="A914" t="s">
        <v>2604</v>
      </c>
      <c r="B914" t="str">
        <f>IF(COUNTIF(A:A,A914)&gt;1,_xlfn.CONCAT(A914," (",N914,")"),A914)</f>
        <v>Shànglín Xiāng</v>
      </c>
      <c r="C914" t="str">
        <f>IF(COUNTIF(B:B,B914)&gt;1,_xlfn.CONCAT(A914," (",M914,")"),B914)</f>
        <v>Shànglín Xiāng</v>
      </c>
      <c r="D914" t="s">
        <v>2605</v>
      </c>
      <c r="E914" t="s">
        <v>7</v>
      </c>
      <c r="F914" t="str">
        <f>_xlfn.CONCAT(D914,", ",H914,", ",I914,", ","浙江省")</f>
        <v>上林乡, 文成县, 温州市, 浙江省</v>
      </c>
      <c r="G914">
        <v>1849</v>
      </c>
      <c r="H914" t="s">
        <v>3009</v>
      </c>
      <c r="I914" t="s">
        <v>3000</v>
      </c>
      <c r="J914" t="e">
        <f>VLOOKUP(F914,[1]!china_towns_second__2[[Column1]:[Y]],3,FALSE)</f>
        <v>#N/A</v>
      </c>
      <c r="K914" t="e">
        <f>VLOOKUP(F914,[1]!china_towns_second__2[[Column1]:[Y]],2,FALSE)</f>
        <v>#N/A</v>
      </c>
      <c r="L914" t="s">
        <v>4548</v>
      </c>
      <c r="M914" t="str">
        <f>VLOOKUP(H914,CHOOSE({1,2},Table12[Native],Table12[Name]),2,0)</f>
        <v>Wénchéng Xiàn</v>
      </c>
      <c r="N914" s="15" t="str">
        <f>VLOOKUP(I914,CHOOSE({1,2},Table12[Native],Table12[Name]),2,0)</f>
        <v>Wēnzhōu Shì</v>
      </c>
      <c r="O914" s="15" t="str">
        <f t="shared" si="28"/>
        <v>Shanglin Xiang (Wēnzhōu Shì)</v>
      </c>
      <c r="P914" s="15" t="str">
        <f t="shared" si="29"/>
        <v>Shanglin Xiang (Wēnzhōu Shì)</v>
      </c>
    </row>
    <row r="915" spans="1:16" hidden="1" x14ac:dyDescent="0.25">
      <c r="A915" t="s">
        <v>2195</v>
      </c>
      <c r="B915" t="str">
        <f>IF(COUNTIF(A:A,A915)&gt;1,_xlfn.CONCAT(A915," (",N915,")"),A915)</f>
        <v>Shàngpán Zhèn</v>
      </c>
      <c r="C915" t="str">
        <f>IF(COUNTIF(B:B,B915)&gt;1,_xlfn.CONCAT(A915," (",M915,")"),B915)</f>
        <v>Shàngpán Zhèn</v>
      </c>
      <c r="D915" t="s">
        <v>2196</v>
      </c>
      <c r="E915" t="s">
        <v>11</v>
      </c>
      <c r="F915" t="str">
        <f>_xlfn.CONCAT(D915,", ",H915,", ",I915,", ","浙江省")</f>
        <v>上盘镇, 临海市, 台州市, 浙江省</v>
      </c>
      <c r="G915">
        <v>44060</v>
      </c>
      <c r="H915" t="s">
        <v>2992</v>
      </c>
      <c r="I915" t="s">
        <v>2989</v>
      </c>
      <c r="J915">
        <f>VLOOKUP(F915,[1]!china_towns_second__2[[Column1]:[Y]],3,FALSE)</f>
        <v>28.751158785416301</v>
      </c>
      <c r="K915">
        <f>VLOOKUP(F915,[1]!china_towns_second__2[[Column1]:[Y]],2,FALSE)</f>
        <v>121.6789534</v>
      </c>
      <c r="L915" t="s">
        <v>4549</v>
      </c>
      <c r="M915" t="str">
        <f>VLOOKUP(H915,CHOOSE({1,2},Table12[Native],Table12[Name]),2,0)</f>
        <v>Línhăi Shì</v>
      </c>
      <c r="N915" s="15" t="str">
        <f>VLOOKUP(I915,CHOOSE({1,2},Table12[Native],Table12[Name]),2,0)</f>
        <v>Táizhōu Shì</v>
      </c>
      <c r="O915" s="15" t="str">
        <f t="shared" si="28"/>
        <v>Shangpan Zhen (Táizhōu Shì)</v>
      </c>
      <c r="P915" s="15" t="str">
        <f t="shared" si="29"/>
        <v>Shangpan Zhen (Táizhōu Shì)</v>
      </c>
    </row>
    <row r="916" spans="1:16" hidden="1" x14ac:dyDescent="0.25">
      <c r="A916" t="s">
        <v>1972</v>
      </c>
      <c r="B916" t="str">
        <f>IF(COUNTIF(A:A,A916)&gt;1,_xlfn.CONCAT(A916," (",N916,")"),A916)</f>
        <v>Shàngpŭ Zhèn</v>
      </c>
      <c r="C916" t="str">
        <f>IF(COUNTIF(B:B,B916)&gt;1,_xlfn.CONCAT(A916," (",M916,")"),B916)</f>
        <v>Shàngpŭ Zhèn</v>
      </c>
      <c r="D916" t="s">
        <v>1973</v>
      </c>
      <c r="E916" t="s">
        <v>11</v>
      </c>
      <c r="F916" t="str">
        <f>_xlfn.CONCAT(D916,", ",H916,", ",I916,", ","浙江省")</f>
        <v>上浦镇, 上虞区, 绍兴市, 浙江省</v>
      </c>
      <c r="G916">
        <v>20717</v>
      </c>
      <c r="H916" t="s">
        <v>2983</v>
      </c>
      <c r="I916" t="s">
        <v>2981</v>
      </c>
      <c r="J916">
        <f>VLOOKUP(F916,[1]!china_towns_second__2[[Column1]:[Y]],3,FALSE)</f>
        <v>29.883592588065</v>
      </c>
      <c r="K916">
        <f>VLOOKUP(F916,[1]!china_towns_second__2[[Column1]:[Y]],2,FALSE)</f>
        <v>120.84616370000001</v>
      </c>
      <c r="L916" t="s">
        <v>4550</v>
      </c>
      <c r="M916" t="str">
        <f>VLOOKUP(H916,CHOOSE({1,2},Table12[Native],Table12[Name]),2,0)</f>
        <v>Shàngyú Qū</v>
      </c>
      <c r="N916" s="15" t="str">
        <f>VLOOKUP(I916,CHOOSE({1,2},Table12[Native],Table12[Name]),2,0)</f>
        <v>Shàoxīng Shì</v>
      </c>
      <c r="O916" s="15" t="str">
        <f t="shared" si="28"/>
        <v>Shangpu Zhen (Shàoxīng Shì)</v>
      </c>
      <c r="P916" s="15" t="str">
        <f t="shared" si="29"/>
        <v>Shangpu Zhen (Shàoxīng Shì)</v>
      </c>
    </row>
    <row r="917" spans="1:16" hidden="1" x14ac:dyDescent="0.25">
      <c r="A917" t="s">
        <v>503</v>
      </c>
      <c r="B917" t="str">
        <f>IF(COUNTIF(A:A,A917)&gt;1,_xlfn.CONCAT(A917," (",N917,")"),A917)</f>
        <v>Shàngshù Xiāng</v>
      </c>
      <c r="C917" t="str">
        <f>IF(COUNTIF(B:B,B917)&gt;1,_xlfn.CONCAT(A917," (",M917,")"),B917)</f>
        <v>Shàngshù Xiāng</v>
      </c>
      <c r="D917" t="s">
        <v>504</v>
      </c>
      <c r="E917" t="s">
        <v>7</v>
      </c>
      <c r="F917" t="str">
        <f>_xlfn.CONCAT(D917,", ",H917,", ",I917,", ","浙江省")</f>
        <v>上墅乡, 安吉县, 湖州市, 浙江省</v>
      </c>
      <c r="G917">
        <v>12385</v>
      </c>
      <c r="H917" t="s">
        <v>2923</v>
      </c>
      <c r="I917" t="s">
        <v>2922</v>
      </c>
      <c r="J917" t="e">
        <f>VLOOKUP(F917,[1]!china_towns_second__2[[Column1]:[Y]],3,FALSE)</f>
        <v>#N/A</v>
      </c>
      <c r="K917" t="e">
        <f>VLOOKUP(F917,[1]!china_towns_second__2[[Column1]:[Y]],2,FALSE)</f>
        <v>#N/A</v>
      </c>
      <c r="L917" t="s">
        <v>4551</v>
      </c>
      <c r="M917" t="str">
        <f>VLOOKUP(H917,CHOOSE({1,2},Table12[Native],Table12[Name]),2,0)</f>
        <v>Ānjí Xiàn</v>
      </c>
      <c r="N917" s="15" t="str">
        <f>VLOOKUP(I917,CHOOSE({1,2},Table12[Native],Table12[Name]),2,0)</f>
        <v>Húzhōu Shì</v>
      </c>
      <c r="O917" s="15" t="str">
        <f t="shared" si="28"/>
        <v>Shangshu Xiang (Húzhōu Shì)</v>
      </c>
      <c r="P917" s="15" t="str">
        <f t="shared" si="29"/>
        <v>Shangshu Xiang (Húzhōu Shì)</v>
      </c>
    </row>
    <row r="918" spans="1:16" hidden="1" x14ac:dyDescent="0.25">
      <c r="A918" t="s">
        <v>276</v>
      </c>
      <c r="B918" t="str">
        <f>IF(COUNTIF(A:A,A918)&gt;1,_xlfn.CONCAT(A918," (",N918,")"),A918)</f>
        <v>Shàngtáng Jiēdào</v>
      </c>
      <c r="C918" t="str">
        <f>IF(COUNTIF(B:B,B918)&gt;1,_xlfn.CONCAT(A918," (",M918,")"),B918)</f>
        <v>Shàngtáng Jiēdào</v>
      </c>
      <c r="D918" t="s">
        <v>277</v>
      </c>
      <c r="E918" t="s">
        <v>15</v>
      </c>
      <c r="F918" t="str">
        <f>_xlfn.CONCAT(D918,", ",H918,", ",I918,", ","浙江省")</f>
        <v>上塘街道, 拱墅区, 杭州市, 浙江省</v>
      </c>
      <c r="G918">
        <v>94968</v>
      </c>
      <c r="H918" t="s">
        <v>2909</v>
      </c>
      <c r="I918" t="s">
        <v>2903</v>
      </c>
      <c r="J918">
        <f>VLOOKUP(F918,[1]!china_towns_second__2[[Column1]:[Y]],3,FALSE)</f>
        <v>30.329627488346699</v>
      </c>
      <c r="K918">
        <f>VLOOKUP(F918,[1]!china_towns_second__2[[Column1]:[Y]],2,FALSE)</f>
        <v>120.1521176</v>
      </c>
      <c r="L918" t="s">
        <v>4552</v>
      </c>
      <c r="M918" t="str">
        <f>VLOOKUP(H918,CHOOSE({1,2},Table12[Native],Table12[Name]),2,0)</f>
        <v>Gŏngshù Qū</v>
      </c>
      <c r="N918" s="15" t="str">
        <f>VLOOKUP(I918,CHOOSE({1,2},Table12[Native],Table12[Name]),2,0)</f>
        <v>Hángzhōu Shì</v>
      </c>
      <c r="O918" s="15" t="str">
        <f t="shared" si="28"/>
        <v>Shangtang Jiedao (Hángzhōu Shì)</v>
      </c>
      <c r="P918" s="15" t="str">
        <f t="shared" si="29"/>
        <v>Shangtang Jiedao (Hángzhōu Shì)</v>
      </c>
    </row>
    <row r="919" spans="1:16" hidden="1" x14ac:dyDescent="0.25">
      <c r="A919" t="s">
        <v>1533</v>
      </c>
      <c r="B919" t="str">
        <f>IF(COUNTIF(A:A,A919)&gt;1,_xlfn.CONCAT(A919," (",N919,")"),A919)</f>
        <v>Shàngtián Jiēdào</v>
      </c>
      <c r="C919" t="str">
        <f>IF(COUNTIF(B:B,B919)&gt;1,_xlfn.CONCAT(A919," (",M919,")"),B919)</f>
        <v>Shàngtián Jiēdào</v>
      </c>
      <c r="D919" t="s">
        <v>1534</v>
      </c>
      <c r="E919" t="s">
        <v>15</v>
      </c>
      <c r="F919" t="str">
        <f>_xlfn.CONCAT(D919,", ",H919,", ",I919,", ","浙江省")</f>
        <v>尚田街道, 奉化区, 宁波市, 浙江省</v>
      </c>
      <c r="G919">
        <v>32669</v>
      </c>
      <c r="H919" t="s">
        <v>2964</v>
      </c>
      <c r="I919" t="s">
        <v>2961</v>
      </c>
      <c r="J919" t="e">
        <f>VLOOKUP(F919,[1]!china_towns_second__2[[Column1]:[Y]],3,FALSE)</f>
        <v>#N/A</v>
      </c>
      <c r="K919" t="e">
        <f>VLOOKUP(F919,[1]!china_towns_second__2[[Column1]:[Y]],2,FALSE)</f>
        <v>#N/A</v>
      </c>
      <c r="L919" t="s">
        <v>4553</v>
      </c>
      <c r="M919" t="str">
        <f>VLOOKUP(H919,CHOOSE({1,2},Table12[Native],Table12[Name]),2,0)</f>
        <v>Fènghuà Qū</v>
      </c>
      <c r="N919" s="15" t="str">
        <f>VLOOKUP(I919,CHOOSE({1,2},Table12[Native],Table12[Name]),2,0)</f>
        <v>Níngbō Shì</v>
      </c>
      <c r="O919" s="15" t="str">
        <f t="shared" si="28"/>
        <v>Shangtian Jiedao (Níngbō Shì)</v>
      </c>
      <c r="P919" s="15" t="str">
        <f t="shared" si="29"/>
        <v>Shangtian Jiedao (Níngbō Shì)</v>
      </c>
    </row>
    <row r="920" spans="1:16" hidden="1" x14ac:dyDescent="0.25">
      <c r="A920" t="s">
        <v>2606</v>
      </c>
      <c r="B920" t="str">
        <f>IF(COUNTIF(A:A,A920)&gt;1,_xlfn.CONCAT(A920," (",N920,")"),A920)</f>
        <v>Shàngwàng Jiēdào</v>
      </c>
      <c r="C920" t="str">
        <f>IF(COUNTIF(B:B,B920)&gt;1,_xlfn.CONCAT(A920," (",M920,")"),B920)</f>
        <v>Shàngwàng Jiēdào</v>
      </c>
      <c r="D920" t="s">
        <v>2607</v>
      </c>
      <c r="E920" t="s">
        <v>15</v>
      </c>
      <c r="F920" t="str">
        <f>_xlfn.CONCAT(D920,", ",H920,", ",I920,", ","浙江省")</f>
        <v>上望街道, 瑞安市, 温州市, 浙江省</v>
      </c>
      <c r="G920">
        <v>68206</v>
      </c>
      <c r="H920" t="s">
        <v>3007</v>
      </c>
      <c r="I920" t="s">
        <v>3000</v>
      </c>
      <c r="J920">
        <f>VLOOKUP(F920,[1]!china_towns_second__2[[Column1]:[Y]],3,FALSE)</f>
        <v>27.730419269598301</v>
      </c>
      <c r="K920">
        <f>VLOOKUP(F920,[1]!china_towns_second__2[[Column1]:[Y]],2,FALSE)</f>
        <v>120.701412</v>
      </c>
      <c r="L920" t="s">
        <v>4554</v>
      </c>
      <c r="M920" t="str">
        <f>VLOOKUP(H920,CHOOSE({1,2},Table12[Native],Table12[Name]),2,0)</f>
        <v>Ruì'ān Shì</v>
      </c>
      <c r="N920" s="15" t="str">
        <f>VLOOKUP(I920,CHOOSE({1,2},Table12[Native],Table12[Name]),2,0)</f>
        <v>Wēnzhōu Shì</v>
      </c>
      <c r="O920" s="15" t="str">
        <f t="shared" si="28"/>
        <v>Shangwang Jiedao (Wēnzhōu Shì)</v>
      </c>
      <c r="P920" s="15" t="str">
        <f t="shared" si="29"/>
        <v>Shangwang Jiedao (Wēnzhōu Shì)</v>
      </c>
    </row>
    <row r="921" spans="1:16" hidden="1" x14ac:dyDescent="0.25">
      <c r="A921" t="s">
        <v>893</v>
      </c>
      <c r="B921" t="str">
        <f>IF(COUNTIF(A:A,A921)&gt;1,_xlfn.CONCAT(A921," (",N921,")"),A921)</f>
        <v>Shàngxī Zhèn</v>
      </c>
      <c r="C921" t="str">
        <f>IF(COUNTIF(B:B,B921)&gt;1,_xlfn.CONCAT(A921," (",M921,")"),B921)</f>
        <v>Shàngxī Zhèn</v>
      </c>
      <c r="D921" t="s">
        <v>894</v>
      </c>
      <c r="E921" t="s">
        <v>11</v>
      </c>
      <c r="F921" t="str">
        <f>_xlfn.CONCAT(D921,", ",H921,", ",I921,", ","浙江省")</f>
        <v>上溪镇, 义乌市, 金华市, 浙江省</v>
      </c>
      <c r="G921">
        <v>54500</v>
      </c>
      <c r="H921" t="s">
        <v>2946</v>
      </c>
      <c r="I921" t="s">
        <v>2938</v>
      </c>
      <c r="J921">
        <f>VLOOKUP(F921,[1]!china_towns_second__2[[Column1]:[Y]],3,FALSE)</f>
        <v>29.3099555118349</v>
      </c>
      <c r="K921">
        <f>VLOOKUP(F921,[1]!china_towns_second__2[[Column1]:[Y]],2,FALSE)</f>
        <v>119.8939091</v>
      </c>
      <c r="L921" t="s">
        <v>4555</v>
      </c>
      <c r="M921" t="str">
        <f>VLOOKUP(H921,CHOOSE({1,2},Table12[Native],Table12[Name]),2,0)</f>
        <v>Yìwū Shì</v>
      </c>
      <c r="N921" s="15" t="str">
        <f>VLOOKUP(I921,CHOOSE({1,2},Table12[Native],Table12[Name]),2,0)</f>
        <v>Jīnhuá Shì</v>
      </c>
      <c r="O921" s="15" t="str">
        <f t="shared" si="28"/>
        <v>Shangxi Zhen (Jīnhuá Shì)</v>
      </c>
      <c r="P921" s="15" t="str">
        <f t="shared" si="29"/>
        <v>Shangxi Zhen (Jīnhuá Shì)</v>
      </c>
    </row>
    <row r="922" spans="1:16" hidden="1" x14ac:dyDescent="0.25">
      <c r="A922" t="s">
        <v>2197</v>
      </c>
      <c r="B922" t="str">
        <f>IF(COUNTIF(A:A,A922)&gt;1,_xlfn.CONCAT(A922," (",N922,")"),A922)</f>
        <v>Shàngyáng Xiāng</v>
      </c>
      <c r="C922" t="str">
        <f>IF(COUNTIF(B:B,B922)&gt;1,_xlfn.CONCAT(A922," (",M922,")"),B922)</f>
        <v>Shàngyáng Xiāng</v>
      </c>
      <c r="D922" t="s">
        <v>2198</v>
      </c>
      <c r="E922" t="s">
        <v>7</v>
      </c>
      <c r="F922" t="str">
        <f>_xlfn.CONCAT(D922,", ",H922,", ",I922,", ","浙江省")</f>
        <v>上垟乡, 黄岩区, 台州市, 浙江省</v>
      </c>
      <c r="G922">
        <v>6830</v>
      </c>
      <c r="H922" t="s">
        <v>2990</v>
      </c>
      <c r="I922" t="s">
        <v>2989</v>
      </c>
      <c r="J922" t="e">
        <f>VLOOKUP(F922,[1]!china_towns_second__2[[Column1]:[Y]],3,FALSE)</f>
        <v>#N/A</v>
      </c>
      <c r="K922" t="e">
        <f>VLOOKUP(F922,[1]!china_towns_second__2[[Column1]:[Y]],2,FALSE)</f>
        <v>#N/A</v>
      </c>
      <c r="L922" t="s">
        <v>4556</v>
      </c>
      <c r="M922" t="str">
        <f>VLOOKUP(H922,CHOOSE({1,2},Table12[Native],Table12[Name]),2,0)</f>
        <v>Huángyán Qū</v>
      </c>
      <c r="N922" s="15" t="str">
        <f>VLOOKUP(I922,CHOOSE({1,2},Table12[Native],Table12[Name]),2,0)</f>
        <v>Táizhōu Shì</v>
      </c>
      <c r="O922" s="15" t="str">
        <f t="shared" si="28"/>
        <v>Shangyang Xiang (Táizhōu Shì)</v>
      </c>
      <c r="P922" s="15" t="str">
        <f t="shared" si="29"/>
        <v>Shangyang Xiang (Táizhōu Shì)</v>
      </c>
    </row>
    <row r="923" spans="1:16" hidden="1" x14ac:dyDescent="0.25">
      <c r="A923" t="s">
        <v>1203</v>
      </c>
      <c r="B923" t="str">
        <f>IF(COUNTIF(A:A,A923)&gt;1,_xlfn.CONCAT(A923," (",N923,")"),A923)</f>
        <v>Shàngyáng Zhèn</v>
      </c>
      <c r="C923" t="str">
        <f>IF(COUNTIF(B:B,B923)&gt;1,_xlfn.CONCAT(A923," (",M923,")"),B923)</f>
        <v>Shàngyáng Zhèn</v>
      </c>
      <c r="D923" t="s">
        <v>1204</v>
      </c>
      <c r="E923" t="s">
        <v>11</v>
      </c>
      <c r="F923" t="str">
        <f>_xlfn.CONCAT(D923,", ",H923,", ",I923,", ","浙江省")</f>
        <v>上垟镇, 龙泉市, 丽水市, 浙江省</v>
      </c>
      <c r="G923">
        <v>11703</v>
      </c>
      <c r="H923" t="s">
        <v>2954</v>
      </c>
      <c r="I923" t="s">
        <v>2949</v>
      </c>
      <c r="J923">
        <f>VLOOKUP(F923,[1]!china_towns_second__2[[Column1]:[Y]],3,FALSE)</f>
        <v>27.934570310981201</v>
      </c>
      <c r="K923">
        <f>VLOOKUP(F923,[1]!china_towns_second__2[[Column1]:[Y]],2,FALSE)</f>
        <v>118.852239</v>
      </c>
      <c r="L923" t="s">
        <v>4557</v>
      </c>
      <c r="M923" t="str">
        <f>VLOOKUP(H923,CHOOSE({1,2},Table12[Native],Table12[Name]),2,0)</f>
        <v>Lóngquán Shì</v>
      </c>
      <c r="N923" s="15" t="str">
        <f>VLOOKUP(I923,CHOOSE({1,2},Table12[Native],Table12[Name]),2,0)</f>
        <v>Lìshuĭ Shì</v>
      </c>
      <c r="O923" s="15" t="str">
        <f t="shared" si="28"/>
        <v>Shangyang Zhen (Lìshuĭ Shì)</v>
      </c>
      <c r="P923" s="15" t="str">
        <f t="shared" si="29"/>
        <v>Shangyang Zhen (Lìshuĭ Shì)</v>
      </c>
    </row>
    <row r="924" spans="1:16" hidden="1" x14ac:dyDescent="0.25">
      <c r="A924" t="s">
        <v>1760</v>
      </c>
      <c r="B924" t="str">
        <f>IF(COUNTIF(A:A,A924)&gt;1,_xlfn.CONCAT(A924," (",N924,")"),A924)</f>
        <v>Shàngyú Zhèn</v>
      </c>
      <c r="C924" t="str">
        <f>IF(COUNTIF(B:B,B924)&gt;1,_xlfn.CONCAT(A924," (",M924,")"),B924)</f>
        <v>Shàngyú Zhèn</v>
      </c>
      <c r="D924" t="s">
        <v>1761</v>
      </c>
      <c r="E924" t="s">
        <v>11</v>
      </c>
      <c r="F924" t="str">
        <f>_xlfn.CONCAT(D924,", ",H924,", ",I924,", ","浙江省")</f>
        <v>上余镇, 江山市, 衢州市, 浙江省</v>
      </c>
      <c r="G924">
        <v>32679</v>
      </c>
      <c r="H924" t="s">
        <v>2975</v>
      </c>
      <c r="I924" t="s">
        <v>2973</v>
      </c>
      <c r="J924">
        <f>VLOOKUP(F924,[1]!china_towns_second__2[[Column1]:[Y]],3,FALSE)</f>
        <v>28.763341942285599</v>
      </c>
      <c r="K924">
        <f>VLOOKUP(F924,[1]!china_towns_second__2[[Column1]:[Y]],2,FALSE)</f>
        <v>118.7169389</v>
      </c>
      <c r="L924" t="s">
        <v>4558</v>
      </c>
      <c r="M924" t="str">
        <f>VLOOKUP(H924,CHOOSE({1,2},Table12[Native],Table12[Name]),2,0)</f>
        <v>Jiāngshān Shì</v>
      </c>
      <c r="N924" s="15" t="str">
        <f>VLOOKUP(I924,CHOOSE({1,2},Table12[Native],Table12[Name]),2,0)</f>
        <v>Qúzhōu Shì</v>
      </c>
      <c r="O924" s="15" t="str">
        <f t="shared" si="28"/>
        <v>Shangyu Zhen (Qúzhōu Shì)</v>
      </c>
      <c r="P924" s="15" t="str">
        <f t="shared" si="29"/>
        <v>Shangyu Zhen (Qúzhōu Shì)</v>
      </c>
    </row>
    <row r="925" spans="1:16" hidden="1" x14ac:dyDescent="0.25">
      <c r="A925" t="s">
        <v>2199</v>
      </c>
      <c r="B925" t="str">
        <f>IF(COUNTIF(A:A,A925)&gt;1,_xlfn.CONCAT(A925," (",N925,")"),A925)</f>
        <v>Shàngzhāng Xiāng</v>
      </c>
      <c r="C925" t="str">
        <f>IF(COUNTIF(B:B,B925)&gt;1,_xlfn.CONCAT(A925," (",M925,")"),B925)</f>
        <v>Shàngzhāng Xiāng</v>
      </c>
      <c r="D925" t="s">
        <v>2200</v>
      </c>
      <c r="E925" t="s">
        <v>7</v>
      </c>
      <c r="F925" t="str">
        <f>_xlfn.CONCAT(D925,", ",H925,", ",I925,", ","浙江省")</f>
        <v>上张乡, 仙居县, 台州市, 浙江省</v>
      </c>
      <c r="G925">
        <v>5231</v>
      </c>
      <c r="H925" t="s">
        <v>2997</v>
      </c>
      <c r="I925" t="s">
        <v>2989</v>
      </c>
      <c r="J925" t="e">
        <f>VLOOKUP(F925,[1]!china_towns_second__2[[Column1]:[Y]],3,FALSE)</f>
        <v>#N/A</v>
      </c>
      <c r="K925" t="e">
        <f>VLOOKUP(F925,[1]!china_towns_second__2[[Column1]:[Y]],2,FALSE)</f>
        <v>#N/A</v>
      </c>
      <c r="L925" t="s">
        <v>4559</v>
      </c>
      <c r="M925" t="str">
        <f>VLOOKUP(H925,CHOOSE({1,2},Table12[Native],Table12[Name]),2,0)</f>
        <v>Xiānjū Xiàn</v>
      </c>
      <c r="N925" s="15" t="str">
        <f>VLOOKUP(I925,CHOOSE({1,2},Table12[Native],Table12[Name]),2,0)</f>
        <v>Táizhōu Shì</v>
      </c>
      <c r="O925" s="15" t="str">
        <f t="shared" si="28"/>
        <v>Shangzhang Xiang (Táizhōu Shì)</v>
      </c>
      <c r="P925" s="15" t="str">
        <f t="shared" si="29"/>
        <v>Shangzhang Xiang (Táizhōu Shì)</v>
      </c>
    </row>
    <row r="926" spans="1:16" hidden="1" x14ac:dyDescent="0.25">
      <c r="A926" t="s">
        <v>2201</v>
      </c>
      <c r="B926" t="str">
        <f>IF(COUNTIF(A:A,A926)&gt;1,_xlfn.CONCAT(A926," (",N926,")"),A926)</f>
        <v>Shàngzhèng Xiāng</v>
      </c>
      <c r="C926" t="str">
        <f>IF(COUNTIF(B:B,B926)&gt;1,_xlfn.CONCAT(A926," (",M926,")"),B926)</f>
        <v>Shàngzhèng Xiāng</v>
      </c>
      <c r="D926" t="s">
        <v>2202</v>
      </c>
      <c r="E926" t="s">
        <v>7</v>
      </c>
      <c r="F926" t="str">
        <f>_xlfn.CONCAT(D926,", ",H926,", ",I926,", ","浙江省")</f>
        <v>上郑乡, 黄岩区, 台州市, 浙江省</v>
      </c>
      <c r="G926">
        <v>5705</v>
      </c>
      <c r="H926" t="s">
        <v>2990</v>
      </c>
      <c r="I926" t="s">
        <v>2989</v>
      </c>
      <c r="J926" t="e">
        <f>VLOOKUP(F926,[1]!china_towns_second__2[[Column1]:[Y]],3,FALSE)</f>
        <v>#N/A</v>
      </c>
      <c r="K926" t="e">
        <f>VLOOKUP(F926,[1]!china_towns_second__2[[Column1]:[Y]],2,FALSE)</f>
        <v>#N/A</v>
      </c>
      <c r="L926" t="s">
        <v>4560</v>
      </c>
      <c r="M926" t="str">
        <f>VLOOKUP(H926,CHOOSE({1,2},Table12[Native],Table12[Name]),2,0)</f>
        <v>Huángyán Qū</v>
      </c>
      <c r="N926" s="15" t="str">
        <f>VLOOKUP(I926,CHOOSE({1,2},Table12[Native],Table12[Name]),2,0)</f>
        <v>Táizhōu Shì</v>
      </c>
      <c r="O926" s="15" t="str">
        <f t="shared" si="28"/>
        <v>Shangzheng Xiang (Táizhōu Shì)</v>
      </c>
      <c r="P926" s="15" t="str">
        <f t="shared" si="29"/>
        <v>Shangzheng Xiang (Táizhōu Shì)</v>
      </c>
    </row>
    <row r="927" spans="1:16" hidden="1" x14ac:dyDescent="0.25">
      <c r="A927" t="s">
        <v>2608</v>
      </c>
      <c r="B927" t="str">
        <f>IF(COUNTIF(A:A,A927)&gt;1,_xlfn.CONCAT(A927," (",N927,")"),A927)</f>
        <v>Shānkēng Xiāng</v>
      </c>
      <c r="C927" t="str">
        <f>IF(COUNTIF(B:B,B927)&gt;1,_xlfn.CONCAT(A927," (",M927,")"),B927)</f>
        <v>Shānkēng Xiāng</v>
      </c>
      <c r="D927" t="s">
        <v>2609</v>
      </c>
      <c r="E927" t="s">
        <v>7</v>
      </c>
      <c r="F927" t="str">
        <f>_xlfn.CONCAT(D927,", ",H927,", ",I927,", ","浙江省")</f>
        <v>山坑乡, 永嘉县, 温州市, 浙江省</v>
      </c>
      <c r="G927">
        <v>2924</v>
      </c>
      <c r="H927" t="s">
        <v>3010</v>
      </c>
      <c r="I927" t="s">
        <v>3000</v>
      </c>
      <c r="J927" t="e">
        <f>VLOOKUP(F927,[1]!china_towns_second__2[[Column1]:[Y]],3,FALSE)</f>
        <v>#N/A</v>
      </c>
      <c r="K927" t="e">
        <f>VLOOKUP(F927,[1]!china_towns_second__2[[Column1]:[Y]],2,FALSE)</f>
        <v>#N/A</v>
      </c>
      <c r="L927" t="s">
        <v>4561</v>
      </c>
      <c r="M927" t="str">
        <f>VLOOKUP(H927,CHOOSE({1,2},Table12[Native],Table12[Name]),2,0)</f>
        <v>Yŏngjiā Xiàn</v>
      </c>
      <c r="N927" s="15" t="str">
        <f>VLOOKUP(I927,CHOOSE({1,2},Table12[Native],Table12[Name]),2,0)</f>
        <v>Wēnzhōu Shì</v>
      </c>
      <c r="O927" s="15" t="str">
        <f t="shared" si="28"/>
        <v>Shankeng Xiang (Wēnzhōu Shì)</v>
      </c>
      <c r="P927" s="15" t="str">
        <f t="shared" si="29"/>
        <v>Shankeng Xiang (Wēnzhōu Shì)</v>
      </c>
    </row>
    <row r="928" spans="1:16" hidden="1" x14ac:dyDescent="0.25">
      <c r="A928" t="s">
        <v>1205</v>
      </c>
      <c r="B928" t="str">
        <f>IF(COUNTIF(A:A,A928)&gt;1,_xlfn.CONCAT(A928," (",N928,")"),A928)</f>
        <v>Shānkŏu Zhèn</v>
      </c>
      <c r="C928" t="str">
        <f>IF(COUNTIF(B:B,B928)&gt;1,_xlfn.CONCAT(A928," (",M928,")"),B928)</f>
        <v>Shānkŏu Zhèn</v>
      </c>
      <c r="D928" t="s">
        <v>1206</v>
      </c>
      <c r="E928" t="s">
        <v>11</v>
      </c>
      <c r="F928" t="str">
        <f>_xlfn.CONCAT(D928,", ",H928,", ",I928,", ","浙江省")</f>
        <v>山口镇, 青田县, 丽水市, 浙江省</v>
      </c>
      <c r="G928">
        <v>8010</v>
      </c>
      <c r="H928" t="s">
        <v>2955</v>
      </c>
      <c r="I928" t="s">
        <v>2949</v>
      </c>
      <c r="J928">
        <f>VLOOKUP(F928,[1]!china_towns_second__2[[Column1]:[Y]],3,FALSE)</f>
        <v>28.069595284663901</v>
      </c>
      <c r="K928">
        <f>VLOOKUP(F928,[1]!china_towns_second__2[[Column1]:[Y]],2,FALSE)</f>
        <v>120.2976816</v>
      </c>
      <c r="L928" t="s">
        <v>4562</v>
      </c>
      <c r="M928" t="str">
        <f>VLOOKUP(H928,CHOOSE({1,2},Table12[Native],Table12[Name]),2,0)</f>
        <v>Qīngtián Xiàn</v>
      </c>
      <c r="N928" s="15" t="str">
        <f>VLOOKUP(I928,CHOOSE({1,2},Table12[Native],Table12[Name]),2,0)</f>
        <v>Lìshuĭ Shì</v>
      </c>
      <c r="O928" s="15" t="str">
        <f t="shared" si="28"/>
        <v>Shankou Zhen (Lìshuĭ Shì)</v>
      </c>
      <c r="P928" s="15" t="str">
        <f t="shared" si="29"/>
        <v>Shankou Zhen (Lìshuĭ Shì)</v>
      </c>
    </row>
    <row r="929" spans="1:16" hidden="1" x14ac:dyDescent="0.25">
      <c r="A929" t="s">
        <v>505</v>
      </c>
      <c r="B929" t="str">
        <f>IF(COUNTIF(A:A,A929)&gt;1,_xlfn.CONCAT(A929," (",N929,")"),A929)</f>
        <v>Shànliăn Zhèn</v>
      </c>
      <c r="C929" t="str">
        <f>IF(COUNTIF(B:B,B929)&gt;1,_xlfn.CONCAT(A929," (",M929,")"),B929)</f>
        <v>Shànliăn Zhèn</v>
      </c>
      <c r="D929" t="s">
        <v>506</v>
      </c>
      <c r="E929" t="s">
        <v>11</v>
      </c>
      <c r="F929" t="str">
        <f>_xlfn.CONCAT(D929,", ",H929,", ",I929,", ","浙江省")</f>
        <v>善琏镇, 南浔区, 湖州市, 浙江省</v>
      </c>
      <c r="G929">
        <v>28079</v>
      </c>
      <c r="H929" t="s">
        <v>2926</v>
      </c>
      <c r="I929" t="s">
        <v>2922</v>
      </c>
      <c r="J929">
        <f>VLOOKUP(F929,[1]!china_towns_second__2[[Column1]:[Y]],3,FALSE)</f>
        <v>30.687247744518402</v>
      </c>
      <c r="K929">
        <f>VLOOKUP(F929,[1]!china_towns_second__2[[Column1]:[Y]],2,FALSE)</f>
        <v>120.31590250000001</v>
      </c>
      <c r="L929" t="s">
        <v>4563</v>
      </c>
      <c r="M929" t="str">
        <f>VLOOKUP(H929,CHOOSE({1,2},Table12[Native],Table12[Name]),2,0)</f>
        <v>Nánxún Qū</v>
      </c>
      <c r="N929" s="15" t="str">
        <f>VLOOKUP(I929,CHOOSE({1,2},Table12[Native],Table12[Name]),2,0)</f>
        <v>Húzhōu Shì</v>
      </c>
      <c r="O929" s="15" t="str">
        <f t="shared" si="28"/>
        <v>Shanlian Zhen (Húzhōu Shì)</v>
      </c>
      <c r="P929" s="15" t="str">
        <f t="shared" si="29"/>
        <v>Shanlian Zhen (Húzhōu Shì)</v>
      </c>
    </row>
    <row r="930" spans="1:16" hidden="1" x14ac:dyDescent="0.25">
      <c r="A930" t="s">
        <v>2610</v>
      </c>
      <c r="B930" t="str">
        <f>IF(COUNTIF(A:A,A930)&gt;1,_xlfn.CONCAT(A930," (",N930,")"),A930)</f>
        <v>Shānmén Zhèn</v>
      </c>
      <c r="C930" t="str">
        <f>IF(COUNTIF(B:B,B930)&gt;1,_xlfn.CONCAT(A930," (",M930,")"),B930)</f>
        <v>Shānmén Zhèn</v>
      </c>
      <c r="D930" t="s">
        <v>2611</v>
      </c>
      <c r="E930" t="s">
        <v>11</v>
      </c>
      <c r="F930" t="str">
        <f>_xlfn.CONCAT(D930,", ",H930,", ",I930,", ","浙江省")</f>
        <v>山门镇, 平阳县, 温州市, 浙江省</v>
      </c>
      <c r="G930">
        <v>17308</v>
      </c>
      <c r="H930" t="s">
        <v>3006</v>
      </c>
      <c r="I930" t="s">
        <v>3000</v>
      </c>
      <c r="J930">
        <f>VLOOKUP(F930,[1]!china_towns_second__2[[Column1]:[Y]],3,FALSE)</f>
        <v>27.655214257746099</v>
      </c>
      <c r="K930">
        <f>VLOOKUP(F930,[1]!china_towns_second__2[[Column1]:[Y]],2,FALSE)</f>
        <v>120.1968251</v>
      </c>
      <c r="L930" t="s">
        <v>4564</v>
      </c>
      <c r="M930" t="str">
        <f>VLOOKUP(H930,CHOOSE({1,2},Table12[Native],Table12[Name]),2,0)</f>
        <v>Píngyáng Xiàn</v>
      </c>
      <c r="N930" s="15" t="str">
        <f>VLOOKUP(I930,CHOOSE({1,2},Table12[Native],Table12[Name]),2,0)</f>
        <v>Wēnzhōu Shì</v>
      </c>
      <c r="O930" s="15" t="str">
        <f t="shared" si="28"/>
        <v>Shanmen Zhen (Wēnzhōu Shì)</v>
      </c>
      <c r="P930" s="15" t="str">
        <f t="shared" si="29"/>
        <v>Shanmen Zhen (Wēnzhōu Shì)</v>
      </c>
    </row>
    <row r="931" spans="1:16" hidden="1" x14ac:dyDescent="0.25">
      <c r="A931" t="s">
        <v>2612</v>
      </c>
      <c r="B931" t="str">
        <f>IF(COUNTIF(A:A,A931)&gt;1,_xlfn.CONCAT(A931," (",N931,")"),A931)</f>
        <v>Shānxī Zhèn</v>
      </c>
      <c r="C931" t="str">
        <f>IF(COUNTIF(B:B,B931)&gt;1,_xlfn.CONCAT(A931," (",M931,")"),B931)</f>
        <v>Shānxī Zhèn</v>
      </c>
      <c r="D931" t="s">
        <v>2613</v>
      </c>
      <c r="E931" t="s">
        <v>11</v>
      </c>
      <c r="F931" t="str">
        <f>_xlfn.CONCAT(D931,", ",H931,", ",I931,", ","浙江省")</f>
        <v>珊溪镇, 文成县, 温州市, 浙江省</v>
      </c>
      <c r="G931">
        <v>18361</v>
      </c>
      <c r="H931" t="s">
        <v>3009</v>
      </c>
      <c r="I931" t="s">
        <v>3000</v>
      </c>
      <c r="J931">
        <f>VLOOKUP(F931,[1]!china_towns_second__2[[Column1]:[Y]],3,FALSE)</f>
        <v>27.644789514634301</v>
      </c>
      <c r="K931">
        <f>VLOOKUP(F931,[1]!china_towns_second__2[[Column1]:[Y]],2,FALSE)</f>
        <v>120.0476508</v>
      </c>
      <c r="L931" t="s">
        <v>4565</v>
      </c>
      <c r="M931" t="str">
        <f>VLOOKUP(H931,CHOOSE({1,2},Table12[Native],Table12[Name]),2,0)</f>
        <v>Wénchéng Xiàn</v>
      </c>
      <c r="N931" s="15" t="str">
        <f>VLOOKUP(I931,CHOOSE({1,2},Table12[Native],Table12[Name]),2,0)</f>
        <v>Wēnzhōu Shì</v>
      </c>
      <c r="O931" s="15" t="str">
        <f t="shared" si="28"/>
        <v>Shanxi Zhen (Wēnzhōu Shì)</v>
      </c>
      <c r="P931" s="15" t="str">
        <f t="shared" si="29"/>
        <v>Shanxi Zhen (Wēnzhōu Shì)</v>
      </c>
    </row>
    <row r="932" spans="1:16" hidden="1" x14ac:dyDescent="0.25">
      <c r="A932" t="s">
        <v>1974</v>
      </c>
      <c r="B932" t="str">
        <f>IF(COUNTIF(A:A,A932)&gt;1,_xlfn.CONCAT(A932," (",N932,")"),A932)</f>
        <v>Shānxiàhú Zhèn</v>
      </c>
      <c r="C932" t="str">
        <f>IF(COUNTIF(B:B,B932)&gt;1,_xlfn.CONCAT(A932," (",M932,")"),B932)</f>
        <v>Shānxiàhú Zhèn</v>
      </c>
      <c r="D932" t="s">
        <v>1975</v>
      </c>
      <c r="E932" t="s">
        <v>11</v>
      </c>
      <c r="F932" t="str">
        <f>_xlfn.CONCAT(D932,", ",H932,", ",I932,", ","浙江省")</f>
        <v>山下湖镇, 诸暨市, 绍兴市, 浙江省</v>
      </c>
      <c r="G932">
        <v>27995</v>
      </c>
      <c r="H932" t="s">
        <v>2987</v>
      </c>
      <c r="I932" t="s">
        <v>2981</v>
      </c>
      <c r="J932">
        <f>VLOOKUP(F932,[1]!china_towns_second__2[[Column1]:[Y]],3,FALSE)</f>
        <v>29.838998214576499</v>
      </c>
      <c r="K932">
        <f>VLOOKUP(F932,[1]!china_towns_second__2[[Column1]:[Y]],2,FALSE)</f>
        <v>120.3584025</v>
      </c>
      <c r="L932" t="s">
        <v>4566</v>
      </c>
      <c r="M932" t="str">
        <f>VLOOKUP(H932,CHOOSE({1,2},Table12[Native],Table12[Name]),2,0)</f>
        <v>Zhūjì Shì</v>
      </c>
      <c r="N932" s="15" t="str">
        <f>VLOOKUP(I932,CHOOSE({1,2},Table12[Native],Table12[Name]),2,0)</f>
        <v>Shàoxīng Shì</v>
      </c>
      <c r="O932" s="15" t="str">
        <f t="shared" si="28"/>
        <v>Shanxiahu Zhen (Shàoxīng Shì)</v>
      </c>
      <c r="P932" s="15" t="str">
        <f t="shared" si="29"/>
        <v>Shanxiahu Zhen (Shàoxīng Shì)</v>
      </c>
    </row>
    <row r="933" spans="1:16" hidden="1" x14ac:dyDescent="0.25">
      <c r="A933" t="s">
        <v>2203</v>
      </c>
      <c r="B933" t="str">
        <f>IF(COUNTIF(A:A,A933)&gt;1,_xlfn.CONCAT(A933," (",N933,")"),A933)</f>
        <v>Shàojiādù Jiēdào</v>
      </c>
      <c r="C933" t="str">
        <f>IF(COUNTIF(B:B,B933)&gt;1,_xlfn.CONCAT(A933," (",M933,")"),B933)</f>
        <v>Shàojiādù Jiēdào</v>
      </c>
      <c r="D933" t="s">
        <v>2204</v>
      </c>
      <c r="E933" t="s">
        <v>15</v>
      </c>
      <c r="F933" t="str">
        <f>_xlfn.CONCAT(D933,", ",H933,", ",I933,", ","浙江省")</f>
        <v>邵家渡街道, 临海市, 台州市, 浙江省</v>
      </c>
      <c r="G933">
        <v>33773</v>
      </c>
      <c r="H933" t="s">
        <v>2992</v>
      </c>
      <c r="I933" t="s">
        <v>2989</v>
      </c>
      <c r="J933">
        <f>VLOOKUP(F933,[1]!china_towns_second__2[[Column1]:[Y]],3,FALSE)</f>
        <v>28.852041374722202</v>
      </c>
      <c r="K933">
        <f>VLOOKUP(F933,[1]!china_towns_second__2[[Column1]:[Y]],2,FALSE)</f>
        <v>121.2794136</v>
      </c>
      <c r="L933" t="s">
        <v>4567</v>
      </c>
      <c r="M933" t="str">
        <f>VLOOKUP(H933,CHOOSE({1,2},Table12[Native],Table12[Name]),2,0)</f>
        <v>Línhăi Shì</v>
      </c>
      <c r="N933" s="15" t="str">
        <f>VLOOKUP(I933,CHOOSE({1,2},Table12[Native],Table12[Name]),2,0)</f>
        <v>Táizhōu Shì</v>
      </c>
      <c r="O933" s="15" t="str">
        <f t="shared" si="28"/>
        <v>Shaojiadu Jiedao (Táizhōu Shì)</v>
      </c>
      <c r="P933" s="15" t="str">
        <f t="shared" si="29"/>
        <v>Shaojiadu Jiedao (Táizhōu Shì)</v>
      </c>
    </row>
    <row r="934" spans="1:16" hidden="1" x14ac:dyDescent="0.25">
      <c r="A934" t="s">
        <v>1207</v>
      </c>
      <c r="B934" t="str">
        <f>IF(COUNTIF(A:A,A934)&gt;1,_xlfn.CONCAT(A934," (",N934,")"),A934)</f>
        <v>Shāpū Xiāng</v>
      </c>
      <c r="C934" t="str">
        <f>IF(COUNTIF(B:B,B934)&gt;1,_xlfn.CONCAT(A934," (",M934,")"),B934)</f>
        <v>Shāpū Xiāng</v>
      </c>
      <c r="D934" t="s">
        <v>1208</v>
      </c>
      <c r="E934" t="s">
        <v>7</v>
      </c>
      <c r="F934" t="str">
        <f>_xlfn.CONCAT(D934,", ",H934,", ",I934,", ","浙江省")</f>
        <v>沙铺乡, 云和县, 丽水市, 浙江省</v>
      </c>
      <c r="G934">
        <v>1193</v>
      </c>
      <c r="H934" t="s">
        <v>2959</v>
      </c>
      <c r="I934" t="s">
        <v>2949</v>
      </c>
      <c r="J934" t="e">
        <f>VLOOKUP(F934,[1]!china_towns_second__2[[Column1]:[Y]],3,FALSE)</f>
        <v>#N/A</v>
      </c>
      <c r="K934" t="e">
        <f>VLOOKUP(F934,[1]!china_towns_second__2[[Column1]:[Y]],2,FALSE)</f>
        <v>#N/A</v>
      </c>
      <c r="L934" t="s">
        <v>4568</v>
      </c>
      <c r="M934" t="str">
        <f>VLOOKUP(H934,CHOOSE({1,2},Table12[Native],Table12[Name]),2,0)</f>
        <v>Yúnhé Xiàn</v>
      </c>
      <c r="N934" s="15" t="str">
        <f>VLOOKUP(I934,CHOOSE({1,2},Table12[Native],Table12[Name]),2,0)</f>
        <v>Lìshuĭ Shì</v>
      </c>
      <c r="O934" s="15" t="str">
        <f t="shared" si="28"/>
        <v>Shapu Xiang (Lìshuĭ Shì)</v>
      </c>
      <c r="P934" s="15" t="str">
        <f t="shared" si="29"/>
        <v>Shapu Xiang (Lìshuĭ Shì)</v>
      </c>
    </row>
    <row r="935" spans="1:16" hidden="1" x14ac:dyDescent="0.25">
      <c r="A935" t="s">
        <v>2614</v>
      </c>
      <c r="B935" t="str">
        <f>IF(COUNTIF(A:A,A935)&gt;1,_xlfn.CONCAT(A935," (",N935,")"),A935)</f>
        <v>Shātóu Zhèn</v>
      </c>
      <c r="C935" t="str">
        <f>IF(COUNTIF(B:B,B935)&gt;1,_xlfn.CONCAT(A935," (",M935,")"),B935)</f>
        <v>Shātóu Zhèn</v>
      </c>
      <c r="D935" t="s">
        <v>2615</v>
      </c>
      <c r="E935" t="s">
        <v>11</v>
      </c>
      <c r="F935" t="str">
        <f>_xlfn.CONCAT(D935,", ",H935,", ",I935,", ","浙江省")</f>
        <v>沙头镇, 永嘉县, 温州市, 浙江省</v>
      </c>
      <c r="G935">
        <v>12435</v>
      </c>
      <c r="H935" t="s">
        <v>3010</v>
      </c>
      <c r="I935" t="s">
        <v>3000</v>
      </c>
      <c r="J935">
        <f>VLOOKUP(F935,[1]!china_towns_second__2[[Column1]:[Y]],3,FALSE)</f>
        <v>28.247501962561401</v>
      </c>
      <c r="K935">
        <f>VLOOKUP(F935,[1]!china_towns_second__2[[Column1]:[Y]],2,FALSE)</f>
        <v>120.7849743</v>
      </c>
      <c r="L935" t="s">
        <v>4569</v>
      </c>
      <c r="M935" t="str">
        <f>VLOOKUP(H935,CHOOSE({1,2},Table12[Native],Table12[Name]),2,0)</f>
        <v>Yŏngjiā Xiàn</v>
      </c>
      <c r="N935" s="15" t="str">
        <f>VLOOKUP(I935,CHOOSE({1,2},Table12[Native],Table12[Name]),2,0)</f>
        <v>Wēnzhōu Shì</v>
      </c>
      <c r="O935" s="15" t="str">
        <f t="shared" si="28"/>
        <v>Shatou Zhen (Wēnzhōu Shì)</v>
      </c>
      <c r="P935" s="15" t="str">
        <f t="shared" si="29"/>
        <v>Shatou Zhen (Wēnzhōu Shì)</v>
      </c>
    </row>
    <row r="936" spans="1:16" hidden="1" x14ac:dyDescent="0.25">
      <c r="A936" t="s">
        <v>1209</v>
      </c>
      <c r="B936" t="str">
        <f>IF(COUNTIF(A:A,A936)&gt;1,_xlfn.CONCAT(A936," (",N936,")"),A936)</f>
        <v>Shāwān Zhèn</v>
      </c>
      <c r="C936" t="str">
        <f>IF(COUNTIF(B:B,B936)&gt;1,_xlfn.CONCAT(A936," (",M936,")"),B936)</f>
        <v>Shāwān Zhèn</v>
      </c>
      <c r="D936" t="s">
        <v>1210</v>
      </c>
      <c r="E936" t="s">
        <v>11</v>
      </c>
      <c r="F936" t="str">
        <f>_xlfn.CONCAT(D936,", ",H936,", ",I936,", ","浙江省")</f>
        <v>沙湾镇, 景宁畲族自治县, 丽水市, 浙江省</v>
      </c>
      <c r="G936">
        <v>5987</v>
      </c>
      <c r="H936" t="s">
        <v>2951</v>
      </c>
      <c r="I936" t="s">
        <v>2949</v>
      </c>
      <c r="J936">
        <f>VLOOKUP(F936,[1]!china_towns_second__2[[Column1]:[Y]],3,FALSE)</f>
        <v>27.8280112315488</v>
      </c>
      <c r="K936">
        <f>VLOOKUP(F936,[1]!china_towns_second__2[[Column1]:[Y]],2,FALSE)</f>
        <v>119.4229283</v>
      </c>
      <c r="L936" t="s">
        <v>4570</v>
      </c>
      <c r="M936" t="str">
        <f>VLOOKUP(H936,CHOOSE({1,2},Table12[Native],Table12[Name]),2,0)</f>
        <v>Jĭngníng Shēzú Zìzhìxiàn</v>
      </c>
      <c r="N936" s="15" t="str">
        <f>VLOOKUP(I936,CHOOSE({1,2},Table12[Native],Table12[Name]),2,0)</f>
        <v>Lìshuĭ Shì</v>
      </c>
      <c r="O936" s="15" t="str">
        <f t="shared" si="28"/>
        <v>Shawan Zhen (Lìshuĭ Shì)</v>
      </c>
      <c r="P936" s="15" t="str">
        <f t="shared" si="29"/>
        <v>Shawan Zhen (Lìshuĭ Shì)</v>
      </c>
    </row>
    <row r="937" spans="1:16" hidden="1" x14ac:dyDescent="0.25">
      <c r="A937" t="s">
        <v>1976</v>
      </c>
      <c r="B937" t="str">
        <f>IF(COUNTIF(A:A,A937)&gt;1,_xlfn.CONCAT(A937," (",N937,")"),A937)</f>
        <v>Shāxī Zhèn</v>
      </c>
      <c r="C937" t="str">
        <f>IF(COUNTIF(B:B,B937)&gt;1,_xlfn.CONCAT(A937," (",M937,")"),B937)</f>
        <v>Shāxī Zhèn</v>
      </c>
      <c r="D937" t="s">
        <v>1977</v>
      </c>
      <c r="E937" t="s">
        <v>11</v>
      </c>
      <c r="F937" t="str">
        <f>_xlfn.CONCAT(D937,", ",H937,", ",I937,", ","浙江省")</f>
        <v>沙溪镇, 新昌县, 绍兴市, 浙江省</v>
      </c>
      <c r="G937">
        <v>8174</v>
      </c>
      <c r="H937" t="s">
        <v>2985</v>
      </c>
      <c r="I937" t="s">
        <v>2981</v>
      </c>
      <c r="J937">
        <f>VLOOKUP(F937,[1]!china_towns_second__2[[Column1]:[Y]],3,FALSE)</f>
        <v>29.496222241859702</v>
      </c>
      <c r="K937">
        <f>VLOOKUP(F937,[1]!china_towns_second__2[[Column1]:[Y]],2,FALSE)</f>
        <v>121.1533536</v>
      </c>
      <c r="L937" t="s">
        <v>4571</v>
      </c>
      <c r="M937" t="str">
        <f>VLOOKUP(H937,CHOOSE({1,2},Table12[Native],Table12[Name]),2,0)</f>
        <v>Xīnchāng Xiàn</v>
      </c>
      <c r="N937" s="15" t="str">
        <f>VLOOKUP(I937,CHOOSE({1,2},Table12[Native],Table12[Name]),2,0)</f>
        <v>Shàoxīng Shì</v>
      </c>
      <c r="O937" s="15" t="str">
        <f t="shared" si="28"/>
        <v>Shaxi Zhen (Shàoxīng Shì)</v>
      </c>
      <c r="P937" s="15" t="str">
        <f t="shared" si="29"/>
        <v>Shaxi Zhen (Shàoxīng Shì)</v>
      </c>
    </row>
    <row r="938" spans="1:16" hidden="1" x14ac:dyDescent="0.25">
      <c r="A938" t="s">
        <v>631</v>
      </c>
      <c r="B938" t="str">
        <f>IF(COUNTIF(A:A,A938)&gt;1,_xlfn.CONCAT(A938," (",N938,")"),A938)</f>
        <v>Shĕndàng Zhèn</v>
      </c>
      <c r="C938" t="str">
        <f>IF(COUNTIF(B:B,B938)&gt;1,_xlfn.CONCAT(A938," (",M938,")"),B938)</f>
        <v>Shĕndàng Zhèn</v>
      </c>
      <c r="D938" t="s">
        <v>632</v>
      </c>
      <c r="E938" t="s">
        <v>11</v>
      </c>
      <c r="F938" t="str">
        <f>_xlfn.CONCAT(D938,", ",H938,", ",I938,", ","浙江省")</f>
        <v>沈荡镇, 海盐县, 嘉兴市, 浙江省</v>
      </c>
      <c r="G938">
        <v>34963</v>
      </c>
      <c r="H938" t="s">
        <v>2931</v>
      </c>
      <c r="I938" t="s">
        <v>2929</v>
      </c>
      <c r="J938">
        <f>VLOOKUP(F938,[1]!china_towns_second__2[[Column1]:[Y]],3,FALSE)</f>
        <v>30.588572742093799</v>
      </c>
      <c r="K938">
        <f>VLOOKUP(F938,[1]!china_towns_second__2[[Column1]:[Y]],2,FALSE)</f>
        <v>120.8332635</v>
      </c>
      <c r="L938" t="s">
        <v>4572</v>
      </c>
      <c r="M938" t="str">
        <f>VLOOKUP(H938,CHOOSE({1,2},Table12[Native],Table12[Name]),2,0)</f>
        <v>Hăiyán Xiàn</v>
      </c>
      <c r="N938" s="15" t="str">
        <f>VLOOKUP(I938,CHOOSE({1,2},Table12[Native],Table12[Name]),2,0)</f>
        <v>Jiāxīng Shì</v>
      </c>
      <c r="O938" s="15" t="str">
        <f t="shared" si="28"/>
        <v>Shendang Zhen (Jiāxīng Shì)</v>
      </c>
      <c r="P938" s="15" t="str">
        <f t="shared" si="29"/>
        <v>Shendang Zhen (Jiāxīng Shì)</v>
      </c>
    </row>
    <row r="939" spans="1:16" hidden="1" x14ac:dyDescent="0.25">
      <c r="A939" t="s">
        <v>1535</v>
      </c>
      <c r="B939" t="str">
        <f>IF(COUNTIF(A:A,A939)&gt;1,_xlfn.CONCAT(A939," (",N939,")"),A939)</f>
        <v>Shèngshān Zhèn (Níngbō Shì)</v>
      </c>
      <c r="C939" t="str">
        <f>IF(COUNTIF(B:B,B939)&gt;1,_xlfn.CONCAT(A939," (",M939,")"),B939)</f>
        <v>Shèngshān Zhèn (Níngbō Shì)</v>
      </c>
      <c r="D939" t="s">
        <v>1536</v>
      </c>
      <c r="E939" t="s">
        <v>11</v>
      </c>
      <c r="F939" t="str">
        <f>_xlfn.CONCAT(D939,", ",H939,", ",I939,", ","浙江省")</f>
        <v>胜山镇, 慈溪市, 宁波市, 浙江省</v>
      </c>
      <c r="G939">
        <v>53952</v>
      </c>
      <c r="H939" t="s">
        <v>2963</v>
      </c>
      <c r="I939" t="s">
        <v>2961</v>
      </c>
      <c r="J939">
        <f>VLOOKUP(F939,[1]!china_towns_second__2[[Column1]:[Y]],3,FALSE)</f>
        <v>30.237384168437799</v>
      </c>
      <c r="K939">
        <f>VLOOKUP(F939,[1]!china_towns_second__2[[Column1]:[Y]],2,FALSE)</f>
        <v>121.31363260000001</v>
      </c>
      <c r="L939" t="s">
        <v>4573</v>
      </c>
      <c r="M939" t="str">
        <f>VLOOKUP(H939,CHOOSE({1,2},Table12[Native],Table12[Name]),2,0)</f>
        <v>Cíxī Shì</v>
      </c>
      <c r="N939" s="15" t="str">
        <f>VLOOKUP(I939,CHOOSE({1,2},Table12[Native],Table12[Name]),2,0)</f>
        <v>Níngbō Shì</v>
      </c>
      <c r="O939" s="15" t="str">
        <f t="shared" si="28"/>
        <v>Shengshan Zhen (Ningbo Shi) (Níngbō Shì)</v>
      </c>
      <c r="P939" s="15" t="str">
        <f t="shared" si="29"/>
        <v>Shengshan Zhen (Ningbo Shi) (Níngbō Shì)</v>
      </c>
    </row>
    <row r="940" spans="1:16" hidden="1" x14ac:dyDescent="0.25">
      <c r="A940" t="s">
        <v>1535</v>
      </c>
      <c r="B940" t="str">
        <f>IF(COUNTIF(A:A,A940)&gt;1,_xlfn.CONCAT(A940," (",N940,")"),A940)</f>
        <v>Shèngshān Zhèn (Zhōushān Shì)</v>
      </c>
      <c r="C940" t="str">
        <f>IF(COUNTIF(B:B,B940)&gt;1,_xlfn.CONCAT(A940," (",M940,")"),B940)</f>
        <v>Shèngshān Zhèn (Zhōushān Shì)</v>
      </c>
      <c r="D940" t="s">
        <v>2878</v>
      </c>
      <c r="E940" t="s">
        <v>11</v>
      </c>
      <c r="F940" t="str">
        <f>_xlfn.CONCAT(D940,", ",H940,", ",I940,", ","浙江省")</f>
        <v>嵊山镇, 嵊泗县, 舟山市, 浙江省</v>
      </c>
      <c r="G940">
        <v>8509</v>
      </c>
      <c r="H940" t="s">
        <v>3017</v>
      </c>
      <c r="I940" t="s">
        <v>3013</v>
      </c>
      <c r="J940">
        <f>VLOOKUP(F940,[1]!china_towns_second__2[[Column1]:[Y]],3,FALSE)</f>
        <v>30.7182887451171</v>
      </c>
      <c r="K940">
        <f>VLOOKUP(F940,[1]!china_towns_second__2[[Column1]:[Y]],2,FALSE)</f>
        <v>122.81485379999999</v>
      </c>
      <c r="L940" t="s">
        <v>4574</v>
      </c>
      <c r="M940" t="str">
        <f>VLOOKUP(H940,CHOOSE({1,2},Table12[Native],Table12[Name]),2,0)</f>
        <v>Shèngsì Xiàn</v>
      </c>
      <c r="N940" s="15" t="str">
        <f>VLOOKUP(I940,CHOOSE({1,2},Table12[Native],Table12[Name]),2,0)</f>
        <v>Zhōushān Shì</v>
      </c>
      <c r="O940" s="15" t="str">
        <f t="shared" si="28"/>
        <v>Shengshan Zhen (Zhoushan Shi) (Zhōushān Shì)</v>
      </c>
      <c r="P940" s="15" t="str">
        <f t="shared" si="29"/>
        <v>Shengshan Zhen (Zhoushan Shi) (Zhōushān Shì)</v>
      </c>
    </row>
    <row r="941" spans="1:16" hidden="1" x14ac:dyDescent="0.25">
      <c r="A941" t="s">
        <v>1978</v>
      </c>
      <c r="B941" t="str">
        <f>IF(COUNTIF(A:A,A941)&gt;1,_xlfn.CONCAT(A941," (",N941,")"),A941)</f>
        <v>Shèngzhōu Jīngjì Kāifāqū</v>
      </c>
      <c r="C941" t="str">
        <f>IF(COUNTIF(B:B,B941)&gt;1,_xlfn.CONCAT(A941," (",M941,")"),B941)</f>
        <v>Shèngzhōu Jīngjì Kāifāqū</v>
      </c>
      <c r="D941" t="s">
        <v>1979</v>
      </c>
      <c r="E941" t="s">
        <v>253</v>
      </c>
      <c r="F941" t="str">
        <f>_xlfn.CONCAT(D941,", ",H941,", ",I941,", ","浙江省")</f>
        <v>嵊州经济开发区, 嵊州市, 绍兴市, 浙江省</v>
      </c>
      <c r="G941">
        <v>43035</v>
      </c>
      <c r="H941" t="s">
        <v>2984</v>
      </c>
      <c r="I941" t="s">
        <v>2981</v>
      </c>
      <c r="J941">
        <f>VLOOKUP(F941,[1]!china_towns_second__2[[Column1]:[Y]],3,FALSE)</f>
        <v>29.571705263571399</v>
      </c>
      <c r="K941">
        <f>VLOOKUP(F941,[1]!china_towns_second__2[[Column1]:[Y]],2,FALSE)</f>
        <v>120.8711575</v>
      </c>
      <c r="L941" t="s">
        <v>4575</v>
      </c>
      <c r="M941" t="str">
        <f>VLOOKUP(H941,CHOOSE({1,2},Table12[Native],Table12[Name]),2,0)</f>
        <v>Shèngzhōu Shì</v>
      </c>
      <c r="N941" s="15" t="str">
        <f>VLOOKUP(I941,CHOOSE({1,2},Table12[Native],Table12[Name]),2,0)</f>
        <v>Shàoxīng Shì</v>
      </c>
      <c r="O941" s="15" t="str">
        <f t="shared" si="28"/>
        <v>Shengzhou Jingji Kaifaqu (Shàoxīng Shì)</v>
      </c>
      <c r="P941" s="15" t="str">
        <f t="shared" si="29"/>
        <v>Shengzhou Jingji Kaifaqu (Shàoxīng Shì)</v>
      </c>
    </row>
    <row r="942" spans="1:16" hidden="1" x14ac:dyDescent="0.25">
      <c r="A942" t="s">
        <v>2879</v>
      </c>
      <c r="B942" t="str">
        <f>IF(COUNTIF(A:A,A942)&gt;1,_xlfn.CONCAT(A942," (",N942,")"),A942)</f>
        <v>Shĕnjiāmén Jiēdào [incl. Dēngbù Xiāng, Măyĭdăo Xiāng]</v>
      </c>
      <c r="C942" t="str">
        <f>IF(COUNTIF(B:B,B942)&gt;1,_xlfn.CONCAT(A942," (",M942,")"),B942)</f>
        <v>Shĕnjiāmén Jiēdào [incl. Dēngbù Xiāng, Măyĭdăo Xiāng]</v>
      </c>
      <c r="D942" t="s">
        <v>2880</v>
      </c>
      <c r="E942" t="s">
        <v>15</v>
      </c>
      <c r="F942" t="str">
        <f>_xlfn.CONCAT(D942,", ",H942,", ",I942,", ","浙江省")</f>
        <v>沈家门街道, 普陀区, 舟山市, 浙江省</v>
      </c>
      <c r="G942">
        <v>148610</v>
      </c>
      <c r="H942" t="s">
        <v>3016</v>
      </c>
      <c r="I942" t="s">
        <v>3013</v>
      </c>
      <c r="J942">
        <f>VLOOKUP(F942,[1]!china_towns_second__2[[Column1]:[Y]],3,FALSE)</f>
        <v>29.913886451427501</v>
      </c>
      <c r="K942">
        <f>VLOOKUP(F942,[1]!china_towns_second__2[[Column1]:[Y]],2,FALSE)</f>
        <v>122.2833667</v>
      </c>
      <c r="L942" t="s">
        <v>4576</v>
      </c>
      <c r="M942" t="str">
        <f>VLOOKUP(H942,CHOOSE({1,2},Table12[Native],Table12[Name]),2,0)</f>
        <v>Pŭtuó Qū</v>
      </c>
      <c r="N942" s="15" t="str">
        <f>VLOOKUP(I942,CHOOSE({1,2},Table12[Native],Table12[Name]),2,0)</f>
        <v>Zhōushān Shì</v>
      </c>
      <c r="O942" s="15" t="str">
        <f t="shared" si="28"/>
        <v>Shenjiamen Jiedao [incl. Dengbu Xiang, Mayidao Xiang] (Zhōushān Shì)</v>
      </c>
      <c r="P942" s="15" t="str">
        <f t="shared" si="29"/>
        <v>Shenjiamen Jiedao [incl. Dengbu Xiang, Mayidao Xiang] (Zhōushān Shì)</v>
      </c>
    </row>
    <row r="943" spans="1:16" hidden="1" x14ac:dyDescent="0.25">
      <c r="A943" t="s">
        <v>1537</v>
      </c>
      <c r="B943" t="str">
        <f>IF(COUNTIF(A:A,A943)&gt;1,_xlfn.CONCAT(A943," (",N943,")"),A943)</f>
        <v>Shēnquăn Zhèn</v>
      </c>
      <c r="C943" t="str">
        <f>IF(COUNTIF(B:B,B943)&gt;1,_xlfn.CONCAT(A943," (",M943,")"),B943)</f>
        <v>Shēnquăn Zhèn</v>
      </c>
      <c r="D943" t="s">
        <v>1538</v>
      </c>
      <c r="E943" t="s">
        <v>11</v>
      </c>
      <c r="F943" t="str">
        <f>_xlfn.CONCAT(D943,", ",H943,", ",I943,", ","浙江省")</f>
        <v>深甽镇, 宁海县, 宁波市, 浙江省</v>
      </c>
      <c r="G943">
        <v>30581</v>
      </c>
      <c r="H943" t="s">
        <v>2967</v>
      </c>
      <c r="I943" t="s">
        <v>2961</v>
      </c>
      <c r="J943">
        <f>VLOOKUP(F943,[1]!china_towns_second__2[[Column1]:[Y]],3,FALSE)</f>
        <v>29.4142819495206</v>
      </c>
      <c r="K943">
        <f>VLOOKUP(F943,[1]!china_towns_second__2[[Column1]:[Y]],2,FALSE)</f>
        <v>121.2978064</v>
      </c>
      <c r="L943" t="s">
        <v>4577</v>
      </c>
      <c r="M943" t="str">
        <f>VLOOKUP(H943,CHOOSE({1,2},Table12[Native],Table12[Name]),2,0)</f>
        <v>Nínghăi Xiàn</v>
      </c>
      <c r="N943" s="15" t="str">
        <f>VLOOKUP(I943,CHOOSE({1,2},Table12[Native],Table12[Name]),2,0)</f>
        <v>Níngbō Shì</v>
      </c>
      <c r="O943" s="15" t="str">
        <f t="shared" si="28"/>
        <v>Shenquan Zhen (Níngbō Shì)</v>
      </c>
      <c r="P943" s="15" t="str">
        <f t="shared" si="29"/>
        <v>Shenquan Zhen (Níngbō Shì)</v>
      </c>
    </row>
    <row r="944" spans="1:16" hidden="1" x14ac:dyDescent="0.25">
      <c r="A944" t="s">
        <v>2205</v>
      </c>
      <c r="B944" t="str">
        <f>IF(COUNTIF(A:A,A944)&gt;1,_xlfn.CONCAT(A944," (",N944,")"),A944)</f>
        <v>Shépán Xiāng</v>
      </c>
      <c r="C944" t="str">
        <f>IF(COUNTIF(B:B,B944)&gt;1,_xlfn.CONCAT(A944," (",M944,")"),B944)</f>
        <v>Shépán Xiāng</v>
      </c>
      <c r="D944" t="s">
        <v>2206</v>
      </c>
      <c r="E944" t="s">
        <v>7</v>
      </c>
      <c r="F944" t="str">
        <f>_xlfn.CONCAT(D944,", ",H944,", ",I944,", ","浙江省")</f>
        <v>蛇蟠乡, 三门县, 台州市, 浙江省</v>
      </c>
      <c r="G944">
        <v>1946</v>
      </c>
      <c r="H944" t="s">
        <v>2994</v>
      </c>
      <c r="I944" t="s">
        <v>2989</v>
      </c>
      <c r="J944" t="e">
        <f>VLOOKUP(F944,[1]!china_towns_second__2[[Column1]:[Y]],3,FALSE)</f>
        <v>#N/A</v>
      </c>
      <c r="K944" t="e">
        <f>VLOOKUP(F944,[1]!china_towns_second__2[[Column1]:[Y]],2,FALSE)</f>
        <v>#N/A</v>
      </c>
      <c r="L944" t="s">
        <v>4578</v>
      </c>
      <c r="M944" t="str">
        <f>VLOOKUP(H944,CHOOSE({1,2},Table12[Native],Table12[Name]),2,0)</f>
        <v>Sānmén Xiàn</v>
      </c>
      <c r="N944" s="15" t="str">
        <f>VLOOKUP(I944,CHOOSE({1,2},Table12[Native],Table12[Name]),2,0)</f>
        <v>Táizhōu Shì</v>
      </c>
      <c r="O944" s="15" t="str">
        <f t="shared" si="28"/>
        <v>Shepan Xiang (Táizhōu Shì)</v>
      </c>
      <c r="P944" s="15" t="str">
        <f t="shared" si="29"/>
        <v>Shepan Xiang (Táizhōu Shì)</v>
      </c>
    </row>
    <row r="945" spans="1:16" hidden="1" x14ac:dyDescent="0.25">
      <c r="A945" t="s">
        <v>1762</v>
      </c>
      <c r="B945" t="str">
        <f>IF(COUNTIF(A:A,A945)&gt;1,_xlfn.CONCAT(A945," (",N945,")"),A945)</f>
        <v>Shèyáng Xiāng</v>
      </c>
      <c r="C945" t="str">
        <f>IF(COUNTIF(B:B,B945)&gt;1,_xlfn.CONCAT(A945," (",M945,")"),B945)</f>
        <v>Shèyáng Xiāng</v>
      </c>
      <c r="D945" t="s">
        <v>1763</v>
      </c>
      <c r="E945" t="s">
        <v>7</v>
      </c>
      <c r="F945" t="str">
        <f>_xlfn.CONCAT(D945,", ",H945,", ",I945,", ","浙江省")</f>
        <v>社阳乡, 龙游县, 衢州市, 浙江省</v>
      </c>
      <c r="G945">
        <v>6292</v>
      </c>
      <c r="H945" t="s">
        <v>2978</v>
      </c>
      <c r="I945" t="s">
        <v>2973</v>
      </c>
      <c r="J945" t="e">
        <f>VLOOKUP(F945,[1]!china_towns_second__2[[Column1]:[Y]],3,FALSE)</f>
        <v>#N/A</v>
      </c>
      <c r="K945" t="e">
        <f>VLOOKUP(F945,[1]!china_towns_second__2[[Column1]:[Y]],2,FALSE)</f>
        <v>#N/A</v>
      </c>
      <c r="L945" t="s">
        <v>4579</v>
      </c>
      <c r="M945" t="str">
        <f>VLOOKUP(H945,CHOOSE({1,2},Table12[Native],Table12[Name]),2,0)</f>
        <v>Lóngyóu Xiàn</v>
      </c>
      <c r="N945" s="15" t="str">
        <f>VLOOKUP(I945,CHOOSE({1,2},Table12[Native],Table12[Name]),2,0)</f>
        <v>Qúzhōu Shì</v>
      </c>
      <c r="O945" s="15" t="str">
        <f t="shared" si="28"/>
        <v>Sheyang Xiang (Qúzhōu Shì)</v>
      </c>
      <c r="P945" s="15" t="str">
        <f t="shared" si="29"/>
        <v>Sheyang Xiang (Qúzhōu Shì)</v>
      </c>
    </row>
    <row r="946" spans="1:16" hidden="1" x14ac:dyDescent="0.25">
      <c r="A946" t="s">
        <v>507</v>
      </c>
      <c r="B946" t="str">
        <f>IF(COUNTIF(A:A,A946)&gt;1,_xlfn.CONCAT(A946," (",N946,")"),A946)</f>
        <v>Shícóng Zhèn</v>
      </c>
      <c r="C946" t="str">
        <f>IF(COUNTIF(B:B,B946)&gt;1,_xlfn.CONCAT(A946," (",M946,")"),B946)</f>
        <v>Shícóng Zhèn</v>
      </c>
      <c r="D946" t="s">
        <v>508</v>
      </c>
      <c r="E946" t="s">
        <v>11</v>
      </c>
      <c r="F946" t="str">
        <f>_xlfn.CONCAT(D946,", ",H946,", ",I946,", ","浙江省")</f>
        <v>石淙镇, 南浔区, 湖州市, 浙江省</v>
      </c>
      <c r="G946">
        <v>13613</v>
      </c>
      <c r="H946" t="s">
        <v>2926</v>
      </c>
      <c r="I946" t="s">
        <v>2922</v>
      </c>
      <c r="J946">
        <f>VLOOKUP(F946,[1]!china_towns_second__2[[Column1]:[Y]],3,FALSE)</f>
        <v>30.7164591014159</v>
      </c>
      <c r="K946">
        <f>VLOOKUP(F946,[1]!china_towns_second__2[[Column1]:[Y]],2,FALSE)</f>
        <v>120.2602345</v>
      </c>
      <c r="L946" t="s">
        <v>4580</v>
      </c>
      <c r="M946" t="str">
        <f>VLOOKUP(H946,CHOOSE({1,2},Table12[Native],Table12[Name]),2,0)</f>
        <v>Nánxún Qū</v>
      </c>
      <c r="N946" s="15" t="str">
        <f>VLOOKUP(I946,CHOOSE({1,2},Table12[Native],Table12[Name]),2,0)</f>
        <v>Húzhōu Shì</v>
      </c>
      <c r="O946" s="15" t="str">
        <f t="shared" si="28"/>
        <v>Shicong Zhen (Húzhōu Shì)</v>
      </c>
      <c r="P946" s="15" t="str">
        <f t="shared" si="29"/>
        <v>Shicong Zhen (Húzhōu Shì)</v>
      </c>
    </row>
    <row r="947" spans="1:16" hidden="1" x14ac:dyDescent="0.25">
      <c r="A947" t="s">
        <v>1211</v>
      </c>
      <c r="B947" t="str">
        <f>IF(COUNTIF(A:A,A947)&gt;1,_xlfn.CONCAT(A947," (",N947,")"),A947)</f>
        <v>Shídáshí Jiēdào [incl. Dashí Xiāng]</v>
      </c>
      <c r="C947" t="str">
        <f>IF(COUNTIF(B:B,B947)&gt;1,_xlfn.CONCAT(A947," (",M947,")"),B947)</f>
        <v>Shídáshí Jiēdào [incl. Dashí Xiāng]</v>
      </c>
      <c r="D947" t="s">
        <v>1212</v>
      </c>
      <c r="E947" t="s">
        <v>15</v>
      </c>
      <c r="F947" t="str">
        <f>_xlfn.CONCAT(D947,", ",H947,", ",I947,", ","浙江省")</f>
        <v>石达石街道, 龙泉市, 丽水市, 浙江省</v>
      </c>
      <c r="G947">
        <v>5221</v>
      </c>
      <c r="H947" t="s">
        <v>2954</v>
      </c>
      <c r="I947" t="s">
        <v>2949</v>
      </c>
      <c r="J947">
        <f>VLOOKUP(F947,[1]!china_towns_second__2[[Column1]:[Y]],3,FALSE)</f>
        <v>28.015821670901499</v>
      </c>
      <c r="K947">
        <f>VLOOKUP(F947,[1]!china_towns_second__2[[Column1]:[Y]],2,FALSE)</f>
        <v>119.204246</v>
      </c>
      <c r="L947" t="s">
        <v>4581</v>
      </c>
      <c r="M947" t="str">
        <f>VLOOKUP(H947,CHOOSE({1,2},Table12[Native],Table12[Name]),2,0)</f>
        <v>Lóngquán Shì</v>
      </c>
      <c r="N947" s="15" t="str">
        <f>VLOOKUP(I947,CHOOSE({1,2},Table12[Native],Table12[Name]),2,0)</f>
        <v>Lìshuĭ Shì</v>
      </c>
      <c r="O947" s="15" t="str">
        <f t="shared" si="28"/>
        <v>Shidashi Jiedao [incl. Dashi Xiang] (Lìshuĭ Shì)</v>
      </c>
      <c r="P947" s="15" t="str">
        <f t="shared" si="29"/>
        <v>Shidashi Jiedao [incl. Dashi Xiang] (Lìshuĭ Shì)</v>
      </c>
    </row>
    <row r="948" spans="1:16" hidden="1" x14ac:dyDescent="0.25">
      <c r="A948" t="s">
        <v>2616</v>
      </c>
      <c r="B948" t="str">
        <f>IF(COUNTIF(A:A,A948)&gt;1,_xlfn.CONCAT(A948," (",N948,")"),A948)</f>
        <v>Shífān Jiēdào</v>
      </c>
      <c r="C948" t="str">
        <f>IF(COUNTIF(B:B,B948)&gt;1,_xlfn.CONCAT(A948," (",M948,")"),B948)</f>
        <v>Shífān Jiēdào</v>
      </c>
      <c r="D948" t="s">
        <v>2617</v>
      </c>
      <c r="E948" t="s">
        <v>15</v>
      </c>
      <c r="F948" t="str">
        <f>_xlfn.CONCAT(D948,", ",H948,", ",I948,", ","浙江省")</f>
        <v>石帆街道, 乐清市, 温州市, 浙江省</v>
      </c>
      <c r="G948">
        <v>43779</v>
      </c>
      <c r="H948" t="s">
        <v>3011</v>
      </c>
      <c r="I948" t="s">
        <v>3000</v>
      </c>
      <c r="J948">
        <f>VLOOKUP(F948,[1]!china_towns_second__2[[Column1]:[Y]],3,FALSE)</f>
        <v>28.189261741010601</v>
      </c>
      <c r="K948">
        <f>VLOOKUP(F948,[1]!china_towns_second__2[[Column1]:[Y]],2,FALSE)</f>
        <v>120.9884223</v>
      </c>
      <c r="L948" t="s">
        <v>4582</v>
      </c>
      <c r="M948" t="str">
        <f>VLOOKUP(H948,CHOOSE({1,2},Table12[Native],Table12[Name]),2,0)</f>
        <v>Yuèqīng Shì</v>
      </c>
      <c r="N948" s="15" t="str">
        <f>VLOOKUP(I948,CHOOSE({1,2},Table12[Native],Table12[Name]),2,0)</f>
        <v>Wēnzhōu Shì</v>
      </c>
      <c r="O948" s="15" t="str">
        <f t="shared" si="28"/>
        <v>Shifan Jiedao (Wēnzhōu Shì)</v>
      </c>
      <c r="P948" s="15" t="str">
        <f t="shared" si="29"/>
        <v>Shifan Jiedao (Wēnzhōu Shì)</v>
      </c>
    </row>
    <row r="949" spans="1:16" hidden="1" x14ac:dyDescent="0.25">
      <c r="A949" t="s">
        <v>2207</v>
      </c>
      <c r="B949" t="str">
        <f>IF(COUNTIF(A:A,A949)&gt;1,_xlfn.CONCAT(A949," (",N949,")"),A949)</f>
        <v>Shĭfēng Jiēdào</v>
      </c>
      <c r="C949" t="str">
        <f>IF(COUNTIF(B:B,B949)&gt;1,_xlfn.CONCAT(A949," (",M949,")"),B949)</f>
        <v>Shĭfēng Jiēdào</v>
      </c>
      <c r="D949" t="s">
        <v>2208</v>
      </c>
      <c r="E949" t="s">
        <v>15</v>
      </c>
      <c r="F949" t="str">
        <f>_xlfn.CONCAT(D949,", ",H949,", ",I949,", ","浙江省")</f>
        <v>始丰街道, 天台县, 台州市, 浙江省</v>
      </c>
      <c r="G949">
        <v>36514</v>
      </c>
      <c r="H949" t="s">
        <v>2995</v>
      </c>
      <c r="I949" t="s">
        <v>2989</v>
      </c>
      <c r="J949">
        <f>VLOOKUP(F949,[1]!china_towns_second__2[[Column1]:[Y]],3,FALSE)</f>
        <v>29.139079623313101</v>
      </c>
      <c r="K949">
        <f>VLOOKUP(F949,[1]!china_towns_second__2[[Column1]:[Y]],2,FALSE)</f>
        <v>120.96092160000001</v>
      </c>
      <c r="L949" t="s">
        <v>4583</v>
      </c>
      <c r="M949" t="str">
        <f>VLOOKUP(H949,CHOOSE({1,2},Table12[Native],Table12[Name]),2,0)</f>
        <v>Tiāntái Xiàn</v>
      </c>
      <c r="N949" s="15" t="str">
        <f>VLOOKUP(I949,CHOOSE({1,2},Table12[Native],Table12[Name]),2,0)</f>
        <v>Táizhōu Shì</v>
      </c>
      <c r="O949" s="15" t="str">
        <f t="shared" si="28"/>
        <v>Shifeng Jiedao (Táizhōu Shì)</v>
      </c>
      <c r="P949" s="15" t="str">
        <f t="shared" si="29"/>
        <v>Shifeng Jiedao (Táizhōu Shì)</v>
      </c>
    </row>
    <row r="950" spans="1:16" hidden="1" x14ac:dyDescent="0.25">
      <c r="A950" t="s">
        <v>1764</v>
      </c>
      <c r="B950" t="str">
        <f>IF(COUNTIF(A:A,A950)&gt;1,_xlfn.CONCAT(A950," (",N950,")"),A950)</f>
        <v>Shífó Xiāng</v>
      </c>
      <c r="C950" t="str">
        <f>IF(COUNTIF(B:B,B950)&gt;1,_xlfn.CONCAT(A950," (",M950,")"),B950)</f>
        <v>Shífó Xiāng</v>
      </c>
      <c r="D950" t="s">
        <v>1765</v>
      </c>
      <c r="E950" t="s">
        <v>7</v>
      </c>
      <c r="F950" t="str">
        <f>_xlfn.CONCAT(D950,", ",H950,", ",I950,", ","浙江省")</f>
        <v>石佛乡, 龙游县, 衢州市, 浙江省</v>
      </c>
      <c r="G950">
        <v>11904</v>
      </c>
      <c r="H950" t="s">
        <v>2978</v>
      </c>
      <c r="I950" t="s">
        <v>2973</v>
      </c>
      <c r="J950" t="e">
        <f>VLOOKUP(F950,[1]!china_towns_second__2[[Column1]:[Y]],3,FALSE)</f>
        <v>#N/A</v>
      </c>
      <c r="K950" t="e">
        <f>VLOOKUP(F950,[1]!china_towns_second__2[[Column1]:[Y]],2,FALSE)</f>
        <v>#N/A</v>
      </c>
      <c r="L950" t="s">
        <v>4584</v>
      </c>
      <c r="M950" t="str">
        <f>VLOOKUP(H950,CHOOSE({1,2},Table12[Native],Table12[Name]),2,0)</f>
        <v>Lóngyóu Xiàn</v>
      </c>
      <c r="N950" s="15" t="str">
        <f>VLOOKUP(I950,CHOOSE({1,2},Table12[Native],Table12[Name]),2,0)</f>
        <v>Qúzhōu Shì</v>
      </c>
      <c r="O950" s="15" t="str">
        <f t="shared" si="28"/>
        <v>Shifo Xiang (Qúzhōu Shì)</v>
      </c>
      <c r="P950" s="15" t="str">
        <f t="shared" si="29"/>
        <v>Shifo Xiang (Qúzhōu Shì)</v>
      </c>
    </row>
    <row r="951" spans="1:16" hidden="1" x14ac:dyDescent="0.25">
      <c r="A951" t="s">
        <v>1980</v>
      </c>
      <c r="B951" t="str">
        <f>IF(COUNTIF(A:A,A951)&gt;1,_xlfn.CONCAT(A951," (",N951,")"),A951)</f>
        <v>Shíhuáng Zhèn [incl. Yăhuáng Xiāng, Tōngyuán Xiāng]</v>
      </c>
      <c r="C951" t="str">
        <f>IF(COUNTIF(B:B,B951)&gt;1,_xlfn.CONCAT(A951," (",M951,")"),B951)</f>
        <v>Shíhuáng Zhèn [incl. Yăhuáng Xiāng, Tōngyuán Xiāng]</v>
      </c>
      <c r="D951" t="s">
        <v>1981</v>
      </c>
      <c r="E951" t="s">
        <v>11</v>
      </c>
      <c r="F951" t="str">
        <f>_xlfn.CONCAT(D951,", ",H951,", ",I951,", ","浙江省")</f>
        <v>石璜镇, 嵊州市, 绍兴市, 浙江省</v>
      </c>
      <c r="G951">
        <v>29052</v>
      </c>
      <c r="H951" t="s">
        <v>2984</v>
      </c>
      <c r="I951" t="s">
        <v>2981</v>
      </c>
      <c r="J951">
        <f>VLOOKUP(F951,[1]!china_towns_second__2[[Column1]:[Y]],3,FALSE)</f>
        <v>29.571965763615001</v>
      </c>
      <c r="K951">
        <f>VLOOKUP(F951,[1]!china_towns_second__2[[Column1]:[Y]],2,FALSE)</f>
        <v>120.6105467</v>
      </c>
      <c r="L951" t="s">
        <v>4585</v>
      </c>
      <c r="M951" t="str">
        <f>VLOOKUP(H951,CHOOSE({1,2},Table12[Native],Table12[Name]),2,0)</f>
        <v>Shèngzhōu Shì</v>
      </c>
      <c r="N951" s="15" t="str">
        <f>VLOOKUP(I951,CHOOSE({1,2},Table12[Native],Table12[Name]),2,0)</f>
        <v>Shàoxīng Shì</v>
      </c>
      <c r="O951" s="15" t="str">
        <f t="shared" si="28"/>
        <v>Shihuang Zhen [incl. Yahuang Xiang, Tongyuan Xiang] (Shàoxīng Shì)</v>
      </c>
      <c r="P951" s="15" t="str">
        <f t="shared" si="29"/>
        <v>Shihuang Zhen [incl. Yahuang Xiang, Tongyuan Xiang] (Shàoxīng Shì)</v>
      </c>
    </row>
    <row r="952" spans="1:16" hidden="1" x14ac:dyDescent="0.25">
      <c r="A952" t="s">
        <v>1213</v>
      </c>
      <c r="B952" t="str">
        <f>IF(COUNTIF(A:A,A952)&gt;1,_xlfn.CONCAT(A952," (",N952,")"),A952)</f>
        <v>Shíjiăn Xiāng</v>
      </c>
      <c r="C952" t="str">
        <f>IF(COUNTIF(B:B,B952)&gt;1,_xlfn.CONCAT(A952," (",M952,")"),B952)</f>
        <v>Shíjiăn Xiāng</v>
      </c>
      <c r="D952" t="s">
        <v>1214</v>
      </c>
      <c r="E952" t="s">
        <v>7</v>
      </c>
      <c r="F952" t="str">
        <f>_xlfn.CONCAT(D952,", ",H952,", ",I952,", ","浙江省")</f>
        <v>石笕乡, 缙云县, 丽水市, 浙江省</v>
      </c>
      <c r="G952">
        <v>3054</v>
      </c>
      <c r="H952" t="s">
        <v>2952</v>
      </c>
      <c r="I952" t="s">
        <v>2949</v>
      </c>
      <c r="J952" t="e">
        <f>VLOOKUP(F952,[1]!china_towns_second__2[[Column1]:[Y]],3,FALSE)</f>
        <v>#N/A</v>
      </c>
      <c r="K952" t="e">
        <f>VLOOKUP(F952,[1]!china_towns_second__2[[Column1]:[Y]],2,FALSE)</f>
        <v>#N/A</v>
      </c>
      <c r="L952" t="s">
        <v>4586</v>
      </c>
      <c r="M952" t="str">
        <f>VLOOKUP(H952,CHOOSE({1,2},Table12[Native],Table12[Name]),2,0)</f>
        <v>Jìnyún Xiàn</v>
      </c>
      <c r="N952" s="15" t="str">
        <f>VLOOKUP(I952,CHOOSE({1,2},Table12[Native],Table12[Name]),2,0)</f>
        <v>Lìshuĭ Shì</v>
      </c>
      <c r="O952" s="15" t="str">
        <f t="shared" si="28"/>
        <v>Shijian Xiang (Lìshuĭ Shì)</v>
      </c>
      <c r="P952" s="15" t="str">
        <f t="shared" si="29"/>
        <v>Shijian Xiang (Lìshuĭ Shì)</v>
      </c>
    </row>
    <row r="953" spans="1:16" hidden="1" x14ac:dyDescent="0.25">
      <c r="A953" t="s">
        <v>1215</v>
      </c>
      <c r="B953" t="str">
        <f>IF(COUNTIF(A:A,A953)&gt;1,_xlfn.CONCAT(A953," (",N953,")"),A953)</f>
        <v>Shíliàn Zhèn</v>
      </c>
      <c r="C953" t="str">
        <f>IF(COUNTIF(B:B,B953)&gt;1,_xlfn.CONCAT(A953," (",M953,")"),B953)</f>
        <v>Shíliàn Zhèn</v>
      </c>
      <c r="D953" t="s">
        <v>1216</v>
      </c>
      <c r="E953" t="s">
        <v>11</v>
      </c>
      <c r="F953" t="str">
        <f>_xlfn.CONCAT(D953,", ",H953,", ",I953,", ","浙江省")</f>
        <v>石练镇, 遂昌县, 丽水市, 浙江省</v>
      </c>
      <c r="G953">
        <v>10299</v>
      </c>
      <c r="H953" t="s">
        <v>2958</v>
      </c>
      <c r="I953" t="s">
        <v>2949</v>
      </c>
      <c r="J953">
        <f>VLOOKUP(F953,[1]!china_towns_second__2[[Column1]:[Y]],3,FALSE)</f>
        <v>28.469233528949601</v>
      </c>
      <c r="K953">
        <f>VLOOKUP(F953,[1]!china_towns_second__2[[Column1]:[Y]],2,FALSE)</f>
        <v>119.0620483</v>
      </c>
      <c r="L953" t="s">
        <v>4587</v>
      </c>
      <c r="M953" t="str">
        <f>VLOOKUP(H953,CHOOSE({1,2},Table12[Native],Table12[Name]),2,0)</f>
        <v>Suìchāng Xiàn</v>
      </c>
      <c r="N953" s="15" t="str">
        <f>VLOOKUP(I953,CHOOSE({1,2},Table12[Native],Table12[Name]),2,0)</f>
        <v>Lìshuĭ Shì</v>
      </c>
      <c r="O953" s="15" t="str">
        <f t="shared" si="28"/>
        <v>Shilian Zhen (Lìshuĭ Shì)</v>
      </c>
      <c r="P953" s="15" t="str">
        <f t="shared" si="29"/>
        <v>Shilian Zhen (Lìshuĭ Shì)</v>
      </c>
    </row>
    <row r="954" spans="1:16" hidden="1" x14ac:dyDescent="0.25">
      <c r="A954" t="s">
        <v>1766</v>
      </c>
      <c r="B954" t="str">
        <f>IF(COUNTIF(A:A,A954)&gt;1,_xlfn.CONCAT(A954," (",N954,")"),A954)</f>
        <v>Shíliáng Zhèn (Qúzhōu Shì)</v>
      </c>
      <c r="C954" t="str">
        <f>IF(COUNTIF(B:B,B954)&gt;1,_xlfn.CONCAT(A954," (",M954,")"),B954)</f>
        <v>Shíliáng Zhèn (Qúzhōu Shì)</v>
      </c>
      <c r="D954" t="s">
        <v>1767</v>
      </c>
      <c r="E954" t="s">
        <v>11</v>
      </c>
      <c r="F954" t="str">
        <f>_xlfn.CONCAT(D954,", ",H954,", ",I954,", ","浙江省")</f>
        <v>石梁镇, 柯城区, 衢州市, 浙江省</v>
      </c>
      <c r="G954">
        <v>24489</v>
      </c>
      <c r="H954" t="s">
        <v>2977</v>
      </c>
      <c r="I954" t="s">
        <v>2973</v>
      </c>
      <c r="J954">
        <f>VLOOKUP(F954,[1]!china_towns_second__2[[Column1]:[Y]],3,FALSE)</f>
        <v>29.048011995761499</v>
      </c>
      <c r="K954">
        <f>VLOOKUP(F954,[1]!china_towns_second__2[[Column1]:[Y]],2,FALSE)</f>
        <v>118.76011149999999</v>
      </c>
      <c r="L954" t="s">
        <v>4588</v>
      </c>
      <c r="M954" t="str">
        <f>VLOOKUP(H954,CHOOSE({1,2},Table12[Native],Table12[Name]),2,0)</f>
        <v>Kēchéng Qū</v>
      </c>
      <c r="N954" s="15" t="str">
        <f>VLOOKUP(I954,CHOOSE({1,2},Table12[Native],Table12[Name]),2,0)</f>
        <v>Qúzhōu Shì</v>
      </c>
      <c r="O954" s="15" t="str">
        <f t="shared" si="28"/>
        <v>Shiliang Zhen (Quzhou Shi) (Qúzhōu Shì)</v>
      </c>
      <c r="P954" s="15" t="str">
        <f t="shared" si="29"/>
        <v>Shiliang Zhen (Quzhou Shi) (Qúzhōu Shì)</v>
      </c>
    </row>
    <row r="955" spans="1:16" hidden="1" x14ac:dyDescent="0.25">
      <c r="A955" t="s">
        <v>1766</v>
      </c>
      <c r="B955" t="str">
        <f>IF(COUNTIF(A:A,A955)&gt;1,_xlfn.CONCAT(A955," (",N955,")"),A955)</f>
        <v>Shíliáng Zhèn (Táizhōu Shì)</v>
      </c>
      <c r="C955" t="str">
        <f>IF(COUNTIF(B:B,B955)&gt;1,_xlfn.CONCAT(A955," (",M955,")"),B955)</f>
        <v>Shíliáng Zhèn (Táizhōu Shì)</v>
      </c>
      <c r="D955" t="s">
        <v>1767</v>
      </c>
      <c r="E955" t="s">
        <v>11</v>
      </c>
      <c r="F955" t="str">
        <f>_xlfn.CONCAT(D955,", ",H955,", ",I955,", ","浙江省")</f>
        <v>石梁镇, 天台县, 台州市, 浙江省</v>
      </c>
      <c r="G955">
        <v>6217</v>
      </c>
      <c r="H955" t="s">
        <v>2995</v>
      </c>
      <c r="I955" t="s">
        <v>2989</v>
      </c>
      <c r="J955">
        <f>VLOOKUP(F955,[1]!china_towns_second__2[[Column1]:[Y]],3,FALSE)</f>
        <v>29.268009027252901</v>
      </c>
      <c r="K955">
        <f>VLOOKUP(F955,[1]!china_towns_second__2[[Column1]:[Y]],2,FALSE)</f>
        <v>121.0950993</v>
      </c>
      <c r="L955" t="s">
        <v>4589</v>
      </c>
      <c r="M955" t="str">
        <f>VLOOKUP(H955,CHOOSE({1,2},Table12[Native],Table12[Name]),2,0)</f>
        <v>Tiāntái Xiàn</v>
      </c>
      <c r="N955" s="15" t="str">
        <f>VLOOKUP(I955,CHOOSE({1,2},Table12[Native],Table12[Name]),2,0)</f>
        <v>Táizhōu Shì</v>
      </c>
      <c r="O955" s="15" t="str">
        <f t="shared" si="28"/>
        <v>Shiliang Zhen (Taizhou Shi) (Táizhōu Shì)</v>
      </c>
      <c r="P955" s="15" t="str">
        <f t="shared" si="29"/>
        <v>Shiliang Zhen (Taizhou Shi) (Táizhōu Shì)</v>
      </c>
    </row>
    <row r="956" spans="1:16" hidden="1" x14ac:dyDescent="0.25">
      <c r="A956" t="s">
        <v>278</v>
      </c>
      <c r="B956" t="str">
        <f>IF(COUNTIF(A:A,A956)&gt;1,_xlfn.CONCAT(A956," (",N956,")"),A956)</f>
        <v>Shílín Zhèn</v>
      </c>
      <c r="C956" t="str">
        <f>IF(COUNTIF(B:B,B956)&gt;1,_xlfn.CONCAT(A956," (",M956,")"),B956)</f>
        <v>Shílín Zhèn</v>
      </c>
      <c r="D956" t="s">
        <v>279</v>
      </c>
      <c r="E956" t="s">
        <v>11</v>
      </c>
      <c r="F956" t="str">
        <f>_xlfn.CONCAT(D956,", ",H956,", ",I956,", ","浙江省")</f>
        <v>石林镇, 淳安县, 杭州市, 浙江省</v>
      </c>
      <c r="G956">
        <v>3162</v>
      </c>
      <c r="H956" t="s">
        <v>2907</v>
      </c>
      <c r="I956" t="s">
        <v>2903</v>
      </c>
      <c r="J956">
        <f>VLOOKUP(F956,[1]!china_towns_second__2[[Column1]:[Y]],3,FALSE)</f>
        <v>29.4644183896466</v>
      </c>
      <c r="K956">
        <f>VLOOKUP(F956,[1]!china_towns_second__2[[Column1]:[Y]],2,FALSE)</f>
        <v>119.0953835</v>
      </c>
      <c r="L956" t="s">
        <v>4590</v>
      </c>
      <c r="M956" t="str">
        <f>VLOOKUP(H956,CHOOSE({1,2},Table12[Native],Table12[Name]),2,0)</f>
        <v>Chún'ān Xiàn</v>
      </c>
      <c r="N956" s="15" t="str">
        <f>VLOOKUP(I956,CHOOSE({1,2},Table12[Native],Table12[Name]),2,0)</f>
        <v>Hángzhōu Shì</v>
      </c>
      <c r="O956" s="15" t="str">
        <f t="shared" si="28"/>
        <v>Shilin Zhen (Hángzhōu Shì)</v>
      </c>
      <c r="P956" s="15" t="str">
        <f t="shared" si="29"/>
        <v>Shilin Zhen (Hángzhōu Shì)</v>
      </c>
    </row>
    <row r="957" spans="1:16" hidden="1" x14ac:dyDescent="0.25">
      <c r="A957" t="s">
        <v>633</v>
      </c>
      <c r="B957" t="str">
        <f>IF(COUNTIF(A:A,A957)&gt;1,_xlfn.CONCAT(A957," (",N957,")"),A957)</f>
        <v>Shímén Zhèn (Jiāxīng Shì)</v>
      </c>
      <c r="C957" t="str">
        <f>IF(COUNTIF(B:B,B957)&gt;1,_xlfn.CONCAT(A957," (",M957,")"),B957)</f>
        <v>Shímén Zhèn (Jiāxīng Shì)</v>
      </c>
      <c r="D957" t="s">
        <v>634</v>
      </c>
      <c r="E957" t="s">
        <v>11</v>
      </c>
      <c r="F957" t="str">
        <f>_xlfn.CONCAT(D957,", ",H957,", ",I957,", ","浙江省")</f>
        <v>石门镇, 桐乡市, 嘉兴市, 浙江省</v>
      </c>
      <c r="G957">
        <v>51021</v>
      </c>
      <c r="H957" t="s">
        <v>2935</v>
      </c>
      <c r="I957" t="s">
        <v>2929</v>
      </c>
      <c r="J957">
        <f>VLOOKUP(F957,[1]!china_towns_second__2[[Column1]:[Y]],3,FALSE)</f>
        <v>30.629895415514699</v>
      </c>
      <c r="K957">
        <f>VLOOKUP(F957,[1]!china_towns_second__2[[Column1]:[Y]],2,FALSE)</f>
        <v>120.428359</v>
      </c>
      <c r="L957" t="s">
        <v>4591</v>
      </c>
      <c r="M957" t="str">
        <f>VLOOKUP(H957,CHOOSE({1,2},Table12[Native],Table12[Name]),2,0)</f>
        <v>Tóngxiāng Shì</v>
      </c>
      <c r="N957" s="15" t="str">
        <f>VLOOKUP(I957,CHOOSE({1,2},Table12[Native],Table12[Name]),2,0)</f>
        <v>Jiāxīng Shì</v>
      </c>
      <c r="O957" s="15" t="str">
        <f t="shared" si="28"/>
        <v>Shimen Zhen (Jiaxing Shi) (Jiāxīng Shì)</v>
      </c>
      <c r="P957" s="15" t="str">
        <f t="shared" si="29"/>
        <v>Shimen Zhen (Jiaxing Shi) (Jiāxīng Shì)</v>
      </c>
    </row>
    <row r="958" spans="1:16" hidden="1" x14ac:dyDescent="0.25">
      <c r="A958" t="s">
        <v>633</v>
      </c>
      <c r="B958" t="str">
        <f>IF(COUNTIF(A:A,A958)&gt;1,_xlfn.CONCAT(A958," (",N958,")"),A958)</f>
        <v>Shímén Zhèn (Qúzhōu Shì)</v>
      </c>
      <c r="C958" t="str">
        <f>IF(COUNTIF(B:B,B958)&gt;1,_xlfn.CONCAT(A958," (",M958,")"),B958)</f>
        <v>Shímén Zhèn (Qúzhōu Shì)</v>
      </c>
      <c r="D958" t="s">
        <v>634</v>
      </c>
      <c r="E958" t="s">
        <v>11</v>
      </c>
      <c r="F958" t="str">
        <f>_xlfn.CONCAT(D958,", ",H958,", ",I958,", ","浙江省")</f>
        <v>石门镇, 江山市, 衢州市, 浙江省</v>
      </c>
      <c r="G958">
        <v>21918</v>
      </c>
      <c r="H958" t="s">
        <v>2975</v>
      </c>
      <c r="I958" t="s">
        <v>2973</v>
      </c>
      <c r="J958">
        <f>VLOOKUP(F958,[1]!china_towns_second__2[[Column1]:[Y]],3,FALSE)</f>
        <v>28.5483952398985</v>
      </c>
      <c r="K958">
        <f>VLOOKUP(F958,[1]!china_towns_second__2[[Column1]:[Y]],2,FALSE)</f>
        <v>118.5826318</v>
      </c>
      <c r="L958" t="s">
        <v>4592</v>
      </c>
      <c r="M958" t="str">
        <f>VLOOKUP(H958,CHOOSE({1,2},Table12[Native],Table12[Name]),2,0)</f>
        <v>Jiāngshān Shì</v>
      </c>
      <c r="N958" s="15" t="str">
        <f>VLOOKUP(I958,CHOOSE({1,2},Table12[Native],Table12[Name]),2,0)</f>
        <v>Qúzhōu Shì</v>
      </c>
      <c r="O958" s="15" t="str">
        <f t="shared" si="28"/>
        <v>Shimen Zhen (Quzhou Shi) (Qúzhōu Shì)</v>
      </c>
      <c r="P958" s="15" t="str">
        <f t="shared" si="29"/>
        <v>Shimen Zhen (Quzhou Shi) (Qúzhōu Shì)</v>
      </c>
    </row>
    <row r="959" spans="1:16" hidden="1" x14ac:dyDescent="0.25">
      <c r="A959" t="s">
        <v>2618</v>
      </c>
      <c r="B959" t="str">
        <f>IF(COUNTIF(A:A,A959)&gt;1,_xlfn.CONCAT(A959," (",N959,")"),A959)</f>
        <v>Shípēng Xiāng</v>
      </c>
      <c r="C959" t="str">
        <f>IF(COUNTIF(B:B,B959)&gt;1,_xlfn.CONCAT(A959," (",M959,")"),B959)</f>
        <v>Shípēng Xiāng</v>
      </c>
      <c r="D959" t="s">
        <v>2619</v>
      </c>
      <c r="E959" t="s">
        <v>7</v>
      </c>
      <c r="F959" t="str">
        <f>_xlfn.CONCAT(D959,", ",H959,", ",I959,", ","浙江省")</f>
        <v>石砰乡, 苍南县, 温州市, 浙江省</v>
      </c>
      <c r="G959">
        <v>6387</v>
      </c>
      <c r="H959" t="s">
        <v>3001</v>
      </c>
      <c r="I959" t="s">
        <v>3000</v>
      </c>
      <c r="J959" t="e">
        <f>VLOOKUP(F959,[1]!china_towns_second__2[[Column1]:[Y]],3,FALSE)</f>
        <v>#N/A</v>
      </c>
      <c r="K959" t="e">
        <f>VLOOKUP(F959,[1]!china_towns_second__2[[Column1]:[Y]],2,FALSE)</f>
        <v>#N/A</v>
      </c>
      <c r="L959" t="s">
        <v>4593</v>
      </c>
      <c r="M959" t="str">
        <f>VLOOKUP(H959,CHOOSE({1,2},Table12[Native],Table12[Name]),2,0)</f>
        <v>Cāngnán Xiàn</v>
      </c>
      <c r="N959" s="15" t="str">
        <f>VLOOKUP(I959,CHOOSE({1,2},Table12[Native],Table12[Name]),2,0)</f>
        <v>Wēnzhōu Shì</v>
      </c>
      <c r="O959" s="15" t="str">
        <f t="shared" si="28"/>
        <v>Shipeng Xiang (Wēnzhōu Shì)</v>
      </c>
      <c r="P959" s="15" t="str">
        <f t="shared" si="29"/>
        <v>Shipeng Xiang (Wēnzhōu Shì)</v>
      </c>
    </row>
    <row r="960" spans="1:16" hidden="1" x14ac:dyDescent="0.25">
      <c r="A960" t="s">
        <v>1539</v>
      </c>
      <c r="B960" t="str">
        <f>IF(COUNTIF(A:A,A960)&gt;1,_xlfn.CONCAT(A960," (",N960,")"),A960)</f>
        <v>Shípŭ Zhèn</v>
      </c>
      <c r="C960" t="str">
        <f>IF(COUNTIF(B:B,B960)&gt;1,_xlfn.CONCAT(A960," (",M960,")"),B960)</f>
        <v>Shípŭ Zhèn</v>
      </c>
      <c r="D960" t="s">
        <v>1540</v>
      </c>
      <c r="E960" t="s">
        <v>11</v>
      </c>
      <c r="F960" t="str">
        <f>_xlfn.CONCAT(D960,", ",H960,", ",I960,", ","浙江省")</f>
        <v>石浦镇, 象山县, 宁波市, 浙江省</v>
      </c>
      <c r="G960">
        <v>92542</v>
      </c>
      <c r="H960" t="s">
        <v>2968</v>
      </c>
      <c r="I960" t="s">
        <v>2961</v>
      </c>
      <c r="J960">
        <f>VLOOKUP(F960,[1]!china_towns_second__2[[Column1]:[Y]],3,FALSE)</f>
        <v>29.218839548701201</v>
      </c>
      <c r="K960">
        <f>VLOOKUP(F960,[1]!china_towns_second__2[[Column1]:[Y]],2,FALSE)</f>
        <v>121.92931660000001</v>
      </c>
      <c r="L960" t="s">
        <v>4594</v>
      </c>
      <c r="M960" t="str">
        <f>VLOOKUP(H960,CHOOSE({1,2},Table12[Native],Table12[Name]),2,0)</f>
        <v>Xiàngshān Xiàn</v>
      </c>
      <c r="N960" s="15" t="str">
        <f>VLOOKUP(I960,CHOOSE({1,2},Table12[Native],Table12[Name]),2,0)</f>
        <v>Níngbō Shì</v>
      </c>
      <c r="O960" s="15" t="str">
        <f t="shared" si="28"/>
        <v>Shipu Zhen (Níngbō Shì)</v>
      </c>
      <c r="P960" s="15" t="str">
        <f t="shared" si="29"/>
        <v>Shipu Zhen (Níngbō Shì)</v>
      </c>
    </row>
    <row r="961" spans="1:16" hidden="1" x14ac:dyDescent="0.25">
      <c r="A961" t="s">
        <v>1541</v>
      </c>
      <c r="B961" t="str">
        <f>IF(COUNTIF(A:A,A961)&gt;1,_xlfn.CONCAT(A961," (",N961,")"),A961)</f>
        <v>Shíqì Jiēdào</v>
      </c>
      <c r="C961" t="str">
        <f>IF(COUNTIF(B:B,B961)&gt;1,_xlfn.CONCAT(A961," (",M961,")"),B961)</f>
        <v>Shíqì Jiēdào</v>
      </c>
      <c r="D961" t="s">
        <v>1542</v>
      </c>
      <c r="E961" t="s">
        <v>15</v>
      </c>
      <c r="F961" t="str">
        <f>_xlfn.CONCAT(D961,", ",H961,", ",I961,", ","浙江省")</f>
        <v>石碶街道, 海曙区, 宁波市, 浙江省</v>
      </c>
      <c r="G961">
        <v>110406</v>
      </c>
      <c r="H961" t="s">
        <v>2965</v>
      </c>
      <c r="I961" t="s">
        <v>2961</v>
      </c>
      <c r="J961" t="e">
        <f>VLOOKUP(F961,[1]!china_towns_second__2[[Column1]:[Y]],3,FALSE)</f>
        <v>#N/A</v>
      </c>
      <c r="K961" t="e">
        <f>VLOOKUP(F961,[1]!china_towns_second__2[[Column1]:[Y]],2,FALSE)</f>
        <v>#N/A</v>
      </c>
      <c r="L961" t="s">
        <v>4595</v>
      </c>
      <c r="M961" t="str">
        <f>VLOOKUP(H961,CHOOSE({1,2},Table12[Native],Table12[Name]),2,0)</f>
        <v>Hăishŭ Qū</v>
      </c>
      <c r="N961" s="15" t="str">
        <f>VLOOKUP(I961,CHOOSE({1,2},Table12[Native],Table12[Name]),2,0)</f>
        <v>Níngbō Shì</v>
      </c>
      <c r="O961" s="15" t="str">
        <f t="shared" si="28"/>
        <v>Shiqi Jiedao (Níngbō Shì)</v>
      </c>
      <c r="P961" s="15" t="str">
        <f t="shared" si="29"/>
        <v>Shiqi Jiedao (Níngbō Shì)</v>
      </c>
    </row>
    <row r="962" spans="1:16" hidden="1" x14ac:dyDescent="0.25">
      <c r="A962" t="s">
        <v>280</v>
      </c>
      <c r="B962" t="str">
        <f>IF(COUNTIF(A:A,A962)&gt;1,_xlfn.CONCAT(A962," (",N962,")"),A962)</f>
        <v>Shíqiáo Jiēdào</v>
      </c>
      <c r="C962" t="str">
        <f>IF(COUNTIF(B:B,B962)&gt;1,_xlfn.CONCAT(A962," (",M962,")"),B962)</f>
        <v>Shíqiáo Jiēdào</v>
      </c>
      <c r="D962" t="s">
        <v>281</v>
      </c>
      <c r="E962" t="s">
        <v>15</v>
      </c>
      <c r="F962" t="str">
        <f>_xlfn.CONCAT(D962,", ",H962,", ",I962,", ","浙江省")</f>
        <v>石桥街道, 拱墅区, 杭州市, 浙江省</v>
      </c>
      <c r="G962">
        <v>95175</v>
      </c>
      <c r="H962" t="s">
        <v>2909</v>
      </c>
      <c r="I962" t="s">
        <v>2903</v>
      </c>
      <c r="J962" t="e">
        <f>VLOOKUP(F962,[1]!china_towns_second__2[[Column1]:[Y]],3,FALSE)</f>
        <v>#N/A</v>
      </c>
      <c r="K962" t="e">
        <f>VLOOKUP(F962,[1]!china_towns_second__2[[Column1]:[Y]],2,FALSE)</f>
        <v>#N/A</v>
      </c>
      <c r="L962" t="s">
        <v>4596</v>
      </c>
      <c r="M962" t="str">
        <f>VLOOKUP(H962,CHOOSE({1,2},Table12[Native],Table12[Name]),2,0)</f>
        <v>Gŏngshù Qū</v>
      </c>
      <c r="N962" s="15" t="str">
        <f>VLOOKUP(I962,CHOOSE({1,2},Table12[Native],Table12[Name]),2,0)</f>
        <v>Hángzhōu Shì</v>
      </c>
      <c r="O962" s="15" t="str">
        <f t="shared" ref="O962:O1025" si="30">_xlfn.CONCAT(L962," (",N962,")")</f>
        <v>Shiqiao Jiedao (Hángzhōu Shì)</v>
      </c>
      <c r="P962" s="15" t="str">
        <f t="shared" ref="P962:P1025" si="31">IF(COUNTIF(O:O,O962)&gt;1,_xlfn.CONCAT(L962," (",M962,")"),O962)</f>
        <v>Shiqiao Jiedao (Hángzhōu Shì)</v>
      </c>
    </row>
    <row r="963" spans="1:16" hidden="1" x14ac:dyDescent="0.25">
      <c r="A963" t="s">
        <v>2209</v>
      </c>
      <c r="B963" t="str">
        <f>IF(COUNTIF(A:A,A963)&gt;1,_xlfn.CONCAT(A963," (",N963,")"),A963)</f>
        <v>Shíqiáotóu Zhèn</v>
      </c>
      <c r="C963" t="str">
        <f>IF(COUNTIF(B:B,B963)&gt;1,_xlfn.CONCAT(A963," (",M963,")"),B963)</f>
        <v>Shíqiáotóu Zhèn</v>
      </c>
      <c r="D963" t="s">
        <v>2210</v>
      </c>
      <c r="E963" t="s">
        <v>11</v>
      </c>
      <c r="F963" t="str">
        <f>_xlfn.CONCAT(D963,", ",H963,", ",I963,", ","浙江省")</f>
        <v>石桥头镇, 温岭市, 台州市, 浙江省</v>
      </c>
      <c r="G963">
        <v>17674</v>
      </c>
      <c r="H963" t="s">
        <v>2996</v>
      </c>
      <c r="I963" t="s">
        <v>2989</v>
      </c>
      <c r="J963">
        <f>VLOOKUP(F963,[1]!china_towns_second__2[[Column1]:[Y]],3,FALSE)</f>
        <v>28.350963221503299</v>
      </c>
      <c r="K963">
        <f>VLOOKUP(F963,[1]!china_towns_second__2[[Column1]:[Y]],2,FALSE)</f>
        <v>121.44955109999999</v>
      </c>
      <c r="L963" t="s">
        <v>4597</v>
      </c>
      <c r="M963" t="str">
        <f>VLOOKUP(H963,CHOOSE({1,2},Table12[Native],Table12[Name]),2,0)</f>
        <v>Wēnlĭng Shì</v>
      </c>
      <c r="N963" s="15" t="str">
        <f>VLOOKUP(I963,CHOOSE({1,2},Table12[Native],Table12[Name]),2,0)</f>
        <v>Táizhōu Shì</v>
      </c>
      <c r="O963" s="15" t="str">
        <f t="shared" si="30"/>
        <v>Shiqiaotou Zhen (Táizhōu Shì)</v>
      </c>
      <c r="P963" s="15" t="str">
        <f t="shared" si="31"/>
        <v>Shiqiaotou Zhen (Táizhōu Shì)</v>
      </c>
    </row>
    <row r="964" spans="1:16" hidden="1" x14ac:dyDescent="0.25">
      <c r="A964" t="s">
        <v>2620</v>
      </c>
      <c r="B964" t="str">
        <f>IF(COUNTIF(A:A,A964)&gt;1,_xlfn.CONCAT(A964," (",N964,")"),A964)</f>
        <v>Shírăn Xiāng</v>
      </c>
      <c r="C964" t="str">
        <f>IF(COUNTIF(B:B,B964)&gt;1,_xlfn.CONCAT(A964," (",M964,")"),B964)</f>
        <v>Shírăn Xiāng</v>
      </c>
      <c r="D964" t="s">
        <v>2621</v>
      </c>
      <c r="E964" t="s">
        <v>7</v>
      </c>
      <c r="F964" t="str">
        <f>_xlfn.CONCAT(D964,", ",H964,", ",I964,", ","浙江省")</f>
        <v>石染乡, 永嘉县, 温州市, 浙江省</v>
      </c>
      <c r="G964">
        <v>3262</v>
      </c>
      <c r="H964" t="s">
        <v>3010</v>
      </c>
      <c r="I964" t="s">
        <v>3000</v>
      </c>
      <c r="J964" t="e">
        <f>VLOOKUP(F964,[1]!china_towns_second__2[[Column1]:[Y]],3,FALSE)</f>
        <v>#N/A</v>
      </c>
      <c r="K964" t="e">
        <f>VLOOKUP(F964,[1]!china_towns_second__2[[Column1]:[Y]],2,FALSE)</f>
        <v>#N/A</v>
      </c>
      <c r="L964" t="s">
        <v>4598</v>
      </c>
      <c r="M964" t="str">
        <f>VLOOKUP(H964,CHOOSE({1,2},Table12[Native],Table12[Name]),2,0)</f>
        <v>Yŏngjiā Xiàn</v>
      </c>
      <c r="N964" s="15" t="str">
        <f>VLOOKUP(I964,CHOOSE({1,2},Table12[Native],Table12[Name]),2,0)</f>
        <v>Wēnzhōu Shì</v>
      </c>
      <c r="O964" s="15" t="str">
        <f t="shared" si="30"/>
        <v>Shiran Xiang (Wēnzhōu Shì)</v>
      </c>
      <c r="P964" s="15" t="str">
        <f t="shared" si="31"/>
        <v>Shiran Xiang (Wēnzhōu Shì)</v>
      </c>
    </row>
    <row r="965" spans="1:16" hidden="1" x14ac:dyDescent="0.25">
      <c r="A965" t="s">
        <v>1768</v>
      </c>
      <c r="B965" t="str">
        <f>IF(COUNTIF(A:A,A965)&gt;1,_xlfn.CONCAT(A965," (",N965,")"),A965)</f>
        <v>Shíshì Xiāng</v>
      </c>
      <c r="C965" t="str">
        <f>IF(COUNTIF(B:B,B965)&gt;1,_xlfn.CONCAT(A965," (",M965,")"),B965)</f>
        <v>Shíshì Xiāng</v>
      </c>
      <c r="D965" t="s">
        <v>1769</v>
      </c>
      <c r="E965" t="s">
        <v>7</v>
      </c>
      <c r="F965" t="str">
        <f>_xlfn.CONCAT(D965,", ",H965,", ",I965,", ","浙江省")</f>
        <v>石室乡, 柯城区, 衢州市, 浙江省</v>
      </c>
      <c r="G965">
        <v>16090</v>
      </c>
      <c r="H965" t="s">
        <v>2977</v>
      </c>
      <c r="I965" t="s">
        <v>2973</v>
      </c>
      <c r="J965" t="e">
        <f>VLOOKUP(F965,[1]!china_towns_second__2[[Column1]:[Y]],3,FALSE)</f>
        <v>#N/A</v>
      </c>
      <c r="K965" t="e">
        <f>VLOOKUP(F965,[1]!china_towns_second__2[[Column1]:[Y]],2,FALSE)</f>
        <v>#N/A</v>
      </c>
      <c r="L965" t="s">
        <v>4599</v>
      </c>
      <c r="M965" t="str">
        <f>VLOOKUP(H965,CHOOSE({1,2},Table12[Native],Table12[Name]),2,0)</f>
        <v>Kēchéng Qū</v>
      </c>
      <c r="N965" s="15" t="str">
        <f>VLOOKUP(I965,CHOOSE({1,2},Table12[Native],Table12[Name]),2,0)</f>
        <v>Qúzhōu Shì</v>
      </c>
      <c r="O965" s="15" t="str">
        <f t="shared" si="30"/>
        <v>Shishi Xiang (Qúzhōu Shì)</v>
      </c>
      <c r="P965" s="15" t="str">
        <f t="shared" si="31"/>
        <v>Shishi Xiang (Qúzhōu Shì)</v>
      </c>
    </row>
    <row r="966" spans="1:16" hidden="1" x14ac:dyDescent="0.25">
      <c r="A966" t="s">
        <v>1217</v>
      </c>
      <c r="B966" t="str">
        <f>IF(COUNTIF(A:A,A966)&gt;1,_xlfn.CONCAT(A966," (",N966,")"),A966)</f>
        <v>Shítáng Zhèn (Lìshuĭ Shì)</v>
      </c>
      <c r="C966" t="str">
        <f>IF(COUNTIF(B:B,B966)&gt;1,_xlfn.CONCAT(A966," (",M966,")"),B966)</f>
        <v>Shítáng Zhèn (Lìshuĭ Shì)</v>
      </c>
      <c r="D966" t="s">
        <v>1218</v>
      </c>
      <c r="E966" t="s">
        <v>11</v>
      </c>
      <c r="F966" t="str">
        <f>_xlfn.CONCAT(D966,", ",H966,", ",I966,", ","浙江省")</f>
        <v>石塘镇, 云和县, 丽水市, 浙江省</v>
      </c>
      <c r="G966">
        <v>4146</v>
      </c>
      <c r="H966" t="s">
        <v>2959</v>
      </c>
      <c r="I966" t="s">
        <v>2949</v>
      </c>
      <c r="J966">
        <f>VLOOKUP(F966,[1]!china_towns_second__2[[Column1]:[Y]],3,FALSE)</f>
        <v>28.246211557320699</v>
      </c>
      <c r="K966">
        <f>VLOOKUP(F966,[1]!china_towns_second__2[[Column1]:[Y]],2,FALSE)</f>
        <v>119.63378350000001</v>
      </c>
      <c r="L966" t="s">
        <v>4600</v>
      </c>
      <c r="M966" t="str">
        <f>VLOOKUP(H966,CHOOSE({1,2},Table12[Native],Table12[Name]),2,0)</f>
        <v>Yúnhé Xiàn</v>
      </c>
      <c r="N966" s="15" t="str">
        <f>VLOOKUP(I966,CHOOSE({1,2},Table12[Native],Table12[Name]),2,0)</f>
        <v>Lìshuĭ Shì</v>
      </c>
      <c r="O966" s="15" t="str">
        <f t="shared" si="30"/>
        <v>Shitang Zhen (Lishui Shi) (Lìshuĭ Shì)</v>
      </c>
      <c r="P966" s="15" t="str">
        <f t="shared" si="31"/>
        <v>Shitang Zhen (Lishui Shi) (Lìshuĭ Shì)</v>
      </c>
    </row>
    <row r="967" spans="1:16" hidden="1" x14ac:dyDescent="0.25">
      <c r="A967" t="s">
        <v>1217</v>
      </c>
      <c r="B967" t="str">
        <f>IF(COUNTIF(A:A,A967)&gt;1,_xlfn.CONCAT(A967," (",N967,")"),A967)</f>
        <v>Shítáng Zhèn (Táizhōu Shì)</v>
      </c>
      <c r="C967" t="str">
        <f>IF(COUNTIF(B:B,B967)&gt;1,_xlfn.CONCAT(A967," (",M967,")"),B967)</f>
        <v>Shítáng Zhèn (Táizhōu Shì)</v>
      </c>
      <c r="D967" t="s">
        <v>1218</v>
      </c>
      <c r="E967" t="s">
        <v>11</v>
      </c>
      <c r="F967" t="str">
        <f>_xlfn.CONCAT(D967,", ",H967,", ",I967,", ","浙江省")</f>
        <v>石塘镇, 温岭市, 台州市, 浙江省</v>
      </c>
      <c r="G967">
        <v>65770</v>
      </c>
      <c r="H967" t="s">
        <v>2996</v>
      </c>
      <c r="I967" t="s">
        <v>2989</v>
      </c>
      <c r="J967">
        <f>VLOOKUP(F967,[1]!china_towns_second__2[[Column1]:[Y]],3,FALSE)</f>
        <v>28.275966848972701</v>
      </c>
      <c r="K967">
        <f>VLOOKUP(F967,[1]!china_towns_second__2[[Column1]:[Y]],2,FALSE)</f>
        <v>121.6102613</v>
      </c>
      <c r="L967" t="s">
        <v>4601</v>
      </c>
      <c r="M967" t="str">
        <f>VLOOKUP(H967,CHOOSE({1,2},Table12[Native],Table12[Name]),2,0)</f>
        <v>Wēnlĭng Shì</v>
      </c>
      <c r="N967" s="15" t="str">
        <f>VLOOKUP(I967,CHOOSE({1,2},Table12[Native],Table12[Name]),2,0)</f>
        <v>Táizhōu Shì</v>
      </c>
      <c r="O967" s="15" t="str">
        <f t="shared" si="30"/>
        <v>Shitang Zhen (Taizhou Shi) (Táizhōu Shì)</v>
      </c>
      <c r="P967" s="15" t="str">
        <f t="shared" si="31"/>
        <v>Shitang Zhen (Taizhou Shi) (Táizhōu Shì)</v>
      </c>
    </row>
    <row r="968" spans="1:16" hidden="1" x14ac:dyDescent="0.25">
      <c r="A968" t="s">
        <v>2622</v>
      </c>
      <c r="B968" t="str">
        <f>IF(COUNTIF(A:A,A968)&gt;1,_xlfn.CONCAT(A968," (",N968,")"),A968)</f>
        <v>Shíyáng Xiāng</v>
      </c>
      <c r="C968" t="str">
        <f>IF(COUNTIF(B:B,B968)&gt;1,_xlfn.CONCAT(A968," (",M968,")"),B968)</f>
        <v>Shíyáng Xiāng</v>
      </c>
      <c r="D968" t="s">
        <v>2623</v>
      </c>
      <c r="E968" t="s">
        <v>7</v>
      </c>
      <c r="F968" t="str">
        <f>_xlfn.CONCAT(D968,", ",H968,", ",I968,", ","浙江省")</f>
        <v>石垟乡, 文成县, 温州市, 浙江省</v>
      </c>
      <c r="G968">
        <v>1881</v>
      </c>
      <c r="H968" t="s">
        <v>3009</v>
      </c>
      <c r="I968" t="s">
        <v>3000</v>
      </c>
      <c r="J968" t="e">
        <f>VLOOKUP(F968,[1]!china_towns_second__2[[Column1]:[Y]],3,FALSE)</f>
        <v>#N/A</v>
      </c>
      <c r="K968" t="e">
        <f>VLOOKUP(F968,[1]!china_towns_second__2[[Column1]:[Y]],2,FALSE)</f>
        <v>#N/A</v>
      </c>
      <c r="L968" t="s">
        <v>4602</v>
      </c>
      <c r="M968" t="str">
        <f>VLOOKUP(H968,CHOOSE({1,2},Table12[Native],Table12[Name]),2,0)</f>
        <v>Wénchéng Xiàn</v>
      </c>
      <c r="N968" s="15" t="str">
        <f>VLOOKUP(I968,CHOOSE({1,2},Table12[Native],Table12[Name]),2,0)</f>
        <v>Wēnzhōu Shì</v>
      </c>
      <c r="O968" s="15" t="str">
        <f t="shared" si="30"/>
        <v>Shiyang Xiang (Wēnzhōu Shì)</v>
      </c>
      <c r="P968" s="15" t="str">
        <f t="shared" si="31"/>
        <v>Shiyang Xiang (Wēnzhōu Shì)</v>
      </c>
    </row>
    <row r="969" spans="1:16" hidden="1" x14ac:dyDescent="0.25">
      <c r="A969" t="s">
        <v>2624</v>
      </c>
      <c r="B969" t="str">
        <f>IF(COUNTIF(A:A,A969)&gt;1,_xlfn.CONCAT(A969," (",N969,")"),A969)</f>
        <v>Shìyáng Zhèn</v>
      </c>
      <c r="C969" t="str">
        <f>IF(COUNTIF(B:B,B969)&gt;1,_xlfn.CONCAT(A969," (",M969,")"),B969)</f>
        <v>Shìyáng Zhèn</v>
      </c>
      <c r="D969" t="s">
        <v>2625</v>
      </c>
      <c r="E969" t="s">
        <v>11</v>
      </c>
      <c r="F969" t="str">
        <f>_xlfn.CONCAT(D969,", ",H969,", ",I969,", ","浙江省")</f>
        <v>仕阳镇, 泰顺县, 温州市, 浙江省</v>
      </c>
      <c r="G969">
        <v>13932</v>
      </c>
      <c r="H969" t="s">
        <v>3008</v>
      </c>
      <c r="I969" t="s">
        <v>3000</v>
      </c>
      <c r="J969">
        <f>VLOOKUP(F969,[1]!china_towns_second__2[[Column1]:[Y]],3,FALSE)</f>
        <v>27.356509658436199</v>
      </c>
      <c r="K969">
        <f>VLOOKUP(F969,[1]!china_towns_second__2[[Column1]:[Y]],2,FALSE)</f>
        <v>119.86929259999999</v>
      </c>
      <c r="L969" t="s">
        <v>4603</v>
      </c>
      <c r="M969" t="str">
        <f>VLOOKUP(H969,CHOOSE({1,2},Table12[Native],Table12[Name]),2,0)</f>
        <v>Tàishùn Xiàn</v>
      </c>
      <c r="N969" s="15" t="str">
        <f>VLOOKUP(I969,CHOOSE({1,2},Table12[Native],Table12[Name]),2,0)</f>
        <v>Wēnzhōu Shì</v>
      </c>
      <c r="O969" s="15" t="str">
        <f t="shared" si="30"/>
        <v>Shiyang Zhen (Wēnzhōu Shì)</v>
      </c>
      <c r="P969" s="15" t="str">
        <f t="shared" si="31"/>
        <v>Shiyang Zhen (Wēnzhōu Shì)</v>
      </c>
    </row>
    <row r="970" spans="1:16" hidden="1" x14ac:dyDescent="0.25">
      <c r="A970" t="s">
        <v>2626</v>
      </c>
      <c r="B970" t="str">
        <f>IF(COUNTIF(A:A,A970)&gt;1,_xlfn.CONCAT(A970," (",N970,")"),A970)</f>
        <v>Shíyuán Xiāng</v>
      </c>
      <c r="C970" t="str">
        <f>IF(COUNTIF(B:B,B970)&gt;1,_xlfn.CONCAT(A970," (",M970,")"),B970)</f>
        <v>Shíyuán Xiāng</v>
      </c>
      <c r="D970" t="s">
        <v>2627</v>
      </c>
      <c r="E970" t="s">
        <v>7</v>
      </c>
      <c r="F970" t="str">
        <f>_xlfn.CONCAT(D970,", ",H970,", ",I970,", ","浙江省")</f>
        <v>十源乡, 文成县, 温州市, 浙江省</v>
      </c>
      <c r="G970">
        <v>3532</v>
      </c>
      <c r="H970" t="s">
        <v>3009</v>
      </c>
      <c r="I970" t="s">
        <v>3000</v>
      </c>
      <c r="J970" t="e">
        <f>VLOOKUP(F970,[1]!china_towns_second__2[[Column1]:[Y]],3,FALSE)</f>
        <v>#N/A</v>
      </c>
      <c r="K970" t="e">
        <f>VLOOKUP(F970,[1]!china_towns_second__2[[Column1]:[Y]],2,FALSE)</f>
        <v>#N/A</v>
      </c>
      <c r="L970" t="s">
        <v>4604</v>
      </c>
      <c r="M970" t="str">
        <f>VLOOKUP(H970,CHOOSE({1,2},Table12[Native],Table12[Name]),2,0)</f>
        <v>Wénchéng Xiàn</v>
      </c>
      <c r="N970" s="15" t="str">
        <f>VLOOKUP(I970,CHOOSE({1,2},Table12[Native],Table12[Name]),2,0)</f>
        <v>Wēnzhōu Shì</v>
      </c>
      <c r="O970" s="15" t="str">
        <f t="shared" si="30"/>
        <v>Shiyuan Xiang (Wēnzhōu Shì)</v>
      </c>
      <c r="P970" s="15" t="str">
        <f t="shared" si="31"/>
        <v>Shiyuan Xiang (Wēnzhōu Shì)</v>
      </c>
    </row>
    <row r="971" spans="1:16" hidden="1" x14ac:dyDescent="0.25">
      <c r="A971" t="s">
        <v>895</v>
      </c>
      <c r="B971" t="str">
        <f>IF(COUNTIF(A:A,A971)&gt;1,_xlfn.CONCAT(A971," (",N971,")"),A971)</f>
        <v>Shízhù Zhèn</v>
      </c>
      <c r="C971" t="str">
        <f>IF(COUNTIF(B:B,B971)&gt;1,_xlfn.CONCAT(A971," (",M971,")"),B971)</f>
        <v>Shízhù Zhèn</v>
      </c>
      <c r="D971" t="s">
        <v>896</v>
      </c>
      <c r="E971" t="s">
        <v>11</v>
      </c>
      <c r="F971" t="str">
        <f>_xlfn.CONCAT(D971,", ",H971,", ",I971,", ","浙江省")</f>
        <v>石柱镇, 永康市, 金华市, 浙江省</v>
      </c>
      <c r="G971">
        <v>36243</v>
      </c>
      <c r="H971" t="s">
        <v>2947</v>
      </c>
      <c r="I971" t="s">
        <v>2938</v>
      </c>
      <c r="J971">
        <f>VLOOKUP(F971,[1]!china_towns_second__2[[Column1]:[Y]],3,FALSE)</f>
        <v>28.858089512622801</v>
      </c>
      <c r="K971">
        <f>VLOOKUP(F971,[1]!china_towns_second__2[[Column1]:[Y]],2,FALSE)</f>
        <v>120.11231220000001</v>
      </c>
      <c r="L971" t="s">
        <v>4605</v>
      </c>
      <c r="M971" t="str">
        <f>VLOOKUP(H971,CHOOSE({1,2},Table12[Native],Table12[Name]),2,0)</f>
        <v>Yŏngkāng Shì</v>
      </c>
      <c r="N971" s="15" t="str">
        <f>VLOOKUP(I971,CHOOSE({1,2},Table12[Native],Table12[Name]),2,0)</f>
        <v>Jīnhuá Shì</v>
      </c>
      <c r="O971" s="15" t="str">
        <f t="shared" si="30"/>
        <v>Shizhu Zhen (Jīnhuá Shì)</v>
      </c>
      <c r="P971" s="15" t="str">
        <f t="shared" si="31"/>
        <v>Shizhu Zhen (Jīnhuá Shì)</v>
      </c>
    </row>
    <row r="972" spans="1:16" hidden="1" x14ac:dyDescent="0.25">
      <c r="A972" t="s">
        <v>282</v>
      </c>
      <c r="B972" t="str">
        <f>IF(COUNTIF(A:A,A972)&gt;1,_xlfn.CONCAT(A972," (",N972,")"),A972)</f>
        <v>Shòuchāng Zhèn</v>
      </c>
      <c r="C972" t="str">
        <f>IF(COUNTIF(B:B,B972)&gt;1,_xlfn.CONCAT(A972," (",M972,")"),B972)</f>
        <v>Shòuchāng Zhèn</v>
      </c>
      <c r="D972" t="s">
        <v>283</v>
      </c>
      <c r="E972" t="s">
        <v>11</v>
      </c>
      <c r="F972" t="str">
        <f>_xlfn.CONCAT(D972,", ",H972,", ",I972,", ","浙江省")</f>
        <v>寿昌镇, 建德市, 杭州市, 浙江省</v>
      </c>
      <c r="G972">
        <v>40643</v>
      </c>
      <c r="H972" t="s">
        <v>2910</v>
      </c>
      <c r="I972" t="s">
        <v>2903</v>
      </c>
      <c r="J972">
        <f>VLOOKUP(F972,[1]!china_towns_second__2[[Column1]:[Y]],3,FALSE)</f>
        <v>29.379185174919701</v>
      </c>
      <c r="K972">
        <f>VLOOKUP(F972,[1]!china_towns_second__2[[Column1]:[Y]],2,FALSE)</f>
        <v>119.2016541</v>
      </c>
      <c r="L972" t="s">
        <v>4606</v>
      </c>
      <c r="M972" t="str">
        <f>VLOOKUP(H972,CHOOSE({1,2},Table12[Native],Table12[Name]),2,0)</f>
        <v>Jiàndé Shì</v>
      </c>
      <c r="N972" s="15" t="str">
        <f>VLOOKUP(I972,CHOOSE({1,2},Table12[Native],Table12[Name]),2,0)</f>
        <v>Hángzhōu Shì</v>
      </c>
      <c r="O972" s="15" t="str">
        <f t="shared" si="30"/>
        <v>Shouchang Zhen (Hángzhōu Shì)</v>
      </c>
      <c r="P972" s="15" t="str">
        <f t="shared" si="31"/>
        <v>Shouchang Zhen (Hángzhōu Shì)</v>
      </c>
    </row>
    <row r="973" spans="1:16" hidden="1" x14ac:dyDescent="0.25">
      <c r="A973" t="s">
        <v>1543</v>
      </c>
      <c r="B973" t="str">
        <f>IF(COUNTIF(A:A,A973)&gt;1,_xlfn.CONCAT(A973," (",N973,")"),A973)</f>
        <v>Shŏunán Jiēdào</v>
      </c>
      <c r="C973" t="str">
        <f>IF(COUNTIF(B:B,B973)&gt;1,_xlfn.CONCAT(A973," (",M973,")"),B973)</f>
        <v>Shŏunán Jiēdào</v>
      </c>
      <c r="D973" t="s">
        <v>1544</v>
      </c>
      <c r="E973" t="s">
        <v>15</v>
      </c>
      <c r="F973" t="str">
        <f>_xlfn.CONCAT(D973,", ",H973,", ",I973,", ","浙江省")</f>
        <v>首南街道, 鄞州区, 宁波市, 浙江省</v>
      </c>
      <c r="G973">
        <v>77340</v>
      </c>
      <c r="H973" t="s">
        <v>2969</v>
      </c>
      <c r="I973" t="s">
        <v>2961</v>
      </c>
      <c r="J973">
        <f>VLOOKUP(F973,[1]!china_towns_second__2[[Column1]:[Y]],3,FALSE)</f>
        <v>29.8012641192608</v>
      </c>
      <c r="K973">
        <f>VLOOKUP(F973,[1]!china_towns_second__2[[Column1]:[Y]],2,FALSE)</f>
        <v>121.5379203</v>
      </c>
      <c r="L973" t="s">
        <v>4607</v>
      </c>
      <c r="M973" t="str">
        <f>VLOOKUP(H973,CHOOSE({1,2},Table12[Native],Table12[Name]),2,0)</f>
        <v>Yínzhōu Qū</v>
      </c>
      <c r="N973" s="15" t="str">
        <f>VLOOKUP(I973,CHOOSE({1,2},Table12[Native],Table12[Name]),2,0)</f>
        <v>Níngbō Shì</v>
      </c>
      <c r="O973" s="15" t="str">
        <f t="shared" si="30"/>
        <v>Shounan Jiedao (Níngbō Shì)</v>
      </c>
      <c r="P973" s="15" t="str">
        <f t="shared" si="31"/>
        <v>Shounan Jiedao (Níngbō Shì)</v>
      </c>
    </row>
    <row r="974" spans="1:16" hidden="1" x14ac:dyDescent="0.25">
      <c r="A974" t="s">
        <v>1982</v>
      </c>
      <c r="B974" t="str">
        <f>IF(COUNTIF(A:A,A974)&gt;1,_xlfn.CONCAT(A974," (",N974,")"),A974)</f>
        <v>Shuāngcăi Xiāng</v>
      </c>
      <c r="C974" t="str">
        <f>IF(COUNTIF(B:B,B974)&gt;1,_xlfn.CONCAT(A974," (",M974,")"),B974)</f>
        <v>Shuāngcăi Xiāng</v>
      </c>
      <c r="D974" t="s">
        <v>1983</v>
      </c>
      <c r="E974" t="s">
        <v>7</v>
      </c>
      <c r="F974" t="str">
        <f>_xlfn.CONCAT(D974,", ",H974,", ",I974,", ","浙江省")</f>
        <v>双彩乡, 新昌县, 绍兴市, 浙江省</v>
      </c>
      <c r="G974">
        <v>8587</v>
      </c>
      <c r="H974" t="s">
        <v>2985</v>
      </c>
      <c r="I974" t="s">
        <v>2981</v>
      </c>
      <c r="J974" t="e">
        <f>VLOOKUP(F974,[1]!china_towns_second__2[[Column1]:[Y]],3,FALSE)</f>
        <v>#N/A</v>
      </c>
      <c r="K974" t="e">
        <f>VLOOKUP(F974,[1]!china_towns_second__2[[Column1]:[Y]],2,FALSE)</f>
        <v>#N/A</v>
      </c>
      <c r="L974" t="s">
        <v>4608</v>
      </c>
      <c r="M974" t="str">
        <f>VLOOKUP(H974,CHOOSE({1,2},Table12[Native],Table12[Name]),2,0)</f>
        <v>Xīnchāng Xiàn</v>
      </c>
      <c r="N974" s="15" t="str">
        <f>VLOOKUP(I974,CHOOSE({1,2},Table12[Native],Table12[Name]),2,0)</f>
        <v>Shàoxīng Shì</v>
      </c>
      <c r="O974" s="15" t="str">
        <f t="shared" si="30"/>
        <v>Shuangcai Xiang (Shàoxīng Shì)</v>
      </c>
      <c r="P974" s="15" t="str">
        <f t="shared" si="31"/>
        <v>Shuangcai Xiang (Shàoxīng Shì)</v>
      </c>
    </row>
    <row r="975" spans="1:16" hidden="1" x14ac:dyDescent="0.25">
      <c r="A975" t="s">
        <v>897</v>
      </c>
      <c r="B975" t="str">
        <f>IF(COUNTIF(A:A,A975)&gt;1,_xlfn.CONCAT(A975," (",N975,")"),A975)</f>
        <v>Shuāngfēng Xiāng (Jīnhuá Shì)</v>
      </c>
      <c r="C975" t="str">
        <f>IF(COUNTIF(B:B,B975)&gt;1,_xlfn.CONCAT(A975," (",M975,")"),B975)</f>
        <v>Shuāngfēng Xiāng (Jīnhuá Shì)</v>
      </c>
      <c r="D975" t="s">
        <v>898</v>
      </c>
      <c r="E975" t="s">
        <v>7</v>
      </c>
      <c r="F975" t="str">
        <f>_xlfn.CONCAT(D975,", ",H975,", ",I975,", ","浙江省")</f>
        <v>双峰乡, 磐安县, 金华市, 浙江省</v>
      </c>
      <c r="G975">
        <v>3020</v>
      </c>
      <c r="H975" t="s">
        <v>2942</v>
      </c>
      <c r="I975" t="s">
        <v>2938</v>
      </c>
      <c r="J975" t="e">
        <f>VLOOKUP(F975,[1]!china_towns_second__2[[Column1]:[Y]],3,FALSE)</f>
        <v>#N/A</v>
      </c>
      <c r="K975" t="e">
        <f>VLOOKUP(F975,[1]!china_towns_second__2[[Column1]:[Y]],2,FALSE)</f>
        <v>#N/A</v>
      </c>
      <c r="L975" t="s">
        <v>4609</v>
      </c>
      <c r="M975" t="str">
        <f>VLOOKUP(H975,CHOOSE({1,2},Table12[Native],Table12[Name]),2,0)</f>
        <v>Pán'ān Xiàn</v>
      </c>
      <c r="N975" s="15" t="str">
        <f>VLOOKUP(I975,CHOOSE({1,2},Table12[Native],Table12[Name]),2,0)</f>
        <v>Jīnhuá Shì</v>
      </c>
      <c r="O975" s="15" t="str">
        <f t="shared" si="30"/>
        <v>Shuangfeng Xiang (Jinhua Shi) (Jīnhuá Shì)</v>
      </c>
      <c r="P975" s="15" t="str">
        <f t="shared" si="31"/>
        <v>Shuangfeng Xiang (Jinhua Shi) (Jīnhuá Shì)</v>
      </c>
    </row>
    <row r="976" spans="1:16" hidden="1" x14ac:dyDescent="0.25">
      <c r="A976" t="s">
        <v>897</v>
      </c>
      <c r="B976" t="str">
        <f>IF(COUNTIF(A:A,A976)&gt;1,_xlfn.CONCAT(A976," (",N976,")"),A976)</f>
        <v>Shuāngfēng Xiāng (Wēnzhōu Shì)</v>
      </c>
      <c r="C976" t="str">
        <f>IF(COUNTIF(B:B,B976)&gt;1,_xlfn.CONCAT(A976," (",M976,")"),B976)</f>
        <v>Shuāngfēng Xiāng (Wēnzhōu Shì)</v>
      </c>
      <c r="D976" t="s">
        <v>898</v>
      </c>
      <c r="E976" t="s">
        <v>7</v>
      </c>
      <c r="F976" t="str">
        <f>_xlfn.CONCAT(D976,", ",H976,", ",I976,", ","浙江省")</f>
        <v>双峰乡, 乐清市, 温州市, 浙江省</v>
      </c>
      <c r="G976">
        <v>14230</v>
      </c>
      <c r="H976" t="s">
        <v>3011</v>
      </c>
      <c r="I976" t="s">
        <v>3000</v>
      </c>
      <c r="J976" t="e">
        <f>VLOOKUP(F976,[1]!china_towns_second__2[[Column1]:[Y]],3,FALSE)</f>
        <v>#N/A</v>
      </c>
      <c r="K976" t="e">
        <f>VLOOKUP(F976,[1]!china_towns_second__2[[Column1]:[Y]],2,FALSE)</f>
        <v>#N/A</v>
      </c>
      <c r="L976" t="s">
        <v>4610</v>
      </c>
      <c r="M976" t="str">
        <f>VLOOKUP(H976,CHOOSE({1,2},Table12[Native],Table12[Name]),2,0)</f>
        <v>Yuèqīng Shì</v>
      </c>
      <c r="N976" s="15" t="str">
        <f>VLOOKUP(I976,CHOOSE({1,2},Table12[Native],Table12[Name]),2,0)</f>
        <v>Wēnzhōu Shì</v>
      </c>
      <c r="O976" s="15" t="str">
        <f t="shared" si="30"/>
        <v>Shuangfeng Xiang (Wenzhou Shi) (Wēnzhōu Shì)</v>
      </c>
      <c r="P976" s="15" t="str">
        <f t="shared" si="31"/>
        <v>Shuangfeng Xiang (Wenzhou Shi) (Wēnzhōu Shì)</v>
      </c>
    </row>
    <row r="977" spans="1:16" hidden="1" x14ac:dyDescent="0.25">
      <c r="A977" t="s">
        <v>1770</v>
      </c>
      <c r="B977" t="str">
        <f>IF(COUNTIF(A:A,A977)&gt;1,_xlfn.CONCAT(A977," (",N977,")"),A977)</f>
        <v>Shuānggăng Jiēdào</v>
      </c>
      <c r="C977" t="str">
        <f>IF(COUNTIF(B:B,B977)&gt;1,_xlfn.CONCAT(A977," (",M977,")"),B977)</f>
        <v>Shuānggăng Jiēdào</v>
      </c>
      <c r="D977" t="s">
        <v>1771</v>
      </c>
      <c r="E977" t="s">
        <v>15</v>
      </c>
      <c r="F977" t="str">
        <f>_xlfn.CONCAT(D977,", ",H977,", ",I977,", ","浙江省")</f>
        <v>双港街道, 柯城区, 衢州市, 浙江省</v>
      </c>
      <c r="G977">
        <v>31158</v>
      </c>
      <c r="H977" t="s">
        <v>2977</v>
      </c>
      <c r="I977" t="s">
        <v>2973</v>
      </c>
      <c r="J977">
        <f>VLOOKUP(F977,[1]!china_towns_second__2[[Column1]:[Y]],3,FALSE)</f>
        <v>28.9352461564464</v>
      </c>
      <c r="K977">
        <f>VLOOKUP(F977,[1]!china_towns_second__2[[Column1]:[Y]],2,FALSE)</f>
        <v>118.84156539999999</v>
      </c>
      <c r="L977" t="s">
        <v>4611</v>
      </c>
      <c r="M977" t="str">
        <f>VLOOKUP(H977,CHOOSE({1,2},Table12[Native],Table12[Name]),2,0)</f>
        <v>Kēchéng Qū</v>
      </c>
      <c r="N977" s="15" t="str">
        <f>VLOOKUP(I977,CHOOSE({1,2},Table12[Native],Table12[Name]),2,0)</f>
        <v>Qúzhōu Shì</v>
      </c>
      <c r="O977" s="15" t="str">
        <f t="shared" si="30"/>
        <v>Shuanggang Jiedao (Qúzhōu Shì)</v>
      </c>
      <c r="P977" s="15" t="str">
        <f t="shared" si="31"/>
        <v>Shuanggang Jiedao (Qúzhōu Shì)</v>
      </c>
    </row>
    <row r="978" spans="1:16" hidden="1" x14ac:dyDescent="0.25">
      <c r="A978" t="s">
        <v>2628</v>
      </c>
      <c r="B978" t="str">
        <f>IF(COUNTIF(A:A,A978)&gt;1,_xlfn.CONCAT(A978," (",N978,")"),A978)</f>
        <v>Shuāngguì Xiāng [→ Xuékŏu Zhèn]</v>
      </c>
      <c r="C978" t="str">
        <f>IF(COUNTIF(B:B,B978)&gt;1,_xlfn.CONCAT(A978," (",M978,")"),B978)</f>
        <v>Shuāngguì Xiāng [→ Xuékŏu Zhèn]</v>
      </c>
      <c r="D978" t="s">
        <v>2629</v>
      </c>
      <c r="E978" t="s">
        <v>7</v>
      </c>
      <c r="F978" t="str">
        <f>_xlfn.CONCAT(D978,", ",H978,", ",I978,", ","浙江省")</f>
        <v>双桂乡, 文成县, 温州市, 浙江省</v>
      </c>
      <c r="G978">
        <v>3290</v>
      </c>
      <c r="H978" t="s">
        <v>3009</v>
      </c>
      <c r="I978" t="s">
        <v>3000</v>
      </c>
      <c r="J978" t="e">
        <f>VLOOKUP(F978,[1]!china_towns_second__2[[Column1]:[Y]],3,FALSE)</f>
        <v>#N/A</v>
      </c>
      <c r="K978" t="e">
        <f>VLOOKUP(F978,[1]!china_towns_second__2[[Column1]:[Y]],2,FALSE)</f>
        <v>#N/A</v>
      </c>
      <c r="L978" t="s">
        <v>4612</v>
      </c>
      <c r="M978" t="str">
        <f>VLOOKUP(H978,CHOOSE({1,2},Table12[Native],Table12[Name]),2,0)</f>
        <v>Wénchéng Xiàn</v>
      </c>
      <c r="N978" s="15" t="str">
        <f>VLOOKUP(I978,CHOOSE({1,2},Table12[Native],Table12[Name]),2,0)</f>
        <v>Wēnzhōu Shì</v>
      </c>
      <c r="O978" s="15" t="str">
        <f t="shared" si="30"/>
        <v>Shuanggui Xiang [→ Xuekou Zhen] (Wēnzhōu Shì)</v>
      </c>
      <c r="P978" s="15" t="str">
        <f t="shared" si="31"/>
        <v>Shuanggui Xiang [→ Xuekou Zhen] (Wēnzhōu Shì)</v>
      </c>
    </row>
    <row r="979" spans="1:16" hidden="1" x14ac:dyDescent="0.25">
      <c r="A979" t="s">
        <v>509</v>
      </c>
      <c r="B979" t="str">
        <f>IF(COUNTIF(A:A,A979)&gt;1,_xlfn.CONCAT(A979," (",N979,")"),A979)</f>
        <v>Shuānglín Zhèn</v>
      </c>
      <c r="C979" t="str">
        <f>IF(COUNTIF(B:B,B979)&gt;1,_xlfn.CONCAT(A979," (",M979,")"),B979)</f>
        <v>Shuānglín Zhèn</v>
      </c>
      <c r="D979" t="s">
        <v>510</v>
      </c>
      <c r="E979" t="s">
        <v>11</v>
      </c>
      <c r="F979" t="str">
        <f>_xlfn.CONCAT(D979,", ",H979,", ",I979,", ","浙江省")</f>
        <v>双林镇, 南浔区, 湖州市, 浙江省</v>
      </c>
      <c r="G979">
        <v>74725</v>
      </c>
      <c r="H979" t="s">
        <v>2926</v>
      </c>
      <c r="I979" t="s">
        <v>2922</v>
      </c>
      <c r="J979">
        <f>VLOOKUP(F979,[1]!china_towns_second__2[[Column1]:[Y]],3,FALSE)</f>
        <v>30.780330319403301</v>
      </c>
      <c r="K979">
        <f>VLOOKUP(F979,[1]!china_towns_second__2[[Column1]:[Y]],2,FALSE)</f>
        <v>120.31447729999999</v>
      </c>
      <c r="L979" t="s">
        <v>4613</v>
      </c>
      <c r="M979" t="str">
        <f>VLOOKUP(H979,CHOOSE({1,2},Table12[Native],Table12[Name]),2,0)</f>
        <v>Nánxún Qū</v>
      </c>
      <c r="N979" s="15" t="str">
        <f>VLOOKUP(I979,CHOOSE({1,2},Table12[Native],Table12[Name]),2,0)</f>
        <v>Húzhōu Shì</v>
      </c>
      <c r="O979" s="15" t="str">
        <f t="shared" si="30"/>
        <v>Shuanglin Zhen (Húzhōu Shì)</v>
      </c>
      <c r="P979" s="15" t="str">
        <f t="shared" si="31"/>
        <v>Shuanglin Zhen (Húzhōu Shì)</v>
      </c>
    </row>
    <row r="980" spans="1:16" hidden="1" x14ac:dyDescent="0.25">
      <c r="A980" t="s">
        <v>2211</v>
      </c>
      <c r="B980" t="str">
        <f>IF(COUNTIF(A:A,A980)&gt;1,_xlfn.CONCAT(A980," (",N980,")"),A980)</f>
        <v>Shuāngmiào Xiāng</v>
      </c>
      <c r="C980" t="str">
        <f>IF(COUNTIF(B:B,B980)&gt;1,_xlfn.CONCAT(A980," (",M980,")"),B980)</f>
        <v>Shuāngmiào Xiāng</v>
      </c>
      <c r="D980" t="s">
        <v>2212</v>
      </c>
      <c r="E980" t="s">
        <v>7</v>
      </c>
      <c r="F980" t="str">
        <f>_xlfn.CONCAT(D980,", ",H980,", ",I980,", ","浙江省")</f>
        <v>双庙乡, 仙居县, 台州市, 浙江省</v>
      </c>
      <c r="G980">
        <v>5771</v>
      </c>
      <c r="H980" t="s">
        <v>2997</v>
      </c>
      <c r="I980" t="s">
        <v>2989</v>
      </c>
      <c r="J980" t="e">
        <f>VLOOKUP(F980,[1]!china_towns_second__2[[Column1]:[Y]],3,FALSE)</f>
        <v>#N/A</v>
      </c>
      <c r="K980" t="e">
        <f>VLOOKUP(F980,[1]!china_towns_second__2[[Column1]:[Y]],2,FALSE)</f>
        <v>#N/A</v>
      </c>
      <c r="L980" t="s">
        <v>4614</v>
      </c>
      <c r="M980" t="str">
        <f>VLOOKUP(H980,CHOOSE({1,2},Table12[Native],Table12[Name]),2,0)</f>
        <v>Xiānjū Xiàn</v>
      </c>
      <c r="N980" s="15" t="str">
        <f>VLOOKUP(I980,CHOOSE({1,2},Table12[Native],Table12[Name]),2,0)</f>
        <v>Táizhōu Shì</v>
      </c>
      <c r="O980" s="15" t="str">
        <f t="shared" si="30"/>
        <v>Shuangmiao Xiang (Táizhōu Shì)</v>
      </c>
      <c r="P980" s="15" t="str">
        <f t="shared" si="31"/>
        <v>Shuangmiao Xiang (Táizhōu Shì)</v>
      </c>
    </row>
    <row r="981" spans="1:16" hidden="1" x14ac:dyDescent="0.25">
      <c r="A981" t="s">
        <v>284</v>
      </c>
      <c r="B981" t="str">
        <f>IF(COUNTIF(A:A,A981)&gt;1,_xlfn.CONCAT(A981," (",N981,")"),A981)</f>
        <v>Shuāngpŭ Zhèn</v>
      </c>
      <c r="C981" t="str">
        <f>IF(COUNTIF(B:B,B981)&gt;1,_xlfn.CONCAT(A981," (",M981,")"),B981)</f>
        <v>Shuāngpŭ Zhèn</v>
      </c>
      <c r="D981" t="s">
        <v>285</v>
      </c>
      <c r="E981" t="s">
        <v>11</v>
      </c>
      <c r="F981" t="str">
        <f>_xlfn.CONCAT(D981,", ",H981,", ",I981,", ","浙江省")</f>
        <v>双浦镇, 西湖区, 杭州市, 浙江省</v>
      </c>
      <c r="G981">
        <v>65038</v>
      </c>
      <c r="H981" t="s">
        <v>2918</v>
      </c>
      <c r="I981" t="s">
        <v>2903</v>
      </c>
      <c r="J981">
        <f>VLOOKUP(F981,[1]!china_towns_second__2[[Column1]:[Y]],3,FALSE)</f>
        <v>30.115455625345501</v>
      </c>
      <c r="K981">
        <f>VLOOKUP(F981,[1]!china_towns_second__2[[Column1]:[Y]],2,FALSE)</f>
        <v>120.0907347</v>
      </c>
      <c r="L981" t="s">
        <v>4615</v>
      </c>
      <c r="M981" t="str">
        <f>VLOOKUP(H981,CHOOSE({1,2},Table12[Native],Table12[Name]),2,0)</f>
        <v>Xīhú Qū</v>
      </c>
      <c r="N981" s="15" t="str">
        <f>VLOOKUP(I981,CHOOSE({1,2},Table12[Native],Table12[Name]),2,0)</f>
        <v>Hángzhōu Shì</v>
      </c>
      <c r="O981" s="15" t="str">
        <f t="shared" si="30"/>
        <v>Shuangpu Zhen (Hángzhōu Shì)</v>
      </c>
      <c r="P981" s="15" t="str">
        <f t="shared" si="31"/>
        <v>Shuangpu Zhen (Hángzhōu Shì)</v>
      </c>
    </row>
    <row r="982" spans="1:16" hidden="1" x14ac:dyDescent="0.25">
      <c r="A982" t="s">
        <v>2881</v>
      </c>
      <c r="B982" t="str">
        <f>IF(COUNTIF(A:A,A982)&gt;1,_xlfn.CONCAT(A982," (",N982,")"),A982)</f>
        <v>Shuāngqiáo Jiēdào</v>
      </c>
      <c r="C982" t="str">
        <f>IF(COUNTIF(B:B,B982)&gt;1,_xlfn.CONCAT(A982," (",M982,")"),B982)</f>
        <v>Shuāngqiáo Jiēdào</v>
      </c>
      <c r="D982" t="s">
        <v>2882</v>
      </c>
      <c r="E982" t="s">
        <v>15</v>
      </c>
      <c r="F982" t="str">
        <f>_xlfn.CONCAT(D982,", ",H982,", ",I982,", ","浙江省")</f>
        <v>双桥街道, 定海区, 舟山市, 浙江省</v>
      </c>
      <c r="G982">
        <v>14976</v>
      </c>
      <c r="H982" t="s">
        <v>3015</v>
      </c>
      <c r="I982" t="s">
        <v>3013</v>
      </c>
      <c r="J982">
        <f>VLOOKUP(F982,[1]!china_towns_second__2[[Column1]:[Y]],3,FALSE)</f>
        <v>30.056063691727399</v>
      </c>
      <c r="K982">
        <f>VLOOKUP(F982,[1]!china_towns_second__2[[Column1]:[Y]],2,FALSE)</f>
        <v>122.0331697</v>
      </c>
      <c r="L982" t="s">
        <v>4616</v>
      </c>
      <c r="M982" t="str">
        <f>VLOOKUP(H982,CHOOSE({1,2},Table12[Native],Table12[Name]),2,0)</f>
        <v>Dìnghăi Qū</v>
      </c>
      <c r="N982" s="15" t="str">
        <f>VLOOKUP(I982,CHOOSE({1,2},Table12[Native],Table12[Name]),2,0)</f>
        <v>Zhōushān Shì</v>
      </c>
      <c r="O982" s="15" t="str">
        <f t="shared" si="30"/>
        <v>Shuangqiao Jiedao (Zhōushān Shì)</v>
      </c>
      <c r="P982" s="15" t="str">
        <f t="shared" si="31"/>
        <v>Shuangqiao Jiedao (Zhōushān Shì)</v>
      </c>
    </row>
    <row r="983" spans="1:16" hidden="1" x14ac:dyDescent="0.25">
      <c r="A983" t="s">
        <v>1772</v>
      </c>
      <c r="B983" t="str">
        <f>IF(COUNTIF(A:A,A983)&gt;1,_xlfn.CONCAT(A983," (",N983,")"),A983)</f>
        <v>Shuāngqiáo Xiāng</v>
      </c>
      <c r="C983" t="str">
        <f>IF(COUNTIF(B:B,B983)&gt;1,_xlfn.CONCAT(A983," (",M983,")"),B983)</f>
        <v>Shuāngqiáo Xiāng</v>
      </c>
      <c r="D983" t="s">
        <v>1773</v>
      </c>
      <c r="E983" t="s">
        <v>7</v>
      </c>
      <c r="F983" t="str">
        <f>_xlfn.CONCAT(D983,", ",H983,", ",I983,", ","浙江省")</f>
        <v>双桥乡, 衢江区, 衢州市, 浙江省</v>
      </c>
      <c r="G983">
        <v>2569</v>
      </c>
      <c r="H983" t="s">
        <v>2979</v>
      </c>
      <c r="I983" t="s">
        <v>2973</v>
      </c>
      <c r="J983" t="e">
        <f>VLOOKUP(F983,[1]!china_towns_second__2[[Column1]:[Y]],3,FALSE)</f>
        <v>#N/A</v>
      </c>
      <c r="K983" t="e">
        <f>VLOOKUP(F983,[1]!china_towns_second__2[[Column1]:[Y]],2,FALSE)</f>
        <v>#N/A</v>
      </c>
      <c r="L983" t="s">
        <v>4617</v>
      </c>
      <c r="M983" t="str">
        <f>VLOOKUP(H983,CHOOSE({1,2},Table12[Native],Table12[Name]),2,0)</f>
        <v>Qújiāng Qū</v>
      </c>
      <c r="N983" s="15" t="str">
        <f>VLOOKUP(I983,CHOOSE({1,2},Table12[Native],Table12[Name]),2,0)</f>
        <v>Qúzhōu Shì</v>
      </c>
      <c r="O983" s="15" t="str">
        <f t="shared" si="30"/>
        <v>Shuangqiao Xiang (Qúzhōu Shì)</v>
      </c>
      <c r="P983" s="15" t="str">
        <f t="shared" si="31"/>
        <v>Shuangqiao Xiang (Qúzhōu Shì)</v>
      </c>
    </row>
    <row r="984" spans="1:16" hidden="1" x14ac:dyDescent="0.25">
      <c r="A984" t="s">
        <v>1774</v>
      </c>
      <c r="B984" t="str">
        <f>IF(COUNTIF(A:A,A984)&gt;1,_xlfn.CONCAT(A984," (",N984,")"),A984)</f>
        <v>Shuāngtă Jiēdào</v>
      </c>
      <c r="C984" t="str">
        <f>IF(COUNTIF(B:B,B984)&gt;1,_xlfn.CONCAT(A984," (",M984,")"),B984)</f>
        <v>Shuāngtă Jiēdào</v>
      </c>
      <c r="D984" t="s">
        <v>1775</v>
      </c>
      <c r="E984" t="s">
        <v>15</v>
      </c>
      <c r="F984" t="str">
        <f>_xlfn.CONCAT(D984,", ",H984,", ",I984,", ","浙江省")</f>
        <v>双塔街道, 江山市, 衢州市, 浙江省</v>
      </c>
      <c r="G984">
        <v>67213</v>
      </c>
      <c r="H984" t="s">
        <v>2975</v>
      </c>
      <c r="I984" t="s">
        <v>2973</v>
      </c>
      <c r="J984">
        <f>VLOOKUP(F984,[1]!china_towns_second__2[[Column1]:[Y]],3,FALSE)</f>
        <v>28.7673089768439</v>
      </c>
      <c r="K984">
        <f>VLOOKUP(F984,[1]!china_towns_second__2[[Column1]:[Y]],2,FALSE)</f>
        <v>118.64151029999999</v>
      </c>
      <c r="L984" t="s">
        <v>4618</v>
      </c>
      <c r="M984" t="str">
        <f>VLOOKUP(H984,CHOOSE({1,2},Table12[Native],Table12[Name]),2,0)</f>
        <v>Jiāngshān Shì</v>
      </c>
      <c r="N984" s="15" t="str">
        <f>VLOOKUP(I984,CHOOSE({1,2},Table12[Native],Table12[Name]),2,0)</f>
        <v>Qúzhōu Shì</v>
      </c>
      <c r="O984" s="15" t="str">
        <f t="shared" si="30"/>
        <v>Shuangta Jiedao (Qúzhōu Shì)</v>
      </c>
      <c r="P984" s="15" t="str">
        <f t="shared" si="31"/>
        <v>Shuangta Jiedao (Qúzhōu Shì)</v>
      </c>
    </row>
    <row r="985" spans="1:16" hidden="1" x14ac:dyDescent="0.25">
      <c r="A985" t="s">
        <v>899</v>
      </c>
      <c r="B985" t="str">
        <f>IF(COUNTIF(A:A,A985)&gt;1,_xlfn.CONCAT(A985," (",N985,")"),A985)</f>
        <v>Shuāngxī Xiāng</v>
      </c>
      <c r="C985" t="str">
        <f>IF(COUNTIF(B:B,B985)&gt;1,_xlfn.CONCAT(A985," (",M985,")"),B985)</f>
        <v>Shuāngxī Xiāng</v>
      </c>
      <c r="D985" t="s">
        <v>900</v>
      </c>
      <c r="E985" t="s">
        <v>7</v>
      </c>
      <c r="F985" t="str">
        <f>_xlfn.CONCAT(D985,", ",H985,", ",I985,", ","浙江省")</f>
        <v>双溪乡, 磐安县, 金华市, 浙江省</v>
      </c>
      <c r="G985">
        <v>4034</v>
      </c>
      <c r="H985" t="s">
        <v>2942</v>
      </c>
      <c r="I985" t="s">
        <v>2938</v>
      </c>
      <c r="J985" t="e">
        <f>VLOOKUP(F985,[1]!china_towns_second__2[[Column1]:[Y]],3,FALSE)</f>
        <v>#N/A</v>
      </c>
      <c r="K985" t="e">
        <f>VLOOKUP(F985,[1]!china_towns_second__2[[Column1]:[Y]],2,FALSE)</f>
        <v>#N/A</v>
      </c>
      <c r="L985" t="s">
        <v>4619</v>
      </c>
      <c r="M985" t="str">
        <f>VLOOKUP(H985,CHOOSE({1,2},Table12[Native],Table12[Name]),2,0)</f>
        <v>Pán'ān Xiàn</v>
      </c>
      <c r="N985" s="15" t="str">
        <f>VLOOKUP(I985,CHOOSE({1,2},Table12[Native],Table12[Name]),2,0)</f>
        <v>Jīnhuá Shì</v>
      </c>
      <c r="O985" s="15" t="str">
        <f t="shared" si="30"/>
        <v>Shuangxi Xiang (Jīnhuá Shì)</v>
      </c>
      <c r="P985" s="15" t="str">
        <f t="shared" si="31"/>
        <v>Shuangxi Xiang (Jīnhuá Shì)</v>
      </c>
    </row>
    <row r="986" spans="1:16" hidden="1" x14ac:dyDescent="0.25">
      <c r="A986" t="s">
        <v>1219</v>
      </c>
      <c r="B986" t="str">
        <f>IF(COUNTIF(A:A,A986)&gt;1,_xlfn.CONCAT(A986," (",N986,")"),A986)</f>
        <v>Shuāngxīkŏu Xiāng</v>
      </c>
      <c r="C986" t="str">
        <f>IF(COUNTIF(B:B,B986)&gt;1,_xlfn.CONCAT(A986," (",M986,")"),B986)</f>
        <v>Shuāngxīkŏu Xiāng</v>
      </c>
      <c r="D986" t="s">
        <v>1220</v>
      </c>
      <c r="E986" t="s">
        <v>7</v>
      </c>
      <c r="F986" t="str">
        <f>_xlfn.CONCAT(D986,", ",H986,", ",I986,", ","浙江省")</f>
        <v>双溪口乡, 缙云县, 丽水市, 浙江省</v>
      </c>
      <c r="G986">
        <v>6043</v>
      </c>
      <c r="H986" t="s">
        <v>2952</v>
      </c>
      <c r="I986" t="s">
        <v>2949</v>
      </c>
      <c r="J986" t="e">
        <f>VLOOKUP(F986,[1]!china_towns_second__2[[Column1]:[Y]],3,FALSE)</f>
        <v>#N/A</v>
      </c>
      <c r="K986" t="e">
        <f>VLOOKUP(F986,[1]!china_towns_second__2[[Column1]:[Y]],2,FALSE)</f>
        <v>#N/A</v>
      </c>
      <c r="L986" t="s">
        <v>4620</v>
      </c>
      <c r="M986" t="str">
        <f>VLOOKUP(H986,CHOOSE({1,2},Table12[Native],Table12[Name]),2,0)</f>
        <v>Jìnyún Xiàn</v>
      </c>
      <c r="N986" s="15" t="str">
        <f>VLOOKUP(I986,CHOOSE({1,2},Table12[Native],Table12[Name]),2,0)</f>
        <v>Lìshuĭ Shì</v>
      </c>
      <c r="O986" s="15" t="str">
        <f t="shared" si="30"/>
        <v>Shuangxikou Xiang (Lìshuĭ Shì)</v>
      </c>
      <c r="P986" s="15" t="str">
        <f t="shared" si="31"/>
        <v>Shuangxikou Xiang (Lìshuĭ Shì)</v>
      </c>
    </row>
    <row r="987" spans="1:16" hidden="1" x14ac:dyDescent="0.25">
      <c r="A987" t="s">
        <v>2630</v>
      </c>
      <c r="B987" t="str">
        <f>IF(COUNTIF(A:A,A987)&gt;1,_xlfn.CONCAT(A987," (",N987,")"),A987)</f>
        <v>Shuāngyŭ Jiēdào [incl. Huánglóng Jiēdào]</v>
      </c>
      <c r="C987" t="str">
        <f>IF(COUNTIF(B:B,B987)&gt;1,_xlfn.CONCAT(A987," (",M987,")"),B987)</f>
        <v>Shuāngyŭ Jiēdào [incl. Huánglóng Jiēdào]</v>
      </c>
      <c r="D987" t="s">
        <v>2631</v>
      </c>
      <c r="E987" t="s">
        <v>15</v>
      </c>
      <c r="F987" t="str">
        <f>_xlfn.CONCAT(D987,", ",H987,", ",I987,", ","浙江省")</f>
        <v>双屿街道, 鹿城区, 温州市, 浙江省</v>
      </c>
      <c r="G987">
        <v>312747</v>
      </c>
      <c r="H987" t="s">
        <v>3004</v>
      </c>
      <c r="I987" t="s">
        <v>3000</v>
      </c>
      <c r="J987">
        <f>VLOOKUP(F987,[1]!china_towns_second__2[[Column1]:[Y]],3,FALSE)</f>
        <v>28.028461372027898</v>
      </c>
      <c r="K987">
        <f>VLOOKUP(F987,[1]!china_towns_second__2[[Column1]:[Y]],2,FALSE)</f>
        <v>120.5873788</v>
      </c>
      <c r="L987" t="s">
        <v>4621</v>
      </c>
      <c r="M987" t="str">
        <f>VLOOKUP(H987,CHOOSE({1,2},Table12[Native],Table12[Name]),2,0)</f>
        <v>Lùchéng Qū</v>
      </c>
      <c r="N987" s="15" t="str">
        <f>VLOOKUP(I987,CHOOSE({1,2},Table12[Native],Table12[Name]),2,0)</f>
        <v>Wēnzhōu Shì</v>
      </c>
      <c r="O987" s="15" t="str">
        <f t="shared" si="30"/>
        <v>Shuangyu Jiedao [incl. Huanglong Jiedao] (Wēnzhōu Shì)</v>
      </c>
      <c r="P987" s="15" t="str">
        <f t="shared" si="31"/>
        <v>Shuangyu Jiedao [incl. Huanglong Jiedao] (Wēnzhōu Shì)</v>
      </c>
    </row>
    <row r="988" spans="1:16" hidden="1" x14ac:dyDescent="0.25">
      <c r="A988" t="s">
        <v>1221</v>
      </c>
      <c r="B988" t="str">
        <f>IF(COUNTIF(A:A,A988)&gt;1,_xlfn.CONCAT(A988," (",N988,")"),A988)</f>
        <v>Shūhóng Zhèn</v>
      </c>
      <c r="C988" t="str">
        <f>IF(COUNTIF(B:B,B988)&gt;1,_xlfn.CONCAT(A988," (",M988,")"),B988)</f>
        <v>Shūhóng Zhèn</v>
      </c>
      <c r="D988" t="s">
        <v>1222</v>
      </c>
      <c r="E988" t="s">
        <v>11</v>
      </c>
      <c r="F988" t="str">
        <f>_xlfn.CONCAT(D988,", ",H988,", ",I988,", ","浙江省")</f>
        <v>舒洪镇, 缙云县, 丽水市, 浙江省</v>
      </c>
      <c r="G988">
        <v>14793</v>
      </c>
      <c r="H988" t="s">
        <v>2952</v>
      </c>
      <c r="I988" t="s">
        <v>2949</v>
      </c>
      <c r="J988">
        <f>VLOOKUP(F988,[1]!china_towns_second__2[[Column1]:[Y]],3,FALSE)</f>
        <v>28.656152576441698</v>
      </c>
      <c r="K988">
        <f>VLOOKUP(F988,[1]!china_towns_second__2[[Column1]:[Y]],2,FALSE)</f>
        <v>120.1729555</v>
      </c>
      <c r="L988" t="s">
        <v>4622</v>
      </c>
      <c r="M988" t="str">
        <f>VLOOKUP(H988,CHOOSE({1,2},Table12[Native],Table12[Name]),2,0)</f>
        <v>Jìnyún Xiàn</v>
      </c>
      <c r="N988" s="15" t="str">
        <f>VLOOKUP(I988,CHOOSE({1,2},Table12[Native],Table12[Name]),2,0)</f>
        <v>Lìshuĭ Shì</v>
      </c>
      <c r="O988" s="15" t="str">
        <f t="shared" si="30"/>
        <v>Shuhong Zhen (Lìshuĭ Shì)</v>
      </c>
      <c r="P988" s="15" t="str">
        <f t="shared" si="31"/>
        <v>Shuhong Zhen (Lìshuĭ Shì)</v>
      </c>
    </row>
    <row r="989" spans="1:16" hidden="1" x14ac:dyDescent="0.25">
      <c r="A989" t="s">
        <v>511</v>
      </c>
      <c r="B989" t="str">
        <f>IF(COUNTIF(A:A,A989)&gt;1,_xlfn.CONCAT(A989," (",N989,")"),A989)</f>
        <v>Shuĭkŏu Xiāng</v>
      </c>
      <c r="C989" t="str">
        <f>IF(COUNTIF(B:B,B989)&gt;1,_xlfn.CONCAT(A989," (",M989,")"),B989)</f>
        <v>Shuĭkŏu Xiāng</v>
      </c>
      <c r="D989" t="s">
        <v>512</v>
      </c>
      <c r="E989" t="s">
        <v>7</v>
      </c>
      <c r="F989" t="str">
        <f>_xlfn.CONCAT(D989,", ",H989,", ",I989,", ","浙江省")</f>
        <v>水口乡, 长兴县, 湖州市, 浙江省</v>
      </c>
      <c r="G989">
        <v>17405</v>
      </c>
      <c r="H989" t="s">
        <v>2924</v>
      </c>
      <c r="I989" t="s">
        <v>2922</v>
      </c>
      <c r="J989" t="e">
        <f>VLOOKUP(F989,[1]!china_towns_second__2[[Column1]:[Y]],3,FALSE)</f>
        <v>#N/A</v>
      </c>
      <c r="K989" t="e">
        <f>VLOOKUP(F989,[1]!china_towns_second__2[[Column1]:[Y]],2,FALSE)</f>
        <v>#N/A</v>
      </c>
      <c r="L989" t="s">
        <v>4623</v>
      </c>
      <c r="M989" t="str">
        <f>VLOOKUP(H989,CHOOSE({1,2},Table12[Native],Table12[Name]),2,0)</f>
        <v>Chángxīng Xiàn</v>
      </c>
      <c r="N989" s="15" t="str">
        <f>VLOOKUP(I989,CHOOSE({1,2},Table12[Native],Table12[Name]),2,0)</f>
        <v>Húzhōu Shì</v>
      </c>
      <c r="O989" s="15" t="str">
        <f t="shared" si="30"/>
        <v>Shuikou Xiang (Húzhōu Shì)</v>
      </c>
      <c r="P989" s="15" t="str">
        <f t="shared" si="31"/>
        <v>Shuikou Xiang (Húzhōu Shì)</v>
      </c>
    </row>
    <row r="990" spans="1:16" hidden="1" x14ac:dyDescent="0.25">
      <c r="A990" t="s">
        <v>901</v>
      </c>
      <c r="B990" t="str">
        <f>IF(COUNTIF(A:A,A990)&gt;1,_xlfn.CONCAT(A990," (",N990,")"),A990)</f>
        <v>Shuĭtíng Shēzú Xiāng</v>
      </c>
      <c r="C990" t="str">
        <f>IF(COUNTIF(B:B,B990)&gt;1,_xlfn.CONCAT(A990," (",M990,")"),B990)</f>
        <v>Shuĭtíng Shēzú Xiāng</v>
      </c>
      <c r="D990" t="s">
        <v>902</v>
      </c>
      <c r="E990" t="s">
        <v>7</v>
      </c>
      <c r="F990" t="str">
        <f>_xlfn.CONCAT(D990,", ",H990,", ",I990,", ","浙江省")</f>
        <v>水亭畲族乡, 兰溪市, 金华市, 浙江省</v>
      </c>
      <c r="G990">
        <v>14929</v>
      </c>
      <c r="H990" t="s">
        <v>2941</v>
      </c>
      <c r="I990" t="s">
        <v>2938</v>
      </c>
      <c r="J990" t="e">
        <f>VLOOKUP(F990,[1]!china_towns_second__2[[Column1]:[Y]],3,FALSE)</f>
        <v>#N/A</v>
      </c>
      <c r="K990" t="e">
        <f>VLOOKUP(F990,[1]!china_towns_second__2[[Column1]:[Y]],2,FALSE)</f>
        <v>#N/A</v>
      </c>
      <c r="L990" t="s">
        <v>4624</v>
      </c>
      <c r="M990" t="str">
        <f>VLOOKUP(H990,CHOOSE({1,2},Table12[Native],Table12[Name]),2,0)</f>
        <v>Lánxī Shì</v>
      </c>
      <c r="N990" s="15" t="str">
        <f>VLOOKUP(I990,CHOOSE({1,2},Table12[Native],Table12[Name]),2,0)</f>
        <v>Jīnhuá Shì</v>
      </c>
      <c r="O990" s="15" t="str">
        <f t="shared" si="30"/>
        <v>Shuiting Shezu Xiang (Jīnhuá Shì)</v>
      </c>
      <c r="P990" s="15" t="str">
        <f t="shared" si="31"/>
        <v>Shuiting Shezu Xiang (Jīnhuá Shì)</v>
      </c>
    </row>
    <row r="991" spans="1:16" hidden="1" x14ac:dyDescent="0.25">
      <c r="A991" t="s">
        <v>2632</v>
      </c>
      <c r="B991" t="str">
        <f>IF(COUNTIF(A:A,A991)&gt;1,_xlfn.CONCAT(A991," (",N991,")"),A991)</f>
        <v>Shuĭtóu Zhèn</v>
      </c>
      <c r="C991" t="str">
        <f>IF(COUNTIF(B:B,B991)&gt;1,_xlfn.CONCAT(A991," (",M991,")"),B991)</f>
        <v>Shuĭtóu Zhèn</v>
      </c>
      <c r="D991" t="s">
        <v>2633</v>
      </c>
      <c r="E991" t="s">
        <v>11</v>
      </c>
      <c r="F991" t="str">
        <f>_xlfn.CONCAT(D991,", ",H991,", ",I991,", ","浙江省")</f>
        <v>水头镇, 平阳县, 温州市, 浙江省</v>
      </c>
      <c r="G991">
        <v>100489</v>
      </c>
      <c r="H991" t="s">
        <v>3006</v>
      </c>
      <c r="I991" t="s">
        <v>3000</v>
      </c>
      <c r="J991">
        <f>VLOOKUP(F991,[1]!china_towns_second__2[[Column1]:[Y]],3,FALSE)</f>
        <v>27.622158749603301</v>
      </c>
      <c r="K991">
        <f>VLOOKUP(F991,[1]!china_towns_second__2[[Column1]:[Y]],2,FALSE)</f>
        <v>120.31686310000001</v>
      </c>
      <c r="L991" t="s">
        <v>4625</v>
      </c>
      <c r="M991" t="str">
        <f>VLOOKUP(H991,CHOOSE({1,2},Table12[Native],Table12[Name]),2,0)</f>
        <v>Píngyáng Xiàn</v>
      </c>
      <c r="N991" s="15" t="str">
        <f>VLOOKUP(I991,CHOOSE({1,2},Table12[Native],Table12[Name]),2,0)</f>
        <v>Wēnzhōu Shì</v>
      </c>
      <c r="O991" s="15" t="str">
        <f t="shared" si="30"/>
        <v>Shuitou Zhen (Wēnzhōu Shì)</v>
      </c>
      <c r="P991" s="15" t="str">
        <f t="shared" si="31"/>
        <v>Shuitou Zhen (Wēnzhōu Shì)</v>
      </c>
    </row>
    <row r="992" spans="1:16" hidden="1" x14ac:dyDescent="0.25">
      <c r="A992" t="s">
        <v>2634</v>
      </c>
      <c r="B992" t="str">
        <f>IF(COUNTIF(A:A,A992)&gt;1,_xlfn.CONCAT(A992," (",N992,")"),A992)</f>
        <v>Shùntài Xiāng</v>
      </c>
      <c r="C992" t="str">
        <f>IF(COUNTIF(B:B,B992)&gt;1,_xlfn.CONCAT(A992," (",M992,")"),B992)</f>
        <v>Shùntài Xiāng</v>
      </c>
      <c r="D992" t="s">
        <v>2635</v>
      </c>
      <c r="E992" t="s">
        <v>7</v>
      </c>
      <c r="F992" t="str">
        <f>_xlfn.CONCAT(D992,", ",H992,", ",I992,", ","浙江省")</f>
        <v>顺泰乡, 瑞安市, 温州市, 浙江省</v>
      </c>
      <c r="G992">
        <v>4848</v>
      </c>
      <c r="H992" t="s">
        <v>3007</v>
      </c>
      <c r="I992" t="s">
        <v>3000</v>
      </c>
      <c r="J992" t="e">
        <f>VLOOKUP(F992,[1]!china_towns_second__2[[Column1]:[Y]],3,FALSE)</f>
        <v>#N/A</v>
      </c>
      <c r="K992" t="e">
        <f>VLOOKUP(F992,[1]!china_towns_second__2[[Column1]:[Y]],2,FALSE)</f>
        <v>#N/A</v>
      </c>
      <c r="L992" t="s">
        <v>4626</v>
      </c>
      <c r="M992" t="str">
        <f>VLOOKUP(H992,CHOOSE({1,2},Table12[Native],Table12[Name]),2,0)</f>
        <v>Ruì'ān Shì</v>
      </c>
      <c r="N992" s="15" t="str">
        <f>VLOOKUP(I992,CHOOSE({1,2},Table12[Native],Table12[Name]),2,0)</f>
        <v>Wēnzhōu Shì</v>
      </c>
      <c r="O992" s="15" t="str">
        <f t="shared" si="30"/>
        <v>Shuntai Xiang (Wēnzhōu Shì)</v>
      </c>
      <c r="P992" s="15" t="str">
        <f t="shared" si="31"/>
        <v>Shuntai Xiang (Wēnzhōu Shì)</v>
      </c>
    </row>
    <row r="993" spans="1:16" hidden="1" x14ac:dyDescent="0.25">
      <c r="A993" t="s">
        <v>2636</v>
      </c>
      <c r="B993" t="str">
        <f>IF(COUNTIF(A:A,A993)&gt;1,_xlfn.CONCAT(A993," (",N993,")"),A993)</f>
        <v>Shùnxī Zhèn</v>
      </c>
      <c r="C993" t="str">
        <f>IF(COUNTIF(B:B,B993)&gt;1,_xlfn.CONCAT(A993," (",M993,")"),B993)</f>
        <v>Shùnxī Zhèn</v>
      </c>
      <c r="D993" t="s">
        <v>2637</v>
      </c>
      <c r="E993" t="s">
        <v>11</v>
      </c>
      <c r="F993" t="str">
        <f>_xlfn.CONCAT(D993,", ",H993,", ",I993,", ","浙江省")</f>
        <v>顺溪镇, 平阳县, 温州市, 浙江省</v>
      </c>
      <c r="G993">
        <v>5403</v>
      </c>
      <c r="H993" t="s">
        <v>3006</v>
      </c>
      <c r="I993" t="s">
        <v>3000</v>
      </c>
      <c r="J993">
        <f>VLOOKUP(F993,[1]!china_towns_second__2[[Column1]:[Y]],3,FALSE)</f>
        <v>27.5877672167179</v>
      </c>
      <c r="K993">
        <f>VLOOKUP(F993,[1]!china_towns_second__2[[Column1]:[Y]],2,FALSE)</f>
        <v>120.14357750000001</v>
      </c>
      <c r="L993" t="s">
        <v>4627</v>
      </c>
      <c r="M993" t="str">
        <f>VLOOKUP(H993,CHOOSE({1,2},Table12[Native],Table12[Name]),2,0)</f>
        <v>Píngyáng Xiàn</v>
      </c>
      <c r="N993" s="15" t="str">
        <f>VLOOKUP(I993,CHOOSE({1,2},Table12[Native],Table12[Name]),2,0)</f>
        <v>Wēnzhōu Shì</v>
      </c>
      <c r="O993" s="15" t="str">
        <f t="shared" si="30"/>
        <v>Shunxi Zhen (Wēnzhōu Shì)</v>
      </c>
      <c r="P993" s="15" t="str">
        <f t="shared" si="31"/>
        <v>Shunxi Zhen (Wēnzhōu Shì)</v>
      </c>
    </row>
    <row r="994" spans="1:16" hidden="1" x14ac:dyDescent="0.25">
      <c r="A994" t="s">
        <v>1223</v>
      </c>
      <c r="B994" t="str">
        <f>IF(COUNTIF(A:A,A994)&gt;1,_xlfn.CONCAT(A994," (",N994,")"),A994)</f>
        <v>Shūqiáo Xiāng</v>
      </c>
      <c r="C994" t="str">
        <f>IF(COUNTIF(B:B,B994)&gt;1,_xlfn.CONCAT(A994," (",M994,")"),B994)</f>
        <v>Shūqiáo Xiāng</v>
      </c>
      <c r="D994" t="s">
        <v>1224</v>
      </c>
      <c r="E994" t="s">
        <v>7</v>
      </c>
      <c r="F994" t="str">
        <f>_xlfn.CONCAT(D994,", ",H994,", ",I994,", ","浙江省")</f>
        <v>舒桥乡, 青田县, 丽水市, 浙江省</v>
      </c>
      <c r="G994">
        <v>6285</v>
      </c>
      <c r="H994" t="s">
        <v>2955</v>
      </c>
      <c r="I994" t="s">
        <v>2949</v>
      </c>
      <c r="J994" t="e">
        <f>VLOOKUP(F994,[1]!china_towns_second__2[[Column1]:[Y]],3,FALSE)</f>
        <v>#N/A</v>
      </c>
      <c r="K994" t="e">
        <f>VLOOKUP(F994,[1]!china_towns_second__2[[Column1]:[Y]],2,FALSE)</f>
        <v>#N/A</v>
      </c>
      <c r="L994" t="s">
        <v>4628</v>
      </c>
      <c r="M994" t="str">
        <f>VLOOKUP(H994,CHOOSE({1,2},Table12[Native],Table12[Name]),2,0)</f>
        <v>Qīngtián Xiàn</v>
      </c>
      <c r="N994" s="15" t="str">
        <f>VLOOKUP(I994,CHOOSE({1,2},Table12[Native],Table12[Name]),2,0)</f>
        <v>Lìshuĭ Shì</v>
      </c>
      <c r="O994" s="15" t="str">
        <f t="shared" si="30"/>
        <v>Shuqiao Xiang (Lìshuĭ Shì)</v>
      </c>
      <c r="P994" s="15" t="str">
        <f t="shared" si="31"/>
        <v>Shuqiao Xiang (Lìshuĭ Shì)</v>
      </c>
    </row>
    <row r="995" spans="1:16" hidden="1" x14ac:dyDescent="0.25">
      <c r="A995" t="s">
        <v>286</v>
      </c>
      <c r="B995" t="str">
        <f>IF(COUNTIF(A:A,A995)&gt;1,_xlfn.CONCAT(A995," (",N995,")"),A995)</f>
        <v>Shŭshān Jiēdào</v>
      </c>
      <c r="C995" t="str">
        <f>IF(COUNTIF(B:B,B995)&gt;1,_xlfn.CONCAT(A995," (",M995,")"),B995)</f>
        <v>Shŭshān Jiēdào</v>
      </c>
      <c r="D995" t="s">
        <v>287</v>
      </c>
      <c r="E995" t="s">
        <v>15</v>
      </c>
      <c r="F995" t="str">
        <f>_xlfn.CONCAT(D995,", ",H995,", ",I995,", ","浙江省")</f>
        <v>蜀山街道, 萧山区, 杭州市, 浙江省</v>
      </c>
      <c r="G995">
        <v>57985</v>
      </c>
      <c r="H995" t="s">
        <v>2917</v>
      </c>
      <c r="I995" t="s">
        <v>2903</v>
      </c>
      <c r="J995">
        <f>VLOOKUP(F995,[1]!china_towns_second__2[[Column1]:[Y]],3,FALSE)</f>
        <v>30.119864772464801</v>
      </c>
      <c r="K995">
        <f>VLOOKUP(F995,[1]!china_towns_second__2[[Column1]:[Y]],2,FALSE)</f>
        <v>120.2406446</v>
      </c>
      <c r="L995" t="s">
        <v>4629</v>
      </c>
      <c r="M995" t="str">
        <f>VLOOKUP(H995,CHOOSE({1,2},Table12[Native],Table12[Name]),2,0)</f>
        <v>Xiāoshān Qū</v>
      </c>
      <c r="N995" s="15" t="str">
        <f>VLOOKUP(I995,CHOOSE({1,2},Table12[Native],Table12[Name]),2,0)</f>
        <v>Hángzhōu Shì</v>
      </c>
      <c r="O995" s="15" t="str">
        <f t="shared" si="30"/>
        <v>Shushan Jiedao (Hángzhōu Shì)</v>
      </c>
      <c r="P995" s="15" t="str">
        <f t="shared" si="31"/>
        <v>Shushan Jiedao (Hángzhōu Shì)</v>
      </c>
    </row>
    <row r="996" spans="1:16" hidden="1" x14ac:dyDescent="0.25">
      <c r="A996" t="s">
        <v>903</v>
      </c>
      <c r="B996" t="str">
        <f>IF(COUNTIF(A:A,A996)&gt;1,_xlfn.CONCAT(A996," (",N996,")"),A996)</f>
        <v>Shúxī Jiēdào</v>
      </c>
      <c r="C996" t="str">
        <f>IF(COUNTIF(B:B,B996)&gt;1,_xlfn.CONCAT(A996," (",M996,")"),B996)</f>
        <v>Shúxī Jiēdào</v>
      </c>
      <c r="D996" t="s">
        <v>904</v>
      </c>
      <c r="E996" t="s">
        <v>15</v>
      </c>
      <c r="F996" t="str">
        <f>_xlfn.CONCAT(D996,", ",H996,", ",I996,", ","浙江省")</f>
        <v>熟溪街道, 武义县, 金华市, 浙江省</v>
      </c>
      <c r="G996">
        <v>44941</v>
      </c>
      <c r="H996" t="s">
        <v>2945</v>
      </c>
      <c r="I996" t="s">
        <v>2938</v>
      </c>
      <c r="J996">
        <f>VLOOKUP(F996,[1]!china_towns_second__2[[Column1]:[Y]],3,FALSE)</f>
        <v>28.827345260551201</v>
      </c>
      <c r="K996">
        <f>VLOOKUP(F996,[1]!china_towns_second__2[[Column1]:[Y]],2,FALSE)</f>
        <v>119.8230475</v>
      </c>
      <c r="L996" t="s">
        <v>4630</v>
      </c>
      <c r="M996" t="str">
        <f>VLOOKUP(H996,CHOOSE({1,2},Table12[Native],Table12[Name]),2,0)</f>
        <v>Wŭyì Xiàn</v>
      </c>
      <c r="N996" s="15" t="str">
        <f>VLOOKUP(I996,CHOOSE({1,2},Table12[Native],Table12[Name]),2,0)</f>
        <v>Jīnhuá Shì</v>
      </c>
      <c r="O996" s="15" t="str">
        <f t="shared" si="30"/>
        <v>Shuxi Jiedao (Jīnhuá Shì)</v>
      </c>
      <c r="P996" s="15" t="str">
        <f t="shared" si="31"/>
        <v>Shuxi Jiedao (Jīnhuá Shì)</v>
      </c>
    </row>
    <row r="997" spans="1:16" hidden="1" x14ac:dyDescent="0.25">
      <c r="A997" t="s">
        <v>513</v>
      </c>
      <c r="B997" t="str">
        <f>IF(COUNTIF(A:A,A997)&gt;1,_xlfn.CONCAT(A997," (",N997,")"),A997)</f>
        <v>Sì'ān Zhèn [incl. Èrjièlĭng Xiāng]</v>
      </c>
      <c r="C997" t="str">
        <f>IF(COUNTIF(B:B,B997)&gt;1,_xlfn.CONCAT(A997," (",M997,")"),B997)</f>
        <v>Sì'ān Zhèn [incl. Èrjièlĭng Xiāng]</v>
      </c>
      <c r="D997" t="s">
        <v>514</v>
      </c>
      <c r="E997" t="s">
        <v>11</v>
      </c>
      <c r="F997" t="str">
        <f>_xlfn.CONCAT(D997,", ",H997,", ",I997,", ","浙江省")</f>
        <v>泗安镇, 长兴县, 湖州市, 浙江省</v>
      </c>
      <c r="G997">
        <v>60057</v>
      </c>
      <c r="H997" t="s">
        <v>2924</v>
      </c>
      <c r="I997" t="s">
        <v>2922</v>
      </c>
      <c r="J997">
        <f>VLOOKUP(F997,[1]!china_towns_second__2[[Column1]:[Y]],3,FALSE)</f>
        <v>30.929164979291201</v>
      </c>
      <c r="K997">
        <f>VLOOKUP(F997,[1]!china_towns_second__2[[Column1]:[Y]],2,FALSE)</f>
        <v>119.6453008</v>
      </c>
      <c r="L997" t="s">
        <v>4631</v>
      </c>
      <c r="M997" t="str">
        <f>VLOOKUP(H997,CHOOSE({1,2},Table12[Native],Table12[Name]),2,0)</f>
        <v>Chángxīng Xiàn</v>
      </c>
      <c r="N997" s="15" t="str">
        <f>VLOOKUP(I997,CHOOSE({1,2},Table12[Native],Table12[Name]),2,0)</f>
        <v>Húzhōu Shì</v>
      </c>
      <c r="O997" s="15" t="str">
        <f t="shared" si="30"/>
        <v>Si'an Zhen [incl. Erjieling Xiang] (Húzhōu Shì)</v>
      </c>
      <c r="P997" s="15" t="str">
        <f t="shared" si="31"/>
        <v>Si'an Zhen [incl. Erjieling Xiang] (Húzhōu Shì)</v>
      </c>
    </row>
    <row r="998" spans="1:16" hidden="1" x14ac:dyDescent="0.25">
      <c r="A998" t="s">
        <v>1225</v>
      </c>
      <c r="B998" t="str">
        <f>IF(COUNTIF(A:A,A998)&gt;1,_xlfn.CONCAT(A998," (",N998,")"),A998)</f>
        <v>Sìdū Xiāng (Lìshuĭ Shì)</v>
      </c>
      <c r="C998" t="str">
        <f>IF(COUNTIF(B:B,B998)&gt;1,_xlfn.CONCAT(A998," (",M998,")"),B998)</f>
        <v>Sìdū Xiāng (Lìshuĭ Shì)</v>
      </c>
      <c r="D998" t="s">
        <v>1226</v>
      </c>
      <c r="E998" t="s">
        <v>7</v>
      </c>
      <c r="F998" t="str">
        <f>_xlfn.CONCAT(D998,", ",H998,", ",I998,", ","浙江省")</f>
        <v>四都乡, 松阳县, 丽水市, 浙江省</v>
      </c>
      <c r="G998">
        <v>1165</v>
      </c>
      <c r="H998" t="s">
        <v>2957</v>
      </c>
      <c r="I998" t="s">
        <v>2949</v>
      </c>
      <c r="J998" t="e">
        <f>VLOOKUP(F998,[1]!china_towns_second__2[[Column1]:[Y]],3,FALSE)</f>
        <v>#N/A</v>
      </c>
      <c r="K998" t="e">
        <f>VLOOKUP(F998,[1]!china_towns_second__2[[Column1]:[Y]],2,FALSE)</f>
        <v>#N/A</v>
      </c>
      <c r="L998" t="s">
        <v>4632</v>
      </c>
      <c r="M998" t="str">
        <f>VLOOKUP(H998,CHOOSE({1,2},Table12[Native],Table12[Name]),2,0)</f>
        <v>Sōngyáng Xiàn</v>
      </c>
      <c r="N998" s="15" t="str">
        <f>VLOOKUP(I998,CHOOSE({1,2},Table12[Native],Table12[Name]),2,0)</f>
        <v>Lìshuĭ Shì</v>
      </c>
      <c r="O998" s="15" t="str">
        <f t="shared" si="30"/>
        <v>Sidu Xiang (Lishui Shi) (Lìshuĭ Shì)</v>
      </c>
      <c r="P998" s="15" t="str">
        <f t="shared" si="31"/>
        <v>Sidu Xiang (Lishui Shi) (Lìshuĭ Shì)</v>
      </c>
    </row>
    <row r="999" spans="1:16" hidden="1" x14ac:dyDescent="0.25">
      <c r="A999" t="s">
        <v>1225</v>
      </c>
      <c r="B999" t="str">
        <f>IF(COUNTIF(A:A,A999)&gt;1,_xlfn.CONCAT(A999," (",N999,")"),A999)</f>
        <v>Sìdū Xiāng (Wēnzhōu Shì)</v>
      </c>
      <c r="C999" t="str">
        <f>IF(COUNTIF(B:B,B999)&gt;1,_xlfn.CONCAT(A999," (",M999,")"),B999)</f>
        <v>Sìdū Xiāng (Wēnzhōu Shì)</v>
      </c>
      <c r="D999" t="s">
        <v>1226</v>
      </c>
      <c r="E999" t="s">
        <v>7</v>
      </c>
      <c r="F999" t="str">
        <f>_xlfn.CONCAT(D999,", ",H999,", ",I999,", ","浙江省")</f>
        <v>四都乡, 乐清市, 温州市, 浙江省</v>
      </c>
      <c r="G999">
        <v>8743</v>
      </c>
      <c r="H999" t="s">
        <v>3011</v>
      </c>
      <c r="I999" t="s">
        <v>3000</v>
      </c>
      <c r="J999" t="e">
        <f>VLOOKUP(F999,[1]!china_towns_second__2[[Column1]:[Y]],3,FALSE)</f>
        <v>#N/A</v>
      </c>
      <c r="K999" t="e">
        <f>VLOOKUP(F999,[1]!china_towns_second__2[[Column1]:[Y]],2,FALSE)</f>
        <v>#N/A</v>
      </c>
      <c r="L999" t="s">
        <v>4633</v>
      </c>
      <c r="M999" t="str">
        <f>VLOOKUP(H999,CHOOSE({1,2},Table12[Native],Table12[Name]),2,0)</f>
        <v>Yuèqīng Shì</v>
      </c>
      <c r="N999" s="15" t="str">
        <f>VLOOKUP(I999,CHOOSE({1,2},Table12[Native],Table12[Name]),2,0)</f>
        <v>Wēnzhōu Shì</v>
      </c>
      <c r="O999" s="15" t="str">
        <f t="shared" si="30"/>
        <v>Sidu Xiang (Wenzhou Shi) (Wēnzhōu Shì)</v>
      </c>
      <c r="P999" s="15" t="str">
        <f t="shared" si="31"/>
        <v>Sidu Xiang (Wenzhou Shi) (Wēnzhōu Shì)</v>
      </c>
    </row>
    <row r="1000" spans="1:16" hidden="1" x14ac:dyDescent="0.25">
      <c r="A1000" t="s">
        <v>1776</v>
      </c>
      <c r="B1000" t="str">
        <f>IF(COUNTIF(A:A,A1000)&gt;1,_xlfn.CONCAT(A1000," (",N1000,")"),A1000)</f>
        <v>Sìdū Zhèn</v>
      </c>
      <c r="C1000" t="str">
        <f>IF(COUNTIF(B:B,B1000)&gt;1,_xlfn.CONCAT(A1000," (",M1000,")"),B1000)</f>
        <v>Sìdū Zhèn</v>
      </c>
      <c r="D1000" t="s">
        <v>1777</v>
      </c>
      <c r="E1000" t="s">
        <v>11</v>
      </c>
      <c r="F1000" t="str">
        <f>_xlfn.CONCAT(D1000,", ",H1000,", ",I1000,", ","浙江省")</f>
        <v>四都镇, 江山市, 衢州市, 浙江省</v>
      </c>
      <c r="G1000">
        <v>11379</v>
      </c>
      <c r="H1000" t="s">
        <v>2975</v>
      </c>
      <c r="I1000" t="s">
        <v>2973</v>
      </c>
      <c r="J1000">
        <f>VLOOKUP(F1000,[1]!china_towns_second__2[[Column1]:[Y]],3,FALSE)</f>
        <v>28.854252064270899</v>
      </c>
      <c r="K1000">
        <f>VLOOKUP(F1000,[1]!china_towns_second__2[[Column1]:[Y]],2,FALSE)</f>
        <v>118.6838387</v>
      </c>
      <c r="L1000" t="s">
        <v>4634</v>
      </c>
      <c r="M1000" t="str">
        <f>VLOOKUP(H1000,CHOOSE({1,2},Table12[Native],Table12[Name]),2,0)</f>
        <v>Jiāngshān Shì</v>
      </c>
      <c r="N1000" s="15" t="str">
        <f>VLOOKUP(I1000,CHOOSE({1,2},Table12[Native],Table12[Name]),2,0)</f>
        <v>Qúzhōu Shì</v>
      </c>
      <c r="O1000" s="15" t="str">
        <f t="shared" si="30"/>
        <v>Sidu Zhen (Qúzhōu Shì)</v>
      </c>
      <c r="P1000" s="15" t="str">
        <f t="shared" si="31"/>
        <v>Sidu Zhen (Qúzhōu Shì)</v>
      </c>
    </row>
    <row r="1001" spans="1:16" hidden="1" x14ac:dyDescent="0.25">
      <c r="A1001" t="s">
        <v>2638</v>
      </c>
      <c r="B1001" t="str">
        <f>IF(COUNTIF(A:A,A1001)&gt;1,_xlfn.CONCAT(A1001," (",N1001,")"),A1001)</f>
        <v>Sìhăishān Línchăng</v>
      </c>
      <c r="C1001" t="str">
        <f>IF(COUNTIF(B:B,B1001)&gt;1,_xlfn.CONCAT(A1001," (",M1001,")"),B1001)</f>
        <v>Sìhăishān Línchăng</v>
      </c>
      <c r="D1001" t="s">
        <v>2639</v>
      </c>
      <c r="E1001" t="s">
        <v>253</v>
      </c>
      <c r="F1001" t="str">
        <f>_xlfn.CONCAT(D1001,", ",H1001,", ",I1001,", ","浙江省")</f>
        <v>四海山林场, 永嘉县, 温州市, 浙江省</v>
      </c>
      <c r="G1001">
        <v>90</v>
      </c>
      <c r="H1001" t="s">
        <v>3010</v>
      </c>
      <c r="I1001" t="s">
        <v>3000</v>
      </c>
      <c r="J1001">
        <f>VLOOKUP(F1001,[1]!china_towns_second__2[[Column1]:[Y]],3,FALSE)</f>
        <v>28.529569768403601</v>
      </c>
      <c r="K1001">
        <f>VLOOKUP(F1001,[1]!china_towns_second__2[[Column1]:[Y]],2,FALSE)</f>
        <v>120.7670102</v>
      </c>
      <c r="L1001" t="s">
        <v>4635</v>
      </c>
      <c r="M1001" t="str">
        <f>VLOOKUP(H1001,CHOOSE({1,2},Table12[Native],Table12[Name]),2,0)</f>
        <v>Yŏngjiā Xiàn</v>
      </c>
      <c r="N1001" s="15" t="str">
        <f>VLOOKUP(I1001,CHOOSE({1,2},Table12[Native],Table12[Name]),2,0)</f>
        <v>Wēnzhōu Shì</v>
      </c>
      <c r="O1001" s="15" t="str">
        <f t="shared" si="30"/>
        <v>Sihaishan Linchang (Wēnzhōu Shì)</v>
      </c>
      <c r="P1001" s="15" t="str">
        <f t="shared" si="31"/>
        <v>Sihaishan Linchang (Wēnzhōu Shì)</v>
      </c>
    </row>
    <row r="1002" spans="1:16" hidden="1" x14ac:dyDescent="0.25">
      <c r="A1002" t="s">
        <v>288</v>
      </c>
      <c r="B1002" t="str">
        <f>IF(COUNTIF(A:A,A1002)&gt;1,_xlfn.CONCAT(A1002," (",N1002,")"),A1002)</f>
        <v>Sìjìqīng Jiēdào</v>
      </c>
      <c r="C1002" t="str">
        <f>IF(COUNTIF(B:B,B1002)&gt;1,_xlfn.CONCAT(A1002," (",M1002,")"),B1002)</f>
        <v>Sìjìqīng Jiēdào</v>
      </c>
      <c r="D1002" t="s">
        <v>289</v>
      </c>
      <c r="E1002" t="s">
        <v>15</v>
      </c>
      <c r="F1002" t="str">
        <f>_xlfn.CONCAT(D1002,", ",H1002,", ",I1002,", ","浙江省")</f>
        <v>四季青街道, 上城区, 杭州市, 浙江省</v>
      </c>
      <c r="G1002">
        <v>53650</v>
      </c>
      <c r="H1002" t="s">
        <v>2915</v>
      </c>
      <c r="I1002" t="s">
        <v>2903</v>
      </c>
      <c r="J1002" t="e">
        <f>VLOOKUP(F1002,[1]!china_towns_second__2[[Column1]:[Y]],3,FALSE)</f>
        <v>#N/A</v>
      </c>
      <c r="K1002" t="e">
        <f>VLOOKUP(F1002,[1]!china_towns_second__2[[Column1]:[Y]],2,FALSE)</f>
        <v>#N/A</v>
      </c>
      <c r="L1002" t="s">
        <v>4636</v>
      </c>
      <c r="M1002" t="str">
        <f>VLOOKUP(H1002,CHOOSE({1,2},Table12[Native],Table12[Name]),2,0)</f>
        <v>Shàngchéng Qū</v>
      </c>
      <c r="N1002" s="15" t="str">
        <f>VLOOKUP(I1002,CHOOSE({1,2},Table12[Native],Table12[Name]),2,0)</f>
        <v>Hángzhōu Shì</v>
      </c>
      <c r="O1002" s="15" t="str">
        <f t="shared" si="30"/>
        <v>Sijiqing Jiedao (Hángzhōu Shì)</v>
      </c>
      <c r="P1002" s="15" t="str">
        <f t="shared" si="31"/>
        <v>Sijiqing Jiedao (Hángzhōu Shì)</v>
      </c>
    </row>
    <row r="1003" spans="1:16" hidden="1" x14ac:dyDescent="0.25">
      <c r="A1003" t="s">
        <v>1545</v>
      </c>
      <c r="B1003" t="str">
        <f>IF(COUNTIF(A:A,A1003)&gt;1,_xlfn.CONCAT(A1003," (",N1003,")"),A1003)</f>
        <v>Sìmén Zhèn</v>
      </c>
      <c r="C1003" t="str">
        <f>IF(COUNTIF(B:B,B1003)&gt;1,_xlfn.CONCAT(A1003," (",M1003,")"),B1003)</f>
        <v>Sìmén Zhèn</v>
      </c>
      <c r="D1003" t="s">
        <v>1546</v>
      </c>
      <c r="E1003" t="s">
        <v>11</v>
      </c>
      <c r="F1003" t="str">
        <f>_xlfn.CONCAT(D1003,", ",H1003,", ",I1003,", ","浙江省")</f>
        <v>泗门镇, 余姚市, 宁波市, 浙江省</v>
      </c>
      <c r="G1003">
        <v>78975</v>
      </c>
      <c r="H1003" t="s">
        <v>2970</v>
      </c>
      <c r="I1003" t="s">
        <v>2961</v>
      </c>
      <c r="J1003">
        <f>VLOOKUP(F1003,[1]!china_towns_second__2[[Column1]:[Y]],3,FALSE)</f>
        <v>30.1832286497228</v>
      </c>
      <c r="K1003">
        <f>VLOOKUP(F1003,[1]!china_towns_second__2[[Column1]:[Y]],2,FALSE)</f>
        <v>121.0298629</v>
      </c>
      <c r="L1003" t="s">
        <v>4637</v>
      </c>
      <c r="M1003" t="str">
        <f>VLOOKUP(H1003,CHOOSE({1,2},Table12[Native],Table12[Name]),2,0)</f>
        <v>Yúyáo Shì</v>
      </c>
      <c r="N1003" s="15" t="str">
        <f>VLOOKUP(I1003,CHOOSE({1,2},Table12[Native],Table12[Name]),2,0)</f>
        <v>Níngbō Shì</v>
      </c>
      <c r="O1003" s="15" t="str">
        <f t="shared" si="30"/>
        <v>Simen Zhen (Níngbō Shì)</v>
      </c>
      <c r="P1003" s="15" t="str">
        <f t="shared" si="31"/>
        <v>Simen Zhen (Níngbō Shì)</v>
      </c>
    </row>
    <row r="1004" spans="1:16" hidden="1" x14ac:dyDescent="0.25">
      <c r="A1004" t="s">
        <v>1547</v>
      </c>
      <c r="B1004" t="str">
        <f>IF(COUNTIF(A:A,A1004)&gt;1,_xlfn.CONCAT(A1004," (",N1004,")"),A1004)</f>
        <v>Sìmíngshān Zhèn</v>
      </c>
      <c r="C1004" t="str">
        <f>IF(COUNTIF(B:B,B1004)&gt;1,_xlfn.CONCAT(A1004," (",M1004,")"),B1004)</f>
        <v>Sìmíngshān Zhèn</v>
      </c>
      <c r="D1004" t="s">
        <v>1548</v>
      </c>
      <c r="E1004" t="s">
        <v>11</v>
      </c>
      <c r="F1004" t="str">
        <f>_xlfn.CONCAT(D1004,", ",H1004,", ",I1004,", ","浙江省")</f>
        <v>四明山镇, 余姚市, 宁波市, 浙江省</v>
      </c>
      <c r="G1004">
        <v>7645</v>
      </c>
      <c r="H1004" t="s">
        <v>2970</v>
      </c>
      <c r="I1004" t="s">
        <v>2961</v>
      </c>
      <c r="J1004">
        <f>VLOOKUP(F1004,[1]!china_towns_second__2[[Column1]:[Y]],3,FALSE)</f>
        <v>29.724834928554898</v>
      </c>
      <c r="K1004">
        <f>VLOOKUP(F1004,[1]!china_towns_second__2[[Column1]:[Y]],2,FALSE)</f>
        <v>121.08213670000001</v>
      </c>
      <c r="L1004" t="s">
        <v>4638</v>
      </c>
      <c r="M1004" t="str">
        <f>VLOOKUP(H1004,CHOOSE({1,2},Table12[Native],Table12[Name]),2,0)</f>
        <v>Yúyáo Shì</v>
      </c>
      <c r="N1004" s="15" t="str">
        <f>VLOOKUP(I1004,CHOOSE({1,2},Table12[Native],Table12[Name]),2,0)</f>
        <v>Níngbō Shì</v>
      </c>
      <c r="O1004" s="15" t="str">
        <f t="shared" si="30"/>
        <v>Simingshan Zhen (Níngbō Shì)</v>
      </c>
      <c r="P1004" s="15" t="str">
        <f t="shared" si="31"/>
        <v>Simingshan Zhen (Níngbō Shì)</v>
      </c>
    </row>
    <row r="1005" spans="1:16" hidden="1" x14ac:dyDescent="0.25">
      <c r="A1005" t="s">
        <v>2640</v>
      </c>
      <c r="B1005" t="str">
        <f>IF(COUNTIF(A:A,A1005)&gt;1,_xlfn.CONCAT(A1005," (",N1005,")"),A1005)</f>
        <v>Sīqián Shēzú Zhèn</v>
      </c>
      <c r="C1005" t="str">
        <f>IF(COUNTIF(B:B,B1005)&gt;1,_xlfn.CONCAT(A1005," (",M1005,")"),B1005)</f>
        <v>Sīqián Shēzú Zhèn</v>
      </c>
      <c r="D1005" t="s">
        <v>2641</v>
      </c>
      <c r="E1005" t="s">
        <v>11</v>
      </c>
      <c r="F1005" t="str">
        <f>_xlfn.CONCAT(D1005,", ",H1005,", ",I1005,", ","浙江省")</f>
        <v>司前畲族镇, 泰顺县, 温州市, 浙江省</v>
      </c>
      <c r="G1005">
        <v>10471</v>
      </c>
      <c r="H1005" t="s">
        <v>3008</v>
      </c>
      <c r="I1005" t="s">
        <v>3000</v>
      </c>
      <c r="J1005">
        <f>VLOOKUP(F1005,[1]!china_towns_second__2[[Column1]:[Y]],3,FALSE)</f>
        <v>27.7182743282623</v>
      </c>
      <c r="K1005">
        <f>VLOOKUP(F1005,[1]!china_towns_second__2[[Column1]:[Y]],2,FALSE)</f>
        <v>119.77956260000001</v>
      </c>
      <c r="L1005" t="s">
        <v>4639</v>
      </c>
      <c r="M1005" t="str">
        <f>VLOOKUP(H1005,CHOOSE({1,2},Table12[Native],Table12[Name]),2,0)</f>
        <v>Tàishùn Xiàn</v>
      </c>
      <c r="N1005" s="15" t="str">
        <f>VLOOKUP(I1005,CHOOSE({1,2},Table12[Native],Table12[Name]),2,0)</f>
        <v>Wēnzhōu Shì</v>
      </c>
      <c r="O1005" s="15" t="str">
        <f t="shared" si="30"/>
        <v>Siqian Shezu Zhen (Wēnzhōu Shì)</v>
      </c>
      <c r="P1005" s="15" t="str">
        <f t="shared" si="31"/>
        <v>Siqian Shezu Zhen (Wēnzhōu Shì)</v>
      </c>
    </row>
    <row r="1006" spans="1:16" hidden="1" x14ac:dyDescent="0.25">
      <c r="A1006" t="s">
        <v>2642</v>
      </c>
      <c r="B1006" t="str">
        <f>IF(COUNTIF(A:A,A1006)&gt;1,_xlfn.CONCAT(A1006," (",N1006,")"),A1006)</f>
        <v>Sìxī Zhèn</v>
      </c>
      <c r="C1006" t="str">
        <f>IF(COUNTIF(B:B,B1006)&gt;1,_xlfn.CONCAT(A1006," (",M1006,")"),B1006)</f>
        <v>Sìxī Zhèn</v>
      </c>
      <c r="D1006" t="s">
        <v>2643</v>
      </c>
      <c r="E1006" t="s">
        <v>11</v>
      </c>
      <c r="F1006" t="str">
        <f>_xlfn.CONCAT(D1006,", ",H1006,", ",I1006,", ","浙江省")</f>
        <v>泗溪镇, 泰顺县, 温州市, 浙江省</v>
      </c>
      <c r="G1006">
        <v>11523</v>
      </c>
      <c r="H1006" t="s">
        <v>3008</v>
      </c>
      <c r="I1006" t="s">
        <v>3000</v>
      </c>
      <c r="J1006">
        <f>VLOOKUP(F1006,[1]!china_towns_second__2[[Column1]:[Y]],3,FALSE)</f>
        <v>27.495400100693999</v>
      </c>
      <c r="K1006">
        <f>VLOOKUP(F1006,[1]!china_towns_second__2[[Column1]:[Y]],2,FALSE)</f>
        <v>120.01118529999999</v>
      </c>
      <c r="L1006" t="s">
        <v>4640</v>
      </c>
      <c r="M1006" t="str">
        <f>VLOOKUP(H1006,CHOOSE({1,2},Table12[Native],Table12[Name]),2,0)</f>
        <v>Tàishùn Xiàn</v>
      </c>
      <c r="N1006" s="15" t="str">
        <f>VLOOKUP(I1006,CHOOSE({1,2},Table12[Native],Table12[Name]),2,0)</f>
        <v>Wēnzhōu Shì</v>
      </c>
      <c r="O1006" s="15" t="str">
        <f t="shared" si="30"/>
        <v>Sixi Zhen (Wēnzhōu Shì)</v>
      </c>
      <c r="P1006" s="15" t="str">
        <f t="shared" si="31"/>
        <v>Sixi Zhen (Wēnzhōu Shì)</v>
      </c>
    </row>
    <row r="1007" spans="1:16" hidden="1" x14ac:dyDescent="0.25">
      <c r="A1007" t="s">
        <v>1549</v>
      </c>
      <c r="B1007" t="str">
        <f>IF(COUNTIF(A:A,A1007)&gt;1,_xlfn.CONCAT(A1007," (",N1007,")"),A1007)</f>
        <v>Sìzhōutóu Zhèn</v>
      </c>
      <c r="C1007" t="str">
        <f>IF(COUNTIF(B:B,B1007)&gt;1,_xlfn.CONCAT(A1007," (",M1007,")"),B1007)</f>
        <v>Sìzhōutóu Zhèn</v>
      </c>
      <c r="D1007" t="s">
        <v>1550</v>
      </c>
      <c r="E1007" t="s">
        <v>11</v>
      </c>
      <c r="F1007" t="str">
        <f>_xlfn.CONCAT(D1007,", ",H1007,", ",I1007,", ","浙江省")</f>
        <v>泗洲头镇, 象山县, 宁波市, 浙江省</v>
      </c>
      <c r="G1007">
        <v>9612</v>
      </c>
      <c r="H1007" t="s">
        <v>2968</v>
      </c>
      <c r="I1007" t="s">
        <v>2961</v>
      </c>
      <c r="J1007">
        <f>VLOOKUP(F1007,[1]!china_towns_second__2[[Column1]:[Y]],3,FALSE)</f>
        <v>29.3560739350863</v>
      </c>
      <c r="K1007">
        <f>VLOOKUP(F1007,[1]!china_towns_second__2[[Column1]:[Y]],2,FALSE)</f>
        <v>121.7578697</v>
      </c>
      <c r="L1007" t="s">
        <v>4641</v>
      </c>
      <c r="M1007" t="str">
        <f>VLOOKUP(H1007,CHOOSE({1,2},Table12[Native],Table12[Name]),2,0)</f>
        <v>Xiàngshān Xiàn</v>
      </c>
      <c r="N1007" s="15" t="str">
        <f>VLOOKUP(I1007,CHOOSE({1,2},Table12[Native],Table12[Name]),2,0)</f>
        <v>Níngbō Shì</v>
      </c>
      <c r="O1007" s="15" t="str">
        <f t="shared" si="30"/>
        <v>Sizhoutou Zhen (Níngbō Shì)</v>
      </c>
      <c r="P1007" s="15" t="str">
        <f t="shared" si="31"/>
        <v>Sizhoutou Zhen (Níngbō Shì)</v>
      </c>
    </row>
    <row r="1008" spans="1:16" hidden="1" x14ac:dyDescent="0.25">
      <c r="A1008" t="s">
        <v>1551</v>
      </c>
      <c r="B1008" t="str">
        <f>IF(COUNTIF(A:A,A1008)&gt;1,_xlfn.CONCAT(A1008," (",N1008,")"),A1008)</f>
        <v>Sōng'ào Zhèn</v>
      </c>
      <c r="C1008" t="str">
        <f>IF(COUNTIF(B:B,B1008)&gt;1,_xlfn.CONCAT(A1008," (",M1008,")"),B1008)</f>
        <v>Sōng'ào Zhèn</v>
      </c>
      <c r="D1008" t="s">
        <v>1552</v>
      </c>
      <c r="E1008" t="s">
        <v>11</v>
      </c>
      <c r="F1008" t="str">
        <f>_xlfn.CONCAT(D1008,", ",H1008,", ",I1008,", ","浙江省")</f>
        <v>松岙镇, 奉化区, 宁波市, 浙江省</v>
      </c>
      <c r="G1008">
        <v>13021</v>
      </c>
      <c r="H1008" t="s">
        <v>2964</v>
      </c>
      <c r="I1008" t="s">
        <v>2961</v>
      </c>
      <c r="J1008">
        <f>VLOOKUP(F1008,[1]!china_towns_second__2[[Column1]:[Y]],3,FALSE)</f>
        <v>29.6017422826698</v>
      </c>
      <c r="K1008">
        <f>VLOOKUP(F1008,[1]!china_towns_second__2[[Column1]:[Y]],2,FALSE)</f>
        <v>121.7110497</v>
      </c>
      <c r="L1008" t="s">
        <v>4642</v>
      </c>
      <c r="M1008" t="str">
        <f>VLOOKUP(H1008,CHOOSE({1,2},Table12[Native],Table12[Name]),2,0)</f>
        <v>Fènghuà Qū</v>
      </c>
      <c r="N1008" s="15" t="str">
        <f>VLOOKUP(I1008,CHOOSE({1,2},Table12[Native],Table12[Name]),2,0)</f>
        <v>Níngbō Shì</v>
      </c>
      <c r="O1008" s="15" t="str">
        <f t="shared" si="30"/>
        <v>Song'ao Zhen (Níngbō Shì)</v>
      </c>
      <c r="P1008" s="15" t="str">
        <f t="shared" si="31"/>
        <v>Song'ao Zhen (Níngbō Shì)</v>
      </c>
    </row>
    <row r="1009" spans="1:16" hidden="1" x14ac:dyDescent="0.25">
      <c r="A1009" t="s">
        <v>2644</v>
      </c>
      <c r="B1009" t="str">
        <f>IF(COUNTIF(A:A,A1009)&gt;1,_xlfn.CONCAT(A1009," (",N1009,")"),A1009)</f>
        <v>Sòngbù Zhèn</v>
      </c>
      <c r="C1009" t="str">
        <f>IF(COUNTIF(B:B,B1009)&gt;1,_xlfn.CONCAT(A1009," (",M1009,")"),B1009)</f>
        <v>Sòngbù Zhèn</v>
      </c>
      <c r="D1009" t="s">
        <v>2645</v>
      </c>
      <c r="E1009" t="s">
        <v>11</v>
      </c>
      <c r="F1009" t="str">
        <f>_xlfn.CONCAT(D1009,", ",H1009,", ",I1009,", ","浙江省")</f>
        <v>宋埠镇, 平阳县, 温州市, 浙江省</v>
      </c>
      <c r="G1009">
        <v>12881</v>
      </c>
      <c r="H1009" t="s">
        <v>3006</v>
      </c>
      <c r="I1009" t="s">
        <v>3000</v>
      </c>
      <c r="J1009">
        <f>VLOOKUP(F1009,[1]!china_towns_second__2[[Column1]:[Y]],3,FALSE)</f>
        <v>27.672699999999999</v>
      </c>
      <c r="K1009">
        <f>VLOOKUP(F1009,[1]!china_towns_second__2[[Column1]:[Y]],2,FALSE)</f>
        <v>120.6426</v>
      </c>
      <c r="L1009" t="s">
        <v>4643</v>
      </c>
      <c r="M1009" t="str">
        <f>VLOOKUP(H1009,CHOOSE({1,2},Table12[Native],Table12[Name]),2,0)</f>
        <v>Píngyáng Xiàn</v>
      </c>
      <c r="N1009" s="15" t="str">
        <f>VLOOKUP(I1009,CHOOSE({1,2},Table12[Native],Table12[Name]),2,0)</f>
        <v>Wēnzhōu Shì</v>
      </c>
      <c r="O1009" s="15" t="str">
        <f t="shared" si="30"/>
        <v>Songbu Zhen (Wēnzhōu Shì)</v>
      </c>
      <c r="P1009" s="15" t="str">
        <f t="shared" si="31"/>
        <v>Songbu Zhen (Wēnzhōu Shì)</v>
      </c>
    </row>
    <row r="1010" spans="1:16" hidden="1" x14ac:dyDescent="0.25">
      <c r="A1010" t="s">
        <v>290</v>
      </c>
      <c r="B1010" t="str">
        <f>IF(COUNTIF(A:A,A1010)&gt;1,_xlfn.CONCAT(A1010," (",N1010,")"),A1010)</f>
        <v>Sòngcūn Xiāng</v>
      </c>
      <c r="C1010" t="str">
        <f>IF(COUNTIF(B:B,B1010)&gt;1,_xlfn.CONCAT(A1010," (",M1010,")"),B1010)</f>
        <v>Sòngcūn Xiāng</v>
      </c>
      <c r="D1010" t="s">
        <v>291</v>
      </c>
      <c r="E1010" t="s">
        <v>7</v>
      </c>
      <c r="F1010" t="str">
        <f>_xlfn.CONCAT(D1010,", ",H1010,", ",I1010,", ","浙江省")</f>
        <v>宋村乡, 淳安县, 杭州市, 浙江省</v>
      </c>
      <c r="G1010">
        <v>4213</v>
      </c>
      <c r="H1010" t="s">
        <v>2907</v>
      </c>
      <c r="I1010" t="s">
        <v>2903</v>
      </c>
      <c r="J1010" t="e">
        <f>VLOOKUP(F1010,[1]!china_towns_second__2[[Column1]:[Y]],3,FALSE)</f>
        <v>#N/A</v>
      </c>
      <c r="K1010" t="e">
        <f>VLOOKUP(F1010,[1]!china_towns_second__2[[Column1]:[Y]],2,FALSE)</f>
        <v>#N/A</v>
      </c>
      <c r="L1010" t="s">
        <v>4644</v>
      </c>
      <c r="M1010" t="str">
        <f>VLOOKUP(H1010,CHOOSE({1,2},Table12[Native],Table12[Name]),2,0)</f>
        <v>Chún'ān Xiàn</v>
      </c>
      <c r="N1010" s="15" t="str">
        <f>VLOOKUP(I1010,CHOOSE({1,2},Table12[Native],Table12[Name]),2,0)</f>
        <v>Hángzhōu Shì</v>
      </c>
      <c r="O1010" s="15" t="str">
        <f t="shared" si="30"/>
        <v>Songcun Xiang (Hángzhōu Shì)</v>
      </c>
      <c r="P1010" s="15" t="str">
        <f t="shared" si="31"/>
        <v>Songcun Xiang (Hángzhōu Shì)</v>
      </c>
    </row>
    <row r="1011" spans="1:16" hidden="1" x14ac:dyDescent="0.25">
      <c r="A1011" t="s">
        <v>2213</v>
      </c>
      <c r="B1011" t="str">
        <f>IF(COUNTIF(A:A,A1011)&gt;1,_xlfn.CONCAT(A1011," (",N1011,")"),A1011)</f>
        <v>Sōngmén Zhèn</v>
      </c>
      <c r="C1011" t="str">
        <f>IF(COUNTIF(B:B,B1011)&gt;1,_xlfn.CONCAT(A1011," (",M1011,")"),B1011)</f>
        <v>Sōngmén Zhèn</v>
      </c>
      <c r="D1011" t="s">
        <v>2214</v>
      </c>
      <c r="E1011" t="s">
        <v>11</v>
      </c>
      <c r="F1011" t="str">
        <f>_xlfn.CONCAT(D1011,", ",H1011,", ",I1011,", ","浙江省")</f>
        <v>松门镇, 温岭市, 台州市, 浙江省</v>
      </c>
      <c r="G1011">
        <v>102259</v>
      </c>
      <c r="H1011" t="s">
        <v>2996</v>
      </c>
      <c r="I1011" t="s">
        <v>2989</v>
      </c>
      <c r="J1011">
        <f>VLOOKUP(F1011,[1]!china_towns_second__2[[Column1]:[Y]],3,FALSE)</f>
        <v>28.358212851977498</v>
      </c>
      <c r="K1011">
        <f>VLOOKUP(F1011,[1]!china_towns_second__2[[Column1]:[Y]],2,FALSE)</f>
        <v>121.6109122</v>
      </c>
      <c r="L1011" t="s">
        <v>4645</v>
      </c>
      <c r="M1011" t="str">
        <f>VLOOKUP(H1011,CHOOSE({1,2},Table12[Native],Table12[Name]),2,0)</f>
        <v>Wēnlĭng Shì</v>
      </c>
      <c r="N1011" s="15" t="str">
        <f>VLOOKUP(I1011,CHOOSE({1,2},Table12[Native],Table12[Name]),2,0)</f>
        <v>Táizhōu Shì</v>
      </c>
      <c r="O1011" s="15" t="str">
        <f t="shared" si="30"/>
        <v>Songmen Zhen (Táizhōu Shì)</v>
      </c>
      <c r="P1011" s="15" t="str">
        <f t="shared" si="31"/>
        <v>Songmen Zhen (Táizhōu Shì)</v>
      </c>
    </row>
    <row r="1012" spans="1:16" hidden="1" x14ac:dyDescent="0.25">
      <c r="A1012" t="s">
        <v>2646</v>
      </c>
      <c r="B1012" t="str">
        <f>IF(COUNTIF(A:A,A1012)&gt;1,_xlfn.CONCAT(A1012," (",N1012,")"),A1012)</f>
        <v>Sōngtái Jiēdào [incl. Liánchí Jiēdào, Shuǐxīn Jiēdào]</v>
      </c>
      <c r="C1012" t="str">
        <f>IF(COUNTIF(B:B,B1012)&gt;1,_xlfn.CONCAT(A1012," (",M1012,")"),B1012)</f>
        <v>Sōngtái Jiēdào [incl. Liánchí Jiēdào, Shuǐxīn Jiēdào]</v>
      </c>
      <c r="D1012" t="s">
        <v>2647</v>
      </c>
      <c r="E1012" t="s">
        <v>15</v>
      </c>
      <c r="F1012" t="str">
        <f>_xlfn.CONCAT(D1012,", ",H1012,", ",I1012,", ","浙江省")</f>
        <v>松台街道, 鹿城区, 温州市, 浙江省</v>
      </c>
      <c r="G1012">
        <v>104825</v>
      </c>
      <c r="H1012" t="s">
        <v>3004</v>
      </c>
      <c r="I1012" t="s">
        <v>3000</v>
      </c>
      <c r="J1012">
        <f>VLOOKUP(F1012,[1]!china_towns_second__2[[Column1]:[Y]],3,FALSE)</f>
        <v>28.017216199353602</v>
      </c>
      <c r="K1012">
        <f>VLOOKUP(F1012,[1]!china_towns_second__2[[Column1]:[Y]],2,FALSE)</f>
        <v>120.6340319</v>
      </c>
      <c r="L1012" t="s">
        <v>4646</v>
      </c>
      <c r="M1012" t="str">
        <f>VLOOKUP(H1012,CHOOSE({1,2},Table12[Native],Table12[Name]),2,0)</f>
        <v>Lùchéng Qū</v>
      </c>
      <c r="N1012" s="15" t="str">
        <f>VLOOKUP(I1012,CHOOSE({1,2},Table12[Native],Table12[Name]),2,0)</f>
        <v>Wēnzhōu Shì</v>
      </c>
      <c r="O1012" s="15" t="str">
        <f t="shared" si="30"/>
        <v>Songtai Jiedao [incl. Lianchi Jiedao, Shuixin Jiedao] (Wēnzhōu Shì)</v>
      </c>
      <c r="P1012" s="15" t="str">
        <f t="shared" si="31"/>
        <v>Songtai Jiedao [incl. Lianchi Jiedao, Shuixin Jiedao] (Wēnzhōu Shì)</v>
      </c>
    </row>
    <row r="1013" spans="1:16" hidden="1" x14ac:dyDescent="0.25">
      <c r="A1013" t="s">
        <v>1984</v>
      </c>
      <c r="B1013" t="str">
        <f>IF(COUNTIF(A:A,A1013)&gt;1,_xlfn.CONCAT(A1013," (",N1013,")"),A1013)</f>
        <v>Sōngxià Jiēdào</v>
      </c>
      <c r="C1013" t="str">
        <f>IF(COUNTIF(B:B,B1013)&gt;1,_xlfn.CONCAT(A1013," (",M1013,")"),B1013)</f>
        <v>Sōngxià Jiēdào</v>
      </c>
      <c r="D1013" t="s">
        <v>1985</v>
      </c>
      <c r="E1013" t="s">
        <v>15</v>
      </c>
      <c r="F1013" t="str">
        <f>_xlfn.CONCAT(D1013,", ",H1013,", ",I1013,", ","浙江省")</f>
        <v>崧厦街道, 上虞区, 绍兴市, 浙江省</v>
      </c>
      <c r="G1013">
        <v>98832</v>
      </c>
      <c r="H1013" t="s">
        <v>2983</v>
      </c>
      <c r="I1013" t="s">
        <v>2981</v>
      </c>
      <c r="J1013" t="e">
        <f>VLOOKUP(F1013,[1]!china_towns_second__2[[Column1]:[Y]],3,FALSE)</f>
        <v>#N/A</v>
      </c>
      <c r="K1013" t="e">
        <f>VLOOKUP(F1013,[1]!china_towns_second__2[[Column1]:[Y]],2,FALSE)</f>
        <v>#N/A</v>
      </c>
      <c r="L1013" t="s">
        <v>4647</v>
      </c>
      <c r="M1013" t="str">
        <f>VLOOKUP(H1013,CHOOSE({1,2},Table12[Native],Table12[Name]),2,0)</f>
        <v>Shàngyú Qū</v>
      </c>
      <c r="N1013" s="15" t="str">
        <f>VLOOKUP(I1013,CHOOSE({1,2},Table12[Native],Table12[Name]),2,0)</f>
        <v>Shàoxīng Shì</v>
      </c>
      <c r="O1013" s="15" t="str">
        <f t="shared" si="30"/>
        <v>Songxia Jiedao (Shàoxīng Shì)</v>
      </c>
      <c r="P1013" s="15" t="str">
        <f t="shared" si="31"/>
        <v>Songxia Jiedao (Shàoxīng Shì)</v>
      </c>
    </row>
    <row r="1014" spans="1:16" hidden="1" x14ac:dyDescent="0.25">
      <c r="A1014" t="s">
        <v>2648</v>
      </c>
      <c r="B1014" t="str">
        <f>IF(COUNTIF(A:A,A1014)&gt;1,_xlfn.CONCAT(A1014," (",N1014,")"),A1014)</f>
        <v>Sōngyáng Xiāng</v>
      </c>
      <c r="C1014" t="str">
        <f>IF(COUNTIF(B:B,B1014)&gt;1,_xlfn.CONCAT(A1014," (",M1014,")"),B1014)</f>
        <v>Sōngyáng Xiāng</v>
      </c>
      <c r="D1014" t="s">
        <v>2649</v>
      </c>
      <c r="E1014" t="s">
        <v>7</v>
      </c>
      <c r="F1014" t="str">
        <f>_xlfn.CONCAT(D1014,", ",H1014,", ",I1014,", ","浙江省")</f>
        <v>松垟乡, 泰顺县, 温州市, 浙江省</v>
      </c>
      <c r="G1014">
        <v>3048</v>
      </c>
      <c r="H1014" t="s">
        <v>3008</v>
      </c>
      <c r="I1014" t="s">
        <v>3000</v>
      </c>
      <c r="J1014" t="e">
        <f>VLOOKUP(F1014,[1]!china_towns_second__2[[Column1]:[Y]],3,FALSE)</f>
        <v>#N/A</v>
      </c>
      <c r="K1014" t="e">
        <f>VLOOKUP(F1014,[1]!china_towns_second__2[[Column1]:[Y]],2,FALSE)</f>
        <v>#N/A</v>
      </c>
      <c r="L1014" t="s">
        <v>4648</v>
      </c>
      <c r="M1014" t="str">
        <f>VLOOKUP(H1014,CHOOSE({1,2},Table12[Native],Table12[Name]),2,0)</f>
        <v>Tàishùn Xiàn</v>
      </c>
      <c r="N1014" s="15" t="str">
        <f>VLOOKUP(I1014,CHOOSE({1,2},Table12[Native],Table12[Name]),2,0)</f>
        <v>Wēnzhōu Shì</v>
      </c>
      <c r="O1014" s="15" t="str">
        <f t="shared" si="30"/>
        <v>Songyang Xiang (Wēnzhōu Shì)</v>
      </c>
      <c r="P1014" s="15" t="str">
        <f t="shared" si="31"/>
        <v>Songyang Xiang (Wēnzhōu Shì)</v>
      </c>
    </row>
    <row r="1015" spans="1:16" hidden="1" x14ac:dyDescent="0.25">
      <c r="A1015" t="s">
        <v>1227</v>
      </c>
      <c r="B1015" t="str">
        <f>IF(COUNTIF(A:A,A1015)&gt;1,_xlfn.CONCAT(A1015," (",N1015,")"),A1015)</f>
        <v>Sōngyuán Jiēdào [incl. Méngzhōu Jiēdào, Sìshān Xiāng]</v>
      </c>
      <c r="C1015" t="str">
        <f>IF(COUNTIF(B:B,B1015)&gt;1,_xlfn.CONCAT(A1015," (",M1015,")"),B1015)</f>
        <v>Sōngyuán Jiēdào [incl. Méngzhōu Jiēdào, Sìshān Xiāng]</v>
      </c>
      <c r="D1015" t="s">
        <v>1228</v>
      </c>
      <c r="E1015" t="s">
        <v>15</v>
      </c>
      <c r="F1015" t="str">
        <f>_xlfn.CONCAT(D1015,", ",H1015,", ",I1015,", ","浙江省")</f>
        <v>松源街道, 庆元县, 丽水市, 浙江省</v>
      </c>
      <c r="G1015">
        <v>74726</v>
      </c>
      <c r="H1015" t="s">
        <v>2956</v>
      </c>
      <c r="I1015" t="s">
        <v>2949</v>
      </c>
      <c r="J1015">
        <f>VLOOKUP(F1015,[1]!china_towns_second__2[[Column1]:[Y]],3,FALSE)</f>
        <v>27.6659127283618</v>
      </c>
      <c r="K1015">
        <f>VLOOKUP(F1015,[1]!china_towns_second__2[[Column1]:[Y]],2,FALSE)</f>
        <v>119.0491985</v>
      </c>
      <c r="L1015" t="s">
        <v>4649</v>
      </c>
      <c r="M1015" t="str">
        <f>VLOOKUP(H1015,CHOOSE({1,2},Table12[Native],Table12[Name]),2,0)</f>
        <v>Qìngyuán Xiàn</v>
      </c>
      <c r="N1015" s="15" t="str">
        <f>VLOOKUP(I1015,CHOOSE({1,2},Table12[Native],Table12[Name]),2,0)</f>
        <v>Lìshuĭ Shì</v>
      </c>
      <c r="O1015" s="15" t="str">
        <f t="shared" si="30"/>
        <v>Songyuan Jiedao [incl. Mengzhou Jiedao, Sishan Xiang] (Lìshuĭ Shì)</v>
      </c>
      <c r="P1015" s="15" t="str">
        <f t="shared" si="31"/>
        <v>Songyuan Jiedao [incl. Mengzhou Jiedao, Sishan Xiang] (Lìshuĭ Shì)</v>
      </c>
    </row>
    <row r="1016" spans="1:16" hidden="1" x14ac:dyDescent="0.25">
      <c r="A1016" t="s">
        <v>905</v>
      </c>
      <c r="B1016" t="str">
        <f>IF(COUNTIF(A:A,A1016)&gt;1,_xlfn.CONCAT(A1016," (",N1016,")"),A1016)</f>
        <v>Sūmèng Xiāng</v>
      </c>
      <c r="C1016" t="str">
        <f>IF(COUNTIF(B:B,B1016)&gt;1,_xlfn.CONCAT(A1016," (",M1016,")"),B1016)</f>
        <v>Sūmèng Xiāng</v>
      </c>
      <c r="D1016" t="s">
        <v>906</v>
      </c>
      <c r="E1016" t="s">
        <v>7</v>
      </c>
      <c r="F1016" t="str">
        <f>_xlfn.CONCAT(D1016,", ",H1016,", ",I1016,", ","浙江省")</f>
        <v>苏孟乡, 婺城区, 金华市, 浙江省</v>
      </c>
      <c r="G1016">
        <v>15296</v>
      </c>
      <c r="H1016" t="s">
        <v>2944</v>
      </c>
      <c r="I1016" t="s">
        <v>2938</v>
      </c>
      <c r="J1016" t="e">
        <f>VLOOKUP(F1016,[1]!china_towns_second__2[[Column1]:[Y]],3,FALSE)</f>
        <v>#N/A</v>
      </c>
      <c r="K1016" t="e">
        <f>VLOOKUP(F1016,[1]!china_towns_second__2[[Column1]:[Y]],2,FALSE)</f>
        <v>#N/A</v>
      </c>
      <c r="L1016" t="s">
        <v>4650</v>
      </c>
      <c r="M1016" t="str">
        <f>VLOOKUP(H1016,CHOOSE({1,2},Table12[Native],Table12[Name]),2,0)</f>
        <v>Wùchéng Qū</v>
      </c>
      <c r="N1016" s="15" t="str">
        <f>VLOOKUP(I1016,CHOOSE({1,2},Table12[Native],Table12[Name]),2,0)</f>
        <v>Jīnhuá Shì</v>
      </c>
      <c r="O1016" s="15" t="str">
        <f t="shared" si="30"/>
        <v>Sumeng Xiang (Jīnhuá Shì)</v>
      </c>
      <c r="P1016" s="15" t="str">
        <f t="shared" si="31"/>
        <v>Sumeng Xiang (Jīnhuá Shì)</v>
      </c>
    </row>
    <row r="1017" spans="1:16" hidden="1" x14ac:dyDescent="0.25">
      <c r="A1017" t="s">
        <v>1986</v>
      </c>
      <c r="B1017" t="str">
        <f>IF(COUNTIF(A:A,A1017)&gt;1,_xlfn.CONCAT(A1017," (",N1017,")"),A1017)</f>
        <v>Sūnduān Jiēdào</v>
      </c>
      <c r="C1017" t="str">
        <f>IF(COUNTIF(B:B,B1017)&gt;1,_xlfn.CONCAT(A1017," (",M1017,")"),B1017)</f>
        <v>Sūnduān Jiēdào</v>
      </c>
      <c r="D1017" t="s">
        <v>1987</v>
      </c>
      <c r="E1017" t="s">
        <v>15</v>
      </c>
      <c r="F1017" t="str">
        <f>_xlfn.CONCAT(D1017,", ",H1017,", ",I1017,", ","浙江省")</f>
        <v>孙端街道, 越城区, 绍兴市, 浙江省</v>
      </c>
      <c r="G1017">
        <v>29399</v>
      </c>
      <c r="H1017" t="s">
        <v>2986</v>
      </c>
      <c r="I1017" t="s">
        <v>2981</v>
      </c>
      <c r="J1017" t="e">
        <f>VLOOKUP(F1017,[1]!china_towns_second__2[[Column1]:[Y]],3,FALSE)</f>
        <v>#N/A</v>
      </c>
      <c r="K1017" t="e">
        <f>VLOOKUP(F1017,[1]!china_towns_second__2[[Column1]:[Y]],2,FALSE)</f>
        <v>#N/A</v>
      </c>
      <c r="L1017" t="s">
        <v>4651</v>
      </c>
      <c r="M1017" t="str">
        <f>VLOOKUP(H1017,CHOOSE({1,2},Table12[Native],Table12[Name]),2,0)</f>
        <v>Yuèchéng Qū</v>
      </c>
      <c r="N1017" s="15" t="str">
        <f>VLOOKUP(I1017,CHOOSE({1,2},Table12[Native],Table12[Name]),2,0)</f>
        <v>Shàoxīng Shì</v>
      </c>
      <c r="O1017" s="15" t="str">
        <f t="shared" si="30"/>
        <v>Sunduan Jiedao (Shàoxīng Shì)</v>
      </c>
      <c r="P1017" s="15" t="str">
        <f t="shared" si="31"/>
        <v>Sunduan Jiedao (Shàoxīng Shì)</v>
      </c>
    </row>
    <row r="1018" spans="1:16" hidden="1" x14ac:dyDescent="0.25">
      <c r="A1018" t="s">
        <v>292</v>
      </c>
      <c r="B1018" t="str">
        <f>IF(COUNTIF(A:A,A1018)&gt;1,_xlfn.CONCAT(A1018," (",N1018,")"),A1018)</f>
        <v>Suŏqián Zhèn</v>
      </c>
      <c r="C1018" t="str">
        <f>IF(COUNTIF(B:B,B1018)&gt;1,_xlfn.CONCAT(A1018," (",M1018,")"),B1018)</f>
        <v>Suŏqián Zhèn</v>
      </c>
      <c r="D1018" t="s">
        <v>293</v>
      </c>
      <c r="E1018" t="s">
        <v>11</v>
      </c>
      <c r="F1018" t="str">
        <f>_xlfn.CONCAT(D1018,", ",H1018,", ",I1018,", ","浙江省")</f>
        <v>所前镇, 萧山区, 杭州市, 浙江省</v>
      </c>
      <c r="G1018">
        <v>39100</v>
      </c>
      <c r="H1018" t="s">
        <v>2917</v>
      </c>
      <c r="I1018" t="s">
        <v>2903</v>
      </c>
      <c r="J1018">
        <f>VLOOKUP(F1018,[1]!china_towns_second__2[[Column1]:[Y]],3,FALSE)</f>
        <v>30.086008281447501</v>
      </c>
      <c r="K1018">
        <f>VLOOKUP(F1018,[1]!china_towns_second__2[[Column1]:[Y]],2,FALSE)</f>
        <v>120.29273070000001</v>
      </c>
      <c r="L1018" t="s">
        <v>4652</v>
      </c>
      <c r="M1018" t="str">
        <f>VLOOKUP(H1018,CHOOSE({1,2},Table12[Native],Table12[Name]),2,0)</f>
        <v>Xiāoshān Qū</v>
      </c>
      <c r="N1018" s="15" t="str">
        <f>VLOOKUP(I1018,CHOOSE({1,2},Table12[Native],Table12[Name]),2,0)</f>
        <v>Hángzhōu Shì</v>
      </c>
      <c r="O1018" s="15" t="str">
        <f t="shared" si="30"/>
        <v>Suoqian Zhen (Hángzhōu Shì)</v>
      </c>
      <c r="P1018" s="15" t="str">
        <f t="shared" si="31"/>
        <v>Suoqian Zhen (Hángzhōu Shì)</v>
      </c>
    </row>
    <row r="1019" spans="1:16" hidden="1" x14ac:dyDescent="0.25">
      <c r="A1019" t="s">
        <v>907</v>
      </c>
      <c r="B1019" t="str">
        <f>IF(COUNTIF(A:A,A1019)&gt;1,_xlfn.CONCAT(A1019," (",N1019,")"),A1019)</f>
        <v>Sūxī Zhèn</v>
      </c>
      <c r="C1019" t="str">
        <f>IF(COUNTIF(B:B,B1019)&gt;1,_xlfn.CONCAT(A1019," (",M1019,")"),B1019)</f>
        <v>Sūxī Zhèn</v>
      </c>
      <c r="D1019" t="s">
        <v>908</v>
      </c>
      <c r="E1019" t="s">
        <v>11</v>
      </c>
      <c r="F1019" t="str">
        <f>_xlfn.CONCAT(D1019,", ",H1019,", ",I1019,", ","浙江省")</f>
        <v>苏溪镇, 义乌市, 金华市, 浙江省</v>
      </c>
      <c r="G1019">
        <v>82891</v>
      </c>
      <c r="H1019" t="s">
        <v>2946</v>
      </c>
      <c r="I1019" t="s">
        <v>2938</v>
      </c>
      <c r="J1019">
        <f>VLOOKUP(F1019,[1]!china_towns_second__2[[Column1]:[Y]],3,FALSE)</f>
        <v>29.419990898857801</v>
      </c>
      <c r="K1019">
        <f>VLOOKUP(F1019,[1]!china_towns_second__2[[Column1]:[Y]],2,FALSE)</f>
        <v>120.17449860000001</v>
      </c>
      <c r="L1019" t="s">
        <v>4653</v>
      </c>
      <c r="M1019" t="str">
        <f>VLOOKUP(H1019,CHOOSE({1,2},Table12[Native],Table12[Name]),2,0)</f>
        <v>Yìwū Shì</v>
      </c>
      <c r="N1019" s="15" t="str">
        <f>VLOOKUP(I1019,CHOOSE({1,2},Table12[Native],Table12[Name]),2,0)</f>
        <v>Jīnhuá Shì</v>
      </c>
      <c r="O1019" s="15" t="str">
        <f t="shared" si="30"/>
        <v>Suxi Zhen (Jīnhuá Shì)</v>
      </c>
      <c r="P1019" s="15" t="str">
        <f t="shared" si="31"/>
        <v>Suxi Zhen (Jīnhuá Shì)</v>
      </c>
    </row>
    <row r="1020" spans="1:16" hidden="1" x14ac:dyDescent="0.25">
      <c r="A1020" t="s">
        <v>1778</v>
      </c>
      <c r="B1020" t="str">
        <f>IF(COUNTIF(A:A,A1020)&gt;1,_xlfn.CONCAT(A1020," (",N1020,")"),A1020)</f>
        <v>Sūzhuāng Zhèn</v>
      </c>
      <c r="C1020" t="str">
        <f>IF(COUNTIF(B:B,B1020)&gt;1,_xlfn.CONCAT(A1020," (",M1020,")"),B1020)</f>
        <v>Sūzhuāng Zhèn</v>
      </c>
      <c r="D1020" t="s">
        <v>1779</v>
      </c>
      <c r="E1020" t="s">
        <v>11</v>
      </c>
      <c r="F1020" t="str">
        <f>_xlfn.CONCAT(D1020,", ",H1020,", ",I1020,", ","浙江省")</f>
        <v>苏庄镇, 开化县, 衢州市, 浙江省</v>
      </c>
      <c r="G1020">
        <v>12009</v>
      </c>
      <c r="H1020" t="s">
        <v>2976</v>
      </c>
      <c r="I1020" t="s">
        <v>2973</v>
      </c>
      <c r="J1020">
        <f>VLOOKUP(F1020,[1]!china_towns_second__2[[Column1]:[Y]],3,FALSE)</f>
        <v>29.204075183315201</v>
      </c>
      <c r="K1020">
        <f>VLOOKUP(F1020,[1]!china_towns_second__2[[Column1]:[Y]],2,FALSE)</f>
        <v>118.1132657</v>
      </c>
      <c r="L1020" t="s">
        <v>4654</v>
      </c>
      <c r="M1020" t="str">
        <f>VLOOKUP(H1020,CHOOSE({1,2},Table12[Native],Table12[Name]),2,0)</f>
        <v>Kāihuà Xiàn</v>
      </c>
      <c r="N1020" s="15" t="str">
        <f>VLOOKUP(I1020,CHOOSE({1,2},Table12[Native],Table12[Name]),2,0)</f>
        <v>Qúzhōu Shì</v>
      </c>
      <c r="O1020" s="15" t="str">
        <f t="shared" si="30"/>
        <v>Suzhuang Zhen (Qúzhōu Shì)</v>
      </c>
      <c r="P1020" s="15" t="str">
        <f t="shared" si="31"/>
        <v>Suzhuang Zhen (Qúzhōu Shì)</v>
      </c>
    </row>
    <row r="1021" spans="1:16" hidden="1" x14ac:dyDescent="0.25">
      <c r="A1021" t="s">
        <v>294</v>
      </c>
      <c r="B1021" t="str">
        <f>IF(COUNTIF(A:A,A1021)&gt;1,_xlfn.CONCAT(A1021," (",N1021,")"),A1021)</f>
        <v>Tàihúyuán Zhèn</v>
      </c>
      <c r="C1021" t="str">
        <f>IF(COUNTIF(B:B,B1021)&gt;1,_xlfn.CONCAT(A1021," (",M1021,")"),B1021)</f>
        <v>Tàihúyuán Zhèn</v>
      </c>
      <c r="D1021" t="s">
        <v>295</v>
      </c>
      <c r="E1021" t="s">
        <v>11</v>
      </c>
      <c r="F1021" t="str">
        <f>_xlfn.CONCAT(D1021,", ",H1021,", ",I1021,", ","浙江省")</f>
        <v>太湖源镇, 临安区, 杭州市, 浙江省</v>
      </c>
      <c r="G1021">
        <v>28147</v>
      </c>
      <c r="H1021" t="s">
        <v>2911</v>
      </c>
      <c r="I1021" t="s">
        <v>2903</v>
      </c>
      <c r="J1021">
        <f>VLOOKUP(F1021,[1]!china_towns_second__2[[Column1]:[Y]],3,FALSE)</f>
        <v>30.329512784158599</v>
      </c>
      <c r="K1021">
        <f>VLOOKUP(F1021,[1]!china_towns_second__2[[Column1]:[Y]],2,FALSE)</f>
        <v>119.561367</v>
      </c>
      <c r="L1021" t="s">
        <v>4655</v>
      </c>
      <c r="M1021" t="str">
        <f>VLOOKUP(H1021,CHOOSE({1,2},Table12[Native],Table12[Name]),2,0)</f>
        <v>Lín'ān Qū</v>
      </c>
      <c r="N1021" s="15" t="str">
        <f>VLOOKUP(I1021,CHOOSE({1,2},Table12[Native],Table12[Name]),2,0)</f>
        <v>Hángzhōu Shì</v>
      </c>
      <c r="O1021" s="15" t="str">
        <f t="shared" si="30"/>
        <v>Taihuyuan Zhen (Hángzhōu Shì)</v>
      </c>
      <c r="P1021" s="15" t="str">
        <f t="shared" si="31"/>
        <v>Taihuyuan Zhen (Hángzhōu Shì)</v>
      </c>
    </row>
    <row r="1022" spans="1:16" hidden="1" x14ac:dyDescent="0.25">
      <c r="A1022" t="s">
        <v>2215</v>
      </c>
      <c r="B1022" t="str">
        <f>IF(COUNTIF(A:A,A1022)&gt;1,_xlfn.CONCAT(A1022," (",N1022,")"),A1022)</f>
        <v>Tàipíng Jiēdào</v>
      </c>
      <c r="C1022" t="str">
        <f>IF(COUNTIF(B:B,B1022)&gt;1,_xlfn.CONCAT(A1022," (",M1022,")"),B1022)</f>
        <v>Tàipíng Jiēdào</v>
      </c>
      <c r="D1022" t="s">
        <v>2216</v>
      </c>
      <c r="E1022" t="s">
        <v>15</v>
      </c>
      <c r="F1022" t="str">
        <f>_xlfn.CONCAT(D1022,", ",H1022,", ",I1022,", ","浙江省")</f>
        <v>太平街道, 温岭市, 台州市, 浙江省</v>
      </c>
      <c r="G1022">
        <v>139696</v>
      </c>
      <c r="H1022" t="s">
        <v>2996</v>
      </c>
      <c r="I1022" t="s">
        <v>2989</v>
      </c>
      <c r="J1022">
        <f>VLOOKUP(F1022,[1]!china_towns_second__2[[Column1]:[Y]],3,FALSE)</f>
        <v>28.361599444668201</v>
      </c>
      <c r="K1022">
        <f>VLOOKUP(F1022,[1]!china_towns_second__2[[Column1]:[Y]],2,FALSE)</f>
        <v>121.3583342</v>
      </c>
      <c r="L1022" t="s">
        <v>4656</v>
      </c>
      <c r="M1022" t="str">
        <f>VLOOKUP(H1022,CHOOSE({1,2},Table12[Native],Table12[Name]),2,0)</f>
        <v>Wēnlĭng Shì</v>
      </c>
      <c r="N1022" s="15" t="str">
        <f>VLOOKUP(I1022,CHOOSE({1,2},Table12[Native],Table12[Name]),2,0)</f>
        <v>Táizhōu Shì</v>
      </c>
      <c r="O1022" s="15" t="str">
        <f t="shared" si="30"/>
        <v>Taiping Jiedao (Táizhōu Shì)</v>
      </c>
      <c r="P1022" s="15" t="str">
        <f t="shared" si="31"/>
        <v>Taiping Jiedao (Táizhōu Shì)</v>
      </c>
    </row>
    <row r="1023" spans="1:16" hidden="1" x14ac:dyDescent="0.25">
      <c r="A1023" t="s">
        <v>1229</v>
      </c>
      <c r="B1023" t="str">
        <f>IF(COUNTIF(A:A,A1023)&gt;1,_xlfn.CONCAT(A1023," (",N1023,")"),A1023)</f>
        <v>Tàipíng Xiāng</v>
      </c>
      <c r="C1023" t="str">
        <f>IF(COUNTIF(B:B,B1023)&gt;1,_xlfn.CONCAT(A1023," (",M1023,")"),B1023)</f>
        <v>Tàipíng Xiāng</v>
      </c>
      <c r="D1023" t="s">
        <v>1230</v>
      </c>
      <c r="E1023" t="s">
        <v>7</v>
      </c>
      <c r="F1023" t="str">
        <f>_xlfn.CONCAT(D1023,", ",H1023,", ",I1023,", ","浙江省")</f>
        <v>太平乡, 莲都区, 丽水市, 浙江省</v>
      </c>
      <c r="G1023">
        <v>10894</v>
      </c>
      <c r="H1023" t="s">
        <v>2953</v>
      </c>
      <c r="I1023" t="s">
        <v>2949</v>
      </c>
      <c r="J1023" t="e">
        <f>VLOOKUP(F1023,[1]!china_towns_second__2[[Column1]:[Y]],3,FALSE)</f>
        <v>#N/A</v>
      </c>
      <c r="K1023" t="e">
        <f>VLOOKUP(F1023,[1]!china_towns_second__2[[Column1]:[Y]],2,FALSE)</f>
        <v>#N/A</v>
      </c>
      <c r="L1023" t="s">
        <v>4657</v>
      </c>
      <c r="M1023" t="str">
        <f>VLOOKUP(H1023,CHOOSE({1,2},Table12[Native],Table12[Name]),2,0)</f>
        <v>Liándū Qū</v>
      </c>
      <c r="N1023" s="15" t="str">
        <f>VLOOKUP(I1023,CHOOSE({1,2},Table12[Native],Table12[Name]),2,0)</f>
        <v>Lìshuĭ Shì</v>
      </c>
      <c r="O1023" s="15" t="str">
        <f t="shared" si="30"/>
        <v>Taiping Xiang (Lìshuĭ Shì)</v>
      </c>
      <c r="P1023" s="15" t="str">
        <f t="shared" si="31"/>
        <v>Taiping Xiang (Lìshuĭ Shì)</v>
      </c>
    </row>
    <row r="1024" spans="1:16" hidden="1" x14ac:dyDescent="0.25">
      <c r="A1024" t="s">
        <v>296</v>
      </c>
      <c r="B1024" t="str">
        <f>IF(COUNTIF(A:A,A1024)&gt;1,_xlfn.CONCAT(A1024," (",N1024,")"),A1024)</f>
        <v>Tàiyáng Zhèn</v>
      </c>
      <c r="C1024" t="str">
        <f>IF(COUNTIF(B:B,B1024)&gt;1,_xlfn.CONCAT(A1024," (",M1024,")"),B1024)</f>
        <v>Tàiyáng Zhèn</v>
      </c>
      <c r="D1024" t="s">
        <v>297</v>
      </c>
      <c r="E1024" t="s">
        <v>11</v>
      </c>
      <c r="F1024" t="str">
        <f>_xlfn.CONCAT(D1024,", ",H1024,", ",I1024,", ","浙江省")</f>
        <v>太阳镇, 临安区, 杭州市, 浙江省</v>
      </c>
      <c r="G1024">
        <v>13707</v>
      </c>
      <c r="H1024" t="s">
        <v>2911</v>
      </c>
      <c r="I1024" t="s">
        <v>2903</v>
      </c>
      <c r="J1024">
        <f>VLOOKUP(F1024,[1]!china_towns_second__2[[Column1]:[Y]],3,FALSE)</f>
        <v>30.244394036523499</v>
      </c>
      <c r="K1024">
        <f>VLOOKUP(F1024,[1]!china_towns_second__2[[Column1]:[Y]],2,FALSE)</f>
        <v>119.2957344</v>
      </c>
      <c r="L1024" t="s">
        <v>4658</v>
      </c>
      <c r="M1024" t="str">
        <f>VLOOKUP(H1024,CHOOSE({1,2},Table12[Native],Table12[Name]),2,0)</f>
        <v>Lín'ān Qū</v>
      </c>
      <c r="N1024" s="15" t="str">
        <f>VLOOKUP(I1024,CHOOSE({1,2},Table12[Native],Table12[Name]),2,0)</f>
        <v>Hángzhōu Shì</v>
      </c>
      <c r="O1024" s="15" t="str">
        <f t="shared" si="30"/>
        <v>Taiyang Zhen (Hángzhōu Shì)</v>
      </c>
      <c r="P1024" s="15" t="str">
        <f t="shared" si="31"/>
        <v>Taiyang Zhen (Hángzhōu Shì)</v>
      </c>
    </row>
    <row r="1025" spans="1:16" hidden="1" x14ac:dyDescent="0.25">
      <c r="A1025" t="s">
        <v>1780</v>
      </c>
      <c r="B1025" t="str">
        <f>IF(COUNTIF(A:A,A1025)&gt;1,_xlfn.CONCAT(A1025," (",N1025,")"),A1025)</f>
        <v>Tàizhēn Xiāng</v>
      </c>
      <c r="C1025" t="str">
        <f>IF(COUNTIF(B:B,B1025)&gt;1,_xlfn.CONCAT(A1025," (",M1025,")"),B1025)</f>
        <v>Tàizhēn Xiāng</v>
      </c>
      <c r="D1025" t="s">
        <v>1781</v>
      </c>
      <c r="E1025" t="s">
        <v>7</v>
      </c>
      <c r="F1025" t="str">
        <f>_xlfn.CONCAT(D1025,", ",H1025,", ",I1025,", ","浙江省")</f>
        <v>太真乡, 衢江区, 衢州市, 浙江省</v>
      </c>
      <c r="G1025">
        <v>2778</v>
      </c>
      <c r="H1025" t="s">
        <v>2979</v>
      </c>
      <c r="I1025" t="s">
        <v>2973</v>
      </c>
      <c r="J1025" t="e">
        <f>VLOOKUP(F1025,[1]!china_towns_second__2[[Column1]:[Y]],3,FALSE)</f>
        <v>#N/A</v>
      </c>
      <c r="K1025" t="e">
        <f>VLOOKUP(F1025,[1]!china_towns_second__2[[Column1]:[Y]],2,FALSE)</f>
        <v>#N/A</v>
      </c>
      <c r="L1025" t="s">
        <v>4659</v>
      </c>
      <c r="M1025" t="str">
        <f>VLOOKUP(H1025,CHOOSE({1,2},Table12[Native],Table12[Name]),2,0)</f>
        <v>Qújiāng Qū</v>
      </c>
      <c r="N1025" s="15" t="str">
        <f>VLOOKUP(I1025,CHOOSE({1,2},Table12[Native],Table12[Name]),2,0)</f>
        <v>Qúzhōu Shì</v>
      </c>
      <c r="O1025" s="15" t="str">
        <f t="shared" si="30"/>
        <v>Taizhen Xiang (Qúzhōu Shì)</v>
      </c>
      <c r="P1025" s="15" t="str">
        <f t="shared" si="31"/>
        <v>Taizhen Xiang (Qúzhōu Shì)</v>
      </c>
    </row>
    <row r="1026" spans="1:16" hidden="1" x14ac:dyDescent="0.25">
      <c r="A1026" t="s">
        <v>635</v>
      </c>
      <c r="B1026" t="str">
        <f>IF(COUNTIF(A:A,A1026)&gt;1,_xlfn.CONCAT(A1026," (",N1026,")"),A1026)</f>
        <v>Tánghuì Jiēdào [in: Jiāxīng Economic and Technological Development Zone]</v>
      </c>
      <c r="C1026" t="str">
        <f>IF(COUNTIF(B:B,B1026)&gt;1,_xlfn.CONCAT(A1026," (",M1026,")"),B1026)</f>
        <v>Tánghuì Jiēdào [in: Jiāxīng Economic and Technological Development Zone]</v>
      </c>
      <c r="D1026" t="s">
        <v>636</v>
      </c>
      <c r="E1026" t="s">
        <v>15</v>
      </c>
      <c r="F1026" t="str">
        <f>_xlfn.CONCAT(D1026,", ",H1026,", ",I1026,", ","浙江省")</f>
        <v>塘汇街道, 秀洲区, 嘉兴市, 浙江省</v>
      </c>
      <c r="G1026">
        <v>31803</v>
      </c>
      <c r="H1026" t="s">
        <v>2936</v>
      </c>
      <c r="I1026" t="s">
        <v>2929</v>
      </c>
      <c r="J1026">
        <f>VLOOKUP(F1026,[1]!china_towns_second__2[[Column1]:[Y]],3,FALSE)</f>
        <v>30.795249059253599</v>
      </c>
      <c r="K1026">
        <f>VLOOKUP(F1026,[1]!china_towns_second__2[[Column1]:[Y]],2,FALSE)</f>
        <v>120.77268429999999</v>
      </c>
      <c r="L1026" t="s">
        <v>4660</v>
      </c>
      <c r="M1026" t="str">
        <f>VLOOKUP(H1026,CHOOSE({1,2},Table12[Native],Table12[Name]),2,0)</f>
        <v>Xiùzhōu Qū</v>
      </c>
      <c r="N1026" s="15" t="str">
        <f>VLOOKUP(I1026,CHOOSE({1,2},Table12[Native],Table12[Name]),2,0)</f>
        <v>Jiāxīng Shì</v>
      </c>
      <c r="O1026" s="15" t="str">
        <f t="shared" ref="O1026:O1089" si="32">_xlfn.CONCAT(L1026," (",N1026,")")</f>
        <v>Tanghui Jiedao [in: Jiaxing Economic and Technological Development Zone] (Jiāxīng Shì)</v>
      </c>
      <c r="P1026" s="15" t="str">
        <f t="shared" ref="P1026:P1089" si="33">IF(COUNTIF(O:O,O1026)&gt;1,_xlfn.CONCAT(L1026," (",M1026,")"),O1026)</f>
        <v>Tanghui Jiedao [in: Jiaxing Economic and Technological Development Zone] (Jiāxīng Shì)</v>
      </c>
    </row>
    <row r="1027" spans="1:16" hidden="1" x14ac:dyDescent="0.25">
      <c r="A1027" t="s">
        <v>1988</v>
      </c>
      <c r="B1027" t="str">
        <f>IF(COUNTIF(A:A,A1027)&gt;1,_xlfn.CONCAT(A1027," (",N1027,")"),A1027)</f>
        <v>Tāngpŭ Zhèn</v>
      </c>
      <c r="C1027" t="str">
        <f>IF(COUNTIF(B:B,B1027)&gt;1,_xlfn.CONCAT(A1027," (",M1027,")"),B1027)</f>
        <v>Tāngpŭ Zhèn</v>
      </c>
      <c r="D1027" t="s">
        <v>1989</v>
      </c>
      <c r="E1027" t="s">
        <v>11</v>
      </c>
      <c r="F1027" t="str">
        <f>_xlfn.CONCAT(D1027,", ",H1027,", ",I1027,", ","浙江省")</f>
        <v>汤浦镇, 上虞区, 绍兴市, 浙江省</v>
      </c>
      <c r="G1027">
        <v>15333</v>
      </c>
      <c r="H1027" t="s">
        <v>2983</v>
      </c>
      <c r="I1027" t="s">
        <v>2981</v>
      </c>
      <c r="J1027">
        <f>VLOOKUP(F1027,[1]!china_towns_second__2[[Column1]:[Y]],3,FALSE)</f>
        <v>29.853659804764799</v>
      </c>
      <c r="K1027">
        <f>VLOOKUP(F1027,[1]!china_towns_second__2[[Column1]:[Y]],2,FALSE)</f>
        <v>120.7679716</v>
      </c>
      <c r="L1027" t="s">
        <v>4661</v>
      </c>
      <c r="M1027" t="str">
        <f>VLOOKUP(H1027,CHOOSE({1,2},Table12[Native],Table12[Name]),2,0)</f>
        <v>Shàngyú Qū</v>
      </c>
      <c r="N1027" s="15" t="str">
        <f>VLOOKUP(I1027,CHOOSE({1,2},Table12[Native],Table12[Name]),2,0)</f>
        <v>Shàoxīng Shì</v>
      </c>
      <c r="O1027" s="15" t="str">
        <f t="shared" si="32"/>
        <v>Tangpu Zhen (Shàoxīng Shì)</v>
      </c>
      <c r="P1027" s="15" t="str">
        <f t="shared" si="33"/>
        <v>Tangpu Zhen (Shàoxīng Shì)</v>
      </c>
    </row>
    <row r="1028" spans="1:16" hidden="1" x14ac:dyDescent="0.25">
      <c r="A1028" t="s">
        <v>298</v>
      </c>
      <c r="B1028" t="str">
        <f>IF(COUNTIF(A:A,A1028)&gt;1,_xlfn.CONCAT(A1028," (",N1028,")"),A1028)</f>
        <v>Tángqī Zhèn</v>
      </c>
      <c r="C1028" t="str">
        <f>IF(COUNTIF(B:B,B1028)&gt;1,_xlfn.CONCAT(A1028," (",M1028,")"),B1028)</f>
        <v>Tángqī Zhèn</v>
      </c>
      <c r="D1028" t="s">
        <v>299</v>
      </c>
      <c r="E1028" t="s">
        <v>11</v>
      </c>
      <c r="F1028" t="str">
        <f>_xlfn.CONCAT(D1028,", ",H1028,", ",I1028,", ","浙江省")</f>
        <v>塘栖镇, 临平区, 杭州市, 浙江省</v>
      </c>
      <c r="G1028">
        <v>79990</v>
      </c>
      <c r="H1028" t="s">
        <v>2912</v>
      </c>
      <c r="I1028" t="s">
        <v>2903</v>
      </c>
      <c r="J1028">
        <f>VLOOKUP(F1028,[1]!china_towns_second__2[[Column1]:[Y]],3,FALSE)</f>
        <v>30.463124799185099</v>
      </c>
      <c r="K1028">
        <f>VLOOKUP(F1028,[1]!china_towns_second__2[[Column1]:[Y]],2,FALSE)</f>
        <v>120.1985265</v>
      </c>
      <c r="L1028" t="s">
        <v>4662</v>
      </c>
      <c r="M1028" t="str">
        <f>VLOOKUP(H1028,CHOOSE({1,2},Table12[Native],Table12[Name]),2,0)</f>
        <v>Línpíng Qū</v>
      </c>
      <c r="N1028" s="15" t="str">
        <f>VLOOKUP(I1028,CHOOSE({1,2},Table12[Native],Table12[Name]),2,0)</f>
        <v>Hángzhōu Shì</v>
      </c>
      <c r="O1028" s="15" t="str">
        <f t="shared" si="32"/>
        <v>Tangqi Zhen (Hángzhōu Shì)</v>
      </c>
      <c r="P1028" s="15" t="str">
        <f t="shared" si="33"/>
        <v>Tangqi Zhen (Hángzhōu Shì)</v>
      </c>
    </row>
    <row r="1029" spans="1:16" x14ac:dyDescent="0.25">
      <c r="A1029" t="s">
        <v>1553</v>
      </c>
      <c r="B1029" t="str">
        <f>IF(COUNTIF(A:A,A1029)&gt;1,_xlfn.CONCAT(A1029," (",N1029,")"),A1029)</f>
        <v>Tángxī Zhèn</v>
      </c>
      <c r="C1029" t="str">
        <f>IF(COUNTIF(B:B,B1029)&gt;1,_xlfn.CONCAT(A1029," (",M1029,")"),B1029)</f>
        <v>Tángxī Zhèn</v>
      </c>
      <c r="D1029" t="s">
        <v>1554</v>
      </c>
      <c r="E1029" t="s">
        <v>11</v>
      </c>
      <c r="F1029" t="str">
        <f>_xlfn.CONCAT(D1029,", ",H1029,", ",I1029,", ","浙江省")</f>
        <v>塘溪镇, 鄞州区, 宁波市, 浙江省</v>
      </c>
      <c r="G1029">
        <v>37049</v>
      </c>
      <c r="H1029" t="s">
        <v>2969</v>
      </c>
      <c r="I1029" t="s">
        <v>2961</v>
      </c>
      <c r="J1029">
        <f>VLOOKUP(F1029,[1]!china_towns_second__2[[Column1]:[Y]],3,FALSE)</f>
        <v>29.6719421166868</v>
      </c>
      <c r="K1029">
        <f>VLOOKUP(F1029,[1]!china_towns_second__2[[Column1]:[Y]],2,FALSE)</f>
        <v>121.6947478</v>
      </c>
      <c r="L1029" t="s">
        <v>4663</v>
      </c>
      <c r="M1029" t="str">
        <f>VLOOKUP(H1029,CHOOSE({1,2},Table12[Native],Table12[Name]),2,0)</f>
        <v>Yínzhōu Qū</v>
      </c>
      <c r="N1029" s="15" t="str">
        <f>VLOOKUP(I1029,CHOOSE({1,2},Table12[Native],Table12[Name]),2,0)</f>
        <v>Níngbō Shì</v>
      </c>
      <c r="O1029" s="15" t="str">
        <f t="shared" si="32"/>
        <v>Tangxi Zhen (Níngbō Shì)</v>
      </c>
      <c r="P1029" s="15" t="str">
        <f t="shared" si="33"/>
        <v>Tangxi Zhen (Níngbō Shì)</v>
      </c>
    </row>
    <row r="1030" spans="1:16" x14ac:dyDescent="0.25">
      <c r="A1030" t="s">
        <v>911</v>
      </c>
      <c r="B1030" t="str">
        <f>IF(COUNTIF(A:A,A1030)&gt;1,_xlfn.CONCAT(A1030," (",N1030,")"),A1030)</f>
        <v>Tāngxī Zhèn</v>
      </c>
      <c r="C1030" t="str">
        <f>IF(COUNTIF(B:B,B1030)&gt;1,_xlfn.CONCAT(A1030," (",M1030,")"),B1030)</f>
        <v>Tāngxī Zhèn</v>
      </c>
      <c r="D1030" t="s">
        <v>912</v>
      </c>
      <c r="E1030" t="s">
        <v>11</v>
      </c>
      <c r="F1030" t="str">
        <f>_xlfn.CONCAT(D1030,", ",H1030,", ",I1030,", ","浙江省")</f>
        <v>汤溪镇, 婺城区, 金华市, 浙江省</v>
      </c>
      <c r="G1030">
        <v>38435</v>
      </c>
      <c r="H1030" t="s">
        <v>2944</v>
      </c>
      <c r="I1030" t="s">
        <v>2938</v>
      </c>
      <c r="J1030">
        <f>VLOOKUP(F1030,[1]!china_towns_second__2[[Column1]:[Y]],3,FALSE)</f>
        <v>29.023301339844199</v>
      </c>
      <c r="K1030">
        <f>VLOOKUP(F1030,[1]!china_towns_second__2[[Column1]:[Y]],2,FALSE)</f>
        <v>119.373828</v>
      </c>
      <c r="L1030" t="s">
        <v>4663</v>
      </c>
      <c r="M1030" t="str">
        <f>VLOOKUP(H1030,CHOOSE({1,2},Table12[Native],Table12[Name]),2,0)</f>
        <v>Wùchéng Qū</v>
      </c>
      <c r="N1030" s="15" t="str">
        <f>VLOOKUP(I1030,CHOOSE({1,2},Table12[Native],Table12[Name]),2,0)</f>
        <v>Jīnhuá Shì</v>
      </c>
      <c r="O1030" s="15" t="str">
        <f t="shared" si="32"/>
        <v>Tangxi Zhen (Jīnhuá Shì)</v>
      </c>
      <c r="P1030" s="15" t="str">
        <f t="shared" si="33"/>
        <v>Tangxi Zhen (Jīnhuá Shì)</v>
      </c>
    </row>
    <row r="1031" spans="1:16" hidden="1" x14ac:dyDescent="0.25">
      <c r="A1031" t="s">
        <v>2650</v>
      </c>
      <c r="B1031" t="str">
        <f>IF(COUNTIF(A:A,A1031)&gt;1,_xlfn.CONCAT(A1031," (",N1031,")"),A1031)</f>
        <v>Tángxià Zhèn</v>
      </c>
      <c r="C1031" t="str">
        <f>IF(COUNTIF(B:B,B1031)&gt;1,_xlfn.CONCAT(A1031," (",M1031,")"),B1031)</f>
        <v>Tángxià Zhèn</v>
      </c>
      <c r="D1031" t="s">
        <v>2651</v>
      </c>
      <c r="E1031" t="s">
        <v>11</v>
      </c>
      <c r="F1031" t="str">
        <f>_xlfn.CONCAT(D1031,", ",H1031,", ",I1031,", ","浙江省")</f>
        <v>塘下镇, 瑞安市, 温州市, 浙江省</v>
      </c>
      <c r="G1031">
        <v>312080</v>
      </c>
      <c r="H1031" t="s">
        <v>3007</v>
      </c>
      <c r="I1031" t="s">
        <v>3000</v>
      </c>
      <c r="J1031">
        <f>VLOOKUP(F1031,[1]!china_towns_second__2[[Column1]:[Y]],3,FALSE)</f>
        <v>27.828563570444601</v>
      </c>
      <c r="K1031">
        <f>VLOOKUP(F1031,[1]!china_towns_second__2[[Column1]:[Y]],2,FALSE)</f>
        <v>120.70902220000001</v>
      </c>
      <c r="L1031" t="s">
        <v>4664</v>
      </c>
      <c r="M1031" t="str">
        <f>VLOOKUP(H1031,CHOOSE({1,2},Table12[Native],Table12[Name]),2,0)</f>
        <v>Ruì'ān Shì</v>
      </c>
      <c r="N1031" s="15" t="str">
        <f>VLOOKUP(I1031,CHOOSE({1,2},Table12[Native],Table12[Name]),2,0)</f>
        <v>Wēnzhōu Shì</v>
      </c>
      <c r="O1031" s="15" t="str">
        <f t="shared" si="32"/>
        <v>Tangxia Zhen (Wēnzhōu Shì)</v>
      </c>
      <c r="P1031" s="15" t="str">
        <f t="shared" si="33"/>
        <v>Tangxia Zhen (Wēnzhōu Shì)</v>
      </c>
    </row>
    <row r="1032" spans="1:16" hidden="1" x14ac:dyDescent="0.25">
      <c r="A1032" t="s">
        <v>909</v>
      </c>
      <c r="B1032" t="str">
        <f>IF(COUNTIF(A:A,A1032)&gt;1,_xlfn.CONCAT(A1032," (",N1032,")"),A1032)</f>
        <v>Tángxiān Zhèn</v>
      </c>
      <c r="C1032" t="str">
        <f>IF(COUNTIF(B:B,B1032)&gt;1,_xlfn.CONCAT(A1032," (",M1032,")"),B1032)</f>
        <v>Tángxiān Zhèn</v>
      </c>
      <c r="D1032" t="s">
        <v>910</v>
      </c>
      <c r="E1032" t="s">
        <v>11</v>
      </c>
      <c r="F1032" t="str">
        <f>_xlfn.CONCAT(D1032,", ",H1032,", ",I1032,", ","浙江省")</f>
        <v>唐先镇, 永康市, 金华市, 浙江省</v>
      </c>
      <c r="G1032">
        <v>35691</v>
      </c>
      <c r="H1032" t="s">
        <v>2947</v>
      </c>
      <c r="I1032" t="s">
        <v>2938</v>
      </c>
      <c r="J1032">
        <f>VLOOKUP(F1032,[1]!china_towns_second__2[[Column1]:[Y]],3,FALSE)</f>
        <v>29.053058368891499</v>
      </c>
      <c r="K1032">
        <f>VLOOKUP(F1032,[1]!china_towns_second__2[[Column1]:[Y]],2,FALSE)</f>
        <v>120.1107289</v>
      </c>
      <c r="L1032" t="s">
        <v>4665</v>
      </c>
      <c r="M1032" t="str">
        <f>VLOOKUP(H1032,CHOOSE({1,2},Table12[Native],Table12[Name]),2,0)</f>
        <v>Yŏngkāng Shì</v>
      </c>
      <c r="N1032" s="15" t="str">
        <f>VLOOKUP(I1032,CHOOSE({1,2},Table12[Native],Table12[Name]),2,0)</f>
        <v>Jīnhuá Shì</v>
      </c>
      <c r="O1032" s="15" t="str">
        <f t="shared" si="32"/>
        <v>Tangxian Zhen (Jīnhuá Shì)</v>
      </c>
      <c r="P1032" s="15" t="str">
        <f t="shared" si="33"/>
        <v>Tangxian Zhen (Jīnhuá Shì)</v>
      </c>
    </row>
    <row r="1033" spans="1:16" hidden="1" x14ac:dyDescent="0.25">
      <c r="A1033" t="s">
        <v>913</v>
      </c>
      <c r="B1033" t="str">
        <f>IF(COUNTIF(A:A,A1033)&gt;1,_xlfn.CONCAT(A1033," (",N1033,")"),A1033)</f>
        <v>Tángyă Zhèn</v>
      </c>
      <c r="C1033" t="str">
        <f>IF(COUNTIF(B:B,B1033)&gt;1,_xlfn.CONCAT(A1033," (",M1033,")"),B1033)</f>
        <v>Tángyă Zhèn</v>
      </c>
      <c r="D1033" t="s">
        <v>914</v>
      </c>
      <c r="E1033" t="s">
        <v>11</v>
      </c>
      <c r="F1033" t="str">
        <f>_xlfn.CONCAT(D1033,", ",H1033,", ",I1033,", ","浙江省")</f>
        <v>塘雅镇, 金东区, 金华市, 浙江省</v>
      </c>
      <c r="G1033">
        <v>21577</v>
      </c>
      <c r="H1033" t="s">
        <v>2940</v>
      </c>
      <c r="I1033" t="s">
        <v>2938</v>
      </c>
      <c r="J1033">
        <f>VLOOKUP(F1033,[1]!china_towns_second__2[[Column1]:[Y]],3,FALSE)</f>
        <v>29.1476217668909</v>
      </c>
      <c r="K1033">
        <f>VLOOKUP(F1033,[1]!china_towns_second__2[[Column1]:[Y]],2,FALSE)</f>
        <v>119.7887126</v>
      </c>
      <c r="L1033" t="s">
        <v>4666</v>
      </c>
      <c r="M1033" t="str">
        <f>VLOOKUP(H1033,CHOOSE({1,2},Table12[Native],Table12[Name]),2,0)</f>
        <v>Jīndōng Qū</v>
      </c>
      <c r="N1033" s="15" t="str">
        <f>VLOOKUP(I1033,CHOOSE({1,2},Table12[Native],Table12[Name]),2,0)</f>
        <v>Jīnhuá Shì</v>
      </c>
      <c r="O1033" s="15" t="str">
        <f t="shared" si="32"/>
        <v>Tangya Zhen (Jīnhuá Shì)</v>
      </c>
      <c r="P1033" s="15" t="str">
        <f t="shared" si="33"/>
        <v>Tangya Zhen (Jīnhuá Shì)</v>
      </c>
    </row>
    <row r="1034" spans="1:16" hidden="1" x14ac:dyDescent="0.25">
      <c r="A1034" t="s">
        <v>1231</v>
      </c>
      <c r="B1034" t="str">
        <f>IF(COUNTIF(A:A,A1034)&gt;1,_xlfn.CONCAT(A1034," (",N1034,")"),A1034)</f>
        <v>Tāngyáng Xiāng</v>
      </c>
      <c r="C1034" t="str">
        <f>IF(COUNTIF(B:B,B1034)&gt;1,_xlfn.CONCAT(A1034," (",M1034,")"),B1034)</f>
        <v>Tāngyáng Xiāng</v>
      </c>
      <c r="D1034" t="s">
        <v>1232</v>
      </c>
      <c r="E1034" t="s">
        <v>7</v>
      </c>
      <c r="F1034" t="str">
        <f>_xlfn.CONCAT(D1034,", ",H1034,", ",I1034,", ","浙江省")</f>
        <v>汤垟乡, 青田县, 丽水市, 浙江省</v>
      </c>
      <c r="G1034">
        <v>1813</v>
      </c>
      <c r="H1034" t="s">
        <v>2955</v>
      </c>
      <c r="I1034" t="s">
        <v>2949</v>
      </c>
      <c r="J1034" t="e">
        <f>VLOOKUP(F1034,[1]!china_towns_second__2[[Column1]:[Y]],3,FALSE)</f>
        <v>#N/A</v>
      </c>
      <c r="K1034" t="e">
        <f>VLOOKUP(F1034,[1]!china_towns_second__2[[Column1]:[Y]],2,FALSE)</f>
        <v>#N/A</v>
      </c>
      <c r="L1034" t="s">
        <v>4667</v>
      </c>
      <c r="M1034" t="str">
        <f>VLOOKUP(H1034,CHOOSE({1,2},Table12[Native],Table12[Name]),2,0)</f>
        <v>Qīngtián Xiàn</v>
      </c>
      <c r="N1034" s="15" t="str">
        <f>VLOOKUP(I1034,CHOOSE({1,2},Table12[Native],Table12[Name]),2,0)</f>
        <v>Lìshuĭ Shì</v>
      </c>
      <c r="O1034" s="15" t="str">
        <f t="shared" si="32"/>
        <v>Tangyang Xiang (Lìshuĭ Shì)</v>
      </c>
      <c r="P1034" s="15" t="str">
        <f t="shared" si="33"/>
        <v>Tangyang Xiang (Lìshuĭ Shì)</v>
      </c>
    </row>
    <row r="1035" spans="1:16" hidden="1" x14ac:dyDescent="0.25">
      <c r="A1035" t="s">
        <v>1782</v>
      </c>
      <c r="B1035" t="str">
        <f>IF(COUNTIF(A:A,A1035)&gt;1,_xlfn.CONCAT(A1035," (",N1035,")"),A1035)</f>
        <v>Tángyuánkŏu Xiāng</v>
      </c>
      <c r="C1035" t="str">
        <f>IF(COUNTIF(B:B,B1035)&gt;1,_xlfn.CONCAT(A1035," (",M1035,")"),B1035)</f>
        <v>Tángyuánkŏu Xiāng</v>
      </c>
      <c r="D1035" t="s">
        <v>1783</v>
      </c>
      <c r="E1035" t="s">
        <v>7</v>
      </c>
      <c r="F1035" t="str">
        <f>_xlfn.CONCAT(D1035,", ",H1035,", ",I1035,", ","浙江省")</f>
        <v>塘源口乡, 江山市, 衢州市, 浙江省</v>
      </c>
      <c r="G1035">
        <v>5830</v>
      </c>
      <c r="H1035" t="s">
        <v>2975</v>
      </c>
      <c r="I1035" t="s">
        <v>2973</v>
      </c>
      <c r="J1035" t="e">
        <f>VLOOKUP(F1035,[1]!china_towns_second__2[[Column1]:[Y]],3,FALSE)</f>
        <v>#N/A</v>
      </c>
      <c r="K1035" t="e">
        <f>VLOOKUP(F1035,[1]!china_towns_second__2[[Column1]:[Y]],2,FALSE)</f>
        <v>#N/A</v>
      </c>
      <c r="L1035" t="s">
        <v>4668</v>
      </c>
      <c r="M1035" t="str">
        <f>VLOOKUP(H1035,CHOOSE({1,2},Table12[Native],Table12[Name]),2,0)</f>
        <v>Jiāngshān Shì</v>
      </c>
      <c r="N1035" s="15" t="str">
        <f>VLOOKUP(I1035,CHOOSE({1,2},Table12[Native],Table12[Name]),2,0)</f>
        <v>Qúzhōu Shì</v>
      </c>
      <c r="O1035" s="15" t="str">
        <f t="shared" si="32"/>
        <v>Tangyuankou Xiang (Qúzhōu Shì)</v>
      </c>
      <c r="P1035" s="15" t="str">
        <f t="shared" si="33"/>
        <v>Tangyuankou Xiang (Qúzhōu Shì)</v>
      </c>
    </row>
    <row r="1036" spans="1:16" hidden="1" x14ac:dyDescent="0.25">
      <c r="A1036" t="s">
        <v>915</v>
      </c>
      <c r="B1036" t="str">
        <f>IF(COUNTIF(A:A,A1036)&gt;1,_xlfn.CONCAT(A1036," (",N1036,")"),A1036)</f>
        <v>Tănhóng Xiāng</v>
      </c>
      <c r="C1036" t="str">
        <f>IF(COUNTIF(B:B,B1036)&gt;1,_xlfn.CONCAT(A1036," (",M1036,")"),B1036)</f>
        <v>Tănhóng Xiāng</v>
      </c>
      <c r="D1036" t="s">
        <v>916</v>
      </c>
      <c r="E1036" t="s">
        <v>7</v>
      </c>
      <c r="F1036" t="str">
        <f>_xlfn.CONCAT(D1036,", ",H1036,", ",I1036,", ","浙江省")</f>
        <v>坦洪乡, 武义县, 金华市, 浙江省</v>
      </c>
      <c r="G1036">
        <v>3846</v>
      </c>
      <c r="H1036" t="s">
        <v>2945</v>
      </c>
      <c r="I1036" t="s">
        <v>2938</v>
      </c>
      <c r="J1036" t="e">
        <f>VLOOKUP(F1036,[1]!china_towns_second__2[[Column1]:[Y]],3,FALSE)</f>
        <v>#N/A</v>
      </c>
      <c r="K1036" t="e">
        <f>VLOOKUP(F1036,[1]!china_towns_second__2[[Column1]:[Y]],2,FALSE)</f>
        <v>#N/A</v>
      </c>
      <c r="L1036" t="s">
        <v>4669</v>
      </c>
      <c r="M1036" t="str">
        <f>VLOOKUP(H1036,CHOOSE({1,2},Table12[Native],Table12[Name]),2,0)</f>
        <v>Wŭyì Xiàn</v>
      </c>
      <c r="N1036" s="15" t="str">
        <f>VLOOKUP(I1036,CHOOSE({1,2},Table12[Native],Table12[Name]),2,0)</f>
        <v>Jīnhuá Shì</v>
      </c>
      <c r="O1036" s="15" t="str">
        <f t="shared" si="32"/>
        <v>Tanhong Xiang (Jīnhuá Shì)</v>
      </c>
      <c r="P1036" s="15" t="str">
        <f t="shared" si="33"/>
        <v>Tanhong Xiang (Jīnhuá Shì)</v>
      </c>
    </row>
    <row r="1037" spans="1:16" hidden="1" x14ac:dyDescent="0.25">
      <c r="A1037" t="s">
        <v>1784</v>
      </c>
      <c r="B1037" t="str">
        <f>IF(COUNTIF(A:A,A1037)&gt;1,_xlfn.CONCAT(A1037," (",N1037,")"),A1037)</f>
        <v>Tánshí Zhèn</v>
      </c>
      <c r="C1037" t="str">
        <f>IF(COUNTIF(B:B,B1037)&gt;1,_xlfn.CONCAT(A1037," (",M1037,")"),B1037)</f>
        <v>Tánshí Zhèn</v>
      </c>
      <c r="D1037" t="s">
        <v>1785</v>
      </c>
      <c r="E1037" t="s">
        <v>11</v>
      </c>
      <c r="F1037" t="str">
        <f>_xlfn.CONCAT(D1037,", ",H1037,", ",I1037,", ","浙江省")</f>
        <v>坛石镇, 江山市, 衢州市, 浙江省</v>
      </c>
      <c r="G1037">
        <v>17452</v>
      </c>
      <c r="H1037" t="s">
        <v>2975</v>
      </c>
      <c r="I1037" t="s">
        <v>2973</v>
      </c>
      <c r="J1037">
        <f>VLOOKUP(F1037,[1]!china_towns_second__2[[Column1]:[Y]],3,FALSE)</f>
        <v>28.764013171956901</v>
      </c>
      <c r="K1037">
        <f>VLOOKUP(F1037,[1]!china_towns_second__2[[Column1]:[Y]],2,FALSE)</f>
        <v>118.51283050000001</v>
      </c>
      <c r="L1037" t="s">
        <v>4670</v>
      </c>
      <c r="M1037" t="str">
        <f>VLOOKUP(H1037,CHOOSE({1,2},Table12[Native],Table12[Name]),2,0)</f>
        <v>Jiāngshān Shì</v>
      </c>
      <c r="N1037" s="15" t="str">
        <f>VLOOKUP(I1037,CHOOSE({1,2},Table12[Native],Table12[Name]),2,0)</f>
        <v>Qúzhōu Shì</v>
      </c>
      <c r="O1037" s="15" t="str">
        <f t="shared" si="32"/>
        <v>Tanshi Zhen (Qúzhōu Shì)</v>
      </c>
      <c r="P1037" s="15" t="str">
        <f t="shared" si="33"/>
        <v>Tanshi Zhen (Qúzhōu Shì)</v>
      </c>
    </row>
    <row r="1038" spans="1:16" hidden="1" x14ac:dyDescent="0.25">
      <c r="A1038" t="s">
        <v>2217</v>
      </c>
      <c r="B1038" t="str">
        <f>IF(COUNTIF(A:A,A1038)&gt;1,_xlfn.CONCAT(A1038," (",N1038,")"),A1038)</f>
        <v>Tăntóu Zhèn</v>
      </c>
      <c r="C1038" t="str">
        <f>IF(COUNTIF(B:B,B1038)&gt;1,_xlfn.CONCAT(A1038," (",M1038,")"),B1038)</f>
        <v>Tăntóu Zhèn</v>
      </c>
      <c r="D1038" t="s">
        <v>2218</v>
      </c>
      <c r="E1038" t="s">
        <v>11</v>
      </c>
      <c r="F1038" t="str">
        <f>_xlfn.CONCAT(D1038,", ",H1038,", ",I1038,", ","浙江省")</f>
        <v>坦头镇, 天台县, 台州市, 浙江省</v>
      </c>
      <c r="G1038">
        <v>30362</v>
      </c>
      <c r="H1038" t="s">
        <v>2995</v>
      </c>
      <c r="I1038" t="s">
        <v>2989</v>
      </c>
      <c r="J1038">
        <f>VLOOKUP(F1038,[1]!china_towns_second__2[[Column1]:[Y]],3,FALSE)</f>
        <v>29.147728042821001</v>
      </c>
      <c r="K1038">
        <f>VLOOKUP(F1038,[1]!china_towns_second__2[[Column1]:[Y]],2,FALSE)</f>
        <v>121.12644210000001</v>
      </c>
      <c r="L1038" t="s">
        <v>4671</v>
      </c>
      <c r="M1038" t="str">
        <f>VLOOKUP(H1038,CHOOSE({1,2},Table12[Native],Table12[Name]),2,0)</f>
        <v>Tiāntái Xiàn</v>
      </c>
      <c r="N1038" s="15" t="str">
        <f>VLOOKUP(I1038,CHOOSE({1,2},Table12[Native],Table12[Name]),2,0)</f>
        <v>Táizhōu Shì</v>
      </c>
      <c r="O1038" s="15" t="str">
        <f t="shared" si="32"/>
        <v>Tantou Zhen (Táizhōu Shì)</v>
      </c>
      <c r="P1038" s="15" t="str">
        <f t="shared" si="33"/>
        <v>Tantou Zhen (Táizhōu Shì)</v>
      </c>
    </row>
    <row r="1039" spans="1:16" hidden="1" x14ac:dyDescent="0.25">
      <c r="A1039" t="s">
        <v>917</v>
      </c>
      <c r="B1039" t="str">
        <f>IF(COUNTIF(A:A,A1039)&gt;1,_xlfn.CONCAT(A1039," (",N1039,")"),A1039)</f>
        <v>Tánxī Zhèn</v>
      </c>
      <c r="C1039" t="str">
        <f>IF(COUNTIF(B:B,B1039)&gt;1,_xlfn.CONCAT(A1039," (",M1039,")"),B1039)</f>
        <v>Tánxī Zhèn</v>
      </c>
      <c r="D1039" t="s">
        <v>918</v>
      </c>
      <c r="E1039" t="s">
        <v>11</v>
      </c>
      <c r="F1039" t="str">
        <f>_xlfn.CONCAT(D1039,", ",H1039,", ",I1039,", ","浙江省")</f>
        <v>檀溪镇, 浦江县, 金华市, 浙江省</v>
      </c>
      <c r="G1039">
        <v>10279</v>
      </c>
      <c r="H1039" t="s">
        <v>2943</v>
      </c>
      <c r="I1039" t="s">
        <v>2938</v>
      </c>
      <c r="J1039">
        <f>VLOOKUP(F1039,[1]!china_towns_second__2[[Column1]:[Y]],3,FALSE)</f>
        <v>29.639300343180398</v>
      </c>
      <c r="K1039">
        <f>VLOOKUP(F1039,[1]!china_towns_second__2[[Column1]:[Y]],2,FALSE)</f>
        <v>119.912336</v>
      </c>
      <c r="L1039" t="s">
        <v>4672</v>
      </c>
      <c r="M1039" t="str">
        <f>VLOOKUP(H1039,CHOOSE({1,2},Table12[Native],Table12[Name]),2,0)</f>
        <v>Pŭjiāng Xiàn</v>
      </c>
      <c r="N1039" s="15" t="str">
        <f>VLOOKUP(I1039,CHOOSE({1,2},Table12[Native],Table12[Name]),2,0)</f>
        <v>Jīnhuá Shì</v>
      </c>
      <c r="O1039" s="15" t="str">
        <f t="shared" si="32"/>
        <v>Tanxi Zhen (Jīnhuá Shì)</v>
      </c>
      <c r="P1039" s="15" t="str">
        <f t="shared" si="33"/>
        <v>Tanxi Zhen (Jīnhuá Shì)</v>
      </c>
    </row>
    <row r="1040" spans="1:16" hidden="1" x14ac:dyDescent="0.25">
      <c r="A1040" t="s">
        <v>2883</v>
      </c>
      <c r="B1040" t="str">
        <f>IF(COUNTIF(A:A,A1040)&gt;1,_xlfn.CONCAT(A1040," (",N1040,")"),A1040)</f>
        <v>Táohuā Zhèn</v>
      </c>
      <c r="C1040" t="str">
        <f>IF(COUNTIF(B:B,B1040)&gt;1,_xlfn.CONCAT(A1040," (",M1040,")"),B1040)</f>
        <v>Táohuā Zhèn</v>
      </c>
      <c r="D1040" t="s">
        <v>2884</v>
      </c>
      <c r="E1040" t="s">
        <v>11</v>
      </c>
      <c r="F1040" t="str">
        <f>_xlfn.CONCAT(D1040,", ",H1040,", ",I1040,", ","浙江省")</f>
        <v>桃花镇, 普陀区, 舟山市, 浙江省</v>
      </c>
      <c r="G1040">
        <v>10867</v>
      </c>
      <c r="H1040" t="s">
        <v>3016</v>
      </c>
      <c r="I1040" t="s">
        <v>3013</v>
      </c>
      <c r="J1040">
        <f>VLOOKUP(F1040,[1]!china_towns_second__2[[Column1]:[Y]],3,FALSE)</f>
        <v>29.817165227116</v>
      </c>
      <c r="K1040">
        <f>VLOOKUP(F1040,[1]!china_towns_second__2[[Column1]:[Y]],2,FALSE)</f>
        <v>122.27449</v>
      </c>
      <c r="L1040" t="s">
        <v>4673</v>
      </c>
      <c r="M1040" t="str">
        <f>VLOOKUP(H1040,CHOOSE({1,2},Table12[Native],Table12[Name]),2,0)</f>
        <v>Pŭtuó Qū</v>
      </c>
      <c r="N1040" s="15" t="str">
        <f>VLOOKUP(I1040,CHOOSE({1,2},Table12[Native],Table12[Name]),2,0)</f>
        <v>Zhōushān Shì</v>
      </c>
      <c r="O1040" s="15" t="str">
        <f t="shared" si="32"/>
        <v>Taohua Zhen (Zhōushān Shì)</v>
      </c>
      <c r="P1040" s="15" t="str">
        <f t="shared" si="33"/>
        <v>Taohua Zhen (Zhōushān Shì)</v>
      </c>
    </row>
    <row r="1041" spans="1:16" hidden="1" x14ac:dyDescent="0.25">
      <c r="A1041" t="s">
        <v>2652</v>
      </c>
      <c r="B1041" t="str">
        <f>IF(COUNTIF(A:A,A1041)&gt;1,_xlfn.CONCAT(A1041," (",N1041,")"),A1041)</f>
        <v>Táoshān Zhèn</v>
      </c>
      <c r="C1041" t="str">
        <f>IF(COUNTIF(B:B,B1041)&gt;1,_xlfn.CONCAT(A1041," (",M1041,")"),B1041)</f>
        <v>Táoshān Zhèn</v>
      </c>
      <c r="D1041" t="s">
        <v>2653</v>
      </c>
      <c r="E1041" t="s">
        <v>11</v>
      </c>
      <c r="F1041" t="str">
        <f>_xlfn.CONCAT(D1041,", ",H1041,", ",I1041,", ","浙江省")</f>
        <v>陶山镇, 瑞安市, 温州市, 浙江省</v>
      </c>
      <c r="G1041">
        <v>32454</v>
      </c>
      <c r="H1041" t="s">
        <v>3007</v>
      </c>
      <c r="I1041" t="s">
        <v>3000</v>
      </c>
      <c r="J1041">
        <f>VLOOKUP(F1041,[1]!china_towns_second__2[[Column1]:[Y]],3,FALSE)</f>
        <v>27.851603721480199</v>
      </c>
      <c r="K1041">
        <f>VLOOKUP(F1041,[1]!china_towns_second__2[[Column1]:[Y]],2,FALSE)</f>
        <v>120.51350429999999</v>
      </c>
      <c r="L1041" t="s">
        <v>4674</v>
      </c>
      <c r="M1041" t="str">
        <f>VLOOKUP(H1041,CHOOSE({1,2},Table12[Native],Table12[Name]),2,0)</f>
        <v>Ruì'ān Shì</v>
      </c>
      <c r="N1041" s="15" t="str">
        <f>VLOOKUP(I1041,CHOOSE({1,2},Table12[Native],Table12[Name]),2,0)</f>
        <v>Wēnzhōu Shì</v>
      </c>
      <c r="O1041" s="15" t="str">
        <f t="shared" si="32"/>
        <v>Taoshan Zhen (Wēnzhōu Shì)</v>
      </c>
      <c r="P1041" s="15" t="str">
        <f t="shared" si="33"/>
        <v>Taoshan Zhen (Wēnzhōu Shì)</v>
      </c>
    </row>
    <row r="1042" spans="1:16" hidden="1" x14ac:dyDescent="0.25">
      <c r="A1042" t="s">
        <v>919</v>
      </c>
      <c r="B1042" t="str">
        <f>IF(COUNTIF(A:A,A1042)&gt;1,_xlfn.CONCAT(A1042," (",N1042,")"),A1042)</f>
        <v>Táoxī Zhèn</v>
      </c>
      <c r="C1042" t="str">
        <f>IF(COUNTIF(B:B,B1042)&gt;1,_xlfn.CONCAT(A1042," (",M1042,")"),B1042)</f>
        <v>Táoxī Zhèn</v>
      </c>
      <c r="D1042" t="s">
        <v>920</v>
      </c>
      <c r="E1042" t="s">
        <v>11</v>
      </c>
      <c r="F1042" t="str">
        <f>_xlfn.CONCAT(D1042,", ",H1042,", ",I1042,", ","浙江省")</f>
        <v>桃溪镇, 武义县, 金华市, 浙江省</v>
      </c>
      <c r="G1042">
        <v>10559</v>
      </c>
      <c r="H1042" t="s">
        <v>2945</v>
      </c>
      <c r="I1042" t="s">
        <v>2938</v>
      </c>
      <c r="J1042">
        <f>VLOOKUP(F1042,[1]!china_towns_second__2[[Column1]:[Y]],3,FALSE)</f>
        <v>28.723990539736199</v>
      </c>
      <c r="K1042">
        <f>VLOOKUP(F1042,[1]!china_towns_second__2[[Column1]:[Y]],2,FALSE)</f>
        <v>119.5634025</v>
      </c>
      <c r="L1042" t="s">
        <v>4675</v>
      </c>
      <c r="M1042" t="str">
        <f>VLOOKUP(H1042,CHOOSE({1,2},Table12[Native],Table12[Name]),2,0)</f>
        <v>Wŭyì Xiàn</v>
      </c>
      <c r="N1042" s="15" t="str">
        <f>VLOOKUP(I1042,CHOOSE({1,2},Table12[Native],Table12[Name]),2,0)</f>
        <v>Jīnhuá Shì</v>
      </c>
      <c r="O1042" s="15" t="str">
        <f t="shared" si="32"/>
        <v>Taoxi Zhen (Jīnhuá Shì)</v>
      </c>
      <c r="P1042" s="15" t="str">
        <f t="shared" si="33"/>
        <v>Taoxi Zhen (Jīnhuá Shì)</v>
      </c>
    </row>
    <row r="1043" spans="1:16" hidden="1" x14ac:dyDescent="0.25">
      <c r="A1043" t="s">
        <v>1990</v>
      </c>
      <c r="B1043" t="str">
        <f>IF(COUNTIF(A:A,A1043)&gt;1,_xlfn.CONCAT(A1043," (",N1043,")"),A1043)</f>
        <v>Táoyàn Jiēdào</v>
      </c>
      <c r="C1043" t="str">
        <f>IF(COUNTIF(B:B,B1043)&gt;1,_xlfn.CONCAT(A1043," (",M1043,")"),B1043)</f>
        <v>Táoyàn Jiēdào</v>
      </c>
      <c r="D1043" t="s">
        <v>1991</v>
      </c>
      <c r="E1043" t="s">
        <v>15</v>
      </c>
      <c r="F1043" t="str">
        <f>_xlfn.CONCAT(D1043,", ",H1043,", ",I1043,", ","浙江省")</f>
        <v>陶堰街道, 越城区, 绍兴市, 浙江省</v>
      </c>
      <c r="G1043">
        <v>21685</v>
      </c>
      <c r="H1043" t="s">
        <v>2986</v>
      </c>
      <c r="I1043" t="s">
        <v>2981</v>
      </c>
      <c r="J1043" t="e">
        <f>VLOOKUP(F1043,[1]!china_towns_second__2[[Column1]:[Y]],3,FALSE)</f>
        <v>#N/A</v>
      </c>
      <c r="K1043" t="e">
        <f>VLOOKUP(F1043,[1]!china_towns_second__2[[Column1]:[Y]],2,FALSE)</f>
        <v>#N/A</v>
      </c>
      <c r="L1043" t="s">
        <v>4676</v>
      </c>
      <c r="M1043" t="str">
        <f>VLOOKUP(H1043,CHOOSE({1,2},Table12[Native],Table12[Name]),2,0)</f>
        <v>Yuèchéng Qū</v>
      </c>
      <c r="N1043" s="15" t="str">
        <f>VLOOKUP(I1043,CHOOSE({1,2},Table12[Native],Table12[Name]),2,0)</f>
        <v>Shàoxīng Shì</v>
      </c>
      <c r="O1043" s="15" t="str">
        <f t="shared" si="32"/>
        <v>Taoyan Jiedao (Shàoxīng Shì)</v>
      </c>
      <c r="P1043" s="15" t="str">
        <f t="shared" si="33"/>
        <v>Taoyan Jiedao (Shàoxīng Shì)</v>
      </c>
    </row>
    <row r="1044" spans="1:16" hidden="1" x14ac:dyDescent="0.25">
      <c r="A1044" t="s">
        <v>1555</v>
      </c>
      <c r="B1044" t="str">
        <f>IF(COUNTIF(A:A,A1044)&gt;1,_xlfn.CONCAT(A1044," (",N1044,")"),A1044)</f>
        <v>Táoyuán Jiēdào</v>
      </c>
      <c r="C1044" t="str">
        <f>IF(COUNTIF(B:B,B1044)&gt;1,_xlfn.CONCAT(A1044," (",M1044,")"),B1044)</f>
        <v>Táoyuán Jiēdào</v>
      </c>
      <c r="D1044" t="s">
        <v>1556</v>
      </c>
      <c r="E1044" t="s">
        <v>15</v>
      </c>
      <c r="F1044" t="str">
        <f>_xlfn.CONCAT(D1044,", ",H1044,", ",I1044,", ","浙江省")</f>
        <v>桃源街道, 宁海县, 宁波市, 浙江省</v>
      </c>
      <c r="G1044">
        <v>80876</v>
      </c>
      <c r="H1044" t="s">
        <v>2967</v>
      </c>
      <c r="I1044" t="s">
        <v>2961</v>
      </c>
      <c r="J1044">
        <f>VLOOKUP(F1044,[1]!china_towns_second__2[[Column1]:[Y]],3,FALSE)</f>
        <v>29.336744568136801</v>
      </c>
      <c r="K1044">
        <f>VLOOKUP(F1044,[1]!china_towns_second__2[[Column1]:[Y]],2,FALSE)</f>
        <v>121.4575931</v>
      </c>
      <c r="L1044" t="s">
        <v>4677</v>
      </c>
      <c r="M1044" t="str">
        <f>VLOOKUP(H1044,CHOOSE({1,2},Table12[Native],Table12[Name]),2,0)</f>
        <v>Nínghăi Xiàn</v>
      </c>
      <c r="N1044" s="15" t="str">
        <f>VLOOKUP(I1044,CHOOSE({1,2},Table12[Native],Table12[Name]),2,0)</f>
        <v>Níngbō Shì</v>
      </c>
      <c r="O1044" s="15" t="str">
        <f t="shared" si="32"/>
        <v>Taoyuan Jiedao (Níngbō Shì)</v>
      </c>
      <c r="P1044" s="15" t="str">
        <f t="shared" si="33"/>
        <v>Taoyuan Jiedao (Níngbō Shì)</v>
      </c>
    </row>
    <row r="1045" spans="1:16" hidden="1" x14ac:dyDescent="0.25">
      <c r="A1045" t="s">
        <v>1992</v>
      </c>
      <c r="B1045" t="str">
        <f>IF(COUNTIF(A:A,A1045)&gt;1,_xlfn.CONCAT(A1045," (",N1045,")"),A1045)</f>
        <v>Táozhū Jiēdào</v>
      </c>
      <c r="C1045" t="str">
        <f>IF(COUNTIF(B:B,B1045)&gt;1,_xlfn.CONCAT(A1045," (",M1045,")"),B1045)</f>
        <v>Táozhū Jiēdào</v>
      </c>
      <c r="D1045" t="s">
        <v>1993</v>
      </c>
      <c r="E1045" t="s">
        <v>15</v>
      </c>
      <c r="F1045" t="str">
        <f>_xlfn.CONCAT(D1045,", ",H1045,", ",I1045,", ","浙江省")</f>
        <v>陶朱街道, 诸暨市, 绍兴市, 浙江省</v>
      </c>
      <c r="G1045">
        <v>80926</v>
      </c>
      <c r="H1045" t="s">
        <v>2987</v>
      </c>
      <c r="I1045" t="s">
        <v>2981</v>
      </c>
      <c r="J1045">
        <f>VLOOKUP(F1045,[1]!china_towns_second__2[[Column1]:[Y]],3,FALSE)</f>
        <v>29.757822975676099</v>
      </c>
      <c r="K1045">
        <f>VLOOKUP(F1045,[1]!china_towns_second__2[[Column1]:[Y]],2,FALSE)</f>
        <v>120.18843219999999</v>
      </c>
      <c r="L1045" t="s">
        <v>4678</v>
      </c>
      <c r="M1045" t="str">
        <f>VLOOKUP(H1045,CHOOSE({1,2},Table12[Native],Table12[Name]),2,0)</f>
        <v>Zhūjì Shì</v>
      </c>
      <c r="N1045" s="15" t="str">
        <f>VLOOKUP(I1045,CHOOSE({1,2},Table12[Native],Table12[Name]),2,0)</f>
        <v>Shàoxīng Shì</v>
      </c>
      <c r="O1045" s="15" t="str">
        <f t="shared" si="32"/>
        <v>Taozhu Jiedao (Shàoxīng Shì)</v>
      </c>
      <c r="P1045" s="15" t="str">
        <f t="shared" si="33"/>
        <v>Taozhu Jiedao (Shàoxīng Shì)</v>
      </c>
    </row>
    <row r="1046" spans="1:16" hidden="1" x14ac:dyDescent="0.25">
      <c r="A1046" t="s">
        <v>2219</v>
      </c>
      <c r="B1046" t="str">
        <f>IF(COUNTIF(A:A,A1046)&gt;1,_xlfn.CONCAT(A1046," (",N1046,")"),A1046)</f>
        <v>Táozhŭ Zhèn</v>
      </c>
      <c r="C1046" t="str">
        <f>IF(COUNTIF(B:B,B1046)&gt;1,_xlfn.CONCAT(A1046," (",M1046,")"),B1046)</f>
        <v>Táozhŭ Zhèn</v>
      </c>
      <c r="D1046" t="s">
        <v>2220</v>
      </c>
      <c r="E1046" t="s">
        <v>11</v>
      </c>
      <c r="F1046" t="str">
        <f>_xlfn.CONCAT(D1046,", ",H1046,", ",I1046,", ","浙江省")</f>
        <v>桃渚镇, 临海市, 台州市, 浙江省</v>
      </c>
      <c r="G1046">
        <v>73195</v>
      </c>
      <c r="H1046" t="s">
        <v>2992</v>
      </c>
      <c r="I1046" t="s">
        <v>2989</v>
      </c>
      <c r="J1046">
        <f>VLOOKUP(F1046,[1]!china_towns_second__2[[Column1]:[Y]],3,FALSE)</f>
        <v>28.822931059125899</v>
      </c>
      <c r="K1046">
        <f>VLOOKUP(F1046,[1]!china_towns_second__2[[Column1]:[Y]],2,FALSE)</f>
        <v>121.59840029999999</v>
      </c>
      <c r="L1046" t="s">
        <v>4679</v>
      </c>
      <c r="M1046" t="str">
        <f>VLOOKUP(H1046,CHOOSE({1,2},Table12[Native],Table12[Name]),2,0)</f>
        <v>Línhăi Shì</v>
      </c>
      <c r="N1046" s="15" t="str">
        <f>VLOOKUP(I1046,CHOOSE({1,2},Table12[Native],Table12[Name]),2,0)</f>
        <v>Táizhōu Shì</v>
      </c>
      <c r="O1046" s="15" t="str">
        <f t="shared" si="32"/>
        <v>Taozhu Zhen (Táizhōu Shì)</v>
      </c>
      <c r="P1046" s="15" t="str">
        <f t="shared" si="33"/>
        <v>Taozhu Zhen (Táizhōu Shì)</v>
      </c>
    </row>
    <row r="1047" spans="1:16" hidden="1" x14ac:dyDescent="0.25">
      <c r="A1047" t="s">
        <v>637</v>
      </c>
      <c r="B1047" t="str">
        <f>IF(COUNTIF(A:A,A1047)&gt;1,_xlfn.CONCAT(A1047," (",N1047,")"),A1047)</f>
        <v>Táozhuāng Zhèn</v>
      </c>
      <c r="C1047" t="str">
        <f>IF(COUNTIF(B:B,B1047)&gt;1,_xlfn.CONCAT(A1047," (",M1047,")"),B1047)</f>
        <v>Táozhuāng Zhèn</v>
      </c>
      <c r="D1047" t="s">
        <v>638</v>
      </c>
      <c r="E1047" t="s">
        <v>11</v>
      </c>
      <c r="F1047" t="str">
        <f>_xlfn.CONCAT(D1047,", ",H1047,", ",I1047,", ","浙江省")</f>
        <v>陶庄镇, 嘉善县, 嘉兴市, 浙江省</v>
      </c>
      <c r="G1047">
        <v>30595</v>
      </c>
      <c r="H1047" t="s">
        <v>2932</v>
      </c>
      <c r="I1047" t="s">
        <v>2929</v>
      </c>
      <c r="J1047">
        <f>VLOOKUP(F1047,[1]!china_towns_second__2[[Column1]:[Y]],3,FALSE)</f>
        <v>30.975745222936901</v>
      </c>
      <c r="K1047">
        <f>VLOOKUP(F1047,[1]!china_towns_second__2[[Column1]:[Y]],2,FALSE)</f>
        <v>120.796176</v>
      </c>
      <c r="L1047" t="s">
        <v>4680</v>
      </c>
      <c r="M1047" t="str">
        <f>VLOOKUP(H1047,CHOOSE({1,2},Table12[Native],Table12[Name]),2,0)</f>
        <v>Jiāshàn Xiàn</v>
      </c>
      <c r="N1047" s="15" t="str">
        <f>VLOOKUP(I1047,CHOOSE({1,2},Table12[Native],Table12[Name]),2,0)</f>
        <v>Jiāxīng Shì</v>
      </c>
      <c r="O1047" s="15" t="str">
        <f t="shared" si="32"/>
        <v>Taozhuang Zhen (Jiāxīng Shì)</v>
      </c>
      <c r="P1047" s="15" t="str">
        <f t="shared" si="33"/>
        <v>Taozhuang Zhen (Jiāxīng Shì)</v>
      </c>
    </row>
    <row r="1048" spans="1:16" hidden="1" x14ac:dyDescent="0.25">
      <c r="A1048" t="s">
        <v>1994</v>
      </c>
      <c r="B1048" t="str">
        <f>IF(COUNTIF(A:A,A1048)&gt;1,_xlfn.CONCAT(A1048," (",N1048,")"),A1048)</f>
        <v>Tăshān Jiēdào</v>
      </c>
      <c r="C1048" t="str">
        <f>IF(COUNTIF(B:B,B1048)&gt;1,_xlfn.CONCAT(A1048," (",M1048,")"),B1048)</f>
        <v>Tăshān Jiēdào</v>
      </c>
      <c r="D1048" t="s">
        <v>1995</v>
      </c>
      <c r="E1048" t="s">
        <v>15</v>
      </c>
      <c r="F1048" t="str">
        <f>_xlfn.CONCAT(D1048,", ",H1048,", ",I1048,", ","浙江省")</f>
        <v>塔山街道, 越城区, 绍兴市, 浙江省</v>
      </c>
      <c r="G1048">
        <v>52851</v>
      </c>
      <c r="H1048" t="s">
        <v>2986</v>
      </c>
      <c r="I1048" t="s">
        <v>2981</v>
      </c>
      <c r="J1048">
        <f>VLOOKUP(F1048,[1]!china_towns_second__2[[Column1]:[Y]],3,FALSE)</f>
        <v>29.992539664186801</v>
      </c>
      <c r="K1048">
        <f>VLOOKUP(F1048,[1]!china_towns_second__2[[Column1]:[Y]],2,FALSE)</f>
        <v>120.585245</v>
      </c>
      <c r="L1048" t="s">
        <v>4681</v>
      </c>
      <c r="M1048" t="str">
        <f>VLOOKUP(H1048,CHOOSE({1,2},Table12[Native],Table12[Name]),2,0)</f>
        <v>Yuèchéng Qū</v>
      </c>
      <c r="N1048" s="15" t="str">
        <f>VLOOKUP(I1048,CHOOSE({1,2},Table12[Native],Table12[Name]),2,0)</f>
        <v>Shàoxīng Shì</v>
      </c>
      <c r="O1048" s="15" t="str">
        <f t="shared" si="32"/>
        <v>Tashan Jiedao (Shàoxīng Shì)</v>
      </c>
      <c r="P1048" s="15" t="str">
        <f t="shared" si="33"/>
        <v>Tashan Jiedao (Shàoxīng Shì)</v>
      </c>
    </row>
    <row r="1049" spans="1:16" hidden="1" x14ac:dyDescent="0.25">
      <c r="A1049" t="s">
        <v>921</v>
      </c>
      <c r="B1049" t="str">
        <f>IF(COUNTIF(A:A,A1049)&gt;1,_xlfn.CONCAT(A1049," (",N1049,")"),A1049)</f>
        <v>Tăshí Xiāng</v>
      </c>
      <c r="C1049" t="str">
        <f>IF(COUNTIF(B:B,B1049)&gt;1,_xlfn.CONCAT(A1049," (",M1049,")"),B1049)</f>
        <v>Tăshí Xiāng</v>
      </c>
      <c r="D1049" t="s">
        <v>922</v>
      </c>
      <c r="E1049" t="s">
        <v>7</v>
      </c>
      <c r="F1049" t="str">
        <f>_xlfn.CONCAT(D1049,", ",H1049,", ",I1049,", ","浙江省")</f>
        <v>塔石乡, 婺城区, 金华市, 浙江省</v>
      </c>
      <c r="G1049">
        <v>5759</v>
      </c>
      <c r="H1049" t="s">
        <v>2944</v>
      </c>
      <c r="I1049" t="s">
        <v>2938</v>
      </c>
      <c r="J1049" t="e">
        <f>VLOOKUP(F1049,[1]!china_towns_second__2[[Column1]:[Y]],3,FALSE)</f>
        <v>#N/A</v>
      </c>
      <c r="K1049" t="e">
        <f>VLOOKUP(F1049,[1]!china_towns_second__2[[Column1]:[Y]],2,FALSE)</f>
        <v>#N/A</v>
      </c>
      <c r="L1049" t="s">
        <v>4682</v>
      </c>
      <c r="M1049" t="str">
        <f>VLOOKUP(H1049,CHOOSE({1,2},Table12[Native],Table12[Name]),2,0)</f>
        <v>Wùchéng Qū</v>
      </c>
      <c r="N1049" s="15" t="str">
        <f>VLOOKUP(I1049,CHOOSE({1,2},Table12[Native],Table12[Name]),2,0)</f>
        <v>Jīnhuá Shì</v>
      </c>
      <c r="O1049" s="15" t="str">
        <f t="shared" si="32"/>
        <v>Tashi Xiang (Jīnhuá Shì)</v>
      </c>
      <c r="P1049" s="15" t="str">
        <f t="shared" si="33"/>
        <v>Tashi Xiang (Jīnhuá Shì)</v>
      </c>
    </row>
    <row r="1050" spans="1:16" hidden="1" x14ac:dyDescent="0.25">
      <c r="A1050" t="s">
        <v>1786</v>
      </c>
      <c r="B1050" t="str">
        <f>IF(COUNTIF(A:A,A1050)&gt;1,_xlfn.CONCAT(A1050," (",N1050,")"),A1050)</f>
        <v>Tăshí Zhèn</v>
      </c>
      <c r="C1050" t="str">
        <f>IF(COUNTIF(B:B,B1050)&gt;1,_xlfn.CONCAT(A1050," (",M1050,")"),B1050)</f>
        <v>Tăshí Zhèn</v>
      </c>
      <c r="D1050" t="s">
        <v>1787</v>
      </c>
      <c r="E1050" t="s">
        <v>11</v>
      </c>
      <c r="F1050" t="str">
        <f>_xlfn.CONCAT(D1050,", ",H1050,", ",I1050,", ","浙江省")</f>
        <v>塔石镇, 龙游县, 衢州市, 浙江省</v>
      </c>
      <c r="G1050">
        <v>32921</v>
      </c>
      <c r="H1050" t="s">
        <v>2978</v>
      </c>
      <c r="I1050" t="s">
        <v>2973</v>
      </c>
      <c r="J1050">
        <f>VLOOKUP(F1050,[1]!china_towns_second__2[[Column1]:[Y]],3,FALSE)</f>
        <v>29.131482531897699</v>
      </c>
      <c r="K1050">
        <f>VLOOKUP(F1050,[1]!china_towns_second__2[[Column1]:[Y]],2,FALSE)</f>
        <v>119.125595</v>
      </c>
      <c r="L1050" t="s">
        <v>4683</v>
      </c>
      <c r="M1050" t="str">
        <f>VLOOKUP(H1050,CHOOSE({1,2},Table12[Native],Table12[Name]),2,0)</f>
        <v>Lóngyóu Xiàn</v>
      </c>
      <c r="N1050" s="15" t="str">
        <f>VLOOKUP(I1050,CHOOSE({1,2},Table12[Native],Table12[Name]),2,0)</f>
        <v>Qúzhōu Shì</v>
      </c>
      <c r="O1050" s="15" t="str">
        <f t="shared" si="32"/>
        <v>Tashi Zhen (Qúzhōu Shì)</v>
      </c>
      <c r="P1050" s="15" t="str">
        <f t="shared" si="33"/>
        <v>Tashi Zhen (Qúzhōu Shì)</v>
      </c>
    </row>
    <row r="1051" spans="1:16" hidden="1" x14ac:dyDescent="0.25">
      <c r="A1051" t="s">
        <v>2654</v>
      </c>
      <c r="B1051" t="str">
        <f>IF(COUNTIF(A:A,A1051)&gt;1,_xlfn.CONCAT(A1051," (",N1051,")"),A1051)</f>
        <v>Téngjiāo Zhèn</v>
      </c>
      <c r="C1051" t="str">
        <f>IF(COUNTIF(B:B,B1051)&gt;1,_xlfn.CONCAT(A1051," (",M1051,")"),B1051)</f>
        <v>Téngjiāo Zhèn</v>
      </c>
      <c r="D1051" t="s">
        <v>2655</v>
      </c>
      <c r="E1051" t="s">
        <v>11</v>
      </c>
      <c r="F1051" t="str">
        <f>_xlfn.CONCAT(D1051,", ",H1051,", ",I1051,", ","浙江省")</f>
        <v>腾蛟镇, 平阳县, 温州市, 浙江省</v>
      </c>
      <c r="G1051">
        <v>36721</v>
      </c>
      <c r="H1051" t="s">
        <v>3006</v>
      </c>
      <c r="I1051" t="s">
        <v>3000</v>
      </c>
      <c r="J1051">
        <f>VLOOKUP(F1051,[1]!china_towns_second__2[[Column1]:[Y]],3,FALSE)</f>
        <v>27.704344703759599</v>
      </c>
      <c r="K1051">
        <f>VLOOKUP(F1051,[1]!china_towns_second__2[[Column1]:[Y]],2,FALSE)</f>
        <v>120.31689830000001</v>
      </c>
      <c r="L1051" t="s">
        <v>4684</v>
      </c>
      <c r="M1051" t="str">
        <f>VLOOKUP(H1051,CHOOSE({1,2},Table12[Native],Table12[Name]),2,0)</f>
        <v>Píngyáng Xiàn</v>
      </c>
      <c r="N1051" s="15" t="str">
        <f>VLOOKUP(I1051,CHOOSE({1,2},Table12[Native],Table12[Name]),2,0)</f>
        <v>Wēnzhōu Shì</v>
      </c>
      <c r="O1051" s="15" t="str">
        <f t="shared" si="32"/>
        <v>Tengjiao Zhen (Wēnzhōu Shì)</v>
      </c>
      <c r="P1051" s="15" t="str">
        <f t="shared" si="33"/>
        <v>Tengjiao Zhen (Wēnzhōu Shì)</v>
      </c>
    </row>
    <row r="1052" spans="1:16" hidden="1" x14ac:dyDescent="0.25">
      <c r="A1052" t="s">
        <v>2656</v>
      </c>
      <c r="B1052" t="str">
        <f>IF(COUNTIF(A:A,A1052)&gt;1,_xlfn.CONCAT(A1052," (",N1052,")"),A1052)</f>
        <v>Téngqiáo Zhèn [incl. Línjiāng Zhèn, Shàngshù Xiāng, Àodǐ Xiāng, Shuāngcháo Xiāng]</v>
      </c>
      <c r="C1052" t="str">
        <f>IF(COUNTIF(B:B,B1052)&gt;1,_xlfn.CONCAT(A1052," (",M1052,")"),B1052)</f>
        <v>Téngqiáo Zhèn [incl. Línjiāng Zhèn, Shàngshù Xiāng, Àodǐ Xiāng, Shuāngcháo Xiāng]</v>
      </c>
      <c r="D1052" t="s">
        <v>2657</v>
      </c>
      <c r="E1052" t="s">
        <v>11</v>
      </c>
      <c r="F1052" t="str">
        <f>_xlfn.CONCAT(D1052,", ",H1052,", ",I1052,", ","浙江省")</f>
        <v>藤桥镇, 鹿城区, 温州市, 浙江省</v>
      </c>
      <c r="G1052">
        <v>82312</v>
      </c>
      <c r="H1052" t="s">
        <v>3004</v>
      </c>
      <c r="I1052" t="s">
        <v>3000</v>
      </c>
      <c r="J1052">
        <f>VLOOKUP(F1052,[1]!china_towns_second__2[[Column1]:[Y]],3,FALSE)</f>
        <v>28.100975993852899</v>
      </c>
      <c r="K1052">
        <f>VLOOKUP(F1052,[1]!china_towns_second__2[[Column1]:[Y]],2,FALSE)</f>
        <v>120.47828029999999</v>
      </c>
      <c r="L1052" t="s">
        <v>4685</v>
      </c>
      <c r="M1052" t="str">
        <f>VLOOKUP(H1052,CHOOSE({1,2},Table12[Native],Table12[Name]),2,0)</f>
        <v>Lùchéng Qū</v>
      </c>
      <c r="N1052" s="15" t="str">
        <f>VLOOKUP(I1052,CHOOSE({1,2},Table12[Native],Table12[Name]),2,0)</f>
        <v>Wēnzhōu Shì</v>
      </c>
      <c r="O1052" s="15" t="str">
        <f t="shared" si="32"/>
        <v>Tengqiao Zhen [incl. Linjiang Zhen, Shangshu Xiang, Aodi Xiang, Shuangchao Xiang] (Wēnzhōu Shì)</v>
      </c>
      <c r="P1052" s="15" t="str">
        <f t="shared" si="33"/>
        <v>Tengqiao Zhen [incl. Linjiang Zhen, Shangshu Xiang, Aodi Xiang, Shuangchao Xiang] (Wēnzhōu Shì)</v>
      </c>
    </row>
    <row r="1053" spans="1:16" hidden="1" x14ac:dyDescent="0.25">
      <c r="A1053" t="s">
        <v>2658</v>
      </c>
      <c r="B1053" t="str">
        <f>IF(COUNTIF(A:A,A1053)&gt;1,_xlfn.CONCAT(A1053," (",N1053,")"),A1053)</f>
        <v>Téngyáng Xiāng</v>
      </c>
      <c r="C1053" t="str">
        <f>IF(COUNTIF(B:B,B1053)&gt;1,_xlfn.CONCAT(A1053," (",M1053,")"),B1053)</f>
        <v>Téngyáng Xiāng</v>
      </c>
      <c r="D1053" t="s">
        <v>2659</v>
      </c>
      <c r="E1053" t="s">
        <v>7</v>
      </c>
      <c r="F1053" t="str">
        <f>_xlfn.CONCAT(D1053,", ",H1053,", ",I1053,", ","浙江省")</f>
        <v>腾垟乡, 苍南县, 温州市, 浙江省</v>
      </c>
      <c r="G1053">
        <v>3808</v>
      </c>
      <c r="H1053" t="s">
        <v>3001</v>
      </c>
      <c r="I1053" t="s">
        <v>3000</v>
      </c>
      <c r="J1053" t="e">
        <f>VLOOKUP(F1053,[1]!china_towns_second__2[[Column1]:[Y]],3,FALSE)</f>
        <v>#N/A</v>
      </c>
      <c r="K1053" t="e">
        <f>VLOOKUP(F1053,[1]!china_towns_second__2[[Column1]:[Y]],2,FALSE)</f>
        <v>#N/A</v>
      </c>
      <c r="L1053" t="s">
        <v>4686</v>
      </c>
      <c r="M1053" t="str">
        <f>VLOOKUP(H1053,CHOOSE({1,2},Table12[Native],Table12[Name]),2,0)</f>
        <v>Cāngnán Xiàn</v>
      </c>
      <c r="N1053" s="15" t="str">
        <f>VLOOKUP(I1053,CHOOSE({1,2},Table12[Native],Table12[Name]),2,0)</f>
        <v>Wēnzhōu Shì</v>
      </c>
      <c r="O1053" s="15" t="str">
        <f t="shared" si="32"/>
        <v>Tengyang Xiang (Wēnzhōu Shì)</v>
      </c>
      <c r="P1053" s="15" t="str">
        <f t="shared" si="33"/>
        <v>Tengyang Xiang (Wēnzhōu Shì)</v>
      </c>
    </row>
    <row r="1054" spans="1:16" hidden="1" x14ac:dyDescent="0.25">
      <c r="A1054" t="s">
        <v>2660</v>
      </c>
      <c r="B1054" t="str">
        <f>IF(COUNTIF(A:A,A1054)&gt;1,_xlfn.CONCAT(A1054," (",N1054,")"),A1054)</f>
        <v>Tiānchéng Jiēdào</v>
      </c>
      <c r="C1054" t="str">
        <f>IF(COUNTIF(B:B,B1054)&gt;1,_xlfn.CONCAT(A1054," (",M1054,")"),B1054)</f>
        <v>Tiānchéng Jiēdào</v>
      </c>
      <c r="D1054" t="s">
        <v>2661</v>
      </c>
      <c r="E1054" t="s">
        <v>15</v>
      </c>
      <c r="F1054" t="str">
        <f>_xlfn.CONCAT(D1054,", ",H1054,", ",I1054,", ","浙江省")</f>
        <v>天成街道, 乐清市, 温州市, 浙江省</v>
      </c>
      <c r="G1054">
        <v>19647</v>
      </c>
      <c r="H1054" t="s">
        <v>3011</v>
      </c>
      <c r="I1054" t="s">
        <v>3000</v>
      </c>
      <c r="J1054">
        <f>VLOOKUP(F1054,[1]!china_towns_second__2[[Column1]:[Y]],3,FALSE)</f>
        <v>28.1702414353236</v>
      </c>
      <c r="K1054">
        <f>VLOOKUP(F1054,[1]!china_towns_second__2[[Column1]:[Y]],2,FALSE)</f>
        <v>121.02942849999999</v>
      </c>
      <c r="L1054" t="s">
        <v>4687</v>
      </c>
      <c r="M1054" t="str">
        <f>VLOOKUP(H1054,CHOOSE({1,2},Table12[Native],Table12[Name]),2,0)</f>
        <v>Yuèqīng Shì</v>
      </c>
      <c r="N1054" s="15" t="str">
        <f>VLOOKUP(I1054,CHOOSE({1,2},Table12[Native],Table12[Name]),2,0)</f>
        <v>Wēnzhōu Shì</v>
      </c>
      <c r="O1054" s="15" t="str">
        <f t="shared" si="32"/>
        <v>Tiancheng Jiedao (Wēnzhōu Shì)</v>
      </c>
      <c r="P1054" s="15" t="str">
        <f t="shared" si="33"/>
        <v>Tiancheng Jiedao (Wēnzhōu Shì)</v>
      </c>
    </row>
    <row r="1055" spans="1:16" hidden="1" x14ac:dyDescent="0.25">
      <c r="A1055" t="s">
        <v>2662</v>
      </c>
      <c r="B1055" t="str">
        <f>IF(COUNTIF(A:A,A1055)&gt;1,_xlfn.CONCAT(A1055," (",N1055,")"),A1055)</f>
        <v>Tiānhé Jiēdào [incl. Xīnghǎi Jiēdào (parts)]</v>
      </c>
      <c r="C1055" t="str">
        <f>IF(COUNTIF(B:B,B1055)&gt;1,_xlfn.CONCAT(A1055," (",M1055,")"),B1055)</f>
        <v>Tiānhé Jiēdào [incl. Xīnghǎi Jiēdào (parts)]</v>
      </c>
      <c r="D1055" t="s">
        <v>2663</v>
      </c>
      <c r="E1055" t="s">
        <v>15</v>
      </c>
      <c r="F1055" t="str">
        <f>_xlfn.CONCAT(D1055,", ",H1055,", ",I1055,", ","浙江省")</f>
        <v>天河街道, 龙湾区, 温州市, 浙江省</v>
      </c>
      <c r="G1055">
        <v>51790</v>
      </c>
      <c r="H1055" t="s">
        <v>3003</v>
      </c>
      <c r="I1055" t="s">
        <v>3000</v>
      </c>
      <c r="J1055">
        <f>VLOOKUP(F1055,[1]!china_towns_second__2[[Column1]:[Y]],3,FALSE)</f>
        <v>27.8522780275507</v>
      </c>
      <c r="K1055">
        <f>VLOOKUP(F1055,[1]!china_towns_second__2[[Column1]:[Y]],2,FALSE)</f>
        <v>120.78207260000001</v>
      </c>
      <c r="L1055" t="s">
        <v>4688</v>
      </c>
      <c r="M1055" t="str">
        <f>VLOOKUP(H1055,CHOOSE({1,2},Table12[Native],Table12[Name]),2,0)</f>
        <v>Lóngwān Qū</v>
      </c>
      <c r="N1055" s="15" t="str">
        <f>VLOOKUP(I1055,CHOOSE({1,2},Table12[Native],Table12[Name]),2,0)</f>
        <v>Wēnzhōu Shì</v>
      </c>
      <c r="O1055" s="15" t="str">
        <f t="shared" si="32"/>
        <v>Tianhe Jiedao [incl. Xinghai Jiedao (parts)] (Wēnzhōu Shì)</v>
      </c>
      <c r="P1055" s="15" t="str">
        <f t="shared" si="33"/>
        <v>Tianhe Jiedao [incl. Xinghai Jiedao (parts)] (Wēnzhōu Shì)</v>
      </c>
    </row>
    <row r="1056" spans="1:16" hidden="1" x14ac:dyDescent="0.25">
      <c r="A1056" t="s">
        <v>515</v>
      </c>
      <c r="B1056" t="str">
        <f>IF(COUNTIF(A:A,A1056)&gt;1,_xlfn.CONCAT(A1056," (",N1056,")"),A1056)</f>
        <v>Tiānhuāngpíng Zhèn</v>
      </c>
      <c r="C1056" t="str">
        <f>IF(COUNTIF(B:B,B1056)&gt;1,_xlfn.CONCAT(A1056," (",M1056,")"),B1056)</f>
        <v>Tiānhuāngpíng Zhèn</v>
      </c>
      <c r="D1056" t="s">
        <v>516</v>
      </c>
      <c r="E1056" t="s">
        <v>11</v>
      </c>
      <c r="F1056" t="str">
        <f>_xlfn.CONCAT(D1056,", ",H1056,", ",I1056,", ","浙江省")</f>
        <v>天荒坪镇, 安吉县, 湖州市, 浙江省</v>
      </c>
      <c r="G1056">
        <v>21470</v>
      </c>
      <c r="H1056" t="s">
        <v>2923</v>
      </c>
      <c r="I1056" t="s">
        <v>2922</v>
      </c>
      <c r="J1056">
        <f>VLOOKUP(F1056,[1]!china_towns_second__2[[Column1]:[Y]],3,FALSE)</f>
        <v>30.501286658208802</v>
      </c>
      <c r="K1056">
        <f>VLOOKUP(F1056,[1]!china_towns_second__2[[Column1]:[Y]],2,FALSE)</f>
        <v>119.62969699999999</v>
      </c>
      <c r="L1056" t="s">
        <v>4689</v>
      </c>
      <c r="M1056" t="str">
        <f>VLOOKUP(H1056,CHOOSE({1,2},Table12[Native],Table12[Name]),2,0)</f>
        <v>Ānjí Xiàn</v>
      </c>
      <c r="N1056" s="15" t="str">
        <f>VLOOKUP(I1056,CHOOSE({1,2},Table12[Native],Table12[Name]),2,0)</f>
        <v>Húzhōu Shì</v>
      </c>
      <c r="O1056" s="15" t="str">
        <f t="shared" si="32"/>
        <v>Tianhuangping Zhen (Húzhōu Shì)</v>
      </c>
      <c r="P1056" s="15" t="str">
        <f t="shared" si="33"/>
        <v>Tianhuangping Zhen (Húzhōu Shì)</v>
      </c>
    </row>
    <row r="1057" spans="1:16" hidden="1" x14ac:dyDescent="0.25">
      <c r="A1057" t="s">
        <v>1788</v>
      </c>
      <c r="B1057" t="str">
        <f>IF(COUNTIF(A:A,A1057)&gt;1,_xlfn.CONCAT(A1057," (",N1057,")"),A1057)</f>
        <v>Tiānmă Jiēdào [incl. Jīnchuān Jiēdào, Zǐgǎng Jiēdào]</v>
      </c>
      <c r="C1057" t="str">
        <f>IF(COUNTIF(B:B,B1057)&gt;1,_xlfn.CONCAT(A1057," (",M1057,")"),B1057)</f>
        <v>Tiānmă Jiēdào [incl. Jīnchuān Jiēdào, Zǐgǎng Jiēdào]</v>
      </c>
      <c r="D1057" t="s">
        <v>1789</v>
      </c>
      <c r="E1057" t="s">
        <v>15</v>
      </c>
      <c r="F1057" t="str">
        <f>_xlfn.CONCAT(D1057,", ",H1057,", ",I1057,", ","浙江省")</f>
        <v>天马街道, 常山县, 衢州市, 浙江省</v>
      </c>
      <c r="G1057">
        <v>84775</v>
      </c>
      <c r="H1057" t="s">
        <v>2974</v>
      </c>
      <c r="I1057" t="s">
        <v>2973</v>
      </c>
      <c r="J1057">
        <f>VLOOKUP(F1057,[1]!china_towns_second__2[[Column1]:[Y]],3,FALSE)</f>
        <v>28.850711374542598</v>
      </c>
      <c r="K1057">
        <f>VLOOKUP(F1057,[1]!china_towns_second__2[[Column1]:[Y]],2,FALSE)</f>
        <v>118.5021429</v>
      </c>
      <c r="L1057" t="s">
        <v>4690</v>
      </c>
      <c r="M1057" t="str">
        <f>VLOOKUP(H1057,CHOOSE({1,2},Table12[Native],Table12[Name]),2,0)</f>
        <v>Chángshān Xiàn</v>
      </c>
      <c r="N1057" s="15" t="str">
        <f>VLOOKUP(I1057,CHOOSE({1,2},Table12[Native],Table12[Name]),2,0)</f>
        <v>Qúzhōu Shì</v>
      </c>
      <c r="O1057" s="15" t="str">
        <f t="shared" si="32"/>
        <v>Tianma Jiedao [incl. Jinchuan Jiedao, Zigang Jiedao] (Qúzhōu Shì)</v>
      </c>
      <c r="P1057" s="15" t="str">
        <f t="shared" si="33"/>
        <v>Tianma Jiedao [incl. Jinchuan Jiedao, Zigang Jiedao] (Qúzhōu Shì)</v>
      </c>
    </row>
    <row r="1058" spans="1:16" hidden="1" x14ac:dyDescent="0.25">
      <c r="A1058" t="s">
        <v>300</v>
      </c>
      <c r="B1058" t="str">
        <f>IF(COUNTIF(A:A,A1058)&gt;1,_xlfn.CONCAT(A1058," (",N1058,")"),A1058)</f>
        <v>Tiānmùshān Zhèn [incl. Zăoxī Zhèn]</v>
      </c>
      <c r="C1058" t="str">
        <f>IF(COUNTIF(B:B,B1058)&gt;1,_xlfn.CONCAT(A1058," (",M1058,")"),B1058)</f>
        <v>Tiānmùshān Zhèn [incl. Zăoxī Zhèn]</v>
      </c>
      <c r="D1058" t="s">
        <v>301</v>
      </c>
      <c r="E1058" t="s">
        <v>11</v>
      </c>
      <c r="F1058" t="str">
        <f>_xlfn.CONCAT(D1058,", ",H1058,", ",I1058,", ","浙江省")</f>
        <v>天目山镇, 临安区, 杭州市, 浙江省</v>
      </c>
      <c r="G1058">
        <v>15766</v>
      </c>
      <c r="H1058" t="s">
        <v>2911</v>
      </c>
      <c r="I1058" t="s">
        <v>2903</v>
      </c>
      <c r="J1058">
        <f>VLOOKUP(F1058,[1]!china_towns_second__2[[Column1]:[Y]],3,FALSE)</f>
        <v>30.2740030722257</v>
      </c>
      <c r="K1058">
        <f>VLOOKUP(F1058,[1]!china_towns_second__2[[Column1]:[Y]],2,FALSE)</f>
        <v>119.4710321</v>
      </c>
      <c r="L1058" t="s">
        <v>4691</v>
      </c>
      <c r="M1058" t="str">
        <f>VLOOKUP(H1058,CHOOSE({1,2},Table12[Native],Table12[Name]),2,0)</f>
        <v>Lín'ān Qū</v>
      </c>
      <c r="N1058" s="15" t="str">
        <f>VLOOKUP(I1058,CHOOSE({1,2},Table12[Native],Table12[Name]),2,0)</f>
        <v>Hángzhōu Shì</v>
      </c>
      <c r="O1058" s="15" t="str">
        <f t="shared" si="32"/>
        <v>Tianmushan Zhen [incl. Zaoxi Zhen] (Hángzhōu Shì)</v>
      </c>
      <c r="P1058" s="15" t="str">
        <f t="shared" si="33"/>
        <v>Tianmushan Zhen [incl. Zaoxi Zhen] (Hángzhōu Shì)</v>
      </c>
    </row>
    <row r="1059" spans="1:16" hidden="1" x14ac:dyDescent="0.25">
      <c r="A1059" t="s">
        <v>639</v>
      </c>
      <c r="B1059" t="str">
        <f>IF(COUNTIF(A:A,A1059)&gt;1,_xlfn.CONCAT(A1059," (",N1059,")"),A1059)</f>
        <v>Tiānníng Zhèn</v>
      </c>
      <c r="C1059" t="str">
        <f>IF(COUNTIF(B:B,B1059)&gt;1,_xlfn.CONCAT(A1059," (",M1059,")"),B1059)</f>
        <v>Tiānníng Zhèn</v>
      </c>
      <c r="D1059" t="s">
        <v>640</v>
      </c>
      <c r="E1059" t="s">
        <v>11</v>
      </c>
      <c r="F1059" t="str">
        <f>_xlfn.CONCAT(D1059,", ",H1059,", ",I1059,", ","浙江省")</f>
        <v>天凝镇, 嘉善县, 嘉兴市, 浙江省</v>
      </c>
      <c r="G1059">
        <v>58430</v>
      </c>
      <c r="H1059" t="s">
        <v>2932</v>
      </c>
      <c r="I1059" t="s">
        <v>2929</v>
      </c>
      <c r="J1059">
        <f>VLOOKUP(F1059,[1]!china_towns_second__2[[Column1]:[Y]],3,FALSE)</f>
        <v>30.891354049500698</v>
      </c>
      <c r="K1059">
        <f>VLOOKUP(F1059,[1]!china_towns_second__2[[Column1]:[Y]],2,FALSE)</f>
        <v>120.817511</v>
      </c>
      <c r="L1059" t="s">
        <v>4692</v>
      </c>
      <c r="M1059" t="str">
        <f>VLOOKUP(H1059,CHOOSE({1,2},Table12[Native],Table12[Name]),2,0)</f>
        <v>Jiāshàn Xiàn</v>
      </c>
      <c r="N1059" s="15" t="str">
        <f>VLOOKUP(I1059,CHOOSE({1,2},Table12[Native],Table12[Name]),2,0)</f>
        <v>Jiāxīng Shì</v>
      </c>
      <c r="O1059" s="15" t="str">
        <f t="shared" si="32"/>
        <v>Tianning Zhen (Jiāxīng Shì)</v>
      </c>
      <c r="P1059" s="15" t="str">
        <f t="shared" si="33"/>
        <v>Tianning Zhen (Jiāxīng Shì)</v>
      </c>
    </row>
    <row r="1060" spans="1:16" hidden="1" x14ac:dyDescent="0.25">
      <c r="A1060" t="s">
        <v>2221</v>
      </c>
      <c r="B1060" t="str">
        <f>IF(COUNTIF(A:A,A1060)&gt;1,_xlfn.CONCAT(A1060," (",N1060,")"),A1060)</f>
        <v>Tiánshì Zhèn</v>
      </c>
      <c r="C1060" t="str">
        <f>IF(COUNTIF(B:B,B1060)&gt;1,_xlfn.CONCAT(A1060," (",M1060,")"),B1060)</f>
        <v>Tiánshì Zhèn</v>
      </c>
      <c r="D1060" t="s">
        <v>2222</v>
      </c>
      <c r="E1060" t="s">
        <v>11</v>
      </c>
      <c r="F1060" t="str">
        <f>_xlfn.CONCAT(D1060,", ",H1060,", ",I1060,", ","浙江省")</f>
        <v>田市镇, 仙居县, 台州市, 浙江省</v>
      </c>
      <c r="G1060">
        <v>13391</v>
      </c>
      <c r="H1060" t="s">
        <v>2997</v>
      </c>
      <c r="I1060" t="s">
        <v>2989</v>
      </c>
      <c r="J1060">
        <f>VLOOKUP(F1060,[1]!china_towns_second__2[[Column1]:[Y]],3,FALSE)</f>
        <v>28.714331251127899</v>
      </c>
      <c r="K1060">
        <f>VLOOKUP(F1060,[1]!china_towns_second__2[[Column1]:[Y]],2,FALSE)</f>
        <v>120.661182</v>
      </c>
      <c r="L1060" t="s">
        <v>4693</v>
      </c>
      <c r="M1060" t="str">
        <f>VLOOKUP(H1060,CHOOSE({1,2},Table12[Native],Table12[Name]),2,0)</f>
        <v>Xiānjū Xiàn</v>
      </c>
      <c r="N1060" s="15" t="str">
        <f>VLOOKUP(I1060,CHOOSE({1,2},Table12[Native],Table12[Name]),2,0)</f>
        <v>Táizhōu Shì</v>
      </c>
      <c r="O1060" s="15" t="str">
        <f t="shared" si="32"/>
        <v>Tianshi Zhen (Táizhōu Shì)</v>
      </c>
      <c r="P1060" s="15" t="str">
        <f t="shared" si="33"/>
        <v>Tianshi Zhen (Táizhōu Shì)</v>
      </c>
    </row>
    <row r="1061" spans="1:16" hidden="1" x14ac:dyDescent="0.25">
      <c r="A1061" t="s">
        <v>302</v>
      </c>
      <c r="B1061" t="str">
        <f>IF(COUNTIF(A:A,A1061)&gt;1,_xlfn.CONCAT(A1061," (",N1061,")"),A1061)</f>
        <v>Tiānshuĭ Jiēdào</v>
      </c>
      <c r="C1061" t="str">
        <f>IF(COUNTIF(B:B,B1061)&gt;1,_xlfn.CONCAT(A1061," (",M1061,")"),B1061)</f>
        <v>Tiānshuĭ Jiēdào</v>
      </c>
      <c r="D1061" t="s">
        <v>303</v>
      </c>
      <c r="E1061" t="s">
        <v>15</v>
      </c>
      <c r="F1061" t="str">
        <f>_xlfn.CONCAT(D1061,", ",H1061,", ",I1061,", ","浙江省")</f>
        <v>天水街道, 拱墅区, 杭州市, 浙江省</v>
      </c>
      <c r="G1061">
        <v>33906</v>
      </c>
      <c r="H1061" t="s">
        <v>2909</v>
      </c>
      <c r="I1061" t="s">
        <v>2903</v>
      </c>
      <c r="J1061" t="e">
        <f>VLOOKUP(F1061,[1]!china_towns_second__2[[Column1]:[Y]],3,FALSE)</f>
        <v>#N/A</v>
      </c>
      <c r="K1061" t="e">
        <f>VLOOKUP(F1061,[1]!china_towns_second__2[[Column1]:[Y]],2,FALSE)</f>
        <v>#N/A</v>
      </c>
      <c r="L1061" t="s">
        <v>4694</v>
      </c>
      <c r="M1061" t="str">
        <f>VLOOKUP(H1061,CHOOSE({1,2},Table12[Native],Table12[Name]),2,0)</f>
        <v>Gŏngshù Qū</v>
      </c>
      <c r="N1061" s="15" t="str">
        <f>VLOOKUP(I1061,CHOOSE({1,2},Table12[Native],Table12[Name]),2,0)</f>
        <v>Hángzhōu Shì</v>
      </c>
      <c r="O1061" s="15" t="str">
        <f t="shared" si="32"/>
        <v>Tianshui Jiedao (Hángzhōu Shì)</v>
      </c>
      <c r="P1061" s="15" t="str">
        <f t="shared" si="33"/>
        <v>Tianshui Jiedao (Hángzhōu Shì)</v>
      </c>
    </row>
    <row r="1062" spans="1:16" hidden="1" x14ac:dyDescent="0.25">
      <c r="A1062" t="s">
        <v>517</v>
      </c>
      <c r="B1062" t="str">
        <f>IF(COUNTIF(A:A,A1062)&gt;1,_xlfn.CONCAT(A1062," (",N1062,")"),A1062)</f>
        <v>Tiānzǐhú Zhèn [incl. Liángpéng Zhèn, Gāoyŭ Zhèn]</v>
      </c>
      <c r="C1062" t="str">
        <f>IF(COUNTIF(B:B,B1062)&gt;1,_xlfn.CONCAT(A1062," (",M1062,")"),B1062)</f>
        <v>Tiānzǐhú Zhèn [incl. Liángpéng Zhèn, Gāoyŭ Zhèn]</v>
      </c>
      <c r="D1062" t="s">
        <v>518</v>
      </c>
      <c r="E1062" t="s">
        <v>11</v>
      </c>
      <c r="F1062" t="str">
        <f>_xlfn.CONCAT(D1062,", ",H1062,", ",I1062,", ","浙江省")</f>
        <v>天子湖镇, 安吉县, 湖州市, 浙江省</v>
      </c>
      <c r="G1062">
        <v>45660</v>
      </c>
      <c r="H1062" t="s">
        <v>2923</v>
      </c>
      <c r="I1062" t="s">
        <v>2922</v>
      </c>
      <c r="J1062">
        <f>VLOOKUP(F1062,[1]!china_towns_second__2[[Column1]:[Y]],3,FALSE)</f>
        <v>30.788070505400601</v>
      </c>
      <c r="K1062">
        <f>VLOOKUP(F1062,[1]!china_towns_second__2[[Column1]:[Y]],2,FALSE)</f>
        <v>119.6075276</v>
      </c>
      <c r="L1062" t="s">
        <v>4695</v>
      </c>
      <c r="M1062" t="str">
        <f>VLOOKUP(H1062,CHOOSE({1,2},Table12[Native],Table12[Name]),2,0)</f>
        <v>Ānjí Xiàn</v>
      </c>
      <c r="N1062" s="15" t="str">
        <f>VLOOKUP(I1062,CHOOSE({1,2},Table12[Native],Table12[Name]),2,0)</f>
        <v>Húzhōu Shì</v>
      </c>
      <c r="O1062" s="15" t="str">
        <f t="shared" si="32"/>
        <v>Tianzihu Zhen [incl. Liangpeng Zhen, Gaoyu Zhen] (Húzhōu Shì)</v>
      </c>
      <c r="P1062" s="15" t="str">
        <f t="shared" si="33"/>
        <v>Tianzihu Zhen [incl. Liangpeng Zhen, Gaoyu Zhen] (Húzhōu Shì)</v>
      </c>
    </row>
    <row r="1063" spans="1:16" hidden="1" x14ac:dyDescent="0.25">
      <c r="A1063" t="s">
        <v>2223</v>
      </c>
      <c r="B1063" t="str">
        <f>IF(COUNTIF(A:A,A1063)&gt;1,_xlfn.CONCAT(A1063," (",N1063,")"),A1063)</f>
        <v>Tíngpáng Zhèn</v>
      </c>
      <c r="C1063" t="str">
        <f>IF(COUNTIF(B:B,B1063)&gt;1,_xlfn.CONCAT(A1063," (",M1063,")"),B1063)</f>
        <v>Tíngpáng Zhèn</v>
      </c>
      <c r="D1063" t="s">
        <v>2224</v>
      </c>
      <c r="E1063" t="s">
        <v>11</v>
      </c>
      <c r="F1063" t="str">
        <f>_xlfn.CONCAT(D1063,", ",H1063,", ",I1063,", ","浙江省")</f>
        <v>亭旁镇, 三门县, 台州市, 浙江省</v>
      </c>
      <c r="G1063">
        <v>33137</v>
      </c>
      <c r="H1063" t="s">
        <v>2994</v>
      </c>
      <c r="I1063" t="s">
        <v>2989</v>
      </c>
      <c r="J1063">
        <f>VLOOKUP(F1063,[1]!china_towns_second__2[[Column1]:[Y]],3,FALSE)</f>
        <v>29.014128182601102</v>
      </c>
      <c r="K1063">
        <f>VLOOKUP(F1063,[1]!china_towns_second__2[[Column1]:[Y]],2,FALSE)</f>
        <v>121.35236</v>
      </c>
      <c r="L1063" t="s">
        <v>4696</v>
      </c>
      <c r="M1063" t="str">
        <f>VLOOKUP(H1063,CHOOSE({1,2},Table12[Native],Table12[Name]),2,0)</f>
        <v>Sānmén Xiàn</v>
      </c>
      <c r="N1063" s="15" t="str">
        <f>VLOOKUP(I1063,CHOOSE({1,2},Table12[Native],Table12[Name]),2,0)</f>
        <v>Táizhōu Shì</v>
      </c>
      <c r="O1063" s="15" t="str">
        <f t="shared" si="32"/>
        <v>Tingpang Zhen (Táizhōu Shì)</v>
      </c>
      <c r="P1063" s="15" t="str">
        <f t="shared" si="33"/>
        <v>Tingpang Zhen (Táizhōu Shì)</v>
      </c>
    </row>
    <row r="1064" spans="1:16" hidden="1" x14ac:dyDescent="0.25">
      <c r="A1064" t="s">
        <v>2664</v>
      </c>
      <c r="B1064" t="str">
        <f>IF(COUNTIF(A:A,A1064)&gt;1,_xlfn.CONCAT(A1064," (",N1064,")"),A1064)</f>
        <v>Tīngtián Jiēdào</v>
      </c>
      <c r="C1064" t="str">
        <f>IF(COUNTIF(B:B,B1064)&gt;1,_xlfn.CONCAT(A1064," (",M1064,")"),B1064)</f>
        <v>Tīngtián Jiēdào</v>
      </c>
      <c r="D1064" t="s">
        <v>2665</v>
      </c>
      <c r="E1064" t="s">
        <v>15</v>
      </c>
      <c r="F1064" t="str">
        <f>_xlfn.CONCAT(D1064,", ",H1064,", ",I1064,", ","浙江省")</f>
        <v>汀田街道, 瑞安市, 温州市, 浙江省</v>
      </c>
      <c r="G1064">
        <v>73476</v>
      </c>
      <c r="H1064" t="s">
        <v>3007</v>
      </c>
      <c r="I1064" t="s">
        <v>3000</v>
      </c>
      <c r="J1064">
        <f>VLOOKUP(F1064,[1]!china_towns_second__2[[Column1]:[Y]],3,FALSE)</f>
        <v>27.7844196562836</v>
      </c>
      <c r="K1064">
        <f>VLOOKUP(F1064,[1]!china_towns_second__2[[Column1]:[Y]],2,FALSE)</f>
        <v>120.72368950000001</v>
      </c>
      <c r="L1064" t="s">
        <v>4697</v>
      </c>
      <c r="M1064" t="str">
        <f>VLOOKUP(H1064,CHOOSE({1,2},Table12[Native],Table12[Name]),2,0)</f>
        <v>Ruì'ān Shì</v>
      </c>
      <c r="N1064" s="15" t="str">
        <f>VLOOKUP(I1064,CHOOSE({1,2},Table12[Native],Table12[Name]),2,0)</f>
        <v>Wēnzhōu Shì</v>
      </c>
      <c r="O1064" s="15" t="str">
        <f t="shared" si="32"/>
        <v>Tingtian Jiedao (Wēnzhōu Shì)</v>
      </c>
      <c r="P1064" s="15" t="str">
        <f t="shared" si="33"/>
        <v>Tingtian Jiedao (Wēnzhōu Shì)</v>
      </c>
    </row>
    <row r="1065" spans="1:16" hidden="1" x14ac:dyDescent="0.25">
      <c r="A1065" t="s">
        <v>1790</v>
      </c>
      <c r="B1065" t="str">
        <f>IF(COUNTIF(A:A,A1065)&gt;1,_xlfn.CONCAT(A1065," (",N1065,")"),A1065)</f>
        <v>Tóngcūn Zhèn</v>
      </c>
      <c r="C1065" t="str">
        <f>IF(COUNTIF(B:B,B1065)&gt;1,_xlfn.CONCAT(A1065," (",M1065,")"),B1065)</f>
        <v>Tóngcūn Zhèn</v>
      </c>
      <c r="D1065" t="s">
        <v>1791</v>
      </c>
      <c r="E1065" t="s">
        <v>11</v>
      </c>
      <c r="F1065" t="str">
        <f>_xlfn.CONCAT(D1065,", ",H1065,", ",I1065,", ","浙江省")</f>
        <v>桐村镇, 开化县, 衢州市, 浙江省</v>
      </c>
      <c r="G1065">
        <v>10323</v>
      </c>
      <c r="H1065" t="s">
        <v>2976</v>
      </c>
      <c r="I1065" t="s">
        <v>2973</v>
      </c>
      <c r="J1065">
        <f>VLOOKUP(F1065,[1]!china_towns_second__2[[Column1]:[Y]],3,FALSE)</f>
        <v>28.997378584113399</v>
      </c>
      <c r="K1065">
        <f>VLOOKUP(F1065,[1]!china_towns_second__2[[Column1]:[Y]],2,FALSE)</f>
        <v>118.2202448</v>
      </c>
      <c r="L1065" t="s">
        <v>4698</v>
      </c>
      <c r="M1065" t="str">
        <f>VLOOKUP(H1065,CHOOSE({1,2},Table12[Native],Table12[Name]),2,0)</f>
        <v>Kāihuà Xiàn</v>
      </c>
      <c r="N1065" s="15" t="str">
        <f>VLOOKUP(I1065,CHOOSE({1,2},Table12[Native],Table12[Name]),2,0)</f>
        <v>Qúzhōu Shì</v>
      </c>
      <c r="O1065" s="15" t="str">
        <f t="shared" si="32"/>
        <v>Tongcun Zhen (Qúzhōu Shì)</v>
      </c>
      <c r="P1065" s="15" t="str">
        <f t="shared" si="33"/>
        <v>Tongcun Zhen (Qúzhōu Shì)</v>
      </c>
    </row>
    <row r="1066" spans="1:16" hidden="1" x14ac:dyDescent="0.25">
      <c r="A1066" t="s">
        <v>1792</v>
      </c>
      <c r="B1066" t="str">
        <f>IF(COUNTIF(A:A,A1066)&gt;1,_xlfn.CONCAT(A1066," (",N1066,")"),A1066)</f>
        <v>Tónggōng Xiāng</v>
      </c>
      <c r="C1066" t="str">
        <f>IF(COUNTIF(B:B,B1066)&gt;1,_xlfn.CONCAT(A1066," (",M1066,")"),B1066)</f>
        <v>Tónggōng Xiāng</v>
      </c>
      <c r="D1066" t="s">
        <v>1793</v>
      </c>
      <c r="E1066" t="s">
        <v>7</v>
      </c>
      <c r="F1066" t="str">
        <f>_xlfn.CONCAT(D1066,", ",H1066,", ",I1066,", ","浙江省")</f>
        <v>同弓乡, 常山县, 衢州市, 浙江省</v>
      </c>
      <c r="G1066">
        <v>7410</v>
      </c>
      <c r="H1066" t="s">
        <v>2974</v>
      </c>
      <c r="I1066" t="s">
        <v>2973</v>
      </c>
      <c r="J1066" t="e">
        <f>VLOOKUP(F1066,[1]!china_towns_second__2[[Column1]:[Y]],3,FALSE)</f>
        <v>#N/A</v>
      </c>
      <c r="K1066" t="e">
        <f>VLOOKUP(F1066,[1]!china_towns_second__2[[Column1]:[Y]],2,FALSE)</f>
        <v>#N/A</v>
      </c>
      <c r="L1066" t="s">
        <v>4699</v>
      </c>
      <c r="M1066" t="str">
        <f>VLOOKUP(H1066,CHOOSE({1,2},Table12[Native],Table12[Name]),2,0)</f>
        <v>Chángshān Xiàn</v>
      </c>
      <c r="N1066" s="15" t="str">
        <f>VLOOKUP(I1066,CHOOSE({1,2},Table12[Native],Table12[Name]),2,0)</f>
        <v>Qúzhōu Shì</v>
      </c>
      <c r="O1066" s="15" t="str">
        <f t="shared" si="32"/>
        <v>Tonggong Xiang (Qúzhōu Shì)</v>
      </c>
      <c r="P1066" s="15" t="str">
        <f t="shared" si="33"/>
        <v>Tonggong Xiang (Qúzhōu Shì)</v>
      </c>
    </row>
    <row r="1067" spans="1:16" hidden="1" x14ac:dyDescent="0.25">
      <c r="A1067" t="s">
        <v>304</v>
      </c>
      <c r="B1067" t="str">
        <f>IF(COUNTIF(A:A,A1067)&gt;1,_xlfn.CONCAT(A1067," (",N1067,")"),A1067)</f>
        <v>Tóngjūn Jiēdào [incl. Chéngnán Jiēdào]</v>
      </c>
      <c r="C1067" t="str">
        <f>IF(COUNTIF(B:B,B1067)&gt;1,_xlfn.CONCAT(A1067," (",M1067,")"),B1067)</f>
        <v>Tóngjūn Jiēdào [incl. Chéngnán Jiēdào]</v>
      </c>
      <c r="D1067" t="s">
        <v>305</v>
      </c>
      <c r="E1067" t="s">
        <v>15</v>
      </c>
      <c r="F1067" t="str">
        <f>_xlfn.CONCAT(D1067,", ",H1067,", ",I1067,", ","浙江省")</f>
        <v>桐君街道, 桐庐县, 杭州市, 浙江省</v>
      </c>
      <c r="G1067">
        <v>146228</v>
      </c>
      <c r="H1067" t="s">
        <v>2916</v>
      </c>
      <c r="I1067" t="s">
        <v>2903</v>
      </c>
      <c r="J1067">
        <f>VLOOKUP(F1067,[1]!china_towns_second__2[[Column1]:[Y]],3,FALSE)</f>
        <v>29.8354116339416</v>
      </c>
      <c r="K1067">
        <f>VLOOKUP(F1067,[1]!china_towns_second__2[[Column1]:[Y]],2,FALSE)</f>
        <v>119.6806119</v>
      </c>
      <c r="L1067" t="s">
        <v>4700</v>
      </c>
      <c r="M1067" t="str">
        <f>VLOOKUP(H1067,CHOOSE({1,2},Table12[Native],Table12[Name]),2,0)</f>
        <v>Tónglú Xiàn</v>
      </c>
      <c r="N1067" s="15" t="str">
        <f>VLOOKUP(I1067,CHOOSE({1,2},Table12[Native],Table12[Name]),2,0)</f>
        <v>Hángzhōu Shì</v>
      </c>
      <c r="O1067" s="15" t="str">
        <f t="shared" si="32"/>
        <v>Tongjun Jiedao [incl. Chengnan Jiedao] (Hángzhōu Shì)</v>
      </c>
      <c r="P1067" s="15" t="str">
        <f t="shared" si="33"/>
        <v>Tongjun Jiedao [incl. Chengnan Jiedao] (Hángzhōu Shì)</v>
      </c>
    </row>
    <row r="1068" spans="1:16" hidden="1" x14ac:dyDescent="0.25">
      <c r="A1068" t="s">
        <v>2666</v>
      </c>
      <c r="B1068" t="str">
        <f>IF(COUNTIF(A:A,A1068)&gt;1,_xlfn.CONCAT(A1068," (",N1068,")"),A1068)</f>
        <v>Tóngpŭ Zhèn [→ Táoshān Zhèn]</v>
      </c>
      <c r="C1068" t="str">
        <f>IF(COUNTIF(B:B,B1068)&gt;1,_xlfn.CONCAT(A1068," (",M1068,")"),B1068)</f>
        <v>Tóngpŭ Zhèn [→ Táoshān Zhèn]</v>
      </c>
      <c r="D1068" t="s">
        <v>2667</v>
      </c>
      <c r="E1068" t="s">
        <v>11</v>
      </c>
      <c r="F1068" t="str">
        <f>_xlfn.CONCAT(D1068,", ",H1068,", ",I1068,", ","浙江省")</f>
        <v>桐浦镇, 瑞安市, 温州市, 浙江省</v>
      </c>
      <c r="G1068">
        <v>23421</v>
      </c>
      <c r="H1068" t="s">
        <v>3007</v>
      </c>
      <c r="I1068" t="s">
        <v>3000</v>
      </c>
      <c r="J1068">
        <f>VLOOKUP(F1068,[1]!china_towns_second__2[[Column1]:[Y]],3,FALSE)</f>
        <v>27.856300000000001</v>
      </c>
      <c r="K1068">
        <f>VLOOKUP(F1068,[1]!china_towns_second__2[[Column1]:[Y]],2,FALSE)</f>
        <v>120.55500000000001</v>
      </c>
      <c r="L1068" t="s">
        <v>4701</v>
      </c>
      <c r="M1068" t="str">
        <f>VLOOKUP(H1068,CHOOSE({1,2},Table12[Native],Table12[Name]),2,0)</f>
        <v>Ruì'ān Shì</v>
      </c>
      <c r="N1068" s="15" t="str">
        <f>VLOOKUP(I1068,CHOOSE({1,2},Table12[Native],Table12[Name]),2,0)</f>
        <v>Wēnzhōu Shì</v>
      </c>
      <c r="O1068" s="15" t="str">
        <f t="shared" si="32"/>
        <v>Tongpu Zhen [→ Taoshan Zhen] (Wēnzhōu Shì)</v>
      </c>
      <c r="P1068" s="15" t="str">
        <f t="shared" si="33"/>
        <v>Tongpu Zhen [→ Taoshan Zhen] (Wēnzhōu Shì)</v>
      </c>
    </row>
    <row r="1069" spans="1:16" hidden="1" x14ac:dyDescent="0.25">
      <c r="A1069" t="s">
        <v>923</v>
      </c>
      <c r="B1069" t="str">
        <f>IF(COUNTIF(A:A,A1069)&gt;1,_xlfn.CONCAT(A1069," (",N1069,")"),A1069)</f>
        <v>Tóngqín Zhèn</v>
      </c>
      <c r="C1069" t="str">
        <f>IF(COUNTIF(B:B,B1069)&gt;1,_xlfn.CONCAT(A1069," (",M1069,")"),B1069)</f>
        <v>Tóngqín Zhèn</v>
      </c>
      <c r="D1069" t="s">
        <v>924</v>
      </c>
      <c r="E1069" t="s">
        <v>11</v>
      </c>
      <c r="F1069" t="str">
        <f>_xlfn.CONCAT(D1069,", ",H1069,", ",I1069,", ","浙江省")</f>
        <v>桐琴镇, 武义县, 金华市, 浙江省</v>
      </c>
      <c r="G1069">
        <v>40099</v>
      </c>
      <c r="H1069" t="s">
        <v>2945</v>
      </c>
      <c r="I1069" t="s">
        <v>2938</v>
      </c>
      <c r="J1069">
        <f>VLOOKUP(F1069,[1]!china_towns_second__2[[Column1]:[Y]],3,FALSE)</f>
        <v>28.8550136213949</v>
      </c>
      <c r="K1069">
        <f>VLOOKUP(F1069,[1]!china_towns_second__2[[Column1]:[Y]],2,FALSE)</f>
        <v>119.9339951</v>
      </c>
      <c r="L1069" t="s">
        <v>4702</v>
      </c>
      <c r="M1069" t="str">
        <f>VLOOKUP(H1069,CHOOSE({1,2},Table12[Native],Table12[Name]),2,0)</f>
        <v>Wŭyì Xiàn</v>
      </c>
      <c r="N1069" s="15" t="str">
        <f>VLOOKUP(I1069,CHOOSE({1,2},Table12[Native],Table12[Name]),2,0)</f>
        <v>Jīnhuá Shì</v>
      </c>
      <c r="O1069" s="15" t="str">
        <f t="shared" si="32"/>
        <v>Tongqin Zhen (Jīnhuá Shì)</v>
      </c>
      <c r="P1069" s="15" t="str">
        <f t="shared" si="33"/>
        <v>Tongqin Zhen (Jīnhuá Shì)</v>
      </c>
    </row>
    <row r="1070" spans="1:16" hidden="1" x14ac:dyDescent="0.25">
      <c r="A1070" t="s">
        <v>1996</v>
      </c>
      <c r="B1070" t="str">
        <f>IF(COUNTIF(A:A,A1070)&gt;1,_xlfn.CONCAT(A1070," (",N1070,")"),A1070)</f>
        <v>Tóngshān Zhèn</v>
      </c>
      <c r="C1070" t="str">
        <f>IF(COUNTIF(B:B,B1070)&gt;1,_xlfn.CONCAT(A1070," (",M1070,")"),B1070)</f>
        <v>Tóngshān Zhèn</v>
      </c>
      <c r="D1070" t="s">
        <v>1997</v>
      </c>
      <c r="E1070" t="s">
        <v>11</v>
      </c>
      <c r="F1070" t="str">
        <f>_xlfn.CONCAT(D1070,", ",H1070,", ",I1070,", ","浙江省")</f>
        <v>同山镇, 诸暨市, 绍兴市, 浙江省</v>
      </c>
      <c r="G1070">
        <v>13447</v>
      </c>
      <c r="H1070" t="s">
        <v>2987</v>
      </c>
      <c r="I1070" t="s">
        <v>2981</v>
      </c>
      <c r="J1070">
        <f>VLOOKUP(F1070,[1]!china_towns_second__2[[Column1]:[Y]],3,FALSE)</f>
        <v>29.580687313837998</v>
      </c>
      <c r="K1070">
        <f>VLOOKUP(F1070,[1]!china_towns_second__2[[Column1]:[Y]],2,FALSE)</f>
        <v>120.0564031</v>
      </c>
      <c r="L1070" t="s">
        <v>4703</v>
      </c>
      <c r="M1070" t="str">
        <f>VLOOKUP(H1070,CHOOSE({1,2},Table12[Native],Table12[Name]),2,0)</f>
        <v>Zhūjì Shì</v>
      </c>
      <c r="N1070" s="15" t="str">
        <f>VLOOKUP(I1070,CHOOSE({1,2},Table12[Native],Table12[Name]),2,0)</f>
        <v>Shàoxīng Shì</v>
      </c>
      <c r="O1070" s="15" t="str">
        <f t="shared" si="32"/>
        <v>Tongshan Zhen (Shàoxīng Shì)</v>
      </c>
      <c r="P1070" s="15" t="str">
        <f t="shared" si="33"/>
        <v>Tongshan Zhen (Shàoxīng Shì)</v>
      </c>
    </row>
    <row r="1071" spans="1:16" hidden="1" x14ac:dyDescent="0.25">
      <c r="A1071" t="s">
        <v>2225</v>
      </c>
      <c r="B1071" t="str">
        <f>IF(COUNTIF(A:A,A1071)&gt;1,_xlfn.CONCAT(A1071," (",N1071,")"),A1071)</f>
        <v>Tóngyŭ Jiēdào</v>
      </c>
      <c r="C1071" t="str">
        <f>IF(COUNTIF(B:B,B1071)&gt;1,_xlfn.CONCAT(A1071," (",M1071,")"),B1071)</f>
        <v>Tóngyŭ Jiēdào</v>
      </c>
      <c r="D1071" t="s">
        <v>2226</v>
      </c>
      <c r="E1071" t="s">
        <v>15</v>
      </c>
      <c r="F1071" t="str">
        <f>_xlfn.CONCAT(D1071,", ",H1071,", ",I1071,", ","浙江省")</f>
        <v>桐屿街道, 路桥区, 台州市, 浙江省</v>
      </c>
      <c r="G1071">
        <v>42149</v>
      </c>
      <c r="H1071" t="s">
        <v>2993</v>
      </c>
      <c r="I1071" t="s">
        <v>2989</v>
      </c>
      <c r="J1071">
        <f>VLOOKUP(F1071,[1]!china_towns_second__2[[Column1]:[Y]],3,FALSE)</f>
        <v>28.611428924604201</v>
      </c>
      <c r="K1071">
        <f>VLOOKUP(F1071,[1]!china_towns_second__2[[Column1]:[Y]],2,FALSE)</f>
        <v>121.3218273</v>
      </c>
      <c r="L1071" t="s">
        <v>4704</v>
      </c>
      <c r="M1071" t="str">
        <f>VLOOKUP(H1071,CHOOSE({1,2},Table12[Native],Table12[Name]),2,0)</f>
        <v>Lùqiáo Qū</v>
      </c>
      <c r="N1071" s="15" t="str">
        <f>VLOOKUP(I1071,CHOOSE({1,2},Table12[Native],Table12[Name]),2,0)</f>
        <v>Táizhōu Shì</v>
      </c>
      <c r="O1071" s="15" t="str">
        <f t="shared" si="32"/>
        <v>Tongyu Jiedao (Táizhōu Shì)</v>
      </c>
      <c r="P1071" s="15" t="str">
        <f t="shared" si="33"/>
        <v>Tongyu Jiedao (Táizhōu Shì)</v>
      </c>
    </row>
    <row r="1072" spans="1:16" hidden="1" x14ac:dyDescent="0.25">
      <c r="A1072" t="s">
        <v>641</v>
      </c>
      <c r="B1072" t="str">
        <f>IF(COUNTIF(A:A,A1072)&gt;1,_xlfn.CONCAT(A1072," (",N1072,")"),A1072)</f>
        <v>Tōngyuán Zhèn</v>
      </c>
      <c r="C1072" t="str">
        <f>IF(COUNTIF(B:B,B1072)&gt;1,_xlfn.CONCAT(A1072," (",M1072,")"),B1072)</f>
        <v>Tōngyuán Zhèn</v>
      </c>
      <c r="D1072" t="s">
        <v>642</v>
      </c>
      <c r="E1072" t="s">
        <v>11</v>
      </c>
      <c r="F1072" t="str">
        <f>_xlfn.CONCAT(D1072,", ",H1072,", ",I1072,", ","浙江省")</f>
        <v>通元镇, 海盐县, 嘉兴市, 浙江省</v>
      </c>
      <c r="G1072">
        <v>43456</v>
      </c>
      <c r="H1072" t="s">
        <v>2931</v>
      </c>
      <c r="I1072" t="s">
        <v>2929</v>
      </c>
      <c r="J1072">
        <f>VLOOKUP(F1072,[1]!china_towns_second__2[[Column1]:[Y]],3,FALSE)</f>
        <v>30.4714174800683</v>
      </c>
      <c r="K1072">
        <f>VLOOKUP(F1072,[1]!china_towns_second__2[[Column1]:[Y]],2,FALSE)</f>
        <v>120.82920350000001</v>
      </c>
      <c r="L1072" t="s">
        <v>4705</v>
      </c>
      <c r="M1072" t="str">
        <f>VLOOKUP(H1072,CHOOSE({1,2},Table12[Native],Table12[Name]),2,0)</f>
        <v>Hăiyán Xiàn</v>
      </c>
      <c r="N1072" s="15" t="str">
        <f>VLOOKUP(I1072,CHOOSE({1,2},Table12[Native],Table12[Name]),2,0)</f>
        <v>Jiāxīng Shì</v>
      </c>
      <c r="O1072" s="15" t="str">
        <f t="shared" si="32"/>
        <v>Tongyuan Zhen (Jiāxīng Shì)</v>
      </c>
      <c r="P1072" s="15" t="str">
        <f t="shared" si="33"/>
        <v>Tongyuan Zhen (Jiāxīng Shì)</v>
      </c>
    </row>
    <row r="1073" spans="1:16" hidden="1" x14ac:dyDescent="0.25">
      <c r="A1073" t="s">
        <v>2227</v>
      </c>
      <c r="B1073" t="str">
        <f>IF(COUNTIF(A:A,A1073)&gt;1,_xlfn.CONCAT(A1073," (",N1073,")"),A1073)</f>
        <v>Tóutuó Zhèn</v>
      </c>
      <c r="C1073" t="str">
        <f>IF(COUNTIF(B:B,B1073)&gt;1,_xlfn.CONCAT(A1073," (",M1073,")"),B1073)</f>
        <v>Tóutuó Zhèn</v>
      </c>
      <c r="D1073" t="s">
        <v>2228</v>
      </c>
      <c r="E1073" t="s">
        <v>11</v>
      </c>
      <c r="F1073" t="str">
        <f>_xlfn.CONCAT(D1073,", ",H1073,", ",I1073,", ","浙江省")</f>
        <v>头陀镇, 黄岩区, 台州市, 浙江省</v>
      </c>
      <c r="G1073">
        <v>31743</v>
      </c>
      <c r="H1073" t="s">
        <v>2990</v>
      </c>
      <c r="I1073" t="s">
        <v>2989</v>
      </c>
      <c r="J1073">
        <f>VLOOKUP(F1073,[1]!china_towns_second__2[[Column1]:[Y]],3,FALSE)</f>
        <v>28.660459368392299</v>
      </c>
      <c r="K1073">
        <f>VLOOKUP(F1073,[1]!china_towns_second__2[[Column1]:[Y]],2,FALSE)</f>
        <v>121.13752359999999</v>
      </c>
      <c r="L1073" t="s">
        <v>4706</v>
      </c>
      <c r="M1073" t="str">
        <f>VLOOKUP(H1073,CHOOSE({1,2},Table12[Native],Table12[Name]),2,0)</f>
        <v>Huángyán Qū</v>
      </c>
      <c r="N1073" s="15" t="str">
        <f>VLOOKUP(I1073,CHOOSE({1,2},Table12[Native],Table12[Name]),2,0)</f>
        <v>Táizhōu Shì</v>
      </c>
      <c r="O1073" s="15" t="str">
        <f t="shared" si="32"/>
        <v>Toutuo Zhen (Táizhōu Shì)</v>
      </c>
      <c r="P1073" s="15" t="str">
        <f t="shared" si="33"/>
        <v>Toutuo Zhen (Táizhōu Shì)</v>
      </c>
    </row>
    <row r="1074" spans="1:16" hidden="1" x14ac:dyDescent="0.25">
      <c r="A1074" t="s">
        <v>306</v>
      </c>
      <c r="B1074" t="str">
        <f>IF(COUNTIF(A:A,A1074)&gt;1,_xlfn.CONCAT(A1074," (",N1074,")"),A1074)</f>
        <v>Tuānkŏu Zhèn</v>
      </c>
      <c r="C1074" t="str">
        <f>IF(COUNTIF(B:B,B1074)&gt;1,_xlfn.CONCAT(A1074," (",M1074,")"),B1074)</f>
        <v>Tuānkŏu Zhèn</v>
      </c>
      <c r="D1074" t="s">
        <v>307</v>
      </c>
      <c r="E1074" t="s">
        <v>11</v>
      </c>
      <c r="F1074" t="str">
        <f>_xlfn.CONCAT(D1074,", ",H1074,", ",I1074,", ","浙江省")</f>
        <v>湍口镇, 临安区, 杭州市, 浙江省</v>
      </c>
      <c r="G1074">
        <v>9510</v>
      </c>
      <c r="H1074" t="s">
        <v>2911</v>
      </c>
      <c r="I1074" t="s">
        <v>2903</v>
      </c>
      <c r="J1074">
        <f>VLOOKUP(F1074,[1]!china_towns_second__2[[Column1]:[Y]],3,FALSE)</f>
        <v>30.021902663081701</v>
      </c>
      <c r="K1074">
        <f>VLOOKUP(F1074,[1]!china_towns_second__2[[Column1]:[Y]],2,FALSE)</f>
        <v>119.1587404</v>
      </c>
      <c r="L1074" t="s">
        <v>4707</v>
      </c>
      <c r="M1074" t="str">
        <f>VLOOKUP(H1074,CHOOSE({1,2},Table12[Native],Table12[Name]),2,0)</f>
        <v>Lín'ān Qū</v>
      </c>
      <c r="N1074" s="15" t="str">
        <f>VLOOKUP(I1074,CHOOSE({1,2},Table12[Native],Table12[Name]),2,0)</f>
        <v>Hángzhōu Shì</v>
      </c>
      <c r="O1074" s="15" t="str">
        <f t="shared" si="32"/>
        <v>Tuankou Zhen (Hángzhōu Shì)</v>
      </c>
      <c r="P1074" s="15" t="str">
        <f t="shared" si="33"/>
        <v>Tuankou Zhen (Hángzhōu Shì)</v>
      </c>
    </row>
    <row r="1075" spans="1:16" hidden="1" x14ac:dyDescent="0.25">
      <c r="A1075" t="s">
        <v>1557</v>
      </c>
      <c r="B1075" t="str">
        <f>IF(COUNTIF(A:A,A1075)&gt;1,_xlfn.CONCAT(A1075," (",N1075,")"),A1075)</f>
        <v>Túcí Zhèn</v>
      </c>
      <c r="C1075" t="str">
        <f>IF(COUNTIF(B:B,B1075)&gt;1,_xlfn.CONCAT(A1075," (",M1075,")"),B1075)</f>
        <v>Túcí Zhèn</v>
      </c>
      <c r="D1075" t="s">
        <v>1558</v>
      </c>
      <c r="E1075" t="s">
        <v>11</v>
      </c>
      <c r="F1075" t="str">
        <f>_xlfn.CONCAT(D1075,", ",H1075,", ",I1075,", ","浙江省")</f>
        <v>涂茨镇, 象山县, 宁波市, 浙江省</v>
      </c>
      <c r="G1075">
        <v>11256</v>
      </c>
      <c r="H1075" t="s">
        <v>2968</v>
      </c>
      <c r="I1075" t="s">
        <v>2961</v>
      </c>
      <c r="J1075">
        <f>VLOOKUP(F1075,[1]!china_towns_second__2[[Column1]:[Y]],3,FALSE)</f>
        <v>29.579458527079002</v>
      </c>
      <c r="K1075">
        <f>VLOOKUP(F1075,[1]!china_towns_second__2[[Column1]:[Y]],2,FALSE)</f>
        <v>121.95450599999999</v>
      </c>
      <c r="L1075" t="s">
        <v>4708</v>
      </c>
      <c r="M1075" t="str">
        <f>VLOOKUP(H1075,CHOOSE({1,2},Table12[Native],Table12[Name]),2,0)</f>
        <v>Xiàngshān Xiàn</v>
      </c>
      <c r="N1075" s="15" t="str">
        <f>VLOOKUP(I1075,CHOOSE({1,2},Table12[Native],Table12[Name]),2,0)</f>
        <v>Níngbō Shì</v>
      </c>
      <c r="O1075" s="15" t="str">
        <f t="shared" si="32"/>
        <v>Tuci Zhen (Níngbō Shì)</v>
      </c>
      <c r="P1075" s="15" t="str">
        <f t="shared" si="33"/>
        <v>Tuci Zhen (Níngbō Shì)</v>
      </c>
    </row>
    <row r="1076" spans="1:16" hidden="1" x14ac:dyDescent="0.25">
      <c r="A1076" t="s">
        <v>643</v>
      </c>
      <c r="B1076" t="str">
        <f>IF(COUNTIF(A:A,A1076)&gt;1,_xlfn.CONCAT(A1076," (",N1076,")"),A1076)</f>
        <v>Túdiàn Zhèn</v>
      </c>
      <c r="C1076" t="str">
        <f>IF(COUNTIF(B:B,B1076)&gt;1,_xlfn.CONCAT(A1076," (",M1076,")"),B1076)</f>
        <v>Túdiàn Zhèn</v>
      </c>
      <c r="D1076" t="s">
        <v>644</v>
      </c>
      <c r="E1076" t="s">
        <v>11</v>
      </c>
      <c r="F1076" t="str">
        <f>_xlfn.CONCAT(D1076,", ",H1076,", ",I1076,", ","浙江省")</f>
        <v>屠甸镇, 桐乡市, 嘉兴市, 浙江省</v>
      </c>
      <c r="G1076">
        <v>33727</v>
      </c>
      <c r="H1076" t="s">
        <v>2935</v>
      </c>
      <c r="I1076" t="s">
        <v>2929</v>
      </c>
      <c r="J1076">
        <f>VLOOKUP(F1076,[1]!china_towns_second__2[[Column1]:[Y]],3,FALSE)</f>
        <v>30.559750220378699</v>
      </c>
      <c r="K1076">
        <f>VLOOKUP(F1076,[1]!china_towns_second__2[[Column1]:[Y]],2,FALSE)</f>
        <v>120.6159476</v>
      </c>
      <c r="L1076" t="s">
        <v>4709</v>
      </c>
      <c r="M1076" t="str">
        <f>VLOOKUP(H1076,CHOOSE({1,2},Table12[Native],Table12[Name]),2,0)</f>
        <v>Tóngxiāng Shì</v>
      </c>
      <c r="N1076" s="15" t="str">
        <f>VLOOKUP(I1076,CHOOSE({1,2},Table12[Native],Table12[Name]),2,0)</f>
        <v>Jiāxīng Shì</v>
      </c>
      <c r="O1076" s="15" t="str">
        <f t="shared" si="32"/>
        <v>Tudian Zhen (Jiāxīng Shì)</v>
      </c>
      <c r="P1076" s="15" t="str">
        <f t="shared" si="33"/>
        <v>Tudian Zhen (Jiāxīng Shì)</v>
      </c>
    </row>
    <row r="1077" spans="1:16" hidden="1" x14ac:dyDescent="0.25">
      <c r="A1077" t="s">
        <v>1559</v>
      </c>
      <c r="B1077" t="str">
        <f>IF(COUNTIF(A:A,A1077)&gt;1,_xlfn.CONCAT(A1077," (",N1077,")"),A1077)</f>
        <v>Wàitān Jiēdào [incl. Zhōngmă Jiēdào, Báishā Jiēdào]</v>
      </c>
      <c r="C1077" t="str">
        <f>IF(COUNTIF(B:B,B1077)&gt;1,_xlfn.CONCAT(A1077," (",M1077,")"),B1077)</f>
        <v>Wàitān Jiēdào [incl. Zhōngmă Jiēdào, Báishā Jiēdào]</v>
      </c>
      <c r="D1077" t="s">
        <v>1560</v>
      </c>
      <c r="E1077" t="s">
        <v>15</v>
      </c>
      <c r="F1077" t="str">
        <f>_xlfn.CONCAT(D1077,", ",H1077,", ",I1077,", ","浙江省")</f>
        <v>外滩街道, 江北区, 宁波市, 浙江省</v>
      </c>
      <c r="G1077">
        <v>38983</v>
      </c>
      <c r="H1077" t="s">
        <v>2966</v>
      </c>
      <c r="I1077" t="s">
        <v>2961</v>
      </c>
      <c r="J1077" t="e">
        <f>VLOOKUP(F1077,[1]!china_towns_second__2[[Column1]:[Y]],3,FALSE)</f>
        <v>#N/A</v>
      </c>
      <c r="K1077" t="e">
        <f>VLOOKUP(F1077,[1]!china_towns_second__2[[Column1]:[Y]],2,FALSE)</f>
        <v>#N/A</v>
      </c>
      <c r="L1077" t="s">
        <v>4710</v>
      </c>
      <c r="M1077" t="str">
        <f>VLOOKUP(H1077,CHOOSE({1,2},Table12[Native],Table12[Name]),2,0)</f>
        <v>Jiāngbĕi Qū</v>
      </c>
      <c r="N1077" s="15" t="str">
        <f>VLOOKUP(I1077,CHOOSE({1,2},Table12[Native],Table12[Name]),2,0)</f>
        <v>Níngbō Shì</v>
      </c>
      <c r="O1077" s="15" t="str">
        <f t="shared" si="32"/>
        <v>Waitan Jiedao [incl. Zhongma Jiedao, Baisha Jiedao] (Níngbō Shì)</v>
      </c>
      <c r="P1077" s="15" t="str">
        <f t="shared" si="33"/>
        <v>Waitan Jiedao [incl. Zhongma Jiedao, Baisha Jiedao] (Níngbō Shì)</v>
      </c>
    </row>
    <row r="1078" spans="1:16" hidden="1" x14ac:dyDescent="0.25">
      <c r="A1078" t="s">
        <v>1233</v>
      </c>
      <c r="B1078" t="str">
        <f>IF(COUNTIF(A:A,A1078)&gt;1,_xlfn.CONCAT(A1078," (",N1078,")"),A1078)</f>
        <v>Wànfù Xiāng</v>
      </c>
      <c r="C1078" t="str">
        <f>IF(COUNTIF(B:B,B1078)&gt;1,_xlfn.CONCAT(A1078," (",M1078,")"),B1078)</f>
        <v>Wànfù Xiāng</v>
      </c>
      <c r="D1078" t="s">
        <v>1234</v>
      </c>
      <c r="E1078" t="s">
        <v>7</v>
      </c>
      <c r="F1078" t="str">
        <f>_xlfn.CONCAT(D1078,", ",H1078,", ",I1078,", ","浙江省")</f>
        <v>万阜乡, 青田县, 丽水市, 浙江省</v>
      </c>
      <c r="G1078">
        <v>3152</v>
      </c>
      <c r="H1078" t="s">
        <v>2955</v>
      </c>
      <c r="I1078" t="s">
        <v>2949</v>
      </c>
      <c r="J1078" t="e">
        <f>VLOOKUP(F1078,[1]!china_towns_second__2[[Column1]:[Y]],3,FALSE)</f>
        <v>#N/A</v>
      </c>
      <c r="K1078" t="e">
        <f>VLOOKUP(F1078,[1]!china_towns_second__2[[Column1]:[Y]],2,FALSE)</f>
        <v>#N/A</v>
      </c>
      <c r="L1078" t="s">
        <v>4711</v>
      </c>
      <c r="M1078" t="str">
        <f>VLOOKUP(H1078,CHOOSE({1,2},Table12[Native],Table12[Name]),2,0)</f>
        <v>Qīngtián Xiàn</v>
      </c>
      <c r="N1078" s="15" t="str">
        <f>VLOOKUP(I1078,CHOOSE({1,2},Table12[Native],Table12[Name]),2,0)</f>
        <v>Lìshuĭ Shì</v>
      </c>
      <c r="O1078" s="15" t="str">
        <f t="shared" si="32"/>
        <v>Wanfu Xiang (Lìshuĭ Shì)</v>
      </c>
      <c r="P1078" s="15" t="str">
        <f t="shared" si="33"/>
        <v>Wanfu Xiang (Lìshuĭ Shì)</v>
      </c>
    </row>
    <row r="1079" spans="1:16" hidden="1" x14ac:dyDescent="0.25">
      <c r="A1079" t="s">
        <v>1561</v>
      </c>
      <c r="B1079" t="str">
        <f>IF(COUNTIF(A:A,A1079)&gt;1,_xlfn.CONCAT(A1079," (",N1079,")"),A1079)</f>
        <v>Wàngchūn Jiēdào</v>
      </c>
      <c r="C1079" t="str">
        <f>IF(COUNTIF(B:B,B1079)&gt;1,_xlfn.CONCAT(A1079," (",M1079,")"),B1079)</f>
        <v>Wàngchūn Jiēdào</v>
      </c>
      <c r="D1079" t="s">
        <v>1562</v>
      </c>
      <c r="E1079" t="s">
        <v>15</v>
      </c>
      <c r="F1079" t="str">
        <f>_xlfn.CONCAT(D1079,", ",H1079,", ",I1079,", ","浙江省")</f>
        <v>望春街道, 海曙区, 宁波市, 浙江省</v>
      </c>
      <c r="G1079">
        <v>62065</v>
      </c>
      <c r="H1079" t="s">
        <v>2965</v>
      </c>
      <c r="I1079" t="s">
        <v>2961</v>
      </c>
      <c r="J1079">
        <f>VLOOKUP(F1079,[1]!china_towns_second__2[[Column1]:[Y]],3,FALSE)</f>
        <v>29.8895290461268</v>
      </c>
      <c r="K1079">
        <f>VLOOKUP(F1079,[1]!china_towns_second__2[[Column1]:[Y]],2,FALSE)</f>
        <v>121.50991550000001</v>
      </c>
      <c r="L1079" t="s">
        <v>4712</v>
      </c>
      <c r="M1079" t="str">
        <f>VLOOKUP(H1079,CHOOSE({1,2},Table12[Native],Table12[Name]),2,0)</f>
        <v>Hăishŭ Qū</v>
      </c>
      <c r="N1079" s="15" t="str">
        <f>VLOOKUP(I1079,CHOOSE({1,2},Table12[Native],Table12[Name]),2,0)</f>
        <v>Níngbō Shì</v>
      </c>
      <c r="O1079" s="15" t="str">
        <f t="shared" si="32"/>
        <v>Wangchun Jiedao (Níngbō Shì)</v>
      </c>
      <c r="P1079" s="15" t="str">
        <f t="shared" si="33"/>
        <v>Wangchun Jiedao (Níngbō Shì)</v>
      </c>
    </row>
    <row r="1080" spans="1:16" hidden="1" x14ac:dyDescent="0.25">
      <c r="A1080" t="s">
        <v>1235</v>
      </c>
      <c r="B1080" t="str">
        <f>IF(COUNTIF(A:A,A1080)&gt;1,_xlfn.CONCAT(A1080," (",N1080,")"),A1080)</f>
        <v>Wángcūnkŏu Zhèn</v>
      </c>
      <c r="C1080" t="str">
        <f>IF(COUNTIF(B:B,B1080)&gt;1,_xlfn.CONCAT(A1080," (",M1080,")"),B1080)</f>
        <v>Wángcūnkŏu Zhèn</v>
      </c>
      <c r="D1080" t="s">
        <v>1236</v>
      </c>
      <c r="E1080" t="s">
        <v>11</v>
      </c>
      <c r="F1080" t="str">
        <f>_xlfn.CONCAT(D1080,", ",H1080,", ",I1080,", ","浙江省")</f>
        <v>王村口镇, 遂昌县, 丽水市, 浙江省</v>
      </c>
      <c r="G1080">
        <v>6310</v>
      </c>
      <c r="H1080" t="s">
        <v>2958</v>
      </c>
      <c r="I1080" t="s">
        <v>2949</v>
      </c>
      <c r="J1080">
        <f>VLOOKUP(F1080,[1]!china_towns_second__2[[Column1]:[Y]],3,FALSE)</f>
        <v>28.3536277168397</v>
      </c>
      <c r="K1080">
        <f>VLOOKUP(F1080,[1]!china_towns_second__2[[Column1]:[Y]],2,FALSE)</f>
        <v>119.03397579999999</v>
      </c>
      <c r="L1080" t="s">
        <v>4713</v>
      </c>
      <c r="M1080" t="str">
        <f>VLOOKUP(H1080,CHOOSE({1,2},Table12[Native],Table12[Name]),2,0)</f>
        <v>Suìchāng Xiàn</v>
      </c>
      <c r="N1080" s="15" t="str">
        <f>VLOOKUP(I1080,CHOOSE({1,2},Table12[Native],Table12[Name]),2,0)</f>
        <v>Lìshuĭ Shì</v>
      </c>
      <c r="O1080" s="15" t="str">
        <f t="shared" si="32"/>
        <v>Wangcunkou Zhen (Lìshuĭ Shì)</v>
      </c>
      <c r="P1080" s="15" t="str">
        <f t="shared" si="33"/>
        <v>Wangcunkou Zhen (Lìshuĭ Shì)</v>
      </c>
    </row>
    <row r="1081" spans="1:16" hidden="1" x14ac:dyDescent="0.25">
      <c r="A1081" t="s">
        <v>645</v>
      </c>
      <c r="B1081" t="str">
        <f>IF(COUNTIF(A:A,A1081)&gt;1,_xlfn.CONCAT(A1081," (",N1081,")"),A1081)</f>
        <v>Wángdiàn Zhèn</v>
      </c>
      <c r="C1081" t="str">
        <f>IF(COUNTIF(B:B,B1081)&gt;1,_xlfn.CONCAT(A1081," (",M1081,")"),B1081)</f>
        <v>Wángdiàn Zhèn</v>
      </c>
      <c r="D1081" t="s">
        <v>646</v>
      </c>
      <c r="E1081" t="s">
        <v>11</v>
      </c>
      <c r="F1081" t="str">
        <f>_xlfn.CONCAT(D1081,", ",H1081,", ",I1081,", ","浙江省")</f>
        <v>王店镇, 秀洲区, 嘉兴市, 浙江省</v>
      </c>
      <c r="G1081">
        <v>93291</v>
      </c>
      <c r="H1081" t="s">
        <v>2936</v>
      </c>
      <c r="I1081" t="s">
        <v>2929</v>
      </c>
      <c r="J1081">
        <f>VLOOKUP(F1081,[1]!china_towns_second__2[[Column1]:[Y]],3,FALSE)</f>
        <v>30.6317380195662</v>
      </c>
      <c r="K1081">
        <f>VLOOKUP(F1081,[1]!china_towns_second__2[[Column1]:[Y]],2,FALSE)</f>
        <v>120.69509100000001</v>
      </c>
      <c r="L1081" t="s">
        <v>4714</v>
      </c>
      <c r="M1081" t="str">
        <f>VLOOKUP(H1081,CHOOSE({1,2},Table12[Native],Table12[Name]),2,0)</f>
        <v>Xiùzhōu Qū</v>
      </c>
      <c r="N1081" s="15" t="str">
        <f>VLOOKUP(I1081,CHOOSE({1,2},Table12[Native],Table12[Name]),2,0)</f>
        <v>Jiāxīng Shì</v>
      </c>
      <c r="O1081" s="15" t="str">
        <f t="shared" si="32"/>
        <v>Wangdian Zhen (Jiāxīng Shì)</v>
      </c>
      <c r="P1081" s="15" t="str">
        <f t="shared" si="33"/>
        <v>Wangdian Zhen (Jiāxīng Shì)</v>
      </c>
    </row>
    <row r="1082" spans="1:16" hidden="1" x14ac:dyDescent="0.25">
      <c r="A1082" t="s">
        <v>308</v>
      </c>
      <c r="B1082" t="str">
        <f>IF(COUNTIF(A:A,A1082)&gt;1,_xlfn.CONCAT(A1082," (",N1082,")"),A1082)</f>
        <v>Wángfù Xiāng</v>
      </c>
      <c r="C1082" t="str">
        <f>IF(COUNTIF(B:B,B1082)&gt;1,_xlfn.CONCAT(A1082," (",M1082,")"),B1082)</f>
        <v>Wángfù Xiāng</v>
      </c>
      <c r="D1082" t="s">
        <v>309</v>
      </c>
      <c r="E1082" t="s">
        <v>7</v>
      </c>
      <c r="F1082" t="str">
        <f>_xlfn.CONCAT(D1082,", ",H1082,", ",I1082,", ","浙江省")</f>
        <v>王阜乡, 淳安县, 杭州市, 浙江省</v>
      </c>
      <c r="G1082">
        <v>11580</v>
      </c>
      <c r="H1082" t="s">
        <v>2907</v>
      </c>
      <c r="I1082" t="s">
        <v>2903</v>
      </c>
      <c r="J1082" t="e">
        <f>VLOOKUP(F1082,[1]!china_towns_second__2[[Column1]:[Y]],3,FALSE)</f>
        <v>#N/A</v>
      </c>
      <c r="K1082" t="e">
        <f>VLOOKUP(F1082,[1]!china_towns_second__2[[Column1]:[Y]],2,FALSE)</f>
        <v>#N/A</v>
      </c>
      <c r="L1082" t="s">
        <v>4715</v>
      </c>
      <c r="M1082" t="str">
        <f>VLOOKUP(H1082,CHOOSE({1,2},Table12[Native],Table12[Name]),2,0)</f>
        <v>Chún'ān Xiàn</v>
      </c>
      <c r="N1082" s="15" t="str">
        <f>VLOOKUP(I1082,CHOOSE({1,2},Table12[Native],Table12[Name]),2,0)</f>
        <v>Hángzhōu Shì</v>
      </c>
      <c r="O1082" s="15" t="str">
        <f t="shared" si="32"/>
        <v>Wangfu Xiang (Hángzhōu Shì)</v>
      </c>
      <c r="P1082" s="15" t="str">
        <f t="shared" si="33"/>
        <v>Wangfu Xiang (Hángzhōu Shì)</v>
      </c>
    </row>
    <row r="1083" spans="1:16" hidden="1" x14ac:dyDescent="0.25">
      <c r="A1083" t="s">
        <v>310</v>
      </c>
      <c r="B1083" t="str">
        <f>IF(COUNTIF(A:A,A1083)&gt;1,_xlfn.CONCAT(A1083," (",N1083,")"),A1083)</f>
        <v>Wàngjiāng Jiēdào</v>
      </c>
      <c r="C1083" t="str">
        <f>IF(COUNTIF(B:B,B1083)&gt;1,_xlfn.CONCAT(A1083," (",M1083,")"),B1083)</f>
        <v>Wàngjiāng Jiēdào</v>
      </c>
      <c r="D1083" t="s">
        <v>311</v>
      </c>
      <c r="E1083" t="s">
        <v>15</v>
      </c>
      <c r="F1083" t="str">
        <f>_xlfn.CONCAT(D1083,", ",H1083,", ",I1083,", ","浙江省")</f>
        <v>望江街道, 上城区, 杭州市, 浙江省</v>
      </c>
      <c r="G1083">
        <v>91557</v>
      </c>
      <c r="H1083" t="s">
        <v>2915</v>
      </c>
      <c r="I1083" t="s">
        <v>2903</v>
      </c>
      <c r="J1083">
        <f>VLOOKUP(F1083,[1]!china_towns_second__2[[Column1]:[Y]],3,FALSE)</f>
        <v>30.236419005268701</v>
      </c>
      <c r="K1083">
        <f>VLOOKUP(F1083,[1]!china_towns_second__2[[Column1]:[Y]],2,FALSE)</f>
        <v>120.1916167</v>
      </c>
      <c r="L1083" t="s">
        <v>4716</v>
      </c>
      <c r="M1083" t="str">
        <f>VLOOKUP(H1083,CHOOSE({1,2},Table12[Native],Table12[Name]),2,0)</f>
        <v>Shàngchéng Qū</v>
      </c>
      <c r="N1083" s="15" t="str">
        <f>VLOOKUP(I1083,CHOOSE({1,2},Table12[Native],Table12[Name]),2,0)</f>
        <v>Hángzhōu Shì</v>
      </c>
      <c r="O1083" s="15" t="str">
        <f t="shared" si="32"/>
        <v>Wangjiang Jiedao (Hángzhōu Shì)</v>
      </c>
      <c r="P1083" s="15" t="str">
        <f t="shared" si="33"/>
        <v>Wangjiang Jiedao (Hángzhōu Shì)</v>
      </c>
    </row>
    <row r="1084" spans="1:16" hidden="1" x14ac:dyDescent="0.25">
      <c r="A1084" t="s">
        <v>647</v>
      </c>
      <c r="B1084" t="str">
        <f>IF(COUNTIF(A:A,A1084)&gt;1,_xlfn.CONCAT(A1084," (",N1084,")"),A1084)</f>
        <v>Wángjiāngjīng Zhèn</v>
      </c>
      <c r="C1084" t="str">
        <f>IF(COUNTIF(B:B,B1084)&gt;1,_xlfn.CONCAT(A1084," (",M1084,")"),B1084)</f>
        <v>Wángjiāngjīng Zhèn</v>
      </c>
      <c r="D1084" t="s">
        <v>648</v>
      </c>
      <c r="E1084" t="s">
        <v>11</v>
      </c>
      <c r="F1084" t="str">
        <f>_xlfn.CONCAT(D1084,", ",H1084,", ",I1084,", ","浙江省")</f>
        <v>王江泾镇, 秀洲区, 嘉兴市, 浙江省</v>
      </c>
      <c r="G1084">
        <v>111121</v>
      </c>
      <c r="H1084" t="s">
        <v>2936</v>
      </c>
      <c r="I1084" t="s">
        <v>2929</v>
      </c>
      <c r="J1084">
        <f>VLOOKUP(F1084,[1]!china_towns_second__2[[Column1]:[Y]],3,FALSE)</f>
        <v>30.881440861870299</v>
      </c>
      <c r="K1084">
        <f>VLOOKUP(F1084,[1]!china_towns_second__2[[Column1]:[Y]],2,FALSE)</f>
        <v>120.71063820000001</v>
      </c>
      <c r="L1084" t="s">
        <v>4717</v>
      </c>
      <c r="M1084" t="str">
        <f>VLOOKUP(H1084,CHOOSE({1,2},Table12[Native],Table12[Name]),2,0)</f>
        <v>Xiùzhōu Qū</v>
      </c>
      <c r="N1084" s="15" t="str">
        <f>VLOOKUP(I1084,CHOOSE({1,2},Table12[Native],Table12[Name]),2,0)</f>
        <v>Jiāxīng Shì</v>
      </c>
      <c r="O1084" s="15" t="str">
        <f t="shared" si="32"/>
        <v>Wangjiangjing Zhen (Jiāxīng Shì)</v>
      </c>
      <c r="P1084" s="15" t="str">
        <f t="shared" si="33"/>
        <v>Wangjiangjing Zhen (Jiāxīng Shì)</v>
      </c>
    </row>
    <row r="1085" spans="1:16" hidden="1" x14ac:dyDescent="0.25">
      <c r="A1085" t="s">
        <v>2668</v>
      </c>
      <c r="B1085" t="str">
        <f>IF(COUNTIF(A:A,A1085)&gt;1,_xlfn.CONCAT(A1085," (",N1085,")"),A1085)</f>
        <v>Wànglĭ Zhèn [→ Qiánkù Zhèn]</v>
      </c>
      <c r="C1085" t="str">
        <f>IF(COUNTIF(B:B,B1085)&gt;1,_xlfn.CONCAT(A1085," (",M1085,")"),B1085)</f>
        <v>Wànglĭ Zhèn [→ Qiánkù Zhèn]</v>
      </c>
      <c r="D1085" t="s">
        <v>2669</v>
      </c>
      <c r="E1085" t="s">
        <v>11</v>
      </c>
      <c r="F1085" t="str">
        <f>_xlfn.CONCAT(D1085,", ",H1085,", ",I1085,", ","浙江省")</f>
        <v>望里镇, 苍南县, 温州市, 浙江省</v>
      </c>
      <c r="G1085">
        <v>32220</v>
      </c>
      <c r="H1085" t="s">
        <v>3001</v>
      </c>
      <c r="I1085" t="s">
        <v>3000</v>
      </c>
      <c r="J1085">
        <f>VLOOKUP(F1085,[1]!china_towns_second__2[[Column1]:[Y]],3,FALSE)</f>
        <v>27.4761697</v>
      </c>
      <c r="K1085">
        <f>VLOOKUP(F1085,[1]!china_towns_second__2[[Column1]:[Y]],2,FALSE)</f>
        <v>120.5230451</v>
      </c>
      <c r="L1085" t="s">
        <v>4718</v>
      </c>
      <c r="M1085" t="str">
        <f>VLOOKUP(H1085,CHOOSE({1,2},Table12[Native],Table12[Name]),2,0)</f>
        <v>Cāngnán Xiàn</v>
      </c>
      <c r="N1085" s="15" t="str">
        <f>VLOOKUP(I1085,CHOOSE({1,2},Table12[Native],Table12[Name]),2,0)</f>
        <v>Wēnzhōu Shì</v>
      </c>
      <c r="O1085" s="15" t="str">
        <f t="shared" si="32"/>
        <v>Wangli Zhen [→ Qianku Zhen] (Wēnzhōu Shì)</v>
      </c>
      <c r="P1085" s="15" t="str">
        <f t="shared" si="33"/>
        <v>Wangli Zhen [→ Qianku Zhen] (Wēnzhōu Shì)</v>
      </c>
    </row>
    <row r="1086" spans="1:16" hidden="1" x14ac:dyDescent="0.25">
      <c r="A1086" t="s">
        <v>1237</v>
      </c>
      <c r="B1086" t="str">
        <f>IF(COUNTIF(A:A,A1086)&gt;1,_xlfn.CONCAT(A1086," (",N1086,")"),A1086)</f>
        <v>Wàngsōng Jiēdào</v>
      </c>
      <c r="C1086" t="str">
        <f>IF(COUNTIF(B:B,B1086)&gt;1,_xlfn.CONCAT(A1086," (",M1086,")"),B1086)</f>
        <v>Wàngsōng Jiēdào</v>
      </c>
      <c r="D1086" t="s">
        <v>1238</v>
      </c>
      <c r="E1086" t="s">
        <v>15</v>
      </c>
      <c r="F1086" t="str">
        <f>_xlfn.CONCAT(D1086,", ",H1086,", ",I1086,", ","浙江省")</f>
        <v>望松街道, 松阳县, 丽水市, 浙江省</v>
      </c>
      <c r="G1086">
        <v>8619</v>
      </c>
      <c r="H1086" t="s">
        <v>2957</v>
      </c>
      <c r="I1086" t="s">
        <v>2949</v>
      </c>
      <c r="J1086">
        <f>VLOOKUP(F1086,[1]!china_towns_second__2[[Column1]:[Y]],3,FALSE)</f>
        <v>28.5117619153141</v>
      </c>
      <c r="K1086">
        <f>VLOOKUP(F1086,[1]!china_towns_second__2[[Column1]:[Y]],2,FALSE)</f>
        <v>119.47313870000001</v>
      </c>
      <c r="L1086" t="s">
        <v>4719</v>
      </c>
      <c r="M1086" t="str">
        <f>VLOOKUP(H1086,CHOOSE({1,2},Table12[Native],Table12[Name]),2,0)</f>
        <v>Sōngyáng Xiàn</v>
      </c>
      <c r="N1086" s="15" t="str">
        <f>VLOOKUP(I1086,CHOOSE({1,2},Table12[Native],Table12[Name]),2,0)</f>
        <v>Lìshuĭ Shì</v>
      </c>
      <c r="O1086" s="15" t="str">
        <f t="shared" si="32"/>
        <v>Wangsong Jiedao (Lìshuĭ Shì)</v>
      </c>
      <c r="P1086" s="15" t="str">
        <f t="shared" si="33"/>
        <v>Wangsong Jiedao (Lìshuĭ Shì)</v>
      </c>
    </row>
    <row r="1087" spans="1:16" hidden="1" x14ac:dyDescent="0.25">
      <c r="A1087" t="s">
        <v>1998</v>
      </c>
      <c r="B1087" t="str">
        <f>IF(COUNTIF(A:A,A1087)&gt;1,_xlfn.CONCAT(A1087," (",N1087,")"),A1087)</f>
        <v>Wángtán Zhèn</v>
      </c>
      <c r="C1087" t="str">
        <f>IF(COUNTIF(B:B,B1087)&gt;1,_xlfn.CONCAT(A1087," (",M1087,")"),B1087)</f>
        <v>Wángtán Zhèn</v>
      </c>
      <c r="D1087" t="s">
        <v>1999</v>
      </c>
      <c r="E1087" t="s">
        <v>11</v>
      </c>
      <c r="F1087" t="str">
        <f>_xlfn.CONCAT(D1087,", ",H1087,", ",I1087,", ","浙江省")</f>
        <v>王坛镇, 柯桥区, 绍兴市, 浙江省</v>
      </c>
      <c r="G1087">
        <v>20239</v>
      </c>
      <c r="H1087" t="s">
        <v>2982</v>
      </c>
      <c r="I1087" t="s">
        <v>2981</v>
      </c>
      <c r="J1087">
        <f>VLOOKUP(F1087,[1]!china_towns_second__2[[Column1]:[Y]],3,FALSE)</f>
        <v>29.784911411758301</v>
      </c>
      <c r="K1087">
        <f>VLOOKUP(F1087,[1]!china_towns_second__2[[Column1]:[Y]],2,FALSE)</f>
        <v>120.6799499</v>
      </c>
      <c r="L1087" t="s">
        <v>4720</v>
      </c>
      <c r="M1087" t="str">
        <f>VLOOKUP(H1087,CHOOSE({1,2},Table12[Native],Table12[Name]),2,0)</f>
        <v>Kēqiáo Qū</v>
      </c>
      <c r="N1087" s="15" t="str">
        <f>VLOOKUP(I1087,CHOOSE({1,2},Table12[Native],Table12[Name]),2,0)</f>
        <v>Shàoxīng Shì</v>
      </c>
      <c r="O1087" s="15" t="str">
        <f t="shared" si="32"/>
        <v>Wangtan Zhen (Shàoxīng Shì)</v>
      </c>
      <c r="P1087" s="15" t="str">
        <f t="shared" si="33"/>
        <v>Wangtan Zhen (Shàoxīng Shì)</v>
      </c>
    </row>
    <row r="1088" spans="1:16" hidden="1" x14ac:dyDescent="0.25">
      <c r="A1088" t="s">
        <v>925</v>
      </c>
      <c r="B1088" t="str">
        <f>IF(COUNTIF(A:A,A1088)&gt;1,_xlfn.CONCAT(A1088," (",N1088,")"),A1088)</f>
        <v>Wángzhái Zhèn</v>
      </c>
      <c r="C1088" t="str">
        <f>IF(COUNTIF(B:B,B1088)&gt;1,_xlfn.CONCAT(A1088," (",M1088,")"),B1088)</f>
        <v>Wángzhái Zhèn</v>
      </c>
      <c r="D1088" t="s">
        <v>926</v>
      </c>
      <c r="E1088" t="s">
        <v>11</v>
      </c>
      <c r="F1088" t="str">
        <f>_xlfn.CONCAT(D1088,", ",H1088,", ",I1088,", ","浙江省")</f>
        <v>王宅镇, 武义县, 金华市, 浙江省</v>
      </c>
      <c r="G1088">
        <v>21950</v>
      </c>
      <c r="H1088" t="s">
        <v>2945</v>
      </c>
      <c r="I1088" t="s">
        <v>2938</v>
      </c>
      <c r="J1088">
        <f>VLOOKUP(F1088,[1]!china_towns_second__2[[Column1]:[Y]],3,FALSE)</f>
        <v>28.793804595338699</v>
      </c>
      <c r="K1088">
        <f>VLOOKUP(F1088,[1]!china_towns_second__2[[Column1]:[Y]],2,FALSE)</f>
        <v>119.676726</v>
      </c>
      <c r="L1088" t="s">
        <v>4721</v>
      </c>
      <c r="M1088" t="str">
        <f>VLOOKUP(H1088,CHOOSE({1,2},Table12[Native],Table12[Name]),2,0)</f>
        <v>Wŭyì Xiàn</v>
      </c>
      <c r="N1088" s="15" t="str">
        <f>VLOOKUP(I1088,CHOOSE({1,2},Table12[Native],Table12[Name]),2,0)</f>
        <v>Jīnhuá Shì</v>
      </c>
      <c r="O1088" s="15" t="str">
        <f t="shared" si="32"/>
        <v>Wangzhai Zhen (Jīnhuá Shì)</v>
      </c>
      <c r="P1088" s="15" t="str">
        <f t="shared" si="33"/>
        <v>Wangzhai Zhen (Jīnhuá Shì)</v>
      </c>
    </row>
    <row r="1089" spans="1:16" hidden="1" x14ac:dyDescent="0.25">
      <c r="A1089" t="s">
        <v>2670</v>
      </c>
      <c r="B1089" t="str">
        <f>IF(COUNTIF(A:A,A1089)&gt;1,_xlfn.CONCAT(A1089," (",N1089,")"),A1089)</f>
        <v>Wànpái Xiāng</v>
      </c>
      <c r="C1089" t="str">
        <f>IF(COUNTIF(B:B,B1089)&gt;1,_xlfn.CONCAT(A1089," (",M1089,")"),B1089)</f>
        <v>Wànpái Xiāng</v>
      </c>
      <c r="D1089" t="s">
        <v>2671</v>
      </c>
      <c r="E1089" t="s">
        <v>7</v>
      </c>
      <c r="F1089" t="str">
        <f>_xlfn.CONCAT(D1089,", ",H1089,", ",I1089,", ","浙江省")</f>
        <v>万排乡, 泰顺县, 温州市, 浙江省</v>
      </c>
      <c r="G1089">
        <v>2055</v>
      </c>
      <c r="H1089" t="s">
        <v>3008</v>
      </c>
      <c r="I1089" t="s">
        <v>3000</v>
      </c>
      <c r="J1089" t="e">
        <f>VLOOKUP(F1089,[1]!china_towns_second__2[[Column1]:[Y]],3,FALSE)</f>
        <v>#N/A</v>
      </c>
      <c r="K1089" t="e">
        <f>VLOOKUP(F1089,[1]!china_towns_second__2[[Column1]:[Y]],2,FALSE)</f>
        <v>#N/A</v>
      </c>
      <c r="L1089" t="s">
        <v>4722</v>
      </c>
      <c r="M1089" t="str">
        <f>VLOOKUP(H1089,CHOOSE({1,2},Table12[Native],Table12[Name]),2,0)</f>
        <v>Tàishùn Xiàn</v>
      </c>
      <c r="N1089" s="15" t="str">
        <f>VLOOKUP(I1089,CHOOSE({1,2},Table12[Native],Table12[Name]),2,0)</f>
        <v>Wēnzhōu Shì</v>
      </c>
      <c r="O1089" s="15" t="str">
        <f t="shared" si="32"/>
        <v>Wanpai Xiang (Wēnzhōu Shì)</v>
      </c>
      <c r="P1089" s="15" t="str">
        <f t="shared" si="33"/>
        <v>Wanpai Xiang (Wēnzhōu Shì)</v>
      </c>
    </row>
    <row r="1090" spans="1:16" hidden="1" x14ac:dyDescent="0.25">
      <c r="A1090" t="s">
        <v>2672</v>
      </c>
      <c r="B1090" t="str">
        <f>IF(COUNTIF(A:A,A1090)&gt;1,_xlfn.CONCAT(A1090," (",N1090,")"),A1090)</f>
        <v>Wànquán Zhèn</v>
      </c>
      <c r="C1090" t="str">
        <f>IF(COUNTIF(B:B,B1090)&gt;1,_xlfn.CONCAT(A1090," (",M1090,")"),B1090)</f>
        <v>Wànquán Zhèn</v>
      </c>
      <c r="D1090" t="s">
        <v>2673</v>
      </c>
      <c r="E1090" t="s">
        <v>11</v>
      </c>
      <c r="F1090" t="str">
        <f>_xlfn.CONCAT(D1090,", ",H1090,", ",I1090,", ","浙江省")</f>
        <v>万全镇, 平阳县, 温州市, 浙江省</v>
      </c>
      <c r="G1090">
        <v>52937</v>
      </c>
      <c r="H1090" t="s">
        <v>3006</v>
      </c>
      <c r="I1090" t="s">
        <v>3000</v>
      </c>
      <c r="J1090">
        <f>VLOOKUP(F1090,[1]!china_towns_second__2[[Column1]:[Y]],3,FALSE)</f>
        <v>27.705451741031901</v>
      </c>
      <c r="K1090">
        <f>VLOOKUP(F1090,[1]!china_towns_second__2[[Column1]:[Y]],2,FALSE)</f>
        <v>120.59747299999999</v>
      </c>
      <c r="L1090" t="s">
        <v>4723</v>
      </c>
      <c r="M1090" t="str">
        <f>VLOOKUP(H1090,CHOOSE({1,2},Table12[Native],Table12[Name]),2,0)</f>
        <v>Píngyáng Xiàn</v>
      </c>
      <c r="N1090" s="15" t="str">
        <f>VLOOKUP(I1090,CHOOSE({1,2},Table12[Native],Table12[Name]),2,0)</f>
        <v>Wēnzhōu Shì</v>
      </c>
      <c r="O1090" s="15" t="str">
        <f t="shared" ref="O1090:O1153" si="34">_xlfn.CONCAT(L1090," (",N1090,")")</f>
        <v>Wanquan Zhen (Wēnzhōu Shì)</v>
      </c>
      <c r="P1090" s="15" t="str">
        <f t="shared" ref="P1090:P1153" si="35">IF(COUNTIF(O:O,O1090)&gt;1,_xlfn.CONCAT(L1090," (",M1090,")"),O1090)</f>
        <v>Wanquan Zhen (Wēnzhōu Shì)</v>
      </c>
    </row>
    <row r="1091" spans="1:16" hidden="1" x14ac:dyDescent="0.25">
      <c r="A1091" t="s">
        <v>1239</v>
      </c>
      <c r="B1091" t="str">
        <f>IF(COUNTIF(A:A,A1091)&gt;1,_xlfn.CONCAT(A1091," (",N1091,")"),A1091)</f>
        <v>Wànshān Xiāng</v>
      </c>
      <c r="C1091" t="str">
        <f>IF(COUNTIF(B:B,B1091)&gt;1,_xlfn.CONCAT(A1091," (",M1091,")"),B1091)</f>
        <v>Wànshān Xiāng</v>
      </c>
      <c r="D1091" t="s">
        <v>1240</v>
      </c>
      <c r="E1091" t="s">
        <v>7</v>
      </c>
      <c r="F1091" t="str">
        <f>_xlfn.CONCAT(D1091,", ",H1091,", ",I1091,", ","浙江省")</f>
        <v>万山乡, 青田县, 丽水市, 浙江省</v>
      </c>
      <c r="G1091">
        <v>788</v>
      </c>
      <c r="H1091" t="s">
        <v>2955</v>
      </c>
      <c r="I1091" t="s">
        <v>2949</v>
      </c>
      <c r="J1091" t="e">
        <f>VLOOKUP(F1091,[1]!china_towns_second__2[[Column1]:[Y]],3,FALSE)</f>
        <v>#N/A</v>
      </c>
      <c r="K1091" t="e">
        <f>VLOOKUP(F1091,[1]!china_towns_second__2[[Column1]:[Y]],2,FALSE)</f>
        <v>#N/A</v>
      </c>
      <c r="L1091" t="s">
        <v>4724</v>
      </c>
      <c r="M1091" t="str">
        <f>VLOOKUP(H1091,CHOOSE({1,2},Table12[Native],Table12[Name]),2,0)</f>
        <v>Qīngtián Xiàn</v>
      </c>
      <c r="N1091" s="15" t="str">
        <f>VLOOKUP(I1091,CHOOSE({1,2},Table12[Native],Table12[Name]),2,0)</f>
        <v>Lìshuĭ Shì</v>
      </c>
      <c r="O1091" s="15" t="str">
        <f t="shared" si="34"/>
        <v>Wanshan Xiang (Lìshuĭ Shì)</v>
      </c>
      <c r="P1091" s="15" t="str">
        <f t="shared" si="35"/>
        <v>Wanshan Xiang (Lìshuĭ Shì)</v>
      </c>
    </row>
    <row r="1092" spans="1:16" hidden="1" x14ac:dyDescent="0.25">
      <c r="A1092" t="s">
        <v>312</v>
      </c>
      <c r="B1092" t="str">
        <f>IF(COUNTIF(A:A,A1092)&gt;1,_xlfn.CONCAT(A1092," (",N1092,")"),A1092)</f>
        <v>Wànshì Zhèn</v>
      </c>
      <c r="C1092" t="str">
        <f>IF(COUNTIF(B:B,B1092)&gt;1,_xlfn.CONCAT(A1092," (",M1092,")"),B1092)</f>
        <v>Wànshì Zhèn</v>
      </c>
      <c r="D1092" t="s">
        <v>313</v>
      </c>
      <c r="E1092" t="s">
        <v>11</v>
      </c>
      <c r="F1092" t="str">
        <f>_xlfn.CONCAT(D1092,", ",H1092,", ",I1092,", ","浙江省")</f>
        <v>万市镇, 富阳区, 杭州市, 浙江省</v>
      </c>
      <c r="G1092">
        <v>18112</v>
      </c>
      <c r="H1092" t="s">
        <v>2908</v>
      </c>
      <c r="I1092" t="s">
        <v>2903</v>
      </c>
      <c r="J1092">
        <f>VLOOKUP(F1092,[1]!china_towns_second__2[[Column1]:[Y]],3,FALSE)</f>
        <v>30.121614405504001</v>
      </c>
      <c r="K1092">
        <f>VLOOKUP(F1092,[1]!china_towns_second__2[[Column1]:[Y]],2,FALSE)</f>
        <v>119.52979980000001</v>
      </c>
      <c r="L1092" t="s">
        <v>4725</v>
      </c>
      <c r="M1092" t="str">
        <f>VLOOKUP(H1092,CHOOSE({1,2},Table12[Native],Table12[Name]),2,0)</f>
        <v>Fùyáng Qū</v>
      </c>
      <c r="N1092" s="15" t="str">
        <f>VLOOKUP(I1092,CHOOSE({1,2},Table12[Native],Table12[Name]),2,0)</f>
        <v>Hángzhōu Shì</v>
      </c>
      <c r="O1092" s="15" t="str">
        <f t="shared" si="34"/>
        <v>Wanshi Zhen (Hángzhōu Shì)</v>
      </c>
      <c r="P1092" s="15" t="str">
        <f t="shared" si="35"/>
        <v>Wanshi Zhen (Hángzhōu Shì)</v>
      </c>
    </row>
    <row r="1093" spans="1:16" hidden="1" x14ac:dyDescent="0.25">
      <c r="A1093" t="s">
        <v>1794</v>
      </c>
      <c r="B1093" t="str">
        <f>IF(COUNTIF(A:A,A1093)&gt;1,_xlfn.CONCAT(A1093," (",N1093,")"),A1093)</f>
        <v>Wàntián Xiāng</v>
      </c>
      <c r="C1093" t="str">
        <f>IF(COUNTIF(B:B,B1093)&gt;1,_xlfn.CONCAT(A1093," (",M1093,")"),B1093)</f>
        <v>Wàntián Xiāng</v>
      </c>
      <c r="D1093" t="s">
        <v>1795</v>
      </c>
      <c r="E1093" t="s">
        <v>7</v>
      </c>
      <c r="F1093" t="str">
        <f>_xlfn.CONCAT(D1093,", ",H1093,", ",I1093,", ","浙江省")</f>
        <v>万田乡, 柯城区, 衢州市, 浙江省</v>
      </c>
      <c r="G1093">
        <v>14140</v>
      </c>
      <c r="H1093" t="s">
        <v>2977</v>
      </c>
      <c r="I1093" t="s">
        <v>2973</v>
      </c>
      <c r="J1093" t="e">
        <f>VLOOKUP(F1093,[1]!china_towns_second__2[[Column1]:[Y]],3,FALSE)</f>
        <v>#N/A</v>
      </c>
      <c r="K1093" t="e">
        <f>VLOOKUP(F1093,[1]!china_towns_second__2[[Column1]:[Y]],2,FALSE)</f>
        <v>#N/A</v>
      </c>
      <c r="L1093" t="s">
        <v>4726</v>
      </c>
      <c r="M1093" t="str">
        <f>VLOOKUP(H1093,CHOOSE({1,2},Table12[Native],Table12[Name]),2,0)</f>
        <v>Kēchéng Qū</v>
      </c>
      <c r="N1093" s="15" t="str">
        <f>VLOOKUP(I1093,CHOOSE({1,2},Table12[Native],Table12[Name]),2,0)</f>
        <v>Qúzhōu Shì</v>
      </c>
      <c r="O1093" s="15" t="str">
        <f t="shared" si="34"/>
        <v>Wantian Xiang (Qúzhōu Shì)</v>
      </c>
      <c r="P1093" s="15" t="str">
        <f t="shared" si="35"/>
        <v>Wantian Xiang (Qúzhōu Shì)</v>
      </c>
    </row>
    <row r="1094" spans="1:16" hidden="1" x14ac:dyDescent="0.25">
      <c r="A1094" t="s">
        <v>1241</v>
      </c>
      <c r="B1094" t="str">
        <f>IF(COUNTIF(A:A,A1094)&gt;1,_xlfn.CONCAT(A1094," (",N1094,")"),A1094)</f>
        <v>Wànxiàng Jiēdào</v>
      </c>
      <c r="C1094" t="str">
        <f>IF(COUNTIF(B:B,B1094)&gt;1,_xlfn.CONCAT(A1094," (",M1094,")"),B1094)</f>
        <v>Wànxiàng Jiēdào</v>
      </c>
      <c r="D1094" t="s">
        <v>1242</v>
      </c>
      <c r="E1094" t="s">
        <v>15</v>
      </c>
      <c r="F1094" t="str">
        <f>_xlfn.CONCAT(D1094,", ",H1094,", ",I1094,", ","浙江省")</f>
        <v>万象街道, 莲都区, 丽水市, 浙江省</v>
      </c>
      <c r="G1094">
        <v>44789</v>
      </c>
      <c r="H1094" t="s">
        <v>2953</v>
      </c>
      <c r="I1094" t="s">
        <v>2949</v>
      </c>
      <c r="J1094">
        <f>VLOOKUP(F1094,[1]!china_towns_second__2[[Column1]:[Y]],3,FALSE)</f>
        <v>28.4448840751622</v>
      </c>
      <c r="K1094">
        <f>VLOOKUP(F1094,[1]!china_towns_second__2[[Column1]:[Y]],2,FALSE)</f>
        <v>119.8982659</v>
      </c>
      <c r="L1094" t="s">
        <v>4727</v>
      </c>
      <c r="M1094" t="str">
        <f>VLOOKUP(H1094,CHOOSE({1,2},Table12[Native],Table12[Name]),2,0)</f>
        <v>Liándū Qū</v>
      </c>
      <c r="N1094" s="15" t="str">
        <f>VLOOKUP(I1094,CHOOSE({1,2},Table12[Native],Table12[Name]),2,0)</f>
        <v>Lìshuĭ Shì</v>
      </c>
      <c r="O1094" s="15" t="str">
        <f t="shared" si="34"/>
        <v>Wanxiang Jiedao (Lìshuĭ Shì)</v>
      </c>
      <c r="P1094" s="15" t="str">
        <f t="shared" si="35"/>
        <v>Wanxiang Jiedao (Lìshuĭ Shì)</v>
      </c>
    </row>
    <row r="1095" spans="1:16" hidden="1" x14ac:dyDescent="0.25">
      <c r="A1095" t="s">
        <v>1796</v>
      </c>
      <c r="B1095" t="str">
        <f>IF(COUNTIF(A:A,A1095)&gt;1,_xlfn.CONCAT(A1095," (",N1095,")"),A1095)</f>
        <v>Wănyáo Xiāng</v>
      </c>
      <c r="C1095" t="str">
        <f>IF(COUNTIF(B:B,B1095)&gt;1,_xlfn.CONCAT(A1095," (",M1095,")"),B1095)</f>
        <v>Wănyáo Xiāng</v>
      </c>
      <c r="D1095" t="s">
        <v>1797</v>
      </c>
      <c r="E1095" t="s">
        <v>7</v>
      </c>
      <c r="F1095" t="str">
        <f>_xlfn.CONCAT(D1095,", ",H1095,", ",I1095,", ","浙江省")</f>
        <v>碗窑乡, 江山市, 衢州市, 浙江省</v>
      </c>
      <c r="G1095">
        <v>13354</v>
      </c>
      <c r="H1095" t="s">
        <v>2975</v>
      </c>
      <c r="I1095" t="s">
        <v>2973</v>
      </c>
      <c r="J1095" t="e">
        <f>VLOOKUP(F1095,[1]!china_towns_second__2[[Column1]:[Y]],3,FALSE)</f>
        <v>#N/A</v>
      </c>
      <c r="K1095" t="e">
        <f>VLOOKUP(F1095,[1]!china_towns_second__2[[Column1]:[Y]],2,FALSE)</f>
        <v>#N/A</v>
      </c>
      <c r="L1095" t="s">
        <v>4728</v>
      </c>
      <c r="M1095" t="str">
        <f>VLOOKUP(H1095,CHOOSE({1,2},Table12[Native],Table12[Name]),2,0)</f>
        <v>Jiāngshān Shì</v>
      </c>
      <c r="N1095" s="15" t="str">
        <f>VLOOKUP(I1095,CHOOSE({1,2},Table12[Native],Table12[Name]),2,0)</f>
        <v>Qúzhōu Shì</v>
      </c>
      <c r="O1095" s="15" t="str">
        <f t="shared" si="34"/>
        <v>Wanyao Xiang (Qúzhōu Shì)</v>
      </c>
      <c r="P1095" s="15" t="str">
        <f t="shared" si="35"/>
        <v>Wanyao Xiang (Qúzhōu Shì)</v>
      </c>
    </row>
    <row r="1096" spans="1:16" hidden="1" x14ac:dyDescent="0.25">
      <c r="A1096" t="s">
        <v>314</v>
      </c>
      <c r="B1096" t="str">
        <f>IF(COUNTIF(A:A,A1096)&gt;1,_xlfn.CONCAT(A1096," (",N1096,")"),A1096)</f>
        <v>Wéikĕnqū</v>
      </c>
      <c r="C1096" t="str">
        <f>IF(COUNTIF(B:B,B1096)&gt;1,_xlfn.CONCAT(A1096," (",M1096,")"),B1096)</f>
        <v>Wéikĕnqū</v>
      </c>
      <c r="D1096" t="s">
        <v>315</v>
      </c>
      <c r="E1096" t="s">
        <v>253</v>
      </c>
      <c r="F1096" t="str">
        <f>_xlfn.CONCAT(D1096,", ",H1096,", ",I1096,", ","浙江省")</f>
        <v>围垦区, 钱塘区, 杭州市, 浙江省</v>
      </c>
      <c r="G1096">
        <v>1055</v>
      </c>
      <c r="H1096" t="s">
        <v>2914</v>
      </c>
      <c r="I1096" t="s">
        <v>2903</v>
      </c>
      <c r="J1096" t="e">
        <f>VLOOKUP(F1096,[1]!china_towns_second__2[[Column1]:[Y]],3,FALSE)</f>
        <v>#N/A</v>
      </c>
      <c r="K1096" t="e">
        <f>VLOOKUP(F1096,[1]!china_towns_second__2[[Column1]:[Y]],2,FALSE)</f>
        <v>#N/A</v>
      </c>
      <c r="L1096" t="s">
        <v>4729</v>
      </c>
      <c r="M1096" t="str">
        <f>VLOOKUP(H1096,CHOOSE({1,2},Table12[Native],Table12[Name]),2,0)</f>
        <v>Qiántáng Qū</v>
      </c>
      <c r="N1096" s="15" t="str">
        <f>VLOOKUP(I1096,CHOOSE({1,2},Table12[Native],Table12[Name]),2,0)</f>
        <v>Hángzhōu Shì</v>
      </c>
      <c r="O1096" s="15" t="str">
        <f t="shared" si="34"/>
        <v>Weikenqu (Hángzhōu Shì)</v>
      </c>
      <c r="P1096" s="15" t="str">
        <f t="shared" si="35"/>
        <v>Weikenqu (Hángzhōu Shì)</v>
      </c>
    </row>
    <row r="1097" spans="1:16" hidden="1" x14ac:dyDescent="0.25">
      <c r="A1097" t="s">
        <v>316</v>
      </c>
      <c r="B1097" t="str">
        <f>IF(COUNTIF(A:A,A1097)&gt;1,_xlfn.CONCAT(A1097," (",N1097,")"),A1097)</f>
        <v>Wēipíng Zhèn</v>
      </c>
      <c r="C1097" t="str">
        <f>IF(COUNTIF(B:B,B1097)&gt;1,_xlfn.CONCAT(A1097," (",M1097,")"),B1097)</f>
        <v>Wēipíng Zhèn</v>
      </c>
      <c r="D1097" t="s">
        <v>317</v>
      </c>
      <c r="E1097" t="s">
        <v>11</v>
      </c>
      <c r="F1097" t="str">
        <f>_xlfn.CONCAT(D1097,", ",H1097,", ",I1097,", ","浙江省")</f>
        <v>威坪镇, 淳安县, 杭州市, 浙江省</v>
      </c>
      <c r="G1097">
        <v>29857</v>
      </c>
      <c r="H1097" t="s">
        <v>2907</v>
      </c>
      <c r="I1097" t="s">
        <v>2903</v>
      </c>
      <c r="J1097">
        <f>VLOOKUP(F1097,[1]!china_towns_second__2[[Column1]:[Y]],3,FALSE)</f>
        <v>29.801047078507601</v>
      </c>
      <c r="K1097">
        <f>VLOOKUP(F1097,[1]!china_towns_second__2[[Column1]:[Y]],2,FALSE)</f>
        <v>118.81772170000001</v>
      </c>
      <c r="L1097" t="s">
        <v>4730</v>
      </c>
      <c r="M1097" t="str">
        <f>VLOOKUP(H1097,CHOOSE({1,2},Table12[Native],Table12[Name]),2,0)</f>
        <v>Chún'ān Xiàn</v>
      </c>
      <c r="N1097" s="15" t="str">
        <f>VLOOKUP(I1097,CHOOSE({1,2},Table12[Native],Table12[Name]),2,0)</f>
        <v>Hángzhōu Shì</v>
      </c>
      <c r="O1097" s="15" t="str">
        <f t="shared" si="34"/>
        <v>Weiping Zhen (Hángzhōu Shì)</v>
      </c>
      <c r="P1097" s="15" t="str">
        <f t="shared" si="35"/>
        <v>Weiping Zhen (Hángzhōu Shì)</v>
      </c>
    </row>
    <row r="1098" spans="1:16" hidden="1" x14ac:dyDescent="0.25">
      <c r="A1098" t="s">
        <v>927</v>
      </c>
      <c r="B1098" t="str">
        <f>IF(COUNTIF(A:A,A1098)&gt;1,_xlfn.CONCAT(A1098," (",N1098,")"),A1098)</f>
        <v>Wēishān Zhèn</v>
      </c>
      <c r="C1098" t="str">
        <f>IF(COUNTIF(B:B,B1098)&gt;1,_xlfn.CONCAT(A1098," (",M1098,")"),B1098)</f>
        <v>Wēishān Zhèn</v>
      </c>
      <c r="D1098" t="s">
        <v>928</v>
      </c>
      <c r="E1098" t="s">
        <v>11</v>
      </c>
      <c r="F1098" t="str">
        <f>_xlfn.CONCAT(D1098,", ",H1098,", ",I1098,", ","浙江省")</f>
        <v>巍山镇, 东阳市, 金华市, 浙江省</v>
      </c>
      <c r="G1098">
        <v>51898</v>
      </c>
      <c r="H1098" t="s">
        <v>2939</v>
      </c>
      <c r="I1098" t="s">
        <v>2938</v>
      </c>
      <c r="J1098">
        <f>VLOOKUP(F1098,[1]!china_towns_second__2[[Column1]:[Y]],3,FALSE)</f>
        <v>29.367578632730702</v>
      </c>
      <c r="K1098">
        <f>VLOOKUP(F1098,[1]!china_towns_second__2[[Column1]:[Y]],2,FALSE)</f>
        <v>120.4193507</v>
      </c>
      <c r="L1098" t="s">
        <v>4731</v>
      </c>
      <c r="M1098" t="str">
        <f>VLOOKUP(H1098,CHOOSE({1,2},Table12[Native],Table12[Name]),2,0)</f>
        <v>Dōngyáng Shì</v>
      </c>
      <c r="N1098" s="15" t="str">
        <f>VLOOKUP(I1098,CHOOSE({1,2},Table12[Native],Table12[Name]),2,0)</f>
        <v>Jīnhuá Shì</v>
      </c>
      <c r="O1098" s="15" t="str">
        <f t="shared" si="34"/>
        <v>Weishan Zhen (Jīnhuá Shì)</v>
      </c>
      <c r="P1098" s="15" t="str">
        <f t="shared" si="35"/>
        <v>Weishan Zhen (Jīnhuá Shì)</v>
      </c>
    </row>
    <row r="1099" spans="1:16" hidden="1" x14ac:dyDescent="0.25">
      <c r="A1099" t="s">
        <v>649</v>
      </c>
      <c r="B1099" t="str">
        <f>IF(COUNTIF(A:A,A1099)&gt;1,_xlfn.CONCAT(A1099," (",N1099,")"),A1099)</f>
        <v>Wèitáng Jiēdào</v>
      </c>
      <c r="C1099" t="str">
        <f>IF(COUNTIF(B:B,B1099)&gt;1,_xlfn.CONCAT(A1099," (",M1099,")"),B1099)</f>
        <v>Wèitáng Jiēdào</v>
      </c>
      <c r="D1099" t="s">
        <v>650</v>
      </c>
      <c r="E1099" t="s">
        <v>15</v>
      </c>
      <c r="F1099" t="str">
        <f>_xlfn.CONCAT(D1099,", ",H1099,", ",I1099,", ","浙江省")</f>
        <v>魏塘街道, 嘉善县, 嘉兴市, 浙江省</v>
      </c>
      <c r="G1099">
        <v>171290</v>
      </c>
      <c r="H1099" t="s">
        <v>2932</v>
      </c>
      <c r="I1099" t="s">
        <v>2929</v>
      </c>
      <c r="J1099">
        <f>VLOOKUP(F1099,[1]!china_towns_second__2[[Column1]:[Y]],3,FALSE)</f>
        <v>30.869846023722801</v>
      </c>
      <c r="K1099">
        <f>VLOOKUP(F1099,[1]!china_towns_second__2[[Column1]:[Y]],2,FALSE)</f>
        <v>120.9143516</v>
      </c>
      <c r="L1099" t="s">
        <v>4732</v>
      </c>
      <c r="M1099" t="str">
        <f>VLOOKUP(H1099,CHOOSE({1,2},Table12[Native],Table12[Name]),2,0)</f>
        <v>Jiāshàn Xiàn</v>
      </c>
      <c r="N1099" s="15" t="str">
        <f>VLOOKUP(I1099,CHOOSE({1,2},Table12[Native],Table12[Name]),2,0)</f>
        <v>Jiāxīng Shì</v>
      </c>
      <c r="O1099" s="15" t="str">
        <f t="shared" si="34"/>
        <v>Weitang Jiedao (Jiāxīng Shì)</v>
      </c>
      <c r="P1099" s="15" t="str">
        <f t="shared" si="35"/>
        <v>Weitang Jiedao (Jiāxīng Shì)</v>
      </c>
    </row>
    <row r="1100" spans="1:16" hidden="1" x14ac:dyDescent="0.25">
      <c r="A1100" t="s">
        <v>2674</v>
      </c>
      <c r="B1100" t="str">
        <f>IF(COUNTIF(A:A,A1100)&gt;1,_xlfn.CONCAT(A1100," (",N1100,")"),A1100)</f>
        <v>Wéixīn Xiāng</v>
      </c>
      <c r="C1100" t="str">
        <f>IF(COUNTIF(B:B,B1100)&gt;1,_xlfn.CONCAT(A1100," (",M1100,")"),B1100)</f>
        <v>Wéixīn Xiāng</v>
      </c>
      <c r="D1100" t="s">
        <v>2675</v>
      </c>
      <c r="E1100" t="s">
        <v>7</v>
      </c>
      <c r="F1100" t="str">
        <f>_xlfn.CONCAT(D1100,", ",H1100,", ",I1100,", ","浙江省")</f>
        <v>维新乡, 平阳县, 温州市, 浙江省</v>
      </c>
      <c r="G1100">
        <v>1622</v>
      </c>
      <c r="H1100" t="s">
        <v>3006</v>
      </c>
      <c r="I1100" t="s">
        <v>3000</v>
      </c>
      <c r="J1100" t="e">
        <f>VLOOKUP(F1100,[1]!china_towns_second__2[[Column1]:[Y]],3,FALSE)</f>
        <v>#N/A</v>
      </c>
      <c r="K1100" t="e">
        <f>VLOOKUP(F1100,[1]!china_towns_second__2[[Column1]:[Y]],2,FALSE)</f>
        <v>#N/A</v>
      </c>
      <c r="L1100" t="s">
        <v>4733</v>
      </c>
      <c r="M1100" t="str">
        <f>VLOOKUP(H1100,CHOOSE({1,2},Table12[Native],Table12[Name]),2,0)</f>
        <v>Píngyáng Xiàn</v>
      </c>
      <c r="N1100" s="15" t="str">
        <f>VLOOKUP(I1100,CHOOSE({1,2},Table12[Native],Table12[Name]),2,0)</f>
        <v>Wēnzhōu Shì</v>
      </c>
      <c r="O1100" s="15" t="str">
        <f t="shared" si="34"/>
        <v>Weixin Xiang (Wēnzhōu Shì)</v>
      </c>
      <c r="P1100" s="15" t="str">
        <f t="shared" si="35"/>
        <v>Weixin Xiang (Wēnzhōu Shì)</v>
      </c>
    </row>
    <row r="1101" spans="1:16" hidden="1" x14ac:dyDescent="0.25">
      <c r="A1101" t="s">
        <v>318</v>
      </c>
      <c r="B1101" t="str">
        <f>IF(COUNTIF(A:A,A1101)&gt;1,_xlfn.CONCAT(A1101," (",N1101,")"),A1101)</f>
        <v>Wénchāng Zhèn</v>
      </c>
      <c r="C1101" t="str">
        <f>IF(COUNTIF(B:B,B1101)&gt;1,_xlfn.CONCAT(A1101," (",M1101,")"),B1101)</f>
        <v>Wénchāng Zhèn</v>
      </c>
      <c r="D1101" t="s">
        <v>319</v>
      </c>
      <c r="E1101" t="s">
        <v>11</v>
      </c>
      <c r="F1101" t="str">
        <f>_xlfn.CONCAT(D1101,", ",H1101,", ",I1101,", ","浙江省")</f>
        <v>文昌镇, 淳安县, 杭州市, 浙江省</v>
      </c>
      <c r="G1101">
        <v>8760</v>
      </c>
      <c r="H1101" t="s">
        <v>2907</v>
      </c>
      <c r="I1101" t="s">
        <v>2903</v>
      </c>
      <c r="J1101">
        <f>VLOOKUP(F1101,[1]!china_towns_second__2[[Column1]:[Y]],3,FALSE)</f>
        <v>29.759667821758502</v>
      </c>
      <c r="K1101">
        <f>VLOOKUP(F1101,[1]!china_towns_second__2[[Column1]:[Y]],2,FALSE)</f>
        <v>119.1943675</v>
      </c>
      <c r="L1101" t="s">
        <v>4734</v>
      </c>
      <c r="M1101" t="str">
        <f>VLOOKUP(H1101,CHOOSE({1,2},Table12[Native],Table12[Name]),2,0)</f>
        <v>Chún'ān Xiàn</v>
      </c>
      <c r="N1101" s="15" t="str">
        <f>VLOOKUP(I1101,CHOOSE({1,2},Table12[Native],Table12[Name]),2,0)</f>
        <v>Hángzhōu Shì</v>
      </c>
      <c r="O1101" s="15" t="str">
        <f t="shared" si="34"/>
        <v>Wenchang Zhen (Hángzhōu Shì)</v>
      </c>
      <c r="P1101" s="15" t="str">
        <f t="shared" si="35"/>
        <v>Wenchang Zhen (Hángzhōu Shì)</v>
      </c>
    </row>
    <row r="1102" spans="1:16" hidden="1" x14ac:dyDescent="0.25">
      <c r="A1102" t="s">
        <v>2676</v>
      </c>
      <c r="B1102" t="str">
        <f>IF(COUNTIF(A:A,A1102)&gt;1,_xlfn.CONCAT(A1102," (",N1102,")"),A1102)</f>
        <v>Wēngshān Xiāng</v>
      </c>
      <c r="C1102" t="str">
        <f>IF(COUNTIF(B:B,B1102)&gt;1,_xlfn.CONCAT(A1102," (",M1102,")"),B1102)</f>
        <v>Wēngshān Xiāng</v>
      </c>
      <c r="D1102" t="s">
        <v>2677</v>
      </c>
      <c r="E1102" t="s">
        <v>7</v>
      </c>
      <c r="F1102" t="str">
        <f>_xlfn.CONCAT(D1102,", ",H1102,", ",I1102,", ","浙江省")</f>
        <v>翁山乡, 泰顺县, 温州市, 浙江省</v>
      </c>
      <c r="G1102">
        <v>2675</v>
      </c>
      <c r="H1102" t="s">
        <v>3008</v>
      </c>
      <c r="I1102" t="s">
        <v>3000</v>
      </c>
      <c r="J1102" t="e">
        <f>VLOOKUP(F1102,[1]!china_towns_second__2[[Column1]:[Y]],3,FALSE)</f>
        <v>#N/A</v>
      </c>
      <c r="K1102" t="e">
        <f>VLOOKUP(F1102,[1]!china_towns_second__2[[Column1]:[Y]],2,FALSE)</f>
        <v>#N/A</v>
      </c>
      <c r="L1102" t="s">
        <v>4735</v>
      </c>
      <c r="M1102" t="str">
        <f>VLOOKUP(H1102,CHOOSE({1,2},Table12[Native],Table12[Name]),2,0)</f>
        <v>Tàishùn Xiàn</v>
      </c>
      <c r="N1102" s="15" t="str">
        <f>VLOOKUP(I1102,CHOOSE({1,2},Table12[Native],Table12[Name]),2,0)</f>
        <v>Wēnzhōu Shì</v>
      </c>
      <c r="O1102" s="15" t="str">
        <f t="shared" si="34"/>
        <v>Wengshan Xiang (Wēnzhōu Shì)</v>
      </c>
      <c r="P1102" s="15" t="str">
        <f t="shared" si="35"/>
        <v>Wengshan Xiang (Wēnzhōu Shì)</v>
      </c>
    </row>
    <row r="1103" spans="1:16" hidden="1" x14ac:dyDescent="0.25">
      <c r="A1103" t="s">
        <v>2678</v>
      </c>
      <c r="B1103" t="str">
        <f>IF(COUNTIF(A:A,A1103)&gt;1,_xlfn.CONCAT(A1103," (",N1103,")"),A1103)</f>
        <v>Wēngyáng Jiēdào</v>
      </c>
      <c r="C1103" t="str">
        <f>IF(COUNTIF(B:B,B1103)&gt;1,_xlfn.CONCAT(A1103," (",M1103,")"),B1103)</f>
        <v>Wēngyáng Jiēdào</v>
      </c>
      <c r="D1103" t="s">
        <v>2679</v>
      </c>
      <c r="E1103" t="s">
        <v>15</v>
      </c>
      <c r="F1103" t="str">
        <f>_xlfn.CONCAT(D1103,", ",H1103,", ",I1103,", ","浙江省")</f>
        <v>翁垟街道, 乐清市, 温州市, 浙江省</v>
      </c>
      <c r="G1103">
        <v>56887</v>
      </c>
      <c r="H1103" t="s">
        <v>3011</v>
      </c>
      <c r="I1103" t="s">
        <v>3000</v>
      </c>
      <c r="J1103">
        <f>VLOOKUP(F1103,[1]!china_towns_second__2[[Column1]:[Y]],3,FALSE)</f>
        <v>28.027504749348601</v>
      </c>
      <c r="K1103">
        <f>VLOOKUP(F1103,[1]!china_towns_second__2[[Column1]:[Y]],2,FALSE)</f>
        <v>120.9864027</v>
      </c>
      <c r="L1103" t="s">
        <v>4736</v>
      </c>
      <c r="M1103" t="str">
        <f>VLOOKUP(H1103,CHOOSE({1,2},Table12[Native],Table12[Name]),2,0)</f>
        <v>Yuèqīng Shì</v>
      </c>
      <c r="N1103" s="15" t="str">
        <f>VLOOKUP(I1103,CHOOSE({1,2},Table12[Native],Table12[Name]),2,0)</f>
        <v>Wēnzhōu Shì</v>
      </c>
      <c r="O1103" s="15" t="str">
        <f t="shared" si="34"/>
        <v>Wengyang Jiedao (Wēnzhōu Shì)</v>
      </c>
      <c r="P1103" s="15" t="str">
        <f t="shared" si="35"/>
        <v>Wengyang Jiedao (Wēnzhōu Shì)</v>
      </c>
    </row>
    <row r="1104" spans="1:16" hidden="1" x14ac:dyDescent="0.25">
      <c r="A1104" t="s">
        <v>320</v>
      </c>
      <c r="B1104" t="str">
        <f>IF(COUNTIF(A:A,A1104)&gt;1,_xlfn.CONCAT(A1104," (",N1104,")"),A1104)</f>
        <v>Wénhuī Jiēdào</v>
      </c>
      <c r="C1104" t="str">
        <f>IF(COUNTIF(B:B,B1104)&gt;1,_xlfn.CONCAT(A1104," (",M1104,")"),B1104)</f>
        <v>Wénhuī Jiēdào</v>
      </c>
      <c r="D1104" t="s">
        <v>321</v>
      </c>
      <c r="E1104" t="s">
        <v>15</v>
      </c>
      <c r="F1104" t="str">
        <f>_xlfn.CONCAT(D1104,", ",H1104,", ",I1104,", ","浙江省")</f>
        <v>文晖街道, 拱墅区, 杭州市, 浙江省</v>
      </c>
      <c r="G1104">
        <v>55330</v>
      </c>
      <c r="H1104" t="s">
        <v>2909</v>
      </c>
      <c r="I1104" t="s">
        <v>2903</v>
      </c>
      <c r="J1104" t="e">
        <f>VLOOKUP(F1104,[1]!china_towns_second__2[[Column1]:[Y]],3,FALSE)</f>
        <v>#N/A</v>
      </c>
      <c r="K1104" t="e">
        <f>VLOOKUP(F1104,[1]!china_towns_second__2[[Column1]:[Y]],2,FALSE)</f>
        <v>#N/A</v>
      </c>
      <c r="L1104" t="s">
        <v>4737</v>
      </c>
      <c r="M1104" t="str">
        <f>VLOOKUP(H1104,CHOOSE({1,2},Table12[Native],Table12[Name]),2,0)</f>
        <v>Gŏngshù Qū</v>
      </c>
      <c r="N1104" s="15" t="str">
        <f>VLOOKUP(I1104,CHOOSE({1,2},Table12[Native],Table12[Name]),2,0)</f>
        <v>Hángzhōu Shì</v>
      </c>
      <c r="O1104" s="15" t="str">
        <f t="shared" si="34"/>
        <v>Wenhui Jiedao (Hángzhōu Shì)</v>
      </c>
      <c r="P1104" s="15" t="str">
        <f t="shared" si="35"/>
        <v>Wenhui Jiedao (Hángzhōu Shì)</v>
      </c>
    </row>
    <row r="1105" spans="1:16" hidden="1" x14ac:dyDescent="0.25">
      <c r="A1105" t="s">
        <v>1563</v>
      </c>
      <c r="B1105" t="str">
        <f>IF(COUNTIF(A:A,A1105)&gt;1,_xlfn.CONCAT(A1105," (",N1105,")"),A1105)</f>
        <v>Wénjiào Jiēdào</v>
      </c>
      <c r="C1105" t="str">
        <f>IF(COUNTIF(B:B,B1105)&gt;1,_xlfn.CONCAT(A1105," (",M1105,")"),B1105)</f>
        <v>Wénjiào Jiēdào</v>
      </c>
      <c r="D1105" t="s">
        <v>1564</v>
      </c>
      <c r="E1105" t="s">
        <v>15</v>
      </c>
      <c r="F1105" t="str">
        <f>_xlfn.CONCAT(D1105,", ",H1105,", ",I1105,", ","浙江省")</f>
        <v>文教街道, 江北区, 宁波市, 浙江省</v>
      </c>
      <c r="G1105">
        <v>37104</v>
      </c>
      <c r="H1105" t="s">
        <v>2966</v>
      </c>
      <c r="I1105" t="s">
        <v>2961</v>
      </c>
      <c r="J1105">
        <f>VLOOKUP(F1105,[1]!china_towns_second__2[[Column1]:[Y]],3,FALSE)</f>
        <v>29.898809678534398</v>
      </c>
      <c r="K1105">
        <f>VLOOKUP(F1105,[1]!china_towns_second__2[[Column1]:[Y]],2,FALSE)</f>
        <v>121.5371169</v>
      </c>
      <c r="L1105" t="s">
        <v>4738</v>
      </c>
      <c r="M1105" t="str">
        <f>VLOOKUP(H1105,CHOOSE({1,2},Table12[Native],Table12[Name]),2,0)</f>
        <v>Jiāngbĕi Qū</v>
      </c>
      <c r="N1105" s="15" t="str">
        <f>VLOOKUP(I1105,CHOOSE({1,2},Table12[Native],Table12[Name]),2,0)</f>
        <v>Níngbō Shì</v>
      </c>
      <c r="O1105" s="15" t="str">
        <f t="shared" si="34"/>
        <v>Wenjiao Jiedao (Níngbō Shì)</v>
      </c>
      <c r="P1105" s="15" t="str">
        <f t="shared" si="35"/>
        <v>Wenjiao Jiedao (Níngbō Shì)</v>
      </c>
    </row>
    <row r="1106" spans="1:16" hidden="1" x14ac:dyDescent="0.25">
      <c r="A1106" t="s">
        <v>2229</v>
      </c>
      <c r="B1106" t="str">
        <f>IF(COUNTIF(A:A,A1106)&gt;1,_xlfn.CONCAT(A1106," (",N1106,")"),A1106)</f>
        <v>Wēnjiào Zhèn</v>
      </c>
      <c r="C1106" t="str">
        <f>IF(COUNTIF(B:B,B1106)&gt;1,_xlfn.CONCAT(A1106," (",M1106,")"),B1106)</f>
        <v>Wēnjiào Zhèn</v>
      </c>
      <c r="D1106" t="s">
        <v>2230</v>
      </c>
      <c r="E1106" t="s">
        <v>11</v>
      </c>
      <c r="F1106" t="str">
        <f>_xlfn.CONCAT(D1106,", ",H1106,", ",I1106,", ","浙江省")</f>
        <v>温峤镇, 温岭市, 台州市, 浙江省</v>
      </c>
      <c r="G1106">
        <v>73918</v>
      </c>
      <c r="H1106" t="s">
        <v>2996</v>
      </c>
      <c r="I1106" t="s">
        <v>2989</v>
      </c>
      <c r="J1106">
        <f>VLOOKUP(F1106,[1]!china_towns_second__2[[Column1]:[Y]],3,FALSE)</f>
        <v>28.3804974994875</v>
      </c>
      <c r="K1106">
        <f>VLOOKUP(F1106,[1]!china_towns_second__2[[Column1]:[Y]],2,FALSE)</f>
        <v>121.27409950000001</v>
      </c>
      <c r="L1106" t="s">
        <v>4739</v>
      </c>
      <c r="M1106" t="str">
        <f>VLOOKUP(H1106,CHOOSE({1,2},Table12[Native],Table12[Name]),2,0)</f>
        <v>Wēnlĭng Shì</v>
      </c>
      <c r="N1106" s="15" t="str">
        <f>VLOOKUP(I1106,CHOOSE({1,2},Table12[Native],Table12[Name]),2,0)</f>
        <v>Táizhōu Shì</v>
      </c>
      <c r="O1106" s="15" t="str">
        <f t="shared" si="34"/>
        <v>Wenjiao Zhen (Táizhōu Shì)</v>
      </c>
      <c r="P1106" s="15" t="str">
        <f t="shared" si="35"/>
        <v>Wenjiao Zhen (Táizhōu Shì)</v>
      </c>
    </row>
    <row r="1107" spans="1:16" hidden="1" x14ac:dyDescent="0.25">
      <c r="A1107" t="s">
        <v>1243</v>
      </c>
      <c r="B1107" t="str">
        <f>IF(COUNTIF(A:A,A1107)&gt;1,_xlfn.CONCAT(A1107," (",N1107,")"),A1107)</f>
        <v>Wēnxī Zhèn</v>
      </c>
      <c r="C1107" t="str">
        <f>IF(COUNTIF(B:B,B1107)&gt;1,_xlfn.CONCAT(A1107," (",M1107,")"),B1107)</f>
        <v>Wēnxī Zhèn</v>
      </c>
      <c r="D1107" t="s">
        <v>1244</v>
      </c>
      <c r="E1107" t="s">
        <v>11</v>
      </c>
      <c r="F1107" t="str">
        <f>_xlfn.CONCAT(D1107,", ",H1107,", ",I1107,", ","浙江省")</f>
        <v>温溪镇, 青田县, 丽水市, 浙江省</v>
      </c>
      <c r="G1107">
        <v>62407</v>
      </c>
      <c r="H1107" t="s">
        <v>2955</v>
      </c>
      <c r="I1107" t="s">
        <v>2949</v>
      </c>
      <c r="J1107">
        <f>VLOOKUP(F1107,[1]!china_towns_second__2[[Column1]:[Y]],3,FALSE)</f>
        <v>28.148353745756499</v>
      </c>
      <c r="K1107">
        <f>VLOOKUP(F1107,[1]!china_towns_second__2[[Column1]:[Y]],2,FALSE)</f>
        <v>120.3756118</v>
      </c>
      <c r="L1107" t="s">
        <v>4740</v>
      </c>
      <c r="M1107" t="str">
        <f>VLOOKUP(H1107,CHOOSE({1,2},Table12[Native],Table12[Name]),2,0)</f>
        <v>Qīngtián Xiàn</v>
      </c>
      <c r="N1107" s="15" t="str">
        <f>VLOOKUP(I1107,CHOOSE({1,2},Table12[Native],Table12[Name]),2,0)</f>
        <v>Lìshuĭ Shì</v>
      </c>
      <c r="O1107" s="15" t="str">
        <f t="shared" si="34"/>
        <v>Wenxi Zhen (Lìshuĭ Shì)</v>
      </c>
      <c r="P1107" s="15" t="str">
        <f t="shared" si="35"/>
        <v>Wenxi Zhen (Lìshuĭ Shì)</v>
      </c>
    </row>
    <row r="1108" spans="1:16" hidden="1" x14ac:dyDescent="0.25">
      <c r="A1108" t="s">
        <v>322</v>
      </c>
      <c r="B1108" t="str">
        <f>IF(COUNTIF(A:A,A1108)&gt;1,_xlfn.CONCAT(A1108," (",N1108,")"),A1108)</f>
        <v>Wénxīn Jiēdào</v>
      </c>
      <c r="C1108" t="str">
        <f>IF(COUNTIF(B:B,B1108)&gt;1,_xlfn.CONCAT(A1108," (",M1108,")"),B1108)</f>
        <v>Wénxīn Jiēdào</v>
      </c>
      <c r="D1108" t="s">
        <v>323</v>
      </c>
      <c r="E1108" t="s">
        <v>15</v>
      </c>
      <c r="F1108" t="str">
        <f>_xlfn.CONCAT(D1108,", ",H1108,", ",I1108,", ","浙江省")</f>
        <v>文新街道, 西湖区, 杭州市, 浙江省</v>
      </c>
      <c r="G1108">
        <v>87907</v>
      </c>
      <c r="H1108" t="s">
        <v>2918</v>
      </c>
      <c r="I1108" t="s">
        <v>2903</v>
      </c>
      <c r="J1108">
        <f>VLOOKUP(F1108,[1]!china_towns_second__2[[Column1]:[Y]],3,FALSE)</f>
        <v>30.284992572166701</v>
      </c>
      <c r="K1108">
        <f>VLOOKUP(F1108,[1]!china_towns_second__2[[Column1]:[Y]],2,FALSE)</f>
        <v>120.0928105</v>
      </c>
      <c r="L1108" t="s">
        <v>4741</v>
      </c>
      <c r="M1108" t="str">
        <f>VLOOKUP(H1108,CHOOSE({1,2},Table12[Native],Table12[Name]),2,0)</f>
        <v>Xīhú Qū</v>
      </c>
      <c r="N1108" s="15" t="str">
        <f>VLOOKUP(I1108,CHOOSE({1,2},Table12[Native],Table12[Name]),2,0)</f>
        <v>Hángzhōu Shì</v>
      </c>
      <c r="O1108" s="15" t="str">
        <f t="shared" si="34"/>
        <v>Wenxin Jiedao (Hángzhōu Shì)</v>
      </c>
      <c r="P1108" s="15" t="str">
        <f t="shared" si="35"/>
        <v>Wenxin Jiedao (Hángzhōu Shì)</v>
      </c>
    </row>
    <row r="1109" spans="1:16" hidden="1" x14ac:dyDescent="0.25">
      <c r="A1109" t="s">
        <v>324</v>
      </c>
      <c r="B1109" t="str">
        <f>IF(COUNTIF(A:A,A1109)&gt;1,_xlfn.CONCAT(A1109," (",N1109,")"),A1109)</f>
        <v>Wényàn Jiēdào</v>
      </c>
      <c r="C1109" t="str">
        <f>IF(COUNTIF(B:B,B1109)&gt;1,_xlfn.CONCAT(A1109," (",M1109,")"),B1109)</f>
        <v>Wényàn Jiēdào</v>
      </c>
      <c r="D1109" t="s">
        <v>325</v>
      </c>
      <c r="E1109" t="s">
        <v>15</v>
      </c>
      <c r="F1109" t="str">
        <f>_xlfn.CONCAT(D1109,", ",H1109,", ",I1109,", ","浙江省")</f>
        <v>闻堰街道, 萧山区, 杭州市, 浙江省</v>
      </c>
      <c r="G1109">
        <v>44453</v>
      </c>
      <c r="H1109" t="s">
        <v>2917</v>
      </c>
      <c r="I1109" t="s">
        <v>2903</v>
      </c>
      <c r="J1109" t="e">
        <f>VLOOKUP(F1109,[1]!china_towns_second__2[[Column1]:[Y]],3,FALSE)</f>
        <v>#N/A</v>
      </c>
      <c r="K1109" t="e">
        <f>VLOOKUP(F1109,[1]!china_towns_second__2[[Column1]:[Y]],2,FALSE)</f>
        <v>#N/A</v>
      </c>
      <c r="L1109" t="s">
        <v>4742</v>
      </c>
      <c r="M1109" t="str">
        <f>VLOOKUP(H1109,CHOOSE({1,2},Table12[Native],Table12[Name]),2,0)</f>
        <v>Xiāoshān Qū</v>
      </c>
      <c r="N1109" s="15" t="str">
        <f>VLOOKUP(I1109,CHOOSE({1,2},Table12[Native],Table12[Name]),2,0)</f>
        <v>Hángzhōu Shì</v>
      </c>
      <c r="O1109" s="15" t="str">
        <f t="shared" si="34"/>
        <v>Wenyan Jiedao (Hángzhōu Shì)</v>
      </c>
      <c r="P1109" s="15" t="str">
        <f t="shared" si="35"/>
        <v>Wenyan Jiedao (Hángzhōu Shì)</v>
      </c>
    </row>
    <row r="1110" spans="1:16" hidden="1" x14ac:dyDescent="0.25">
      <c r="A1110" t="s">
        <v>2680</v>
      </c>
      <c r="B1110" t="str">
        <f>IF(COUNTIF(A:A,A1110)&gt;1,_xlfn.CONCAT(A1110," (",N1110,")"),A1110)</f>
        <v>Wēnzhōu Jīngjì Jìshù Kāifāqū</v>
      </c>
      <c r="C1110" t="str">
        <f>IF(COUNTIF(B:B,B1110)&gt;1,_xlfn.CONCAT(A1110," (",M1110,")"),B1110)</f>
        <v>Wēnzhōu Jīngjì Jìshù Kāifāqū</v>
      </c>
      <c r="D1110" t="s">
        <v>2681</v>
      </c>
      <c r="E1110" t="s">
        <v>253</v>
      </c>
      <c r="F1110" t="str">
        <f>_xlfn.CONCAT(D1110,", ",H1110,", ",I1110,", ","浙江省")</f>
        <v>温州经济技术开发区, 龙湾区, 温州市, 浙江省</v>
      </c>
      <c r="G1110">
        <v>84896</v>
      </c>
      <c r="H1110" t="s">
        <v>3003</v>
      </c>
      <c r="I1110" t="s">
        <v>3000</v>
      </c>
      <c r="J1110" t="e">
        <f>VLOOKUP(F1110,[1]!china_towns_second__2[[Column1]:[Y]],3,FALSE)</f>
        <v>#N/A</v>
      </c>
      <c r="K1110" t="e">
        <f>VLOOKUP(F1110,[1]!china_towns_second__2[[Column1]:[Y]],2,FALSE)</f>
        <v>#N/A</v>
      </c>
      <c r="L1110" t="s">
        <v>4743</v>
      </c>
      <c r="M1110" t="str">
        <f>VLOOKUP(H1110,CHOOSE({1,2},Table12[Native],Table12[Name]),2,0)</f>
        <v>Lóngwān Qū</v>
      </c>
      <c r="N1110" s="15" t="str">
        <f>VLOOKUP(I1110,CHOOSE({1,2},Table12[Native],Table12[Name]),2,0)</f>
        <v>Wēnzhōu Shì</v>
      </c>
      <c r="O1110" s="15" t="str">
        <f t="shared" si="34"/>
        <v>Wenzhou Jingji Jishu Kaifaqu (Wēnzhōu Shì)</v>
      </c>
      <c r="P1110" s="15" t="str">
        <f t="shared" si="35"/>
        <v>Wenzhou Jingji Jishu Kaifaqu (Wēnzhōu Shì)</v>
      </c>
    </row>
    <row r="1111" spans="1:16" hidden="1" x14ac:dyDescent="0.25">
      <c r="A1111" t="s">
        <v>2000</v>
      </c>
      <c r="B1111" t="str">
        <f>IF(COUNTIF(A:A,A1111)&gt;1,_xlfn.CONCAT(A1111," (",N1111,")"),A1111)</f>
        <v>Wòzhōu Zhèn [Dàshìjù Zhèn]</v>
      </c>
      <c r="C1111" t="str">
        <f>IF(COUNTIF(B:B,B1111)&gt;1,_xlfn.CONCAT(A1111," (",M1111,")"),B1111)</f>
        <v>Wòzhōu Zhèn [Dàshìjù Zhèn]</v>
      </c>
      <c r="D1111" t="s">
        <v>2001</v>
      </c>
      <c r="E1111" t="s">
        <v>11</v>
      </c>
      <c r="F1111" t="str">
        <f>_xlfn.CONCAT(D1111,", ",H1111,", ",I1111,", ","浙江省")</f>
        <v>沃洲镇, 新昌县, 绍兴市, 浙江省</v>
      </c>
      <c r="G1111">
        <v>23730</v>
      </c>
      <c r="H1111" t="s">
        <v>2985</v>
      </c>
      <c r="I1111" t="s">
        <v>2981</v>
      </c>
      <c r="J1111">
        <f>VLOOKUP(F1111,[1]!china_towns_second__2[[Column1]:[Y]],3,FALSE)</f>
        <v>29.495966860176999</v>
      </c>
      <c r="K1111">
        <f>VLOOKUP(F1111,[1]!china_towns_second__2[[Column1]:[Y]],2,FALSE)</f>
        <v>121.0546104</v>
      </c>
      <c r="L1111" t="s">
        <v>4744</v>
      </c>
      <c r="M1111" t="str">
        <f>VLOOKUP(H1111,CHOOSE({1,2},Table12[Native],Table12[Name]),2,0)</f>
        <v>Xīnchāng Xiàn</v>
      </c>
      <c r="N1111" s="15" t="str">
        <f>VLOOKUP(I1111,CHOOSE({1,2},Table12[Native],Table12[Name]),2,0)</f>
        <v>Shàoxīng Shì</v>
      </c>
      <c r="O1111" s="15" t="str">
        <f t="shared" si="34"/>
        <v>Wozhou Zhen [Dashiju Zhen] (Shàoxīng Shì)</v>
      </c>
      <c r="P1111" s="15" t="str">
        <f t="shared" si="35"/>
        <v>Wozhou Zhen [Dashiju Zhen] (Shàoxīng Shì)</v>
      </c>
    </row>
    <row r="1112" spans="1:16" hidden="1" x14ac:dyDescent="0.25">
      <c r="A1112" t="s">
        <v>2688</v>
      </c>
      <c r="B1112" t="str">
        <f>IF(COUNTIF(A:A,A1112)&gt;1,_xlfn.CONCAT(A1112," (",N1112,")"),A1112)</f>
        <v>Wŭ (Shuĭshùniăo) Xiāng</v>
      </c>
      <c r="C1112" t="str">
        <f>IF(COUNTIF(B:B,B1112)&gt;1,_xlfn.CONCAT(A1112," (",M1112,")"),B1112)</f>
        <v>Wŭ (Shuĭshùniăo) Xiāng</v>
      </c>
      <c r="D1112" t="s">
        <v>2689</v>
      </c>
      <c r="E1112" t="s">
        <v>7</v>
      </c>
      <c r="F1112" t="str">
        <f>_xlfn.CONCAT(D1112,", ",H1112,", ",I1112,", ","浙江省")</f>
        <v>五（氵束鸟）乡, 永嘉县, 温州市, 浙江省</v>
      </c>
      <c r="G1112">
        <v>5063</v>
      </c>
      <c r="H1112" t="s">
        <v>3010</v>
      </c>
      <c r="I1112" t="s">
        <v>3000</v>
      </c>
      <c r="J1112" t="e">
        <f>VLOOKUP(F1112,[1]!china_towns_second__2[[Column1]:[Y]],3,FALSE)</f>
        <v>#N/A</v>
      </c>
      <c r="K1112" t="e">
        <f>VLOOKUP(F1112,[1]!china_towns_second__2[[Column1]:[Y]],2,FALSE)</f>
        <v>#N/A</v>
      </c>
      <c r="L1112" t="s">
        <v>4745</v>
      </c>
      <c r="M1112" t="str">
        <f>VLOOKUP(H1112,CHOOSE({1,2},Table12[Native],Table12[Name]),2,0)</f>
        <v>Yŏngjiā Xiàn</v>
      </c>
      <c r="N1112" s="15" t="str">
        <f>VLOOKUP(I1112,CHOOSE({1,2},Table12[Native],Table12[Name]),2,0)</f>
        <v>Wēnzhōu Shì</v>
      </c>
      <c r="O1112" s="15" t="str">
        <f t="shared" si="34"/>
        <v>Wu (Shuishuniao) Xiang (Wēnzhōu Shì)</v>
      </c>
      <c r="P1112" s="15" t="str">
        <f t="shared" si="35"/>
        <v>Wu (Shuishuniao) Xiang (Wēnzhōu Shì)</v>
      </c>
    </row>
    <row r="1113" spans="1:16" hidden="1" x14ac:dyDescent="0.25">
      <c r="A1113" t="s">
        <v>326</v>
      </c>
      <c r="B1113" t="str">
        <f>IF(COUNTIF(A:A,A1113)&gt;1,_xlfn.CONCAT(A1113," (",N1113,")"),A1113)</f>
        <v>Wŭcháng Jiēdào</v>
      </c>
      <c r="C1113" t="str">
        <f>IF(COUNTIF(B:B,B1113)&gt;1,_xlfn.CONCAT(A1113," (",M1113,")"),B1113)</f>
        <v>Wŭcháng Jiēdào</v>
      </c>
      <c r="D1113" t="s">
        <v>327</v>
      </c>
      <c r="E1113" t="s">
        <v>15</v>
      </c>
      <c r="F1113" t="str">
        <f>_xlfn.CONCAT(D1113,", ",H1113,", ",I1113,", ","浙江省")</f>
        <v>五常街道, 余杭区, 杭州市, 浙江省</v>
      </c>
      <c r="G1113">
        <v>51740</v>
      </c>
      <c r="H1113" t="s">
        <v>2919</v>
      </c>
      <c r="I1113" t="s">
        <v>2903</v>
      </c>
      <c r="J1113">
        <f>VLOOKUP(F1113,[1]!china_towns_second__2[[Column1]:[Y]],3,FALSE)</f>
        <v>30.270479281566999</v>
      </c>
      <c r="K1113">
        <f>VLOOKUP(F1113,[1]!china_towns_second__2[[Column1]:[Y]],2,FALSE)</f>
        <v>120.0313977</v>
      </c>
      <c r="L1113" t="s">
        <v>4746</v>
      </c>
      <c r="M1113" t="str">
        <f>VLOOKUP(H1113,CHOOSE({1,2},Table12[Native],Table12[Name]),2,0)</f>
        <v>Yúháng Qū</v>
      </c>
      <c r="N1113" s="15" t="str">
        <f>VLOOKUP(I1113,CHOOSE({1,2},Table12[Native],Table12[Name]),2,0)</f>
        <v>Hángzhōu Shì</v>
      </c>
      <c r="O1113" s="15" t="str">
        <f t="shared" si="34"/>
        <v>Wuchang Jiedao (Hángzhōu Shì)</v>
      </c>
      <c r="P1113" s="15" t="str">
        <f t="shared" si="35"/>
        <v>Wuchang Jiedao (Hángzhōu Shì)</v>
      </c>
    </row>
    <row r="1114" spans="1:16" hidden="1" x14ac:dyDescent="0.25">
      <c r="A1114" t="s">
        <v>1245</v>
      </c>
      <c r="B1114" t="str">
        <f>IF(COUNTIF(A:A,A1114)&gt;1,_xlfn.CONCAT(A1114," (",N1114,")"),A1114)</f>
        <v>Wŭdàbăo Xiāng</v>
      </c>
      <c r="C1114" t="str">
        <f>IF(COUNTIF(B:B,B1114)&gt;1,_xlfn.CONCAT(A1114," (",M1114,")"),B1114)</f>
        <v>Wŭdàbăo Xiāng</v>
      </c>
      <c r="D1114" t="s">
        <v>1246</v>
      </c>
      <c r="E1114" t="s">
        <v>7</v>
      </c>
      <c r="F1114" t="str">
        <f>_xlfn.CONCAT(D1114,", ",H1114,", ",I1114,", ","浙江省")</f>
        <v>五大堡乡, 庆元县, 丽水市, 浙江省</v>
      </c>
      <c r="G1114">
        <v>4065</v>
      </c>
      <c r="H1114" t="s">
        <v>2956</v>
      </c>
      <c r="I1114" t="s">
        <v>2949</v>
      </c>
      <c r="J1114" t="e">
        <f>VLOOKUP(F1114,[1]!china_towns_second__2[[Column1]:[Y]],3,FALSE)</f>
        <v>#N/A</v>
      </c>
      <c r="K1114" t="e">
        <f>VLOOKUP(F1114,[1]!china_towns_second__2[[Column1]:[Y]],2,FALSE)</f>
        <v>#N/A</v>
      </c>
      <c r="L1114" t="s">
        <v>4747</v>
      </c>
      <c r="M1114" t="str">
        <f>VLOOKUP(H1114,CHOOSE({1,2},Table12[Native],Table12[Name]),2,0)</f>
        <v>Qìngyuán Xiàn</v>
      </c>
      <c r="N1114" s="15" t="str">
        <f>VLOOKUP(I1114,CHOOSE({1,2},Table12[Native],Table12[Name]),2,0)</f>
        <v>Lìshuĭ Shì</v>
      </c>
      <c r="O1114" s="15" t="str">
        <f t="shared" si="34"/>
        <v>Wudabao Xiang (Lìshuĭ Shì)</v>
      </c>
      <c r="P1114" s="15" t="str">
        <f t="shared" si="35"/>
        <v>Wudabao Xiang (Lìshuĭ Shì)</v>
      </c>
    </row>
    <row r="1115" spans="1:16" hidden="1" x14ac:dyDescent="0.25">
      <c r="A1115" t="s">
        <v>2682</v>
      </c>
      <c r="B1115" t="str">
        <f>IF(COUNTIF(A:A,A1115)&gt;1,_xlfn.CONCAT(A1115," (",N1115,")"),A1115)</f>
        <v>Wŭfèng Xiāng</v>
      </c>
      <c r="C1115" t="str">
        <f>IF(COUNTIF(B:B,B1115)&gt;1,_xlfn.CONCAT(A1115," (",M1115,")"),B1115)</f>
        <v>Wŭfèng Xiāng</v>
      </c>
      <c r="D1115" t="s">
        <v>2683</v>
      </c>
      <c r="E1115" t="s">
        <v>7</v>
      </c>
      <c r="F1115" t="str">
        <f>_xlfn.CONCAT(D1115,", ",H1115,", ",I1115,", ","浙江省")</f>
        <v>五凤乡, 苍南县, 温州市, 浙江省</v>
      </c>
      <c r="G1115">
        <v>5812</v>
      </c>
      <c r="H1115" t="s">
        <v>3001</v>
      </c>
      <c r="I1115" t="s">
        <v>3000</v>
      </c>
      <c r="J1115" t="e">
        <f>VLOOKUP(F1115,[1]!china_towns_second__2[[Column1]:[Y]],3,FALSE)</f>
        <v>#N/A</v>
      </c>
      <c r="K1115" t="e">
        <f>VLOOKUP(F1115,[1]!china_towns_second__2[[Column1]:[Y]],2,FALSE)</f>
        <v>#N/A</v>
      </c>
      <c r="L1115" t="s">
        <v>4748</v>
      </c>
      <c r="M1115" t="str">
        <f>VLOOKUP(H1115,CHOOSE({1,2},Table12[Native],Table12[Name]),2,0)</f>
        <v>Cāngnán Xiàn</v>
      </c>
      <c r="N1115" s="15" t="str">
        <f>VLOOKUP(I1115,CHOOSE({1,2},Table12[Native],Table12[Name]),2,0)</f>
        <v>Wēnzhōu Shì</v>
      </c>
      <c r="O1115" s="15" t="str">
        <f t="shared" si="34"/>
        <v>Wufeng Xiang (Wēnzhōu Shì)</v>
      </c>
      <c r="P1115" s="15" t="str">
        <f t="shared" si="35"/>
        <v>Wufeng Xiang (Wēnzhōu Shì)</v>
      </c>
    </row>
    <row r="1116" spans="1:16" hidden="1" x14ac:dyDescent="0.25">
      <c r="A1116" t="s">
        <v>2231</v>
      </c>
      <c r="B1116" t="str">
        <f>IF(COUNTIF(A:A,A1116)&gt;1,_xlfn.CONCAT(A1116," (",N1116,")"),A1116)</f>
        <v>Wùgēn Zhèn</v>
      </c>
      <c r="C1116" t="str">
        <f>IF(COUNTIF(B:B,B1116)&gt;1,_xlfn.CONCAT(A1116," (",M1116,")"),B1116)</f>
        <v>Wùgēn Zhèn</v>
      </c>
      <c r="D1116" t="s">
        <v>2232</v>
      </c>
      <c r="E1116" t="s">
        <v>11</v>
      </c>
      <c r="F1116" t="str">
        <f>_xlfn.CONCAT(D1116,", ",H1116,", ",I1116,", ","浙江省")</f>
        <v>坞根镇, 温岭市, 台州市, 浙江省</v>
      </c>
      <c r="G1116">
        <v>20237</v>
      </c>
      <c r="H1116" t="s">
        <v>2996</v>
      </c>
      <c r="I1116" t="s">
        <v>2989</v>
      </c>
      <c r="J1116">
        <f>VLOOKUP(F1116,[1]!china_towns_second__2[[Column1]:[Y]],3,FALSE)</f>
        <v>28.316599919460501</v>
      </c>
      <c r="K1116">
        <f>VLOOKUP(F1116,[1]!china_towns_second__2[[Column1]:[Y]],2,FALSE)</f>
        <v>121.2425095</v>
      </c>
      <c r="L1116" t="s">
        <v>4749</v>
      </c>
      <c r="M1116" t="str">
        <f>VLOOKUP(H1116,CHOOSE({1,2},Table12[Native],Table12[Name]),2,0)</f>
        <v>Wēnlĭng Shì</v>
      </c>
      <c r="N1116" s="15" t="str">
        <f>VLOOKUP(I1116,CHOOSE({1,2},Table12[Native],Table12[Name]),2,0)</f>
        <v>Táizhōu Shì</v>
      </c>
      <c r="O1116" s="15" t="str">
        <f t="shared" si="34"/>
        <v>Wugen Zhen (Táizhōu Shì)</v>
      </c>
      <c r="P1116" s="15" t="str">
        <f t="shared" si="35"/>
        <v>Wugen Zhen (Táizhōu Shì)</v>
      </c>
    </row>
    <row r="1117" spans="1:16" hidden="1" x14ac:dyDescent="0.25">
      <c r="A1117" t="s">
        <v>519</v>
      </c>
      <c r="B1117" t="str">
        <f>IF(COUNTIF(A:A,A1117)&gt;1,_xlfn.CONCAT(A1117," (",N1117,")"),A1117)</f>
        <v>Wŭkāng Jiēdào</v>
      </c>
      <c r="C1117" t="str">
        <f>IF(COUNTIF(B:B,B1117)&gt;1,_xlfn.CONCAT(A1117," (",M1117,")"),B1117)</f>
        <v>Wŭkāng Jiēdào</v>
      </c>
      <c r="D1117" t="s">
        <v>520</v>
      </c>
      <c r="E1117" t="s">
        <v>15</v>
      </c>
      <c r="F1117" t="str">
        <f>_xlfn.CONCAT(D1117,", ",H1117,", ",I1117,", ","浙江省")</f>
        <v>武康街道, 德清县, 湖州市, 浙江省</v>
      </c>
      <c r="G1117">
        <v>142374</v>
      </c>
      <c r="H1117" t="s">
        <v>2925</v>
      </c>
      <c r="I1117" t="s">
        <v>2922</v>
      </c>
      <c r="J1117" t="e">
        <f>VLOOKUP(F1117,[1]!china_towns_second__2[[Column1]:[Y]],3,FALSE)</f>
        <v>#N/A</v>
      </c>
      <c r="K1117" t="e">
        <f>VLOOKUP(F1117,[1]!china_towns_second__2[[Column1]:[Y]],2,FALSE)</f>
        <v>#N/A</v>
      </c>
      <c r="L1117" t="s">
        <v>4750</v>
      </c>
      <c r="M1117" t="str">
        <f>VLOOKUP(H1117,CHOOSE({1,2},Table12[Native],Table12[Name]),2,0)</f>
        <v>Déqīng Xiàn</v>
      </c>
      <c r="N1117" s="15" t="str">
        <f>VLOOKUP(I1117,CHOOSE({1,2},Table12[Native],Table12[Name]),2,0)</f>
        <v>Húzhōu Shì</v>
      </c>
      <c r="O1117" s="15" t="str">
        <f t="shared" si="34"/>
        <v>Wukang Jiedao (Húzhōu Shì)</v>
      </c>
      <c r="P1117" s="15" t="str">
        <f t="shared" si="35"/>
        <v>Wukang Jiedao (Húzhōu Shì)</v>
      </c>
    </row>
    <row r="1118" spans="1:16" hidden="1" x14ac:dyDescent="0.25">
      <c r="A1118" t="s">
        <v>1247</v>
      </c>
      <c r="B1118" t="str">
        <f>IF(COUNTIF(A:A,A1118)&gt;1,_xlfn.CONCAT(A1118," (",N1118,")"),A1118)</f>
        <v>Wúkēng Xiāng</v>
      </c>
      <c r="C1118" t="str">
        <f>IF(COUNTIF(B:B,B1118)&gt;1,_xlfn.CONCAT(A1118," (",M1118,")"),B1118)</f>
        <v>Wúkēng Xiāng</v>
      </c>
      <c r="D1118" t="s">
        <v>1248</v>
      </c>
      <c r="E1118" t="s">
        <v>7</v>
      </c>
      <c r="F1118" t="str">
        <f>_xlfn.CONCAT(D1118,", ",H1118,", ",I1118,", ","浙江省")</f>
        <v>吴坑乡, 青田县, 丽水市, 浙江省</v>
      </c>
      <c r="G1118">
        <v>2769</v>
      </c>
      <c r="H1118" t="s">
        <v>2955</v>
      </c>
      <c r="I1118" t="s">
        <v>2949</v>
      </c>
      <c r="J1118" t="e">
        <f>VLOOKUP(F1118,[1]!china_towns_second__2[[Column1]:[Y]],3,FALSE)</f>
        <v>#N/A</v>
      </c>
      <c r="K1118" t="e">
        <f>VLOOKUP(F1118,[1]!china_towns_second__2[[Column1]:[Y]],2,FALSE)</f>
        <v>#N/A</v>
      </c>
      <c r="L1118" t="s">
        <v>4751</v>
      </c>
      <c r="M1118" t="str">
        <f>VLOOKUP(H1118,CHOOSE({1,2},Table12[Native],Table12[Name]),2,0)</f>
        <v>Qīngtián Xiàn</v>
      </c>
      <c r="N1118" s="15" t="str">
        <f>VLOOKUP(I1118,CHOOSE({1,2},Table12[Native],Table12[Name]),2,0)</f>
        <v>Lìshuĭ Shì</v>
      </c>
      <c r="O1118" s="15" t="str">
        <f t="shared" si="34"/>
        <v>Wukeng Xiang (Lìshuĭ Shì)</v>
      </c>
      <c r="P1118" s="15" t="str">
        <f t="shared" si="35"/>
        <v>Wukeng Xiang (Lìshuĭ Shì)</v>
      </c>
    </row>
    <row r="1119" spans="1:16" hidden="1" x14ac:dyDescent="0.25">
      <c r="A1119" t="s">
        <v>328</v>
      </c>
      <c r="B1119" t="str">
        <f>IF(COUNTIF(A:A,A1119)&gt;1,_xlfn.CONCAT(A1119," (",N1119,")"),A1119)</f>
        <v>Wŭlín Jiēdào</v>
      </c>
      <c r="C1119" t="str">
        <f>IF(COUNTIF(B:B,B1119)&gt;1,_xlfn.CONCAT(A1119," (",M1119,")"),B1119)</f>
        <v>Wŭlín Jiēdào</v>
      </c>
      <c r="D1119" t="s">
        <v>329</v>
      </c>
      <c r="E1119" t="s">
        <v>15</v>
      </c>
      <c r="F1119" t="str">
        <f>_xlfn.CONCAT(D1119,", ",H1119,", ",I1119,", ","浙江省")</f>
        <v>武林街道, 拱墅区, 杭州市, 浙江省</v>
      </c>
      <c r="G1119">
        <v>37510</v>
      </c>
      <c r="H1119" t="s">
        <v>2909</v>
      </c>
      <c r="I1119" t="s">
        <v>2903</v>
      </c>
      <c r="J1119" t="e">
        <f>VLOOKUP(F1119,[1]!china_towns_second__2[[Column1]:[Y]],3,FALSE)</f>
        <v>#N/A</v>
      </c>
      <c r="K1119" t="e">
        <f>VLOOKUP(F1119,[1]!china_towns_second__2[[Column1]:[Y]],2,FALSE)</f>
        <v>#N/A</v>
      </c>
      <c r="L1119" t="s">
        <v>4752</v>
      </c>
      <c r="M1119" t="str">
        <f>VLOOKUP(H1119,CHOOSE({1,2},Table12[Native],Table12[Name]),2,0)</f>
        <v>Gŏngshù Qū</v>
      </c>
      <c r="N1119" s="15" t="str">
        <f>VLOOKUP(I1119,CHOOSE({1,2},Table12[Native],Table12[Name]),2,0)</f>
        <v>Hángzhōu Shì</v>
      </c>
      <c r="O1119" s="15" t="str">
        <f t="shared" si="34"/>
        <v>Wulin Jiedao (Hángzhōu Shì)</v>
      </c>
      <c r="P1119" s="15" t="str">
        <f t="shared" si="35"/>
        <v>Wulin Jiedao (Hángzhōu Shì)</v>
      </c>
    </row>
    <row r="1120" spans="1:16" hidden="1" x14ac:dyDescent="0.25">
      <c r="A1120" t="s">
        <v>2885</v>
      </c>
      <c r="B1120" t="str">
        <f>IF(COUNTIF(A:A,A1120)&gt;1,_xlfn.CONCAT(A1120," (",N1120,")"),A1120)</f>
        <v>Wŭlóng Xiāng</v>
      </c>
      <c r="C1120" t="str">
        <f>IF(COUNTIF(B:B,B1120)&gt;1,_xlfn.CONCAT(A1120," (",M1120,")"),B1120)</f>
        <v>Wŭlóng Xiāng</v>
      </c>
      <c r="D1120" t="s">
        <v>2886</v>
      </c>
      <c r="E1120" t="s">
        <v>7</v>
      </c>
      <c r="F1120" t="str">
        <f>_xlfn.CONCAT(D1120,", ",H1120,", ",I1120,", ","浙江省")</f>
        <v>五龙乡, 嵊泗县, 舟山市, 浙江省</v>
      </c>
      <c r="G1120">
        <v>3319</v>
      </c>
      <c r="H1120" t="s">
        <v>3017</v>
      </c>
      <c r="I1120" t="s">
        <v>3013</v>
      </c>
      <c r="J1120" t="e">
        <f>VLOOKUP(F1120,[1]!china_towns_second__2[[Column1]:[Y]],3,FALSE)</f>
        <v>#N/A</v>
      </c>
      <c r="K1120" t="e">
        <f>VLOOKUP(F1120,[1]!china_towns_second__2[[Column1]:[Y]],2,FALSE)</f>
        <v>#N/A</v>
      </c>
      <c r="L1120" t="s">
        <v>4753</v>
      </c>
      <c r="M1120" t="str">
        <f>VLOOKUP(H1120,CHOOSE({1,2},Table12[Native],Table12[Name]),2,0)</f>
        <v>Shèngsì Xiàn</v>
      </c>
      <c r="N1120" s="15" t="str">
        <f>VLOOKUP(I1120,CHOOSE({1,2},Table12[Native],Table12[Name]),2,0)</f>
        <v>Zhōushān Shì</v>
      </c>
      <c r="O1120" s="15" t="str">
        <f t="shared" si="34"/>
        <v>Wulong Xiang (Zhōushān Shì)</v>
      </c>
      <c r="P1120" s="15" t="str">
        <f t="shared" si="35"/>
        <v>Wulong Xiang (Zhōushān Shì)</v>
      </c>
    </row>
    <row r="1121" spans="1:16" hidden="1" x14ac:dyDescent="0.25">
      <c r="A1121" t="s">
        <v>2684</v>
      </c>
      <c r="B1121" t="str">
        <f>IF(COUNTIF(A:A,A1121)&gt;1,_xlfn.CONCAT(A1121," (",N1121,")"),A1121)</f>
        <v>Wŭmă Jiēdào [incl. Nánmén Jiēdào, Jiāngbīn Jiēdào]</v>
      </c>
      <c r="C1121" t="str">
        <f>IF(COUNTIF(B:B,B1121)&gt;1,_xlfn.CONCAT(A1121," (",M1121,")"),B1121)</f>
        <v>Wŭmă Jiēdào [incl. Nánmén Jiēdào, Jiāngbīn Jiēdào]</v>
      </c>
      <c r="D1121" t="s">
        <v>2685</v>
      </c>
      <c r="E1121" t="s">
        <v>15</v>
      </c>
      <c r="F1121" t="str">
        <f>_xlfn.CONCAT(D1121,", ",H1121,", ",I1121,", ","浙江省")</f>
        <v>五马街道, 鹿城区, 温州市, 浙江省</v>
      </c>
      <c r="G1121">
        <v>204999</v>
      </c>
      <c r="H1121" t="s">
        <v>3004</v>
      </c>
      <c r="I1121" t="s">
        <v>3000</v>
      </c>
      <c r="J1121">
        <f>VLOOKUP(F1121,[1]!china_towns_second__2[[Column1]:[Y]],3,FALSE)</f>
        <v>28.018053005680301</v>
      </c>
      <c r="K1121">
        <f>VLOOKUP(F1121,[1]!china_towns_second__2[[Column1]:[Y]],2,FALSE)</f>
        <v>120.66030309999999</v>
      </c>
      <c r="L1121" t="s">
        <v>4754</v>
      </c>
      <c r="M1121" t="str">
        <f>VLOOKUP(H1121,CHOOSE({1,2},Table12[Native],Table12[Name]),2,0)</f>
        <v>Lùchéng Qū</v>
      </c>
      <c r="N1121" s="15" t="str">
        <f>VLOOKUP(I1121,CHOOSE({1,2},Table12[Native],Table12[Name]),2,0)</f>
        <v>Wēnzhōu Shì</v>
      </c>
      <c r="O1121" s="15" t="str">
        <f t="shared" si="34"/>
        <v>Wuma Jiedao [incl. Nanmen Jiedao, Jiangbin Jiedao] (Wēnzhōu Shì)</v>
      </c>
      <c r="P1121" s="15" t="str">
        <f t="shared" si="35"/>
        <v>Wuma Jiedao [incl. Nanmen Jiedao, Jiangbin Jiedao] (Wēnzhōu Shì)</v>
      </c>
    </row>
    <row r="1122" spans="1:16" hidden="1" x14ac:dyDescent="0.25">
      <c r="A1122" t="s">
        <v>929</v>
      </c>
      <c r="B1122" t="str">
        <f>IF(COUNTIF(A:A,A1122)&gt;1,_xlfn.CONCAT(A1122," (",N1122,")"),A1122)</f>
        <v>Wúníng Jiēdào</v>
      </c>
      <c r="C1122" t="str">
        <f>IF(COUNTIF(B:B,B1122)&gt;1,_xlfn.CONCAT(A1122," (",M1122,")"),B1122)</f>
        <v>Wúníng Jiēdào</v>
      </c>
      <c r="D1122" t="s">
        <v>930</v>
      </c>
      <c r="E1122" t="s">
        <v>15</v>
      </c>
      <c r="F1122" t="str">
        <f>_xlfn.CONCAT(D1122,", ",H1122,", ",I1122,", ","浙江省")</f>
        <v>吴宁街道, 东阳市, 金华市, 浙江省</v>
      </c>
      <c r="G1122">
        <v>102122</v>
      </c>
      <c r="H1122" t="s">
        <v>2939</v>
      </c>
      <c r="I1122" t="s">
        <v>2938</v>
      </c>
      <c r="J1122">
        <f>VLOOKUP(F1122,[1]!china_towns_second__2[[Column1]:[Y]],3,FALSE)</f>
        <v>29.258850727435401</v>
      </c>
      <c r="K1122">
        <f>VLOOKUP(F1122,[1]!china_towns_second__2[[Column1]:[Y]],2,FALSE)</f>
        <v>120.2381362</v>
      </c>
      <c r="L1122" t="s">
        <v>4755</v>
      </c>
      <c r="M1122" t="str">
        <f>VLOOKUP(H1122,CHOOSE({1,2},Table12[Native],Table12[Name]),2,0)</f>
        <v>Dōngyáng Shì</v>
      </c>
      <c r="N1122" s="15" t="str">
        <f>VLOOKUP(I1122,CHOOSE({1,2},Table12[Native],Table12[Name]),2,0)</f>
        <v>Jīnhuá Shì</v>
      </c>
      <c r="O1122" s="15" t="str">
        <f t="shared" si="34"/>
        <v>Wuning Jiedao (Jīnhuá Shì)</v>
      </c>
      <c r="P1122" s="15" t="str">
        <f t="shared" si="35"/>
        <v>Wuning Jiedao (Jīnhuá Shì)</v>
      </c>
    </row>
    <row r="1123" spans="1:16" hidden="1" x14ac:dyDescent="0.25">
      <c r="A1123" t="s">
        <v>2686</v>
      </c>
      <c r="B1123" t="str">
        <f>IF(COUNTIF(A:A,A1123)&gt;1,_xlfn.CONCAT(A1123," (",N1123,")"),A1123)</f>
        <v>Wūniú Jiēdào</v>
      </c>
      <c r="C1123" t="str">
        <f>IF(COUNTIF(B:B,B1123)&gt;1,_xlfn.CONCAT(A1123," (",M1123,")"),B1123)</f>
        <v>Wūniú Jiēdào</v>
      </c>
      <c r="D1123" t="s">
        <v>2687</v>
      </c>
      <c r="E1123" t="s">
        <v>15</v>
      </c>
      <c r="F1123" t="str">
        <f>_xlfn.CONCAT(D1123,", ",H1123,", ",I1123,", ","浙江省")</f>
        <v>乌牛街道, 永嘉县, 温州市, 浙江省</v>
      </c>
      <c r="G1123">
        <v>42780</v>
      </c>
      <c r="H1123" t="s">
        <v>3010</v>
      </c>
      <c r="I1123" t="s">
        <v>3000</v>
      </c>
      <c r="J1123">
        <f>VLOOKUP(F1123,[1]!china_towns_second__2[[Column1]:[Y]],3,FALSE)</f>
        <v>28.089997197471</v>
      </c>
      <c r="K1123">
        <f>VLOOKUP(F1123,[1]!china_towns_second__2[[Column1]:[Y]],2,FALSE)</f>
        <v>120.78749689999999</v>
      </c>
      <c r="L1123" t="s">
        <v>4756</v>
      </c>
      <c r="M1123" t="str">
        <f>VLOOKUP(H1123,CHOOSE({1,2},Table12[Native],Table12[Name]),2,0)</f>
        <v>Yŏngjiā Xiàn</v>
      </c>
      <c r="N1123" s="15" t="str">
        <f>VLOOKUP(I1123,CHOOSE({1,2},Table12[Native],Table12[Name]),2,0)</f>
        <v>Wēnzhōu Shì</v>
      </c>
      <c r="O1123" s="15" t="str">
        <f t="shared" si="34"/>
        <v>Wuniu Jiedao (Wēnzhōu Shì)</v>
      </c>
      <c r="P1123" s="15" t="str">
        <f t="shared" si="35"/>
        <v>Wuniu Jiedao (Wēnzhōu Shì)</v>
      </c>
    </row>
    <row r="1124" spans="1:16" hidden="1" x14ac:dyDescent="0.25">
      <c r="A1124" t="s">
        <v>330</v>
      </c>
      <c r="B1124" t="str">
        <f>IF(COUNTIF(A:A,A1124)&gt;1,_xlfn.CONCAT(A1124," (",N1124,")"),A1124)</f>
        <v>Wūqián Zhèn</v>
      </c>
      <c r="C1124" t="str">
        <f>IF(COUNTIF(B:B,B1124)&gt;1,_xlfn.CONCAT(A1124," (",M1124,")"),B1124)</f>
        <v>Wūqián Zhèn</v>
      </c>
      <c r="D1124" t="s">
        <v>331</v>
      </c>
      <c r="E1124" t="s">
        <v>11</v>
      </c>
      <c r="F1124" t="str">
        <f>_xlfn.CONCAT(D1124,", ",H1124,", ",I1124,", ","浙江省")</f>
        <v>於潜镇, 临安区, 杭州市, 浙江省</v>
      </c>
      <c r="G1124">
        <v>36996</v>
      </c>
      <c r="H1124" t="s">
        <v>2911</v>
      </c>
      <c r="I1124" t="s">
        <v>2903</v>
      </c>
      <c r="J1124">
        <f>VLOOKUP(F1124,[1]!china_towns_second__2[[Column1]:[Y]],3,FALSE)</f>
        <v>30.2263719855871</v>
      </c>
      <c r="K1124">
        <f>VLOOKUP(F1124,[1]!china_towns_second__2[[Column1]:[Y]],2,FALSE)</f>
        <v>119.3796131</v>
      </c>
      <c r="L1124" t="s">
        <v>4757</v>
      </c>
      <c r="M1124" t="str">
        <f>VLOOKUP(H1124,CHOOSE({1,2},Table12[Native],Table12[Name]),2,0)</f>
        <v>Lín'ān Qū</v>
      </c>
      <c r="N1124" s="15" t="str">
        <f>VLOOKUP(I1124,CHOOSE({1,2},Table12[Native],Table12[Name]),2,0)</f>
        <v>Hángzhōu Shì</v>
      </c>
      <c r="O1124" s="15" t="str">
        <f t="shared" si="34"/>
        <v>Wuqian Zhen (Hángzhōu Shì)</v>
      </c>
      <c r="P1124" s="15" t="str">
        <f t="shared" si="35"/>
        <v>Wuqian Zhen (Hángzhōu Shì)</v>
      </c>
    </row>
    <row r="1125" spans="1:16" hidden="1" x14ac:dyDescent="0.25">
      <c r="A1125" t="s">
        <v>2690</v>
      </c>
      <c r="B1125" t="str">
        <f>IF(COUNTIF(A:A,A1125)&gt;1,_xlfn.CONCAT(A1125," (",N1125,")"),A1125)</f>
        <v>Wútián Jiēdào</v>
      </c>
      <c r="C1125" t="str">
        <f>IF(COUNTIF(B:B,B1125)&gt;1,_xlfn.CONCAT(A1125," (",M1125,")"),B1125)</f>
        <v>Wútián Jiēdào</v>
      </c>
      <c r="D1125" t="s">
        <v>2691</v>
      </c>
      <c r="E1125" t="s">
        <v>15</v>
      </c>
      <c r="F1125" t="str">
        <f>_xlfn.CONCAT(D1125,", ",H1125,", ",I1125,", ","浙江省")</f>
        <v>梧田街道, 瓯海区, 温州市, 浙江省</v>
      </c>
      <c r="G1125">
        <v>223735</v>
      </c>
      <c r="H1125" t="s">
        <v>3005</v>
      </c>
      <c r="I1125" t="s">
        <v>3000</v>
      </c>
      <c r="J1125">
        <f>VLOOKUP(F1125,[1]!china_towns_second__2[[Column1]:[Y]],3,FALSE)</f>
        <v>27.958127331260702</v>
      </c>
      <c r="K1125">
        <f>VLOOKUP(F1125,[1]!china_towns_second__2[[Column1]:[Y]],2,FALSE)</f>
        <v>120.6577868</v>
      </c>
      <c r="L1125" t="s">
        <v>4758</v>
      </c>
      <c r="M1125" t="str">
        <f>VLOOKUP(H1125,CHOOSE({1,2},Table12[Native],Table12[Name]),2,0)</f>
        <v>Ōuhăi Qū</v>
      </c>
      <c r="N1125" s="15" t="str">
        <f>VLOOKUP(I1125,CHOOSE({1,2},Table12[Native],Table12[Name]),2,0)</f>
        <v>Wēnzhōu Shì</v>
      </c>
      <c r="O1125" s="15" t="str">
        <f t="shared" si="34"/>
        <v>Wutian Jiedao (Wēnzhōu Shì)</v>
      </c>
      <c r="P1125" s="15" t="str">
        <f t="shared" si="35"/>
        <v>Wutian Jiedao (Wēnzhōu Shì)</v>
      </c>
    </row>
    <row r="1126" spans="1:16" hidden="1" x14ac:dyDescent="0.25">
      <c r="A1126" t="s">
        <v>651</v>
      </c>
      <c r="B1126" t="str">
        <f>IF(COUNTIF(A:A,A1126)&gt;1,_xlfn.CONCAT(A1126," (",N1126,")"),A1126)</f>
        <v>Wútóng Jiēdào</v>
      </c>
      <c r="C1126" t="str">
        <f>IF(COUNTIF(B:B,B1126)&gt;1,_xlfn.CONCAT(A1126," (",M1126,")"),B1126)</f>
        <v>Wútóng Jiēdào</v>
      </c>
      <c r="D1126" t="s">
        <v>652</v>
      </c>
      <c r="E1126" t="s">
        <v>15</v>
      </c>
      <c r="F1126" t="str">
        <f>_xlfn.CONCAT(D1126,", ",H1126,", ",I1126,", ","浙江省")</f>
        <v>梧桐街道, 桐乡市, 嘉兴市, 浙江省</v>
      </c>
      <c r="G1126">
        <v>217020</v>
      </c>
      <c r="H1126" t="s">
        <v>2935</v>
      </c>
      <c r="I1126" t="s">
        <v>2929</v>
      </c>
      <c r="J1126">
        <f>VLOOKUP(F1126,[1]!china_towns_second__2[[Column1]:[Y]],3,FALSE)</f>
        <v>30.630784708686999</v>
      </c>
      <c r="K1126">
        <f>VLOOKUP(F1126,[1]!china_towns_second__2[[Column1]:[Y]],2,FALSE)</f>
        <v>120.5483954</v>
      </c>
      <c r="L1126" t="s">
        <v>4759</v>
      </c>
      <c r="M1126" t="str">
        <f>VLOOKUP(H1126,CHOOSE({1,2},Table12[Native],Table12[Name]),2,0)</f>
        <v>Tóngxiāng Shì</v>
      </c>
      <c r="N1126" s="15" t="str">
        <f>VLOOKUP(I1126,CHOOSE({1,2},Table12[Native],Table12[Name]),2,0)</f>
        <v>Jiāxīng Shì</v>
      </c>
      <c r="O1126" s="15" t="str">
        <f t="shared" si="34"/>
        <v>Wutong Jiedao (Jiāxīng Shì)</v>
      </c>
      <c r="P1126" s="15" t="str">
        <f t="shared" si="35"/>
        <v>Wutong Jiedao (Jiāxīng Shì)</v>
      </c>
    </row>
    <row r="1127" spans="1:16" hidden="1" x14ac:dyDescent="0.25">
      <c r="A1127" t="s">
        <v>1249</v>
      </c>
      <c r="B1127" t="str">
        <f>IF(COUNTIF(A:A,A1127)&gt;1,_xlfn.CONCAT(A1127," (",N1127,")"),A1127)</f>
        <v>Wútóng Xiāng</v>
      </c>
      <c r="C1127" t="str">
        <f>IF(COUNTIF(B:B,B1127)&gt;1,_xlfn.CONCAT(A1127," (",M1127,")"),B1127)</f>
        <v>Wútóng Xiāng</v>
      </c>
      <c r="D1127" t="s">
        <v>1250</v>
      </c>
      <c r="E1127" t="s">
        <v>7</v>
      </c>
      <c r="F1127" t="str">
        <f>_xlfn.CONCAT(D1127,", ",H1127,", ",I1127,", ","浙江省")</f>
        <v>梧桐乡, 景宁畲族自治县, 丽水市, 浙江省</v>
      </c>
      <c r="G1127">
        <v>2781</v>
      </c>
      <c r="H1127" t="s">
        <v>2951</v>
      </c>
      <c r="I1127" t="s">
        <v>2949</v>
      </c>
      <c r="J1127" t="e">
        <f>VLOOKUP(F1127,[1]!china_towns_second__2[[Column1]:[Y]],3,FALSE)</f>
        <v>#N/A</v>
      </c>
      <c r="K1127" t="e">
        <f>VLOOKUP(F1127,[1]!china_towns_second__2[[Column1]:[Y]],2,FALSE)</f>
        <v>#N/A</v>
      </c>
      <c r="L1127" t="s">
        <v>4760</v>
      </c>
      <c r="M1127" t="str">
        <f>VLOOKUP(H1127,CHOOSE({1,2},Table12[Native],Table12[Name]),2,0)</f>
        <v>Jĭngníng Shēzú Zìzhìxiàn</v>
      </c>
      <c r="N1127" s="15" t="str">
        <f>VLOOKUP(I1127,CHOOSE({1,2},Table12[Native],Table12[Name]),2,0)</f>
        <v>Lìshuĭ Shì</v>
      </c>
      <c r="O1127" s="15" t="str">
        <f t="shared" si="34"/>
        <v>Wutong Xiang (Lìshuĭ Shì)</v>
      </c>
      <c r="P1127" s="15" t="str">
        <f t="shared" si="35"/>
        <v>Wutong Xiang (Lìshuĭ Shì)</v>
      </c>
    </row>
    <row r="1128" spans="1:16" hidden="1" x14ac:dyDescent="0.25">
      <c r="A1128" t="s">
        <v>1251</v>
      </c>
      <c r="B1128" t="str">
        <f>IF(COUNTIF(A:A,A1128)&gt;1,_xlfn.CONCAT(A1128," (",N1128,")"),A1128)</f>
        <v>Wùxī Shēzú Xiāng</v>
      </c>
      <c r="C1128" t="str">
        <f>IF(COUNTIF(B:B,B1128)&gt;1,_xlfn.CONCAT(A1128," (",M1128,")"),B1128)</f>
        <v>Wùxī Shēzú Xiāng</v>
      </c>
      <c r="D1128" t="s">
        <v>1252</v>
      </c>
      <c r="E1128" t="s">
        <v>7</v>
      </c>
      <c r="F1128" t="str">
        <f>_xlfn.CONCAT(D1128,", ",H1128,", ",I1128,", ","浙江省")</f>
        <v>雾溪畲族乡, 云和县, 丽水市, 浙江省</v>
      </c>
      <c r="G1128">
        <v>1173</v>
      </c>
      <c r="H1128" t="s">
        <v>2959</v>
      </c>
      <c r="I1128" t="s">
        <v>2949</v>
      </c>
      <c r="J1128" t="e">
        <f>VLOOKUP(F1128,[1]!china_towns_second__2[[Column1]:[Y]],3,FALSE)</f>
        <v>#N/A</v>
      </c>
      <c r="K1128" t="e">
        <f>VLOOKUP(F1128,[1]!china_towns_second__2[[Column1]:[Y]],2,FALSE)</f>
        <v>#N/A</v>
      </c>
      <c r="L1128" t="s">
        <v>4761</v>
      </c>
      <c r="M1128" t="str">
        <f>VLOOKUP(H1128,CHOOSE({1,2},Table12[Native],Table12[Name]),2,0)</f>
        <v>Yúnhé Xiàn</v>
      </c>
      <c r="N1128" s="15" t="str">
        <f>VLOOKUP(I1128,CHOOSE({1,2},Table12[Native],Table12[Name]),2,0)</f>
        <v>Lìshuĭ Shì</v>
      </c>
      <c r="O1128" s="15" t="str">
        <f t="shared" si="34"/>
        <v>Wuxi Shezu Xiang (Lìshuĭ Shì)</v>
      </c>
      <c r="P1128" s="15" t="str">
        <f t="shared" si="35"/>
        <v>Wuxi Shezu Xiang (Lìshuĭ Shì)</v>
      </c>
    </row>
    <row r="1129" spans="1:16" hidden="1" x14ac:dyDescent="0.25">
      <c r="A1129" t="s">
        <v>1565</v>
      </c>
      <c r="B1129" t="str">
        <f>IF(COUNTIF(A:A,A1129)&gt;1,_xlfn.CONCAT(A1129," (",N1129,")"),A1129)</f>
        <v>Wŭxiāng Zhèn</v>
      </c>
      <c r="C1129" t="str">
        <f>IF(COUNTIF(B:B,B1129)&gt;1,_xlfn.CONCAT(A1129," (",M1129,")"),B1129)</f>
        <v>Wŭxiāng Zhèn</v>
      </c>
      <c r="D1129" t="s">
        <v>1566</v>
      </c>
      <c r="E1129" t="s">
        <v>11</v>
      </c>
      <c r="F1129" t="str">
        <f>_xlfn.CONCAT(D1129,", ",H1129,", ",I1129,", ","浙江省")</f>
        <v>五乡镇, 鄞州区, 宁波市, 浙江省</v>
      </c>
      <c r="G1129">
        <v>45354</v>
      </c>
      <c r="H1129" t="s">
        <v>2969</v>
      </c>
      <c r="I1129" t="s">
        <v>2961</v>
      </c>
      <c r="J1129">
        <f>VLOOKUP(F1129,[1]!china_towns_second__2[[Column1]:[Y]],3,FALSE)</f>
        <v>29.842408333284901</v>
      </c>
      <c r="K1129">
        <f>VLOOKUP(F1129,[1]!china_towns_second__2[[Column1]:[Y]],2,FALSE)</f>
        <v>121.7118796</v>
      </c>
      <c r="L1129" t="s">
        <v>4762</v>
      </c>
      <c r="M1129" t="str">
        <f>VLOOKUP(H1129,CHOOSE({1,2},Table12[Native],Table12[Name]),2,0)</f>
        <v>Yínzhōu Qū</v>
      </c>
      <c r="N1129" s="15" t="str">
        <f>VLOOKUP(I1129,CHOOSE({1,2},Table12[Native],Table12[Name]),2,0)</f>
        <v>Níngbō Shì</v>
      </c>
      <c r="O1129" s="15" t="str">
        <f t="shared" si="34"/>
        <v>Wuxiang Zhen (Níngbō Shì)</v>
      </c>
      <c r="P1129" s="15" t="str">
        <f t="shared" si="35"/>
        <v>Wuxiang Zhen (Níngbō Shì)</v>
      </c>
    </row>
    <row r="1130" spans="1:16" hidden="1" x14ac:dyDescent="0.25">
      <c r="A1130" t="s">
        <v>2002</v>
      </c>
      <c r="B1130" t="str">
        <f>IF(COUNTIF(A:A,A1130)&gt;1,_xlfn.CONCAT(A1130," (",N1130,")"),A1130)</f>
        <v>Wŭxiè Zhèn</v>
      </c>
      <c r="C1130" t="str">
        <f>IF(COUNTIF(B:B,B1130)&gt;1,_xlfn.CONCAT(A1130," (",M1130,")"),B1130)</f>
        <v>Wŭxiè Zhèn</v>
      </c>
      <c r="D1130" t="s">
        <v>2003</v>
      </c>
      <c r="E1130" t="s">
        <v>11</v>
      </c>
      <c r="F1130" t="str">
        <f>_xlfn.CONCAT(D1130,", ",H1130,", ",I1130,", ","浙江省")</f>
        <v>五泄镇, 诸暨市, 绍兴市, 浙江省</v>
      </c>
      <c r="G1130">
        <v>12861</v>
      </c>
      <c r="H1130" t="s">
        <v>2987</v>
      </c>
      <c r="I1130" t="s">
        <v>2981</v>
      </c>
      <c r="J1130">
        <f>VLOOKUP(F1130,[1]!china_towns_second__2[[Column1]:[Y]],3,FALSE)</f>
        <v>29.697763217650699</v>
      </c>
      <c r="K1130">
        <f>VLOOKUP(F1130,[1]!china_towns_second__2[[Column1]:[Y]],2,FALSE)</f>
        <v>120.05951140000001</v>
      </c>
      <c r="L1130" t="s">
        <v>4763</v>
      </c>
      <c r="M1130" t="str">
        <f>VLOOKUP(H1130,CHOOSE({1,2},Table12[Native],Table12[Name]),2,0)</f>
        <v>Zhūjì Shì</v>
      </c>
      <c r="N1130" s="15" t="str">
        <f>VLOOKUP(I1130,CHOOSE({1,2},Table12[Native],Table12[Name]),2,0)</f>
        <v>Shàoxīng Shì</v>
      </c>
      <c r="O1130" s="15" t="str">
        <f t="shared" si="34"/>
        <v>Wuxie Zhen (Shàoxīng Shì)</v>
      </c>
      <c r="P1130" s="15" t="str">
        <f t="shared" si="35"/>
        <v>Wuxie Zhen (Shàoxīng Shì)</v>
      </c>
    </row>
    <row r="1131" spans="1:16" hidden="1" x14ac:dyDescent="0.25">
      <c r="A1131" t="s">
        <v>2692</v>
      </c>
      <c r="B1131" t="str">
        <f>IF(COUNTIF(A:A,A1131)&gt;1,_xlfn.CONCAT(A1131," (",N1131,")"),A1131)</f>
        <v>Wúyáng Xiāng</v>
      </c>
      <c r="C1131" t="str">
        <f>IF(COUNTIF(B:B,B1131)&gt;1,_xlfn.CONCAT(A1131," (",M1131,")"),B1131)</f>
        <v>Wúyáng Xiāng</v>
      </c>
      <c r="D1131" t="s">
        <v>2693</v>
      </c>
      <c r="E1131" t="s">
        <v>7</v>
      </c>
      <c r="F1131" t="str">
        <f>_xlfn.CONCAT(D1131,", ",H1131,", ",I1131,", ","浙江省")</f>
        <v>吴垟乡, 平阳县, 温州市, 浙江省</v>
      </c>
      <c r="G1131">
        <v>1431</v>
      </c>
      <c r="H1131" t="s">
        <v>3006</v>
      </c>
      <c r="I1131" t="s">
        <v>3000</v>
      </c>
      <c r="J1131" t="e">
        <f>VLOOKUP(F1131,[1]!china_towns_second__2[[Column1]:[Y]],3,FALSE)</f>
        <v>#N/A</v>
      </c>
      <c r="K1131" t="e">
        <f>VLOOKUP(F1131,[1]!china_towns_second__2[[Column1]:[Y]],2,FALSE)</f>
        <v>#N/A</v>
      </c>
      <c r="L1131" t="s">
        <v>4764</v>
      </c>
      <c r="M1131" t="str">
        <f>VLOOKUP(H1131,CHOOSE({1,2},Table12[Native],Table12[Name]),2,0)</f>
        <v>Píngyáng Xiàn</v>
      </c>
      <c r="N1131" s="15" t="str">
        <f>VLOOKUP(I1131,CHOOSE({1,2},Table12[Native],Table12[Name]),2,0)</f>
        <v>Wēnzhōu Shì</v>
      </c>
      <c r="O1131" s="15" t="str">
        <f t="shared" si="34"/>
        <v>Wuyang Xiang (Wēnzhōu Shì)</v>
      </c>
      <c r="P1131" s="15" t="str">
        <f t="shared" si="35"/>
        <v>Wuyang Xiang (Wēnzhōu Shì)</v>
      </c>
    </row>
    <row r="1132" spans="1:16" hidden="1" x14ac:dyDescent="0.25">
      <c r="A1132" t="s">
        <v>2694</v>
      </c>
      <c r="B1132" t="str">
        <f>IF(COUNTIF(A:A,A1132)&gt;1,_xlfn.CONCAT(A1132," (",N1132,")"),A1132)</f>
        <v>Wūyánlĭngzìránbăohùqū</v>
      </c>
      <c r="C1132" t="str">
        <f>IF(COUNTIF(B:B,B1132)&gt;1,_xlfn.CONCAT(A1132," (",M1132,")"),B1132)</f>
        <v>Wūyánlĭngzìránbăohùqū</v>
      </c>
      <c r="D1132" t="s">
        <v>2695</v>
      </c>
      <c r="E1132" t="s">
        <v>253</v>
      </c>
      <c r="F1132" t="str">
        <f>_xlfn.CONCAT(D1132,", ",H1132,", ",I1132,", ","浙江省")</f>
        <v>乌岩岭自然保护区, 泰顺县, 温州市, 浙江省</v>
      </c>
      <c r="G1132">
        <v>22</v>
      </c>
      <c r="H1132" t="s">
        <v>3008</v>
      </c>
      <c r="I1132" t="s">
        <v>3000</v>
      </c>
      <c r="J1132">
        <f>VLOOKUP(F1132,[1]!china_towns_second__2[[Column1]:[Y]],3,FALSE)</f>
        <v>27.7022489120329</v>
      </c>
      <c r="K1132">
        <f>VLOOKUP(F1132,[1]!china_towns_second__2[[Column1]:[Y]],2,FALSE)</f>
        <v>119.6688247</v>
      </c>
      <c r="L1132" t="s">
        <v>4765</v>
      </c>
      <c r="M1132" t="str">
        <f>VLOOKUP(H1132,CHOOSE({1,2},Table12[Native],Table12[Name]),2,0)</f>
        <v>Tàishùn Xiàn</v>
      </c>
      <c r="N1132" s="15" t="str">
        <f>VLOOKUP(I1132,CHOOSE({1,2},Table12[Native],Table12[Name]),2,0)</f>
        <v>Wēnzhōu Shì</v>
      </c>
      <c r="O1132" s="15" t="str">
        <f t="shared" si="34"/>
        <v>Wuyanlingziranbaohuqu (Wēnzhōu Shì)</v>
      </c>
      <c r="P1132" s="15" t="str">
        <f t="shared" si="35"/>
        <v>Wuyanlingziranbaohuqu (Wēnzhōu Shì)</v>
      </c>
    </row>
    <row r="1133" spans="1:16" hidden="1" x14ac:dyDescent="0.25">
      <c r="A1133" t="s">
        <v>653</v>
      </c>
      <c r="B1133" t="str">
        <f>IF(COUNTIF(A:A,A1133)&gt;1,_xlfn.CONCAT(A1133," (",N1133,")"),A1133)</f>
        <v>Wŭyuán Jiēdào [incl. Wànghǎi Jiēdào]</v>
      </c>
      <c r="C1133" t="str">
        <f>IF(COUNTIF(B:B,B1133)&gt;1,_xlfn.CONCAT(A1133," (",M1133,")"),B1133)</f>
        <v>Wŭyuán Jiēdào [incl. Wànghǎi Jiēdào]</v>
      </c>
      <c r="D1133" t="s">
        <v>654</v>
      </c>
      <c r="E1133" t="s">
        <v>15</v>
      </c>
      <c r="F1133" t="str">
        <f>_xlfn.CONCAT(D1133,", ",H1133,", ",I1133,", ","浙江省")</f>
        <v>武原街道, 海盐县, 嘉兴市, 浙江省</v>
      </c>
      <c r="G1133">
        <v>160535</v>
      </c>
      <c r="H1133" t="s">
        <v>2931</v>
      </c>
      <c r="I1133" t="s">
        <v>2929</v>
      </c>
      <c r="J1133">
        <f>VLOOKUP(F1133,[1]!china_towns_second__2[[Column1]:[Y]],3,FALSE)</f>
        <v>30.500247840369902</v>
      </c>
      <c r="K1133">
        <f>VLOOKUP(F1133,[1]!china_towns_second__2[[Column1]:[Y]],2,FALSE)</f>
        <v>120.996534</v>
      </c>
      <c r="L1133" t="s">
        <v>4766</v>
      </c>
      <c r="M1133" t="str">
        <f>VLOOKUP(H1133,CHOOSE({1,2},Table12[Native],Table12[Name]),2,0)</f>
        <v>Hăiyán Xiàn</v>
      </c>
      <c r="N1133" s="15" t="str">
        <f>VLOOKUP(I1133,CHOOSE({1,2},Table12[Native],Table12[Name]),2,0)</f>
        <v>Jiāxīng Shì</v>
      </c>
      <c r="O1133" s="15" t="str">
        <f t="shared" si="34"/>
        <v>Wuyuan Jiedao [incl. Wanghai Jiedao] (Jiāxīng Shì)</v>
      </c>
      <c r="P1133" s="15" t="str">
        <f t="shared" si="35"/>
        <v>Wuyuan Jiedao [incl. Wanghai Jiedao] (Jiāxīng Shì)</v>
      </c>
    </row>
    <row r="1134" spans="1:16" hidden="1" x14ac:dyDescent="0.25">
      <c r="A1134" t="s">
        <v>1253</v>
      </c>
      <c r="B1134" t="str">
        <f>IF(COUNTIF(A:A,A1134)&gt;1,_xlfn.CONCAT(A1134," (",N1134,")"),A1134)</f>
        <v>Wŭyún Jiēdào [incl. Xīnbì Jiēdào, Xiāndū Jiēdào]</v>
      </c>
      <c r="C1134" t="str">
        <f>IF(COUNTIF(B:B,B1134)&gt;1,_xlfn.CONCAT(A1134," (",M1134,")"),B1134)</f>
        <v>Wŭyún Jiēdào [incl. Xīnbì Jiēdào, Xiāndū Jiēdào]</v>
      </c>
      <c r="D1134" t="s">
        <v>1254</v>
      </c>
      <c r="E1134" t="s">
        <v>15</v>
      </c>
      <c r="F1134" t="str">
        <f>_xlfn.CONCAT(D1134,", ",H1134,", ",I1134,", ","浙江省")</f>
        <v>五云街道, 缙云县, 丽水市, 浙江省</v>
      </c>
      <c r="G1134">
        <v>114444</v>
      </c>
      <c r="H1134" t="s">
        <v>2952</v>
      </c>
      <c r="I1134" t="s">
        <v>2949</v>
      </c>
      <c r="J1134">
        <f>VLOOKUP(F1134,[1]!china_towns_second__2[[Column1]:[Y]],3,FALSE)</f>
        <v>28.672871528242801</v>
      </c>
      <c r="K1134">
        <f>VLOOKUP(F1134,[1]!china_towns_second__2[[Column1]:[Y]],2,FALSE)</f>
        <v>120.0844883</v>
      </c>
      <c r="L1134" t="s">
        <v>4767</v>
      </c>
      <c r="M1134" t="str">
        <f>VLOOKUP(H1134,CHOOSE({1,2},Table12[Native],Table12[Name]),2,0)</f>
        <v>Jìnyún Xiàn</v>
      </c>
      <c r="N1134" s="15" t="str">
        <f>VLOOKUP(I1134,CHOOSE({1,2},Table12[Native],Table12[Name]),2,0)</f>
        <v>Lìshuĭ Shì</v>
      </c>
      <c r="O1134" s="15" t="str">
        <f t="shared" si="34"/>
        <v>Wuyun Jiedao [incl. Xinbi Jiedao, Xiandu Jiedao] (Lìshuĭ Shì)</v>
      </c>
      <c r="P1134" s="15" t="str">
        <f t="shared" si="35"/>
        <v>Wuyun Jiedao [incl. Xinbi Jiedao, Xiandu Jiedao] (Lìshuĭ Shì)</v>
      </c>
    </row>
    <row r="1135" spans="1:16" hidden="1" x14ac:dyDescent="0.25">
      <c r="A1135" t="s">
        <v>655</v>
      </c>
      <c r="B1135" t="str">
        <f>IF(COUNTIF(A:A,A1135)&gt;1,_xlfn.CONCAT(A1135," (",N1135,")"),A1135)</f>
        <v>Wūzhèn Zhèn [incl. Lóngxiáng Jiēdào]</v>
      </c>
      <c r="C1135" t="str">
        <f>IF(COUNTIF(B:B,B1135)&gt;1,_xlfn.CONCAT(A1135," (",M1135,")"),B1135)</f>
        <v>Wūzhèn Zhèn [incl. Lóngxiáng Jiēdào]</v>
      </c>
      <c r="D1135" t="s">
        <v>656</v>
      </c>
      <c r="E1135" t="s">
        <v>11</v>
      </c>
      <c r="F1135" t="str">
        <f>_xlfn.CONCAT(D1135,", ",H1135,", ",I1135,", ","浙江省")</f>
        <v>乌镇镇, 桐乡市, 嘉兴市, 浙江省</v>
      </c>
      <c r="G1135">
        <v>79831</v>
      </c>
      <c r="H1135" t="s">
        <v>2935</v>
      </c>
      <c r="I1135" t="s">
        <v>2929</v>
      </c>
      <c r="J1135">
        <f>VLOOKUP(F1135,[1]!china_towns_second__2[[Column1]:[Y]],3,FALSE)</f>
        <v>30.737620265268699</v>
      </c>
      <c r="K1135">
        <f>VLOOKUP(F1135,[1]!china_towns_second__2[[Column1]:[Y]],2,FALSE)</f>
        <v>120.5057939</v>
      </c>
      <c r="L1135" t="s">
        <v>4768</v>
      </c>
      <c r="M1135" t="str">
        <f>VLOOKUP(H1135,CHOOSE({1,2},Table12[Native],Table12[Name]),2,0)</f>
        <v>Tóngxiāng Shì</v>
      </c>
      <c r="N1135" s="15" t="str">
        <f>VLOOKUP(I1135,CHOOSE({1,2},Table12[Native],Table12[Name]),2,0)</f>
        <v>Jiāxīng Shì</v>
      </c>
      <c r="O1135" s="15" t="str">
        <f t="shared" si="34"/>
        <v>Wuzhen Zhen [incl. Longxiang Jiedao] (Jiāxīng Shì)</v>
      </c>
      <c r="P1135" s="15" t="str">
        <f t="shared" si="35"/>
        <v>Wuzhen Zhen [incl. Longxiang Jiedao] (Jiāxīng Shì)</v>
      </c>
    </row>
    <row r="1136" spans="1:16" hidden="1" x14ac:dyDescent="0.25">
      <c r="A1136" t="s">
        <v>2233</v>
      </c>
      <c r="B1136" t="str">
        <f>IF(COUNTIF(A:A,A1136)&gt;1,_xlfn.CONCAT(A1136," (",N1136,")"),A1136)</f>
        <v>Xiàchén Jiēdào</v>
      </c>
      <c r="C1136" t="str">
        <f>IF(COUNTIF(B:B,B1136)&gt;1,_xlfn.CONCAT(A1136," (",M1136,")"),B1136)</f>
        <v>Xiàchén Jiēdào</v>
      </c>
      <c r="D1136" t="s">
        <v>2234</v>
      </c>
      <c r="E1136" t="s">
        <v>15</v>
      </c>
      <c r="F1136" t="str">
        <f>_xlfn.CONCAT(D1136,", ",H1136,", ",I1136,", ","浙江省")</f>
        <v>下陈街道, 椒江区, 台州市, 浙江省</v>
      </c>
      <c r="G1136">
        <v>54909</v>
      </c>
      <c r="H1136" t="s">
        <v>2991</v>
      </c>
      <c r="I1136" t="s">
        <v>2989</v>
      </c>
      <c r="J1136">
        <f>VLOOKUP(F1136,[1]!china_towns_second__2[[Column1]:[Y]],3,FALSE)</f>
        <v>28.607888681193501</v>
      </c>
      <c r="K1136">
        <f>VLOOKUP(F1136,[1]!china_towns_second__2[[Column1]:[Y]],2,FALSE)</f>
        <v>121.44557589999999</v>
      </c>
      <c r="L1136" t="s">
        <v>4769</v>
      </c>
      <c r="M1136" t="str">
        <f>VLOOKUP(H1136,CHOOSE({1,2},Table12[Native],Table12[Name]),2,0)</f>
        <v>Jiāojiāng Qū</v>
      </c>
      <c r="N1136" s="15" t="str">
        <f>VLOOKUP(I1136,CHOOSE({1,2},Table12[Native],Table12[Name]),2,0)</f>
        <v>Táizhōu Shì</v>
      </c>
      <c r="O1136" s="15" t="str">
        <f t="shared" si="34"/>
        <v>Xiachen Jiedao (Táizhōu Shì)</v>
      </c>
      <c r="P1136" s="15" t="str">
        <f t="shared" si="35"/>
        <v>Xiachen Jiedao (Táizhōu Shì)</v>
      </c>
    </row>
    <row r="1137" spans="1:16" hidden="1" x14ac:dyDescent="0.25">
      <c r="A1137" t="s">
        <v>1798</v>
      </c>
      <c r="B1137" t="str">
        <f>IF(COUNTIF(A:A,A1137)&gt;1,_xlfn.CONCAT(A1137," (",N1137,")"),A1137)</f>
        <v>Xiáchuān Zhèn</v>
      </c>
      <c r="C1137" t="str">
        <f>IF(COUNTIF(B:B,B1137)&gt;1,_xlfn.CONCAT(A1137," (",M1137,")"),B1137)</f>
        <v>Xiáchuān Zhèn</v>
      </c>
      <c r="D1137" t="s">
        <v>1799</v>
      </c>
      <c r="E1137" t="s">
        <v>11</v>
      </c>
      <c r="F1137" t="str">
        <f>_xlfn.CONCAT(D1137,", ",H1137,", ",I1137,", ","浙江省")</f>
        <v>峡川镇, 衢江区, 衢州市, 浙江省</v>
      </c>
      <c r="G1137">
        <v>10436</v>
      </c>
      <c r="H1137" t="s">
        <v>2979</v>
      </c>
      <c r="I1137" t="s">
        <v>2973</v>
      </c>
      <c r="J1137">
        <f>VLOOKUP(F1137,[1]!china_towns_second__2[[Column1]:[Y]],3,FALSE)</f>
        <v>29.167888307808099</v>
      </c>
      <c r="K1137">
        <f>VLOOKUP(F1137,[1]!china_towns_second__2[[Column1]:[Y]],2,FALSE)</f>
        <v>119.009649</v>
      </c>
      <c r="L1137" t="s">
        <v>4770</v>
      </c>
      <c r="M1137" t="str">
        <f>VLOOKUP(H1137,CHOOSE({1,2},Table12[Native],Table12[Name]),2,0)</f>
        <v>Qújiāng Qū</v>
      </c>
      <c r="N1137" s="15" t="str">
        <f>VLOOKUP(I1137,CHOOSE({1,2},Table12[Native],Table12[Name]),2,0)</f>
        <v>Qúzhōu Shì</v>
      </c>
      <c r="O1137" s="15" t="str">
        <f t="shared" si="34"/>
        <v>Xiachuan Zhen (Qúzhōu Shì)</v>
      </c>
      <c r="P1137" s="15" t="str">
        <f t="shared" si="35"/>
        <v>Xiachuan Zhen (Qúzhōu Shì)</v>
      </c>
    </row>
    <row r="1138" spans="1:16" hidden="1" x14ac:dyDescent="0.25">
      <c r="A1138" t="s">
        <v>2235</v>
      </c>
      <c r="B1138" t="str">
        <f>IF(COUNTIF(A:A,A1138)&gt;1,_xlfn.CONCAT(A1138," (",N1138,")"),A1138)</f>
        <v>Xiàgè Zhèn</v>
      </c>
      <c r="C1138" t="str">
        <f>IF(COUNTIF(B:B,B1138)&gt;1,_xlfn.CONCAT(A1138," (",M1138,")"),B1138)</f>
        <v>Xiàgè Zhèn</v>
      </c>
      <c r="D1138" t="s">
        <v>2236</v>
      </c>
      <c r="E1138" t="s">
        <v>11</v>
      </c>
      <c r="F1138" t="str">
        <f>_xlfn.CONCAT(D1138,", ",H1138,", ",I1138,", ","浙江省")</f>
        <v>下各镇, 仙居县, 台州市, 浙江省</v>
      </c>
      <c r="G1138">
        <v>34378</v>
      </c>
      <c r="H1138" t="s">
        <v>2997</v>
      </c>
      <c r="I1138" t="s">
        <v>2989</v>
      </c>
      <c r="J1138">
        <f>VLOOKUP(F1138,[1]!china_towns_second__2[[Column1]:[Y]],3,FALSE)</f>
        <v>28.842420348888801</v>
      </c>
      <c r="K1138">
        <f>VLOOKUP(F1138,[1]!china_towns_second__2[[Column1]:[Y]],2,FALSE)</f>
        <v>120.85745420000001</v>
      </c>
      <c r="L1138" t="s">
        <v>4771</v>
      </c>
      <c r="M1138" t="str">
        <f>VLOOKUP(H1138,CHOOSE({1,2},Table12[Native],Table12[Name]),2,0)</f>
        <v>Xiānjū Xiàn</v>
      </c>
      <c r="N1138" s="15" t="str">
        <f>VLOOKUP(I1138,CHOOSE({1,2},Table12[Native],Table12[Name]),2,0)</f>
        <v>Táizhōu Shì</v>
      </c>
      <c r="O1138" s="15" t="str">
        <f t="shared" si="34"/>
        <v>Xiage Zhen (Táizhōu Shì)</v>
      </c>
      <c r="P1138" s="15" t="str">
        <f t="shared" si="35"/>
        <v>Xiage Zhen (Táizhōu Shì)</v>
      </c>
    </row>
    <row r="1139" spans="1:16" hidden="1" x14ac:dyDescent="0.25">
      <c r="A1139" t="s">
        <v>2004</v>
      </c>
      <c r="B1139" t="str">
        <f>IF(COUNTIF(A:A,A1139)&gt;1,_xlfn.CONCAT(A1139," (",N1139,")"),A1139)</f>
        <v>Xiàguăn Zhèn</v>
      </c>
      <c r="C1139" t="str">
        <f>IF(COUNTIF(B:B,B1139)&gt;1,_xlfn.CONCAT(A1139," (",M1139,")"),B1139)</f>
        <v>Xiàguăn Zhèn</v>
      </c>
      <c r="D1139" t="s">
        <v>2005</v>
      </c>
      <c r="E1139" t="s">
        <v>11</v>
      </c>
      <c r="F1139" t="str">
        <f>_xlfn.CONCAT(D1139,", ",H1139,", ",I1139,", ","浙江省")</f>
        <v>下管镇, 上虞区, 绍兴市, 浙江省</v>
      </c>
      <c r="G1139">
        <v>8255</v>
      </c>
      <c r="H1139" t="s">
        <v>2983</v>
      </c>
      <c r="I1139" t="s">
        <v>2981</v>
      </c>
      <c r="J1139">
        <f>VLOOKUP(F1139,[1]!china_towns_second__2[[Column1]:[Y]],3,FALSE)</f>
        <v>29.837502791407399</v>
      </c>
      <c r="K1139">
        <f>VLOOKUP(F1139,[1]!china_towns_second__2[[Column1]:[Y]],2,FALSE)</f>
        <v>121.0248567</v>
      </c>
      <c r="L1139" t="s">
        <v>4772</v>
      </c>
      <c r="M1139" t="str">
        <f>VLOOKUP(H1139,CHOOSE({1,2},Table12[Native],Table12[Name]),2,0)</f>
        <v>Shàngyú Qū</v>
      </c>
      <c r="N1139" s="15" t="str">
        <f>VLOOKUP(I1139,CHOOSE({1,2},Table12[Native],Table12[Name]),2,0)</f>
        <v>Shàoxīng Shì</v>
      </c>
      <c r="O1139" s="15" t="str">
        <f t="shared" si="34"/>
        <v>Xiaguan Zhen (Shàoxīng Shì)</v>
      </c>
      <c r="P1139" s="15" t="str">
        <f t="shared" si="35"/>
        <v>Xiaguan Zhen (Shàoxīng Shì)</v>
      </c>
    </row>
    <row r="1140" spans="1:16" hidden="1" x14ac:dyDescent="0.25">
      <c r="A1140" t="s">
        <v>2696</v>
      </c>
      <c r="B1140" t="str">
        <f>IF(COUNTIF(A:A,A1140)&gt;1,_xlfn.CONCAT(A1140," (",N1140,")"),A1140)</f>
        <v>Xiáguān Zhèn [→ Măzhàn Zhèn]</v>
      </c>
      <c r="C1140" t="str">
        <f>IF(COUNTIF(B:B,B1140)&gt;1,_xlfn.CONCAT(A1140," (",M1140,")"),B1140)</f>
        <v>Xiáguān Zhèn [→ Măzhàn Zhèn]</v>
      </c>
      <c r="D1140" t="s">
        <v>2697</v>
      </c>
      <c r="E1140" t="s">
        <v>11</v>
      </c>
      <c r="F1140" t="str">
        <f>_xlfn.CONCAT(D1140,", ",H1140,", ",I1140,", ","浙江省")</f>
        <v>霞关镇, 苍南县, 温州市, 浙江省</v>
      </c>
      <c r="G1140">
        <v>13796</v>
      </c>
      <c r="H1140" t="s">
        <v>3001</v>
      </c>
      <c r="I1140" t="s">
        <v>3000</v>
      </c>
      <c r="J1140">
        <f>VLOOKUP(F1140,[1]!china_towns_second__2[[Column1]:[Y]],3,FALSE)</f>
        <v>27.174044800000001</v>
      </c>
      <c r="K1140">
        <f>VLOOKUP(F1140,[1]!china_towns_second__2[[Column1]:[Y]],2,FALSE)</f>
        <v>120.4665255</v>
      </c>
      <c r="L1140" t="s">
        <v>4773</v>
      </c>
      <c r="M1140" t="str">
        <f>VLOOKUP(H1140,CHOOSE({1,2},Table12[Native],Table12[Name]),2,0)</f>
        <v>Cāngnán Xiàn</v>
      </c>
      <c r="N1140" s="15" t="str">
        <f>VLOOKUP(I1140,CHOOSE({1,2},Table12[Native],Table12[Name]),2,0)</f>
        <v>Wēnzhōu Shì</v>
      </c>
      <c r="O1140" s="15" t="str">
        <f t="shared" si="34"/>
        <v>Xiaguan Zhen [→ Mazhan Zhen] (Wēnzhōu Shì)</v>
      </c>
      <c r="P1140" s="15" t="str">
        <f t="shared" si="35"/>
        <v>Xiaguan Zhen [→ Mazhan Zhen] (Wēnzhōu Shì)</v>
      </c>
    </row>
    <row r="1141" spans="1:16" hidden="1" x14ac:dyDescent="0.25">
      <c r="A1141" t="s">
        <v>2698</v>
      </c>
      <c r="B1141" t="str">
        <f>IF(COUNTIF(A:A,A1141)&gt;1,_xlfn.CONCAT(A1141," (",N1141,")"),A1141)</f>
        <v>Xiàhóng Xiāng</v>
      </c>
      <c r="C1141" t="str">
        <f>IF(COUNTIF(B:B,B1141)&gt;1,_xlfn.CONCAT(A1141," (",M1141,")"),B1141)</f>
        <v>Xiàhóng Xiāng</v>
      </c>
      <c r="D1141" t="s">
        <v>2699</v>
      </c>
      <c r="E1141" t="s">
        <v>7</v>
      </c>
      <c r="F1141" t="str">
        <f>_xlfn.CONCAT(D1141,", ",H1141,", ",I1141,", ","浙江省")</f>
        <v>下洪乡, 泰顺县, 温州市, 浙江省</v>
      </c>
      <c r="G1141">
        <v>5432</v>
      </c>
      <c r="H1141" t="s">
        <v>3008</v>
      </c>
      <c r="I1141" t="s">
        <v>3000</v>
      </c>
      <c r="J1141" t="e">
        <f>VLOOKUP(F1141,[1]!china_towns_second__2[[Column1]:[Y]],3,FALSE)</f>
        <v>#N/A</v>
      </c>
      <c r="K1141" t="e">
        <f>VLOOKUP(F1141,[1]!china_towns_second__2[[Column1]:[Y]],2,FALSE)</f>
        <v>#N/A</v>
      </c>
      <c r="L1141" t="s">
        <v>4774</v>
      </c>
      <c r="M1141" t="str">
        <f>VLOOKUP(H1141,CHOOSE({1,2},Table12[Native],Table12[Name]),2,0)</f>
        <v>Tàishùn Xiàn</v>
      </c>
      <c r="N1141" s="15" t="str">
        <f>VLOOKUP(I1141,CHOOSE({1,2},Table12[Native],Table12[Name]),2,0)</f>
        <v>Wēnzhōu Shì</v>
      </c>
      <c r="O1141" s="15" t="str">
        <f t="shared" si="34"/>
        <v>Xiahong Xiang (Wēnzhōu Shì)</v>
      </c>
      <c r="P1141" s="15" t="str">
        <f t="shared" si="35"/>
        <v>Xiahong Xiang (Wēnzhōu Shì)</v>
      </c>
    </row>
    <row r="1142" spans="1:16" hidden="1" x14ac:dyDescent="0.25">
      <c r="A1142" t="s">
        <v>1800</v>
      </c>
      <c r="B1142" t="str">
        <f>IF(COUNTIF(A:A,A1142)&gt;1,_xlfn.CONCAT(A1142," (",N1142,")"),A1142)</f>
        <v>Xiákŏu Zhèn</v>
      </c>
      <c r="C1142" t="str">
        <f>IF(COUNTIF(B:B,B1142)&gt;1,_xlfn.CONCAT(A1142," (",M1142,")"),B1142)</f>
        <v>Xiákŏu Zhèn</v>
      </c>
      <c r="D1142" t="s">
        <v>1801</v>
      </c>
      <c r="E1142" t="s">
        <v>11</v>
      </c>
      <c r="F1142" t="str">
        <f>_xlfn.CONCAT(D1142,", ",H1142,", ",I1142,", ","浙江省")</f>
        <v>峡口镇, 江山市, 衢州市, 浙江省</v>
      </c>
      <c r="G1142">
        <v>29446</v>
      </c>
      <c r="H1142" t="s">
        <v>2975</v>
      </c>
      <c r="I1142" t="s">
        <v>2973</v>
      </c>
      <c r="J1142">
        <f>VLOOKUP(F1142,[1]!china_towns_second__2[[Column1]:[Y]],3,FALSE)</f>
        <v>28.449785399907299</v>
      </c>
      <c r="K1142">
        <f>VLOOKUP(F1142,[1]!china_towns_second__2[[Column1]:[Y]],2,FALSE)</f>
        <v>118.5470117</v>
      </c>
      <c r="L1142" t="s">
        <v>4775</v>
      </c>
      <c r="M1142" t="str">
        <f>VLOOKUP(H1142,CHOOSE({1,2},Table12[Native],Table12[Name]),2,0)</f>
        <v>Jiāngshān Shì</v>
      </c>
      <c r="N1142" s="15" t="str">
        <f>VLOOKUP(I1142,CHOOSE({1,2},Table12[Native],Table12[Name]),2,0)</f>
        <v>Qúzhōu Shì</v>
      </c>
      <c r="O1142" s="15" t="str">
        <f t="shared" si="34"/>
        <v>Xiakou Zhen (Qúzhōu Shì)</v>
      </c>
      <c r="P1142" s="15" t="str">
        <f t="shared" si="35"/>
        <v>Xiakou Zhen (Qúzhōu Shì)</v>
      </c>
    </row>
    <row r="1143" spans="1:16" hidden="1" x14ac:dyDescent="0.25">
      <c r="A1143" t="s">
        <v>2700</v>
      </c>
      <c r="B1143" t="str">
        <f>IF(COUNTIF(A:A,A1143)&gt;1,_xlfn.CONCAT(A1143," (",N1143,")"),A1143)</f>
        <v>Xiàliáo Xiāng</v>
      </c>
      <c r="C1143" t="str">
        <f>IF(COUNTIF(B:B,B1143)&gt;1,_xlfn.CONCAT(A1143," (",M1143,")"),B1143)</f>
        <v>Xiàliáo Xiāng</v>
      </c>
      <c r="D1143" t="s">
        <v>2701</v>
      </c>
      <c r="E1143" t="s">
        <v>7</v>
      </c>
      <c r="F1143" t="str">
        <f>_xlfn.CONCAT(D1143,", ",H1143,", ",I1143,", ","浙江省")</f>
        <v>下寮乡, 永嘉县, 温州市, 浙江省</v>
      </c>
      <c r="G1143">
        <v>1679</v>
      </c>
      <c r="H1143" t="s">
        <v>3010</v>
      </c>
      <c r="I1143" t="s">
        <v>3000</v>
      </c>
      <c r="J1143" t="e">
        <f>VLOOKUP(F1143,[1]!china_towns_second__2[[Column1]:[Y]],3,FALSE)</f>
        <v>#N/A</v>
      </c>
      <c r="K1143" t="e">
        <f>VLOOKUP(F1143,[1]!china_towns_second__2[[Column1]:[Y]],2,FALSE)</f>
        <v>#N/A</v>
      </c>
      <c r="L1143" t="s">
        <v>4776</v>
      </c>
      <c r="M1143" t="str">
        <f>VLOOKUP(H1143,CHOOSE({1,2},Table12[Native],Table12[Name]),2,0)</f>
        <v>Yŏngjiā Xiàn</v>
      </c>
      <c r="N1143" s="15" t="str">
        <f>VLOOKUP(I1143,CHOOSE({1,2},Table12[Native],Table12[Name]),2,0)</f>
        <v>Wēnzhōu Shì</v>
      </c>
      <c r="O1143" s="15" t="str">
        <f t="shared" si="34"/>
        <v>Xialiao Xiang (Wēnzhōu Shì)</v>
      </c>
      <c r="P1143" s="15" t="str">
        <f t="shared" si="35"/>
        <v>Xialiao Xiang (Wēnzhōu Shì)</v>
      </c>
    </row>
    <row r="1144" spans="1:16" hidden="1" x14ac:dyDescent="0.25">
      <c r="A1144" t="s">
        <v>2006</v>
      </c>
      <c r="B1144" t="str">
        <f>IF(COUNTIF(A:A,A1144)&gt;1,_xlfn.CONCAT(A1144," (",N1144,")"),A1144)</f>
        <v>Xiàlǚ Zhèn</v>
      </c>
      <c r="C1144" t="str">
        <f>IF(COUNTIF(B:B,B1144)&gt;1,_xlfn.CONCAT(A1144," (",M1144,")"),B1144)</f>
        <v>Xiàlǚ Zhèn</v>
      </c>
      <c r="D1144" t="s">
        <v>2007</v>
      </c>
      <c r="E1144" t="s">
        <v>11</v>
      </c>
      <c r="F1144" t="str">
        <f>_xlfn.CONCAT(D1144,", ",H1144,", ",I1144,", ","浙江省")</f>
        <v>夏履镇, 柯桥区, 绍兴市, 浙江省</v>
      </c>
      <c r="G1144">
        <v>22738</v>
      </c>
      <c r="H1144" t="s">
        <v>2982</v>
      </c>
      <c r="I1144" t="s">
        <v>2981</v>
      </c>
      <c r="J1144">
        <f>VLOOKUP(F1144,[1]!china_towns_second__2[[Column1]:[Y]],3,FALSE)</f>
        <v>30.047117359125401</v>
      </c>
      <c r="K1144">
        <f>VLOOKUP(F1144,[1]!china_towns_second__2[[Column1]:[Y]],2,FALSE)</f>
        <v>120.3580807</v>
      </c>
      <c r="L1144" t="s">
        <v>4777</v>
      </c>
      <c r="M1144" t="str">
        <f>VLOOKUP(H1144,CHOOSE({1,2},Table12[Native],Table12[Name]),2,0)</f>
        <v>Kēqiáo Qū</v>
      </c>
      <c r="N1144" s="15" t="str">
        <f>VLOOKUP(I1144,CHOOSE({1,2},Table12[Native],Table12[Name]),2,0)</f>
        <v>Shàoxīng Shì</v>
      </c>
      <c r="O1144" s="15" t="str">
        <f t="shared" si="34"/>
        <v>Xialu Zhen (Shàoxīng Shì)</v>
      </c>
      <c r="P1144" s="15" t="str">
        <f t="shared" si="35"/>
        <v>Xialu Zhen (Shàoxīng Shì)</v>
      </c>
    </row>
    <row r="1145" spans="1:16" hidden="1" x14ac:dyDescent="0.25">
      <c r="A1145" t="s">
        <v>2708</v>
      </c>
      <c r="B1145" t="str">
        <f>IF(COUNTIF(A:A,A1145)&gt;1,_xlfn.CONCAT(A1145," (",N1145,")"),A1145)</f>
        <v>Xiàn Línchăng</v>
      </c>
      <c r="C1145" t="str">
        <f>IF(COUNTIF(B:B,B1145)&gt;1,_xlfn.CONCAT(A1145," (",M1145,")"),B1145)</f>
        <v>Xiàn Línchăng</v>
      </c>
      <c r="D1145" t="s">
        <v>2709</v>
      </c>
      <c r="E1145" t="s">
        <v>253</v>
      </c>
      <c r="F1145" t="str">
        <f>_xlfn.CONCAT(D1145,", ",H1145,", ",I1145,", ","浙江省")</f>
        <v>县林场, 苍南县, 温州市, 浙江省</v>
      </c>
      <c r="G1145">
        <v>193</v>
      </c>
      <c r="H1145" t="s">
        <v>3001</v>
      </c>
      <c r="I1145" t="s">
        <v>3000</v>
      </c>
      <c r="J1145" t="e">
        <f>VLOOKUP(F1145,[1]!china_towns_second__2[[Column1]:[Y]],3,FALSE)</f>
        <v>#N/A</v>
      </c>
      <c r="K1145" t="e">
        <f>VLOOKUP(F1145,[1]!china_towns_second__2[[Column1]:[Y]],2,FALSE)</f>
        <v>#N/A</v>
      </c>
      <c r="L1145" t="s">
        <v>4778</v>
      </c>
      <c r="M1145" t="str">
        <f>VLOOKUP(H1145,CHOOSE({1,2},Table12[Native],Table12[Name]),2,0)</f>
        <v>Cāngnán Xiàn</v>
      </c>
      <c r="N1145" s="15" t="str">
        <f>VLOOKUP(I1145,CHOOSE({1,2},Table12[Native],Table12[Name]),2,0)</f>
        <v>Wēnzhōu Shì</v>
      </c>
      <c r="O1145" s="15" t="str">
        <f t="shared" si="34"/>
        <v>Xian Linchang (Wēnzhōu Shì)</v>
      </c>
      <c r="P1145" s="15" t="str">
        <f t="shared" si="35"/>
        <v>Xian Linchang (Wēnzhōu Shì)</v>
      </c>
    </row>
    <row r="1146" spans="1:16" hidden="1" x14ac:dyDescent="0.25">
      <c r="A1146" t="s">
        <v>2712</v>
      </c>
      <c r="B1146" t="str">
        <f>IF(COUNTIF(A:A,A1146)&gt;1,_xlfn.CONCAT(A1146," (",N1146,")"),A1146)</f>
        <v>Xiàn Tèchănchăng Chăngqū</v>
      </c>
      <c r="C1146" t="str">
        <f>IF(COUNTIF(B:B,B1146)&gt;1,_xlfn.CONCAT(A1146," (",M1146,")"),B1146)</f>
        <v>Xiàn Tèchănchăng Chăngqū</v>
      </c>
      <c r="D1146" t="s">
        <v>2713</v>
      </c>
      <c r="E1146" t="s">
        <v>253</v>
      </c>
      <c r="F1146" t="str">
        <f>_xlfn.CONCAT(D1146,", ",H1146,", ",I1146,", ","浙江省")</f>
        <v>县特产场场区, 永嘉县, 温州市, 浙江省</v>
      </c>
      <c r="G1146">
        <v>1938</v>
      </c>
      <c r="H1146" t="s">
        <v>3010</v>
      </c>
      <c r="I1146" t="s">
        <v>3000</v>
      </c>
      <c r="J1146">
        <f>VLOOKUP(F1146,[1]!china_towns_second__2[[Column1]:[Y]],3,FALSE)</f>
        <v>28.162255145177301</v>
      </c>
      <c r="K1146">
        <f>VLOOKUP(F1146,[1]!china_towns_second__2[[Column1]:[Y]],2,FALSE)</f>
        <v>120.6686931</v>
      </c>
      <c r="L1146" t="s">
        <v>4779</v>
      </c>
      <c r="M1146" t="str">
        <f>VLOOKUP(H1146,CHOOSE({1,2},Table12[Native],Table12[Name]),2,0)</f>
        <v>Yŏngjiā Xiàn</v>
      </c>
      <c r="N1146" s="15" t="str">
        <f>VLOOKUP(I1146,CHOOSE({1,2},Table12[Native],Table12[Name]),2,0)</f>
        <v>Wēnzhōu Shì</v>
      </c>
      <c r="O1146" s="15" t="str">
        <f t="shared" si="34"/>
        <v>Xian Techanchang Changqu (Wēnzhōu Shì)</v>
      </c>
      <c r="P1146" s="15" t="str">
        <f t="shared" si="35"/>
        <v>Xian Techanchang Changqu (Wēnzhōu Shì)</v>
      </c>
    </row>
    <row r="1147" spans="1:16" hidden="1" x14ac:dyDescent="0.25">
      <c r="A1147" t="s">
        <v>1255</v>
      </c>
      <c r="B1147" t="str">
        <f>IF(COUNTIF(A:A,A1147)&gt;1,_xlfn.CONCAT(A1147," (",N1147,")"),A1147)</f>
        <v>Xiāndù Xiāng</v>
      </c>
      <c r="C1147" t="str">
        <f>IF(COUNTIF(B:B,B1147)&gt;1,_xlfn.CONCAT(A1147," (",M1147,")"),B1147)</f>
        <v>Xiāndù Xiāng</v>
      </c>
      <c r="D1147" t="s">
        <v>1256</v>
      </c>
      <c r="E1147" t="s">
        <v>7</v>
      </c>
      <c r="F1147" t="str">
        <f>_xlfn.CONCAT(D1147,", ",H1147,", ",I1147,", ","浙江省")</f>
        <v>仙渡乡, 莲都区, 丽水市, 浙江省</v>
      </c>
      <c r="G1147">
        <v>5023</v>
      </c>
      <c r="H1147" t="s">
        <v>2953</v>
      </c>
      <c r="I1147" t="s">
        <v>2949</v>
      </c>
      <c r="J1147" t="e">
        <f>VLOOKUP(F1147,[1]!china_towns_second__2[[Column1]:[Y]],3,FALSE)</f>
        <v>#N/A</v>
      </c>
      <c r="K1147" t="e">
        <f>VLOOKUP(F1147,[1]!china_towns_second__2[[Column1]:[Y]],2,FALSE)</f>
        <v>#N/A</v>
      </c>
      <c r="L1147" t="s">
        <v>4780</v>
      </c>
      <c r="M1147" t="str">
        <f>VLOOKUP(H1147,CHOOSE({1,2},Table12[Native],Table12[Name]),2,0)</f>
        <v>Liándū Qū</v>
      </c>
      <c r="N1147" s="15" t="str">
        <f>VLOOKUP(I1147,CHOOSE({1,2},Table12[Native],Table12[Name]),2,0)</f>
        <v>Lìshuĭ Shì</v>
      </c>
      <c r="O1147" s="15" t="str">
        <f t="shared" si="34"/>
        <v>Xiandu Xiang (Lìshuĭ Shì)</v>
      </c>
      <c r="P1147" s="15" t="str">
        <f t="shared" si="35"/>
        <v>Xiandu Xiang (Lìshuĭ Shì)</v>
      </c>
    </row>
    <row r="1148" spans="1:16" hidden="1" x14ac:dyDescent="0.25">
      <c r="A1148" t="s">
        <v>332</v>
      </c>
      <c r="B1148" t="str">
        <f>IF(COUNTIF(A:A,A1148)&gt;1,_xlfn.CONCAT(A1148," (",N1148,")"),A1148)</f>
        <v>Xiángfú Jiēdào</v>
      </c>
      <c r="C1148" t="str">
        <f>IF(COUNTIF(B:B,B1148)&gt;1,_xlfn.CONCAT(A1148," (",M1148,")"),B1148)</f>
        <v>Xiángfú Jiēdào</v>
      </c>
      <c r="D1148" t="s">
        <v>333</v>
      </c>
      <c r="E1148" t="s">
        <v>15</v>
      </c>
      <c r="F1148" t="str">
        <f>_xlfn.CONCAT(D1148,", ",H1148,", ",I1148,", ","浙江省")</f>
        <v>祥符街道, 拱墅区, 杭州市, 浙江省</v>
      </c>
      <c r="G1148">
        <v>105418</v>
      </c>
      <c r="H1148" t="s">
        <v>2909</v>
      </c>
      <c r="I1148" t="s">
        <v>2903</v>
      </c>
      <c r="J1148">
        <f>VLOOKUP(F1148,[1]!china_towns_second__2[[Column1]:[Y]],3,FALSE)</f>
        <v>30.322601125335201</v>
      </c>
      <c r="K1148">
        <f>VLOOKUP(F1148,[1]!china_towns_second__2[[Column1]:[Y]],2,FALSE)</f>
        <v>120.1099856</v>
      </c>
      <c r="L1148" t="s">
        <v>4781</v>
      </c>
      <c r="M1148" t="str">
        <f>VLOOKUP(H1148,CHOOSE({1,2},Table12[Native],Table12[Name]),2,0)</f>
        <v>Gŏngshù Qū</v>
      </c>
      <c r="N1148" s="15" t="str">
        <f>VLOOKUP(I1148,CHOOSE({1,2},Table12[Native],Table12[Name]),2,0)</f>
        <v>Hángzhōu Shì</v>
      </c>
      <c r="O1148" s="15" t="str">
        <f t="shared" si="34"/>
        <v>Xiangfu Jiedao (Hángzhōu Shì)</v>
      </c>
      <c r="P1148" s="15" t="str">
        <f t="shared" si="35"/>
        <v>Xiangfu Jiedao (Hángzhōu Shì)</v>
      </c>
    </row>
    <row r="1149" spans="1:16" x14ac:dyDescent="0.25">
      <c r="A1149" t="s">
        <v>1257</v>
      </c>
      <c r="B1149" t="str">
        <f>IF(COUNTIF(A:A,A1149)&gt;1,_xlfn.CONCAT(A1149," (",N1149,")"),A1149)</f>
        <v>Xiàngxī Zhèn</v>
      </c>
      <c r="C1149" t="str">
        <f>IF(COUNTIF(B:B,B1149)&gt;1,_xlfn.CONCAT(A1149," (",M1149,")"),B1149)</f>
        <v>Xiàngxī Zhèn</v>
      </c>
      <c r="D1149" t="s">
        <v>1258</v>
      </c>
      <c r="E1149" t="s">
        <v>11</v>
      </c>
      <c r="F1149" t="str">
        <f>_xlfn.CONCAT(D1149,", ",H1149,", ",I1149,", ","浙江省")</f>
        <v>象溪镇, 松阳县, 丽水市, 浙江省</v>
      </c>
      <c r="G1149">
        <v>8765</v>
      </c>
      <c r="H1149" t="s">
        <v>2957</v>
      </c>
      <c r="I1149" t="s">
        <v>2949</v>
      </c>
      <c r="J1149">
        <f>VLOOKUP(F1149,[1]!china_towns_second__2[[Column1]:[Y]],3,FALSE)</f>
        <v>28.3891359017911</v>
      </c>
      <c r="K1149">
        <f>VLOOKUP(F1149,[1]!china_towns_second__2[[Column1]:[Y]],2,FALSE)</f>
        <v>119.5917668</v>
      </c>
      <c r="L1149" t="s">
        <v>4782</v>
      </c>
      <c r="M1149" t="str">
        <f>VLOOKUP(H1149,CHOOSE({1,2},Table12[Native],Table12[Name]),2,0)</f>
        <v>Sōngyáng Xiàn</v>
      </c>
      <c r="N1149" s="15" t="str">
        <f>VLOOKUP(I1149,CHOOSE({1,2},Table12[Native],Table12[Name]),2,0)</f>
        <v>Lìshuĭ Shì</v>
      </c>
      <c r="O1149" s="15" t="str">
        <f t="shared" si="34"/>
        <v>Xiangxi Zhen (Lìshuĭ Shì)</v>
      </c>
      <c r="P1149" s="15" t="str">
        <f t="shared" si="35"/>
        <v>Xiangxi Zhen (Lìshuĭ Shì)</v>
      </c>
    </row>
    <row r="1150" spans="1:16" x14ac:dyDescent="0.25">
      <c r="A1150" t="s">
        <v>931</v>
      </c>
      <c r="B1150" t="str">
        <f>IF(COUNTIF(A:A,A1150)&gt;1,_xlfn.CONCAT(A1150," (",N1150,")"),A1150)</f>
        <v>Xiāngxī Zhèn</v>
      </c>
      <c r="C1150" t="str">
        <f>IF(COUNTIF(B:B,B1150)&gt;1,_xlfn.CONCAT(A1150," (",M1150,")"),B1150)</f>
        <v>Xiāngxī Zhèn</v>
      </c>
      <c r="D1150" t="s">
        <v>932</v>
      </c>
      <c r="E1150" t="s">
        <v>11</v>
      </c>
      <c r="F1150" t="str">
        <f>_xlfn.CONCAT(D1150,", ",H1150,", ",I1150,", ","浙江省")</f>
        <v>香溪镇, 兰溪市, 金华市, 浙江省</v>
      </c>
      <c r="G1150">
        <v>28043</v>
      </c>
      <c r="H1150" t="s">
        <v>2941</v>
      </c>
      <c r="I1150" t="s">
        <v>2938</v>
      </c>
      <c r="J1150">
        <f>VLOOKUP(F1150,[1]!china_towns_second__2[[Column1]:[Y]],3,FALSE)</f>
        <v>29.3072344219161</v>
      </c>
      <c r="K1150">
        <f>VLOOKUP(F1150,[1]!china_towns_second__2[[Column1]:[Y]],2,FALSE)</f>
        <v>119.54147620000001</v>
      </c>
      <c r="L1150" t="s">
        <v>4782</v>
      </c>
      <c r="M1150" t="str">
        <f>VLOOKUP(H1150,CHOOSE({1,2},Table12[Native],Table12[Name]),2,0)</f>
        <v>Lánxī Shì</v>
      </c>
      <c r="N1150" s="15" t="str">
        <f>VLOOKUP(I1150,CHOOSE({1,2},Table12[Native],Table12[Name]),2,0)</f>
        <v>Jīnhuá Shì</v>
      </c>
      <c r="O1150" s="15" t="str">
        <f t="shared" si="34"/>
        <v>Xiangxi Zhen (Jīnhuá Shì)</v>
      </c>
      <c r="P1150" s="15" t="str">
        <f t="shared" si="35"/>
        <v>Xiangxi Zhen (Jīnhuá Shì)</v>
      </c>
    </row>
    <row r="1151" spans="1:16" hidden="1" x14ac:dyDescent="0.25">
      <c r="A1151" t="s">
        <v>2702</v>
      </c>
      <c r="B1151" t="str">
        <f>IF(COUNTIF(A:A,A1151)&gt;1,_xlfn.CONCAT(A1151," (",N1151,")"),A1151)</f>
        <v>Xiàngyáng Zhèn</v>
      </c>
      <c r="C1151" t="str">
        <f>IF(COUNTIF(B:B,B1151)&gt;1,_xlfn.CONCAT(A1151," (",M1151,")"),B1151)</f>
        <v>Xiàngyáng Zhèn</v>
      </c>
      <c r="D1151" t="s">
        <v>2703</v>
      </c>
      <c r="E1151" t="s">
        <v>11</v>
      </c>
      <c r="F1151" t="str">
        <f>_xlfn.CONCAT(D1151,", ",H1151,", ",I1151,", ","浙江省")</f>
        <v>象阳镇, 乐清市, 温州市, 浙江省</v>
      </c>
      <c r="G1151">
        <v>42715</v>
      </c>
      <c r="H1151" t="s">
        <v>3011</v>
      </c>
      <c r="I1151" t="s">
        <v>3000</v>
      </c>
      <c r="J1151">
        <f>VLOOKUP(F1151,[1]!china_towns_second__2[[Column1]:[Y]],3,FALSE)</f>
        <v>28.031400000000001</v>
      </c>
      <c r="K1151">
        <f>VLOOKUP(F1151,[1]!china_towns_second__2[[Column1]:[Y]],2,FALSE)</f>
        <v>120.91889999999999</v>
      </c>
      <c r="L1151" t="s">
        <v>4783</v>
      </c>
      <c r="M1151" t="str">
        <f>VLOOKUP(H1151,CHOOSE({1,2},Table12[Native],Table12[Name]),2,0)</f>
        <v>Yuèqīng Shì</v>
      </c>
      <c r="N1151" s="15" t="str">
        <f>VLOOKUP(I1151,CHOOSE({1,2},Table12[Native],Table12[Name]),2,0)</f>
        <v>Wēnzhōu Shì</v>
      </c>
      <c r="O1151" s="15" t="str">
        <f t="shared" si="34"/>
        <v>Xiangyang Zhen (Wēnzhōu Shì)</v>
      </c>
      <c r="P1151" s="15" t="str">
        <f t="shared" si="35"/>
        <v>Xiangyang Zhen (Wēnzhōu Shì)</v>
      </c>
    </row>
    <row r="1152" spans="1:16" hidden="1" x14ac:dyDescent="0.25">
      <c r="A1152" t="s">
        <v>933</v>
      </c>
      <c r="B1152" t="str">
        <f>IF(COUNTIF(A:A,A1152)&gt;1,_xlfn.CONCAT(A1152," (",N1152,")"),A1152)</f>
        <v>Xiàngzhū Zhèn</v>
      </c>
      <c r="C1152" t="str">
        <f>IF(COUNTIF(B:B,B1152)&gt;1,_xlfn.CONCAT(A1152," (",M1152,")"),B1152)</f>
        <v>Xiàngzhū Zhèn</v>
      </c>
      <c r="D1152" t="s">
        <v>934</v>
      </c>
      <c r="E1152" t="s">
        <v>11</v>
      </c>
      <c r="F1152" t="str">
        <f>_xlfn.CONCAT(D1152,", ",H1152,", ",I1152,", ","浙江省")</f>
        <v>象珠镇, 永康市, 金华市, 浙江省</v>
      </c>
      <c r="G1152">
        <v>43812</v>
      </c>
      <c r="H1152" t="s">
        <v>2947</v>
      </c>
      <c r="I1152" t="s">
        <v>2938</v>
      </c>
      <c r="J1152">
        <f>VLOOKUP(F1152,[1]!china_towns_second__2[[Column1]:[Y]],3,FALSE)</f>
        <v>29.0175091873929</v>
      </c>
      <c r="K1152">
        <f>VLOOKUP(F1152,[1]!china_towns_second__2[[Column1]:[Y]],2,FALSE)</f>
        <v>120.04789220000001</v>
      </c>
      <c r="L1152" t="s">
        <v>4784</v>
      </c>
      <c r="M1152" t="str">
        <f>VLOOKUP(H1152,CHOOSE({1,2},Table12[Native],Table12[Name]),2,0)</f>
        <v>Yŏngkāng Shì</v>
      </c>
      <c r="N1152" s="15" t="str">
        <f>VLOOKUP(I1152,CHOOSE({1,2},Table12[Native],Table12[Name]),2,0)</f>
        <v>Jīnhuá Shì</v>
      </c>
      <c r="O1152" s="15" t="str">
        <f t="shared" si="34"/>
        <v>Xiangzhu Zhen (Jīnhuá Shì)</v>
      </c>
      <c r="P1152" s="15" t="str">
        <f t="shared" si="35"/>
        <v>Xiangzhu Zhen (Jīnhuá Shì)</v>
      </c>
    </row>
    <row r="1153" spans="1:16" hidden="1" x14ac:dyDescent="0.25">
      <c r="A1153" t="s">
        <v>935</v>
      </c>
      <c r="B1153" t="str">
        <f>IF(COUNTIF(A:A,A1153)&gt;1,_xlfn.CONCAT(A1153," (",N1153,")"),A1153)</f>
        <v>Xiānhuá Jiēdào</v>
      </c>
      <c r="C1153" t="str">
        <f>IF(COUNTIF(B:B,B1153)&gt;1,_xlfn.CONCAT(A1153," (",M1153,")"),B1153)</f>
        <v>Xiānhuá Jiēdào</v>
      </c>
      <c r="D1153" t="s">
        <v>936</v>
      </c>
      <c r="E1153" t="s">
        <v>15</v>
      </c>
      <c r="F1153" t="str">
        <f>_xlfn.CONCAT(D1153,", ",H1153,", ",I1153,", ","浙江省")</f>
        <v>仙华街道, 浦江县, 金华市, 浙江省</v>
      </c>
      <c r="G1153">
        <v>61929</v>
      </c>
      <c r="H1153" t="s">
        <v>2943</v>
      </c>
      <c r="I1153" t="s">
        <v>2938</v>
      </c>
      <c r="J1153">
        <f>VLOOKUP(F1153,[1]!china_towns_second__2[[Column1]:[Y]],3,FALSE)</f>
        <v>29.489005327257399</v>
      </c>
      <c r="K1153">
        <f>VLOOKUP(F1153,[1]!china_towns_second__2[[Column1]:[Y]],2,FALSE)</f>
        <v>119.9093027</v>
      </c>
      <c r="L1153" t="s">
        <v>4785</v>
      </c>
      <c r="M1153" t="str">
        <f>VLOOKUP(H1153,CHOOSE({1,2},Table12[Native],Table12[Name]),2,0)</f>
        <v>Pŭjiāng Xiàn</v>
      </c>
      <c r="N1153" s="15" t="str">
        <f>VLOOKUP(I1153,CHOOSE({1,2},Table12[Native],Table12[Name]),2,0)</f>
        <v>Jīnhuá Shì</v>
      </c>
      <c r="O1153" s="15" t="str">
        <f t="shared" si="34"/>
        <v>Xianhua Jiedao (Jīnhuá Shì)</v>
      </c>
      <c r="P1153" s="15" t="str">
        <f t="shared" si="35"/>
        <v>Xianhua Jiedao (Jīnhuá Shì)</v>
      </c>
    </row>
    <row r="1154" spans="1:16" hidden="1" x14ac:dyDescent="0.25">
      <c r="A1154" t="s">
        <v>2704</v>
      </c>
      <c r="B1154" t="str">
        <f>IF(COUNTIF(A:A,A1154)&gt;1,_xlfn.CONCAT(A1154," (",N1154,")"),A1154)</f>
        <v>Xiānjiàng Jiēdào</v>
      </c>
      <c r="C1154" t="str">
        <f>IF(COUNTIF(B:B,B1154)&gt;1,_xlfn.CONCAT(A1154," (",M1154,")"),B1154)</f>
        <v>Xiānjiàng Jiēdào</v>
      </c>
      <c r="D1154" t="s">
        <v>2705</v>
      </c>
      <c r="E1154" t="s">
        <v>15</v>
      </c>
      <c r="F1154" t="str">
        <f>_xlfn.CONCAT(D1154,", ",H1154,", ",I1154,", ","浙江省")</f>
        <v>仙降街道, 瑞安市, 温州市, 浙江省</v>
      </c>
      <c r="G1154">
        <v>87529</v>
      </c>
      <c r="H1154" t="s">
        <v>3007</v>
      </c>
      <c r="I1154" t="s">
        <v>3000</v>
      </c>
      <c r="J1154">
        <f>VLOOKUP(F1154,[1]!china_towns_second__2[[Column1]:[Y]],3,FALSE)</f>
        <v>27.775465048725799</v>
      </c>
      <c r="K1154">
        <f>VLOOKUP(F1154,[1]!china_towns_second__2[[Column1]:[Y]],2,FALSE)</f>
        <v>120.52471679999999</v>
      </c>
      <c r="L1154" t="s">
        <v>4786</v>
      </c>
      <c r="M1154" t="str">
        <f>VLOOKUP(H1154,CHOOSE({1,2},Table12[Native],Table12[Name]),2,0)</f>
        <v>Ruì'ān Shì</v>
      </c>
      <c r="N1154" s="15" t="str">
        <f>VLOOKUP(I1154,CHOOSE({1,2},Table12[Native],Table12[Name]),2,0)</f>
        <v>Wēnzhōu Shì</v>
      </c>
      <c r="O1154" s="15" t="str">
        <f t="shared" ref="O1154:O1217" si="36">_xlfn.CONCAT(L1154," (",N1154,")")</f>
        <v>Xianjiang Jiedao (Wēnzhōu Shì)</v>
      </c>
      <c r="P1154" s="15" t="str">
        <f t="shared" ref="P1154:P1217" si="37">IF(COUNTIF(O:O,O1154)&gt;1,_xlfn.CONCAT(L1154," (",M1154,")"),O1154)</f>
        <v>Xianjiang Jiedao (Wēnzhōu Shì)</v>
      </c>
    </row>
    <row r="1155" spans="1:16" hidden="1" x14ac:dyDescent="0.25">
      <c r="A1155" t="s">
        <v>2706</v>
      </c>
      <c r="B1155" t="str">
        <f>IF(COUNTIF(A:A,A1155)&gt;1,_xlfn.CONCAT(A1155," (",N1155,")"),A1155)</f>
        <v>Xiānjū Xiāng</v>
      </c>
      <c r="C1155" t="str">
        <f>IF(COUNTIF(B:B,B1155)&gt;1,_xlfn.CONCAT(A1155," (",M1155,")"),B1155)</f>
        <v>Xiānjū Xiāng</v>
      </c>
      <c r="D1155" t="s">
        <v>2707</v>
      </c>
      <c r="E1155" t="s">
        <v>7</v>
      </c>
      <c r="F1155" t="str">
        <f>_xlfn.CONCAT(D1155,", ",H1155,", ",I1155,", ","浙江省")</f>
        <v>仙居乡, 苍南县, 温州市, 浙江省</v>
      </c>
      <c r="G1155">
        <v>9945</v>
      </c>
      <c r="H1155" t="s">
        <v>3001</v>
      </c>
      <c r="I1155" t="s">
        <v>3000</v>
      </c>
      <c r="J1155" t="e">
        <f>VLOOKUP(F1155,[1]!china_towns_second__2[[Column1]:[Y]],3,FALSE)</f>
        <v>#N/A</v>
      </c>
      <c r="K1155" t="e">
        <f>VLOOKUP(F1155,[1]!china_towns_second__2[[Column1]:[Y]],2,FALSE)</f>
        <v>#N/A</v>
      </c>
      <c r="L1155" t="s">
        <v>4787</v>
      </c>
      <c r="M1155" t="str">
        <f>VLOOKUP(H1155,CHOOSE({1,2},Table12[Native],Table12[Name]),2,0)</f>
        <v>Cāngnán Xiàn</v>
      </c>
      <c r="N1155" s="15" t="str">
        <f>VLOOKUP(I1155,CHOOSE({1,2},Table12[Native],Table12[Name]),2,0)</f>
        <v>Wēnzhōu Shì</v>
      </c>
      <c r="O1155" s="15" t="str">
        <f t="shared" si="36"/>
        <v>Xianju Xiang (Wēnzhōu Shì)</v>
      </c>
      <c r="P1155" s="15" t="str">
        <f t="shared" si="37"/>
        <v>Xianju Xiang (Wēnzhōu Shì)</v>
      </c>
    </row>
    <row r="1156" spans="1:16" hidden="1" x14ac:dyDescent="0.25">
      <c r="A1156" t="s">
        <v>1259</v>
      </c>
      <c r="B1156" t="str">
        <f>IF(COUNTIF(A:A,A1156)&gt;1,_xlfn.CONCAT(A1156," (",N1156,")"),A1156)</f>
        <v>Xiánliáng Zhèn</v>
      </c>
      <c r="C1156" t="str">
        <f>IF(COUNTIF(B:B,B1156)&gt;1,_xlfn.CONCAT(A1156," (",M1156,")"),B1156)</f>
        <v>Xiánliáng Zhèn</v>
      </c>
      <c r="D1156" t="s">
        <v>1260</v>
      </c>
      <c r="E1156" t="s">
        <v>11</v>
      </c>
      <c r="F1156" t="str">
        <f>_xlfn.CONCAT(D1156,", ",H1156,", ",I1156,", ","浙江省")</f>
        <v>贤良镇, 庆元县, 丽水市, 浙江省</v>
      </c>
      <c r="G1156">
        <v>1482</v>
      </c>
      <c r="H1156" t="s">
        <v>2956</v>
      </c>
      <c r="I1156" t="s">
        <v>2949</v>
      </c>
      <c r="J1156">
        <f>VLOOKUP(F1156,[1]!china_towns_second__2[[Column1]:[Y]],3,FALSE)</f>
        <v>27.660506101321101</v>
      </c>
      <c r="K1156">
        <f>VLOOKUP(F1156,[1]!china_towns_second__2[[Column1]:[Y]],2,FALSE)</f>
        <v>119.23054639999999</v>
      </c>
      <c r="L1156" t="s">
        <v>4788</v>
      </c>
      <c r="M1156" t="str">
        <f>VLOOKUP(H1156,CHOOSE({1,2},Table12[Native],Table12[Name]),2,0)</f>
        <v>Qìngyuán Xiàn</v>
      </c>
      <c r="N1156" s="15" t="str">
        <f>VLOOKUP(I1156,CHOOSE({1,2},Table12[Native],Table12[Name]),2,0)</f>
        <v>Lìshuĭ Shì</v>
      </c>
      <c r="O1156" s="15" t="str">
        <f t="shared" si="36"/>
        <v>Xianliang Zhen (Lìshuĭ Shì)</v>
      </c>
      <c r="P1156" s="15" t="str">
        <f t="shared" si="37"/>
        <v>Xianliang Zhen (Lìshuĭ Shì)</v>
      </c>
    </row>
    <row r="1157" spans="1:16" hidden="1" x14ac:dyDescent="0.25">
      <c r="A1157" t="s">
        <v>334</v>
      </c>
      <c r="B1157" t="str">
        <f>IF(COUNTIF(A:A,A1157)&gt;1,_xlfn.CONCAT(A1157," (",N1157,")"),A1157)</f>
        <v>Xiánlín Jiēdào</v>
      </c>
      <c r="C1157" t="str">
        <f>IF(COUNTIF(B:B,B1157)&gt;1,_xlfn.CONCAT(A1157," (",M1157,")"),B1157)</f>
        <v>Xiánlín Jiēdào</v>
      </c>
      <c r="D1157" t="s">
        <v>335</v>
      </c>
      <c r="E1157" t="s">
        <v>15</v>
      </c>
      <c r="F1157" t="str">
        <f>_xlfn.CONCAT(D1157,", ",H1157,", ",I1157,", ","浙江省")</f>
        <v>闲林街道, 余杭区, 杭州市, 浙江省</v>
      </c>
      <c r="G1157">
        <v>49552</v>
      </c>
      <c r="H1157" t="s">
        <v>2919</v>
      </c>
      <c r="I1157" t="s">
        <v>2903</v>
      </c>
      <c r="J1157">
        <f>VLOOKUP(F1157,[1]!china_towns_second__2[[Column1]:[Y]],3,FALSE)</f>
        <v>30.218051322772801</v>
      </c>
      <c r="K1157">
        <f>VLOOKUP(F1157,[1]!china_towns_second__2[[Column1]:[Y]],2,FALSE)</f>
        <v>119.97970840000001</v>
      </c>
      <c r="L1157" t="s">
        <v>4789</v>
      </c>
      <c r="M1157" t="str">
        <f>VLOOKUP(H1157,CHOOSE({1,2},Table12[Native],Table12[Name]),2,0)</f>
        <v>Yúháng Qū</v>
      </c>
      <c r="N1157" s="15" t="str">
        <f>VLOOKUP(I1157,CHOOSE({1,2},Table12[Native],Table12[Name]),2,0)</f>
        <v>Hángzhōu Shì</v>
      </c>
      <c r="O1157" s="15" t="str">
        <f t="shared" si="36"/>
        <v>Xianlin Jiedao (Hángzhōu Shì)</v>
      </c>
      <c r="P1157" s="15" t="str">
        <f t="shared" si="37"/>
        <v>Xianlin Jiedao (Hángzhōu Shì)</v>
      </c>
    </row>
    <row r="1158" spans="1:16" hidden="1" x14ac:dyDescent="0.25">
      <c r="A1158" t="s">
        <v>2710</v>
      </c>
      <c r="B1158" t="str">
        <f>IF(COUNTIF(A:A,A1158)&gt;1,_xlfn.CONCAT(A1158," (",N1158,")"),A1158)</f>
        <v>Xiānrĕn Xiāng</v>
      </c>
      <c r="C1158" t="str">
        <f>IF(COUNTIF(B:B,B1158)&gt;1,_xlfn.CONCAT(A1158," (",M1158,")"),B1158)</f>
        <v>Xiānrĕn Xiāng</v>
      </c>
      <c r="D1158" t="s">
        <v>2711</v>
      </c>
      <c r="E1158" t="s">
        <v>7</v>
      </c>
      <c r="F1158" t="str">
        <f>_xlfn.CONCAT(D1158,", ",H1158,", ",I1158,", ","浙江省")</f>
        <v>仙稔乡, 泰顺县, 温州市, 浙江省</v>
      </c>
      <c r="G1158">
        <v>2290</v>
      </c>
      <c r="H1158" t="s">
        <v>3008</v>
      </c>
      <c r="I1158" t="s">
        <v>3000</v>
      </c>
      <c r="J1158" t="e">
        <f>VLOOKUP(F1158,[1]!china_towns_second__2[[Column1]:[Y]],3,FALSE)</f>
        <v>#N/A</v>
      </c>
      <c r="K1158" t="e">
        <f>VLOOKUP(F1158,[1]!china_towns_second__2[[Column1]:[Y]],2,FALSE)</f>
        <v>#N/A</v>
      </c>
      <c r="L1158" t="s">
        <v>4790</v>
      </c>
      <c r="M1158" t="str">
        <f>VLOOKUP(H1158,CHOOSE({1,2},Table12[Native],Table12[Name]),2,0)</f>
        <v>Tàishùn Xiàn</v>
      </c>
      <c r="N1158" s="15" t="str">
        <f>VLOOKUP(I1158,CHOOSE({1,2},Table12[Native],Table12[Name]),2,0)</f>
        <v>Wēnzhōu Shì</v>
      </c>
      <c r="O1158" s="15" t="str">
        <f t="shared" si="36"/>
        <v>Xianren Xiang (Wēnzhōu Shì)</v>
      </c>
      <c r="P1158" s="15" t="str">
        <f t="shared" si="37"/>
        <v>Xianren Xiang (Wēnzhōu Shì)</v>
      </c>
    </row>
    <row r="1159" spans="1:16" hidden="1" x14ac:dyDescent="0.25">
      <c r="A1159" t="s">
        <v>2714</v>
      </c>
      <c r="B1159" t="str">
        <f>IF(COUNTIF(A:A,A1159)&gt;1,_xlfn.CONCAT(A1159," (",N1159,")"),A1159)</f>
        <v>Xiānxī Zhèn</v>
      </c>
      <c r="C1159" t="str">
        <f>IF(COUNTIF(B:B,B1159)&gt;1,_xlfn.CONCAT(A1159," (",M1159,")"),B1159)</f>
        <v>Xiānxī Zhèn</v>
      </c>
      <c r="D1159" t="s">
        <v>2715</v>
      </c>
      <c r="E1159" t="s">
        <v>11</v>
      </c>
      <c r="F1159" t="str">
        <f>_xlfn.CONCAT(D1159,", ",H1159,", ",I1159,", ","浙江省")</f>
        <v>仙溪镇, 乐清市, 温州市, 浙江省</v>
      </c>
      <c r="G1159">
        <v>14459</v>
      </c>
      <c r="H1159" t="s">
        <v>3011</v>
      </c>
      <c r="I1159" t="s">
        <v>3000</v>
      </c>
      <c r="J1159">
        <f>VLOOKUP(F1159,[1]!china_towns_second__2[[Column1]:[Y]],3,FALSE)</f>
        <v>28.417193289736201</v>
      </c>
      <c r="K1159">
        <f>VLOOKUP(F1159,[1]!china_towns_second__2[[Column1]:[Y]],2,FALSE)</f>
        <v>121.0230447</v>
      </c>
      <c r="L1159" t="s">
        <v>4791</v>
      </c>
      <c r="M1159" t="str">
        <f>VLOOKUP(H1159,CHOOSE({1,2},Table12[Native],Table12[Name]),2,0)</f>
        <v>Yuèqīng Shì</v>
      </c>
      <c r="N1159" s="15" t="str">
        <f>VLOOKUP(I1159,CHOOSE({1,2},Table12[Native],Table12[Name]),2,0)</f>
        <v>Wēnzhōu Shì</v>
      </c>
      <c r="O1159" s="15" t="str">
        <f t="shared" si="36"/>
        <v>Xianxi Zhen (Wēnzhōu Shì)</v>
      </c>
      <c r="P1159" s="15" t="str">
        <f t="shared" si="37"/>
        <v>Xianxi Zhen (Wēnzhōu Shì)</v>
      </c>
    </row>
    <row r="1160" spans="1:16" hidden="1" x14ac:dyDescent="0.25">
      <c r="A1160" t="s">
        <v>1567</v>
      </c>
      <c r="B1160" t="str">
        <f>IF(COUNTIF(A:A,A1160)&gt;1,_xlfn.CONCAT(A1160," (",N1160,")"),A1160)</f>
        <v>Xiánxiáng Zhèn (Níngbō Shì)</v>
      </c>
      <c r="C1160" t="str">
        <f>IF(COUNTIF(B:B,B1160)&gt;1,_xlfn.CONCAT(A1160," (",M1160,")"),B1160)</f>
        <v>Xiánxiáng Zhèn (Yínzhōu Qū)</v>
      </c>
      <c r="D1160" t="s">
        <v>1568</v>
      </c>
      <c r="E1160" t="s">
        <v>11</v>
      </c>
      <c r="F1160" t="str">
        <f>_xlfn.CONCAT(D1160,", ",H1160,", ",I1160,", ","浙江省")</f>
        <v>咸祥镇, 鄞州区, 宁波市, 浙江省</v>
      </c>
      <c r="G1160">
        <v>29147</v>
      </c>
      <c r="H1160" t="s">
        <v>2969</v>
      </c>
      <c r="I1160" t="s">
        <v>2961</v>
      </c>
      <c r="J1160">
        <f>VLOOKUP(F1160,[1]!china_towns_second__2[[Column1]:[Y]],3,FALSE)</f>
        <v>29.665062998979799</v>
      </c>
      <c r="K1160">
        <f>VLOOKUP(F1160,[1]!china_towns_second__2[[Column1]:[Y]],2,FALSE)</f>
        <v>121.78628860000001</v>
      </c>
      <c r="L1160" t="s">
        <v>4792</v>
      </c>
      <c r="M1160" t="str">
        <f>VLOOKUP(H1160,CHOOSE({1,2},Table12[Native],Table12[Name]),2,0)</f>
        <v>Yínzhōu Qū</v>
      </c>
      <c r="N1160" s="15" t="str">
        <f>VLOOKUP(I1160,CHOOSE({1,2},Table12[Native],Table12[Name]),2,0)</f>
        <v>Níngbō Shì</v>
      </c>
      <c r="O1160" s="15" t="str">
        <f t="shared" si="36"/>
        <v>Xianxiang Zhen (Yinzhou Qu) (Níngbō Shì)</v>
      </c>
      <c r="P1160" s="15" t="str">
        <f t="shared" si="37"/>
        <v>Xianxiang Zhen (Yinzhou Qu) (Níngbō Shì)</v>
      </c>
    </row>
    <row r="1161" spans="1:16" hidden="1" x14ac:dyDescent="0.25">
      <c r="A1161" t="s">
        <v>1567</v>
      </c>
      <c r="B1161" t="str">
        <f>IF(COUNTIF(A:A,A1161)&gt;1,_xlfn.CONCAT(A1161," (",N1161,")"),A1161)</f>
        <v>Xiánxiáng Zhèn (Níngbō Shì)</v>
      </c>
      <c r="C1161" t="str">
        <f>IF(COUNTIF(B:B,B1161)&gt;1,_xlfn.CONCAT(A1161," (",M1161,")"),B1161)</f>
        <v>Xiánxiáng Zhèn (Xiàngshān Xiàn)</v>
      </c>
      <c r="D1161" t="s">
        <v>1569</v>
      </c>
      <c r="E1161" t="s">
        <v>11</v>
      </c>
      <c r="F1161" t="str">
        <f>_xlfn.CONCAT(D1161,", ",H1161,", ",I1161,", ","浙江省")</f>
        <v>贤庠镇, 象山县, 宁波市, 浙江省</v>
      </c>
      <c r="G1161">
        <v>16454</v>
      </c>
      <c r="H1161" t="s">
        <v>2968</v>
      </c>
      <c r="I1161" t="s">
        <v>2961</v>
      </c>
      <c r="J1161">
        <f>VLOOKUP(F1161,[1]!china_towns_second__2[[Column1]:[Y]],3,FALSE)</f>
        <v>29.608403216724799</v>
      </c>
      <c r="K1161">
        <f>VLOOKUP(F1161,[1]!china_towns_second__2[[Column1]:[Y]],2,FALSE)</f>
        <v>121.8750653</v>
      </c>
      <c r="L1161" t="s">
        <v>4793</v>
      </c>
      <c r="M1161" t="str">
        <f>VLOOKUP(H1161,CHOOSE({1,2},Table12[Native],Table12[Name]),2,0)</f>
        <v>Xiàngshān Xiàn</v>
      </c>
      <c r="N1161" s="15" t="str">
        <f>VLOOKUP(I1161,CHOOSE({1,2},Table12[Native],Table12[Name]),2,0)</f>
        <v>Níngbō Shì</v>
      </c>
      <c r="O1161" s="15" t="str">
        <f t="shared" si="36"/>
        <v>Xianxiang Zhen (Xiangshan Xian) (Níngbō Shì)</v>
      </c>
      <c r="P1161" s="15" t="str">
        <f t="shared" si="37"/>
        <v>Xianxiang Zhen (Xiangshan Xian) (Níngbō Shì)</v>
      </c>
    </row>
    <row r="1162" spans="1:16" hidden="1" x14ac:dyDescent="0.25">
      <c r="A1162" t="s">
        <v>2716</v>
      </c>
      <c r="B1162" t="str">
        <f>IF(COUNTIF(A:A,A1162)&gt;1,_xlfn.CONCAT(A1162," (",N1162,")"),A1162)</f>
        <v>Xiānyán Jiēdào</v>
      </c>
      <c r="C1162" t="str">
        <f>IF(COUNTIF(B:B,B1162)&gt;1,_xlfn.CONCAT(A1162," (",M1162,")"),B1162)</f>
        <v>Xiānyán Jiēdào</v>
      </c>
      <c r="D1162" t="s">
        <v>2717</v>
      </c>
      <c r="E1162" t="s">
        <v>15</v>
      </c>
      <c r="F1162" t="str">
        <f>_xlfn.CONCAT(D1162,", ",H1162,", ",I1162,", ","浙江省")</f>
        <v>仙岩街道, 瓯海区, 温州市, 浙江省</v>
      </c>
      <c r="G1162">
        <v>60983</v>
      </c>
      <c r="H1162" t="s">
        <v>3005</v>
      </c>
      <c r="I1162" t="s">
        <v>3000</v>
      </c>
      <c r="J1162">
        <f>VLOOKUP(F1162,[1]!china_towns_second__2[[Column1]:[Y]],3,FALSE)</f>
        <v>27.879481678765298</v>
      </c>
      <c r="K1162">
        <f>VLOOKUP(F1162,[1]!china_towns_second__2[[Column1]:[Y]],2,FALSE)</f>
        <v>120.681652</v>
      </c>
      <c r="L1162" t="s">
        <v>4794</v>
      </c>
      <c r="M1162" t="str">
        <f>VLOOKUP(H1162,CHOOSE({1,2},Table12[Native],Table12[Name]),2,0)</f>
        <v>Ōuhăi Qū</v>
      </c>
      <c r="N1162" s="15" t="str">
        <f>VLOOKUP(I1162,CHOOSE({1,2},Table12[Native],Table12[Name]),2,0)</f>
        <v>Wēnzhōu Shì</v>
      </c>
      <c r="O1162" s="15" t="str">
        <f t="shared" si="36"/>
        <v>Xianyan Jiedao (Wēnzhōu Shì)</v>
      </c>
      <c r="P1162" s="15" t="str">
        <f t="shared" si="37"/>
        <v>Xianyan Jiedao (Wēnzhōu Shì)</v>
      </c>
    </row>
    <row r="1163" spans="1:16" hidden="1" x14ac:dyDescent="0.25">
      <c r="A1163" t="s">
        <v>2008</v>
      </c>
      <c r="B1163" t="str">
        <f>IF(COUNTIF(A:A,A1163)&gt;1,_xlfn.CONCAT(A1163," (",N1163,")"),A1163)</f>
        <v>Xiānyán Zhèn</v>
      </c>
      <c r="C1163" t="str">
        <f>IF(COUNTIF(B:B,B1163)&gt;1,_xlfn.CONCAT(A1163," (",M1163,")"),B1163)</f>
        <v>Xiānyán Zhèn</v>
      </c>
      <c r="D1163" t="s">
        <v>2009</v>
      </c>
      <c r="E1163" t="s">
        <v>11</v>
      </c>
      <c r="F1163" t="str">
        <f>_xlfn.CONCAT(D1163,", ",H1163,", ",I1163,", ","浙江省")</f>
        <v>仙岩镇, 嵊州市, 绍兴市, 浙江省</v>
      </c>
      <c r="G1163">
        <v>10474</v>
      </c>
      <c r="H1163" t="s">
        <v>2984</v>
      </c>
      <c r="I1163" t="s">
        <v>2981</v>
      </c>
      <c r="J1163">
        <f>VLOOKUP(F1163,[1]!china_towns_second__2[[Column1]:[Y]],3,FALSE)</f>
        <v>29.6856245180965</v>
      </c>
      <c r="K1163">
        <f>VLOOKUP(F1163,[1]!china_towns_second__2[[Column1]:[Y]],2,FALSE)</f>
        <v>120.83784609999999</v>
      </c>
      <c r="L1163" t="s">
        <v>4795</v>
      </c>
      <c r="M1163" t="str">
        <f>VLOOKUP(H1163,CHOOSE({1,2},Table12[Native],Table12[Name]),2,0)</f>
        <v>Shèngzhōu Shì</v>
      </c>
      <c r="N1163" s="15" t="str">
        <f>VLOOKUP(I1163,CHOOSE({1,2},Table12[Native],Table12[Name]),2,0)</f>
        <v>Shàoxīng Shì</v>
      </c>
      <c r="O1163" s="15" t="str">
        <f t="shared" si="36"/>
        <v>Xianyan Zhen (Shàoxīng Shì)</v>
      </c>
      <c r="P1163" s="15" t="str">
        <f t="shared" si="37"/>
        <v>Xianyan Zhen (Shàoxīng Shì)</v>
      </c>
    </row>
    <row r="1164" spans="1:16" hidden="1" x14ac:dyDescent="0.25">
      <c r="A1164" t="s">
        <v>2724</v>
      </c>
      <c r="B1164" t="str">
        <f>IF(COUNTIF(A:A,A1164)&gt;1,_xlfn.CONCAT(A1164," (",N1164,")"),A1164)</f>
        <v>Xī'ào Xiāng</v>
      </c>
      <c r="C1164" t="str">
        <f>IF(COUNTIF(B:B,B1164)&gt;1,_xlfn.CONCAT(A1164," (",M1164,")"),B1164)</f>
        <v>Xī'ào Xiāng</v>
      </c>
      <c r="D1164" t="s">
        <v>2725</v>
      </c>
      <c r="E1164" t="s">
        <v>7</v>
      </c>
      <c r="F1164" t="str">
        <f>_xlfn.CONCAT(D1164,", ",H1164,", ",I1164,", ","浙江省")</f>
        <v>西岙乡, 永嘉县, 温州市, 浙江省</v>
      </c>
      <c r="G1164">
        <v>2106</v>
      </c>
      <c r="H1164" t="s">
        <v>3010</v>
      </c>
      <c r="I1164" t="s">
        <v>3000</v>
      </c>
      <c r="J1164" t="e">
        <f>VLOOKUP(F1164,[1]!china_towns_second__2[[Column1]:[Y]],3,FALSE)</f>
        <v>#N/A</v>
      </c>
      <c r="K1164" t="e">
        <f>VLOOKUP(F1164,[1]!china_towns_second__2[[Column1]:[Y]],2,FALSE)</f>
        <v>#N/A</v>
      </c>
      <c r="L1164" t="s">
        <v>4796</v>
      </c>
      <c r="M1164" t="str">
        <f>VLOOKUP(H1164,CHOOSE({1,2},Table12[Native],Table12[Name]),2,0)</f>
        <v>Yŏngjiā Xiàn</v>
      </c>
      <c r="N1164" s="15" t="str">
        <f>VLOOKUP(I1164,CHOOSE({1,2},Table12[Native],Table12[Name]),2,0)</f>
        <v>Wēnzhōu Shì</v>
      </c>
      <c r="O1164" s="15" t="str">
        <f t="shared" si="36"/>
        <v>Xi'ao Xiang (Wēnzhōu Shì)</v>
      </c>
      <c r="P1164" s="15" t="str">
        <f t="shared" si="37"/>
        <v>Xi'ao Xiang (Wēnzhōu Shì)</v>
      </c>
    </row>
    <row r="1165" spans="1:16" hidden="1" x14ac:dyDescent="0.25">
      <c r="A1165" t="s">
        <v>1570</v>
      </c>
      <c r="B1165" t="str">
        <f>IF(COUNTIF(A:A,A1165)&gt;1,_xlfn.CONCAT(A1165," (",N1165,")"),A1165)</f>
        <v>Xiăocáo'é Zhèn</v>
      </c>
      <c r="C1165" t="str">
        <f>IF(COUNTIF(B:B,B1165)&gt;1,_xlfn.CONCAT(A1165," (",M1165,")"),B1165)</f>
        <v>Xiăocáo'é Zhèn</v>
      </c>
      <c r="D1165" t="s">
        <v>1571</v>
      </c>
      <c r="E1165" t="s">
        <v>11</v>
      </c>
      <c r="F1165" t="str">
        <f>_xlfn.CONCAT(D1165,", ",H1165,", ",I1165,", ","浙江省")</f>
        <v>小曹娥镇, 余姚市, 宁波市, 浙江省</v>
      </c>
      <c r="G1165">
        <v>30364</v>
      </c>
      <c r="H1165" t="s">
        <v>2970</v>
      </c>
      <c r="I1165" t="s">
        <v>2961</v>
      </c>
      <c r="J1165">
        <f>VLOOKUP(F1165,[1]!china_towns_second__2[[Column1]:[Y]],3,FALSE)</f>
        <v>30.2603053981606</v>
      </c>
      <c r="K1165">
        <f>VLOOKUP(F1165,[1]!china_towns_second__2[[Column1]:[Y]],2,FALSE)</f>
        <v>120.99267690000001</v>
      </c>
      <c r="L1165" t="s">
        <v>4797</v>
      </c>
      <c r="M1165" t="str">
        <f>VLOOKUP(H1165,CHOOSE({1,2},Table12[Native],Table12[Name]),2,0)</f>
        <v>Yúyáo Shì</v>
      </c>
      <c r="N1165" s="15" t="str">
        <f>VLOOKUP(I1165,CHOOSE({1,2},Table12[Native],Table12[Name]),2,0)</f>
        <v>Níngbō Shì</v>
      </c>
      <c r="O1165" s="15" t="str">
        <f t="shared" si="36"/>
        <v>Xiaocao'e Zhen (Níngbō Shì)</v>
      </c>
      <c r="P1165" s="15" t="str">
        <f t="shared" si="37"/>
        <v>Xiaocao'e Zhen (Níngbō Shì)</v>
      </c>
    </row>
    <row r="1166" spans="1:16" hidden="1" x14ac:dyDescent="0.25">
      <c r="A1166" t="s">
        <v>2718</v>
      </c>
      <c r="B1166" t="str">
        <f>IF(COUNTIF(A:A,A1166)&gt;1,_xlfn.CONCAT(A1166," (",N1166,")"),A1166)</f>
        <v>Xiăocūn Zhèn</v>
      </c>
      <c r="C1166" t="str">
        <f>IF(COUNTIF(B:B,B1166)&gt;1,_xlfn.CONCAT(A1166," (",M1166,")"),B1166)</f>
        <v>Xiăocūn Zhèn</v>
      </c>
      <c r="D1166" t="s">
        <v>2719</v>
      </c>
      <c r="E1166" t="s">
        <v>11</v>
      </c>
      <c r="F1166" t="str">
        <f>_xlfn.CONCAT(D1166,", ",H1166,", ",I1166,", ","浙江省")</f>
        <v>筱村镇, 泰顺县, 温州市, 浙江省</v>
      </c>
      <c r="G1166">
        <v>10740</v>
      </c>
      <c r="H1166" t="s">
        <v>3008</v>
      </c>
      <c r="I1166" t="s">
        <v>3000</v>
      </c>
      <c r="J1166">
        <f>VLOOKUP(F1166,[1]!china_towns_second__2[[Column1]:[Y]],3,FALSE)</f>
        <v>27.581071701985799</v>
      </c>
      <c r="K1166">
        <f>VLOOKUP(F1166,[1]!china_towns_second__2[[Column1]:[Y]],2,FALSE)</f>
        <v>119.9329367</v>
      </c>
      <c r="L1166" t="s">
        <v>4798</v>
      </c>
      <c r="M1166" t="str">
        <f>VLOOKUP(H1166,CHOOSE({1,2},Table12[Native],Table12[Name]),2,0)</f>
        <v>Tàishùn Xiàn</v>
      </c>
      <c r="N1166" s="15" t="str">
        <f>VLOOKUP(I1166,CHOOSE({1,2},Table12[Native],Table12[Name]),2,0)</f>
        <v>Wēnzhōu Shì</v>
      </c>
      <c r="O1166" s="15" t="str">
        <f t="shared" si="36"/>
        <v>Xiaocun Zhen (Wēnzhōu Shì)</v>
      </c>
      <c r="P1166" s="15" t="str">
        <f t="shared" si="37"/>
        <v>Xiaocun Zhen (Wēnzhōu Shì)</v>
      </c>
    </row>
    <row r="1167" spans="1:16" hidden="1" x14ac:dyDescent="0.25">
      <c r="A1167" t="s">
        <v>521</v>
      </c>
      <c r="B1167" t="str">
        <f>IF(COUNTIF(A:A,A1167)&gt;1,_xlfn.CONCAT(A1167," (",N1167,")"),A1167)</f>
        <v>Xiàofēng Zhèn</v>
      </c>
      <c r="C1167" t="str">
        <f>IF(COUNTIF(B:B,B1167)&gt;1,_xlfn.CONCAT(A1167," (",M1167,")"),B1167)</f>
        <v>Xiàofēng Zhèn</v>
      </c>
      <c r="D1167" t="s">
        <v>522</v>
      </c>
      <c r="E1167" t="s">
        <v>11</v>
      </c>
      <c r="F1167" t="str">
        <f>_xlfn.CONCAT(D1167,", ",H1167,", ",I1167,", ","浙江省")</f>
        <v>孝丰镇, 安吉县, 湖州市, 浙江省</v>
      </c>
      <c r="G1167">
        <v>44280</v>
      </c>
      <c r="H1167" t="s">
        <v>2923</v>
      </c>
      <c r="I1167" t="s">
        <v>2922</v>
      </c>
      <c r="J1167">
        <f>VLOOKUP(F1167,[1]!china_towns_second__2[[Column1]:[Y]],3,FALSE)</f>
        <v>30.600517238684699</v>
      </c>
      <c r="K1167">
        <f>VLOOKUP(F1167,[1]!china_towns_second__2[[Column1]:[Y]],2,FALSE)</f>
        <v>119.4985425</v>
      </c>
      <c r="L1167" t="s">
        <v>4799</v>
      </c>
      <c r="M1167" t="str">
        <f>VLOOKUP(H1167,CHOOSE({1,2},Table12[Native],Table12[Name]),2,0)</f>
        <v>Ānjí Xiàn</v>
      </c>
      <c r="N1167" s="15" t="str">
        <f>VLOOKUP(I1167,CHOOSE({1,2},Table12[Native],Table12[Name]),2,0)</f>
        <v>Húzhōu Shì</v>
      </c>
      <c r="O1167" s="15" t="str">
        <f t="shared" si="36"/>
        <v>Xiaofeng Zhen (Húzhōu Shì)</v>
      </c>
      <c r="P1167" s="15" t="str">
        <f t="shared" si="37"/>
        <v>Xiaofeng Zhen (Húzhōu Shì)</v>
      </c>
    </row>
    <row r="1168" spans="1:16" hidden="1" x14ac:dyDescent="0.25">
      <c r="A1168" t="s">
        <v>1572</v>
      </c>
      <c r="B1168" t="str">
        <f>IF(COUNTIF(A:A,A1168)&gt;1,_xlfn.CONCAT(A1168," (",N1168,")"),A1168)</f>
        <v>Xiăogăng Jiēdào</v>
      </c>
      <c r="C1168" t="str">
        <f>IF(COUNTIF(B:B,B1168)&gt;1,_xlfn.CONCAT(A1168," (",M1168,")"),B1168)</f>
        <v>Xiăogăng Jiēdào</v>
      </c>
      <c r="D1168" t="s">
        <v>1573</v>
      </c>
      <c r="E1168" t="s">
        <v>15</v>
      </c>
      <c r="F1168" t="str">
        <f>_xlfn.CONCAT(D1168,", ",H1168,", ",I1168,", ","浙江省")</f>
        <v>小港街道, 北仑区, 宁波市, 浙江省</v>
      </c>
      <c r="G1168">
        <v>94080</v>
      </c>
      <c r="H1168" t="s">
        <v>2962</v>
      </c>
      <c r="I1168" t="s">
        <v>2961</v>
      </c>
      <c r="J1168">
        <f>VLOOKUP(F1168,[1]!china_towns_second__2[[Column1]:[Y]],3,FALSE)</f>
        <v>29.907316396125999</v>
      </c>
      <c r="K1168">
        <f>VLOOKUP(F1168,[1]!china_towns_second__2[[Column1]:[Y]],2,FALSE)</f>
        <v>121.70731139999999</v>
      </c>
      <c r="L1168" t="s">
        <v>4800</v>
      </c>
      <c r="M1168" t="str">
        <f>VLOOKUP(H1168,CHOOSE({1,2},Table12[Native],Table12[Name]),2,0)</f>
        <v>Bĕilún Qū</v>
      </c>
      <c r="N1168" s="15" t="str">
        <f>VLOOKUP(I1168,CHOOSE({1,2},Table12[Native],Table12[Name]),2,0)</f>
        <v>Níngbō Shì</v>
      </c>
      <c r="O1168" s="15" t="str">
        <f t="shared" si="36"/>
        <v>Xiaogang Jiedao (Níngbō Shì)</v>
      </c>
      <c r="P1168" s="15" t="str">
        <f t="shared" si="37"/>
        <v>Xiaogang Jiedao (Níngbō Shì)</v>
      </c>
    </row>
    <row r="1169" spans="1:16" hidden="1" x14ac:dyDescent="0.25">
      <c r="A1169" t="s">
        <v>336</v>
      </c>
      <c r="B1169" t="str">
        <f>IF(COUNTIF(A:A,A1169)&gt;1,_xlfn.CONCAT(A1169," (",N1169,")"),A1169)</f>
        <v>Xiăohé Jiēdào</v>
      </c>
      <c r="C1169" t="str">
        <f>IF(COUNTIF(B:B,B1169)&gt;1,_xlfn.CONCAT(A1169," (",M1169,")"),B1169)</f>
        <v>Xiăohé Jiēdào</v>
      </c>
      <c r="D1169" t="s">
        <v>337</v>
      </c>
      <c r="E1169" t="s">
        <v>15</v>
      </c>
      <c r="F1169" t="str">
        <f>_xlfn.CONCAT(D1169,", ",H1169,", ",I1169,", ","浙江省")</f>
        <v>小河街道, 拱墅区, 杭州市, 浙江省</v>
      </c>
      <c r="G1169">
        <v>53607</v>
      </c>
      <c r="H1169" t="s">
        <v>2909</v>
      </c>
      <c r="I1169" t="s">
        <v>2903</v>
      </c>
      <c r="J1169">
        <f>VLOOKUP(F1169,[1]!china_towns_second__2[[Column1]:[Y]],3,FALSE)</f>
        <v>30.3055519134066</v>
      </c>
      <c r="K1169">
        <f>VLOOKUP(F1169,[1]!china_towns_second__2[[Column1]:[Y]],2,FALSE)</f>
        <v>120.13227999999999</v>
      </c>
      <c r="L1169" t="s">
        <v>4801</v>
      </c>
      <c r="M1169" t="str">
        <f>VLOOKUP(H1169,CHOOSE({1,2},Table12[Native],Table12[Name]),2,0)</f>
        <v>Gŏngshù Qū</v>
      </c>
      <c r="N1169" s="15" t="str">
        <f>VLOOKUP(I1169,CHOOSE({1,2},Table12[Native],Table12[Name]),2,0)</f>
        <v>Hángzhōu Shì</v>
      </c>
      <c r="O1169" s="15" t="str">
        <f t="shared" si="36"/>
        <v>Xiaohe Jiedao (Hángzhōu Shì)</v>
      </c>
      <c r="P1169" s="15" t="str">
        <f t="shared" si="37"/>
        <v>Xiaohe Jiedao (Hángzhōu Shì)</v>
      </c>
    </row>
    <row r="1170" spans="1:16" x14ac:dyDescent="0.25">
      <c r="A1170" t="s">
        <v>2010</v>
      </c>
      <c r="B1170" t="str">
        <f>IF(COUNTIF(A:A,A1170)&gt;1,_xlfn.CONCAT(A1170," (",N1170,")"),A1170)</f>
        <v>Xiăojiāng Zhèn</v>
      </c>
      <c r="C1170" t="str">
        <f>IF(COUNTIF(B:B,B1170)&gt;1,_xlfn.CONCAT(A1170," (",M1170,")"),B1170)</f>
        <v>Xiăojiāng Zhèn</v>
      </c>
      <c r="D1170" t="s">
        <v>2011</v>
      </c>
      <c r="E1170" t="s">
        <v>11</v>
      </c>
      <c r="F1170" t="str">
        <f>_xlfn.CONCAT(D1170,", ",H1170,", ",I1170,", ","浙江省")</f>
        <v>小将镇, 新昌县, 绍兴市, 浙江省</v>
      </c>
      <c r="G1170">
        <v>10633</v>
      </c>
      <c r="H1170" t="s">
        <v>2985</v>
      </c>
      <c r="I1170" t="s">
        <v>2981</v>
      </c>
      <c r="J1170">
        <f>VLOOKUP(F1170,[1]!china_towns_second__2[[Column1]:[Y]],3,FALSE)</f>
        <v>29.3706796841991</v>
      </c>
      <c r="K1170">
        <f>VLOOKUP(F1170,[1]!china_towns_second__2[[Column1]:[Y]],2,FALSE)</f>
        <v>121.10143170000001</v>
      </c>
      <c r="L1170" t="s">
        <v>4802</v>
      </c>
      <c r="M1170" t="str">
        <f>VLOOKUP(H1170,CHOOSE({1,2},Table12[Native],Table12[Name]),2,0)</f>
        <v>Xīnchāng Xiàn</v>
      </c>
      <c r="N1170" s="15" t="str">
        <f>VLOOKUP(I1170,CHOOSE({1,2},Table12[Native],Table12[Name]),2,0)</f>
        <v>Shàoxīng Shì</v>
      </c>
      <c r="O1170" s="15" t="str">
        <f t="shared" si="36"/>
        <v>Xiaojiang Zhen (Shàoxīng Shì)</v>
      </c>
      <c r="P1170" s="15" t="str">
        <f t="shared" si="37"/>
        <v>Xiaojiang Zhen (Shàoxīng Shì)</v>
      </c>
    </row>
    <row r="1171" spans="1:16" x14ac:dyDescent="0.25">
      <c r="A1171" t="s">
        <v>2720</v>
      </c>
      <c r="B1171" t="str">
        <f>IF(COUNTIF(A:A,A1171)&gt;1,_xlfn.CONCAT(A1171," (",N1171,")"),A1171)</f>
        <v>Xiāojiāng Zhèn</v>
      </c>
      <c r="C1171" t="str">
        <f>IF(COUNTIF(B:B,B1171)&gt;1,_xlfn.CONCAT(A1171," (",M1171,")"),B1171)</f>
        <v>Xiāojiāng Zhèn</v>
      </c>
      <c r="D1171" t="s">
        <v>2721</v>
      </c>
      <c r="E1171" t="s">
        <v>11</v>
      </c>
      <c r="F1171" t="str">
        <f>_xlfn.CONCAT(D1171,", ",H1171,", ",I1171,", ","浙江省")</f>
        <v>萧江镇, 平阳县, 温州市, 浙江省</v>
      </c>
      <c r="G1171">
        <v>65237</v>
      </c>
      <c r="H1171" t="s">
        <v>3006</v>
      </c>
      <c r="I1171" t="s">
        <v>3000</v>
      </c>
      <c r="J1171">
        <f>VLOOKUP(F1171,[1]!china_towns_second__2[[Column1]:[Y]],3,FALSE)</f>
        <v>27.592166893289701</v>
      </c>
      <c r="K1171">
        <f>VLOOKUP(F1171,[1]!china_towns_second__2[[Column1]:[Y]],2,FALSE)</f>
        <v>120.4216078</v>
      </c>
      <c r="L1171" t="s">
        <v>4802</v>
      </c>
      <c r="M1171" t="str">
        <f>VLOOKUP(H1171,CHOOSE({1,2},Table12[Native],Table12[Name]),2,0)</f>
        <v>Píngyáng Xiàn</v>
      </c>
      <c r="N1171" s="15" t="str">
        <f>VLOOKUP(I1171,CHOOSE({1,2},Table12[Native],Table12[Name]),2,0)</f>
        <v>Wēnzhōu Shì</v>
      </c>
      <c r="O1171" s="15" t="str">
        <f t="shared" si="36"/>
        <v>Xiaojiang Zhen (Wēnzhōu Shì)</v>
      </c>
      <c r="P1171" s="15" t="str">
        <f t="shared" si="37"/>
        <v>Xiaojiang Zhen (Wēnzhōu Shì)</v>
      </c>
    </row>
    <row r="1172" spans="1:16" hidden="1" x14ac:dyDescent="0.25">
      <c r="A1172" t="s">
        <v>2722</v>
      </c>
      <c r="B1172" t="str">
        <f>IF(COUNTIF(A:A,A1172)&gt;1,_xlfn.CONCAT(A1172," (",N1172,")"),A1172)</f>
        <v>Xiăokēng Xiāng</v>
      </c>
      <c r="C1172" t="str">
        <f>IF(COUNTIF(B:B,B1172)&gt;1,_xlfn.CONCAT(A1172," (",M1172,")"),B1172)</f>
        <v>Xiăokēng Xiāng</v>
      </c>
      <c r="D1172" t="s">
        <v>2723</v>
      </c>
      <c r="E1172" t="s">
        <v>7</v>
      </c>
      <c r="F1172" t="str">
        <f>_xlfn.CONCAT(D1172,", ",H1172,", ",I1172,", ","浙江省")</f>
        <v>晓坑乡, 平阳县, 温州市, 浙江省</v>
      </c>
      <c r="G1172">
        <v>5495</v>
      </c>
      <c r="H1172" t="s">
        <v>3006</v>
      </c>
      <c r="I1172" t="s">
        <v>3000</v>
      </c>
      <c r="J1172" t="e">
        <f>VLOOKUP(F1172,[1]!china_towns_second__2[[Column1]:[Y]],3,FALSE)</f>
        <v>#N/A</v>
      </c>
      <c r="K1172" t="e">
        <f>VLOOKUP(F1172,[1]!china_towns_second__2[[Column1]:[Y]],2,FALSE)</f>
        <v>#N/A</v>
      </c>
      <c r="L1172" t="s">
        <v>4803</v>
      </c>
      <c r="M1172" t="str">
        <f>VLOOKUP(H1172,CHOOSE({1,2},Table12[Native],Table12[Name]),2,0)</f>
        <v>Píngyáng Xiàn</v>
      </c>
      <c r="N1172" s="15" t="str">
        <f>VLOOKUP(I1172,CHOOSE({1,2},Table12[Native],Table12[Name]),2,0)</f>
        <v>Wēnzhōu Shì</v>
      </c>
      <c r="O1172" s="15" t="str">
        <f t="shared" si="36"/>
        <v>Xiaokeng Xiang (Wēnzhōu Shì)</v>
      </c>
      <c r="P1172" s="15" t="str">
        <f t="shared" si="37"/>
        <v>Xiaokeng Xiang (Wēnzhōu Shì)</v>
      </c>
    </row>
    <row r="1173" spans="1:16" hidden="1" x14ac:dyDescent="0.25">
      <c r="A1173" t="s">
        <v>1574</v>
      </c>
      <c r="B1173" t="str">
        <f>IF(COUNTIF(A:A,A1173)&gt;1,_xlfn.CONCAT(A1173," (",N1173,")"),A1173)</f>
        <v>Xiāolín Zhèn</v>
      </c>
      <c r="C1173" t="str">
        <f>IF(COUNTIF(B:B,B1173)&gt;1,_xlfn.CONCAT(A1173," (",M1173,")"),B1173)</f>
        <v>Xiāolín Zhèn</v>
      </c>
      <c r="D1173" t="s">
        <v>1575</v>
      </c>
      <c r="E1173" t="s">
        <v>11</v>
      </c>
      <c r="F1173" t="str">
        <f>_xlfn.CONCAT(D1173,", ",H1173,", ",I1173,", ","浙江省")</f>
        <v>逍林镇, 慈溪市, 宁波市, 浙江省</v>
      </c>
      <c r="G1173">
        <v>55099</v>
      </c>
      <c r="H1173" t="s">
        <v>2963</v>
      </c>
      <c r="I1173" t="s">
        <v>2961</v>
      </c>
      <c r="J1173">
        <f>VLOOKUP(F1173,[1]!china_towns_second__2[[Column1]:[Y]],3,FALSE)</f>
        <v>30.195951791805999</v>
      </c>
      <c r="K1173">
        <f>VLOOKUP(F1173,[1]!china_towns_second__2[[Column1]:[Y]],2,FALSE)</f>
        <v>121.3238972</v>
      </c>
      <c r="L1173" t="s">
        <v>4804</v>
      </c>
      <c r="M1173" t="str">
        <f>VLOOKUP(H1173,CHOOSE({1,2},Table12[Native],Table12[Name]),2,0)</f>
        <v>Cíxī Shì</v>
      </c>
      <c r="N1173" s="15" t="str">
        <f>VLOOKUP(I1173,CHOOSE({1,2},Table12[Native],Table12[Name]),2,0)</f>
        <v>Níngbō Shì</v>
      </c>
      <c r="O1173" s="15" t="str">
        <f t="shared" si="36"/>
        <v>Xiaolin Zhen (Níngbō Shì)</v>
      </c>
      <c r="P1173" s="15" t="str">
        <f t="shared" si="37"/>
        <v>Xiaolin Zhen (Níngbō Shì)</v>
      </c>
    </row>
    <row r="1174" spans="1:16" hidden="1" x14ac:dyDescent="0.25">
      <c r="A1174" t="s">
        <v>1261</v>
      </c>
      <c r="B1174" t="str">
        <f>IF(COUNTIF(A:A,A1174)&gt;1,_xlfn.CONCAT(A1174," (",N1174,")"),A1174)</f>
        <v>Xiăoméi Zhèn</v>
      </c>
      <c r="C1174" t="str">
        <f>IF(COUNTIF(B:B,B1174)&gt;1,_xlfn.CONCAT(A1174," (",M1174,")"),B1174)</f>
        <v>Xiăoméi Zhèn</v>
      </c>
      <c r="D1174" t="s">
        <v>1262</v>
      </c>
      <c r="E1174" t="s">
        <v>11</v>
      </c>
      <c r="F1174" t="str">
        <f>_xlfn.CONCAT(D1174,", ",H1174,", ",I1174,", ","浙江省")</f>
        <v>小梅镇, 龙泉市, 丽水市, 浙江省</v>
      </c>
      <c r="G1174">
        <v>8559</v>
      </c>
      <c r="H1174" t="s">
        <v>2954</v>
      </c>
      <c r="I1174" t="s">
        <v>2949</v>
      </c>
      <c r="J1174">
        <f>VLOOKUP(F1174,[1]!china_towns_second__2[[Column1]:[Y]],3,FALSE)</f>
        <v>27.8462262932293</v>
      </c>
      <c r="K1174">
        <f>VLOOKUP(F1174,[1]!china_towns_second__2[[Column1]:[Y]],2,FALSE)</f>
        <v>118.96807990000001</v>
      </c>
      <c r="L1174" t="s">
        <v>4805</v>
      </c>
      <c r="M1174" t="str">
        <f>VLOOKUP(H1174,CHOOSE({1,2},Table12[Native],Table12[Name]),2,0)</f>
        <v>Lóngquán Shì</v>
      </c>
      <c r="N1174" s="15" t="str">
        <f>VLOOKUP(I1174,CHOOSE({1,2},Table12[Native],Table12[Name]),2,0)</f>
        <v>Lìshuĭ Shì</v>
      </c>
      <c r="O1174" s="15" t="str">
        <f t="shared" si="36"/>
        <v>Xiaomei Zhen (Lìshuĭ Shì)</v>
      </c>
      <c r="P1174" s="15" t="str">
        <f t="shared" si="37"/>
        <v>Xiaomei Zhen (Lìshuĭ Shì)</v>
      </c>
    </row>
    <row r="1175" spans="1:16" hidden="1" x14ac:dyDescent="0.25">
      <c r="A1175" t="s">
        <v>1802</v>
      </c>
      <c r="B1175" t="str">
        <f>IF(COUNTIF(A:A,A1175)&gt;1,_xlfn.CONCAT(A1175," (",N1175,")"),A1175)</f>
        <v>Xiăonánhăi Zhèn</v>
      </c>
      <c r="C1175" t="str">
        <f>IF(COUNTIF(B:B,B1175)&gt;1,_xlfn.CONCAT(A1175," (",M1175,")"),B1175)</f>
        <v>Xiăonánhăi Zhèn</v>
      </c>
      <c r="D1175" t="s">
        <v>1803</v>
      </c>
      <c r="E1175" t="s">
        <v>11</v>
      </c>
      <c r="F1175" t="str">
        <f>_xlfn.CONCAT(D1175,", ",H1175,", ",I1175,", ","浙江省")</f>
        <v>小南海镇, 龙游县, 衢州市, 浙江省</v>
      </c>
      <c r="G1175">
        <v>26780</v>
      </c>
      <c r="H1175" t="s">
        <v>2978</v>
      </c>
      <c r="I1175" t="s">
        <v>2973</v>
      </c>
      <c r="J1175">
        <f>VLOOKUP(F1175,[1]!china_towns_second__2[[Column1]:[Y]],3,FALSE)</f>
        <v>29.065113163642401</v>
      </c>
      <c r="K1175">
        <f>VLOOKUP(F1175,[1]!china_towns_second__2[[Column1]:[Y]],2,FALSE)</f>
        <v>119.1151493</v>
      </c>
      <c r="L1175" t="s">
        <v>4806</v>
      </c>
      <c r="M1175" t="str">
        <f>VLOOKUP(H1175,CHOOSE({1,2},Table12[Native],Table12[Name]),2,0)</f>
        <v>Lóngyóu Xiàn</v>
      </c>
      <c r="N1175" s="15" t="str">
        <f>VLOOKUP(I1175,CHOOSE({1,2},Table12[Native],Table12[Name]),2,0)</f>
        <v>Qúzhōu Shì</v>
      </c>
      <c r="O1175" s="15" t="str">
        <f t="shared" si="36"/>
        <v>Xiaonanhai Zhen (Qúzhōu Shì)</v>
      </c>
      <c r="P1175" s="15" t="str">
        <f t="shared" si="37"/>
        <v>Xiaonanhai Zhen (Qúzhōu Shì)</v>
      </c>
    </row>
    <row r="1176" spans="1:16" hidden="1" x14ac:dyDescent="0.25">
      <c r="A1176" t="s">
        <v>523</v>
      </c>
      <c r="B1176" t="str">
        <f>IF(COUNTIF(A:A,A1176)&gt;1,_xlfn.CONCAT(A1176," (",N1176,")"),A1176)</f>
        <v>Xiăopŭ Zhèn</v>
      </c>
      <c r="C1176" t="str">
        <f>IF(COUNTIF(B:B,B1176)&gt;1,_xlfn.CONCAT(A1176," (",M1176,")"),B1176)</f>
        <v>Xiăopŭ Zhèn</v>
      </c>
      <c r="D1176" t="s">
        <v>524</v>
      </c>
      <c r="E1176" t="s">
        <v>11</v>
      </c>
      <c r="F1176" t="str">
        <f>_xlfn.CONCAT(D1176,", ",H1176,", ",I1176,", ","浙江省")</f>
        <v>小浦镇, 长兴县, 湖州市, 浙江省</v>
      </c>
      <c r="G1176">
        <v>23118</v>
      </c>
      <c r="H1176" t="s">
        <v>2924</v>
      </c>
      <c r="I1176" t="s">
        <v>2922</v>
      </c>
      <c r="J1176">
        <f>VLOOKUP(F1176,[1]!china_towns_second__2[[Column1]:[Y]],3,FALSE)</f>
        <v>31.0343685650158</v>
      </c>
      <c r="K1176">
        <f>VLOOKUP(F1176,[1]!china_towns_second__2[[Column1]:[Y]],2,FALSE)</f>
        <v>119.7911199</v>
      </c>
      <c r="L1176" t="s">
        <v>4807</v>
      </c>
      <c r="M1176" t="str">
        <f>VLOOKUP(H1176,CHOOSE({1,2},Table12[Native],Table12[Name]),2,0)</f>
        <v>Chángxīng Xiàn</v>
      </c>
      <c r="N1176" s="15" t="str">
        <f>VLOOKUP(I1176,CHOOSE({1,2},Table12[Native],Table12[Name]),2,0)</f>
        <v>Húzhōu Shì</v>
      </c>
      <c r="O1176" s="15" t="str">
        <f t="shared" si="36"/>
        <v>Xiaopu Zhen (Húzhōu Shì)</v>
      </c>
      <c r="P1176" s="15" t="str">
        <f t="shared" si="37"/>
        <v>Xiaopu Zhen (Húzhōu Shì)</v>
      </c>
    </row>
    <row r="1177" spans="1:16" hidden="1" x14ac:dyDescent="0.25">
      <c r="A1177" t="s">
        <v>2887</v>
      </c>
      <c r="B1177" t="str">
        <f>IF(COUNTIF(A:A,A1177)&gt;1,_xlfn.CONCAT(A1177," (",N1177,")"),A1177)</f>
        <v>Xiăoshā Jiēdào [incl. Chángbái Xiāng]</v>
      </c>
      <c r="C1177" t="str">
        <f>IF(COUNTIF(B:B,B1177)&gt;1,_xlfn.CONCAT(A1177," (",M1177,")"),B1177)</f>
        <v>Xiăoshā Jiēdào [incl. Chángbái Xiāng]</v>
      </c>
      <c r="D1177" t="s">
        <v>2888</v>
      </c>
      <c r="E1177" t="s">
        <v>15</v>
      </c>
      <c r="F1177" t="str">
        <f>_xlfn.CONCAT(D1177,", ",H1177,", ",I1177,", ","浙江省")</f>
        <v>小沙街道, 定海区, 舟山市, 浙江省</v>
      </c>
      <c r="G1177">
        <v>15193</v>
      </c>
      <c r="H1177" t="s">
        <v>3015</v>
      </c>
      <c r="I1177" t="s">
        <v>3013</v>
      </c>
      <c r="J1177">
        <f>VLOOKUP(F1177,[1]!china_towns_second__2[[Column1]:[Y]],3,FALSE)</f>
        <v>30.142092879250399</v>
      </c>
      <c r="K1177">
        <f>VLOOKUP(F1177,[1]!china_towns_second__2[[Column1]:[Y]],2,FALSE)</f>
        <v>122.03963779999999</v>
      </c>
      <c r="L1177" t="s">
        <v>4808</v>
      </c>
      <c r="M1177" t="str">
        <f>VLOOKUP(H1177,CHOOSE({1,2},Table12[Native],Table12[Name]),2,0)</f>
        <v>Dìnghăi Qū</v>
      </c>
      <c r="N1177" s="15" t="str">
        <f>VLOOKUP(I1177,CHOOSE({1,2},Table12[Native],Table12[Name]),2,0)</f>
        <v>Zhōushān Shì</v>
      </c>
      <c r="O1177" s="15" t="str">
        <f t="shared" si="36"/>
        <v>Xiaosha Jiedao [incl. Changbai Xiang] (Zhōushān Shì)</v>
      </c>
      <c r="P1177" s="15" t="str">
        <f t="shared" si="37"/>
        <v>Xiaosha Jiedao [incl. Changbai Xiang] (Zhōushān Shì)</v>
      </c>
    </row>
    <row r="1178" spans="1:16" hidden="1" x14ac:dyDescent="0.25">
      <c r="A1178" t="s">
        <v>338</v>
      </c>
      <c r="B1178" t="str">
        <f>IF(COUNTIF(A:A,A1178)&gt;1,_xlfn.CONCAT(A1178," (",N1178,")"),A1178)</f>
        <v>Xiāoshān Jīngjì Jìshù Kāifāqū</v>
      </c>
      <c r="C1178" t="str">
        <f>IF(COUNTIF(B:B,B1178)&gt;1,_xlfn.CONCAT(A1178," (",M1178,")"),B1178)</f>
        <v>Xiāoshān Jīngjì Jìshù Kāifāqū</v>
      </c>
      <c r="D1178" t="s">
        <v>339</v>
      </c>
      <c r="E1178" t="s">
        <v>253</v>
      </c>
      <c r="F1178" t="str">
        <f>_xlfn.CONCAT(D1178,", ",H1178,", ",I1178,", ","浙江省")</f>
        <v>萧山经济技术开发区, 萧山区, 杭州市, 浙江省</v>
      </c>
      <c r="G1178">
        <v>44274</v>
      </c>
      <c r="H1178" t="s">
        <v>2917</v>
      </c>
      <c r="I1178" t="s">
        <v>2903</v>
      </c>
      <c r="J1178">
        <f>VLOOKUP(F1178,[1]!china_towns_second__2[[Column1]:[Y]],3,FALSE)</f>
        <v>30.269677568456501</v>
      </c>
      <c r="K1178">
        <f>VLOOKUP(F1178,[1]!china_towns_second__2[[Column1]:[Y]],2,FALSE)</f>
        <v>120.3724017</v>
      </c>
      <c r="L1178" t="s">
        <v>4809</v>
      </c>
      <c r="M1178" t="str">
        <f>VLOOKUP(H1178,CHOOSE({1,2},Table12[Native],Table12[Name]),2,0)</f>
        <v>Xiāoshān Qū</v>
      </c>
      <c r="N1178" s="15" t="str">
        <f>VLOOKUP(I1178,CHOOSE({1,2},Table12[Native],Table12[Name]),2,0)</f>
        <v>Hángzhōu Shì</v>
      </c>
      <c r="O1178" s="15" t="str">
        <f t="shared" si="36"/>
        <v>Xiaoshan Jingji Jishu Kaifaqu (Hángzhōu Shì)</v>
      </c>
      <c r="P1178" s="15" t="str">
        <f t="shared" si="37"/>
        <v>Xiaoshan Jingji Jishu Kaifaqu (Hángzhōu Shì)</v>
      </c>
    </row>
    <row r="1179" spans="1:16" hidden="1" x14ac:dyDescent="0.25">
      <c r="A1179" t="s">
        <v>340</v>
      </c>
      <c r="B1179" t="str">
        <f>IF(COUNTIF(A:A,A1179)&gt;1,_xlfn.CONCAT(A1179," (",N1179,")"),A1179)</f>
        <v>Xiāoshān Xiānghú Lǚyóu Dùjiăqū</v>
      </c>
      <c r="C1179" t="str">
        <f>IF(COUNTIF(B:B,B1179)&gt;1,_xlfn.CONCAT(A1179," (",M1179,")"),B1179)</f>
        <v>Xiāoshān Xiānghú Lǚyóu Dùjiăqū</v>
      </c>
      <c r="D1179" t="s">
        <v>341</v>
      </c>
      <c r="E1179" t="s">
        <v>253</v>
      </c>
      <c r="F1179" t="str">
        <f>_xlfn.CONCAT(D1179,", ",H1179,", ",I1179,", ","浙江省")</f>
        <v>萧山湘湖旅游度假区, 萧山区, 杭州市, 浙江省</v>
      </c>
      <c r="G1179">
        <v>3792</v>
      </c>
      <c r="H1179" t="s">
        <v>2917</v>
      </c>
      <c r="I1179" t="s">
        <v>2903</v>
      </c>
      <c r="J1179" t="e">
        <f>VLOOKUP(F1179,[1]!china_towns_second__2[[Column1]:[Y]],3,FALSE)</f>
        <v>#N/A</v>
      </c>
      <c r="K1179" t="e">
        <f>VLOOKUP(F1179,[1]!china_towns_second__2[[Column1]:[Y]],2,FALSE)</f>
        <v>#N/A</v>
      </c>
      <c r="L1179" t="s">
        <v>4810</v>
      </c>
      <c r="M1179" t="str">
        <f>VLOOKUP(H1179,CHOOSE({1,2},Table12[Native],Table12[Name]),2,0)</f>
        <v>Xiāoshān Qū</v>
      </c>
      <c r="N1179" s="15" t="str">
        <f>VLOOKUP(I1179,CHOOSE({1,2},Table12[Native],Table12[Name]),2,0)</f>
        <v>Hángzhōu Shì</v>
      </c>
      <c r="O1179" s="15" t="str">
        <f t="shared" si="36"/>
        <v>Xiaoshan Xianghu Luyou Dujiaqu (Hángzhōu Shì)</v>
      </c>
      <c r="P1179" s="15" t="str">
        <f t="shared" si="37"/>
        <v>Xiaoshan Xianghu Luyou Dujiaqu (Hángzhōu Shì)</v>
      </c>
    </row>
    <row r="1180" spans="1:16" hidden="1" x14ac:dyDescent="0.25">
      <c r="A1180" t="s">
        <v>937</v>
      </c>
      <c r="B1180" t="str">
        <f>IF(COUNTIF(A:A,A1180)&gt;1,_xlfn.CONCAT(A1180," (",N1180,")"),A1180)</f>
        <v>Xiàoshùn Zhèn</v>
      </c>
      <c r="C1180" t="str">
        <f>IF(COUNTIF(B:B,B1180)&gt;1,_xlfn.CONCAT(A1180," (",M1180,")"),B1180)</f>
        <v>Xiàoshùn Zhèn</v>
      </c>
      <c r="D1180" t="s">
        <v>938</v>
      </c>
      <c r="E1180" t="s">
        <v>11</v>
      </c>
      <c r="F1180" t="str">
        <f>_xlfn.CONCAT(D1180,", ",H1180,", ",I1180,", ","浙江省")</f>
        <v>孝顺镇, 金东区, 金华市, 浙江省</v>
      </c>
      <c r="G1180">
        <v>71012</v>
      </c>
      <c r="H1180" t="s">
        <v>2940</v>
      </c>
      <c r="I1180" t="s">
        <v>2938</v>
      </c>
      <c r="J1180">
        <f>VLOOKUP(F1180,[1]!china_towns_second__2[[Column1]:[Y]],3,FALSE)</f>
        <v>29.176361879103801</v>
      </c>
      <c r="K1180">
        <f>VLOOKUP(F1180,[1]!china_towns_second__2[[Column1]:[Y]],2,FALSE)</f>
        <v>119.8726027</v>
      </c>
      <c r="L1180" t="s">
        <v>4811</v>
      </c>
      <c r="M1180" t="str">
        <f>VLOOKUP(H1180,CHOOSE({1,2},Table12[Native],Table12[Name]),2,0)</f>
        <v>Jīndōng Qū</v>
      </c>
      <c r="N1180" s="15" t="str">
        <f>VLOOKUP(I1180,CHOOSE({1,2},Table12[Native],Table12[Name]),2,0)</f>
        <v>Jīnhuá Shì</v>
      </c>
      <c r="O1180" s="15" t="str">
        <f t="shared" si="36"/>
        <v>Xiaoshun Zhen (Jīnhuá Shì)</v>
      </c>
      <c r="P1180" s="15" t="str">
        <f t="shared" si="37"/>
        <v>Xiaoshun Zhen (Jīnhuá Shì)</v>
      </c>
    </row>
    <row r="1181" spans="1:16" hidden="1" x14ac:dyDescent="0.25">
      <c r="A1181" t="s">
        <v>1576</v>
      </c>
      <c r="B1181" t="str">
        <f>IF(COUNTIF(A:A,A1181)&gt;1,_xlfn.CONCAT(A1181," (",N1181,")"),A1181)</f>
        <v>Xiăotáng Xiāng</v>
      </c>
      <c r="C1181" t="str">
        <f>IF(COUNTIF(B:B,B1181)&gt;1,_xlfn.CONCAT(A1181," (",M1181,")"),B1181)</f>
        <v>Xiăotáng Xiāng</v>
      </c>
      <c r="D1181" t="s">
        <v>1577</v>
      </c>
      <c r="E1181" t="s">
        <v>7</v>
      </c>
      <c r="F1181" t="str">
        <f>_xlfn.CONCAT(D1181,", ",H1181,", ",I1181,", ","浙江省")</f>
        <v>晓塘乡, 象山县, 宁波市, 浙江省</v>
      </c>
      <c r="G1181">
        <v>11473</v>
      </c>
      <c r="H1181" t="s">
        <v>2968</v>
      </c>
      <c r="I1181" t="s">
        <v>2961</v>
      </c>
      <c r="J1181" t="e">
        <f>VLOOKUP(F1181,[1]!china_towns_second__2[[Column1]:[Y]],3,FALSE)</f>
        <v>#N/A</v>
      </c>
      <c r="K1181" t="e">
        <f>VLOOKUP(F1181,[1]!china_towns_second__2[[Column1]:[Y]],2,FALSE)</f>
        <v>#N/A</v>
      </c>
      <c r="L1181" t="s">
        <v>4812</v>
      </c>
      <c r="M1181" t="str">
        <f>VLOOKUP(H1181,CHOOSE({1,2},Table12[Native],Table12[Name]),2,0)</f>
        <v>Xiàngshān Xiàn</v>
      </c>
      <c r="N1181" s="15" t="str">
        <f>VLOOKUP(I1181,CHOOSE({1,2},Table12[Native],Table12[Name]),2,0)</f>
        <v>Níngbō Shì</v>
      </c>
      <c r="O1181" s="15" t="str">
        <f t="shared" si="36"/>
        <v>Xiaotang Xiang (Níngbō Shì)</v>
      </c>
      <c r="P1181" s="15" t="str">
        <f t="shared" si="37"/>
        <v>Xiaotang Xiang (Níngbō Shì)</v>
      </c>
    </row>
    <row r="1182" spans="1:16" hidden="1" x14ac:dyDescent="0.25">
      <c r="A1182" t="s">
        <v>1578</v>
      </c>
      <c r="B1182" t="str">
        <f>IF(COUNTIF(A:A,A1182)&gt;1,_xlfn.CONCAT(A1182," (",N1182,")"),A1182)</f>
        <v>Xiāowángmiào Jiēdào</v>
      </c>
      <c r="C1182" t="str">
        <f>IF(COUNTIF(B:B,B1182)&gt;1,_xlfn.CONCAT(A1182," (",M1182,")"),B1182)</f>
        <v>Xiāowángmiào Jiēdào</v>
      </c>
      <c r="D1182" t="s">
        <v>1579</v>
      </c>
      <c r="E1182" t="s">
        <v>15</v>
      </c>
      <c r="F1182" t="str">
        <f>_xlfn.CONCAT(D1182,", ",H1182,", ",I1182,", ","浙江省")</f>
        <v>萧王庙街道, 奉化区, 宁波市, 浙江省</v>
      </c>
      <c r="G1182">
        <v>27172</v>
      </c>
      <c r="H1182" t="s">
        <v>2964</v>
      </c>
      <c r="I1182" t="s">
        <v>2961</v>
      </c>
      <c r="J1182">
        <f>VLOOKUP(F1182,[1]!china_towns_second__2[[Column1]:[Y]],3,FALSE)</f>
        <v>29.669936471596898</v>
      </c>
      <c r="K1182">
        <f>VLOOKUP(F1182,[1]!china_towns_second__2[[Column1]:[Y]],2,FALSE)</f>
        <v>121.32839800000001</v>
      </c>
      <c r="L1182" t="s">
        <v>4813</v>
      </c>
      <c r="M1182" t="str">
        <f>VLOOKUP(H1182,CHOOSE({1,2},Table12[Native],Table12[Name]),2,0)</f>
        <v>Fènghuà Qū</v>
      </c>
      <c r="N1182" s="15" t="str">
        <f>VLOOKUP(I1182,CHOOSE({1,2},Table12[Native],Table12[Name]),2,0)</f>
        <v>Níngbō Shì</v>
      </c>
      <c r="O1182" s="15" t="str">
        <f t="shared" si="36"/>
        <v>Xiaowangmiao Jiedao (Níngbō Shì)</v>
      </c>
      <c r="P1182" s="15" t="str">
        <f t="shared" si="37"/>
        <v>Xiaowangmiao Jiedao (Níngbō Shì)</v>
      </c>
    </row>
    <row r="1183" spans="1:16" hidden="1" x14ac:dyDescent="0.25">
      <c r="A1183" t="s">
        <v>342</v>
      </c>
      <c r="B1183" t="str">
        <f>IF(COUNTIF(A:A,A1183)&gt;1,_xlfn.CONCAT(A1183," (",N1183,")"),A1183)</f>
        <v>Xiăoyíng Jiēdào</v>
      </c>
      <c r="C1183" t="str">
        <f>IF(COUNTIF(B:B,B1183)&gt;1,_xlfn.CONCAT(A1183," (",M1183,")"),B1183)</f>
        <v>Xiăoyíng Jiēdào</v>
      </c>
      <c r="D1183" t="s">
        <v>343</v>
      </c>
      <c r="E1183" t="s">
        <v>15</v>
      </c>
      <c r="F1183" t="str">
        <f>_xlfn.CONCAT(D1183,", ",H1183,", ",I1183,", ","浙江省")</f>
        <v>小营街道, 上城区, 杭州市, 浙江省</v>
      </c>
      <c r="G1183">
        <v>75287</v>
      </c>
      <c r="H1183" t="s">
        <v>2915</v>
      </c>
      <c r="I1183" t="s">
        <v>2903</v>
      </c>
      <c r="J1183">
        <f>VLOOKUP(F1183,[1]!china_towns_second__2[[Column1]:[Y]],3,FALSE)</f>
        <v>30.2510218729985</v>
      </c>
      <c r="K1183">
        <f>VLOOKUP(F1183,[1]!china_towns_second__2[[Column1]:[Y]],2,FALSE)</f>
        <v>120.1744925</v>
      </c>
      <c r="L1183" t="s">
        <v>4814</v>
      </c>
      <c r="M1183" t="str">
        <f>VLOOKUP(H1183,CHOOSE({1,2},Table12[Native],Table12[Name]),2,0)</f>
        <v>Shàngchéng Qū</v>
      </c>
      <c r="N1183" s="15" t="str">
        <f>VLOOKUP(I1183,CHOOSE({1,2},Table12[Native],Table12[Name]),2,0)</f>
        <v>Hángzhōu Shì</v>
      </c>
      <c r="O1183" s="15" t="str">
        <f t="shared" si="36"/>
        <v>Xiaoying Jiedao (Hángzhōu Shì)</v>
      </c>
      <c r="P1183" s="15" t="str">
        <f t="shared" si="37"/>
        <v>Xiaoying Jiedao (Hángzhōu Shì)</v>
      </c>
    </row>
    <row r="1184" spans="1:16" hidden="1" x14ac:dyDescent="0.25">
      <c r="A1184" t="s">
        <v>525</v>
      </c>
      <c r="B1184" t="str">
        <f>IF(COUNTIF(A:A,A1184)&gt;1,_xlfn.CONCAT(A1184," (",N1184,")"),A1184)</f>
        <v>Xiàoyuán Jiēdào [Guīshān Xiāng]</v>
      </c>
      <c r="C1184" t="str">
        <f>IF(COUNTIF(B:B,B1184)&gt;1,_xlfn.CONCAT(A1184," (",M1184,")"),B1184)</f>
        <v>Xiàoyuán Jiēdào [Guīshān Xiāng]</v>
      </c>
      <c r="D1184" t="s">
        <v>526</v>
      </c>
      <c r="E1184" t="s">
        <v>15</v>
      </c>
      <c r="F1184" t="str">
        <f>_xlfn.CONCAT(D1184,", ",H1184,", ",I1184,", ","浙江省")</f>
        <v>孝源街道, 安吉县, 湖州市, 浙江省</v>
      </c>
      <c r="G1184">
        <v>8850</v>
      </c>
      <c r="H1184" t="s">
        <v>2923</v>
      </c>
      <c r="I1184" t="s">
        <v>2922</v>
      </c>
      <c r="J1184" t="e">
        <f>VLOOKUP(F1184,[1]!china_towns_second__2[[Column1]:[Y]],3,FALSE)</f>
        <v>#N/A</v>
      </c>
      <c r="K1184" t="e">
        <f>VLOOKUP(F1184,[1]!china_towns_second__2[[Column1]:[Y]],2,FALSE)</f>
        <v>#N/A</v>
      </c>
      <c r="L1184" t="s">
        <v>4815</v>
      </c>
      <c r="M1184" t="str">
        <f>VLOOKUP(H1184,CHOOSE({1,2},Table12[Native],Table12[Name]),2,0)</f>
        <v>Ānjí Xiàn</v>
      </c>
      <c r="N1184" s="15" t="str">
        <f>VLOOKUP(I1184,CHOOSE({1,2},Table12[Native],Table12[Name]),2,0)</f>
        <v>Húzhōu Shì</v>
      </c>
      <c r="O1184" s="15" t="str">
        <f t="shared" si="36"/>
        <v>Xiaoyuan Jiedao [Guishan Xiang] (Húzhōu Shì)</v>
      </c>
      <c r="P1184" s="15" t="str">
        <f t="shared" si="37"/>
        <v>Xiaoyuan Jiedao [Guishan Xiang] (Húzhōu Shì)</v>
      </c>
    </row>
    <row r="1185" spans="1:16" hidden="1" x14ac:dyDescent="0.25">
      <c r="A1185" t="s">
        <v>2012</v>
      </c>
      <c r="B1185" t="str">
        <f>IF(COUNTIF(A:A,A1185)&gt;1,_xlfn.CONCAT(A1185," (",N1185,")"),A1185)</f>
        <v>Xiăoyuè Jiēdào</v>
      </c>
      <c r="C1185" t="str">
        <f>IF(COUNTIF(B:B,B1185)&gt;1,_xlfn.CONCAT(A1185," (",M1185,")"),B1185)</f>
        <v>Xiăoyuè Jiēdào</v>
      </c>
      <c r="D1185" t="s">
        <v>2013</v>
      </c>
      <c r="E1185" t="s">
        <v>15</v>
      </c>
      <c r="F1185" t="str">
        <f>_xlfn.CONCAT(D1185,", ",H1185,", ",I1185,", ","浙江省")</f>
        <v>小越街道, 上虞区, 绍兴市, 浙江省</v>
      </c>
      <c r="G1185">
        <v>35282</v>
      </c>
      <c r="H1185" t="s">
        <v>2983</v>
      </c>
      <c r="I1185" t="s">
        <v>2981</v>
      </c>
      <c r="J1185" t="e">
        <f>VLOOKUP(F1185,[1]!china_towns_second__2[[Column1]:[Y]],3,FALSE)</f>
        <v>#N/A</v>
      </c>
      <c r="K1185" t="e">
        <f>VLOOKUP(F1185,[1]!china_towns_second__2[[Column1]:[Y]],2,FALSE)</f>
        <v>#N/A</v>
      </c>
      <c r="L1185" t="s">
        <v>4816</v>
      </c>
      <c r="M1185" t="str">
        <f>VLOOKUP(H1185,CHOOSE({1,2},Table12[Native],Table12[Name]),2,0)</f>
        <v>Shàngyú Qū</v>
      </c>
      <c r="N1185" s="15" t="str">
        <f>VLOOKUP(I1185,CHOOSE({1,2},Table12[Native],Table12[Name]),2,0)</f>
        <v>Shàoxīng Shì</v>
      </c>
      <c r="O1185" s="15" t="str">
        <f t="shared" si="36"/>
        <v>Xiaoyue Jiedao (Shàoxīng Shì)</v>
      </c>
      <c r="P1185" s="15" t="str">
        <f t="shared" si="37"/>
        <v>Xiaoyue Jiedao (Shàoxīng Shì)</v>
      </c>
    </row>
    <row r="1186" spans="1:16" hidden="1" x14ac:dyDescent="0.25">
      <c r="A1186" t="s">
        <v>2237</v>
      </c>
      <c r="B1186" t="str">
        <f>IF(COUNTIF(A:A,A1186)&gt;1,_xlfn.CONCAT(A1186," (",N1186,")"),A1186)</f>
        <v>Xiăozhī Zhèn</v>
      </c>
      <c r="C1186" t="str">
        <f>IF(COUNTIF(B:B,B1186)&gt;1,_xlfn.CONCAT(A1186," (",M1186,")"),B1186)</f>
        <v>Xiăozhī Zhèn</v>
      </c>
      <c r="D1186" t="s">
        <v>2238</v>
      </c>
      <c r="E1186" t="s">
        <v>11</v>
      </c>
      <c r="F1186" t="str">
        <f>_xlfn.CONCAT(D1186,", ",H1186,", ",I1186,", ","浙江省")</f>
        <v>小芝镇, 临海市, 台州市, 浙江省</v>
      </c>
      <c r="G1186">
        <v>25342</v>
      </c>
      <c r="H1186" t="s">
        <v>2992</v>
      </c>
      <c r="I1186" t="s">
        <v>2989</v>
      </c>
      <c r="J1186">
        <f>VLOOKUP(F1186,[1]!china_towns_second__2[[Column1]:[Y]],3,FALSE)</f>
        <v>28.869786137227099</v>
      </c>
      <c r="K1186">
        <f>VLOOKUP(F1186,[1]!china_towns_second__2[[Column1]:[Y]],2,FALSE)</f>
        <v>121.42782510000001</v>
      </c>
      <c r="L1186" t="s">
        <v>4817</v>
      </c>
      <c r="M1186" t="str">
        <f>VLOOKUP(H1186,CHOOSE({1,2},Table12[Native],Table12[Name]),2,0)</f>
        <v>Línhăi Shì</v>
      </c>
      <c r="N1186" s="15" t="str">
        <f>VLOOKUP(I1186,CHOOSE({1,2},Table12[Native],Table12[Name]),2,0)</f>
        <v>Táizhōu Shì</v>
      </c>
      <c r="O1186" s="15" t="str">
        <f t="shared" si="36"/>
        <v>Xiaozhi Zhen (Táizhōu Shì)</v>
      </c>
      <c r="P1186" s="15" t="str">
        <f t="shared" si="37"/>
        <v>Xiaozhi Zhen (Táizhōu Shì)</v>
      </c>
    </row>
    <row r="1187" spans="1:16" hidden="1" x14ac:dyDescent="0.25">
      <c r="A1187" t="s">
        <v>1263</v>
      </c>
      <c r="B1187" t="str">
        <f>IF(COUNTIF(A:A,A1187)&gt;1,_xlfn.CONCAT(A1187," (",N1187,")"),A1187)</f>
        <v>Xiăozhōushān Xiāng</v>
      </c>
      <c r="C1187" t="str">
        <f>IF(COUNTIF(B:B,B1187)&gt;1,_xlfn.CONCAT(A1187," (",M1187,")"),B1187)</f>
        <v>Xiăozhōushān Xiāng</v>
      </c>
      <c r="D1187" t="s">
        <v>1264</v>
      </c>
      <c r="E1187" t="s">
        <v>7</v>
      </c>
      <c r="F1187" t="str">
        <f>_xlfn.CONCAT(D1187,", ",H1187,", ",I1187,", ","浙江省")</f>
        <v>小舟山乡, 青田县, 丽水市, 浙江省</v>
      </c>
      <c r="G1187">
        <v>1362</v>
      </c>
      <c r="H1187" t="s">
        <v>2955</v>
      </c>
      <c r="I1187" t="s">
        <v>2949</v>
      </c>
      <c r="J1187" t="e">
        <f>VLOOKUP(F1187,[1]!china_towns_second__2[[Column1]:[Y]],3,FALSE)</f>
        <v>#N/A</v>
      </c>
      <c r="K1187" t="e">
        <f>VLOOKUP(F1187,[1]!china_towns_second__2[[Column1]:[Y]],2,FALSE)</f>
        <v>#N/A</v>
      </c>
      <c r="L1187" t="s">
        <v>4818</v>
      </c>
      <c r="M1187" t="str">
        <f>VLOOKUP(H1187,CHOOSE({1,2},Table12[Native],Table12[Name]),2,0)</f>
        <v>Qīngtián Xiàn</v>
      </c>
      <c r="N1187" s="15" t="str">
        <f>VLOOKUP(I1187,CHOOSE({1,2},Table12[Native],Table12[Name]),2,0)</f>
        <v>Lìshuĭ Shì</v>
      </c>
      <c r="O1187" s="15" t="str">
        <f t="shared" si="36"/>
        <v>Xiaozhoushan Xiang (Lìshuĭ Shì)</v>
      </c>
      <c r="P1187" s="15" t="str">
        <f t="shared" si="37"/>
        <v>Xiaozhoushan Xiang (Lìshuĭ Shì)</v>
      </c>
    </row>
    <row r="1188" spans="1:16" hidden="1" x14ac:dyDescent="0.25">
      <c r="A1188" t="s">
        <v>1580</v>
      </c>
      <c r="B1188" t="str">
        <f>IF(COUNTIF(A:A,A1188)&gt;1,_xlfn.CONCAT(A1188," (",N1188,")"),A1188)</f>
        <v>Xiápŭ Jiēdào</v>
      </c>
      <c r="C1188" t="str">
        <f>IF(COUNTIF(B:B,B1188)&gt;1,_xlfn.CONCAT(A1188," (",M1188,")"),B1188)</f>
        <v>Xiápŭ Jiēdào</v>
      </c>
      <c r="D1188" t="s">
        <v>1581</v>
      </c>
      <c r="E1188" t="s">
        <v>15</v>
      </c>
      <c r="F1188" t="str">
        <f>_xlfn.CONCAT(D1188,", ",H1188,", ",I1188,", ","浙江省")</f>
        <v>霞浦街道, 北仑区, 宁波市, 浙江省</v>
      </c>
      <c r="G1188">
        <v>45194</v>
      </c>
      <c r="H1188" t="s">
        <v>2962</v>
      </c>
      <c r="I1188" t="s">
        <v>2961</v>
      </c>
      <c r="J1188">
        <f>VLOOKUP(F1188,[1]!china_towns_second__2[[Column1]:[Y]],3,FALSE)</f>
        <v>29.891940247410101</v>
      </c>
      <c r="K1188">
        <f>VLOOKUP(F1188,[1]!china_towns_second__2[[Column1]:[Y]],2,FALSE)</f>
        <v>121.87766259999999</v>
      </c>
      <c r="L1188" t="s">
        <v>4819</v>
      </c>
      <c r="M1188" t="str">
        <f>VLOOKUP(H1188,CHOOSE({1,2},Table12[Native],Table12[Name]),2,0)</f>
        <v>Bĕilún Qū</v>
      </c>
      <c r="N1188" s="15" t="str">
        <f>VLOOKUP(I1188,CHOOSE({1,2},Table12[Native],Table12[Name]),2,0)</f>
        <v>Níngbō Shì</v>
      </c>
      <c r="O1188" s="15" t="str">
        <f t="shared" si="36"/>
        <v>Xiapu Jiedao (Níngbō Shì)</v>
      </c>
      <c r="P1188" s="15" t="str">
        <f t="shared" si="37"/>
        <v>Xiapu Jiedao (Níngbō Shì)</v>
      </c>
    </row>
    <row r="1189" spans="1:16" hidden="1" x14ac:dyDescent="0.25">
      <c r="A1189" t="s">
        <v>344</v>
      </c>
      <c r="B1189" t="str">
        <f>IF(COUNTIF(A:A,A1189)&gt;1,_xlfn.CONCAT(A1189," (",N1189,")"),A1189)</f>
        <v>Xiàshā Jiēdào</v>
      </c>
      <c r="C1189" t="str">
        <f>IF(COUNTIF(B:B,B1189)&gt;1,_xlfn.CONCAT(A1189," (",M1189,")"),B1189)</f>
        <v>Xiàshā Jiēdào</v>
      </c>
      <c r="D1189" t="s">
        <v>345</v>
      </c>
      <c r="E1189" t="s">
        <v>15</v>
      </c>
      <c r="F1189" t="str">
        <f>_xlfn.CONCAT(D1189,", ",H1189,", ",I1189,", ","浙江省")</f>
        <v>下沙街道, 钱塘区, 杭州市, 浙江省</v>
      </c>
      <c r="G1189">
        <v>100515</v>
      </c>
      <c r="H1189" t="s">
        <v>2914</v>
      </c>
      <c r="I1189" t="s">
        <v>2903</v>
      </c>
      <c r="J1189" t="e">
        <f>VLOOKUP(F1189,[1]!china_towns_second__2[[Column1]:[Y]],3,FALSE)</f>
        <v>#N/A</v>
      </c>
      <c r="K1189" t="e">
        <f>VLOOKUP(F1189,[1]!china_towns_second__2[[Column1]:[Y]],2,FALSE)</f>
        <v>#N/A</v>
      </c>
      <c r="L1189" t="s">
        <v>4820</v>
      </c>
      <c r="M1189" t="str">
        <f>VLOOKUP(H1189,CHOOSE({1,2},Table12[Native],Table12[Name]),2,0)</f>
        <v>Qiántáng Qū</v>
      </c>
      <c r="N1189" s="15" t="str">
        <f>VLOOKUP(I1189,CHOOSE({1,2},Table12[Native],Table12[Name]),2,0)</f>
        <v>Hángzhōu Shì</v>
      </c>
      <c r="O1189" s="15" t="str">
        <f t="shared" si="36"/>
        <v>Xiasha Jiedao (Hángzhōu Shì)</v>
      </c>
      <c r="P1189" s="15" t="str">
        <f t="shared" si="37"/>
        <v>Xiasha Jiedao (Hángzhōu Shì)</v>
      </c>
    </row>
    <row r="1190" spans="1:16" hidden="1" x14ac:dyDescent="0.25">
      <c r="A1190" t="s">
        <v>657</v>
      </c>
      <c r="B1190" t="str">
        <f>IF(COUNTIF(A:A,A1190)&gt;1,_xlfn.CONCAT(A1190," (",N1190,")"),A1190)</f>
        <v>Xiáshí Jiēdào</v>
      </c>
      <c r="C1190" t="str">
        <f>IF(COUNTIF(B:B,B1190)&gt;1,_xlfn.CONCAT(A1190," (",M1190,")"),B1190)</f>
        <v>Xiáshí Jiēdào</v>
      </c>
      <c r="D1190" t="s">
        <v>658</v>
      </c>
      <c r="E1190" t="s">
        <v>15</v>
      </c>
      <c r="F1190" t="str">
        <f>_xlfn.CONCAT(D1190,", ",H1190,", ",I1190,", ","浙江省")</f>
        <v>硖石街道, 海宁市, 嘉兴市, 浙江省</v>
      </c>
      <c r="G1190">
        <v>87621</v>
      </c>
      <c r="H1190" t="s">
        <v>2930</v>
      </c>
      <c r="I1190" t="s">
        <v>2929</v>
      </c>
      <c r="J1190">
        <f>VLOOKUP(F1190,[1]!china_towns_second__2[[Column1]:[Y]],3,FALSE)</f>
        <v>30.507515531565101</v>
      </c>
      <c r="K1190">
        <f>VLOOKUP(F1190,[1]!china_towns_second__2[[Column1]:[Y]],2,FALSE)</f>
        <v>120.7209361</v>
      </c>
      <c r="L1190" t="s">
        <v>4821</v>
      </c>
      <c r="M1190" t="str">
        <f>VLOOKUP(H1190,CHOOSE({1,2},Table12[Native],Table12[Name]),2,0)</f>
        <v>Hăiníng Shì</v>
      </c>
      <c r="N1190" s="15" t="str">
        <f>VLOOKUP(I1190,CHOOSE({1,2},Table12[Native],Table12[Name]),2,0)</f>
        <v>Jiāxīng Shì</v>
      </c>
      <c r="O1190" s="15" t="str">
        <f t="shared" si="36"/>
        <v>Xiashi Jiedao (Jiāxīng Shì)</v>
      </c>
      <c r="P1190" s="15" t="str">
        <f t="shared" si="37"/>
        <v>Xiashi Jiedao (Jiāxīng Shì)</v>
      </c>
    </row>
    <row r="1191" spans="1:16" hidden="1" x14ac:dyDescent="0.25">
      <c r="A1191" t="s">
        <v>2014</v>
      </c>
      <c r="B1191" t="str">
        <f>IF(COUNTIF(A:A,A1191)&gt;1,_xlfn.CONCAT(A1191," (",N1191,")"),A1191)</f>
        <v>Xiàwáng Zhèn</v>
      </c>
      <c r="C1191" t="str">
        <f>IF(COUNTIF(B:B,B1191)&gt;1,_xlfn.CONCAT(A1191," (",M1191,")"),B1191)</f>
        <v>Xiàwáng Zhèn</v>
      </c>
      <c r="D1191" t="s">
        <v>2015</v>
      </c>
      <c r="E1191" t="s">
        <v>11</v>
      </c>
      <c r="F1191" t="str">
        <f>_xlfn.CONCAT(D1191,", ",H1191,", ",I1191,", ","浙江省")</f>
        <v>下王镇, 嵊州市, 绍兴市, 浙江省</v>
      </c>
      <c r="G1191">
        <v>7648</v>
      </c>
      <c r="H1191" t="s">
        <v>2984</v>
      </c>
      <c r="I1191" t="s">
        <v>2981</v>
      </c>
      <c r="J1191">
        <f>VLOOKUP(F1191,[1]!china_towns_second__2[[Column1]:[Y]],3,FALSE)</f>
        <v>29.703286730243001</v>
      </c>
      <c r="K1191">
        <f>VLOOKUP(F1191,[1]!china_towns_second__2[[Column1]:[Y]],2,FALSE)</f>
        <v>120.9563912</v>
      </c>
      <c r="L1191" t="s">
        <v>4822</v>
      </c>
      <c r="M1191" t="str">
        <f>VLOOKUP(H1191,CHOOSE({1,2},Table12[Native],Table12[Name]),2,0)</f>
        <v>Shèngzhōu Shì</v>
      </c>
      <c r="N1191" s="15" t="str">
        <f>VLOOKUP(I1191,CHOOSE({1,2},Table12[Native],Table12[Name]),2,0)</f>
        <v>Shàoxīng Shì</v>
      </c>
      <c r="O1191" s="15" t="str">
        <f t="shared" si="36"/>
        <v>Xiawang Zhen (Shàoxīng Shì)</v>
      </c>
      <c r="P1191" s="15" t="str">
        <f t="shared" si="37"/>
        <v>Xiawang Zhen (Shàoxīng Shì)</v>
      </c>
    </row>
    <row r="1192" spans="1:16" hidden="1" x14ac:dyDescent="0.25">
      <c r="A1192" t="s">
        <v>346</v>
      </c>
      <c r="B1192" t="str">
        <f>IF(COUNTIF(A:A,A1192)&gt;1,_xlfn.CONCAT(A1192," (",N1192,")"),A1192)</f>
        <v>Xiàyá Zhèn</v>
      </c>
      <c r="C1192" t="str">
        <f>IF(COUNTIF(B:B,B1192)&gt;1,_xlfn.CONCAT(A1192," (",M1192,")"),B1192)</f>
        <v>Xiàyá Zhèn</v>
      </c>
      <c r="D1192" t="s">
        <v>347</v>
      </c>
      <c r="E1192" t="s">
        <v>11</v>
      </c>
      <c r="F1192" t="str">
        <f>_xlfn.CONCAT(D1192,", ",H1192,", ",I1192,", ","浙江省")</f>
        <v>下涯镇, 建德市, 杭州市, 浙江省</v>
      </c>
      <c r="G1192">
        <v>18942</v>
      </c>
      <c r="H1192" t="s">
        <v>2910</v>
      </c>
      <c r="I1192" t="s">
        <v>2903</v>
      </c>
      <c r="J1192">
        <f>VLOOKUP(F1192,[1]!china_towns_second__2[[Column1]:[Y]],3,FALSE)</f>
        <v>29.574489460662299</v>
      </c>
      <c r="K1192">
        <f>VLOOKUP(F1192,[1]!china_towns_second__2[[Column1]:[Y]],2,FALSE)</f>
        <v>119.3693004</v>
      </c>
      <c r="L1192" t="s">
        <v>4823</v>
      </c>
      <c r="M1192" t="str">
        <f>VLOOKUP(H1192,CHOOSE({1,2},Table12[Native],Table12[Name]),2,0)</f>
        <v>Jiàndé Shì</v>
      </c>
      <c r="N1192" s="15" t="str">
        <f>VLOOKUP(I1192,CHOOSE({1,2},Table12[Native],Table12[Name]),2,0)</f>
        <v>Hángzhōu Shì</v>
      </c>
      <c r="O1192" s="15" t="str">
        <f t="shared" si="36"/>
        <v>Xiaya Zhen (Hángzhōu Shì)</v>
      </c>
      <c r="P1192" s="15" t="str">
        <f t="shared" si="37"/>
        <v>Xiaya Zhen (Hángzhōu Shì)</v>
      </c>
    </row>
    <row r="1193" spans="1:16" hidden="1" x14ac:dyDescent="0.25">
      <c r="A1193" t="s">
        <v>2726</v>
      </c>
      <c r="B1193" t="str">
        <f>IF(COUNTIF(A:A,A1193)&gt;1,_xlfn.CONCAT(A1193," (",N1193,")"),A1193)</f>
        <v>Xiàyáng Xiāng</v>
      </c>
      <c r="C1193" t="str">
        <f>IF(COUNTIF(B:B,B1193)&gt;1,_xlfn.CONCAT(A1193," (",M1193,")"),B1193)</f>
        <v>Xiàyáng Xiāng</v>
      </c>
      <c r="D1193" t="s">
        <v>2727</v>
      </c>
      <c r="E1193" t="s">
        <v>7</v>
      </c>
      <c r="F1193" t="str">
        <f>_xlfn.CONCAT(D1193,", ",H1193,", ",I1193,", ","浙江省")</f>
        <v>下垟乡, 文成县, 温州市, 浙江省</v>
      </c>
      <c r="G1193">
        <v>714</v>
      </c>
      <c r="H1193" t="s">
        <v>3009</v>
      </c>
      <c r="I1193" t="s">
        <v>3000</v>
      </c>
      <c r="J1193" t="e">
        <f>VLOOKUP(F1193,[1]!china_towns_second__2[[Column1]:[Y]],3,FALSE)</f>
        <v>#N/A</v>
      </c>
      <c r="K1193" t="e">
        <f>VLOOKUP(F1193,[1]!china_towns_second__2[[Column1]:[Y]],2,FALSE)</f>
        <v>#N/A</v>
      </c>
      <c r="L1193" t="s">
        <v>4824</v>
      </c>
      <c r="M1193" t="str">
        <f>VLOOKUP(H1193,CHOOSE({1,2},Table12[Native],Table12[Name]),2,0)</f>
        <v>Wénchéng Xiàn</v>
      </c>
      <c r="N1193" s="15" t="str">
        <f>VLOOKUP(I1193,CHOOSE({1,2},Table12[Native],Table12[Name]),2,0)</f>
        <v>Wēnzhōu Shì</v>
      </c>
      <c r="O1193" s="15" t="str">
        <f t="shared" si="36"/>
        <v>Xiayang Xiang (Wēnzhōu Shì)</v>
      </c>
      <c r="P1193" s="15" t="str">
        <f t="shared" si="37"/>
        <v>Xiayang Xiang (Wēnzhōu Shì)</v>
      </c>
    </row>
    <row r="1194" spans="1:16" hidden="1" x14ac:dyDescent="0.25">
      <c r="A1194" t="s">
        <v>1582</v>
      </c>
      <c r="B1194" t="str">
        <f>IF(COUNTIF(A:A,A1194)&gt;1,_xlfn.CONCAT(A1194," (",N1194,")"),A1194)</f>
        <v>Xiàyīng Jiēdào [incl. Pānhuǒ Jiēdào]</v>
      </c>
      <c r="C1194" t="str">
        <f>IF(COUNTIF(B:B,B1194)&gt;1,_xlfn.CONCAT(A1194," (",M1194,")"),B1194)</f>
        <v>Xiàyīng Jiēdào [incl. Pānhuǒ Jiēdào]</v>
      </c>
      <c r="D1194" t="s">
        <v>1583</v>
      </c>
      <c r="E1194" t="s">
        <v>15</v>
      </c>
      <c r="F1194" t="str">
        <f>_xlfn.CONCAT(D1194,", ",H1194,", ",I1194,", ","浙江省")</f>
        <v>下应街道, 鄞州区, 宁波市, 浙江省</v>
      </c>
      <c r="G1194">
        <v>84439</v>
      </c>
      <c r="H1194" t="s">
        <v>2969</v>
      </c>
      <c r="I1194" t="s">
        <v>2961</v>
      </c>
      <c r="J1194">
        <f>VLOOKUP(F1194,[1]!china_towns_second__2[[Column1]:[Y]],3,FALSE)</f>
        <v>29.802215253159101</v>
      </c>
      <c r="K1194">
        <f>VLOOKUP(F1194,[1]!china_towns_second__2[[Column1]:[Y]],2,FALSE)</f>
        <v>121.5878429</v>
      </c>
      <c r="L1194" t="s">
        <v>4825</v>
      </c>
      <c r="M1194" t="str">
        <f>VLOOKUP(H1194,CHOOSE({1,2},Table12[Native],Table12[Name]),2,0)</f>
        <v>Yínzhōu Qū</v>
      </c>
      <c r="N1194" s="15" t="str">
        <f>VLOOKUP(I1194,CHOOSE({1,2},Table12[Native],Table12[Name]),2,0)</f>
        <v>Níngbō Shì</v>
      </c>
      <c r="O1194" s="15" t="str">
        <f t="shared" si="36"/>
        <v>Xiaying Jiedao [incl. Panhuo Jiedao] (Níngbō Shì)</v>
      </c>
      <c r="P1194" s="15" t="str">
        <f t="shared" si="37"/>
        <v>Xiaying Jiedao [incl. Panhuo Jiedao] (Níngbō Shì)</v>
      </c>
    </row>
    <row r="1195" spans="1:16" hidden="1" x14ac:dyDescent="0.25">
      <c r="A1195" t="s">
        <v>2889</v>
      </c>
      <c r="B1195" t="str">
        <f>IF(COUNTIF(A:A,A1195)&gt;1,_xlfn.CONCAT(A1195," (",N1195,")"),A1195)</f>
        <v>Xiāzhì Zhèn</v>
      </c>
      <c r="C1195" t="str">
        <f>IF(COUNTIF(B:B,B1195)&gt;1,_xlfn.CONCAT(A1195," (",M1195,")"),B1195)</f>
        <v>Xiāzhì Zhèn</v>
      </c>
      <c r="D1195" t="s">
        <v>2890</v>
      </c>
      <c r="E1195" t="s">
        <v>11</v>
      </c>
      <c r="F1195" t="str">
        <f>_xlfn.CONCAT(D1195,", ",H1195,", ",I1195,", ","浙江省")</f>
        <v>虾峙镇, 普陀区, 舟山市, 浙江省</v>
      </c>
      <c r="G1195">
        <v>13111</v>
      </c>
      <c r="H1195" t="s">
        <v>3016</v>
      </c>
      <c r="I1195" t="s">
        <v>3013</v>
      </c>
      <c r="J1195">
        <f>VLOOKUP(F1195,[1]!china_towns_second__2[[Column1]:[Y]],3,FALSE)</f>
        <v>29.763635880717199</v>
      </c>
      <c r="K1195">
        <f>VLOOKUP(F1195,[1]!china_towns_second__2[[Column1]:[Y]],2,FALSE)</f>
        <v>122.2394618</v>
      </c>
      <c r="L1195" t="s">
        <v>4826</v>
      </c>
      <c r="M1195" t="str">
        <f>VLOOKUP(H1195,CHOOSE({1,2},Table12[Native],Table12[Name]),2,0)</f>
        <v>Pŭtuó Qū</v>
      </c>
      <c r="N1195" s="15" t="str">
        <f>VLOOKUP(I1195,CHOOSE({1,2},Table12[Native],Table12[Name]),2,0)</f>
        <v>Zhōushān Shì</v>
      </c>
      <c r="O1195" s="15" t="str">
        <f t="shared" si="36"/>
        <v>Xiazhi Zhen (Zhōushān Shì)</v>
      </c>
      <c r="P1195" s="15" t="str">
        <f t="shared" si="37"/>
        <v>Xiazhi Zhen (Zhōushān Shì)</v>
      </c>
    </row>
    <row r="1196" spans="1:16" hidden="1" x14ac:dyDescent="0.25">
      <c r="A1196" t="s">
        <v>527</v>
      </c>
      <c r="B1196" t="str">
        <f>IF(COUNTIF(A:A,A1196)&gt;1,_xlfn.CONCAT(A1196," (",N1196,")"),A1196)</f>
        <v>Xiàzhǔhú Jiēdào [Sānhé Xiāng]</v>
      </c>
      <c r="C1196" t="str">
        <f>IF(COUNTIF(B:B,B1196)&gt;1,_xlfn.CONCAT(A1196," (",M1196,")"),B1196)</f>
        <v>Xiàzhǔhú Jiēdào [Sānhé Xiāng]</v>
      </c>
      <c r="D1196" t="s">
        <v>528</v>
      </c>
      <c r="E1196" t="s">
        <v>15</v>
      </c>
      <c r="F1196" t="str">
        <f>_xlfn.CONCAT(D1196,", ",H1196,", ",I1196,", ","浙江省")</f>
        <v>下渚湖街道, 德清县, 湖州市, 浙江省</v>
      </c>
      <c r="G1196">
        <v>20010</v>
      </c>
      <c r="H1196" t="s">
        <v>2925</v>
      </c>
      <c r="I1196" t="s">
        <v>2922</v>
      </c>
      <c r="J1196" t="e">
        <f>VLOOKUP(F1196,[1]!china_towns_second__2[[Column1]:[Y]],3,FALSE)</f>
        <v>#N/A</v>
      </c>
      <c r="K1196" t="e">
        <f>VLOOKUP(F1196,[1]!china_towns_second__2[[Column1]:[Y]],2,FALSE)</f>
        <v>#N/A</v>
      </c>
      <c r="L1196" t="s">
        <v>4827</v>
      </c>
      <c r="M1196" t="str">
        <f>VLOOKUP(H1196,CHOOSE({1,2},Table12[Native],Table12[Name]),2,0)</f>
        <v>Déqīng Xiàn</v>
      </c>
      <c r="N1196" s="15" t="str">
        <f>VLOOKUP(I1196,CHOOSE({1,2},Table12[Native],Table12[Name]),2,0)</f>
        <v>Húzhōu Shì</v>
      </c>
      <c r="O1196" s="15" t="str">
        <f t="shared" si="36"/>
        <v>Xiazhuhu Jiedao [Sanhe Xiang] (Húzhōu Shì)</v>
      </c>
      <c r="P1196" s="15" t="str">
        <f t="shared" si="37"/>
        <v>Xiazhuhu Jiedao [Sanhe Xiang] (Húzhōu Shì)</v>
      </c>
    </row>
    <row r="1197" spans="1:16" hidden="1" x14ac:dyDescent="0.25">
      <c r="A1197" t="s">
        <v>939</v>
      </c>
      <c r="B1197" t="str">
        <f>IF(COUNTIF(A:A,A1197)&gt;1,_xlfn.CONCAT(A1197," (",N1197,")"),A1197)</f>
        <v>Xīchéng Jiēdào (Jīnhuá Shì)</v>
      </c>
      <c r="C1197" t="str">
        <f>IF(COUNTIF(B:B,B1197)&gt;1,_xlfn.CONCAT(A1197," (",M1197,")"),B1197)</f>
        <v>Xīchéng Jiēdào (Jīnhuá Shì)</v>
      </c>
      <c r="D1197" t="s">
        <v>940</v>
      </c>
      <c r="E1197" t="s">
        <v>15</v>
      </c>
      <c r="F1197" t="str">
        <f>_xlfn.CONCAT(D1197,", ",H1197,", ",I1197,", ","浙江省")</f>
        <v>西城街道, 永康市, 金华市, 浙江省</v>
      </c>
      <c r="G1197">
        <v>108545</v>
      </c>
      <c r="H1197" t="s">
        <v>2947</v>
      </c>
      <c r="I1197" t="s">
        <v>2938</v>
      </c>
      <c r="J1197">
        <f>VLOOKUP(F1197,[1]!china_towns_second__2[[Column1]:[Y]],3,FALSE)</f>
        <v>28.931882155131301</v>
      </c>
      <c r="K1197">
        <f>VLOOKUP(F1197,[1]!china_towns_second__2[[Column1]:[Y]],2,FALSE)</f>
        <v>119.99427559999999</v>
      </c>
      <c r="L1197" t="s">
        <v>4828</v>
      </c>
      <c r="M1197" t="str">
        <f>VLOOKUP(H1197,CHOOSE({1,2},Table12[Native],Table12[Name]),2,0)</f>
        <v>Yŏngkāng Shì</v>
      </c>
      <c r="N1197" s="15" t="str">
        <f>VLOOKUP(I1197,CHOOSE({1,2},Table12[Native],Table12[Name]),2,0)</f>
        <v>Jīnhuá Shì</v>
      </c>
      <c r="O1197" s="15" t="str">
        <f t="shared" si="36"/>
        <v>Xicheng Jiedao (Jinhua Shi) (Jīnhuá Shì)</v>
      </c>
      <c r="P1197" s="15" t="str">
        <f t="shared" si="37"/>
        <v>Xicheng Jiedao (Jinhua Shi) (Jīnhuá Shì)</v>
      </c>
    </row>
    <row r="1198" spans="1:16" hidden="1" x14ac:dyDescent="0.25">
      <c r="A1198" t="s">
        <v>939</v>
      </c>
      <c r="B1198" t="str">
        <f>IF(COUNTIF(A:A,A1198)&gt;1,_xlfn.CONCAT(A1198," (",N1198,")"),A1198)</f>
        <v>Xīchéng Jiēdào (Táizhōu Shì)</v>
      </c>
      <c r="C1198" t="str">
        <f>IF(COUNTIF(B:B,B1198)&gt;1,_xlfn.CONCAT(A1198," (",M1198,")"),B1198)</f>
        <v>Xīchéng Jiēdào (Táizhōu Shì)</v>
      </c>
      <c r="D1198" t="s">
        <v>940</v>
      </c>
      <c r="E1198" t="s">
        <v>15</v>
      </c>
      <c r="F1198" t="str">
        <f>_xlfn.CONCAT(D1198,", ",H1198,", ",I1198,", ","浙江省")</f>
        <v>西城街道, 黄岩区, 台州市, 浙江省</v>
      </c>
      <c r="G1198">
        <v>90672</v>
      </c>
      <c r="H1198" t="s">
        <v>2990</v>
      </c>
      <c r="I1198" t="s">
        <v>2989</v>
      </c>
      <c r="J1198">
        <f>VLOOKUP(F1198,[1]!china_towns_second__2[[Column1]:[Y]],3,FALSE)</f>
        <v>28.637797232455501</v>
      </c>
      <c r="K1198">
        <f>VLOOKUP(F1198,[1]!china_towns_second__2[[Column1]:[Y]],2,FALSE)</f>
        <v>121.24086699999999</v>
      </c>
      <c r="L1198" t="s">
        <v>4829</v>
      </c>
      <c r="M1198" t="str">
        <f>VLOOKUP(H1198,CHOOSE({1,2},Table12[Native],Table12[Name]),2,0)</f>
        <v>Huángyán Qū</v>
      </c>
      <c r="N1198" s="15" t="str">
        <f>VLOOKUP(I1198,CHOOSE({1,2},Table12[Native],Table12[Name]),2,0)</f>
        <v>Táizhōu Shì</v>
      </c>
      <c r="O1198" s="15" t="str">
        <f t="shared" si="36"/>
        <v>Xicheng Jiedao (Taizhou Shi) (Táizhōu Shì)</v>
      </c>
      <c r="P1198" s="15" t="str">
        <f t="shared" si="37"/>
        <v>Xicheng Jiedao (Taizhou Shi) (Táizhōu Shì)</v>
      </c>
    </row>
    <row r="1199" spans="1:16" hidden="1" x14ac:dyDescent="0.25">
      <c r="A1199" t="s">
        <v>1584</v>
      </c>
      <c r="B1199" t="str">
        <f>IF(COUNTIF(A:A,A1199)&gt;1,_xlfn.CONCAT(A1199," (",N1199,")"),A1199)</f>
        <v>Xīdiàn Zhèn</v>
      </c>
      <c r="C1199" t="str">
        <f>IF(COUNTIF(B:B,B1199)&gt;1,_xlfn.CONCAT(A1199," (",M1199,")"),B1199)</f>
        <v>Xīdiàn Zhèn</v>
      </c>
      <c r="D1199" t="s">
        <v>1585</v>
      </c>
      <c r="E1199" t="s">
        <v>11</v>
      </c>
      <c r="F1199" t="str">
        <f>_xlfn.CONCAT(D1199,", ",H1199,", ",I1199,", ","浙江省")</f>
        <v>西店镇, 宁海县, 宁波市, 浙江省</v>
      </c>
      <c r="G1199">
        <v>70754</v>
      </c>
      <c r="H1199" t="s">
        <v>2967</v>
      </c>
      <c r="I1199" t="s">
        <v>2961</v>
      </c>
      <c r="J1199">
        <f>VLOOKUP(F1199,[1]!china_towns_second__2[[Column1]:[Y]],3,FALSE)</f>
        <v>29.4666892920634</v>
      </c>
      <c r="K1199">
        <f>VLOOKUP(F1199,[1]!china_towns_second__2[[Column1]:[Y]],2,FALSE)</f>
        <v>121.41776590000001</v>
      </c>
      <c r="L1199" t="s">
        <v>4830</v>
      </c>
      <c r="M1199" t="str">
        <f>VLOOKUP(H1199,CHOOSE({1,2},Table12[Native],Table12[Name]),2,0)</f>
        <v>Nínghăi Xiàn</v>
      </c>
      <c r="N1199" s="15" t="str">
        <f>VLOOKUP(I1199,CHOOSE({1,2},Table12[Native],Table12[Name]),2,0)</f>
        <v>Níngbō Shì</v>
      </c>
      <c r="O1199" s="15" t="str">
        <f t="shared" si="36"/>
        <v>Xidian Zhen (Níngbō Shì)</v>
      </c>
      <c r="P1199" s="15" t="str">
        <f t="shared" si="37"/>
        <v>Xidian Zhen (Níngbō Shì)</v>
      </c>
    </row>
    <row r="1200" spans="1:16" hidden="1" x14ac:dyDescent="0.25">
      <c r="A1200" t="s">
        <v>1586</v>
      </c>
      <c r="B1200" t="str">
        <f>IF(COUNTIF(A:A,A1200)&gt;1,_xlfn.CONCAT(A1200," (",N1200,")"),A1200)</f>
        <v>Xièpŭ Zhèn</v>
      </c>
      <c r="C1200" t="str">
        <f>IF(COUNTIF(B:B,B1200)&gt;1,_xlfn.CONCAT(A1200," (",M1200,")"),B1200)</f>
        <v>Xièpŭ Zhèn</v>
      </c>
      <c r="D1200" t="s">
        <v>1587</v>
      </c>
      <c r="E1200" t="s">
        <v>11</v>
      </c>
      <c r="F1200" t="str">
        <f>_xlfn.CONCAT(D1200,", ",H1200,", ",I1200,", ","浙江省")</f>
        <v>澥浦镇, 镇海区, 宁波市, 浙江省</v>
      </c>
      <c r="G1200">
        <v>41405</v>
      </c>
      <c r="H1200" t="s">
        <v>2971</v>
      </c>
      <c r="I1200" t="s">
        <v>2961</v>
      </c>
      <c r="J1200">
        <f>VLOOKUP(F1200,[1]!china_towns_second__2[[Column1]:[Y]],3,FALSE)</f>
        <v>30.0275013600106</v>
      </c>
      <c r="K1200">
        <f>VLOOKUP(F1200,[1]!china_towns_second__2[[Column1]:[Y]],2,FALSE)</f>
        <v>121.62983560000001</v>
      </c>
      <c r="L1200" t="s">
        <v>4831</v>
      </c>
      <c r="M1200" t="str">
        <f>VLOOKUP(H1200,CHOOSE({1,2},Table12[Native],Table12[Name]),2,0)</f>
        <v>Zhènhăi Qū</v>
      </c>
      <c r="N1200" s="15" t="str">
        <f>VLOOKUP(I1200,CHOOSE({1,2},Table12[Native],Table12[Name]),2,0)</f>
        <v>Níngbō Shì</v>
      </c>
      <c r="O1200" s="15" t="str">
        <f t="shared" si="36"/>
        <v>Xiepu Zhen (Níngbō Shì)</v>
      </c>
      <c r="P1200" s="15" t="str">
        <f t="shared" si="37"/>
        <v>Xiepu Zhen (Níngbō Shì)</v>
      </c>
    </row>
    <row r="1201" spans="1:16" hidden="1" x14ac:dyDescent="0.25">
      <c r="A1201" t="s">
        <v>659</v>
      </c>
      <c r="B1201" t="str">
        <f>IF(COUNTIF(A:A,A1201)&gt;1,_xlfn.CONCAT(A1201," (",N1201,")"),A1201)</f>
        <v>Xiéqiáo Zhèn</v>
      </c>
      <c r="C1201" t="str">
        <f>IF(COUNTIF(B:B,B1201)&gt;1,_xlfn.CONCAT(A1201," (",M1201,")"),B1201)</f>
        <v>Xiéqiáo Zhèn</v>
      </c>
      <c r="D1201" t="s">
        <v>660</v>
      </c>
      <c r="E1201" t="s">
        <v>11</v>
      </c>
      <c r="F1201" t="str">
        <f>_xlfn.CONCAT(D1201,", ",H1201,", ",I1201,", ","浙江省")</f>
        <v>斜桥镇, 海宁市, 嘉兴市, 浙江省</v>
      </c>
      <c r="G1201">
        <v>65473</v>
      </c>
      <c r="H1201" t="s">
        <v>2930</v>
      </c>
      <c r="I1201" t="s">
        <v>2929</v>
      </c>
      <c r="J1201">
        <f>VLOOKUP(F1201,[1]!china_towns_second__2[[Column1]:[Y]],3,FALSE)</f>
        <v>30.491314270133199</v>
      </c>
      <c r="K1201">
        <f>VLOOKUP(F1201,[1]!china_towns_second__2[[Column1]:[Y]],2,FALSE)</f>
        <v>120.6040268</v>
      </c>
      <c r="L1201" t="s">
        <v>4832</v>
      </c>
      <c r="M1201" t="str">
        <f>VLOOKUP(H1201,CHOOSE({1,2},Table12[Native],Table12[Name]),2,0)</f>
        <v>Hăiníng Shì</v>
      </c>
      <c r="N1201" s="15" t="str">
        <f>VLOOKUP(I1201,CHOOSE({1,2},Table12[Native],Table12[Name]),2,0)</f>
        <v>Jiāxīng Shì</v>
      </c>
      <c r="O1201" s="15" t="str">
        <f t="shared" si="36"/>
        <v>Xieqiao Zhen (Jiāxīng Shì)</v>
      </c>
      <c r="P1201" s="15" t="str">
        <f t="shared" si="37"/>
        <v>Xieqiao Zhen (Jiāxīng Shì)</v>
      </c>
    </row>
    <row r="1202" spans="1:16" hidden="1" x14ac:dyDescent="0.25">
      <c r="A1202" t="s">
        <v>2016</v>
      </c>
      <c r="B1202" t="str">
        <f>IF(COUNTIF(A:A,A1202)&gt;1,_xlfn.CONCAT(A1202," (",N1202,")"),A1202)</f>
        <v>Xiètáng Zhèn</v>
      </c>
      <c r="C1202" t="str">
        <f>IF(COUNTIF(B:B,B1202)&gt;1,_xlfn.CONCAT(A1202," (",M1202,")"),B1202)</f>
        <v>Xiètáng Zhèn</v>
      </c>
      <c r="D1202" t="s">
        <v>2017</v>
      </c>
      <c r="E1202" t="s">
        <v>11</v>
      </c>
      <c r="F1202" t="str">
        <f>_xlfn.CONCAT(D1202,", ",H1202,", ",I1202,", ","浙江省")</f>
        <v>谢塘镇, 上虞区, 绍兴市, 浙江省</v>
      </c>
      <c r="G1202">
        <v>27317</v>
      </c>
      <c r="H1202" t="s">
        <v>2983</v>
      </c>
      <c r="I1202" t="s">
        <v>2981</v>
      </c>
      <c r="J1202">
        <f>VLOOKUP(F1202,[1]!china_towns_second__2[[Column1]:[Y]],3,FALSE)</f>
        <v>30.108414056420202</v>
      </c>
      <c r="K1202">
        <f>VLOOKUP(F1202,[1]!china_towns_second__2[[Column1]:[Y]],2,FALSE)</f>
        <v>120.9071768</v>
      </c>
      <c r="L1202" t="s">
        <v>4833</v>
      </c>
      <c r="M1202" t="str">
        <f>VLOOKUP(H1202,CHOOSE({1,2},Table12[Native],Table12[Name]),2,0)</f>
        <v>Shàngyú Qū</v>
      </c>
      <c r="N1202" s="15" t="str">
        <f>VLOOKUP(I1202,CHOOSE({1,2},Table12[Native],Table12[Name]),2,0)</f>
        <v>Shàoxīng Shì</v>
      </c>
      <c r="O1202" s="15" t="str">
        <f t="shared" si="36"/>
        <v>Xietang Zhen (Shàoxīng Shì)</v>
      </c>
      <c r="P1202" s="15" t="str">
        <f t="shared" si="37"/>
        <v>Xietang Zhen (Shàoxīng Shì)</v>
      </c>
    </row>
    <row r="1203" spans="1:16" hidden="1" x14ac:dyDescent="0.25">
      <c r="A1203" t="s">
        <v>1265</v>
      </c>
      <c r="B1203" t="str">
        <f>IF(COUNTIF(A:A,A1203)&gt;1,_xlfn.CONCAT(A1203," (",N1203,")"),A1203)</f>
        <v>Xīfàn Xiāng</v>
      </c>
      <c r="C1203" t="str">
        <f>IF(COUNTIF(B:B,B1203)&gt;1,_xlfn.CONCAT(A1203," (",M1203,")"),B1203)</f>
        <v>Xīfàn Xiāng</v>
      </c>
      <c r="D1203" t="s">
        <v>1266</v>
      </c>
      <c r="E1203" t="s">
        <v>7</v>
      </c>
      <c r="F1203" t="str">
        <f>_xlfn.CONCAT(D1203,", ",H1203,", ",I1203,", ","浙江省")</f>
        <v>西畈乡, 遂昌县, 丽水市, 浙江省</v>
      </c>
      <c r="G1203">
        <v>2446</v>
      </c>
      <c r="H1203" t="s">
        <v>2958</v>
      </c>
      <c r="I1203" t="s">
        <v>2949</v>
      </c>
      <c r="J1203" t="e">
        <f>VLOOKUP(F1203,[1]!china_towns_second__2[[Column1]:[Y]],3,FALSE)</f>
        <v>#N/A</v>
      </c>
      <c r="K1203" t="e">
        <f>VLOOKUP(F1203,[1]!china_towns_second__2[[Column1]:[Y]],2,FALSE)</f>
        <v>#N/A</v>
      </c>
      <c r="L1203" t="s">
        <v>4834</v>
      </c>
      <c r="M1203" t="str">
        <f>VLOOKUP(H1203,CHOOSE({1,2},Table12[Native],Table12[Name]),2,0)</f>
        <v>Suìchāng Xiàn</v>
      </c>
      <c r="N1203" s="15" t="str">
        <f>VLOOKUP(I1203,CHOOSE({1,2},Table12[Native],Table12[Name]),2,0)</f>
        <v>Lìshuĭ Shì</v>
      </c>
      <c r="O1203" s="15" t="str">
        <f t="shared" si="36"/>
        <v>Xifan Xiang (Lìshuĭ Shì)</v>
      </c>
      <c r="P1203" s="15" t="str">
        <f t="shared" si="37"/>
        <v>Xifan Xiang (Lìshuĭ Shì)</v>
      </c>
    </row>
    <row r="1204" spans="1:16" hidden="1" x14ac:dyDescent="0.25">
      <c r="A1204" t="s">
        <v>2239</v>
      </c>
      <c r="B1204" t="str">
        <f>IF(COUNTIF(A:A,A1204)&gt;1,_xlfn.CONCAT(A1204," (",N1204,")"),A1204)</f>
        <v>Xīgăng Xiāng</v>
      </c>
      <c r="C1204" t="str">
        <f>IF(COUNTIF(B:B,B1204)&gt;1,_xlfn.CONCAT(A1204," (",M1204,")"),B1204)</f>
        <v>Xīgăng Xiāng</v>
      </c>
      <c r="D1204" t="s">
        <v>2240</v>
      </c>
      <c r="E1204" t="s">
        <v>7</v>
      </c>
      <c r="F1204" t="str">
        <f>_xlfn.CONCAT(D1204,", ",H1204,", ",I1204,", ","浙江省")</f>
        <v>溪港乡, 仙居县, 台州市, 浙江省</v>
      </c>
      <c r="G1204">
        <v>3609</v>
      </c>
      <c r="H1204" t="s">
        <v>2997</v>
      </c>
      <c r="I1204" t="s">
        <v>2989</v>
      </c>
      <c r="J1204" t="e">
        <f>VLOOKUP(F1204,[1]!china_towns_second__2[[Column1]:[Y]],3,FALSE)</f>
        <v>#N/A</v>
      </c>
      <c r="K1204" t="e">
        <f>VLOOKUP(F1204,[1]!china_towns_second__2[[Column1]:[Y]],2,FALSE)</f>
        <v>#N/A</v>
      </c>
      <c r="L1204" t="s">
        <v>4835</v>
      </c>
      <c r="M1204" t="str">
        <f>VLOOKUP(H1204,CHOOSE({1,2},Table12[Native],Table12[Name]),2,0)</f>
        <v>Xiānjū Xiàn</v>
      </c>
      <c r="N1204" s="15" t="str">
        <f>VLOOKUP(I1204,CHOOSE({1,2},Table12[Native],Table12[Name]),2,0)</f>
        <v>Táizhōu Shì</v>
      </c>
      <c r="O1204" s="15" t="str">
        <f t="shared" si="36"/>
        <v>Xigang Xiang (Táizhōu Shì)</v>
      </c>
      <c r="P1204" s="15" t="str">
        <f t="shared" si="37"/>
        <v>Xigang Xiang (Táizhōu Shì)</v>
      </c>
    </row>
    <row r="1205" spans="1:16" hidden="1" x14ac:dyDescent="0.25">
      <c r="A1205" t="s">
        <v>941</v>
      </c>
      <c r="B1205" t="str">
        <f>IF(COUNTIF(A:A,A1205)&gt;1,_xlfn.CONCAT(A1205," (",N1205,")"),A1205)</f>
        <v>Xīguān Jiēdào</v>
      </c>
      <c r="C1205" t="str">
        <f>IF(COUNTIF(B:B,B1205)&gt;1,_xlfn.CONCAT(A1205," (",M1205,")"),B1205)</f>
        <v>Xīguān Jiēdào</v>
      </c>
      <c r="D1205" t="s">
        <v>942</v>
      </c>
      <c r="E1205" t="s">
        <v>15</v>
      </c>
      <c r="F1205" t="str">
        <f>_xlfn.CONCAT(D1205,", ",H1205,", ",I1205,", ","浙江省")</f>
        <v>西关街道, 婺城区, 金华市, 浙江省</v>
      </c>
      <c r="G1205">
        <v>48370</v>
      </c>
      <c r="H1205" t="s">
        <v>2944</v>
      </c>
      <c r="I1205" t="s">
        <v>2938</v>
      </c>
      <c r="J1205">
        <f>VLOOKUP(F1205,[1]!china_towns_second__2[[Column1]:[Y]],3,FALSE)</f>
        <v>29.0782585607569</v>
      </c>
      <c r="K1205">
        <f>VLOOKUP(F1205,[1]!china_towns_second__2[[Column1]:[Y]],2,FALSE)</f>
        <v>119.6312514</v>
      </c>
      <c r="L1205" t="s">
        <v>4836</v>
      </c>
      <c r="M1205" t="str">
        <f>VLOOKUP(H1205,CHOOSE({1,2},Table12[Native],Table12[Name]),2,0)</f>
        <v>Wùchéng Qū</v>
      </c>
      <c r="N1205" s="15" t="str">
        <f>VLOOKUP(I1205,CHOOSE({1,2},Table12[Native],Table12[Name]),2,0)</f>
        <v>Jīnhuá Shì</v>
      </c>
      <c r="O1205" s="15" t="str">
        <f t="shared" si="36"/>
        <v>Xiguan Jiedao (Jīnhuá Shì)</v>
      </c>
      <c r="P1205" s="15" t="str">
        <f t="shared" si="37"/>
        <v>Xiguan Jiedao (Jīnhuá Shì)</v>
      </c>
    </row>
    <row r="1206" spans="1:16" hidden="1" x14ac:dyDescent="0.25">
      <c r="A1206" t="s">
        <v>348</v>
      </c>
      <c r="B1206" t="str">
        <f>IF(COUNTIF(A:A,A1206)&gt;1,_xlfn.CONCAT(A1206," (",N1206,")"),A1206)</f>
        <v>Xīhú Jiēdào</v>
      </c>
      <c r="C1206" t="str">
        <f>IF(COUNTIF(B:B,B1206)&gt;1,_xlfn.CONCAT(A1206," (",M1206,")"),B1206)</f>
        <v>Xīhú Jiēdào</v>
      </c>
      <c r="D1206" t="s">
        <v>349</v>
      </c>
      <c r="E1206" t="s">
        <v>15</v>
      </c>
      <c r="F1206" t="str">
        <f>_xlfn.CONCAT(D1206,", ",H1206,", ",I1206,", ","浙江省")</f>
        <v>西湖街道, 西湖区, 杭州市, 浙江省</v>
      </c>
      <c r="G1206">
        <v>30008</v>
      </c>
      <c r="H1206" t="s">
        <v>2918</v>
      </c>
      <c r="I1206" t="s">
        <v>2903</v>
      </c>
      <c r="J1206">
        <f>VLOOKUP(F1206,[1]!china_towns_second__2[[Column1]:[Y]],3,FALSE)</f>
        <v>30.2213178215517</v>
      </c>
      <c r="K1206">
        <f>VLOOKUP(F1206,[1]!china_towns_second__2[[Column1]:[Y]],2,FALSE)</f>
        <v>120.11224439999999</v>
      </c>
      <c r="L1206" t="s">
        <v>4837</v>
      </c>
      <c r="M1206" t="str">
        <f>VLOOKUP(H1206,CHOOSE({1,2},Table12[Native],Table12[Name]),2,0)</f>
        <v>Xīhú Qū</v>
      </c>
      <c r="N1206" s="15" t="str">
        <f>VLOOKUP(I1206,CHOOSE({1,2},Table12[Native],Table12[Name]),2,0)</f>
        <v>Hángzhōu Shì</v>
      </c>
      <c r="O1206" s="15" t="str">
        <f t="shared" si="36"/>
        <v>Xihu Jiedao (Hángzhōu Shì)</v>
      </c>
      <c r="P1206" s="15" t="str">
        <f t="shared" si="37"/>
        <v>Xihu Jiedao (Hángzhōu Shì)</v>
      </c>
    </row>
    <row r="1207" spans="1:16" hidden="1" x14ac:dyDescent="0.25">
      <c r="A1207" t="s">
        <v>1267</v>
      </c>
      <c r="B1207" t="str">
        <f>IF(COUNTIF(A:A,A1207)&gt;1,_xlfn.CONCAT(A1207," (",N1207,")"),A1207)</f>
        <v>Xījiē Jiēdào</v>
      </c>
      <c r="C1207" t="str">
        <f>IF(COUNTIF(B:B,B1207)&gt;1,_xlfn.CONCAT(A1207," (",M1207,")"),B1207)</f>
        <v>Xījiē Jiēdào</v>
      </c>
      <c r="D1207" t="s">
        <v>1268</v>
      </c>
      <c r="E1207" t="s">
        <v>15</v>
      </c>
      <c r="F1207" t="str">
        <f>_xlfn.CONCAT(D1207,", ",H1207,", ",I1207,", ","浙江省")</f>
        <v>西街街道, 龙泉市, 丽水市, 浙江省</v>
      </c>
      <c r="G1207">
        <v>22254</v>
      </c>
      <c r="H1207" t="s">
        <v>2954</v>
      </c>
      <c r="I1207" t="s">
        <v>2949</v>
      </c>
      <c r="J1207">
        <f>VLOOKUP(F1207,[1]!china_towns_second__2[[Column1]:[Y]],3,FALSE)</f>
        <v>28.079450977306902</v>
      </c>
      <c r="K1207">
        <f>VLOOKUP(F1207,[1]!china_towns_second__2[[Column1]:[Y]],2,FALSE)</f>
        <v>119.07008519999999</v>
      </c>
      <c r="L1207" t="s">
        <v>4838</v>
      </c>
      <c r="M1207" t="str">
        <f>VLOOKUP(H1207,CHOOSE({1,2},Table12[Native],Table12[Name]),2,0)</f>
        <v>Lóngquán Shì</v>
      </c>
      <c r="N1207" s="15" t="str">
        <f>VLOOKUP(I1207,CHOOSE({1,2},Table12[Native],Table12[Name]),2,0)</f>
        <v>Lìshuĭ Shì</v>
      </c>
      <c r="O1207" s="15" t="str">
        <f t="shared" si="36"/>
        <v>Xijie Jiedao (Lìshuĭ Shì)</v>
      </c>
      <c r="P1207" s="15" t="str">
        <f t="shared" si="37"/>
        <v>Xijie Jiedao (Lìshuĭ Shì)</v>
      </c>
    </row>
    <row r="1208" spans="1:16" hidden="1" x14ac:dyDescent="0.25">
      <c r="A1208" t="s">
        <v>2728</v>
      </c>
      <c r="B1208" t="str">
        <f>IF(COUNTIF(A:A,A1208)&gt;1,_xlfn.CONCAT(A1208," (",N1208,")"),A1208)</f>
        <v>Xīkēng Shēzú Zhèn</v>
      </c>
      <c r="C1208" t="str">
        <f>IF(COUNTIF(B:B,B1208)&gt;1,_xlfn.CONCAT(A1208," (",M1208,")"),B1208)</f>
        <v>Xīkēng Shēzú Zhèn</v>
      </c>
      <c r="D1208" t="s">
        <v>2729</v>
      </c>
      <c r="E1208" t="s">
        <v>11</v>
      </c>
      <c r="F1208" t="str">
        <f>_xlfn.CONCAT(D1208,", ",H1208,", ",I1208,", ","浙江省")</f>
        <v>西坑畲族镇, 文成县, 温州市, 浙江省</v>
      </c>
      <c r="G1208">
        <v>6679</v>
      </c>
      <c r="H1208" t="s">
        <v>3009</v>
      </c>
      <c r="I1208" t="s">
        <v>3000</v>
      </c>
      <c r="J1208">
        <f>VLOOKUP(F1208,[1]!china_towns_second__2[[Column1]:[Y]],3,FALSE)</f>
        <v>27.8470818598161</v>
      </c>
      <c r="K1208">
        <f>VLOOKUP(F1208,[1]!china_towns_second__2[[Column1]:[Y]],2,FALSE)</f>
        <v>119.8648276</v>
      </c>
      <c r="L1208" t="s">
        <v>4839</v>
      </c>
      <c r="M1208" t="str">
        <f>VLOOKUP(H1208,CHOOSE({1,2},Table12[Native],Table12[Name]),2,0)</f>
        <v>Wénchéng Xiàn</v>
      </c>
      <c r="N1208" s="15" t="str">
        <f>VLOOKUP(I1208,CHOOSE({1,2},Table12[Native],Table12[Name]),2,0)</f>
        <v>Wēnzhōu Shì</v>
      </c>
      <c r="O1208" s="15" t="str">
        <f t="shared" si="36"/>
        <v>Xikeng Shezu Zhen (Wēnzhōu Shì)</v>
      </c>
      <c r="P1208" s="15" t="str">
        <f t="shared" si="37"/>
        <v>Xikeng Shezu Zhen (Wēnzhōu Shì)</v>
      </c>
    </row>
    <row r="1209" spans="1:16" hidden="1" x14ac:dyDescent="0.25">
      <c r="A1209" t="s">
        <v>2730</v>
      </c>
      <c r="B1209" t="str">
        <f>IF(COUNTIF(A:A,A1209)&gt;1,_xlfn.CONCAT(A1209," (",N1209,")"),A1209)</f>
        <v>Xīkŏu Xiāng</v>
      </c>
      <c r="C1209" t="str">
        <f>IF(COUNTIF(B:B,B1209)&gt;1,_xlfn.CONCAT(A1209," (",M1209,")"),B1209)</f>
        <v>Xīkŏu Xiāng</v>
      </c>
      <c r="D1209" t="s">
        <v>2731</v>
      </c>
      <c r="E1209" t="s">
        <v>7</v>
      </c>
      <c r="F1209" t="str">
        <f>_xlfn.CONCAT(D1209,", ",H1209,", ",I1209,", ","浙江省")</f>
        <v>溪口乡, 永嘉县, 温州市, 浙江省</v>
      </c>
      <c r="G1209">
        <v>4261</v>
      </c>
      <c r="H1209" t="s">
        <v>3010</v>
      </c>
      <c r="I1209" t="s">
        <v>3000</v>
      </c>
      <c r="J1209" t="e">
        <f>VLOOKUP(F1209,[1]!china_towns_second__2[[Column1]:[Y]],3,FALSE)</f>
        <v>#N/A</v>
      </c>
      <c r="K1209" t="e">
        <f>VLOOKUP(F1209,[1]!china_towns_second__2[[Column1]:[Y]],2,FALSE)</f>
        <v>#N/A</v>
      </c>
      <c r="L1209" t="s">
        <v>4840</v>
      </c>
      <c r="M1209" t="str">
        <f>VLOOKUP(H1209,CHOOSE({1,2},Table12[Native],Table12[Name]),2,0)</f>
        <v>Yŏngjiā Xiàn</v>
      </c>
      <c r="N1209" s="15" t="str">
        <f>VLOOKUP(I1209,CHOOSE({1,2},Table12[Native],Table12[Name]),2,0)</f>
        <v>Wēnzhōu Shì</v>
      </c>
      <c r="O1209" s="15" t="str">
        <f t="shared" si="36"/>
        <v>Xikou Xiang (Wēnzhōu Shì)</v>
      </c>
      <c r="P1209" s="15" t="str">
        <f t="shared" si="37"/>
        <v>Xikou Xiang (Wēnzhōu Shì)</v>
      </c>
    </row>
    <row r="1210" spans="1:16" hidden="1" x14ac:dyDescent="0.25">
      <c r="A1210" t="s">
        <v>1588</v>
      </c>
      <c r="B1210" t="str">
        <f>IF(COUNTIF(A:A,A1210)&gt;1,_xlfn.CONCAT(A1210," (",N1210,")"),A1210)</f>
        <v>Xīkŏu Zhèn (Níngbō Shì)</v>
      </c>
      <c r="C1210" t="str">
        <f>IF(COUNTIF(B:B,B1210)&gt;1,_xlfn.CONCAT(A1210," (",M1210,")"),B1210)</f>
        <v>Xīkŏu Zhèn (Níngbō Shì)</v>
      </c>
      <c r="D1210" t="s">
        <v>1589</v>
      </c>
      <c r="E1210" t="s">
        <v>11</v>
      </c>
      <c r="F1210" t="str">
        <f>_xlfn.CONCAT(D1210,", ",H1210,", ",I1210,", ","浙江省")</f>
        <v>溪口镇, 奉化区, 宁波市, 浙江省</v>
      </c>
      <c r="G1210">
        <v>73756</v>
      </c>
      <c r="H1210" t="s">
        <v>2964</v>
      </c>
      <c r="I1210" t="s">
        <v>2961</v>
      </c>
      <c r="J1210">
        <f>VLOOKUP(F1210,[1]!china_towns_second__2[[Column1]:[Y]],3,FALSE)</f>
        <v>29.6402261104014</v>
      </c>
      <c r="K1210">
        <f>VLOOKUP(F1210,[1]!china_towns_second__2[[Column1]:[Y]],2,FALSE)</f>
        <v>121.19758539999999</v>
      </c>
      <c r="L1210" t="s">
        <v>4841</v>
      </c>
      <c r="M1210" t="str">
        <f>VLOOKUP(H1210,CHOOSE({1,2},Table12[Native],Table12[Name]),2,0)</f>
        <v>Fènghuà Qū</v>
      </c>
      <c r="N1210" s="15" t="str">
        <f>VLOOKUP(I1210,CHOOSE({1,2},Table12[Native],Table12[Name]),2,0)</f>
        <v>Níngbō Shì</v>
      </c>
      <c r="O1210" s="15" t="str">
        <f t="shared" si="36"/>
        <v>Xikou Zhen (Ningbo Shi) (Níngbō Shì)</v>
      </c>
      <c r="P1210" s="15" t="str">
        <f t="shared" si="37"/>
        <v>Xikou Zhen (Ningbo Shi) (Níngbō Shì)</v>
      </c>
    </row>
    <row r="1211" spans="1:16" hidden="1" x14ac:dyDescent="0.25">
      <c r="A1211" t="s">
        <v>1588</v>
      </c>
      <c r="B1211" t="str">
        <f>IF(COUNTIF(A:A,A1211)&gt;1,_xlfn.CONCAT(A1211," (",N1211,")"),A1211)</f>
        <v>Xīkŏu Zhèn (Qúzhōu Shì)</v>
      </c>
      <c r="C1211" t="str">
        <f>IF(COUNTIF(B:B,B1211)&gt;1,_xlfn.CONCAT(A1211," (",M1211,")"),B1211)</f>
        <v>Xīkŏu Zhèn (Qúzhōu Shì)</v>
      </c>
      <c r="D1211" t="s">
        <v>1589</v>
      </c>
      <c r="E1211" t="s">
        <v>11</v>
      </c>
      <c r="F1211" t="str">
        <f>_xlfn.CONCAT(D1211,", ",H1211,", ",I1211,", ","浙江省")</f>
        <v>溪口镇, 龙游县, 衢州市, 浙江省</v>
      </c>
      <c r="G1211">
        <v>17862</v>
      </c>
      <c r="H1211" t="s">
        <v>2978</v>
      </c>
      <c r="I1211" t="s">
        <v>2973</v>
      </c>
      <c r="J1211">
        <f>VLOOKUP(F1211,[1]!china_towns_second__2[[Column1]:[Y]],3,FALSE)</f>
        <v>28.885384262813499</v>
      </c>
      <c r="K1211">
        <f>VLOOKUP(F1211,[1]!china_towns_second__2[[Column1]:[Y]],2,FALSE)</f>
        <v>119.17355550000001</v>
      </c>
      <c r="L1211" t="s">
        <v>4842</v>
      </c>
      <c r="M1211" t="str">
        <f>VLOOKUP(H1211,CHOOSE({1,2},Table12[Native],Table12[Name]),2,0)</f>
        <v>Lóngyóu Xiàn</v>
      </c>
      <c r="N1211" s="15" t="str">
        <f>VLOOKUP(I1211,CHOOSE({1,2},Table12[Native],Table12[Name]),2,0)</f>
        <v>Qúzhōu Shì</v>
      </c>
      <c r="O1211" s="15" t="str">
        <f t="shared" si="36"/>
        <v>Xikou Zhen (Quzhou Shi) (Qúzhōu Shì)</v>
      </c>
      <c r="P1211" s="15" t="str">
        <f t="shared" si="37"/>
        <v>Xikou Zhen (Quzhou Shi) (Qúzhōu Shì)</v>
      </c>
    </row>
    <row r="1212" spans="1:16" hidden="1" x14ac:dyDescent="0.25">
      <c r="A1212" t="s">
        <v>943</v>
      </c>
      <c r="B1212" t="str">
        <f>IF(COUNTIF(A:A,A1212)&gt;1,_xlfn.CONCAT(A1212," (",N1212,")"),A1212)</f>
        <v>Xīlián Xiāng</v>
      </c>
      <c r="C1212" t="str">
        <f>IF(COUNTIF(B:B,B1212)&gt;1,_xlfn.CONCAT(A1212," (",M1212,")"),B1212)</f>
        <v>Xīlián Xiāng</v>
      </c>
      <c r="D1212" t="s">
        <v>944</v>
      </c>
      <c r="E1212" t="s">
        <v>7</v>
      </c>
      <c r="F1212" t="str">
        <f>_xlfn.CONCAT(D1212,", ",H1212,", ",I1212,", ","浙江省")</f>
        <v>西联乡, 武义县, 金华市, 浙江省</v>
      </c>
      <c r="G1212">
        <v>3931</v>
      </c>
      <c r="H1212" t="s">
        <v>2945</v>
      </c>
      <c r="I1212" t="s">
        <v>2938</v>
      </c>
      <c r="J1212" t="e">
        <f>VLOOKUP(F1212,[1]!china_towns_second__2[[Column1]:[Y]],3,FALSE)</f>
        <v>#N/A</v>
      </c>
      <c r="K1212" t="e">
        <f>VLOOKUP(F1212,[1]!china_towns_second__2[[Column1]:[Y]],2,FALSE)</f>
        <v>#N/A</v>
      </c>
      <c r="L1212" t="s">
        <v>4843</v>
      </c>
      <c r="M1212" t="str">
        <f>VLOOKUP(H1212,CHOOSE({1,2},Table12[Native],Table12[Name]),2,0)</f>
        <v>Wŭyì Xiàn</v>
      </c>
      <c r="N1212" s="15" t="str">
        <f>VLOOKUP(I1212,CHOOSE({1,2},Table12[Native],Table12[Name]),2,0)</f>
        <v>Jīnhuá Shì</v>
      </c>
      <c r="O1212" s="15" t="str">
        <f t="shared" si="36"/>
        <v>Xilian Xiang (Jīnhuá Shì)</v>
      </c>
      <c r="P1212" s="15" t="str">
        <f t="shared" si="37"/>
        <v>Xilian Xiang (Jīnhuá Shì)</v>
      </c>
    </row>
    <row r="1213" spans="1:16" hidden="1" x14ac:dyDescent="0.25">
      <c r="A1213" t="s">
        <v>529</v>
      </c>
      <c r="B1213" t="str">
        <f>IF(COUNTIF(A:A,A1213)&gt;1,_xlfn.CONCAT(A1213," (",N1213,")"),A1213)</f>
        <v>Xīlóng Xiāng</v>
      </c>
      <c r="C1213" t="str">
        <f>IF(COUNTIF(B:B,B1213)&gt;1,_xlfn.CONCAT(A1213," (",M1213,")"),B1213)</f>
        <v>Xīlóng Xiāng</v>
      </c>
      <c r="D1213" t="s">
        <v>530</v>
      </c>
      <c r="E1213" t="s">
        <v>7</v>
      </c>
      <c r="F1213" t="str">
        <f>_xlfn.CONCAT(D1213,", ",H1213,", ",I1213,", ","浙江省")</f>
        <v>溪龙乡, 安吉县, 湖州市, 浙江省</v>
      </c>
      <c r="G1213">
        <v>9178</v>
      </c>
      <c r="H1213" t="s">
        <v>2923</v>
      </c>
      <c r="I1213" t="s">
        <v>2922</v>
      </c>
      <c r="J1213" t="e">
        <f>VLOOKUP(F1213,[1]!china_towns_second__2[[Column1]:[Y]],3,FALSE)</f>
        <v>#N/A</v>
      </c>
      <c r="K1213" t="e">
        <f>VLOOKUP(F1213,[1]!china_towns_second__2[[Column1]:[Y]],2,FALSE)</f>
        <v>#N/A</v>
      </c>
      <c r="L1213" t="s">
        <v>4844</v>
      </c>
      <c r="M1213" t="str">
        <f>VLOOKUP(H1213,CHOOSE({1,2},Table12[Native],Table12[Name]),2,0)</f>
        <v>Ānjí Xiàn</v>
      </c>
      <c r="N1213" s="15" t="str">
        <f>VLOOKUP(I1213,CHOOSE({1,2},Table12[Native],Table12[Name]),2,0)</f>
        <v>Húzhōu Shì</v>
      </c>
      <c r="O1213" s="15" t="str">
        <f t="shared" si="36"/>
        <v>Xilong Xiang (Húzhōu Shì)</v>
      </c>
      <c r="P1213" s="15" t="str">
        <f t="shared" si="37"/>
        <v>Xilong Xiang (Húzhōu Shì)</v>
      </c>
    </row>
    <row r="1214" spans="1:16" hidden="1" x14ac:dyDescent="0.25">
      <c r="A1214" t="s">
        <v>1590</v>
      </c>
      <c r="B1214" t="str">
        <f>IF(COUNTIF(A:A,A1214)&gt;1,_xlfn.CONCAT(A1214," (",N1214,")"),A1214)</f>
        <v>Xīmén Jiēdào</v>
      </c>
      <c r="C1214" t="str">
        <f>IF(COUNTIF(B:B,B1214)&gt;1,_xlfn.CONCAT(A1214," (",M1214,")"),B1214)</f>
        <v>Xīmén Jiēdào</v>
      </c>
      <c r="D1214" t="s">
        <v>1591</v>
      </c>
      <c r="E1214" t="s">
        <v>15</v>
      </c>
      <c r="F1214" t="str">
        <f>_xlfn.CONCAT(D1214,", ",H1214,", ",I1214,", ","浙江省")</f>
        <v>西门街道, 海曙区, 宁波市, 浙江省</v>
      </c>
      <c r="G1214">
        <v>72192</v>
      </c>
      <c r="H1214" t="s">
        <v>2965</v>
      </c>
      <c r="I1214" t="s">
        <v>2961</v>
      </c>
      <c r="J1214">
        <f>VLOOKUP(F1214,[1]!china_towns_second__2[[Column1]:[Y]],3,FALSE)</f>
        <v>29.8895746992144</v>
      </c>
      <c r="K1214">
        <f>VLOOKUP(F1214,[1]!china_towns_second__2[[Column1]:[Y]],2,FALSE)</f>
        <v>121.540712</v>
      </c>
      <c r="L1214" t="s">
        <v>4845</v>
      </c>
      <c r="M1214" t="str">
        <f>VLOOKUP(H1214,CHOOSE({1,2},Table12[Native],Table12[Name]),2,0)</f>
        <v>Hăishŭ Qū</v>
      </c>
      <c r="N1214" s="15" t="str">
        <f>VLOOKUP(I1214,CHOOSE({1,2},Table12[Native],Table12[Name]),2,0)</f>
        <v>Níngbō Shì</v>
      </c>
      <c r="O1214" s="15" t="str">
        <f t="shared" si="36"/>
        <v>Ximen Jiedao (Níngbō Shì)</v>
      </c>
      <c r="P1214" s="15" t="str">
        <f t="shared" si="37"/>
        <v>Ximen Jiedao (Níngbō Shì)</v>
      </c>
    </row>
    <row r="1215" spans="1:16" hidden="1" x14ac:dyDescent="0.25">
      <c r="A1215" t="s">
        <v>1804</v>
      </c>
      <c r="B1215" t="str">
        <f>IF(COUNTIF(A:A,A1215)&gt;1,_xlfn.CONCAT(A1215," (",N1215,")"),A1215)</f>
        <v>Xìn'ān Jiēdào</v>
      </c>
      <c r="C1215" t="str">
        <f>IF(COUNTIF(B:B,B1215)&gt;1,_xlfn.CONCAT(A1215," (",M1215,")"),B1215)</f>
        <v>Xìn'ān Jiēdào</v>
      </c>
      <c r="D1215" t="s">
        <v>1805</v>
      </c>
      <c r="E1215" t="s">
        <v>15</v>
      </c>
      <c r="F1215" t="str">
        <f>_xlfn.CONCAT(D1215,", ",H1215,", ",I1215,", ","浙江省")</f>
        <v>信安街道, 柯城区, 衢州市, 浙江省</v>
      </c>
      <c r="G1215">
        <v>37335</v>
      </c>
      <c r="H1215" t="s">
        <v>2977</v>
      </c>
      <c r="I1215" t="s">
        <v>2973</v>
      </c>
      <c r="J1215">
        <f>VLOOKUP(F1215,[1]!china_towns_second__2[[Column1]:[Y]],3,FALSE)</f>
        <v>28.972498174419599</v>
      </c>
      <c r="K1215">
        <f>VLOOKUP(F1215,[1]!china_towns_second__2[[Column1]:[Y]],2,FALSE)</f>
        <v>118.8924183</v>
      </c>
      <c r="L1215" t="s">
        <v>4846</v>
      </c>
      <c r="M1215" t="str">
        <f>VLOOKUP(H1215,CHOOSE({1,2},Table12[Native],Table12[Name]),2,0)</f>
        <v>Kēchéng Qū</v>
      </c>
      <c r="N1215" s="15" t="str">
        <f>VLOOKUP(I1215,CHOOSE({1,2},Table12[Native],Table12[Name]),2,0)</f>
        <v>Qúzhōu Shì</v>
      </c>
      <c r="O1215" s="15" t="str">
        <f t="shared" si="36"/>
        <v>Xin'an Jiedao (Qúzhōu Shì)</v>
      </c>
      <c r="P1215" s="15" t="str">
        <f t="shared" si="37"/>
        <v>Xin'an Jiedao (Qúzhōu Shì)</v>
      </c>
    </row>
    <row r="1216" spans="1:16" hidden="1" x14ac:dyDescent="0.25">
      <c r="A1216" t="s">
        <v>2732</v>
      </c>
      <c r="B1216" t="str">
        <f>IF(COUNTIF(A:A,A1216)&gt;1,_xlfn.CONCAT(A1216," (",N1216,")"),A1216)</f>
        <v>Xīn'ān Xiāng</v>
      </c>
      <c r="C1216" t="str">
        <f>IF(COUNTIF(B:B,B1216)&gt;1,_xlfn.CONCAT(A1216," (",M1216,")"),B1216)</f>
        <v>Xīn'ān Xiāng</v>
      </c>
      <c r="D1216" t="s">
        <v>2733</v>
      </c>
      <c r="E1216" t="s">
        <v>7</v>
      </c>
      <c r="F1216" t="str">
        <f>_xlfn.CONCAT(D1216,", ",H1216,", ",I1216,", ","浙江省")</f>
        <v>新安乡, 苍南县, 温州市, 浙江省</v>
      </c>
      <c r="G1216">
        <v>15219</v>
      </c>
      <c r="H1216" t="s">
        <v>3001</v>
      </c>
      <c r="I1216" t="s">
        <v>3000</v>
      </c>
      <c r="J1216" t="e">
        <f>VLOOKUP(F1216,[1]!china_towns_second__2[[Column1]:[Y]],3,FALSE)</f>
        <v>#N/A</v>
      </c>
      <c r="K1216" t="e">
        <f>VLOOKUP(F1216,[1]!china_towns_second__2[[Column1]:[Y]],2,FALSE)</f>
        <v>#N/A</v>
      </c>
      <c r="L1216" t="s">
        <v>4847</v>
      </c>
      <c r="M1216" t="str">
        <f>VLOOKUP(H1216,CHOOSE({1,2},Table12[Native],Table12[Name]),2,0)</f>
        <v>Cāngnán Xiàn</v>
      </c>
      <c r="N1216" s="15" t="str">
        <f>VLOOKUP(I1216,CHOOSE({1,2},Table12[Native],Table12[Name]),2,0)</f>
        <v>Wēnzhōu Shì</v>
      </c>
      <c r="O1216" s="15" t="str">
        <f t="shared" si="36"/>
        <v>Xin'an Xiang (Wēnzhōu Shì)</v>
      </c>
      <c r="P1216" s="15" t="str">
        <f t="shared" si="37"/>
        <v>Xin'an Xiang (Wēnzhōu Shì)</v>
      </c>
    </row>
    <row r="1217" spans="1:16" hidden="1" x14ac:dyDescent="0.25">
      <c r="A1217" t="s">
        <v>531</v>
      </c>
      <c r="B1217" t="str">
        <f>IF(COUNTIF(A:A,A1217)&gt;1,_xlfn.CONCAT(A1217," (",N1217,")"),A1217)</f>
        <v>Xīn'ān Zhèn</v>
      </c>
      <c r="C1217" t="str">
        <f>IF(COUNTIF(B:B,B1217)&gt;1,_xlfn.CONCAT(A1217," (",M1217,")"),B1217)</f>
        <v>Xīn'ān Zhèn</v>
      </c>
      <c r="D1217" t="s">
        <v>532</v>
      </c>
      <c r="E1217" t="s">
        <v>11</v>
      </c>
      <c r="F1217" t="str">
        <f>_xlfn.CONCAT(D1217,", ",H1217,", ",I1217,", ","浙江省")</f>
        <v>新安镇, 德清县, 湖州市, 浙江省</v>
      </c>
      <c r="G1217">
        <v>31167</v>
      </c>
      <c r="H1217" t="s">
        <v>2925</v>
      </c>
      <c r="I1217" t="s">
        <v>2922</v>
      </c>
      <c r="J1217">
        <f>VLOOKUP(F1217,[1]!china_towns_second__2[[Column1]:[Y]],3,FALSE)</f>
        <v>30.549079377777801</v>
      </c>
      <c r="K1217">
        <f>VLOOKUP(F1217,[1]!china_towns_second__2[[Column1]:[Y]],2,FALSE)</f>
        <v>120.2021297</v>
      </c>
      <c r="L1217" t="s">
        <v>4848</v>
      </c>
      <c r="M1217" t="str">
        <f>VLOOKUP(H1217,CHOOSE({1,2},Table12[Native],Table12[Name]),2,0)</f>
        <v>Déqīng Xiàn</v>
      </c>
      <c r="N1217" s="15" t="str">
        <f>VLOOKUP(I1217,CHOOSE({1,2},Table12[Native],Table12[Name]),2,0)</f>
        <v>Húzhōu Shì</v>
      </c>
      <c r="O1217" s="15" t="str">
        <f t="shared" si="36"/>
        <v>Xin'an Zhen (Húzhōu Shì)</v>
      </c>
      <c r="P1217" s="15" t="str">
        <f t="shared" si="37"/>
        <v>Xin'an Zhen (Húzhōu Shì)</v>
      </c>
    </row>
    <row r="1218" spans="1:16" hidden="1" x14ac:dyDescent="0.25">
      <c r="A1218" t="s">
        <v>350</v>
      </c>
      <c r="B1218" t="str">
        <f>IF(COUNTIF(A:A,A1218)&gt;1,_xlfn.CONCAT(A1218," (",N1218,")"),A1218)</f>
        <v>Xīn'ānjiāng Jiēdào</v>
      </c>
      <c r="C1218" t="str">
        <f>IF(COUNTIF(B:B,B1218)&gt;1,_xlfn.CONCAT(A1218," (",M1218,")"),B1218)</f>
        <v>Xīn'ānjiāng Jiēdào</v>
      </c>
      <c r="D1218" t="s">
        <v>351</v>
      </c>
      <c r="E1218" t="s">
        <v>15</v>
      </c>
      <c r="F1218" t="str">
        <f>_xlfn.CONCAT(D1218,", ",H1218,", ",I1218,", ","浙江省")</f>
        <v>新安江街道, 建德市, 杭州市, 浙江省</v>
      </c>
      <c r="G1218">
        <v>93952</v>
      </c>
      <c r="H1218" t="s">
        <v>2910</v>
      </c>
      <c r="I1218" t="s">
        <v>2903</v>
      </c>
      <c r="J1218">
        <f>VLOOKUP(F1218,[1]!china_towns_second__2[[Column1]:[Y]],3,FALSE)</f>
        <v>29.472814082146598</v>
      </c>
      <c r="K1218">
        <f>VLOOKUP(F1218,[1]!china_towns_second__2[[Column1]:[Y]],2,FALSE)</f>
        <v>119.253349</v>
      </c>
      <c r="L1218" t="s">
        <v>4849</v>
      </c>
      <c r="M1218" t="str">
        <f>VLOOKUP(H1218,CHOOSE({1,2},Table12[Native],Table12[Name]),2,0)</f>
        <v>Jiàndé Shì</v>
      </c>
      <c r="N1218" s="15" t="str">
        <f>VLOOKUP(I1218,CHOOSE({1,2},Table12[Native],Table12[Name]),2,0)</f>
        <v>Hángzhōu Shì</v>
      </c>
      <c r="O1218" s="15" t="str">
        <f t="shared" ref="O1218:O1281" si="38">_xlfn.CONCAT(L1218," (",N1218,")")</f>
        <v>Xin'anjiang Jiedao (Hángzhōu Shì)</v>
      </c>
      <c r="P1218" s="15" t="str">
        <f t="shared" ref="P1218:P1281" si="39">IF(COUNTIF(O:O,O1218)&gt;1,_xlfn.CONCAT(L1218," (",M1218,")"),O1218)</f>
        <v>Xin'anjiang Jiedao (Hángzhōu Shì)</v>
      </c>
    </row>
    <row r="1219" spans="1:16" hidden="1" x14ac:dyDescent="0.25">
      <c r="A1219" t="s">
        <v>661</v>
      </c>
      <c r="B1219" t="str">
        <f>IF(COUNTIF(A:A,A1219)&gt;1,_xlfn.CONCAT(A1219," (",N1219,")"),A1219)</f>
        <v>Xīncāng Zhèn</v>
      </c>
      <c r="C1219" t="str">
        <f>IF(COUNTIF(B:B,B1219)&gt;1,_xlfn.CONCAT(A1219," (",M1219,")"),B1219)</f>
        <v>Xīncāng Zhèn</v>
      </c>
      <c r="D1219" t="s">
        <v>662</v>
      </c>
      <c r="E1219" t="s">
        <v>11</v>
      </c>
      <c r="F1219" t="str">
        <f>_xlfn.CONCAT(D1219,", ",H1219,", ",I1219,", ","浙江省")</f>
        <v>新仓镇, 平湖市, 嘉兴市, 浙江省</v>
      </c>
      <c r="G1219">
        <v>49305</v>
      </c>
      <c r="H1219" t="s">
        <v>2934</v>
      </c>
      <c r="I1219" t="s">
        <v>2929</v>
      </c>
      <c r="J1219">
        <f>VLOOKUP(F1219,[1]!china_towns_second__2[[Column1]:[Y]],3,FALSE)</f>
        <v>30.7392315718572</v>
      </c>
      <c r="K1219">
        <f>VLOOKUP(F1219,[1]!china_towns_second__2[[Column1]:[Y]],2,FALSE)</f>
        <v>121.1973026</v>
      </c>
      <c r="L1219" t="s">
        <v>4850</v>
      </c>
      <c r="M1219" t="str">
        <f>VLOOKUP(H1219,CHOOSE({1,2},Table12[Native],Table12[Name]),2,0)</f>
        <v>Pínghú Shì</v>
      </c>
      <c r="N1219" s="15" t="str">
        <f>VLOOKUP(I1219,CHOOSE({1,2},Table12[Native],Table12[Name]),2,0)</f>
        <v>Jiāxīng Shì</v>
      </c>
      <c r="O1219" s="15" t="str">
        <f t="shared" si="38"/>
        <v>Xincang Zhen (Jiāxīng Shì)</v>
      </c>
      <c r="P1219" s="15" t="str">
        <f t="shared" si="39"/>
        <v>Xincang Zhen (Jiāxīng Shì)</v>
      </c>
    </row>
    <row r="1220" spans="1:16" hidden="1" x14ac:dyDescent="0.25">
      <c r="A1220" t="s">
        <v>1806</v>
      </c>
      <c r="B1220" t="str">
        <f>IF(COUNTIF(A:A,A1220)&gt;1,_xlfn.CONCAT(A1220," (",N1220,")"),A1220)</f>
        <v>Xīnchāng Xiāng</v>
      </c>
      <c r="C1220" t="str">
        <f>IF(COUNTIF(B:B,B1220)&gt;1,_xlfn.CONCAT(A1220," (",M1220,")"),B1220)</f>
        <v>Xīnchāng Xiāng</v>
      </c>
      <c r="D1220" t="s">
        <v>1807</v>
      </c>
      <c r="E1220" t="s">
        <v>7</v>
      </c>
      <c r="F1220" t="str">
        <f>_xlfn.CONCAT(D1220,", ",H1220,", ",I1220,", ","浙江省")</f>
        <v>新昌乡, 常山县, 衢州市, 浙江省</v>
      </c>
      <c r="G1220">
        <v>8122</v>
      </c>
      <c r="H1220" t="s">
        <v>2974</v>
      </c>
      <c r="I1220" t="s">
        <v>2973</v>
      </c>
      <c r="J1220" t="e">
        <f>VLOOKUP(F1220,[1]!china_towns_second__2[[Column1]:[Y]],3,FALSE)</f>
        <v>#N/A</v>
      </c>
      <c r="K1220" t="e">
        <f>VLOOKUP(F1220,[1]!china_towns_second__2[[Column1]:[Y]],2,FALSE)</f>
        <v>#N/A</v>
      </c>
      <c r="L1220" t="s">
        <v>4851</v>
      </c>
      <c r="M1220" t="str">
        <f>VLOOKUP(H1220,CHOOSE({1,2},Table12[Native],Table12[Name]),2,0)</f>
        <v>Chángshān Xiàn</v>
      </c>
      <c r="N1220" s="15" t="str">
        <f>VLOOKUP(I1220,CHOOSE({1,2},Table12[Native],Table12[Name]),2,0)</f>
        <v>Qúzhōu Shì</v>
      </c>
      <c r="O1220" s="15" t="str">
        <f t="shared" si="38"/>
        <v>Xinchang Xiang (Qúzhōu Shì)</v>
      </c>
      <c r="P1220" s="15" t="str">
        <f t="shared" si="39"/>
        <v>Xinchang Xiang (Qúzhōu Shì)</v>
      </c>
    </row>
    <row r="1221" spans="1:16" hidden="1" x14ac:dyDescent="0.25">
      <c r="A1221" t="s">
        <v>663</v>
      </c>
      <c r="B1221" t="str">
        <f>IF(COUNTIF(A:A,A1221)&gt;1,_xlfn.CONCAT(A1221," (",N1221,")"),A1221)</f>
        <v>Xīnchéng Jiēdào (Jiāxīng Shì)</v>
      </c>
      <c r="C1221" t="str">
        <f>IF(COUNTIF(B:B,B1221)&gt;1,_xlfn.CONCAT(A1221," (",M1221,")"),B1221)</f>
        <v>Xīnchéng Jiēdào (Jiāxīng Shì)</v>
      </c>
      <c r="D1221" t="s">
        <v>664</v>
      </c>
      <c r="E1221" t="s">
        <v>15</v>
      </c>
      <c r="F1221" t="str">
        <f>_xlfn.CONCAT(D1221,", ",H1221,", ",I1221,", ","浙江省")</f>
        <v>新城街道, 秀洲区, 嘉兴市, 浙江省</v>
      </c>
      <c r="G1221">
        <v>42205</v>
      </c>
      <c r="H1221" t="s">
        <v>2936</v>
      </c>
      <c r="I1221" t="s">
        <v>2929</v>
      </c>
      <c r="J1221">
        <f>VLOOKUP(F1221,[1]!china_towns_second__2[[Column1]:[Y]],3,FALSE)</f>
        <v>30.777118728938699</v>
      </c>
      <c r="K1221">
        <f>VLOOKUP(F1221,[1]!china_towns_second__2[[Column1]:[Y]],2,FALSE)</f>
        <v>120.68496810000001</v>
      </c>
      <c r="L1221" t="s">
        <v>4852</v>
      </c>
      <c r="M1221" t="str">
        <f>VLOOKUP(H1221,CHOOSE({1,2},Table12[Native],Table12[Name]),2,0)</f>
        <v>Xiùzhōu Qū</v>
      </c>
      <c r="N1221" s="15" t="str">
        <f>VLOOKUP(I1221,CHOOSE({1,2},Table12[Native],Table12[Name]),2,0)</f>
        <v>Jiāxīng Shì</v>
      </c>
      <c r="O1221" s="15" t="str">
        <f t="shared" si="38"/>
        <v>Xincheng Jiedao (Jiaxing Shi) (Jiāxīng Shì)</v>
      </c>
      <c r="P1221" s="15" t="str">
        <f t="shared" si="39"/>
        <v>Xincheng Jiedao (Jiaxing Shi) (Jiāxīng Shì)</v>
      </c>
    </row>
    <row r="1222" spans="1:16" hidden="1" x14ac:dyDescent="0.25">
      <c r="A1222" t="s">
        <v>663</v>
      </c>
      <c r="B1222" t="str">
        <f>IF(COUNTIF(A:A,A1222)&gt;1,_xlfn.CONCAT(A1222," (",N1222,")"),A1222)</f>
        <v>Xīnchéng Jiēdào (Wēnzhōu Shì)</v>
      </c>
      <c r="C1222" t="str">
        <f>IF(COUNTIF(B:B,B1222)&gt;1,_xlfn.CONCAT(A1222," (",M1222,")"),B1222)</f>
        <v>Xīnchéng Jiēdào (Wēnzhōu Shì)</v>
      </c>
      <c r="D1222" t="s">
        <v>2734</v>
      </c>
      <c r="E1222" t="s">
        <v>15</v>
      </c>
      <c r="F1222" t="str">
        <f>_xlfn.CONCAT(D1222,", ",H1222,", ",I1222,", ","浙江省")</f>
        <v>莘塍街道, 瑞安市, 温州市, 浙江省</v>
      </c>
      <c r="G1222">
        <v>149087</v>
      </c>
      <c r="H1222" t="s">
        <v>3007</v>
      </c>
      <c r="I1222" t="s">
        <v>3000</v>
      </c>
      <c r="J1222">
        <f>VLOOKUP(F1222,[1]!china_towns_second__2[[Column1]:[Y]],3,FALSE)</f>
        <v>27.759499487209599</v>
      </c>
      <c r="K1222">
        <f>VLOOKUP(F1222,[1]!china_towns_second__2[[Column1]:[Y]],2,FALSE)</f>
        <v>120.71868809999999</v>
      </c>
      <c r="L1222" t="s">
        <v>4853</v>
      </c>
      <c r="M1222" t="str">
        <f>VLOOKUP(H1222,CHOOSE({1,2},Table12[Native],Table12[Name]),2,0)</f>
        <v>Ruì'ān Shì</v>
      </c>
      <c r="N1222" s="15" t="str">
        <f>VLOOKUP(I1222,CHOOSE({1,2},Table12[Native],Table12[Name]),2,0)</f>
        <v>Wēnzhōu Shì</v>
      </c>
      <c r="O1222" s="15" t="str">
        <f t="shared" si="38"/>
        <v>Xincheng Jiedao (Wenzhou Shi) (Wēnzhōu Shì)</v>
      </c>
      <c r="P1222" s="15" t="str">
        <f t="shared" si="39"/>
        <v>Xincheng Jiedao (Wenzhou Shi) (Wēnzhōu Shì)</v>
      </c>
    </row>
    <row r="1223" spans="1:16" hidden="1" x14ac:dyDescent="0.25">
      <c r="A1223" t="s">
        <v>665</v>
      </c>
      <c r="B1223" t="str">
        <f>IF(COUNTIF(A:A,A1223)&gt;1,_xlfn.CONCAT(A1223," (",N1223,")"),A1223)</f>
        <v>Xīnchéng Zhèn</v>
      </c>
      <c r="C1223" t="str">
        <f>IF(COUNTIF(B:B,B1223)&gt;1,_xlfn.CONCAT(A1223," (",M1223,")"),B1223)</f>
        <v>Xīnchéng Zhèn</v>
      </c>
      <c r="D1223" t="s">
        <v>666</v>
      </c>
      <c r="E1223" t="s">
        <v>11</v>
      </c>
      <c r="F1223" t="str">
        <f>_xlfn.CONCAT(D1223,", ",H1223,", ",I1223,", ","浙江省")</f>
        <v>新塍镇, 秀洲区, 嘉兴市, 浙江省</v>
      </c>
      <c r="G1223">
        <v>78822</v>
      </c>
      <c r="H1223" t="s">
        <v>2936</v>
      </c>
      <c r="I1223" t="s">
        <v>2929</v>
      </c>
      <c r="J1223">
        <f>VLOOKUP(F1223,[1]!china_towns_second__2[[Column1]:[Y]],3,FALSE)</f>
        <v>30.789670457485901</v>
      </c>
      <c r="K1223">
        <f>VLOOKUP(F1223,[1]!china_towns_second__2[[Column1]:[Y]],2,FALSE)</f>
        <v>120.6034313</v>
      </c>
      <c r="L1223" t="s">
        <v>4854</v>
      </c>
      <c r="M1223" t="str">
        <f>VLOOKUP(H1223,CHOOSE({1,2},Table12[Native],Table12[Name]),2,0)</f>
        <v>Xiùzhōu Qū</v>
      </c>
      <c r="N1223" s="15" t="str">
        <f>VLOOKUP(I1223,CHOOSE({1,2},Table12[Native],Table12[Name]),2,0)</f>
        <v>Jiāxīng Shì</v>
      </c>
      <c r="O1223" s="15" t="str">
        <f t="shared" si="38"/>
        <v>Xincheng Zhen (Jiāxīng Shì)</v>
      </c>
      <c r="P1223" s="15" t="str">
        <f t="shared" si="39"/>
        <v>Xincheng Zhen (Jiāxīng Shì)</v>
      </c>
    </row>
    <row r="1224" spans="1:16" hidden="1" x14ac:dyDescent="0.25">
      <c r="A1224" t="s">
        <v>667</v>
      </c>
      <c r="B1224" t="str">
        <f>IF(COUNTIF(A:A,A1224)&gt;1,_xlfn.CONCAT(A1224," (",N1224,")"),A1224)</f>
        <v>Xīndài Zhèn</v>
      </c>
      <c r="C1224" t="str">
        <f>IF(COUNTIF(B:B,B1224)&gt;1,_xlfn.CONCAT(A1224," (",M1224,")"),B1224)</f>
        <v>Xīndài Zhèn</v>
      </c>
      <c r="D1224" t="s">
        <v>668</v>
      </c>
      <c r="E1224" t="s">
        <v>11</v>
      </c>
      <c r="F1224" t="str">
        <f>_xlfn.CONCAT(D1224,", ",H1224,", ",I1224,", ","浙江省")</f>
        <v>新埭镇, 平湖市, 嘉兴市, 浙江省</v>
      </c>
      <c r="G1224">
        <v>70209</v>
      </c>
      <c r="H1224" t="s">
        <v>2934</v>
      </c>
      <c r="I1224" t="s">
        <v>2929</v>
      </c>
      <c r="J1224">
        <f>VLOOKUP(F1224,[1]!china_towns_second__2[[Column1]:[Y]],3,FALSE)</f>
        <v>30.8086987775274</v>
      </c>
      <c r="K1224">
        <f>VLOOKUP(F1224,[1]!china_towns_second__2[[Column1]:[Y]],2,FALSE)</f>
        <v>121.0798082</v>
      </c>
      <c r="L1224" t="s">
        <v>4855</v>
      </c>
      <c r="M1224" t="str">
        <f>VLOOKUP(H1224,CHOOSE({1,2},Table12[Native],Table12[Name]),2,0)</f>
        <v>Pínghú Shì</v>
      </c>
      <c r="N1224" s="15" t="str">
        <f>VLOOKUP(I1224,CHOOSE({1,2},Table12[Native],Table12[Name]),2,0)</f>
        <v>Jiāxīng Shì</v>
      </c>
      <c r="O1224" s="15" t="str">
        <f t="shared" si="38"/>
        <v>Xindai Zhen (Jiāxīng Shì)</v>
      </c>
      <c r="P1224" s="15" t="str">
        <f t="shared" si="39"/>
        <v>Xindai Zhen (Jiāxīng Shì)</v>
      </c>
    </row>
    <row r="1225" spans="1:16" hidden="1" x14ac:dyDescent="0.25">
      <c r="A1225" t="s">
        <v>352</v>
      </c>
      <c r="B1225" t="str">
        <f>IF(COUNTIF(A:A,A1225)&gt;1,_xlfn.CONCAT(A1225," (",N1225,")"),A1225)</f>
        <v>Xīndēng Zhèn</v>
      </c>
      <c r="C1225" t="str">
        <f>IF(COUNTIF(B:B,B1225)&gt;1,_xlfn.CONCAT(A1225," (",M1225,")"),B1225)</f>
        <v>Xīndēng Zhèn</v>
      </c>
      <c r="D1225" t="s">
        <v>353</v>
      </c>
      <c r="E1225" t="s">
        <v>11</v>
      </c>
      <c r="F1225" t="str">
        <f>_xlfn.CONCAT(D1225,", ",H1225,", ",I1225,", ","浙江省")</f>
        <v>新登镇, 富阳区, 杭州市, 浙江省</v>
      </c>
      <c r="G1225">
        <v>70580</v>
      </c>
      <c r="H1225" t="s">
        <v>2908</v>
      </c>
      <c r="I1225" t="s">
        <v>2903</v>
      </c>
      <c r="J1225">
        <f>VLOOKUP(F1225,[1]!china_towns_second__2[[Column1]:[Y]],3,FALSE)</f>
        <v>30.004111223866001</v>
      </c>
      <c r="K1225">
        <f>VLOOKUP(F1225,[1]!china_towns_second__2[[Column1]:[Y]],2,FALSE)</f>
        <v>119.7217485</v>
      </c>
      <c r="L1225" t="s">
        <v>4856</v>
      </c>
      <c r="M1225" t="str">
        <f>VLOOKUP(H1225,CHOOSE({1,2},Table12[Native],Table12[Name]),2,0)</f>
        <v>Fùyáng Qū</v>
      </c>
      <c r="N1225" s="15" t="str">
        <f>VLOOKUP(I1225,CHOOSE({1,2},Table12[Native],Table12[Name]),2,0)</f>
        <v>Hángzhōu Shì</v>
      </c>
      <c r="O1225" s="15" t="str">
        <f t="shared" si="38"/>
        <v>Xindeng Zhen (Hángzhōu Shì)</v>
      </c>
      <c r="P1225" s="15" t="str">
        <f t="shared" si="39"/>
        <v>Xindeng Zhen (Hángzhōu Shì)</v>
      </c>
    </row>
    <row r="1226" spans="1:16" hidden="1" x14ac:dyDescent="0.25">
      <c r="A1226" t="s">
        <v>945</v>
      </c>
      <c r="B1226" t="str">
        <f>IF(COUNTIF(A:A,A1226)&gt;1,_xlfn.CONCAT(A1226," (",N1226,")"),A1226)</f>
        <v>Xīnfàn Xiāng</v>
      </c>
      <c r="C1226" t="str">
        <f>IF(COUNTIF(B:B,B1226)&gt;1,_xlfn.CONCAT(A1226," (",M1226,")"),B1226)</f>
        <v>Xīnfàn Xiāng</v>
      </c>
      <c r="D1226" t="s">
        <v>946</v>
      </c>
      <c r="E1226" t="s">
        <v>7</v>
      </c>
      <c r="F1226" t="str">
        <f>_xlfn.CONCAT(D1226,", ",H1226,", ",I1226,", ","浙江省")</f>
        <v>莘畈乡, 婺城区, 金华市, 浙江省</v>
      </c>
      <c r="G1226">
        <v>2821</v>
      </c>
      <c r="H1226" t="s">
        <v>2944</v>
      </c>
      <c r="I1226" t="s">
        <v>2938</v>
      </c>
      <c r="J1226" t="e">
        <f>VLOOKUP(F1226,[1]!china_towns_second__2[[Column1]:[Y]],3,FALSE)</f>
        <v>#N/A</v>
      </c>
      <c r="K1226" t="e">
        <f>VLOOKUP(F1226,[1]!china_towns_second__2[[Column1]:[Y]],2,FALSE)</f>
        <v>#N/A</v>
      </c>
      <c r="L1226" t="s">
        <v>4857</v>
      </c>
      <c r="M1226" t="str">
        <f>VLOOKUP(H1226,CHOOSE({1,2},Table12[Native],Table12[Name]),2,0)</f>
        <v>Wùchéng Qū</v>
      </c>
      <c r="N1226" s="15" t="str">
        <f>VLOOKUP(I1226,CHOOSE({1,2},Table12[Native],Table12[Name]),2,0)</f>
        <v>Jīnhuá Shì</v>
      </c>
      <c r="O1226" s="15" t="str">
        <f t="shared" si="38"/>
        <v>Xinfan Xiang (Jīnhuá Shì)</v>
      </c>
      <c r="P1226" s="15" t="str">
        <f t="shared" si="39"/>
        <v>Xinfan Xiang (Jīnhuá Shì)</v>
      </c>
    </row>
    <row r="1227" spans="1:16" hidden="1" x14ac:dyDescent="0.25">
      <c r="A1227" t="s">
        <v>669</v>
      </c>
      <c r="B1227" t="str">
        <f>IF(COUNTIF(A:A,A1227)&gt;1,_xlfn.CONCAT(A1227," (",N1227,")"),A1227)</f>
        <v>Xīnfēng Zhèn</v>
      </c>
      <c r="C1227" t="str">
        <f>IF(COUNTIF(B:B,B1227)&gt;1,_xlfn.CONCAT(A1227," (",M1227,")"),B1227)</f>
        <v>Xīnfēng Zhèn</v>
      </c>
      <c r="D1227" t="s">
        <v>670</v>
      </c>
      <c r="E1227" t="s">
        <v>11</v>
      </c>
      <c r="F1227" t="str">
        <f>_xlfn.CONCAT(D1227,", ",H1227,", ",I1227,", ","浙江省")</f>
        <v>新丰镇, 南湖区, 嘉兴市, 浙江省</v>
      </c>
      <c r="G1227">
        <v>49496</v>
      </c>
      <c r="H1227" t="s">
        <v>2933</v>
      </c>
      <c r="I1227" t="s">
        <v>2929</v>
      </c>
      <c r="J1227">
        <f>VLOOKUP(F1227,[1]!china_towns_second__2[[Column1]:[Y]],3,FALSE)</f>
        <v>30.695969910088799</v>
      </c>
      <c r="K1227">
        <f>VLOOKUP(F1227,[1]!china_towns_second__2[[Column1]:[Y]],2,FALSE)</f>
        <v>120.9258552</v>
      </c>
      <c r="L1227" t="s">
        <v>4858</v>
      </c>
      <c r="M1227" t="str">
        <f>VLOOKUP(H1227,CHOOSE({1,2},Table12[Native],Table12[Name]),2,0)</f>
        <v>Nánhú Qū</v>
      </c>
      <c r="N1227" s="15" t="str">
        <f>VLOOKUP(I1227,CHOOSE({1,2},Table12[Native],Table12[Name]),2,0)</f>
        <v>Jiāxīng Shì</v>
      </c>
      <c r="O1227" s="15" t="str">
        <f t="shared" si="38"/>
        <v>Xinfeng Zhen (Jiāxīng Shì)</v>
      </c>
      <c r="P1227" s="15" t="str">
        <f t="shared" si="39"/>
        <v>Xinfeng Zhen (Jiāxīng Shì)</v>
      </c>
    </row>
    <row r="1228" spans="1:16" hidden="1" x14ac:dyDescent="0.25">
      <c r="A1228" t="s">
        <v>354</v>
      </c>
      <c r="B1228" t="str">
        <f>IF(COUNTIF(A:A,A1228)&gt;1,_xlfn.CONCAT(A1228," (",N1228,")"),A1228)</f>
        <v>Xīngqiáo Jiēdào</v>
      </c>
      <c r="C1228" t="str">
        <f>IF(COUNTIF(B:B,B1228)&gt;1,_xlfn.CONCAT(A1228," (",M1228,")"),B1228)</f>
        <v>Xīngqiáo Jiēdào</v>
      </c>
      <c r="D1228" t="s">
        <v>355</v>
      </c>
      <c r="E1228" t="s">
        <v>15</v>
      </c>
      <c r="F1228" t="str">
        <f>_xlfn.CONCAT(D1228,", ",H1228,", ",I1228,", ","浙江省")</f>
        <v>星桥街道, 临平区, 杭州市, 浙江省</v>
      </c>
      <c r="G1228">
        <v>36592</v>
      </c>
      <c r="H1228" t="s">
        <v>2912</v>
      </c>
      <c r="I1228" t="s">
        <v>2903</v>
      </c>
      <c r="J1228" t="e">
        <f>VLOOKUP(F1228,[1]!china_towns_second__2[[Column1]:[Y]],3,FALSE)</f>
        <v>#N/A</v>
      </c>
      <c r="K1228" t="e">
        <f>VLOOKUP(F1228,[1]!china_towns_second__2[[Column1]:[Y]],2,FALSE)</f>
        <v>#N/A</v>
      </c>
      <c r="L1228" t="s">
        <v>4859</v>
      </c>
      <c r="M1228" t="str">
        <f>VLOOKUP(H1228,CHOOSE({1,2},Table12[Native],Table12[Name]),2,0)</f>
        <v>Línpíng Qū</v>
      </c>
      <c r="N1228" s="15" t="str">
        <f>VLOOKUP(I1228,CHOOSE({1,2},Table12[Native],Table12[Name]),2,0)</f>
        <v>Hángzhōu Shì</v>
      </c>
      <c r="O1228" s="15" t="str">
        <f t="shared" si="38"/>
        <v>Xingqiao Jiedao (Hángzhōu Shì)</v>
      </c>
      <c r="P1228" s="15" t="str">
        <f t="shared" si="39"/>
        <v>Xingqiao Jiedao (Hángzhōu Shì)</v>
      </c>
    </row>
    <row r="1229" spans="1:16" hidden="1" x14ac:dyDescent="0.25">
      <c r="A1229" t="s">
        <v>356</v>
      </c>
      <c r="B1229" t="str">
        <f>IF(COUNTIF(A:A,A1229)&gt;1,_xlfn.CONCAT(A1229," (",N1229,")"),A1229)</f>
        <v>Xīnhé Xiāng</v>
      </c>
      <c r="C1229" t="str">
        <f>IF(COUNTIF(B:B,B1229)&gt;1,_xlfn.CONCAT(A1229," (",M1229,")"),B1229)</f>
        <v>Xīnhé Xiāng</v>
      </c>
      <c r="D1229" t="s">
        <v>357</v>
      </c>
      <c r="E1229" t="s">
        <v>7</v>
      </c>
      <c r="F1229" t="str">
        <f>_xlfn.CONCAT(D1229,", ",H1229,", ",I1229,", ","浙江省")</f>
        <v>新合乡, 桐庐县, 杭州市, 浙江省</v>
      </c>
      <c r="G1229">
        <v>4577</v>
      </c>
      <c r="H1229" t="s">
        <v>2916</v>
      </c>
      <c r="I1229" t="s">
        <v>2903</v>
      </c>
      <c r="J1229" t="e">
        <f>VLOOKUP(F1229,[1]!china_towns_second__2[[Column1]:[Y]],3,FALSE)</f>
        <v>#N/A</v>
      </c>
      <c r="K1229" t="e">
        <f>VLOOKUP(F1229,[1]!china_towns_second__2[[Column1]:[Y]],2,FALSE)</f>
        <v>#N/A</v>
      </c>
      <c r="L1229" t="s">
        <v>4860</v>
      </c>
      <c r="M1229" t="str">
        <f>VLOOKUP(H1229,CHOOSE({1,2},Table12[Native],Table12[Name]),2,0)</f>
        <v>Tónglú Xiàn</v>
      </c>
      <c r="N1229" s="15" t="str">
        <f>VLOOKUP(I1229,CHOOSE({1,2},Table12[Native],Table12[Name]),2,0)</f>
        <v>Hángzhōu Shì</v>
      </c>
      <c r="O1229" s="15" t="str">
        <f t="shared" si="38"/>
        <v>Xinhe Xiang (Hángzhōu Shì)</v>
      </c>
      <c r="P1229" s="15" t="str">
        <f t="shared" si="39"/>
        <v>Xinhe Xiang (Hángzhōu Shì)</v>
      </c>
    </row>
    <row r="1230" spans="1:16" hidden="1" x14ac:dyDescent="0.25">
      <c r="A1230" t="s">
        <v>2241</v>
      </c>
      <c r="B1230" t="str">
        <f>IF(COUNTIF(A:A,A1230)&gt;1,_xlfn.CONCAT(A1230," (",N1230,")"),A1230)</f>
        <v>Xīnhé Zhèn</v>
      </c>
      <c r="C1230" t="str">
        <f>IF(COUNTIF(B:B,B1230)&gt;1,_xlfn.CONCAT(A1230," (",M1230,")"),B1230)</f>
        <v>Xīnhé Zhèn</v>
      </c>
      <c r="D1230" t="s">
        <v>2242</v>
      </c>
      <c r="E1230" t="s">
        <v>11</v>
      </c>
      <c r="F1230" t="str">
        <f>_xlfn.CONCAT(D1230,", ",H1230,", ",I1230,", ","浙江省")</f>
        <v>新河镇, 温岭市, 台州市, 浙江省</v>
      </c>
      <c r="G1230">
        <v>108326</v>
      </c>
      <c r="H1230" t="s">
        <v>2996</v>
      </c>
      <c r="I1230" t="s">
        <v>2989</v>
      </c>
      <c r="J1230">
        <f>VLOOKUP(F1230,[1]!china_towns_second__2[[Column1]:[Y]],3,FALSE)</f>
        <v>28.455738835250902</v>
      </c>
      <c r="K1230">
        <f>VLOOKUP(F1230,[1]!china_towns_second__2[[Column1]:[Y]],2,FALSE)</f>
        <v>121.4551483</v>
      </c>
      <c r="L1230" t="s">
        <v>4861</v>
      </c>
      <c r="M1230" t="str">
        <f>VLOOKUP(H1230,CHOOSE({1,2},Table12[Native],Table12[Name]),2,0)</f>
        <v>Wēnlĭng Shì</v>
      </c>
      <c r="N1230" s="15" t="str">
        <f>VLOOKUP(I1230,CHOOSE({1,2},Table12[Native],Table12[Name]),2,0)</f>
        <v>Táizhōu Shì</v>
      </c>
      <c r="O1230" s="15" t="str">
        <f t="shared" si="38"/>
        <v>Xinhe Zhen (Táizhōu Shì)</v>
      </c>
      <c r="P1230" s="15" t="str">
        <f t="shared" si="39"/>
        <v>Xinhe Zhen (Táizhōu Shì)</v>
      </c>
    </row>
    <row r="1231" spans="1:16" hidden="1" x14ac:dyDescent="0.25">
      <c r="A1231" t="s">
        <v>671</v>
      </c>
      <c r="B1231" t="str">
        <f>IF(COUNTIF(A:A,A1231)&gt;1,_xlfn.CONCAT(A1231," (",N1231,")"),A1231)</f>
        <v>Xīnjiā Jiēdào</v>
      </c>
      <c r="C1231" t="str">
        <f>IF(COUNTIF(B:B,B1231)&gt;1,_xlfn.CONCAT(A1231," (",M1231,")"),B1231)</f>
        <v>Xīnjiā Jiēdào</v>
      </c>
      <c r="D1231" t="s">
        <v>672</v>
      </c>
      <c r="E1231" t="s">
        <v>15</v>
      </c>
      <c r="F1231" t="str">
        <f>_xlfn.CONCAT(D1231,", ",H1231,", ",I1231,", ","浙江省")</f>
        <v>新嘉街道, 南湖区, 嘉兴市, 浙江省</v>
      </c>
      <c r="G1231">
        <v>74024</v>
      </c>
      <c r="H1231" t="s">
        <v>2933</v>
      </c>
      <c r="I1231" t="s">
        <v>2929</v>
      </c>
      <c r="J1231">
        <f>VLOOKUP(F1231,[1]!china_towns_second__2[[Column1]:[Y]],3,FALSE)</f>
        <v>30.776980640043099</v>
      </c>
      <c r="K1231">
        <f>VLOOKUP(F1231,[1]!china_towns_second__2[[Column1]:[Y]],2,FALSE)</f>
        <v>120.73853699999999</v>
      </c>
      <c r="L1231" t="s">
        <v>4862</v>
      </c>
      <c r="M1231" t="str">
        <f>VLOOKUP(H1231,CHOOSE({1,2},Table12[Native],Table12[Name]),2,0)</f>
        <v>Nánhú Qū</v>
      </c>
      <c r="N1231" s="15" t="str">
        <f>VLOOKUP(I1231,CHOOSE({1,2},Table12[Native],Table12[Name]),2,0)</f>
        <v>Jiāxīng Shì</v>
      </c>
      <c r="O1231" s="15" t="str">
        <f t="shared" si="38"/>
        <v>Xinjia Jiedao (Jiāxīng Shì)</v>
      </c>
      <c r="P1231" s="15" t="str">
        <f t="shared" si="39"/>
        <v>Xinjia Jiedao (Jiāxīng Shì)</v>
      </c>
    </row>
    <row r="1232" spans="1:16" hidden="1" x14ac:dyDescent="0.25">
      <c r="A1232" t="s">
        <v>1269</v>
      </c>
      <c r="B1232" t="str">
        <f>IF(COUNTIF(A:A,A1232)&gt;1,_xlfn.CONCAT(A1232," (",N1232,")"),A1232)</f>
        <v>Xīnjiàn Zhèn</v>
      </c>
      <c r="C1232" t="str">
        <f>IF(COUNTIF(B:B,B1232)&gt;1,_xlfn.CONCAT(A1232," (",M1232,")"),B1232)</f>
        <v>Xīnjiàn Zhèn</v>
      </c>
      <c r="D1232" t="s">
        <v>1270</v>
      </c>
      <c r="E1232" t="s">
        <v>11</v>
      </c>
      <c r="F1232" t="str">
        <f>_xlfn.CONCAT(D1232,", ",H1232,", ",I1232,", ","浙江省")</f>
        <v>新建镇, 缙云县, 丽水市, 浙江省</v>
      </c>
      <c r="G1232">
        <v>43793</v>
      </c>
      <c r="H1232" t="s">
        <v>2952</v>
      </c>
      <c r="I1232" t="s">
        <v>2949</v>
      </c>
      <c r="J1232">
        <f>VLOOKUP(F1232,[1]!china_towns_second__2[[Column1]:[Y]],3,FALSE)</f>
        <v>28.731038675883301</v>
      </c>
      <c r="K1232">
        <f>VLOOKUP(F1232,[1]!china_towns_second__2[[Column1]:[Y]],2,FALSE)</f>
        <v>119.9638673</v>
      </c>
      <c r="L1232" t="s">
        <v>4863</v>
      </c>
      <c r="M1232" t="str">
        <f>VLOOKUP(H1232,CHOOSE({1,2},Table12[Native],Table12[Name]),2,0)</f>
        <v>Jìnyún Xiàn</v>
      </c>
      <c r="N1232" s="15" t="str">
        <f>VLOOKUP(I1232,CHOOSE({1,2},Table12[Native],Table12[Name]),2,0)</f>
        <v>Lìshuĭ Shì</v>
      </c>
      <c r="O1232" s="15" t="str">
        <f t="shared" si="38"/>
        <v>Xinjian Zhen (Lìshuĭ Shì)</v>
      </c>
      <c r="P1232" s="15" t="str">
        <f t="shared" si="39"/>
        <v>Xinjian Zhen (Lìshuĭ Shì)</v>
      </c>
    </row>
    <row r="1233" spans="1:16" hidden="1" x14ac:dyDescent="0.25">
      <c r="A1233" t="s">
        <v>358</v>
      </c>
      <c r="B1233" t="str">
        <f>IF(COUNTIF(A:A,A1233)&gt;1,_xlfn.CONCAT(A1233," (",N1233,")"),A1233)</f>
        <v>Xīnjiē Jiēdào</v>
      </c>
      <c r="C1233" t="str">
        <f>IF(COUNTIF(B:B,B1233)&gt;1,_xlfn.CONCAT(A1233," (",M1233,")"),B1233)</f>
        <v>Xīnjiē Jiēdào</v>
      </c>
      <c r="D1233" t="s">
        <v>359</v>
      </c>
      <c r="E1233" t="s">
        <v>15</v>
      </c>
      <c r="F1233" t="str">
        <f>_xlfn.CONCAT(D1233,", ",H1233,", ",I1233,", ","浙江省")</f>
        <v>新街街道, 萧山区, 杭州市, 浙江省</v>
      </c>
      <c r="G1233">
        <v>66009</v>
      </c>
      <c r="H1233" t="s">
        <v>2917</v>
      </c>
      <c r="I1233" t="s">
        <v>2903</v>
      </c>
      <c r="J1233" t="e">
        <f>VLOOKUP(F1233,[1]!china_towns_second__2[[Column1]:[Y]],3,FALSE)</f>
        <v>#N/A</v>
      </c>
      <c r="K1233" t="e">
        <f>VLOOKUP(F1233,[1]!china_towns_second__2[[Column1]:[Y]],2,FALSE)</f>
        <v>#N/A</v>
      </c>
      <c r="L1233" t="s">
        <v>4864</v>
      </c>
      <c r="M1233" t="str">
        <f>VLOOKUP(H1233,CHOOSE({1,2},Table12[Native],Table12[Name]),2,0)</f>
        <v>Xiāoshān Qū</v>
      </c>
      <c r="N1233" s="15" t="str">
        <f>VLOOKUP(I1233,CHOOSE({1,2},Table12[Native],Table12[Name]),2,0)</f>
        <v>Hángzhōu Shì</v>
      </c>
      <c r="O1233" s="15" t="str">
        <f t="shared" si="38"/>
        <v>Xinjie Jiedao (Hángzhōu Shì)</v>
      </c>
      <c r="P1233" s="15" t="str">
        <f t="shared" si="39"/>
        <v>Xinjie Jiedao (Hángzhōu Shì)</v>
      </c>
    </row>
    <row r="1234" spans="1:16" hidden="1" x14ac:dyDescent="0.25">
      <c r="A1234" t="s">
        <v>2018</v>
      </c>
      <c r="B1234" t="str">
        <f>IF(COUNTIF(A:A,A1234)&gt;1,_xlfn.CONCAT(A1234," (",N1234,")"),A1234)</f>
        <v>Xīnlín Xiāng</v>
      </c>
      <c r="C1234" t="str">
        <f>IF(COUNTIF(B:B,B1234)&gt;1,_xlfn.CONCAT(A1234," (",M1234,")"),B1234)</f>
        <v>Xīnlín Xiāng</v>
      </c>
      <c r="D1234" t="s">
        <v>2019</v>
      </c>
      <c r="E1234" t="s">
        <v>7</v>
      </c>
      <c r="F1234" t="str">
        <f>_xlfn.CONCAT(D1234,", ",H1234,", ",I1234,", ","浙江省")</f>
        <v>新林乡, 新昌县, 绍兴市, 浙江省</v>
      </c>
      <c r="G1234">
        <v>8743</v>
      </c>
      <c r="H1234" t="s">
        <v>2985</v>
      </c>
      <c r="I1234" t="s">
        <v>2981</v>
      </c>
      <c r="J1234" t="e">
        <f>VLOOKUP(F1234,[1]!china_towns_second__2[[Column1]:[Y]],3,FALSE)</f>
        <v>#N/A</v>
      </c>
      <c r="K1234" t="e">
        <f>VLOOKUP(F1234,[1]!china_towns_second__2[[Column1]:[Y]],2,FALSE)</f>
        <v>#N/A</v>
      </c>
      <c r="L1234" t="s">
        <v>4865</v>
      </c>
      <c r="M1234" t="str">
        <f>VLOOKUP(H1234,CHOOSE({1,2},Table12[Native],Table12[Name]),2,0)</f>
        <v>Xīnchāng Xiàn</v>
      </c>
      <c r="N1234" s="15" t="str">
        <f>VLOOKUP(I1234,CHOOSE({1,2},Table12[Native],Table12[Name]),2,0)</f>
        <v>Shàoxīng Shì</v>
      </c>
      <c r="O1234" s="15" t="str">
        <f t="shared" si="38"/>
        <v>Xinlin Xiang (Shàoxīng Shì)</v>
      </c>
      <c r="P1234" s="15" t="str">
        <f t="shared" si="39"/>
        <v>Xinlin Xiang (Shàoxīng Shì)</v>
      </c>
    </row>
    <row r="1235" spans="1:16" hidden="1" x14ac:dyDescent="0.25">
      <c r="A1235" t="s">
        <v>1271</v>
      </c>
      <c r="B1235" t="str">
        <f>IF(COUNTIF(A:A,A1235)&gt;1,_xlfn.CONCAT(A1235," (",N1235,")"),A1235)</f>
        <v>Xīnlùwān Zhèn</v>
      </c>
      <c r="C1235" t="str">
        <f>IF(COUNTIF(B:B,B1235)&gt;1,_xlfn.CONCAT(A1235," (",M1235,")"),B1235)</f>
        <v>Xīnlùwān Zhèn</v>
      </c>
      <c r="D1235" t="s">
        <v>1272</v>
      </c>
      <c r="E1235" t="s">
        <v>11</v>
      </c>
      <c r="F1235" t="str">
        <f>_xlfn.CONCAT(D1235,", ",H1235,", ",I1235,", ","浙江省")</f>
        <v>新路湾镇, 遂昌县, 丽水市, 浙江省</v>
      </c>
      <c r="G1235">
        <v>7818</v>
      </c>
      <c r="H1235" t="s">
        <v>2958</v>
      </c>
      <c r="I1235" t="s">
        <v>2949</v>
      </c>
      <c r="J1235">
        <f>VLOOKUP(F1235,[1]!china_towns_second__2[[Column1]:[Y]],3,FALSE)</f>
        <v>28.687600562152198</v>
      </c>
      <c r="K1235">
        <f>VLOOKUP(F1235,[1]!china_towns_second__2[[Column1]:[Y]],2,FALSE)</f>
        <v>119.2445658</v>
      </c>
      <c r="L1235" t="s">
        <v>4866</v>
      </c>
      <c r="M1235" t="str">
        <f>VLOOKUP(H1235,CHOOSE({1,2},Table12[Native],Table12[Name]),2,0)</f>
        <v>Suìchāng Xiàn</v>
      </c>
      <c r="N1235" s="15" t="str">
        <f>VLOOKUP(I1235,CHOOSE({1,2},Table12[Native],Table12[Name]),2,0)</f>
        <v>Lìshuĭ Shì</v>
      </c>
      <c r="O1235" s="15" t="str">
        <f t="shared" si="38"/>
        <v>Xinluwan Zhen (Lìshuĭ Shì)</v>
      </c>
      <c r="P1235" s="15" t="str">
        <f t="shared" si="39"/>
        <v>Xinluwan Zhen (Lìshuĭ Shì)</v>
      </c>
    </row>
    <row r="1236" spans="1:16" hidden="1" x14ac:dyDescent="0.25">
      <c r="A1236" t="s">
        <v>1592</v>
      </c>
      <c r="B1236" t="str">
        <f>IF(COUNTIF(A:A,A1236)&gt;1,_xlfn.CONCAT(A1236," (",N1236,")"),A1236)</f>
        <v>Xīnmíng Jiēdào</v>
      </c>
      <c r="C1236" t="str">
        <f>IF(COUNTIF(B:B,B1236)&gt;1,_xlfn.CONCAT(A1236," (",M1236,")"),B1236)</f>
        <v>Xīnmíng Jiēdào</v>
      </c>
      <c r="D1236" t="s">
        <v>1593</v>
      </c>
      <c r="E1236" t="s">
        <v>15</v>
      </c>
      <c r="F1236" t="str">
        <f>_xlfn.CONCAT(D1236,", ",H1236,", ",I1236,", ","浙江省")</f>
        <v>新明街道, 鄞州区, 宁波市, 浙江省</v>
      </c>
      <c r="G1236">
        <v>20024</v>
      </c>
      <c r="H1236" t="s">
        <v>2969</v>
      </c>
      <c r="I1236" t="s">
        <v>2961</v>
      </c>
      <c r="J1236" t="e">
        <f>VLOOKUP(F1236,[1]!china_towns_second__2[[Column1]:[Y]],3,FALSE)</f>
        <v>#N/A</v>
      </c>
      <c r="K1236" t="e">
        <f>VLOOKUP(F1236,[1]!china_towns_second__2[[Column1]:[Y]],2,FALSE)</f>
        <v>#N/A</v>
      </c>
      <c r="L1236" t="s">
        <v>4867</v>
      </c>
      <c r="M1236" t="str">
        <f>VLOOKUP(H1236,CHOOSE({1,2},Table12[Native],Table12[Name]),2,0)</f>
        <v>Yínzhōu Qū</v>
      </c>
      <c r="N1236" s="15" t="str">
        <f>VLOOKUP(I1236,CHOOSE({1,2},Table12[Native],Table12[Name]),2,0)</f>
        <v>Níngbō Shì</v>
      </c>
      <c r="O1236" s="15" t="str">
        <f t="shared" si="38"/>
        <v>Xinming Jiedao (Níngbō Shì)</v>
      </c>
      <c r="P1236" s="15" t="str">
        <f t="shared" si="39"/>
        <v>Xinming Jiedao (Níngbō Shì)</v>
      </c>
    </row>
    <row r="1237" spans="1:16" hidden="1" x14ac:dyDescent="0.25">
      <c r="A1237" t="s">
        <v>2735</v>
      </c>
      <c r="B1237" t="str">
        <f>IF(COUNTIF(A:A,A1237)&gt;1,_xlfn.CONCAT(A1237," (",N1237,")"),A1237)</f>
        <v>Xīnpŭ Xiāng</v>
      </c>
      <c r="C1237" t="str">
        <f>IF(COUNTIF(B:B,B1237)&gt;1,_xlfn.CONCAT(A1237," (",M1237,")"),B1237)</f>
        <v>Xīnpŭ Xiāng</v>
      </c>
      <c r="D1237" t="s">
        <v>2736</v>
      </c>
      <c r="E1237" t="s">
        <v>7</v>
      </c>
      <c r="F1237" t="str">
        <f>_xlfn.CONCAT(D1237,", ",H1237,", ",I1237,", ","浙江省")</f>
        <v>新浦乡, 泰顺县, 温州市, 浙江省</v>
      </c>
      <c r="G1237">
        <v>3482</v>
      </c>
      <c r="H1237" t="s">
        <v>3008</v>
      </c>
      <c r="I1237" t="s">
        <v>3000</v>
      </c>
      <c r="J1237" t="e">
        <f>VLOOKUP(F1237,[1]!china_towns_second__2[[Column1]:[Y]],3,FALSE)</f>
        <v>#N/A</v>
      </c>
      <c r="K1237" t="e">
        <f>VLOOKUP(F1237,[1]!china_towns_second__2[[Column1]:[Y]],2,FALSE)</f>
        <v>#N/A</v>
      </c>
      <c r="L1237" t="s">
        <v>4868</v>
      </c>
      <c r="M1237" t="str">
        <f>VLOOKUP(H1237,CHOOSE({1,2},Table12[Native],Table12[Name]),2,0)</f>
        <v>Tàishùn Xiàn</v>
      </c>
      <c r="N1237" s="15" t="str">
        <f>VLOOKUP(I1237,CHOOSE({1,2},Table12[Native],Table12[Name]),2,0)</f>
        <v>Wēnzhōu Shì</v>
      </c>
      <c r="O1237" s="15" t="str">
        <f t="shared" si="38"/>
        <v>Xinpu Xiang (Wēnzhōu Shì)</v>
      </c>
      <c r="P1237" s="15" t="str">
        <f t="shared" si="39"/>
        <v>Xinpu Xiang (Wēnzhōu Shì)</v>
      </c>
    </row>
    <row r="1238" spans="1:16" hidden="1" x14ac:dyDescent="0.25">
      <c r="A1238" t="s">
        <v>1594</v>
      </c>
      <c r="B1238" t="str">
        <f>IF(COUNTIF(A:A,A1238)&gt;1,_xlfn.CONCAT(A1238," (",N1238,")"),A1238)</f>
        <v>Xīnpŭ Zhèn</v>
      </c>
      <c r="C1238" t="str">
        <f>IF(COUNTIF(B:B,B1238)&gt;1,_xlfn.CONCAT(A1238," (",M1238,")"),B1238)</f>
        <v>Xīnpŭ Zhèn</v>
      </c>
      <c r="D1238" t="s">
        <v>1595</v>
      </c>
      <c r="E1238" t="s">
        <v>11</v>
      </c>
      <c r="F1238" t="str">
        <f>_xlfn.CONCAT(D1238,", ",H1238,", ",I1238,", ","浙江省")</f>
        <v>新浦镇, 慈溪市, 宁波市, 浙江省</v>
      </c>
      <c r="G1238">
        <v>64166</v>
      </c>
      <c r="H1238" t="s">
        <v>2963</v>
      </c>
      <c r="I1238" t="s">
        <v>2961</v>
      </c>
      <c r="J1238">
        <f>VLOOKUP(F1238,[1]!china_towns_second__2[[Column1]:[Y]],3,FALSE)</f>
        <v>30.2822331552353</v>
      </c>
      <c r="K1238">
        <f>VLOOKUP(F1238,[1]!china_towns_second__2[[Column1]:[Y]],2,FALSE)</f>
        <v>121.3906028</v>
      </c>
      <c r="L1238" t="s">
        <v>4869</v>
      </c>
      <c r="M1238" t="str">
        <f>VLOOKUP(H1238,CHOOSE({1,2},Table12[Native],Table12[Name]),2,0)</f>
        <v>Cíxī Shì</v>
      </c>
      <c r="N1238" s="15" t="str">
        <f>VLOOKUP(I1238,CHOOSE({1,2},Table12[Native],Table12[Name]),2,0)</f>
        <v>Níngbō Shì</v>
      </c>
      <c r="O1238" s="15" t="str">
        <f t="shared" si="38"/>
        <v>Xinpu Zhen (Níngbō Shì)</v>
      </c>
      <c r="P1238" s="15" t="str">
        <f t="shared" si="39"/>
        <v>Xinpu Zhen (Níngbō Shì)</v>
      </c>
    </row>
    <row r="1239" spans="1:16" hidden="1" x14ac:dyDescent="0.25">
      <c r="A1239" t="s">
        <v>1598</v>
      </c>
      <c r="B1239" t="str">
        <f>IF(COUNTIF(A:A,A1239)&gt;1,_xlfn.CONCAT(A1239," (",N1239,")"),A1239)</f>
        <v>Xīnqì Jiēdào</v>
      </c>
      <c r="C1239" t="str">
        <f>IF(COUNTIF(B:B,B1239)&gt;1,_xlfn.CONCAT(A1239," (",M1239,")"),B1239)</f>
        <v>Xīnqì Jiēdào</v>
      </c>
      <c r="D1239" t="s">
        <v>1599</v>
      </c>
      <c r="E1239" t="s">
        <v>15</v>
      </c>
      <c r="F1239" t="str">
        <f>_xlfn.CONCAT(D1239,", ",H1239,", ",I1239,", ","浙江省")</f>
        <v>新碶街道, 北仑区, 宁波市, 浙江省</v>
      </c>
      <c r="G1239">
        <v>150729</v>
      </c>
      <c r="H1239" t="s">
        <v>2962</v>
      </c>
      <c r="I1239" t="s">
        <v>2961</v>
      </c>
      <c r="J1239">
        <f>VLOOKUP(F1239,[1]!china_towns_second__2[[Column1]:[Y]],3,FALSE)</f>
        <v>29.9290413771933</v>
      </c>
      <c r="K1239">
        <f>VLOOKUP(F1239,[1]!china_towns_second__2[[Column1]:[Y]],2,FALSE)</f>
        <v>121.8216156</v>
      </c>
      <c r="L1239" t="s">
        <v>4870</v>
      </c>
      <c r="M1239" t="str">
        <f>VLOOKUP(H1239,CHOOSE({1,2},Table12[Native],Table12[Name]),2,0)</f>
        <v>Bĕilún Qū</v>
      </c>
      <c r="N1239" s="15" t="str">
        <f>VLOOKUP(I1239,CHOOSE({1,2},Table12[Native],Table12[Name]),2,0)</f>
        <v>Níngbō Shì</v>
      </c>
      <c r="O1239" s="15" t="str">
        <f t="shared" si="38"/>
        <v>Xinqi Jiedao (Níngbō Shì)</v>
      </c>
      <c r="P1239" s="15" t="str">
        <f t="shared" si="39"/>
        <v>Xinqi Jiedao (Níngbō Shì)</v>
      </c>
    </row>
    <row r="1240" spans="1:16" hidden="1" x14ac:dyDescent="0.25">
      <c r="A1240" t="s">
        <v>2243</v>
      </c>
      <c r="B1240" t="str">
        <f>IF(COUNTIF(A:A,A1240)&gt;1,_xlfn.CONCAT(A1240," (",N1240,")"),A1240)</f>
        <v>Xīnqián Jiēdào</v>
      </c>
      <c r="C1240" t="str">
        <f>IF(COUNTIF(B:B,B1240)&gt;1,_xlfn.CONCAT(A1240," (",M1240,")"),B1240)</f>
        <v>Xīnqián Jiēdào</v>
      </c>
      <c r="D1240" t="s">
        <v>2244</v>
      </c>
      <c r="E1240" t="s">
        <v>15</v>
      </c>
      <c r="F1240" t="str">
        <f>_xlfn.CONCAT(D1240,", ",H1240,", ",I1240,", ","浙江省")</f>
        <v>新前街道, 黄岩区, 台州市, 浙江省</v>
      </c>
      <c r="G1240">
        <v>55718</v>
      </c>
      <c r="H1240" t="s">
        <v>2990</v>
      </c>
      <c r="I1240" t="s">
        <v>2989</v>
      </c>
      <c r="J1240">
        <f>VLOOKUP(F1240,[1]!china_towns_second__2[[Column1]:[Y]],3,FALSE)</f>
        <v>28.6855600847001</v>
      </c>
      <c r="K1240">
        <f>VLOOKUP(F1240,[1]!china_towns_second__2[[Column1]:[Y]],2,FALSE)</f>
        <v>121.19439559999999</v>
      </c>
      <c r="L1240" t="s">
        <v>4871</v>
      </c>
      <c r="M1240" t="str">
        <f>VLOOKUP(H1240,CHOOSE({1,2},Table12[Native],Table12[Name]),2,0)</f>
        <v>Huángyán Qū</v>
      </c>
      <c r="N1240" s="15" t="str">
        <f>VLOOKUP(I1240,CHOOSE({1,2},Table12[Native],Table12[Name]),2,0)</f>
        <v>Táizhōu Shì</v>
      </c>
      <c r="O1240" s="15" t="str">
        <f t="shared" si="38"/>
        <v>Xinqian Jiedao (Táizhōu Shì)</v>
      </c>
      <c r="P1240" s="15" t="str">
        <f t="shared" si="39"/>
        <v>Xinqian Jiedao (Táizhōu Shì)</v>
      </c>
    </row>
    <row r="1241" spans="1:16" hidden="1" x14ac:dyDescent="0.25">
      <c r="A1241" t="s">
        <v>2737</v>
      </c>
      <c r="B1241" t="str">
        <f>IF(COUNTIF(A:A,A1241)&gt;1,_xlfn.CONCAT(A1241," (",N1241,")"),A1241)</f>
        <v>Xīnqiáo Jiēdào</v>
      </c>
      <c r="C1241" t="str">
        <f>IF(COUNTIF(B:B,B1241)&gt;1,_xlfn.CONCAT(A1241," (",M1241,")"),B1241)</f>
        <v>Xīnqiáo Jiēdào</v>
      </c>
      <c r="D1241" t="s">
        <v>2738</v>
      </c>
      <c r="E1241" t="s">
        <v>15</v>
      </c>
      <c r="F1241" t="str">
        <f>_xlfn.CONCAT(D1241,", ",H1241,", ",I1241,", ","浙江省")</f>
        <v>新桥街道, 瓯海区, 温州市, 浙江省</v>
      </c>
      <c r="G1241">
        <v>93531</v>
      </c>
      <c r="H1241" t="s">
        <v>3005</v>
      </c>
      <c r="I1241" t="s">
        <v>3000</v>
      </c>
      <c r="J1241">
        <f>VLOOKUP(F1241,[1]!china_towns_second__2[[Column1]:[Y]],3,FALSE)</f>
        <v>27.982558618652199</v>
      </c>
      <c r="K1241">
        <f>VLOOKUP(F1241,[1]!china_towns_second__2[[Column1]:[Y]],2,FALSE)</f>
        <v>120.62380659999999</v>
      </c>
      <c r="L1241" t="s">
        <v>4872</v>
      </c>
      <c r="M1241" t="str">
        <f>VLOOKUP(H1241,CHOOSE({1,2},Table12[Native],Table12[Name]),2,0)</f>
        <v>Ōuhăi Qū</v>
      </c>
      <c r="N1241" s="15" t="str">
        <f>VLOOKUP(I1241,CHOOSE({1,2},Table12[Native],Table12[Name]),2,0)</f>
        <v>Wēnzhōu Shì</v>
      </c>
      <c r="O1241" s="15" t="str">
        <f t="shared" si="38"/>
        <v>Xinqiao Jiedao (Wēnzhōu Shì)</v>
      </c>
      <c r="P1241" s="15" t="str">
        <f t="shared" si="39"/>
        <v>Xinqiao Jiedao (Wēnzhōu Shì)</v>
      </c>
    </row>
    <row r="1242" spans="1:16" hidden="1" x14ac:dyDescent="0.25">
      <c r="A1242" t="s">
        <v>360</v>
      </c>
      <c r="B1242" t="str">
        <f>IF(COUNTIF(A:A,A1242)&gt;1,_xlfn.CONCAT(A1242," (",N1242,")"),A1242)</f>
        <v>Xīnqiáo Xiāng</v>
      </c>
      <c r="C1242" t="str">
        <f>IF(COUNTIF(B:B,B1242)&gt;1,_xlfn.CONCAT(A1242," (",M1242,")"),B1242)</f>
        <v>Xīnqiáo Xiāng</v>
      </c>
      <c r="D1242" t="s">
        <v>361</v>
      </c>
      <c r="E1242" t="s">
        <v>7</v>
      </c>
      <c r="F1242" t="str">
        <f>_xlfn.CONCAT(D1242,", ",H1242,", ",I1242,", ","浙江省")</f>
        <v>新桥乡, 临安区, 杭州市, 浙江省</v>
      </c>
      <c r="G1242">
        <v>6029</v>
      </c>
      <c r="H1242" t="s">
        <v>2911</v>
      </c>
      <c r="I1242" t="s">
        <v>2903</v>
      </c>
      <c r="J1242" t="e">
        <f>VLOOKUP(F1242,[1]!china_towns_second__2[[Column1]:[Y]],3,FALSE)</f>
        <v>#N/A</v>
      </c>
      <c r="K1242" t="e">
        <f>VLOOKUP(F1242,[1]!china_towns_second__2[[Column1]:[Y]],2,FALSE)</f>
        <v>#N/A</v>
      </c>
      <c r="L1242" t="s">
        <v>4873</v>
      </c>
      <c r="M1242" t="str">
        <f>VLOOKUP(H1242,CHOOSE({1,2},Table12[Native],Table12[Name]),2,0)</f>
        <v>Lín'ān Qū</v>
      </c>
      <c r="N1242" s="15" t="str">
        <f>VLOOKUP(I1242,CHOOSE({1,2},Table12[Native],Table12[Name]),2,0)</f>
        <v>Hángzhōu Shì</v>
      </c>
      <c r="O1242" s="15" t="str">
        <f t="shared" si="38"/>
        <v>Xinqiao Xiang (Hángzhōu Shì)</v>
      </c>
      <c r="P1242" s="15" t="str">
        <f t="shared" si="39"/>
        <v>Xinqiao Xiang (Hángzhōu Shì)</v>
      </c>
    </row>
    <row r="1243" spans="1:16" hidden="1" x14ac:dyDescent="0.25">
      <c r="A1243" t="s">
        <v>1596</v>
      </c>
      <c r="B1243" t="str">
        <f>IF(COUNTIF(A:A,A1243)&gt;1,_xlfn.CONCAT(A1243," (",N1243,")"),A1243)</f>
        <v>Xīnqiáo Zhèn (Níngbō Shì)</v>
      </c>
      <c r="C1243" t="str">
        <f>IF(COUNTIF(B:B,B1243)&gt;1,_xlfn.CONCAT(A1243," (",M1243,")"),B1243)</f>
        <v>Xīnqiáo Zhèn (Níngbō Shì)</v>
      </c>
      <c r="D1243" t="s">
        <v>1597</v>
      </c>
      <c r="E1243" t="s">
        <v>11</v>
      </c>
      <c r="F1243" t="str">
        <f>_xlfn.CONCAT(D1243,", ",H1243,", ",I1243,", ","浙江省")</f>
        <v>新桥镇, 象山县, 宁波市, 浙江省</v>
      </c>
      <c r="G1243">
        <v>16207</v>
      </c>
      <c r="H1243" t="s">
        <v>2968</v>
      </c>
      <c r="I1243" t="s">
        <v>2961</v>
      </c>
      <c r="J1243">
        <f>VLOOKUP(F1243,[1]!china_towns_second__2[[Column1]:[Y]],3,FALSE)</f>
        <v>29.322754748339399</v>
      </c>
      <c r="K1243">
        <f>VLOOKUP(F1243,[1]!china_towns_second__2[[Column1]:[Y]],2,FALSE)</f>
        <v>121.84352490000001</v>
      </c>
      <c r="L1243" t="s">
        <v>4874</v>
      </c>
      <c r="M1243" t="str">
        <f>VLOOKUP(H1243,CHOOSE({1,2},Table12[Native],Table12[Name]),2,0)</f>
        <v>Xiàngshān Xiàn</v>
      </c>
      <c r="N1243" s="15" t="str">
        <f>VLOOKUP(I1243,CHOOSE({1,2},Table12[Native],Table12[Name]),2,0)</f>
        <v>Níngbō Shì</v>
      </c>
      <c r="O1243" s="15" t="str">
        <f t="shared" si="38"/>
        <v>Xinqiao Zhen (Ningbo Shi) (Níngbō Shì)</v>
      </c>
      <c r="P1243" s="15" t="str">
        <f t="shared" si="39"/>
        <v>Xinqiao Zhen (Ningbo Shi) (Níngbō Shì)</v>
      </c>
    </row>
    <row r="1244" spans="1:16" hidden="1" x14ac:dyDescent="0.25">
      <c r="A1244" t="s">
        <v>1596</v>
      </c>
      <c r="B1244" t="str">
        <f>IF(COUNTIF(A:A,A1244)&gt;1,_xlfn.CONCAT(A1244," (",N1244,")"),A1244)</f>
        <v>Xīnqiáo Zhèn (Táizhōu Shì)</v>
      </c>
      <c r="C1244" t="str">
        <f>IF(COUNTIF(B:B,B1244)&gt;1,_xlfn.CONCAT(A1244," (",M1244,")"),B1244)</f>
        <v>Xīnqiáo Zhèn (Táizhōu Shì)</v>
      </c>
      <c r="D1244" t="s">
        <v>1597</v>
      </c>
      <c r="E1244" t="s">
        <v>11</v>
      </c>
      <c r="F1244" t="str">
        <f>_xlfn.CONCAT(D1244,", ",H1244,", ",I1244,", ","浙江省")</f>
        <v>新桥镇, 路桥区, 台州市, 浙江省</v>
      </c>
      <c r="G1244">
        <v>39595</v>
      </c>
      <c r="H1244" t="s">
        <v>2993</v>
      </c>
      <c r="I1244" t="s">
        <v>2989</v>
      </c>
      <c r="J1244">
        <f>VLOOKUP(F1244,[1]!china_towns_second__2[[Column1]:[Y]],3,FALSE)</f>
        <v>28.5198900103107</v>
      </c>
      <c r="K1244">
        <f>VLOOKUP(F1244,[1]!china_towns_second__2[[Column1]:[Y]],2,FALSE)</f>
        <v>121.4119366</v>
      </c>
      <c r="L1244" t="s">
        <v>4875</v>
      </c>
      <c r="M1244" t="str">
        <f>VLOOKUP(H1244,CHOOSE({1,2},Table12[Native],Table12[Name]),2,0)</f>
        <v>Lùqiáo Qū</v>
      </c>
      <c r="N1244" s="15" t="str">
        <f>VLOOKUP(I1244,CHOOSE({1,2},Table12[Native],Table12[Name]),2,0)</f>
        <v>Táizhōu Shì</v>
      </c>
      <c r="O1244" s="15" t="str">
        <f t="shared" si="38"/>
        <v>Xinqiao Zhen (Taizhou Shi) (Táizhōu Shì)</v>
      </c>
      <c r="P1244" s="15" t="str">
        <f t="shared" si="39"/>
        <v>Xinqiao Zhen (Taizhou Shi) (Táizhōu Shì)</v>
      </c>
    </row>
    <row r="1245" spans="1:16" hidden="1" x14ac:dyDescent="0.25">
      <c r="A1245" t="s">
        <v>947</v>
      </c>
      <c r="B1245" t="str">
        <f>IF(COUNTIF(A:A,A1245)&gt;1,_xlfn.CONCAT(A1245," (",N1245,")"),A1245)</f>
        <v>Xīnshī Jiēdào</v>
      </c>
      <c r="C1245" t="str">
        <f>IF(COUNTIF(B:B,B1245)&gt;1,_xlfn.CONCAT(A1245," (",M1245,")"),B1245)</f>
        <v>Xīnshī Jiēdào</v>
      </c>
      <c r="D1245" t="s">
        <v>948</v>
      </c>
      <c r="E1245" t="s">
        <v>15</v>
      </c>
      <c r="F1245" t="str">
        <f>_xlfn.CONCAT(D1245,", ",H1245,", ",I1245,", ","浙江省")</f>
        <v>新狮街道, 婺城区, 金华市, 浙江省</v>
      </c>
      <c r="G1245">
        <v>64410</v>
      </c>
      <c r="H1245" t="s">
        <v>2944</v>
      </c>
      <c r="I1245" t="s">
        <v>2938</v>
      </c>
      <c r="J1245">
        <f>VLOOKUP(F1245,[1]!china_towns_second__2[[Column1]:[Y]],3,FALSE)</f>
        <v>29.142864463224299</v>
      </c>
      <c r="K1245">
        <f>VLOOKUP(F1245,[1]!china_towns_second__2[[Column1]:[Y]],2,FALSE)</f>
        <v>119.6537357</v>
      </c>
      <c r="L1245" t="s">
        <v>4876</v>
      </c>
      <c r="M1245" t="str">
        <f>VLOOKUP(H1245,CHOOSE({1,2},Table12[Native],Table12[Name]),2,0)</f>
        <v>Wùchéng Qū</v>
      </c>
      <c r="N1245" s="15" t="str">
        <f>VLOOKUP(I1245,CHOOSE({1,2},Table12[Native],Table12[Name]),2,0)</f>
        <v>Jīnhuá Shì</v>
      </c>
      <c r="O1245" s="15" t="str">
        <f t="shared" si="38"/>
        <v>Xinshi Jiedao (Jīnhuá Shì)</v>
      </c>
      <c r="P1245" s="15" t="str">
        <f t="shared" si="39"/>
        <v>Xinshi Jiedao (Jīnhuá Shì)</v>
      </c>
    </row>
    <row r="1246" spans="1:16" hidden="1" x14ac:dyDescent="0.25">
      <c r="A1246" t="s">
        <v>533</v>
      </c>
      <c r="B1246" t="str">
        <f>IF(COUNTIF(A:A,A1246)&gt;1,_xlfn.CONCAT(A1246," (",N1246,")"),A1246)</f>
        <v>Xīnshì Zhèn</v>
      </c>
      <c r="C1246" t="str">
        <f>IF(COUNTIF(B:B,B1246)&gt;1,_xlfn.CONCAT(A1246," (",M1246,")"),B1246)</f>
        <v>Xīnshì Zhèn</v>
      </c>
      <c r="D1246" t="s">
        <v>534</v>
      </c>
      <c r="E1246" t="s">
        <v>11</v>
      </c>
      <c r="F1246" t="str">
        <f>_xlfn.CONCAT(D1246,", ",H1246,", ",I1246,", ","浙江省")</f>
        <v>新市镇, 德清县, 湖州市, 浙江省</v>
      </c>
      <c r="G1246">
        <v>68646</v>
      </c>
      <c r="H1246" t="s">
        <v>2925</v>
      </c>
      <c r="I1246" t="s">
        <v>2922</v>
      </c>
      <c r="J1246">
        <f>VLOOKUP(F1246,[1]!china_towns_second__2[[Column1]:[Y]],3,FALSE)</f>
        <v>30.612709100106599</v>
      </c>
      <c r="K1246">
        <f>VLOOKUP(F1246,[1]!china_towns_second__2[[Column1]:[Y]],2,FALSE)</f>
        <v>120.2553654</v>
      </c>
      <c r="L1246" t="s">
        <v>4877</v>
      </c>
      <c r="M1246" t="str">
        <f>VLOOKUP(H1246,CHOOSE({1,2},Table12[Native],Table12[Name]),2,0)</f>
        <v>Déqīng Xiàn</v>
      </c>
      <c r="N1246" s="15" t="str">
        <f>VLOOKUP(I1246,CHOOSE({1,2},Table12[Native],Table12[Name]),2,0)</f>
        <v>Húzhōu Shì</v>
      </c>
      <c r="O1246" s="15" t="str">
        <f t="shared" si="38"/>
        <v>Xinshi Zhen (Húzhōu Shì)</v>
      </c>
      <c r="P1246" s="15" t="str">
        <f t="shared" si="39"/>
        <v>Xinshi Zhen (Húzhōu Shì)</v>
      </c>
    </row>
    <row r="1247" spans="1:16" hidden="1" x14ac:dyDescent="0.25">
      <c r="A1247" t="s">
        <v>362</v>
      </c>
      <c r="B1247" t="str">
        <f>IF(COUNTIF(A:A,A1247)&gt;1,_xlfn.CONCAT(A1247," (",N1247,")"),A1247)</f>
        <v>Xīntáng Jiēdào</v>
      </c>
      <c r="C1247" t="str">
        <f>IF(COUNTIF(B:B,B1247)&gt;1,_xlfn.CONCAT(A1247," (",M1247,")"),B1247)</f>
        <v>Xīntáng Jiēdào</v>
      </c>
      <c r="D1247" t="s">
        <v>363</v>
      </c>
      <c r="E1247" t="s">
        <v>15</v>
      </c>
      <c r="F1247" t="str">
        <f>_xlfn.CONCAT(D1247,", ",H1247,", ",I1247,", ","浙江省")</f>
        <v>新塘街道, 萧山区, 杭州市, 浙江省</v>
      </c>
      <c r="G1247">
        <v>88452</v>
      </c>
      <c r="H1247" t="s">
        <v>2917</v>
      </c>
      <c r="I1247" t="s">
        <v>2903</v>
      </c>
      <c r="J1247">
        <f>VLOOKUP(F1247,[1]!china_towns_second__2[[Column1]:[Y]],3,FALSE)</f>
        <v>30.1564133914788</v>
      </c>
      <c r="K1247">
        <f>VLOOKUP(F1247,[1]!china_towns_second__2[[Column1]:[Y]],2,FALSE)</f>
        <v>120.3070515</v>
      </c>
      <c r="L1247" t="s">
        <v>4878</v>
      </c>
      <c r="M1247" t="str">
        <f>VLOOKUP(H1247,CHOOSE({1,2},Table12[Native],Table12[Name]),2,0)</f>
        <v>Xiāoshān Qū</v>
      </c>
      <c r="N1247" s="15" t="str">
        <f>VLOOKUP(I1247,CHOOSE({1,2},Table12[Native],Table12[Name]),2,0)</f>
        <v>Hángzhōu Shì</v>
      </c>
      <c r="O1247" s="15" t="str">
        <f t="shared" si="38"/>
        <v>Xintang Jiedao (Hángzhōu Shì)</v>
      </c>
      <c r="P1247" s="15" t="str">
        <f t="shared" si="39"/>
        <v>Xintang Jiedao (Hángzhōu Shì)</v>
      </c>
    </row>
    <row r="1248" spans="1:16" hidden="1" x14ac:dyDescent="0.25">
      <c r="A1248" t="s">
        <v>1808</v>
      </c>
      <c r="B1248" t="str">
        <f>IF(COUNTIF(A:A,A1248)&gt;1,_xlfn.CONCAT(A1248," (",N1248,")"),A1248)</f>
        <v>Xīntángbiān Zhèn</v>
      </c>
      <c r="C1248" t="str">
        <f>IF(COUNTIF(B:B,B1248)&gt;1,_xlfn.CONCAT(A1248," (",M1248,")"),B1248)</f>
        <v>Xīntángbiān Zhèn</v>
      </c>
      <c r="D1248" t="s">
        <v>1809</v>
      </c>
      <c r="E1248" t="s">
        <v>11</v>
      </c>
      <c r="F1248" t="str">
        <f>_xlfn.CONCAT(D1248,", ",H1248,", ",I1248,", ","浙江省")</f>
        <v>新塘边镇, 江山市, 衢州市, 浙江省</v>
      </c>
      <c r="G1248">
        <v>16838</v>
      </c>
      <c r="H1248" t="s">
        <v>2975</v>
      </c>
      <c r="I1248" t="s">
        <v>2973</v>
      </c>
      <c r="J1248">
        <f>VLOOKUP(F1248,[1]!china_towns_second__2[[Column1]:[Y]],3,FALSE)</f>
        <v>28.6032277912384</v>
      </c>
      <c r="K1248">
        <f>VLOOKUP(F1248,[1]!china_towns_second__2[[Column1]:[Y]],2,FALSE)</f>
        <v>118.44661929999999</v>
      </c>
      <c r="L1248" t="s">
        <v>4879</v>
      </c>
      <c r="M1248" t="str">
        <f>VLOOKUP(H1248,CHOOSE({1,2},Table12[Native],Table12[Name]),2,0)</f>
        <v>Jiāngshān Shì</v>
      </c>
      <c r="N1248" s="15" t="str">
        <f>VLOOKUP(I1248,CHOOSE({1,2},Table12[Native],Table12[Name]),2,0)</f>
        <v>Qúzhōu Shì</v>
      </c>
      <c r="O1248" s="15" t="str">
        <f t="shared" si="38"/>
        <v>Xintangbian Zhen (Qúzhōu Shì)</v>
      </c>
      <c r="P1248" s="15" t="str">
        <f t="shared" si="39"/>
        <v>Xintangbian Zhen (Qúzhōu Shì)</v>
      </c>
    </row>
    <row r="1249" spans="1:16" hidden="1" x14ac:dyDescent="0.25">
      <c r="A1249" t="s">
        <v>364</v>
      </c>
      <c r="B1249" t="str">
        <f>IF(COUNTIF(A:A,A1249)&gt;1,_xlfn.CONCAT(A1249," (",N1249,")"),A1249)</f>
        <v>Xīntóng Xiāng</v>
      </c>
      <c r="C1249" t="str">
        <f>IF(COUNTIF(B:B,B1249)&gt;1,_xlfn.CONCAT(A1249," (",M1249,")"),B1249)</f>
        <v>Xīntóng Xiāng</v>
      </c>
      <c r="D1249" t="s">
        <v>365</v>
      </c>
      <c r="E1249" t="s">
        <v>7</v>
      </c>
      <c r="F1249" t="str">
        <f>_xlfn.CONCAT(D1249,", ",H1249,", ",I1249,", ","浙江省")</f>
        <v>新桐乡, 富阳区, 杭州市, 浙江省</v>
      </c>
      <c r="G1249">
        <v>7832</v>
      </c>
      <c r="H1249" t="s">
        <v>2908</v>
      </c>
      <c r="I1249" t="s">
        <v>2903</v>
      </c>
      <c r="J1249" t="e">
        <f>VLOOKUP(F1249,[1]!china_towns_second__2[[Column1]:[Y]],3,FALSE)</f>
        <v>#N/A</v>
      </c>
      <c r="K1249" t="e">
        <f>VLOOKUP(F1249,[1]!china_towns_second__2[[Column1]:[Y]],2,FALSE)</f>
        <v>#N/A</v>
      </c>
      <c r="L1249" t="s">
        <v>4880</v>
      </c>
      <c r="M1249" t="str">
        <f>VLOOKUP(H1249,CHOOSE({1,2},Table12[Native],Table12[Name]),2,0)</f>
        <v>Fùyáng Qū</v>
      </c>
      <c r="N1249" s="15" t="str">
        <f>VLOOKUP(I1249,CHOOSE({1,2},Table12[Native],Table12[Name]),2,0)</f>
        <v>Hángzhōu Shì</v>
      </c>
      <c r="O1249" s="15" t="str">
        <f t="shared" si="38"/>
        <v>Xintong Xiang (Hángzhōu Shì)</v>
      </c>
      <c r="P1249" s="15" t="str">
        <f t="shared" si="39"/>
        <v>Xintong Xiang (Hángzhōu Shì)</v>
      </c>
    </row>
    <row r="1250" spans="1:16" hidden="1" x14ac:dyDescent="0.25">
      <c r="A1250" t="s">
        <v>366</v>
      </c>
      <c r="B1250" t="str">
        <f>IF(COUNTIF(A:A,A1250)&gt;1,_xlfn.CONCAT(A1250," (",N1250,")"),A1250)</f>
        <v>Xīnwān Jiēdào</v>
      </c>
      <c r="C1250" t="str">
        <f>IF(COUNTIF(B:B,B1250)&gt;1,_xlfn.CONCAT(A1250," (",M1250,")"),B1250)</f>
        <v>Xīnwān Jiēdào</v>
      </c>
      <c r="D1250" t="s">
        <v>367</v>
      </c>
      <c r="E1250" t="s">
        <v>15</v>
      </c>
      <c r="F1250" t="str">
        <f>_xlfn.CONCAT(D1250,", ",H1250,", ",I1250,", ","浙江省")</f>
        <v>新湾街道, 钱塘区, 杭州市, 浙江省</v>
      </c>
      <c r="G1250">
        <v>27050</v>
      </c>
      <c r="H1250" t="s">
        <v>2914</v>
      </c>
      <c r="I1250" t="s">
        <v>2903</v>
      </c>
      <c r="J1250" t="e">
        <f>VLOOKUP(F1250,[1]!china_towns_second__2[[Column1]:[Y]],3,FALSE)</f>
        <v>#N/A</v>
      </c>
      <c r="K1250" t="e">
        <f>VLOOKUP(F1250,[1]!china_towns_second__2[[Column1]:[Y]],2,FALSE)</f>
        <v>#N/A</v>
      </c>
      <c r="L1250" t="s">
        <v>4881</v>
      </c>
      <c r="M1250" t="str">
        <f>VLOOKUP(H1250,CHOOSE({1,2},Table12[Native],Table12[Name]),2,0)</f>
        <v>Qiántáng Qū</v>
      </c>
      <c r="N1250" s="15" t="str">
        <f>VLOOKUP(I1250,CHOOSE({1,2},Table12[Native],Table12[Name]),2,0)</f>
        <v>Hángzhōu Shì</v>
      </c>
      <c r="O1250" s="15" t="str">
        <f t="shared" si="38"/>
        <v>Xinwan Jiedao (Hángzhōu Shì)</v>
      </c>
      <c r="P1250" s="15" t="str">
        <f t="shared" si="39"/>
        <v>Xinwan Jiedao (Hángzhōu Shì)</v>
      </c>
    </row>
    <row r="1251" spans="1:16" hidden="1" x14ac:dyDescent="0.25">
      <c r="A1251" t="s">
        <v>949</v>
      </c>
      <c r="B1251" t="str">
        <f>IF(COUNTIF(A:A,A1251)&gt;1,_xlfn.CONCAT(A1251," (",N1251,")"),A1251)</f>
        <v>Xīnwò Jiēdào [incl. Shēnzé Xiāng]</v>
      </c>
      <c r="C1251" t="str">
        <f>IF(COUNTIF(B:B,B1251)&gt;1,_xlfn.CONCAT(A1251," (",M1251,")"),B1251)</f>
        <v>Xīnwò Jiēdào [incl. Shēnzé Xiāng]</v>
      </c>
      <c r="D1251" t="s">
        <v>950</v>
      </c>
      <c r="E1251" t="s">
        <v>15</v>
      </c>
      <c r="F1251" t="str">
        <f>_xlfn.CONCAT(D1251,", ",H1251,", ",I1251,", ","浙江省")</f>
        <v>新渥街道, 磐安县, 金华市, 浙江省</v>
      </c>
      <c r="G1251">
        <v>23691</v>
      </c>
      <c r="H1251" t="s">
        <v>2942</v>
      </c>
      <c r="I1251" t="s">
        <v>2938</v>
      </c>
      <c r="J1251" t="e">
        <f>VLOOKUP(F1251,[1]!china_towns_second__2[[Column1]:[Y]],3,FALSE)</f>
        <v>#N/A</v>
      </c>
      <c r="K1251" t="e">
        <f>VLOOKUP(F1251,[1]!china_towns_second__2[[Column1]:[Y]],2,FALSE)</f>
        <v>#N/A</v>
      </c>
      <c r="L1251" t="s">
        <v>4882</v>
      </c>
      <c r="M1251" t="str">
        <f>VLOOKUP(H1251,CHOOSE({1,2},Table12[Native],Table12[Name]),2,0)</f>
        <v>Pán'ān Xiàn</v>
      </c>
      <c r="N1251" s="15" t="str">
        <f>VLOOKUP(I1251,CHOOSE({1,2},Table12[Native],Table12[Name]),2,0)</f>
        <v>Jīnhuá Shì</v>
      </c>
      <c r="O1251" s="15" t="str">
        <f t="shared" si="38"/>
        <v>Xinwo Jiedao [incl. Shenze Xiang] (Jīnhuá Shì)</v>
      </c>
      <c r="P1251" s="15" t="str">
        <f t="shared" si="39"/>
        <v>Xinwo Jiedao [incl. Shenze Xiang] (Jīnhuá Shì)</v>
      </c>
    </row>
    <row r="1252" spans="1:16" hidden="1" x14ac:dyDescent="0.25">
      <c r="A1252" t="s">
        <v>1810</v>
      </c>
      <c r="B1252" t="str">
        <f>IF(COUNTIF(A:A,A1252)&gt;1,_xlfn.CONCAT(A1252," (",N1252,")"),A1252)</f>
        <v>Xīnxīn Jiēdào</v>
      </c>
      <c r="C1252" t="str">
        <f>IF(COUNTIF(B:B,B1252)&gt;1,_xlfn.CONCAT(A1252," (",M1252,")"),B1252)</f>
        <v>Xīnxīn Jiēdào</v>
      </c>
      <c r="D1252" t="s">
        <v>1811</v>
      </c>
      <c r="E1252" t="s">
        <v>15</v>
      </c>
      <c r="F1252" t="str">
        <f>_xlfn.CONCAT(D1252,", ",H1252,", ",I1252,", ","浙江省")</f>
        <v>新新街道, 柯城区, 衢州市, 浙江省</v>
      </c>
      <c r="G1252">
        <v>48501</v>
      </c>
      <c r="H1252" t="s">
        <v>2977</v>
      </c>
      <c r="I1252" t="s">
        <v>2973</v>
      </c>
      <c r="J1252">
        <f>VLOOKUP(F1252,[1]!china_towns_second__2[[Column1]:[Y]],3,FALSE)</f>
        <v>28.941029780008101</v>
      </c>
      <c r="K1252">
        <f>VLOOKUP(F1252,[1]!china_towns_second__2[[Column1]:[Y]],2,FALSE)</f>
        <v>118.9032526</v>
      </c>
      <c r="L1252" t="s">
        <v>4883</v>
      </c>
      <c r="M1252" t="str">
        <f>VLOOKUP(H1252,CHOOSE({1,2},Table12[Native],Table12[Name]),2,0)</f>
        <v>Kēchéng Qū</v>
      </c>
      <c r="N1252" s="15" t="str">
        <f>VLOOKUP(I1252,CHOOSE({1,2},Table12[Native],Table12[Name]),2,0)</f>
        <v>Qúzhōu Shì</v>
      </c>
      <c r="O1252" s="15" t="str">
        <f t="shared" si="38"/>
        <v>Xinxin Jiedao (Qúzhōu Shì)</v>
      </c>
      <c r="P1252" s="15" t="str">
        <f t="shared" si="39"/>
        <v>Xinxin Jiedao (Qúzhōu Shì)</v>
      </c>
    </row>
    <row r="1253" spans="1:16" hidden="1" x14ac:dyDescent="0.25">
      <c r="A1253" t="s">
        <v>673</v>
      </c>
      <c r="B1253" t="str">
        <f>IF(COUNTIF(A:A,A1253)&gt;1,_xlfn.CONCAT(A1253," (",N1253,")"),A1253)</f>
        <v>Xīnxīng Jiēdào</v>
      </c>
      <c r="C1253" t="str">
        <f>IF(COUNTIF(B:B,B1253)&gt;1,_xlfn.CONCAT(A1253," (",M1253,")"),B1253)</f>
        <v>Xīnxīng Jiēdào</v>
      </c>
      <c r="D1253" t="s">
        <v>674</v>
      </c>
      <c r="E1253" t="s">
        <v>15</v>
      </c>
      <c r="F1253" t="str">
        <f>_xlfn.CONCAT(D1253,", ",H1253,", ",I1253,", ","浙江省")</f>
        <v>新兴街道, 南湖区, 嘉兴市, 浙江省</v>
      </c>
      <c r="G1253">
        <v>55017</v>
      </c>
      <c r="H1253" t="s">
        <v>2933</v>
      </c>
      <c r="I1253" t="s">
        <v>2929</v>
      </c>
      <c r="J1253">
        <f>VLOOKUP(F1253,[1]!china_towns_second__2[[Column1]:[Y]],3,FALSE)</f>
        <v>30.752775280900298</v>
      </c>
      <c r="K1253">
        <f>VLOOKUP(F1253,[1]!china_towns_second__2[[Column1]:[Y]],2,FALSE)</f>
        <v>120.73137869999999</v>
      </c>
      <c r="L1253" t="s">
        <v>4884</v>
      </c>
      <c r="M1253" t="str">
        <f>VLOOKUP(H1253,CHOOSE({1,2},Table12[Native],Table12[Name]),2,0)</f>
        <v>Nánhú Qū</v>
      </c>
      <c r="N1253" s="15" t="str">
        <f>VLOOKUP(I1253,CHOOSE({1,2},Table12[Native],Table12[Name]),2,0)</f>
        <v>Jiāxīng Shì</v>
      </c>
      <c r="O1253" s="15" t="str">
        <f t="shared" si="38"/>
        <v>Xinxing Jiedao (Jiāxīng Shì)</v>
      </c>
      <c r="P1253" s="15" t="str">
        <f t="shared" si="39"/>
        <v>Xinxing Jiedao (Jiāxīng Shì)</v>
      </c>
    </row>
    <row r="1254" spans="1:16" hidden="1" x14ac:dyDescent="0.25">
      <c r="A1254" t="s">
        <v>1273</v>
      </c>
      <c r="B1254" t="str">
        <f>IF(COUNTIF(A:A,A1254)&gt;1,_xlfn.CONCAT(A1254," (",N1254,")"),A1254)</f>
        <v>Xīnxīng Zhèn [incl. Xīnchŭ Xiāng, Xiècūn Xiāng]</v>
      </c>
      <c r="C1254" t="str">
        <f>IF(COUNTIF(B:B,B1254)&gt;1,_xlfn.CONCAT(A1254," (",M1254,")"),B1254)</f>
        <v>Xīnxīng Zhèn [incl. Xīnchŭ Xiāng, Xiècūn Xiāng]</v>
      </c>
      <c r="D1254" t="s">
        <v>1274</v>
      </c>
      <c r="E1254" t="s">
        <v>11</v>
      </c>
      <c r="F1254" t="str">
        <f>_xlfn.CONCAT(D1254,", ",H1254,", ",I1254,", ","浙江省")</f>
        <v>新兴镇, 松阳县, 丽水市, 浙江省</v>
      </c>
      <c r="G1254">
        <v>14931</v>
      </c>
      <c r="H1254" t="s">
        <v>2957</v>
      </c>
      <c r="I1254" t="s">
        <v>2949</v>
      </c>
      <c r="J1254">
        <f>VLOOKUP(F1254,[1]!china_towns_second__2[[Column1]:[Y]],3,FALSE)</f>
        <v>28.492621606257799</v>
      </c>
      <c r="K1254">
        <f>VLOOKUP(F1254,[1]!china_towns_second__2[[Column1]:[Y]],2,FALSE)</f>
        <v>119.3218766</v>
      </c>
      <c r="L1254" t="s">
        <v>4885</v>
      </c>
      <c r="M1254" t="str">
        <f>VLOOKUP(H1254,CHOOSE({1,2},Table12[Native],Table12[Name]),2,0)</f>
        <v>Sōngyáng Xiàn</v>
      </c>
      <c r="N1254" s="15" t="str">
        <f>VLOOKUP(I1254,CHOOSE({1,2},Table12[Native],Table12[Name]),2,0)</f>
        <v>Lìshuĭ Shì</v>
      </c>
      <c r="O1254" s="15" t="str">
        <f t="shared" si="38"/>
        <v>Xinxing Zhen [incl. Xinchu Xiang, Xiecun Xiang] (Lìshuĭ Shì)</v>
      </c>
      <c r="P1254" s="15" t="str">
        <f t="shared" si="39"/>
        <v>Xinxing Zhen [incl. Xinchu Xiang, Xiecun Xiang] (Lìshuĭ Shì)</v>
      </c>
    </row>
    <row r="1255" spans="1:16" hidden="1" x14ac:dyDescent="0.25">
      <c r="A1255" t="s">
        <v>951</v>
      </c>
      <c r="B1255" t="str">
        <f>IF(COUNTIF(A:A,A1255)&gt;1,_xlfn.CONCAT(A1255," (",N1255,")"),A1255)</f>
        <v>Xīnzhái Zhèn</v>
      </c>
      <c r="C1255" t="str">
        <f>IF(COUNTIF(B:B,B1255)&gt;1,_xlfn.CONCAT(A1255," (",M1255,")"),B1255)</f>
        <v>Xīnzhái Zhèn</v>
      </c>
      <c r="D1255" t="s">
        <v>952</v>
      </c>
      <c r="E1255" t="s">
        <v>11</v>
      </c>
      <c r="F1255" t="str">
        <f>_xlfn.CONCAT(D1255,", ",H1255,", ",I1255,", ","浙江省")</f>
        <v>新宅镇, 武义县, 金华市, 浙江省</v>
      </c>
      <c r="G1255">
        <v>9146</v>
      </c>
      <c r="H1255" t="s">
        <v>2945</v>
      </c>
      <c r="I1255" t="s">
        <v>2938</v>
      </c>
      <c r="J1255">
        <f>VLOOKUP(F1255,[1]!china_towns_second__2[[Column1]:[Y]],3,FALSE)</f>
        <v>28.701173694442002</v>
      </c>
      <c r="K1255">
        <f>VLOOKUP(F1255,[1]!china_towns_second__2[[Column1]:[Y]],2,FALSE)</f>
        <v>119.76353520000001</v>
      </c>
      <c r="L1255" t="s">
        <v>4886</v>
      </c>
      <c r="M1255" t="str">
        <f>VLOOKUP(H1255,CHOOSE({1,2},Table12[Native],Table12[Name]),2,0)</f>
        <v>Wŭyì Xiàn</v>
      </c>
      <c r="N1255" s="15" t="str">
        <f>VLOOKUP(I1255,CHOOSE({1,2},Table12[Native],Table12[Name]),2,0)</f>
        <v>Jīnhuá Shì</v>
      </c>
      <c r="O1255" s="15" t="str">
        <f t="shared" si="38"/>
        <v>Xinzhai Zhen (Jīnhuá Shì)</v>
      </c>
      <c r="P1255" s="15" t="str">
        <f t="shared" si="39"/>
        <v>Xinzhai Zhen (Jīnhuá Shì)</v>
      </c>
    </row>
    <row r="1256" spans="1:16" hidden="1" x14ac:dyDescent="0.25">
      <c r="A1256" t="s">
        <v>1275</v>
      </c>
      <c r="B1256" t="str">
        <f>IF(COUNTIF(A:A,A1256)&gt;1,_xlfn.CONCAT(A1256," (",N1256,")"),A1256)</f>
        <v>Xīpíng Jiēdào [incl. Shuǐnán Jiēdào; → parts: Wàngsōng Jiēdào]</v>
      </c>
      <c r="C1256" t="str">
        <f>IF(COUNTIF(B:B,B1256)&gt;1,_xlfn.CONCAT(A1256," (",M1256,")"),B1256)</f>
        <v>Xīpíng Jiēdào [incl. Shuǐnán Jiēdào; → parts: Wàngsōng Jiēdào]</v>
      </c>
      <c r="D1256" t="s">
        <v>1276</v>
      </c>
      <c r="E1256" t="s">
        <v>15</v>
      </c>
      <c r="F1256" t="str">
        <f>_xlfn.CONCAT(D1256,", ",H1256,", ",I1256,", ","浙江省")</f>
        <v>西屏街道, 松阳县, 丽水市, 浙江省</v>
      </c>
      <c r="G1256">
        <v>66021</v>
      </c>
      <c r="H1256" t="s">
        <v>2957</v>
      </c>
      <c r="I1256" t="s">
        <v>2949</v>
      </c>
      <c r="J1256">
        <f>VLOOKUP(F1256,[1]!china_towns_second__2[[Column1]:[Y]],3,FALSE)</f>
        <v>28.454870172601701</v>
      </c>
      <c r="K1256">
        <f>VLOOKUP(F1256,[1]!china_towns_second__2[[Column1]:[Y]],2,FALSE)</f>
        <v>119.5092909</v>
      </c>
      <c r="L1256" t="s">
        <v>4887</v>
      </c>
      <c r="M1256" t="str">
        <f>VLOOKUP(H1256,CHOOSE({1,2},Table12[Native],Table12[Name]),2,0)</f>
        <v>Sōngyáng Xiàn</v>
      </c>
      <c r="N1256" s="15" t="str">
        <f>VLOOKUP(I1256,CHOOSE({1,2},Table12[Native],Table12[Name]),2,0)</f>
        <v>Lìshuĭ Shì</v>
      </c>
      <c r="O1256" s="15" t="str">
        <f t="shared" si="38"/>
        <v>Xiping Jiedao [incl. Shuinan Jiedao; → parts: Wangsong Jiedao] (Lìshuĭ Shì)</v>
      </c>
      <c r="P1256" s="15" t="str">
        <f t="shared" si="39"/>
        <v>Xiping Jiedao [incl. Shuinan Jiedao; → parts: Wangsong Jiedao] (Lìshuĭ Shì)</v>
      </c>
    </row>
    <row r="1257" spans="1:16" hidden="1" x14ac:dyDescent="0.25">
      <c r="A1257" t="s">
        <v>677</v>
      </c>
      <c r="B1257" t="str">
        <f>IF(COUNTIF(A:A,A1257)&gt;1,_xlfn.CONCAT(A1257," (",N1257,")"),A1257)</f>
        <v>Xītáng Zhèn</v>
      </c>
      <c r="C1257" t="str">
        <f>IF(COUNTIF(B:B,B1257)&gt;1,_xlfn.CONCAT(A1257," (",M1257,")"),B1257)</f>
        <v>Xītáng Zhèn</v>
      </c>
      <c r="D1257" t="s">
        <v>678</v>
      </c>
      <c r="E1257" t="s">
        <v>11</v>
      </c>
      <c r="F1257" t="str">
        <f>_xlfn.CONCAT(D1257,", ",H1257,", ",I1257,", ","浙江省")</f>
        <v>西塘镇, 嘉善县, 嘉兴市, 浙江省</v>
      </c>
      <c r="G1257">
        <v>65211</v>
      </c>
      <c r="H1257" t="s">
        <v>2932</v>
      </c>
      <c r="I1257" t="s">
        <v>2929</v>
      </c>
      <c r="J1257">
        <f>VLOOKUP(F1257,[1]!china_towns_second__2[[Column1]:[Y]],3,FALSE)</f>
        <v>30.9623847425962</v>
      </c>
      <c r="K1257">
        <f>VLOOKUP(F1257,[1]!china_towns_second__2[[Column1]:[Y]],2,FALSE)</f>
        <v>120.8772184</v>
      </c>
      <c r="L1257" t="s">
        <v>4888</v>
      </c>
      <c r="M1257" t="str">
        <f>VLOOKUP(H1257,CHOOSE({1,2},Table12[Native],Table12[Name]),2,0)</f>
        <v>Jiāshàn Xiàn</v>
      </c>
      <c r="N1257" s="15" t="str">
        <f>VLOOKUP(I1257,CHOOSE({1,2},Table12[Native],Table12[Name]),2,0)</f>
        <v>Jiāxīng Shì</v>
      </c>
      <c r="O1257" s="15" t="str">
        <f t="shared" si="38"/>
        <v>Xitang Zhen (Jiāxīng Shì)</v>
      </c>
      <c r="P1257" s="15" t="str">
        <f t="shared" si="39"/>
        <v>Xitang Zhen (Jiāxīng Shì)</v>
      </c>
    </row>
    <row r="1258" spans="1:16" hidden="1" x14ac:dyDescent="0.25">
      <c r="A1258" t="s">
        <v>675</v>
      </c>
      <c r="B1258" t="str">
        <f>IF(COUNTIF(A:A,A1258)&gt;1,_xlfn.CONCAT(A1258," (",N1258,")"),A1258)</f>
        <v>Xītángqiáo Jiēdào</v>
      </c>
      <c r="C1258" t="str">
        <f>IF(COUNTIF(B:B,B1258)&gt;1,_xlfn.CONCAT(A1258," (",M1258,")"),B1258)</f>
        <v>Xītángqiáo Jiēdào</v>
      </c>
      <c r="D1258" t="s">
        <v>676</v>
      </c>
      <c r="E1258" t="s">
        <v>15</v>
      </c>
      <c r="F1258" t="str">
        <f>_xlfn.CONCAT(D1258,", ",H1258,", ",I1258,", ","浙江省")</f>
        <v>西塘桥街道, 海盐县, 嘉兴市, 浙江省</v>
      </c>
      <c r="G1258">
        <v>62883</v>
      </c>
      <c r="H1258" t="s">
        <v>2931</v>
      </c>
      <c r="I1258" t="s">
        <v>2929</v>
      </c>
      <c r="J1258">
        <f>VLOOKUP(F1258,[1]!china_towns_second__2[[Column1]:[Y]],3,FALSE)</f>
        <v>30.560532348862701</v>
      </c>
      <c r="K1258">
        <f>VLOOKUP(F1258,[1]!china_towns_second__2[[Column1]:[Y]],2,FALSE)</f>
        <v>121.0314947</v>
      </c>
      <c r="L1258" t="s">
        <v>4889</v>
      </c>
      <c r="M1258" t="str">
        <f>VLOOKUP(H1258,CHOOSE({1,2},Table12[Native],Table12[Name]),2,0)</f>
        <v>Hăiyán Xiàn</v>
      </c>
      <c r="N1258" s="15" t="str">
        <f>VLOOKUP(I1258,CHOOSE({1,2},Table12[Native],Table12[Name]),2,0)</f>
        <v>Jiāxīng Shì</v>
      </c>
      <c r="O1258" s="15" t="str">
        <f t="shared" si="38"/>
        <v>Xitangqiao Jiedao (Jiāxīng Shì)</v>
      </c>
      <c r="P1258" s="15" t="str">
        <f t="shared" si="39"/>
        <v>Xitangqiao Jiedao (Jiāxīng Shì)</v>
      </c>
    </row>
    <row r="1259" spans="1:16" hidden="1" x14ac:dyDescent="0.25">
      <c r="A1259" t="s">
        <v>368</v>
      </c>
      <c r="B1259" t="str">
        <f>IF(COUNTIF(A:A,A1259)&gt;1,_xlfn.CONCAT(A1259," (",N1259,")"),A1259)</f>
        <v>Xītiānmù Xiāng</v>
      </c>
      <c r="C1259" t="str">
        <f>IF(COUNTIF(B:B,B1259)&gt;1,_xlfn.CONCAT(A1259," (",M1259,")"),B1259)</f>
        <v>Xītiānmù Xiāng</v>
      </c>
      <c r="D1259" t="s">
        <v>369</v>
      </c>
      <c r="E1259" t="s">
        <v>7</v>
      </c>
      <c r="F1259" t="str">
        <f>_xlfn.CONCAT(D1259,", ",H1259,", ",I1259,", ","浙江省")</f>
        <v>西天目乡, 临安区, 杭州市, 浙江省</v>
      </c>
      <c r="G1259">
        <v>10605</v>
      </c>
      <c r="H1259" t="s">
        <v>2911</v>
      </c>
      <c r="I1259" t="s">
        <v>2903</v>
      </c>
      <c r="J1259" t="e">
        <f>VLOOKUP(F1259,[1]!china_towns_second__2[[Column1]:[Y]],3,FALSE)</f>
        <v>#N/A</v>
      </c>
      <c r="K1259" t="e">
        <f>VLOOKUP(F1259,[1]!china_towns_second__2[[Column1]:[Y]],2,FALSE)</f>
        <v>#N/A</v>
      </c>
      <c r="L1259" t="s">
        <v>4890</v>
      </c>
      <c r="M1259" t="str">
        <f>VLOOKUP(H1259,CHOOSE({1,2},Table12[Native],Table12[Name]),2,0)</f>
        <v>Lín'ān Qū</v>
      </c>
      <c r="N1259" s="15" t="str">
        <f>VLOOKUP(I1259,CHOOSE({1,2},Table12[Native],Table12[Name]),2,0)</f>
        <v>Hángzhōu Shì</v>
      </c>
      <c r="O1259" s="15" t="str">
        <f t="shared" si="38"/>
        <v>Xitianmu Xiang (Hángzhōu Shì)</v>
      </c>
      <c r="P1259" s="15" t="str">
        <f t="shared" si="39"/>
        <v>Xitianmu Xiang (Hángzhōu Shì)</v>
      </c>
    </row>
    <row r="1260" spans="1:16" hidden="1" x14ac:dyDescent="0.25">
      <c r="A1260" t="s">
        <v>2891</v>
      </c>
      <c r="B1260" t="str">
        <f>IF(COUNTIF(A:A,A1260)&gt;1,_xlfn.CONCAT(A1260," (",N1260,")"),A1260)</f>
        <v>Xiùshān Xiāng</v>
      </c>
      <c r="C1260" t="str">
        <f>IF(COUNTIF(B:B,B1260)&gt;1,_xlfn.CONCAT(A1260," (",M1260,")"),B1260)</f>
        <v>Xiùshān Xiāng</v>
      </c>
      <c r="D1260" t="s">
        <v>2892</v>
      </c>
      <c r="E1260" t="s">
        <v>7</v>
      </c>
      <c r="F1260" t="str">
        <f>_xlfn.CONCAT(D1260,", ",H1260,", ",I1260,", ","浙江省")</f>
        <v>秀山乡, 岱山县, 舟山市, 浙江省</v>
      </c>
      <c r="G1260">
        <v>10106</v>
      </c>
      <c r="H1260" t="s">
        <v>3014</v>
      </c>
      <c r="I1260" t="s">
        <v>3013</v>
      </c>
      <c r="J1260" t="e">
        <f>VLOOKUP(F1260,[1]!china_towns_second__2[[Column1]:[Y]],3,FALSE)</f>
        <v>#N/A</v>
      </c>
      <c r="K1260" t="e">
        <f>VLOOKUP(F1260,[1]!china_towns_second__2[[Column1]:[Y]],2,FALSE)</f>
        <v>#N/A</v>
      </c>
      <c r="L1260" t="s">
        <v>4891</v>
      </c>
      <c r="M1260" t="str">
        <f>VLOOKUP(H1260,CHOOSE({1,2},Table12[Native],Table12[Name]),2,0)</f>
        <v>Dàishān Xiàn</v>
      </c>
      <c r="N1260" s="15" t="str">
        <f>VLOOKUP(I1260,CHOOSE({1,2},Table12[Native],Table12[Name]),2,0)</f>
        <v>Zhōushān Shì</v>
      </c>
      <c r="O1260" s="15" t="str">
        <f t="shared" si="38"/>
        <v>Xiushan Xiang (Zhōushān Shì)</v>
      </c>
      <c r="P1260" s="15" t="str">
        <f t="shared" si="39"/>
        <v>Xiushan Xiang (Zhōushān Shì)</v>
      </c>
    </row>
    <row r="1261" spans="1:16" hidden="1" x14ac:dyDescent="0.25">
      <c r="A1261" t="s">
        <v>2739</v>
      </c>
      <c r="B1261" t="str">
        <f>IF(COUNTIF(A:A,A1261)&gt;1,_xlfn.CONCAT(A1261," (",N1261,")"),A1261)</f>
        <v>Xīwān Xiāng</v>
      </c>
      <c r="C1261" t="str">
        <f>IF(COUNTIF(B:B,B1261)&gt;1,_xlfn.CONCAT(A1261," (",M1261,")"),B1261)</f>
        <v>Xīwān Xiāng</v>
      </c>
      <c r="D1261" t="s">
        <v>2740</v>
      </c>
      <c r="E1261" t="s">
        <v>7</v>
      </c>
      <c r="F1261" t="str">
        <f>_xlfn.CONCAT(D1261,", ",H1261,", ",I1261,", ","浙江省")</f>
        <v>西湾乡, 平阳县, 温州市, 浙江省</v>
      </c>
      <c r="G1261">
        <v>4417</v>
      </c>
      <c r="H1261" t="s">
        <v>3006</v>
      </c>
      <c r="I1261" t="s">
        <v>3000</v>
      </c>
      <c r="J1261" t="e">
        <f>VLOOKUP(F1261,[1]!china_towns_second__2[[Column1]:[Y]],3,FALSE)</f>
        <v>#N/A</v>
      </c>
      <c r="K1261" t="e">
        <f>VLOOKUP(F1261,[1]!china_towns_second__2[[Column1]:[Y]],2,FALSE)</f>
        <v>#N/A</v>
      </c>
      <c r="L1261" t="s">
        <v>4892</v>
      </c>
      <c r="M1261" t="str">
        <f>VLOOKUP(H1261,CHOOSE({1,2},Table12[Native],Table12[Name]),2,0)</f>
        <v>Píngyáng Xiàn</v>
      </c>
      <c r="N1261" s="15" t="str">
        <f>VLOOKUP(I1261,CHOOSE({1,2},Table12[Native],Table12[Name]),2,0)</f>
        <v>Wēnzhōu Shì</v>
      </c>
      <c r="O1261" s="15" t="str">
        <f t="shared" si="38"/>
        <v>Xiwan Xiang (Wēnzhōu Shì)</v>
      </c>
      <c r="P1261" s="15" t="str">
        <f t="shared" si="39"/>
        <v>Xiwan Xiang (Wēnzhōu Shì)</v>
      </c>
    </row>
    <row r="1262" spans="1:16" hidden="1" x14ac:dyDescent="0.25">
      <c r="A1262" t="s">
        <v>1600</v>
      </c>
      <c r="B1262" t="str">
        <f>IF(COUNTIF(A:A,A1262)&gt;1,_xlfn.CONCAT(A1262," (",N1262,")"),A1262)</f>
        <v>Xīwù Jiēdào</v>
      </c>
      <c r="C1262" t="str">
        <f>IF(COUNTIF(B:B,B1262)&gt;1,_xlfn.CONCAT(A1262," (",M1262,")"),B1262)</f>
        <v>Xīwù Jiēdào</v>
      </c>
      <c r="D1262" t="s">
        <v>1601</v>
      </c>
      <c r="E1262" t="s">
        <v>15</v>
      </c>
      <c r="F1262" t="str">
        <f>_xlfn.CONCAT(D1262,", ",H1262,", ",I1262,", ","浙江省")</f>
        <v>西坞街道, 奉化区, 宁波市, 浙江省</v>
      </c>
      <c r="G1262">
        <v>39555</v>
      </c>
      <c r="H1262" t="s">
        <v>2964</v>
      </c>
      <c r="I1262" t="s">
        <v>2961</v>
      </c>
      <c r="J1262">
        <f>VLOOKUP(F1262,[1]!china_towns_second__2[[Column1]:[Y]],3,FALSE)</f>
        <v>29.656296370039801</v>
      </c>
      <c r="K1262">
        <f>VLOOKUP(F1262,[1]!china_towns_second__2[[Column1]:[Y]],2,FALSE)</f>
        <v>121.5028403</v>
      </c>
      <c r="L1262" t="s">
        <v>4893</v>
      </c>
      <c r="M1262" t="str">
        <f>VLOOKUP(H1262,CHOOSE({1,2},Table12[Native],Table12[Name]),2,0)</f>
        <v>Fènghuà Qū</v>
      </c>
      <c r="N1262" s="15" t="str">
        <f>VLOOKUP(I1262,CHOOSE({1,2},Table12[Native],Table12[Name]),2,0)</f>
        <v>Níngbō Shì</v>
      </c>
      <c r="O1262" s="15" t="str">
        <f t="shared" si="38"/>
        <v>Xiwu Jiedao (Níngbō Shì)</v>
      </c>
      <c r="P1262" s="15" t="str">
        <f t="shared" si="39"/>
        <v>Xiwu Jiedao (Níngbō Shì)</v>
      </c>
    </row>
    <row r="1263" spans="1:16" hidden="1" x14ac:dyDescent="0.25">
      <c r="A1263" t="s">
        <v>370</v>
      </c>
      <c r="B1263" t="str">
        <f>IF(COUNTIF(A:A,A1263)&gt;1,_xlfn.CONCAT(A1263," (",N1263,")"),A1263)</f>
        <v>Xīxī Jiēdào</v>
      </c>
      <c r="C1263" t="str">
        <f>IF(COUNTIF(B:B,B1263)&gt;1,_xlfn.CONCAT(A1263," (",M1263,")"),B1263)</f>
        <v>Xīxī Jiēdào</v>
      </c>
      <c r="D1263" t="s">
        <v>371</v>
      </c>
      <c r="E1263" t="s">
        <v>15</v>
      </c>
      <c r="F1263" t="str">
        <f>_xlfn.CONCAT(D1263,", ",H1263,", ",I1263,", ","浙江省")</f>
        <v>西溪街道, 西湖区, 杭州市, 浙江省</v>
      </c>
      <c r="G1263">
        <v>79503</v>
      </c>
      <c r="H1263" t="s">
        <v>2918</v>
      </c>
      <c r="I1263" t="s">
        <v>2903</v>
      </c>
      <c r="J1263">
        <f>VLOOKUP(F1263,[1]!china_towns_second__2[[Column1]:[Y]],3,FALSE)</f>
        <v>30.2833463218441</v>
      </c>
      <c r="K1263">
        <f>VLOOKUP(F1263,[1]!china_towns_second__2[[Column1]:[Y]],2,FALSE)</f>
        <v>120.13790729999999</v>
      </c>
      <c r="L1263" t="s">
        <v>4894</v>
      </c>
      <c r="M1263" t="str">
        <f>VLOOKUP(H1263,CHOOSE({1,2},Table12[Native],Table12[Name]),2,0)</f>
        <v>Xīhú Qū</v>
      </c>
      <c r="N1263" s="15" t="str">
        <f>VLOOKUP(I1263,CHOOSE({1,2},Table12[Native],Table12[Name]),2,0)</f>
        <v>Hángzhōu Shì</v>
      </c>
      <c r="O1263" s="15" t="str">
        <f t="shared" si="38"/>
        <v>Xixi Jiedao (Hángzhōu Shì)</v>
      </c>
      <c r="P1263" s="15" t="str">
        <f t="shared" si="39"/>
        <v>Xixi Jiedao (Hángzhōu Shì)</v>
      </c>
    </row>
    <row r="1264" spans="1:16" hidden="1" x14ac:dyDescent="0.25">
      <c r="A1264" t="s">
        <v>2743</v>
      </c>
      <c r="B1264" t="str">
        <f>IF(COUNTIF(A:A,A1264)&gt;1,_xlfn.CONCAT(A1264," (",N1264,")"),A1264)</f>
        <v>Xīxī Xiāng</v>
      </c>
      <c r="C1264" t="str">
        <f>IF(COUNTIF(B:B,B1264)&gt;1,_xlfn.CONCAT(A1264," (",M1264,")"),B1264)</f>
        <v>Xīxī Xiāng</v>
      </c>
      <c r="D1264" t="s">
        <v>2744</v>
      </c>
      <c r="E1264" t="s">
        <v>7</v>
      </c>
      <c r="F1264" t="str">
        <f>_xlfn.CONCAT(D1264,", ",H1264,", ",I1264,", ","浙江省")</f>
        <v>西溪乡, 永嘉县, 温州市, 浙江省</v>
      </c>
      <c r="G1264">
        <v>15540</v>
      </c>
      <c r="H1264" t="s">
        <v>3010</v>
      </c>
      <c r="I1264" t="s">
        <v>3000</v>
      </c>
      <c r="J1264" t="e">
        <f>VLOOKUP(F1264,[1]!china_towns_second__2[[Column1]:[Y]],3,FALSE)</f>
        <v>#N/A</v>
      </c>
      <c r="K1264" t="e">
        <f>VLOOKUP(F1264,[1]!china_towns_second__2[[Column1]:[Y]],2,FALSE)</f>
        <v>#N/A</v>
      </c>
      <c r="L1264" t="s">
        <v>4895</v>
      </c>
      <c r="M1264" t="str">
        <f>VLOOKUP(H1264,CHOOSE({1,2},Table12[Native],Table12[Name]),2,0)</f>
        <v>Yŏngjiā Xiàn</v>
      </c>
      <c r="N1264" s="15" t="str">
        <f>VLOOKUP(I1264,CHOOSE({1,2},Table12[Native],Table12[Name]),2,0)</f>
        <v>Wēnzhōu Shì</v>
      </c>
      <c r="O1264" s="15" t="str">
        <f t="shared" si="38"/>
        <v>Xixi Xiang (Wēnzhōu Shì)</v>
      </c>
      <c r="P1264" s="15" t="str">
        <f t="shared" si="39"/>
        <v>Xixi Xiang (Wēnzhōu Shì)</v>
      </c>
    </row>
    <row r="1265" spans="1:16" hidden="1" x14ac:dyDescent="0.25">
      <c r="A1265" t="s">
        <v>953</v>
      </c>
      <c r="B1265" t="str">
        <f>IF(COUNTIF(A:A,A1265)&gt;1,_xlfn.CONCAT(A1265," (",N1265,")"),A1265)</f>
        <v>Xīxī Zhèn</v>
      </c>
      <c r="C1265" t="str">
        <f>IF(COUNTIF(B:B,B1265)&gt;1,_xlfn.CONCAT(A1265," (",M1265,")"),B1265)</f>
        <v>Xīxī Zhèn</v>
      </c>
      <c r="D1265" t="s">
        <v>954</v>
      </c>
      <c r="E1265" t="s">
        <v>11</v>
      </c>
      <c r="F1265" t="str">
        <f>_xlfn.CONCAT(D1265,", ",H1265,", ",I1265,", ","浙江省")</f>
        <v>西溪镇, 永康市, 金华市, 浙江省</v>
      </c>
      <c r="G1265">
        <v>23723</v>
      </c>
      <c r="H1265" t="s">
        <v>2947</v>
      </c>
      <c r="I1265" t="s">
        <v>2938</v>
      </c>
      <c r="J1265">
        <f>VLOOKUP(F1265,[1]!china_towns_second__2[[Column1]:[Y]],3,FALSE)</f>
        <v>28.980994463060199</v>
      </c>
      <c r="K1265">
        <f>VLOOKUP(F1265,[1]!china_towns_second__2[[Column1]:[Y]],2,FALSE)</f>
        <v>120.2714775</v>
      </c>
      <c r="L1265" t="s">
        <v>4896</v>
      </c>
      <c r="M1265" t="str">
        <f>VLOOKUP(H1265,CHOOSE({1,2},Table12[Native],Table12[Name]),2,0)</f>
        <v>Yŏngkāng Shì</v>
      </c>
      <c r="N1265" s="15" t="str">
        <f>VLOOKUP(I1265,CHOOSE({1,2},Table12[Native],Table12[Name]),2,0)</f>
        <v>Jīnhuá Shì</v>
      </c>
      <c r="O1265" s="15" t="str">
        <f t="shared" si="38"/>
        <v>Xixi Zhen (Jīnhuá Shì)</v>
      </c>
      <c r="P1265" s="15" t="str">
        <f t="shared" si="39"/>
        <v>Xixi Zhen (Jīnhuá Shì)</v>
      </c>
    </row>
    <row r="1266" spans="1:16" hidden="1" x14ac:dyDescent="0.25">
      <c r="A1266" t="s">
        <v>2741</v>
      </c>
      <c r="B1266" t="str">
        <f>IF(COUNTIF(A:A,A1266)&gt;1,_xlfn.CONCAT(A1266," (",N1266,")"),A1266)</f>
        <v>Xīxià Xiāng [→ Yántăn Zhèn]</v>
      </c>
      <c r="C1266" t="str">
        <f>IF(COUNTIF(B:B,B1266)&gt;1,_xlfn.CONCAT(A1266," (",M1266,")"),B1266)</f>
        <v>Xīxià Xiāng [→ Yántăn Zhèn]</v>
      </c>
      <c r="D1266" t="s">
        <v>2742</v>
      </c>
      <c r="E1266" t="s">
        <v>7</v>
      </c>
      <c r="F1266" t="str">
        <f>_xlfn.CONCAT(D1266,", ",H1266,", ",I1266,", ","浙江省")</f>
        <v>溪下乡, 永嘉县, 温州市, 浙江省</v>
      </c>
      <c r="G1266">
        <v>2701</v>
      </c>
      <c r="H1266" t="s">
        <v>3010</v>
      </c>
      <c r="I1266" t="s">
        <v>3000</v>
      </c>
      <c r="J1266" t="e">
        <f>VLOOKUP(F1266,[1]!china_towns_second__2[[Column1]:[Y]],3,FALSE)</f>
        <v>#N/A</v>
      </c>
      <c r="K1266" t="e">
        <f>VLOOKUP(F1266,[1]!china_towns_second__2[[Column1]:[Y]],2,FALSE)</f>
        <v>#N/A</v>
      </c>
      <c r="L1266" t="s">
        <v>4897</v>
      </c>
      <c r="M1266" t="str">
        <f>VLOOKUP(H1266,CHOOSE({1,2},Table12[Native],Table12[Name]),2,0)</f>
        <v>Yŏngjiā Xiàn</v>
      </c>
      <c r="N1266" s="15" t="str">
        <f>VLOOKUP(I1266,CHOOSE({1,2},Table12[Native],Table12[Name]),2,0)</f>
        <v>Wēnzhōu Shì</v>
      </c>
      <c r="O1266" s="15" t="str">
        <f t="shared" si="38"/>
        <v>Xixia Xiang [→ Yantan Zhen] (Wēnzhōu Shì)</v>
      </c>
      <c r="P1266" s="15" t="str">
        <f t="shared" si="39"/>
        <v>Xixia Xiang [→ Yantan Zhen] (Wēnzhōu Shì)</v>
      </c>
    </row>
    <row r="1267" spans="1:16" hidden="1" x14ac:dyDescent="0.25">
      <c r="A1267" t="s">
        <v>372</v>
      </c>
      <c r="B1267" t="str">
        <f>IF(COUNTIF(A:A,A1267)&gt;1,_xlfn.CONCAT(A1267," (",N1267,")"),A1267)</f>
        <v>Xīxīng Jiēdào</v>
      </c>
      <c r="C1267" t="str">
        <f>IF(COUNTIF(B:B,B1267)&gt;1,_xlfn.CONCAT(A1267," (",M1267,")"),B1267)</f>
        <v>Xīxīng Jiēdào</v>
      </c>
      <c r="D1267" t="s">
        <v>373</v>
      </c>
      <c r="E1267" t="s">
        <v>15</v>
      </c>
      <c r="F1267" t="str">
        <f>_xlfn.CONCAT(D1267,", ",H1267,", ",I1267,", ","浙江省")</f>
        <v>西兴街道, 滨江区, 杭州市, 浙江省</v>
      </c>
      <c r="G1267">
        <v>60435</v>
      </c>
      <c r="H1267" t="s">
        <v>2905</v>
      </c>
      <c r="I1267" t="s">
        <v>2903</v>
      </c>
      <c r="J1267">
        <f>VLOOKUP(F1267,[1]!china_towns_second__2[[Column1]:[Y]],3,FALSE)</f>
        <v>30.204233355093901</v>
      </c>
      <c r="K1267">
        <f>VLOOKUP(F1267,[1]!china_towns_second__2[[Column1]:[Y]],2,FALSE)</f>
        <v>120.2158156</v>
      </c>
      <c r="L1267" t="s">
        <v>4898</v>
      </c>
      <c r="M1267" t="str">
        <f>VLOOKUP(H1267,CHOOSE({1,2},Table12[Native],Table12[Name]),2,0)</f>
        <v>Bīnjiāng Qū</v>
      </c>
      <c r="N1267" s="15" t="str">
        <f>VLOOKUP(I1267,CHOOSE({1,2},Table12[Native],Table12[Name]),2,0)</f>
        <v>Hángzhōu Shì</v>
      </c>
      <c r="O1267" s="15" t="str">
        <f t="shared" si="38"/>
        <v>Xixing Jiedao (Hángzhōu Shì)</v>
      </c>
      <c r="P1267" s="15" t="str">
        <f t="shared" si="39"/>
        <v>Xixing Jiedao (Hángzhōu Shì)</v>
      </c>
    </row>
    <row r="1268" spans="1:16" hidden="1" x14ac:dyDescent="0.25">
      <c r="A1268" t="s">
        <v>2745</v>
      </c>
      <c r="B1268" t="str">
        <f>IF(COUNTIF(A:A,A1268)&gt;1,_xlfn.CONCAT(A1268," (",N1268,")"),A1268)</f>
        <v>Xīyáng Zhèn</v>
      </c>
      <c r="C1268" t="str">
        <f>IF(COUNTIF(B:B,B1268)&gt;1,_xlfn.CONCAT(A1268," (",M1268,")"),B1268)</f>
        <v>Xīyáng Zhèn</v>
      </c>
      <c r="D1268" t="s">
        <v>2746</v>
      </c>
      <c r="E1268" t="s">
        <v>11</v>
      </c>
      <c r="F1268" t="str">
        <f>_xlfn.CONCAT(D1268,", ",H1268,", ",I1268,", ","浙江省")</f>
        <v>西旸镇, 泰顺县, 温州市, 浙江省</v>
      </c>
      <c r="G1268">
        <v>4368</v>
      </c>
      <c r="H1268" t="s">
        <v>3008</v>
      </c>
      <c r="I1268" t="s">
        <v>3000</v>
      </c>
      <c r="J1268">
        <f>VLOOKUP(F1268,[1]!china_towns_second__2[[Column1]:[Y]],3,FALSE)</f>
        <v>27.436049000000001</v>
      </c>
      <c r="K1268">
        <f>VLOOKUP(F1268,[1]!china_towns_second__2[[Column1]:[Y]],2,FALSE)</f>
        <v>119.873457</v>
      </c>
      <c r="L1268" t="s">
        <v>4899</v>
      </c>
      <c r="M1268" t="str">
        <f>VLOOKUP(H1268,CHOOSE({1,2},Table12[Native],Table12[Name]),2,0)</f>
        <v>Tàishùn Xiàn</v>
      </c>
      <c r="N1268" s="15" t="str">
        <f>VLOOKUP(I1268,CHOOSE({1,2},Table12[Native],Table12[Name]),2,0)</f>
        <v>Wēnzhōu Shì</v>
      </c>
      <c r="O1268" s="15" t="str">
        <f t="shared" si="38"/>
        <v>Xiyang Zhen (Wēnzhōu Shì)</v>
      </c>
      <c r="P1268" s="15" t="str">
        <f t="shared" si="39"/>
        <v>Xiyang Zhen (Wēnzhōu Shì)</v>
      </c>
    </row>
    <row r="1269" spans="1:16" hidden="1" x14ac:dyDescent="0.25">
      <c r="A1269" t="s">
        <v>2747</v>
      </c>
      <c r="B1269" t="str">
        <f>IF(COUNTIF(A:A,A1269)&gt;1,_xlfn.CONCAT(A1269," (",N1269,")"),A1269)</f>
        <v>Xīyuán Xiāng</v>
      </c>
      <c r="C1269" t="str">
        <f>IF(COUNTIF(B:B,B1269)&gt;1,_xlfn.CONCAT(A1269," (",M1269,")"),B1269)</f>
        <v>Xīyuán Xiāng</v>
      </c>
      <c r="D1269" t="s">
        <v>2748</v>
      </c>
      <c r="E1269" t="s">
        <v>7</v>
      </c>
      <c r="F1269" t="str">
        <f>_xlfn.CONCAT(D1269,", ",H1269,", ",I1269,", ","浙江省")</f>
        <v>西源乡, 永嘉县, 温州市, 浙江省</v>
      </c>
      <c r="G1269">
        <v>3725</v>
      </c>
      <c r="H1269" t="s">
        <v>3010</v>
      </c>
      <c r="I1269" t="s">
        <v>3000</v>
      </c>
      <c r="J1269" t="e">
        <f>VLOOKUP(F1269,[1]!china_towns_second__2[[Column1]:[Y]],3,FALSE)</f>
        <v>#N/A</v>
      </c>
      <c r="K1269" t="e">
        <f>VLOOKUP(F1269,[1]!china_towns_second__2[[Column1]:[Y]],2,FALSE)</f>
        <v>#N/A</v>
      </c>
      <c r="L1269" t="s">
        <v>4900</v>
      </c>
      <c r="M1269" t="str">
        <f>VLOOKUP(H1269,CHOOSE({1,2},Table12[Native],Table12[Name]),2,0)</f>
        <v>Yŏngjiā Xiàn</v>
      </c>
      <c r="N1269" s="15" t="str">
        <f>VLOOKUP(I1269,CHOOSE({1,2},Table12[Native],Table12[Name]),2,0)</f>
        <v>Wēnzhōu Shì</v>
      </c>
      <c r="O1269" s="15" t="str">
        <f t="shared" si="38"/>
        <v>Xiyuan Xiang (Wēnzhōu Shì)</v>
      </c>
      <c r="P1269" s="15" t="str">
        <f t="shared" si="39"/>
        <v>Xiyuan Xiang (Wēnzhōu Shì)</v>
      </c>
    </row>
    <row r="1270" spans="1:16" hidden="1" x14ac:dyDescent="0.25">
      <c r="A1270" t="s">
        <v>1602</v>
      </c>
      <c r="B1270" t="str">
        <f>IF(COUNTIF(A:A,A1270)&gt;1,_xlfn.CONCAT(A1270," (",N1270,")"),A1270)</f>
        <v>Xīzhōu Zhèn</v>
      </c>
      <c r="C1270" t="str">
        <f>IF(COUNTIF(B:B,B1270)&gt;1,_xlfn.CONCAT(A1270," (",M1270,")"),B1270)</f>
        <v>Xīzhōu Zhèn</v>
      </c>
      <c r="D1270" t="s">
        <v>1603</v>
      </c>
      <c r="E1270" t="s">
        <v>11</v>
      </c>
      <c r="F1270" t="str">
        <f>_xlfn.CONCAT(D1270,", ",H1270,", ",I1270,", ","浙江省")</f>
        <v>西周镇, 象山县, 宁波市, 浙江省</v>
      </c>
      <c r="G1270">
        <v>33740</v>
      </c>
      <c r="H1270" t="s">
        <v>2968</v>
      </c>
      <c r="I1270" t="s">
        <v>2961</v>
      </c>
      <c r="J1270">
        <f>VLOOKUP(F1270,[1]!china_towns_second__2[[Column1]:[Y]],3,FALSE)</f>
        <v>29.4748543191109</v>
      </c>
      <c r="K1270">
        <f>VLOOKUP(F1270,[1]!china_towns_second__2[[Column1]:[Y]],2,FALSE)</f>
        <v>121.6835739</v>
      </c>
      <c r="L1270" t="s">
        <v>4901</v>
      </c>
      <c r="M1270" t="str">
        <f>VLOOKUP(H1270,CHOOSE({1,2},Table12[Native],Table12[Name]),2,0)</f>
        <v>Xiàngshān Xiàn</v>
      </c>
      <c r="N1270" s="15" t="str">
        <f>VLOOKUP(I1270,CHOOSE({1,2},Table12[Native],Table12[Name]),2,0)</f>
        <v>Níngbō Shì</v>
      </c>
      <c r="O1270" s="15" t="str">
        <f t="shared" si="38"/>
        <v>Xizhou Zhen (Níngbō Shì)</v>
      </c>
      <c r="P1270" s="15" t="str">
        <f t="shared" si="39"/>
        <v>Xizhou Zhen (Níngbō Shì)</v>
      </c>
    </row>
    <row r="1271" spans="1:16" hidden="1" x14ac:dyDescent="0.25">
      <c r="A1271" t="s">
        <v>2749</v>
      </c>
      <c r="B1271" t="str">
        <f>IF(COUNTIF(A:A,A1271)&gt;1,_xlfn.CONCAT(A1271," (",N1271,")"),A1271)</f>
        <v>Xú'ào Xiāng</v>
      </c>
      <c r="C1271" t="str">
        <f>IF(COUNTIF(B:B,B1271)&gt;1,_xlfn.CONCAT(A1271," (",M1271,")"),B1271)</f>
        <v>Xú'ào Xiāng</v>
      </c>
      <c r="D1271" t="s">
        <v>2750</v>
      </c>
      <c r="E1271" t="s">
        <v>7</v>
      </c>
      <c r="F1271" t="str">
        <f>_xlfn.CONCAT(D1271,", ",H1271,", ",I1271,", ","浙江省")</f>
        <v>徐岙乡, 永嘉县, 温州市, 浙江省</v>
      </c>
      <c r="G1271">
        <v>4987</v>
      </c>
      <c r="H1271" t="s">
        <v>3010</v>
      </c>
      <c r="I1271" t="s">
        <v>3000</v>
      </c>
      <c r="J1271" t="e">
        <f>VLOOKUP(F1271,[1]!china_towns_second__2[[Column1]:[Y]],3,FALSE)</f>
        <v>#N/A</v>
      </c>
      <c r="K1271" t="e">
        <f>VLOOKUP(F1271,[1]!china_towns_second__2[[Column1]:[Y]],2,FALSE)</f>
        <v>#N/A</v>
      </c>
      <c r="L1271" t="s">
        <v>4902</v>
      </c>
      <c r="M1271" t="str">
        <f>VLOOKUP(H1271,CHOOSE({1,2},Table12[Native],Table12[Name]),2,0)</f>
        <v>Yŏngjiā Xiàn</v>
      </c>
      <c r="N1271" s="15" t="str">
        <f>VLOOKUP(I1271,CHOOSE({1,2},Table12[Native],Table12[Name]),2,0)</f>
        <v>Wēnzhōu Shì</v>
      </c>
      <c r="O1271" s="15" t="str">
        <f t="shared" si="38"/>
        <v>Xu'ao Xiang (Wēnzhōu Shì)</v>
      </c>
      <c r="P1271" s="15" t="str">
        <f t="shared" si="39"/>
        <v>Xu'ao Xiang (Wēnzhōu Shì)</v>
      </c>
    </row>
    <row r="1272" spans="1:16" hidden="1" x14ac:dyDescent="0.25">
      <c r="A1272" t="s">
        <v>679</v>
      </c>
      <c r="B1272" t="str">
        <f>IF(COUNTIF(A:A,A1272)&gt;1,_xlfn.CONCAT(A1272," (",N1272,")"),A1272)</f>
        <v>Xŭcūn Zhèn</v>
      </c>
      <c r="C1272" t="str">
        <f>IF(COUNTIF(B:B,B1272)&gt;1,_xlfn.CONCAT(A1272," (",M1272,")"),B1272)</f>
        <v>Xŭcūn Zhèn</v>
      </c>
      <c r="D1272" t="s">
        <v>680</v>
      </c>
      <c r="E1272" t="s">
        <v>11</v>
      </c>
      <c r="F1272" t="str">
        <f>_xlfn.CONCAT(D1272,", ",H1272,", ",I1272,", ","浙江省")</f>
        <v>许村镇, 海宁市, 嘉兴市, 浙江省</v>
      </c>
      <c r="G1272">
        <v>118263</v>
      </c>
      <c r="H1272" t="s">
        <v>2930</v>
      </c>
      <c r="I1272" t="s">
        <v>2929</v>
      </c>
      <c r="J1272">
        <f>VLOOKUP(F1272,[1]!china_towns_second__2[[Column1]:[Y]],3,FALSE)</f>
        <v>30.4326402497971</v>
      </c>
      <c r="K1272">
        <f>VLOOKUP(F1272,[1]!china_towns_second__2[[Column1]:[Y]],2,FALSE)</f>
        <v>120.36676319999999</v>
      </c>
      <c r="L1272" t="s">
        <v>4903</v>
      </c>
      <c r="M1272" t="str">
        <f>VLOOKUP(H1272,CHOOSE({1,2},Table12[Native],Table12[Name]),2,0)</f>
        <v>Hăiníng Shì</v>
      </c>
      <c r="N1272" s="15" t="str">
        <f>VLOOKUP(I1272,CHOOSE({1,2},Table12[Native],Table12[Name]),2,0)</f>
        <v>Jiāxīng Shì</v>
      </c>
      <c r="O1272" s="15" t="str">
        <f t="shared" si="38"/>
        <v>Xucun Zhen (Jiāxīng Shì)</v>
      </c>
      <c r="P1272" s="15" t="str">
        <f t="shared" si="39"/>
        <v>Xucun Zhen (Jiāxīng Shì)</v>
      </c>
    </row>
    <row r="1273" spans="1:16" hidden="1" x14ac:dyDescent="0.25">
      <c r="A1273" t="s">
        <v>2751</v>
      </c>
      <c r="B1273" t="str">
        <f>IF(COUNTIF(A:A,A1273)&gt;1,_xlfn.CONCAT(A1273," (",N1273,")"),A1273)</f>
        <v>Xuékŏu Zhèn</v>
      </c>
      <c r="C1273" t="str">
        <f>IF(COUNTIF(B:B,B1273)&gt;1,_xlfn.CONCAT(A1273," (",M1273,")"),B1273)</f>
        <v>Xuékŏu Zhèn</v>
      </c>
      <c r="D1273" t="s">
        <v>2752</v>
      </c>
      <c r="E1273" t="s">
        <v>11</v>
      </c>
      <c r="F1273" t="str">
        <f>_xlfn.CONCAT(D1273,", ",H1273,", ",I1273,", ","浙江省")</f>
        <v>峃口镇, 文成县, 温州市, 浙江省</v>
      </c>
      <c r="G1273">
        <v>2351</v>
      </c>
      <c r="H1273" t="s">
        <v>3009</v>
      </c>
      <c r="I1273" t="s">
        <v>3000</v>
      </c>
      <c r="J1273">
        <f>VLOOKUP(F1273,[1]!china_towns_second__2[[Column1]:[Y]],3,FALSE)</f>
        <v>27.738382145019301</v>
      </c>
      <c r="K1273">
        <f>VLOOKUP(F1273,[1]!china_towns_second__2[[Column1]:[Y]],2,FALSE)</f>
        <v>120.17765559999999</v>
      </c>
      <c r="L1273" t="s">
        <v>4904</v>
      </c>
      <c r="M1273" t="str">
        <f>VLOOKUP(H1273,CHOOSE({1,2},Table12[Native],Table12[Name]),2,0)</f>
        <v>Wénchéng Xiàn</v>
      </c>
      <c r="N1273" s="15" t="str">
        <f>VLOOKUP(I1273,CHOOSE({1,2},Table12[Native],Table12[Name]),2,0)</f>
        <v>Wēnzhōu Shì</v>
      </c>
      <c r="O1273" s="15" t="str">
        <f t="shared" si="38"/>
        <v>Xuekou Zhen (Wēnzhōu Shì)</v>
      </c>
      <c r="P1273" s="15" t="str">
        <f t="shared" si="39"/>
        <v>Xuekou Zhen (Wēnzhōu Shì)</v>
      </c>
    </row>
    <row r="1274" spans="1:16" hidden="1" x14ac:dyDescent="0.25">
      <c r="A1274" t="s">
        <v>2753</v>
      </c>
      <c r="B1274" t="str">
        <f>IF(COUNTIF(A:A,A1274)&gt;1,_xlfn.CONCAT(A1274," (",N1274,")"),A1274)</f>
        <v>Xuĕxī Xiāng [→ Shìyáng Zhèn]</v>
      </c>
      <c r="C1274" t="str">
        <f>IF(COUNTIF(B:B,B1274)&gt;1,_xlfn.CONCAT(A1274," (",M1274,")"),B1274)</f>
        <v>Xuĕxī Xiāng [→ Shìyáng Zhèn]</v>
      </c>
      <c r="D1274" t="s">
        <v>2754</v>
      </c>
      <c r="E1274" t="s">
        <v>7</v>
      </c>
      <c r="F1274" t="str">
        <f>_xlfn.CONCAT(D1274,", ",H1274,", ",I1274,", ","浙江省")</f>
        <v>雪溪乡, 泰顺县, 温州市, 浙江省</v>
      </c>
      <c r="G1274">
        <v>5092</v>
      </c>
      <c r="H1274" t="s">
        <v>3008</v>
      </c>
      <c r="I1274" t="s">
        <v>3000</v>
      </c>
      <c r="J1274" t="e">
        <f>VLOOKUP(F1274,[1]!china_towns_second__2[[Column1]:[Y]],3,FALSE)</f>
        <v>#N/A</v>
      </c>
      <c r="K1274" t="e">
        <f>VLOOKUP(F1274,[1]!china_towns_second__2[[Column1]:[Y]],2,FALSE)</f>
        <v>#N/A</v>
      </c>
      <c r="L1274" t="s">
        <v>4905</v>
      </c>
      <c r="M1274" t="str">
        <f>VLOOKUP(H1274,CHOOSE({1,2},Table12[Native],Table12[Name]),2,0)</f>
        <v>Tàishùn Xiàn</v>
      </c>
      <c r="N1274" s="15" t="str">
        <f>VLOOKUP(I1274,CHOOSE({1,2},Table12[Native],Table12[Name]),2,0)</f>
        <v>Wēnzhōu Shì</v>
      </c>
      <c r="O1274" s="15" t="str">
        <f t="shared" si="38"/>
        <v>Xuexi Xiang [→ Shiyang Zhen] (Wēnzhōu Shì)</v>
      </c>
      <c r="P1274" s="15" t="str">
        <f t="shared" si="39"/>
        <v>Xuexi Xiang [→ Shiyang Zhen] (Wēnzhōu Shì)</v>
      </c>
    </row>
    <row r="1275" spans="1:16" hidden="1" x14ac:dyDescent="0.25">
      <c r="A1275" t="s">
        <v>374</v>
      </c>
      <c r="B1275" t="str">
        <f>IF(COUNTIF(A:A,A1275)&gt;1,_xlfn.CONCAT(A1275," (",N1275,")"),A1275)</f>
        <v>Xūkŏu Zhèn</v>
      </c>
      <c r="C1275" t="str">
        <f>IF(COUNTIF(B:B,B1275)&gt;1,_xlfn.CONCAT(A1275," (",M1275,")"),B1275)</f>
        <v>Xūkŏu Zhèn</v>
      </c>
      <c r="D1275" t="s">
        <v>375</v>
      </c>
      <c r="E1275" t="s">
        <v>11</v>
      </c>
      <c r="F1275" t="str">
        <f>_xlfn.CONCAT(D1275,", ",H1275,", ",I1275,", ","浙江省")</f>
        <v>胥口镇, 富阳区, 杭州市, 浙江省</v>
      </c>
      <c r="G1275">
        <v>15174</v>
      </c>
      <c r="H1275" t="s">
        <v>2908</v>
      </c>
      <c r="I1275" t="s">
        <v>2903</v>
      </c>
      <c r="J1275">
        <f>VLOOKUP(F1275,[1]!china_towns_second__2[[Column1]:[Y]],3,FALSE)</f>
        <v>29.983078531470898</v>
      </c>
      <c r="K1275">
        <f>VLOOKUP(F1275,[1]!china_towns_second__2[[Column1]:[Y]],2,FALSE)</f>
        <v>119.6395679</v>
      </c>
      <c r="L1275" t="s">
        <v>4906</v>
      </c>
      <c r="M1275" t="str">
        <f>VLOOKUP(H1275,CHOOSE({1,2},Table12[Native],Table12[Name]),2,0)</f>
        <v>Fùyáng Qū</v>
      </c>
      <c r="N1275" s="15" t="str">
        <f>VLOOKUP(I1275,CHOOSE({1,2},Table12[Native],Table12[Name]),2,0)</f>
        <v>Hángzhōu Shì</v>
      </c>
      <c r="O1275" s="15" t="str">
        <f t="shared" si="38"/>
        <v>Xukou Zhen (Hángzhōu Shì)</v>
      </c>
      <c r="P1275" s="15" t="str">
        <f t="shared" si="39"/>
        <v>Xukou Zhen (Hángzhōu Shì)</v>
      </c>
    </row>
    <row r="1276" spans="1:16" hidden="1" x14ac:dyDescent="0.25">
      <c r="A1276" t="s">
        <v>2245</v>
      </c>
      <c r="B1276" t="str">
        <f>IF(COUNTIF(A:A,A1276)&gt;1,_xlfn.CONCAT(A1276," (",N1276,")"),A1276)</f>
        <v>Xùnqiáo Zhèn</v>
      </c>
      <c r="C1276" t="str">
        <f>IF(COUNTIF(B:B,B1276)&gt;1,_xlfn.CONCAT(A1276," (",M1276,")"),B1276)</f>
        <v>Xùnqiáo Zhèn</v>
      </c>
      <c r="D1276" t="s">
        <v>2246</v>
      </c>
      <c r="E1276" t="s">
        <v>11</v>
      </c>
      <c r="F1276" t="str">
        <f>_xlfn.CONCAT(D1276,", ",H1276,", ",I1276,", ","浙江省")</f>
        <v>汛桥镇, 临海市, 台州市, 浙江省</v>
      </c>
      <c r="G1276">
        <v>17495</v>
      </c>
      <c r="H1276" t="s">
        <v>2992</v>
      </c>
      <c r="I1276" t="s">
        <v>2989</v>
      </c>
      <c r="J1276">
        <f>VLOOKUP(F1276,[1]!china_towns_second__2[[Column1]:[Y]],3,FALSE)</f>
        <v>28.7718382270684</v>
      </c>
      <c r="K1276">
        <f>VLOOKUP(F1276,[1]!china_towns_second__2[[Column1]:[Y]],2,FALSE)</f>
        <v>121.1787278</v>
      </c>
      <c r="L1276" t="s">
        <v>4907</v>
      </c>
      <c r="M1276" t="str">
        <f>VLOOKUP(H1276,CHOOSE({1,2},Table12[Native],Table12[Name]),2,0)</f>
        <v>Línhăi Shì</v>
      </c>
      <c r="N1276" s="15" t="str">
        <f>VLOOKUP(I1276,CHOOSE({1,2},Table12[Native],Table12[Name]),2,0)</f>
        <v>Táizhōu Shì</v>
      </c>
      <c r="O1276" s="15" t="str">
        <f t="shared" si="38"/>
        <v>Xunqiao Zhen (Táizhōu Shì)</v>
      </c>
      <c r="P1276" s="15" t="str">
        <f t="shared" si="39"/>
        <v>Xunqiao Zhen (Táizhōu Shì)</v>
      </c>
    </row>
    <row r="1277" spans="1:16" hidden="1" x14ac:dyDescent="0.25">
      <c r="A1277" t="s">
        <v>2755</v>
      </c>
      <c r="B1277" t="str">
        <f>IF(COUNTIF(A:A,A1277)&gt;1,_xlfn.CONCAT(A1277," (",N1277,")"),A1277)</f>
        <v>Xùnzhái Zhèn</v>
      </c>
      <c r="C1277" t="str">
        <f>IF(COUNTIF(B:B,B1277)&gt;1,_xlfn.CONCAT(A1277," (",M1277,")"),B1277)</f>
        <v>Xùnzhái Zhèn</v>
      </c>
      <c r="D1277" t="s">
        <v>2756</v>
      </c>
      <c r="E1277" t="s">
        <v>11</v>
      </c>
      <c r="F1277" t="str">
        <f>_xlfn.CONCAT(D1277,", ",H1277,", ",I1277,", ","浙江省")</f>
        <v>巽宅镇, 永嘉县, 温州市, 浙江省</v>
      </c>
      <c r="G1277">
        <v>8226</v>
      </c>
      <c r="H1277" t="s">
        <v>3010</v>
      </c>
      <c r="I1277" t="s">
        <v>3000</v>
      </c>
      <c r="J1277">
        <f>VLOOKUP(F1277,[1]!china_towns_second__2[[Column1]:[Y]],3,FALSE)</f>
        <v>28.3933153820734</v>
      </c>
      <c r="K1277">
        <f>VLOOKUP(F1277,[1]!china_towns_second__2[[Column1]:[Y]],2,FALSE)</f>
        <v>120.4213594</v>
      </c>
      <c r="L1277" t="s">
        <v>4908</v>
      </c>
      <c r="M1277" t="str">
        <f>VLOOKUP(H1277,CHOOSE({1,2},Table12[Native],Table12[Name]),2,0)</f>
        <v>Yŏngjiā Xiàn</v>
      </c>
      <c r="N1277" s="15" t="str">
        <f>VLOOKUP(I1277,CHOOSE({1,2},Table12[Native],Table12[Name]),2,0)</f>
        <v>Wēnzhōu Shì</v>
      </c>
      <c r="O1277" s="15" t="str">
        <f t="shared" si="38"/>
        <v>Xunzhai Zhen (Wēnzhōu Shì)</v>
      </c>
      <c r="P1277" s="15" t="str">
        <f t="shared" si="39"/>
        <v>Xunzhai Zhen (Wēnzhōu Shì)</v>
      </c>
    </row>
    <row r="1278" spans="1:16" hidden="1" x14ac:dyDescent="0.25">
      <c r="A1278" t="s">
        <v>955</v>
      </c>
      <c r="B1278" t="str">
        <f>IF(COUNTIF(A:A,A1278)&gt;1,_xlfn.CONCAT(A1278," (",N1278,")"),A1278)</f>
        <v>Yăfàn Zhèn</v>
      </c>
      <c r="C1278" t="str">
        <f>IF(COUNTIF(B:B,B1278)&gt;1,_xlfn.CONCAT(A1278," (",M1278,")"),B1278)</f>
        <v>Yăfàn Zhèn</v>
      </c>
      <c r="D1278" t="s">
        <v>956</v>
      </c>
      <c r="E1278" t="s">
        <v>11</v>
      </c>
      <c r="F1278" t="str">
        <f>_xlfn.CONCAT(D1278,", ",H1278,", ",I1278,", ","浙江省")</f>
        <v>雅畈镇, 婺城区, 金华市, 浙江省</v>
      </c>
      <c r="G1278">
        <v>18708</v>
      </c>
      <c r="H1278" t="s">
        <v>2944</v>
      </c>
      <c r="I1278" t="s">
        <v>2938</v>
      </c>
      <c r="J1278">
        <f>VLOOKUP(F1278,[1]!china_towns_second__2[[Column1]:[Y]],3,FALSE)</f>
        <v>29.0054708714306</v>
      </c>
      <c r="K1278">
        <f>VLOOKUP(F1278,[1]!china_towns_second__2[[Column1]:[Y]],2,FALSE)</f>
        <v>119.6970759</v>
      </c>
      <c r="L1278" t="s">
        <v>4909</v>
      </c>
      <c r="M1278" t="str">
        <f>VLOOKUP(H1278,CHOOSE({1,2},Table12[Native],Table12[Name]),2,0)</f>
        <v>Wùchéng Qū</v>
      </c>
      <c r="N1278" s="15" t="str">
        <f>VLOOKUP(I1278,CHOOSE({1,2},Table12[Native],Table12[Name]),2,0)</f>
        <v>Jīnhuá Shì</v>
      </c>
      <c r="O1278" s="15" t="str">
        <f t="shared" si="38"/>
        <v>Yafan Zhen (Jīnhuá Shì)</v>
      </c>
      <c r="P1278" s="15" t="str">
        <f t="shared" si="39"/>
        <v>Yafan Zhen (Jīnhuá Shì)</v>
      </c>
    </row>
    <row r="1279" spans="1:16" hidden="1" x14ac:dyDescent="0.25">
      <c r="A1279" t="s">
        <v>2893</v>
      </c>
      <c r="B1279" t="str">
        <f>IF(COUNTIF(A:A,A1279)&gt;1,_xlfn.CONCAT(A1279," (",N1279,")"),A1279)</f>
        <v>Yáncāng Jiēdào</v>
      </c>
      <c r="C1279" t="str">
        <f>IF(COUNTIF(B:B,B1279)&gt;1,_xlfn.CONCAT(A1279," (",M1279,")"),B1279)</f>
        <v>Yáncāng Jiēdào</v>
      </c>
      <c r="D1279" t="s">
        <v>2894</v>
      </c>
      <c r="E1279" t="s">
        <v>15</v>
      </c>
      <c r="F1279" t="str">
        <f>_xlfn.CONCAT(D1279,", ",H1279,", ",I1279,", ","浙江省")</f>
        <v>盐仓街道, 定海区, 舟山市, 浙江省</v>
      </c>
      <c r="G1279">
        <v>28083</v>
      </c>
      <c r="H1279" t="s">
        <v>3015</v>
      </c>
      <c r="I1279" t="s">
        <v>3013</v>
      </c>
      <c r="J1279">
        <f>VLOOKUP(F1279,[1]!china_towns_second__2[[Column1]:[Y]],3,FALSE)</f>
        <v>30.038189907804</v>
      </c>
      <c r="K1279">
        <f>VLOOKUP(F1279,[1]!china_towns_second__2[[Column1]:[Y]],2,FALSE)</f>
        <v>122.06571580000001</v>
      </c>
      <c r="L1279" t="s">
        <v>4910</v>
      </c>
      <c r="M1279" t="str">
        <f>VLOOKUP(H1279,CHOOSE({1,2},Table12[Native],Table12[Name]),2,0)</f>
        <v>Dìnghăi Qū</v>
      </c>
      <c r="N1279" s="15" t="str">
        <f>VLOOKUP(I1279,CHOOSE({1,2},Table12[Native],Table12[Name]),2,0)</f>
        <v>Zhōushān Shì</v>
      </c>
      <c r="O1279" s="15" t="str">
        <f t="shared" si="38"/>
        <v>Yancang Jiedao (Zhōushān Shì)</v>
      </c>
      <c r="P1279" s="15" t="str">
        <f t="shared" si="39"/>
        <v>Yancang Jiedao (Zhōushān Shì)</v>
      </c>
    </row>
    <row r="1280" spans="1:16" hidden="1" x14ac:dyDescent="0.25">
      <c r="A1280" t="s">
        <v>2757</v>
      </c>
      <c r="B1280" t="str">
        <f>IF(COUNTIF(A:A,A1280)&gt;1,_xlfn.CONCAT(A1280," (",N1280,")"),A1280)</f>
        <v>Yàndàng Zhèn</v>
      </c>
      <c r="C1280" t="str">
        <f>IF(COUNTIF(B:B,B1280)&gt;1,_xlfn.CONCAT(A1280," (",M1280,")"),B1280)</f>
        <v>Yàndàng Zhèn</v>
      </c>
      <c r="D1280" t="s">
        <v>2758</v>
      </c>
      <c r="E1280" t="s">
        <v>11</v>
      </c>
      <c r="F1280" t="str">
        <f>_xlfn.CONCAT(D1280,", ",H1280,", ",I1280,", ","浙江省")</f>
        <v>雁荡镇, 乐清市, 温州市, 浙江省</v>
      </c>
      <c r="G1280">
        <v>41652</v>
      </c>
      <c r="H1280" t="s">
        <v>3011</v>
      </c>
      <c r="I1280" t="s">
        <v>3000</v>
      </c>
      <c r="J1280">
        <f>VLOOKUP(F1280,[1]!china_towns_second__2[[Column1]:[Y]],3,FALSE)</f>
        <v>28.345056818625199</v>
      </c>
      <c r="K1280">
        <f>VLOOKUP(F1280,[1]!china_towns_second__2[[Column1]:[Y]],2,FALSE)</f>
        <v>121.12980229999999</v>
      </c>
      <c r="L1280" t="s">
        <v>4911</v>
      </c>
      <c r="M1280" t="str">
        <f>VLOOKUP(H1280,CHOOSE({1,2},Table12[Native],Table12[Name]),2,0)</f>
        <v>Yuèqīng Shì</v>
      </c>
      <c r="N1280" s="15" t="str">
        <f>VLOOKUP(I1280,CHOOSE({1,2},Table12[Native],Table12[Name]),2,0)</f>
        <v>Wēnzhōu Shì</v>
      </c>
      <c r="O1280" s="15" t="str">
        <f t="shared" si="38"/>
        <v>Yandang Zhen (Wēnzhōu Shì)</v>
      </c>
      <c r="P1280" s="15" t="str">
        <f t="shared" si="39"/>
        <v>Yandang Zhen (Wēnzhōu Shì)</v>
      </c>
    </row>
    <row r="1281" spans="1:16" hidden="1" x14ac:dyDescent="0.25">
      <c r="A1281" t="s">
        <v>957</v>
      </c>
      <c r="B1281" t="str">
        <f>IF(COUNTIF(A:A,A1281)&gt;1,_xlfn.CONCAT(A1281," (",N1281,")"),A1281)</f>
        <v>Yángbù Zhèn</v>
      </c>
      <c r="C1281" t="str">
        <f>IF(COUNTIF(B:B,B1281)&gt;1,_xlfn.CONCAT(A1281," (",M1281,")"),B1281)</f>
        <v>Yángbù Zhèn</v>
      </c>
      <c r="D1281" t="s">
        <v>958</v>
      </c>
      <c r="E1281" t="s">
        <v>11</v>
      </c>
      <c r="F1281" t="str">
        <f>_xlfn.CONCAT(D1281,", ",H1281,", ",I1281,", ","浙江省")</f>
        <v>洋埠镇, 婺城区, 金华市, 浙江省</v>
      </c>
      <c r="G1281">
        <v>11042</v>
      </c>
      <c r="H1281" t="s">
        <v>2944</v>
      </c>
      <c r="I1281" t="s">
        <v>2938</v>
      </c>
      <c r="J1281">
        <f>VLOOKUP(F1281,[1]!china_towns_second__2[[Column1]:[Y]],3,FALSE)</f>
        <v>29.0938710097589</v>
      </c>
      <c r="K1281">
        <f>VLOOKUP(F1281,[1]!china_towns_second__2[[Column1]:[Y]],2,FALSE)</f>
        <v>119.3461544</v>
      </c>
      <c r="L1281" t="s">
        <v>4912</v>
      </c>
      <c r="M1281" t="str">
        <f>VLOOKUP(H1281,CHOOSE({1,2},Table12[Native],Table12[Name]),2,0)</f>
        <v>Wùchéng Qū</v>
      </c>
      <c r="N1281" s="15" t="str">
        <f>VLOOKUP(I1281,CHOOSE({1,2},Table12[Native],Table12[Name]),2,0)</f>
        <v>Jīnhuá Shì</v>
      </c>
      <c r="O1281" s="15" t="str">
        <f t="shared" si="38"/>
        <v>Yangbu Zhen (Jīnhuá Shì)</v>
      </c>
      <c r="P1281" s="15" t="str">
        <f t="shared" si="39"/>
        <v>Yangbu Zhen (Jīnhuá Shì)</v>
      </c>
    </row>
    <row r="1282" spans="1:16" hidden="1" x14ac:dyDescent="0.25">
      <c r="A1282" t="s">
        <v>376</v>
      </c>
      <c r="B1282" t="str">
        <f>IF(COUNTIF(A:A,A1282)&gt;1,_xlfn.CONCAT(A1282," (",N1282,")"),A1282)</f>
        <v>Yángcūnqiáo Zhèn</v>
      </c>
      <c r="C1282" t="str">
        <f>IF(COUNTIF(B:B,B1282)&gt;1,_xlfn.CONCAT(A1282," (",M1282,")"),B1282)</f>
        <v>Yángcūnqiáo Zhèn</v>
      </c>
      <c r="D1282" t="s">
        <v>377</v>
      </c>
      <c r="E1282" t="s">
        <v>11</v>
      </c>
      <c r="F1282" t="str">
        <f>_xlfn.CONCAT(D1282,", ",H1282,", ",I1282,", ","浙江省")</f>
        <v>杨村桥镇, 建德市, 杭州市, 浙江省</v>
      </c>
      <c r="G1282">
        <v>15803</v>
      </c>
      <c r="H1282" t="s">
        <v>2910</v>
      </c>
      <c r="I1282" t="s">
        <v>2903</v>
      </c>
      <c r="J1282">
        <f>VLOOKUP(F1282,[1]!china_towns_second__2[[Column1]:[Y]],3,FALSE)</f>
        <v>29.609543611925599</v>
      </c>
      <c r="K1282">
        <f>VLOOKUP(F1282,[1]!china_towns_second__2[[Column1]:[Y]],2,FALSE)</f>
        <v>119.4239725</v>
      </c>
      <c r="L1282" t="s">
        <v>4913</v>
      </c>
      <c r="M1282" t="str">
        <f>VLOOKUP(H1282,CHOOSE({1,2},Table12[Native],Table12[Name]),2,0)</f>
        <v>Jiàndé Shì</v>
      </c>
      <c r="N1282" s="15" t="str">
        <f>VLOOKUP(I1282,CHOOSE({1,2},Table12[Native],Table12[Name]),2,0)</f>
        <v>Hángzhōu Shì</v>
      </c>
      <c r="O1282" s="15" t="str">
        <f t="shared" ref="O1282:O1345" si="40">_xlfn.CONCAT(L1282," (",N1282,")")</f>
        <v>Yangcunqiao Zhen (Hángzhōu Shì)</v>
      </c>
      <c r="P1282" s="15" t="str">
        <f t="shared" ref="P1282:P1345" si="41">IF(COUNTIF(O:O,O1282)&gt;1,_xlfn.CONCAT(L1282," (",M1282,")"),O1282)</f>
        <v>Yangcunqiao Zhen (Hángzhōu Shì)</v>
      </c>
    </row>
    <row r="1283" spans="1:16" hidden="1" x14ac:dyDescent="0.25">
      <c r="A1283" t="s">
        <v>535</v>
      </c>
      <c r="B1283" t="str">
        <f>IF(COUNTIF(A:A,A1283)&gt;1,_xlfn.CONCAT(A1283," (",N1283,")"),A1283)</f>
        <v>Yángjiābù Jiēdào [incl. Lóngxī Jiēdào]</v>
      </c>
      <c r="C1283" t="str">
        <f>IF(COUNTIF(B:B,B1283)&gt;1,_xlfn.CONCAT(A1283," (",M1283,")"),B1283)</f>
        <v>Yángjiābù Jiēdào [incl. Lóngxī Jiēdào]</v>
      </c>
      <c r="D1283" t="s">
        <v>536</v>
      </c>
      <c r="E1283" t="s">
        <v>15</v>
      </c>
      <c r="F1283" t="str">
        <f>_xlfn.CONCAT(D1283,", ",H1283,", ",I1283,", ","浙江省")</f>
        <v>杨家埠街道, 吴兴区, 湖州市, 浙江省</v>
      </c>
      <c r="G1283">
        <v>53353</v>
      </c>
      <c r="H1283" t="s">
        <v>2927</v>
      </c>
      <c r="I1283" t="s">
        <v>2922</v>
      </c>
      <c r="J1283">
        <f>VLOOKUP(F1283,[1]!china_towns_second__2[[Column1]:[Y]],3,FALSE)</f>
        <v>30.885560795872699</v>
      </c>
      <c r="K1283">
        <f>VLOOKUP(F1283,[1]!china_towns_second__2[[Column1]:[Y]],2,FALSE)</f>
        <v>119.97707680000001</v>
      </c>
      <c r="L1283" t="s">
        <v>4914</v>
      </c>
      <c r="M1283" t="str">
        <f>VLOOKUP(H1283,CHOOSE({1,2},Table12[Native],Table12[Name]),2,0)</f>
        <v>Wúxīng Qū</v>
      </c>
      <c r="N1283" s="15" t="str">
        <f>VLOOKUP(I1283,CHOOSE({1,2},Table12[Native],Table12[Name]),2,0)</f>
        <v>Húzhōu Shì</v>
      </c>
      <c r="O1283" s="15" t="str">
        <f t="shared" si="40"/>
        <v>Yangjiabu Jiedao [incl. Longxi Jiedao] (Húzhōu Shì)</v>
      </c>
      <c r="P1283" s="15" t="str">
        <f t="shared" si="41"/>
        <v>Yangjiabu Jiedao [incl. Longxi Jiedao] (Húzhōu Shì)</v>
      </c>
    </row>
    <row r="1284" spans="1:16" hidden="1" x14ac:dyDescent="0.25">
      <c r="A1284" t="s">
        <v>1812</v>
      </c>
      <c r="B1284" t="str">
        <f>IF(COUNTIF(A:A,A1284)&gt;1,_xlfn.CONCAT(A1284," (",N1284,")"),A1284)</f>
        <v>Yánglín Zhèn</v>
      </c>
      <c r="C1284" t="str">
        <f>IF(COUNTIF(B:B,B1284)&gt;1,_xlfn.CONCAT(A1284," (",M1284,")"),B1284)</f>
        <v>Yánglín Zhèn</v>
      </c>
      <c r="D1284" t="s">
        <v>1813</v>
      </c>
      <c r="E1284" t="s">
        <v>11</v>
      </c>
      <c r="F1284" t="str">
        <f>_xlfn.CONCAT(D1284,", ",H1284,", ",I1284,", ","浙江省")</f>
        <v>杨林镇, 开化县, 衢州市, 浙江省</v>
      </c>
      <c r="G1284">
        <v>9693</v>
      </c>
      <c r="H1284" t="s">
        <v>2976</v>
      </c>
      <c r="I1284" t="s">
        <v>2973</v>
      </c>
      <c r="J1284">
        <f>VLOOKUP(F1284,[1]!china_towns_second__2[[Column1]:[Y]],3,FALSE)</f>
        <v>29.059485167478901</v>
      </c>
      <c r="K1284">
        <f>VLOOKUP(F1284,[1]!china_towns_second__2[[Column1]:[Y]],2,FALSE)</f>
        <v>118.1319802</v>
      </c>
      <c r="L1284" t="s">
        <v>4915</v>
      </c>
      <c r="M1284" t="str">
        <f>VLOOKUP(H1284,CHOOSE({1,2},Table12[Native],Table12[Name]),2,0)</f>
        <v>Kāihuà Xiàn</v>
      </c>
      <c r="N1284" s="15" t="str">
        <f>VLOOKUP(I1284,CHOOSE({1,2},Table12[Native],Table12[Name]),2,0)</f>
        <v>Qúzhōu Shì</v>
      </c>
      <c r="O1284" s="15" t="str">
        <f t="shared" si="40"/>
        <v>Yanglin Zhen (Qúzhōu Shì)</v>
      </c>
      <c r="P1284" s="15" t="str">
        <f t="shared" si="41"/>
        <v>Yanglin Zhen (Qúzhōu Shì)</v>
      </c>
    </row>
    <row r="1285" spans="1:16" hidden="1" x14ac:dyDescent="0.25">
      <c r="A1285" t="s">
        <v>1604</v>
      </c>
      <c r="B1285" t="str">
        <f>IF(COUNTIF(A:A,A1285)&gt;1,_xlfn.CONCAT(A1285," (",N1285,")"),A1285)</f>
        <v>Yángmíng Jiēdào</v>
      </c>
      <c r="C1285" t="str">
        <f>IF(COUNTIF(B:B,B1285)&gt;1,_xlfn.CONCAT(A1285," (",M1285,")"),B1285)</f>
        <v>Yángmíng Jiēdào</v>
      </c>
      <c r="D1285" t="s">
        <v>1605</v>
      </c>
      <c r="E1285" t="s">
        <v>15</v>
      </c>
      <c r="F1285" t="str">
        <f>_xlfn.CONCAT(D1285,", ",H1285,", ",I1285,", ","浙江省")</f>
        <v>阳明街道, 余姚市, 宁波市, 浙江省</v>
      </c>
      <c r="G1285">
        <v>135922</v>
      </c>
      <c r="H1285" t="s">
        <v>2970</v>
      </c>
      <c r="I1285" t="s">
        <v>2961</v>
      </c>
      <c r="J1285">
        <f>VLOOKUP(F1285,[1]!china_towns_second__2[[Column1]:[Y]],3,FALSE)</f>
        <v>30.083806671120101</v>
      </c>
      <c r="K1285">
        <f>VLOOKUP(F1285,[1]!china_towns_second__2[[Column1]:[Y]],2,FALSE)</f>
        <v>121.11589360000001</v>
      </c>
      <c r="L1285" t="s">
        <v>4916</v>
      </c>
      <c r="M1285" t="str">
        <f>VLOOKUP(H1285,CHOOSE({1,2},Table12[Native],Table12[Name]),2,0)</f>
        <v>Yúyáo Shì</v>
      </c>
      <c r="N1285" s="15" t="str">
        <f>VLOOKUP(I1285,CHOOSE({1,2},Table12[Native],Table12[Name]),2,0)</f>
        <v>Níngbō Shì</v>
      </c>
      <c r="O1285" s="15" t="str">
        <f t="shared" si="40"/>
        <v>Yangming Jiedao (Níngbō Shì)</v>
      </c>
      <c r="P1285" s="15" t="str">
        <f t="shared" si="41"/>
        <v>Yangming Jiedao (Níngbō Shì)</v>
      </c>
    </row>
    <row r="1286" spans="1:16" hidden="1" x14ac:dyDescent="0.25">
      <c r="A1286" t="s">
        <v>2759</v>
      </c>
      <c r="B1286" t="str">
        <f>IF(COUNTIF(A:A,A1286)&gt;1,_xlfn.CONCAT(A1286," (",N1286,")"),A1286)</f>
        <v>Yăngshān Xiāng</v>
      </c>
      <c r="C1286" t="str">
        <f>IF(COUNTIF(B:B,B1286)&gt;1,_xlfn.CONCAT(A1286," (",M1286,")"),B1286)</f>
        <v>Yăngshān Xiāng</v>
      </c>
      <c r="D1286" t="s">
        <v>2760</v>
      </c>
      <c r="E1286" t="s">
        <v>7</v>
      </c>
      <c r="F1286" t="str">
        <f>_xlfn.CONCAT(D1286,", ",H1286,", ",I1286,", ","浙江省")</f>
        <v>仰山乡, 文成县, 温州市, 浙江省</v>
      </c>
      <c r="G1286">
        <v>1866</v>
      </c>
      <c r="H1286" t="s">
        <v>3009</v>
      </c>
      <c r="I1286" t="s">
        <v>3000</v>
      </c>
      <c r="J1286" t="e">
        <f>VLOOKUP(F1286,[1]!china_towns_second__2[[Column1]:[Y]],3,FALSE)</f>
        <v>#N/A</v>
      </c>
      <c r="K1286" t="e">
        <f>VLOOKUP(F1286,[1]!china_towns_second__2[[Column1]:[Y]],2,FALSE)</f>
        <v>#N/A</v>
      </c>
      <c r="L1286" t="s">
        <v>4917</v>
      </c>
      <c r="M1286" t="str">
        <f>VLOOKUP(H1286,CHOOSE({1,2},Table12[Native],Table12[Name]),2,0)</f>
        <v>Wénchéng Xiàn</v>
      </c>
      <c r="N1286" s="15" t="str">
        <f>VLOOKUP(I1286,CHOOSE({1,2},Table12[Native],Table12[Name]),2,0)</f>
        <v>Wēnzhōu Shì</v>
      </c>
      <c r="O1286" s="15" t="str">
        <f t="shared" si="40"/>
        <v>Yangshan Xiang (Wēnzhōu Shì)</v>
      </c>
      <c r="P1286" s="15" t="str">
        <f t="shared" si="41"/>
        <v>Yangshan Xiang (Wēnzhōu Shì)</v>
      </c>
    </row>
    <row r="1287" spans="1:16" hidden="1" x14ac:dyDescent="0.25">
      <c r="A1287" t="s">
        <v>2895</v>
      </c>
      <c r="B1287" t="str">
        <f>IF(COUNTIF(A:A,A1287)&gt;1,_xlfn.CONCAT(A1287," (",N1287,")"),A1287)</f>
        <v>Yángshān Zhèn</v>
      </c>
      <c r="C1287" t="str">
        <f>IF(COUNTIF(B:B,B1287)&gt;1,_xlfn.CONCAT(A1287," (",M1287,")"),B1287)</f>
        <v>Yángshān Zhèn</v>
      </c>
      <c r="D1287" t="s">
        <v>2896</v>
      </c>
      <c r="E1287" t="s">
        <v>11</v>
      </c>
      <c r="F1287" t="str">
        <f>_xlfn.CONCAT(D1287,", ",H1287,", ",I1287,", ","浙江省")</f>
        <v>洋山镇, 嵊泗县, 舟山市, 浙江省</v>
      </c>
      <c r="G1287">
        <v>9732</v>
      </c>
      <c r="H1287" t="s">
        <v>3017</v>
      </c>
      <c r="I1287" t="s">
        <v>3013</v>
      </c>
      <c r="J1287">
        <f>VLOOKUP(F1287,[1]!china_towns_second__2[[Column1]:[Y]],3,FALSE)</f>
        <v>30.671355351168799</v>
      </c>
      <c r="K1287">
        <f>VLOOKUP(F1287,[1]!china_towns_second__2[[Column1]:[Y]],2,FALSE)</f>
        <v>122.0137268</v>
      </c>
      <c r="L1287" t="s">
        <v>4918</v>
      </c>
      <c r="M1287" t="str">
        <f>VLOOKUP(H1287,CHOOSE({1,2},Table12[Native],Table12[Name]),2,0)</f>
        <v>Shèngsì Xiàn</v>
      </c>
      <c r="N1287" s="15" t="str">
        <f>VLOOKUP(I1287,CHOOSE({1,2},Table12[Native],Table12[Name]),2,0)</f>
        <v>Zhōushān Shì</v>
      </c>
      <c r="O1287" s="15" t="str">
        <f t="shared" si="40"/>
        <v>Yangshan Zhen (Zhōushān Shì)</v>
      </c>
      <c r="P1287" s="15" t="str">
        <f t="shared" si="41"/>
        <v>Yangshan Zhen (Zhōushān Shì)</v>
      </c>
    </row>
    <row r="1288" spans="1:16" hidden="1" x14ac:dyDescent="0.25">
      <c r="A1288" t="s">
        <v>681</v>
      </c>
      <c r="B1288" t="str">
        <f>IF(COUNTIF(A:A,A1288)&gt;1,_xlfn.CONCAT(A1288," (",N1288,")"),A1288)</f>
        <v>Yánguān Zhèn</v>
      </c>
      <c r="C1288" t="str">
        <f>IF(COUNTIF(B:B,B1288)&gt;1,_xlfn.CONCAT(A1288," (",M1288,")"),B1288)</f>
        <v>Yánguān Zhèn</v>
      </c>
      <c r="D1288" t="s">
        <v>682</v>
      </c>
      <c r="E1288" t="s">
        <v>11</v>
      </c>
      <c r="F1288" t="str">
        <f>_xlfn.CONCAT(D1288,", ",H1288,", ",I1288,", ","浙江省")</f>
        <v>盐官镇, 海宁市, 嘉兴市, 浙江省</v>
      </c>
      <c r="G1288">
        <v>57609</v>
      </c>
      <c r="H1288" t="s">
        <v>2930</v>
      </c>
      <c r="I1288" t="s">
        <v>2929</v>
      </c>
      <c r="J1288">
        <f>VLOOKUP(F1288,[1]!china_towns_second__2[[Column1]:[Y]],3,FALSE)</f>
        <v>30.4331746580377</v>
      </c>
      <c r="K1288">
        <f>VLOOKUP(F1288,[1]!china_towns_second__2[[Column1]:[Y]],2,FALSE)</f>
        <v>120.5660439</v>
      </c>
      <c r="L1288" t="s">
        <v>4919</v>
      </c>
      <c r="M1288" t="str">
        <f>VLOOKUP(H1288,CHOOSE({1,2},Table12[Native],Table12[Name]),2,0)</f>
        <v>Hăiníng Shì</v>
      </c>
      <c r="N1288" s="15" t="str">
        <f>VLOOKUP(I1288,CHOOSE({1,2},Table12[Native],Table12[Name]),2,0)</f>
        <v>Jiāxīng Shì</v>
      </c>
      <c r="O1288" s="15" t="str">
        <f t="shared" si="40"/>
        <v>Yanguan Zhen (Jiāxīng Shì)</v>
      </c>
      <c r="P1288" s="15" t="str">
        <f t="shared" si="41"/>
        <v>Yanguan Zhen (Jiāxīng Shì)</v>
      </c>
    </row>
    <row r="1289" spans="1:16" hidden="1" x14ac:dyDescent="0.25">
      <c r="A1289" t="s">
        <v>378</v>
      </c>
      <c r="B1289" t="str">
        <f>IF(COUNTIF(A:A,A1289)&gt;1,_xlfn.CONCAT(A1289," (",N1289,")"),A1289)</f>
        <v>Yángxī Jiēdào</v>
      </c>
      <c r="C1289" t="str">
        <f>IF(COUNTIF(B:B,B1289)&gt;1,_xlfn.CONCAT(A1289," (",M1289,")"),B1289)</f>
        <v>Yángxī Jiēdào</v>
      </c>
      <c r="D1289" t="s">
        <v>379</v>
      </c>
      <c r="E1289" t="s">
        <v>15</v>
      </c>
      <c r="F1289" t="str">
        <f>_xlfn.CONCAT(D1289,", ",H1289,", ",I1289,", ","浙江省")</f>
        <v>洋溪街道, 建德市, 杭州市, 浙江省</v>
      </c>
      <c r="G1289">
        <v>14970</v>
      </c>
      <c r="H1289" t="s">
        <v>2910</v>
      </c>
      <c r="I1289" t="s">
        <v>2903</v>
      </c>
      <c r="J1289">
        <f>VLOOKUP(F1289,[1]!china_towns_second__2[[Column1]:[Y]],3,FALSE)</f>
        <v>29.5202573921622</v>
      </c>
      <c r="K1289">
        <f>VLOOKUP(F1289,[1]!china_towns_second__2[[Column1]:[Y]],2,FALSE)</f>
        <v>119.3032003</v>
      </c>
      <c r="L1289" t="s">
        <v>4920</v>
      </c>
      <c r="M1289" t="str">
        <f>VLOOKUP(H1289,CHOOSE({1,2},Table12[Native],Table12[Name]),2,0)</f>
        <v>Jiàndé Shì</v>
      </c>
      <c r="N1289" s="15" t="str">
        <f>VLOOKUP(I1289,CHOOSE({1,2},Table12[Native],Table12[Name]),2,0)</f>
        <v>Hángzhōu Shì</v>
      </c>
      <c r="O1289" s="15" t="str">
        <f t="shared" si="40"/>
        <v>Yangxi Jiedao (Hángzhōu Shì)</v>
      </c>
      <c r="P1289" s="15" t="str">
        <f t="shared" si="41"/>
        <v>Yangxi Jiedao (Hángzhōu Shì)</v>
      </c>
    </row>
    <row r="1290" spans="1:16" hidden="1" x14ac:dyDescent="0.25">
      <c r="A1290" t="s">
        <v>2761</v>
      </c>
      <c r="B1290" t="str">
        <f>IF(COUNTIF(A:A,A1290)&gt;1,_xlfn.CONCAT(A1290," (",N1290,")"),A1290)</f>
        <v>Yángxī Xiāng</v>
      </c>
      <c r="C1290" t="str">
        <f>IF(COUNTIF(B:B,B1290)&gt;1,_xlfn.CONCAT(A1290," (",M1290,")"),B1290)</f>
        <v>Yángxī Xiāng</v>
      </c>
      <c r="D1290" t="s">
        <v>2762</v>
      </c>
      <c r="E1290" t="s">
        <v>7</v>
      </c>
      <c r="F1290" t="str">
        <f>_xlfn.CONCAT(D1290,", ",H1290,", ",I1290,", ","浙江省")</f>
        <v>垟溪乡, 泰顺县, 温州市, 浙江省</v>
      </c>
      <c r="G1290">
        <v>2963</v>
      </c>
      <c r="H1290" t="s">
        <v>3008</v>
      </c>
      <c r="I1290" t="s">
        <v>3000</v>
      </c>
      <c r="J1290" t="e">
        <f>VLOOKUP(F1290,[1]!china_towns_second__2[[Column1]:[Y]],3,FALSE)</f>
        <v>#N/A</v>
      </c>
      <c r="K1290" t="e">
        <f>VLOOKUP(F1290,[1]!china_towns_second__2[[Column1]:[Y]],2,FALSE)</f>
        <v>#N/A</v>
      </c>
      <c r="L1290" t="s">
        <v>4921</v>
      </c>
      <c r="M1290" t="str">
        <f>VLOOKUP(H1290,CHOOSE({1,2},Table12[Native],Table12[Name]),2,0)</f>
        <v>Tàishùn Xiàn</v>
      </c>
      <c r="N1290" s="15" t="str">
        <f>VLOOKUP(I1290,CHOOSE({1,2},Table12[Native],Table12[Name]),2,0)</f>
        <v>Wēnzhōu Shì</v>
      </c>
      <c r="O1290" s="15" t="str">
        <f t="shared" si="40"/>
        <v>Yangxi Xiang (Wēnzhōu Shì)</v>
      </c>
      <c r="P1290" s="15" t="str">
        <f t="shared" si="41"/>
        <v>Yangxi Xiang (Wēnzhōu Shì)</v>
      </c>
    </row>
    <row r="1291" spans="1:16" hidden="1" x14ac:dyDescent="0.25">
      <c r="A1291" t="s">
        <v>2020</v>
      </c>
      <c r="B1291" t="str">
        <f>IF(COUNTIF(A:A,A1291)&gt;1,_xlfn.CONCAT(A1291," (",N1291,")"),A1291)</f>
        <v>Yángxùnqiáo Jiēdào</v>
      </c>
      <c r="C1291" t="str">
        <f>IF(COUNTIF(B:B,B1291)&gt;1,_xlfn.CONCAT(A1291," (",M1291,")"),B1291)</f>
        <v>Yángxùnqiáo Jiēdào</v>
      </c>
      <c r="D1291" t="s">
        <v>2021</v>
      </c>
      <c r="E1291" t="s">
        <v>15</v>
      </c>
      <c r="F1291" t="str">
        <f>_xlfn.CONCAT(D1291,", ",H1291,", ",I1291,", ","浙江省")</f>
        <v>杨汛桥街道, 柯桥区, 绍兴市, 浙江省</v>
      </c>
      <c r="G1291">
        <v>67406</v>
      </c>
      <c r="H1291" t="s">
        <v>2982</v>
      </c>
      <c r="I1291" t="s">
        <v>2981</v>
      </c>
      <c r="J1291" t="e">
        <f>VLOOKUP(F1291,[1]!china_towns_second__2[[Column1]:[Y]],3,FALSE)</f>
        <v>#N/A</v>
      </c>
      <c r="K1291" t="e">
        <f>VLOOKUP(F1291,[1]!china_towns_second__2[[Column1]:[Y]],2,FALSE)</f>
        <v>#N/A</v>
      </c>
      <c r="L1291" t="s">
        <v>4922</v>
      </c>
      <c r="M1291" t="str">
        <f>VLOOKUP(H1291,CHOOSE({1,2},Table12[Native],Table12[Name]),2,0)</f>
        <v>Kēqiáo Qū</v>
      </c>
      <c r="N1291" s="15" t="str">
        <f>VLOOKUP(I1291,CHOOSE({1,2},Table12[Native],Table12[Name]),2,0)</f>
        <v>Shàoxīng Shì</v>
      </c>
      <c r="O1291" s="15" t="str">
        <f t="shared" si="40"/>
        <v>Yangxunqiao Jiedao (Shàoxīng Shì)</v>
      </c>
      <c r="P1291" s="15" t="str">
        <f t="shared" si="41"/>
        <v>Yangxunqiao Jiedao (Shàoxīng Shì)</v>
      </c>
    </row>
    <row r="1292" spans="1:16" hidden="1" x14ac:dyDescent="0.25">
      <c r="A1292" t="s">
        <v>2763</v>
      </c>
      <c r="B1292" t="str">
        <f>IF(COUNTIF(A:A,A1292)&gt;1,_xlfn.CONCAT(A1292," (",N1292,")"),A1292)</f>
        <v>Yăngyì Jiēdào</v>
      </c>
      <c r="C1292" t="str">
        <f>IF(COUNTIF(B:B,B1292)&gt;1,_xlfn.CONCAT(A1292," (",M1292,")"),B1292)</f>
        <v>Yăngyì Jiēdào</v>
      </c>
      <c r="D1292" t="s">
        <v>2764</v>
      </c>
      <c r="E1292" t="s">
        <v>15</v>
      </c>
      <c r="F1292" t="str">
        <f>_xlfn.CONCAT(D1292,", ",H1292,", ",I1292,", ","浙江省")</f>
        <v>仰义街道, 鹿城区, 温州市, 浙江省</v>
      </c>
      <c r="G1292">
        <v>63948</v>
      </c>
      <c r="H1292" t="s">
        <v>3004</v>
      </c>
      <c r="I1292" t="s">
        <v>3000</v>
      </c>
      <c r="J1292">
        <f>VLOOKUP(F1292,[1]!china_towns_second__2[[Column1]:[Y]],3,FALSE)</f>
        <v>28.065123490085</v>
      </c>
      <c r="K1292">
        <f>VLOOKUP(F1292,[1]!china_towns_second__2[[Column1]:[Y]],2,FALSE)</f>
        <v>120.5610971</v>
      </c>
      <c r="L1292" t="s">
        <v>4923</v>
      </c>
      <c r="M1292" t="str">
        <f>VLOOKUP(H1292,CHOOSE({1,2},Table12[Native],Table12[Name]),2,0)</f>
        <v>Lùchéng Qū</v>
      </c>
      <c r="N1292" s="15" t="str">
        <f>VLOOKUP(I1292,CHOOSE({1,2},Table12[Native],Table12[Name]),2,0)</f>
        <v>Wēnzhōu Shì</v>
      </c>
      <c r="O1292" s="15" t="str">
        <f t="shared" si="40"/>
        <v>Yangyi Jiedao (Wēnzhōu Shì)</v>
      </c>
      <c r="P1292" s="15" t="str">
        <f t="shared" si="41"/>
        <v>Yangyi Jiedao (Wēnzhōu Shì)</v>
      </c>
    </row>
    <row r="1293" spans="1:16" hidden="1" x14ac:dyDescent="0.25">
      <c r="A1293" t="s">
        <v>2022</v>
      </c>
      <c r="B1293" t="str">
        <f>IF(COUNTIF(A:A,A1293)&gt;1,_xlfn.CONCAT(A1293," (",N1293,")"),A1293)</f>
        <v>Yănhú Jiēdào</v>
      </c>
      <c r="C1293" t="str">
        <f>IF(COUNTIF(B:B,B1293)&gt;1,_xlfn.CONCAT(A1293," (",M1293,")"),B1293)</f>
        <v>Yănhú Jiēdào</v>
      </c>
      <c r="D1293" t="s">
        <v>2023</v>
      </c>
      <c r="E1293" t="s">
        <v>15</v>
      </c>
      <c r="F1293" t="str">
        <f>_xlfn.CONCAT(D1293,", ",H1293,", ",I1293,", ","浙江省")</f>
        <v>剡湖街道, 嵊州市, 绍兴市, 浙江省</v>
      </c>
      <c r="G1293">
        <v>84778</v>
      </c>
      <c r="H1293" t="s">
        <v>2984</v>
      </c>
      <c r="I1293" t="s">
        <v>2981</v>
      </c>
      <c r="J1293">
        <f>VLOOKUP(F1293,[1]!china_towns_second__2[[Column1]:[Y]],3,FALSE)</f>
        <v>29.628051009598899</v>
      </c>
      <c r="K1293">
        <f>VLOOKUP(F1293,[1]!china_towns_second__2[[Column1]:[Y]],2,FALSE)</f>
        <v>120.8108227</v>
      </c>
      <c r="L1293" t="s">
        <v>4924</v>
      </c>
      <c r="M1293" t="str">
        <f>VLOOKUP(H1293,CHOOSE({1,2},Table12[Native],Table12[Name]),2,0)</f>
        <v>Shèngzhōu Shì</v>
      </c>
      <c r="N1293" s="15" t="str">
        <f>VLOOKUP(I1293,CHOOSE({1,2},Table12[Native],Table12[Name]),2,0)</f>
        <v>Shàoxīng Shì</v>
      </c>
      <c r="O1293" s="15" t="str">
        <f t="shared" si="40"/>
        <v>Yanhu Jiedao (Shàoxīng Shì)</v>
      </c>
      <c r="P1293" s="15" t="str">
        <f t="shared" si="41"/>
        <v>Yanhu Jiedao (Shàoxīng Shì)</v>
      </c>
    </row>
    <row r="1294" spans="1:16" hidden="1" x14ac:dyDescent="0.25">
      <c r="A1294" t="s">
        <v>2765</v>
      </c>
      <c r="B1294" t="str">
        <f>IF(COUNTIF(A:A,A1294)&gt;1,_xlfn.CONCAT(A1294," (",N1294,")"),A1294)</f>
        <v>Yànhú Xiāng</v>
      </c>
      <c r="C1294" t="str">
        <f>IF(COUNTIF(B:B,B1294)&gt;1,_xlfn.CONCAT(A1294," (",M1294,")"),B1294)</f>
        <v>Yànhú Xiāng</v>
      </c>
      <c r="D1294" t="s">
        <v>2766</v>
      </c>
      <c r="E1294" t="s">
        <v>7</v>
      </c>
      <c r="F1294" t="str">
        <f>_xlfn.CONCAT(D1294,", ",H1294,", ",I1294,", ","浙江省")</f>
        <v>雁湖乡, 乐清市, 温州市, 浙江省</v>
      </c>
      <c r="G1294">
        <v>8210</v>
      </c>
      <c r="H1294" t="s">
        <v>3011</v>
      </c>
      <c r="I1294" t="s">
        <v>3000</v>
      </c>
      <c r="J1294" t="e">
        <f>VLOOKUP(F1294,[1]!china_towns_second__2[[Column1]:[Y]],3,FALSE)</f>
        <v>#N/A</v>
      </c>
      <c r="K1294" t="e">
        <f>VLOOKUP(F1294,[1]!china_towns_second__2[[Column1]:[Y]],2,FALSE)</f>
        <v>#N/A</v>
      </c>
      <c r="L1294" t="s">
        <v>4925</v>
      </c>
      <c r="M1294" t="str">
        <f>VLOOKUP(H1294,CHOOSE({1,2},Table12[Native],Table12[Name]),2,0)</f>
        <v>Yuèqīng Shì</v>
      </c>
      <c r="N1294" s="15" t="str">
        <f>VLOOKUP(I1294,CHOOSE({1,2},Table12[Native],Table12[Name]),2,0)</f>
        <v>Wēnzhōu Shì</v>
      </c>
      <c r="O1294" s="15" t="str">
        <f t="shared" si="40"/>
        <v>Yanhu Xiang (Wēnzhōu Shì)</v>
      </c>
      <c r="P1294" s="15" t="str">
        <f t="shared" si="41"/>
        <v>Yanhu Xiang (Wēnzhōu Shì)</v>
      </c>
    </row>
    <row r="1295" spans="1:16" hidden="1" x14ac:dyDescent="0.25">
      <c r="A1295" t="s">
        <v>2247</v>
      </c>
      <c r="B1295" t="str">
        <f>IF(COUNTIF(A:A,A1295)&gt;1,_xlfn.CONCAT(A1295," (",N1295,")"),A1295)</f>
        <v>Yánjiāng Zhèn</v>
      </c>
      <c r="C1295" t="str">
        <f>IF(COUNTIF(B:B,B1295)&gt;1,_xlfn.CONCAT(A1295," (",M1295,")"),B1295)</f>
        <v>Yánjiāng Zhèn</v>
      </c>
      <c r="D1295" t="s">
        <v>2248</v>
      </c>
      <c r="E1295" t="s">
        <v>11</v>
      </c>
      <c r="F1295" t="str">
        <f>_xlfn.CONCAT(D1295,", ",H1295,", ",I1295,", ","浙江省")</f>
        <v>沿江镇, 临海市, 台州市, 浙江省</v>
      </c>
      <c r="G1295">
        <v>42462</v>
      </c>
      <c r="H1295" t="s">
        <v>2992</v>
      </c>
      <c r="I1295" t="s">
        <v>2989</v>
      </c>
      <c r="J1295">
        <f>VLOOKUP(F1295,[1]!china_towns_second__2[[Column1]:[Y]],3,FALSE)</f>
        <v>28.735340810398601</v>
      </c>
      <c r="K1295">
        <f>VLOOKUP(F1295,[1]!china_towns_second__2[[Column1]:[Y]],2,FALSE)</f>
        <v>121.2540255</v>
      </c>
      <c r="L1295" t="s">
        <v>4926</v>
      </c>
      <c r="M1295" t="str">
        <f>VLOOKUP(H1295,CHOOSE({1,2},Table12[Native],Table12[Name]),2,0)</f>
        <v>Línhăi Shì</v>
      </c>
      <c r="N1295" s="15" t="str">
        <f>VLOOKUP(I1295,CHOOSE({1,2},Table12[Native],Table12[Name]),2,0)</f>
        <v>Táizhōu Shì</v>
      </c>
      <c r="O1295" s="15" t="str">
        <f t="shared" si="40"/>
        <v>Yanjiang Zhen (Táizhōu Shì)</v>
      </c>
      <c r="P1295" s="15" t="str">
        <f t="shared" si="41"/>
        <v>Yanjiang Zhen (Táizhōu Shì)</v>
      </c>
    </row>
    <row r="1296" spans="1:16" hidden="1" x14ac:dyDescent="0.25">
      <c r="A1296" t="s">
        <v>2767</v>
      </c>
      <c r="B1296" t="str">
        <f>IF(COUNTIF(A:A,A1296)&gt;1,_xlfn.CONCAT(A1296," (",N1296,")"),A1296)</f>
        <v>Yánpŭ Zhèn [→ Măzhàn Zhèn]</v>
      </c>
      <c r="C1296" t="str">
        <f>IF(COUNTIF(B:B,B1296)&gt;1,_xlfn.CONCAT(A1296," (",M1296,")"),B1296)</f>
        <v>Yánpŭ Zhèn [→ Măzhàn Zhèn]</v>
      </c>
      <c r="D1296" t="s">
        <v>2768</v>
      </c>
      <c r="E1296" t="s">
        <v>11</v>
      </c>
      <c r="F1296" t="str">
        <f>_xlfn.CONCAT(D1296,", ",H1296,", ",I1296,", ","浙江省")</f>
        <v>沿浦镇, 苍南县, 温州市, 浙江省</v>
      </c>
      <c r="G1296">
        <v>9855</v>
      </c>
      <c r="H1296" t="s">
        <v>3001</v>
      </c>
      <c r="I1296" t="s">
        <v>3000</v>
      </c>
      <c r="J1296">
        <f>VLOOKUP(F1296,[1]!china_towns_second__2[[Column1]:[Y]],3,FALSE)</f>
        <v>27.231297900000001</v>
      </c>
      <c r="K1296">
        <f>VLOOKUP(F1296,[1]!china_towns_second__2[[Column1]:[Y]],2,FALSE)</f>
        <v>120.4563224</v>
      </c>
      <c r="L1296" t="s">
        <v>4927</v>
      </c>
      <c r="M1296" t="str">
        <f>VLOOKUP(H1296,CHOOSE({1,2},Table12[Native],Table12[Name]),2,0)</f>
        <v>Cāngnán Xiàn</v>
      </c>
      <c r="N1296" s="15" t="str">
        <f>VLOOKUP(I1296,CHOOSE({1,2},Table12[Native],Table12[Name]),2,0)</f>
        <v>Wēnzhōu Shì</v>
      </c>
      <c r="O1296" s="15" t="str">
        <f t="shared" si="40"/>
        <v>Yanpu Zhen [→ Mazhan Zhen] (Wēnzhōu Shì)</v>
      </c>
      <c r="P1296" s="15" t="str">
        <f t="shared" si="41"/>
        <v>Yanpu Zhen [→ Mazhan Zhen] (Wēnzhōu Shì)</v>
      </c>
    </row>
    <row r="1297" spans="1:16" hidden="1" x14ac:dyDescent="0.25">
      <c r="A1297" t="s">
        <v>1277</v>
      </c>
      <c r="B1297" t="str">
        <f>IF(COUNTIF(A:A,A1297)&gt;1,_xlfn.CONCAT(A1297," (",N1297,")"),A1297)</f>
        <v>Yánquán Jiēdào [incl. Shuānghuáng Xiāng]</v>
      </c>
      <c r="C1297" t="str">
        <f>IF(COUNTIF(B:B,B1297)&gt;1,_xlfn.CONCAT(A1297," (",M1297,")"),B1297)</f>
        <v>Yánquán Jiēdào [incl. Shuānghuáng Xiāng]</v>
      </c>
      <c r="D1297" t="s">
        <v>1278</v>
      </c>
      <c r="E1297" t="s">
        <v>15</v>
      </c>
      <c r="F1297" t="str">
        <f>_xlfn.CONCAT(D1297,", ",H1297,", ",I1297,", ","浙江省")</f>
        <v>岩泉街道, 莲都区, 丽水市, 浙江省</v>
      </c>
      <c r="G1297">
        <v>81204</v>
      </c>
      <c r="H1297" t="s">
        <v>2953</v>
      </c>
      <c r="I1297" t="s">
        <v>2949</v>
      </c>
      <c r="J1297">
        <f>VLOOKUP(F1297,[1]!china_towns_second__2[[Column1]:[Y]],3,FALSE)</f>
        <v>28.514889753576199</v>
      </c>
      <c r="K1297">
        <f>VLOOKUP(F1297,[1]!china_towns_second__2[[Column1]:[Y]],2,FALSE)</f>
        <v>119.9581799</v>
      </c>
      <c r="L1297" t="s">
        <v>4928</v>
      </c>
      <c r="M1297" t="str">
        <f>VLOOKUP(H1297,CHOOSE({1,2},Table12[Native],Table12[Name]),2,0)</f>
        <v>Liándū Qū</v>
      </c>
      <c r="N1297" s="15" t="str">
        <f>VLOOKUP(I1297,CHOOSE({1,2},Table12[Native],Table12[Name]),2,0)</f>
        <v>Lìshuĭ Shì</v>
      </c>
      <c r="O1297" s="15" t="str">
        <f t="shared" si="40"/>
        <v>Yanquan Jiedao [incl. Shuanghuang Xiang] (Lìshuĭ Shì)</v>
      </c>
      <c r="P1297" s="15" t="str">
        <f t="shared" si="41"/>
        <v>Yanquan Jiedao [incl. Shuanghuang Xiang] (Lìshuĭ Shì)</v>
      </c>
    </row>
    <row r="1298" spans="1:16" hidden="1" x14ac:dyDescent="0.25">
      <c r="A1298" t="s">
        <v>2769</v>
      </c>
      <c r="B1298" t="str">
        <f>IF(COUNTIF(A:A,A1298)&gt;1,_xlfn.CONCAT(A1298," (",N1298,")"),A1298)</f>
        <v>Yántăn Zhèn</v>
      </c>
      <c r="C1298" t="str">
        <f>IF(COUNTIF(B:B,B1298)&gt;1,_xlfn.CONCAT(A1298," (",M1298,")"),B1298)</f>
        <v>Yántăn Zhèn</v>
      </c>
      <c r="D1298" t="s">
        <v>2770</v>
      </c>
      <c r="E1298" t="s">
        <v>11</v>
      </c>
      <c r="F1298" t="str">
        <f>_xlfn.CONCAT(D1298,", ",H1298,", ",I1298,", ","浙江省")</f>
        <v>岩坦镇, 永嘉县, 温州市, 浙江省</v>
      </c>
      <c r="G1298">
        <v>5535</v>
      </c>
      <c r="H1298" t="s">
        <v>3010</v>
      </c>
      <c r="I1298" t="s">
        <v>3000</v>
      </c>
      <c r="J1298">
        <f>VLOOKUP(F1298,[1]!china_towns_second__2[[Column1]:[Y]],3,FALSE)</f>
        <v>28.505862117369599</v>
      </c>
      <c r="K1298">
        <f>VLOOKUP(F1298,[1]!china_towns_second__2[[Column1]:[Y]],2,FALSE)</f>
        <v>120.6447249</v>
      </c>
      <c r="L1298" t="s">
        <v>4929</v>
      </c>
      <c r="M1298" t="str">
        <f>VLOOKUP(H1298,CHOOSE({1,2},Table12[Native],Table12[Name]),2,0)</f>
        <v>Yŏngjiā Xiàn</v>
      </c>
      <c r="N1298" s="15" t="str">
        <f>VLOOKUP(I1298,CHOOSE({1,2},Table12[Native],Table12[Name]),2,0)</f>
        <v>Wēnzhōu Shì</v>
      </c>
      <c r="O1298" s="15" t="str">
        <f t="shared" si="40"/>
        <v>Yantan Zhen (Wēnzhōu Shì)</v>
      </c>
      <c r="P1298" s="15" t="str">
        <f t="shared" si="41"/>
        <v>Yantan Zhen (Wēnzhōu Shì)</v>
      </c>
    </row>
    <row r="1299" spans="1:16" hidden="1" x14ac:dyDescent="0.25">
      <c r="A1299" t="s">
        <v>2771</v>
      </c>
      <c r="B1299" t="str">
        <f>IF(COUNTIF(A:A,A1299)&gt;1,_xlfn.CONCAT(A1299," (",N1299,")"),A1299)</f>
        <v>Yántíng Zhèn [→ Măzhàn Zhèn]</v>
      </c>
      <c r="C1299" t="str">
        <f>IF(COUNTIF(B:B,B1299)&gt;1,_xlfn.CONCAT(A1299," (",M1299,")"),B1299)</f>
        <v>Yántíng Zhèn [→ Măzhàn Zhèn]</v>
      </c>
      <c r="D1299" t="s">
        <v>2772</v>
      </c>
      <c r="E1299" t="s">
        <v>11</v>
      </c>
      <c r="F1299" t="str">
        <f>_xlfn.CONCAT(D1299,", ",H1299,", ",I1299,", ","浙江省")</f>
        <v>炎亭镇, 苍南县, 温州市, 浙江省</v>
      </c>
      <c r="G1299">
        <v>7575</v>
      </c>
      <c r="H1299" t="s">
        <v>3001</v>
      </c>
      <c r="I1299" t="s">
        <v>3000</v>
      </c>
      <c r="J1299">
        <f>VLOOKUP(F1299,[1]!china_towns_second__2[[Column1]:[Y]],3,FALSE)</f>
        <v>27.453017899999999</v>
      </c>
      <c r="K1299">
        <f>VLOOKUP(F1299,[1]!china_towns_second__2[[Column1]:[Y]],2,FALSE)</f>
        <v>120.6492484</v>
      </c>
      <c r="L1299" t="s">
        <v>4930</v>
      </c>
      <c r="M1299" t="str">
        <f>VLOOKUP(H1299,CHOOSE({1,2},Table12[Native],Table12[Name]),2,0)</f>
        <v>Cāngnán Xiàn</v>
      </c>
      <c r="N1299" s="15" t="str">
        <f>VLOOKUP(I1299,CHOOSE({1,2},Table12[Native],Table12[Name]),2,0)</f>
        <v>Wēnzhōu Shì</v>
      </c>
      <c r="O1299" s="15" t="str">
        <f t="shared" si="40"/>
        <v>Yanting Zhen [→ Mazhan Zhen] (Wēnzhōu Shì)</v>
      </c>
      <c r="P1299" s="15" t="str">
        <f t="shared" si="41"/>
        <v>Yanting Zhen [→ Mazhan Zhen] (Wēnzhōu Shì)</v>
      </c>
    </row>
    <row r="1300" spans="1:16" hidden="1" x14ac:dyDescent="0.25">
      <c r="A1300" t="s">
        <v>959</v>
      </c>
      <c r="B1300" t="str">
        <f>IF(COUNTIF(A:A,A1300)&gt;1,_xlfn.CONCAT(A1300," (",N1300,")"),A1300)</f>
        <v>Yántóu Zhèn (Jīnhuá Shì)</v>
      </c>
      <c r="C1300" t="str">
        <f>IF(COUNTIF(B:B,B1300)&gt;1,_xlfn.CONCAT(A1300," (",M1300,")"),B1300)</f>
        <v>Yántóu Zhèn (Jīnhuá Shì)</v>
      </c>
      <c r="D1300" t="s">
        <v>960</v>
      </c>
      <c r="E1300" t="s">
        <v>11</v>
      </c>
      <c r="F1300" t="str">
        <f>_xlfn.CONCAT(D1300,", ",H1300,", ",I1300,", ","浙江省")</f>
        <v>岩头镇, 浦江县, 金华市, 浙江省</v>
      </c>
      <c r="G1300">
        <v>23253</v>
      </c>
      <c r="H1300" t="s">
        <v>2943</v>
      </c>
      <c r="I1300" t="s">
        <v>2938</v>
      </c>
      <c r="J1300">
        <f>VLOOKUP(F1300,[1]!china_towns_second__2[[Column1]:[Y]],3,FALSE)</f>
        <v>29.518870658518502</v>
      </c>
      <c r="K1300">
        <f>VLOOKUP(F1300,[1]!china_towns_second__2[[Column1]:[Y]],2,FALSE)</f>
        <v>119.9447559</v>
      </c>
      <c r="L1300" t="s">
        <v>4931</v>
      </c>
      <c r="M1300" t="str">
        <f>VLOOKUP(H1300,CHOOSE({1,2},Table12[Native],Table12[Name]),2,0)</f>
        <v>Pŭjiāng Xiàn</v>
      </c>
      <c r="N1300" s="15" t="str">
        <f>VLOOKUP(I1300,CHOOSE({1,2},Table12[Native],Table12[Name]),2,0)</f>
        <v>Jīnhuá Shì</v>
      </c>
      <c r="O1300" s="15" t="str">
        <f t="shared" si="40"/>
        <v>Yantou Zhen (Jinhua Shi) (Jīnhuá Shì)</v>
      </c>
      <c r="P1300" s="15" t="str">
        <f t="shared" si="41"/>
        <v>Yantou Zhen (Jinhua Shi) (Jīnhuá Shì)</v>
      </c>
    </row>
    <row r="1301" spans="1:16" hidden="1" x14ac:dyDescent="0.25">
      <c r="A1301" t="s">
        <v>959</v>
      </c>
      <c r="B1301" t="str">
        <f>IF(COUNTIF(A:A,A1301)&gt;1,_xlfn.CONCAT(A1301," (",N1301,")"),A1301)</f>
        <v>Yántóu Zhèn (Wēnzhōu Shì)</v>
      </c>
      <c r="C1301" t="str">
        <f>IF(COUNTIF(B:B,B1301)&gt;1,_xlfn.CONCAT(A1301," (",M1301,")"),B1301)</f>
        <v>Yántóu Zhèn (Wēnzhōu Shì)</v>
      </c>
      <c r="D1301" t="s">
        <v>960</v>
      </c>
      <c r="E1301" t="s">
        <v>11</v>
      </c>
      <c r="F1301" t="str">
        <f>_xlfn.CONCAT(D1301,", ",H1301,", ",I1301,", ","浙江省")</f>
        <v>岩头镇, 永嘉县, 温州市, 浙江省</v>
      </c>
      <c r="G1301">
        <v>22690</v>
      </c>
      <c r="H1301" t="s">
        <v>3010</v>
      </c>
      <c r="I1301" t="s">
        <v>3000</v>
      </c>
      <c r="J1301">
        <f>VLOOKUP(F1301,[1]!china_towns_second__2[[Column1]:[Y]],3,FALSE)</f>
        <v>28.379522961700701</v>
      </c>
      <c r="K1301">
        <f>VLOOKUP(F1301,[1]!china_towns_second__2[[Column1]:[Y]],2,FALSE)</f>
        <v>120.7082089</v>
      </c>
      <c r="L1301" t="s">
        <v>4932</v>
      </c>
      <c r="M1301" t="str">
        <f>VLOOKUP(H1301,CHOOSE({1,2},Table12[Native],Table12[Name]),2,0)</f>
        <v>Yŏngjiā Xiàn</v>
      </c>
      <c r="N1301" s="15" t="str">
        <f>VLOOKUP(I1301,CHOOSE({1,2},Table12[Native],Table12[Name]),2,0)</f>
        <v>Wēnzhōu Shì</v>
      </c>
      <c r="O1301" s="15" t="str">
        <f t="shared" si="40"/>
        <v>Yantou Zhen (Wenzhou Shi) (Wēnzhōu Shì)</v>
      </c>
      <c r="P1301" s="15" t="str">
        <f t="shared" si="41"/>
        <v>Yantou Zhen (Wenzhou Shi) (Wēnzhōu Shì)</v>
      </c>
    </row>
    <row r="1302" spans="1:16" hidden="1" x14ac:dyDescent="0.25">
      <c r="A1302" t="s">
        <v>1279</v>
      </c>
      <c r="B1302" t="str">
        <f>IF(COUNTIF(A:A,A1302)&gt;1,_xlfn.CONCAT(A1302," (",N1302,")"),A1302)</f>
        <v>Yànxī Xiāng</v>
      </c>
      <c r="C1302" t="str">
        <f>IF(COUNTIF(B:B,B1302)&gt;1,_xlfn.CONCAT(A1302," (",M1302,")"),B1302)</f>
        <v>Yànxī Xiāng</v>
      </c>
      <c r="D1302" t="s">
        <v>1280</v>
      </c>
      <c r="E1302" t="s">
        <v>7</v>
      </c>
      <c r="F1302" t="str">
        <f>_xlfn.CONCAT(D1302,", ",H1302,", ",I1302,", ","浙江省")</f>
        <v>雁溪乡, 景宁畲族自治县, 丽水市, 浙江省</v>
      </c>
      <c r="G1302">
        <v>1107</v>
      </c>
      <c r="H1302" t="s">
        <v>2951</v>
      </c>
      <c r="I1302" t="s">
        <v>2949</v>
      </c>
      <c r="J1302" t="e">
        <f>VLOOKUP(F1302,[1]!china_towns_second__2[[Column1]:[Y]],3,FALSE)</f>
        <v>#N/A</v>
      </c>
      <c r="K1302" t="e">
        <f>VLOOKUP(F1302,[1]!china_towns_second__2[[Column1]:[Y]],2,FALSE)</f>
        <v>#N/A</v>
      </c>
      <c r="L1302" t="s">
        <v>4933</v>
      </c>
      <c r="M1302" t="str">
        <f>VLOOKUP(H1302,CHOOSE({1,2},Table12[Native],Table12[Name]),2,0)</f>
        <v>Jĭngníng Shēzú Zìzhìxiàn</v>
      </c>
      <c r="N1302" s="15" t="str">
        <f>VLOOKUP(I1302,CHOOSE({1,2},Table12[Native],Table12[Name]),2,0)</f>
        <v>Lìshuĭ Shì</v>
      </c>
      <c r="O1302" s="15" t="str">
        <f t="shared" si="40"/>
        <v>Yanxi Xiang (Lìshuĭ Shì)</v>
      </c>
      <c r="P1302" s="15" t="str">
        <f t="shared" si="41"/>
        <v>Yanxi Xiang (Lìshuĭ Shì)</v>
      </c>
    </row>
    <row r="1303" spans="1:16" hidden="1" x14ac:dyDescent="0.25">
      <c r="A1303" t="s">
        <v>1281</v>
      </c>
      <c r="B1303" t="str">
        <f>IF(COUNTIF(A:A,A1303)&gt;1,_xlfn.CONCAT(A1303," (",N1303,")"),A1303)</f>
        <v>Yánzhāng Xiāng</v>
      </c>
      <c r="C1303" t="str">
        <f>IF(COUNTIF(B:B,B1303)&gt;1,_xlfn.CONCAT(A1303," (",M1303,")"),B1303)</f>
        <v>Yánzhāng Xiāng</v>
      </c>
      <c r="D1303" t="s">
        <v>1282</v>
      </c>
      <c r="E1303" t="s">
        <v>7</v>
      </c>
      <c r="F1303" t="str">
        <f>_xlfn.CONCAT(D1303,", ",H1303,", ",I1303,", ","浙江省")</f>
        <v>岩樟乡, 龙泉市, 丽水市, 浙江省</v>
      </c>
      <c r="G1303">
        <v>1924</v>
      </c>
      <c r="H1303" t="s">
        <v>2954</v>
      </c>
      <c r="I1303" t="s">
        <v>2949</v>
      </c>
      <c r="J1303" t="e">
        <f>VLOOKUP(F1303,[1]!china_towns_second__2[[Column1]:[Y]],3,FALSE)</f>
        <v>#N/A</v>
      </c>
      <c r="K1303" t="e">
        <f>VLOOKUP(F1303,[1]!china_towns_second__2[[Column1]:[Y]],2,FALSE)</f>
        <v>#N/A</v>
      </c>
      <c r="L1303" t="s">
        <v>4934</v>
      </c>
      <c r="M1303" t="str">
        <f>VLOOKUP(H1303,CHOOSE({1,2},Table12[Native],Table12[Name]),2,0)</f>
        <v>Lóngquán Shì</v>
      </c>
      <c r="N1303" s="15" t="str">
        <f>VLOOKUP(I1303,CHOOSE({1,2},Table12[Native],Table12[Name]),2,0)</f>
        <v>Lìshuĭ Shì</v>
      </c>
      <c r="O1303" s="15" t="str">
        <f t="shared" si="40"/>
        <v>Yanzhang Xiang (Lìshuĭ Shì)</v>
      </c>
      <c r="P1303" s="15" t="str">
        <f t="shared" si="41"/>
        <v>Yanzhang Xiang (Lìshuĭ Shì)</v>
      </c>
    </row>
    <row r="1304" spans="1:16" hidden="1" x14ac:dyDescent="0.25">
      <c r="A1304" t="s">
        <v>961</v>
      </c>
      <c r="B1304" t="str">
        <f>IF(COUNTIF(A:A,A1304)&gt;1,_xlfn.CONCAT(A1304," (",N1304,")"),A1304)</f>
        <v>Yăochuān Xiāng</v>
      </c>
      <c r="C1304" t="str">
        <f>IF(COUNTIF(B:B,B1304)&gt;1,_xlfn.CONCAT(A1304," (",M1304,")"),B1304)</f>
        <v>Yăochuān Xiāng</v>
      </c>
      <c r="D1304" t="s">
        <v>962</v>
      </c>
      <c r="E1304" t="s">
        <v>7</v>
      </c>
      <c r="F1304" t="str">
        <f>_xlfn.CONCAT(D1304,", ",H1304,", ",I1304,", ","浙江省")</f>
        <v>窈川乡, 磐安县, 金华市, 浙江省</v>
      </c>
      <c r="G1304">
        <v>2375</v>
      </c>
      <c r="H1304" t="s">
        <v>2942</v>
      </c>
      <c r="I1304" t="s">
        <v>2938</v>
      </c>
      <c r="J1304" t="e">
        <f>VLOOKUP(F1304,[1]!china_towns_second__2[[Column1]:[Y]],3,FALSE)</f>
        <v>#N/A</v>
      </c>
      <c r="K1304" t="e">
        <f>VLOOKUP(F1304,[1]!china_towns_second__2[[Column1]:[Y]],2,FALSE)</f>
        <v>#N/A</v>
      </c>
      <c r="L1304" t="s">
        <v>4935</v>
      </c>
      <c r="M1304" t="str">
        <f>VLOOKUP(H1304,CHOOSE({1,2},Table12[Native],Table12[Name]),2,0)</f>
        <v>Pán'ān Xiàn</v>
      </c>
      <c r="N1304" s="15" t="str">
        <f>VLOOKUP(I1304,CHOOSE({1,2},Table12[Native],Table12[Name]),2,0)</f>
        <v>Jīnhuá Shì</v>
      </c>
      <c r="O1304" s="15" t="str">
        <f t="shared" si="40"/>
        <v>Yaochuan Xiang (Jīnhuá Shì)</v>
      </c>
      <c r="P1304" s="15" t="str">
        <f t="shared" si="41"/>
        <v>Yaochuan Xiang (Jīnhuá Shì)</v>
      </c>
    </row>
    <row r="1305" spans="1:16" hidden="1" x14ac:dyDescent="0.25">
      <c r="A1305" t="s">
        <v>2024</v>
      </c>
      <c r="B1305" t="str">
        <f>IF(COUNTIF(A:A,A1305)&gt;1,_xlfn.CONCAT(A1305," (",N1305,")"),A1305)</f>
        <v>Yáojiāng Zhèn [incl. Zhíbù Zhèn, Jiāngzăo Zhèn]</v>
      </c>
      <c r="C1305" t="str">
        <f>IF(COUNTIF(B:B,B1305)&gt;1,_xlfn.CONCAT(A1305," (",M1305,")"),B1305)</f>
        <v>Yáojiāng Zhèn [incl. Zhíbù Zhèn, Jiāngzăo Zhèn]</v>
      </c>
      <c r="D1305" t="s">
        <v>2025</v>
      </c>
      <c r="E1305" t="s">
        <v>11</v>
      </c>
      <c r="F1305" t="str">
        <f>_xlfn.CONCAT(D1305,", ",H1305,", ",I1305,", ","浙江省")</f>
        <v>姚江镇, 诸暨市, 绍兴市, 浙江省</v>
      </c>
      <c r="G1305">
        <v>47279</v>
      </c>
      <c r="H1305" t="s">
        <v>2987</v>
      </c>
      <c r="I1305" t="s">
        <v>2981</v>
      </c>
      <c r="J1305">
        <f>VLOOKUP(F1305,[1]!china_towns_second__2[[Column1]:[Y]],3,FALSE)</f>
        <v>29.819173757927199</v>
      </c>
      <c r="K1305">
        <f>VLOOKUP(F1305,[1]!china_towns_second__2[[Column1]:[Y]],2,FALSE)</f>
        <v>120.29380980000001</v>
      </c>
      <c r="L1305" t="s">
        <v>4936</v>
      </c>
      <c r="M1305" t="str">
        <f>VLOOKUP(H1305,CHOOSE({1,2},Table12[Native],Table12[Name]),2,0)</f>
        <v>Zhūjì Shì</v>
      </c>
      <c r="N1305" s="15" t="str">
        <f>VLOOKUP(I1305,CHOOSE({1,2},Table12[Native],Table12[Name]),2,0)</f>
        <v>Shàoxīng Shì</v>
      </c>
      <c r="O1305" s="15" t="str">
        <f t="shared" si="40"/>
        <v>Yaojiang Zhen [incl. Zhibu Zhen, Jiangzao Zhen] (Shàoxīng Shì)</v>
      </c>
      <c r="P1305" s="15" t="str">
        <f t="shared" si="41"/>
        <v>Yaojiang Zhen [incl. Zhibu Zhen, Jiangzao Zhen] (Shàoxīng Shì)</v>
      </c>
    </row>
    <row r="1306" spans="1:16" hidden="1" x14ac:dyDescent="0.25">
      <c r="A1306" t="s">
        <v>380</v>
      </c>
      <c r="B1306" t="str">
        <f>IF(COUNTIF(A:A,A1306)&gt;1,_xlfn.CONCAT(A1306," (",N1306,")"),A1306)</f>
        <v>Yáolín Zhèn</v>
      </c>
      <c r="C1306" t="str">
        <f>IF(COUNTIF(B:B,B1306)&gt;1,_xlfn.CONCAT(A1306," (",M1306,")"),B1306)</f>
        <v>Yáolín Zhèn</v>
      </c>
      <c r="D1306" t="s">
        <v>381</v>
      </c>
      <c r="E1306" t="s">
        <v>11</v>
      </c>
      <c r="F1306" t="str">
        <f>_xlfn.CONCAT(D1306,", ",H1306,", ",I1306,", ","浙江省")</f>
        <v>瑶琳镇, 桐庐县, 杭州市, 浙江省</v>
      </c>
      <c r="G1306">
        <v>27078</v>
      </c>
      <c r="H1306" t="s">
        <v>2916</v>
      </c>
      <c r="I1306" t="s">
        <v>2903</v>
      </c>
      <c r="J1306">
        <f>VLOOKUP(F1306,[1]!china_towns_second__2[[Column1]:[Y]],3,FALSE)</f>
        <v>29.905992150764799</v>
      </c>
      <c r="K1306">
        <f>VLOOKUP(F1306,[1]!china_towns_second__2[[Column1]:[Y]],2,FALSE)</f>
        <v>119.5214277</v>
      </c>
      <c r="L1306" t="s">
        <v>4937</v>
      </c>
      <c r="M1306" t="str">
        <f>VLOOKUP(H1306,CHOOSE({1,2},Table12[Native],Table12[Name]),2,0)</f>
        <v>Tónglú Xiàn</v>
      </c>
      <c r="N1306" s="15" t="str">
        <f>VLOOKUP(I1306,CHOOSE({1,2},Table12[Native],Table12[Name]),2,0)</f>
        <v>Hángzhōu Shì</v>
      </c>
      <c r="O1306" s="15" t="str">
        <f t="shared" si="40"/>
        <v>Yaolin Zhen (Hángzhōu Shì)</v>
      </c>
      <c r="P1306" s="15" t="str">
        <f t="shared" si="41"/>
        <v>Yaolin Zhen (Hángzhōu Shì)</v>
      </c>
    </row>
    <row r="1307" spans="1:16" hidden="1" x14ac:dyDescent="0.25">
      <c r="A1307" t="s">
        <v>382</v>
      </c>
      <c r="B1307" t="str">
        <f>IF(COUNTIF(A:A,A1307)&gt;1,_xlfn.CONCAT(A1307," (",N1307,")"),A1307)</f>
        <v>Yáoshān Xiāng</v>
      </c>
      <c r="C1307" t="str">
        <f>IF(COUNTIF(B:B,B1307)&gt;1,_xlfn.CONCAT(A1307," (",M1307,")"),B1307)</f>
        <v>Yáoshān Xiāng</v>
      </c>
      <c r="D1307" t="s">
        <v>383</v>
      </c>
      <c r="E1307" t="s">
        <v>7</v>
      </c>
      <c r="F1307" t="str">
        <f>_xlfn.CONCAT(D1307,", ",H1307,", ",I1307,", ","浙江省")</f>
        <v>瑶山乡, 淳安县, 杭州市, 浙江省</v>
      </c>
      <c r="G1307">
        <v>7766</v>
      </c>
      <c r="H1307" t="s">
        <v>2907</v>
      </c>
      <c r="I1307" t="s">
        <v>2903</v>
      </c>
      <c r="J1307" t="e">
        <f>VLOOKUP(F1307,[1]!china_towns_second__2[[Column1]:[Y]],3,FALSE)</f>
        <v>#N/A</v>
      </c>
      <c r="K1307" t="e">
        <f>VLOOKUP(F1307,[1]!china_towns_second__2[[Column1]:[Y]],2,FALSE)</f>
        <v>#N/A</v>
      </c>
      <c r="L1307" t="s">
        <v>4938</v>
      </c>
      <c r="M1307" t="str">
        <f>VLOOKUP(H1307,CHOOSE({1,2},Table12[Native],Table12[Name]),2,0)</f>
        <v>Chún'ān Xiàn</v>
      </c>
      <c r="N1307" s="15" t="str">
        <f>VLOOKUP(I1307,CHOOSE({1,2},Table12[Native],Table12[Name]),2,0)</f>
        <v>Hángzhōu Shì</v>
      </c>
      <c r="O1307" s="15" t="str">
        <f t="shared" si="40"/>
        <v>Yaoshan Xiang (Hángzhōu Shì)</v>
      </c>
      <c r="P1307" s="15" t="str">
        <f t="shared" si="41"/>
        <v>Yaoshan Xiang (Hángzhōu Shì)</v>
      </c>
    </row>
    <row r="1308" spans="1:16" hidden="1" x14ac:dyDescent="0.25">
      <c r="A1308" t="s">
        <v>2773</v>
      </c>
      <c r="B1308" t="str">
        <f>IF(COUNTIF(A:A,A1308)&gt;1,_xlfn.CONCAT(A1308," (",N1308,")"),A1308)</f>
        <v>Yáoxī Jiēdào</v>
      </c>
      <c r="C1308" t="str">
        <f>IF(COUNTIF(B:B,B1308)&gt;1,_xlfn.CONCAT(A1308," (",M1308,")"),B1308)</f>
        <v>Yáoxī Jiēdào</v>
      </c>
      <c r="D1308" t="s">
        <v>2774</v>
      </c>
      <c r="E1308" t="s">
        <v>15</v>
      </c>
      <c r="F1308" t="str">
        <f>_xlfn.CONCAT(D1308,", ",H1308,", ",I1308,", ","浙江省")</f>
        <v>瑶溪街道, 龙湾区, 温州市, 浙江省</v>
      </c>
      <c r="G1308">
        <v>72148</v>
      </c>
      <c r="H1308" t="s">
        <v>3003</v>
      </c>
      <c r="I1308" t="s">
        <v>3000</v>
      </c>
      <c r="J1308">
        <f>VLOOKUP(F1308,[1]!china_towns_second__2[[Column1]:[Y]],3,FALSE)</f>
        <v>27.9523342234165</v>
      </c>
      <c r="K1308">
        <f>VLOOKUP(F1308,[1]!china_towns_second__2[[Column1]:[Y]],2,FALSE)</f>
        <v>120.7906299</v>
      </c>
      <c r="L1308" t="s">
        <v>4939</v>
      </c>
      <c r="M1308" t="str">
        <f>VLOOKUP(H1308,CHOOSE({1,2},Table12[Native],Table12[Name]),2,0)</f>
        <v>Lóngwān Qū</v>
      </c>
      <c r="N1308" s="15" t="str">
        <f>VLOOKUP(I1308,CHOOSE({1,2},Table12[Native],Table12[Name]),2,0)</f>
        <v>Wēnzhōu Shì</v>
      </c>
      <c r="O1308" s="15" t="str">
        <f t="shared" si="40"/>
        <v>Yaoxi Jiedao (Wēnzhōu Shì)</v>
      </c>
      <c r="P1308" s="15" t="str">
        <f t="shared" si="41"/>
        <v>Yaoxi Jiedao (Wēnzhōu Shì)</v>
      </c>
    </row>
    <row r="1309" spans="1:16" hidden="1" x14ac:dyDescent="0.25">
      <c r="A1309" t="s">
        <v>683</v>
      </c>
      <c r="B1309" t="str">
        <f>IF(COUNTIF(A:A,A1309)&gt;1,_xlfn.CONCAT(A1309," (",N1309,")"),A1309)</f>
        <v>Yáozhuāng Zhèn</v>
      </c>
      <c r="C1309" t="str">
        <f>IF(COUNTIF(B:B,B1309)&gt;1,_xlfn.CONCAT(A1309," (",M1309,")"),B1309)</f>
        <v>Yáozhuāng Zhèn</v>
      </c>
      <c r="D1309" t="s">
        <v>684</v>
      </c>
      <c r="E1309" t="s">
        <v>11</v>
      </c>
      <c r="F1309" t="str">
        <f>_xlfn.CONCAT(D1309,", ",H1309,", ",I1309,", ","浙江省")</f>
        <v>姚庄镇, 嘉善县, 嘉兴市, 浙江省</v>
      </c>
      <c r="G1309">
        <v>52619</v>
      </c>
      <c r="H1309" t="s">
        <v>2932</v>
      </c>
      <c r="I1309" t="s">
        <v>2929</v>
      </c>
      <c r="J1309">
        <f>VLOOKUP(F1309,[1]!china_towns_second__2[[Column1]:[Y]],3,FALSE)</f>
        <v>30.9668606942816</v>
      </c>
      <c r="K1309">
        <f>VLOOKUP(F1309,[1]!china_towns_second__2[[Column1]:[Y]],2,FALSE)</f>
        <v>120.9600751</v>
      </c>
      <c r="L1309" t="s">
        <v>4940</v>
      </c>
      <c r="M1309" t="str">
        <f>VLOOKUP(H1309,CHOOSE({1,2},Table12[Native],Table12[Name]),2,0)</f>
        <v>Jiāshàn Xiàn</v>
      </c>
      <c r="N1309" s="15" t="str">
        <f>VLOOKUP(I1309,CHOOSE({1,2},Table12[Native],Table12[Name]),2,0)</f>
        <v>Jiāxīng Shì</v>
      </c>
      <c r="O1309" s="15" t="str">
        <f t="shared" si="40"/>
        <v>Yaozhuang Zhen (Jiāxīng Shì)</v>
      </c>
      <c r="P1309" s="15" t="str">
        <f t="shared" si="41"/>
        <v>Yaozhuang Zhen (Jiāxīng Shì)</v>
      </c>
    </row>
    <row r="1310" spans="1:16" hidden="1" x14ac:dyDescent="0.25">
      <c r="A1310" t="s">
        <v>384</v>
      </c>
      <c r="B1310" t="str">
        <f>IF(COUNTIF(A:A,A1310)&gt;1,_xlfn.CONCAT(A1310," (",N1310,")"),A1310)</f>
        <v>Yáqián Zhèn</v>
      </c>
      <c r="C1310" t="str">
        <f>IF(COUNTIF(B:B,B1310)&gt;1,_xlfn.CONCAT(A1310," (",M1310,")"),B1310)</f>
        <v>Yáqián Zhèn</v>
      </c>
      <c r="D1310" t="s">
        <v>385</v>
      </c>
      <c r="E1310" t="s">
        <v>11</v>
      </c>
      <c r="F1310" t="str">
        <f>_xlfn.CONCAT(D1310,", ",H1310,", ",I1310,", ","浙江省")</f>
        <v>衙前镇, 萧山区, 杭州市, 浙江省</v>
      </c>
      <c r="G1310">
        <v>35200</v>
      </c>
      <c r="H1310" t="s">
        <v>2917</v>
      </c>
      <c r="I1310" t="s">
        <v>2903</v>
      </c>
      <c r="J1310">
        <f>VLOOKUP(F1310,[1]!china_towns_second__2[[Column1]:[Y]],3,FALSE)</f>
        <v>30.159529799001401</v>
      </c>
      <c r="K1310">
        <f>VLOOKUP(F1310,[1]!china_towns_second__2[[Column1]:[Y]],2,FALSE)</f>
        <v>120.38435320000001</v>
      </c>
      <c r="L1310" t="s">
        <v>4941</v>
      </c>
      <c r="M1310" t="str">
        <f>VLOOKUP(H1310,CHOOSE({1,2},Table12[Native],Table12[Name]),2,0)</f>
        <v>Xiāoshān Qū</v>
      </c>
      <c r="N1310" s="15" t="str">
        <f>VLOOKUP(I1310,CHOOSE({1,2},Table12[Native],Table12[Name]),2,0)</f>
        <v>Hángzhōu Shì</v>
      </c>
      <c r="O1310" s="15" t="str">
        <f t="shared" si="40"/>
        <v>Yaqian Zhen (Hángzhōu Shì)</v>
      </c>
      <c r="P1310" s="15" t="str">
        <f t="shared" si="41"/>
        <v>Yaqian Zhen (Hángzhōu Shì)</v>
      </c>
    </row>
    <row r="1311" spans="1:16" hidden="1" x14ac:dyDescent="0.25">
      <c r="A1311" t="s">
        <v>1283</v>
      </c>
      <c r="B1311" t="str">
        <f>IF(COUNTIF(A:A,A1311)&gt;1,_xlfn.CONCAT(A1311," (",N1311,")"),A1311)</f>
        <v>Yăxī Zhèn</v>
      </c>
      <c r="C1311" t="str">
        <f>IF(COUNTIF(B:B,B1311)&gt;1,_xlfn.CONCAT(A1311," (",M1311,")"),B1311)</f>
        <v>Yăxī Zhèn</v>
      </c>
      <c r="D1311" t="s">
        <v>1284</v>
      </c>
      <c r="E1311" t="s">
        <v>11</v>
      </c>
      <c r="F1311" t="str">
        <f>_xlfn.CONCAT(D1311,", ",H1311,", ",I1311,", ","浙江省")</f>
        <v>雅溪镇, 莲都区, 丽水市, 浙江省</v>
      </c>
      <c r="G1311">
        <v>8411</v>
      </c>
      <c r="H1311" t="s">
        <v>2953</v>
      </c>
      <c r="I1311" t="s">
        <v>2949</v>
      </c>
      <c r="J1311">
        <f>VLOOKUP(F1311,[1]!china_towns_second__2[[Column1]:[Y]],3,FALSE)</f>
        <v>28.6527649603727</v>
      </c>
      <c r="K1311">
        <f>VLOOKUP(F1311,[1]!china_towns_second__2[[Column1]:[Y]],2,FALSE)</f>
        <v>119.8660818</v>
      </c>
      <c r="L1311" t="s">
        <v>4942</v>
      </c>
      <c r="M1311" t="str">
        <f>VLOOKUP(H1311,CHOOSE({1,2},Table12[Native],Table12[Name]),2,0)</f>
        <v>Liándū Qū</v>
      </c>
      <c r="N1311" s="15" t="str">
        <f>VLOOKUP(I1311,CHOOSE({1,2},Table12[Native],Table12[Name]),2,0)</f>
        <v>Lìshuĭ Shì</v>
      </c>
      <c r="O1311" s="15" t="str">
        <f t="shared" si="40"/>
        <v>Yaxi Zhen (Lìshuĭ Shì)</v>
      </c>
      <c r="P1311" s="15" t="str">
        <f t="shared" si="41"/>
        <v>Yaxi Zhen (Lìshuĭ Shì)</v>
      </c>
    </row>
    <row r="1312" spans="1:16" hidden="1" x14ac:dyDescent="0.25">
      <c r="A1312" t="s">
        <v>2775</v>
      </c>
      <c r="B1312" t="str">
        <f>IF(COUNTIF(A:A,A1312)&gt;1,_xlfn.CONCAT(A1312," (",N1312,")"),A1312)</f>
        <v>Yăyáng Zhèn</v>
      </c>
      <c r="C1312" t="str">
        <f>IF(COUNTIF(B:B,B1312)&gt;1,_xlfn.CONCAT(A1312," (",M1312,")"),B1312)</f>
        <v>Yăyáng Zhèn</v>
      </c>
      <c r="D1312" t="s">
        <v>2776</v>
      </c>
      <c r="E1312" t="s">
        <v>11</v>
      </c>
      <c r="F1312" t="str">
        <f>_xlfn.CONCAT(D1312,", ",H1312,", ",I1312,", ","浙江省")</f>
        <v>雅阳镇, 泰顺县, 温州市, 浙江省</v>
      </c>
      <c r="G1312">
        <v>14095</v>
      </c>
      <c r="H1312" t="s">
        <v>3008</v>
      </c>
      <c r="I1312" t="s">
        <v>3000</v>
      </c>
      <c r="J1312">
        <f>VLOOKUP(F1312,[1]!china_towns_second__2[[Column1]:[Y]],3,FALSE)</f>
        <v>27.4187885292773</v>
      </c>
      <c r="K1312">
        <f>VLOOKUP(F1312,[1]!china_towns_second__2[[Column1]:[Y]],2,FALSE)</f>
        <v>120.04855190000001</v>
      </c>
      <c r="L1312" t="s">
        <v>4943</v>
      </c>
      <c r="M1312" t="str">
        <f>VLOOKUP(H1312,CHOOSE({1,2},Table12[Native],Table12[Name]),2,0)</f>
        <v>Tàishùn Xiàn</v>
      </c>
      <c r="N1312" s="15" t="str">
        <f>VLOOKUP(I1312,CHOOSE({1,2},Table12[Native],Table12[Name]),2,0)</f>
        <v>Wēnzhōu Shì</v>
      </c>
      <c r="O1312" s="15" t="str">
        <f t="shared" si="40"/>
        <v>Yayang Zhen (Wēnzhōu Shì)</v>
      </c>
      <c r="P1312" s="15" t="str">
        <f t="shared" si="41"/>
        <v>Yayang Zhen (Wēnzhōu Shì)</v>
      </c>
    </row>
    <row r="1313" spans="1:16" hidden="1" x14ac:dyDescent="0.25">
      <c r="A1313" t="s">
        <v>1285</v>
      </c>
      <c r="B1313" t="str">
        <f>IF(COUNTIF(A:A,A1313)&gt;1,_xlfn.CONCAT(A1313," (",N1313,")"),A1313)</f>
        <v>Yècūn Xiāng</v>
      </c>
      <c r="C1313" t="str">
        <f>IF(COUNTIF(B:B,B1313)&gt;1,_xlfn.CONCAT(A1313," (",M1313,")"),B1313)</f>
        <v>Yècūn Xiāng</v>
      </c>
      <c r="D1313" t="s">
        <v>1286</v>
      </c>
      <c r="E1313" t="s">
        <v>7</v>
      </c>
      <c r="F1313" t="str">
        <f>_xlfn.CONCAT(D1313,", ",H1313,", ",I1313,", ","浙江省")</f>
        <v>叶村乡, 松阳县, 丽水市, 浙江省</v>
      </c>
      <c r="G1313">
        <v>6253</v>
      </c>
      <c r="H1313" t="s">
        <v>2957</v>
      </c>
      <c r="I1313" t="s">
        <v>2949</v>
      </c>
      <c r="J1313" t="e">
        <f>VLOOKUP(F1313,[1]!china_towns_second__2[[Column1]:[Y]],3,FALSE)</f>
        <v>#N/A</v>
      </c>
      <c r="K1313" t="e">
        <f>VLOOKUP(F1313,[1]!china_towns_second__2[[Column1]:[Y]],2,FALSE)</f>
        <v>#N/A</v>
      </c>
      <c r="L1313" t="s">
        <v>4944</v>
      </c>
      <c r="M1313" t="str">
        <f>VLOOKUP(H1313,CHOOSE({1,2},Table12[Native],Table12[Name]),2,0)</f>
        <v>Sōngyáng Xiàn</v>
      </c>
      <c r="N1313" s="15" t="str">
        <f>VLOOKUP(I1313,CHOOSE({1,2},Table12[Native],Table12[Name]),2,0)</f>
        <v>Lìshuĭ Shì</v>
      </c>
      <c r="O1313" s="15" t="str">
        <f t="shared" si="40"/>
        <v>Yecun Xiang (Lìshuĭ Shì)</v>
      </c>
      <c r="P1313" s="15" t="str">
        <f t="shared" si="41"/>
        <v>Yecun Xiang (Lìshuĭ Shì)</v>
      </c>
    </row>
    <row r="1314" spans="1:16" hidden="1" x14ac:dyDescent="0.25">
      <c r="A1314" t="s">
        <v>1287</v>
      </c>
      <c r="B1314" t="str">
        <f>IF(COUNTIF(A:A,A1314)&gt;1,_xlfn.CONCAT(A1314," (",N1314,")"),A1314)</f>
        <v>Yīngchuān Zhèn [incl. Gĕshān Xiāng]</v>
      </c>
      <c r="C1314" t="str">
        <f>IF(COUNTIF(B:B,B1314)&gt;1,_xlfn.CONCAT(A1314," (",M1314,")"),B1314)</f>
        <v>Yīngchuān Zhèn [incl. Gĕshān Xiāng]</v>
      </c>
      <c r="D1314" t="s">
        <v>1288</v>
      </c>
      <c r="E1314" t="s">
        <v>11</v>
      </c>
      <c r="F1314" t="str">
        <f>_xlfn.CONCAT(D1314,", ",H1314,", ",I1314,", ","浙江省")</f>
        <v>英川镇, 景宁畲族自治县, 丽水市, 浙江省</v>
      </c>
      <c r="G1314">
        <v>4690</v>
      </c>
      <c r="H1314" t="s">
        <v>2951</v>
      </c>
      <c r="I1314" t="s">
        <v>2949</v>
      </c>
      <c r="J1314">
        <f>VLOOKUP(F1314,[1]!china_towns_second__2[[Column1]:[Y]],3,FALSE)</f>
        <v>27.842449638229699</v>
      </c>
      <c r="K1314">
        <f>VLOOKUP(F1314,[1]!china_towns_second__2[[Column1]:[Y]],2,FALSE)</f>
        <v>119.3023343</v>
      </c>
      <c r="L1314" t="s">
        <v>4945</v>
      </c>
      <c r="M1314" t="str">
        <f>VLOOKUP(H1314,CHOOSE({1,2},Table12[Native],Table12[Name]),2,0)</f>
        <v>Jĭngníng Shēzú Zìzhìxiàn</v>
      </c>
      <c r="N1314" s="15" t="str">
        <f>VLOOKUP(I1314,CHOOSE({1,2},Table12[Native],Table12[Name]),2,0)</f>
        <v>Lìshuĭ Shì</v>
      </c>
      <c r="O1314" s="15" t="str">
        <f t="shared" si="40"/>
        <v>Yingchuan Zhen [incl. Geshan Xiang] (Lìshuĭ Shì)</v>
      </c>
      <c r="P1314" s="15" t="str">
        <f t="shared" si="41"/>
        <v>Yingchuan Zhen [incl. Geshan Xiang] (Lìshuĭ Shì)</v>
      </c>
    </row>
    <row r="1315" spans="1:16" hidden="1" x14ac:dyDescent="0.25">
      <c r="A1315" t="s">
        <v>1289</v>
      </c>
      <c r="B1315" t="str">
        <f>IF(COUNTIF(A:A,A1315)&gt;1,_xlfn.CONCAT(A1315," (",N1315,")"),A1315)</f>
        <v>Yīngcūn Xiāng</v>
      </c>
      <c r="C1315" t="str">
        <f>IF(COUNTIF(B:B,B1315)&gt;1,_xlfn.CONCAT(A1315," (",M1315,")"),B1315)</f>
        <v>Yīngcūn Xiāng</v>
      </c>
      <c r="D1315" t="s">
        <v>1290</v>
      </c>
      <c r="E1315" t="s">
        <v>7</v>
      </c>
      <c r="F1315" t="str">
        <f>_xlfn.CONCAT(D1315,", ",H1315,", ",I1315,", ","浙江省")</f>
        <v>应村乡, 遂昌县, 丽水市, 浙江省</v>
      </c>
      <c r="G1315">
        <v>5779</v>
      </c>
      <c r="H1315" t="s">
        <v>2958</v>
      </c>
      <c r="I1315" t="s">
        <v>2949</v>
      </c>
      <c r="J1315" t="e">
        <f>VLOOKUP(F1315,[1]!china_towns_second__2[[Column1]:[Y]],3,FALSE)</f>
        <v>#N/A</v>
      </c>
      <c r="K1315" t="e">
        <f>VLOOKUP(F1315,[1]!china_towns_second__2[[Column1]:[Y]],2,FALSE)</f>
        <v>#N/A</v>
      </c>
      <c r="L1315" t="s">
        <v>4946</v>
      </c>
      <c r="M1315" t="str">
        <f>VLOOKUP(H1315,CHOOSE({1,2},Table12[Native],Table12[Name]),2,0)</f>
        <v>Suìchāng Xiàn</v>
      </c>
      <c r="N1315" s="15" t="str">
        <f>VLOOKUP(I1315,CHOOSE({1,2},Table12[Native],Table12[Name]),2,0)</f>
        <v>Lìshuĭ Shì</v>
      </c>
      <c r="O1315" s="15" t="str">
        <f t="shared" si="40"/>
        <v>Yingcun Xiang (Lìshuĭ Shì)</v>
      </c>
      <c r="P1315" s="15" t="str">
        <f t="shared" si="41"/>
        <v>Yingcun Xiang (Lìshuĭ Shì)</v>
      </c>
    </row>
    <row r="1316" spans="1:16" hidden="1" x14ac:dyDescent="0.25">
      <c r="A1316" t="s">
        <v>2026</v>
      </c>
      <c r="B1316" t="str">
        <f>IF(COUNTIF(A:A,A1316)&gt;1,_xlfn.CONCAT(A1316," (",N1316,")"),A1316)</f>
        <v>Yīngdiànjiē Zhèn</v>
      </c>
      <c r="C1316" t="str">
        <f>IF(COUNTIF(B:B,B1316)&gt;1,_xlfn.CONCAT(A1316," (",M1316,")"),B1316)</f>
        <v>Yīngdiànjiē Zhèn</v>
      </c>
      <c r="D1316" t="s">
        <v>2027</v>
      </c>
      <c r="E1316" t="s">
        <v>11</v>
      </c>
      <c r="F1316" t="str">
        <f>_xlfn.CONCAT(D1316,", ",H1316,", ",I1316,", ","浙江省")</f>
        <v>应店街镇, 诸暨市, 绍兴市, 浙江省</v>
      </c>
      <c r="G1316">
        <v>41209</v>
      </c>
      <c r="H1316" t="s">
        <v>2987</v>
      </c>
      <c r="I1316" t="s">
        <v>2981</v>
      </c>
      <c r="J1316">
        <f>VLOOKUP(F1316,[1]!china_towns_second__2[[Column1]:[Y]],3,FALSE)</f>
        <v>29.8017718376354</v>
      </c>
      <c r="K1316">
        <f>VLOOKUP(F1316,[1]!china_towns_second__2[[Column1]:[Y]],2,FALSE)</f>
        <v>120.1057247</v>
      </c>
      <c r="L1316" t="s">
        <v>4947</v>
      </c>
      <c r="M1316" t="str">
        <f>VLOOKUP(H1316,CHOOSE({1,2},Table12[Native],Table12[Name]),2,0)</f>
        <v>Zhūjì Shì</v>
      </c>
      <c r="N1316" s="15" t="str">
        <f>VLOOKUP(I1316,CHOOSE({1,2},Table12[Native],Table12[Name]),2,0)</f>
        <v>Shàoxīng Shì</v>
      </c>
      <c r="O1316" s="15" t="str">
        <f t="shared" si="40"/>
        <v>Yingdianjie Zhen (Shàoxīng Shì)</v>
      </c>
      <c r="P1316" s="15" t="str">
        <f t="shared" si="41"/>
        <v>Yingdianjie Zhen (Shàoxīng Shì)</v>
      </c>
    </row>
    <row r="1317" spans="1:16" hidden="1" x14ac:dyDescent="0.25">
      <c r="A1317" t="s">
        <v>2777</v>
      </c>
      <c r="B1317" t="str">
        <f>IF(COUNTIF(A:A,A1317)&gt;1,_xlfn.CONCAT(A1317," (",N1317,")"),A1317)</f>
        <v>Yīngkēng Xiāng</v>
      </c>
      <c r="C1317" t="str">
        <f>IF(COUNTIF(B:B,B1317)&gt;1,_xlfn.CONCAT(A1317," (",M1317,")"),B1317)</f>
        <v>Yīngkēng Xiāng</v>
      </c>
      <c r="D1317" t="s">
        <v>2778</v>
      </c>
      <c r="E1317" t="s">
        <v>7</v>
      </c>
      <c r="F1317" t="str">
        <f>_xlfn.CONCAT(D1317,", ",H1317,", ",I1317,", ","浙江省")</f>
        <v>应坑乡, 永嘉县, 温州市, 浙江省</v>
      </c>
      <c r="G1317">
        <v>2093</v>
      </c>
      <c r="H1317" t="s">
        <v>3010</v>
      </c>
      <c r="I1317" t="s">
        <v>3000</v>
      </c>
      <c r="J1317" t="e">
        <f>VLOOKUP(F1317,[1]!china_towns_second__2[[Column1]:[Y]],3,FALSE)</f>
        <v>#N/A</v>
      </c>
      <c r="K1317" t="e">
        <f>VLOOKUP(F1317,[1]!china_towns_second__2[[Column1]:[Y]],2,FALSE)</f>
        <v>#N/A</v>
      </c>
      <c r="L1317" t="s">
        <v>4948</v>
      </c>
      <c r="M1317" t="str">
        <f>VLOOKUP(H1317,CHOOSE({1,2},Table12[Native],Table12[Name]),2,0)</f>
        <v>Yŏngjiā Xiàn</v>
      </c>
      <c r="N1317" s="15" t="str">
        <f>VLOOKUP(I1317,CHOOSE({1,2},Table12[Native],Table12[Name]),2,0)</f>
        <v>Wēnzhōu Shì</v>
      </c>
      <c r="O1317" s="15" t="str">
        <f t="shared" si="40"/>
        <v>Yingkeng Xiang (Wēnzhōu Shì)</v>
      </c>
      <c r="P1317" s="15" t="str">
        <f t="shared" si="41"/>
        <v>Yingkeng Xiang (Wēnzhōu Shì)</v>
      </c>
    </row>
    <row r="1318" spans="1:16" hidden="1" x14ac:dyDescent="0.25">
      <c r="A1318" t="s">
        <v>2779</v>
      </c>
      <c r="B1318" t="str">
        <f>IF(COUNTIF(A:A,A1318)&gt;1,_xlfn.CONCAT(A1318," (",N1318,")"),A1318)</f>
        <v>Yíngqián Xiāng</v>
      </c>
      <c r="C1318" t="str">
        <f>IF(COUNTIF(B:B,B1318)&gt;1,_xlfn.CONCAT(A1318," (",M1318,")"),B1318)</f>
        <v>Yíngqián Xiāng</v>
      </c>
      <c r="D1318" t="s">
        <v>2780</v>
      </c>
      <c r="E1318" t="s">
        <v>7</v>
      </c>
      <c r="F1318" t="str">
        <f>_xlfn.CONCAT(D1318,", ",H1318,", ",I1318,", ","浙江省")</f>
        <v>营前乡, 瑞安市, 温州市, 浙江省</v>
      </c>
      <c r="G1318">
        <v>2995</v>
      </c>
      <c r="H1318" t="s">
        <v>3007</v>
      </c>
      <c r="I1318" t="s">
        <v>3000</v>
      </c>
      <c r="J1318" t="e">
        <f>VLOOKUP(F1318,[1]!china_towns_second__2[[Column1]:[Y]],3,FALSE)</f>
        <v>#N/A</v>
      </c>
      <c r="K1318" t="e">
        <f>VLOOKUP(F1318,[1]!china_towns_second__2[[Column1]:[Y]],2,FALSE)</f>
        <v>#N/A</v>
      </c>
      <c r="L1318" t="s">
        <v>4949</v>
      </c>
      <c r="M1318" t="str">
        <f>VLOOKUP(H1318,CHOOSE({1,2},Table12[Native],Table12[Name]),2,0)</f>
        <v>Ruì'ān Shì</v>
      </c>
      <c r="N1318" s="15" t="str">
        <f>VLOOKUP(I1318,CHOOSE({1,2},Table12[Native],Table12[Name]),2,0)</f>
        <v>Wēnzhōu Shì</v>
      </c>
      <c r="O1318" s="15" t="str">
        <f t="shared" si="40"/>
        <v>Yingqian Xiang (Wēnzhōu Shì)</v>
      </c>
      <c r="P1318" s="15" t="str">
        <f t="shared" si="41"/>
        <v>Yingqian Xiang (Wēnzhōu Shì)</v>
      </c>
    </row>
    <row r="1319" spans="1:16" hidden="1" x14ac:dyDescent="0.25">
      <c r="A1319" t="s">
        <v>386</v>
      </c>
      <c r="B1319" t="str">
        <f>IF(COUNTIF(A:A,A1319)&gt;1,_xlfn.CONCAT(A1319," (",N1319,")"),A1319)</f>
        <v>Yínhú Jiēdào [incl. Gāoqiáo Zhèn, Shòujiàng Zhèn]</v>
      </c>
      <c r="C1319" t="str">
        <f>IF(COUNTIF(B:B,B1319)&gt;1,_xlfn.CONCAT(A1319," (",M1319,")"),B1319)</f>
        <v>Yínhú Jiēdào [incl. Gāoqiáo Zhèn, Shòujiàng Zhèn]</v>
      </c>
      <c r="D1319" t="s">
        <v>387</v>
      </c>
      <c r="E1319" t="s">
        <v>15</v>
      </c>
      <c r="F1319" t="str">
        <f>_xlfn.CONCAT(D1319,", ",H1319,", ",I1319,", ","浙江省")</f>
        <v>银湖街道, 富阳区, 杭州市, 浙江省</v>
      </c>
      <c r="G1319">
        <v>58937</v>
      </c>
      <c r="H1319" t="s">
        <v>2908</v>
      </c>
      <c r="I1319" t="s">
        <v>2903</v>
      </c>
      <c r="J1319">
        <f>VLOOKUP(F1319,[1]!china_towns_second__2[[Column1]:[Y]],3,FALSE)</f>
        <v>30.140092698704699</v>
      </c>
      <c r="K1319">
        <f>VLOOKUP(F1319,[1]!china_towns_second__2[[Column1]:[Y]],2,FALSE)</f>
        <v>119.9172623</v>
      </c>
      <c r="L1319" t="s">
        <v>4950</v>
      </c>
      <c r="M1319" t="str">
        <f>VLOOKUP(H1319,CHOOSE({1,2},Table12[Native],Table12[Name]),2,0)</f>
        <v>Fùyáng Qū</v>
      </c>
      <c r="N1319" s="15" t="str">
        <f>VLOOKUP(I1319,CHOOSE({1,2},Table12[Native],Table12[Name]),2,0)</f>
        <v>Hángzhōu Shì</v>
      </c>
      <c r="O1319" s="15" t="str">
        <f t="shared" si="40"/>
        <v>Yinhu Jiedao [incl. Gaoqiao Zhen, Shoujiang Zhen] (Hángzhōu Shì)</v>
      </c>
      <c r="P1319" s="15" t="str">
        <f t="shared" si="41"/>
        <v>Yinhu Jiedao [incl. Gaoqiao Zhen, Shoujiang Zhen] (Hángzhōu Shì)</v>
      </c>
    </row>
    <row r="1320" spans="1:16" hidden="1" x14ac:dyDescent="0.25">
      <c r="A1320" t="s">
        <v>1606</v>
      </c>
      <c r="B1320" t="str">
        <f>IF(COUNTIF(A:A,A1320)&gt;1,_xlfn.CONCAT(A1320," (",N1320,")"),A1320)</f>
        <v>Yínjiāng Zhèn</v>
      </c>
      <c r="C1320" t="str">
        <f>IF(COUNTIF(B:B,B1320)&gt;1,_xlfn.CONCAT(A1320," (",M1320,")"),B1320)</f>
        <v>Yínjiāng Zhèn</v>
      </c>
      <c r="D1320" t="s">
        <v>1607</v>
      </c>
      <c r="E1320" t="s">
        <v>11</v>
      </c>
      <c r="F1320" t="str">
        <f>_xlfn.CONCAT(D1320,", ",H1320,", ",I1320,", ","浙江省")</f>
        <v>鄞江镇, 海曙区, 宁波市, 浙江省</v>
      </c>
      <c r="G1320">
        <v>31602</v>
      </c>
      <c r="H1320" t="s">
        <v>2965</v>
      </c>
      <c r="I1320" t="s">
        <v>2961</v>
      </c>
      <c r="J1320">
        <f>VLOOKUP(F1320,[1]!china_towns_second__2[[Column1]:[Y]],3,FALSE)</f>
        <v>29.780622190073</v>
      </c>
      <c r="K1320">
        <f>VLOOKUP(F1320,[1]!china_towns_second__2[[Column1]:[Y]],2,FALSE)</f>
        <v>121.3487356</v>
      </c>
      <c r="L1320" t="s">
        <v>4951</v>
      </c>
      <c r="M1320" t="str">
        <f>VLOOKUP(H1320,CHOOSE({1,2},Table12[Native],Table12[Name]),2,0)</f>
        <v>Hăishŭ Qū</v>
      </c>
      <c r="N1320" s="15" t="str">
        <f>VLOOKUP(I1320,CHOOSE({1,2},Table12[Native],Table12[Name]),2,0)</f>
        <v>Níngbō Shì</v>
      </c>
      <c r="O1320" s="15" t="str">
        <f t="shared" si="40"/>
        <v>Yinjiang Zhen (Níngbō Shì)</v>
      </c>
      <c r="P1320" s="15" t="str">
        <f t="shared" si="41"/>
        <v>Yinjiang Zhen (Níngbō Shì)</v>
      </c>
    </row>
    <row r="1321" spans="1:16" hidden="1" x14ac:dyDescent="0.25">
      <c r="A1321" t="s">
        <v>1814</v>
      </c>
      <c r="B1321" t="str">
        <f>IF(COUNTIF(A:A,A1321)&gt;1,_xlfn.CONCAT(A1321," (",N1321,")"),A1321)</f>
        <v>Yīnkēng Xiāng</v>
      </c>
      <c r="C1321" t="str">
        <f>IF(COUNTIF(B:B,B1321)&gt;1,_xlfn.CONCAT(A1321," (",M1321,")"),B1321)</f>
        <v>Yīnkēng Xiāng</v>
      </c>
      <c r="D1321" t="s">
        <v>1815</v>
      </c>
      <c r="E1321" t="s">
        <v>7</v>
      </c>
      <c r="F1321" t="str">
        <f>_xlfn.CONCAT(D1321,", ",H1321,", ",I1321,", ","浙江省")</f>
        <v>音坑乡, 开化县, 衢州市, 浙江省</v>
      </c>
      <c r="G1321">
        <v>16127</v>
      </c>
      <c r="H1321" t="s">
        <v>2976</v>
      </c>
      <c r="I1321" t="s">
        <v>2973</v>
      </c>
      <c r="J1321" t="e">
        <f>VLOOKUP(F1321,[1]!china_towns_second__2[[Column1]:[Y]],3,FALSE)</f>
        <v>#N/A</v>
      </c>
      <c r="K1321" t="e">
        <f>VLOOKUP(F1321,[1]!china_towns_second__2[[Column1]:[Y]],2,FALSE)</f>
        <v>#N/A</v>
      </c>
      <c r="L1321" t="s">
        <v>4952</v>
      </c>
      <c r="M1321" t="str">
        <f>VLOOKUP(H1321,CHOOSE({1,2},Table12[Native],Table12[Name]),2,0)</f>
        <v>Kāihuà Xiàn</v>
      </c>
      <c r="N1321" s="15" t="str">
        <f>VLOOKUP(I1321,CHOOSE({1,2},Table12[Native],Table12[Name]),2,0)</f>
        <v>Qúzhōu Shì</v>
      </c>
      <c r="O1321" s="15" t="str">
        <f t="shared" si="40"/>
        <v>Yinkeng Xiang (Qúzhōu Shì)</v>
      </c>
      <c r="P1321" s="15" t="str">
        <f t="shared" si="41"/>
        <v>Yinkeng Xiang (Qúzhōu Shì)</v>
      </c>
    </row>
    <row r="1322" spans="1:16" hidden="1" x14ac:dyDescent="0.25">
      <c r="A1322" t="s">
        <v>388</v>
      </c>
      <c r="B1322" t="str">
        <f>IF(COUNTIF(A:A,A1322)&gt;1,_xlfn.CONCAT(A1322," (",N1322,")"),A1322)</f>
        <v>Yìnóng Zhèn</v>
      </c>
      <c r="C1322" t="str">
        <f>IF(COUNTIF(B:B,B1322)&gt;1,_xlfn.CONCAT(A1322," (",M1322,")"),B1322)</f>
        <v>Yìnóng Zhèn</v>
      </c>
      <c r="D1322" t="s">
        <v>389</v>
      </c>
      <c r="E1322" t="s">
        <v>11</v>
      </c>
      <c r="F1322" t="str">
        <f>_xlfn.CONCAT(D1322,", ",H1322,", ",I1322,", ","浙江省")</f>
        <v>益农镇, 萧山区, 杭州市, 浙江省</v>
      </c>
      <c r="G1322">
        <v>45609</v>
      </c>
      <c r="H1322" t="s">
        <v>2917</v>
      </c>
      <c r="I1322" t="s">
        <v>2903</v>
      </c>
      <c r="J1322">
        <f>VLOOKUP(F1322,[1]!china_towns_second__2[[Column1]:[Y]],3,FALSE)</f>
        <v>30.186016225188698</v>
      </c>
      <c r="K1322">
        <f>VLOOKUP(F1322,[1]!china_towns_second__2[[Column1]:[Y]],2,FALSE)</f>
        <v>120.5817376</v>
      </c>
      <c r="L1322" t="s">
        <v>4953</v>
      </c>
      <c r="M1322" t="str">
        <f>VLOOKUP(H1322,CHOOSE({1,2},Table12[Native],Table12[Name]),2,0)</f>
        <v>Xiāoshān Qū</v>
      </c>
      <c r="N1322" s="15" t="str">
        <f>VLOOKUP(I1322,CHOOSE({1,2},Table12[Native],Table12[Name]),2,0)</f>
        <v>Hángzhōu Shì</v>
      </c>
      <c r="O1322" s="15" t="str">
        <f t="shared" si="40"/>
        <v>Yinong Zhen (Hángzhōu Shì)</v>
      </c>
      <c r="P1322" s="15" t="str">
        <f t="shared" si="41"/>
        <v>Yinong Zhen (Hángzhōu Shì)</v>
      </c>
    </row>
    <row r="1323" spans="1:16" hidden="1" x14ac:dyDescent="0.25">
      <c r="A1323" t="s">
        <v>390</v>
      </c>
      <c r="B1323" t="str">
        <f>IF(COUNTIF(A:A,A1323)&gt;1,_xlfn.CONCAT(A1323," (",N1323,")"),A1323)</f>
        <v>Yìpéng Jiēdào</v>
      </c>
      <c r="C1323" t="str">
        <f>IF(COUNTIF(B:B,B1323)&gt;1,_xlfn.CONCAT(A1323," (",M1323,")"),B1323)</f>
        <v>Yìpéng Jiēdào</v>
      </c>
      <c r="D1323" t="s">
        <v>391</v>
      </c>
      <c r="E1323" t="s">
        <v>15</v>
      </c>
      <c r="F1323" t="str">
        <f>_xlfn.CONCAT(D1323,", ",H1323,", ",I1323,", ","浙江省")</f>
        <v>义蓬街道, 钱塘区, 杭州市, 浙江省</v>
      </c>
      <c r="G1323">
        <v>68091</v>
      </c>
      <c r="H1323" t="s">
        <v>2914</v>
      </c>
      <c r="I1323" t="s">
        <v>2903</v>
      </c>
      <c r="J1323" t="e">
        <f>VLOOKUP(F1323,[1]!china_towns_second__2[[Column1]:[Y]],3,FALSE)</f>
        <v>#N/A</v>
      </c>
      <c r="K1323" t="e">
        <f>VLOOKUP(F1323,[1]!china_towns_second__2[[Column1]:[Y]],2,FALSE)</f>
        <v>#N/A</v>
      </c>
      <c r="L1323" t="s">
        <v>4954</v>
      </c>
      <c r="M1323" t="str">
        <f>VLOOKUP(H1323,CHOOSE({1,2},Table12[Native],Table12[Name]),2,0)</f>
        <v>Qiántáng Qū</v>
      </c>
      <c r="N1323" s="15" t="str">
        <f>VLOOKUP(I1323,CHOOSE({1,2},Table12[Native],Table12[Name]),2,0)</f>
        <v>Hángzhōu Shì</v>
      </c>
      <c r="O1323" s="15" t="str">
        <f t="shared" si="40"/>
        <v>Yipeng Jiedao (Hángzhōu Shì)</v>
      </c>
      <c r="P1323" s="15" t="str">
        <f t="shared" si="41"/>
        <v>Yipeng Jiedao (Hángzhōu Shì)</v>
      </c>
    </row>
    <row r="1324" spans="1:16" hidden="1" x14ac:dyDescent="0.25">
      <c r="A1324" t="s">
        <v>392</v>
      </c>
      <c r="B1324" t="str">
        <f>IF(COUNTIF(A:A,A1324)&gt;1,_xlfn.CONCAT(A1324," (",N1324,")"),A1324)</f>
        <v>Yìqiáo Zhèn</v>
      </c>
      <c r="C1324" t="str">
        <f>IF(COUNTIF(B:B,B1324)&gt;1,_xlfn.CONCAT(A1324," (",M1324,")"),B1324)</f>
        <v>Yìqiáo Zhèn</v>
      </c>
      <c r="D1324" t="s">
        <v>393</v>
      </c>
      <c r="E1324" t="s">
        <v>11</v>
      </c>
      <c r="F1324" t="str">
        <f>_xlfn.CONCAT(D1324,", ",H1324,", ",I1324,", ","浙江省")</f>
        <v>义桥镇, 萧山区, 杭州市, 浙江省</v>
      </c>
      <c r="G1324">
        <v>50164</v>
      </c>
      <c r="H1324" t="s">
        <v>2917</v>
      </c>
      <c r="I1324" t="s">
        <v>2903</v>
      </c>
      <c r="J1324">
        <f>VLOOKUP(F1324,[1]!china_towns_second__2[[Column1]:[Y]],3,FALSE)</f>
        <v>30.065253803954999</v>
      </c>
      <c r="K1324">
        <f>VLOOKUP(F1324,[1]!china_towns_second__2[[Column1]:[Y]],2,FALSE)</f>
        <v>120.1727003</v>
      </c>
      <c r="L1324" t="s">
        <v>4955</v>
      </c>
      <c r="M1324" t="str">
        <f>VLOOKUP(H1324,CHOOSE({1,2},Table12[Native],Table12[Name]),2,0)</f>
        <v>Xiāoshān Qū</v>
      </c>
      <c r="N1324" s="15" t="str">
        <f>VLOOKUP(I1324,CHOOSE({1,2},Table12[Native],Table12[Name]),2,0)</f>
        <v>Hángzhōu Shì</v>
      </c>
      <c r="O1324" s="15" t="str">
        <f t="shared" si="40"/>
        <v>Yiqiao Zhen (Hángzhōu Shì)</v>
      </c>
      <c r="P1324" s="15" t="str">
        <f t="shared" si="41"/>
        <v>Yiqiao Zhen (Hángzhōu Shì)</v>
      </c>
    </row>
    <row r="1325" spans="1:16" hidden="1" x14ac:dyDescent="0.25">
      <c r="A1325" t="s">
        <v>2781</v>
      </c>
      <c r="B1325" t="str">
        <f>IF(COUNTIF(A:A,A1325)&gt;1,_xlfn.CONCAT(A1325," (",N1325,")"),A1325)</f>
        <v>Yíshān Zhèn</v>
      </c>
      <c r="C1325" t="str">
        <f>IF(COUNTIF(B:B,B1325)&gt;1,_xlfn.CONCAT(A1325," (",M1325,")"),B1325)</f>
        <v>Yíshān Zhèn</v>
      </c>
      <c r="D1325" t="s">
        <v>2782</v>
      </c>
      <c r="E1325" t="s">
        <v>11</v>
      </c>
      <c r="F1325" t="str">
        <f>_xlfn.CONCAT(D1325,", ",H1325,", ",I1325,", ","浙江省")</f>
        <v>宜山镇, 苍南县, 温州市, 浙江省</v>
      </c>
      <c r="G1325">
        <v>56008</v>
      </c>
      <c r="H1325" t="s">
        <v>3001</v>
      </c>
      <c r="I1325" t="s">
        <v>3000</v>
      </c>
      <c r="J1325">
        <f>VLOOKUP(F1325,[1]!china_towns_second__2[[Column1]:[Y]],3,FALSE)</f>
        <v>27.5151225562802</v>
      </c>
      <c r="K1325">
        <f>VLOOKUP(F1325,[1]!china_towns_second__2[[Column1]:[Y]],2,FALSE)</f>
        <v>120.5320421</v>
      </c>
      <c r="L1325" t="s">
        <v>4956</v>
      </c>
      <c r="M1325" t="str">
        <f>VLOOKUP(H1325,CHOOSE({1,2},Table12[Native],Table12[Name]),2,0)</f>
        <v>Cāngnán Xiàn</v>
      </c>
      <c r="N1325" s="15" t="str">
        <f>VLOOKUP(I1325,CHOOSE({1,2},Table12[Native],Table12[Name]),2,0)</f>
        <v>Wēnzhōu Shì</v>
      </c>
      <c r="O1325" s="15" t="str">
        <f t="shared" si="40"/>
        <v>Yishan Zhen (Wēnzhōu Shì)</v>
      </c>
      <c r="P1325" s="15" t="str">
        <f t="shared" si="41"/>
        <v>Yishan Zhen (Wēnzhōu Shì)</v>
      </c>
    </row>
    <row r="1326" spans="1:16" hidden="1" x14ac:dyDescent="0.25">
      <c r="A1326" t="s">
        <v>1608</v>
      </c>
      <c r="B1326" t="str">
        <f>IF(COUNTIF(A:A,A1326)&gt;1,_xlfn.CONCAT(A1326," (",N1326,")"),A1326)</f>
        <v>Yīshì Zhèn</v>
      </c>
      <c r="C1326" t="str">
        <f>IF(COUNTIF(B:B,B1326)&gt;1,_xlfn.CONCAT(A1326," (",M1326,")"),B1326)</f>
        <v>Yīshì Zhèn</v>
      </c>
      <c r="D1326" t="s">
        <v>1609</v>
      </c>
      <c r="E1326" t="s">
        <v>11</v>
      </c>
      <c r="F1326" t="str">
        <f>_xlfn.CONCAT(D1326,", ",H1326,", ",I1326,", ","浙江省")</f>
        <v>一市镇, 宁海县, 宁波市, 浙江省</v>
      </c>
      <c r="G1326">
        <v>15279</v>
      </c>
      <c r="H1326" t="s">
        <v>2967</v>
      </c>
      <c r="I1326" t="s">
        <v>2961</v>
      </c>
      <c r="J1326">
        <f>VLOOKUP(F1326,[1]!china_towns_second__2[[Column1]:[Y]],3,FALSE)</f>
        <v>29.183621302824498</v>
      </c>
      <c r="K1326">
        <f>VLOOKUP(F1326,[1]!china_towns_second__2[[Column1]:[Y]],2,FALSE)</f>
        <v>121.4648175</v>
      </c>
      <c r="L1326" t="s">
        <v>4957</v>
      </c>
      <c r="M1326" t="str">
        <f>VLOOKUP(H1326,CHOOSE({1,2},Table12[Native],Table12[Name]),2,0)</f>
        <v>Nínghăi Xiàn</v>
      </c>
      <c r="N1326" s="15" t="str">
        <f>VLOOKUP(I1326,CHOOSE({1,2},Table12[Native],Table12[Name]),2,0)</f>
        <v>Níngbō Shì</v>
      </c>
      <c r="O1326" s="15" t="str">
        <f t="shared" si="40"/>
        <v>Yishi Zhen (Níngbō Shì)</v>
      </c>
      <c r="P1326" s="15" t="str">
        <f t="shared" si="41"/>
        <v>Yishi Zhen (Níngbō Shì)</v>
      </c>
    </row>
    <row r="1327" spans="1:16" hidden="1" x14ac:dyDescent="0.25">
      <c r="A1327" t="s">
        <v>963</v>
      </c>
      <c r="B1327" t="str">
        <f>IF(COUNTIF(A:A,A1327)&gt;1,_xlfn.CONCAT(A1327," (",N1327,")"),A1327)</f>
        <v>Yìtíng Zhèn (Jīnhuá Shì)</v>
      </c>
      <c r="C1327" t="str">
        <f>IF(COUNTIF(B:B,B1327)&gt;1,_xlfn.CONCAT(A1327," (",M1327,")"),B1327)</f>
        <v>Yìtíng Zhèn (Jīnhuá Shì)</v>
      </c>
      <c r="D1327" t="s">
        <v>964</v>
      </c>
      <c r="E1327" t="s">
        <v>11</v>
      </c>
      <c r="F1327" t="str">
        <f>_xlfn.CONCAT(D1327,", ",H1327,", ",I1327,", ","浙江省")</f>
        <v>义亭镇, 义乌市, 金华市, 浙江省</v>
      </c>
      <c r="G1327">
        <v>50665</v>
      </c>
      <c r="H1327" t="s">
        <v>2946</v>
      </c>
      <c r="I1327" t="s">
        <v>2938</v>
      </c>
      <c r="J1327">
        <f>VLOOKUP(F1327,[1]!china_towns_second__2[[Column1]:[Y]],3,FALSE)</f>
        <v>29.223190892608699</v>
      </c>
      <c r="K1327">
        <f>VLOOKUP(F1327,[1]!china_towns_second__2[[Column1]:[Y]],2,FALSE)</f>
        <v>119.9491451</v>
      </c>
      <c r="L1327" t="s">
        <v>4958</v>
      </c>
      <c r="M1327" t="str">
        <f>VLOOKUP(H1327,CHOOSE({1,2},Table12[Native],Table12[Name]),2,0)</f>
        <v>Yìwū Shì</v>
      </c>
      <c r="N1327" s="15" t="str">
        <f>VLOOKUP(I1327,CHOOSE({1,2},Table12[Native],Table12[Name]),2,0)</f>
        <v>Jīnhuá Shì</v>
      </c>
      <c r="O1327" s="15" t="str">
        <f t="shared" si="40"/>
        <v>Yiting Zhen (Jinhua Shi) (Jīnhuá Shì)</v>
      </c>
      <c r="P1327" s="15" t="str">
        <f t="shared" si="41"/>
        <v>Yiting Zhen (Jinhua Shi) (Jīnhuá Shì)</v>
      </c>
    </row>
    <row r="1328" spans="1:16" hidden="1" x14ac:dyDescent="0.25">
      <c r="A1328" t="s">
        <v>963</v>
      </c>
      <c r="B1328" t="str">
        <f>IF(COUNTIF(A:A,A1328)&gt;1,_xlfn.CONCAT(A1328," (",N1328,")"),A1328)</f>
        <v>Yìtíng Zhèn (Shàoxīng Shì)</v>
      </c>
      <c r="C1328" t="str">
        <f>IF(COUNTIF(B:B,B1328)&gt;1,_xlfn.CONCAT(A1328," (",M1328,")"),B1328)</f>
        <v>Yìtíng Zhèn (Shàoxīng Shì)</v>
      </c>
      <c r="D1328" t="s">
        <v>2028</v>
      </c>
      <c r="E1328" t="s">
        <v>11</v>
      </c>
      <c r="F1328" t="str">
        <f>_xlfn.CONCAT(D1328,", ",H1328,", ",I1328,", ","浙江省")</f>
        <v>驿亭镇, 上虞区, 绍兴市, 浙江省</v>
      </c>
      <c r="G1328">
        <v>21507</v>
      </c>
      <c r="H1328" t="s">
        <v>2983</v>
      </c>
      <c r="I1328" t="s">
        <v>2981</v>
      </c>
      <c r="J1328">
        <f>VLOOKUP(F1328,[1]!china_towns_second__2[[Column1]:[Y]],3,FALSE)</f>
        <v>30.026660366589301</v>
      </c>
      <c r="K1328">
        <f>VLOOKUP(F1328,[1]!china_towns_second__2[[Column1]:[Y]],2,FALSE)</f>
        <v>120.9578703</v>
      </c>
      <c r="L1328" t="s">
        <v>4959</v>
      </c>
      <c r="M1328" t="str">
        <f>VLOOKUP(H1328,CHOOSE({1,2},Table12[Native],Table12[Name]),2,0)</f>
        <v>Shàngyú Qū</v>
      </c>
      <c r="N1328" s="15" t="str">
        <f>VLOOKUP(I1328,CHOOSE({1,2},Table12[Native],Table12[Name]),2,0)</f>
        <v>Shàoxīng Shì</v>
      </c>
      <c r="O1328" s="15" t="str">
        <f t="shared" si="40"/>
        <v>Yiting Zhen (Shaoxing Shi) (Shàoxīng Shì)</v>
      </c>
      <c r="P1328" s="15" t="str">
        <f t="shared" si="41"/>
        <v>Yiting Zhen (Shaoxing Shi) (Shàoxīng Shì)</v>
      </c>
    </row>
    <row r="1329" spans="1:16" hidden="1" x14ac:dyDescent="0.25">
      <c r="A1329" t="s">
        <v>2783</v>
      </c>
      <c r="B1329" t="str">
        <f>IF(COUNTIF(A:A,A1329)&gt;1,_xlfn.CONCAT(A1329," (",N1329,")"),A1329)</f>
        <v>Yŏng'ān Xiāng</v>
      </c>
      <c r="C1329" t="str">
        <f>IF(COUNTIF(B:B,B1329)&gt;1,_xlfn.CONCAT(A1329," (",M1329,")"),B1329)</f>
        <v>Yŏng'ān Xiāng</v>
      </c>
      <c r="D1329" t="s">
        <v>2784</v>
      </c>
      <c r="E1329" t="s">
        <v>7</v>
      </c>
      <c r="F1329" t="str">
        <f>_xlfn.CONCAT(D1329,", ",H1329,", ",I1329,", ","浙江省")</f>
        <v>永安乡, 瑞安市, 温州市, 浙江省</v>
      </c>
      <c r="G1329">
        <v>6435</v>
      </c>
      <c r="H1329" t="s">
        <v>3007</v>
      </c>
      <c r="I1329" t="s">
        <v>3000</v>
      </c>
      <c r="J1329" t="e">
        <f>VLOOKUP(F1329,[1]!china_towns_second__2[[Column1]:[Y]],3,FALSE)</f>
        <v>#N/A</v>
      </c>
      <c r="K1329" t="e">
        <f>VLOOKUP(F1329,[1]!china_towns_second__2[[Column1]:[Y]],2,FALSE)</f>
        <v>#N/A</v>
      </c>
      <c r="L1329" t="s">
        <v>4960</v>
      </c>
      <c r="M1329" t="str">
        <f>VLOOKUP(H1329,CHOOSE({1,2},Table12[Native],Table12[Name]),2,0)</f>
        <v>Ruì'ān Shì</v>
      </c>
      <c r="N1329" s="15" t="str">
        <f>VLOOKUP(I1329,CHOOSE({1,2},Table12[Native],Table12[Name]),2,0)</f>
        <v>Wēnzhōu Shì</v>
      </c>
      <c r="O1329" s="15" t="str">
        <f t="shared" si="40"/>
        <v>Yong'an Xiang (Wēnzhōu Shì)</v>
      </c>
      <c r="P1329" s="15" t="str">
        <f t="shared" si="41"/>
        <v>Yong'an Xiang (Wēnzhōu Shì)</v>
      </c>
    </row>
    <row r="1330" spans="1:16" hidden="1" x14ac:dyDescent="0.25">
      <c r="A1330" t="s">
        <v>965</v>
      </c>
      <c r="B1330" t="str">
        <f>IF(COUNTIF(A:A,A1330)&gt;1,_xlfn.CONCAT(A1330," (",N1330,")"),A1330)</f>
        <v>Yŏngchāng Jiēdào</v>
      </c>
      <c r="C1330" t="str">
        <f>IF(COUNTIF(B:B,B1330)&gt;1,_xlfn.CONCAT(A1330," (",M1330,")"),B1330)</f>
        <v>Yŏngchāng Jiēdào</v>
      </c>
      <c r="D1330" t="s">
        <v>966</v>
      </c>
      <c r="E1330" t="s">
        <v>15</v>
      </c>
      <c r="F1330" t="str">
        <f>_xlfn.CONCAT(D1330,", ",H1330,", ",I1330,", ","浙江省")</f>
        <v>永昌街道, 兰溪市, 金华市, 浙江省</v>
      </c>
      <c r="G1330">
        <v>37044</v>
      </c>
      <c r="H1330" t="s">
        <v>2941</v>
      </c>
      <c r="I1330" t="s">
        <v>2938</v>
      </c>
      <c r="J1330">
        <f>VLOOKUP(F1330,[1]!china_towns_second__2[[Column1]:[Y]],3,FALSE)</f>
        <v>29.236152028947402</v>
      </c>
      <c r="K1330">
        <f>VLOOKUP(F1330,[1]!china_towns_second__2[[Column1]:[Y]],2,FALSE)</f>
        <v>119.3326258</v>
      </c>
      <c r="L1330" t="s">
        <v>4961</v>
      </c>
      <c r="M1330" t="str">
        <f>VLOOKUP(H1330,CHOOSE({1,2},Table12[Native],Table12[Name]),2,0)</f>
        <v>Lánxī Shì</v>
      </c>
      <c r="N1330" s="15" t="str">
        <f>VLOOKUP(I1330,CHOOSE({1,2},Table12[Native],Table12[Name]),2,0)</f>
        <v>Jīnhuá Shì</v>
      </c>
      <c r="O1330" s="15" t="str">
        <f t="shared" si="40"/>
        <v>Yongchang Jiedao (Jīnhuá Shì)</v>
      </c>
      <c r="P1330" s="15" t="str">
        <f t="shared" si="41"/>
        <v>Yongchang Jiedao (Jīnhuá Shì)</v>
      </c>
    </row>
    <row r="1331" spans="1:16" hidden="1" x14ac:dyDescent="0.25">
      <c r="A1331" t="s">
        <v>394</v>
      </c>
      <c r="B1331" t="str">
        <f>IF(COUNTIF(A:A,A1331)&gt;1,_xlfn.CONCAT(A1331," (",N1331,")"),A1331)</f>
        <v>Yŏngchāng Zhèn</v>
      </c>
      <c r="C1331" t="str">
        <f>IF(COUNTIF(B:B,B1331)&gt;1,_xlfn.CONCAT(A1331," (",M1331,")"),B1331)</f>
        <v>Yŏngchāng Zhèn</v>
      </c>
      <c r="D1331" t="s">
        <v>395</v>
      </c>
      <c r="E1331" t="s">
        <v>11</v>
      </c>
      <c r="F1331" t="str">
        <f>_xlfn.CONCAT(D1331,", ",H1331,", ",I1331,", ","浙江省")</f>
        <v>永昌镇, 富阳区, 杭州市, 浙江省</v>
      </c>
      <c r="G1331">
        <v>9168</v>
      </c>
      <c r="H1331" t="s">
        <v>2908</v>
      </c>
      <c r="I1331" t="s">
        <v>2903</v>
      </c>
      <c r="J1331">
        <f>VLOOKUP(F1331,[1]!china_towns_second__2[[Column1]:[Y]],3,FALSE)</f>
        <v>30.059354882847298</v>
      </c>
      <c r="K1331">
        <f>VLOOKUP(F1331,[1]!china_towns_second__2[[Column1]:[Y]],2,FALSE)</f>
        <v>119.7505465</v>
      </c>
      <c r="L1331" t="s">
        <v>4962</v>
      </c>
      <c r="M1331" t="str">
        <f>VLOOKUP(H1331,CHOOSE({1,2},Table12[Native],Table12[Name]),2,0)</f>
        <v>Fùyáng Qū</v>
      </c>
      <c r="N1331" s="15" t="str">
        <f>VLOOKUP(I1331,CHOOSE({1,2},Table12[Native],Table12[Name]),2,0)</f>
        <v>Hángzhōu Shì</v>
      </c>
      <c r="O1331" s="15" t="str">
        <f t="shared" si="40"/>
        <v>Yongchang Zhen (Hángzhōu Shì)</v>
      </c>
      <c r="P1331" s="15" t="str">
        <f t="shared" si="41"/>
        <v>Yongchang Zhen (Hángzhōu Shì)</v>
      </c>
    </row>
    <row r="1332" spans="1:16" hidden="1" x14ac:dyDescent="0.25">
      <c r="A1332" t="s">
        <v>2249</v>
      </c>
      <c r="B1332" t="str">
        <f>IF(COUNTIF(A:A,A1332)&gt;1,_xlfn.CONCAT(A1332," (",N1332,")"),A1332)</f>
        <v>Yŏngfēng Zhèn</v>
      </c>
      <c r="C1332" t="str">
        <f>IF(COUNTIF(B:B,B1332)&gt;1,_xlfn.CONCAT(A1332," (",M1332,")"),B1332)</f>
        <v>Yŏngfēng Zhèn</v>
      </c>
      <c r="D1332" t="s">
        <v>2250</v>
      </c>
      <c r="E1332" t="s">
        <v>11</v>
      </c>
      <c r="F1332" t="str">
        <f>_xlfn.CONCAT(D1332,", ",H1332,", ",I1332,", ","浙江省")</f>
        <v>永丰镇, 临海市, 台州市, 浙江省</v>
      </c>
      <c r="G1332">
        <v>37809</v>
      </c>
      <c r="H1332" t="s">
        <v>2992</v>
      </c>
      <c r="I1332" t="s">
        <v>2989</v>
      </c>
      <c r="J1332">
        <f>VLOOKUP(F1332,[1]!china_towns_second__2[[Column1]:[Y]],3,FALSE)</f>
        <v>28.922780591439999</v>
      </c>
      <c r="K1332">
        <f>VLOOKUP(F1332,[1]!china_towns_second__2[[Column1]:[Y]],2,FALSE)</f>
        <v>121.04981220000001</v>
      </c>
      <c r="L1332" t="s">
        <v>4963</v>
      </c>
      <c r="M1332" t="str">
        <f>VLOOKUP(H1332,CHOOSE({1,2},Table12[Native],Table12[Name]),2,0)</f>
        <v>Línhăi Shì</v>
      </c>
      <c r="N1332" s="15" t="str">
        <f>VLOOKUP(I1332,CHOOSE({1,2},Table12[Native],Table12[Name]),2,0)</f>
        <v>Táizhōu Shì</v>
      </c>
      <c r="O1332" s="15" t="str">
        <f t="shared" si="40"/>
        <v>Yongfeng Zhen (Táizhōu Shì)</v>
      </c>
      <c r="P1332" s="15" t="str">
        <f t="shared" si="41"/>
        <v>Yongfeng Zhen (Táizhōu Shì)</v>
      </c>
    </row>
    <row r="1333" spans="1:16" hidden="1" x14ac:dyDescent="0.25">
      <c r="A1333" t="s">
        <v>2029</v>
      </c>
      <c r="B1333" t="str">
        <f>IF(COUNTIF(A:A,A1333)&gt;1,_xlfn.CONCAT(A1333," (",N1333,")"),A1333)</f>
        <v>Yŏnghé Zhèn</v>
      </c>
      <c r="C1333" t="str">
        <f>IF(COUNTIF(B:B,B1333)&gt;1,_xlfn.CONCAT(A1333," (",M1333,")"),B1333)</f>
        <v>Yŏnghé Zhèn</v>
      </c>
      <c r="D1333" t="s">
        <v>2030</v>
      </c>
      <c r="E1333" t="s">
        <v>11</v>
      </c>
      <c r="F1333" t="str">
        <f>_xlfn.CONCAT(D1333,", ",H1333,", ",I1333,", ","浙江省")</f>
        <v>永和镇, 上虞区, 绍兴市, 浙江省</v>
      </c>
      <c r="G1333">
        <v>14091</v>
      </c>
      <c r="H1333" t="s">
        <v>2983</v>
      </c>
      <c r="I1333" t="s">
        <v>2981</v>
      </c>
      <c r="J1333">
        <f>VLOOKUP(F1333,[1]!china_towns_second__2[[Column1]:[Y]],3,FALSE)</f>
        <v>29.974376410323</v>
      </c>
      <c r="K1333">
        <f>VLOOKUP(F1333,[1]!china_towns_second__2[[Column1]:[Y]],2,FALSE)</f>
        <v>121.0476685</v>
      </c>
      <c r="L1333" t="s">
        <v>4964</v>
      </c>
      <c r="M1333" t="str">
        <f>VLOOKUP(H1333,CHOOSE({1,2},Table12[Native],Table12[Name]),2,0)</f>
        <v>Shàngyú Qū</v>
      </c>
      <c r="N1333" s="15" t="str">
        <f>VLOOKUP(I1333,CHOOSE({1,2},Table12[Native],Table12[Name]),2,0)</f>
        <v>Shàoxīng Shì</v>
      </c>
      <c r="O1333" s="15" t="str">
        <f t="shared" si="40"/>
        <v>Yonghe Zhen (Shàoxīng Shì)</v>
      </c>
      <c r="P1333" s="15" t="str">
        <f t="shared" si="41"/>
        <v>Yonghe Zhen (Shàoxīng Shì)</v>
      </c>
    </row>
    <row r="1334" spans="1:16" hidden="1" x14ac:dyDescent="0.25">
      <c r="A1334" t="s">
        <v>1610</v>
      </c>
      <c r="B1334" t="str">
        <f>IF(COUNTIF(A:A,A1334)&gt;1,_xlfn.CONCAT(A1334," (",N1334,")"),A1334)</f>
        <v>Yŏngjiāng Jiēdào</v>
      </c>
      <c r="C1334" t="str">
        <f>IF(COUNTIF(B:B,B1334)&gt;1,_xlfn.CONCAT(A1334," (",M1334,")"),B1334)</f>
        <v>Yŏngjiāng Jiēdào</v>
      </c>
      <c r="D1334" t="s">
        <v>1611</v>
      </c>
      <c r="E1334" t="s">
        <v>15</v>
      </c>
      <c r="F1334" t="str">
        <f>_xlfn.CONCAT(D1334,", ",H1334,", ",I1334,", ","浙江省")</f>
        <v>甬江街道, 江北区, 宁波市, 浙江省</v>
      </c>
      <c r="G1334">
        <v>30539</v>
      </c>
      <c r="H1334" t="s">
        <v>2966</v>
      </c>
      <c r="I1334" t="s">
        <v>2961</v>
      </c>
      <c r="J1334">
        <f>VLOOKUP(F1334,[1]!china_towns_second__2[[Column1]:[Y]],3,FALSE)</f>
        <v>29.9155412882325</v>
      </c>
      <c r="K1334">
        <f>VLOOKUP(F1334,[1]!china_towns_second__2[[Column1]:[Y]],2,FALSE)</f>
        <v>121.574467</v>
      </c>
      <c r="L1334" t="s">
        <v>4965</v>
      </c>
      <c r="M1334" t="str">
        <f>VLOOKUP(H1334,CHOOSE({1,2},Table12[Native],Table12[Name]),2,0)</f>
        <v>Jiāngbĕi Qū</v>
      </c>
      <c r="N1334" s="15" t="str">
        <f>VLOOKUP(I1334,CHOOSE({1,2},Table12[Native],Table12[Name]),2,0)</f>
        <v>Níngbō Shì</v>
      </c>
      <c r="O1334" s="15" t="str">
        <f t="shared" si="40"/>
        <v>Yongjiang Jiedao (Níngbō Shì)</v>
      </c>
      <c r="P1334" s="15" t="str">
        <f t="shared" si="41"/>
        <v>Yongjiang Jiedao (Níngbō Shì)</v>
      </c>
    </row>
    <row r="1335" spans="1:16" hidden="1" x14ac:dyDescent="0.25">
      <c r="A1335" t="s">
        <v>2251</v>
      </c>
      <c r="B1335" t="str">
        <f>IF(COUNTIF(A:A,A1335)&gt;1,_xlfn.CONCAT(A1335," (",N1335,")"),A1335)</f>
        <v>Yŏngquán Zhèn</v>
      </c>
      <c r="C1335" t="str">
        <f>IF(COUNTIF(B:B,B1335)&gt;1,_xlfn.CONCAT(A1335," (",M1335,")"),B1335)</f>
        <v>Yŏngquán Zhèn</v>
      </c>
      <c r="D1335" t="s">
        <v>2252</v>
      </c>
      <c r="E1335" t="s">
        <v>11</v>
      </c>
      <c r="F1335" t="str">
        <f>_xlfn.CONCAT(D1335,", ",H1335,", ",I1335,", ","浙江省")</f>
        <v>涌泉镇, 临海市, 台州市, 浙江省</v>
      </c>
      <c r="G1335">
        <v>42942</v>
      </c>
      <c r="H1335" t="s">
        <v>2992</v>
      </c>
      <c r="I1335" t="s">
        <v>2989</v>
      </c>
      <c r="J1335">
        <f>VLOOKUP(F1335,[1]!china_towns_second__2[[Column1]:[Y]],3,FALSE)</f>
        <v>28.780695132026199</v>
      </c>
      <c r="K1335">
        <f>VLOOKUP(F1335,[1]!china_towns_second__2[[Column1]:[Y]],2,FALSE)</f>
        <v>121.31094969999999</v>
      </c>
      <c r="L1335" t="s">
        <v>4966</v>
      </c>
      <c r="M1335" t="str">
        <f>VLOOKUP(H1335,CHOOSE({1,2},Table12[Native],Table12[Name]),2,0)</f>
        <v>Línhăi Shì</v>
      </c>
      <c r="N1335" s="15" t="str">
        <f>VLOOKUP(I1335,CHOOSE({1,2},Table12[Native],Table12[Name]),2,0)</f>
        <v>Táizhōu Shì</v>
      </c>
      <c r="O1335" s="15" t="str">
        <f t="shared" si="40"/>
        <v>Yongquan Zhen (Táizhōu Shì)</v>
      </c>
      <c r="P1335" s="15" t="str">
        <f t="shared" si="41"/>
        <v>Yongquan Zhen (Táizhōu Shì)</v>
      </c>
    </row>
    <row r="1336" spans="1:16" hidden="1" x14ac:dyDescent="0.25">
      <c r="A1336" t="s">
        <v>2253</v>
      </c>
      <c r="B1336" t="str">
        <f>IF(COUNTIF(A:A,A1336)&gt;1,_xlfn.CONCAT(A1336," (",N1336,")"),A1336)</f>
        <v>Yŏngxī Xiāng</v>
      </c>
      <c r="C1336" t="str">
        <f>IF(COUNTIF(B:B,B1336)&gt;1,_xlfn.CONCAT(A1336," (",M1336,")"),B1336)</f>
        <v>Yŏngxī Xiāng</v>
      </c>
      <c r="D1336" t="s">
        <v>2254</v>
      </c>
      <c r="E1336" t="s">
        <v>7</v>
      </c>
      <c r="F1336" t="str">
        <f>_xlfn.CONCAT(D1336,", ",H1336,", ",I1336,", ","浙江省")</f>
        <v>泳溪乡, 天台县, 台州市, 浙江省</v>
      </c>
      <c r="G1336">
        <v>4177</v>
      </c>
      <c r="H1336" t="s">
        <v>2995</v>
      </c>
      <c r="I1336" t="s">
        <v>2989</v>
      </c>
      <c r="J1336" t="e">
        <f>VLOOKUP(F1336,[1]!china_towns_second__2[[Column1]:[Y]],3,FALSE)</f>
        <v>#N/A</v>
      </c>
      <c r="K1336" t="e">
        <f>VLOOKUP(F1336,[1]!china_towns_second__2[[Column1]:[Y]],2,FALSE)</f>
        <v>#N/A</v>
      </c>
      <c r="L1336" t="s">
        <v>4967</v>
      </c>
      <c r="M1336" t="str">
        <f>VLOOKUP(H1336,CHOOSE({1,2},Table12[Native],Table12[Name]),2,0)</f>
        <v>Tiāntái Xiàn</v>
      </c>
      <c r="N1336" s="15" t="str">
        <f>VLOOKUP(I1336,CHOOSE({1,2},Table12[Native],Table12[Name]),2,0)</f>
        <v>Táizhōu Shì</v>
      </c>
      <c r="O1336" s="15" t="str">
        <f t="shared" si="40"/>
        <v>Yongxi Xiang (Táizhōu Shì)</v>
      </c>
      <c r="P1336" s="15" t="str">
        <f t="shared" si="41"/>
        <v>Yongxi Xiang (Táizhōu Shì)</v>
      </c>
    </row>
    <row r="1337" spans="1:16" hidden="1" x14ac:dyDescent="0.25">
      <c r="A1337" t="s">
        <v>2785</v>
      </c>
      <c r="B1337" t="str">
        <f>IF(COUNTIF(A:A,A1337)&gt;1,_xlfn.CONCAT(A1337," (",N1337,")"),A1337)</f>
        <v>Yŏngxīng Jiēdào</v>
      </c>
      <c r="C1337" t="str">
        <f>IF(COUNTIF(B:B,B1337)&gt;1,_xlfn.CONCAT(A1337," (",M1337,")"),B1337)</f>
        <v>Yŏngxīng Jiēdào</v>
      </c>
      <c r="D1337" t="s">
        <v>2786</v>
      </c>
      <c r="E1337" t="s">
        <v>15</v>
      </c>
      <c r="F1337" t="str">
        <f>_xlfn.CONCAT(D1337,", ",H1337,", ",I1337,", ","浙江省")</f>
        <v>永兴街道, 龙湾区, 温州市, 浙江省</v>
      </c>
      <c r="G1337">
        <v>52798</v>
      </c>
      <c r="H1337" t="s">
        <v>3003</v>
      </c>
      <c r="I1337" t="s">
        <v>3000</v>
      </c>
      <c r="J1337">
        <f>VLOOKUP(F1337,[1]!china_towns_second__2[[Column1]:[Y]],3,FALSE)</f>
        <v>27.869056415869</v>
      </c>
      <c r="K1337">
        <f>VLOOKUP(F1337,[1]!china_towns_second__2[[Column1]:[Y]],2,FALSE)</f>
        <v>120.8550535</v>
      </c>
      <c r="L1337" t="s">
        <v>4968</v>
      </c>
      <c r="M1337" t="str">
        <f>VLOOKUP(H1337,CHOOSE({1,2},Table12[Native],Table12[Name]),2,0)</f>
        <v>Lóngwān Qū</v>
      </c>
      <c r="N1337" s="15" t="str">
        <f>VLOOKUP(I1337,CHOOSE({1,2},Table12[Native],Table12[Name]),2,0)</f>
        <v>Wēnzhōu Shì</v>
      </c>
      <c r="O1337" s="15" t="str">
        <f t="shared" si="40"/>
        <v>Yongxing Jiedao (Wēnzhōu Shì)</v>
      </c>
      <c r="P1337" s="15" t="str">
        <f t="shared" si="41"/>
        <v>Yongxing Jiedao (Wēnzhōu Shì)</v>
      </c>
    </row>
    <row r="1338" spans="1:16" hidden="1" x14ac:dyDescent="0.25">
      <c r="A1338" t="s">
        <v>2787</v>
      </c>
      <c r="B1338" t="str">
        <f>IF(COUNTIF(A:A,A1338)&gt;1,_xlfn.CONCAT(A1338," (",N1338,")"),A1338)</f>
        <v>Yŏngzhōng Jiēdào</v>
      </c>
      <c r="C1338" t="str">
        <f>IF(COUNTIF(B:B,B1338)&gt;1,_xlfn.CONCAT(A1338," (",M1338,")"),B1338)</f>
        <v>Yŏngzhōng Jiēdào</v>
      </c>
      <c r="D1338" t="s">
        <v>2788</v>
      </c>
      <c r="E1338" t="s">
        <v>15</v>
      </c>
      <c r="F1338" t="str">
        <f>_xlfn.CONCAT(D1338,", ",H1338,", ",I1338,", ","浙江省")</f>
        <v>永中街道, 龙湾区, 温州市, 浙江省</v>
      </c>
      <c r="G1338">
        <v>128374</v>
      </c>
      <c r="H1338" t="s">
        <v>3003</v>
      </c>
      <c r="I1338" t="s">
        <v>3000</v>
      </c>
      <c r="J1338">
        <f>VLOOKUP(F1338,[1]!china_towns_second__2[[Column1]:[Y]],3,FALSE)</f>
        <v>27.9148456672898</v>
      </c>
      <c r="K1338">
        <f>VLOOKUP(F1338,[1]!china_towns_second__2[[Column1]:[Y]],2,FALSE)</f>
        <v>120.7890506</v>
      </c>
      <c r="L1338" t="s">
        <v>4969</v>
      </c>
      <c r="M1338" t="str">
        <f>VLOOKUP(H1338,CHOOSE({1,2},Table12[Native],Table12[Name]),2,0)</f>
        <v>Lóngwān Qū</v>
      </c>
      <c r="N1338" s="15" t="str">
        <f>VLOOKUP(I1338,CHOOSE({1,2},Table12[Native],Table12[Name]),2,0)</f>
        <v>Wēnzhōu Shì</v>
      </c>
      <c r="O1338" s="15" t="str">
        <f t="shared" si="40"/>
        <v>Yongzhong Jiedao (Wēnzhōu Shì)</v>
      </c>
      <c r="P1338" s="15" t="str">
        <f t="shared" si="41"/>
        <v>Yongzhong Jiedao (Wēnzhōu Shì)</v>
      </c>
    </row>
    <row r="1339" spans="1:16" hidden="1" x14ac:dyDescent="0.25">
      <c r="A1339" t="s">
        <v>967</v>
      </c>
      <c r="B1339" t="str">
        <f>IF(COUNTIF(A:A,A1339)&gt;1,_xlfn.CONCAT(A1339," (",N1339,")"),A1339)</f>
        <v>Yóubù Zhèn</v>
      </c>
      <c r="C1339" t="str">
        <f>IF(COUNTIF(B:B,B1339)&gt;1,_xlfn.CONCAT(A1339," (",M1339,")"),B1339)</f>
        <v>Yóubù Zhèn</v>
      </c>
      <c r="D1339" t="s">
        <v>968</v>
      </c>
      <c r="E1339" t="s">
        <v>11</v>
      </c>
      <c r="F1339" t="str">
        <f>_xlfn.CONCAT(D1339,", ",H1339,", ",I1339,", ","浙江省")</f>
        <v>游埠镇, 兰溪市, 金华市, 浙江省</v>
      </c>
      <c r="G1339">
        <v>29217</v>
      </c>
      <c r="H1339" t="s">
        <v>2941</v>
      </c>
      <c r="I1339" t="s">
        <v>2938</v>
      </c>
      <c r="J1339">
        <f>VLOOKUP(F1339,[1]!china_towns_second__2[[Column1]:[Y]],3,FALSE)</f>
        <v>29.138250690638099</v>
      </c>
      <c r="K1339">
        <f>VLOOKUP(F1339,[1]!china_towns_second__2[[Column1]:[Y]],2,FALSE)</f>
        <v>119.3340024</v>
      </c>
      <c r="L1339" t="s">
        <v>4970</v>
      </c>
      <c r="M1339" t="str">
        <f>VLOOKUP(H1339,CHOOSE({1,2},Table12[Native],Table12[Name]),2,0)</f>
        <v>Lánxī Shì</v>
      </c>
      <c r="N1339" s="15" t="str">
        <f>VLOOKUP(I1339,CHOOSE({1,2},Table12[Native],Table12[Name]),2,0)</f>
        <v>Jīnhuá Shì</v>
      </c>
      <c r="O1339" s="15" t="str">
        <f t="shared" si="40"/>
        <v>Youbu Zhen (Jīnhuá Shì)</v>
      </c>
      <c r="P1339" s="15" t="str">
        <f t="shared" si="41"/>
        <v>Youbu Zhen (Jīnhuá Shì)</v>
      </c>
    </row>
    <row r="1340" spans="1:16" hidden="1" x14ac:dyDescent="0.25">
      <c r="A1340" t="s">
        <v>685</v>
      </c>
      <c r="B1340" t="str">
        <f>IF(COUNTIF(A:A,A1340)&gt;1,_xlfn.CONCAT(A1340," (",N1340,")"),A1340)</f>
        <v>Yóuchēgăng Zhèn</v>
      </c>
      <c r="C1340" t="str">
        <f>IF(COUNTIF(B:B,B1340)&gt;1,_xlfn.CONCAT(A1340," (",M1340,")"),B1340)</f>
        <v>Yóuchēgăng Zhèn</v>
      </c>
      <c r="D1340" t="s">
        <v>686</v>
      </c>
      <c r="E1340" t="s">
        <v>11</v>
      </c>
      <c r="F1340" t="str">
        <f>_xlfn.CONCAT(D1340,", ",H1340,", ",I1340,", ","浙江省")</f>
        <v>油车港镇, 秀洲区, 嘉兴市, 浙江省</v>
      </c>
      <c r="G1340">
        <v>49488</v>
      </c>
      <c r="H1340" t="s">
        <v>2936</v>
      </c>
      <c r="I1340" t="s">
        <v>2929</v>
      </c>
      <c r="J1340">
        <f>VLOOKUP(F1340,[1]!china_towns_second__2[[Column1]:[Y]],3,FALSE)</f>
        <v>30.8502558381517</v>
      </c>
      <c r="K1340">
        <f>VLOOKUP(F1340,[1]!china_towns_second__2[[Column1]:[Y]],2,FALSE)</f>
        <v>120.7647827</v>
      </c>
      <c r="L1340" t="s">
        <v>4971</v>
      </c>
      <c r="M1340" t="str">
        <f>VLOOKUP(H1340,CHOOSE({1,2},Table12[Native],Table12[Name]),2,0)</f>
        <v>Xiùzhōu Qū</v>
      </c>
      <c r="N1340" s="15" t="str">
        <f>VLOOKUP(I1340,CHOOSE({1,2},Table12[Native],Table12[Name]),2,0)</f>
        <v>Jiāxīng Shì</v>
      </c>
      <c r="O1340" s="15" t="str">
        <f t="shared" si="40"/>
        <v>Youchegang Zhen (Jiāxīng Shì)</v>
      </c>
      <c r="P1340" s="15" t="str">
        <f t="shared" si="41"/>
        <v>Youchegang Zhen (Jiāxīng Shì)</v>
      </c>
    </row>
    <row r="1341" spans="1:16" hidden="1" x14ac:dyDescent="0.25">
      <c r="A1341" t="s">
        <v>2255</v>
      </c>
      <c r="B1341" t="str">
        <f>IF(COUNTIF(A:A,A1341)&gt;1,_xlfn.CONCAT(A1341," (",N1341,")"),A1341)</f>
        <v>Yóuxī Zhèn</v>
      </c>
      <c r="C1341" t="str">
        <f>IF(COUNTIF(B:B,B1341)&gt;1,_xlfn.CONCAT(A1341," (",M1341,")"),B1341)</f>
        <v>Yóuxī Zhèn</v>
      </c>
      <c r="D1341" t="s">
        <v>2256</v>
      </c>
      <c r="E1341" t="s">
        <v>11</v>
      </c>
      <c r="F1341" t="str">
        <f>_xlfn.CONCAT(D1341,", ",H1341,", ",I1341,", ","浙江省")</f>
        <v>尤溪镇, 临海市, 台州市, 浙江省</v>
      </c>
      <c r="G1341">
        <v>15472</v>
      </c>
      <c r="H1341" t="s">
        <v>2992</v>
      </c>
      <c r="I1341" t="s">
        <v>2989</v>
      </c>
      <c r="J1341">
        <f>VLOOKUP(F1341,[1]!china_towns_second__2[[Column1]:[Y]],3,FALSE)</f>
        <v>28.719840480907902</v>
      </c>
      <c r="K1341">
        <f>VLOOKUP(F1341,[1]!china_towns_second__2[[Column1]:[Y]],2,FALSE)</f>
        <v>121.0572299</v>
      </c>
      <c r="L1341" t="s">
        <v>4972</v>
      </c>
      <c r="M1341" t="str">
        <f>VLOOKUP(H1341,CHOOSE({1,2},Table12[Native],Table12[Name]),2,0)</f>
        <v>Línhăi Shì</v>
      </c>
      <c r="N1341" s="15" t="str">
        <f>VLOOKUP(I1341,CHOOSE({1,2},Table12[Native],Table12[Name]),2,0)</f>
        <v>Táizhōu Shì</v>
      </c>
      <c r="O1341" s="15" t="str">
        <f t="shared" si="40"/>
        <v>Youxi Zhen (Táizhōu Shì)</v>
      </c>
      <c r="P1341" s="15" t="str">
        <f t="shared" si="41"/>
        <v>Youxi Zhen (Táizhōu Shì)</v>
      </c>
    </row>
    <row r="1342" spans="1:16" hidden="1" x14ac:dyDescent="0.25">
      <c r="A1342" t="s">
        <v>969</v>
      </c>
      <c r="B1342" t="str">
        <f>IF(COUNTIF(A:A,A1342)&gt;1,_xlfn.CONCAT(A1342," (",N1342,")"),A1342)</f>
        <v>Yuándōng Xiāng</v>
      </c>
      <c r="C1342" t="str">
        <f>IF(COUNTIF(B:B,B1342)&gt;1,_xlfn.CONCAT(A1342," (",M1342,")"),B1342)</f>
        <v>Yuándōng Xiāng</v>
      </c>
      <c r="D1342" t="s">
        <v>970</v>
      </c>
      <c r="E1342" t="s">
        <v>7</v>
      </c>
      <c r="F1342" t="str">
        <f>_xlfn.CONCAT(D1342,", ",H1342,", ",I1342,", ","浙江省")</f>
        <v>源东乡, 金东区, 金华市, 浙江省</v>
      </c>
      <c r="G1342">
        <v>11425</v>
      </c>
      <c r="H1342" t="s">
        <v>2940</v>
      </c>
      <c r="I1342" t="s">
        <v>2938</v>
      </c>
      <c r="J1342" t="e">
        <f>VLOOKUP(F1342,[1]!china_towns_second__2[[Column1]:[Y]],3,FALSE)</f>
        <v>#N/A</v>
      </c>
      <c r="K1342" t="e">
        <f>VLOOKUP(F1342,[1]!china_towns_second__2[[Column1]:[Y]],2,FALSE)</f>
        <v>#N/A</v>
      </c>
      <c r="L1342" t="s">
        <v>4973</v>
      </c>
      <c r="M1342" t="str">
        <f>VLOOKUP(H1342,CHOOSE({1,2},Table12[Native],Table12[Name]),2,0)</f>
        <v>Jīndōng Qū</v>
      </c>
      <c r="N1342" s="15" t="str">
        <f>VLOOKUP(I1342,CHOOSE({1,2},Table12[Native],Table12[Name]),2,0)</f>
        <v>Jīnhuá Shì</v>
      </c>
      <c r="O1342" s="15" t="str">
        <f t="shared" si="40"/>
        <v>Yuandong Xiang (Jīnhuá Shì)</v>
      </c>
      <c r="P1342" s="15" t="str">
        <f t="shared" si="41"/>
        <v>Yuandong Xiang (Jīnhuá Shì)</v>
      </c>
    </row>
    <row r="1343" spans="1:16" hidden="1" x14ac:dyDescent="0.25">
      <c r="A1343" t="s">
        <v>687</v>
      </c>
      <c r="B1343" t="str">
        <f>IF(COUNTIF(A:A,A1343)&gt;1,_xlfn.CONCAT(A1343," (",N1343,")"),A1343)</f>
        <v>Yuánhuā Zhèn</v>
      </c>
      <c r="C1343" t="str">
        <f>IF(COUNTIF(B:B,B1343)&gt;1,_xlfn.CONCAT(A1343," (",M1343,")"),B1343)</f>
        <v>Yuánhuā Zhèn</v>
      </c>
      <c r="D1343" t="s">
        <v>688</v>
      </c>
      <c r="E1343" t="s">
        <v>11</v>
      </c>
      <c r="F1343" t="str">
        <f>_xlfn.CONCAT(D1343,", ",H1343,", ",I1343,", ","浙江省")</f>
        <v>袁花镇, 海宁市, 嘉兴市, 浙江省</v>
      </c>
      <c r="G1343">
        <v>56055</v>
      </c>
      <c r="H1343" t="s">
        <v>2930</v>
      </c>
      <c r="I1343" t="s">
        <v>2929</v>
      </c>
      <c r="J1343">
        <f>VLOOKUP(F1343,[1]!china_towns_second__2[[Column1]:[Y]],3,FALSE)</f>
        <v>30.437570903721799</v>
      </c>
      <c r="K1343">
        <f>VLOOKUP(F1343,[1]!china_towns_second__2[[Column1]:[Y]],2,FALSE)</f>
        <v>120.7678811</v>
      </c>
      <c r="L1343" t="s">
        <v>4974</v>
      </c>
      <c r="M1343" t="str">
        <f>VLOOKUP(H1343,CHOOSE({1,2},Table12[Native],Table12[Name]),2,0)</f>
        <v>Hăiníng Shì</v>
      </c>
      <c r="N1343" s="15" t="str">
        <f>VLOOKUP(I1343,CHOOSE({1,2},Table12[Native],Table12[Name]),2,0)</f>
        <v>Jiāxīng Shì</v>
      </c>
      <c r="O1343" s="15" t="str">
        <f t="shared" si="40"/>
        <v>Yuanhua Zhen (Jiāxīng Shì)</v>
      </c>
      <c r="P1343" s="15" t="str">
        <f t="shared" si="41"/>
        <v>Yuanhua Zhen (Jiāxīng Shì)</v>
      </c>
    </row>
    <row r="1344" spans="1:16" hidden="1" x14ac:dyDescent="0.25">
      <c r="A1344" t="s">
        <v>2789</v>
      </c>
      <c r="B1344" t="str">
        <f>IF(COUNTIF(A:A,A1344)&gt;1,_xlfn.CONCAT(A1344," (",N1344,")"),A1344)</f>
        <v>Yuánjué Jiēdào</v>
      </c>
      <c r="C1344" t="str">
        <f>IF(COUNTIF(B:B,B1344)&gt;1,_xlfn.CONCAT(A1344," (",M1344,")"),B1344)</f>
        <v>Yuánjué Jiēdào</v>
      </c>
      <c r="D1344" t="s">
        <v>2790</v>
      </c>
      <c r="E1344" t="s">
        <v>15</v>
      </c>
      <c r="F1344" t="str">
        <f>_xlfn.CONCAT(D1344,", ",H1344,", ",I1344,", ","浙江省")</f>
        <v>元觉街道, 洞头区, 温州市, 浙江省</v>
      </c>
      <c r="G1344">
        <v>4234</v>
      </c>
      <c r="H1344" t="s">
        <v>3002</v>
      </c>
      <c r="I1344" t="s">
        <v>3000</v>
      </c>
      <c r="J1344">
        <f>VLOOKUP(F1344,[1]!china_towns_second__2[[Column1]:[Y]],3,FALSE)</f>
        <v>27.8904206290593</v>
      </c>
      <c r="K1344">
        <f>VLOOKUP(F1344,[1]!china_towns_second__2[[Column1]:[Y]],2,FALSE)</f>
        <v>121.1202794</v>
      </c>
      <c r="L1344" t="s">
        <v>4975</v>
      </c>
      <c r="M1344" t="str">
        <f>VLOOKUP(H1344,CHOOSE({1,2},Table12[Native],Table12[Name]),2,0)</f>
        <v>Dòngtóu Qū</v>
      </c>
      <c r="N1344" s="15" t="str">
        <f>VLOOKUP(I1344,CHOOSE({1,2},Table12[Native],Table12[Name]),2,0)</f>
        <v>Wēnzhōu Shì</v>
      </c>
      <c r="O1344" s="15" t="str">
        <f t="shared" si="40"/>
        <v>Yuanjue Jiedao (Wēnzhōu Shì)</v>
      </c>
      <c r="P1344" s="15" t="str">
        <f t="shared" si="41"/>
        <v>Yuanjue Jiedao (Wēnzhōu Shì)</v>
      </c>
    </row>
    <row r="1345" spans="1:16" hidden="1" x14ac:dyDescent="0.25">
      <c r="A1345" t="s">
        <v>2257</v>
      </c>
      <c r="B1345" t="str">
        <f>IF(COUNTIF(A:A,A1345)&gt;1,_xlfn.CONCAT(A1345," (",N1345,")"),A1345)</f>
        <v>Yuànqiáo Zhèn</v>
      </c>
      <c r="C1345" t="str">
        <f>IF(COUNTIF(B:B,B1345)&gt;1,_xlfn.CONCAT(A1345," (",M1345,")"),B1345)</f>
        <v>Yuànqiáo Zhèn</v>
      </c>
      <c r="D1345" t="s">
        <v>2258</v>
      </c>
      <c r="E1345" t="s">
        <v>11</v>
      </c>
      <c r="F1345" t="str">
        <f>_xlfn.CONCAT(D1345,", ",H1345,", ",I1345,", ","浙江省")</f>
        <v>院桥镇, 黄岩区, 台州市, 浙江省</v>
      </c>
      <c r="G1345">
        <v>73819</v>
      </c>
      <c r="H1345" t="s">
        <v>2990</v>
      </c>
      <c r="I1345" t="s">
        <v>2989</v>
      </c>
      <c r="J1345">
        <f>VLOOKUP(F1345,[1]!china_towns_second__2[[Column1]:[Y]],3,FALSE)</f>
        <v>28.5468577609699</v>
      </c>
      <c r="K1345">
        <f>VLOOKUP(F1345,[1]!china_towns_second__2[[Column1]:[Y]],2,FALSE)</f>
        <v>121.2481889</v>
      </c>
      <c r="L1345" t="s">
        <v>4976</v>
      </c>
      <c r="M1345" t="str">
        <f>VLOOKUP(H1345,CHOOSE({1,2},Table12[Native],Table12[Name]),2,0)</f>
        <v>Huángyán Qū</v>
      </c>
      <c r="N1345" s="15" t="str">
        <f>VLOOKUP(I1345,CHOOSE({1,2},Table12[Native],Table12[Name]),2,0)</f>
        <v>Táizhōu Shì</v>
      </c>
      <c r="O1345" s="15" t="str">
        <f t="shared" si="40"/>
        <v>Yuanqiao Zhen (Táizhōu Shì)</v>
      </c>
      <c r="P1345" s="15" t="str">
        <f t="shared" si="41"/>
        <v>Yuanqiao Zhen (Táizhōu Shì)</v>
      </c>
    </row>
    <row r="1346" spans="1:16" hidden="1" x14ac:dyDescent="0.25">
      <c r="A1346" t="s">
        <v>2259</v>
      </c>
      <c r="B1346" t="str">
        <f>IF(COUNTIF(A:A,A1346)&gt;1,_xlfn.CONCAT(A1346," (",N1346,")"),A1346)</f>
        <v>Yùchéng Jiēdào</v>
      </c>
      <c r="C1346" t="str">
        <f>IF(COUNTIF(B:B,B1346)&gt;1,_xlfn.CONCAT(A1346," (",M1346,")"),B1346)</f>
        <v>Yùchéng Jiēdào</v>
      </c>
      <c r="D1346" t="s">
        <v>2260</v>
      </c>
      <c r="E1346" t="s">
        <v>15</v>
      </c>
      <c r="F1346" t="str">
        <f>_xlfn.CONCAT(D1346,", ",H1346,", ",I1346,", ","浙江省")</f>
        <v>玉城街道, 玉环市, 台州市, 浙江省</v>
      </c>
      <c r="G1346">
        <v>178768</v>
      </c>
      <c r="H1346" t="s">
        <v>2998</v>
      </c>
      <c r="I1346" t="s">
        <v>2989</v>
      </c>
      <c r="J1346">
        <f>VLOOKUP(F1346,[1]!china_towns_second__2[[Column1]:[Y]],3,FALSE)</f>
        <v>28.149157785999599</v>
      </c>
      <c r="K1346">
        <f>VLOOKUP(F1346,[1]!china_towns_second__2[[Column1]:[Y]],2,FALSE)</f>
        <v>121.2203255</v>
      </c>
      <c r="L1346" t="s">
        <v>4977</v>
      </c>
      <c r="M1346" t="str">
        <f>VLOOKUP(H1346,CHOOSE({1,2},Table12[Native],Table12[Name]),2,0)</f>
        <v>Yùhuán Shì</v>
      </c>
      <c r="N1346" s="15" t="str">
        <f>VLOOKUP(I1346,CHOOSE({1,2},Table12[Native],Table12[Name]),2,0)</f>
        <v>Táizhōu Shì</v>
      </c>
      <c r="O1346" s="15" t="str">
        <f t="shared" ref="O1346:O1409" si="42">_xlfn.CONCAT(L1346," (",N1346,")")</f>
        <v>Yucheng Jiedao (Táizhōu Shì)</v>
      </c>
      <c r="P1346" s="15" t="str">
        <f t="shared" ref="P1346:P1409" si="43">IF(COUNTIF(O:O,O1346)&gt;1,_xlfn.CONCAT(L1346," (",M1346,")"),O1346)</f>
        <v>Yucheng Jiedao (Táizhōu Shì)</v>
      </c>
    </row>
    <row r="1347" spans="1:16" hidden="1" x14ac:dyDescent="0.25">
      <c r="A1347" t="s">
        <v>689</v>
      </c>
      <c r="B1347" t="str">
        <f>IF(COUNTIF(A:A,A1347)&gt;1,_xlfn.CONCAT(A1347," (",N1347,")"),A1347)</f>
        <v>Yúchéng Zhèn</v>
      </c>
      <c r="C1347" t="str">
        <f>IF(COUNTIF(B:B,B1347)&gt;1,_xlfn.CONCAT(A1347," (",M1347,")"),B1347)</f>
        <v>Yúchéng Zhèn</v>
      </c>
      <c r="D1347" t="s">
        <v>690</v>
      </c>
      <c r="E1347" t="s">
        <v>11</v>
      </c>
      <c r="F1347" t="str">
        <f>_xlfn.CONCAT(D1347,", ",H1347,", ",I1347,", ","浙江省")</f>
        <v>于城镇, 海盐县, 嘉兴市, 浙江省</v>
      </c>
      <c r="G1347">
        <v>25138</v>
      </c>
      <c r="H1347" t="s">
        <v>2931</v>
      </c>
      <c r="I1347" t="s">
        <v>2929</v>
      </c>
      <c r="J1347">
        <f>VLOOKUP(F1347,[1]!china_towns_second__2[[Column1]:[Y]],3,FALSE)</f>
        <v>30.533570983060301</v>
      </c>
      <c r="K1347">
        <f>VLOOKUP(F1347,[1]!china_towns_second__2[[Column1]:[Y]],2,FALSE)</f>
        <v>120.8526172</v>
      </c>
      <c r="L1347" t="s">
        <v>4978</v>
      </c>
      <c r="M1347" t="str">
        <f>VLOOKUP(H1347,CHOOSE({1,2},Table12[Native],Table12[Name]),2,0)</f>
        <v>Hăiyán Xiàn</v>
      </c>
      <c r="N1347" s="15" t="str">
        <f>VLOOKUP(I1347,CHOOSE({1,2},Table12[Native],Table12[Name]),2,0)</f>
        <v>Jiāxīng Shì</v>
      </c>
      <c r="O1347" s="15" t="str">
        <f t="shared" si="42"/>
        <v>Yucheng Zhen (Jiāxīng Shì)</v>
      </c>
      <c r="P1347" s="15" t="str">
        <f t="shared" si="43"/>
        <v>Yucheng Zhen (Jiāxīng Shì)</v>
      </c>
    </row>
    <row r="1348" spans="1:16" hidden="1" x14ac:dyDescent="0.25">
      <c r="A1348" t="s">
        <v>537</v>
      </c>
      <c r="B1348" t="str">
        <f>IF(COUNTIF(A:A,A1348)&gt;1,_xlfn.CONCAT(A1348," (",N1348,")"),A1348)</f>
        <v>Yuèhé Jiēdào</v>
      </c>
      <c r="C1348" t="str">
        <f>IF(COUNTIF(B:B,B1348)&gt;1,_xlfn.CONCAT(A1348," (",M1348,")"),B1348)</f>
        <v>Yuèhé Jiēdào</v>
      </c>
      <c r="D1348" t="s">
        <v>538</v>
      </c>
      <c r="E1348" t="s">
        <v>15</v>
      </c>
      <c r="F1348" t="str">
        <f>_xlfn.CONCAT(D1348,", ",H1348,", ",I1348,", ","浙江省")</f>
        <v>月河街道, 吴兴区, 湖州市, 浙江省</v>
      </c>
      <c r="G1348">
        <v>44661</v>
      </c>
      <c r="H1348" t="s">
        <v>2927</v>
      </c>
      <c r="I1348" t="s">
        <v>2922</v>
      </c>
      <c r="J1348">
        <f>VLOOKUP(F1348,[1]!china_towns_second__2[[Column1]:[Y]],3,FALSE)</f>
        <v>30.860352576263399</v>
      </c>
      <c r="K1348">
        <f>VLOOKUP(F1348,[1]!china_towns_second__2[[Column1]:[Y]],2,FALSE)</f>
        <v>120.1119765</v>
      </c>
      <c r="L1348" t="s">
        <v>4979</v>
      </c>
      <c r="M1348" t="str">
        <f>VLOOKUP(H1348,CHOOSE({1,2},Table12[Native],Table12[Name]),2,0)</f>
        <v>Wúxīng Qū</v>
      </c>
      <c r="N1348" s="15" t="str">
        <f>VLOOKUP(I1348,CHOOSE({1,2},Table12[Native],Table12[Name]),2,0)</f>
        <v>Húzhōu Shì</v>
      </c>
      <c r="O1348" s="15" t="str">
        <f t="shared" si="42"/>
        <v>Yuehe Jiedao (Húzhōu Shì)</v>
      </c>
      <c r="P1348" s="15" t="str">
        <f t="shared" si="43"/>
        <v>Yuehe Jiedao (Húzhōu Shì)</v>
      </c>
    </row>
    <row r="1349" spans="1:16" hidden="1" x14ac:dyDescent="0.25">
      <c r="A1349" t="s">
        <v>1612</v>
      </c>
      <c r="B1349" t="str">
        <f>IF(COUNTIF(A:A,A1349)&gt;1,_xlfn.CONCAT(A1349," (",N1349,")"),A1349)</f>
        <v>Yuèhú Jiēdào</v>
      </c>
      <c r="C1349" t="str">
        <f>IF(COUNTIF(B:B,B1349)&gt;1,_xlfn.CONCAT(A1349," (",M1349,")"),B1349)</f>
        <v>Yuèhú Jiēdào</v>
      </c>
      <c r="D1349" t="s">
        <v>1613</v>
      </c>
      <c r="E1349" t="s">
        <v>15</v>
      </c>
      <c r="F1349" t="str">
        <f>_xlfn.CONCAT(D1349,", ",H1349,", ",I1349,", ","浙江省")</f>
        <v>月湖街道, 海曙区, 宁波市, 浙江省</v>
      </c>
      <c r="G1349">
        <v>22469</v>
      </c>
      <c r="H1349" t="s">
        <v>2965</v>
      </c>
      <c r="I1349" t="s">
        <v>2961</v>
      </c>
      <c r="J1349">
        <f>VLOOKUP(F1349,[1]!china_towns_second__2[[Column1]:[Y]],3,FALSE)</f>
        <v>29.869693720512199</v>
      </c>
      <c r="K1349">
        <f>VLOOKUP(F1349,[1]!china_towns_second__2[[Column1]:[Y]],2,FALSE)</f>
        <v>121.5397297</v>
      </c>
      <c r="L1349" t="s">
        <v>4980</v>
      </c>
      <c r="M1349" t="str">
        <f>VLOOKUP(H1349,CHOOSE({1,2},Table12[Native],Table12[Name]),2,0)</f>
        <v>Hăishŭ Qū</v>
      </c>
      <c r="N1349" s="15" t="str">
        <f>VLOOKUP(I1349,CHOOSE({1,2},Table12[Native],Table12[Name]),2,0)</f>
        <v>Níngbō Shì</v>
      </c>
      <c r="O1349" s="15" t="str">
        <f t="shared" si="42"/>
        <v>Yuehu Jiedao (Níngbō Shì)</v>
      </c>
      <c r="P1349" s="15" t="str">
        <f t="shared" si="43"/>
        <v>Yuehu Jiedao (Níngbō Shì)</v>
      </c>
    </row>
    <row r="1350" spans="1:16" hidden="1" x14ac:dyDescent="0.25">
      <c r="A1350" t="s">
        <v>2791</v>
      </c>
      <c r="B1350" t="str">
        <f>IF(COUNTIF(A:A,A1350)&gt;1,_xlfn.CONCAT(A1350," (",N1350,")"),A1350)</f>
        <v>Yuèhú Xiāng</v>
      </c>
      <c r="C1350" t="str">
        <f>IF(COUNTIF(B:B,B1350)&gt;1,_xlfn.CONCAT(A1350," (",M1350,")"),B1350)</f>
        <v>Yuèhú Xiāng</v>
      </c>
      <c r="D1350" t="s">
        <v>2792</v>
      </c>
      <c r="E1350" t="s">
        <v>7</v>
      </c>
      <c r="F1350" t="str">
        <f>_xlfn.CONCAT(D1350,", ",H1350,", ",I1350,", ","浙江省")</f>
        <v>月湖乡, 泰顺县, 温州市, 浙江省</v>
      </c>
      <c r="G1350">
        <v>3305</v>
      </c>
      <c r="H1350" t="s">
        <v>3008</v>
      </c>
      <c r="I1350" t="s">
        <v>3000</v>
      </c>
      <c r="J1350" t="e">
        <f>VLOOKUP(F1350,[1]!china_towns_second__2[[Column1]:[Y]],3,FALSE)</f>
        <v>#N/A</v>
      </c>
      <c r="K1350" t="e">
        <f>VLOOKUP(F1350,[1]!china_towns_second__2[[Column1]:[Y]],2,FALSE)</f>
        <v>#N/A</v>
      </c>
      <c r="L1350" t="s">
        <v>4981</v>
      </c>
      <c r="M1350" t="str">
        <f>VLOOKUP(H1350,CHOOSE({1,2},Table12[Native],Table12[Name]),2,0)</f>
        <v>Tàishùn Xiàn</v>
      </c>
      <c r="N1350" s="15" t="str">
        <f>VLOOKUP(I1350,CHOOSE({1,2},Table12[Native],Table12[Name]),2,0)</f>
        <v>Wēnzhōu Shì</v>
      </c>
      <c r="O1350" s="15" t="str">
        <f t="shared" si="42"/>
        <v>Yuehu Xiang (Wēnzhōu Shì)</v>
      </c>
      <c r="P1350" s="15" t="str">
        <f t="shared" si="43"/>
        <v>Yuehu Xiang (Wēnzhōu Shì)</v>
      </c>
    </row>
    <row r="1351" spans="1:16" hidden="1" x14ac:dyDescent="0.25">
      <c r="A1351" t="s">
        <v>1614</v>
      </c>
      <c r="B1351" t="str">
        <f>IF(COUNTIF(A:A,A1351)&gt;1,_xlfn.CONCAT(A1351," (",N1351,")"),A1351)</f>
        <v>Yuèlín Jiēdào</v>
      </c>
      <c r="C1351" t="str">
        <f>IF(COUNTIF(B:B,B1351)&gt;1,_xlfn.CONCAT(A1351," (",M1351,")"),B1351)</f>
        <v>Yuèlín Jiēdào</v>
      </c>
      <c r="D1351" t="s">
        <v>1615</v>
      </c>
      <c r="E1351" t="s">
        <v>15</v>
      </c>
      <c r="F1351" t="str">
        <f>_xlfn.CONCAT(D1351,", ",H1351,", ",I1351,", ","浙江省")</f>
        <v>岳林街道, 奉化区, 宁波市, 浙江省</v>
      </c>
      <c r="G1351">
        <v>62433</v>
      </c>
      <c r="H1351" t="s">
        <v>2964</v>
      </c>
      <c r="I1351" t="s">
        <v>2961</v>
      </c>
      <c r="J1351">
        <f>VLOOKUP(F1351,[1]!china_towns_second__2[[Column1]:[Y]],3,FALSE)</f>
        <v>29.657449033116901</v>
      </c>
      <c r="K1351">
        <f>VLOOKUP(F1351,[1]!china_towns_second__2[[Column1]:[Y]],2,FALSE)</f>
        <v>121.4337013</v>
      </c>
      <c r="L1351" t="s">
        <v>4982</v>
      </c>
      <c r="M1351" t="str">
        <f>VLOOKUP(H1351,CHOOSE({1,2},Table12[Native],Table12[Name]),2,0)</f>
        <v>Fènghuà Qū</v>
      </c>
      <c r="N1351" s="15" t="str">
        <f>VLOOKUP(I1351,CHOOSE({1,2},Table12[Native],Table12[Name]),2,0)</f>
        <v>Níngbō Shì</v>
      </c>
      <c r="O1351" s="15" t="str">
        <f t="shared" si="42"/>
        <v>Yuelin Jiedao (Níngbō Shì)</v>
      </c>
      <c r="P1351" s="15" t="str">
        <f t="shared" si="43"/>
        <v>Yuelin Jiedao (Níngbō Shì)</v>
      </c>
    </row>
    <row r="1352" spans="1:16" hidden="1" x14ac:dyDescent="0.25">
      <c r="A1352" t="s">
        <v>1616</v>
      </c>
      <c r="B1352" t="str">
        <f>IF(COUNTIF(A:A,A1352)&gt;1,_xlfn.CONCAT(A1352," (",N1352,")"),A1352)</f>
        <v>Yuèlóng Jiēdào</v>
      </c>
      <c r="C1352" t="str">
        <f>IF(COUNTIF(B:B,B1352)&gt;1,_xlfn.CONCAT(A1352," (",M1352,")"),B1352)</f>
        <v>Yuèlóng Jiēdào</v>
      </c>
      <c r="D1352" t="s">
        <v>1617</v>
      </c>
      <c r="E1352" t="s">
        <v>15</v>
      </c>
      <c r="F1352" t="str">
        <f>_xlfn.CONCAT(D1352,", ",H1352,", ",I1352,", ","浙江省")</f>
        <v>跃龙街道, 宁海县, 宁波市, 浙江省</v>
      </c>
      <c r="G1352">
        <v>173764</v>
      </c>
      <c r="H1352" t="s">
        <v>2967</v>
      </c>
      <c r="I1352" t="s">
        <v>2961</v>
      </c>
      <c r="J1352">
        <f>VLOOKUP(F1352,[1]!china_towns_second__2[[Column1]:[Y]],3,FALSE)</f>
        <v>29.2818130519844</v>
      </c>
      <c r="K1352">
        <f>VLOOKUP(F1352,[1]!china_towns_second__2[[Column1]:[Y]],2,FALSE)</f>
        <v>121.4325764</v>
      </c>
      <c r="L1352" t="s">
        <v>4983</v>
      </c>
      <c r="M1352" t="str">
        <f>VLOOKUP(H1352,CHOOSE({1,2},Table12[Native],Table12[Name]),2,0)</f>
        <v>Nínghăi Xiàn</v>
      </c>
      <c r="N1352" s="15" t="str">
        <f>VLOOKUP(I1352,CHOOSE({1,2},Table12[Native],Table12[Name]),2,0)</f>
        <v>Níngbō Shì</v>
      </c>
      <c r="O1352" s="15" t="str">
        <f t="shared" si="42"/>
        <v>Yuelong Jiedao (Níngbō Shì)</v>
      </c>
      <c r="P1352" s="15" t="str">
        <f t="shared" si="43"/>
        <v>Yuelong Jiedao (Níngbō Shì)</v>
      </c>
    </row>
    <row r="1353" spans="1:16" hidden="1" x14ac:dyDescent="0.25">
      <c r="A1353" t="s">
        <v>1618</v>
      </c>
      <c r="B1353" t="str">
        <f>IF(COUNTIF(A:A,A1353)&gt;1,_xlfn.CONCAT(A1353," (",N1353,")"),A1353)</f>
        <v>Yuèxī Xiāng</v>
      </c>
      <c r="C1353" t="str">
        <f>IF(COUNTIF(B:B,B1353)&gt;1,_xlfn.CONCAT(A1353," (",M1353,")"),B1353)</f>
        <v>Yuèxī Xiāng</v>
      </c>
      <c r="D1353" t="s">
        <v>1619</v>
      </c>
      <c r="E1353" t="s">
        <v>7</v>
      </c>
      <c r="F1353" t="str">
        <f>_xlfn.CONCAT(D1353,", ",H1353,", ",I1353,", ","浙江省")</f>
        <v>越溪乡, 宁海县, 宁波市, 浙江省</v>
      </c>
      <c r="G1353">
        <v>14603</v>
      </c>
      <c r="H1353" t="s">
        <v>2967</v>
      </c>
      <c r="I1353" t="s">
        <v>2961</v>
      </c>
      <c r="J1353" t="e">
        <f>VLOOKUP(F1353,[1]!china_towns_second__2[[Column1]:[Y]],3,FALSE)</f>
        <v>#N/A</v>
      </c>
      <c r="K1353" t="e">
        <f>VLOOKUP(F1353,[1]!china_towns_second__2[[Column1]:[Y]],2,FALSE)</f>
        <v>#N/A</v>
      </c>
      <c r="L1353" t="s">
        <v>4984</v>
      </c>
      <c r="M1353" t="str">
        <f>VLOOKUP(H1353,CHOOSE({1,2},Table12[Native],Table12[Name]),2,0)</f>
        <v>Nínghăi Xiàn</v>
      </c>
      <c r="N1353" s="15" t="str">
        <f>VLOOKUP(I1353,CHOOSE({1,2},Table12[Native],Table12[Name]),2,0)</f>
        <v>Níngbō Shì</v>
      </c>
      <c r="O1353" s="15" t="str">
        <f t="shared" si="42"/>
        <v>Yuexi Xiang (Níngbō Shì)</v>
      </c>
      <c r="P1353" s="15" t="str">
        <f t="shared" si="43"/>
        <v>Yuexi Xiang (Níngbō Shì)</v>
      </c>
    </row>
    <row r="1354" spans="1:16" hidden="1" x14ac:dyDescent="0.25">
      <c r="A1354" t="s">
        <v>2793</v>
      </c>
      <c r="B1354" t="str">
        <f>IF(COUNTIF(A:A,A1354)&gt;1,_xlfn.CONCAT(A1354," (",N1354,")"),A1354)</f>
        <v>Yùhăi Jiēdào</v>
      </c>
      <c r="C1354" t="str">
        <f>IF(COUNTIF(B:B,B1354)&gt;1,_xlfn.CONCAT(A1354," (",M1354,")"),B1354)</f>
        <v>Yùhăi Jiēdào</v>
      </c>
      <c r="D1354" t="s">
        <v>2794</v>
      </c>
      <c r="E1354" t="s">
        <v>15</v>
      </c>
      <c r="F1354" t="str">
        <f>_xlfn.CONCAT(D1354,", ",H1354,", ",I1354,", ","浙江省")</f>
        <v>玉海街道, 瑞安市, 温州市, 浙江省</v>
      </c>
      <c r="G1354">
        <v>79917</v>
      </c>
      <c r="H1354" t="s">
        <v>3007</v>
      </c>
      <c r="I1354" t="s">
        <v>3000</v>
      </c>
      <c r="J1354">
        <f>VLOOKUP(F1354,[1]!china_towns_second__2[[Column1]:[Y]],3,FALSE)</f>
        <v>27.781194420150101</v>
      </c>
      <c r="K1354">
        <f>VLOOKUP(F1354,[1]!china_towns_second__2[[Column1]:[Y]],2,FALSE)</f>
        <v>120.627267</v>
      </c>
      <c r="L1354" t="s">
        <v>4985</v>
      </c>
      <c r="M1354" t="str">
        <f>VLOOKUP(H1354,CHOOSE({1,2},Table12[Native],Table12[Name]),2,0)</f>
        <v>Ruì'ān Shì</v>
      </c>
      <c r="N1354" s="15" t="str">
        <f>VLOOKUP(I1354,CHOOSE({1,2},Table12[Native],Table12[Name]),2,0)</f>
        <v>Wēnzhōu Shì</v>
      </c>
      <c r="O1354" s="15" t="str">
        <f t="shared" si="42"/>
        <v>Yuhai Jiedao (Wēnzhōu Shì)</v>
      </c>
      <c r="P1354" s="15" t="str">
        <f t="shared" si="43"/>
        <v>Yuhai Jiedao (Wēnzhōu Shì)</v>
      </c>
    </row>
    <row r="1355" spans="1:16" hidden="1" x14ac:dyDescent="0.25">
      <c r="A1355" t="s">
        <v>396</v>
      </c>
      <c r="B1355" t="str">
        <f>IF(COUNTIF(A:A,A1355)&gt;1,_xlfn.CONCAT(A1355," (",N1355,")"),A1355)</f>
        <v>Yúháng Jiēdào</v>
      </c>
      <c r="C1355" t="str">
        <f>IF(COUNTIF(B:B,B1355)&gt;1,_xlfn.CONCAT(A1355," (",M1355,")"),B1355)</f>
        <v>Yúháng Jiēdào</v>
      </c>
      <c r="D1355" t="s">
        <v>397</v>
      </c>
      <c r="E1355" t="s">
        <v>15</v>
      </c>
      <c r="F1355" t="str">
        <f>_xlfn.CONCAT(D1355,", ",H1355,", ",I1355,", ","浙江省")</f>
        <v>余杭街道, 余杭区, 杭州市, 浙江省</v>
      </c>
      <c r="G1355">
        <v>80371</v>
      </c>
      <c r="H1355" t="s">
        <v>2919</v>
      </c>
      <c r="I1355" t="s">
        <v>2903</v>
      </c>
      <c r="J1355">
        <f>VLOOKUP(F1355,[1]!china_towns_second__2[[Column1]:[Y]],3,FALSE)</f>
        <v>30.290598411425801</v>
      </c>
      <c r="K1355">
        <f>VLOOKUP(F1355,[1]!china_towns_second__2[[Column1]:[Y]],2,FALSE)</f>
        <v>119.9074528</v>
      </c>
      <c r="L1355" t="s">
        <v>4986</v>
      </c>
      <c r="M1355" t="str">
        <f>VLOOKUP(H1355,CHOOSE({1,2},Table12[Native],Table12[Name]),2,0)</f>
        <v>Yúháng Qū</v>
      </c>
      <c r="N1355" s="15" t="str">
        <f>VLOOKUP(I1355,CHOOSE({1,2},Table12[Native],Table12[Name]),2,0)</f>
        <v>Hángzhōu Shì</v>
      </c>
      <c r="O1355" s="15" t="str">
        <f t="shared" si="42"/>
        <v>Yuhang Jiedao (Hángzhōu Shì)</v>
      </c>
      <c r="P1355" s="15" t="str">
        <f t="shared" si="43"/>
        <v>Yuhang Jiedao (Hángzhōu Shì)</v>
      </c>
    </row>
    <row r="1356" spans="1:16" hidden="1" x14ac:dyDescent="0.25">
      <c r="A1356" t="s">
        <v>398</v>
      </c>
      <c r="B1356" t="str">
        <f>IF(COUNTIF(A:A,A1356)&gt;1,_xlfn.CONCAT(A1356," (",N1356,")"),A1356)</f>
        <v>Yúháng Jīngjì Kāifāqū Jiēdào</v>
      </c>
      <c r="C1356" t="str">
        <f>IF(COUNTIF(B:B,B1356)&gt;1,_xlfn.CONCAT(A1356," (",M1356,")"),B1356)</f>
        <v>Yúháng Jīngjì Kāifāqū Jiēdào</v>
      </c>
      <c r="D1356" t="s">
        <v>399</v>
      </c>
      <c r="E1356" t="s">
        <v>253</v>
      </c>
      <c r="F1356" t="str">
        <f>_xlfn.CONCAT(D1356,", ",H1356,", ",I1356,", ","浙江省")</f>
        <v>余杭经济开发区, 临平区, 杭州市, 浙江省</v>
      </c>
      <c r="G1356">
        <v>84804</v>
      </c>
      <c r="H1356" t="s">
        <v>2912</v>
      </c>
      <c r="I1356" t="s">
        <v>2903</v>
      </c>
      <c r="J1356" t="e">
        <f>VLOOKUP(F1356,[1]!china_towns_second__2[[Column1]:[Y]],3,FALSE)</f>
        <v>#N/A</v>
      </c>
      <c r="K1356" t="e">
        <f>VLOOKUP(F1356,[1]!china_towns_second__2[[Column1]:[Y]],2,FALSE)</f>
        <v>#N/A</v>
      </c>
      <c r="L1356" t="s">
        <v>4987</v>
      </c>
      <c r="M1356" t="str">
        <f>VLOOKUP(H1356,CHOOSE({1,2},Table12[Native],Table12[Name]),2,0)</f>
        <v>Línpíng Qū</v>
      </c>
      <c r="N1356" s="15" t="str">
        <f>VLOOKUP(I1356,CHOOSE({1,2},Table12[Native],Table12[Name]),2,0)</f>
        <v>Hángzhōu Shì</v>
      </c>
      <c r="O1356" s="15" t="str">
        <f t="shared" si="42"/>
        <v>Yuhang Jingji Kaifaqu Jiedao (Hángzhōu Shì)</v>
      </c>
      <c r="P1356" s="15" t="str">
        <f t="shared" si="43"/>
        <v>Yuhang Jingji Kaifaqu Jiedao (Hángzhōu Shì)</v>
      </c>
    </row>
    <row r="1357" spans="1:16" hidden="1" x14ac:dyDescent="0.25">
      <c r="A1357" t="s">
        <v>2795</v>
      </c>
      <c r="B1357" t="str">
        <f>IF(COUNTIF(A:A,A1357)&gt;1,_xlfn.CONCAT(A1357," (",N1357,")"),A1357)</f>
        <v>Yùhú Zhèn</v>
      </c>
      <c r="C1357" t="str">
        <f>IF(COUNTIF(B:B,B1357)&gt;1,_xlfn.CONCAT(A1357," (",M1357,")"),B1357)</f>
        <v>Yùhú Zhèn</v>
      </c>
      <c r="D1357" t="s">
        <v>2796</v>
      </c>
      <c r="E1357" t="s">
        <v>11</v>
      </c>
      <c r="F1357" t="str">
        <f>_xlfn.CONCAT(D1357,", ",H1357,", ",I1357,", ","浙江省")</f>
        <v>玉壶镇, 文成县, 温州市, 浙江省</v>
      </c>
      <c r="G1357">
        <v>12807</v>
      </c>
      <c r="H1357" t="s">
        <v>3009</v>
      </c>
      <c r="I1357" t="s">
        <v>3000</v>
      </c>
      <c r="J1357">
        <f>VLOOKUP(F1357,[1]!china_towns_second__2[[Column1]:[Y]],3,FALSE)</f>
        <v>27.9145286490795</v>
      </c>
      <c r="K1357">
        <f>VLOOKUP(F1357,[1]!china_towns_second__2[[Column1]:[Y]],2,FALSE)</f>
        <v>120.1441913</v>
      </c>
      <c r="L1357" t="s">
        <v>4988</v>
      </c>
      <c r="M1357" t="str">
        <f>VLOOKUP(H1357,CHOOSE({1,2},Table12[Native],Table12[Name]),2,0)</f>
        <v>Wénchéng Xiàn</v>
      </c>
      <c r="N1357" s="15" t="str">
        <f>VLOOKUP(I1357,CHOOSE({1,2},Table12[Native],Table12[Name]),2,0)</f>
        <v>Wēnzhōu Shì</v>
      </c>
      <c r="O1357" s="15" t="str">
        <f t="shared" si="42"/>
        <v>Yuhu Zhen (Wēnzhōu Shì)</v>
      </c>
      <c r="P1357" s="15" t="str">
        <f t="shared" si="43"/>
        <v>Yuhu Zhen (Wēnzhōu Shì)</v>
      </c>
    </row>
    <row r="1358" spans="1:16" hidden="1" x14ac:dyDescent="0.25">
      <c r="A1358" t="s">
        <v>2797</v>
      </c>
      <c r="B1358" t="str">
        <f>IF(COUNTIF(A:A,A1358)&gt;1,_xlfn.CONCAT(A1358," (",N1358,")"),A1358)</f>
        <v>Yúliáo Xiāng</v>
      </c>
      <c r="C1358" t="str">
        <f>IF(COUNTIF(B:B,B1358)&gt;1,_xlfn.CONCAT(A1358," (",M1358,")"),B1358)</f>
        <v>Yúliáo Xiāng</v>
      </c>
      <c r="D1358" t="s">
        <v>2798</v>
      </c>
      <c r="E1358" t="s">
        <v>7</v>
      </c>
      <c r="F1358" t="str">
        <f>_xlfn.CONCAT(D1358,", ",H1358,", ",I1358,", ","浙江省")</f>
        <v>渔寮乡, 苍南县, 温州市, 浙江省</v>
      </c>
      <c r="G1358">
        <v>4183</v>
      </c>
      <c r="H1358" t="s">
        <v>3001</v>
      </c>
      <c r="I1358" t="s">
        <v>3000</v>
      </c>
      <c r="J1358" t="e">
        <f>VLOOKUP(F1358,[1]!china_towns_second__2[[Column1]:[Y]],3,FALSE)</f>
        <v>#N/A</v>
      </c>
      <c r="K1358" t="e">
        <f>VLOOKUP(F1358,[1]!china_towns_second__2[[Column1]:[Y]],2,FALSE)</f>
        <v>#N/A</v>
      </c>
      <c r="L1358" t="s">
        <v>4989</v>
      </c>
      <c r="M1358" t="str">
        <f>VLOOKUP(H1358,CHOOSE({1,2},Table12[Native],Table12[Name]),2,0)</f>
        <v>Cāngnán Xiàn</v>
      </c>
      <c r="N1358" s="15" t="str">
        <f>VLOOKUP(I1358,CHOOSE({1,2},Table12[Native],Table12[Name]),2,0)</f>
        <v>Wēnzhōu Shì</v>
      </c>
      <c r="O1358" s="15" t="str">
        <f t="shared" si="42"/>
        <v>Yuliao Xiang (Wēnzhōu Shì)</v>
      </c>
      <c r="P1358" s="15" t="str">
        <f t="shared" si="43"/>
        <v>Yuliao Xiang (Wēnzhōu Shì)</v>
      </c>
    </row>
    <row r="1359" spans="1:16" hidden="1" x14ac:dyDescent="0.25">
      <c r="A1359" t="s">
        <v>2031</v>
      </c>
      <c r="B1359" t="str">
        <f>IF(COUNTIF(A:A,A1359)&gt;1,_xlfn.CONCAT(A1359," (",N1359,")"),A1359)</f>
        <v>Yŭlín Jiēdào</v>
      </c>
      <c r="C1359" t="str">
        <f>IF(COUNTIF(B:B,B1359)&gt;1,_xlfn.CONCAT(A1359," (",M1359,")"),B1359)</f>
        <v>Yŭlín Jiēdào</v>
      </c>
      <c r="D1359" t="s">
        <v>2032</v>
      </c>
      <c r="E1359" t="s">
        <v>15</v>
      </c>
      <c r="F1359" t="str">
        <f>_xlfn.CONCAT(D1359,", ",H1359,", ",I1359,", ","浙江省")</f>
        <v>羽林街道, 新昌县, 绍兴市, 浙江省</v>
      </c>
      <c r="G1359">
        <v>41698</v>
      </c>
      <c r="H1359" t="s">
        <v>2985</v>
      </c>
      <c r="I1359" t="s">
        <v>2981</v>
      </c>
      <c r="J1359">
        <f>VLOOKUP(F1359,[1]!china_towns_second__2[[Column1]:[Y]],3,FALSE)</f>
        <v>29.5060777753312</v>
      </c>
      <c r="K1359">
        <f>VLOOKUP(F1359,[1]!china_towns_second__2[[Column1]:[Y]],2,FALSE)</f>
        <v>120.9621327</v>
      </c>
      <c r="L1359" t="s">
        <v>4990</v>
      </c>
      <c r="M1359" t="str">
        <f>VLOOKUP(H1359,CHOOSE({1,2},Table12[Native],Table12[Name]),2,0)</f>
        <v>Xīnchāng Xiàn</v>
      </c>
      <c r="N1359" s="15" t="str">
        <f>VLOOKUP(I1359,CHOOSE({1,2},Table12[Native],Table12[Name]),2,0)</f>
        <v>Shàoxīng Shì</v>
      </c>
      <c r="O1359" s="15" t="str">
        <f t="shared" si="42"/>
        <v>Yulin Jiedao (Shàoxīng Shì)</v>
      </c>
      <c r="P1359" s="15" t="str">
        <f t="shared" si="43"/>
        <v>Yulin Jiedao (Shàoxīng Shì)</v>
      </c>
    </row>
    <row r="1360" spans="1:16" hidden="1" x14ac:dyDescent="0.25">
      <c r="A1360" t="s">
        <v>1291</v>
      </c>
      <c r="B1360" t="str">
        <f>IF(COUNTIF(A:A,A1360)&gt;1,_xlfn.CONCAT(A1360," (",N1360,")"),A1360)</f>
        <v>Yúnfēng Jiēdào</v>
      </c>
      <c r="C1360" t="str">
        <f>IF(COUNTIF(B:B,B1360)&gt;1,_xlfn.CONCAT(A1360," (",M1360,")"),B1360)</f>
        <v>Yúnfēng Jiēdào</v>
      </c>
      <c r="D1360" t="s">
        <v>1292</v>
      </c>
      <c r="E1360" t="s">
        <v>15</v>
      </c>
      <c r="F1360" t="str">
        <f>_xlfn.CONCAT(D1360,", ",H1360,", ",I1360,", ","浙江省")</f>
        <v>云峰街道, 遂昌县, 丽水市, 浙江省</v>
      </c>
      <c r="G1360">
        <v>16450</v>
      </c>
      <c r="H1360" t="s">
        <v>2958</v>
      </c>
      <c r="I1360" t="s">
        <v>2949</v>
      </c>
      <c r="J1360">
        <f>VLOOKUP(F1360,[1]!china_towns_second__2[[Column1]:[Y]],3,FALSE)</f>
        <v>28.6972859893012</v>
      </c>
      <c r="K1360">
        <f>VLOOKUP(F1360,[1]!china_towns_second__2[[Column1]:[Y]],2,FALSE)</f>
        <v>119.3901836</v>
      </c>
      <c r="L1360" t="s">
        <v>4991</v>
      </c>
      <c r="M1360" t="str">
        <f>VLOOKUP(H1360,CHOOSE({1,2},Table12[Native],Table12[Name]),2,0)</f>
        <v>Suìchāng Xiàn</v>
      </c>
      <c r="N1360" s="15" t="str">
        <f>VLOOKUP(I1360,CHOOSE({1,2},Table12[Native],Table12[Name]),2,0)</f>
        <v>Lìshuĭ Shì</v>
      </c>
      <c r="O1360" s="15" t="str">
        <f t="shared" si="42"/>
        <v>Yunfeng Jiedao (Lìshuĭ Shì)</v>
      </c>
      <c r="P1360" s="15" t="str">
        <f t="shared" si="43"/>
        <v>Yunfeng Jiedao (Lìshuĭ Shì)</v>
      </c>
    </row>
    <row r="1361" spans="1:16" hidden="1" x14ac:dyDescent="0.25">
      <c r="A1361" t="s">
        <v>1293</v>
      </c>
      <c r="B1361" t="str">
        <f>IF(COUNTIF(A:A,A1361)&gt;1,_xlfn.CONCAT(A1361," (",N1361,")"),A1361)</f>
        <v>Yúnfēng Xiāng</v>
      </c>
      <c r="C1361" t="str">
        <f>IF(COUNTIF(B:B,B1361)&gt;1,_xlfn.CONCAT(A1361," (",M1361,")"),B1361)</f>
        <v>Yúnfēng Xiāng</v>
      </c>
      <c r="D1361" t="s">
        <v>1294</v>
      </c>
      <c r="E1361" t="s">
        <v>7</v>
      </c>
      <c r="F1361" t="str">
        <f>_xlfn.CONCAT(D1361,", ",H1361,", ",I1361,", ","浙江省")</f>
        <v>云丰乡, 云和县, 丽水市, 浙江省</v>
      </c>
      <c r="G1361">
        <v>1381</v>
      </c>
      <c r="H1361" t="s">
        <v>2959</v>
      </c>
      <c r="I1361" t="s">
        <v>2949</v>
      </c>
      <c r="J1361" t="e">
        <f>VLOOKUP(F1361,[1]!china_towns_second__2[[Column1]:[Y]],3,FALSE)</f>
        <v>#N/A</v>
      </c>
      <c r="K1361" t="e">
        <f>VLOOKUP(F1361,[1]!china_towns_second__2[[Column1]:[Y]],2,FALSE)</f>
        <v>#N/A</v>
      </c>
      <c r="L1361" t="s">
        <v>4992</v>
      </c>
      <c r="M1361" t="str">
        <f>VLOOKUP(H1361,CHOOSE({1,2},Table12[Native],Table12[Name]),2,0)</f>
        <v>Yúnhé Xiàn</v>
      </c>
      <c r="N1361" s="15" t="str">
        <f>VLOOKUP(I1361,CHOOSE({1,2},Table12[Native],Table12[Name]),2,0)</f>
        <v>Lìshuĭ Shì</v>
      </c>
      <c r="O1361" s="15" t="str">
        <f t="shared" si="42"/>
        <v>Yunfeng Xiang (Lìshuĭ Shì)</v>
      </c>
      <c r="P1361" s="15" t="str">
        <f t="shared" si="43"/>
        <v>Yunfeng Xiang (Lìshuĭ Shì)</v>
      </c>
    </row>
    <row r="1362" spans="1:16" hidden="1" x14ac:dyDescent="0.25">
      <c r="A1362" t="s">
        <v>400</v>
      </c>
      <c r="B1362" t="str">
        <f>IF(COUNTIF(A:A,A1362)&gt;1,_xlfn.CONCAT(A1362," (",N1362,")"),A1362)</f>
        <v>Yùnhé Jiēdào</v>
      </c>
      <c r="C1362" t="str">
        <f>IF(COUNTIF(B:B,B1362)&gt;1,_xlfn.CONCAT(A1362," (",M1362,")"),B1362)</f>
        <v>Yùnhé Jiēdào</v>
      </c>
      <c r="D1362" t="s">
        <v>401</v>
      </c>
      <c r="E1362" t="s">
        <v>15</v>
      </c>
      <c r="F1362" t="str">
        <f>_xlfn.CONCAT(D1362,", ",H1362,", ",I1362,", ","浙江省")</f>
        <v>运河街道, 临平区, 杭州市, 浙江省</v>
      </c>
      <c r="G1362">
        <v>47336</v>
      </c>
      <c r="H1362" t="s">
        <v>2912</v>
      </c>
      <c r="I1362" t="s">
        <v>2903</v>
      </c>
      <c r="J1362" t="e">
        <f>VLOOKUP(F1362,[1]!china_towns_second__2[[Column1]:[Y]],3,FALSE)</f>
        <v>#N/A</v>
      </c>
      <c r="K1362" t="e">
        <f>VLOOKUP(F1362,[1]!china_towns_second__2[[Column1]:[Y]],2,FALSE)</f>
        <v>#N/A</v>
      </c>
      <c r="L1362" t="s">
        <v>4993</v>
      </c>
      <c r="M1362" t="str">
        <f>VLOOKUP(H1362,CHOOSE({1,2},Table12[Native],Table12[Name]),2,0)</f>
        <v>Línpíng Qū</v>
      </c>
      <c r="N1362" s="15" t="str">
        <f>VLOOKUP(I1362,CHOOSE({1,2},Table12[Native],Table12[Name]),2,0)</f>
        <v>Hángzhōu Shì</v>
      </c>
      <c r="O1362" s="15" t="str">
        <f t="shared" si="42"/>
        <v>Yunhe Jiedao (Hángzhōu Shì)</v>
      </c>
      <c r="P1362" s="15" t="str">
        <f t="shared" si="43"/>
        <v>Yunhe Jiedao (Hángzhōu Shì)</v>
      </c>
    </row>
    <row r="1363" spans="1:16" hidden="1" x14ac:dyDescent="0.25">
      <c r="A1363" t="s">
        <v>1295</v>
      </c>
      <c r="B1363" t="str">
        <f>IF(COUNTIF(A:A,A1363)&gt;1,_xlfn.CONCAT(A1363," (",N1363,")"),A1363)</f>
        <v>Yúnhé Jiēdào [incl. Fúyún Jiēdào, Báilóngshān Jiēdào, Fènghuángshān Jiēdào]</v>
      </c>
      <c r="C1363" t="str">
        <f>IF(COUNTIF(B:B,B1363)&gt;1,_xlfn.CONCAT(A1363," (",M1363,")"),B1363)</f>
        <v>Yúnhé Jiēdào [incl. Fúyún Jiēdào, Báilóngshān Jiēdào, Fènghuángshān Jiēdào]</v>
      </c>
      <c r="D1363" t="s">
        <v>1296</v>
      </c>
      <c r="E1363" t="s">
        <v>15</v>
      </c>
      <c r="F1363" t="str">
        <f>_xlfn.CONCAT(D1363,", ",H1363,", ",I1363,", ","浙江省")</f>
        <v>元和街道, 云和县, 丽水市, 浙江省</v>
      </c>
      <c r="G1363">
        <v>79481</v>
      </c>
      <c r="H1363" t="s">
        <v>2959</v>
      </c>
      <c r="I1363" t="s">
        <v>2949</v>
      </c>
      <c r="J1363">
        <f>VLOOKUP(F1363,[1]!china_towns_second__2[[Column1]:[Y]],3,FALSE)</f>
        <v>28.1268414118416</v>
      </c>
      <c r="K1363">
        <f>VLOOKUP(F1363,[1]!china_towns_second__2[[Column1]:[Y]],2,FALSE)</f>
        <v>119.6510248</v>
      </c>
      <c r="L1363" t="s">
        <v>4994</v>
      </c>
      <c r="M1363" t="str">
        <f>VLOOKUP(H1363,CHOOSE({1,2},Table12[Native],Table12[Name]),2,0)</f>
        <v>Yúnhé Xiàn</v>
      </c>
      <c r="N1363" s="15" t="str">
        <f>VLOOKUP(I1363,CHOOSE({1,2},Table12[Native],Table12[Name]),2,0)</f>
        <v>Lìshuĭ Shì</v>
      </c>
      <c r="O1363" s="15" t="str">
        <f t="shared" si="42"/>
        <v>Yunhe Jiedao [incl. Fuyun Jiedao, Bailongshan Jiedao, Fenghuangshan Jiedao] (Lìshuĭ Shì)</v>
      </c>
      <c r="P1363" s="15" t="str">
        <f t="shared" si="43"/>
        <v>Yunhe Jiedao [incl. Fuyun Jiedao, Bailongshan Jiedao, Fenghuangshan Jiedao] (Lìshuĭ Shì)</v>
      </c>
    </row>
    <row r="1364" spans="1:16" hidden="1" x14ac:dyDescent="0.25">
      <c r="A1364" t="s">
        <v>2799</v>
      </c>
      <c r="B1364" t="str">
        <f>IF(COUNTIF(A:A,A1364)&gt;1,_xlfn.CONCAT(A1364," (",N1364,")"),A1364)</f>
        <v>Yúnhú Xiāng</v>
      </c>
      <c r="C1364" t="str">
        <f>IF(COUNTIF(B:B,B1364)&gt;1,_xlfn.CONCAT(A1364," (",M1364,")"),B1364)</f>
        <v>Yúnhú Xiāng</v>
      </c>
      <c r="D1364" t="s">
        <v>2800</v>
      </c>
      <c r="E1364" t="s">
        <v>7</v>
      </c>
      <c r="F1364" t="str">
        <f>_xlfn.CONCAT(D1364,", ",H1364,", ",I1364,", ","浙江省")</f>
        <v>云湖乡, 文成县, 温州市, 浙江省</v>
      </c>
      <c r="G1364">
        <v>1004</v>
      </c>
      <c r="H1364" t="s">
        <v>3009</v>
      </c>
      <c r="I1364" t="s">
        <v>3000</v>
      </c>
      <c r="J1364" t="e">
        <f>VLOOKUP(F1364,[1]!china_towns_second__2[[Column1]:[Y]],3,FALSE)</f>
        <v>#N/A</v>
      </c>
      <c r="K1364" t="e">
        <f>VLOOKUP(F1364,[1]!china_towns_second__2[[Column1]:[Y]],2,FALSE)</f>
        <v>#N/A</v>
      </c>
      <c r="L1364" t="s">
        <v>4995</v>
      </c>
      <c r="M1364" t="str">
        <f>VLOOKUP(H1364,CHOOSE({1,2},Table12[Native],Table12[Name]),2,0)</f>
        <v>Wénchéng Xiàn</v>
      </c>
      <c r="N1364" s="15" t="str">
        <f>VLOOKUP(I1364,CHOOSE({1,2},Table12[Native],Table12[Name]),2,0)</f>
        <v>Wēnzhōu Shì</v>
      </c>
      <c r="O1364" s="15" t="str">
        <f t="shared" si="42"/>
        <v>Yunhu Xiang (Wēnzhōu Shì)</v>
      </c>
      <c r="P1364" s="15" t="str">
        <f t="shared" si="43"/>
        <v>Yunhu Xiang (Wēnzhōu Shì)</v>
      </c>
    </row>
    <row r="1365" spans="1:16" hidden="1" x14ac:dyDescent="0.25">
      <c r="A1365" t="s">
        <v>1620</v>
      </c>
      <c r="B1365" t="str">
        <f>IF(COUNTIF(A:A,A1365)&gt;1,_xlfn.CONCAT(A1365," (",N1365,")"),A1365)</f>
        <v>Yúnlóng Zhèn</v>
      </c>
      <c r="C1365" t="str">
        <f>IF(COUNTIF(B:B,B1365)&gt;1,_xlfn.CONCAT(A1365," (",M1365,")"),B1365)</f>
        <v>Yúnlóng Zhèn</v>
      </c>
      <c r="D1365" t="s">
        <v>1621</v>
      </c>
      <c r="E1365" t="s">
        <v>11</v>
      </c>
      <c r="F1365" t="str">
        <f>_xlfn.CONCAT(D1365,", ",H1365,", ",I1365,", ","浙江省")</f>
        <v>云龙镇, 鄞州区, 宁波市, 浙江省</v>
      </c>
      <c r="G1365">
        <v>42494</v>
      </c>
      <c r="H1365" t="s">
        <v>2969</v>
      </c>
      <c r="I1365" t="s">
        <v>2961</v>
      </c>
      <c r="J1365">
        <f>VLOOKUP(F1365,[1]!china_towns_second__2[[Column1]:[Y]],3,FALSE)</f>
        <v>29.757888207247699</v>
      </c>
      <c r="K1365">
        <f>VLOOKUP(F1365,[1]!china_towns_second__2[[Column1]:[Y]],2,FALSE)</f>
        <v>121.5856083</v>
      </c>
      <c r="L1365" t="s">
        <v>4996</v>
      </c>
      <c r="M1365" t="str">
        <f>VLOOKUP(H1365,CHOOSE({1,2},Table12[Native],Table12[Name]),2,0)</f>
        <v>Yínzhōu Qū</v>
      </c>
      <c r="N1365" s="15" t="str">
        <f>VLOOKUP(I1365,CHOOSE({1,2},Table12[Native],Table12[Name]),2,0)</f>
        <v>Níngbō Shì</v>
      </c>
      <c r="O1365" s="15" t="str">
        <f t="shared" si="42"/>
        <v>Yunlong Zhen (Níngbō Shì)</v>
      </c>
      <c r="P1365" s="15" t="str">
        <f t="shared" si="43"/>
        <v>Yunlong Zhen (Níngbō Shì)</v>
      </c>
    </row>
    <row r="1366" spans="1:16" hidden="1" x14ac:dyDescent="0.25">
      <c r="A1366" t="s">
        <v>971</v>
      </c>
      <c r="B1366" t="str">
        <f>IF(COUNTIF(A:A,A1366)&gt;1,_xlfn.CONCAT(A1366," (",N1366,")"),A1366)</f>
        <v>Yúnshān Jiēdào</v>
      </c>
      <c r="C1366" t="str">
        <f>IF(COUNTIF(B:B,B1366)&gt;1,_xlfn.CONCAT(A1366," (",M1366,")"),B1366)</f>
        <v>Yúnshān Jiēdào</v>
      </c>
      <c r="D1366" t="s">
        <v>972</v>
      </c>
      <c r="E1366" t="s">
        <v>15</v>
      </c>
      <c r="F1366" t="str">
        <f>_xlfn.CONCAT(D1366,", ",H1366,", ",I1366,", ","浙江省")</f>
        <v>云山街道, 兰溪市, 金华市, 浙江省</v>
      </c>
      <c r="G1366">
        <v>77466</v>
      </c>
      <c r="H1366" t="s">
        <v>2941</v>
      </c>
      <c r="I1366" t="s">
        <v>2938</v>
      </c>
      <c r="J1366">
        <f>VLOOKUP(F1366,[1]!china_towns_second__2[[Column1]:[Y]],3,FALSE)</f>
        <v>29.244051168581301</v>
      </c>
      <c r="K1366">
        <f>VLOOKUP(F1366,[1]!china_towns_second__2[[Column1]:[Y]],2,FALSE)</f>
        <v>119.49170220000001</v>
      </c>
      <c r="L1366" t="s">
        <v>4997</v>
      </c>
      <c r="M1366" t="str">
        <f>VLOOKUP(H1366,CHOOSE({1,2},Table12[Native],Table12[Name]),2,0)</f>
        <v>Lánxī Shì</v>
      </c>
      <c r="N1366" s="15" t="str">
        <f>VLOOKUP(I1366,CHOOSE({1,2},Table12[Native],Table12[Name]),2,0)</f>
        <v>Jīnhuá Shì</v>
      </c>
      <c r="O1366" s="15" t="str">
        <f t="shared" si="42"/>
        <v>Yunshan Jiedao (Jīnhuá Shì)</v>
      </c>
      <c r="P1366" s="15" t="str">
        <f t="shared" si="43"/>
        <v>Yunshan Jiedao (Jīnhuá Shì)</v>
      </c>
    </row>
    <row r="1367" spans="1:16" hidden="1" x14ac:dyDescent="0.25">
      <c r="A1367" t="s">
        <v>1297</v>
      </c>
      <c r="B1367" t="str">
        <f>IF(COUNTIF(A:A,A1367)&gt;1,_xlfn.CONCAT(A1367," (",N1367,")"),A1367)</f>
        <v>Yúntán Xiāng</v>
      </c>
      <c r="C1367" t="str">
        <f>IF(COUNTIF(B:B,B1367)&gt;1,_xlfn.CONCAT(A1367," (",M1367,")"),B1367)</f>
        <v>Yúntán Xiāng</v>
      </c>
      <c r="D1367" t="s">
        <v>1298</v>
      </c>
      <c r="E1367" t="s">
        <v>7</v>
      </c>
      <c r="F1367" t="str">
        <f>_xlfn.CONCAT(D1367,", ",H1367,", ",I1367,", ","浙江省")</f>
        <v>云坛乡, 云和县, 丽水市, 浙江省</v>
      </c>
      <c r="G1367">
        <v>3063</v>
      </c>
      <c r="H1367" t="s">
        <v>2959</v>
      </c>
      <c r="I1367" t="s">
        <v>2949</v>
      </c>
      <c r="J1367" t="e">
        <f>VLOOKUP(F1367,[1]!china_towns_second__2[[Column1]:[Y]],3,FALSE)</f>
        <v>#N/A</v>
      </c>
      <c r="K1367" t="e">
        <f>VLOOKUP(F1367,[1]!china_towns_second__2[[Column1]:[Y]],2,FALSE)</f>
        <v>#N/A</v>
      </c>
      <c r="L1367" t="s">
        <v>4998</v>
      </c>
      <c r="M1367" t="str">
        <f>VLOOKUP(H1367,CHOOSE({1,2},Table12[Native],Table12[Name]),2,0)</f>
        <v>Yúnhé Xiàn</v>
      </c>
      <c r="N1367" s="15" t="str">
        <f>VLOOKUP(I1367,CHOOSE({1,2},Table12[Native],Table12[Name]),2,0)</f>
        <v>Lìshuĭ Shì</v>
      </c>
      <c r="O1367" s="15" t="str">
        <f t="shared" si="42"/>
        <v>Yuntan Xiang (Lìshuĭ Shì)</v>
      </c>
      <c r="P1367" s="15" t="str">
        <f t="shared" si="43"/>
        <v>Yuntan Xiang (Lìshuĭ Shì)</v>
      </c>
    </row>
    <row r="1368" spans="1:16" hidden="1" x14ac:dyDescent="0.25">
      <c r="A1368" t="s">
        <v>1816</v>
      </c>
      <c r="B1368" t="str">
        <f>IF(COUNTIF(A:A,A1368)&gt;1,_xlfn.CONCAT(A1368," (",N1368,")"),A1368)</f>
        <v>Yúnxī Xiāng</v>
      </c>
      <c r="C1368" t="str">
        <f>IF(COUNTIF(B:B,B1368)&gt;1,_xlfn.CONCAT(A1368," (",M1368,")"),B1368)</f>
        <v>Yúnxī Xiāng</v>
      </c>
      <c r="D1368" t="s">
        <v>1817</v>
      </c>
      <c r="E1368" t="s">
        <v>7</v>
      </c>
      <c r="F1368" t="str">
        <f>_xlfn.CONCAT(D1368,", ",H1368,", ",I1368,", ","浙江省")</f>
        <v>云溪乡, 衢江区, 衢州市, 浙江省</v>
      </c>
      <c r="G1368">
        <v>19509</v>
      </c>
      <c r="H1368" t="s">
        <v>2979</v>
      </c>
      <c r="I1368" t="s">
        <v>2973</v>
      </c>
      <c r="J1368" t="e">
        <f>VLOOKUP(F1368,[1]!china_towns_second__2[[Column1]:[Y]],3,FALSE)</f>
        <v>#N/A</v>
      </c>
      <c r="K1368" t="e">
        <f>VLOOKUP(F1368,[1]!china_towns_second__2[[Column1]:[Y]],2,FALSE)</f>
        <v>#N/A</v>
      </c>
      <c r="L1368" t="s">
        <v>4999</v>
      </c>
      <c r="M1368" t="str">
        <f>VLOOKUP(H1368,CHOOSE({1,2},Table12[Native],Table12[Name]),2,0)</f>
        <v>Qújiāng Qū</v>
      </c>
      <c r="N1368" s="15" t="str">
        <f>VLOOKUP(I1368,CHOOSE({1,2},Table12[Native],Table12[Name]),2,0)</f>
        <v>Qúzhōu Shì</v>
      </c>
      <c r="O1368" s="15" t="str">
        <f t="shared" si="42"/>
        <v>Yunxi Xiang (Qúzhōu Shì)</v>
      </c>
      <c r="P1368" s="15" t="str">
        <f t="shared" si="43"/>
        <v>Yunxi Xiang (Qúzhōu Shì)</v>
      </c>
    </row>
    <row r="1369" spans="1:16" hidden="1" x14ac:dyDescent="0.25">
      <c r="A1369" t="s">
        <v>402</v>
      </c>
      <c r="B1369" t="str">
        <f>IF(COUNTIF(A:A,A1369)&gt;1,_xlfn.CONCAT(A1369," (",N1369,")"),A1369)</f>
        <v>Yúshān Xiāng</v>
      </c>
      <c r="C1369" t="str">
        <f>IF(COUNTIF(B:B,B1369)&gt;1,_xlfn.CONCAT(A1369," (",M1369,")"),B1369)</f>
        <v>Yúshān Xiāng</v>
      </c>
      <c r="D1369" t="s">
        <v>403</v>
      </c>
      <c r="E1369" t="s">
        <v>7</v>
      </c>
      <c r="F1369" t="str">
        <f>_xlfn.CONCAT(D1369,", ",H1369,", ",I1369,", ","浙江省")</f>
        <v>渔山乡, 富阳区, 杭州市, 浙江省</v>
      </c>
      <c r="G1369">
        <v>9285</v>
      </c>
      <c r="H1369" t="s">
        <v>2908</v>
      </c>
      <c r="I1369" t="s">
        <v>2903</v>
      </c>
      <c r="J1369" t="e">
        <f>VLOOKUP(F1369,[1]!china_towns_second__2[[Column1]:[Y]],3,FALSE)</f>
        <v>#N/A</v>
      </c>
      <c r="K1369" t="e">
        <f>VLOOKUP(F1369,[1]!china_towns_second__2[[Column1]:[Y]],2,FALSE)</f>
        <v>#N/A</v>
      </c>
      <c r="L1369" t="s">
        <v>5000</v>
      </c>
      <c r="M1369" t="str">
        <f>VLOOKUP(H1369,CHOOSE({1,2},Table12[Native],Table12[Name]),2,0)</f>
        <v>Fùyáng Qū</v>
      </c>
      <c r="N1369" s="15" t="str">
        <f>VLOOKUP(I1369,CHOOSE({1,2},Table12[Native],Table12[Name]),2,0)</f>
        <v>Hángzhōu Shì</v>
      </c>
      <c r="O1369" s="15" t="str">
        <f t="shared" si="42"/>
        <v>Yushan Xiang (Hángzhōu Shì)</v>
      </c>
      <c r="P1369" s="15" t="str">
        <f t="shared" si="43"/>
        <v>Yushan Xiang (Hángzhōu Shì)</v>
      </c>
    </row>
    <row r="1370" spans="1:16" hidden="1" x14ac:dyDescent="0.25">
      <c r="A1370" t="s">
        <v>973</v>
      </c>
      <c r="B1370" t="str">
        <f>IF(COUNTIF(A:A,A1370)&gt;1,_xlfn.CONCAT(A1370," (",N1370,")"),A1370)</f>
        <v>Yùshān Zhèn</v>
      </c>
      <c r="C1370" t="str">
        <f>IF(COUNTIF(B:B,B1370)&gt;1,_xlfn.CONCAT(A1370," (",M1370,")"),B1370)</f>
        <v>Yùshān Zhèn</v>
      </c>
      <c r="D1370" t="s">
        <v>974</v>
      </c>
      <c r="E1370" t="s">
        <v>11</v>
      </c>
      <c r="F1370" t="str">
        <f>_xlfn.CONCAT(D1370,", ",H1370,", ",I1370,", ","浙江省")</f>
        <v>玉山镇, 磐安县, 金华市, 浙江省</v>
      </c>
      <c r="G1370">
        <v>12595</v>
      </c>
      <c r="H1370" t="s">
        <v>2942</v>
      </c>
      <c r="I1370" t="s">
        <v>2938</v>
      </c>
      <c r="J1370">
        <f>VLOOKUP(F1370,[1]!china_towns_second__2[[Column1]:[Y]],3,FALSE)</f>
        <v>29.230830485978601</v>
      </c>
      <c r="K1370">
        <f>VLOOKUP(F1370,[1]!china_towns_second__2[[Column1]:[Y]],2,FALSE)</f>
        <v>120.6554039</v>
      </c>
      <c r="L1370" t="s">
        <v>5001</v>
      </c>
      <c r="M1370" t="str">
        <f>VLOOKUP(H1370,CHOOSE({1,2},Table12[Native],Table12[Name]),2,0)</f>
        <v>Pán'ān Xiàn</v>
      </c>
      <c r="N1370" s="15" t="str">
        <f>VLOOKUP(I1370,CHOOSE({1,2},Table12[Native],Table12[Name]),2,0)</f>
        <v>Jīnhuá Shì</v>
      </c>
      <c r="O1370" s="15" t="str">
        <f t="shared" si="42"/>
        <v>Yushan Zhen (Jīnhuá Shì)</v>
      </c>
      <c r="P1370" s="15" t="str">
        <f t="shared" si="43"/>
        <v>Yushan Zhen (Jīnhuá Shì)</v>
      </c>
    </row>
    <row r="1371" spans="1:16" hidden="1" x14ac:dyDescent="0.25">
      <c r="A1371" t="s">
        <v>1299</v>
      </c>
      <c r="B1371" t="str">
        <f>IF(COUNTIF(A:A,A1371)&gt;1,_xlfn.CONCAT(A1371," (",N1371,")"),A1371)</f>
        <v>Yūshàng Xiāng</v>
      </c>
      <c r="C1371" t="str">
        <f>IF(COUNTIF(B:B,B1371)&gt;1,_xlfn.CONCAT(A1371," (",M1371,")"),B1371)</f>
        <v>Yūshàng Xiāng</v>
      </c>
      <c r="D1371" t="s">
        <v>1300</v>
      </c>
      <c r="E1371" t="s">
        <v>7</v>
      </c>
      <c r="F1371" t="str">
        <f>_xlfn.CONCAT(D1371,", ",H1371,", ",I1371,", ","浙江省")</f>
        <v>淤上乡, 庆元县, 丽水市, 浙江省</v>
      </c>
      <c r="G1371">
        <v>5150</v>
      </c>
      <c r="H1371" t="s">
        <v>2956</v>
      </c>
      <c r="I1371" t="s">
        <v>2949</v>
      </c>
      <c r="J1371" t="e">
        <f>VLOOKUP(F1371,[1]!china_towns_second__2[[Column1]:[Y]],3,FALSE)</f>
        <v>#N/A</v>
      </c>
      <c r="K1371" t="e">
        <f>VLOOKUP(F1371,[1]!china_towns_second__2[[Column1]:[Y]],2,FALSE)</f>
        <v>#N/A</v>
      </c>
      <c r="L1371" t="s">
        <v>5002</v>
      </c>
      <c r="M1371" t="str">
        <f>VLOOKUP(H1371,CHOOSE({1,2},Table12[Native],Table12[Name]),2,0)</f>
        <v>Qìngyuán Xiàn</v>
      </c>
      <c r="N1371" s="15" t="str">
        <f>VLOOKUP(I1371,CHOOSE({1,2},Table12[Native],Table12[Name]),2,0)</f>
        <v>Lìshuĭ Shì</v>
      </c>
      <c r="O1371" s="15" t="str">
        <f t="shared" si="42"/>
        <v>Yushang Xiang (Lìshuĭ Shì)</v>
      </c>
      <c r="P1371" s="15" t="str">
        <f t="shared" si="43"/>
        <v>Yushang Xiang (Lìshuĭ Shì)</v>
      </c>
    </row>
    <row r="1372" spans="1:16" hidden="1" x14ac:dyDescent="0.25">
      <c r="A1372" t="s">
        <v>2261</v>
      </c>
      <c r="B1372" t="str">
        <f>IF(COUNTIF(A:A,A1372)&gt;1,_xlfn.CONCAT(A1372," (",N1372,")"),A1372)</f>
        <v>Yŭtóu Xiāng</v>
      </c>
      <c r="C1372" t="str">
        <f>IF(COUNTIF(B:B,B1372)&gt;1,_xlfn.CONCAT(A1372," (",M1372,")"),B1372)</f>
        <v>Yŭtóu Xiāng</v>
      </c>
      <c r="D1372" t="s">
        <v>2262</v>
      </c>
      <c r="E1372" t="s">
        <v>7</v>
      </c>
      <c r="F1372" t="str">
        <f>_xlfn.CONCAT(D1372,", ",H1372,", ",I1372,", ","浙江省")</f>
        <v>屿头乡, 黄岩区, 台州市, 浙江省</v>
      </c>
      <c r="G1372">
        <v>6232</v>
      </c>
      <c r="H1372" t="s">
        <v>2990</v>
      </c>
      <c r="I1372" t="s">
        <v>2989</v>
      </c>
      <c r="J1372" t="e">
        <f>VLOOKUP(F1372,[1]!china_towns_second__2[[Column1]:[Y]],3,FALSE)</f>
        <v>#N/A</v>
      </c>
      <c r="K1372" t="e">
        <f>VLOOKUP(F1372,[1]!china_towns_second__2[[Column1]:[Y]],2,FALSE)</f>
        <v>#N/A</v>
      </c>
      <c r="L1372" t="s">
        <v>5003</v>
      </c>
      <c r="M1372" t="str">
        <f>VLOOKUP(H1372,CHOOSE({1,2},Table12[Native],Table12[Name]),2,0)</f>
        <v>Huángyán Qū</v>
      </c>
      <c r="N1372" s="15" t="str">
        <f>VLOOKUP(I1372,CHOOSE({1,2},Table12[Native],Table12[Name]),2,0)</f>
        <v>Táizhōu Shì</v>
      </c>
      <c r="O1372" s="15" t="str">
        <f t="shared" si="42"/>
        <v>Yutou Xiang (Táizhōu Shì)</v>
      </c>
      <c r="P1372" s="15" t="str">
        <f t="shared" si="43"/>
        <v>Yutou Xiang (Táizhōu Shì)</v>
      </c>
    </row>
    <row r="1373" spans="1:16" hidden="1" x14ac:dyDescent="0.25">
      <c r="A1373" t="s">
        <v>1301</v>
      </c>
      <c r="B1373" t="str">
        <f>IF(COUNTIF(A:A,A1373)&gt;1,_xlfn.CONCAT(A1373," (",N1373,")"),A1373)</f>
        <v>Yùxī Xiāng</v>
      </c>
      <c r="C1373" t="str">
        <f>IF(COUNTIF(B:B,B1373)&gt;1,_xlfn.CONCAT(A1373," (",M1373,")"),B1373)</f>
        <v>Yùxī Xiāng</v>
      </c>
      <c r="D1373" t="s">
        <v>1302</v>
      </c>
      <c r="E1373" t="s">
        <v>7</v>
      </c>
      <c r="F1373" t="str">
        <f>_xlfn.CONCAT(D1373,", ",H1373,", ",I1373,", ","浙江省")</f>
        <v>裕溪乡, 松阳县, 丽水市, 浙江省</v>
      </c>
      <c r="G1373">
        <v>3656</v>
      </c>
      <c r="H1373" t="s">
        <v>2957</v>
      </c>
      <c r="I1373" t="s">
        <v>2949</v>
      </c>
      <c r="J1373" t="e">
        <f>VLOOKUP(F1373,[1]!china_towns_second__2[[Column1]:[Y]],3,FALSE)</f>
        <v>#N/A</v>
      </c>
      <c r="K1373" t="e">
        <f>VLOOKUP(F1373,[1]!china_towns_second__2[[Column1]:[Y]],2,FALSE)</f>
        <v>#N/A</v>
      </c>
      <c r="L1373" t="s">
        <v>5004</v>
      </c>
      <c r="M1373" t="str">
        <f>VLOOKUP(H1373,CHOOSE({1,2},Table12[Native],Table12[Name]),2,0)</f>
        <v>Sōngyáng Xiàn</v>
      </c>
      <c r="N1373" s="15" t="str">
        <f>VLOOKUP(I1373,CHOOSE({1,2},Table12[Native],Table12[Name]),2,0)</f>
        <v>Lìshuĭ Shì</v>
      </c>
      <c r="O1373" s="15" t="str">
        <f t="shared" si="42"/>
        <v>Yuxi Xiang (Lìshuĭ Shì)</v>
      </c>
      <c r="P1373" s="15" t="str">
        <f t="shared" si="43"/>
        <v>Yuxi Xiang (Lìshuĭ Shì)</v>
      </c>
    </row>
    <row r="1374" spans="1:16" hidden="1" x14ac:dyDescent="0.25">
      <c r="A1374" t="s">
        <v>691</v>
      </c>
      <c r="B1374" t="str">
        <f>IF(COUNTIF(A:A,A1374)&gt;1,_xlfn.CONCAT(A1374," (",N1374,")"),A1374)</f>
        <v>Yúxīn Zhèn</v>
      </c>
      <c r="C1374" t="str">
        <f>IF(COUNTIF(B:B,B1374)&gt;1,_xlfn.CONCAT(A1374," (",M1374,")"),B1374)</f>
        <v>Yúxīn Zhèn</v>
      </c>
      <c r="D1374" t="s">
        <v>692</v>
      </c>
      <c r="E1374" t="s">
        <v>11</v>
      </c>
      <c r="F1374" t="str">
        <f>_xlfn.CONCAT(D1374,", ",H1374,", ",I1374,", ","浙江省")</f>
        <v>余新镇, 南湖区, 嘉兴市, 浙江省</v>
      </c>
      <c r="G1374">
        <v>52366</v>
      </c>
      <c r="H1374" t="s">
        <v>2933</v>
      </c>
      <c r="I1374" t="s">
        <v>2929</v>
      </c>
      <c r="J1374">
        <f>VLOOKUP(F1374,[1]!china_towns_second__2[[Column1]:[Y]],3,FALSE)</f>
        <v>30.672636499932</v>
      </c>
      <c r="K1374">
        <f>VLOOKUP(F1374,[1]!china_towns_second__2[[Column1]:[Y]],2,FALSE)</f>
        <v>120.8013109</v>
      </c>
      <c r="L1374" t="s">
        <v>5005</v>
      </c>
      <c r="M1374" t="str">
        <f>VLOOKUP(H1374,CHOOSE({1,2},Table12[Native],Table12[Name]),2,0)</f>
        <v>Nánhú Qū</v>
      </c>
      <c r="N1374" s="15" t="str">
        <f>VLOOKUP(I1374,CHOOSE({1,2},Table12[Native],Table12[Name]),2,0)</f>
        <v>Jiāxīng Shì</v>
      </c>
      <c r="O1374" s="15" t="str">
        <f t="shared" si="42"/>
        <v>Yuxin Zhen (Jiāxīng Shì)</v>
      </c>
      <c r="P1374" s="15" t="str">
        <f t="shared" si="43"/>
        <v>Yuxin Zhen (Jiāxīng Shì)</v>
      </c>
    </row>
    <row r="1375" spans="1:16" hidden="1" x14ac:dyDescent="0.25">
      <c r="A1375" t="s">
        <v>1303</v>
      </c>
      <c r="B1375" t="str">
        <f>IF(COUNTIF(A:A,A1375)&gt;1,_xlfn.CONCAT(A1375," (",N1375,")"),A1375)</f>
        <v>Yùyán Zhèn</v>
      </c>
      <c r="C1375" t="str">
        <f>IF(COUNTIF(B:B,B1375)&gt;1,_xlfn.CONCAT(A1375," (",M1375,")"),B1375)</f>
        <v>Yùyán Zhèn</v>
      </c>
      <c r="D1375" t="s">
        <v>1304</v>
      </c>
      <c r="E1375" t="s">
        <v>11</v>
      </c>
      <c r="F1375" t="str">
        <f>_xlfn.CONCAT(D1375,", ",H1375,", ",I1375,", ","浙江省")</f>
        <v>玉岩镇, 松阳县, 丽水市, 浙江省</v>
      </c>
      <c r="G1375">
        <v>9213</v>
      </c>
      <c r="H1375" t="s">
        <v>2957</v>
      </c>
      <c r="I1375" t="s">
        <v>2949</v>
      </c>
      <c r="J1375">
        <f>VLOOKUP(F1375,[1]!china_towns_second__2[[Column1]:[Y]],3,FALSE)</f>
        <v>28.396752211691801</v>
      </c>
      <c r="K1375">
        <f>VLOOKUP(F1375,[1]!china_towns_second__2[[Column1]:[Y]],2,FALSE)</f>
        <v>119.283254</v>
      </c>
      <c r="L1375" t="s">
        <v>5006</v>
      </c>
      <c r="M1375" t="str">
        <f>VLOOKUP(H1375,CHOOSE({1,2},Table12[Native],Table12[Name]),2,0)</f>
        <v>Sōngyáng Xiàn</v>
      </c>
      <c r="N1375" s="15" t="str">
        <f>VLOOKUP(I1375,CHOOSE({1,2},Table12[Native],Table12[Name]),2,0)</f>
        <v>Lìshuĭ Shì</v>
      </c>
      <c r="O1375" s="15" t="str">
        <f t="shared" si="42"/>
        <v>Yuyan Zhen (Lìshuĭ Shì)</v>
      </c>
      <c r="P1375" s="15" t="str">
        <f t="shared" si="43"/>
        <v>Yuyan Zhen (Lìshuĭ Shì)</v>
      </c>
    </row>
    <row r="1376" spans="1:16" hidden="1" x14ac:dyDescent="0.25">
      <c r="A1376" t="s">
        <v>2801</v>
      </c>
      <c r="B1376" t="str">
        <f>IF(COUNTIF(A:A,A1376)&gt;1,_xlfn.CONCAT(A1376," (",N1376,")"),A1376)</f>
        <v>Yúyáng Zhèn</v>
      </c>
      <c r="C1376" t="str">
        <f>IF(COUNTIF(B:B,B1376)&gt;1,_xlfn.CONCAT(A1376," (",M1376,")"),B1376)</f>
        <v>Yúyáng Zhèn</v>
      </c>
      <c r="D1376" t="s">
        <v>2802</v>
      </c>
      <c r="E1376" t="s">
        <v>11</v>
      </c>
      <c r="F1376" t="str">
        <f>_xlfn.CONCAT(D1376,", ",H1376,", ",I1376,", ","浙江省")</f>
        <v>榆垟镇, 平阳县, 温州市, 浙江省</v>
      </c>
      <c r="G1376">
        <v>10059</v>
      </c>
      <c r="H1376" t="s">
        <v>3006</v>
      </c>
      <c r="I1376" t="s">
        <v>3000</v>
      </c>
      <c r="J1376">
        <f>VLOOKUP(F1376,[1]!china_towns_second__2[[Column1]:[Y]],3,FALSE)</f>
        <v>27.680800000000001</v>
      </c>
      <c r="K1376">
        <f>VLOOKUP(F1376,[1]!china_towns_second__2[[Column1]:[Y]],2,FALSE)</f>
        <v>120.6476</v>
      </c>
      <c r="L1376" t="s">
        <v>5007</v>
      </c>
      <c r="M1376" t="str">
        <f>VLOOKUP(H1376,CHOOSE({1,2},Table12[Native],Table12[Name]),2,0)</f>
        <v>Píngyáng Xiàn</v>
      </c>
      <c r="N1376" s="15" t="str">
        <f>VLOOKUP(I1376,CHOOSE({1,2},Table12[Native],Table12[Name]),2,0)</f>
        <v>Wēnzhōu Shì</v>
      </c>
      <c r="O1376" s="15" t="str">
        <f t="shared" si="42"/>
        <v>Yuyang Zhen (Wēnzhōu Shì)</v>
      </c>
      <c r="P1376" s="15" t="str">
        <f t="shared" si="43"/>
        <v>Yuyang Zhen (Wēnzhōu Shì)</v>
      </c>
    </row>
    <row r="1377" spans="1:16" hidden="1" x14ac:dyDescent="0.25">
      <c r="A1377" t="s">
        <v>975</v>
      </c>
      <c r="B1377" t="str">
        <f>IF(COUNTIF(A:A,A1377)&gt;1,_xlfn.CONCAT(A1377," (",N1377,")"),A1377)</f>
        <v>Yúyuán Xiāng</v>
      </c>
      <c r="C1377" t="str">
        <f>IF(COUNTIF(B:B,B1377)&gt;1,_xlfn.CONCAT(A1377," (",M1377,")"),B1377)</f>
        <v>Yúyuán Xiāng</v>
      </c>
      <c r="D1377" t="s">
        <v>976</v>
      </c>
      <c r="E1377" t="s">
        <v>7</v>
      </c>
      <c r="F1377" t="str">
        <f>_xlfn.CONCAT(D1377,", ",H1377,", ",I1377,", ","浙江省")</f>
        <v>俞源乡, 武义县, 金华市, 浙江省</v>
      </c>
      <c r="G1377">
        <v>6482</v>
      </c>
      <c r="H1377" t="s">
        <v>2945</v>
      </c>
      <c r="I1377" t="s">
        <v>2938</v>
      </c>
      <c r="J1377" t="e">
        <f>VLOOKUP(F1377,[1]!china_towns_second__2[[Column1]:[Y]],3,FALSE)</f>
        <v>#N/A</v>
      </c>
      <c r="K1377" t="e">
        <f>VLOOKUP(F1377,[1]!china_towns_second__2[[Column1]:[Y]],2,FALSE)</f>
        <v>#N/A</v>
      </c>
      <c r="L1377" t="s">
        <v>5008</v>
      </c>
      <c r="M1377" t="str">
        <f>VLOOKUP(H1377,CHOOSE({1,2},Table12[Native],Table12[Name]),2,0)</f>
        <v>Wŭyì Xiàn</v>
      </c>
      <c r="N1377" s="15" t="str">
        <f>VLOOKUP(I1377,CHOOSE({1,2},Table12[Native],Table12[Name]),2,0)</f>
        <v>Jīnhuá Shì</v>
      </c>
      <c r="O1377" s="15" t="str">
        <f t="shared" si="42"/>
        <v>Yuyuan Xiang (Jīnhuá Shì)</v>
      </c>
      <c r="P1377" s="15" t="str">
        <f t="shared" si="43"/>
        <v>Yuyuan Xiang (Jīnhuá Shì)</v>
      </c>
    </row>
    <row r="1378" spans="1:16" hidden="1" x14ac:dyDescent="0.25">
      <c r="A1378" t="s">
        <v>539</v>
      </c>
      <c r="B1378" t="str">
        <f>IF(COUNTIF(A:A,A1378)&gt;1,_xlfn.CONCAT(A1378," (",N1378,")"),A1378)</f>
        <v>Yŭyuè Zhèn</v>
      </c>
      <c r="C1378" t="str">
        <f>IF(COUNTIF(B:B,B1378)&gt;1,_xlfn.CONCAT(A1378," (",M1378,")"),B1378)</f>
        <v>Yŭyuè Zhèn</v>
      </c>
      <c r="D1378" t="s">
        <v>540</v>
      </c>
      <c r="E1378" t="s">
        <v>11</v>
      </c>
      <c r="F1378" t="str">
        <f>_xlfn.CONCAT(D1378,", ",H1378,", ",I1378,", ","浙江省")</f>
        <v>禹越镇, 德清县, 湖州市, 浙江省</v>
      </c>
      <c r="G1378">
        <v>32034</v>
      </c>
      <c r="H1378" t="s">
        <v>2925</v>
      </c>
      <c r="I1378" t="s">
        <v>2922</v>
      </c>
      <c r="J1378">
        <f>VLOOKUP(F1378,[1]!china_towns_second__2[[Column1]:[Y]],3,FALSE)</f>
        <v>30.5431065132566</v>
      </c>
      <c r="K1378">
        <f>VLOOKUP(F1378,[1]!china_towns_second__2[[Column1]:[Y]],2,FALSE)</f>
        <v>120.2709571</v>
      </c>
      <c r="L1378" t="s">
        <v>5009</v>
      </c>
      <c r="M1378" t="str">
        <f>VLOOKUP(H1378,CHOOSE({1,2},Table12[Native],Table12[Name]),2,0)</f>
        <v>Déqīng Xiàn</v>
      </c>
      <c r="N1378" s="15" t="str">
        <f>VLOOKUP(I1378,CHOOSE({1,2},Table12[Native],Table12[Name]),2,0)</f>
        <v>Húzhōu Shì</v>
      </c>
      <c r="O1378" s="15" t="str">
        <f t="shared" si="42"/>
        <v>Yuyue Zhen (Húzhōu Shì)</v>
      </c>
      <c r="P1378" s="15" t="str">
        <f t="shared" si="43"/>
        <v>Yuyue Zhen (Húzhōu Shì)</v>
      </c>
    </row>
    <row r="1379" spans="1:16" hidden="1" x14ac:dyDescent="0.25">
      <c r="A1379" t="s">
        <v>977</v>
      </c>
      <c r="B1379" t="str">
        <f>IF(COUNTIF(A:A,A1379)&gt;1,_xlfn.CONCAT(A1379," (",N1379,")"),A1379)</f>
        <v>Yúzhái Xiāng</v>
      </c>
      <c r="C1379" t="str">
        <f>IF(COUNTIF(B:B,B1379)&gt;1,_xlfn.CONCAT(A1379," (",M1379,")"),B1379)</f>
        <v>Yúzhái Xiāng</v>
      </c>
      <c r="D1379" t="s">
        <v>978</v>
      </c>
      <c r="E1379" t="s">
        <v>7</v>
      </c>
      <c r="F1379" t="str">
        <f>_xlfn.CONCAT(D1379,", ",H1379,", ",I1379,", ","浙江省")</f>
        <v>虞宅乡, 浦江县, 金华市, 浙江省</v>
      </c>
      <c r="G1379">
        <v>12863</v>
      </c>
      <c r="H1379" t="s">
        <v>2943</v>
      </c>
      <c r="I1379" t="s">
        <v>2938</v>
      </c>
      <c r="J1379" t="e">
        <f>VLOOKUP(F1379,[1]!china_towns_second__2[[Column1]:[Y]],3,FALSE)</f>
        <v>#N/A</v>
      </c>
      <c r="K1379" t="e">
        <f>VLOOKUP(F1379,[1]!china_towns_second__2[[Column1]:[Y]],2,FALSE)</f>
        <v>#N/A</v>
      </c>
      <c r="L1379" t="s">
        <v>5010</v>
      </c>
      <c r="M1379" t="str">
        <f>VLOOKUP(H1379,CHOOSE({1,2},Table12[Native],Table12[Name]),2,0)</f>
        <v>Pŭjiāng Xiàn</v>
      </c>
      <c r="N1379" s="15" t="str">
        <f>VLOOKUP(I1379,CHOOSE({1,2},Table12[Native],Table12[Name]),2,0)</f>
        <v>Jīnhuá Shì</v>
      </c>
      <c r="O1379" s="15" t="str">
        <f t="shared" si="42"/>
        <v>Yuzhai Xiang (Jīnhuá Shì)</v>
      </c>
      <c r="P1379" s="15" t="str">
        <f t="shared" si="43"/>
        <v>Yuzhai Xiang (Jīnhuá Shì)</v>
      </c>
    </row>
    <row r="1380" spans="1:16" hidden="1" x14ac:dyDescent="0.25">
      <c r="A1380" t="s">
        <v>2803</v>
      </c>
      <c r="B1380" t="str">
        <f>IF(COUNTIF(A:A,A1380)&gt;1,_xlfn.CONCAT(A1380," (",N1380,")"),A1380)</f>
        <v>Zăoxī Zhèn</v>
      </c>
      <c r="C1380" t="str">
        <f>IF(COUNTIF(B:B,B1380)&gt;1,_xlfn.CONCAT(A1380," (",M1380,")"),B1380)</f>
        <v>Zăoxī Zhèn</v>
      </c>
      <c r="D1380" t="s">
        <v>2804</v>
      </c>
      <c r="E1380" t="s">
        <v>11</v>
      </c>
      <c r="F1380" t="str">
        <f>_xlfn.CONCAT(D1380,", ",H1380,", ",I1380,", ","浙江省")</f>
        <v>藻溪镇, 苍南县, 温州市, 浙江省</v>
      </c>
      <c r="G1380">
        <v>21591</v>
      </c>
      <c r="H1380" t="s">
        <v>3001</v>
      </c>
      <c r="I1380" t="s">
        <v>3000</v>
      </c>
      <c r="J1380">
        <f>VLOOKUP(F1380,[1]!china_towns_second__2[[Column1]:[Y]],3,FALSE)</f>
        <v>27.451812575369299</v>
      </c>
      <c r="K1380">
        <f>VLOOKUP(F1380,[1]!china_towns_second__2[[Column1]:[Y]],2,FALSE)</f>
        <v>120.44542439999999</v>
      </c>
      <c r="L1380" t="s">
        <v>5011</v>
      </c>
      <c r="M1380" t="str">
        <f>VLOOKUP(H1380,CHOOSE({1,2},Table12[Native],Table12[Name]),2,0)</f>
        <v>Cāngnán Xiàn</v>
      </c>
      <c r="N1380" s="15" t="str">
        <f>VLOOKUP(I1380,CHOOSE({1,2},Table12[Native],Table12[Name]),2,0)</f>
        <v>Wēnzhōu Shì</v>
      </c>
      <c r="O1380" s="15" t="str">
        <f t="shared" si="42"/>
        <v>Zaoxi Zhen (Wēnzhōu Shì)</v>
      </c>
      <c r="P1380" s="15" t="str">
        <f t="shared" si="43"/>
        <v>Zaoxi Zhen (Wēnzhōu Shì)</v>
      </c>
    </row>
    <row r="1381" spans="1:16" hidden="1" x14ac:dyDescent="0.25">
      <c r="A1381" t="s">
        <v>2263</v>
      </c>
      <c r="B1381" t="str">
        <f>IF(COUNTIF(A:A,A1381)&gt;1,_xlfn.CONCAT(A1381," (",N1381,")"),A1381)</f>
        <v>Zéguó Zhèn</v>
      </c>
      <c r="C1381" t="str">
        <f>IF(COUNTIF(B:B,B1381)&gt;1,_xlfn.CONCAT(A1381," (",M1381,")"),B1381)</f>
        <v>Zéguó Zhèn</v>
      </c>
      <c r="D1381" t="s">
        <v>2264</v>
      </c>
      <c r="E1381" t="s">
        <v>11</v>
      </c>
      <c r="F1381" t="str">
        <f>_xlfn.CONCAT(D1381,", ",H1381,", ",I1381,", ","浙江省")</f>
        <v>泽国镇, 温岭市, 台州市, 浙江省</v>
      </c>
      <c r="G1381">
        <v>192558</v>
      </c>
      <c r="H1381" t="s">
        <v>2996</v>
      </c>
      <c r="I1381" t="s">
        <v>2989</v>
      </c>
      <c r="J1381">
        <f>VLOOKUP(F1381,[1]!china_towns_second__2[[Column1]:[Y]],3,FALSE)</f>
        <v>28.487567510721799</v>
      </c>
      <c r="K1381">
        <f>VLOOKUP(F1381,[1]!china_towns_second__2[[Column1]:[Y]],2,FALSE)</f>
        <v>121.3575791</v>
      </c>
      <c r="L1381" t="s">
        <v>5012</v>
      </c>
      <c r="M1381" t="str">
        <f>VLOOKUP(H1381,CHOOSE({1,2},Table12[Native],Table12[Name]),2,0)</f>
        <v>Wēnlĭng Shì</v>
      </c>
      <c r="N1381" s="15" t="str">
        <f>VLOOKUP(I1381,CHOOSE({1,2},Table12[Native],Table12[Name]),2,0)</f>
        <v>Táizhōu Shì</v>
      </c>
      <c r="O1381" s="15" t="str">
        <f t="shared" si="42"/>
        <v>Zeguo Zhen (Táizhōu Shì)</v>
      </c>
      <c r="P1381" s="15" t="str">
        <f t="shared" si="43"/>
        <v>Zeguo Zhen (Táizhōu Shì)</v>
      </c>
    </row>
    <row r="1382" spans="1:16" hidden="1" x14ac:dyDescent="0.25">
      <c r="A1382" t="s">
        <v>2805</v>
      </c>
      <c r="B1382" t="str">
        <f>IF(COUNTIF(A:A,A1382)&gt;1,_xlfn.CONCAT(A1382," (",N1382,")"),A1382)</f>
        <v>Zéyă Zhèn</v>
      </c>
      <c r="C1382" t="str">
        <f>IF(COUNTIF(B:B,B1382)&gt;1,_xlfn.CONCAT(A1382," (",M1382,")"),B1382)</f>
        <v>Zéyă Zhèn</v>
      </c>
      <c r="D1382" t="s">
        <v>2806</v>
      </c>
      <c r="E1382" t="s">
        <v>11</v>
      </c>
      <c r="F1382" t="str">
        <f>_xlfn.CONCAT(D1382,", ",H1382,", ",I1382,", ","浙江省")</f>
        <v>泽雅镇, 瓯海区, 温州市, 浙江省</v>
      </c>
      <c r="G1382">
        <v>27029</v>
      </c>
      <c r="H1382" t="s">
        <v>3005</v>
      </c>
      <c r="I1382" t="s">
        <v>3000</v>
      </c>
      <c r="J1382">
        <f>VLOOKUP(F1382,[1]!china_towns_second__2[[Column1]:[Y]],3,FALSE)</f>
        <v>28.025907972847001</v>
      </c>
      <c r="K1382">
        <f>VLOOKUP(F1382,[1]!china_towns_second__2[[Column1]:[Y]],2,FALSE)</f>
        <v>120.4108614</v>
      </c>
      <c r="L1382" t="s">
        <v>5013</v>
      </c>
      <c r="M1382" t="str">
        <f>VLOOKUP(H1382,CHOOSE({1,2},Table12[Native],Table12[Name]),2,0)</f>
        <v>Ōuhăi Qū</v>
      </c>
      <c r="N1382" s="15" t="str">
        <f>VLOOKUP(I1382,CHOOSE({1,2},Table12[Native],Table12[Name]),2,0)</f>
        <v>Wēnzhōu Shì</v>
      </c>
      <c r="O1382" s="15" t="str">
        <f t="shared" si="42"/>
        <v>Zeya Zhen (Wēnzhōu Shì)</v>
      </c>
      <c r="P1382" s="15" t="str">
        <f t="shared" si="43"/>
        <v>Zeya Zhen (Wēnzhōu Shì)</v>
      </c>
    </row>
    <row r="1383" spans="1:16" hidden="1" x14ac:dyDescent="0.25">
      <c r="A1383" t="s">
        <v>1305</v>
      </c>
      <c r="B1383" t="str">
        <f>IF(COUNTIF(A:A,A1383)&gt;1,_xlfn.CONCAT(A1383," (",N1383,")"),A1383)</f>
        <v>Zhāitán Xiāng</v>
      </c>
      <c r="C1383" t="str">
        <f>IF(COUNTIF(B:B,B1383)&gt;1,_xlfn.CONCAT(A1383," (",M1383,")"),B1383)</f>
        <v>Zhāitán Xiāng</v>
      </c>
      <c r="D1383" t="s">
        <v>1306</v>
      </c>
      <c r="E1383" t="s">
        <v>7</v>
      </c>
      <c r="F1383" t="str">
        <f>_xlfn.CONCAT(D1383,", ",H1383,", ",I1383,", ","浙江省")</f>
        <v>斋坛乡, 松阳县, 丽水市, 浙江省</v>
      </c>
      <c r="G1383">
        <v>6134</v>
      </c>
      <c r="H1383" t="s">
        <v>2957</v>
      </c>
      <c r="I1383" t="s">
        <v>2949</v>
      </c>
      <c r="J1383" t="e">
        <f>VLOOKUP(F1383,[1]!china_towns_second__2[[Column1]:[Y]],3,FALSE)</f>
        <v>#N/A</v>
      </c>
      <c r="K1383" t="e">
        <f>VLOOKUP(F1383,[1]!china_towns_second__2[[Column1]:[Y]],2,FALSE)</f>
        <v>#N/A</v>
      </c>
      <c r="L1383" t="s">
        <v>5014</v>
      </c>
      <c r="M1383" t="str">
        <f>VLOOKUP(H1383,CHOOSE({1,2},Table12[Native],Table12[Name]),2,0)</f>
        <v>Sōngyáng Xiàn</v>
      </c>
      <c r="N1383" s="15" t="str">
        <f>VLOOKUP(I1383,CHOOSE({1,2},Table12[Native],Table12[Name]),2,0)</f>
        <v>Lìshuĭ Shì</v>
      </c>
      <c r="O1383" s="15" t="str">
        <f t="shared" si="42"/>
        <v>Zhaitan Xiang (Lìshuĭ Shì)</v>
      </c>
      <c r="P1383" s="15" t="str">
        <f t="shared" si="43"/>
        <v>Zhaitan Xiang (Lìshuĭ Shì)</v>
      </c>
    </row>
    <row r="1384" spans="1:16" hidden="1" x14ac:dyDescent="0.25">
      <c r="A1384" t="s">
        <v>2265</v>
      </c>
      <c r="B1384" t="str">
        <f>IF(COUNTIF(A:A,A1384)&gt;1,_xlfn.CONCAT(A1384," (",N1384,")"),A1384)</f>
        <v>Zhāng'ān Jiēdào</v>
      </c>
      <c r="C1384" t="str">
        <f>IF(COUNTIF(B:B,B1384)&gt;1,_xlfn.CONCAT(A1384," (",M1384,")"),B1384)</f>
        <v>Zhāng'ān Jiēdào</v>
      </c>
      <c r="D1384" t="s">
        <v>2266</v>
      </c>
      <c r="E1384" t="s">
        <v>15</v>
      </c>
      <c r="F1384" t="str">
        <f>_xlfn.CONCAT(D1384,", ",H1384,", ",I1384,", ","浙江省")</f>
        <v>章安街道, 椒江区, 台州市, 浙江省</v>
      </c>
      <c r="G1384">
        <v>67456</v>
      </c>
      <c r="H1384" t="s">
        <v>2991</v>
      </c>
      <c r="I1384" t="s">
        <v>2989</v>
      </c>
      <c r="J1384">
        <f>VLOOKUP(F1384,[1]!china_towns_second__2[[Column1]:[Y]],3,FALSE)</f>
        <v>28.731588212324599</v>
      </c>
      <c r="K1384">
        <f>VLOOKUP(F1384,[1]!china_towns_second__2[[Column1]:[Y]],2,FALSE)</f>
        <v>121.3980603</v>
      </c>
      <c r="L1384" t="s">
        <v>5015</v>
      </c>
      <c r="M1384" t="str">
        <f>VLOOKUP(H1384,CHOOSE({1,2},Table12[Native],Table12[Name]),2,0)</f>
        <v>Jiāojiāng Qū</v>
      </c>
      <c r="N1384" s="15" t="str">
        <f>VLOOKUP(I1384,CHOOSE({1,2},Table12[Native],Table12[Name]),2,0)</f>
        <v>Táizhōu Shì</v>
      </c>
      <c r="O1384" s="15" t="str">
        <f t="shared" si="42"/>
        <v>Zhang'an Jiedao (Táizhōu Shì)</v>
      </c>
      <c r="P1384" s="15" t="str">
        <f t="shared" si="43"/>
        <v>Zhang'an Jiedao (Táizhōu Shì)</v>
      </c>
    </row>
    <row r="1385" spans="1:16" hidden="1" x14ac:dyDescent="0.25">
      <c r="A1385" t="s">
        <v>1307</v>
      </c>
      <c r="B1385" t="str">
        <f>IF(COUNTIF(A:A,A1385)&gt;1,_xlfn.CONCAT(A1385," (",N1385,")"),A1385)</f>
        <v>Zhāngcūn Xiāng (Lìshuĭ Shì)</v>
      </c>
      <c r="C1385" t="str">
        <f>IF(COUNTIF(B:B,B1385)&gt;1,_xlfn.CONCAT(A1385," (",M1385,")"),B1385)</f>
        <v>Zhāngcūn Xiāng (Qīngtián Xiàn)</v>
      </c>
      <c r="D1385" t="s">
        <v>1308</v>
      </c>
      <c r="E1385" t="s">
        <v>7</v>
      </c>
      <c r="F1385" t="str">
        <f>_xlfn.CONCAT(D1385,", ",H1385,", ",I1385,", ","浙江省")</f>
        <v>章村乡, 青田县, 丽水市, 浙江省</v>
      </c>
      <c r="G1385">
        <v>5822</v>
      </c>
      <c r="H1385" t="s">
        <v>2955</v>
      </c>
      <c r="I1385" t="s">
        <v>2949</v>
      </c>
      <c r="J1385" t="e">
        <f>VLOOKUP(F1385,[1]!china_towns_second__2[[Column1]:[Y]],3,FALSE)</f>
        <v>#N/A</v>
      </c>
      <c r="K1385" t="e">
        <f>VLOOKUP(F1385,[1]!china_towns_second__2[[Column1]:[Y]],2,FALSE)</f>
        <v>#N/A</v>
      </c>
      <c r="L1385" t="s">
        <v>5016</v>
      </c>
      <c r="M1385" t="str">
        <f>VLOOKUP(H1385,CHOOSE({1,2},Table12[Native],Table12[Name]),2,0)</f>
        <v>Qīngtián Xiàn</v>
      </c>
      <c r="N1385" s="15" t="str">
        <f>VLOOKUP(I1385,CHOOSE({1,2},Table12[Native],Table12[Name]),2,0)</f>
        <v>Lìshuĭ Shì</v>
      </c>
      <c r="O1385" s="15" t="str">
        <f t="shared" si="42"/>
        <v>Zhangcun Xiang (Qingtian Xian) (Lìshuĭ Shì)</v>
      </c>
      <c r="P1385" s="15" t="str">
        <f t="shared" si="43"/>
        <v>Zhangcun Xiang (Qingtian Xian) (Lìshuĭ Shì)</v>
      </c>
    </row>
    <row r="1386" spans="1:16" hidden="1" x14ac:dyDescent="0.25">
      <c r="A1386" t="s">
        <v>1307</v>
      </c>
      <c r="B1386" t="str">
        <f>IF(COUNTIF(A:A,A1386)&gt;1,_xlfn.CONCAT(A1386," (",N1386,")"),A1386)</f>
        <v>Zhāngcūn Xiāng (Lìshuĭ Shì)</v>
      </c>
      <c r="C1386" t="str">
        <f>IF(COUNTIF(B:B,B1386)&gt;1,_xlfn.CONCAT(A1386," (",M1386,")"),B1386)</f>
        <v>Zhāngcūn Xiāng (Qìngyuán Xiàn)</v>
      </c>
      <c r="D1386" t="s">
        <v>1309</v>
      </c>
      <c r="E1386" t="s">
        <v>7</v>
      </c>
      <c r="F1386" t="str">
        <f>_xlfn.CONCAT(D1386,", ",H1386,", ",I1386,", ","浙江省")</f>
        <v>张村乡, 庆元县, 丽水市, 浙江省</v>
      </c>
      <c r="G1386">
        <v>1820</v>
      </c>
      <c r="H1386" t="s">
        <v>2956</v>
      </c>
      <c r="I1386" t="s">
        <v>2949</v>
      </c>
      <c r="J1386" t="e">
        <f>VLOOKUP(F1386,[1]!china_towns_second__2[[Column1]:[Y]],3,FALSE)</f>
        <v>#N/A</v>
      </c>
      <c r="K1386" t="e">
        <f>VLOOKUP(F1386,[1]!china_towns_second__2[[Column1]:[Y]],2,FALSE)</f>
        <v>#N/A</v>
      </c>
      <c r="L1386" t="s">
        <v>5017</v>
      </c>
      <c r="M1386" t="str">
        <f>VLOOKUP(H1386,CHOOSE({1,2},Table12[Native],Table12[Name]),2,0)</f>
        <v>Qìngyuán Xiàn</v>
      </c>
      <c r="N1386" s="15" t="str">
        <f>VLOOKUP(I1386,CHOOSE({1,2},Table12[Native],Table12[Name]),2,0)</f>
        <v>Lìshuĭ Shì</v>
      </c>
      <c r="O1386" s="15" t="str">
        <f t="shared" si="42"/>
        <v>Zhangcun Xiang (Qingyuan Xian) (Lìshuĭ Shì)</v>
      </c>
      <c r="P1386" s="15" t="str">
        <f t="shared" si="43"/>
        <v>Zhangcun Xiang (Qingyuan Xian) (Lìshuĭ Shì)</v>
      </c>
    </row>
    <row r="1387" spans="1:16" hidden="1" x14ac:dyDescent="0.25">
      <c r="A1387" t="s">
        <v>1818</v>
      </c>
      <c r="B1387" t="str">
        <f>IF(COUNTIF(A:A,A1387)&gt;1,_xlfn.CONCAT(A1387," (",N1387,")"),A1387)</f>
        <v>Zhāngcūn Xiāng [incl.Shuāngxīkŏu Xiāng]</v>
      </c>
      <c r="C1387" t="str">
        <f>IF(COUNTIF(B:B,B1387)&gt;1,_xlfn.CONCAT(A1387," (",M1387,")"),B1387)</f>
        <v>Zhāngcūn Xiāng [incl.Shuāngxīkŏu Xiāng]</v>
      </c>
      <c r="D1387" t="s">
        <v>1309</v>
      </c>
      <c r="E1387" t="s">
        <v>7</v>
      </c>
      <c r="F1387" t="str">
        <f>_xlfn.CONCAT(D1387,", ",H1387,", ",I1387,", ","浙江省")</f>
        <v>张村乡, 江山市, 衢州市, 浙江省</v>
      </c>
      <c r="G1387">
        <v>6901</v>
      </c>
      <c r="H1387" t="s">
        <v>2975</v>
      </c>
      <c r="I1387" t="s">
        <v>2973</v>
      </c>
      <c r="J1387" t="e">
        <f>VLOOKUP(F1387,[1]!china_towns_second__2[[Column1]:[Y]],3,FALSE)</f>
        <v>#N/A</v>
      </c>
      <c r="K1387" t="e">
        <f>VLOOKUP(F1387,[1]!china_towns_second__2[[Column1]:[Y]],2,FALSE)</f>
        <v>#N/A</v>
      </c>
      <c r="L1387" t="s">
        <v>5018</v>
      </c>
      <c r="M1387" t="str">
        <f>VLOOKUP(H1387,CHOOSE({1,2},Table12[Native],Table12[Name]),2,0)</f>
        <v>Jiāngshān Shì</v>
      </c>
      <c r="N1387" s="15" t="str">
        <f>VLOOKUP(I1387,CHOOSE({1,2},Table12[Native],Table12[Name]),2,0)</f>
        <v>Qúzhōu Shì</v>
      </c>
      <c r="O1387" s="15" t="str">
        <f t="shared" si="42"/>
        <v>Zhangcun Xiang [incl.Shuangxikou Xiang] (Qúzhōu Shì)</v>
      </c>
      <c r="P1387" s="15" t="str">
        <f t="shared" si="43"/>
        <v>Zhangcun Xiang [incl.Shuangxikou Xiang] (Qúzhōu Shì)</v>
      </c>
    </row>
    <row r="1388" spans="1:16" hidden="1" x14ac:dyDescent="0.25">
      <c r="A1388" t="s">
        <v>541</v>
      </c>
      <c r="B1388" t="str">
        <f>IF(COUNTIF(A:A,A1388)&gt;1,_xlfn.CONCAT(A1388," (",N1388,")"),A1388)</f>
        <v>Zhāngcūn Zhèn</v>
      </c>
      <c r="C1388" t="str">
        <f>IF(COUNTIF(B:B,B1388)&gt;1,_xlfn.CONCAT(A1388," (",M1388,")"),B1388)</f>
        <v>Zhāngcūn Zhèn</v>
      </c>
      <c r="D1388" t="s">
        <v>542</v>
      </c>
      <c r="E1388" t="s">
        <v>11</v>
      </c>
      <c r="F1388" t="str">
        <f>_xlfn.CONCAT(D1388,", ",H1388,", ",I1388,", ","浙江省")</f>
        <v>章村镇, 安吉县, 湖州市, 浙江省</v>
      </c>
      <c r="G1388">
        <v>10957</v>
      </c>
      <c r="H1388" t="s">
        <v>2923</v>
      </c>
      <c r="I1388" t="s">
        <v>2922</v>
      </c>
      <c r="J1388">
        <f>VLOOKUP(F1388,[1]!china_towns_second__2[[Column1]:[Y]],3,FALSE)</f>
        <v>30.446578100501</v>
      </c>
      <c r="K1388">
        <f>VLOOKUP(F1388,[1]!china_towns_second__2[[Column1]:[Y]],2,FALSE)</f>
        <v>119.38302760000001</v>
      </c>
      <c r="L1388" t="s">
        <v>5019</v>
      </c>
      <c r="M1388" t="str">
        <f>VLOOKUP(H1388,CHOOSE({1,2},Table12[Native],Table12[Name]),2,0)</f>
        <v>Ānjí Xiàn</v>
      </c>
      <c r="N1388" s="15" t="str">
        <f>VLOOKUP(I1388,CHOOSE({1,2},Table12[Native],Table12[Name]),2,0)</f>
        <v>Húzhōu Shì</v>
      </c>
      <c r="O1388" s="15" t="str">
        <f t="shared" si="42"/>
        <v>Zhangcun Zhen (Húzhōu Shì)</v>
      </c>
      <c r="P1388" s="15" t="str">
        <f t="shared" si="43"/>
        <v>Zhangcun Zhen (Húzhōu Shì)</v>
      </c>
    </row>
    <row r="1389" spans="1:16" hidden="1" x14ac:dyDescent="0.25">
      <c r="A1389" t="s">
        <v>1310</v>
      </c>
      <c r="B1389" t="str">
        <f>IF(COUNTIF(A:A,A1389)&gt;1,_xlfn.CONCAT(A1389," (",N1389,")"),A1389)</f>
        <v>Zhāngdàn Xiāng</v>
      </c>
      <c r="C1389" t="str">
        <f>IF(COUNTIF(B:B,B1389)&gt;1,_xlfn.CONCAT(A1389," (",M1389,")"),B1389)</f>
        <v>Zhāngdàn Xiāng</v>
      </c>
      <c r="D1389" t="s">
        <v>1311</v>
      </c>
      <c r="E1389" t="s">
        <v>7</v>
      </c>
      <c r="F1389" t="str">
        <f>_xlfn.CONCAT(D1389,", ",H1389,", ",I1389,", ","浙江省")</f>
        <v>章旦乡, 青田县, 丽水市, 浙江省</v>
      </c>
      <c r="G1389">
        <v>2113</v>
      </c>
      <c r="H1389" t="s">
        <v>2955</v>
      </c>
      <c r="I1389" t="s">
        <v>2949</v>
      </c>
      <c r="J1389" t="e">
        <f>VLOOKUP(F1389,[1]!china_towns_second__2[[Column1]:[Y]],3,FALSE)</f>
        <v>#N/A</v>
      </c>
      <c r="K1389" t="e">
        <f>VLOOKUP(F1389,[1]!china_towns_second__2[[Column1]:[Y]],2,FALSE)</f>
        <v>#N/A</v>
      </c>
      <c r="L1389" t="s">
        <v>5020</v>
      </c>
      <c r="M1389" t="str">
        <f>VLOOKUP(H1389,CHOOSE({1,2},Table12[Native],Table12[Name]),2,0)</f>
        <v>Qīngtián Xiàn</v>
      </c>
      <c r="N1389" s="15" t="str">
        <f>VLOOKUP(I1389,CHOOSE({1,2},Table12[Native],Table12[Name]),2,0)</f>
        <v>Lìshuĭ Shì</v>
      </c>
      <c r="O1389" s="15" t="str">
        <f t="shared" si="42"/>
        <v>Zhangdan Xiang (Lìshuĭ Shì)</v>
      </c>
      <c r="P1389" s="15" t="str">
        <f t="shared" si="43"/>
        <v>Zhangdan Xiang (Lìshuĭ Shì)</v>
      </c>
    </row>
    <row r="1390" spans="1:16" hidden="1" x14ac:dyDescent="0.25">
      <c r="A1390" t="s">
        <v>1622</v>
      </c>
      <c r="B1390" t="str">
        <f>IF(COUNTIF(A:A,A1390)&gt;1,_xlfn.CONCAT(A1390," (",N1390,")"),A1390)</f>
        <v>Zhăngqĭ Zhèn</v>
      </c>
      <c r="C1390" t="str">
        <f>IF(COUNTIF(B:B,B1390)&gt;1,_xlfn.CONCAT(A1390," (",M1390,")"),B1390)</f>
        <v>Zhăngqĭ Zhèn</v>
      </c>
      <c r="D1390" t="s">
        <v>1623</v>
      </c>
      <c r="E1390" t="s">
        <v>11</v>
      </c>
      <c r="F1390" t="str">
        <f>_xlfn.CONCAT(D1390,", ",H1390,", ",I1390,", ","浙江省")</f>
        <v>掌起镇, 慈溪市, 宁波市, 浙江省</v>
      </c>
      <c r="G1390">
        <v>66274</v>
      </c>
      <c r="H1390" t="s">
        <v>2963</v>
      </c>
      <c r="I1390" t="s">
        <v>2961</v>
      </c>
      <c r="J1390">
        <f>VLOOKUP(F1390,[1]!china_towns_second__2[[Column1]:[Y]],3,FALSE)</f>
        <v>30.116068398279999</v>
      </c>
      <c r="K1390">
        <f>VLOOKUP(F1390,[1]!china_towns_second__2[[Column1]:[Y]],2,FALSE)</f>
        <v>121.46056710000001</v>
      </c>
      <c r="L1390" t="s">
        <v>5021</v>
      </c>
      <c r="M1390" t="str">
        <f>VLOOKUP(H1390,CHOOSE({1,2},Table12[Native],Table12[Name]),2,0)</f>
        <v>Cíxī Shì</v>
      </c>
      <c r="N1390" s="15" t="str">
        <f>VLOOKUP(I1390,CHOOSE({1,2},Table12[Native],Table12[Name]),2,0)</f>
        <v>Níngbō Shì</v>
      </c>
      <c r="O1390" s="15" t="str">
        <f t="shared" si="42"/>
        <v>Zhangqi Zhen (Níngbō Shì)</v>
      </c>
      <c r="P1390" s="15" t="str">
        <f t="shared" si="43"/>
        <v>Zhangqi Zhen (Níngbō Shì)</v>
      </c>
    </row>
    <row r="1391" spans="1:16" hidden="1" x14ac:dyDescent="0.25">
      <c r="A1391" t="s">
        <v>1624</v>
      </c>
      <c r="B1391" t="str">
        <f>IF(COUNTIF(A:A,A1391)&gt;1,_xlfn.CONCAT(A1391," (",N1391,")"),A1391)</f>
        <v>Zhāngshuĭ Zhèn</v>
      </c>
      <c r="C1391" t="str">
        <f>IF(COUNTIF(B:B,B1391)&gt;1,_xlfn.CONCAT(A1391," (",M1391,")"),B1391)</f>
        <v>Zhāngshuĭ Zhèn</v>
      </c>
      <c r="D1391" t="s">
        <v>1625</v>
      </c>
      <c r="E1391" t="s">
        <v>11</v>
      </c>
      <c r="F1391" t="str">
        <f>_xlfn.CONCAT(D1391,", ",H1391,", ",I1391,", ","浙江省")</f>
        <v>章水镇, 海曙区, 宁波市, 浙江省</v>
      </c>
      <c r="G1391">
        <v>19436</v>
      </c>
      <c r="H1391" t="s">
        <v>2965</v>
      </c>
      <c r="I1391" t="s">
        <v>2961</v>
      </c>
      <c r="J1391">
        <f>VLOOKUP(F1391,[1]!china_towns_second__2[[Column1]:[Y]],3,FALSE)</f>
        <v>29.803493548987898</v>
      </c>
      <c r="K1391">
        <f>VLOOKUP(F1391,[1]!china_towns_second__2[[Column1]:[Y]],2,FALSE)</f>
        <v>121.2273376</v>
      </c>
      <c r="L1391" t="s">
        <v>5022</v>
      </c>
      <c r="M1391" t="str">
        <f>VLOOKUP(H1391,CHOOSE({1,2},Table12[Native],Table12[Name]),2,0)</f>
        <v>Hăishŭ Qū</v>
      </c>
      <c r="N1391" s="15" t="str">
        <f>VLOOKUP(I1391,CHOOSE({1,2},Table12[Native],Table12[Name]),2,0)</f>
        <v>Níngbō Shì</v>
      </c>
      <c r="O1391" s="15" t="str">
        <f t="shared" si="42"/>
        <v>Zhangshui Zhen (Níngbō Shì)</v>
      </c>
      <c r="P1391" s="15" t="str">
        <f t="shared" si="43"/>
        <v>Zhangshui Zhen (Níngbō Shì)</v>
      </c>
    </row>
    <row r="1392" spans="1:16" hidden="1" x14ac:dyDescent="0.25">
      <c r="A1392" t="s">
        <v>2807</v>
      </c>
      <c r="B1392" t="str">
        <f>IF(COUNTIF(A:A,A1392)&gt;1,_xlfn.CONCAT(A1392," (",N1392,")"),A1392)</f>
        <v>Zhāngtái Xiāng</v>
      </c>
      <c r="C1392" t="str">
        <f>IF(COUNTIF(B:B,B1392)&gt;1,_xlfn.CONCAT(A1392," (",M1392,")"),B1392)</f>
        <v>Zhāngtái Xiāng</v>
      </c>
      <c r="D1392" t="s">
        <v>2808</v>
      </c>
      <c r="E1392" t="s">
        <v>7</v>
      </c>
      <c r="F1392" t="str">
        <f>_xlfn.CONCAT(D1392,", ",H1392,", ",I1392,", ","浙江省")</f>
        <v>樟台乡, 文成县, 温州市, 浙江省</v>
      </c>
      <c r="G1392">
        <v>6928</v>
      </c>
      <c r="H1392" t="s">
        <v>3009</v>
      </c>
      <c r="I1392" t="s">
        <v>3000</v>
      </c>
      <c r="J1392" t="e">
        <f>VLOOKUP(F1392,[1]!china_towns_second__2[[Column1]:[Y]],3,FALSE)</f>
        <v>#N/A</v>
      </c>
      <c r="K1392" t="e">
        <f>VLOOKUP(F1392,[1]!china_towns_second__2[[Column1]:[Y]],2,FALSE)</f>
        <v>#N/A</v>
      </c>
      <c r="L1392" t="s">
        <v>5023</v>
      </c>
      <c r="M1392" t="str">
        <f>VLOOKUP(H1392,CHOOSE({1,2},Table12[Native],Table12[Name]),2,0)</f>
        <v>Wénchéng Xiàn</v>
      </c>
      <c r="N1392" s="15" t="str">
        <f>VLOOKUP(I1392,CHOOSE({1,2},Table12[Native],Table12[Name]),2,0)</f>
        <v>Wēnzhōu Shì</v>
      </c>
      <c r="O1392" s="15" t="str">
        <f t="shared" si="42"/>
        <v>Zhangtai Xiang (Wēnzhōu Shì)</v>
      </c>
      <c r="P1392" s="15" t="str">
        <f t="shared" si="43"/>
        <v>Zhangtai Xiang (Wēnzhōu Shì)</v>
      </c>
    </row>
    <row r="1393" spans="1:16" hidden="1" x14ac:dyDescent="0.25">
      <c r="A1393" t="s">
        <v>1819</v>
      </c>
      <c r="B1393" t="str">
        <f>IF(COUNTIF(A:A,A1393)&gt;1,_xlfn.CONCAT(A1393," (",N1393,")"),A1393)</f>
        <v>Zhāngtán Jiēdào</v>
      </c>
      <c r="C1393" t="str">
        <f>IF(COUNTIF(B:B,B1393)&gt;1,_xlfn.CONCAT(A1393," (",M1393,")"),B1393)</f>
        <v>Zhāngtán Jiēdào</v>
      </c>
      <c r="D1393" t="s">
        <v>1820</v>
      </c>
      <c r="E1393" t="s">
        <v>15</v>
      </c>
      <c r="F1393" t="str">
        <f>_xlfn.CONCAT(D1393,", ",H1393,", ",I1393,", ","浙江省")</f>
        <v>樟潭街道, 衢江区, 衢州市, 浙江省</v>
      </c>
      <c r="G1393">
        <v>59701</v>
      </c>
      <c r="H1393" t="s">
        <v>2979</v>
      </c>
      <c r="I1393" t="s">
        <v>2973</v>
      </c>
      <c r="J1393">
        <f>VLOOKUP(F1393,[1]!china_towns_second__2[[Column1]:[Y]],3,FALSE)</f>
        <v>28.966308289697</v>
      </c>
      <c r="K1393">
        <f>VLOOKUP(F1393,[1]!china_towns_second__2[[Column1]:[Y]],2,FALSE)</f>
        <v>118.95841799999999</v>
      </c>
      <c r="L1393" t="s">
        <v>5024</v>
      </c>
      <c r="M1393" t="str">
        <f>VLOOKUP(H1393,CHOOSE({1,2},Table12[Native],Table12[Name]),2,0)</f>
        <v>Qújiāng Qū</v>
      </c>
      <c r="N1393" s="15" t="str">
        <f>VLOOKUP(I1393,CHOOSE({1,2},Table12[Native],Table12[Name]),2,0)</f>
        <v>Qúzhōu Shì</v>
      </c>
      <c r="O1393" s="15" t="str">
        <f t="shared" si="42"/>
        <v>Zhangtan Jiedao (Qúzhōu Shì)</v>
      </c>
      <c r="P1393" s="15" t="str">
        <f t="shared" si="43"/>
        <v>Zhangtan Jiedao (Qúzhōu Shì)</v>
      </c>
    </row>
    <row r="1394" spans="1:16" hidden="1" x14ac:dyDescent="0.25">
      <c r="A1394" t="s">
        <v>1626</v>
      </c>
      <c r="B1394" t="str">
        <f>IF(COUNTIF(A:A,A1394)&gt;1,_xlfn.CONCAT(A1394," (",N1394,")"),A1394)</f>
        <v>Zhàngtíng Zhèn</v>
      </c>
      <c r="C1394" t="str">
        <f>IF(COUNTIF(B:B,B1394)&gt;1,_xlfn.CONCAT(A1394," (",M1394,")"),B1394)</f>
        <v>Zhàngtíng Zhèn</v>
      </c>
      <c r="D1394" t="s">
        <v>1627</v>
      </c>
      <c r="E1394" t="s">
        <v>11</v>
      </c>
      <c r="F1394" t="str">
        <f>_xlfn.CONCAT(D1394,", ",H1394,", ",I1394,", ","浙江省")</f>
        <v>丈亭镇, 余姚市, 宁波市, 浙江省</v>
      </c>
      <c r="G1394">
        <v>39315</v>
      </c>
      <c r="H1394" t="s">
        <v>2970</v>
      </c>
      <c r="I1394" t="s">
        <v>2961</v>
      </c>
      <c r="J1394">
        <f>VLOOKUP(F1394,[1]!china_towns_second__2[[Column1]:[Y]],3,FALSE)</f>
        <v>30.043505707188</v>
      </c>
      <c r="K1394">
        <f>VLOOKUP(F1394,[1]!china_towns_second__2[[Column1]:[Y]],2,FALSE)</f>
        <v>121.2752773</v>
      </c>
      <c r="L1394" t="s">
        <v>5025</v>
      </c>
      <c r="M1394" t="str">
        <f>VLOOKUP(H1394,CHOOSE({1,2},Table12[Native],Table12[Name]),2,0)</f>
        <v>Yúyáo Shì</v>
      </c>
      <c r="N1394" s="15" t="str">
        <f>VLOOKUP(I1394,CHOOSE({1,2},Table12[Native],Table12[Name]),2,0)</f>
        <v>Níngbō Shì</v>
      </c>
      <c r="O1394" s="15" t="str">
        <f t="shared" si="42"/>
        <v>Zhangting Zhen (Níngbō Shì)</v>
      </c>
      <c r="P1394" s="15" t="str">
        <f t="shared" si="43"/>
        <v>Zhangting Zhen (Níngbō Shì)</v>
      </c>
    </row>
    <row r="1395" spans="1:16" hidden="1" x14ac:dyDescent="0.25">
      <c r="A1395" t="s">
        <v>543</v>
      </c>
      <c r="B1395" t="str">
        <f>IF(COUNTIF(A:A,A1395)&gt;1,_xlfn.CONCAT(A1395," (",N1395,")"),A1395)</f>
        <v>Zhāngwú Zhèn</v>
      </c>
      <c r="C1395" t="str">
        <f>IF(COUNTIF(B:B,B1395)&gt;1,_xlfn.CONCAT(A1395," (",M1395,")"),B1395)</f>
        <v>Zhāngwú Zhèn</v>
      </c>
      <c r="D1395" t="s">
        <v>544</v>
      </c>
      <c r="E1395" t="s">
        <v>11</v>
      </c>
      <c r="F1395" t="str">
        <f>_xlfn.CONCAT(D1395,", ",H1395,", ",I1395,", ","浙江省")</f>
        <v>鄣吴镇, 安吉县, 湖州市, 浙江省</v>
      </c>
      <c r="G1395">
        <v>9332</v>
      </c>
      <c r="H1395" t="s">
        <v>2923</v>
      </c>
      <c r="I1395" t="s">
        <v>2922</v>
      </c>
      <c r="J1395">
        <f>VLOOKUP(F1395,[1]!china_towns_second__2[[Column1]:[Y]],3,FALSE)</f>
        <v>30.752282282294399</v>
      </c>
      <c r="K1395">
        <f>VLOOKUP(F1395,[1]!china_towns_second__2[[Column1]:[Y]],2,FALSE)</f>
        <v>119.5128431</v>
      </c>
      <c r="L1395" t="s">
        <v>5026</v>
      </c>
      <c r="M1395" t="str">
        <f>VLOOKUP(H1395,CHOOSE({1,2},Table12[Native],Table12[Name]),2,0)</f>
        <v>Ānjí Xiàn</v>
      </c>
      <c r="N1395" s="15" t="str">
        <f>VLOOKUP(I1395,CHOOSE({1,2},Table12[Native],Table12[Name]),2,0)</f>
        <v>Húzhōu Shì</v>
      </c>
      <c r="O1395" s="15" t="str">
        <f t="shared" si="42"/>
        <v>Zhangwu Zhen (Húzhōu Shì)</v>
      </c>
      <c r="P1395" s="15" t="str">
        <f t="shared" si="43"/>
        <v>Zhangwu Zhen (Húzhōu Shì)</v>
      </c>
    </row>
    <row r="1396" spans="1:16" hidden="1" x14ac:dyDescent="0.25">
      <c r="A1396" t="s">
        <v>1312</v>
      </c>
      <c r="B1396" t="str">
        <f>IF(COUNTIF(A:A,A1396)&gt;1,_xlfn.CONCAT(A1396," (",N1396,")"),A1396)</f>
        <v>Zhāngxī Xiāng (Lìshuĭ Shì)</v>
      </c>
      <c r="C1396" t="str">
        <f>IF(COUNTIF(B:B,B1396)&gt;1,_xlfn.CONCAT(A1396," (",M1396,")"),B1396)</f>
        <v>Zhāngxī Xiāng (Lìshuĭ Shì)</v>
      </c>
      <c r="D1396" t="s">
        <v>1313</v>
      </c>
      <c r="E1396" t="s">
        <v>7</v>
      </c>
      <c r="F1396" t="str">
        <f>_xlfn.CONCAT(D1396,", ",H1396,", ",I1396,", ","浙江省")</f>
        <v>樟溪乡, 松阳县, 丽水市, 浙江省</v>
      </c>
      <c r="G1396">
        <v>7231</v>
      </c>
      <c r="H1396" t="s">
        <v>2957</v>
      </c>
      <c r="I1396" t="s">
        <v>2949</v>
      </c>
      <c r="J1396" t="e">
        <f>VLOOKUP(F1396,[1]!china_towns_second__2[[Column1]:[Y]],3,FALSE)</f>
        <v>#N/A</v>
      </c>
      <c r="K1396" t="e">
        <f>VLOOKUP(F1396,[1]!china_towns_second__2[[Column1]:[Y]],2,FALSE)</f>
        <v>#N/A</v>
      </c>
      <c r="L1396" t="s">
        <v>5027</v>
      </c>
      <c r="M1396" t="str">
        <f>VLOOKUP(H1396,CHOOSE({1,2},Table12[Native],Table12[Name]),2,0)</f>
        <v>Sōngyáng Xiàn</v>
      </c>
      <c r="N1396" s="15" t="str">
        <f>VLOOKUP(I1396,CHOOSE({1,2},Table12[Native],Table12[Name]),2,0)</f>
        <v>Lìshuĭ Shì</v>
      </c>
      <c r="O1396" s="15" t="str">
        <f t="shared" si="42"/>
        <v>Zhangxi Xiang (Lishui Shi) (Lìshuĭ Shì)</v>
      </c>
      <c r="P1396" s="15" t="str">
        <f t="shared" si="43"/>
        <v>Zhangxi Xiang (Lishui Shi) (Lìshuĭ Shì)</v>
      </c>
    </row>
    <row r="1397" spans="1:16" hidden="1" x14ac:dyDescent="0.25">
      <c r="A1397" t="s">
        <v>1312</v>
      </c>
      <c r="B1397" t="str">
        <f>IF(COUNTIF(A:A,A1397)&gt;1,_xlfn.CONCAT(A1397," (",N1397,")"),A1397)</f>
        <v>Zhāngxī Xiāng (Wēnzhōu Shì)</v>
      </c>
      <c r="C1397" t="str">
        <f>IF(COUNTIF(B:B,B1397)&gt;1,_xlfn.CONCAT(A1397," (",M1397,")"),B1397)</f>
        <v>Zhāngxī Xiāng (Wēnzhōu Shì)</v>
      </c>
      <c r="D1397" t="s">
        <v>2809</v>
      </c>
      <c r="E1397" t="s">
        <v>7</v>
      </c>
      <c r="F1397" t="str">
        <f>_xlfn.CONCAT(D1397,", ",H1397,", ",I1397,", ","浙江省")</f>
        <v>张溪乡, 永嘉县, 温州市, 浙江省</v>
      </c>
      <c r="G1397">
        <v>4292</v>
      </c>
      <c r="H1397" t="s">
        <v>3010</v>
      </c>
      <c r="I1397" t="s">
        <v>3000</v>
      </c>
      <c r="J1397" t="e">
        <f>VLOOKUP(F1397,[1]!china_towns_second__2[[Column1]:[Y]],3,FALSE)</f>
        <v>#N/A</v>
      </c>
      <c r="K1397" t="e">
        <f>VLOOKUP(F1397,[1]!china_towns_second__2[[Column1]:[Y]],2,FALSE)</f>
        <v>#N/A</v>
      </c>
      <c r="L1397" t="s">
        <v>5028</v>
      </c>
      <c r="M1397" t="str">
        <f>VLOOKUP(H1397,CHOOSE({1,2},Table12[Native],Table12[Name]),2,0)</f>
        <v>Yŏngjiā Xiàn</v>
      </c>
      <c r="N1397" s="15" t="str">
        <f>VLOOKUP(I1397,CHOOSE({1,2},Table12[Native],Table12[Name]),2,0)</f>
        <v>Wēnzhōu Shì</v>
      </c>
      <c r="O1397" s="15" t="str">
        <f t="shared" si="42"/>
        <v>Zhangxi Xiang (Wenzhou Shi) (Wēnzhōu Shì)</v>
      </c>
      <c r="P1397" s="15" t="str">
        <f t="shared" si="43"/>
        <v>Zhangxi Xiang (Wenzhou Shi) (Wēnzhōu Shì)</v>
      </c>
    </row>
    <row r="1398" spans="1:16" hidden="1" x14ac:dyDescent="0.25">
      <c r="A1398" t="s">
        <v>2033</v>
      </c>
      <c r="B1398" t="str">
        <f>IF(COUNTIF(A:A,A1398)&gt;1,_xlfn.CONCAT(A1398," (",N1398,")"),A1398)</f>
        <v>Zhāngzhèn Zhèn</v>
      </c>
      <c r="C1398" t="str">
        <f>IF(COUNTIF(B:B,B1398)&gt;1,_xlfn.CONCAT(A1398," (",M1398,")"),B1398)</f>
        <v>Zhāngzhèn Zhèn</v>
      </c>
      <c r="D1398" t="s">
        <v>2034</v>
      </c>
      <c r="E1398" t="s">
        <v>11</v>
      </c>
      <c r="F1398" t="str">
        <f>_xlfn.CONCAT(D1398,", ",H1398,", ",I1398,", ","浙江省")</f>
        <v>章镇镇, 上虞区, 绍兴市, 浙江省</v>
      </c>
      <c r="G1398">
        <v>32791</v>
      </c>
      <c r="H1398" t="s">
        <v>2983</v>
      </c>
      <c r="I1398" t="s">
        <v>2981</v>
      </c>
      <c r="J1398">
        <f>VLOOKUP(F1398,[1]!china_towns_second__2[[Column1]:[Y]],3,FALSE)</f>
        <v>29.8104179906355</v>
      </c>
      <c r="K1398">
        <f>VLOOKUP(F1398,[1]!china_towns_second__2[[Column1]:[Y]],2,FALSE)</f>
        <v>120.9067467</v>
      </c>
      <c r="L1398" t="s">
        <v>5029</v>
      </c>
      <c r="M1398" t="str">
        <f>VLOOKUP(H1398,CHOOSE({1,2},Table12[Native],Table12[Name]),2,0)</f>
        <v>Shàngyú Qū</v>
      </c>
      <c r="N1398" s="15" t="str">
        <f>VLOOKUP(I1398,CHOOSE({1,2},Table12[Native],Table12[Name]),2,0)</f>
        <v>Shàoxīng Shì</v>
      </c>
      <c r="O1398" s="15" t="str">
        <f t="shared" si="42"/>
        <v>Zhangzhen Zhen (Shàoxīng Shì)</v>
      </c>
      <c r="P1398" s="15" t="str">
        <f t="shared" si="43"/>
        <v>Zhangzhen Zhen (Shàoxīng Shì)</v>
      </c>
    </row>
    <row r="1399" spans="1:16" hidden="1" x14ac:dyDescent="0.25">
      <c r="A1399" t="s">
        <v>1821</v>
      </c>
      <c r="B1399" t="str">
        <f>IF(COUNTIF(A:A,A1399)&gt;1,_xlfn.CONCAT(A1399," (",N1399,")"),A1399)</f>
        <v>Zhānjiā Zhèn</v>
      </c>
      <c r="C1399" t="str">
        <f>IF(COUNTIF(B:B,B1399)&gt;1,_xlfn.CONCAT(A1399," (",M1399,")"),B1399)</f>
        <v>Zhānjiā Zhèn</v>
      </c>
      <c r="D1399" t="s">
        <v>1822</v>
      </c>
      <c r="E1399" t="s">
        <v>11</v>
      </c>
      <c r="F1399" t="str">
        <f>_xlfn.CONCAT(D1399,", ",H1399,", ",I1399,", ","浙江省")</f>
        <v>詹家镇, 龙游县, 衢州市, 浙江省</v>
      </c>
      <c r="G1399">
        <v>20990</v>
      </c>
      <c r="H1399" t="s">
        <v>2978</v>
      </c>
      <c r="I1399" t="s">
        <v>2973</v>
      </c>
      <c r="J1399">
        <f>VLOOKUP(F1399,[1]!china_towns_second__2[[Column1]:[Y]],3,FALSE)</f>
        <v>28.994031163359399</v>
      </c>
      <c r="K1399">
        <f>VLOOKUP(F1399,[1]!china_towns_second__2[[Column1]:[Y]],2,FALSE)</f>
        <v>119.10504450000001</v>
      </c>
      <c r="L1399" t="s">
        <v>5030</v>
      </c>
      <c r="M1399" t="str">
        <f>VLOOKUP(H1399,CHOOSE({1,2},Table12[Native],Table12[Name]),2,0)</f>
        <v>Lóngyóu Xiàn</v>
      </c>
      <c r="N1399" s="15" t="str">
        <f>VLOOKUP(I1399,CHOOSE({1,2},Table12[Native],Table12[Name]),2,0)</f>
        <v>Qúzhōu Shì</v>
      </c>
      <c r="O1399" s="15" t="str">
        <f t="shared" si="42"/>
        <v>Zhanjia Zhen (Qúzhōu Shì)</v>
      </c>
      <c r="P1399" s="15" t="str">
        <f t="shared" si="43"/>
        <v>Zhanjia Zhen (Qúzhōu Shì)</v>
      </c>
    </row>
    <row r="1400" spans="1:16" hidden="1" x14ac:dyDescent="0.25">
      <c r="A1400" t="s">
        <v>2897</v>
      </c>
      <c r="B1400" t="str">
        <f>IF(COUNTIF(A:A,A1400)&gt;1,_xlfn.CONCAT(A1400," (",N1400,")"),A1400)</f>
        <v>Zhănmáo Jiēdào</v>
      </c>
      <c r="C1400" t="str">
        <f>IF(COUNTIF(B:B,B1400)&gt;1,_xlfn.CONCAT(A1400," (",M1400,")"),B1400)</f>
        <v>Zhănmáo Jiēdào</v>
      </c>
      <c r="D1400" t="s">
        <v>2898</v>
      </c>
      <c r="E1400" t="s">
        <v>15</v>
      </c>
      <c r="F1400" t="str">
        <f>_xlfn.CONCAT(D1400,", ",H1400,", ",I1400,", ","浙江省")</f>
        <v>展茅街道, 普陀区, 舟山市, 浙江省</v>
      </c>
      <c r="G1400">
        <v>20057</v>
      </c>
      <c r="H1400" t="s">
        <v>3016</v>
      </c>
      <c r="I1400" t="s">
        <v>3013</v>
      </c>
      <c r="J1400">
        <f>VLOOKUP(F1400,[1]!china_towns_second__2[[Column1]:[Y]],3,FALSE)</f>
        <v>30.043746963572801</v>
      </c>
      <c r="K1400">
        <f>VLOOKUP(F1400,[1]!china_towns_second__2[[Column1]:[Y]],2,FALSE)</f>
        <v>122.2776777</v>
      </c>
      <c r="L1400" t="s">
        <v>5031</v>
      </c>
      <c r="M1400" t="str">
        <f>VLOOKUP(H1400,CHOOSE({1,2},Table12[Native],Table12[Name]),2,0)</f>
        <v>Pŭtuó Qū</v>
      </c>
      <c r="N1400" s="15" t="str">
        <f>VLOOKUP(I1400,CHOOSE({1,2},Table12[Native],Table12[Name]),2,0)</f>
        <v>Zhōushān Shì</v>
      </c>
      <c r="O1400" s="15" t="str">
        <f t="shared" si="42"/>
        <v>Zhanmao Jiedao (Zhōushān Shì)</v>
      </c>
      <c r="P1400" s="15" t="str">
        <f t="shared" si="43"/>
        <v>Zhanmao Jiedao (Zhōushān Shì)</v>
      </c>
    </row>
    <row r="1401" spans="1:16" hidden="1" x14ac:dyDescent="0.25">
      <c r="A1401" t="s">
        <v>404</v>
      </c>
      <c r="B1401" t="str">
        <f>IF(COUNTIF(A:A,A1401)&gt;1,_xlfn.CONCAT(A1401," (",N1401,")"),A1401)</f>
        <v>Zhánòngkŏu Jiēdào</v>
      </c>
      <c r="C1401" t="str">
        <f>IF(COUNTIF(B:B,B1401)&gt;1,_xlfn.CONCAT(A1401," (",M1401,")"),B1401)</f>
        <v>Zhánòngkŏu Jiēdào</v>
      </c>
      <c r="D1401" t="s">
        <v>405</v>
      </c>
      <c r="E1401" t="s">
        <v>15</v>
      </c>
      <c r="F1401" t="str">
        <f>_xlfn.CONCAT(D1401,", ",H1401,", ",I1401,", ","浙江省")</f>
        <v>闸弄口街道, 上城区, 杭州市, 浙江省</v>
      </c>
      <c r="G1401">
        <v>91750</v>
      </c>
      <c r="H1401" t="s">
        <v>2915</v>
      </c>
      <c r="I1401" t="s">
        <v>2903</v>
      </c>
      <c r="J1401" t="e">
        <f>VLOOKUP(F1401,[1]!china_towns_second__2[[Column1]:[Y]],3,FALSE)</f>
        <v>#N/A</v>
      </c>
      <c r="K1401" t="e">
        <f>VLOOKUP(F1401,[1]!china_towns_second__2[[Column1]:[Y]],2,FALSE)</f>
        <v>#N/A</v>
      </c>
      <c r="L1401" t="s">
        <v>5032</v>
      </c>
      <c r="M1401" t="str">
        <f>VLOOKUP(H1401,CHOOSE({1,2},Table12[Native],Table12[Name]),2,0)</f>
        <v>Shàngchéng Qū</v>
      </c>
      <c r="N1401" s="15" t="str">
        <f>VLOOKUP(I1401,CHOOSE({1,2},Table12[Native],Table12[Name]),2,0)</f>
        <v>Hángzhōu Shì</v>
      </c>
      <c r="O1401" s="15" t="str">
        <f t="shared" si="42"/>
        <v>Zhanongkou Jiedao (Hángzhōu Shì)</v>
      </c>
      <c r="P1401" s="15" t="str">
        <f t="shared" si="43"/>
        <v>Zhanongkou Jiedao (Hángzhōu Shì)</v>
      </c>
    </row>
    <row r="1402" spans="1:16" hidden="1" x14ac:dyDescent="0.25">
      <c r="A1402" t="s">
        <v>1628</v>
      </c>
      <c r="B1402" t="str">
        <f>IF(COUNTIF(A:A,A1402)&gt;1,_xlfn.CONCAT(A1402," (",N1402,")"),A1402)</f>
        <v>Zhānqí Zhèn</v>
      </c>
      <c r="C1402" t="str">
        <f>IF(COUNTIF(B:B,B1402)&gt;1,_xlfn.CONCAT(A1402," (",M1402,")"),B1402)</f>
        <v>Zhānqí Zhèn</v>
      </c>
      <c r="D1402" t="s">
        <v>1629</v>
      </c>
      <c r="E1402" t="s">
        <v>11</v>
      </c>
      <c r="F1402" t="str">
        <f>_xlfn.CONCAT(D1402,", ",H1402,", ",I1402,", ","浙江省")</f>
        <v>瞻岐镇, 鄞州区, 宁波市, 浙江省</v>
      </c>
      <c r="G1402">
        <v>32616</v>
      </c>
      <c r="H1402" t="s">
        <v>2969</v>
      </c>
      <c r="I1402" t="s">
        <v>2961</v>
      </c>
      <c r="J1402">
        <f>VLOOKUP(F1402,[1]!china_towns_second__2[[Column1]:[Y]],3,FALSE)</f>
        <v>29.724701988906201</v>
      </c>
      <c r="K1402">
        <f>VLOOKUP(F1402,[1]!china_towns_second__2[[Column1]:[Y]],2,FALSE)</f>
        <v>121.820342</v>
      </c>
      <c r="L1402" t="s">
        <v>5033</v>
      </c>
      <c r="M1402" t="str">
        <f>VLOOKUP(H1402,CHOOSE({1,2},Table12[Native],Table12[Name]),2,0)</f>
        <v>Yínzhōu Qū</v>
      </c>
      <c r="N1402" s="15" t="str">
        <f>VLOOKUP(I1402,CHOOSE({1,2},Table12[Native],Table12[Name]),2,0)</f>
        <v>Níngbō Shì</v>
      </c>
      <c r="O1402" s="15" t="str">
        <f t="shared" si="42"/>
        <v>Zhanqi Zhen (Níngbō Shì)</v>
      </c>
      <c r="P1402" s="15" t="str">
        <f t="shared" si="43"/>
        <v>Zhanqi Zhen (Níngbō Shì)</v>
      </c>
    </row>
    <row r="1403" spans="1:16" hidden="1" x14ac:dyDescent="0.25">
      <c r="A1403" t="s">
        <v>1630</v>
      </c>
      <c r="B1403" t="str">
        <f>IF(COUNTIF(A:A,A1403)&gt;1,_xlfn.CONCAT(A1403," (",N1403,")"),A1403)</f>
        <v>Zhāobăoshān Jiēdào</v>
      </c>
      <c r="C1403" t="str">
        <f>IF(COUNTIF(B:B,B1403)&gt;1,_xlfn.CONCAT(A1403," (",M1403,")"),B1403)</f>
        <v>Zhāobăoshān Jiēdào</v>
      </c>
      <c r="D1403" t="s">
        <v>1631</v>
      </c>
      <c r="E1403" t="s">
        <v>15</v>
      </c>
      <c r="F1403" t="str">
        <f>_xlfn.CONCAT(D1403,", ",H1403,", ",I1403,", ","浙江省")</f>
        <v>招宝山街道, 镇海区, 宁波市, 浙江省</v>
      </c>
      <c r="G1403">
        <v>81454</v>
      </c>
      <c r="H1403" t="s">
        <v>2971</v>
      </c>
      <c r="I1403" t="s">
        <v>2961</v>
      </c>
      <c r="J1403">
        <f>VLOOKUP(F1403,[1]!china_towns_second__2[[Column1]:[Y]],3,FALSE)</f>
        <v>29.9774496955648</v>
      </c>
      <c r="K1403">
        <f>VLOOKUP(F1403,[1]!china_towns_second__2[[Column1]:[Y]],2,FALSE)</f>
        <v>121.7257978</v>
      </c>
      <c r="L1403" t="s">
        <v>5034</v>
      </c>
      <c r="M1403" t="str">
        <f>VLOOKUP(H1403,CHOOSE({1,2},Table12[Native],Table12[Name]),2,0)</f>
        <v>Zhènhăi Qū</v>
      </c>
      <c r="N1403" s="15" t="str">
        <f>VLOOKUP(I1403,CHOOSE({1,2},Table12[Native],Table12[Name]),2,0)</f>
        <v>Níngbō Shì</v>
      </c>
      <c r="O1403" s="15" t="str">
        <f t="shared" si="42"/>
        <v>Zhaobaoshan Jiedao (Níngbō Shì)</v>
      </c>
      <c r="P1403" s="15" t="str">
        <f t="shared" si="43"/>
        <v>Zhaobaoshan Jiedao (Níngbō Shì)</v>
      </c>
    </row>
    <row r="1404" spans="1:16" hidden="1" x14ac:dyDescent="0.25">
      <c r="A1404" t="s">
        <v>2035</v>
      </c>
      <c r="B1404" t="str">
        <f>IF(COUNTIF(A:A,A1404)&gt;1,_xlfn.CONCAT(A1404," (",N1404,")"),A1404)</f>
        <v>Zhàojiā Zhèn</v>
      </c>
      <c r="C1404" t="str">
        <f>IF(COUNTIF(B:B,B1404)&gt;1,_xlfn.CONCAT(A1404," (",M1404,")"),B1404)</f>
        <v>Zhàojiā Zhèn</v>
      </c>
      <c r="D1404" t="s">
        <v>2036</v>
      </c>
      <c r="E1404" t="s">
        <v>11</v>
      </c>
      <c r="F1404" t="str">
        <f>_xlfn.CONCAT(D1404,", ",H1404,", ",I1404,", ","浙江省")</f>
        <v>赵家镇, 诸暨市, 绍兴市, 浙江省</v>
      </c>
      <c r="G1404">
        <v>26670</v>
      </c>
      <c r="H1404" t="s">
        <v>2987</v>
      </c>
      <c r="I1404" t="s">
        <v>2981</v>
      </c>
      <c r="J1404">
        <f>VLOOKUP(F1404,[1]!china_towns_second__2[[Column1]:[Y]],3,FALSE)</f>
        <v>29.731181610887798</v>
      </c>
      <c r="K1404">
        <f>VLOOKUP(F1404,[1]!china_towns_second__2[[Column1]:[Y]],2,FALSE)</f>
        <v>120.47964899999999</v>
      </c>
      <c r="L1404" t="s">
        <v>5035</v>
      </c>
      <c r="M1404" t="str">
        <f>VLOOKUP(H1404,CHOOSE({1,2},Table12[Native],Table12[Name]),2,0)</f>
        <v>Zhūjì Shì</v>
      </c>
      <c r="N1404" s="15" t="str">
        <f>VLOOKUP(I1404,CHOOSE({1,2},Table12[Native],Table12[Name]),2,0)</f>
        <v>Shàoxīng Shì</v>
      </c>
      <c r="O1404" s="15" t="str">
        <f t="shared" si="42"/>
        <v>Zhaojia Zhen (Shàoxīng Shì)</v>
      </c>
      <c r="P1404" s="15" t="str">
        <f t="shared" si="43"/>
        <v>Zhaojia Zhen (Shàoxīng Shì)</v>
      </c>
    </row>
    <row r="1405" spans="1:16" hidden="1" x14ac:dyDescent="0.25">
      <c r="A1405" t="s">
        <v>1823</v>
      </c>
      <c r="B1405" t="str">
        <f>IF(COUNTIF(A:A,A1405)&gt;1,_xlfn.CONCAT(A1405," (",N1405,")"),A1405)</f>
        <v>Zhāoxián Zhèn</v>
      </c>
      <c r="C1405" t="str">
        <f>IF(COUNTIF(B:B,B1405)&gt;1,_xlfn.CONCAT(A1405," (",M1405,")"),B1405)</f>
        <v>Zhāoxián Zhèn</v>
      </c>
      <c r="D1405" t="s">
        <v>1824</v>
      </c>
      <c r="E1405" t="s">
        <v>11</v>
      </c>
      <c r="F1405" t="str">
        <f>_xlfn.CONCAT(D1405,", ",H1405,", ",I1405,", ","浙江省")</f>
        <v>招贤镇, 常山县, 衢州市, 浙江省</v>
      </c>
      <c r="G1405">
        <v>21834</v>
      </c>
      <c r="H1405" t="s">
        <v>2974</v>
      </c>
      <c r="I1405" t="s">
        <v>2973</v>
      </c>
      <c r="J1405">
        <f>VLOOKUP(F1405,[1]!china_towns_second__2[[Column1]:[Y]],3,FALSE)</f>
        <v>28.928915361164002</v>
      </c>
      <c r="K1405">
        <f>VLOOKUP(F1405,[1]!china_towns_second__2[[Column1]:[Y]],2,FALSE)</f>
        <v>118.672252</v>
      </c>
      <c r="L1405" t="s">
        <v>5036</v>
      </c>
      <c r="M1405" t="str">
        <f>VLOOKUP(H1405,CHOOSE({1,2},Table12[Native],Table12[Name]),2,0)</f>
        <v>Chángshān Xiàn</v>
      </c>
      <c r="N1405" s="15" t="str">
        <f>VLOOKUP(I1405,CHOOSE({1,2},Table12[Native],Table12[Name]),2,0)</f>
        <v>Qúzhōu Shì</v>
      </c>
      <c r="O1405" s="15" t="str">
        <f t="shared" si="42"/>
        <v>Zhaoxian Zhen (Qúzhōu Shì)</v>
      </c>
      <c r="P1405" s="15" t="str">
        <f t="shared" si="43"/>
        <v>Zhaoxian Zhen (Qúzhōu Shì)</v>
      </c>
    </row>
    <row r="1406" spans="1:16" hidden="1" x14ac:dyDescent="0.25">
      <c r="A1406" t="s">
        <v>693</v>
      </c>
      <c r="B1406" t="str">
        <f>IF(COUNTIF(A:A,A1406)&gt;1,_xlfn.CONCAT(A1406," (",N1406,")"),A1406)</f>
        <v>Zhàpŭ Zhèn</v>
      </c>
      <c r="C1406" t="str">
        <f>IF(COUNTIF(B:B,B1406)&gt;1,_xlfn.CONCAT(A1406," (",M1406,")"),B1406)</f>
        <v>Zhàpŭ Zhèn</v>
      </c>
      <c r="D1406" t="s">
        <v>694</v>
      </c>
      <c r="E1406" t="s">
        <v>11</v>
      </c>
      <c r="F1406" t="str">
        <f>_xlfn.CONCAT(D1406,", ",H1406,", ",I1406,", ","浙江省")</f>
        <v>乍浦镇, 平湖市, 嘉兴市, 浙江省</v>
      </c>
      <c r="G1406">
        <v>83527</v>
      </c>
      <c r="H1406" t="s">
        <v>2934</v>
      </c>
      <c r="I1406" t="s">
        <v>2929</v>
      </c>
      <c r="J1406">
        <f>VLOOKUP(F1406,[1]!china_towns_second__2[[Column1]:[Y]],3,FALSE)</f>
        <v>30.6128589948088</v>
      </c>
      <c r="K1406">
        <f>VLOOKUP(F1406,[1]!china_towns_second__2[[Column1]:[Y]],2,FALSE)</f>
        <v>121.08723809999999</v>
      </c>
      <c r="L1406" t="s">
        <v>5037</v>
      </c>
      <c r="M1406" t="str">
        <f>VLOOKUP(H1406,CHOOSE({1,2},Table12[Native],Table12[Name]),2,0)</f>
        <v>Pínghú Shì</v>
      </c>
      <c r="N1406" s="15" t="str">
        <f>VLOOKUP(I1406,CHOOSE({1,2},Table12[Native],Table12[Name]),2,0)</f>
        <v>Jiāxīng Shì</v>
      </c>
      <c r="O1406" s="15" t="str">
        <f t="shared" si="42"/>
        <v>Zhapu Zhen (Jiāxīng Shì)</v>
      </c>
      <c r="P1406" s="15" t="str">
        <f t="shared" si="43"/>
        <v>Zhapu Zhen (Jiāxīng Shì)</v>
      </c>
    </row>
    <row r="1407" spans="1:16" hidden="1" x14ac:dyDescent="0.25">
      <c r="A1407" t="s">
        <v>1314</v>
      </c>
      <c r="B1407" t="str">
        <f>IF(COUNTIF(A:A,A1407)&gt;1,_xlfn.CONCAT(A1407," (",N1407,")"),A1407)</f>
        <v>Zhèdàikŏu Xiāng</v>
      </c>
      <c r="C1407" t="str">
        <f>IF(COUNTIF(B:B,B1407)&gt;1,_xlfn.CONCAT(A1407," (",M1407,")"),B1407)</f>
        <v>Zhèdàikŏu Xiāng</v>
      </c>
      <c r="D1407" t="s">
        <v>1315</v>
      </c>
      <c r="E1407" t="s">
        <v>7</v>
      </c>
      <c r="F1407" t="str">
        <f>_xlfn.CONCAT(D1407,", ",H1407,", ",I1407,", ","浙江省")</f>
        <v>柘岱口乡, 遂昌县, 丽水市, 浙江省</v>
      </c>
      <c r="G1407">
        <v>4362</v>
      </c>
      <c r="H1407" t="s">
        <v>2958</v>
      </c>
      <c r="I1407" t="s">
        <v>2949</v>
      </c>
      <c r="J1407" t="e">
        <f>VLOOKUP(F1407,[1]!china_towns_second__2[[Column1]:[Y]],3,FALSE)</f>
        <v>#N/A</v>
      </c>
      <c r="K1407" t="e">
        <f>VLOOKUP(F1407,[1]!china_towns_second__2[[Column1]:[Y]],2,FALSE)</f>
        <v>#N/A</v>
      </c>
      <c r="L1407" t="s">
        <v>5038</v>
      </c>
      <c r="M1407" t="str">
        <f>VLOOKUP(H1407,CHOOSE({1,2},Table12[Native],Table12[Name]),2,0)</f>
        <v>Suìchāng Xiàn</v>
      </c>
      <c r="N1407" s="15" t="str">
        <f>VLOOKUP(I1407,CHOOSE({1,2},Table12[Native],Table12[Name]),2,0)</f>
        <v>Lìshuĭ Shì</v>
      </c>
      <c r="O1407" s="15" t="str">
        <f t="shared" si="42"/>
        <v>Zhedaikou Xiang (Lìshuĭ Shì)</v>
      </c>
      <c r="P1407" s="15" t="str">
        <f t="shared" si="43"/>
        <v>Zhedaikou Xiang (Lìshuĭ Shì)</v>
      </c>
    </row>
    <row r="1408" spans="1:16" hidden="1" x14ac:dyDescent="0.25">
      <c r="A1408" t="s">
        <v>2810</v>
      </c>
      <c r="B1408" t="str">
        <f>IF(COUNTIF(A:A,A1408)&gt;1,_xlfn.CONCAT(A1408," (",N1408,")"),A1408)</f>
        <v>Zhèn'ān Xiāng</v>
      </c>
      <c r="C1408" t="str">
        <f>IF(COUNTIF(B:B,B1408)&gt;1,_xlfn.CONCAT(A1408," (",M1408,")"),B1408)</f>
        <v>Zhèn'ān Xiāng</v>
      </c>
      <c r="D1408" t="s">
        <v>2811</v>
      </c>
      <c r="E1408" t="s">
        <v>7</v>
      </c>
      <c r="F1408" t="str">
        <f>_xlfn.CONCAT(D1408,", ",H1408,", ",I1408,", ","浙江省")</f>
        <v>镇安乡, 乐清市, 温州市, 浙江省</v>
      </c>
      <c r="G1408">
        <v>5698</v>
      </c>
      <c r="H1408" t="s">
        <v>3011</v>
      </c>
      <c r="I1408" t="s">
        <v>3000</v>
      </c>
      <c r="J1408" t="e">
        <f>VLOOKUP(F1408,[1]!china_towns_second__2[[Column1]:[Y]],3,FALSE)</f>
        <v>#N/A</v>
      </c>
      <c r="K1408" t="e">
        <f>VLOOKUP(F1408,[1]!china_towns_second__2[[Column1]:[Y]],2,FALSE)</f>
        <v>#N/A</v>
      </c>
      <c r="L1408" t="s">
        <v>5039</v>
      </c>
      <c r="M1408" t="str">
        <f>VLOOKUP(H1408,CHOOSE({1,2},Table12[Native],Table12[Name]),2,0)</f>
        <v>Yuèqīng Shì</v>
      </c>
      <c r="N1408" s="15" t="str">
        <f>VLOOKUP(I1408,CHOOSE({1,2},Table12[Native],Table12[Name]),2,0)</f>
        <v>Wēnzhōu Shì</v>
      </c>
      <c r="O1408" s="15" t="str">
        <f t="shared" si="42"/>
        <v>Zhen'an Xiang (Wēnzhōu Shì)</v>
      </c>
      <c r="P1408" s="15" t="str">
        <f t="shared" si="43"/>
        <v>Zhen'an Xiang (Wēnzhōu Shì)</v>
      </c>
    </row>
    <row r="1409" spans="1:16" hidden="1" x14ac:dyDescent="0.25">
      <c r="A1409" t="s">
        <v>1316</v>
      </c>
      <c r="B1409" t="str">
        <f>IF(COUNTIF(A:A,A1409)&gt;1,_xlfn.CONCAT(A1409," (",N1409,")"),A1409)</f>
        <v>Zhēnbù Zhèn</v>
      </c>
      <c r="C1409" t="str">
        <f>IF(COUNTIF(B:B,B1409)&gt;1,_xlfn.CONCAT(A1409," (",M1409,")"),B1409)</f>
        <v>Zhēnbù Zhèn</v>
      </c>
      <c r="D1409" t="s">
        <v>1317</v>
      </c>
      <c r="E1409" t="s">
        <v>11</v>
      </c>
      <c r="F1409" t="str">
        <f>_xlfn.CONCAT(D1409,", ",H1409,", ",I1409,", ","浙江省")</f>
        <v>祯埠镇, 青田县, 丽水市, 浙江省</v>
      </c>
      <c r="G1409">
        <v>8150</v>
      </c>
      <c r="H1409" t="s">
        <v>2955</v>
      </c>
      <c r="I1409" t="s">
        <v>2949</v>
      </c>
      <c r="J1409">
        <f>VLOOKUP(F1409,[1]!china_towns_second__2[[Column1]:[Y]],3,FALSE)</f>
        <v>28.2985486021954</v>
      </c>
      <c r="K1409">
        <f>VLOOKUP(F1409,[1]!china_towns_second__2[[Column1]:[Y]],2,FALSE)</f>
        <v>120.00625530000001</v>
      </c>
      <c r="L1409" t="s">
        <v>5040</v>
      </c>
      <c r="M1409" t="str">
        <f>VLOOKUP(H1409,CHOOSE({1,2},Table12[Native],Table12[Name]),2,0)</f>
        <v>Qīngtián Xiàn</v>
      </c>
      <c r="N1409" s="15" t="str">
        <f>VLOOKUP(I1409,CHOOSE({1,2},Table12[Native],Table12[Name]),2,0)</f>
        <v>Lìshuĭ Shì</v>
      </c>
      <c r="O1409" s="15" t="str">
        <f t="shared" si="42"/>
        <v>Zhenbu Zhen (Lìshuĭ Shì)</v>
      </c>
      <c r="P1409" s="15" t="str">
        <f t="shared" si="43"/>
        <v>Zhenbu Zhen (Lìshuĭ Shì)</v>
      </c>
    </row>
    <row r="1410" spans="1:16" hidden="1" x14ac:dyDescent="0.25">
      <c r="A1410" t="s">
        <v>2812</v>
      </c>
      <c r="B1410" t="str">
        <f>IF(COUNTIF(A:A,A1410)&gt;1,_xlfn.CONCAT(A1410," (",N1410,")"),A1410)</f>
        <v>Zhèngjiāngshān Línchăng</v>
      </c>
      <c r="C1410" t="str">
        <f>IF(COUNTIF(B:B,B1410)&gt;1,_xlfn.CONCAT(A1410," (",M1410,")"),B1410)</f>
        <v>Zhèngjiāngshān Línchăng</v>
      </c>
      <c r="D1410" t="s">
        <v>2813</v>
      </c>
      <c r="E1410" t="s">
        <v>253</v>
      </c>
      <c r="F1410" t="str">
        <f>_xlfn.CONCAT(D1410,", ",H1410,", ",I1410,", ","浙江省")</f>
        <v>正江山林场, 永嘉县, 温州市, 浙江省</v>
      </c>
      <c r="G1410">
        <v>57</v>
      </c>
      <c r="H1410" t="s">
        <v>3010</v>
      </c>
      <c r="I1410" t="s">
        <v>3000</v>
      </c>
      <c r="J1410">
        <f>VLOOKUP(F1410,[1]!china_towns_second__2[[Column1]:[Y]],3,FALSE)</f>
        <v>28.3427983149416</v>
      </c>
      <c r="K1410">
        <f>VLOOKUP(F1410,[1]!china_towns_second__2[[Column1]:[Y]],2,FALSE)</f>
        <v>120.8643182</v>
      </c>
      <c r="L1410" t="s">
        <v>5041</v>
      </c>
      <c r="M1410" t="str">
        <f>VLOOKUP(H1410,CHOOSE({1,2},Table12[Native],Table12[Name]),2,0)</f>
        <v>Yŏngjiā Xiàn</v>
      </c>
      <c r="N1410" s="15" t="str">
        <f>VLOOKUP(I1410,CHOOSE({1,2},Table12[Native],Table12[Name]),2,0)</f>
        <v>Wēnzhōu Shì</v>
      </c>
      <c r="O1410" s="15" t="str">
        <f t="shared" ref="O1410:O1473" si="44">_xlfn.CONCAT(L1410," (",N1410,")")</f>
        <v>Zhengjiangshan Linchang (Wēnzhōu Shì)</v>
      </c>
      <c r="P1410" s="15" t="str">
        <f t="shared" ref="P1410:P1473" si="45">IF(COUNTIF(O:O,O1410)&gt;1,_xlfn.CONCAT(L1410," (",M1410,")"),O1410)</f>
        <v>Zhengjiangshan Linchang (Wēnzhōu Shì)</v>
      </c>
    </row>
    <row r="1411" spans="1:16" hidden="1" x14ac:dyDescent="0.25">
      <c r="A1411" t="s">
        <v>979</v>
      </c>
      <c r="B1411" t="str">
        <f>IF(COUNTIF(A:A,A1411)&gt;1,_xlfn.CONCAT(A1411," (",N1411,")"),A1411)</f>
        <v>Zhèngjiāwù Zhèn</v>
      </c>
      <c r="C1411" t="str">
        <f>IF(COUNTIF(B:B,B1411)&gt;1,_xlfn.CONCAT(A1411," (",M1411,")"),B1411)</f>
        <v>Zhèngjiāwù Zhèn</v>
      </c>
      <c r="D1411" t="s">
        <v>980</v>
      </c>
      <c r="E1411" t="s">
        <v>11</v>
      </c>
      <c r="F1411" t="str">
        <f>_xlfn.CONCAT(D1411,", ",H1411,", ",I1411,", ","浙江省")</f>
        <v>郑家坞镇, 浦江县, 金华市, 浙江省</v>
      </c>
      <c r="G1411">
        <v>12433</v>
      </c>
      <c r="H1411" t="s">
        <v>2943</v>
      </c>
      <c r="I1411" t="s">
        <v>2938</v>
      </c>
      <c r="J1411">
        <f>VLOOKUP(F1411,[1]!china_towns_second__2[[Column1]:[Y]],3,FALSE)</f>
        <v>29.471440208040001</v>
      </c>
      <c r="K1411">
        <f>VLOOKUP(F1411,[1]!china_towns_second__2[[Column1]:[Y]],2,FALSE)</f>
        <v>120.0664706</v>
      </c>
      <c r="L1411" t="s">
        <v>5042</v>
      </c>
      <c r="M1411" t="str">
        <f>VLOOKUP(H1411,CHOOSE({1,2},Table12[Native],Table12[Name]),2,0)</f>
        <v>Pŭjiāng Xiàn</v>
      </c>
      <c r="N1411" s="15" t="str">
        <f>VLOOKUP(I1411,CHOOSE({1,2},Table12[Native],Table12[Name]),2,0)</f>
        <v>Jīnhuá Shì</v>
      </c>
      <c r="O1411" s="15" t="str">
        <f t="shared" si="44"/>
        <v>Zhengjiawu Zhen (Jīnhuá Shì)</v>
      </c>
      <c r="P1411" s="15" t="str">
        <f t="shared" si="45"/>
        <v>Zhengjiawu Zhen (Jīnhuá Shì)</v>
      </c>
    </row>
    <row r="1412" spans="1:16" hidden="1" x14ac:dyDescent="0.25">
      <c r="A1412" t="s">
        <v>1318</v>
      </c>
      <c r="B1412" t="str">
        <f>IF(COUNTIF(A:A,A1412)&gt;1,_xlfn.CONCAT(A1412," (",N1412,")"),A1412)</f>
        <v>Zhèngkēng Xiāng</v>
      </c>
      <c r="C1412" t="str">
        <f>IF(COUNTIF(B:B,B1412)&gt;1,_xlfn.CONCAT(A1412," (",M1412,")"),B1412)</f>
        <v>Zhèngkēng Xiāng</v>
      </c>
      <c r="D1412" t="s">
        <v>1319</v>
      </c>
      <c r="E1412" t="s">
        <v>7</v>
      </c>
      <c r="F1412" t="str">
        <f>_xlfn.CONCAT(D1412,", ",H1412,", ",I1412,", ","浙江省")</f>
        <v>郑坑乡, 景宁畲族自治县, 丽水市, 浙江省</v>
      </c>
      <c r="G1412">
        <v>1619</v>
      </c>
      <c r="H1412" t="s">
        <v>2951</v>
      </c>
      <c r="I1412" t="s">
        <v>2949</v>
      </c>
      <c r="J1412" t="e">
        <f>VLOOKUP(F1412,[1]!china_towns_second__2[[Column1]:[Y]],3,FALSE)</f>
        <v>#N/A</v>
      </c>
      <c r="K1412" t="e">
        <f>VLOOKUP(F1412,[1]!china_towns_second__2[[Column1]:[Y]],2,FALSE)</f>
        <v>#N/A</v>
      </c>
      <c r="L1412" t="s">
        <v>5043</v>
      </c>
      <c r="M1412" t="str">
        <f>VLOOKUP(H1412,CHOOSE({1,2},Table12[Native],Table12[Name]),2,0)</f>
        <v>Jĭngníng Shēzú Zìzhìxiàn</v>
      </c>
      <c r="N1412" s="15" t="str">
        <f>VLOOKUP(I1412,CHOOSE({1,2},Table12[Native],Table12[Name]),2,0)</f>
        <v>Lìshuĭ Shì</v>
      </c>
      <c r="O1412" s="15" t="str">
        <f t="shared" si="44"/>
        <v>Zhengkeng Xiang (Lìshuĭ Shì)</v>
      </c>
      <c r="P1412" s="15" t="str">
        <f t="shared" si="45"/>
        <v>Zhengkeng Xiang (Lìshuĭ Shì)</v>
      </c>
    </row>
    <row r="1413" spans="1:16" hidden="1" x14ac:dyDescent="0.25">
      <c r="A1413" t="s">
        <v>981</v>
      </c>
      <c r="B1413" t="str">
        <f>IF(COUNTIF(A:A,A1413)&gt;1,_xlfn.CONCAT(A1413," (",N1413,")"),A1413)</f>
        <v>Zhèngzhái Zhèn</v>
      </c>
      <c r="C1413" t="str">
        <f>IF(COUNTIF(B:B,B1413)&gt;1,_xlfn.CONCAT(A1413," (",M1413,")"),B1413)</f>
        <v>Zhèngzhái Zhèn</v>
      </c>
      <c r="D1413" t="s">
        <v>982</v>
      </c>
      <c r="E1413" t="s">
        <v>11</v>
      </c>
      <c r="F1413" t="str">
        <f>_xlfn.CONCAT(D1413,", ",H1413,", ",I1413,", ","浙江省")</f>
        <v>郑宅镇, 浦江县, 金华市, 浙江省</v>
      </c>
      <c r="G1413">
        <v>29420</v>
      </c>
      <c r="H1413" t="s">
        <v>2943</v>
      </c>
      <c r="I1413" t="s">
        <v>2938</v>
      </c>
      <c r="J1413">
        <f>VLOOKUP(F1413,[1]!china_towns_second__2[[Column1]:[Y]],3,FALSE)</f>
        <v>29.513045679120399</v>
      </c>
      <c r="K1413">
        <f>VLOOKUP(F1413,[1]!china_towns_second__2[[Column1]:[Y]],2,FALSE)</f>
        <v>119.99010130000001</v>
      </c>
      <c r="L1413" t="s">
        <v>5044</v>
      </c>
      <c r="M1413" t="str">
        <f>VLOOKUP(H1413,CHOOSE({1,2},Table12[Native],Table12[Name]),2,0)</f>
        <v>Pŭjiāng Xiàn</v>
      </c>
      <c r="N1413" s="15" t="str">
        <f>VLOOKUP(I1413,CHOOSE({1,2},Table12[Native],Table12[Name]),2,0)</f>
        <v>Jīnhuá Shì</v>
      </c>
      <c r="O1413" s="15" t="str">
        <f t="shared" si="44"/>
        <v>Zhengzhai Zhen (Jīnhuá Shì)</v>
      </c>
      <c r="P1413" s="15" t="str">
        <f t="shared" si="45"/>
        <v>Zhengzhai Zhen (Jīnhuá Shì)</v>
      </c>
    </row>
    <row r="1414" spans="1:16" hidden="1" x14ac:dyDescent="0.25">
      <c r="A1414" t="s">
        <v>1320</v>
      </c>
      <c r="B1414" t="str">
        <f>IF(COUNTIF(A:A,A1414)&gt;1,_xlfn.CONCAT(A1414," (",N1414,")"),A1414)</f>
        <v>Zhēnwàng Xiāng</v>
      </c>
      <c r="C1414" t="str">
        <f>IF(COUNTIF(B:B,B1414)&gt;1,_xlfn.CONCAT(A1414," (",M1414,")"),B1414)</f>
        <v>Zhēnwàng Xiāng</v>
      </c>
      <c r="D1414" t="s">
        <v>1321</v>
      </c>
      <c r="E1414" t="s">
        <v>7</v>
      </c>
      <c r="F1414" t="str">
        <f>_xlfn.CONCAT(D1414,", ",H1414,", ",I1414,", ","浙江省")</f>
        <v>祯旺乡, 青田县, 丽水市, 浙江省</v>
      </c>
      <c r="G1414">
        <v>2312</v>
      </c>
      <c r="H1414" t="s">
        <v>2955</v>
      </c>
      <c r="I1414" t="s">
        <v>2949</v>
      </c>
      <c r="J1414" t="e">
        <f>VLOOKUP(F1414,[1]!china_towns_second__2[[Column1]:[Y]],3,FALSE)</f>
        <v>#N/A</v>
      </c>
      <c r="K1414" t="e">
        <f>VLOOKUP(F1414,[1]!china_towns_second__2[[Column1]:[Y]],2,FALSE)</f>
        <v>#N/A</v>
      </c>
      <c r="L1414" t="s">
        <v>5045</v>
      </c>
      <c r="M1414" t="str">
        <f>VLOOKUP(H1414,CHOOSE({1,2},Table12[Native],Table12[Name]),2,0)</f>
        <v>Qīngtián Xiàn</v>
      </c>
      <c r="N1414" s="15" t="str">
        <f>VLOOKUP(I1414,CHOOSE({1,2},Table12[Native],Table12[Name]),2,0)</f>
        <v>Lìshuĭ Shì</v>
      </c>
      <c r="O1414" s="15" t="str">
        <f t="shared" si="44"/>
        <v>Zhenwang Xiang (Lìshuĭ Shì)</v>
      </c>
      <c r="P1414" s="15" t="str">
        <f t="shared" si="45"/>
        <v>Zhenwang Xiang (Lìshuĭ Shì)</v>
      </c>
    </row>
    <row r="1415" spans="1:16" hidden="1" x14ac:dyDescent="0.25">
      <c r="A1415" t="s">
        <v>545</v>
      </c>
      <c r="B1415" t="str">
        <f>IF(COUNTIF(A:A,A1415)&gt;1,_xlfn.CONCAT(A1415," (",N1415,")"),A1415)</f>
        <v>Zhìchéng Jiēdào [incl. Huàxī Jiēdào, Tàihú Jiēdào]</v>
      </c>
      <c r="C1415" t="str">
        <f>IF(COUNTIF(B:B,B1415)&gt;1,_xlfn.CONCAT(A1415," (",M1415,")"),B1415)</f>
        <v>Zhìchéng Jiēdào [incl. Huàxī Jiēdào, Tàihú Jiēdào]</v>
      </c>
      <c r="D1415" t="s">
        <v>546</v>
      </c>
      <c r="E1415" t="s">
        <v>15</v>
      </c>
      <c r="F1415" t="str">
        <f>_xlfn.CONCAT(D1415,", ",H1415,", ",I1415,", ","浙江省")</f>
        <v>雉城街道, 长兴县, 湖州市, 浙江省</v>
      </c>
      <c r="G1415">
        <v>253443</v>
      </c>
      <c r="H1415" t="s">
        <v>2924</v>
      </c>
      <c r="I1415" t="s">
        <v>2922</v>
      </c>
      <c r="J1415">
        <f>VLOOKUP(F1415,[1]!china_towns_second__2[[Column1]:[Y]],3,FALSE)</f>
        <v>31.0467717689179</v>
      </c>
      <c r="K1415">
        <f>VLOOKUP(F1415,[1]!china_towns_second__2[[Column1]:[Y]],2,FALSE)</f>
        <v>119.8731136</v>
      </c>
      <c r="L1415" t="s">
        <v>5046</v>
      </c>
      <c r="M1415" t="str">
        <f>VLOOKUP(H1415,CHOOSE({1,2},Table12[Native],Table12[Name]),2,0)</f>
        <v>Chángxīng Xiàn</v>
      </c>
      <c r="N1415" s="15" t="str">
        <f>VLOOKUP(I1415,CHOOSE({1,2},Table12[Native],Table12[Name]),2,0)</f>
        <v>Húzhōu Shì</v>
      </c>
      <c r="O1415" s="15" t="str">
        <f t="shared" si="44"/>
        <v>Zhicheng Jiedao [incl. Huaxi Jiedao, Taihu Jiedao] (Húzhōu Shì)</v>
      </c>
      <c r="P1415" s="15" t="str">
        <f t="shared" si="45"/>
        <v>Zhicheng Jiedao [incl. Huaxi Jiedao, Taihu Jiedao] (Húzhōu Shì)</v>
      </c>
    </row>
    <row r="1416" spans="1:16" hidden="1" x14ac:dyDescent="0.25">
      <c r="A1416" t="s">
        <v>547</v>
      </c>
      <c r="B1416" t="str">
        <f>IF(COUNTIF(A:A,A1416)&gt;1,_xlfn.CONCAT(A1416," (",N1416,")"),A1416)</f>
        <v>Zhīlĭ Zhèn</v>
      </c>
      <c r="C1416" t="str">
        <f>IF(COUNTIF(B:B,B1416)&gt;1,_xlfn.CONCAT(A1416," (",M1416,")"),B1416)</f>
        <v>Zhīlĭ Zhèn</v>
      </c>
      <c r="D1416" t="s">
        <v>548</v>
      </c>
      <c r="E1416" t="s">
        <v>11</v>
      </c>
      <c r="F1416" t="str">
        <f>_xlfn.CONCAT(D1416,", ",H1416,", ",I1416,", ","浙江省")</f>
        <v>织里镇, 吴兴区, 湖州市, 浙江省</v>
      </c>
      <c r="G1416">
        <v>186609</v>
      </c>
      <c r="H1416" t="s">
        <v>2927</v>
      </c>
      <c r="I1416" t="s">
        <v>2922</v>
      </c>
      <c r="J1416">
        <f>VLOOKUP(F1416,[1]!china_towns_second__2[[Column1]:[Y]],3,FALSE)</f>
        <v>30.8903722832003</v>
      </c>
      <c r="K1416">
        <f>VLOOKUP(F1416,[1]!china_towns_second__2[[Column1]:[Y]],2,FALSE)</f>
        <v>120.2866077</v>
      </c>
      <c r="L1416" t="s">
        <v>5047</v>
      </c>
      <c r="M1416" t="str">
        <f>VLOOKUP(H1416,CHOOSE({1,2},Table12[Native],Table12[Name]),2,0)</f>
        <v>Wúxīng Qū</v>
      </c>
      <c r="N1416" s="15" t="str">
        <f>VLOOKUP(I1416,CHOOSE({1,2},Table12[Native],Table12[Name]),2,0)</f>
        <v>Húzhōu Shì</v>
      </c>
      <c r="O1416" s="15" t="str">
        <f t="shared" si="44"/>
        <v>Zhili Zhen (Húzhōu Shì)</v>
      </c>
      <c r="P1416" s="15" t="str">
        <f t="shared" si="45"/>
        <v>Zhili Zhen (Húzhōu Shì)</v>
      </c>
    </row>
    <row r="1417" spans="1:16" hidden="1" x14ac:dyDescent="0.25">
      <c r="A1417" t="s">
        <v>2814</v>
      </c>
      <c r="B1417" t="str">
        <f>IF(COUNTIF(A:A,A1417)&gt;1,_xlfn.CONCAT(A1417," (",N1417,")"),A1417)</f>
        <v>Zhìrén Xiāng [→ Dàjīng Zhèn]</v>
      </c>
      <c r="C1417" t="str">
        <f>IF(COUNTIF(B:B,B1417)&gt;1,_xlfn.CONCAT(A1417," (",M1417,")"),B1417)</f>
        <v>Zhìrén Xiāng [→ Dàjīng Zhèn]</v>
      </c>
      <c r="D1417" t="s">
        <v>2815</v>
      </c>
      <c r="E1417" t="s">
        <v>7</v>
      </c>
      <c r="F1417" t="str">
        <f>_xlfn.CONCAT(D1417,", ",H1417,", ",I1417,", ","浙江省")</f>
        <v>智仁乡, 乐清市, 温州市, 浙江省</v>
      </c>
      <c r="G1417">
        <v>9284</v>
      </c>
      <c r="H1417" t="s">
        <v>3011</v>
      </c>
      <c r="I1417" t="s">
        <v>3000</v>
      </c>
      <c r="J1417" t="e">
        <f>VLOOKUP(F1417,[1]!china_towns_second__2[[Column1]:[Y]],3,FALSE)</f>
        <v>#N/A</v>
      </c>
      <c r="K1417" t="e">
        <f>VLOOKUP(F1417,[1]!china_towns_second__2[[Column1]:[Y]],2,FALSE)</f>
        <v>#N/A</v>
      </c>
      <c r="L1417" t="s">
        <v>5048</v>
      </c>
      <c r="M1417" t="str">
        <f>VLOOKUP(H1417,CHOOSE({1,2},Table12[Native],Table12[Name]),2,0)</f>
        <v>Yuèqīng Shì</v>
      </c>
      <c r="N1417" s="15" t="str">
        <f>VLOOKUP(I1417,CHOOSE({1,2},Table12[Native],Table12[Name]),2,0)</f>
        <v>Wēnzhōu Shì</v>
      </c>
      <c r="O1417" s="15" t="str">
        <f t="shared" si="44"/>
        <v>Zhiren Xiang [→ Dajing Zhen] (Wēnzhōu Shì)</v>
      </c>
      <c r="P1417" s="15" t="str">
        <f t="shared" si="45"/>
        <v>Zhiren Xiang [→ Dajing Zhen] (Wēnzhōu Shì)</v>
      </c>
    </row>
    <row r="1418" spans="1:16" hidden="1" x14ac:dyDescent="0.25">
      <c r="A1418" t="s">
        <v>983</v>
      </c>
      <c r="B1418" t="str">
        <f>IF(COUNTIF(A:A,A1418)&gt;1,_xlfn.CONCAT(A1418," (",N1418,")"),A1418)</f>
        <v>Zhīyīng Zhèn</v>
      </c>
      <c r="C1418" t="str">
        <f>IF(COUNTIF(B:B,B1418)&gt;1,_xlfn.CONCAT(A1418," (",M1418,")"),B1418)</f>
        <v>Zhīyīng Zhèn</v>
      </c>
      <c r="D1418" t="s">
        <v>984</v>
      </c>
      <c r="E1418" t="s">
        <v>11</v>
      </c>
      <c r="F1418" t="str">
        <f>_xlfn.CONCAT(D1418,", ",H1418,", ",I1418,", ","浙江省")</f>
        <v>芝英镇, 永康市, 金华市, 浙江省</v>
      </c>
      <c r="G1418">
        <v>60241</v>
      </c>
      <c r="H1418" t="s">
        <v>2947</v>
      </c>
      <c r="I1418" t="s">
        <v>2938</v>
      </c>
      <c r="J1418">
        <f>VLOOKUP(F1418,[1]!china_towns_second__2[[Column1]:[Y]],3,FALSE)</f>
        <v>28.9348119563018</v>
      </c>
      <c r="K1418">
        <f>VLOOKUP(F1418,[1]!china_towns_second__2[[Column1]:[Y]],2,FALSE)</f>
        <v>120.1333757</v>
      </c>
      <c r="L1418" t="s">
        <v>5049</v>
      </c>
      <c r="M1418" t="str">
        <f>VLOOKUP(H1418,CHOOSE({1,2},Table12[Native],Table12[Name]),2,0)</f>
        <v>Yŏngkāng Shì</v>
      </c>
      <c r="N1418" s="15" t="str">
        <f>VLOOKUP(I1418,CHOOSE({1,2},Table12[Native],Table12[Name]),2,0)</f>
        <v>Jīnhuá Shì</v>
      </c>
      <c r="O1418" s="15" t="str">
        <f t="shared" si="44"/>
        <v>Zhiying Zhen (Jīnhuá Shì)</v>
      </c>
      <c r="P1418" s="15" t="str">
        <f t="shared" si="45"/>
        <v>Zhiying Zhen (Jīnhuá Shì)</v>
      </c>
    </row>
    <row r="1419" spans="1:16" hidden="1" x14ac:dyDescent="0.25">
      <c r="A1419" t="s">
        <v>1825</v>
      </c>
      <c r="B1419" t="str">
        <f>IF(COUNTIF(A:A,A1419)&gt;1,_xlfn.CONCAT(A1419," (",N1419,")"),A1419)</f>
        <v>Zhōngcūn Xiāng</v>
      </c>
      <c r="C1419" t="str">
        <f>IF(COUNTIF(B:B,B1419)&gt;1,_xlfn.CONCAT(A1419," (",M1419,")"),B1419)</f>
        <v>Zhōngcūn Xiāng</v>
      </c>
      <c r="D1419" t="s">
        <v>1826</v>
      </c>
      <c r="E1419" t="s">
        <v>7</v>
      </c>
      <c r="F1419" t="str">
        <f>_xlfn.CONCAT(D1419,", ",H1419,", ",I1419,", ","浙江省")</f>
        <v>中村乡, 开化县, 衢州市, 浙江省</v>
      </c>
      <c r="G1419">
        <v>4933</v>
      </c>
      <c r="H1419" t="s">
        <v>2976</v>
      </c>
      <c r="I1419" t="s">
        <v>2973</v>
      </c>
      <c r="J1419" t="e">
        <f>VLOOKUP(F1419,[1]!china_towns_second__2[[Column1]:[Y]],3,FALSE)</f>
        <v>#N/A</v>
      </c>
      <c r="K1419" t="e">
        <f>VLOOKUP(F1419,[1]!china_towns_second__2[[Column1]:[Y]],2,FALSE)</f>
        <v>#N/A</v>
      </c>
      <c r="L1419" t="s">
        <v>5050</v>
      </c>
      <c r="M1419" t="str">
        <f>VLOOKUP(H1419,CHOOSE({1,2},Table12[Native],Table12[Name]),2,0)</f>
        <v>Kāihuà Xiàn</v>
      </c>
      <c r="N1419" s="15" t="str">
        <f>VLOOKUP(I1419,CHOOSE({1,2},Table12[Native],Table12[Name]),2,0)</f>
        <v>Qúzhōu Shì</v>
      </c>
      <c r="O1419" s="15" t="str">
        <f t="shared" si="44"/>
        <v>Zhongcun Xiang (Qúzhōu Shì)</v>
      </c>
      <c r="P1419" s="15" t="str">
        <f t="shared" si="45"/>
        <v>Zhongcun Xiang (Qúzhōu Shì)</v>
      </c>
    </row>
    <row r="1420" spans="1:16" hidden="1" x14ac:dyDescent="0.25">
      <c r="A1420" t="s">
        <v>695</v>
      </c>
      <c r="B1420" t="str">
        <f>IF(COUNTIF(A:A,A1420)&gt;1,_xlfn.CONCAT(A1420," (",N1420,")"),A1420)</f>
        <v>Zhōngdài Jiēdào</v>
      </c>
      <c r="C1420" t="str">
        <f>IF(COUNTIF(B:B,B1420)&gt;1,_xlfn.CONCAT(A1420," (",M1420,")"),B1420)</f>
        <v>Zhōngdài Jiēdào</v>
      </c>
      <c r="D1420" t="s">
        <v>696</v>
      </c>
      <c r="E1420" t="s">
        <v>15</v>
      </c>
      <c r="F1420" t="str">
        <f>_xlfn.CONCAT(D1420,", ",H1420,", ",I1420,", ","浙江省")</f>
        <v>钟埭街道, 平湖市, 嘉兴市, 浙江省</v>
      </c>
      <c r="G1420">
        <v>98153</v>
      </c>
      <c r="H1420" t="s">
        <v>2934</v>
      </c>
      <c r="I1420" t="s">
        <v>2929</v>
      </c>
      <c r="J1420">
        <f>VLOOKUP(F1420,[1]!china_towns_second__2[[Column1]:[Y]],3,FALSE)</f>
        <v>30.7461500631386</v>
      </c>
      <c r="K1420">
        <f>VLOOKUP(F1420,[1]!china_towns_second__2[[Column1]:[Y]],2,FALSE)</f>
        <v>121.0087848</v>
      </c>
      <c r="L1420" t="s">
        <v>5051</v>
      </c>
      <c r="M1420" t="str">
        <f>VLOOKUP(H1420,CHOOSE({1,2},Table12[Native],Table12[Name]),2,0)</f>
        <v>Pínghú Shì</v>
      </c>
      <c r="N1420" s="15" t="str">
        <f>VLOOKUP(I1420,CHOOSE({1,2},Table12[Native],Table12[Name]),2,0)</f>
        <v>Jiāxīng Shì</v>
      </c>
      <c r="O1420" s="15" t="str">
        <f t="shared" si="44"/>
        <v>Zhongdai Jiedao (Jiāxīng Shì)</v>
      </c>
      <c r="P1420" s="15" t="str">
        <f t="shared" si="45"/>
        <v>Zhongdai Jiedao (Jiāxīng Shì)</v>
      </c>
    </row>
    <row r="1421" spans="1:16" hidden="1" x14ac:dyDescent="0.25">
      <c r="A1421" t="s">
        <v>2816</v>
      </c>
      <c r="B1421" t="str">
        <f>IF(COUNTIF(A:A,A1421)&gt;1,_xlfn.CONCAT(A1421," (",N1421,")"),A1421)</f>
        <v>Zhōngdūn Xiāng</v>
      </c>
      <c r="C1421" t="str">
        <f>IF(COUNTIF(B:B,B1421)&gt;1,_xlfn.CONCAT(A1421," (",M1421,")"),B1421)</f>
        <v>Zhōngdūn Xiāng</v>
      </c>
      <c r="D1421" t="s">
        <v>2817</v>
      </c>
      <c r="E1421" t="s">
        <v>7</v>
      </c>
      <c r="F1421" t="str">
        <f>_xlfn.CONCAT(D1421,", ",H1421,", ",I1421,", ","浙江省")</f>
        <v>中墩乡, 苍南县, 温州市, 浙江省</v>
      </c>
      <c r="G1421">
        <v>5353</v>
      </c>
      <c r="H1421" t="s">
        <v>3001</v>
      </c>
      <c r="I1421" t="s">
        <v>3000</v>
      </c>
      <c r="J1421" t="e">
        <f>VLOOKUP(F1421,[1]!china_towns_second__2[[Column1]:[Y]],3,FALSE)</f>
        <v>#N/A</v>
      </c>
      <c r="K1421" t="e">
        <f>VLOOKUP(F1421,[1]!china_towns_second__2[[Column1]:[Y]],2,FALSE)</f>
        <v>#N/A</v>
      </c>
      <c r="L1421" t="s">
        <v>5052</v>
      </c>
      <c r="M1421" t="str">
        <f>VLOOKUP(H1421,CHOOSE({1,2},Table12[Native],Table12[Name]),2,0)</f>
        <v>Cāngnán Xiàn</v>
      </c>
      <c r="N1421" s="15" t="str">
        <f>VLOOKUP(I1421,CHOOSE({1,2},Table12[Native],Table12[Name]),2,0)</f>
        <v>Wēnzhōu Shì</v>
      </c>
      <c r="O1421" s="15" t="str">
        <f t="shared" si="44"/>
        <v>Zhongdun Xiang (Wēnzhōu Shì)</v>
      </c>
      <c r="P1421" s="15" t="str">
        <f t="shared" si="45"/>
        <v>Zhongdun Xiang (Wēnzhōu Shì)</v>
      </c>
    </row>
    <row r="1422" spans="1:16" hidden="1" x14ac:dyDescent="0.25">
      <c r="A1422" t="s">
        <v>1632</v>
      </c>
      <c r="B1422" t="str">
        <f>IF(COUNTIF(A:A,A1422)&gt;1,_xlfn.CONCAT(A1422," (",N1422,")"),A1422)</f>
        <v>Zhōnggōngmiào Jiēdào</v>
      </c>
      <c r="C1422" t="str">
        <f>IF(COUNTIF(B:B,B1422)&gt;1,_xlfn.CONCAT(A1422," (",M1422,")"),B1422)</f>
        <v>Zhōnggōngmiào Jiēdào</v>
      </c>
      <c r="D1422" t="s">
        <v>1633</v>
      </c>
      <c r="E1422" t="s">
        <v>15</v>
      </c>
      <c r="F1422" t="str">
        <f>_xlfn.CONCAT(D1422,", ",H1422,", ",I1422,", ","浙江省")</f>
        <v>钟公庙街道, 鄞州区, 宁波市, 浙江省</v>
      </c>
      <c r="G1422">
        <v>57130</v>
      </c>
      <c r="H1422" t="s">
        <v>2969</v>
      </c>
      <c r="I1422" t="s">
        <v>2961</v>
      </c>
      <c r="J1422">
        <f>VLOOKUP(F1422,[1]!china_towns_second__2[[Column1]:[Y]],3,FALSE)</f>
        <v>29.834444301267599</v>
      </c>
      <c r="K1422">
        <f>VLOOKUP(F1422,[1]!china_towns_second__2[[Column1]:[Y]],2,FALSE)</f>
        <v>121.5337079</v>
      </c>
      <c r="L1422" t="s">
        <v>5053</v>
      </c>
      <c r="M1422" t="str">
        <f>VLOOKUP(H1422,CHOOSE({1,2},Table12[Native],Table12[Name]),2,0)</f>
        <v>Yínzhōu Qū</v>
      </c>
      <c r="N1422" s="15" t="str">
        <f>VLOOKUP(I1422,CHOOSE({1,2},Table12[Native],Table12[Name]),2,0)</f>
        <v>Níngbō Shì</v>
      </c>
      <c r="O1422" s="15" t="str">
        <f t="shared" si="44"/>
        <v>Zhonggongmiao Jiedao (Níngbō Shì)</v>
      </c>
      <c r="P1422" s="15" t="str">
        <f t="shared" si="45"/>
        <v>Zhonggongmiao Jiedao (Níngbō Shì)</v>
      </c>
    </row>
    <row r="1423" spans="1:16" hidden="1" x14ac:dyDescent="0.25">
      <c r="A1423" t="s">
        <v>549</v>
      </c>
      <c r="B1423" t="str">
        <f>IF(COUNTIF(A:A,A1423)&gt;1,_xlfn.CONCAT(A1423," (",N1423,")"),A1423)</f>
        <v>Zhōngguăn Zhèn</v>
      </c>
      <c r="C1423" t="str">
        <f>IF(COUNTIF(B:B,B1423)&gt;1,_xlfn.CONCAT(A1423," (",M1423,")"),B1423)</f>
        <v>Zhōngguăn Zhèn</v>
      </c>
      <c r="D1423" t="s">
        <v>550</v>
      </c>
      <c r="E1423" t="s">
        <v>11</v>
      </c>
      <c r="F1423" t="str">
        <f>_xlfn.CONCAT(D1423,", ",H1423,", ",I1423,", ","浙江省")</f>
        <v>钟管镇, 德清县, 湖州市, 浙江省</v>
      </c>
      <c r="G1423">
        <v>41759</v>
      </c>
      <c r="H1423" t="s">
        <v>2925</v>
      </c>
      <c r="I1423" t="s">
        <v>2922</v>
      </c>
      <c r="J1423">
        <f>VLOOKUP(F1423,[1]!china_towns_second__2[[Column1]:[Y]],3,FALSE)</f>
        <v>30.622950370969299</v>
      </c>
      <c r="K1423">
        <f>VLOOKUP(F1423,[1]!china_towns_second__2[[Column1]:[Y]],2,FALSE)</f>
        <v>120.1626662</v>
      </c>
      <c r="L1423" t="s">
        <v>5054</v>
      </c>
      <c r="M1423" t="str">
        <f>VLOOKUP(H1423,CHOOSE({1,2},Table12[Native],Table12[Name]),2,0)</f>
        <v>Déqīng Xiàn</v>
      </c>
      <c r="N1423" s="15" t="str">
        <f>VLOOKUP(I1423,CHOOSE({1,2},Table12[Native],Table12[Name]),2,0)</f>
        <v>Húzhōu Shì</v>
      </c>
      <c r="O1423" s="15" t="str">
        <f t="shared" si="44"/>
        <v>Zhongguan Zhen (Húzhōu Shì)</v>
      </c>
      <c r="P1423" s="15" t="str">
        <f t="shared" si="45"/>
        <v>Zhongguan Zhen (Húzhōu Shì)</v>
      </c>
    </row>
    <row r="1424" spans="1:16" hidden="1" x14ac:dyDescent="0.25">
      <c r="A1424" t="s">
        <v>1634</v>
      </c>
      <c r="B1424" t="str">
        <f>IF(COUNTIF(A:A,A1424)&gt;1,_xlfn.CONCAT(A1424," (",N1424,")"),A1424)</f>
        <v>Zhōnghé Jiēdào</v>
      </c>
      <c r="C1424" t="str">
        <f>IF(COUNTIF(B:B,B1424)&gt;1,_xlfn.CONCAT(A1424," (",M1424,")"),B1424)</f>
        <v>Zhōnghé Jiēdào</v>
      </c>
      <c r="D1424" t="s">
        <v>1635</v>
      </c>
      <c r="E1424" t="s">
        <v>15</v>
      </c>
      <c r="F1424" t="str">
        <f>_xlfn.CONCAT(D1424,", ",H1424,", ",I1424,", ","浙江省")</f>
        <v>中河街道, 鄞州区, 宁波市, 浙江省</v>
      </c>
      <c r="G1424">
        <v>94547</v>
      </c>
      <c r="H1424" t="s">
        <v>2969</v>
      </c>
      <c r="I1424" t="s">
        <v>2961</v>
      </c>
      <c r="J1424">
        <f>VLOOKUP(F1424,[1]!china_towns_second__2[[Column1]:[Y]],3,FALSE)</f>
        <v>29.8333242830724</v>
      </c>
      <c r="K1424">
        <f>VLOOKUP(F1424,[1]!china_towns_second__2[[Column1]:[Y]],2,FALSE)</f>
        <v>121.5649377</v>
      </c>
      <c r="L1424" t="s">
        <v>5055</v>
      </c>
      <c r="M1424" t="str">
        <f>VLOOKUP(H1424,CHOOSE({1,2},Table12[Native],Table12[Name]),2,0)</f>
        <v>Yínzhōu Qū</v>
      </c>
      <c r="N1424" s="15" t="str">
        <f>VLOOKUP(I1424,CHOOSE({1,2},Table12[Native],Table12[Name]),2,0)</f>
        <v>Níngbō Shì</v>
      </c>
      <c r="O1424" s="15" t="str">
        <f t="shared" si="44"/>
        <v>Zhonghe Jiedao (Níngbō Shì)</v>
      </c>
      <c r="P1424" s="15" t="str">
        <f t="shared" si="45"/>
        <v>Zhonghe Jiedao (Níngbō Shì)</v>
      </c>
    </row>
    <row r="1425" spans="1:16" hidden="1" x14ac:dyDescent="0.25">
      <c r="A1425" t="s">
        <v>406</v>
      </c>
      <c r="B1425" t="str">
        <f>IF(COUNTIF(A:A,A1425)&gt;1,_xlfn.CONCAT(A1425," (",N1425,")"),A1425)</f>
        <v>Zhōngshān Xiāng</v>
      </c>
      <c r="C1425" t="str">
        <f>IF(COUNTIF(B:B,B1425)&gt;1,_xlfn.CONCAT(A1425," (",M1425,")"),B1425)</f>
        <v>Zhōngshān Xiāng</v>
      </c>
      <c r="D1425" t="s">
        <v>407</v>
      </c>
      <c r="E1425" t="s">
        <v>7</v>
      </c>
      <c r="F1425" t="str">
        <f>_xlfn.CONCAT(D1425,", ",H1425,", ",I1425,", ","浙江省")</f>
        <v>钟山乡, 桐庐县, 杭州市, 浙江省</v>
      </c>
      <c r="G1425">
        <v>14030</v>
      </c>
      <c r="H1425" t="s">
        <v>2916</v>
      </c>
      <c r="I1425" t="s">
        <v>2903</v>
      </c>
      <c r="J1425" t="e">
        <f>VLOOKUP(F1425,[1]!china_towns_second__2[[Column1]:[Y]],3,FALSE)</f>
        <v>#N/A</v>
      </c>
      <c r="K1425" t="e">
        <f>VLOOKUP(F1425,[1]!china_towns_second__2[[Column1]:[Y]],2,FALSE)</f>
        <v>#N/A</v>
      </c>
      <c r="L1425" t="s">
        <v>5056</v>
      </c>
      <c r="M1425" t="str">
        <f>VLOOKUP(H1425,CHOOSE({1,2},Table12[Native],Table12[Name]),2,0)</f>
        <v>Tónglú Xiàn</v>
      </c>
      <c r="N1425" s="15" t="str">
        <f>VLOOKUP(I1425,CHOOSE({1,2},Table12[Native],Table12[Name]),2,0)</f>
        <v>Hángzhōu Shì</v>
      </c>
      <c r="O1425" s="15" t="str">
        <f t="shared" si="44"/>
        <v>Zhongshan Xiang (Hángzhōu Shì)</v>
      </c>
      <c r="P1425" s="15" t="str">
        <f t="shared" si="45"/>
        <v>Zhongshan Xiang (Hángzhōu Shì)</v>
      </c>
    </row>
    <row r="1426" spans="1:16" hidden="1" x14ac:dyDescent="0.25">
      <c r="A1426" t="s">
        <v>408</v>
      </c>
      <c r="B1426" t="str">
        <f>IF(COUNTIF(A:A,A1426)&gt;1,_xlfn.CONCAT(A1426," (",N1426,")"),A1426)</f>
        <v>Zhōngtài Jiēdào</v>
      </c>
      <c r="C1426" t="str">
        <f>IF(COUNTIF(B:B,B1426)&gt;1,_xlfn.CONCAT(A1426," (",M1426,")"),B1426)</f>
        <v>Zhōngtài Jiēdào</v>
      </c>
      <c r="D1426" t="s">
        <v>409</v>
      </c>
      <c r="E1426" t="s">
        <v>15</v>
      </c>
      <c r="F1426" t="str">
        <f>_xlfn.CONCAT(D1426,", ",H1426,", ",I1426,", ","浙江省")</f>
        <v>中泰街道, 余杭区, 杭州市, 浙江省</v>
      </c>
      <c r="G1426">
        <v>27709</v>
      </c>
      <c r="H1426" t="s">
        <v>2919</v>
      </c>
      <c r="I1426" t="s">
        <v>2903</v>
      </c>
      <c r="J1426">
        <f>VLOOKUP(F1426,[1]!china_towns_second__2[[Column1]:[Y]],3,FALSE)</f>
        <v>30.222201751021601</v>
      </c>
      <c r="K1426">
        <f>VLOOKUP(F1426,[1]!china_towns_second__2[[Column1]:[Y]],2,FALSE)</f>
        <v>119.8933521</v>
      </c>
      <c r="L1426" t="s">
        <v>5057</v>
      </c>
      <c r="M1426" t="str">
        <f>VLOOKUP(H1426,CHOOSE({1,2},Table12[Native],Table12[Name]),2,0)</f>
        <v>Yúháng Qū</v>
      </c>
      <c r="N1426" s="15" t="str">
        <f>VLOOKUP(I1426,CHOOSE({1,2},Table12[Native],Table12[Name]),2,0)</f>
        <v>Hángzhōu Shì</v>
      </c>
      <c r="O1426" s="15" t="str">
        <f t="shared" si="44"/>
        <v>Zhongtai Jiedao (Hángzhōu Shì)</v>
      </c>
      <c r="P1426" s="15" t="str">
        <f t="shared" si="45"/>
        <v>Zhongtai Jiedao (Hángzhōu Shì)</v>
      </c>
    </row>
    <row r="1427" spans="1:16" hidden="1" x14ac:dyDescent="0.25">
      <c r="A1427" t="s">
        <v>985</v>
      </c>
      <c r="B1427" t="str">
        <f>IF(COUNTIF(A:A,A1427)&gt;1,_xlfn.CONCAT(A1427," (",N1427,")"),A1427)</f>
        <v>Zhōngyú Xiāng</v>
      </c>
      <c r="C1427" t="str">
        <f>IF(COUNTIF(B:B,B1427)&gt;1,_xlfn.CONCAT(A1427," (",M1427,")"),B1427)</f>
        <v>Zhōngyú Xiāng</v>
      </c>
      <c r="D1427" t="s">
        <v>986</v>
      </c>
      <c r="E1427" t="s">
        <v>7</v>
      </c>
      <c r="F1427" t="str">
        <f>_xlfn.CONCAT(D1427,", ",H1427,", ",I1427,", ","浙江省")</f>
        <v>中余乡, 浦江县, 金华市, 浙江省</v>
      </c>
      <c r="G1427">
        <v>9901</v>
      </c>
      <c r="H1427" t="s">
        <v>2943</v>
      </c>
      <c r="I1427" t="s">
        <v>2938</v>
      </c>
      <c r="J1427" t="e">
        <f>VLOOKUP(F1427,[1]!china_towns_second__2[[Column1]:[Y]],3,FALSE)</f>
        <v>#N/A</v>
      </c>
      <c r="K1427" t="e">
        <f>VLOOKUP(F1427,[1]!china_towns_second__2[[Column1]:[Y]],2,FALSE)</f>
        <v>#N/A</v>
      </c>
      <c r="L1427" t="s">
        <v>5058</v>
      </c>
      <c r="M1427" t="str">
        <f>VLOOKUP(H1427,CHOOSE({1,2},Table12[Native],Table12[Name]),2,0)</f>
        <v>Pŭjiāng Xiàn</v>
      </c>
      <c r="N1427" s="15" t="str">
        <f>VLOOKUP(I1427,CHOOSE({1,2},Table12[Native],Table12[Name]),2,0)</f>
        <v>Jīnhuá Shì</v>
      </c>
      <c r="O1427" s="15" t="str">
        <f t="shared" si="44"/>
        <v>Zhongyu Xiang (Jīnhuá Shì)</v>
      </c>
      <c r="P1427" s="15" t="str">
        <f t="shared" si="45"/>
        <v>Zhongyu Xiang (Jīnhuá Shì)</v>
      </c>
    </row>
    <row r="1428" spans="1:16" hidden="1" x14ac:dyDescent="0.25">
      <c r="A1428" t="s">
        <v>410</v>
      </c>
      <c r="B1428" t="str">
        <f>IF(COUNTIF(A:A,A1428)&gt;1,_xlfn.CONCAT(A1428," (",N1428,")"),A1428)</f>
        <v>Zhōngzhōu Zhèn</v>
      </c>
      <c r="C1428" t="str">
        <f>IF(COUNTIF(B:B,B1428)&gt;1,_xlfn.CONCAT(A1428," (",M1428,")"),B1428)</f>
        <v>Zhōngzhōu Zhèn</v>
      </c>
      <c r="D1428" t="s">
        <v>411</v>
      </c>
      <c r="E1428" t="s">
        <v>11</v>
      </c>
      <c r="F1428" t="str">
        <f>_xlfn.CONCAT(D1428,", ",H1428,", ",I1428,", ","浙江省")</f>
        <v>中洲镇, 淳安县, 杭州市, 浙江省</v>
      </c>
      <c r="G1428">
        <v>10129</v>
      </c>
      <c r="H1428" t="s">
        <v>2907</v>
      </c>
      <c r="I1428" t="s">
        <v>2903</v>
      </c>
      <c r="J1428">
        <f>VLOOKUP(F1428,[1]!china_towns_second__2[[Column1]:[Y]],3,FALSE)</f>
        <v>29.4545654100036</v>
      </c>
      <c r="K1428">
        <f>VLOOKUP(F1428,[1]!china_towns_second__2[[Column1]:[Y]],2,FALSE)</f>
        <v>118.4346274</v>
      </c>
      <c r="L1428" t="s">
        <v>5059</v>
      </c>
      <c r="M1428" t="str">
        <f>VLOOKUP(H1428,CHOOSE({1,2},Table12[Native],Table12[Name]),2,0)</f>
        <v>Chún'ān Xiàn</v>
      </c>
      <c r="N1428" s="15" t="str">
        <f>VLOOKUP(I1428,CHOOSE({1,2},Table12[Native],Table12[Name]),2,0)</f>
        <v>Hángzhōu Shì</v>
      </c>
      <c r="O1428" s="15" t="str">
        <f t="shared" si="44"/>
        <v>Zhongzhou Zhen (Hángzhōu Shì)</v>
      </c>
      <c r="P1428" s="15" t="str">
        <f t="shared" si="45"/>
        <v>Zhongzhou Zhen (Hángzhōu Shì)</v>
      </c>
    </row>
    <row r="1429" spans="1:16" hidden="1" x14ac:dyDescent="0.25">
      <c r="A1429" t="s">
        <v>1827</v>
      </c>
      <c r="B1429" t="str">
        <f>IF(COUNTIF(A:A,A1429)&gt;1,_xlfn.CONCAT(A1429," (",N1429,")"),A1429)</f>
        <v>Zhōujiā Xiāng</v>
      </c>
      <c r="C1429" t="str">
        <f>IF(COUNTIF(B:B,B1429)&gt;1,_xlfn.CONCAT(A1429," (",M1429,")"),B1429)</f>
        <v>Zhōujiā Xiāng</v>
      </c>
      <c r="D1429" t="s">
        <v>1828</v>
      </c>
      <c r="E1429" t="s">
        <v>7</v>
      </c>
      <c r="F1429" t="str">
        <f>_xlfn.CONCAT(D1429,", ",H1429,", ",I1429,", ","浙江省")</f>
        <v>周家乡, 衢江区, 衢州市, 浙江省</v>
      </c>
      <c r="G1429">
        <v>12388</v>
      </c>
      <c r="H1429" t="s">
        <v>2979</v>
      </c>
      <c r="I1429" t="s">
        <v>2973</v>
      </c>
      <c r="J1429" t="e">
        <f>VLOOKUP(F1429,[1]!china_towns_second__2[[Column1]:[Y]],3,FALSE)</f>
        <v>#N/A</v>
      </c>
      <c r="K1429" t="e">
        <f>VLOOKUP(F1429,[1]!china_towns_second__2[[Column1]:[Y]],2,FALSE)</f>
        <v>#N/A</v>
      </c>
      <c r="L1429" t="s">
        <v>5060</v>
      </c>
      <c r="M1429" t="str">
        <f>VLOOKUP(H1429,CHOOSE({1,2},Table12[Native],Table12[Name]),2,0)</f>
        <v>Qújiāng Qū</v>
      </c>
      <c r="N1429" s="15" t="str">
        <f>VLOOKUP(I1429,CHOOSE({1,2},Table12[Native],Table12[Name]),2,0)</f>
        <v>Qúzhōu Shì</v>
      </c>
      <c r="O1429" s="15" t="str">
        <f t="shared" si="44"/>
        <v>Zhoujia Xiang (Qúzhōu Shì)</v>
      </c>
      <c r="P1429" s="15" t="str">
        <f t="shared" si="45"/>
        <v>Zhoujia Xiang (Qúzhōu Shì)</v>
      </c>
    </row>
    <row r="1430" spans="1:16" hidden="1" x14ac:dyDescent="0.25">
      <c r="A1430" t="s">
        <v>2818</v>
      </c>
      <c r="B1430" t="str">
        <f>IF(COUNTIF(A:A,A1430)&gt;1,_xlfn.CONCAT(A1430," (",N1430,")"),A1430)</f>
        <v>Zhōulĭng Xiāng</v>
      </c>
      <c r="C1430" t="str">
        <f>IF(COUNTIF(B:B,B1430)&gt;1,_xlfn.CONCAT(A1430," (",M1430,")"),B1430)</f>
        <v>Zhōulĭng Xiāng</v>
      </c>
      <c r="D1430" t="s">
        <v>2819</v>
      </c>
      <c r="E1430" t="s">
        <v>7</v>
      </c>
      <c r="F1430" t="str">
        <f>_xlfn.CONCAT(D1430,", ",H1430,", ",I1430,", ","浙江省")</f>
        <v>洲岭乡, 泰顺县, 温州市, 浙江省</v>
      </c>
      <c r="G1430">
        <v>2928</v>
      </c>
      <c r="H1430" t="s">
        <v>3008</v>
      </c>
      <c r="I1430" t="s">
        <v>3000</v>
      </c>
      <c r="J1430" t="e">
        <f>VLOOKUP(F1430,[1]!china_towns_second__2[[Column1]:[Y]],3,FALSE)</f>
        <v>#N/A</v>
      </c>
      <c r="K1430" t="e">
        <f>VLOOKUP(F1430,[1]!china_towns_second__2[[Column1]:[Y]],2,FALSE)</f>
        <v>#N/A</v>
      </c>
      <c r="L1430" t="s">
        <v>5061</v>
      </c>
      <c r="M1430" t="str">
        <f>VLOOKUP(H1430,CHOOSE({1,2},Table12[Native],Table12[Name]),2,0)</f>
        <v>Tàishùn Xiàn</v>
      </c>
      <c r="N1430" s="15" t="str">
        <f>VLOOKUP(I1430,CHOOSE({1,2},Table12[Native],Table12[Name]),2,0)</f>
        <v>Wēnzhōu Shì</v>
      </c>
      <c r="O1430" s="15" t="str">
        <f t="shared" si="44"/>
        <v>Zhouling Xiang (Wēnzhōu Shì)</v>
      </c>
      <c r="P1430" s="15" t="str">
        <f t="shared" si="45"/>
        <v>Zhouling Xiang (Wēnzhōu Shì)</v>
      </c>
    </row>
    <row r="1431" spans="1:16" hidden="1" x14ac:dyDescent="0.25">
      <c r="A1431" t="s">
        <v>697</v>
      </c>
      <c r="B1431" t="str">
        <f>IF(COUNTIF(A:A,A1431)&gt;1,_xlfn.CONCAT(A1431," (",N1431,")"),A1431)</f>
        <v>Zhōuquán Zhèn</v>
      </c>
      <c r="C1431" t="str">
        <f>IF(COUNTIF(B:B,B1431)&gt;1,_xlfn.CONCAT(A1431," (",M1431,")"),B1431)</f>
        <v>Zhōuquán Zhèn</v>
      </c>
      <c r="D1431" t="s">
        <v>698</v>
      </c>
      <c r="E1431" t="s">
        <v>11</v>
      </c>
      <c r="F1431" t="str">
        <f>_xlfn.CONCAT(D1431,", ",H1431,", ",I1431,", ","浙江省")</f>
        <v>洲泉镇, 桐乡市, 嘉兴市, 浙江省</v>
      </c>
      <c r="G1431">
        <v>66453</v>
      </c>
      <c r="H1431" t="s">
        <v>2935</v>
      </c>
      <c r="I1431" t="s">
        <v>2929</v>
      </c>
      <c r="J1431">
        <f>VLOOKUP(F1431,[1]!china_towns_second__2[[Column1]:[Y]],3,FALSE)</f>
        <v>30.5749004633605</v>
      </c>
      <c r="K1431">
        <f>VLOOKUP(F1431,[1]!china_towns_second__2[[Column1]:[Y]],2,FALSE)</f>
        <v>120.3412503</v>
      </c>
      <c r="L1431" t="s">
        <v>5062</v>
      </c>
      <c r="M1431" t="str">
        <f>VLOOKUP(H1431,CHOOSE({1,2},Table12[Native],Table12[Name]),2,0)</f>
        <v>Tóngxiāng Shì</v>
      </c>
      <c r="N1431" s="15" t="str">
        <f>VLOOKUP(I1431,CHOOSE({1,2},Table12[Native],Table12[Name]),2,0)</f>
        <v>Jiāxīng Shì</v>
      </c>
      <c r="O1431" s="15" t="str">
        <f t="shared" si="44"/>
        <v>Zhouquan Zhen (Jiāxīng Shì)</v>
      </c>
      <c r="P1431" s="15" t="str">
        <f t="shared" si="45"/>
        <v>Zhouquan Zhen (Jiāxīng Shì)</v>
      </c>
    </row>
    <row r="1432" spans="1:16" hidden="1" x14ac:dyDescent="0.25">
      <c r="A1432" t="s">
        <v>2820</v>
      </c>
      <c r="B1432" t="str">
        <f>IF(COUNTIF(A:A,A1432)&gt;1,_xlfn.CONCAT(A1432," (",N1432,")"),A1432)</f>
        <v>Zhōurăng Zhèn [→ Dàxué Zhèn]</v>
      </c>
      <c r="C1432" t="str">
        <f>IF(COUNTIF(B:B,B1432)&gt;1,_xlfn.CONCAT(A1432," (",M1432,")"),B1432)</f>
        <v>Zhōurăng Zhèn [→ Dàxué Zhèn]</v>
      </c>
      <c r="D1432" t="s">
        <v>2821</v>
      </c>
      <c r="E1432" t="s">
        <v>11</v>
      </c>
      <c r="F1432" t="str">
        <f>_xlfn.CONCAT(D1432,", ",H1432,", ",I1432,", ","浙江省")</f>
        <v>周壤镇, 文成县, 温州市, 浙江省</v>
      </c>
      <c r="G1432">
        <v>9084</v>
      </c>
      <c r="H1432" t="s">
        <v>3009</v>
      </c>
      <c r="I1432" t="s">
        <v>3000</v>
      </c>
      <c r="J1432">
        <f>VLOOKUP(F1432,[1]!china_towns_second__2[[Column1]:[Y]],3,FALSE)</f>
        <v>27.8277</v>
      </c>
      <c r="K1432">
        <f>VLOOKUP(F1432,[1]!china_towns_second__2[[Column1]:[Y]],2,FALSE)</f>
        <v>120.1337</v>
      </c>
      <c r="L1432" t="s">
        <v>5063</v>
      </c>
      <c r="M1432" t="str">
        <f>VLOOKUP(H1432,CHOOSE({1,2},Table12[Native],Table12[Name]),2,0)</f>
        <v>Wénchéng Xiàn</v>
      </c>
      <c r="N1432" s="15" t="str">
        <f>VLOOKUP(I1432,CHOOSE({1,2},Table12[Native],Table12[Name]),2,0)</f>
        <v>Wēnzhōu Shì</v>
      </c>
      <c r="O1432" s="15" t="str">
        <f t="shared" si="44"/>
        <v>Zhourang Zhen [→ Daxue Zhen] (Wēnzhōu Shì)</v>
      </c>
      <c r="P1432" s="15" t="str">
        <f t="shared" si="45"/>
        <v>Zhourang Zhen [→ Daxue Zhen] (Wēnzhōu Shì)</v>
      </c>
    </row>
    <row r="1433" spans="1:16" hidden="1" x14ac:dyDescent="0.25">
      <c r="A1433" t="s">
        <v>2822</v>
      </c>
      <c r="B1433" t="str">
        <f>IF(COUNTIF(A:A,A1433)&gt;1,_xlfn.CONCAT(A1433," (",N1433,")"),A1433)</f>
        <v>Zhōushān Shēzú Xiāng</v>
      </c>
      <c r="C1433" t="str">
        <f>IF(COUNTIF(B:B,B1433)&gt;1,_xlfn.CONCAT(A1433," (",M1433,")"),B1433)</f>
        <v>Zhōushān Shēzú Xiāng</v>
      </c>
      <c r="D1433" t="s">
        <v>2823</v>
      </c>
      <c r="E1433" t="s">
        <v>7</v>
      </c>
      <c r="F1433" t="str">
        <f>_xlfn.CONCAT(D1433,", ",H1433,", ",I1433,", ","浙江省")</f>
        <v>周山畲族乡, 文成县, 温州市, 浙江省</v>
      </c>
      <c r="G1433">
        <v>1905</v>
      </c>
      <c r="H1433" t="s">
        <v>3009</v>
      </c>
      <c r="I1433" t="s">
        <v>3000</v>
      </c>
      <c r="J1433" t="e">
        <f>VLOOKUP(F1433,[1]!china_towns_second__2[[Column1]:[Y]],3,FALSE)</f>
        <v>#N/A</v>
      </c>
      <c r="K1433" t="e">
        <f>VLOOKUP(F1433,[1]!china_towns_second__2[[Column1]:[Y]],2,FALSE)</f>
        <v>#N/A</v>
      </c>
      <c r="L1433" t="s">
        <v>5064</v>
      </c>
      <c r="M1433" t="str">
        <f>VLOOKUP(H1433,CHOOSE({1,2},Table12[Native],Table12[Name]),2,0)</f>
        <v>Wénchéng Xiàn</v>
      </c>
      <c r="N1433" s="15" t="str">
        <f>VLOOKUP(I1433,CHOOSE({1,2},Table12[Native],Table12[Name]),2,0)</f>
        <v>Wēnzhōu Shì</v>
      </c>
      <c r="O1433" s="15" t="str">
        <f t="shared" si="44"/>
        <v>Zhoushan Shezu Xiang (Wēnzhōu Shì)</v>
      </c>
      <c r="P1433" s="15" t="str">
        <f t="shared" si="45"/>
        <v>Zhoushan Shezu Xiang (Wēnzhōu Shì)</v>
      </c>
    </row>
    <row r="1434" spans="1:16" hidden="1" x14ac:dyDescent="0.25">
      <c r="A1434" t="s">
        <v>987</v>
      </c>
      <c r="B1434" t="str">
        <f>IF(COUNTIF(A:A,A1434)&gt;1,_xlfn.CONCAT(A1434," (",N1434,")"),A1434)</f>
        <v>Zhōushān Zhèn</v>
      </c>
      <c r="C1434" t="str">
        <f>IF(COUNTIF(B:B,B1434)&gt;1,_xlfn.CONCAT(A1434," (",M1434,")"),B1434)</f>
        <v>Zhōushān Zhèn</v>
      </c>
      <c r="D1434" t="s">
        <v>988</v>
      </c>
      <c r="E1434" t="s">
        <v>11</v>
      </c>
      <c r="F1434" t="str">
        <f>_xlfn.CONCAT(D1434,", ",H1434,", ",I1434,", ","浙江省")</f>
        <v>舟山镇, 永康市, 金华市, 浙江省</v>
      </c>
      <c r="G1434">
        <v>15766</v>
      </c>
      <c r="H1434" t="s">
        <v>2947</v>
      </c>
      <c r="I1434" t="s">
        <v>2938</v>
      </c>
      <c r="J1434">
        <f>VLOOKUP(F1434,[1]!china_towns_second__2[[Column1]:[Y]],3,FALSE)</f>
        <v>28.845627958034299</v>
      </c>
      <c r="K1434">
        <f>VLOOKUP(F1434,[1]!china_towns_second__2[[Column1]:[Y]],2,FALSE)</f>
        <v>120.1997538</v>
      </c>
      <c r="L1434" t="s">
        <v>5065</v>
      </c>
      <c r="M1434" t="str">
        <f>VLOOKUP(H1434,CHOOSE({1,2},Table12[Native],Table12[Name]),2,0)</f>
        <v>Yŏngkāng Shì</v>
      </c>
      <c r="N1434" s="15" t="str">
        <f>VLOOKUP(I1434,CHOOSE({1,2},Table12[Native],Table12[Name]),2,0)</f>
        <v>Jīnhuá Shì</v>
      </c>
      <c r="O1434" s="15" t="str">
        <f t="shared" si="44"/>
        <v>Zhoushan Zhen (Jīnhuá Shì)</v>
      </c>
      <c r="P1434" s="15" t="str">
        <f t="shared" si="45"/>
        <v>Zhoushan Zhen (Jīnhuá Shì)</v>
      </c>
    </row>
    <row r="1435" spans="1:16" hidden="1" x14ac:dyDescent="0.25">
      <c r="A1435" t="s">
        <v>699</v>
      </c>
      <c r="B1435" t="str">
        <f>IF(COUNTIF(A:A,A1435)&gt;1,_xlfn.CONCAT(A1435," (",N1435,")"),A1435)</f>
        <v>Zhōuwángmiào Zhèn</v>
      </c>
      <c r="C1435" t="str">
        <f>IF(COUNTIF(B:B,B1435)&gt;1,_xlfn.CONCAT(A1435," (",M1435,")"),B1435)</f>
        <v>Zhōuwángmiào Zhèn</v>
      </c>
      <c r="D1435" t="s">
        <v>700</v>
      </c>
      <c r="E1435" t="s">
        <v>11</v>
      </c>
      <c r="F1435" t="str">
        <f>_xlfn.CONCAT(D1435,", ",H1435,", ",I1435,", ","浙江省")</f>
        <v>周王庙镇, 海宁市, 嘉兴市, 浙江省</v>
      </c>
      <c r="G1435">
        <v>49241</v>
      </c>
      <c r="H1435" t="s">
        <v>2930</v>
      </c>
      <c r="I1435" t="s">
        <v>2929</v>
      </c>
      <c r="J1435">
        <f>VLOOKUP(F1435,[1]!china_towns_second__2[[Column1]:[Y]],3,FALSE)</f>
        <v>30.436345503688099</v>
      </c>
      <c r="K1435">
        <f>VLOOKUP(F1435,[1]!china_towns_second__2[[Column1]:[Y]],2,FALSE)</f>
        <v>120.4991182</v>
      </c>
      <c r="L1435" t="s">
        <v>5066</v>
      </c>
      <c r="M1435" t="str">
        <f>VLOOKUP(H1435,CHOOSE({1,2},Table12[Native],Table12[Name]),2,0)</f>
        <v>Hăiníng Shì</v>
      </c>
      <c r="N1435" s="15" t="str">
        <f>VLOOKUP(I1435,CHOOSE({1,2},Table12[Native],Table12[Name]),2,0)</f>
        <v>Jiāxīng Shì</v>
      </c>
      <c r="O1435" s="15" t="str">
        <f t="shared" si="44"/>
        <v>Zhouwangmiao Zhen (Jiāxīng Shì)</v>
      </c>
      <c r="P1435" s="15" t="str">
        <f t="shared" si="45"/>
        <v>Zhouwangmiao Zhen (Jiāxīng Shì)</v>
      </c>
    </row>
    <row r="1436" spans="1:16" hidden="1" x14ac:dyDescent="0.25">
      <c r="A1436" t="s">
        <v>1636</v>
      </c>
      <c r="B1436" t="str">
        <f>IF(COUNTIF(A:A,A1436)&gt;1,_xlfn.CONCAT(A1436," (",N1436,")"),A1436)</f>
        <v>Zhōuxiàng Zhèn [incl. Tiānyuán Zhèn]</v>
      </c>
      <c r="C1436" t="str">
        <f>IF(COUNTIF(B:B,B1436)&gt;1,_xlfn.CONCAT(A1436," (",M1436,")"),B1436)</f>
        <v>Zhōuxiàng Zhèn [incl. Tiānyuán Zhèn]</v>
      </c>
      <c r="D1436" t="s">
        <v>1637</v>
      </c>
      <c r="E1436" t="s">
        <v>11</v>
      </c>
      <c r="F1436" t="str">
        <f>_xlfn.CONCAT(D1436,", ",H1436,", ",I1436,", ","浙江省")</f>
        <v>周巷镇, 慈溪市, 宁波市, 浙江省</v>
      </c>
      <c r="G1436">
        <v>151778</v>
      </c>
      <c r="H1436" t="s">
        <v>2963</v>
      </c>
      <c r="I1436" t="s">
        <v>2961</v>
      </c>
      <c r="J1436">
        <f>VLOOKUP(F1436,[1]!china_towns_second__2[[Column1]:[Y]],3,FALSE)</f>
        <v>30.214727218142201</v>
      </c>
      <c r="K1436">
        <f>VLOOKUP(F1436,[1]!china_towns_second__2[[Column1]:[Y]],2,FALSE)</f>
        <v>121.1352267</v>
      </c>
      <c r="L1436" t="s">
        <v>5067</v>
      </c>
      <c r="M1436" t="str">
        <f>VLOOKUP(H1436,CHOOSE({1,2},Table12[Native],Table12[Name]),2,0)</f>
        <v>Cíxī Shì</v>
      </c>
      <c r="N1436" s="15" t="str">
        <f>VLOOKUP(I1436,CHOOSE({1,2},Table12[Native],Table12[Name]),2,0)</f>
        <v>Níngbō Shì</v>
      </c>
      <c r="O1436" s="15" t="str">
        <f t="shared" si="44"/>
        <v>Zhouxiang Zhen [incl. Tianyuan Zhen] (Níngbō Shì)</v>
      </c>
      <c r="P1436" s="15" t="str">
        <f t="shared" si="45"/>
        <v>Zhouxiang Zhen [incl. Tianyuan Zhen] (Níngbō Shì)</v>
      </c>
    </row>
    <row r="1437" spans="1:16" hidden="1" x14ac:dyDescent="0.25">
      <c r="A1437" t="s">
        <v>1638</v>
      </c>
      <c r="B1437" t="str">
        <f>IF(COUNTIF(A:A,A1437)&gt;1,_xlfn.CONCAT(A1437," (",N1437,")"),A1437)</f>
        <v>Zhuāngqiáo Jiēdào</v>
      </c>
      <c r="C1437" t="str">
        <f>IF(COUNTIF(B:B,B1437)&gt;1,_xlfn.CONCAT(A1437," (",M1437,")"),B1437)</f>
        <v>Zhuāngqiáo Jiēdào</v>
      </c>
      <c r="D1437" t="s">
        <v>1639</v>
      </c>
      <c r="E1437" t="s">
        <v>15</v>
      </c>
      <c r="F1437" t="str">
        <f>_xlfn.CONCAT(D1437,", ",H1437,", ",I1437,", ","浙江省")</f>
        <v>庄桥街道, 江北区, 宁波市, 浙江省</v>
      </c>
      <c r="G1437">
        <v>78314</v>
      </c>
      <c r="H1437" t="s">
        <v>2966</v>
      </c>
      <c r="I1437" t="s">
        <v>2961</v>
      </c>
      <c r="J1437">
        <f>VLOOKUP(F1437,[1]!china_towns_second__2[[Column1]:[Y]],3,FALSE)</f>
        <v>29.943037074072201</v>
      </c>
      <c r="K1437">
        <f>VLOOKUP(F1437,[1]!china_towns_second__2[[Column1]:[Y]],2,FALSE)</f>
        <v>121.5443389</v>
      </c>
      <c r="L1437" t="s">
        <v>5068</v>
      </c>
      <c r="M1437" t="str">
        <f>VLOOKUP(H1437,CHOOSE({1,2},Table12[Native],Table12[Name]),2,0)</f>
        <v>Jiāngbĕi Qū</v>
      </c>
      <c r="N1437" s="15" t="str">
        <f>VLOOKUP(I1437,CHOOSE({1,2},Table12[Native],Table12[Name]),2,0)</f>
        <v>Níngbō Shì</v>
      </c>
      <c r="O1437" s="15" t="str">
        <f t="shared" si="44"/>
        <v>Zhuangqiao Jiedao (Níngbō Shì)</v>
      </c>
      <c r="P1437" s="15" t="str">
        <f t="shared" si="45"/>
        <v>Zhuangqiao Jiedao (Níngbō Shì)</v>
      </c>
    </row>
    <row r="1438" spans="1:16" hidden="1" x14ac:dyDescent="0.25">
      <c r="A1438" t="s">
        <v>1640</v>
      </c>
      <c r="B1438" t="str">
        <f>IF(COUNTIF(A:A,A1438)&gt;1,_xlfn.CONCAT(A1438," (",N1438,")"),A1438)</f>
        <v>Zhuāngshì Jiēdào</v>
      </c>
      <c r="C1438" t="str">
        <f>IF(COUNTIF(B:B,B1438)&gt;1,_xlfn.CONCAT(A1438," (",M1438,")"),B1438)</f>
        <v>Zhuāngshì Jiēdào</v>
      </c>
      <c r="D1438" t="s">
        <v>1641</v>
      </c>
      <c r="E1438" t="s">
        <v>15</v>
      </c>
      <c r="F1438" t="str">
        <f>_xlfn.CONCAT(D1438,", ",H1438,", ",I1438,", ","浙江省")</f>
        <v>庄市街道, 镇海区, 宁波市, 浙江省</v>
      </c>
      <c r="G1438">
        <v>65254</v>
      </c>
      <c r="H1438" t="s">
        <v>2971</v>
      </c>
      <c r="I1438" t="s">
        <v>2961</v>
      </c>
      <c r="J1438">
        <f>VLOOKUP(F1438,[1]!china_towns_second__2[[Column1]:[Y]],3,FALSE)</f>
        <v>29.935147910195401</v>
      </c>
      <c r="K1438">
        <f>VLOOKUP(F1438,[1]!china_towns_second__2[[Column1]:[Y]],2,FALSE)</f>
        <v>121.6281501</v>
      </c>
      <c r="L1438" t="s">
        <v>5069</v>
      </c>
      <c r="M1438" t="str">
        <f>VLOOKUP(H1438,CHOOSE({1,2},Table12[Native],Table12[Name]),2,0)</f>
        <v>Zhènhăi Qū</v>
      </c>
      <c r="N1438" s="15" t="str">
        <f>VLOOKUP(I1438,CHOOSE({1,2},Table12[Native],Table12[Name]),2,0)</f>
        <v>Níngbō Shì</v>
      </c>
      <c r="O1438" s="15" t="str">
        <f t="shared" si="44"/>
        <v>Zhuangshi Jiedao (Níngbō Shì)</v>
      </c>
      <c r="P1438" s="15" t="str">
        <f t="shared" si="45"/>
        <v>Zhuangshi Jiedao (Níngbō Shì)</v>
      </c>
    </row>
    <row r="1439" spans="1:16" hidden="1" x14ac:dyDescent="0.25">
      <c r="A1439" t="s">
        <v>2824</v>
      </c>
      <c r="B1439" t="str">
        <f>IF(COUNTIF(A:A,A1439)&gt;1,_xlfn.CONCAT(A1439," (",N1439,")"),A1439)</f>
        <v>Zhuàngyuán Jiēdào</v>
      </c>
      <c r="C1439" t="str">
        <f>IF(COUNTIF(B:B,B1439)&gt;1,_xlfn.CONCAT(A1439," (",M1439,")"),B1439)</f>
        <v>Zhuàngyuán Jiēdào</v>
      </c>
      <c r="D1439" t="s">
        <v>2825</v>
      </c>
      <c r="E1439" t="s">
        <v>15</v>
      </c>
      <c r="F1439" t="str">
        <f>_xlfn.CONCAT(D1439,", ",H1439,", ",I1439,", ","浙江省")</f>
        <v>状元街道, 龙湾区, 温州市, 浙江省</v>
      </c>
      <c r="G1439">
        <v>85055</v>
      </c>
      <c r="H1439" t="s">
        <v>3003</v>
      </c>
      <c r="I1439" t="s">
        <v>3000</v>
      </c>
      <c r="J1439">
        <f>VLOOKUP(F1439,[1]!china_towns_second__2[[Column1]:[Y]],3,FALSE)</f>
        <v>27.963078817536299</v>
      </c>
      <c r="K1439">
        <f>VLOOKUP(F1439,[1]!china_towns_second__2[[Column1]:[Y]],2,FALSE)</f>
        <v>120.74697879999999</v>
      </c>
      <c r="L1439" t="s">
        <v>5070</v>
      </c>
      <c r="M1439" t="str">
        <f>VLOOKUP(H1439,CHOOSE({1,2},Table12[Native],Table12[Name]),2,0)</f>
        <v>Lóngwān Qū</v>
      </c>
      <c r="N1439" s="15" t="str">
        <f>VLOOKUP(I1439,CHOOSE({1,2},Table12[Native],Table12[Name]),2,0)</f>
        <v>Wēnzhōu Shì</v>
      </c>
      <c r="O1439" s="15" t="str">
        <f t="shared" si="44"/>
        <v>Zhuangyuan Jiedao (Wēnzhōu Shì)</v>
      </c>
      <c r="P1439" s="15" t="str">
        <f t="shared" si="45"/>
        <v>Zhuangyuan Jiedao (Wēnzhōu Shì)</v>
      </c>
    </row>
    <row r="1440" spans="1:16" hidden="1" x14ac:dyDescent="0.25">
      <c r="A1440" t="s">
        <v>412</v>
      </c>
      <c r="B1440" t="str">
        <f>IF(COUNTIF(A:A,A1440)&gt;1,_xlfn.CONCAT(A1440," (",N1440,")"),A1440)</f>
        <v>Zhuăntáng Jiēdào</v>
      </c>
      <c r="C1440" t="str">
        <f>IF(COUNTIF(B:B,B1440)&gt;1,_xlfn.CONCAT(A1440," (",M1440,")"),B1440)</f>
        <v>Zhuăntáng Jiēdào</v>
      </c>
      <c r="D1440" t="s">
        <v>413</v>
      </c>
      <c r="E1440" t="s">
        <v>15</v>
      </c>
      <c r="F1440" t="str">
        <f>_xlfn.CONCAT(D1440,", ",H1440,", ",I1440,", ","浙江省")</f>
        <v>转塘街道, 西湖区, 杭州市, 浙江省</v>
      </c>
      <c r="G1440">
        <v>71034</v>
      </c>
      <c r="H1440" t="s">
        <v>2918</v>
      </c>
      <c r="I1440" t="s">
        <v>2903</v>
      </c>
      <c r="J1440">
        <f>VLOOKUP(F1440,[1]!china_towns_second__2[[Column1]:[Y]],3,FALSE)</f>
        <v>30.168444994543201</v>
      </c>
      <c r="K1440">
        <f>VLOOKUP(F1440,[1]!china_towns_second__2[[Column1]:[Y]],2,FALSE)</f>
        <v>120.05889259999999</v>
      </c>
      <c r="L1440" t="s">
        <v>5071</v>
      </c>
      <c r="M1440" t="str">
        <f>VLOOKUP(H1440,CHOOSE({1,2},Table12[Native],Table12[Name]),2,0)</f>
        <v>Xīhú Qū</v>
      </c>
      <c r="N1440" s="15" t="str">
        <f>VLOOKUP(I1440,CHOOSE({1,2},Table12[Native],Table12[Name]),2,0)</f>
        <v>Hángzhōu Shì</v>
      </c>
      <c r="O1440" s="15" t="str">
        <f t="shared" si="44"/>
        <v>Zhuantang Jiedao (Hángzhōu Shì)</v>
      </c>
      <c r="P1440" s="15" t="str">
        <f t="shared" si="45"/>
        <v>Zhuantang Jiedao (Hángzhōu Shì)</v>
      </c>
    </row>
    <row r="1441" spans="1:16" hidden="1" x14ac:dyDescent="0.25">
      <c r="A1441" t="s">
        <v>2267</v>
      </c>
      <c r="B1441" t="str">
        <f>IF(COUNTIF(A:A,A1441)&gt;1,_xlfn.CONCAT(A1441," (",N1441,")"),A1441)</f>
        <v>Zhū'ào Zhèn [incl. Gāojiăn Xiāng]</v>
      </c>
      <c r="C1441" t="str">
        <f>IF(COUNTIF(B:B,B1441)&gt;1,_xlfn.CONCAT(A1441," (",M1441,")"),B1441)</f>
        <v>Zhū'ào Zhèn [incl. Gāojiăn Xiāng]</v>
      </c>
      <c r="D1441" t="s">
        <v>2268</v>
      </c>
      <c r="E1441" t="s">
        <v>11</v>
      </c>
      <c r="F1441" t="str">
        <f>_xlfn.CONCAT(D1441,", ",H1441,", ",I1441,", ","浙江省")</f>
        <v>珠岙镇, 三门县, 台州市, 浙江省</v>
      </c>
      <c r="G1441">
        <v>31195</v>
      </c>
      <c r="H1441" t="s">
        <v>2994</v>
      </c>
      <c r="I1441" t="s">
        <v>2989</v>
      </c>
      <c r="J1441">
        <f>VLOOKUP(F1441,[1]!china_towns_second__2[[Column1]:[Y]],3,FALSE)</f>
        <v>29.077356954802099</v>
      </c>
      <c r="K1441">
        <f>VLOOKUP(F1441,[1]!china_towns_second__2[[Column1]:[Y]],2,FALSE)</f>
        <v>121.285364</v>
      </c>
      <c r="L1441" t="s">
        <v>5072</v>
      </c>
      <c r="M1441" t="str">
        <f>VLOOKUP(H1441,CHOOSE({1,2},Table12[Native],Table12[Name]),2,0)</f>
        <v>Sānmén Xiàn</v>
      </c>
      <c r="N1441" s="15" t="str">
        <f>VLOOKUP(I1441,CHOOSE({1,2},Table12[Native],Table12[Name]),2,0)</f>
        <v>Táizhōu Shì</v>
      </c>
      <c r="O1441" s="15" t="str">
        <f t="shared" si="44"/>
        <v>Zhu'ao Zhen [incl. Gaojian Xiang] (Táizhōu Shì)</v>
      </c>
      <c r="P1441" s="15" t="str">
        <f t="shared" si="45"/>
        <v>Zhu'ao Zhen [incl. Gaojian Xiang] (Táizhōu Shì)</v>
      </c>
    </row>
    <row r="1442" spans="1:16" hidden="1" x14ac:dyDescent="0.25">
      <c r="A1442" t="s">
        <v>1322</v>
      </c>
      <c r="B1442" t="str">
        <f>IF(COUNTIF(A:A,A1442)&gt;1,_xlfn.CONCAT(A1442," (",N1442,")"),A1442)</f>
        <v>Zhūcūn Xiāng</v>
      </c>
      <c r="C1442" t="str">
        <f>IF(COUNTIF(B:B,B1442)&gt;1,_xlfn.CONCAT(A1442," (",M1442,")"),B1442)</f>
        <v>Zhūcūn Xiāng</v>
      </c>
      <c r="D1442" t="s">
        <v>1323</v>
      </c>
      <c r="E1442" t="s">
        <v>7</v>
      </c>
      <c r="F1442" t="str">
        <f>_xlfn.CONCAT(D1442,", ",H1442,", ",I1442,", ","浙江省")</f>
        <v>朱村乡, 云和县, 丽水市, 浙江省</v>
      </c>
      <c r="G1442">
        <v>4122</v>
      </c>
      <c r="H1442" t="s">
        <v>2959</v>
      </c>
      <c r="I1442" t="s">
        <v>2949</v>
      </c>
      <c r="J1442" t="e">
        <f>VLOOKUP(F1442,[1]!china_towns_second__2[[Column1]:[Y]],3,FALSE)</f>
        <v>#N/A</v>
      </c>
      <c r="K1442" t="e">
        <f>VLOOKUP(F1442,[1]!china_towns_second__2[[Column1]:[Y]],2,FALSE)</f>
        <v>#N/A</v>
      </c>
      <c r="L1442" t="s">
        <v>5073</v>
      </c>
      <c r="M1442" t="str">
        <f>VLOOKUP(H1442,CHOOSE({1,2},Table12[Native],Table12[Name]),2,0)</f>
        <v>Yúnhé Xiàn</v>
      </c>
      <c r="N1442" s="15" t="str">
        <f>VLOOKUP(I1442,CHOOSE({1,2},Table12[Native],Table12[Name]),2,0)</f>
        <v>Lìshuĭ Shì</v>
      </c>
      <c r="O1442" s="15" t="str">
        <f t="shared" si="44"/>
        <v>Zhucun Xiang (Lìshuĭ Shì)</v>
      </c>
      <c r="P1442" s="15" t="str">
        <f t="shared" si="45"/>
        <v>Zhucun Xiang (Lìshuĭ Shì)</v>
      </c>
    </row>
    <row r="1443" spans="1:16" hidden="1" x14ac:dyDescent="0.25">
      <c r="A1443" t="s">
        <v>989</v>
      </c>
      <c r="B1443" t="str">
        <f>IF(COUNTIF(A:A,A1443)&gt;1,_xlfn.CONCAT(A1443," (",N1443,")"),A1443)</f>
        <v>Zhūgĕ Zhèn</v>
      </c>
      <c r="C1443" t="str">
        <f>IF(COUNTIF(B:B,B1443)&gt;1,_xlfn.CONCAT(A1443," (",M1443,")"),B1443)</f>
        <v>Zhūgĕ Zhèn</v>
      </c>
      <c r="D1443" t="s">
        <v>990</v>
      </c>
      <c r="E1443" t="s">
        <v>11</v>
      </c>
      <c r="F1443" t="str">
        <f>_xlfn.CONCAT(D1443,", ",H1443,", ",I1443,", ","浙江省")</f>
        <v>诸葛镇, 兰溪市, 金华市, 浙江省</v>
      </c>
      <c r="G1443">
        <v>19806</v>
      </c>
      <c r="H1443" t="s">
        <v>2941</v>
      </c>
      <c r="I1443" t="s">
        <v>2938</v>
      </c>
      <c r="J1443">
        <f>VLOOKUP(F1443,[1]!china_towns_second__2[[Column1]:[Y]],3,FALSE)</f>
        <v>29.243669137736202</v>
      </c>
      <c r="K1443">
        <f>VLOOKUP(F1443,[1]!china_towns_second__2[[Column1]:[Y]],2,FALSE)</f>
        <v>119.2882314</v>
      </c>
      <c r="L1443" t="s">
        <v>5074</v>
      </c>
      <c r="M1443" t="str">
        <f>VLOOKUP(H1443,CHOOSE({1,2},Table12[Native],Table12[Name]),2,0)</f>
        <v>Lánxī Shì</v>
      </c>
      <c r="N1443" s="15" t="str">
        <f>VLOOKUP(I1443,CHOOSE({1,2},Table12[Native],Table12[Name]),2,0)</f>
        <v>Jīnhuá Shì</v>
      </c>
      <c r="O1443" s="15" t="str">
        <f t="shared" si="44"/>
        <v>Zhuge Zhen (Jīnhuá Shì)</v>
      </c>
      <c r="P1443" s="15" t="str">
        <f t="shared" si="45"/>
        <v>Zhuge Zhen (Jīnhuá Shì)</v>
      </c>
    </row>
    <row r="1444" spans="1:16" hidden="1" x14ac:dyDescent="0.25">
      <c r="A1444" t="s">
        <v>2899</v>
      </c>
      <c r="B1444" t="str">
        <f>IF(COUNTIF(A:A,A1444)&gt;1,_xlfn.CONCAT(A1444," (",N1444,")"),A1444)</f>
        <v>Zhūjiājiān Jiēdào [incl. Báishā Xiāng]</v>
      </c>
      <c r="C1444" t="str">
        <f>IF(COUNTIF(B:B,B1444)&gt;1,_xlfn.CONCAT(A1444," (",M1444,")"),B1444)</f>
        <v>Zhūjiājiān Jiēdào [incl. Báishā Xiāng]</v>
      </c>
      <c r="D1444" t="s">
        <v>2900</v>
      </c>
      <c r="E1444" t="s">
        <v>15</v>
      </c>
      <c r="F1444" t="str">
        <f>_xlfn.CONCAT(D1444,", ",H1444,", ",I1444,", ","浙江省")</f>
        <v>朱家尖街道, 普陀区, 舟山市, 浙江省</v>
      </c>
      <c r="G1444">
        <v>28989</v>
      </c>
      <c r="H1444" t="s">
        <v>3016</v>
      </c>
      <c r="I1444" t="s">
        <v>3013</v>
      </c>
      <c r="J1444">
        <f>VLOOKUP(F1444,[1]!china_towns_second__2[[Column1]:[Y]],3,FALSE)</f>
        <v>29.906118191122602</v>
      </c>
      <c r="K1444">
        <f>VLOOKUP(F1444,[1]!china_towns_second__2[[Column1]:[Y]],2,FALSE)</f>
        <v>122.38489970000001</v>
      </c>
      <c r="L1444" t="s">
        <v>5075</v>
      </c>
      <c r="M1444" t="str">
        <f>VLOOKUP(H1444,CHOOSE({1,2},Table12[Native],Table12[Name]),2,0)</f>
        <v>Pŭtuó Qū</v>
      </c>
      <c r="N1444" s="15" t="str">
        <f>VLOOKUP(I1444,CHOOSE({1,2},Table12[Native],Table12[Name]),2,0)</f>
        <v>Zhōushān Shì</v>
      </c>
      <c r="O1444" s="15" t="str">
        <f t="shared" si="44"/>
        <v>Zhujiajian Jiedao [incl. Baisha Xiang] (Zhōushān Shì)</v>
      </c>
      <c r="P1444" s="15" t="str">
        <f t="shared" si="45"/>
        <v>Zhujiajian Jiedao [incl. Baisha Xiang] (Zhōushān Shì)</v>
      </c>
    </row>
    <row r="1445" spans="1:16" hidden="1" x14ac:dyDescent="0.25">
      <c r="A1445" t="s">
        <v>1324</v>
      </c>
      <c r="B1445" t="str">
        <f>IF(COUNTIF(A:A,A1445)&gt;1,_xlfn.CONCAT(A1445," (",N1445,")"),A1445)</f>
        <v>Zhúkŏu Zhèn</v>
      </c>
      <c r="C1445" t="str">
        <f>IF(COUNTIF(B:B,B1445)&gt;1,_xlfn.CONCAT(A1445," (",M1445,")"),B1445)</f>
        <v>Zhúkŏu Zhèn</v>
      </c>
      <c r="D1445" t="s">
        <v>1325</v>
      </c>
      <c r="E1445" t="s">
        <v>11</v>
      </c>
      <c r="F1445" t="str">
        <f>_xlfn.CONCAT(D1445,", ",H1445,", ",I1445,", ","浙江省")</f>
        <v>竹口镇, 庆元县, 丽水市, 浙江省</v>
      </c>
      <c r="G1445">
        <v>8335</v>
      </c>
      <c r="H1445" t="s">
        <v>2956</v>
      </c>
      <c r="I1445" t="s">
        <v>2949</v>
      </c>
      <c r="J1445">
        <f>VLOOKUP(F1445,[1]!china_towns_second__2[[Column1]:[Y]],3,FALSE)</f>
        <v>27.706220952793998</v>
      </c>
      <c r="K1445">
        <f>VLOOKUP(F1445,[1]!china_towns_second__2[[Column1]:[Y]],2,FALSE)</f>
        <v>118.95754909999999</v>
      </c>
      <c r="L1445" t="s">
        <v>5076</v>
      </c>
      <c r="M1445" t="str">
        <f>VLOOKUP(H1445,CHOOSE({1,2},Table12[Native],Table12[Name]),2,0)</f>
        <v>Qìngyuán Xiàn</v>
      </c>
      <c r="N1445" s="15" t="str">
        <f>VLOOKUP(I1445,CHOOSE({1,2},Table12[Native],Table12[Name]),2,0)</f>
        <v>Lìshuĭ Shì</v>
      </c>
      <c r="O1445" s="15" t="str">
        <f t="shared" si="44"/>
        <v>Zhukou Zhen (Lìshuĭ Shì)</v>
      </c>
      <c r="P1445" s="15" t="str">
        <f t="shared" si="45"/>
        <v>Zhukou Zhen (Lìshuĭ Shì)</v>
      </c>
    </row>
    <row r="1446" spans="1:16" hidden="1" x14ac:dyDescent="0.25">
      <c r="A1446" t="s">
        <v>2826</v>
      </c>
      <c r="B1446" t="str">
        <f>IF(COUNTIF(A:A,A1446)&gt;1,_xlfn.CONCAT(A1446," (",N1446,")"),A1446)</f>
        <v>Zhúlĭ Shēzú Xiāng</v>
      </c>
      <c r="C1446" t="str">
        <f>IF(COUNTIF(B:B,B1446)&gt;1,_xlfn.CONCAT(A1446," (",M1446,")"),B1446)</f>
        <v>Zhúlĭ Shēzú Xiāng</v>
      </c>
      <c r="D1446" t="s">
        <v>2827</v>
      </c>
      <c r="E1446" t="s">
        <v>7</v>
      </c>
      <c r="F1446" t="str">
        <f>_xlfn.CONCAT(D1446,", ",H1446,", ",I1446,", ","浙江省")</f>
        <v>竹里畲族乡, 泰顺县, 温州市, 浙江省</v>
      </c>
      <c r="G1446">
        <v>1027</v>
      </c>
      <c r="H1446" t="s">
        <v>3008</v>
      </c>
      <c r="I1446" t="s">
        <v>3000</v>
      </c>
      <c r="J1446" t="e">
        <f>VLOOKUP(F1446,[1]!china_towns_second__2[[Column1]:[Y]],3,FALSE)</f>
        <v>#N/A</v>
      </c>
      <c r="K1446" t="e">
        <f>VLOOKUP(F1446,[1]!china_towns_second__2[[Column1]:[Y]],2,FALSE)</f>
        <v>#N/A</v>
      </c>
      <c r="L1446" t="s">
        <v>5077</v>
      </c>
      <c r="M1446" t="str">
        <f>VLOOKUP(H1446,CHOOSE({1,2},Table12[Native],Table12[Name]),2,0)</f>
        <v>Tàishùn Xiàn</v>
      </c>
      <c r="N1446" s="15" t="str">
        <f>VLOOKUP(I1446,CHOOSE({1,2},Table12[Native],Table12[Name]),2,0)</f>
        <v>Wēnzhōu Shì</v>
      </c>
      <c r="O1446" s="15" t="str">
        <f t="shared" si="44"/>
        <v>Zhuli Shezu Xiang (Wēnzhōu Shì)</v>
      </c>
      <c r="P1446" s="15" t="str">
        <f t="shared" si="45"/>
        <v>Zhuli Shezu Xiang (Wēnzhōu Shì)</v>
      </c>
    </row>
    <row r="1447" spans="1:16" hidden="1" x14ac:dyDescent="0.25">
      <c r="A1447" t="s">
        <v>1326</v>
      </c>
      <c r="B1447" t="str">
        <f>IF(COUNTIF(A:A,A1447)&gt;1,_xlfn.CONCAT(A1447," (",N1447,")"),A1447)</f>
        <v>Zhùlóng Zhèn</v>
      </c>
      <c r="C1447" t="str">
        <f>IF(COUNTIF(B:B,B1447)&gt;1,_xlfn.CONCAT(A1447," (",M1447,")"),B1447)</f>
        <v>Zhùlóng Zhèn</v>
      </c>
      <c r="D1447" t="s">
        <v>1327</v>
      </c>
      <c r="E1447" t="s">
        <v>11</v>
      </c>
      <c r="F1447" t="str">
        <f>_xlfn.CONCAT(D1447,", ",H1447,", ",I1447,", ","浙江省")</f>
        <v>住龙镇, 龙泉市, 丽水市, 浙江省</v>
      </c>
      <c r="G1447">
        <v>4498</v>
      </c>
      <c r="H1447" t="s">
        <v>2954</v>
      </c>
      <c r="I1447" t="s">
        <v>2949</v>
      </c>
      <c r="J1447">
        <f>VLOOKUP(F1447,[1]!china_towns_second__2[[Column1]:[Y]],3,FALSE)</f>
        <v>28.205258428404498</v>
      </c>
      <c r="K1447">
        <f>VLOOKUP(F1447,[1]!china_towns_second__2[[Column1]:[Y]],2,FALSE)</f>
        <v>118.8578998</v>
      </c>
      <c r="L1447" t="s">
        <v>5078</v>
      </c>
      <c r="M1447" t="str">
        <f>VLOOKUP(H1447,CHOOSE({1,2},Table12[Native],Table12[Name]),2,0)</f>
        <v>Lóngquán Shì</v>
      </c>
      <c r="N1447" s="15" t="str">
        <f>VLOOKUP(I1447,CHOOSE({1,2},Table12[Native],Table12[Name]),2,0)</f>
        <v>Lìshuĭ Shì</v>
      </c>
      <c r="O1447" s="15" t="str">
        <f t="shared" si="44"/>
        <v>Zhulong Zhen (Lìshuĭ Shì)</v>
      </c>
      <c r="P1447" s="15" t="str">
        <f t="shared" si="45"/>
        <v>Zhulong Zhen (Lìshuĭ Shì)</v>
      </c>
    </row>
    <row r="1448" spans="1:16" hidden="1" x14ac:dyDescent="0.25">
      <c r="A1448" t="s">
        <v>991</v>
      </c>
      <c r="B1448" t="str">
        <f>IF(COUNTIF(A:A,A1448)&gt;1,_xlfn.CONCAT(A1448," (",N1448,")"),A1448)</f>
        <v>Zhúmă Xiāng</v>
      </c>
      <c r="C1448" t="str">
        <f>IF(COUNTIF(B:B,B1448)&gt;1,_xlfn.CONCAT(A1448," (",M1448,")"),B1448)</f>
        <v>Zhúmă Xiāng</v>
      </c>
      <c r="D1448" t="s">
        <v>992</v>
      </c>
      <c r="E1448" t="s">
        <v>7</v>
      </c>
      <c r="F1448" t="str">
        <f>_xlfn.CONCAT(D1448,", ",H1448,", ",I1448,", ","浙江省")</f>
        <v>竹马乡, 婺城区, 金华市, 浙江省</v>
      </c>
      <c r="G1448">
        <v>10389</v>
      </c>
      <c r="H1448" t="s">
        <v>2944</v>
      </c>
      <c r="I1448" t="s">
        <v>2938</v>
      </c>
      <c r="J1448" t="e">
        <f>VLOOKUP(F1448,[1]!china_towns_second__2[[Column1]:[Y]],3,FALSE)</f>
        <v>#N/A</v>
      </c>
      <c r="K1448" t="e">
        <f>VLOOKUP(F1448,[1]!china_towns_second__2[[Column1]:[Y]],2,FALSE)</f>
        <v>#N/A</v>
      </c>
      <c r="L1448" t="s">
        <v>5079</v>
      </c>
      <c r="M1448" t="str">
        <f>VLOOKUP(H1448,CHOOSE({1,2},Table12[Native],Table12[Name]),2,0)</f>
        <v>Wùchéng Qū</v>
      </c>
      <c r="N1448" s="15" t="str">
        <f>VLOOKUP(I1448,CHOOSE({1,2},Table12[Native],Table12[Name]),2,0)</f>
        <v>Jīnhuá Shì</v>
      </c>
      <c r="O1448" s="15" t="str">
        <f t="shared" si="44"/>
        <v>Zhuma Xiang (Jīnhuá Shì)</v>
      </c>
      <c r="P1448" s="15" t="str">
        <f t="shared" si="45"/>
        <v>Zhuma Xiang (Jīnhuá Shì)</v>
      </c>
    </row>
    <row r="1449" spans="1:16" hidden="1" x14ac:dyDescent="0.25">
      <c r="A1449" t="s">
        <v>2269</v>
      </c>
      <c r="B1449" t="str">
        <f>IF(COUNTIF(A:A,A1449)&gt;1,_xlfn.CONCAT(A1449," (",N1449,")"),A1449)</f>
        <v>Zhūxī Zhèn</v>
      </c>
      <c r="C1449" t="str">
        <f>IF(COUNTIF(B:B,B1449)&gt;1,_xlfn.CONCAT(A1449," (",M1449,")"),B1449)</f>
        <v>Zhūxī Zhèn</v>
      </c>
      <c r="D1449" t="s">
        <v>2270</v>
      </c>
      <c r="E1449" t="s">
        <v>11</v>
      </c>
      <c r="F1449" t="str">
        <f>_xlfn.CONCAT(D1449,", ",H1449,", ",I1449,", ","浙江省")</f>
        <v>朱溪镇, 仙居县, 台州市, 浙江省</v>
      </c>
      <c r="G1449">
        <v>11684</v>
      </c>
      <c r="H1449" t="s">
        <v>2997</v>
      </c>
      <c r="I1449" t="s">
        <v>2989</v>
      </c>
      <c r="J1449">
        <f>VLOOKUP(F1449,[1]!china_towns_second__2[[Column1]:[Y]],3,FALSE)</f>
        <v>28.692690498140301</v>
      </c>
      <c r="K1449">
        <f>VLOOKUP(F1449,[1]!china_towns_second__2[[Column1]:[Y]],2,FALSE)</f>
        <v>120.82886379999999</v>
      </c>
      <c r="L1449" t="s">
        <v>5080</v>
      </c>
      <c r="M1449" t="str">
        <f>VLOOKUP(H1449,CHOOSE({1,2},Table12[Native],Table12[Name]),2,0)</f>
        <v>Xiānjū Xiàn</v>
      </c>
      <c r="N1449" s="15" t="str">
        <f>VLOOKUP(I1449,CHOOSE({1,2},Table12[Native],Table12[Name]),2,0)</f>
        <v>Táizhōu Shì</v>
      </c>
      <c r="O1449" s="15" t="str">
        <f t="shared" si="44"/>
        <v>Zhuxi Zhen (Táizhōu Shì)</v>
      </c>
      <c r="P1449" s="15" t="str">
        <f t="shared" si="45"/>
        <v>Zhuxi Zhen (Táizhōu Shì)</v>
      </c>
    </row>
    <row r="1450" spans="1:16" hidden="1" x14ac:dyDescent="0.25">
      <c r="A1450" t="s">
        <v>2828</v>
      </c>
      <c r="B1450" t="str">
        <f>IF(COUNTIF(A:A,A1450)&gt;1,_xlfn.CONCAT(A1450," (",N1450,")"),A1450)</f>
        <v>Zhūyă Xiāng</v>
      </c>
      <c r="C1450" t="str">
        <f>IF(COUNTIF(B:B,B1450)&gt;1,_xlfn.CONCAT(A1450," (",M1450,")"),B1450)</f>
        <v>Zhūyă Xiāng</v>
      </c>
      <c r="D1450" t="s">
        <v>2829</v>
      </c>
      <c r="E1450" t="s">
        <v>7</v>
      </c>
      <c r="F1450" t="str">
        <f>_xlfn.CONCAT(D1450,", ",H1450,", ",I1450,", ","浙江省")</f>
        <v>朱雅乡, 文成县, 温州市, 浙江省</v>
      </c>
      <c r="G1450">
        <v>1605</v>
      </c>
      <c r="H1450" t="s">
        <v>3009</v>
      </c>
      <c r="I1450" t="s">
        <v>3000</v>
      </c>
      <c r="J1450" t="e">
        <f>VLOOKUP(F1450,[1]!china_towns_second__2[[Column1]:[Y]],3,FALSE)</f>
        <v>#N/A</v>
      </c>
      <c r="K1450" t="e">
        <f>VLOOKUP(F1450,[1]!china_towns_second__2[[Column1]:[Y]],2,FALSE)</f>
        <v>#N/A</v>
      </c>
      <c r="L1450" t="s">
        <v>5081</v>
      </c>
      <c r="M1450" t="str">
        <f>VLOOKUP(H1450,CHOOSE({1,2},Table12[Native],Table12[Name]),2,0)</f>
        <v>Wénchéng Xiàn</v>
      </c>
      <c r="N1450" s="15" t="str">
        <f>VLOOKUP(I1450,CHOOSE({1,2},Table12[Native],Table12[Name]),2,0)</f>
        <v>Wēnzhōu Shì</v>
      </c>
      <c r="O1450" s="15" t="str">
        <f t="shared" si="44"/>
        <v>Zhuya Xiang (Wēnzhōu Shì)</v>
      </c>
      <c r="P1450" s="15" t="str">
        <f t="shared" si="45"/>
        <v>Zhuya Xiang (Wēnzhōu Shì)</v>
      </c>
    </row>
    <row r="1451" spans="1:16" hidden="1" x14ac:dyDescent="0.25">
      <c r="A1451" t="s">
        <v>1328</v>
      </c>
      <c r="B1451" t="str">
        <f>IF(COUNTIF(A:A,A1451)&gt;1,_xlfn.CONCAT(A1451," (",N1451,")"),A1451)</f>
        <v>Zhúyáng Shēzú Xiāng</v>
      </c>
      <c r="C1451" t="str">
        <f>IF(COUNTIF(B:B,B1451)&gt;1,_xlfn.CONCAT(A1451," (",M1451,")"),B1451)</f>
        <v>Zhúyáng Shēzú Xiāng</v>
      </c>
      <c r="D1451" t="s">
        <v>1329</v>
      </c>
      <c r="E1451" t="s">
        <v>7</v>
      </c>
      <c r="F1451" t="str">
        <f>_xlfn.CONCAT(D1451,", ",H1451,", ",I1451,", ","浙江省")</f>
        <v>竹垟畲族乡, 龙泉市, 丽水市, 浙江省</v>
      </c>
      <c r="G1451">
        <v>5325</v>
      </c>
      <c r="H1451" t="s">
        <v>2954</v>
      </c>
      <c r="I1451" t="s">
        <v>2949</v>
      </c>
      <c r="J1451" t="e">
        <f>VLOOKUP(F1451,[1]!china_towns_second__2[[Column1]:[Y]],3,FALSE)</f>
        <v>#N/A</v>
      </c>
      <c r="K1451" t="e">
        <f>VLOOKUP(F1451,[1]!china_towns_second__2[[Column1]:[Y]],2,FALSE)</f>
        <v>#N/A</v>
      </c>
      <c r="L1451" t="s">
        <v>5082</v>
      </c>
      <c r="M1451" t="str">
        <f>VLOOKUP(H1451,CHOOSE({1,2},Table12[Native],Table12[Name]),2,0)</f>
        <v>Lóngquán Shì</v>
      </c>
      <c r="N1451" s="15" t="str">
        <f>VLOOKUP(I1451,CHOOSE({1,2},Table12[Native],Table12[Name]),2,0)</f>
        <v>Lìshuĭ Shì</v>
      </c>
      <c r="O1451" s="15" t="str">
        <f t="shared" si="44"/>
        <v>Zhuyang Shezu Xiang (Lìshuĭ Shì)</v>
      </c>
      <c r="P1451" s="15" t="str">
        <f t="shared" si="45"/>
        <v>Zhuyang Shezu Xiang (Lìshuĭ Shì)</v>
      </c>
    </row>
    <row r="1452" spans="1:16" hidden="1" x14ac:dyDescent="0.25">
      <c r="A1452" t="s">
        <v>1330</v>
      </c>
      <c r="B1452" t="str">
        <f>IF(COUNTIF(A:A,A1452)&gt;1,_xlfn.CONCAT(A1452," (",N1452,")"),A1452)</f>
        <v>Zhúyuán Xiāng</v>
      </c>
      <c r="C1452" t="str">
        <f>IF(COUNTIF(B:B,B1452)&gt;1,_xlfn.CONCAT(A1452," (",M1452,")"),B1452)</f>
        <v>Zhúyuán Xiāng</v>
      </c>
      <c r="D1452" t="s">
        <v>1331</v>
      </c>
      <c r="E1452" t="s">
        <v>7</v>
      </c>
      <c r="F1452" t="str">
        <f>_xlfn.CONCAT(D1452,", ",H1452,", ",I1452,", ","浙江省")</f>
        <v>竹源乡, 松阳县, 丽水市, 浙江省</v>
      </c>
      <c r="G1452">
        <v>1966</v>
      </c>
      <c r="H1452" t="s">
        <v>2957</v>
      </c>
      <c r="I1452" t="s">
        <v>2949</v>
      </c>
      <c r="J1452" t="e">
        <f>VLOOKUP(F1452,[1]!china_towns_second__2[[Column1]:[Y]],3,FALSE)</f>
        <v>#N/A</v>
      </c>
      <c r="K1452" t="e">
        <f>VLOOKUP(F1452,[1]!china_towns_second__2[[Column1]:[Y]],2,FALSE)</f>
        <v>#N/A</v>
      </c>
      <c r="L1452" t="s">
        <v>5083</v>
      </c>
      <c r="M1452" t="str">
        <f>VLOOKUP(H1452,CHOOSE({1,2},Table12[Native],Table12[Name]),2,0)</f>
        <v>Sōngyáng Xiàn</v>
      </c>
      <c r="N1452" s="15" t="str">
        <f>VLOOKUP(I1452,CHOOSE({1,2},Table12[Native],Table12[Name]),2,0)</f>
        <v>Lìshuĭ Shì</v>
      </c>
      <c r="O1452" s="15" t="str">
        <f t="shared" si="44"/>
        <v>Zhuyuan Xiang (Lìshuĭ Shì)</v>
      </c>
      <c r="P1452" s="15" t="str">
        <f t="shared" si="45"/>
        <v>Zhuyuan Xiang (Lìshuĭ Shì)</v>
      </c>
    </row>
    <row r="1453" spans="1:16" hidden="1" x14ac:dyDescent="0.25">
      <c r="A1453" t="s">
        <v>1332</v>
      </c>
      <c r="B1453" t="str">
        <f>IF(COUNTIF(A:A,A1453)&gt;1,_xlfn.CONCAT(A1453," (",N1453,")"),A1453)</f>
        <v>Zĭjīn Jiēdào</v>
      </c>
      <c r="C1453" t="str">
        <f>IF(COUNTIF(B:B,B1453)&gt;1,_xlfn.CONCAT(A1453," (",M1453,")"),B1453)</f>
        <v>Zĭjīn Jiēdào</v>
      </c>
      <c r="D1453" t="s">
        <v>1333</v>
      </c>
      <c r="E1453" t="s">
        <v>15</v>
      </c>
      <c r="F1453" t="str">
        <f>_xlfn.CONCAT(D1453,", ",H1453,", ",I1453,", ","浙江省")</f>
        <v>紫金街道, 莲都区, 丽水市, 浙江省</v>
      </c>
      <c r="G1453">
        <v>82505</v>
      </c>
      <c r="H1453" t="s">
        <v>2953</v>
      </c>
      <c r="I1453" t="s">
        <v>2949</v>
      </c>
      <c r="J1453">
        <f>VLOOKUP(F1453,[1]!china_towns_second__2[[Column1]:[Y]],3,FALSE)</f>
        <v>28.438810578556101</v>
      </c>
      <c r="K1453">
        <f>VLOOKUP(F1453,[1]!china_towns_second__2[[Column1]:[Y]],2,FALSE)</f>
        <v>119.9752187</v>
      </c>
      <c r="L1453" t="s">
        <v>5084</v>
      </c>
      <c r="M1453" t="str">
        <f>VLOOKUP(H1453,CHOOSE({1,2},Table12[Native],Table12[Name]),2,0)</f>
        <v>Liándū Qū</v>
      </c>
      <c r="N1453" s="15" t="str">
        <f>VLOOKUP(I1453,CHOOSE({1,2},Table12[Native],Table12[Name]),2,0)</f>
        <v>Lìshuĭ Shì</v>
      </c>
      <c r="O1453" s="15" t="str">
        <f t="shared" si="44"/>
        <v>Zijin Jiedao (Lìshuĭ Shì)</v>
      </c>
      <c r="P1453" s="15" t="str">
        <f t="shared" si="45"/>
        <v>Zijin Jiedao (Lìshuĭ Shì)</v>
      </c>
    </row>
    <row r="1454" spans="1:16" hidden="1" x14ac:dyDescent="0.25">
      <c r="A1454" t="s">
        <v>414</v>
      </c>
      <c r="B1454" t="str">
        <f>IF(COUNTIF(A:A,A1454)&gt;1,_xlfn.CONCAT(A1454," (",N1454,")"),A1454)</f>
        <v>Zĭtóng Zhèn</v>
      </c>
      <c r="C1454" t="str">
        <f>IF(COUNTIF(B:B,B1454)&gt;1,_xlfn.CONCAT(A1454," (",M1454,")"),B1454)</f>
        <v>Zĭtóng Zhèn</v>
      </c>
      <c r="D1454" t="s">
        <v>415</v>
      </c>
      <c r="E1454" t="s">
        <v>11</v>
      </c>
      <c r="F1454" t="str">
        <f>_xlfn.CONCAT(D1454,", ",H1454,", ",I1454,", ","浙江省")</f>
        <v>梓桐镇, 淳安县, 杭州市, 浙江省</v>
      </c>
      <c r="G1454">
        <v>12371</v>
      </c>
      <c r="H1454" t="s">
        <v>2907</v>
      </c>
      <c r="I1454" t="s">
        <v>2903</v>
      </c>
      <c r="J1454">
        <f>VLOOKUP(F1454,[1]!china_towns_second__2[[Column1]:[Y]],3,FALSE)</f>
        <v>29.611677613103499</v>
      </c>
      <c r="K1454">
        <f>VLOOKUP(F1454,[1]!china_towns_second__2[[Column1]:[Y]],2,FALSE)</f>
        <v>118.7350955</v>
      </c>
      <c r="L1454" t="s">
        <v>5085</v>
      </c>
      <c r="M1454" t="str">
        <f>VLOOKUP(H1454,CHOOSE({1,2},Table12[Native],Table12[Name]),2,0)</f>
        <v>Chún'ān Xiàn</v>
      </c>
      <c r="N1454" s="15" t="str">
        <f>VLOOKUP(I1454,CHOOSE({1,2},Table12[Native],Table12[Name]),2,0)</f>
        <v>Hángzhōu Shì</v>
      </c>
      <c r="O1454" s="15" t="str">
        <f t="shared" si="44"/>
        <v>Zitong Zhen (Hángzhōu Shì)</v>
      </c>
      <c r="P1454" s="15" t="str">
        <f t="shared" si="45"/>
        <v>Zitong Zhen (Hángzhōu Shì)</v>
      </c>
    </row>
    <row r="1455" spans="1:16" hidden="1" x14ac:dyDescent="0.25">
      <c r="A1455" t="s">
        <v>416</v>
      </c>
      <c r="B1455" t="str">
        <f>IF(COUNTIF(A:A,A1455)&gt;1,_xlfn.CONCAT(A1455," (",N1455,")"),A1455)</f>
        <v>Zĭyáng Jiēdào</v>
      </c>
      <c r="C1455" t="str">
        <f>IF(COUNTIF(B:B,B1455)&gt;1,_xlfn.CONCAT(A1455," (",M1455,")"),B1455)</f>
        <v>Zĭyáng Jiēdào</v>
      </c>
      <c r="D1455" t="s">
        <v>417</v>
      </c>
      <c r="E1455" t="s">
        <v>15</v>
      </c>
      <c r="F1455" t="str">
        <f>_xlfn.CONCAT(D1455,", ",H1455,", ",I1455,", ","浙江省")</f>
        <v>紫阳街道, 上城区, 杭州市, 浙江省</v>
      </c>
      <c r="G1455">
        <v>81702</v>
      </c>
      <c r="H1455" t="s">
        <v>2915</v>
      </c>
      <c r="I1455" t="s">
        <v>2903</v>
      </c>
      <c r="J1455">
        <f>VLOOKUP(F1455,[1]!china_towns_second__2[[Column1]:[Y]],3,FALSE)</f>
        <v>30.227393782418101</v>
      </c>
      <c r="K1455">
        <f>VLOOKUP(F1455,[1]!china_towns_second__2[[Column1]:[Y]],2,FALSE)</f>
        <v>120.1769747</v>
      </c>
      <c r="L1455" t="s">
        <v>5086</v>
      </c>
      <c r="M1455" t="str">
        <f>VLOOKUP(H1455,CHOOSE({1,2},Table12[Native],Table12[Name]),2,0)</f>
        <v>Shàngchéng Qū</v>
      </c>
      <c r="N1455" s="15" t="str">
        <f>VLOOKUP(I1455,CHOOSE({1,2},Table12[Native],Table12[Name]),2,0)</f>
        <v>Hángzhōu Shì</v>
      </c>
      <c r="O1455" s="15" t="str">
        <f t="shared" si="44"/>
        <v>Ziyang Jiedao (Hángzhōu Shì)</v>
      </c>
      <c r="P1455" s="15" t="str">
        <f t="shared" si="45"/>
        <v>Ziyang Jiedao (Hángzhōu Shì)</v>
      </c>
    </row>
    <row r="1456" spans="1:16" hidden="1" x14ac:dyDescent="0.25">
      <c r="A1456" t="s">
        <v>1642</v>
      </c>
      <c r="B1456" t="str">
        <f>IF(COUNTIF(A:A,A1456)&gt;1,_xlfn.CONCAT(A1456," (",N1456,")"),A1456)</f>
        <v>Zōnghàn Jiēdào</v>
      </c>
      <c r="C1456" t="str">
        <f>IF(COUNTIF(B:B,B1456)&gt;1,_xlfn.CONCAT(A1456," (",M1456,")"),B1456)</f>
        <v>Zōnghàn Jiēdào</v>
      </c>
      <c r="D1456" t="s">
        <v>1643</v>
      </c>
      <c r="E1456" t="s">
        <v>15</v>
      </c>
      <c r="F1456" t="str">
        <f>_xlfn.CONCAT(D1456,", ",H1456,", ",I1456,", ","浙江省")</f>
        <v>宗汉街道, 慈溪市, 宁波市, 浙江省</v>
      </c>
      <c r="G1456">
        <v>93528</v>
      </c>
      <c r="H1456" t="s">
        <v>2963</v>
      </c>
      <c r="I1456" t="s">
        <v>2961</v>
      </c>
      <c r="J1456">
        <f>VLOOKUP(F1456,[1]!china_towns_second__2[[Column1]:[Y]],3,FALSE)</f>
        <v>30.2092537445311</v>
      </c>
      <c r="K1456">
        <f>VLOOKUP(F1456,[1]!china_towns_second__2[[Column1]:[Y]],2,FALSE)</f>
        <v>121.2133103</v>
      </c>
      <c r="L1456" t="s">
        <v>5087</v>
      </c>
      <c r="M1456" t="str">
        <f>VLOOKUP(H1456,CHOOSE({1,2},Table12[Native],Table12[Name]),2,0)</f>
        <v>Cíxī Shì</v>
      </c>
      <c r="N1456" s="15" t="str">
        <f>VLOOKUP(I1456,CHOOSE({1,2},Table12[Native],Table12[Name]),2,0)</f>
        <v>Níngbō Shì</v>
      </c>
      <c r="O1456" s="15" t="str">
        <f t="shared" si="44"/>
        <v>Zonghan Jiedao (Níngbō Shì)</v>
      </c>
      <c r="P1456" s="15" t="str">
        <f t="shared" si="45"/>
        <v>Zonghan Jiedao (Níngbō Shì)</v>
      </c>
    </row>
    <row r="1457" spans="1:16" hidden="1" x14ac:dyDescent="0.25">
      <c r="A1457" t="s">
        <v>993</v>
      </c>
      <c r="B1457" t="str">
        <f>IF(COUNTIF(A:A,A1457)&gt;1,_xlfn.CONCAT(A1457," (",N1457,")"),A1457)</f>
        <v>Zuŏcūn Zhèn</v>
      </c>
      <c r="C1457" t="str">
        <f>IF(COUNTIF(B:B,B1457)&gt;1,_xlfn.CONCAT(A1457," (",M1457,")"),B1457)</f>
        <v>Zuŏcūn Zhèn</v>
      </c>
      <c r="D1457" t="s">
        <v>994</v>
      </c>
      <c r="E1457" t="s">
        <v>11</v>
      </c>
      <c r="F1457" t="str">
        <f>_xlfn.CONCAT(D1457,", ",H1457,", ",I1457,", ","浙江省")</f>
        <v>佐村镇, 东阳市, 金华市, 浙江省</v>
      </c>
      <c r="G1457">
        <v>13399</v>
      </c>
      <c r="H1457" t="s">
        <v>2939</v>
      </c>
      <c r="I1457" t="s">
        <v>2938</v>
      </c>
      <c r="J1457">
        <f>VLOOKUP(F1457,[1]!china_towns_second__2[[Column1]:[Y]],3,FALSE)</f>
        <v>29.300168009975401</v>
      </c>
      <c r="K1457">
        <f>VLOOKUP(F1457,[1]!china_towns_second__2[[Column1]:[Y]],2,FALSE)</f>
        <v>120.5445715</v>
      </c>
      <c r="L1457" t="s">
        <v>5088</v>
      </c>
      <c r="M1457" t="str">
        <f>VLOOKUP(H1457,CHOOSE({1,2},Table12[Native],Table12[Name]),2,0)</f>
        <v>Dōngyáng Shì</v>
      </c>
      <c r="N1457" s="15" t="str">
        <f>VLOOKUP(I1457,CHOOSE({1,2},Table12[Native],Table12[Name]),2,0)</f>
        <v>Jīnhuá Shì</v>
      </c>
      <c r="O1457" s="15" t="str">
        <f t="shared" si="44"/>
        <v>Zuocun Zhen (Jīnhuá Shì)</v>
      </c>
      <c r="P1457" s="15" t="str">
        <f t="shared" si="45"/>
        <v>Zuocun Zhen (Jīnhuá Shì)</v>
      </c>
    </row>
    <row r="1458" spans="1:16" hidden="1" x14ac:dyDescent="0.25">
      <c r="A1458" t="s">
        <v>418</v>
      </c>
      <c r="B1458" t="str">
        <f>IF(COUNTIF(A:A,A1458)&gt;1,_xlfn.CONCAT(A1458," (",N1458,")"),A1458)</f>
        <v>Zuŏkŏu Xiāng</v>
      </c>
      <c r="C1458" t="str">
        <f>IF(COUNTIF(B:B,B1458)&gt;1,_xlfn.CONCAT(A1458," (",M1458,")"),B1458)</f>
        <v>Zuŏkŏu Xiāng</v>
      </c>
      <c r="D1458" t="s">
        <v>419</v>
      </c>
      <c r="E1458" t="s">
        <v>7</v>
      </c>
      <c r="F1458" t="str">
        <f>_xlfn.CONCAT(D1458,", ",H1458,", ",I1458,", ","浙江省")</f>
        <v>左口乡, 淳安县, 杭州市, 浙江省</v>
      </c>
      <c r="G1458">
        <v>6986</v>
      </c>
      <c r="H1458" t="s">
        <v>2907</v>
      </c>
      <c r="I1458" t="s">
        <v>2903</v>
      </c>
      <c r="J1458" t="e">
        <f>VLOOKUP(F1458,[1]!china_towns_second__2[[Column1]:[Y]],3,FALSE)</f>
        <v>#N/A</v>
      </c>
      <c r="K1458" t="e">
        <f>VLOOKUP(F1458,[1]!china_towns_second__2[[Column1]:[Y]],2,FALSE)</f>
        <v>#N/A</v>
      </c>
      <c r="L1458" t="s">
        <v>5089</v>
      </c>
      <c r="M1458" t="str">
        <f>VLOOKUP(H1458,CHOOSE({1,2},Table12[Native],Table12[Name]),2,0)</f>
        <v>Chún'ān Xiàn</v>
      </c>
      <c r="N1458" s="15" t="str">
        <f>VLOOKUP(I1458,CHOOSE({1,2},Table12[Native],Table12[Name]),2,0)</f>
        <v>Hángzhōu Shì</v>
      </c>
      <c r="O1458" s="15" t="str">
        <f t="shared" si="44"/>
        <v>Zuokou Xiang (Hángzhōu Shì)</v>
      </c>
      <c r="P1458" s="15" t="str">
        <f t="shared" si="45"/>
        <v>Zuokou Xiang (Hángzhōu Shì)</v>
      </c>
    </row>
    <row r="1459" spans="1:16" hidden="1" x14ac:dyDescent="0.25">
      <c r="A1459" t="s">
        <v>1334</v>
      </c>
      <c r="B1459" t="str">
        <f>IF(COUNTIF(A:A,A1459)&gt;1,_xlfn.CONCAT(A1459," (",N1459,")"),A1459)</f>
        <v>Zuŏxī Zhèn</v>
      </c>
      <c r="C1459" t="str">
        <f>IF(COUNTIF(B:B,B1459)&gt;1,_xlfn.CONCAT(A1459," (",M1459,")"),B1459)</f>
        <v>Zuŏxī Zhèn</v>
      </c>
      <c r="D1459" t="s">
        <v>1335</v>
      </c>
      <c r="E1459" t="s">
        <v>11</v>
      </c>
      <c r="F1459" t="str">
        <f>_xlfn.CONCAT(D1459,", ",H1459,", ",I1459,", ","浙江省")</f>
        <v>左溪镇, 庆元县, 丽水市, 浙江省</v>
      </c>
      <c r="G1459">
        <v>2073</v>
      </c>
      <c r="H1459" t="s">
        <v>2956</v>
      </c>
      <c r="I1459" t="s">
        <v>2949</v>
      </c>
      <c r="J1459">
        <f>VLOOKUP(F1459,[1]!china_towns_second__2[[Column1]:[Y]],3,FALSE)</f>
        <v>27.600621570569199</v>
      </c>
      <c r="K1459">
        <f>VLOOKUP(F1459,[1]!china_towns_second__2[[Column1]:[Y]],2,FALSE)</f>
        <v>119.3822625</v>
      </c>
      <c r="L1459" t="s">
        <v>5090</v>
      </c>
      <c r="M1459" t="str">
        <f>VLOOKUP(H1459,CHOOSE({1,2},Table12[Native],Table12[Name]),2,0)</f>
        <v>Qìngyuán Xiàn</v>
      </c>
      <c r="N1459" s="15" t="str">
        <f>VLOOKUP(I1459,CHOOSE({1,2},Table12[Native],Table12[Name]),2,0)</f>
        <v>Lìshuĭ Shì</v>
      </c>
      <c r="O1459" s="15" t="str">
        <f t="shared" si="44"/>
        <v>Zuoxi Zhen (Lìshuĭ Shì)</v>
      </c>
      <c r="P1459" s="15" t="str">
        <f t="shared" si="45"/>
        <v>Zuoxi Zhen (Lìshuĭ Shì)</v>
      </c>
    </row>
  </sheetData>
  <phoneticPr fontId="3" type="noConversion"/>
  <conditionalFormatting sqref="J2:J1459">
    <cfRule type="expression" dxfId="13" priority="7">
      <formula>ISERROR(J2)</formula>
    </cfRule>
  </conditionalFormatting>
  <conditionalFormatting sqref="A2:A1459">
    <cfRule type="duplicateValues" dxfId="12" priority="6"/>
  </conditionalFormatting>
  <conditionalFormatting sqref="B2:B1459">
    <cfRule type="duplicateValues" dxfId="11" priority="5"/>
  </conditionalFormatting>
  <conditionalFormatting sqref="C2:C1459">
    <cfRule type="duplicateValues" dxfId="10" priority="4"/>
  </conditionalFormatting>
  <conditionalFormatting sqref="L2:L1459">
    <cfRule type="duplicateValues" dxfId="9" priority="3"/>
  </conditionalFormatting>
  <conditionalFormatting sqref="O2:O1459">
    <cfRule type="duplicateValues" dxfId="8" priority="2"/>
  </conditionalFormatting>
  <conditionalFormatting sqref="P2:P1459">
    <cfRule type="duplicateValues" dxfId="1" priority="1"/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CA763-C0E0-4E12-9294-3E356FA46997}">
  <dimension ref="A1:E31"/>
  <sheetViews>
    <sheetView workbookViewId="0">
      <selection activeCell="C2" sqref="C2:C31"/>
    </sheetView>
  </sheetViews>
  <sheetFormatPr defaultRowHeight="15" x14ac:dyDescent="0.25"/>
  <cols>
    <col min="1" max="3" width="11.28515625" customWidth="1"/>
  </cols>
  <sheetData>
    <row r="1" spans="1:5" x14ac:dyDescent="0.25">
      <c r="A1" t="s">
        <v>3023</v>
      </c>
      <c r="B1" t="s">
        <v>3033</v>
      </c>
      <c r="C1" t="s">
        <v>3025</v>
      </c>
      <c r="D1" t="s">
        <v>3026</v>
      </c>
      <c r="E1" t="s">
        <v>3027</v>
      </c>
    </row>
    <row r="2" spans="1:5" x14ac:dyDescent="0.25">
      <c r="A2" t="s">
        <v>2954</v>
      </c>
      <c r="B2" t="str">
        <f>VLOOKUP(A2,CHOOSE({1,2},Table12[Native],Table12[Name]),2,0)</f>
        <v>Lóngquán Shì</v>
      </c>
      <c r="C2">
        <v>115120</v>
      </c>
      <c r="D2">
        <f>VLOOKUP(A2,[1]!Table1[[name]:[@lon]],5,0)</f>
        <v>28.037706400000001</v>
      </c>
      <c r="E2">
        <f>VLOOKUP(A2,[1]!Table1[[name]:[@lon]],6,0)</f>
        <v>119.0667705</v>
      </c>
    </row>
    <row r="3" spans="1:5" x14ac:dyDescent="0.25">
      <c r="A3" t="s">
        <v>2949</v>
      </c>
      <c r="B3" t="str">
        <f>VLOOKUP(A3,CHOOSE({1,2},Table12[Native],Table12[Name]),2,0)</f>
        <v>Lìshuĭ Shì</v>
      </c>
      <c r="C3">
        <v>961878</v>
      </c>
      <c r="D3">
        <f>VLOOKUP(A3,[1]!Table1[[name]:[@lon]],5,0)</f>
        <v>28.186514899999999</v>
      </c>
      <c r="E3">
        <f>VLOOKUP(A3,[1]!Table1[[name]:[@lon]],6,0)</f>
        <v>119.56115699999999</v>
      </c>
    </row>
    <row r="4" spans="1:5" x14ac:dyDescent="0.25">
      <c r="A4" t="s">
        <v>2992</v>
      </c>
      <c r="B4" t="str">
        <f>VLOOKUP(A4,CHOOSE({1,2},Table12[Native],Table12[Name]),2,0)</f>
        <v>Línhăi Shì</v>
      </c>
      <c r="C4">
        <v>373112</v>
      </c>
      <c r="D4">
        <f>VLOOKUP(A4,[1]!Table1[[name]:[@lon]],5,0)</f>
        <v>28.838174299999999</v>
      </c>
      <c r="E4">
        <f>VLOOKUP(A4,[1]!Table1[[name]:[@lon]],6,0)</f>
        <v>121.50058129999999</v>
      </c>
    </row>
    <row r="5" spans="1:5" x14ac:dyDescent="0.25">
      <c r="A5" t="s">
        <v>2996</v>
      </c>
      <c r="B5" t="str">
        <f>VLOOKUP(A5,CHOOSE({1,2},Table12[Native],Table12[Name]),2,0)</f>
        <v>Wēnlĭng Shì</v>
      </c>
      <c r="C5">
        <v>387717</v>
      </c>
      <c r="D5">
        <f>VLOOKUP(A5,[1]!Table1[[name]:[@lon]],5,0)</f>
        <v>28.339373999999999</v>
      </c>
      <c r="E5">
        <f>VLOOKUP(A5,[1]!Table1[[name]:[@lon]],6,0)</f>
        <v>121.5315887</v>
      </c>
    </row>
    <row r="6" spans="1:5" x14ac:dyDescent="0.25">
      <c r="A6" t="s">
        <v>2998</v>
      </c>
      <c r="B6" t="str">
        <f>VLOOKUP(A6,CHOOSE({1,2},Table12[Native],Table12[Name]),2,0)</f>
        <v>Yùhuán Shì</v>
      </c>
      <c r="C6">
        <v>351442</v>
      </c>
      <c r="D6">
        <f>VLOOKUP(A6,[1]!Table1[[name]:[@lon]],5,0)</f>
        <v>28.147556699999999</v>
      </c>
      <c r="E6">
        <f>VLOOKUP(A6,[1]!Table1[[name]:[@lon]],6,0)</f>
        <v>121.39954</v>
      </c>
    </row>
    <row r="7" spans="1:5" x14ac:dyDescent="0.25">
      <c r="A7" t="s">
        <v>2989</v>
      </c>
      <c r="B7" t="str">
        <f>VLOOKUP(A7,CHOOSE({1,2},Table12[Native],Table12[Name]),2,0)</f>
        <v>Táizhōu Shì</v>
      </c>
      <c r="C7">
        <v>1855899</v>
      </c>
      <c r="D7">
        <f>VLOOKUP(A7,[1]!Table1[[name]:[@lon]],5,0)</f>
        <v>28.659316499999999</v>
      </c>
      <c r="E7">
        <f>VLOOKUP(A7,[1]!Table1[[name]:[@lon]],6,0)</f>
        <v>121.23186029999999</v>
      </c>
    </row>
    <row r="8" spans="1:5" x14ac:dyDescent="0.25">
      <c r="A8" t="s">
        <v>2934</v>
      </c>
      <c r="B8" t="str">
        <f>VLOOKUP(A8,CHOOSE({1,2},Table12[Native],Table12[Name]),2,0)</f>
        <v>Pínghú Shì</v>
      </c>
      <c r="C8">
        <v>285813</v>
      </c>
      <c r="D8">
        <f>VLOOKUP(A8,[1]!Table1[[name]:[@lon]],5,0)</f>
        <v>30.571304600000001</v>
      </c>
      <c r="E8">
        <f>VLOOKUP(A8,[1]!Table1[[name]:[@lon]],6,0)</f>
        <v>121.2261908</v>
      </c>
    </row>
    <row r="9" spans="1:5" x14ac:dyDescent="0.25">
      <c r="A9" t="s">
        <v>2935</v>
      </c>
      <c r="B9" t="str">
        <f>VLOOKUP(A9,CHOOSE({1,2},Table12[Native],Table12[Name]),2,0)</f>
        <v>Tóngxiāng Shì</v>
      </c>
      <c r="C9">
        <v>313881</v>
      </c>
      <c r="D9">
        <f>VLOOKUP(A9,[1]!Table1[[name]:[@lon]],5,0)</f>
        <v>30.634174300000002</v>
      </c>
      <c r="E9">
        <f>VLOOKUP(A9,[1]!Table1[[name]:[@lon]],6,0)</f>
        <v>120.4775432</v>
      </c>
    </row>
    <row r="10" spans="1:5" x14ac:dyDescent="0.25">
      <c r="A10" t="s">
        <v>2930</v>
      </c>
      <c r="B10" t="str">
        <f>VLOOKUP(A10,CHOOSE({1,2},Table12[Native],Table12[Name]),2,0)</f>
        <v>Hăiníng Shì</v>
      </c>
      <c r="C10">
        <v>281807</v>
      </c>
      <c r="D10">
        <f>VLOOKUP(A10,[1]!Table1[[name]:[@lon]],5,0)</f>
        <v>30.425866500000001</v>
      </c>
      <c r="E10">
        <f>VLOOKUP(A10,[1]!Table1[[name]:[@lon]],6,0)</f>
        <v>120.58599820000001</v>
      </c>
    </row>
    <row r="11" spans="1:5" x14ac:dyDescent="0.25">
      <c r="A11" t="s">
        <v>2929</v>
      </c>
      <c r="B11" t="str">
        <f>VLOOKUP(A11,CHOOSE({1,2},Table12[Native],Table12[Name]),2,0)</f>
        <v>Jiāxīng Shì</v>
      </c>
      <c r="C11">
        <v>1160526</v>
      </c>
      <c r="D11">
        <f>VLOOKUP(A11,[1]!Table1[[name]:[@lon]],5,0)</f>
        <v>30.644961200000001</v>
      </c>
      <c r="E11">
        <f>VLOOKUP(A11,[1]!Table1[[name]:[@lon]],6,0)</f>
        <v>120.89871909999999</v>
      </c>
    </row>
    <row r="12" spans="1:5" x14ac:dyDescent="0.25">
      <c r="A12" t="s">
        <v>2970</v>
      </c>
      <c r="B12" t="str">
        <f>VLOOKUP(A12,CHOOSE({1,2},Table12[Native],Table12[Name]),2,0)</f>
        <v>Yúyáo Shì</v>
      </c>
      <c r="C12">
        <v>530686</v>
      </c>
      <c r="D12">
        <f>VLOOKUP(A12,[1]!Table1[[name]:[@lon]],5,0)</f>
        <v>30.002124800000001</v>
      </c>
      <c r="E12">
        <f>VLOOKUP(A12,[1]!Table1[[name]:[@lon]],6,0)</f>
        <v>121.1558414</v>
      </c>
    </row>
    <row r="13" spans="1:5" x14ac:dyDescent="0.25">
      <c r="A13" t="s">
        <v>2963</v>
      </c>
      <c r="B13" t="str">
        <f>VLOOKUP(A13,CHOOSE({1,2},Table12[Native],Table12[Name]),2,0)</f>
        <v>Cíxī Shì</v>
      </c>
      <c r="C13">
        <v>467069</v>
      </c>
      <c r="D13">
        <f>VLOOKUP(A13,[1]!Table1[[name]:[@lon]],5,0)</f>
        <v>30.247556599999999</v>
      </c>
      <c r="E13">
        <f>VLOOKUP(A13,[1]!Table1[[name]:[@lon]],6,0)</f>
        <v>121.3493442</v>
      </c>
    </row>
    <row r="14" spans="1:5" x14ac:dyDescent="0.25">
      <c r="A14" t="s">
        <v>2961</v>
      </c>
      <c r="B14" t="str">
        <f>VLOOKUP(A14,CHOOSE({1,2},Table12[Native],Table12[Name]),2,0)</f>
        <v>Níngbō Shì</v>
      </c>
      <c r="C14">
        <v>3392442</v>
      </c>
      <c r="D14">
        <f>VLOOKUP(A14,[1]!Table1[[name]:[@lon]],5,0)</f>
        <v>29.605265800000002</v>
      </c>
      <c r="E14">
        <f>VLOOKUP(A14,[1]!Table1[[name]:[@lon]],6,0)</f>
        <v>121.7536848</v>
      </c>
    </row>
    <row r="15" spans="1:5" x14ac:dyDescent="0.25">
      <c r="A15" t="s">
        <v>2910</v>
      </c>
      <c r="B15" t="str">
        <f>VLOOKUP(A15,CHOOSE({1,2},Table12[Native],Table12[Name]),2,0)</f>
        <v>Jiàndé Shì</v>
      </c>
      <c r="C15">
        <v>128299</v>
      </c>
      <c r="D15">
        <f>VLOOKUP(A15,[1]!Table1[[name]:[@lon]],5,0)</f>
        <v>29.488031100000001</v>
      </c>
      <c r="E15">
        <f>VLOOKUP(A15,[1]!Table1[[name]:[@lon]],6,0)</f>
        <v>119.3310481</v>
      </c>
    </row>
    <row r="16" spans="1:5" x14ac:dyDescent="0.25">
      <c r="A16" t="s">
        <v>2903</v>
      </c>
      <c r="B16" t="str">
        <f>VLOOKUP(A16,CHOOSE({1,2},Table12[Native],Table12[Name]),2,0)</f>
        <v>Hángzhōu Shì</v>
      </c>
      <c r="C16">
        <v>6037510</v>
      </c>
      <c r="D16">
        <f>VLOOKUP(A16,[1]!Table1[[name]:[@lon]],5,0)</f>
        <v>29.876840000000001</v>
      </c>
      <c r="E16">
        <f>VLOOKUP(A16,[1]!Table1[[name]:[@lon]],6,0)</f>
        <v>119.53259</v>
      </c>
    </row>
    <row r="17" spans="1:5" x14ac:dyDescent="0.25">
      <c r="A17" t="s">
        <v>3011</v>
      </c>
      <c r="B17" t="str">
        <f>VLOOKUP(A17,CHOOSE({1,2},Table12[Native],Table12[Name]),2,0)</f>
        <v>Yuèqīng Shì</v>
      </c>
      <c r="C17">
        <v>392781</v>
      </c>
      <c r="D17">
        <f>VLOOKUP(A17,[1]!Table1[[name]:[@lon]],5,0)</f>
        <v>28.250834999999999</v>
      </c>
      <c r="E17">
        <f>VLOOKUP(A17,[1]!Table1[[name]:[@lon]],6,0)</f>
        <v>121.01773059999999</v>
      </c>
    </row>
    <row r="18" spans="1:5" x14ac:dyDescent="0.25">
      <c r="A18" t="s">
        <v>3007</v>
      </c>
      <c r="B18" t="str">
        <f>VLOOKUP(A18,CHOOSE({1,2},Table12[Native],Table12[Name]),2,0)</f>
        <v>Ruì'ān Shì</v>
      </c>
      <c r="C18">
        <v>823135</v>
      </c>
      <c r="D18">
        <f>VLOOKUP(A18,[1]!Table1[[name]:[@lon]],5,0)</f>
        <v>27.764968799999998</v>
      </c>
      <c r="E18">
        <f>VLOOKUP(A18,[1]!Table1[[name]:[@lon]],6,0)</f>
        <v>120.7341842</v>
      </c>
    </row>
    <row r="19" spans="1:5" x14ac:dyDescent="0.25">
      <c r="A19" t="s">
        <v>3000</v>
      </c>
      <c r="B19" t="str">
        <f>VLOOKUP(A19,CHOOSE({1,2},Table12[Native],Table12[Name]),2,0)</f>
        <v>Wēnzhōu Shì</v>
      </c>
      <c r="C19">
        <v>3471848</v>
      </c>
      <c r="D19">
        <f>VLOOKUP(A19,[1]!Table1[[name]:[@lon]],5,0)</f>
        <v>27.790027500000001</v>
      </c>
      <c r="E19">
        <f>VLOOKUP(A19,[1]!Table1[[name]:[@lon]],6,0)</f>
        <v>120.5887953</v>
      </c>
    </row>
    <row r="20" spans="1:5" x14ac:dyDescent="0.25">
      <c r="A20" t="s">
        <v>2922</v>
      </c>
      <c r="B20" t="str">
        <f>VLOOKUP(A20,CHOOSE({1,2},Table12[Native],Table12[Name]),2,0)</f>
        <v>Húzhōu Shì</v>
      </c>
      <c r="C20">
        <v>1115088</v>
      </c>
      <c r="D20">
        <f>VLOOKUP(A20,[1]!Table1[[name]:[@lon]],5,0)</f>
        <v>30.779098699999999</v>
      </c>
      <c r="E20">
        <f>VLOOKUP(A20,[1]!Table1[[name]:[@lon]],6,0)</f>
        <v>119.85824150000001</v>
      </c>
    </row>
    <row r="21" spans="1:5" x14ac:dyDescent="0.25">
      <c r="A21" t="s">
        <v>2984</v>
      </c>
      <c r="B21" t="str">
        <f>VLOOKUP(A21,CHOOSE({1,2},Table12[Native],Table12[Name]),2,0)</f>
        <v>Shèngzhōu Shì</v>
      </c>
      <c r="C21">
        <v>284203</v>
      </c>
      <c r="D21">
        <f>VLOOKUP(A21,[1]!Table1[[name]:[@lon]],5,0)</f>
        <v>29.578639899999999</v>
      </c>
      <c r="E21">
        <f>VLOOKUP(A21,[1]!Table1[[name]:[@lon]],6,0)</f>
        <v>120.7900556</v>
      </c>
    </row>
    <row r="22" spans="1:5" x14ac:dyDescent="0.25">
      <c r="A22" t="s">
        <v>2987</v>
      </c>
      <c r="B22" t="str">
        <f>VLOOKUP(A22,CHOOSE({1,2},Table12[Native],Table12[Name]),2,0)</f>
        <v>Zhūjì Shì</v>
      </c>
      <c r="C22">
        <v>566823</v>
      </c>
      <c r="D22">
        <f>VLOOKUP(A22,[1]!Table1[[name]:[@lon]],5,0)</f>
        <v>29.671083299999999</v>
      </c>
      <c r="E22">
        <f>VLOOKUP(A22,[1]!Table1[[name]:[@lon]],6,0)</f>
        <v>120.2102637</v>
      </c>
    </row>
    <row r="23" spans="1:5" x14ac:dyDescent="0.25">
      <c r="A23" t="s">
        <v>2981</v>
      </c>
      <c r="B23" t="str">
        <f>VLOOKUP(A23,CHOOSE({1,2},Table12[Native],Table12[Name]),2,0)</f>
        <v>Shàoxīng Shì</v>
      </c>
      <c r="C23">
        <v>2524220</v>
      </c>
      <c r="D23">
        <f>VLOOKUP(A23,[1]!Table1[[name]:[@lon]],5,0)</f>
        <v>29.762974199999999</v>
      </c>
      <c r="E23">
        <f>VLOOKUP(A23,[1]!Table1[[name]:[@lon]],6,0)</f>
        <v>120.55566109999999</v>
      </c>
    </row>
    <row r="24" spans="1:5" x14ac:dyDescent="0.25">
      <c r="A24" t="s">
        <v>3013</v>
      </c>
      <c r="B24" t="str">
        <f>VLOOKUP(A24,CHOOSE({1,2},Table12[Native],Table12[Name]),2,0)</f>
        <v>Zhōushān Shì</v>
      </c>
      <c r="C24">
        <v>655011</v>
      </c>
      <c r="D24">
        <f>VLOOKUP(A24,[1]!Table1[[name]:[@lon]],5,0)</f>
        <v>30.225180000000002</v>
      </c>
      <c r="E24">
        <f>VLOOKUP(A24,[1]!Table1[[name]:[@lon]],6,0)</f>
        <v>122.3372363</v>
      </c>
    </row>
    <row r="25" spans="1:5" x14ac:dyDescent="0.25">
      <c r="A25" t="s">
        <v>2975</v>
      </c>
      <c r="B25" t="str">
        <f>VLOOKUP(A25,CHOOSE({1,2},Table12[Native],Table12[Name]),2,0)</f>
        <v>Jiāngshān Shì</v>
      </c>
      <c r="C25">
        <v>184828</v>
      </c>
      <c r="D25">
        <f>VLOOKUP(A25,[1]!Table1[[name]:[@lon]],5,0)</f>
        <v>28.566550899999999</v>
      </c>
      <c r="E25">
        <f>VLOOKUP(A25,[1]!Table1[[name]:[@lon]],6,0)</f>
        <v>118.5952849</v>
      </c>
    </row>
    <row r="26" spans="1:5" x14ac:dyDescent="0.25">
      <c r="A26" t="s">
        <v>2973</v>
      </c>
      <c r="B26" t="str">
        <f>VLOOKUP(A26,CHOOSE({1,2},Table12[Native],Table12[Name]),2,0)</f>
        <v>Qúzhōu Shì</v>
      </c>
      <c r="C26">
        <v>583265</v>
      </c>
      <c r="D26">
        <f>VLOOKUP(A26,[1]!Table1[[name]:[@lon]],5,0)</f>
        <v>28.870882699999999</v>
      </c>
      <c r="E26">
        <f>VLOOKUP(A26,[1]!Table1[[name]:[@lon]],6,0)</f>
        <v>118.6821829</v>
      </c>
    </row>
    <row r="27" spans="1:5" x14ac:dyDescent="0.25">
      <c r="A27" t="s">
        <v>2939</v>
      </c>
      <c r="B27" t="str">
        <f>VLOOKUP(A27,CHOOSE({1,2},Table12[Native],Table12[Name]),2,0)</f>
        <v>Dōngyáng Shì</v>
      </c>
      <c r="C27">
        <v>362576</v>
      </c>
      <c r="D27">
        <f>VLOOKUP(A27,[1]!Table1[[name]:[@lon]],5,0)</f>
        <v>29.233792999999999</v>
      </c>
      <c r="E27">
        <f>VLOOKUP(A27,[1]!Table1[[name]:[@lon]],6,0)</f>
        <v>120.4034784</v>
      </c>
    </row>
    <row r="28" spans="1:5" x14ac:dyDescent="0.25">
      <c r="A28" t="s">
        <v>2946</v>
      </c>
      <c r="B28" t="str">
        <f>VLOOKUP(A28,CHOOSE({1,2},Table12[Native],Table12[Name]),2,0)</f>
        <v>Yìwū Shì</v>
      </c>
      <c r="C28">
        <v>849197</v>
      </c>
      <c r="D28">
        <f>VLOOKUP(A28,[1]!Table1[[name]:[@lon]],5,0)</f>
        <v>29.297580700000001</v>
      </c>
      <c r="E28">
        <f>VLOOKUP(A28,[1]!Table1[[name]:[@lon]],6,0)</f>
        <v>120.04969939999999</v>
      </c>
    </row>
    <row r="29" spans="1:5" x14ac:dyDescent="0.25">
      <c r="A29" t="s">
        <v>2941</v>
      </c>
      <c r="B29" t="str">
        <f>VLOOKUP(A29,CHOOSE({1,2},Table12[Native],Table12[Name]),2,0)</f>
        <v>Lánxī Shì</v>
      </c>
      <c r="C29">
        <v>312808</v>
      </c>
      <c r="D29">
        <f>VLOOKUP(A29,[1]!Table1[[name]:[@lon]],5,0)</f>
        <v>29.2658652</v>
      </c>
      <c r="E29">
        <f>VLOOKUP(A29,[1]!Table1[[name]:[@lon]],6,0)</f>
        <v>119.5532494</v>
      </c>
    </row>
    <row r="30" spans="1:5" x14ac:dyDescent="0.25">
      <c r="A30" t="s">
        <v>2947</v>
      </c>
      <c r="B30" t="str">
        <f>VLOOKUP(A30,CHOOSE({1,2},Table12[Native],Table12[Name]),2,0)</f>
        <v>Yŏngkāng Shì</v>
      </c>
      <c r="C30">
        <v>335919</v>
      </c>
      <c r="D30">
        <f>VLOOKUP(A30,[1]!Table1[[name]:[@lon]],5,0)</f>
        <v>28.933903300000001</v>
      </c>
      <c r="E30">
        <f>VLOOKUP(A30,[1]!Table1[[name]:[@lon]],6,0)</f>
        <v>120.117814</v>
      </c>
    </row>
    <row r="31" spans="1:5" x14ac:dyDescent="0.25">
      <c r="A31" t="s">
        <v>2938</v>
      </c>
      <c r="B31" t="str">
        <f>VLOOKUP(A31,CHOOSE({1,2},Table12[Native],Table12[Name]),2,0)</f>
        <v>Jīnhuá Shì</v>
      </c>
      <c r="C31">
        <v>971199</v>
      </c>
      <c r="D31">
        <f>VLOOKUP(A31,[1]!Table1[[name]:[@lon]],5,0)</f>
        <v>29.100189400000001</v>
      </c>
      <c r="E31">
        <f>VLOOKUP(A31,[1]!Table1[[name]:[@lon]],6,0)</f>
        <v>119.9982595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9A50-792A-4579-A85F-1409502EC38C}">
  <dimension ref="A1:I654"/>
  <sheetViews>
    <sheetView workbookViewId="0"/>
  </sheetViews>
  <sheetFormatPr defaultRowHeight="15" x14ac:dyDescent="0.25"/>
  <sheetData>
    <row r="1" spans="1:9" x14ac:dyDescent="0.25">
      <c r="A1" t="s">
        <v>3034</v>
      </c>
      <c r="B1" t="s">
        <v>3185</v>
      </c>
      <c r="C1" t="s">
        <v>3038</v>
      </c>
      <c r="D1">
        <v>28.932183009999999</v>
      </c>
      <c r="E1" t="s">
        <v>3035</v>
      </c>
      <c r="F1">
        <v>119.61829659999999</v>
      </c>
      <c r="G1" t="s">
        <v>3036</v>
      </c>
      <c r="H1">
        <v>9822</v>
      </c>
      <c r="I1" t="s">
        <v>3037</v>
      </c>
    </row>
    <row r="2" spans="1:9" x14ac:dyDescent="0.25">
      <c r="A2" t="s">
        <v>3034</v>
      </c>
      <c r="B2" t="s">
        <v>3301</v>
      </c>
      <c r="C2" t="s">
        <v>3038</v>
      </c>
      <c r="D2">
        <v>30.33846252</v>
      </c>
      <c r="E2" t="s">
        <v>3035</v>
      </c>
      <c r="F2">
        <v>121.19800360000001</v>
      </c>
      <c r="G2" t="s">
        <v>3036</v>
      </c>
      <c r="H2">
        <v>47021</v>
      </c>
      <c r="I2" t="s">
        <v>3037</v>
      </c>
    </row>
    <row r="3" spans="1:9" x14ac:dyDescent="0.25">
      <c r="A3" t="s">
        <v>3034</v>
      </c>
      <c r="B3" t="s">
        <v>3400</v>
      </c>
      <c r="C3" t="s">
        <v>3038</v>
      </c>
      <c r="D3">
        <v>29.538916260000001</v>
      </c>
      <c r="E3" t="s">
        <v>3035</v>
      </c>
      <c r="F3">
        <v>120.1292748</v>
      </c>
      <c r="G3" t="s">
        <v>3036</v>
      </c>
      <c r="H3">
        <v>33076</v>
      </c>
      <c r="I3" t="s">
        <v>3037</v>
      </c>
    </row>
    <row r="4" spans="1:9" x14ac:dyDescent="0.25">
      <c r="A4" t="s">
        <v>3034</v>
      </c>
      <c r="B4" t="s">
        <v>3251</v>
      </c>
      <c r="C4" t="s">
        <v>3038</v>
      </c>
      <c r="D4">
        <v>28.059618489999998</v>
      </c>
      <c r="E4" t="s">
        <v>3035</v>
      </c>
      <c r="F4">
        <v>119.3236529</v>
      </c>
      <c r="G4" t="s">
        <v>3036</v>
      </c>
      <c r="H4">
        <v>14669</v>
      </c>
      <c r="I4" t="s">
        <v>3037</v>
      </c>
    </row>
    <row r="5" spans="1:9" x14ac:dyDescent="0.25">
      <c r="A5" t="s">
        <v>3034</v>
      </c>
      <c r="B5" t="s">
        <v>3501</v>
      </c>
      <c r="C5" t="s">
        <v>3038</v>
      </c>
      <c r="D5">
        <v>27.617948649999999</v>
      </c>
      <c r="E5" t="s">
        <v>3035</v>
      </c>
      <c r="F5">
        <v>120.5768826</v>
      </c>
      <c r="G5" t="s">
        <v>3036</v>
      </c>
      <c r="H5">
        <v>168950</v>
      </c>
      <c r="I5" t="s">
        <v>3037</v>
      </c>
    </row>
    <row r="6" spans="1:9" x14ac:dyDescent="0.25">
      <c r="A6" t="s">
        <v>3034</v>
      </c>
      <c r="B6" t="s">
        <v>3252</v>
      </c>
      <c r="C6" t="s">
        <v>3038</v>
      </c>
      <c r="D6">
        <v>27.988109659999999</v>
      </c>
      <c r="E6" t="s">
        <v>3035</v>
      </c>
      <c r="F6">
        <v>118.9610742</v>
      </c>
      <c r="G6" t="s">
        <v>3036</v>
      </c>
      <c r="H6">
        <v>19877</v>
      </c>
      <c r="I6" t="s">
        <v>3037</v>
      </c>
    </row>
    <row r="7" spans="1:9" x14ac:dyDescent="0.25">
      <c r="A7" t="s">
        <v>3034</v>
      </c>
      <c r="B7" t="s">
        <v>3146</v>
      </c>
      <c r="C7" t="s">
        <v>3038</v>
      </c>
      <c r="D7">
        <v>30.567009550000002</v>
      </c>
      <c r="E7" t="s">
        <v>3035</v>
      </c>
      <c r="F7">
        <v>120.7666048</v>
      </c>
      <c r="G7" t="s">
        <v>3036</v>
      </c>
      <c r="H7">
        <v>35433</v>
      </c>
      <c r="I7" t="s">
        <v>3037</v>
      </c>
    </row>
    <row r="8" spans="1:9" x14ac:dyDescent="0.25">
      <c r="A8" t="s">
        <v>3034</v>
      </c>
      <c r="B8" t="s">
        <v>3446</v>
      </c>
      <c r="C8" t="s">
        <v>3038</v>
      </c>
      <c r="D8">
        <v>29.247321039999999</v>
      </c>
      <c r="E8" t="s">
        <v>3035</v>
      </c>
      <c r="F8">
        <v>120.9546793</v>
      </c>
      <c r="G8" t="s">
        <v>3036</v>
      </c>
      <c r="H8">
        <v>37348</v>
      </c>
      <c r="I8" t="s">
        <v>3037</v>
      </c>
    </row>
    <row r="9" spans="1:9" x14ac:dyDescent="0.25">
      <c r="A9" t="s">
        <v>3034</v>
      </c>
      <c r="B9" t="s">
        <v>3039</v>
      </c>
      <c r="C9" t="s">
        <v>3038</v>
      </c>
      <c r="D9">
        <v>29.821798659999999</v>
      </c>
      <c r="E9" t="s">
        <v>3035</v>
      </c>
      <c r="F9">
        <v>119.3191053</v>
      </c>
      <c r="G9" t="s">
        <v>3036</v>
      </c>
      <c r="H9">
        <v>12233</v>
      </c>
      <c r="I9" t="s">
        <v>3037</v>
      </c>
    </row>
    <row r="10" spans="1:9" x14ac:dyDescent="0.25">
      <c r="A10" t="s">
        <v>3034</v>
      </c>
      <c r="B10" t="s">
        <v>3186</v>
      </c>
      <c r="C10" t="s">
        <v>3038</v>
      </c>
      <c r="D10">
        <v>29.080255730000001</v>
      </c>
      <c r="E10" t="s">
        <v>3035</v>
      </c>
      <c r="F10">
        <v>119.5298713</v>
      </c>
      <c r="G10" t="s">
        <v>3036</v>
      </c>
      <c r="H10">
        <v>63570</v>
      </c>
      <c r="I10" t="s">
        <v>3037</v>
      </c>
    </row>
    <row r="11" spans="1:9" x14ac:dyDescent="0.25">
      <c r="A11" t="s">
        <v>3034</v>
      </c>
      <c r="B11" t="s">
        <v>3187</v>
      </c>
      <c r="C11" t="s">
        <v>3038</v>
      </c>
      <c r="D11">
        <v>29.5316063</v>
      </c>
      <c r="E11" t="s">
        <v>3035</v>
      </c>
      <c r="F11">
        <v>120.0326323</v>
      </c>
      <c r="G11" t="s">
        <v>3036</v>
      </c>
      <c r="H11">
        <v>23409</v>
      </c>
      <c r="I11" t="s">
        <v>3037</v>
      </c>
    </row>
    <row r="12" spans="1:9" x14ac:dyDescent="0.25">
      <c r="A12" t="s">
        <v>3034</v>
      </c>
      <c r="B12" t="s">
        <v>3592</v>
      </c>
      <c r="C12" t="s">
        <v>3038</v>
      </c>
      <c r="D12">
        <v>30.068318519999998</v>
      </c>
      <c r="E12" t="s">
        <v>3035</v>
      </c>
      <c r="F12">
        <v>122.1847203</v>
      </c>
      <c r="G12" t="s">
        <v>3036</v>
      </c>
      <c r="H12">
        <v>40411</v>
      </c>
      <c r="I12" t="s">
        <v>3037</v>
      </c>
    </row>
    <row r="13" spans="1:9" x14ac:dyDescent="0.25">
      <c r="A13" t="s">
        <v>3034</v>
      </c>
      <c r="B13" t="s">
        <v>3253</v>
      </c>
      <c r="C13" t="s">
        <v>3038</v>
      </c>
      <c r="D13">
        <v>27.760131699999999</v>
      </c>
      <c r="E13" t="s">
        <v>3035</v>
      </c>
      <c r="F13">
        <v>119.2190889</v>
      </c>
      <c r="G13" t="s">
        <v>3036</v>
      </c>
      <c r="H13">
        <v>2522</v>
      </c>
      <c r="I13" t="s">
        <v>3037</v>
      </c>
    </row>
    <row r="14" spans="1:9" x14ac:dyDescent="0.25">
      <c r="A14" t="s">
        <v>3034</v>
      </c>
      <c r="B14" t="s">
        <v>3363</v>
      </c>
      <c r="C14" t="s">
        <v>3038</v>
      </c>
      <c r="D14">
        <v>28.816581970000001</v>
      </c>
      <c r="E14" t="s">
        <v>3035</v>
      </c>
      <c r="F14">
        <v>118.41212090000001</v>
      </c>
      <c r="G14" t="s">
        <v>3036</v>
      </c>
      <c r="H14">
        <v>5854</v>
      </c>
      <c r="I14" t="s">
        <v>3037</v>
      </c>
    </row>
    <row r="15" spans="1:9" x14ac:dyDescent="0.25">
      <c r="A15" t="s">
        <v>3034</v>
      </c>
      <c r="B15" t="s">
        <v>3447</v>
      </c>
      <c r="C15" t="s">
        <v>3038</v>
      </c>
      <c r="D15">
        <v>28.958030279999999</v>
      </c>
      <c r="E15" t="s">
        <v>3035</v>
      </c>
      <c r="F15">
        <v>120.9285943</v>
      </c>
      <c r="G15" t="s">
        <v>3036</v>
      </c>
      <c r="H15">
        <v>57955</v>
      </c>
      <c r="I15" t="s">
        <v>3037</v>
      </c>
    </row>
    <row r="16" spans="1:9" x14ac:dyDescent="0.25">
      <c r="A16" t="s">
        <v>3034</v>
      </c>
      <c r="B16" t="s">
        <v>3448</v>
      </c>
      <c r="C16" t="s">
        <v>3038</v>
      </c>
      <c r="D16">
        <v>28.747255160000002</v>
      </c>
      <c r="E16" t="s">
        <v>3035</v>
      </c>
      <c r="F16">
        <v>120.60359990000001</v>
      </c>
      <c r="G16" t="s">
        <v>3036</v>
      </c>
      <c r="H16">
        <v>23879</v>
      </c>
      <c r="I16" t="s">
        <v>3037</v>
      </c>
    </row>
    <row r="17" spans="1:9" x14ac:dyDescent="0.25">
      <c r="A17" t="s">
        <v>3034</v>
      </c>
      <c r="B17" t="s">
        <v>5093</v>
      </c>
      <c r="C17" t="s">
        <v>3038</v>
      </c>
      <c r="D17">
        <v>30.517953049999999</v>
      </c>
      <c r="E17" t="s">
        <v>3035</v>
      </c>
      <c r="F17">
        <v>119.7373024</v>
      </c>
      <c r="G17" t="s">
        <v>3036</v>
      </c>
      <c r="H17">
        <v>9557</v>
      </c>
      <c r="I17" t="s">
        <v>3037</v>
      </c>
    </row>
    <row r="18" spans="1:9" x14ac:dyDescent="0.25">
      <c r="A18" t="s">
        <v>3034</v>
      </c>
      <c r="B18" t="s">
        <v>5094</v>
      </c>
      <c r="C18" t="s">
        <v>3038</v>
      </c>
      <c r="D18">
        <v>27.639020479999999</v>
      </c>
      <c r="E18" t="s">
        <v>3035</v>
      </c>
      <c r="F18">
        <v>119.8760867</v>
      </c>
      <c r="G18" t="s">
        <v>3036</v>
      </c>
      <c r="H18">
        <v>2710</v>
      </c>
      <c r="I18" t="s">
        <v>3037</v>
      </c>
    </row>
    <row r="19" spans="1:9" x14ac:dyDescent="0.25">
      <c r="A19" t="s">
        <v>3034</v>
      </c>
      <c r="B19" t="s">
        <v>3502</v>
      </c>
      <c r="C19" t="s">
        <v>3038</v>
      </c>
      <c r="D19">
        <v>27.85759728</v>
      </c>
      <c r="E19" t="s">
        <v>3035</v>
      </c>
      <c r="F19">
        <v>120.0230751</v>
      </c>
      <c r="G19" t="s">
        <v>3036</v>
      </c>
      <c r="H19">
        <v>7213</v>
      </c>
      <c r="I19" t="s">
        <v>3037</v>
      </c>
    </row>
    <row r="20" spans="1:9" x14ac:dyDescent="0.25">
      <c r="A20" t="s">
        <v>3034</v>
      </c>
      <c r="B20" t="s">
        <v>3109</v>
      </c>
      <c r="C20" t="s">
        <v>3038</v>
      </c>
      <c r="D20">
        <v>30.867622409999999</v>
      </c>
      <c r="E20" t="s">
        <v>3035</v>
      </c>
      <c r="F20">
        <v>120.1819618</v>
      </c>
      <c r="G20" t="s">
        <v>3036</v>
      </c>
      <c r="H20">
        <v>62833</v>
      </c>
      <c r="I20" t="s">
        <v>3037</v>
      </c>
    </row>
    <row r="21" spans="1:9" x14ac:dyDescent="0.25">
      <c r="A21" t="s">
        <v>3034</v>
      </c>
      <c r="B21" t="s">
        <v>3040</v>
      </c>
      <c r="C21" t="s">
        <v>3038</v>
      </c>
      <c r="D21">
        <v>30.14838859</v>
      </c>
      <c r="E21" t="s">
        <v>3035</v>
      </c>
      <c r="F21">
        <v>119.7642956</v>
      </c>
      <c r="G21" t="s">
        <v>3036</v>
      </c>
      <c r="H21">
        <v>20510</v>
      </c>
      <c r="I21" t="s">
        <v>3037</v>
      </c>
    </row>
    <row r="22" spans="1:9" x14ac:dyDescent="0.25">
      <c r="A22" t="s">
        <v>3034</v>
      </c>
      <c r="B22" t="s">
        <v>3110</v>
      </c>
      <c r="C22" t="s">
        <v>3038</v>
      </c>
      <c r="D22">
        <v>30.47410189</v>
      </c>
      <c r="E22" t="s">
        <v>3035</v>
      </c>
      <c r="F22">
        <v>119.47457489999999</v>
      </c>
      <c r="G22" t="s">
        <v>3036</v>
      </c>
      <c r="H22">
        <v>13701</v>
      </c>
      <c r="I22" t="s">
        <v>3037</v>
      </c>
    </row>
    <row r="23" spans="1:9" x14ac:dyDescent="0.25">
      <c r="A23" t="s">
        <v>3034</v>
      </c>
      <c r="B23" t="s">
        <v>3503</v>
      </c>
      <c r="C23" t="s">
        <v>3038</v>
      </c>
      <c r="D23">
        <v>28.031618420000001</v>
      </c>
      <c r="E23" t="s">
        <v>3035</v>
      </c>
      <c r="F23">
        <v>120.8327815</v>
      </c>
      <c r="G23" t="s">
        <v>3036</v>
      </c>
      <c r="H23">
        <v>156341</v>
      </c>
      <c r="I23" t="s">
        <v>3037</v>
      </c>
    </row>
    <row r="24" spans="1:9" x14ac:dyDescent="0.25">
      <c r="A24" t="s">
        <v>3034</v>
      </c>
      <c r="B24" t="s">
        <v>3254</v>
      </c>
      <c r="C24" t="s">
        <v>3038</v>
      </c>
      <c r="D24">
        <v>28.762988610000001</v>
      </c>
      <c r="E24" t="s">
        <v>3035</v>
      </c>
      <c r="F24">
        <v>119.24966000000001</v>
      </c>
      <c r="G24" t="s">
        <v>3036</v>
      </c>
      <c r="H24">
        <v>6630</v>
      </c>
      <c r="I24" t="s">
        <v>3037</v>
      </c>
    </row>
    <row r="25" spans="1:9" x14ac:dyDescent="0.25">
      <c r="A25" t="s">
        <v>3034</v>
      </c>
      <c r="B25" t="s">
        <v>3255</v>
      </c>
      <c r="C25" t="s">
        <v>3038</v>
      </c>
      <c r="D25">
        <v>28.0687377</v>
      </c>
      <c r="E25" t="s">
        <v>3035</v>
      </c>
      <c r="F25">
        <v>119.9899187</v>
      </c>
      <c r="G25" t="s">
        <v>3036</v>
      </c>
      <c r="H25">
        <v>3234</v>
      </c>
      <c r="I25" t="s">
        <v>3037</v>
      </c>
    </row>
    <row r="26" spans="1:9" x14ac:dyDescent="0.25">
      <c r="A26" t="s">
        <v>3034</v>
      </c>
      <c r="B26" t="s">
        <v>3449</v>
      </c>
      <c r="C26" t="s">
        <v>3038</v>
      </c>
      <c r="D26">
        <v>28.6293875</v>
      </c>
      <c r="E26" t="s">
        <v>3035</v>
      </c>
      <c r="F26">
        <v>121.0762179</v>
      </c>
      <c r="G26" t="s">
        <v>3036</v>
      </c>
      <c r="H26">
        <v>22244</v>
      </c>
      <c r="I26" t="s">
        <v>3037</v>
      </c>
    </row>
    <row r="27" spans="1:9" x14ac:dyDescent="0.25">
      <c r="A27" t="s">
        <v>3034</v>
      </c>
      <c r="B27" t="s">
        <v>3256</v>
      </c>
      <c r="C27" t="s">
        <v>3038</v>
      </c>
      <c r="D27">
        <v>28.36665605</v>
      </c>
      <c r="E27" t="s">
        <v>3035</v>
      </c>
      <c r="F27">
        <v>119.7648372</v>
      </c>
      <c r="G27" t="s">
        <v>3036</v>
      </c>
      <c r="H27">
        <v>45957</v>
      </c>
      <c r="I27" t="s">
        <v>3037</v>
      </c>
    </row>
    <row r="28" spans="1:9" x14ac:dyDescent="0.25">
      <c r="A28" t="s">
        <v>3034</v>
      </c>
      <c r="B28" t="s">
        <v>3504</v>
      </c>
      <c r="C28" t="s">
        <v>3038</v>
      </c>
      <c r="D28">
        <v>28.384140630000001</v>
      </c>
      <c r="E28" t="s">
        <v>3035</v>
      </c>
      <c r="F28">
        <v>120.5368165</v>
      </c>
      <c r="G28" t="s">
        <v>3036</v>
      </c>
      <c r="H28">
        <v>11604</v>
      </c>
      <c r="I28" t="s">
        <v>3037</v>
      </c>
    </row>
    <row r="29" spans="1:9" x14ac:dyDescent="0.25">
      <c r="A29" t="s">
        <v>3034</v>
      </c>
      <c r="B29" t="s">
        <v>3450</v>
      </c>
      <c r="C29" t="s">
        <v>3038</v>
      </c>
      <c r="D29">
        <v>28.470554150000002</v>
      </c>
      <c r="E29" t="s">
        <v>3035</v>
      </c>
      <c r="F29">
        <v>121.5403141</v>
      </c>
      <c r="G29" t="s">
        <v>3036</v>
      </c>
      <c r="H29">
        <v>61174</v>
      </c>
      <c r="I29" t="s">
        <v>3037</v>
      </c>
    </row>
    <row r="30" spans="1:9" x14ac:dyDescent="0.25">
      <c r="A30" t="s">
        <v>3034</v>
      </c>
      <c r="B30" t="s">
        <v>3505</v>
      </c>
      <c r="C30" t="s">
        <v>3038</v>
      </c>
      <c r="D30">
        <v>27.8263626</v>
      </c>
      <c r="E30" t="s">
        <v>3035</v>
      </c>
      <c r="F30">
        <v>120.5346322</v>
      </c>
      <c r="G30" t="s">
        <v>3036</v>
      </c>
      <c r="H30">
        <v>22719</v>
      </c>
      <c r="I30" t="s">
        <v>3037</v>
      </c>
    </row>
    <row r="31" spans="1:9" x14ac:dyDescent="0.25">
      <c r="A31" t="s">
        <v>3034</v>
      </c>
      <c r="B31" t="s">
        <v>3257</v>
      </c>
      <c r="C31" t="s">
        <v>3038</v>
      </c>
      <c r="D31">
        <v>28.032385529999999</v>
      </c>
      <c r="E31" t="s">
        <v>3035</v>
      </c>
      <c r="F31">
        <v>119.8104355</v>
      </c>
      <c r="G31" t="s">
        <v>3036</v>
      </c>
      <c r="H31">
        <v>1840</v>
      </c>
      <c r="I31" t="s">
        <v>3037</v>
      </c>
    </row>
    <row r="32" spans="1:9" x14ac:dyDescent="0.25">
      <c r="A32" t="s">
        <v>3034</v>
      </c>
      <c r="B32" t="s">
        <v>3451</v>
      </c>
      <c r="C32" t="s">
        <v>3038</v>
      </c>
      <c r="D32">
        <v>28.822437610000001</v>
      </c>
      <c r="E32" t="s">
        <v>3035</v>
      </c>
      <c r="F32">
        <v>120.5398088</v>
      </c>
      <c r="G32" t="s">
        <v>3036</v>
      </c>
      <c r="H32">
        <v>10610</v>
      </c>
      <c r="I32" t="s">
        <v>3037</v>
      </c>
    </row>
    <row r="33" spans="1:9" x14ac:dyDescent="0.25">
      <c r="A33" t="s">
        <v>3034</v>
      </c>
      <c r="B33" t="s">
        <v>3593</v>
      </c>
      <c r="C33" t="s">
        <v>3038</v>
      </c>
      <c r="D33">
        <v>30.721602690000001</v>
      </c>
      <c r="E33" t="s">
        <v>3035</v>
      </c>
      <c r="F33">
        <v>122.4583313</v>
      </c>
      <c r="G33" t="s">
        <v>3036</v>
      </c>
      <c r="H33">
        <v>38919</v>
      </c>
      <c r="I33" t="s">
        <v>3037</v>
      </c>
    </row>
    <row r="34" spans="1:9" x14ac:dyDescent="0.25">
      <c r="A34" t="s">
        <v>3034</v>
      </c>
      <c r="B34" t="s">
        <v>3506</v>
      </c>
      <c r="C34" t="s">
        <v>3038</v>
      </c>
      <c r="D34">
        <v>27.713100000000001</v>
      </c>
      <c r="E34" t="s">
        <v>3035</v>
      </c>
      <c r="F34">
        <v>120.4556</v>
      </c>
      <c r="G34" t="s">
        <v>3036</v>
      </c>
      <c r="H34">
        <v>16314</v>
      </c>
      <c r="I34" t="s">
        <v>3037</v>
      </c>
    </row>
    <row r="35" spans="1:9" x14ac:dyDescent="0.25">
      <c r="A35" t="s">
        <v>3034</v>
      </c>
      <c r="B35" t="s">
        <v>3188</v>
      </c>
      <c r="C35" t="s">
        <v>3038</v>
      </c>
      <c r="D35">
        <v>29.210282790000001</v>
      </c>
      <c r="E35" t="s">
        <v>3035</v>
      </c>
      <c r="F35">
        <v>119.7570795</v>
      </c>
      <c r="G35" t="s">
        <v>3036</v>
      </c>
      <c r="H35">
        <v>34899</v>
      </c>
      <c r="I35" t="s">
        <v>3037</v>
      </c>
    </row>
    <row r="36" spans="1:9" x14ac:dyDescent="0.25">
      <c r="A36" t="s">
        <v>3034</v>
      </c>
      <c r="B36" t="s">
        <v>3302</v>
      </c>
      <c r="C36" t="s">
        <v>3038</v>
      </c>
      <c r="D36">
        <v>29.212421970000001</v>
      </c>
      <c r="E36" t="s">
        <v>3035</v>
      </c>
      <c r="F36">
        <v>121.260893</v>
      </c>
      <c r="G36" t="s">
        <v>3036</v>
      </c>
      <c r="H36">
        <v>19061</v>
      </c>
      <c r="I36" t="s">
        <v>3037</v>
      </c>
    </row>
    <row r="37" spans="1:9" x14ac:dyDescent="0.25">
      <c r="A37" t="s">
        <v>3034</v>
      </c>
      <c r="B37" t="s">
        <v>5095</v>
      </c>
      <c r="C37" t="s">
        <v>3038</v>
      </c>
      <c r="D37">
        <v>29.859659870000002</v>
      </c>
      <c r="E37" t="s">
        <v>3035</v>
      </c>
      <c r="F37">
        <v>119.90530630000001</v>
      </c>
      <c r="G37" t="s">
        <v>3036</v>
      </c>
      <c r="H37">
        <v>15052</v>
      </c>
      <c r="I37" t="s">
        <v>3037</v>
      </c>
    </row>
    <row r="38" spans="1:9" x14ac:dyDescent="0.25">
      <c r="A38" t="s">
        <v>3034</v>
      </c>
      <c r="B38" t="s">
        <v>5096</v>
      </c>
      <c r="C38" t="s">
        <v>3038</v>
      </c>
      <c r="D38">
        <v>30.421043789999999</v>
      </c>
      <c r="E38" t="s">
        <v>3035</v>
      </c>
      <c r="F38">
        <v>120.4313484</v>
      </c>
      <c r="G38" t="s">
        <v>3036</v>
      </c>
      <c r="H38">
        <v>110352</v>
      </c>
      <c r="I38" t="s">
        <v>3037</v>
      </c>
    </row>
    <row r="39" spans="1:9" x14ac:dyDescent="0.25">
      <c r="A39" t="s">
        <v>3034</v>
      </c>
      <c r="B39" t="s">
        <v>3303</v>
      </c>
      <c r="C39" t="s">
        <v>3038</v>
      </c>
      <c r="D39">
        <v>30.24491815</v>
      </c>
      <c r="E39" t="s">
        <v>3035</v>
      </c>
      <c r="F39">
        <v>121.1753961</v>
      </c>
      <c r="G39" t="s">
        <v>3036</v>
      </c>
      <c r="H39">
        <v>52275</v>
      </c>
      <c r="I39" t="s">
        <v>3037</v>
      </c>
    </row>
    <row r="40" spans="1:9" x14ac:dyDescent="0.25">
      <c r="A40" t="s">
        <v>3034</v>
      </c>
      <c r="B40" t="s">
        <v>3041</v>
      </c>
      <c r="C40" t="s">
        <v>3038</v>
      </c>
      <c r="D40">
        <v>30.220837299999999</v>
      </c>
      <c r="E40" t="s">
        <v>3035</v>
      </c>
      <c r="F40">
        <v>119.1886538</v>
      </c>
      <c r="G40" t="s">
        <v>3036</v>
      </c>
      <c r="H40">
        <v>22609</v>
      </c>
      <c r="I40" t="s">
        <v>3037</v>
      </c>
    </row>
    <row r="41" spans="1:9" x14ac:dyDescent="0.25">
      <c r="A41" t="s">
        <v>3034</v>
      </c>
      <c r="B41" t="s">
        <v>3304</v>
      </c>
      <c r="C41" t="s">
        <v>3038</v>
      </c>
      <c r="D41">
        <v>29.22017542</v>
      </c>
      <c r="E41" t="s">
        <v>3035</v>
      </c>
      <c r="F41">
        <v>121.71417099999999</v>
      </c>
      <c r="G41" t="s">
        <v>3036</v>
      </c>
      <c r="H41">
        <v>47977</v>
      </c>
      <c r="I41" t="s">
        <v>3037</v>
      </c>
    </row>
    <row r="42" spans="1:9" x14ac:dyDescent="0.25">
      <c r="A42" t="s">
        <v>3034</v>
      </c>
      <c r="B42" t="s">
        <v>3042</v>
      </c>
      <c r="C42" t="s">
        <v>3038</v>
      </c>
      <c r="D42">
        <v>29.901582019999999</v>
      </c>
      <c r="E42" t="s">
        <v>3035</v>
      </c>
      <c r="F42">
        <v>119.86166679999999</v>
      </c>
      <c r="G42" t="s">
        <v>3036</v>
      </c>
      <c r="H42">
        <v>29709</v>
      </c>
      <c r="I42" t="s">
        <v>3037</v>
      </c>
    </row>
    <row r="43" spans="1:9" x14ac:dyDescent="0.25">
      <c r="A43" t="s">
        <v>3034</v>
      </c>
      <c r="B43" t="s">
        <v>3401</v>
      </c>
      <c r="C43" t="s">
        <v>3038</v>
      </c>
      <c r="D43">
        <v>29.470027179999999</v>
      </c>
      <c r="E43" t="s">
        <v>3035</v>
      </c>
      <c r="F43">
        <v>120.5687325</v>
      </c>
      <c r="G43" t="s">
        <v>3036</v>
      </c>
      <c r="H43">
        <v>59174</v>
      </c>
      <c r="I43" t="s">
        <v>3037</v>
      </c>
    </row>
    <row r="44" spans="1:9" x14ac:dyDescent="0.25">
      <c r="A44" t="s">
        <v>3034</v>
      </c>
      <c r="B44" t="s">
        <v>3043</v>
      </c>
      <c r="C44" t="s">
        <v>3038</v>
      </c>
      <c r="D44">
        <v>29.852893210000001</v>
      </c>
      <c r="E44" t="s">
        <v>3035</v>
      </c>
      <c r="F44">
        <v>120.05593450000001</v>
      </c>
      <c r="G44" t="s">
        <v>3036</v>
      </c>
      <c r="H44">
        <v>9819</v>
      </c>
      <c r="I44" t="s">
        <v>3037</v>
      </c>
    </row>
    <row r="45" spans="1:9" x14ac:dyDescent="0.25">
      <c r="A45" t="s">
        <v>3034</v>
      </c>
      <c r="B45" t="s">
        <v>3364</v>
      </c>
      <c r="C45" t="s">
        <v>3038</v>
      </c>
      <c r="D45">
        <v>28.604702029999999</v>
      </c>
      <c r="E45" t="s">
        <v>3035</v>
      </c>
      <c r="F45">
        <v>118.6460534</v>
      </c>
      <c r="G45" t="s">
        <v>3036</v>
      </c>
      <c r="H45">
        <v>11207</v>
      </c>
      <c r="I45" t="s">
        <v>3037</v>
      </c>
    </row>
    <row r="46" spans="1:9" x14ac:dyDescent="0.25">
      <c r="A46" t="s">
        <v>3034</v>
      </c>
      <c r="B46" t="s">
        <v>3402</v>
      </c>
      <c r="C46" t="s">
        <v>3038</v>
      </c>
      <c r="D46">
        <v>29.940216679999999</v>
      </c>
      <c r="E46" t="s">
        <v>3035</v>
      </c>
      <c r="F46">
        <v>120.7901067</v>
      </c>
      <c r="G46" t="s">
        <v>3036</v>
      </c>
      <c r="H46">
        <v>12191</v>
      </c>
      <c r="I46" t="s">
        <v>3037</v>
      </c>
    </row>
    <row r="47" spans="1:9" x14ac:dyDescent="0.25">
      <c r="A47" t="s">
        <v>3034</v>
      </c>
      <c r="B47" t="s">
        <v>3594</v>
      </c>
      <c r="C47" t="s">
        <v>3038</v>
      </c>
      <c r="D47">
        <v>30.251412590000001</v>
      </c>
      <c r="E47" t="s">
        <v>3035</v>
      </c>
      <c r="F47">
        <v>122.3471825</v>
      </c>
      <c r="G47" t="s">
        <v>3036</v>
      </c>
      <c r="H47">
        <v>21500</v>
      </c>
      <c r="I47" t="s">
        <v>3037</v>
      </c>
    </row>
    <row r="48" spans="1:9" x14ac:dyDescent="0.25">
      <c r="A48" t="s">
        <v>3034</v>
      </c>
      <c r="B48" t="s">
        <v>3258</v>
      </c>
      <c r="C48" t="s">
        <v>3038</v>
      </c>
      <c r="D48">
        <v>27.909916899999999</v>
      </c>
      <c r="E48" t="s">
        <v>3035</v>
      </c>
      <c r="F48">
        <v>119.0133922</v>
      </c>
      <c r="G48" t="s">
        <v>3036</v>
      </c>
      <c r="H48">
        <v>10790</v>
      </c>
      <c r="I48" t="s">
        <v>3037</v>
      </c>
    </row>
    <row r="49" spans="1:9" x14ac:dyDescent="0.25">
      <c r="A49" t="s">
        <v>3034</v>
      </c>
      <c r="B49" t="s">
        <v>3452</v>
      </c>
      <c r="C49" t="s">
        <v>3038</v>
      </c>
      <c r="D49">
        <v>28.305742250000002</v>
      </c>
      <c r="E49" t="s">
        <v>3035</v>
      </c>
      <c r="F49">
        <v>121.38377800000001</v>
      </c>
      <c r="G49" t="s">
        <v>3036</v>
      </c>
      <c r="H49">
        <v>61523</v>
      </c>
      <c r="I49" t="s">
        <v>3037</v>
      </c>
    </row>
    <row r="50" spans="1:9" x14ac:dyDescent="0.25">
      <c r="A50" t="s">
        <v>3034</v>
      </c>
      <c r="B50" t="s">
        <v>3403</v>
      </c>
      <c r="C50" t="s">
        <v>3038</v>
      </c>
      <c r="D50">
        <v>29.4880128</v>
      </c>
      <c r="E50" t="s">
        <v>3035</v>
      </c>
      <c r="F50">
        <v>120.3560152</v>
      </c>
      <c r="G50" t="s">
        <v>3036</v>
      </c>
      <c r="H50">
        <v>12129</v>
      </c>
      <c r="I50" t="s">
        <v>3037</v>
      </c>
    </row>
    <row r="51" spans="1:9" x14ac:dyDescent="0.25">
      <c r="A51" t="s">
        <v>3034</v>
      </c>
      <c r="B51" t="s">
        <v>3189</v>
      </c>
      <c r="C51" t="s">
        <v>3038</v>
      </c>
      <c r="D51">
        <v>29.105742289999998</v>
      </c>
      <c r="E51" t="s">
        <v>3035</v>
      </c>
      <c r="F51">
        <v>120.0022476</v>
      </c>
      <c r="G51" t="s">
        <v>3036</v>
      </c>
      <c r="H51">
        <v>31495</v>
      </c>
      <c r="I51" t="s">
        <v>3037</v>
      </c>
    </row>
    <row r="52" spans="1:9" x14ac:dyDescent="0.25">
      <c r="A52" t="s">
        <v>3034</v>
      </c>
      <c r="B52" t="s">
        <v>3365</v>
      </c>
      <c r="C52" t="s">
        <v>3038</v>
      </c>
      <c r="D52">
        <v>29.109826259999998</v>
      </c>
      <c r="E52" t="s">
        <v>3035</v>
      </c>
      <c r="F52">
        <v>118.2865949</v>
      </c>
      <c r="G52" t="s">
        <v>3036</v>
      </c>
      <c r="H52">
        <v>20909</v>
      </c>
      <c r="I52" t="s">
        <v>3037</v>
      </c>
    </row>
    <row r="53" spans="1:9" x14ac:dyDescent="0.25">
      <c r="A53" t="s">
        <v>3034</v>
      </c>
      <c r="B53" t="s">
        <v>3190</v>
      </c>
      <c r="C53" t="s">
        <v>3038</v>
      </c>
      <c r="D53">
        <v>29.177539580000001</v>
      </c>
      <c r="E53" t="s">
        <v>3035</v>
      </c>
      <c r="F53">
        <v>119.69352600000001</v>
      </c>
      <c r="G53" t="s">
        <v>3036</v>
      </c>
      <c r="H53">
        <v>24581</v>
      </c>
      <c r="I53" t="s">
        <v>3037</v>
      </c>
    </row>
    <row r="54" spans="1:9" x14ac:dyDescent="0.25">
      <c r="A54" t="s">
        <v>3034</v>
      </c>
      <c r="B54" t="s">
        <v>3507</v>
      </c>
      <c r="C54" t="s">
        <v>3038</v>
      </c>
      <c r="D54">
        <v>27.353697270000001</v>
      </c>
      <c r="E54" t="s">
        <v>3035</v>
      </c>
      <c r="F54">
        <v>120.5332532</v>
      </c>
      <c r="G54" t="s">
        <v>3036</v>
      </c>
      <c r="H54">
        <v>11451</v>
      </c>
      <c r="I54" t="s">
        <v>3037</v>
      </c>
    </row>
    <row r="55" spans="1:9" x14ac:dyDescent="0.25">
      <c r="A55" t="s">
        <v>3034</v>
      </c>
      <c r="B55" t="s">
        <v>3147</v>
      </c>
      <c r="C55" t="s">
        <v>3038</v>
      </c>
      <c r="D55">
        <v>30.53113389</v>
      </c>
      <c r="E55" t="s">
        <v>3035</v>
      </c>
      <c r="F55">
        <v>120.4361652</v>
      </c>
      <c r="G55" t="s">
        <v>3036</v>
      </c>
      <c r="H55">
        <v>112060</v>
      </c>
      <c r="I55" t="s">
        <v>3037</v>
      </c>
    </row>
    <row r="56" spans="1:9" x14ac:dyDescent="0.25">
      <c r="A56" t="s">
        <v>3034</v>
      </c>
      <c r="B56" t="s">
        <v>3404</v>
      </c>
      <c r="C56" t="s">
        <v>3038</v>
      </c>
      <c r="D56">
        <v>29.63119691</v>
      </c>
      <c r="E56" t="s">
        <v>3035</v>
      </c>
      <c r="F56">
        <v>120.69880360000001</v>
      </c>
      <c r="G56" t="s">
        <v>3036</v>
      </c>
      <c r="H56">
        <v>64387</v>
      </c>
      <c r="I56" t="s">
        <v>3037</v>
      </c>
    </row>
    <row r="57" spans="1:9" x14ac:dyDescent="0.25">
      <c r="A57" t="s">
        <v>3034</v>
      </c>
      <c r="B57" t="s">
        <v>3305</v>
      </c>
      <c r="C57" t="s">
        <v>3038</v>
      </c>
      <c r="D57">
        <v>30.270719769999999</v>
      </c>
      <c r="E57" t="s">
        <v>3035</v>
      </c>
      <c r="F57">
        <v>121.26773439999999</v>
      </c>
      <c r="G57" t="s">
        <v>3036</v>
      </c>
      <c r="H57">
        <v>37762</v>
      </c>
      <c r="I57" t="s">
        <v>3037</v>
      </c>
    </row>
    <row r="58" spans="1:9" x14ac:dyDescent="0.25">
      <c r="A58" t="s">
        <v>3034</v>
      </c>
      <c r="B58" t="s">
        <v>3259</v>
      </c>
      <c r="C58" t="s">
        <v>3038</v>
      </c>
      <c r="D58">
        <v>27.999777959999999</v>
      </c>
      <c r="E58" t="s">
        <v>3035</v>
      </c>
      <c r="F58">
        <v>119.44654079999999</v>
      </c>
      <c r="G58" t="s">
        <v>3036</v>
      </c>
      <c r="H58">
        <v>6333</v>
      </c>
      <c r="I58" t="s">
        <v>3037</v>
      </c>
    </row>
    <row r="59" spans="1:9" x14ac:dyDescent="0.25">
      <c r="A59" t="s">
        <v>3034</v>
      </c>
      <c r="B59" t="s">
        <v>3260</v>
      </c>
      <c r="C59" t="s">
        <v>3038</v>
      </c>
      <c r="D59">
        <v>28.26321364</v>
      </c>
      <c r="E59" t="s">
        <v>3035</v>
      </c>
      <c r="F59">
        <v>120.2044255</v>
      </c>
      <c r="G59" t="s">
        <v>3036</v>
      </c>
      <c r="H59">
        <v>26602</v>
      </c>
      <c r="I59" t="s">
        <v>3037</v>
      </c>
    </row>
    <row r="60" spans="1:9" x14ac:dyDescent="0.25">
      <c r="A60" t="s">
        <v>3034</v>
      </c>
      <c r="B60" t="s">
        <v>3453</v>
      </c>
      <c r="C60" t="s">
        <v>3038</v>
      </c>
      <c r="D60">
        <v>28.229803709999999</v>
      </c>
      <c r="E60" t="s">
        <v>3035</v>
      </c>
      <c r="F60">
        <v>121.3050345</v>
      </c>
      <c r="G60" t="s">
        <v>3036</v>
      </c>
      <c r="H60">
        <v>85047</v>
      </c>
      <c r="I60" t="s">
        <v>3037</v>
      </c>
    </row>
    <row r="61" spans="1:9" x14ac:dyDescent="0.25">
      <c r="A61" t="s">
        <v>3034</v>
      </c>
      <c r="B61" t="s">
        <v>3306</v>
      </c>
      <c r="C61" t="s">
        <v>3038</v>
      </c>
      <c r="D61">
        <v>29.991371579999999</v>
      </c>
      <c r="E61" t="s">
        <v>3035</v>
      </c>
      <c r="F61">
        <v>121.43386700000001</v>
      </c>
      <c r="G61" t="s">
        <v>3036</v>
      </c>
      <c r="H61">
        <v>67640</v>
      </c>
      <c r="I61" t="s">
        <v>3037</v>
      </c>
    </row>
    <row r="62" spans="1:9" x14ac:dyDescent="0.25">
      <c r="A62" t="s">
        <v>3034</v>
      </c>
      <c r="B62" t="s">
        <v>3405</v>
      </c>
      <c r="C62" t="s">
        <v>3038</v>
      </c>
      <c r="D62">
        <v>29.890702739999998</v>
      </c>
      <c r="E62" t="s">
        <v>3035</v>
      </c>
      <c r="F62">
        <v>120.19609629999999</v>
      </c>
      <c r="G62" t="s">
        <v>3036</v>
      </c>
      <c r="H62">
        <v>36227</v>
      </c>
      <c r="I62" t="s">
        <v>3037</v>
      </c>
    </row>
    <row r="63" spans="1:9" x14ac:dyDescent="0.25">
      <c r="A63" t="s">
        <v>3034</v>
      </c>
      <c r="B63" t="s">
        <v>3366</v>
      </c>
      <c r="C63" t="s">
        <v>3038</v>
      </c>
      <c r="D63">
        <v>29.285823839999999</v>
      </c>
      <c r="E63" t="s">
        <v>3035</v>
      </c>
      <c r="F63">
        <v>118.49067290000001</v>
      </c>
      <c r="G63" t="s">
        <v>3036</v>
      </c>
      <c r="H63">
        <v>9038</v>
      </c>
      <c r="I63" t="s">
        <v>3037</v>
      </c>
    </row>
    <row r="64" spans="1:9" x14ac:dyDescent="0.25">
      <c r="A64" t="s">
        <v>3034</v>
      </c>
      <c r="B64" t="s">
        <v>5097</v>
      </c>
      <c r="C64" t="s">
        <v>3038</v>
      </c>
      <c r="D64">
        <v>29.483219290000001</v>
      </c>
      <c r="E64" t="s">
        <v>3035</v>
      </c>
      <c r="F64">
        <v>120.1746405</v>
      </c>
      <c r="G64" t="s">
        <v>3036</v>
      </c>
      <c r="H64">
        <v>49696</v>
      </c>
      <c r="I64" t="s">
        <v>3037</v>
      </c>
    </row>
    <row r="65" spans="1:9" x14ac:dyDescent="0.25">
      <c r="A65" t="s">
        <v>3034</v>
      </c>
      <c r="B65" t="s">
        <v>5098</v>
      </c>
      <c r="C65" t="s">
        <v>3038</v>
      </c>
      <c r="D65">
        <v>28.533939570000001</v>
      </c>
      <c r="E65" t="s">
        <v>3035</v>
      </c>
      <c r="F65">
        <v>121.79249729999999</v>
      </c>
      <c r="G65" t="s">
        <v>3036</v>
      </c>
      <c r="H65">
        <v>2227</v>
      </c>
      <c r="I65" t="s">
        <v>3037</v>
      </c>
    </row>
    <row r="66" spans="1:9" x14ac:dyDescent="0.25">
      <c r="A66" t="s">
        <v>3034</v>
      </c>
      <c r="B66" t="s">
        <v>3044</v>
      </c>
      <c r="C66" t="s">
        <v>3038</v>
      </c>
      <c r="D66">
        <v>29.317912969999998</v>
      </c>
      <c r="E66" t="s">
        <v>3035</v>
      </c>
      <c r="F66">
        <v>119.28945179999999</v>
      </c>
      <c r="G66" t="s">
        <v>3036</v>
      </c>
      <c r="H66">
        <v>13583</v>
      </c>
      <c r="I66" t="s">
        <v>3037</v>
      </c>
    </row>
    <row r="67" spans="1:9" x14ac:dyDescent="0.25">
      <c r="A67" t="s">
        <v>3034</v>
      </c>
      <c r="B67" t="s">
        <v>3261</v>
      </c>
      <c r="C67" t="s">
        <v>3038</v>
      </c>
      <c r="D67">
        <v>28.318087080000002</v>
      </c>
      <c r="E67" t="s">
        <v>3035</v>
      </c>
      <c r="F67">
        <v>119.4575885</v>
      </c>
      <c r="G67" t="s">
        <v>3036</v>
      </c>
      <c r="H67">
        <v>9961</v>
      </c>
      <c r="I67" t="s">
        <v>3037</v>
      </c>
    </row>
    <row r="68" spans="1:9" x14ac:dyDescent="0.25">
      <c r="A68" t="s">
        <v>3034</v>
      </c>
      <c r="B68" t="s">
        <v>3262</v>
      </c>
      <c r="C68" t="s">
        <v>3038</v>
      </c>
      <c r="D68">
        <v>28.27494162</v>
      </c>
      <c r="E68" t="s">
        <v>3035</v>
      </c>
      <c r="F68">
        <v>119.73935830000001</v>
      </c>
      <c r="G68" t="s">
        <v>3036</v>
      </c>
      <c r="H68">
        <v>8541</v>
      </c>
      <c r="I68" t="s">
        <v>3037</v>
      </c>
    </row>
    <row r="69" spans="1:9" x14ac:dyDescent="0.25">
      <c r="A69" t="s">
        <v>3034</v>
      </c>
      <c r="B69" t="s">
        <v>3045</v>
      </c>
      <c r="C69" t="s">
        <v>3038</v>
      </c>
      <c r="D69">
        <v>30.000518750000001</v>
      </c>
      <c r="E69" t="s">
        <v>3035</v>
      </c>
      <c r="F69">
        <v>120.1580946</v>
      </c>
      <c r="G69" t="s">
        <v>3036</v>
      </c>
      <c r="H69">
        <v>38902</v>
      </c>
      <c r="I69" t="s">
        <v>3037</v>
      </c>
    </row>
    <row r="70" spans="1:9" x14ac:dyDescent="0.25">
      <c r="A70" t="s">
        <v>3034</v>
      </c>
      <c r="B70" t="s">
        <v>3595</v>
      </c>
      <c r="C70" t="s">
        <v>3038</v>
      </c>
      <c r="D70">
        <v>30.301791730000001</v>
      </c>
      <c r="E70" t="s">
        <v>3035</v>
      </c>
      <c r="F70">
        <v>122.2041935</v>
      </c>
      <c r="G70" t="s">
        <v>3036</v>
      </c>
      <c r="H70">
        <v>8468</v>
      </c>
      <c r="I70" t="s">
        <v>3037</v>
      </c>
    </row>
    <row r="71" spans="1:9" x14ac:dyDescent="0.25">
      <c r="A71" t="s">
        <v>3034</v>
      </c>
      <c r="B71" t="s">
        <v>5099</v>
      </c>
      <c r="C71" t="s">
        <v>3038</v>
      </c>
      <c r="D71">
        <v>30.676481460000002</v>
      </c>
      <c r="E71" t="s">
        <v>3035</v>
      </c>
      <c r="F71">
        <v>119.96314580000001</v>
      </c>
      <c r="G71" t="s">
        <v>3036</v>
      </c>
      <c r="H71">
        <v>34047</v>
      </c>
      <c r="I71" t="s">
        <v>3037</v>
      </c>
    </row>
    <row r="72" spans="1:9" x14ac:dyDescent="0.25">
      <c r="A72" t="s">
        <v>3034</v>
      </c>
      <c r="B72" t="s">
        <v>5100</v>
      </c>
      <c r="C72" t="s">
        <v>3038</v>
      </c>
      <c r="D72">
        <v>30.29183596</v>
      </c>
      <c r="E72" t="s">
        <v>3035</v>
      </c>
      <c r="F72">
        <v>122.1078504</v>
      </c>
      <c r="G72" t="s">
        <v>3036</v>
      </c>
      <c r="H72">
        <v>12138</v>
      </c>
      <c r="I72" t="s">
        <v>3037</v>
      </c>
    </row>
    <row r="73" spans="1:9" x14ac:dyDescent="0.25">
      <c r="A73" t="s">
        <v>3034</v>
      </c>
      <c r="B73" t="s">
        <v>3307</v>
      </c>
      <c r="C73" t="s">
        <v>3038</v>
      </c>
      <c r="D73">
        <v>29.426134009999998</v>
      </c>
      <c r="E73" t="s">
        <v>3035</v>
      </c>
      <c r="F73">
        <v>121.57873379999999</v>
      </c>
      <c r="G73" t="s">
        <v>3036</v>
      </c>
      <c r="H73">
        <v>16689</v>
      </c>
      <c r="I73" t="s">
        <v>3037</v>
      </c>
    </row>
    <row r="74" spans="1:9" x14ac:dyDescent="0.25">
      <c r="A74" t="s">
        <v>3034</v>
      </c>
      <c r="B74" t="s">
        <v>3508</v>
      </c>
      <c r="C74" t="s">
        <v>3038</v>
      </c>
      <c r="D74">
        <v>28.445928850000001</v>
      </c>
      <c r="E74" t="s">
        <v>3035</v>
      </c>
      <c r="F74">
        <v>121.1444983</v>
      </c>
      <c r="G74" t="s">
        <v>3036</v>
      </c>
      <c r="H74">
        <v>53201</v>
      </c>
      <c r="I74" t="s">
        <v>3037</v>
      </c>
    </row>
    <row r="75" spans="1:9" x14ac:dyDescent="0.25">
      <c r="A75" t="s">
        <v>3034</v>
      </c>
      <c r="B75" t="s">
        <v>3308</v>
      </c>
      <c r="C75" t="s">
        <v>3038</v>
      </c>
      <c r="D75">
        <v>29.807963699999998</v>
      </c>
      <c r="E75" t="s">
        <v>3035</v>
      </c>
      <c r="F75">
        <v>121.12864639999999</v>
      </c>
      <c r="G75" t="s">
        <v>3036</v>
      </c>
      <c r="H75">
        <v>7799</v>
      </c>
      <c r="I75" t="s">
        <v>3037</v>
      </c>
    </row>
    <row r="76" spans="1:9" x14ac:dyDescent="0.25">
      <c r="A76" t="s">
        <v>3034</v>
      </c>
      <c r="B76" t="s">
        <v>3148</v>
      </c>
      <c r="C76" t="s">
        <v>3038</v>
      </c>
      <c r="D76">
        <v>30.507726550000001</v>
      </c>
      <c r="E76" t="s">
        <v>3035</v>
      </c>
      <c r="F76">
        <v>120.3441529</v>
      </c>
      <c r="G76" t="s">
        <v>3036</v>
      </c>
      <c r="H76">
        <v>35357</v>
      </c>
      <c r="I76" t="s">
        <v>3037</v>
      </c>
    </row>
    <row r="77" spans="1:9" x14ac:dyDescent="0.25">
      <c r="A77" t="s">
        <v>3034</v>
      </c>
      <c r="B77" t="s">
        <v>3509</v>
      </c>
      <c r="C77" t="s">
        <v>3038</v>
      </c>
      <c r="D77">
        <v>27.969103449999999</v>
      </c>
      <c r="E77" t="s">
        <v>3035</v>
      </c>
      <c r="F77">
        <v>121.07891480000001</v>
      </c>
      <c r="G77" t="s">
        <v>3036</v>
      </c>
      <c r="H77">
        <v>12857</v>
      </c>
      <c r="I77" t="s">
        <v>3037</v>
      </c>
    </row>
    <row r="78" spans="1:9" x14ac:dyDescent="0.25">
      <c r="A78" t="s">
        <v>3034</v>
      </c>
      <c r="B78" t="s">
        <v>3046</v>
      </c>
      <c r="C78" t="s">
        <v>3038</v>
      </c>
      <c r="D78">
        <v>30.231229939999999</v>
      </c>
      <c r="E78" t="s">
        <v>3035</v>
      </c>
      <c r="F78">
        <v>120.53816809999999</v>
      </c>
      <c r="G78" t="s">
        <v>3036</v>
      </c>
      <c r="H78">
        <v>43385</v>
      </c>
      <c r="I78" t="s">
        <v>3037</v>
      </c>
    </row>
    <row r="79" spans="1:9" x14ac:dyDescent="0.25">
      <c r="A79" t="s">
        <v>3034</v>
      </c>
      <c r="B79" t="s">
        <v>3510</v>
      </c>
      <c r="C79" t="s">
        <v>3038</v>
      </c>
      <c r="D79">
        <v>28.225011009999999</v>
      </c>
      <c r="E79" t="s">
        <v>3035</v>
      </c>
      <c r="F79">
        <v>120.9422734</v>
      </c>
      <c r="G79" t="s">
        <v>3036</v>
      </c>
      <c r="H79">
        <v>31957</v>
      </c>
      <c r="I79" t="s">
        <v>3037</v>
      </c>
    </row>
    <row r="80" spans="1:9" x14ac:dyDescent="0.25">
      <c r="A80" t="s">
        <v>3034</v>
      </c>
      <c r="B80" t="s">
        <v>3047</v>
      </c>
      <c r="C80" t="s">
        <v>3038</v>
      </c>
      <c r="D80">
        <v>30.288044490000001</v>
      </c>
      <c r="E80" t="s">
        <v>3035</v>
      </c>
      <c r="F80">
        <v>118.93699429999999</v>
      </c>
      <c r="G80" t="s">
        <v>3036</v>
      </c>
      <c r="H80">
        <v>16394</v>
      </c>
      <c r="I80" t="s">
        <v>3037</v>
      </c>
    </row>
    <row r="81" spans="1:9" x14ac:dyDescent="0.25">
      <c r="A81" t="s">
        <v>3034</v>
      </c>
      <c r="B81" t="s">
        <v>3191</v>
      </c>
      <c r="C81" t="s">
        <v>3038</v>
      </c>
      <c r="D81">
        <v>28.999418940000002</v>
      </c>
      <c r="E81" t="s">
        <v>3035</v>
      </c>
      <c r="F81">
        <v>120.5675694</v>
      </c>
      <c r="G81" t="s">
        <v>3036</v>
      </c>
      <c r="H81">
        <v>5040</v>
      </c>
      <c r="I81" t="s">
        <v>3037</v>
      </c>
    </row>
    <row r="82" spans="1:9" x14ac:dyDescent="0.25">
      <c r="A82" t="s">
        <v>3034</v>
      </c>
      <c r="B82" t="s">
        <v>5101</v>
      </c>
      <c r="C82" t="s">
        <v>3038</v>
      </c>
      <c r="D82">
        <v>30.749611739999999</v>
      </c>
      <c r="E82" t="s">
        <v>3035</v>
      </c>
      <c r="F82">
        <v>120.8831653</v>
      </c>
      <c r="G82" t="s">
        <v>3036</v>
      </c>
      <c r="H82">
        <v>57192</v>
      </c>
      <c r="I82" t="s">
        <v>3037</v>
      </c>
    </row>
    <row r="83" spans="1:9" x14ac:dyDescent="0.25">
      <c r="A83" t="s">
        <v>3034</v>
      </c>
      <c r="B83" t="s">
        <v>5102</v>
      </c>
      <c r="C83" t="s">
        <v>3038</v>
      </c>
      <c r="D83">
        <v>28.74184219</v>
      </c>
      <c r="E83" t="s">
        <v>3035</v>
      </c>
      <c r="F83">
        <v>118.4252537</v>
      </c>
      <c r="G83" t="s">
        <v>3036</v>
      </c>
      <c r="H83">
        <v>10292</v>
      </c>
      <c r="I83" t="s">
        <v>3037</v>
      </c>
    </row>
    <row r="84" spans="1:9" x14ac:dyDescent="0.25">
      <c r="A84" t="s">
        <v>3034</v>
      </c>
      <c r="B84" t="s">
        <v>3511</v>
      </c>
      <c r="C84" t="s">
        <v>3038</v>
      </c>
      <c r="D84">
        <v>28.29011568</v>
      </c>
      <c r="E84" t="s">
        <v>3035</v>
      </c>
      <c r="F84">
        <v>120.637199</v>
      </c>
      <c r="G84" t="s">
        <v>3036</v>
      </c>
      <c r="H84">
        <v>12319</v>
      </c>
      <c r="I84" t="s">
        <v>3037</v>
      </c>
    </row>
    <row r="85" spans="1:9" x14ac:dyDescent="0.25">
      <c r="A85" t="s">
        <v>3034</v>
      </c>
      <c r="B85" t="s">
        <v>3048</v>
      </c>
      <c r="C85" t="s">
        <v>3038</v>
      </c>
      <c r="D85">
        <v>29.379829919999999</v>
      </c>
      <c r="E85" t="s">
        <v>3035</v>
      </c>
      <c r="F85">
        <v>118.7747495</v>
      </c>
      <c r="G85" t="s">
        <v>3036</v>
      </c>
      <c r="H85">
        <v>9241</v>
      </c>
      <c r="I85" t="s">
        <v>3037</v>
      </c>
    </row>
    <row r="86" spans="1:9" x14ac:dyDescent="0.25">
      <c r="A86" t="s">
        <v>3034</v>
      </c>
      <c r="B86" t="s">
        <v>3049</v>
      </c>
      <c r="C86" t="s">
        <v>3038</v>
      </c>
      <c r="D86">
        <v>29.28569495</v>
      </c>
      <c r="E86" t="s">
        <v>3035</v>
      </c>
      <c r="F86">
        <v>119.06770659999999</v>
      </c>
      <c r="G86" t="s">
        <v>3036</v>
      </c>
      <c r="H86">
        <v>36783</v>
      </c>
      <c r="I86" t="s">
        <v>3037</v>
      </c>
    </row>
    <row r="87" spans="1:9" x14ac:dyDescent="0.25">
      <c r="A87" t="s">
        <v>3034</v>
      </c>
      <c r="B87" t="s">
        <v>3454</v>
      </c>
      <c r="C87" t="s">
        <v>3038</v>
      </c>
      <c r="D87">
        <v>28.47294029</v>
      </c>
      <c r="E87" t="s">
        <v>3035</v>
      </c>
      <c r="F87">
        <v>121.2553618</v>
      </c>
      <c r="G87" t="s">
        <v>3036</v>
      </c>
      <c r="H87">
        <v>163986</v>
      </c>
      <c r="I87" t="s">
        <v>3037</v>
      </c>
    </row>
    <row r="88" spans="1:9" x14ac:dyDescent="0.25">
      <c r="A88" t="s">
        <v>3034</v>
      </c>
      <c r="B88" t="s">
        <v>3050</v>
      </c>
      <c r="C88" t="s">
        <v>3038</v>
      </c>
      <c r="D88">
        <v>30.2576711</v>
      </c>
      <c r="E88" t="s">
        <v>3035</v>
      </c>
      <c r="F88">
        <v>119.0705332</v>
      </c>
      <c r="G88" t="s">
        <v>3036</v>
      </c>
      <c r="H88">
        <v>9899</v>
      </c>
      <c r="I88" t="s">
        <v>3037</v>
      </c>
    </row>
    <row r="89" spans="1:9" x14ac:dyDescent="0.25">
      <c r="A89" t="s">
        <v>3034</v>
      </c>
      <c r="B89" t="s">
        <v>3309</v>
      </c>
      <c r="C89" t="s">
        <v>3038</v>
      </c>
      <c r="D89">
        <v>29.527038839999999</v>
      </c>
      <c r="E89" t="s">
        <v>3035</v>
      </c>
      <c r="F89">
        <v>121.8799578</v>
      </c>
      <c r="G89" t="s">
        <v>3036</v>
      </c>
      <c r="H89">
        <v>12787</v>
      </c>
      <c r="I89" t="s">
        <v>3037</v>
      </c>
    </row>
    <row r="90" spans="1:9" x14ac:dyDescent="0.25">
      <c r="A90" t="s">
        <v>3034</v>
      </c>
      <c r="B90" t="s">
        <v>3512</v>
      </c>
      <c r="C90" t="s">
        <v>3038</v>
      </c>
      <c r="D90">
        <v>27.802078739999999</v>
      </c>
      <c r="E90" t="s">
        <v>3035</v>
      </c>
      <c r="F90">
        <v>120.0922966</v>
      </c>
      <c r="G90" t="s">
        <v>3036</v>
      </c>
      <c r="H90">
        <v>54236</v>
      </c>
      <c r="I90" t="s">
        <v>3037</v>
      </c>
    </row>
    <row r="91" spans="1:9" x14ac:dyDescent="0.25">
      <c r="A91" t="s">
        <v>3034</v>
      </c>
      <c r="B91" t="s">
        <v>3310</v>
      </c>
      <c r="C91" t="s">
        <v>3038</v>
      </c>
      <c r="D91">
        <v>29.50328609</v>
      </c>
      <c r="E91" t="s">
        <v>3035</v>
      </c>
      <c r="F91">
        <v>121.26728249999999</v>
      </c>
      <c r="G91" t="s">
        <v>3036</v>
      </c>
      <c r="H91">
        <v>11126</v>
      </c>
      <c r="I91" t="s">
        <v>3037</v>
      </c>
    </row>
    <row r="92" spans="1:9" x14ac:dyDescent="0.25">
      <c r="A92" t="s">
        <v>3034</v>
      </c>
      <c r="B92" t="s">
        <v>5103</v>
      </c>
      <c r="C92" t="s">
        <v>3038</v>
      </c>
      <c r="D92">
        <v>29.421078319999999</v>
      </c>
      <c r="E92" t="s">
        <v>3035</v>
      </c>
      <c r="F92">
        <v>119.5009618</v>
      </c>
      <c r="G92" t="s">
        <v>3036</v>
      </c>
      <c r="H92">
        <v>23567</v>
      </c>
      <c r="I92" t="s">
        <v>3037</v>
      </c>
    </row>
    <row r="93" spans="1:9" x14ac:dyDescent="0.25">
      <c r="A93" t="s">
        <v>3034</v>
      </c>
      <c r="B93" t="s">
        <v>5104</v>
      </c>
      <c r="C93" t="s">
        <v>3038</v>
      </c>
      <c r="D93">
        <v>28.481545130000001</v>
      </c>
      <c r="E93" t="s">
        <v>3035</v>
      </c>
      <c r="F93">
        <v>120.281655</v>
      </c>
      <c r="G93" t="s">
        <v>3036</v>
      </c>
      <c r="H93">
        <v>8859</v>
      </c>
      <c r="I93" t="s">
        <v>3037</v>
      </c>
    </row>
    <row r="94" spans="1:9" x14ac:dyDescent="0.25">
      <c r="A94" t="s">
        <v>3034</v>
      </c>
      <c r="B94" t="s">
        <v>3311</v>
      </c>
      <c r="C94" t="s">
        <v>3038</v>
      </c>
      <c r="D94">
        <v>29.925841630000001</v>
      </c>
      <c r="E94" t="s">
        <v>3035</v>
      </c>
      <c r="F94">
        <v>121.3402184</v>
      </c>
      <c r="G94" t="s">
        <v>3036</v>
      </c>
      <c r="H94">
        <v>12008</v>
      </c>
      <c r="I94" t="s">
        <v>3037</v>
      </c>
    </row>
    <row r="95" spans="1:9" x14ac:dyDescent="0.25">
      <c r="A95" t="s">
        <v>3034</v>
      </c>
      <c r="B95" t="s">
        <v>3513</v>
      </c>
      <c r="C95" t="s">
        <v>3038</v>
      </c>
      <c r="D95">
        <v>27.391649699999999</v>
      </c>
      <c r="E95" t="s">
        <v>3035</v>
      </c>
      <c r="F95">
        <v>120.6000459</v>
      </c>
      <c r="G95" t="s">
        <v>3036</v>
      </c>
      <c r="H95">
        <v>7729</v>
      </c>
      <c r="I95" t="s">
        <v>3037</v>
      </c>
    </row>
    <row r="96" spans="1:9" x14ac:dyDescent="0.25">
      <c r="A96" t="s">
        <v>3034</v>
      </c>
      <c r="B96" t="s">
        <v>5105</v>
      </c>
      <c r="C96" t="s">
        <v>3038</v>
      </c>
      <c r="D96">
        <v>29.94464782</v>
      </c>
      <c r="E96" t="s">
        <v>3035</v>
      </c>
      <c r="F96">
        <v>120.021805</v>
      </c>
      <c r="G96" t="s">
        <v>3036</v>
      </c>
      <c r="H96">
        <v>35231</v>
      </c>
      <c r="I96" t="s">
        <v>3037</v>
      </c>
    </row>
    <row r="97" spans="1:9" x14ac:dyDescent="0.25">
      <c r="A97" t="s">
        <v>3034</v>
      </c>
      <c r="B97" t="s">
        <v>5106</v>
      </c>
      <c r="C97" t="s">
        <v>3038</v>
      </c>
      <c r="D97">
        <v>28.606853990000001</v>
      </c>
      <c r="E97" t="s">
        <v>3035</v>
      </c>
      <c r="F97">
        <v>120.3166406</v>
      </c>
      <c r="G97" t="s">
        <v>3036</v>
      </c>
      <c r="H97">
        <v>9570</v>
      </c>
      <c r="I97" t="s">
        <v>3037</v>
      </c>
    </row>
    <row r="98" spans="1:9" x14ac:dyDescent="0.25">
      <c r="A98" t="s">
        <v>3034</v>
      </c>
      <c r="B98" t="s">
        <v>3149</v>
      </c>
      <c r="C98" t="s">
        <v>3038</v>
      </c>
      <c r="D98">
        <v>30.795539160000001</v>
      </c>
      <c r="E98" t="s">
        <v>3035</v>
      </c>
      <c r="F98">
        <v>120.94982760000001</v>
      </c>
      <c r="G98" t="s">
        <v>3036</v>
      </c>
      <c r="H98">
        <v>23428</v>
      </c>
      <c r="I98" t="s">
        <v>3037</v>
      </c>
    </row>
    <row r="99" spans="1:9" x14ac:dyDescent="0.25">
      <c r="A99" t="s">
        <v>3034</v>
      </c>
      <c r="B99" t="s">
        <v>3263</v>
      </c>
      <c r="C99" t="s">
        <v>3038</v>
      </c>
      <c r="D99">
        <v>28.528370890000001</v>
      </c>
      <c r="E99" t="s">
        <v>3035</v>
      </c>
      <c r="F99">
        <v>119.1121023</v>
      </c>
      <c r="G99" t="s">
        <v>3036</v>
      </c>
      <c r="H99">
        <v>12733</v>
      </c>
      <c r="I99" t="s">
        <v>3037</v>
      </c>
    </row>
    <row r="100" spans="1:9" x14ac:dyDescent="0.25">
      <c r="A100" t="s">
        <v>3034</v>
      </c>
      <c r="B100" t="s">
        <v>3367</v>
      </c>
      <c r="C100" t="s">
        <v>3038</v>
      </c>
      <c r="D100">
        <v>28.814554279999999</v>
      </c>
      <c r="E100" t="s">
        <v>3035</v>
      </c>
      <c r="F100">
        <v>119.01557099999999</v>
      </c>
      <c r="G100" t="s">
        <v>3036</v>
      </c>
      <c r="H100">
        <v>13086</v>
      </c>
      <c r="I100" t="s">
        <v>3037</v>
      </c>
    </row>
    <row r="101" spans="1:9" x14ac:dyDescent="0.25">
      <c r="A101" t="s">
        <v>3034</v>
      </c>
      <c r="B101" t="s">
        <v>3406</v>
      </c>
      <c r="C101" t="s">
        <v>3038</v>
      </c>
      <c r="D101">
        <v>29.919088049999999</v>
      </c>
      <c r="E101" t="s">
        <v>3035</v>
      </c>
      <c r="F101">
        <v>120.33132019999999</v>
      </c>
      <c r="G101" t="s">
        <v>3036</v>
      </c>
      <c r="H101">
        <v>121985</v>
      </c>
      <c r="I101" t="s">
        <v>3037</v>
      </c>
    </row>
    <row r="102" spans="1:9" x14ac:dyDescent="0.25">
      <c r="A102" t="s">
        <v>3034</v>
      </c>
      <c r="B102" t="s">
        <v>3150</v>
      </c>
      <c r="C102" t="s">
        <v>3038</v>
      </c>
      <c r="D102">
        <v>30.414938599999999</v>
      </c>
      <c r="E102" t="s">
        <v>3035</v>
      </c>
      <c r="F102">
        <v>120.6623096</v>
      </c>
      <c r="G102" t="s">
        <v>3036</v>
      </c>
      <c r="H102">
        <v>45954</v>
      </c>
      <c r="I102" t="s">
        <v>3037</v>
      </c>
    </row>
    <row r="103" spans="1:9" x14ac:dyDescent="0.25">
      <c r="A103" t="s">
        <v>3034</v>
      </c>
      <c r="B103" t="s">
        <v>3312</v>
      </c>
      <c r="C103" t="s">
        <v>3038</v>
      </c>
      <c r="D103">
        <v>29.246490869999999</v>
      </c>
      <c r="E103" t="s">
        <v>3035</v>
      </c>
      <c r="F103">
        <v>121.8439443</v>
      </c>
      <c r="G103" t="s">
        <v>3036</v>
      </c>
      <c r="H103">
        <v>19938</v>
      </c>
      <c r="I103" t="s">
        <v>3037</v>
      </c>
    </row>
    <row r="104" spans="1:9" x14ac:dyDescent="0.25">
      <c r="A104" t="s">
        <v>3034</v>
      </c>
      <c r="B104" t="s">
        <v>3407</v>
      </c>
      <c r="C104" t="s">
        <v>3038</v>
      </c>
      <c r="D104">
        <v>29.572353199999998</v>
      </c>
      <c r="E104" t="s">
        <v>3035</v>
      </c>
      <c r="F104">
        <v>120.4421225</v>
      </c>
      <c r="G104" t="s">
        <v>3036</v>
      </c>
      <c r="H104">
        <v>23399</v>
      </c>
      <c r="I104" t="s">
        <v>3037</v>
      </c>
    </row>
    <row r="105" spans="1:9" x14ac:dyDescent="0.25">
      <c r="A105" t="s">
        <v>3034</v>
      </c>
      <c r="B105" t="s">
        <v>3455</v>
      </c>
      <c r="C105" t="s">
        <v>3038</v>
      </c>
      <c r="D105">
        <v>28.93875147</v>
      </c>
      <c r="E105" t="s">
        <v>3035</v>
      </c>
      <c r="F105">
        <v>121.3141506</v>
      </c>
      <c r="G105" t="s">
        <v>3036</v>
      </c>
      <c r="H105">
        <v>51297</v>
      </c>
      <c r="I105" t="s">
        <v>3037</v>
      </c>
    </row>
    <row r="106" spans="1:9" x14ac:dyDescent="0.25">
      <c r="A106" t="s">
        <v>3034</v>
      </c>
      <c r="B106" t="s">
        <v>3264</v>
      </c>
      <c r="C106" t="s">
        <v>3038</v>
      </c>
      <c r="D106">
        <v>28.594913859999998</v>
      </c>
      <c r="E106" t="s">
        <v>3035</v>
      </c>
      <c r="F106">
        <v>120.06407470000001</v>
      </c>
      <c r="G106" t="s">
        <v>3036</v>
      </c>
      <c r="H106">
        <v>24974</v>
      </c>
      <c r="I106" t="s">
        <v>3037</v>
      </c>
    </row>
    <row r="107" spans="1:9" x14ac:dyDescent="0.25">
      <c r="A107" t="s">
        <v>3034</v>
      </c>
      <c r="B107" t="s">
        <v>3265</v>
      </c>
      <c r="C107" t="s">
        <v>3038</v>
      </c>
      <c r="D107">
        <v>28.747143659999999</v>
      </c>
      <c r="E107" t="s">
        <v>3035</v>
      </c>
      <c r="F107">
        <v>120.1866442</v>
      </c>
      <c r="G107" t="s">
        <v>3036</v>
      </c>
      <c r="H107">
        <v>17577</v>
      </c>
      <c r="I107" t="s">
        <v>3037</v>
      </c>
    </row>
    <row r="108" spans="1:9" x14ac:dyDescent="0.25">
      <c r="A108" t="s">
        <v>3034</v>
      </c>
      <c r="B108" t="s">
        <v>3596</v>
      </c>
      <c r="C108" t="s">
        <v>3038</v>
      </c>
      <c r="D108">
        <v>30.179826819999999</v>
      </c>
      <c r="E108" t="s">
        <v>3035</v>
      </c>
      <c r="F108">
        <v>122.7030601</v>
      </c>
      <c r="G108" t="s">
        <v>3036</v>
      </c>
      <c r="H108">
        <v>1506</v>
      </c>
      <c r="I108" t="s">
        <v>3037</v>
      </c>
    </row>
    <row r="109" spans="1:9" x14ac:dyDescent="0.25">
      <c r="A109" t="s">
        <v>3034</v>
      </c>
      <c r="B109" t="s">
        <v>3266</v>
      </c>
      <c r="C109" t="s">
        <v>3038</v>
      </c>
      <c r="D109">
        <v>27.836003259999998</v>
      </c>
      <c r="E109" t="s">
        <v>3035</v>
      </c>
      <c r="F109">
        <v>119.69956759999999</v>
      </c>
      <c r="G109" t="s">
        <v>3036</v>
      </c>
      <c r="H109">
        <v>5723</v>
      </c>
      <c r="I109" t="s">
        <v>3037</v>
      </c>
    </row>
    <row r="110" spans="1:9" x14ac:dyDescent="0.25">
      <c r="A110" t="s">
        <v>3034</v>
      </c>
      <c r="B110" t="s">
        <v>3111</v>
      </c>
      <c r="C110" t="s">
        <v>3038</v>
      </c>
      <c r="D110">
        <v>30.691140069999999</v>
      </c>
      <c r="E110" t="s">
        <v>3035</v>
      </c>
      <c r="F110">
        <v>120.0828204</v>
      </c>
      <c r="G110" t="s">
        <v>3036</v>
      </c>
      <c r="H110">
        <v>29825</v>
      </c>
      <c r="I110" t="s">
        <v>3037</v>
      </c>
    </row>
    <row r="111" spans="1:9" x14ac:dyDescent="0.25">
      <c r="A111" t="s">
        <v>3034</v>
      </c>
      <c r="B111" t="s">
        <v>3313</v>
      </c>
      <c r="C111" t="s">
        <v>3038</v>
      </c>
      <c r="D111">
        <v>29.75919584</v>
      </c>
      <c r="E111" t="s">
        <v>3035</v>
      </c>
      <c r="F111">
        <v>121.67294920000001</v>
      </c>
      <c r="G111" t="s">
        <v>3036</v>
      </c>
      <c r="H111">
        <v>66244</v>
      </c>
      <c r="I111" t="s">
        <v>3037</v>
      </c>
    </row>
    <row r="112" spans="1:9" x14ac:dyDescent="0.25">
      <c r="A112" t="s">
        <v>3034</v>
      </c>
      <c r="B112" t="s">
        <v>5107</v>
      </c>
      <c r="C112" t="s">
        <v>3038</v>
      </c>
      <c r="D112">
        <v>30.052149450000002</v>
      </c>
      <c r="E112" t="s">
        <v>3035</v>
      </c>
      <c r="F112">
        <v>119.59120919999999</v>
      </c>
      <c r="G112" t="s">
        <v>3036</v>
      </c>
      <c r="H112">
        <v>15573</v>
      </c>
      <c r="I112" t="s">
        <v>3037</v>
      </c>
    </row>
    <row r="113" spans="1:9" x14ac:dyDescent="0.25">
      <c r="A113" t="s">
        <v>3034</v>
      </c>
      <c r="B113" t="s">
        <v>5108</v>
      </c>
      <c r="C113" t="s">
        <v>3038</v>
      </c>
      <c r="D113">
        <v>29.772644280000002</v>
      </c>
      <c r="E113" t="s">
        <v>3035</v>
      </c>
      <c r="F113">
        <v>121.40100649999999</v>
      </c>
      <c r="G113" t="s">
        <v>3036</v>
      </c>
      <c r="H113">
        <v>35491</v>
      </c>
      <c r="I113" t="s">
        <v>3037</v>
      </c>
    </row>
    <row r="114" spans="1:9" x14ac:dyDescent="0.25">
      <c r="A114" t="s">
        <v>3034</v>
      </c>
      <c r="B114" t="s">
        <v>3597</v>
      </c>
      <c r="C114" t="s">
        <v>3038</v>
      </c>
      <c r="D114">
        <v>30.31575599</v>
      </c>
      <c r="E114" t="s">
        <v>3035</v>
      </c>
      <c r="F114">
        <v>122.1661517</v>
      </c>
      <c r="G114" t="s">
        <v>3036</v>
      </c>
      <c r="H114">
        <v>15297</v>
      </c>
      <c r="I114" t="s">
        <v>3037</v>
      </c>
    </row>
    <row r="115" spans="1:9" x14ac:dyDescent="0.25">
      <c r="A115" t="s">
        <v>3034</v>
      </c>
      <c r="B115" t="s">
        <v>3314</v>
      </c>
      <c r="C115" t="s">
        <v>3038</v>
      </c>
      <c r="D115">
        <v>29.789286709999999</v>
      </c>
      <c r="E115" t="s">
        <v>3035</v>
      </c>
      <c r="F115">
        <v>121.7576152</v>
      </c>
      <c r="G115" t="s">
        <v>3036</v>
      </c>
      <c r="H115">
        <v>23949</v>
      </c>
      <c r="I115" t="s">
        <v>3037</v>
      </c>
    </row>
    <row r="116" spans="1:9" x14ac:dyDescent="0.25">
      <c r="A116" t="s">
        <v>3034</v>
      </c>
      <c r="B116" t="s">
        <v>3192</v>
      </c>
      <c r="C116" t="s">
        <v>3038</v>
      </c>
      <c r="D116">
        <v>29.213623760000001</v>
      </c>
      <c r="E116" t="s">
        <v>3035</v>
      </c>
      <c r="F116">
        <v>120.49765290000001</v>
      </c>
      <c r="G116" t="s">
        <v>3036</v>
      </c>
      <c r="H116">
        <v>13247</v>
      </c>
      <c r="I116" t="s">
        <v>3037</v>
      </c>
    </row>
    <row r="117" spans="1:9" x14ac:dyDescent="0.25">
      <c r="A117" t="s">
        <v>3034</v>
      </c>
      <c r="B117" t="s">
        <v>3267</v>
      </c>
      <c r="C117" t="s">
        <v>3038</v>
      </c>
      <c r="D117">
        <v>28.333582440000001</v>
      </c>
      <c r="E117" t="s">
        <v>3035</v>
      </c>
      <c r="F117">
        <v>120.2670944</v>
      </c>
      <c r="G117" t="s">
        <v>3036</v>
      </c>
      <c r="H117">
        <v>12572</v>
      </c>
      <c r="I117" t="s">
        <v>3037</v>
      </c>
    </row>
    <row r="118" spans="1:9" x14ac:dyDescent="0.25">
      <c r="A118" t="s">
        <v>3034</v>
      </c>
      <c r="B118" t="s">
        <v>3456</v>
      </c>
      <c r="C118" t="s">
        <v>3038</v>
      </c>
      <c r="D118">
        <v>28.761382189999999</v>
      </c>
      <c r="E118" t="s">
        <v>3035</v>
      </c>
      <c r="F118">
        <v>121.4984773</v>
      </c>
      <c r="G118" t="s">
        <v>3036</v>
      </c>
      <c r="H118">
        <v>183870</v>
      </c>
      <c r="I118" t="s">
        <v>3037</v>
      </c>
    </row>
    <row r="119" spans="1:9" x14ac:dyDescent="0.25">
      <c r="A119" t="s">
        <v>3034</v>
      </c>
      <c r="B119" t="s">
        <v>3151</v>
      </c>
      <c r="C119" t="s">
        <v>3038</v>
      </c>
      <c r="D119">
        <v>30.684385649999999</v>
      </c>
      <c r="E119" t="s">
        <v>3035</v>
      </c>
      <c r="F119">
        <v>121.18497480000001</v>
      </c>
      <c r="G119" t="s">
        <v>3036</v>
      </c>
      <c r="H119">
        <v>105643</v>
      </c>
      <c r="I119" t="s">
        <v>3037</v>
      </c>
    </row>
    <row r="120" spans="1:9" x14ac:dyDescent="0.25">
      <c r="A120" t="s">
        <v>3034</v>
      </c>
      <c r="B120" t="s">
        <v>3368</v>
      </c>
      <c r="C120" t="s">
        <v>3038</v>
      </c>
      <c r="D120">
        <v>29.142018119999999</v>
      </c>
      <c r="E120" t="s">
        <v>3035</v>
      </c>
      <c r="F120">
        <v>118.9270312</v>
      </c>
      <c r="G120" t="s">
        <v>3036</v>
      </c>
      <c r="H120">
        <v>23427</v>
      </c>
      <c r="I120" t="s">
        <v>3037</v>
      </c>
    </row>
    <row r="121" spans="1:9" x14ac:dyDescent="0.25">
      <c r="A121" t="s">
        <v>3034</v>
      </c>
      <c r="B121" t="s">
        <v>3514</v>
      </c>
      <c r="C121" t="s">
        <v>3038</v>
      </c>
      <c r="D121">
        <v>27.882300000000001</v>
      </c>
      <c r="E121" t="s">
        <v>3035</v>
      </c>
      <c r="F121">
        <v>120.02549999999999</v>
      </c>
      <c r="G121" t="s">
        <v>3036</v>
      </c>
      <c r="H121">
        <v>6784</v>
      </c>
      <c r="I121" t="s">
        <v>3037</v>
      </c>
    </row>
    <row r="122" spans="1:9" x14ac:dyDescent="0.25">
      <c r="A122" t="s">
        <v>3034</v>
      </c>
      <c r="B122" t="s">
        <v>3369</v>
      </c>
      <c r="C122" t="s">
        <v>3038</v>
      </c>
      <c r="D122">
        <v>29.116701299999999</v>
      </c>
      <c r="E122" t="s">
        <v>3035</v>
      </c>
      <c r="F122">
        <v>118.6671096</v>
      </c>
      <c r="G122" t="s">
        <v>3036</v>
      </c>
      <c r="H122">
        <v>15562</v>
      </c>
      <c r="I122" t="s">
        <v>3037</v>
      </c>
    </row>
    <row r="123" spans="1:9" x14ac:dyDescent="0.25">
      <c r="A123" t="s">
        <v>3034</v>
      </c>
      <c r="B123" t="s">
        <v>3193</v>
      </c>
      <c r="C123" t="s">
        <v>3038</v>
      </c>
      <c r="D123">
        <v>29.03210597</v>
      </c>
      <c r="E123" t="s">
        <v>3035</v>
      </c>
      <c r="F123">
        <v>120.6571738</v>
      </c>
      <c r="G123" t="s">
        <v>3036</v>
      </c>
      <c r="H123">
        <v>8664</v>
      </c>
      <c r="I123" t="s">
        <v>3037</v>
      </c>
    </row>
    <row r="124" spans="1:9" x14ac:dyDescent="0.25">
      <c r="A124" t="s">
        <v>3034</v>
      </c>
      <c r="B124" t="s">
        <v>3194</v>
      </c>
      <c r="C124" t="s">
        <v>3038</v>
      </c>
      <c r="D124">
        <v>28.913184090000001</v>
      </c>
      <c r="E124" t="s">
        <v>3035</v>
      </c>
      <c r="F124">
        <v>120.1990187</v>
      </c>
      <c r="G124" t="s">
        <v>3036</v>
      </c>
      <c r="H124">
        <v>24625</v>
      </c>
      <c r="I124" t="s">
        <v>3037</v>
      </c>
    </row>
    <row r="125" spans="1:9" x14ac:dyDescent="0.25">
      <c r="A125" t="s">
        <v>3034</v>
      </c>
      <c r="B125" t="s">
        <v>3515</v>
      </c>
      <c r="C125" t="s">
        <v>3038</v>
      </c>
      <c r="D125">
        <v>27.364833130000001</v>
      </c>
      <c r="E125" t="s">
        <v>3035</v>
      </c>
      <c r="F125">
        <v>120.41305560000001</v>
      </c>
      <c r="G125" t="s">
        <v>3036</v>
      </c>
      <c r="H125">
        <v>28416</v>
      </c>
      <c r="I125" t="s">
        <v>3037</v>
      </c>
    </row>
    <row r="126" spans="1:9" x14ac:dyDescent="0.25">
      <c r="A126" t="s">
        <v>3034</v>
      </c>
      <c r="B126" t="s">
        <v>3408</v>
      </c>
      <c r="C126" t="s">
        <v>3038</v>
      </c>
      <c r="D126">
        <v>29.94409387</v>
      </c>
      <c r="E126" t="s">
        <v>3035</v>
      </c>
      <c r="F126">
        <v>120.9684632</v>
      </c>
      <c r="G126" t="s">
        <v>3036</v>
      </c>
      <c r="H126">
        <v>51764</v>
      </c>
      <c r="I126" t="s">
        <v>3037</v>
      </c>
    </row>
    <row r="127" spans="1:9" x14ac:dyDescent="0.25">
      <c r="A127" t="s">
        <v>3034</v>
      </c>
      <c r="B127" t="s">
        <v>3370</v>
      </c>
      <c r="C127" t="s">
        <v>3038</v>
      </c>
      <c r="D127">
        <v>28.53125648</v>
      </c>
      <c r="E127" t="s">
        <v>3035</v>
      </c>
      <c r="F127">
        <v>118.47285840000001</v>
      </c>
      <c r="G127" t="s">
        <v>3036</v>
      </c>
      <c r="H127">
        <v>24485</v>
      </c>
      <c r="I127" t="s">
        <v>3037</v>
      </c>
    </row>
    <row r="128" spans="1:9" x14ac:dyDescent="0.25">
      <c r="A128" t="s">
        <v>3034</v>
      </c>
      <c r="B128" t="s">
        <v>3516</v>
      </c>
      <c r="C128" t="s">
        <v>3038</v>
      </c>
      <c r="D128">
        <v>28.317434689999999</v>
      </c>
      <c r="E128" t="s">
        <v>3035</v>
      </c>
      <c r="F128">
        <v>120.8020425</v>
      </c>
      <c r="G128" t="s">
        <v>3036</v>
      </c>
      <c r="H128">
        <v>16574</v>
      </c>
      <c r="I128" t="s">
        <v>3037</v>
      </c>
    </row>
    <row r="129" spans="1:9" x14ac:dyDescent="0.25">
      <c r="A129" t="s">
        <v>3034</v>
      </c>
      <c r="B129" t="s">
        <v>3152</v>
      </c>
      <c r="C129" t="s">
        <v>3038</v>
      </c>
      <c r="D129">
        <v>30.648383819999999</v>
      </c>
      <c r="E129" t="s">
        <v>3035</v>
      </c>
      <c r="F129">
        <v>120.8717527</v>
      </c>
      <c r="G129" t="s">
        <v>3036</v>
      </c>
      <c r="H129">
        <v>48057</v>
      </c>
      <c r="I129" t="s">
        <v>3037</v>
      </c>
    </row>
    <row r="130" spans="1:9" x14ac:dyDescent="0.25">
      <c r="A130" t="s">
        <v>3034</v>
      </c>
      <c r="B130" t="s">
        <v>3409</v>
      </c>
      <c r="C130" t="s">
        <v>3038</v>
      </c>
      <c r="D130">
        <v>29.797385479999999</v>
      </c>
      <c r="E130" t="s">
        <v>3035</v>
      </c>
      <c r="F130">
        <v>120.4287344</v>
      </c>
      <c r="G130" t="s">
        <v>3036</v>
      </c>
      <c r="H130">
        <v>74641</v>
      </c>
      <c r="I130" t="s">
        <v>3037</v>
      </c>
    </row>
    <row r="131" spans="1:9" x14ac:dyDescent="0.25">
      <c r="A131" t="s">
        <v>3034</v>
      </c>
      <c r="B131" t="s">
        <v>3051</v>
      </c>
      <c r="C131" t="s">
        <v>3038</v>
      </c>
      <c r="D131">
        <v>29.295574689999999</v>
      </c>
      <c r="E131" t="s">
        <v>3035</v>
      </c>
      <c r="F131">
        <v>118.6774834</v>
      </c>
      <c r="G131" t="s">
        <v>3036</v>
      </c>
      <c r="H131">
        <v>11354</v>
      </c>
      <c r="I131" t="s">
        <v>3037</v>
      </c>
    </row>
    <row r="132" spans="1:9" x14ac:dyDescent="0.25">
      <c r="A132" t="s">
        <v>3034</v>
      </c>
      <c r="B132" t="s">
        <v>3517</v>
      </c>
      <c r="C132" t="s">
        <v>3038</v>
      </c>
      <c r="D132">
        <v>27.677099999999999</v>
      </c>
      <c r="E132" t="s">
        <v>3035</v>
      </c>
      <c r="F132">
        <v>120.28279999999999</v>
      </c>
      <c r="G132" t="s">
        <v>3036</v>
      </c>
      <c r="H132">
        <v>11925</v>
      </c>
      <c r="I132" t="s">
        <v>3037</v>
      </c>
    </row>
    <row r="133" spans="1:9" x14ac:dyDescent="0.25">
      <c r="A133" t="s">
        <v>3034</v>
      </c>
      <c r="B133" t="s">
        <v>3052</v>
      </c>
      <c r="C133" t="s">
        <v>3038</v>
      </c>
      <c r="D133">
        <v>29.421273509999999</v>
      </c>
      <c r="E133" t="s">
        <v>3035</v>
      </c>
      <c r="F133">
        <v>118.5628095</v>
      </c>
      <c r="G133" t="s">
        <v>3036</v>
      </c>
      <c r="H133">
        <v>38588</v>
      </c>
      <c r="I133" t="s">
        <v>3037</v>
      </c>
    </row>
    <row r="134" spans="1:9" x14ac:dyDescent="0.25">
      <c r="A134" t="s">
        <v>3034</v>
      </c>
      <c r="B134" t="s">
        <v>3053</v>
      </c>
      <c r="C134" t="s">
        <v>3038</v>
      </c>
      <c r="D134">
        <v>29.96440939</v>
      </c>
      <c r="E134" t="s">
        <v>3035</v>
      </c>
      <c r="F134">
        <v>119.4140172</v>
      </c>
      <c r="G134" t="s">
        <v>3036</v>
      </c>
      <c r="H134">
        <v>55049</v>
      </c>
      <c r="I134" t="s">
        <v>3037</v>
      </c>
    </row>
    <row r="135" spans="1:9" x14ac:dyDescent="0.25">
      <c r="A135" t="s">
        <v>3034</v>
      </c>
      <c r="B135" t="s">
        <v>3195</v>
      </c>
      <c r="C135" t="s">
        <v>3038</v>
      </c>
      <c r="D135">
        <v>29.192453560000001</v>
      </c>
      <c r="E135" t="s">
        <v>3035</v>
      </c>
      <c r="F135">
        <v>120.0227132</v>
      </c>
      <c r="G135" t="s">
        <v>3036</v>
      </c>
      <c r="H135">
        <v>115571</v>
      </c>
      <c r="I135" t="s">
        <v>3037</v>
      </c>
    </row>
    <row r="136" spans="1:9" x14ac:dyDescent="0.25">
      <c r="A136" t="s">
        <v>3034</v>
      </c>
      <c r="B136" t="s">
        <v>3054</v>
      </c>
      <c r="C136" t="s">
        <v>3038</v>
      </c>
      <c r="D136">
        <v>29.684361079999999</v>
      </c>
      <c r="E136" t="s">
        <v>3035</v>
      </c>
      <c r="F136">
        <v>119.683862</v>
      </c>
      <c r="G136" t="s">
        <v>3036</v>
      </c>
      <c r="H136">
        <v>25859</v>
      </c>
      <c r="I136" t="s">
        <v>3037</v>
      </c>
    </row>
    <row r="137" spans="1:9" x14ac:dyDescent="0.25">
      <c r="A137" t="s">
        <v>3034</v>
      </c>
      <c r="B137" t="s">
        <v>3196</v>
      </c>
      <c r="C137" t="s">
        <v>3038</v>
      </c>
      <c r="D137">
        <v>29.2416616</v>
      </c>
      <c r="E137" t="s">
        <v>3035</v>
      </c>
      <c r="F137">
        <v>119.8808289</v>
      </c>
      <c r="G137" t="s">
        <v>3036</v>
      </c>
      <c r="H137">
        <v>30144</v>
      </c>
      <c r="I137" t="s">
        <v>3037</v>
      </c>
    </row>
    <row r="138" spans="1:9" x14ac:dyDescent="0.25">
      <c r="A138" t="s">
        <v>3034</v>
      </c>
      <c r="B138" t="s">
        <v>3315</v>
      </c>
      <c r="C138" t="s">
        <v>3038</v>
      </c>
      <c r="D138">
        <v>30.237741840000002</v>
      </c>
      <c r="E138" t="s">
        <v>3035</v>
      </c>
      <c r="F138">
        <v>121.42461299999999</v>
      </c>
      <c r="G138" t="s">
        <v>3036</v>
      </c>
      <c r="H138">
        <v>45828</v>
      </c>
      <c r="I138" t="s">
        <v>3037</v>
      </c>
    </row>
    <row r="139" spans="1:9" x14ac:dyDescent="0.25">
      <c r="A139" t="s">
        <v>3034</v>
      </c>
      <c r="B139" t="s">
        <v>3518</v>
      </c>
      <c r="C139" t="s">
        <v>3038</v>
      </c>
      <c r="D139">
        <v>28.309919870000002</v>
      </c>
      <c r="E139" t="s">
        <v>3035</v>
      </c>
      <c r="F139">
        <v>120.97940199999999</v>
      </c>
      <c r="G139" t="s">
        <v>3036</v>
      </c>
      <c r="H139">
        <v>25758</v>
      </c>
      <c r="I139" t="s">
        <v>3037</v>
      </c>
    </row>
    <row r="140" spans="1:9" x14ac:dyDescent="0.25">
      <c r="A140" t="s">
        <v>3034</v>
      </c>
      <c r="B140" t="s">
        <v>3410</v>
      </c>
      <c r="C140" t="s">
        <v>3038</v>
      </c>
      <c r="D140">
        <v>29.934689110000001</v>
      </c>
      <c r="E140" t="s">
        <v>3035</v>
      </c>
      <c r="F140">
        <v>120.7308769</v>
      </c>
      <c r="G140" t="s">
        <v>3036</v>
      </c>
      <c r="H140">
        <v>19012</v>
      </c>
      <c r="I140" t="s">
        <v>3037</v>
      </c>
    </row>
    <row r="141" spans="1:9" x14ac:dyDescent="0.25">
      <c r="A141" t="s">
        <v>3034</v>
      </c>
      <c r="B141" t="s">
        <v>3411</v>
      </c>
      <c r="C141" t="s">
        <v>3038</v>
      </c>
      <c r="D141">
        <v>30.19722354</v>
      </c>
      <c r="E141" t="s">
        <v>3035</v>
      </c>
      <c r="F141">
        <v>120.84550369999999</v>
      </c>
      <c r="G141" t="s">
        <v>3036</v>
      </c>
      <c r="H141">
        <v>31157</v>
      </c>
      <c r="I141" t="s">
        <v>3037</v>
      </c>
    </row>
    <row r="142" spans="1:9" x14ac:dyDescent="0.25">
      <c r="A142" t="s">
        <v>3034</v>
      </c>
      <c r="B142" t="s">
        <v>3457</v>
      </c>
      <c r="C142" t="s">
        <v>3038</v>
      </c>
      <c r="D142">
        <v>28.166665460000001</v>
      </c>
      <c r="E142" t="s">
        <v>3035</v>
      </c>
      <c r="F142">
        <v>121.35476850000001</v>
      </c>
      <c r="G142" t="s">
        <v>3036</v>
      </c>
      <c r="H142">
        <v>21809</v>
      </c>
      <c r="I142" t="s">
        <v>3037</v>
      </c>
    </row>
    <row r="143" spans="1:9" x14ac:dyDescent="0.25">
      <c r="A143" t="s">
        <v>3034</v>
      </c>
      <c r="B143" t="s">
        <v>3598</v>
      </c>
      <c r="C143" t="s">
        <v>3038</v>
      </c>
      <c r="D143">
        <v>30.106329299999999</v>
      </c>
      <c r="E143" t="s">
        <v>3035</v>
      </c>
      <c r="F143">
        <v>122.12951630000001</v>
      </c>
      <c r="G143" t="s">
        <v>3036</v>
      </c>
      <c r="H143">
        <v>12241</v>
      </c>
      <c r="I143" t="s">
        <v>3037</v>
      </c>
    </row>
    <row r="144" spans="1:9" x14ac:dyDescent="0.25">
      <c r="A144" t="s">
        <v>3034</v>
      </c>
      <c r="B144" t="s">
        <v>3412</v>
      </c>
      <c r="C144" t="s">
        <v>3038</v>
      </c>
      <c r="D144">
        <v>29.500575059999999</v>
      </c>
      <c r="E144" t="s">
        <v>3035</v>
      </c>
      <c r="F144">
        <v>120.72154829999999</v>
      </c>
      <c r="G144" t="s">
        <v>3036</v>
      </c>
      <c r="H144">
        <v>72345</v>
      </c>
      <c r="I144" t="s">
        <v>3037</v>
      </c>
    </row>
    <row r="145" spans="1:9" x14ac:dyDescent="0.25">
      <c r="A145" t="s">
        <v>3034</v>
      </c>
      <c r="B145" t="s">
        <v>3153</v>
      </c>
      <c r="C145" t="s">
        <v>3038</v>
      </c>
      <c r="D145">
        <v>30.351947800000001</v>
      </c>
      <c r="E145" t="s">
        <v>3035</v>
      </c>
      <c r="F145">
        <v>120.88529629999999</v>
      </c>
      <c r="G145" t="s">
        <v>3036</v>
      </c>
      <c r="H145">
        <v>31786</v>
      </c>
      <c r="I145" t="s">
        <v>3037</v>
      </c>
    </row>
    <row r="146" spans="1:9" x14ac:dyDescent="0.25">
      <c r="A146" t="s">
        <v>3034</v>
      </c>
      <c r="B146" t="s">
        <v>3154</v>
      </c>
      <c r="C146" t="s">
        <v>3038</v>
      </c>
      <c r="D146">
        <v>30.903350759999999</v>
      </c>
      <c r="E146" t="s">
        <v>3035</v>
      </c>
      <c r="F146">
        <v>120.89390299999999</v>
      </c>
      <c r="G146" t="s">
        <v>3036</v>
      </c>
      <c r="H146">
        <v>36092</v>
      </c>
      <c r="I146" t="s">
        <v>3037</v>
      </c>
    </row>
    <row r="147" spans="1:9" x14ac:dyDescent="0.25">
      <c r="A147" t="s">
        <v>3034</v>
      </c>
      <c r="B147" t="s">
        <v>3055</v>
      </c>
      <c r="C147" t="s">
        <v>3038</v>
      </c>
      <c r="D147">
        <v>30.355953670000002</v>
      </c>
      <c r="E147" t="s">
        <v>3035</v>
      </c>
      <c r="F147">
        <v>119.6665067</v>
      </c>
      <c r="G147" t="s">
        <v>3036</v>
      </c>
      <c r="H147">
        <v>29028</v>
      </c>
      <c r="I147" t="s">
        <v>3037</v>
      </c>
    </row>
    <row r="148" spans="1:9" x14ac:dyDescent="0.25">
      <c r="A148" t="s">
        <v>3034</v>
      </c>
      <c r="B148" t="s">
        <v>3268</v>
      </c>
      <c r="C148" t="s">
        <v>3038</v>
      </c>
      <c r="D148">
        <v>28.36960539</v>
      </c>
      <c r="E148" t="s">
        <v>3035</v>
      </c>
      <c r="F148">
        <v>120.221254</v>
      </c>
      <c r="G148" t="s">
        <v>3036</v>
      </c>
      <c r="H148">
        <v>10725</v>
      </c>
      <c r="I148" t="s">
        <v>3037</v>
      </c>
    </row>
    <row r="149" spans="1:9" x14ac:dyDescent="0.25">
      <c r="A149" t="s">
        <v>3034</v>
      </c>
      <c r="B149" t="s">
        <v>3371</v>
      </c>
      <c r="C149" t="s">
        <v>3038</v>
      </c>
      <c r="D149">
        <v>28.968058419999998</v>
      </c>
      <c r="E149" t="s">
        <v>3035</v>
      </c>
      <c r="F149">
        <v>119.01189050000001</v>
      </c>
      <c r="G149" t="s">
        <v>3036</v>
      </c>
      <c r="H149">
        <v>48416</v>
      </c>
      <c r="I149" t="s">
        <v>3037</v>
      </c>
    </row>
    <row r="150" spans="1:9" x14ac:dyDescent="0.25">
      <c r="A150" t="s">
        <v>3034</v>
      </c>
      <c r="B150" t="s">
        <v>3519</v>
      </c>
      <c r="C150" t="s">
        <v>3038</v>
      </c>
      <c r="D150">
        <v>27.813358569999998</v>
      </c>
      <c r="E150" t="s">
        <v>3035</v>
      </c>
      <c r="F150">
        <v>120.27718830000001</v>
      </c>
      <c r="G150" t="s">
        <v>3036</v>
      </c>
      <c r="H150">
        <v>8977</v>
      </c>
      <c r="I150" t="s">
        <v>3037</v>
      </c>
    </row>
    <row r="151" spans="1:9" x14ac:dyDescent="0.25">
      <c r="A151" t="s">
        <v>3034</v>
      </c>
      <c r="B151" t="s">
        <v>3316</v>
      </c>
      <c r="C151" t="s">
        <v>3038</v>
      </c>
      <c r="D151">
        <v>29.91007518</v>
      </c>
      <c r="E151" t="s">
        <v>3035</v>
      </c>
      <c r="F151">
        <v>121.4450623</v>
      </c>
      <c r="G151" t="s">
        <v>3036</v>
      </c>
      <c r="H151">
        <v>90598</v>
      </c>
      <c r="I151" t="s">
        <v>3037</v>
      </c>
    </row>
    <row r="152" spans="1:9" x14ac:dyDescent="0.25">
      <c r="A152" t="s">
        <v>3034</v>
      </c>
      <c r="B152" t="s">
        <v>3599</v>
      </c>
      <c r="C152" t="s">
        <v>3038</v>
      </c>
      <c r="D152">
        <v>30.266738019999998</v>
      </c>
      <c r="E152" t="s">
        <v>3035</v>
      </c>
      <c r="F152">
        <v>122.13943260000001</v>
      </c>
      <c r="G152" t="s">
        <v>3036</v>
      </c>
      <c r="H152">
        <v>81439</v>
      </c>
      <c r="I152" t="s">
        <v>3037</v>
      </c>
    </row>
    <row r="153" spans="1:9" x14ac:dyDescent="0.25">
      <c r="A153" t="s">
        <v>3034</v>
      </c>
      <c r="B153" t="s">
        <v>3197</v>
      </c>
      <c r="C153" t="s">
        <v>3038</v>
      </c>
      <c r="D153">
        <v>29.27703601</v>
      </c>
      <c r="E153" t="s">
        <v>3035</v>
      </c>
      <c r="F153">
        <v>120.4082081</v>
      </c>
      <c r="G153" t="s">
        <v>3036</v>
      </c>
      <c r="H153">
        <v>29788</v>
      </c>
      <c r="I153" t="s">
        <v>3037</v>
      </c>
    </row>
    <row r="154" spans="1:9" x14ac:dyDescent="0.25">
      <c r="A154" t="s">
        <v>3034</v>
      </c>
      <c r="B154" t="s">
        <v>3056</v>
      </c>
      <c r="C154" t="s">
        <v>3038</v>
      </c>
      <c r="D154">
        <v>30.19265592</v>
      </c>
      <c r="E154" t="s">
        <v>3035</v>
      </c>
      <c r="F154">
        <v>120.462209</v>
      </c>
      <c r="G154" t="s">
        <v>3036</v>
      </c>
      <c r="H154">
        <v>191429</v>
      </c>
      <c r="I154" t="s">
        <v>3037</v>
      </c>
    </row>
    <row r="155" spans="1:9" x14ac:dyDescent="0.25">
      <c r="A155" t="s">
        <v>3034</v>
      </c>
      <c r="B155" t="s">
        <v>3155</v>
      </c>
      <c r="C155" t="s">
        <v>3038</v>
      </c>
      <c r="D155">
        <v>30.751835960000001</v>
      </c>
      <c r="E155" t="s">
        <v>3035</v>
      </c>
      <c r="F155">
        <v>121.11416819999999</v>
      </c>
      <c r="G155" t="s">
        <v>3036</v>
      </c>
      <c r="H155">
        <v>39509</v>
      </c>
      <c r="I155" t="s">
        <v>3037</v>
      </c>
    </row>
    <row r="156" spans="1:9" x14ac:dyDescent="0.25">
      <c r="A156" t="s">
        <v>3034</v>
      </c>
      <c r="B156" t="s">
        <v>3317</v>
      </c>
      <c r="C156" t="s">
        <v>3038</v>
      </c>
      <c r="D156">
        <v>30.170035460000001</v>
      </c>
      <c r="E156" t="s">
        <v>3035</v>
      </c>
      <c r="F156">
        <v>121.4359721</v>
      </c>
      <c r="G156" t="s">
        <v>3036</v>
      </c>
      <c r="H156">
        <v>152249</v>
      </c>
      <c r="I156" t="s">
        <v>3037</v>
      </c>
    </row>
    <row r="157" spans="1:9" x14ac:dyDescent="0.25">
      <c r="A157" t="s">
        <v>3034</v>
      </c>
      <c r="B157" t="s">
        <v>3458</v>
      </c>
      <c r="C157" t="s">
        <v>3038</v>
      </c>
      <c r="D157">
        <v>28.850815650000001</v>
      </c>
      <c r="E157" t="s">
        <v>3035</v>
      </c>
      <c r="F157">
        <v>120.6370048</v>
      </c>
      <c r="G157" t="s">
        <v>3036</v>
      </c>
      <c r="H157">
        <v>15986</v>
      </c>
      <c r="I157" t="s">
        <v>3037</v>
      </c>
    </row>
    <row r="158" spans="1:9" x14ac:dyDescent="0.25">
      <c r="A158" t="s">
        <v>3034</v>
      </c>
      <c r="B158" t="s">
        <v>3520</v>
      </c>
      <c r="C158" t="s">
        <v>3038</v>
      </c>
      <c r="D158">
        <v>27.465389299999998</v>
      </c>
      <c r="E158" t="s">
        <v>3035</v>
      </c>
      <c r="F158">
        <v>120.3603423</v>
      </c>
      <c r="G158" t="s">
        <v>3036</v>
      </c>
      <c r="H158">
        <v>20738</v>
      </c>
      <c r="I158" t="s">
        <v>3037</v>
      </c>
    </row>
    <row r="159" spans="1:9" x14ac:dyDescent="0.25">
      <c r="A159" t="s">
        <v>3034</v>
      </c>
      <c r="B159" t="s">
        <v>3521</v>
      </c>
      <c r="C159" t="s">
        <v>3038</v>
      </c>
      <c r="D159">
        <v>27.3202</v>
      </c>
      <c r="E159" t="s">
        <v>3035</v>
      </c>
      <c r="F159">
        <v>119.809</v>
      </c>
      <c r="G159" t="s">
        <v>3036</v>
      </c>
      <c r="H159">
        <v>5568</v>
      </c>
      <c r="I159" t="s">
        <v>3037</v>
      </c>
    </row>
    <row r="160" spans="1:9" x14ac:dyDescent="0.25">
      <c r="A160" t="s">
        <v>3034</v>
      </c>
      <c r="B160" t="s">
        <v>3413</v>
      </c>
      <c r="C160" t="s">
        <v>3038</v>
      </c>
      <c r="D160">
        <v>29.696780749999999</v>
      </c>
      <c r="E160" t="s">
        <v>3035</v>
      </c>
      <c r="F160">
        <v>120.6158385</v>
      </c>
      <c r="G160" t="s">
        <v>3036</v>
      </c>
      <c r="H160">
        <v>25180</v>
      </c>
      <c r="I160" t="s">
        <v>3037</v>
      </c>
    </row>
    <row r="161" spans="1:9" x14ac:dyDescent="0.25">
      <c r="A161" t="s">
        <v>3034</v>
      </c>
      <c r="B161" t="s">
        <v>3318</v>
      </c>
      <c r="C161" t="s">
        <v>3038</v>
      </c>
      <c r="D161">
        <v>29.832174670000001</v>
      </c>
      <c r="E161" t="s">
        <v>3035</v>
      </c>
      <c r="F161">
        <v>121.4415924</v>
      </c>
      <c r="G161" t="s">
        <v>3036</v>
      </c>
      <c r="H161">
        <v>108601</v>
      </c>
      <c r="I161" t="s">
        <v>3037</v>
      </c>
    </row>
    <row r="162" spans="1:9" x14ac:dyDescent="0.25">
      <c r="A162" t="s">
        <v>3034</v>
      </c>
      <c r="B162" t="s">
        <v>3198</v>
      </c>
      <c r="C162" t="s">
        <v>3038</v>
      </c>
      <c r="D162">
        <v>28.982197060000001</v>
      </c>
      <c r="E162" t="s">
        <v>3035</v>
      </c>
      <c r="F162">
        <v>120.1699237</v>
      </c>
      <c r="G162" t="s">
        <v>3036</v>
      </c>
      <c r="H162">
        <v>60674</v>
      </c>
      <c r="I162" t="s">
        <v>3037</v>
      </c>
    </row>
    <row r="163" spans="1:9" x14ac:dyDescent="0.25">
      <c r="A163" t="s">
        <v>3034</v>
      </c>
      <c r="B163" t="s">
        <v>3269</v>
      </c>
      <c r="C163" t="s">
        <v>3038</v>
      </c>
      <c r="D163">
        <v>28.529813390000001</v>
      </c>
      <c r="E163" t="s">
        <v>3035</v>
      </c>
      <c r="F163">
        <v>119.4297672</v>
      </c>
      <c r="G163" t="s">
        <v>3036</v>
      </c>
      <c r="H163">
        <v>20229</v>
      </c>
      <c r="I163" t="s">
        <v>3037</v>
      </c>
    </row>
    <row r="164" spans="1:9" x14ac:dyDescent="0.25">
      <c r="A164" t="s">
        <v>3034</v>
      </c>
      <c r="B164" t="s">
        <v>3270</v>
      </c>
      <c r="C164" t="s">
        <v>3038</v>
      </c>
      <c r="D164">
        <v>28.312844859999998</v>
      </c>
      <c r="E164" t="s">
        <v>3035</v>
      </c>
      <c r="F164">
        <v>120.0833595</v>
      </c>
      <c r="G164" t="s">
        <v>3036</v>
      </c>
      <c r="H164">
        <v>10368</v>
      </c>
      <c r="I164" t="s">
        <v>3037</v>
      </c>
    </row>
    <row r="165" spans="1:9" x14ac:dyDescent="0.25">
      <c r="A165" t="s">
        <v>3034</v>
      </c>
      <c r="B165" t="s">
        <v>3372</v>
      </c>
      <c r="C165" t="s">
        <v>3038</v>
      </c>
      <c r="D165">
        <v>28.938935010000002</v>
      </c>
      <c r="E165" t="s">
        <v>3035</v>
      </c>
      <c r="F165">
        <v>118.7671227</v>
      </c>
      <c r="G165" t="s">
        <v>3036</v>
      </c>
      <c r="H165">
        <v>40242</v>
      </c>
      <c r="I165" t="s">
        <v>3037</v>
      </c>
    </row>
    <row r="166" spans="1:9" x14ac:dyDescent="0.25">
      <c r="A166" t="s">
        <v>3034</v>
      </c>
      <c r="B166" t="s">
        <v>3112</v>
      </c>
      <c r="C166" t="s">
        <v>3038</v>
      </c>
      <c r="D166">
        <v>30.58386101</v>
      </c>
      <c r="E166" t="s">
        <v>3035</v>
      </c>
      <c r="F166">
        <v>119.3473003</v>
      </c>
      <c r="G166" t="s">
        <v>3036</v>
      </c>
      <c r="H166">
        <v>27407</v>
      </c>
      <c r="I166" t="s">
        <v>3037</v>
      </c>
    </row>
    <row r="167" spans="1:9" x14ac:dyDescent="0.25">
      <c r="A167" t="s">
        <v>3034</v>
      </c>
      <c r="B167" t="s">
        <v>3199</v>
      </c>
      <c r="C167" t="s">
        <v>3038</v>
      </c>
      <c r="D167">
        <v>29.52485514</v>
      </c>
      <c r="E167" t="s">
        <v>3035</v>
      </c>
      <c r="F167">
        <v>119.79274460000001</v>
      </c>
      <c r="G167" t="s">
        <v>3036</v>
      </c>
      <c r="H167">
        <v>11400</v>
      </c>
      <c r="I167" t="s">
        <v>3037</v>
      </c>
    </row>
    <row r="168" spans="1:9" x14ac:dyDescent="0.25">
      <c r="A168" t="s">
        <v>3034</v>
      </c>
      <c r="B168" t="s">
        <v>3057</v>
      </c>
      <c r="C168" t="s">
        <v>3038</v>
      </c>
      <c r="D168">
        <v>29.322088600000001</v>
      </c>
      <c r="E168" t="s">
        <v>3035</v>
      </c>
      <c r="F168">
        <v>119.1389296</v>
      </c>
      <c r="G168" t="s">
        <v>3036</v>
      </c>
      <c r="H168">
        <v>23913</v>
      </c>
      <c r="I168" t="s">
        <v>3037</v>
      </c>
    </row>
    <row r="169" spans="1:9" x14ac:dyDescent="0.25">
      <c r="A169" t="s">
        <v>3034</v>
      </c>
      <c r="B169" t="s">
        <v>3373</v>
      </c>
      <c r="C169" t="s">
        <v>3038</v>
      </c>
      <c r="D169">
        <v>28.641580810000001</v>
      </c>
      <c r="E169" t="s">
        <v>3035</v>
      </c>
      <c r="F169">
        <v>118.503112</v>
      </c>
      <c r="G169" t="s">
        <v>3036</v>
      </c>
      <c r="H169">
        <v>65900</v>
      </c>
      <c r="I169" t="s">
        <v>3037</v>
      </c>
    </row>
    <row r="170" spans="1:9" x14ac:dyDescent="0.25">
      <c r="A170" t="s">
        <v>3034</v>
      </c>
      <c r="B170" t="s">
        <v>3271</v>
      </c>
      <c r="C170" t="s">
        <v>3038</v>
      </c>
      <c r="D170">
        <v>27.586051680000001</v>
      </c>
      <c r="E170" t="s">
        <v>3035</v>
      </c>
      <c r="F170">
        <v>119.29639640000001</v>
      </c>
      <c r="G170" t="s">
        <v>3036</v>
      </c>
      <c r="H170">
        <v>3702</v>
      </c>
      <c r="I170" t="s">
        <v>3037</v>
      </c>
    </row>
    <row r="171" spans="1:9" x14ac:dyDescent="0.25">
      <c r="A171" t="s">
        <v>3034</v>
      </c>
      <c r="B171" t="s">
        <v>3113</v>
      </c>
      <c r="C171" t="s">
        <v>3038</v>
      </c>
      <c r="D171">
        <v>30.77634089</v>
      </c>
      <c r="E171" t="s">
        <v>3035</v>
      </c>
      <c r="F171">
        <v>120.19117780000001</v>
      </c>
      <c r="G171" t="s">
        <v>3036</v>
      </c>
      <c r="H171">
        <v>47515</v>
      </c>
      <c r="I171" t="s">
        <v>3037</v>
      </c>
    </row>
    <row r="172" spans="1:9" x14ac:dyDescent="0.25">
      <c r="A172" t="s">
        <v>3034</v>
      </c>
      <c r="B172" t="s">
        <v>3319</v>
      </c>
      <c r="C172" t="s">
        <v>3038</v>
      </c>
      <c r="D172">
        <v>29.965883290000001</v>
      </c>
      <c r="E172" t="s">
        <v>3035</v>
      </c>
      <c r="F172">
        <v>121.3154377</v>
      </c>
      <c r="G172" t="s">
        <v>3036</v>
      </c>
      <c r="H172">
        <v>25775</v>
      </c>
      <c r="I172" t="s">
        <v>3037</v>
      </c>
    </row>
    <row r="173" spans="1:9" x14ac:dyDescent="0.25">
      <c r="A173" t="s">
        <v>3034</v>
      </c>
      <c r="B173" t="s">
        <v>3058</v>
      </c>
      <c r="C173" t="s">
        <v>3038</v>
      </c>
      <c r="D173">
        <v>29.863938390000001</v>
      </c>
      <c r="E173" t="s">
        <v>3035</v>
      </c>
      <c r="F173">
        <v>119.6016118</v>
      </c>
      <c r="G173" t="s">
        <v>3036</v>
      </c>
      <c r="H173">
        <v>46086</v>
      </c>
      <c r="I173" t="s">
        <v>3037</v>
      </c>
    </row>
    <row r="174" spans="1:9" x14ac:dyDescent="0.25">
      <c r="A174" t="s">
        <v>3034</v>
      </c>
      <c r="B174" t="s">
        <v>3200</v>
      </c>
      <c r="C174" t="s">
        <v>3038</v>
      </c>
      <c r="D174">
        <v>29.15904145</v>
      </c>
      <c r="E174" t="s">
        <v>3035</v>
      </c>
      <c r="F174">
        <v>120.304282</v>
      </c>
      <c r="G174" t="s">
        <v>3036</v>
      </c>
      <c r="H174">
        <v>108216</v>
      </c>
      <c r="I174" t="s">
        <v>3037</v>
      </c>
    </row>
    <row r="175" spans="1:9" x14ac:dyDescent="0.25">
      <c r="A175" t="s">
        <v>3034</v>
      </c>
      <c r="B175" t="s">
        <v>3459</v>
      </c>
      <c r="C175" t="s">
        <v>3038</v>
      </c>
      <c r="D175">
        <v>29.00103206</v>
      </c>
      <c r="E175" t="s">
        <v>3035</v>
      </c>
      <c r="F175">
        <v>121.4788959</v>
      </c>
      <c r="G175" t="s">
        <v>3036</v>
      </c>
      <c r="H175">
        <v>7230</v>
      </c>
      <c r="I175" t="s">
        <v>3037</v>
      </c>
    </row>
    <row r="176" spans="1:9" x14ac:dyDescent="0.25">
      <c r="A176" t="s">
        <v>3034</v>
      </c>
      <c r="B176" t="s">
        <v>3320</v>
      </c>
      <c r="C176" t="s">
        <v>3038</v>
      </c>
      <c r="D176">
        <v>30.11140833</v>
      </c>
      <c r="E176" t="s">
        <v>3035</v>
      </c>
      <c r="F176">
        <v>121.2384819</v>
      </c>
      <c r="G176" t="s">
        <v>3036</v>
      </c>
      <c r="H176">
        <v>94391</v>
      </c>
      <c r="I176" t="s">
        <v>3037</v>
      </c>
    </row>
    <row r="177" spans="1:9" x14ac:dyDescent="0.25">
      <c r="A177" t="s">
        <v>3034</v>
      </c>
      <c r="B177" t="s">
        <v>5109</v>
      </c>
      <c r="C177" t="s">
        <v>3038</v>
      </c>
      <c r="D177">
        <v>29.869741730000001</v>
      </c>
      <c r="E177" t="s">
        <v>3035</v>
      </c>
      <c r="F177">
        <v>121.3319444</v>
      </c>
      <c r="G177" t="s">
        <v>3036</v>
      </c>
      <c r="H177">
        <v>43804</v>
      </c>
      <c r="I177" t="s">
        <v>3037</v>
      </c>
    </row>
    <row r="178" spans="1:9" x14ac:dyDescent="0.25">
      <c r="A178" t="s">
        <v>3034</v>
      </c>
      <c r="B178" t="s">
        <v>5110</v>
      </c>
      <c r="C178" t="s">
        <v>3038</v>
      </c>
      <c r="D178">
        <v>28.538098290000001</v>
      </c>
      <c r="E178" t="s">
        <v>3035</v>
      </c>
      <c r="F178">
        <v>121.4374656</v>
      </c>
      <c r="G178" t="s">
        <v>3036</v>
      </c>
      <c r="H178">
        <v>40797</v>
      </c>
      <c r="I178" t="s">
        <v>3037</v>
      </c>
    </row>
    <row r="179" spans="1:9" x14ac:dyDescent="0.25">
      <c r="A179" t="s">
        <v>3034</v>
      </c>
      <c r="B179" t="s">
        <v>3374</v>
      </c>
      <c r="C179" t="s">
        <v>3038</v>
      </c>
      <c r="D179">
        <v>29.211590040000001</v>
      </c>
      <c r="E179" t="s">
        <v>3035</v>
      </c>
      <c r="F179">
        <v>119.1977448</v>
      </c>
      <c r="G179" t="s">
        <v>3036</v>
      </c>
      <c r="H179">
        <v>24281</v>
      </c>
      <c r="I179" t="s">
        <v>3037</v>
      </c>
    </row>
    <row r="180" spans="1:9" x14ac:dyDescent="0.25">
      <c r="A180" t="s">
        <v>3034</v>
      </c>
      <c r="B180" t="s">
        <v>5111</v>
      </c>
      <c r="C180" t="s">
        <v>3038</v>
      </c>
      <c r="D180">
        <v>29.36529801</v>
      </c>
      <c r="E180" t="s">
        <v>3035</v>
      </c>
      <c r="F180">
        <v>119.826612</v>
      </c>
      <c r="G180" t="s">
        <v>3036</v>
      </c>
      <c r="H180">
        <v>22774</v>
      </c>
      <c r="I180" t="s">
        <v>3037</v>
      </c>
    </row>
    <row r="181" spans="1:9" x14ac:dyDescent="0.25">
      <c r="A181" t="s">
        <v>3034</v>
      </c>
      <c r="B181" t="s">
        <v>5112</v>
      </c>
      <c r="C181" t="s">
        <v>3038</v>
      </c>
      <c r="D181">
        <v>29.682284490000001</v>
      </c>
      <c r="E181" t="s">
        <v>3035</v>
      </c>
      <c r="F181">
        <v>121.60458319999999</v>
      </c>
      <c r="G181" t="s">
        <v>3036</v>
      </c>
      <c r="H181">
        <v>40066</v>
      </c>
      <c r="I181" t="s">
        <v>3037</v>
      </c>
    </row>
    <row r="182" spans="1:9" x14ac:dyDescent="0.25">
      <c r="A182" t="s">
        <v>3034</v>
      </c>
      <c r="B182" t="s">
        <v>5113</v>
      </c>
      <c r="C182" t="s">
        <v>3038</v>
      </c>
      <c r="D182">
        <v>28.725218300000002</v>
      </c>
      <c r="E182" t="s">
        <v>3035</v>
      </c>
      <c r="F182">
        <v>120.44686350000001</v>
      </c>
      <c r="G182" t="s">
        <v>3036</v>
      </c>
      <c r="H182">
        <v>33757</v>
      </c>
      <c r="I182" t="s">
        <v>3037</v>
      </c>
    </row>
    <row r="183" spans="1:9" x14ac:dyDescent="0.25">
      <c r="A183" t="s">
        <v>3034</v>
      </c>
      <c r="B183" t="s">
        <v>3114</v>
      </c>
      <c r="C183" t="s">
        <v>3038</v>
      </c>
      <c r="D183">
        <v>30.806795600000001</v>
      </c>
      <c r="E183" t="s">
        <v>3035</v>
      </c>
      <c r="F183">
        <v>119.8826177</v>
      </c>
      <c r="G183" t="s">
        <v>3036</v>
      </c>
      <c r="H183">
        <v>49008</v>
      </c>
      <c r="I183" t="s">
        <v>3037</v>
      </c>
    </row>
    <row r="184" spans="1:9" x14ac:dyDescent="0.25">
      <c r="A184" t="s">
        <v>3034</v>
      </c>
      <c r="B184" t="s">
        <v>3321</v>
      </c>
      <c r="C184" t="s">
        <v>3038</v>
      </c>
      <c r="D184">
        <v>29.117536090000002</v>
      </c>
      <c r="E184" t="s">
        <v>3035</v>
      </c>
      <c r="F184">
        <v>121.93861099999999</v>
      </c>
      <c r="G184" t="s">
        <v>3036</v>
      </c>
      <c r="H184">
        <v>25952</v>
      </c>
      <c r="I184" t="s">
        <v>3037</v>
      </c>
    </row>
    <row r="185" spans="1:9" x14ac:dyDescent="0.25">
      <c r="A185" t="s">
        <v>3034</v>
      </c>
      <c r="B185" t="s">
        <v>3059</v>
      </c>
      <c r="C185" t="s">
        <v>3038</v>
      </c>
      <c r="D185">
        <v>30.096920390000001</v>
      </c>
      <c r="E185" t="s">
        <v>3035</v>
      </c>
      <c r="F185">
        <v>119.17091790000001</v>
      </c>
      <c r="G185" t="s">
        <v>3036</v>
      </c>
      <c r="H185">
        <v>12049</v>
      </c>
      <c r="I185" t="s">
        <v>3037</v>
      </c>
    </row>
    <row r="186" spans="1:9" x14ac:dyDescent="0.25">
      <c r="A186" t="s">
        <v>3034</v>
      </c>
      <c r="B186" t="s">
        <v>3156</v>
      </c>
      <c r="C186" t="s">
        <v>3038</v>
      </c>
      <c r="D186">
        <v>30.638696750000001</v>
      </c>
      <c r="E186" t="s">
        <v>3035</v>
      </c>
      <c r="F186">
        <v>120.3761569</v>
      </c>
      <c r="G186" t="s">
        <v>3036</v>
      </c>
      <c r="H186">
        <v>28191</v>
      </c>
      <c r="I186" t="s">
        <v>3037</v>
      </c>
    </row>
    <row r="187" spans="1:9" x14ac:dyDescent="0.25">
      <c r="A187" t="s">
        <v>3034</v>
      </c>
      <c r="B187" t="s">
        <v>3060</v>
      </c>
      <c r="C187" t="s">
        <v>3038</v>
      </c>
      <c r="D187">
        <v>29.951850490000002</v>
      </c>
      <c r="E187" t="s">
        <v>3035</v>
      </c>
      <c r="F187">
        <v>120.1681928</v>
      </c>
      <c r="G187" t="s">
        <v>3036</v>
      </c>
      <c r="H187">
        <v>29914</v>
      </c>
      <c r="I187" t="s">
        <v>3037</v>
      </c>
    </row>
    <row r="188" spans="1:9" x14ac:dyDescent="0.25">
      <c r="A188" t="s">
        <v>3034</v>
      </c>
      <c r="B188" t="s">
        <v>3522</v>
      </c>
      <c r="C188" t="s">
        <v>3038</v>
      </c>
      <c r="D188">
        <v>28.413061160000002</v>
      </c>
      <c r="E188" t="s">
        <v>3035</v>
      </c>
      <c r="F188">
        <v>120.884021</v>
      </c>
      <c r="G188" t="s">
        <v>3036</v>
      </c>
      <c r="H188">
        <v>5669</v>
      </c>
      <c r="I188" t="s">
        <v>3037</v>
      </c>
    </row>
    <row r="189" spans="1:9" x14ac:dyDescent="0.25">
      <c r="A189" t="s">
        <v>3034</v>
      </c>
      <c r="B189" t="s">
        <v>3460</v>
      </c>
      <c r="C189" t="s">
        <v>3038</v>
      </c>
      <c r="D189">
        <v>29.016196990000001</v>
      </c>
      <c r="E189" t="s">
        <v>3035</v>
      </c>
      <c r="F189">
        <v>121.1037481</v>
      </c>
      <c r="G189" t="s">
        <v>3036</v>
      </c>
      <c r="H189">
        <v>24905</v>
      </c>
      <c r="I189" t="s">
        <v>3037</v>
      </c>
    </row>
    <row r="190" spans="1:9" x14ac:dyDescent="0.25">
      <c r="A190" t="s">
        <v>3034</v>
      </c>
      <c r="B190" t="s">
        <v>3523</v>
      </c>
      <c r="C190" t="s">
        <v>3038</v>
      </c>
      <c r="D190">
        <v>27.656600000000001</v>
      </c>
      <c r="E190" t="s">
        <v>3035</v>
      </c>
      <c r="F190">
        <v>120.3809</v>
      </c>
      <c r="G190" t="s">
        <v>3036</v>
      </c>
      <c r="H190">
        <v>15651</v>
      </c>
      <c r="I190" t="s">
        <v>3037</v>
      </c>
    </row>
    <row r="191" spans="1:9" x14ac:dyDescent="0.25">
      <c r="A191" t="s">
        <v>3034</v>
      </c>
      <c r="B191" t="s">
        <v>3461</v>
      </c>
      <c r="C191" t="s">
        <v>3038</v>
      </c>
      <c r="D191">
        <v>29.07168223</v>
      </c>
      <c r="E191" t="s">
        <v>3035</v>
      </c>
      <c r="F191">
        <v>121.20653179999999</v>
      </c>
      <c r="G191" t="s">
        <v>3036</v>
      </c>
      <c r="H191">
        <v>11955</v>
      </c>
      <c r="I191" t="s">
        <v>3037</v>
      </c>
    </row>
    <row r="192" spans="1:9" x14ac:dyDescent="0.25">
      <c r="A192" t="s">
        <v>3034</v>
      </c>
      <c r="B192" t="s">
        <v>3157</v>
      </c>
      <c r="C192" t="s">
        <v>3038</v>
      </c>
      <c r="D192">
        <v>30.677998150000001</v>
      </c>
      <c r="E192" t="s">
        <v>3035</v>
      </c>
      <c r="F192">
        <v>120.65787400000001</v>
      </c>
      <c r="G192" t="s">
        <v>3036</v>
      </c>
      <c r="H192">
        <v>69499</v>
      </c>
      <c r="I192" t="s">
        <v>3037</v>
      </c>
    </row>
    <row r="193" spans="1:9" x14ac:dyDescent="0.25">
      <c r="A193" t="s">
        <v>3034</v>
      </c>
      <c r="B193" t="s">
        <v>5114</v>
      </c>
      <c r="C193" t="s">
        <v>3038</v>
      </c>
      <c r="D193">
        <v>30.978361410000002</v>
      </c>
      <c r="E193" t="s">
        <v>3035</v>
      </c>
      <c r="F193">
        <v>120.0289769</v>
      </c>
      <c r="G193" t="s">
        <v>3036</v>
      </c>
      <c r="H193">
        <v>38804</v>
      </c>
      <c r="I193" t="s">
        <v>3037</v>
      </c>
    </row>
    <row r="194" spans="1:9" x14ac:dyDescent="0.25">
      <c r="A194" t="s">
        <v>3034</v>
      </c>
      <c r="B194" t="s">
        <v>5115</v>
      </c>
      <c r="C194" t="s">
        <v>3038</v>
      </c>
      <c r="D194">
        <v>28.201155849999999</v>
      </c>
      <c r="E194" t="s">
        <v>3035</v>
      </c>
      <c r="F194">
        <v>121.0668237</v>
      </c>
      <c r="G194" t="s">
        <v>3036</v>
      </c>
      <c r="H194">
        <v>156717</v>
      </c>
      <c r="I194" t="s">
        <v>3037</v>
      </c>
    </row>
    <row r="195" spans="1:9" x14ac:dyDescent="0.25">
      <c r="A195" t="s">
        <v>3034</v>
      </c>
      <c r="B195" t="s">
        <v>3115</v>
      </c>
      <c r="C195" t="s">
        <v>3038</v>
      </c>
      <c r="D195">
        <v>30.90825662</v>
      </c>
      <c r="E195" t="s">
        <v>3035</v>
      </c>
      <c r="F195">
        <v>119.8525968</v>
      </c>
      <c r="G195" t="s">
        <v>3036</v>
      </c>
      <c r="H195">
        <v>32803</v>
      </c>
      <c r="I195" t="s">
        <v>3037</v>
      </c>
    </row>
    <row r="196" spans="1:9" x14ac:dyDescent="0.25">
      <c r="A196" t="s">
        <v>3034</v>
      </c>
      <c r="B196" t="s">
        <v>3375</v>
      </c>
      <c r="C196" t="s">
        <v>3038</v>
      </c>
      <c r="D196">
        <v>28.8240619</v>
      </c>
      <c r="E196" t="s">
        <v>3035</v>
      </c>
      <c r="F196">
        <v>118.7818018</v>
      </c>
      <c r="G196" t="s">
        <v>3036</v>
      </c>
      <c r="H196">
        <v>20260</v>
      </c>
      <c r="I196" t="s">
        <v>3037</v>
      </c>
    </row>
    <row r="197" spans="1:9" x14ac:dyDescent="0.25">
      <c r="A197" t="s">
        <v>3034</v>
      </c>
      <c r="B197" t="s">
        <v>3376</v>
      </c>
      <c r="C197" t="s">
        <v>3038</v>
      </c>
      <c r="D197">
        <v>29.013854729999998</v>
      </c>
      <c r="E197" t="s">
        <v>3035</v>
      </c>
      <c r="F197">
        <v>118.3698223</v>
      </c>
      <c r="G197" t="s">
        <v>3036</v>
      </c>
      <c r="H197">
        <v>104345</v>
      </c>
      <c r="I197" t="s">
        <v>3037</v>
      </c>
    </row>
    <row r="198" spans="1:9" x14ac:dyDescent="0.25">
      <c r="A198" t="s">
        <v>3034</v>
      </c>
      <c r="B198" t="s">
        <v>3524</v>
      </c>
      <c r="C198" t="s">
        <v>3038</v>
      </c>
      <c r="D198">
        <v>27.6542241</v>
      </c>
      <c r="E198" t="s">
        <v>3035</v>
      </c>
      <c r="F198">
        <v>120.1938844</v>
      </c>
      <c r="G198" t="s">
        <v>3036</v>
      </c>
      <c r="H198">
        <v>4188</v>
      </c>
      <c r="I198" t="s">
        <v>3037</v>
      </c>
    </row>
    <row r="199" spans="1:9" x14ac:dyDescent="0.25">
      <c r="A199" t="s">
        <v>3034</v>
      </c>
      <c r="B199" t="s">
        <v>3201</v>
      </c>
      <c r="C199" t="s">
        <v>3038</v>
      </c>
      <c r="D199">
        <v>28.992382679999999</v>
      </c>
      <c r="E199" t="s">
        <v>3035</v>
      </c>
      <c r="F199">
        <v>119.9467293</v>
      </c>
      <c r="G199" t="s">
        <v>3036</v>
      </c>
      <c r="H199">
        <v>27236</v>
      </c>
      <c r="I199" t="s">
        <v>3037</v>
      </c>
    </row>
    <row r="200" spans="1:9" x14ac:dyDescent="0.25">
      <c r="A200" t="s">
        <v>3034</v>
      </c>
      <c r="B200" t="s">
        <v>3202</v>
      </c>
      <c r="C200" t="s">
        <v>3038</v>
      </c>
      <c r="D200">
        <v>29.361018940000001</v>
      </c>
      <c r="E200" t="s">
        <v>3035</v>
      </c>
      <c r="F200">
        <v>119.3915386</v>
      </c>
      <c r="G200" t="s">
        <v>3036</v>
      </c>
      <c r="H200">
        <v>26274</v>
      </c>
      <c r="I200" t="s">
        <v>3037</v>
      </c>
    </row>
    <row r="201" spans="1:9" x14ac:dyDescent="0.25">
      <c r="A201" t="s">
        <v>3034</v>
      </c>
      <c r="B201" t="s">
        <v>3061</v>
      </c>
      <c r="C201" t="s">
        <v>3038</v>
      </c>
      <c r="D201">
        <v>30.468700800000001</v>
      </c>
      <c r="E201" t="s">
        <v>3035</v>
      </c>
      <c r="F201">
        <v>119.8185829</v>
      </c>
      <c r="G201" t="s">
        <v>3036</v>
      </c>
      <c r="H201">
        <v>12112</v>
      </c>
      <c r="I201" t="s">
        <v>3037</v>
      </c>
    </row>
    <row r="202" spans="1:9" x14ac:dyDescent="0.25">
      <c r="A202" t="s">
        <v>3034</v>
      </c>
      <c r="B202" t="s">
        <v>3525</v>
      </c>
      <c r="C202" t="s">
        <v>3038</v>
      </c>
      <c r="D202">
        <v>27.994800000000001</v>
      </c>
      <c r="E202" t="s">
        <v>3035</v>
      </c>
      <c r="F202">
        <v>120.9402</v>
      </c>
      <c r="G202" t="s">
        <v>3036</v>
      </c>
      <c r="H202">
        <v>36546</v>
      </c>
      <c r="I202" t="s">
        <v>3037</v>
      </c>
    </row>
    <row r="203" spans="1:9" x14ac:dyDescent="0.25">
      <c r="A203" t="s">
        <v>3034</v>
      </c>
      <c r="B203" t="s">
        <v>3322</v>
      </c>
      <c r="C203" t="s">
        <v>3038</v>
      </c>
      <c r="D203">
        <v>30.129877029999999</v>
      </c>
      <c r="E203" t="s">
        <v>3035</v>
      </c>
      <c r="F203">
        <v>120.9558131</v>
      </c>
      <c r="G203" t="s">
        <v>3036</v>
      </c>
      <c r="H203">
        <v>41378</v>
      </c>
      <c r="I203" t="s">
        <v>3037</v>
      </c>
    </row>
    <row r="204" spans="1:9" x14ac:dyDescent="0.25">
      <c r="A204" t="s">
        <v>3034</v>
      </c>
      <c r="B204" t="s">
        <v>3414</v>
      </c>
      <c r="C204" t="s">
        <v>3038</v>
      </c>
      <c r="D204">
        <v>29.532485619999999</v>
      </c>
      <c r="E204" t="s">
        <v>3035</v>
      </c>
      <c r="F204">
        <v>120.29845</v>
      </c>
      <c r="G204" t="s">
        <v>3036</v>
      </c>
      <c r="H204">
        <v>28245</v>
      </c>
      <c r="I204" t="s">
        <v>3037</v>
      </c>
    </row>
    <row r="205" spans="1:9" x14ac:dyDescent="0.25">
      <c r="A205" t="s">
        <v>3034</v>
      </c>
      <c r="B205" t="s">
        <v>3272</v>
      </c>
      <c r="C205" t="s">
        <v>3038</v>
      </c>
      <c r="D205">
        <v>28.43247277</v>
      </c>
      <c r="E205" t="s">
        <v>3035</v>
      </c>
      <c r="F205">
        <v>118.8635171</v>
      </c>
      <c r="G205" t="s">
        <v>3036</v>
      </c>
      <c r="H205">
        <v>4442</v>
      </c>
      <c r="I205" t="s">
        <v>3037</v>
      </c>
    </row>
    <row r="206" spans="1:9" x14ac:dyDescent="0.25">
      <c r="A206" t="s">
        <v>3034</v>
      </c>
      <c r="B206" t="s">
        <v>3323</v>
      </c>
      <c r="C206" t="s">
        <v>3038</v>
      </c>
      <c r="D206">
        <v>29.29830716</v>
      </c>
      <c r="E206" t="s">
        <v>3035</v>
      </c>
      <c r="F206">
        <v>121.2719963</v>
      </c>
      <c r="G206" t="s">
        <v>3036</v>
      </c>
      <c r="H206">
        <v>22542</v>
      </c>
      <c r="I206" t="s">
        <v>3037</v>
      </c>
    </row>
    <row r="207" spans="1:9" x14ac:dyDescent="0.25">
      <c r="A207" t="s">
        <v>3034</v>
      </c>
      <c r="B207" t="s">
        <v>3526</v>
      </c>
      <c r="C207" t="s">
        <v>3038</v>
      </c>
      <c r="D207">
        <v>27.746362869999999</v>
      </c>
      <c r="E207" t="s">
        <v>3035</v>
      </c>
      <c r="F207">
        <v>119.9431651</v>
      </c>
      <c r="G207" t="s">
        <v>3036</v>
      </c>
      <c r="H207">
        <v>10879</v>
      </c>
      <c r="I207" t="s">
        <v>3037</v>
      </c>
    </row>
    <row r="208" spans="1:9" x14ac:dyDescent="0.25">
      <c r="A208" t="s">
        <v>3034</v>
      </c>
      <c r="B208" t="s">
        <v>3273</v>
      </c>
      <c r="C208" t="s">
        <v>3038</v>
      </c>
      <c r="D208">
        <v>27.792351530000001</v>
      </c>
      <c r="E208" t="s">
        <v>3035</v>
      </c>
      <c r="F208">
        <v>118.9034276</v>
      </c>
      <c r="G208" t="s">
        <v>3036</v>
      </c>
      <c r="H208">
        <v>11072</v>
      </c>
      <c r="I208" t="s">
        <v>3037</v>
      </c>
    </row>
    <row r="209" spans="1:9" x14ac:dyDescent="0.25">
      <c r="A209" t="s">
        <v>3034</v>
      </c>
      <c r="B209" t="s">
        <v>3158</v>
      </c>
      <c r="C209" t="s">
        <v>3038</v>
      </c>
      <c r="D209">
        <v>30.329624729999999</v>
      </c>
      <c r="E209" t="s">
        <v>3035</v>
      </c>
      <c r="F209">
        <v>120.7734609</v>
      </c>
      <c r="G209" t="s">
        <v>3036</v>
      </c>
      <c r="H209">
        <v>22212</v>
      </c>
      <c r="I209" t="s">
        <v>3037</v>
      </c>
    </row>
    <row r="210" spans="1:9" x14ac:dyDescent="0.25">
      <c r="A210" t="s">
        <v>3034</v>
      </c>
      <c r="B210" t="s">
        <v>3415</v>
      </c>
      <c r="C210" t="s">
        <v>3038</v>
      </c>
      <c r="D210">
        <v>29.602407379999999</v>
      </c>
      <c r="E210" t="s">
        <v>3035</v>
      </c>
      <c r="F210">
        <v>120.9512127</v>
      </c>
      <c r="G210" t="s">
        <v>3036</v>
      </c>
      <c r="H210">
        <v>39927</v>
      </c>
      <c r="I210" t="s">
        <v>3037</v>
      </c>
    </row>
    <row r="211" spans="1:9" x14ac:dyDescent="0.25">
      <c r="A211" t="s">
        <v>3034</v>
      </c>
      <c r="B211" t="s">
        <v>3203</v>
      </c>
      <c r="C211" t="s">
        <v>3038</v>
      </c>
      <c r="D211">
        <v>29.431384990000002</v>
      </c>
      <c r="E211" t="s">
        <v>3035</v>
      </c>
      <c r="F211">
        <v>119.9992622</v>
      </c>
      <c r="G211" t="s">
        <v>3036</v>
      </c>
      <c r="H211">
        <v>70803</v>
      </c>
      <c r="I211" t="s">
        <v>3037</v>
      </c>
    </row>
    <row r="212" spans="1:9" x14ac:dyDescent="0.25">
      <c r="A212" t="s">
        <v>3034</v>
      </c>
      <c r="B212" t="s">
        <v>3462</v>
      </c>
      <c r="C212" t="s">
        <v>3038</v>
      </c>
      <c r="D212">
        <v>28.927146440000001</v>
      </c>
      <c r="E212" t="s">
        <v>3035</v>
      </c>
      <c r="F212">
        <v>121.49484750000001</v>
      </c>
      <c r="G212" t="s">
        <v>3036</v>
      </c>
      <c r="H212">
        <v>15299</v>
      </c>
      <c r="I212" t="s">
        <v>3037</v>
      </c>
    </row>
    <row r="213" spans="1:9" x14ac:dyDescent="0.25">
      <c r="A213" t="s">
        <v>3034</v>
      </c>
      <c r="B213" t="s">
        <v>3204</v>
      </c>
      <c r="C213" t="s">
        <v>3038</v>
      </c>
      <c r="D213">
        <v>29.17012398</v>
      </c>
      <c r="E213" t="s">
        <v>3035</v>
      </c>
      <c r="F213">
        <v>120.13497340000001</v>
      </c>
      <c r="G213" t="s">
        <v>3036</v>
      </c>
      <c r="H213">
        <v>46158</v>
      </c>
      <c r="I213" t="s">
        <v>3037</v>
      </c>
    </row>
    <row r="214" spans="1:9" x14ac:dyDescent="0.25">
      <c r="A214" t="s">
        <v>3034</v>
      </c>
      <c r="B214" t="s">
        <v>3377</v>
      </c>
      <c r="C214" t="s">
        <v>3038</v>
      </c>
      <c r="D214">
        <v>28.997674870000001</v>
      </c>
      <c r="E214" t="s">
        <v>3035</v>
      </c>
      <c r="F214">
        <v>118.5041805</v>
      </c>
      <c r="G214" t="s">
        <v>3036</v>
      </c>
      <c r="H214">
        <v>23732</v>
      </c>
      <c r="I214" t="s">
        <v>3037</v>
      </c>
    </row>
    <row r="215" spans="1:9" x14ac:dyDescent="0.25">
      <c r="A215" t="s">
        <v>3034</v>
      </c>
      <c r="B215" t="s">
        <v>3416</v>
      </c>
      <c r="C215" t="s">
        <v>3038</v>
      </c>
      <c r="D215">
        <v>29.270885060000001</v>
      </c>
      <c r="E215" t="s">
        <v>3035</v>
      </c>
      <c r="F215">
        <v>120.8123452</v>
      </c>
      <c r="G215" t="s">
        <v>3036</v>
      </c>
      <c r="H215">
        <v>13053</v>
      </c>
      <c r="I215" t="s">
        <v>3037</v>
      </c>
    </row>
    <row r="216" spans="1:9" x14ac:dyDescent="0.25">
      <c r="A216" t="s">
        <v>3034</v>
      </c>
      <c r="B216" t="s">
        <v>3463</v>
      </c>
      <c r="C216" t="s">
        <v>3038</v>
      </c>
      <c r="D216">
        <v>28.990360819999999</v>
      </c>
      <c r="E216" t="s">
        <v>3035</v>
      </c>
      <c r="F216">
        <v>121.20081</v>
      </c>
      <c r="G216" t="s">
        <v>3036</v>
      </c>
      <c r="H216">
        <v>9388</v>
      </c>
      <c r="I216" t="s">
        <v>3037</v>
      </c>
    </row>
    <row r="217" spans="1:9" x14ac:dyDescent="0.25">
      <c r="A217" t="s">
        <v>3034</v>
      </c>
      <c r="B217" t="s">
        <v>3527</v>
      </c>
      <c r="C217" t="s">
        <v>3038</v>
      </c>
      <c r="D217">
        <v>27.92034889</v>
      </c>
      <c r="E217" t="s">
        <v>3035</v>
      </c>
      <c r="F217">
        <v>120.37673839999999</v>
      </c>
      <c r="G217" t="s">
        <v>3036</v>
      </c>
      <c r="H217">
        <v>22121</v>
      </c>
      <c r="I217" t="s">
        <v>3037</v>
      </c>
    </row>
    <row r="218" spans="1:9" x14ac:dyDescent="0.25">
      <c r="A218" t="s">
        <v>3034</v>
      </c>
      <c r="B218" t="s">
        <v>3205</v>
      </c>
      <c r="C218" t="s">
        <v>3038</v>
      </c>
      <c r="D218">
        <v>29.42392078</v>
      </c>
      <c r="E218" t="s">
        <v>3035</v>
      </c>
      <c r="F218">
        <v>120.4571909</v>
      </c>
      <c r="G218" t="s">
        <v>3036</v>
      </c>
      <c r="H218">
        <v>20079</v>
      </c>
      <c r="I218" t="s">
        <v>3037</v>
      </c>
    </row>
    <row r="219" spans="1:9" x14ac:dyDescent="0.25">
      <c r="A219" t="s">
        <v>3034</v>
      </c>
      <c r="B219" t="s">
        <v>3378</v>
      </c>
      <c r="C219" t="s">
        <v>3038</v>
      </c>
      <c r="D219">
        <v>28.734369730000001</v>
      </c>
      <c r="E219" t="s">
        <v>3035</v>
      </c>
      <c r="F219">
        <v>118.835409</v>
      </c>
      <c r="G219" t="s">
        <v>3036</v>
      </c>
      <c r="H219">
        <v>7994</v>
      </c>
      <c r="I219" t="s">
        <v>3037</v>
      </c>
    </row>
    <row r="220" spans="1:9" x14ac:dyDescent="0.25">
      <c r="A220" t="s">
        <v>3034</v>
      </c>
      <c r="B220" t="s">
        <v>3528</v>
      </c>
      <c r="C220" t="s">
        <v>3038</v>
      </c>
      <c r="D220">
        <v>28.3973209</v>
      </c>
      <c r="E220" t="s">
        <v>3035</v>
      </c>
      <c r="F220">
        <v>121.2024965</v>
      </c>
      <c r="G220" t="s">
        <v>3036</v>
      </c>
      <c r="H220">
        <v>12353</v>
      </c>
      <c r="I220" t="s">
        <v>3037</v>
      </c>
    </row>
    <row r="221" spans="1:9" x14ac:dyDescent="0.25">
      <c r="A221" t="s">
        <v>3034</v>
      </c>
      <c r="B221" t="s">
        <v>3206</v>
      </c>
      <c r="C221" t="s">
        <v>3038</v>
      </c>
      <c r="D221">
        <v>29.18524103</v>
      </c>
      <c r="E221" t="s">
        <v>3035</v>
      </c>
      <c r="F221">
        <v>120.4028991</v>
      </c>
      <c r="G221" t="s">
        <v>3036</v>
      </c>
      <c r="H221">
        <v>33234</v>
      </c>
      <c r="I221" t="s">
        <v>3037</v>
      </c>
    </row>
    <row r="222" spans="1:9" x14ac:dyDescent="0.25">
      <c r="A222" t="s">
        <v>3034</v>
      </c>
      <c r="B222" t="s">
        <v>5116</v>
      </c>
      <c r="C222" t="s">
        <v>3038</v>
      </c>
      <c r="D222">
        <v>28.83082284</v>
      </c>
      <c r="E222" t="s">
        <v>3035</v>
      </c>
      <c r="F222">
        <v>120.3004327</v>
      </c>
      <c r="G222" t="s">
        <v>3036</v>
      </c>
      <c r="H222">
        <v>79527</v>
      </c>
      <c r="I222" t="s">
        <v>3037</v>
      </c>
    </row>
    <row r="223" spans="1:9" x14ac:dyDescent="0.25">
      <c r="A223" t="s">
        <v>3034</v>
      </c>
      <c r="B223" t="s">
        <v>5117</v>
      </c>
      <c r="C223" t="s">
        <v>3038</v>
      </c>
      <c r="D223">
        <v>29.042528040000001</v>
      </c>
      <c r="E223" t="s">
        <v>3035</v>
      </c>
      <c r="F223">
        <v>119.2687925</v>
      </c>
      <c r="G223" t="s">
        <v>3036</v>
      </c>
      <c r="H223">
        <v>42472</v>
      </c>
      <c r="I223" t="s">
        <v>3037</v>
      </c>
    </row>
    <row r="224" spans="1:9" x14ac:dyDescent="0.25">
      <c r="A224" t="s">
        <v>3034</v>
      </c>
      <c r="B224" t="s">
        <v>3207</v>
      </c>
      <c r="C224" t="s">
        <v>3038</v>
      </c>
      <c r="D224">
        <v>29.038049050000001</v>
      </c>
      <c r="E224" t="s">
        <v>3035</v>
      </c>
      <c r="F224">
        <v>119.7413287</v>
      </c>
      <c r="G224" t="s">
        <v>3036</v>
      </c>
      <c r="H224">
        <v>9948</v>
      </c>
      <c r="I224" t="s">
        <v>3037</v>
      </c>
    </row>
    <row r="225" spans="1:9" x14ac:dyDescent="0.25">
      <c r="A225" t="s">
        <v>3034</v>
      </c>
      <c r="B225" t="s">
        <v>3062</v>
      </c>
      <c r="C225" t="s">
        <v>3038</v>
      </c>
      <c r="D225">
        <v>29.532949460000001</v>
      </c>
      <c r="E225" t="s">
        <v>3035</v>
      </c>
      <c r="F225">
        <v>118.65250880000001</v>
      </c>
      <c r="G225" t="s">
        <v>3036</v>
      </c>
      <c r="H225">
        <v>14809</v>
      </c>
      <c r="I225" t="s">
        <v>3037</v>
      </c>
    </row>
    <row r="226" spans="1:9" x14ac:dyDescent="0.25">
      <c r="A226" t="s">
        <v>3034</v>
      </c>
      <c r="B226" t="s">
        <v>3063</v>
      </c>
      <c r="C226" t="s">
        <v>3038</v>
      </c>
      <c r="D226">
        <v>29.83665792</v>
      </c>
      <c r="E226" t="s">
        <v>3035</v>
      </c>
      <c r="F226">
        <v>119.8124005</v>
      </c>
      <c r="G226" t="s">
        <v>3036</v>
      </c>
      <c r="H226">
        <v>38245</v>
      </c>
      <c r="I226" t="s">
        <v>3037</v>
      </c>
    </row>
    <row r="227" spans="1:9" x14ac:dyDescent="0.25">
      <c r="A227" t="s">
        <v>3034</v>
      </c>
      <c r="B227" t="s">
        <v>3324</v>
      </c>
      <c r="C227" t="s">
        <v>3038</v>
      </c>
      <c r="D227">
        <v>29.74878468</v>
      </c>
      <c r="E227" t="s">
        <v>3035</v>
      </c>
      <c r="F227">
        <v>121.515728</v>
      </c>
      <c r="G227" t="s">
        <v>3036</v>
      </c>
      <c r="H227">
        <v>100410</v>
      </c>
      <c r="I227" t="s">
        <v>3037</v>
      </c>
    </row>
    <row r="228" spans="1:9" x14ac:dyDescent="0.25">
      <c r="A228" t="s">
        <v>3034</v>
      </c>
      <c r="B228" t="s">
        <v>3208</v>
      </c>
      <c r="C228" t="s">
        <v>3038</v>
      </c>
      <c r="D228">
        <v>29.06326988</v>
      </c>
      <c r="E228" t="s">
        <v>3035</v>
      </c>
      <c r="F228">
        <v>119.44895510000001</v>
      </c>
      <c r="G228" t="s">
        <v>3036</v>
      </c>
      <c r="H228">
        <v>18702</v>
      </c>
      <c r="I228" t="s">
        <v>3037</v>
      </c>
    </row>
    <row r="229" spans="1:9" x14ac:dyDescent="0.25">
      <c r="A229" t="s">
        <v>3034</v>
      </c>
      <c r="B229" t="s">
        <v>3209</v>
      </c>
      <c r="C229" t="s">
        <v>3038</v>
      </c>
      <c r="D229">
        <v>29.227714049999999</v>
      </c>
      <c r="E229" t="s">
        <v>3035</v>
      </c>
      <c r="F229">
        <v>120.72749589999999</v>
      </c>
      <c r="G229" t="s">
        <v>3036</v>
      </c>
      <c r="H229">
        <v>28444</v>
      </c>
      <c r="I229" t="s">
        <v>3037</v>
      </c>
    </row>
    <row r="230" spans="1:9" x14ac:dyDescent="0.25">
      <c r="A230" t="s">
        <v>3034</v>
      </c>
      <c r="B230" t="s">
        <v>3464</v>
      </c>
      <c r="C230" t="s">
        <v>3038</v>
      </c>
      <c r="D230">
        <v>29.03449307</v>
      </c>
      <c r="E230" t="s">
        <v>3035</v>
      </c>
      <c r="F230">
        <v>121.6121954</v>
      </c>
      <c r="G230" t="s">
        <v>3036</v>
      </c>
      <c r="H230">
        <v>49504</v>
      </c>
      <c r="I230" t="s">
        <v>3037</v>
      </c>
    </row>
    <row r="231" spans="1:9" x14ac:dyDescent="0.25">
      <c r="A231" t="s">
        <v>3034</v>
      </c>
      <c r="B231" t="s">
        <v>3210</v>
      </c>
      <c r="C231" t="s">
        <v>3038</v>
      </c>
      <c r="D231">
        <v>29.00168506</v>
      </c>
      <c r="E231" t="s">
        <v>3035</v>
      </c>
      <c r="F231">
        <v>119.88468570000001</v>
      </c>
      <c r="G231" t="s">
        <v>3036</v>
      </c>
      <c r="H231">
        <v>12599</v>
      </c>
      <c r="I231" t="s">
        <v>3037</v>
      </c>
    </row>
    <row r="232" spans="1:9" x14ac:dyDescent="0.25">
      <c r="A232" t="s">
        <v>3034</v>
      </c>
      <c r="B232" t="s">
        <v>3116</v>
      </c>
      <c r="C232" t="s">
        <v>3038</v>
      </c>
      <c r="D232">
        <v>31.12555983</v>
      </c>
      <c r="E232" t="s">
        <v>3035</v>
      </c>
      <c r="F232">
        <v>119.9049593</v>
      </c>
      <c r="G232" t="s">
        <v>3036</v>
      </c>
      <c r="H232">
        <v>29963</v>
      </c>
      <c r="I232" t="s">
        <v>3037</v>
      </c>
    </row>
    <row r="233" spans="1:9" x14ac:dyDescent="0.25">
      <c r="A233" t="s">
        <v>3034</v>
      </c>
      <c r="B233" t="s">
        <v>3417</v>
      </c>
      <c r="C233" t="s">
        <v>3038</v>
      </c>
      <c r="D233">
        <v>29.771504029999999</v>
      </c>
      <c r="E233" t="s">
        <v>3035</v>
      </c>
      <c r="F233">
        <v>120.57057639999999</v>
      </c>
      <c r="G233" t="s">
        <v>3036</v>
      </c>
      <c r="H233">
        <v>19923</v>
      </c>
      <c r="I233" t="s">
        <v>3037</v>
      </c>
    </row>
    <row r="234" spans="1:9" x14ac:dyDescent="0.25">
      <c r="A234" t="s">
        <v>3034</v>
      </c>
      <c r="B234" t="s">
        <v>3465</v>
      </c>
      <c r="C234" t="s">
        <v>3038</v>
      </c>
      <c r="D234">
        <v>29.075397030000001</v>
      </c>
      <c r="E234" t="s">
        <v>3035</v>
      </c>
      <c r="F234">
        <v>120.77512849999999</v>
      </c>
      <c r="G234" t="s">
        <v>3036</v>
      </c>
      <c r="H234">
        <v>22039</v>
      </c>
      <c r="I234" t="s">
        <v>3037</v>
      </c>
    </row>
    <row r="235" spans="1:9" x14ac:dyDescent="0.25">
      <c r="A235" t="s">
        <v>3034</v>
      </c>
      <c r="B235" t="s">
        <v>3418</v>
      </c>
      <c r="C235" t="s">
        <v>3038</v>
      </c>
      <c r="D235">
        <v>29.349030500000001</v>
      </c>
      <c r="E235" t="s">
        <v>3035</v>
      </c>
      <c r="F235">
        <v>120.7606318</v>
      </c>
      <c r="G235" t="s">
        <v>3036</v>
      </c>
      <c r="H235">
        <v>16731</v>
      </c>
      <c r="I235" t="s">
        <v>3037</v>
      </c>
    </row>
    <row r="236" spans="1:9" x14ac:dyDescent="0.25">
      <c r="A236" t="s">
        <v>3034</v>
      </c>
      <c r="B236" t="s">
        <v>3064</v>
      </c>
      <c r="C236" t="s">
        <v>3038</v>
      </c>
      <c r="D236">
        <v>30.37325641</v>
      </c>
      <c r="E236" t="s">
        <v>3035</v>
      </c>
      <c r="F236">
        <v>119.8301549</v>
      </c>
      <c r="G236" t="s">
        <v>3036</v>
      </c>
      <c r="H236">
        <v>33408</v>
      </c>
      <c r="I236" t="s">
        <v>3037</v>
      </c>
    </row>
    <row r="237" spans="1:9" x14ac:dyDescent="0.25">
      <c r="A237" t="s">
        <v>3034</v>
      </c>
      <c r="B237" t="s">
        <v>3065</v>
      </c>
      <c r="C237" t="s">
        <v>3038</v>
      </c>
      <c r="D237">
        <v>29.998092589999999</v>
      </c>
      <c r="E237" t="s">
        <v>3035</v>
      </c>
      <c r="F237">
        <v>120.3053815</v>
      </c>
      <c r="G237" t="s">
        <v>3036</v>
      </c>
      <c r="H237">
        <v>46401</v>
      </c>
      <c r="I237" t="s">
        <v>3037</v>
      </c>
    </row>
    <row r="238" spans="1:9" x14ac:dyDescent="0.25">
      <c r="A238" t="s">
        <v>3034</v>
      </c>
      <c r="B238" t="s">
        <v>3466</v>
      </c>
      <c r="C238" t="s">
        <v>3038</v>
      </c>
      <c r="D238">
        <v>28.507682320000001</v>
      </c>
      <c r="E238" t="s">
        <v>3035</v>
      </c>
      <c r="F238">
        <v>121.5708683</v>
      </c>
      <c r="G238" t="s">
        <v>3036</v>
      </c>
      <c r="H238">
        <v>111481</v>
      </c>
      <c r="I238" t="s">
        <v>3037</v>
      </c>
    </row>
    <row r="239" spans="1:9" x14ac:dyDescent="0.25">
      <c r="A239" t="s">
        <v>3034</v>
      </c>
      <c r="B239" t="s">
        <v>3274</v>
      </c>
      <c r="C239" t="s">
        <v>3038</v>
      </c>
      <c r="D239">
        <v>28.21534853</v>
      </c>
      <c r="E239" t="s">
        <v>3035</v>
      </c>
      <c r="F239">
        <v>119.50942329999999</v>
      </c>
      <c r="G239" t="s">
        <v>3036</v>
      </c>
      <c r="H239">
        <v>1562</v>
      </c>
      <c r="I239" t="s">
        <v>3037</v>
      </c>
    </row>
    <row r="240" spans="1:9" x14ac:dyDescent="0.25">
      <c r="A240" t="s">
        <v>3034</v>
      </c>
      <c r="B240" t="s">
        <v>3600</v>
      </c>
      <c r="C240" t="s">
        <v>3038</v>
      </c>
      <c r="D240">
        <v>30.029730470000001</v>
      </c>
      <c r="E240" t="s">
        <v>3035</v>
      </c>
      <c r="F240">
        <v>121.87565480000001</v>
      </c>
      <c r="G240" t="s">
        <v>3036</v>
      </c>
      <c r="H240">
        <v>38106</v>
      </c>
      <c r="I240" t="s">
        <v>3037</v>
      </c>
    </row>
    <row r="241" spans="1:9" x14ac:dyDescent="0.25">
      <c r="A241" t="s">
        <v>3034</v>
      </c>
      <c r="B241" t="s">
        <v>3419</v>
      </c>
      <c r="C241" t="s">
        <v>3038</v>
      </c>
      <c r="D241">
        <v>29.559006459999999</v>
      </c>
      <c r="E241" t="s">
        <v>3035</v>
      </c>
      <c r="F241">
        <v>121.0443357</v>
      </c>
      <c r="G241" t="s">
        <v>3036</v>
      </c>
      <c r="H241">
        <v>32157</v>
      </c>
      <c r="I241" t="s">
        <v>3037</v>
      </c>
    </row>
    <row r="242" spans="1:9" x14ac:dyDescent="0.25">
      <c r="A242" t="s">
        <v>3034</v>
      </c>
      <c r="B242" t="s">
        <v>3275</v>
      </c>
      <c r="C242" t="s">
        <v>3038</v>
      </c>
      <c r="D242">
        <v>28.11144552</v>
      </c>
      <c r="E242" t="s">
        <v>3035</v>
      </c>
      <c r="F242">
        <v>118.9576579</v>
      </c>
      <c r="G242" t="s">
        <v>3036</v>
      </c>
      <c r="H242">
        <v>7472</v>
      </c>
      <c r="I242" t="s">
        <v>3037</v>
      </c>
    </row>
    <row r="243" spans="1:9" x14ac:dyDescent="0.25">
      <c r="A243" t="s">
        <v>3034</v>
      </c>
      <c r="B243" t="s">
        <v>3529</v>
      </c>
      <c r="C243" t="s">
        <v>3038</v>
      </c>
      <c r="D243">
        <v>27.422049489999999</v>
      </c>
      <c r="E243" t="s">
        <v>3035</v>
      </c>
      <c r="F243">
        <v>120.62943799999999</v>
      </c>
      <c r="G243" t="s">
        <v>3036</v>
      </c>
      <c r="H243">
        <v>85669</v>
      </c>
      <c r="I243" t="s">
        <v>3037</v>
      </c>
    </row>
    <row r="244" spans="1:9" x14ac:dyDescent="0.25">
      <c r="A244" t="s">
        <v>3034</v>
      </c>
      <c r="B244" t="s">
        <v>3276</v>
      </c>
      <c r="C244" t="s">
        <v>3038</v>
      </c>
      <c r="D244">
        <v>28.632082950000001</v>
      </c>
      <c r="E244" t="s">
        <v>3035</v>
      </c>
      <c r="F244">
        <v>119.05879299999999</v>
      </c>
      <c r="G244" t="s">
        <v>3036</v>
      </c>
      <c r="H244">
        <v>9687</v>
      </c>
      <c r="I244" t="s">
        <v>3037</v>
      </c>
    </row>
    <row r="245" spans="1:9" x14ac:dyDescent="0.25">
      <c r="A245" t="s">
        <v>3034</v>
      </c>
      <c r="B245" t="s">
        <v>3117</v>
      </c>
      <c r="C245" t="s">
        <v>3038</v>
      </c>
      <c r="D245">
        <v>30.822814810000001</v>
      </c>
      <c r="E245" t="s">
        <v>3035</v>
      </c>
      <c r="F245">
        <v>120.2656417</v>
      </c>
      <c r="G245" t="s">
        <v>3036</v>
      </c>
      <c r="H245">
        <v>24696</v>
      </c>
      <c r="I245" t="s">
        <v>3037</v>
      </c>
    </row>
    <row r="246" spans="1:9" x14ac:dyDescent="0.25">
      <c r="A246" t="s">
        <v>3034</v>
      </c>
      <c r="B246" t="s">
        <v>3325</v>
      </c>
      <c r="C246" t="s">
        <v>3038</v>
      </c>
      <c r="D246">
        <v>30.022055590000001</v>
      </c>
      <c r="E246" t="s">
        <v>3035</v>
      </c>
      <c r="F246">
        <v>121.5211626</v>
      </c>
      <c r="G246" t="s">
        <v>3036</v>
      </c>
      <c r="H246">
        <v>31900</v>
      </c>
      <c r="I246" t="s">
        <v>3037</v>
      </c>
    </row>
    <row r="247" spans="1:9" x14ac:dyDescent="0.25">
      <c r="A247" t="s">
        <v>3034</v>
      </c>
      <c r="B247" t="s">
        <v>3530</v>
      </c>
      <c r="C247" t="s">
        <v>3038</v>
      </c>
      <c r="D247">
        <v>27.5048742</v>
      </c>
      <c r="E247" t="s">
        <v>3035</v>
      </c>
      <c r="F247">
        <v>120.1904619</v>
      </c>
      <c r="G247" t="s">
        <v>3036</v>
      </c>
      <c r="H247">
        <v>8875</v>
      </c>
      <c r="I247" t="s">
        <v>3037</v>
      </c>
    </row>
    <row r="248" spans="1:9" x14ac:dyDescent="0.25">
      <c r="A248" t="s">
        <v>3034</v>
      </c>
      <c r="B248" t="s">
        <v>3531</v>
      </c>
      <c r="C248" t="s">
        <v>3038</v>
      </c>
      <c r="D248">
        <v>27.709706000000001</v>
      </c>
      <c r="E248" t="s">
        <v>3035</v>
      </c>
      <c r="F248">
        <v>120.0890362</v>
      </c>
      <c r="G248" t="s">
        <v>3036</v>
      </c>
      <c r="H248">
        <v>10858</v>
      </c>
      <c r="I248" t="s">
        <v>3037</v>
      </c>
    </row>
    <row r="249" spans="1:9" x14ac:dyDescent="0.25">
      <c r="A249" t="s">
        <v>3034</v>
      </c>
      <c r="B249" t="s">
        <v>3326</v>
      </c>
      <c r="C249" t="s">
        <v>3038</v>
      </c>
      <c r="D249">
        <v>30.119322690000001</v>
      </c>
      <c r="E249" t="s">
        <v>3035</v>
      </c>
      <c r="F249">
        <v>121.3103115</v>
      </c>
      <c r="G249" t="s">
        <v>3036</v>
      </c>
      <c r="H249">
        <v>30358</v>
      </c>
      <c r="I249" t="s">
        <v>3037</v>
      </c>
    </row>
    <row r="250" spans="1:9" x14ac:dyDescent="0.25">
      <c r="A250" t="s">
        <v>3034</v>
      </c>
      <c r="B250" t="s">
        <v>3532</v>
      </c>
      <c r="C250" t="s">
        <v>3038</v>
      </c>
      <c r="D250">
        <v>27.684744779999999</v>
      </c>
      <c r="E250" t="s">
        <v>3035</v>
      </c>
      <c r="F250">
        <v>120.5423569</v>
      </c>
      <c r="G250" t="s">
        <v>3036</v>
      </c>
      <c r="H250">
        <v>121472</v>
      </c>
      <c r="I250" t="s">
        <v>3037</v>
      </c>
    </row>
    <row r="251" spans="1:9" x14ac:dyDescent="0.25">
      <c r="A251" t="s">
        <v>3034</v>
      </c>
      <c r="B251" t="s">
        <v>3467</v>
      </c>
      <c r="C251" t="s">
        <v>3038</v>
      </c>
      <c r="D251">
        <v>28.819257279999999</v>
      </c>
      <c r="E251" t="s">
        <v>3035</v>
      </c>
      <c r="F251">
        <v>120.9685341</v>
      </c>
      <c r="G251" t="s">
        <v>3036</v>
      </c>
      <c r="H251">
        <v>29509</v>
      </c>
      <c r="I251" t="s">
        <v>3037</v>
      </c>
    </row>
    <row r="252" spans="1:9" x14ac:dyDescent="0.25">
      <c r="A252" t="s">
        <v>3034</v>
      </c>
      <c r="B252" t="s">
        <v>3277</v>
      </c>
      <c r="C252" t="s">
        <v>3038</v>
      </c>
      <c r="D252">
        <v>28.359005920000001</v>
      </c>
      <c r="E252" t="s">
        <v>3035</v>
      </c>
      <c r="F252">
        <v>119.9503057</v>
      </c>
      <c r="G252" t="s">
        <v>3036</v>
      </c>
      <c r="H252">
        <v>14016</v>
      </c>
      <c r="I252" t="s">
        <v>3037</v>
      </c>
    </row>
    <row r="253" spans="1:9" x14ac:dyDescent="0.25">
      <c r="A253" t="s">
        <v>3034</v>
      </c>
      <c r="B253" t="s">
        <v>3211</v>
      </c>
      <c r="C253" t="s">
        <v>3038</v>
      </c>
      <c r="D253">
        <v>28.980367529999999</v>
      </c>
      <c r="E253" t="s">
        <v>3035</v>
      </c>
      <c r="F253">
        <v>119.4738368</v>
      </c>
      <c r="G253" t="s">
        <v>3036</v>
      </c>
      <c r="H253">
        <v>14633</v>
      </c>
      <c r="I253" t="s">
        <v>3037</v>
      </c>
    </row>
    <row r="254" spans="1:9" x14ac:dyDescent="0.25">
      <c r="A254" t="s">
        <v>3034</v>
      </c>
      <c r="B254" t="s">
        <v>3278</v>
      </c>
      <c r="C254" t="s">
        <v>3038</v>
      </c>
      <c r="D254">
        <v>28.5322633</v>
      </c>
      <c r="E254" t="s">
        <v>3035</v>
      </c>
      <c r="F254">
        <v>119.7550105</v>
      </c>
      <c r="G254" t="s">
        <v>3036</v>
      </c>
      <c r="H254">
        <v>8875</v>
      </c>
      <c r="I254" t="s">
        <v>3037</v>
      </c>
    </row>
    <row r="255" spans="1:9" x14ac:dyDescent="0.25">
      <c r="A255" t="s">
        <v>3034</v>
      </c>
      <c r="B255" t="s">
        <v>3118</v>
      </c>
      <c r="C255" t="s">
        <v>3038</v>
      </c>
      <c r="D255">
        <v>30.50831556</v>
      </c>
      <c r="E255" t="s">
        <v>3035</v>
      </c>
      <c r="F255">
        <v>120.1415442</v>
      </c>
      <c r="G255" t="s">
        <v>3036</v>
      </c>
      <c r="H255">
        <v>36652</v>
      </c>
      <c r="I255" t="s">
        <v>3037</v>
      </c>
    </row>
    <row r="256" spans="1:9" x14ac:dyDescent="0.25">
      <c r="A256" t="s">
        <v>3034</v>
      </c>
      <c r="B256" t="s">
        <v>3212</v>
      </c>
      <c r="C256" t="s">
        <v>3038</v>
      </c>
      <c r="D256">
        <v>28.90323867</v>
      </c>
      <c r="E256" t="s">
        <v>3035</v>
      </c>
      <c r="F256">
        <v>120.3356409</v>
      </c>
      <c r="G256" t="s">
        <v>3036</v>
      </c>
      <c r="H256">
        <v>7308</v>
      </c>
      <c r="I256" t="s">
        <v>3037</v>
      </c>
    </row>
    <row r="257" spans="1:9" x14ac:dyDescent="0.25">
      <c r="A257" t="s">
        <v>3034</v>
      </c>
      <c r="B257" t="s">
        <v>3327</v>
      </c>
      <c r="C257" t="s">
        <v>3038</v>
      </c>
      <c r="D257">
        <v>29.90856411</v>
      </c>
      <c r="E257" t="s">
        <v>3035</v>
      </c>
      <c r="F257">
        <v>121.07105230000001</v>
      </c>
      <c r="G257" t="s">
        <v>3036</v>
      </c>
      <c r="H257">
        <v>28536</v>
      </c>
      <c r="I257" t="s">
        <v>3037</v>
      </c>
    </row>
    <row r="258" spans="1:9" x14ac:dyDescent="0.25">
      <c r="A258" t="s">
        <v>3034</v>
      </c>
      <c r="B258" t="s">
        <v>5118</v>
      </c>
      <c r="C258" t="s">
        <v>3038</v>
      </c>
      <c r="D258">
        <v>29.601412620000001</v>
      </c>
      <c r="E258" t="s">
        <v>3035</v>
      </c>
      <c r="F258">
        <v>119.2937433</v>
      </c>
      <c r="G258" t="s">
        <v>3036</v>
      </c>
      <c r="H258">
        <v>7988</v>
      </c>
      <c r="I258" t="s">
        <v>3037</v>
      </c>
    </row>
    <row r="259" spans="1:9" x14ac:dyDescent="0.25">
      <c r="A259" t="s">
        <v>3034</v>
      </c>
      <c r="B259" t="s">
        <v>5119</v>
      </c>
      <c r="C259" t="s">
        <v>3038</v>
      </c>
      <c r="D259">
        <v>29.098727050000001</v>
      </c>
      <c r="E259" t="s">
        <v>3035</v>
      </c>
      <c r="F259">
        <v>119.02741210000001</v>
      </c>
      <c r="G259" t="s">
        <v>3036</v>
      </c>
      <c r="H259">
        <v>28415</v>
      </c>
      <c r="I259" t="s">
        <v>3037</v>
      </c>
    </row>
    <row r="260" spans="1:9" x14ac:dyDescent="0.25">
      <c r="A260" t="s">
        <v>3034</v>
      </c>
      <c r="B260" t="s">
        <v>3119</v>
      </c>
      <c r="C260" t="s">
        <v>3038</v>
      </c>
      <c r="D260">
        <v>30.726584389999999</v>
      </c>
      <c r="E260" t="s">
        <v>3035</v>
      </c>
      <c r="F260">
        <v>120.40564689999999</v>
      </c>
      <c r="G260" t="s">
        <v>3036</v>
      </c>
      <c r="H260">
        <v>87255</v>
      </c>
      <c r="I260" t="s">
        <v>3037</v>
      </c>
    </row>
    <row r="261" spans="1:9" x14ac:dyDescent="0.25">
      <c r="A261" t="s">
        <v>3034</v>
      </c>
      <c r="B261" t="s">
        <v>3066</v>
      </c>
      <c r="C261" t="s">
        <v>3038</v>
      </c>
      <c r="D261">
        <v>29.325454220000001</v>
      </c>
      <c r="E261" t="s">
        <v>3035</v>
      </c>
      <c r="F261">
        <v>118.9833915</v>
      </c>
      <c r="G261" t="s">
        <v>3036</v>
      </c>
      <c r="H261">
        <v>13953</v>
      </c>
      <c r="I261" t="s">
        <v>3037</v>
      </c>
    </row>
    <row r="262" spans="1:9" x14ac:dyDescent="0.25">
      <c r="A262" t="s">
        <v>3034</v>
      </c>
      <c r="B262" t="s">
        <v>3120</v>
      </c>
      <c r="C262" t="s">
        <v>3038</v>
      </c>
      <c r="D262">
        <v>30.953938140000002</v>
      </c>
      <c r="E262" t="s">
        <v>3035</v>
      </c>
      <c r="F262">
        <v>119.96275180000001</v>
      </c>
      <c r="G262" t="s">
        <v>3036</v>
      </c>
      <c r="H262">
        <v>28648</v>
      </c>
      <c r="I262" t="s">
        <v>3037</v>
      </c>
    </row>
    <row r="263" spans="1:9" x14ac:dyDescent="0.25">
      <c r="A263" t="s">
        <v>3034</v>
      </c>
      <c r="B263" t="s">
        <v>3121</v>
      </c>
      <c r="C263" t="s">
        <v>3038</v>
      </c>
      <c r="D263">
        <v>30.932700690000001</v>
      </c>
      <c r="E263" t="s">
        <v>3035</v>
      </c>
      <c r="F263">
        <v>119.7606892</v>
      </c>
      <c r="G263" t="s">
        <v>3036</v>
      </c>
      <c r="H263">
        <v>47012</v>
      </c>
      <c r="I263" t="s">
        <v>3037</v>
      </c>
    </row>
    <row r="264" spans="1:9" x14ac:dyDescent="0.25">
      <c r="A264" t="s">
        <v>3034</v>
      </c>
      <c r="B264" t="s">
        <v>3159</v>
      </c>
      <c r="C264" t="s">
        <v>3038</v>
      </c>
      <c r="D264">
        <v>30.678751729999998</v>
      </c>
      <c r="E264" t="s">
        <v>3035</v>
      </c>
      <c r="F264">
        <v>121.0885703</v>
      </c>
      <c r="G264" t="s">
        <v>3036</v>
      </c>
      <c r="H264">
        <v>37828</v>
      </c>
      <c r="I264" t="s">
        <v>3037</v>
      </c>
    </row>
    <row r="265" spans="1:9" x14ac:dyDescent="0.25">
      <c r="A265" t="s">
        <v>3034</v>
      </c>
      <c r="B265" t="s">
        <v>3420</v>
      </c>
      <c r="C265" t="s">
        <v>3038</v>
      </c>
      <c r="D265">
        <v>29.410967979999999</v>
      </c>
      <c r="E265" t="s">
        <v>3035</v>
      </c>
      <c r="F265">
        <v>120.3037899</v>
      </c>
      <c r="G265" t="s">
        <v>3036</v>
      </c>
      <c r="H265">
        <v>7751</v>
      </c>
      <c r="I265" t="s">
        <v>3037</v>
      </c>
    </row>
    <row r="266" spans="1:9" x14ac:dyDescent="0.25">
      <c r="A266" t="s">
        <v>3034</v>
      </c>
      <c r="B266" t="s">
        <v>3122</v>
      </c>
      <c r="C266" t="s">
        <v>3038</v>
      </c>
      <c r="D266">
        <v>30.724473629999999</v>
      </c>
      <c r="E266" t="s">
        <v>3035</v>
      </c>
      <c r="F266">
        <v>120.1583942</v>
      </c>
      <c r="G266" t="s">
        <v>3036</v>
      </c>
      <c r="H266">
        <v>63471</v>
      </c>
      <c r="I266" t="s">
        <v>3037</v>
      </c>
    </row>
    <row r="267" spans="1:9" x14ac:dyDescent="0.25">
      <c r="A267" t="s">
        <v>3034</v>
      </c>
      <c r="B267" t="s">
        <v>3067</v>
      </c>
      <c r="C267" t="s">
        <v>3038</v>
      </c>
      <c r="D267">
        <v>29.993631789999998</v>
      </c>
      <c r="E267" t="s">
        <v>3035</v>
      </c>
      <c r="F267">
        <v>120.0499947</v>
      </c>
      <c r="G267" t="s">
        <v>3036</v>
      </c>
      <c r="H267">
        <v>28181</v>
      </c>
      <c r="I267" t="s">
        <v>3037</v>
      </c>
    </row>
    <row r="268" spans="1:9" x14ac:dyDescent="0.25">
      <c r="A268" t="s">
        <v>3034</v>
      </c>
      <c r="B268" t="s">
        <v>3533</v>
      </c>
      <c r="C268" t="s">
        <v>3038</v>
      </c>
      <c r="D268">
        <v>27.499088700000001</v>
      </c>
      <c r="E268" t="s">
        <v>3035</v>
      </c>
      <c r="F268">
        <v>120.3841833</v>
      </c>
      <c r="G268" t="s">
        <v>3036</v>
      </c>
      <c r="H268">
        <v>260052</v>
      </c>
      <c r="I268" t="s">
        <v>3037</v>
      </c>
    </row>
    <row r="269" spans="1:9" x14ac:dyDescent="0.25">
      <c r="A269" t="s">
        <v>3034</v>
      </c>
      <c r="B269" t="s">
        <v>3213</v>
      </c>
      <c r="C269" t="s">
        <v>3038</v>
      </c>
      <c r="D269">
        <v>29.044031260000001</v>
      </c>
      <c r="E269" t="s">
        <v>3035</v>
      </c>
      <c r="F269">
        <v>119.8056989</v>
      </c>
      <c r="G269" t="s">
        <v>3036</v>
      </c>
      <c r="H269">
        <v>11697</v>
      </c>
      <c r="I269" t="s">
        <v>3037</v>
      </c>
    </row>
    <row r="270" spans="1:9" x14ac:dyDescent="0.25">
      <c r="A270" t="s">
        <v>3034</v>
      </c>
      <c r="B270" t="s">
        <v>3068</v>
      </c>
      <c r="C270" t="s">
        <v>3038</v>
      </c>
      <c r="D270">
        <v>30.047852670000001</v>
      </c>
      <c r="E270" t="s">
        <v>3035</v>
      </c>
      <c r="F270">
        <v>120.2406</v>
      </c>
      <c r="G270" t="s">
        <v>3036</v>
      </c>
      <c r="H270">
        <v>60355</v>
      </c>
      <c r="I270" t="s">
        <v>3037</v>
      </c>
    </row>
    <row r="271" spans="1:9" x14ac:dyDescent="0.25">
      <c r="A271" t="s">
        <v>3034</v>
      </c>
      <c r="B271" t="s">
        <v>3069</v>
      </c>
      <c r="C271" t="s">
        <v>3038</v>
      </c>
      <c r="D271">
        <v>29.879050400000001</v>
      </c>
      <c r="E271" t="s">
        <v>3035</v>
      </c>
      <c r="F271">
        <v>119.1364835</v>
      </c>
      <c r="G271" t="s">
        <v>3036</v>
      </c>
      <c r="H271">
        <v>13698</v>
      </c>
      <c r="I271" t="s">
        <v>3037</v>
      </c>
    </row>
    <row r="272" spans="1:9" x14ac:dyDescent="0.25">
      <c r="A272" t="s">
        <v>3034</v>
      </c>
      <c r="B272" t="s">
        <v>3328</v>
      </c>
      <c r="C272" t="s">
        <v>3038</v>
      </c>
      <c r="D272">
        <v>30.156111639999999</v>
      </c>
      <c r="E272" t="s">
        <v>3035</v>
      </c>
      <c r="F272">
        <v>120.98564090000001</v>
      </c>
      <c r="G272" t="s">
        <v>3036</v>
      </c>
      <c r="H272">
        <v>45323</v>
      </c>
      <c r="I272" t="s">
        <v>3037</v>
      </c>
    </row>
    <row r="273" spans="1:9" x14ac:dyDescent="0.25">
      <c r="A273" t="s">
        <v>3034</v>
      </c>
      <c r="B273" t="s">
        <v>5120</v>
      </c>
      <c r="C273" t="s">
        <v>3038</v>
      </c>
      <c r="D273">
        <v>29.093309269999999</v>
      </c>
      <c r="E273" t="s">
        <v>3035</v>
      </c>
      <c r="F273">
        <v>119.8288051</v>
      </c>
      <c r="G273" t="s">
        <v>3036</v>
      </c>
      <c r="H273">
        <v>26731</v>
      </c>
      <c r="I273" t="s">
        <v>3037</v>
      </c>
    </row>
    <row r="274" spans="1:9" x14ac:dyDescent="0.25">
      <c r="A274" t="s">
        <v>3034</v>
      </c>
      <c r="B274" t="s">
        <v>5121</v>
      </c>
      <c r="C274" t="s">
        <v>3038</v>
      </c>
      <c r="D274">
        <v>29.625892889999999</v>
      </c>
      <c r="E274" t="s">
        <v>3035</v>
      </c>
      <c r="F274">
        <v>120.358283</v>
      </c>
      <c r="G274" t="s">
        <v>3036</v>
      </c>
      <c r="H274">
        <v>17448</v>
      </c>
      <c r="I274" t="s">
        <v>3037</v>
      </c>
    </row>
    <row r="275" spans="1:9" x14ac:dyDescent="0.25">
      <c r="A275" t="s">
        <v>3034</v>
      </c>
      <c r="B275" t="s">
        <v>3070</v>
      </c>
      <c r="C275" t="s">
        <v>3038</v>
      </c>
      <c r="D275">
        <v>30.024590790000001</v>
      </c>
      <c r="E275" t="s">
        <v>3035</v>
      </c>
      <c r="F275">
        <v>120.0749556</v>
      </c>
      <c r="G275" t="s">
        <v>3036</v>
      </c>
      <c r="H275">
        <v>8062</v>
      </c>
      <c r="I275" t="s">
        <v>3037</v>
      </c>
    </row>
    <row r="276" spans="1:9" x14ac:dyDescent="0.25">
      <c r="A276" t="s">
        <v>3034</v>
      </c>
      <c r="B276" t="s">
        <v>3214</v>
      </c>
      <c r="C276" t="s">
        <v>3038</v>
      </c>
      <c r="D276">
        <v>28.615349139999999</v>
      </c>
      <c r="E276" t="s">
        <v>3035</v>
      </c>
      <c r="F276">
        <v>119.5830847</v>
      </c>
      <c r="G276" t="s">
        <v>3036</v>
      </c>
      <c r="H276">
        <v>20515</v>
      </c>
      <c r="I276" t="s">
        <v>3037</v>
      </c>
    </row>
    <row r="277" spans="1:9" x14ac:dyDescent="0.25">
      <c r="A277" t="s">
        <v>3034</v>
      </c>
      <c r="B277" t="s">
        <v>3601</v>
      </c>
      <c r="C277" t="s">
        <v>3038</v>
      </c>
      <c r="D277">
        <v>29.720597130000002</v>
      </c>
      <c r="E277" t="s">
        <v>3035</v>
      </c>
      <c r="F277">
        <v>122.131562</v>
      </c>
      <c r="G277" t="s">
        <v>3036</v>
      </c>
      <c r="H277">
        <v>61325</v>
      </c>
      <c r="I277" t="s">
        <v>3037</v>
      </c>
    </row>
    <row r="278" spans="1:9" x14ac:dyDescent="0.25">
      <c r="A278" t="s">
        <v>3034</v>
      </c>
      <c r="B278" t="s">
        <v>3534</v>
      </c>
      <c r="C278" t="s">
        <v>3038</v>
      </c>
      <c r="D278">
        <v>28.02965116</v>
      </c>
      <c r="E278" t="s">
        <v>3035</v>
      </c>
      <c r="F278">
        <v>120.92139520000001</v>
      </c>
      <c r="G278" t="s">
        <v>3036</v>
      </c>
      <c r="H278">
        <v>219380</v>
      </c>
      <c r="I278" t="s">
        <v>3037</v>
      </c>
    </row>
    <row r="279" spans="1:9" x14ac:dyDescent="0.25">
      <c r="A279" t="s">
        <v>3034</v>
      </c>
      <c r="B279" t="s">
        <v>3329</v>
      </c>
      <c r="C279" t="s">
        <v>3038</v>
      </c>
      <c r="D279">
        <v>29.306797629999998</v>
      </c>
      <c r="E279" t="s">
        <v>3035</v>
      </c>
      <c r="F279">
        <v>121.6264255</v>
      </c>
      <c r="G279" t="s">
        <v>3036</v>
      </c>
      <c r="H279">
        <v>23473</v>
      </c>
      <c r="I279" t="s">
        <v>3037</v>
      </c>
    </row>
    <row r="280" spans="1:9" x14ac:dyDescent="0.25">
      <c r="A280" t="s">
        <v>3034</v>
      </c>
      <c r="B280" t="s">
        <v>3421</v>
      </c>
      <c r="C280" t="s">
        <v>3038</v>
      </c>
      <c r="D280">
        <v>29.954755729999999</v>
      </c>
      <c r="E280" t="s">
        <v>3035</v>
      </c>
      <c r="F280">
        <v>120.4364685</v>
      </c>
      <c r="G280" t="s">
        <v>3036</v>
      </c>
      <c r="H280">
        <v>23463</v>
      </c>
      <c r="I280" t="s">
        <v>3037</v>
      </c>
    </row>
    <row r="281" spans="1:9" x14ac:dyDescent="0.25">
      <c r="A281" t="s">
        <v>3034</v>
      </c>
      <c r="B281" t="s">
        <v>5122</v>
      </c>
      <c r="C281" t="s">
        <v>3038</v>
      </c>
      <c r="D281">
        <v>27.536079040000001</v>
      </c>
      <c r="E281" t="s">
        <v>3035</v>
      </c>
      <c r="F281">
        <v>120.5744042</v>
      </c>
      <c r="G281" t="s">
        <v>3036</v>
      </c>
      <c r="H281">
        <v>396000</v>
      </c>
      <c r="I281" t="s">
        <v>3037</v>
      </c>
    </row>
    <row r="282" spans="1:9" x14ac:dyDescent="0.25">
      <c r="A282" t="s">
        <v>3034</v>
      </c>
      <c r="B282" t="s">
        <v>3071</v>
      </c>
      <c r="C282" t="s">
        <v>3038</v>
      </c>
      <c r="D282">
        <v>30.227388099999999</v>
      </c>
      <c r="E282" t="s">
        <v>3035</v>
      </c>
      <c r="F282">
        <v>119.04927379999999</v>
      </c>
      <c r="G282" t="s">
        <v>3036</v>
      </c>
      <c r="H282">
        <v>9077</v>
      </c>
      <c r="I282" t="s">
        <v>3037</v>
      </c>
    </row>
    <row r="283" spans="1:9" x14ac:dyDescent="0.25">
      <c r="A283" t="s">
        <v>3034</v>
      </c>
      <c r="B283" t="s">
        <v>3535</v>
      </c>
      <c r="C283" t="s">
        <v>3038</v>
      </c>
      <c r="D283">
        <v>27.751000000000001</v>
      </c>
      <c r="E283" t="s">
        <v>3035</v>
      </c>
      <c r="F283">
        <v>120.3587</v>
      </c>
      <c r="G283" t="s">
        <v>3036</v>
      </c>
      <c r="H283">
        <v>9609</v>
      </c>
      <c r="I283" t="s">
        <v>3037</v>
      </c>
    </row>
    <row r="284" spans="1:9" x14ac:dyDescent="0.25">
      <c r="A284" t="s">
        <v>3034</v>
      </c>
      <c r="B284" t="s">
        <v>3072</v>
      </c>
      <c r="C284" t="s">
        <v>3038</v>
      </c>
      <c r="D284">
        <v>29.888441109999999</v>
      </c>
      <c r="E284" t="s">
        <v>3035</v>
      </c>
      <c r="F284">
        <v>119.9513336</v>
      </c>
      <c r="G284" t="s">
        <v>3036</v>
      </c>
      <c r="H284">
        <v>4664</v>
      </c>
      <c r="I284" t="s">
        <v>3037</v>
      </c>
    </row>
    <row r="285" spans="1:9" x14ac:dyDescent="0.25">
      <c r="A285" t="s">
        <v>3034</v>
      </c>
      <c r="B285" t="s">
        <v>5123</v>
      </c>
      <c r="C285" t="s">
        <v>3038</v>
      </c>
      <c r="D285">
        <v>29.036158759999999</v>
      </c>
      <c r="E285" t="s">
        <v>3035</v>
      </c>
      <c r="F285">
        <v>120.19357340000001</v>
      </c>
      <c r="G285" t="s">
        <v>3036</v>
      </c>
      <c r="H285">
        <v>37127</v>
      </c>
      <c r="I285" t="s">
        <v>3037</v>
      </c>
    </row>
    <row r="286" spans="1:9" x14ac:dyDescent="0.25">
      <c r="A286" t="s">
        <v>3034</v>
      </c>
      <c r="B286" t="s">
        <v>5124</v>
      </c>
      <c r="C286" t="s">
        <v>3038</v>
      </c>
      <c r="D286">
        <v>30.091039819999999</v>
      </c>
      <c r="E286" t="s">
        <v>3035</v>
      </c>
      <c r="F286">
        <v>121.5226127</v>
      </c>
      <c r="G286" t="s">
        <v>3036</v>
      </c>
      <c r="H286">
        <v>93910</v>
      </c>
      <c r="I286" t="s">
        <v>3037</v>
      </c>
    </row>
    <row r="287" spans="1:9" x14ac:dyDescent="0.25">
      <c r="A287" t="s">
        <v>3034</v>
      </c>
      <c r="B287" t="s">
        <v>3468</v>
      </c>
      <c r="C287" t="s">
        <v>3038</v>
      </c>
      <c r="D287">
        <v>28.192432100000001</v>
      </c>
      <c r="E287" t="s">
        <v>3035</v>
      </c>
      <c r="F287">
        <v>121.3191088</v>
      </c>
      <c r="G287" t="s">
        <v>3036</v>
      </c>
      <c r="H287">
        <v>29720</v>
      </c>
      <c r="I287" t="s">
        <v>3037</v>
      </c>
    </row>
    <row r="288" spans="1:9" x14ac:dyDescent="0.25">
      <c r="A288" t="s">
        <v>3034</v>
      </c>
      <c r="B288" t="s">
        <v>3073</v>
      </c>
      <c r="C288" t="s">
        <v>3038</v>
      </c>
      <c r="D288">
        <v>29.895638529999999</v>
      </c>
      <c r="E288" t="s">
        <v>3035</v>
      </c>
      <c r="F288">
        <v>120.1110848</v>
      </c>
      <c r="G288" t="s">
        <v>3036</v>
      </c>
      <c r="H288">
        <v>23614</v>
      </c>
      <c r="I288" t="s">
        <v>3037</v>
      </c>
    </row>
    <row r="289" spans="1:9" x14ac:dyDescent="0.25">
      <c r="A289" t="s">
        <v>3034</v>
      </c>
      <c r="B289" t="s">
        <v>3330</v>
      </c>
      <c r="C289" t="s">
        <v>3038</v>
      </c>
      <c r="D289">
        <v>29.948415019999999</v>
      </c>
      <c r="E289" t="s">
        <v>3035</v>
      </c>
      <c r="F289">
        <v>121.23323379999999</v>
      </c>
      <c r="G289" t="s">
        <v>3036</v>
      </c>
      <c r="H289">
        <v>46247</v>
      </c>
      <c r="I289" t="s">
        <v>3037</v>
      </c>
    </row>
    <row r="290" spans="1:9" x14ac:dyDescent="0.25">
      <c r="A290" t="s">
        <v>3034</v>
      </c>
      <c r="B290" t="s">
        <v>3074</v>
      </c>
      <c r="C290" t="s">
        <v>3038</v>
      </c>
      <c r="D290">
        <v>30.439434519999999</v>
      </c>
      <c r="E290" t="s">
        <v>3035</v>
      </c>
      <c r="F290">
        <v>119.73074149999999</v>
      </c>
      <c r="G290" t="s">
        <v>3036</v>
      </c>
      <c r="H290">
        <v>10445</v>
      </c>
      <c r="I290" t="s">
        <v>3037</v>
      </c>
    </row>
    <row r="291" spans="1:9" x14ac:dyDescent="0.25">
      <c r="A291" t="s">
        <v>3034</v>
      </c>
      <c r="B291" t="s">
        <v>3215</v>
      </c>
      <c r="C291" t="s">
        <v>3038</v>
      </c>
      <c r="D291">
        <v>29.108045149999999</v>
      </c>
      <c r="E291" t="s">
        <v>3035</v>
      </c>
      <c r="F291">
        <v>119.3965195</v>
      </c>
      <c r="G291" t="s">
        <v>3036</v>
      </c>
      <c r="H291">
        <v>26762</v>
      </c>
      <c r="I291" t="s">
        <v>3037</v>
      </c>
    </row>
    <row r="292" spans="1:9" x14ac:dyDescent="0.25">
      <c r="A292" t="s">
        <v>3034</v>
      </c>
      <c r="B292" t="s">
        <v>3216</v>
      </c>
      <c r="C292" t="s">
        <v>3038</v>
      </c>
      <c r="D292">
        <v>29.186436350000001</v>
      </c>
      <c r="E292" t="s">
        <v>3035</v>
      </c>
      <c r="F292">
        <v>119.62678270000001</v>
      </c>
      <c r="G292" t="s">
        <v>3036</v>
      </c>
      <c r="H292">
        <v>20065</v>
      </c>
      <c r="I292" t="s">
        <v>3037</v>
      </c>
    </row>
    <row r="293" spans="1:9" x14ac:dyDescent="0.25">
      <c r="A293" t="s">
        <v>3034</v>
      </c>
      <c r="B293" t="s">
        <v>3123</v>
      </c>
      <c r="C293" t="s">
        <v>3038</v>
      </c>
      <c r="D293">
        <v>30.62146641</v>
      </c>
      <c r="E293" t="s">
        <v>3035</v>
      </c>
      <c r="F293">
        <v>120.07995390000001</v>
      </c>
      <c r="G293" t="s">
        <v>3036</v>
      </c>
      <c r="H293">
        <v>22827</v>
      </c>
      <c r="I293" t="s">
        <v>3037</v>
      </c>
    </row>
    <row r="294" spans="1:9" x14ac:dyDescent="0.25">
      <c r="A294" t="s">
        <v>3034</v>
      </c>
      <c r="B294" t="s">
        <v>3536</v>
      </c>
      <c r="C294" t="s">
        <v>3038</v>
      </c>
      <c r="D294">
        <v>27.54547874</v>
      </c>
      <c r="E294" t="s">
        <v>3035</v>
      </c>
      <c r="F294">
        <v>119.7412987</v>
      </c>
      <c r="G294" t="s">
        <v>3036</v>
      </c>
      <c r="H294">
        <v>61651</v>
      </c>
      <c r="I294" t="s">
        <v>3037</v>
      </c>
    </row>
    <row r="295" spans="1:9" x14ac:dyDescent="0.25">
      <c r="A295" t="s">
        <v>3034</v>
      </c>
      <c r="B295" t="s">
        <v>3469</v>
      </c>
      <c r="C295" t="s">
        <v>3038</v>
      </c>
      <c r="D295">
        <v>28.19900857</v>
      </c>
      <c r="E295" t="s">
        <v>3035</v>
      </c>
      <c r="F295">
        <v>121.2439043</v>
      </c>
      <c r="G295" t="s">
        <v>3036</v>
      </c>
      <c r="H295">
        <v>24438</v>
      </c>
      <c r="I295" t="s">
        <v>3037</v>
      </c>
    </row>
    <row r="296" spans="1:9" x14ac:dyDescent="0.25">
      <c r="A296" t="s">
        <v>3034</v>
      </c>
      <c r="B296" t="s">
        <v>3217</v>
      </c>
      <c r="C296" t="s">
        <v>3038</v>
      </c>
      <c r="D296">
        <v>28.940441079999999</v>
      </c>
      <c r="E296" t="s">
        <v>3035</v>
      </c>
      <c r="F296">
        <v>119.7650914</v>
      </c>
      <c r="G296" t="s">
        <v>3036</v>
      </c>
      <c r="H296">
        <v>12746</v>
      </c>
      <c r="I296" t="s">
        <v>3037</v>
      </c>
    </row>
    <row r="297" spans="1:9" x14ac:dyDescent="0.25">
      <c r="A297" t="s">
        <v>3034</v>
      </c>
      <c r="B297" t="s">
        <v>3075</v>
      </c>
      <c r="C297" t="s">
        <v>3038</v>
      </c>
      <c r="D297">
        <v>29.909129740000001</v>
      </c>
      <c r="E297" t="s">
        <v>3035</v>
      </c>
      <c r="F297">
        <v>119.7389816</v>
      </c>
      <c r="G297" t="s">
        <v>3036</v>
      </c>
      <c r="H297">
        <v>12453</v>
      </c>
      <c r="I297" t="s">
        <v>3037</v>
      </c>
    </row>
    <row r="298" spans="1:9" x14ac:dyDescent="0.25">
      <c r="A298" t="s">
        <v>3034</v>
      </c>
      <c r="B298" t="s">
        <v>3537</v>
      </c>
      <c r="C298" t="s">
        <v>3038</v>
      </c>
      <c r="D298">
        <v>27.589300000000001</v>
      </c>
      <c r="E298" t="s">
        <v>3035</v>
      </c>
      <c r="F298">
        <v>120.4109</v>
      </c>
      <c r="G298" t="s">
        <v>3036</v>
      </c>
      <c r="H298">
        <v>33396</v>
      </c>
      <c r="I298" t="s">
        <v>3037</v>
      </c>
    </row>
    <row r="299" spans="1:9" x14ac:dyDescent="0.25">
      <c r="A299" t="s">
        <v>3034</v>
      </c>
      <c r="B299" t="s">
        <v>5125</v>
      </c>
      <c r="C299" t="s">
        <v>3038</v>
      </c>
      <c r="D299">
        <v>29.295274419999998</v>
      </c>
      <c r="E299" t="s">
        <v>3035</v>
      </c>
      <c r="F299">
        <v>119.62458479999999</v>
      </c>
      <c r="G299" t="s">
        <v>3036</v>
      </c>
      <c r="H299">
        <v>38159</v>
      </c>
      <c r="I299" t="s">
        <v>3037</v>
      </c>
    </row>
    <row r="300" spans="1:9" x14ac:dyDescent="0.25">
      <c r="A300" t="s">
        <v>3034</v>
      </c>
      <c r="B300" t="s">
        <v>5126</v>
      </c>
      <c r="C300" t="s">
        <v>3038</v>
      </c>
      <c r="D300">
        <v>29.721768959999999</v>
      </c>
      <c r="E300" t="s">
        <v>3035</v>
      </c>
      <c r="F300">
        <v>119.9820086</v>
      </c>
      <c r="G300" t="s">
        <v>3036</v>
      </c>
      <c r="H300">
        <v>12372</v>
      </c>
      <c r="I300" t="s">
        <v>3037</v>
      </c>
    </row>
    <row r="301" spans="1:9" x14ac:dyDescent="0.25">
      <c r="A301" t="s">
        <v>3034</v>
      </c>
      <c r="B301" t="s">
        <v>3379</v>
      </c>
      <c r="C301" t="s">
        <v>3038</v>
      </c>
      <c r="D301">
        <v>29.323191860000001</v>
      </c>
      <c r="E301" t="s">
        <v>3035</v>
      </c>
      <c r="F301">
        <v>118.3898827</v>
      </c>
      <c r="G301" t="s">
        <v>3036</v>
      </c>
      <c r="H301">
        <v>26333</v>
      </c>
      <c r="I301" t="s">
        <v>3037</v>
      </c>
    </row>
    <row r="302" spans="1:9" x14ac:dyDescent="0.25">
      <c r="A302" t="s">
        <v>3034</v>
      </c>
      <c r="B302" t="s">
        <v>3538</v>
      </c>
      <c r="C302" t="s">
        <v>3038</v>
      </c>
      <c r="D302">
        <v>27.764072339999998</v>
      </c>
      <c r="E302" t="s">
        <v>3035</v>
      </c>
      <c r="F302">
        <v>120.4273171</v>
      </c>
      <c r="G302" t="s">
        <v>3036</v>
      </c>
      <c r="H302">
        <v>54977</v>
      </c>
      <c r="I302" t="s">
        <v>3037</v>
      </c>
    </row>
    <row r="303" spans="1:9" x14ac:dyDescent="0.25">
      <c r="A303" t="s">
        <v>3034</v>
      </c>
      <c r="B303" t="s">
        <v>3218</v>
      </c>
      <c r="C303" t="s">
        <v>3038</v>
      </c>
      <c r="D303">
        <v>29.106444280000002</v>
      </c>
      <c r="E303" t="s">
        <v>3035</v>
      </c>
      <c r="F303">
        <v>120.40217149999999</v>
      </c>
      <c r="G303" t="s">
        <v>3036</v>
      </c>
      <c r="H303">
        <v>16702</v>
      </c>
      <c r="I303" t="s">
        <v>3037</v>
      </c>
    </row>
    <row r="304" spans="1:9" x14ac:dyDescent="0.25">
      <c r="A304" t="s">
        <v>3034</v>
      </c>
      <c r="B304" t="s">
        <v>3539</v>
      </c>
      <c r="C304" t="s">
        <v>3038</v>
      </c>
      <c r="D304">
        <v>27.222758030000001</v>
      </c>
      <c r="E304" t="s">
        <v>3035</v>
      </c>
      <c r="F304">
        <v>120.48657919999999</v>
      </c>
      <c r="G304" t="s">
        <v>3036</v>
      </c>
      <c r="H304">
        <v>21982</v>
      </c>
      <c r="I304" t="s">
        <v>3037</v>
      </c>
    </row>
    <row r="305" spans="1:9" x14ac:dyDescent="0.25">
      <c r="A305" t="s">
        <v>3034</v>
      </c>
      <c r="B305" t="s">
        <v>3331</v>
      </c>
      <c r="C305" t="s">
        <v>3038</v>
      </c>
      <c r="D305">
        <v>30.074100080000001</v>
      </c>
      <c r="E305" t="s">
        <v>3035</v>
      </c>
      <c r="F305">
        <v>121.0495847</v>
      </c>
      <c r="G305" t="s">
        <v>3036</v>
      </c>
      <c r="H305">
        <v>56345</v>
      </c>
      <c r="I305" t="s">
        <v>3037</v>
      </c>
    </row>
    <row r="306" spans="1:9" x14ac:dyDescent="0.25">
      <c r="A306" t="s">
        <v>3034</v>
      </c>
      <c r="B306" t="s">
        <v>3076</v>
      </c>
      <c r="C306" t="s">
        <v>3038</v>
      </c>
      <c r="D306">
        <v>29.512989869999998</v>
      </c>
      <c r="E306" t="s">
        <v>3035</v>
      </c>
      <c r="F306">
        <v>119.5267643</v>
      </c>
      <c r="G306" t="s">
        <v>3036</v>
      </c>
      <c r="H306">
        <v>40356</v>
      </c>
      <c r="I306" t="s">
        <v>3037</v>
      </c>
    </row>
    <row r="307" spans="1:9" x14ac:dyDescent="0.25">
      <c r="A307" t="s">
        <v>3034</v>
      </c>
      <c r="B307" t="s">
        <v>3219</v>
      </c>
      <c r="C307" t="s">
        <v>3038</v>
      </c>
      <c r="D307">
        <v>29.323201539999999</v>
      </c>
      <c r="E307" t="s">
        <v>3035</v>
      </c>
      <c r="F307">
        <v>119.73780530000001</v>
      </c>
      <c r="G307" t="s">
        <v>3036</v>
      </c>
      <c r="H307">
        <v>30818</v>
      </c>
      <c r="I307" t="s">
        <v>3037</v>
      </c>
    </row>
    <row r="308" spans="1:9" x14ac:dyDescent="0.25">
      <c r="A308" t="s">
        <v>3034</v>
      </c>
      <c r="B308" t="s">
        <v>3124</v>
      </c>
      <c r="C308" t="s">
        <v>3038</v>
      </c>
      <c r="D308">
        <v>31.124384849999998</v>
      </c>
      <c r="E308" t="s">
        <v>3035</v>
      </c>
      <c r="F308">
        <v>119.74224649999999</v>
      </c>
      <c r="G308" t="s">
        <v>3036</v>
      </c>
      <c r="H308">
        <v>43410</v>
      </c>
      <c r="I308" t="s">
        <v>3037</v>
      </c>
    </row>
    <row r="309" spans="1:9" x14ac:dyDescent="0.25">
      <c r="A309" t="s">
        <v>3034</v>
      </c>
      <c r="B309" t="s">
        <v>3125</v>
      </c>
      <c r="C309" t="s">
        <v>3038</v>
      </c>
      <c r="D309">
        <v>30.764772619999999</v>
      </c>
      <c r="E309" t="s">
        <v>3035</v>
      </c>
      <c r="F309">
        <v>119.7860517</v>
      </c>
      <c r="G309" t="s">
        <v>3036</v>
      </c>
      <c r="H309">
        <v>55099</v>
      </c>
      <c r="I309" t="s">
        <v>3037</v>
      </c>
    </row>
    <row r="310" spans="1:9" x14ac:dyDescent="0.25">
      <c r="A310" t="s">
        <v>3034</v>
      </c>
      <c r="B310" t="s">
        <v>3126</v>
      </c>
      <c r="C310" t="s">
        <v>3038</v>
      </c>
      <c r="D310">
        <v>30.786943600000001</v>
      </c>
      <c r="E310" t="s">
        <v>3035</v>
      </c>
      <c r="F310">
        <v>119.9853375</v>
      </c>
      <c r="G310" t="s">
        <v>3036</v>
      </c>
      <c r="H310">
        <v>14723</v>
      </c>
      <c r="I310" t="s">
        <v>3037</v>
      </c>
    </row>
    <row r="311" spans="1:9" x14ac:dyDescent="0.25">
      <c r="A311" t="s">
        <v>3034</v>
      </c>
      <c r="B311" t="s">
        <v>3127</v>
      </c>
      <c r="C311" t="s">
        <v>3038</v>
      </c>
      <c r="D311">
        <v>30.625579040000002</v>
      </c>
      <c r="E311" t="s">
        <v>3035</v>
      </c>
      <c r="F311">
        <v>119.8749545</v>
      </c>
      <c r="G311" t="s">
        <v>3036</v>
      </c>
      <c r="H311">
        <v>21552</v>
      </c>
      <c r="I311" t="s">
        <v>3037</v>
      </c>
    </row>
    <row r="312" spans="1:9" x14ac:dyDescent="0.25">
      <c r="A312" t="s">
        <v>3034</v>
      </c>
      <c r="B312" t="s">
        <v>3332</v>
      </c>
      <c r="C312" t="s">
        <v>3038</v>
      </c>
      <c r="D312">
        <v>30.06586888</v>
      </c>
      <c r="E312" t="s">
        <v>3035</v>
      </c>
      <c r="F312">
        <v>121.00373860000001</v>
      </c>
      <c r="G312" t="s">
        <v>3036</v>
      </c>
      <c r="H312">
        <v>20033</v>
      </c>
      <c r="I312" t="s">
        <v>3037</v>
      </c>
    </row>
    <row r="313" spans="1:9" x14ac:dyDescent="0.25">
      <c r="A313" t="s">
        <v>3034</v>
      </c>
      <c r="B313" t="s">
        <v>3540</v>
      </c>
      <c r="C313" t="s">
        <v>3038</v>
      </c>
      <c r="D313">
        <v>27.467578799999998</v>
      </c>
      <c r="E313" t="s">
        <v>3035</v>
      </c>
      <c r="F313">
        <v>121.0660422</v>
      </c>
      <c r="G313" t="s">
        <v>3036</v>
      </c>
      <c r="H313">
        <v>1176</v>
      </c>
      <c r="I313" t="s">
        <v>3037</v>
      </c>
    </row>
    <row r="314" spans="1:9" x14ac:dyDescent="0.25">
      <c r="A314" t="s">
        <v>3034</v>
      </c>
      <c r="B314" t="s">
        <v>3220</v>
      </c>
      <c r="C314" t="s">
        <v>3038</v>
      </c>
      <c r="D314">
        <v>29.09351659</v>
      </c>
      <c r="E314" t="s">
        <v>3035</v>
      </c>
      <c r="F314">
        <v>120.2198946</v>
      </c>
      <c r="G314" t="s">
        <v>3036</v>
      </c>
      <c r="H314">
        <v>62121</v>
      </c>
      <c r="I314" t="s">
        <v>3037</v>
      </c>
    </row>
    <row r="315" spans="1:9" x14ac:dyDescent="0.25">
      <c r="A315" t="s">
        <v>3034</v>
      </c>
      <c r="B315" t="s">
        <v>3541</v>
      </c>
      <c r="C315" t="s">
        <v>3038</v>
      </c>
      <c r="D315">
        <v>27.388372799999999</v>
      </c>
      <c r="E315" t="s">
        <v>3035</v>
      </c>
      <c r="F315">
        <v>120.3887951</v>
      </c>
      <c r="G315" t="s">
        <v>3036</v>
      </c>
      <c r="H315">
        <v>8401</v>
      </c>
      <c r="I315" t="s">
        <v>3037</v>
      </c>
    </row>
    <row r="316" spans="1:9" x14ac:dyDescent="0.25">
      <c r="A316" t="s">
        <v>3034</v>
      </c>
      <c r="B316" t="s">
        <v>3542</v>
      </c>
      <c r="C316" t="s">
        <v>3038</v>
      </c>
      <c r="D316">
        <v>28.246479000000001</v>
      </c>
      <c r="E316" t="s">
        <v>3035</v>
      </c>
      <c r="F316">
        <v>121.108345</v>
      </c>
      <c r="G316" t="s">
        <v>3036</v>
      </c>
      <c r="H316">
        <v>19413</v>
      </c>
      <c r="I316" t="s">
        <v>3037</v>
      </c>
    </row>
    <row r="317" spans="1:9" x14ac:dyDescent="0.25">
      <c r="A317" t="s">
        <v>3034</v>
      </c>
      <c r="B317" t="s">
        <v>3543</v>
      </c>
      <c r="C317" t="s">
        <v>3038</v>
      </c>
      <c r="D317">
        <v>27.924374449999998</v>
      </c>
      <c r="E317" t="s">
        <v>3035</v>
      </c>
      <c r="F317">
        <v>119.95156830000001</v>
      </c>
      <c r="G317" t="s">
        <v>3036</v>
      </c>
      <c r="H317">
        <v>15411</v>
      </c>
      <c r="I317" t="s">
        <v>3037</v>
      </c>
    </row>
    <row r="318" spans="1:9" x14ac:dyDescent="0.25">
      <c r="A318" t="s">
        <v>3034</v>
      </c>
      <c r="B318" t="s">
        <v>3128</v>
      </c>
      <c r="C318" t="s">
        <v>3038</v>
      </c>
      <c r="D318">
        <v>30.836128110000001</v>
      </c>
      <c r="E318" t="s">
        <v>3035</v>
      </c>
      <c r="F318">
        <v>120.40326949999999</v>
      </c>
      <c r="G318" t="s">
        <v>3036</v>
      </c>
      <c r="H318">
        <v>126872</v>
      </c>
      <c r="I318" t="s">
        <v>3037</v>
      </c>
    </row>
    <row r="319" spans="1:9" x14ac:dyDescent="0.25">
      <c r="A319" t="s">
        <v>3034</v>
      </c>
      <c r="B319" t="s">
        <v>3544</v>
      </c>
      <c r="C319" t="s">
        <v>3038</v>
      </c>
      <c r="D319">
        <v>27.599750820000001</v>
      </c>
      <c r="E319" t="s">
        <v>3035</v>
      </c>
      <c r="F319">
        <v>120.2414093</v>
      </c>
      <c r="G319" t="s">
        <v>3036</v>
      </c>
      <c r="H319">
        <v>17096</v>
      </c>
      <c r="I319" t="s">
        <v>3037</v>
      </c>
    </row>
    <row r="320" spans="1:9" x14ac:dyDescent="0.25">
      <c r="A320" t="s">
        <v>3034</v>
      </c>
      <c r="B320" t="s">
        <v>3545</v>
      </c>
      <c r="C320" t="s">
        <v>3038</v>
      </c>
      <c r="D320">
        <v>28.186202000000002</v>
      </c>
      <c r="E320" t="s">
        <v>3035</v>
      </c>
      <c r="F320">
        <v>121.079818</v>
      </c>
      <c r="G320" t="s">
        <v>3036</v>
      </c>
      <c r="H320">
        <v>15573</v>
      </c>
      <c r="I320" t="s">
        <v>3037</v>
      </c>
    </row>
    <row r="321" spans="1:9" x14ac:dyDescent="0.25">
      <c r="A321" t="s">
        <v>3034</v>
      </c>
      <c r="B321" t="s">
        <v>3380</v>
      </c>
      <c r="C321" t="s">
        <v>3038</v>
      </c>
      <c r="D321">
        <v>28.318331430000001</v>
      </c>
      <c r="E321" t="s">
        <v>3035</v>
      </c>
      <c r="F321">
        <v>118.5592419</v>
      </c>
      <c r="G321" t="s">
        <v>3036</v>
      </c>
      <c r="H321">
        <v>7022</v>
      </c>
      <c r="I321" t="s">
        <v>3037</v>
      </c>
    </row>
    <row r="322" spans="1:9" x14ac:dyDescent="0.25">
      <c r="A322" t="s">
        <v>3034</v>
      </c>
      <c r="B322" t="s">
        <v>3381</v>
      </c>
      <c r="C322" t="s">
        <v>3038</v>
      </c>
      <c r="D322">
        <v>28.858522069999999</v>
      </c>
      <c r="E322" t="s">
        <v>3035</v>
      </c>
      <c r="F322">
        <v>118.8343017</v>
      </c>
      <c r="G322" t="s">
        <v>3036</v>
      </c>
      <c r="H322">
        <v>26732</v>
      </c>
      <c r="I322" t="s">
        <v>3037</v>
      </c>
    </row>
    <row r="323" spans="1:9" x14ac:dyDescent="0.25">
      <c r="A323" t="s">
        <v>3034</v>
      </c>
      <c r="B323" t="s">
        <v>3470</v>
      </c>
      <c r="C323" t="s">
        <v>3038</v>
      </c>
      <c r="D323">
        <v>28.580947739999999</v>
      </c>
      <c r="E323" t="s">
        <v>3035</v>
      </c>
      <c r="F323">
        <v>120.9529296</v>
      </c>
      <c r="G323" t="s">
        <v>3036</v>
      </c>
      <c r="H323">
        <v>23182</v>
      </c>
      <c r="I323" t="s">
        <v>3037</v>
      </c>
    </row>
    <row r="324" spans="1:9" x14ac:dyDescent="0.25">
      <c r="A324" t="s">
        <v>3034</v>
      </c>
      <c r="B324" t="s">
        <v>3422</v>
      </c>
      <c r="C324" t="s">
        <v>3038</v>
      </c>
      <c r="D324">
        <v>29.594866509999999</v>
      </c>
      <c r="E324" t="s">
        <v>3035</v>
      </c>
      <c r="F324">
        <v>120.1651449</v>
      </c>
      <c r="G324" t="s">
        <v>3036</v>
      </c>
      <c r="H324">
        <v>42189</v>
      </c>
      <c r="I324" t="s">
        <v>3037</v>
      </c>
    </row>
    <row r="325" spans="1:9" x14ac:dyDescent="0.25">
      <c r="A325" t="s">
        <v>3034</v>
      </c>
      <c r="B325" t="s">
        <v>3546</v>
      </c>
      <c r="C325" t="s">
        <v>3038</v>
      </c>
      <c r="D325">
        <v>27.997938999999999</v>
      </c>
      <c r="E325" t="s">
        <v>3035</v>
      </c>
      <c r="F325">
        <v>120.8246201</v>
      </c>
      <c r="G325" t="s">
        <v>3036</v>
      </c>
      <c r="H325">
        <v>21050</v>
      </c>
      <c r="I325" t="s">
        <v>3037</v>
      </c>
    </row>
    <row r="326" spans="1:9" x14ac:dyDescent="0.25">
      <c r="A326" t="s">
        <v>3034</v>
      </c>
      <c r="B326" t="s">
        <v>3471</v>
      </c>
      <c r="C326" t="s">
        <v>3038</v>
      </c>
      <c r="D326">
        <v>28.559373149999999</v>
      </c>
      <c r="E326" t="s">
        <v>3035</v>
      </c>
      <c r="F326">
        <v>121.48979110000001</v>
      </c>
      <c r="G326" t="s">
        <v>3036</v>
      </c>
      <c r="H326">
        <v>81342</v>
      </c>
      <c r="I326" t="s">
        <v>3037</v>
      </c>
    </row>
    <row r="327" spans="1:9" x14ac:dyDescent="0.25">
      <c r="A327" t="s">
        <v>3034</v>
      </c>
      <c r="B327" t="s">
        <v>3547</v>
      </c>
      <c r="C327" t="s">
        <v>3038</v>
      </c>
      <c r="D327">
        <v>27.451865300000001</v>
      </c>
      <c r="E327" t="s">
        <v>3035</v>
      </c>
      <c r="F327">
        <v>120.1556393</v>
      </c>
      <c r="G327" t="s">
        <v>3036</v>
      </c>
      <c r="H327">
        <v>7810</v>
      </c>
      <c r="I327" t="s">
        <v>3037</v>
      </c>
    </row>
    <row r="328" spans="1:9" x14ac:dyDescent="0.25">
      <c r="A328" t="s">
        <v>3034</v>
      </c>
      <c r="B328" t="s">
        <v>3279</v>
      </c>
      <c r="C328" t="s">
        <v>3038</v>
      </c>
      <c r="D328">
        <v>27.82161863</v>
      </c>
      <c r="E328" t="s">
        <v>3035</v>
      </c>
      <c r="F328">
        <v>119.10388589999999</v>
      </c>
      <c r="G328" t="s">
        <v>3036</v>
      </c>
      <c r="H328">
        <v>2871</v>
      </c>
      <c r="I328" t="s">
        <v>3037</v>
      </c>
    </row>
    <row r="329" spans="1:9" x14ac:dyDescent="0.25">
      <c r="A329" t="s">
        <v>3034</v>
      </c>
      <c r="B329" t="s">
        <v>3472</v>
      </c>
      <c r="C329" t="s">
        <v>3038</v>
      </c>
      <c r="D329">
        <v>29.16172379</v>
      </c>
      <c r="E329" t="s">
        <v>3035</v>
      </c>
      <c r="F329">
        <v>120.8469273</v>
      </c>
      <c r="G329" t="s">
        <v>3036</v>
      </c>
      <c r="H329">
        <v>61598</v>
      </c>
      <c r="I329" t="s">
        <v>3037</v>
      </c>
    </row>
    <row r="330" spans="1:9" x14ac:dyDescent="0.25">
      <c r="A330" t="s">
        <v>3034</v>
      </c>
      <c r="B330" t="s">
        <v>3423</v>
      </c>
      <c r="C330" t="s">
        <v>3038</v>
      </c>
      <c r="D330">
        <v>29.87140879</v>
      </c>
      <c r="E330" t="s">
        <v>3035</v>
      </c>
      <c r="F330">
        <v>120.62403310000001</v>
      </c>
      <c r="G330" t="s">
        <v>3036</v>
      </c>
      <c r="H330">
        <v>48263</v>
      </c>
      <c r="I330" t="s">
        <v>3037</v>
      </c>
    </row>
    <row r="331" spans="1:9" x14ac:dyDescent="0.25">
      <c r="A331" t="s">
        <v>3034</v>
      </c>
      <c r="B331" t="s">
        <v>3548</v>
      </c>
      <c r="C331" t="s">
        <v>3038</v>
      </c>
      <c r="D331">
        <v>27.7502</v>
      </c>
      <c r="E331" t="s">
        <v>3035</v>
      </c>
      <c r="F331">
        <v>120.3733</v>
      </c>
      <c r="G331" t="s">
        <v>3036</v>
      </c>
      <c r="H331">
        <v>11385</v>
      </c>
      <c r="I331" t="s">
        <v>3037</v>
      </c>
    </row>
    <row r="332" spans="1:9" x14ac:dyDescent="0.25">
      <c r="A332" t="s">
        <v>3034</v>
      </c>
      <c r="B332" t="s">
        <v>3077</v>
      </c>
      <c r="C332" t="s">
        <v>3038</v>
      </c>
      <c r="D332">
        <v>30.405173900000001</v>
      </c>
      <c r="E332" t="s">
        <v>3035</v>
      </c>
      <c r="F332">
        <v>119.9297464</v>
      </c>
      <c r="G332" t="s">
        <v>3036</v>
      </c>
      <c r="H332">
        <v>58496</v>
      </c>
      <c r="I332" t="s">
        <v>3037</v>
      </c>
    </row>
    <row r="333" spans="1:9" x14ac:dyDescent="0.25">
      <c r="A333" t="s">
        <v>3034</v>
      </c>
      <c r="B333" t="s">
        <v>3473</v>
      </c>
      <c r="C333" t="s">
        <v>3038</v>
      </c>
      <c r="D333">
        <v>28.978387519999998</v>
      </c>
      <c r="E333" t="s">
        <v>3035</v>
      </c>
      <c r="F333">
        <v>121.62432389999999</v>
      </c>
      <c r="G333" t="s">
        <v>3036</v>
      </c>
      <c r="H333">
        <v>73223</v>
      </c>
      <c r="I333" t="s">
        <v>3037</v>
      </c>
    </row>
    <row r="334" spans="1:9" x14ac:dyDescent="0.25">
      <c r="A334" t="s">
        <v>3034</v>
      </c>
      <c r="B334" t="s">
        <v>3549</v>
      </c>
      <c r="C334" t="s">
        <v>3038</v>
      </c>
      <c r="D334">
        <v>28.166573</v>
      </c>
      <c r="E334" t="s">
        <v>3035</v>
      </c>
      <c r="F334">
        <v>121.05215699999999</v>
      </c>
      <c r="G334" t="s">
        <v>3036</v>
      </c>
      <c r="H334">
        <v>26657</v>
      </c>
      <c r="I334" t="s">
        <v>3037</v>
      </c>
    </row>
    <row r="335" spans="1:9" x14ac:dyDescent="0.25">
      <c r="A335" t="s">
        <v>3034</v>
      </c>
      <c r="B335" t="s">
        <v>3602</v>
      </c>
      <c r="C335" t="s">
        <v>3038</v>
      </c>
      <c r="D335">
        <v>30.002927360000001</v>
      </c>
      <c r="E335" t="s">
        <v>3035</v>
      </c>
      <c r="F335">
        <v>122.3876281</v>
      </c>
      <c r="G335" t="s">
        <v>3036</v>
      </c>
      <c r="H335">
        <v>10411</v>
      </c>
      <c r="I335" t="s">
        <v>3037</v>
      </c>
    </row>
    <row r="336" spans="1:9" x14ac:dyDescent="0.25">
      <c r="A336" t="s">
        <v>3034</v>
      </c>
      <c r="B336" t="s">
        <v>3078</v>
      </c>
      <c r="C336" t="s">
        <v>3038</v>
      </c>
      <c r="D336">
        <v>29.966506809999998</v>
      </c>
      <c r="E336" t="s">
        <v>3035</v>
      </c>
      <c r="F336">
        <v>120.24959990000001</v>
      </c>
      <c r="G336" t="s">
        <v>3036</v>
      </c>
      <c r="H336">
        <v>37696</v>
      </c>
      <c r="I336" t="s">
        <v>3037</v>
      </c>
    </row>
    <row r="337" spans="1:9" x14ac:dyDescent="0.25">
      <c r="A337" t="s">
        <v>3034</v>
      </c>
      <c r="B337" t="s">
        <v>3160</v>
      </c>
      <c r="C337" t="s">
        <v>3038</v>
      </c>
      <c r="D337">
        <v>30.690674869999999</v>
      </c>
      <c r="E337" t="s">
        <v>3035</v>
      </c>
      <c r="F337">
        <v>120.5857424</v>
      </c>
      <c r="G337" t="s">
        <v>3036</v>
      </c>
      <c r="H337">
        <v>95327</v>
      </c>
      <c r="I337" t="s">
        <v>3037</v>
      </c>
    </row>
    <row r="338" spans="1:9" x14ac:dyDescent="0.25">
      <c r="A338" t="s">
        <v>3034</v>
      </c>
      <c r="B338" t="s">
        <v>5127</v>
      </c>
      <c r="C338" t="s">
        <v>3038</v>
      </c>
      <c r="D338">
        <v>28.79832876</v>
      </c>
      <c r="E338" t="s">
        <v>3035</v>
      </c>
      <c r="F338">
        <v>120.0732375</v>
      </c>
      <c r="G338" t="s">
        <v>3036</v>
      </c>
      <c r="H338">
        <v>22433</v>
      </c>
      <c r="I338" t="s">
        <v>3037</v>
      </c>
    </row>
    <row r="339" spans="1:9" x14ac:dyDescent="0.25">
      <c r="A339" t="s">
        <v>3034</v>
      </c>
      <c r="B339" t="s">
        <v>5128</v>
      </c>
      <c r="C339" t="s">
        <v>3038</v>
      </c>
      <c r="D339">
        <v>27.583100000000002</v>
      </c>
      <c r="E339" t="s">
        <v>3035</v>
      </c>
      <c r="F339">
        <v>120.5044</v>
      </c>
      <c r="G339" t="s">
        <v>3036</v>
      </c>
      <c r="H339">
        <v>16180</v>
      </c>
      <c r="I339" t="s">
        <v>3037</v>
      </c>
    </row>
    <row r="340" spans="1:9" x14ac:dyDescent="0.25">
      <c r="A340" t="s">
        <v>3034</v>
      </c>
      <c r="B340" t="s">
        <v>3079</v>
      </c>
      <c r="C340" t="s">
        <v>3038</v>
      </c>
      <c r="D340">
        <v>30.057611250000001</v>
      </c>
      <c r="E340" t="s">
        <v>3035</v>
      </c>
      <c r="F340">
        <v>119.36316050000001</v>
      </c>
      <c r="G340" t="s">
        <v>3036</v>
      </c>
      <c r="H340">
        <v>16965</v>
      </c>
      <c r="I340" t="s">
        <v>3037</v>
      </c>
    </row>
    <row r="341" spans="1:9" x14ac:dyDescent="0.25">
      <c r="A341" t="s">
        <v>3034</v>
      </c>
      <c r="B341" t="s">
        <v>3080</v>
      </c>
      <c r="C341" t="s">
        <v>3038</v>
      </c>
      <c r="D341">
        <v>29.609035720000001</v>
      </c>
      <c r="E341" t="s">
        <v>3035</v>
      </c>
      <c r="F341">
        <v>119.1007425</v>
      </c>
      <c r="G341" t="s">
        <v>3036</v>
      </c>
      <c r="H341">
        <v>103396</v>
      </c>
      <c r="I341" t="s">
        <v>3037</v>
      </c>
    </row>
    <row r="342" spans="1:9" x14ac:dyDescent="0.25">
      <c r="A342" t="s">
        <v>3034</v>
      </c>
      <c r="B342" t="s">
        <v>3333</v>
      </c>
      <c r="C342" t="s">
        <v>3038</v>
      </c>
      <c r="D342">
        <v>29.469539730000001</v>
      </c>
      <c r="E342" t="s">
        <v>3035</v>
      </c>
      <c r="F342">
        <v>121.5268221</v>
      </c>
      <c r="G342" t="s">
        <v>3036</v>
      </c>
      <c r="H342">
        <v>18214</v>
      </c>
      <c r="I342" t="s">
        <v>3037</v>
      </c>
    </row>
    <row r="343" spans="1:9" x14ac:dyDescent="0.25">
      <c r="A343" t="s">
        <v>3034</v>
      </c>
      <c r="B343" t="s">
        <v>3334</v>
      </c>
      <c r="C343" t="s">
        <v>3038</v>
      </c>
      <c r="D343">
        <v>29.48648318</v>
      </c>
      <c r="E343" t="s">
        <v>3035</v>
      </c>
      <c r="F343">
        <v>121.79831179999999</v>
      </c>
      <c r="G343" t="s">
        <v>3036</v>
      </c>
      <c r="H343">
        <v>15744</v>
      </c>
      <c r="I343" t="s">
        <v>3037</v>
      </c>
    </row>
    <row r="344" spans="1:9" x14ac:dyDescent="0.25">
      <c r="A344" t="s">
        <v>3034</v>
      </c>
      <c r="B344" t="s">
        <v>3129</v>
      </c>
      <c r="C344" t="s">
        <v>3038</v>
      </c>
      <c r="D344">
        <v>30.666599940000001</v>
      </c>
      <c r="E344" t="s">
        <v>3035</v>
      </c>
      <c r="F344">
        <v>120.24145609999999</v>
      </c>
      <c r="G344" t="s">
        <v>3036</v>
      </c>
      <c r="H344">
        <v>18630</v>
      </c>
      <c r="I344" t="s">
        <v>3037</v>
      </c>
    </row>
    <row r="345" spans="1:9" x14ac:dyDescent="0.25">
      <c r="A345" t="s">
        <v>3034</v>
      </c>
      <c r="B345" t="s">
        <v>3550</v>
      </c>
      <c r="C345" t="s">
        <v>3038</v>
      </c>
      <c r="D345">
        <v>27.464919160000001</v>
      </c>
      <c r="E345" t="s">
        <v>3035</v>
      </c>
      <c r="F345">
        <v>120.5414086</v>
      </c>
      <c r="G345" t="s">
        <v>3036</v>
      </c>
      <c r="H345">
        <v>72000</v>
      </c>
      <c r="I345" t="s">
        <v>3037</v>
      </c>
    </row>
    <row r="346" spans="1:9" x14ac:dyDescent="0.25">
      <c r="A346" t="s">
        <v>3034</v>
      </c>
      <c r="B346" t="s">
        <v>3081</v>
      </c>
      <c r="C346" t="s">
        <v>3038</v>
      </c>
      <c r="D346">
        <v>29.648600210000001</v>
      </c>
      <c r="E346" t="s">
        <v>3035</v>
      </c>
      <c r="F346">
        <v>119.5499071</v>
      </c>
      <c r="G346" t="s">
        <v>3036</v>
      </c>
      <c r="H346">
        <v>41220</v>
      </c>
      <c r="I346" t="s">
        <v>3037</v>
      </c>
    </row>
    <row r="347" spans="1:9" x14ac:dyDescent="0.25">
      <c r="A347" t="s">
        <v>3034</v>
      </c>
      <c r="B347" t="s">
        <v>3335</v>
      </c>
      <c r="C347" t="s">
        <v>3038</v>
      </c>
      <c r="D347">
        <v>29.239637349999999</v>
      </c>
      <c r="E347" t="s">
        <v>3035</v>
      </c>
      <c r="F347">
        <v>121.3441868</v>
      </c>
      <c r="G347" t="s">
        <v>3036</v>
      </c>
      <c r="H347">
        <v>20030</v>
      </c>
      <c r="I347" t="s">
        <v>3037</v>
      </c>
    </row>
    <row r="348" spans="1:9" x14ac:dyDescent="0.25">
      <c r="A348" t="s">
        <v>3034</v>
      </c>
      <c r="B348" t="s">
        <v>3221</v>
      </c>
      <c r="C348" t="s">
        <v>3038</v>
      </c>
      <c r="D348">
        <v>29.03210091</v>
      </c>
      <c r="E348" t="s">
        <v>3035</v>
      </c>
      <c r="F348">
        <v>120.3332774</v>
      </c>
      <c r="G348" t="s">
        <v>3036</v>
      </c>
      <c r="H348">
        <v>38963</v>
      </c>
      <c r="I348" t="s">
        <v>3037</v>
      </c>
    </row>
    <row r="349" spans="1:9" x14ac:dyDescent="0.25">
      <c r="A349" t="s">
        <v>3034</v>
      </c>
      <c r="B349" t="s">
        <v>3130</v>
      </c>
      <c r="C349" t="s">
        <v>3038</v>
      </c>
      <c r="D349">
        <v>30.554783700000002</v>
      </c>
      <c r="E349" t="s">
        <v>3035</v>
      </c>
      <c r="F349">
        <v>120.0833935</v>
      </c>
      <c r="G349" t="s">
        <v>3036</v>
      </c>
      <c r="H349">
        <v>48479</v>
      </c>
      <c r="I349" t="s">
        <v>3037</v>
      </c>
    </row>
    <row r="350" spans="1:9" x14ac:dyDescent="0.25">
      <c r="A350" t="s">
        <v>3034</v>
      </c>
      <c r="B350" t="s">
        <v>3551</v>
      </c>
      <c r="C350" t="s">
        <v>3038</v>
      </c>
      <c r="D350">
        <v>27.485270809999999</v>
      </c>
      <c r="E350" t="s">
        <v>3035</v>
      </c>
      <c r="F350">
        <v>120.240495</v>
      </c>
      <c r="G350" t="s">
        <v>3036</v>
      </c>
      <c r="H350">
        <v>32379</v>
      </c>
      <c r="I350" t="s">
        <v>3037</v>
      </c>
    </row>
    <row r="351" spans="1:9" x14ac:dyDescent="0.25">
      <c r="A351" t="s">
        <v>3034</v>
      </c>
      <c r="B351" t="s">
        <v>5129</v>
      </c>
      <c r="C351" t="s">
        <v>3038</v>
      </c>
      <c r="D351">
        <v>30.160402569999999</v>
      </c>
      <c r="E351" t="s">
        <v>3035</v>
      </c>
      <c r="F351">
        <v>121.35046560000001</v>
      </c>
      <c r="G351" t="s">
        <v>3036</v>
      </c>
      <c r="H351">
        <v>50251</v>
      </c>
      <c r="I351" t="s">
        <v>3037</v>
      </c>
    </row>
    <row r="352" spans="1:9" x14ac:dyDescent="0.25">
      <c r="A352" t="s">
        <v>3034</v>
      </c>
      <c r="B352" t="s">
        <v>5130</v>
      </c>
      <c r="C352" t="s">
        <v>3038</v>
      </c>
      <c r="D352">
        <v>28.184203950000001</v>
      </c>
      <c r="E352" t="s">
        <v>3035</v>
      </c>
      <c r="F352">
        <v>120.4673334</v>
      </c>
      <c r="G352" t="s">
        <v>3036</v>
      </c>
      <c r="H352">
        <v>74839</v>
      </c>
      <c r="I352" t="s">
        <v>3037</v>
      </c>
    </row>
    <row r="353" spans="1:9" x14ac:dyDescent="0.25">
      <c r="A353" t="s">
        <v>3034</v>
      </c>
      <c r="B353" t="s">
        <v>3552</v>
      </c>
      <c r="C353" t="s">
        <v>3038</v>
      </c>
      <c r="D353">
        <v>28.21903721</v>
      </c>
      <c r="E353" t="s">
        <v>3035</v>
      </c>
      <c r="F353">
        <v>120.5403254</v>
      </c>
      <c r="G353" t="s">
        <v>3036</v>
      </c>
      <c r="H353">
        <v>37904</v>
      </c>
      <c r="I353" t="s">
        <v>3037</v>
      </c>
    </row>
    <row r="354" spans="1:9" x14ac:dyDescent="0.25">
      <c r="A354" t="s">
        <v>3034</v>
      </c>
      <c r="B354" t="s">
        <v>3553</v>
      </c>
      <c r="C354" t="s">
        <v>3038</v>
      </c>
      <c r="D354">
        <v>28.002600000000001</v>
      </c>
      <c r="E354" t="s">
        <v>3035</v>
      </c>
      <c r="F354">
        <v>120.8793</v>
      </c>
      <c r="G354" t="s">
        <v>3036</v>
      </c>
      <c r="H354">
        <v>27814</v>
      </c>
      <c r="I354" t="s">
        <v>3037</v>
      </c>
    </row>
    <row r="355" spans="1:9" x14ac:dyDescent="0.25">
      <c r="A355" t="s">
        <v>3034</v>
      </c>
      <c r="B355" t="s">
        <v>3474</v>
      </c>
      <c r="C355" t="s">
        <v>3038</v>
      </c>
      <c r="D355">
        <v>28.266603790000001</v>
      </c>
      <c r="E355" t="s">
        <v>3035</v>
      </c>
      <c r="F355">
        <v>121.28650829999999</v>
      </c>
      <c r="G355" t="s">
        <v>3036</v>
      </c>
      <c r="H355">
        <v>71536</v>
      </c>
      <c r="I355" t="s">
        <v>3037</v>
      </c>
    </row>
    <row r="356" spans="1:9" x14ac:dyDescent="0.25">
      <c r="A356" t="s">
        <v>3034</v>
      </c>
      <c r="B356" t="s">
        <v>3554</v>
      </c>
      <c r="C356" t="s">
        <v>3038</v>
      </c>
      <c r="D356">
        <v>28.2726489</v>
      </c>
      <c r="E356" t="s">
        <v>3035</v>
      </c>
      <c r="F356">
        <v>121.11412989999999</v>
      </c>
      <c r="G356" t="s">
        <v>3036</v>
      </c>
      <c r="H356">
        <v>34860</v>
      </c>
      <c r="I356" t="s">
        <v>3037</v>
      </c>
    </row>
    <row r="357" spans="1:9" x14ac:dyDescent="0.25">
      <c r="A357" t="s">
        <v>3034</v>
      </c>
      <c r="B357" t="s">
        <v>3082</v>
      </c>
      <c r="C357" t="s">
        <v>3038</v>
      </c>
      <c r="D357">
        <v>30.111238570000001</v>
      </c>
      <c r="E357" t="s">
        <v>3035</v>
      </c>
      <c r="F357">
        <v>118.96011</v>
      </c>
      <c r="G357" t="s">
        <v>3036</v>
      </c>
      <c r="H357">
        <v>16910</v>
      </c>
      <c r="I357" t="s">
        <v>3037</v>
      </c>
    </row>
    <row r="358" spans="1:9" x14ac:dyDescent="0.25">
      <c r="A358" t="s">
        <v>3034</v>
      </c>
      <c r="B358" t="s">
        <v>3382</v>
      </c>
      <c r="C358" t="s">
        <v>3038</v>
      </c>
      <c r="D358">
        <v>28.89708152</v>
      </c>
      <c r="E358" t="s">
        <v>3035</v>
      </c>
      <c r="F358">
        <v>118.60035929999999</v>
      </c>
      <c r="G358" t="s">
        <v>3036</v>
      </c>
      <c r="H358">
        <v>25097</v>
      </c>
      <c r="I358" t="s">
        <v>3037</v>
      </c>
    </row>
    <row r="359" spans="1:9" x14ac:dyDescent="0.25">
      <c r="A359" t="s">
        <v>3034</v>
      </c>
      <c r="B359" t="s">
        <v>3336</v>
      </c>
      <c r="C359" t="s">
        <v>3038</v>
      </c>
      <c r="D359">
        <v>29.841610450000001</v>
      </c>
      <c r="E359" t="s">
        <v>3035</v>
      </c>
      <c r="F359">
        <v>121.6351605</v>
      </c>
      <c r="G359" t="s">
        <v>3036</v>
      </c>
      <c r="H359">
        <v>72654</v>
      </c>
      <c r="I359" t="s">
        <v>3037</v>
      </c>
    </row>
    <row r="360" spans="1:9" x14ac:dyDescent="0.25">
      <c r="A360" t="s">
        <v>3034</v>
      </c>
      <c r="B360" t="s">
        <v>3383</v>
      </c>
      <c r="C360" t="s">
        <v>3038</v>
      </c>
      <c r="D360">
        <v>28.874977049999998</v>
      </c>
      <c r="E360" t="s">
        <v>3035</v>
      </c>
      <c r="F360">
        <v>118.3386059</v>
      </c>
      <c r="G360" t="s">
        <v>3036</v>
      </c>
      <c r="H360">
        <v>22276</v>
      </c>
      <c r="I360" t="s">
        <v>3037</v>
      </c>
    </row>
    <row r="361" spans="1:9" x14ac:dyDescent="0.25">
      <c r="A361" t="s">
        <v>3034</v>
      </c>
      <c r="B361" t="s">
        <v>3337</v>
      </c>
      <c r="C361" t="s">
        <v>3038</v>
      </c>
      <c r="D361">
        <v>29.573220289999998</v>
      </c>
      <c r="E361" t="s">
        <v>3035</v>
      </c>
      <c r="F361">
        <v>121.6283815</v>
      </c>
      <c r="G361" t="s">
        <v>3036</v>
      </c>
      <c r="H361">
        <v>20576</v>
      </c>
      <c r="I361" t="s">
        <v>3037</v>
      </c>
    </row>
    <row r="362" spans="1:9" x14ac:dyDescent="0.25">
      <c r="A362" t="s">
        <v>3034</v>
      </c>
      <c r="B362" t="s">
        <v>3384</v>
      </c>
      <c r="C362" t="s">
        <v>3038</v>
      </c>
      <c r="D362">
        <v>29.417679580000001</v>
      </c>
      <c r="E362" t="s">
        <v>3035</v>
      </c>
      <c r="F362">
        <v>118.3090797</v>
      </c>
      <c r="G362" t="s">
        <v>3036</v>
      </c>
      <c r="H362">
        <v>3790</v>
      </c>
      <c r="I362" t="s">
        <v>3037</v>
      </c>
    </row>
    <row r="363" spans="1:9" x14ac:dyDescent="0.25">
      <c r="A363" t="s">
        <v>3034</v>
      </c>
      <c r="B363" t="s">
        <v>3385</v>
      </c>
      <c r="C363" t="s">
        <v>3038</v>
      </c>
      <c r="D363">
        <v>28.898678520000001</v>
      </c>
      <c r="E363" t="s">
        <v>3035</v>
      </c>
      <c r="F363">
        <v>119.0671911</v>
      </c>
      <c r="G363" t="s">
        <v>3036</v>
      </c>
      <c r="H363">
        <v>14714</v>
      </c>
      <c r="I363" t="s">
        <v>3037</v>
      </c>
    </row>
    <row r="364" spans="1:9" x14ac:dyDescent="0.25">
      <c r="A364" t="s">
        <v>3034</v>
      </c>
      <c r="B364" t="s">
        <v>3222</v>
      </c>
      <c r="C364" t="s">
        <v>3038</v>
      </c>
      <c r="D364">
        <v>28.834100249999999</v>
      </c>
      <c r="E364" t="s">
        <v>3035</v>
      </c>
      <c r="F364">
        <v>119.88412460000001</v>
      </c>
      <c r="G364" t="s">
        <v>3036</v>
      </c>
      <c r="H364">
        <v>31871</v>
      </c>
      <c r="I364" t="s">
        <v>3037</v>
      </c>
    </row>
    <row r="365" spans="1:9" x14ac:dyDescent="0.25">
      <c r="A365" t="s">
        <v>3034</v>
      </c>
      <c r="B365" t="s">
        <v>3603</v>
      </c>
      <c r="C365" t="s">
        <v>3038</v>
      </c>
      <c r="D365">
        <v>30.449905609999998</v>
      </c>
      <c r="E365" t="s">
        <v>3035</v>
      </c>
      <c r="F365">
        <v>122.3519629</v>
      </c>
      <c r="G365" t="s">
        <v>3036</v>
      </c>
      <c r="H365">
        <v>53216</v>
      </c>
      <c r="I365" t="s">
        <v>3037</v>
      </c>
    </row>
    <row r="366" spans="1:9" x14ac:dyDescent="0.25">
      <c r="A366" t="s">
        <v>3034</v>
      </c>
      <c r="B366" t="s">
        <v>3223</v>
      </c>
      <c r="C366" t="s">
        <v>3038</v>
      </c>
      <c r="D366">
        <v>28.880953470000001</v>
      </c>
      <c r="E366" t="s">
        <v>3035</v>
      </c>
      <c r="F366">
        <v>120.42685849999999</v>
      </c>
      <c r="G366" t="s">
        <v>3036</v>
      </c>
      <c r="H366">
        <v>9348</v>
      </c>
      <c r="I366" t="s">
        <v>3037</v>
      </c>
    </row>
    <row r="367" spans="1:9" x14ac:dyDescent="0.25">
      <c r="A367" t="s">
        <v>3034</v>
      </c>
      <c r="B367" t="s">
        <v>3280</v>
      </c>
      <c r="C367" t="s">
        <v>3038</v>
      </c>
      <c r="D367">
        <v>28.030673100000001</v>
      </c>
      <c r="E367" t="s">
        <v>3035</v>
      </c>
      <c r="F367">
        <v>120.23535750000001</v>
      </c>
      <c r="G367" t="s">
        <v>3036</v>
      </c>
      <c r="H367">
        <v>5432</v>
      </c>
      <c r="I367" t="s">
        <v>3037</v>
      </c>
    </row>
    <row r="368" spans="1:9" x14ac:dyDescent="0.25">
      <c r="A368" t="s">
        <v>3034</v>
      </c>
      <c r="B368" t="s">
        <v>3424</v>
      </c>
      <c r="C368" t="s">
        <v>3038</v>
      </c>
      <c r="D368">
        <v>29.33566759</v>
      </c>
      <c r="E368" t="s">
        <v>3035</v>
      </c>
      <c r="F368">
        <v>120.9375441</v>
      </c>
      <c r="G368" t="s">
        <v>3036</v>
      </c>
      <c r="H368">
        <v>24530</v>
      </c>
      <c r="I368" t="s">
        <v>3037</v>
      </c>
    </row>
    <row r="369" spans="1:9" x14ac:dyDescent="0.25">
      <c r="A369" t="s">
        <v>3034</v>
      </c>
      <c r="B369" t="s">
        <v>3475</v>
      </c>
      <c r="C369" t="s">
        <v>3038</v>
      </c>
      <c r="D369">
        <v>28.381621389999999</v>
      </c>
      <c r="E369" t="s">
        <v>3035</v>
      </c>
      <c r="F369">
        <v>121.5141433</v>
      </c>
      <c r="G369" t="s">
        <v>3036</v>
      </c>
      <c r="H369">
        <v>111652</v>
      </c>
      <c r="I369" t="s">
        <v>3037</v>
      </c>
    </row>
    <row r="370" spans="1:9" x14ac:dyDescent="0.25">
      <c r="A370" t="s">
        <v>3034</v>
      </c>
      <c r="B370" t="s">
        <v>3084</v>
      </c>
      <c r="C370" t="s">
        <v>3038</v>
      </c>
      <c r="D370">
        <v>29.513564769999999</v>
      </c>
      <c r="E370" t="s">
        <v>3035</v>
      </c>
      <c r="F370">
        <v>119.6335777</v>
      </c>
      <c r="G370" t="s">
        <v>3036</v>
      </c>
      <c r="H370">
        <v>18356</v>
      </c>
      <c r="I370" t="s">
        <v>3037</v>
      </c>
    </row>
    <row r="371" spans="1:9" x14ac:dyDescent="0.25">
      <c r="A371" t="s">
        <v>3034</v>
      </c>
      <c r="B371" t="s">
        <v>3083</v>
      </c>
      <c r="C371" t="s">
        <v>3038</v>
      </c>
      <c r="D371">
        <v>30.324330929999999</v>
      </c>
      <c r="E371" t="s">
        <v>3035</v>
      </c>
      <c r="F371">
        <v>120.0559059</v>
      </c>
      <c r="G371" t="s">
        <v>3036</v>
      </c>
      <c r="H371">
        <v>132631</v>
      </c>
      <c r="I371" t="s">
        <v>3037</v>
      </c>
    </row>
    <row r="372" spans="1:9" x14ac:dyDescent="0.25">
      <c r="A372" t="s">
        <v>3034</v>
      </c>
      <c r="B372" t="s">
        <v>3338</v>
      </c>
      <c r="C372" t="s">
        <v>3038</v>
      </c>
      <c r="D372">
        <v>29.14574107</v>
      </c>
      <c r="E372" t="s">
        <v>3035</v>
      </c>
      <c r="F372">
        <v>121.30359919999999</v>
      </c>
      <c r="G372" t="s">
        <v>3036</v>
      </c>
      <c r="H372">
        <v>11140</v>
      </c>
      <c r="I372" t="s">
        <v>3037</v>
      </c>
    </row>
    <row r="373" spans="1:9" x14ac:dyDescent="0.25">
      <c r="A373" t="s">
        <v>3034</v>
      </c>
      <c r="B373" t="s">
        <v>3476</v>
      </c>
      <c r="C373" t="s">
        <v>3038</v>
      </c>
      <c r="D373">
        <v>29.085910420000001</v>
      </c>
      <c r="E373" t="s">
        <v>3035</v>
      </c>
      <c r="F373">
        <v>121.15485820000001</v>
      </c>
      <c r="G373" t="s">
        <v>3036</v>
      </c>
      <c r="H373">
        <v>19177</v>
      </c>
      <c r="I373" t="s">
        <v>3037</v>
      </c>
    </row>
    <row r="374" spans="1:9" x14ac:dyDescent="0.25">
      <c r="A374" t="s">
        <v>3034</v>
      </c>
      <c r="B374" t="s">
        <v>3425</v>
      </c>
      <c r="C374" t="s">
        <v>3038</v>
      </c>
      <c r="D374">
        <v>29.756199639999998</v>
      </c>
      <c r="E374" t="s">
        <v>3035</v>
      </c>
      <c r="F374">
        <v>120.8044562</v>
      </c>
      <c r="G374" t="s">
        <v>3036</v>
      </c>
      <c r="H374">
        <v>38955</v>
      </c>
      <c r="I374" t="s">
        <v>3037</v>
      </c>
    </row>
    <row r="375" spans="1:9" x14ac:dyDescent="0.25">
      <c r="A375" t="s">
        <v>3034</v>
      </c>
      <c r="B375" t="s">
        <v>3555</v>
      </c>
      <c r="C375" t="s">
        <v>3038</v>
      </c>
      <c r="D375">
        <v>27.440394600000001</v>
      </c>
      <c r="E375" t="s">
        <v>3035</v>
      </c>
      <c r="F375">
        <v>119.8611178</v>
      </c>
      <c r="G375" t="s">
        <v>3036</v>
      </c>
      <c r="H375">
        <v>15593</v>
      </c>
      <c r="I375" t="s">
        <v>3037</v>
      </c>
    </row>
    <row r="376" spans="1:9" x14ac:dyDescent="0.25">
      <c r="A376" t="s">
        <v>3034</v>
      </c>
      <c r="B376" t="s">
        <v>3339</v>
      </c>
      <c r="C376" t="s">
        <v>3038</v>
      </c>
      <c r="D376">
        <v>30.032515790000001</v>
      </c>
      <c r="E376" t="s">
        <v>3035</v>
      </c>
      <c r="F376">
        <v>121.35967410000001</v>
      </c>
      <c r="G376" t="s">
        <v>3036</v>
      </c>
      <c r="H376">
        <v>32752</v>
      </c>
      <c r="I376" t="s">
        <v>3037</v>
      </c>
    </row>
    <row r="377" spans="1:9" x14ac:dyDescent="0.25">
      <c r="A377" t="s">
        <v>3034</v>
      </c>
      <c r="B377" t="s">
        <v>3477</v>
      </c>
      <c r="C377" t="s">
        <v>3038</v>
      </c>
      <c r="D377">
        <v>28.555962919999999</v>
      </c>
      <c r="E377" t="s">
        <v>3035</v>
      </c>
      <c r="F377">
        <v>121.1697782</v>
      </c>
      <c r="G377" t="s">
        <v>3036</v>
      </c>
      <c r="H377">
        <v>20863</v>
      </c>
      <c r="I377" t="s">
        <v>3037</v>
      </c>
    </row>
    <row r="378" spans="1:9" x14ac:dyDescent="0.25">
      <c r="A378" t="s">
        <v>3034</v>
      </c>
      <c r="B378" t="s">
        <v>3478</v>
      </c>
      <c r="C378" t="s">
        <v>3038</v>
      </c>
      <c r="D378">
        <v>28.23823878</v>
      </c>
      <c r="E378" t="s">
        <v>3035</v>
      </c>
      <c r="F378">
        <v>121.38839900000001</v>
      </c>
      <c r="G378" t="s">
        <v>3036</v>
      </c>
      <c r="H378">
        <v>25958</v>
      </c>
      <c r="I378" t="s">
        <v>3037</v>
      </c>
    </row>
    <row r="379" spans="1:9" x14ac:dyDescent="0.25">
      <c r="A379" t="s">
        <v>3034</v>
      </c>
      <c r="B379" t="s">
        <v>3386</v>
      </c>
      <c r="C379" t="s">
        <v>3038</v>
      </c>
      <c r="D379">
        <v>29.257270439999999</v>
      </c>
      <c r="E379" t="s">
        <v>3035</v>
      </c>
      <c r="F379">
        <v>118.9137169</v>
      </c>
      <c r="G379" t="s">
        <v>3036</v>
      </c>
      <c r="H379">
        <v>22610</v>
      </c>
      <c r="I379" t="s">
        <v>3037</v>
      </c>
    </row>
    <row r="380" spans="1:9" x14ac:dyDescent="0.25">
      <c r="A380" t="s">
        <v>3034</v>
      </c>
      <c r="B380" t="s">
        <v>3224</v>
      </c>
      <c r="C380" t="s">
        <v>3038</v>
      </c>
      <c r="D380">
        <v>29.125897309999999</v>
      </c>
      <c r="E380" t="s">
        <v>3035</v>
      </c>
      <c r="F380">
        <v>120.6507087</v>
      </c>
      <c r="G380" t="s">
        <v>3036</v>
      </c>
      <c r="H380">
        <v>13856</v>
      </c>
      <c r="I380" t="s">
        <v>3037</v>
      </c>
    </row>
    <row r="381" spans="1:9" x14ac:dyDescent="0.25">
      <c r="A381" t="s">
        <v>3034</v>
      </c>
      <c r="B381" t="s">
        <v>3479</v>
      </c>
      <c r="C381" t="s">
        <v>3038</v>
      </c>
      <c r="D381">
        <v>28.751158790000002</v>
      </c>
      <c r="E381" t="s">
        <v>3035</v>
      </c>
      <c r="F381">
        <v>121.6789534</v>
      </c>
      <c r="G381" t="s">
        <v>3036</v>
      </c>
      <c r="H381">
        <v>44060</v>
      </c>
      <c r="I381" t="s">
        <v>3037</v>
      </c>
    </row>
    <row r="382" spans="1:9" x14ac:dyDescent="0.25">
      <c r="A382" t="s">
        <v>3034</v>
      </c>
      <c r="B382" t="s">
        <v>3426</v>
      </c>
      <c r="C382" t="s">
        <v>3038</v>
      </c>
      <c r="D382">
        <v>29.883592589999999</v>
      </c>
      <c r="E382" t="s">
        <v>3035</v>
      </c>
      <c r="F382">
        <v>120.84616370000001</v>
      </c>
      <c r="G382" t="s">
        <v>3036</v>
      </c>
      <c r="H382">
        <v>20717</v>
      </c>
      <c r="I382" t="s">
        <v>3037</v>
      </c>
    </row>
    <row r="383" spans="1:9" x14ac:dyDescent="0.25">
      <c r="A383" t="s">
        <v>3034</v>
      </c>
      <c r="B383" t="s">
        <v>3225</v>
      </c>
      <c r="C383" t="s">
        <v>3038</v>
      </c>
      <c r="D383">
        <v>29.309955510000002</v>
      </c>
      <c r="E383" t="s">
        <v>3035</v>
      </c>
      <c r="F383">
        <v>119.8939091</v>
      </c>
      <c r="G383" t="s">
        <v>3036</v>
      </c>
      <c r="H383">
        <v>54500</v>
      </c>
      <c r="I383" t="s">
        <v>3037</v>
      </c>
    </row>
    <row r="384" spans="1:9" x14ac:dyDescent="0.25">
      <c r="A384" t="s">
        <v>3034</v>
      </c>
      <c r="B384" t="s">
        <v>3281</v>
      </c>
      <c r="C384" t="s">
        <v>3038</v>
      </c>
      <c r="D384">
        <v>27.934570310000002</v>
      </c>
      <c r="E384" t="s">
        <v>3035</v>
      </c>
      <c r="F384">
        <v>118.852239</v>
      </c>
      <c r="G384" t="s">
        <v>3036</v>
      </c>
      <c r="H384">
        <v>11703</v>
      </c>
      <c r="I384" t="s">
        <v>3037</v>
      </c>
    </row>
    <row r="385" spans="1:9" x14ac:dyDescent="0.25">
      <c r="A385" t="s">
        <v>3034</v>
      </c>
      <c r="B385" t="s">
        <v>3387</v>
      </c>
      <c r="C385" t="s">
        <v>3038</v>
      </c>
      <c r="D385">
        <v>28.76334194</v>
      </c>
      <c r="E385" t="s">
        <v>3035</v>
      </c>
      <c r="F385">
        <v>118.7169389</v>
      </c>
      <c r="G385" t="s">
        <v>3036</v>
      </c>
      <c r="H385">
        <v>32679</v>
      </c>
      <c r="I385" t="s">
        <v>3037</v>
      </c>
    </row>
    <row r="386" spans="1:9" x14ac:dyDescent="0.25">
      <c r="A386" t="s">
        <v>3034</v>
      </c>
      <c r="B386" t="s">
        <v>3282</v>
      </c>
      <c r="C386" t="s">
        <v>3038</v>
      </c>
      <c r="D386">
        <v>28.069595280000001</v>
      </c>
      <c r="E386" t="s">
        <v>3035</v>
      </c>
      <c r="F386">
        <v>120.2976816</v>
      </c>
      <c r="G386" t="s">
        <v>3036</v>
      </c>
      <c r="H386">
        <v>8010</v>
      </c>
      <c r="I386" t="s">
        <v>3037</v>
      </c>
    </row>
    <row r="387" spans="1:9" x14ac:dyDescent="0.25">
      <c r="A387" t="s">
        <v>3034</v>
      </c>
      <c r="B387" t="s">
        <v>3131</v>
      </c>
      <c r="C387" t="s">
        <v>3038</v>
      </c>
      <c r="D387">
        <v>30.68724774</v>
      </c>
      <c r="E387" t="s">
        <v>3035</v>
      </c>
      <c r="F387">
        <v>120.31590250000001</v>
      </c>
      <c r="G387" t="s">
        <v>3036</v>
      </c>
      <c r="H387">
        <v>28079</v>
      </c>
      <c r="I387" t="s">
        <v>3037</v>
      </c>
    </row>
    <row r="388" spans="1:9" x14ac:dyDescent="0.25">
      <c r="A388" t="s">
        <v>3034</v>
      </c>
      <c r="B388" t="s">
        <v>3556</v>
      </c>
      <c r="C388" t="s">
        <v>3038</v>
      </c>
      <c r="D388">
        <v>27.655214260000001</v>
      </c>
      <c r="E388" t="s">
        <v>3035</v>
      </c>
      <c r="F388">
        <v>120.1968251</v>
      </c>
      <c r="G388" t="s">
        <v>3036</v>
      </c>
      <c r="H388">
        <v>17308</v>
      </c>
      <c r="I388" t="s">
        <v>3037</v>
      </c>
    </row>
    <row r="389" spans="1:9" x14ac:dyDescent="0.25">
      <c r="A389" t="s">
        <v>3034</v>
      </c>
      <c r="B389" t="s">
        <v>3557</v>
      </c>
      <c r="C389" t="s">
        <v>3038</v>
      </c>
      <c r="D389">
        <v>27.644789509999999</v>
      </c>
      <c r="E389" t="s">
        <v>3035</v>
      </c>
      <c r="F389">
        <v>120.0476508</v>
      </c>
      <c r="G389" t="s">
        <v>3036</v>
      </c>
      <c r="H389">
        <v>18361</v>
      </c>
      <c r="I389" t="s">
        <v>3037</v>
      </c>
    </row>
    <row r="390" spans="1:9" x14ac:dyDescent="0.25">
      <c r="A390" t="s">
        <v>3034</v>
      </c>
      <c r="B390" t="s">
        <v>3427</v>
      </c>
      <c r="C390" t="s">
        <v>3038</v>
      </c>
      <c r="D390">
        <v>29.83899821</v>
      </c>
      <c r="E390" t="s">
        <v>3035</v>
      </c>
      <c r="F390">
        <v>120.3584025</v>
      </c>
      <c r="G390" t="s">
        <v>3036</v>
      </c>
      <c r="H390">
        <v>27995</v>
      </c>
      <c r="I390" t="s">
        <v>3037</v>
      </c>
    </row>
    <row r="391" spans="1:9" x14ac:dyDescent="0.25">
      <c r="A391" t="s">
        <v>3034</v>
      </c>
      <c r="B391" t="s">
        <v>3558</v>
      </c>
      <c r="C391" t="s">
        <v>3038</v>
      </c>
      <c r="D391">
        <v>28.247501960000001</v>
      </c>
      <c r="E391" t="s">
        <v>3035</v>
      </c>
      <c r="F391">
        <v>120.7849743</v>
      </c>
      <c r="G391" t="s">
        <v>3036</v>
      </c>
      <c r="H391">
        <v>12435</v>
      </c>
      <c r="I391" t="s">
        <v>3037</v>
      </c>
    </row>
    <row r="392" spans="1:9" x14ac:dyDescent="0.25">
      <c r="A392" t="s">
        <v>3034</v>
      </c>
      <c r="B392" t="s">
        <v>3283</v>
      </c>
      <c r="C392" t="s">
        <v>3038</v>
      </c>
      <c r="D392">
        <v>27.828011230000001</v>
      </c>
      <c r="E392" t="s">
        <v>3035</v>
      </c>
      <c r="F392">
        <v>119.4229283</v>
      </c>
      <c r="G392" t="s">
        <v>3036</v>
      </c>
      <c r="H392">
        <v>5987</v>
      </c>
      <c r="I392" t="s">
        <v>3037</v>
      </c>
    </row>
    <row r="393" spans="1:9" x14ac:dyDescent="0.25">
      <c r="A393" t="s">
        <v>3034</v>
      </c>
      <c r="B393" t="s">
        <v>3428</v>
      </c>
      <c r="C393" t="s">
        <v>3038</v>
      </c>
      <c r="D393">
        <v>29.496222240000002</v>
      </c>
      <c r="E393" t="s">
        <v>3035</v>
      </c>
      <c r="F393">
        <v>121.1533536</v>
      </c>
      <c r="G393" t="s">
        <v>3036</v>
      </c>
      <c r="H393">
        <v>8174</v>
      </c>
      <c r="I393" t="s">
        <v>3037</v>
      </c>
    </row>
    <row r="394" spans="1:9" x14ac:dyDescent="0.25">
      <c r="A394" t="s">
        <v>3034</v>
      </c>
      <c r="B394" t="s">
        <v>3161</v>
      </c>
      <c r="C394" t="s">
        <v>3038</v>
      </c>
      <c r="D394">
        <v>30.58857274</v>
      </c>
      <c r="E394" t="s">
        <v>3035</v>
      </c>
      <c r="F394">
        <v>120.8332635</v>
      </c>
      <c r="G394" t="s">
        <v>3036</v>
      </c>
      <c r="H394">
        <v>34963</v>
      </c>
      <c r="I394" t="s">
        <v>3037</v>
      </c>
    </row>
    <row r="395" spans="1:9" x14ac:dyDescent="0.25">
      <c r="A395" t="s">
        <v>3034</v>
      </c>
      <c r="B395" t="s">
        <v>5131</v>
      </c>
      <c r="C395" t="s">
        <v>3038</v>
      </c>
      <c r="D395">
        <v>30.237384169999999</v>
      </c>
      <c r="E395" t="s">
        <v>3035</v>
      </c>
      <c r="F395">
        <v>121.31363260000001</v>
      </c>
      <c r="G395" t="s">
        <v>3036</v>
      </c>
      <c r="H395">
        <v>53952</v>
      </c>
      <c r="I395" t="s">
        <v>3037</v>
      </c>
    </row>
    <row r="396" spans="1:9" x14ac:dyDescent="0.25">
      <c r="A396" t="s">
        <v>3034</v>
      </c>
      <c r="B396" t="s">
        <v>5132</v>
      </c>
      <c r="C396" t="s">
        <v>3038</v>
      </c>
      <c r="D396">
        <v>30.718288749999999</v>
      </c>
      <c r="E396" t="s">
        <v>3035</v>
      </c>
      <c r="F396">
        <v>122.81485379999999</v>
      </c>
      <c r="G396" t="s">
        <v>3036</v>
      </c>
      <c r="H396">
        <v>8509</v>
      </c>
      <c r="I396" t="s">
        <v>3037</v>
      </c>
    </row>
    <row r="397" spans="1:9" x14ac:dyDescent="0.25">
      <c r="A397" t="s">
        <v>3034</v>
      </c>
      <c r="B397" t="s">
        <v>3340</v>
      </c>
      <c r="C397" t="s">
        <v>3038</v>
      </c>
      <c r="D397">
        <v>29.414281949999999</v>
      </c>
      <c r="E397" t="s">
        <v>3035</v>
      </c>
      <c r="F397">
        <v>121.2978064</v>
      </c>
      <c r="G397" t="s">
        <v>3036</v>
      </c>
      <c r="H397">
        <v>30581</v>
      </c>
      <c r="I397" t="s">
        <v>3037</v>
      </c>
    </row>
    <row r="398" spans="1:9" x14ac:dyDescent="0.25">
      <c r="A398" t="s">
        <v>3034</v>
      </c>
      <c r="B398" t="s">
        <v>3132</v>
      </c>
      <c r="C398" t="s">
        <v>3038</v>
      </c>
      <c r="D398">
        <v>30.716459100000002</v>
      </c>
      <c r="E398" t="s">
        <v>3035</v>
      </c>
      <c r="F398">
        <v>120.2602345</v>
      </c>
      <c r="G398" t="s">
        <v>3036</v>
      </c>
      <c r="H398">
        <v>13613</v>
      </c>
      <c r="I398" t="s">
        <v>3037</v>
      </c>
    </row>
    <row r="399" spans="1:9" x14ac:dyDescent="0.25">
      <c r="A399" t="s">
        <v>3034</v>
      </c>
      <c r="B399" t="s">
        <v>3429</v>
      </c>
      <c r="C399" t="s">
        <v>3038</v>
      </c>
      <c r="D399">
        <v>29.571965760000001</v>
      </c>
      <c r="E399" t="s">
        <v>3035</v>
      </c>
      <c r="F399">
        <v>120.6105467</v>
      </c>
      <c r="G399" t="s">
        <v>3036</v>
      </c>
      <c r="H399">
        <v>29052</v>
      </c>
      <c r="I399" t="s">
        <v>3037</v>
      </c>
    </row>
    <row r="400" spans="1:9" x14ac:dyDescent="0.25">
      <c r="A400" t="s">
        <v>3034</v>
      </c>
      <c r="B400" t="s">
        <v>3284</v>
      </c>
      <c r="C400" t="s">
        <v>3038</v>
      </c>
      <c r="D400">
        <v>28.46923353</v>
      </c>
      <c r="E400" t="s">
        <v>3035</v>
      </c>
      <c r="F400">
        <v>119.0620483</v>
      </c>
      <c r="G400" t="s">
        <v>3036</v>
      </c>
      <c r="H400">
        <v>10299</v>
      </c>
      <c r="I400" t="s">
        <v>3037</v>
      </c>
    </row>
    <row r="401" spans="1:9" x14ac:dyDescent="0.25">
      <c r="A401" t="s">
        <v>3034</v>
      </c>
      <c r="B401" t="s">
        <v>5133</v>
      </c>
      <c r="C401" t="s">
        <v>3038</v>
      </c>
      <c r="D401">
        <v>29.048012</v>
      </c>
      <c r="E401" t="s">
        <v>3035</v>
      </c>
      <c r="F401">
        <v>118.76011149999999</v>
      </c>
      <c r="G401" t="s">
        <v>3036</v>
      </c>
      <c r="H401">
        <v>24489</v>
      </c>
      <c r="I401" t="s">
        <v>3037</v>
      </c>
    </row>
    <row r="402" spans="1:9" x14ac:dyDescent="0.25">
      <c r="A402" t="s">
        <v>3034</v>
      </c>
      <c r="B402" t="s">
        <v>5134</v>
      </c>
      <c r="C402" t="s">
        <v>3038</v>
      </c>
      <c r="D402">
        <v>29.268009030000002</v>
      </c>
      <c r="E402" t="s">
        <v>3035</v>
      </c>
      <c r="F402">
        <v>121.0950993</v>
      </c>
      <c r="G402" t="s">
        <v>3036</v>
      </c>
      <c r="H402">
        <v>6217</v>
      </c>
      <c r="I402" t="s">
        <v>3037</v>
      </c>
    </row>
    <row r="403" spans="1:9" x14ac:dyDescent="0.25">
      <c r="A403" t="s">
        <v>3034</v>
      </c>
      <c r="B403" t="s">
        <v>3085</v>
      </c>
      <c r="C403" t="s">
        <v>3038</v>
      </c>
      <c r="D403">
        <v>29.464418389999999</v>
      </c>
      <c r="E403" t="s">
        <v>3035</v>
      </c>
      <c r="F403">
        <v>119.0953835</v>
      </c>
      <c r="G403" t="s">
        <v>3036</v>
      </c>
      <c r="H403">
        <v>3162</v>
      </c>
      <c r="I403" t="s">
        <v>3037</v>
      </c>
    </row>
    <row r="404" spans="1:9" x14ac:dyDescent="0.25">
      <c r="A404" t="s">
        <v>3034</v>
      </c>
      <c r="B404" t="s">
        <v>5135</v>
      </c>
      <c r="C404" t="s">
        <v>3038</v>
      </c>
      <c r="D404">
        <v>30.62989542</v>
      </c>
      <c r="E404" t="s">
        <v>3035</v>
      </c>
      <c r="F404">
        <v>120.428359</v>
      </c>
      <c r="G404" t="s">
        <v>3036</v>
      </c>
      <c r="H404">
        <v>51021</v>
      </c>
      <c r="I404" t="s">
        <v>3037</v>
      </c>
    </row>
    <row r="405" spans="1:9" x14ac:dyDescent="0.25">
      <c r="A405" t="s">
        <v>3034</v>
      </c>
      <c r="B405" t="s">
        <v>5136</v>
      </c>
      <c r="C405" t="s">
        <v>3038</v>
      </c>
      <c r="D405">
        <v>28.548395240000001</v>
      </c>
      <c r="E405" t="s">
        <v>3035</v>
      </c>
      <c r="F405">
        <v>118.5826318</v>
      </c>
      <c r="G405" t="s">
        <v>3036</v>
      </c>
      <c r="H405">
        <v>21918</v>
      </c>
      <c r="I405" t="s">
        <v>3037</v>
      </c>
    </row>
    <row r="406" spans="1:9" x14ac:dyDescent="0.25">
      <c r="A406" t="s">
        <v>3034</v>
      </c>
      <c r="B406" t="s">
        <v>3341</v>
      </c>
      <c r="C406" t="s">
        <v>3038</v>
      </c>
      <c r="D406">
        <v>29.218839549999998</v>
      </c>
      <c r="E406" t="s">
        <v>3035</v>
      </c>
      <c r="F406">
        <v>121.92931660000001</v>
      </c>
      <c r="G406" t="s">
        <v>3036</v>
      </c>
      <c r="H406">
        <v>92542</v>
      </c>
      <c r="I406" t="s">
        <v>3037</v>
      </c>
    </row>
    <row r="407" spans="1:9" x14ac:dyDescent="0.25">
      <c r="A407" t="s">
        <v>3034</v>
      </c>
      <c r="B407" t="s">
        <v>3480</v>
      </c>
      <c r="C407" t="s">
        <v>3038</v>
      </c>
      <c r="D407">
        <v>28.350963220000001</v>
      </c>
      <c r="E407" t="s">
        <v>3035</v>
      </c>
      <c r="F407">
        <v>121.44955109999999</v>
      </c>
      <c r="G407" t="s">
        <v>3036</v>
      </c>
      <c r="H407">
        <v>17674</v>
      </c>
      <c r="I407" t="s">
        <v>3037</v>
      </c>
    </row>
    <row r="408" spans="1:9" x14ac:dyDescent="0.25">
      <c r="A408" t="s">
        <v>3034</v>
      </c>
      <c r="B408" t="s">
        <v>5137</v>
      </c>
      <c r="C408" t="s">
        <v>3038</v>
      </c>
      <c r="D408">
        <v>28.246211559999999</v>
      </c>
      <c r="E408" t="s">
        <v>3035</v>
      </c>
      <c r="F408">
        <v>119.63378350000001</v>
      </c>
      <c r="G408" t="s">
        <v>3036</v>
      </c>
      <c r="H408">
        <v>4146</v>
      </c>
      <c r="I408" t="s">
        <v>3037</v>
      </c>
    </row>
    <row r="409" spans="1:9" x14ac:dyDescent="0.25">
      <c r="A409" t="s">
        <v>3034</v>
      </c>
      <c r="B409" t="s">
        <v>5138</v>
      </c>
      <c r="C409" t="s">
        <v>3038</v>
      </c>
      <c r="D409">
        <v>28.27596685</v>
      </c>
      <c r="E409" t="s">
        <v>3035</v>
      </c>
      <c r="F409">
        <v>121.6102613</v>
      </c>
      <c r="G409" t="s">
        <v>3036</v>
      </c>
      <c r="H409">
        <v>65770</v>
      </c>
      <c r="I409" t="s">
        <v>3037</v>
      </c>
    </row>
    <row r="410" spans="1:9" x14ac:dyDescent="0.25">
      <c r="A410" t="s">
        <v>3034</v>
      </c>
      <c r="B410" t="s">
        <v>3559</v>
      </c>
      <c r="C410" t="s">
        <v>3038</v>
      </c>
      <c r="D410">
        <v>27.35650966</v>
      </c>
      <c r="E410" t="s">
        <v>3035</v>
      </c>
      <c r="F410">
        <v>119.86929259999999</v>
      </c>
      <c r="G410" t="s">
        <v>3036</v>
      </c>
      <c r="H410">
        <v>13932</v>
      </c>
      <c r="I410" t="s">
        <v>3037</v>
      </c>
    </row>
    <row r="411" spans="1:9" x14ac:dyDescent="0.25">
      <c r="A411" t="s">
        <v>3034</v>
      </c>
      <c r="B411" t="s">
        <v>3226</v>
      </c>
      <c r="C411" t="s">
        <v>3038</v>
      </c>
      <c r="D411">
        <v>28.858089509999999</v>
      </c>
      <c r="E411" t="s">
        <v>3035</v>
      </c>
      <c r="F411">
        <v>120.11231220000001</v>
      </c>
      <c r="G411" t="s">
        <v>3036</v>
      </c>
      <c r="H411">
        <v>36243</v>
      </c>
      <c r="I411" t="s">
        <v>3037</v>
      </c>
    </row>
    <row r="412" spans="1:9" x14ac:dyDescent="0.25">
      <c r="A412" t="s">
        <v>3034</v>
      </c>
      <c r="B412" t="s">
        <v>3086</v>
      </c>
      <c r="C412" t="s">
        <v>3038</v>
      </c>
      <c r="D412">
        <v>29.37918517</v>
      </c>
      <c r="E412" t="s">
        <v>3035</v>
      </c>
      <c r="F412">
        <v>119.2016541</v>
      </c>
      <c r="G412" t="s">
        <v>3036</v>
      </c>
      <c r="H412">
        <v>40643</v>
      </c>
      <c r="I412" t="s">
        <v>3037</v>
      </c>
    </row>
    <row r="413" spans="1:9" x14ac:dyDescent="0.25">
      <c r="A413" t="s">
        <v>3034</v>
      </c>
      <c r="B413" t="s">
        <v>3133</v>
      </c>
      <c r="C413" t="s">
        <v>3038</v>
      </c>
      <c r="D413">
        <v>30.780330320000001</v>
      </c>
      <c r="E413" t="s">
        <v>3035</v>
      </c>
      <c r="F413">
        <v>120.31447729999999</v>
      </c>
      <c r="G413" t="s">
        <v>3036</v>
      </c>
      <c r="H413">
        <v>74725</v>
      </c>
      <c r="I413" t="s">
        <v>3037</v>
      </c>
    </row>
    <row r="414" spans="1:9" x14ac:dyDescent="0.25">
      <c r="A414" t="s">
        <v>3034</v>
      </c>
      <c r="B414" t="s">
        <v>3087</v>
      </c>
      <c r="C414" t="s">
        <v>3038</v>
      </c>
      <c r="D414">
        <v>30.11545563</v>
      </c>
      <c r="E414" t="s">
        <v>3035</v>
      </c>
      <c r="F414">
        <v>120.0907347</v>
      </c>
      <c r="G414" t="s">
        <v>3036</v>
      </c>
      <c r="H414">
        <v>65038</v>
      </c>
      <c r="I414" t="s">
        <v>3037</v>
      </c>
    </row>
    <row r="415" spans="1:9" x14ac:dyDescent="0.25">
      <c r="A415" t="s">
        <v>3034</v>
      </c>
      <c r="B415" t="s">
        <v>3285</v>
      </c>
      <c r="C415" t="s">
        <v>3038</v>
      </c>
      <c r="D415">
        <v>28.656152580000001</v>
      </c>
      <c r="E415" t="s">
        <v>3035</v>
      </c>
      <c r="F415">
        <v>120.1729555</v>
      </c>
      <c r="G415" t="s">
        <v>3036</v>
      </c>
      <c r="H415">
        <v>14793</v>
      </c>
      <c r="I415" t="s">
        <v>3037</v>
      </c>
    </row>
    <row r="416" spans="1:9" x14ac:dyDescent="0.25">
      <c r="A416" t="s">
        <v>3034</v>
      </c>
      <c r="B416" t="s">
        <v>3560</v>
      </c>
      <c r="C416" t="s">
        <v>3038</v>
      </c>
      <c r="D416">
        <v>27.622158750000001</v>
      </c>
      <c r="E416" t="s">
        <v>3035</v>
      </c>
      <c r="F416">
        <v>120.31686310000001</v>
      </c>
      <c r="G416" t="s">
        <v>3036</v>
      </c>
      <c r="H416">
        <v>100489</v>
      </c>
      <c r="I416" t="s">
        <v>3037</v>
      </c>
    </row>
    <row r="417" spans="1:9" x14ac:dyDescent="0.25">
      <c r="A417" t="s">
        <v>3034</v>
      </c>
      <c r="B417" t="s">
        <v>3561</v>
      </c>
      <c r="C417" t="s">
        <v>3038</v>
      </c>
      <c r="D417">
        <v>27.58776722</v>
      </c>
      <c r="E417" t="s">
        <v>3035</v>
      </c>
      <c r="F417">
        <v>120.14357750000001</v>
      </c>
      <c r="G417" t="s">
        <v>3036</v>
      </c>
      <c r="H417">
        <v>5403</v>
      </c>
      <c r="I417" t="s">
        <v>3037</v>
      </c>
    </row>
    <row r="418" spans="1:9" x14ac:dyDescent="0.25">
      <c r="A418" t="s">
        <v>3034</v>
      </c>
      <c r="B418" t="s">
        <v>3134</v>
      </c>
      <c r="C418" t="s">
        <v>3038</v>
      </c>
      <c r="D418">
        <v>30.929164979999999</v>
      </c>
      <c r="E418" t="s">
        <v>3035</v>
      </c>
      <c r="F418">
        <v>119.6453008</v>
      </c>
      <c r="G418" t="s">
        <v>3036</v>
      </c>
      <c r="H418">
        <v>60057</v>
      </c>
      <c r="I418" t="s">
        <v>3037</v>
      </c>
    </row>
    <row r="419" spans="1:9" x14ac:dyDescent="0.25">
      <c r="A419" t="s">
        <v>3034</v>
      </c>
      <c r="B419" t="s">
        <v>3388</v>
      </c>
      <c r="C419" t="s">
        <v>3038</v>
      </c>
      <c r="D419">
        <v>28.85425206</v>
      </c>
      <c r="E419" t="s">
        <v>3035</v>
      </c>
      <c r="F419">
        <v>118.6838387</v>
      </c>
      <c r="G419" t="s">
        <v>3036</v>
      </c>
      <c r="H419">
        <v>11379</v>
      </c>
      <c r="I419" t="s">
        <v>3037</v>
      </c>
    </row>
    <row r="420" spans="1:9" x14ac:dyDescent="0.25">
      <c r="A420" t="s">
        <v>3034</v>
      </c>
      <c r="B420" t="s">
        <v>3342</v>
      </c>
      <c r="C420" t="s">
        <v>3038</v>
      </c>
      <c r="D420">
        <v>30.18322865</v>
      </c>
      <c r="E420" t="s">
        <v>3035</v>
      </c>
      <c r="F420">
        <v>121.0298629</v>
      </c>
      <c r="G420" t="s">
        <v>3036</v>
      </c>
      <c r="H420">
        <v>78975</v>
      </c>
      <c r="I420" t="s">
        <v>3037</v>
      </c>
    </row>
    <row r="421" spans="1:9" x14ac:dyDescent="0.25">
      <c r="A421" t="s">
        <v>3034</v>
      </c>
      <c r="B421" t="s">
        <v>3343</v>
      </c>
      <c r="C421" t="s">
        <v>3038</v>
      </c>
      <c r="D421">
        <v>29.72483493</v>
      </c>
      <c r="E421" t="s">
        <v>3035</v>
      </c>
      <c r="F421">
        <v>121.08213670000001</v>
      </c>
      <c r="G421" t="s">
        <v>3036</v>
      </c>
      <c r="H421">
        <v>7645</v>
      </c>
      <c r="I421" t="s">
        <v>3037</v>
      </c>
    </row>
    <row r="422" spans="1:9" x14ac:dyDescent="0.25">
      <c r="A422" t="s">
        <v>3034</v>
      </c>
      <c r="B422" t="s">
        <v>3562</v>
      </c>
      <c r="C422" t="s">
        <v>3038</v>
      </c>
      <c r="D422">
        <v>27.71827433</v>
      </c>
      <c r="E422" t="s">
        <v>3035</v>
      </c>
      <c r="F422">
        <v>119.77956260000001</v>
      </c>
      <c r="G422" t="s">
        <v>3036</v>
      </c>
      <c r="H422">
        <v>10471</v>
      </c>
      <c r="I422" t="s">
        <v>3037</v>
      </c>
    </row>
    <row r="423" spans="1:9" x14ac:dyDescent="0.25">
      <c r="A423" t="s">
        <v>3034</v>
      </c>
      <c r="B423" t="s">
        <v>3563</v>
      </c>
      <c r="C423" t="s">
        <v>3038</v>
      </c>
      <c r="D423">
        <v>27.495400100000001</v>
      </c>
      <c r="E423" t="s">
        <v>3035</v>
      </c>
      <c r="F423">
        <v>120.01118529999999</v>
      </c>
      <c r="G423" t="s">
        <v>3036</v>
      </c>
      <c r="H423">
        <v>11523</v>
      </c>
      <c r="I423" t="s">
        <v>3037</v>
      </c>
    </row>
    <row r="424" spans="1:9" x14ac:dyDescent="0.25">
      <c r="A424" t="s">
        <v>3034</v>
      </c>
      <c r="B424" t="s">
        <v>3344</v>
      </c>
      <c r="C424" t="s">
        <v>3038</v>
      </c>
      <c r="D424">
        <v>29.356073940000002</v>
      </c>
      <c r="E424" t="s">
        <v>3035</v>
      </c>
      <c r="F424">
        <v>121.7578697</v>
      </c>
      <c r="G424" t="s">
        <v>3036</v>
      </c>
      <c r="H424">
        <v>9612</v>
      </c>
      <c r="I424" t="s">
        <v>3037</v>
      </c>
    </row>
    <row r="425" spans="1:9" x14ac:dyDescent="0.25">
      <c r="A425" t="s">
        <v>3034</v>
      </c>
      <c r="B425" t="s">
        <v>3345</v>
      </c>
      <c r="C425" t="s">
        <v>3038</v>
      </c>
      <c r="D425">
        <v>29.60174228</v>
      </c>
      <c r="E425" t="s">
        <v>3035</v>
      </c>
      <c r="F425">
        <v>121.7110497</v>
      </c>
      <c r="G425" t="s">
        <v>3036</v>
      </c>
      <c r="H425">
        <v>13021</v>
      </c>
      <c r="I425" t="s">
        <v>3037</v>
      </c>
    </row>
    <row r="426" spans="1:9" x14ac:dyDescent="0.25">
      <c r="A426" t="s">
        <v>3034</v>
      </c>
      <c r="B426" t="s">
        <v>3564</v>
      </c>
      <c r="C426" t="s">
        <v>3038</v>
      </c>
      <c r="D426">
        <v>27.672699999999999</v>
      </c>
      <c r="E426" t="s">
        <v>3035</v>
      </c>
      <c r="F426">
        <v>120.6426</v>
      </c>
      <c r="G426" t="s">
        <v>3036</v>
      </c>
      <c r="H426">
        <v>12881</v>
      </c>
      <c r="I426" t="s">
        <v>3037</v>
      </c>
    </row>
    <row r="427" spans="1:9" x14ac:dyDescent="0.25">
      <c r="A427" t="s">
        <v>3034</v>
      </c>
      <c r="B427" t="s">
        <v>3481</v>
      </c>
      <c r="C427" t="s">
        <v>3038</v>
      </c>
      <c r="D427">
        <v>28.358212850000001</v>
      </c>
      <c r="E427" t="s">
        <v>3035</v>
      </c>
      <c r="F427">
        <v>121.6109122</v>
      </c>
      <c r="G427" t="s">
        <v>3036</v>
      </c>
      <c r="H427">
        <v>102259</v>
      </c>
      <c r="I427" t="s">
        <v>3037</v>
      </c>
    </row>
    <row r="428" spans="1:9" x14ac:dyDescent="0.25">
      <c r="A428" t="s">
        <v>3034</v>
      </c>
      <c r="B428" t="s">
        <v>3088</v>
      </c>
      <c r="C428" t="s">
        <v>3038</v>
      </c>
      <c r="D428">
        <v>30.086008280000001</v>
      </c>
      <c r="E428" t="s">
        <v>3035</v>
      </c>
      <c r="F428">
        <v>120.29273070000001</v>
      </c>
      <c r="G428" t="s">
        <v>3036</v>
      </c>
      <c r="H428">
        <v>39100</v>
      </c>
      <c r="I428" t="s">
        <v>3037</v>
      </c>
    </row>
    <row r="429" spans="1:9" x14ac:dyDescent="0.25">
      <c r="A429" t="s">
        <v>3034</v>
      </c>
      <c r="B429" t="s">
        <v>3227</v>
      </c>
      <c r="C429" t="s">
        <v>3038</v>
      </c>
      <c r="D429">
        <v>29.419990899999998</v>
      </c>
      <c r="E429" t="s">
        <v>3035</v>
      </c>
      <c r="F429">
        <v>120.17449860000001</v>
      </c>
      <c r="G429" t="s">
        <v>3036</v>
      </c>
      <c r="H429">
        <v>82891</v>
      </c>
      <c r="I429" t="s">
        <v>3037</v>
      </c>
    </row>
    <row r="430" spans="1:9" x14ac:dyDescent="0.25">
      <c r="A430" t="s">
        <v>3034</v>
      </c>
      <c r="B430" t="s">
        <v>3389</v>
      </c>
      <c r="C430" t="s">
        <v>3038</v>
      </c>
      <c r="D430">
        <v>29.20407518</v>
      </c>
      <c r="E430" t="s">
        <v>3035</v>
      </c>
      <c r="F430">
        <v>118.1132657</v>
      </c>
      <c r="G430" t="s">
        <v>3036</v>
      </c>
      <c r="H430">
        <v>12009</v>
      </c>
      <c r="I430" t="s">
        <v>3037</v>
      </c>
    </row>
    <row r="431" spans="1:9" x14ac:dyDescent="0.25">
      <c r="A431" t="s">
        <v>3034</v>
      </c>
      <c r="B431" t="s">
        <v>3089</v>
      </c>
      <c r="C431" t="s">
        <v>3038</v>
      </c>
      <c r="D431">
        <v>30.329512780000002</v>
      </c>
      <c r="E431" t="s">
        <v>3035</v>
      </c>
      <c r="F431">
        <v>119.561367</v>
      </c>
      <c r="G431" t="s">
        <v>3036</v>
      </c>
      <c r="H431">
        <v>28147</v>
      </c>
      <c r="I431" t="s">
        <v>3037</v>
      </c>
    </row>
    <row r="432" spans="1:9" x14ac:dyDescent="0.25">
      <c r="A432" t="s">
        <v>3034</v>
      </c>
      <c r="B432" t="s">
        <v>3090</v>
      </c>
      <c r="C432" t="s">
        <v>3038</v>
      </c>
      <c r="D432">
        <v>30.24439404</v>
      </c>
      <c r="E432" t="s">
        <v>3035</v>
      </c>
      <c r="F432">
        <v>119.2957344</v>
      </c>
      <c r="G432" t="s">
        <v>3036</v>
      </c>
      <c r="H432">
        <v>13707</v>
      </c>
      <c r="I432" t="s">
        <v>3037</v>
      </c>
    </row>
    <row r="433" spans="1:9" x14ac:dyDescent="0.25">
      <c r="A433" t="s">
        <v>3034</v>
      </c>
      <c r="B433" t="s">
        <v>3430</v>
      </c>
      <c r="C433" t="s">
        <v>3038</v>
      </c>
      <c r="D433">
        <v>29.853659799999999</v>
      </c>
      <c r="E433" t="s">
        <v>3035</v>
      </c>
      <c r="F433">
        <v>120.7679716</v>
      </c>
      <c r="G433" t="s">
        <v>3036</v>
      </c>
      <c r="H433">
        <v>15333</v>
      </c>
      <c r="I433" t="s">
        <v>3037</v>
      </c>
    </row>
    <row r="434" spans="1:9" x14ac:dyDescent="0.25">
      <c r="A434" t="s">
        <v>3034</v>
      </c>
      <c r="B434" t="s">
        <v>3091</v>
      </c>
      <c r="C434" t="s">
        <v>3038</v>
      </c>
      <c r="D434">
        <v>30.463124799999999</v>
      </c>
      <c r="E434" t="s">
        <v>3035</v>
      </c>
      <c r="F434">
        <v>120.1985265</v>
      </c>
      <c r="G434" t="s">
        <v>3036</v>
      </c>
      <c r="H434">
        <v>79990</v>
      </c>
      <c r="I434" t="s">
        <v>3037</v>
      </c>
    </row>
    <row r="435" spans="1:9" x14ac:dyDescent="0.25">
      <c r="A435" t="s">
        <v>3034</v>
      </c>
      <c r="B435" t="s">
        <v>3346</v>
      </c>
      <c r="C435" t="s">
        <v>3038</v>
      </c>
      <c r="D435">
        <v>29.671942120000001</v>
      </c>
      <c r="E435" t="s">
        <v>3035</v>
      </c>
      <c r="F435">
        <v>121.6947478</v>
      </c>
      <c r="G435" t="s">
        <v>3036</v>
      </c>
      <c r="H435">
        <v>37049</v>
      </c>
      <c r="I435" t="s">
        <v>3037</v>
      </c>
    </row>
    <row r="436" spans="1:9" x14ac:dyDescent="0.25">
      <c r="A436" t="s">
        <v>3034</v>
      </c>
      <c r="B436" t="s">
        <v>3229</v>
      </c>
      <c r="C436" t="s">
        <v>3038</v>
      </c>
      <c r="D436">
        <v>29.02330134</v>
      </c>
      <c r="E436" t="s">
        <v>3035</v>
      </c>
      <c r="F436">
        <v>119.373828</v>
      </c>
      <c r="G436" t="s">
        <v>3036</v>
      </c>
      <c r="H436">
        <v>38435</v>
      </c>
      <c r="I436" t="s">
        <v>3037</v>
      </c>
    </row>
    <row r="437" spans="1:9" x14ac:dyDescent="0.25">
      <c r="A437" t="s">
        <v>3034</v>
      </c>
      <c r="B437" t="s">
        <v>3565</v>
      </c>
      <c r="C437" t="s">
        <v>3038</v>
      </c>
      <c r="D437">
        <v>27.82856357</v>
      </c>
      <c r="E437" t="s">
        <v>3035</v>
      </c>
      <c r="F437">
        <v>120.70902220000001</v>
      </c>
      <c r="G437" t="s">
        <v>3036</v>
      </c>
      <c r="H437">
        <v>312080</v>
      </c>
      <c r="I437" t="s">
        <v>3037</v>
      </c>
    </row>
    <row r="438" spans="1:9" x14ac:dyDescent="0.25">
      <c r="A438" t="s">
        <v>3034</v>
      </c>
      <c r="B438" t="s">
        <v>3228</v>
      </c>
      <c r="C438" t="s">
        <v>3038</v>
      </c>
      <c r="D438">
        <v>29.053058369999999</v>
      </c>
      <c r="E438" t="s">
        <v>3035</v>
      </c>
      <c r="F438">
        <v>120.1107289</v>
      </c>
      <c r="G438" t="s">
        <v>3036</v>
      </c>
      <c r="H438">
        <v>35691</v>
      </c>
      <c r="I438" t="s">
        <v>3037</v>
      </c>
    </row>
    <row r="439" spans="1:9" x14ac:dyDescent="0.25">
      <c r="A439" t="s">
        <v>3034</v>
      </c>
      <c r="B439" t="s">
        <v>3230</v>
      </c>
      <c r="C439" t="s">
        <v>3038</v>
      </c>
      <c r="D439">
        <v>29.147621770000001</v>
      </c>
      <c r="E439" t="s">
        <v>3035</v>
      </c>
      <c r="F439">
        <v>119.7887126</v>
      </c>
      <c r="G439" t="s">
        <v>3036</v>
      </c>
      <c r="H439">
        <v>21577</v>
      </c>
      <c r="I439" t="s">
        <v>3037</v>
      </c>
    </row>
    <row r="440" spans="1:9" x14ac:dyDescent="0.25">
      <c r="A440" t="s">
        <v>3034</v>
      </c>
      <c r="B440" t="s">
        <v>3390</v>
      </c>
      <c r="C440" t="s">
        <v>3038</v>
      </c>
      <c r="D440">
        <v>28.764013169999998</v>
      </c>
      <c r="E440" t="s">
        <v>3035</v>
      </c>
      <c r="F440">
        <v>118.51283050000001</v>
      </c>
      <c r="G440" t="s">
        <v>3036</v>
      </c>
      <c r="H440">
        <v>17452</v>
      </c>
      <c r="I440" t="s">
        <v>3037</v>
      </c>
    </row>
    <row r="441" spans="1:9" x14ac:dyDescent="0.25">
      <c r="A441" t="s">
        <v>3034</v>
      </c>
      <c r="B441" t="s">
        <v>3482</v>
      </c>
      <c r="C441" t="s">
        <v>3038</v>
      </c>
      <c r="D441">
        <v>29.147728040000001</v>
      </c>
      <c r="E441" t="s">
        <v>3035</v>
      </c>
      <c r="F441">
        <v>121.12644210000001</v>
      </c>
      <c r="G441" t="s">
        <v>3036</v>
      </c>
      <c r="H441">
        <v>30362</v>
      </c>
      <c r="I441" t="s">
        <v>3037</v>
      </c>
    </row>
    <row r="442" spans="1:9" x14ac:dyDescent="0.25">
      <c r="A442" t="s">
        <v>3034</v>
      </c>
      <c r="B442" t="s">
        <v>3231</v>
      </c>
      <c r="C442" t="s">
        <v>3038</v>
      </c>
      <c r="D442">
        <v>29.639300339999998</v>
      </c>
      <c r="E442" t="s">
        <v>3035</v>
      </c>
      <c r="F442">
        <v>119.912336</v>
      </c>
      <c r="G442" t="s">
        <v>3036</v>
      </c>
      <c r="H442">
        <v>10279</v>
      </c>
      <c r="I442" t="s">
        <v>3037</v>
      </c>
    </row>
    <row r="443" spans="1:9" x14ac:dyDescent="0.25">
      <c r="A443" t="s">
        <v>3034</v>
      </c>
      <c r="B443" t="s">
        <v>3604</v>
      </c>
      <c r="C443" t="s">
        <v>3038</v>
      </c>
      <c r="D443">
        <v>29.817165230000001</v>
      </c>
      <c r="E443" t="s">
        <v>3035</v>
      </c>
      <c r="F443">
        <v>122.27449</v>
      </c>
      <c r="G443" t="s">
        <v>3036</v>
      </c>
      <c r="H443">
        <v>10867</v>
      </c>
      <c r="I443" t="s">
        <v>3037</v>
      </c>
    </row>
    <row r="444" spans="1:9" x14ac:dyDescent="0.25">
      <c r="A444" t="s">
        <v>3034</v>
      </c>
      <c r="B444" t="s">
        <v>3566</v>
      </c>
      <c r="C444" t="s">
        <v>3038</v>
      </c>
      <c r="D444">
        <v>27.85160372</v>
      </c>
      <c r="E444" t="s">
        <v>3035</v>
      </c>
      <c r="F444">
        <v>120.51350429999999</v>
      </c>
      <c r="G444" t="s">
        <v>3036</v>
      </c>
      <c r="H444">
        <v>32454</v>
      </c>
      <c r="I444" t="s">
        <v>3037</v>
      </c>
    </row>
    <row r="445" spans="1:9" x14ac:dyDescent="0.25">
      <c r="A445" t="s">
        <v>3034</v>
      </c>
      <c r="B445" t="s">
        <v>3232</v>
      </c>
      <c r="C445" t="s">
        <v>3038</v>
      </c>
      <c r="D445">
        <v>28.723990539999999</v>
      </c>
      <c r="E445" t="s">
        <v>3035</v>
      </c>
      <c r="F445">
        <v>119.5634025</v>
      </c>
      <c r="G445" t="s">
        <v>3036</v>
      </c>
      <c r="H445">
        <v>10559</v>
      </c>
      <c r="I445" t="s">
        <v>3037</v>
      </c>
    </row>
    <row r="446" spans="1:9" x14ac:dyDescent="0.25">
      <c r="A446" t="s">
        <v>3034</v>
      </c>
      <c r="B446" t="s">
        <v>3483</v>
      </c>
      <c r="C446" t="s">
        <v>3038</v>
      </c>
      <c r="D446">
        <v>28.822931059999998</v>
      </c>
      <c r="E446" t="s">
        <v>3035</v>
      </c>
      <c r="F446">
        <v>121.59840029999999</v>
      </c>
      <c r="G446" t="s">
        <v>3036</v>
      </c>
      <c r="H446">
        <v>73195</v>
      </c>
      <c r="I446" t="s">
        <v>3037</v>
      </c>
    </row>
    <row r="447" spans="1:9" x14ac:dyDescent="0.25">
      <c r="A447" t="s">
        <v>3034</v>
      </c>
      <c r="B447" t="s">
        <v>3162</v>
      </c>
      <c r="C447" t="s">
        <v>3038</v>
      </c>
      <c r="D447">
        <v>30.97574522</v>
      </c>
      <c r="E447" t="s">
        <v>3035</v>
      </c>
      <c r="F447">
        <v>120.796176</v>
      </c>
      <c r="G447" t="s">
        <v>3036</v>
      </c>
      <c r="H447">
        <v>30595</v>
      </c>
      <c r="I447" t="s">
        <v>3037</v>
      </c>
    </row>
    <row r="448" spans="1:9" x14ac:dyDescent="0.25">
      <c r="A448" t="s">
        <v>3034</v>
      </c>
      <c r="B448" t="s">
        <v>3391</v>
      </c>
      <c r="C448" t="s">
        <v>3038</v>
      </c>
      <c r="D448">
        <v>29.13148253</v>
      </c>
      <c r="E448" t="s">
        <v>3035</v>
      </c>
      <c r="F448">
        <v>119.125595</v>
      </c>
      <c r="G448" t="s">
        <v>3036</v>
      </c>
      <c r="H448">
        <v>32921</v>
      </c>
      <c r="I448" t="s">
        <v>3037</v>
      </c>
    </row>
    <row r="449" spans="1:9" x14ac:dyDescent="0.25">
      <c r="A449" t="s">
        <v>3034</v>
      </c>
      <c r="B449" t="s">
        <v>3567</v>
      </c>
      <c r="C449" t="s">
        <v>3038</v>
      </c>
      <c r="D449">
        <v>27.7043447</v>
      </c>
      <c r="E449" t="s">
        <v>3035</v>
      </c>
      <c r="F449">
        <v>120.31689830000001</v>
      </c>
      <c r="G449" t="s">
        <v>3036</v>
      </c>
      <c r="H449">
        <v>36721</v>
      </c>
      <c r="I449" t="s">
        <v>3037</v>
      </c>
    </row>
    <row r="450" spans="1:9" x14ac:dyDescent="0.25">
      <c r="A450" t="s">
        <v>3034</v>
      </c>
      <c r="B450" t="s">
        <v>3568</v>
      </c>
      <c r="C450" t="s">
        <v>3038</v>
      </c>
      <c r="D450">
        <v>28.100975989999998</v>
      </c>
      <c r="E450" t="s">
        <v>3035</v>
      </c>
      <c r="F450">
        <v>120.47828029999999</v>
      </c>
      <c r="G450" t="s">
        <v>3036</v>
      </c>
      <c r="H450">
        <v>82312</v>
      </c>
      <c r="I450" t="s">
        <v>3037</v>
      </c>
    </row>
    <row r="451" spans="1:9" x14ac:dyDescent="0.25">
      <c r="A451" t="s">
        <v>3034</v>
      </c>
      <c r="B451" t="s">
        <v>3135</v>
      </c>
      <c r="C451" t="s">
        <v>3038</v>
      </c>
      <c r="D451">
        <v>30.501286660000002</v>
      </c>
      <c r="E451" t="s">
        <v>3035</v>
      </c>
      <c r="F451">
        <v>119.62969699999999</v>
      </c>
      <c r="G451" t="s">
        <v>3036</v>
      </c>
      <c r="H451">
        <v>21470</v>
      </c>
      <c r="I451" t="s">
        <v>3037</v>
      </c>
    </row>
    <row r="452" spans="1:9" x14ac:dyDescent="0.25">
      <c r="A452" t="s">
        <v>3034</v>
      </c>
      <c r="B452" t="s">
        <v>3092</v>
      </c>
      <c r="C452" t="s">
        <v>3038</v>
      </c>
      <c r="D452">
        <v>30.274003069999999</v>
      </c>
      <c r="E452" t="s">
        <v>3035</v>
      </c>
      <c r="F452">
        <v>119.4710321</v>
      </c>
      <c r="G452" t="s">
        <v>3036</v>
      </c>
      <c r="H452">
        <v>15766</v>
      </c>
      <c r="I452" t="s">
        <v>3037</v>
      </c>
    </row>
    <row r="453" spans="1:9" x14ac:dyDescent="0.25">
      <c r="A453" t="s">
        <v>3034</v>
      </c>
      <c r="B453" t="s">
        <v>3163</v>
      </c>
      <c r="C453" t="s">
        <v>3038</v>
      </c>
      <c r="D453">
        <v>30.89135405</v>
      </c>
      <c r="E453" t="s">
        <v>3035</v>
      </c>
      <c r="F453">
        <v>120.817511</v>
      </c>
      <c r="G453" t="s">
        <v>3036</v>
      </c>
      <c r="H453">
        <v>58430</v>
      </c>
      <c r="I453" t="s">
        <v>3037</v>
      </c>
    </row>
    <row r="454" spans="1:9" x14ac:dyDescent="0.25">
      <c r="A454" t="s">
        <v>3034</v>
      </c>
      <c r="B454" t="s">
        <v>3484</v>
      </c>
      <c r="C454" t="s">
        <v>3038</v>
      </c>
      <c r="D454">
        <v>28.714331250000001</v>
      </c>
      <c r="E454" t="s">
        <v>3035</v>
      </c>
      <c r="F454">
        <v>120.661182</v>
      </c>
      <c r="G454" t="s">
        <v>3036</v>
      </c>
      <c r="H454">
        <v>13391</v>
      </c>
      <c r="I454" t="s">
        <v>3037</v>
      </c>
    </row>
    <row r="455" spans="1:9" x14ac:dyDescent="0.25">
      <c r="A455" t="s">
        <v>3034</v>
      </c>
      <c r="B455" t="s">
        <v>3136</v>
      </c>
      <c r="C455" t="s">
        <v>3038</v>
      </c>
      <c r="D455">
        <v>30.788070510000001</v>
      </c>
      <c r="E455" t="s">
        <v>3035</v>
      </c>
      <c r="F455">
        <v>119.6075276</v>
      </c>
      <c r="G455" t="s">
        <v>3036</v>
      </c>
      <c r="H455">
        <v>45660</v>
      </c>
      <c r="I455" t="s">
        <v>3037</v>
      </c>
    </row>
    <row r="456" spans="1:9" x14ac:dyDescent="0.25">
      <c r="A456" t="s">
        <v>3034</v>
      </c>
      <c r="B456" t="s">
        <v>3485</v>
      </c>
      <c r="C456" t="s">
        <v>3038</v>
      </c>
      <c r="D456">
        <v>29.01412818</v>
      </c>
      <c r="E456" t="s">
        <v>3035</v>
      </c>
      <c r="F456">
        <v>121.35236</v>
      </c>
      <c r="G456" t="s">
        <v>3036</v>
      </c>
      <c r="H456">
        <v>33137</v>
      </c>
      <c r="I456" t="s">
        <v>3037</v>
      </c>
    </row>
    <row r="457" spans="1:9" x14ac:dyDescent="0.25">
      <c r="A457" t="s">
        <v>3034</v>
      </c>
      <c r="B457" t="s">
        <v>3392</v>
      </c>
      <c r="C457" t="s">
        <v>3038</v>
      </c>
      <c r="D457">
        <v>28.997378579999999</v>
      </c>
      <c r="E457" t="s">
        <v>3035</v>
      </c>
      <c r="F457">
        <v>118.2202448</v>
      </c>
      <c r="G457" t="s">
        <v>3036</v>
      </c>
      <c r="H457">
        <v>10323</v>
      </c>
      <c r="I457" t="s">
        <v>3037</v>
      </c>
    </row>
    <row r="458" spans="1:9" x14ac:dyDescent="0.25">
      <c r="A458" t="s">
        <v>3034</v>
      </c>
      <c r="B458" t="s">
        <v>3569</v>
      </c>
      <c r="C458" t="s">
        <v>3038</v>
      </c>
      <c r="D458">
        <v>27.856300000000001</v>
      </c>
      <c r="E458" t="s">
        <v>3035</v>
      </c>
      <c r="F458">
        <v>120.55500000000001</v>
      </c>
      <c r="G458" t="s">
        <v>3036</v>
      </c>
      <c r="H458">
        <v>23421</v>
      </c>
      <c r="I458" t="s">
        <v>3037</v>
      </c>
    </row>
    <row r="459" spans="1:9" x14ac:dyDescent="0.25">
      <c r="A459" t="s">
        <v>3034</v>
      </c>
      <c r="B459" t="s">
        <v>3233</v>
      </c>
      <c r="C459" t="s">
        <v>3038</v>
      </c>
      <c r="D459">
        <v>28.855013620000001</v>
      </c>
      <c r="E459" t="s">
        <v>3035</v>
      </c>
      <c r="F459">
        <v>119.9339951</v>
      </c>
      <c r="G459" t="s">
        <v>3036</v>
      </c>
      <c r="H459">
        <v>40099</v>
      </c>
      <c r="I459" t="s">
        <v>3037</v>
      </c>
    </row>
    <row r="460" spans="1:9" x14ac:dyDescent="0.25">
      <c r="A460" t="s">
        <v>3034</v>
      </c>
      <c r="B460" t="s">
        <v>3431</v>
      </c>
      <c r="C460" t="s">
        <v>3038</v>
      </c>
      <c r="D460">
        <v>29.580687309999998</v>
      </c>
      <c r="E460" t="s">
        <v>3035</v>
      </c>
      <c r="F460">
        <v>120.0564031</v>
      </c>
      <c r="G460" t="s">
        <v>3036</v>
      </c>
      <c r="H460">
        <v>13447</v>
      </c>
      <c r="I460" t="s">
        <v>3037</v>
      </c>
    </row>
    <row r="461" spans="1:9" x14ac:dyDescent="0.25">
      <c r="A461" t="s">
        <v>3034</v>
      </c>
      <c r="B461" t="s">
        <v>3164</v>
      </c>
      <c r="C461" t="s">
        <v>3038</v>
      </c>
      <c r="D461">
        <v>30.47141748</v>
      </c>
      <c r="E461" t="s">
        <v>3035</v>
      </c>
      <c r="F461">
        <v>120.82920350000001</v>
      </c>
      <c r="G461" t="s">
        <v>3036</v>
      </c>
      <c r="H461">
        <v>43456</v>
      </c>
      <c r="I461" t="s">
        <v>3037</v>
      </c>
    </row>
    <row r="462" spans="1:9" x14ac:dyDescent="0.25">
      <c r="A462" t="s">
        <v>3034</v>
      </c>
      <c r="B462" t="s">
        <v>3486</v>
      </c>
      <c r="C462" t="s">
        <v>3038</v>
      </c>
      <c r="D462">
        <v>28.660459370000002</v>
      </c>
      <c r="E462" t="s">
        <v>3035</v>
      </c>
      <c r="F462">
        <v>121.13752359999999</v>
      </c>
      <c r="G462" t="s">
        <v>3036</v>
      </c>
      <c r="H462">
        <v>31743</v>
      </c>
      <c r="I462" t="s">
        <v>3037</v>
      </c>
    </row>
    <row r="463" spans="1:9" x14ac:dyDescent="0.25">
      <c r="A463" t="s">
        <v>3034</v>
      </c>
      <c r="B463" t="s">
        <v>3093</v>
      </c>
      <c r="C463" t="s">
        <v>3038</v>
      </c>
      <c r="D463">
        <v>30.021902659999999</v>
      </c>
      <c r="E463" t="s">
        <v>3035</v>
      </c>
      <c r="F463">
        <v>119.1587404</v>
      </c>
      <c r="G463" t="s">
        <v>3036</v>
      </c>
      <c r="H463">
        <v>9510</v>
      </c>
      <c r="I463" t="s">
        <v>3037</v>
      </c>
    </row>
    <row r="464" spans="1:9" x14ac:dyDescent="0.25">
      <c r="A464" t="s">
        <v>3034</v>
      </c>
      <c r="B464" t="s">
        <v>3347</v>
      </c>
      <c r="C464" t="s">
        <v>3038</v>
      </c>
      <c r="D464">
        <v>29.57945853</v>
      </c>
      <c r="E464" t="s">
        <v>3035</v>
      </c>
      <c r="F464">
        <v>121.95450599999999</v>
      </c>
      <c r="G464" t="s">
        <v>3036</v>
      </c>
      <c r="H464">
        <v>11256</v>
      </c>
      <c r="I464" t="s">
        <v>3037</v>
      </c>
    </row>
    <row r="465" spans="1:9" x14ac:dyDescent="0.25">
      <c r="A465" t="s">
        <v>3034</v>
      </c>
      <c r="B465" t="s">
        <v>3165</v>
      </c>
      <c r="C465" t="s">
        <v>3038</v>
      </c>
      <c r="D465">
        <v>30.559750220000002</v>
      </c>
      <c r="E465" t="s">
        <v>3035</v>
      </c>
      <c r="F465">
        <v>120.6159476</v>
      </c>
      <c r="G465" t="s">
        <v>3036</v>
      </c>
      <c r="H465">
        <v>33727</v>
      </c>
      <c r="I465" t="s">
        <v>3037</v>
      </c>
    </row>
    <row r="466" spans="1:9" x14ac:dyDescent="0.25">
      <c r="A466" t="s">
        <v>3034</v>
      </c>
      <c r="B466" t="s">
        <v>3286</v>
      </c>
      <c r="C466" t="s">
        <v>3038</v>
      </c>
      <c r="D466">
        <v>28.353627719999999</v>
      </c>
      <c r="E466" t="s">
        <v>3035</v>
      </c>
      <c r="F466">
        <v>119.03397579999999</v>
      </c>
      <c r="G466" t="s">
        <v>3036</v>
      </c>
      <c r="H466">
        <v>6310</v>
      </c>
      <c r="I466" t="s">
        <v>3037</v>
      </c>
    </row>
    <row r="467" spans="1:9" x14ac:dyDescent="0.25">
      <c r="A467" t="s">
        <v>3034</v>
      </c>
      <c r="B467" t="s">
        <v>3166</v>
      </c>
      <c r="C467" t="s">
        <v>3038</v>
      </c>
      <c r="D467">
        <v>30.63173802</v>
      </c>
      <c r="E467" t="s">
        <v>3035</v>
      </c>
      <c r="F467">
        <v>120.69509100000001</v>
      </c>
      <c r="G467" t="s">
        <v>3036</v>
      </c>
      <c r="H467">
        <v>93291</v>
      </c>
      <c r="I467" t="s">
        <v>3037</v>
      </c>
    </row>
    <row r="468" spans="1:9" x14ac:dyDescent="0.25">
      <c r="A468" t="s">
        <v>3034</v>
      </c>
      <c r="B468" t="s">
        <v>3167</v>
      </c>
      <c r="C468" t="s">
        <v>3038</v>
      </c>
      <c r="D468">
        <v>30.881440860000001</v>
      </c>
      <c r="E468" t="s">
        <v>3035</v>
      </c>
      <c r="F468">
        <v>120.71063820000001</v>
      </c>
      <c r="G468" t="s">
        <v>3036</v>
      </c>
      <c r="H468">
        <v>111121</v>
      </c>
      <c r="I468" t="s">
        <v>3037</v>
      </c>
    </row>
    <row r="469" spans="1:9" x14ac:dyDescent="0.25">
      <c r="A469" t="s">
        <v>3034</v>
      </c>
      <c r="B469" t="s">
        <v>3570</v>
      </c>
      <c r="C469" t="s">
        <v>3038</v>
      </c>
      <c r="D469">
        <v>27.4761697</v>
      </c>
      <c r="E469" t="s">
        <v>3035</v>
      </c>
      <c r="F469">
        <v>120.5230451</v>
      </c>
      <c r="G469" t="s">
        <v>3036</v>
      </c>
      <c r="H469">
        <v>32220</v>
      </c>
      <c r="I469" t="s">
        <v>3037</v>
      </c>
    </row>
    <row r="470" spans="1:9" x14ac:dyDescent="0.25">
      <c r="A470" t="s">
        <v>3034</v>
      </c>
      <c r="B470" t="s">
        <v>3432</v>
      </c>
      <c r="C470" t="s">
        <v>3038</v>
      </c>
      <c r="D470">
        <v>29.784911409999999</v>
      </c>
      <c r="E470" t="s">
        <v>3035</v>
      </c>
      <c r="F470">
        <v>120.6799499</v>
      </c>
      <c r="G470" t="s">
        <v>3036</v>
      </c>
      <c r="H470">
        <v>20239</v>
      </c>
      <c r="I470" t="s">
        <v>3037</v>
      </c>
    </row>
    <row r="471" spans="1:9" x14ac:dyDescent="0.25">
      <c r="A471" t="s">
        <v>3034</v>
      </c>
      <c r="B471" t="s">
        <v>3234</v>
      </c>
      <c r="C471" t="s">
        <v>3038</v>
      </c>
      <c r="D471">
        <v>28.793804600000001</v>
      </c>
      <c r="E471" t="s">
        <v>3035</v>
      </c>
      <c r="F471">
        <v>119.676726</v>
      </c>
      <c r="G471" t="s">
        <v>3036</v>
      </c>
      <c r="H471">
        <v>21950</v>
      </c>
      <c r="I471" t="s">
        <v>3037</v>
      </c>
    </row>
    <row r="472" spans="1:9" x14ac:dyDescent="0.25">
      <c r="A472" t="s">
        <v>3034</v>
      </c>
      <c r="B472" t="s">
        <v>3571</v>
      </c>
      <c r="C472" t="s">
        <v>3038</v>
      </c>
      <c r="D472">
        <v>27.705451740000001</v>
      </c>
      <c r="E472" t="s">
        <v>3035</v>
      </c>
      <c r="F472">
        <v>120.59747299999999</v>
      </c>
      <c r="G472" t="s">
        <v>3036</v>
      </c>
      <c r="H472">
        <v>52937</v>
      </c>
      <c r="I472" t="s">
        <v>3037</v>
      </c>
    </row>
    <row r="473" spans="1:9" x14ac:dyDescent="0.25">
      <c r="A473" t="s">
        <v>3034</v>
      </c>
      <c r="B473" t="s">
        <v>3094</v>
      </c>
      <c r="C473" t="s">
        <v>3038</v>
      </c>
      <c r="D473">
        <v>30.121614409999999</v>
      </c>
      <c r="E473" t="s">
        <v>3035</v>
      </c>
      <c r="F473">
        <v>119.52979980000001</v>
      </c>
      <c r="G473" t="s">
        <v>3036</v>
      </c>
      <c r="H473">
        <v>18112</v>
      </c>
      <c r="I473" t="s">
        <v>3037</v>
      </c>
    </row>
    <row r="474" spans="1:9" x14ac:dyDescent="0.25">
      <c r="A474" t="s">
        <v>3034</v>
      </c>
      <c r="B474" t="s">
        <v>3095</v>
      </c>
      <c r="C474" t="s">
        <v>3038</v>
      </c>
      <c r="D474">
        <v>29.80104708</v>
      </c>
      <c r="E474" t="s">
        <v>3035</v>
      </c>
      <c r="F474">
        <v>118.81772170000001</v>
      </c>
      <c r="G474" t="s">
        <v>3036</v>
      </c>
      <c r="H474">
        <v>29857</v>
      </c>
      <c r="I474" t="s">
        <v>3037</v>
      </c>
    </row>
    <row r="475" spans="1:9" x14ac:dyDescent="0.25">
      <c r="A475" t="s">
        <v>3034</v>
      </c>
      <c r="B475" t="s">
        <v>3235</v>
      </c>
      <c r="C475" t="s">
        <v>3038</v>
      </c>
      <c r="D475">
        <v>29.367578630000001</v>
      </c>
      <c r="E475" t="s">
        <v>3035</v>
      </c>
      <c r="F475">
        <v>120.4193507</v>
      </c>
      <c r="G475" t="s">
        <v>3036</v>
      </c>
      <c r="H475">
        <v>51898</v>
      </c>
      <c r="I475" t="s">
        <v>3037</v>
      </c>
    </row>
    <row r="476" spans="1:9" x14ac:dyDescent="0.25">
      <c r="A476" t="s">
        <v>3034</v>
      </c>
      <c r="B476" t="s">
        <v>3096</v>
      </c>
      <c r="C476" t="s">
        <v>3038</v>
      </c>
      <c r="D476">
        <v>29.759667820000001</v>
      </c>
      <c r="E476" t="s">
        <v>3035</v>
      </c>
      <c r="F476">
        <v>119.1943675</v>
      </c>
      <c r="G476" t="s">
        <v>3036</v>
      </c>
      <c r="H476">
        <v>8760</v>
      </c>
      <c r="I476" t="s">
        <v>3037</v>
      </c>
    </row>
    <row r="477" spans="1:9" x14ac:dyDescent="0.25">
      <c r="A477" t="s">
        <v>3034</v>
      </c>
      <c r="B477" t="s">
        <v>3487</v>
      </c>
      <c r="C477" t="s">
        <v>3038</v>
      </c>
      <c r="D477">
        <v>28.380497500000001</v>
      </c>
      <c r="E477" t="s">
        <v>3035</v>
      </c>
      <c r="F477">
        <v>121.27409950000001</v>
      </c>
      <c r="G477" t="s">
        <v>3036</v>
      </c>
      <c r="H477">
        <v>73918</v>
      </c>
      <c r="I477" t="s">
        <v>3037</v>
      </c>
    </row>
    <row r="478" spans="1:9" x14ac:dyDescent="0.25">
      <c r="A478" t="s">
        <v>3034</v>
      </c>
      <c r="B478" t="s">
        <v>3287</v>
      </c>
      <c r="C478" t="s">
        <v>3038</v>
      </c>
      <c r="D478">
        <v>28.148353749999998</v>
      </c>
      <c r="E478" t="s">
        <v>3035</v>
      </c>
      <c r="F478">
        <v>120.3756118</v>
      </c>
      <c r="G478" t="s">
        <v>3036</v>
      </c>
      <c r="H478">
        <v>62407</v>
      </c>
      <c r="I478" t="s">
        <v>3037</v>
      </c>
    </row>
    <row r="479" spans="1:9" x14ac:dyDescent="0.25">
      <c r="A479" t="s">
        <v>3034</v>
      </c>
      <c r="B479" t="s">
        <v>3433</v>
      </c>
      <c r="C479" t="s">
        <v>3038</v>
      </c>
      <c r="D479">
        <v>29.495966859999999</v>
      </c>
      <c r="E479" t="s">
        <v>3035</v>
      </c>
      <c r="F479">
        <v>121.0546104</v>
      </c>
      <c r="G479" t="s">
        <v>3036</v>
      </c>
      <c r="H479">
        <v>23730</v>
      </c>
      <c r="I479" t="s">
        <v>3037</v>
      </c>
    </row>
    <row r="480" spans="1:9" x14ac:dyDescent="0.25">
      <c r="A480" t="s">
        <v>3034</v>
      </c>
      <c r="B480" t="s">
        <v>3488</v>
      </c>
      <c r="C480" t="s">
        <v>3038</v>
      </c>
      <c r="D480">
        <v>28.316599920000002</v>
      </c>
      <c r="E480" t="s">
        <v>3035</v>
      </c>
      <c r="F480">
        <v>121.2425095</v>
      </c>
      <c r="G480" t="s">
        <v>3036</v>
      </c>
      <c r="H480">
        <v>20237</v>
      </c>
      <c r="I480" t="s">
        <v>3037</v>
      </c>
    </row>
    <row r="481" spans="1:9" x14ac:dyDescent="0.25">
      <c r="A481" t="s">
        <v>3034</v>
      </c>
      <c r="B481" t="s">
        <v>3097</v>
      </c>
      <c r="C481" t="s">
        <v>3038</v>
      </c>
      <c r="D481">
        <v>30.226371990000001</v>
      </c>
      <c r="E481" t="s">
        <v>3035</v>
      </c>
      <c r="F481">
        <v>119.3796131</v>
      </c>
      <c r="G481" t="s">
        <v>3036</v>
      </c>
      <c r="H481">
        <v>36996</v>
      </c>
      <c r="I481" t="s">
        <v>3037</v>
      </c>
    </row>
    <row r="482" spans="1:9" x14ac:dyDescent="0.25">
      <c r="A482" t="s">
        <v>3034</v>
      </c>
      <c r="B482" t="s">
        <v>3348</v>
      </c>
      <c r="C482" t="s">
        <v>3038</v>
      </c>
      <c r="D482">
        <v>29.842408330000001</v>
      </c>
      <c r="E482" t="s">
        <v>3035</v>
      </c>
      <c r="F482">
        <v>121.7118796</v>
      </c>
      <c r="G482" t="s">
        <v>3036</v>
      </c>
      <c r="H482">
        <v>45354</v>
      </c>
      <c r="I482" t="s">
        <v>3037</v>
      </c>
    </row>
    <row r="483" spans="1:9" x14ac:dyDescent="0.25">
      <c r="A483" t="s">
        <v>3034</v>
      </c>
      <c r="B483" t="s">
        <v>3434</v>
      </c>
      <c r="C483" t="s">
        <v>3038</v>
      </c>
      <c r="D483">
        <v>29.697763219999999</v>
      </c>
      <c r="E483" t="s">
        <v>3035</v>
      </c>
      <c r="F483">
        <v>120.05951140000001</v>
      </c>
      <c r="G483" t="s">
        <v>3036</v>
      </c>
      <c r="H483">
        <v>12861</v>
      </c>
      <c r="I483" t="s">
        <v>3037</v>
      </c>
    </row>
    <row r="484" spans="1:9" x14ac:dyDescent="0.25">
      <c r="A484" t="s">
        <v>3034</v>
      </c>
      <c r="B484" t="s">
        <v>3168</v>
      </c>
      <c r="C484" t="s">
        <v>3038</v>
      </c>
      <c r="D484">
        <v>30.737620270000001</v>
      </c>
      <c r="E484" t="s">
        <v>3035</v>
      </c>
      <c r="F484">
        <v>120.5057939</v>
      </c>
      <c r="G484" t="s">
        <v>3036</v>
      </c>
      <c r="H484">
        <v>79831</v>
      </c>
      <c r="I484" t="s">
        <v>3037</v>
      </c>
    </row>
    <row r="485" spans="1:9" x14ac:dyDescent="0.25">
      <c r="A485" t="s">
        <v>3034</v>
      </c>
      <c r="B485" t="s">
        <v>3393</v>
      </c>
      <c r="C485" t="s">
        <v>3038</v>
      </c>
      <c r="D485">
        <v>29.167888309999999</v>
      </c>
      <c r="E485" t="s">
        <v>3035</v>
      </c>
      <c r="F485">
        <v>119.009649</v>
      </c>
      <c r="G485" t="s">
        <v>3036</v>
      </c>
      <c r="H485">
        <v>10436</v>
      </c>
      <c r="I485" t="s">
        <v>3037</v>
      </c>
    </row>
    <row r="486" spans="1:9" x14ac:dyDescent="0.25">
      <c r="A486" t="s">
        <v>3034</v>
      </c>
      <c r="B486" t="s">
        <v>3489</v>
      </c>
      <c r="C486" t="s">
        <v>3038</v>
      </c>
      <c r="D486">
        <v>28.842420350000001</v>
      </c>
      <c r="E486" t="s">
        <v>3035</v>
      </c>
      <c r="F486">
        <v>120.85745420000001</v>
      </c>
      <c r="G486" t="s">
        <v>3036</v>
      </c>
      <c r="H486">
        <v>34378</v>
      </c>
      <c r="I486" t="s">
        <v>3037</v>
      </c>
    </row>
    <row r="487" spans="1:9" x14ac:dyDescent="0.25">
      <c r="A487" t="s">
        <v>3034</v>
      </c>
      <c r="B487" t="s">
        <v>3435</v>
      </c>
      <c r="C487" t="s">
        <v>3038</v>
      </c>
      <c r="D487">
        <v>29.837502789999998</v>
      </c>
      <c r="E487" t="s">
        <v>3035</v>
      </c>
      <c r="F487">
        <v>121.0248567</v>
      </c>
      <c r="G487" t="s">
        <v>3036</v>
      </c>
      <c r="H487">
        <v>8255</v>
      </c>
      <c r="I487" t="s">
        <v>3037</v>
      </c>
    </row>
    <row r="488" spans="1:9" x14ac:dyDescent="0.25">
      <c r="A488" t="s">
        <v>3034</v>
      </c>
      <c r="B488" t="s">
        <v>3572</v>
      </c>
      <c r="C488" t="s">
        <v>3038</v>
      </c>
      <c r="D488">
        <v>27.174044800000001</v>
      </c>
      <c r="E488" t="s">
        <v>3035</v>
      </c>
      <c r="F488">
        <v>120.4665255</v>
      </c>
      <c r="G488" t="s">
        <v>3036</v>
      </c>
      <c r="H488">
        <v>13796</v>
      </c>
      <c r="I488" t="s">
        <v>3037</v>
      </c>
    </row>
    <row r="489" spans="1:9" x14ac:dyDescent="0.25">
      <c r="A489" t="s">
        <v>3034</v>
      </c>
      <c r="B489" t="s">
        <v>3394</v>
      </c>
      <c r="C489" t="s">
        <v>3038</v>
      </c>
      <c r="D489">
        <v>28.4497854</v>
      </c>
      <c r="E489" t="s">
        <v>3035</v>
      </c>
      <c r="F489">
        <v>118.5470117</v>
      </c>
      <c r="G489" t="s">
        <v>3036</v>
      </c>
      <c r="H489">
        <v>29446</v>
      </c>
      <c r="I489" t="s">
        <v>3037</v>
      </c>
    </row>
    <row r="490" spans="1:9" x14ac:dyDescent="0.25">
      <c r="A490" t="s">
        <v>3034</v>
      </c>
      <c r="B490" t="s">
        <v>3436</v>
      </c>
      <c r="C490" t="s">
        <v>3038</v>
      </c>
      <c r="D490">
        <v>30.047117360000001</v>
      </c>
      <c r="E490" t="s">
        <v>3035</v>
      </c>
      <c r="F490">
        <v>120.3580807</v>
      </c>
      <c r="G490" t="s">
        <v>3036</v>
      </c>
      <c r="H490">
        <v>22738</v>
      </c>
      <c r="I490" t="s">
        <v>3037</v>
      </c>
    </row>
    <row r="491" spans="1:9" x14ac:dyDescent="0.25">
      <c r="A491" t="s">
        <v>3034</v>
      </c>
      <c r="B491" t="s">
        <v>3288</v>
      </c>
      <c r="C491" t="s">
        <v>3038</v>
      </c>
      <c r="D491">
        <v>28.389135899999999</v>
      </c>
      <c r="E491" t="s">
        <v>3035</v>
      </c>
      <c r="F491">
        <v>119.5917668</v>
      </c>
      <c r="G491" t="s">
        <v>3036</v>
      </c>
      <c r="H491">
        <v>8765</v>
      </c>
      <c r="I491" t="s">
        <v>3037</v>
      </c>
    </row>
    <row r="492" spans="1:9" x14ac:dyDescent="0.25">
      <c r="A492" t="s">
        <v>3034</v>
      </c>
      <c r="B492" t="s">
        <v>3236</v>
      </c>
      <c r="C492" t="s">
        <v>3038</v>
      </c>
      <c r="D492">
        <v>29.30723442</v>
      </c>
      <c r="E492" t="s">
        <v>3035</v>
      </c>
      <c r="F492">
        <v>119.54147620000001</v>
      </c>
      <c r="G492" t="s">
        <v>3036</v>
      </c>
      <c r="H492">
        <v>28043</v>
      </c>
      <c r="I492" t="s">
        <v>3037</v>
      </c>
    </row>
    <row r="493" spans="1:9" x14ac:dyDescent="0.25">
      <c r="A493" t="s">
        <v>3034</v>
      </c>
      <c r="B493" t="s">
        <v>3573</v>
      </c>
      <c r="C493" t="s">
        <v>3038</v>
      </c>
      <c r="D493">
        <v>28.031400000000001</v>
      </c>
      <c r="E493" t="s">
        <v>3035</v>
      </c>
      <c r="F493">
        <v>120.91889999999999</v>
      </c>
      <c r="G493" t="s">
        <v>3036</v>
      </c>
      <c r="H493">
        <v>42715</v>
      </c>
      <c r="I493" t="s">
        <v>3037</v>
      </c>
    </row>
    <row r="494" spans="1:9" x14ac:dyDescent="0.25">
      <c r="A494" t="s">
        <v>3034</v>
      </c>
      <c r="B494" t="s">
        <v>3237</v>
      </c>
      <c r="C494" t="s">
        <v>3038</v>
      </c>
      <c r="D494">
        <v>29.017509189999998</v>
      </c>
      <c r="E494" t="s">
        <v>3035</v>
      </c>
      <c r="F494">
        <v>120.04789220000001</v>
      </c>
      <c r="G494" t="s">
        <v>3036</v>
      </c>
      <c r="H494">
        <v>43812</v>
      </c>
      <c r="I494" t="s">
        <v>3037</v>
      </c>
    </row>
    <row r="495" spans="1:9" x14ac:dyDescent="0.25">
      <c r="A495" t="s">
        <v>3034</v>
      </c>
      <c r="B495" t="s">
        <v>3289</v>
      </c>
      <c r="C495" t="s">
        <v>3038</v>
      </c>
      <c r="D495">
        <v>27.660506099999999</v>
      </c>
      <c r="E495" t="s">
        <v>3035</v>
      </c>
      <c r="F495">
        <v>119.23054639999999</v>
      </c>
      <c r="G495" t="s">
        <v>3036</v>
      </c>
      <c r="H495">
        <v>1482</v>
      </c>
      <c r="I495" t="s">
        <v>3037</v>
      </c>
    </row>
    <row r="496" spans="1:9" x14ac:dyDescent="0.25">
      <c r="A496" t="s">
        <v>3034</v>
      </c>
      <c r="B496" t="s">
        <v>3574</v>
      </c>
      <c r="C496" t="s">
        <v>3038</v>
      </c>
      <c r="D496">
        <v>28.41719329</v>
      </c>
      <c r="E496" t="s">
        <v>3035</v>
      </c>
      <c r="F496">
        <v>121.0230447</v>
      </c>
      <c r="G496" t="s">
        <v>3036</v>
      </c>
      <c r="H496">
        <v>14459</v>
      </c>
      <c r="I496" t="s">
        <v>3037</v>
      </c>
    </row>
    <row r="497" spans="1:9" x14ac:dyDescent="0.25">
      <c r="A497" t="s">
        <v>3034</v>
      </c>
      <c r="B497" t="s">
        <v>5139</v>
      </c>
      <c r="C497" t="s">
        <v>3038</v>
      </c>
      <c r="D497">
        <v>29.665063</v>
      </c>
      <c r="E497" t="s">
        <v>3035</v>
      </c>
      <c r="F497">
        <v>121.78628860000001</v>
      </c>
      <c r="G497" t="s">
        <v>3036</v>
      </c>
      <c r="H497">
        <v>29147</v>
      </c>
      <c r="I497" t="s">
        <v>3037</v>
      </c>
    </row>
    <row r="498" spans="1:9" x14ac:dyDescent="0.25">
      <c r="A498" t="s">
        <v>3034</v>
      </c>
      <c r="B498" t="s">
        <v>5140</v>
      </c>
      <c r="C498" t="s">
        <v>3038</v>
      </c>
      <c r="D498">
        <v>29.60840322</v>
      </c>
      <c r="E498" t="s">
        <v>3035</v>
      </c>
      <c r="F498">
        <v>121.8750653</v>
      </c>
      <c r="G498" t="s">
        <v>3036</v>
      </c>
      <c r="H498">
        <v>16454</v>
      </c>
      <c r="I498" t="s">
        <v>3037</v>
      </c>
    </row>
    <row r="499" spans="1:9" x14ac:dyDescent="0.25">
      <c r="A499" t="s">
        <v>3034</v>
      </c>
      <c r="B499" t="s">
        <v>3437</v>
      </c>
      <c r="C499" t="s">
        <v>3038</v>
      </c>
      <c r="D499">
        <v>29.685624520000001</v>
      </c>
      <c r="E499" t="s">
        <v>3035</v>
      </c>
      <c r="F499">
        <v>120.83784609999999</v>
      </c>
      <c r="G499" t="s">
        <v>3036</v>
      </c>
      <c r="H499">
        <v>10474</v>
      </c>
      <c r="I499" t="s">
        <v>3037</v>
      </c>
    </row>
    <row r="500" spans="1:9" x14ac:dyDescent="0.25">
      <c r="A500" t="s">
        <v>3034</v>
      </c>
      <c r="B500" t="s">
        <v>3349</v>
      </c>
      <c r="C500" t="s">
        <v>3038</v>
      </c>
      <c r="D500">
        <v>30.2603054</v>
      </c>
      <c r="E500" t="s">
        <v>3035</v>
      </c>
      <c r="F500">
        <v>120.99267690000001</v>
      </c>
      <c r="G500" t="s">
        <v>3036</v>
      </c>
      <c r="H500">
        <v>30364</v>
      </c>
      <c r="I500" t="s">
        <v>3037</v>
      </c>
    </row>
    <row r="501" spans="1:9" x14ac:dyDescent="0.25">
      <c r="A501" t="s">
        <v>3034</v>
      </c>
      <c r="B501" t="s">
        <v>3575</v>
      </c>
      <c r="C501" t="s">
        <v>3038</v>
      </c>
      <c r="D501">
        <v>27.581071699999999</v>
      </c>
      <c r="E501" t="s">
        <v>3035</v>
      </c>
      <c r="F501">
        <v>119.9329367</v>
      </c>
      <c r="G501" t="s">
        <v>3036</v>
      </c>
      <c r="H501">
        <v>10740</v>
      </c>
      <c r="I501" t="s">
        <v>3037</v>
      </c>
    </row>
    <row r="502" spans="1:9" x14ac:dyDescent="0.25">
      <c r="A502" t="s">
        <v>3034</v>
      </c>
      <c r="B502" t="s">
        <v>3137</v>
      </c>
      <c r="C502" t="s">
        <v>3038</v>
      </c>
      <c r="D502">
        <v>30.600517239999999</v>
      </c>
      <c r="E502" t="s">
        <v>3035</v>
      </c>
      <c r="F502">
        <v>119.4985425</v>
      </c>
      <c r="G502" t="s">
        <v>3036</v>
      </c>
      <c r="H502">
        <v>44280</v>
      </c>
      <c r="I502" t="s">
        <v>3037</v>
      </c>
    </row>
    <row r="503" spans="1:9" x14ac:dyDescent="0.25">
      <c r="A503" t="s">
        <v>3034</v>
      </c>
      <c r="B503" t="s">
        <v>3438</v>
      </c>
      <c r="C503" t="s">
        <v>3038</v>
      </c>
      <c r="D503">
        <v>29.370679679999999</v>
      </c>
      <c r="E503" t="s">
        <v>3035</v>
      </c>
      <c r="F503">
        <v>121.10143170000001</v>
      </c>
      <c r="G503" t="s">
        <v>3036</v>
      </c>
      <c r="H503">
        <v>10633</v>
      </c>
      <c r="I503" t="s">
        <v>3037</v>
      </c>
    </row>
    <row r="504" spans="1:9" x14ac:dyDescent="0.25">
      <c r="A504" t="s">
        <v>3034</v>
      </c>
      <c r="B504" t="s">
        <v>3576</v>
      </c>
      <c r="C504" t="s">
        <v>3038</v>
      </c>
      <c r="D504">
        <v>27.592166890000001</v>
      </c>
      <c r="E504" t="s">
        <v>3035</v>
      </c>
      <c r="F504">
        <v>120.4216078</v>
      </c>
      <c r="G504" t="s">
        <v>3036</v>
      </c>
      <c r="H504">
        <v>65237</v>
      </c>
      <c r="I504" t="s">
        <v>3037</v>
      </c>
    </row>
    <row r="505" spans="1:9" x14ac:dyDescent="0.25">
      <c r="A505" t="s">
        <v>3034</v>
      </c>
      <c r="B505" t="s">
        <v>3350</v>
      </c>
      <c r="C505" t="s">
        <v>3038</v>
      </c>
      <c r="D505">
        <v>30.195951789999999</v>
      </c>
      <c r="E505" t="s">
        <v>3035</v>
      </c>
      <c r="F505">
        <v>121.3238972</v>
      </c>
      <c r="G505" t="s">
        <v>3036</v>
      </c>
      <c r="H505">
        <v>55099</v>
      </c>
      <c r="I505" t="s">
        <v>3037</v>
      </c>
    </row>
    <row r="506" spans="1:9" x14ac:dyDescent="0.25">
      <c r="A506" t="s">
        <v>3034</v>
      </c>
      <c r="B506" t="s">
        <v>3290</v>
      </c>
      <c r="C506" t="s">
        <v>3038</v>
      </c>
      <c r="D506">
        <v>27.846226290000001</v>
      </c>
      <c r="E506" t="s">
        <v>3035</v>
      </c>
      <c r="F506">
        <v>118.96807990000001</v>
      </c>
      <c r="G506" t="s">
        <v>3036</v>
      </c>
      <c r="H506">
        <v>8559</v>
      </c>
      <c r="I506" t="s">
        <v>3037</v>
      </c>
    </row>
    <row r="507" spans="1:9" x14ac:dyDescent="0.25">
      <c r="A507" t="s">
        <v>3034</v>
      </c>
      <c r="B507" t="s">
        <v>3395</v>
      </c>
      <c r="C507" t="s">
        <v>3038</v>
      </c>
      <c r="D507">
        <v>29.065113159999999</v>
      </c>
      <c r="E507" t="s">
        <v>3035</v>
      </c>
      <c r="F507">
        <v>119.1151493</v>
      </c>
      <c r="G507" t="s">
        <v>3036</v>
      </c>
      <c r="H507">
        <v>26780</v>
      </c>
      <c r="I507" t="s">
        <v>3037</v>
      </c>
    </row>
    <row r="508" spans="1:9" x14ac:dyDescent="0.25">
      <c r="A508" t="s">
        <v>3034</v>
      </c>
      <c r="B508" t="s">
        <v>3138</v>
      </c>
      <c r="C508" t="s">
        <v>3038</v>
      </c>
      <c r="D508">
        <v>31.034368570000002</v>
      </c>
      <c r="E508" t="s">
        <v>3035</v>
      </c>
      <c r="F508">
        <v>119.7911199</v>
      </c>
      <c r="G508" t="s">
        <v>3036</v>
      </c>
      <c r="H508">
        <v>23118</v>
      </c>
      <c r="I508" t="s">
        <v>3037</v>
      </c>
    </row>
    <row r="509" spans="1:9" x14ac:dyDescent="0.25">
      <c r="A509" t="s">
        <v>3034</v>
      </c>
      <c r="B509" t="s">
        <v>3238</v>
      </c>
      <c r="C509" t="s">
        <v>3038</v>
      </c>
      <c r="D509">
        <v>29.176361880000002</v>
      </c>
      <c r="E509" t="s">
        <v>3035</v>
      </c>
      <c r="F509">
        <v>119.8726027</v>
      </c>
      <c r="G509" t="s">
        <v>3036</v>
      </c>
      <c r="H509">
        <v>71012</v>
      </c>
      <c r="I509" t="s">
        <v>3037</v>
      </c>
    </row>
    <row r="510" spans="1:9" x14ac:dyDescent="0.25">
      <c r="A510" t="s">
        <v>3034</v>
      </c>
      <c r="B510" t="s">
        <v>3490</v>
      </c>
      <c r="C510" t="s">
        <v>3038</v>
      </c>
      <c r="D510">
        <v>28.869786139999999</v>
      </c>
      <c r="E510" t="s">
        <v>3035</v>
      </c>
      <c r="F510">
        <v>121.42782510000001</v>
      </c>
      <c r="G510" t="s">
        <v>3036</v>
      </c>
      <c r="H510">
        <v>25342</v>
      </c>
      <c r="I510" t="s">
        <v>3037</v>
      </c>
    </row>
    <row r="511" spans="1:9" x14ac:dyDescent="0.25">
      <c r="A511" t="s">
        <v>3034</v>
      </c>
      <c r="B511" t="s">
        <v>3439</v>
      </c>
      <c r="C511" t="s">
        <v>3038</v>
      </c>
      <c r="D511">
        <v>29.703286729999999</v>
      </c>
      <c r="E511" t="s">
        <v>3035</v>
      </c>
      <c r="F511">
        <v>120.9563912</v>
      </c>
      <c r="G511" t="s">
        <v>3036</v>
      </c>
      <c r="H511">
        <v>7648</v>
      </c>
      <c r="I511" t="s">
        <v>3037</v>
      </c>
    </row>
    <row r="512" spans="1:9" x14ac:dyDescent="0.25">
      <c r="A512" t="s">
        <v>3034</v>
      </c>
      <c r="B512" t="s">
        <v>3098</v>
      </c>
      <c r="C512" t="s">
        <v>3038</v>
      </c>
      <c r="D512">
        <v>29.574489459999999</v>
      </c>
      <c r="E512" t="s">
        <v>3035</v>
      </c>
      <c r="F512">
        <v>119.3693004</v>
      </c>
      <c r="G512" t="s">
        <v>3036</v>
      </c>
      <c r="H512">
        <v>18942</v>
      </c>
      <c r="I512" t="s">
        <v>3037</v>
      </c>
    </row>
    <row r="513" spans="1:9" x14ac:dyDescent="0.25">
      <c r="A513" t="s">
        <v>3034</v>
      </c>
      <c r="B513" t="s">
        <v>3605</v>
      </c>
      <c r="C513" t="s">
        <v>3038</v>
      </c>
      <c r="D513">
        <v>29.763635879999999</v>
      </c>
      <c r="E513" t="s">
        <v>3035</v>
      </c>
      <c r="F513">
        <v>122.2394618</v>
      </c>
      <c r="G513" t="s">
        <v>3036</v>
      </c>
      <c r="H513">
        <v>13111</v>
      </c>
      <c r="I513" t="s">
        <v>3037</v>
      </c>
    </row>
    <row r="514" spans="1:9" x14ac:dyDescent="0.25">
      <c r="A514" t="s">
        <v>3034</v>
      </c>
      <c r="B514" t="s">
        <v>3351</v>
      </c>
      <c r="C514" t="s">
        <v>3038</v>
      </c>
      <c r="D514">
        <v>29.466689290000001</v>
      </c>
      <c r="E514" t="s">
        <v>3035</v>
      </c>
      <c r="F514">
        <v>121.41776590000001</v>
      </c>
      <c r="G514" t="s">
        <v>3036</v>
      </c>
      <c r="H514">
        <v>70754</v>
      </c>
      <c r="I514" t="s">
        <v>3037</v>
      </c>
    </row>
    <row r="515" spans="1:9" x14ac:dyDescent="0.25">
      <c r="A515" t="s">
        <v>3034</v>
      </c>
      <c r="B515" t="s">
        <v>3352</v>
      </c>
      <c r="C515" t="s">
        <v>3038</v>
      </c>
      <c r="D515">
        <v>30.027501359999999</v>
      </c>
      <c r="E515" t="s">
        <v>3035</v>
      </c>
      <c r="F515">
        <v>121.62983560000001</v>
      </c>
      <c r="G515" t="s">
        <v>3036</v>
      </c>
      <c r="H515">
        <v>41405</v>
      </c>
      <c r="I515" t="s">
        <v>3037</v>
      </c>
    </row>
    <row r="516" spans="1:9" x14ac:dyDescent="0.25">
      <c r="A516" t="s">
        <v>3034</v>
      </c>
      <c r="B516" t="s">
        <v>3169</v>
      </c>
      <c r="C516" t="s">
        <v>3038</v>
      </c>
      <c r="D516">
        <v>30.49131427</v>
      </c>
      <c r="E516" t="s">
        <v>3035</v>
      </c>
      <c r="F516">
        <v>120.6040268</v>
      </c>
      <c r="G516" t="s">
        <v>3036</v>
      </c>
      <c r="H516">
        <v>65473</v>
      </c>
      <c r="I516" t="s">
        <v>3037</v>
      </c>
    </row>
    <row r="517" spans="1:9" x14ac:dyDescent="0.25">
      <c r="A517" t="s">
        <v>3034</v>
      </c>
      <c r="B517" t="s">
        <v>3440</v>
      </c>
      <c r="C517" t="s">
        <v>3038</v>
      </c>
      <c r="D517">
        <v>30.108414060000001</v>
      </c>
      <c r="E517" t="s">
        <v>3035</v>
      </c>
      <c r="F517">
        <v>120.9071768</v>
      </c>
      <c r="G517" t="s">
        <v>3036</v>
      </c>
      <c r="H517">
        <v>27317</v>
      </c>
      <c r="I517" t="s">
        <v>3037</v>
      </c>
    </row>
    <row r="518" spans="1:9" x14ac:dyDescent="0.25">
      <c r="A518" t="s">
        <v>3034</v>
      </c>
      <c r="B518" t="s">
        <v>3577</v>
      </c>
      <c r="C518" t="s">
        <v>3038</v>
      </c>
      <c r="D518">
        <v>27.847081859999999</v>
      </c>
      <c r="E518" t="s">
        <v>3035</v>
      </c>
      <c r="F518">
        <v>119.8648276</v>
      </c>
      <c r="G518" t="s">
        <v>3036</v>
      </c>
      <c r="H518">
        <v>6679</v>
      </c>
      <c r="I518" t="s">
        <v>3037</v>
      </c>
    </row>
    <row r="519" spans="1:9" x14ac:dyDescent="0.25">
      <c r="A519" t="s">
        <v>3034</v>
      </c>
      <c r="B519" t="s">
        <v>5141</v>
      </c>
      <c r="C519" t="s">
        <v>3038</v>
      </c>
      <c r="D519">
        <v>29.64022611</v>
      </c>
      <c r="E519" t="s">
        <v>3035</v>
      </c>
      <c r="F519">
        <v>121.19758539999999</v>
      </c>
      <c r="G519" t="s">
        <v>3036</v>
      </c>
      <c r="H519">
        <v>73756</v>
      </c>
      <c r="I519" t="s">
        <v>3037</v>
      </c>
    </row>
    <row r="520" spans="1:9" x14ac:dyDescent="0.25">
      <c r="A520" t="s">
        <v>3034</v>
      </c>
      <c r="B520" t="s">
        <v>5142</v>
      </c>
      <c r="C520" t="s">
        <v>3038</v>
      </c>
      <c r="D520">
        <v>28.885384259999999</v>
      </c>
      <c r="E520" t="s">
        <v>3035</v>
      </c>
      <c r="F520">
        <v>119.17355550000001</v>
      </c>
      <c r="G520" t="s">
        <v>3036</v>
      </c>
      <c r="H520">
        <v>17862</v>
      </c>
      <c r="I520" t="s">
        <v>3037</v>
      </c>
    </row>
    <row r="521" spans="1:9" x14ac:dyDescent="0.25">
      <c r="A521" t="s">
        <v>3034</v>
      </c>
      <c r="B521" t="s">
        <v>3139</v>
      </c>
      <c r="C521" t="s">
        <v>3038</v>
      </c>
      <c r="D521">
        <v>30.549079379999998</v>
      </c>
      <c r="E521" t="s">
        <v>3035</v>
      </c>
      <c r="F521">
        <v>120.2021297</v>
      </c>
      <c r="G521" t="s">
        <v>3036</v>
      </c>
      <c r="H521">
        <v>31167</v>
      </c>
      <c r="I521" t="s">
        <v>3037</v>
      </c>
    </row>
    <row r="522" spans="1:9" x14ac:dyDescent="0.25">
      <c r="A522" t="s">
        <v>3034</v>
      </c>
      <c r="B522" t="s">
        <v>3170</v>
      </c>
      <c r="C522" t="s">
        <v>3038</v>
      </c>
      <c r="D522">
        <v>30.739231570000001</v>
      </c>
      <c r="E522" t="s">
        <v>3035</v>
      </c>
      <c r="F522">
        <v>121.1973026</v>
      </c>
      <c r="G522" t="s">
        <v>3036</v>
      </c>
      <c r="H522">
        <v>49305</v>
      </c>
      <c r="I522" t="s">
        <v>3037</v>
      </c>
    </row>
    <row r="523" spans="1:9" x14ac:dyDescent="0.25">
      <c r="A523" t="s">
        <v>3034</v>
      </c>
      <c r="B523" t="s">
        <v>3171</v>
      </c>
      <c r="C523" t="s">
        <v>3038</v>
      </c>
      <c r="D523">
        <v>30.78967046</v>
      </c>
      <c r="E523" t="s">
        <v>3035</v>
      </c>
      <c r="F523">
        <v>120.6034313</v>
      </c>
      <c r="G523" t="s">
        <v>3036</v>
      </c>
      <c r="H523">
        <v>78822</v>
      </c>
      <c r="I523" t="s">
        <v>3037</v>
      </c>
    </row>
    <row r="524" spans="1:9" x14ac:dyDescent="0.25">
      <c r="A524" t="s">
        <v>3034</v>
      </c>
      <c r="B524" t="s">
        <v>3172</v>
      </c>
      <c r="C524" t="s">
        <v>3038</v>
      </c>
      <c r="D524">
        <v>30.80869878</v>
      </c>
      <c r="E524" t="s">
        <v>3035</v>
      </c>
      <c r="F524">
        <v>121.0798082</v>
      </c>
      <c r="G524" t="s">
        <v>3036</v>
      </c>
      <c r="H524">
        <v>70209</v>
      </c>
      <c r="I524" t="s">
        <v>3037</v>
      </c>
    </row>
    <row r="525" spans="1:9" x14ac:dyDescent="0.25">
      <c r="A525" t="s">
        <v>3034</v>
      </c>
      <c r="B525" t="s">
        <v>3099</v>
      </c>
      <c r="C525" t="s">
        <v>3038</v>
      </c>
      <c r="D525">
        <v>30.004111219999999</v>
      </c>
      <c r="E525" t="s">
        <v>3035</v>
      </c>
      <c r="F525">
        <v>119.7217485</v>
      </c>
      <c r="G525" t="s">
        <v>3036</v>
      </c>
      <c r="H525">
        <v>70580</v>
      </c>
      <c r="I525" t="s">
        <v>3037</v>
      </c>
    </row>
    <row r="526" spans="1:9" x14ac:dyDescent="0.25">
      <c r="A526" t="s">
        <v>3034</v>
      </c>
      <c r="B526" t="s">
        <v>3173</v>
      </c>
      <c r="C526" t="s">
        <v>3038</v>
      </c>
      <c r="D526">
        <v>30.695969909999999</v>
      </c>
      <c r="E526" t="s">
        <v>3035</v>
      </c>
      <c r="F526">
        <v>120.9258552</v>
      </c>
      <c r="G526" t="s">
        <v>3036</v>
      </c>
      <c r="H526">
        <v>49496</v>
      </c>
      <c r="I526" t="s">
        <v>3037</v>
      </c>
    </row>
    <row r="527" spans="1:9" x14ac:dyDescent="0.25">
      <c r="A527" t="s">
        <v>3034</v>
      </c>
      <c r="B527" t="s">
        <v>3491</v>
      </c>
      <c r="C527" t="s">
        <v>3038</v>
      </c>
      <c r="D527">
        <v>28.455738839999999</v>
      </c>
      <c r="E527" t="s">
        <v>3035</v>
      </c>
      <c r="F527">
        <v>121.4551483</v>
      </c>
      <c r="G527" t="s">
        <v>3036</v>
      </c>
      <c r="H527">
        <v>108326</v>
      </c>
      <c r="I527" t="s">
        <v>3037</v>
      </c>
    </row>
    <row r="528" spans="1:9" x14ac:dyDescent="0.25">
      <c r="A528" t="s">
        <v>3034</v>
      </c>
      <c r="B528" t="s">
        <v>3291</v>
      </c>
      <c r="C528" t="s">
        <v>3038</v>
      </c>
      <c r="D528">
        <v>28.731038680000001</v>
      </c>
      <c r="E528" t="s">
        <v>3035</v>
      </c>
      <c r="F528">
        <v>119.9638673</v>
      </c>
      <c r="G528" t="s">
        <v>3036</v>
      </c>
      <c r="H528">
        <v>43793</v>
      </c>
      <c r="I528" t="s">
        <v>3037</v>
      </c>
    </row>
    <row r="529" spans="1:9" x14ac:dyDescent="0.25">
      <c r="A529" t="s">
        <v>3034</v>
      </c>
      <c r="B529" t="s">
        <v>3292</v>
      </c>
      <c r="C529" t="s">
        <v>3038</v>
      </c>
      <c r="D529">
        <v>28.68760056</v>
      </c>
      <c r="E529" t="s">
        <v>3035</v>
      </c>
      <c r="F529">
        <v>119.2445658</v>
      </c>
      <c r="G529" t="s">
        <v>3036</v>
      </c>
      <c r="H529">
        <v>7818</v>
      </c>
      <c r="I529" t="s">
        <v>3037</v>
      </c>
    </row>
    <row r="530" spans="1:9" x14ac:dyDescent="0.25">
      <c r="A530" t="s">
        <v>3034</v>
      </c>
      <c r="B530" t="s">
        <v>3353</v>
      </c>
      <c r="C530" t="s">
        <v>3038</v>
      </c>
      <c r="D530">
        <v>30.282233160000001</v>
      </c>
      <c r="E530" t="s">
        <v>3035</v>
      </c>
      <c r="F530">
        <v>121.3906028</v>
      </c>
      <c r="G530" t="s">
        <v>3036</v>
      </c>
      <c r="H530">
        <v>64166</v>
      </c>
      <c r="I530" t="s">
        <v>3037</v>
      </c>
    </row>
    <row r="531" spans="1:9" x14ac:dyDescent="0.25">
      <c r="A531" t="s">
        <v>3034</v>
      </c>
      <c r="B531" t="s">
        <v>5143</v>
      </c>
      <c r="C531" t="s">
        <v>3038</v>
      </c>
      <c r="D531">
        <v>29.322754750000001</v>
      </c>
      <c r="E531" t="s">
        <v>3035</v>
      </c>
      <c r="F531">
        <v>121.84352490000001</v>
      </c>
      <c r="G531" t="s">
        <v>3036</v>
      </c>
      <c r="H531">
        <v>16207</v>
      </c>
      <c r="I531" t="s">
        <v>3037</v>
      </c>
    </row>
    <row r="532" spans="1:9" x14ac:dyDescent="0.25">
      <c r="A532" t="s">
        <v>3034</v>
      </c>
      <c r="B532" t="s">
        <v>5144</v>
      </c>
      <c r="C532" t="s">
        <v>3038</v>
      </c>
      <c r="D532">
        <v>28.519890010000001</v>
      </c>
      <c r="E532" t="s">
        <v>3035</v>
      </c>
      <c r="F532">
        <v>121.4119366</v>
      </c>
      <c r="G532" t="s">
        <v>3036</v>
      </c>
      <c r="H532">
        <v>39595</v>
      </c>
      <c r="I532" t="s">
        <v>3037</v>
      </c>
    </row>
    <row r="533" spans="1:9" x14ac:dyDescent="0.25">
      <c r="A533" t="s">
        <v>3034</v>
      </c>
      <c r="B533" t="s">
        <v>3140</v>
      </c>
      <c r="C533" t="s">
        <v>3038</v>
      </c>
      <c r="D533">
        <v>30.6127091</v>
      </c>
      <c r="E533" t="s">
        <v>3035</v>
      </c>
      <c r="F533">
        <v>120.2553654</v>
      </c>
      <c r="G533" t="s">
        <v>3036</v>
      </c>
      <c r="H533">
        <v>68646</v>
      </c>
      <c r="I533" t="s">
        <v>3037</v>
      </c>
    </row>
    <row r="534" spans="1:9" x14ac:dyDescent="0.25">
      <c r="A534" t="s">
        <v>3034</v>
      </c>
      <c r="B534" t="s">
        <v>3396</v>
      </c>
      <c r="C534" t="s">
        <v>3038</v>
      </c>
      <c r="D534">
        <v>28.603227789999998</v>
      </c>
      <c r="E534" t="s">
        <v>3035</v>
      </c>
      <c r="F534">
        <v>118.44661929999999</v>
      </c>
      <c r="G534" t="s">
        <v>3036</v>
      </c>
      <c r="H534">
        <v>16838</v>
      </c>
      <c r="I534" t="s">
        <v>3037</v>
      </c>
    </row>
    <row r="535" spans="1:9" x14ac:dyDescent="0.25">
      <c r="A535" t="s">
        <v>3034</v>
      </c>
      <c r="B535" t="s">
        <v>3293</v>
      </c>
      <c r="C535" t="s">
        <v>3038</v>
      </c>
      <c r="D535">
        <v>28.49262161</v>
      </c>
      <c r="E535" t="s">
        <v>3035</v>
      </c>
      <c r="F535">
        <v>119.3218766</v>
      </c>
      <c r="G535" t="s">
        <v>3036</v>
      </c>
      <c r="H535">
        <v>14931</v>
      </c>
      <c r="I535" t="s">
        <v>3037</v>
      </c>
    </row>
    <row r="536" spans="1:9" x14ac:dyDescent="0.25">
      <c r="A536" t="s">
        <v>3034</v>
      </c>
      <c r="B536" t="s">
        <v>3239</v>
      </c>
      <c r="C536" t="s">
        <v>3038</v>
      </c>
      <c r="D536">
        <v>28.701173690000001</v>
      </c>
      <c r="E536" t="s">
        <v>3035</v>
      </c>
      <c r="F536">
        <v>119.76353520000001</v>
      </c>
      <c r="G536" t="s">
        <v>3036</v>
      </c>
      <c r="H536">
        <v>9146</v>
      </c>
      <c r="I536" t="s">
        <v>3037</v>
      </c>
    </row>
    <row r="537" spans="1:9" x14ac:dyDescent="0.25">
      <c r="A537" t="s">
        <v>3034</v>
      </c>
      <c r="B537" t="s">
        <v>3174</v>
      </c>
      <c r="C537" t="s">
        <v>3038</v>
      </c>
      <c r="D537">
        <v>30.962384740000001</v>
      </c>
      <c r="E537" t="s">
        <v>3035</v>
      </c>
      <c r="F537">
        <v>120.8772184</v>
      </c>
      <c r="G537" t="s">
        <v>3036</v>
      </c>
      <c r="H537">
        <v>65211</v>
      </c>
      <c r="I537" t="s">
        <v>3037</v>
      </c>
    </row>
    <row r="538" spans="1:9" x14ac:dyDescent="0.25">
      <c r="A538" t="s">
        <v>3034</v>
      </c>
      <c r="B538" t="s">
        <v>3240</v>
      </c>
      <c r="C538" t="s">
        <v>3038</v>
      </c>
      <c r="D538">
        <v>28.980994460000002</v>
      </c>
      <c r="E538" t="s">
        <v>3035</v>
      </c>
      <c r="F538">
        <v>120.2714775</v>
      </c>
      <c r="G538" t="s">
        <v>3036</v>
      </c>
      <c r="H538">
        <v>23723</v>
      </c>
      <c r="I538" t="s">
        <v>3037</v>
      </c>
    </row>
    <row r="539" spans="1:9" x14ac:dyDescent="0.25">
      <c r="A539" t="s">
        <v>3034</v>
      </c>
      <c r="B539" t="s">
        <v>3578</v>
      </c>
      <c r="C539" t="s">
        <v>3038</v>
      </c>
      <c r="D539">
        <v>27.436049000000001</v>
      </c>
      <c r="E539" t="s">
        <v>3035</v>
      </c>
      <c r="F539">
        <v>119.873457</v>
      </c>
      <c r="G539" t="s">
        <v>3036</v>
      </c>
      <c r="H539">
        <v>4368</v>
      </c>
      <c r="I539" t="s">
        <v>3037</v>
      </c>
    </row>
    <row r="540" spans="1:9" x14ac:dyDescent="0.25">
      <c r="A540" t="s">
        <v>3034</v>
      </c>
      <c r="B540" t="s">
        <v>3354</v>
      </c>
      <c r="C540" t="s">
        <v>3038</v>
      </c>
      <c r="D540">
        <v>29.474854319999999</v>
      </c>
      <c r="E540" t="s">
        <v>3035</v>
      </c>
      <c r="F540">
        <v>121.6835739</v>
      </c>
      <c r="G540" t="s">
        <v>3036</v>
      </c>
      <c r="H540">
        <v>33740</v>
      </c>
      <c r="I540" t="s">
        <v>3037</v>
      </c>
    </row>
    <row r="541" spans="1:9" x14ac:dyDescent="0.25">
      <c r="A541" t="s">
        <v>3034</v>
      </c>
      <c r="B541" t="s">
        <v>3175</v>
      </c>
      <c r="C541" t="s">
        <v>3038</v>
      </c>
      <c r="D541">
        <v>30.432640249999999</v>
      </c>
      <c r="E541" t="s">
        <v>3035</v>
      </c>
      <c r="F541">
        <v>120.36676319999999</v>
      </c>
      <c r="G541" t="s">
        <v>3036</v>
      </c>
      <c r="H541">
        <v>118263</v>
      </c>
      <c r="I541" t="s">
        <v>3037</v>
      </c>
    </row>
    <row r="542" spans="1:9" x14ac:dyDescent="0.25">
      <c r="A542" t="s">
        <v>3034</v>
      </c>
      <c r="B542" t="s">
        <v>3579</v>
      </c>
      <c r="C542" t="s">
        <v>3038</v>
      </c>
      <c r="D542">
        <v>27.73838215</v>
      </c>
      <c r="E542" t="s">
        <v>3035</v>
      </c>
      <c r="F542">
        <v>120.17765559999999</v>
      </c>
      <c r="G542" t="s">
        <v>3036</v>
      </c>
      <c r="H542">
        <v>2351</v>
      </c>
      <c r="I542" t="s">
        <v>3037</v>
      </c>
    </row>
    <row r="543" spans="1:9" x14ac:dyDescent="0.25">
      <c r="A543" t="s">
        <v>3034</v>
      </c>
      <c r="B543" t="s">
        <v>3100</v>
      </c>
      <c r="C543" t="s">
        <v>3038</v>
      </c>
      <c r="D543">
        <v>29.98307853</v>
      </c>
      <c r="E543" t="s">
        <v>3035</v>
      </c>
      <c r="F543">
        <v>119.6395679</v>
      </c>
      <c r="G543" t="s">
        <v>3036</v>
      </c>
      <c r="H543">
        <v>15174</v>
      </c>
      <c r="I543" t="s">
        <v>3037</v>
      </c>
    </row>
    <row r="544" spans="1:9" x14ac:dyDescent="0.25">
      <c r="A544" t="s">
        <v>3034</v>
      </c>
      <c r="B544" t="s">
        <v>3492</v>
      </c>
      <c r="C544" t="s">
        <v>3038</v>
      </c>
      <c r="D544">
        <v>28.77183823</v>
      </c>
      <c r="E544" t="s">
        <v>3035</v>
      </c>
      <c r="F544">
        <v>121.1787278</v>
      </c>
      <c r="G544" t="s">
        <v>3036</v>
      </c>
      <c r="H544">
        <v>17495</v>
      </c>
      <c r="I544" t="s">
        <v>3037</v>
      </c>
    </row>
    <row r="545" spans="1:9" x14ac:dyDescent="0.25">
      <c r="A545" t="s">
        <v>3034</v>
      </c>
      <c r="B545" t="s">
        <v>3580</v>
      </c>
      <c r="C545" t="s">
        <v>3038</v>
      </c>
      <c r="D545">
        <v>28.393315380000001</v>
      </c>
      <c r="E545" t="s">
        <v>3035</v>
      </c>
      <c r="F545">
        <v>120.4213594</v>
      </c>
      <c r="G545" t="s">
        <v>3036</v>
      </c>
      <c r="H545">
        <v>8226</v>
      </c>
      <c r="I545" t="s">
        <v>3037</v>
      </c>
    </row>
    <row r="546" spans="1:9" x14ac:dyDescent="0.25">
      <c r="A546" t="s">
        <v>3034</v>
      </c>
      <c r="B546" t="s">
        <v>3241</v>
      </c>
      <c r="C546" t="s">
        <v>3038</v>
      </c>
      <c r="D546">
        <v>29.00547087</v>
      </c>
      <c r="E546" t="s">
        <v>3035</v>
      </c>
      <c r="F546">
        <v>119.6970759</v>
      </c>
      <c r="G546" t="s">
        <v>3036</v>
      </c>
      <c r="H546">
        <v>18708</v>
      </c>
      <c r="I546" t="s">
        <v>3037</v>
      </c>
    </row>
    <row r="547" spans="1:9" x14ac:dyDescent="0.25">
      <c r="A547" t="s">
        <v>3034</v>
      </c>
      <c r="B547" t="s">
        <v>3581</v>
      </c>
      <c r="C547" t="s">
        <v>3038</v>
      </c>
      <c r="D547">
        <v>28.34505682</v>
      </c>
      <c r="E547" t="s">
        <v>3035</v>
      </c>
      <c r="F547">
        <v>121.12980229999999</v>
      </c>
      <c r="G547" t="s">
        <v>3036</v>
      </c>
      <c r="H547">
        <v>41652</v>
      </c>
      <c r="I547" t="s">
        <v>3037</v>
      </c>
    </row>
    <row r="548" spans="1:9" x14ac:dyDescent="0.25">
      <c r="A548" t="s">
        <v>3034</v>
      </c>
      <c r="B548" t="s">
        <v>3242</v>
      </c>
      <c r="C548" t="s">
        <v>3038</v>
      </c>
      <c r="D548">
        <v>29.093871010000001</v>
      </c>
      <c r="E548" t="s">
        <v>3035</v>
      </c>
      <c r="F548">
        <v>119.3461544</v>
      </c>
      <c r="G548" t="s">
        <v>3036</v>
      </c>
      <c r="H548">
        <v>11042</v>
      </c>
      <c r="I548" t="s">
        <v>3037</v>
      </c>
    </row>
    <row r="549" spans="1:9" x14ac:dyDescent="0.25">
      <c r="A549" t="s">
        <v>3034</v>
      </c>
      <c r="B549" t="s">
        <v>3101</v>
      </c>
      <c r="C549" t="s">
        <v>3038</v>
      </c>
      <c r="D549">
        <v>29.609543609999999</v>
      </c>
      <c r="E549" t="s">
        <v>3035</v>
      </c>
      <c r="F549">
        <v>119.4239725</v>
      </c>
      <c r="G549" t="s">
        <v>3036</v>
      </c>
      <c r="H549">
        <v>15803</v>
      </c>
      <c r="I549" t="s">
        <v>3037</v>
      </c>
    </row>
    <row r="550" spans="1:9" x14ac:dyDescent="0.25">
      <c r="A550" t="s">
        <v>3034</v>
      </c>
      <c r="B550" t="s">
        <v>3397</v>
      </c>
      <c r="C550" t="s">
        <v>3038</v>
      </c>
      <c r="D550">
        <v>29.059485169999999</v>
      </c>
      <c r="E550" t="s">
        <v>3035</v>
      </c>
      <c r="F550">
        <v>118.1319802</v>
      </c>
      <c r="G550" t="s">
        <v>3036</v>
      </c>
      <c r="H550">
        <v>9693</v>
      </c>
      <c r="I550" t="s">
        <v>3037</v>
      </c>
    </row>
    <row r="551" spans="1:9" x14ac:dyDescent="0.25">
      <c r="A551" t="s">
        <v>3034</v>
      </c>
      <c r="B551" t="s">
        <v>3606</v>
      </c>
      <c r="C551" t="s">
        <v>3038</v>
      </c>
      <c r="D551">
        <v>30.671355349999999</v>
      </c>
      <c r="E551" t="s">
        <v>3035</v>
      </c>
      <c r="F551">
        <v>122.0137268</v>
      </c>
      <c r="G551" t="s">
        <v>3036</v>
      </c>
      <c r="H551">
        <v>9732</v>
      </c>
      <c r="I551" t="s">
        <v>3037</v>
      </c>
    </row>
    <row r="552" spans="1:9" x14ac:dyDescent="0.25">
      <c r="A552" t="s">
        <v>3034</v>
      </c>
      <c r="B552" t="s">
        <v>3176</v>
      </c>
      <c r="C552" t="s">
        <v>3038</v>
      </c>
      <c r="D552">
        <v>30.433174659999999</v>
      </c>
      <c r="E552" t="s">
        <v>3035</v>
      </c>
      <c r="F552">
        <v>120.5660439</v>
      </c>
      <c r="G552" t="s">
        <v>3036</v>
      </c>
      <c r="H552">
        <v>57609</v>
      </c>
      <c r="I552" t="s">
        <v>3037</v>
      </c>
    </row>
    <row r="553" spans="1:9" x14ac:dyDescent="0.25">
      <c r="A553" t="s">
        <v>3034</v>
      </c>
      <c r="B553" t="s">
        <v>3493</v>
      </c>
      <c r="C553" t="s">
        <v>3038</v>
      </c>
      <c r="D553">
        <v>28.73534081</v>
      </c>
      <c r="E553" t="s">
        <v>3035</v>
      </c>
      <c r="F553">
        <v>121.2540255</v>
      </c>
      <c r="G553" t="s">
        <v>3036</v>
      </c>
      <c r="H553">
        <v>42462</v>
      </c>
      <c r="I553" t="s">
        <v>3037</v>
      </c>
    </row>
    <row r="554" spans="1:9" x14ac:dyDescent="0.25">
      <c r="A554" t="s">
        <v>3034</v>
      </c>
      <c r="B554" t="s">
        <v>3582</v>
      </c>
      <c r="C554" t="s">
        <v>3038</v>
      </c>
      <c r="D554">
        <v>27.231297900000001</v>
      </c>
      <c r="E554" t="s">
        <v>3035</v>
      </c>
      <c r="F554">
        <v>120.4563224</v>
      </c>
      <c r="G554" t="s">
        <v>3036</v>
      </c>
      <c r="H554">
        <v>9855</v>
      </c>
      <c r="I554" t="s">
        <v>3037</v>
      </c>
    </row>
    <row r="555" spans="1:9" x14ac:dyDescent="0.25">
      <c r="A555" t="s">
        <v>3034</v>
      </c>
      <c r="B555" t="s">
        <v>3583</v>
      </c>
      <c r="C555" t="s">
        <v>3038</v>
      </c>
      <c r="D555">
        <v>28.50586212</v>
      </c>
      <c r="E555" t="s">
        <v>3035</v>
      </c>
      <c r="F555">
        <v>120.6447249</v>
      </c>
      <c r="G555" t="s">
        <v>3036</v>
      </c>
      <c r="H555">
        <v>5535</v>
      </c>
      <c r="I555" t="s">
        <v>3037</v>
      </c>
    </row>
    <row r="556" spans="1:9" x14ac:dyDescent="0.25">
      <c r="A556" t="s">
        <v>3034</v>
      </c>
      <c r="B556" t="s">
        <v>3584</v>
      </c>
      <c r="C556" t="s">
        <v>3038</v>
      </c>
      <c r="D556">
        <v>27.453017899999999</v>
      </c>
      <c r="E556" t="s">
        <v>3035</v>
      </c>
      <c r="F556">
        <v>120.6492484</v>
      </c>
      <c r="G556" t="s">
        <v>3036</v>
      </c>
      <c r="H556">
        <v>7575</v>
      </c>
      <c r="I556" t="s">
        <v>3037</v>
      </c>
    </row>
    <row r="557" spans="1:9" x14ac:dyDescent="0.25">
      <c r="A557" t="s">
        <v>3034</v>
      </c>
      <c r="B557" t="s">
        <v>5145</v>
      </c>
      <c r="C557" t="s">
        <v>3038</v>
      </c>
      <c r="D557">
        <v>29.518870660000001</v>
      </c>
      <c r="E557" t="s">
        <v>3035</v>
      </c>
      <c r="F557">
        <v>119.9447559</v>
      </c>
      <c r="G557" t="s">
        <v>3036</v>
      </c>
      <c r="H557">
        <v>23253</v>
      </c>
      <c r="I557" t="s">
        <v>3037</v>
      </c>
    </row>
    <row r="558" spans="1:9" x14ac:dyDescent="0.25">
      <c r="A558" t="s">
        <v>3034</v>
      </c>
      <c r="B558" t="s">
        <v>5146</v>
      </c>
      <c r="C558" t="s">
        <v>3038</v>
      </c>
      <c r="D558">
        <v>28.379522959999999</v>
      </c>
      <c r="E558" t="s">
        <v>3035</v>
      </c>
      <c r="F558">
        <v>120.7082089</v>
      </c>
      <c r="G558" t="s">
        <v>3036</v>
      </c>
      <c r="H558">
        <v>22690</v>
      </c>
      <c r="I558" t="s">
        <v>3037</v>
      </c>
    </row>
    <row r="559" spans="1:9" x14ac:dyDescent="0.25">
      <c r="A559" t="s">
        <v>3034</v>
      </c>
      <c r="B559" t="s">
        <v>3441</v>
      </c>
      <c r="C559" t="s">
        <v>3038</v>
      </c>
      <c r="D559">
        <v>29.819173760000002</v>
      </c>
      <c r="E559" t="s">
        <v>3035</v>
      </c>
      <c r="F559">
        <v>120.29380980000001</v>
      </c>
      <c r="G559" t="s">
        <v>3036</v>
      </c>
      <c r="H559">
        <v>47279</v>
      </c>
      <c r="I559" t="s">
        <v>3037</v>
      </c>
    </row>
    <row r="560" spans="1:9" x14ac:dyDescent="0.25">
      <c r="A560" t="s">
        <v>3034</v>
      </c>
      <c r="B560" t="s">
        <v>3102</v>
      </c>
      <c r="C560" t="s">
        <v>3038</v>
      </c>
      <c r="D560">
        <v>29.905992149999999</v>
      </c>
      <c r="E560" t="s">
        <v>3035</v>
      </c>
      <c r="F560">
        <v>119.5214277</v>
      </c>
      <c r="G560" t="s">
        <v>3036</v>
      </c>
      <c r="H560">
        <v>27078</v>
      </c>
      <c r="I560" t="s">
        <v>3037</v>
      </c>
    </row>
    <row r="561" spans="1:9" x14ac:dyDescent="0.25">
      <c r="A561" t="s">
        <v>3034</v>
      </c>
      <c r="B561" t="s">
        <v>3177</v>
      </c>
      <c r="C561" t="s">
        <v>3038</v>
      </c>
      <c r="D561">
        <v>30.966860690000001</v>
      </c>
      <c r="E561" t="s">
        <v>3035</v>
      </c>
      <c r="F561">
        <v>120.9600751</v>
      </c>
      <c r="G561" t="s">
        <v>3036</v>
      </c>
      <c r="H561">
        <v>52619</v>
      </c>
      <c r="I561" t="s">
        <v>3037</v>
      </c>
    </row>
    <row r="562" spans="1:9" x14ac:dyDescent="0.25">
      <c r="A562" t="s">
        <v>3034</v>
      </c>
      <c r="B562" t="s">
        <v>3103</v>
      </c>
      <c r="C562" t="s">
        <v>3038</v>
      </c>
      <c r="D562">
        <v>30.159529800000001</v>
      </c>
      <c r="E562" t="s">
        <v>3035</v>
      </c>
      <c r="F562">
        <v>120.38435320000001</v>
      </c>
      <c r="G562" t="s">
        <v>3036</v>
      </c>
      <c r="H562">
        <v>35200</v>
      </c>
      <c r="I562" t="s">
        <v>3037</v>
      </c>
    </row>
    <row r="563" spans="1:9" x14ac:dyDescent="0.25">
      <c r="A563" t="s">
        <v>3034</v>
      </c>
      <c r="B563" t="s">
        <v>3294</v>
      </c>
      <c r="C563" t="s">
        <v>3038</v>
      </c>
      <c r="D563">
        <v>28.652764959999999</v>
      </c>
      <c r="E563" t="s">
        <v>3035</v>
      </c>
      <c r="F563">
        <v>119.8660818</v>
      </c>
      <c r="G563" t="s">
        <v>3036</v>
      </c>
      <c r="H563">
        <v>8411</v>
      </c>
      <c r="I563" t="s">
        <v>3037</v>
      </c>
    </row>
    <row r="564" spans="1:9" x14ac:dyDescent="0.25">
      <c r="A564" t="s">
        <v>3034</v>
      </c>
      <c r="B564" t="s">
        <v>3585</v>
      </c>
      <c r="C564" t="s">
        <v>3038</v>
      </c>
      <c r="D564">
        <v>27.41878853</v>
      </c>
      <c r="E564" t="s">
        <v>3035</v>
      </c>
      <c r="F564">
        <v>120.04855190000001</v>
      </c>
      <c r="G564" t="s">
        <v>3036</v>
      </c>
      <c r="H564">
        <v>14095</v>
      </c>
      <c r="I564" t="s">
        <v>3037</v>
      </c>
    </row>
    <row r="565" spans="1:9" x14ac:dyDescent="0.25">
      <c r="A565" t="s">
        <v>3034</v>
      </c>
      <c r="B565" t="s">
        <v>3295</v>
      </c>
      <c r="C565" t="s">
        <v>3038</v>
      </c>
      <c r="D565">
        <v>27.842449640000002</v>
      </c>
      <c r="E565" t="s">
        <v>3035</v>
      </c>
      <c r="F565">
        <v>119.3023343</v>
      </c>
      <c r="G565" t="s">
        <v>3036</v>
      </c>
      <c r="H565">
        <v>4690</v>
      </c>
      <c r="I565" t="s">
        <v>3037</v>
      </c>
    </row>
    <row r="566" spans="1:9" x14ac:dyDescent="0.25">
      <c r="A566" t="s">
        <v>3034</v>
      </c>
      <c r="B566" t="s">
        <v>3442</v>
      </c>
      <c r="C566" t="s">
        <v>3038</v>
      </c>
      <c r="D566">
        <v>29.801771840000001</v>
      </c>
      <c r="E566" t="s">
        <v>3035</v>
      </c>
      <c r="F566">
        <v>120.1057247</v>
      </c>
      <c r="G566" t="s">
        <v>3036</v>
      </c>
      <c r="H566">
        <v>41209</v>
      </c>
      <c r="I566" t="s">
        <v>3037</v>
      </c>
    </row>
    <row r="567" spans="1:9" x14ac:dyDescent="0.25">
      <c r="A567" t="s">
        <v>3034</v>
      </c>
      <c r="B567" t="s">
        <v>3355</v>
      </c>
      <c r="C567" t="s">
        <v>3038</v>
      </c>
      <c r="D567">
        <v>29.780622189999999</v>
      </c>
      <c r="E567" t="s">
        <v>3035</v>
      </c>
      <c r="F567">
        <v>121.3487356</v>
      </c>
      <c r="G567" t="s">
        <v>3036</v>
      </c>
      <c r="H567">
        <v>31602</v>
      </c>
      <c r="I567" t="s">
        <v>3037</v>
      </c>
    </row>
    <row r="568" spans="1:9" x14ac:dyDescent="0.25">
      <c r="A568" t="s">
        <v>3034</v>
      </c>
      <c r="B568" t="s">
        <v>3104</v>
      </c>
      <c r="C568" t="s">
        <v>3038</v>
      </c>
      <c r="D568">
        <v>30.18601623</v>
      </c>
      <c r="E568" t="s">
        <v>3035</v>
      </c>
      <c r="F568">
        <v>120.5817376</v>
      </c>
      <c r="G568" t="s">
        <v>3036</v>
      </c>
      <c r="H568">
        <v>45609</v>
      </c>
      <c r="I568" t="s">
        <v>3037</v>
      </c>
    </row>
    <row r="569" spans="1:9" x14ac:dyDescent="0.25">
      <c r="A569" t="s">
        <v>3034</v>
      </c>
      <c r="B569" t="s">
        <v>3105</v>
      </c>
      <c r="C569" t="s">
        <v>3038</v>
      </c>
      <c r="D569">
        <v>30.065253800000001</v>
      </c>
      <c r="E569" t="s">
        <v>3035</v>
      </c>
      <c r="F569">
        <v>120.1727003</v>
      </c>
      <c r="G569" t="s">
        <v>3036</v>
      </c>
      <c r="H569">
        <v>50164</v>
      </c>
      <c r="I569" t="s">
        <v>3037</v>
      </c>
    </row>
    <row r="570" spans="1:9" x14ac:dyDescent="0.25">
      <c r="A570" t="s">
        <v>3034</v>
      </c>
      <c r="B570" t="s">
        <v>3586</v>
      </c>
      <c r="C570" t="s">
        <v>3038</v>
      </c>
      <c r="D570">
        <v>27.515122559999998</v>
      </c>
      <c r="E570" t="s">
        <v>3035</v>
      </c>
      <c r="F570">
        <v>120.5320421</v>
      </c>
      <c r="G570" t="s">
        <v>3036</v>
      </c>
      <c r="H570">
        <v>56008</v>
      </c>
      <c r="I570" t="s">
        <v>3037</v>
      </c>
    </row>
    <row r="571" spans="1:9" x14ac:dyDescent="0.25">
      <c r="A571" t="s">
        <v>3034</v>
      </c>
      <c r="B571" t="s">
        <v>3356</v>
      </c>
      <c r="C571" t="s">
        <v>3038</v>
      </c>
      <c r="D571">
        <v>29.183621299999999</v>
      </c>
      <c r="E571" t="s">
        <v>3035</v>
      </c>
      <c r="F571">
        <v>121.4648175</v>
      </c>
      <c r="G571" t="s">
        <v>3036</v>
      </c>
      <c r="H571">
        <v>15279</v>
      </c>
      <c r="I571" t="s">
        <v>3037</v>
      </c>
    </row>
    <row r="572" spans="1:9" x14ac:dyDescent="0.25">
      <c r="A572" t="s">
        <v>3034</v>
      </c>
      <c r="B572" t="s">
        <v>5147</v>
      </c>
      <c r="C572" t="s">
        <v>3038</v>
      </c>
      <c r="D572">
        <v>29.223190890000001</v>
      </c>
      <c r="E572" t="s">
        <v>3035</v>
      </c>
      <c r="F572">
        <v>119.9491451</v>
      </c>
      <c r="G572" t="s">
        <v>3036</v>
      </c>
      <c r="H572">
        <v>50665</v>
      </c>
      <c r="I572" t="s">
        <v>3037</v>
      </c>
    </row>
    <row r="573" spans="1:9" x14ac:dyDescent="0.25">
      <c r="A573" t="s">
        <v>3034</v>
      </c>
      <c r="B573" t="s">
        <v>5148</v>
      </c>
      <c r="C573" t="s">
        <v>3038</v>
      </c>
      <c r="D573">
        <v>30.026660369999998</v>
      </c>
      <c r="E573" t="s">
        <v>3035</v>
      </c>
      <c r="F573">
        <v>120.9578703</v>
      </c>
      <c r="G573" t="s">
        <v>3036</v>
      </c>
      <c r="H573">
        <v>21507</v>
      </c>
      <c r="I573" t="s">
        <v>3037</v>
      </c>
    </row>
    <row r="574" spans="1:9" x14ac:dyDescent="0.25">
      <c r="A574" t="s">
        <v>3034</v>
      </c>
      <c r="B574" t="s">
        <v>3106</v>
      </c>
      <c r="C574" t="s">
        <v>3038</v>
      </c>
      <c r="D574">
        <v>30.059354880000001</v>
      </c>
      <c r="E574" t="s">
        <v>3035</v>
      </c>
      <c r="F574">
        <v>119.7505465</v>
      </c>
      <c r="G574" t="s">
        <v>3036</v>
      </c>
      <c r="H574">
        <v>9168</v>
      </c>
      <c r="I574" t="s">
        <v>3037</v>
      </c>
    </row>
    <row r="575" spans="1:9" x14ac:dyDescent="0.25">
      <c r="A575" t="s">
        <v>3034</v>
      </c>
      <c r="B575" t="s">
        <v>3494</v>
      </c>
      <c r="C575" t="s">
        <v>3038</v>
      </c>
      <c r="D575">
        <v>28.922780589999999</v>
      </c>
      <c r="E575" t="s">
        <v>3035</v>
      </c>
      <c r="F575">
        <v>121.04981220000001</v>
      </c>
      <c r="G575" t="s">
        <v>3036</v>
      </c>
      <c r="H575">
        <v>37809</v>
      </c>
      <c r="I575" t="s">
        <v>3037</v>
      </c>
    </row>
    <row r="576" spans="1:9" x14ac:dyDescent="0.25">
      <c r="A576" t="s">
        <v>3034</v>
      </c>
      <c r="B576" t="s">
        <v>3443</v>
      </c>
      <c r="C576" t="s">
        <v>3038</v>
      </c>
      <c r="D576">
        <v>29.974376410000001</v>
      </c>
      <c r="E576" t="s">
        <v>3035</v>
      </c>
      <c r="F576">
        <v>121.0476685</v>
      </c>
      <c r="G576" t="s">
        <v>3036</v>
      </c>
      <c r="H576">
        <v>14091</v>
      </c>
      <c r="I576" t="s">
        <v>3037</v>
      </c>
    </row>
    <row r="577" spans="1:9" x14ac:dyDescent="0.25">
      <c r="A577" t="s">
        <v>3034</v>
      </c>
      <c r="B577" t="s">
        <v>3495</v>
      </c>
      <c r="C577" t="s">
        <v>3038</v>
      </c>
      <c r="D577">
        <v>28.780695130000002</v>
      </c>
      <c r="E577" t="s">
        <v>3035</v>
      </c>
      <c r="F577">
        <v>121.31094969999999</v>
      </c>
      <c r="G577" t="s">
        <v>3036</v>
      </c>
      <c r="H577">
        <v>42942</v>
      </c>
      <c r="I577" t="s">
        <v>3037</v>
      </c>
    </row>
    <row r="578" spans="1:9" x14ac:dyDescent="0.25">
      <c r="A578" t="s">
        <v>3034</v>
      </c>
      <c r="B578" t="s">
        <v>3243</v>
      </c>
      <c r="C578" t="s">
        <v>3038</v>
      </c>
      <c r="D578">
        <v>29.13825069</v>
      </c>
      <c r="E578" t="s">
        <v>3035</v>
      </c>
      <c r="F578">
        <v>119.3340024</v>
      </c>
      <c r="G578" t="s">
        <v>3036</v>
      </c>
      <c r="H578">
        <v>29217</v>
      </c>
      <c r="I578" t="s">
        <v>3037</v>
      </c>
    </row>
    <row r="579" spans="1:9" x14ac:dyDescent="0.25">
      <c r="A579" t="s">
        <v>3034</v>
      </c>
      <c r="B579" t="s">
        <v>3178</v>
      </c>
      <c r="C579" t="s">
        <v>3038</v>
      </c>
      <c r="D579">
        <v>30.850255839999999</v>
      </c>
      <c r="E579" t="s">
        <v>3035</v>
      </c>
      <c r="F579">
        <v>120.7647827</v>
      </c>
      <c r="G579" t="s">
        <v>3036</v>
      </c>
      <c r="H579">
        <v>49488</v>
      </c>
      <c r="I579" t="s">
        <v>3037</v>
      </c>
    </row>
    <row r="580" spans="1:9" x14ac:dyDescent="0.25">
      <c r="A580" t="s">
        <v>3034</v>
      </c>
      <c r="B580" t="s">
        <v>3496</v>
      </c>
      <c r="C580" t="s">
        <v>3038</v>
      </c>
      <c r="D580">
        <v>28.719840479999998</v>
      </c>
      <c r="E580" t="s">
        <v>3035</v>
      </c>
      <c r="F580">
        <v>121.0572299</v>
      </c>
      <c r="G580" t="s">
        <v>3036</v>
      </c>
      <c r="H580">
        <v>15472</v>
      </c>
      <c r="I580" t="s">
        <v>3037</v>
      </c>
    </row>
    <row r="581" spans="1:9" x14ac:dyDescent="0.25">
      <c r="A581" t="s">
        <v>3034</v>
      </c>
      <c r="B581" t="s">
        <v>3179</v>
      </c>
      <c r="C581" t="s">
        <v>3038</v>
      </c>
      <c r="D581">
        <v>30.437570900000001</v>
      </c>
      <c r="E581" t="s">
        <v>3035</v>
      </c>
      <c r="F581">
        <v>120.7678811</v>
      </c>
      <c r="G581" t="s">
        <v>3036</v>
      </c>
      <c r="H581">
        <v>56055</v>
      </c>
      <c r="I581" t="s">
        <v>3037</v>
      </c>
    </row>
    <row r="582" spans="1:9" x14ac:dyDescent="0.25">
      <c r="A582" t="s">
        <v>3034</v>
      </c>
      <c r="B582" t="s">
        <v>3497</v>
      </c>
      <c r="C582" t="s">
        <v>3038</v>
      </c>
      <c r="D582">
        <v>28.546857760000002</v>
      </c>
      <c r="E582" t="s">
        <v>3035</v>
      </c>
      <c r="F582">
        <v>121.2481889</v>
      </c>
      <c r="G582" t="s">
        <v>3036</v>
      </c>
      <c r="H582">
        <v>73819</v>
      </c>
      <c r="I582" t="s">
        <v>3037</v>
      </c>
    </row>
    <row r="583" spans="1:9" x14ac:dyDescent="0.25">
      <c r="A583" t="s">
        <v>3034</v>
      </c>
      <c r="B583" t="s">
        <v>3180</v>
      </c>
      <c r="C583" t="s">
        <v>3038</v>
      </c>
      <c r="D583">
        <v>30.53357098</v>
      </c>
      <c r="E583" t="s">
        <v>3035</v>
      </c>
      <c r="F583">
        <v>120.8526172</v>
      </c>
      <c r="G583" t="s">
        <v>3036</v>
      </c>
      <c r="H583">
        <v>25138</v>
      </c>
      <c r="I583" t="s">
        <v>3037</v>
      </c>
    </row>
    <row r="584" spans="1:9" x14ac:dyDescent="0.25">
      <c r="A584" t="s">
        <v>3034</v>
      </c>
      <c r="B584" t="s">
        <v>3587</v>
      </c>
      <c r="C584" t="s">
        <v>3038</v>
      </c>
      <c r="D584">
        <v>27.914528650000001</v>
      </c>
      <c r="E584" t="s">
        <v>3035</v>
      </c>
      <c r="F584">
        <v>120.1441913</v>
      </c>
      <c r="G584" t="s">
        <v>3036</v>
      </c>
      <c r="H584">
        <v>12807</v>
      </c>
      <c r="I584" t="s">
        <v>3037</v>
      </c>
    </row>
    <row r="585" spans="1:9" x14ac:dyDescent="0.25">
      <c r="A585" t="s">
        <v>3034</v>
      </c>
      <c r="B585" t="s">
        <v>3357</v>
      </c>
      <c r="C585" t="s">
        <v>3038</v>
      </c>
      <c r="D585">
        <v>29.757888210000001</v>
      </c>
      <c r="E585" t="s">
        <v>3035</v>
      </c>
      <c r="F585">
        <v>121.5856083</v>
      </c>
      <c r="G585" t="s">
        <v>3036</v>
      </c>
      <c r="H585">
        <v>42494</v>
      </c>
      <c r="I585" t="s">
        <v>3037</v>
      </c>
    </row>
    <row r="586" spans="1:9" x14ac:dyDescent="0.25">
      <c r="A586" t="s">
        <v>3034</v>
      </c>
      <c r="B586" t="s">
        <v>3244</v>
      </c>
      <c r="C586" t="s">
        <v>3038</v>
      </c>
      <c r="D586">
        <v>29.230830489999999</v>
      </c>
      <c r="E586" t="s">
        <v>3035</v>
      </c>
      <c r="F586">
        <v>120.6554039</v>
      </c>
      <c r="G586" t="s">
        <v>3036</v>
      </c>
      <c r="H586">
        <v>12595</v>
      </c>
      <c r="I586" t="s">
        <v>3037</v>
      </c>
    </row>
    <row r="587" spans="1:9" x14ac:dyDescent="0.25">
      <c r="A587" t="s">
        <v>3034</v>
      </c>
      <c r="B587" t="s">
        <v>3181</v>
      </c>
      <c r="C587" t="s">
        <v>3038</v>
      </c>
      <c r="D587">
        <v>30.672636499999999</v>
      </c>
      <c r="E587" t="s">
        <v>3035</v>
      </c>
      <c r="F587">
        <v>120.8013109</v>
      </c>
      <c r="G587" t="s">
        <v>3036</v>
      </c>
      <c r="H587">
        <v>52366</v>
      </c>
      <c r="I587" t="s">
        <v>3037</v>
      </c>
    </row>
    <row r="588" spans="1:9" x14ac:dyDescent="0.25">
      <c r="A588" t="s">
        <v>3034</v>
      </c>
      <c r="B588" t="s">
        <v>3296</v>
      </c>
      <c r="C588" t="s">
        <v>3038</v>
      </c>
      <c r="D588">
        <v>28.396752209999999</v>
      </c>
      <c r="E588" t="s">
        <v>3035</v>
      </c>
      <c r="F588">
        <v>119.283254</v>
      </c>
      <c r="G588" t="s">
        <v>3036</v>
      </c>
      <c r="H588">
        <v>9213</v>
      </c>
      <c r="I588" t="s">
        <v>3037</v>
      </c>
    </row>
    <row r="589" spans="1:9" x14ac:dyDescent="0.25">
      <c r="A589" t="s">
        <v>3034</v>
      </c>
      <c r="B589" t="s">
        <v>3588</v>
      </c>
      <c r="C589" t="s">
        <v>3038</v>
      </c>
      <c r="D589">
        <v>27.680800000000001</v>
      </c>
      <c r="E589" t="s">
        <v>3035</v>
      </c>
      <c r="F589">
        <v>120.6476</v>
      </c>
      <c r="G589" t="s">
        <v>3036</v>
      </c>
      <c r="H589">
        <v>10059</v>
      </c>
      <c r="I589" t="s">
        <v>3037</v>
      </c>
    </row>
    <row r="590" spans="1:9" x14ac:dyDescent="0.25">
      <c r="A590" t="s">
        <v>3034</v>
      </c>
      <c r="B590" t="s">
        <v>3141</v>
      </c>
      <c r="C590" t="s">
        <v>3038</v>
      </c>
      <c r="D590">
        <v>30.543106510000001</v>
      </c>
      <c r="E590" t="s">
        <v>3035</v>
      </c>
      <c r="F590">
        <v>120.2709571</v>
      </c>
      <c r="G590" t="s">
        <v>3036</v>
      </c>
      <c r="H590">
        <v>32034</v>
      </c>
      <c r="I590" t="s">
        <v>3037</v>
      </c>
    </row>
    <row r="591" spans="1:9" x14ac:dyDescent="0.25">
      <c r="A591" t="s">
        <v>3034</v>
      </c>
      <c r="B591" t="s">
        <v>3589</v>
      </c>
      <c r="C591" t="s">
        <v>3038</v>
      </c>
      <c r="D591">
        <v>27.451812579999999</v>
      </c>
      <c r="E591" t="s">
        <v>3035</v>
      </c>
      <c r="F591">
        <v>120.44542439999999</v>
      </c>
      <c r="G591" t="s">
        <v>3036</v>
      </c>
      <c r="H591">
        <v>21591</v>
      </c>
      <c r="I591" t="s">
        <v>3037</v>
      </c>
    </row>
    <row r="592" spans="1:9" x14ac:dyDescent="0.25">
      <c r="A592" t="s">
        <v>3034</v>
      </c>
      <c r="B592" t="s">
        <v>3498</v>
      </c>
      <c r="C592" t="s">
        <v>3038</v>
      </c>
      <c r="D592">
        <v>28.487567510000002</v>
      </c>
      <c r="E592" t="s">
        <v>3035</v>
      </c>
      <c r="F592">
        <v>121.3575791</v>
      </c>
      <c r="G592" t="s">
        <v>3036</v>
      </c>
      <c r="H592">
        <v>192558</v>
      </c>
      <c r="I592" t="s">
        <v>3037</v>
      </c>
    </row>
    <row r="593" spans="1:9" x14ac:dyDescent="0.25">
      <c r="A593" t="s">
        <v>3034</v>
      </c>
      <c r="B593" t="s">
        <v>3590</v>
      </c>
      <c r="C593" t="s">
        <v>3038</v>
      </c>
      <c r="D593">
        <v>28.025907969999999</v>
      </c>
      <c r="E593" t="s">
        <v>3035</v>
      </c>
      <c r="F593">
        <v>120.4108614</v>
      </c>
      <c r="G593" t="s">
        <v>3036</v>
      </c>
      <c r="H593">
        <v>27029</v>
      </c>
      <c r="I593" t="s">
        <v>3037</v>
      </c>
    </row>
    <row r="594" spans="1:9" x14ac:dyDescent="0.25">
      <c r="A594" t="s">
        <v>3034</v>
      </c>
      <c r="B594" t="s">
        <v>3142</v>
      </c>
      <c r="C594" t="s">
        <v>3038</v>
      </c>
      <c r="D594">
        <v>30.4465781</v>
      </c>
      <c r="E594" t="s">
        <v>3035</v>
      </c>
      <c r="F594">
        <v>119.38302760000001</v>
      </c>
      <c r="G594" t="s">
        <v>3036</v>
      </c>
      <c r="H594">
        <v>10957</v>
      </c>
      <c r="I594" t="s">
        <v>3037</v>
      </c>
    </row>
    <row r="595" spans="1:9" x14ac:dyDescent="0.25">
      <c r="A595" t="s">
        <v>3034</v>
      </c>
      <c r="B595" t="s">
        <v>3358</v>
      </c>
      <c r="C595" t="s">
        <v>3038</v>
      </c>
      <c r="D595">
        <v>30.1160684</v>
      </c>
      <c r="E595" t="s">
        <v>3035</v>
      </c>
      <c r="F595">
        <v>121.46056710000001</v>
      </c>
      <c r="G595" t="s">
        <v>3036</v>
      </c>
      <c r="H595">
        <v>66274</v>
      </c>
      <c r="I595" t="s">
        <v>3037</v>
      </c>
    </row>
    <row r="596" spans="1:9" x14ac:dyDescent="0.25">
      <c r="A596" t="s">
        <v>3034</v>
      </c>
      <c r="B596" t="s">
        <v>3359</v>
      </c>
      <c r="C596" t="s">
        <v>3038</v>
      </c>
      <c r="D596">
        <v>29.803493549999999</v>
      </c>
      <c r="E596" t="s">
        <v>3035</v>
      </c>
      <c r="F596">
        <v>121.2273376</v>
      </c>
      <c r="G596" t="s">
        <v>3036</v>
      </c>
      <c r="H596">
        <v>19436</v>
      </c>
      <c r="I596" t="s">
        <v>3037</v>
      </c>
    </row>
    <row r="597" spans="1:9" x14ac:dyDescent="0.25">
      <c r="A597" t="s">
        <v>3034</v>
      </c>
      <c r="B597" t="s">
        <v>3360</v>
      </c>
      <c r="C597" t="s">
        <v>3038</v>
      </c>
      <c r="D597">
        <v>30.043505710000002</v>
      </c>
      <c r="E597" t="s">
        <v>3035</v>
      </c>
      <c r="F597">
        <v>121.2752773</v>
      </c>
      <c r="G597" t="s">
        <v>3036</v>
      </c>
      <c r="H597">
        <v>39315</v>
      </c>
      <c r="I597" t="s">
        <v>3037</v>
      </c>
    </row>
    <row r="598" spans="1:9" x14ac:dyDescent="0.25">
      <c r="A598" t="s">
        <v>3034</v>
      </c>
      <c r="B598" t="s">
        <v>3143</v>
      </c>
      <c r="C598" t="s">
        <v>3038</v>
      </c>
      <c r="D598">
        <v>30.752282279999999</v>
      </c>
      <c r="E598" t="s">
        <v>3035</v>
      </c>
      <c r="F598">
        <v>119.5128431</v>
      </c>
      <c r="G598" t="s">
        <v>3036</v>
      </c>
      <c r="H598">
        <v>9332</v>
      </c>
      <c r="I598" t="s">
        <v>3037</v>
      </c>
    </row>
    <row r="599" spans="1:9" x14ac:dyDescent="0.25">
      <c r="A599" t="s">
        <v>3034</v>
      </c>
      <c r="B599" t="s">
        <v>3444</v>
      </c>
      <c r="C599" t="s">
        <v>3038</v>
      </c>
      <c r="D599">
        <v>29.810417990000001</v>
      </c>
      <c r="E599" t="s">
        <v>3035</v>
      </c>
      <c r="F599">
        <v>120.9067467</v>
      </c>
      <c r="G599" t="s">
        <v>3036</v>
      </c>
      <c r="H599">
        <v>32791</v>
      </c>
      <c r="I599" t="s">
        <v>3037</v>
      </c>
    </row>
    <row r="600" spans="1:9" x14ac:dyDescent="0.25">
      <c r="A600" t="s">
        <v>3034</v>
      </c>
      <c r="B600" t="s">
        <v>3398</v>
      </c>
      <c r="C600" t="s">
        <v>3038</v>
      </c>
      <c r="D600">
        <v>28.994031159999999</v>
      </c>
      <c r="E600" t="s">
        <v>3035</v>
      </c>
      <c r="F600">
        <v>119.10504450000001</v>
      </c>
      <c r="G600" t="s">
        <v>3036</v>
      </c>
      <c r="H600">
        <v>20990</v>
      </c>
      <c r="I600" t="s">
        <v>3037</v>
      </c>
    </row>
    <row r="601" spans="1:9" x14ac:dyDescent="0.25">
      <c r="A601" t="s">
        <v>3034</v>
      </c>
      <c r="B601" t="s">
        <v>3361</v>
      </c>
      <c r="C601" t="s">
        <v>3038</v>
      </c>
      <c r="D601">
        <v>29.72470199</v>
      </c>
      <c r="E601" t="s">
        <v>3035</v>
      </c>
      <c r="F601">
        <v>121.820342</v>
      </c>
      <c r="G601" t="s">
        <v>3036</v>
      </c>
      <c r="H601">
        <v>32616</v>
      </c>
      <c r="I601" t="s">
        <v>3037</v>
      </c>
    </row>
    <row r="602" spans="1:9" x14ac:dyDescent="0.25">
      <c r="A602" t="s">
        <v>3034</v>
      </c>
      <c r="B602" t="s">
        <v>3445</v>
      </c>
      <c r="C602" t="s">
        <v>3038</v>
      </c>
      <c r="D602">
        <v>29.73118161</v>
      </c>
      <c r="E602" t="s">
        <v>3035</v>
      </c>
      <c r="F602">
        <v>120.47964899999999</v>
      </c>
      <c r="G602" t="s">
        <v>3036</v>
      </c>
      <c r="H602">
        <v>26670</v>
      </c>
      <c r="I602" t="s">
        <v>3037</v>
      </c>
    </row>
    <row r="603" spans="1:9" x14ac:dyDescent="0.25">
      <c r="A603" t="s">
        <v>3034</v>
      </c>
      <c r="B603" t="s">
        <v>3399</v>
      </c>
      <c r="C603" t="s">
        <v>3038</v>
      </c>
      <c r="D603">
        <v>28.928915360000001</v>
      </c>
      <c r="E603" t="s">
        <v>3035</v>
      </c>
      <c r="F603">
        <v>118.672252</v>
      </c>
      <c r="G603" t="s">
        <v>3036</v>
      </c>
      <c r="H603">
        <v>21834</v>
      </c>
      <c r="I603" t="s">
        <v>3037</v>
      </c>
    </row>
    <row r="604" spans="1:9" x14ac:dyDescent="0.25">
      <c r="A604" t="s">
        <v>3034</v>
      </c>
      <c r="B604" t="s">
        <v>3182</v>
      </c>
      <c r="C604" t="s">
        <v>3038</v>
      </c>
      <c r="D604">
        <v>30.612858989999999</v>
      </c>
      <c r="E604" t="s">
        <v>3035</v>
      </c>
      <c r="F604">
        <v>121.08723809999999</v>
      </c>
      <c r="G604" t="s">
        <v>3036</v>
      </c>
      <c r="H604">
        <v>83527</v>
      </c>
      <c r="I604" t="s">
        <v>3037</v>
      </c>
    </row>
    <row r="605" spans="1:9" x14ac:dyDescent="0.25">
      <c r="A605" t="s">
        <v>3034</v>
      </c>
      <c r="B605" t="s">
        <v>3297</v>
      </c>
      <c r="C605" t="s">
        <v>3038</v>
      </c>
      <c r="D605">
        <v>28.2985486</v>
      </c>
      <c r="E605" t="s">
        <v>3035</v>
      </c>
      <c r="F605">
        <v>120.00625530000001</v>
      </c>
      <c r="G605" t="s">
        <v>3036</v>
      </c>
      <c r="H605">
        <v>8150</v>
      </c>
      <c r="I605" t="s">
        <v>3037</v>
      </c>
    </row>
    <row r="606" spans="1:9" x14ac:dyDescent="0.25">
      <c r="A606" t="s">
        <v>3034</v>
      </c>
      <c r="B606" t="s">
        <v>3245</v>
      </c>
      <c r="C606" t="s">
        <v>3038</v>
      </c>
      <c r="D606">
        <v>29.471440210000001</v>
      </c>
      <c r="E606" t="s">
        <v>3035</v>
      </c>
      <c r="F606">
        <v>120.0664706</v>
      </c>
      <c r="G606" t="s">
        <v>3036</v>
      </c>
      <c r="H606">
        <v>12433</v>
      </c>
      <c r="I606" t="s">
        <v>3037</v>
      </c>
    </row>
    <row r="607" spans="1:9" x14ac:dyDescent="0.25">
      <c r="A607" t="s">
        <v>3034</v>
      </c>
      <c r="B607" t="s">
        <v>3246</v>
      </c>
      <c r="C607" t="s">
        <v>3038</v>
      </c>
      <c r="D607">
        <v>29.513045680000001</v>
      </c>
      <c r="E607" t="s">
        <v>3035</v>
      </c>
      <c r="F607">
        <v>119.99010130000001</v>
      </c>
      <c r="G607" t="s">
        <v>3036</v>
      </c>
      <c r="H607">
        <v>29420</v>
      </c>
      <c r="I607" t="s">
        <v>3037</v>
      </c>
    </row>
    <row r="608" spans="1:9" x14ac:dyDescent="0.25">
      <c r="A608" t="s">
        <v>3034</v>
      </c>
      <c r="B608" t="s">
        <v>3144</v>
      </c>
      <c r="C608" t="s">
        <v>3038</v>
      </c>
      <c r="D608">
        <v>30.890372280000001</v>
      </c>
      <c r="E608" t="s">
        <v>3035</v>
      </c>
      <c r="F608">
        <v>120.2866077</v>
      </c>
      <c r="G608" t="s">
        <v>3036</v>
      </c>
      <c r="H608">
        <v>186609</v>
      </c>
      <c r="I608" t="s">
        <v>3037</v>
      </c>
    </row>
    <row r="609" spans="1:9" x14ac:dyDescent="0.25">
      <c r="A609" t="s">
        <v>3034</v>
      </c>
      <c r="B609" t="s">
        <v>3247</v>
      </c>
      <c r="C609" t="s">
        <v>3038</v>
      </c>
      <c r="D609">
        <v>28.934811960000001</v>
      </c>
      <c r="E609" t="s">
        <v>3035</v>
      </c>
      <c r="F609">
        <v>120.1333757</v>
      </c>
      <c r="G609" t="s">
        <v>3036</v>
      </c>
      <c r="H609">
        <v>60241</v>
      </c>
      <c r="I609" t="s">
        <v>3037</v>
      </c>
    </row>
    <row r="610" spans="1:9" x14ac:dyDescent="0.25">
      <c r="A610" t="s">
        <v>3034</v>
      </c>
      <c r="B610" t="s">
        <v>3145</v>
      </c>
      <c r="C610" t="s">
        <v>3038</v>
      </c>
      <c r="D610">
        <v>30.622950370000002</v>
      </c>
      <c r="E610" t="s">
        <v>3035</v>
      </c>
      <c r="F610">
        <v>120.1626662</v>
      </c>
      <c r="G610" t="s">
        <v>3036</v>
      </c>
      <c r="H610">
        <v>41759</v>
      </c>
      <c r="I610" t="s">
        <v>3037</v>
      </c>
    </row>
    <row r="611" spans="1:9" x14ac:dyDescent="0.25">
      <c r="A611" t="s">
        <v>3034</v>
      </c>
      <c r="B611" t="s">
        <v>3107</v>
      </c>
      <c r="C611" t="s">
        <v>3038</v>
      </c>
      <c r="D611">
        <v>29.454565410000001</v>
      </c>
      <c r="E611" t="s">
        <v>3035</v>
      </c>
      <c r="F611">
        <v>118.4346274</v>
      </c>
      <c r="G611" t="s">
        <v>3036</v>
      </c>
      <c r="H611">
        <v>10129</v>
      </c>
      <c r="I611" t="s">
        <v>3037</v>
      </c>
    </row>
    <row r="612" spans="1:9" x14ac:dyDescent="0.25">
      <c r="A612" t="s">
        <v>3034</v>
      </c>
      <c r="B612" t="s">
        <v>3183</v>
      </c>
      <c r="C612" t="s">
        <v>3038</v>
      </c>
      <c r="D612">
        <v>30.574900459999999</v>
      </c>
      <c r="E612" t="s">
        <v>3035</v>
      </c>
      <c r="F612">
        <v>120.3412503</v>
      </c>
      <c r="G612" t="s">
        <v>3036</v>
      </c>
      <c r="H612">
        <v>66453</v>
      </c>
      <c r="I612" t="s">
        <v>3037</v>
      </c>
    </row>
    <row r="613" spans="1:9" x14ac:dyDescent="0.25">
      <c r="A613" t="s">
        <v>3034</v>
      </c>
      <c r="B613" t="s">
        <v>3591</v>
      </c>
      <c r="C613" t="s">
        <v>3038</v>
      </c>
      <c r="D613">
        <v>27.8277</v>
      </c>
      <c r="E613" t="s">
        <v>3035</v>
      </c>
      <c r="F613">
        <v>120.1337</v>
      </c>
      <c r="G613" t="s">
        <v>3036</v>
      </c>
      <c r="H613">
        <v>9084</v>
      </c>
      <c r="I613" t="s">
        <v>3037</v>
      </c>
    </row>
    <row r="614" spans="1:9" x14ac:dyDescent="0.25">
      <c r="A614" t="s">
        <v>3034</v>
      </c>
      <c r="B614" t="s">
        <v>3248</v>
      </c>
      <c r="C614" t="s">
        <v>3038</v>
      </c>
      <c r="D614">
        <v>28.845627960000002</v>
      </c>
      <c r="E614" t="s">
        <v>3035</v>
      </c>
      <c r="F614">
        <v>120.1997538</v>
      </c>
      <c r="G614" t="s">
        <v>3036</v>
      </c>
      <c r="H614">
        <v>15766</v>
      </c>
      <c r="I614" t="s">
        <v>3037</v>
      </c>
    </row>
    <row r="615" spans="1:9" x14ac:dyDescent="0.25">
      <c r="A615" t="s">
        <v>3034</v>
      </c>
      <c r="B615" t="s">
        <v>3184</v>
      </c>
      <c r="C615" t="s">
        <v>3038</v>
      </c>
      <c r="D615">
        <v>30.436345500000002</v>
      </c>
      <c r="E615" t="s">
        <v>3035</v>
      </c>
      <c r="F615">
        <v>120.4991182</v>
      </c>
      <c r="G615" t="s">
        <v>3036</v>
      </c>
      <c r="H615">
        <v>49241</v>
      </c>
      <c r="I615" t="s">
        <v>3037</v>
      </c>
    </row>
    <row r="616" spans="1:9" x14ac:dyDescent="0.25">
      <c r="A616" t="s">
        <v>3034</v>
      </c>
      <c r="B616" t="s">
        <v>3362</v>
      </c>
      <c r="C616" t="s">
        <v>3038</v>
      </c>
      <c r="D616">
        <v>30.21472722</v>
      </c>
      <c r="E616" t="s">
        <v>3035</v>
      </c>
      <c r="F616">
        <v>121.1352267</v>
      </c>
      <c r="G616" t="s">
        <v>3036</v>
      </c>
      <c r="H616">
        <v>151778</v>
      </c>
      <c r="I616" t="s">
        <v>3037</v>
      </c>
    </row>
    <row r="617" spans="1:9" x14ac:dyDescent="0.25">
      <c r="A617" t="s">
        <v>3034</v>
      </c>
      <c r="B617" t="s">
        <v>3499</v>
      </c>
      <c r="C617" t="s">
        <v>3038</v>
      </c>
      <c r="D617">
        <v>29.077356949999999</v>
      </c>
      <c r="E617" t="s">
        <v>3035</v>
      </c>
      <c r="F617">
        <v>121.285364</v>
      </c>
      <c r="G617" t="s">
        <v>3036</v>
      </c>
      <c r="H617">
        <v>31195</v>
      </c>
      <c r="I617" t="s">
        <v>3037</v>
      </c>
    </row>
    <row r="618" spans="1:9" x14ac:dyDescent="0.25">
      <c r="A618" t="s">
        <v>3034</v>
      </c>
      <c r="B618" t="s">
        <v>3249</v>
      </c>
      <c r="C618" t="s">
        <v>3038</v>
      </c>
      <c r="D618">
        <v>29.243669140000002</v>
      </c>
      <c r="E618" t="s">
        <v>3035</v>
      </c>
      <c r="F618">
        <v>119.2882314</v>
      </c>
      <c r="G618" t="s">
        <v>3036</v>
      </c>
      <c r="H618">
        <v>19806</v>
      </c>
      <c r="I618" t="s">
        <v>3037</v>
      </c>
    </row>
    <row r="619" spans="1:9" x14ac:dyDescent="0.25">
      <c r="A619" t="s">
        <v>3034</v>
      </c>
      <c r="B619" t="s">
        <v>3298</v>
      </c>
      <c r="C619" t="s">
        <v>3038</v>
      </c>
      <c r="D619">
        <v>27.706220949999999</v>
      </c>
      <c r="E619" t="s">
        <v>3035</v>
      </c>
      <c r="F619">
        <v>118.95754909999999</v>
      </c>
      <c r="G619" t="s">
        <v>3036</v>
      </c>
      <c r="H619">
        <v>8335</v>
      </c>
      <c r="I619" t="s">
        <v>3037</v>
      </c>
    </row>
    <row r="620" spans="1:9" x14ac:dyDescent="0.25">
      <c r="A620" t="s">
        <v>3034</v>
      </c>
      <c r="B620" t="s">
        <v>3299</v>
      </c>
      <c r="C620" t="s">
        <v>3038</v>
      </c>
      <c r="D620">
        <v>28.205258430000001</v>
      </c>
      <c r="E620" t="s">
        <v>3035</v>
      </c>
      <c r="F620">
        <v>118.8578998</v>
      </c>
      <c r="G620" t="s">
        <v>3036</v>
      </c>
      <c r="H620">
        <v>4498</v>
      </c>
      <c r="I620" t="s">
        <v>3037</v>
      </c>
    </row>
    <row r="621" spans="1:9" x14ac:dyDescent="0.25">
      <c r="A621" t="s">
        <v>3034</v>
      </c>
      <c r="B621" t="s">
        <v>3500</v>
      </c>
      <c r="C621" t="s">
        <v>3038</v>
      </c>
      <c r="D621">
        <v>28.692690500000001</v>
      </c>
      <c r="E621" t="s">
        <v>3035</v>
      </c>
      <c r="F621">
        <v>120.82886379999999</v>
      </c>
      <c r="G621" t="s">
        <v>3036</v>
      </c>
      <c r="H621">
        <v>11684</v>
      </c>
      <c r="I621" t="s">
        <v>3037</v>
      </c>
    </row>
    <row r="622" spans="1:9" x14ac:dyDescent="0.25">
      <c r="A622" t="s">
        <v>3034</v>
      </c>
      <c r="B622" t="s">
        <v>3108</v>
      </c>
      <c r="C622" t="s">
        <v>3038</v>
      </c>
      <c r="D622">
        <v>29.611677610000001</v>
      </c>
      <c r="E622" t="s">
        <v>3035</v>
      </c>
      <c r="F622">
        <v>118.7350955</v>
      </c>
      <c r="G622" t="s">
        <v>3036</v>
      </c>
      <c r="H622">
        <v>12371</v>
      </c>
      <c r="I622" t="s">
        <v>3037</v>
      </c>
    </row>
    <row r="623" spans="1:9" x14ac:dyDescent="0.25">
      <c r="A623" t="s">
        <v>3034</v>
      </c>
      <c r="B623" t="s">
        <v>3250</v>
      </c>
      <c r="C623" t="s">
        <v>3038</v>
      </c>
      <c r="D623">
        <v>29.30016801</v>
      </c>
      <c r="E623" t="s">
        <v>3035</v>
      </c>
      <c r="F623">
        <v>120.5445715</v>
      </c>
      <c r="G623" t="s">
        <v>3036</v>
      </c>
      <c r="H623">
        <v>13399</v>
      </c>
      <c r="I623" t="s">
        <v>3037</v>
      </c>
    </row>
    <row r="624" spans="1:9" x14ac:dyDescent="0.25">
      <c r="A624" t="s">
        <v>3034</v>
      </c>
      <c r="B624" t="s">
        <v>3300</v>
      </c>
      <c r="C624" t="s">
        <v>3038</v>
      </c>
      <c r="D624">
        <v>27.600621570000001</v>
      </c>
      <c r="E624" t="s">
        <v>3035</v>
      </c>
      <c r="F624">
        <v>119.3822625</v>
      </c>
      <c r="G624" t="s">
        <v>3036</v>
      </c>
      <c r="H624">
        <v>2073</v>
      </c>
      <c r="I624" t="s">
        <v>3037</v>
      </c>
    </row>
    <row r="625" spans="1:9" x14ac:dyDescent="0.25">
      <c r="A625" t="s">
        <v>3034</v>
      </c>
      <c r="B625" t="s">
        <v>3607</v>
      </c>
      <c r="C625" t="s">
        <v>3038</v>
      </c>
      <c r="D625">
        <v>28.037706400000001</v>
      </c>
      <c r="E625" t="s">
        <v>3035</v>
      </c>
      <c r="F625">
        <v>119.0667705</v>
      </c>
      <c r="G625" t="s">
        <v>3036</v>
      </c>
      <c r="H625">
        <v>115120</v>
      </c>
      <c r="I625" t="s">
        <v>3037</v>
      </c>
    </row>
    <row r="626" spans="1:9" x14ac:dyDescent="0.25">
      <c r="A626" t="s">
        <v>3034</v>
      </c>
      <c r="B626" t="s">
        <v>3608</v>
      </c>
      <c r="C626" t="s">
        <v>3038</v>
      </c>
      <c r="D626">
        <v>28.186514899999999</v>
      </c>
      <c r="E626" t="s">
        <v>3035</v>
      </c>
      <c r="F626">
        <v>119.56115699999999</v>
      </c>
      <c r="G626" t="s">
        <v>3036</v>
      </c>
      <c r="H626">
        <v>961878</v>
      </c>
      <c r="I626" t="s">
        <v>3037</v>
      </c>
    </row>
    <row r="627" spans="1:9" x14ac:dyDescent="0.25">
      <c r="A627" t="s">
        <v>3034</v>
      </c>
      <c r="B627" t="s">
        <v>3609</v>
      </c>
      <c r="C627" t="s">
        <v>3038</v>
      </c>
      <c r="D627">
        <v>28.838174299999999</v>
      </c>
      <c r="E627" t="s">
        <v>3035</v>
      </c>
      <c r="F627">
        <v>121.50058129999999</v>
      </c>
      <c r="G627" t="s">
        <v>3036</v>
      </c>
      <c r="H627">
        <v>373112</v>
      </c>
      <c r="I627" t="s">
        <v>3037</v>
      </c>
    </row>
    <row r="628" spans="1:9" x14ac:dyDescent="0.25">
      <c r="A628" t="s">
        <v>3034</v>
      </c>
      <c r="B628" t="s">
        <v>3610</v>
      </c>
      <c r="C628" t="s">
        <v>3038</v>
      </c>
      <c r="D628">
        <v>28.339373999999999</v>
      </c>
      <c r="E628" t="s">
        <v>3035</v>
      </c>
      <c r="F628">
        <v>121.5315887</v>
      </c>
      <c r="G628" t="s">
        <v>3036</v>
      </c>
      <c r="H628">
        <v>387717</v>
      </c>
      <c r="I628" t="s">
        <v>3037</v>
      </c>
    </row>
    <row r="629" spans="1:9" x14ac:dyDescent="0.25">
      <c r="A629" t="s">
        <v>3034</v>
      </c>
      <c r="B629" t="s">
        <v>3611</v>
      </c>
      <c r="C629" t="s">
        <v>3038</v>
      </c>
      <c r="D629">
        <v>28.147556699999999</v>
      </c>
      <c r="E629" t="s">
        <v>3035</v>
      </c>
      <c r="F629">
        <v>121.39954</v>
      </c>
      <c r="G629" t="s">
        <v>3036</v>
      </c>
      <c r="H629">
        <v>351442</v>
      </c>
      <c r="I629" t="s">
        <v>3037</v>
      </c>
    </row>
    <row r="630" spans="1:9" x14ac:dyDescent="0.25">
      <c r="A630" t="s">
        <v>3034</v>
      </c>
      <c r="B630" t="s">
        <v>3612</v>
      </c>
      <c r="C630" t="s">
        <v>3038</v>
      </c>
      <c r="D630">
        <v>28.659316499999999</v>
      </c>
      <c r="E630" t="s">
        <v>3035</v>
      </c>
      <c r="F630">
        <v>121.23186029999999</v>
      </c>
      <c r="G630" t="s">
        <v>3036</v>
      </c>
      <c r="H630">
        <v>1855899</v>
      </c>
      <c r="I630" t="s">
        <v>3037</v>
      </c>
    </row>
    <row r="631" spans="1:9" x14ac:dyDescent="0.25">
      <c r="A631" t="s">
        <v>3034</v>
      </c>
      <c r="B631" t="s">
        <v>3613</v>
      </c>
      <c r="C631" t="s">
        <v>3038</v>
      </c>
      <c r="D631">
        <v>30.571304600000001</v>
      </c>
      <c r="E631" t="s">
        <v>3035</v>
      </c>
      <c r="F631">
        <v>121.2261908</v>
      </c>
      <c r="G631" t="s">
        <v>3036</v>
      </c>
      <c r="H631">
        <v>285813</v>
      </c>
      <c r="I631" t="s">
        <v>3037</v>
      </c>
    </row>
    <row r="632" spans="1:9" x14ac:dyDescent="0.25">
      <c r="A632" t="s">
        <v>3034</v>
      </c>
      <c r="B632" t="s">
        <v>3614</v>
      </c>
      <c r="C632" t="s">
        <v>3038</v>
      </c>
      <c r="D632">
        <v>30.634174300000002</v>
      </c>
      <c r="E632" t="s">
        <v>3035</v>
      </c>
      <c r="F632">
        <v>120.4775432</v>
      </c>
      <c r="G632" t="s">
        <v>3036</v>
      </c>
      <c r="H632">
        <v>313881</v>
      </c>
      <c r="I632" t="s">
        <v>3037</v>
      </c>
    </row>
    <row r="633" spans="1:9" x14ac:dyDescent="0.25">
      <c r="A633" t="s">
        <v>3034</v>
      </c>
      <c r="B633" t="s">
        <v>3615</v>
      </c>
      <c r="C633" t="s">
        <v>3038</v>
      </c>
      <c r="D633">
        <v>30.425866500000001</v>
      </c>
      <c r="E633" t="s">
        <v>3035</v>
      </c>
      <c r="F633">
        <v>120.58599820000001</v>
      </c>
      <c r="G633" t="s">
        <v>3036</v>
      </c>
      <c r="H633">
        <v>281807</v>
      </c>
      <c r="I633" t="s">
        <v>3037</v>
      </c>
    </row>
    <row r="634" spans="1:9" x14ac:dyDescent="0.25">
      <c r="A634" t="s">
        <v>3034</v>
      </c>
      <c r="B634" t="s">
        <v>3616</v>
      </c>
      <c r="C634" t="s">
        <v>3038</v>
      </c>
      <c r="D634">
        <v>30.644961200000001</v>
      </c>
      <c r="E634" t="s">
        <v>3035</v>
      </c>
      <c r="F634">
        <v>120.89871909999999</v>
      </c>
      <c r="G634" t="s">
        <v>3036</v>
      </c>
      <c r="H634">
        <v>1160526</v>
      </c>
      <c r="I634" t="s">
        <v>3037</v>
      </c>
    </row>
    <row r="635" spans="1:9" x14ac:dyDescent="0.25">
      <c r="A635" t="s">
        <v>3034</v>
      </c>
      <c r="B635" t="s">
        <v>3617</v>
      </c>
      <c r="C635" t="s">
        <v>3038</v>
      </c>
      <c r="D635">
        <v>30.002124800000001</v>
      </c>
      <c r="E635" t="s">
        <v>3035</v>
      </c>
      <c r="F635">
        <v>121.1558414</v>
      </c>
      <c r="G635" t="s">
        <v>3036</v>
      </c>
      <c r="H635">
        <v>530686</v>
      </c>
      <c r="I635" t="s">
        <v>3037</v>
      </c>
    </row>
    <row r="636" spans="1:9" x14ac:dyDescent="0.25">
      <c r="A636" t="s">
        <v>3034</v>
      </c>
      <c r="B636" t="s">
        <v>3618</v>
      </c>
      <c r="C636" t="s">
        <v>3038</v>
      </c>
      <c r="D636">
        <v>30.247556599999999</v>
      </c>
      <c r="E636" t="s">
        <v>3035</v>
      </c>
      <c r="F636">
        <v>121.3493442</v>
      </c>
      <c r="G636" t="s">
        <v>3036</v>
      </c>
      <c r="H636">
        <v>467069</v>
      </c>
      <c r="I636" t="s">
        <v>3037</v>
      </c>
    </row>
    <row r="637" spans="1:9" x14ac:dyDescent="0.25">
      <c r="A637" t="s">
        <v>3034</v>
      </c>
      <c r="B637" t="s">
        <v>3619</v>
      </c>
      <c r="C637" t="s">
        <v>3038</v>
      </c>
      <c r="D637">
        <v>29.605265800000002</v>
      </c>
      <c r="E637" t="s">
        <v>3035</v>
      </c>
      <c r="F637">
        <v>121.7536848</v>
      </c>
      <c r="G637" t="s">
        <v>3036</v>
      </c>
      <c r="H637">
        <v>3392442</v>
      </c>
      <c r="I637" t="s">
        <v>3037</v>
      </c>
    </row>
    <row r="638" spans="1:9" x14ac:dyDescent="0.25">
      <c r="A638" t="s">
        <v>3034</v>
      </c>
      <c r="B638" t="s">
        <v>3620</v>
      </c>
      <c r="C638" t="s">
        <v>3038</v>
      </c>
      <c r="D638">
        <v>29.488031100000001</v>
      </c>
      <c r="E638" t="s">
        <v>3035</v>
      </c>
      <c r="F638">
        <v>119.3310481</v>
      </c>
      <c r="G638" t="s">
        <v>3036</v>
      </c>
      <c r="H638">
        <v>128299</v>
      </c>
      <c r="I638" t="s">
        <v>3037</v>
      </c>
    </row>
    <row r="639" spans="1:9" x14ac:dyDescent="0.25">
      <c r="A639" t="s">
        <v>3034</v>
      </c>
      <c r="B639" t="s">
        <v>3621</v>
      </c>
      <c r="C639" t="s">
        <v>3038</v>
      </c>
      <c r="D639">
        <v>29.876840000000001</v>
      </c>
      <c r="E639" t="s">
        <v>3035</v>
      </c>
      <c r="F639">
        <v>119.53259</v>
      </c>
      <c r="G639" t="s">
        <v>3036</v>
      </c>
      <c r="H639">
        <v>6037510</v>
      </c>
      <c r="I639" t="s">
        <v>3635</v>
      </c>
    </row>
    <row r="640" spans="1:9" x14ac:dyDescent="0.25">
      <c r="A640" t="s">
        <v>3034</v>
      </c>
      <c r="B640" t="s">
        <v>3622</v>
      </c>
      <c r="C640" t="s">
        <v>3038</v>
      </c>
      <c r="D640">
        <v>28.250834999999999</v>
      </c>
      <c r="E640" t="s">
        <v>3035</v>
      </c>
      <c r="F640">
        <v>121.01773059999999</v>
      </c>
      <c r="G640" t="s">
        <v>3036</v>
      </c>
      <c r="H640">
        <v>392781</v>
      </c>
      <c r="I640" t="s">
        <v>3037</v>
      </c>
    </row>
    <row r="641" spans="1:9" x14ac:dyDescent="0.25">
      <c r="A641" t="s">
        <v>3034</v>
      </c>
      <c r="B641" t="s">
        <v>3623</v>
      </c>
      <c r="C641" t="s">
        <v>3038</v>
      </c>
      <c r="D641">
        <v>27.764968799999998</v>
      </c>
      <c r="E641" t="s">
        <v>3035</v>
      </c>
      <c r="F641">
        <v>120.7341842</v>
      </c>
      <c r="G641" t="s">
        <v>3036</v>
      </c>
      <c r="H641">
        <v>823135</v>
      </c>
      <c r="I641" t="s">
        <v>3037</v>
      </c>
    </row>
    <row r="642" spans="1:9" x14ac:dyDescent="0.25">
      <c r="A642" t="s">
        <v>3034</v>
      </c>
      <c r="B642" t="s">
        <v>3624</v>
      </c>
      <c r="C642" t="s">
        <v>3038</v>
      </c>
      <c r="D642">
        <v>27.790027500000001</v>
      </c>
      <c r="E642" t="s">
        <v>3035</v>
      </c>
      <c r="F642">
        <v>120.5887953</v>
      </c>
      <c r="G642" t="s">
        <v>3036</v>
      </c>
      <c r="H642">
        <v>3471848</v>
      </c>
      <c r="I642" t="s">
        <v>3037</v>
      </c>
    </row>
    <row r="643" spans="1:9" x14ac:dyDescent="0.25">
      <c r="A643" t="s">
        <v>3034</v>
      </c>
      <c r="B643" t="s">
        <v>3625</v>
      </c>
      <c r="C643" t="s">
        <v>3038</v>
      </c>
      <c r="D643">
        <v>30.779098699999999</v>
      </c>
      <c r="E643" t="s">
        <v>3035</v>
      </c>
      <c r="F643">
        <v>119.85824150000001</v>
      </c>
      <c r="G643" t="s">
        <v>3036</v>
      </c>
      <c r="H643">
        <v>1115088</v>
      </c>
      <c r="I643" t="s">
        <v>3037</v>
      </c>
    </row>
    <row r="644" spans="1:9" x14ac:dyDescent="0.25">
      <c r="A644" t="s">
        <v>3034</v>
      </c>
      <c r="B644" t="s">
        <v>3626</v>
      </c>
      <c r="C644" t="s">
        <v>3038</v>
      </c>
      <c r="D644">
        <v>29.578639899999999</v>
      </c>
      <c r="E644" t="s">
        <v>3035</v>
      </c>
      <c r="F644">
        <v>120.7900556</v>
      </c>
      <c r="G644" t="s">
        <v>3036</v>
      </c>
      <c r="H644">
        <v>284203</v>
      </c>
      <c r="I644" t="s">
        <v>3037</v>
      </c>
    </row>
    <row r="645" spans="1:9" x14ac:dyDescent="0.25">
      <c r="A645" t="s">
        <v>3034</v>
      </c>
      <c r="B645" t="s">
        <v>3627</v>
      </c>
      <c r="C645" t="s">
        <v>3038</v>
      </c>
      <c r="D645">
        <v>29.671083299999999</v>
      </c>
      <c r="E645" t="s">
        <v>3035</v>
      </c>
      <c r="F645">
        <v>120.2102637</v>
      </c>
      <c r="G645" t="s">
        <v>3036</v>
      </c>
      <c r="H645">
        <v>566823</v>
      </c>
      <c r="I645" t="s">
        <v>3037</v>
      </c>
    </row>
    <row r="646" spans="1:9" x14ac:dyDescent="0.25">
      <c r="A646" t="s">
        <v>3034</v>
      </c>
      <c r="B646" t="s">
        <v>3628</v>
      </c>
      <c r="C646" t="s">
        <v>3038</v>
      </c>
      <c r="D646">
        <v>29.762974199999999</v>
      </c>
      <c r="E646" t="s">
        <v>3035</v>
      </c>
      <c r="F646">
        <v>120.55566109999999</v>
      </c>
      <c r="G646" t="s">
        <v>3036</v>
      </c>
      <c r="H646">
        <v>2524220</v>
      </c>
      <c r="I646" t="s">
        <v>3037</v>
      </c>
    </row>
    <row r="647" spans="1:9" x14ac:dyDescent="0.25">
      <c r="A647" t="s">
        <v>3034</v>
      </c>
      <c r="B647" t="s">
        <v>3248</v>
      </c>
      <c r="C647" t="s">
        <v>3038</v>
      </c>
      <c r="D647">
        <v>30.225180000000002</v>
      </c>
      <c r="E647" t="s">
        <v>3035</v>
      </c>
      <c r="F647">
        <v>122.3372363</v>
      </c>
      <c r="G647" t="s">
        <v>3036</v>
      </c>
      <c r="H647">
        <v>655011</v>
      </c>
      <c r="I647" t="s">
        <v>3037</v>
      </c>
    </row>
    <row r="648" spans="1:9" x14ac:dyDescent="0.25">
      <c r="A648" t="s">
        <v>3034</v>
      </c>
      <c r="B648" t="s">
        <v>3324</v>
      </c>
      <c r="C648" t="s">
        <v>3038</v>
      </c>
      <c r="D648">
        <v>28.566550899999999</v>
      </c>
      <c r="E648" t="s">
        <v>3035</v>
      </c>
      <c r="F648">
        <v>118.5952849</v>
      </c>
      <c r="G648" t="s">
        <v>3036</v>
      </c>
      <c r="H648">
        <v>184828</v>
      </c>
      <c r="I648" t="s">
        <v>3037</v>
      </c>
    </row>
    <row r="649" spans="1:9" x14ac:dyDescent="0.25">
      <c r="A649" t="s">
        <v>3034</v>
      </c>
      <c r="B649" t="s">
        <v>3629</v>
      </c>
      <c r="C649" t="s">
        <v>3038</v>
      </c>
      <c r="D649">
        <v>28.870882699999999</v>
      </c>
      <c r="E649" t="s">
        <v>3035</v>
      </c>
      <c r="F649">
        <v>118.6821829</v>
      </c>
      <c r="G649" t="s">
        <v>3036</v>
      </c>
      <c r="H649">
        <v>583265</v>
      </c>
      <c r="I649" t="s">
        <v>3037</v>
      </c>
    </row>
    <row r="650" spans="1:9" x14ac:dyDescent="0.25">
      <c r="A650" t="s">
        <v>3034</v>
      </c>
      <c r="B650" t="s">
        <v>3630</v>
      </c>
      <c r="C650" t="s">
        <v>3038</v>
      </c>
      <c r="D650">
        <v>29.233792999999999</v>
      </c>
      <c r="E650" t="s">
        <v>3035</v>
      </c>
      <c r="F650">
        <v>120.4034784</v>
      </c>
      <c r="G650" t="s">
        <v>3036</v>
      </c>
      <c r="H650">
        <v>362576</v>
      </c>
      <c r="I650" t="s">
        <v>3037</v>
      </c>
    </row>
    <row r="651" spans="1:9" x14ac:dyDescent="0.25">
      <c r="A651" t="s">
        <v>3034</v>
      </c>
      <c r="B651" t="s">
        <v>3631</v>
      </c>
      <c r="C651" t="s">
        <v>3038</v>
      </c>
      <c r="D651">
        <v>29.297580700000001</v>
      </c>
      <c r="E651" t="s">
        <v>3035</v>
      </c>
      <c r="F651">
        <v>120.04969939999999</v>
      </c>
      <c r="G651" t="s">
        <v>3036</v>
      </c>
      <c r="H651">
        <v>849197</v>
      </c>
      <c r="I651" t="s">
        <v>3037</v>
      </c>
    </row>
    <row r="652" spans="1:9" x14ac:dyDescent="0.25">
      <c r="A652" t="s">
        <v>3034</v>
      </c>
      <c r="B652" t="s">
        <v>3632</v>
      </c>
      <c r="C652" t="s">
        <v>3038</v>
      </c>
      <c r="D652">
        <v>29.2658652</v>
      </c>
      <c r="E652" t="s">
        <v>3035</v>
      </c>
      <c r="F652">
        <v>119.5532494</v>
      </c>
      <c r="G652" t="s">
        <v>3036</v>
      </c>
      <c r="H652">
        <v>312808</v>
      </c>
      <c r="I652" t="s">
        <v>3037</v>
      </c>
    </row>
    <row r="653" spans="1:9" x14ac:dyDescent="0.25">
      <c r="A653" t="s">
        <v>3034</v>
      </c>
      <c r="B653" t="s">
        <v>3633</v>
      </c>
      <c r="C653" t="s">
        <v>3038</v>
      </c>
      <c r="D653">
        <v>28.933903300000001</v>
      </c>
      <c r="E653" t="s">
        <v>3035</v>
      </c>
      <c r="F653">
        <v>120.117814</v>
      </c>
      <c r="G653" t="s">
        <v>3036</v>
      </c>
      <c r="H653">
        <v>335919</v>
      </c>
      <c r="I653" t="s">
        <v>3037</v>
      </c>
    </row>
    <row r="654" spans="1:9" x14ac:dyDescent="0.25">
      <c r="A654" t="s">
        <v>3034</v>
      </c>
      <c r="B654" t="s">
        <v>3634</v>
      </c>
      <c r="C654" t="s">
        <v>3038</v>
      </c>
      <c r="D654">
        <v>29.100189400000001</v>
      </c>
      <c r="E654" t="s">
        <v>3035</v>
      </c>
      <c r="F654">
        <v>119.9982595</v>
      </c>
      <c r="G654" t="s">
        <v>3036</v>
      </c>
      <c r="H654">
        <v>971199</v>
      </c>
      <c r="I654" t="s">
        <v>3037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D52DD-3B6F-4926-8508-55F16D424DEC}">
  <dimension ref="A1:G103"/>
  <sheetViews>
    <sheetView workbookViewId="0">
      <selection activeCell="A2" sqref="A2:G103"/>
    </sheetView>
  </sheetViews>
  <sheetFormatPr defaultRowHeight="15" x14ac:dyDescent="0.25"/>
  <cols>
    <col min="4" max="4" width="12.85546875" customWidth="1"/>
    <col min="5" max="6" width="13.85546875" customWidth="1"/>
  </cols>
  <sheetData>
    <row r="1" spans="1:7" ht="15.75" thickBot="1" x14ac:dyDescent="0.3">
      <c r="A1" t="s">
        <v>0</v>
      </c>
      <c r="B1" t="s">
        <v>2</v>
      </c>
      <c r="C1" t="s">
        <v>1</v>
      </c>
      <c r="D1" t="s">
        <v>4</v>
      </c>
      <c r="E1" t="s">
        <v>3021</v>
      </c>
      <c r="F1" t="s">
        <v>3022</v>
      </c>
      <c r="G1" t="s">
        <v>3024</v>
      </c>
    </row>
    <row r="2" spans="1:7" ht="15.75" thickBot="1" x14ac:dyDescent="0.3">
      <c r="A2" t="s">
        <v>2901</v>
      </c>
      <c r="B2" s="5" t="s">
        <v>2902</v>
      </c>
      <c r="C2" s="5" t="s">
        <v>2903</v>
      </c>
      <c r="D2" s="6">
        <v>6878722</v>
      </c>
      <c r="E2" s="6">
        <v>8700373</v>
      </c>
      <c r="F2" s="6">
        <v>11936010</v>
      </c>
      <c r="G2" s="12" t="str" cm="1">
        <f t="array" aca="1" ref="G2" ca="1">IF(Background=36,C2,G1)</f>
        <v>杭州市</v>
      </c>
    </row>
    <row r="3" spans="1:7" ht="15.75" thickBot="1" x14ac:dyDescent="0.3">
      <c r="A3" t="s">
        <v>42</v>
      </c>
      <c r="B3" s="1" t="s">
        <v>2904</v>
      </c>
      <c r="C3" s="1" t="s">
        <v>2905</v>
      </c>
      <c r="D3" s="2">
        <v>115887</v>
      </c>
      <c r="E3" s="2">
        <v>319027</v>
      </c>
      <c r="F3" s="2">
        <v>503859</v>
      </c>
      <c r="G3" s="2" t="str" cm="1">
        <f t="array" aca="1" ref="G3" ca="1">IF(Background=36,C3,G2)</f>
        <v>杭州市</v>
      </c>
    </row>
    <row r="4" spans="1:7" ht="15.75" thickBot="1" x14ac:dyDescent="0.3">
      <c r="A4" t="s">
        <v>8</v>
      </c>
      <c r="B4" s="1" t="s">
        <v>2906</v>
      </c>
      <c r="C4" s="1" t="s">
        <v>2907</v>
      </c>
      <c r="D4" s="2">
        <v>382347</v>
      </c>
      <c r="E4" s="2">
        <v>336843</v>
      </c>
      <c r="F4" s="2">
        <v>328957</v>
      </c>
      <c r="G4" s="2" t="str" cm="1">
        <f t="array" aca="1" ref="G4" ca="1">IF(Background=36,C4,G3)</f>
        <v>杭州市</v>
      </c>
    </row>
    <row r="5" spans="1:7" ht="15.75" thickBot="1" x14ac:dyDescent="0.3">
      <c r="A5" t="s">
        <v>39</v>
      </c>
      <c r="B5" s="1" t="s">
        <v>2904</v>
      </c>
      <c r="C5" s="1" t="s">
        <v>2908</v>
      </c>
      <c r="D5" s="2">
        <v>628633</v>
      </c>
      <c r="E5" s="2">
        <v>717694</v>
      </c>
      <c r="F5" s="2">
        <v>832017</v>
      </c>
      <c r="G5" s="2" t="str" cm="1">
        <f t="array" aca="1" ref="G5" ca="1">IF(Background=36,C5,G4)</f>
        <v>杭州市</v>
      </c>
    </row>
    <row r="6" spans="1:7" ht="15.75" thickBot="1" x14ac:dyDescent="0.3">
      <c r="A6" t="s">
        <v>25</v>
      </c>
      <c r="B6" s="1" t="s">
        <v>2904</v>
      </c>
      <c r="C6" s="1" t="s">
        <v>2909</v>
      </c>
      <c r="D6" s="2">
        <v>841698</v>
      </c>
      <c r="E6" s="2">
        <v>1077970</v>
      </c>
      <c r="F6" s="2">
        <v>1120985</v>
      </c>
      <c r="G6" s="2" t="str" cm="1">
        <f t="array" aca="1" ref="G6" ca="1">IF(Background=36,C6,G5)</f>
        <v>杭州市</v>
      </c>
    </row>
    <row r="7" spans="1:7" ht="15.75" thickBot="1" x14ac:dyDescent="0.3">
      <c r="A7" t="s">
        <v>68</v>
      </c>
      <c r="B7" s="1" t="s">
        <v>2497</v>
      </c>
      <c r="C7" s="1" t="s">
        <v>2910</v>
      </c>
      <c r="D7" s="2">
        <v>473062</v>
      </c>
      <c r="E7" s="2">
        <v>430750</v>
      </c>
      <c r="F7" s="2">
        <v>442709</v>
      </c>
      <c r="G7" s="2" t="str" cm="1">
        <f t="array" aca="1" ref="G7" ca="1">IF(Background=36,C7,G6)</f>
        <v>杭州市</v>
      </c>
    </row>
    <row r="8" spans="1:7" ht="15.75" thickBot="1" x14ac:dyDescent="0.3">
      <c r="A8" t="s">
        <v>22</v>
      </c>
      <c r="B8" s="1" t="s">
        <v>2904</v>
      </c>
      <c r="C8" s="1" t="s">
        <v>2911</v>
      </c>
      <c r="D8" s="2">
        <v>514238</v>
      </c>
      <c r="E8" s="2">
        <v>566665</v>
      </c>
      <c r="F8" s="2">
        <v>634555</v>
      </c>
      <c r="G8" s="2" t="str" cm="1">
        <f t="array" aca="1" ref="G8" ca="1">IF(Background=36,C8,G7)</f>
        <v>杭州市</v>
      </c>
    </row>
    <row r="9" spans="1:7" ht="15.75" thickBot="1" x14ac:dyDescent="0.3">
      <c r="A9" t="s">
        <v>59</v>
      </c>
      <c r="B9" s="1" t="s">
        <v>2904</v>
      </c>
      <c r="C9" s="1" t="s">
        <v>2912</v>
      </c>
      <c r="D9" s="4" t="s">
        <v>2913</v>
      </c>
      <c r="E9" s="2">
        <v>588395</v>
      </c>
      <c r="F9" s="2">
        <v>1175841</v>
      </c>
      <c r="G9" s="2" t="str" cm="1">
        <f t="array" aca="1" ref="G9" ca="1">IF(Background=36,C9,G8)</f>
        <v>杭州市</v>
      </c>
    </row>
    <row r="10" spans="1:7" ht="15.75" thickBot="1" x14ac:dyDescent="0.3">
      <c r="A10" t="s">
        <v>16</v>
      </c>
      <c r="B10" s="1" t="s">
        <v>2904</v>
      </c>
      <c r="C10" s="1" t="s">
        <v>2914</v>
      </c>
      <c r="D10" s="4" t="s">
        <v>2913</v>
      </c>
      <c r="E10" s="2">
        <v>476888</v>
      </c>
      <c r="F10" s="2">
        <v>769150</v>
      </c>
      <c r="G10" s="2" t="str" cm="1">
        <f t="array" aca="1" ref="G10" ca="1">IF(Background=36,C10,G9)</f>
        <v>杭州市</v>
      </c>
    </row>
    <row r="11" spans="1:7" ht="15.75" thickBot="1" x14ac:dyDescent="0.3">
      <c r="A11" t="s">
        <v>34</v>
      </c>
      <c r="B11" s="1" t="s">
        <v>2904</v>
      </c>
      <c r="C11" s="1" t="s">
        <v>2915</v>
      </c>
      <c r="D11" s="4" t="s">
        <v>2913</v>
      </c>
      <c r="E11" s="2">
        <v>1032644</v>
      </c>
      <c r="F11" s="2">
        <v>1323467</v>
      </c>
      <c r="G11" s="2" t="str" cm="1">
        <f t="array" aca="1" ref="G11" ca="1">IF(Background=36,C11,G10)</f>
        <v>杭州市</v>
      </c>
    </row>
    <row r="12" spans="1:7" ht="15.75" thickBot="1" x14ac:dyDescent="0.3">
      <c r="A12" t="s">
        <v>12</v>
      </c>
      <c r="B12" s="1" t="s">
        <v>2906</v>
      </c>
      <c r="C12" s="1" t="s">
        <v>2916</v>
      </c>
      <c r="D12" s="2">
        <v>378060</v>
      </c>
      <c r="E12" s="2">
        <v>406450</v>
      </c>
      <c r="F12" s="2">
        <v>453106</v>
      </c>
      <c r="G12" s="2" t="str" cm="1">
        <f t="array" aca="1" ref="G12" ca="1">IF(Background=36,C12,G11)</f>
        <v>杭州市</v>
      </c>
    </row>
    <row r="13" spans="1:7" ht="15.75" thickBot="1" x14ac:dyDescent="0.3">
      <c r="A13" t="s">
        <v>28</v>
      </c>
      <c r="B13" s="1" t="s">
        <v>2904</v>
      </c>
      <c r="C13" s="1" t="s">
        <v>2917</v>
      </c>
      <c r="D13" s="4" t="s">
        <v>2913</v>
      </c>
      <c r="E13" s="2">
        <v>1345135</v>
      </c>
      <c r="F13" s="2">
        <v>2011699</v>
      </c>
      <c r="G13" s="2" t="str" cm="1">
        <f t="array" aca="1" ref="G13" ca="1">IF(Background=36,C13,G12)</f>
        <v>杭州市</v>
      </c>
    </row>
    <row r="14" spans="1:7" ht="15.75" thickBot="1" x14ac:dyDescent="0.3">
      <c r="A14" t="s">
        <v>31</v>
      </c>
      <c r="B14" s="1" t="s">
        <v>2904</v>
      </c>
      <c r="C14" s="1" t="s">
        <v>2918</v>
      </c>
      <c r="D14" s="2">
        <v>593324</v>
      </c>
      <c r="E14" s="2">
        <v>820017</v>
      </c>
      <c r="F14" s="2">
        <v>1112992</v>
      </c>
      <c r="G14" s="2" t="str" cm="1">
        <f t="array" aca="1" ref="G14" ca="1">IF(Background=36,C14,G13)</f>
        <v>杭州市</v>
      </c>
    </row>
    <row r="15" spans="1:7" ht="15.75" thickBot="1" x14ac:dyDescent="0.3">
      <c r="A15" t="s">
        <v>19</v>
      </c>
      <c r="B15" s="1" t="s">
        <v>2904</v>
      </c>
      <c r="C15" s="1" t="s">
        <v>2919</v>
      </c>
      <c r="D15" s="4" t="s">
        <v>2913</v>
      </c>
      <c r="E15" s="2">
        <v>581895</v>
      </c>
      <c r="F15" s="2">
        <v>1226673</v>
      </c>
      <c r="G15" s="2" t="str" cm="1">
        <f t="array" aca="1" ref="G15" ca="1">IF(Background=36,C15,G14)</f>
        <v>杭州市</v>
      </c>
    </row>
    <row r="16" spans="1:7" ht="15.75" thickBot="1" x14ac:dyDescent="0.3">
      <c r="A16" t="s">
        <v>2920</v>
      </c>
      <c r="B16" s="5" t="s">
        <v>2921</v>
      </c>
      <c r="C16" s="5" t="s">
        <v>2922</v>
      </c>
      <c r="D16" s="6">
        <v>2625595</v>
      </c>
      <c r="E16" s="6">
        <v>2893542</v>
      </c>
      <c r="F16" s="6">
        <v>3367579</v>
      </c>
      <c r="G16" s="2" t="str" cm="1">
        <f t="array" aca="1" ref="G16" ca="1">IF(Background=36,C16,G15)</f>
        <v>湖州市</v>
      </c>
    </row>
    <row r="17" spans="1:7" ht="15.75" thickBot="1" x14ac:dyDescent="0.3">
      <c r="A17" t="s">
        <v>427</v>
      </c>
      <c r="B17" s="1" t="s">
        <v>2906</v>
      </c>
      <c r="C17" s="1" t="s">
        <v>2923</v>
      </c>
      <c r="D17" s="2">
        <v>432139</v>
      </c>
      <c r="E17" s="2">
        <v>466552</v>
      </c>
      <c r="F17" s="2">
        <v>586409</v>
      </c>
      <c r="G17" s="2" t="str" cm="1">
        <f t="array" aca="1" ref="G17" ca="1">IF(Background=36,C17,G16)</f>
        <v>湖州市</v>
      </c>
    </row>
    <row r="18" spans="1:7" ht="15.75" thickBot="1" x14ac:dyDescent="0.3">
      <c r="A18" t="s">
        <v>454</v>
      </c>
      <c r="B18" s="1" t="s">
        <v>2906</v>
      </c>
      <c r="C18" s="1" t="s">
        <v>2924</v>
      </c>
      <c r="D18" s="2">
        <v>611518</v>
      </c>
      <c r="E18" s="2">
        <v>641982</v>
      </c>
      <c r="F18" s="2">
        <v>673776</v>
      </c>
      <c r="G18" s="2" t="str" cm="1">
        <f t="array" aca="1" ref="G18" ca="1">IF(Background=36,C18,G17)</f>
        <v>湖州市</v>
      </c>
    </row>
    <row r="19" spans="1:7" ht="15.75" thickBot="1" x14ac:dyDescent="0.3">
      <c r="A19" t="s">
        <v>438</v>
      </c>
      <c r="B19" s="1" t="s">
        <v>2906</v>
      </c>
      <c r="C19" s="1" t="s">
        <v>2925</v>
      </c>
      <c r="D19" s="2">
        <v>436524</v>
      </c>
      <c r="E19" s="2">
        <v>491789</v>
      </c>
      <c r="F19" s="2">
        <v>548568</v>
      </c>
      <c r="G19" s="2" t="str" cm="1">
        <f t="array" aca="1" ref="G19" ca="1">IF(Background=36,C19,G18)</f>
        <v>湖州市</v>
      </c>
    </row>
    <row r="20" spans="1:7" ht="15.75" thickBot="1" x14ac:dyDescent="0.3">
      <c r="A20" t="s">
        <v>451</v>
      </c>
      <c r="B20" s="1" t="s">
        <v>2904</v>
      </c>
      <c r="C20" s="1" t="s">
        <v>2926</v>
      </c>
      <c r="D20" s="4" t="s">
        <v>2913</v>
      </c>
      <c r="E20" s="2">
        <v>536054</v>
      </c>
      <c r="F20" s="2">
        <v>542889</v>
      </c>
      <c r="G20" s="2" t="str" cm="1">
        <f t="array" aca="1" ref="G20" ca="1">IF(Background=36,C20,G19)</f>
        <v>湖州市</v>
      </c>
    </row>
    <row r="21" spans="1:7" ht="15.75" thickBot="1" x14ac:dyDescent="0.3">
      <c r="A21" t="s">
        <v>422</v>
      </c>
      <c r="B21" s="1" t="s">
        <v>2904</v>
      </c>
      <c r="C21" s="1" t="s">
        <v>2927</v>
      </c>
      <c r="D21" s="4" t="s">
        <v>2913</v>
      </c>
      <c r="E21" s="2">
        <v>757165</v>
      </c>
      <c r="F21" s="2">
        <v>1015937</v>
      </c>
      <c r="G21" s="2" t="str" cm="1">
        <f t="array" aca="1" ref="G21" ca="1">IF(Background=36,C21,G20)</f>
        <v>湖州市</v>
      </c>
    </row>
    <row r="22" spans="1:7" ht="15.75" thickBot="1" x14ac:dyDescent="0.3">
      <c r="A22" t="s">
        <v>2928</v>
      </c>
      <c r="B22" s="5" t="s">
        <v>2921</v>
      </c>
      <c r="C22" s="5" t="s">
        <v>2929</v>
      </c>
      <c r="D22" s="6">
        <v>3582996</v>
      </c>
      <c r="E22" s="6">
        <v>4501657</v>
      </c>
      <c r="F22" s="6">
        <v>5400868</v>
      </c>
      <c r="G22" s="2" t="str" cm="1">
        <f t="array" aca="1" ref="G22" ca="1">IF(Background=36,C22,G21)</f>
        <v>嘉兴市</v>
      </c>
    </row>
    <row r="23" spans="1:7" ht="15.75" thickBot="1" x14ac:dyDescent="0.3">
      <c r="A23" t="s">
        <v>558</v>
      </c>
      <c r="B23" s="1" t="s">
        <v>2497</v>
      </c>
      <c r="C23" s="1" t="s">
        <v>2930</v>
      </c>
      <c r="D23" s="2">
        <v>666080</v>
      </c>
      <c r="E23" s="2">
        <v>806966</v>
      </c>
      <c r="F23" s="2">
        <v>1076199</v>
      </c>
      <c r="G23" s="2" t="str" cm="1">
        <f t="array" aca="1" ref="G23" ca="1">IF(Background=36,C23,G22)</f>
        <v>嘉兴市</v>
      </c>
    </row>
    <row r="24" spans="1:7" ht="15.75" thickBot="1" x14ac:dyDescent="0.3">
      <c r="A24" t="s">
        <v>553</v>
      </c>
      <c r="B24" s="1" t="s">
        <v>2906</v>
      </c>
      <c r="C24" s="1" t="s">
        <v>2931</v>
      </c>
      <c r="D24" s="2">
        <v>387723</v>
      </c>
      <c r="E24" s="2">
        <v>430940</v>
      </c>
      <c r="F24" s="2">
        <v>456775</v>
      </c>
      <c r="G24" s="2" t="str" cm="1">
        <f t="array" aca="1" ref="G24" ca="1">IF(Background=36,C24,G23)</f>
        <v>嘉兴市</v>
      </c>
    </row>
    <row r="25" spans="1:7" ht="15.75" thickBot="1" x14ac:dyDescent="0.3">
      <c r="A25" t="s">
        <v>575</v>
      </c>
      <c r="B25" s="1" t="s">
        <v>2906</v>
      </c>
      <c r="C25" s="1" t="s">
        <v>2932</v>
      </c>
      <c r="D25" s="2">
        <v>425972</v>
      </c>
      <c r="E25" s="2">
        <v>574187</v>
      </c>
      <c r="F25" s="2">
        <v>648160</v>
      </c>
      <c r="G25" s="2" t="str" cm="1">
        <f t="array" aca="1" ref="G25" ca="1">IF(Background=36,C25,G24)</f>
        <v>嘉兴市</v>
      </c>
    </row>
    <row r="26" spans="1:7" ht="15.75" thickBot="1" x14ac:dyDescent="0.3">
      <c r="A26" t="s">
        <v>561</v>
      </c>
      <c r="B26" s="1" t="s">
        <v>2904</v>
      </c>
      <c r="C26" s="1" t="s">
        <v>2933</v>
      </c>
      <c r="D26" s="2">
        <v>500298</v>
      </c>
      <c r="E26" s="2">
        <v>612663</v>
      </c>
      <c r="F26" s="2">
        <v>839433</v>
      </c>
      <c r="G26" s="2" t="str" cm="1">
        <f t="array" aca="1" ref="G26" ca="1">IF(Background=36,C26,G25)</f>
        <v>嘉兴市</v>
      </c>
    </row>
    <row r="27" spans="1:7" ht="15.75" thickBot="1" x14ac:dyDescent="0.3">
      <c r="A27" t="s">
        <v>556</v>
      </c>
      <c r="B27" s="1" t="s">
        <v>2497</v>
      </c>
      <c r="C27" s="1" t="s">
        <v>2934</v>
      </c>
      <c r="D27" s="2">
        <v>507899</v>
      </c>
      <c r="E27" s="2">
        <v>671834</v>
      </c>
      <c r="F27" s="2">
        <v>671326</v>
      </c>
      <c r="G27" s="2" t="str" cm="1">
        <f t="array" aca="1" ref="G27" ca="1">IF(Background=36,C27,G26)</f>
        <v>嘉兴市</v>
      </c>
    </row>
    <row r="28" spans="1:7" ht="15.75" thickBot="1" x14ac:dyDescent="0.3">
      <c r="A28" t="s">
        <v>566</v>
      </c>
      <c r="B28" s="1" t="s">
        <v>2497</v>
      </c>
      <c r="C28" s="1" t="s">
        <v>2935</v>
      </c>
      <c r="D28" s="2">
        <v>713399</v>
      </c>
      <c r="E28" s="2">
        <v>815848</v>
      </c>
      <c r="F28" s="2">
        <v>1029754</v>
      </c>
      <c r="G28" s="2" t="str" cm="1">
        <f t="array" aca="1" ref="G28" ca="1">IF(Background=36,C28,G27)</f>
        <v>嘉兴市</v>
      </c>
    </row>
    <row r="29" spans="1:7" ht="15.75" thickBot="1" x14ac:dyDescent="0.3">
      <c r="A29" t="s">
        <v>594</v>
      </c>
      <c r="B29" s="1" t="s">
        <v>2904</v>
      </c>
      <c r="C29" s="1" t="s">
        <v>2936</v>
      </c>
      <c r="D29" s="2">
        <v>381625</v>
      </c>
      <c r="E29" s="2">
        <v>589219</v>
      </c>
      <c r="F29" s="2">
        <v>679221</v>
      </c>
      <c r="G29" s="2" t="str" cm="1">
        <f t="array" aca="1" ref="G29" ca="1">IF(Background=36,C29,G28)</f>
        <v>嘉兴市</v>
      </c>
    </row>
    <row r="30" spans="1:7" ht="15.75" thickBot="1" x14ac:dyDescent="0.3">
      <c r="A30" t="s">
        <v>2937</v>
      </c>
      <c r="B30" s="5" t="s">
        <v>2921</v>
      </c>
      <c r="C30" s="5" t="s">
        <v>2938</v>
      </c>
      <c r="D30" s="6">
        <v>4571881</v>
      </c>
      <c r="E30" s="6">
        <v>5361572</v>
      </c>
      <c r="F30" s="6">
        <v>7050683</v>
      </c>
      <c r="G30" s="2" t="str" cm="1">
        <f t="array" aca="1" ref="G30" ca="1">IF(Background=36,C30,G29)</f>
        <v>金华市</v>
      </c>
    </row>
    <row r="31" spans="1:7" ht="15.75" thickBot="1" x14ac:dyDescent="0.3">
      <c r="A31" t="s">
        <v>721</v>
      </c>
      <c r="B31" s="1" t="s">
        <v>2497</v>
      </c>
      <c r="C31" s="1" t="s">
        <v>2939</v>
      </c>
      <c r="D31" s="2">
        <v>753094</v>
      </c>
      <c r="E31" s="2">
        <v>804398</v>
      </c>
      <c r="F31" s="2">
        <v>1087950</v>
      </c>
      <c r="G31" s="2" t="str" cm="1">
        <f t="array" aca="1" ref="G31" ca="1">IF(Background=36,C31,G30)</f>
        <v>金华市</v>
      </c>
    </row>
    <row r="32" spans="1:7" ht="15.75" thickBot="1" x14ac:dyDescent="0.3">
      <c r="A32" t="s">
        <v>727</v>
      </c>
      <c r="B32" s="1" t="s">
        <v>2904</v>
      </c>
      <c r="C32" s="1" t="s">
        <v>2940</v>
      </c>
      <c r="D32" s="2">
        <v>475800</v>
      </c>
      <c r="E32" s="2">
        <v>315583</v>
      </c>
      <c r="F32" s="2">
        <v>506935</v>
      </c>
      <c r="G32" s="2" t="str" cm="1">
        <f t="array" aca="1" ref="G32" ca="1">IF(Background=36,C32,G31)</f>
        <v>金华市</v>
      </c>
    </row>
    <row r="33" spans="1:7" ht="15.75" thickBot="1" x14ac:dyDescent="0.3">
      <c r="A33" t="s">
        <v>717</v>
      </c>
      <c r="B33" s="1" t="s">
        <v>2497</v>
      </c>
      <c r="C33" s="1" t="s">
        <v>2941</v>
      </c>
      <c r="D33" s="2">
        <v>607196</v>
      </c>
      <c r="E33" s="2">
        <v>560514</v>
      </c>
      <c r="F33" s="2">
        <v>574801</v>
      </c>
      <c r="G33" s="2" t="str" cm="1">
        <f t="array" aca="1" ref="G33" ca="1">IF(Background=36,C33,G32)</f>
        <v>金华市</v>
      </c>
    </row>
    <row r="34" spans="1:7" ht="15.75" thickBot="1" x14ac:dyDescent="0.3">
      <c r="A34" t="s">
        <v>706</v>
      </c>
      <c r="B34" s="1" t="s">
        <v>2906</v>
      </c>
      <c r="C34" s="1" t="s">
        <v>2942</v>
      </c>
      <c r="D34" s="2">
        <v>175834</v>
      </c>
      <c r="E34" s="2">
        <v>174665</v>
      </c>
      <c r="F34" s="2">
        <v>177161</v>
      </c>
      <c r="G34" s="2" t="str" cm="1">
        <f t="array" aca="1" ref="G34" ca="1">IF(Background=36,C34,G33)</f>
        <v>金华市</v>
      </c>
    </row>
    <row r="35" spans="1:7" ht="15.75" thickBot="1" x14ac:dyDescent="0.3">
      <c r="A35" t="s">
        <v>711</v>
      </c>
      <c r="B35" s="1" t="s">
        <v>2906</v>
      </c>
      <c r="C35" s="1" t="s">
        <v>2943</v>
      </c>
      <c r="D35" s="2">
        <v>364138</v>
      </c>
      <c r="E35" s="2">
        <v>437346</v>
      </c>
      <c r="F35" s="2">
        <v>460726</v>
      </c>
      <c r="G35" s="2" t="str" cm="1">
        <f t="array" aca="1" ref="G35" ca="1">IF(Background=36,C35,G34)</f>
        <v>金华市</v>
      </c>
    </row>
    <row r="36" spans="1:7" ht="15.75" thickBot="1" x14ac:dyDescent="0.3">
      <c r="A36" t="s">
        <v>703</v>
      </c>
      <c r="B36" s="1" t="s">
        <v>2904</v>
      </c>
      <c r="C36" s="1" t="s">
        <v>2944</v>
      </c>
      <c r="D36" s="2">
        <v>424859</v>
      </c>
      <c r="E36" s="2">
        <v>761662</v>
      </c>
      <c r="F36" s="2">
        <v>957055</v>
      </c>
      <c r="G36" s="2" t="str" cm="1">
        <f t="array" aca="1" ref="G36" ca="1">IF(Background=36,C36,G35)</f>
        <v>金华市</v>
      </c>
    </row>
    <row r="37" spans="1:7" ht="15.75" thickBot="1" x14ac:dyDescent="0.3">
      <c r="A37" t="s">
        <v>714</v>
      </c>
      <c r="B37" s="1" t="s">
        <v>2906</v>
      </c>
      <c r="C37" s="1" t="s">
        <v>2945</v>
      </c>
      <c r="D37" s="2">
        <v>301223</v>
      </c>
      <c r="E37" s="2">
        <v>349899</v>
      </c>
      <c r="F37" s="2">
        <v>462462</v>
      </c>
      <c r="G37" s="2" t="str" cm="1">
        <f t="array" aca="1" ref="G37" ca="1">IF(Background=36,C37,G36)</f>
        <v>金华市</v>
      </c>
    </row>
    <row r="38" spans="1:7" ht="15.75" thickBot="1" x14ac:dyDescent="0.3">
      <c r="A38" t="s">
        <v>724</v>
      </c>
      <c r="B38" s="1" t="s">
        <v>2497</v>
      </c>
      <c r="C38" s="1" t="s">
        <v>2946</v>
      </c>
      <c r="D38" s="2">
        <v>912670</v>
      </c>
      <c r="E38" s="2">
        <v>1234015</v>
      </c>
      <c r="F38" s="2">
        <v>1859390</v>
      </c>
      <c r="G38" s="2" t="str" cm="1">
        <f t="array" aca="1" ref="G38" ca="1">IF(Background=36,C38,G37)</f>
        <v>金华市</v>
      </c>
    </row>
    <row r="39" spans="1:7" ht="15.75" thickBot="1" x14ac:dyDescent="0.3">
      <c r="A39" t="s">
        <v>760</v>
      </c>
      <c r="B39" s="1" t="s">
        <v>2497</v>
      </c>
      <c r="C39" s="1" t="s">
        <v>2947</v>
      </c>
      <c r="D39" s="2">
        <v>557067</v>
      </c>
      <c r="E39" s="2">
        <v>723490</v>
      </c>
      <c r="F39" s="2">
        <v>964203</v>
      </c>
      <c r="G39" s="2" t="str" cm="1">
        <f t="array" aca="1" ref="G39" ca="1">IF(Background=36,C39,G38)</f>
        <v>金华市</v>
      </c>
    </row>
    <row r="40" spans="1:7" ht="15.75" thickBot="1" x14ac:dyDescent="0.3">
      <c r="A40" t="s">
        <v>2948</v>
      </c>
      <c r="B40" s="5" t="s">
        <v>2921</v>
      </c>
      <c r="C40" s="5" t="s">
        <v>2949</v>
      </c>
      <c r="D40" s="6">
        <v>2162113</v>
      </c>
      <c r="E40" s="6">
        <v>2116957</v>
      </c>
      <c r="F40" s="6">
        <v>2507396</v>
      </c>
      <c r="G40" s="2" t="str" cm="1">
        <f t="array" aca="1" ref="G40" ca="1">IF(Background=36,C40,G39)</f>
        <v>丽水市</v>
      </c>
    </row>
    <row r="41" spans="1:7" ht="15.75" thickBot="1" x14ac:dyDescent="0.3">
      <c r="A41" t="s">
        <v>1026</v>
      </c>
      <c r="B41" s="1" t="s">
        <v>2950</v>
      </c>
      <c r="C41" s="1" t="s">
        <v>2951</v>
      </c>
      <c r="D41" s="2">
        <v>153011</v>
      </c>
      <c r="E41" s="2">
        <v>107106</v>
      </c>
      <c r="F41" s="2">
        <v>111011</v>
      </c>
      <c r="G41" s="2" t="str" cm="1">
        <f t="array" aca="1" ref="G41" ca="1">IF(Background=36,C41,G40)</f>
        <v>丽水市</v>
      </c>
    </row>
    <row r="42" spans="1:7" ht="15.75" thickBot="1" x14ac:dyDescent="0.3">
      <c r="A42" t="s">
        <v>1061</v>
      </c>
      <c r="B42" s="1" t="s">
        <v>2906</v>
      </c>
      <c r="C42" s="1" t="s">
        <v>2952</v>
      </c>
      <c r="D42" s="2">
        <v>362252</v>
      </c>
      <c r="E42" s="2">
        <v>358917</v>
      </c>
      <c r="F42" s="2">
        <v>405318</v>
      </c>
      <c r="G42" s="2" t="str" cm="1">
        <f t="array" aca="1" ref="G42" ca="1">IF(Background=36,C42,G41)</f>
        <v>丽水市</v>
      </c>
    </row>
    <row r="43" spans="1:7" ht="15.75" thickBot="1" x14ac:dyDescent="0.3">
      <c r="A43" t="s">
        <v>1014</v>
      </c>
      <c r="B43" s="1" t="s">
        <v>2904</v>
      </c>
      <c r="C43" s="1" t="s">
        <v>2953</v>
      </c>
      <c r="D43" s="2">
        <v>348241</v>
      </c>
      <c r="E43" s="2">
        <v>451418</v>
      </c>
      <c r="F43" s="2">
        <v>562116</v>
      </c>
      <c r="G43" s="2" t="str" cm="1">
        <f t="array" aca="1" ref="G43" ca="1">IF(Background=36,C43,G42)</f>
        <v>丽水市</v>
      </c>
    </row>
    <row r="44" spans="1:7" ht="15.75" thickBot="1" x14ac:dyDescent="0.3">
      <c r="A44" t="s">
        <v>1006</v>
      </c>
      <c r="B44" s="1" t="s">
        <v>2497</v>
      </c>
      <c r="C44" s="1" t="s">
        <v>2954</v>
      </c>
      <c r="D44" s="2">
        <v>250398</v>
      </c>
      <c r="E44" s="2">
        <v>234626</v>
      </c>
      <c r="F44" s="2">
        <v>248866</v>
      </c>
      <c r="G44" s="2" t="str" cm="1">
        <f t="array" aca="1" ref="G44" ca="1">IF(Background=36,C44,G43)</f>
        <v>丽水市</v>
      </c>
    </row>
    <row r="45" spans="1:7" ht="15.75" thickBot="1" x14ac:dyDescent="0.3">
      <c r="A45" t="s">
        <v>1023</v>
      </c>
      <c r="B45" s="1" t="s">
        <v>2906</v>
      </c>
      <c r="C45" s="1" t="s">
        <v>2955</v>
      </c>
      <c r="D45" s="2">
        <v>361062</v>
      </c>
      <c r="E45" s="2">
        <v>336542</v>
      </c>
      <c r="F45" s="2">
        <v>509053</v>
      </c>
      <c r="G45" s="2" t="str" cm="1">
        <f t="array" aca="1" ref="G45" ca="1">IF(Background=36,C45,G44)</f>
        <v>丽水市</v>
      </c>
    </row>
    <row r="46" spans="1:7" ht="15.75" thickBot="1" x14ac:dyDescent="0.3">
      <c r="A46" t="s">
        <v>1003</v>
      </c>
      <c r="B46" s="1" t="s">
        <v>2906</v>
      </c>
      <c r="C46" s="1" t="s">
        <v>2956</v>
      </c>
      <c r="D46" s="2">
        <v>179449</v>
      </c>
      <c r="E46" s="2">
        <v>141541</v>
      </c>
      <c r="F46" s="2">
        <v>142551</v>
      </c>
      <c r="G46" s="2" t="str" cm="1">
        <f t="array" aca="1" ref="G46" ca="1">IF(Background=36,C46,G45)</f>
        <v>丽水市</v>
      </c>
    </row>
    <row r="47" spans="1:7" ht="15.75" thickBot="1" x14ac:dyDescent="0.3">
      <c r="A47" t="s">
        <v>1000</v>
      </c>
      <c r="B47" s="1" t="s">
        <v>2906</v>
      </c>
      <c r="C47" s="1" t="s">
        <v>2957</v>
      </c>
      <c r="D47" s="2">
        <v>197340</v>
      </c>
      <c r="E47" s="2">
        <v>185051</v>
      </c>
      <c r="F47" s="2">
        <v>204880</v>
      </c>
      <c r="G47" s="2" t="str" cm="1">
        <f t="array" aca="1" ref="G47" ca="1">IF(Background=36,C47,G46)</f>
        <v>丽水市</v>
      </c>
    </row>
    <row r="48" spans="1:7" ht="15.75" thickBot="1" x14ac:dyDescent="0.3">
      <c r="A48" t="s">
        <v>997</v>
      </c>
      <c r="B48" s="1" t="s">
        <v>2906</v>
      </c>
      <c r="C48" s="1" t="s">
        <v>2958</v>
      </c>
      <c r="D48" s="2">
        <v>207087</v>
      </c>
      <c r="E48" s="2">
        <v>190165</v>
      </c>
      <c r="F48" s="2">
        <v>194385</v>
      </c>
      <c r="G48" s="2" t="str" cm="1">
        <f t="array" aca="1" ref="G48" ca="1">IF(Background=36,C48,G47)</f>
        <v>丽水市</v>
      </c>
    </row>
    <row r="49" spans="1:7" ht="15.75" thickBot="1" x14ac:dyDescent="0.3">
      <c r="A49" t="s">
        <v>1009</v>
      </c>
      <c r="B49" s="1" t="s">
        <v>2906</v>
      </c>
      <c r="C49" s="1" t="s">
        <v>2959</v>
      </c>
      <c r="D49" s="2">
        <v>103273</v>
      </c>
      <c r="E49" s="2">
        <v>111591</v>
      </c>
      <c r="F49" s="2">
        <v>129216</v>
      </c>
      <c r="G49" s="2" t="str" cm="1">
        <f t="array" aca="1" ref="G49" ca="1">IF(Background=36,C49,G48)</f>
        <v>丽水市</v>
      </c>
    </row>
    <row r="50" spans="1:7" ht="15.75" thickBot="1" x14ac:dyDescent="0.3">
      <c r="A50" t="s">
        <v>2960</v>
      </c>
      <c r="B50" s="5" t="s">
        <v>2902</v>
      </c>
      <c r="C50" s="5" t="s">
        <v>2961</v>
      </c>
      <c r="D50" s="6">
        <v>5963362</v>
      </c>
      <c r="E50" s="6">
        <v>7605689</v>
      </c>
      <c r="F50" s="6">
        <v>9404283</v>
      </c>
      <c r="G50" s="2" t="str" cm="1">
        <f t="array" aca="1" ref="G50" ca="1">IF(Background=36,C50,G49)</f>
        <v>宁波市</v>
      </c>
    </row>
    <row r="51" spans="1:7" ht="15.75" thickBot="1" x14ac:dyDescent="0.3">
      <c r="A51" t="s">
        <v>1341</v>
      </c>
      <c r="B51" s="1" t="s">
        <v>2904</v>
      </c>
      <c r="C51" s="1" t="s">
        <v>2962</v>
      </c>
      <c r="D51" s="2">
        <v>382278</v>
      </c>
      <c r="E51" s="2">
        <v>612267</v>
      </c>
      <c r="F51" s="2">
        <v>829448</v>
      </c>
      <c r="G51" s="2" t="str" cm="1">
        <f t="array" aca="1" ref="G51" ca="1">IF(Background=36,C51,G50)</f>
        <v>宁波市</v>
      </c>
    </row>
    <row r="52" spans="1:7" ht="15.75" thickBot="1" x14ac:dyDescent="0.3">
      <c r="A52" t="s">
        <v>1338</v>
      </c>
      <c r="B52" s="1" t="s">
        <v>2497</v>
      </c>
      <c r="C52" s="1" t="s">
        <v>2963</v>
      </c>
      <c r="D52" s="2">
        <v>1214537</v>
      </c>
      <c r="E52" s="2">
        <v>1462383</v>
      </c>
      <c r="F52" s="2">
        <v>1829488</v>
      </c>
      <c r="G52" s="2" t="str" cm="1">
        <f t="array" aca="1" ref="G52" ca="1">IF(Background=36,C52,G51)</f>
        <v>宁波市</v>
      </c>
    </row>
    <row r="53" spans="1:7" ht="15.75" thickBot="1" x14ac:dyDescent="0.3">
      <c r="A53" t="s">
        <v>1367</v>
      </c>
      <c r="B53" s="1" t="s">
        <v>2904</v>
      </c>
      <c r="C53" s="1" t="s">
        <v>2964</v>
      </c>
      <c r="D53" s="2">
        <v>471558</v>
      </c>
      <c r="E53" s="2">
        <v>491697</v>
      </c>
      <c r="F53" s="2">
        <v>577505</v>
      </c>
      <c r="G53" s="2" t="str" cm="1">
        <f t="array" aca="1" ref="G53" ca="1">IF(Background=36,C53,G52)</f>
        <v>宁波市</v>
      </c>
    </row>
    <row r="54" spans="1:7" ht="15.75" thickBot="1" x14ac:dyDescent="0.3">
      <c r="A54" t="s">
        <v>1347</v>
      </c>
      <c r="B54" s="1" t="s">
        <v>2904</v>
      </c>
      <c r="C54" s="1" t="s">
        <v>2965</v>
      </c>
      <c r="D54" s="4" t="s">
        <v>2913</v>
      </c>
      <c r="E54" s="2">
        <v>881169</v>
      </c>
      <c r="F54" s="2">
        <v>1041285</v>
      </c>
      <c r="G54" s="2" t="str" cm="1">
        <f t="array" aca="1" ref="G54" ca="1">IF(Background=36,C54,G53)</f>
        <v>宁波市</v>
      </c>
    </row>
    <row r="55" spans="1:7" ht="15.75" thickBot="1" x14ac:dyDescent="0.3">
      <c r="A55" t="s">
        <v>1372</v>
      </c>
      <c r="B55" s="1" t="s">
        <v>2904</v>
      </c>
      <c r="C55" s="1" t="s">
        <v>2966</v>
      </c>
      <c r="D55" s="2">
        <v>271223</v>
      </c>
      <c r="E55" s="2">
        <v>361242</v>
      </c>
      <c r="F55" s="2">
        <v>488885</v>
      </c>
      <c r="G55" s="2" t="str" cm="1">
        <f t="array" aca="1" ref="G55" ca="1">IF(Background=36,C55,G54)</f>
        <v>宁波市</v>
      </c>
    </row>
    <row r="56" spans="1:7" ht="15.75" thickBot="1" x14ac:dyDescent="0.3">
      <c r="A56" t="s">
        <v>1356</v>
      </c>
      <c r="B56" s="1" t="s">
        <v>2906</v>
      </c>
      <c r="C56" s="1" t="s">
        <v>2967</v>
      </c>
      <c r="D56" s="2">
        <v>518186</v>
      </c>
      <c r="E56" s="2">
        <v>646074</v>
      </c>
      <c r="F56" s="2">
        <v>695958</v>
      </c>
      <c r="G56" s="2" t="str" cm="1">
        <f t="array" aca="1" ref="G56" ca="1">IF(Background=36,C56,G55)</f>
        <v>宁波市</v>
      </c>
    </row>
    <row r="57" spans="1:7" ht="15.75" thickBot="1" x14ac:dyDescent="0.3">
      <c r="A57" t="s">
        <v>1386</v>
      </c>
      <c r="B57" s="1" t="s">
        <v>2906</v>
      </c>
      <c r="C57" s="1" t="s">
        <v>2968</v>
      </c>
      <c r="D57" s="2">
        <v>484236</v>
      </c>
      <c r="E57" s="2">
        <v>503279</v>
      </c>
      <c r="F57" s="2">
        <v>567665</v>
      </c>
      <c r="G57" s="2" t="str" cm="1">
        <f t="array" aca="1" ref="G57" ca="1">IF(Background=36,C57,G56)</f>
        <v>宁波市</v>
      </c>
    </row>
    <row r="58" spans="1:7" ht="15.75" thickBot="1" x14ac:dyDescent="0.3">
      <c r="A58" t="s">
        <v>1344</v>
      </c>
      <c r="B58" s="1" t="s">
        <v>2904</v>
      </c>
      <c r="C58" s="1" t="s">
        <v>2969</v>
      </c>
      <c r="D58" s="4" t="s">
        <v>2913</v>
      </c>
      <c r="E58" s="2">
        <v>1218419</v>
      </c>
      <c r="F58" s="2">
        <v>1609555</v>
      </c>
      <c r="G58" s="2" t="str" cm="1">
        <f t="array" aca="1" ref="G58" ca="1">IF(Background=36,C58,G57)</f>
        <v>宁波市</v>
      </c>
    </row>
    <row r="59" spans="1:7" ht="15.75" thickBot="1" x14ac:dyDescent="0.3">
      <c r="A59" t="s">
        <v>1383</v>
      </c>
      <c r="B59" s="1" t="s">
        <v>2497</v>
      </c>
      <c r="C59" s="1" t="s">
        <v>2970</v>
      </c>
      <c r="D59" s="2">
        <v>852719</v>
      </c>
      <c r="E59" s="2">
        <v>1010659</v>
      </c>
      <c r="F59" s="2">
        <v>1254032</v>
      </c>
      <c r="G59" s="2" t="str" cm="1">
        <f t="array" aca="1" ref="G59" ca="1">IF(Background=36,C59,G58)</f>
        <v>宁波市</v>
      </c>
    </row>
    <row r="60" spans="1:7" ht="15.75" thickBot="1" x14ac:dyDescent="0.3">
      <c r="A60" t="s">
        <v>1463</v>
      </c>
      <c r="B60" s="1" t="s">
        <v>2904</v>
      </c>
      <c r="C60" s="1" t="s">
        <v>2971</v>
      </c>
      <c r="D60" s="2">
        <v>271707</v>
      </c>
      <c r="E60" s="2">
        <v>418500</v>
      </c>
      <c r="F60" s="2">
        <v>510462</v>
      </c>
      <c r="G60" s="2" t="str" cm="1">
        <f t="array" aca="1" ref="G60" ca="1">IF(Background=36,C60,G59)</f>
        <v>宁波市</v>
      </c>
    </row>
    <row r="61" spans="1:7" ht="15.75" thickBot="1" x14ac:dyDescent="0.3">
      <c r="A61" t="s">
        <v>2972</v>
      </c>
      <c r="B61" s="5" t="s">
        <v>2921</v>
      </c>
      <c r="C61" s="5" t="s">
        <v>2973</v>
      </c>
      <c r="D61" s="6">
        <v>2128856</v>
      </c>
      <c r="E61" s="6">
        <v>2122661</v>
      </c>
      <c r="F61" s="6">
        <v>2276184</v>
      </c>
      <c r="G61" s="2" t="str" cm="1">
        <f t="array" aca="1" ref="G61" ca="1">IF(Background=36,C61,G60)</f>
        <v>衢州市</v>
      </c>
    </row>
    <row r="62" spans="1:7" ht="15.75" thickBot="1" x14ac:dyDescent="0.3">
      <c r="A62" t="s">
        <v>1646</v>
      </c>
      <c r="B62" s="1" t="s">
        <v>2906</v>
      </c>
      <c r="C62" s="1" t="s">
        <v>2974</v>
      </c>
      <c r="D62" s="2">
        <v>265467</v>
      </c>
      <c r="E62" s="2">
        <v>241368</v>
      </c>
      <c r="F62" s="2">
        <v>259966</v>
      </c>
      <c r="G62" s="2" t="str" cm="1">
        <f t="array" aca="1" ref="G62" ca="1">IF(Background=36,C62,G61)</f>
        <v>衢州市</v>
      </c>
    </row>
    <row r="63" spans="1:7" ht="15.75" thickBot="1" x14ac:dyDescent="0.3">
      <c r="A63" t="s">
        <v>1650</v>
      </c>
      <c r="B63" s="1" t="s">
        <v>2497</v>
      </c>
      <c r="C63" s="1" t="s">
        <v>2975</v>
      </c>
      <c r="D63" s="2">
        <v>473222</v>
      </c>
      <c r="E63" s="2">
        <v>467862</v>
      </c>
      <c r="F63" s="2">
        <v>494412</v>
      </c>
      <c r="G63" s="2" t="str" cm="1">
        <f t="array" aca="1" ref="G63" ca="1">IF(Background=36,C63,G62)</f>
        <v>衢州市</v>
      </c>
    </row>
    <row r="64" spans="1:7" ht="15.75" thickBot="1" x14ac:dyDescent="0.3">
      <c r="A64" t="s">
        <v>1653</v>
      </c>
      <c r="B64" s="1" t="s">
        <v>2906</v>
      </c>
      <c r="C64" s="1" t="s">
        <v>2976</v>
      </c>
      <c r="D64" s="2">
        <v>271611</v>
      </c>
      <c r="E64" s="2">
        <v>245088</v>
      </c>
      <c r="F64" s="2">
        <v>258810</v>
      </c>
      <c r="G64" s="2" t="str" cm="1">
        <f t="array" aca="1" ref="G64" ca="1">IF(Background=36,C64,G63)</f>
        <v>衢州市</v>
      </c>
    </row>
    <row r="65" spans="1:7" ht="15.75" thickBot="1" x14ac:dyDescent="0.3">
      <c r="A65" t="s">
        <v>1647</v>
      </c>
      <c r="B65" s="1" t="s">
        <v>2904</v>
      </c>
      <c r="C65" s="1" t="s">
        <v>2977</v>
      </c>
      <c r="D65" s="2">
        <v>286271</v>
      </c>
      <c r="E65" s="2">
        <v>464527</v>
      </c>
      <c r="F65" s="2">
        <v>528847</v>
      </c>
      <c r="G65" s="2" t="str" cm="1">
        <f t="array" aca="1" ref="G65" ca="1">IF(Background=36,C65,G64)</f>
        <v>衢州市</v>
      </c>
    </row>
    <row r="66" spans="1:7" ht="15.75" thickBot="1" x14ac:dyDescent="0.3">
      <c r="A66" t="s">
        <v>1664</v>
      </c>
      <c r="B66" s="1" t="s">
        <v>2906</v>
      </c>
      <c r="C66" s="1" t="s">
        <v>2978</v>
      </c>
      <c r="D66" s="2">
        <v>368157</v>
      </c>
      <c r="E66" s="2">
        <v>362380</v>
      </c>
      <c r="F66" s="2">
        <v>360229</v>
      </c>
      <c r="G66" s="2" t="str" cm="1">
        <f t="array" aca="1" ref="G66" ca="1">IF(Background=36,C66,G65)</f>
        <v>衢州市</v>
      </c>
    </row>
    <row r="67" spans="1:7" ht="15.75" thickBot="1" x14ac:dyDescent="0.3">
      <c r="A67" t="s">
        <v>1671</v>
      </c>
      <c r="B67" s="1" t="s">
        <v>2904</v>
      </c>
      <c r="C67" s="1" t="s">
        <v>2979</v>
      </c>
      <c r="D67" s="2">
        <v>464128</v>
      </c>
      <c r="E67" s="2">
        <v>341436</v>
      </c>
      <c r="F67" s="2">
        <v>373920</v>
      </c>
      <c r="G67" s="2" t="str" cm="1">
        <f t="array" aca="1" ref="G67" ca="1">IF(Background=36,C67,G66)</f>
        <v>衢州市</v>
      </c>
    </row>
    <row r="68" spans="1:7" ht="15.75" thickBot="1" x14ac:dyDescent="0.3">
      <c r="A68" t="s">
        <v>2980</v>
      </c>
      <c r="B68" s="5" t="s">
        <v>2921</v>
      </c>
      <c r="C68" s="5" t="s">
        <v>2981</v>
      </c>
      <c r="D68" s="6">
        <v>4304241</v>
      </c>
      <c r="E68" s="6">
        <v>4912239</v>
      </c>
      <c r="F68" s="6">
        <v>5270977</v>
      </c>
      <c r="G68" s="2" t="str" cm="1">
        <f t="array" aca="1" ref="G68" ca="1">IF(Background=36,C68,G67)</f>
        <v>绍兴市</v>
      </c>
    </row>
    <row r="69" spans="1:7" ht="15.75" thickBot="1" x14ac:dyDescent="0.3">
      <c r="A69" t="s">
        <v>1831</v>
      </c>
      <c r="B69" s="1" t="s">
        <v>2904</v>
      </c>
      <c r="C69" s="1" t="s">
        <v>2982</v>
      </c>
      <c r="D69" s="2">
        <v>716175</v>
      </c>
      <c r="E69" s="2">
        <v>960751</v>
      </c>
      <c r="F69" s="2">
        <v>1098859</v>
      </c>
      <c r="G69" s="2" t="str" cm="1">
        <f t="array" aca="1" ref="G69" ca="1">IF(Background=36,C69,G68)</f>
        <v>绍兴市</v>
      </c>
    </row>
    <row r="70" spans="1:7" ht="15.75" thickBot="1" x14ac:dyDescent="0.3">
      <c r="A70" t="s">
        <v>1837</v>
      </c>
      <c r="B70" s="1" t="s">
        <v>2904</v>
      </c>
      <c r="C70" s="1" t="s">
        <v>2983</v>
      </c>
      <c r="D70" s="2">
        <v>722523</v>
      </c>
      <c r="E70" s="2">
        <v>779412</v>
      </c>
      <c r="F70" s="2">
        <v>839747</v>
      </c>
      <c r="G70" s="2" t="str" cm="1">
        <f t="array" aca="1" ref="G70" ca="1">IF(Background=36,C70,G69)</f>
        <v>绍兴市</v>
      </c>
    </row>
    <row r="71" spans="1:7" ht="15.75" thickBot="1" x14ac:dyDescent="0.3">
      <c r="A71" t="s">
        <v>1845</v>
      </c>
      <c r="B71" s="1" t="s">
        <v>2497</v>
      </c>
      <c r="C71" s="1" t="s">
        <v>2984</v>
      </c>
      <c r="D71" s="2">
        <v>671221</v>
      </c>
      <c r="E71" s="2">
        <v>679762</v>
      </c>
      <c r="F71" s="2">
        <v>675226</v>
      </c>
      <c r="G71" s="2" t="str" cm="1">
        <f t="array" aca="1" ref="G71" ca="1">IF(Background=36,C71,G70)</f>
        <v>绍兴市</v>
      </c>
    </row>
    <row r="72" spans="1:7" ht="15.75" thickBot="1" x14ac:dyDescent="0.3">
      <c r="A72" t="s">
        <v>1851</v>
      </c>
      <c r="B72" s="1" t="s">
        <v>2906</v>
      </c>
      <c r="C72" s="1" t="s">
        <v>2985</v>
      </c>
      <c r="D72" s="2">
        <v>414907</v>
      </c>
      <c r="E72" s="2">
        <v>380444</v>
      </c>
      <c r="F72" s="2">
        <v>419036</v>
      </c>
      <c r="G72" s="2" t="str" cm="1">
        <f t="array" aca="1" ref="G72" ca="1">IF(Background=36,C72,G71)</f>
        <v>绍兴市</v>
      </c>
    </row>
    <row r="73" spans="1:7" ht="15.75" thickBot="1" x14ac:dyDescent="0.3">
      <c r="A73" t="s">
        <v>1840</v>
      </c>
      <c r="B73" s="1" t="s">
        <v>2904</v>
      </c>
      <c r="C73" s="1" t="s">
        <v>2986</v>
      </c>
      <c r="D73" s="2">
        <v>708740</v>
      </c>
      <c r="E73" s="2">
        <v>953932</v>
      </c>
      <c r="F73" s="2">
        <v>1020037</v>
      </c>
      <c r="G73" s="2" t="str" cm="1">
        <f t="array" aca="1" ref="G73" ca="1">IF(Background=36,C73,G72)</f>
        <v>绍兴市</v>
      </c>
    </row>
    <row r="74" spans="1:7" ht="15.75" thickBot="1" x14ac:dyDescent="0.3">
      <c r="A74" t="s">
        <v>1834</v>
      </c>
      <c r="B74" s="1" t="s">
        <v>2497</v>
      </c>
      <c r="C74" s="1" t="s">
        <v>2987</v>
      </c>
      <c r="D74" s="2">
        <v>1070675</v>
      </c>
      <c r="E74" s="2">
        <v>1157938</v>
      </c>
      <c r="F74" s="2">
        <v>1218072</v>
      </c>
      <c r="G74" s="2" t="str" cm="1">
        <f t="array" aca="1" ref="G74" ca="1">IF(Background=36,C74,G73)</f>
        <v>绍兴市</v>
      </c>
    </row>
    <row r="75" spans="1:7" ht="15.75" thickBot="1" x14ac:dyDescent="0.3">
      <c r="A75" t="s">
        <v>2988</v>
      </c>
      <c r="B75" s="5" t="s">
        <v>2921</v>
      </c>
      <c r="C75" s="5" t="s">
        <v>2989</v>
      </c>
      <c r="D75" s="6">
        <v>5153715</v>
      </c>
      <c r="E75" s="6">
        <v>5968838</v>
      </c>
      <c r="F75" s="6">
        <v>6622888</v>
      </c>
      <c r="G75" s="2" t="str" cm="1">
        <f t="array" aca="1" ref="G75" ca="1">IF(Background=36,C75,G74)</f>
        <v>台州市</v>
      </c>
    </row>
    <row r="76" spans="1:7" ht="15.75" thickBot="1" x14ac:dyDescent="0.3">
      <c r="A76" t="s">
        <v>2053</v>
      </c>
      <c r="B76" s="1" t="s">
        <v>2904</v>
      </c>
      <c r="C76" s="1" t="s">
        <v>2990</v>
      </c>
      <c r="D76" s="2">
        <v>564120</v>
      </c>
      <c r="E76" s="2">
        <v>632123</v>
      </c>
      <c r="F76" s="2">
        <v>707453</v>
      </c>
      <c r="G76" s="2" t="str" cm="1">
        <f t="array" aca="1" ref="G76" ca="1">IF(Background=36,C76,G75)</f>
        <v>台州市</v>
      </c>
    </row>
    <row r="77" spans="1:7" ht="15.75" thickBot="1" x14ac:dyDescent="0.3">
      <c r="A77" t="s">
        <v>2050</v>
      </c>
      <c r="B77" s="1" t="s">
        <v>2904</v>
      </c>
      <c r="C77" s="1" t="s">
        <v>2991</v>
      </c>
      <c r="D77" s="2">
        <v>462846</v>
      </c>
      <c r="E77" s="2">
        <v>653765</v>
      </c>
      <c r="F77" s="2">
        <v>826074</v>
      </c>
      <c r="G77" s="2" t="str" cm="1">
        <f t="array" aca="1" ref="G77" ca="1">IF(Background=36,C77,G76)</f>
        <v>台州市</v>
      </c>
    </row>
    <row r="78" spans="1:7" ht="15.75" thickBot="1" x14ac:dyDescent="0.3">
      <c r="A78" t="s">
        <v>2047</v>
      </c>
      <c r="B78" s="1" t="s">
        <v>2497</v>
      </c>
      <c r="C78" s="1" t="s">
        <v>2992</v>
      </c>
      <c r="D78" s="2">
        <v>948618</v>
      </c>
      <c r="E78" s="2">
        <v>1028813</v>
      </c>
      <c r="F78" s="2">
        <v>1114146</v>
      </c>
      <c r="G78" s="2" t="str" cm="1">
        <f t="array" aca="1" ref="G78" ca="1">IF(Background=36,C78,G77)</f>
        <v>台州市</v>
      </c>
    </row>
    <row r="79" spans="1:7" ht="15.75" thickBot="1" x14ac:dyDescent="0.3">
      <c r="A79" t="s">
        <v>2090</v>
      </c>
      <c r="B79" s="1" t="s">
        <v>2904</v>
      </c>
      <c r="C79" s="1" t="s">
        <v>2993</v>
      </c>
      <c r="D79" s="2">
        <v>464997</v>
      </c>
      <c r="E79" s="2">
        <v>616622</v>
      </c>
      <c r="F79" s="2">
        <v>628934</v>
      </c>
      <c r="G79" s="2" t="str" cm="1">
        <f t="array" aca="1" ref="G79" ca="1">IF(Background=36,C79,G78)</f>
        <v>台州市</v>
      </c>
    </row>
    <row r="80" spans="1:7" ht="15.75" thickBot="1" x14ac:dyDescent="0.3">
      <c r="A80" t="s">
        <v>2110</v>
      </c>
      <c r="B80" s="1" t="s">
        <v>2906</v>
      </c>
      <c r="C80" s="1" t="s">
        <v>2994</v>
      </c>
      <c r="D80" s="2">
        <v>315405</v>
      </c>
      <c r="E80" s="2">
        <v>328887</v>
      </c>
      <c r="F80" s="2">
        <v>379469</v>
      </c>
      <c r="G80" s="2" t="str" cm="1">
        <f t="array" aca="1" ref="G80" ca="1">IF(Background=36,C80,G79)</f>
        <v>台州市</v>
      </c>
    </row>
    <row r="81" spans="1:7" ht="15.75" thickBot="1" x14ac:dyDescent="0.3">
      <c r="A81" t="s">
        <v>2044</v>
      </c>
      <c r="B81" s="1" t="s">
        <v>2906</v>
      </c>
      <c r="C81" s="1" t="s">
        <v>2995</v>
      </c>
      <c r="D81" s="2">
        <v>407270</v>
      </c>
      <c r="E81" s="2">
        <v>382812</v>
      </c>
      <c r="F81" s="2">
        <v>474711</v>
      </c>
      <c r="G81" s="2" t="str" cm="1">
        <f t="array" aca="1" ref="G81" ca="1">IF(Background=36,C81,G80)</f>
        <v>台州市</v>
      </c>
    </row>
    <row r="82" spans="1:7" ht="15.75" thickBot="1" x14ac:dyDescent="0.3">
      <c r="A82" t="s">
        <v>2058</v>
      </c>
      <c r="B82" s="1" t="s">
        <v>2497</v>
      </c>
      <c r="C82" s="1" t="s">
        <v>2996</v>
      </c>
      <c r="D82" s="2">
        <v>1162783</v>
      </c>
      <c r="E82" s="2">
        <v>1366794</v>
      </c>
      <c r="F82" s="2">
        <v>1416199</v>
      </c>
      <c r="G82" s="2" t="str" cm="1">
        <f t="array" aca="1" ref="G82" ca="1">IF(Background=36,C82,G81)</f>
        <v>台州市</v>
      </c>
    </row>
    <row r="83" spans="1:7" ht="15.75" thickBot="1" x14ac:dyDescent="0.3">
      <c r="A83" t="s">
        <v>2039</v>
      </c>
      <c r="B83" s="1" t="s">
        <v>2906</v>
      </c>
      <c r="C83" s="1" t="s">
        <v>2997</v>
      </c>
      <c r="D83" s="2">
        <v>367585</v>
      </c>
      <c r="E83" s="2">
        <v>342676</v>
      </c>
      <c r="F83" s="2">
        <v>431888</v>
      </c>
      <c r="G83" s="2" t="str" cm="1">
        <f t="array" aca="1" ref="G83" ca="1">IF(Background=36,C83,G82)</f>
        <v>台州市</v>
      </c>
    </row>
    <row r="84" spans="1:7" ht="15.75" thickBot="1" x14ac:dyDescent="0.3">
      <c r="A84" t="s">
        <v>2071</v>
      </c>
      <c r="B84" s="1" t="s">
        <v>2497</v>
      </c>
      <c r="C84" s="1" t="s">
        <v>2998</v>
      </c>
      <c r="D84" s="2">
        <v>460091</v>
      </c>
      <c r="E84" s="2">
        <v>616346</v>
      </c>
      <c r="F84" s="2">
        <v>644014</v>
      </c>
      <c r="G84" s="2" t="str" cm="1">
        <f t="array" aca="1" ref="G84" ca="1">IF(Background=36,C84,G83)</f>
        <v>台州市</v>
      </c>
    </row>
    <row r="85" spans="1:7" ht="15.75" thickBot="1" x14ac:dyDescent="0.3">
      <c r="A85" t="s">
        <v>2999</v>
      </c>
      <c r="B85" s="5" t="s">
        <v>2921</v>
      </c>
      <c r="C85" s="5" t="s">
        <v>3000</v>
      </c>
      <c r="D85" s="6">
        <v>7557640</v>
      </c>
      <c r="E85" s="6">
        <v>9122102</v>
      </c>
      <c r="F85" s="6">
        <v>9572903</v>
      </c>
      <c r="G85" s="2" t="str" cm="1">
        <f t="array" aca="1" ref="G85" ca="1">IF(Background=36,C85,G84)</f>
        <v>温州市</v>
      </c>
    </row>
    <row r="86" spans="1:7" ht="15.75" thickBot="1" x14ac:dyDescent="0.3">
      <c r="A86" t="s">
        <v>2311</v>
      </c>
      <c r="B86" s="1" t="s">
        <v>2906</v>
      </c>
      <c r="C86" s="1" t="s">
        <v>3001</v>
      </c>
      <c r="D86" s="2">
        <v>815948</v>
      </c>
      <c r="E86" s="2">
        <v>788643</v>
      </c>
      <c r="F86" s="2">
        <v>843962</v>
      </c>
      <c r="G86" s="2" t="str" cm="1">
        <f t="array" aca="1" ref="G86" ca="1">IF(Background=36,C86,G85)</f>
        <v>温州市</v>
      </c>
    </row>
    <row r="87" spans="1:7" ht="15.75" thickBot="1" x14ac:dyDescent="0.3">
      <c r="A87" t="s">
        <v>2288</v>
      </c>
      <c r="B87" s="1" t="s">
        <v>2904</v>
      </c>
      <c r="C87" s="1" t="s">
        <v>3002</v>
      </c>
      <c r="D87" s="4" t="s">
        <v>2913</v>
      </c>
      <c r="E87" s="2">
        <v>109247</v>
      </c>
      <c r="F87" s="2">
        <v>148807</v>
      </c>
      <c r="G87" s="2" t="str" cm="1">
        <f t="array" aca="1" ref="G87" ca="1">IF(Background=36,C87,G86)</f>
        <v>温州市</v>
      </c>
    </row>
    <row r="88" spans="1:7" ht="15.75" thickBot="1" x14ac:dyDescent="0.3">
      <c r="A88" t="s">
        <v>2498</v>
      </c>
      <c r="B88" s="1" t="s">
        <v>2497</v>
      </c>
      <c r="C88" s="1" t="s">
        <v>2496</v>
      </c>
      <c r="D88" s="2">
        <v>351641</v>
      </c>
      <c r="E88" s="2">
        <v>396000</v>
      </c>
      <c r="F88" s="2">
        <v>464732</v>
      </c>
      <c r="G88" s="2" t="str" cm="1">
        <f t="array" aca="1" ref="G88" ca="1">IF(Background=36,C88,G87)</f>
        <v>温州市</v>
      </c>
    </row>
    <row r="89" spans="1:7" ht="15.75" thickBot="1" x14ac:dyDescent="0.3">
      <c r="A89" t="s">
        <v>2407</v>
      </c>
      <c r="B89" s="1" t="s">
        <v>2904</v>
      </c>
      <c r="C89" s="1" t="s">
        <v>3003</v>
      </c>
      <c r="D89" s="4" t="s">
        <v>2913</v>
      </c>
      <c r="E89" s="2">
        <v>727739</v>
      </c>
      <c r="F89" s="2">
        <v>725036</v>
      </c>
      <c r="G89" s="2" t="str" cm="1">
        <f t="array" aca="1" ref="G89" ca="1">IF(Background=36,C89,G88)</f>
        <v>温州市</v>
      </c>
    </row>
    <row r="90" spans="1:7" ht="15.75" thickBot="1" x14ac:dyDescent="0.3">
      <c r="A90" t="s">
        <v>2304</v>
      </c>
      <c r="B90" s="1" t="s">
        <v>2904</v>
      </c>
      <c r="C90" s="1" t="s">
        <v>3004</v>
      </c>
      <c r="D90" s="2">
        <v>875006</v>
      </c>
      <c r="E90" s="2">
        <v>1293266</v>
      </c>
      <c r="F90" s="2">
        <v>1167165</v>
      </c>
      <c r="G90" s="2" t="str" cm="1">
        <f t="array" aca="1" ref="G90" ca="1">IF(Background=36,C90,G89)</f>
        <v>温州市</v>
      </c>
    </row>
    <row r="91" spans="1:7" ht="15.75" thickBot="1" x14ac:dyDescent="0.3">
      <c r="A91" t="s">
        <v>2318</v>
      </c>
      <c r="B91" s="1" t="s">
        <v>2904</v>
      </c>
      <c r="C91" s="1" t="s">
        <v>3005</v>
      </c>
      <c r="D91" s="2">
        <v>835607</v>
      </c>
      <c r="E91" s="2">
        <v>996870</v>
      </c>
      <c r="F91" s="2">
        <v>963238</v>
      </c>
      <c r="G91" s="2" t="str" cm="1">
        <f t="array" aca="1" ref="G91" ca="1">IF(Background=36,C91,G90)</f>
        <v>温州市</v>
      </c>
    </row>
    <row r="92" spans="1:7" ht="15.75" thickBot="1" x14ac:dyDescent="0.3">
      <c r="A92" t="s">
        <v>2276</v>
      </c>
      <c r="B92" s="1" t="s">
        <v>2906</v>
      </c>
      <c r="C92" s="1" t="s">
        <v>3006</v>
      </c>
      <c r="D92" s="2">
        <v>740448</v>
      </c>
      <c r="E92" s="2">
        <v>761664</v>
      </c>
      <c r="F92" s="2">
        <v>863088</v>
      </c>
      <c r="G92" s="2" t="str" cm="1">
        <f t="array" aca="1" ref="G92" ca="1">IF(Background=36,C92,G91)</f>
        <v>温州市</v>
      </c>
    </row>
    <row r="93" spans="1:7" ht="15.75" thickBot="1" x14ac:dyDescent="0.3">
      <c r="A93" t="s">
        <v>2273</v>
      </c>
      <c r="B93" s="1" t="s">
        <v>2497</v>
      </c>
      <c r="C93" s="1" t="s">
        <v>3007</v>
      </c>
      <c r="D93" s="2">
        <v>1207788</v>
      </c>
      <c r="E93" s="2">
        <v>1424667</v>
      </c>
      <c r="F93" s="2">
        <v>1520386</v>
      </c>
      <c r="G93" s="2" t="str" cm="1">
        <f t="array" aca="1" ref="G93" ca="1">IF(Background=36,C93,G92)</f>
        <v>温州市</v>
      </c>
    </row>
    <row r="94" spans="1:7" ht="15.75" thickBot="1" x14ac:dyDescent="0.3">
      <c r="A94" t="s">
        <v>2283</v>
      </c>
      <c r="B94" s="1" t="s">
        <v>2906</v>
      </c>
      <c r="C94" s="1" t="s">
        <v>3008</v>
      </c>
      <c r="D94" s="2">
        <v>279799</v>
      </c>
      <c r="E94" s="2">
        <v>233443</v>
      </c>
      <c r="F94" s="2">
        <v>265980</v>
      </c>
      <c r="G94" s="2" t="str" cm="1">
        <f t="array" aca="1" ref="G94" ca="1">IF(Background=36,C94,G93)</f>
        <v>温州市</v>
      </c>
    </row>
    <row r="95" spans="1:7" ht="15.75" thickBot="1" x14ac:dyDescent="0.3">
      <c r="A95" t="s">
        <v>2282</v>
      </c>
      <c r="B95" s="1" t="s">
        <v>2906</v>
      </c>
      <c r="C95" s="1" t="s">
        <v>3009</v>
      </c>
      <c r="D95" s="2">
        <v>264878</v>
      </c>
      <c r="E95" s="2">
        <v>212077</v>
      </c>
      <c r="F95" s="2">
        <v>288178</v>
      </c>
      <c r="G95" s="2" t="str" cm="1">
        <f t="array" aca="1" ref="G95" ca="1">IF(Background=36,C95,G94)</f>
        <v>温州市</v>
      </c>
    </row>
    <row r="96" spans="1:7" ht="15.75" thickBot="1" x14ac:dyDescent="0.3">
      <c r="A96" t="s">
        <v>2299</v>
      </c>
      <c r="B96" s="1" t="s">
        <v>2906</v>
      </c>
      <c r="C96" s="1" t="s">
        <v>3010</v>
      </c>
      <c r="D96" s="2">
        <v>722390</v>
      </c>
      <c r="E96" s="2">
        <v>789154</v>
      </c>
      <c r="F96" s="2">
        <v>869624</v>
      </c>
      <c r="G96" s="2" t="str" cm="1">
        <f t="array" aca="1" ref="G96" ca="1">IF(Background=36,C96,G95)</f>
        <v>温州市</v>
      </c>
    </row>
    <row r="97" spans="1:7" ht="15.75" thickBot="1" x14ac:dyDescent="0.3">
      <c r="A97" t="s">
        <v>2279</v>
      </c>
      <c r="B97" s="1" t="s">
        <v>2497</v>
      </c>
      <c r="C97" s="1" t="s">
        <v>3011</v>
      </c>
      <c r="D97" s="2">
        <v>1162765</v>
      </c>
      <c r="E97" s="2">
        <v>1389332</v>
      </c>
      <c r="F97" s="2">
        <v>1452707</v>
      </c>
      <c r="G97" s="2" t="str" cm="1">
        <f t="array" aca="1" ref="G97" ca="1">IF(Background=36,C97,G96)</f>
        <v>温州市</v>
      </c>
    </row>
    <row r="98" spans="1:7" ht="15.75" thickBot="1" x14ac:dyDescent="0.3">
      <c r="A98" t="s">
        <v>3012</v>
      </c>
      <c r="B98" s="5" t="s">
        <v>2921</v>
      </c>
      <c r="C98" s="5" t="s">
        <v>3013</v>
      </c>
      <c r="D98" s="6">
        <v>1001530</v>
      </c>
      <c r="E98" s="6">
        <v>1121261</v>
      </c>
      <c r="F98" s="6">
        <v>1157817</v>
      </c>
      <c r="G98" s="2" t="str" cm="1">
        <f t="array" aca="1" ref="G98" ca="1">IF(Background=36,C98,G97)</f>
        <v>舟山市</v>
      </c>
    </row>
    <row r="99" spans="1:7" ht="15.75" thickBot="1" x14ac:dyDescent="0.3">
      <c r="A99" t="s">
        <v>2842</v>
      </c>
      <c r="B99" s="1" t="s">
        <v>2906</v>
      </c>
      <c r="C99" s="1" t="s">
        <v>3014</v>
      </c>
      <c r="D99" s="2">
        <v>197483</v>
      </c>
      <c r="E99" s="2">
        <v>202164</v>
      </c>
      <c r="F99" s="2">
        <v>207982</v>
      </c>
      <c r="G99" s="2" t="str" cm="1">
        <f t="array" aca="1" ref="G99" ca="1">IF(Background=36,C99,G98)</f>
        <v>舟山市</v>
      </c>
    </row>
    <row r="100" spans="1:7" ht="15.75" thickBot="1" x14ac:dyDescent="0.3">
      <c r="A100" t="s">
        <v>2832</v>
      </c>
      <c r="B100" s="1" t="s">
        <v>2904</v>
      </c>
      <c r="C100" s="1" t="s">
        <v>3015</v>
      </c>
      <c r="D100" s="2">
        <v>369448</v>
      </c>
      <c r="E100" s="2">
        <v>464184</v>
      </c>
      <c r="F100" s="2">
        <v>500030</v>
      </c>
      <c r="G100" s="2" t="str" cm="1">
        <f t="array" aca="1" ref="G100" ca="1">IF(Background=36,C100,G99)</f>
        <v>舟山市</v>
      </c>
    </row>
    <row r="101" spans="1:7" ht="15.75" thickBot="1" x14ac:dyDescent="0.3">
      <c r="A101" t="s">
        <v>2848</v>
      </c>
      <c r="B101" s="1" t="s">
        <v>2904</v>
      </c>
      <c r="C101" s="1" t="s">
        <v>3016</v>
      </c>
      <c r="D101" s="2">
        <v>346237</v>
      </c>
      <c r="E101" s="2">
        <v>378805</v>
      </c>
      <c r="F101" s="2">
        <v>382902</v>
      </c>
      <c r="G101" s="2" t="str" cm="1">
        <f t="array" aca="1" ref="G101" ca="1">IF(Background=36,C101,G100)</f>
        <v>舟山市</v>
      </c>
    </row>
    <row r="102" spans="1:7" ht="15.75" thickBot="1" x14ac:dyDescent="0.3">
      <c r="A102" t="s">
        <v>2835</v>
      </c>
      <c r="B102" s="1" t="s">
        <v>2906</v>
      </c>
      <c r="C102" s="1" t="s">
        <v>3017</v>
      </c>
      <c r="D102" s="2">
        <v>88362</v>
      </c>
      <c r="E102" s="2">
        <v>76108</v>
      </c>
      <c r="F102" s="2">
        <v>66903</v>
      </c>
      <c r="G102" s="2" t="str" cm="1">
        <f t="array" aca="1" ref="G102" ca="1">IF(Background=36,C102,G101)</f>
        <v>舟山市</v>
      </c>
    </row>
    <row r="103" spans="1:7" x14ac:dyDescent="0.25">
      <c r="A103" s="7" t="s">
        <v>3018</v>
      </c>
      <c r="B103" s="7" t="s">
        <v>3019</v>
      </c>
      <c r="C103" s="7" t="s">
        <v>3020</v>
      </c>
      <c r="D103" s="8">
        <v>45930651</v>
      </c>
      <c r="E103" s="8">
        <v>54426891</v>
      </c>
      <c r="F103" s="8">
        <v>64567588</v>
      </c>
      <c r="G103" s="13" t="str" cm="1">
        <f t="array" aca="1" ref="G103" ca="1">IF(Background=36,C103,G102)</f>
        <v>舟山市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hangzhou</vt:lpstr>
      <vt:lpstr>huzhou</vt:lpstr>
      <vt:lpstr>jiaxing</vt:lpstr>
      <vt:lpstr>jinhua</vt:lpstr>
      <vt:lpstr>lishui</vt:lpstr>
      <vt:lpstr>ningbo</vt:lpstr>
      <vt:lpstr>quzhou</vt:lpstr>
      <vt:lpstr>shaoxing</vt:lpstr>
      <vt:lpstr>taizhou</vt:lpstr>
      <vt:lpstr>wenzhou</vt:lpstr>
      <vt:lpstr>zhoushan</vt:lpstr>
      <vt:lpstr>main table</vt:lpstr>
      <vt:lpstr>cities</vt:lpstr>
      <vt:lpstr>json</vt:lpstr>
      <vt:lpstr>county-naming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Eisenberg</dc:creator>
  <cp:lastModifiedBy>Timothy Eisenberg</cp:lastModifiedBy>
  <dcterms:created xsi:type="dcterms:W3CDTF">2024-04-03T00:39:21Z</dcterms:created>
  <dcterms:modified xsi:type="dcterms:W3CDTF">2024-05-04T16:48:36Z</dcterms:modified>
</cp:coreProperties>
</file>